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Names" sheetId="1" r:id="rId4"/>
    <sheet state="visible" name="Medical Examinations" sheetId="2" r:id="rId5"/>
    <sheet state="visible" name="Hospitalisation Details" sheetId="3" r:id="rId6"/>
    <sheet state="visible" name="Pivot table" sheetId="4" r:id="rId7"/>
    <sheet state="visible" name="Healthcare" sheetId="5" r:id="rId8"/>
    <sheet state="visible" name="Dashboard" sheetId="6" r:id="rId9"/>
    <sheet state="visible" name="Insight Summary" sheetId="7" r:id="rId10"/>
  </sheets>
  <externalReferences>
    <externalReference r:id="rId11"/>
    <externalReference r:id="rId12"/>
    <externalReference r:id="rId13"/>
  </externalReferences>
  <definedNames>
    <definedName hidden="1" localSheetId="0" name="_xlnm._FilterDatabase">'Customer Names'!$A$1:$D$1</definedName>
    <definedName hidden="1" localSheetId="1" name="_xlnm._FilterDatabase">'Medical Examinations'!$A$1:$K$1</definedName>
    <definedName hidden="1" localSheetId="2" name="_xlnm._FilterDatabase">'Hospitalisation Details'!$A$1:$P$2344</definedName>
  </definedNames>
  <calcPr/>
  <extLst>
    <ext uri="GoogleSheetsCustomDataVersion2">
      <go:sheetsCustomData xmlns:go="http://customooxmlschemas.google.com/" r:id="rId14" roundtripDataChecksum="zX7+g6I64qAo66TEkgmV3h4kXDdB5O1KZJzJV2t0xOo="/>
    </ext>
  </extLst>
</workbook>
</file>

<file path=xl/sharedStrings.xml><?xml version="1.0" encoding="utf-8"?>
<sst xmlns="http://schemas.openxmlformats.org/spreadsheetml/2006/main" count="31617" uniqueCount="4793">
  <si>
    <t>Title</t>
  </si>
  <si>
    <t>First Name</t>
  </si>
  <si>
    <t>Last 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</si>
  <si>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</si>
  <si>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</si>
  <si>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</si>
  <si>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</si>
  <si>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</si>
  <si>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</si>
  <si>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</si>
  <si>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</si>
  <si>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</si>
  <si>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</si>
  <si>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</si>
  <si>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</si>
  <si>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</si>
  <si>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</si>
  <si>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</si>
  <si>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</si>
  <si>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</si>
  <si>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</si>
  <si>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</si>
  <si>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</si>
  <si>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</si>
  <si>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</si>
  <si>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</si>
  <si>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</si>
  <si>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</si>
  <si>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</si>
  <si>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</si>
  <si>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</si>
  <si>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</si>
  <si>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</si>
  <si>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</si>
  <si>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</si>
  <si>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</si>
  <si>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</si>
  <si>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</si>
  <si>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</si>
  <si>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</si>
  <si>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</si>
  <si>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</si>
  <si>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</si>
  <si>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</si>
  <si>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</si>
  <si>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</si>
  <si>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</si>
  <si>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</si>
  <si>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</si>
  <si>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</si>
  <si>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</si>
  <si>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</si>
  <si>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</si>
  <si>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</si>
  <si>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</si>
  <si>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</si>
  <si>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</si>
  <si>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</si>
  <si>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</si>
  <si>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</si>
  <si>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</si>
  <si>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</si>
  <si>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</si>
  <si>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</si>
  <si>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</si>
  <si>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</si>
  <si>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</si>
  <si>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</si>
  <si>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</si>
  <si>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</si>
  <si>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</si>
  <si>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</si>
  <si>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</si>
  <si>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</si>
  <si>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</si>
  <si>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</si>
  <si>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</si>
  <si>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</si>
  <si>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</si>
  <si>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</si>
  <si>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</si>
  <si>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</si>
  <si>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</si>
  <si>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</si>
  <si>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</si>
  <si>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</si>
  <si>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</si>
  <si>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</si>
  <si>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</si>
  <si>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</si>
  <si>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</si>
  <si>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</si>
  <si>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</si>
  <si>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</si>
  <si>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</si>
  <si>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</si>
  <si>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</si>
  <si>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</si>
  <si>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</si>
  <si>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</si>
  <si>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</si>
  <si>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</si>
  <si>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</si>
  <si>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</si>
  <si>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</si>
  <si>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</si>
  <si>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</si>
  <si>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</si>
  <si>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</si>
  <si>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</si>
  <si>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</si>
  <si>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</si>
  <si>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</si>
  <si>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</si>
  <si>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</si>
  <si>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</si>
  <si>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</si>
  <si>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</si>
  <si>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</si>
  <si>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</si>
  <si>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</si>
  <si>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</si>
  <si>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</si>
  <si>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</si>
  <si>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</si>
  <si>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</si>
  <si>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</si>
  <si>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</si>
  <si>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</si>
  <si>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</si>
  <si>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</si>
  <si>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</si>
  <si>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</si>
  <si>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</si>
  <si>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</si>
  <si>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</si>
  <si>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</si>
  <si>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</si>
  <si>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</si>
  <si>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</si>
  <si>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</si>
  <si>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</si>
  <si>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</si>
  <si>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</si>
  <si>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</si>
  <si>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</si>
  <si>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</si>
  <si>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</si>
  <si>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</si>
  <si>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</si>
  <si>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</si>
  <si>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</si>
  <si>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</si>
  <si>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</si>
  <si>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</si>
  <si>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</si>
  <si>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</si>
  <si>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</si>
  <si>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</si>
  <si>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</si>
  <si>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</si>
  <si>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</si>
  <si>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</si>
  <si>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</si>
  <si>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</si>
  <si>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</si>
  <si>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</si>
  <si>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</si>
  <si>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</si>
  <si>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</si>
  <si>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</si>
  <si>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</si>
  <si>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</si>
  <si>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</si>
  <si>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</si>
  <si>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</si>
  <si>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</si>
  <si>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</si>
  <si>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</si>
  <si>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</si>
  <si>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</si>
  <si>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</si>
  <si>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</si>
  <si>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</si>
  <si>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</si>
  <si>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</si>
  <si>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</si>
  <si>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</si>
  <si>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</si>
  <si>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</si>
  <si>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</si>
  <si>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</si>
  <si>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</si>
  <si>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</si>
  <si>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</si>
  <si>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</si>
  <si>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</si>
  <si>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</si>
  <si>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</si>
  <si>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</si>
  <si>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</si>
  <si>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</si>
  <si>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</si>
  <si>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</si>
  <si>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</si>
  <si>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</si>
  <si>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</si>
  <si>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</si>
  <si>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</si>
  <si>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</si>
  <si>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</si>
  <si>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</si>
  <si>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</si>
  <si>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</si>
  <si>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</si>
  <si>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</si>
  <si>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</si>
  <si>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</si>
  <si>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</si>
  <si>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</si>
  <si>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</si>
  <si>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</si>
  <si>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</si>
  <si>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</si>
  <si>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</si>
  <si>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</si>
  <si>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</si>
  <si>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</si>
  <si>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</si>
  <si>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</si>
  <si>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</si>
  <si>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</si>
  <si>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</si>
  <si>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</si>
  <si>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</si>
  <si>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</si>
  <si>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</si>
  <si>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</si>
  <si>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</si>
  <si>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</si>
  <si>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</si>
  <si>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</si>
  <si>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</si>
  <si>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</si>
  <si>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</si>
  <si>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</si>
  <si>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</si>
  <si>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</si>
  <si>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</si>
  <si>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</si>
  <si>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</si>
  <si>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</si>
  <si>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</si>
  <si>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</si>
  <si>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</si>
  <si>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</si>
  <si>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</si>
  <si>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</si>
  <si>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</si>
  <si>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</si>
  <si>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</si>
  <si>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</si>
  <si>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</si>
  <si>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</si>
  <si>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</si>
  <si>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</si>
  <si>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</si>
  <si>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</si>
  <si>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</si>
  <si>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</si>
  <si>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</si>
  <si>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</si>
  <si>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</si>
  <si>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</si>
  <si>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</si>
  <si>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</si>
  <si>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</si>
  <si>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</si>
  <si>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</si>
  <si>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</si>
  <si>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</si>
  <si>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</si>
  <si>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</si>
  <si>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</si>
  <si>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</si>
  <si>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</si>
  <si>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</si>
  <si>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</si>
  <si>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</si>
  <si>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</si>
  <si>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</si>
  <si>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</si>
  <si>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</si>
  <si>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</si>
  <si>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</si>
  <si>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</si>
  <si>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</si>
  <si>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</si>
  <si>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</si>
  <si>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</si>
  <si>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</si>
  <si>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</si>
  <si>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</si>
  <si>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</si>
  <si>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</si>
  <si>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</si>
  <si>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</si>
  <si>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</si>
  <si>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</si>
  <si>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</si>
  <si>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</si>
  <si>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</si>
  <si>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</si>
  <si>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</si>
  <si>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</si>
  <si>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</si>
  <si>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</si>
  <si>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</si>
  <si>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</si>
  <si>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</si>
  <si>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</si>
  <si>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</si>
  <si>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</si>
  <si>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</si>
  <si>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</si>
  <si>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</si>
  <si>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</si>
  <si>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</si>
  <si>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</si>
  <si>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</si>
  <si>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</si>
  <si>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</si>
  <si>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</si>
  <si>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</si>
  <si>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</si>
  <si>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</si>
  <si>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</si>
  <si>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</si>
  <si>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</si>
  <si>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</si>
  <si>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</si>
  <si>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</si>
  <si>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</si>
  <si>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</si>
  <si>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</si>
  <si>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</si>
  <si>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</si>
  <si>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</si>
  <si>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</si>
  <si>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</si>
  <si>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</si>
  <si>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</si>
  <si>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</si>
  <si>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</si>
  <si>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</si>
  <si>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</si>
  <si>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</si>
  <si>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</si>
  <si>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</si>
  <si>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</si>
  <si>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</si>
  <si>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</si>
  <si>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</si>
  <si>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</si>
  <si>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</si>
  <si>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</si>
  <si>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</si>
  <si>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</si>
  <si>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</si>
  <si>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</si>
  <si>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</si>
  <si>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</si>
  <si>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</si>
  <si>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</si>
  <si>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</si>
  <si>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</si>
  <si>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</si>
  <si>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</si>
  <si>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</si>
  <si>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</si>
  <si>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</si>
  <si>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</si>
  <si>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</si>
  <si>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</si>
  <si>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</si>
  <si>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</si>
  <si>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</si>
  <si>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</si>
  <si>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</si>
  <si>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</si>
  <si>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</si>
  <si>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</si>
  <si>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</si>
  <si>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</si>
  <si>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</si>
  <si>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</si>
  <si>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</si>
  <si>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</si>
  <si>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</si>
  <si>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</si>
  <si>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</si>
  <si>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</si>
  <si>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</si>
  <si>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</si>
  <si>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</si>
  <si>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</si>
  <si>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</si>
  <si>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</si>
  <si>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</si>
  <si>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</si>
  <si>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</si>
  <si>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</si>
  <si>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</si>
  <si>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</si>
  <si>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</si>
  <si>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</si>
  <si>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</si>
  <si>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</si>
  <si>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</si>
  <si>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</si>
  <si>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</si>
  <si>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</si>
  <si>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</si>
  <si>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</si>
  <si>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</si>
  <si>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</si>
  <si>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</si>
  <si>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</si>
  <si>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</si>
  <si>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</si>
  <si>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</si>
  <si>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</si>
  <si>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</si>
  <si>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</si>
  <si>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</si>
  <si>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</si>
  <si>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</si>
  <si>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</si>
  <si>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</si>
  <si>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</si>
  <si>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</si>
  <si>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</si>
  <si>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</si>
  <si>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</si>
  <si>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</si>
  <si>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</si>
  <si>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</si>
  <si>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</si>
  <si>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</si>
  <si>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</si>
  <si>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</si>
  <si>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</si>
  <si>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</si>
  <si>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</si>
  <si>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</si>
  <si>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</si>
  <si>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</si>
  <si>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</si>
  <si>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</si>
  <si>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</si>
  <si>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</si>
  <si>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</si>
  <si>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</si>
  <si>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</si>
  <si>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</si>
  <si>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</si>
  <si>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</si>
  <si>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</si>
  <si>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</si>
  <si>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</si>
  <si>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</si>
  <si>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</si>
  <si>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</si>
  <si>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</si>
  <si>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</si>
  <si>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</si>
  <si>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</si>
  <si>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</si>
  <si>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</si>
  <si>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</si>
  <si>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</si>
  <si>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</si>
  <si>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</si>
  <si>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</si>
  <si>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</si>
  <si>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</si>
  <si>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</si>
  <si>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</si>
  <si>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</si>
  <si>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</si>
  <si>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</si>
  <si>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</si>
  <si>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</si>
  <si>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</si>
  <si>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</si>
  <si>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</si>
  <si>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</si>
  <si>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</si>
  <si>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</si>
  <si>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</si>
  <si>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</si>
  <si>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</si>
  <si>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</si>
  <si>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</si>
  <si>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</si>
  <si>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</si>
  <si>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</si>
  <si>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</si>
  <si>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</si>
  <si>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</si>
  <si>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</si>
  <si>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</si>
  <si>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</si>
  <si>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</si>
  <si>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</si>
  <si>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</si>
  <si>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</si>
  <si>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</si>
  <si>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</si>
  <si>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</si>
  <si>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</si>
  <si>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</si>
  <si>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</si>
  <si>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</si>
  <si>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</si>
  <si>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</si>
  <si>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</si>
  <si>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</si>
  <si>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</si>
  <si>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</si>
  <si>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</si>
  <si>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</si>
  <si>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</si>
  <si>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</si>
  <si>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</si>
  <si>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</si>
  <si>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</si>
  <si>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</si>
  <si>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</si>
  <si>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</si>
  <si>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</si>
  <si>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</si>
  <si>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</si>
  <si>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</si>
  <si>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</si>
  <si>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</si>
  <si>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</si>
  <si>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</si>
  <si>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</si>
  <si>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</si>
  <si>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</si>
  <si>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</si>
  <si>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</si>
  <si>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</si>
  <si>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</si>
  <si>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</si>
  <si>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</si>
  <si>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</si>
  <si>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</si>
  <si>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</si>
  <si>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</si>
  <si>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</si>
  <si>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</si>
  <si>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</si>
  <si>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</si>
  <si>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</si>
  <si>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</si>
  <si>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</si>
  <si>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</si>
  <si>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</si>
  <si>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</si>
  <si>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</si>
  <si>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</si>
  <si>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</si>
  <si>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</si>
  <si>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</si>
  <si>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</si>
  <si>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</si>
  <si>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</si>
  <si>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</si>
  <si>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</si>
  <si>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</si>
  <si>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</si>
  <si>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</si>
  <si>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</si>
  <si>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</si>
  <si>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</si>
  <si>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</si>
  <si>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</si>
  <si>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</si>
  <si>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</si>
  <si>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</si>
  <si>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</si>
  <si>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</si>
  <si>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</si>
  <si>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</si>
  <si>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</si>
  <si>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</si>
  <si>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</si>
  <si>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</si>
  <si>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</si>
  <si>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</si>
  <si>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</si>
  <si>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</si>
  <si>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</si>
  <si>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</si>
  <si>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</si>
  <si>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</si>
  <si>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</si>
  <si>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</si>
  <si>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</si>
  <si>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</si>
  <si>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</si>
  <si>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</si>
  <si>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</si>
  <si>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</si>
  <si>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</si>
  <si>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</si>
  <si>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</si>
  <si>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</si>
  <si>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</si>
  <si>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</si>
  <si>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</si>
  <si>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</si>
  <si>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</si>
  <si>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</si>
  <si>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</si>
  <si>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</si>
  <si>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</si>
  <si>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</si>
  <si>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</si>
  <si>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</si>
  <si>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</si>
  <si>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</si>
  <si>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</si>
  <si>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</si>
  <si>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</si>
  <si>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</si>
  <si>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</si>
  <si>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</si>
  <si>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</si>
  <si>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</si>
  <si>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</si>
  <si>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</si>
  <si>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</si>
  <si>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</si>
  <si>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</si>
  <si>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</si>
  <si>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</si>
  <si>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</si>
  <si>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</si>
  <si>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</si>
  <si>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</si>
  <si>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</si>
  <si>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</si>
  <si>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</si>
  <si>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</si>
  <si>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</si>
  <si>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</si>
  <si>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</si>
  <si>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</si>
  <si>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</si>
  <si>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</si>
  <si>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</si>
  <si>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</si>
  <si>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</si>
  <si>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</si>
  <si>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</si>
  <si>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</si>
  <si>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</si>
  <si>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</si>
  <si>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</si>
  <si>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</si>
  <si>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</si>
  <si>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</si>
  <si>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</si>
  <si>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</si>
  <si>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</si>
  <si>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</si>
  <si>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</si>
  <si>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</si>
  <si>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</si>
  <si>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</si>
  <si>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</si>
  <si>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</si>
  <si>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</si>
  <si>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</si>
  <si>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</si>
  <si>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</si>
  <si>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</si>
  <si>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</si>
  <si>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</si>
  <si>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</si>
  <si>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</si>
  <si>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</si>
  <si>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</si>
  <si>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</si>
  <si>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</si>
  <si>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</si>
  <si>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</si>
  <si>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</si>
  <si>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</si>
  <si>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</si>
  <si>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</si>
  <si>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</si>
  <si>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</si>
  <si>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</si>
  <si>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</si>
  <si>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</si>
  <si>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</si>
  <si>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</si>
  <si>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</si>
  <si>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</si>
  <si>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</si>
  <si>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</si>
  <si>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</si>
  <si>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</si>
  <si>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</si>
  <si>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</si>
  <si>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</si>
  <si>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</si>
  <si>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</si>
  <si>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</si>
  <si>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</si>
  <si>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</si>
  <si>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</si>
  <si>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</si>
  <si>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</si>
  <si>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</si>
  <si>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</si>
  <si>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</si>
  <si>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</si>
  <si>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</si>
  <si>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</si>
  <si>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</si>
  <si>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</si>
  <si>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</si>
  <si>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</si>
  <si>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</si>
  <si>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</si>
  <si>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</si>
  <si>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</si>
  <si>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</si>
  <si>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</si>
  <si>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</si>
  <si>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</si>
  <si>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</si>
  <si>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</si>
  <si>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</si>
  <si>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</si>
  <si>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</si>
  <si>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</si>
  <si>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</si>
  <si>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</si>
  <si>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</si>
  <si>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</si>
  <si>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</si>
  <si>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</si>
  <si>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</si>
  <si>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</si>
  <si>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</si>
  <si>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</si>
  <si>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</si>
  <si>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</si>
  <si>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</si>
  <si>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</si>
  <si>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</si>
  <si>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</si>
  <si>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</si>
  <si>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</si>
  <si>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</si>
  <si>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</si>
  <si>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</si>
  <si>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</si>
  <si>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</si>
  <si>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</si>
  <si>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</si>
  <si>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</si>
  <si>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</si>
  <si>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</si>
  <si>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</si>
  <si>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</si>
  <si>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</si>
  <si>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</si>
  <si>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</si>
  <si>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</si>
  <si>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</si>
  <si>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</si>
  <si>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</si>
  <si>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</si>
  <si>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</si>
  <si>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</si>
  <si>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</si>
  <si>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</si>
  <si>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</si>
  <si>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</si>
  <si>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</si>
  <si>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</si>
  <si>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</si>
  <si>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</si>
  <si>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</si>
  <si>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</si>
  <si>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</si>
  <si>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</si>
  <si>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</si>
  <si>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</si>
  <si>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</si>
  <si>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</si>
  <si>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</si>
  <si>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</si>
  <si>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</si>
  <si>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</si>
  <si>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</si>
  <si>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</si>
  <si>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</si>
  <si>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</si>
  <si>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</si>
  <si>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</si>
  <si>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</si>
  <si>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</si>
  <si>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</si>
  <si>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</si>
  <si>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</si>
  <si>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</si>
  <si>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</si>
  <si>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</si>
  <si>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</si>
  <si>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</si>
  <si>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</si>
  <si>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</si>
  <si>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</si>
  <si>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</si>
  <si>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</si>
  <si>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</si>
  <si>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</si>
  <si>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</si>
  <si>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</si>
  <si>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</si>
  <si>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</si>
  <si>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</si>
  <si>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</si>
  <si>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</si>
  <si>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</si>
  <si>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</si>
  <si>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</si>
  <si>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</si>
  <si>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</si>
  <si>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</si>
  <si>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</si>
  <si>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</si>
  <si>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</si>
  <si>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</si>
  <si>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</si>
  <si>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</si>
  <si>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</si>
  <si>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</si>
  <si>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</si>
  <si>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</si>
  <si>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</si>
  <si>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</si>
  <si>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</si>
  <si>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</si>
  <si>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</si>
  <si>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</si>
  <si>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</si>
  <si>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</si>
  <si>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</si>
  <si>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</si>
  <si>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</si>
  <si>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</si>
  <si>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</si>
  <si>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</si>
  <si>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</si>
  <si>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</si>
  <si>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</si>
  <si>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</si>
  <si>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</si>
  <si>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</si>
  <si>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</si>
  <si>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</si>
  <si>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</si>
  <si>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</si>
  <si>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</si>
  <si>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</si>
  <si>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</si>
  <si>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</si>
  <si>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</si>
  <si>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</si>
  <si>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</si>
  <si>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</si>
  <si>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</si>
  <si>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</si>
  <si>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</si>
  <si>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</si>
  <si>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</si>
  <si>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</si>
  <si>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</si>
  <si>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</si>
  <si>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</si>
  <si>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</si>
  <si>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</si>
  <si>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</si>
  <si>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</si>
  <si>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</si>
  <si>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</si>
  <si>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</si>
  <si>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</si>
  <si>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</si>
  <si>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</si>
  <si>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</si>
  <si>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</si>
  <si>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</si>
  <si>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</si>
  <si>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</si>
  <si>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</si>
  <si>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</si>
  <si>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</si>
  <si>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</si>
  <si>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</si>
  <si>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</si>
  <si>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</si>
  <si>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</si>
  <si>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</si>
  <si>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</si>
  <si>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</si>
  <si>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</si>
  <si>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</si>
  <si>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</si>
  <si>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</si>
  <si>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</si>
  <si>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</si>
  <si>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</si>
  <si>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</si>
  <si>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</si>
  <si>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</si>
  <si>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</si>
  <si>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</si>
  <si>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</si>
  <si>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</si>
  <si>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</si>
  <si>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</si>
  <si>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</si>
  <si>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</si>
  <si>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</si>
  <si>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</si>
  <si>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</si>
  <si>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</si>
  <si>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</si>
  <si>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</si>
  <si>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</si>
  <si>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</si>
  <si>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</si>
  <si>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</si>
  <si>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</si>
  <si>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</si>
  <si>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</si>
  <si>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</si>
  <si>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</si>
  <si>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</si>
  <si>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</si>
  <si>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</si>
  <si>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</si>
  <si>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</si>
  <si>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</si>
  <si>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</si>
  <si>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</si>
  <si>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</si>
  <si>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</si>
  <si>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</si>
  <si>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</si>
  <si>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</si>
  <si>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</si>
  <si>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</si>
  <si>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</si>
  <si>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</si>
  <si>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</si>
  <si>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</si>
  <si>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</si>
  <si>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</si>
  <si>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</si>
  <si>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</si>
  <si>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</si>
  <si>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</si>
  <si>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</si>
  <si>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</si>
  <si>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</si>
  <si>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</si>
  <si>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</si>
  <si>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</si>
  <si>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</si>
  <si>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</si>
  <si>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</si>
  <si>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</si>
  <si>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</si>
  <si>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</si>
  <si>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</si>
  <si>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</si>
  <si>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</si>
  <si>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</si>
  <si>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</si>
  <si>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</si>
  <si>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</si>
  <si>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</si>
  <si>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</si>
  <si>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</si>
  <si>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</si>
  <si>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</si>
  <si>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</si>
  <si>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</si>
  <si>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</si>
  <si>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</si>
  <si>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</si>
  <si>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</si>
  <si>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</si>
  <si>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</si>
  <si>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</si>
  <si>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</si>
  <si>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</si>
  <si>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</si>
  <si>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</si>
  <si>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</si>
  <si>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</si>
  <si>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</si>
  <si>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</si>
  <si>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</si>
  <si>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</si>
  <si>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</si>
  <si>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</si>
  <si>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</si>
  <si>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</si>
  <si>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</si>
  <si>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</si>
  <si>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</si>
  <si>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</si>
  <si>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</si>
  <si>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</si>
  <si>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</si>
  <si>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</si>
  <si>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</si>
  <si>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</si>
  <si>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</si>
  <si>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</si>
  <si>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</si>
  <si>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</si>
  <si>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</si>
  <si>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</si>
  <si>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</si>
  <si>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</si>
  <si>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</si>
  <si>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</si>
  <si>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</si>
  <si>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</si>
  <si>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</si>
  <si>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</si>
  <si>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</si>
  <si>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</si>
  <si>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</si>
  <si>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</si>
  <si>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</si>
  <si>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</si>
  <si>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</si>
  <si>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</si>
  <si>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</si>
  <si>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</si>
  <si>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</si>
  <si>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</si>
  <si>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</si>
  <si>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</si>
  <si>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</si>
  <si>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</si>
  <si>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</si>
  <si>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</si>
  <si>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</si>
  <si>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</si>
  <si>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</si>
  <si>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</si>
  <si>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</si>
  <si>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</si>
  <si>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</si>
  <si>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</si>
  <si>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</si>
  <si>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</si>
  <si>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</si>
  <si>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</si>
  <si>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</si>
  <si>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</si>
  <si>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</si>
  <si>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</si>
  <si>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</si>
  <si>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</si>
  <si>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</si>
  <si>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</si>
  <si>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</si>
  <si>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</si>
  <si>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</si>
  <si>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</si>
  <si>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</si>
  <si>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</si>
  <si>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</si>
  <si>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</si>
  <si>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</si>
  <si>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</si>
  <si>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</si>
  <si>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</si>
  <si>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</si>
  <si>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</si>
  <si>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</si>
  <si>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</si>
  <si>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</si>
  <si>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</si>
  <si>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</si>
  <si>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</si>
  <si>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</si>
  <si>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</si>
  <si>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</si>
  <si>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</si>
  <si>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</si>
  <si>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</si>
  <si>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</si>
  <si>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</si>
  <si>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</si>
  <si>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</si>
  <si>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</si>
  <si>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</si>
  <si>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</si>
  <si>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</si>
  <si>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</si>
  <si>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</si>
  <si>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</si>
  <si>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</si>
  <si>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</si>
  <si>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</si>
  <si>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</si>
  <si>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</si>
  <si>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</si>
  <si>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</si>
  <si>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</si>
  <si>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</si>
  <si>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</si>
  <si>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</si>
  <si>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</si>
  <si>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</si>
  <si>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</si>
  <si>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</si>
  <si>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</si>
  <si>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</si>
  <si>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</si>
  <si>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</si>
  <si>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</si>
  <si>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</si>
  <si>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</si>
  <si>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</si>
  <si>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</si>
  <si>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</si>
  <si>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</si>
  <si>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</si>
  <si>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</si>
  <si>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</si>
  <si>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</si>
  <si>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</si>
  <si>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</si>
  <si>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</si>
  <si>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</si>
  <si>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</si>
  <si>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</si>
  <si>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</si>
  <si>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</si>
  <si>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</si>
  <si>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</si>
  <si>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</si>
  <si>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</si>
  <si>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</si>
  <si>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</si>
  <si>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</si>
  <si>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</si>
  <si>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</si>
  <si>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</si>
  <si>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</si>
  <si>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</si>
  <si>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</si>
  <si>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</si>
  <si>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</si>
  <si>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</si>
  <si>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</si>
  <si>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</si>
  <si>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</si>
  <si>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</si>
  <si>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</si>
  <si>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</si>
  <si>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</si>
  <si>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</si>
  <si>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</si>
  <si>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</si>
  <si>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</si>
  <si>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</si>
  <si>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</si>
  <si>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</si>
  <si>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</si>
  <si>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</si>
  <si>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</si>
  <si>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</si>
  <si>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</si>
  <si>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</si>
  <si>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</si>
  <si>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</si>
  <si>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</si>
  <si>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</si>
  <si>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</si>
  <si>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</si>
  <si>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</si>
  <si>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</si>
  <si>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</si>
  <si>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</si>
  <si>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</si>
  <si>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</si>
  <si>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</si>
  <si>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</si>
  <si>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</si>
  <si>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</si>
  <si>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</si>
  <si>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</si>
  <si>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</si>
  <si>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</si>
  <si>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</si>
  <si>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</si>
  <si>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</si>
  <si>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</si>
  <si>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</si>
  <si>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</si>
  <si>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</si>
  <si>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</si>
  <si>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</si>
  <si>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</si>
  <si>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</si>
  <si>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</si>
  <si>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</si>
  <si>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</si>
  <si>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</si>
  <si>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</si>
  <si>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</si>
  <si>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</si>
  <si>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</si>
  <si>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</si>
  <si>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</si>
  <si>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</si>
  <si>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</si>
  <si>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</si>
  <si>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</si>
  <si>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</si>
  <si>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</si>
  <si>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</si>
  <si>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</si>
  <si>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</si>
  <si>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</si>
  <si>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</si>
  <si>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</si>
  <si>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</si>
  <si>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</si>
  <si>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</si>
  <si>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</si>
  <si>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</si>
  <si>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</si>
  <si>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</si>
  <si>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</si>
  <si>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</si>
  <si>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</si>
  <si>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</si>
  <si>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</si>
  <si>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</si>
  <si>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</si>
  <si>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</si>
  <si>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</si>
  <si>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</si>
  <si>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</si>
  <si>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</si>
  <si>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</si>
  <si>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</si>
  <si>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</si>
  <si>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</si>
  <si>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</si>
  <si>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</si>
  <si>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</si>
  <si>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</si>
  <si>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</si>
  <si>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</si>
  <si>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</si>
  <si>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</si>
  <si>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</si>
  <si>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</si>
  <si>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</si>
  <si>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</si>
  <si>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</si>
  <si>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</si>
  <si>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</si>
  <si>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</si>
  <si>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</si>
  <si>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</si>
  <si>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</si>
  <si>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</si>
  <si>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</si>
  <si>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</si>
  <si>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</si>
  <si>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</si>
  <si>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</si>
  <si>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</si>
  <si>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</si>
  <si>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</si>
  <si>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</si>
  <si>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</si>
  <si>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</si>
  <si>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</si>
  <si>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</si>
  <si>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</si>
  <si>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</si>
  <si>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</si>
  <si>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</si>
  <si>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</si>
  <si>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</si>
  <si>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</si>
  <si>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</si>
  <si>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</si>
  <si>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</si>
  <si>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</si>
  <si>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</si>
  <si>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</si>
  <si>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</si>
  <si>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</si>
  <si>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</si>
  <si>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</si>
  <si>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</si>
  <si>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</si>
  <si>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</si>
  <si>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</si>
  <si>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</si>
  <si>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</si>
  <si>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</si>
  <si>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</si>
  <si>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</si>
  <si>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</si>
  <si>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</si>
  <si>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</si>
  <si>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</si>
  <si>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</si>
  <si>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</si>
  <si>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</si>
  <si>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</si>
  <si>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</si>
  <si>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</si>
  <si>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</si>
  <si>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</si>
  <si>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</si>
  <si>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</si>
  <si>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</si>
  <si>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</si>
  <si>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</si>
  <si>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</si>
  <si>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</si>
  <si>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</si>
  <si>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</si>
  <si>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</si>
  <si>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</si>
  <si>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</si>
  <si>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</si>
  <si>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</si>
  <si>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</si>
  <si>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</si>
  <si>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</si>
  <si>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</si>
  <si>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</si>
  <si>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</si>
  <si>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</si>
  <si>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</si>
  <si>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</si>
  <si>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</si>
  <si>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</si>
  <si>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</si>
  <si>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</si>
  <si>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</si>
  <si>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</si>
  <si>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</si>
  <si>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</si>
  <si>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</si>
  <si>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</si>
  <si>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</si>
  <si>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</si>
  <si>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</si>
  <si>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</si>
  <si>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</si>
  <si>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</si>
  <si>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</si>
  <si>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</si>
  <si>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</si>
  <si>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</si>
  <si>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</si>
  <si>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</si>
  <si>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</si>
  <si>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</si>
  <si>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</si>
  <si>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</si>
  <si>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</si>
  <si>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</si>
  <si>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</si>
  <si>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</si>
  <si>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</si>
  <si>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</si>
  <si>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</si>
  <si>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</si>
  <si>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</si>
  <si>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</si>
  <si>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</si>
  <si>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</si>
  <si>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</si>
  <si>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</si>
  <si>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</si>
  <si>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</si>
  <si>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</si>
  <si>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</si>
  <si>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</si>
  <si>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</si>
  <si>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</si>
  <si>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</si>
  <si>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</si>
  <si>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</si>
  <si>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</si>
  <si>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</si>
  <si>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</si>
  <si>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</si>
  <si>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</si>
  <si>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</si>
  <si>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</si>
  <si>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</si>
  <si>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</si>
  <si>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</si>
  <si>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</si>
  <si>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</si>
  <si>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</si>
  <si>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</si>
  <si>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</si>
  <si>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</si>
  <si>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</si>
  <si>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</si>
  <si>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</si>
  <si>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</si>
  <si>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</si>
  <si>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</si>
  <si>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</si>
  <si>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</si>
  <si>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</si>
  <si>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</si>
  <si>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</si>
  <si>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</si>
  <si>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</si>
  <si>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</si>
  <si>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</si>
  <si>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</si>
  <si>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</si>
  <si>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</si>
  <si>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</si>
  <si>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</si>
  <si>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</si>
  <si>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</si>
  <si>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</si>
  <si>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</si>
  <si>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</si>
  <si>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</si>
  <si>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</si>
  <si>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</si>
  <si>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</si>
  <si>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</si>
  <si>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</si>
  <si>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</si>
  <si>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</si>
  <si>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</si>
  <si>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</si>
  <si>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</si>
  <si>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</si>
  <si>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</si>
  <si>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</si>
  <si>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</si>
  <si>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</si>
  <si>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</si>
  <si>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</si>
  <si>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</si>
  <si>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</si>
  <si>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</si>
  <si>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</si>
  <si>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</si>
  <si>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</si>
  <si>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</si>
  <si>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</si>
  <si>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</si>
  <si>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</si>
  <si>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</si>
  <si>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</si>
  <si>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</si>
  <si>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</si>
  <si>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</si>
  <si>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</si>
  <si>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</si>
  <si>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</si>
  <si>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</si>
  <si>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</si>
  <si>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</si>
  <si>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</si>
  <si>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</si>
  <si>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</si>
  <si>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</si>
  <si>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</si>
  <si>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</si>
  <si>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</si>
  <si>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</si>
  <si>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</si>
  <si>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</si>
  <si>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</si>
  <si>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</si>
  <si>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</si>
  <si>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</si>
  <si>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</si>
  <si>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</si>
  <si>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</si>
  <si>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</si>
  <si>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</si>
  <si>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</si>
  <si>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</si>
  <si>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</si>
  <si>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</si>
  <si>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</si>
  <si>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</si>
  <si>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</si>
  <si>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</si>
  <si>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</si>
  <si>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</si>
  <si>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</si>
  <si>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</si>
  <si>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</si>
  <si>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</si>
  <si>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</si>
  <si>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</si>
  <si>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</si>
  <si>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</si>
  <si>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</si>
  <si>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</si>
  <si>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</si>
  <si>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</si>
  <si>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</si>
  <si>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</si>
  <si>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</si>
  <si>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</si>
  <si>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</si>
  <si>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</si>
  <si>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</si>
  <si>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</si>
  <si>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</si>
  <si>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</si>
  <si>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</si>
  <si>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</si>
  <si>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</si>
  <si>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</si>
  <si>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</si>
  <si>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</si>
  <si>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</si>
  <si>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</si>
  <si>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</si>
  <si>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</si>
  <si>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</si>
  <si>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</si>
  <si>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</si>
  <si>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</si>
  <si>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</si>
  <si>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</si>
  <si>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</si>
  <si>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</si>
  <si>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</si>
  <si>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</si>
  <si>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</si>
  <si>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</si>
  <si>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</si>
  <si>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</si>
  <si>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</si>
  <si>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</si>
  <si>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</si>
  <si>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</si>
  <si>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</si>
  <si>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</si>
  <si>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</si>
  <si>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</si>
  <si>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</si>
  <si>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</si>
  <si>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</si>
  <si>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</si>
  <si>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</si>
  <si>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</si>
  <si>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</si>
  <si>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</si>
  <si>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</si>
  <si>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</si>
  <si>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</si>
  <si>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</si>
  <si>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</si>
  <si>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</si>
  <si>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</si>
  <si>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</si>
  <si>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</si>
  <si>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</si>
  <si>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</si>
  <si>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</si>
  <si>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</si>
  <si>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</si>
  <si>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</si>
  <si>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</si>
  <si>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</si>
  <si>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</si>
  <si>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</si>
  <si>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</si>
  <si>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</si>
  <si>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</si>
  <si>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</si>
  <si>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</si>
  <si>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</si>
  <si>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</si>
  <si>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</si>
  <si>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</si>
  <si>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</si>
  <si>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</si>
  <si>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</si>
  <si>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</si>
  <si>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</si>
  <si>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</si>
  <si>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</si>
  <si>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</si>
  <si>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</si>
  <si>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</si>
  <si>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</si>
  <si>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</si>
  <si>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</si>
  <si>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</si>
  <si>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</si>
  <si>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</si>
  <si>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</si>
  <si>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</si>
  <si>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</si>
  <si>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</si>
  <si>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</si>
  <si>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</si>
  <si>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</si>
  <si>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</si>
  <si>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</si>
  <si>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</si>
  <si>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</si>
  <si>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</si>
  <si>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</si>
  <si>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</si>
  <si>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</si>
  <si>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</si>
  <si>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</si>
  <si>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</si>
  <si>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</si>
  <si>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</si>
  <si>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</si>
  <si>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</si>
  <si>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</si>
  <si>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</si>
  <si>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</si>
  <si>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</si>
  <si>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</si>
  <si>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</si>
  <si>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</si>
  <si>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</si>
  <si>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</si>
  <si>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</si>
  <si>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</si>
  <si>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</si>
  <si>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</si>
  <si>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</si>
  <si>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</si>
  <si>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</si>
  <si>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</si>
  <si>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</si>
  <si>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</si>
  <si>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</si>
  <si>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</si>
  <si>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</si>
  <si>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</si>
  <si>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</si>
  <si>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</si>
  <si>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</si>
  <si>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</si>
  <si>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</si>
  <si>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</si>
  <si>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</si>
  <si>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</si>
  <si>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</si>
  <si>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</si>
  <si>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</si>
  <si>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</si>
  <si>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</si>
  <si>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</si>
  <si>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</si>
  <si>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</si>
  <si>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</si>
  <si>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</si>
  <si>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</si>
  <si>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</si>
  <si>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</si>
  <si>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</si>
  <si>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</si>
  <si>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</si>
  <si>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</si>
  <si>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</si>
  <si>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</si>
  <si>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</si>
  <si>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</si>
  <si>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</si>
  <si>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</si>
  <si>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</si>
  <si>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</si>
  <si>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</si>
  <si>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</si>
  <si>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</si>
  <si>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</si>
  <si>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</si>
  <si>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</si>
  <si>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</si>
  <si>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</si>
  <si>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</si>
  <si>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</si>
  <si>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</si>
  <si>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</si>
  <si>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</si>
  <si>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</si>
  <si>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</si>
  <si>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</si>
  <si>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</si>
  <si>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</si>
  <si>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</si>
  <si>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</si>
  <si>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</si>
  <si>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</si>
  <si>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</si>
  <si>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</si>
  <si>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</si>
  <si>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</si>
  <si>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</si>
  <si>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</si>
  <si>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</si>
  <si>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</si>
  <si>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</si>
  <si>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</si>
  <si>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</si>
  <si>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</si>
  <si>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</si>
  <si>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</si>
  <si>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</si>
  <si>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</si>
  <si>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</si>
  <si>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</si>
  <si>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</si>
  <si>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</si>
  <si>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</si>
  <si>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</si>
  <si>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</si>
  <si>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</si>
  <si>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</si>
  <si>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</si>
  <si>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</si>
  <si>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</si>
  <si>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</si>
  <si>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</si>
  <si>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</si>
  <si>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</si>
  <si>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</si>
  <si>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</si>
  <si>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</si>
  <si>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</si>
  <si>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</si>
  <si>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</si>
  <si>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</si>
  <si>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</si>
  <si>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</si>
  <si>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</si>
  <si>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</si>
  <si>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</si>
  <si>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</si>
  <si>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</si>
  <si>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</si>
  <si>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</si>
  <si>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</si>
  <si>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</si>
  <si>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</si>
  <si>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</si>
  <si>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</si>
  <si>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</si>
  <si>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</si>
  <si>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</si>
  <si>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</si>
  <si>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</si>
  <si>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</si>
  <si>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</si>
  <si>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</si>
  <si>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</si>
  <si>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</si>
  <si>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</si>
  <si>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</si>
  <si>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</si>
  <si>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</si>
  <si>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</si>
  <si>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</si>
  <si>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</si>
  <si>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</si>
  <si>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</si>
  <si>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</si>
  <si>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</si>
  <si>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</si>
  <si>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</si>
  <si>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</si>
  <si>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</si>
  <si>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</si>
  <si>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</si>
  <si>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</si>
  <si>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</si>
  <si>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</si>
  <si>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</si>
  <si>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</si>
  <si>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</si>
  <si>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</si>
  <si>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</si>
  <si>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</si>
  <si>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</si>
  <si>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</si>
  <si>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</si>
  <si>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</si>
  <si>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</si>
  <si>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</si>
  <si>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</si>
  <si>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</si>
  <si>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</si>
  <si>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</si>
  <si>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</si>
  <si>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</si>
  <si>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</si>
  <si>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</si>
  <si>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</si>
  <si>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</si>
  <si>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</si>
  <si>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</si>
  <si>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</si>
  <si>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</si>
  <si>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</si>
  <si>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</si>
  <si>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</si>
  <si>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</si>
  <si>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</si>
  <si>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</si>
  <si>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</si>
  <si>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</si>
  <si>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</si>
  <si>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</si>
  <si>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</si>
  <si>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</si>
  <si>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</si>
  <si>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</si>
  <si>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</si>
  <si>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</si>
  <si>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</si>
  <si>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</si>
  <si>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</si>
  <si>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</si>
  <si>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</si>
  <si>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</si>
  <si>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</si>
  <si>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</si>
  <si>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</si>
  <si>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</si>
  <si>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</si>
  <si>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</si>
  <si>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</si>
  <si>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</si>
  <si>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</si>
  <si>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</si>
  <si>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</si>
  <si>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</si>
  <si>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</si>
  <si>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</si>
  <si>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</si>
  <si>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</si>
  <si>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</si>
  <si>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</si>
  <si>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</si>
  <si>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</si>
  <si>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</si>
  <si>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</si>
  <si>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</si>
  <si>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</si>
  <si>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</si>
  <si>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</si>
  <si>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</si>
  <si>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</si>
  <si>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</si>
  <si>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</si>
  <si>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</si>
  <si>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</si>
  <si>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</si>
  <si>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</si>
  <si>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</si>
  <si>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</si>
  <si>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</si>
  <si>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</si>
  <si>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</si>
  <si>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</si>
  <si>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</si>
  <si>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</si>
  <si>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</si>
  <si>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</si>
  <si>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</si>
  <si>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</si>
  <si>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</si>
  <si>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</si>
  <si>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</si>
  <si>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</si>
  <si>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</si>
  <si>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</si>
  <si>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</si>
  <si>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</si>
  <si>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</si>
  <si>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</si>
  <si>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</si>
  <si>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</si>
  <si>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</si>
  <si>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</si>
  <si>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</si>
  <si>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</si>
  <si>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</si>
  <si>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</si>
  <si>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</si>
  <si>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</si>
  <si>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</si>
  <si>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</si>
  <si>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</si>
  <si>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</si>
  <si>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</si>
  <si>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</si>
  <si>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</si>
  <si>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</si>
  <si>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</si>
  <si>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</si>
  <si>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</si>
  <si>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</si>
  <si>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</si>
  <si>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</si>
  <si>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</si>
  <si>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</si>
  <si>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</si>
  <si>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</si>
  <si>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</si>
  <si>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</si>
  <si>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</si>
  <si>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</si>
  <si>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</si>
  <si>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</si>
  <si>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</si>
  <si>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</si>
  <si>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</si>
  <si>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</si>
  <si>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</si>
  <si>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</si>
  <si>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</si>
  <si>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</si>
  <si>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</si>
  <si>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</si>
  <si>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</si>
  <si>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</si>
  <si>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</si>
  <si>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</si>
  <si>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</si>
  <si>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</si>
  <si>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</si>
  <si>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</si>
  <si>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</si>
  <si>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</si>
  <si>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</si>
  <si>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</si>
  <si>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</si>
  <si>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</si>
  <si>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</si>
  <si>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</si>
  <si>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</si>
  <si>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</si>
  <si>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</si>
  <si>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</si>
  <si>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</si>
  <si>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</si>
  <si>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</si>
  <si>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</si>
  <si>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</si>
  <si>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</si>
  <si>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</si>
  <si>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</si>
  <si>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</si>
  <si>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</si>
  <si>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</si>
  <si>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</si>
  <si>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</si>
  <si>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</si>
  <si>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</si>
  <si>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</si>
  <si>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</si>
  <si>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</si>
  <si>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</si>
  <si>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</si>
  <si>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</si>
  <si>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</si>
  <si>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</si>
  <si>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</si>
  <si>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</si>
  <si>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</si>
  <si>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</si>
  <si>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</si>
  <si>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</si>
  <si>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</si>
  <si>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</si>
  <si>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</si>
  <si>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</si>
  <si>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</si>
  <si>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</si>
  <si>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</si>
  <si>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</si>
  <si>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</si>
  <si>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</si>
  <si>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</si>
  <si>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</si>
  <si>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</si>
  <si>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</si>
  <si>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</si>
  <si>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</si>
  <si>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</si>
  <si>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</si>
  <si>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</si>
  <si>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</si>
  <si>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</si>
  <si>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</si>
  <si>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</si>
  <si>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</si>
  <si>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</si>
  <si>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</si>
  <si>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</si>
  <si>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</si>
  <si>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</si>
  <si>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</si>
  <si>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</si>
  <si>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</si>
  <si>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</si>
  <si>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</si>
  <si>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</si>
  <si>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</si>
  <si>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</si>
  <si>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</si>
  <si>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</si>
  <si>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</si>
  <si>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</si>
  <si>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</si>
  <si>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</si>
  <si>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</si>
  <si>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</si>
  <si>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</si>
  <si>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</si>
  <si>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</si>
  <si>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</si>
  <si>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</si>
  <si>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</si>
  <si>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</si>
  <si>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</si>
  <si>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</si>
  <si>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</si>
  <si>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</si>
  <si>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</si>
  <si>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</si>
  <si>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</si>
  <si>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</si>
  <si>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</si>
  <si>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</si>
  <si>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</si>
  <si>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</si>
  <si>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</si>
  <si>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</si>
  <si>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</si>
  <si>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</si>
  <si>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</si>
  <si>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</si>
  <si>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</si>
  <si>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</si>
  <si>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</si>
  <si>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</si>
  <si>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</si>
  <si>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</si>
  <si>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</si>
  <si>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</si>
  <si>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</si>
  <si>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</si>
  <si>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</si>
  <si>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</si>
  <si>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</si>
  <si>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</si>
  <si>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</si>
  <si>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</si>
  <si>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</si>
  <si>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</si>
  <si>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</si>
  <si>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</si>
  <si>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</si>
  <si>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</si>
  <si>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</si>
  <si>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</si>
  <si>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</si>
  <si>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</si>
  <si>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</si>
  <si>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</si>
  <si>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</si>
  <si>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</si>
  <si>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</si>
  <si>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</si>
  <si>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</si>
  <si>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</si>
  <si>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</si>
  <si>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</si>
  <si>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</si>
  <si>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</si>
  <si>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</si>
  <si>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</si>
  <si>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</si>
  <si>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</si>
  <si>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</si>
  <si>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</si>
  <si>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</si>
  <si>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</si>
  <si>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</si>
  <si>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</si>
  <si>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</si>
  <si>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</si>
  <si>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</si>
  <si>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</si>
  <si>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</si>
  <si>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</si>
  <si>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</si>
  <si>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</si>
  <si>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</si>
  <si>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</si>
  <si>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</si>
  <si>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</si>
  <si>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</si>
  <si>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</si>
  <si>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</si>
  <si>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</si>
  <si>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</si>
  <si>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</si>
  <si>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</si>
  <si>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</si>
  <si>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</si>
  <si>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</si>
  <si>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</si>
  <si>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</si>
  <si>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</si>
  <si>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</si>
  <si>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</si>
  <si>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</si>
  <si>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</si>
  <si>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</si>
  <si>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</si>
  <si>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</si>
  <si>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</si>
  <si>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</si>
  <si>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</si>
  <si>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</si>
  <si>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</si>
  <si>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</si>
  <si>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</si>
  <si>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</si>
  <si>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</si>
  <si>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</si>
  <si>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</si>
  <si>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</si>
  <si>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</si>
  <si>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</si>
  <si>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</si>
  <si>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</si>
  <si>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</si>
  <si>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</si>
  <si>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</si>
  <si>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</si>
  <si>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</si>
  <si>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</si>
  <si>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</si>
  <si>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</si>
  <si>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</si>
  <si>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</si>
  <si>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</si>
  <si>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</si>
  <si>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</si>
  <si>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</si>
  <si>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</si>
  <si>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</si>
  <si>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</si>
  <si>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</si>
  <si>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</si>
  <si>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</si>
  <si>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</si>
  <si>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</si>
  <si>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</si>
  <si>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</si>
  <si>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</si>
  <si>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</si>
  <si>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</si>
  <si>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</si>
  <si>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</si>
  <si>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</si>
  <si>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</si>
  <si>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</si>
  <si>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</si>
  <si>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</si>
  <si>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</si>
  <si>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</si>
  <si>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</si>
  <si>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</si>
  <si>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</si>
  <si>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</si>
  <si>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</si>
  <si>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</si>
  <si>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</si>
  <si>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</si>
  <si>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</si>
  <si>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</si>
  <si>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</si>
  <si>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</si>
  <si>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</si>
  <si>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</si>
  <si>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</si>
  <si>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</si>
  <si>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</si>
  <si>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</si>
  <si>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</si>
  <si>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</si>
  <si>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</si>
  <si>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</si>
  <si>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</si>
  <si>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</si>
  <si>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</si>
  <si>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</si>
  <si>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</si>
  <si>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</si>
  <si>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</si>
  <si>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</si>
  <si>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</si>
  <si>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</si>
  <si>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</si>
  <si>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</si>
  <si>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</si>
  <si>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</si>
  <si>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</si>
  <si>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</si>
  <si>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</si>
  <si>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</si>
  <si>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</si>
  <si>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</si>
  <si>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</si>
  <si>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</si>
  <si>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</si>
  <si>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</si>
  <si>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</si>
  <si>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</si>
  <si>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</si>
  <si>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</si>
  <si>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</si>
  <si>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</si>
  <si>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</si>
  <si>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</si>
  <si>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</si>
  <si>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</si>
  <si>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</si>
  <si>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</si>
  <si>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</si>
  <si>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</si>
  <si>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</si>
  <si>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</si>
  <si>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</si>
  <si>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</si>
  <si>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</si>
  <si>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</si>
  <si>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</si>
  <si>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</si>
  <si>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</si>
  <si>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</si>
  <si>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</si>
  <si>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</si>
  <si>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</si>
  <si>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</si>
  <si>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</si>
  <si>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</si>
  <si>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</si>
  <si>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</si>
  <si>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</si>
  <si>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</si>
  <si>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</si>
  <si>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</si>
  <si>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</si>
  <si>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</si>
  <si>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</si>
  <si>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</si>
  <si>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</si>
  <si>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</si>
  <si>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</si>
  <si>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</si>
  <si>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</si>
  <si>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</si>
  <si>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</si>
  <si>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</si>
  <si>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</si>
  <si>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</si>
  <si>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</si>
  <si>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</si>
  <si>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</si>
  <si>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</si>
  <si>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</si>
  <si>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</si>
  <si>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</si>
  <si>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</si>
  <si>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</si>
  <si>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</si>
  <si>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</si>
  <si>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</si>
  <si>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</si>
  <si>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</si>
  <si>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</si>
  <si>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</si>
  <si>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</si>
  <si>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</si>
  <si>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</si>
  <si>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</si>
  <si>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</si>
  <si>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</si>
  <si>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</si>
  <si>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</si>
  <si>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</si>
  <si>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</si>
  <si>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</si>
  <si>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</si>
  <si>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</si>
  <si>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</si>
  <si>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</si>
  <si>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</si>
  <si>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</si>
  <si>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</si>
  <si>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</si>
  <si>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</si>
  <si>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</si>
  <si>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</si>
  <si>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</si>
  <si>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</si>
  <si>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</si>
  <si>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</si>
  <si>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</si>
  <si>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</si>
  <si>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</si>
  <si>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</si>
  <si>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</si>
  <si>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</si>
  <si>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</si>
  <si>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</si>
  <si>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</si>
  <si>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</si>
  <si>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</si>
  <si>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</si>
  <si>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</si>
  <si>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</si>
  <si>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</si>
  <si>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</si>
  <si>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</si>
  <si>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</si>
  <si>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</si>
  <si>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</si>
  <si>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</si>
  <si>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</si>
  <si>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</si>
  <si>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</si>
  <si>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</si>
  <si>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</si>
  <si>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</si>
  <si>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</si>
  <si>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</si>
  <si>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</si>
  <si>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</si>
  <si>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</si>
  <si>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</si>
  <si>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</si>
  <si>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</si>
  <si>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</si>
  <si>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</si>
  <si>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</si>
  <si>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</si>
  <si>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</si>
  <si>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</si>
  <si>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</si>
  <si>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</si>
  <si>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</si>
  <si>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</si>
  <si>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</si>
  <si>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</si>
  <si>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</si>
  <si>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</si>
  <si>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</si>
  <si>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</si>
  <si>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</si>
  <si>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</si>
  <si>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</si>
  <si>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</si>
  <si>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</si>
  <si>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</si>
  <si>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</si>
  <si>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</si>
  <si>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</si>
  <si>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</si>
  <si>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</si>
  <si>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</si>
  <si>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</si>
  <si>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</si>
  <si>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</si>
  <si>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</si>
  <si>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</si>
  <si>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</si>
  <si>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</si>
  <si>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</si>
  <si>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</si>
  <si>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</si>
  <si>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</si>
  <si>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</si>
  <si>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</si>
  <si>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</si>
  <si>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</si>
  <si>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</si>
  <si>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</si>
  <si>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</si>
  <si>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</si>
  <si>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</si>
  <si>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</si>
  <si>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</si>
  <si>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</si>
  <si>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</si>
  <si>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</si>
  <si>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</si>
  <si>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</si>
  <si>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</si>
  <si>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</si>
  <si>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</si>
  <si>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</si>
  <si>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</si>
  <si>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</si>
  <si>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</si>
  <si>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</si>
  <si>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</si>
  <si>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</si>
  <si>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</si>
  <si>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</si>
  <si>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</si>
  <si>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</si>
  <si>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</si>
  <si>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</si>
  <si>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</si>
  <si>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</si>
  <si>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</si>
  <si>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</si>
  <si>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</si>
  <si>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</si>
  <si>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</si>
  <si>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</si>
  <si>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</si>
  <si>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</si>
  <si>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</si>
  <si>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</si>
  <si>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</si>
  <si>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</si>
  <si>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</si>
  <si>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</si>
  <si>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</si>
  <si>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</si>
  <si>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</si>
  <si>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</si>
  <si>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</si>
  <si>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</si>
  <si>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</si>
  <si>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</si>
  <si>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</si>
  <si>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</si>
  <si>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</si>
  <si>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</si>
  <si>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</si>
  <si>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</si>
  <si>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</si>
  <si>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</si>
  <si>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</si>
  <si>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</si>
  <si>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</si>
  <si>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</si>
  <si>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</si>
  <si>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</si>
  <si>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</si>
  <si>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</si>
  <si>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</si>
  <si>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</si>
  <si>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</si>
  <si>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</si>
  <si>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</si>
  <si>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</si>
  <si>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</si>
  <si>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</si>
  <si>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</si>
  <si>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</si>
  <si>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</si>
  <si>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</si>
  <si>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</si>
  <si>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</si>
  <si>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</si>
  <si>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</si>
  <si>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</si>
  <si>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</si>
  <si>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</si>
  <si>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</si>
  <si>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</si>
  <si>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</si>
  <si>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</si>
  <si>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</si>
  <si>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</si>
  <si>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</si>
  <si>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</si>
  <si>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</si>
  <si>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</si>
  <si>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</si>
  <si>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</si>
  <si>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</si>
  <si>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</si>
  <si>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</si>
  <si>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</si>
  <si>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</si>
  <si>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</si>
  <si>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</si>
  <si>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</si>
  <si>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</si>
  <si>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</si>
  <si>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</si>
  <si>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</si>
  <si>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</si>
  <si>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</si>
  <si>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</si>
  <si>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</si>
  <si>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</si>
  <si>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</si>
  <si>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</si>
  <si>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</si>
  <si>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</si>
  <si>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</si>
  <si>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</si>
  <si>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</si>
  <si>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</si>
  <si>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</si>
  <si>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</si>
  <si>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</si>
  <si>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</si>
  <si>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</si>
  <si>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</si>
  <si>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</si>
  <si>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</si>
  <si>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</si>
  <si>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</si>
  <si>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</si>
  <si>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</si>
  <si>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</si>
  <si>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</si>
  <si>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</si>
  <si>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</si>
  <si>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</si>
  <si>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</si>
  <si>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</si>
  <si>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</si>
  <si>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</si>
  <si>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</si>
  <si>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</si>
  <si>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</si>
  <si>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</si>
  <si>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</si>
  <si>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</si>
  <si>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</si>
  <si>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</si>
  <si>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</si>
  <si>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</si>
  <si>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</si>
  <si>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</si>
  <si>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</si>
  <si>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</si>
  <si>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</si>
  <si>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</si>
  <si>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</si>
  <si>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</si>
  <si>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</si>
  <si>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</si>
  <si>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</si>
  <si>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</si>
  <si>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</si>
  <si>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</si>
  <si>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</si>
  <si>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</si>
  <si>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</si>
  <si>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</si>
  <si>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</si>
  <si>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</si>
  <si>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</si>
  <si>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</si>
  <si>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</si>
  <si>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</si>
  <si>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</si>
  <si>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</si>
  <si>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</si>
  <si>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</si>
  <si>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</si>
  <si>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</si>
  <si>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</si>
  <si>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</si>
  <si>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</si>
  <si>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</si>
  <si>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</si>
  <si>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</si>
  <si>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</si>
  <si>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</si>
  <si>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</si>
  <si>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</si>
  <si>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</si>
  <si>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</si>
  <si>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</si>
  <si>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</si>
  <si>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</si>
  <si>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</si>
  <si>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</si>
  <si>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</si>
  <si>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</si>
  <si>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</si>
  <si>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</si>
  <si>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</si>
  <si>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</si>
  <si>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</si>
  <si>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</si>
  <si>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</si>
  <si>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</si>
  <si>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</si>
  <si>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</si>
  <si>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</si>
  <si>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</si>
  <si>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</si>
  <si>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</si>
  <si>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</si>
  <si>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</si>
  <si>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</si>
  <si>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</si>
  <si>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</si>
  <si>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</si>
  <si>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</si>
  <si>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</si>
  <si>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</si>
  <si>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</si>
  <si>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</si>
  <si>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</si>
  <si>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</si>
  <si>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</si>
  <si>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</si>
  <si>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</si>
  <si>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</si>
  <si>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</si>
  <si>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</si>
  <si>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</si>
  <si>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</si>
  <si>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</si>
  <si>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</si>
  <si>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</si>
  <si>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</si>
  <si>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</si>
  <si>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</si>
  <si>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</si>
  <si>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</si>
  <si>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</si>
  <si>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</si>
  <si>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</si>
  <si>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</si>
  <si>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</si>
  <si>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</si>
  <si>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</si>
  <si>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</si>
  <si>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</si>
  <si>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</si>
  <si>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</si>
  <si>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</si>
  <si>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</si>
  <si>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</si>
  <si>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</si>
  <si>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</si>
  <si>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</si>
  <si>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</si>
  <si>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</si>
  <si>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</si>
  <si>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</si>
  <si>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</si>
  <si>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</si>
  <si>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</si>
  <si>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</si>
  <si>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</si>
  <si>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</si>
  <si>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</si>
  <si>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</si>
  <si>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</si>
  <si>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</si>
  <si>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</si>
  <si>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</si>
  <si>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</si>
  <si>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</si>
  <si>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</si>
  <si>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</si>
  <si>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</si>
  <si>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</si>
  <si>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</si>
  <si>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</si>
  <si>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</si>
  <si>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</si>
  <si>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</si>
  <si>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</si>
  <si>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</si>
  <si>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</si>
  <si>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</si>
  <si>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</si>
  <si>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</si>
  <si>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</si>
  <si>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</si>
  <si>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</si>
  <si>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</si>
  <si>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</si>
  <si>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</si>
  <si>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</si>
  <si>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</si>
  <si>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</si>
  <si>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</si>
  <si>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</si>
  <si>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</si>
  <si>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</si>
  <si>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</si>
  <si>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</si>
  <si>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</si>
  <si>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</si>
  <si>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</si>
  <si>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</si>
  <si>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</si>
  <si>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</si>
  <si>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</si>
  <si>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</si>
  <si>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</si>
  <si>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</si>
  <si>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</si>
  <si>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</si>
  <si>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</si>
  <si>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</si>
  <si>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</si>
  <si>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</si>
  <si>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</si>
  <si>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</si>
  <si>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</si>
  <si>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</si>
  <si>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</si>
  <si>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</si>
  <si>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</si>
  <si>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</si>
  <si>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</si>
  <si>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</si>
  <si>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</si>
  <si>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</si>
  <si>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</si>
  <si>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</si>
  <si>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</si>
  <si>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</si>
  <si>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</si>
  <si>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</si>
  <si>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</si>
  <si>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</si>
  <si>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</si>
  <si>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</si>
  <si>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</si>
  <si>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</si>
  <si>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</si>
  <si>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</si>
  <si>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</si>
  <si>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</si>
  <si>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</si>
  <si>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</si>
  <si>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</si>
  <si>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</si>
  <si>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</si>
  <si>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</si>
  <si>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</si>
  <si>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</si>
  <si>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</si>
  <si>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</si>
  <si>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</si>
  <si>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</si>
  <si>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</si>
  <si>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</si>
  <si>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</si>
  <si>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</si>
  <si>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</si>
  <si>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</si>
  <si>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</si>
  <si>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</si>
  <si>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</si>
  <si>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</si>
  <si>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</si>
  <si>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</si>
  <si>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</si>
  <si>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</si>
  <si>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</si>
  <si>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</si>
  <si>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</si>
  <si>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</si>
  <si>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</si>
  <si>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</si>
  <si>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</si>
  <si>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</si>
  <si>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</si>
  <si>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</si>
  <si>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</si>
  <si>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</si>
  <si>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</si>
  <si>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</si>
  <si>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</si>
  <si>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</si>
  <si>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</si>
  <si>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</si>
  <si>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</si>
  <si>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</si>
  <si>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</si>
  <si>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</si>
  <si>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</si>
  <si>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</si>
  <si>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</si>
  <si>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</si>
  <si>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</si>
  <si>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</si>
  <si>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</si>
  <si>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</si>
  <si>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</si>
  <si>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</si>
  <si>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</si>
  <si>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</si>
  <si>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</si>
  <si>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</si>
  <si>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</si>
  <si>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</si>
  <si>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</si>
  <si>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</si>
  <si>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</si>
  <si>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</si>
  <si>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</si>
  <si>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</si>
  <si>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</si>
  <si>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</si>
  <si>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</si>
  <si>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</si>
  <si>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</si>
  <si>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</si>
  <si>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</si>
  <si>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</si>
  <si>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</si>
  <si>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</si>
  <si>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</si>
  <si>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</si>
  <si>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</si>
  <si>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</si>
  <si>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</si>
  <si>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</si>
  <si>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</si>
  <si>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</si>
  <si>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</si>
  <si>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</si>
  <si>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</si>
  <si>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</si>
  <si>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</si>
  <si>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</si>
  <si>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</si>
  <si>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</si>
  <si>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</si>
  <si>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</si>
  <si>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</si>
  <si>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</si>
  <si>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</si>
  <si>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</si>
  <si>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</si>
  <si>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</si>
  <si>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</si>
  <si>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</si>
  <si>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</si>
  <si>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</si>
  <si>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</si>
  <si>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</si>
  <si>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</si>
  <si>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</si>
  <si>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</si>
  <si>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</si>
  <si>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</si>
  <si>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</si>
  <si>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</si>
  <si>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</si>
  <si>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</si>
  <si>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</si>
  <si>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</si>
  <si>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</si>
  <si>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</si>
  <si>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</si>
  <si>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</si>
  <si>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</si>
  <si>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</si>
  <si>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</si>
  <si>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</si>
  <si>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</si>
  <si>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</si>
  <si>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</si>
  <si>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</si>
  <si>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</si>
  <si>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</si>
  <si>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</si>
  <si>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</si>
  <si>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</si>
  <si>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</si>
  <si>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</si>
  <si>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</si>
  <si>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</si>
  <si>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</si>
  <si>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</si>
  <si>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</si>
  <si>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</si>
  <si>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</si>
  <si>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</si>
  <si>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</si>
  <si>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</si>
  <si>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</si>
  <si>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</si>
  <si>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</si>
  <si>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</si>
  <si>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</si>
  <si>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</si>
  <si>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</si>
  <si>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</si>
  <si>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</si>
  <si>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</si>
  <si>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</si>
  <si>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</si>
  <si>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</si>
  <si>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</si>
  <si>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</si>
  <si>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</si>
  <si>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</si>
  <si>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</si>
  <si>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</si>
  <si>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</si>
  <si>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</si>
  <si>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</si>
  <si>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</si>
  <si>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</si>
  <si>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</si>
  <si>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</si>
  <si>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</si>
  <si>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</si>
  <si>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</si>
  <si>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</si>
  <si>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</si>
  <si>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</si>
  <si>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</si>
  <si>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</si>
  <si>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</si>
  <si>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</si>
  <si>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</si>
  <si>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</si>
  <si>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</si>
  <si>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</si>
  <si>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</si>
  <si>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</si>
  <si>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</si>
  <si>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</si>
  <si>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</si>
  <si>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</si>
  <si>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</si>
  <si>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</si>
  <si>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</si>
  <si>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</si>
  <si>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</si>
  <si>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</si>
  <si>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</si>
  <si>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</si>
  <si>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</si>
  <si>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</si>
  <si>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</si>
  <si>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</si>
  <si>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</si>
  <si>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</si>
  <si>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</si>
  <si>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</si>
  <si>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</si>
  <si>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</si>
  <si>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</si>
  <si>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</si>
  <si>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</si>
  <si>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</si>
  <si>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</si>
  <si>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</si>
  <si>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</si>
  <si>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</si>
  <si>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</si>
  <si>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</si>
  <si>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</si>
  <si>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</si>
  <si>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</si>
  <si>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</si>
  <si>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</si>
  <si>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</si>
  <si>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</si>
  <si>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</si>
  <si>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</si>
  <si>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</si>
  <si>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</si>
  <si>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</si>
  <si>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</si>
  <si>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</si>
  <si>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</si>
  <si>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</si>
  <si>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</si>
  <si>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</si>
  <si>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</si>
  <si>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</si>
  <si>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</si>
  <si>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</si>
  <si>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</si>
  <si>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</si>
  <si>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</si>
  <si>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</si>
  <si>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</si>
  <si>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</si>
  <si>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</si>
  <si>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</si>
  <si>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</si>
  <si>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</si>
  <si>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</si>
  <si>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</si>
  <si>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</si>
  <si>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</si>
  <si>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</si>
  <si>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</si>
  <si>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</si>
  <si>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</si>
  <si>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</si>
  <si>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</si>
  <si>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</si>
  <si>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</si>
  <si>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</si>
  <si>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</si>
  <si>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</si>
  <si>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</si>
  <si>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</si>
  <si>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</si>
  <si>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</si>
  <si>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</si>
  <si>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</si>
  <si>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</si>
  <si>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</si>
  <si>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</si>
  <si>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</si>
  <si>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</si>
  <si>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</si>
  <si>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</si>
  <si>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</si>
  <si>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</si>
  <si>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</si>
  <si>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</si>
  <si>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</si>
  <si>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</si>
  <si>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</si>
  <si>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</si>
  <si>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</si>
  <si>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</si>
  <si>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</si>
  <si>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</si>
  <si>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</si>
  <si>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</si>
  <si>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</si>
  <si>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</si>
  <si>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</si>
  <si>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</si>
  <si>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</si>
  <si>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</si>
  <si>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</si>
  <si>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</si>
  <si>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</si>
  <si>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</si>
  <si>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</si>
  <si>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</si>
  <si>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</si>
  <si>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</si>
  <si>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</si>
  <si>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</si>
  <si>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</si>
  <si>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</si>
  <si>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</si>
  <si>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</si>
  <si>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</si>
  <si>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</si>
  <si>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</si>
  <si>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</si>
  <si>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</si>
  <si>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</si>
  <si>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</si>
  <si>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</si>
  <si>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</si>
  <si>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</si>
  <si>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</si>
  <si>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</si>
  <si>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</si>
  <si>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</si>
  <si>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</si>
  <si>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</si>
  <si>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</si>
  <si>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</si>
  <si>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</si>
  <si>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</si>
  <si>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</si>
  <si>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</si>
  <si>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</si>
  <si>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</si>
  <si>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</si>
  <si>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</si>
  <si>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</si>
  <si>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</si>
  <si>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</si>
  <si>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</si>
  <si>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</si>
  <si>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</si>
  <si>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</si>
  <si>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</si>
  <si>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</si>
  <si>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</si>
  <si>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</si>
  <si>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</si>
  <si>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</si>
  <si>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</si>
  <si>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</si>
  <si>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</si>
  <si>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</si>
  <si>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</si>
  <si>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</si>
  <si>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</si>
  <si>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</si>
  <si>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</si>
  <si>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</si>
  <si>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</si>
  <si>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</si>
  <si>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</si>
  <si>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</si>
  <si>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</si>
  <si>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</si>
  <si>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</si>
  <si>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</si>
  <si>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</si>
  <si>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</si>
  <si>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</si>
  <si>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</si>
  <si>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</si>
  <si>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</si>
  <si>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</si>
  <si>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</si>
  <si>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</si>
  <si>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</si>
  <si>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</si>
  <si>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</si>
  <si>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</si>
  <si>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</si>
  <si>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</si>
  <si>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</si>
  <si>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</si>
  <si>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</si>
  <si>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</si>
  <si>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</si>
  <si>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</si>
  <si>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</si>
  <si>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</si>
  <si>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</si>
  <si>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</si>
  <si>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</si>
  <si>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</si>
  <si>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</si>
  <si>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</si>
  <si>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</si>
  <si>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</si>
  <si>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</si>
  <si>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</si>
  <si>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</si>
  <si>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</si>
  <si>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</si>
  <si>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</si>
  <si>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</si>
  <si>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</si>
  <si>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</si>
  <si>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</si>
  <si>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</si>
  <si>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</si>
  <si>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</si>
  <si>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</si>
  <si>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</si>
  <si>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</si>
  <si>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</si>
  <si>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</si>
  <si>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</si>
  <si>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</si>
  <si>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</si>
  <si>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</si>
  <si>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</si>
  <si>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</si>
  <si>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</si>
  <si>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</si>
  <si>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</si>
  <si>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</si>
  <si>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</si>
  <si>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</si>
  <si>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</si>
  <si>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</si>
  <si>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</si>
  <si>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</si>
  <si>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</si>
  <si>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</si>
  <si>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</si>
  <si>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</si>
  <si>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</si>
  <si>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</si>
  <si>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</si>
  <si>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</si>
  <si>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</si>
  <si>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</si>
  <si>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</si>
  <si>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</si>
  <si>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</si>
  <si>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</si>
  <si>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</si>
  <si>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</si>
  <si>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</si>
  <si>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</si>
  <si>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</si>
  <si>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</si>
  <si>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</si>
  <si>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</si>
  <si>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</si>
  <si>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</si>
  <si>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</si>
  <si>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</si>
  <si>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</si>
  <si>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</si>
  <si>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</si>
  <si>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</si>
  <si>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</si>
  <si>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</si>
  <si>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</si>
  <si>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</si>
  <si>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</si>
  <si>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</si>
  <si>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</si>
  <si>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</si>
  <si>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</si>
  <si>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</si>
  <si>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</si>
  <si>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</si>
  <si>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</si>
  <si>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</si>
  <si>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</si>
  <si>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</si>
  <si>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</si>
  <si>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</si>
  <si>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</si>
  <si>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</si>
  <si>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</si>
  <si>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</si>
  <si>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</si>
  <si>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</si>
  <si>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</si>
  <si>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</si>
  <si>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</si>
  <si>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</si>
  <si>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</si>
  <si>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</si>
  <si>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</si>
  <si>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</si>
  <si>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</si>
  <si>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</si>
  <si>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</si>
  <si>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</si>
  <si>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</si>
  <si>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</si>
  <si>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</si>
  <si>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</si>
  <si>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</si>
  <si>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</si>
  <si>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</si>
  <si>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</si>
  <si>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</si>
  <si>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</si>
  <si>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</si>
  <si>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</si>
  <si>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</si>
  <si>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</si>
  <si>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</si>
  <si>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</si>
  <si>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</si>
  <si>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</si>
  <si>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</si>
  <si>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</si>
  <si>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</si>
  <si>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</si>
  <si>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</si>
  <si>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</si>
  <si>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</si>
  <si>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</si>
  <si>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</si>
  <si>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</si>
  <si>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</si>
  <si>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</si>
  <si>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</si>
  <si>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</si>
  <si>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</si>
  <si>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</si>
  <si>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</si>
  <si>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</si>
  <si>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</si>
  <si>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</si>
  <si>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</si>
  <si>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</si>
  <si>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</si>
  <si>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</si>
  <si>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</si>
  <si>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</si>
  <si>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</si>
  <si>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</si>
  <si>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</si>
  <si>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</si>
  <si>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</si>
  <si>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</si>
  <si>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</si>
  <si>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</si>
  <si>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</si>
  <si>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</si>
  <si>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</si>
  <si>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</si>
  <si>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</si>
  <si>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</si>
  <si>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</si>
  <si>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</si>
  <si>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</si>
  <si>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</si>
  <si>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</si>
  <si>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</si>
  <si>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</si>
  <si>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</si>
  <si>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</si>
  <si>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</si>
  <si>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</si>
  <si>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</si>
  <si>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</si>
  <si>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</si>
  <si>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</si>
  <si>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</si>
  <si>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</si>
  <si>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</si>
  <si>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</si>
  <si>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</si>
  <si>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</si>
  <si>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</si>
  <si>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</si>
  <si>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</si>
  <si>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</si>
  <si>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</si>
  <si>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</si>
  <si>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</si>
  <si>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</si>
  <si>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</si>
  <si>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</si>
  <si>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</si>
  <si>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</si>
  <si>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</si>
  <si>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</si>
  <si>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</si>
  <si>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</si>
  <si>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</si>
  <si>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</si>
  <si>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</si>
  <si>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</si>
  <si>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</si>
  <si>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</si>
  <si>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</si>
  <si>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</si>
  <si>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</si>
  <si>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</si>
  <si>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</si>
  <si>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</si>
  <si>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</si>
  <si>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</si>
  <si>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</si>
  <si>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</si>
  <si>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</si>
  <si>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</si>
  <si>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</si>
  <si>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</si>
  <si>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</si>
  <si>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</si>
  <si>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</si>
  <si>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</si>
  <si>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</si>
  <si>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</si>
  <si>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</si>
  <si>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</si>
  <si>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</si>
  <si>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</si>
  <si>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</si>
  <si>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</si>
  <si>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</si>
  <si>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</si>
  <si>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</si>
  <si>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</si>
  <si>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</si>
  <si>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</si>
  <si>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</si>
  <si>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</si>
  <si>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</si>
  <si>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</si>
  <si>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</si>
  <si>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</si>
  <si>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</si>
  <si>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</si>
  <si>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</si>
  <si>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</si>
  <si>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</si>
  <si>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</si>
  <si>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</si>
  <si>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</si>
  <si>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</si>
  <si>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</si>
  <si>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</si>
  <si>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</si>
  <si>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</si>
  <si>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</si>
  <si>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</si>
  <si>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</si>
  <si>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</si>
  <si>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</si>
  <si>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</si>
  <si>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</si>
  <si>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</si>
  <si>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</si>
  <si>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</si>
  <si>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</si>
  <si>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</si>
  <si>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</si>
  <si>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</si>
  <si>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</si>
  <si>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</si>
  <si>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</si>
  <si>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</si>
  <si>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</si>
  <si>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</si>
  <si>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</si>
  <si>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</si>
  <si>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</si>
  <si>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</si>
  <si>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</si>
  <si>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</si>
  <si>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</si>
  <si>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</si>
  <si>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</si>
  <si>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</si>
  <si>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</si>
  <si>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</si>
  <si>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</si>
  <si>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</si>
  <si>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</si>
  <si>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</si>
  <si>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</si>
  <si>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</si>
  <si>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</si>
  <si>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</si>
  <si>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</si>
  <si>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</si>
  <si>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</si>
  <si>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</si>
  <si>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</si>
  <si>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</si>
  <si>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</si>
  <si>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</si>
  <si>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</si>
  <si>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</si>
  <si>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</si>
  <si>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</si>
  <si>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</si>
  <si>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</si>
  <si>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</si>
  <si>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</si>
  <si>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</si>
  <si>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</si>
  <si>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</si>
  <si>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</si>
  <si>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</si>
  <si>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</si>
  <si>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</si>
  <si>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</si>
  <si>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</si>
  <si>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</si>
  <si>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</si>
  <si>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</si>
  <si>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</si>
  <si>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</si>
  <si>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</si>
  <si>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</si>
  <si>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</si>
  <si>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</si>
  <si>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</si>
  <si>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</si>
  <si>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</si>
  <si>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</si>
  <si>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</si>
  <si>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</si>
  <si>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</si>
  <si>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</si>
  <si>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</si>
  <si>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</si>
  <si>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</si>
  <si>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</si>
  <si>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</si>
  <si>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</si>
  <si>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</si>
  <si>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</si>
  <si>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</si>
  <si>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</si>
  <si>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</si>
  <si>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</si>
  <si>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</si>
  <si>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</si>
  <si>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</si>
  <si>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</si>
  <si>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</si>
  <si>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</si>
  <si>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</si>
  <si>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</si>
  <si>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</si>
  <si>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</si>
  <si>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</si>
  <si>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</si>
  <si>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</si>
  <si>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</si>
  <si>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</si>
  <si>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</si>
  <si>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</si>
  <si>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</si>
  <si>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</si>
  <si>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</si>
  <si>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</si>
  <si>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</si>
  <si>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</si>
  <si>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</si>
  <si>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</si>
  <si>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</si>
  <si>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</si>
  <si>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</si>
  <si>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</si>
  <si>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</si>
  <si>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</si>
  <si>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</si>
  <si>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</si>
  <si>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</si>
  <si>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</si>
  <si>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</si>
  <si>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</si>
  <si>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</si>
  <si>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</si>
  <si>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</si>
  <si>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</si>
  <si>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</si>
  <si>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</si>
  <si>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</si>
  <si>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</si>
  <si>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</si>
  <si>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</si>
  <si>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</si>
  <si>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</si>
  <si>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</si>
  <si>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</si>
  <si>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</si>
  <si>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</si>
  <si>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</si>
  <si>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</si>
  <si>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</si>
  <si>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</si>
  <si>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</si>
  <si>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</si>
  <si>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</si>
  <si>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</si>
  <si>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</si>
  <si>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</si>
  <si>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</si>
  <si>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</si>
  <si>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</si>
  <si>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</si>
  <si>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</si>
  <si>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</si>
  <si>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</si>
  <si>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</si>
  <si>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</si>
  <si>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</si>
  <si>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</si>
  <si>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</si>
  <si>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</si>
  <si>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</si>
  <si>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</si>
  <si>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</si>
  <si>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</si>
  <si>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</si>
  <si>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</si>
  <si>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</si>
  <si>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</si>
  <si>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</si>
  <si>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</si>
  <si>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</si>
  <si>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</si>
  <si>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</si>
  <si>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</si>
  <si>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</si>
  <si>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</si>
  <si>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</si>
  <si>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</si>
  <si>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</si>
  <si>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</si>
  <si>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</si>
  <si>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</si>
  <si>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</si>
  <si>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</si>
  <si>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</si>
  <si>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</si>
  <si>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</si>
  <si>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</si>
  <si>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</si>
  <si>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</si>
  <si>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</si>
  <si>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</si>
  <si>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</si>
  <si>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</si>
  <si>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</si>
  <si>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</si>
  <si>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</si>
  <si>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</si>
  <si>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</si>
  <si>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</si>
  <si>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</si>
  <si>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</si>
  <si>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</si>
  <si>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</si>
  <si>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</si>
  <si>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</si>
  <si>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</si>
  <si>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</si>
  <si>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</si>
  <si>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</si>
  <si>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</si>
  <si>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</si>
  <si>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</si>
  <si>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</si>
  <si>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</si>
  <si>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</si>
  <si>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</si>
  <si>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</si>
  <si>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</si>
  <si>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</si>
  <si>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</si>
  <si>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</si>
  <si>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</si>
  <si>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</si>
  <si>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</si>
  <si>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</si>
  <si>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</si>
  <si>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</si>
  <si>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</si>
  <si>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</si>
  <si>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</si>
  <si>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</si>
  <si>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</si>
  <si>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</si>
  <si>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</si>
  <si>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</si>
  <si>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</si>
  <si>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</si>
  <si>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</si>
  <si>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</si>
  <si>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</si>
  <si>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</si>
  <si>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</si>
  <si>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</si>
  <si>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</si>
  <si>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</si>
  <si>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</si>
  <si>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</si>
  <si>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</si>
  <si>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</si>
  <si>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</si>
  <si>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</si>
  <si>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</si>
  <si>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</si>
  <si>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</si>
  <si>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</si>
  <si>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</si>
  <si>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</si>
  <si>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</si>
  <si>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</si>
  <si>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</si>
  <si>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</si>
  <si>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</si>
  <si>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</si>
  <si>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</si>
  <si>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</si>
  <si>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</si>
  <si>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</si>
  <si>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</si>
  <si>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</si>
  <si>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</si>
  <si>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</si>
  <si>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</si>
  <si>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</si>
  <si>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</si>
  <si>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</si>
  <si>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</si>
  <si>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</si>
  <si>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</si>
  <si>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</si>
  <si>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</si>
  <si>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</si>
  <si>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</si>
  <si>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</si>
  <si>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</si>
  <si>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</si>
  <si>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</si>
  <si>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</si>
  <si>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</si>
  <si>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</si>
  <si>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</si>
  <si>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</si>
  <si>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</si>
  <si>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</si>
  <si>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</si>
  <si>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</si>
  <si>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</si>
  <si>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</si>
  <si>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</si>
  <si>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</si>
  <si>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</si>
  <si>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</si>
  <si>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</si>
  <si>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</si>
  <si>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</si>
  <si>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</si>
  <si>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</si>
  <si>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</si>
  <si>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</si>
  <si>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</si>
  <si>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</si>
  <si>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</si>
  <si>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</si>
  <si>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</si>
  <si>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</si>
  <si>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</si>
  <si>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</si>
  <si>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</si>
  <si>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</si>
  <si>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</si>
  <si>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</si>
  <si>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</si>
  <si>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</si>
  <si>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</si>
  <si>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</si>
  <si>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</si>
  <si>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</si>
  <si>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</si>
  <si>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</si>
  <si>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</si>
  <si>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</si>
  <si>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</si>
  <si>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</si>
  <si>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</si>
  <si>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</si>
  <si>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</si>
  <si>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</si>
  <si>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</si>
  <si>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</si>
  <si>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</si>
  <si>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</si>
  <si>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</si>
  <si>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</si>
  <si>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</si>
  <si>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</si>
  <si>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</si>
  <si>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</si>
  <si>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</si>
  <si>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</si>
  <si>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</si>
  <si>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</si>
  <si>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</si>
  <si>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</si>
  <si>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</si>
  <si>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</si>
  <si>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</si>
  <si>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</si>
  <si>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</si>
  <si>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</si>
  <si>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</si>
  <si>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</si>
  <si>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</si>
  <si>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</si>
  <si>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</si>
  <si>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</si>
  <si>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</si>
  <si>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</si>
  <si>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</si>
  <si>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</si>
  <si>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</si>
  <si>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</si>
  <si>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</si>
  <si>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</si>
  <si>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</si>
  <si>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</si>
  <si>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</si>
  <si>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</si>
  <si>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</si>
  <si>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</si>
  <si>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</si>
  <si>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</si>
  <si>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</si>
  <si>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</si>
  <si>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</si>
  <si>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</si>
  <si>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</si>
  <si>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</si>
  <si>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</si>
  <si>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</si>
  <si>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</si>
  <si>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</si>
  <si>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</si>
  <si>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</si>
  <si>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</si>
  <si>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</si>
  <si>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</si>
  <si>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</si>
  <si>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</si>
  <si>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</si>
  <si>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</si>
  <si>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</si>
  <si>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</si>
  <si>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</si>
  <si>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</si>
  <si>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</si>
  <si>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</si>
  <si>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</si>
  <si>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</si>
  <si>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</si>
  <si>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</si>
  <si>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</si>
  <si>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</si>
  <si>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</si>
  <si>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</si>
  <si>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</si>
  <si>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</si>
  <si>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</si>
  <si>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</si>
  <si>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</si>
  <si>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</si>
  <si>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</si>
  <si>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</si>
  <si>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</si>
  <si>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</si>
  <si>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</si>
  <si>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</si>
  <si>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</si>
  <si>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</si>
  <si>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</si>
  <si>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</si>
  <si>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</si>
  <si>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</si>
  <si>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</si>
  <si>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</si>
  <si>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</si>
  <si>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</si>
  <si>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</si>
  <si>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</si>
  <si>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</si>
  <si>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</si>
  <si>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</si>
  <si>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</si>
  <si>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</si>
  <si>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</si>
  <si>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</si>
  <si>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</si>
  <si>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</si>
  <si>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</si>
  <si>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</si>
  <si>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</si>
  <si>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</si>
  <si>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</si>
  <si>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</si>
  <si>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</si>
  <si>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</si>
  <si>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</si>
  <si>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</si>
  <si>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</si>
  <si>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</si>
  <si>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</si>
  <si>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</si>
  <si>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</si>
  <si>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</si>
  <si>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</si>
  <si>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</si>
  <si>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</si>
  <si>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</si>
  <si>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</si>
  <si>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</si>
  <si>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</si>
  <si>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</si>
  <si>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</si>
  <si>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</si>
  <si>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</si>
  <si>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</si>
  <si>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</si>
  <si>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</si>
  <si>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</si>
  <si>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</si>
  <si>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</si>
  <si>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</si>
  <si>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</si>
  <si>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</si>
  <si>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</si>
  <si>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</si>
  <si>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</si>
  <si>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</si>
  <si>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</si>
  <si>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</si>
  <si>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</si>
  <si>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</si>
  <si>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</si>
  <si>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</si>
  <si>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</si>
  <si>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</si>
  <si>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</si>
  <si>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</si>
  <si>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</si>
  <si>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</si>
  <si>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</si>
  <si>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</si>
  <si>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</si>
  <si>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</si>
  <si>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</si>
  <si>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</si>
  <si>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</si>
  <si>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</si>
  <si>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</si>
  <si>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</si>
  <si>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</si>
  <si>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</si>
  <si>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</si>
  <si>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</si>
  <si>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</si>
  <si>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</si>
  <si>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</si>
  <si>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</si>
  <si>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</si>
  <si>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</si>
  <si>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</si>
  <si>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</si>
  <si>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</si>
  <si>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</si>
  <si>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</si>
  <si>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</si>
  <si>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</si>
  <si>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</si>
  <si>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</si>
  <si>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</si>
  <si>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</si>
  <si>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</si>
  <si>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</si>
  <si>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</si>
  <si>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</si>
  <si>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</si>
  <si>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</si>
  <si>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</si>
  <si>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</si>
  <si>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</si>
  <si>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</si>
  <si>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</si>
  <si>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</si>
  <si>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</si>
  <si>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</si>
  <si>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</si>
  <si>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</si>
  <si>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</si>
  <si>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</si>
  <si>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</si>
  <si>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</si>
  <si>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</si>
  <si>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</si>
  <si>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</si>
  <si>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</si>
  <si>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</si>
  <si>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</si>
  <si>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</si>
  <si>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</si>
  <si>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</si>
  <si>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</si>
  <si>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</si>
  <si>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</si>
  <si>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</si>
  <si>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</si>
  <si>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</si>
  <si>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</si>
  <si>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</si>
  <si>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</si>
  <si>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</si>
  <si>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</si>
  <si>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</si>
  <si>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</si>
  <si>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</si>
  <si>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</si>
  <si>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</si>
  <si>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</si>
  <si>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</si>
  <si>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</si>
  <si>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</si>
  <si>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</si>
  <si>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</si>
  <si>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</si>
  <si>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</si>
  <si>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</si>
  <si>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</si>
  <si>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</si>
  <si>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</si>
  <si>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</si>
  <si>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</si>
  <si>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</si>
  <si>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</si>
  <si>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</si>
  <si>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</si>
  <si>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</si>
  <si>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</si>
  <si>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</si>
  <si>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</si>
  <si>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</si>
  <si>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</si>
  <si>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</si>
  <si>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</si>
  <si>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</si>
  <si>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</si>
  <si>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</si>
  <si>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</si>
  <si>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</si>
  <si>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</si>
  <si>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</si>
  <si>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</si>
  <si>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</si>
  <si>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</si>
  <si>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</si>
  <si>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</si>
  <si>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</si>
  <si>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</si>
  <si>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</si>
  <si>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</si>
  <si>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</si>
  <si>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</si>
  <si>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</si>
  <si>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</si>
  <si>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</si>
  <si>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</si>
  <si>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</si>
  <si>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</si>
  <si>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</si>
  <si>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</si>
  <si>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</si>
  <si>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</si>
  <si>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</si>
  <si>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</si>
  <si>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</si>
  <si>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</si>
  <si>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</si>
  <si>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</si>
  <si>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</si>
  <si>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</si>
  <si>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</si>
  <si>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</si>
  <si>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</si>
  <si>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</si>
  <si>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</si>
  <si>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</si>
  <si>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</si>
  <si>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</si>
  <si>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</si>
  <si>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</si>
  <si>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</si>
  <si>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</si>
  <si>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</si>
  <si>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</si>
  <si>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</si>
  <si>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</si>
  <si>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</si>
  <si>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</si>
  <si>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</si>
  <si>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</si>
  <si>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</si>
  <si>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</si>
  <si>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</si>
  <si>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</si>
  <si>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</si>
  <si>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</si>
  <si>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</si>
  <si>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</si>
  <si>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</si>
  <si>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</si>
  <si>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</si>
  <si>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</si>
  <si>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</si>
  <si>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</si>
  <si>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</si>
  <si>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</si>
  <si>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</si>
  <si>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</si>
  <si>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</si>
  <si>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</si>
  <si>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</si>
  <si>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</si>
  <si>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</si>
  <si>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</si>
  <si>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</si>
  <si>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</si>
  <si>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</si>
  <si>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</si>
  <si>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</si>
  <si>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</si>
  <si>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</si>
  <si>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</si>
  <si>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</si>
  <si>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</si>
  <si>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</si>
  <si>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</si>
  <si>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</si>
  <si>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</si>
  <si>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</si>
  <si>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</si>
  <si>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</si>
  <si>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</si>
  <si>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</si>
  <si>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</si>
  <si>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</si>
  <si>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</si>
  <si>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</si>
  <si>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</si>
  <si>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</si>
  <si>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</si>
  <si>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</si>
  <si>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</si>
  <si>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</si>
  <si>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</si>
  <si>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</si>
  <si>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</si>
  <si>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</si>
  <si>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</si>
  <si>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</si>
  <si>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</si>
  <si>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</si>
  <si>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</si>
  <si>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</si>
  <si>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</si>
  <si>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</si>
  <si>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</si>
  <si>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</si>
  <si>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</si>
  <si>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</si>
  <si>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</si>
  <si>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</si>
  <si>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</si>
  <si>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</si>
  <si>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</si>
  <si>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</si>
  <si>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</si>
  <si>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</si>
  <si>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</si>
  <si>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</si>
  <si>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</si>
  <si>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</si>
  <si>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</si>
  <si>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</si>
  <si>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</si>
  <si>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</si>
  <si>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</si>
  <si>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</si>
  <si>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</si>
  <si>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</si>
  <si>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</si>
  <si>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</si>
  <si>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</si>
  <si>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</si>
  <si>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</si>
  <si>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</si>
  <si>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</si>
  <si>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</si>
  <si>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</si>
  <si>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</si>
  <si>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</si>
  <si>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</si>
  <si>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</si>
  <si>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</si>
  <si>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</si>
  <si>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</si>
  <si>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</si>
  <si>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</si>
  <si>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</si>
  <si>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</si>
  <si>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</si>
  <si>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</si>
  <si>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</si>
  <si>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</si>
  <si>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</si>
  <si>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</si>
  <si>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</si>
  <si>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</si>
  <si>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</si>
  <si>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</si>
  <si>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</si>
  <si>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</si>
  <si>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</si>
  <si>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</si>
  <si>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</si>
  <si>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</si>
  <si>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</si>
  <si>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</si>
  <si>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</si>
  <si>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</si>
  <si>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</si>
  <si>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</si>
  <si>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</si>
  <si>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</si>
  <si>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</si>
  <si>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</si>
  <si>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</si>
  <si>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</si>
  <si>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</si>
  <si>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</si>
  <si>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</si>
  <si>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</si>
  <si>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</si>
  <si>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</si>
  <si>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</si>
  <si>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</si>
  <si>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</si>
  <si>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</si>
  <si>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</si>
  <si>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</si>
  <si>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</si>
  <si>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</si>
  <si>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</si>
  <si>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</si>
  <si>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</si>
  <si>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</si>
  <si>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</si>
  <si>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</si>
  <si>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</si>
  <si>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</si>
  <si>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</si>
  <si>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</si>
  <si>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</si>
  <si>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</si>
  <si>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</si>
  <si>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</si>
  <si>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</si>
  <si>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</si>
  <si>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</si>
  <si>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</si>
  <si>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</si>
  <si>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</si>
  <si>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</si>
  <si>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</si>
  <si>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</si>
  <si>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</si>
  <si>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</si>
  <si>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</si>
  <si>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</si>
  <si>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</si>
  <si>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</si>
  <si>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</si>
  <si>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</si>
  <si>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</si>
  <si>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</si>
  <si>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</si>
  <si>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</si>
  <si>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</si>
  <si>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</si>
  <si>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</si>
  <si>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</si>
  <si>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</si>
  <si>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</si>
  <si>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</si>
  <si>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</si>
  <si>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</si>
  <si>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</si>
  <si>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</si>
  <si>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</si>
  <si>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</si>
  <si>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</si>
  <si>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</si>
  <si>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</si>
  <si>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</si>
  <si>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</si>
  <si>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</si>
  <si>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</si>
  <si>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</si>
  <si>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</si>
  <si>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</si>
  <si>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</si>
  <si>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</si>
  <si>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</si>
  <si>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</si>
  <si>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</si>
  <si>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</si>
  <si>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</si>
  <si>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</si>
  <si>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</si>
  <si>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</si>
  <si>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</si>
  <si>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</si>
  <si>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</si>
  <si>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</si>
  <si>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</si>
  <si>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</si>
  <si>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</si>
  <si>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</si>
  <si>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</si>
  <si>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</si>
  <si>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</si>
  <si>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</si>
  <si>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</si>
  <si>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</si>
  <si>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</si>
  <si>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</si>
  <si>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</si>
  <si>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</si>
  <si>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</si>
  <si>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</si>
  <si>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</si>
  <si>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</si>
  <si>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</si>
  <si>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</si>
  <si>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</si>
  <si>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</si>
  <si>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</si>
  <si>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</si>
  <si>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</si>
  <si>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</si>
  <si>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</si>
  <si>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</si>
  <si>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</si>
  <si>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</si>
  <si>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</si>
  <si>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</si>
  <si>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</si>
  <si>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</si>
  <si>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</si>
  <si>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</si>
  <si>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</si>
  <si>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</si>
  <si>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</si>
  <si>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</si>
  <si>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</si>
  <si>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</si>
  <si>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</si>
  <si>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</si>
  <si>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</si>
  <si>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</si>
  <si>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</si>
  <si>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</si>
  <si>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</si>
  <si>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</si>
  <si>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</si>
  <si>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</si>
  <si>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</si>
  <si>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</si>
  <si>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</si>
  <si>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</si>
  <si>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</si>
  <si>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</si>
  <si>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</si>
  <si>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</si>
  <si>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</si>
  <si>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</si>
  <si>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</si>
  <si>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</si>
  <si>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</si>
  <si>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</si>
  <si>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</si>
  <si>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</si>
  <si>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</si>
  <si>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</si>
  <si>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</si>
  <si>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</si>
  <si>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</si>
  <si>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</si>
  <si>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</si>
  <si>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</si>
  <si>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</si>
  <si>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</si>
  <si>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</si>
  <si>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</si>
  <si>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</si>
  <si>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</si>
  <si>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</si>
  <si>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</si>
  <si>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</si>
  <si>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</si>
  <si>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</si>
  <si>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</si>
  <si>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</si>
  <si>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</si>
  <si>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</si>
  <si>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</si>
  <si>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</si>
  <si>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</si>
  <si>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</si>
  <si>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</si>
  <si>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</si>
  <si>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</si>
  <si>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</si>
  <si>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</si>
  <si>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</si>
  <si>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</si>
  <si>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</si>
  <si>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</si>
  <si>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</si>
  <si>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</si>
  <si>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</si>
  <si>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</si>
  <si>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</si>
  <si>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</si>
  <si>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</si>
  <si>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</si>
  <si>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</si>
  <si>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</si>
  <si>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</si>
  <si>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</si>
  <si>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</si>
  <si>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</si>
  <si>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</si>
  <si>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</si>
  <si>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</si>
  <si>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</si>
  <si>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</si>
  <si>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</si>
  <si>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</si>
  <si>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</si>
  <si>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</si>
  <si>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</si>
  <si>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</si>
  <si>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</si>
  <si>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</si>
  <si>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</si>
  <si>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</si>
  <si>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</si>
  <si>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</si>
  <si>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</si>
  <si>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</si>
  <si>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</si>
  <si>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</si>
  <si>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</si>
  <si>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</si>
  <si>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</si>
  <si>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</si>
  <si>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</si>
  <si>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</si>
  <si>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</si>
  <si>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</si>
  <si>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</si>
  <si>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</si>
  <si>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</si>
  <si>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</si>
  <si>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</si>
  <si>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</si>
  <si>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</si>
  <si>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</si>
  <si>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</si>
  <si>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</si>
  <si>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</si>
  <si>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</si>
  <si>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</si>
  <si>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</si>
  <si>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</si>
  <si>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</si>
  <si>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</si>
  <si>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</si>
  <si>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</si>
  <si>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</si>
  <si>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</si>
  <si>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</si>
  <si>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</si>
  <si>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</si>
  <si>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</si>
  <si>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</si>
  <si>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</si>
  <si>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</si>
  <si>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</si>
  <si>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</si>
  <si>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</si>
  <si>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</si>
  <si>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</si>
  <si>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</si>
  <si>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</si>
  <si>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</si>
  <si>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</si>
  <si>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</si>
  <si>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</si>
  <si>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</si>
  <si>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</si>
  <si>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</si>
  <si>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</si>
  <si>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</si>
  <si>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</si>
  <si>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</si>
  <si>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</si>
  <si>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</si>
  <si>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</si>
  <si>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</si>
  <si>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</si>
  <si>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</si>
  <si>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</si>
  <si>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</si>
  <si>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</si>
  <si>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</si>
  <si>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</si>
  <si>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</si>
  <si>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</si>
  <si>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</si>
  <si>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</si>
  <si>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</si>
  <si>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</si>
  <si>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</si>
  <si>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</si>
  <si>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</si>
  <si>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</si>
  <si>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</si>
  <si>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</si>
  <si>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</si>
  <si>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</si>
  <si>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</si>
  <si>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</si>
  <si>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</si>
  <si>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</si>
  <si>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</si>
  <si>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</si>
  <si>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</si>
  <si>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</si>
  <si>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</si>
  <si>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</si>
  <si>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</si>
  <si>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</si>
  <si>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</si>
  <si>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</si>
  <si>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</si>
  <si>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</si>
  <si>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</si>
  <si>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</si>
  <si>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</si>
  <si>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</si>
  <si>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</si>
  <si>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</si>
  <si>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</si>
  <si>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</si>
  <si>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</si>
  <si>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</si>
  <si>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</si>
  <si>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</si>
  <si>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</si>
  <si>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</si>
  <si>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</si>
  <si>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</si>
  <si>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</si>
  <si>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</si>
  <si>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</si>
  <si>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</si>
  <si>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</si>
  <si>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</si>
  <si>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</si>
  <si>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</si>
  <si>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</si>
  <si>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</si>
  <si>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</si>
  <si>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</si>
  <si>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</si>
  <si>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</si>
  <si>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</si>
  <si>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</si>
  <si>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</si>
  <si>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</si>
  <si>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</si>
  <si>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</si>
  <si>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</si>
  <si>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</si>
  <si>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</si>
  <si>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</si>
  <si>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</si>
  <si>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</si>
  <si>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</si>
  <si>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</si>
  <si>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</si>
  <si>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</si>
  <si>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</si>
  <si>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</si>
  <si>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</si>
  <si>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</si>
  <si>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</si>
  <si>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</si>
  <si>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</si>
  <si>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</si>
  <si>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</si>
  <si>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</si>
  <si>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</si>
  <si>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</si>
  <si>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</si>
  <si>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</si>
  <si>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</si>
  <si>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</si>
  <si>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</si>
  <si>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</si>
  <si>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</si>
  <si>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</si>
  <si>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</si>
  <si>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</si>
  <si>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</si>
  <si>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</si>
  <si>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</si>
  <si>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</si>
  <si>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</si>
  <si>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</si>
  <si>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</si>
  <si>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</si>
  <si>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</si>
  <si>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</si>
  <si>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</si>
  <si>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</si>
  <si>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</si>
  <si>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</si>
  <si>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</si>
  <si>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</si>
  <si>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</si>
  <si>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</si>
  <si>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</si>
  <si>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</si>
  <si>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</si>
  <si>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</si>
  <si>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</si>
  <si>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</si>
  <si>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</si>
  <si>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</si>
  <si>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</si>
  <si>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</si>
  <si>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</si>
  <si>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</si>
  <si>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</si>
  <si>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 xml:space="preserve">Customer Id </t>
  </si>
  <si>
    <t>BMI</t>
  </si>
  <si>
    <t>HBA1C</t>
  </si>
  <si>
    <t>Heart Issues</t>
  </si>
  <si>
    <t>Any Transplants</t>
  </si>
  <si>
    <t>Cancer history</t>
  </si>
  <si>
    <t>NumberOfMajorSurgeries</t>
  </si>
  <si>
    <t>smoker</t>
  </si>
  <si>
    <t>SMOKER</t>
  </si>
  <si>
    <t>NO.OF.MAJOR SURGERIES</t>
  </si>
  <si>
    <t>WEIGHT STATUS</t>
  </si>
  <si>
    <t>No</t>
  </si>
  <si>
    <t>No major surgery</t>
  </si>
  <si>
    <t>Yes</t>
  </si>
  <si>
    <t>NO. OF "?' IN CUSTOMER Id COLUMN</t>
  </si>
  <si>
    <t>COUNTIF</t>
  </si>
  <si>
    <t>NO.OF "?" IN BMI COLUMN</t>
  </si>
  <si>
    <t>NO.OF "?" IN HBA1C COLUMN</t>
  </si>
  <si>
    <t>NO.OF "?" IN HEART ISSUE COLUMN</t>
  </si>
  <si>
    <t>NO.OF "?" IN ANY TRANSPLANT COLUMN</t>
  </si>
  <si>
    <t>NO.OF "?" IN CANCER HISTORY COLUMN</t>
  </si>
  <si>
    <t>NO.OF "?" IN MAJOR SURGERIES COLUMN</t>
  </si>
  <si>
    <t>NO.OF "?" IN SMOKER TIERCOLUMN</t>
  </si>
  <si>
    <t>TOTAL</t>
  </si>
  <si>
    <t xml:space="preserve"> </t>
  </si>
  <si>
    <t>NO. OF SMOKER IS "Yes"</t>
  </si>
  <si>
    <t>NO. OF SMOKER IS" NO"</t>
  </si>
  <si>
    <t>?</t>
  </si>
  <si>
    <t>Customer ID</t>
  </si>
  <si>
    <t>Year</t>
  </si>
  <si>
    <t>MONTH</t>
  </si>
  <si>
    <t>Date</t>
  </si>
  <si>
    <t>DATE OF BIRTH</t>
  </si>
  <si>
    <t>Children</t>
  </si>
  <si>
    <t>Charges</t>
  </si>
  <si>
    <t>Hospital tier</t>
  </si>
  <si>
    <t>City tier</t>
  </si>
  <si>
    <t>State ID</t>
  </si>
  <si>
    <t>AVERAGE YEAR</t>
  </si>
  <si>
    <t xml:space="preserve"> HOSPITAL TIER</t>
  </si>
  <si>
    <t>CITY TIER</t>
  </si>
  <si>
    <t xml:space="preserve">STATE ID </t>
  </si>
  <si>
    <t xml:space="preserve">Age </t>
  </si>
  <si>
    <t>Aug</t>
  </si>
  <si>
    <t>tier - 3</t>
  </si>
  <si>
    <t>tier - 1</t>
  </si>
  <si>
    <t>R1011</t>
  </si>
  <si>
    <t>Oct</t>
  </si>
  <si>
    <t>R1026</t>
  </si>
  <si>
    <t>NO. OF "?' IN CUSTOMER COLUMN</t>
  </si>
  <si>
    <t>tier - 2</t>
  </si>
  <si>
    <t>NO.OF "?" IN YEAR COLUMN</t>
  </si>
  <si>
    <t>Dec</t>
  </si>
  <si>
    <t>R1025</t>
  </si>
  <si>
    <t>NO.OF "?" IN MONTH COLUMN</t>
  </si>
  <si>
    <t>R1019</t>
  </si>
  <si>
    <t>NO.OF "?" IN DATE COLUMN</t>
  </si>
  <si>
    <t>Jun</t>
  </si>
  <si>
    <t>R1024</t>
  </si>
  <si>
    <t>NO.OF "?" IN CHILDREN COLUMN</t>
  </si>
  <si>
    <t>R1012</t>
  </si>
  <si>
    <t>NO.OF "?" IN CHARGES COLUMN</t>
  </si>
  <si>
    <t>Nov</t>
  </si>
  <si>
    <t>R1022</t>
  </si>
  <si>
    <t>NO.OF "?" IN HOSPITAL TIER COLUMN</t>
  </si>
  <si>
    <t>Sep</t>
  </si>
  <si>
    <t>NO.OF "?" IN CITY TIERCOLUMN</t>
  </si>
  <si>
    <t>NO.OF "?" IN STATE COLUMN</t>
  </si>
  <si>
    <t>Jul</t>
  </si>
  <si>
    <t>HOSPITAL REPEATED TIER - 1</t>
  </si>
  <si>
    <t>R1013</t>
  </si>
  <si>
    <t>HOSPITAL REPEATED TIER - 2</t>
  </si>
  <si>
    <t>HOSPITAL REPEATED TIER - 3</t>
  </si>
  <si>
    <t>CITY TIER - 1</t>
  </si>
  <si>
    <t>CITY TIER - 2</t>
  </si>
  <si>
    <t>CITY TIER - 3</t>
  </si>
  <si>
    <t>DATE OF COLLECTION</t>
  </si>
  <si>
    <t>R1018</t>
  </si>
  <si>
    <t>R1021</t>
  </si>
  <si>
    <t>R1014</t>
  </si>
  <si>
    <t>R1017</t>
  </si>
  <si>
    <t>R1016</t>
  </si>
  <si>
    <t>R1020</t>
  </si>
  <si>
    <t>R1023</t>
  </si>
  <si>
    <t>R1015</t>
  </si>
  <si>
    <t>id3444</t>
  </si>
  <si>
    <t>id2444</t>
  </si>
  <si>
    <t>Total customers count,</t>
  </si>
  <si>
    <t>Total hospitalisation count,</t>
  </si>
  <si>
    <t>Total healthcare costs,</t>
  </si>
  <si>
    <t>Average costs and medical metrics</t>
  </si>
  <si>
    <t xml:space="preserve">Count of Customer </t>
  </si>
  <si>
    <t>Row Labels</t>
  </si>
  <si>
    <t>Count of Hospital Tier</t>
  </si>
  <si>
    <t>Sum of Charges</t>
  </si>
  <si>
    <t>Average of Charges</t>
  </si>
  <si>
    <t>Grand Total</t>
  </si>
  <si>
    <t>Customer id</t>
  </si>
  <si>
    <t>Cancer History</t>
  </si>
  <si>
    <t>Number Of Major Surgeries</t>
  </si>
  <si>
    <t>Smoker</t>
  </si>
  <si>
    <t>Weight Status</t>
  </si>
  <si>
    <t>Date Of Birth</t>
  </si>
  <si>
    <t>Hospital Tier</t>
  </si>
  <si>
    <t>City Tier</t>
  </si>
  <si>
    <t>Age</t>
  </si>
  <si>
    <t>Healthcare statistics</t>
  </si>
  <si>
    <t>Total customers count</t>
  </si>
  <si>
    <t>Total hospitalisation count</t>
  </si>
  <si>
    <t>Total healthcare costs</t>
  </si>
  <si>
    <t>Healthcare Dashboard</t>
  </si>
  <si>
    <t xml:space="preserve">                </t>
  </si>
  <si>
    <t xml:space="preserve">                  </t>
  </si>
  <si>
    <t xml:space="preserve">   </t>
  </si>
  <si>
    <t xml:space="preserve">                                                        </t>
  </si>
  <si>
    <t>Insight summary</t>
  </si>
  <si>
    <r>
      <rPr>
        <rFont val="Calibri"/>
        <b/>
        <color theme="1"/>
        <sz val="11.0"/>
        <u/>
      </rPr>
      <t>Cancer History Distribution – Insights</t>
    </r>
    <r>
      <rPr>
        <rFont val="Calibri"/>
        <b/>
        <color theme="1"/>
        <sz val="11.0"/>
      </rPr>
      <t xml:space="preserve">
</t>
    </r>
    <r>
      <rPr>
        <rFont val="Calibri"/>
        <color theme="1"/>
        <sz val="11.0"/>
      </rPr>
      <t xml:space="preserve">
1. A higher percentage of smokers had a history of cancer compared to non-smokers.
2. Non-smokers show a lower cancer incidence, indicating a possible risk reduction.
3. If the smoker group is significantly larger, the chart highlights the impact of smoking on cancer history.
4. The pie chart clearly shows the proportion difference between smoker and non-smoker categories.
5. This insight supports the correlation between smoking behavior and cancer probability.
</t>
    </r>
  </si>
  <si>
    <r>
      <rPr>
        <rFont val="Calibri"/>
        <b/>
        <color theme="1"/>
        <sz val="11.0"/>
        <u/>
      </rPr>
      <t>Findings</t>
    </r>
    <r>
      <rPr>
        <rFont val="Calibri"/>
        <color theme="1"/>
        <sz val="11.0"/>
      </rPr>
      <t xml:space="preserve">
• Smokers show significantly higher cancer cases.
• Possible correlation between smoking and cancer risk.
</t>
    </r>
  </si>
  <si>
    <r>
      <rPr>
        <rFont val="Calibri"/>
        <b/>
        <color theme="1"/>
        <sz val="11.0"/>
        <u/>
      </rPr>
      <t>Charges by Weight Status – Insights</t>
    </r>
    <r>
      <rPr>
        <rFont val="Calibri"/>
        <color theme="1"/>
        <sz val="11.0"/>
      </rPr>
      <t xml:space="preserve">
1. The 'Obese' weight group shows the highest average hospital charges.
2. Normal and overweight groups have moderate billing amounts.
3. Underweight patients have comparatively lower treatment charges.
4. The graph indicates that healthcare costs increase with weight category.
5. This suggests higher medical complexity or increased interventions for obese patients.
</t>
    </r>
  </si>
  <si>
    <t xml:space="preserve">
• Highest charges: Obese group (₹16,591 average)
• Lowest charges: Underweight (₹ 6,899average)
• Charges rise as BMI category increases.
• Indicates increased treatment complexity.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</si>
</sst>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yyyy"/>
    <numFmt numFmtId="165" formatCode="&quot;$&quot;#,##0.00"/>
    <numFmt numFmtId="166" formatCode="dd\-mmm\-yyyy"/>
    <numFmt numFmtId="167" formatCode="&quot;$&quot;#,##0"/>
    <numFmt numFmtId="168" formatCode="_(&quot;$&quot;* #,##0_);_(&quot;$&quot;* \(#,##0\);_(&quot;$&quot;* &quot;-&quot;??_);_(@_)"/>
  </numFmts>
  <fonts count="13">
    <font>
      <sz val="11.0"/>
      <color theme="1"/>
      <name val="Calibri"/>
      <scheme val="minor"/>
    </font>
    <font>
      <b/>
      <sz val="12.0"/>
      <color theme="0"/>
      <name val="Calibri"/>
    </font>
    <font>
      <sz val="11.0"/>
      <color theme="1"/>
      <name val="Calibri"/>
    </font>
    <font>
      <sz val="12.0"/>
      <color theme="1"/>
      <name val="Calibri"/>
    </font>
    <font>
      <b/>
      <sz val="11.0"/>
      <color rgb="FF632D09"/>
      <name val="Calibri"/>
    </font>
    <font>
      <color theme="1"/>
      <name val="Calibri"/>
      <scheme val="minor"/>
    </font>
    <font>
      <b/>
      <sz val="11.0"/>
      <color theme="1"/>
      <name val="Calibri"/>
    </font>
    <font>
      <b/>
      <sz val="12.0"/>
      <color rgb="FF002060"/>
      <name val="Calibri"/>
    </font>
    <font/>
    <font>
      <color rgb="FFFFFFFF"/>
      <name val="Calibri"/>
      <scheme val="minor"/>
    </font>
    <font>
      <b/>
      <sz val="40.0"/>
      <color rgb="FFC00000"/>
      <name val="Calibri"/>
    </font>
    <font>
      <i/>
      <sz val="11.0"/>
      <color rgb="FF7F7F7F"/>
      <name val="Calibri"/>
    </font>
    <font>
      <sz val="20.0"/>
      <color theme="1"/>
      <name val="Calibri"/>
    </font>
  </fonts>
  <fills count="10">
    <fill>
      <patternFill patternType="none"/>
    </fill>
    <fill>
      <patternFill patternType="lightGray"/>
    </fill>
    <fill>
      <patternFill patternType="solid">
        <fgColor rgb="FF7030A0"/>
        <bgColor rgb="FF7030A0"/>
      </patternFill>
    </fill>
    <fill>
      <patternFill patternType="solid">
        <fgColor rgb="FFFFC000"/>
        <bgColor rgb="FFFFC000"/>
      </patternFill>
    </fill>
    <fill>
      <patternFill patternType="solid">
        <fgColor rgb="FFECECEC"/>
        <bgColor rgb="FFECECEC"/>
      </patternFill>
    </fill>
    <fill>
      <patternFill patternType="solid">
        <fgColor rgb="FF00B0F0"/>
        <bgColor rgb="FF00B0F0"/>
      </patternFill>
    </fill>
    <fill>
      <patternFill patternType="solid">
        <fgColor rgb="FFFEF2CB"/>
        <bgColor rgb="FFFEF2CB"/>
      </patternFill>
    </fill>
    <fill>
      <patternFill patternType="solid">
        <fgColor rgb="FFFFFF00"/>
        <bgColor rgb="FFFFFF00"/>
      </patternFill>
    </fill>
    <fill>
      <patternFill patternType="solid">
        <fgColor rgb="FFFFE598"/>
        <bgColor rgb="FFFFE598"/>
      </patternFill>
    </fill>
    <fill>
      <patternFill patternType="solid">
        <fgColor rgb="FFD9E2F3"/>
        <bgColor rgb="FFD9E2F3"/>
      </patternFill>
    </fill>
  </fills>
  <borders count="12">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theme="6"/>
      </left>
      <right style="thin">
        <color theme="6"/>
      </right>
      <top style="thin">
        <color theme="6"/>
      </top>
      <bottom style="thin">
        <color theme="6"/>
      </bottom>
    </border>
    <border>
      <left/>
      <top/>
      <bottom/>
    </border>
    <border>
      <right/>
      <top/>
      <bottom/>
    </border>
    <border>
      <left style="thin">
        <color rgb="FF9CC2E5"/>
      </left>
      <bottom style="thin">
        <color rgb="FF9CC2E5"/>
      </bottom>
    </border>
    <border>
      <top style="double">
        <color theme="4"/>
      </top>
      <bottom style="thin">
        <color rgb="FF9CC2E5"/>
      </bottom>
    </border>
    <border>
      <top style="double">
        <color theme="4"/>
      </top>
    </border>
    <border>
      <right style="thin">
        <color rgb="FF000000"/>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center"/>
    </xf>
    <xf borderId="1" fillId="2" fontId="1" numFmtId="0" xfId="0" applyAlignment="1" applyBorder="1" applyFont="1">
      <alignment horizontal="center" vertical="center"/>
    </xf>
    <xf borderId="2" fillId="2" fontId="1" numFmtId="0" xfId="0" applyAlignment="1" applyBorder="1" applyFont="1">
      <alignment horizontal="center" vertical="center"/>
    </xf>
    <xf borderId="0" fillId="0" fontId="2" numFmtId="0" xfId="0" applyAlignment="1" applyFont="1">
      <alignment horizontal="center" vertical="center"/>
    </xf>
    <xf borderId="0" fillId="0" fontId="3" numFmtId="0" xfId="0" applyFont="1"/>
    <xf borderId="3" fillId="3" fontId="4" numFmtId="0" xfId="0" applyAlignment="1" applyBorder="1" applyFill="1" applyFont="1">
      <alignment horizontal="center" vertical="center"/>
    </xf>
    <xf borderId="4" fillId="3" fontId="4" numFmtId="0" xfId="0" applyAlignment="1" applyBorder="1" applyFont="1">
      <alignment horizontal="center" vertical="center"/>
    </xf>
    <xf borderId="2" fillId="3" fontId="4" numFmtId="0" xfId="0" applyAlignment="1" applyBorder="1" applyFont="1">
      <alignment horizontal="center" vertical="center"/>
    </xf>
    <xf borderId="0" fillId="0" fontId="5" numFmtId="0" xfId="0" applyFont="1"/>
    <xf borderId="5" fillId="4" fontId="2" numFmtId="0" xfId="0" applyBorder="1" applyFill="1" applyFont="1"/>
    <xf borderId="5" fillId="0" fontId="2" numFmtId="0" xfId="0" applyBorder="1" applyFont="1"/>
    <xf borderId="5" fillId="0" fontId="6" numFmtId="0" xfId="0" applyBorder="1" applyFont="1"/>
    <xf borderId="0" fillId="0" fontId="6" numFmtId="0" xfId="0" applyFont="1"/>
    <xf borderId="1" fillId="5" fontId="7" numFmtId="0" xfId="0" applyAlignment="1" applyBorder="1" applyFill="1" applyFont="1">
      <alignment horizontal="center" vertical="center"/>
    </xf>
    <xf borderId="1" fillId="5" fontId="7" numFmtId="165" xfId="0" applyAlignment="1" applyBorder="1" applyFont="1" applyNumberFormat="1">
      <alignment horizontal="center" vertical="center"/>
    </xf>
    <xf borderId="2" fillId="5" fontId="7" numFmtId="0" xfId="0" applyAlignment="1" applyBorder="1" applyFont="1">
      <alignment horizontal="center" vertical="center"/>
    </xf>
    <xf borderId="0" fillId="0" fontId="2" numFmtId="1" xfId="0" applyFont="1" applyNumberFormat="1"/>
    <xf borderId="0" fillId="0" fontId="2" numFmtId="166" xfId="0" applyFont="1" applyNumberFormat="1"/>
    <xf borderId="0" fillId="0" fontId="2" numFmtId="167" xfId="0" applyFont="1" applyNumberFormat="1"/>
    <xf borderId="0" fillId="0" fontId="5" numFmtId="1" xfId="0" applyFont="1" applyNumberFormat="1"/>
    <xf borderId="0" fillId="0" fontId="2" numFmtId="14" xfId="0" applyFont="1" applyNumberFormat="1"/>
    <xf borderId="0" fillId="0" fontId="5" numFmtId="0" xfId="0" applyFont="1"/>
    <xf borderId="0" fillId="0" fontId="6" numFmtId="0" xfId="0" applyFont="1"/>
    <xf borderId="0" fillId="0" fontId="2" numFmtId="15" xfId="0" applyFont="1" applyNumberFormat="1"/>
    <xf borderId="2" fillId="6" fontId="6" numFmtId="0" xfId="0" applyBorder="1" applyFill="1" applyFont="1"/>
    <xf borderId="6" fillId="6" fontId="6" numFmtId="0" xfId="0" applyAlignment="1" applyBorder="1" applyFont="1">
      <alignment horizontal="center"/>
    </xf>
    <xf borderId="7" fillId="0" fontId="8" numFmtId="0" xfId="0" applyBorder="1" applyFont="1"/>
    <xf borderId="2" fillId="7" fontId="2" numFmtId="0" xfId="0" applyBorder="1" applyFill="1" applyFont="1"/>
    <xf borderId="0" fillId="0" fontId="2" numFmtId="0" xfId="0" applyFont="1"/>
    <xf borderId="0" fillId="0" fontId="2" numFmtId="0" xfId="0" applyAlignment="1" applyFont="1">
      <alignment horizontal="left"/>
    </xf>
    <xf borderId="0" fillId="0" fontId="9" numFmtId="0" xfId="0" applyFont="1"/>
    <xf borderId="0" fillId="0" fontId="9" numFmtId="0" xfId="0" applyAlignment="1" applyFont="1">
      <alignment readingOrder="0"/>
    </xf>
    <xf borderId="0" fillId="0" fontId="3" numFmtId="0" xfId="0" applyFont="1"/>
    <xf borderId="0" fillId="0" fontId="2" numFmtId="166" xfId="0" applyFont="1" applyNumberFormat="1"/>
    <xf borderId="0" fillId="0" fontId="2" numFmtId="168" xfId="0" applyFont="1" applyNumberFormat="1"/>
    <xf borderId="0" fillId="0" fontId="5" numFmtId="1" xfId="0" applyFont="1" applyNumberFormat="1"/>
    <xf borderId="6" fillId="8" fontId="2" numFmtId="0" xfId="0" applyAlignment="1" applyBorder="1" applyFill="1" applyFont="1">
      <alignment horizontal="center"/>
    </xf>
    <xf borderId="0" fillId="0" fontId="2" numFmtId="0" xfId="0" applyFont="1"/>
    <xf borderId="8" fillId="0" fontId="6" numFmtId="0" xfId="0" applyBorder="1" applyFont="1"/>
    <xf borderId="9" fillId="0" fontId="6" numFmtId="0" xfId="0" applyBorder="1" applyFont="1"/>
    <xf borderId="10" fillId="0" fontId="6" numFmtId="0" xfId="0" applyBorder="1" applyFont="1"/>
    <xf borderId="0" fillId="0" fontId="2" numFmtId="168" xfId="0" applyFont="1" applyNumberFormat="1"/>
    <xf borderId="6" fillId="7" fontId="10" numFmtId="0" xfId="0" applyAlignment="1" applyBorder="1" applyFont="1">
      <alignment horizontal="center"/>
    </xf>
    <xf borderId="0" fillId="0" fontId="11" numFmtId="0" xfId="0" applyFont="1"/>
    <xf borderId="6" fillId="7" fontId="12" numFmtId="0" xfId="0" applyAlignment="1" applyBorder="1" applyFont="1">
      <alignment horizontal="center"/>
    </xf>
    <xf borderId="11" fillId="0" fontId="8" numFmtId="0" xfId="0" applyBorder="1" applyFont="1"/>
    <xf borderId="1" fillId="0" fontId="2" numFmtId="0" xfId="0" applyBorder="1" applyFont="1"/>
    <xf borderId="1" fillId="9" fontId="2" numFmtId="0" xfId="0" applyAlignment="1" applyBorder="1" applyFill="1" applyFont="1">
      <alignment horizontal="center" readingOrder="0" shrinkToFit="0" vertical="top" wrapText="1"/>
    </xf>
    <xf borderId="1" fillId="9" fontId="2" numFmtId="0" xfId="0" applyAlignment="1" applyBorder="1" applyFont="1">
      <alignment shrinkToFit="0" wrapText="1"/>
    </xf>
  </cellXfs>
  <cellStyles count="1">
    <cellStyle xfId="0" name="Normal" builtinId="0"/>
  </cellStyles>
  <dxfs count="6">
    <dxf>
      <font/>
      <fill>
        <patternFill patternType="none"/>
      </fill>
      <border/>
    </dxf>
    <dxf>
      <font/>
      <fill>
        <patternFill patternType="solid">
          <fgColor rgb="FFECECEC"/>
          <bgColor rgb="FFECECEC"/>
        </patternFill>
      </fill>
      <border/>
    </dxf>
    <dxf>
      <font/>
      <fill>
        <patternFill patternType="solid">
          <fgColor theme="0"/>
          <bgColor theme="0"/>
        </patternFill>
      </fill>
      <border/>
    </dxf>
    <dxf>
      <font/>
      <fill>
        <patternFill patternType="solid">
          <fgColor rgb="FFDEEAF6"/>
          <bgColor rgb="FFDEEAF6"/>
        </patternFill>
      </fill>
      <border/>
    </dxf>
    <dxf>
      <font/>
      <fill>
        <patternFill patternType="solid">
          <fgColor theme="4"/>
          <bgColor theme="4"/>
        </patternFill>
      </fill>
      <border/>
    </dxf>
    <dxf>
      <font/>
      <fill>
        <patternFill patternType="solid">
          <fgColor rgb="FFFEF2CB"/>
          <bgColor rgb="FFFEF2CB"/>
        </patternFill>
      </fill>
      <border/>
    </dxf>
  </dxfs>
  <tableStyles count="5">
    <tableStyle count="2" pivot="0" name="Hospitalisation Details-style">
      <tableStyleElement dxfId="1" type="firstRowStripe"/>
      <tableStyleElement dxfId="2" type="secondRowStripe"/>
    </tableStyle>
    <tableStyle count="2" pivot="0" name="Hospitalisation Details-style 2">
      <tableStyleElement dxfId="3" type="firstRowStripe"/>
      <tableStyleElement dxfId="2" type="secondRowStripe"/>
    </tableStyle>
    <tableStyle count="2" pivot="0" name="Hospitalisation Details-style 3">
      <tableStyleElement dxfId="3" type="firstRowStripe"/>
      <tableStyleElement dxfId="2" type="secondRowStripe"/>
    </tableStyle>
    <tableStyle count="4" pivot="0" name="Healthcare-style">
      <tableStyleElement dxfId="4" type="headerRow"/>
      <tableStyleElement dxfId="3" type="firstRowStripe"/>
      <tableStyleElement dxfId="2" type="secondRowStripe"/>
      <tableStyleElement dxfId="2" type="totalRow"/>
    </tableStyle>
    <tableStyle count="2" pivot="0" name="Healthcare-style 2">
      <tableStyleElement dxfId="5"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1.xml"/><Relationship Id="rId10" Type="http://schemas.openxmlformats.org/officeDocument/2006/relationships/worksheet" Target="worksheets/sheet7.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Total hospitalization count
</a:t>
            </a:r>
          </a:p>
        </c:rich>
      </c:tx>
      <c:overlay val="0"/>
    </c:title>
    <c:plotArea>
      <c:layout/>
      <c:barChart>
        <c:barDir val="col"/>
        <c:ser>
          <c:idx val="0"/>
          <c:order val="0"/>
          <c:tx>
            <c:v>Total</c:v>
          </c:tx>
          <c:spPr>
            <a:solidFill>
              <a:schemeClr val="accent1"/>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 table'!$C$4:$C$7</c:f>
            </c:strRef>
          </c:cat>
          <c:val>
            <c:numRef>
              <c:f>'Pivot table'!$D$4:$D$7</c:f>
              <c:numCache/>
            </c:numRef>
          </c:val>
        </c:ser>
        <c:axId val="285055254"/>
        <c:axId val="1707701850"/>
      </c:barChart>
      <c:catAx>
        <c:axId val="285055254"/>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Hospital tiers</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707701850"/>
      </c:catAx>
      <c:valAx>
        <c:axId val="1707701850"/>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Count of Tier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85055254"/>
      </c:valAx>
    </c:plotArea>
    <c:legend>
      <c:legendPos val="r"/>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Total healthcare costs</a:t>
            </a:r>
          </a:p>
        </c:rich>
      </c:tx>
      <c:overlay val="0"/>
    </c:title>
    <c:plotArea>
      <c:layout/>
      <c:lineChart>
        <c:varyColors val="0"/>
        <c:ser>
          <c:idx val="0"/>
          <c:order val="0"/>
          <c:tx>
            <c:v>Total</c:v>
          </c:tx>
          <c:spPr>
            <a:ln cmpd="sng" w="28575">
              <a:solidFill>
                <a:schemeClr val="accent1"/>
              </a:solidFill>
            </a:ln>
          </c:spPr>
          <c:marker>
            <c:symbol val="none"/>
          </c:marker>
          <c:cat>
            <c:strRef>
              <c:f>'Pivot table'!$F$4:$F$7</c:f>
            </c:strRef>
          </c:cat>
          <c:val>
            <c:numRef>
              <c:f>'Pivot table'!$G$4:$G$7</c:f>
              <c:numCache/>
            </c:numRef>
          </c:val>
          <c:smooth val="0"/>
        </c:ser>
        <c:axId val="575767220"/>
        <c:axId val="540264403"/>
      </c:lineChart>
      <c:catAx>
        <c:axId val="575767220"/>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Hospital Tier</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40264403"/>
      </c:catAx>
      <c:valAx>
        <c:axId val="540264403"/>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Sum of charges</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75767220"/>
      </c:valAx>
    </c:plotArea>
    <c:legend>
      <c:legendPos val="r"/>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mn-lt"/>
              </a:defRPr>
            </a:pPr>
            <a:r>
              <a:rPr b="1" i="0" sz="1600">
                <a:solidFill>
                  <a:schemeClr val="lt1"/>
                </a:solidFill>
                <a:latin typeface="+mn-lt"/>
              </a:rPr>
              <a:t>Average Costs and medical metrics</a:t>
            </a:r>
          </a:p>
        </c:rich>
      </c:tx>
      <c:overlay val="0"/>
    </c:title>
    <c:view3D>
      <c:rotX val="50"/>
      <c:perspective val="0"/>
    </c:view3D>
    <c:plotArea>
      <c:layout>
        <c:manualLayout>
          <c:xMode val="edge"/>
          <c:yMode val="edge"/>
          <c:x val="0.09274042806504856"/>
          <c:y val="0.4066935412977684"/>
          <c:w val="0.8145191438699029"/>
          <c:h val="0.25618154190056386"/>
        </c:manualLayout>
      </c:layout>
      <c:pie3DChart>
        <c:varyColors val="1"/>
        <c:ser>
          <c:idx val="0"/>
          <c:order val="0"/>
          <c:tx>
            <c:strRef>
              <c:f>'Pivot table'!$J$3</c:f>
            </c:strRef>
          </c:tx>
          <c:dPt>
            <c:idx val="0"/>
            <c:spPr>
              <a:solidFill>
                <a:schemeClr val="accent1"/>
              </a:solidFill>
            </c:spPr>
          </c:dPt>
          <c:dPt>
            <c:idx val="1"/>
            <c:spPr>
              <a:solidFill>
                <a:schemeClr val="accent2"/>
              </a:solidFill>
            </c:spPr>
          </c:dPt>
          <c:dPt>
            <c:idx val="2"/>
            <c:spPr>
              <a:solidFill>
                <a:schemeClr val="accent3"/>
              </a:solidFill>
            </c:spPr>
          </c:dPt>
          <c:dPt>
            <c:idx val="3"/>
            <c:spPr>
              <a:solidFill>
                <a:srgbClr val="FFC000"/>
              </a:solidFill>
            </c:spPr>
          </c:dPt>
          <c:dLbls>
            <c:showLegendKey val="0"/>
            <c:showVal val="1"/>
            <c:showCatName val="0"/>
            <c:showSerName val="0"/>
            <c:showPercent val="0"/>
            <c:showBubbleSize val="0"/>
            <c:showLeaderLines val="1"/>
          </c:dLbls>
          <c:cat>
            <c:strRef>
              <c:f>'Pivot table'!$I$4:$I$7</c:f>
            </c:strRef>
          </c:cat>
          <c:val>
            <c:numRef>
              <c:f>'Pivot table'!$J$4:$J$7</c:f>
              <c:numCache/>
            </c:numRef>
          </c:val>
        </c:ser>
        <c:dLbls>
          <c:showLegendKey val="0"/>
          <c:showVal val="0"/>
          <c:showCatName val="0"/>
          <c:showSerName val="0"/>
          <c:showPercent val="0"/>
          <c:showBubbleSize val="0"/>
        </c:dLbls>
      </c:pie3DChart>
    </c:plotArea>
    <c:legend>
      <c:legendPos val="b"/>
      <c:overlay val="0"/>
      <c:txPr>
        <a:bodyPr/>
        <a:lstStyle/>
        <a:p>
          <a:pPr lvl="0">
            <a:defRPr b="0" i="0" sz="900">
              <a:solidFill>
                <a:schemeClr val="lt1"/>
              </a:solidFill>
              <a:latin typeface="+mn-lt"/>
            </a:defRPr>
          </a:pPr>
        </a:p>
      </c:txPr>
    </c:legend>
    <c:plotVisOnly val="1"/>
  </c:chart>
  <c:spPr>
    <a:solidFill>
      <a:schemeClr val="dk1"/>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17</xdr:row>
      <xdr:rowOff>85725</xdr:rowOff>
    </xdr:from>
    <xdr:ext cx="4724400" cy="3114675"/>
    <xdr:graphicFrame>
      <xdr:nvGraphicFramePr>
        <xdr:cNvPr id="185118161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3019425</xdr:colOff>
      <xdr:row>17</xdr:row>
      <xdr:rowOff>133350</xdr:rowOff>
    </xdr:from>
    <xdr:ext cx="4486275" cy="2886075"/>
    <xdr:graphicFrame>
      <xdr:nvGraphicFramePr>
        <xdr:cNvPr id="1770327898"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638175</xdr:colOff>
      <xdr:row>36</xdr:row>
      <xdr:rowOff>19050</xdr:rowOff>
    </xdr:from>
    <xdr:ext cx="5086350" cy="2657475"/>
    <xdr:graphicFrame>
      <xdr:nvGraphicFramePr>
        <xdr:cNvPr id="1243924432"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heet2"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heet3"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stomer Names"/>
      <sheetName val="Medical Examinations"/>
      <sheetName val="Hospitalisation Details"/>
      <sheetName val="Healthcare"/>
      <sheetName val="Sheet1"/>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stomer Names"/>
      <sheetName val="Medical Examinations"/>
      <sheetName val="Hospitalisation Details"/>
      <sheetName val="Healthcare"/>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stomer Names"/>
      <sheetName val="Medical Examinations"/>
      <sheetName val="Hospitalisation Details"/>
      <sheetName val="Healthcare"/>
      <sheetName val="Sheet3"/>
    </sheetNames>
    <sheetDataSet>
      <sheetData sheetId="0" refreshError="1"/>
      <sheetData sheetId="1" refreshError="1"/>
      <sheetData sheetId="2" refreshError="1"/>
      <sheetData sheetId="3" refreshError="1"/>
      <sheetData sheetId="4" refreshError="1"/>
    </sheetDataSet>
  </externalBook>
</externalLink>
</file>

<file path=xl/tables/table1.xml><?xml version="1.0" encoding="utf-8"?>
<table xmlns="http://schemas.openxmlformats.org/spreadsheetml/2006/main" headerRowCount="0" ref="Q3:S12" displayName="Table_1" name="Table_1" id="1">
  <tableColumns count="3">
    <tableColumn name="Column1" id="1"/>
    <tableColumn name="Column2" id="2"/>
    <tableColumn name="Column3" id="3"/>
  </tableColumns>
  <tableStyleInfo name="Hospitalisation Details-style" showColumnStripes="0" showFirstColumn="1" showLastColumn="1" showRowStripes="1"/>
</table>
</file>

<file path=xl/tables/table2.xml><?xml version="1.0" encoding="utf-8"?>
<table xmlns="http://schemas.openxmlformats.org/spreadsheetml/2006/main" headerRowCount="0" ref="Q16:S18" displayName="Table_2" name="Table_2" id="2">
  <tableColumns count="3">
    <tableColumn name="Column1" id="1"/>
    <tableColumn name="Column2" id="2"/>
    <tableColumn name="Column3" id="3"/>
  </tableColumns>
  <tableStyleInfo name="Hospitalisation Details-style 2" showColumnStripes="0" showFirstColumn="1" showLastColumn="1" showRowStripes="1"/>
</table>
</file>

<file path=xl/tables/table3.xml><?xml version="1.0" encoding="utf-8"?>
<table xmlns="http://schemas.openxmlformats.org/spreadsheetml/2006/main" headerRowCount="0" ref="Q21:S23" displayName="Table_3" name="Table_3" id="3">
  <tableColumns count="3">
    <tableColumn name="Column1" id="1"/>
    <tableColumn name="Column2" id="2"/>
    <tableColumn name="Column3" id="3"/>
  </tableColumns>
  <tableStyleInfo name="Hospitalisation Details-style 3" showColumnStripes="0" showFirstColumn="1" showLastColumn="1" showRowStripes="1"/>
</table>
</file>

<file path=xl/tables/table4.xml><?xml version="1.0" encoding="utf-8"?>
<table xmlns="http://schemas.openxmlformats.org/spreadsheetml/2006/main" totalsRowCount="1" ref="A1:P2336" displayName="Table_4" name="Table_4" id="4">
  <tableColumns count="16">
    <tableColumn name="Customer id" id="1"/>
    <tableColumn name="First Name" id="2"/>
    <tableColumn name="BMI" id="3"/>
    <tableColumn name="HBA1C" id="4"/>
    <tableColumn name="Heart Issues" id="5"/>
    <tableColumn name="Any Transplants" id="6"/>
    <tableColumn name="Cancer History" id="7"/>
    <tableColumn name="Number Of Major Surgeries" id="8"/>
    <tableColumn name="Smoker" id="9"/>
    <tableColumn name="Weight Status" id="10"/>
    <tableColumn name="Date Of Birth" id="11"/>
    <tableColumn name="Charges" id="12"/>
    <tableColumn name="Hospital Tier" id="13"/>
    <tableColumn name="City Tier" id="14"/>
    <tableColumn name="State ID" id="15"/>
    <tableColumn name="Age" id="16"/>
  </tableColumns>
  <tableStyleInfo name="Healthcare-style" showColumnStripes="0" showFirstColumn="1" showLastColumn="1" showRowStripes="1"/>
</table>
</file>

<file path=xl/tables/table5.xml><?xml version="1.0" encoding="utf-8"?>
<table xmlns="http://schemas.openxmlformats.org/spreadsheetml/2006/main" headerRowCount="0" ref="R5:S8" displayName="Table_5" name="Table_5" id="5">
  <tableColumns count="2">
    <tableColumn name="Column1" id="1"/>
    <tableColumn name="Column2" id="2"/>
  </tableColumns>
  <tableStyleInfo name="Healthcar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4.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37.43"/>
    <col customWidth="1" min="3" max="3" width="19.0"/>
    <col customWidth="1" min="4" max="4" width="21.71"/>
    <col customWidth="1" min="5" max="26" width="8.71"/>
  </cols>
  <sheetData>
    <row r="1" ht="18.75" customHeight="1">
      <c r="A1" s="1" t="str">
        <f>PROPER("Customer ID")</f>
        <v>Customer Id</v>
      </c>
      <c r="B1" s="2" t="s">
        <v>0</v>
      </c>
      <c r="C1" s="3" t="s">
        <v>1</v>
      </c>
      <c r="D1" s="3" t="s">
        <v>2</v>
      </c>
      <c r="E1" s="4"/>
      <c r="F1" s="4"/>
      <c r="G1" s="4"/>
      <c r="H1" s="4"/>
      <c r="I1" s="4"/>
      <c r="J1" s="4"/>
      <c r="K1" s="4"/>
      <c r="L1" s="4"/>
      <c r="M1" s="4"/>
      <c r="N1" s="4"/>
      <c r="O1" s="4"/>
      <c r="P1" s="4"/>
      <c r="Q1" s="4"/>
      <c r="R1" s="4"/>
      <c r="S1" s="4"/>
      <c r="T1" s="4"/>
      <c r="U1" s="4"/>
      <c r="V1" s="4"/>
      <c r="W1" s="4"/>
      <c r="X1" s="4"/>
      <c r="Y1" s="4"/>
      <c r="Z1" s="4"/>
    </row>
    <row r="2">
      <c r="A2" s="5" t="s">
        <v>3</v>
      </c>
      <c r="B2" s="5" t="s">
        <v>4</v>
      </c>
      <c r="C2" s="5" t="str">
        <f t="shared" ref="C2:C2336" si="1">LEFT(B2,FIND(" ",B2)-2)</f>
        <v>Hawks</v>
      </c>
      <c r="D2" s="5" t="str">
        <f t="shared" ref="D2:D2336" si="2">RIGHT(B2,LEN(B2)-FIND("  ",B2))</f>
        <v> Kelly</v>
      </c>
    </row>
    <row r="3">
      <c r="A3" s="5" t="s">
        <v>5</v>
      </c>
      <c r="B3" s="5" t="s">
        <v>6</v>
      </c>
      <c r="C3" s="5" t="str">
        <f t="shared" si="1"/>
        <v>Lehner</v>
      </c>
      <c r="D3" s="5" t="str">
        <f t="shared" si="2"/>
        <v> Matthew D</v>
      </c>
    </row>
    <row r="4">
      <c r="A4" s="5" t="s">
        <v>7</v>
      </c>
      <c r="B4" s="5" t="s">
        <v>8</v>
      </c>
      <c r="C4" s="5" t="str">
        <f t="shared" si="1"/>
        <v>Lu</v>
      </c>
      <c r="D4" s="5" t="str">
        <f t="shared" si="2"/>
        <v> Phil</v>
      </c>
    </row>
    <row r="5">
      <c r="A5" s="5" t="s">
        <v>9</v>
      </c>
      <c r="B5" s="5" t="s">
        <v>10</v>
      </c>
      <c r="C5" s="5" t="str">
        <f t="shared" si="1"/>
        <v>Osborne</v>
      </c>
      <c r="D5" s="5" t="str">
        <f t="shared" si="2"/>
        <v> Kelsey</v>
      </c>
    </row>
    <row r="6">
      <c r="A6" s="5" t="s">
        <v>11</v>
      </c>
      <c r="B6" s="5" t="s">
        <v>12</v>
      </c>
      <c r="C6" s="5" t="str">
        <f t="shared" si="1"/>
        <v>Kadala</v>
      </c>
      <c r="D6" s="5" t="str">
        <f t="shared" si="2"/>
        <v> Kristyn</v>
      </c>
    </row>
    <row r="7">
      <c r="A7" s="5" t="s">
        <v>13</v>
      </c>
      <c r="B7" s="5" t="s">
        <v>14</v>
      </c>
      <c r="C7" s="5" t="str">
        <f t="shared" si="1"/>
        <v>Baker</v>
      </c>
      <c r="D7" s="5" t="str">
        <f t="shared" si="2"/>
        <v> Russell B.</v>
      </c>
    </row>
    <row r="8">
      <c r="A8" s="5" t="s">
        <v>15</v>
      </c>
      <c r="B8" s="5" t="s">
        <v>16</v>
      </c>
      <c r="C8" s="5" t="str">
        <f t="shared" si="1"/>
        <v>Macpherson</v>
      </c>
      <c r="D8" s="5" t="str">
        <f t="shared" si="2"/>
        <v> Scott</v>
      </c>
    </row>
    <row r="9">
      <c r="A9" s="5" t="s">
        <v>17</v>
      </c>
      <c r="B9" s="5" t="s">
        <v>18</v>
      </c>
      <c r="C9" s="5" t="str">
        <f t="shared" si="1"/>
        <v>Hallman</v>
      </c>
      <c r="D9" s="5" t="str">
        <f t="shared" si="2"/>
        <v> Stephen</v>
      </c>
    </row>
    <row r="10">
      <c r="A10" s="5" t="s">
        <v>19</v>
      </c>
      <c r="B10" s="5" t="s">
        <v>20</v>
      </c>
      <c r="C10" s="5" t="str">
        <f t="shared" si="1"/>
        <v>Moran</v>
      </c>
      <c r="D10" s="5" t="str">
        <f t="shared" si="2"/>
        <v> Patrick R.</v>
      </c>
    </row>
    <row r="11">
      <c r="A11" s="5" t="s">
        <v>21</v>
      </c>
      <c r="B11" s="5" t="s">
        <v>22</v>
      </c>
      <c r="C11" s="5" t="str">
        <f t="shared" si="1"/>
        <v>Benner</v>
      </c>
      <c r="D11" s="5" t="str">
        <f t="shared" si="2"/>
        <v> Brooke N.</v>
      </c>
    </row>
    <row r="12">
      <c r="A12" s="5" t="s">
        <v>23</v>
      </c>
      <c r="B12" s="5" t="s">
        <v>24</v>
      </c>
      <c r="C12" s="5" t="str">
        <f t="shared" si="1"/>
        <v>Fierr</v>
      </c>
      <c r="D12" s="5" t="str">
        <f t="shared" si="2"/>
        <v> Paola Andrea</v>
      </c>
    </row>
    <row r="13">
      <c r="A13" s="5" t="s">
        <v>25</v>
      </c>
      <c r="B13" s="5" t="s">
        <v>26</v>
      </c>
      <c r="C13" s="5" t="str">
        <f t="shared" si="1"/>
        <v>Franz</v>
      </c>
      <c r="D13" s="5" t="str">
        <f t="shared" si="2"/>
        <v> David</v>
      </c>
    </row>
    <row r="14">
      <c r="A14" s="5" t="s">
        <v>27</v>
      </c>
      <c r="B14" s="5" t="s">
        <v>28</v>
      </c>
      <c r="C14" s="5" t="str">
        <f t="shared" si="1"/>
        <v>Foster</v>
      </c>
      <c r="D14" s="5" t="str">
        <f t="shared" si="2"/>
        <v> Wade</v>
      </c>
    </row>
    <row r="15">
      <c r="A15" s="5" t="s">
        <v>29</v>
      </c>
      <c r="B15" s="5" t="s">
        <v>30</v>
      </c>
      <c r="C15" s="5" t="str">
        <f t="shared" si="1"/>
        <v>Tenorio</v>
      </c>
      <c r="D15" s="5" t="str">
        <f t="shared" si="2"/>
        <v> Franklin</v>
      </c>
    </row>
    <row r="16">
      <c r="A16" s="5" t="s">
        <v>31</v>
      </c>
      <c r="B16" s="5" t="s">
        <v>32</v>
      </c>
      <c r="C16" s="5" t="str">
        <f t="shared" si="1"/>
        <v>Rios</v>
      </c>
      <c r="D16" s="5" t="str">
        <f t="shared" si="2"/>
        <v> Leilani M.</v>
      </c>
    </row>
    <row r="17">
      <c r="A17" s="5" t="s">
        <v>33</v>
      </c>
      <c r="B17" s="5" t="s">
        <v>34</v>
      </c>
      <c r="C17" s="5" t="str">
        <f t="shared" si="1"/>
        <v>Viau-Dupuis</v>
      </c>
      <c r="D17" s="5" t="str">
        <f t="shared" si="2"/>
        <v> Philippe</v>
      </c>
    </row>
    <row r="18">
      <c r="A18" s="5" t="s">
        <v>35</v>
      </c>
      <c r="B18" s="5" t="s">
        <v>36</v>
      </c>
      <c r="C18" s="5" t="str">
        <f t="shared" si="1"/>
        <v>Cronin</v>
      </c>
      <c r="D18" s="5" t="str">
        <f t="shared" si="2"/>
        <v> Jennifer A.</v>
      </c>
    </row>
    <row r="19">
      <c r="A19" s="5" t="s">
        <v>37</v>
      </c>
      <c r="B19" s="5" t="s">
        <v>38</v>
      </c>
      <c r="C19" s="5" t="str">
        <f t="shared" si="1"/>
        <v>Noordstar</v>
      </c>
      <c r="D19" s="5" t="str">
        <f t="shared" si="2"/>
        <v> Christina M.</v>
      </c>
    </row>
    <row r="20">
      <c r="A20" s="5" t="s">
        <v>39</v>
      </c>
      <c r="B20" s="5" t="s">
        <v>40</v>
      </c>
      <c r="C20" s="5" t="str">
        <f t="shared" si="1"/>
        <v>Boudalia</v>
      </c>
      <c r="D20" s="5" t="str">
        <f t="shared" si="2"/>
        <v> Said Sr.</v>
      </c>
    </row>
    <row r="21" ht="15.75" customHeight="1">
      <c r="A21" s="5" t="s">
        <v>41</v>
      </c>
      <c r="B21" s="5" t="s">
        <v>42</v>
      </c>
      <c r="C21" s="5" t="str">
        <f t="shared" si="1"/>
        <v>Flor</v>
      </c>
      <c r="D21" s="5" t="str">
        <f t="shared" si="2"/>
        <v> John</v>
      </c>
    </row>
    <row r="22" ht="15.75" customHeight="1">
      <c r="A22" s="5" t="s">
        <v>43</v>
      </c>
      <c r="B22" s="5" t="s">
        <v>44</v>
      </c>
      <c r="C22" s="5" t="str">
        <f t="shared" si="1"/>
        <v>Fennon</v>
      </c>
      <c r="D22" s="5" t="str">
        <f t="shared" si="2"/>
        <v> Myles</v>
      </c>
    </row>
    <row r="23" ht="15.75" customHeight="1">
      <c r="A23" s="5" t="s">
        <v>45</v>
      </c>
      <c r="B23" s="5" t="s">
        <v>46</v>
      </c>
      <c r="C23" s="5" t="str">
        <f t="shared" si="1"/>
        <v>Hribar</v>
      </c>
      <c r="D23" s="5" t="str">
        <f t="shared" si="2"/>
        <v> Madelyn C</v>
      </c>
    </row>
    <row r="24" ht="15.75" customHeight="1">
      <c r="A24" s="5" t="s">
        <v>47</v>
      </c>
      <c r="B24" s="5" t="s">
        <v>48</v>
      </c>
      <c r="C24" s="5" t="str">
        <f t="shared" si="1"/>
        <v>Tassello</v>
      </c>
      <c r="D24" s="5" t="str">
        <f t="shared" si="2"/>
        <v> Nicole</v>
      </c>
    </row>
    <row r="25" ht="15.75" customHeight="1">
      <c r="A25" s="5" t="s">
        <v>49</v>
      </c>
      <c r="B25" s="5" t="s">
        <v>50</v>
      </c>
      <c r="C25" s="5" t="str">
        <f t="shared" si="1"/>
        <v>Mauricette</v>
      </c>
      <c r="D25" s="5" t="str">
        <f t="shared" si="2"/>
        <v> Eric A.</v>
      </c>
    </row>
    <row r="26" ht="15.75" customHeight="1">
      <c r="A26" s="5" t="s">
        <v>51</v>
      </c>
      <c r="B26" s="5" t="s">
        <v>52</v>
      </c>
      <c r="C26" s="5" t="str">
        <f t="shared" si="1"/>
        <v>Garcia</v>
      </c>
      <c r="D26" s="5" t="str">
        <f t="shared" si="2"/>
        <v> Emiliano I.</v>
      </c>
    </row>
    <row r="27" ht="15.75" customHeight="1">
      <c r="A27" s="5" t="s">
        <v>53</v>
      </c>
      <c r="B27" s="5" t="s">
        <v>54</v>
      </c>
      <c r="C27" s="5" t="str">
        <f t="shared" si="1"/>
        <v>Airoldi</v>
      </c>
      <c r="D27" s="5" t="str">
        <f t="shared" si="2"/>
        <v> Adam</v>
      </c>
    </row>
    <row r="28" ht="15.75" customHeight="1">
      <c r="A28" s="5" t="s">
        <v>55</v>
      </c>
      <c r="B28" s="5" t="s">
        <v>56</v>
      </c>
      <c r="C28" s="5" t="str">
        <f t="shared" si="1"/>
        <v>Cater-Cyker</v>
      </c>
      <c r="D28" s="5" t="str">
        <f t="shared" si="2"/>
        <v> Zach</v>
      </c>
    </row>
    <row r="29" ht="15.75" customHeight="1">
      <c r="A29" s="5" t="s">
        <v>57</v>
      </c>
      <c r="B29" s="5" t="s">
        <v>58</v>
      </c>
      <c r="C29" s="5" t="str">
        <f t="shared" si="1"/>
        <v>Hamm</v>
      </c>
      <c r="D29" s="5" t="str">
        <f t="shared" si="2"/>
        <v> Stephanie W.</v>
      </c>
    </row>
    <row r="30" ht="15.75" customHeight="1">
      <c r="A30" s="5" t="s">
        <v>59</v>
      </c>
      <c r="B30" s="5" t="s">
        <v>60</v>
      </c>
      <c r="C30" s="5" t="str">
        <f t="shared" si="1"/>
        <v>Cox</v>
      </c>
      <c r="D30" s="5" t="str">
        <f t="shared" si="2"/>
        <v> Stephen</v>
      </c>
    </row>
    <row r="31" ht="15.75" customHeight="1">
      <c r="A31" s="5" t="s">
        <v>61</v>
      </c>
      <c r="B31" s="5" t="s">
        <v>62</v>
      </c>
      <c r="C31" s="5" t="str">
        <f t="shared" si="1"/>
        <v>Sachrajda</v>
      </c>
      <c r="D31" s="5" t="str">
        <f t="shared" si="2"/>
        <v> Natalie</v>
      </c>
    </row>
    <row r="32" ht="15.75" customHeight="1">
      <c r="A32" s="5" t="s">
        <v>63</v>
      </c>
      <c r="B32" s="5" t="s">
        <v>64</v>
      </c>
      <c r="C32" s="5" t="str">
        <f t="shared" si="1"/>
        <v>Gareri</v>
      </c>
      <c r="D32" s="5" t="str">
        <f t="shared" si="2"/>
        <v> Nicole J.</v>
      </c>
    </row>
    <row r="33" ht="15.75" customHeight="1">
      <c r="A33" s="5" t="s">
        <v>65</v>
      </c>
      <c r="B33" s="5" t="s">
        <v>66</v>
      </c>
      <c r="C33" s="5" t="str">
        <f t="shared" si="1"/>
        <v>Welch</v>
      </c>
      <c r="D33" s="5" t="str">
        <f t="shared" si="2"/>
        <v> Jefferson D</v>
      </c>
    </row>
    <row r="34" ht="15.75" customHeight="1">
      <c r="A34" s="5" t="s">
        <v>67</v>
      </c>
      <c r="B34" s="5" t="s">
        <v>68</v>
      </c>
      <c r="C34" s="5" t="str">
        <f t="shared" si="1"/>
        <v>Prindiville</v>
      </c>
      <c r="D34" s="5" t="str">
        <f t="shared" si="2"/>
        <v> Brendan D.</v>
      </c>
    </row>
    <row r="35" ht="15.75" customHeight="1">
      <c r="A35" s="5" t="s">
        <v>69</v>
      </c>
      <c r="B35" s="5" t="s">
        <v>70</v>
      </c>
      <c r="C35" s="5" t="str">
        <f t="shared" si="1"/>
        <v>Kincaid</v>
      </c>
      <c r="D35" s="5" t="str">
        <f t="shared" si="2"/>
        <v> Courtney</v>
      </c>
    </row>
    <row r="36" ht="15.75" customHeight="1">
      <c r="A36" s="5" t="s">
        <v>71</v>
      </c>
      <c r="B36" s="5" t="s">
        <v>72</v>
      </c>
      <c r="C36" s="5" t="str">
        <f t="shared" si="1"/>
        <v>Bruestle</v>
      </c>
      <c r="D36" s="5" t="str">
        <f t="shared" si="2"/>
        <v> Sydney L.</v>
      </c>
    </row>
    <row r="37" ht="15.75" customHeight="1">
      <c r="A37" s="5" t="s">
        <v>73</v>
      </c>
      <c r="B37" s="5" t="s">
        <v>74</v>
      </c>
      <c r="C37" s="5" t="str">
        <f t="shared" si="1"/>
        <v>Lachance</v>
      </c>
      <c r="D37" s="5" t="str">
        <f t="shared" si="2"/>
        <v> Julien</v>
      </c>
    </row>
    <row r="38" ht="15.75" customHeight="1">
      <c r="A38" s="5" t="s">
        <v>75</v>
      </c>
      <c r="B38" s="5" t="s">
        <v>76</v>
      </c>
      <c r="C38" s="5" t="str">
        <f t="shared" si="1"/>
        <v>Eason</v>
      </c>
      <c r="D38" s="5" t="str">
        <f t="shared" si="2"/>
        <v> Ryan M</v>
      </c>
    </row>
    <row r="39" ht="15.75" customHeight="1">
      <c r="A39" s="5" t="s">
        <v>77</v>
      </c>
      <c r="B39" s="5" t="s">
        <v>78</v>
      </c>
      <c r="C39" s="5" t="str">
        <f t="shared" si="1"/>
        <v>Grummon</v>
      </c>
      <c r="D39" s="5" t="str">
        <f t="shared" si="2"/>
        <v> Anna H.</v>
      </c>
    </row>
    <row r="40" ht="15.75" customHeight="1">
      <c r="A40" s="5" t="s">
        <v>79</v>
      </c>
      <c r="B40" s="5" t="s">
        <v>80</v>
      </c>
      <c r="C40" s="5" t="str">
        <f t="shared" si="1"/>
        <v>Vanwechel</v>
      </c>
      <c r="D40" s="5" t="str">
        <f t="shared" si="2"/>
        <v> Samantha</v>
      </c>
    </row>
    <row r="41" ht="15.75" customHeight="1">
      <c r="A41" s="5" t="s">
        <v>81</v>
      </c>
      <c r="B41" s="5" t="s">
        <v>82</v>
      </c>
      <c r="C41" s="5" t="str">
        <f t="shared" si="1"/>
        <v>Fisher</v>
      </c>
      <c r="D41" s="5" t="str">
        <f t="shared" si="2"/>
        <v> Robert</v>
      </c>
    </row>
    <row r="42" ht="15.75" customHeight="1">
      <c r="A42" s="5" t="s">
        <v>83</v>
      </c>
      <c r="B42" s="5" t="s">
        <v>84</v>
      </c>
      <c r="C42" s="5" t="str">
        <f t="shared" si="1"/>
        <v>Jenkins</v>
      </c>
      <c r="D42" s="5" t="str">
        <f t="shared" si="2"/>
        <v> James R.</v>
      </c>
    </row>
    <row r="43" ht="15.75" customHeight="1">
      <c r="A43" s="5" t="s">
        <v>85</v>
      </c>
      <c r="B43" s="5" t="s">
        <v>86</v>
      </c>
      <c r="C43" s="5" t="str">
        <f t="shared" si="1"/>
        <v>Peters</v>
      </c>
      <c r="D43" s="5" t="str">
        <f t="shared" si="2"/>
        <v> Roseann</v>
      </c>
    </row>
    <row r="44" ht="15.75" customHeight="1">
      <c r="A44" s="5" t="s">
        <v>87</v>
      </c>
      <c r="B44" s="5" t="s">
        <v>88</v>
      </c>
      <c r="C44" s="5" t="str">
        <f t="shared" si="1"/>
        <v>Aha</v>
      </c>
      <c r="D44" s="5" t="str">
        <f t="shared" si="2"/>
        <v> Nicole</v>
      </c>
    </row>
    <row r="45" ht="15.75" customHeight="1">
      <c r="A45" s="5" t="s">
        <v>89</v>
      </c>
      <c r="B45" s="5" t="s">
        <v>90</v>
      </c>
      <c r="C45" s="5" t="str">
        <f t="shared" si="1"/>
        <v>McElwain</v>
      </c>
      <c r="D45" s="5" t="str">
        <f t="shared" si="2"/>
        <v> Spencer</v>
      </c>
    </row>
    <row r="46" ht="15.75" customHeight="1">
      <c r="A46" s="5" t="s">
        <v>91</v>
      </c>
      <c r="B46" s="5" t="s">
        <v>92</v>
      </c>
      <c r="C46" s="5" t="str">
        <f t="shared" si="1"/>
        <v>Januszewski</v>
      </c>
      <c r="D46" s="5" t="str">
        <f t="shared" si="2"/>
        <v> Eric W</v>
      </c>
    </row>
    <row r="47" ht="15.75" customHeight="1">
      <c r="A47" s="5" t="s">
        <v>93</v>
      </c>
      <c r="B47" s="5" t="s">
        <v>94</v>
      </c>
      <c r="C47" s="5" t="str">
        <f t="shared" si="1"/>
        <v>Rohne</v>
      </c>
      <c r="D47" s="5" t="str">
        <f t="shared" si="2"/>
        <v> Brianna L</v>
      </c>
    </row>
    <row r="48" ht="15.75" customHeight="1">
      <c r="A48" s="5" t="s">
        <v>95</v>
      </c>
      <c r="B48" s="5" t="s">
        <v>96</v>
      </c>
      <c r="C48" s="5" t="str">
        <f t="shared" si="1"/>
        <v>O'Grady</v>
      </c>
      <c r="D48" s="5" t="str">
        <f t="shared" si="2"/>
        <v> Thomas J.</v>
      </c>
    </row>
    <row r="49" ht="15.75" customHeight="1">
      <c r="A49" s="5" t="s">
        <v>97</v>
      </c>
      <c r="B49" s="5" t="s">
        <v>98</v>
      </c>
      <c r="C49" s="5" t="str">
        <f t="shared" si="1"/>
        <v>Peters</v>
      </c>
      <c r="D49" s="5" t="str">
        <f t="shared" si="2"/>
        <v> Melissa L</v>
      </c>
    </row>
    <row r="50" ht="15.75" customHeight="1">
      <c r="A50" s="5" t="s">
        <v>99</v>
      </c>
      <c r="B50" s="5" t="s">
        <v>100</v>
      </c>
      <c r="C50" s="5" t="str">
        <f t="shared" si="1"/>
        <v>D</v>
      </c>
      <c r="D50" s="5" t="str">
        <f t="shared" si="2"/>
        <v> Flavio</v>
      </c>
    </row>
    <row r="51" ht="15.75" customHeight="1">
      <c r="A51" s="5" t="s">
        <v>101</v>
      </c>
      <c r="B51" s="5" t="s">
        <v>102</v>
      </c>
      <c r="C51" s="5" t="str">
        <f t="shared" si="1"/>
        <v>Beckett</v>
      </c>
      <c r="D51" s="5" t="str">
        <f t="shared" si="2"/>
        <v> Ryan</v>
      </c>
    </row>
    <row r="52" ht="15.75" customHeight="1">
      <c r="A52" s="5" t="s">
        <v>103</v>
      </c>
      <c r="B52" s="5" t="s">
        <v>104</v>
      </c>
      <c r="C52" s="5" t="str">
        <f t="shared" si="1"/>
        <v>Sobrilsky</v>
      </c>
      <c r="D52" s="5" t="str">
        <f t="shared" si="2"/>
        <v> Anthony J.</v>
      </c>
    </row>
    <row r="53" ht="15.75" customHeight="1">
      <c r="A53" s="5" t="s">
        <v>105</v>
      </c>
      <c r="B53" s="5" t="s">
        <v>106</v>
      </c>
      <c r="C53" s="5" t="str">
        <f t="shared" si="1"/>
        <v>Wang</v>
      </c>
      <c r="D53" s="5" t="str">
        <f t="shared" si="2"/>
        <v> Alex</v>
      </c>
    </row>
    <row r="54" ht="15.75" customHeight="1">
      <c r="A54" s="5" t="s">
        <v>107</v>
      </c>
      <c r="B54" s="5" t="s">
        <v>108</v>
      </c>
      <c r="C54" s="5" t="str">
        <f t="shared" si="1"/>
        <v>Campa</v>
      </c>
      <c r="D54" s="5" t="str">
        <f t="shared" si="2"/>
        <v> David</v>
      </c>
    </row>
    <row r="55" ht="15.75" customHeight="1">
      <c r="A55" s="5" t="s">
        <v>109</v>
      </c>
      <c r="B55" s="5" t="s">
        <v>110</v>
      </c>
      <c r="C55" s="5" t="str">
        <f t="shared" si="1"/>
        <v>Clifford</v>
      </c>
      <c r="D55" s="5" t="str">
        <f t="shared" si="2"/>
        <v> Andrew B</v>
      </c>
    </row>
    <row r="56" ht="15.75" customHeight="1">
      <c r="A56" s="5" t="s">
        <v>111</v>
      </c>
      <c r="B56" s="5" t="s">
        <v>112</v>
      </c>
      <c r="C56" s="5" t="str">
        <f t="shared" si="1"/>
        <v>Dalmata</v>
      </c>
      <c r="D56" s="5" t="str">
        <f t="shared" si="2"/>
        <v> Dara E</v>
      </c>
    </row>
    <row r="57" ht="15.75" customHeight="1">
      <c r="A57" s="5" t="s">
        <v>113</v>
      </c>
      <c r="B57" s="5" t="s">
        <v>114</v>
      </c>
      <c r="C57" s="5" t="str">
        <f t="shared" si="1"/>
        <v>Vishik</v>
      </c>
      <c r="D57" s="5" t="str">
        <f t="shared" si="2"/>
        <v> Inna</v>
      </c>
    </row>
    <row r="58" ht="15.75" customHeight="1">
      <c r="A58" s="5" t="s">
        <v>115</v>
      </c>
      <c r="B58" s="5" t="s">
        <v>116</v>
      </c>
      <c r="C58" s="5" t="str">
        <f t="shared" si="1"/>
        <v>Schorr</v>
      </c>
      <c r="D58" s="5" t="str">
        <f t="shared" si="2"/>
        <v> Ari</v>
      </c>
    </row>
    <row r="59" ht="15.75" customHeight="1">
      <c r="A59" s="5" t="s">
        <v>117</v>
      </c>
      <c r="B59" s="5" t="s">
        <v>118</v>
      </c>
      <c r="C59" s="5" t="str">
        <f t="shared" si="1"/>
        <v>Lusardi</v>
      </c>
      <c r="D59" s="5" t="str">
        <f t="shared" si="2"/>
        <v> Lindsey</v>
      </c>
    </row>
    <row r="60" ht="15.75" customHeight="1">
      <c r="A60" s="5" t="s">
        <v>119</v>
      </c>
      <c r="B60" s="5" t="s">
        <v>120</v>
      </c>
      <c r="C60" s="5" t="str">
        <f t="shared" si="1"/>
        <v>Rayner</v>
      </c>
      <c r="D60" s="5" t="str">
        <f t="shared" si="2"/>
        <v> Kenny</v>
      </c>
    </row>
    <row r="61" ht="15.75" customHeight="1">
      <c r="A61" s="5" t="s">
        <v>121</v>
      </c>
      <c r="B61" s="5" t="s">
        <v>122</v>
      </c>
      <c r="C61" s="5" t="str">
        <f t="shared" si="1"/>
        <v>Voghel</v>
      </c>
      <c r="D61" s="5" t="str">
        <f t="shared" si="2"/>
        <v> Louise</v>
      </c>
    </row>
    <row r="62" ht="15.75" customHeight="1">
      <c r="A62" s="5" t="s">
        <v>123</v>
      </c>
      <c r="B62" s="5" t="s">
        <v>124</v>
      </c>
      <c r="C62" s="5" t="str">
        <f t="shared" si="1"/>
        <v>Rieth</v>
      </c>
      <c r="D62" s="5" t="str">
        <f t="shared" si="2"/>
        <v> Cameron</v>
      </c>
    </row>
    <row r="63" ht="15.75" customHeight="1">
      <c r="A63" s="5" t="s">
        <v>125</v>
      </c>
      <c r="B63" s="5" t="s">
        <v>126</v>
      </c>
      <c r="C63" s="5" t="str">
        <f t="shared" si="1"/>
        <v>Gollotto</v>
      </c>
      <c r="D63" s="5" t="str">
        <f t="shared" si="2"/>
        <v> Katie T.</v>
      </c>
    </row>
    <row r="64" ht="15.75" customHeight="1">
      <c r="A64" s="5" t="s">
        <v>127</v>
      </c>
      <c r="B64" s="5" t="s">
        <v>128</v>
      </c>
      <c r="C64" s="5" t="str">
        <f t="shared" si="1"/>
        <v>Dunn</v>
      </c>
      <c r="D64" s="5" t="str">
        <f t="shared" si="2"/>
        <v> Casey</v>
      </c>
    </row>
    <row r="65" ht="15.75" customHeight="1">
      <c r="A65" s="5" t="s">
        <v>129</v>
      </c>
      <c r="B65" s="5" t="s">
        <v>130</v>
      </c>
      <c r="C65" s="5" t="str">
        <f t="shared" si="1"/>
        <v>Blitzer</v>
      </c>
      <c r="D65" s="5" t="str">
        <f t="shared" si="2"/>
        <v> David</v>
      </c>
    </row>
    <row r="66" ht="15.75" customHeight="1">
      <c r="A66" s="5" t="s">
        <v>131</v>
      </c>
      <c r="B66" s="5" t="s">
        <v>132</v>
      </c>
      <c r="C66" s="5" t="str">
        <f t="shared" si="1"/>
        <v>Smith</v>
      </c>
      <c r="D66" s="5" t="str">
        <f t="shared" si="2"/>
        <v> Bryson C.</v>
      </c>
    </row>
    <row r="67" ht="15.75" customHeight="1">
      <c r="A67" s="5" t="s">
        <v>133</v>
      </c>
      <c r="B67" s="5" t="s">
        <v>134</v>
      </c>
      <c r="C67" s="5" t="str">
        <f t="shared" si="1"/>
        <v>Hyland</v>
      </c>
      <c r="D67" s="5" t="str">
        <f t="shared" si="2"/>
        <v> Megan</v>
      </c>
    </row>
    <row r="68" ht="15.75" customHeight="1">
      <c r="A68" s="5" t="s">
        <v>135</v>
      </c>
      <c r="B68" s="5" t="s">
        <v>136</v>
      </c>
      <c r="C68" s="5" t="str">
        <f t="shared" si="1"/>
        <v>Ducharme</v>
      </c>
      <c r="D68" s="5" t="str">
        <f t="shared" si="2"/>
        <v> Daniel</v>
      </c>
    </row>
    <row r="69" ht="15.75" customHeight="1">
      <c r="A69" s="5" t="s">
        <v>137</v>
      </c>
      <c r="B69" s="5" t="s">
        <v>138</v>
      </c>
      <c r="C69" s="5" t="str">
        <f t="shared" si="1"/>
        <v>Johnson</v>
      </c>
      <c r="D69" s="5" t="str">
        <f t="shared" si="2"/>
        <v> Steven M.</v>
      </c>
    </row>
    <row r="70" ht="15.75" customHeight="1">
      <c r="A70" s="5" t="s">
        <v>139</v>
      </c>
      <c r="B70" s="5" t="s">
        <v>140</v>
      </c>
      <c r="C70" s="5" t="str">
        <f t="shared" si="1"/>
        <v>Mutz</v>
      </c>
      <c r="D70" s="5" t="str">
        <f t="shared" si="2"/>
        <v> Jenna L.</v>
      </c>
    </row>
    <row r="71" ht="15.75" customHeight="1">
      <c r="A71" s="5" t="s">
        <v>141</v>
      </c>
      <c r="B71" s="5" t="s">
        <v>142</v>
      </c>
      <c r="C71" s="5" t="str">
        <f t="shared" si="1"/>
        <v>Lee</v>
      </c>
      <c r="D71" s="5" t="str">
        <f t="shared" si="2"/>
        <v> Freeman</v>
      </c>
    </row>
    <row r="72" ht="15.75" customHeight="1">
      <c r="A72" s="5" t="s">
        <v>143</v>
      </c>
      <c r="B72" s="5" t="s">
        <v>144</v>
      </c>
      <c r="C72" s="5" t="str">
        <f t="shared" si="1"/>
        <v>Turner</v>
      </c>
      <c r="D72" s="5" t="str">
        <f t="shared" si="2"/>
        <v> Jeff</v>
      </c>
    </row>
    <row r="73" ht="15.75" customHeight="1">
      <c r="A73" s="5" t="s">
        <v>145</v>
      </c>
      <c r="B73" s="5" t="s">
        <v>146</v>
      </c>
      <c r="C73" s="5" t="str">
        <f t="shared" si="1"/>
        <v>Rangel</v>
      </c>
      <c r="D73" s="5" t="str">
        <f t="shared" si="2"/>
        <v> Elenilton V. Sr.</v>
      </c>
    </row>
    <row r="74" ht="15.75" customHeight="1">
      <c r="A74" s="5" t="s">
        <v>147</v>
      </c>
      <c r="B74" s="5" t="s">
        <v>148</v>
      </c>
      <c r="C74" s="5" t="str">
        <f t="shared" si="1"/>
        <v>Lacey</v>
      </c>
      <c r="D74" s="5" t="str">
        <f t="shared" si="2"/>
        <v> Maurya</v>
      </c>
    </row>
    <row r="75" ht="15.75" customHeight="1">
      <c r="A75" s="5" t="s">
        <v>149</v>
      </c>
      <c r="B75" s="5" t="s">
        <v>150</v>
      </c>
      <c r="C75" s="5" t="str">
        <f t="shared" si="1"/>
        <v>Stiger</v>
      </c>
      <c r="D75" s="5" t="str">
        <f t="shared" si="2"/>
        <v> Samantha C</v>
      </c>
    </row>
    <row r="76" ht="15.75" customHeight="1">
      <c r="A76" s="5" t="s">
        <v>151</v>
      </c>
      <c r="B76" s="5" t="s">
        <v>152</v>
      </c>
      <c r="C76" s="5" t="str">
        <f t="shared" si="1"/>
        <v>Caldwell</v>
      </c>
      <c r="D76" s="5" t="str">
        <f t="shared" si="2"/>
        <v> Bethany A</v>
      </c>
    </row>
    <row r="77" ht="15.75" customHeight="1">
      <c r="A77" s="5" t="s">
        <v>153</v>
      </c>
      <c r="B77" s="5" t="s">
        <v>154</v>
      </c>
      <c r="C77" s="5" t="str">
        <f t="shared" si="1"/>
        <v>Marmillod</v>
      </c>
      <c r="D77" s="5" t="str">
        <f t="shared" si="2"/>
        <v> Yves</v>
      </c>
    </row>
    <row r="78" ht="15.75" customHeight="1">
      <c r="A78" s="5" t="s">
        <v>155</v>
      </c>
      <c r="B78" s="5" t="s">
        <v>156</v>
      </c>
      <c r="C78" s="5" t="str">
        <f t="shared" si="1"/>
        <v>Cloutier-Simons</v>
      </c>
      <c r="D78" s="5" t="str">
        <f t="shared" si="2"/>
        <v> Danielle</v>
      </c>
    </row>
    <row r="79" ht="15.75" customHeight="1">
      <c r="A79" s="5" t="s">
        <v>157</v>
      </c>
      <c r="B79" s="5" t="s">
        <v>158</v>
      </c>
      <c r="C79" s="5" t="str">
        <f t="shared" si="1"/>
        <v>Vegas</v>
      </c>
      <c r="D79" s="5" t="str">
        <f t="shared" si="2"/>
        <v> Julia</v>
      </c>
    </row>
    <row r="80" ht="15.75" customHeight="1">
      <c r="A80" s="5" t="s">
        <v>159</v>
      </c>
      <c r="B80" s="5" t="s">
        <v>160</v>
      </c>
      <c r="C80" s="5" t="str">
        <f t="shared" si="1"/>
        <v>Cochran</v>
      </c>
      <c r="D80" s="5" t="str">
        <f t="shared" si="2"/>
        <v> Joshua</v>
      </c>
    </row>
    <row r="81" ht="15.75" customHeight="1">
      <c r="A81" s="5" t="s">
        <v>161</v>
      </c>
      <c r="B81" s="5" t="s">
        <v>162</v>
      </c>
      <c r="C81" s="5" t="str">
        <f t="shared" si="1"/>
        <v>Holtzapple</v>
      </c>
      <c r="D81" s="5" t="str">
        <f t="shared" si="2"/>
        <v> Jennifer</v>
      </c>
    </row>
    <row r="82" ht="15.75" customHeight="1">
      <c r="A82" s="5" t="s">
        <v>163</v>
      </c>
      <c r="B82" s="5" t="s">
        <v>164</v>
      </c>
      <c r="C82" s="5" t="str">
        <f t="shared" si="1"/>
        <v>Meyer</v>
      </c>
      <c r="D82" s="5" t="str">
        <f t="shared" si="2"/>
        <v> Gwen M.</v>
      </c>
    </row>
    <row r="83" ht="15.75" customHeight="1">
      <c r="A83" s="5" t="s">
        <v>165</v>
      </c>
      <c r="B83" s="5" t="s">
        <v>166</v>
      </c>
      <c r="C83" s="5" t="str">
        <f t="shared" si="1"/>
        <v>Brickley</v>
      </c>
      <c r="D83" s="5" t="str">
        <f t="shared" si="2"/>
        <v> Patrick</v>
      </c>
    </row>
    <row r="84" ht="15.75" customHeight="1">
      <c r="A84" s="5" t="s">
        <v>167</v>
      </c>
      <c r="B84" s="5" t="s">
        <v>168</v>
      </c>
      <c r="C84" s="5" t="str">
        <f t="shared" si="1"/>
        <v>Magee</v>
      </c>
      <c r="D84" s="5" t="str">
        <f t="shared" si="2"/>
        <v> Kate</v>
      </c>
    </row>
    <row r="85" ht="15.75" customHeight="1">
      <c r="A85" s="5" t="s">
        <v>169</v>
      </c>
      <c r="B85" s="5" t="s">
        <v>170</v>
      </c>
      <c r="C85" s="5" t="str">
        <f t="shared" si="1"/>
        <v>Thoma</v>
      </c>
      <c r="D85" s="5" t="str">
        <f t="shared" si="2"/>
        <v> Kevin</v>
      </c>
    </row>
    <row r="86" ht="15.75" customHeight="1">
      <c r="A86" s="5" t="s">
        <v>171</v>
      </c>
      <c r="B86" s="5" t="s">
        <v>172</v>
      </c>
      <c r="C86" s="5" t="str">
        <f t="shared" si="1"/>
        <v>Heagy</v>
      </c>
      <c r="D86" s="5" t="str">
        <f t="shared" si="2"/>
        <v> Stephen II</v>
      </c>
    </row>
    <row r="87" ht="15.75" customHeight="1">
      <c r="A87" s="5" t="s">
        <v>173</v>
      </c>
      <c r="B87" s="5" t="s">
        <v>174</v>
      </c>
      <c r="C87" s="5" t="str">
        <f t="shared" si="1"/>
        <v>Regnier</v>
      </c>
      <c r="D87" s="5" t="str">
        <f t="shared" si="2"/>
        <v> Philip</v>
      </c>
    </row>
    <row r="88" ht="15.75" customHeight="1">
      <c r="A88" s="5" t="s">
        <v>175</v>
      </c>
      <c r="B88" s="5" t="s">
        <v>176</v>
      </c>
      <c r="C88" s="5" t="str">
        <f t="shared" si="1"/>
        <v>Parendo</v>
      </c>
      <c r="D88" s="5" t="str">
        <f t="shared" si="2"/>
        <v> Brett A</v>
      </c>
    </row>
    <row r="89" ht="15.75" customHeight="1">
      <c r="A89" s="5" t="s">
        <v>177</v>
      </c>
      <c r="B89" s="5" t="s">
        <v>178</v>
      </c>
      <c r="C89" s="5" t="str">
        <f t="shared" si="1"/>
        <v>Schell</v>
      </c>
      <c r="D89" s="5" t="str">
        <f t="shared" si="2"/>
        <v> Rebecca</v>
      </c>
    </row>
    <row r="90" ht="15.75" customHeight="1">
      <c r="A90" s="5" t="s">
        <v>179</v>
      </c>
      <c r="B90" s="5" t="s">
        <v>180</v>
      </c>
      <c r="C90" s="5" t="str">
        <f t="shared" si="1"/>
        <v>Driscoll</v>
      </c>
      <c r="D90" s="5" t="str">
        <f t="shared" si="2"/>
        <v> Kelley</v>
      </c>
    </row>
    <row r="91" ht="15.75" customHeight="1">
      <c r="A91" s="5" t="s">
        <v>181</v>
      </c>
      <c r="B91" s="5" t="s">
        <v>182</v>
      </c>
      <c r="C91" s="5" t="str">
        <f t="shared" si="1"/>
        <v>Mitchell</v>
      </c>
      <c r="D91" s="5" t="str">
        <f t="shared" si="2"/>
        <v> Abigail K</v>
      </c>
    </row>
    <row r="92" ht="15.75" customHeight="1">
      <c r="A92" s="5" t="s">
        <v>183</v>
      </c>
      <c r="B92" s="5" t="s">
        <v>184</v>
      </c>
      <c r="C92" s="5" t="str">
        <f t="shared" si="1"/>
        <v>Cutler</v>
      </c>
      <c r="D92" s="5" t="str">
        <f t="shared" si="2"/>
        <v> Hope</v>
      </c>
    </row>
    <row r="93" ht="15.75" customHeight="1">
      <c r="A93" s="5" t="s">
        <v>185</v>
      </c>
      <c r="B93" s="5" t="s">
        <v>186</v>
      </c>
      <c r="C93" s="5" t="str">
        <f t="shared" si="1"/>
        <v>Derian</v>
      </c>
      <c r="D93" s="5" t="str">
        <f t="shared" si="2"/>
        <v> Elyse M.</v>
      </c>
    </row>
    <row r="94" ht="15.75" customHeight="1">
      <c r="A94" s="5" t="s">
        <v>187</v>
      </c>
      <c r="B94" s="5" t="s">
        <v>188</v>
      </c>
      <c r="C94" s="5" t="str">
        <f t="shared" si="1"/>
        <v>Farina</v>
      </c>
      <c r="D94" s="5" t="str">
        <f t="shared" si="2"/>
        <v> Nicholas</v>
      </c>
    </row>
    <row r="95" ht="15.75" customHeight="1">
      <c r="A95" s="5" t="s">
        <v>189</v>
      </c>
      <c r="B95" s="5" t="s">
        <v>190</v>
      </c>
      <c r="C95" s="5" t="str">
        <f t="shared" si="1"/>
        <v>Saunders</v>
      </c>
      <c r="D95" s="5" t="str">
        <f t="shared" si="2"/>
        <v> David</v>
      </c>
    </row>
    <row r="96" ht="15.75" customHeight="1">
      <c r="A96" s="5" t="s">
        <v>191</v>
      </c>
      <c r="B96" s="5" t="s">
        <v>192</v>
      </c>
      <c r="C96" s="5" t="str">
        <f t="shared" si="1"/>
        <v>Kratz</v>
      </c>
      <c r="D96" s="5" t="str">
        <f t="shared" si="2"/>
        <v> Natalie</v>
      </c>
    </row>
    <row r="97" ht="15.75" customHeight="1">
      <c r="A97" s="5" t="s">
        <v>193</v>
      </c>
      <c r="B97" s="5" t="s">
        <v>194</v>
      </c>
      <c r="C97" s="5" t="str">
        <f t="shared" si="1"/>
        <v>Boland</v>
      </c>
      <c r="D97" s="5" t="str">
        <f t="shared" si="2"/>
        <v> Thomas</v>
      </c>
    </row>
    <row r="98" ht="15.75" customHeight="1">
      <c r="A98" s="5" t="s">
        <v>195</v>
      </c>
      <c r="B98" s="5" t="s">
        <v>196</v>
      </c>
      <c r="C98" s="5" t="str">
        <f t="shared" si="1"/>
        <v>Va</v>
      </c>
      <c r="D98" s="5" t="str">
        <f t="shared" si="2"/>
        <v> Pamela J.</v>
      </c>
    </row>
    <row r="99" ht="15.75" customHeight="1">
      <c r="A99" s="5" t="s">
        <v>197</v>
      </c>
      <c r="B99" s="5" t="s">
        <v>198</v>
      </c>
      <c r="C99" s="5" t="str">
        <f t="shared" si="1"/>
        <v>Ramsey</v>
      </c>
      <c r="D99" s="5" t="str">
        <f t="shared" si="2"/>
        <v> Jessica</v>
      </c>
    </row>
    <row r="100" ht="15.75" customHeight="1">
      <c r="A100" s="5" t="s">
        <v>199</v>
      </c>
      <c r="B100" s="5" t="s">
        <v>200</v>
      </c>
      <c r="C100" s="5" t="str">
        <f t="shared" si="1"/>
        <v>Gage</v>
      </c>
      <c r="D100" s="5" t="str">
        <f t="shared" si="2"/>
        <v> Ron N</v>
      </c>
    </row>
    <row r="101" ht="15.75" customHeight="1">
      <c r="A101" s="5" t="s">
        <v>201</v>
      </c>
      <c r="B101" s="5" t="s">
        <v>202</v>
      </c>
      <c r="C101" s="5" t="str">
        <f t="shared" si="1"/>
        <v>Gollins</v>
      </c>
      <c r="D101" s="5" t="str">
        <f t="shared" si="2"/>
        <v> Daniel</v>
      </c>
    </row>
    <row r="102" ht="15.75" customHeight="1">
      <c r="A102" s="5" t="s">
        <v>203</v>
      </c>
      <c r="B102" s="5" t="s">
        <v>204</v>
      </c>
      <c r="C102" s="5" t="str">
        <f t="shared" si="1"/>
        <v>Benestad</v>
      </c>
      <c r="D102" s="5" t="str">
        <f t="shared" si="2"/>
        <v> Brian</v>
      </c>
    </row>
    <row r="103" ht="15.75" customHeight="1">
      <c r="A103" s="5" t="s">
        <v>205</v>
      </c>
      <c r="B103" s="5" t="s">
        <v>206</v>
      </c>
      <c r="C103" s="5" t="str">
        <f t="shared" si="1"/>
        <v>Aviv</v>
      </c>
      <c r="D103" s="5" t="str">
        <f t="shared" si="2"/>
        <v> Sari</v>
      </c>
    </row>
    <row r="104" ht="15.75" customHeight="1">
      <c r="A104" s="5" t="s">
        <v>207</v>
      </c>
      <c r="B104" s="5" t="s">
        <v>208</v>
      </c>
      <c r="C104" s="5" t="str">
        <f t="shared" si="1"/>
        <v>Burns</v>
      </c>
      <c r="D104" s="5" t="str">
        <f t="shared" si="2"/>
        <v> Robert M.</v>
      </c>
    </row>
    <row r="105" ht="15.75" customHeight="1">
      <c r="A105" s="5" t="s">
        <v>209</v>
      </c>
      <c r="B105" s="5" t="s">
        <v>210</v>
      </c>
      <c r="C105" s="5" t="str">
        <f t="shared" si="1"/>
        <v>Maldonado</v>
      </c>
      <c r="D105" s="5" t="str">
        <f t="shared" si="2"/>
        <v> Ricardo</v>
      </c>
    </row>
    <row r="106" ht="15.75" customHeight="1">
      <c r="A106" s="5" t="s">
        <v>211</v>
      </c>
      <c r="B106" s="5" t="s">
        <v>212</v>
      </c>
      <c r="C106" s="5" t="str">
        <f t="shared" si="1"/>
        <v>Yitref</v>
      </c>
      <c r="D106" s="5" t="str">
        <f t="shared" si="2"/>
        <v> Gedion</v>
      </c>
    </row>
    <row r="107" ht="15.75" customHeight="1">
      <c r="A107" s="5" t="s">
        <v>213</v>
      </c>
      <c r="B107" s="5" t="s">
        <v>214</v>
      </c>
      <c r="C107" s="5" t="str">
        <f t="shared" si="1"/>
        <v>Loudon-Brown</v>
      </c>
      <c r="D107" s="5" t="str">
        <f t="shared" si="2"/>
        <v> Mark</v>
      </c>
    </row>
    <row r="108" ht="15.75" customHeight="1">
      <c r="A108" s="5" t="s">
        <v>215</v>
      </c>
      <c r="B108" s="5" t="s">
        <v>216</v>
      </c>
      <c r="C108" s="5" t="str">
        <f t="shared" si="1"/>
        <v>Sugathadasa</v>
      </c>
      <c r="D108" s="5" t="str">
        <f t="shared" si="2"/>
        <v> Gamini P.</v>
      </c>
    </row>
    <row r="109" ht="15.75" customHeight="1">
      <c r="A109" s="5" t="s">
        <v>217</v>
      </c>
      <c r="B109" s="5" t="s">
        <v>218</v>
      </c>
      <c r="C109" s="5" t="str">
        <f t="shared" si="1"/>
        <v>Ganley</v>
      </c>
      <c r="D109" s="5" t="str">
        <f t="shared" si="2"/>
        <v> Emily J</v>
      </c>
    </row>
    <row r="110" ht="15.75" customHeight="1">
      <c r="A110" s="5" t="s">
        <v>219</v>
      </c>
      <c r="B110" s="5" t="s">
        <v>220</v>
      </c>
      <c r="C110" s="5" t="str">
        <f t="shared" si="1"/>
        <v>Potter</v>
      </c>
      <c r="D110" s="5" t="str">
        <f t="shared" si="2"/>
        <v> Amanda</v>
      </c>
    </row>
    <row r="111" ht="15.75" customHeight="1">
      <c r="A111" s="5" t="s">
        <v>221</v>
      </c>
      <c r="B111" s="5" t="s">
        <v>222</v>
      </c>
      <c r="C111" s="5" t="str">
        <f t="shared" si="1"/>
        <v>Rasmussen</v>
      </c>
      <c r="D111" s="5" t="str">
        <f t="shared" si="2"/>
        <v> Nicholas</v>
      </c>
    </row>
    <row r="112" ht="15.75" customHeight="1">
      <c r="A112" s="5" t="s">
        <v>223</v>
      </c>
      <c r="B112" s="5" t="s">
        <v>224</v>
      </c>
      <c r="C112" s="5" t="str">
        <f t="shared" si="1"/>
        <v>Robinson</v>
      </c>
      <c r="D112" s="5" t="str">
        <f t="shared" si="2"/>
        <v> Knox</v>
      </c>
    </row>
    <row r="113" ht="15.75" customHeight="1">
      <c r="A113" s="5" t="s">
        <v>225</v>
      </c>
      <c r="B113" s="5" t="s">
        <v>226</v>
      </c>
      <c r="C113" s="5" t="str">
        <f t="shared" si="1"/>
        <v>Antonopoulos</v>
      </c>
      <c r="D113" s="5" t="str">
        <f t="shared" si="2"/>
        <v> Yianna</v>
      </c>
    </row>
    <row r="114" ht="15.75" customHeight="1">
      <c r="A114" s="5" t="s">
        <v>227</v>
      </c>
      <c r="B114" s="5" t="s">
        <v>228</v>
      </c>
      <c r="C114" s="5" t="str">
        <f t="shared" si="1"/>
        <v>Groner</v>
      </c>
      <c r="D114" s="5" t="str">
        <f t="shared" si="2"/>
        <v> Roberta</v>
      </c>
    </row>
    <row r="115" ht="15.75" customHeight="1">
      <c r="A115" s="5" t="s">
        <v>229</v>
      </c>
      <c r="B115" s="5" t="s">
        <v>230</v>
      </c>
      <c r="C115" s="5" t="str">
        <f t="shared" si="1"/>
        <v>Zywicki</v>
      </c>
      <c r="D115" s="5" t="str">
        <f t="shared" si="2"/>
        <v> Benjamin P.</v>
      </c>
    </row>
    <row r="116" ht="15.75" customHeight="1">
      <c r="A116" s="5" t="s">
        <v>231</v>
      </c>
      <c r="B116" s="5" t="s">
        <v>232</v>
      </c>
      <c r="C116" s="5" t="str">
        <f t="shared" si="1"/>
        <v>Cardinal</v>
      </c>
      <c r="D116" s="5" t="str">
        <f t="shared" si="2"/>
        <v> Craig</v>
      </c>
    </row>
    <row r="117" ht="15.75" customHeight="1">
      <c r="A117" s="5" t="s">
        <v>233</v>
      </c>
      <c r="B117" s="5" t="s">
        <v>234</v>
      </c>
      <c r="C117" s="5" t="str">
        <f t="shared" si="1"/>
        <v>Alleman</v>
      </c>
      <c r="D117" s="5" t="str">
        <f t="shared" si="2"/>
        <v> Ann</v>
      </c>
    </row>
    <row r="118" ht="15.75" customHeight="1">
      <c r="A118" s="5" t="s">
        <v>235</v>
      </c>
      <c r="B118" s="5" t="s">
        <v>236</v>
      </c>
      <c r="C118" s="5" t="str">
        <f t="shared" si="1"/>
        <v>Stroffolino</v>
      </c>
      <c r="D118" s="5" t="str">
        <f t="shared" si="2"/>
        <v> Jamie P</v>
      </c>
    </row>
    <row r="119" ht="15.75" customHeight="1">
      <c r="A119" s="5" t="s">
        <v>237</v>
      </c>
      <c r="B119" s="5" t="s">
        <v>238</v>
      </c>
      <c r="C119" s="5" t="str">
        <f t="shared" si="1"/>
        <v>Clubb</v>
      </c>
      <c r="D119" s="5" t="str">
        <f t="shared" si="2"/>
        <v> John</v>
      </c>
    </row>
    <row r="120" ht="15.75" customHeight="1">
      <c r="A120" s="5" t="s">
        <v>239</v>
      </c>
      <c r="B120" s="5" t="s">
        <v>240</v>
      </c>
      <c r="C120" s="5" t="str">
        <f t="shared" si="1"/>
        <v>McGoogan</v>
      </c>
      <c r="D120" s="5" t="str">
        <f t="shared" si="2"/>
        <v> Charlie</v>
      </c>
    </row>
    <row r="121" ht="15.75" customHeight="1">
      <c r="A121" s="5" t="s">
        <v>241</v>
      </c>
      <c r="B121" s="5" t="s">
        <v>242</v>
      </c>
      <c r="C121" s="5" t="str">
        <f t="shared" si="1"/>
        <v>Keflezighi</v>
      </c>
      <c r="D121" s="5" t="str">
        <f t="shared" si="2"/>
        <v> Meb</v>
      </c>
    </row>
    <row r="122" ht="15.75" customHeight="1">
      <c r="A122" s="5" t="s">
        <v>243</v>
      </c>
      <c r="B122" s="5" t="s">
        <v>244</v>
      </c>
      <c r="C122" s="5" t="str">
        <f t="shared" si="1"/>
        <v>Syed</v>
      </c>
      <c r="D122" s="5" t="str">
        <f t="shared" si="2"/>
        <v> Aaqib L.</v>
      </c>
    </row>
    <row r="123" ht="15.75" customHeight="1">
      <c r="A123" s="5" t="s">
        <v>245</v>
      </c>
      <c r="B123" s="5" t="s">
        <v>246</v>
      </c>
      <c r="C123" s="5" t="str">
        <f t="shared" si="1"/>
        <v>Segal</v>
      </c>
      <c r="D123" s="5" t="str">
        <f t="shared" si="2"/>
        <v> Craig A.</v>
      </c>
    </row>
    <row r="124" ht="15.75" customHeight="1">
      <c r="A124" s="5" t="s">
        <v>247</v>
      </c>
      <c r="B124" s="5" t="s">
        <v>248</v>
      </c>
      <c r="C124" s="5" t="str">
        <f t="shared" si="1"/>
        <v>Defranco</v>
      </c>
      <c r="D124" s="5" t="str">
        <f t="shared" si="2"/>
        <v> Meredith</v>
      </c>
    </row>
    <row r="125" ht="15.75" customHeight="1">
      <c r="A125" s="5" t="s">
        <v>249</v>
      </c>
      <c r="B125" s="5" t="s">
        <v>250</v>
      </c>
      <c r="C125" s="5" t="str">
        <f t="shared" si="1"/>
        <v>Kells</v>
      </c>
      <c r="D125" s="5" t="str">
        <f t="shared" si="2"/>
        <v> Doug</v>
      </c>
    </row>
    <row r="126" ht="15.75" customHeight="1">
      <c r="A126" s="5" t="s">
        <v>251</v>
      </c>
      <c r="B126" s="5" t="s">
        <v>252</v>
      </c>
      <c r="C126" s="5" t="str">
        <f t="shared" si="1"/>
        <v>Lawton</v>
      </c>
      <c r="D126" s="5" t="str">
        <f t="shared" si="2"/>
        <v> Elizabeth J.</v>
      </c>
    </row>
    <row r="127" ht="15.75" customHeight="1">
      <c r="A127" s="5" t="s">
        <v>253</v>
      </c>
      <c r="B127" s="5" t="s">
        <v>254</v>
      </c>
      <c r="C127" s="5" t="str">
        <f t="shared" si="1"/>
        <v>Bejar</v>
      </c>
      <c r="D127" s="5" t="str">
        <f t="shared" si="2"/>
        <v> Matthew P</v>
      </c>
    </row>
    <row r="128" ht="15.75" customHeight="1">
      <c r="A128" s="5" t="s">
        <v>255</v>
      </c>
      <c r="B128" s="5" t="s">
        <v>256</v>
      </c>
      <c r="C128" s="5" t="str">
        <f t="shared" si="1"/>
        <v>Navarr</v>
      </c>
      <c r="D128" s="5" t="str">
        <f t="shared" si="2"/>
        <v> Guillermo Sr.</v>
      </c>
    </row>
    <row r="129" ht="15.75" customHeight="1">
      <c r="A129" s="5" t="s">
        <v>257</v>
      </c>
      <c r="B129" s="5" t="s">
        <v>258</v>
      </c>
      <c r="C129" s="5" t="str">
        <f t="shared" si="1"/>
        <v>Tice</v>
      </c>
      <c r="D129" s="5" t="str">
        <f t="shared" si="2"/>
        <v> Ryan C</v>
      </c>
    </row>
    <row r="130" ht="15.75" customHeight="1">
      <c r="A130" s="5" t="s">
        <v>259</v>
      </c>
      <c r="B130" s="5" t="s">
        <v>260</v>
      </c>
      <c r="C130" s="5" t="str">
        <f t="shared" si="1"/>
        <v>Wolf</v>
      </c>
      <c r="D130" s="5" t="str">
        <f t="shared" si="2"/>
        <v> Dane</v>
      </c>
    </row>
    <row r="131" ht="15.75" customHeight="1">
      <c r="A131" s="5" t="s">
        <v>261</v>
      </c>
      <c r="B131" s="5" t="s">
        <v>262</v>
      </c>
      <c r="C131" s="5" t="str">
        <f t="shared" si="1"/>
        <v>Oppedal</v>
      </c>
      <c r="D131" s="5" t="str">
        <f t="shared" si="2"/>
        <v> Jonas</v>
      </c>
    </row>
    <row r="132" ht="15.75" customHeight="1">
      <c r="A132" s="5" t="s">
        <v>263</v>
      </c>
      <c r="B132" s="5" t="s">
        <v>264</v>
      </c>
      <c r="C132" s="5" t="str">
        <f t="shared" si="1"/>
        <v>Wright</v>
      </c>
      <c r="D132" s="5" t="str">
        <f t="shared" si="2"/>
        <v> George E</v>
      </c>
    </row>
    <row r="133" ht="15.75" customHeight="1">
      <c r="A133" s="5" t="s">
        <v>265</v>
      </c>
      <c r="B133" s="5" t="s">
        <v>266</v>
      </c>
      <c r="C133" s="5" t="str">
        <f t="shared" si="1"/>
        <v>Ellis</v>
      </c>
      <c r="D133" s="5" t="str">
        <f t="shared" si="2"/>
        <v> Sara S</v>
      </c>
    </row>
    <row r="134" ht="15.75" customHeight="1">
      <c r="A134" s="5" t="s">
        <v>267</v>
      </c>
      <c r="B134" s="5" t="s">
        <v>268</v>
      </c>
      <c r="C134" s="5" t="str">
        <f t="shared" si="1"/>
        <v>Taormina</v>
      </c>
      <c r="D134" s="5" t="str">
        <f t="shared" si="2"/>
        <v> Nick</v>
      </c>
    </row>
    <row r="135" ht="15.75" customHeight="1">
      <c r="A135" s="5" t="s">
        <v>269</v>
      </c>
      <c r="B135" s="5" t="s">
        <v>270</v>
      </c>
      <c r="C135" s="5" t="str">
        <f t="shared" si="1"/>
        <v>Lynch</v>
      </c>
      <c r="D135" s="5" t="str">
        <f t="shared" si="2"/>
        <v> Timothy</v>
      </c>
    </row>
    <row r="136" ht="15.75" customHeight="1">
      <c r="A136" s="5" t="s">
        <v>271</v>
      </c>
      <c r="B136" s="5" t="s">
        <v>272</v>
      </c>
      <c r="C136" s="5" t="str">
        <f t="shared" si="1"/>
        <v>Tavella</v>
      </c>
      <c r="D136" s="5" t="str">
        <f t="shared" si="2"/>
        <v> Becky L</v>
      </c>
    </row>
    <row r="137" ht="15.75" customHeight="1">
      <c r="A137" s="5" t="s">
        <v>273</v>
      </c>
      <c r="B137" s="5" t="s">
        <v>274</v>
      </c>
      <c r="C137" s="5" t="str">
        <f t="shared" si="1"/>
        <v>Neufeld</v>
      </c>
      <c r="D137" s="5" t="str">
        <f t="shared" si="2"/>
        <v> Steph K.</v>
      </c>
    </row>
    <row r="138" ht="15.75" customHeight="1">
      <c r="A138" s="5" t="s">
        <v>275</v>
      </c>
      <c r="B138" s="5" t="s">
        <v>276</v>
      </c>
      <c r="C138" s="5" t="str">
        <f t="shared" si="1"/>
        <v>Walhovd</v>
      </c>
      <c r="D138" s="5" t="str">
        <f t="shared" si="2"/>
        <v> Kristine B.</v>
      </c>
    </row>
    <row r="139" ht="15.75" customHeight="1">
      <c r="A139" s="5" t="s">
        <v>277</v>
      </c>
      <c r="B139" s="5" t="s">
        <v>278</v>
      </c>
      <c r="C139" s="5" t="str">
        <f t="shared" si="1"/>
        <v>Washburn</v>
      </c>
      <c r="D139" s="5" t="str">
        <f t="shared" si="2"/>
        <v> Taylor B</v>
      </c>
    </row>
    <row r="140" ht="15.75" customHeight="1">
      <c r="A140" s="5" t="s">
        <v>279</v>
      </c>
      <c r="B140" s="5" t="s">
        <v>280</v>
      </c>
      <c r="C140" s="5" t="str">
        <f t="shared" si="1"/>
        <v>Mroz</v>
      </c>
      <c r="D140" s="5" t="str">
        <f t="shared" si="2"/>
        <v> William</v>
      </c>
    </row>
    <row r="141" ht="15.75" customHeight="1">
      <c r="A141" s="5" t="s">
        <v>281</v>
      </c>
      <c r="B141" s="5" t="s">
        <v>282</v>
      </c>
      <c r="C141" s="5" t="str">
        <f t="shared" si="1"/>
        <v>Canaday</v>
      </c>
      <c r="D141" s="5" t="str">
        <f t="shared" si="2"/>
        <v> Sage</v>
      </c>
    </row>
    <row r="142" ht="15.75" customHeight="1">
      <c r="A142" s="5" t="s">
        <v>283</v>
      </c>
      <c r="B142" s="5" t="s">
        <v>284</v>
      </c>
      <c r="C142" s="5" t="str">
        <f t="shared" si="1"/>
        <v>Atkins</v>
      </c>
      <c r="D142" s="5" t="str">
        <f t="shared" si="2"/>
        <v> Cole</v>
      </c>
    </row>
    <row r="143" ht="15.75" customHeight="1">
      <c r="A143" s="5" t="s">
        <v>285</v>
      </c>
      <c r="B143" s="5" t="s">
        <v>286</v>
      </c>
      <c r="C143" s="5" t="str">
        <f t="shared" si="1"/>
        <v>Kropelnicki</v>
      </c>
      <c r="D143" s="5" t="str">
        <f t="shared" si="2"/>
        <v> Jesse</v>
      </c>
    </row>
    <row r="144" ht="15.75" customHeight="1">
      <c r="A144" s="5" t="s">
        <v>287</v>
      </c>
      <c r="B144" s="5" t="s">
        <v>288</v>
      </c>
      <c r="C144" s="5" t="str">
        <f t="shared" si="1"/>
        <v>Braund</v>
      </c>
      <c r="D144" s="5" t="str">
        <f t="shared" si="2"/>
        <v> Tammi J.</v>
      </c>
    </row>
    <row r="145" ht="15.75" customHeight="1">
      <c r="A145" s="5" t="s">
        <v>289</v>
      </c>
      <c r="B145" s="5" t="s">
        <v>290</v>
      </c>
      <c r="C145" s="5" t="str">
        <f t="shared" si="1"/>
        <v>Anderson</v>
      </c>
      <c r="D145" s="5" t="str">
        <f t="shared" si="2"/>
        <v> Matthew S.</v>
      </c>
    </row>
    <row r="146" ht="15.75" customHeight="1">
      <c r="A146" s="5" t="s">
        <v>291</v>
      </c>
      <c r="B146" s="5" t="s">
        <v>292</v>
      </c>
      <c r="C146" s="5" t="str">
        <f t="shared" si="1"/>
        <v>Bilbrey</v>
      </c>
      <c r="D146" s="5" t="str">
        <f t="shared" si="2"/>
        <v> Eric</v>
      </c>
    </row>
    <row r="147" ht="15.75" customHeight="1">
      <c r="A147" s="5" t="s">
        <v>293</v>
      </c>
      <c r="B147" s="5" t="s">
        <v>294</v>
      </c>
      <c r="C147" s="5" t="str">
        <f t="shared" si="1"/>
        <v>Curtis</v>
      </c>
      <c r="D147" s="5" t="str">
        <f t="shared" si="2"/>
        <v> Valeria R</v>
      </c>
    </row>
    <row r="148" ht="15.75" customHeight="1">
      <c r="A148" s="5" t="s">
        <v>295</v>
      </c>
      <c r="B148" s="5" t="s">
        <v>296</v>
      </c>
      <c r="C148" s="5" t="str">
        <f t="shared" si="1"/>
        <v>Meyer</v>
      </c>
      <c r="D148" s="5" t="str">
        <f t="shared" si="2"/>
        <v> Michael P</v>
      </c>
    </row>
    <row r="149" ht="15.75" customHeight="1">
      <c r="A149" s="5" t="s">
        <v>297</v>
      </c>
      <c r="B149" s="5" t="s">
        <v>298</v>
      </c>
      <c r="C149" s="5" t="str">
        <f t="shared" si="1"/>
        <v>Bardeesy</v>
      </c>
      <c r="D149" s="5" t="str">
        <f t="shared" si="2"/>
        <v> Rami</v>
      </c>
    </row>
    <row r="150" ht="15.75" customHeight="1">
      <c r="A150" s="5" t="s">
        <v>299</v>
      </c>
      <c r="B150" s="5" t="s">
        <v>300</v>
      </c>
      <c r="C150" s="5" t="str">
        <f t="shared" si="1"/>
        <v>Shanahan</v>
      </c>
      <c r="D150" s="5" t="str">
        <f t="shared" si="2"/>
        <v> Denis</v>
      </c>
    </row>
    <row r="151" ht="15.75" customHeight="1">
      <c r="A151" s="5" t="s">
        <v>301</v>
      </c>
      <c r="B151" s="5" t="s">
        <v>302</v>
      </c>
      <c r="C151" s="5" t="str">
        <f t="shared" si="1"/>
        <v>Sutter</v>
      </c>
      <c r="D151" s="5" t="str">
        <f t="shared" si="2"/>
        <v> Brian E</v>
      </c>
    </row>
    <row r="152" ht="15.75" customHeight="1">
      <c r="A152" s="5" t="s">
        <v>303</v>
      </c>
      <c r="B152" s="5" t="s">
        <v>304</v>
      </c>
      <c r="C152" s="5" t="str">
        <f t="shared" si="1"/>
        <v>Yesian</v>
      </c>
      <c r="D152" s="5" t="str">
        <f t="shared" si="2"/>
        <v> Bonnie</v>
      </c>
    </row>
    <row r="153" ht="15.75" customHeight="1">
      <c r="A153" s="5" t="s">
        <v>305</v>
      </c>
      <c r="B153" s="5" t="s">
        <v>306</v>
      </c>
      <c r="C153" s="5" t="str">
        <f t="shared" si="1"/>
        <v>Meers</v>
      </c>
      <c r="D153" s="5" t="str">
        <f t="shared" si="2"/>
        <v> Michael P</v>
      </c>
    </row>
    <row r="154" ht="15.75" customHeight="1">
      <c r="A154" s="5" t="s">
        <v>307</v>
      </c>
      <c r="B154" s="5" t="s">
        <v>308</v>
      </c>
      <c r="C154" s="5" t="str">
        <f t="shared" si="1"/>
        <v>Conlon</v>
      </c>
      <c r="D154" s="5" t="str">
        <f t="shared" si="2"/>
        <v> Paul</v>
      </c>
    </row>
    <row r="155" ht="15.75" customHeight="1">
      <c r="A155" s="5" t="s">
        <v>309</v>
      </c>
      <c r="B155" s="5" t="s">
        <v>310</v>
      </c>
      <c r="C155" s="5" t="str">
        <f t="shared" si="1"/>
        <v>Arnstein</v>
      </c>
      <c r="D155" s="5" t="str">
        <f t="shared" si="2"/>
        <v> Michael</v>
      </c>
    </row>
    <row r="156" ht="15.75" customHeight="1">
      <c r="A156" s="5" t="s">
        <v>311</v>
      </c>
      <c r="B156" s="5" t="s">
        <v>312</v>
      </c>
      <c r="C156" s="5" t="str">
        <f t="shared" si="1"/>
        <v>Jurek</v>
      </c>
      <c r="D156" s="5" t="str">
        <f t="shared" si="2"/>
        <v> Samuel</v>
      </c>
    </row>
    <row r="157" ht="15.75" customHeight="1">
      <c r="A157" s="5" t="s">
        <v>313</v>
      </c>
      <c r="B157" s="5" t="s">
        <v>314</v>
      </c>
      <c r="C157" s="5" t="str">
        <f t="shared" si="1"/>
        <v>Thill</v>
      </c>
      <c r="D157" s="5" t="str">
        <f t="shared" si="2"/>
        <v> Matthew</v>
      </c>
    </row>
    <row r="158" ht="15.75" customHeight="1">
      <c r="A158" s="5" t="s">
        <v>315</v>
      </c>
      <c r="B158" s="5" t="s">
        <v>316</v>
      </c>
      <c r="C158" s="5" t="str">
        <f t="shared" si="1"/>
        <v>Glaz</v>
      </c>
      <c r="D158" s="5" t="str">
        <f t="shared" si="2"/>
        <v> Daniel</v>
      </c>
    </row>
    <row r="159" ht="15.75" customHeight="1">
      <c r="A159" s="5" t="s">
        <v>317</v>
      </c>
      <c r="B159" s="5" t="s">
        <v>318</v>
      </c>
      <c r="C159" s="5" t="str">
        <f t="shared" si="1"/>
        <v>Sampson</v>
      </c>
      <c r="D159" s="5" t="str">
        <f t="shared" si="2"/>
        <v> Syndy</v>
      </c>
    </row>
    <row r="160" ht="15.75" customHeight="1">
      <c r="A160" s="5" t="s">
        <v>319</v>
      </c>
      <c r="B160" s="5" t="s">
        <v>320</v>
      </c>
      <c r="C160" s="5" t="str">
        <f t="shared" si="1"/>
        <v>Duliba</v>
      </c>
      <c r="D160" s="5" t="str">
        <f t="shared" si="2"/>
        <v> Aleksandra</v>
      </c>
    </row>
    <row r="161" ht="15.75" customHeight="1">
      <c r="A161" s="5" t="s">
        <v>321</v>
      </c>
      <c r="B161" s="5" t="s">
        <v>322</v>
      </c>
      <c r="C161" s="5" t="str">
        <f t="shared" si="1"/>
        <v>Tanguay</v>
      </c>
      <c r="D161" s="5" t="str">
        <f t="shared" si="2"/>
        <v> Steeve T Sr.</v>
      </c>
    </row>
    <row r="162" ht="15.75" customHeight="1">
      <c r="A162" s="5" t="s">
        <v>323</v>
      </c>
      <c r="B162" s="5" t="s">
        <v>324</v>
      </c>
      <c r="C162" s="5" t="str">
        <f t="shared" si="1"/>
        <v>McClelland</v>
      </c>
      <c r="D162" s="5" t="str">
        <f t="shared" si="2"/>
        <v> Richard</v>
      </c>
    </row>
    <row r="163" ht="15.75" customHeight="1">
      <c r="A163" s="5" t="s">
        <v>325</v>
      </c>
      <c r="B163" s="5" t="s">
        <v>326</v>
      </c>
      <c r="C163" s="5" t="str">
        <f t="shared" si="1"/>
        <v>Gorman</v>
      </c>
      <c r="D163" s="5" t="str">
        <f t="shared" si="2"/>
        <v> Aaron T</v>
      </c>
    </row>
    <row r="164" ht="15.75" customHeight="1">
      <c r="A164" s="5" t="s">
        <v>327</v>
      </c>
      <c r="B164" s="5" t="s">
        <v>328</v>
      </c>
      <c r="C164" s="5" t="str">
        <f t="shared" si="1"/>
        <v>Nishimura</v>
      </c>
      <c r="D164" s="5" t="str">
        <f t="shared" si="2"/>
        <v> Akira</v>
      </c>
    </row>
    <row r="165" ht="15.75" customHeight="1">
      <c r="A165" s="5" t="s">
        <v>329</v>
      </c>
      <c r="B165" s="5" t="s">
        <v>330</v>
      </c>
      <c r="C165" s="5" t="str">
        <f t="shared" si="1"/>
        <v>Brimble</v>
      </c>
      <c r="D165" s="5" t="str">
        <f t="shared" si="2"/>
        <v> Ben</v>
      </c>
    </row>
    <row r="166" ht="15.75" customHeight="1">
      <c r="A166" s="5" t="s">
        <v>331</v>
      </c>
      <c r="B166" s="5" t="s">
        <v>332</v>
      </c>
      <c r="C166" s="5" t="str">
        <f t="shared" si="1"/>
        <v>Trenk</v>
      </c>
      <c r="D166" s="5" t="str">
        <f t="shared" si="2"/>
        <v> Jana</v>
      </c>
    </row>
    <row r="167" ht="15.75" customHeight="1">
      <c r="A167" s="5" t="s">
        <v>333</v>
      </c>
      <c r="B167" s="5" t="s">
        <v>334</v>
      </c>
      <c r="C167" s="5" t="str">
        <f t="shared" si="1"/>
        <v>Wittmann</v>
      </c>
      <c r="D167" s="5" t="str">
        <f t="shared" si="2"/>
        <v> Jay T.</v>
      </c>
    </row>
    <row r="168" ht="15.75" customHeight="1">
      <c r="A168" s="5" t="s">
        <v>335</v>
      </c>
      <c r="B168" s="5" t="s">
        <v>336</v>
      </c>
      <c r="C168" s="5" t="str">
        <f t="shared" si="1"/>
        <v>Tremblay</v>
      </c>
      <c r="D168" s="5" t="str">
        <f t="shared" si="2"/>
        <v> Marie-Helene</v>
      </c>
    </row>
    <row r="169" ht="15.75" customHeight="1">
      <c r="A169" s="5" t="s">
        <v>337</v>
      </c>
      <c r="B169" s="5" t="s">
        <v>338</v>
      </c>
      <c r="C169" s="5" t="str">
        <f t="shared" si="1"/>
        <v>Scofield</v>
      </c>
      <c r="D169" s="5" t="str">
        <f t="shared" si="2"/>
        <v> Bret R</v>
      </c>
    </row>
    <row r="170" ht="15.75" customHeight="1">
      <c r="A170" s="5" t="s">
        <v>339</v>
      </c>
      <c r="B170" s="5" t="s">
        <v>340</v>
      </c>
      <c r="C170" s="5" t="str">
        <f t="shared" si="1"/>
        <v>Yost</v>
      </c>
      <c r="D170" s="5" t="str">
        <f t="shared" si="2"/>
        <v> Gardner L</v>
      </c>
    </row>
    <row r="171" ht="15.75" customHeight="1">
      <c r="A171" s="5" t="s">
        <v>341</v>
      </c>
      <c r="B171" s="5" t="s">
        <v>342</v>
      </c>
      <c r="C171" s="5" t="str">
        <f t="shared" si="1"/>
        <v>Torphy</v>
      </c>
      <c r="D171" s="5" t="str">
        <f t="shared" si="2"/>
        <v> Bobby</v>
      </c>
    </row>
    <row r="172" ht="15.75" customHeight="1">
      <c r="A172" s="5" t="s">
        <v>343</v>
      </c>
      <c r="B172" s="5" t="s">
        <v>344</v>
      </c>
      <c r="C172" s="5" t="str">
        <f t="shared" si="1"/>
        <v>Busby</v>
      </c>
      <c r="D172" s="5" t="str">
        <f t="shared" si="2"/>
        <v> Natalie</v>
      </c>
    </row>
    <row r="173" ht="15.75" customHeight="1">
      <c r="A173" s="5" t="s">
        <v>345</v>
      </c>
      <c r="B173" s="5" t="s">
        <v>346</v>
      </c>
      <c r="C173" s="5" t="str">
        <f t="shared" si="1"/>
        <v>Nguyen</v>
      </c>
      <c r="D173" s="5" t="str">
        <f t="shared" si="2"/>
        <v> Lina</v>
      </c>
    </row>
    <row r="174" ht="15.75" customHeight="1">
      <c r="A174" s="5" t="s">
        <v>347</v>
      </c>
      <c r="B174" s="5" t="s">
        <v>348</v>
      </c>
      <c r="C174" s="5" t="str">
        <f t="shared" si="1"/>
        <v>Hanley</v>
      </c>
      <c r="D174" s="5" t="str">
        <f t="shared" si="2"/>
        <v> Zebulon</v>
      </c>
    </row>
    <row r="175" ht="15.75" customHeight="1">
      <c r="A175" s="5" t="s">
        <v>349</v>
      </c>
      <c r="B175" s="5" t="s">
        <v>350</v>
      </c>
      <c r="C175" s="5" t="str">
        <f t="shared" si="1"/>
        <v>Scheer</v>
      </c>
      <c r="D175" s="5" t="str">
        <f t="shared" si="2"/>
        <v> Amanda</v>
      </c>
    </row>
    <row r="176" ht="15.75" customHeight="1">
      <c r="A176" s="5" t="s">
        <v>351</v>
      </c>
      <c r="B176" s="5" t="s">
        <v>352</v>
      </c>
      <c r="C176" s="5" t="str">
        <f t="shared" si="1"/>
        <v>Rankin</v>
      </c>
      <c r="D176" s="5" t="str">
        <f t="shared" si="2"/>
        <v> Greg</v>
      </c>
    </row>
    <row r="177" ht="15.75" customHeight="1">
      <c r="A177" s="5" t="s">
        <v>353</v>
      </c>
      <c r="B177" s="5" t="s">
        <v>354</v>
      </c>
      <c r="C177" s="5" t="str">
        <f t="shared" si="1"/>
        <v>Ricardi</v>
      </c>
      <c r="D177" s="5" t="str">
        <f t="shared" si="2"/>
        <v> John</v>
      </c>
    </row>
    <row r="178" ht="15.75" customHeight="1">
      <c r="A178" s="5" t="s">
        <v>355</v>
      </c>
      <c r="B178" s="5" t="s">
        <v>356</v>
      </c>
      <c r="C178" s="5" t="str">
        <f t="shared" si="1"/>
        <v>Karkos</v>
      </c>
      <c r="D178" s="5" t="str">
        <f t="shared" si="2"/>
        <v> Kelsey A.</v>
      </c>
    </row>
    <row r="179" ht="15.75" customHeight="1">
      <c r="A179" s="5" t="s">
        <v>357</v>
      </c>
      <c r="B179" s="5" t="s">
        <v>358</v>
      </c>
      <c r="C179" s="5" t="str">
        <f t="shared" si="1"/>
        <v>Price-Dierksen</v>
      </c>
      <c r="D179" s="5" t="str">
        <f t="shared" si="2"/>
        <v> Bronwen L</v>
      </c>
    </row>
    <row r="180" ht="15.75" customHeight="1">
      <c r="A180" s="5" t="s">
        <v>359</v>
      </c>
      <c r="B180" s="5" t="s">
        <v>360</v>
      </c>
      <c r="C180" s="5" t="str">
        <f t="shared" si="1"/>
        <v>Knispel</v>
      </c>
      <c r="D180" s="5" t="str">
        <f t="shared" si="2"/>
        <v> Manuela</v>
      </c>
    </row>
    <row r="181" ht="15.75" customHeight="1">
      <c r="A181" s="5" t="s">
        <v>361</v>
      </c>
      <c r="B181" s="5" t="s">
        <v>362</v>
      </c>
      <c r="C181" s="5" t="str">
        <f t="shared" si="1"/>
        <v>King</v>
      </c>
      <c r="D181" s="5" t="str">
        <f t="shared" si="2"/>
        <v> Jennifer L</v>
      </c>
    </row>
    <row r="182" ht="15.75" customHeight="1">
      <c r="A182" s="5" t="s">
        <v>363</v>
      </c>
      <c r="B182" s="5" t="s">
        <v>364</v>
      </c>
      <c r="C182" s="5" t="str">
        <f t="shared" si="1"/>
        <v>Samuelson</v>
      </c>
      <c r="D182" s="5" t="str">
        <f t="shared" si="2"/>
        <v> Abby W.</v>
      </c>
    </row>
    <row r="183" ht="15.75" customHeight="1">
      <c r="A183" s="5" t="s">
        <v>365</v>
      </c>
      <c r="B183" s="5" t="s">
        <v>366</v>
      </c>
      <c r="C183" s="5" t="str">
        <f t="shared" si="1"/>
        <v>Fredsall</v>
      </c>
      <c r="D183" s="5" t="str">
        <f t="shared" si="2"/>
        <v> Tyler</v>
      </c>
    </row>
    <row r="184" ht="15.75" customHeight="1">
      <c r="A184" s="5" t="s">
        <v>367</v>
      </c>
      <c r="B184" s="5" t="s">
        <v>368</v>
      </c>
      <c r="C184" s="5" t="str">
        <f t="shared" si="1"/>
        <v>Eggleston</v>
      </c>
      <c r="D184" s="5" t="str">
        <f t="shared" si="2"/>
        <v> Jeffrey</v>
      </c>
    </row>
    <row r="185" ht="15.75" customHeight="1">
      <c r="A185" s="5" t="s">
        <v>369</v>
      </c>
      <c r="B185" s="5" t="s">
        <v>370</v>
      </c>
      <c r="C185" s="5" t="str">
        <f t="shared" si="1"/>
        <v>Palombaro</v>
      </c>
      <c r="D185" s="5" t="str">
        <f t="shared" si="2"/>
        <v> Matthew F</v>
      </c>
    </row>
    <row r="186" ht="15.75" customHeight="1">
      <c r="A186" s="5" t="s">
        <v>371</v>
      </c>
      <c r="B186" s="5" t="s">
        <v>372</v>
      </c>
      <c r="C186" s="5" t="str">
        <f t="shared" si="1"/>
        <v>Silva</v>
      </c>
      <c r="D186" s="5" t="str">
        <f t="shared" si="2"/>
        <v> Ryan J.</v>
      </c>
    </row>
    <row r="187" ht="15.75" customHeight="1">
      <c r="A187" s="5" t="s">
        <v>373</v>
      </c>
      <c r="B187" s="5" t="s">
        <v>374</v>
      </c>
      <c r="C187" s="5" t="str">
        <f t="shared" si="1"/>
        <v>Bugala</v>
      </c>
      <c r="D187" s="5" t="str">
        <f t="shared" si="2"/>
        <v> Amy</v>
      </c>
    </row>
    <row r="188" ht="15.75" customHeight="1">
      <c r="A188" s="5" t="s">
        <v>375</v>
      </c>
      <c r="B188" s="5" t="s">
        <v>376</v>
      </c>
      <c r="C188" s="5" t="str">
        <f t="shared" si="1"/>
        <v>Dublin</v>
      </c>
      <c r="D188" s="5" t="str">
        <f t="shared" si="2"/>
        <v> Andrew P</v>
      </c>
    </row>
    <row r="189" ht="15.75" customHeight="1">
      <c r="A189" s="5" t="s">
        <v>377</v>
      </c>
      <c r="B189" s="5" t="s">
        <v>378</v>
      </c>
      <c r="C189" s="5" t="str">
        <f t="shared" si="1"/>
        <v>Cleland</v>
      </c>
      <c r="D189" s="5" t="str">
        <f t="shared" si="2"/>
        <v> George M. V</v>
      </c>
    </row>
    <row r="190" ht="15.75" customHeight="1">
      <c r="A190" s="5" t="s">
        <v>379</v>
      </c>
      <c r="B190" s="5" t="s">
        <v>380</v>
      </c>
      <c r="C190" s="5" t="str">
        <f t="shared" si="1"/>
        <v>Evans</v>
      </c>
      <c r="D190" s="5" t="str">
        <f t="shared" si="2"/>
        <v> Sarah</v>
      </c>
    </row>
    <row r="191" ht="15.75" customHeight="1">
      <c r="A191" s="5" t="s">
        <v>381</v>
      </c>
      <c r="B191" s="5" t="s">
        <v>382</v>
      </c>
      <c r="C191" s="5" t="str">
        <f t="shared" si="1"/>
        <v>Boyd</v>
      </c>
      <c r="D191" s="5" t="str">
        <f t="shared" si="2"/>
        <v> Lara</v>
      </c>
    </row>
    <row r="192" ht="15.75" customHeight="1">
      <c r="A192" s="5" t="s">
        <v>383</v>
      </c>
      <c r="B192" s="5" t="s">
        <v>384</v>
      </c>
      <c r="C192" s="5" t="str">
        <f t="shared" si="1"/>
        <v>Roulier</v>
      </c>
      <c r="D192" s="5" t="str">
        <f t="shared" si="2"/>
        <v> Sebastien</v>
      </c>
    </row>
    <row r="193" ht="15.75" customHeight="1">
      <c r="A193" s="5" t="s">
        <v>385</v>
      </c>
      <c r="B193" s="5" t="s">
        <v>386</v>
      </c>
      <c r="C193" s="5" t="str">
        <f t="shared" si="1"/>
        <v>Mullins</v>
      </c>
      <c r="D193" s="5" t="str">
        <f t="shared" si="2"/>
        <v> Padraig</v>
      </c>
    </row>
    <row r="194" ht="15.75" customHeight="1">
      <c r="A194" s="5" t="s">
        <v>387</v>
      </c>
      <c r="B194" s="5" t="s">
        <v>388</v>
      </c>
      <c r="C194" s="5" t="str">
        <f t="shared" si="1"/>
        <v>Hofmann</v>
      </c>
      <c r="D194" s="5" t="str">
        <f t="shared" si="2"/>
        <v> Heather</v>
      </c>
    </row>
    <row r="195" ht="15.75" customHeight="1">
      <c r="A195" s="5" t="s">
        <v>389</v>
      </c>
      <c r="B195" s="5" t="s">
        <v>390</v>
      </c>
      <c r="C195" s="5" t="str">
        <f t="shared" si="1"/>
        <v>Garci</v>
      </c>
      <c r="D195" s="5" t="str">
        <f t="shared" si="2"/>
        <v> Jorge</v>
      </c>
    </row>
    <row r="196" ht="15.75" customHeight="1">
      <c r="A196" s="5" t="s">
        <v>391</v>
      </c>
      <c r="B196" s="5" t="s">
        <v>392</v>
      </c>
      <c r="C196" s="5" t="str">
        <f t="shared" si="1"/>
        <v>Klecker</v>
      </c>
      <c r="D196" s="5" t="str">
        <f t="shared" si="2"/>
        <v> Jack R</v>
      </c>
    </row>
    <row r="197" ht="15.75" customHeight="1">
      <c r="A197" s="5" t="s">
        <v>393</v>
      </c>
      <c r="B197" s="5" t="s">
        <v>394</v>
      </c>
      <c r="C197" s="5" t="str">
        <f t="shared" si="1"/>
        <v>Cancre</v>
      </c>
      <c r="D197" s="5" t="str">
        <f t="shared" si="2"/>
        <v> Felix</v>
      </c>
    </row>
    <row r="198" ht="15.75" customHeight="1">
      <c r="A198" s="5" t="s">
        <v>395</v>
      </c>
      <c r="B198" s="5" t="s">
        <v>396</v>
      </c>
      <c r="C198" s="5" t="str">
        <f t="shared" si="1"/>
        <v>Denucci</v>
      </c>
      <c r="D198" s="5" t="str">
        <f t="shared" si="2"/>
        <v> Christopher C</v>
      </c>
    </row>
    <row r="199" ht="15.75" customHeight="1">
      <c r="A199" s="5" t="s">
        <v>397</v>
      </c>
      <c r="B199" s="5" t="s">
        <v>398</v>
      </c>
      <c r="C199" s="5" t="str">
        <f t="shared" si="1"/>
        <v>Saldana</v>
      </c>
      <c r="D199" s="5" t="str">
        <f t="shared" si="2"/>
        <v> Jesse</v>
      </c>
    </row>
    <row r="200" ht="15.75" customHeight="1">
      <c r="A200" s="5" t="s">
        <v>399</v>
      </c>
      <c r="B200" s="5" t="s">
        <v>400</v>
      </c>
      <c r="C200" s="5" t="str">
        <f t="shared" si="1"/>
        <v>Weinberg</v>
      </c>
      <c r="D200" s="5" t="str">
        <f t="shared" si="2"/>
        <v> Jill</v>
      </c>
    </row>
    <row r="201" ht="15.75" customHeight="1">
      <c r="A201" s="5" t="s">
        <v>401</v>
      </c>
      <c r="B201" s="5" t="s">
        <v>402</v>
      </c>
      <c r="C201" s="5" t="str">
        <f t="shared" si="1"/>
        <v>Walsh</v>
      </c>
      <c r="D201" s="5" t="str">
        <f t="shared" si="2"/>
        <v> William</v>
      </c>
    </row>
    <row r="202" ht="15.75" customHeight="1">
      <c r="A202" s="5" t="s">
        <v>403</v>
      </c>
      <c r="B202" s="5" t="s">
        <v>404</v>
      </c>
      <c r="C202" s="5" t="str">
        <f t="shared" si="1"/>
        <v>Pasten</v>
      </c>
      <c r="D202" s="5" t="str">
        <f t="shared" si="2"/>
        <v> Alejandro</v>
      </c>
    </row>
    <row r="203" ht="15.75" customHeight="1">
      <c r="A203" s="5" t="s">
        <v>405</v>
      </c>
      <c r="B203" s="5" t="s">
        <v>406</v>
      </c>
      <c r="C203" s="5" t="str">
        <f t="shared" si="1"/>
        <v>LaBelle</v>
      </c>
      <c r="D203" s="5" t="str">
        <f t="shared" si="2"/>
        <v> Ian E.</v>
      </c>
    </row>
    <row r="204" ht="15.75" customHeight="1">
      <c r="A204" s="5" t="s">
        <v>407</v>
      </c>
      <c r="B204" s="5" t="s">
        <v>408</v>
      </c>
      <c r="C204" s="5" t="str">
        <f t="shared" si="1"/>
        <v>Guzman</v>
      </c>
      <c r="D204" s="5" t="str">
        <f t="shared" si="2"/>
        <v> Hector Sr.</v>
      </c>
    </row>
    <row r="205" ht="15.75" customHeight="1">
      <c r="A205" s="5" t="s">
        <v>409</v>
      </c>
      <c r="B205" s="5" t="s">
        <v>410</v>
      </c>
      <c r="C205" s="5" t="str">
        <f t="shared" si="1"/>
        <v>Turnbull</v>
      </c>
      <c r="D205" s="5" t="str">
        <f t="shared" si="2"/>
        <v> Rebecca</v>
      </c>
    </row>
    <row r="206" ht="15.75" customHeight="1">
      <c r="A206" s="5" t="s">
        <v>411</v>
      </c>
      <c r="B206" s="5" t="s">
        <v>412</v>
      </c>
      <c r="C206" s="5" t="str">
        <f t="shared" si="1"/>
        <v>Aguero</v>
      </c>
      <c r="D206" s="5" t="str">
        <f t="shared" si="2"/>
        <v> Matt</v>
      </c>
    </row>
    <row r="207" ht="15.75" customHeight="1">
      <c r="A207" s="5" t="s">
        <v>413</v>
      </c>
      <c r="B207" s="5" t="s">
        <v>414</v>
      </c>
      <c r="C207" s="5" t="str">
        <f t="shared" si="1"/>
        <v>Woodward</v>
      </c>
      <c r="D207" s="5" t="str">
        <f t="shared" si="2"/>
        <v> Elizabeth H</v>
      </c>
    </row>
    <row r="208" ht="15.75" customHeight="1">
      <c r="A208" s="5" t="s">
        <v>415</v>
      </c>
      <c r="B208" s="5" t="s">
        <v>416</v>
      </c>
      <c r="C208" s="5" t="str">
        <f t="shared" si="1"/>
        <v>McElroy</v>
      </c>
      <c r="D208" s="5" t="str">
        <f t="shared" si="2"/>
        <v> Grace</v>
      </c>
    </row>
    <row r="209" ht="15.75" customHeight="1">
      <c r="A209" s="5" t="s">
        <v>417</v>
      </c>
      <c r="B209" s="5" t="s">
        <v>418</v>
      </c>
      <c r="C209" s="5" t="str">
        <f t="shared" si="1"/>
        <v>Lopez</v>
      </c>
      <c r="D209" s="5" t="str">
        <f t="shared" si="2"/>
        <v> Jaime</v>
      </c>
    </row>
    <row r="210" ht="15.75" customHeight="1">
      <c r="A210" s="5" t="s">
        <v>419</v>
      </c>
      <c r="B210" s="5" t="s">
        <v>420</v>
      </c>
      <c r="C210" s="5" t="str">
        <f t="shared" si="1"/>
        <v>Cardosi</v>
      </c>
      <c r="D210" s="5" t="str">
        <f t="shared" si="2"/>
        <v> Calesse</v>
      </c>
    </row>
    <row r="211" ht="15.75" customHeight="1">
      <c r="A211" s="5" t="s">
        <v>421</v>
      </c>
      <c r="B211" s="5" t="s">
        <v>422</v>
      </c>
      <c r="C211" s="5" t="str">
        <f t="shared" si="1"/>
        <v>Looney</v>
      </c>
      <c r="D211" s="5" t="str">
        <f t="shared" si="2"/>
        <v> Kate L</v>
      </c>
    </row>
    <row r="212" ht="15.75" customHeight="1">
      <c r="A212" s="5" t="s">
        <v>423</v>
      </c>
      <c r="B212" s="5" t="s">
        <v>424</v>
      </c>
      <c r="C212" s="5" t="str">
        <f t="shared" si="1"/>
        <v>Zyryanov</v>
      </c>
      <c r="D212" s="5" t="str">
        <f t="shared" si="2"/>
        <v> Sergey</v>
      </c>
    </row>
    <row r="213" ht="15.75" customHeight="1">
      <c r="A213" s="5" t="s">
        <v>425</v>
      </c>
      <c r="B213" s="5" t="s">
        <v>426</v>
      </c>
      <c r="C213" s="5" t="str">
        <f t="shared" si="1"/>
        <v>Gavin</v>
      </c>
      <c r="D213" s="5" t="str">
        <f t="shared" si="2"/>
        <v> Timothy V</v>
      </c>
    </row>
    <row r="214" ht="15.75" customHeight="1">
      <c r="A214" s="5" t="s">
        <v>427</v>
      </c>
      <c r="B214" s="5" t="s">
        <v>428</v>
      </c>
      <c r="C214" s="5" t="str">
        <f t="shared" si="1"/>
        <v>Littlefield</v>
      </c>
      <c r="D214" s="5" t="str">
        <f t="shared" si="2"/>
        <v> Andrew S</v>
      </c>
    </row>
    <row r="215" ht="15.75" customHeight="1">
      <c r="A215" s="5" t="s">
        <v>429</v>
      </c>
      <c r="B215" s="5" t="s">
        <v>430</v>
      </c>
      <c r="C215" s="5" t="str">
        <f t="shared" si="1"/>
        <v>Shearer</v>
      </c>
      <c r="D215" s="5" t="str">
        <f t="shared" si="2"/>
        <v> Matthew D</v>
      </c>
    </row>
    <row r="216" ht="15.75" customHeight="1">
      <c r="A216" s="5" t="s">
        <v>431</v>
      </c>
      <c r="B216" s="5" t="s">
        <v>432</v>
      </c>
      <c r="C216" s="5" t="str">
        <f t="shared" si="1"/>
        <v>Armstrong</v>
      </c>
      <c r="D216" s="5" t="str">
        <f t="shared" si="2"/>
        <v> Jessica</v>
      </c>
    </row>
    <row r="217" ht="15.75" customHeight="1">
      <c r="A217" s="5" t="s">
        <v>433</v>
      </c>
      <c r="B217" s="5" t="s">
        <v>434</v>
      </c>
      <c r="C217" s="5" t="str">
        <f t="shared" si="1"/>
        <v>Warriner</v>
      </c>
      <c r="D217" s="5" t="str">
        <f t="shared" si="2"/>
        <v> Lawrence</v>
      </c>
    </row>
    <row r="218" ht="15.75" customHeight="1">
      <c r="A218" s="5" t="s">
        <v>435</v>
      </c>
      <c r="B218" s="5" t="s">
        <v>436</v>
      </c>
      <c r="C218" s="5" t="str">
        <f t="shared" si="1"/>
        <v>White</v>
      </c>
      <c r="D218" s="5" t="str">
        <f t="shared" si="2"/>
        <v> Alex</v>
      </c>
    </row>
    <row r="219" ht="15.75" customHeight="1">
      <c r="A219" s="5" t="s">
        <v>437</v>
      </c>
      <c r="B219" s="5" t="s">
        <v>438</v>
      </c>
      <c r="C219" s="5" t="str">
        <f t="shared" si="1"/>
        <v>Cordaro</v>
      </c>
      <c r="D219" s="5" t="str">
        <f t="shared" si="2"/>
        <v> Kevin</v>
      </c>
    </row>
    <row r="220" ht="15.75" customHeight="1">
      <c r="A220" s="5" t="s">
        <v>439</v>
      </c>
      <c r="B220" s="5" t="s">
        <v>440</v>
      </c>
      <c r="C220" s="5" t="str">
        <f t="shared" si="1"/>
        <v>Hamilton</v>
      </c>
      <c r="D220" s="5" t="str">
        <f t="shared" si="2"/>
        <v> Gavin M.</v>
      </c>
    </row>
    <row r="221" ht="15.75" customHeight="1">
      <c r="A221" s="5" t="s">
        <v>441</v>
      </c>
      <c r="B221" s="5" t="s">
        <v>442</v>
      </c>
      <c r="C221" s="5" t="str">
        <f t="shared" si="1"/>
        <v>Meyer</v>
      </c>
      <c r="D221" s="5" t="str">
        <f t="shared" si="2"/>
        <v> Rick E</v>
      </c>
    </row>
    <row r="222" ht="15.75" customHeight="1">
      <c r="A222" s="5" t="s">
        <v>443</v>
      </c>
      <c r="B222" s="5" t="s">
        <v>444</v>
      </c>
      <c r="C222" s="5" t="str">
        <f t="shared" si="1"/>
        <v>Duke</v>
      </c>
      <c r="D222" s="5" t="str">
        <f t="shared" si="2"/>
        <v> Andrea H.</v>
      </c>
    </row>
    <row r="223" ht="15.75" customHeight="1">
      <c r="A223" s="5" t="s">
        <v>445</v>
      </c>
      <c r="B223" s="5" t="s">
        <v>446</v>
      </c>
      <c r="C223" s="5" t="str">
        <f t="shared" si="1"/>
        <v>Malatesta</v>
      </c>
      <c r="D223" s="5" t="str">
        <f t="shared" si="2"/>
        <v> Anthony S</v>
      </c>
    </row>
    <row r="224" ht="15.75" customHeight="1">
      <c r="A224" s="5" t="s">
        <v>447</v>
      </c>
      <c r="B224" s="5" t="s">
        <v>448</v>
      </c>
      <c r="C224" s="5" t="str">
        <f t="shared" si="1"/>
        <v>Hinrichsen</v>
      </c>
      <c r="D224" s="5" t="str">
        <f t="shared" si="2"/>
        <v> Erik</v>
      </c>
    </row>
    <row r="225" ht="15.75" customHeight="1">
      <c r="A225" s="5" t="s">
        <v>449</v>
      </c>
      <c r="B225" s="5" t="s">
        <v>450</v>
      </c>
      <c r="C225" s="5" t="str">
        <f t="shared" si="1"/>
        <v>Lucan</v>
      </c>
      <c r="D225" s="5" t="str">
        <f t="shared" si="2"/>
        <v> Kiley D</v>
      </c>
    </row>
    <row r="226" ht="15.75" customHeight="1">
      <c r="A226" s="5" t="s">
        <v>451</v>
      </c>
      <c r="B226" s="5" t="s">
        <v>452</v>
      </c>
      <c r="C226" s="5" t="str">
        <f t="shared" si="1"/>
        <v>Koch</v>
      </c>
      <c r="D226" s="5" t="str">
        <f t="shared" si="2"/>
        <v> Jennifer</v>
      </c>
    </row>
    <row r="227" ht="15.75" customHeight="1">
      <c r="A227" s="5" t="s">
        <v>453</v>
      </c>
      <c r="B227" s="5" t="s">
        <v>454</v>
      </c>
      <c r="C227" s="5" t="str">
        <f t="shared" si="1"/>
        <v>Smith</v>
      </c>
      <c r="D227" s="5" t="str">
        <f t="shared" si="2"/>
        <v> Chris</v>
      </c>
    </row>
    <row r="228" ht="15.75" customHeight="1">
      <c r="A228" s="5" t="s">
        <v>455</v>
      </c>
      <c r="B228" s="5" t="s">
        <v>456</v>
      </c>
      <c r="C228" s="5" t="str">
        <f t="shared" si="1"/>
        <v>O'Connor</v>
      </c>
      <c r="D228" s="5" t="str">
        <f t="shared" si="2"/>
        <v> Marian M.</v>
      </c>
    </row>
    <row r="229" ht="15.75" customHeight="1">
      <c r="A229" s="5" t="s">
        <v>457</v>
      </c>
      <c r="B229" s="5" t="s">
        <v>458</v>
      </c>
      <c r="C229" s="5" t="str">
        <f t="shared" si="1"/>
        <v>Kampwerth</v>
      </c>
      <c r="D229" s="5" t="str">
        <f t="shared" si="2"/>
        <v> Jeremy</v>
      </c>
    </row>
    <row r="230" ht="15.75" customHeight="1">
      <c r="A230" s="5" t="s">
        <v>459</v>
      </c>
      <c r="B230" s="5" t="s">
        <v>460</v>
      </c>
      <c r="C230" s="5" t="str">
        <f t="shared" si="1"/>
        <v>Federoff</v>
      </c>
      <c r="D230" s="5" t="str">
        <f t="shared" si="2"/>
        <v> Allison H</v>
      </c>
    </row>
    <row r="231" ht="15.75" customHeight="1">
      <c r="A231" s="5" t="s">
        <v>461</v>
      </c>
      <c r="B231" s="5" t="s">
        <v>462</v>
      </c>
      <c r="C231" s="5" t="str">
        <f t="shared" si="1"/>
        <v>Goya</v>
      </c>
      <c r="D231" s="5" t="str">
        <f t="shared" si="2"/>
        <v> Elizabeth</v>
      </c>
    </row>
    <row r="232" ht="15.75" customHeight="1">
      <c r="A232" s="5" t="s">
        <v>463</v>
      </c>
      <c r="B232" s="5" t="s">
        <v>464</v>
      </c>
      <c r="C232" s="5" t="str">
        <f t="shared" si="1"/>
        <v>Hodges</v>
      </c>
      <c r="D232" s="5" t="str">
        <f t="shared" si="2"/>
        <v> Andrew</v>
      </c>
    </row>
    <row r="233" ht="15.75" customHeight="1">
      <c r="A233" s="5" t="s">
        <v>465</v>
      </c>
      <c r="B233" s="5" t="s">
        <v>466</v>
      </c>
      <c r="C233" s="5" t="str">
        <f t="shared" si="1"/>
        <v>Erickson</v>
      </c>
      <c r="D233" s="5" t="str">
        <f t="shared" si="2"/>
        <v> Anders J</v>
      </c>
    </row>
    <row r="234" ht="15.75" customHeight="1">
      <c r="A234" s="5" t="s">
        <v>467</v>
      </c>
      <c r="B234" s="5" t="s">
        <v>468</v>
      </c>
      <c r="C234" s="5" t="str">
        <f t="shared" si="1"/>
        <v>Welleck</v>
      </c>
      <c r="D234" s="5" t="str">
        <f t="shared" si="2"/>
        <v> Sean</v>
      </c>
    </row>
    <row r="235" ht="15.75" customHeight="1">
      <c r="A235" s="5" t="s">
        <v>469</v>
      </c>
      <c r="B235" s="5" t="s">
        <v>470</v>
      </c>
      <c r="C235" s="5" t="str">
        <f t="shared" si="1"/>
        <v>Polen</v>
      </c>
      <c r="D235" s="5" t="str">
        <f t="shared" si="2"/>
        <v> Brian M.</v>
      </c>
    </row>
    <row r="236" ht="15.75" customHeight="1">
      <c r="A236" s="5" t="s">
        <v>471</v>
      </c>
      <c r="B236" s="5" t="s">
        <v>472</v>
      </c>
      <c r="C236" s="5" t="str">
        <f t="shared" si="1"/>
        <v>Lynch</v>
      </c>
      <c r="D236" s="5" t="str">
        <f t="shared" si="2"/>
        <v> Jeremy</v>
      </c>
    </row>
    <row r="237" ht="15.75" customHeight="1">
      <c r="A237" s="5" t="s">
        <v>473</v>
      </c>
      <c r="B237" s="5" t="s">
        <v>474</v>
      </c>
      <c r="C237" s="5" t="str">
        <f t="shared" si="1"/>
        <v>Hufstader</v>
      </c>
      <c r="D237" s="5" t="str">
        <f t="shared" si="2"/>
        <v> Susannah</v>
      </c>
    </row>
    <row r="238" ht="15.75" customHeight="1">
      <c r="A238" s="5" t="s">
        <v>475</v>
      </c>
      <c r="B238" s="5" t="s">
        <v>476</v>
      </c>
      <c r="C238" s="5" t="str">
        <f t="shared" si="1"/>
        <v>Doak</v>
      </c>
      <c r="D238" s="5" t="str">
        <f t="shared" si="2"/>
        <v> Randy</v>
      </c>
    </row>
    <row r="239" ht="15.75" customHeight="1">
      <c r="A239" s="5" t="s">
        <v>477</v>
      </c>
      <c r="B239" s="5" t="s">
        <v>478</v>
      </c>
      <c r="C239" s="5" t="str">
        <f t="shared" si="1"/>
        <v>Noya</v>
      </c>
      <c r="D239" s="5" t="str">
        <f t="shared" si="2"/>
        <v> Leslie</v>
      </c>
    </row>
    <row r="240" ht="15.75" customHeight="1">
      <c r="A240" s="5" t="s">
        <v>479</v>
      </c>
      <c r="B240" s="5" t="s">
        <v>480</v>
      </c>
      <c r="C240" s="5" t="str">
        <f t="shared" si="1"/>
        <v>Heninger</v>
      </c>
      <c r="D240" s="5" t="str">
        <f t="shared" si="2"/>
        <v> Brittany L.</v>
      </c>
    </row>
    <row r="241" ht="15.75" customHeight="1">
      <c r="A241" s="5" t="s">
        <v>481</v>
      </c>
      <c r="B241" s="5" t="s">
        <v>482</v>
      </c>
      <c r="C241" s="5" t="str">
        <f t="shared" si="1"/>
        <v>Richardson</v>
      </c>
      <c r="D241" s="5" t="str">
        <f t="shared" si="2"/>
        <v> Cassie J.</v>
      </c>
    </row>
    <row r="242" ht="15.75" customHeight="1">
      <c r="A242" s="5" t="s">
        <v>483</v>
      </c>
      <c r="B242" s="5" t="s">
        <v>484</v>
      </c>
      <c r="C242" s="5" t="str">
        <f t="shared" si="1"/>
        <v>Deucher</v>
      </c>
      <c r="D242" s="5" t="str">
        <f t="shared" si="2"/>
        <v> Peter W</v>
      </c>
    </row>
    <row r="243" ht="15.75" customHeight="1">
      <c r="A243" s="5" t="s">
        <v>485</v>
      </c>
      <c r="B243" s="5" t="s">
        <v>486</v>
      </c>
      <c r="C243" s="5" t="str">
        <f t="shared" si="1"/>
        <v>Wilson</v>
      </c>
      <c r="D243" s="5" t="str">
        <f t="shared" si="2"/>
        <v> Douglas</v>
      </c>
    </row>
    <row r="244" ht="15.75" customHeight="1">
      <c r="A244" s="5" t="s">
        <v>487</v>
      </c>
      <c r="B244" s="5" t="s">
        <v>488</v>
      </c>
      <c r="C244" s="5" t="str">
        <f t="shared" si="1"/>
        <v>Hall</v>
      </c>
      <c r="D244" s="5" t="str">
        <f t="shared" si="2"/>
        <v> Dan</v>
      </c>
    </row>
    <row r="245" ht="15.75" customHeight="1">
      <c r="A245" s="5" t="s">
        <v>489</v>
      </c>
      <c r="B245" s="5" t="s">
        <v>490</v>
      </c>
      <c r="C245" s="5" t="str">
        <f t="shared" si="1"/>
        <v>Reed</v>
      </c>
      <c r="D245" s="5" t="str">
        <f t="shared" si="2"/>
        <v> Dan M.</v>
      </c>
    </row>
    <row r="246" ht="15.75" customHeight="1">
      <c r="A246" s="5" t="s">
        <v>491</v>
      </c>
      <c r="B246" s="5" t="s">
        <v>492</v>
      </c>
      <c r="C246" s="5" t="str">
        <f t="shared" si="1"/>
        <v>Frome</v>
      </c>
      <c r="D246" s="5" t="str">
        <f t="shared" si="2"/>
        <v> Eric L.</v>
      </c>
    </row>
    <row r="247" ht="15.75" customHeight="1">
      <c r="A247" s="5" t="s">
        <v>493</v>
      </c>
      <c r="B247" s="5" t="s">
        <v>494</v>
      </c>
      <c r="C247" s="5" t="str">
        <f t="shared" si="1"/>
        <v>Creasy</v>
      </c>
      <c r="D247" s="5" t="str">
        <f t="shared" si="2"/>
        <v> Les J</v>
      </c>
    </row>
    <row r="248" ht="15.75" customHeight="1">
      <c r="A248" s="5" t="s">
        <v>495</v>
      </c>
      <c r="B248" s="5" t="s">
        <v>496</v>
      </c>
      <c r="C248" s="5" t="str">
        <f t="shared" si="1"/>
        <v>Latimer</v>
      </c>
      <c r="D248" s="5" t="str">
        <f t="shared" si="2"/>
        <v> Stephanie</v>
      </c>
    </row>
    <row r="249" ht="15.75" customHeight="1">
      <c r="A249" s="5" t="s">
        <v>497</v>
      </c>
      <c r="B249" s="5" t="s">
        <v>498</v>
      </c>
      <c r="C249" s="5" t="str">
        <f t="shared" si="1"/>
        <v>Wei</v>
      </c>
      <c r="D249" s="5" t="str">
        <f t="shared" si="2"/>
        <v> Melissa Y</v>
      </c>
    </row>
    <row r="250" ht="15.75" customHeight="1">
      <c r="A250" s="5" t="s">
        <v>499</v>
      </c>
      <c r="B250" s="5" t="s">
        <v>500</v>
      </c>
      <c r="C250" s="5" t="str">
        <f t="shared" si="1"/>
        <v>Hayes</v>
      </c>
      <c r="D250" s="5" t="str">
        <f t="shared" si="2"/>
        <v> Ashley</v>
      </c>
    </row>
    <row r="251" ht="15.75" customHeight="1">
      <c r="A251" s="5" t="s">
        <v>501</v>
      </c>
      <c r="B251" s="5" t="s">
        <v>502</v>
      </c>
      <c r="C251" s="5" t="str">
        <f t="shared" si="1"/>
        <v>Velardo</v>
      </c>
      <c r="D251" s="5" t="str">
        <f t="shared" si="2"/>
        <v> Stephanie M.</v>
      </c>
    </row>
    <row r="252" ht="15.75" customHeight="1">
      <c r="A252" s="5" t="s">
        <v>503</v>
      </c>
      <c r="B252" s="5" t="s">
        <v>504</v>
      </c>
      <c r="C252" s="5" t="str">
        <f t="shared" si="1"/>
        <v>Kastes</v>
      </c>
      <c r="D252" s="5" t="str">
        <f t="shared" si="2"/>
        <v> Kylie</v>
      </c>
    </row>
    <row r="253" ht="15.75" customHeight="1">
      <c r="A253" s="5" t="s">
        <v>505</v>
      </c>
      <c r="B253" s="5" t="s">
        <v>506</v>
      </c>
      <c r="C253" s="5" t="str">
        <f t="shared" si="1"/>
        <v>Escorcia</v>
      </c>
      <c r="D253" s="5" t="str">
        <f t="shared" si="2"/>
        <v> Kelly</v>
      </c>
    </row>
    <row r="254" ht="15.75" customHeight="1">
      <c r="A254" s="5" t="s">
        <v>507</v>
      </c>
      <c r="B254" s="5" t="s">
        <v>508</v>
      </c>
      <c r="C254" s="5" t="str">
        <f t="shared" si="1"/>
        <v>Larscheid</v>
      </c>
      <c r="D254" s="5" t="str">
        <f t="shared" si="2"/>
        <v> Carrie</v>
      </c>
    </row>
    <row r="255" ht="15.75" customHeight="1">
      <c r="A255" s="5" t="s">
        <v>509</v>
      </c>
      <c r="B255" s="5" t="s">
        <v>510</v>
      </c>
      <c r="C255" s="5" t="str">
        <f t="shared" si="1"/>
        <v>O'Bannon</v>
      </c>
      <c r="D255" s="5" t="str">
        <f t="shared" si="2"/>
        <v> Alex</v>
      </c>
    </row>
    <row r="256" ht="15.75" customHeight="1">
      <c r="A256" s="5" t="s">
        <v>511</v>
      </c>
      <c r="B256" s="5" t="s">
        <v>512</v>
      </c>
      <c r="C256" s="5" t="str">
        <f t="shared" si="1"/>
        <v>Ridgway</v>
      </c>
      <c r="D256" s="5" t="str">
        <f t="shared" si="2"/>
        <v> Zach S</v>
      </c>
    </row>
    <row r="257" ht="15.75" customHeight="1">
      <c r="A257" s="5" t="s">
        <v>513</v>
      </c>
      <c r="B257" s="5" t="s">
        <v>514</v>
      </c>
      <c r="C257" s="5" t="str">
        <f t="shared" si="1"/>
        <v>Black</v>
      </c>
      <c r="D257" s="5" t="str">
        <f t="shared" si="2"/>
        <v> Alan</v>
      </c>
    </row>
    <row r="258" ht="15.75" customHeight="1">
      <c r="A258" s="5" t="s">
        <v>515</v>
      </c>
      <c r="B258" s="5" t="s">
        <v>516</v>
      </c>
      <c r="C258" s="5" t="str">
        <f t="shared" si="1"/>
        <v>Canton</v>
      </c>
      <c r="D258" s="5" t="str">
        <f t="shared" si="2"/>
        <v> Nate</v>
      </c>
    </row>
    <row r="259" ht="15.75" customHeight="1">
      <c r="A259" s="5" t="s">
        <v>517</v>
      </c>
      <c r="B259" s="5" t="s">
        <v>518</v>
      </c>
      <c r="C259" s="5" t="str">
        <f t="shared" si="1"/>
        <v>Fine</v>
      </c>
      <c r="D259" s="5" t="str">
        <f t="shared" si="2"/>
        <v> Jesse G.</v>
      </c>
    </row>
    <row r="260" ht="15.75" customHeight="1">
      <c r="A260" s="5" t="s">
        <v>519</v>
      </c>
      <c r="B260" s="5" t="s">
        <v>520</v>
      </c>
      <c r="C260" s="5" t="str">
        <f t="shared" si="1"/>
        <v>Bui</v>
      </c>
      <c r="D260" s="5" t="str">
        <f t="shared" si="2"/>
        <v> Jason</v>
      </c>
    </row>
    <row r="261" ht="15.75" customHeight="1">
      <c r="A261" s="5" t="s">
        <v>521</v>
      </c>
      <c r="B261" s="5" t="s">
        <v>522</v>
      </c>
      <c r="C261" s="5" t="str">
        <f t="shared" si="1"/>
        <v>Riepma</v>
      </c>
      <c r="D261" s="5" t="str">
        <f t="shared" si="2"/>
        <v> Megan A.</v>
      </c>
    </row>
    <row r="262" ht="15.75" customHeight="1">
      <c r="A262" s="5" t="s">
        <v>523</v>
      </c>
      <c r="B262" s="5" t="s">
        <v>524</v>
      </c>
      <c r="C262" s="5" t="str">
        <f t="shared" si="1"/>
        <v>Inman</v>
      </c>
      <c r="D262" s="5" t="str">
        <f t="shared" si="2"/>
        <v> Luke M</v>
      </c>
    </row>
    <row r="263" ht="15.75" customHeight="1">
      <c r="A263" s="5" t="s">
        <v>525</v>
      </c>
      <c r="B263" s="5" t="s">
        <v>526</v>
      </c>
      <c r="C263" s="5" t="str">
        <f t="shared" si="1"/>
        <v>Kruzel</v>
      </c>
      <c r="D263" s="5" t="str">
        <f t="shared" si="2"/>
        <v> Jacy D</v>
      </c>
    </row>
    <row r="264" ht="15.75" customHeight="1">
      <c r="A264" s="5" t="s">
        <v>527</v>
      </c>
      <c r="B264" s="5" t="s">
        <v>528</v>
      </c>
      <c r="C264" s="5" t="str">
        <f t="shared" si="1"/>
        <v>Lindsay</v>
      </c>
      <c r="D264" s="5" t="str">
        <f t="shared" si="2"/>
        <v> Simon G.</v>
      </c>
    </row>
    <row r="265" ht="15.75" customHeight="1">
      <c r="A265" s="5" t="s">
        <v>529</v>
      </c>
      <c r="B265" s="5" t="s">
        <v>530</v>
      </c>
      <c r="C265" s="5" t="str">
        <f t="shared" si="1"/>
        <v>Land</v>
      </c>
      <c r="D265" s="5" t="str">
        <f t="shared" si="2"/>
        <v> Ainsley E.</v>
      </c>
    </row>
    <row r="266" ht="15.75" customHeight="1">
      <c r="A266" s="5" t="s">
        <v>531</v>
      </c>
      <c r="B266" s="5" t="s">
        <v>532</v>
      </c>
      <c r="C266" s="5" t="str">
        <f t="shared" si="1"/>
        <v>Brecher</v>
      </c>
      <c r="D266" s="5" t="str">
        <f t="shared" si="2"/>
        <v> Erica A.</v>
      </c>
    </row>
    <row r="267" ht="15.75" customHeight="1">
      <c r="A267" s="5" t="s">
        <v>533</v>
      </c>
      <c r="B267" s="5" t="s">
        <v>534</v>
      </c>
      <c r="C267" s="5" t="str">
        <f t="shared" si="1"/>
        <v>Debolt</v>
      </c>
      <c r="D267" s="5" t="str">
        <f t="shared" si="2"/>
        <v> Erik</v>
      </c>
    </row>
    <row r="268" ht="15.75" customHeight="1">
      <c r="A268" s="5" t="s">
        <v>535</v>
      </c>
      <c r="B268" s="5" t="s">
        <v>536</v>
      </c>
      <c r="C268" s="5" t="str">
        <f t="shared" si="1"/>
        <v>Oswalt</v>
      </c>
      <c r="D268" s="5" t="str">
        <f t="shared" si="2"/>
        <v> Erin C.</v>
      </c>
    </row>
    <row r="269" ht="15.75" customHeight="1">
      <c r="A269" s="5" t="s">
        <v>537</v>
      </c>
      <c r="B269" s="5" t="s">
        <v>538</v>
      </c>
      <c r="C269" s="5" t="str">
        <f t="shared" si="1"/>
        <v>Boyd</v>
      </c>
      <c r="D269" s="5" t="str">
        <f t="shared" si="2"/>
        <v> Adrienne</v>
      </c>
    </row>
    <row r="270" ht="15.75" customHeight="1">
      <c r="A270" s="5" t="s">
        <v>539</v>
      </c>
      <c r="B270" s="5" t="s">
        <v>540</v>
      </c>
      <c r="C270" s="5" t="str">
        <f t="shared" si="1"/>
        <v>Bulewich</v>
      </c>
      <c r="D270" s="5" t="str">
        <f t="shared" si="2"/>
        <v> Adam</v>
      </c>
    </row>
    <row r="271" ht="15.75" customHeight="1">
      <c r="A271" s="5" t="s">
        <v>541</v>
      </c>
      <c r="B271" s="5" t="s">
        <v>542</v>
      </c>
      <c r="C271" s="5" t="str">
        <f t="shared" si="1"/>
        <v>Fukuda</v>
      </c>
      <c r="D271" s="5" t="str">
        <f t="shared" si="2"/>
        <v> Yutaka</v>
      </c>
    </row>
    <row r="272" ht="15.75" customHeight="1">
      <c r="A272" s="5" t="s">
        <v>543</v>
      </c>
      <c r="B272" s="5" t="s">
        <v>544</v>
      </c>
      <c r="C272" s="5" t="str">
        <f t="shared" si="1"/>
        <v>Phillips</v>
      </c>
      <c r="D272" s="5" t="str">
        <f t="shared" si="2"/>
        <v> Tyler M</v>
      </c>
    </row>
    <row r="273" ht="15.75" customHeight="1">
      <c r="A273" s="5" t="s">
        <v>545</v>
      </c>
      <c r="B273" s="5" t="s">
        <v>546</v>
      </c>
      <c r="C273" s="5" t="str">
        <f t="shared" si="1"/>
        <v>Maddison</v>
      </c>
      <c r="D273" s="5" t="str">
        <f t="shared" si="2"/>
        <v> Stephen</v>
      </c>
    </row>
    <row r="274" ht="15.75" customHeight="1">
      <c r="A274" s="5" t="s">
        <v>547</v>
      </c>
      <c r="B274" s="5" t="s">
        <v>548</v>
      </c>
      <c r="C274" s="5" t="str">
        <f t="shared" si="1"/>
        <v>Lockwood</v>
      </c>
      <c r="D274" s="5" t="str">
        <f t="shared" si="2"/>
        <v> Andrew B.</v>
      </c>
    </row>
    <row r="275" ht="15.75" customHeight="1">
      <c r="A275" s="5" t="s">
        <v>549</v>
      </c>
      <c r="B275" s="5" t="s">
        <v>550</v>
      </c>
      <c r="C275" s="5" t="str">
        <f t="shared" si="1"/>
        <v>Defilippi</v>
      </c>
      <c r="D275" s="5" t="str">
        <f t="shared" si="2"/>
        <v> James</v>
      </c>
    </row>
    <row r="276" ht="15.75" customHeight="1">
      <c r="A276" s="5" t="s">
        <v>551</v>
      </c>
      <c r="B276" s="5" t="s">
        <v>552</v>
      </c>
      <c r="C276" s="5" t="str">
        <f t="shared" si="1"/>
        <v>Jackson</v>
      </c>
      <c r="D276" s="5" t="str">
        <f t="shared" si="2"/>
        <v> Shawn P.</v>
      </c>
    </row>
    <row r="277" ht="15.75" customHeight="1">
      <c r="A277" s="5" t="s">
        <v>553</v>
      </c>
      <c r="B277" s="5" t="s">
        <v>554</v>
      </c>
      <c r="C277" s="5" t="str">
        <f t="shared" si="1"/>
        <v>Ozahowski</v>
      </c>
      <c r="D277" s="5" t="str">
        <f t="shared" si="2"/>
        <v> Matt</v>
      </c>
    </row>
    <row r="278" ht="15.75" customHeight="1">
      <c r="A278" s="5" t="s">
        <v>555</v>
      </c>
      <c r="B278" s="5" t="s">
        <v>556</v>
      </c>
      <c r="C278" s="5" t="str">
        <f t="shared" si="1"/>
        <v>Guthals</v>
      </c>
      <c r="D278" s="5" t="str">
        <f t="shared" si="2"/>
        <v> Nathaniel</v>
      </c>
    </row>
    <row r="279" ht="15.75" customHeight="1">
      <c r="A279" s="5" t="s">
        <v>557</v>
      </c>
      <c r="B279" s="5" t="s">
        <v>558</v>
      </c>
      <c r="C279" s="5" t="str">
        <f t="shared" si="1"/>
        <v>Yates</v>
      </c>
      <c r="D279" s="5" t="str">
        <f t="shared" si="2"/>
        <v> Kevin D.</v>
      </c>
    </row>
    <row r="280" ht="15.75" customHeight="1">
      <c r="A280" s="5" t="s">
        <v>559</v>
      </c>
      <c r="B280" s="5" t="s">
        <v>560</v>
      </c>
      <c r="C280" s="5" t="str">
        <f t="shared" si="1"/>
        <v>Samuelson</v>
      </c>
      <c r="D280" s="5" t="str">
        <f t="shared" si="2"/>
        <v> Joan</v>
      </c>
    </row>
    <row r="281" ht="15.75" customHeight="1">
      <c r="A281" s="5" t="s">
        <v>561</v>
      </c>
      <c r="B281" s="5" t="s">
        <v>562</v>
      </c>
      <c r="C281" s="5" t="str">
        <f t="shared" si="1"/>
        <v>Lemos</v>
      </c>
      <c r="D281" s="5" t="str">
        <f t="shared" si="2"/>
        <v> Christopher A</v>
      </c>
    </row>
    <row r="282" ht="15.75" customHeight="1">
      <c r="A282" s="5" t="s">
        <v>563</v>
      </c>
      <c r="B282" s="5" t="s">
        <v>564</v>
      </c>
      <c r="C282" s="5" t="str">
        <f t="shared" si="1"/>
        <v>Seynders</v>
      </c>
      <c r="D282" s="5" t="str">
        <f t="shared" si="2"/>
        <v> Kacy L.</v>
      </c>
    </row>
    <row r="283" ht="15.75" customHeight="1">
      <c r="A283" s="5" t="s">
        <v>565</v>
      </c>
      <c r="B283" s="5" t="s">
        <v>566</v>
      </c>
      <c r="C283" s="5" t="str">
        <f t="shared" si="1"/>
        <v>Saunders</v>
      </c>
      <c r="D283" s="5" t="str">
        <f t="shared" si="2"/>
        <v> Benjamin H.</v>
      </c>
    </row>
    <row r="284" ht="15.75" customHeight="1">
      <c r="A284" s="5" t="s">
        <v>567</v>
      </c>
      <c r="B284" s="5" t="s">
        <v>568</v>
      </c>
      <c r="C284" s="5" t="str">
        <f t="shared" si="1"/>
        <v>Walker</v>
      </c>
      <c r="D284" s="5" t="str">
        <f t="shared" si="2"/>
        <v> Xaviour J.</v>
      </c>
    </row>
    <row r="285" ht="15.75" customHeight="1">
      <c r="A285" s="5" t="s">
        <v>569</v>
      </c>
      <c r="B285" s="5" t="s">
        <v>570</v>
      </c>
      <c r="C285" s="5" t="str">
        <f t="shared" si="1"/>
        <v>Lam</v>
      </c>
      <c r="D285" s="5" t="str">
        <f t="shared" si="2"/>
        <v> Michael T.</v>
      </c>
    </row>
    <row r="286" ht="15.75" customHeight="1">
      <c r="A286" s="5" t="s">
        <v>571</v>
      </c>
      <c r="B286" s="5" t="s">
        <v>572</v>
      </c>
      <c r="C286" s="5" t="str">
        <f t="shared" si="1"/>
        <v>Sweigart</v>
      </c>
      <c r="D286" s="5" t="str">
        <f t="shared" si="2"/>
        <v> Bradley</v>
      </c>
    </row>
    <row r="287" ht="15.75" customHeight="1">
      <c r="A287" s="5" t="s">
        <v>573</v>
      </c>
      <c r="B287" s="5" t="s">
        <v>574</v>
      </c>
      <c r="C287" s="5" t="str">
        <f t="shared" si="1"/>
        <v>Sieczkowski</v>
      </c>
      <c r="D287" s="5" t="str">
        <f t="shared" si="2"/>
        <v> Andrea</v>
      </c>
    </row>
    <row r="288" ht="15.75" customHeight="1">
      <c r="A288" s="5" t="s">
        <v>575</v>
      </c>
      <c r="B288" s="5" t="s">
        <v>576</v>
      </c>
      <c r="C288" s="5" t="str">
        <f t="shared" si="1"/>
        <v>Jurgens</v>
      </c>
      <c r="D288" s="5" t="str">
        <f t="shared" si="2"/>
        <v> Nancy M</v>
      </c>
    </row>
    <row r="289" ht="15.75" customHeight="1">
      <c r="A289" s="5" t="s">
        <v>577</v>
      </c>
      <c r="B289" s="5" t="s">
        <v>578</v>
      </c>
      <c r="C289" s="5" t="str">
        <f t="shared" si="1"/>
        <v>Hackman</v>
      </c>
      <c r="D289" s="5" t="str">
        <f t="shared" si="2"/>
        <v> Matt</v>
      </c>
    </row>
    <row r="290" ht="15.75" customHeight="1">
      <c r="A290" s="5" t="s">
        <v>579</v>
      </c>
      <c r="B290" s="5" t="s">
        <v>580</v>
      </c>
      <c r="C290" s="5" t="str">
        <f t="shared" si="1"/>
        <v>Klarich</v>
      </c>
      <c r="D290" s="5" t="str">
        <f t="shared" si="2"/>
        <v> Lee</v>
      </c>
    </row>
    <row r="291" ht="15.75" customHeight="1">
      <c r="A291" s="5" t="s">
        <v>581</v>
      </c>
      <c r="B291" s="5" t="s">
        <v>582</v>
      </c>
      <c r="C291" s="5" t="str">
        <f t="shared" si="1"/>
        <v>Schulten</v>
      </c>
      <c r="D291" s="5" t="str">
        <f t="shared" si="2"/>
        <v> Chris</v>
      </c>
    </row>
    <row r="292" ht="15.75" customHeight="1">
      <c r="A292" s="5" t="s">
        <v>583</v>
      </c>
      <c r="B292" s="5" t="s">
        <v>584</v>
      </c>
      <c r="C292" s="5" t="str">
        <f t="shared" si="1"/>
        <v>Fagerstrom</v>
      </c>
      <c r="D292" s="5" t="str">
        <f t="shared" si="2"/>
        <v> Erik T.</v>
      </c>
    </row>
    <row r="293" ht="15.75" customHeight="1">
      <c r="A293" s="5" t="s">
        <v>585</v>
      </c>
      <c r="B293" s="5" t="s">
        <v>586</v>
      </c>
      <c r="C293" s="5" t="str">
        <f t="shared" si="1"/>
        <v>Bien</v>
      </c>
      <c r="D293" s="5" t="str">
        <f t="shared" si="2"/>
        <v> Rod W</v>
      </c>
    </row>
    <row r="294" ht="15.75" customHeight="1">
      <c r="A294" s="5" t="s">
        <v>587</v>
      </c>
      <c r="B294" s="5" t="s">
        <v>588</v>
      </c>
      <c r="C294" s="5" t="str">
        <f t="shared" si="1"/>
        <v>Hess</v>
      </c>
      <c r="D294" s="5" t="str">
        <f t="shared" si="2"/>
        <v> Joey</v>
      </c>
    </row>
    <row r="295" ht="15.75" customHeight="1">
      <c r="A295" s="5" t="s">
        <v>589</v>
      </c>
      <c r="B295" s="5" t="s">
        <v>590</v>
      </c>
      <c r="C295" s="5" t="str">
        <f t="shared" si="1"/>
        <v>Shaw</v>
      </c>
      <c r="D295" s="5" t="str">
        <f t="shared" si="2"/>
        <v> Hillary L.</v>
      </c>
    </row>
    <row r="296" ht="15.75" customHeight="1">
      <c r="A296" s="5" t="s">
        <v>591</v>
      </c>
      <c r="B296" s="5" t="s">
        <v>592</v>
      </c>
      <c r="C296" s="5" t="str">
        <f t="shared" si="1"/>
        <v>Williams</v>
      </c>
      <c r="D296" s="5" t="str">
        <f t="shared" si="2"/>
        <v> Eric J</v>
      </c>
    </row>
    <row r="297" ht="15.75" customHeight="1">
      <c r="A297" s="5" t="s">
        <v>593</v>
      </c>
      <c r="B297" s="5" t="s">
        <v>594</v>
      </c>
      <c r="C297" s="5" t="str">
        <f t="shared" si="1"/>
        <v>Menzies</v>
      </c>
      <c r="D297" s="5" t="str">
        <f t="shared" si="2"/>
        <v> Nicolas</v>
      </c>
    </row>
    <row r="298" ht="15.75" customHeight="1">
      <c r="A298" s="5" t="s">
        <v>595</v>
      </c>
      <c r="B298" s="5" t="s">
        <v>596</v>
      </c>
      <c r="C298" s="5" t="str">
        <f t="shared" si="1"/>
        <v>Buehler</v>
      </c>
      <c r="D298" s="5" t="str">
        <f t="shared" si="2"/>
        <v> Marcel</v>
      </c>
    </row>
    <row r="299" ht="15.75" customHeight="1">
      <c r="A299" s="5" t="s">
        <v>597</v>
      </c>
      <c r="B299" s="5" t="s">
        <v>598</v>
      </c>
      <c r="C299" s="5" t="str">
        <f t="shared" si="1"/>
        <v>Degen</v>
      </c>
      <c r="D299" s="5" t="str">
        <f t="shared" si="2"/>
        <v> Ashley N</v>
      </c>
    </row>
    <row r="300" ht="15.75" customHeight="1">
      <c r="A300" s="5" t="s">
        <v>599</v>
      </c>
      <c r="B300" s="5" t="s">
        <v>600</v>
      </c>
      <c r="C300" s="5" t="str">
        <f t="shared" si="1"/>
        <v>Arsenault</v>
      </c>
      <c r="D300" s="5" t="str">
        <f t="shared" si="2"/>
        <v> Evan D</v>
      </c>
    </row>
    <row r="301" ht="15.75" customHeight="1">
      <c r="A301" s="5" t="s">
        <v>601</v>
      </c>
      <c r="B301" s="5" t="s">
        <v>602</v>
      </c>
      <c r="C301" s="5" t="str">
        <f t="shared" si="1"/>
        <v>Hoff</v>
      </c>
      <c r="D301" s="5" t="str">
        <f t="shared" si="2"/>
        <v> Krisana</v>
      </c>
    </row>
    <row r="302" ht="15.75" customHeight="1">
      <c r="A302" s="5" t="s">
        <v>603</v>
      </c>
      <c r="B302" s="5" t="s">
        <v>604</v>
      </c>
      <c r="C302" s="5" t="str">
        <f t="shared" si="1"/>
        <v>Hall</v>
      </c>
      <c r="D302" s="5" t="str">
        <f t="shared" si="2"/>
        <v> Kyle</v>
      </c>
    </row>
    <row r="303" ht="15.75" customHeight="1">
      <c r="A303" s="5" t="s">
        <v>605</v>
      </c>
      <c r="B303" s="5" t="s">
        <v>606</v>
      </c>
      <c r="C303" s="5" t="str">
        <f t="shared" si="1"/>
        <v>Ashley</v>
      </c>
      <c r="D303" s="5" t="str">
        <f t="shared" si="2"/>
        <v> Kate</v>
      </c>
    </row>
    <row r="304" ht="15.75" customHeight="1">
      <c r="A304" s="5" t="s">
        <v>607</v>
      </c>
      <c r="B304" s="5" t="s">
        <v>608</v>
      </c>
      <c r="C304" s="5" t="str">
        <f t="shared" si="1"/>
        <v>Rindahl</v>
      </c>
      <c r="D304" s="5" t="str">
        <f t="shared" si="2"/>
        <v> Martin A.</v>
      </c>
    </row>
    <row r="305" ht="15.75" customHeight="1">
      <c r="A305" s="5" t="s">
        <v>609</v>
      </c>
      <c r="B305" s="5" t="s">
        <v>610</v>
      </c>
      <c r="C305" s="5" t="str">
        <f t="shared" si="1"/>
        <v>Clark</v>
      </c>
      <c r="D305" s="5" t="str">
        <f t="shared" si="2"/>
        <v> Stacey</v>
      </c>
    </row>
    <row r="306" ht="15.75" customHeight="1">
      <c r="A306" s="5" t="s">
        <v>611</v>
      </c>
      <c r="B306" s="5" t="s">
        <v>612</v>
      </c>
      <c r="C306" s="5" t="str">
        <f t="shared" si="1"/>
        <v>Irish</v>
      </c>
      <c r="D306" s="5" t="str">
        <f t="shared" si="2"/>
        <v> Christine</v>
      </c>
    </row>
    <row r="307" ht="15.75" customHeight="1">
      <c r="A307" s="5" t="s">
        <v>613</v>
      </c>
      <c r="B307" s="5" t="s">
        <v>614</v>
      </c>
      <c r="C307" s="5" t="str">
        <f t="shared" si="1"/>
        <v>Richardson</v>
      </c>
      <c r="D307" s="5" t="str">
        <f t="shared" si="2"/>
        <v> Sarah C.</v>
      </c>
    </row>
    <row r="308" ht="15.75" customHeight="1">
      <c r="A308" s="5" t="s">
        <v>615</v>
      </c>
      <c r="B308" s="5" t="s">
        <v>616</v>
      </c>
      <c r="C308" s="5" t="str">
        <f t="shared" si="1"/>
        <v>Dewitt</v>
      </c>
      <c r="D308" s="5" t="str">
        <f t="shared" si="2"/>
        <v> Megan</v>
      </c>
    </row>
    <row r="309" ht="15.75" customHeight="1">
      <c r="A309" s="5" t="s">
        <v>617</v>
      </c>
      <c r="B309" s="5" t="s">
        <v>618</v>
      </c>
      <c r="C309" s="5" t="str">
        <f t="shared" si="1"/>
        <v>Hickman</v>
      </c>
      <c r="D309" s="5" t="str">
        <f t="shared" si="2"/>
        <v> Jason W</v>
      </c>
    </row>
    <row r="310" ht="15.75" customHeight="1">
      <c r="A310" s="5" t="s">
        <v>619</v>
      </c>
      <c r="B310" s="5" t="s">
        <v>620</v>
      </c>
      <c r="C310" s="5" t="str">
        <f t="shared" si="1"/>
        <v>Gonzalez</v>
      </c>
      <c r="D310" s="5" t="str">
        <f t="shared" si="2"/>
        <v> Michele</v>
      </c>
    </row>
    <row r="311" ht="15.75" customHeight="1">
      <c r="A311" s="5" t="s">
        <v>621</v>
      </c>
      <c r="B311" s="5" t="s">
        <v>622</v>
      </c>
      <c r="C311" s="5" t="str">
        <f t="shared" si="1"/>
        <v>Difani</v>
      </c>
      <c r="D311" s="5" t="str">
        <f t="shared" si="2"/>
        <v> Nikki</v>
      </c>
    </row>
    <row r="312" ht="15.75" customHeight="1">
      <c r="A312" s="5" t="s">
        <v>623</v>
      </c>
      <c r="B312" s="5" t="s">
        <v>624</v>
      </c>
      <c r="C312" s="5" t="str">
        <f t="shared" si="1"/>
        <v>Turner</v>
      </c>
      <c r="D312" s="5" t="str">
        <f t="shared" si="2"/>
        <v> Philip J.</v>
      </c>
    </row>
    <row r="313" ht="15.75" customHeight="1">
      <c r="A313" s="5" t="s">
        <v>625</v>
      </c>
      <c r="B313" s="5" t="s">
        <v>626</v>
      </c>
      <c r="C313" s="5" t="str">
        <f t="shared" si="1"/>
        <v>Widmann</v>
      </c>
      <c r="D313" s="5" t="str">
        <f t="shared" si="2"/>
        <v> Bryan L</v>
      </c>
    </row>
    <row r="314" ht="15.75" customHeight="1">
      <c r="A314" s="5" t="s">
        <v>627</v>
      </c>
      <c r="B314" s="5" t="s">
        <v>628</v>
      </c>
      <c r="C314" s="5" t="str">
        <f t="shared" si="1"/>
        <v>Tunney</v>
      </c>
      <c r="D314" s="5" t="str">
        <f t="shared" si="2"/>
        <v> Timothy F</v>
      </c>
    </row>
    <row r="315" ht="15.75" customHeight="1">
      <c r="A315" s="5" t="s">
        <v>629</v>
      </c>
      <c r="B315" s="5" t="s">
        <v>630</v>
      </c>
      <c r="C315" s="5" t="str">
        <f t="shared" si="1"/>
        <v>Sa</v>
      </c>
      <c r="D315" s="5" t="str">
        <f t="shared" si="2"/>
        <v> Angielyn M</v>
      </c>
    </row>
    <row r="316" ht="15.75" customHeight="1">
      <c r="A316" s="5" t="s">
        <v>631</v>
      </c>
      <c r="B316" s="5" t="s">
        <v>632</v>
      </c>
      <c r="C316" s="5" t="str">
        <f t="shared" si="1"/>
        <v>Croll</v>
      </c>
      <c r="D316" s="5" t="str">
        <f t="shared" si="2"/>
        <v> Jeanie M.</v>
      </c>
    </row>
    <row r="317" ht="15.75" customHeight="1">
      <c r="A317" s="5" t="s">
        <v>633</v>
      </c>
      <c r="B317" s="5" t="s">
        <v>634</v>
      </c>
      <c r="C317" s="5" t="str">
        <f t="shared" si="1"/>
        <v>Rolfes</v>
      </c>
      <c r="D317" s="5" t="str">
        <f t="shared" si="2"/>
        <v> Greg</v>
      </c>
    </row>
    <row r="318" ht="15.75" customHeight="1">
      <c r="A318" s="5" t="s">
        <v>635</v>
      </c>
      <c r="B318" s="5" t="s">
        <v>636</v>
      </c>
      <c r="C318" s="5" t="str">
        <f t="shared" si="1"/>
        <v>Hinkle</v>
      </c>
      <c r="D318" s="5" t="str">
        <f t="shared" si="2"/>
        <v> John</v>
      </c>
    </row>
    <row r="319" ht="15.75" customHeight="1">
      <c r="A319" s="5" t="s">
        <v>637</v>
      </c>
      <c r="B319" s="5" t="s">
        <v>638</v>
      </c>
      <c r="C319" s="5" t="str">
        <f t="shared" si="1"/>
        <v>Leuchanka</v>
      </c>
      <c r="D319" s="5" t="str">
        <f t="shared" si="2"/>
        <v> Aliaksandr</v>
      </c>
    </row>
    <row r="320" ht="15.75" customHeight="1">
      <c r="A320" s="5" t="s">
        <v>639</v>
      </c>
      <c r="B320" s="5" t="s">
        <v>640</v>
      </c>
      <c r="C320" s="5" t="str">
        <f t="shared" si="1"/>
        <v>Ayr</v>
      </c>
      <c r="D320" s="5" t="str">
        <f t="shared" si="2"/>
        <v> Jason M.</v>
      </c>
    </row>
    <row r="321" ht="15.75" customHeight="1">
      <c r="A321" s="5" t="s">
        <v>641</v>
      </c>
      <c r="B321" s="5" t="s">
        <v>642</v>
      </c>
      <c r="C321" s="5" t="str">
        <f t="shared" si="1"/>
        <v>Siegel</v>
      </c>
      <c r="D321" s="5" t="str">
        <f t="shared" si="2"/>
        <v> Sheera K</v>
      </c>
    </row>
    <row r="322" ht="15.75" customHeight="1">
      <c r="A322" s="5" t="s">
        <v>643</v>
      </c>
      <c r="B322" s="5" t="s">
        <v>644</v>
      </c>
      <c r="C322" s="5" t="str">
        <f t="shared" si="1"/>
        <v>Penrose</v>
      </c>
      <c r="D322" s="5" t="str">
        <f t="shared" si="2"/>
        <v> Janice</v>
      </c>
    </row>
    <row r="323" ht="15.75" customHeight="1">
      <c r="A323" s="5" t="s">
        <v>645</v>
      </c>
      <c r="B323" s="5" t="s">
        <v>646</v>
      </c>
      <c r="C323" s="5" t="str">
        <f t="shared" si="1"/>
        <v>Schuler</v>
      </c>
      <c r="D323" s="5" t="str">
        <f t="shared" si="2"/>
        <v> Timothy G.</v>
      </c>
    </row>
    <row r="324" ht="15.75" customHeight="1">
      <c r="A324" s="5" t="s">
        <v>647</v>
      </c>
      <c r="B324" s="5" t="s">
        <v>648</v>
      </c>
      <c r="C324" s="5" t="str">
        <f t="shared" si="1"/>
        <v>Walker</v>
      </c>
      <c r="D324" s="5" t="str">
        <f t="shared" si="2"/>
        <v> Alan R</v>
      </c>
    </row>
    <row r="325" ht="15.75" customHeight="1">
      <c r="A325" s="5" t="s">
        <v>649</v>
      </c>
      <c r="B325" s="5" t="s">
        <v>650</v>
      </c>
      <c r="C325" s="5" t="str">
        <f t="shared" si="1"/>
        <v>Stange</v>
      </c>
      <c r="D325" s="5" t="str">
        <f t="shared" si="2"/>
        <v> Michael</v>
      </c>
    </row>
    <row r="326" ht="15.75" customHeight="1">
      <c r="A326" s="5" t="s">
        <v>651</v>
      </c>
      <c r="B326" s="5" t="s">
        <v>652</v>
      </c>
      <c r="C326" s="5" t="str">
        <f t="shared" si="1"/>
        <v>Roy</v>
      </c>
      <c r="D326" s="5" t="str">
        <f t="shared" si="2"/>
        <v> Marie-France</v>
      </c>
    </row>
    <row r="327" ht="15.75" customHeight="1">
      <c r="A327" s="5" t="s">
        <v>653</v>
      </c>
      <c r="B327" s="5" t="s">
        <v>654</v>
      </c>
      <c r="C327" s="5" t="str">
        <f t="shared" si="1"/>
        <v>Potere</v>
      </c>
      <c r="D327" s="5" t="str">
        <f t="shared" si="2"/>
        <v> Erik F.</v>
      </c>
    </row>
    <row r="328" ht="15.75" customHeight="1">
      <c r="A328" s="5" t="s">
        <v>655</v>
      </c>
      <c r="B328" s="5" t="s">
        <v>656</v>
      </c>
      <c r="C328" s="5" t="str">
        <f t="shared" si="1"/>
        <v>Podgurski</v>
      </c>
      <c r="D328" s="5" t="str">
        <f t="shared" si="2"/>
        <v> Andrew</v>
      </c>
    </row>
    <row r="329" ht="15.75" customHeight="1">
      <c r="A329" s="5" t="s">
        <v>657</v>
      </c>
      <c r="B329" s="5" t="s">
        <v>658</v>
      </c>
      <c r="C329" s="5" t="str">
        <f t="shared" si="1"/>
        <v>Diamond</v>
      </c>
      <c r="D329" s="5" t="str">
        <f t="shared" si="2"/>
        <v> Anthony</v>
      </c>
    </row>
    <row r="330" ht="15.75" customHeight="1">
      <c r="A330" s="5" t="s">
        <v>659</v>
      </c>
      <c r="B330" s="5" t="s">
        <v>660</v>
      </c>
      <c r="C330" s="5" t="str">
        <f t="shared" si="1"/>
        <v>Sallade</v>
      </c>
      <c r="D330" s="5" t="str">
        <f t="shared" si="2"/>
        <v> Chris</v>
      </c>
    </row>
    <row r="331" ht="15.75" customHeight="1">
      <c r="A331" s="5" t="s">
        <v>661</v>
      </c>
      <c r="B331" s="5" t="s">
        <v>662</v>
      </c>
      <c r="C331" s="5" t="str">
        <f t="shared" si="1"/>
        <v>Zhang</v>
      </c>
      <c r="D331" s="5" t="str">
        <f t="shared" si="2"/>
        <v> Yu</v>
      </c>
    </row>
    <row r="332" ht="15.75" customHeight="1">
      <c r="A332" s="5" t="s">
        <v>663</v>
      </c>
      <c r="B332" s="5" t="s">
        <v>664</v>
      </c>
      <c r="C332" s="5" t="str">
        <f t="shared" si="1"/>
        <v>Chatfield</v>
      </c>
      <c r="D332" s="5" t="str">
        <f t="shared" si="2"/>
        <v> Caleb N</v>
      </c>
    </row>
    <row r="333" ht="15.75" customHeight="1">
      <c r="A333" s="5" t="s">
        <v>665</v>
      </c>
      <c r="B333" s="5" t="s">
        <v>666</v>
      </c>
      <c r="C333" s="5" t="str">
        <f t="shared" si="1"/>
        <v>Bruns</v>
      </c>
      <c r="D333" s="5" t="str">
        <f t="shared" si="2"/>
        <v> Jason M.</v>
      </c>
    </row>
    <row r="334" ht="15.75" customHeight="1">
      <c r="A334" s="5" t="s">
        <v>667</v>
      </c>
      <c r="B334" s="5" t="s">
        <v>668</v>
      </c>
      <c r="C334" s="5" t="str">
        <f t="shared" si="1"/>
        <v>Yochum</v>
      </c>
      <c r="D334" s="5" t="str">
        <f t="shared" si="2"/>
        <v> Angela R</v>
      </c>
    </row>
    <row r="335" ht="15.75" customHeight="1">
      <c r="A335" s="5" t="s">
        <v>669</v>
      </c>
      <c r="B335" s="5" t="s">
        <v>670</v>
      </c>
      <c r="C335" s="5" t="str">
        <f t="shared" si="1"/>
        <v>Freeburn</v>
      </c>
      <c r="D335" s="5" t="str">
        <f t="shared" si="2"/>
        <v> Keith J</v>
      </c>
    </row>
    <row r="336" ht="15.75" customHeight="1">
      <c r="A336" s="5" t="s">
        <v>671</v>
      </c>
      <c r="B336" s="5" t="s">
        <v>672</v>
      </c>
      <c r="C336" s="5" t="str">
        <f t="shared" si="1"/>
        <v>Spencer</v>
      </c>
      <c r="D336" s="5" t="str">
        <f t="shared" si="2"/>
        <v> Emma</v>
      </c>
    </row>
    <row r="337" ht="15.75" customHeight="1">
      <c r="A337" s="5" t="s">
        <v>673</v>
      </c>
      <c r="B337" s="5" t="s">
        <v>674</v>
      </c>
      <c r="C337" s="5" t="str">
        <f t="shared" si="1"/>
        <v>Jarosik</v>
      </c>
      <c r="D337" s="5" t="str">
        <f t="shared" si="2"/>
        <v> Nathan A</v>
      </c>
    </row>
    <row r="338" ht="15.75" customHeight="1">
      <c r="A338" s="5" t="s">
        <v>675</v>
      </c>
      <c r="B338" s="5" t="s">
        <v>676</v>
      </c>
      <c r="C338" s="5" t="str">
        <f t="shared" si="1"/>
        <v>Heinzen</v>
      </c>
      <c r="D338" s="5" t="str">
        <f t="shared" si="2"/>
        <v> Kathryn</v>
      </c>
    </row>
    <row r="339" ht="15.75" customHeight="1">
      <c r="A339" s="5" t="s">
        <v>677</v>
      </c>
      <c r="B339" s="5" t="s">
        <v>678</v>
      </c>
      <c r="C339" s="5" t="str">
        <f t="shared" si="1"/>
        <v>Kelley</v>
      </c>
      <c r="D339" s="5" t="str">
        <f t="shared" si="2"/>
        <v> Elizabeth H.</v>
      </c>
    </row>
    <row r="340" ht="15.75" customHeight="1">
      <c r="A340" s="5" t="s">
        <v>679</v>
      </c>
      <c r="B340" s="5" t="s">
        <v>680</v>
      </c>
      <c r="C340" s="5" t="str">
        <f t="shared" si="1"/>
        <v>Thacker</v>
      </c>
      <c r="D340" s="5" t="str">
        <f t="shared" si="2"/>
        <v> Ben</v>
      </c>
    </row>
    <row r="341" ht="15.75" customHeight="1">
      <c r="A341" s="5" t="s">
        <v>681</v>
      </c>
      <c r="B341" s="5" t="s">
        <v>682</v>
      </c>
      <c r="C341" s="5" t="str">
        <f t="shared" si="1"/>
        <v>Jeseritz</v>
      </c>
      <c r="D341" s="5" t="str">
        <f t="shared" si="2"/>
        <v> Cheryl A</v>
      </c>
    </row>
    <row r="342" ht="15.75" customHeight="1">
      <c r="A342" s="5" t="s">
        <v>683</v>
      </c>
      <c r="B342" s="5" t="s">
        <v>684</v>
      </c>
      <c r="C342" s="5" t="str">
        <f t="shared" si="1"/>
        <v>Hohman</v>
      </c>
      <c r="D342" s="5" t="str">
        <f t="shared" si="2"/>
        <v> Kimberly A</v>
      </c>
    </row>
    <row r="343" ht="15.75" customHeight="1">
      <c r="A343" s="5" t="s">
        <v>685</v>
      </c>
      <c r="B343" s="5" t="s">
        <v>686</v>
      </c>
      <c r="C343" s="5" t="str">
        <f t="shared" si="1"/>
        <v>Hill</v>
      </c>
      <c r="D343" s="5" t="str">
        <f t="shared" si="2"/>
        <v> Cynthia</v>
      </c>
    </row>
    <row r="344" ht="15.75" customHeight="1">
      <c r="A344" s="5" t="s">
        <v>687</v>
      </c>
      <c r="B344" s="5" t="s">
        <v>688</v>
      </c>
      <c r="C344" s="5" t="str">
        <f t="shared" si="1"/>
        <v>Kuepfer</v>
      </c>
      <c r="D344" s="5" t="str">
        <f t="shared" si="2"/>
        <v> Jessica</v>
      </c>
    </row>
    <row r="345" ht="15.75" customHeight="1">
      <c r="A345" s="5" t="s">
        <v>689</v>
      </c>
      <c r="B345" s="5" t="s">
        <v>690</v>
      </c>
      <c r="C345" s="5" t="str">
        <f t="shared" si="1"/>
        <v>Kaczmarek</v>
      </c>
      <c r="D345" s="5" t="str">
        <f t="shared" si="2"/>
        <v> Bruce</v>
      </c>
    </row>
    <row r="346" ht="15.75" customHeight="1">
      <c r="A346" s="5" t="s">
        <v>691</v>
      </c>
      <c r="B346" s="5" t="s">
        <v>692</v>
      </c>
      <c r="C346" s="5" t="str">
        <f t="shared" si="1"/>
        <v>Pitt</v>
      </c>
      <c r="D346" s="5" t="str">
        <f t="shared" si="2"/>
        <v> Allison</v>
      </c>
    </row>
    <row r="347" ht="15.75" customHeight="1">
      <c r="A347" s="5" t="s">
        <v>693</v>
      </c>
      <c r="B347" s="5" t="s">
        <v>694</v>
      </c>
      <c r="C347" s="5" t="str">
        <f t="shared" si="1"/>
        <v>Lorton</v>
      </c>
      <c r="D347" s="5" t="str">
        <f t="shared" si="2"/>
        <v> Alex</v>
      </c>
    </row>
    <row r="348" ht="15.75" customHeight="1">
      <c r="A348" s="5" t="s">
        <v>695</v>
      </c>
      <c r="B348" s="5" t="s">
        <v>696</v>
      </c>
      <c r="C348" s="5" t="str">
        <f t="shared" si="1"/>
        <v>Castaneda</v>
      </c>
      <c r="D348" s="5" t="str">
        <f t="shared" si="2"/>
        <v> Gabriela</v>
      </c>
    </row>
    <row r="349" ht="15.75" customHeight="1">
      <c r="A349" s="5" t="s">
        <v>697</v>
      </c>
      <c r="B349" s="5" t="s">
        <v>698</v>
      </c>
      <c r="C349" s="5" t="str">
        <f t="shared" si="1"/>
        <v>Cherop</v>
      </c>
      <c r="D349" s="5" t="str">
        <f t="shared" si="2"/>
        <v> Sharon</v>
      </c>
    </row>
    <row r="350" ht="15.75" customHeight="1">
      <c r="A350" s="5" t="s">
        <v>699</v>
      </c>
      <c r="B350" s="5" t="s">
        <v>700</v>
      </c>
      <c r="C350" s="5" t="str">
        <f t="shared" si="1"/>
        <v>Howell</v>
      </c>
      <c r="D350" s="5" t="str">
        <f t="shared" si="2"/>
        <v> Jason A</v>
      </c>
    </row>
    <row r="351" ht="15.75" customHeight="1">
      <c r="A351" s="5" t="s">
        <v>701</v>
      </c>
      <c r="B351" s="5" t="s">
        <v>702</v>
      </c>
      <c r="C351" s="5" t="str">
        <f t="shared" si="1"/>
        <v>Palmer</v>
      </c>
      <c r="D351" s="5" t="str">
        <f t="shared" si="2"/>
        <v> Chelsey C.</v>
      </c>
    </row>
    <row r="352" ht="15.75" customHeight="1">
      <c r="A352" s="5" t="s">
        <v>703</v>
      </c>
      <c r="B352" s="5" t="s">
        <v>704</v>
      </c>
      <c r="C352" s="5" t="str">
        <f t="shared" si="1"/>
        <v>Olson</v>
      </c>
      <c r="D352" s="5" t="str">
        <f t="shared" si="2"/>
        <v> Devon A.</v>
      </c>
    </row>
    <row r="353" ht="15.75" customHeight="1">
      <c r="A353" s="5" t="s">
        <v>705</v>
      </c>
      <c r="B353" s="5" t="s">
        <v>706</v>
      </c>
      <c r="C353" s="5" t="str">
        <f t="shared" si="1"/>
        <v>Waldron</v>
      </c>
      <c r="D353" s="5" t="str">
        <f t="shared" si="2"/>
        <v> Joni L</v>
      </c>
    </row>
    <row r="354" ht="15.75" customHeight="1">
      <c r="A354" s="5" t="s">
        <v>707</v>
      </c>
      <c r="B354" s="5" t="s">
        <v>708</v>
      </c>
      <c r="C354" s="5" t="str">
        <f t="shared" si="1"/>
        <v>Meyer</v>
      </c>
      <c r="D354" s="5" t="str">
        <f t="shared" si="2"/>
        <v> Colin</v>
      </c>
    </row>
    <row r="355" ht="15.75" customHeight="1">
      <c r="A355" s="5" t="s">
        <v>709</v>
      </c>
      <c r="B355" s="5" t="s">
        <v>710</v>
      </c>
      <c r="C355" s="5" t="str">
        <f t="shared" si="1"/>
        <v>Stack</v>
      </c>
      <c r="D355" s="5" t="str">
        <f t="shared" si="2"/>
        <v> Rachael</v>
      </c>
    </row>
    <row r="356" ht="15.75" customHeight="1">
      <c r="A356" s="5" t="s">
        <v>711</v>
      </c>
      <c r="B356" s="5" t="s">
        <v>712</v>
      </c>
      <c r="C356" s="5" t="str">
        <f t="shared" si="1"/>
        <v>Sanche</v>
      </c>
      <c r="D356" s="5" t="str">
        <f t="shared" si="2"/>
        <v> Maricela</v>
      </c>
    </row>
    <row r="357" ht="15.75" customHeight="1">
      <c r="A357" s="5" t="s">
        <v>713</v>
      </c>
      <c r="B357" s="5" t="s">
        <v>714</v>
      </c>
      <c r="C357" s="5" t="str">
        <f t="shared" si="1"/>
        <v>Daniels</v>
      </c>
      <c r="D357" s="5" t="str">
        <f t="shared" si="2"/>
        <v> Marie</v>
      </c>
    </row>
    <row r="358" ht="15.75" customHeight="1">
      <c r="A358" s="5" t="s">
        <v>715</v>
      </c>
      <c r="B358" s="5" t="s">
        <v>716</v>
      </c>
      <c r="C358" s="5" t="str">
        <f t="shared" si="1"/>
        <v>Pepp</v>
      </c>
      <c r="D358" s="5" t="str">
        <f t="shared" si="2"/>
        <v> Frank</v>
      </c>
    </row>
    <row r="359" ht="15.75" customHeight="1">
      <c r="A359" s="5" t="s">
        <v>717</v>
      </c>
      <c r="B359" s="5" t="s">
        <v>718</v>
      </c>
      <c r="C359" s="5" t="str">
        <f t="shared" si="1"/>
        <v>Buechler</v>
      </c>
      <c r="D359" s="5" t="str">
        <f t="shared" si="2"/>
        <v> Jeffry</v>
      </c>
    </row>
    <row r="360" ht="15.75" customHeight="1">
      <c r="A360" s="5" t="s">
        <v>719</v>
      </c>
      <c r="B360" s="5" t="s">
        <v>720</v>
      </c>
      <c r="C360" s="5" t="str">
        <f t="shared" si="1"/>
        <v>Buenting</v>
      </c>
      <c r="D360" s="5" t="str">
        <f t="shared" si="2"/>
        <v> Mike</v>
      </c>
    </row>
    <row r="361" ht="15.75" customHeight="1">
      <c r="A361" s="5" t="s">
        <v>721</v>
      </c>
      <c r="B361" s="5" t="s">
        <v>722</v>
      </c>
      <c r="C361" s="5" t="str">
        <f t="shared" si="1"/>
        <v>Evans</v>
      </c>
      <c r="D361" s="5" t="str">
        <f t="shared" si="2"/>
        <v> Rick</v>
      </c>
    </row>
    <row r="362" ht="15.75" customHeight="1">
      <c r="A362" s="5" t="s">
        <v>723</v>
      </c>
      <c r="B362" s="5" t="s">
        <v>724</v>
      </c>
      <c r="C362" s="5" t="str">
        <f t="shared" si="1"/>
        <v>Arcand</v>
      </c>
      <c r="D362" s="5" t="str">
        <f t="shared" si="2"/>
        <v> Pierre-Michel</v>
      </c>
    </row>
    <row r="363" ht="15.75" customHeight="1">
      <c r="A363" s="5" t="s">
        <v>725</v>
      </c>
      <c r="B363" s="5" t="s">
        <v>726</v>
      </c>
      <c r="C363" s="5" t="str">
        <f t="shared" si="1"/>
        <v>Kesack</v>
      </c>
      <c r="D363" s="5" t="str">
        <f t="shared" si="2"/>
        <v> Daniel</v>
      </c>
    </row>
    <row r="364" ht="15.75" customHeight="1">
      <c r="A364" s="5" t="s">
        <v>727</v>
      </c>
      <c r="B364" s="5" t="s">
        <v>728</v>
      </c>
      <c r="C364" s="5" t="str">
        <f t="shared" si="1"/>
        <v>Post</v>
      </c>
      <c r="D364" s="5" t="str">
        <f t="shared" si="2"/>
        <v> Brian L.</v>
      </c>
    </row>
    <row r="365" ht="15.75" customHeight="1">
      <c r="A365" s="5" t="s">
        <v>729</v>
      </c>
      <c r="B365" s="5" t="s">
        <v>730</v>
      </c>
      <c r="C365" s="5" t="str">
        <f t="shared" si="1"/>
        <v>Dunne</v>
      </c>
      <c r="D365" s="5" t="str">
        <f t="shared" si="2"/>
        <v> Morgan M.</v>
      </c>
    </row>
    <row r="366" ht="15.75" customHeight="1">
      <c r="A366" s="5" t="s">
        <v>731</v>
      </c>
      <c r="B366" s="5" t="s">
        <v>732</v>
      </c>
      <c r="C366" s="5" t="str">
        <f t="shared" si="1"/>
        <v>Kilel</v>
      </c>
      <c r="D366" s="5" t="str">
        <f t="shared" si="2"/>
        <v> Caroline</v>
      </c>
    </row>
    <row r="367" ht="15.75" customHeight="1">
      <c r="A367" s="5" t="s">
        <v>733</v>
      </c>
      <c r="B367" s="5" t="s">
        <v>734</v>
      </c>
      <c r="C367" s="5" t="str">
        <f t="shared" si="1"/>
        <v>Nicholson</v>
      </c>
      <c r="D367" s="5" t="str">
        <f t="shared" si="2"/>
        <v> Drew T.</v>
      </c>
    </row>
    <row r="368" ht="15.75" customHeight="1">
      <c r="A368" s="5" t="s">
        <v>735</v>
      </c>
      <c r="B368" s="5" t="s">
        <v>736</v>
      </c>
      <c r="C368" s="5" t="str">
        <f t="shared" si="1"/>
        <v>Susmann</v>
      </c>
      <c r="D368" s="5" t="str">
        <f t="shared" si="2"/>
        <v> Austin W</v>
      </c>
    </row>
    <row r="369" ht="15.75" customHeight="1">
      <c r="A369" s="5" t="s">
        <v>737</v>
      </c>
      <c r="B369" s="5" t="s">
        <v>738</v>
      </c>
      <c r="C369" s="5" t="str">
        <f t="shared" si="1"/>
        <v>Harsh</v>
      </c>
      <c r="D369" s="5" t="str">
        <f t="shared" si="2"/>
        <v> Berenice</v>
      </c>
    </row>
    <row r="370" ht="15.75" customHeight="1">
      <c r="A370" s="5" t="s">
        <v>739</v>
      </c>
      <c r="B370" s="5" t="s">
        <v>740</v>
      </c>
      <c r="C370" s="5" t="str">
        <f t="shared" si="1"/>
        <v>Pocasangre</v>
      </c>
      <c r="D370" s="5" t="str">
        <f t="shared" si="2"/>
        <v> Kenneth A</v>
      </c>
    </row>
    <row r="371" ht="15.75" customHeight="1">
      <c r="A371" s="5" t="s">
        <v>741</v>
      </c>
      <c r="B371" s="5" t="s">
        <v>742</v>
      </c>
      <c r="C371" s="5" t="str">
        <f t="shared" si="1"/>
        <v>Martine</v>
      </c>
      <c r="D371" s="5" t="str">
        <f t="shared" si="2"/>
        <v> Miguel</v>
      </c>
    </row>
    <row r="372" ht="15.75" customHeight="1">
      <c r="A372" s="5" t="s">
        <v>743</v>
      </c>
      <c r="B372" s="5" t="s">
        <v>744</v>
      </c>
      <c r="C372" s="5" t="str">
        <f t="shared" si="1"/>
        <v>Riegel</v>
      </c>
      <c r="D372" s="5" t="str">
        <f t="shared" si="2"/>
        <v> Hadley T.</v>
      </c>
    </row>
    <row r="373" ht="15.75" customHeight="1">
      <c r="A373" s="5" t="s">
        <v>745</v>
      </c>
      <c r="B373" s="5" t="s">
        <v>746</v>
      </c>
      <c r="C373" s="5" t="str">
        <f t="shared" si="1"/>
        <v>Monson</v>
      </c>
      <c r="D373" s="5" t="str">
        <f t="shared" si="2"/>
        <v> Taylor</v>
      </c>
    </row>
    <row r="374" ht="15.75" customHeight="1">
      <c r="A374" s="5" t="s">
        <v>747</v>
      </c>
      <c r="B374" s="5" t="s">
        <v>748</v>
      </c>
      <c r="C374" s="5" t="str">
        <f t="shared" si="1"/>
        <v>Klubben</v>
      </c>
      <c r="D374" s="5" t="str">
        <f t="shared" si="2"/>
        <v> Tenielle M</v>
      </c>
    </row>
    <row r="375" ht="15.75" customHeight="1">
      <c r="A375" s="5" t="s">
        <v>749</v>
      </c>
      <c r="B375" s="5" t="s">
        <v>750</v>
      </c>
      <c r="C375" s="5" t="str">
        <f t="shared" si="1"/>
        <v>Mascaro</v>
      </c>
      <c r="D375" s="5" t="str">
        <f t="shared" si="2"/>
        <v> Andrea</v>
      </c>
    </row>
    <row r="376" ht="15.75" customHeight="1">
      <c r="A376" s="5" t="s">
        <v>751</v>
      </c>
      <c r="B376" s="5" t="s">
        <v>752</v>
      </c>
      <c r="C376" s="5" t="str">
        <f t="shared" si="1"/>
        <v>Norvell</v>
      </c>
      <c r="D376" s="5" t="str">
        <f t="shared" si="2"/>
        <v> Nora P</v>
      </c>
    </row>
    <row r="377" ht="15.75" customHeight="1">
      <c r="A377" s="5" t="s">
        <v>753</v>
      </c>
      <c r="B377" s="5" t="s">
        <v>754</v>
      </c>
      <c r="C377" s="5" t="str">
        <f t="shared" si="1"/>
        <v>Ornelas</v>
      </c>
      <c r="D377" s="5" t="str">
        <f t="shared" si="2"/>
        <v> Zachary</v>
      </c>
    </row>
    <row r="378" ht="15.75" customHeight="1">
      <c r="A378" s="5" t="s">
        <v>755</v>
      </c>
      <c r="B378" s="5" t="s">
        <v>756</v>
      </c>
      <c r="C378" s="5" t="str">
        <f t="shared" si="1"/>
        <v>Fitzpatrick</v>
      </c>
      <c r="D378" s="5" t="str">
        <f t="shared" si="2"/>
        <v> Michael</v>
      </c>
    </row>
    <row r="379" ht="15.75" customHeight="1">
      <c r="A379" s="5" t="s">
        <v>757</v>
      </c>
      <c r="B379" s="5" t="s">
        <v>758</v>
      </c>
      <c r="C379" s="5" t="str">
        <f t="shared" si="1"/>
        <v>Bloomquist</v>
      </c>
      <c r="D379" s="5" t="str">
        <f t="shared" si="2"/>
        <v> Alyssa K.</v>
      </c>
    </row>
    <row r="380" ht="15.75" customHeight="1">
      <c r="A380" s="5" t="s">
        <v>759</v>
      </c>
      <c r="B380" s="5" t="s">
        <v>760</v>
      </c>
      <c r="C380" s="5" t="str">
        <f t="shared" si="1"/>
        <v>Wick</v>
      </c>
      <c r="D380" s="5" t="str">
        <f t="shared" si="2"/>
        <v> Heather</v>
      </c>
    </row>
    <row r="381" ht="15.75" customHeight="1">
      <c r="A381" s="5" t="s">
        <v>761</v>
      </c>
      <c r="B381" s="5" t="s">
        <v>762</v>
      </c>
      <c r="C381" s="5" t="str">
        <f t="shared" si="1"/>
        <v>Zappala</v>
      </c>
      <c r="D381" s="5" t="str">
        <f t="shared" si="2"/>
        <v> Dante</v>
      </c>
    </row>
    <row r="382" ht="15.75" customHeight="1">
      <c r="A382" s="5" t="s">
        <v>763</v>
      </c>
      <c r="B382" s="5" t="s">
        <v>764</v>
      </c>
      <c r="C382" s="5" t="str">
        <f t="shared" si="1"/>
        <v>Earle</v>
      </c>
      <c r="D382" s="5" t="str">
        <f t="shared" si="2"/>
        <v> Sara E.</v>
      </c>
    </row>
    <row r="383" ht="15.75" customHeight="1">
      <c r="A383" s="5" t="s">
        <v>765</v>
      </c>
      <c r="B383" s="5" t="s">
        <v>766</v>
      </c>
      <c r="C383" s="5" t="str">
        <f t="shared" si="1"/>
        <v>Majewski</v>
      </c>
      <c r="D383" s="5" t="str">
        <f t="shared" si="2"/>
        <v> Scott</v>
      </c>
    </row>
    <row r="384" ht="15.75" customHeight="1">
      <c r="A384" s="5" t="s">
        <v>767</v>
      </c>
      <c r="B384" s="5" t="s">
        <v>768</v>
      </c>
      <c r="C384" s="5" t="str">
        <f t="shared" si="1"/>
        <v>Apfelbaum</v>
      </c>
      <c r="D384" s="5" t="str">
        <f t="shared" si="2"/>
        <v> Sean</v>
      </c>
    </row>
    <row r="385" ht="15.75" customHeight="1">
      <c r="A385" s="5" t="s">
        <v>769</v>
      </c>
      <c r="B385" s="5" t="s">
        <v>770</v>
      </c>
      <c r="C385" s="5" t="str">
        <f t="shared" si="1"/>
        <v>Graham</v>
      </c>
      <c r="D385" s="5" t="str">
        <f t="shared" si="2"/>
        <v> Danielle</v>
      </c>
    </row>
    <row r="386" ht="15.75" customHeight="1">
      <c r="A386" s="5" t="s">
        <v>771</v>
      </c>
      <c r="B386" s="5" t="s">
        <v>772</v>
      </c>
      <c r="C386" s="5" t="str">
        <f t="shared" si="1"/>
        <v>Whitacre</v>
      </c>
      <c r="D386" s="5" t="str">
        <f t="shared" si="2"/>
        <v> Andrew D.</v>
      </c>
    </row>
    <row r="387" ht="15.75" customHeight="1">
      <c r="A387" s="5" t="s">
        <v>773</v>
      </c>
      <c r="B387" s="5" t="s">
        <v>774</v>
      </c>
      <c r="C387" s="5" t="str">
        <f t="shared" si="1"/>
        <v>Wegener</v>
      </c>
      <c r="D387" s="5" t="str">
        <f t="shared" si="2"/>
        <v> Joel D</v>
      </c>
    </row>
    <row r="388" ht="15.75" customHeight="1">
      <c r="A388" s="5" t="s">
        <v>775</v>
      </c>
      <c r="B388" s="5" t="s">
        <v>776</v>
      </c>
      <c r="C388" s="5" t="str">
        <f t="shared" si="1"/>
        <v>Collie</v>
      </c>
      <c r="D388" s="5" t="str">
        <f t="shared" si="2"/>
        <v> Michelle</v>
      </c>
    </row>
    <row r="389" ht="15.75" customHeight="1">
      <c r="A389" s="5" t="s">
        <v>777</v>
      </c>
      <c r="B389" s="5" t="s">
        <v>778</v>
      </c>
      <c r="C389" s="5" t="str">
        <f t="shared" si="1"/>
        <v>Murphy</v>
      </c>
      <c r="D389" s="5" t="str">
        <f t="shared" si="2"/>
        <v> Michael J.</v>
      </c>
    </row>
    <row r="390" ht="15.75" customHeight="1">
      <c r="A390" s="5" t="s">
        <v>779</v>
      </c>
      <c r="B390" s="5" t="s">
        <v>780</v>
      </c>
      <c r="C390" s="5" t="str">
        <f t="shared" si="1"/>
        <v>Butters</v>
      </c>
      <c r="D390" s="5" t="str">
        <f t="shared" si="2"/>
        <v> Nikki</v>
      </c>
    </row>
    <row r="391" ht="15.75" customHeight="1">
      <c r="A391" s="5" t="s">
        <v>781</v>
      </c>
      <c r="B391" s="5" t="s">
        <v>782</v>
      </c>
      <c r="C391" s="5" t="str">
        <f t="shared" si="1"/>
        <v>Cook</v>
      </c>
      <c r="D391" s="5" t="str">
        <f t="shared" si="2"/>
        <v> Summer B.</v>
      </c>
    </row>
    <row r="392" ht="15.75" customHeight="1">
      <c r="A392" s="5" t="s">
        <v>783</v>
      </c>
      <c r="B392" s="5" t="s">
        <v>784</v>
      </c>
      <c r="C392" s="5" t="str">
        <f t="shared" si="1"/>
        <v>Breen</v>
      </c>
      <c r="D392" s="5" t="str">
        <f t="shared" si="2"/>
        <v> Edward</v>
      </c>
    </row>
    <row r="393" ht="15.75" customHeight="1">
      <c r="A393" s="5" t="s">
        <v>785</v>
      </c>
      <c r="B393" s="5" t="s">
        <v>786</v>
      </c>
      <c r="C393" s="5" t="str">
        <f t="shared" si="1"/>
        <v>Fitzsimons</v>
      </c>
      <c r="D393" s="5" t="str">
        <f t="shared" si="2"/>
        <v> Ryan</v>
      </c>
    </row>
    <row r="394" ht="15.75" customHeight="1">
      <c r="A394" s="5" t="s">
        <v>787</v>
      </c>
      <c r="B394" s="5" t="s">
        <v>788</v>
      </c>
      <c r="C394" s="5" t="str">
        <f t="shared" si="1"/>
        <v>Houle</v>
      </c>
      <c r="D394" s="5" t="str">
        <f t="shared" si="2"/>
        <v> Kacee</v>
      </c>
    </row>
    <row r="395" ht="15.75" customHeight="1">
      <c r="A395" s="5" t="s">
        <v>789</v>
      </c>
      <c r="B395" s="5" t="s">
        <v>790</v>
      </c>
      <c r="C395" s="5" t="str">
        <f t="shared" si="1"/>
        <v>Woodward</v>
      </c>
      <c r="D395" s="5" t="str">
        <f t="shared" si="2"/>
        <v> Dave</v>
      </c>
    </row>
    <row r="396" ht="15.75" customHeight="1">
      <c r="A396" s="5" t="s">
        <v>791</v>
      </c>
      <c r="B396" s="5" t="s">
        <v>792</v>
      </c>
      <c r="C396" s="5" t="str">
        <f t="shared" si="1"/>
        <v>Ray</v>
      </c>
      <c r="D396" s="5" t="str">
        <f t="shared" si="2"/>
        <v> Maryanna</v>
      </c>
    </row>
    <row r="397" ht="15.75" customHeight="1">
      <c r="A397" s="5" t="s">
        <v>793</v>
      </c>
      <c r="B397" s="5" t="s">
        <v>794</v>
      </c>
      <c r="C397" s="5" t="str">
        <f t="shared" si="1"/>
        <v>Jennings</v>
      </c>
      <c r="D397" s="5" t="str">
        <f t="shared" si="2"/>
        <v> Jessica H.</v>
      </c>
    </row>
    <row r="398" ht="15.75" customHeight="1">
      <c r="A398" s="5" t="s">
        <v>795</v>
      </c>
      <c r="B398" s="5" t="s">
        <v>796</v>
      </c>
      <c r="C398" s="5" t="str">
        <f t="shared" si="1"/>
        <v>Fuller</v>
      </c>
      <c r="D398" s="5" t="str">
        <f t="shared" si="2"/>
        <v> Deanna</v>
      </c>
    </row>
    <row r="399" ht="15.75" customHeight="1">
      <c r="A399" s="5" t="s">
        <v>797</v>
      </c>
      <c r="B399" s="5" t="s">
        <v>798</v>
      </c>
      <c r="C399" s="5" t="str">
        <f t="shared" si="1"/>
        <v>Lovisek</v>
      </c>
      <c r="D399" s="5" t="str">
        <f t="shared" si="2"/>
        <v> Peter</v>
      </c>
    </row>
    <row r="400" ht="15.75" customHeight="1">
      <c r="A400" s="5" t="s">
        <v>799</v>
      </c>
      <c r="B400" s="5" t="s">
        <v>800</v>
      </c>
      <c r="C400" s="5" t="str">
        <f t="shared" si="1"/>
        <v>Painter</v>
      </c>
      <c r="D400" s="5" t="str">
        <f t="shared" si="2"/>
        <v> Rebecca</v>
      </c>
    </row>
    <row r="401" ht="15.75" customHeight="1">
      <c r="A401" s="5" t="s">
        <v>801</v>
      </c>
      <c r="B401" s="5" t="s">
        <v>802</v>
      </c>
      <c r="C401" s="5" t="str">
        <f t="shared" si="1"/>
        <v>Edwards</v>
      </c>
      <c r="D401" s="5" t="str">
        <f t="shared" si="2"/>
        <v> Elizabeth M.</v>
      </c>
    </row>
    <row r="402" ht="15.75" customHeight="1">
      <c r="A402" s="5" t="s">
        <v>803</v>
      </c>
      <c r="B402" s="5" t="s">
        <v>804</v>
      </c>
      <c r="C402" s="5" t="str">
        <f t="shared" si="1"/>
        <v>Liebl</v>
      </c>
      <c r="D402" s="5" t="str">
        <f t="shared" si="2"/>
        <v> Gregory</v>
      </c>
    </row>
    <row r="403" ht="15.75" customHeight="1">
      <c r="A403" s="5" t="s">
        <v>805</v>
      </c>
      <c r="B403" s="5" t="s">
        <v>806</v>
      </c>
      <c r="C403" s="5" t="str">
        <f t="shared" si="1"/>
        <v>Kasabian-Larson</v>
      </c>
      <c r="D403" s="5" t="str">
        <f t="shared" si="2"/>
        <v> Sarah E.</v>
      </c>
    </row>
    <row r="404" ht="15.75" customHeight="1">
      <c r="A404" s="5" t="s">
        <v>807</v>
      </c>
      <c r="B404" s="5" t="s">
        <v>808</v>
      </c>
      <c r="C404" s="5" t="str">
        <f t="shared" si="1"/>
        <v>Creamer</v>
      </c>
      <c r="D404" s="5" t="str">
        <f t="shared" si="2"/>
        <v> Anne Elise</v>
      </c>
    </row>
    <row r="405" ht="15.75" customHeight="1">
      <c r="A405" s="5" t="s">
        <v>809</v>
      </c>
      <c r="B405" s="5" t="s">
        <v>810</v>
      </c>
      <c r="C405" s="5" t="str">
        <f t="shared" si="1"/>
        <v>Kimbel</v>
      </c>
      <c r="D405" s="5" t="str">
        <f t="shared" si="2"/>
        <v> Christopher R</v>
      </c>
    </row>
    <row r="406" ht="15.75" customHeight="1">
      <c r="A406" s="5" t="s">
        <v>811</v>
      </c>
      <c r="B406" s="5" t="s">
        <v>812</v>
      </c>
      <c r="C406" s="5" t="str">
        <f t="shared" si="1"/>
        <v>Livensparger</v>
      </c>
      <c r="D406" s="5" t="str">
        <f t="shared" si="2"/>
        <v> Elliot</v>
      </c>
    </row>
    <row r="407" ht="15.75" customHeight="1">
      <c r="A407" s="5" t="s">
        <v>813</v>
      </c>
      <c r="B407" s="5" t="s">
        <v>814</v>
      </c>
      <c r="C407" s="5" t="str">
        <f t="shared" si="1"/>
        <v>Grange</v>
      </c>
      <c r="D407" s="5" t="str">
        <f t="shared" si="2"/>
        <v> Christopher D.</v>
      </c>
    </row>
    <row r="408" ht="15.75" customHeight="1">
      <c r="A408" s="5" t="s">
        <v>815</v>
      </c>
      <c r="B408" s="5" t="s">
        <v>816</v>
      </c>
      <c r="C408" s="5" t="str">
        <f t="shared" si="1"/>
        <v>Nunlist</v>
      </c>
      <c r="D408" s="5" t="str">
        <f t="shared" si="2"/>
        <v> Corey</v>
      </c>
    </row>
    <row r="409" ht="15.75" customHeight="1">
      <c r="A409" s="5" t="s">
        <v>817</v>
      </c>
      <c r="B409" s="5" t="s">
        <v>818</v>
      </c>
      <c r="C409" s="5" t="str">
        <f t="shared" si="1"/>
        <v>Cutter</v>
      </c>
      <c r="D409" s="5" t="str">
        <f t="shared" si="2"/>
        <v> Patrick D.</v>
      </c>
    </row>
    <row r="410" ht="15.75" customHeight="1">
      <c r="A410" s="5" t="s">
        <v>819</v>
      </c>
      <c r="B410" s="5" t="s">
        <v>820</v>
      </c>
      <c r="C410" s="5" t="str">
        <f t="shared" si="1"/>
        <v>Martin</v>
      </c>
      <c r="D410" s="5" t="str">
        <f t="shared" si="2"/>
        <v> Anthony D.</v>
      </c>
    </row>
    <row r="411" ht="15.75" customHeight="1">
      <c r="A411" s="5" t="s">
        <v>821</v>
      </c>
      <c r="B411" s="5" t="s">
        <v>822</v>
      </c>
      <c r="C411" s="5" t="str">
        <f t="shared" si="1"/>
        <v>Cooney</v>
      </c>
      <c r="D411" s="5" t="str">
        <f t="shared" si="2"/>
        <v> Melissa</v>
      </c>
    </row>
    <row r="412" ht="15.75" customHeight="1">
      <c r="A412" s="5" t="s">
        <v>823</v>
      </c>
      <c r="B412" s="5" t="s">
        <v>824</v>
      </c>
      <c r="C412" s="5" t="str">
        <f t="shared" si="1"/>
        <v>Bier</v>
      </c>
      <c r="D412" s="5" t="str">
        <f t="shared" si="2"/>
        <v> Raven</v>
      </c>
    </row>
    <row r="413" ht="15.75" customHeight="1">
      <c r="A413" s="5" t="s">
        <v>825</v>
      </c>
      <c r="B413" s="5" t="s">
        <v>826</v>
      </c>
      <c r="C413" s="5" t="str">
        <f t="shared" si="1"/>
        <v>Muskopf</v>
      </c>
      <c r="D413" s="5" t="str">
        <f t="shared" si="2"/>
        <v> Christopher</v>
      </c>
    </row>
    <row r="414" ht="15.75" customHeight="1">
      <c r="A414" s="5" t="s">
        <v>827</v>
      </c>
      <c r="B414" s="5" t="s">
        <v>828</v>
      </c>
      <c r="C414" s="5" t="str">
        <f t="shared" si="1"/>
        <v>Sirak</v>
      </c>
      <c r="D414" s="5" t="str">
        <f t="shared" si="2"/>
        <v> Kendra A</v>
      </c>
    </row>
    <row r="415" ht="15.75" customHeight="1">
      <c r="A415" s="5" t="s">
        <v>829</v>
      </c>
      <c r="B415" s="5" t="s">
        <v>830</v>
      </c>
      <c r="C415" s="5" t="str">
        <f t="shared" si="1"/>
        <v>Nelsen</v>
      </c>
      <c r="D415" s="5" t="str">
        <f t="shared" si="2"/>
        <v> Jordan</v>
      </c>
    </row>
    <row r="416" ht="15.75" customHeight="1">
      <c r="A416" s="5" t="s">
        <v>831</v>
      </c>
      <c r="B416" s="5" t="s">
        <v>832</v>
      </c>
      <c r="C416" s="5" t="str">
        <f t="shared" si="1"/>
        <v>Schallner</v>
      </c>
      <c r="D416" s="5" t="str">
        <f t="shared" si="2"/>
        <v> Nils</v>
      </c>
    </row>
    <row r="417" ht="15.75" customHeight="1">
      <c r="A417" s="5" t="s">
        <v>833</v>
      </c>
      <c r="B417" s="5" t="s">
        <v>834</v>
      </c>
      <c r="C417" s="5" t="str">
        <f t="shared" si="1"/>
        <v>Dunlap</v>
      </c>
      <c r="D417" s="5" t="str">
        <f t="shared" si="2"/>
        <v> Scott</v>
      </c>
    </row>
    <row r="418" ht="15.75" customHeight="1">
      <c r="A418" s="5" t="s">
        <v>835</v>
      </c>
      <c r="B418" s="5" t="s">
        <v>836</v>
      </c>
      <c r="C418" s="5" t="str">
        <f t="shared" si="1"/>
        <v>Messing</v>
      </c>
      <c r="D418" s="5" t="str">
        <f t="shared" si="2"/>
        <v> Angela</v>
      </c>
    </row>
    <row r="419" ht="15.75" customHeight="1">
      <c r="A419" s="5" t="s">
        <v>837</v>
      </c>
      <c r="B419" s="5" t="s">
        <v>838</v>
      </c>
      <c r="C419" s="5" t="str">
        <f t="shared" si="1"/>
        <v>Bondell</v>
      </c>
      <c r="D419" s="5" t="str">
        <f t="shared" si="2"/>
        <v> Allison</v>
      </c>
    </row>
    <row r="420" ht="15.75" customHeight="1">
      <c r="A420" s="5" t="s">
        <v>839</v>
      </c>
      <c r="B420" s="5" t="s">
        <v>840</v>
      </c>
      <c r="C420" s="5" t="str">
        <f t="shared" si="1"/>
        <v>Gaughan</v>
      </c>
      <c r="D420" s="5" t="str">
        <f t="shared" si="2"/>
        <v> Caitlin O.</v>
      </c>
    </row>
    <row r="421" ht="15.75" customHeight="1">
      <c r="A421" s="5" t="s">
        <v>841</v>
      </c>
      <c r="B421" s="5" t="s">
        <v>842</v>
      </c>
      <c r="C421" s="5" t="str">
        <f t="shared" si="1"/>
        <v>Gruman</v>
      </c>
      <c r="D421" s="5" t="str">
        <f t="shared" si="2"/>
        <v> Tracy M</v>
      </c>
    </row>
    <row r="422" ht="15.75" customHeight="1">
      <c r="A422" s="5" t="s">
        <v>843</v>
      </c>
      <c r="B422" s="5" t="s">
        <v>844</v>
      </c>
      <c r="C422" s="5" t="str">
        <f t="shared" si="1"/>
        <v>Whitlow</v>
      </c>
      <c r="D422" s="5" t="str">
        <f t="shared" si="2"/>
        <v> Dustin M.</v>
      </c>
    </row>
    <row r="423" ht="15.75" customHeight="1">
      <c r="A423" s="5" t="s">
        <v>845</v>
      </c>
      <c r="B423" s="5" t="s">
        <v>846</v>
      </c>
      <c r="C423" s="5" t="str">
        <f t="shared" si="1"/>
        <v>Robinson</v>
      </c>
      <c r="D423" s="5" t="str">
        <f t="shared" si="2"/>
        <v> Jenny</v>
      </c>
    </row>
    <row r="424" ht="15.75" customHeight="1">
      <c r="A424" s="5" t="s">
        <v>847</v>
      </c>
      <c r="B424" s="5" t="s">
        <v>848</v>
      </c>
      <c r="C424" s="5" t="str">
        <f t="shared" si="1"/>
        <v>Sabo</v>
      </c>
      <c r="D424" s="5" t="str">
        <f t="shared" si="2"/>
        <v> Emily</v>
      </c>
    </row>
    <row r="425" ht="15.75" customHeight="1">
      <c r="A425" s="5" t="s">
        <v>849</v>
      </c>
      <c r="B425" s="5" t="s">
        <v>850</v>
      </c>
      <c r="C425" s="5" t="str">
        <f t="shared" si="1"/>
        <v>Nazarian</v>
      </c>
      <c r="D425" s="5" t="str">
        <f t="shared" si="2"/>
        <v> Fabienne</v>
      </c>
    </row>
    <row r="426" ht="15.75" customHeight="1">
      <c r="A426" s="5" t="s">
        <v>851</v>
      </c>
      <c r="B426" s="5" t="s">
        <v>852</v>
      </c>
      <c r="C426" s="5" t="str">
        <f t="shared" si="1"/>
        <v>Lerma</v>
      </c>
      <c r="D426" s="5" t="str">
        <f t="shared" si="2"/>
        <v> Jordan</v>
      </c>
    </row>
    <row r="427" ht="15.75" customHeight="1">
      <c r="A427" s="5" t="s">
        <v>853</v>
      </c>
      <c r="B427" s="5" t="s">
        <v>854</v>
      </c>
      <c r="C427" s="5" t="str">
        <f t="shared" si="1"/>
        <v>Dahl</v>
      </c>
      <c r="D427" s="5" t="str">
        <f t="shared" si="2"/>
        <v> Matt</v>
      </c>
    </row>
    <row r="428" ht="15.75" customHeight="1">
      <c r="A428" s="5" t="s">
        <v>855</v>
      </c>
      <c r="B428" s="5" t="s">
        <v>856</v>
      </c>
      <c r="C428" s="5" t="str">
        <f t="shared" si="1"/>
        <v>Surtees</v>
      </c>
      <c r="D428" s="5" t="str">
        <f t="shared" si="2"/>
        <v> Taryn L</v>
      </c>
    </row>
    <row r="429" ht="15.75" customHeight="1">
      <c r="A429" s="5" t="s">
        <v>857</v>
      </c>
      <c r="B429" s="5" t="s">
        <v>858</v>
      </c>
      <c r="C429" s="5" t="str">
        <f t="shared" si="1"/>
        <v>Spetner</v>
      </c>
      <c r="D429" s="5" t="str">
        <f t="shared" si="2"/>
        <v> Temima</v>
      </c>
    </row>
    <row r="430" ht="15.75" customHeight="1">
      <c r="A430" s="5" t="s">
        <v>859</v>
      </c>
      <c r="B430" s="5" t="s">
        <v>860</v>
      </c>
      <c r="C430" s="5" t="str">
        <f t="shared" si="1"/>
        <v>Brandon</v>
      </c>
      <c r="D430" s="5" t="str">
        <f t="shared" si="2"/>
        <v> Jennifer</v>
      </c>
    </row>
    <row r="431" ht="15.75" customHeight="1">
      <c r="A431" s="5" t="s">
        <v>861</v>
      </c>
      <c r="B431" s="5" t="s">
        <v>862</v>
      </c>
      <c r="C431" s="5" t="str">
        <f t="shared" si="1"/>
        <v>Eley</v>
      </c>
      <c r="D431" s="5" t="str">
        <f t="shared" si="2"/>
        <v> Serena M.</v>
      </c>
    </row>
    <row r="432" ht="15.75" customHeight="1">
      <c r="A432" s="5" t="s">
        <v>863</v>
      </c>
      <c r="B432" s="5" t="s">
        <v>864</v>
      </c>
      <c r="C432" s="5" t="str">
        <f t="shared" si="1"/>
        <v>Sedicum</v>
      </c>
      <c r="D432" s="5" t="str">
        <f t="shared" si="2"/>
        <v> Victoria M.</v>
      </c>
    </row>
    <row r="433" ht="15.75" customHeight="1">
      <c r="A433" s="5" t="s">
        <v>865</v>
      </c>
      <c r="B433" s="5" t="s">
        <v>866</v>
      </c>
      <c r="C433" s="5" t="str">
        <f t="shared" si="1"/>
        <v>Markle</v>
      </c>
      <c r="D433" s="5" t="str">
        <f t="shared" si="2"/>
        <v> Phoebe</v>
      </c>
    </row>
    <row r="434" ht="15.75" customHeight="1">
      <c r="A434" s="5" t="s">
        <v>867</v>
      </c>
      <c r="B434" s="5" t="s">
        <v>868</v>
      </c>
      <c r="C434" s="5" t="str">
        <f t="shared" si="1"/>
        <v>Kunz</v>
      </c>
      <c r="D434" s="5" t="str">
        <f t="shared" si="2"/>
        <v> Corey</v>
      </c>
    </row>
    <row r="435" ht="15.75" customHeight="1">
      <c r="A435" s="5" t="s">
        <v>869</v>
      </c>
      <c r="B435" s="5" t="s">
        <v>870</v>
      </c>
      <c r="C435" s="5" t="str">
        <f t="shared" si="1"/>
        <v>Wimert</v>
      </c>
      <c r="D435" s="5" t="str">
        <f t="shared" si="2"/>
        <v> Rebecca</v>
      </c>
    </row>
    <row r="436" ht="15.75" customHeight="1">
      <c r="A436" s="5" t="s">
        <v>871</v>
      </c>
      <c r="B436" s="5" t="s">
        <v>872</v>
      </c>
      <c r="C436" s="5" t="str">
        <f t="shared" si="1"/>
        <v>Peterson</v>
      </c>
      <c r="D436" s="5" t="str">
        <f t="shared" si="2"/>
        <v> Nicholas D</v>
      </c>
    </row>
    <row r="437" ht="15.75" customHeight="1">
      <c r="A437" s="5" t="s">
        <v>873</v>
      </c>
      <c r="B437" s="5" t="s">
        <v>874</v>
      </c>
      <c r="C437" s="5" t="str">
        <f t="shared" si="1"/>
        <v>Mercier</v>
      </c>
      <c r="D437" s="5" t="str">
        <f t="shared" si="2"/>
        <v> Christian</v>
      </c>
    </row>
    <row r="438" ht="15.75" customHeight="1">
      <c r="A438" s="5" t="s">
        <v>875</v>
      </c>
      <c r="B438" s="5" t="s">
        <v>876</v>
      </c>
      <c r="C438" s="5" t="str">
        <f t="shared" si="1"/>
        <v>Laurie</v>
      </c>
      <c r="D438" s="5" t="str">
        <f t="shared" si="2"/>
        <v> Jonathon S.</v>
      </c>
    </row>
    <row r="439" ht="15.75" customHeight="1">
      <c r="A439" s="5" t="s">
        <v>877</v>
      </c>
      <c r="B439" s="5" t="s">
        <v>878</v>
      </c>
      <c r="C439" s="5" t="str">
        <f t="shared" si="1"/>
        <v>Sekaquaptewa</v>
      </c>
      <c r="D439" s="5" t="str">
        <f t="shared" si="2"/>
        <v> Caroline</v>
      </c>
    </row>
    <row r="440" ht="15.75" customHeight="1">
      <c r="A440" s="5" t="s">
        <v>879</v>
      </c>
      <c r="B440" s="5" t="s">
        <v>880</v>
      </c>
      <c r="C440" s="5" t="str">
        <f t="shared" si="1"/>
        <v>Frash</v>
      </c>
      <c r="D440" s="5" t="str">
        <f t="shared" si="2"/>
        <v> Joshua D.</v>
      </c>
    </row>
    <row r="441" ht="15.75" customHeight="1">
      <c r="A441" s="5" t="s">
        <v>881</v>
      </c>
      <c r="B441" s="5" t="s">
        <v>882</v>
      </c>
      <c r="C441" s="5" t="str">
        <f t="shared" si="1"/>
        <v>Bukowski</v>
      </c>
      <c r="D441" s="5" t="str">
        <f t="shared" si="2"/>
        <v> Nichole</v>
      </c>
    </row>
    <row r="442" ht="15.75" customHeight="1">
      <c r="A442" s="5" t="s">
        <v>883</v>
      </c>
      <c r="B442" s="5" t="s">
        <v>884</v>
      </c>
      <c r="C442" s="5" t="str">
        <f t="shared" si="1"/>
        <v>Sandahl</v>
      </c>
      <c r="D442" s="5" t="str">
        <f t="shared" si="2"/>
        <v> Denise M</v>
      </c>
    </row>
    <row r="443" ht="15.75" customHeight="1">
      <c r="A443" s="5" t="s">
        <v>885</v>
      </c>
      <c r="B443" s="5" t="s">
        <v>886</v>
      </c>
      <c r="C443" s="5" t="str">
        <f t="shared" si="1"/>
        <v>Speight</v>
      </c>
      <c r="D443" s="5" t="str">
        <f t="shared" si="2"/>
        <v> Peter R.</v>
      </c>
    </row>
    <row r="444" ht="15.75" customHeight="1">
      <c r="A444" s="5" t="s">
        <v>887</v>
      </c>
      <c r="B444" s="5" t="s">
        <v>888</v>
      </c>
      <c r="C444" s="5" t="str">
        <f t="shared" si="1"/>
        <v>Lee</v>
      </c>
      <c r="D444" s="5" t="str">
        <f t="shared" si="2"/>
        <v> Johnson K</v>
      </c>
    </row>
    <row r="445" ht="15.75" customHeight="1">
      <c r="A445" s="5" t="s">
        <v>889</v>
      </c>
      <c r="B445" s="5" t="s">
        <v>890</v>
      </c>
      <c r="C445" s="5" t="str">
        <f t="shared" si="1"/>
        <v>Nielsen</v>
      </c>
      <c r="D445" s="5" t="str">
        <f t="shared" si="2"/>
        <v> Katherine</v>
      </c>
    </row>
    <row r="446" ht="15.75" customHeight="1">
      <c r="A446" s="5" t="s">
        <v>891</v>
      </c>
      <c r="B446" s="5" t="s">
        <v>892</v>
      </c>
      <c r="C446" s="5" t="str">
        <f t="shared" si="1"/>
        <v>Zirdok</v>
      </c>
      <c r="D446" s="5" t="str">
        <f t="shared" si="2"/>
        <v> Lynda</v>
      </c>
    </row>
    <row r="447" ht="15.75" customHeight="1">
      <c r="A447" s="5" t="s">
        <v>893</v>
      </c>
      <c r="B447" s="5" t="s">
        <v>894</v>
      </c>
      <c r="C447" s="5" t="str">
        <f t="shared" si="1"/>
        <v>Crudale</v>
      </c>
      <c r="D447" s="5" t="str">
        <f t="shared" si="2"/>
        <v> Anthony</v>
      </c>
    </row>
    <row r="448" ht="15.75" customHeight="1">
      <c r="A448" s="5" t="s">
        <v>895</v>
      </c>
      <c r="B448" s="5" t="s">
        <v>896</v>
      </c>
      <c r="C448" s="5" t="str">
        <f t="shared" si="1"/>
        <v>Koopmans</v>
      </c>
      <c r="D448" s="5" t="str">
        <f t="shared" si="2"/>
        <v> Linnea C.</v>
      </c>
    </row>
    <row r="449" ht="15.75" customHeight="1">
      <c r="A449" s="5" t="s">
        <v>897</v>
      </c>
      <c r="B449" s="5" t="s">
        <v>898</v>
      </c>
      <c r="C449" s="5" t="str">
        <f t="shared" si="1"/>
        <v>Milani</v>
      </c>
      <c r="D449" s="5" t="str">
        <f t="shared" si="2"/>
        <v> Massimiliano A.</v>
      </c>
    </row>
    <row r="450" ht="15.75" customHeight="1">
      <c r="A450" s="5" t="s">
        <v>899</v>
      </c>
      <c r="B450" s="5" t="s">
        <v>900</v>
      </c>
      <c r="C450" s="5" t="str">
        <f t="shared" si="1"/>
        <v>Kelly</v>
      </c>
      <c r="D450" s="5" t="str">
        <f t="shared" si="2"/>
        <v> James M.</v>
      </c>
    </row>
    <row r="451" ht="15.75" customHeight="1">
      <c r="A451" s="5" t="s">
        <v>901</v>
      </c>
      <c r="B451" s="5" t="s">
        <v>902</v>
      </c>
      <c r="C451" s="5" t="str">
        <f t="shared" si="1"/>
        <v>Finelli</v>
      </c>
      <c r="D451" s="5" t="str">
        <f t="shared" si="2"/>
        <v> Lauren</v>
      </c>
    </row>
    <row r="452" ht="15.75" customHeight="1">
      <c r="A452" s="5" t="s">
        <v>903</v>
      </c>
      <c r="B452" s="5" t="s">
        <v>904</v>
      </c>
      <c r="C452" s="5" t="str">
        <f t="shared" si="1"/>
        <v>Palmer</v>
      </c>
      <c r="D452" s="5" t="str">
        <f t="shared" si="2"/>
        <v> Michele V.</v>
      </c>
    </row>
    <row r="453" ht="15.75" customHeight="1">
      <c r="A453" s="5" t="s">
        <v>905</v>
      </c>
      <c r="B453" s="5" t="s">
        <v>906</v>
      </c>
      <c r="C453" s="5" t="str">
        <f t="shared" si="1"/>
        <v>Wang</v>
      </c>
      <c r="D453" s="5" t="str">
        <f t="shared" si="2"/>
        <v> Xiao</v>
      </c>
    </row>
    <row r="454" ht="15.75" customHeight="1">
      <c r="A454" s="5" t="s">
        <v>907</v>
      </c>
      <c r="B454" s="5" t="s">
        <v>908</v>
      </c>
      <c r="C454" s="5" t="str">
        <f t="shared" si="1"/>
        <v>Beasley</v>
      </c>
      <c r="D454" s="5" t="str">
        <f t="shared" si="2"/>
        <v> Harper L</v>
      </c>
    </row>
    <row r="455" ht="15.75" customHeight="1">
      <c r="A455" s="5" t="s">
        <v>909</v>
      </c>
      <c r="B455" s="5" t="s">
        <v>910</v>
      </c>
      <c r="C455" s="5" t="str">
        <f t="shared" si="1"/>
        <v>Bedbury</v>
      </c>
      <c r="D455" s="5" t="str">
        <f t="shared" si="2"/>
        <v> Nick</v>
      </c>
    </row>
    <row r="456" ht="15.75" customHeight="1">
      <c r="A456" s="5" t="s">
        <v>911</v>
      </c>
      <c r="B456" s="5" t="s">
        <v>912</v>
      </c>
      <c r="C456" s="5" t="str">
        <f t="shared" si="1"/>
        <v>Stemberger</v>
      </c>
      <c r="D456" s="5" t="str">
        <f t="shared" si="2"/>
        <v> Scott</v>
      </c>
    </row>
    <row r="457" ht="15.75" customHeight="1">
      <c r="A457" s="5" t="s">
        <v>913</v>
      </c>
      <c r="B457" s="5" t="s">
        <v>914</v>
      </c>
      <c r="C457" s="5" t="str">
        <f t="shared" si="1"/>
        <v>Chebet</v>
      </c>
      <c r="D457" s="5" t="str">
        <f t="shared" si="2"/>
        <v> Wilson</v>
      </c>
    </row>
    <row r="458" ht="15.75" customHeight="1">
      <c r="A458" s="5" t="s">
        <v>915</v>
      </c>
      <c r="B458" s="5" t="s">
        <v>916</v>
      </c>
      <c r="C458" s="5" t="str">
        <f t="shared" si="1"/>
        <v>Muir</v>
      </c>
      <c r="D458" s="5" t="str">
        <f t="shared" si="2"/>
        <v> Lee</v>
      </c>
    </row>
    <row r="459" ht="15.75" customHeight="1">
      <c r="A459" s="5" t="s">
        <v>917</v>
      </c>
      <c r="B459" s="5" t="s">
        <v>918</v>
      </c>
      <c r="C459" s="5" t="str">
        <f t="shared" si="1"/>
        <v>Yang</v>
      </c>
      <c r="D459" s="5" t="str">
        <f t="shared" si="2"/>
        <v> Shizhong</v>
      </c>
    </row>
    <row r="460" ht="15.75" customHeight="1">
      <c r="A460" s="5" t="s">
        <v>919</v>
      </c>
      <c r="B460" s="5" t="s">
        <v>920</v>
      </c>
      <c r="C460" s="5" t="str">
        <f t="shared" si="1"/>
        <v>Gravel</v>
      </c>
      <c r="D460" s="5" t="str">
        <f t="shared" si="2"/>
        <v> Marie-Claire</v>
      </c>
    </row>
    <row r="461" ht="15.75" customHeight="1">
      <c r="A461" s="5" t="s">
        <v>921</v>
      </c>
      <c r="B461" s="5" t="s">
        <v>922</v>
      </c>
      <c r="C461" s="5" t="str">
        <f t="shared" si="1"/>
        <v>Smith</v>
      </c>
      <c r="D461" s="5" t="str">
        <f t="shared" si="2"/>
        <v> Todd J.</v>
      </c>
    </row>
    <row r="462" ht="15.75" customHeight="1">
      <c r="A462" s="5" t="s">
        <v>923</v>
      </c>
      <c r="B462" s="5" t="s">
        <v>924</v>
      </c>
      <c r="C462" s="5" t="str">
        <f t="shared" si="1"/>
        <v>Williams</v>
      </c>
      <c r="D462" s="5" t="str">
        <f t="shared" si="2"/>
        <v> Carolyn</v>
      </c>
    </row>
    <row r="463" ht="15.75" customHeight="1">
      <c r="A463" s="5" t="s">
        <v>925</v>
      </c>
      <c r="B463" s="5" t="s">
        <v>926</v>
      </c>
      <c r="C463" s="5" t="str">
        <f t="shared" si="1"/>
        <v>Meyer</v>
      </c>
      <c r="D463" s="5" t="str">
        <f t="shared" si="2"/>
        <v> Lindsey</v>
      </c>
    </row>
    <row r="464" ht="15.75" customHeight="1">
      <c r="A464" s="5" t="s">
        <v>927</v>
      </c>
      <c r="B464" s="5" t="s">
        <v>928</v>
      </c>
      <c r="C464" s="5" t="str">
        <f t="shared" si="1"/>
        <v>Jamieson</v>
      </c>
      <c r="D464" s="5" t="str">
        <f t="shared" si="2"/>
        <v> Marissa D</v>
      </c>
    </row>
    <row r="465" ht="15.75" customHeight="1">
      <c r="A465" s="5" t="s">
        <v>929</v>
      </c>
      <c r="B465" s="5" t="s">
        <v>930</v>
      </c>
      <c r="C465" s="5" t="str">
        <f t="shared" si="1"/>
        <v>Dufeal</v>
      </c>
      <c r="D465" s="5" t="str">
        <f t="shared" si="2"/>
        <v> Jean Luc</v>
      </c>
    </row>
    <row r="466" ht="15.75" customHeight="1">
      <c r="A466" s="5" t="s">
        <v>931</v>
      </c>
      <c r="B466" s="5" t="s">
        <v>932</v>
      </c>
      <c r="C466" s="5" t="str">
        <f t="shared" si="1"/>
        <v>Sansonetti</v>
      </c>
      <c r="D466" s="5" t="str">
        <f t="shared" si="2"/>
        <v> Danielle</v>
      </c>
    </row>
    <row r="467" ht="15.75" customHeight="1">
      <c r="A467" s="5" t="s">
        <v>933</v>
      </c>
      <c r="B467" s="5" t="s">
        <v>934</v>
      </c>
      <c r="C467" s="5" t="str">
        <f t="shared" si="1"/>
        <v>Koneazny</v>
      </c>
      <c r="D467" s="5" t="str">
        <f t="shared" si="2"/>
        <v> Jim</v>
      </c>
    </row>
    <row r="468" ht="15.75" customHeight="1">
      <c r="A468" s="5" t="s">
        <v>935</v>
      </c>
      <c r="B468" s="5" t="s">
        <v>936</v>
      </c>
      <c r="C468" s="5" t="str">
        <f t="shared" si="1"/>
        <v>Johnson</v>
      </c>
      <c r="D468" s="5" t="str">
        <f t="shared" si="2"/>
        <v> Matthew T</v>
      </c>
    </row>
    <row r="469" ht="15.75" customHeight="1">
      <c r="A469" s="5" t="s">
        <v>937</v>
      </c>
      <c r="B469" s="5" t="s">
        <v>938</v>
      </c>
      <c r="C469" s="5" t="str">
        <f t="shared" si="1"/>
        <v>Glasson</v>
      </c>
      <c r="D469" s="5" t="str">
        <f t="shared" si="2"/>
        <v> Rachel L.</v>
      </c>
    </row>
    <row r="470" ht="15.75" customHeight="1">
      <c r="A470" s="5" t="s">
        <v>939</v>
      </c>
      <c r="B470" s="5" t="s">
        <v>940</v>
      </c>
      <c r="C470" s="5" t="str">
        <f t="shared" si="1"/>
        <v>Canitz</v>
      </c>
      <c r="D470" s="5" t="str">
        <f t="shared" si="2"/>
        <v> Corina</v>
      </c>
    </row>
    <row r="471" ht="15.75" customHeight="1">
      <c r="A471" s="5" t="s">
        <v>941</v>
      </c>
      <c r="B471" s="5" t="s">
        <v>942</v>
      </c>
      <c r="C471" s="5" t="str">
        <f t="shared" si="1"/>
        <v>Li</v>
      </c>
      <c r="D471" s="5" t="str">
        <f t="shared" si="2"/>
        <v> Guannan</v>
      </c>
    </row>
    <row r="472" ht="15.75" customHeight="1">
      <c r="A472" s="5" t="s">
        <v>943</v>
      </c>
      <c r="B472" s="5" t="s">
        <v>944</v>
      </c>
      <c r="C472" s="5" t="str">
        <f t="shared" si="1"/>
        <v>Parsons</v>
      </c>
      <c r="D472" s="5" t="str">
        <f t="shared" si="2"/>
        <v> Don</v>
      </c>
    </row>
    <row r="473" ht="15.75" customHeight="1">
      <c r="A473" s="5" t="s">
        <v>945</v>
      </c>
      <c r="B473" s="5" t="s">
        <v>946</v>
      </c>
      <c r="C473" s="5" t="str">
        <f t="shared" si="1"/>
        <v>Raulli</v>
      </c>
      <c r="D473" s="5" t="str">
        <f t="shared" si="2"/>
        <v> Chris</v>
      </c>
    </row>
    <row r="474" ht="15.75" customHeight="1">
      <c r="A474" s="5" t="s">
        <v>947</v>
      </c>
      <c r="B474" s="5" t="s">
        <v>948</v>
      </c>
      <c r="C474" s="5" t="str">
        <f t="shared" si="1"/>
        <v>Frome</v>
      </c>
      <c r="D474" s="5" t="str">
        <f t="shared" si="2"/>
        <v> Gavin V.</v>
      </c>
    </row>
    <row r="475" ht="15.75" customHeight="1">
      <c r="A475" s="5" t="s">
        <v>949</v>
      </c>
      <c r="B475" s="5" t="s">
        <v>950</v>
      </c>
      <c r="C475" s="5" t="str">
        <f t="shared" si="1"/>
        <v>Sevcik</v>
      </c>
      <c r="D475" s="5" t="str">
        <f t="shared" si="2"/>
        <v> David</v>
      </c>
    </row>
    <row r="476" ht="15.75" customHeight="1">
      <c r="A476" s="5" t="s">
        <v>951</v>
      </c>
      <c r="B476" s="5" t="s">
        <v>952</v>
      </c>
      <c r="C476" s="5" t="str">
        <f t="shared" si="1"/>
        <v>Narang</v>
      </c>
      <c r="D476" s="5" t="str">
        <f t="shared" si="2"/>
        <v> Jatin</v>
      </c>
    </row>
    <row r="477" ht="15.75" customHeight="1">
      <c r="A477" s="5" t="s">
        <v>953</v>
      </c>
      <c r="B477" s="5" t="s">
        <v>954</v>
      </c>
      <c r="C477" s="5" t="str">
        <f t="shared" si="1"/>
        <v>Royston</v>
      </c>
      <c r="D477" s="5" t="str">
        <f t="shared" si="2"/>
        <v> J P. II</v>
      </c>
    </row>
    <row r="478" ht="15.75" customHeight="1">
      <c r="A478" s="5" t="s">
        <v>955</v>
      </c>
      <c r="B478" s="5" t="s">
        <v>956</v>
      </c>
      <c r="C478" s="5" t="str">
        <f t="shared" si="1"/>
        <v>Tieri</v>
      </c>
      <c r="D478" s="5" t="str">
        <f t="shared" si="2"/>
        <v> Angela M.</v>
      </c>
    </row>
    <row r="479" ht="15.75" customHeight="1">
      <c r="A479" s="5" t="s">
        <v>957</v>
      </c>
      <c r="B479" s="5" t="s">
        <v>958</v>
      </c>
      <c r="C479" s="5" t="str">
        <f t="shared" si="1"/>
        <v>Whitney</v>
      </c>
      <c r="D479" s="5" t="str">
        <f t="shared" si="2"/>
        <v> Blake K.</v>
      </c>
    </row>
    <row r="480" ht="15.75" customHeight="1">
      <c r="A480" s="5" t="s">
        <v>959</v>
      </c>
      <c r="B480" s="5" t="s">
        <v>960</v>
      </c>
      <c r="C480" s="5" t="str">
        <f t="shared" si="1"/>
        <v>Wandzilak</v>
      </c>
      <c r="D480" s="5" t="str">
        <f t="shared" si="2"/>
        <v> Brian T.</v>
      </c>
    </row>
    <row r="481" ht="15.75" customHeight="1">
      <c r="A481" s="5" t="s">
        <v>961</v>
      </c>
      <c r="B481" s="5" t="s">
        <v>962</v>
      </c>
      <c r="C481" s="5" t="str">
        <f t="shared" si="1"/>
        <v>Valenzona</v>
      </c>
      <c r="D481" s="5" t="str">
        <f t="shared" si="2"/>
        <v> Damon</v>
      </c>
    </row>
    <row r="482" ht="15.75" customHeight="1">
      <c r="A482" s="5" t="s">
        <v>963</v>
      </c>
      <c r="B482" s="5" t="s">
        <v>964</v>
      </c>
      <c r="C482" s="5" t="str">
        <f t="shared" si="1"/>
        <v>Young</v>
      </c>
      <c r="D482" s="5" t="str">
        <f t="shared" si="2"/>
        <v> Jeffrey</v>
      </c>
    </row>
    <row r="483" ht="15.75" customHeight="1">
      <c r="A483" s="5" t="s">
        <v>965</v>
      </c>
      <c r="B483" s="5" t="s">
        <v>966</v>
      </c>
      <c r="C483" s="5" t="str">
        <f t="shared" si="1"/>
        <v>Richards</v>
      </c>
      <c r="D483" s="5" t="str">
        <f t="shared" si="2"/>
        <v> Malcolm J.</v>
      </c>
    </row>
    <row r="484" ht="15.75" customHeight="1">
      <c r="A484" s="5" t="s">
        <v>967</v>
      </c>
      <c r="B484" s="5" t="s">
        <v>968</v>
      </c>
      <c r="C484" s="5" t="str">
        <f t="shared" si="1"/>
        <v>Alexson</v>
      </c>
      <c r="D484" s="5" t="str">
        <f t="shared" si="2"/>
        <v> Margaret B.</v>
      </c>
    </row>
    <row r="485" ht="15.75" customHeight="1">
      <c r="A485" s="5" t="s">
        <v>969</v>
      </c>
      <c r="B485" s="5" t="s">
        <v>970</v>
      </c>
      <c r="C485" s="5" t="str">
        <f t="shared" si="1"/>
        <v>Wright</v>
      </c>
      <c r="D485" s="5" t="str">
        <f t="shared" si="2"/>
        <v> Helen</v>
      </c>
    </row>
    <row r="486" ht="15.75" customHeight="1">
      <c r="A486" s="5" t="s">
        <v>971</v>
      </c>
      <c r="B486" s="5" t="s">
        <v>972</v>
      </c>
      <c r="C486" s="5" t="str">
        <f t="shared" si="1"/>
        <v>McKenna</v>
      </c>
      <c r="D486" s="5" t="str">
        <f t="shared" si="2"/>
        <v> Matthew</v>
      </c>
    </row>
    <row r="487" ht="15.75" customHeight="1">
      <c r="A487" s="5" t="s">
        <v>973</v>
      </c>
      <c r="B487" s="5" t="s">
        <v>974</v>
      </c>
      <c r="C487" s="5" t="str">
        <f t="shared" si="1"/>
        <v>Sallade</v>
      </c>
      <c r="D487" s="5" t="str">
        <f t="shared" si="2"/>
        <v> Jeff</v>
      </c>
    </row>
    <row r="488" ht="15.75" customHeight="1">
      <c r="A488" s="5" t="s">
        <v>975</v>
      </c>
      <c r="B488" s="5" t="s">
        <v>976</v>
      </c>
      <c r="C488" s="5" t="str">
        <f t="shared" si="1"/>
        <v>Argall</v>
      </c>
      <c r="D488" s="5" t="str">
        <f t="shared" si="2"/>
        <v> Tara R</v>
      </c>
    </row>
    <row r="489" ht="15.75" customHeight="1">
      <c r="A489" s="5" t="s">
        <v>977</v>
      </c>
      <c r="B489" s="5" t="s">
        <v>978</v>
      </c>
      <c r="C489" s="5" t="str">
        <f t="shared" si="1"/>
        <v>Patchell</v>
      </c>
      <c r="D489" s="5" t="str">
        <f t="shared" si="2"/>
        <v> Kristin</v>
      </c>
    </row>
    <row r="490" ht="15.75" customHeight="1">
      <c r="A490" s="5" t="s">
        <v>979</v>
      </c>
      <c r="B490" s="5" t="s">
        <v>980</v>
      </c>
      <c r="C490" s="5" t="str">
        <f t="shared" si="1"/>
        <v>Catoggio</v>
      </c>
      <c r="D490" s="5" t="str">
        <f t="shared" si="2"/>
        <v> Timothy</v>
      </c>
    </row>
    <row r="491" ht="15.75" customHeight="1">
      <c r="A491" s="5" t="s">
        <v>981</v>
      </c>
      <c r="B491" s="5" t="s">
        <v>982</v>
      </c>
      <c r="C491" s="5" t="str">
        <f t="shared" si="1"/>
        <v>Adams</v>
      </c>
      <c r="D491" s="5" t="str">
        <f t="shared" si="2"/>
        <v> Scott</v>
      </c>
    </row>
    <row r="492" ht="15.75" customHeight="1">
      <c r="A492" s="5" t="s">
        <v>983</v>
      </c>
      <c r="B492" s="5" t="s">
        <v>984</v>
      </c>
      <c r="C492" s="5" t="str">
        <f t="shared" si="1"/>
        <v>Windt</v>
      </c>
      <c r="D492" s="5" t="str">
        <f t="shared" si="2"/>
        <v> Carly E</v>
      </c>
    </row>
    <row r="493" ht="15.75" customHeight="1">
      <c r="A493" s="5" t="s">
        <v>985</v>
      </c>
      <c r="B493" s="5" t="s">
        <v>986</v>
      </c>
      <c r="C493" s="5" t="str">
        <f t="shared" si="1"/>
        <v>Ryan</v>
      </c>
      <c r="D493" s="5" t="str">
        <f t="shared" si="2"/>
        <v> Lisa</v>
      </c>
    </row>
    <row r="494" ht="15.75" customHeight="1">
      <c r="A494" s="5" t="s">
        <v>987</v>
      </c>
      <c r="B494" s="5" t="s">
        <v>988</v>
      </c>
      <c r="C494" s="5" t="str">
        <f t="shared" si="1"/>
        <v>Marion</v>
      </c>
      <c r="D494" s="5" t="str">
        <f t="shared" si="2"/>
        <v> Stacey</v>
      </c>
    </row>
    <row r="495" ht="15.75" customHeight="1">
      <c r="A495" s="5" t="s">
        <v>989</v>
      </c>
      <c r="B495" s="5" t="s">
        <v>990</v>
      </c>
      <c r="C495" s="5" t="str">
        <f t="shared" si="1"/>
        <v>Raffetto</v>
      </c>
      <c r="D495" s="5" t="str">
        <f t="shared" si="2"/>
        <v> Louis</v>
      </c>
    </row>
    <row r="496" ht="15.75" customHeight="1">
      <c r="A496" s="5" t="s">
        <v>991</v>
      </c>
      <c r="B496" s="5" t="s">
        <v>992</v>
      </c>
      <c r="C496" s="5" t="str">
        <f t="shared" si="1"/>
        <v>Young</v>
      </c>
      <c r="D496" s="5" t="str">
        <f t="shared" si="2"/>
        <v> Brian R.</v>
      </c>
    </row>
    <row r="497" ht="15.75" customHeight="1">
      <c r="A497" s="5" t="s">
        <v>993</v>
      </c>
      <c r="B497" s="5" t="s">
        <v>994</v>
      </c>
      <c r="C497" s="5" t="str">
        <f t="shared" si="1"/>
        <v>Oehlke</v>
      </c>
      <c r="D497" s="5" t="str">
        <f t="shared" si="2"/>
        <v> Jessica</v>
      </c>
    </row>
    <row r="498" ht="15.75" customHeight="1">
      <c r="A498" s="5" t="s">
        <v>995</v>
      </c>
      <c r="B498" s="5" t="s">
        <v>996</v>
      </c>
      <c r="C498" s="5" t="str">
        <f t="shared" si="1"/>
        <v>Sudol</v>
      </c>
      <c r="D498" s="5" t="str">
        <f t="shared" si="2"/>
        <v> Dawn M.</v>
      </c>
    </row>
    <row r="499" ht="15.75" customHeight="1">
      <c r="A499" s="5" t="s">
        <v>997</v>
      </c>
      <c r="B499" s="5" t="s">
        <v>998</v>
      </c>
      <c r="C499" s="5" t="str">
        <f t="shared" si="1"/>
        <v>Va</v>
      </c>
      <c r="D499" s="5" t="str">
        <f t="shared" si="2"/>
        <v> Chris</v>
      </c>
    </row>
    <row r="500" ht="15.75" customHeight="1">
      <c r="A500" s="5" t="s">
        <v>999</v>
      </c>
      <c r="B500" s="5" t="s">
        <v>1000</v>
      </c>
      <c r="C500" s="5" t="str">
        <f t="shared" si="1"/>
        <v>Dolge</v>
      </c>
      <c r="D500" s="5" t="str">
        <f t="shared" si="2"/>
        <v> Karen</v>
      </c>
    </row>
    <row r="501" ht="15.75" customHeight="1">
      <c r="A501" s="5" t="s">
        <v>1001</v>
      </c>
      <c r="B501" s="5" t="s">
        <v>1002</v>
      </c>
      <c r="C501" s="5" t="str">
        <f t="shared" si="1"/>
        <v>Marlier</v>
      </c>
      <c r="D501" s="5" t="str">
        <f t="shared" si="2"/>
        <v> Jessica</v>
      </c>
    </row>
    <row r="502" ht="15.75" customHeight="1">
      <c r="A502" s="5" t="s">
        <v>1003</v>
      </c>
      <c r="B502" s="5" t="s">
        <v>1004</v>
      </c>
      <c r="C502" s="5" t="str">
        <f t="shared" si="1"/>
        <v>Girard</v>
      </c>
      <c r="D502" s="5" t="str">
        <f t="shared" si="2"/>
        <v> Mathieu</v>
      </c>
    </row>
    <row r="503" ht="15.75" customHeight="1">
      <c r="A503" s="5" t="s">
        <v>1005</v>
      </c>
      <c r="B503" s="5" t="s">
        <v>1006</v>
      </c>
      <c r="C503" s="5" t="str">
        <f t="shared" si="1"/>
        <v>Lee</v>
      </c>
      <c r="D503" s="5" t="str">
        <f t="shared" si="2"/>
        <v> Kam S.</v>
      </c>
    </row>
    <row r="504" ht="15.75" customHeight="1">
      <c r="A504" s="5" t="s">
        <v>1007</v>
      </c>
      <c r="B504" s="5" t="s">
        <v>1008</v>
      </c>
      <c r="C504" s="5" t="str">
        <f t="shared" si="1"/>
        <v>Hubbard</v>
      </c>
      <c r="D504" s="5" t="str">
        <f t="shared" si="2"/>
        <v> Valerie A</v>
      </c>
    </row>
    <row r="505" ht="15.75" customHeight="1">
      <c r="A505" s="5" t="s">
        <v>1009</v>
      </c>
      <c r="B505" s="5" t="s">
        <v>1010</v>
      </c>
      <c r="C505" s="5" t="str">
        <f t="shared" si="1"/>
        <v>Koester</v>
      </c>
      <c r="D505" s="5" t="str">
        <f t="shared" si="2"/>
        <v> Freya R</v>
      </c>
    </row>
    <row r="506" ht="15.75" customHeight="1">
      <c r="A506" s="5" t="s">
        <v>1011</v>
      </c>
      <c r="B506" s="5" t="s">
        <v>1012</v>
      </c>
      <c r="C506" s="5" t="str">
        <f t="shared" si="1"/>
        <v>Matthews</v>
      </c>
      <c r="D506" s="5" t="str">
        <f t="shared" si="2"/>
        <v> Jennifer</v>
      </c>
    </row>
    <row r="507" ht="15.75" customHeight="1">
      <c r="A507" s="5" t="s">
        <v>1013</v>
      </c>
      <c r="B507" s="5" t="s">
        <v>1014</v>
      </c>
      <c r="C507" s="5" t="str">
        <f t="shared" si="1"/>
        <v>Rubinich</v>
      </c>
      <c r="D507" s="5" t="str">
        <f t="shared" si="2"/>
        <v> Kara</v>
      </c>
    </row>
    <row r="508" ht="15.75" customHeight="1">
      <c r="A508" s="5" t="s">
        <v>1015</v>
      </c>
      <c r="B508" s="5" t="s">
        <v>1016</v>
      </c>
      <c r="C508" s="5" t="str">
        <f t="shared" si="1"/>
        <v>Alban</v>
      </c>
      <c r="D508" s="5" t="str">
        <f t="shared" si="2"/>
        <v> Bradley A.</v>
      </c>
    </row>
    <row r="509" ht="15.75" customHeight="1">
      <c r="A509" s="5" t="s">
        <v>1017</v>
      </c>
      <c r="B509" s="5" t="s">
        <v>1018</v>
      </c>
      <c r="C509" s="5" t="str">
        <f t="shared" si="1"/>
        <v>Corcoran</v>
      </c>
      <c r="D509" s="5" t="str">
        <f t="shared" si="2"/>
        <v> Brendan</v>
      </c>
    </row>
    <row r="510" ht="15.75" customHeight="1">
      <c r="A510" s="5" t="s">
        <v>1019</v>
      </c>
      <c r="B510" s="5" t="s">
        <v>1020</v>
      </c>
      <c r="C510" s="5" t="str">
        <f t="shared" si="1"/>
        <v>Sargent</v>
      </c>
      <c r="D510" s="5" t="str">
        <f t="shared" si="2"/>
        <v> Amber R</v>
      </c>
    </row>
    <row r="511" ht="15.75" customHeight="1">
      <c r="A511" s="5" t="s">
        <v>1021</v>
      </c>
      <c r="B511" s="5" t="s">
        <v>1022</v>
      </c>
      <c r="C511" s="5" t="str">
        <f t="shared" si="1"/>
        <v>Watson</v>
      </c>
      <c r="D511" s="5" t="str">
        <f t="shared" si="2"/>
        <v> Sean K</v>
      </c>
    </row>
    <row r="512" ht="15.75" customHeight="1">
      <c r="A512" s="5" t="s">
        <v>1023</v>
      </c>
      <c r="B512" s="5" t="s">
        <v>1024</v>
      </c>
      <c r="C512" s="5" t="str">
        <f t="shared" si="1"/>
        <v>Esponda</v>
      </c>
      <c r="D512" s="5" t="str">
        <f t="shared" si="2"/>
        <v> Rick</v>
      </c>
    </row>
    <row r="513" ht="15.75" customHeight="1">
      <c r="A513" s="5" t="s">
        <v>1025</v>
      </c>
      <c r="B513" s="5" t="s">
        <v>1026</v>
      </c>
      <c r="C513" s="5" t="str">
        <f t="shared" si="1"/>
        <v>Krall</v>
      </c>
      <c r="D513" s="5" t="str">
        <f t="shared" si="2"/>
        <v> Matthew</v>
      </c>
    </row>
    <row r="514" ht="15.75" customHeight="1">
      <c r="A514" s="5" t="s">
        <v>1027</v>
      </c>
      <c r="B514" s="5" t="s">
        <v>1028</v>
      </c>
      <c r="C514" s="5" t="str">
        <f t="shared" si="1"/>
        <v>Poskin</v>
      </c>
      <c r="D514" s="5" t="str">
        <f t="shared" si="2"/>
        <v> Brady</v>
      </c>
    </row>
    <row r="515" ht="15.75" customHeight="1">
      <c r="A515" s="5" t="s">
        <v>1029</v>
      </c>
      <c r="B515" s="5" t="s">
        <v>1030</v>
      </c>
      <c r="C515" s="5" t="str">
        <f t="shared" si="1"/>
        <v>Halfmann</v>
      </c>
      <c r="D515" s="5" t="str">
        <f t="shared" si="2"/>
        <v> Kameko</v>
      </c>
    </row>
    <row r="516" ht="15.75" customHeight="1">
      <c r="A516" s="5" t="s">
        <v>1031</v>
      </c>
      <c r="B516" s="5" t="s">
        <v>1032</v>
      </c>
      <c r="C516" s="5" t="str">
        <f t="shared" si="1"/>
        <v>Klapper</v>
      </c>
      <c r="D516" s="5" t="str">
        <f t="shared" si="2"/>
        <v> Jeremy A</v>
      </c>
    </row>
    <row r="517" ht="15.75" customHeight="1">
      <c r="A517" s="5" t="s">
        <v>1033</v>
      </c>
      <c r="B517" s="5" t="s">
        <v>1034</v>
      </c>
      <c r="C517" s="5" t="str">
        <f t="shared" si="1"/>
        <v>George</v>
      </c>
      <c r="D517" s="5" t="str">
        <f t="shared" si="2"/>
        <v> Daniel</v>
      </c>
    </row>
    <row r="518" ht="15.75" customHeight="1">
      <c r="A518" s="5" t="s">
        <v>1035</v>
      </c>
      <c r="B518" s="5" t="s">
        <v>1036</v>
      </c>
      <c r="C518" s="5" t="str">
        <f t="shared" si="1"/>
        <v>Hicks</v>
      </c>
      <c r="D518" s="5" t="str">
        <f t="shared" si="2"/>
        <v> Amanda</v>
      </c>
    </row>
    <row r="519" ht="15.75" customHeight="1">
      <c r="A519" s="5" t="s">
        <v>1037</v>
      </c>
      <c r="B519" s="5" t="s">
        <v>1038</v>
      </c>
      <c r="C519" s="5" t="str">
        <f t="shared" si="1"/>
        <v>Lockyer</v>
      </c>
      <c r="D519" s="5" t="str">
        <f t="shared" si="2"/>
        <v> Karen</v>
      </c>
    </row>
    <row r="520" ht="15.75" customHeight="1">
      <c r="A520" s="5" t="s">
        <v>1039</v>
      </c>
      <c r="B520" s="5" t="s">
        <v>1040</v>
      </c>
      <c r="C520" s="5" t="str">
        <f t="shared" si="1"/>
        <v>Byrnes</v>
      </c>
      <c r="D520" s="5" t="str">
        <f t="shared" si="2"/>
        <v> Gregory</v>
      </c>
    </row>
    <row r="521" ht="15.75" customHeight="1">
      <c r="A521" s="5" t="s">
        <v>1041</v>
      </c>
      <c r="B521" s="5" t="s">
        <v>1042</v>
      </c>
      <c r="C521" s="5" t="str">
        <f t="shared" si="1"/>
        <v>Norris</v>
      </c>
      <c r="D521" s="5" t="str">
        <f t="shared" si="2"/>
        <v> Sabine</v>
      </c>
    </row>
    <row r="522" ht="15.75" customHeight="1">
      <c r="A522" s="5" t="s">
        <v>1043</v>
      </c>
      <c r="B522" s="5" t="s">
        <v>1044</v>
      </c>
      <c r="C522" s="5" t="str">
        <f t="shared" si="1"/>
        <v>Darda</v>
      </c>
      <c r="D522" s="5" t="str">
        <f t="shared" si="2"/>
        <v> Joseph</v>
      </c>
    </row>
    <row r="523" ht="15.75" customHeight="1">
      <c r="A523" s="5" t="s">
        <v>1045</v>
      </c>
      <c r="B523" s="5" t="s">
        <v>1046</v>
      </c>
      <c r="C523" s="5" t="str">
        <f t="shared" si="1"/>
        <v>Otstot</v>
      </c>
      <c r="D523" s="5" t="str">
        <f t="shared" si="2"/>
        <v> Adam</v>
      </c>
    </row>
    <row r="524" ht="15.75" customHeight="1">
      <c r="A524" s="5" t="s">
        <v>1047</v>
      </c>
      <c r="B524" s="5" t="s">
        <v>1048</v>
      </c>
      <c r="C524" s="5" t="str">
        <f t="shared" si="1"/>
        <v>Bowley</v>
      </c>
      <c r="D524" s="5" t="str">
        <f t="shared" si="2"/>
        <v> Karolyn A</v>
      </c>
    </row>
    <row r="525" ht="15.75" customHeight="1">
      <c r="A525" s="5" t="s">
        <v>1049</v>
      </c>
      <c r="B525" s="5" t="s">
        <v>1050</v>
      </c>
      <c r="C525" s="5" t="str">
        <f t="shared" si="1"/>
        <v>Rogers</v>
      </c>
      <c r="D525" s="5" t="str">
        <f t="shared" si="2"/>
        <v> Anita L.</v>
      </c>
    </row>
    <row r="526" ht="15.75" customHeight="1">
      <c r="A526" s="5" t="s">
        <v>1051</v>
      </c>
      <c r="B526" s="5" t="s">
        <v>1052</v>
      </c>
      <c r="C526" s="5" t="str">
        <f t="shared" si="1"/>
        <v>Mclaughlin</v>
      </c>
      <c r="D526" s="5" t="str">
        <f t="shared" si="2"/>
        <v> Laura E.</v>
      </c>
    </row>
    <row r="527" ht="15.75" customHeight="1">
      <c r="A527" s="5" t="s">
        <v>1053</v>
      </c>
      <c r="B527" s="5" t="s">
        <v>1054</v>
      </c>
      <c r="C527" s="5" t="str">
        <f t="shared" si="1"/>
        <v>Ziegler</v>
      </c>
      <c r="D527" s="5" t="str">
        <f t="shared" si="2"/>
        <v> Sarah</v>
      </c>
    </row>
    <row r="528" ht="15.75" customHeight="1">
      <c r="A528" s="5" t="s">
        <v>1055</v>
      </c>
      <c r="B528" s="5" t="s">
        <v>1056</v>
      </c>
      <c r="C528" s="5" t="str">
        <f t="shared" si="1"/>
        <v>Hughey</v>
      </c>
      <c r="D528" s="5" t="str">
        <f t="shared" si="2"/>
        <v> Ashley E</v>
      </c>
    </row>
    <row r="529" ht="15.75" customHeight="1">
      <c r="A529" s="5" t="s">
        <v>1057</v>
      </c>
      <c r="B529" s="5" t="s">
        <v>1058</v>
      </c>
      <c r="C529" s="5" t="str">
        <f t="shared" si="1"/>
        <v>Knast</v>
      </c>
      <c r="D529" s="5" t="str">
        <f t="shared" si="2"/>
        <v> Lindsey</v>
      </c>
    </row>
    <row r="530" ht="15.75" customHeight="1">
      <c r="A530" s="5" t="s">
        <v>1059</v>
      </c>
      <c r="B530" s="5" t="s">
        <v>1060</v>
      </c>
      <c r="C530" s="5" t="str">
        <f t="shared" si="1"/>
        <v>Stob</v>
      </c>
      <c r="D530" s="5" t="str">
        <f t="shared" si="2"/>
        <v> Alan</v>
      </c>
    </row>
    <row r="531" ht="15.75" customHeight="1">
      <c r="A531" s="5" t="s">
        <v>1061</v>
      </c>
      <c r="B531" s="5" t="s">
        <v>1062</v>
      </c>
      <c r="C531" s="5" t="str">
        <f t="shared" si="1"/>
        <v>Jensen</v>
      </c>
      <c r="D531" s="5" t="str">
        <f t="shared" si="2"/>
        <v> Dan R.</v>
      </c>
    </row>
    <row r="532" ht="15.75" customHeight="1">
      <c r="A532" s="5" t="s">
        <v>1063</v>
      </c>
      <c r="B532" s="5" t="s">
        <v>1064</v>
      </c>
      <c r="C532" s="5" t="str">
        <f t="shared" si="1"/>
        <v>Mutter</v>
      </c>
      <c r="D532" s="5" t="str">
        <f t="shared" si="2"/>
        <v> Katie</v>
      </c>
    </row>
    <row r="533" ht="15.75" customHeight="1">
      <c r="A533" s="5" t="s">
        <v>1065</v>
      </c>
      <c r="B533" s="5" t="s">
        <v>1066</v>
      </c>
      <c r="C533" s="5" t="str">
        <f t="shared" si="1"/>
        <v>Ahern</v>
      </c>
      <c r="D533" s="5" t="str">
        <f t="shared" si="2"/>
        <v> Eric</v>
      </c>
    </row>
    <row r="534" ht="15.75" customHeight="1">
      <c r="A534" s="5" t="s">
        <v>1067</v>
      </c>
      <c r="B534" s="5" t="s">
        <v>1068</v>
      </c>
      <c r="C534" s="5" t="str">
        <f t="shared" si="1"/>
        <v>Chviruk</v>
      </c>
      <c r="D534" s="5" t="str">
        <f t="shared" si="2"/>
        <v> Cathryn</v>
      </c>
    </row>
    <row r="535" ht="15.75" customHeight="1">
      <c r="A535" s="5" t="s">
        <v>1069</v>
      </c>
      <c r="B535" s="5" t="s">
        <v>1070</v>
      </c>
      <c r="C535" s="5" t="str">
        <f t="shared" si="1"/>
        <v>Meehan</v>
      </c>
      <c r="D535" s="5" t="str">
        <f t="shared" si="2"/>
        <v> Brendan</v>
      </c>
    </row>
    <row r="536" ht="15.75" customHeight="1">
      <c r="A536" s="5" t="s">
        <v>1071</v>
      </c>
      <c r="B536" s="5" t="s">
        <v>1072</v>
      </c>
      <c r="C536" s="5" t="str">
        <f t="shared" si="1"/>
        <v>Gammon</v>
      </c>
      <c r="D536" s="5" t="str">
        <f t="shared" si="2"/>
        <v> Shauna</v>
      </c>
    </row>
    <row r="537" ht="15.75" customHeight="1">
      <c r="A537" s="5" t="s">
        <v>1073</v>
      </c>
      <c r="B537" s="5" t="s">
        <v>1074</v>
      </c>
      <c r="C537" s="5" t="str">
        <f t="shared" si="1"/>
        <v>Lee</v>
      </c>
      <c r="D537" s="5" t="str">
        <f t="shared" si="2"/>
        <v> Terence</v>
      </c>
    </row>
    <row r="538" ht="15.75" customHeight="1">
      <c r="A538" s="5" t="s">
        <v>1075</v>
      </c>
      <c r="B538" s="5" t="s">
        <v>1076</v>
      </c>
      <c r="C538" s="5" t="str">
        <f t="shared" si="1"/>
        <v>Franco</v>
      </c>
      <c r="D538" s="5" t="str">
        <f t="shared" si="2"/>
        <v> Marisol</v>
      </c>
    </row>
    <row r="539" ht="15.75" customHeight="1">
      <c r="A539" s="5" t="s">
        <v>1077</v>
      </c>
      <c r="B539" s="5" t="s">
        <v>1078</v>
      </c>
      <c r="C539" s="5" t="str">
        <f t="shared" si="1"/>
        <v>Patterson</v>
      </c>
      <c r="D539" s="5" t="str">
        <f t="shared" si="2"/>
        <v> Lindsay</v>
      </c>
    </row>
    <row r="540" ht="15.75" customHeight="1">
      <c r="A540" s="5" t="s">
        <v>1079</v>
      </c>
      <c r="B540" s="5" t="s">
        <v>1080</v>
      </c>
      <c r="C540" s="5" t="str">
        <f t="shared" si="1"/>
        <v>Valdes</v>
      </c>
      <c r="D540" s="5" t="str">
        <f t="shared" si="2"/>
        <v> Katie</v>
      </c>
    </row>
    <row r="541" ht="15.75" customHeight="1">
      <c r="A541" s="5" t="s">
        <v>1081</v>
      </c>
      <c r="B541" s="5" t="s">
        <v>1082</v>
      </c>
      <c r="C541" s="5" t="str">
        <f t="shared" si="1"/>
        <v>Craig</v>
      </c>
      <c r="D541" s="5" t="str">
        <f t="shared" si="2"/>
        <v> Daniel</v>
      </c>
    </row>
    <row r="542" ht="15.75" customHeight="1">
      <c r="A542" s="5" t="s">
        <v>1083</v>
      </c>
      <c r="B542" s="5" t="s">
        <v>1084</v>
      </c>
      <c r="C542" s="5" t="str">
        <f t="shared" si="1"/>
        <v>Whipple</v>
      </c>
      <c r="D542" s="5" t="str">
        <f t="shared" si="2"/>
        <v> Brett W</v>
      </c>
    </row>
    <row r="543" ht="15.75" customHeight="1">
      <c r="A543" s="5" t="s">
        <v>1085</v>
      </c>
      <c r="B543" s="5" t="s">
        <v>1086</v>
      </c>
      <c r="C543" s="5" t="str">
        <f t="shared" si="1"/>
        <v>Marton</v>
      </c>
      <c r="D543" s="5" t="str">
        <f t="shared" si="2"/>
        <v> Dylan J</v>
      </c>
    </row>
    <row r="544" ht="15.75" customHeight="1">
      <c r="A544" s="5" t="s">
        <v>1087</v>
      </c>
      <c r="B544" s="5" t="s">
        <v>1088</v>
      </c>
      <c r="C544" s="5" t="str">
        <f t="shared" si="1"/>
        <v>Hildebrandt</v>
      </c>
      <c r="D544" s="5" t="str">
        <f t="shared" si="2"/>
        <v> Elizabeth</v>
      </c>
    </row>
    <row r="545" ht="15.75" customHeight="1">
      <c r="A545" s="5" t="s">
        <v>1089</v>
      </c>
      <c r="B545" s="5" t="s">
        <v>1090</v>
      </c>
      <c r="C545" s="5" t="str">
        <f t="shared" si="1"/>
        <v>Biggs</v>
      </c>
      <c r="D545" s="5" t="str">
        <f t="shared" si="2"/>
        <v> Brooke M.</v>
      </c>
    </row>
    <row r="546" ht="15.75" customHeight="1">
      <c r="A546" s="5" t="s">
        <v>1091</v>
      </c>
      <c r="B546" s="5" t="s">
        <v>1092</v>
      </c>
      <c r="C546" s="5" t="str">
        <f t="shared" si="1"/>
        <v>Shigezumi</v>
      </c>
      <c r="D546" s="5" t="str">
        <f t="shared" si="2"/>
        <v> Teiko</v>
      </c>
    </row>
    <row r="547" ht="15.75" customHeight="1">
      <c r="A547" s="5" t="s">
        <v>1093</v>
      </c>
      <c r="B547" s="5" t="s">
        <v>1094</v>
      </c>
      <c r="C547" s="5" t="str">
        <f t="shared" si="1"/>
        <v>Meineke</v>
      </c>
      <c r="D547" s="5" t="str">
        <f t="shared" si="2"/>
        <v> Zachary</v>
      </c>
    </row>
    <row r="548" ht="15.75" customHeight="1">
      <c r="A548" s="5" t="s">
        <v>1095</v>
      </c>
      <c r="B548" s="5" t="s">
        <v>1096</v>
      </c>
      <c r="C548" s="5" t="str">
        <f t="shared" si="1"/>
        <v>Ludington</v>
      </c>
      <c r="D548" s="5" t="str">
        <f t="shared" si="2"/>
        <v> Johannah</v>
      </c>
    </row>
    <row r="549" ht="15.75" customHeight="1">
      <c r="A549" s="5" t="s">
        <v>1097</v>
      </c>
      <c r="B549" s="5" t="s">
        <v>1098</v>
      </c>
      <c r="C549" s="5" t="str">
        <f t="shared" si="1"/>
        <v>Perrich</v>
      </c>
      <c r="D549" s="5" t="str">
        <f t="shared" si="2"/>
        <v> Ryan A</v>
      </c>
    </row>
    <row r="550" ht="15.75" customHeight="1">
      <c r="A550" s="5" t="s">
        <v>1099</v>
      </c>
      <c r="B550" s="5" t="s">
        <v>1100</v>
      </c>
      <c r="C550" s="5" t="str">
        <f t="shared" si="1"/>
        <v>Cervantes</v>
      </c>
      <c r="D550" s="5" t="str">
        <f t="shared" si="2"/>
        <v> Andres Sr.</v>
      </c>
    </row>
    <row r="551" ht="15.75" customHeight="1">
      <c r="A551" s="5" t="s">
        <v>1101</v>
      </c>
      <c r="B551" s="5" t="s">
        <v>1102</v>
      </c>
      <c r="C551" s="5" t="str">
        <f t="shared" si="1"/>
        <v>Andrews</v>
      </c>
      <c r="D551" s="5" t="str">
        <f t="shared" si="2"/>
        <v> Bryan</v>
      </c>
    </row>
    <row r="552" ht="15.75" customHeight="1">
      <c r="A552" s="5" t="s">
        <v>1103</v>
      </c>
      <c r="B552" s="5" t="s">
        <v>1104</v>
      </c>
      <c r="C552" s="5" t="str">
        <f t="shared" si="1"/>
        <v>Ruvalcaba</v>
      </c>
      <c r="D552" s="5" t="str">
        <f t="shared" si="2"/>
        <v> Lizette</v>
      </c>
    </row>
    <row r="553" ht="15.75" customHeight="1">
      <c r="A553" s="5" t="s">
        <v>1105</v>
      </c>
      <c r="B553" s="5" t="s">
        <v>1106</v>
      </c>
      <c r="C553" s="5" t="str">
        <f t="shared" si="1"/>
        <v>King</v>
      </c>
      <c r="D553" s="5" t="str">
        <f t="shared" si="2"/>
        <v> Don</v>
      </c>
    </row>
    <row r="554" ht="15.75" customHeight="1">
      <c r="A554" s="5" t="s">
        <v>1107</v>
      </c>
      <c r="B554" s="5" t="s">
        <v>1108</v>
      </c>
      <c r="C554" s="5" t="str">
        <f t="shared" si="1"/>
        <v>Stone</v>
      </c>
      <c r="D554" s="5" t="str">
        <f t="shared" si="2"/>
        <v> Jeb</v>
      </c>
    </row>
    <row r="555" ht="15.75" customHeight="1">
      <c r="A555" s="5" t="s">
        <v>1109</v>
      </c>
      <c r="B555" s="5" t="s">
        <v>1110</v>
      </c>
      <c r="C555" s="5" t="str">
        <f t="shared" si="1"/>
        <v>Campbell</v>
      </c>
      <c r="D555" s="5" t="str">
        <f t="shared" si="2"/>
        <v> Amy R.</v>
      </c>
    </row>
    <row r="556" ht="15.75" customHeight="1">
      <c r="A556" s="5" t="s">
        <v>1111</v>
      </c>
      <c r="B556" s="5" t="s">
        <v>1112</v>
      </c>
      <c r="C556" s="5" t="str">
        <f t="shared" si="1"/>
        <v>Asher</v>
      </c>
      <c r="D556" s="5" t="str">
        <f t="shared" si="2"/>
        <v> Brian</v>
      </c>
    </row>
    <row r="557" ht="15.75" customHeight="1">
      <c r="A557" s="5" t="s">
        <v>1113</v>
      </c>
      <c r="B557" s="5" t="s">
        <v>1114</v>
      </c>
      <c r="C557" s="5" t="str">
        <f t="shared" si="1"/>
        <v>Mazzotta</v>
      </c>
      <c r="D557" s="5" t="str">
        <f t="shared" si="2"/>
        <v> Mike G</v>
      </c>
    </row>
    <row r="558" ht="15.75" customHeight="1">
      <c r="A558" s="5" t="s">
        <v>1115</v>
      </c>
      <c r="B558" s="5" t="s">
        <v>1116</v>
      </c>
      <c r="C558" s="5" t="str">
        <f t="shared" si="1"/>
        <v>Huttl</v>
      </c>
      <c r="D558" s="5" t="str">
        <f t="shared" si="2"/>
        <v> Simonezitrone Sr.</v>
      </c>
    </row>
    <row r="559" ht="15.75" customHeight="1">
      <c r="A559" s="5" t="s">
        <v>1117</v>
      </c>
      <c r="B559" s="5" t="s">
        <v>1118</v>
      </c>
      <c r="C559" s="5" t="str">
        <f t="shared" si="1"/>
        <v>Ferron</v>
      </c>
      <c r="D559" s="5" t="str">
        <f t="shared" si="2"/>
        <v> Nicholas</v>
      </c>
    </row>
    <row r="560" ht="15.75" customHeight="1">
      <c r="A560" s="5" t="s">
        <v>1119</v>
      </c>
      <c r="B560" s="5" t="s">
        <v>1120</v>
      </c>
      <c r="C560" s="5" t="str">
        <f t="shared" si="1"/>
        <v>Colarusso</v>
      </c>
      <c r="D560" s="5" t="str">
        <f t="shared" si="2"/>
        <v> Angela M</v>
      </c>
    </row>
    <row r="561" ht="15.75" customHeight="1">
      <c r="A561" s="5" t="s">
        <v>1121</v>
      </c>
      <c r="B561" s="5" t="s">
        <v>1122</v>
      </c>
      <c r="C561" s="5" t="str">
        <f t="shared" si="1"/>
        <v>Pearlman</v>
      </c>
      <c r="D561" s="5" t="str">
        <f t="shared" si="2"/>
        <v> Oz</v>
      </c>
    </row>
    <row r="562" ht="15.75" customHeight="1">
      <c r="A562" s="5" t="s">
        <v>1123</v>
      </c>
      <c r="B562" s="5" t="s">
        <v>1124</v>
      </c>
      <c r="C562" s="5" t="str">
        <f t="shared" si="1"/>
        <v>O'Mara</v>
      </c>
      <c r="D562" s="5" t="str">
        <f t="shared" si="2"/>
        <v> Erin M.</v>
      </c>
    </row>
    <row r="563" ht="15.75" customHeight="1">
      <c r="A563" s="5" t="s">
        <v>1125</v>
      </c>
      <c r="B563" s="5" t="s">
        <v>1126</v>
      </c>
      <c r="C563" s="5" t="str">
        <f t="shared" si="1"/>
        <v>Niska</v>
      </c>
      <c r="D563" s="5" t="str">
        <f t="shared" si="2"/>
        <v> Bobby E.</v>
      </c>
    </row>
    <row r="564" ht="15.75" customHeight="1">
      <c r="A564" s="5" t="s">
        <v>1127</v>
      </c>
      <c r="B564" s="5" t="s">
        <v>1128</v>
      </c>
      <c r="C564" s="5" t="str">
        <f t="shared" si="1"/>
        <v>Schlich</v>
      </c>
      <c r="D564" s="5" t="str">
        <f t="shared" si="2"/>
        <v> Daniel P.</v>
      </c>
    </row>
    <row r="565" ht="15.75" customHeight="1">
      <c r="A565" s="5" t="s">
        <v>1129</v>
      </c>
      <c r="B565" s="5" t="s">
        <v>1130</v>
      </c>
      <c r="C565" s="5" t="str">
        <f t="shared" si="1"/>
        <v>Zidek</v>
      </c>
      <c r="D565" s="5" t="str">
        <f t="shared" si="2"/>
        <v> Marie E.</v>
      </c>
    </row>
    <row r="566" ht="15.75" customHeight="1">
      <c r="A566" s="5" t="s">
        <v>1131</v>
      </c>
      <c r="B566" s="5" t="s">
        <v>1132</v>
      </c>
      <c r="C566" s="5" t="str">
        <f t="shared" si="1"/>
        <v>Ellgass</v>
      </c>
      <c r="D566" s="5" t="str">
        <f t="shared" si="2"/>
        <v> Katie</v>
      </c>
    </row>
    <row r="567" ht="15.75" customHeight="1">
      <c r="A567" s="5" t="s">
        <v>1133</v>
      </c>
      <c r="B567" s="5" t="s">
        <v>1134</v>
      </c>
      <c r="C567" s="5" t="str">
        <f t="shared" si="1"/>
        <v>Lowe</v>
      </c>
      <c r="D567" s="5" t="str">
        <f t="shared" si="2"/>
        <v> Eric D</v>
      </c>
    </row>
    <row r="568" ht="15.75" customHeight="1">
      <c r="A568" s="5" t="s">
        <v>1135</v>
      </c>
      <c r="B568" s="5" t="s">
        <v>1136</v>
      </c>
      <c r="C568" s="5" t="str">
        <f t="shared" si="1"/>
        <v>Malone</v>
      </c>
      <c r="D568" s="5" t="str">
        <f t="shared" si="2"/>
        <v> Tara</v>
      </c>
    </row>
    <row r="569" ht="15.75" customHeight="1">
      <c r="A569" s="5" t="s">
        <v>1137</v>
      </c>
      <c r="B569" s="5" t="s">
        <v>1138</v>
      </c>
      <c r="C569" s="5" t="str">
        <f t="shared" si="1"/>
        <v>Dumke</v>
      </c>
      <c r="D569" s="5" t="str">
        <f t="shared" si="2"/>
        <v> Haley L</v>
      </c>
    </row>
    <row r="570" ht="15.75" customHeight="1">
      <c r="A570" s="5" t="s">
        <v>1139</v>
      </c>
      <c r="B570" s="5" t="s">
        <v>1140</v>
      </c>
      <c r="C570" s="5" t="str">
        <f t="shared" si="1"/>
        <v>Strong</v>
      </c>
      <c r="D570" s="5" t="str">
        <f t="shared" si="2"/>
        <v> Kayla B.</v>
      </c>
    </row>
    <row r="571" ht="15.75" customHeight="1">
      <c r="A571" s="5" t="s">
        <v>1141</v>
      </c>
      <c r="B571" s="5" t="s">
        <v>1142</v>
      </c>
      <c r="C571" s="5" t="str">
        <f t="shared" si="1"/>
        <v>Ferguson</v>
      </c>
      <c r="D571" s="5" t="str">
        <f t="shared" si="2"/>
        <v> Mark D.</v>
      </c>
    </row>
    <row r="572" ht="15.75" customHeight="1">
      <c r="A572" s="5" t="s">
        <v>1143</v>
      </c>
      <c r="B572" s="5" t="s">
        <v>1144</v>
      </c>
      <c r="C572" s="5" t="str">
        <f t="shared" si="1"/>
        <v>Klein</v>
      </c>
      <c r="D572" s="5" t="str">
        <f t="shared" si="2"/>
        <v> Patrick J.</v>
      </c>
    </row>
    <row r="573" ht="15.75" customHeight="1">
      <c r="A573" s="5" t="s">
        <v>1145</v>
      </c>
      <c r="B573" s="5" t="s">
        <v>1146</v>
      </c>
      <c r="C573" s="5" t="str">
        <f t="shared" si="1"/>
        <v>Eusebio</v>
      </c>
      <c r="D573" s="5" t="str">
        <f t="shared" si="2"/>
        <v> Alejandro</v>
      </c>
    </row>
    <row r="574" ht="15.75" customHeight="1">
      <c r="A574" s="5" t="s">
        <v>1147</v>
      </c>
      <c r="B574" s="5" t="s">
        <v>1148</v>
      </c>
      <c r="C574" s="5" t="str">
        <f t="shared" si="1"/>
        <v>Szolosi</v>
      </c>
      <c r="D574" s="5" t="str">
        <f t="shared" si="2"/>
        <v> Beth A</v>
      </c>
    </row>
    <row r="575" ht="15.75" customHeight="1">
      <c r="A575" s="5" t="s">
        <v>1149</v>
      </c>
      <c r="B575" s="5" t="s">
        <v>1150</v>
      </c>
      <c r="C575" s="5" t="str">
        <f t="shared" si="1"/>
        <v>Butler</v>
      </c>
      <c r="D575" s="5" t="str">
        <f t="shared" si="2"/>
        <v> Jason R</v>
      </c>
    </row>
    <row r="576" ht="15.75" customHeight="1">
      <c r="A576" s="5" t="s">
        <v>1151</v>
      </c>
      <c r="B576" s="5" t="s">
        <v>1152</v>
      </c>
      <c r="C576" s="5" t="str">
        <f t="shared" si="1"/>
        <v>Fukuchi</v>
      </c>
      <c r="D576" s="5" t="str">
        <f t="shared" si="2"/>
        <v> Yoshinori</v>
      </c>
    </row>
    <row r="577" ht="15.75" customHeight="1">
      <c r="A577" s="5" t="s">
        <v>1153</v>
      </c>
      <c r="B577" s="5" t="s">
        <v>1154</v>
      </c>
      <c r="C577" s="5" t="str">
        <f t="shared" si="1"/>
        <v>Drucker</v>
      </c>
      <c r="D577" s="5" t="str">
        <f t="shared" si="2"/>
        <v> Adrienne G.</v>
      </c>
    </row>
    <row r="578" ht="15.75" customHeight="1">
      <c r="A578" s="5" t="s">
        <v>1155</v>
      </c>
      <c r="B578" s="5" t="s">
        <v>1156</v>
      </c>
      <c r="C578" s="5" t="str">
        <f t="shared" si="1"/>
        <v>Aziz</v>
      </c>
      <c r="D578" s="5" t="str">
        <f t="shared" si="2"/>
        <v> Meredith</v>
      </c>
    </row>
    <row r="579" ht="15.75" customHeight="1">
      <c r="A579" s="5" t="s">
        <v>1157</v>
      </c>
      <c r="B579" s="5" t="s">
        <v>1158</v>
      </c>
      <c r="C579" s="5" t="str">
        <f t="shared" si="1"/>
        <v>Pak</v>
      </c>
      <c r="D579" s="5" t="str">
        <f t="shared" si="2"/>
        <v> Junyong</v>
      </c>
    </row>
    <row r="580" ht="15.75" customHeight="1">
      <c r="A580" s="5" t="s">
        <v>1159</v>
      </c>
      <c r="B580" s="5" t="s">
        <v>1160</v>
      </c>
      <c r="C580" s="5" t="str">
        <f t="shared" si="1"/>
        <v>Kieta</v>
      </c>
      <c r="D580" s="5" t="str">
        <f t="shared" si="2"/>
        <v> Kristen A.</v>
      </c>
    </row>
    <row r="581" ht="15.75" customHeight="1">
      <c r="A581" s="5" t="s">
        <v>1161</v>
      </c>
      <c r="B581" s="5" t="s">
        <v>1162</v>
      </c>
      <c r="C581" s="5" t="str">
        <f t="shared" si="1"/>
        <v>Velez</v>
      </c>
      <c r="D581" s="5" t="str">
        <f t="shared" si="2"/>
        <v> Maria I.</v>
      </c>
    </row>
    <row r="582" ht="15.75" customHeight="1">
      <c r="A582" s="5" t="s">
        <v>1163</v>
      </c>
      <c r="B582" s="5" t="s">
        <v>1164</v>
      </c>
      <c r="C582" s="5" t="str">
        <f t="shared" si="1"/>
        <v>Bussiere</v>
      </c>
      <c r="D582" s="5" t="str">
        <f t="shared" si="2"/>
        <v> Jonathan</v>
      </c>
    </row>
    <row r="583" ht="15.75" customHeight="1">
      <c r="A583" s="5" t="s">
        <v>1165</v>
      </c>
      <c r="B583" s="5" t="s">
        <v>1166</v>
      </c>
      <c r="C583" s="5" t="str">
        <f t="shared" si="1"/>
        <v>McCartney</v>
      </c>
      <c r="D583" s="5" t="str">
        <f t="shared" si="2"/>
        <v> Phil</v>
      </c>
    </row>
    <row r="584" ht="15.75" customHeight="1">
      <c r="A584" s="5" t="s">
        <v>1167</v>
      </c>
      <c r="B584" s="5" t="s">
        <v>1168</v>
      </c>
      <c r="C584" s="5" t="str">
        <f t="shared" si="1"/>
        <v>Bambauer</v>
      </c>
      <c r="D584" s="5" t="str">
        <f t="shared" si="2"/>
        <v> Benjamina C</v>
      </c>
    </row>
    <row r="585" ht="15.75" customHeight="1">
      <c r="A585" s="5" t="s">
        <v>1169</v>
      </c>
      <c r="B585" s="5" t="s">
        <v>1170</v>
      </c>
      <c r="C585" s="5" t="str">
        <f t="shared" si="1"/>
        <v>Mertz</v>
      </c>
      <c r="D585" s="5" t="str">
        <f t="shared" si="2"/>
        <v> Christopher</v>
      </c>
    </row>
    <row r="586" ht="15.75" customHeight="1">
      <c r="A586" s="5" t="s">
        <v>1171</v>
      </c>
      <c r="B586" s="5" t="s">
        <v>1172</v>
      </c>
      <c r="C586" s="5" t="str">
        <f t="shared" si="1"/>
        <v>Mason</v>
      </c>
      <c r="D586" s="5" t="str">
        <f t="shared" si="2"/>
        <v> Alison B</v>
      </c>
    </row>
    <row r="587" ht="15.75" customHeight="1">
      <c r="A587" s="5" t="s">
        <v>1173</v>
      </c>
      <c r="B587" s="5" t="s">
        <v>1174</v>
      </c>
      <c r="C587" s="5" t="str">
        <f t="shared" si="1"/>
        <v>Rotich</v>
      </c>
      <c r="D587" s="5" t="str">
        <f t="shared" si="2"/>
        <v> Caroline</v>
      </c>
    </row>
    <row r="588" ht="15.75" customHeight="1">
      <c r="A588" s="5" t="s">
        <v>1175</v>
      </c>
      <c r="B588" s="5" t="s">
        <v>1176</v>
      </c>
      <c r="C588" s="5" t="str">
        <f t="shared" si="1"/>
        <v>Fetzer</v>
      </c>
      <c r="D588" s="5" t="str">
        <f t="shared" si="2"/>
        <v> Alexis N</v>
      </c>
    </row>
    <row r="589" ht="15.75" customHeight="1">
      <c r="A589" s="5" t="s">
        <v>1177</v>
      </c>
      <c r="B589" s="5" t="s">
        <v>1178</v>
      </c>
      <c r="C589" s="5" t="str">
        <f t="shared" si="1"/>
        <v>Mattis</v>
      </c>
      <c r="D589" s="5" t="str">
        <f t="shared" si="2"/>
        <v> Shanda L</v>
      </c>
    </row>
    <row r="590" ht="15.75" customHeight="1">
      <c r="A590" s="5" t="s">
        <v>1179</v>
      </c>
      <c r="B590" s="5" t="s">
        <v>1180</v>
      </c>
      <c r="C590" s="5" t="str">
        <f t="shared" si="1"/>
        <v>Cochran</v>
      </c>
      <c r="D590" s="5" t="str">
        <f t="shared" si="2"/>
        <v> Lacey</v>
      </c>
    </row>
    <row r="591" ht="15.75" customHeight="1">
      <c r="A591" s="5" t="s">
        <v>1181</v>
      </c>
      <c r="B591" s="5" t="s">
        <v>1182</v>
      </c>
      <c r="C591" s="5" t="str">
        <f t="shared" si="1"/>
        <v>Balinsky</v>
      </c>
      <c r="D591" s="5" t="str">
        <f t="shared" si="2"/>
        <v> Laurette</v>
      </c>
    </row>
    <row r="592" ht="15.75" customHeight="1">
      <c r="A592" s="5" t="s">
        <v>1183</v>
      </c>
      <c r="B592" s="5" t="s">
        <v>1184</v>
      </c>
      <c r="C592" s="5" t="str">
        <f t="shared" si="1"/>
        <v>Reilly</v>
      </c>
      <c r="D592" s="5" t="str">
        <f t="shared" si="2"/>
        <v> Jason</v>
      </c>
    </row>
    <row r="593" ht="15.75" customHeight="1">
      <c r="A593" s="5" t="s">
        <v>1185</v>
      </c>
      <c r="B593" s="5" t="s">
        <v>1186</v>
      </c>
      <c r="C593" s="5" t="str">
        <f t="shared" si="1"/>
        <v>Johnson</v>
      </c>
      <c r="D593" s="5" t="str">
        <f t="shared" si="2"/>
        <v> Mary</v>
      </c>
    </row>
    <row r="594" ht="15.75" customHeight="1">
      <c r="A594" s="5" t="s">
        <v>1187</v>
      </c>
      <c r="B594" s="5" t="s">
        <v>1188</v>
      </c>
      <c r="C594" s="5" t="str">
        <f t="shared" si="1"/>
        <v>Petry</v>
      </c>
      <c r="D594" s="5" t="str">
        <f t="shared" si="2"/>
        <v> Kati A</v>
      </c>
    </row>
    <row r="595" ht="15.75" customHeight="1">
      <c r="A595" s="5" t="s">
        <v>1189</v>
      </c>
      <c r="B595" s="5" t="s">
        <v>1190</v>
      </c>
      <c r="C595" s="5" t="str">
        <f t="shared" si="1"/>
        <v>Laleman</v>
      </c>
      <c r="D595" s="5" t="str">
        <f t="shared" si="2"/>
        <v> Kelly J</v>
      </c>
    </row>
    <row r="596" ht="15.75" customHeight="1">
      <c r="A596" s="5" t="s">
        <v>1191</v>
      </c>
      <c r="B596" s="5" t="s">
        <v>1192</v>
      </c>
      <c r="C596" s="5" t="str">
        <f t="shared" si="1"/>
        <v>Colby</v>
      </c>
      <c r="D596" s="5" t="str">
        <f t="shared" si="2"/>
        <v> Greer D</v>
      </c>
    </row>
    <row r="597" ht="15.75" customHeight="1">
      <c r="A597" s="5" t="s">
        <v>1193</v>
      </c>
      <c r="B597" s="5" t="s">
        <v>1194</v>
      </c>
      <c r="C597" s="5" t="str">
        <f t="shared" si="1"/>
        <v>Wathke</v>
      </c>
      <c r="D597" s="5" t="str">
        <f t="shared" si="2"/>
        <v> Brent</v>
      </c>
    </row>
    <row r="598" ht="15.75" customHeight="1">
      <c r="A598" s="5" t="s">
        <v>1195</v>
      </c>
      <c r="B598" s="5" t="s">
        <v>1196</v>
      </c>
      <c r="C598" s="5" t="str">
        <f t="shared" si="1"/>
        <v>Daly</v>
      </c>
      <c r="D598" s="5" t="str">
        <f t="shared" si="2"/>
        <v> Eugene M</v>
      </c>
    </row>
    <row r="599" ht="15.75" customHeight="1">
      <c r="A599" s="5" t="s">
        <v>1197</v>
      </c>
      <c r="B599" s="5" t="s">
        <v>1198</v>
      </c>
      <c r="C599" s="5" t="str">
        <f t="shared" si="1"/>
        <v>Dillon</v>
      </c>
      <c r="D599" s="5" t="str">
        <f t="shared" si="2"/>
        <v> Erin D</v>
      </c>
    </row>
    <row r="600" ht="15.75" customHeight="1">
      <c r="A600" s="5" t="s">
        <v>1199</v>
      </c>
      <c r="B600" s="5" t="s">
        <v>1200</v>
      </c>
      <c r="C600" s="5" t="str">
        <f t="shared" si="1"/>
        <v>Pontes</v>
      </c>
      <c r="D600" s="5" t="str">
        <f t="shared" si="2"/>
        <v> Kamilla</v>
      </c>
    </row>
    <row r="601" ht="15.75" customHeight="1">
      <c r="A601" s="5" t="s">
        <v>1201</v>
      </c>
      <c r="B601" s="5" t="s">
        <v>1202</v>
      </c>
      <c r="C601" s="5" t="str">
        <f t="shared" si="1"/>
        <v>Spies</v>
      </c>
      <c r="D601" s="5" t="str">
        <f t="shared" si="2"/>
        <v> Wayne I.</v>
      </c>
    </row>
    <row r="602" ht="15.75" customHeight="1">
      <c r="A602" s="5" t="s">
        <v>1203</v>
      </c>
      <c r="B602" s="5" t="s">
        <v>1204</v>
      </c>
      <c r="C602" s="5" t="str">
        <f t="shared" si="1"/>
        <v>Greig</v>
      </c>
      <c r="D602" s="5" t="str">
        <f t="shared" si="2"/>
        <v> Tracy L</v>
      </c>
    </row>
    <row r="603" ht="15.75" customHeight="1">
      <c r="A603" s="5" t="s">
        <v>1205</v>
      </c>
      <c r="B603" s="5" t="s">
        <v>1206</v>
      </c>
      <c r="C603" s="5" t="str">
        <f t="shared" si="1"/>
        <v>Scott</v>
      </c>
      <c r="D603" s="5" t="str">
        <f t="shared" si="2"/>
        <v> Heather</v>
      </c>
    </row>
    <row r="604" ht="15.75" customHeight="1">
      <c r="A604" s="5" t="s">
        <v>1207</v>
      </c>
      <c r="B604" s="5" t="s">
        <v>1208</v>
      </c>
      <c r="C604" s="5" t="str">
        <f t="shared" si="1"/>
        <v>Erlandson</v>
      </c>
      <c r="D604" s="5" t="str">
        <f t="shared" si="2"/>
        <v> Megan C</v>
      </c>
    </row>
    <row r="605" ht="15.75" customHeight="1">
      <c r="A605" s="5" t="s">
        <v>1209</v>
      </c>
      <c r="B605" s="5" t="s">
        <v>1210</v>
      </c>
      <c r="C605" s="5" t="str">
        <f t="shared" si="1"/>
        <v>Autrey</v>
      </c>
      <c r="D605" s="5" t="str">
        <f t="shared" si="2"/>
        <v> Jonathan</v>
      </c>
    </row>
    <row r="606" ht="15.75" customHeight="1">
      <c r="A606" s="5" t="s">
        <v>1211</v>
      </c>
      <c r="B606" s="5" t="s">
        <v>1212</v>
      </c>
      <c r="C606" s="5" t="str">
        <f t="shared" si="1"/>
        <v>Alleman</v>
      </c>
      <c r="D606" s="5" t="str">
        <f t="shared" si="2"/>
        <v> Greg D.</v>
      </c>
    </row>
    <row r="607" ht="15.75" customHeight="1">
      <c r="A607" s="5" t="s">
        <v>1213</v>
      </c>
      <c r="B607" s="5" t="s">
        <v>1214</v>
      </c>
      <c r="C607" s="5" t="str">
        <f t="shared" si="1"/>
        <v>Michalski</v>
      </c>
      <c r="D607" s="5" t="str">
        <f t="shared" si="2"/>
        <v> Steven L.</v>
      </c>
    </row>
    <row r="608" ht="15.75" customHeight="1">
      <c r="A608" s="5" t="s">
        <v>1215</v>
      </c>
      <c r="B608" s="5" t="s">
        <v>1216</v>
      </c>
      <c r="C608" s="5" t="str">
        <f t="shared" si="1"/>
        <v>Grillo</v>
      </c>
      <c r="D608" s="5" t="str">
        <f t="shared" si="2"/>
        <v> Gianfilippo</v>
      </c>
    </row>
    <row r="609" ht="15.75" customHeight="1">
      <c r="A609" s="5" t="s">
        <v>1217</v>
      </c>
      <c r="B609" s="5" t="s">
        <v>1218</v>
      </c>
      <c r="C609" s="5" t="str">
        <f t="shared" si="1"/>
        <v>Coronado</v>
      </c>
      <c r="D609" s="5" t="str">
        <f t="shared" si="2"/>
        <v> Hector</v>
      </c>
    </row>
    <row r="610" ht="15.75" customHeight="1">
      <c r="A610" s="5" t="s">
        <v>1219</v>
      </c>
      <c r="B610" s="5" t="s">
        <v>1220</v>
      </c>
      <c r="C610" s="5" t="str">
        <f t="shared" si="1"/>
        <v>Dewine</v>
      </c>
      <c r="D610" s="5" t="str">
        <f t="shared" si="2"/>
        <v> Mark W.</v>
      </c>
    </row>
    <row r="611" ht="15.75" customHeight="1">
      <c r="A611" s="5" t="s">
        <v>1221</v>
      </c>
      <c r="B611" s="5" t="s">
        <v>1222</v>
      </c>
      <c r="C611" s="5" t="str">
        <f t="shared" si="1"/>
        <v>Carman</v>
      </c>
      <c r="D611" s="5" t="str">
        <f t="shared" si="2"/>
        <v> Aubri</v>
      </c>
    </row>
    <row r="612" ht="15.75" customHeight="1">
      <c r="A612" s="5" t="s">
        <v>1223</v>
      </c>
      <c r="B612" s="5" t="s">
        <v>1224</v>
      </c>
      <c r="C612" s="5" t="str">
        <f t="shared" si="1"/>
        <v>Neems</v>
      </c>
      <c r="D612" s="5" t="str">
        <f t="shared" si="2"/>
        <v> Justin</v>
      </c>
    </row>
    <row r="613" ht="15.75" customHeight="1">
      <c r="A613" s="5" t="s">
        <v>1225</v>
      </c>
      <c r="B613" s="5" t="s">
        <v>1226</v>
      </c>
      <c r="C613" s="5" t="str">
        <f t="shared" si="1"/>
        <v>Pesyna</v>
      </c>
      <c r="D613" s="5" t="str">
        <f t="shared" si="2"/>
        <v> Megan A.</v>
      </c>
    </row>
    <row r="614" ht="15.75" customHeight="1">
      <c r="A614" s="5" t="s">
        <v>1227</v>
      </c>
      <c r="B614" s="5" t="s">
        <v>1228</v>
      </c>
      <c r="C614" s="5" t="str">
        <f t="shared" si="1"/>
        <v>Meling</v>
      </c>
      <c r="D614" s="5" t="str">
        <f t="shared" si="2"/>
        <v> Erika M.</v>
      </c>
    </row>
    <row r="615" ht="15.75" customHeight="1">
      <c r="A615" s="5" t="s">
        <v>1229</v>
      </c>
      <c r="B615" s="5" t="s">
        <v>1230</v>
      </c>
      <c r="C615" s="5" t="str">
        <f t="shared" si="1"/>
        <v>Widlowski</v>
      </c>
      <c r="D615" s="5" t="str">
        <f t="shared" si="2"/>
        <v> Daniel G.</v>
      </c>
    </row>
    <row r="616" ht="15.75" customHeight="1">
      <c r="A616" s="5" t="s">
        <v>1231</v>
      </c>
      <c r="B616" s="5" t="s">
        <v>1232</v>
      </c>
      <c r="C616" s="5" t="str">
        <f t="shared" si="1"/>
        <v>Nadar</v>
      </c>
      <c r="D616" s="5" t="str">
        <f t="shared" si="2"/>
        <v> Devin C.</v>
      </c>
    </row>
    <row r="617" ht="15.75" customHeight="1">
      <c r="A617" s="5" t="s">
        <v>1233</v>
      </c>
      <c r="B617" s="5" t="s">
        <v>1234</v>
      </c>
      <c r="C617" s="5" t="str">
        <f t="shared" si="1"/>
        <v>Turner</v>
      </c>
      <c r="D617" s="5" t="str">
        <f t="shared" si="2"/>
        <v> Louise A</v>
      </c>
    </row>
    <row r="618" ht="15.75" customHeight="1">
      <c r="A618" s="5" t="s">
        <v>1235</v>
      </c>
      <c r="B618" s="5" t="s">
        <v>1236</v>
      </c>
      <c r="C618" s="5" t="str">
        <f t="shared" si="1"/>
        <v>Walker</v>
      </c>
      <c r="D618" s="5" t="str">
        <f t="shared" si="2"/>
        <v> Sarah</v>
      </c>
    </row>
    <row r="619" ht="15.75" customHeight="1">
      <c r="A619" s="5" t="s">
        <v>1237</v>
      </c>
      <c r="B619" s="5" t="s">
        <v>1238</v>
      </c>
      <c r="C619" s="5" t="str">
        <f t="shared" si="1"/>
        <v>Leedham</v>
      </c>
      <c r="D619" s="5" t="str">
        <f t="shared" si="2"/>
        <v> Amy</v>
      </c>
    </row>
    <row r="620" ht="15.75" customHeight="1">
      <c r="A620" s="5" t="s">
        <v>1239</v>
      </c>
      <c r="B620" s="5" t="s">
        <v>1240</v>
      </c>
      <c r="C620" s="5" t="str">
        <f t="shared" si="1"/>
        <v>Haglund</v>
      </c>
      <c r="D620" s="5" t="str">
        <f t="shared" si="2"/>
        <v> Brittany L.</v>
      </c>
    </row>
    <row r="621" ht="15.75" customHeight="1">
      <c r="A621" s="5" t="s">
        <v>1241</v>
      </c>
      <c r="B621" s="5" t="s">
        <v>1242</v>
      </c>
      <c r="C621" s="5" t="str">
        <f t="shared" si="1"/>
        <v>Mills</v>
      </c>
      <c r="D621" s="5" t="str">
        <f t="shared" si="2"/>
        <v> Jessica L</v>
      </c>
    </row>
    <row r="622" ht="15.75" customHeight="1">
      <c r="A622" s="5" t="s">
        <v>1243</v>
      </c>
      <c r="B622" s="5" t="s">
        <v>1244</v>
      </c>
      <c r="C622" s="5" t="str">
        <f t="shared" si="1"/>
        <v>Drnjevich</v>
      </c>
      <c r="D622" s="5" t="str">
        <f t="shared" si="2"/>
        <v> Kristina K</v>
      </c>
    </row>
    <row r="623" ht="15.75" customHeight="1">
      <c r="A623" s="5" t="s">
        <v>1245</v>
      </c>
      <c r="B623" s="5" t="s">
        <v>1246</v>
      </c>
      <c r="C623" s="5" t="str">
        <f t="shared" si="1"/>
        <v>Clay</v>
      </c>
      <c r="D623" s="5" t="str">
        <f t="shared" si="2"/>
        <v> Brad</v>
      </c>
    </row>
    <row r="624" ht="15.75" customHeight="1">
      <c r="A624" s="5" t="s">
        <v>1247</v>
      </c>
      <c r="B624" s="5" t="s">
        <v>1248</v>
      </c>
      <c r="C624" s="5" t="str">
        <f t="shared" si="1"/>
        <v>Marbury</v>
      </c>
      <c r="D624" s="5" t="str">
        <f t="shared" si="2"/>
        <v> Margaret O</v>
      </c>
    </row>
    <row r="625" ht="15.75" customHeight="1">
      <c r="A625" s="5" t="s">
        <v>1249</v>
      </c>
      <c r="B625" s="5" t="s">
        <v>1250</v>
      </c>
      <c r="C625" s="5" t="str">
        <f t="shared" si="1"/>
        <v>Coon</v>
      </c>
      <c r="D625" s="5" t="str">
        <f t="shared" si="2"/>
        <v> Craig R.</v>
      </c>
    </row>
    <row r="626" ht="15.75" customHeight="1">
      <c r="A626" s="5" t="s">
        <v>1251</v>
      </c>
      <c r="B626" s="5" t="s">
        <v>1252</v>
      </c>
      <c r="C626" s="5" t="str">
        <f t="shared" si="1"/>
        <v>Vanttinen</v>
      </c>
      <c r="D626" s="5" t="str">
        <f t="shared" si="2"/>
        <v> Simo</v>
      </c>
    </row>
    <row r="627" ht="15.75" customHeight="1">
      <c r="A627" s="5" t="s">
        <v>1253</v>
      </c>
      <c r="B627" s="5" t="s">
        <v>1254</v>
      </c>
      <c r="C627" s="5" t="str">
        <f t="shared" si="1"/>
        <v>Garges</v>
      </c>
      <c r="D627" s="5" t="str">
        <f t="shared" si="2"/>
        <v> Christopher J</v>
      </c>
    </row>
    <row r="628" ht="15.75" customHeight="1">
      <c r="A628" s="5" t="s">
        <v>1255</v>
      </c>
      <c r="B628" s="5" t="s">
        <v>1256</v>
      </c>
      <c r="C628" s="5" t="str">
        <f t="shared" si="1"/>
        <v>Rivel</v>
      </c>
      <c r="D628" s="5" t="str">
        <f t="shared" si="2"/>
        <v> Mario Sr.</v>
      </c>
    </row>
    <row r="629" ht="15.75" customHeight="1">
      <c r="A629" s="5" t="s">
        <v>1257</v>
      </c>
      <c r="B629" s="5" t="s">
        <v>1258</v>
      </c>
      <c r="C629" s="5" t="str">
        <f t="shared" si="1"/>
        <v>Lawson</v>
      </c>
      <c r="D629" s="5" t="str">
        <f t="shared" si="2"/>
        <v> Meghann R.</v>
      </c>
    </row>
    <row r="630" ht="15.75" customHeight="1">
      <c r="A630" s="5" t="s">
        <v>1259</v>
      </c>
      <c r="B630" s="5" t="s">
        <v>1260</v>
      </c>
      <c r="C630" s="5" t="str">
        <f t="shared" si="1"/>
        <v>Cale</v>
      </c>
      <c r="D630" s="5" t="str">
        <f t="shared" si="2"/>
        <v> Scott M</v>
      </c>
    </row>
    <row r="631" ht="15.75" customHeight="1">
      <c r="A631" s="5" t="s">
        <v>1261</v>
      </c>
      <c r="B631" s="5" t="s">
        <v>1262</v>
      </c>
      <c r="C631" s="5" t="str">
        <f t="shared" si="1"/>
        <v>Phillips</v>
      </c>
      <c r="D631" s="5" t="str">
        <f t="shared" si="2"/>
        <v> Caitlin E.</v>
      </c>
    </row>
    <row r="632" ht="15.75" customHeight="1">
      <c r="A632" s="5" t="s">
        <v>1263</v>
      </c>
      <c r="B632" s="5" t="s">
        <v>1264</v>
      </c>
      <c r="C632" s="5" t="str">
        <f t="shared" si="1"/>
        <v>Stewart</v>
      </c>
      <c r="D632" s="5" t="str">
        <f t="shared" si="2"/>
        <v> Samantha A.</v>
      </c>
    </row>
    <row r="633" ht="15.75" customHeight="1">
      <c r="A633" s="5" t="s">
        <v>1265</v>
      </c>
      <c r="B633" s="5" t="s">
        <v>1266</v>
      </c>
      <c r="C633" s="5" t="str">
        <f t="shared" si="1"/>
        <v>Drotz</v>
      </c>
      <c r="D633" s="5" t="str">
        <f t="shared" si="2"/>
        <v> Erik</v>
      </c>
    </row>
    <row r="634" ht="15.75" customHeight="1">
      <c r="A634" s="5" t="s">
        <v>1267</v>
      </c>
      <c r="B634" s="5" t="s">
        <v>1268</v>
      </c>
      <c r="C634" s="5" t="str">
        <f t="shared" si="1"/>
        <v>Mutai</v>
      </c>
      <c r="D634" s="5" t="str">
        <f t="shared" si="2"/>
        <v> Christopher</v>
      </c>
    </row>
    <row r="635" ht="15.75" customHeight="1">
      <c r="A635" s="5" t="s">
        <v>1269</v>
      </c>
      <c r="B635" s="5" t="s">
        <v>1270</v>
      </c>
      <c r="C635" s="5" t="str">
        <f t="shared" si="1"/>
        <v>Lovlien</v>
      </c>
      <c r="D635" s="5" t="str">
        <f t="shared" si="2"/>
        <v> Maya</v>
      </c>
    </row>
    <row r="636" ht="15.75" customHeight="1">
      <c r="A636" s="5" t="s">
        <v>1271</v>
      </c>
      <c r="B636" s="5" t="s">
        <v>1272</v>
      </c>
      <c r="C636" s="5" t="str">
        <f t="shared" si="1"/>
        <v>Bruns</v>
      </c>
      <c r="D636" s="5" t="str">
        <f t="shared" si="2"/>
        <v> Zachary T</v>
      </c>
    </row>
    <row r="637" ht="15.75" customHeight="1">
      <c r="A637" s="5" t="s">
        <v>1273</v>
      </c>
      <c r="B637" s="5" t="s">
        <v>1274</v>
      </c>
      <c r="C637" s="5" t="str">
        <f t="shared" si="1"/>
        <v>Stoney</v>
      </c>
      <c r="D637" s="5" t="str">
        <f t="shared" si="2"/>
        <v> Hilda</v>
      </c>
    </row>
    <row r="638" ht="15.75" customHeight="1">
      <c r="A638" s="5" t="s">
        <v>1275</v>
      </c>
      <c r="B638" s="5" t="s">
        <v>1276</v>
      </c>
      <c r="C638" s="5" t="str">
        <f t="shared" si="1"/>
        <v>Markert</v>
      </c>
      <c r="D638" s="5" t="str">
        <f t="shared" si="2"/>
        <v> Stephanie</v>
      </c>
    </row>
    <row r="639" ht="15.75" customHeight="1">
      <c r="A639" s="5" t="s">
        <v>1277</v>
      </c>
      <c r="B639" s="5" t="s">
        <v>1278</v>
      </c>
      <c r="C639" s="5" t="str">
        <f t="shared" si="1"/>
        <v>McLucas</v>
      </c>
      <c r="D639" s="5" t="str">
        <f t="shared" si="2"/>
        <v> Doug</v>
      </c>
    </row>
    <row r="640" ht="15.75" customHeight="1">
      <c r="A640" s="5" t="s">
        <v>1279</v>
      </c>
      <c r="B640" s="5" t="s">
        <v>1280</v>
      </c>
      <c r="C640" s="5" t="str">
        <f t="shared" si="1"/>
        <v>Erwin</v>
      </c>
      <c r="D640" s="5" t="str">
        <f t="shared" si="2"/>
        <v> Bethany N.</v>
      </c>
    </row>
    <row r="641" ht="15.75" customHeight="1">
      <c r="A641" s="5" t="s">
        <v>1281</v>
      </c>
      <c r="B641" s="5" t="s">
        <v>1282</v>
      </c>
      <c r="C641" s="5" t="str">
        <f t="shared" si="1"/>
        <v>Osborne</v>
      </c>
      <c r="D641" s="5" t="str">
        <f t="shared" si="2"/>
        <v> Sandra H</v>
      </c>
    </row>
    <row r="642" ht="15.75" customHeight="1">
      <c r="A642" s="5" t="s">
        <v>1283</v>
      </c>
      <c r="B642" s="5" t="s">
        <v>1284</v>
      </c>
      <c r="C642" s="5" t="str">
        <f t="shared" si="1"/>
        <v>Otsuka</v>
      </c>
      <c r="D642" s="5" t="str">
        <f t="shared" si="2"/>
        <v> Takuo</v>
      </c>
    </row>
    <row r="643" ht="15.75" customHeight="1">
      <c r="A643" s="5" t="s">
        <v>1285</v>
      </c>
      <c r="B643" s="5" t="s">
        <v>1286</v>
      </c>
      <c r="C643" s="5" t="str">
        <f t="shared" si="1"/>
        <v>Smith</v>
      </c>
      <c r="D643" s="5" t="str">
        <f t="shared" si="2"/>
        <v> Kelly A.</v>
      </c>
    </row>
    <row r="644" ht="15.75" customHeight="1">
      <c r="A644" s="5" t="s">
        <v>1287</v>
      </c>
      <c r="B644" s="5" t="s">
        <v>1288</v>
      </c>
      <c r="C644" s="5" t="str">
        <f t="shared" si="1"/>
        <v>Myers</v>
      </c>
      <c r="D644" s="5" t="str">
        <f t="shared" si="2"/>
        <v> Scott</v>
      </c>
    </row>
    <row r="645" ht="15.75" customHeight="1">
      <c r="A645" s="5" t="s">
        <v>1289</v>
      </c>
      <c r="B645" s="5" t="s">
        <v>1290</v>
      </c>
      <c r="C645" s="5" t="str">
        <f t="shared" si="1"/>
        <v>Cote</v>
      </c>
      <c r="D645" s="5" t="str">
        <f t="shared" si="2"/>
        <v> Benoit</v>
      </c>
    </row>
    <row r="646" ht="15.75" customHeight="1">
      <c r="A646" s="5" t="s">
        <v>1291</v>
      </c>
      <c r="B646" s="5" t="s">
        <v>1292</v>
      </c>
      <c r="C646" s="5" t="str">
        <f t="shared" si="1"/>
        <v>Ehrhardt</v>
      </c>
      <c r="D646" s="5" t="str">
        <f t="shared" si="2"/>
        <v> Elizabeth M.</v>
      </c>
    </row>
    <row r="647" ht="15.75" customHeight="1">
      <c r="A647" s="5" t="s">
        <v>1293</v>
      </c>
      <c r="B647" s="5" t="s">
        <v>1294</v>
      </c>
      <c r="C647" s="5" t="str">
        <f t="shared" si="1"/>
        <v>Petersen</v>
      </c>
      <c r="D647" s="5" t="str">
        <f t="shared" si="2"/>
        <v> Jessica A.</v>
      </c>
    </row>
    <row r="648" ht="15.75" customHeight="1">
      <c r="A648" s="5" t="s">
        <v>1295</v>
      </c>
      <c r="B648" s="5" t="s">
        <v>1296</v>
      </c>
      <c r="C648" s="5" t="str">
        <f t="shared" si="1"/>
        <v>Ertel</v>
      </c>
      <c r="D648" s="5" t="str">
        <f t="shared" si="2"/>
        <v> Monica K</v>
      </c>
    </row>
    <row r="649" ht="15.75" customHeight="1">
      <c r="A649" s="5" t="s">
        <v>1297</v>
      </c>
      <c r="B649" s="5" t="s">
        <v>1298</v>
      </c>
      <c r="C649" s="5" t="str">
        <f t="shared" si="1"/>
        <v>Lanza</v>
      </c>
      <c r="D649" s="5" t="str">
        <f t="shared" si="2"/>
        <v> Kevin L</v>
      </c>
    </row>
    <row r="650" ht="15.75" customHeight="1">
      <c r="A650" s="5" t="s">
        <v>1299</v>
      </c>
      <c r="B650" s="5" t="s">
        <v>1300</v>
      </c>
      <c r="C650" s="5" t="str">
        <f t="shared" si="1"/>
        <v>Picklesimer</v>
      </c>
      <c r="D650" s="5" t="str">
        <f t="shared" si="2"/>
        <v> Gregory</v>
      </c>
    </row>
    <row r="651" ht="15.75" customHeight="1">
      <c r="A651" s="5" t="s">
        <v>1301</v>
      </c>
      <c r="B651" s="5" t="s">
        <v>1302</v>
      </c>
      <c r="C651" s="5" t="str">
        <f t="shared" si="1"/>
        <v>Giles</v>
      </c>
      <c r="D651" s="5" t="str">
        <f t="shared" si="2"/>
        <v> Della</v>
      </c>
    </row>
    <row r="652" ht="15.75" customHeight="1">
      <c r="A652" s="5" t="s">
        <v>1303</v>
      </c>
      <c r="B652" s="5" t="s">
        <v>1304</v>
      </c>
      <c r="C652" s="5" t="str">
        <f t="shared" si="1"/>
        <v>Harmon</v>
      </c>
      <c r="D652" s="5" t="str">
        <f t="shared" si="2"/>
        <v> David</v>
      </c>
    </row>
    <row r="653" ht="15.75" customHeight="1">
      <c r="A653" s="5" t="s">
        <v>1305</v>
      </c>
      <c r="B653" s="5" t="s">
        <v>1306</v>
      </c>
      <c r="C653" s="5" t="str">
        <f t="shared" si="1"/>
        <v>Pennings</v>
      </c>
      <c r="D653" s="5" t="str">
        <f t="shared" si="2"/>
        <v> Victoria</v>
      </c>
    </row>
    <row r="654" ht="15.75" customHeight="1">
      <c r="A654" s="5" t="s">
        <v>1307</v>
      </c>
      <c r="B654" s="5" t="s">
        <v>1308</v>
      </c>
      <c r="C654" s="5" t="str">
        <f t="shared" si="1"/>
        <v>Tseronis</v>
      </c>
      <c r="D654" s="5" t="str">
        <f t="shared" si="2"/>
        <v> Tasos</v>
      </c>
    </row>
    <row r="655" ht="15.75" customHeight="1">
      <c r="A655" s="5" t="s">
        <v>1309</v>
      </c>
      <c r="B655" s="5" t="s">
        <v>1310</v>
      </c>
      <c r="C655" s="5" t="str">
        <f t="shared" si="1"/>
        <v>Aliff</v>
      </c>
      <c r="D655" s="5" t="str">
        <f t="shared" si="2"/>
        <v> Thomas</v>
      </c>
    </row>
    <row r="656" ht="15.75" customHeight="1">
      <c r="A656" s="5" t="s">
        <v>1311</v>
      </c>
      <c r="B656" s="5" t="s">
        <v>1312</v>
      </c>
      <c r="C656" s="5" t="str">
        <f t="shared" si="1"/>
        <v>Willenberg</v>
      </c>
      <c r="D656" s="5" t="str">
        <f t="shared" si="2"/>
        <v> Lukasz</v>
      </c>
    </row>
    <row r="657" ht="15.75" customHeight="1">
      <c r="A657" s="5" t="s">
        <v>1313</v>
      </c>
      <c r="B657" s="5" t="s">
        <v>1314</v>
      </c>
      <c r="C657" s="5" t="str">
        <f t="shared" si="1"/>
        <v>Millett</v>
      </c>
      <c r="D657" s="5" t="str">
        <f t="shared" si="2"/>
        <v> Matthew A.</v>
      </c>
    </row>
    <row r="658" ht="15.75" customHeight="1">
      <c r="A658" s="5" t="s">
        <v>1315</v>
      </c>
      <c r="B658" s="5" t="s">
        <v>1316</v>
      </c>
      <c r="C658" s="5" t="str">
        <f t="shared" si="1"/>
        <v>Haley</v>
      </c>
      <c r="D658" s="5" t="str">
        <f t="shared" si="2"/>
        <v> Meta</v>
      </c>
    </row>
    <row r="659" ht="15.75" customHeight="1">
      <c r="A659" s="5" t="s">
        <v>1317</v>
      </c>
      <c r="B659" s="5" t="s">
        <v>1318</v>
      </c>
      <c r="C659" s="5" t="str">
        <f t="shared" si="1"/>
        <v>Ackerman</v>
      </c>
      <c r="D659" s="5" t="str">
        <f t="shared" si="2"/>
        <v> Rachel E</v>
      </c>
    </row>
    <row r="660" ht="15.75" customHeight="1">
      <c r="A660" s="5" t="s">
        <v>1319</v>
      </c>
      <c r="B660" s="5" t="s">
        <v>1320</v>
      </c>
      <c r="C660" s="5" t="str">
        <f t="shared" si="1"/>
        <v>Valdez</v>
      </c>
      <c r="D660" s="5" t="str">
        <f t="shared" si="2"/>
        <v> Angelica</v>
      </c>
    </row>
    <row r="661" ht="15.75" customHeight="1">
      <c r="A661" s="5" t="s">
        <v>1321</v>
      </c>
      <c r="B661" s="5" t="s">
        <v>1322</v>
      </c>
      <c r="C661" s="5" t="str">
        <f t="shared" si="1"/>
        <v>Michaud</v>
      </c>
      <c r="D661" s="5" t="str">
        <f t="shared" si="2"/>
        <v> Kathleen</v>
      </c>
    </row>
    <row r="662" ht="15.75" customHeight="1">
      <c r="A662" s="5" t="s">
        <v>1323</v>
      </c>
      <c r="B662" s="5" t="s">
        <v>1324</v>
      </c>
      <c r="C662" s="5" t="str">
        <f t="shared" si="1"/>
        <v>Gunnink</v>
      </c>
      <c r="D662" s="5" t="str">
        <f t="shared" si="2"/>
        <v> Gabriel D.</v>
      </c>
    </row>
    <row r="663" ht="15.75" customHeight="1">
      <c r="A663" s="5" t="s">
        <v>1325</v>
      </c>
      <c r="B663" s="5" t="s">
        <v>1326</v>
      </c>
      <c r="C663" s="5" t="str">
        <f t="shared" si="1"/>
        <v>Knight</v>
      </c>
      <c r="D663" s="5" t="str">
        <f t="shared" si="2"/>
        <v> Jeff T</v>
      </c>
    </row>
    <row r="664" ht="15.75" customHeight="1">
      <c r="A664" s="5" t="s">
        <v>1327</v>
      </c>
      <c r="B664" s="5" t="s">
        <v>1328</v>
      </c>
      <c r="C664" s="5" t="str">
        <f t="shared" si="1"/>
        <v>Grosscup</v>
      </c>
      <c r="D664" s="5" t="str">
        <f t="shared" si="2"/>
        <v> Neil D</v>
      </c>
    </row>
    <row r="665" ht="15.75" customHeight="1">
      <c r="A665" s="5" t="s">
        <v>1329</v>
      </c>
      <c r="B665" s="5" t="s">
        <v>1330</v>
      </c>
      <c r="C665" s="5" t="str">
        <f t="shared" si="1"/>
        <v>Koniuch</v>
      </c>
      <c r="D665" s="5" t="str">
        <f t="shared" si="2"/>
        <v> Katherine L.</v>
      </c>
    </row>
    <row r="666" ht="15.75" customHeight="1">
      <c r="A666" s="5" t="s">
        <v>1331</v>
      </c>
      <c r="B666" s="5" t="s">
        <v>1332</v>
      </c>
      <c r="C666" s="5" t="str">
        <f t="shared" si="1"/>
        <v>Heitzman</v>
      </c>
      <c r="D666" s="5" t="str">
        <f t="shared" si="2"/>
        <v> Ariel E</v>
      </c>
    </row>
    <row r="667" ht="15.75" customHeight="1">
      <c r="A667" s="5" t="s">
        <v>1333</v>
      </c>
      <c r="B667" s="5" t="s">
        <v>1334</v>
      </c>
      <c r="C667" s="5" t="str">
        <f t="shared" si="1"/>
        <v>Tatton</v>
      </c>
      <c r="D667" s="5" t="str">
        <f t="shared" si="2"/>
        <v> Christopher P</v>
      </c>
    </row>
    <row r="668" ht="15.75" customHeight="1">
      <c r="A668" s="5" t="s">
        <v>1335</v>
      </c>
      <c r="B668" s="5" t="s">
        <v>1336</v>
      </c>
      <c r="C668" s="5" t="str">
        <f t="shared" si="1"/>
        <v>Flanagan</v>
      </c>
      <c r="D668" s="5" t="str">
        <f t="shared" si="2"/>
        <v> Erin M.</v>
      </c>
    </row>
    <row r="669" ht="15.75" customHeight="1">
      <c r="A669" s="5" t="s">
        <v>1337</v>
      </c>
      <c r="B669" s="5" t="s">
        <v>1338</v>
      </c>
      <c r="C669" s="5" t="str">
        <f t="shared" si="1"/>
        <v>Funk</v>
      </c>
      <c r="D669" s="5" t="str">
        <f t="shared" si="2"/>
        <v> Molly K.</v>
      </c>
    </row>
    <row r="670" ht="15.75" customHeight="1">
      <c r="A670" s="5" t="s">
        <v>1339</v>
      </c>
      <c r="B670" s="5" t="s">
        <v>1340</v>
      </c>
      <c r="C670" s="5" t="str">
        <f t="shared" si="1"/>
        <v>Davenport</v>
      </c>
      <c r="D670" s="5" t="str">
        <f t="shared" si="2"/>
        <v> Ryan J.</v>
      </c>
    </row>
    <row r="671" ht="15.75" customHeight="1">
      <c r="A671" s="5" t="s">
        <v>1341</v>
      </c>
      <c r="B671" s="5" t="s">
        <v>1342</v>
      </c>
      <c r="C671" s="5" t="str">
        <f t="shared" si="1"/>
        <v>Nicholson</v>
      </c>
      <c r="D671" s="5" t="str">
        <f t="shared" si="2"/>
        <v> Jennifer</v>
      </c>
    </row>
    <row r="672" ht="15.75" customHeight="1">
      <c r="A672" s="5" t="s">
        <v>1343</v>
      </c>
      <c r="B672" s="5" t="s">
        <v>1344</v>
      </c>
      <c r="C672" s="5" t="str">
        <f t="shared" si="1"/>
        <v>Lindbloom</v>
      </c>
      <c r="D672" s="5" t="str">
        <f t="shared" si="2"/>
        <v> Daniel M</v>
      </c>
    </row>
    <row r="673" ht="15.75" customHeight="1">
      <c r="A673" s="5" t="s">
        <v>1345</v>
      </c>
      <c r="B673" s="5" t="s">
        <v>1346</v>
      </c>
      <c r="C673" s="5" t="str">
        <f t="shared" si="1"/>
        <v>Wijayaratne</v>
      </c>
      <c r="D673" s="5" t="str">
        <f t="shared" si="2"/>
        <v> Hiruni</v>
      </c>
    </row>
    <row r="674" ht="15.75" customHeight="1">
      <c r="A674" s="5" t="s">
        <v>1347</v>
      </c>
      <c r="B674" s="5" t="s">
        <v>1348</v>
      </c>
      <c r="C674" s="5" t="str">
        <f t="shared" si="1"/>
        <v>Ainsworth</v>
      </c>
      <c r="D674" s="5" t="str">
        <f t="shared" si="2"/>
        <v> Reina H.</v>
      </c>
    </row>
    <row r="675" ht="15.75" customHeight="1">
      <c r="A675" s="5" t="s">
        <v>1349</v>
      </c>
      <c r="B675" s="5" t="s">
        <v>1350</v>
      </c>
      <c r="C675" s="5" t="str">
        <f t="shared" si="1"/>
        <v>Gayagoy</v>
      </c>
      <c r="D675" s="5" t="str">
        <f t="shared" si="2"/>
        <v> Kristi</v>
      </c>
    </row>
    <row r="676" ht="15.75" customHeight="1">
      <c r="A676" s="5" t="s">
        <v>1351</v>
      </c>
      <c r="B676" s="5" t="s">
        <v>1352</v>
      </c>
      <c r="C676" s="5" t="str">
        <f t="shared" si="1"/>
        <v>Fitzmaurice</v>
      </c>
      <c r="D676" s="5" t="str">
        <f t="shared" si="2"/>
        <v> Meredith L.</v>
      </c>
    </row>
    <row r="677" ht="15.75" customHeight="1">
      <c r="A677" s="5" t="s">
        <v>1353</v>
      </c>
      <c r="B677" s="5" t="s">
        <v>1354</v>
      </c>
      <c r="C677" s="5" t="str">
        <f t="shared" si="1"/>
        <v>Rodriguez</v>
      </c>
      <c r="D677" s="5" t="str">
        <f t="shared" si="2"/>
        <v> Jocelyn</v>
      </c>
    </row>
    <row r="678" ht="15.75" customHeight="1">
      <c r="A678" s="5" t="s">
        <v>1355</v>
      </c>
      <c r="B678" s="5" t="s">
        <v>1356</v>
      </c>
      <c r="C678" s="5" t="str">
        <f t="shared" si="1"/>
        <v>Tsoucas</v>
      </c>
      <c r="D678" s="5" t="str">
        <f t="shared" si="2"/>
        <v> Daphne</v>
      </c>
    </row>
    <row r="679" ht="15.75" customHeight="1">
      <c r="A679" s="5" t="s">
        <v>1357</v>
      </c>
      <c r="B679" s="5" t="s">
        <v>1358</v>
      </c>
      <c r="C679" s="5" t="str">
        <f t="shared" si="1"/>
        <v>Muhly</v>
      </c>
      <c r="D679" s="5" t="str">
        <f t="shared" si="2"/>
        <v> Margaret E</v>
      </c>
    </row>
    <row r="680" ht="15.75" customHeight="1">
      <c r="A680" s="5" t="s">
        <v>1359</v>
      </c>
      <c r="B680" s="5" t="s">
        <v>1360</v>
      </c>
      <c r="C680" s="5" t="str">
        <f t="shared" si="1"/>
        <v>Lund</v>
      </c>
      <c r="D680" s="5" t="str">
        <f t="shared" si="2"/>
        <v> Mario J.</v>
      </c>
    </row>
    <row r="681" ht="15.75" customHeight="1">
      <c r="A681" s="5" t="s">
        <v>1361</v>
      </c>
      <c r="B681" s="5" t="s">
        <v>1362</v>
      </c>
      <c r="C681" s="5" t="str">
        <f t="shared" si="1"/>
        <v>Battaglino</v>
      </c>
      <c r="D681" s="5" t="str">
        <f t="shared" si="2"/>
        <v> Peter</v>
      </c>
    </row>
    <row r="682" ht="15.75" customHeight="1">
      <c r="A682" s="5" t="s">
        <v>1363</v>
      </c>
      <c r="B682" s="5" t="s">
        <v>1364</v>
      </c>
      <c r="C682" s="5" t="str">
        <f t="shared" si="1"/>
        <v>Pena</v>
      </c>
      <c r="D682" s="5" t="str">
        <f t="shared" si="2"/>
        <v> Carolina</v>
      </c>
    </row>
    <row r="683" ht="15.75" customHeight="1">
      <c r="A683" s="5" t="s">
        <v>1365</v>
      </c>
      <c r="B683" s="5" t="s">
        <v>1366</v>
      </c>
      <c r="C683" s="5" t="str">
        <f t="shared" si="1"/>
        <v>Thomason</v>
      </c>
      <c r="D683" s="5" t="str">
        <f t="shared" si="2"/>
        <v> Jenny K.</v>
      </c>
    </row>
    <row r="684" ht="15.75" customHeight="1">
      <c r="A684" s="5" t="s">
        <v>1367</v>
      </c>
      <c r="B684" s="5" t="s">
        <v>1368</v>
      </c>
      <c r="C684" s="5" t="str">
        <f t="shared" si="1"/>
        <v>Hancox</v>
      </c>
      <c r="D684" s="5" t="str">
        <f t="shared" si="2"/>
        <v> Jessica</v>
      </c>
    </row>
    <row r="685" ht="15.75" customHeight="1">
      <c r="A685" s="5" t="s">
        <v>1369</v>
      </c>
      <c r="B685" s="5" t="s">
        <v>1370</v>
      </c>
      <c r="C685" s="5" t="str">
        <f t="shared" si="1"/>
        <v>Canarecci</v>
      </c>
      <c r="D685" s="5" t="str">
        <f t="shared" si="2"/>
        <v> Kimberly D</v>
      </c>
    </row>
    <row r="686" ht="15.75" customHeight="1">
      <c r="A686" s="5" t="s">
        <v>1371</v>
      </c>
      <c r="B686" s="5" t="s">
        <v>1372</v>
      </c>
      <c r="C686" s="5" t="str">
        <f t="shared" si="1"/>
        <v>Toupin</v>
      </c>
      <c r="D686" s="5" t="str">
        <f t="shared" si="2"/>
        <v> Marc-Olivier</v>
      </c>
    </row>
    <row r="687" ht="15.75" customHeight="1">
      <c r="A687" s="5" t="s">
        <v>1373</v>
      </c>
      <c r="B687" s="5" t="s">
        <v>1374</v>
      </c>
      <c r="C687" s="5" t="str">
        <f t="shared" si="1"/>
        <v>Mulley</v>
      </c>
      <c r="D687" s="5" t="str">
        <f t="shared" si="2"/>
        <v> Russell J</v>
      </c>
    </row>
    <row r="688" ht="15.75" customHeight="1">
      <c r="A688" s="5" t="s">
        <v>1375</v>
      </c>
      <c r="B688" s="5" t="s">
        <v>1376</v>
      </c>
      <c r="C688" s="5" t="str">
        <f t="shared" si="1"/>
        <v>Parry</v>
      </c>
      <c r="D688" s="5" t="str">
        <f t="shared" si="2"/>
        <v> Karine</v>
      </c>
    </row>
    <row r="689" ht="15.75" customHeight="1">
      <c r="A689" s="5" t="s">
        <v>1377</v>
      </c>
      <c r="B689" s="5" t="s">
        <v>1378</v>
      </c>
      <c r="C689" s="5" t="str">
        <f t="shared" si="1"/>
        <v>Maso</v>
      </c>
      <c r="D689" s="5" t="str">
        <f t="shared" si="2"/>
        <v> Cheryl</v>
      </c>
    </row>
    <row r="690" ht="15.75" customHeight="1">
      <c r="A690" s="5" t="s">
        <v>1379</v>
      </c>
      <c r="B690" s="5" t="s">
        <v>1380</v>
      </c>
      <c r="C690" s="5" t="str">
        <f t="shared" si="1"/>
        <v>Thompson</v>
      </c>
      <c r="D690" s="5" t="str">
        <f t="shared" si="2"/>
        <v> Allison M.</v>
      </c>
    </row>
    <row r="691" ht="15.75" customHeight="1">
      <c r="A691" s="5" t="s">
        <v>1381</v>
      </c>
      <c r="B691" s="5" t="s">
        <v>1382</v>
      </c>
      <c r="C691" s="5" t="str">
        <f t="shared" si="1"/>
        <v>Nelson</v>
      </c>
      <c r="D691" s="5" t="str">
        <f t="shared" si="2"/>
        <v> Adriana</v>
      </c>
    </row>
    <row r="692" ht="15.75" customHeight="1">
      <c r="A692" s="5" t="s">
        <v>1383</v>
      </c>
      <c r="B692" s="5" t="s">
        <v>1384</v>
      </c>
      <c r="C692" s="5" t="str">
        <f t="shared" si="1"/>
        <v>Forte</v>
      </c>
      <c r="D692" s="5" t="str">
        <f t="shared" si="2"/>
        <v> Miranda J</v>
      </c>
    </row>
    <row r="693" ht="15.75" customHeight="1">
      <c r="A693" s="5" t="s">
        <v>1385</v>
      </c>
      <c r="B693" s="5" t="s">
        <v>1386</v>
      </c>
      <c r="C693" s="5" t="str">
        <f t="shared" si="1"/>
        <v>Coron</v>
      </c>
      <c r="D693" s="5" t="str">
        <f t="shared" si="2"/>
        <v> Roberto</v>
      </c>
    </row>
    <row r="694" ht="15.75" customHeight="1">
      <c r="A694" s="5" t="s">
        <v>1387</v>
      </c>
      <c r="B694" s="5" t="s">
        <v>1388</v>
      </c>
      <c r="C694" s="5" t="str">
        <f t="shared" si="1"/>
        <v>McCollum</v>
      </c>
      <c r="D694" s="5" t="str">
        <f t="shared" si="2"/>
        <v> Rebecca B.</v>
      </c>
    </row>
    <row r="695" ht="15.75" customHeight="1">
      <c r="A695" s="5" t="s">
        <v>1389</v>
      </c>
      <c r="B695" s="5" t="s">
        <v>1390</v>
      </c>
      <c r="C695" s="5" t="str">
        <f t="shared" si="1"/>
        <v>Hevner</v>
      </c>
      <c r="D695" s="5" t="str">
        <f t="shared" si="2"/>
        <v> Tiffany</v>
      </c>
    </row>
    <row r="696" ht="15.75" customHeight="1">
      <c r="A696" s="5" t="s">
        <v>1391</v>
      </c>
      <c r="B696" s="5" t="s">
        <v>1392</v>
      </c>
      <c r="C696" s="5" t="str">
        <f t="shared" si="1"/>
        <v>Looi</v>
      </c>
      <c r="D696" s="5" t="str">
        <f t="shared" si="2"/>
        <v> Alexander</v>
      </c>
    </row>
    <row r="697" ht="15.75" customHeight="1">
      <c r="A697" s="5" t="s">
        <v>1393</v>
      </c>
      <c r="B697" s="5" t="s">
        <v>1394</v>
      </c>
      <c r="C697" s="5" t="str">
        <f t="shared" si="1"/>
        <v>Power</v>
      </c>
      <c r="D697" s="5" t="str">
        <f t="shared" si="2"/>
        <v> Rich M</v>
      </c>
    </row>
    <row r="698" ht="15.75" customHeight="1">
      <c r="A698" s="5" t="s">
        <v>1395</v>
      </c>
      <c r="B698" s="5" t="s">
        <v>1396</v>
      </c>
      <c r="C698" s="5" t="str">
        <f t="shared" si="1"/>
        <v>Routon</v>
      </c>
      <c r="D698" s="5" t="str">
        <f t="shared" si="2"/>
        <v> Aaron C</v>
      </c>
    </row>
    <row r="699" ht="15.75" customHeight="1">
      <c r="A699" s="5" t="s">
        <v>1397</v>
      </c>
      <c r="B699" s="5" t="s">
        <v>1398</v>
      </c>
      <c r="C699" s="5" t="str">
        <f t="shared" si="1"/>
        <v>Dochelli</v>
      </c>
      <c r="D699" s="5" t="str">
        <f t="shared" si="2"/>
        <v> Kate</v>
      </c>
    </row>
    <row r="700" ht="15.75" customHeight="1">
      <c r="A700" s="5" t="s">
        <v>1399</v>
      </c>
      <c r="B700" s="5" t="s">
        <v>1400</v>
      </c>
      <c r="C700" s="5" t="str">
        <f t="shared" si="1"/>
        <v>Gillespie</v>
      </c>
      <c r="D700" s="5" t="str">
        <f t="shared" si="2"/>
        <v> Maria M</v>
      </c>
    </row>
    <row r="701" ht="15.75" customHeight="1">
      <c r="A701" s="5" t="s">
        <v>1401</v>
      </c>
      <c r="B701" s="5" t="s">
        <v>1402</v>
      </c>
      <c r="C701" s="5" t="str">
        <f t="shared" si="1"/>
        <v>Oskvig</v>
      </c>
      <c r="D701" s="5" t="str">
        <f t="shared" si="2"/>
        <v> Daven W</v>
      </c>
    </row>
    <row r="702" ht="15.75" customHeight="1">
      <c r="A702" s="5" t="s">
        <v>1403</v>
      </c>
      <c r="B702" s="5" t="s">
        <v>1404</v>
      </c>
      <c r="C702" s="5" t="str">
        <f t="shared" si="1"/>
        <v>Holland-Stergar</v>
      </c>
      <c r="D702" s="5" t="str">
        <f t="shared" si="2"/>
        <v> Brianne</v>
      </c>
    </row>
    <row r="703" ht="15.75" customHeight="1">
      <c r="A703" s="5" t="s">
        <v>1405</v>
      </c>
      <c r="B703" s="5" t="s">
        <v>1406</v>
      </c>
      <c r="C703" s="5" t="str">
        <f t="shared" si="1"/>
        <v>Arai</v>
      </c>
      <c r="D703" s="5" t="str">
        <f t="shared" si="2"/>
        <v> Hiroki</v>
      </c>
    </row>
    <row r="704" ht="15.75" customHeight="1">
      <c r="A704" s="5" t="s">
        <v>1407</v>
      </c>
      <c r="B704" s="5" t="s">
        <v>1408</v>
      </c>
      <c r="C704" s="5" t="str">
        <f t="shared" si="1"/>
        <v>Olausson</v>
      </c>
      <c r="D704" s="5" t="str">
        <f t="shared" si="2"/>
        <v> Anders</v>
      </c>
    </row>
    <row r="705" ht="15.75" customHeight="1">
      <c r="A705" s="5" t="s">
        <v>1409</v>
      </c>
      <c r="B705" s="5" t="s">
        <v>1410</v>
      </c>
      <c r="C705" s="5" t="str">
        <f t="shared" si="1"/>
        <v>Wagner</v>
      </c>
      <c r="D705" s="5" t="str">
        <f t="shared" si="2"/>
        <v> Danielle</v>
      </c>
    </row>
    <row r="706" ht="15.75" customHeight="1">
      <c r="A706" s="5" t="s">
        <v>1411</v>
      </c>
      <c r="B706" s="5" t="s">
        <v>1412</v>
      </c>
      <c r="C706" s="5" t="str">
        <f t="shared" si="1"/>
        <v>Delong</v>
      </c>
      <c r="D706" s="5" t="str">
        <f t="shared" si="2"/>
        <v> Candace N</v>
      </c>
    </row>
    <row r="707" ht="15.75" customHeight="1">
      <c r="A707" s="5" t="s">
        <v>1413</v>
      </c>
      <c r="B707" s="5" t="s">
        <v>1414</v>
      </c>
      <c r="C707" s="5" t="str">
        <f t="shared" si="1"/>
        <v>Mehech</v>
      </c>
      <c r="D707" s="5" t="str">
        <f t="shared" si="2"/>
        <v> Bruno F.</v>
      </c>
    </row>
    <row r="708" ht="15.75" customHeight="1">
      <c r="A708" s="5" t="s">
        <v>1415</v>
      </c>
      <c r="B708" s="5" t="s">
        <v>1416</v>
      </c>
      <c r="C708" s="5" t="str">
        <f t="shared" si="1"/>
        <v>Machiela</v>
      </c>
      <c r="D708" s="5" t="str">
        <f t="shared" si="2"/>
        <v> Emily</v>
      </c>
    </row>
    <row r="709" ht="15.75" customHeight="1">
      <c r="A709" s="5" t="s">
        <v>1417</v>
      </c>
      <c r="B709" s="5" t="s">
        <v>1418</v>
      </c>
      <c r="C709" s="5" t="str">
        <f t="shared" si="1"/>
        <v>Young</v>
      </c>
      <c r="D709" s="5" t="str">
        <f t="shared" si="2"/>
        <v> Katie</v>
      </c>
    </row>
    <row r="710" ht="15.75" customHeight="1">
      <c r="A710" s="5" t="s">
        <v>1419</v>
      </c>
      <c r="B710" s="5" t="s">
        <v>1420</v>
      </c>
      <c r="C710" s="5" t="str">
        <f t="shared" si="1"/>
        <v>Dupere</v>
      </c>
      <c r="D710" s="5" t="str">
        <f t="shared" si="2"/>
        <v> Sally</v>
      </c>
    </row>
    <row r="711" ht="15.75" customHeight="1">
      <c r="A711" s="5" t="s">
        <v>1421</v>
      </c>
      <c r="B711" s="5" t="s">
        <v>1422</v>
      </c>
      <c r="C711" s="5" t="str">
        <f t="shared" si="1"/>
        <v>Iandolo</v>
      </c>
      <c r="D711" s="5" t="str">
        <f t="shared" si="2"/>
        <v> Meaghan J</v>
      </c>
    </row>
    <row r="712" ht="15.75" customHeight="1">
      <c r="A712" s="5" t="s">
        <v>1423</v>
      </c>
      <c r="B712" s="5" t="s">
        <v>1424</v>
      </c>
      <c r="C712" s="5" t="str">
        <f t="shared" si="1"/>
        <v>Ito</v>
      </c>
      <c r="D712" s="5" t="str">
        <f t="shared" si="2"/>
        <v> Rina</v>
      </c>
    </row>
    <row r="713" ht="15.75" customHeight="1">
      <c r="A713" s="5" t="s">
        <v>1425</v>
      </c>
      <c r="B713" s="5" t="s">
        <v>1426</v>
      </c>
      <c r="C713" s="5" t="str">
        <f t="shared" si="1"/>
        <v>Barry</v>
      </c>
      <c r="D713" s="5" t="str">
        <f t="shared" si="2"/>
        <v> Kristin P.</v>
      </c>
    </row>
    <row r="714" ht="15.75" customHeight="1">
      <c r="A714" s="5" t="s">
        <v>1427</v>
      </c>
      <c r="B714" s="5" t="s">
        <v>1428</v>
      </c>
      <c r="C714" s="5" t="str">
        <f t="shared" si="1"/>
        <v>Boyce</v>
      </c>
      <c r="D714" s="5" t="str">
        <f t="shared" si="2"/>
        <v> Albert</v>
      </c>
    </row>
    <row r="715" ht="15.75" customHeight="1">
      <c r="A715" s="5" t="s">
        <v>1429</v>
      </c>
      <c r="B715" s="5" t="s">
        <v>1430</v>
      </c>
      <c r="C715" s="5" t="str">
        <f t="shared" si="1"/>
        <v>Lin</v>
      </c>
      <c r="D715" s="5" t="str">
        <f t="shared" si="2"/>
        <v> Ashley</v>
      </c>
    </row>
    <row r="716" ht="15.75" customHeight="1">
      <c r="A716" s="5" t="s">
        <v>1431</v>
      </c>
      <c r="B716" s="5" t="s">
        <v>1432</v>
      </c>
      <c r="C716" s="5" t="str">
        <f t="shared" si="1"/>
        <v>Smith</v>
      </c>
      <c r="D716" s="5" t="str">
        <f t="shared" si="2"/>
        <v> Shannon L</v>
      </c>
    </row>
    <row r="717" ht="15.75" customHeight="1">
      <c r="A717" s="5" t="s">
        <v>1433</v>
      </c>
      <c r="B717" s="5" t="s">
        <v>1434</v>
      </c>
      <c r="C717" s="5" t="str">
        <f t="shared" si="1"/>
        <v>Nalven</v>
      </c>
      <c r="D717" s="5" t="str">
        <f t="shared" si="2"/>
        <v> Amy B</v>
      </c>
    </row>
    <row r="718" ht="15.75" customHeight="1">
      <c r="A718" s="5" t="s">
        <v>1435</v>
      </c>
      <c r="B718" s="5" t="s">
        <v>1436</v>
      </c>
      <c r="C718" s="5" t="str">
        <f t="shared" si="1"/>
        <v>Bourgeois</v>
      </c>
      <c r="D718" s="5" t="str">
        <f t="shared" si="2"/>
        <v> A Danielle</v>
      </c>
    </row>
    <row r="719" ht="15.75" customHeight="1">
      <c r="A719" s="5" t="s">
        <v>1437</v>
      </c>
      <c r="B719" s="5" t="s">
        <v>1438</v>
      </c>
      <c r="C719" s="5" t="str">
        <f t="shared" si="1"/>
        <v>Orloff</v>
      </c>
      <c r="D719" s="5" t="str">
        <f t="shared" si="2"/>
        <v> Conrad F</v>
      </c>
    </row>
    <row r="720" ht="15.75" customHeight="1">
      <c r="A720" s="5" t="s">
        <v>1439</v>
      </c>
      <c r="B720" s="5" t="s">
        <v>1440</v>
      </c>
      <c r="C720" s="5" t="str">
        <f t="shared" si="1"/>
        <v>Ramirez</v>
      </c>
      <c r="D720" s="5" t="str">
        <f t="shared" si="2"/>
        <v> Josh</v>
      </c>
    </row>
    <row r="721" ht="15.75" customHeight="1">
      <c r="A721" s="5" t="s">
        <v>1441</v>
      </c>
      <c r="B721" s="5" t="s">
        <v>1442</v>
      </c>
      <c r="C721" s="5" t="str">
        <f t="shared" si="1"/>
        <v>Fouquet</v>
      </c>
      <c r="D721" s="5" t="str">
        <f t="shared" si="2"/>
        <v> Maxime</v>
      </c>
    </row>
    <row r="722" ht="15.75" customHeight="1">
      <c r="A722" s="5" t="s">
        <v>1443</v>
      </c>
      <c r="B722" s="5" t="s">
        <v>1444</v>
      </c>
      <c r="C722" s="5" t="str">
        <f t="shared" si="1"/>
        <v>McPhillips</v>
      </c>
      <c r="D722" s="5" t="str">
        <f t="shared" si="2"/>
        <v> Natalie</v>
      </c>
    </row>
    <row r="723" ht="15.75" customHeight="1">
      <c r="A723" s="5" t="s">
        <v>1445</v>
      </c>
      <c r="B723" s="5" t="s">
        <v>1446</v>
      </c>
      <c r="C723" s="5" t="str">
        <f t="shared" si="1"/>
        <v>Burgin</v>
      </c>
      <c r="D723" s="5" t="str">
        <f t="shared" si="2"/>
        <v> Melissa</v>
      </c>
    </row>
    <row r="724" ht="15.75" customHeight="1">
      <c r="A724" s="5" t="s">
        <v>1447</v>
      </c>
      <c r="B724" s="5" t="s">
        <v>1448</v>
      </c>
      <c r="C724" s="5" t="str">
        <f t="shared" si="1"/>
        <v>Roberts</v>
      </c>
      <c r="D724" s="5" t="str">
        <f t="shared" si="2"/>
        <v> Laura P.</v>
      </c>
    </row>
    <row r="725" ht="15.75" customHeight="1">
      <c r="A725" s="5" t="s">
        <v>1449</v>
      </c>
      <c r="B725" s="5" t="s">
        <v>1450</v>
      </c>
      <c r="C725" s="5" t="str">
        <f t="shared" si="1"/>
        <v>Nemec</v>
      </c>
      <c r="D725" s="5" t="str">
        <f t="shared" si="2"/>
        <v> Lisa</v>
      </c>
    </row>
    <row r="726" ht="15.75" customHeight="1">
      <c r="A726" s="5" t="s">
        <v>1451</v>
      </c>
      <c r="B726" s="5" t="s">
        <v>1452</v>
      </c>
      <c r="C726" s="5" t="str">
        <f t="shared" si="1"/>
        <v>Appman</v>
      </c>
      <c r="D726" s="5" t="str">
        <f t="shared" si="2"/>
        <v> William D. Jr.</v>
      </c>
    </row>
    <row r="727" ht="15.75" customHeight="1">
      <c r="A727" s="5" t="s">
        <v>1453</v>
      </c>
      <c r="B727" s="5" t="s">
        <v>1454</v>
      </c>
      <c r="C727" s="5" t="str">
        <f t="shared" si="1"/>
        <v>Driscoll</v>
      </c>
      <c r="D727" s="5" t="str">
        <f t="shared" si="2"/>
        <v> James</v>
      </c>
    </row>
    <row r="728" ht="15.75" customHeight="1">
      <c r="A728" s="5" t="s">
        <v>1455</v>
      </c>
      <c r="B728" s="5" t="s">
        <v>1456</v>
      </c>
      <c r="C728" s="5" t="str">
        <f t="shared" si="1"/>
        <v>Glotzbach</v>
      </c>
      <c r="D728" s="5" t="str">
        <f t="shared" si="2"/>
        <v> John</v>
      </c>
    </row>
    <row r="729" ht="15.75" customHeight="1">
      <c r="A729" s="5" t="s">
        <v>1457</v>
      </c>
      <c r="B729" s="5" t="s">
        <v>1458</v>
      </c>
      <c r="C729" s="5" t="str">
        <f t="shared" si="1"/>
        <v>Tenforde</v>
      </c>
      <c r="D729" s="5" t="str">
        <f t="shared" si="2"/>
        <v> Adam S</v>
      </c>
    </row>
    <row r="730" ht="15.75" customHeight="1">
      <c r="A730" s="5" t="s">
        <v>1459</v>
      </c>
      <c r="B730" s="5" t="s">
        <v>1460</v>
      </c>
      <c r="C730" s="5" t="str">
        <f t="shared" si="1"/>
        <v>Ramirez</v>
      </c>
      <c r="D730" s="5" t="str">
        <f t="shared" si="2"/>
        <v> Armando</v>
      </c>
    </row>
    <row r="731" ht="15.75" customHeight="1">
      <c r="A731" s="5" t="s">
        <v>1461</v>
      </c>
      <c r="B731" s="5" t="s">
        <v>1462</v>
      </c>
      <c r="C731" s="5" t="str">
        <f t="shared" si="1"/>
        <v>Stanle</v>
      </c>
      <c r="D731" s="5" t="str">
        <f t="shared" si="2"/>
        <v> Dana</v>
      </c>
    </row>
    <row r="732" ht="15.75" customHeight="1">
      <c r="A732" s="5" t="s">
        <v>1463</v>
      </c>
      <c r="B732" s="5" t="s">
        <v>1464</v>
      </c>
      <c r="C732" s="5" t="str">
        <f t="shared" si="1"/>
        <v>Vandongen</v>
      </c>
      <c r="D732" s="5" t="str">
        <f t="shared" si="2"/>
        <v> Jennifer L</v>
      </c>
    </row>
    <row r="733" ht="15.75" customHeight="1">
      <c r="A733" s="5" t="s">
        <v>1465</v>
      </c>
      <c r="B733" s="5" t="s">
        <v>1466</v>
      </c>
      <c r="C733" s="5" t="str">
        <f t="shared" si="1"/>
        <v>Liebald</v>
      </c>
      <c r="D733" s="5" t="str">
        <f t="shared" si="2"/>
        <v> Benjamin</v>
      </c>
    </row>
    <row r="734" ht="15.75" customHeight="1">
      <c r="A734" s="5" t="s">
        <v>1467</v>
      </c>
      <c r="B734" s="5" t="s">
        <v>1468</v>
      </c>
      <c r="C734" s="5" t="str">
        <f t="shared" si="1"/>
        <v>Holte</v>
      </c>
      <c r="D734" s="5" t="str">
        <f t="shared" si="2"/>
        <v> Tanya</v>
      </c>
    </row>
    <row r="735" ht="15.75" customHeight="1">
      <c r="A735" s="5" t="s">
        <v>1469</v>
      </c>
      <c r="B735" s="5" t="s">
        <v>1470</v>
      </c>
      <c r="C735" s="5" t="str">
        <f t="shared" si="1"/>
        <v>Johnson</v>
      </c>
      <c r="D735" s="5" t="str">
        <f t="shared" si="2"/>
        <v> Tracy</v>
      </c>
    </row>
    <row r="736" ht="15.75" customHeight="1">
      <c r="A736" s="5" t="s">
        <v>1471</v>
      </c>
      <c r="B736" s="5" t="s">
        <v>1472</v>
      </c>
      <c r="C736" s="5" t="str">
        <f t="shared" si="1"/>
        <v>Bartlett</v>
      </c>
      <c r="D736" s="5" t="str">
        <f t="shared" si="2"/>
        <v> Emily S</v>
      </c>
    </row>
    <row r="737" ht="15.75" customHeight="1">
      <c r="A737" s="5" t="s">
        <v>1473</v>
      </c>
      <c r="B737" s="5" t="s">
        <v>1474</v>
      </c>
      <c r="C737" s="5" t="str">
        <f t="shared" si="1"/>
        <v>Bergman</v>
      </c>
      <c r="D737" s="5" t="str">
        <f t="shared" si="2"/>
        <v> Kelly R</v>
      </c>
    </row>
    <row r="738" ht="15.75" customHeight="1">
      <c r="A738" s="5" t="s">
        <v>1475</v>
      </c>
      <c r="B738" s="5" t="s">
        <v>1476</v>
      </c>
      <c r="C738" s="5" t="str">
        <f t="shared" si="1"/>
        <v>Aitken</v>
      </c>
      <c r="D738" s="5" t="str">
        <f t="shared" si="2"/>
        <v> Kyle</v>
      </c>
    </row>
    <row r="739" ht="15.75" customHeight="1">
      <c r="A739" s="5" t="s">
        <v>1477</v>
      </c>
      <c r="B739" s="5" t="s">
        <v>1478</v>
      </c>
      <c r="C739" s="5" t="str">
        <f t="shared" si="1"/>
        <v>Berger</v>
      </c>
      <c r="D739" s="5" t="str">
        <f t="shared" si="2"/>
        <v> Bruce A Jr.</v>
      </c>
    </row>
    <row r="740" ht="15.75" customHeight="1">
      <c r="A740" s="5" t="s">
        <v>1479</v>
      </c>
      <c r="B740" s="5" t="s">
        <v>1480</v>
      </c>
      <c r="C740" s="5" t="str">
        <f t="shared" si="1"/>
        <v>Richey</v>
      </c>
      <c r="D740" s="5" t="str">
        <f t="shared" si="2"/>
        <v> Cary J</v>
      </c>
    </row>
    <row r="741" ht="15.75" customHeight="1">
      <c r="A741" s="5" t="s">
        <v>1481</v>
      </c>
      <c r="B741" s="5" t="s">
        <v>1482</v>
      </c>
      <c r="C741" s="5" t="str">
        <f t="shared" si="1"/>
        <v>Trotter</v>
      </c>
      <c r="D741" s="5" t="str">
        <f t="shared" si="2"/>
        <v> Jill M</v>
      </c>
    </row>
    <row r="742" ht="15.75" customHeight="1">
      <c r="A742" s="5" t="s">
        <v>1483</v>
      </c>
      <c r="B742" s="5" t="s">
        <v>1484</v>
      </c>
      <c r="C742" s="5" t="str">
        <f t="shared" si="1"/>
        <v>Chavez</v>
      </c>
      <c r="D742" s="5" t="str">
        <f t="shared" si="2"/>
        <v> Chris</v>
      </c>
    </row>
    <row r="743" ht="15.75" customHeight="1">
      <c r="A743" s="5" t="s">
        <v>1485</v>
      </c>
      <c r="B743" s="5" t="s">
        <v>1486</v>
      </c>
      <c r="C743" s="5" t="str">
        <f t="shared" si="1"/>
        <v>Orifice</v>
      </c>
      <c r="D743" s="5" t="str">
        <f t="shared" si="2"/>
        <v> Michael E.</v>
      </c>
    </row>
    <row r="744" ht="15.75" customHeight="1">
      <c r="A744" s="5" t="s">
        <v>1487</v>
      </c>
      <c r="B744" s="5" t="s">
        <v>1488</v>
      </c>
      <c r="C744" s="5" t="str">
        <f t="shared" si="1"/>
        <v>Farkash</v>
      </c>
      <c r="D744" s="5" t="str">
        <f t="shared" si="2"/>
        <v> Lauren</v>
      </c>
    </row>
    <row r="745" ht="15.75" customHeight="1">
      <c r="A745" s="5" t="s">
        <v>1489</v>
      </c>
      <c r="B745" s="5" t="s">
        <v>1490</v>
      </c>
      <c r="C745" s="5" t="str">
        <f t="shared" si="1"/>
        <v>Hribar</v>
      </c>
      <c r="D745" s="5" t="str">
        <f t="shared" si="2"/>
        <v> Kathryn E</v>
      </c>
    </row>
    <row r="746" ht="15.75" customHeight="1">
      <c r="A746" s="5" t="s">
        <v>1491</v>
      </c>
      <c r="B746" s="5" t="s">
        <v>1492</v>
      </c>
      <c r="C746" s="5" t="str">
        <f t="shared" si="1"/>
        <v>Crawford</v>
      </c>
      <c r="D746" s="5" t="str">
        <f t="shared" si="2"/>
        <v> Polly</v>
      </c>
    </row>
    <row r="747" ht="15.75" customHeight="1">
      <c r="A747" s="5" t="s">
        <v>1493</v>
      </c>
      <c r="B747" s="5" t="s">
        <v>1494</v>
      </c>
      <c r="C747" s="5" t="str">
        <f t="shared" si="1"/>
        <v>Sittlington</v>
      </c>
      <c r="D747" s="5" t="str">
        <f t="shared" si="2"/>
        <v> Mark H.</v>
      </c>
    </row>
    <row r="748" ht="15.75" customHeight="1">
      <c r="A748" s="5" t="s">
        <v>1495</v>
      </c>
      <c r="B748" s="5" t="s">
        <v>1496</v>
      </c>
      <c r="C748" s="5" t="str">
        <f t="shared" si="1"/>
        <v>Silbert</v>
      </c>
      <c r="D748" s="5" t="str">
        <f t="shared" si="2"/>
        <v> Jessie M.</v>
      </c>
    </row>
    <row r="749" ht="15.75" customHeight="1">
      <c r="A749" s="5" t="s">
        <v>1497</v>
      </c>
      <c r="B749" s="5" t="s">
        <v>1498</v>
      </c>
      <c r="C749" s="5" t="str">
        <f t="shared" si="1"/>
        <v>Carrique</v>
      </c>
      <c r="D749" s="5" t="str">
        <f t="shared" si="2"/>
        <v> Chris</v>
      </c>
    </row>
    <row r="750" ht="15.75" customHeight="1">
      <c r="A750" s="5" t="s">
        <v>1499</v>
      </c>
      <c r="B750" s="5" t="s">
        <v>1500</v>
      </c>
      <c r="C750" s="5" t="str">
        <f t="shared" si="1"/>
        <v>Kosla</v>
      </c>
      <c r="D750" s="5" t="str">
        <f t="shared" si="2"/>
        <v> Daniel</v>
      </c>
    </row>
    <row r="751" ht="15.75" customHeight="1">
      <c r="A751" s="5" t="s">
        <v>1501</v>
      </c>
      <c r="B751" s="5" t="s">
        <v>1502</v>
      </c>
      <c r="C751" s="5" t="str">
        <f t="shared" si="1"/>
        <v>Parker</v>
      </c>
      <c r="D751" s="5" t="str">
        <f t="shared" si="2"/>
        <v> Megan</v>
      </c>
    </row>
    <row r="752" ht="15.75" customHeight="1">
      <c r="A752" s="5" t="s">
        <v>1503</v>
      </c>
      <c r="B752" s="5" t="s">
        <v>1504</v>
      </c>
      <c r="C752" s="5" t="str">
        <f t="shared" si="1"/>
        <v>Horton</v>
      </c>
      <c r="D752" s="5" t="str">
        <f t="shared" si="2"/>
        <v> Kevin</v>
      </c>
    </row>
    <row r="753" ht="15.75" customHeight="1">
      <c r="A753" s="5" t="s">
        <v>1505</v>
      </c>
      <c r="B753" s="5" t="s">
        <v>1506</v>
      </c>
      <c r="C753" s="5" t="str">
        <f t="shared" si="1"/>
        <v>Boller</v>
      </c>
      <c r="D753" s="5" t="str">
        <f t="shared" si="2"/>
        <v> Caroline S.</v>
      </c>
    </row>
    <row r="754" ht="15.75" customHeight="1">
      <c r="A754" s="5" t="s">
        <v>1507</v>
      </c>
      <c r="B754" s="5" t="s">
        <v>1508</v>
      </c>
      <c r="C754" s="5" t="str">
        <f t="shared" si="1"/>
        <v>Olaru</v>
      </c>
      <c r="D754" s="5" t="str">
        <f t="shared" si="2"/>
        <v> Nuta</v>
      </c>
    </row>
    <row r="755" ht="15.75" customHeight="1">
      <c r="A755" s="5" t="s">
        <v>1509</v>
      </c>
      <c r="B755" s="5" t="s">
        <v>1510</v>
      </c>
      <c r="C755" s="5" t="str">
        <f t="shared" si="1"/>
        <v>Prescott</v>
      </c>
      <c r="D755" s="5" t="str">
        <f t="shared" si="2"/>
        <v> Margie</v>
      </c>
    </row>
    <row r="756" ht="15.75" customHeight="1">
      <c r="A756" s="5" t="s">
        <v>1511</v>
      </c>
      <c r="B756" s="5" t="s">
        <v>1512</v>
      </c>
      <c r="C756" s="5" t="str">
        <f t="shared" si="1"/>
        <v>Hines</v>
      </c>
      <c r="D756" s="5" t="str">
        <f t="shared" si="2"/>
        <v> Heidi</v>
      </c>
    </row>
    <row r="757" ht="15.75" customHeight="1">
      <c r="A757" s="5" t="s">
        <v>1513</v>
      </c>
      <c r="B757" s="5" t="s">
        <v>1514</v>
      </c>
      <c r="C757" s="5" t="str">
        <f t="shared" si="1"/>
        <v>Blanton</v>
      </c>
      <c r="D757" s="5" t="str">
        <f t="shared" si="2"/>
        <v> Diego J</v>
      </c>
    </row>
    <row r="758" ht="15.75" customHeight="1">
      <c r="A758" s="5" t="s">
        <v>1515</v>
      </c>
      <c r="B758" s="5" t="s">
        <v>1516</v>
      </c>
      <c r="C758" s="5" t="str">
        <f t="shared" si="1"/>
        <v>Bustamante</v>
      </c>
      <c r="D758" s="5" t="str">
        <f t="shared" si="2"/>
        <v> Enrique M Sr.</v>
      </c>
    </row>
    <row r="759" ht="15.75" customHeight="1">
      <c r="A759" s="5" t="s">
        <v>1517</v>
      </c>
      <c r="B759" s="5" t="s">
        <v>1518</v>
      </c>
      <c r="C759" s="5" t="str">
        <f t="shared" si="1"/>
        <v>McCann</v>
      </c>
      <c r="D759" s="5" t="str">
        <f t="shared" si="2"/>
        <v> Greg</v>
      </c>
    </row>
    <row r="760" ht="15.75" customHeight="1">
      <c r="A760" s="5" t="s">
        <v>1519</v>
      </c>
      <c r="B760" s="5" t="s">
        <v>1520</v>
      </c>
      <c r="C760" s="5" t="str">
        <f t="shared" si="1"/>
        <v>Schmole</v>
      </c>
      <c r="D760" s="5" t="str">
        <f t="shared" si="2"/>
        <v> Filip</v>
      </c>
    </row>
    <row r="761" ht="15.75" customHeight="1">
      <c r="A761" s="5" t="s">
        <v>1521</v>
      </c>
      <c r="B761" s="5" t="s">
        <v>1522</v>
      </c>
      <c r="C761" s="5" t="str">
        <f t="shared" si="1"/>
        <v>Barber</v>
      </c>
      <c r="D761" s="5" t="str">
        <f t="shared" si="2"/>
        <v> Rosemary E.</v>
      </c>
    </row>
    <row r="762" ht="15.75" customHeight="1">
      <c r="A762" s="5" t="s">
        <v>1523</v>
      </c>
      <c r="B762" s="5" t="s">
        <v>1524</v>
      </c>
      <c r="C762" s="5" t="str">
        <f t="shared" si="1"/>
        <v>Reichmann</v>
      </c>
      <c r="D762" s="5" t="str">
        <f t="shared" si="2"/>
        <v> Lisa</v>
      </c>
    </row>
    <row r="763" ht="15.75" customHeight="1">
      <c r="A763" s="5" t="s">
        <v>1525</v>
      </c>
      <c r="B763" s="5" t="s">
        <v>1526</v>
      </c>
      <c r="C763" s="5" t="str">
        <f t="shared" si="1"/>
        <v>Cavatorta</v>
      </c>
      <c r="D763" s="5" t="str">
        <f t="shared" si="2"/>
        <v> Jason</v>
      </c>
    </row>
    <row r="764" ht="15.75" customHeight="1">
      <c r="A764" s="5" t="s">
        <v>1527</v>
      </c>
      <c r="B764" s="5" t="s">
        <v>1528</v>
      </c>
      <c r="C764" s="5" t="str">
        <f t="shared" si="1"/>
        <v>Yaeger</v>
      </c>
      <c r="D764" s="5" t="str">
        <f t="shared" si="2"/>
        <v> Courtney</v>
      </c>
    </row>
    <row r="765" ht="15.75" customHeight="1">
      <c r="A765" s="5" t="s">
        <v>1529</v>
      </c>
      <c r="B765" s="5" t="s">
        <v>1530</v>
      </c>
      <c r="C765" s="5" t="str">
        <f t="shared" si="1"/>
        <v>Hughes</v>
      </c>
      <c r="D765" s="5" t="str">
        <f t="shared" si="2"/>
        <v> Jennifer R.</v>
      </c>
    </row>
    <row r="766" ht="15.75" customHeight="1">
      <c r="A766" s="5" t="s">
        <v>1531</v>
      </c>
      <c r="B766" s="5" t="s">
        <v>1532</v>
      </c>
      <c r="C766" s="5" t="str">
        <f t="shared" si="1"/>
        <v>Donahue</v>
      </c>
      <c r="D766" s="5" t="str">
        <f t="shared" si="2"/>
        <v> Lauren E</v>
      </c>
    </row>
    <row r="767" ht="15.75" customHeight="1">
      <c r="A767" s="5" t="s">
        <v>1533</v>
      </c>
      <c r="B767" s="5" t="s">
        <v>1534</v>
      </c>
      <c r="C767" s="5" t="str">
        <f t="shared" si="1"/>
        <v>Greenwell</v>
      </c>
      <c r="D767" s="5" t="str">
        <f t="shared" si="2"/>
        <v> Ashley M.</v>
      </c>
    </row>
    <row r="768" ht="15.75" customHeight="1">
      <c r="A768" s="5" t="s">
        <v>1535</v>
      </c>
      <c r="B768" s="5" t="s">
        <v>1536</v>
      </c>
      <c r="C768" s="5" t="str">
        <f t="shared" si="1"/>
        <v>Steele</v>
      </c>
      <c r="D768" s="5" t="str">
        <f t="shared" si="2"/>
        <v> Alison R.</v>
      </c>
    </row>
    <row r="769" ht="15.75" customHeight="1">
      <c r="A769" s="5" t="s">
        <v>1537</v>
      </c>
      <c r="B769" s="5" t="s">
        <v>1538</v>
      </c>
      <c r="C769" s="5" t="str">
        <f t="shared" si="1"/>
        <v>Gunter</v>
      </c>
      <c r="D769" s="5" t="str">
        <f t="shared" si="2"/>
        <v> Madeleine</v>
      </c>
    </row>
    <row r="770" ht="15.75" customHeight="1">
      <c r="A770" s="5" t="s">
        <v>1539</v>
      </c>
      <c r="B770" s="5" t="s">
        <v>1540</v>
      </c>
      <c r="C770" s="5" t="str">
        <f t="shared" si="1"/>
        <v>McDonough</v>
      </c>
      <c r="D770" s="5" t="str">
        <f t="shared" si="2"/>
        <v> Stacey</v>
      </c>
    </row>
    <row r="771" ht="15.75" customHeight="1">
      <c r="A771" s="5" t="s">
        <v>1541</v>
      </c>
      <c r="B771" s="5" t="s">
        <v>1542</v>
      </c>
      <c r="C771" s="5" t="str">
        <f t="shared" si="1"/>
        <v>Sweetland</v>
      </c>
      <c r="D771" s="5" t="str">
        <f t="shared" si="2"/>
        <v> Kimberly</v>
      </c>
    </row>
    <row r="772" ht="15.75" customHeight="1">
      <c r="A772" s="5" t="s">
        <v>1543</v>
      </c>
      <c r="B772" s="5" t="s">
        <v>1544</v>
      </c>
      <c r="C772" s="5" t="str">
        <f t="shared" si="1"/>
        <v>Hammersmith</v>
      </c>
      <c r="D772" s="5" t="str">
        <f t="shared" si="2"/>
        <v> Matthew D</v>
      </c>
    </row>
    <row r="773" ht="15.75" customHeight="1">
      <c r="A773" s="5" t="s">
        <v>1545</v>
      </c>
      <c r="B773" s="5" t="s">
        <v>1546</v>
      </c>
      <c r="C773" s="5" t="str">
        <f t="shared" si="1"/>
        <v>French</v>
      </c>
      <c r="D773" s="5" t="str">
        <f t="shared" si="2"/>
        <v> Michael</v>
      </c>
    </row>
    <row r="774" ht="15.75" customHeight="1">
      <c r="A774" s="5" t="s">
        <v>1547</v>
      </c>
      <c r="B774" s="5" t="s">
        <v>1548</v>
      </c>
      <c r="C774" s="5" t="str">
        <f t="shared" si="1"/>
        <v>Garbe</v>
      </c>
      <c r="D774" s="5" t="str">
        <f t="shared" si="2"/>
        <v> Ben</v>
      </c>
    </row>
    <row r="775" ht="15.75" customHeight="1">
      <c r="A775" s="5" t="s">
        <v>1549</v>
      </c>
      <c r="B775" s="5" t="s">
        <v>1550</v>
      </c>
      <c r="C775" s="5" t="str">
        <f t="shared" si="1"/>
        <v>Duncan</v>
      </c>
      <c r="D775" s="5" t="str">
        <f t="shared" si="2"/>
        <v> Chris</v>
      </c>
    </row>
    <row r="776" ht="15.75" customHeight="1">
      <c r="A776" s="5" t="s">
        <v>1551</v>
      </c>
      <c r="B776" s="5" t="s">
        <v>1552</v>
      </c>
      <c r="C776" s="5" t="str">
        <f t="shared" si="1"/>
        <v>Wallace</v>
      </c>
      <c r="D776" s="5" t="str">
        <f t="shared" si="2"/>
        <v> Jeremy J</v>
      </c>
    </row>
    <row r="777" ht="15.75" customHeight="1">
      <c r="A777" s="5" t="s">
        <v>1553</v>
      </c>
      <c r="B777" s="5" t="s">
        <v>1554</v>
      </c>
      <c r="C777" s="5" t="str">
        <f t="shared" si="1"/>
        <v>Tillman</v>
      </c>
      <c r="D777" s="5" t="str">
        <f t="shared" si="2"/>
        <v> Amy L.</v>
      </c>
    </row>
    <row r="778" ht="15.75" customHeight="1">
      <c r="A778" s="5" t="s">
        <v>1555</v>
      </c>
      <c r="B778" s="5" t="s">
        <v>1556</v>
      </c>
      <c r="C778" s="5" t="str">
        <f t="shared" si="1"/>
        <v>Lee</v>
      </c>
      <c r="D778" s="5" t="str">
        <f t="shared" si="2"/>
        <v> Karen L.</v>
      </c>
    </row>
    <row r="779" ht="15.75" customHeight="1">
      <c r="A779" s="5" t="s">
        <v>1557</v>
      </c>
      <c r="B779" s="5" t="s">
        <v>1558</v>
      </c>
      <c r="C779" s="5" t="str">
        <f t="shared" si="1"/>
        <v>Taylor</v>
      </c>
      <c r="D779" s="5" t="str">
        <f t="shared" si="2"/>
        <v> Tennille</v>
      </c>
    </row>
    <row r="780" ht="15.75" customHeight="1">
      <c r="A780" s="5" t="s">
        <v>1559</v>
      </c>
      <c r="B780" s="5" t="s">
        <v>1560</v>
      </c>
      <c r="C780" s="5" t="str">
        <f t="shared" si="1"/>
        <v>McSween</v>
      </c>
      <c r="D780" s="5" t="str">
        <f t="shared" si="2"/>
        <v> Matt</v>
      </c>
    </row>
    <row r="781" ht="15.75" customHeight="1">
      <c r="A781" s="5" t="s">
        <v>1561</v>
      </c>
      <c r="B781" s="5" t="s">
        <v>1562</v>
      </c>
      <c r="C781" s="5" t="str">
        <f t="shared" si="1"/>
        <v>Schubert</v>
      </c>
      <c r="D781" s="5" t="str">
        <f t="shared" si="2"/>
        <v> Emily</v>
      </c>
    </row>
    <row r="782" ht="15.75" customHeight="1">
      <c r="A782" s="5" t="s">
        <v>1563</v>
      </c>
      <c r="B782" s="5" t="s">
        <v>1564</v>
      </c>
      <c r="C782" s="5" t="str">
        <f t="shared" si="1"/>
        <v>Lalanne</v>
      </c>
      <c r="D782" s="5" t="str">
        <f t="shared" si="2"/>
        <v> Justin E</v>
      </c>
    </row>
    <row r="783" ht="15.75" customHeight="1">
      <c r="A783" s="5" t="s">
        <v>1565</v>
      </c>
      <c r="B783" s="5" t="s">
        <v>1566</v>
      </c>
      <c r="C783" s="5" t="str">
        <f t="shared" si="1"/>
        <v>Flanagan</v>
      </c>
      <c r="D783" s="5" t="str">
        <f t="shared" si="2"/>
        <v> Shalane</v>
      </c>
    </row>
    <row r="784" ht="15.75" customHeight="1">
      <c r="A784" s="5" t="s">
        <v>1567</v>
      </c>
      <c r="B784" s="5" t="s">
        <v>1568</v>
      </c>
      <c r="C784" s="5" t="str">
        <f t="shared" si="1"/>
        <v>Arellano</v>
      </c>
      <c r="D784" s="5" t="str">
        <f t="shared" si="2"/>
        <v> Jessica N.</v>
      </c>
    </row>
    <row r="785" ht="15.75" customHeight="1">
      <c r="A785" s="5" t="s">
        <v>1569</v>
      </c>
      <c r="B785" s="5" t="s">
        <v>1570</v>
      </c>
      <c r="C785" s="5" t="str">
        <f t="shared" si="1"/>
        <v>Charette</v>
      </c>
      <c r="D785" s="5" t="str">
        <f t="shared" si="2"/>
        <v> Melanie</v>
      </c>
    </row>
    <row r="786" ht="15.75" customHeight="1">
      <c r="A786" s="5" t="s">
        <v>1571</v>
      </c>
      <c r="B786" s="5" t="s">
        <v>1572</v>
      </c>
      <c r="C786" s="5" t="str">
        <f t="shared" si="1"/>
        <v>Pen</v>
      </c>
      <c r="D786" s="5" t="str">
        <f t="shared" si="2"/>
        <v> Ruth Angelica</v>
      </c>
    </row>
    <row r="787" ht="15.75" customHeight="1">
      <c r="A787" s="5" t="s">
        <v>1573</v>
      </c>
      <c r="B787" s="5" t="s">
        <v>1574</v>
      </c>
      <c r="C787" s="5" t="str">
        <f t="shared" si="1"/>
        <v>Broderick</v>
      </c>
      <c r="D787" s="5" t="str">
        <f t="shared" si="2"/>
        <v> Una M</v>
      </c>
    </row>
    <row r="788" ht="15.75" customHeight="1">
      <c r="A788" s="5" t="s">
        <v>1575</v>
      </c>
      <c r="B788" s="5" t="s">
        <v>1576</v>
      </c>
      <c r="C788" s="5" t="str">
        <f t="shared" si="1"/>
        <v>Summers</v>
      </c>
      <c r="D788" s="5" t="str">
        <f t="shared" si="2"/>
        <v> Taralyn</v>
      </c>
    </row>
    <row r="789" ht="15.75" customHeight="1">
      <c r="A789" s="5" t="s">
        <v>1577</v>
      </c>
      <c r="B789" s="5" t="s">
        <v>1578</v>
      </c>
      <c r="C789" s="5" t="str">
        <f t="shared" si="1"/>
        <v>Fisher</v>
      </c>
      <c r="D789" s="5" t="str">
        <f t="shared" si="2"/>
        <v> James A</v>
      </c>
    </row>
    <row r="790" ht="15.75" customHeight="1">
      <c r="A790" s="5" t="s">
        <v>1579</v>
      </c>
      <c r="B790" s="5" t="s">
        <v>1580</v>
      </c>
      <c r="C790" s="5" t="str">
        <f t="shared" si="1"/>
        <v>Zhou</v>
      </c>
      <c r="D790" s="5" t="str">
        <f t="shared" si="2"/>
        <v> Ning</v>
      </c>
    </row>
    <row r="791" ht="15.75" customHeight="1">
      <c r="A791" s="5" t="s">
        <v>1581</v>
      </c>
      <c r="B791" s="5" t="s">
        <v>1582</v>
      </c>
      <c r="C791" s="5" t="str">
        <f t="shared" si="1"/>
        <v>Clarke-Ames</v>
      </c>
      <c r="D791" s="5" t="str">
        <f t="shared" si="2"/>
        <v> Joel</v>
      </c>
    </row>
    <row r="792" ht="15.75" customHeight="1">
      <c r="A792" s="5" t="s">
        <v>1583</v>
      </c>
      <c r="B792" s="5" t="s">
        <v>1584</v>
      </c>
      <c r="C792" s="5" t="str">
        <f t="shared" si="1"/>
        <v>Staton</v>
      </c>
      <c r="D792" s="5" t="str">
        <f t="shared" si="2"/>
        <v> Pamela J.</v>
      </c>
    </row>
    <row r="793" ht="15.75" customHeight="1">
      <c r="A793" s="5" t="s">
        <v>1585</v>
      </c>
      <c r="B793" s="5" t="s">
        <v>1586</v>
      </c>
      <c r="C793" s="5" t="str">
        <f t="shared" si="1"/>
        <v>Forster</v>
      </c>
      <c r="D793" s="5" t="str">
        <f t="shared" si="2"/>
        <v> Brittney</v>
      </c>
    </row>
    <row r="794" ht="15.75" customHeight="1">
      <c r="A794" s="5" t="s">
        <v>1587</v>
      </c>
      <c r="B794" s="5" t="s">
        <v>1588</v>
      </c>
      <c r="C794" s="5" t="str">
        <f t="shared" si="1"/>
        <v>Monaghan</v>
      </c>
      <c r="D794" s="5" t="str">
        <f t="shared" si="2"/>
        <v> Sheila</v>
      </c>
    </row>
    <row r="795" ht="15.75" customHeight="1">
      <c r="A795" s="5" t="s">
        <v>1589</v>
      </c>
      <c r="B795" s="5" t="s">
        <v>1590</v>
      </c>
      <c r="C795" s="5" t="str">
        <f t="shared" si="1"/>
        <v>Kawamoto</v>
      </c>
      <c r="D795" s="5" t="str">
        <f t="shared" si="2"/>
        <v> Koji</v>
      </c>
    </row>
    <row r="796" ht="15.75" customHeight="1">
      <c r="A796" s="5" t="s">
        <v>1591</v>
      </c>
      <c r="B796" s="5" t="s">
        <v>1592</v>
      </c>
      <c r="C796" s="5" t="str">
        <f t="shared" si="1"/>
        <v>Dicharry</v>
      </c>
      <c r="D796" s="5" t="str">
        <f t="shared" si="2"/>
        <v> Sarah</v>
      </c>
    </row>
    <row r="797" ht="15.75" customHeight="1">
      <c r="A797" s="5" t="s">
        <v>1593</v>
      </c>
      <c r="B797" s="5" t="s">
        <v>1594</v>
      </c>
      <c r="C797" s="5" t="str">
        <f t="shared" si="1"/>
        <v>Berry</v>
      </c>
      <c r="D797" s="5" t="str">
        <f t="shared" si="2"/>
        <v> Colleen M</v>
      </c>
    </row>
    <row r="798" ht="15.75" customHeight="1">
      <c r="A798" s="5" t="s">
        <v>1595</v>
      </c>
      <c r="B798" s="5" t="s">
        <v>1596</v>
      </c>
      <c r="C798" s="5" t="str">
        <f t="shared" si="1"/>
        <v>Porfirio</v>
      </c>
      <c r="D798" s="5" t="str">
        <f t="shared" si="2"/>
        <v> Deedra G.</v>
      </c>
    </row>
    <row r="799" ht="15.75" customHeight="1">
      <c r="A799" s="5" t="s">
        <v>1597</v>
      </c>
      <c r="B799" s="5" t="s">
        <v>1598</v>
      </c>
      <c r="C799" s="5" t="str">
        <f t="shared" si="1"/>
        <v>Thind</v>
      </c>
      <c r="D799" s="5" t="str">
        <f t="shared" si="2"/>
        <v> Kulwinder</v>
      </c>
    </row>
    <row r="800" ht="15.75" customHeight="1">
      <c r="A800" s="5" t="s">
        <v>1599</v>
      </c>
      <c r="B800" s="5" t="s">
        <v>1600</v>
      </c>
      <c r="C800" s="5" t="str">
        <f t="shared" si="1"/>
        <v>Ryan</v>
      </c>
      <c r="D800" s="5" t="str">
        <f t="shared" si="2"/>
        <v> Ann M.</v>
      </c>
    </row>
    <row r="801" ht="15.75" customHeight="1">
      <c r="A801" s="5" t="s">
        <v>1601</v>
      </c>
      <c r="B801" s="5" t="s">
        <v>1602</v>
      </c>
      <c r="C801" s="5" t="str">
        <f t="shared" si="1"/>
        <v>Horn</v>
      </c>
      <c r="D801" s="5" t="str">
        <f t="shared" si="2"/>
        <v> Sarah E</v>
      </c>
    </row>
    <row r="802" ht="15.75" customHeight="1">
      <c r="A802" s="5" t="s">
        <v>1603</v>
      </c>
      <c r="B802" s="5" t="s">
        <v>1604</v>
      </c>
      <c r="C802" s="5" t="str">
        <f t="shared" si="1"/>
        <v>Sabadosa</v>
      </c>
      <c r="D802" s="5" t="str">
        <f t="shared" si="2"/>
        <v> Apryl J.</v>
      </c>
    </row>
    <row r="803" ht="15.75" customHeight="1">
      <c r="A803" s="5" t="s">
        <v>1605</v>
      </c>
      <c r="B803" s="5" t="s">
        <v>1606</v>
      </c>
      <c r="C803" s="5" t="str">
        <f t="shared" si="1"/>
        <v>Casady</v>
      </c>
      <c r="D803" s="5" t="str">
        <f t="shared" si="2"/>
        <v> Ilana</v>
      </c>
    </row>
    <row r="804" ht="15.75" customHeight="1">
      <c r="A804" s="5" t="s">
        <v>1607</v>
      </c>
      <c r="B804" s="5" t="s">
        <v>1608</v>
      </c>
      <c r="C804" s="5" t="str">
        <f t="shared" si="1"/>
        <v>Phillips</v>
      </c>
      <c r="D804" s="5" t="str">
        <f t="shared" si="2"/>
        <v> Katherine</v>
      </c>
    </row>
    <row r="805" ht="15.75" customHeight="1">
      <c r="A805" s="5" t="s">
        <v>1609</v>
      </c>
      <c r="B805" s="5" t="s">
        <v>1610</v>
      </c>
      <c r="C805" s="5" t="str">
        <f t="shared" si="1"/>
        <v>Ahokas</v>
      </c>
      <c r="D805" s="5" t="str">
        <f t="shared" si="2"/>
        <v> Katherine</v>
      </c>
    </row>
    <row r="806" ht="15.75" customHeight="1">
      <c r="A806" s="5" t="s">
        <v>1611</v>
      </c>
      <c r="B806" s="5" t="s">
        <v>1612</v>
      </c>
      <c r="C806" s="5" t="str">
        <f t="shared" si="1"/>
        <v>Hebert</v>
      </c>
      <c r="D806" s="5" t="str">
        <f t="shared" si="2"/>
        <v> Karl</v>
      </c>
    </row>
    <row r="807" ht="15.75" customHeight="1">
      <c r="A807" s="5" t="s">
        <v>1613</v>
      </c>
      <c r="B807" s="5" t="s">
        <v>1614</v>
      </c>
      <c r="C807" s="5" t="str">
        <f t="shared" si="1"/>
        <v>Fair</v>
      </c>
      <c r="D807" s="5" t="str">
        <f t="shared" si="2"/>
        <v> Stephen</v>
      </c>
    </row>
    <row r="808" ht="15.75" customHeight="1">
      <c r="A808" s="5" t="s">
        <v>1615</v>
      </c>
      <c r="B808" s="5" t="s">
        <v>1616</v>
      </c>
      <c r="C808" s="5" t="str">
        <f t="shared" si="1"/>
        <v>Swenson</v>
      </c>
      <c r="D808" s="5" t="str">
        <f t="shared" si="2"/>
        <v> Will</v>
      </c>
    </row>
    <row r="809" ht="15.75" customHeight="1">
      <c r="A809" s="5" t="s">
        <v>1617</v>
      </c>
      <c r="B809" s="5" t="s">
        <v>1618</v>
      </c>
      <c r="C809" s="5" t="str">
        <f t="shared" si="1"/>
        <v>Revenis</v>
      </c>
      <c r="D809" s="5" t="str">
        <f t="shared" si="2"/>
        <v> Bradley D</v>
      </c>
    </row>
    <row r="810" ht="15.75" customHeight="1">
      <c r="A810" s="5" t="s">
        <v>1619</v>
      </c>
      <c r="B810" s="5" t="s">
        <v>1620</v>
      </c>
      <c r="C810" s="5" t="str">
        <f t="shared" si="1"/>
        <v>Engnes</v>
      </c>
      <c r="D810" s="5" t="str">
        <f t="shared" si="2"/>
        <v> Amy M</v>
      </c>
    </row>
    <row r="811" ht="15.75" customHeight="1">
      <c r="A811" s="5" t="s">
        <v>1621</v>
      </c>
      <c r="B811" s="5" t="s">
        <v>1622</v>
      </c>
      <c r="C811" s="5" t="str">
        <f t="shared" si="1"/>
        <v>Wiltse</v>
      </c>
      <c r="D811" s="5" t="str">
        <f t="shared" si="2"/>
        <v> Matthew W.</v>
      </c>
    </row>
    <row r="812" ht="15.75" customHeight="1">
      <c r="A812" s="5" t="s">
        <v>1623</v>
      </c>
      <c r="B812" s="5" t="s">
        <v>1624</v>
      </c>
      <c r="C812" s="5" t="str">
        <f t="shared" si="1"/>
        <v>Fernandez</v>
      </c>
      <c r="D812" s="5" t="str">
        <f t="shared" si="2"/>
        <v> Doug</v>
      </c>
    </row>
    <row r="813" ht="15.75" customHeight="1">
      <c r="A813" s="5" t="s">
        <v>1625</v>
      </c>
      <c r="B813" s="5" t="s">
        <v>1626</v>
      </c>
      <c r="C813" s="5" t="str">
        <f t="shared" si="1"/>
        <v>Edwards</v>
      </c>
      <c r="D813" s="5" t="str">
        <f t="shared" si="2"/>
        <v> Tom</v>
      </c>
    </row>
    <row r="814" ht="15.75" customHeight="1">
      <c r="A814" s="5" t="s">
        <v>1627</v>
      </c>
      <c r="B814" s="5" t="s">
        <v>1628</v>
      </c>
      <c r="C814" s="5" t="str">
        <f t="shared" si="1"/>
        <v>Pinney</v>
      </c>
      <c r="D814" s="5" t="str">
        <f t="shared" si="2"/>
        <v> Jonathan</v>
      </c>
    </row>
    <row r="815" ht="15.75" customHeight="1">
      <c r="A815" s="5" t="s">
        <v>1629</v>
      </c>
      <c r="B815" s="5" t="s">
        <v>1630</v>
      </c>
      <c r="C815" s="5" t="str">
        <f t="shared" si="1"/>
        <v>Levy</v>
      </c>
      <c r="D815" s="5" t="str">
        <f t="shared" si="2"/>
        <v> Wayne A.</v>
      </c>
    </row>
    <row r="816" ht="15.75" customHeight="1">
      <c r="A816" s="5" t="s">
        <v>1631</v>
      </c>
      <c r="B816" s="5" t="s">
        <v>1632</v>
      </c>
      <c r="C816" s="5" t="str">
        <f t="shared" si="1"/>
        <v>Takeda</v>
      </c>
      <c r="D816" s="5" t="str">
        <f t="shared" si="2"/>
        <v> Nobuyori</v>
      </c>
    </row>
    <row r="817" ht="15.75" customHeight="1">
      <c r="A817" s="5" t="s">
        <v>1633</v>
      </c>
      <c r="B817" s="5" t="s">
        <v>1634</v>
      </c>
      <c r="C817" s="5" t="str">
        <f t="shared" si="1"/>
        <v>Burke</v>
      </c>
      <c r="D817" s="5" t="str">
        <f t="shared" si="2"/>
        <v> Rich</v>
      </c>
    </row>
    <row r="818" ht="15.75" customHeight="1">
      <c r="A818" s="5" t="s">
        <v>1635</v>
      </c>
      <c r="B818" s="5" t="s">
        <v>1636</v>
      </c>
      <c r="C818" s="5" t="str">
        <f t="shared" si="1"/>
        <v>Duarte</v>
      </c>
      <c r="D818" s="5" t="str">
        <f t="shared" si="2"/>
        <v> Marcos S</v>
      </c>
    </row>
    <row r="819" ht="15.75" customHeight="1">
      <c r="A819" s="5" t="s">
        <v>1637</v>
      </c>
      <c r="B819" s="5" t="s">
        <v>1638</v>
      </c>
      <c r="C819" s="5" t="str">
        <f t="shared" si="1"/>
        <v>Clark</v>
      </c>
      <c r="D819" s="5" t="str">
        <f t="shared" si="2"/>
        <v> Dave</v>
      </c>
    </row>
    <row r="820" ht="15.75" customHeight="1">
      <c r="A820" s="5" t="s">
        <v>1639</v>
      </c>
      <c r="B820" s="5" t="s">
        <v>1640</v>
      </c>
      <c r="C820" s="5" t="str">
        <f t="shared" si="1"/>
        <v>Nice</v>
      </c>
      <c r="D820" s="5" t="str">
        <f t="shared" si="2"/>
        <v> Andy</v>
      </c>
    </row>
    <row r="821" ht="15.75" customHeight="1">
      <c r="A821" s="5" t="s">
        <v>1641</v>
      </c>
      <c r="B821" s="5" t="s">
        <v>1642</v>
      </c>
      <c r="C821" s="5" t="str">
        <f t="shared" si="1"/>
        <v>Windler</v>
      </c>
      <c r="D821" s="5" t="str">
        <f t="shared" si="2"/>
        <v> Mary</v>
      </c>
    </row>
    <row r="822" ht="15.75" customHeight="1">
      <c r="A822" s="5" t="s">
        <v>1643</v>
      </c>
      <c r="B822" s="5" t="s">
        <v>1644</v>
      </c>
      <c r="C822" s="5" t="str">
        <f t="shared" si="1"/>
        <v>Jones</v>
      </c>
      <c r="D822" s="5" t="str">
        <f t="shared" si="2"/>
        <v> Marcus B</v>
      </c>
    </row>
    <row r="823" ht="15.75" customHeight="1">
      <c r="A823" s="5" t="s">
        <v>1645</v>
      </c>
      <c r="B823" s="5" t="s">
        <v>1646</v>
      </c>
      <c r="C823" s="5" t="str">
        <f t="shared" si="1"/>
        <v>Stevenson</v>
      </c>
      <c r="D823" s="5" t="str">
        <f t="shared" si="2"/>
        <v> Thomas K.</v>
      </c>
    </row>
    <row r="824" ht="15.75" customHeight="1">
      <c r="A824" s="5" t="s">
        <v>1647</v>
      </c>
      <c r="B824" s="5" t="s">
        <v>1648</v>
      </c>
      <c r="C824" s="5" t="str">
        <f t="shared" si="1"/>
        <v>Humphrey</v>
      </c>
      <c r="D824" s="5" t="str">
        <f t="shared" si="2"/>
        <v> Robert</v>
      </c>
    </row>
    <row r="825" ht="15.75" customHeight="1">
      <c r="A825" s="5" t="s">
        <v>1649</v>
      </c>
      <c r="B825" s="5" t="s">
        <v>1650</v>
      </c>
      <c r="C825" s="5" t="str">
        <f t="shared" si="1"/>
        <v>Nelson</v>
      </c>
      <c r="D825" s="5" t="str">
        <f t="shared" si="2"/>
        <v> Geoff</v>
      </c>
    </row>
    <row r="826" ht="15.75" customHeight="1">
      <c r="A826" s="5" t="s">
        <v>1651</v>
      </c>
      <c r="B826" s="5" t="s">
        <v>1652</v>
      </c>
      <c r="C826" s="5" t="str">
        <f t="shared" si="1"/>
        <v>Payne</v>
      </c>
      <c r="D826" s="5" t="str">
        <f t="shared" si="2"/>
        <v> Chris J.</v>
      </c>
    </row>
    <row r="827" ht="15.75" customHeight="1">
      <c r="A827" s="5" t="s">
        <v>1653</v>
      </c>
      <c r="B827" s="5" t="s">
        <v>1654</v>
      </c>
      <c r="C827" s="5" t="str">
        <f t="shared" si="1"/>
        <v>Hails</v>
      </c>
      <c r="D827" s="5" t="str">
        <f t="shared" si="2"/>
        <v> Kate A.</v>
      </c>
    </row>
    <row r="828" ht="15.75" customHeight="1">
      <c r="A828" s="5" t="s">
        <v>1655</v>
      </c>
      <c r="B828" s="5" t="s">
        <v>1656</v>
      </c>
      <c r="C828" s="5" t="str">
        <f t="shared" si="1"/>
        <v>Proctor</v>
      </c>
      <c r="D828" s="5" t="str">
        <f t="shared" si="2"/>
        <v> Kelli</v>
      </c>
    </row>
    <row r="829" ht="15.75" customHeight="1">
      <c r="A829" s="5" t="s">
        <v>1657</v>
      </c>
      <c r="B829" s="5" t="s">
        <v>1658</v>
      </c>
      <c r="C829" s="5" t="str">
        <f t="shared" si="1"/>
        <v>Ryan</v>
      </c>
      <c r="D829" s="5" t="str">
        <f t="shared" si="2"/>
        <v> Maggie M</v>
      </c>
    </row>
    <row r="830" ht="15.75" customHeight="1">
      <c r="A830" s="5" t="s">
        <v>1659</v>
      </c>
      <c r="B830" s="5" t="s">
        <v>1660</v>
      </c>
      <c r="C830" s="5" t="str">
        <f t="shared" si="1"/>
        <v>Watson</v>
      </c>
      <c r="D830" s="5" t="str">
        <f t="shared" si="2"/>
        <v> Michelle L.</v>
      </c>
    </row>
    <row r="831" ht="15.75" customHeight="1">
      <c r="A831" s="5" t="s">
        <v>1661</v>
      </c>
      <c r="B831" s="5" t="s">
        <v>1662</v>
      </c>
      <c r="C831" s="5" t="str">
        <f t="shared" si="1"/>
        <v>Gresh</v>
      </c>
      <c r="D831" s="5" t="str">
        <f t="shared" si="2"/>
        <v> Ashley K</v>
      </c>
    </row>
    <row r="832" ht="15.75" customHeight="1">
      <c r="A832" s="5" t="s">
        <v>1663</v>
      </c>
      <c r="B832" s="5" t="s">
        <v>1664</v>
      </c>
      <c r="C832" s="5" t="str">
        <f t="shared" si="1"/>
        <v>Anis</v>
      </c>
      <c r="D832" s="5" t="str">
        <f t="shared" si="2"/>
        <v> Michael</v>
      </c>
    </row>
    <row r="833" ht="15.75" customHeight="1">
      <c r="A833" s="5" t="s">
        <v>1665</v>
      </c>
      <c r="B833" s="5" t="s">
        <v>1666</v>
      </c>
      <c r="C833" s="5" t="str">
        <f t="shared" si="1"/>
        <v>Swartz</v>
      </c>
      <c r="D833" s="5" t="str">
        <f t="shared" si="2"/>
        <v> Ryan K.</v>
      </c>
    </row>
    <row r="834" ht="15.75" customHeight="1">
      <c r="A834" s="5" t="s">
        <v>1667</v>
      </c>
      <c r="B834" s="5" t="s">
        <v>1668</v>
      </c>
      <c r="C834" s="5" t="str">
        <f t="shared" si="1"/>
        <v>Schluneker</v>
      </c>
      <c r="D834" s="5" t="str">
        <f t="shared" si="2"/>
        <v> Matthew J</v>
      </c>
    </row>
    <row r="835" ht="15.75" customHeight="1">
      <c r="A835" s="5" t="s">
        <v>1669</v>
      </c>
      <c r="B835" s="5" t="s">
        <v>1670</v>
      </c>
      <c r="C835" s="5" t="str">
        <f t="shared" si="1"/>
        <v>Bellemare</v>
      </c>
      <c r="D835" s="5" t="str">
        <f t="shared" si="2"/>
        <v> Karine</v>
      </c>
    </row>
    <row r="836" ht="15.75" customHeight="1">
      <c r="A836" s="5" t="s">
        <v>1671</v>
      </c>
      <c r="B836" s="5" t="s">
        <v>1672</v>
      </c>
      <c r="C836" s="5" t="str">
        <f t="shared" si="1"/>
        <v>Vitalo</v>
      </c>
      <c r="D836" s="5" t="str">
        <f t="shared" si="2"/>
        <v> Antonia G</v>
      </c>
    </row>
    <row r="837" ht="15.75" customHeight="1">
      <c r="A837" s="5" t="s">
        <v>1673</v>
      </c>
      <c r="B837" s="5" t="s">
        <v>1674</v>
      </c>
      <c r="C837" s="5" t="str">
        <f t="shared" si="1"/>
        <v>Hamilton</v>
      </c>
      <c r="D837" s="5" t="str">
        <f t="shared" si="2"/>
        <v> Casondra L</v>
      </c>
    </row>
    <row r="838" ht="15.75" customHeight="1">
      <c r="A838" s="5" t="s">
        <v>1675</v>
      </c>
      <c r="B838" s="5" t="s">
        <v>1676</v>
      </c>
      <c r="C838" s="5" t="str">
        <f t="shared" si="1"/>
        <v>Marshall</v>
      </c>
      <c r="D838" s="5" t="str">
        <f t="shared" si="2"/>
        <v> Wendy</v>
      </c>
    </row>
    <row r="839" ht="15.75" customHeight="1">
      <c r="A839" s="5" t="s">
        <v>1677</v>
      </c>
      <c r="B839" s="5" t="s">
        <v>1678</v>
      </c>
      <c r="C839" s="5" t="str">
        <f t="shared" si="1"/>
        <v>Cale</v>
      </c>
      <c r="D839" s="5" t="str">
        <f t="shared" si="2"/>
        <v> Eric D</v>
      </c>
    </row>
    <row r="840" ht="15.75" customHeight="1">
      <c r="A840" s="5" t="s">
        <v>1679</v>
      </c>
      <c r="B840" s="5" t="s">
        <v>1680</v>
      </c>
      <c r="C840" s="5" t="str">
        <f t="shared" si="1"/>
        <v>Pittaway</v>
      </c>
      <c r="D840" s="5" t="str">
        <f t="shared" si="2"/>
        <v> Elizabeth</v>
      </c>
    </row>
    <row r="841" ht="15.75" customHeight="1">
      <c r="A841" s="5" t="s">
        <v>1681</v>
      </c>
      <c r="B841" s="5" t="s">
        <v>1682</v>
      </c>
      <c r="C841" s="5" t="str">
        <f t="shared" si="1"/>
        <v>Bill</v>
      </c>
      <c r="D841" s="5" t="str">
        <f t="shared" si="2"/>
        <v> Laura F</v>
      </c>
    </row>
    <row r="842" ht="15.75" customHeight="1">
      <c r="A842" s="5" t="s">
        <v>1683</v>
      </c>
      <c r="B842" s="5" t="s">
        <v>1684</v>
      </c>
      <c r="C842" s="5" t="str">
        <f t="shared" si="1"/>
        <v>Antrim</v>
      </c>
      <c r="D842" s="5" t="str">
        <f t="shared" si="2"/>
        <v> Amelia F.</v>
      </c>
    </row>
    <row r="843" ht="15.75" customHeight="1">
      <c r="A843" s="5" t="s">
        <v>1685</v>
      </c>
      <c r="B843" s="5" t="s">
        <v>1686</v>
      </c>
      <c r="C843" s="5" t="str">
        <f t="shared" si="1"/>
        <v>Doolittle-Crider</v>
      </c>
      <c r="D843" s="5" t="str">
        <f t="shared" si="2"/>
        <v> Amy L.</v>
      </c>
    </row>
    <row r="844" ht="15.75" customHeight="1">
      <c r="A844" s="5" t="s">
        <v>1687</v>
      </c>
      <c r="B844" s="5" t="s">
        <v>1688</v>
      </c>
      <c r="C844" s="5" t="str">
        <f t="shared" si="1"/>
        <v>Ruhlman</v>
      </c>
      <c r="D844" s="5" t="str">
        <f t="shared" si="2"/>
        <v> Katie J</v>
      </c>
    </row>
    <row r="845" ht="15.75" customHeight="1">
      <c r="A845" s="5" t="s">
        <v>1689</v>
      </c>
      <c r="B845" s="5" t="s">
        <v>1690</v>
      </c>
      <c r="C845" s="5" t="str">
        <f t="shared" si="1"/>
        <v>Anderson</v>
      </c>
      <c r="D845" s="5" t="str">
        <f t="shared" si="2"/>
        <v> Laura E.</v>
      </c>
    </row>
    <row r="846" ht="15.75" customHeight="1">
      <c r="A846" s="5" t="s">
        <v>1691</v>
      </c>
      <c r="B846" s="5" t="s">
        <v>1692</v>
      </c>
      <c r="C846" s="5" t="str">
        <f t="shared" si="1"/>
        <v>Uchiyama</v>
      </c>
      <c r="D846" s="5" t="str">
        <f t="shared" si="2"/>
        <v> Mayumi</v>
      </c>
    </row>
    <row r="847" ht="15.75" customHeight="1">
      <c r="A847" s="5" t="s">
        <v>1693</v>
      </c>
      <c r="B847" s="5" t="s">
        <v>1694</v>
      </c>
      <c r="C847" s="5" t="str">
        <f t="shared" si="1"/>
        <v>Desota</v>
      </c>
      <c r="D847" s="5" t="str">
        <f t="shared" si="2"/>
        <v> Vanessa</v>
      </c>
    </row>
    <row r="848" ht="15.75" customHeight="1">
      <c r="A848" s="5" t="s">
        <v>1695</v>
      </c>
      <c r="B848" s="5" t="s">
        <v>1696</v>
      </c>
      <c r="C848" s="5" t="str">
        <f t="shared" si="1"/>
        <v>Edmonds</v>
      </c>
      <c r="D848" s="5" t="str">
        <f t="shared" si="2"/>
        <v> Natali N</v>
      </c>
    </row>
    <row r="849" ht="15.75" customHeight="1">
      <c r="A849" s="5" t="s">
        <v>1697</v>
      </c>
      <c r="B849" s="5" t="s">
        <v>1698</v>
      </c>
      <c r="C849" s="5" t="str">
        <f t="shared" si="1"/>
        <v>Otto</v>
      </c>
      <c r="D849" s="5" t="str">
        <f t="shared" si="2"/>
        <v> Beth</v>
      </c>
    </row>
    <row r="850" ht="15.75" customHeight="1">
      <c r="A850" s="5" t="s">
        <v>1699</v>
      </c>
      <c r="B850" s="5" t="s">
        <v>1700</v>
      </c>
      <c r="C850" s="5" t="str">
        <f t="shared" si="1"/>
        <v>Kurt</v>
      </c>
      <c r="D850" s="5" t="str">
        <f t="shared" si="2"/>
        <v> Alex</v>
      </c>
    </row>
    <row r="851" ht="15.75" customHeight="1">
      <c r="A851" s="5" t="s">
        <v>1701</v>
      </c>
      <c r="B851" s="5" t="s">
        <v>1702</v>
      </c>
      <c r="C851" s="5" t="str">
        <f t="shared" si="1"/>
        <v>Duhaime</v>
      </c>
      <c r="D851" s="5" t="str">
        <f t="shared" si="2"/>
        <v> Spencer</v>
      </c>
    </row>
    <row r="852" ht="15.75" customHeight="1">
      <c r="A852" s="5" t="s">
        <v>1703</v>
      </c>
      <c r="B852" s="5" t="s">
        <v>1704</v>
      </c>
      <c r="C852" s="5" t="str">
        <f t="shared" si="1"/>
        <v>Swann</v>
      </c>
      <c r="D852" s="5" t="str">
        <f t="shared" si="2"/>
        <v> Andee W.</v>
      </c>
    </row>
    <row r="853" ht="15.75" customHeight="1">
      <c r="A853" s="5" t="s">
        <v>1705</v>
      </c>
      <c r="B853" s="5" t="s">
        <v>1706</v>
      </c>
      <c r="C853" s="5" t="str">
        <f t="shared" si="1"/>
        <v>Burton</v>
      </c>
      <c r="D853" s="5" t="str">
        <f t="shared" si="2"/>
        <v> Amy</v>
      </c>
    </row>
    <row r="854" ht="15.75" customHeight="1">
      <c r="A854" s="5" t="s">
        <v>1707</v>
      </c>
      <c r="B854" s="5" t="s">
        <v>1708</v>
      </c>
      <c r="C854" s="5" t="str">
        <f t="shared" si="1"/>
        <v>Ricardi</v>
      </c>
      <c r="D854" s="5" t="str">
        <f t="shared" si="2"/>
        <v> Joshua</v>
      </c>
    </row>
    <row r="855" ht="15.75" customHeight="1">
      <c r="A855" s="5" t="s">
        <v>1709</v>
      </c>
      <c r="B855" s="5" t="s">
        <v>1710</v>
      </c>
      <c r="C855" s="5" t="str">
        <f t="shared" si="1"/>
        <v>Joslyn</v>
      </c>
      <c r="D855" s="5" t="str">
        <f t="shared" si="2"/>
        <v> C Fred</v>
      </c>
    </row>
    <row r="856" ht="15.75" customHeight="1">
      <c r="A856" s="5" t="s">
        <v>1711</v>
      </c>
      <c r="B856" s="5" t="s">
        <v>1712</v>
      </c>
      <c r="C856" s="5" t="str">
        <f t="shared" si="1"/>
        <v>Bennie</v>
      </c>
      <c r="D856" s="5" t="str">
        <f t="shared" si="2"/>
        <v> Jeremy</v>
      </c>
    </row>
    <row r="857" ht="15.75" customHeight="1">
      <c r="A857" s="5" t="s">
        <v>1713</v>
      </c>
      <c r="B857" s="5" t="s">
        <v>1714</v>
      </c>
      <c r="C857" s="5" t="str">
        <f t="shared" si="1"/>
        <v>Kanyane</v>
      </c>
      <c r="D857" s="5" t="str">
        <f t="shared" si="2"/>
        <v> Patrick Sr.</v>
      </c>
    </row>
    <row r="858" ht="15.75" customHeight="1">
      <c r="A858" s="5" t="s">
        <v>1715</v>
      </c>
      <c r="B858" s="5" t="s">
        <v>1716</v>
      </c>
      <c r="C858" s="5" t="str">
        <f t="shared" si="1"/>
        <v>McFadden</v>
      </c>
      <c r="D858" s="5" t="str">
        <f t="shared" si="2"/>
        <v> Kelly M.</v>
      </c>
    </row>
    <row r="859" ht="15.75" customHeight="1">
      <c r="A859" s="5" t="s">
        <v>1717</v>
      </c>
      <c r="B859" s="5" t="s">
        <v>1718</v>
      </c>
      <c r="C859" s="5" t="str">
        <f t="shared" si="1"/>
        <v>Connolly</v>
      </c>
      <c r="D859" s="5" t="str">
        <f t="shared" si="2"/>
        <v> Katherine</v>
      </c>
    </row>
    <row r="860" ht="15.75" customHeight="1">
      <c r="A860" s="5" t="s">
        <v>1719</v>
      </c>
      <c r="B860" s="5" t="s">
        <v>1720</v>
      </c>
      <c r="C860" s="5" t="str">
        <f t="shared" si="1"/>
        <v>Merino</v>
      </c>
      <c r="D860" s="5" t="str">
        <f t="shared" si="2"/>
        <v> Keila L</v>
      </c>
    </row>
    <row r="861" ht="15.75" customHeight="1">
      <c r="A861" s="5" t="s">
        <v>1721</v>
      </c>
      <c r="B861" s="5" t="s">
        <v>1722</v>
      </c>
      <c r="C861" s="5" t="str">
        <f t="shared" si="1"/>
        <v>Baird</v>
      </c>
      <c r="D861" s="5" t="str">
        <f t="shared" si="2"/>
        <v> Zanae E</v>
      </c>
    </row>
    <row r="862" ht="15.75" customHeight="1">
      <c r="A862" s="5" t="s">
        <v>1723</v>
      </c>
      <c r="B862" s="5" t="s">
        <v>1724</v>
      </c>
      <c r="C862" s="5" t="str">
        <f t="shared" si="1"/>
        <v>Locatelli</v>
      </c>
      <c r="D862" s="5" t="str">
        <f t="shared" si="2"/>
        <v> Alex</v>
      </c>
    </row>
    <row r="863" ht="15.75" customHeight="1">
      <c r="A863" s="5" t="s">
        <v>1725</v>
      </c>
      <c r="B863" s="5" t="s">
        <v>1726</v>
      </c>
      <c r="C863" s="5" t="str">
        <f t="shared" si="1"/>
        <v>Brake</v>
      </c>
      <c r="D863" s="5" t="str">
        <f t="shared" si="2"/>
        <v> Kathryn</v>
      </c>
    </row>
    <row r="864" ht="15.75" customHeight="1">
      <c r="A864" s="5" t="s">
        <v>1727</v>
      </c>
      <c r="B864" s="5" t="s">
        <v>1728</v>
      </c>
      <c r="C864" s="5" t="str">
        <f t="shared" si="1"/>
        <v>Jacobs</v>
      </c>
      <c r="D864" s="5" t="str">
        <f t="shared" si="2"/>
        <v> Jason L.</v>
      </c>
    </row>
    <row r="865" ht="15.75" customHeight="1">
      <c r="A865" s="5" t="s">
        <v>1729</v>
      </c>
      <c r="B865" s="5" t="s">
        <v>1730</v>
      </c>
      <c r="C865" s="5" t="str">
        <f t="shared" si="1"/>
        <v>Vaught</v>
      </c>
      <c r="D865" s="5" t="str">
        <f t="shared" si="2"/>
        <v> Benjamin J.</v>
      </c>
    </row>
    <row r="866" ht="15.75" customHeight="1">
      <c r="A866" s="5" t="s">
        <v>1731</v>
      </c>
      <c r="B866" s="5" t="s">
        <v>1732</v>
      </c>
      <c r="C866" s="5" t="str">
        <f t="shared" si="1"/>
        <v>Monteleone</v>
      </c>
      <c r="D866" s="5" t="str">
        <f t="shared" si="2"/>
        <v> Steven M.</v>
      </c>
    </row>
    <row r="867" ht="15.75" customHeight="1">
      <c r="A867" s="5" t="s">
        <v>1733</v>
      </c>
      <c r="B867" s="5" t="s">
        <v>1734</v>
      </c>
      <c r="C867" s="5" t="str">
        <f t="shared" si="1"/>
        <v>Verdugo</v>
      </c>
      <c r="D867" s="5" t="str">
        <f t="shared" si="2"/>
        <v> Erika</v>
      </c>
    </row>
    <row r="868" ht="15.75" customHeight="1">
      <c r="A868" s="5" t="s">
        <v>1735</v>
      </c>
      <c r="B868" s="5" t="s">
        <v>1736</v>
      </c>
      <c r="C868" s="5" t="str">
        <f t="shared" si="1"/>
        <v>Sellers</v>
      </c>
      <c r="D868" s="5" t="str">
        <f t="shared" si="2"/>
        <v> Chad</v>
      </c>
    </row>
    <row r="869" ht="15.75" customHeight="1">
      <c r="A869" s="5" t="s">
        <v>1737</v>
      </c>
      <c r="B869" s="5" t="s">
        <v>1738</v>
      </c>
      <c r="C869" s="5" t="str">
        <f t="shared" si="1"/>
        <v>Bowman</v>
      </c>
      <c r="D869" s="5" t="str">
        <f t="shared" si="2"/>
        <v> Mark</v>
      </c>
    </row>
    <row r="870" ht="15.75" customHeight="1">
      <c r="A870" s="5" t="s">
        <v>1739</v>
      </c>
      <c r="B870" s="5" t="s">
        <v>1740</v>
      </c>
      <c r="C870" s="5" t="str">
        <f t="shared" si="1"/>
        <v>Marley</v>
      </c>
      <c r="D870" s="5" t="str">
        <f t="shared" si="2"/>
        <v> David</v>
      </c>
    </row>
    <row r="871" ht="15.75" customHeight="1">
      <c r="A871" s="5" t="s">
        <v>1741</v>
      </c>
      <c r="B871" s="5" t="s">
        <v>1742</v>
      </c>
      <c r="C871" s="5" t="str">
        <f t="shared" si="1"/>
        <v>Grey</v>
      </c>
      <c r="D871" s="5" t="str">
        <f t="shared" si="2"/>
        <v> Matthew R</v>
      </c>
    </row>
    <row r="872" ht="15.75" customHeight="1">
      <c r="A872" s="5" t="s">
        <v>1743</v>
      </c>
      <c r="B872" s="5" t="s">
        <v>1744</v>
      </c>
      <c r="C872" s="5" t="str">
        <f t="shared" si="1"/>
        <v>O'Rourke</v>
      </c>
      <c r="D872" s="5" t="str">
        <f t="shared" si="2"/>
        <v> Orla</v>
      </c>
    </row>
    <row r="873" ht="15.75" customHeight="1">
      <c r="A873" s="5" t="s">
        <v>1745</v>
      </c>
      <c r="B873" s="5" t="s">
        <v>1746</v>
      </c>
      <c r="C873" s="5" t="str">
        <f t="shared" si="1"/>
        <v>Fatehali</v>
      </c>
      <c r="D873" s="5" t="str">
        <f t="shared" si="2"/>
        <v> Shaista S</v>
      </c>
    </row>
    <row r="874" ht="15.75" customHeight="1">
      <c r="A874" s="5" t="s">
        <v>1747</v>
      </c>
      <c r="B874" s="5" t="s">
        <v>1748</v>
      </c>
      <c r="C874" s="5" t="str">
        <f t="shared" si="1"/>
        <v>Piza-Taylor</v>
      </c>
      <c r="D874" s="5" t="str">
        <f t="shared" si="2"/>
        <v> Emily</v>
      </c>
    </row>
    <row r="875" ht="15.75" customHeight="1">
      <c r="A875" s="5" t="s">
        <v>1749</v>
      </c>
      <c r="B875" s="5" t="s">
        <v>1750</v>
      </c>
      <c r="C875" s="5" t="str">
        <f t="shared" si="1"/>
        <v>Cavanaugh</v>
      </c>
      <c r="D875" s="5" t="str">
        <f t="shared" si="2"/>
        <v> Julie A.</v>
      </c>
    </row>
    <row r="876" ht="15.75" customHeight="1">
      <c r="A876" s="5" t="s">
        <v>1751</v>
      </c>
      <c r="B876" s="5" t="s">
        <v>1752</v>
      </c>
      <c r="C876" s="5" t="str">
        <f t="shared" si="1"/>
        <v>Amako</v>
      </c>
      <c r="D876" s="5" t="str">
        <f t="shared" si="2"/>
        <v> Megumi</v>
      </c>
    </row>
    <row r="877" ht="15.75" customHeight="1">
      <c r="A877" s="5" t="s">
        <v>1753</v>
      </c>
      <c r="B877" s="5" t="s">
        <v>1754</v>
      </c>
      <c r="C877" s="5" t="str">
        <f t="shared" si="1"/>
        <v>Musa</v>
      </c>
      <c r="D877" s="5" t="str">
        <f t="shared" si="2"/>
        <v> Skylar</v>
      </c>
    </row>
    <row r="878" ht="15.75" customHeight="1">
      <c r="A878" s="5" t="s">
        <v>1755</v>
      </c>
      <c r="B878" s="5" t="s">
        <v>1756</v>
      </c>
      <c r="C878" s="5" t="str">
        <f t="shared" si="1"/>
        <v>Phillippi</v>
      </c>
      <c r="D878" s="5" t="str">
        <f t="shared" si="2"/>
        <v> Victoria</v>
      </c>
    </row>
    <row r="879" ht="15.75" customHeight="1">
      <c r="A879" s="5" t="s">
        <v>1757</v>
      </c>
      <c r="B879" s="5" t="s">
        <v>1758</v>
      </c>
      <c r="C879" s="5" t="str">
        <f t="shared" si="1"/>
        <v>Hoskins</v>
      </c>
      <c r="D879" s="5" t="str">
        <f t="shared" si="2"/>
        <v> Amanda L</v>
      </c>
    </row>
    <row r="880" ht="15.75" customHeight="1">
      <c r="A880" s="5" t="s">
        <v>1759</v>
      </c>
      <c r="B880" s="5" t="s">
        <v>1760</v>
      </c>
      <c r="C880" s="5" t="str">
        <f t="shared" si="1"/>
        <v>Imbalzan</v>
      </c>
      <c r="D880" s="5" t="str">
        <f t="shared" si="2"/>
        <v> Renee</v>
      </c>
    </row>
    <row r="881" ht="15.75" customHeight="1">
      <c r="A881" s="5" t="s">
        <v>1761</v>
      </c>
      <c r="B881" s="5" t="s">
        <v>1762</v>
      </c>
      <c r="C881" s="5" t="str">
        <f t="shared" si="1"/>
        <v>Triedman</v>
      </c>
      <c r="D881" s="5" t="str">
        <f t="shared" si="2"/>
        <v> Nellie A.</v>
      </c>
    </row>
    <row r="882" ht="15.75" customHeight="1">
      <c r="A882" s="5" t="s">
        <v>1763</v>
      </c>
      <c r="B882" s="5" t="s">
        <v>1764</v>
      </c>
      <c r="C882" s="5" t="str">
        <f t="shared" si="1"/>
        <v>Lovuolo</v>
      </c>
      <c r="D882" s="5" t="str">
        <f t="shared" si="2"/>
        <v> Tamara</v>
      </c>
    </row>
    <row r="883" ht="15.75" customHeight="1">
      <c r="A883" s="5" t="s">
        <v>1765</v>
      </c>
      <c r="B883" s="5" t="s">
        <v>1766</v>
      </c>
      <c r="C883" s="5" t="str">
        <f t="shared" si="1"/>
        <v>Chung</v>
      </c>
      <c r="D883" s="5" t="str">
        <f t="shared" si="2"/>
        <v> Joan</v>
      </c>
    </row>
    <row r="884" ht="15.75" customHeight="1">
      <c r="A884" s="5" t="s">
        <v>1767</v>
      </c>
      <c r="B884" s="5" t="s">
        <v>1768</v>
      </c>
      <c r="C884" s="5" t="str">
        <f t="shared" si="1"/>
        <v>Newsom</v>
      </c>
      <c r="D884" s="5" t="str">
        <f t="shared" si="2"/>
        <v> Aimee J.</v>
      </c>
    </row>
    <row r="885" ht="15.75" customHeight="1">
      <c r="A885" s="5" t="s">
        <v>1769</v>
      </c>
      <c r="B885" s="5" t="s">
        <v>1770</v>
      </c>
      <c r="C885" s="5" t="str">
        <f t="shared" si="1"/>
        <v>Harrington</v>
      </c>
      <c r="D885" s="5" t="str">
        <f t="shared" si="2"/>
        <v> Suzanne</v>
      </c>
    </row>
    <row r="886" ht="15.75" customHeight="1">
      <c r="A886" s="5" t="s">
        <v>1771</v>
      </c>
      <c r="B886" s="5" t="s">
        <v>1772</v>
      </c>
      <c r="C886" s="5" t="str">
        <f t="shared" si="1"/>
        <v>Hoffman</v>
      </c>
      <c r="D886" s="5" t="str">
        <f t="shared" si="2"/>
        <v> Kristin A.</v>
      </c>
    </row>
    <row r="887" ht="15.75" customHeight="1">
      <c r="A887" s="5" t="s">
        <v>1773</v>
      </c>
      <c r="B887" s="5" t="s">
        <v>1774</v>
      </c>
      <c r="C887" s="5" t="str">
        <f t="shared" si="1"/>
        <v>Va</v>
      </c>
      <c r="D887" s="5" t="str">
        <f t="shared" si="2"/>
        <v> Bronwyn</v>
      </c>
    </row>
    <row r="888" ht="15.75" customHeight="1">
      <c r="A888" s="5" t="s">
        <v>1775</v>
      </c>
      <c r="B888" s="5" t="s">
        <v>1776</v>
      </c>
      <c r="C888" s="5" t="str">
        <f t="shared" si="1"/>
        <v>Feehley</v>
      </c>
      <c r="D888" s="5" t="str">
        <f t="shared" si="2"/>
        <v> Taylor J</v>
      </c>
    </row>
    <row r="889" ht="15.75" customHeight="1">
      <c r="A889" s="5" t="s">
        <v>1777</v>
      </c>
      <c r="B889" s="5" t="s">
        <v>1778</v>
      </c>
      <c r="C889" s="5" t="str">
        <f t="shared" si="1"/>
        <v>Ashworth</v>
      </c>
      <c r="D889" s="5" t="str">
        <f t="shared" si="2"/>
        <v> Kimberly M.</v>
      </c>
    </row>
    <row r="890" ht="15.75" customHeight="1">
      <c r="A890" s="5" t="s">
        <v>1779</v>
      </c>
      <c r="B890" s="5" t="s">
        <v>1780</v>
      </c>
      <c r="C890" s="5" t="str">
        <f t="shared" si="1"/>
        <v>Hansen</v>
      </c>
      <c r="D890" s="5" t="str">
        <f t="shared" si="2"/>
        <v> Joshua E.</v>
      </c>
    </row>
    <row r="891" ht="15.75" customHeight="1">
      <c r="A891" s="5" t="s">
        <v>1781</v>
      </c>
      <c r="B891" s="5" t="s">
        <v>1782</v>
      </c>
      <c r="C891" s="5" t="str">
        <f t="shared" si="1"/>
        <v>Czyz</v>
      </c>
      <c r="D891" s="5" t="str">
        <f t="shared" si="2"/>
        <v> Jeffrey</v>
      </c>
    </row>
    <row r="892" ht="15.75" customHeight="1">
      <c r="A892" s="5" t="s">
        <v>1783</v>
      </c>
      <c r="B892" s="5" t="s">
        <v>1784</v>
      </c>
      <c r="C892" s="5" t="str">
        <f t="shared" si="1"/>
        <v>Bauder</v>
      </c>
      <c r="D892" s="5" t="str">
        <f t="shared" si="2"/>
        <v> Andrew R</v>
      </c>
    </row>
    <row r="893" ht="15.75" customHeight="1">
      <c r="A893" s="5" t="s">
        <v>1785</v>
      </c>
      <c r="B893" s="5" t="s">
        <v>1786</v>
      </c>
      <c r="C893" s="5" t="str">
        <f t="shared" si="1"/>
        <v>Mendoza</v>
      </c>
      <c r="D893" s="5" t="str">
        <f t="shared" si="2"/>
        <v> Francisco J. Sr.</v>
      </c>
    </row>
    <row r="894" ht="15.75" customHeight="1">
      <c r="A894" s="5" t="s">
        <v>1787</v>
      </c>
      <c r="B894" s="5" t="s">
        <v>1788</v>
      </c>
      <c r="C894" s="5" t="str">
        <f t="shared" si="1"/>
        <v>Glass</v>
      </c>
      <c r="D894" s="5" t="str">
        <f t="shared" si="2"/>
        <v> Rhonda</v>
      </c>
    </row>
    <row r="895" ht="15.75" customHeight="1">
      <c r="A895" s="5" t="s">
        <v>1789</v>
      </c>
      <c r="B895" s="5" t="s">
        <v>1790</v>
      </c>
      <c r="C895" s="5" t="str">
        <f t="shared" si="1"/>
        <v>Butcher</v>
      </c>
      <c r="D895" s="5" t="str">
        <f t="shared" si="2"/>
        <v> John</v>
      </c>
    </row>
    <row r="896" ht="15.75" customHeight="1">
      <c r="A896" s="5" t="s">
        <v>1791</v>
      </c>
      <c r="B896" s="5" t="s">
        <v>1792</v>
      </c>
      <c r="C896" s="5" t="str">
        <f t="shared" si="1"/>
        <v>Traiser</v>
      </c>
      <c r="D896" s="5" t="str">
        <f t="shared" si="2"/>
        <v> Miles J.</v>
      </c>
    </row>
    <row r="897" ht="15.75" customHeight="1">
      <c r="A897" s="5" t="s">
        <v>1793</v>
      </c>
      <c r="B897" s="5" t="s">
        <v>1794</v>
      </c>
      <c r="C897" s="5" t="str">
        <f t="shared" si="1"/>
        <v>Mudy-Mader</v>
      </c>
      <c r="D897" s="5" t="str">
        <f t="shared" si="2"/>
        <v> Justyna I.</v>
      </c>
    </row>
    <row r="898" ht="15.75" customHeight="1">
      <c r="A898" s="5" t="s">
        <v>1795</v>
      </c>
      <c r="B898" s="5" t="s">
        <v>1796</v>
      </c>
      <c r="C898" s="5" t="str">
        <f t="shared" si="1"/>
        <v>Rogers</v>
      </c>
      <c r="D898" s="5" t="str">
        <f t="shared" si="2"/>
        <v> Lucille</v>
      </c>
    </row>
    <row r="899" ht="15.75" customHeight="1">
      <c r="A899" s="5" t="s">
        <v>1797</v>
      </c>
      <c r="B899" s="5" t="s">
        <v>1798</v>
      </c>
      <c r="C899" s="5" t="str">
        <f t="shared" si="1"/>
        <v>Woo</v>
      </c>
      <c r="D899" s="5" t="str">
        <f t="shared" si="2"/>
        <v> April</v>
      </c>
    </row>
    <row r="900" ht="15.75" customHeight="1">
      <c r="A900" s="5" t="s">
        <v>1799</v>
      </c>
      <c r="B900" s="5" t="s">
        <v>1800</v>
      </c>
      <c r="C900" s="5" t="str">
        <f t="shared" si="1"/>
        <v>Walsh</v>
      </c>
      <c r="D900" s="5" t="str">
        <f t="shared" si="2"/>
        <v> Robert</v>
      </c>
    </row>
    <row r="901" ht="15.75" customHeight="1">
      <c r="A901" s="5" t="s">
        <v>1801</v>
      </c>
      <c r="B901" s="5" t="s">
        <v>1802</v>
      </c>
      <c r="C901" s="5" t="str">
        <f t="shared" si="1"/>
        <v>White</v>
      </c>
      <c r="D901" s="5" t="str">
        <f t="shared" si="2"/>
        <v> Alyssa</v>
      </c>
    </row>
    <row r="902" ht="15.75" customHeight="1">
      <c r="A902" s="5" t="s">
        <v>1803</v>
      </c>
      <c r="B902" s="5" t="s">
        <v>1804</v>
      </c>
      <c r="C902" s="5" t="str">
        <f t="shared" si="1"/>
        <v>Sheppard</v>
      </c>
      <c r="D902" s="5" t="str">
        <f t="shared" si="2"/>
        <v> Jessica E.</v>
      </c>
    </row>
    <row r="903" ht="15.75" customHeight="1">
      <c r="A903" s="5" t="s">
        <v>1805</v>
      </c>
      <c r="B903" s="5" t="s">
        <v>1806</v>
      </c>
      <c r="C903" s="5" t="str">
        <f t="shared" si="1"/>
        <v>Doran</v>
      </c>
      <c r="D903" s="5" t="str">
        <f t="shared" si="2"/>
        <v> Patrick J.</v>
      </c>
    </row>
    <row r="904" ht="15.75" customHeight="1">
      <c r="A904" s="5" t="s">
        <v>1807</v>
      </c>
      <c r="B904" s="5" t="s">
        <v>1808</v>
      </c>
      <c r="C904" s="5" t="str">
        <f t="shared" si="1"/>
        <v>Labrosse</v>
      </c>
      <c r="D904" s="5" t="str">
        <f t="shared" si="2"/>
        <v> Emilie</v>
      </c>
    </row>
    <row r="905" ht="15.75" customHeight="1">
      <c r="A905" s="5" t="s">
        <v>1809</v>
      </c>
      <c r="B905" s="5" t="s">
        <v>1810</v>
      </c>
      <c r="C905" s="5" t="str">
        <f t="shared" si="1"/>
        <v>Thomas</v>
      </c>
      <c r="D905" s="5" t="str">
        <f t="shared" si="2"/>
        <v> Caitlin B.</v>
      </c>
    </row>
    <row r="906" ht="15.75" customHeight="1">
      <c r="A906" s="5" t="s">
        <v>1811</v>
      </c>
      <c r="B906" s="5" t="s">
        <v>1812</v>
      </c>
      <c r="C906" s="5" t="str">
        <f t="shared" si="1"/>
        <v>Lesniak</v>
      </c>
      <c r="D906" s="5" t="str">
        <f t="shared" si="2"/>
        <v> Joseph W</v>
      </c>
    </row>
    <row r="907" ht="15.75" customHeight="1">
      <c r="A907" s="5" t="s">
        <v>1813</v>
      </c>
      <c r="B907" s="5" t="s">
        <v>1814</v>
      </c>
      <c r="C907" s="5" t="str">
        <f t="shared" si="1"/>
        <v>Prowse</v>
      </c>
      <c r="D907" s="5" t="str">
        <f t="shared" si="2"/>
        <v> Wendy</v>
      </c>
    </row>
    <row r="908" ht="15.75" customHeight="1">
      <c r="A908" s="5" t="s">
        <v>1815</v>
      </c>
      <c r="B908" s="5" t="s">
        <v>1816</v>
      </c>
      <c r="C908" s="5" t="str">
        <f t="shared" si="1"/>
        <v>Seigel</v>
      </c>
      <c r="D908" s="5" t="str">
        <f t="shared" si="2"/>
        <v> Leah L.</v>
      </c>
    </row>
    <row r="909" ht="15.75" customHeight="1">
      <c r="A909" s="5" t="s">
        <v>1817</v>
      </c>
      <c r="B909" s="5" t="s">
        <v>1818</v>
      </c>
      <c r="C909" s="5" t="str">
        <f t="shared" si="1"/>
        <v>Blas</v>
      </c>
      <c r="D909" s="5" t="str">
        <f t="shared" si="2"/>
        <v> Wayne L.</v>
      </c>
    </row>
    <row r="910" ht="15.75" customHeight="1">
      <c r="A910" s="5" t="s">
        <v>1819</v>
      </c>
      <c r="B910" s="5" t="s">
        <v>1820</v>
      </c>
      <c r="C910" s="5" t="str">
        <f t="shared" si="1"/>
        <v>Simpson</v>
      </c>
      <c r="D910" s="5" t="str">
        <f t="shared" si="2"/>
        <v> Jason M.</v>
      </c>
    </row>
    <row r="911" ht="15.75" customHeight="1">
      <c r="A911" s="5" t="s">
        <v>1821</v>
      </c>
      <c r="B911" s="5" t="s">
        <v>1822</v>
      </c>
      <c r="C911" s="5" t="str">
        <f t="shared" si="1"/>
        <v>Gierman</v>
      </c>
      <c r="D911" s="5" t="str">
        <f t="shared" si="2"/>
        <v> Floris</v>
      </c>
    </row>
    <row r="912" ht="15.75" customHeight="1">
      <c r="A912" s="5" t="s">
        <v>1823</v>
      </c>
      <c r="B912" s="5" t="s">
        <v>1824</v>
      </c>
      <c r="C912" s="5" t="str">
        <f t="shared" si="1"/>
        <v>Jeuland</v>
      </c>
      <c r="D912" s="5" t="str">
        <f t="shared" si="2"/>
        <v> Marc</v>
      </c>
    </row>
    <row r="913" ht="15.75" customHeight="1">
      <c r="A913" s="5" t="s">
        <v>1825</v>
      </c>
      <c r="B913" s="5" t="s">
        <v>1826</v>
      </c>
      <c r="C913" s="5" t="str">
        <f t="shared" si="1"/>
        <v>Chorney</v>
      </c>
      <c r="D913" s="5" t="str">
        <f t="shared" si="2"/>
        <v> Christopher</v>
      </c>
    </row>
    <row r="914" ht="15.75" customHeight="1">
      <c r="A914" s="5" t="s">
        <v>1827</v>
      </c>
      <c r="B914" s="5" t="s">
        <v>1828</v>
      </c>
      <c r="C914" s="5" t="str">
        <f t="shared" si="1"/>
        <v>Rook</v>
      </c>
      <c r="D914" s="5" t="str">
        <f t="shared" si="2"/>
        <v> Kevin</v>
      </c>
    </row>
    <row r="915" ht="15.75" customHeight="1">
      <c r="A915" s="5" t="s">
        <v>1829</v>
      </c>
      <c r="B915" s="5" t="s">
        <v>1830</v>
      </c>
      <c r="C915" s="5" t="str">
        <f t="shared" si="1"/>
        <v>Wright</v>
      </c>
      <c r="D915" s="5" t="str">
        <f t="shared" si="2"/>
        <v> Aharon N</v>
      </c>
    </row>
    <row r="916" ht="15.75" customHeight="1">
      <c r="A916" s="5" t="s">
        <v>1831</v>
      </c>
      <c r="B916" s="5" t="s">
        <v>1832</v>
      </c>
      <c r="C916" s="5" t="str">
        <f t="shared" si="1"/>
        <v>Chin</v>
      </c>
      <c r="D916" s="5" t="str">
        <f t="shared" si="2"/>
        <v> Lawrence D.</v>
      </c>
    </row>
    <row r="917" ht="15.75" customHeight="1">
      <c r="A917" s="5" t="s">
        <v>1833</v>
      </c>
      <c r="B917" s="5" t="s">
        <v>1834</v>
      </c>
      <c r="C917" s="5" t="str">
        <f t="shared" si="1"/>
        <v>White</v>
      </c>
      <c r="D917" s="5" t="str">
        <f t="shared" si="2"/>
        <v> Malcolm</v>
      </c>
    </row>
    <row r="918" ht="15.75" customHeight="1">
      <c r="A918" s="5" t="s">
        <v>1835</v>
      </c>
      <c r="B918" s="5" t="s">
        <v>1836</v>
      </c>
      <c r="C918" s="5" t="str">
        <f t="shared" si="1"/>
        <v>Savage</v>
      </c>
      <c r="D918" s="5" t="str">
        <f t="shared" si="2"/>
        <v> Anna E.</v>
      </c>
    </row>
    <row r="919" ht="15.75" customHeight="1">
      <c r="A919" s="5" t="s">
        <v>1837</v>
      </c>
      <c r="B919" s="5" t="s">
        <v>1838</v>
      </c>
      <c r="C919" s="5" t="str">
        <f t="shared" si="1"/>
        <v>Hitchings</v>
      </c>
      <c r="D919" s="5" t="str">
        <f t="shared" si="2"/>
        <v> Jenny</v>
      </c>
    </row>
    <row r="920" ht="15.75" customHeight="1">
      <c r="A920" s="5" t="s">
        <v>1839</v>
      </c>
      <c r="B920" s="5" t="s">
        <v>1840</v>
      </c>
      <c r="C920" s="5" t="str">
        <f t="shared" si="1"/>
        <v>Truitt</v>
      </c>
      <c r="D920" s="5" t="str">
        <f t="shared" si="2"/>
        <v> Melissa L</v>
      </c>
    </row>
    <row r="921" ht="15.75" customHeight="1">
      <c r="A921" s="5" t="s">
        <v>1841</v>
      </c>
      <c r="B921" s="5" t="s">
        <v>1842</v>
      </c>
      <c r="C921" s="5" t="str">
        <f t="shared" si="1"/>
        <v>Chang</v>
      </c>
      <c r="D921" s="5" t="str">
        <f t="shared" si="2"/>
        <v> Chia J.</v>
      </c>
    </row>
    <row r="922" ht="15.75" customHeight="1">
      <c r="A922" s="5" t="s">
        <v>1843</v>
      </c>
      <c r="B922" s="5" t="s">
        <v>1844</v>
      </c>
      <c r="C922" s="5" t="str">
        <f t="shared" si="1"/>
        <v>Frey</v>
      </c>
      <c r="D922" s="5" t="str">
        <f t="shared" si="2"/>
        <v> Laura A</v>
      </c>
    </row>
    <row r="923" ht="15.75" customHeight="1">
      <c r="A923" s="5" t="s">
        <v>1845</v>
      </c>
      <c r="B923" s="5" t="s">
        <v>1846</v>
      </c>
      <c r="C923" s="5" t="str">
        <f t="shared" si="1"/>
        <v>Krishna</v>
      </c>
      <c r="D923" s="5" t="str">
        <f t="shared" si="2"/>
        <v> Aditi</v>
      </c>
    </row>
    <row r="924" ht="15.75" customHeight="1">
      <c r="A924" s="5" t="s">
        <v>1847</v>
      </c>
      <c r="B924" s="5" t="s">
        <v>1848</v>
      </c>
      <c r="C924" s="5" t="str">
        <f t="shared" si="1"/>
        <v>Maher</v>
      </c>
      <c r="D924" s="5" t="str">
        <f t="shared" si="2"/>
        <v> Leah A.</v>
      </c>
    </row>
    <row r="925" ht="15.75" customHeight="1">
      <c r="A925" s="5" t="s">
        <v>1849</v>
      </c>
      <c r="B925" s="5" t="s">
        <v>1850</v>
      </c>
      <c r="C925" s="5" t="str">
        <f t="shared" si="1"/>
        <v>Boivin</v>
      </c>
      <c r="D925" s="5" t="str">
        <f t="shared" si="2"/>
        <v> Marianne</v>
      </c>
    </row>
    <row r="926" ht="15.75" customHeight="1">
      <c r="A926" s="5" t="s">
        <v>1851</v>
      </c>
      <c r="B926" s="5" t="s">
        <v>1852</v>
      </c>
      <c r="C926" s="5" t="str">
        <f t="shared" si="1"/>
        <v>McAlister</v>
      </c>
      <c r="D926" s="5" t="str">
        <f t="shared" si="2"/>
        <v> Carla</v>
      </c>
    </row>
    <row r="927" ht="15.75" customHeight="1">
      <c r="A927" s="5" t="s">
        <v>1853</v>
      </c>
      <c r="B927" s="5" t="s">
        <v>1854</v>
      </c>
      <c r="C927" s="5" t="str">
        <f t="shared" si="1"/>
        <v>Akhmedova</v>
      </c>
      <c r="D927" s="5" t="str">
        <f t="shared" si="2"/>
        <v> Oksana</v>
      </c>
    </row>
    <row r="928" ht="15.75" customHeight="1">
      <c r="A928" s="5" t="s">
        <v>1855</v>
      </c>
      <c r="B928" s="5" t="s">
        <v>1856</v>
      </c>
      <c r="C928" s="5" t="str">
        <f t="shared" si="1"/>
        <v>Tucker</v>
      </c>
      <c r="D928" s="5" t="str">
        <f t="shared" si="2"/>
        <v> Rebecca B.</v>
      </c>
    </row>
    <row r="929" ht="15.75" customHeight="1">
      <c r="A929" s="5" t="s">
        <v>1857</v>
      </c>
      <c r="B929" s="5" t="s">
        <v>1858</v>
      </c>
      <c r="C929" s="5" t="str">
        <f t="shared" si="1"/>
        <v>Gramelspacher</v>
      </c>
      <c r="D929" s="5" t="str">
        <f t="shared" si="2"/>
        <v> Maria A.</v>
      </c>
    </row>
    <row r="930" ht="15.75" customHeight="1">
      <c r="A930" s="5" t="s">
        <v>1859</v>
      </c>
      <c r="B930" s="5" t="s">
        <v>1860</v>
      </c>
      <c r="C930" s="5" t="str">
        <f t="shared" si="1"/>
        <v>Goldsmith</v>
      </c>
      <c r="D930" s="5" t="str">
        <f t="shared" si="2"/>
        <v> Lisa M</v>
      </c>
    </row>
    <row r="931" ht="15.75" customHeight="1">
      <c r="A931" s="5" t="s">
        <v>1861</v>
      </c>
      <c r="B931" s="5" t="s">
        <v>1862</v>
      </c>
      <c r="C931" s="5" t="str">
        <f t="shared" si="1"/>
        <v>Tranter</v>
      </c>
      <c r="D931" s="5" t="str">
        <f t="shared" si="2"/>
        <v> Steve Jr.</v>
      </c>
    </row>
    <row r="932" ht="15.75" customHeight="1">
      <c r="A932" s="5" t="s">
        <v>1863</v>
      </c>
      <c r="B932" s="5" t="s">
        <v>1864</v>
      </c>
      <c r="C932" s="5" t="str">
        <f t="shared" si="1"/>
        <v>Tu</v>
      </c>
      <c r="D932" s="5" t="str">
        <f t="shared" si="2"/>
        <v> Tiffany</v>
      </c>
    </row>
    <row r="933" ht="15.75" customHeight="1">
      <c r="A933" s="5" t="s">
        <v>1865</v>
      </c>
      <c r="B933" s="5" t="s">
        <v>1866</v>
      </c>
      <c r="C933" s="5" t="str">
        <f t="shared" si="1"/>
        <v>Kaczka</v>
      </c>
      <c r="D933" s="5" t="str">
        <f t="shared" si="2"/>
        <v> Greg</v>
      </c>
    </row>
    <row r="934" ht="15.75" customHeight="1">
      <c r="A934" s="5" t="s">
        <v>1867</v>
      </c>
      <c r="B934" s="5" t="s">
        <v>1868</v>
      </c>
      <c r="C934" s="5" t="str">
        <f t="shared" si="1"/>
        <v>Hunter</v>
      </c>
      <c r="D934" s="5" t="str">
        <f t="shared" si="2"/>
        <v> Dale</v>
      </c>
    </row>
    <row r="935" ht="15.75" customHeight="1">
      <c r="A935" s="5" t="s">
        <v>1869</v>
      </c>
      <c r="B935" s="5" t="s">
        <v>1870</v>
      </c>
      <c r="C935" s="5" t="str">
        <f t="shared" si="1"/>
        <v>Moran</v>
      </c>
      <c r="D935" s="5" t="str">
        <f t="shared" si="2"/>
        <v> Brittany A.</v>
      </c>
    </row>
    <row r="936" ht="15.75" customHeight="1">
      <c r="A936" s="5" t="s">
        <v>1871</v>
      </c>
      <c r="B936" s="5" t="s">
        <v>1872</v>
      </c>
      <c r="C936" s="5" t="str">
        <f t="shared" si="1"/>
        <v>Ashby</v>
      </c>
      <c r="D936" s="5" t="str">
        <f t="shared" si="2"/>
        <v> Robert S</v>
      </c>
    </row>
    <row r="937" ht="15.75" customHeight="1">
      <c r="A937" s="5" t="s">
        <v>1873</v>
      </c>
      <c r="B937" s="5" t="s">
        <v>1874</v>
      </c>
      <c r="C937" s="5" t="str">
        <f t="shared" si="1"/>
        <v>Ausen</v>
      </c>
      <c r="D937" s="5" t="str">
        <f t="shared" si="2"/>
        <v> Cameron</v>
      </c>
    </row>
    <row r="938" ht="15.75" customHeight="1">
      <c r="A938" s="5" t="s">
        <v>1875</v>
      </c>
      <c r="B938" s="5" t="s">
        <v>1876</v>
      </c>
      <c r="C938" s="5" t="str">
        <f t="shared" si="1"/>
        <v>Savage</v>
      </c>
      <c r="D938" s="5" t="str">
        <f t="shared" si="2"/>
        <v> Ulrike</v>
      </c>
    </row>
    <row r="939" ht="15.75" customHeight="1">
      <c r="A939" s="5" t="s">
        <v>1877</v>
      </c>
      <c r="B939" s="5" t="s">
        <v>1878</v>
      </c>
      <c r="C939" s="5" t="str">
        <f t="shared" si="1"/>
        <v>O'Leary</v>
      </c>
      <c r="D939" s="5" t="str">
        <f t="shared" si="2"/>
        <v> Katlyn A.</v>
      </c>
    </row>
    <row r="940" ht="15.75" customHeight="1">
      <c r="A940" s="5" t="s">
        <v>1879</v>
      </c>
      <c r="B940" s="5" t="s">
        <v>1880</v>
      </c>
      <c r="C940" s="5" t="str">
        <f t="shared" si="1"/>
        <v>Scoville</v>
      </c>
      <c r="D940" s="5" t="str">
        <f t="shared" si="2"/>
        <v> Morgan B.</v>
      </c>
    </row>
    <row r="941" ht="15.75" customHeight="1">
      <c r="A941" s="5" t="s">
        <v>1881</v>
      </c>
      <c r="B941" s="5" t="s">
        <v>1882</v>
      </c>
      <c r="C941" s="5" t="str">
        <f t="shared" si="1"/>
        <v>Kaus</v>
      </c>
      <c r="D941" s="5" t="str">
        <f t="shared" si="2"/>
        <v> Peter</v>
      </c>
    </row>
    <row r="942" ht="15.75" customHeight="1">
      <c r="A942" s="5" t="s">
        <v>1883</v>
      </c>
      <c r="B942" s="5" t="s">
        <v>1884</v>
      </c>
      <c r="C942" s="5" t="str">
        <f t="shared" si="1"/>
        <v>Rainey</v>
      </c>
      <c r="D942" s="5" t="str">
        <f t="shared" si="2"/>
        <v> Chandler</v>
      </c>
    </row>
    <row r="943" ht="15.75" customHeight="1">
      <c r="A943" s="5" t="s">
        <v>1885</v>
      </c>
      <c r="B943" s="5" t="s">
        <v>1886</v>
      </c>
      <c r="C943" s="5" t="str">
        <f t="shared" si="1"/>
        <v>Rasch</v>
      </c>
      <c r="D943" s="5" t="str">
        <f t="shared" si="2"/>
        <v> Silvana M.</v>
      </c>
    </row>
    <row r="944" ht="15.75" customHeight="1">
      <c r="A944" s="5" t="s">
        <v>1887</v>
      </c>
      <c r="B944" s="5" t="s">
        <v>1888</v>
      </c>
      <c r="C944" s="5" t="str">
        <f t="shared" si="1"/>
        <v>Plunkett</v>
      </c>
      <c r="D944" s="5" t="str">
        <f t="shared" si="2"/>
        <v> Natty</v>
      </c>
    </row>
    <row r="945" ht="15.75" customHeight="1">
      <c r="A945" s="5" t="s">
        <v>1889</v>
      </c>
      <c r="B945" s="5" t="s">
        <v>1890</v>
      </c>
      <c r="C945" s="5" t="str">
        <f t="shared" si="1"/>
        <v>Murphy</v>
      </c>
      <c r="D945" s="5" t="str">
        <f t="shared" si="2"/>
        <v> Nicholas T</v>
      </c>
    </row>
    <row r="946" ht="15.75" customHeight="1">
      <c r="A946" s="5" t="s">
        <v>1891</v>
      </c>
      <c r="B946" s="5" t="s">
        <v>1892</v>
      </c>
      <c r="C946" s="5" t="str">
        <f t="shared" si="1"/>
        <v>Gusmer</v>
      </c>
      <c r="D946" s="5" t="str">
        <f t="shared" si="2"/>
        <v> Rebecca</v>
      </c>
    </row>
    <row r="947" ht="15.75" customHeight="1">
      <c r="A947" s="5" t="s">
        <v>1893</v>
      </c>
      <c r="B947" s="5" t="s">
        <v>1894</v>
      </c>
      <c r="C947" s="5" t="str">
        <f t="shared" si="1"/>
        <v>Loftus</v>
      </c>
      <c r="D947" s="5" t="str">
        <f t="shared" si="2"/>
        <v> John</v>
      </c>
    </row>
    <row r="948" ht="15.75" customHeight="1">
      <c r="A948" s="5" t="s">
        <v>1895</v>
      </c>
      <c r="B948" s="5" t="s">
        <v>1896</v>
      </c>
      <c r="C948" s="5" t="str">
        <f t="shared" si="1"/>
        <v>Scott</v>
      </c>
      <c r="D948" s="5" t="str">
        <f t="shared" si="2"/>
        <v> Antony G</v>
      </c>
    </row>
    <row r="949" ht="15.75" customHeight="1">
      <c r="A949" s="5" t="s">
        <v>1897</v>
      </c>
      <c r="B949" s="5" t="s">
        <v>1898</v>
      </c>
      <c r="C949" s="5" t="str">
        <f t="shared" si="1"/>
        <v>Alvarez</v>
      </c>
      <c r="D949" s="5" t="str">
        <f t="shared" si="2"/>
        <v> Eric</v>
      </c>
    </row>
    <row r="950" ht="15.75" customHeight="1">
      <c r="A950" s="5" t="s">
        <v>1899</v>
      </c>
      <c r="B950" s="5" t="s">
        <v>1900</v>
      </c>
      <c r="C950" s="5" t="str">
        <f t="shared" si="1"/>
        <v>Petersson</v>
      </c>
      <c r="D950" s="5" t="str">
        <f t="shared" si="2"/>
        <v> Erik</v>
      </c>
    </row>
    <row r="951" ht="15.75" customHeight="1">
      <c r="A951" s="5" t="s">
        <v>1901</v>
      </c>
      <c r="B951" s="5" t="s">
        <v>1902</v>
      </c>
      <c r="C951" s="5" t="str">
        <f t="shared" si="1"/>
        <v>Liaw</v>
      </c>
      <c r="D951" s="5" t="str">
        <f t="shared" si="2"/>
        <v> Matthew T</v>
      </c>
    </row>
    <row r="952" ht="15.75" customHeight="1">
      <c r="A952" s="5" t="s">
        <v>1903</v>
      </c>
      <c r="B952" s="5" t="s">
        <v>1904</v>
      </c>
      <c r="C952" s="5" t="str">
        <f t="shared" si="1"/>
        <v>Tripaldi</v>
      </c>
      <c r="D952" s="5" t="str">
        <f t="shared" si="2"/>
        <v> Cassandra</v>
      </c>
    </row>
    <row r="953" ht="15.75" customHeight="1">
      <c r="A953" s="5" t="s">
        <v>1905</v>
      </c>
      <c r="B953" s="5" t="s">
        <v>1906</v>
      </c>
      <c r="C953" s="5" t="str">
        <f t="shared" si="1"/>
        <v>Kelley</v>
      </c>
      <c r="D953" s="5" t="str">
        <f t="shared" si="2"/>
        <v> Rosemary C</v>
      </c>
    </row>
    <row r="954" ht="15.75" customHeight="1">
      <c r="A954" s="5" t="s">
        <v>1907</v>
      </c>
      <c r="B954" s="5" t="s">
        <v>1908</v>
      </c>
      <c r="C954" s="5" t="str">
        <f t="shared" si="1"/>
        <v>Endara</v>
      </c>
      <c r="D954" s="5" t="str">
        <f t="shared" si="2"/>
        <v> Carrie A.</v>
      </c>
    </row>
    <row r="955" ht="15.75" customHeight="1">
      <c r="A955" s="5" t="s">
        <v>1909</v>
      </c>
      <c r="B955" s="5" t="s">
        <v>1910</v>
      </c>
      <c r="C955" s="5" t="str">
        <f t="shared" si="1"/>
        <v>Valle</v>
      </c>
      <c r="D955" s="5" t="str">
        <f t="shared" si="2"/>
        <v> Gerardo Sr.</v>
      </c>
    </row>
    <row r="956" ht="15.75" customHeight="1">
      <c r="A956" s="5" t="s">
        <v>1911</v>
      </c>
      <c r="B956" s="5" t="s">
        <v>1912</v>
      </c>
      <c r="C956" s="5" t="str">
        <f t="shared" si="1"/>
        <v>Germain</v>
      </c>
      <c r="D956" s="5" t="str">
        <f t="shared" si="2"/>
        <v> Matthew R.</v>
      </c>
    </row>
    <row r="957" ht="15.75" customHeight="1">
      <c r="A957" s="5" t="s">
        <v>1913</v>
      </c>
      <c r="B957" s="5" t="s">
        <v>1914</v>
      </c>
      <c r="C957" s="5" t="str">
        <f t="shared" si="1"/>
        <v>Finecey</v>
      </c>
      <c r="D957" s="5" t="str">
        <f t="shared" si="2"/>
        <v> Meghan E</v>
      </c>
    </row>
    <row r="958" ht="15.75" customHeight="1">
      <c r="A958" s="5" t="s">
        <v>1915</v>
      </c>
      <c r="B958" s="5" t="s">
        <v>1916</v>
      </c>
      <c r="C958" s="5" t="str">
        <f t="shared" si="1"/>
        <v>Mendoza</v>
      </c>
      <c r="D958" s="5" t="str">
        <f t="shared" si="2"/>
        <v> Eric</v>
      </c>
    </row>
    <row r="959" ht="15.75" customHeight="1">
      <c r="A959" s="5" t="s">
        <v>1917</v>
      </c>
      <c r="B959" s="5" t="s">
        <v>1918</v>
      </c>
      <c r="C959" s="5" t="str">
        <f t="shared" si="1"/>
        <v>Roe</v>
      </c>
      <c r="D959" s="5" t="str">
        <f t="shared" si="2"/>
        <v> Lisa B</v>
      </c>
    </row>
    <row r="960" ht="15.75" customHeight="1">
      <c r="A960" s="5" t="s">
        <v>1919</v>
      </c>
      <c r="B960" s="5" t="s">
        <v>1920</v>
      </c>
      <c r="C960" s="5" t="str">
        <f t="shared" si="1"/>
        <v>Webb</v>
      </c>
      <c r="D960" s="5" t="str">
        <f t="shared" si="2"/>
        <v> Jane R.</v>
      </c>
    </row>
    <row r="961" ht="15.75" customHeight="1">
      <c r="A961" s="5" t="s">
        <v>1921</v>
      </c>
      <c r="B961" s="5" t="s">
        <v>1922</v>
      </c>
      <c r="C961" s="5" t="str">
        <f t="shared" si="1"/>
        <v>Stocker</v>
      </c>
      <c r="D961" s="5" t="str">
        <f t="shared" si="2"/>
        <v> Allison M</v>
      </c>
    </row>
    <row r="962" ht="15.75" customHeight="1">
      <c r="A962" s="5" t="s">
        <v>1923</v>
      </c>
      <c r="B962" s="5" t="s">
        <v>1924</v>
      </c>
      <c r="C962" s="5" t="str">
        <f t="shared" si="1"/>
        <v>Jacobson</v>
      </c>
      <c r="D962" s="5" t="str">
        <f t="shared" si="2"/>
        <v> Sarah E.</v>
      </c>
    </row>
    <row r="963" ht="15.75" customHeight="1">
      <c r="A963" s="5" t="s">
        <v>1925</v>
      </c>
      <c r="B963" s="5" t="s">
        <v>1926</v>
      </c>
      <c r="C963" s="5" t="str">
        <f t="shared" si="1"/>
        <v>Shaw</v>
      </c>
      <c r="D963" s="5" t="str">
        <f t="shared" si="2"/>
        <v> Philip J</v>
      </c>
    </row>
    <row r="964" ht="15.75" customHeight="1">
      <c r="A964" s="5" t="s">
        <v>1927</v>
      </c>
      <c r="B964" s="5" t="s">
        <v>1928</v>
      </c>
      <c r="C964" s="5" t="str">
        <f t="shared" si="1"/>
        <v>Goodwin</v>
      </c>
      <c r="D964" s="5" t="str">
        <f t="shared" si="2"/>
        <v> Jillian A.</v>
      </c>
    </row>
    <row r="965" ht="15.75" customHeight="1">
      <c r="A965" s="5" t="s">
        <v>1929</v>
      </c>
      <c r="B965" s="5" t="s">
        <v>1930</v>
      </c>
      <c r="C965" s="5" t="str">
        <f t="shared" si="1"/>
        <v>Brock</v>
      </c>
      <c r="D965" s="5" t="str">
        <f t="shared" si="2"/>
        <v> Laura D</v>
      </c>
    </row>
    <row r="966" ht="15.75" customHeight="1">
      <c r="A966" s="5" t="s">
        <v>1931</v>
      </c>
      <c r="B966" s="5" t="s">
        <v>1932</v>
      </c>
      <c r="C966" s="5" t="str">
        <f t="shared" si="1"/>
        <v>Papp</v>
      </c>
      <c r="D966" s="5" t="str">
        <f t="shared" si="2"/>
        <v> Megan E.</v>
      </c>
    </row>
    <row r="967" ht="15.75" customHeight="1">
      <c r="A967" s="5" t="s">
        <v>1933</v>
      </c>
      <c r="B967" s="5" t="s">
        <v>1934</v>
      </c>
      <c r="C967" s="5" t="str">
        <f t="shared" si="1"/>
        <v>Siragusa</v>
      </c>
      <c r="D967" s="5" t="str">
        <f t="shared" si="2"/>
        <v> Shannon J.</v>
      </c>
    </row>
    <row r="968" ht="15.75" customHeight="1">
      <c r="A968" s="5" t="s">
        <v>1935</v>
      </c>
      <c r="B968" s="5" t="s">
        <v>1936</v>
      </c>
      <c r="C968" s="5" t="str">
        <f t="shared" si="1"/>
        <v>Pizarro</v>
      </c>
      <c r="D968" s="5" t="str">
        <f t="shared" si="2"/>
        <v> Rachelle M</v>
      </c>
    </row>
    <row r="969" ht="15.75" customHeight="1">
      <c r="A969" s="5" t="s">
        <v>1937</v>
      </c>
      <c r="B969" s="5" t="s">
        <v>1938</v>
      </c>
      <c r="C969" s="5" t="str">
        <f t="shared" si="1"/>
        <v>Strange</v>
      </c>
      <c r="D969" s="5" t="str">
        <f t="shared" si="2"/>
        <v> Casey</v>
      </c>
    </row>
    <row r="970" ht="15.75" customHeight="1">
      <c r="A970" s="5" t="s">
        <v>1939</v>
      </c>
      <c r="B970" s="5" t="s">
        <v>1940</v>
      </c>
      <c r="C970" s="5" t="str">
        <f t="shared" si="1"/>
        <v>Eidinger</v>
      </c>
      <c r="D970" s="5" t="str">
        <f t="shared" si="2"/>
        <v> Jessica L</v>
      </c>
    </row>
    <row r="971" ht="15.75" customHeight="1">
      <c r="A971" s="5" t="s">
        <v>1941</v>
      </c>
      <c r="B971" s="5" t="s">
        <v>1942</v>
      </c>
      <c r="C971" s="5" t="str">
        <f t="shared" si="1"/>
        <v>Ginsburg</v>
      </c>
      <c r="D971" s="5" t="str">
        <f t="shared" si="2"/>
        <v> Brandon F</v>
      </c>
    </row>
    <row r="972" ht="15.75" customHeight="1">
      <c r="A972" s="5" t="s">
        <v>1943</v>
      </c>
      <c r="B972" s="5" t="s">
        <v>1944</v>
      </c>
      <c r="C972" s="5" t="str">
        <f t="shared" si="1"/>
        <v>Truex</v>
      </c>
      <c r="D972" s="5" t="str">
        <f t="shared" si="2"/>
        <v> Melissa</v>
      </c>
    </row>
    <row r="973" ht="15.75" customHeight="1">
      <c r="A973" s="5" t="s">
        <v>1945</v>
      </c>
      <c r="B973" s="5" t="s">
        <v>1946</v>
      </c>
      <c r="C973" s="5" t="str">
        <f t="shared" si="1"/>
        <v>Higgins</v>
      </c>
      <c r="D973" s="5" t="str">
        <f t="shared" si="2"/>
        <v> Danielle N</v>
      </c>
    </row>
    <row r="974" ht="15.75" customHeight="1">
      <c r="A974" s="5" t="s">
        <v>1947</v>
      </c>
      <c r="B974" s="5" t="s">
        <v>1948</v>
      </c>
      <c r="C974" s="5" t="str">
        <f t="shared" si="1"/>
        <v>McCurdy</v>
      </c>
      <c r="D974" s="5" t="str">
        <f t="shared" si="2"/>
        <v> Matthew</v>
      </c>
    </row>
    <row r="975" ht="15.75" customHeight="1">
      <c r="A975" s="5" t="s">
        <v>1949</v>
      </c>
      <c r="B975" s="5" t="s">
        <v>1950</v>
      </c>
      <c r="C975" s="5" t="str">
        <f t="shared" si="1"/>
        <v>Hughes</v>
      </c>
      <c r="D975" s="5" t="str">
        <f t="shared" si="2"/>
        <v> Bettina</v>
      </c>
    </row>
    <row r="976" ht="15.75" customHeight="1">
      <c r="A976" s="5" t="s">
        <v>1951</v>
      </c>
      <c r="B976" s="5" t="s">
        <v>1952</v>
      </c>
      <c r="C976" s="5" t="str">
        <f t="shared" si="1"/>
        <v>Varner</v>
      </c>
      <c r="D976" s="5" t="str">
        <f t="shared" si="2"/>
        <v> Alexander</v>
      </c>
    </row>
    <row r="977" ht="15.75" customHeight="1">
      <c r="A977" s="5" t="s">
        <v>1953</v>
      </c>
      <c r="B977" s="5" t="s">
        <v>1954</v>
      </c>
      <c r="C977" s="5" t="str">
        <f t="shared" si="1"/>
        <v>Dahmen</v>
      </c>
      <c r="D977" s="5" t="str">
        <f t="shared" si="2"/>
        <v> Holli</v>
      </c>
    </row>
    <row r="978" ht="15.75" customHeight="1">
      <c r="A978" s="5" t="s">
        <v>1955</v>
      </c>
      <c r="B978" s="5" t="s">
        <v>1956</v>
      </c>
      <c r="C978" s="5" t="str">
        <f t="shared" si="1"/>
        <v>Young</v>
      </c>
      <c r="D978" s="5" t="str">
        <f t="shared" si="2"/>
        <v> Heather C</v>
      </c>
    </row>
    <row r="979" ht="15.75" customHeight="1">
      <c r="A979" s="5" t="s">
        <v>1957</v>
      </c>
      <c r="B979" s="5" t="s">
        <v>1958</v>
      </c>
      <c r="C979" s="5" t="str">
        <f t="shared" si="1"/>
        <v>Fraser</v>
      </c>
      <c r="D979" s="5" t="str">
        <f t="shared" si="2"/>
        <v> Kyle</v>
      </c>
    </row>
    <row r="980" ht="15.75" customHeight="1">
      <c r="A980" s="5" t="s">
        <v>1959</v>
      </c>
      <c r="B980" s="5" t="s">
        <v>1960</v>
      </c>
      <c r="C980" s="5" t="str">
        <f t="shared" si="1"/>
        <v>Deeg</v>
      </c>
      <c r="D980" s="5" t="str">
        <f t="shared" si="2"/>
        <v> Thomas J</v>
      </c>
    </row>
    <row r="981" ht="15.75" customHeight="1">
      <c r="A981" s="5" t="s">
        <v>1961</v>
      </c>
      <c r="B981" s="5" t="s">
        <v>1962</v>
      </c>
      <c r="C981" s="5" t="str">
        <f t="shared" si="1"/>
        <v>Robertson</v>
      </c>
      <c r="D981" s="5" t="str">
        <f t="shared" si="2"/>
        <v> Chris</v>
      </c>
    </row>
    <row r="982" ht="15.75" customHeight="1">
      <c r="A982" s="5" t="s">
        <v>1963</v>
      </c>
      <c r="B982" s="5" t="s">
        <v>1964</v>
      </c>
      <c r="C982" s="5" t="str">
        <f t="shared" si="1"/>
        <v>Peck</v>
      </c>
      <c r="D982" s="5" t="str">
        <f t="shared" si="2"/>
        <v> Graham</v>
      </c>
    </row>
    <row r="983" ht="15.75" customHeight="1">
      <c r="A983" s="5" t="s">
        <v>1965</v>
      </c>
      <c r="B983" s="5" t="s">
        <v>1966</v>
      </c>
      <c r="C983" s="5" t="str">
        <f t="shared" si="1"/>
        <v>Burger</v>
      </c>
      <c r="D983" s="5" t="str">
        <f t="shared" si="2"/>
        <v> Garrett</v>
      </c>
    </row>
    <row r="984" ht="15.75" customHeight="1">
      <c r="A984" s="5" t="s">
        <v>1967</v>
      </c>
      <c r="B984" s="5" t="s">
        <v>1968</v>
      </c>
      <c r="C984" s="5" t="str">
        <f t="shared" si="1"/>
        <v>Blain</v>
      </c>
      <c r="D984" s="5" t="str">
        <f t="shared" si="2"/>
        <v> Andrew</v>
      </c>
    </row>
    <row r="985" ht="15.75" customHeight="1">
      <c r="A985" s="5" t="s">
        <v>1969</v>
      </c>
      <c r="B985" s="5" t="s">
        <v>1970</v>
      </c>
      <c r="C985" s="5" t="str">
        <f t="shared" si="1"/>
        <v>Winters</v>
      </c>
      <c r="D985" s="5" t="str">
        <f t="shared" si="2"/>
        <v> Annabelle M</v>
      </c>
    </row>
    <row r="986" ht="15.75" customHeight="1">
      <c r="A986" s="5" t="s">
        <v>1971</v>
      </c>
      <c r="B986" s="5" t="s">
        <v>1972</v>
      </c>
      <c r="C986" s="5" t="str">
        <f t="shared" si="1"/>
        <v>McCue</v>
      </c>
      <c r="D986" s="5" t="str">
        <f t="shared" si="2"/>
        <v> Daniel T.</v>
      </c>
    </row>
    <row r="987" ht="15.75" customHeight="1">
      <c r="A987" s="5" t="s">
        <v>1973</v>
      </c>
      <c r="B987" s="5" t="s">
        <v>1974</v>
      </c>
      <c r="C987" s="5" t="str">
        <f t="shared" si="1"/>
        <v>Webster</v>
      </c>
      <c r="D987" s="5" t="str">
        <f t="shared" si="2"/>
        <v> Deanne</v>
      </c>
    </row>
    <row r="988" ht="15.75" customHeight="1">
      <c r="A988" s="5" t="s">
        <v>1975</v>
      </c>
      <c r="B988" s="5" t="s">
        <v>1976</v>
      </c>
      <c r="C988" s="5" t="str">
        <f t="shared" si="1"/>
        <v>Anderson</v>
      </c>
      <c r="D988" s="5" t="str">
        <f t="shared" si="2"/>
        <v> Carrie</v>
      </c>
    </row>
    <row r="989" ht="15.75" customHeight="1">
      <c r="A989" s="5" t="s">
        <v>1977</v>
      </c>
      <c r="B989" s="5" t="s">
        <v>1978</v>
      </c>
      <c r="C989" s="5" t="str">
        <f t="shared" si="1"/>
        <v>Chiappone</v>
      </c>
      <c r="D989" s="5" t="str">
        <f t="shared" si="2"/>
        <v> Suzanne</v>
      </c>
    </row>
    <row r="990" ht="15.75" customHeight="1">
      <c r="A990" s="5" t="s">
        <v>1979</v>
      </c>
      <c r="B990" s="5" t="s">
        <v>1980</v>
      </c>
      <c r="C990" s="5" t="str">
        <f t="shared" si="1"/>
        <v>Opie</v>
      </c>
      <c r="D990" s="5" t="str">
        <f t="shared" si="2"/>
        <v> Jasmine P.</v>
      </c>
    </row>
    <row r="991" ht="15.75" customHeight="1">
      <c r="A991" s="5" t="s">
        <v>1981</v>
      </c>
      <c r="B991" s="5" t="s">
        <v>1982</v>
      </c>
      <c r="C991" s="5" t="str">
        <f t="shared" si="1"/>
        <v>Donnelly</v>
      </c>
      <c r="D991" s="5" t="str">
        <f t="shared" si="2"/>
        <v> Jennifer</v>
      </c>
    </row>
    <row r="992" ht="15.75" customHeight="1">
      <c r="A992" s="5" t="s">
        <v>1983</v>
      </c>
      <c r="B992" s="5" t="s">
        <v>1984</v>
      </c>
      <c r="C992" s="5" t="str">
        <f t="shared" si="1"/>
        <v>Rall</v>
      </c>
      <c r="D992" s="5" t="str">
        <f t="shared" si="2"/>
        <v> Tracie</v>
      </c>
    </row>
    <row r="993" ht="15.75" customHeight="1">
      <c r="A993" s="5" t="s">
        <v>1985</v>
      </c>
      <c r="B993" s="5" t="s">
        <v>1986</v>
      </c>
      <c r="C993" s="5" t="str">
        <f t="shared" si="1"/>
        <v>Mitchell</v>
      </c>
      <c r="D993" s="5" t="str">
        <f t="shared" si="2"/>
        <v> Tristan D.</v>
      </c>
    </row>
    <row r="994" ht="15.75" customHeight="1">
      <c r="A994" s="5" t="s">
        <v>1987</v>
      </c>
      <c r="B994" s="5" t="s">
        <v>1988</v>
      </c>
      <c r="C994" s="5" t="str">
        <f t="shared" si="1"/>
        <v>Chen</v>
      </c>
      <c r="D994" s="5" t="str">
        <f t="shared" si="2"/>
        <v> Peiweng</v>
      </c>
    </row>
    <row r="995" ht="15.75" customHeight="1">
      <c r="A995" s="5" t="s">
        <v>1989</v>
      </c>
      <c r="B995" s="5" t="s">
        <v>1990</v>
      </c>
      <c r="C995" s="5" t="str">
        <f t="shared" si="1"/>
        <v>Tufaro</v>
      </c>
      <c r="D995" s="5" t="str">
        <f t="shared" si="2"/>
        <v> Theresa M.</v>
      </c>
    </row>
    <row r="996" ht="15.75" customHeight="1">
      <c r="A996" s="5" t="s">
        <v>1991</v>
      </c>
      <c r="B996" s="5" t="s">
        <v>1992</v>
      </c>
      <c r="C996" s="5" t="str">
        <f t="shared" si="1"/>
        <v>Peters</v>
      </c>
      <c r="D996" s="5" t="str">
        <f t="shared" si="2"/>
        <v> Daniel J</v>
      </c>
    </row>
    <row r="997" ht="15.75" customHeight="1">
      <c r="A997" s="5" t="s">
        <v>1993</v>
      </c>
      <c r="B997" s="5" t="s">
        <v>1994</v>
      </c>
      <c r="C997" s="5" t="str">
        <f t="shared" si="1"/>
        <v>Susedik</v>
      </c>
      <c r="D997" s="5" t="str">
        <f t="shared" si="2"/>
        <v> Courtney M.</v>
      </c>
    </row>
    <row r="998" ht="15.75" customHeight="1">
      <c r="A998" s="5" t="s">
        <v>1995</v>
      </c>
      <c r="B998" s="5" t="s">
        <v>1996</v>
      </c>
      <c r="C998" s="5" t="str">
        <f t="shared" si="1"/>
        <v>Garcia</v>
      </c>
      <c r="D998" s="5" t="str">
        <f t="shared" si="2"/>
        <v> Jose A.</v>
      </c>
    </row>
    <row r="999" ht="15.75" customHeight="1">
      <c r="A999" s="5" t="s">
        <v>1997</v>
      </c>
      <c r="B999" s="5" t="s">
        <v>1998</v>
      </c>
      <c r="C999" s="5" t="str">
        <f t="shared" si="1"/>
        <v>Deady</v>
      </c>
      <c r="D999" s="5" t="str">
        <f t="shared" si="2"/>
        <v> Lauren</v>
      </c>
    </row>
    <row r="1000" ht="15.75" customHeight="1">
      <c r="A1000" s="5" t="s">
        <v>1999</v>
      </c>
      <c r="B1000" s="5" t="s">
        <v>2000</v>
      </c>
      <c r="C1000" s="5" t="str">
        <f t="shared" si="1"/>
        <v>Campbell</v>
      </c>
      <c r="D1000" s="5" t="str">
        <f t="shared" si="2"/>
        <v> Jonathon M.</v>
      </c>
    </row>
    <row r="1001" ht="15.75" customHeight="1">
      <c r="A1001" s="5" t="s">
        <v>2001</v>
      </c>
      <c r="B1001" s="5" t="s">
        <v>2002</v>
      </c>
      <c r="C1001" s="5" t="str">
        <f t="shared" si="1"/>
        <v>Schaefer</v>
      </c>
      <c r="D1001" s="5" t="str">
        <f t="shared" si="2"/>
        <v> Stephanie A</v>
      </c>
    </row>
    <row r="1002" ht="15.75" customHeight="1">
      <c r="A1002" s="5" t="s">
        <v>2003</v>
      </c>
      <c r="B1002" s="5" t="s">
        <v>2004</v>
      </c>
      <c r="C1002" s="5" t="str">
        <f t="shared" si="1"/>
        <v>D'Alessandro</v>
      </c>
      <c r="D1002" s="5" t="str">
        <f t="shared" si="2"/>
        <v> Patrick</v>
      </c>
    </row>
    <row r="1003" ht="15.75" customHeight="1">
      <c r="A1003" s="5" t="s">
        <v>2005</v>
      </c>
      <c r="B1003" s="5" t="s">
        <v>2006</v>
      </c>
      <c r="C1003" s="5" t="str">
        <f t="shared" si="1"/>
        <v>Wyss</v>
      </c>
      <c r="D1003" s="5" t="str">
        <f t="shared" si="2"/>
        <v> Krista</v>
      </c>
    </row>
    <row r="1004" ht="15.75" customHeight="1">
      <c r="A1004" s="5" t="s">
        <v>2007</v>
      </c>
      <c r="B1004" s="5" t="s">
        <v>2008</v>
      </c>
      <c r="C1004" s="5" t="str">
        <f t="shared" si="1"/>
        <v>Rose</v>
      </c>
      <c r="D1004" s="5" t="str">
        <f t="shared" si="2"/>
        <v> Jenessa</v>
      </c>
    </row>
    <row r="1005" ht="15.75" customHeight="1">
      <c r="A1005" s="5" t="s">
        <v>2009</v>
      </c>
      <c r="B1005" s="5" t="s">
        <v>2010</v>
      </c>
      <c r="C1005" s="5" t="str">
        <f t="shared" si="1"/>
        <v>Hopper</v>
      </c>
      <c r="D1005" s="5" t="str">
        <f t="shared" si="2"/>
        <v> Ryan M.</v>
      </c>
    </row>
    <row r="1006" ht="15.75" customHeight="1">
      <c r="A1006" s="5" t="s">
        <v>2011</v>
      </c>
      <c r="B1006" s="5" t="s">
        <v>2012</v>
      </c>
      <c r="C1006" s="5" t="str">
        <f t="shared" si="1"/>
        <v>Finneran</v>
      </c>
      <c r="D1006" s="5" t="str">
        <f t="shared" si="2"/>
        <v> Thomas</v>
      </c>
    </row>
    <row r="1007" ht="15.75" customHeight="1">
      <c r="A1007" s="5" t="s">
        <v>2013</v>
      </c>
      <c r="B1007" s="5" t="s">
        <v>2014</v>
      </c>
      <c r="C1007" s="5" t="str">
        <f t="shared" si="1"/>
        <v>Basham</v>
      </c>
      <c r="D1007" s="5" t="str">
        <f t="shared" si="2"/>
        <v> Amanda N.</v>
      </c>
    </row>
    <row r="1008" ht="15.75" customHeight="1">
      <c r="A1008" s="5" t="s">
        <v>2015</v>
      </c>
      <c r="B1008" s="5" t="s">
        <v>2016</v>
      </c>
      <c r="C1008" s="5" t="str">
        <f t="shared" si="1"/>
        <v>Inman</v>
      </c>
      <c r="D1008" s="5" t="str">
        <f t="shared" si="2"/>
        <v> Teresa P.</v>
      </c>
    </row>
    <row r="1009" ht="15.75" customHeight="1">
      <c r="A1009" s="5" t="s">
        <v>2017</v>
      </c>
      <c r="B1009" s="5" t="s">
        <v>2018</v>
      </c>
      <c r="C1009" s="5" t="str">
        <f t="shared" si="1"/>
        <v>Oscal</v>
      </c>
      <c r="D1009" s="5" t="str">
        <f t="shared" si="2"/>
        <v> Dorian</v>
      </c>
    </row>
    <row r="1010" ht="15.75" customHeight="1">
      <c r="A1010" s="5" t="s">
        <v>2019</v>
      </c>
      <c r="B1010" s="5" t="s">
        <v>2020</v>
      </c>
      <c r="C1010" s="5" t="str">
        <f t="shared" si="1"/>
        <v>Craft</v>
      </c>
      <c r="D1010" s="5" t="str">
        <f t="shared" si="2"/>
        <v> Amy</v>
      </c>
    </row>
    <row r="1011" ht="15.75" customHeight="1">
      <c r="A1011" s="5" t="s">
        <v>2021</v>
      </c>
      <c r="B1011" s="5" t="s">
        <v>2022</v>
      </c>
      <c r="C1011" s="5" t="str">
        <f t="shared" si="1"/>
        <v>Kebede</v>
      </c>
      <c r="D1011" s="5" t="str">
        <f t="shared" si="2"/>
        <v> Aberu</v>
      </c>
    </row>
    <row r="1012" ht="15.75" customHeight="1">
      <c r="A1012" s="5" t="s">
        <v>2023</v>
      </c>
      <c r="B1012" s="5" t="s">
        <v>2024</v>
      </c>
      <c r="C1012" s="5" t="str">
        <f t="shared" si="1"/>
        <v>Strobel</v>
      </c>
      <c r="D1012" s="5" t="str">
        <f t="shared" si="2"/>
        <v> Ashley</v>
      </c>
    </row>
    <row r="1013" ht="15.75" customHeight="1">
      <c r="A1013" s="5" t="s">
        <v>2025</v>
      </c>
      <c r="B1013" s="5" t="s">
        <v>2026</v>
      </c>
      <c r="C1013" s="5" t="str">
        <f t="shared" si="1"/>
        <v>Dalton</v>
      </c>
      <c r="D1013" s="5" t="str">
        <f t="shared" si="2"/>
        <v> Anna E</v>
      </c>
    </row>
    <row r="1014" ht="15.75" customHeight="1">
      <c r="A1014" s="5" t="s">
        <v>2027</v>
      </c>
      <c r="B1014" s="5" t="s">
        <v>2028</v>
      </c>
      <c r="C1014" s="5" t="str">
        <f t="shared" si="1"/>
        <v>Morimoto</v>
      </c>
      <c r="D1014" s="5" t="str">
        <f t="shared" si="2"/>
        <v> Tania K.</v>
      </c>
    </row>
    <row r="1015" ht="15.75" customHeight="1">
      <c r="A1015" s="5" t="s">
        <v>2029</v>
      </c>
      <c r="B1015" s="5" t="s">
        <v>2030</v>
      </c>
      <c r="C1015" s="5" t="str">
        <f t="shared" si="1"/>
        <v>Manlove</v>
      </c>
      <c r="D1015" s="5" t="str">
        <f t="shared" si="2"/>
        <v> Ashley E</v>
      </c>
    </row>
    <row r="1016" ht="15.75" customHeight="1">
      <c r="A1016" s="5" t="s">
        <v>2031</v>
      </c>
      <c r="B1016" s="5" t="s">
        <v>2032</v>
      </c>
      <c r="C1016" s="5" t="str">
        <f t="shared" si="1"/>
        <v>Madzik</v>
      </c>
      <c r="D1016" s="5" t="str">
        <f t="shared" si="2"/>
        <v> Aleksandra</v>
      </c>
    </row>
    <row r="1017" ht="15.75" customHeight="1">
      <c r="A1017" s="5" t="s">
        <v>2033</v>
      </c>
      <c r="B1017" s="5" t="s">
        <v>2034</v>
      </c>
      <c r="C1017" s="5" t="str">
        <f t="shared" si="1"/>
        <v>Hobson</v>
      </c>
      <c r="D1017" s="5" t="str">
        <f t="shared" si="2"/>
        <v> Valery L</v>
      </c>
    </row>
    <row r="1018" ht="15.75" customHeight="1">
      <c r="A1018" s="5" t="s">
        <v>2035</v>
      </c>
      <c r="B1018" s="5" t="s">
        <v>2036</v>
      </c>
      <c r="C1018" s="5" t="str">
        <f t="shared" si="1"/>
        <v>Reyes</v>
      </c>
      <c r="D1018" s="5" t="str">
        <f t="shared" si="2"/>
        <v> Joanna G.</v>
      </c>
    </row>
    <row r="1019" ht="15.75" customHeight="1">
      <c r="A1019" s="5" t="s">
        <v>2037</v>
      </c>
      <c r="B1019" s="5" t="s">
        <v>2038</v>
      </c>
      <c r="C1019" s="5" t="str">
        <f t="shared" si="1"/>
        <v>Tierney</v>
      </c>
      <c r="D1019" s="5" t="str">
        <f t="shared" si="2"/>
        <v> Stefanie F.</v>
      </c>
    </row>
    <row r="1020" ht="15.75" customHeight="1">
      <c r="A1020" s="5" t="s">
        <v>2039</v>
      </c>
      <c r="B1020" s="5" t="s">
        <v>2040</v>
      </c>
      <c r="C1020" s="5" t="str">
        <f t="shared" si="1"/>
        <v>Gabris</v>
      </c>
      <c r="D1020" s="5" t="str">
        <f t="shared" si="2"/>
        <v> Stephen</v>
      </c>
    </row>
    <row r="1021" ht="15.75" customHeight="1">
      <c r="A1021" s="5" t="s">
        <v>2041</v>
      </c>
      <c r="B1021" s="5" t="s">
        <v>2042</v>
      </c>
      <c r="C1021" s="5" t="str">
        <f t="shared" si="1"/>
        <v>Howard</v>
      </c>
      <c r="D1021" s="5" t="str">
        <f t="shared" si="2"/>
        <v> Liza J.</v>
      </c>
    </row>
    <row r="1022" ht="15.75" customHeight="1">
      <c r="A1022" s="5" t="s">
        <v>2043</v>
      </c>
      <c r="B1022" s="5" t="s">
        <v>2044</v>
      </c>
      <c r="C1022" s="5" t="str">
        <f t="shared" si="1"/>
        <v>Kallay</v>
      </c>
      <c r="D1022" s="5" t="str">
        <f t="shared" si="2"/>
        <v> Ian M.</v>
      </c>
    </row>
    <row r="1023" ht="15.75" customHeight="1">
      <c r="A1023" s="5" t="s">
        <v>2045</v>
      </c>
      <c r="B1023" s="5" t="s">
        <v>2046</v>
      </c>
      <c r="C1023" s="5" t="str">
        <f t="shared" si="1"/>
        <v>Leguizamo</v>
      </c>
      <c r="D1023" s="5" t="str">
        <f t="shared" si="2"/>
        <v> Claudia L.</v>
      </c>
    </row>
    <row r="1024" ht="15.75" customHeight="1">
      <c r="A1024" s="5" t="s">
        <v>2047</v>
      </c>
      <c r="B1024" s="5" t="s">
        <v>2048</v>
      </c>
      <c r="C1024" s="5" t="str">
        <f t="shared" si="1"/>
        <v>Escartin</v>
      </c>
      <c r="D1024" s="5" t="str">
        <f t="shared" si="2"/>
        <v> Jessica M</v>
      </c>
    </row>
    <row r="1025" ht="15.75" customHeight="1">
      <c r="A1025" s="5" t="s">
        <v>2049</v>
      </c>
      <c r="B1025" s="5" t="s">
        <v>2050</v>
      </c>
      <c r="C1025" s="5" t="str">
        <f t="shared" si="1"/>
        <v>Chorey</v>
      </c>
      <c r="D1025" s="5" t="str">
        <f t="shared" si="2"/>
        <v> Billy Jr.</v>
      </c>
    </row>
    <row r="1026" ht="15.75" customHeight="1">
      <c r="A1026" s="5" t="s">
        <v>2051</v>
      </c>
      <c r="B1026" s="5" t="s">
        <v>2052</v>
      </c>
      <c r="C1026" s="5" t="str">
        <f t="shared" si="1"/>
        <v>McVay</v>
      </c>
      <c r="D1026" s="5" t="str">
        <f t="shared" si="2"/>
        <v> David</v>
      </c>
    </row>
    <row r="1027" ht="15.75" customHeight="1">
      <c r="A1027" s="5" t="s">
        <v>2053</v>
      </c>
      <c r="B1027" s="5" t="s">
        <v>2054</v>
      </c>
      <c r="C1027" s="5" t="str">
        <f t="shared" si="1"/>
        <v>Vinson</v>
      </c>
      <c r="D1027" s="5" t="str">
        <f t="shared" si="2"/>
        <v> Tim</v>
      </c>
    </row>
    <row r="1028" ht="15.75" customHeight="1">
      <c r="A1028" s="5" t="s">
        <v>2055</v>
      </c>
      <c r="B1028" s="5" t="s">
        <v>2056</v>
      </c>
      <c r="C1028" s="5" t="str">
        <f t="shared" si="1"/>
        <v>Astrike-Davis</v>
      </c>
      <c r="D1028" s="5" t="str">
        <f t="shared" si="2"/>
        <v> Emma M</v>
      </c>
    </row>
    <row r="1029" ht="15.75" customHeight="1">
      <c r="A1029" s="5" t="s">
        <v>2057</v>
      </c>
      <c r="B1029" s="5" t="s">
        <v>2058</v>
      </c>
      <c r="C1029" s="5" t="str">
        <f t="shared" si="1"/>
        <v>Harder</v>
      </c>
      <c r="D1029" s="5" t="str">
        <f t="shared" si="2"/>
        <v> Tim</v>
      </c>
    </row>
    <row r="1030" ht="15.75" customHeight="1">
      <c r="A1030" s="5" t="s">
        <v>2059</v>
      </c>
      <c r="B1030" s="5" t="s">
        <v>2060</v>
      </c>
      <c r="C1030" s="5" t="str">
        <f t="shared" si="1"/>
        <v>Bell</v>
      </c>
      <c r="D1030" s="5" t="str">
        <f t="shared" si="2"/>
        <v> Patrick</v>
      </c>
    </row>
    <row r="1031" ht="15.75" customHeight="1">
      <c r="A1031" s="5" t="s">
        <v>2061</v>
      </c>
      <c r="B1031" s="5" t="s">
        <v>2062</v>
      </c>
      <c r="C1031" s="5" t="str">
        <f t="shared" si="1"/>
        <v>Dawes</v>
      </c>
      <c r="D1031" s="5" t="str">
        <f t="shared" si="2"/>
        <v> Bridget K.</v>
      </c>
    </row>
    <row r="1032" ht="15.75" customHeight="1">
      <c r="A1032" s="5" t="s">
        <v>2063</v>
      </c>
      <c r="B1032" s="5" t="s">
        <v>2064</v>
      </c>
      <c r="C1032" s="5" t="str">
        <f t="shared" si="1"/>
        <v>Larios</v>
      </c>
      <c r="D1032" s="5" t="str">
        <f t="shared" si="2"/>
        <v> Gabriel</v>
      </c>
    </row>
    <row r="1033" ht="15.75" customHeight="1">
      <c r="A1033" s="5" t="s">
        <v>2065</v>
      </c>
      <c r="B1033" s="5" t="s">
        <v>2066</v>
      </c>
      <c r="C1033" s="5" t="str">
        <f t="shared" si="1"/>
        <v>Yaremczuk</v>
      </c>
      <c r="D1033" s="5" t="str">
        <f t="shared" si="2"/>
        <v> Natasha</v>
      </c>
    </row>
    <row r="1034" ht="15.75" customHeight="1">
      <c r="A1034" s="5" t="s">
        <v>2067</v>
      </c>
      <c r="B1034" s="5" t="s">
        <v>2068</v>
      </c>
      <c r="C1034" s="5" t="str">
        <f t="shared" si="1"/>
        <v>Knight</v>
      </c>
      <c r="D1034" s="5" t="str">
        <f t="shared" si="2"/>
        <v> Abby A.</v>
      </c>
    </row>
    <row r="1035" ht="15.75" customHeight="1">
      <c r="A1035" s="5" t="s">
        <v>2069</v>
      </c>
      <c r="B1035" s="5" t="s">
        <v>2070</v>
      </c>
      <c r="C1035" s="5" t="str">
        <f t="shared" si="1"/>
        <v>Eversman</v>
      </c>
      <c r="D1035" s="5" t="str">
        <f t="shared" si="2"/>
        <v> Michelle</v>
      </c>
    </row>
    <row r="1036" ht="15.75" customHeight="1">
      <c r="A1036" s="5" t="s">
        <v>2071</v>
      </c>
      <c r="B1036" s="5" t="s">
        <v>2072</v>
      </c>
      <c r="C1036" s="5" t="str">
        <f t="shared" si="1"/>
        <v>Hickory</v>
      </c>
      <c r="D1036" s="5" t="str">
        <f t="shared" si="2"/>
        <v> Mckendree</v>
      </c>
    </row>
    <row r="1037" ht="15.75" customHeight="1">
      <c r="A1037" s="5" t="s">
        <v>2073</v>
      </c>
      <c r="B1037" s="5" t="s">
        <v>2074</v>
      </c>
      <c r="C1037" s="5" t="str">
        <f t="shared" si="1"/>
        <v>Mooney</v>
      </c>
      <c r="D1037" s="5" t="str">
        <f t="shared" si="2"/>
        <v> Tara</v>
      </c>
    </row>
    <row r="1038" ht="15.75" customHeight="1">
      <c r="A1038" s="5" t="s">
        <v>2075</v>
      </c>
      <c r="B1038" s="5" t="s">
        <v>2076</v>
      </c>
      <c r="C1038" s="5" t="str">
        <f t="shared" si="1"/>
        <v>Craighead</v>
      </c>
      <c r="D1038" s="5" t="str">
        <f t="shared" si="2"/>
        <v> Daniel</v>
      </c>
    </row>
    <row r="1039" ht="15.75" customHeight="1">
      <c r="A1039" s="5" t="s">
        <v>2077</v>
      </c>
      <c r="B1039" s="5" t="s">
        <v>2078</v>
      </c>
      <c r="C1039" s="5" t="str">
        <f t="shared" si="1"/>
        <v>Gardner</v>
      </c>
      <c r="D1039" s="5" t="str">
        <f t="shared" si="2"/>
        <v> Joshua P</v>
      </c>
    </row>
    <row r="1040" ht="15.75" customHeight="1">
      <c r="A1040" s="5" t="s">
        <v>2079</v>
      </c>
      <c r="B1040" s="5" t="s">
        <v>2080</v>
      </c>
      <c r="C1040" s="5" t="str">
        <f t="shared" si="1"/>
        <v>Lohrenz</v>
      </c>
      <c r="D1040" s="5" t="str">
        <f t="shared" si="2"/>
        <v> Erin C</v>
      </c>
    </row>
    <row r="1041" ht="15.75" customHeight="1">
      <c r="A1041" s="5" t="s">
        <v>2081</v>
      </c>
      <c r="B1041" s="5" t="s">
        <v>2082</v>
      </c>
      <c r="C1041" s="5" t="str">
        <f t="shared" si="1"/>
        <v>Demise</v>
      </c>
      <c r="D1041" s="5" t="str">
        <f t="shared" si="2"/>
        <v> Shure</v>
      </c>
    </row>
    <row r="1042" ht="15.75" customHeight="1">
      <c r="A1042" s="5" t="s">
        <v>2083</v>
      </c>
      <c r="B1042" s="5" t="s">
        <v>2084</v>
      </c>
      <c r="C1042" s="5" t="str">
        <f t="shared" si="1"/>
        <v>Nelson</v>
      </c>
      <c r="D1042" s="5" t="str">
        <f t="shared" si="2"/>
        <v> Richard</v>
      </c>
    </row>
    <row r="1043" ht="15.75" customHeight="1">
      <c r="A1043" s="5" t="s">
        <v>2085</v>
      </c>
      <c r="B1043" s="5" t="s">
        <v>2086</v>
      </c>
      <c r="C1043" s="5" t="str">
        <f t="shared" si="1"/>
        <v>Guitard</v>
      </c>
      <c r="D1043" s="5" t="str">
        <f t="shared" si="2"/>
        <v> Brenda</v>
      </c>
    </row>
    <row r="1044" ht="15.75" customHeight="1">
      <c r="A1044" s="5" t="s">
        <v>2087</v>
      </c>
      <c r="B1044" s="5" t="s">
        <v>2088</v>
      </c>
      <c r="C1044" s="5" t="str">
        <f t="shared" si="1"/>
        <v>Navas</v>
      </c>
      <c r="D1044" s="5" t="str">
        <f t="shared" si="2"/>
        <v> Joseph M</v>
      </c>
    </row>
    <row r="1045" ht="15.75" customHeight="1">
      <c r="A1045" s="5" t="s">
        <v>2089</v>
      </c>
      <c r="B1045" s="5" t="s">
        <v>2090</v>
      </c>
      <c r="C1045" s="5" t="str">
        <f t="shared" si="1"/>
        <v>Ptucha</v>
      </c>
      <c r="D1045" s="5" t="str">
        <f t="shared" si="2"/>
        <v> Stephen J.</v>
      </c>
    </row>
    <row r="1046" ht="15.75" customHeight="1">
      <c r="A1046" s="5" t="s">
        <v>2091</v>
      </c>
      <c r="B1046" s="5" t="s">
        <v>2092</v>
      </c>
      <c r="C1046" s="5" t="str">
        <f t="shared" si="1"/>
        <v>Kirouac</v>
      </c>
      <c r="D1046" s="5" t="str">
        <f t="shared" si="2"/>
        <v> Kathya</v>
      </c>
    </row>
    <row r="1047" ht="15.75" customHeight="1">
      <c r="A1047" s="5" t="s">
        <v>2093</v>
      </c>
      <c r="B1047" s="5" t="s">
        <v>2094</v>
      </c>
      <c r="C1047" s="5" t="str">
        <f t="shared" si="1"/>
        <v>Toews</v>
      </c>
      <c r="D1047" s="5" t="str">
        <f t="shared" si="2"/>
        <v> Wesley</v>
      </c>
    </row>
    <row r="1048" ht="15.75" customHeight="1">
      <c r="A1048" s="5" t="s">
        <v>2095</v>
      </c>
      <c r="B1048" s="5" t="s">
        <v>2096</v>
      </c>
      <c r="C1048" s="5" t="str">
        <f t="shared" si="1"/>
        <v>Perry</v>
      </c>
      <c r="D1048" s="5" t="str">
        <f t="shared" si="2"/>
        <v> Tim</v>
      </c>
    </row>
    <row r="1049" ht="15.75" customHeight="1">
      <c r="A1049" s="5" t="s">
        <v>2097</v>
      </c>
      <c r="B1049" s="5" t="s">
        <v>2098</v>
      </c>
      <c r="C1049" s="5" t="str">
        <f t="shared" si="1"/>
        <v>Kretz</v>
      </c>
      <c r="D1049" s="5" t="str">
        <f t="shared" si="2"/>
        <v> Jamie L.</v>
      </c>
    </row>
    <row r="1050" ht="15.75" customHeight="1">
      <c r="A1050" s="5" t="s">
        <v>2099</v>
      </c>
      <c r="B1050" s="5" t="s">
        <v>2100</v>
      </c>
      <c r="C1050" s="5" t="str">
        <f t="shared" si="1"/>
        <v>Hempel</v>
      </c>
      <c r="D1050" s="5" t="str">
        <f t="shared" si="2"/>
        <v> Alexandra</v>
      </c>
    </row>
    <row r="1051" ht="15.75" customHeight="1">
      <c r="A1051" s="5" t="s">
        <v>2101</v>
      </c>
      <c r="B1051" s="5" t="s">
        <v>2102</v>
      </c>
      <c r="C1051" s="5" t="str">
        <f t="shared" si="1"/>
        <v>McBroom</v>
      </c>
      <c r="D1051" s="5" t="str">
        <f t="shared" si="2"/>
        <v> Tiffany</v>
      </c>
    </row>
    <row r="1052" ht="15.75" customHeight="1">
      <c r="A1052" s="5" t="s">
        <v>2103</v>
      </c>
      <c r="B1052" s="5" t="s">
        <v>2104</v>
      </c>
      <c r="C1052" s="5" t="str">
        <f t="shared" si="1"/>
        <v>Yoo</v>
      </c>
      <c r="D1052" s="5" t="str">
        <f t="shared" si="2"/>
        <v> Rebecca J</v>
      </c>
    </row>
    <row r="1053" ht="15.75" customHeight="1">
      <c r="A1053" s="5" t="s">
        <v>2105</v>
      </c>
      <c r="B1053" s="5" t="s">
        <v>2106</v>
      </c>
      <c r="C1053" s="5" t="str">
        <f t="shared" si="1"/>
        <v>Rand</v>
      </c>
      <c r="D1053" s="5" t="str">
        <f t="shared" si="2"/>
        <v> Austin T.</v>
      </c>
    </row>
    <row r="1054" ht="15.75" customHeight="1">
      <c r="A1054" s="5" t="s">
        <v>2107</v>
      </c>
      <c r="B1054" s="5" t="s">
        <v>2108</v>
      </c>
      <c r="C1054" s="5" t="str">
        <f t="shared" si="1"/>
        <v>Wolfe</v>
      </c>
      <c r="D1054" s="5" t="str">
        <f t="shared" si="2"/>
        <v> Jamie T</v>
      </c>
    </row>
    <row r="1055" ht="15.75" customHeight="1">
      <c r="A1055" s="5" t="s">
        <v>2109</v>
      </c>
      <c r="B1055" s="5" t="s">
        <v>2110</v>
      </c>
      <c r="C1055" s="5" t="str">
        <f t="shared" si="1"/>
        <v>Vance</v>
      </c>
      <c r="D1055" s="5" t="str">
        <f t="shared" si="2"/>
        <v> Matthew T.</v>
      </c>
    </row>
    <row r="1056" ht="15.75" customHeight="1">
      <c r="A1056" s="5" t="s">
        <v>2111</v>
      </c>
      <c r="B1056" s="5" t="s">
        <v>2112</v>
      </c>
      <c r="C1056" s="5" t="str">
        <f t="shared" si="1"/>
        <v>Burnett</v>
      </c>
      <c r="D1056" s="5" t="str">
        <f t="shared" si="2"/>
        <v> Emily</v>
      </c>
    </row>
    <row r="1057" ht="15.75" customHeight="1">
      <c r="A1057" s="5" t="s">
        <v>2113</v>
      </c>
      <c r="B1057" s="5" t="s">
        <v>2114</v>
      </c>
      <c r="C1057" s="5" t="str">
        <f t="shared" si="1"/>
        <v>Clason</v>
      </c>
      <c r="D1057" s="5" t="str">
        <f t="shared" si="2"/>
        <v> Gillian</v>
      </c>
    </row>
    <row r="1058" ht="15.75" customHeight="1">
      <c r="A1058" s="5" t="s">
        <v>2115</v>
      </c>
      <c r="B1058" s="5" t="s">
        <v>2116</v>
      </c>
      <c r="C1058" s="5" t="str">
        <f t="shared" si="1"/>
        <v>Donnelly</v>
      </c>
      <c r="D1058" s="5" t="str">
        <f t="shared" si="2"/>
        <v> Brenn E.</v>
      </c>
    </row>
    <row r="1059" ht="15.75" customHeight="1">
      <c r="A1059" s="5" t="s">
        <v>2117</v>
      </c>
      <c r="B1059" s="5" t="s">
        <v>2118</v>
      </c>
      <c r="C1059" s="5" t="str">
        <f t="shared" si="1"/>
        <v>Pietz</v>
      </c>
      <c r="D1059" s="5" t="str">
        <f t="shared" si="2"/>
        <v> Lisa M</v>
      </c>
    </row>
    <row r="1060" ht="15.75" customHeight="1">
      <c r="A1060" s="5" t="s">
        <v>2119</v>
      </c>
      <c r="B1060" s="5" t="s">
        <v>2120</v>
      </c>
      <c r="C1060" s="5" t="str">
        <f t="shared" si="1"/>
        <v>Tegenkamp</v>
      </c>
      <c r="D1060" s="5" t="str">
        <f t="shared" si="2"/>
        <v> Matt</v>
      </c>
    </row>
    <row r="1061" ht="15.75" customHeight="1">
      <c r="A1061" s="5" t="s">
        <v>2121</v>
      </c>
      <c r="B1061" s="5" t="s">
        <v>2122</v>
      </c>
      <c r="C1061" s="5" t="str">
        <f t="shared" si="1"/>
        <v>Dover</v>
      </c>
      <c r="D1061" s="5" t="str">
        <f t="shared" si="2"/>
        <v> Thomas A.</v>
      </c>
    </row>
    <row r="1062" ht="15.75" customHeight="1">
      <c r="A1062" s="5" t="s">
        <v>2123</v>
      </c>
      <c r="B1062" s="5" t="s">
        <v>2124</v>
      </c>
      <c r="C1062" s="5" t="str">
        <f t="shared" si="1"/>
        <v>Dockemeyer</v>
      </c>
      <c r="D1062" s="5" t="str">
        <f t="shared" si="2"/>
        <v> Kevin J</v>
      </c>
    </row>
    <row r="1063" ht="15.75" customHeight="1">
      <c r="A1063" s="5" t="s">
        <v>2125</v>
      </c>
      <c r="B1063" s="5" t="s">
        <v>2126</v>
      </c>
      <c r="C1063" s="5" t="str">
        <f t="shared" si="1"/>
        <v>Steele</v>
      </c>
      <c r="D1063" s="5" t="str">
        <f t="shared" si="2"/>
        <v> William H. III</v>
      </c>
    </row>
    <row r="1064" ht="15.75" customHeight="1">
      <c r="A1064" s="5" t="s">
        <v>2127</v>
      </c>
      <c r="B1064" s="5" t="s">
        <v>2128</v>
      </c>
      <c r="C1064" s="5" t="str">
        <f t="shared" si="1"/>
        <v>Harel</v>
      </c>
      <c r="D1064" s="5" t="str">
        <f t="shared" si="2"/>
        <v> Gal</v>
      </c>
    </row>
    <row r="1065" ht="15.75" customHeight="1">
      <c r="A1065" s="5" t="s">
        <v>2129</v>
      </c>
      <c r="B1065" s="5" t="s">
        <v>2130</v>
      </c>
      <c r="C1065" s="5" t="str">
        <f t="shared" si="1"/>
        <v>Aguila</v>
      </c>
      <c r="D1065" s="5" t="str">
        <f t="shared" si="2"/>
        <v> Anton</v>
      </c>
    </row>
    <row r="1066" ht="15.75" customHeight="1">
      <c r="A1066" s="5" t="s">
        <v>2131</v>
      </c>
      <c r="B1066" s="5" t="s">
        <v>2132</v>
      </c>
      <c r="C1066" s="5" t="str">
        <f t="shared" si="1"/>
        <v>Vallej</v>
      </c>
      <c r="D1066" s="5" t="str">
        <f t="shared" si="2"/>
        <v> Yazmin</v>
      </c>
    </row>
    <row r="1067" ht="15.75" customHeight="1">
      <c r="A1067" s="5" t="s">
        <v>2133</v>
      </c>
      <c r="B1067" s="5" t="s">
        <v>2134</v>
      </c>
      <c r="C1067" s="5" t="str">
        <f t="shared" si="1"/>
        <v>Beisheim</v>
      </c>
      <c r="D1067" s="5" t="str">
        <f t="shared" si="2"/>
        <v> Florian</v>
      </c>
    </row>
    <row r="1068" ht="15.75" customHeight="1">
      <c r="A1068" s="5" t="s">
        <v>2135</v>
      </c>
      <c r="B1068" s="5" t="s">
        <v>2136</v>
      </c>
      <c r="C1068" s="5" t="str">
        <f t="shared" si="1"/>
        <v>Lenhoff</v>
      </c>
      <c r="D1068" s="5" t="str">
        <f t="shared" si="2"/>
        <v> Karen L</v>
      </c>
    </row>
    <row r="1069" ht="15.75" customHeight="1">
      <c r="A1069" s="5" t="s">
        <v>2137</v>
      </c>
      <c r="B1069" s="5" t="s">
        <v>2138</v>
      </c>
      <c r="C1069" s="5" t="str">
        <f t="shared" si="1"/>
        <v>Wehrwein</v>
      </c>
      <c r="D1069" s="5" t="str">
        <f t="shared" si="2"/>
        <v> Scott</v>
      </c>
    </row>
    <row r="1070" ht="15.75" customHeight="1">
      <c r="A1070" s="5" t="s">
        <v>2139</v>
      </c>
      <c r="B1070" s="5" t="s">
        <v>2140</v>
      </c>
      <c r="C1070" s="5" t="str">
        <f t="shared" si="1"/>
        <v>Wallace</v>
      </c>
      <c r="D1070" s="5" t="str">
        <f t="shared" si="2"/>
        <v> Claire</v>
      </c>
    </row>
    <row r="1071" ht="15.75" customHeight="1">
      <c r="A1071" s="5" t="s">
        <v>2141</v>
      </c>
      <c r="B1071" s="5" t="s">
        <v>2142</v>
      </c>
      <c r="C1071" s="5" t="str">
        <f t="shared" si="1"/>
        <v>Markowitz</v>
      </c>
      <c r="D1071" s="5" t="str">
        <f t="shared" si="2"/>
        <v> Lynn M.</v>
      </c>
    </row>
    <row r="1072" ht="15.75" customHeight="1">
      <c r="A1072" s="5" t="s">
        <v>2143</v>
      </c>
      <c r="B1072" s="5" t="s">
        <v>2144</v>
      </c>
      <c r="C1072" s="5" t="str">
        <f t="shared" si="1"/>
        <v>Vos</v>
      </c>
      <c r="D1072" s="5" t="str">
        <f t="shared" si="2"/>
        <v> Sharon</v>
      </c>
    </row>
    <row r="1073" ht="15.75" customHeight="1">
      <c r="A1073" s="5" t="s">
        <v>2145</v>
      </c>
      <c r="B1073" s="5" t="s">
        <v>2146</v>
      </c>
      <c r="C1073" s="5" t="str">
        <f t="shared" si="1"/>
        <v>McLeod</v>
      </c>
      <c r="D1073" s="5" t="str">
        <f t="shared" si="2"/>
        <v> Candice</v>
      </c>
    </row>
    <row r="1074" ht="15.75" customHeight="1">
      <c r="A1074" s="5" t="s">
        <v>2147</v>
      </c>
      <c r="B1074" s="5" t="s">
        <v>2148</v>
      </c>
      <c r="C1074" s="5" t="str">
        <f t="shared" si="1"/>
        <v>Balcom</v>
      </c>
      <c r="D1074" s="5" t="str">
        <f t="shared" si="2"/>
        <v> Jennifer D</v>
      </c>
    </row>
    <row r="1075" ht="15.75" customHeight="1">
      <c r="A1075" s="5" t="s">
        <v>2149</v>
      </c>
      <c r="B1075" s="5" t="s">
        <v>2150</v>
      </c>
      <c r="C1075" s="5" t="str">
        <f t="shared" si="1"/>
        <v>Dirth</v>
      </c>
      <c r="D1075" s="5" t="str">
        <f t="shared" si="2"/>
        <v> Eric</v>
      </c>
    </row>
    <row r="1076" ht="15.75" customHeight="1">
      <c r="A1076" s="5" t="s">
        <v>2151</v>
      </c>
      <c r="B1076" s="5" t="s">
        <v>2152</v>
      </c>
      <c r="C1076" s="5" t="str">
        <f t="shared" si="1"/>
        <v>Inglish</v>
      </c>
      <c r="D1076" s="5" t="str">
        <f t="shared" si="2"/>
        <v> Bryan</v>
      </c>
    </row>
    <row r="1077" ht="15.75" customHeight="1">
      <c r="A1077" s="5" t="s">
        <v>2153</v>
      </c>
      <c r="B1077" s="5" t="s">
        <v>2154</v>
      </c>
      <c r="C1077" s="5" t="str">
        <f t="shared" si="1"/>
        <v>Matthews</v>
      </c>
      <c r="D1077" s="5" t="str">
        <f t="shared" si="2"/>
        <v> Devon R.</v>
      </c>
    </row>
    <row r="1078" ht="15.75" customHeight="1">
      <c r="A1078" s="5" t="s">
        <v>2155</v>
      </c>
      <c r="B1078" s="5" t="s">
        <v>2156</v>
      </c>
      <c r="C1078" s="5" t="str">
        <f t="shared" si="1"/>
        <v>Massa-Musiak</v>
      </c>
      <c r="D1078" s="5" t="str">
        <f t="shared" si="2"/>
        <v> Elena</v>
      </c>
    </row>
    <row r="1079" ht="15.75" customHeight="1">
      <c r="A1079" s="5" t="s">
        <v>2157</v>
      </c>
      <c r="B1079" s="5" t="s">
        <v>2158</v>
      </c>
      <c r="C1079" s="5" t="str">
        <f t="shared" si="1"/>
        <v>Bailey</v>
      </c>
      <c r="D1079" s="5" t="str">
        <f t="shared" si="2"/>
        <v> Chris</v>
      </c>
    </row>
    <row r="1080" ht="15.75" customHeight="1">
      <c r="A1080" s="5" t="s">
        <v>2159</v>
      </c>
      <c r="B1080" s="5" t="s">
        <v>2160</v>
      </c>
      <c r="C1080" s="5" t="str">
        <f t="shared" si="1"/>
        <v>Jacoby</v>
      </c>
      <c r="D1080" s="5" t="str">
        <f t="shared" si="2"/>
        <v> Bert</v>
      </c>
    </row>
    <row r="1081" ht="15.75" customHeight="1">
      <c r="A1081" s="5" t="s">
        <v>2161</v>
      </c>
      <c r="B1081" s="5" t="s">
        <v>2162</v>
      </c>
      <c r="C1081" s="5" t="str">
        <f t="shared" si="1"/>
        <v>Crimmings</v>
      </c>
      <c r="D1081" s="5" t="str">
        <f t="shared" si="2"/>
        <v> John P.</v>
      </c>
    </row>
    <row r="1082" ht="15.75" customHeight="1">
      <c r="A1082" s="5" t="s">
        <v>2163</v>
      </c>
      <c r="B1082" s="5" t="s">
        <v>2164</v>
      </c>
      <c r="C1082" s="5" t="str">
        <f t="shared" si="1"/>
        <v>Crane</v>
      </c>
      <c r="D1082" s="5" t="str">
        <f t="shared" si="2"/>
        <v> Daniel P</v>
      </c>
    </row>
    <row r="1083" ht="15.75" customHeight="1">
      <c r="A1083" s="5" t="s">
        <v>2165</v>
      </c>
      <c r="B1083" s="5" t="s">
        <v>2166</v>
      </c>
      <c r="C1083" s="5" t="str">
        <f t="shared" si="1"/>
        <v>Swartzfager</v>
      </c>
      <c r="D1083" s="5" t="str">
        <f t="shared" si="2"/>
        <v> Lisa K.</v>
      </c>
    </row>
    <row r="1084" ht="15.75" customHeight="1">
      <c r="A1084" s="5" t="s">
        <v>2167</v>
      </c>
      <c r="B1084" s="5" t="s">
        <v>2168</v>
      </c>
      <c r="C1084" s="5" t="str">
        <f t="shared" si="1"/>
        <v>Clevenger</v>
      </c>
      <c r="D1084" s="5" t="str">
        <f t="shared" si="2"/>
        <v> Kristine</v>
      </c>
    </row>
    <row r="1085" ht="15.75" customHeight="1">
      <c r="A1085" s="5" t="s">
        <v>2169</v>
      </c>
      <c r="B1085" s="5" t="s">
        <v>2170</v>
      </c>
      <c r="C1085" s="5" t="str">
        <f t="shared" si="1"/>
        <v>Reichardt</v>
      </c>
      <c r="D1085" s="5" t="str">
        <f t="shared" si="2"/>
        <v> Paul A</v>
      </c>
    </row>
    <row r="1086" ht="15.75" customHeight="1">
      <c r="A1086" s="5" t="s">
        <v>2171</v>
      </c>
      <c r="B1086" s="5" t="s">
        <v>2172</v>
      </c>
      <c r="C1086" s="5" t="str">
        <f t="shared" si="1"/>
        <v>Morton</v>
      </c>
      <c r="D1086" s="5" t="str">
        <f t="shared" si="2"/>
        <v> Bryan</v>
      </c>
    </row>
    <row r="1087" ht="15.75" customHeight="1">
      <c r="A1087" s="5" t="s">
        <v>2173</v>
      </c>
      <c r="B1087" s="5" t="s">
        <v>2174</v>
      </c>
      <c r="C1087" s="5" t="str">
        <f t="shared" si="1"/>
        <v>Sunstrum</v>
      </c>
      <c r="D1087" s="5" t="str">
        <f t="shared" si="2"/>
        <v> Chris</v>
      </c>
    </row>
    <row r="1088" ht="15.75" customHeight="1">
      <c r="A1088" s="5" t="s">
        <v>2175</v>
      </c>
      <c r="B1088" s="5" t="s">
        <v>2176</v>
      </c>
      <c r="C1088" s="5" t="str">
        <f t="shared" si="1"/>
        <v>Frownfelter</v>
      </c>
      <c r="D1088" s="5" t="str">
        <f t="shared" si="2"/>
        <v> Milah B</v>
      </c>
    </row>
    <row r="1089" ht="15.75" customHeight="1">
      <c r="A1089" s="5" t="s">
        <v>2177</v>
      </c>
      <c r="B1089" s="5" t="s">
        <v>2178</v>
      </c>
      <c r="C1089" s="5" t="str">
        <f t="shared" si="1"/>
        <v>Richter</v>
      </c>
      <c r="D1089" s="5" t="str">
        <f t="shared" si="2"/>
        <v> Annette M.</v>
      </c>
    </row>
    <row r="1090" ht="15.75" customHeight="1">
      <c r="A1090" s="5" t="s">
        <v>2179</v>
      </c>
      <c r="B1090" s="5" t="s">
        <v>2180</v>
      </c>
      <c r="C1090" s="5" t="str">
        <f t="shared" si="1"/>
        <v>England</v>
      </c>
      <c r="D1090" s="5" t="str">
        <f t="shared" si="2"/>
        <v> Yoko</v>
      </c>
    </row>
    <row r="1091" ht="15.75" customHeight="1">
      <c r="A1091" s="5" t="s">
        <v>2181</v>
      </c>
      <c r="B1091" s="5" t="s">
        <v>2182</v>
      </c>
      <c r="C1091" s="5" t="str">
        <f t="shared" si="1"/>
        <v>McLean</v>
      </c>
      <c r="D1091" s="5" t="str">
        <f t="shared" si="2"/>
        <v> Laura</v>
      </c>
    </row>
    <row r="1092" ht="15.75" customHeight="1">
      <c r="A1092" s="5" t="s">
        <v>2183</v>
      </c>
      <c r="B1092" s="5" t="s">
        <v>2184</v>
      </c>
      <c r="C1092" s="5" t="str">
        <f t="shared" si="1"/>
        <v>Gardner</v>
      </c>
      <c r="D1092" s="5" t="str">
        <f t="shared" si="2"/>
        <v> Tess A.</v>
      </c>
    </row>
    <row r="1093" ht="15.75" customHeight="1">
      <c r="A1093" s="5" t="s">
        <v>2185</v>
      </c>
      <c r="B1093" s="5" t="s">
        <v>2186</v>
      </c>
      <c r="C1093" s="5" t="str">
        <f t="shared" si="1"/>
        <v>Lane</v>
      </c>
      <c r="D1093" s="5" t="str">
        <f t="shared" si="2"/>
        <v> William G.</v>
      </c>
    </row>
    <row r="1094" ht="15.75" customHeight="1">
      <c r="A1094" s="5" t="s">
        <v>2187</v>
      </c>
      <c r="B1094" s="5" t="s">
        <v>2188</v>
      </c>
      <c r="C1094" s="5" t="str">
        <f t="shared" si="1"/>
        <v>Vonachen</v>
      </c>
      <c r="D1094" s="5" t="str">
        <f t="shared" si="2"/>
        <v> Paige</v>
      </c>
    </row>
    <row r="1095" ht="15.75" customHeight="1">
      <c r="A1095" s="5" t="s">
        <v>2189</v>
      </c>
      <c r="B1095" s="5" t="s">
        <v>2190</v>
      </c>
      <c r="C1095" s="5" t="str">
        <f t="shared" si="1"/>
        <v>Smith</v>
      </c>
      <c r="D1095" s="5" t="str">
        <f t="shared" si="2"/>
        <v> Matthew J</v>
      </c>
    </row>
    <row r="1096" ht="15.75" customHeight="1">
      <c r="A1096" s="5" t="s">
        <v>2191</v>
      </c>
      <c r="B1096" s="5" t="s">
        <v>2192</v>
      </c>
      <c r="C1096" s="5" t="str">
        <f t="shared" si="1"/>
        <v>Kidwell</v>
      </c>
      <c r="D1096" s="5" t="str">
        <f t="shared" si="2"/>
        <v> Matthew</v>
      </c>
    </row>
    <row r="1097" ht="15.75" customHeight="1">
      <c r="A1097" s="5" t="s">
        <v>2193</v>
      </c>
      <c r="B1097" s="5" t="s">
        <v>2194</v>
      </c>
      <c r="C1097" s="5" t="str">
        <f t="shared" si="1"/>
        <v>Betancourth</v>
      </c>
      <c r="D1097" s="5" t="str">
        <f t="shared" si="2"/>
        <v> Maria</v>
      </c>
    </row>
    <row r="1098" ht="15.75" customHeight="1">
      <c r="A1098" s="5" t="s">
        <v>2195</v>
      </c>
      <c r="B1098" s="5" t="s">
        <v>2196</v>
      </c>
      <c r="C1098" s="5" t="str">
        <f t="shared" si="1"/>
        <v>Henstrom</v>
      </c>
      <c r="D1098" s="5" t="str">
        <f t="shared" si="2"/>
        <v> Stephanie D</v>
      </c>
    </row>
    <row r="1099" ht="15.75" customHeight="1">
      <c r="A1099" s="5" t="s">
        <v>2197</v>
      </c>
      <c r="B1099" s="5" t="s">
        <v>2198</v>
      </c>
      <c r="C1099" s="5" t="str">
        <f t="shared" si="1"/>
        <v>Pereira</v>
      </c>
      <c r="D1099" s="5" t="str">
        <f t="shared" si="2"/>
        <v> Tiffany</v>
      </c>
    </row>
    <row r="1100" ht="15.75" customHeight="1">
      <c r="A1100" s="5" t="s">
        <v>2199</v>
      </c>
      <c r="B1100" s="5" t="s">
        <v>2200</v>
      </c>
      <c r="C1100" s="5" t="str">
        <f t="shared" si="1"/>
        <v>Black</v>
      </c>
      <c r="D1100" s="5" t="str">
        <f t="shared" si="2"/>
        <v> Sara M.</v>
      </c>
    </row>
    <row r="1101" ht="15.75" customHeight="1">
      <c r="A1101" s="5" t="s">
        <v>2201</v>
      </c>
      <c r="B1101" s="5" t="s">
        <v>2202</v>
      </c>
      <c r="C1101" s="5" t="str">
        <f t="shared" si="1"/>
        <v>Brown</v>
      </c>
      <c r="D1101" s="5" t="str">
        <f t="shared" si="2"/>
        <v> Scott A.</v>
      </c>
    </row>
    <row r="1102" ht="15.75" customHeight="1">
      <c r="A1102" s="5" t="s">
        <v>2203</v>
      </c>
      <c r="B1102" s="5" t="s">
        <v>2204</v>
      </c>
      <c r="C1102" s="5" t="str">
        <f t="shared" si="1"/>
        <v>Reasoner</v>
      </c>
      <c r="D1102" s="5" t="str">
        <f t="shared" si="2"/>
        <v> Lauren</v>
      </c>
    </row>
    <row r="1103" ht="15.75" customHeight="1">
      <c r="A1103" s="5" t="s">
        <v>2205</v>
      </c>
      <c r="B1103" s="5" t="s">
        <v>2206</v>
      </c>
      <c r="C1103" s="5" t="str">
        <f t="shared" si="1"/>
        <v>Wandzilak</v>
      </c>
      <c r="D1103" s="5" t="str">
        <f t="shared" si="2"/>
        <v> Scott</v>
      </c>
    </row>
    <row r="1104" ht="15.75" customHeight="1">
      <c r="A1104" s="5" t="s">
        <v>2207</v>
      </c>
      <c r="B1104" s="5" t="s">
        <v>2208</v>
      </c>
      <c r="C1104" s="5" t="str">
        <f t="shared" si="1"/>
        <v>Carver</v>
      </c>
      <c r="D1104" s="5" t="str">
        <f t="shared" si="2"/>
        <v> Brian A.</v>
      </c>
    </row>
    <row r="1105" ht="15.75" customHeight="1">
      <c r="A1105" s="5" t="s">
        <v>2209</v>
      </c>
      <c r="B1105" s="5" t="s">
        <v>2210</v>
      </c>
      <c r="C1105" s="5" t="str">
        <f t="shared" si="1"/>
        <v>Borror</v>
      </c>
      <c r="D1105" s="5" t="str">
        <f t="shared" si="2"/>
        <v> Kaitlin R.</v>
      </c>
    </row>
    <row r="1106" ht="15.75" customHeight="1">
      <c r="A1106" s="5" t="s">
        <v>2211</v>
      </c>
      <c r="B1106" s="5" t="s">
        <v>2212</v>
      </c>
      <c r="C1106" s="5" t="str">
        <f t="shared" si="1"/>
        <v>Saad</v>
      </c>
      <c r="D1106" s="5" t="str">
        <f t="shared" si="2"/>
        <v> Mohammad</v>
      </c>
    </row>
    <row r="1107" ht="15.75" customHeight="1">
      <c r="A1107" s="5" t="s">
        <v>2213</v>
      </c>
      <c r="B1107" s="5" t="s">
        <v>2214</v>
      </c>
      <c r="C1107" s="5" t="str">
        <f t="shared" si="1"/>
        <v>Paul</v>
      </c>
      <c r="D1107" s="5" t="str">
        <f t="shared" si="2"/>
        <v> Charlie</v>
      </c>
    </row>
    <row r="1108" ht="15.75" customHeight="1">
      <c r="A1108" s="5" t="s">
        <v>2215</v>
      </c>
      <c r="B1108" s="5" t="s">
        <v>2216</v>
      </c>
      <c r="C1108" s="5" t="str">
        <f t="shared" si="1"/>
        <v>Trail</v>
      </c>
      <c r="D1108" s="5" t="str">
        <f t="shared" si="2"/>
        <v> Brent</v>
      </c>
    </row>
    <row r="1109" ht="15.75" customHeight="1">
      <c r="A1109" s="5" t="s">
        <v>2217</v>
      </c>
      <c r="B1109" s="5" t="s">
        <v>2218</v>
      </c>
      <c r="C1109" s="5" t="str">
        <f t="shared" si="1"/>
        <v>Benton</v>
      </c>
      <c r="D1109" s="5" t="str">
        <f t="shared" si="2"/>
        <v> Kelli M</v>
      </c>
    </row>
    <row r="1110" ht="15.75" customHeight="1">
      <c r="A1110" s="5" t="s">
        <v>2219</v>
      </c>
      <c r="B1110" s="5" t="s">
        <v>2220</v>
      </c>
      <c r="C1110" s="5" t="str">
        <f t="shared" si="1"/>
        <v>Bauman</v>
      </c>
      <c r="D1110" s="5" t="str">
        <f t="shared" si="2"/>
        <v> Sheridan H</v>
      </c>
    </row>
    <row r="1111" ht="15.75" customHeight="1">
      <c r="A1111" s="5" t="s">
        <v>2221</v>
      </c>
      <c r="B1111" s="5" t="s">
        <v>2222</v>
      </c>
      <c r="C1111" s="5" t="str">
        <f t="shared" si="1"/>
        <v>Bakula</v>
      </c>
      <c r="D1111" s="5" t="str">
        <f t="shared" si="2"/>
        <v> Sarah M.</v>
      </c>
    </row>
    <row r="1112" ht="15.75" customHeight="1">
      <c r="A1112" s="5" t="s">
        <v>2223</v>
      </c>
      <c r="B1112" s="5" t="s">
        <v>2224</v>
      </c>
      <c r="C1112" s="5" t="str">
        <f t="shared" si="1"/>
        <v>Edwards</v>
      </c>
      <c r="D1112" s="5" t="str">
        <f t="shared" si="2"/>
        <v> Jennifer</v>
      </c>
    </row>
    <row r="1113" ht="15.75" customHeight="1">
      <c r="A1113" s="5" t="s">
        <v>2225</v>
      </c>
      <c r="B1113" s="5" t="s">
        <v>2226</v>
      </c>
      <c r="C1113" s="5" t="str">
        <f t="shared" si="1"/>
        <v>Davis</v>
      </c>
      <c r="D1113" s="5" t="str">
        <f t="shared" si="2"/>
        <v> Laura J</v>
      </c>
    </row>
    <row r="1114" ht="15.75" customHeight="1">
      <c r="A1114" s="5" t="s">
        <v>2227</v>
      </c>
      <c r="B1114" s="5" t="s">
        <v>2228</v>
      </c>
      <c r="C1114" s="5" t="str">
        <f t="shared" si="1"/>
        <v>Weiler</v>
      </c>
      <c r="D1114" s="5" t="str">
        <f t="shared" si="2"/>
        <v> Thomas</v>
      </c>
    </row>
    <row r="1115" ht="15.75" customHeight="1">
      <c r="A1115" s="5" t="s">
        <v>2229</v>
      </c>
      <c r="B1115" s="5" t="s">
        <v>2230</v>
      </c>
      <c r="C1115" s="5" t="str">
        <f t="shared" si="1"/>
        <v>Schaaf</v>
      </c>
      <c r="D1115" s="5" t="str">
        <f t="shared" si="2"/>
        <v> Gisele</v>
      </c>
    </row>
    <row r="1116" ht="15.75" customHeight="1">
      <c r="A1116" s="5" t="s">
        <v>2231</v>
      </c>
      <c r="B1116" s="5" t="s">
        <v>2232</v>
      </c>
      <c r="C1116" s="5" t="str">
        <f t="shared" si="1"/>
        <v>Sack</v>
      </c>
      <c r="D1116" s="5" t="str">
        <f t="shared" si="2"/>
        <v> Myra L</v>
      </c>
    </row>
    <row r="1117" ht="15.75" customHeight="1">
      <c r="A1117" s="5" t="s">
        <v>2233</v>
      </c>
      <c r="B1117" s="5" t="s">
        <v>2234</v>
      </c>
      <c r="C1117" s="5" t="str">
        <f t="shared" si="1"/>
        <v>Chenard</v>
      </c>
      <c r="D1117" s="5" t="str">
        <f t="shared" si="2"/>
        <v> Melissa M.</v>
      </c>
    </row>
    <row r="1118" ht="15.75" customHeight="1">
      <c r="A1118" s="5" t="s">
        <v>2235</v>
      </c>
      <c r="B1118" s="5" t="s">
        <v>2236</v>
      </c>
      <c r="C1118" s="5" t="str">
        <f t="shared" si="1"/>
        <v>Williamson</v>
      </c>
      <c r="D1118" s="5" t="str">
        <f t="shared" si="2"/>
        <v> Eleanor F.</v>
      </c>
    </row>
    <row r="1119" ht="15.75" customHeight="1">
      <c r="A1119" s="5" t="s">
        <v>2237</v>
      </c>
      <c r="B1119" s="5" t="s">
        <v>2238</v>
      </c>
      <c r="C1119" s="5" t="str">
        <f t="shared" si="1"/>
        <v>Dollas</v>
      </c>
      <c r="D1119" s="5" t="str">
        <f t="shared" si="2"/>
        <v> Elizabeth</v>
      </c>
    </row>
    <row r="1120" ht="15.75" customHeight="1">
      <c r="A1120" s="5" t="s">
        <v>2239</v>
      </c>
      <c r="B1120" s="5" t="s">
        <v>2240</v>
      </c>
      <c r="C1120" s="5" t="str">
        <f t="shared" si="1"/>
        <v>Sprague</v>
      </c>
      <c r="D1120" s="5" t="str">
        <f t="shared" si="2"/>
        <v> Kenneth</v>
      </c>
    </row>
    <row r="1121" ht="15.75" customHeight="1">
      <c r="A1121" s="5" t="s">
        <v>2241</v>
      </c>
      <c r="B1121" s="5" t="s">
        <v>2242</v>
      </c>
      <c r="C1121" s="5" t="str">
        <f t="shared" si="1"/>
        <v>Michell</v>
      </c>
      <c r="D1121" s="5" t="str">
        <f t="shared" si="2"/>
        <v> Robert G.</v>
      </c>
    </row>
    <row r="1122" ht="15.75" customHeight="1">
      <c r="A1122" s="5" t="s">
        <v>2243</v>
      </c>
      <c r="B1122" s="5" t="s">
        <v>2244</v>
      </c>
      <c r="C1122" s="5" t="str">
        <f t="shared" si="1"/>
        <v>Datwyler</v>
      </c>
      <c r="D1122" s="5" t="str">
        <f t="shared" si="2"/>
        <v> Thomas C.</v>
      </c>
    </row>
    <row r="1123" ht="15.75" customHeight="1">
      <c r="A1123" s="5" t="s">
        <v>2245</v>
      </c>
      <c r="B1123" s="5" t="s">
        <v>2246</v>
      </c>
      <c r="C1123" s="5" t="str">
        <f t="shared" si="1"/>
        <v>Mead</v>
      </c>
      <c r="D1123" s="5" t="str">
        <f t="shared" si="2"/>
        <v> Matthew J.</v>
      </c>
    </row>
    <row r="1124" ht="15.75" customHeight="1">
      <c r="A1124" s="5" t="s">
        <v>2247</v>
      </c>
      <c r="B1124" s="5" t="s">
        <v>2248</v>
      </c>
      <c r="C1124" s="5" t="str">
        <f t="shared" si="1"/>
        <v>Kennedy</v>
      </c>
      <c r="D1124" s="5" t="str">
        <f t="shared" si="2"/>
        <v> Mallory D.</v>
      </c>
    </row>
    <row r="1125" ht="15.75" customHeight="1">
      <c r="A1125" s="5" t="s">
        <v>2249</v>
      </c>
      <c r="B1125" s="5" t="s">
        <v>2250</v>
      </c>
      <c r="C1125" s="5" t="str">
        <f t="shared" si="1"/>
        <v>Czech</v>
      </c>
      <c r="D1125" s="5" t="str">
        <f t="shared" si="2"/>
        <v> Christopher D.</v>
      </c>
    </row>
    <row r="1126" ht="15.75" customHeight="1">
      <c r="A1126" s="5" t="s">
        <v>2251</v>
      </c>
      <c r="B1126" s="5" t="s">
        <v>2252</v>
      </c>
      <c r="C1126" s="5" t="str">
        <f t="shared" si="1"/>
        <v>O'Brien</v>
      </c>
      <c r="D1126" s="5" t="str">
        <f t="shared" si="2"/>
        <v> Jamie</v>
      </c>
    </row>
    <row r="1127" ht="15.75" customHeight="1">
      <c r="A1127" s="5" t="s">
        <v>2253</v>
      </c>
      <c r="B1127" s="5" t="s">
        <v>2254</v>
      </c>
      <c r="C1127" s="5" t="str">
        <f t="shared" si="1"/>
        <v>Bachman</v>
      </c>
      <c r="D1127" s="5" t="str">
        <f t="shared" si="2"/>
        <v> Ariell</v>
      </c>
    </row>
    <row r="1128" ht="15.75" customHeight="1">
      <c r="A1128" s="5" t="s">
        <v>2255</v>
      </c>
      <c r="B1128" s="5" t="s">
        <v>2256</v>
      </c>
      <c r="C1128" s="5" t="str">
        <f t="shared" si="1"/>
        <v>Bednar</v>
      </c>
      <c r="D1128" s="5" t="str">
        <f t="shared" si="2"/>
        <v> Christopher</v>
      </c>
    </row>
    <row r="1129" ht="15.75" customHeight="1">
      <c r="A1129" s="5" t="s">
        <v>2257</v>
      </c>
      <c r="B1129" s="5" t="s">
        <v>2258</v>
      </c>
      <c r="C1129" s="5" t="str">
        <f t="shared" si="1"/>
        <v>Daye</v>
      </c>
      <c r="D1129" s="5" t="str">
        <f t="shared" si="2"/>
        <v> Ryan</v>
      </c>
    </row>
    <row r="1130" ht="15.75" customHeight="1">
      <c r="A1130" s="5" t="s">
        <v>2259</v>
      </c>
      <c r="B1130" s="5" t="s">
        <v>2260</v>
      </c>
      <c r="C1130" s="5" t="str">
        <f t="shared" si="1"/>
        <v>Clarke</v>
      </c>
      <c r="D1130" s="5" t="str">
        <f t="shared" si="2"/>
        <v> Thomas B.</v>
      </c>
    </row>
    <row r="1131" ht="15.75" customHeight="1">
      <c r="A1131" s="5" t="s">
        <v>2261</v>
      </c>
      <c r="B1131" s="5" t="s">
        <v>2262</v>
      </c>
      <c r="C1131" s="5" t="str">
        <f t="shared" si="1"/>
        <v>Koren</v>
      </c>
      <c r="D1131" s="5" t="str">
        <f t="shared" si="2"/>
        <v> Katie</v>
      </c>
    </row>
    <row r="1132" ht="15.75" customHeight="1">
      <c r="A1132" s="5" t="s">
        <v>2263</v>
      </c>
      <c r="B1132" s="5" t="s">
        <v>2264</v>
      </c>
      <c r="C1132" s="5" t="str">
        <f t="shared" si="1"/>
        <v>Kuramoto</v>
      </c>
      <c r="D1132" s="5" t="str">
        <f t="shared" si="2"/>
        <v> Rachelle L</v>
      </c>
    </row>
    <row r="1133" ht="15.75" customHeight="1">
      <c r="A1133" s="5" t="s">
        <v>2265</v>
      </c>
      <c r="B1133" s="5" t="s">
        <v>2266</v>
      </c>
      <c r="C1133" s="5" t="str">
        <f t="shared" si="1"/>
        <v>Lynn</v>
      </c>
      <c r="D1133" s="5" t="str">
        <f t="shared" si="2"/>
        <v> Colleen</v>
      </c>
    </row>
    <row r="1134" ht="15.75" customHeight="1">
      <c r="A1134" s="5" t="s">
        <v>2267</v>
      </c>
      <c r="B1134" s="5" t="s">
        <v>2268</v>
      </c>
      <c r="C1134" s="5" t="str">
        <f t="shared" si="1"/>
        <v>Dierksen</v>
      </c>
      <c r="D1134" s="5" t="str">
        <f t="shared" si="2"/>
        <v> Gregory A</v>
      </c>
    </row>
    <row r="1135" ht="15.75" customHeight="1">
      <c r="A1135" s="5" t="s">
        <v>2269</v>
      </c>
      <c r="B1135" s="5" t="s">
        <v>2270</v>
      </c>
      <c r="C1135" s="5" t="str">
        <f t="shared" si="1"/>
        <v>Zoeller</v>
      </c>
      <c r="D1135" s="5" t="str">
        <f t="shared" si="2"/>
        <v> Lara</v>
      </c>
    </row>
    <row r="1136" ht="15.75" customHeight="1">
      <c r="A1136" s="5" t="s">
        <v>2271</v>
      </c>
      <c r="B1136" s="5" t="s">
        <v>2272</v>
      </c>
      <c r="C1136" s="5" t="str">
        <f t="shared" si="1"/>
        <v>Flesch</v>
      </c>
      <c r="D1136" s="5" t="str">
        <f t="shared" si="2"/>
        <v> Megan</v>
      </c>
    </row>
    <row r="1137" ht="15.75" customHeight="1">
      <c r="A1137" s="5" t="s">
        <v>2273</v>
      </c>
      <c r="B1137" s="5" t="s">
        <v>2274</v>
      </c>
      <c r="C1137" s="5" t="str">
        <f t="shared" si="1"/>
        <v>Maltby</v>
      </c>
      <c r="D1137" s="5" t="str">
        <f t="shared" si="2"/>
        <v> Sara</v>
      </c>
    </row>
    <row r="1138" ht="15.75" customHeight="1">
      <c r="A1138" s="5" t="s">
        <v>2275</v>
      </c>
      <c r="B1138" s="5" t="s">
        <v>2276</v>
      </c>
      <c r="C1138" s="5" t="str">
        <f t="shared" si="1"/>
        <v>Custance</v>
      </c>
      <c r="D1138" s="5" t="str">
        <f t="shared" si="2"/>
        <v> Lucie J.</v>
      </c>
    </row>
    <row r="1139" ht="15.75" customHeight="1">
      <c r="A1139" s="5" t="s">
        <v>2277</v>
      </c>
      <c r="B1139" s="5" t="s">
        <v>2278</v>
      </c>
      <c r="C1139" s="5" t="str">
        <f t="shared" si="1"/>
        <v>Choi</v>
      </c>
      <c r="D1139" s="5" t="str">
        <f t="shared" si="2"/>
        <v> Elizabeth S.</v>
      </c>
    </row>
    <row r="1140" ht="15.75" customHeight="1">
      <c r="A1140" s="5" t="s">
        <v>2279</v>
      </c>
      <c r="B1140" s="5" t="s">
        <v>2280</v>
      </c>
      <c r="C1140" s="5" t="str">
        <f t="shared" si="1"/>
        <v>Barnett</v>
      </c>
      <c r="D1140" s="5" t="str">
        <f t="shared" si="2"/>
        <v> Carma S</v>
      </c>
    </row>
    <row r="1141" ht="15.75" customHeight="1">
      <c r="A1141" s="5" t="s">
        <v>2281</v>
      </c>
      <c r="B1141" s="5" t="s">
        <v>2282</v>
      </c>
      <c r="C1141" s="5" t="str">
        <f t="shared" si="1"/>
        <v>Proulx</v>
      </c>
      <c r="D1141" s="5" t="str">
        <f t="shared" si="2"/>
        <v> Ryan</v>
      </c>
    </row>
    <row r="1142" ht="15.75" customHeight="1">
      <c r="A1142" s="5" t="s">
        <v>2283</v>
      </c>
      <c r="B1142" s="5" t="s">
        <v>2284</v>
      </c>
      <c r="C1142" s="5" t="str">
        <f t="shared" si="1"/>
        <v>Hamilton</v>
      </c>
      <c r="D1142" s="5" t="str">
        <f t="shared" si="2"/>
        <v> Daniel</v>
      </c>
    </row>
    <row r="1143" ht="15.75" customHeight="1">
      <c r="A1143" s="5" t="s">
        <v>2285</v>
      </c>
      <c r="B1143" s="5" t="s">
        <v>2286</v>
      </c>
      <c r="C1143" s="5" t="str">
        <f t="shared" si="1"/>
        <v>Lundine</v>
      </c>
      <c r="D1143" s="5" t="str">
        <f t="shared" si="2"/>
        <v> Sarah</v>
      </c>
    </row>
    <row r="1144" ht="15.75" customHeight="1">
      <c r="A1144" s="5" t="s">
        <v>2287</v>
      </c>
      <c r="B1144" s="5" t="s">
        <v>2288</v>
      </c>
      <c r="C1144" s="5" t="str">
        <f t="shared" si="1"/>
        <v>Paullin</v>
      </c>
      <c r="D1144" s="5" t="str">
        <f t="shared" si="2"/>
        <v> Matthew J</v>
      </c>
    </row>
    <row r="1145" ht="15.75" customHeight="1">
      <c r="A1145" s="5" t="s">
        <v>2289</v>
      </c>
      <c r="B1145" s="5" t="s">
        <v>2290</v>
      </c>
      <c r="C1145" s="5" t="str">
        <f t="shared" si="1"/>
        <v>Delucia</v>
      </c>
      <c r="D1145" s="5" t="str">
        <f t="shared" si="2"/>
        <v> Francesca</v>
      </c>
    </row>
    <row r="1146" ht="15.75" customHeight="1">
      <c r="A1146" s="5" t="s">
        <v>2291</v>
      </c>
      <c r="B1146" s="5" t="s">
        <v>2292</v>
      </c>
      <c r="C1146" s="5" t="str">
        <f t="shared" si="1"/>
        <v>Valentine</v>
      </c>
      <c r="D1146" s="5" t="str">
        <f t="shared" si="2"/>
        <v> Nicole</v>
      </c>
    </row>
    <row r="1147" ht="15.75" customHeight="1">
      <c r="A1147" s="5" t="s">
        <v>2293</v>
      </c>
      <c r="B1147" s="5" t="s">
        <v>2294</v>
      </c>
      <c r="C1147" s="5" t="str">
        <f t="shared" si="1"/>
        <v>Mohara</v>
      </c>
      <c r="D1147" s="5" t="str">
        <f t="shared" si="2"/>
        <v> Toshiyuki</v>
      </c>
    </row>
    <row r="1148" ht="15.75" customHeight="1">
      <c r="A1148" s="5" t="s">
        <v>2295</v>
      </c>
      <c r="B1148" s="5" t="s">
        <v>2296</v>
      </c>
      <c r="C1148" s="5" t="str">
        <f t="shared" si="1"/>
        <v>Fairbrother</v>
      </c>
      <c r="D1148" s="5" t="str">
        <f t="shared" si="2"/>
        <v> Tom L.</v>
      </c>
    </row>
    <row r="1149" ht="15.75" customHeight="1">
      <c r="A1149" s="5" t="s">
        <v>2297</v>
      </c>
      <c r="B1149" s="5" t="s">
        <v>2298</v>
      </c>
      <c r="C1149" s="5" t="str">
        <f t="shared" si="1"/>
        <v>Fagan</v>
      </c>
      <c r="D1149" s="5" t="str">
        <f t="shared" si="2"/>
        <v> Brian</v>
      </c>
    </row>
    <row r="1150" ht="15.75" customHeight="1">
      <c r="A1150" s="5" t="s">
        <v>2299</v>
      </c>
      <c r="B1150" s="5" t="s">
        <v>2300</v>
      </c>
      <c r="C1150" s="5" t="str">
        <f t="shared" si="1"/>
        <v>Toth</v>
      </c>
      <c r="D1150" s="5" t="str">
        <f t="shared" si="2"/>
        <v> Matthew</v>
      </c>
    </row>
    <row r="1151" ht="15.75" customHeight="1">
      <c r="A1151" s="5" t="s">
        <v>2301</v>
      </c>
      <c r="B1151" s="5" t="s">
        <v>2302</v>
      </c>
      <c r="C1151" s="5" t="str">
        <f t="shared" si="1"/>
        <v>Guinn</v>
      </c>
      <c r="D1151" s="5" t="str">
        <f t="shared" si="2"/>
        <v> Julee</v>
      </c>
    </row>
    <row r="1152" ht="15.75" customHeight="1">
      <c r="A1152" s="5" t="s">
        <v>2303</v>
      </c>
      <c r="B1152" s="5" t="s">
        <v>2304</v>
      </c>
      <c r="C1152" s="5" t="str">
        <f t="shared" si="1"/>
        <v>Rogers</v>
      </c>
      <c r="D1152" s="5" t="str">
        <f t="shared" si="2"/>
        <v> Christopher M.</v>
      </c>
    </row>
    <row r="1153" ht="15.75" customHeight="1">
      <c r="A1153" s="5" t="s">
        <v>2305</v>
      </c>
      <c r="B1153" s="5" t="s">
        <v>2306</v>
      </c>
      <c r="C1153" s="5" t="str">
        <f t="shared" si="1"/>
        <v>Diviney</v>
      </c>
      <c r="D1153" s="5" t="str">
        <f t="shared" si="2"/>
        <v> Ciaran</v>
      </c>
    </row>
    <row r="1154" ht="15.75" customHeight="1">
      <c r="A1154" s="5" t="s">
        <v>2307</v>
      </c>
      <c r="B1154" s="5" t="s">
        <v>2308</v>
      </c>
      <c r="C1154" s="5" t="str">
        <f t="shared" si="1"/>
        <v>Marlatt</v>
      </c>
      <c r="D1154" s="5" t="str">
        <f t="shared" si="2"/>
        <v> Kara</v>
      </c>
    </row>
    <row r="1155" ht="15.75" customHeight="1">
      <c r="A1155" s="5" t="s">
        <v>2309</v>
      </c>
      <c r="B1155" s="5" t="s">
        <v>2310</v>
      </c>
      <c r="C1155" s="5" t="str">
        <f t="shared" si="1"/>
        <v>Ohler</v>
      </c>
      <c r="D1155" s="5" t="str">
        <f t="shared" si="2"/>
        <v> Makie</v>
      </c>
    </row>
    <row r="1156" ht="15.75" customHeight="1">
      <c r="A1156" s="5" t="s">
        <v>2311</v>
      </c>
      <c r="B1156" s="5" t="s">
        <v>2312</v>
      </c>
      <c r="C1156" s="5" t="str">
        <f t="shared" si="1"/>
        <v>Mossler</v>
      </c>
      <c r="D1156" s="5" t="str">
        <f t="shared" si="2"/>
        <v> Emily E</v>
      </c>
    </row>
    <row r="1157" ht="15.75" customHeight="1">
      <c r="A1157" s="5" t="s">
        <v>2313</v>
      </c>
      <c r="B1157" s="5" t="s">
        <v>2314</v>
      </c>
      <c r="C1157" s="5" t="str">
        <f t="shared" si="1"/>
        <v>Segall</v>
      </c>
      <c r="D1157" s="5" t="str">
        <f t="shared" si="2"/>
        <v> Cary</v>
      </c>
    </row>
    <row r="1158" ht="15.75" customHeight="1">
      <c r="A1158" s="5" t="s">
        <v>2315</v>
      </c>
      <c r="B1158" s="5" t="s">
        <v>2316</v>
      </c>
      <c r="C1158" s="5" t="str">
        <f t="shared" si="1"/>
        <v>Sprieser</v>
      </c>
      <c r="D1158" s="5" t="str">
        <f t="shared" si="2"/>
        <v> Steven</v>
      </c>
    </row>
    <row r="1159" ht="15.75" customHeight="1">
      <c r="A1159" s="5" t="s">
        <v>2317</v>
      </c>
      <c r="B1159" s="5" t="s">
        <v>2318</v>
      </c>
      <c r="C1159" s="5" t="str">
        <f t="shared" si="1"/>
        <v>Blanco</v>
      </c>
      <c r="D1159" s="5" t="str">
        <f t="shared" si="2"/>
        <v> Jose Antonio Sr.</v>
      </c>
    </row>
    <row r="1160" ht="15.75" customHeight="1">
      <c r="A1160" s="5" t="s">
        <v>2319</v>
      </c>
      <c r="B1160" s="5" t="s">
        <v>2320</v>
      </c>
      <c r="C1160" s="5" t="str">
        <f t="shared" si="1"/>
        <v>Sheptock</v>
      </c>
      <c r="D1160" s="5" t="str">
        <f t="shared" si="2"/>
        <v> Tatiana</v>
      </c>
    </row>
    <row r="1161" ht="15.75" customHeight="1">
      <c r="A1161" s="5" t="s">
        <v>2321</v>
      </c>
      <c r="B1161" s="5" t="s">
        <v>2322</v>
      </c>
      <c r="C1161" s="5" t="str">
        <f t="shared" si="1"/>
        <v>Chruniak</v>
      </c>
      <c r="D1161" s="5" t="str">
        <f t="shared" si="2"/>
        <v> Dan T.</v>
      </c>
    </row>
    <row r="1162" ht="15.75" customHeight="1">
      <c r="A1162" s="5" t="s">
        <v>2323</v>
      </c>
      <c r="B1162" s="5" t="s">
        <v>2324</v>
      </c>
      <c r="C1162" s="5" t="str">
        <f t="shared" si="1"/>
        <v>Miller</v>
      </c>
      <c r="D1162" s="5" t="str">
        <f t="shared" si="2"/>
        <v> Liisa A.</v>
      </c>
    </row>
    <row r="1163" ht="15.75" customHeight="1">
      <c r="A1163" s="5" t="s">
        <v>2325</v>
      </c>
      <c r="B1163" s="5" t="s">
        <v>2326</v>
      </c>
      <c r="C1163" s="5" t="str">
        <f t="shared" si="1"/>
        <v>Theis</v>
      </c>
      <c r="D1163" s="5" t="str">
        <f t="shared" si="2"/>
        <v> Kathryn E.</v>
      </c>
    </row>
    <row r="1164" ht="15.75" customHeight="1">
      <c r="A1164" s="5" t="s">
        <v>2327</v>
      </c>
      <c r="B1164" s="5" t="s">
        <v>2328</v>
      </c>
      <c r="C1164" s="5" t="str">
        <f t="shared" si="1"/>
        <v>Sadler</v>
      </c>
      <c r="D1164" s="5" t="str">
        <f t="shared" si="2"/>
        <v> Maxwell</v>
      </c>
    </row>
    <row r="1165" ht="15.75" customHeight="1">
      <c r="A1165" s="5" t="s">
        <v>2329</v>
      </c>
      <c r="B1165" s="5" t="s">
        <v>2330</v>
      </c>
      <c r="C1165" s="5" t="str">
        <f t="shared" si="1"/>
        <v>Auger</v>
      </c>
      <c r="D1165" s="5" t="str">
        <f t="shared" si="2"/>
        <v> Pascale</v>
      </c>
    </row>
    <row r="1166" ht="15.75" customHeight="1">
      <c r="A1166" s="5" t="s">
        <v>2331</v>
      </c>
      <c r="B1166" s="5" t="s">
        <v>2332</v>
      </c>
      <c r="C1166" s="5" t="str">
        <f t="shared" si="1"/>
        <v>Steadman</v>
      </c>
      <c r="D1166" s="5" t="str">
        <f t="shared" si="2"/>
        <v> Becca</v>
      </c>
    </row>
    <row r="1167" ht="15.75" customHeight="1">
      <c r="A1167" s="5" t="s">
        <v>2333</v>
      </c>
      <c r="B1167" s="5" t="s">
        <v>2334</v>
      </c>
      <c r="C1167" s="5" t="str">
        <f t="shared" si="1"/>
        <v>McCarron</v>
      </c>
      <c r="D1167" s="5" t="str">
        <f t="shared" si="2"/>
        <v> Grace</v>
      </c>
    </row>
    <row r="1168" ht="15.75" customHeight="1">
      <c r="A1168" s="5" t="s">
        <v>2335</v>
      </c>
      <c r="B1168" s="5" t="s">
        <v>2336</v>
      </c>
      <c r="C1168" s="5" t="str">
        <f t="shared" si="1"/>
        <v>Roecker</v>
      </c>
      <c r="D1168" s="5" t="str">
        <f t="shared" si="2"/>
        <v> Samantha</v>
      </c>
    </row>
    <row r="1169" ht="15.75" customHeight="1">
      <c r="A1169" s="5" t="s">
        <v>2337</v>
      </c>
      <c r="B1169" s="5" t="s">
        <v>2338</v>
      </c>
      <c r="C1169" s="5" t="str">
        <f t="shared" si="1"/>
        <v>Giumarra</v>
      </c>
      <c r="D1169" s="5" t="str">
        <f t="shared" si="2"/>
        <v> Nicole R.</v>
      </c>
    </row>
    <row r="1170" ht="15.75" customHeight="1">
      <c r="A1170" s="5" t="s">
        <v>2339</v>
      </c>
      <c r="B1170" s="5" t="s">
        <v>2340</v>
      </c>
      <c r="C1170" s="5" t="str">
        <f t="shared" si="1"/>
        <v>Peters</v>
      </c>
      <c r="D1170" s="5" t="str">
        <f t="shared" si="2"/>
        <v> David W</v>
      </c>
    </row>
    <row r="1171" ht="15.75" customHeight="1">
      <c r="A1171" s="5" t="s">
        <v>2341</v>
      </c>
      <c r="B1171" s="5" t="s">
        <v>2342</v>
      </c>
      <c r="C1171" s="5" t="str">
        <f t="shared" si="1"/>
        <v>Bower</v>
      </c>
      <c r="D1171" s="5" t="str">
        <f t="shared" si="2"/>
        <v> Grant</v>
      </c>
    </row>
    <row r="1172" ht="15.75" customHeight="1">
      <c r="A1172" s="5" t="s">
        <v>2343</v>
      </c>
      <c r="B1172" s="5" t="s">
        <v>2344</v>
      </c>
      <c r="C1172" s="5" t="str">
        <f t="shared" si="1"/>
        <v>Chen</v>
      </c>
      <c r="D1172" s="5" t="str">
        <f t="shared" si="2"/>
        <v> Sophia</v>
      </c>
    </row>
    <row r="1173" ht="15.75" customHeight="1">
      <c r="A1173" s="5" t="s">
        <v>2345</v>
      </c>
      <c r="B1173" s="5" t="s">
        <v>2346</v>
      </c>
      <c r="C1173" s="5" t="str">
        <f t="shared" si="1"/>
        <v>Capriccioso</v>
      </c>
      <c r="D1173" s="5" t="str">
        <f t="shared" si="2"/>
        <v> Christina</v>
      </c>
    </row>
    <row r="1174" ht="15.75" customHeight="1">
      <c r="A1174" s="5" t="s">
        <v>2347</v>
      </c>
      <c r="B1174" s="5" t="s">
        <v>2348</v>
      </c>
      <c r="C1174" s="5" t="str">
        <f t="shared" si="1"/>
        <v>Starbuck</v>
      </c>
      <c r="D1174" s="5" t="str">
        <f t="shared" si="2"/>
        <v> Sam L.</v>
      </c>
    </row>
    <row r="1175" ht="15.75" customHeight="1">
      <c r="A1175" s="5" t="s">
        <v>2349</v>
      </c>
      <c r="B1175" s="5" t="s">
        <v>2350</v>
      </c>
      <c r="C1175" s="5" t="str">
        <f t="shared" si="1"/>
        <v>McMahon</v>
      </c>
      <c r="D1175" s="5" t="str">
        <f t="shared" si="2"/>
        <v> Haley R.</v>
      </c>
    </row>
    <row r="1176" ht="15.75" customHeight="1">
      <c r="A1176" s="5" t="s">
        <v>2351</v>
      </c>
      <c r="B1176" s="5" t="s">
        <v>2352</v>
      </c>
      <c r="C1176" s="5" t="str">
        <f t="shared" si="1"/>
        <v>Rissell</v>
      </c>
      <c r="D1176" s="5" t="str">
        <f t="shared" si="2"/>
        <v> Ethan</v>
      </c>
    </row>
    <row r="1177" ht="15.75" customHeight="1">
      <c r="A1177" s="5" t="s">
        <v>2353</v>
      </c>
      <c r="B1177" s="5" t="s">
        <v>2354</v>
      </c>
      <c r="C1177" s="5" t="str">
        <f t="shared" si="1"/>
        <v>Kromroy</v>
      </c>
      <c r="D1177" s="5" t="str">
        <f t="shared" si="2"/>
        <v> Andrew W</v>
      </c>
    </row>
    <row r="1178" ht="15.75" customHeight="1">
      <c r="A1178" s="5" t="s">
        <v>2355</v>
      </c>
      <c r="B1178" s="5" t="s">
        <v>2356</v>
      </c>
      <c r="C1178" s="5" t="str">
        <f t="shared" si="1"/>
        <v>Manfredi</v>
      </c>
      <c r="D1178" s="5" t="str">
        <f t="shared" si="2"/>
        <v> Mark G</v>
      </c>
    </row>
    <row r="1179" ht="15.75" customHeight="1">
      <c r="A1179" s="5" t="s">
        <v>2357</v>
      </c>
      <c r="B1179" s="5" t="s">
        <v>2358</v>
      </c>
      <c r="C1179" s="5" t="str">
        <f t="shared" si="1"/>
        <v>Manwaring</v>
      </c>
      <c r="D1179" s="5" t="str">
        <f t="shared" si="2"/>
        <v> Kasey E.</v>
      </c>
    </row>
    <row r="1180" ht="15.75" customHeight="1">
      <c r="A1180" s="5" t="s">
        <v>2359</v>
      </c>
      <c r="B1180" s="5" t="s">
        <v>2360</v>
      </c>
      <c r="C1180" s="5" t="str">
        <f t="shared" si="1"/>
        <v>Tomaszewski</v>
      </c>
      <c r="D1180" s="5" t="str">
        <f t="shared" si="2"/>
        <v> Jeff</v>
      </c>
    </row>
    <row r="1181" ht="15.75" customHeight="1">
      <c r="A1181" s="5" t="s">
        <v>2361</v>
      </c>
      <c r="B1181" s="5" t="s">
        <v>2362</v>
      </c>
      <c r="C1181" s="5" t="str">
        <f t="shared" si="1"/>
        <v>Gannon</v>
      </c>
      <c r="D1181" s="5" t="str">
        <f t="shared" si="2"/>
        <v> Amy</v>
      </c>
    </row>
    <row r="1182" ht="15.75" customHeight="1">
      <c r="A1182" s="5" t="s">
        <v>2363</v>
      </c>
      <c r="B1182" s="5" t="s">
        <v>2364</v>
      </c>
      <c r="C1182" s="5" t="str">
        <f t="shared" si="1"/>
        <v>Frye</v>
      </c>
      <c r="D1182" s="5" t="str">
        <f t="shared" si="2"/>
        <v> Adam</v>
      </c>
    </row>
    <row r="1183" ht="15.75" customHeight="1">
      <c r="A1183" s="5" t="s">
        <v>2365</v>
      </c>
      <c r="B1183" s="5" t="s">
        <v>2366</v>
      </c>
      <c r="C1183" s="5" t="str">
        <f t="shared" si="1"/>
        <v>Jenkins</v>
      </c>
      <c r="D1183" s="5" t="str">
        <f t="shared" si="2"/>
        <v> Kristin M</v>
      </c>
    </row>
    <row r="1184" ht="15.75" customHeight="1">
      <c r="A1184" s="5" t="s">
        <v>2367</v>
      </c>
      <c r="B1184" s="5" t="s">
        <v>2368</v>
      </c>
      <c r="C1184" s="5" t="str">
        <f t="shared" si="1"/>
        <v>Currier</v>
      </c>
      <c r="D1184" s="5" t="str">
        <f t="shared" si="2"/>
        <v> Mary-Lynn B.</v>
      </c>
    </row>
    <row r="1185" ht="15.75" customHeight="1">
      <c r="A1185" s="5" t="s">
        <v>2369</v>
      </c>
      <c r="B1185" s="5" t="s">
        <v>2370</v>
      </c>
      <c r="C1185" s="5" t="str">
        <f t="shared" si="1"/>
        <v>Whittendale</v>
      </c>
      <c r="D1185" s="5" t="str">
        <f t="shared" si="2"/>
        <v> Jamie A</v>
      </c>
    </row>
    <row r="1186" ht="15.75" customHeight="1">
      <c r="A1186" s="5" t="s">
        <v>2371</v>
      </c>
      <c r="B1186" s="5" t="s">
        <v>2372</v>
      </c>
      <c r="C1186" s="5" t="str">
        <f t="shared" si="1"/>
        <v>Rixe</v>
      </c>
      <c r="D1186" s="5" t="str">
        <f t="shared" si="2"/>
        <v> Jeffrey A.</v>
      </c>
    </row>
    <row r="1187" ht="15.75" customHeight="1">
      <c r="A1187" s="5" t="s">
        <v>2373</v>
      </c>
      <c r="B1187" s="5" t="s">
        <v>2374</v>
      </c>
      <c r="C1187" s="5" t="str">
        <f t="shared" si="1"/>
        <v>Ballon-Landa</v>
      </c>
      <c r="D1187" s="5" t="str">
        <f t="shared" si="2"/>
        <v> Nicole</v>
      </c>
    </row>
    <row r="1188" ht="15.75" customHeight="1">
      <c r="A1188" s="5" t="s">
        <v>2375</v>
      </c>
      <c r="B1188" s="5" t="s">
        <v>2376</v>
      </c>
      <c r="C1188" s="5" t="str">
        <f t="shared" si="1"/>
        <v>Zaferos</v>
      </c>
      <c r="D1188" s="5" t="str">
        <f t="shared" si="2"/>
        <v> Audrey</v>
      </c>
    </row>
    <row r="1189" ht="15.75" customHeight="1">
      <c r="A1189" s="5" t="s">
        <v>2377</v>
      </c>
      <c r="B1189" s="5" t="s">
        <v>2378</v>
      </c>
      <c r="C1189" s="5" t="str">
        <f t="shared" si="1"/>
        <v>Jackson</v>
      </c>
      <c r="D1189" s="5" t="str">
        <f t="shared" si="2"/>
        <v> Jacob</v>
      </c>
    </row>
    <row r="1190" ht="15.75" customHeight="1">
      <c r="A1190" s="5" t="s">
        <v>2379</v>
      </c>
      <c r="B1190" s="5" t="s">
        <v>2380</v>
      </c>
      <c r="C1190" s="5" t="str">
        <f t="shared" si="1"/>
        <v>Evan</v>
      </c>
      <c r="D1190" s="5" t="str">
        <f t="shared" si="2"/>
        <v> Daniel S</v>
      </c>
    </row>
    <row r="1191" ht="15.75" customHeight="1">
      <c r="A1191" s="5" t="s">
        <v>2381</v>
      </c>
      <c r="B1191" s="5" t="s">
        <v>2382</v>
      </c>
      <c r="C1191" s="5" t="str">
        <f t="shared" si="1"/>
        <v>Samland</v>
      </c>
      <c r="D1191" s="5" t="str">
        <f t="shared" si="2"/>
        <v> Marc C.</v>
      </c>
    </row>
    <row r="1192" ht="15.75" customHeight="1">
      <c r="A1192" s="5" t="s">
        <v>2383</v>
      </c>
      <c r="B1192" s="5" t="s">
        <v>2384</v>
      </c>
      <c r="C1192" s="5" t="str">
        <f t="shared" si="1"/>
        <v>Shapiro</v>
      </c>
      <c r="D1192" s="5" t="str">
        <f t="shared" si="2"/>
        <v> Mark S</v>
      </c>
    </row>
    <row r="1193" ht="15.75" customHeight="1">
      <c r="A1193" s="5" t="s">
        <v>2385</v>
      </c>
      <c r="B1193" s="5" t="s">
        <v>2386</v>
      </c>
      <c r="C1193" s="5" t="str">
        <f t="shared" si="1"/>
        <v>Snitzer</v>
      </c>
      <c r="D1193" s="5" t="str">
        <f t="shared" si="2"/>
        <v> Dan</v>
      </c>
    </row>
    <row r="1194" ht="15.75" customHeight="1">
      <c r="A1194" s="5" t="s">
        <v>2387</v>
      </c>
      <c r="B1194" s="5" t="s">
        <v>2388</v>
      </c>
      <c r="C1194" s="5" t="str">
        <f t="shared" si="1"/>
        <v>Herr</v>
      </c>
      <c r="D1194" s="5" t="str">
        <f t="shared" si="2"/>
        <v> Gabriela</v>
      </c>
    </row>
    <row r="1195" ht="15.75" customHeight="1">
      <c r="A1195" s="5" t="s">
        <v>2389</v>
      </c>
      <c r="B1195" s="5" t="s">
        <v>2390</v>
      </c>
      <c r="C1195" s="5" t="str">
        <f t="shared" si="1"/>
        <v>Watters</v>
      </c>
      <c r="D1195" s="5" t="str">
        <f t="shared" si="2"/>
        <v> Amanda</v>
      </c>
    </row>
    <row r="1196" ht="15.75" customHeight="1">
      <c r="A1196" s="5" t="s">
        <v>2391</v>
      </c>
      <c r="B1196" s="5" t="s">
        <v>2392</v>
      </c>
      <c r="C1196" s="5" t="str">
        <f t="shared" si="1"/>
        <v>Steele-Belkin</v>
      </c>
      <c r="D1196" s="5" t="str">
        <f t="shared" si="2"/>
        <v> Dara</v>
      </c>
    </row>
    <row r="1197" ht="15.75" customHeight="1">
      <c r="A1197" s="5" t="s">
        <v>2393</v>
      </c>
      <c r="B1197" s="5" t="s">
        <v>2394</v>
      </c>
      <c r="C1197" s="5" t="str">
        <f t="shared" si="1"/>
        <v>Christensen</v>
      </c>
      <c r="D1197" s="5" t="str">
        <f t="shared" si="2"/>
        <v> Rachelle R</v>
      </c>
    </row>
    <row r="1198" ht="15.75" customHeight="1">
      <c r="A1198" s="5" t="s">
        <v>2395</v>
      </c>
      <c r="B1198" s="5" t="s">
        <v>2396</v>
      </c>
      <c r="C1198" s="5" t="str">
        <f t="shared" si="1"/>
        <v>Hodge</v>
      </c>
      <c r="D1198" s="5" t="str">
        <f t="shared" si="2"/>
        <v> Brenda J</v>
      </c>
    </row>
    <row r="1199" ht="15.75" customHeight="1">
      <c r="A1199" s="5" t="s">
        <v>2397</v>
      </c>
      <c r="B1199" s="5" t="s">
        <v>2398</v>
      </c>
      <c r="C1199" s="5" t="str">
        <f t="shared" si="1"/>
        <v>Rusterholz</v>
      </c>
      <c r="D1199" s="5" t="str">
        <f t="shared" si="2"/>
        <v> Tim</v>
      </c>
    </row>
    <row r="1200" ht="15.75" customHeight="1">
      <c r="A1200" s="5" t="s">
        <v>2399</v>
      </c>
      <c r="B1200" s="5" t="s">
        <v>2400</v>
      </c>
      <c r="C1200" s="5" t="str">
        <f t="shared" si="1"/>
        <v>Lafrance</v>
      </c>
      <c r="D1200" s="5" t="str">
        <f t="shared" si="2"/>
        <v> Sylvain</v>
      </c>
    </row>
    <row r="1201" ht="15.75" customHeight="1">
      <c r="A1201" s="5" t="s">
        <v>2401</v>
      </c>
      <c r="B1201" s="5" t="s">
        <v>2402</v>
      </c>
      <c r="C1201" s="5" t="str">
        <f t="shared" si="1"/>
        <v>Hallis</v>
      </c>
      <c r="D1201" s="5" t="str">
        <f t="shared" si="2"/>
        <v> Lisa M</v>
      </c>
    </row>
    <row r="1202" ht="15.75" customHeight="1">
      <c r="A1202" s="5" t="s">
        <v>2403</v>
      </c>
      <c r="B1202" s="5" t="s">
        <v>2404</v>
      </c>
      <c r="C1202" s="5" t="str">
        <f t="shared" si="1"/>
        <v>Marshall</v>
      </c>
      <c r="D1202" s="5" t="str">
        <f t="shared" si="2"/>
        <v> Ryan</v>
      </c>
    </row>
    <row r="1203" ht="15.75" customHeight="1">
      <c r="A1203" s="5" t="s">
        <v>2405</v>
      </c>
      <c r="B1203" s="5" t="s">
        <v>2406</v>
      </c>
      <c r="C1203" s="5" t="str">
        <f t="shared" si="1"/>
        <v>Salowitz</v>
      </c>
      <c r="D1203" s="5" t="str">
        <f t="shared" si="2"/>
        <v> Kaitlin M</v>
      </c>
    </row>
    <row r="1204" ht="15.75" customHeight="1">
      <c r="A1204" s="5" t="s">
        <v>2407</v>
      </c>
      <c r="B1204" s="5" t="s">
        <v>2408</v>
      </c>
      <c r="C1204" s="5" t="str">
        <f t="shared" si="1"/>
        <v>Blake</v>
      </c>
      <c r="D1204" s="5" t="str">
        <f t="shared" si="2"/>
        <v> William R.</v>
      </c>
    </row>
    <row r="1205" ht="15.75" customHeight="1">
      <c r="A1205" s="5" t="s">
        <v>2409</v>
      </c>
      <c r="B1205" s="5" t="s">
        <v>2410</v>
      </c>
      <c r="C1205" s="5" t="str">
        <f t="shared" si="1"/>
        <v>Langerak</v>
      </c>
      <c r="D1205" s="5" t="str">
        <f t="shared" si="2"/>
        <v> Bruce</v>
      </c>
    </row>
    <row r="1206" ht="15.75" customHeight="1">
      <c r="A1206" s="5" t="s">
        <v>2411</v>
      </c>
      <c r="B1206" s="5" t="s">
        <v>2412</v>
      </c>
      <c r="C1206" s="5" t="str">
        <f t="shared" si="1"/>
        <v>Bonilla</v>
      </c>
      <c r="D1206" s="5" t="str">
        <f t="shared" si="2"/>
        <v> Veronica</v>
      </c>
    </row>
    <row r="1207" ht="15.75" customHeight="1">
      <c r="A1207" s="5" t="s">
        <v>2413</v>
      </c>
      <c r="B1207" s="5" t="s">
        <v>2414</v>
      </c>
      <c r="C1207" s="5" t="str">
        <f t="shared" si="1"/>
        <v>Ciabattoni</v>
      </c>
      <c r="D1207" s="5" t="str">
        <f t="shared" si="2"/>
        <v> Warren</v>
      </c>
    </row>
    <row r="1208" ht="15.75" customHeight="1">
      <c r="A1208" s="5" t="s">
        <v>2415</v>
      </c>
      <c r="B1208" s="5" t="s">
        <v>2416</v>
      </c>
      <c r="C1208" s="5" t="str">
        <f t="shared" si="1"/>
        <v>Escaner</v>
      </c>
      <c r="D1208" s="5" t="str">
        <f t="shared" si="2"/>
        <v> Daniela</v>
      </c>
    </row>
    <row r="1209" ht="15.75" customHeight="1">
      <c r="A1209" s="5" t="s">
        <v>2417</v>
      </c>
      <c r="B1209" s="5" t="s">
        <v>2418</v>
      </c>
      <c r="C1209" s="5" t="str">
        <f t="shared" si="1"/>
        <v>Lowe</v>
      </c>
      <c r="D1209" s="5" t="str">
        <f t="shared" si="2"/>
        <v> Deirdre A</v>
      </c>
    </row>
    <row r="1210" ht="15.75" customHeight="1">
      <c r="A1210" s="5" t="s">
        <v>2419</v>
      </c>
      <c r="B1210" s="5" t="s">
        <v>2420</v>
      </c>
      <c r="C1210" s="5" t="str">
        <f t="shared" si="1"/>
        <v>Osmark</v>
      </c>
      <c r="D1210" s="5" t="str">
        <f t="shared" si="2"/>
        <v> Mathias</v>
      </c>
    </row>
    <row r="1211" ht="15.75" customHeight="1">
      <c r="A1211" s="5" t="s">
        <v>2421</v>
      </c>
      <c r="B1211" s="5" t="s">
        <v>2422</v>
      </c>
      <c r="C1211" s="5" t="str">
        <f t="shared" si="1"/>
        <v>Lawson</v>
      </c>
      <c r="D1211" s="5" t="str">
        <f t="shared" si="2"/>
        <v> Matthew</v>
      </c>
    </row>
    <row r="1212" ht="15.75" customHeight="1">
      <c r="A1212" s="5" t="s">
        <v>2423</v>
      </c>
      <c r="B1212" s="5" t="s">
        <v>2424</v>
      </c>
      <c r="C1212" s="5" t="str">
        <f t="shared" si="1"/>
        <v>Warwick</v>
      </c>
      <c r="D1212" s="5" t="str">
        <f t="shared" si="2"/>
        <v> Kurt</v>
      </c>
    </row>
    <row r="1213" ht="15.75" customHeight="1">
      <c r="A1213" s="5" t="s">
        <v>2425</v>
      </c>
      <c r="B1213" s="5" t="s">
        <v>2426</v>
      </c>
      <c r="C1213" s="5" t="str">
        <f t="shared" si="1"/>
        <v>Magnuson</v>
      </c>
      <c r="D1213" s="5" t="str">
        <f t="shared" si="2"/>
        <v> Samuel</v>
      </c>
    </row>
    <row r="1214" ht="15.75" customHeight="1">
      <c r="A1214" s="5" t="s">
        <v>2427</v>
      </c>
      <c r="B1214" s="5" t="s">
        <v>2428</v>
      </c>
      <c r="C1214" s="5" t="str">
        <f t="shared" si="1"/>
        <v>Marsh</v>
      </c>
      <c r="D1214" s="5" t="str">
        <f t="shared" si="2"/>
        <v> Emily</v>
      </c>
    </row>
    <row r="1215" ht="15.75" customHeight="1">
      <c r="A1215" s="5" t="s">
        <v>2429</v>
      </c>
      <c r="B1215" s="5" t="s">
        <v>2430</v>
      </c>
      <c r="C1215" s="5" t="str">
        <f t="shared" si="1"/>
        <v>Kari</v>
      </c>
      <c r="D1215" s="5" t="str">
        <f t="shared" si="2"/>
        <v> Tiffany</v>
      </c>
    </row>
    <row r="1216" ht="15.75" customHeight="1">
      <c r="A1216" s="5" t="s">
        <v>2431</v>
      </c>
      <c r="B1216" s="5" t="s">
        <v>2432</v>
      </c>
      <c r="C1216" s="5" t="str">
        <f t="shared" si="1"/>
        <v>Standiford</v>
      </c>
      <c r="D1216" s="5" t="str">
        <f t="shared" si="2"/>
        <v> Alex F</v>
      </c>
    </row>
    <row r="1217" ht="15.75" customHeight="1">
      <c r="A1217" s="5" t="s">
        <v>2433</v>
      </c>
      <c r="B1217" s="5" t="s">
        <v>2434</v>
      </c>
      <c r="C1217" s="5" t="str">
        <f t="shared" si="1"/>
        <v>Sherwin</v>
      </c>
      <c r="D1217" s="5" t="str">
        <f t="shared" si="2"/>
        <v> Alice</v>
      </c>
    </row>
    <row r="1218" ht="15.75" customHeight="1">
      <c r="A1218" s="5" t="s">
        <v>2435</v>
      </c>
      <c r="B1218" s="5" t="s">
        <v>2436</v>
      </c>
      <c r="C1218" s="5" t="str">
        <f t="shared" si="1"/>
        <v>Parker</v>
      </c>
      <c r="D1218" s="5" t="str">
        <f t="shared" si="2"/>
        <v> Allison M.</v>
      </c>
    </row>
    <row r="1219" ht="15.75" customHeight="1">
      <c r="A1219" s="5" t="s">
        <v>2437</v>
      </c>
      <c r="B1219" s="5" t="s">
        <v>2438</v>
      </c>
      <c r="C1219" s="5" t="str">
        <f t="shared" si="1"/>
        <v>Blekeli</v>
      </c>
      <c r="D1219" s="5" t="str">
        <f t="shared" si="2"/>
        <v> Johannes Fiskerstand</v>
      </c>
    </row>
    <row r="1220" ht="15.75" customHeight="1">
      <c r="A1220" s="5" t="s">
        <v>2439</v>
      </c>
      <c r="B1220" s="5" t="s">
        <v>2440</v>
      </c>
      <c r="C1220" s="5" t="str">
        <f t="shared" si="1"/>
        <v>Vangampleare</v>
      </c>
      <c r="D1220" s="5" t="str">
        <f t="shared" si="2"/>
        <v> Stephen</v>
      </c>
    </row>
    <row r="1221" ht="15.75" customHeight="1">
      <c r="A1221" s="5" t="s">
        <v>2441</v>
      </c>
      <c r="B1221" s="5" t="s">
        <v>2442</v>
      </c>
      <c r="C1221" s="5" t="str">
        <f t="shared" si="1"/>
        <v>Hiatt</v>
      </c>
      <c r="D1221" s="5" t="str">
        <f t="shared" si="2"/>
        <v> Jon M</v>
      </c>
    </row>
    <row r="1222" ht="15.75" customHeight="1">
      <c r="A1222" s="5" t="s">
        <v>2443</v>
      </c>
      <c r="B1222" s="5" t="s">
        <v>2444</v>
      </c>
      <c r="C1222" s="5" t="str">
        <f t="shared" si="1"/>
        <v>Tadesse</v>
      </c>
      <c r="D1222" s="5" t="str">
        <f t="shared" si="2"/>
        <v> Fasil</v>
      </c>
    </row>
    <row r="1223" ht="15.75" customHeight="1">
      <c r="A1223" s="5" t="s">
        <v>2445</v>
      </c>
      <c r="B1223" s="5" t="s">
        <v>2446</v>
      </c>
      <c r="C1223" s="5" t="str">
        <f t="shared" si="1"/>
        <v>Jaswell</v>
      </c>
      <c r="D1223" s="5" t="str">
        <f t="shared" si="2"/>
        <v> Megan C.</v>
      </c>
    </row>
    <row r="1224" ht="15.75" customHeight="1">
      <c r="A1224" s="5" t="s">
        <v>2447</v>
      </c>
      <c r="B1224" s="5" t="s">
        <v>2448</v>
      </c>
      <c r="C1224" s="5" t="str">
        <f t="shared" si="1"/>
        <v>Phillips-Cook</v>
      </c>
      <c r="D1224" s="5" t="str">
        <f t="shared" si="2"/>
        <v> Lisa J.</v>
      </c>
    </row>
    <row r="1225" ht="15.75" customHeight="1">
      <c r="A1225" s="5" t="s">
        <v>2449</v>
      </c>
      <c r="B1225" s="5" t="s">
        <v>2450</v>
      </c>
      <c r="C1225" s="5" t="str">
        <f t="shared" si="1"/>
        <v>Clark</v>
      </c>
      <c r="D1225" s="5" t="str">
        <f t="shared" si="2"/>
        <v> Doron P</v>
      </c>
    </row>
    <row r="1226" ht="15.75" customHeight="1">
      <c r="A1226" s="5" t="s">
        <v>2451</v>
      </c>
      <c r="B1226" s="5" t="s">
        <v>2452</v>
      </c>
      <c r="C1226" s="5" t="str">
        <f t="shared" si="1"/>
        <v>Wang</v>
      </c>
      <c r="D1226" s="5" t="str">
        <f t="shared" si="2"/>
        <v> Katharina</v>
      </c>
    </row>
    <row r="1227" ht="15.75" customHeight="1">
      <c r="A1227" s="5" t="s">
        <v>2453</v>
      </c>
      <c r="B1227" s="5" t="s">
        <v>2454</v>
      </c>
      <c r="C1227" s="5" t="str">
        <f t="shared" si="1"/>
        <v>Desruisseaux</v>
      </c>
      <c r="D1227" s="5" t="str">
        <f t="shared" si="2"/>
        <v> Carl</v>
      </c>
    </row>
    <row r="1228" ht="15.75" customHeight="1">
      <c r="A1228" s="5" t="s">
        <v>2455</v>
      </c>
      <c r="B1228" s="5" t="s">
        <v>2456</v>
      </c>
      <c r="C1228" s="5" t="str">
        <f t="shared" si="1"/>
        <v>Ripp</v>
      </c>
      <c r="D1228" s="5" t="str">
        <f t="shared" si="2"/>
        <v> Kelsey J.</v>
      </c>
    </row>
    <row r="1229" ht="15.75" customHeight="1">
      <c r="A1229" s="5" t="s">
        <v>2457</v>
      </c>
      <c r="B1229" s="5" t="s">
        <v>2458</v>
      </c>
      <c r="C1229" s="5" t="str">
        <f t="shared" si="1"/>
        <v>Harris</v>
      </c>
      <c r="D1229" s="5" t="str">
        <f t="shared" si="2"/>
        <v> Stephen A.</v>
      </c>
    </row>
    <row r="1230" ht="15.75" customHeight="1">
      <c r="A1230" s="5" t="s">
        <v>2459</v>
      </c>
      <c r="B1230" s="5" t="s">
        <v>2460</v>
      </c>
      <c r="C1230" s="5" t="str">
        <f t="shared" si="1"/>
        <v>Shafer</v>
      </c>
      <c r="D1230" s="5" t="str">
        <f t="shared" si="2"/>
        <v> Dan</v>
      </c>
    </row>
    <row r="1231" ht="15.75" customHeight="1">
      <c r="A1231" s="5" t="s">
        <v>2461</v>
      </c>
      <c r="B1231" s="5" t="s">
        <v>2462</v>
      </c>
      <c r="C1231" s="5" t="str">
        <f t="shared" si="1"/>
        <v>Hemesath</v>
      </c>
      <c r="D1231" s="5" t="str">
        <f t="shared" si="2"/>
        <v> Katie C</v>
      </c>
    </row>
    <row r="1232" ht="15.75" customHeight="1">
      <c r="A1232" s="5" t="s">
        <v>2463</v>
      </c>
      <c r="B1232" s="5" t="s">
        <v>2464</v>
      </c>
      <c r="C1232" s="5" t="str">
        <f t="shared" si="1"/>
        <v>Vinci</v>
      </c>
      <c r="D1232" s="5" t="str">
        <f t="shared" si="2"/>
        <v> Melissa K</v>
      </c>
    </row>
    <row r="1233" ht="15.75" customHeight="1">
      <c r="A1233" s="5" t="s">
        <v>2465</v>
      </c>
      <c r="B1233" s="5" t="s">
        <v>2466</v>
      </c>
      <c r="C1233" s="5" t="str">
        <f t="shared" si="1"/>
        <v>Diamond-Husmann</v>
      </c>
      <c r="D1233" s="5" t="str">
        <f t="shared" si="2"/>
        <v> Kara H</v>
      </c>
    </row>
    <row r="1234" ht="15.75" customHeight="1">
      <c r="A1234" s="5" t="s">
        <v>2467</v>
      </c>
      <c r="B1234" s="5" t="s">
        <v>2468</v>
      </c>
      <c r="C1234" s="5" t="str">
        <f t="shared" si="1"/>
        <v>Soto</v>
      </c>
      <c r="D1234" s="5" t="str">
        <f t="shared" si="2"/>
        <v> Juan Carlos</v>
      </c>
    </row>
    <row r="1235" ht="15.75" customHeight="1">
      <c r="A1235" s="5" t="s">
        <v>2469</v>
      </c>
      <c r="B1235" s="5" t="s">
        <v>2470</v>
      </c>
      <c r="C1235" s="5" t="str">
        <f t="shared" si="1"/>
        <v>Howard</v>
      </c>
      <c r="D1235" s="5" t="str">
        <f t="shared" si="2"/>
        <v> John III</v>
      </c>
    </row>
    <row r="1236" ht="15.75" customHeight="1">
      <c r="A1236" s="5" t="s">
        <v>2471</v>
      </c>
      <c r="B1236" s="5" t="s">
        <v>2472</v>
      </c>
      <c r="C1236" s="5" t="str">
        <f t="shared" si="1"/>
        <v>Patrick</v>
      </c>
      <c r="D1236" s="5" t="str">
        <f t="shared" si="2"/>
        <v> Sarah M</v>
      </c>
    </row>
    <row r="1237" ht="15.75" customHeight="1">
      <c r="A1237" s="5" t="s">
        <v>2473</v>
      </c>
      <c r="B1237" s="5" t="s">
        <v>2474</v>
      </c>
      <c r="C1237" s="5" t="str">
        <f t="shared" si="1"/>
        <v>Dacko</v>
      </c>
      <c r="D1237" s="5" t="str">
        <f t="shared" si="2"/>
        <v> Kristin C</v>
      </c>
    </row>
    <row r="1238" ht="15.75" customHeight="1">
      <c r="A1238" s="5" t="s">
        <v>2475</v>
      </c>
      <c r="B1238" s="5" t="s">
        <v>2476</v>
      </c>
      <c r="C1238" s="5" t="str">
        <f t="shared" si="1"/>
        <v>Glassey</v>
      </c>
      <c r="D1238" s="5" t="str">
        <f t="shared" si="2"/>
        <v> Casey M.</v>
      </c>
    </row>
    <row r="1239" ht="15.75" customHeight="1">
      <c r="A1239" s="5" t="s">
        <v>2477</v>
      </c>
      <c r="B1239" s="5" t="s">
        <v>2478</v>
      </c>
      <c r="C1239" s="5" t="str">
        <f t="shared" si="1"/>
        <v>Frechette</v>
      </c>
      <c r="D1239" s="5" t="str">
        <f t="shared" si="2"/>
        <v> Samuel</v>
      </c>
    </row>
    <row r="1240" ht="15.75" customHeight="1">
      <c r="A1240" s="5" t="s">
        <v>2479</v>
      </c>
      <c r="B1240" s="5" t="s">
        <v>2480</v>
      </c>
      <c r="C1240" s="5" t="str">
        <f t="shared" si="1"/>
        <v>Benitez</v>
      </c>
      <c r="D1240" s="5" t="str">
        <f t="shared" si="2"/>
        <v> Braulio</v>
      </c>
    </row>
    <row r="1241" ht="15.75" customHeight="1">
      <c r="A1241" s="5" t="s">
        <v>2481</v>
      </c>
      <c r="B1241" s="5" t="s">
        <v>2482</v>
      </c>
      <c r="C1241" s="5" t="str">
        <f t="shared" si="1"/>
        <v>Gauthier</v>
      </c>
      <c r="D1241" s="5" t="str">
        <f t="shared" si="2"/>
        <v> Anne-Marie</v>
      </c>
    </row>
    <row r="1242" ht="15.75" customHeight="1">
      <c r="A1242" s="5" t="s">
        <v>2483</v>
      </c>
      <c r="B1242" s="5" t="s">
        <v>2484</v>
      </c>
      <c r="C1242" s="5" t="str">
        <f t="shared" si="1"/>
        <v>Fazioli</v>
      </c>
      <c r="D1242" s="5" t="str">
        <f t="shared" si="2"/>
        <v> Samuel K.</v>
      </c>
    </row>
    <row r="1243" ht="15.75" customHeight="1">
      <c r="A1243" s="5" t="s">
        <v>2485</v>
      </c>
      <c r="B1243" s="5" t="s">
        <v>2486</v>
      </c>
      <c r="C1243" s="5" t="str">
        <f t="shared" si="1"/>
        <v>Chorney</v>
      </c>
      <c r="D1243" s="5" t="str">
        <f t="shared" si="2"/>
        <v> Yuki</v>
      </c>
    </row>
    <row r="1244" ht="15.75" customHeight="1">
      <c r="A1244" s="5" t="s">
        <v>2487</v>
      </c>
      <c r="B1244" s="5" t="s">
        <v>2488</v>
      </c>
      <c r="C1244" s="5" t="str">
        <f t="shared" si="1"/>
        <v>Dannenhauer</v>
      </c>
      <c r="D1244" s="5" t="str">
        <f t="shared" si="2"/>
        <v> Rafer</v>
      </c>
    </row>
    <row r="1245" ht="15.75" customHeight="1">
      <c r="A1245" s="5" t="s">
        <v>2489</v>
      </c>
      <c r="B1245" s="5" t="s">
        <v>2490</v>
      </c>
      <c r="C1245" s="5" t="str">
        <f t="shared" si="1"/>
        <v>McComb</v>
      </c>
      <c r="D1245" s="5" t="str">
        <f t="shared" si="2"/>
        <v> Claire</v>
      </c>
    </row>
    <row r="1246" ht="15.75" customHeight="1">
      <c r="A1246" s="5" t="s">
        <v>2491</v>
      </c>
      <c r="B1246" s="5" t="s">
        <v>2492</v>
      </c>
      <c r="C1246" s="5" t="str">
        <f t="shared" si="1"/>
        <v>Blake</v>
      </c>
      <c r="D1246" s="5" t="str">
        <f t="shared" si="2"/>
        <v> Erynn J.</v>
      </c>
    </row>
    <row r="1247" ht="15.75" customHeight="1">
      <c r="A1247" s="5" t="s">
        <v>2493</v>
      </c>
      <c r="B1247" s="5" t="s">
        <v>2494</v>
      </c>
      <c r="C1247" s="5" t="str">
        <f t="shared" si="1"/>
        <v>Sambasivam</v>
      </c>
      <c r="D1247" s="5" t="str">
        <f t="shared" si="2"/>
        <v> Mahesh</v>
      </c>
    </row>
    <row r="1248" ht="15.75" customHeight="1">
      <c r="A1248" s="5" t="s">
        <v>2495</v>
      </c>
      <c r="B1248" s="5" t="s">
        <v>2496</v>
      </c>
      <c r="C1248" s="5" t="str">
        <f t="shared" si="1"/>
        <v>Maina</v>
      </c>
      <c r="D1248" s="5" t="str">
        <f t="shared" si="2"/>
        <v> Stanley</v>
      </c>
    </row>
    <row r="1249" ht="15.75" customHeight="1">
      <c r="A1249" s="5" t="s">
        <v>2497</v>
      </c>
      <c r="B1249" s="5" t="s">
        <v>2498</v>
      </c>
      <c r="C1249" s="5" t="str">
        <f t="shared" si="1"/>
        <v>Keshian</v>
      </c>
      <c r="D1249" s="5" t="str">
        <f t="shared" si="2"/>
        <v> Gregory</v>
      </c>
    </row>
    <row r="1250" ht="15.75" customHeight="1">
      <c r="A1250" s="5" t="s">
        <v>2499</v>
      </c>
      <c r="B1250" s="5" t="s">
        <v>2500</v>
      </c>
      <c r="C1250" s="5" t="str">
        <f t="shared" si="1"/>
        <v>Maas</v>
      </c>
      <c r="D1250" s="5" t="str">
        <f t="shared" si="2"/>
        <v> Eric</v>
      </c>
    </row>
    <row r="1251" ht="15.75" customHeight="1">
      <c r="A1251" s="5" t="s">
        <v>2501</v>
      </c>
      <c r="B1251" s="5" t="s">
        <v>2502</v>
      </c>
      <c r="C1251" s="5" t="str">
        <f t="shared" si="1"/>
        <v>Sinasac</v>
      </c>
      <c r="D1251" s="5" t="str">
        <f t="shared" si="2"/>
        <v> Rachel M</v>
      </c>
    </row>
    <row r="1252" ht="15.75" customHeight="1">
      <c r="A1252" s="5" t="s">
        <v>2503</v>
      </c>
      <c r="B1252" s="5" t="s">
        <v>2504</v>
      </c>
      <c r="C1252" s="5" t="str">
        <f t="shared" si="1"/>
        <v>Va</v>
      </c>
      <c r="D1252" s="5" t="str">
        <f t="shared" si="2"/>
        <v> Fritz</v>
      </c>
    </row>
    <row r="1253" ht="15.75" customHeight="1">
      <c r="A1253" s="5" t="s">
        <v>2505</v>
      </c>
      <c r="B1253" s="5" t="s">
        <v>2506</v>
      </c>
      <c r="C1253" s="5" t="str">
        <f t="shared" si="1"/>
        <v>Ruffo</v>
      </c>
      <c r="D1253" s="5" t="str">
        <f t="shared" si="2"/>
        <v> Brad</v>
      </c>
    </row>
    <row r="1254" ht="15.75" customHeight="1">
      <c r="A1254" s="5" t="s">
        <v>2507</v>
      </c>
      <c r="B1254" s="5" t="s">
        <v>2508</v>
      </c>
      <c r="C1254" s="5" t="str">
        <f t="shared" si="1"/>
        <v>Long</v>
      </c>
      <c r="D1254" s="5" t="str">
        <f t="shared" si="2"/>
        <v> Claire M</v>
      </c>
    </row>
    <row r="1255" ht="15.75" customHeight="1">
      <c r="A1255" s="5" t="s">
        <v>2509</v>
      </c>
      <c r="B1255" s="5" t="s">
        <v>2510</v>
      </c>
      <c r="C1255" s="5" t="str">
        <f t="shared" si="1"/>
        <v>Rohde</v>
      </c>
      <c r="D1255" s="5" t="str">
        <f t="shared" si="2"/>
        <v> Jennifer</v>
      </c>
    </row>
    <row r="1256" ht="15.75" customHeight="1">
      <c r="A1256" s="5" t="s">
        <v>2511</v>
      </c>
      <c r="B1256" s="5" t="s">
        <v>2512</v>
      </c>
      <c r="C1256" s="5" t="str">
        <f t="shared" si="1"/>
        <v>Bonzi</v>
      </c>
      <c r="D1256" s="5" t="str">
        <f t="shared" si="2"/>
        <v> Maria S.</v>
      </c>
    </row>
    <row r="1257" ht="15.75" customHeight="1">
      <c r="A1257" s="5" t="s">
        <v>2513</v>
      </c>
      <c r="B1257" s="5" t="s">
        <v>2514</v>
      </c>
      <c r="C1257" s="5" t="str">
        <f t="shared" si="1"/>
        <v>Moore</v>
      </c>
      <c r="D1257" s="5" t="str">
        <f t="shared" si="2"/>
        <v> Katherine E</v>
      </c>
    </row>
    <row r="1258" ht="15.75" customHeight="1">
      <c r="A1258" s="5" t="s">
        <v>2515</v>
      </c>
      <c r="B1258" s="5" t="s">
        <v>2516</v>
      </c>
      <c r="C1258" s="5" t="str">
        <f t="shared" si="1"/>
        <v>McGrane</v>
      </c>
      <c r="D1258" s="5" t="str">
        <f t="shared" si="2"/>
        <v> Michael</v>
      </c>
    </row>
    <row r="1259" ht="15.75" customHeight="1">
      <c r="A1259" s="5" t="s">
        <v>2517</v>
      </c>
      <c r="B1259" s="5" t="s">
        <v>2518</v>
      </c>
      <c r="C1259" s="5" t="str">
        <f t="shared" si="1"/>
        <v>Stepnowski</v>
      </c>
      <c r="D1259" s="5" t="str">
        <f t="shared" si="2"/>
        <v> Roxanne</v>
      </c>
    </row>
    <row r="1260" ht="15.75" customHeight="1">
      <c r="A1260" s="5" t="s">
        <v>2519</v>
      </c>
      <c r="B1260" s="5" t="s">
        <v>2520</v>
      </c>
      <c r="C1260" s="5" t="str">
        <f t="shared" si="1"/>
        <v>Merkle</v>
      </c>
      <c r="D1260" s="5" t="str">
        <f t="shared" si="2"/>
        <v> Israel</v>
      </c>
    </row>
    <row r="1261" ht="15.75" customHeight="1">
      <c r="A1261" s="5" t="s">
        <v>2521</v>
      </c>
      <c r="B1261" s="5" t="s">
        <v>2522</v>
      </c>
      <c r="C1261" s="5" t="str">
        <f t="shared" si="1"/>
        <v>Schaefer</v>
      </c>
      <c r="D1261" s="5" t="str">
        <f t="shared" si="2"/>
        <v> Samalya</v>
      </c>
    </row>
    <row r="1262" ht="15.75" customHeight="1">
      <c r="A1262" s="5" t="s">
        <v>2523</v>
      </c>
      <c r="B1262" s="5" t="s">
        <v>2524</v>
      </c>
      <c r="C1262" s="5" t="str">
        <f t="shared" si="1"/>
        <v>Vigneron</v>
      </c>
      <c r="D1262" s="5" t="str">
        <f t="shared" si="2"/>
        <v> Peter</v>
      </c>
    </row>
    <row r="1263" ht="15.75" customHeight="1">
      <c r="A1263" s="5" t="s">
        <v>2525</v>
      </c>
      <c r="B1263" s="5" t="s">
        <v>2526</v>
      </c>
      <c r="C1263" s="5" t="str">
        <f t="shared" si="1"/>
        <v>Mucci</v>
      </c>
      <c r="D1263" s="5" t="str">
        <f t="shared" si="2"/>
        <v> Alicia</v>
      </c>
    </row>
    <row r="1264" ht="15.75" customHeight="1">
      <c r="A1264" s="5" t="s">
        <v>2527</v>
      </c>
      <c r="B1264" s="5" t="s">
        <v>2528</v>
      </c>
      <c r="C1264" s="5" t="str">
        <f t="shared" si="1"/>
        <v>MacDonald</v>
      </c>
      <c r="D1264" s="5" t="str">
        <f t="shared" si="2"/>
        <v> Sarah K.</v>
      </c>
    </row>
    <row r="1265" ht="15.75" customHeight="1">
      <c r="A1265" s="5" t="s">
        <v>2529</v>
      </c>
      <c r="B1265" s="5" t="s">
        <v>2530</v>
      </c>
      <c r="C1265" s="5" t="str">
        <f t="shared" si="1"/>
        <v>Deng</v>
      </c>
      <c r="D1265" s="5" t="str">
        <f t="shared" si="2"/>
        <v> Guomin</v>
      </c>
    </row>
    <row r="1266" ht="15.75" customHeight="1">
      <c r="A1266" s="5" t="s">
        <v>2531</v>
      </c>
      <c r="B1266" s="5" t="s">
        <v>2532</v>
      </c>
      <c r="C1266" s="5" t="str">
        <f t="shared" si="1"/>
        <v>D</v>
      </c>
      <c r="D1266" s="5" t="str">
        <f t="shared" si="2"/>
        <v> Javier</v>
      </c>
    </row>
    <row r="1267" ht="15.75" customHeight="1">
      <c r="A1267" s="5" t="s">
        <v>2533</v>
      </c>
      <c r="B1267" s="5" t="s">
        <v>2534</v>
      </c>
      <c r="C1267" s="5" t="str">
        <f t="shared" si="1"/>
        <v>Strickland</v>
      </c>
      <c r="D1267" s="5" t="str">
        <f t="shared" si="2"/>
        <v> Matt</v>
      </c>
    </row>
    <row r="1268" ht="15.75" customHeight="1">
      <c r="A1268" s="5" t="s">
        <v>2535</v>
      </c>
      <c r="B1268" s="5" t="s">
        <v>2536</v>
      </c>
      <c r="C1268" s="5" t="str">
        <f t="shared" si="1"/>
        <v>Cheney</v>
      </c>
      <c r="D1268" s="5" t="str">
        <f t="shared" si="2"/>
        <v> Thomas S</v>
      </c>
    </row>
    <row r="1269" ht="15.75" customHeight="1">
      <c r="A1269" s="5" t="s">
        <v>2537</v>
      </c>
      <c r="B1269" s="5" t="s">
        <v>2538</v>
      </c>
      <c r="C1269" s="5" t="str">
        <f t="shared" si="1"/>
        <v>Godoy</v>
      </c>
      <c r="D1269" s="5" t="str">
        <f t="shared" si="2"/>
        <v> Martha Patricia</v>
      </c>
    </row>
    <row r="1270" ht="15.75" customHeight="1">
      <c r="A1270" s="5" t="s">
        <v>2539</v>
      </c>
      <c r="B1270" s="5" t="s">
        <v>2540</v>
      </c>
      <c r="C1270" s="5" t="str">
        <f t="shared" si="1"/>
        <v>Rider</v>
      </c>
      <c r="D1270" s="5" t="str">
        <f t="shared" si="2"/>
        <v> Alicia</v>
      </c>
    </row>
    <row r="1271" ht="15.75" customHeight="1">
      <c r="A1271" s="5" t="s">
        <v>2541</v>
      </c>
      <c r="B1271" s="5" t="s">
        <v>2542</v>
      </c>
      <c r="C1271" s="5" t="str">
        <f t="shared" si="1"/>
        <v>Evans</v>
      </c>
      <c r="D1271" s="5" t="str">
        <f t="shared" si="2"/>
        <v> Jennifer V.</v>
      </c>
    </row>
    <row r="1272" ht="15.75" customHeight="1">
      <c r="A1272" s="5" t="s">
        <v>2543</v>
      </c>
      <c r="B1272" s="5" t="s">
        <v>2544</v>
      </c>
      <c r="C1272" s="5" t="str">
        <f t="shared" si="1"/>
        <v>Anderson</v>
      </c>
      <c r="D1272" s="5" t="str">
        <f t="shared" si="2"/>
        <v> Michael W.</v>
      </c>
    </row>
    <row r="1273" ht="15.75" customHeight="1">
      <c r="A1273" s="5" t="s">
        <v>2545</v>
      </c>
      <c r="B1273" s="5" t="s">
        <v>2546</v>
      </c>
      <c r="C1273" s="5" t="str">
        <f t="shared" si="1"/>
        <v>Walters</v>
      </c>
      <c r="D1273" s="5" t="str">
        <f t="shared" si="2"/>
        <v> Eddie C</v>
      </c>
    </row>
    <row r="1274" ht="15.75" customHeight="1">
      <c r="A1274" s="5" t="s">
        <v>2547</v>
      </c>
      <c r="B1274" s="5" t="s">
        <v>2548</v>
      </c>
      <c r="C1274" s="5" t="str">
        <f t="shared" si="1"/>
        <v>Leboeuf</v>
      </c>
      <c r="D1274" s="5" t="str">
        <f t="shared" si="2"/>
        <v> Maxime M</v>
      </c>
    </row>
    <row r="1275" ht="15.75" customHeight="1">
      <c r="A1275" s="5" t="s">
        <v>2549</v>
      </c>
      <c r="B1275" s="5" t="s">
        <v>2550</v>
      </c>
      <c r="C1275" s="5" t="str">
        <f t="shared" si="1"/>
        <v>Scheibel</v>
      </c>
      <c r="D1275" s="5" t="str">
        <f t="shared" si="2"/>
        <v> Mark D</v>
      </c>
    </row>
    <row r="1276" ht="15.75" customHeight="1">
      <c r="A1276" s="5" t="s">
        <v>2551</v>
      </c>
      <c r="B1276" s="5" t="s">
        <v>2552</v>
      </c>
      <c r="C1276" s="5" t="str">
        <f t="shared" si="1"/>
        <v>Ritter</v>
      </c>
      <c r="D1276" s="5" t="str">
        <f t="shared" si="2"/>
        <v> Adam</v>
      </c>
    </row>
    <row r="1277" ht="15.75" customHeight="1">
      <c r="A1277" s="5" t="s">
        <v>2553</v>
      </c>
      <c r="B1277" s="5" t="s">
        <v>2554</v>
      </c>
      <c r="C1277" s="5" t="str">
        <f t="shared" si="1"/>
        <v>Deeg</v>
      </c>
      <c r="D1277" s="5" t="str">
        <f t="shared" si="2"/>
        <v> Justin M</v>
      </c>
    </row>
    <row r="1278" ht="15.75" customHeight="1">
      <c r="A1278" s="5" t="s">
        <v>2555</v>
      </c>
      <c r="B1278" s="5" t="s">
        <v>2556</v>
      </c>
      <c r="C1278" s="5" t="str">
        <f t="shared" si="1"/>
        <v>Pretot</v>
      </c>
      <c r="D1278" s="5" t="str">
        <f t="shared" si="2"/>
        <v> Svetlana V.</v>
      </c>
    </row>
    <row r="1279" ht="15.75" customHeight="1">
      <c r="A1279" s="5" t="s">
        <v>2557</v>
      </c>
      <c r="B1279" s="5" t="s">
        <v>2558</v>
      </c>
      <c r="C1279" s="5" t="str">
        <f t="shared" si="1"/>
        <v>Willsey</v>
      </c>
      <c r="D1279" s="5" t="str">
        <f t="shared" si="2"/>
        <v> Jana L</v>
      </c>
    </row>
    <row r="1280" ht="15.75" customHeight="1">
      <c r="A1280" s="5" t="s">
        <v>2559</v>
      </c>
      <c r="B1280" s="5" t="s">
        <v>2560</v>
      </c>
      <c r="C1280" s="5" t="str">
        <f t="shared" si="1"/>
        <v>Roach</v>
      </c>
      <c r="D1280" s="5" t="str">
        <f t="shared" si="2"/>
        <v> Laura</v>
      </c>
    </row>
    <row r="1281" ht="15.75" customHeight="1">
      <c r="A1281" s="5" t="s">
        <v>2561</v>
      </c>
      <c r="B1281" s="5" t="s">
        <v>2562</v>
      </c>
      <c r="C1281" s="5" t="str">
        <f t="shared" si="1"/>
        <v>Jacobsen</v>
      </c>
      <c r="D1281" s="5" t="str">
        <f t="shared" si="2"/>
        <v> Torrey C III</v>
      </c>
    </row>
    <row r="1282" ht="15.75" customHeight="1">
      <c r="A1282" s="5" t="s">
        <v>2563</v>
      </c>
      <c r="B1282" s="5" t="s">
        <v>2564</v>
      </c>
      <c r="C1282" s="5" t="str">
        <f t="shared" si="1"/>
        <v>O'Hora</v>
      </c>
      <c r="D1282" s="5" t="str">
        <f t="shared" si="2"/>
        <v> Paul</v>
      </c>
    </row>
    <row r="1283" ht="15.75" customHeight="1">
      <c r="A1283" s="5" t="s">
        <v>2565</v>
      </c>
      <c r="B1283" s="5" t="s">
        <v>2566</v>
      </c>
      <c r="C1283" s="5" t="str">
        <f t="shared" si="1"/>
        <v>Amato</v>
      </c>
      <c r="D1283" s="5" t="str">
        <f t="shared" si="2"/>
        <v> Jennifer D.</v>
      </c>
    </row>
    <row r="1284" ht="15.75" customHeight="1">
      <c r="A1284" s="5" t="s">
        <v>2567</v>
      </c>
      <c r="B1284" s="5" t="s">
        <v>2568</v>
      </c>
      <c r="C1284" s="5" t="str">
        <f t="shared" si="1"/>
        <v>Reed</v>
      </c>
      <c r="D1284" s="5" t="str">
        <f t="shared" si="2"/>
        <v> Erik</v>
      </c>
    </row>
    <row r="1285" ht="15.75" customHeight="1">
      <c r="A1285" s="5" t="s">
        <v>2569</v>
      </c>
      <c r="B1285" s="5" t="s">
        <v>2570</v>
      </c>
      <c r="C1285" s="5" t="str">
        <f t="shared" si="1"/>
        <v>Wegner</v>
      </c>
      <c r="D1285" s="5" t="str">
        <f t="shared" si="2"/>
        <v> Lana J</v>
      </c>
    </row>
    <row r="1286" ht="15.75" customHeight="1">
      <c r="A1286" s="5" t="s">
        <v>2571</v>
      </c>
      <c r="B1286" s="5" t="s">
        <v>2572</v>
      </c>
      <c r="C1286" s="5" t="str">
        <f t="shared" si="1"/>
        <v>Bokun</v>
      </c>
      <c r="D1286" s="5" t="str">
        <f t="shared" si="2"/>
        <v> Rebecca E</v>
      </c>
    </row>
    <row r="1287" ht="15.75" customHeight="1">
      <c r="A1287" s="5" t="s">
        <v>2573</v>
      </c>
      <c r="B1287" s="5" t="s">
        <v>2574</v>
      </c>
      <c r="C1287" s="5" t="str">
        <f t="shared" si="1"/>
        <v>Ainsley</v>
      </c>
      <c r="D1287" s="5" t="str">
        <f t="shared" si="2"/>
        <v> Katie M.</v>
      </c>
    </row>
    <row r="1288" ht="15.75" customHeight="1">
      <c r="A1288" s="5" t="s">
        <v>2575</v>
      </c>
      <c r="B1288" s="5" t="s">
        <v>2576</v>
      </c>
      <c r="C1288" s="5" t="str">
        <f t="shared" si="1"/>
        <v>Foster</v>
      </c>
      <c r="D1288" s="5" t="str">
        <f t="shared" si="2"/>
        <v> Elizabeth A.</v>
      </c>
    </row>
    <row r="1289" ht="15.75" customHeight="1">
      <c r="A1289" s="5" t="s">
        <v>2577</v>
      </c>
      <c r="B1289" s="5" t="s">
        <v>2578</v>
      </c>
      <c r="C1289" s="5" t="str">
        <f t="shared" si="1"/>
        <v>Overpeck</v>
      </c>
      <c r="D1289" s="5" t="str">
        <f t="shared" si="2"/>
        <v> Sarah</v>
      </c>
    </row>
    <row r="1290" ht="15.75" customHeight="1">
      <c r="A1290" s="5" t="s">
        <v>2579</v>
      </c>
      <c r="B1290" s="5" t="s">
        <v>2580</v>
      </c>
      <c r="C1290" s="5" t="str">
        <f t="shared" si="1"/>
        <v>Levine</v>
      </c>
      <c r="D1290" s="5" t="str">
        <f t="shared" si="2"/>
        <v> Annie J.</v>
      </c>
    </row>
    <row r="1291" ht="15.75" customHeight="1">
      <c r="A1291" s="5" t="s">
        <v>2581</v>
      </c>
      <c r="B1291" s="5" t="s">
        <v>2582</v>
      </c>
      <c r="C1291" s="5" t="str">
        <f t="shared" si="1"/>
        <v>Jean</v>
      </c>
      <c r="D1291" s="5" t="str">
        <f t="shared" si="2"/>
        <v> Annie</v>
      </c>
    </row>
    <row r="1292" ht="15.75" customHeight="1">
      <c r="A1292" s="5" t="s">
        <v>2583</v>
      </c>
      <c r="B1292" s="5" t="s">
        <v>2584</v>
      </c>
      <c r="C1292" s="5" t="str">
        <f t="shared" si="1"/>
        <v>Wild</v>
      </c>
      <c r="D1292" s="5" t="str">
        <f t="shared" si="2"/>
        <v> Lindsey</v>
      </c>
    </row>
    <row r="1293" ht="15.75" customHeight="1">
      <c r="A1293" s="5" t="s">
        <v>2585</v>
      </c>
      <c r="B1293" s="5" t="s">
        <v>2586</v>
      </c>
      <c r="C1293" s="5" t="str">
        <f t="shared" si="1"/>
        <v>Tabor</v>
      </c>
      <c r="D1293" s="5" t="str">
        <f t="shared" si="2"/>
        <v> Laura</v>
      </c>
    </row>
    <row r="1294" ht="15.75" customHeight="1">
      <c r="A1294" s="5" t="s">
        <v>2587</v>
      </c>
      <c r="B1294" s="5" t="s">
        <v>2588</v>
      </c>
      <c r="C1294" s="5" t="str">
        <f t="shared" si="1"/>
        <v>Steffen</v>
      </c>
      <c r="D1294" s="5" t="str">
        <f t="shared" si="2"/>
        <v> Amy T</v>
      </c>
    </row>
    <row r="1295" ht="15.75" customHeight="1">
      <c r="A1295" s="5" t="s">
        <v>2589</v>
      </c>
      <c r="B1295" s="5" t="s">
        <v>2590</v>
      </c>
      <c r="C1295" s="5" t="str">
        <f t="shared" si="1"/>
        <v>Tadich</v>
      </c>
      <c r="D1295" s="5" t="str">
        <f t="shared" si="2"/>
        <v> Katarina D</v>
      </c>
    </row>
    <row r="1296" ht="15.75" customHeight="1">
      <c r="A1296" s="5" t="s">
        <v>2591</v>
      </c>
      <c r="B1296" s="5" t="s">
        <v>2592</v>
      </c>
      <c r="C1296" s="5" t="str">
        <f t="shared" si="1"/>
        <v>Christenson</v>
      </c>
      <c r="D1296" s="5" t="str">
        <f t="shared" si="2"/>
        <v> B.j.</v>
      </c>
    </row>
    <row r="1297" ht="15.75" customHeight="1">
      <c r="A1297" s="5" t="s">
        <v>2593</v>
      </c>
      <c r="B1297" s="5" t="s">
        <v>2594</v>
      </c>
      <c r="C1297" s="5" t="str">
        <f t="shared" si="1"/>
        <v>Shell</v>
      </c>
      <c r="D1297" s="5" t="str">
        <f t="shared" si="2"/>
        <v> Alison</v>
      </c>
    </row>
    <row r="1298" ht="15.75" customHeight="1">
      <c r="A1298" s="5" t="s">
        <v>2595</v>
      </c>
      <c r="B1298" s="5" t="s">
        <v>2596</v>
      </c>
      <c r="C1298" s="5" t="str">
        <f t="shared" si="1"/>
        <v>Rao</v>
      </c>
      <c r="D1298" s="5" t="str">
        <f t="shared" si="2"/>
        <v> Neil K.</v>
      </c>
    </row>
    <row r="1299" ht="15.75" customHeight="1">
      <c r="A1299" s="5" t="s">
        <v>2597</v>
      </c>
      <c r="B1299" s="5" t="s">
        <v>2598</v>
      </c>
      <c r="C1299" s="5" t="str">
        <f t="shared" si="1"/>
        <v>Myers</v>
      </c>
      <c r="D1299" s="5" t="str">
        <f t="shared" si="2"/>
        <v> Anne Hunter</v>
      </c>
    </row>
    <row r="1300" ht="15.75" customHeight="1">
      <c r="A1300" s="5" t="s">
        <v>2599</v>
      </c>
      <c r="B1300" s="5" t="s">
        <v>2600</v>
      </c>
      <c r="C1300" s="5" t="str">
        <f t="shared" si="1"/>
        <v>McLean</v>
      </c>
      <c r="D1300" s="5" t="str">
        <f t="shared" si="2"/>
        <v> Sandra</v>
      </c>
    </row>
    <row r="1301" ht="15.75" customHeight="1">
      <c r="A1301" s="5" t="s">
        <v>2601</v>
      </c>
      <c r="B1301" s="5" t="s">
        <v>2602</v>
      </c>
      <c r="C1301" s="5" t="str">
        <f t="shared" si="1"/>
        <v>Gomez</v>
      </c>
      <c r="D1301" s="5" t="str">
        <f t="shared" si="2"/>
        <v> Robert</v>
      </c>
    </row>
    <row r="1302" ht="15.75" customHeight="1">
      <c r="A1302" s="5" t="s">
        <v>2603</v>
      </c>
      <c r="B1302" s="5" t="s">
        <v>2604</v>
      </c>
      <c r="C1302" s="5" t="str">
        <f t="shared" si="1"/>
        <v>Hemingway</v>
      </c>
      <c r="D1302" s="5" t="str">
        <f t="shared" si="2"/>
        <v> Rodney</v>
      </c>
    </row>
    <row r="1303" ht="15.75" customHeight="1">
      <c r="A1303" s="5" t="s">
        <v>2605</v>
      </c>
      <c r="B1303" s="5" t="s">
        <v>2606</v>
      </c>
      <c r="C1303" s="5" t="str">
        <f t="shared" si="1"/>
        <v>Pett</v>
      </c>
      <c r="D1303" s="5" t="str">
        <f t="shared" si="2"/>
        <v> Carl R</v>
      </c>
    </row>
    <row r="1304" ht="15.75" customHeight="1">
      <c r="A1304" s="5" t="s">
        <v>2607</v>
      </c>
      <c r="B1304" s="5" t="s">
        <v>2608</v>
      </c>
      <c r="C1304" s="5" t="str">
        <f t="shared" si="1"/>
        <v>Meingast</v>
      </c>
      <c r="D1304" s="5" t="str">
        <f t="shared" si="2"/>
        <v> Maximilian</v>
      </c>
    </row>
    <row r="1305" ht="15.75" customHeight="1">
      <c r="A1305" s="5" t="s">
        <v>2609</v>
      </c>
      <c r="B1305" s="5" t="s">
        <v>2610</v>
      </c>
      <c r="C1305" s="5" t="str">
        <f t="shared" si="1"/>
        <v>McCarthy</v>
      </c>
      <c r="D1305" s="5" t="str">
        <f t="shared" si="2"/>
        <v> Erik</v>
      </c>
    </row>
    <row r="1306" ht="15.75" customHeight="1">
      <c r="A1306" s="5" t="s">
        <v>2611</v>
      </c>
      <c r="B1306" s="5" t="s">
        <v>2612</v>
      </c>
      <c r="C1306" s="5" t="str">
        <f t="shared" si="1"/>
        <v>Boyle</v>
      </c>
      <c r="D1306" s="5" t="str">
        <f t="shared" si="2"/>
        <v> Christopher</v>
      </c>
    </row>
    <row r="1307" ht="15.75" customHeight="1">
      <c r="A1307" s="5" t="s">
        <v>2613</v>
      </c>
      <c r="B1307" s="5" t="s">
        <v>2614</v>
      </c>
      <c r="C1307" s="5" t="str">
        <f t="shared" si="1"/>
        <v>Gundersen</v>
      </c>
      <c r="D1307" s="5" t="str">
        <f t="shared" si="2"/>
        <v> Eirik</v>
      </c>
    </row>
    <row r="1308" ht="15.75" customHeight="1">
      <c r="A1308" s="5" t="s">
        <v>2615</v>
      </c>
      <c r="B1308" s="5" t="s">
        <v>2616</v>
      </c>
      <c r="C1308" s="5" t="str">
        <f t="shared" si="1"/>
        <v>Wolswinkel</v>
      </c>
      <c r="D1308" s="5" t="str">
        <f t="shared" si="2"/>
        <v> Rik</v>
      </c>
    </row>
    <row r="1309" ht="15.75" customHeight="1">
      <c r="A1309" s="5" t="s">
        <v>2617</v>
      </c>
      <c r="B1309" s="5" t="s">
        <v>2618</v>
      </c>
      <c r="C1309" s="5" t="str">
        <f t="shared" si="1"/>
        <v>Bomberger</v>
      </c>
      <c r="D1309" s="5" t="str">
        <f t="shared" si="2"/>
        <v> Matthew R</v>
      </c>
    </row>
    <row r="1310" ht="15.75" customHeight="1">
      <c r="A1310" s="5" t="s">
        <v>2619</v>
      </c>
      <c r="B1310" s="5" t="s">
        <v>2620</v>
      </c>
      <c r="C1310" s="5" t="str">
        <f t="shared" si="1"/>
        <v>Roy</v>
      </c>
      <c r="D1310" s="5" t="str">
        <f t="shared" si="2"/>
        <v> Daniel G</v>
      </c>
    </row>
    <row r="1311" ht="15.75" customHeight="1">
      <c r="A1311" s="5" t="s">
        <v>2621</v>
      </c>
      <c r="B1311" s="5" t="s">
        <v>2622</v>
      </c>
      <c r="C1311" s="5" t="str">
        <f t="shared" si="1"/>
        <v>Lapierre</v>
      </c>
      <c r="D1311" s="5" t="str">
        <f t="shared" si="2"/>
        <v> Yannick</v>
      </c>
    </row>
    <row r="1312" ht="15.75" customHeight="1">
      <c r="A1312" s="5" t="s">
        <v>2623</v>
      </c>
      <c r="B1312" s="5" t="s">
        <v>2624</v>
      </c>
      <c r="C1312" s="5" t="str">
        <f t="shared" si="1"/>
        <v>Beaty</v>
      </c>
      <c r="D1312" s="5" t="str">
        <f t="shared" si="2"/>
        <v> Sean R</v>
      </c>
    </row>
    <row r="1313" ht="15.75" customHeight="1">
      <c r="A1313" s="5" t="s">
        <v>2625</v>
      </c>
      <c r="B1313" s="5" t="s">
        <v>2626</v>
      </c>
      <c r="C1313" s="5" t="str">
        <f t="shared" si="1"/>
        <v>Hammer</v>
      </c>
      <c r="D1313" s="5" t="str">
        <f t="shared" si="2"/>
        <v> Peter</v>
      </c>
    </row>
    <row r="1314" ht="15.75" customHeight="1">
      <c r="A1314" s="5" t="s">
        <v>2627</v>
      </c>
      <c r="B1314" s="5" t="s">
        <v>2628</v>
      </c>
      <c r="C1314" s="5" t="str">
        <f t="shared" si="1"/>
        <v>Randolph</v>
      </c>
      <c r="D1314" s="5" t="str">
        <f t="shared" si="2"/>
        <v> Sara A.</v>
      </c>
    </row>
    <row r="1315" ht="15.75" customHeight="1">
      <c r="A1315" s="5" t="s">
        <v>2629</v>
      </c>
      <c r="B1315" s="5" t="s">
        <v>2630</v>
      </c>
      <c r="C1315" s="5" t="str">
        <f t="shared" si="1"/>
        <v>Masterson</v>
      </c>
      <c r="D1315" s="5" t="str">
        <f t="shared" si="2"/>
        <v> Erin C.</v>
      </c>
    </row>
    <row r="1316" ht="15.75" customHeight="1">
      <c r="A1316" s="5" t="s">
        <v>2631</v>
      </c>
      <c r="B1316" s="5" t="s">
        <v>2632</v>
      </c>
      <c r="C1316" s="5" t="str">
        <f t="shared" si="1"/>
        <v>Friess</v>
      </c>
      <c r="D1316" s="5" t="str">
        <f t="shared" si="2"/>
        <v> Thibaud</v>
      </c>
    </row>
    <row r="1317" ht="15.75" customHeight="1">
      <c r="A1317" s="5" t="s">
        <v>2633</v>
      </c>
      <c r="B1317" s="5" t="s">
        <v>2634</v>
      </c>
      <c r="C1317" s="5" t="str">
        <f t="shared" si="1"/>
        <v>Mantoni</v>
      </c>
      <c r="D1317" s="5" t="str">
        <f t="shared" si="2"/>
        <v> Lisa</v>
      </c>
    </row>
    <row r="1318" ht="15.75" customHeight="1">
      <c r="A1318" s="5" t="s">
        <v>2635</v>
      </c>
      <c r="B1318" s="5" t="s">
        <v>2636</v>
      </c>
      <c r="C1318" s="5" t="str">
        <f t="shared" si="1"/>
        <v>Bodeen</v>
      </c>
      <c r="D1318" s="5" t="str">
        <f t="shared" si="2"/>
        <v> Gretchen K.</v>
      </c>
    </row>
    <row r="1319" ht="15.75" customHeight="1">
      <c r="A1319" s="5" t="s">
        <v>2637</v>
      </c>
      <c r="B1319" s="5" t="s">
        <v>2638</v>
      </c>
      <c r="C1319" s="5" t="str">
        <f t="shared" si="1"/>
        <v>McPherson</v>
      </c>
      <c r="D1319" s="5" t="str">
        <f t="shared" si="2"/>
        <v> Martina</v>
      </c>
    </row>
    <row r="1320" ht="15.75" customHeight="1">
      <c r="A1320" s="5" t="s">
        <v>2639</v>
      </c>
      <c r="B1320" s="5" t="s">
        <v>2640</v>
      </c>
      <c r="C1320" s="5" t="str">
        <f t="shared" si="1"/>
        <v>Palko</v>
      </c>
      <c r="D1320" s="5" t="str">
        <f t="shared" si="2"/>
        <v> Dustin J</v>
      </c>
    </row>
    <row r="1321" ht="15.75" customHeight="1">
      <c r="A1321" s="5" t="s">
        <v>2641</v>
      </c>
      <c r="B1321" s="5" t="s">
        <v>2642</v>
      </c>
      <c r="C1321" s="5" t="str">
        <f t="shared" si="1"/>
        <v>Breathitt</v>
      </c>
      <c r="D1321" s="5" t="str">
        <f t="shared" si="2"/>
        <v> Kelsey</v>
      </c>
    </row>
    <row r="1322" ht="15.75" customHeight="1">
      <c r="A1322" s="5" t="s">
        <v>2643</v>
      </c>
      <c r="B1322" s="5" t="s">
        <v>2644</v>
      </c>
      <c r="C1322" s="5" t="str">
        <f t="shared" si="1"/>
        <v>Evora</v>
      </c>
      <c r="D1322" s="5" t="str">
        <f t="shared" si="2"/>
        <v> Daniel V.</v>
      </c>
    </row>
    <row r="1323" ht="15.75" customHeight="1">
      <c r="A1323" s="5" t="s">
        <v>2645</v>
      </c>
      <c r="B1323" s="5" t="s">
        <v>2646</v>
      </c>
      <c r="C1323" s="5" t="str">
        <f t="shared" si="1"/>
        <v>Fischer</v>
      </c>
      <c r="D1323" s="5" t="str">
        <f t="shared" si="2"/>
        <v> Saeger</v>
      </c>
    </row>
    <row r="1324" ht="15.75" customHeight="1">
      <c r="A1324" s="5" t="s">
        <v>2647</v>
      </c>
      <c r="B1324" s="5" t="s">
        <v>2648</v>
      </c>
      <c r="C1324" s="5" t="str">
        <f t="shared" si="1"/>
        <v>Deba</v>
      </c>
      <c r="D1324" s="5" t="str">
        <f t="shared" si="2"/>
        <v> Buzunesh</v>
      </c>
    </row>
    <row r="1325" ht="15.75" customHeight="1">
      <c r="A1325" s="5" t="s">
        <v>2649</v>
      </c>
      <c r="B1325" s="5" t="s">
        <v>2650</v>
      </c>
      <c r="C1325" s="5" t="str">
        <f t="shared" si="1"/>
        <v>Leloup</v>
      </c>
      <c r="D1325" s="5" t="str">
        <f t="shared" si="2"/>
        <v> Mirte</v>
      </c>
    </row>
    <row r="1326" ht="15.75" customHeight="1">
      <c r="A1326" s="5" t="s">
        <v>2651</v>
      </c>
      <c r="B1326" s="5" t="s">
        <v>2652</v>
      </c>
      <c r="C1326" s="5" t="str">
        <f t="shared" si="1"/>
        <v>Labare</v>
      </c>
      <c r="D1326" s="5" t="str">
        <f t="shared" si="2"/>
        <v> Megan</v>
      </c>
    </row>
    <row r="1327" ht="15.75" customHeight="1">
      <c r="A1327" s="5" t="s">
        <v>2653</v>
      </c>
      <c r="B1327" s="5" t="s">
        <v>2654</v>
      </c>
      <c r="C1327" s="5" t="str">
        <f t="shared" si="1"/>
        <v>Arouca</v>
      </c>
      <c r="D1327" s="5" t="str">
        <f t="shared" si="2"/>
        <v> Kerry A.</v>
      </c>
    </row>
    <row r="1328" ht="15.75" customHeight="1">
      <c r="A1328" s="5" t="s">
        <v>2655</v>
      </c>
      <c r="B1328" s="5" t="s">
        <v>2656</v>
      </c>
      <c r="C1328" s="5" t="str">
        <f t="shared" si="1"/>
        <v>Reese</v>
      </c>
      <c r="D1328" s="5" t="str">
        <f t="shared" si="2"/>
        <v> Kristin</v>
      </c>
    </row>
    <row r="1329" ht="15.75" customHeight="1">
      <c r="A1329" s="5" t="s">
        <v>2657</v>
      </c>
      <c r="B1329" s="5" t="s">
        <v>2658</v>
      </c>
      <c r="C1329" s="5" t="str">
        <f t="shared" si="1"/>
        <v>McCloskey</v>
      </c>
      <c r="D1329" s="5" t="str">
        <f t="shared" si="2"/>
        <v> Christopher R.</v>
      </c>
    </row>
    <row r="1330" ht="15.75" customHeight="1">
      <c r="A1330" s="5" t="s">
        <v>2659</v>
      </c>
      <c r="B1330" s="5" t="s">
        <v>2660</v>
      </c>
      <c r="C1330" s="5" t="str">
        <f t="shared" si="1"/>
        <v>Tedsen</v>
      </c>
      <c r="D1330" s="5" t="str">
        <f t="shared" si="2"/>
        <v> Elizabeth A</v>
      </c>
    </row>
    <row r="1331" ht="15.75" customHeight="1">
      <c r="A1331" s="5" t="s">
        <v>2661</v>
      </c>
      <c r="B1331" s="5" t="s">
        <v>2662</v>
      </c>
      <c r="C1331" s="5" t="str">
        <f t="shared" si="1"/>
        <v>Koehlinger</v>
      </c>
      <c r="D1331" s="5" t="str">
        <f t="shared" si="2"/>
        <v> Andrew</v>
      </c>
    </row>
    <row r="1332" ht="15.75" customHeight="1">
      <c r="A1332" s="5" t="s">
        <v>2663</v>
      </c>
      <c r="B1332" s="5" t="s">
        <v>2664</v>
      </c>
      <c r="C1332" s="5" t="str">
        <f t="shared" si="1"/>
        <v>Pielechaty</v>
      </c>
      <c r="D1332" s="5" t="str">
        <f t="shared" si="2"/>
        <v> Dawn M.</v>
      </c>
    </row>
    <row r="1333" ht="15.75" customHeight="1">
      <c r="A1333" s="5" t="s">
        <v>2665</v>
      </c>
      <c r="B1333" s="5" t="s">
        <v>2666</v>
      </c>
      <c r="C1333" s="5" t="str">
        <f t="shared" si="1"/>
        <v>Korhonen</v>
      </c>
      <c r="D1333" s="5" t="str">
        <f t="shared" si="2"/>
        <v> Jonathan P</v>
      </c>
    </row>
    <row r="1334" ht="15.75" customHeight="1">
      <c r="A1334" s="5" t="s">
        <v>2667</v>
      </c>
      <c r="B1334" s="5" t="s">
        <v>2668</v>
      </c>
      <c r="C1334" s="5" t="str">
        <f t="shared" si="1"/>
        <v>Kehr</v>
      </c>
      <c r="D1334" s="5" t="str">
        <f t="shared" si="2"/>
        <v> Gina</v>
      </c>
    </row>
    <row r="1335" ht="15.75" customHeight="1">
      <c r="A1335" s="5" t="s">
        <v>2669</v>
      </c>
      <c r="B1335" s="5" t="s">
        <v>2670</v>
      </c>
      <c r="C1335" s="5" t="str">
        <f t="shared" si="1"/>
        <v>Montagna</v>
      </c>
      <c r="D1335" s="5" t="str">
        <f t="shared" si="2"/>
        <v> Dino</v>
      </c>
    </row>
    <row r="1336" ht="15.75" customHeight="1">
      <c r="A1336" s="5" t="s">
        <v>2671</v>
      </c>
      <c r="B1336" s="5" t="s">
        <v>2672</v>
      </c>
      <c r="C1336" s="5" t="str">
        <f t="shared" si="1"/>
        <v>M√ºller</v>
      </c>
      <c r="D1336" s="5" t="str">
        <f t="shared" si="2"/>
        <v> Jan</v>
      </c>
    </row>
    <row r="1337" ht="15.75" customHeight="1">
      <c r="A1337" s="5" t="s">
        <v>2673</v>
      </c>
      <c r="B1337" s="5" t="s">
        <v>2674</v>
      </c>
      <c r="C1337" s="5" t="str">
        <f t="shared" si="1"/>
        <v>Baker</v>
      </c>
      <c r="D1337" s="5" t="str">
        <f t="shared" si="2"/>
        <v> Jonathan E.</v>
      </c>
    </row>
    <row r="1338" ht="15.75" customHeight="1">
      <c r="A1338" s="5" t="s">
        <v>2675</v>
      </c>
      <c r="B1338" s="5" t="s">
        <v>2676</v>
      </c>
      <c r="C1338" s="5" t="str">
        <f t="shared" si="1"/>
        <v>Sidebottom</v>
      </c>
      <c r="D1338" s="5" t="str">
        <f t="shared" si="2"/>
        <v> Mark A</v>
      </c>
    </row>
    <row r="1339" ht="15.75" customHeight="1">
      <c r="A1339" s="5" t="s">
        <v>2677</v>
      </c>
      <c r="B1339" s="5" t="s">
        <v>2678</v>
      </c>
      <c r="C1339" s="5" t="str">
        <f t="shared" si="1"/>
        <v>Johnson</v>
      </c>
      <c r="D1339" s="5" t="str">
        <f t="shared" si="2"/>
        <v> Mary</v>
      </c>
    </row>
    <row r="1340" ht="15.75" customHeight="1">
      <c r="A1340" s="5" t="s">
        <v>2679</v>
      </c>
      <c r="B1340" s="5" t="s">
        <v>2680</v>
      </c>
      <c r="C1340" s="5" t="str">
        <f t="shared" si="1"/>
        <v>Morris</v>
      </c>
      <c r="D1340" s="5" t="str">
        <f t="shared" si="2"/>
        <v> Samuel</v>
      </c>
    </row>
    <row r="1341" ht="15.75" customHeight="1">
      <c r="A1341" s="5" t="s">
        <v>2681</v>
      </c>
      <c r="B1341" s="5" t="s">
        <v>2682</v>
      </c>
      <c r="C1341" s="5" t="str">
        <f t="shared" si="1"/>
        <v>Chaisson</v>
      </c>
      <c r="D1341" s="5" t="str">
        <f t="shared" si="2"/>
        <v> Stan J</v>
      </c>
    </row>
    <row r="1342" ht="15.75" customHeight="1">
      <c r="A1342" s="5" t="s">
        <v>2683</v>
      </c>
      <c r="B1342" s="5" t="s">
        <v>2684</v>
      </c>
      <c r="C1342" s="5" t="str">
        <f t="shared" si="1"/>
        <v>Pigott</v>
      </c>
      <c r="D1342" s="5" t="str">
        <f t="shared" si="2"/>
        <v> Jessica L.</v>
      </c>
    </row>
    <row r="1343" ht="15.75" customHeight="1">
      <c r="A1343" s="5" t="s">
        <v>2685</v>
      </c>
      <c r="B1343" s="5" t="s">
        <v>2686</v>
      </c>
      <c r="C1343" s="5" t="str">
        <f t="shared" si="1"/>
        <v>Cochrane</v>
      </c>
      <c r="D1343" s="5" t="str">
        <f t="shared" si="2"/>
        <v> Krysta</v>
      </c>
    </row>
    <row r="1344" ht="15.75" customHeight="1">
      <c r="A1344" s="5" t="s">
        <v>2687</v>
      </c>
      <c r="B1344" s="5" t="s">
        <v>2688</v>
      </c>
      <c r="C1344" s="5" t="str">
        <f t="shared" si="1"/>
        <v>Armitage</v>
      </c>
      <c r="D1344" s="5" t="str">
        <f t="shared" si="2"/>
        <v> Natascia</v>
      </c>
    </row>
    <row r="1345" ht="15.75" customHeight="1">
      <c r="A1345" s="5" t="s">
        <v>2689</v>
      </c>
      <c r="B1345" s="5" t="s">
        <v>2690</v>
      </c>
      <c r="C1345" s="5" t="str">
        <f t="shared" si="1"/>
        <v>Shen</v>
      </c>
      <c r="D1345" s="5" t="str">
        <f t="shared" si="2"/>
        <v> Jenny</v>
      </c>
    </row>
    <row r="1346" ht="15.75" customHeight="1">
      <c r="A1346" s="5" t="s">
        <v>2691</v>
      </c>
      <c r="B1346" s="5" t="s">
        <v>2692</v>
      </c>
      <c r="C1346" s="5" t="str">
        <f t="shared" si="1"/>
        <v>O'Kelly</v>
      </c>
      <c r="D1346" s="5" t="str">
        <f t="shared" si="2"/>
        <v> Brian</v>
      </c>
    </row>
    <row r="1347" ht="15.75" customHeight="1">
      <c r="A1347" s="5" t="s">
        <v>2693</v>
      </c>
      <c r="B1347" s="5" t="s">
        <v>2694</v>
      </c>
      <c r="C1347" s="5" t="str">
        <f t="shared" si="1"/>
        <v>Huff</v>
      </c>
      <c r="D1347" s="5" t="str">
        <f t="shared" si="2"/>
        <v> Monica</v>
      </c>
    </row>
    <row r="1348" ht="15.75" customHeight="1">
      <c r="A1348" s="5" t="s">
        <v>2695</v>
      </c>
      <c r="B1348" s="5" t="s">
        <v>2696</v>
      </c>
      <c r="C1348" s="5" t="str">
        <f t="shared" si="1"/>
        <v>Dye</v>
      </c>
      <c r="D1348" s="5" t="str">
        <f t="shared" si="2"/>
        <v> Tyler</v>
      </c>
    </row>
    <row r="1349" ht="15.75" customHeight="1">
      <c r="A1349" s="5" t="s">
        <v>2697</v>
      </c>
      <c r="B1349" s="5" t="s">
        <v>2698</v>
      </c>
      <c r="C1349" s="5" t="str">
        <f t="shared" si="1"/>
        <v>Willard</v>
      </c>
      <c r="D1349" s="5" t="str">
        <f t="shared" si="2"/>
        <v> Kelly C</v>
      </c>
    </row>
    <row r="1350" ht="15.75" customHeight="1">
      <c r="A1350" s="5" t="s">
        <v>2699</v>
      </c>
      <c r="B1350" s="5" t="s">
        <v>2700</v>
      </c>
      <c r="C1350" s="5" t="str">
        <f t="shared" si="1"/>
        <v>D'Addario</v>
      </c>
      <c r="D1350" s="5" t="str">
        <f t="shared" si="2"/>
        <v> Emily</v>
      </c>
    </row>
    <row r="1351" ht="15.75" customHeight="1">
      <c r="A1351" s="5" t="s">
        <v>2701</v>
      </c>
      <c r="B1351" s="5" t="s">
        <v>2702</v>
      </c>
      <c r="C1351" s="5" t="str">
        <f t="shared" si="1"/>
        <v>Buchanan</v>
      </c>
      <c r="D1351" s="5" t="str">
        <f t="shared" si="2"/>
        <v> James V</v>
      </c>
    </row>
    <row r="1352" ht="15.75" customHeight="1">
      <c r="A1352" s="5" t="s">
        <v>2703</v>
      </c>
      <c r="B1352" s="5" t="s">
        <v>2704</v>
      </c>
      <c r="C1352" s="5" t="str">
        <f t="shared" si="1"/>
        <v>Clark</v>
      </c>
      <c r="D1352" s="5" t="str">
        <f t="shared" si="2"/>
        <v> Angie</v>
      </c>
    </row>
    <row r="1353" ht="15.75" customHeight="1">
      <c r="A1353" s="5" t="s">
        <v>2705</v>
      </c>
      <c r="B1353" s="5" t="s">
        <v>2706</v>
      </c>
      <c r="C1353" s="5" t="str">
        <f t="shared" si="1"/>
        <v>Waterson</v>
      </c>
      <c r="D1353" s="5" t="str">
        <f t="shared" si="2"/>
        <v> Michael J.</v>
      </c>
    </row>
    <row r="1354" ht="15.75" customHeight="1">
      <c r="A1354" s="5" t="s">
        <v>2707</v>
      </c>
      <c r="B1354" s="5" t="s">
        <v>2708</v>
      </c>
      <c r="C1354" s="5" t="str">
        <f t="shared" si="1"/>
        <v>Piras</v>
      </c>
      <c r="D1354" s="5" t="str">
        <f t="shared" si="2"/>
        <v> Sabina</v>
      </c>
    </row>
    <row r="1355" ht="15.75" customHeight="1">
      <c r="A1355" s="5" t="s">
        <v>2709</v>
      </c>
      <c r="B1355" s="5" t="s">
        <v>2710</v>
      </c>
      <c r="C1355" s="5" t="str">
        <f t="shared" si="1"/>
        <v>Olson</v>
      </c>
      <c r="D1355" s="5" t="str">
        <f t="shared" si="2"/>
        <v> Amy C</v>
      </c>
    </row>
    <row r="1356" ht="15.75" customHeight="1">
      <c r="A1356" s="5" t="s">
        <v>2711</v>
      </c>
      <c r="B1356" s="5" t="s">
        <v>2712</v>
      </c>
      <c r="C1356" s="5" t="str">
        <f t="shared" si="1"/>
        <v>Manfredi</v>
      </c>
      <c r="D1356" s="5" t="str">
        <f t="shared" si="2"/>
        <v> Victoria U</v>
      </c>
    </row>
    <row r="1357" ht="15.75" customHeight="1">
      <c r="A1357" s="5" t="s">
        <v>2713</v>
      </c>
      <c r="B1357" s="5" t="s">
        <v>2714</v>
      </c>
      <c r="C1357" s="5" t="str">
        <f t="shared" si="1"/>
        <v>Landberg</v>
      </c>
      <c r="D1357" s="5" t="str">
        <f t="shared" si="2"/>
        <v> Amelia B</v>
      </c>
    </row>
    <row r="1358" ht="15.75" customHeight="1">
      <c r="A1358" s="5" t="s">
        <v>2715</v>
      </c>
      <c r="B1358" s="5" t="s">
        <v>2716</v>
      </c>
      <c r="C1358" s="5" t="str">
        <f t="shared" si="1"/>
        <v>Flynn</v>
      </c>
      <c r="D1358" s="5" t="str">
        <f t="shared" si="2"/>
        <v> Jackie J</v>
      </c>
    </row>
    <row r="1359" ht="15.75" customHeight="1">
      <c r="A1359" s="5" t="s">
        <v>2717</v>
      </c>
      <c r="B1359" s="5" t="s">
        <v>2718</v>
      </c>
      <c r="C1359" s="5" t="str">
        <f t="shared" si="1"/>
        <v>Bishop</v>
      </c>
      <c r="D1359" s="5" t="str">
        <f t="shared" si="2"/>
        <v> Justin</v>
      </c>
    </row>
    <row r="1360" ht="15.75" customHeight="1">
      <c r="A1360" s="5" t="s">
        <v>2719</v>
      </c>
      <c r="B1360" s="5" t="s">
        <v>2720</v>
      </c>
      <c r="C1360" s="5" t="str">
        <f t="shared" si="1"/>
        <v>Devitt</v>
      </c>
      <c r="D1360" s="5" t="str">
        <f t="shared" si="2"/>
        <v> Kerry</v>
      </c>
    </row>
    <row r="1361" ht="15.75" customHeight="1">
      <c r="A1361" s="5" t="s">
        <v>2721</v>
      </c>
      <c r="B1361" s="5" t="s">
        <v>2722</v>
      </c>
      <c r="C1361" s="5" t="str">
        <f t="shared" si="1"/>
        <v>Lynch</v>
      </c>
      <c r="D1361" s="5" t="str">
        <f t="shared" si="2"/>
        <v> Cindy G.</v>
      </c>
    </row>
    <row r="1362" ht="15.75" customHeight="1">
      <c r="A1362" s="5" t="s">
        <v>2723</v>
      </c>
      <c r="B1362" s="5" t="s">
        <v>2724</v>
      </c>
      <c r="C1362" s="5" t="str">
        <f t="shared" si="1"/>
        <v>Tramontano</v>
      </c>
      <c r="D1362" s="5" t="str">
        <f t="shared" si="2"/>
        <v> Gennaro</v>
      </c>
    </row>
    <row r="1363" ht="15.75" customHeight="1">
      <c r="A1363" s="5" t="s">
        <v>2725</v>
      </c>
      <c r="B1363" s="5" t="s">
        <v>2726</v>
      </c>
      <c r="C1363" s="5" t="str">
        <f t="shared" si="1"/>
        <v>Davidson</v>
      </c>
      <c r="D1363" s="5" t="str">
        <f t="shared" si="2"/>
        <v> Terry</v>
      </c>
    </row>
    <row r="1364" ht="15.75" customHeight="1">
      <c r="A1364" s="5" t="s">
        <v>2727</v>
      </c>
      <c r="B1364" s="5" t="s">
        <v>2728</v>
      </c>
      <c r="C1364" s="5" t="str">
        <f t="shared" si="1"/>
        <v>Burke</v>
      </c>
      <c r="D1364" s="5" t="str">
        <f t="shared" si="2"/>
        <v> Patrick J</v>
      </c>
    </row>
    <row r="1365" ht="15.75" customHeight="1">
      <c r="A1365" s="5" t="s">
        <v>2729</v>
      </c>
      <c r="B1365" s="5" t="s">
        <v>2730</v>
      </c>
      <c r="C1365" s="5" t="str">
        <f t="shared" si="1"/>
        <v>McGraw</v>
      </c>
      <c r="D1365" s="5" t="str">
        <f t="shared" si="2"/>
        <v> Keara</v>
      </c>
    </row>
    <row r="1366" ht="15.75" customHeight="1">
      <c r="A1366" s="5" t="s">
        <v>2731</v>
      </c>
      <c r="B1366" s="5" t="s">
        <v>2732</v>
      </c>
      <c r="C1366" s="5" t="str">
        <f t="shared" si="1"/>
        <v>Fellure</v>
      </c>
      <c r="D1366" s="5" t="str">
        <f t="shared" si="2"/>
        <v> Nicole</v>
      </c>
    </row>
    <row r="1367" ht="15.75" customHeight="1">
      <c r="A1367" s="5" t="s">
        <v>2733</v>
      </c>
      <c r="B1367" s="5" t="s">
        <v>2734</v>
      </c>
      <c r="C1367" s="5" t="str">
        <f t="shared" si="1"/>
        <v>Sanford</v>
      </c>
      <c r="D1367" s="5" t="str">
        <f t="shared" si="2"/>
        <v> Katena</v>
      </c>
    </row>
    <row r="1368" ht="15.75" customHeight="1">
      <c r="A1368" s="5" t="s">
        <v>2735</v>
      </c>
      <c r="B1368" s="5" t="s">
        <v>2736</v>
      </c>
      <c r="C1368" s="5" t="str">
        <f t="shared" si="1"/>
        <v>Wrenn</v>
      </c>
      <c r="D1368" s="5" t="str">
        <f t="shared" si="2"/>
        <v> Bean K.</v>
      </c>
    </row>
    <row r="1369" ht="15.75" customHeight="1">
      <c r="A1369" s="5" t="s">
        <v>2737</v>
      </c>
      <c r="B1369" s="5" t="s">
        <v>2738</v>
      </c>
      <c r="C1369" s="5" t="str">
        <f t="shared" si="1"/>
        <v>Lindsey</v>
      </c>
      <c r="D1369" s="5" t="str">
        <f t="shared" si="2"/>
        <v> Brian</v>
      </c>
    </row>
    <row r="1370" ht="15.75" customHeight="1">
      <c r="A1370" s="5" t="s">
        <v>2739</v>
      </c>
      <c r="B1370" s="5" t="s">
        <v>2740</v>
      </c>
      <c r="C1370" s="5" t="str">
        <f t="shared" si="1"/>
        <v>Krueger</v>
      </c>
      <c r="D1370" s="5" t="str">
        <f t="shared" si="2"/>
        <v> Jan-Patrick</v>
      </c>
    </row>
    <row r="1371" ht="15.75" customHeight="1">
      <c r="A1371" s="5" t="s">
        <v>2741</v>
      </c>
      <c r="B1371" s="5" t="s">
        <v>2742</v>
      </c>
      <c r="C1371" s="5" t="str">
        <f t="shared" si="1"/>
        <v>Babler</v>
      </c>
      <c r="D1371" s="5" t="str">
        <f t="shared" si="2"/>
        <v> Jesse J</v>
      </c>
    </row>
    <row r="1372" ht="15.75" customHeight="1">
      <c r="A1372" s="5" t="s">
        <v>2743</v>
      </c>
      <c r="B1372" s="5" t="s">
        <v>2744</v>
      </c>
      <c r="C1372" s="5" t="str">
        <f t="shared" si="1"/>
        <v>Brezenski</v>
      </c>
      <c r="D1372" s="5" t="str">
        <f t="shared" si="2"/>
        <v> Lindsey M</v>
      </c>
    </row>
    <row r="1373" ht="15.75" customHeight="1">
      <c r="A1373" s="5" t="s">
        <v>2745</v>
      </c>
      <c r="B1373" s="5" t="s">
        <v>2746</v>
      </c>
      <c r="C1373" s="5" t="str">
        <f t="shared" si="1"/>
        <v>Marschner</v>
      </c>
      <c r="D1373" s="5" t="str">
        <f t="shared" si="2"/>
        <v> Marguerite K.</v>
      </c>
    </row>
    <row r="1374" ht="15.75" customHeight="1">
      <c r="A1374" s="5" t="s">
        <v>2747</v>
      </c>
      <c r="B1374" s="5" t="s">
        <v>2748</v>
      </c>
      <c r="C1374" s="5" t="str">
        <f t="shared" si="1"/>
        <v>King</v>
      </c>
      <c r="D1374" s="5" t="str">
        <f t="shared" si="2"/>
        <v> Travis</v>
      </c>
    </row>
    <row r="1375" ht="15.75" customHeight="1">
      <c r="A1375" s="5" t="s">
        <v>2749</v>
      </c>
      <c r="B1375" s="5" t="s">
        <v>2750</v>
      </c>
      <c r="C1375" s="5" t="str">
        <f t="shared" si="1"/>
        <v>Montez</v>
      </c>
      <c r="D1375" s="5" t="str">
        <f t="shared" si="2"/>
        <v> Ricky</v>
      </c>
    </row>
    <row r="1376" ht="15.75" customHeight="1">
      <c r="A1376" s="5" t="s">
        <v>2751</v>
      </c>
      <c r="B1376" s="5" t="s">
        <v>2752</v>
      </c>
      <c r="C1376" s="5" t="str">
        <f t="shared" si="1"/>
        <v>Campbell</v>
      </c>
      <c r="D1376" s="5" t="str">
        <f t="shared" si="2"/>
        <v> Colleen L.</v>
      </c>
    </row>
    <row r="1377" ht="15.75" customHeight="1">
      <c r="A1377" s="5" t="s">
        <v>2753</v>
      </c>
      <c r="B1377" s="5" t="s">
        <v>2754</v>
      </c>
      <c r="C1377" s="5" t="str">
        <f t="shared" si="1"/>
        <v>Hurt</v>
      </c>
      <c r="D1377" s="5" t="str">
        <f t="shared" si="2"/>
        <v> Charlie A</v>
      </c>
    </row>
    <row r="1378" ht="15.75" customHeight="1">
      <c r="A1378" s="5" t="s">
        <v>2755</v>
      </c>
      <c r="B1378" s="5" t="s">
        <v>2756</v>
      </c>
      <c r="C1378" s="5" t="str">
        <f t="shared" si="1"/>
        <v>Garey</v>
      </c>
      <c r="D1378" s="5" t="str">
        <f t="shared" si="2"/>
        <v> Rick</v>
      </c>
    </row>
    <row r="1379" ht="15.75" customHeight="1">
      <c r="A1379" s="5" t="s">
        <v>2757</v>
      </c>
      <c r="B1379" s="5" t="s">
        <v>2758</v>
      </c>
      <c r="C1379" s="5" t="str">
        <f t="shared" si="1"/>
        <v>Reddy</v>
      </c>
      <c r="D1379" s="5" t="str">
        <f t="shared" si="2"/>
        <v> Lauren C</v>
      </c>
    </row>
    <row r="1380" ht="15.75" customHeight="1">
      <c r="A1380" s="5" t="s">
        <v>2759</v>
      </c>
      <c r="B1380" s="5" t="s">
        <v>2760</v>
      </c>
      <c r="C1380" s="5" t="str">
        <f t="shared" si="1"/>
        <v>Mueller</v>
      </c>
      <c r="D1380" s="5" t="str">
        <f t="shared" si="2"/>
        <v> Daniel</v>
      </c>
    </row>
    <row r="1381" ht="15.75" customHeight="1">
      <c r="A1381" s="5" t="s">
        <v>2761</v>
      </c>
      <c r="B1381" s="5" t="s">
        <v>2762</v>
      </c>
      <c r="C1381" s="5" t="str">
        <f t="shared" si="1"/>
        <v>Julia</v>
      </c>
      <c r="D1381" s="5" t="str">
        <f t="shared" si="2"/>
        <v> Jaime</v>
      </c>
    </row>
    <row r="1382" ht="15.75" customHeight="1">
      <c r="A1382" s="5" t="s">
        <v>2763</v>
      </c>
      <c r="B1382" s="5" t="s">
        <v>2764</v>
      </c>
      <c r="C1382" s="5" t="str">
        <f t="shared" si="1"/>
        <v>Uribe</v>
      </c>
      <c r="D1382" s="5" t="str">
        <f t="shared" si="2"/>
        <v> Erik R</v>
      </c>
    </row>
    <row r="1383" ht="15.75" customHeight="1">
      <c r="A1383" s="5" t="s">
        <v>2765</v>
      </c>
      <c r="B1383" s="5" t="s">
        <v>2766</v>
      </c>
      <c r="C1383" s="5" t="str">
        <f t="shared" si="1"/>
        <v>Hand</v>
      </c>
      <c r="D1383" s="5" t="str">
        <f t="shared" si="2"/>
        <v> Katie</v>
      </c>
    </row>
    <row r="1384" ht="15.75" customHeight="1">
      <c r="A1384" s="5" t="s">
        <v>2767</v>
      </c>
      <c r="B1384" s="5" t="s">
        <v>2768</v>
      </c>
      <c r="C1384" s="5" t="str">
        <f t="shared" si="1"/>
        <v>Petersen</v>
      </c>
      <c r="D1384" s="5" t="str">
        <f t="shared" si="2"/>
        <v> Thomas A</v>
      </c>
    </row>
    <row r="1385" ht="15.75" customHeight="1">
      <c r="A1385" s="5" t="s">
        <v>2769</v>
      </c>
      <c r="B1385" s="5" t="s">
        <v>2770</v>
      </c>
      <c r="C1385" s="5" t="str">
        <f t="shared" si="1"/>
        <v>Mac-Thiong</v>
      </c>
      <c r="D1385" s="5" t="str">
        <f t="shared" si="2"/>
        <v> Jean-Marc</v>
      </c>
    </row>
    <row r="1386" ht="15.75" customHeight="1">
      <c r="A1386" s="5" t="s">
        <v>2771</v>
      </c>
      <c r="B1386" s="5" t="s">
        <v>2772</v>
      </c>
      <c r="C1386" s="5" t="str">
        <f t="shared" si="1"/>
        <v>Walker</v>
      </c>
      <c r="D1386" s="5" t="str">
        <f t="shared" si="2"/>
        <v> Kerry L</v>
      </c>
    </row>
    <row r="1387" ht="15.75" customHeight="1">
      <c r="A1387" s="5" t="s">
        <v>2773</v>
      </c>
      <c r="B1387" s="5" t="s">
        <v>2774</v>
      </c>
      <c r="C1387" s="5" t="str">
        <f t="shared" si="1"/>
        <v>Steidl</v>
      </c>
      <c r="D1387" s="5" t="str">
        <f t="shared" si="2"/>
        <v> Ulrich</v>
      </c>
    </row>
    <row r="1388" ht="15.75" customHeight="1">
      <c r="A1388" s="5" t="s">
        <v>2775</v>
      </c>
      <c r="B1388" s="5" t="s">
        <v>2776</v>
      </c>
      <c r="C1388" s="5" t="str">
        <f t="shared" si="1"/>
        <v>Rose</v>
      </c>
      <c r="D1388" s="5" t="str">
        <f t="shared" si="2"/>
        <v> Justin P</v>
      </c>
    </row>
    <row r="1389" ht="15.75" customHeight="1">
      <c r="A1389" s="5" t="s">
        <v>2777</v>
      </c>
      <c r="B1389" s="5" t="s">
        <v>2778</v>
      </c>
      <c r="C1389" s="5" t="str">
        <f t="shared" si="1"/>
        <v>Alderfer</v>
      </c>
      <c r="D1389" s="5" t="str">
        <f t="shared" si="2"/>
        <v> Hannah E.</v>
      </c>
    </row>
    <row r="1390" ht="15.75" customHeight="1">
      <c r="A1390" s="5" t="s">
        <v>2779</v>
      </c>
      <c r="B1390" s="5" t="s">
        <v>2780</v>
      </c>
      <c r="C1390" s="5" t="str">
        <f t="shared" si="1"/>
        <v>Ryland</v>
      </c>
      <c r="D1390" s="5" t="str">
        <f t="shared" si="2"/>
        <v> David</v>
      </c>
    </row>
    <row r="1391" ht="15.75" customHeight="1">
      <c r="A1391" s="5" t="s">
        <v>2781</v>
      </c>
      <c r="B1391" s="5" t="s">
        <v>2782</v>
      </c>
      <c r="C1391" s="5" t="str">
        <f t="shared" si="1"/>
        <v>Bethea</v>
      </c>
      <c r="D1391" s="5" t="str">
        <f t="shared" si="2"/>
        <v> Jim</v>
      </c>
    </row>
    <row r="1392" ht="15.75" customHeight="1">
      <c r="A1392" s="5" t="s">
        <v>2783</v>
      </c>
      <c r="B1392" s="5" t="s">
        <v>2784</v>
      </c>
      <c r="C1392" s="5" t="str">
        <f t="shared" si="1"/>
        <v>Kelly</v>
      </c>
      <c r="D1392" s="5" t="str">
        <f t="shared" si="2"/>
        <v> Joseph P</v>
      </c>
    </row>
    <row r="1393" ht="15.75" customHeight="1">
      <c r="A1393" s="5" t="s">
        <v>2785</v>
      </c>
      <c r="B1393" s="5" t="s">
        <v>2786</v>
      </c>
      <c r="C1393" s="5" t="str">
        <f t="shared" si="1"/>
        <v>Blois</v>
      </c>
      <c r="D1393" s="5" t="str">
        <f t="shared" si="2"/>
        <v> Michael</v>
      </c>
    </row>
    <row r="1394" ht="15.75" customHeight="1">
      <c r="A1394" s="5" t="s">
        <v>2787</v>
      </c>
      <c r="B1394" s="5" t="s">
        <v>2788</v>
      </c>
      <c r="C1394" s="5" t="str">
        <f t="shared" si="1"/>
        <v>Dayton</v>
      </c>
      <c r="D1394" s="5" t="str">
        <f t="shared" si="2"/>
        <v> Gina M</v>
      </c>
    </row>
    <row r="1395" ht="15.75" customHeight="1">
      <c r="A1395" s="5" t="s">
        <v>2789</v>
      </c>
      <c r="B1395" s="5" t="s">
        <v>2790</v>
      </c>
      <c r="C1395" s="5" t="str">
        <f t="shared" si="1"/>
        <v>Cloud</v>
      </c>
      <c r="D1395" s="5" t="str">
        <f t="shared" si="2"/>
        <v> Shantel C.</v>
      </c>
    </row>
    <row r="1396" ht="15.75" customHeight="1">
      <c r="A1396" s="5" t="s">
        <v>2791</v>
      </c>
      <c r="B1396" s="5" t="s">
        <v>2792</v>
      </c>
      <c r="C1396" s="5" t="str">
        <f t="shared" si="1"/>
        <v>Betournay</v>
      </c>
      <c r="D1396" s="5" t="str">
        <f t="shared" si="2"/>
        <v> Brian</v>
      </c>
    </row>
    <row r="1397" ht="15.75" customHeight="1">
      <c r="A1397" s="5" t="s">
        <v>2793</v>
      </c>
      <c r="B1397" s="5" t="s">
        <v>2794</v>
      </c>
      <c r="C1397" s="5" t="str">
        <f t="shared" si="1"/>
        <v>Temple</v>
      </c>
      <c r="D1397" s="5" t="str">
        <f t="shared" si="2"/>
        <v> Brian</v>
      </c>
    </row>
    <row r="1398" ht="15.75" customHeight="1">
      <c r="A1398" s="5" t="s">
        <v>2795</v>
      </c>
      <c r="B1398" s="5" t="s">
        <v>2796</v>
      </c>
      <c r="C1398" s="5" t="str">
        <f t="shared" si="1"/>
        <v>Rollie</v>
      </c>
      <c r="D1398" s="5" t="str">
        <f t="shared" si="2"/>
        <v> Jessica R</v>
      </c>
    </row>
    <row r="1399" ht="15.75" customHeight="1">
      <c r="A1399" s="5" t="s">
        <v>2797</v>
      </c>
      <c r="B1399" s="5" t="s">
        <v>2798</v>
      </c>
      <c r="C1399" s="5" t="str">
        <f t="shared" si="1"/>
        <v>Roybal</v>
      </c>
      <c r="D1399" s="5" t="str">
        <f t="shared" si="2"/>
        <v> Robyn</v>
      </c>
    </row>
    <row r="1400" ht="15.75" customHeight="1">
      <c r="A1400" s="5" t="s">
        <v>2799</v>
      </c>
      <c r="B1400" s="5" t="s">
        <v>2800</v>
      </c>
      <c r="C1400" s="5" t="str">
        <f t="shared" si="1"/>
        <v>Turgeon</v>
      </c>
      <c r="D1400" s="5" t="str">
        <f t="shared" si="2"/>
        <v> Ashley</v>
      </c>
    </row>
    <row r="1401" ht="15.75" customHeight="1">
      <c r="A1401" s="5" t="s">
        <v>2801</v>
      </c>
      <c r="B1401" s="5" t="s">
        <v>2802</v>
      </c>
      <c r="C1401" s="5" t="str">
        <f t="shared" si="1"/>
        <v>Deingenis</v>
      </c>
      <c r="D1401" s="5" t="str">
        <f t="shared" si="2"/>
        <v> Dana</v>
      </c>
    </row>
    <row r="1402" ht="15.75" customHeight="1">
      <c r="A1402" s="5" t="s">
        <v>2803</v>
      </c>
      <c r="B1402" s="5" t="s">
        <v>2804</v>
      </c>
      <c r="C1402" s="5" t="str">
        <f t="shared" si="1"/>
        <v>Hodge</v>
      </c>
      <c r="D1402" s="5" t="str">
        <f t="shared" si="2"/>
        <v> Jessica F.</v>
      </c>
    </row>
    <row r="1403" ht="15.75" customHeight="1">
      <c r="A1403" s="5" t="s">
        <v>2805</v>
      </c>
      <c r="B1403" s="5" t="s">
        <v>2806</v>
      </c>
      <c r="C1403" s="5" t="str">
        <f t="shared" si="1"/>
        <v>Gibbs</v>
      </c>
      <c r="D1403" s="5" t="str">
        <f t="shared" si="2"/>
        <v> Lindsey</v>
      </c>
    </row>
    <row r="1404" ht="15.75" customHeight="1">
      <c r="A1404" s="5" t="s">
        <v>2807</v>
      </c>
      <c r="B1404" s="5" t="s">
        <v>2808</v>
      </c>
      <c r="C1404" s="5" t="str">
        <f t="shared" si="1"/>
        <v>Trom</v>
      </c>
      <c r="D1404" s="5" t="str">
        <f t="shared" si="2"/>
        <v> Kelly A</v>
      </c>
    </row>
    <row r="1405" ht="15.75" customHeight="1">
      <c r="A1405" s="5" t="s">
        <v>2809</v>
      </c>
      <c r="B1405" s="5" t="s">
        <v>2810</v>
      </c>
      <c r="C1405" s="5" t="str">
        <f t="shared" si="1"/>
        <v>Sizer</v>
      </c>
      <c r="D1405" s="5" t="str">
        <f t="shared" si="2"/>
        <v> Brooke E</v>
      </c>
    </row>
    <row r="1406" ht="15.75" customHeight="1">
      <c r="A1406" s="5" t="s">
        <v>2811</v>
      </c>
      <c r="B1406" s="5" t="s">
        <v>2812</v>
      </c>
      <c r="C1406" s="5" t="str">
        <f t="shared" si="1"/>
        <v>Ellison</v>
      </c>
      <c r="D1406" s="5" t="str">
        <f t="shared" si="2"/>
        <v> Katelyn E.</v>
      </c>
    </row>
    <row r="1407" ht="15.75" customHeight="1">
      <c r="A1407" s="5" t="s">
        <v>2813</v>
      </c>
      <c r="B1407" s="5" t="s">
        <v>2814</v>
      </c>
      <c r="C1407" s="5" t="str">
        <f t="shared" si="1"/>
        <v>Sulkowski</v>
      </c>
      <c r="D1407" s="5" t="str">
        <f t="shared" si="2"/>
        <v> Adam</v>
      </c>
    </row>
    <row r="1408" ht="15.75" customHeight="1">
      <c r="A1408" s="5" t="s">
        <v>2815</v>
      </c>
      <c r="B1408" s="5" t="s">
        <v>2816</v>
      </c>
      <c r="C1408" s="5" t="str">
        <f t="shared" si="1"/>
        <v>Maringo</v>
      </c>
      <c r="D1408" s="5" t="str">
        <f t="shared" si="2"/>
        <v> Dana</v>
      </c>
    </row>
    <row r="1409" ht="15.75" customHeight="1">
      <c r="A1409" s="5" t="s">
        <v>2817</v>
      </c>
      <c r="B1409" s="5" t="s">
        <v>2818</v>
      </c>
      <c r="C1409" s="5" t="str">
        <f t="shared" si="1"/>
        <v>Lattin</v>
      </c>
      <c r="D1409" s="5" t="str">
        <f t="shared" si="2"/>
        <v> Eric W</v>
      </c>
    </row>
    <row r="1410" ht="15.75" customHeight="1">
      <c r="A1410" s="5" t="s">
        <v>2819</v>
      </c>
      <c r="B1410" s="5" t="s">
        <v>2820</v>
      </c>
      <c r="C1410" s="5" t="str">
        <f t="shared" si="1"/>
        <v>Deblander</v>
      </c>
      <c r="D1410" s="5" t="str">
        <f t="shared" si="2"/>
        <v> Matthew D</v>
      </c>
    </row>
    <row r="1411" ht="15.75" customHeight="1">
      <c r="A1411" s="5" t="s">
        <v>2821</v>
      </c>
      <c r="B1411" s="5" t="s">
        <v>2822</v>
      </c>
      <c r="C1411" s="5" t="str">
        <f t="shared" si="1"/>
        <v>O'Neill</v>
      </c>
      <c r="D1411" s="5" t="str">
        <f t="shared" si="2"/>
        <v> Eoghan</v>
      </c>
    </row>
    <row r="1412" ht="15.75" customHeight="1">
      <c r="A1412" s="5" t="s">
        <v>2823</v>
      </c>
      <c r="B1412" s="5" t="s">
        <v>2824</v>
      </c>
      <c r="C1412" s="5" t="str">
        <f t="shared" si="1"/>
        <v>Davis</v>
      </c>
      <c r="D1412" s="5" t="str">
        <f t="shared" si="2"/>
        <v> Pamela W</v>
      </c>
    </row>
    <row r="1413" ht="15.75" customHeight="1">
      <c r="A1413" s="5" t="s">
        <v>2825</v>
      </c>
      <c r="B1413" s="5" t="s">
        <v>2826</v>
      </c>
      <c r="C1413" s="5" t="str">
        <f t="shared" si="1"/>
        <v>Stanek</v>
      </c>
      <c r="D1413" s="5" t="str">
        <f t="shared" si="2"/>
        <v> Lindsey M.</v>
      </c>
    </row>
    <row r="1414" ht="15.75" customHeight="1">
      <c r="A1414" s="5" t="s">
        <v>2827</v>
      </c>
      <c r="B1414" s="5" t="s">
        <v>2828</v>
      </c>
      <c r="C1414" s="5" t="str">
        <f t="shared" si="1"/>
        <v>Harris</v>
      </c>
      <c r="D1414" s="5" t="str">
        <f t="shared" si="2"/>
        <v> Kassie</v>
      </c>
    </row>
    <row r="1415" ht="15.75" customHeight="1">
      <c r="A1415" s="5" t="s">
        <v>2829</v>
      </c>
      <c r="B1415" s="5" t="s">
        <v>2830</v>
      </c>
      <c r="C1415" s="5" t="str">
        <f t="shared" si="1"/>
        <v>Manning</v>
      </c>
      <c r="D1415" s="5" t="str">
        <f t="shared" si="2"/>
        <v> Matthew</v>
      </c>
    </row>
    <row r="1416" ht="15.75" customHeight="1">
      <c r="A1416" s="5" t="s">
        <v>2831</v>
      </c>
      <c r="B1416" s="5" t="s">
        <v>2832</v>
      </c>
      <c r="C1416" s="5" t="str">
        <f t="shared" si="1"/>
        <v>Barrer</v>
      </c>
      <c r="D1416" s="5" t="str">
        <f t="shared" si="2"/>
        <v> Ruben Dario</v>
      </c>
    </row>
    <row r="1417" ht="15.75" customHeight="1">
      <c r="A1417" s="5" t="s">
        <v>2833</v>
      </c>
      <c r="B1417" s="5" t="s">
        <v>2834</v>
      </c>
      <c r="C1417" s="5" t="str">
        <f t="shared" si="1"/>
        <v>Schauwaers</v>
      </c>
      <c r="D1417" s="5" t="str">
        <f t="shared" si="2"/>
        <v> Kevin</v>
      </c>
    </row>
    <row r="1418" ht="15.75" customHeight="1">
      <c r="A1418" s="5" t="s">
        <v>2835</v>
      </c>
      <c r="B1418" s="5" t="s">
        <v>2836</v>
      </c>
      <c r="C1418" s="5" t="str">
        <f t="shared" si="1"/>
        <v>Hartman</v>
      </c>
      <c r="D1418" s="5" t="str">
        <f t="shared" si="2"/>
        <v> Lindsay M</v>
      </c>
    </row>
    <row r="1419" ht="15.75" customHeight="1">
      <c r="A1419" s="5" t="s">
        <v>2837</v>
      </c>
      <c r="B1419" s="5" t="s">
        <v>2838</v>
      </c>
      <c r="C1419" s="5" t="str">
        <f t="shared" si="1"/>
        <v>Fire</v>
      </c>
      <c r="D1419" s="5" t="str">
        <f t="shared" si="2"/>
        <v> Amanda</v>
      </c>
    </row>
    <row r="1420" ht="15.75" customHeight="1">
      <c r="A1420" s="5" t="s">
        <v>2839</v>
      </c>
      <c r="B1420" s="5" t="s">
        <v>2840</v>
      </c>
      <c r="C1420" s="5" t="str">
        <f t="shared" si="1"/>
        <v>Waliaula</v>
      </c>
      <c r="D1420" s="5" t="str">
        <f t="shared" si="2"/>
        <v> James</v>
      </c>
    </row>
    <row r="1421" ht="15.75" customHeight="1">
      <c r="A1421" s="5" t="s">
        <v>2841</v>
      </c>
      <c r="B1421" s="5" t="s">
        <v>2842</v>
      </c>
      <c r="C1421" s="5" t="str">
        <f t="shared" si="1"/>
        <v>Blackshear</v>
      </c>
      <c r="D1421" s="5" t="str">
        <f t="shared" si="2"/>
        <v> Samuel H.</v>
      </c>
    </row>
    <row r="1422" ht="15.75" customHeight="1">
      <c r="A1422" s="5" t="s">
        <v>2843</v>
      </c>
      <c r="B1422" s="5" t="s">
        <v>2844</v>
      </c>
      <c r="C1422" s="5" t="str">
        <f t="shared" si="1"/>
        <v>Nettik</v>
      </c>
      <c r="D1422" s="5" t="str">
        <f t="shared" si="2"/>
        <v> Jenni</v>
      </c>
    </row>
    <row r="1423" ht="15.75" customHeight="1">
      <c r="A1423" s="5" t="s">
        <v>2845</v>
      </c>
      <c r="B1423" s="5" t="s">
        <v>2846</v>
      </c>
      <c r="C1423" s="5" t="str">
        <f t="shared" si="1"/>
        <v>Novales</v>
      </c>
      <c r="D1423" s="5" t="str">
        <f t="shared" si="2"/>
        <v> Estuardo F</v>
      </c>
    </row>
    <row r="1424" ht="15.75" customHeight="1">
      <c r="A1424" s="5" t="s">
        <v>2847</v>
      </c>
      <c r="B1424" s="5" t="s">
        <v>2848</v>
      </c>
      <c r="C1424" s="5" t="str">
        <f t="shared" si="1"/>
        <v>Rosauer</v>
      </c>
      <c r="D1424" s="5" t="str">
        <f t="shared" si="2"/>
        <v> Brett</v>
      </c>
    </row>
    <row r="1425" ht="15.75" customHeight="1">
      <c r="A1425" s="5" t="s">
        <v>2849</v>
      </c>
      <c r="B1425" s="5" t="s">
        <v>2850</v>
      </c>
      <c r="C1425" s="5" t="str">
        <f t="shared" si="1"/>
        <v>Ryder</v>
      </c>
      <c r="D1425" s="5" t="str">
        <f t="shared" si="2"/>
        <v> Sharon E.</v>
      </c>
    </row>
    <row r="1426" ht="15.75" customHeight="1">
      <c r="A1426" s="5" t="s">
        <v>2851</v>
      </c>
      <c r="B1426" s="5" t="s">
        <v>2852</v>
      </c>
      <c r="C1426" s="5" t="str">
        <f t="shared" si="1"/>
        <v>Larsen</v>
      </c>
      <c r="D1426" s="5" t="str">
        <f t="shared" si="2"/>
        <v> Jacob W√¶ver</v>
      </c>
    </row>
    <row r="1427" ht="15.75" customHeight="1">
      <c r="A1427" s="5" t="s">
        <v>2853</v>
      </c>
      <c r="B1427" s="5" t="s">
        <v>2854</v>
      </c>
      <c r="C1427" s="5" t="str">
        <f t="shared" si="1"/>
        <v>Keate</v>
      </c>
      <c r="D1427" s="5" t="str">
        <f t="shared" si="2"/>
        <v> Scott</v>
      </c>
    </row>
    <row r="1428" ht="15.75" customHeight="1">
      <c r="A1428" s="5" t="s">
        <v>2855</v>
      </c>
      <c r="B1428" s="5" t="s">
        <v>2856</v>
      </c>
      <c r="C1428" s="5" t="str">
        <f t="shared" si="1"/>
        <v>Williams</v>
      </c>
      <c r="D1428" s="5" t="str">
        <f t="shared" si="2"/>
        <v> Brooke S.</v>
      </c>
    </row>
    <row r="1429" ht="15.75" customHeight="1">
      <c r="A1429" s="5" t="s">
        <v>2857</v>
      </c>
      <c r="B1429" s="5" t="s">
        <v>2858</v>
      </c>
      <c r="C1429" s="5" t="str">
        <f t="shared" si="1"/>
        <v>Starosciak</v>
      </c>
      <c r="D1429" s="5" t="str">
        <f t="shared" si="2"/>
        <v> Kaye A.</v>
      </c>
    </row>
    <row r="1430" ht="15.75" customHeight="1">
      <c r="A1430" s="5" t="s">
        <v>2859</v>
      </c>
      <c r="B1430" s="5" t="s">
        <v>2860</v>
      </c>
      <c r="C1430" s="5" t="str">
        <f t="shared" si="1"/>
        <v>Smith</v>
      </c>
      <c r="D1430" s="5" t="str">
        <f t="shared" si="2"/>
        <v> Carolyn</v>
      </c>
    </row>
    <row r="1431" ht="15.75" customHeight="1">
      <c r="A1431" s="5" t="s">
        <v>2861</v>
      </c>
      <c r="B1431" s="5" t="s">
        <v>2862</v>
      </c>
      <c r="C1431" s="5" t="str">
        <f t="shared" si="1"/>
        <v>Henderson</v>
      </c>
      <c r="D1431" s="5" t="str">
        <f t="shared" si="2"/>
        <v> Daniel C.</v>
      </c>
    </row>
    <row r="1432" ht="15.75" customHeight="1">
      <c r="A1432" s="5" t="s">
        <v>2863</v>
      </c>
      <c r="B1432" s="5" t="s">
        <v>2864</v>
      </c>
      <c r="C1432" s="5" t="str">
        <f t="shared" si="1"/>
        <v>Winkelman</v>
      </c>
      <c r="D1432" s="5" t="str">
        <f t="shared" si="2"/>
        <v> Laurie A</v>
      </c>
    </row>
    <row r="1433" ht="15.75" customHeight="1">
      <c r="A1433" s="5" t="s">
        <v>2865</v>
      </c>
      <c r="B1433" s="5" t="s">
        <v>2866</v>
      </c>
      <c r="C1433" s="5" t="str">
        <f t="shared" si="1"/>
        <v>Monette</v>
      </c>
      <c r="D1433" s="5" t="str">
        <f t="shared" si="2"/>
        <v> Nicole</v>
      </c>
    </row>
    <row r="1434" ht="15.75" customHeight="1">
      <c r="A1434" s="5" t="s">
        <v>2867</v>
      </c>
      <c r="B1434" s="5" t="s">
        <v>2868</v>
      </c>
      <c r="C1434" s="5" t="str">
        <f t="shared" si="1"/>
        <v>Kramer</v>
      </c>
      <c r="D1434" s="5" t="str">
        <f t="shared" si="2"/>
        <v> Shelby</v>
      </c>
    </row>
    <row r="1435" ht="15.75" customHeight="1">
      <c r="A1435" s="5" t="s">
        <v>2869</v>
      </c>
      <c r="B1435" s="5" t="s">
        <v>2870</v>
      </c>
      <c r="C1435" s="5" t="str">
        <f t="shared" si="1"/>
        <v>Goldstein</v>
      </c>
      <c r="D1435" s="5" t="str">
        <f t="shared" si="2"/>
        <v> Allison</v>
      </c>
    </row>
    <row r="1436" ht="15.75" customHeight="1">
      <c r="A1436" s="5" t="s">
        <v>2871</v>
      </c>
      <c r="B1436" s="5" t="s">
        <v>2872</v>
      </c>
      <c r="C1436" s="5" t="str">
        <f t="shared" si="1"/>
        <v>Gonzalez</v>
      </c>
      <c r="D1436" s="5" t="str">
        <f t="shared" si="2"/>
        <v> Leticia</v>
      </c>
    </row>
    <row r="1437" ht="15.75" customHeight="1">
      <c r="A1437" s="5" t="s">
        <v>2873</v>
      </c>
      <c r="B1437" s="5" t="s">
        <v>2874</v>
      </c>
      <c r="C1437" s="5" t="str">
        <f t="shared" si="1"/>
        <v>Barrett</v>
      </c>
      <c r="D1437" s="5" t="str">
        <f t="shared" si="2"/>
        <v> John S.</v>
      </c>
    </row>
    <row r="1438" ht="15.75" customHeight="1">
      <c r="A1438" s="5" t="s">
        <v>2875</v>
      </c>
      <c r="B1438" s="5" t="s">
        <v>2876</v>
      </c>
      <c r="C1438" s="5" t="str">
        <f t="shared" si="1"/>
        <v>Irwin</v>
      </c>
      <c r="D1438" s="5" t="str">
        <f t="shared" si="2"/>
        <v> April</v>
      </c>
    </row>
    <row r="1439" ht="15.75" customHeight="1">
      <c r="A1439" s="5" t="s">
        <v>2877</v>
      </c>
      <c r="B1439" s="5" t="s">
        <v>2878</v>
      </c>
      <c r="C1439" s="5" t="str">
        <f t="shared" si="1"/>
        <v>Glenn</v>
      </c>
      <c r="D1439" s="5" t="str">
        <f t="shared" si="2"/>
        <v> Ashley N.</v>
      </c>
    </row>
    <row r="1440" ht="15.75" customHeight="1">
      <c r="A1440" s="5" t="s">
        <v>2879</v>
      </c>
      <c r="B1440" s="5" t="s">
        <v>2880</v>
      </c>
      <c r="C1440" s="5" t="str">
        <f t="shared" si="1"/>
        <v>O'Meara</v>
      </c>
      <c r="D1440" s="5" t="str">
        <f t="shared" si="2"/>
        <v> Madeleine</v>
      </c>
    </row>
    <row r="1441" ht="15.75" customHeight="1">
      <c r="A1441" s="5" t="s">
        <v>2881</v>
      </c>
      <c r="B1441" s="5" t="s">
        <v>2882</v>
      </c>
      <c r="C1441" s="5" t="str">
        <f t="shared" si="1"/>
        <v>Budrow</v>
      </c>
      <c r="D1441" s="5" t="str">
        <f t="shared" si="2"/>
        <v> Nelly S</v>
      </c>
    </row>
    <row r="1442" ht="15.75" customHeight="1">
      <c r="A1442" s="5" t="s">
        <v>2883</v>
      </c>
      <c r="B1442" s="5" t="s">
        <v>2884</v>
      </c>
      <c r="C1442" s="5" t="str">
        <f t="shared" si="1"/>
        <v>Anderson</v>
      </c>
      <c r="D1442" s="5" t="str">
        <f t="shared" si="2"/>
        <v> Meredith S</v>
      </c>
    </row>
    <row r="1443" ht="15.75" customHeight="1">
      <c r="A1443" s="5" t="s">
        <v>2885</v>
      </c>
      <c r="B1443" s="5" t="s">
        <v>2886</v>
      </c>
      <c r="C1443" s="5" t="str">
        <f t="shared" si="1"/>
        <v>Douglas</v>
      </c>
      <c r="D1443" s="5" t="str">
        <f t="shared" si="2"/>
        <v> Kevin</v>
      </c>
    </row>
    <row r="1444" ht="15.75" customHeight="1">
      <c r="A1444" s="5" t="s">
        <v>2887</v>
      </c>
      <c r="B1444" s="5" t="s">
        <v>2888</v>
      </c>
      <c r="C1444" s="5" t="str">
        <f t="shared" si="1"/>
        <v>Tecklenburg</v>
      </c>
      <c r="D1444" s="5" t="str">
        <f t="shared" si="2"/>
        <v> Lisa</v>
      </c>
    </row>
    <row r="1445" ht="15.75" customHeight="1">
      <c r="A1445" s="5" t="s">
        <v>2889</v>
      </c>
      <c r="B1445" s="5" t="s">
        <v>2890</v>
      </c>
      <c r="C1445" s="5" t="str">
        <f t="shared" si="1"/>
        <v>Baker</v>
      </c>
      <c r="D1445" s="5" t="str">
        <f t="shared" si="2"/>
        <v> Katherine A</v>
      </c>
    </row>
    <row r="1446" ht="15.75" customHeight="1">
      <c r="A1446" s="5" t="s">
        <v>2891</v>
      </c>
      <c r="B1446" s="5" t="s">
        <v>2892</v>
      </c>
      <c r="C1446" s="5" t="str">
        <f t="shared" si="1"/>
        <v>Schenck</v>
      </c>
      <c r="D1446" s="5" t="str">
        <f t="shared" si="2"/>
        <v> Steve</v>
      </c>
    </row>
    <row r="1447" ht="15.75" customHeight="1">
      <c r="A1447" s="5" t="s">
        <v>2893</v>
      </c>
      <c r="B1447" s="5" t="s">
        <v>2894</v>
      </c>
      <c r="C1447" s="5" t="str">
        <f t="shared" si="1"/>
        <v>Johnson</v>
      </c>
      <c r="D1447" s="5" t="str">
        <f t="shared" si="2"/>
        <v> Kate L.</v>
      </c>
    </row>
    <row r="1448" ht="15.75" customHeight="1">
      <c r="A1448" s="5" t="s">
        <v>2895</v>
      </c>
      <c r="B1448" s="5" t="s">
        <v>2896</v>
      </c>
      <c r="C1448" s="5" t="str">
        <f t="shared" si="1"/>
        <v>Blendell</v>
      </c>
      <c r="D1448" s="5" t="str">
        <f t="shared" si="2"/>
        <v> Beth</v>
      </c>
    </row>
    <row r="1449" ht="15.75" customHeight="1">
      <c r="A1449" s="5" t="s">
        <v>2897</v>
      </c>
      <c r="B1449" s="5" t="s">
        <v>2898</v>
      </c>
      <c r="C1449" s="5" t="str">
        <f t="shared" si="1"/>
        <v>Parodi</v>
      </c>
      <c r="D1449" s="5" t="str">
        <f t="shared" si="2"/>
        <v> Katharine</v>
      </c>
    </row>
    <row r="1450" ht="15.75" customHeight="1">
      <c r="A1450" s="5" t="s">
        <v>2899</v>
      </c>
      <c r="B1450" s="5" t="s">
        <v>2900</v>
      </c>
      <c r="C1450" s="5" t="str">
        <f t="shared" si="1"/>
        <v>Morgan</v>
      </c>
      <c r="D1450" s="5" t="str">
        <f t="shared" si="2"/>
        <v> Heather L</v>
      </c>
    </row>
    <row r="1451" ht="15.75" customHeight="1">
      <c r="A1451" s="5" t="s">
        <v>2901</v>
      </c>
      <c r="B1451" s="5" t="s">
        <v>2902</v>
      </c>
      <c r="C1451" s="5" t="str">
        <f t="shared" si="1"/>
        <v>Linden</v>
      </c>
      <c r="D1451" s="5" t="str">
        <f t="shared" si="2"/>
        <v> Desiree</v>
      </c>
    </row>
    <row r="1452" ht="15.75" customHeight="1">
      <c r="A1452" s="5" t="s">
        <v>2903</v>
      </c>
      <c r="B1452" s="5" t="s">
        <v>2904</v>
      </c>
      <c r="C1452" s="5" t="str">
        <f t="shared" si="1"/>
        <v>Horning</v>
      </c>
      <c r="D1452" s="5" t="str">
        <f t="shared" si="2"/>
        <v> Peter B.</v>
      </c>
    </row>
    <row r="1453" ht="15.75" customHeight="1">
      <c r="A1453" s="5" t="s">
        <v>2905</v>
      </c>
      <c r="B1453" s="5" t="s">
        <v>2906</v>
      </c>
      <c r="C1453" s="5" t="str">
        <f t="shared" si="1"/>
        <v>Goode</v>
      </c>
      <c r="D1453" s="5" t="str">
        <f t="shared" si="2"/>
        <v> Adam</v>
      </c>
    </row>
    <row r="1454" ht="15.75" customHeight="1">
      <c r="A1454" s="5" t="s">
        <v>2907</v>
      </c>
      <c r="B1454" s="5" t="s">
        <v>2908</v>
      </c>
      <c r="C1454" s="5" t="str">
        <f t="shared" si="1"/>
        <v>Doden</v>
      </c>
      <c r="D1454" s="5" t="str">
        <f t="shared" si="2"/>
        <v> Jeremy J</v>
      </c>
    </row>
    <row r="1455" ht="15.75" customHeight="1">
      <c r="A1455" s="5" t="s">
        <v>2909</v>
      </c>
      <c r="B1455" s="5" t="s">
        <v>2910</v>
      </c>
      <c r="C1455" s="5" t="str">
        <f t="shared" si="1"/>
        <v>Groff</v>
      </c>
      <c r="D1455" s="5" t="str">
        <f t="shared" si="2"/>
        <v> Adam C</v>
      </c>
    </row>
    <row r="1456" ht="15.75" customHeight="1">
      <c r="A1456" s="5" t="s">
        <v>2911</v>
      </c>
      <c r="B1456" s="5" t="s">
        <v>2912</v>
      </c>
      <c r="C1456" s="5" t="str">
        <f t="shared" si="1"/>
        <v>Kuehler</v>
      </c>
      <c r="D1456" s="5" t="str">
        <f t="shared" si="2"/>
        <v> Jon</v>
      </c>
    </row>
    <row r="1457" ht="15.75" customHeight="1">
      <c r="A1457" s="5" t="s">
        <v>2913</v>
      </c>
      <c r="B1457" s="5" t="s">
        <v>2914</v>
      </c>
      <c r="C1457" s="5" t="str">
        <f t="shared" si="1"/>
        <v>Daniels</v>
      </c>
      <c r="D1457" s="5" t="str">
        <f t="shared" si="2"/>
        <v> Steven J</v>
      </c>
    </row>
    <row r="1458" ht="15.75" customHeight="1">
      <c r="A1458" s="5" t="s">
        <v>2915</v>
      </c>
      <c r="B1458" s="5" t="s">
        <v>2916</v>
      </c>
      <c r="C1458" s="5" t="str">
        <f t="shared" si="1"/>
        <v>Gibby</v>
      </c>
      <c r="D1458" s="5" t="str">
        <f t="shared" si="2"/>
        <v> Jessica P.</v>
      </c>
    </row>
    <row r="1459" ht="15.75" customHeight="1">
      <c r="A1459" s="5" t="s">
        <v>2917</v>
      </c>
      <c r="B1459" s="5" t="s">
        <v>2918</v>
      </c>
      <c r="C1459" s="5" t="str">
        <f t="shared" si="1"/>
        <v>Busa</v>
      </c>
      <c r="D1459" s="5" t="str">
        <f t="shared" si="2"/>
        <v> Ashley</v>
      </c>
    </row>
    <row r="1460" ht="15.75" customHeight="1">
      <c r="A1460" s="5" t="s">
        <v>2919</v>
      </c>
      <c r="B1460" s="5" t="s">
        <v>2920</v>
      </c>
      <c r="C1460" s="5" t="str">
        <f t="shared" si="1"/>
        <v>Moyo</v>
      </c>
      <c r="D1460" s="5" t="str">
        <f t="shared" si="2"/>
        <v> Arturo H.</v>
      </c>
    </row>
    <row r="1461" ht="15.75" customHeight="1">
      <c r="A1461" s="5" t="s">
        <v>2921</v>
      </c>
      <c r="B1461" s="5" t="s">
        <v>2922</v>
      </c>
      <c r="C1461" s="5" t="str">
        <f t="shared" si="1"/>
        <v>Horn</v>
      </c>
      <c r="D1461" s="5" t="str">
        <f t="shared" si="2"/>
        <v> Ketil</v>
      </c>
    </row>
    <row r="1462" ht="15.75" customHeight="1">
      <c r="A1462" s="5" t="s">
        <v>2923</v>
      </c>
      <c r="B1462" s="5" t="s">
        <v>2924</v>
      </c>
      <c r="C1462" s="5" t="str">
        <f t="shared" si="1"/>
        <v>Bien</v>
      </c>
      <c r="D1462" s="5" t="str">
        <f t="shared" si="2"/>
        <v> Katie</v>
      </c>
    </row>
    <row r="1463" ht="15.75" customHeight="1">
      <c r="A1463" s="5" t="s">
        <v>2925</v>
      </c>
      <c r="B1463" s="5" t="s">
        <v>2926</v>
      </c>
      <c r="C1463" s="5" t="str">
        <f t="shared" si="1"/>
        <v>O'Connor</v>
      </c>
      <c r="D1463" s="5" t="str">
        <f t="shared" si="2"/>
        <v> Christi</v>
      </c>
    </row>
    <row r="1464" ht="15.75" customHeight="1">
      <c r="A1464" s="5" t="s">
        <v>2927</v>
      </c>
      <c r="B1464" s="5" t="s">
        <v>2928</v>
      </c>
      <c r="C1464" s="5" t="str">
        <f t="shared" si="1"/>
        <v>Ash</v>
      </c>
      <c r="D1464" s="5" t="str">
        <f t="shared" si="2"/>
        <v> Alan</v>
      </c>
    </row>
    <row r="1465" ht="15.75" customHeight="1">
      <c r="A1465" s="5" t="s">
        <v>2929</v>
      </c>
      <c r="B1465" s="5" t="s">
        <v>2930</v>
      </c>
      <c r="C1465" s="5" t="str">
        <f t="shared" si="1"/>
        <v>D</v>
      </c>
      <c r="D1465" s="5" t="str">
        <f t="shared" si="2"/>
        <v> Edivaldo B. Sr.</v>
      </c>
    </row>
    <row r="1466" ht="15.75" customHeight="1">
      <c r="A1466" s="5" t="s">
        <v>2931</v>
      </c>
      <c r="B1466" s="5" t="s">
        <v>2932</v>
      </c>
      <c r="C1466" s="5" t="str">
        <f t="shared" si="1"/>
        <v>Phillips</v>
      </c>
      <c r="D1466" s="5" t="str">
        <f t="shared" si="2"/>
        <v> Eve</v>
      </c>
    </row>
    <row r="1467" ht="15.75" customHeight="1">
      <c r="A1467" s="5" t="s">
        <v>2933</v>
      </c>
      <c r="B1467" s="5" t="s">
        <v>2934</v>
      </c>
      <c r="C1467" s="5" t="str">
        <f t="shared" si="1"/>
        <v>Kelly</v>
      </c>
      <c r="D1467" s="5" t="str">
        <f t="shared" si="2"/>
        <v> Devin</v>
      </c>
    </row>
    <row r="1468" ht="15.75" customHeight="1">
      <c r="A1468" s="5" t="s">
        <v>2935</v>
      </c>
      <c r="B1468" s="5" t="s">
        <v>2936</v>
      </c>
      <c r="C1468" s="5" t="str">
        <f t="shared" si="1"/>
        <v>Dever</v>
      </c>
      <c r="D1468" s="5" t="str">
        <f t="shared" si="2"/>
        <v> Shaun R</v>
      </c>
    </row>
    <row r="1469" ht="15.75" customHeight="1">
      <c r="A1469" s="5" t="s">
        <v>2937</v>
      </c>
      <c r="B1469" s="5" t="s">
        <v>2938</v>
      </c>
      <c r="C1469" s="5" t="str">
        <f t="shared" si="1"/>
        <v>Horvath</v>
      </c>
      <c r="D1469" s="5" t="str">
        <f t="shared" si="2"/>
        <v> Adrian</v>
      </c>
    </row>
    <row r="1470" ht="15.75" customHeight="1">
      <c r="A1470" s="5" t="s">
        <v>2939</v>
      </c>
      <c r="B1470" s="5" t="s">
        <v>2940</v>
      </c>
      <c r="C1470" s="5" t="str">
        <f t="shared" si="1"/>
        <v>Danner</v>
      </c>
      <c r="D1470" s="5" t="str">
        <f t="shared" si="2"/>
        <v> Andrew</v>
      </c>
    </row>
    <row r="1471" ht="15.75" customHeight="1">
      <c r="A1471" s="5" t="s">
        <v>2941</v>
      </c>
      <c r="B1471" s="5" t="s">
        <v>2942</v>
      </c>
      <c r="C1471" s="5" t="str">
        <f t="shared" si="1"/>
        <v>Weiss</v>
      </c>
      <c r="D1471" s="5" t="str">
        <f t="shared" si="2"/>
        <v> Mallory</v>
      </c>
    </row>
    <row r="1472" ht="15.75" customHeight="1">
      <c r="A1472" s="5" t="s">
        <v>2943</v>
      </c>
      <c r="B1472" s="5" t="s">
        <v>2944</v>
      </c>
      <c r="C1472" s="5" t="str">
        <f t="shared" si="1"/>
        <v>D'Andrea</v>
      </c>
      <c r="D1472" s="5" t="str">
        <f t="shared" si="2"/>
        <v> Shawn E</v>
      </c>
    </row>
    <row r="1473" ht="15.75" customHeight="1">
      <c r="A1473" s="5" t="s">
        <v>2945</v>
      </c>
      <c r="B1473" s="5" t="s">
        <v>2946</v>
      </c>
      <c r="C1473" s="5" t="str">
        <f t="shared" si="1"/>
        <v>Olesky</v>
      </c>
      <c r="D1473" s="5" t="str">
        <f t="shared" si="2"/>
        <v> Sarah E</v>
      </c>
    </row>
    <row r="1474" ht="15.75" customHeight="1">
      <c r="A1474" s="5" t="s">
        <v>2947</v>
      </c>
      <c r="B1474" s="5" t="s">
        <v>2948</v>
      </c>
      <c r="C1474" s="5" t="str">
        <f t="shared" si="1"/>
        <v>Whitcraft</v>
      </c>
      <c r="D1474" s="5" t="str">
        <f t="shared" si="2"/>
        <v> Josh</v>
      </c>
    </row>
    <row r="1475" ht="15.75" customHeight="1">
      <c r="A1475" s="5" t="s">
        <v>2949</v>
      </c>
      <c r="B1475" s="5" t="s">
        <v>2950</v>
      </c>
      <c r="C1475" s="5" t="str">
        <f t="shared" si="1"/>
        <v>Salazar</v>
      </c>
      <c r="D1475" s="5" t="str">
        <f t="shared" si="2"/>
        <v> Johann A</v>
      </c>
    </row>
    <row r="1476" ht="15.75" customHeight="1">
      <c r="A1476" s="5" t="s">
        <v>2951</v>
      </c>
      <c r="B1476" s="5" t="s">
        <v>2952</v>
      </c>
      <c r="C1476" s="5" t="str">
        <f t="shared" si="1"/>
        <v>Todd</v>
      </c>
      <c r="D1476" s="5" t="str">
        <f t="shared" si="2"/>
        <v> Robin M.</v>
      </c>
    </row>
    <row r="1477" ht="15.75" customHeight="1">
      <c r="A1477" s="5" t="s">
        <v>2953</v>
      </c>
      <c r="B1477" s="5" t="s">
        <v>2954</v>
      </c>
      <c r="C1477" s="5" t="str">
        <f t="shared" si="1"/>
        <v>Pond</v>
      </c>
      <c r="D1477" s="5" t="str">
        <f t="shared" si="2"/>
        <v> Kyle K</v>
      </c>
    </row>
    <row r="1478" ht="15.75" customHeight="1">
      <c r="A1478" s="5" t="s">
        <v>2955</v>
      </c>
      <c r="B1478" s="5" t="s">
        <v>2956</v>
      </c>
      <c r="C1478" s="5" t="str">
        <f t="shared" si="1"/>
        <v>Egan</v>
      </c>
      <c r="D1478" s="5" t="str">
        <f t="shared" si="2"/>
        <v> Alison</v>
      </c>
    </row>
    <row r="1479" ht="15.75" customHeight="1">
      <c r="A1479" s="5" t="s">
        <v>2957</v>
      </c>
      <c r="B1479" s="5" t="s">
        <v>2958</v>
      </c>
      <c r="C1479" s="5" t="str">
        <f t="shared" si="1"/>
        <v>Bersani</v>
      </c>
      <c r="D1479" s="5" t="str">
        <f t="shared" si="2"/>
        <v> Michael A.</v>
      </c>
    </row>
    <row r="1480" ht="15.75" customHeight="1">
      <c r="A1480" s="5" t="s">
        <v>2959</v>
      </c>
      <c r="B1480" s="5" t="s">
        <v>2960</v>
      </c>
      <c r="C1480" s="5" t="str">
        <f t="shared" si="1"/>
        <v>Creech</v>
      </c>
      <c r="D1480" s="5" t="str">
        <f t="shared" si="2"/>
        <v> Byron A</v>
      </c>
    </row>
    <row r="1481" ht="15.75" customHeight="1">
      <c r="A1481" s="5" t="s">
        <v>2961</v>
      </c>
      <c r="B1481" s="5" t="s">
        <v>2962</v>
      </c>
      <c r="C1481" s="5" t="str">
        <f t="shared" si="1"/>
        <v>Sudres</v>
      </c>
      <c r="D1481" s="5" t="str">
        <f t="shared" si="2"/>
        <v> Carine A</v>
      </c>
    </row>
    <row r="1482" ht="15.75" customHeight="1">
      <c r="A1482" s="5" t="s">
        <v>2963</v>
      </c>
      <c r="B1482" s="5" t="s">
        <v>2964</v>
      </c>
      <c r="C1482" s="5" t="str">
        <f t="shared" si="1"/>
        <v>Couture</v>
      </c>
      <c r="D1482" s="5" t="str">
        <f t="shared" si="2"/>
        <v> Nathaniel</v>
      </c>
    </row>
    <row r="1483" ht="15.75" customHeight="1">
      <c r="A1483" s="5" t="s">
        <v>2965</v>
      </c>
      <c r="B1483" s="5" t="s">
        <v>2966</v>
      </c>
      <c r="C1483" s="5" t="str">
        <f t="shared" si="1"/>
        <v>Willard</v>
      </c>
      <c r="D1483" s="5" t="str">
        <f t="shared" si="2"/>
        <v> Lindsay A.</v>
      </c>
    </row>
    <row r="1484" ht="15.75" customHeight="1">
      <c r="A1484" s="5" t="s">
        <v>2967</v>
      </c>
      <c r="B1484" s="5" t="s">
        <v>2968</v>
      </c>
      <c r="C1484" s="5" t="str">
        <f t="shared" si="1"/>
        <v>Patronick</v>
      </c>
      <c r="D1484" s="5" t="str">
        <f t="shared" si="2"/>
        <v> Justin R</v>
      </c>
    </row>
    <row r="1485" ht="15.75" customHeight="1">
      <c r="A1485" s="5" t="s">
        <v>2969</v>
      </c>
      <c r="B1485" s="5" t="s">
        <v>2970</v>
      </c>
      <c r="C1485" s="5" t="str">
        <f t="shared" si="1"/>
        <v>Depasquale</v>
      </c>
      <c r="D1485" s="5" t="str">
        <f t="shared" si="2"/>
        <v> Casey</v>
      </c>
    </row>
    <row r="1486" ht="15.75" customHeight="1">
      <c r="A1486" s="5" t="s">
        <v>2971</v>
      </c>
      <c r="B1486" s="5" t="s">
        <v>2972</v>
      </c>
      <c r="C1486" s="5" t="str">
        <f t="shared" si="1"/>
        <v>Lavergne</v>
      </c>
      <c r="D1486" s="5" t="str">
        <f t="shared" si="2"/>
        <v> Amanda L</v>
      </c>
    </row>
    <row r="1487" ht="15.75" customHeight="1">
      <c r="A1487" s="5" t="s">
        <v>2973</v>
      </c>
      <c r="B1487" s="5" t="s">
        <v>2974</v>
      </c>
      <c r="C1487" s="5" t="str">
        <f t="shared" si="1"/>
        <v>Kawakami</v>
      </c>
      <c r="D1487" s="5" t="str">
        <f t="shared" si="2"/>
        <v> Ayako N.</v>
      </c>
    </row>
    <row r="1488" ht="15.75" customHeight="1">
      <c r="A1488" s="5" t="s">
        <v>2975</v>
      </c>
      <c r="B1488" s="5" t="s">
        <v>2976</v>
      </c>
      <c r="C1488" s="5" t="str">
        <f t="shared" si="1"/>
        <v>Gonsalves</v>
      </c>
      <c r="D1488" s="5" t="str">
        <f t="shared" si="2"/>
        <v> Emilee</v>
      </c>
    </row>
    <row r="1489" ht="15.75" customHeight="1">
      <c r="A1489" s="5" t="s">
        <v>2977</v>
      </c>
      <c r="B1489" s="5" t="s">
        <v>2978</v>
      </c>
      <c r="C1489" s="5" t="str">
        <f t="shared" si="1"/>
        <v>Peck</v>
      </c>
      <c r="D1489" s="5" t="str">
        <f t="shared" si="2"/>
        <v> Stephen M</v>
      </c>
    </row>
    <row r="1490" ht="15.75" customHeight="1">
      <c r="A1490" s="5" t="s">
        <v>2979</v>
      </c>
      <c r="B1490" s="5" t="s">
        <v>2980</v>
      </c>
      <c r="C1490" s="5" t="str">
        <f t="shared" si="1"/>
        <v>Aure</v>
      </c>
      <c r="D1490" s="5" t="str">
        <f t="shared" si="2"/>
        <v> Annemarie A</v>
      </c>
    </row>
    <row r="1491" ht="15.75" customHeight="1">
      <c r="A1491" s="5" t="s">
        <v>2981</v>
      </c>
      <c r="B1491" s="5" t="s">
        <v>2982</v>
      </c>
      <c r="C1491" s="5" t="str">
        <f t="shared" si="1"/>
        <v>Mattingly</v>
      </c>
      <c r="D1491" s="5" t="str">
        <f t="shared" si="2"/>
        <v> Ashley R</v>
      </c>
    </row>
    <row r="1492" ht="15.75" customHeight="1">
      <c r="A1492" s="5" t="s">
        <v>2983</v>
      </c>
      <c r="B1492" s="5" t="s">
        <v>2984</v>
      </c>
      <c r="C1492" s="5" t="str">
        <f t="shared" si="1"/>
        <v>Stelpflug</v>
      </c>
      <c r="D1492" s="5" t="str">
        <f t="shared" si="2"/>
        <v> Leslie A</v>
      </c>
    </row>
    <row r="1493" ht="15.75" customHeight="1">
      <c r="A1493" s="5" t="s">
        <v>2985</v>
      </c>
      <c r="B1493" s="5" t="s">
        <v>2986</v>
      </c>
      <c r="C1493" s="5" t="str">
        <f t="shared" si="1"/>
        <v>Sanche</v>
      </c>
      <c r="D1493" s="5" t="str">
        <f t="shared" si="2"/>
        <v> Mauricio J. Sr.</v>
      </c>
    </row>
    <row r="1494" ht="15.75" customHeight="1">
      <c r="A1494" s="5" t="s">
        <v>2987</v>
      </c>
      <c r="B1494" s="5" t="s">
        <v>2988</v>
      </c>
      <c r="C1494" s="5" t="str">
        <f t="shared" si="1"/>
        <v>Condon</v>
      </c>
      <c r="D1494" s="5" t="str">
        <f t="shared" si="2"/>
        <v> Kieran</v>
      </c>
    </row>
    <row r="1495" ht="15.75" customHeight="1">
      <c r="A1495" s="5" t="s">
        <v>2989</v>
      </c>
      <c r="B1495" s="5" t="s">
        <v>2990</v>
      </c>
      <c r="C1495" s="5" t="str">
        <f t="shared" si="1"/>
        <v>Magato</v>
      </c>
      <c r="D1495" s="5" t="str">
        <f t="shared" si="2"/>
        <v> Elizabeth A</v>
      </c>
    </row>
    <row r="1496" ht="15.75" customHeight="1">
      <c r="A1496" s="5" t="s">
        <v>2991</v>
      </c>
      <c r="B1496" s="5" t="s">
        <v>2992</v>
      </c>
      <c r="C1496" s="5" t="str">
        <f t="shared" si="1"/>
        <v>Dombrowski</v>
      </c>
      <c r="D1496" s="5" t="str">
        <f t="shared" si="2"/>
        <v> Zeke M.</v>
      </c>
    </row>
    <row r="1497" ht="15.75" customHeight="1">
      <c r="A1497" s="5" t="s">
        <v>2993</v>
      </c>
      <c r="B1497" s="5" t="s">
        <v>2994</v>
      </c>
      <c r="C1497" s="5" t="str">
        <f t="shared" si="1"/>
        <v>Ohara</v>
      </c>
      <c r="D1497" s="5" t="str">
        <f t="shared" si="2"/>
        <v> Chip</v>
      </c>
    </row>
    <row r="1498" ht="15.75" customHeight="1">
      <c r="A1498" s="5" t="s">
        <v>2995</v>
      </c>
      <c r="B1498" s="5" t="s">
        <v>2996</v>
      </c>
      <c r="C1498" s="5" t="str">
        <f t="shared" si="1"/>
        <v>Cifuente</v>
      </c>
      <c r="D1498" s="5" t="str">
        <f t="shared" si="2"/>
        <v> Miguel Angel Sr.</v>
      </c>
    </row>
    <row r="1499" ht="15.75" customHeight="1">
      <c r="A1499" s="5" t="s">
        <v>2997</v>
      </c>
      <c r="B1499" s="5" t="s">
        <v>2998</v>
      </c>
      <c r="C1499" s="5" t="str">
        <f t="shared" si="1"/>
        <v>Keno</v>
      </c>
      <c r="D1499" s="5" t="str">
        <f t="shared" si="2"/>
        <v> Brian</v>
      </c>
    </row>
    <row r="1500" ht="15.75" customHeight="1">
      <c r="A1500" s="5" t="s">
        <v>2999</v>
      </c>
      <c r="B1500" s="5" t="s">
        <v>3000</v>
      </c>
      <c r="C1500" s="5" t="str">
        <f t="shared" si="1"/>
        <v>Bruce</v>
      </c>
      <c r="D1500" s="5" t="str">
        <f t="shared" si="2"/>
        <v> Meghan</v>
      </c>
    </row>
    <row r="1501" ht="15.75" customHeight="1">
      <c r="A1501" s="5" t="s">
        <v>3001</v>
      </c>
      <c r="B1501" s="5" t="s">
        <v>3002</v>
      </c>
      <c r="C1501" s="5" t="str">
        <f t="shared" si="1"/>
        <v>Lorch</v>
      </c>
      <c r="D1501" s="5" t="str">
        <f t="shared" si="2"/>
        <v> Meredith L.</v>
      </c>
    </row>
    <row r="1502" ht="15.75" customHeight="1">
      <c r="A1502" s="5" t="s">
        <v>3003</v>
      </c>
      <c r="B1502" s="5" t="s">
        <v>3004</v>
      </c>
      <c r="C1502" s="5" t="str">
        <f t="shared" si="1"/>
        <v>Sullivan</v>
      </c>
      <c r="D1502" s="5" t="str">
        <f t="shared" si="2"/>
        <v> Millicent M</v>
      </c>
    </row>
    <row r="1503" ht="15.75" customHeight="1">
      <c r="A1503" s="5" t="s">
        <v>3005</v>
      </c>
      <c r="B1503" s="5" t="s">
        <v>3006</v>
      </c>
      <c r="C1503" s="5" t="str">
        <f t="shared" si="1"/>
        <v>Cave</v>
      </c>
      <c r="D1503" s="5" t="str">
        <f t="shared" si="2"/>
        <v> Kathleen</v>
      </c>
    </row>
    <row r="1504" ht="15.75" customHeight="1">
      <c r="A1504" s="5" t="s">
        <v>3007</v>
      </c>
      <c r="B1504" s="5" t="s">
        <v>3008</v>
      </c>
      <c r="C1504" s="5" t="str">
        <f t="shared" si="1"/>
        <v>Gudenkauf</v>
      </c>
      <c r="D1504" s="5" t="str">
        <f t="shared" si="2"/>
        <v> Kimberly K</v>
      </c>
    </row>
    <row r="1505" ht="15.75" customHeight="1">
      <c r="A1505" s="5" t="s">
        <v>3009</v>
      </c>
      <c r="B1505" s="5" t="s">
        <v>3010</v>
      </c>
      <c r="C1505" s="5" t="str">
        <f t="shared" si="1"/>
        <v>Thomas</v>
      </c>
      <c r="D1505" s="5" t="str">
        <f t="shared" si="2"/>
        <v> Justin C</v>
      </c>
    </row>
    <row r="1506" ht="15.75" customHeight="1">
      <c r="A1506" s="5" t="s">
        <v>3011</v>
      </c>
      <c r="B1506" s="5" t="s">
        <v>3012</v>
      </c>
      <c r="C1506" s="5" t="str">
        <f t="shared" si="1"/>
        <v>Holley</v>
      </c>
      <c r="D1506" s="5" t="str">
        <f t="shared" si="2"/>
        <v> Tristan P.</v>
      </c>
    </row>
    <row r="1507" ht="15.75" customHeight="1">
      <c r="A1507" s="5" t="s">
        <v>3013</v>
      </c>
      <c r="B1507" s="5" t="s">
        <v>3014</v>
      </c>
      <c r="C1507" s="5" t="str">
        <f t="shared" si="1"/>
        <v>Kemble</v>
      </c>
      <c r="D1507" s="5" t="str">
        <f t="shared" si="2"/>
        <v> Traci A</v>
      </c>
    </row>
    <row r="1508" ht="15.75" customHeight="1">
      <c r="A1508" s="5" t="s">
        <v>3015</v>
      </c>
      <c r="B1508" s="5" t="s">
        <v>3016</v>
      </c>
      <c r="C1508" s="5" t="str">
        <f t="shared" si="1"/>
        <v>Bentley</v>
      </c>
      <c r="D1508" s="5" t="str">
        <f t="shared" si="2"/>
        <v> Justin P</v>
      </c>
    </row>
    <row r="1509" ht="15.75" customHeight="1">
      <c r="A1509" s="5" t="s">
        <v>3017</v>
      </c>
      <c r="B1509" s="5" t="s">
        <v>3018</v>
      </c>
      <c r="C1509" s="5" t="str">
        <f t="shared" si="1"/>
        <v>Jones</v>
      </c>
      <c r="D1509" s="5" t="str">
        <f t="shared" si="2"/>
        <v> Logan M</v>
      </c>
    </row>
    <row r="1510" ht="15.75" customHeight="1">
      <c r="A1510" s="5" t="s">
        <v>3019</v>
      </c>
      <c r="B1510" s="5" t="s">
        <v>3020</v>
      </c>
      <c r="C1510" s="5" t="str">
        <f t="shared" si="1"/>
        <v>Tremblay</v>
      </c>
      <c r="D1510" s="5" t="str">
        <f t="shared" si="2"/>
        <v> Sebastien</v>
      </c>
    </row>
    <row r="1511" ht="15.75" customHeight="1">
      <c r="A1511" s="5" t="s">
        <v>3021</v>
      </c>
      <c r="B1511" s="5" t="s">
        <v>3022</v>
      </c>
      <c r="C1511" s="5" t="str">
        <f t="shared" si="1"/>
        <v>Bellucci</v>
      </c>
      <c r="D1511" s="5" t="str">
        <f t="shared" si="2"/>
        <v> Tiffany A</v>
      </c>
    </row>
    <row r="1512" ht="15.75" customHeight="1">
      <c r="A1512" s="5" t="s">
        <v>3023</v>
      </c>
      <c r="B1512" s="5" t="s">
        <v>3024</v>
      </c>
      <c r="C1512" s="5" t="str">
        <f t="shared" si="1"/>
        <v>Collins</v>
      </c>
      <c r="D1512" s="5" t="str">
        <f t="shared" si="2"/>
        <v> Matthew</v>
      </c>
    </row>
    <row r="1513" ht="15.75" customHeight="1">
      <c r="A1513" s="5" t="s">
        <v>3025</v>
      </c>
      <c r="B1513" s="5" t="s">
        <v>3026</v>
      </c>
      <c r="C1513" s="5" t="str">
        <f t="shared" si="1"/>
        <v>Gillman</v>
      </c>
      <c r="D1513" s="5" t="str">
        <f t="shared" si="2"/>
        <v> Luke</v>
      </c>
    </row>
    <row r="1514" ht="15.75" customHeight="1">
      <c r="A1514" s="5" t="s">
        <v>3027</v>
      </c>
      <c r="B1514" s="5" t="s">
        <v>3028</v>
      </c>
      <c r="C1514" s="5" t="str">
        <f t="shared" si="1"/>
        <v>West</v>
      </c>
      <c r="D1514" s="5" t="str">
        <f t="shared" si="2"/>
        <v> Leigh</v>
      </c>
    </row>
    <row r="1515" ht="15.75" customHeight="1">
      <c r="A1515" s="5" t="s">
        <v>3029</v>
      </c>
      <c r="B1515" s="5" t="s">
        <v>3030</v>
      </c>
      <c r="C1515" s="5" t="str">
        <f t="shared" si="1"/>
        <v>Chida</v>
      </c>
      <c r="D1515" s="5" t="str">
        <f t="shared" si="2"/>
        <v> Yosuke</v>
      </c>
    </row>
    <row r="1516" ht="15.75" customHeight="1">
      <c r="A1516" s="5" t="s">
        <v>3031</v>
      </c>
      <c r="B1516" s="5" t="s">
        <v>3032</v>
      </c>
      <c r="C1516" s="5" t="str">
        <f t="shared" si="1"/>
        <v>Reisenauer</v>
      </c>
      <c r="D1516" s="5" t="str">
        <f t="shared" si="2"/>
        <v> Matthew</v>
      </c>
    </row>
    <row r="1517" ht="15.75" customHeight="1">
      <c r="A1517" s="5" t="s">
        <v>3033</v>
      </c>
      <c r="B1517" s="5" t="s">
        <v>3034</v>
      </c>
      <c r="C1517" s="5" t="str">
        <f t="shared" si="1"/>
        <v>Rosenberg-Wohl</v>
      </c>
      <c r="D1517" s="5" t="str">
        <f t="shared" si="2"/>
        <v> Jacob</v>
      </c>
    </row>
    <row r="1518" ht="15.75" customHeight="1">
      <c r="A1518" s="5" t="s">
        <v>3035</v>
      </c>
      <c r="B1518" s="5" t="s">
        <v>3036</v>
      </c>
      <c r="C1518" s="5" t="str">
        <f t="shared" si="1"/>
        <v>Theriault</v>
      </c>
      <c r="D1518" s="5" t="str">
        <f t="shared" si="2"/>
        <v> Jodi</v>
      </c>
    </row>
    <row r="1519" ht="15.75" customHeight="1">
      <c r="A1519" s="5" t="s">
        <v>3037</v>
      </c>
      <c r="B1519" s="5" t="s">
        <v>3038</v>
      </c>
      <c r="C1519" s="5" t="str">
        <f t="shared" si="1"/>
        <v>Manuel</v>
      </c>
      <c r="D1519" s="5" t="str">
        <f t="shared" si="2"/>
        <v> Lauren</v>
      </c>
    </row>
    <row r="1520" ht="15.75" customHeight="1">
      <c r="A1520" s="5" t="s">
        <v>3039</v>
      </c>
      <c r="B1520" s="5" t="s">
        <v>3040</v>
      </c>
      <c r="C1520" s="5" t="str">
        <f t="shared" si="1"/>
        <v>Demko</v>
      </c>
      <c r="D1520" s="5" t="str">
        <f t="shared" si="2"/>
        <v> Misti C</v>
      </c>
    </row>
    <row r="1521" ht="15.75" customHeight="1">
      <c r="A1521" s="5" t="s">
        <v>3041</v>
      </c>
      <c r="B1521" s="5" t="s">
        <v>3042</v>
      </c>
      <c r="C1521" s="5" t="str">
        <f t="shared" si="1"/>
        <v>Battaglia</v>
      </c>
      <c r="D1521" s="5" t="str">
        <f t="shared" si="2"/>
        <v> Angela J</v>
      </c>
    </row>
    <row r="1522" ht="15.75" customHeight="1">
      <c r="A1522" s="5" t="s">
        <v>3043</v>
      </c>
      <c r="B1522" s="5" t="s">
        <v>3044</v>
      </c>
      <c r="C1522" s="5" t="str">
        <f t="shared" si="1"/>
        <v>Follo</v>
      </c>
      <c r="D1522" s="5" t="str">
        <f t="shared" si="2"/>
        <v> Jonathan D.</v>
      </c>
    </row>
    <row r="1523" ht="15.75" customHeight="1">
      <c r="A1523" s="5" t="s">
        <v>3045</v>
      </c>
      <c r="B1523" s="5" t="s">
        <v>3046</v>
      </c>
      <c r="C1523" s="5" t="str">
        <f t="shared" si="1"/>
        <v>Barana</v>
      </c>
      <c r="D1523" s="5" t="str">
        <f t="shared" si="2"/>
        <v> Victoria</v>
      </c>
    </row>
    <row r="1524" ht="15.75" customHeight="1">
      <c r="A1524" s="5" t="s">
        <v>3047</v>
      </c>
      <c r="B1524" s="5" t="s">
        <v>3048</v>
      </c>
      <c r="C1524" s="5" t="str">
        <f t="shared" si="1"/>
        <v>Lysaght</v>
      </c>
      <c r="D1524" s="5" t="str">
        <f t="shared" si="2"/>
        <v> Adrian R.</v>
      </c>
    </row>
    <row r="1525" ht="15.75" customHeight="1">
      <c r="A1525" s="5" t="s">
        <v>3049</v>
      </c>
      <c r="B1525" s="5" t="s">
        <v>3050</v>
      </c>
      <c r="C1525" s="5" t="str">
        <f t="shared" si="1"/>
        <v>Chalmers</v>
      </c>
      <c r="D1525" s="5" t="str">
        <f t="shared" si="2"/>
        <v> Andrew</v>
      </c>
    </row>
    <row r="1526" ht="15.75" customHeight="1">
      <c r="A1526" s="5" t="s">
        <v>3051</v>
      </c>
      <c r="B1526" s="5" t="s">
        <v>3052</v>
      </c>
      <c r="C1526" s="5" t="str">
        <f t="shared" si="1"/>
        <v>Phillippi</v>
      </c>
      <c r="D1526" s="5" t="str">
        <f t="shared" si="2"/>
        <v> Jason A.</v>
      </c>
    </row>
    <row r="1527" ht="15.75" customHeight="1">
      <c r="A1527" s="5" t="s">
        <v>3053</v>
      </c>
      <c r="B1527" s="5" t="s">
        <v>3054</v>
      </c>
      <c r="C1527" s="5" t="str">
        <f t="shared" si="1"/>
        <v>MacPherson</v>
      </c>
      <c r="D1527" s="5" t="str">
        <f t="shared" si="2"/>
        <v> Rachel</v>
      </c>
    </row>
    <row r="1528" ht="15.75" customHeight="1">
      <c r="A1528" s="5" t="s">
        <v>3055</v>
      </c>
      <c r="B1528" s="5" t="s">
        <v>3056</v>
      </c>
      <c r="C1528" s="5" t="str">
        <f t="shared" si="1"/>
        <v>Delfidio</v>
      </c>
      <c r="D1528" s="5" t="str">
        <f t="shared" si="2"/>
        <v> Susan</v>
      </c>
    </row>
    <row r="1529" ht="15.75" customHeight="1">
      <c r="A1529" s="5" t="s">
        <v>3057</v>
      </c>
      <c r="B1529" s="5" t="s">
        <v>3058</v>
      </c>
      <c r="C1529" s="5" t="str">
        <f t="shared" si="1"/>
        <v>Cummings</v>
      </c>
      <c r="D1529" s="5" t="str">
        <f t="shared" si="2"/>
        <v> Cameron M.</v>
      </c>
    </row>
    <row r="1530" ht="15.75" customHeight="1">
      <c r="A1530" s="5" t="s">
        <v>3059</v>
      </c>
      <c r="B1530" s="5" t="s">
        <v>3060</v>
      </c>
      <c r="C1530" s="5" t="str">
        <f t="shared" si="1"/>
        <v>Schroegel</v>
      </c>
      <c r="D1530" s="5" t="str">
        <f t="shared" si="2"/>
        <v> Claudia A.</v>
      </c>
    </row>
    <row r="1531" ht="15.75" customHeight="1">
      <c r="A1531" s="5" t="s">
        <v>3061</v>
      </c>
      <c r="B1531" s="5" t="s">
        <v>3062</v>
      </c>
      <c r="C1531" s="5" t="str">
        <f t="shared" si="1"/>
        <v>Williams</v>
      </c>
      <c r="D1531" s="5" t="str">
        <f t="shared" si="2"/>
        <v> Kate</v>
      </c>
    </row>
    <row r="1532" ht="15.75" customHeight="1">
      <c r="A1532" s="5" t="s">
        <v>3063</v>
      </c>
      <c r="B1532" s="5" t="s">
        <v>3064</v>
      </c>
      <c r="C1532" s="5" t="str">
        <f t="shared" si="1"/>
        <v>Casey</v>
      </c>
      <c r="D1532" s="5" t="str">
        <f t="shared" si="2"/>
        <v> Nicole M.</v>
      </c>
    </row>
    <row r="1533" ht="15.75" customHeight="1">
      <c r="A1533" s="5" t="s">
        <v>3065</v>
      </c>
      <c r="B1533" s="5" t="s">
        <v>3066</v>
      </c>
      <c r="C1533" s="5" t="str">
        <f t="shared" si="1"/>
        <v>Randall</v>
      </c>
      <c r="D1533" s="5" t="str">
        <f t="shared" si="2"/>
        <v> Jack</v>
      </c>
    </row>
    <row r="1534" ht="15.75" customHeight="1">
      <c r="A1534" s="5" t="s">
        <v>3067</v>
      </c>
      <c r="B1534" s="5" t="s">
        <v>3068</v>
      </c>
      <c r="C1534" s="5" t="str">
        <f t="shared" si="1"/>
        <v>Doyon</v>
      </c>
      <c r="D1534" s="5" t="str">
        <f t="shared" si="2"/>
        <v> Gregory</v>
      </c>
    </row>
    <row r="1535" ht="15.75" customHeight="1">
      <c r="A1535" s="5" t="s">
        <v>3069</v>
      </c>
      <c r="B1535" s="5" t="s">
        <v>3070</v>
      </c>
      <c r="C1535" s="5" t="str">
        <f t="shared" si="1"/>
        <v>Sankey</v>
      </c>
      <c r="D1535" s="5" t="str">
        <f t="shared" si="2"/>
        <v> Rebecca</v>
      </c>
    </row>
    <row r="1536" ht="15.75" customHeight="1">
      <c r="A1536" s="5" t="s">
        <v>3071</v>
      </c>
      <c r="B1536" s="5" t="s">
        <v>3072</v>
      </c>
      <c r="C1536" s="5" t="str">
        <f t="shared" si="1"/>
        <v>Stilgenbauer</v>
      </c>
      <c r="D1536" s="5" t="str">
        <f t="shared" si="2"/>
        <v> Adam</v>
      </c>
    </row>
    <row r="1537" ht="15.75" customHeight="1">
      <c r="A1537" s="5" t="s">
        <v>3073</v>
      </c>
      <c r="B1537" s="5" t="s">
        <v>3074</v>
      </c>
      <c r="C1537" s="5" t="str">
        <f t="shared" si="1"/>
        <v>Jaskiewicz</v>
      </c>
      <c r="D1537" s="5" t="str">
        <f t="shared" si="2"/>
        <v> Ryan</v>
      </c>
    </row>
    <row r="1538" ht="15.75" customHeight="1">
      <c r="A1538" s="5" t="s">
        <v>3075</v>
      </c>
      <c r="B1538" s="5" t="s">
        <v>3076</v>
      </c>
      <c r="C1538" s="5" t="str">
        <f t="shared" si="1"/>
        <v>Deppen</v>
      </c>
      <c r="D1538" s="5" t="str">
        <f t="shared" si="2"/>
        <v> Jackie K.</v>
      </c>
    </row>
    <row r="1539" ht="15.75" customHeight="1">
      <c r="A1539" s="5" t="s">
        <v>3077</v>
      </c>
      <c r="B1539" s="5" t="s">
        <v>3078</v>
      </c>
      <c r="C1539" s="5" t="str">
        <f t="shared" si="1"/>
        <v>Hine</v>
      </c>
      <c r="D1539" s="5" t="str">
        <f t="shared" si="2"/>
        <v> Chris</v>
      </c>
    </row>
    <row r="1540" ht="15.75" customHeight="1">
      <c r="A1540" s="5" t="s">
        <v>3079</v>
      </c>
      <c r="B1540" s="5" t="s">
        <v>3080</v>
      </c>
      <c r="C1540" s="5" t="str">
        <f t="shared" si="1"/>
        <v>Mathews</v>
      </c>
      <c r="D1540" s="5" t="str">
        <f t="shared" si="2"/>
        <v> Tyler C</v>
      </c>
    </row>
    <row r="1541" ht="15.75" customHeight="1">
      <c r="A1541" s="5" t="s">
        <v>3081</v>
      </c>
      <c r="B1541" s="5" t="s">
        <v>3082</v>
      </c>
      <c r="C1541" s="5" t="str">
        <f t="shared" si="1"/>
        <v>Yabu</v>
      </c>
      <c r="D1541" s="5" t="str">
        <f t="shared" si="2"/>
        <v> Yoshie</v>
      </c>
    </row>
    <row r="1542" ht="15.75" customHeight="1">
      <c r="A1542" s="5" t="s">
        <v>3083</v>
      </c>
      <c r="B1542" s="5" t="s">
        <v>3084</v>
      </c>
      <c r="C1542" s="5" t="str">
        <f t="shared" si="1"/>
        <v>Strang</v>
      </c>
      <c r="D1542" s="5" t="str">
        <f t="shared" si="2"/>
        <v> Lauren A</v>
      </c>
    </row>
    <row r="1543" ht="15.75" customHeight="1">
      <c r="A1543" s="5" t="s">
        <v>3085</v>
      </c>
      <c r="B1543" s="5" t="s">
        <v>3086</v>
      </c>
      <c r="C1543" s="5" t="str">
        <f t="shared" si="1"/>
        <v>Frank</v>
      </c>
      <c r="D1543" s="5" t="str">
        <f t="shared" si="2"/>
        <v> Mason D.</v>
      </c>
    </row>
    <row r="1544" ht="15.75" customHeight="1">
      <c r="A1544" s="5" t="s">
        <v>3087</v>
      </c>
      <c r="B1544" s="5" t="s">
        <v>3088</v>
      </c>
      <c r="C1544" s="5" t="str">
        <f t="shared" si="1"/>
        <v>Shanley</v>
      </c>
      <c r="D1544" s="5" t="str">
        <f t="shared" si="2"/>
        <v> Ryan</v>
      </c>
    </row>
    <row r="1545" ht="15.75" customHeight="1">
      <c r="A1545" s="5" t="s">
        <v>3089</v>
      </c>
      <c r="B1545" s="5" t="s">
        <v>3090</v>
      </c>
      <c r="C1545" s="5" t="str">
        <f t="shared" si="1"/>
        <v>Manceb</v>
      </c>
      <c r="D1545" s="5" t="str">
        <f t="shared" si="2"/>
        <v> Arturo</v>
      </c>
    </row>
    <row r="1546" ht="15.75" customHeight="1">
      <c r="A1546" s="5" t="s">
        <v>3091</v>
      </c>
      <c r="B1546" s="5" t="s">
        <v>3092</v>
      </c>
      <c r="C1546" s="5" t="str">
        <f t="shared" si="1"/>
        <v>Keehan</v>
      </c>
      <c r="D1546" s="5" t="str">
        <f t="shared" si="2"/>
        <v> Jake</v>
      </c>
    </row>
    <row r="1547" ht="15.75" customHeight="1">
      <c r="A1547" s="5" t="s">
        <v>3093</v>
      </c>
      <c r="B1547" s="5" t="s">
        <v>3094</v>
      </c>
      <c r="C1547" s="5" t="str">
        <f t="shared" si="1"/>
        <v>Mahaney</v>
      </c>
      <c r="D1547" s="5" t="str">
        <f t="shared" si="2"/>
        <v> Sarah E</v>
      </c>
    </row>
    <row r="1548" ht="15.75" customHeight="1">
      <c r="A1548" s="5" t="s">
        <v>3095</v>
      </c>
      <c r="B1548" s="5" t="s">
        <v>3096</v>
      </c>
      <c r="C1548" s="5" t="str">
        <f t="shared" si="1"/>
        <v>Nolan</v>
      </c>
      <c r="D1548" s="5" t="str">
        <f t="shared" si="2"/>
        <v> Alison L.</v>
      </c>
    </row>
    <row r="1549" ht="15.75" customHeight="1">
      <c r="A1549" s="5" t="s">
        <v>3097</v>
      </c>
      <c r="B1549" s="5" t="s">
        <v>3098</v>
      </c>
      <c r="C1549" s="5" t="str">
        <f t="shared" si="1"/>
        <v>Sobrino</v>
      </c>
      <c r="D1549" s="5" t="str">
        <f t="shared" si="2"/>
        <v> Karen A.</v>
      </c>
    </row>
    <row r="1550" ht="15.75" customHeight="1">
      <c r="A1550" s="5" t="s">
        <v>3099</v>
      </c>
      <c r="B1550" s="5" t="s">
        <v>3100</v>
      </c>
      <c r="C1550" s="5" t="str">
        <f t="shared" si="1"/>
        <v>Gennaro</v>
      </c>
      <c r="D1550" s="5" t="str">
        <f t="shared" si="2"/>
        <v> Thomas R. Jr.</v>
      </c>
    </row>
    <row r="1551" ht="15.75" customHeight="1">
      <c r="A1551" s="5" t="s">
        <v>3101</v>
      </c>
      <c r="B1551" s="5" t="s">
        <v>3102</v>
      </c>
      <c r="C1551" s="5" t="str">
        <f t="shared" si="1"/>
        <v>Mayer</v>
      </c>
      <c r="D1551" s="5" t="str">
        <f t="shared" si="2"/>
        <v> Stephanie W.</v>
      </c>
    </row>
    <row r="1552" ht="15.75" customHeight="1">
      <c r="A1552" s="5" t="s">
        <v>3103</v>
      </c>
      <c r="B1552" s="5" t="s">
        <v>3104</v>
      </c>
      <c r="C1552" s="5" t="str">
        <f t="shared" si="1"/>
        <v>Becker</v>
      </c>
      <c r="D1552" s="5" t="str">
        <f t="shared" si="2"/>
        <v> Ezra</v>
      </c>
    </row>
    <row r="1553" ht="15.75" customHeight="1">
      <c r="A1553" s="5" t="s">
        <v>3105</v>
      </c>
      <c r="B1553" s="5" t="s">
        <v>3106</v>
      </c>
      <c r="C1553" s="5" t="str">
        <f t="shared" si="1"/>
        <v>Moore</v>
      </c>
      <c r="D1553" s="5" t="str">
        <f t="shared" si="2"/>
        <v> Jim</v>
      </c>
    </row>
    <row r="1554" ht="15.75" customHeight="1">
      <c r="A1554" s="5" t="s">
        <v>3107</v>
      </c>
      <c r="B1554" s="5" t="s">
        <v>3108</v>
      </c>
      <c r="C1554" s="5" t="str">
        <f t="shared" si="1"/>
        <v>Platt</v>
      </c>
      <c r="D1554" s="5" t="str">
        <f t="shared" si="2"/>
        <v> Ari L.</v>
      </c>
    </row>
    <row r="1555" ht="15.75" customHeight="1">
      <c r="A1555" s="5" t="s">
        <v>3109</v>
      </c>
      <c r="B1555" s="5" t="s">
        <v>3110</v>
      </c>
      <c r="C1555" s="5" t="str">
        <f t="shared" si="1"/>
        <v>Brodeur</v>
      </c>
      <c r="D1555" s="5" t="str">
        <f t="shared" si="2"/>
        <v> Fanny</v>
      </c>
    </row>
    <row r="1556" ht="15.75" customHeight="1">
      <c r="A1556" s="5" t="s">
        <v>3111</v>
      </c>
      <c r="B1556" s="5" t="s">
        <v>3112</v>
      </c>
      <c r="C1556" s="5" t="str">
        <f t="shared" si="1"/>
        <v>Knigh</v>
      </c>
      <c r="D1556" s="5" t="str">
        <f t="shared" si="2"/>
        <v> Heather</v>
      </c>
    </row>
    <row r="1557" ht="15.75" customHeight="1">
      <c r="A1557" s="5" t="s">
        <v>3113</v>
      </c>
      <c r="B1557" s="5" t="s">
        <v>3114</v>
      </c>
      <c r="C1557" s="5" t="str">
        <f t="shared" si="1"/>
        <v>Richter</v>
      </c>
      <c r="D1557" s="5" t="str">
        <f t="shared" si="2"/>
        <v> Peter W. Sr.</v>
      </c>
    </row>
    <row r="1558" ht="15.75" customHeight="1">
      <c r="A1558" s="5" t="s">
        <v>3115</v>
      </c>
      <c r="B1558" s="5" t="s">
        <v>3116</v>
      </c>
      <c r="C1558" s="5" t="str">
        <f t="shared" si="1"/>
        <v>Jubinski</v>
      </c>
      <c r="D1558" s="5" t="str">
        <f t="shared" si="2"/>
        <v> Catherine A</v>
      </c>
    </row>
    <row r="1559" ht="15.75" customHeight="1">
      <c r="A1559" s="5" t="s">
        <v>3117</v>
      </c>
      <c r="B1559" s="5" t="s">
        <v>3118</v>
      </c>
      <c r="C1559" s="5" t="str">
        <f t="shared" si="1"/>
        <v>Wall</v>
      </c>
      <c r="D1559" s="5" t="str">
        <f t="shared" si="2"/>
        <v> Kelly A</v>
      </c>
    </row>
    <row r="1560" ht="15.75" customHeight="1">
      <c r="A1560" s="5" t="s">
        <v>3119</v>
      </c>
      <c r="B1560" s="5" t="s">
        <v>3120</v>
      </c>
      <c r="C1560" s="5" t="str">
        <f t="shared" si="1"/>
        <v>McKay</v>
      </c>
      <c r="D1560" s="5" t="str">
        <f t="shared" si="2"/>
        <v> Janel N.</v>
      </c>
    </row>
    <row r="1561" ht="15.75" customHeight="1">
      <c r="A1561" s="5" t="s">
        <v>3121</v>
      </c>
      <c r="B1561" s="5" t="s">
        <v>3122</v>
      </c>
      <c r="C1561" s="5" t="str">
        <f t="shared" si="1"/>
        <v>Oh</v>
      </c>
      <c r="D1561" s="5" t="str">
        <f t="shared" si="2"/>
        <v> Yann Kai</v>
      </c>
    </row>
    <row r="1562" ht="15.75" customHeight="1">
      <c r="A1562" s="5" t="s">
        <v>3123</v>
      </c>
      <c r="B1562" s="5" t="s">
        <v>3124</v>
      </c>
      <c r="C1562" s="5" t="str">
        <f t="shared" si="1"/>
        <v>Kessell</v>
      </c>
      <c r="D1562" s="5" t="str">
        <f t="shared" si="2"/>
        <v> Zachary R.</v>
      </c>
    </row>
    <row r="1563" ht="15.75" customHeight="1">
      <c r="A1563" s="5" t="s">
        <v>3125</v>
      </c>
      <c r="B1563" s="5" t="s">
        <v>3126</v>
      </c>
      <c r="C1563" s="5" t="str">
        <f t="shared" si="1"/>
        <v>Hidalg</v>
      </c>
      <c r="D1563" s="5" t="str">
        <f t="shared" si="2"/>
        <v> Alejandro Sr.</v>
      </c>
    </row>
    <row r="1564" ht="15.75" customHeight="1">
      <c r="A1564" s="5" t="s">
        <v>3127</v>
      </c>
      <c r="B1564" s="5" t="s">
        <v>3128</v>
      </c>
      <c r="C1564" s="5" t="str">
        <f t="shared" si="1"/>
        <v>Caprario</v>
      </c>
      <c r="D1564" s="5" t="str">
        <f t="shared" si="2"/>
        <v> Nicholas R.</v>
      </c>
    </row>
    <row r="1565" ht="15.75" customHeight="1">
      <c r="A1565" s="5" t="s">
        <v>3129</v>
      </c>
      <c r="B1565" s="5" t="s">
        <v>3130</v>
      </c>
      <c r="C1565" s="5" t="str">
        <f t="shared" si="1"/>
        <v>Ryan</v>
      </c>
      <c r="D1565" s="5" t="str">
        <f t="shared" si="2"/>
        <v> Paul</v>
      </c>
    </row>
    <row r="1566" ht="15.75" customHeight="1">
      <c r="A1566" s="5" t="s">
        <v>3131</v>
      </c>
      <c r="B1566" s="5" t="s">
        <v>3132</v>
      </c>
      <c r="C1566" s="5" t="str">
        <f t="shared" si="1"/>
        <v>Hoffman</v>
      </c>
      <c r="D1566" s="5" t="str">
        <f t="shared" si="2"/>
        <v> Michael D</v>
      </c>
    </row>
    <row r="1567" ht="15.75" customHeight="1">
      <c r="A1567" s="5" t="s">
        <v>3133</v>
      </c>
      <c r="B1567" s="5" t="s">
        <v>3134</v>
      </c>
      <c r="C1567" s="5" t="str">
        <f t="shared" si="1"/>
        <v>Wong</v>
      </c>
      <c r="D1567" s="5" t="str">
        <f t="shared" si="2"/>
        <v> Marina</v>
      </c>
    </row>
    <row r="1568" ht="15.75" customHeight="1">
      <c r="A1568" s="5" t="s">
        <v>3135</v>
      </c>
      <c r="B1568" s="5" t="s">
        <v>3136</v>
      </c>
      <c r="C1568" s="5" t="str">
        <f t="shared" si="1"/>
        <v>Lea</v>
      </c>
      <c r="D1568" s="5" t="str">
        <f t="shared" si="2"/>
        <v> Caroline</v>
      </c>
    </row>
    <row r="1569" ht="15.75" customHeight="1">
      <c r="A1569" s="5" t="s">
        <v>3137</v>
      </c>
      <c r="B1569" s="5" t="s">
        <v>3138</v>
      </c>
      <c r="C1569" s="5" t="str">
        <f t="shared" si="1"/>
        <v>Patterson</v>
      </c>
      <c r="D1569" s="5" t="str">
        <f t="shared" si="2"/>
        <v> Ross P</v>
      </c>
    </row>
    <row r="1570" ht="15.75" customHeight="1">
      <c r="A1570" s="5" t="s">
        <v>3139</v>
      </c>
      <c r="B1570" s="5" t="s">
        <v>3140</v>
      </c>
      <c r="C1570" s="5" t="str">
        <f t="shared" si="1"/>
        <v>Quigley</v>
      </c>
      <c r="D1570" s="5" t="str">
        <f t="shared" si="2"/>
        <v> Aoife</v>
      </c>
    </row>
    <row r="1571" ht="15.75" customHeight="1">
      <c r="A1571" s="5" t="s">
        <v>3141</v>
      </c>
      <c r="B1571" s="5" t="s">
        <v>3142</v>
      </c>
      <c r="C1571" s="5" t="str">
        <f t="shared" si="1"/>
        <v>Korir</v>
      </c>
      <c r="D1571" s="5" t="str">
        <f t="shared" si="2"/>
        <v> Wesley</v>
      </c>
    </row>
    <row r="1572" ht="15.75" customHeight="1">
      <c r="A1572" s="5" t="s">
        <v>3143</v>
      </c>
      <c r="B1572" s="5" t="s">
        <v>3144</v>
      </c>
      <c r="C1572" s="5" t="str">
        <f t="shared" si="1"/>
        <v>Downs</v>
      </c>
      <c r="D1572" s="5" t="str">
        <f t="shared" si="2"/>
        <v> Rebecca J</v>
      </c>
    </row>
    <row r="1573" ht="15.75" customHeight="1">
      <c r="A1573" s="5" t="s">
        <v>3145</v>
      </c>
      <c r="B1573" s="5" t="s">
        <v>3146</v>
      </c>
      <c r="C1573" s="5" t="str">
        <f t="shared" si="1"/>
        <v>Young</v>
      </c>
      <c r="D1573" s="5" t="str">
        <f t="shared" si="2"/>
        <v> Barry P.</v>
      </c>
    </row>
    <row r="1574" ht="15.75" customHeight="1">
      <c r="A1574" s="5" t="s">
        <v>3147</v>
      </c>
      <c r="B1574" s="5" t="s">
        <v>3148</v>
      </c>
      <c r="C1574" s="5" t="str">
        <f t="shared" si="1"/>
        <v>Zywek</v>
      </c>
      <c r="D1574" s="5" t="str">
        <f t="shared" si="2"/>
        <v> Maciej</v>
      </c>
    </row>
    <row r="1575" ht="15.75" customHeight="1">
      <c r="A1575" s="5" t="s">
        <v>3149</v>
      </c>
      <c r="B1575" s="5" t="s">
        <v>3150</v>
      </c>
      <c r="C1575" s="5" t="str">
        <f t="shared" si="1"/>
        <v>Faulkner</v>
      </c>
      <c r="D1575" s="5" t="str">
        <f t="shared" si="2"/>
        <v> Jerry D.</v>
      </c>
    </row>
    <row r="1576" ht="15.75" customHeight="1">
      <c r="A1576" s="5" t="s">
        <v>3151</v>
      </c>
      <c r="B1576" s="5" t="s">
        <v>3152</v>
      </c>
      <c r="C1576" s="5" t="str">
        <f t="shared" si="1"/>
        <v>Erspamer</v>
      </c>
      <c r="D1576" s="5" t="str">
        <f t="shared" si="2"/>
        <v> Eric A.</v>
      </c>
    </row>
    <row r="1577" ht="15.75" customHeight="1">
      <c r="A1577" s="5" t="s">
        <v>3153</v>
      </c>
      <c r="B1577" s="5" t="s">
        <v>3154</v>
      </c>
      <c r="C1577" s="5" t="str">
        <f t="shared" si="1"/>
        <v>Campbell</v>
      </c>
      <c r="D1577" s="5" t="str">
        <f t="shared" si="2"/>
        <v> Cathi</v>
      </c>
    </row>
    <row r="1578" ht="15.75" customHeight="1">
      <c r="A1578" s="5" t="s">
        <v>3155</v>
      </c>
      <c r="B1578" s="5" t="s">
        <v>3156</v>
      </c>
      <c r="C1578" s="5" t="str">
        <f t="shared" si="1"/>
        <v>Addison</v>
      </c>
      <c r="D1578" s="5" t="str">
        <f t="shared" si="2"/>
        <v> Alex M</v>
      </c>
    </row>
    <row r="1579" ht="15.75" customHeight="1">
      <c r="A1579" s="5" t="s">
        <v>3157</v>
      </c>
      <c r="B1579" s="5" t="s">
        <v>3158</v>
      </c>
      <c r="C1579" s="5" t="str">
        <f t="shared" si="1"/>
        <v>Wu</v>
      </c>
      <c r="D1579" s="5" t="str">
        <f t="shared" si="2"/>
        <v> Liang</v>
      </c>
    </row>
    <row r="1580" ht="15.75" customHeight="1">
      <c r="A1580" s="5" t="s">
        <v>3159</v>
      </c>
      <c r="B1580" s="5" t="s">
        <v>3160</v>
      </c>
      <c r="C1580" s="5" t="str">
        <f t="shared" si="1"/>
        <v>Millett</v>
      </c>
      <c r="D1580" s="5" t="str">
        <f t="shared" si="2"/>
        <v> Lexy</v>
      </c>
    </row>
    <row r="1581" ht="15.75" customHeight="1">
      <c r="A1581" s="5" t="s">
        <v>3161</v>
      </c>
      <c r="B1581" s="5" t="s">
        <v>3162</v>
      </c>
      <c r="C1581" s="5" t="str">
        <f t="shared" si="1"/>
        <v>Bosl</v>
      </c>
      <c r="D1581" s="5" t="str">
        <f t="shared" si="2"/>
        <v> Michael</v>
      </c>
    </row>
    <row r="1582" ht="15.75" customHeight="1">
      <c r="A1582" s="5" t="s">
        <v>3163</v>
      </c>
      <c r="B1582" s="5" t="s">
        <v>3164</v>
      </c>
      <c r="C1582" s="5" t="str">
        <f t="shared" si="1"/>
        <v>Goldberg</v>
      </c>
      <c r="D1582" s="5" t="str">
        <f t="shared" si="2"/>
        <v> Samuel L</v>
      </c>
    </row>
    <row r="1583" ht="15.75" customHeight="1">
      <c r="A1583" s="5" t="s">
        <v>3165</v>
      </c>
      <c r="B1583" s="5" t="s">
        <v>3166</v>
      </c>
      <c r="C1583" s="5" t="str">
        <f t="shared" si="1"/>
        <v>Kelley</v>
      </c>
      <c r="D1583" s="5" t="str">
        <f t="shared" si="2"/>
        <v> Spencer A.</v>
      </c>
    </row>
    <row r="1584" ht="15.75" customHeight="1">
      <c r="A1584" s="5" t="s">
        <v>3167</v>
      </c>
      <c r="B1584" s="5" t="s">
        <v>3168</v>
      </c>
      <c r="C1584" s="5" t="str">
        <f t="shared" si="1"/>
        <v>Johnston</v>
      </c>
      <c r="D1584" s="5" t="str">
        <f t="shared" si="2"/>
        <v> Rochelle</v>
      </c>
    </row>
    <row r="1585" ht="15.75" customHeight="1">
      <c r="A1585" s="5" t="s">
        <v>3169</v>
      </c>
      <c r="B1585" s="5" t="s">
        <v>3170</v>
      </c>
      <c r="C1585" s="5" t="str">
        <f t="shared" si="1"/>
        <v>Keating</v>
      </c>
      <c r="D1585" s="5" t="str">
        <f t="shared" si="2"/>
        <v> Paula</v>
      </c>
    </row>
    <row r="1586" ht="15.75" customHeight="1">
      <c r="A1586" s="5" t="s">
        <v>3171</v>
      </c>
      <c r="B1586" s="5" t="s">
        <v>3172</v>
      </c>
      <c r="C1586" s="5" t="str">
        <f t="shared" si="1"/>
        <v>Duhon</v>
      </c>
      <c r="D1586" s="5" t="str">
        <f t="shared" si="2"/>
        <v> Madeline E.</v>
      </c>
    </row>
    <row r="1587" ht="15.75" customHeight="1">
      <c r="A1587" s="5" t="s">
        <v>3173</v>
      </c>
      <c r="B1587" s="5" t="s">
        <v>3174</v>
      </c>
      <c r="C1587" s="5" t="str">
        <f t="shared" si="1"/>
        <v>Briseno</v>
      </c>
      <c r="D1587" s="5" t="str">
        <f t="shared" si="2"/>
        <v> Maria Isabel</v>
      </c>
    </row>
    <row r="1588" ht="15.75" customHeight="1">
      <c r="A1588" s="5" t="s">
        <v>3175</v>
      </c>
      <c r="B1588" s="5" t="s">
        <v>3176</v>
      </c>
      <c r="C1588" s="5" t="str">
        <f t="shared" si="1"/>
        <v>Besse</v>
      </c>
      <c r="D1588" s="5" t="str">
        <f t="shared" si="2"/>
        <v> Arthur M.</v>
      </c>
    </row>
    <row r="1589" ht="15.75" customHeight="1">
      <c r="A1589" s="5" t="s">
        <v>3177</v>
      </c>
      <c r="B1589" s="5" t="s">
        <v>3178</v>
      </c>
      <c r="C1589" s="5" t="str">
        <f t="shared" si="1"/>
        <v>Shillings</v>
      </c>
      <c r="D1589" s="5" t="str">
        <f t="shared" si="2"/>
        <v> Joseph R.</v>
      </c>
    </row>
    <row r="1590" ht="15.75" customHeight="1">
      <c r="A1590" s="5" t="s">
        <v>3179</v>
      </c>
      <c r="B1590" s="5" t="s">
        <v>3180</v>
      </c>
      <c r="C1590" s="5" t="str">
        <f t="shared" si="1"/>
        <v>Tate</v>
      </c>
      <c r="D1590" s="5" t="str">
        <f t="shared" si="2"/>
        <v> Sachiko</v>
      </c>
    </row>
    <row r="1591" ht="15.75" customHeight="1">
      <c r="A1591" s="5" t="s">
        <v>3181</v>
      </c>
      <c r="B1591" s="5" t="s">
        <v>3182</v>
      </c>
      <c r="C1591" s="5" t="str">
        <f t="shared" si="1"/>
        <v>Arsenault</v>
      </c>
      <c r="D1591" s="5" t="str">
        <f t="shared" si="2"/>
        <v> Christopher</v>
      </c>
    </row>
    <row r="1592" ht="15.75" customHeight="1">
      <c r="A1592" s="5" t="s">
        <v>3183</v>
      </c>
      <c r="B1592" s="5" t="s">
        <v>3184</v>
      </c>
      <c r="C1592" s="5" t="str">
        <f t="shared" si="1"/>
        <v>Hengoed</v>
      </c>
      <c r="D1592" s="5" t="str">
        <f t="shared" si="2"/>
        <v> Joseph</v>
      </c>
    </row>
    <row r="1593" ht="15.75" customHeight="1">
      <c r="A1593" s="5" t="s">
        <v>3185</v>
      </c>
      <c r="B1593" s="5" t="s">
        <v>3186</v>
      </c>
      <c r="C1593" s="5" t="str">
        <f t="shared" si="1"/>
        <v>Aller</v>
      </c>
      <c r="D1593" s="5" t="str">
        <f t="shared" si="2"/>
        <v> Lawrence</v>
      </c>
    </row>
    <row r="1594" ht="15.75" customHeight="1">
      <c r="A1594" s="5" t="s">
        <v>3187</v>
      </c>
      <c r="B1594" s="5" t="s">
        <v>3188</v>
      </c>
      <c r="C1594" s="5" t="str">
        <f t="shared" si="1"/>
        <v>Pisano</v>
      </c>
      <c r="D1594" s="5" t="str">
        <f t="shared" si="2"/>
        <v> Katie</v>
      </c>
    </row>
    <row r="1595" ht="15.75" customHeight="1">
      <c r="A1595" s="5" t="s">
        <v>3189</v>
      </c>
      <c r="B1595" s="5" t="s">
        <v>3190</v>
      </c>
      <c r="C1595" s="5" t="str">
        <f t="shared" si="1"/>
        <v>Sanca</v>
      </c>
      <c r="D1595" s="5" t="str">
        <f t="shared" si="2"/>
        <v> Ruben</v>
      </c>
    </row>
    <row r="1596" ht="15.75" customHeight="1">
      <c r="A1596" s="5" t="s">
        <v>3191</v>
      </c>
      <c r="B1596" s="5" t="s">
        <v>3192</v>
      </c>
      <c r="C1596" s="5" t="str">
        <f t="shared" si="1"/>
        <v>Bond</v>
      </c>
      <c r="D1596" s="5" t="str">
        <f t="shared" si="2"/>
        <v> Sarah</v>
      </c>
    </row>
    <row r="1597" ht="15.75" customHeight="1">
      <c r="A1597" s="5" t="s">
        <v>3193</v>
      </c>
      <c r="B1597" s="5" t="s">
        <v>3194</v>
      </c>
      <c r="C1597" s="5" t="str">
        <f t="shared" si="1"/>
        <v>Carron</v>
      </c>
      <c r="D1597" s="5" t="str">
        <f t="shared" si="2"/>
        <v> Angela R.</v>
      </c>
    </row>
    <row r="1598" ht="15.75" customHeight="1">
      <c r="A1598" s="5" t="s">
        <v>3195</v>
      </c>
      <c r="B1598" s="5" t="s">
        <v>3196</v>
      </c>
      <c r="C1598" s="5" t="str">
        <f t="shared" si="1"/>
        <v>Ellwanger</v>
      </c>
      <c r="D1598" s="5" t="str">
        <f t="shared" si="2"/>
        <v> Chatham</v>
      </c>
    </row>
    <row r="1599" ht="15.75" customHeight="1">
      <c r="A1599" s="5" t="s">
        <v>3197</v>
      </c>
      <c r="B1599" s="5" t="s">
        <v>3198</v>
      </c>
      <c r="C1599" s="5" t="str">
        <f t="shared" si="1"/>
        <v>Hanson</v>
      </c>
      <c r="D1599" s="5" t="str">
        <f t="shared" si="2"/>
        <v> Derek</v>
      </c>
    </row>
    <row r="1600" ht="15.75" customHeight="1">
      <c r="A1600" s="5" t="s">
        <v>3199</v>
      </c>
      <c r="B1600" s="5" t="s">
        <v>3200</v>
      </c>
      <c r="C1600" s="5" t="str">
        <f t="shared" si="1"/>
        <v>Tucker</v>
      </c>
      <c r="D1600" s="5" t="str">
        <f t="shared" si="2"/>
        <v> Kalvin J.</v>
      </c>
    </row>
    <row r="1601" ht="15.75" customHeight="1">
      <c r="A1601" s="5" t="s">
        <v>3201</v>
      </c>
      <c r="B1601" s="5" t="s">
        <v>3202</v>
      </c>
      <c r="C1601" s="5" t="str">
        <f t="shared" si="1"/>
        <v>Counts</v>
      </c>
      <c r="D1601" s="5" t="str">
        <f t="shared" si="2"/>
        <v> Dave</v>
      </c>
    </row>
    <row r="1602" ht="15.75" customHeight="1">
      <c r="A1602" s="5" t="s">
        <v>3203</v>
      </c>
      <c r="B1602" s="5" t="s">
        <v>3204</v>
      </c>
      <c r="C1602" s="5" t="str">
        <f t="shared" si="1"/>
        <v>Carson</v>
      </c>
      <c r="D1602" s="5" t="str">
        <f t="shared" si="2"/>
        <v> Barbara G.</v>
      </c>
    </row>
    <row r="1603" ht="15.75" customHeight="1">
      <c r="A1603" s="5" t="s">
        <v>3205</v>
      </c>
      <c r="B1603" s="5" t="s">
        <v>3206</v>
      </c>
      <c r="C1603" s="5" t="str">
        <f t="shared" si="1"/>
        <v>Haines</v>
      </c>
      <c r="D1603" s="5" t="str">
        <f t="shared" si="2"/>
        <v> Skylar</v>
      </c>
    </row>
    <row r="1604" ht="15.75" customHeight="1">
      <c r="A1604" s="5" t="s">
        <v>3207</v>
      </c>
      <c r="B1604" s="5" t="s">
        <v>3208</v>
      </c>
      <c r="C1604" s="5" t="str">
        <f t="shared" si="1"/>
        <v>Schnabel</v>
      </c>
      <c r="D1604" s="5" t="str">
        <f t="shared" si="2"/>
        <v> Nick</v>
      </c>
    </row>
    <row r="1605" ht="15.75" customHeight="1">
      <c r="A1605" s="5" t="s">
        <v>3209</v>
      </c>
      <c r="B1605" s="5" t="s">
        <v>3210</v>
      </c>
      <c r="C1605" s="5" t="str">
        <f t="shared" si="1"/>
        <v>Thind</v>
      </c>
      <c r="D1605" s="5" t="str">
        <f t="shared" si="2"/>
        <v> Sunny S</v>
      </c>
    </row>
    <row r="1606" ht="15.75" customHeight="1">
      <c r="A1606" s="5" t="s">
        <v>3211</v>
      </c>
      <c r="B1606" s="5" t="s">
        <v>3212</v>
      </c>
      <c r="C1606" s="5" t="str">
        <f t="shared" si="1"/>
        <v>Simon</v>
      </c>
      <c r="D1606" s="5" t="str">
        <f t="shared" si="2"/>
        <v> Anne-Marie</v>
      </c>
    </row>
    <row r="1607" ht="15.75" customHeight="1">
      <c r="A1607" s="5" t="s">
        <v>3213</v>
      </c>
      <c r="B1607" s="5" t="s">
        <v>3214</v>
      </c>
      <c r="C1607" s="5" t="str">
        <f t="shared" si="1"/>
        <v>Arciniaga</v>
      </c>
      <c r="D1607" s="5" t="str">
        <f t="shared" si="2"/>
        <v> Nicholas</v>
      </c>
    </row>
    <row r="1608" ht="15.75" customHeight="1">
      <c r="A1608" s="5" t="s">
        <v>3215</v>
      </c>
      <c r="B1608" s="5" t="s">
        <v>3216</v>
      </c>
      <c r="C1608" s="5" t="str">
        <f t="shared" si="1"/>
        <v>Ryan</v>
      </c>
      <c r="D1608" s="5" t="str">
        <f t="shared" si="2"/>
        <v> Scott M.</v>
      </c>
    </row>
    <row r="1609" ht="15.75" customHeight="1">
      <c r="A1609" s="5" t="s">
        <v>3217</v>
      </c>
      <c r="B1609" s="5" t="s">
        <v>3218</v>
      </c>
      <c r="C1609" s="5" t="str">
        <f t="shared" si="1"/>
        <v>Lizak</v>
      </c>
      <c r="D1609" s="5" t="str">
        <f t="shared" si="2"/>
        <v> Marisa A</v>
      </c>
    </row>
    <row r="1610" ht="15.75" customHeight="1">
      <c r="A1610" s="5" t="s">
        <v>3219</v>
      </c>
      <c r="B1610" s="5" t="s">
        <v>3220</v>
      </c>
      <c r="C1610" s="5" t="str">
        <f t="shared" si="1"/>
        <v>Howery</v>
      </c>
      <c r="D1610" s="5" t="str">
        <f t="shared" si="2"/>
        <v> Katie</v>
      </c>
    </row>
    <row r="1611" ht="15.75" customHeight="1">
      <c r="A1611" s="5" t="s">
        <v>3221</v>
      </c>
      <c r="B1611" s="5" t="s">
        <v>3222</v>
      </c>
      <c r="C1611" s="5" t="str">
        <f t="shared" si="1"/>
        <v>Crain</v>
      </c>
      <c r="D1611" s="5" t="str">
        <f t="shared" si="2"/>
        <v> Amy L</v>
      </c>
    </row>
    <row r="1612" ht="15.75" customHeight="1">
      <c r="A1612" s="5" t="s">
        <v>3223</v>
      </c>
      <c r="B1612" s="5" t="s">
        <v>3224</v>
      </c>
      <c r="C1612" s="5" t="str">
        <f t="shared" si="1"/>
        <v>Hotze</v>
      </c>
      <c r="D1612" s="5" t="str">
        <f t="shared" si="2"/>
        <v> Jenna M</v>
      </c>
    </row>
    <row r="1613" ht="15.75" customHeight="1">
      <c r="A1613" s="5" t="s">
        <v>3225</v>
      </c>
      <c r="B1613" s="5" t="s">
        <v>3226</v>
      </c>
      <c r="C1613" s="5" t="str">
        <f t="shared" si="1"/>
        <v>Chauhan</v>
      </c>
      <c r="D1613" s="5" t="str">
        <f t="shared" si="2"/>
        <v> Elizabeth M.</v>
      </c>
    </row>
    <row r="1614" ht="15.75" customHeight="1">
      <c r="A1614" s="5" t="s">
        <v>3227</v>
      </c>
      <c r="B1614" s="5" t="s">
        <v>3228</v>
      </c>
      <c r="C1614" s="5" t="str">
        <f t="shared" si="1"/>
        <v>Raab</v>
      </c>
      <c r="D1614" s="5" t="str">
        <f t="shared" si="2"/>
        <v> Lyazid</v>
      </c>
    </row>
    <row r="1615" ht="15.75" customHeight="1">
      <c r="A1615" s="5" t="s">
        <v>3229</v>
      </c>
      <c r="B1615" s="5" t="s">
        <v>3230</v>
      </c>
      <c r="C1615" s="5" t="str">
        <f t="shared" si="1"/>
        <v>McKown</v>
      </c>
      <c r="D1615" s="5" t="str">
        <f t="shared" si="2"/>
        <v> Lindsey A.</v>
      </c>
    </row>
    <row r="1616" ht="15.75" customHeight="1">
      <c r="A1616" s="5" t="s">
        <v>3231</v>
      </c>
      <c r="B1616" s="5" t="s">
        <v>3232</v>
      </c>
      <c r="C1616" s="5" t="str">
        <f t="shared" si="1"/>
        <v>Schiemann</v>
      </c>
      <c r="D1616" s="5" t="str">
        <f t="shared" si="2"/>
        <v> Chris</v>
      </c>
    </row>
    <row r="1617" ht="15.75" customHeight="1">
      <c r="A1617" s="5" t="s">
        <v>3233</v>
      </c>
      <c r="B1617" s="5" t="s">
        <v>3234</v>
      </c>
      <c r="C1617" s="5" t="str">
        <f t="shared" si="1"/>
        <v>Cress</v>
      </c>
      <c r="D1617" s="5" t="str">
        <f t="shared" si="2"/>
        <v> Jennifer A</v>
      </c>
    </row>
    <row r="1618" ht="15.75" customHeight="1">
      <c r="A1618" s="5" t="s">
        <v>3235</v>
      </c>
      <c r="B1618" s="5" t="s">
        <v>3236</v>
      </c>
      <c r="C1618" s="5" t="str">
        <f t="shared" si="1"/>
        <v>Mawson</v>
      </c>
      <c r="D1618" s="5" t="str">
        <f t="shared" si="2"/>
        <v> Leif S.</v>
      </c>
    </row>
    <row r="1619" ht="15.75" customHeight="1">
      <c r="A1619" s="5" t="s">
        <v>3237</v>
      </c>
      <c r="B1619" s="5" t="s">
        <v>3238</v>
      </c>
      <c r="C1619" s="5" t="str">
        <f t="shared" si="1"/>
        <v>Wigginton</v>
      </c>
      <c r="D1619" s="5" t="str">
        <f t="shared" si="2"/>
        <v> Stephanie A</v>
      </c>
    </row>
    <row r="1620" ht="15.75" customHeight="1">
      <c r="A1620" s="5" t="s">
        <v>3239</v>
      </c>
      <c r="B1620" s="5" t="s">
        <v>3240</v>
      </c>
      <c r="C1620" s="5" t="str">
        <f t="shared" si="1"/>
        <v>Wang</v>
      </c>
      <c r="D1620" s="5" t="str">
        <f t="shared" si="2"/>
        <v> Bo</v>
      </c>
    </row>
    <row r="1621" ht="15.75" customHeight="1">
      <c r="A1621" s="5" t="s">
        <v>3241</v>
      </c>
      <c r="B1621" s="5" t="s">
        <v>3242</v>
      </c>
      <c r="C1621" s="5" t="str">
        <f t="shared" si="1"/>
        <v>Schroeder</v>
      </c>
      <c r="D1621" s="5" t="str">
        <f t="shared" si="2"/>
        <v> Leah</v>
      </c>
    </row>
    <row r="1622" ht="15.75" customHeight="1">
      <c r="A1622" s="5" t="s">
        <v>3243</v>
      </c>
      <c r="B1622" s="5" t="s">
        <v>3244</v>
      </c>
      <c r="C1622" s="5" t="str">
        <f t="shared" si="1"/>
        <v>Leonard</v>
      </c>
      <c r="D1622" s="5" t="str">
        <f t="shared" si="2"/>
        <v> Kara Lynne</v>
      </c>
    </row>
    <row r="1623" ht="15.75" customHeight="1">
      <c r="A1623" s="5" t="s">
        <v>3245</v>
      </c>
      <c r="B1623" s="5" t="s">
        <v>3246</v>
      </c>
      <c r="C1623" s="5" t="str">
        <f t="shared" si="1"/>
        <v>Tissue</v>
      </c>
      <c r="D1623" s="5" t="str">
        <f t="shared" si="2"/>
        <v> Jeffrey</v>
      </c>
    </row>
    <row r="1624" ht="15.75" customHeight="1">
      <c r="A1624" s="5" t="s">
        <v>3247</v>
      </c>
      <c r="B1624" s="5" t="s">
        <v>3248</v>
      </c>
      <c r="C1624" s="5" t="str">
        <f t="shared" si="1"/>
        <v>Wood</v>
      </c>
      <c r="D1624" s="5" t="str">
        <f t="shared" si="2"/>
        <v> Justin</v>
      </c>
    </row>
    <row r="1625" ht="15.75" customHeight="1">
      <c r="A1625" s="5" t="s">
        <v>3249</v>
      </c>
      <c r="B1625" s="5" t="s">
        <v>3250</v>
      </c>
      <c r="C1625" s="5" t="str">
        <f t="shared" si="1"/>
        <v>Denny</v>
      </c>
      <c r="D1625" s="5" t="str">
        <f t="shared" si="2"/>
        <v> Emily</v>
      </c>
    </row>
    <row r="1626" ht="15.75" customHeight="1">
      <c r="A1626" s="5" t="s">
        <v>3251</v>
      </c>
      <c r="B1626" s="5" t="s">
        <v>3252</v>
      </c>
      <c r="C1626" s="5" t="str">
        <f t="shared" si="1"/>
        <v>Testa</v>
      </c>
      <c r="D1626" s="5" t="str">
        <f t="shared" si="2"/>
        <v> Rebecca</v>
      </c>
    </row>
    <row r="1627" ht="15.75" customHeight="1">
      <c r="A1627" s="5" t="s">
        <v>3253</v>
      </c>
      <c r="B1627" s="5" t="s">
        <v>3254</v>
      </c>
      <c r="C1627" s="5" t="str">
        <f t="shared" si="1"/>
        <v>Mooney</v>
      </c>
      <c r="D1627" s="5" t="str">
        <f t="shared" si="2"/>
        <v> Allie</v>
      </c>
    </row>
    <row r="1628" ht="15.75" customHeight="1">
      <c r="A1628" s="5" t="s">
        <v>3255</v>
      </c>
      <c r="B1628" s="5" t="s">
        <v>3256</v>
      </c>
      <c r="C1628" s="5" t="str">
        <f t="shared" si="1"/>
        <v>Buchholtz</v>
      </c>
      <c r="D1628" s="5" t="str">
        <f t="shared" si="2"/>
        <v> Trasi</v>
      </c>
    </row>
    <row r="1629" ht="15.75" customHeight="1">
      <c r="A1629" s="5" t="s">
        <v>3257</v>
      </c>
      <c r="B1629" s="5" t="s">
        <v>3258</v>
      </c>
      <c r="C1629" s="5" t="str">
        <f t="shared" si="1"/>
        <v>Hoyt</v>
      </c>
      <c r="D1629" s="5" t="str">
        <f t="shared" si="2"/>
        <v> Kevin</v>
      </c>
    </row>
    <row r="1630" ht="15.75" customHeight="1">
      <c r="A1630" s="5" t="s">
        <v>3259</v>
      </c>
      <c r="B1630" s="5" t="s">
        <v>3260</v>
      </c>
      <c r="C1630" s="5" t="str">
        <f t="shared" si="1"/>
        <v>Cabada</v>
      </c>
      <c r="D1630" s="5" t="str">
        <f t="shared" si="2"/>
        <v> Fernando</v>
      </c>
    </row>
    <row r="1631" ht="15.75" customHeight="1">
      <c r="A1631" s="5" t="s">
        <v>3261</v>
      </c>
      <c r="B1631" s="5" t="s">
        <v>3262</v>
      </c>
      <c r="C1631" s="5" t="str">
        <f t="shared" si="1"/>
        <v>Lobaciute</v>
      </c>
      <c r="D1631" s="5" t="str">
        <f t="shared" si="2"/>
        <v> Ieva</v>
      </c>
    </row>
    <row r="1632" ht="15.75" customHeight="1">
      <c r="A1632" s="5" t="s">
        <v>3263</v>
      </c>
      <c r="B1632" s="5" t="s">
        <v>3264</v>
      </c>
      <c r="C1632" s="5" t="str">
        <f t="shared" si="1"/>
        <v>Dawes</v>
      </c>
      <c r="D1632" s="5" t="str">
        <f t="shared" si="2"/>
        <v> Chris</v>
      </c>
    </row>
    <row r="1633" ht="15.75" customHeight="1">
      <c r="A1633" s="5" t="s">
        <v>3265</v>
      </c>
      <c r="B1633" s="5" t="s">
        <v>3266</v>
      </c>
      <c r="C1633" s="5" t="str">
        <f t="shared" si="1"/>
        <v>Deppen</v>
      </c>
      <c r="D1633" s="5" t="str">
        <f t="shared" si="2"/>
        <v> Drew L.</v>
      </c>
    </row>
    <row r="1634" ht="15.75" customHeight="1">
      <c r="A1634" s="5" t="s">
        <v>3267</v>
      </c>
      <c r="B1634" s="5" t="s">
        <v>3268</v>
      </c>
      <c r="C1634" s="5" t="str">
        <f t="shared" si="1"/>
        <v>Oberndorfer</v>
      </c>
      <c r="D1634" s="5" t="str">
        <f t="shared" si="2"/>
        <v> Christina</v>
      </c>
    </row>
    <row r="1635" ht="15.75" customHeight="1">
      <c r="A1635" s="5" t="s">
        <v>3269</v>
      </c>
      <c r="B1635" s="5" t="s">
        <v>3270</v>
      </c>
      <c r="C1635" s="5" t="str">
        <f t="shared" si="1"/>
        <v>Hetherington</v>
      </c>
      <c r="D1635" s="5" t="str">
        <f t="shared" si="2"/>
        <v> Alexander G</v>
      </c>
    </row>
    <row r="1636" ht="15.75" customHeight="1">
      <c r="A1636" s="5" t="s">
        <v>3271</v>
      </c>
      <c r="B1636" s="5" t="s">
        <v>3272</v>
      </c>
      <c r="C1636" s="5" t="str">
        <f t="shared" si="1"/>
        <v>Murray</v>
      </c>
      <c r="D1636" s="5" t="str">
        <f t="shared" si="2"/>
        <v> Meaghan</v>
      </c>
    </row>
    <row r="1637" ht="15.75" customHeight="1">
      <c r="A1637" s="5" t="s">
        <v>3273</v>
      </c>
      <c r="B1637" s="5" t="s">
        <v>3274</v>
      </c>
      <c r="C1637" s="5" t="str">
        <f t="shared" si="1"/>
        <v>Higden</v>
      </c>
      <c r="D1637" s="5" t="str">
        <f t="shared" si="2"/>
        <v> Kristin</v>
      </c>
    </row>
    <row r="1638" ht="15.75" customHeight="1">
      <c r="A1638" s="5" t="s">
        <v>3275</v>
      </c>
      <c r="B1638" s="5" t="s">
        <v>3276</v>
      </c>
      <c r="C1638" s="5" t="str">
        <f t="shared" si="1"/>
        <v>Rediger</v>
      </c>
      <c r="D1638" s="5" t="str">
        <f t="shared" si="2"/>
        <v> Andrea K.</v>
      </c>
    </row>
    <row r="1639" ht="15.75" customHeight="1">
      <c r="A1639" s="5" t="s">
        <v>3277</v>
      </c>
      <c r="B1639" s="5" t="s">
        <v>3278</v>
      </c>
      <c r="C1639" s="5" t="str">
        <f t="shared" si="1"/>
        <v>Huff</v>
      </c>
      <c r="D1639" s="5" t="str">
        <f t="shared" si="2"/>
        <v> Kris</v>
      </c>
    </row>
    <row r="1640" ht="15.75" customHeight="1">
      <c r="A1640" s="5" t="s">
        <v>3279</v>
      </c>
      <c r="B1640" s="5" t="s">
        <v>3280</v>
      </c>
      <c r="C1640" s="5" t="str">
        <f t="shared" si="1"/>
        <v>Hall</v>
      </c>
      <c r="D1640" s="5" t="str">
        <f t="shared" si="2"/>
        <v> Alden W</v>
      </c>
    </row>
    <row r="1641" ht="15.75" customHeight="1">
      <c r="A1641" s="5" t="s">
        <v>3281</v>
      </c>
      <c r="B1641" s="5" t="s">
        <v>3282</v>
      </c>
      <c r="C1641" s="5" t="str">
        <f t="shared" si="1"/>
        <v>Grise</v>
      </c>
      <c r="D1641" s="5" t="str">
        <f t="shared" si="2"/>
        <v> Suzanne M</v>
      </c>
    </row>
    <row r="1642" ht="15.75" customHeight="1">
      <c r="A1642" s="5" t="s">
        <v>3283</v>
      </c>
      <c r="B1642" s="5" t="s">
        <v>3284</v>
      </c>
      <c r="C1642" s="5" t="str">
        <f t="shared" si="1"/>
        <v>Skildum</v>
      </c>
      <c r="D1642" s="5" t="str">
        <f t="shared" si="2"/>
        <v> Heidi Z.</v>
      </c>
    </row>
    <row r="1643" ht="15.75" customHeight="1">
      <c r="A1643" s="5" t="s">
        <v>3285</v>
      </c>
      <c r="B1643" s="5" t="s">
        <v>3286</v>
      </c>
      <c r="C1643" s="5" t="str">
        <f t="shared" si="1"/>
        <v>Yang</v>
      </c>
      <c r="D1643" s="5" t="str">
        <f t="shared" si="2"/>
        <v> Carolyn</v>
      </c>
    </row>
    <row r="1644" ht="15.75" customHeight="1">
      <c r="A1644" s="5" t="s">
        <v>3287</v>
      </c>
      <c r="B1644" s="5" t="s">
        <v>3288</v>
      </c>
      <c r="C1644" s="5" t="str">
        <f t="shared" si="1"/>
        <v>Fischer-Daly</v>
      </c>
      <c r="D1644" s="5" t="str">
        <f t="shared" si="2"/>
        <v> Sabine</v>
      </c>
    </row>
    <row r="1645" ht="15.75" customHeight="1">
      <c r="A1645" s="5" t="s">
        <v>3289</v>
      </c>
      <c r="B1645" s="5" t="s">
        <v>3290</v>
      </c>
      <c r="C1645" s="5" t="str">
        <f t="shared" si="1"/>
        <v>Asher</v>
      </c>
      <c r="D1645" s="5" t="str">
        <f t="shared" si="2"/>
        <v> Bobby</v>
      </c>
    </row>
    <row r="1646" ht="15.75" customHeight="1">
      <c r="A1646" s="5" t="s">
        <v>3291</v>
      </c>
      <c r="B1646" s="5" t="s">
        <v>3292</v>
      </c>
      <c r="C1646" s="5" t="str">
        <f t="shared" si="1"/>
        <v>Zhou</v>
      </c>
      <c r="D1646" s="5" t="str">
        <f t="shared" si="2"/>
        <v> Fan</v>
      </c>
    </row>
    <row r="1647" ht="15.75" customHeight="1">
      <c r="A1647" s="5" t="s">
        <v>3293</v>
      </c>
      <c r="B1647" s="5" t="s">
        <v>3294</v>
      </c>
      <c r="C1647" s="5" t="str">
        <f t="shared" si="1"/>
        <v>Rudder</v>
      </c>
      <c r="D1647" s="5" t="str">
        <f t="shared" si="2"/>
        <v> Rachel M</v>
      </c>
    </row>
    <row r="1648" ht="15.75" customHeight="1">
      <c r="A1648" s="5" t="s">
        <v>3295</v>
      </c>
      <c r="B1648" s="5" t="s">
        <v>3296</v>
      </c>
      <c r="C1648" s="5" t="str">
        <f t="shared" si="1"/>
        <v>Cartmell</v>
      </c>
      <c r="D1648" s="5" t="str">
        <f t="shared" si="2"/>
        <v> Greg</v>
      </c>
    </row>
    <row r="1649" ht="15.75" customHeight="1">
      <c r="A1649" s="5" t="s">
        <v>3297</v>
      </c>
      <c r="B1649" s="5" t="s">
        <v>3298</v>
      </c>
      <c r="C1649" s="5" t="str">
        <f t="shared" si="1"/>
        <v>Troland</v>
      </c>
      <c r="D1649" s="5" t="str">
        <f t="shared" si="2"/>
        <v> Dan</v>
      </c>
    </row>
    <row r="1650" ht="15.75" customHeight="1">
      <c r="A1650" s="5" t="s">
        <v>3299</v>
      </c>
      <c r="B1650" s="5" t="s">
        <v>3300</v>
      </c>
      <c r="C1650" s="5" t="str">
        <f t="shared" si="1"/>
        <v>Hall</v>
      </c>
      <c r="D1650" s="5" t="str">
        <f t="shared" si="2"/>
        <v> Jennifer A</v>
      </c>
    </row>
    <row r="1651" ht="15.75" customHeight="1">
      <c r="A1651" s="5" t="s">
        <v>3301</v>
      </c>
      <c r="B1651" s="5" t="s">
        <v>3302</v>
      </c>
      <c r="C1651" s="5" t="str">
        <f t="shared" si="1"/>
        <v>Berg</v>
      </c>
      <c r="D1651" s="5" t="str">
        <f t="shared" si="2"/>
        <v> Jessica</v>
      </c>
    </row>
    <row r="1652" ht="15.75" customHeight="1">
      <c r="A1652" s="5" t="s">
        <v>3303</v>
      </c>
      <c r="B1652" s="5" t="s">
        <v>3304</v>
      </c>
      <c r="C1652" s="5" t="str">
        <f t="shared" si="1"/>
        <v>Engtrakul</v>
      </c>
      <c r="D1652" s="5" t="str">
        <f t="shared" si="2"/>
        <v> Chaiwat</v>
      </c>
    </row>
    <row r="1653" ht="15.75" customHeight="1">
      <c r="A1653" s="5" t="s">
        <v>3305</v>
      </c>
      <c r="B1653" s="5" t="s">
        <v>3306</v>
      </c>
      <c r="C1653" s="5" t="str">
        <f t="shared" si="1"/>
        <v>Leonhardt</v>
      </c>
      <c r="D1653" s="5" t="str">
        <f t="shared" si="2"/>
        <v> Kerri</v>
      </c>
    </row>
    <row r="1654" ht="15.75" customHeight="1">
      <c r="A1654" s="5" t="s">
        <v>3307</v>
      </c>
      <c r="B1654" s="5" t="s">
        <v>3308</v>
      </c>
      <c r="C1654" s="5" t="str">
        <f t="shared" si="1"/>
        <v>Goetz</v>
      </c>
      <c r="D1654" s="5" t="str">
        <f t="shared" si="2"/>
        <v> Lisa</v>
      </c>
    </row>
    <row r="1655" ht="15.75" customHeight="1">
      <c r="A1655" s="5" t="s">
        <v>3309</v>
      </c>
      <c r="B1655" s="5" t="s">
        <v>3310</v>
      </c>
      <c r="C1655" s="5" t="str">
        <f t="shared" si="1"/>
        <v>Cacharelis</v>
      </c>
      <c r="D1655" s="5" t="str">
        <f t="shared" si="2"/>
        <v> Nicholas G</v>
      </c>
    </row>
    <row r="1656" ht="15.75" customHeight="1">
      <c r="A1656" s="5" t="s">
        <v>3311</v>
      </c>
      <c r="B1656" s="5" t="s">
        <v>3312</v>
      </c>
      <c r="C1656" s="5" t="str">
        <f t="shared" si="1"/>
        <v>Kariolis</v>
      </c>
      <c r="D1656" s="5" t="str">
        <f t="shared" si="2"/>
        <v> Vasilis S</v>
      </c>
    </row>
    <row r="1657" ht="15.75" customHeight="1">
      <c r="A1657" s="5" t="s">
        <v>3313</v>
      </c>
      <c r="B1657" s="5" t="s">
        <v>3314</v>
      </c>
      <c r="C1657" s="5" t="str">
        <f t="shared" si="1"/>
        <v>Zelwin</v>
      </c>
      <c r="D1657" s="5" t="str">
        <f t="shared" si="2"/>
        <v> Michael P</v>
      </c>
    </row>
    <row r="1658" ht="15.75" customHeight="1">
      <c r="A1658" s="5" t="s">
        <v>3315</v>
      </c>
      <c r="B1658" s="5" t="s">
        <v>3316</v>
      </c>
      <c r="C1658" s="5" t="str">
        <f t="shared" si="1"/>
        <v>Barry</v>
      </c>
      <c r="D1658" s="5" t="str">
        <f t="shared" si="2"/>
        <v> Colleen C.</v>
      </c>
    </row>
    <row r="1659" ht="15.75" customHeight="1">
      <c r="A1659" s="5" t="s">
        <v>3317</v>
      </c>
      <c r="B1659" s="5" t="s">
        <v>3318</v>
      </c>
      <c r="C1659" s="5" t="str">
        <f t="shared" si="1"/>
        <v>Bannon</v>
      </c>
      <c r="D1659" s="5" t="str">
        <f t="shared" si="2"/>
        <v> Annika</v>
      </c>
    </row>
    <row r="1660" ht="15.75" customHeight="1">
      <c r="A1660" s="5" t="s">
        <v>3319</v>
      </c>
      <c r="B1660" s="5" t="s">
        <v>3320</v>
      </c>
      <c r="C1660" s="5" t="str">
        <f t="shared" si="1"/>
        <v>Chang</v>
      </c>
      <c r="D1660" s="5" t="str">
        <f t="shared" si="2"/>
        <v> Kelly</v>
      </c>
    </row>
    <row r="1661" ht="15.75" customHeight="1">
      <c r="A1661" s="5" t="s">
        <v>3321</v>
      </c>
      <c r="B1661" s="5" t="s">
        <v>3322</v>
      </c>
      <c r="C1661" s="5" t="str">
        <f t="shared" si="1"/>
        <v>Vetter</v>
      </c>
      <c r="D1661" s="5" t="str">
        <f t="shared" si="2"/>
        <v> Nicholas C.</v>
      </c>
    </row>
    <row r="1662" ht="15.75" customHeight="1">
      <c r="A1662" s="5" t="s">
        <v>3323</v>
      </c>
      <c r="B1662" s="5" t="s">
        <v>3324</v>
      </c>
      <c r="C1662" s="5" t="str">
        <f t="shared" si="1"/>
        <v>Jablonski</v>
      </c>
      <c r="D1662" s="5" t="str">
        <f t="shared" si="2"/>
        <v> Kelly K</v>
      </c>
    </row>
    <row r="1663" ht="15.75" customHeight="1">
      <c r="A1663" s="5" t="s">
        <v>3325</v>
      </c>
      <c r="B1663" s="5" t="s">
        <v>3326</v>
      </c>
      <c r="C1663" s="5" t="str">
        <f t="shared" si="1"/>
        <v>Jakubowitch</v>
      </c>
      <c r="D1663" s="5" t="str">
        <f t="shared" si="2"/>
        <v> Andrew</v>
      </c>
    </row>
    <row r="1664" ht="15.75" customHeight="1">
      <c r="A1664" s="5" t="s">
        <v>3327</v>
      </c>
      <c r="B1664" s="5" t="s">
        <v>3328</v>
      </c>
      <c r="C1664" s="5" t="str">
        <f t="shared" si="1"/>
        <v>Altshuler</v>
      </c>
      <c r="D1664" s="5" t="str">
        <f t="shared" si="2"/>
        <v> Hannah</v>
      </c>
    </row>
    <row r="1665" ht="15.75" customHeight="1">
      <c r="A1665" s="5" t="s">
        <v>3329</v>
      </c>
      <c r="B1665" s="5" t="s">
        <v>3330</v>
      </c>
      <c r="C1665" s="5" t="str">
        <f t="shared" si="1"/>
        <v>Ugarte</v>
      </c>
      <c r="D1665" s="5" t="str">
        <f t="shared" si="2"/>
        <v> Patricio Sr.</v>
      </c>
    </row>
    <row r="1666" ht="15.75" customHeight="1">
      <c r="A1666" s="5" t="s">
        <v>3331</v>
      </c>
      <c r="B1666" s="5" t="s">
        <v>3332</v>
      </c>
      <c r="C1666" s="5" t="str">
        <f t="shared" si="1"/>
        <v>Tusso</v>
      </c>
      <c r="D1666" s="5" t="str">
        <f t="shared" si="2"/>
        <v> Robert B</v>
      </c>
    </row>
    <row r="1667" ht="15.75" customHeight="1">
      <c r="A1667" s="5" t="s">
        <v>3333</v>
      </c>
      <c r="B1667" s="5" t="s">
        <v>3334</v>
      </c>
      <c r="C1667" s="5" t="str">
        <f t="shared" si="1"/>
        <v>Johnson</v>
      </c>
      <c r="D1667" s="5" t="str">
        <f t="shared" si="2"/>
        <v> Benjamin M</v>
      </c>
    </row>
    <row r="1668" ht="15.75" customHeight="1">
      <c r="A1668" s="5" t="s">
        <v>3335</v>
      </c>
      <c r="B1668" s="5" t="s">
        <v>3336</v>
      </c>
      <c r="C1668" s="5" t="str">
        <f t="shared" si="1"/>
        <v>Landry</v>
      </c>
      <c r="D1668" s="5" t="str">
        <f t="shared" si="2"/>
        <v> Robert</v>
      </c>
    </row>
    <row r="1669" ht="15.75" customHeight="1">
      <c r="A1669" s="5" t="s">
        <v>3337</v>
      </c>
      <c r="B1669" s="5" t="s">
        <v>3338</v>
      </c>
      <c r="C1669" s="5" t="str">
        <f t="shared" si="1"/>
        <v>McDonald</v>
      </c>
      <c r="D1669" s="5" t="str">
        <f t="shared" si="2"/>
        <v> Eric R.</v>
      </c>
    </row>
    <row r="1670" ht="15.75" customHeight="1">
      <c r="A1670" s="5" t="s">
        <v>3339</v>
      </c>
      <c r="B1670" s="5" t="s">
        <v>3340</v>
      </c>
      <c r="C1670" s="5" t="str">
        <f t="shared" si="1"/>
        <v>Dunlap</v>
      </c>
      <c r="D1670" s="5" t="str">
        <f t="shared" si="2"/>
        <v> Matthew</v>
      </c>
    </row>
    <row r="1671" ht="15.75" customHeight="1">
      <c r="A1671" s="5" t="s">
        <v>3341</v>
      </c>
      <c r="B1671" s="5" t="s">
        <v>3342</v>
      </c>
      <c r="C1671" s="5" t="str">
        <f t="shared" si="1"/>
        <v>Larue</v>
      </c>
      <c r="D1671" s="5" t="str">
        <f t="shared" si="2"/>
        <v> Bob R</v>
      </c>
    </row>
    <row r="1672" ht="15.75" customHeight="1">
      <c r="A1672" s="5" t="s">
        <v>3343</v>
      </c>
      <c r="B1672" s="5" t="s">
        <v>3344</v>
      </c>
      <c r="C1672" s="5" t="str">
        <f t="shared" si="1"/>
        <v>Hodge</v>
      </c>
      <c r="D1672" s="5" t="str">
        <f t="shared" si="2"/>
        <v> Stephanie J.</v>
      </c>
    </row>
    <row r="1673" ht="15.75" customHeight="1">
      <c r="A1673" s="5" t="s">
        <v>3345</v>
      </c>
      <c r="B1673" s="5" t="s">
        <v>3346</v>
      </c>
      <c r="C1673" s="5" t="str">
        <f t="shared" si="1"/>
        <v>Marcus</v>
      </c>
      <c r="D1673" s="5" t="str">
        <f t="shared" si="2"/>
        <v> Jake</v>
      </c>
    </row>
    <row r="1674" ht="15.75" customHeight="1">
      <c r="A1674" s="5" t="s">
        <v>3347</v>
      </c>
      <c r="B1674" s="5" t="s">
        <v>3348</v>
      </c>
      <c r="C1674" s="5" t="str">
        <f t="shared" si="1"/>
        <v>Daubert</v>
      </c>
      <c r="D1674" s="5" t="str">
        <f t="shared" si="2"/>
        <v> Alison L.</v>
      </c>
    </row>
    <row r="1675" ht="15.75" customHeight="1">
      <c r="A1675" s="5" t="s">
        <v>3349</v>
      </c>
      <c r="B1675" s="5" t="s">
        <v>3350</v>
      </c>
      <c r="C1675" s="5" t="str">
        <f t="shared" si="1"/>
        <v>Close</v>
      </c>
      <c r="D1675" s="5" t="str">
        <f t="shared" si="2"/>
        <v> Lindsay M</v>
      </c>
    </row>
    <row r="1676" ht="15.75" customHeight="1">
      <c r="A1676" s="5" t="s">
        <v>3351</v>
      </c>
      <c r="B1676" s="5" t="s">
        <v>3352</v>
      </c>
      <c r="C1676" s="5" t="str">
        <f t="shared" si="1"/>
        <v>Roels</v>
      </c>
      <c r="D1676" s="5" t="str">
        <f t="shared" si="2"/>
        <v> Guillaume</v>
      </c>
    </row>
    <row r="1677" ht="15.75" customHeight="1">
      <c r="A1677" s="5" t="s">
        <v>3353</v>
      </c>
      <c r="B1677" s="5" t="s">
        <v>3354</v>
      </c>
      <c r="C1677" s="5" t="str">
        <f t="shared" si="1"/>
        <v>Venosky</v>
      </c>
      <c r="D1677" s="5" t="str">
        <f t="shared" si="2"/>
        <v> Kaylee</v>
      </c>
    </row>
    <row r="1678" ht="15.75" customHeight="1">
      <c r="A1678" s="5" t="s">
        <v>3355</v>
      </c>
      <c r="B1678" s="5" t="s">
        <v>3356</v>
      </c>
      <c r="C1678" s="5" t="str">
        <f t="shared" si="1"/>
        <v>Gosnell</v>
      </c>
      <c r="D1678" s="5" t="str">
        <f t="shared" si="2"/>
        <v> Theresa</v>
      </c>
    </row>
    <row r="1679" ht="15.75" customHeight="1">
      <c r="A1679" s="5" t="s">
        <v>3357</v>
      </c>
      <c r="B1679" s="5" t="s">
        <v>3358</v>
      </c>
      <c r="C1679" s="5" t="str">
        <f t="shared" si="1"/>
        <v>Chewning-Kulick</v>
      </c>
      <c r="D1679" s="5" t="str">
        <f t="shared" si="2"/>
        <v> Travis G.</v>
      </c>
    </row>
    <row r="1680" ht="15.75" customHeight="1">
      <c r="A1680" s="5" t="s">
        <v>3359</v>
      </c>
      <c r="B1680" s="5" t="s">
        <v>3360</v>
      </c>
      <c r="C1680" s="5" t="str">
        <f t="shared" si="1"/>
        <v>McCarron</v>
      </c>
      <c r="D1680" s="5" t="str">
        <f t="shared" si="2"/>
        <v> Emma L.</v>
      </c>
    </row>
    <row r="1681" ht="15.75" customHeight="1">
      <c r="A1681" s="5" t="s">
        <v>3361</v>
      </c>
      <c r="B1681" s="5" t="s">
        <v>3362</v>
      </c>
      <c r="C1681" s="5" t="str">
        <f t="shared" si="1"/>
        <v>Manion</v>
      </c>
      <c r="D1681" s="5" t="str">
        <f t="shared" si="2"/>
        <v> Linda</v>
      </c>
    </row>
    <row r="1682" ht="15.75" customHeight="1">
      <c r="A1682" s="5" t="s">
        <v>3363</v>
      </c>
      <c r="B1682" s="5" t="s">
        <v>3364</v>
      </c>
      <c r="C1682" s="5" t="str">
        <f t="shared" si="1"/>
        <v>Strong</v>
      </c>
      <c r="D1682" s="5" t="str">
        <f t="shared" si="2"/>
        <v> Owen R</v>
      </c>
    </row>
    <row r="1683" ht="15.75" customHeight="1">
      <c r="A1683" s="5" t="s">
        <v>3365</v>
      </c>
      <c r="B1683" s="5" t="s">
        <v>3366</v>
      </c>
      <c r="C1683" s="5" t="str">
        <f t="shared" si="1"/>
        <v>Leblanc</v>
      </c>
      <c r="D1683" s="5" t="str">
        <f t="shared" si="2"/>
        <v> Jacob</v>
      </c>
    </row>
    <row r="1684" ht="15.75" customHeight="1">
      <c r="A1684" s="5" t="s">
        <v>3367</v>
      </c>
      <c r="B1684" s="5" t="s">
        <v>3368</v>
      </c>
      <c r="C1684" s="5" t="str">
        <f t="shared" si="1"/>
        <v>Palmer</v>
      </c>
      <c r="D1684" s="5" t="str">
        <f t="shared" si="2"/>
        <v> Jacqueline</v>
      </c>
    </row>
    <row r="1685" ht="15.75" customHeight="1">
      <c r="A1685" s="5" t="s">
        <v>3369</v>
      </c>
      <c r="B1685" s="5" t="s">
        <v>3370</v>
      </c>
      <c r="C1685" s="5" t="str">
        <f t="shared" si="1"/>
        <v>Shen</v>
      </c>
      <c r="D1685" s="5" t="str">
        <f t="shared" si="2"/>
        <v> Yefeng</v>
      </c>
    </row>
    <row r="1686" ht="15.75" customHeight="1">
      <c r="A1686" s="5" t="s">
        <v>3371</v>
      </c>
      <c r="B1686" s="5" t="s">
        <v>3372</v>
      </c>
      <c r="C1686" s="5" t="str">
        <f t="shared" si="1"/>
        <v>Goldsby</v>
      </c>
      <c r="D1686" s="5" t="str">
        <f t="shared" si="2"/>
        <v> Thomas J</v>
      </c>
    </row>
    <row r="1687" ht="15.75" customHeight="1">
      <c r="A1687" s="5" t="s">
        <v>3373</v>
      </c>
      <c r="B1687" s="5" t="s">
        <v>3374</v>
      </c>
      <c r="C1687" s="5" t="str">
        <f t="shared" si="1"/>
        <v>Whitney</v>
      </c>
      <c r="D1687" s="5" t="str">
        <f t="shared" si="2"/>
        <v> Ken</v>
      </c>
    </row>
    <row r="1688" ht="15.75" customHeight="1">
      <c r="A1688" s="5" t="s">
        <v>3375</v>
      </c>
      <c r="B1688" s="5" t="s">
        <v>3376</v>
      </c>
      <c r="C1688" s="5" t="str">
        <f t="shared" si="1"/>
        <v>Mahoney</v>
      </c>
      <c r="D1688" s="5" t="str">
        <f t="shared" si="2"/>
        <v> Annie E</v>
      </c>
    </row>
    <row r="1689" ht="15.75" customHeight="1">
      <c r="A1689" s="5" t="s">
        <v>3377</v>
      </c>
      <c r="B1689" s="5" t="s">
        <v>3378</v>
      </c>
      <c r="C1689" s="5" t="str">
        <f t="shared" si="1"/>
        <v>McCracken</v>
      </c>
      <c r="D1689" s="5" t="str">
        <f t="shared" si="2"/>
        <v> Noel K.</v>
      </c>
    </row>
    <row r="1690" ht="15.75" customHeight="1">
      <c r="A1690" s="5" t="s">
        <v>3379</v>
      </c>
      <c r="B1690" s="5" t="s">
        <v>3380</v>
      </c>
      <c r="C1690" s="5" t="str">
        <f t="shared" si="1"/>
        <v>Spewak</v>
      </c>
      <c r="D1690" s="5" t="str">
        <f t="shared" si="2"/>
        <v> Mark S</v>
      </c>
    </row>
    <row r="1691" ht="15.75" customHeight="1">
      <c r="A1691" s="5" t="s">
        <v>3381</v>
      </c>
      <c r="B1691" s="5" t="s">
        <v>3382</v>
      </c>
      <c r="C1691" s="5" t="str">
        <f t="shared" si="1"/>
        <v>Cottini</v>
      </c>
      <c r="D1691" s="5" t="str">
        <f t="shared" si="2"/>
        <v> Federica</v>
      </c>
    </row>
    <row r="1692" ht="15.75" customHeight="1">
      <c r="A1692" s="5" t="s">
        <v>3383</v>
      </c>
      <c r="B1692" s="5" t="s">
        <v>3384</v>
      </c>
      <c r="C1692" s="5" t="str">
        <f t="shared" si="1"/>
        <v>Findlay</v>
      </c>
      <c r="D1692" s="5" t="str">
        <f t="shared" si="2"/>
        <v> Pamela L</v>
      </c>
    </row>
    <row r="1693" ht="15.75" customHeight="1">
      <c r="A1693" s="5" t="s">
        <v>3385</v>
      </c>
      <c r="B1693" s="5" t="s">
        <v>3386</v>
      </c>
      <c r="C1693" s="5" t="str">
        <f t="shared" si="1"/>
        <v>Strasburg</v>
      </c>
      <c r="D1693" s="5" t="str">
        <f t="shared" si="2"/>
        <v> Andrew W.</v>
      </c>
    </row>
    <row r="1694" ht="15.75" customHeight="1">
      <c r="A1694" s="5" t="s">
        <v>3387</v>
      </c>
      <c r="B1694" s="5" t="s">
        <v>3388</v>
      </c>
      <c r="C1694" s="5" t="str">
        <f t="shared" si="1"/>
        <v>Adams</v>
      </c>
      <c r="D1694" s="5" t="str">
        <f t="shared" si="2"/>
        <v> Randall</v>
      </c>
    </row>
    <row r="1695" ht="15.75" customHeight="1">
      <c r="A1695" s="5" t="s">
        <v>3389</v>
      </c>
      <c r="B1695" s="5" t="s">
        <v>3390</v>
      </c>
      <c r="C1695" s="5" t="str">
        <f t="shared" si="1"/>
        <v>Deeter</v>
      </c>
      <c r="D1695" s="5" t="str">
        <f t="shared" si="2"/>
        <v> Tracy L</v>
      </c>
    </row>
    <row r="1696" ht="15.75" customHeight="1">
      <c r="A1696" s="5" t="s">
        <v>3391</v>
      </c>
      <c r="B1696" s="5" t="s">
        <v>3392</v>
      </c>
      <c r="C1696" s="5" t="str">
        <f t="shared" si="1"/>
        <v>Arpin</v>
      </c>
      <c r="D1696" s="5" t="str">
        <f t="shared" si="2"/>
        <v> Azelie</v>
      </c>
    </row>
    <row r="1697" ht="15.75" customHeight="1">
      <c r="A1697" s="5" t="s">
        <v>3393</v>
      </c>
      <c r="B1697" s="5" t="s">
        <v>3394</v>
      </c>
      <c r="C1697" s="5" t="str">
        <f t="shared" si="1"/>
        <v>Schoeneck</v>
      </c>
      <c r="D1697" s="5" t="str">
        <f t="shared" si="2"/>
        <v> Monica M.</v>
      </c>
    </row>
    <row r="1698" ht="15.75" customHeight="1">
      <c r="A1698" s="5" t="s">
        <v>3395</v>
      </c>
      <c r="B1698" s="5" t="s">
        <v>3396</v>
      </c>
      <c r="C1698" s="5" t="str">
        <f t="shared" si="1"/>
        <v>Mueller</v>
      </c>
      <c r="D1698" s="5" t="str">
        <f t="shared" si="2"/>
        <v> Katarina K.</v>
      </c>
    </row>
    <row r="1699" ht="15.75" customHeight="1">
      <c r="A1699" s="5" t="s">
        <v>3397</v>
      </c>
      <c r="B1699" s="5" t="s">
        <v>3398</v>
      </c>
      <c r="C1699" s="5" t="str">
        <f t="shared" si="1"/>
        <v>Willits</v>
      </c>
      <c r="D1699" s="5" t="str">
        <f t="shared" si="2"/>
        <v> Jamie L.</v>
      </c>
    </row>
    <row r="1700" ht="15.75" customHeight="1">
      <c r="A1700" s="5" t="s">
        <v>3399</v>
      </c>
      <c r="B1700" s="5" t="s">
        <v>3400</v>
      </c>
      <c r="C1700" s="5" t="str">
        <f t="shared" si="1"/>
        <v>Syring</v>
      </c>
      <c r="D1700" s="5" t="str">
        <f t="shared" si="2"/>
        <v> Brian</v>
      </c>
    </row>
    <row r="1701" ht="15.75" customHeight="1">
      <c r="A1701" s="5" t="s">
        <v>3401</v>
      </c>
      <c r="B1701" s="5" t="s">
        <v>3402</v>
      </c>
      <c r="C1701" s="5" t="str">
        <f t="shared" si="1"/>
        <v>Strike</v>
      </c>
      <c r="D1701" s="5" t="str">
        <f t="shared" si="2"/>
        <v> Stacey L.</v>
      </c>
    </row>
    <row r="1702" ht="15.75" customHeight="1">
      <c r="A1702" s="5" t="s">
        <v>3403</v>
      </c>
      <c r="B1702" s="5" t="s">
        <v>3404</v>
      </c>
      <c r="C1702" s="5" t="str">
        <f t="shared" si="1"/>
        <v>Hennigar</v>
      </c>
      <c r="D1702" s="5" t="str">
        <f t="shared" si="2"/>
        <v> Stephen</v>
      </c>
    </row>
    <row r="1703" ht="15.75" customHeight="1">
      <c r="A1703" s="5" t="s">
        <v>3405</v>
      </c>
      <c r="B1703" s="5" t="s">
        <v>3406</v>
      </c>
      <c r="C1703" s="5" t="str">
        <f t="shared" si="1"/>
        <v>May</v>
      </c>
      <c r="D1703" s="5" t="str">
        <f t="shared" si="2"/>
        <v> Joshua</v>
      </c>
    </row>
    <row r="1704" ht="15.75" customHeight="1">
      <c r="A1704" s="5" t="s">
        <v>3407</v>
      </c>
      <c r="B1704" s="5" t="s">
        <v>3408</v>
      </c>
      <c r="C1704" s="5" t="str">
        <f t="shared" si="1"/>
        <v>Metcalf</v>
      </c>
      <c r="D1704" s="5" t="str">
        <f t="shared" si="2"/>
        <v> Josh</v>
      </c>
    </row>
    <row r="1705" ht="15.75" customHeight="1">
      <c r="A1705" s="5" t="s">
        <v>3409</v>
      </c>
      <c r="B1705" s="5" t="s">
        <v>3410</v>
      </c>
      <c r="C1705" s="5" t="str">
        <f t="shared" si="1"/>
        <v>Tiska</v>
      </c>
      <c r="D1705" s="5" t="str">
        <f t="shared" si="2"/>
        <v> Heather</v>
      </c>
    </row>
    <row r="1706" ht="15.75" customHeight="1">
      <c r="A1706" s="5" t="s">
        <v>3411</v>
      </c>
      <c r="B1706" s="5" t="s">
        <v>3412</v>
      </c>
      <c r="C1706" s="5" t="str">
        <f t="shared" si="1"/>
        <v>McDonough</v>
      </c>
      <c r="D1706" s="5" t="str">
        <f t="shared" si="2"/>
        <v> James C.</v>
      </c>
    </row>
    <row r="1707" ht="15.75" customHeight="1">
      <c r="A1707" s="5" t="s">
        <v>3413</v>
      </c>
      <c r="B1707" s="5" t="s">
        <v>3414</v>
      </c>
      <c r="C1707" s="5" t="str">
        <f t="shared" si="1"/>
        <v>Fairley</v>
      </c>
      <c r="D1707" s="5" t="str">
        <f t="shared" si="2"/>
        <v> Kim</v>
      </c>
    </row>
    <row r="1708" ht="15.75" customHeight="1">
      <c r="A1708" s="5" t="s">
        <v>3415</v>
      </c>
      <c r="B1708" s="5" t="s">
        <v>3416</v>
      </c>
      <c r="C1708" s="5" t="str">
        <f t="shared" si="1"/>
        <v>Barnett</v>
      </c>
      <c r="D1708" s="5" t="str">
        <f t="shared" si="2"/>
        <v> Marie E.</v>
      </c>
    </row>
    <row r="1709" ht="15.75" customHeight="1">
      <c r="A1709" s="5" t="s">
        <v>3417</v>
      </c>
      <c r="B1709" s="5" t="s">
        <v>3418</v>
      </c>
      <c r="C1709" s="5" t="str">
        <f t="shared" si="1"/>
        <v>Piasta</v>
      </c>
      <c r="D1709" s="5" t="str">
        <f t="shared" si="2"/>
        <v> Dariusz</v>
      </c>
    </row>
    <row r="1710" ht="15.75" customHeight="1">
      <c r="A1710" s="5" t="s">
        <v>3419</v>
      </c>
      <c r="B1710" s="5" t="s">
        <v>3420</v>
      </c>
      <c r="C1710" s="5" t="str">
        <f t="shared" si="1"/>
        <v>Mueller</v>
      </c>
      <c r="D1710" s="5" t="str">
        <f t="shared" si="2"/>
        <v> Jessica E.</v>
      </c>
    </row>
    <row r="1711" ht="15.75" customHeight="1">
      <c r="A1711" s="5" t="s">
        <v>3421</v>
      </c>
      <c r="B1711" s="5" t="s">
        <v>3422</v>
      </c>
      <c r="C1711" s="5" t="str">
        <f t="shared" si="1"/>
        <v>Olsen</v>
      </c>
      <c r="D1711" s="5" t="str">
        <f t="shared" si="2"/>
        <v> Kristen</v>
      </c>
    </row>
    <row r="1712" ht="15.75" customHeight="1">
      <c r="A1712" s="5" t="s">
        <v>3423</v>
      </c>
      <c r="B1712" s="5" t="s">
        <v>3424</v>
      </c>
      <c r="C1712" s="5" t="str">
        <f t="shared" si="1"/>
        <v>D</v>
      </c>
      <c r="D1712" s="5" t="str">
        <f t="shared" si="2"/>
        <v> Jose Guadalupe P. Sr.</v>
      </c>
    </row>
    <row r="1713" ht="15.75" customHeight="1">
      <c r="A1713" s="5" t="s">
        <v>3425</v>
      </c>
      <c r="B1713" s="5" t="s">
        <v>3426</v>
      </c>
      <c r="C1713" s="5" t="str">
        <f t="shared" si="1"/>
        <v>Bartus</v>
      </c>
      <c r="D1713" s="5" t="str">
        <f t="shared" si="2"/>
        <v> Cynthia</v>
      </c>
    </row>
    <row r="1714" ht="15.75" customHeight="1">
      <c r="A1714" s="5" t="s">
        <v>3427</v>
      </c>
      <c r="B1714" s="5" t="s">
        <v>3428</v>
      </c>
      <c r="C1714" s="5" t="str">
        <f t="shared" si="1"/>
        <v>Stevens</v>
      </c>
      <c r="D1714" s="5" t="str">
        <f t="shared" si="2"/>
        <v> Tyler</v>
      </c>
    </row>
    <row r="1715" ht="15.75" customHeight="1">
      <c r="A1715" s="5" t="s">
        <v>3429</v>
      </c>
      <c r="B1715" s="5" t="s">
        <v>3430</v>
      </c>
      <c r="C1715" s="5" t="str">
        <f t="shared" si="1"/>
        <v>Rich</v>
      </c>
      <c r="D1715" s="5" t="str">
        <f t="shared" si="2"/>
        <v> Holly J</v>
      </c>
    </row>
    <row r="1716" ht="15.75" customHeight="1">
      <c r="A1716" s="5" t="s">
        <v>3431</v>
      </c>
      <c r="B1716" s="5" t="s">
        <v>3432</v>
      </c>
      <c r="C1716" s="5" t="str">
        <f t="shared" si="1"/>
        <v>Fayter</v>
      </c>
      <c r="D1716" s="5" t="str">
        <f t="shared" si="2"/>
        <v> Kristen</v>
      </c>
    </row>
    <row r="1717" ht="15.75" customHeight="1">
      <c r="A1717" s="5" t="s">
        <v>3433</v>
      </c>
      <c r="B1717" s="5" t="s">
        <v>3434</v>
      </c>
      <c r="C1717" s="5" t="str">
        <f t="shared" si="1"/>
        <v>Parise</v>
      </c>
      <c r="D1717" s="5" t="str">
        <f t="shared" si="2"/>
        <v> Thomas</v>
      </c>
    </row>
    <row r="1718" ht="15.75" customHeight="1">
      <c r="A1718" s="5" t="s">
        <v>3435</v>
      </c>
      <c r="B1718" s="5" t="s">
        <v>3436</v>
      </c>
      <c r="C1718" s="5" t="str">
        <f t="shared" si="1"/>
        <v>Andrew</v>
      </c>
      <c r="D1718" s="5" t="str">
        <f t="shared" si="2"/>
        <v> Tricity M</v>
      </c>
    </row>
    <row r="1719" ht="15.75" customHeight="1">
      <c r="A1719" s="5" t="s">
        <v>3437</v>
      </c>
      <c r="B1719" s="5" t="s">
        <v>3438</v>
      </c>
      <c r="C1719" s="5" t="str">
        <f t="shared" si="1"/>
        <v>Gryniewicz</v>
      </c>
      <c r="D1719" s="5" t="str">
        <f t="shared" si="2"/>
        <v> Sarah A</v>
      </c>
    </row>
    <row r="1720" ht="15.75" customHeight="1">
      <c r="A1720" s="5" t="s">
        <v>3439</v>
      </c>
      <c r="B1720" s="5" t="s">
        <v>3440</v>
      </c>
      <c r="C1720" s="5" t="str">
        <f t="shared" si="1"/>
        <v>Panora</v>
      </c>
      <c r="D1720" s="5" t="str">
        <f t="shared" si="2"/>
        <v> Lisa M.</v>
      </c>
    </row>
    <row r="1721" ht="15.75" customHeight="1">
      <c r="A1721" s="5" t="s">
        <v>3441</v>
      </c>
      <c r="B1721" s="5" t="s">
        <v>3442</v>
      </c>
      <c r="C1721" s="5" t="str">
        <f t="shared" si="1"/>
        <v>Woodward</v>
      </c>
      <c r="D1721" s="5" t="str">
        <f t="shared" si="2"/>
        <v> Tracy A.</v>
      </c>
    </row>
    <row r="1722" ht="15.75" customHeight="1">
      <c r="A1722" s="5" t="s">
        <v>3443</v>
      </c>
      <c r="B1722" s="5" t="s">
        <v>3444</v>
      </c>
      <c r="C1722" s="5" t="str">
        <f t="shared" si="1"/>
        <v>Lambe</v>
      </c>
      <c r="D1722" s="5" t="str">
        <f t="shared" si="2"/>
        <v> Patrick</v>
      </c>
    </row>
    <row r="1723" ht="15.75" customHeight="1">
      <c r="A1723" s="5" t="s">
        <v>3445</v>
      </c>
      <c r="B1723" s="5" t="s">
        <v>3446</v>
      </c>
      <c r="C1723" s="5" t="str">
        <f t="shared" si="1"/>
        <v>Casto</v>
      </c>
      <c r="D1723" s="5" t="str">
        <f t="shared" si="2"/>
        <v> Trent</v>
      </c>
    </row>
    <row r="1724" ht="15.75" customHeight="1">
      <c r="A1724" s="5" t="s">
        <v>3447</v>
      </c>
      <c r="B1724" s="5" t="s">
        <v>3448</v>
      </c>
      <c r="C1724" s="5" t="str">
        <f t="shared" si="1"/>
        <v>Martelli</v>
      </c>
      <c r="D1724" s="5" t="str">
        <f t="shared" si="2"/>
        <v> Julie</v>
      </c>
    </row>
    <row r="1725" ht="15.75" customHeight="1">
      <c r="A1725" s="5" t="s">
        <v>3449</v>
      </c>
      <c r="B1725" s="5" t="s">
        <v>3450</v>
      </c>
      <c r="C1725" s="5" t="str">
        <f t="shared" si="1"/>
        <v>Naskret</v>
      </c>
      <c r="D1725" s="5" t="str">
        <f t="shared" si="2"/>
        <v> Sawomir</v>
      </c>
    </row>
    <row r="1726" ht="15.75" customHeight="1">
      <c r="A1726" s="5" t="s">
        <v>3451</v>
      </c>
      <c r="B1726" s="5" t="s">
        <v>3452</v>
      </c>
      <c r="C1726" s="5" t="str">
        <f t="shared" si="1"/>
        <v>Morgan</v>
      </c>
      <c r="D1726" s="5" t="str">
        <f t="shared" si="2"/>
        <v> Micah</v>
      </c>
    </row>
    <row r="1727" ht="15.75" customHeight="1">
      <c r="A1727" s="5" t="s">
        <v>3453</v>
      </c>
      <c r="B1727" s="5" t="s">
        <v>3454</v>
      </c>
      <c r="C1727" s="5" t="str">
        <f t="shared" si="1"/>
        <v>Maloney</v>
      </c>
      <c r="D1727" s="5" t="str">
        <f t="shared" si="2"/>
        <v> Kelly H.</v>
      </c>
    </row>
    <row r="1728" ht="15.75" customHeight="1">
      <c r="A1728" s="5" t="s">
        <v>3455</v>
      </c>
      <c r="B1728" s="5" t="s">
        <v>3456</v>
      </c>
      <c r="C1728" s="5" t="str">
        <f t="shared" si="1"/>
        <v>Amherst</v>
      </c>
      <c r="D1728" s="5" t="str">
        <f t="shared" si="2"/>
        <v> Lindsay M.</v>
      </c>
    </row>
    <row r="1729" ht="15.75" customHeight="1">
      <c r="A1729" s="5" t="s">
        <v>3457</v>
      </c>
      <c r="B1729" s="5" t="s">
        <v>3458</v>
      </c>
      <c r="C1729" s="5" t="str">
        <f t="shared" si="1"/>
        <v>Davenport</v>
      </c>
      <c r="D1729" s="5" t="str">
        <f t="shared" si="2"/>
        <v> Austen G</v>
      </c>
    </row>
    <row r="1730" ht="15.75" customHeight="1">
      <c r="A1730" s="5" t="s">
        <v>3459</v>
      </c>
      <c r="B1730" s="5" t="s">
        <v>3460</v>
      </c>
      <c r="C1730" s="5" t="str">
        <f t="shared" si="1"/>
        <v>Johansen</v>
      </c>
      <c r="D1730" s="5" t="str">
        <f t="shared" si="2"/>
        <v> Tory J.</v>
      </c>
    </row>
    <row r="1731" ht="15.75" customHeight="1">
      <c r="A1731" s="5" t="s">
        <v>3461</v>
      </c>
      <c r="B1731" s="5" t="s">
        <v>3462</v>
      </c>
      <c r="C1731" s="5" t="str">
        <f t="shared" si="1"/>
        <v>Bond</v>
      </c>
      <c r="D1731" s="5" t="str">
        <f t="shared" si="2"/>
        <v> Robert J.</v>
      </c>
    </row>
    <row r="1732" ht="15.75" customHeight="1">
      <c r="A1732" s="5" t="s">
        <v>3463</v>
      </c>
      <c r="B1732" s="5" t="s">
        <v>3464</v>
      </c>
      <c r="C1732" s="5" t="str">
        <f t="shared" si="1"/>
        <v>Reilly</v>
      </c>
      <c r="D1732" s="5" t="str">
        <f t="shared" si="2"/>
        <v> Steph</v>
      </c>
    </row>
    <row r="1733" ht="15.75" customHeight="1">
      <c r="A1733" s="5" t="s">
        <v>3465</v>
      </c>
      <c r="B1733" s="5" t="s">
        <v>3466</v>
      </c>
      <c r="C1733" s="5" t="str">
        <f t="shared" si="1"/>
        <v>Chandler</v>
      </c>
      <c r="D1733" s="5" t="str">
        <f t="shared" si="2"/>
        <v> Kate</v>
      </c>
    </row>
    <row r="1734" ht="15.75" customHeight="1">
      <c r="A1734" s="5" t="s">
        <v>3467</v>
      </c>
      <c r="B1734" s="5" t="s">
        <v>3468</v>
      </c>
      <c r="C1734" s="5" t="str">
        <f t="shared" si="1"/>
        <v>Kaufmann</v>
      </c>
      <c r="D1734" s="5" t="str">
        <f t="shared" si="2"/>
        <v> Kristina</v>
      </c>
    </row>
    <row r="1735" ht="15.75" customHeight="1">
      <c r="A1735" s="5" t="s">
        <v>3469</v>
      </c>
      <c r="B1735" s="5" t="s">
        <v>3470</v>
      </c>
      <c r="C1735" s="5" t="str">
        <f t="shared" si="1"/>
        <v>Barnes-Zurkinden</v>
      </c>
      <c r="D1735" s="5" t="str">
        <f t="shared" si="2"/>
        <v> Flo</v>
      </c>
    </row>
    <row r="1736" ht="15.75" customHeight="1">
      <c r="A1736" s="5" t="s">
        <v>3471</v>
      </c>
      <c r="B1736" s="5" t="s">
        <v>3472</v>
      </c>
      <c r="C1736" s="5" t="str">
        <f t="shared" si="1"/>
        <v>Wolter</v>
      </c>
      <c r="D1736" s="5" t="str">
        <f t="shared" si="2"/>
        <v> Sarah P.</v>
      </c>
    </row>
    <row r="1737" ht="15.75" customHeight="1">
      <c r="A1737" s="5" t="s">
        <v>3473</v>
      </c>
      <c r="B1737" s="5" t="s">
        <v>3474</v>
      </c>
      <c r="C1737" s="5" t="str">
        <f t="shared" si="1"/>
        <v>Pearson</v>
      </c>
      <c r="D1737" s="5" t="str">
        <f t="shared" si="2"/>
        <v> Anabel</v>
      </c>
    </row>
    <row r="1738" ht="15.75" customHeight="1">
      <c r="A1738" s="5" t="s">
        <v>3475</v>
      </c>
      <c r="B1738" s="5" t="s">
        <v>3476</v>
      </c>
      <c r="C1738" s="5" t="str">
        <f t="shared" si="1"/>
        <v>Thomas</v>
      </c>
      <c r="D1738" s="5" t="str">
        <f t="shared" si="2"/>
        <v> Ian</v>
      </c>
    </row>
    <row r="1739" ht="15.75" customHeight="1">
      <c r="A1739" s="5" t="s">
        <v>3477</v>
      </c>
      <c r="B1739" s="5" t="s">
        <v>3478</v>
      </c>
      <c r="C1739" s="5" t="str">
        <f t="shared" si="1"/>
        <v>Leon</v>
      </c>
      <c r="D1739" s="5" t="str">
        <f t="shared" si="2"/>
        <v> Alex</v>
      </c>
    </row>
    <row r="1740" ht="15.75" customHeight="1">
      <c r="A1740" s="5" t="s">
        <v>3479</v>
      </c>
      <c r="B1740" s="5" t="s">
        <v>3480</v>
      </c>
      <c r="C1740" s="5" t="str">
        <f t="shared" si="1"/>
        <v>Marriott</v>
      </c>
      <c r="D1740" s="5" t="str">
        <f t="shared" si="2"/>
        <v> Richard J</v>
      </c>
    </row>
    <row r="1741" ht="15.75" customHeight="1">
      <c r="A1741" s="5" t="s">
        <v>3481</v>
      </c>
      <c r="B1741" s="5" t="s">
        <v>3482</v>
      </c>
      <c r="C1741" s="5" t="str">
        <f t="shared" si="1"/>
        <v>Wilkins</v>
      </c>
      <c r="D1741" s="5" t="str">
        <f t="shared" si="2"/>
        <v> Jacqueline N.</v>
      </c>
    </row>
    <row r="1742" ht="15.75" customHeight="1">
      <c r="A1742" s="5" t="s">
        <v>3483</v>
      </c>
      <c r="B1742" s="5" t="s">
        <v>3484</v>
      </c>
      <c r="C1742" s="5" t="str">
        <f t="shared" si="1"/>
        <v>Saiter</v>
      </c>
      <c r="D1742" s="5" t="str">
        <f t="shared" si="2"/>
        <v> Cindy</v>
      </c>
    </row>
    <row r="1743" ht="15.75" customHeight="1">
      <c r="A1743" s="5" t="s">
        <v>3485</v>
      </c>
      <c r="B1743" s="5" t="s">
        <v>3486</v>
      </c>
      <c r="C1743" s="5" t="str">
        <f t="shared" si="1"/>
        <v>Winrow</v>
      </c>
      <c r="D1743" s="5" t="str">
        <f t="shared" si="2"/>
        <v> Marcia</v>
      </c>
    </row>
    <row r="1744" ht="15.75" customHeight="1">
      <c r="A1744" s="5" t="s">
        <v>3487</v>
      </c>
      <c r="B1744" s="5" t="s">
        <v>3488</v>
      </c>
      <c r="C1744" s="5" t="str">
        <f t="shared" si="1"/>
        <v>Gries</v>
      </c>
      <c r="D1744" s="5" t="str">
        <f t="shared" si="2"/>
        <v> Samantha R.</v>
      </c>
    </row>
    <row r="1745" ht="15.75" customHeight="1">
      <c r="A1745" s="5" t="s">
        <v>3489</v>
      </c>
      <c r="B1745" s="5" t="s">
        <v>3490</v>
      </c>
      <c r="C1745" s="5" t="str">
        <f t="shared" si="1"/>
        <v>Strohschein</v>
      </c>
      <c r="D1745" s="5" t="str">
        <f t="shared" si="2"/>
        <v> Katie</v>
      </c>
    </row>
    <row r="1746" ht="15.75" customHeight="1">
      <c r="A1746" s="5" t="s">
        <v>3491</v>
      </c>
      <c r="B1746" s="5" t="s">
        <v>3492</v>
      </c>
      <c r="C1746" s="5" t="str">
        <f t="shared" si="1"/>
        <v>Berger</v>
      </c>
      <c r="D1746" s="5" t="str">
        <f t="shared" si="2"/>
        <v> John P</v>
      </c>
    </row>
    <row r="1747" ht="15.75" customHeight="1">
      <c r="A1747" s="5" t="s">
        <v>3493</v>
      </c>
      <c r="B1747" s="5" t="s">
        <v>3494</v>
      </c>
      <c r="C1747" s="5" t="str">
        <f t="shared" si="1"/>
        <v>Coogan</v>
      </c>
      <c r="D1747" s="5" t="str">
        <f t="shared" si="2"/>
        <v> Rachel</v>
      </c>
    </row>
    <row r="1748" ht="15.75" customHeight="1">
      <c r="A1748" s="5" t="s">
        <v>3495</v>
      </c>
      <c r="B1748" s="5" t="s">
        <v>3496</v>
      </c>
      <c r="C1748" s="5" t="str">
        <f t="shared" si="1"/>
        <v>Gagnon</v>
      </c>
      <c r="D1748" s="5" t="str">
        <f t="shared" si="2"/>
        <v> Isabelle</v>
      </c>
    </row>
    <row r="1749" ht="15.75" customHeight="1">
      <c r="A1749" s="5" t="s">
        <v>3497</v>
      </c>
      <c r="B1749" s="5" t="s">
        <v>3498</v>
      </c>
      <c r="C1749" s="5" t="str">
        <f t="shared" si="1"/>
        <v>Pearson</v>
      </c>
      <c r="D1749" s="5" t="str">
        <f t="shared" si="2"/>
        <v> Neil</v>
      </c>
    </row>
    <row r="1750" ht="15.75" customHeight="1">
      <c r="A1750" s="5" t="s">
        <v>3499</v>
      </c>
      <c r="B1750" s="5" t="s">
        <v>3500</v>
      </c>
      <c r="C1750" s="5" t="str">
        <f t="shared" si="1"/>
        <v>Brian</v>
      </c>
      <c r="D1750" s="5" t="str">
        <f t="shared" si="2"/>
        <v> Tom</v>
      </c>
    </row>
    <row r="1751" ht="15.75" customHeight="1">
      <c r="A1751" s="5" t="s">
        <v>3501</v>
      </c>
      <c r="B1751" s="5" t="s">
        <v>3502</v>
      </c>
      <c r="C1751" s="5" t="str">
        <f t="shared" si="1"/>
        <v>Brown</v>
      </c>
      <c r="D1751" s="5" t="str">
        <f t="shared" si="2"/>
        <v> Nathan</v>
      </c>
    </row>
    <row r="1752" ht="15.75" customHeight="1">
      <c r="A1752" s="5" t="s">
        <v>3503</v>
      </c>
      <c r="B1752" s="5" t="s">
        <v>3504</v>
      </c>
      <c r="C1752" s="5" t="str">
        <f t="shared" si="1"/>
        <v>Fox</v>
      </c>
      <c r="D1752" s="5" t="str">
        <f t="shared" si="2"/>
        <v> Kelli N</v>
      </c>
    </row>
    <row r="1753" ht="15.75" customHeight="1">
      <c r="A1753" s="5" t="s">
        <v>3505</v>
      </c>
      <c r="B1753" s="5" t="s">
        <v>3506</v>
      </c>
      <c r="C1753" s="5" t="str">
        <f t="shared" si="1"/>
        <v>Traver</v>
      </c>
      <c r="D1753" s="5" t="str">
        <f t="shared" si="2"/>
        <v> Scott M.</v>
      </c>
    </row>
    <row r="1754" ht="15.75" customHeight="1">
      <c r="A1754" s="5" t="s">
        <v>3507</v>
      </c>
      <c r="B1754" s="5" t="s">
        <v>3508</v>
      </c>
      <c r="C1754" s="5" t="str">
        <f t="shared" si="1"/>
        <v>Quick</v>
      </c>
      <c r="D1754" s="5" t="str">
        <f t="shared" si="2"/>
        <v> Grant A</v>
      </c>
    </row>
    <row r="1755" ht="15.75" customHeight="1">
      <c r="A1755" s="5" t="s">
        <v>3509</v>
      </c>
      <c r="B1755" s="5" t="s">
        <v>3510</v>
      </c>
      <c r="C1755" s="5" t="str">
        <f t="shared" si="1"/>
        <v>Scott</v>
      </c>
      <c r="D1755" s="5" t="str">
        <f t="shared" si="2"/>
        <v> Jonathan C</v>
      </c>
    </row>
    <row r="1756" ht="15.75" customHeight="1">
      <c r="A1756" s="5" t="s">
        <v>3511</v>
      </c>
      <c r="B1756" s="5" t="s">
        <v>3512</v>
      </c>
      <c r="C1756" s="5" t="str">
        <f t="shared" si="1"/>
        <v>Theriot</v>
      </c>
      <c r="D1756" s="5" t="str">
        <f t="shared" si="2"/>
        <v> Rachael M.</v>
      </c>
    </row>
    <row r="1757" ht="15.75" customHeight="1">
      <c r="A1757" s="5" t="s">
        <v>3513</v>
      </c>
      <c r="B1757" s="5" t="s">
        <v>3514</v>
      </c>
      <c r="C1757" s="5" t="str">
        <f t="shared" si="1"/>
        <v>Michalis</v>
      </c>
      <c r="D1757" s="5" t="str">
        <f t="shared" si="2"/>
        <v> Pilar</v>
      </c>
    </row>
    <row r="1758" ht="15.75" customHeight="1">
      <c r="A1758" s="5" t="s">
        <v>3515</v>
      </c>
      <c r="B1758" s="5" t="s">
        <v>3516</v>
      </c>
      <c r="C1758" s="5" t="str">
        <f t="shared" si="1"/>
        <v>Hall</v>
      </c>
      <c r="D1758" s="5" t="str">
        <f t="shared" si="2"/>
        <v> Kyle M</v>
      </c>
    </row>
    <row r="1759" ht="15.75" customHeight="1">
      <c r="A1759" s="5" t="s">
        <v>3517</v>
      </c>
      <c r="B1759" s="5" t="s">
        <v>3518</v>
      </c>
      <c r="C1759" s="5" t="str">
        <f t="shared" si="1"/>
        <v>Tjon</v>
      </c>
      <c r="D1759" s="5" t="str">
        <f t="shared" si="2"/>
        <v> Christie</v>
      </c>
    </row>
    <row r="1760" ht="15.75" customHeight="1">
      <c r="A1760" s="5" t="s">
        <v>3519</v>
      </c>
      <c r="B1760" s="5" t="s">
        <v>3520</v>
      </c>
      <c r="C1760" s="5" t="str">
        <f t="shared" si="1"/>
        <v>Palma</v>
      </c>
      <c r="D1760" s="5" t="str">
        <f t="shared" si="2"/>
        <v> David A.</v>
      </c>
    </row>
    <row r="1761" ht="15.75" customHeight="1">
      <c r="A1761" s="5" t="s">
        <v>3521</v>
      </c>
      <c r="B1761" s="5" t="s">
        <v>3522</v>
      </c>
      <c r="C1761" s="5" t="str">
        <f t="shared" si="1"/>
        <v>Takaoka</v>
      </c>
      <c r="D1761" s="5" t="str">
        <f t="shared" si="2"/>
        <v> Masahiro</v>
      </c>
    </row>
    <row r="1762" ht="15.75" customHeight="1">
      <c r="A1762" s="5" t="s">
        <v>3523</v>
      </c>
      <c r="B1762" s="5" t="s">
        <v>3524</v>
      </c>
      <c r="C1762" s="5" t="str">
        <f t="shared" si="1"/>
        <v>Sherman</v>
      </c>
      <c r="D1762" s="5" t="str">
        <f t="shared" si="2"/>
        <v> Logan B.</v>
      </c>
    </row>
    <row r="1763" ht="15.75" customHeight="1">
      <c r="A1763" s="5" t="s">
        <v>3525</v>
      </c>
      <c r="B1763" s="5" t="s">
        <v>3526</v>
      </c>
      <c r="C1763" s="5" t="str">
        <f t="shared" si="1"/>
        <v>Andre</v>
      </c>
      <c r="D1763" s="5" t="str">
        <f t="shared" si="2"/>
        <v> Stephanie L.</v>
      </c>
    </row>
    <row r="1764" ht="15.75" customHeight="1">
      <c r="A1764" s="5" t="s">
        <v>3527</v>
      </c>
      <c r="B1764" s="5" t="s">
        <v>3528</v>
      </c>
      <c r="C1764" s="5" t="str">
        <f t="shared" si="1"/>
        <v>Switt</v>
      </c>
      <c r="D1764" s="5" t="str">
        <f t="shared" si="2"/>
        <v> Angela H</v>
      </c>
    </row>
    <row r="1765" ht="15.75" customHeight="1">
      <c r="A1765" s="5" t="s">
        <v>3529</v>
      </c>
      <c r="B1765" s="5" t="s">
        <v>3530</v>
      </c>
      <c r="C1765" s="5" t="str">
        <f t="shared" si="1"/>
        <v>Erickson</v>
      </c>
      <c r="D1765" s="5" t="str">
        <f t="shared" si="2"/>
        <v> Britt K</v>
      </c>
    </row>
    <row r="1766" ht="15.75" customHeight="1">
      <c r="A1766" s="5" t="s">
        <v>3531</v>
      </c>
      <c r="B1766" s="5" t="s">
        <v>3532</v>
      </c>
      <c r="C1766" s="5" t="str">
        <f t="shared" si="1"/>
        <v>Miller</v>
      </c>
      <c r="D1766" s="5" t="str">
        <f t="shared" si="2"/>
        <v> Joyce R.</v>
      </c>
    </row>
    <row r="1767" ht="15.75" customHeight="1">
      <c r="A1767" s="5" t="s">
        <v>3533</v>
      </c>
      <c r="B1767" s="5" t="s">
        <v>3534</v>
      </c>
      <c r="C1767" s="5" t="str">
        <f t="shared" si="1"/>
        <v>Whitbeck</v>
      </c>
      <c r="D1767" s="5" t="str">
        <f t="shared" si="2"/>
        <v> Ben</v>
      </c>
    </row>
    <row r="1768" ht="15.75" customHeight="1">
      <c r="A1768" s="5" t="s">
        <v>3535</v>
      </c>
      <c r="B1768" s="5" t="s">
        <v>3536</v>
      </c>
      <c r="C1768" s="5" t="str">
        <f t="shared" si="1"/>
        <v>Auer</v>
      </c>
      <c r="D1768" s="5" t="str">
        <f t="shared" si="2"/>
        <v> Sarah M.</v>
      </c>
    </row>
    <row r="1769" ht="15.75" customHeight="1">
      <c r="A1769" s="5" t="s">
        <v>3537</v>
      </c>
      <c r="B1769" s="5" t="s">
        <v>3538</v>
      </c>
      <c r="C1769" s="5" t="str">
        <f t="shared" si="1"/>
        <v>Attar</v>
      </c>
      <c r="D1769" s="5" t="str">
        <f t="shared" si="2"/>
        <v> Sarah</v>
      </c>
    </row>
    <row r="1770" ht="15.75" customHeight="1">
      <c r="A1770" s="5" t="s">
        <v>3539</v>
      </c>
      <c r="B1770" s="5" t="s">
        <v>3540</v>
      </c>
      <c r="C1770" s="5" t="str">
        <f t="shared" si="1"/>
        <v>Misuraca</v>
      </c>
      <c r="D1770" s="5" t="str">
        <f t="shared" si="2"/>
        <v> Katie</v>
      </c>
    </row>
    <row r="1771" ht="15.75" customHeight="1">
      <c r="A1771" s="5" t="s">
        <v>3541</v>
      </c>
      <c r="B1771" s="5" t="s">
        <v>3542</v>
      </c>
      <c r="C1771" s="5" t="str">
        <f t="shared" si="1"/>
        <v>Spannaus</v>
      </c>
      <c r="D1771" s="5" t="str">
        <f t="shared" si="2"/>
        <v> Michaela L</v>
      </c>
    </row>
    <row r="1772" ht="15.75" customHeight="1">
      <c r="A1772" s="5" t="s">
        <v>3543</v>
      </c>
      <c r="B1772" s="5" t="s">
        <v>3544</v>
      </c>
      <c r="C1772" s="5" t="str">
        <f t="shared" si="1"/>
        <v>Tarbiat</v>
      </c>
      <c r="D1772" s="5" t="str">
        <f t="shared" si="2"/>
        <v> Shalaleh</v>
      </c>
    </row>
    <row r="1773" ht="15.75" customHeight="1">
      <c r="A1773" s="5" t="s">
        <v>3545</v>
      </c>
      <c r="B1773" s="5" t="s">
        <v>3546</v>
      </c>
      <c r="C1773" s="5" t="str">
        <f t="shared" si="1"/>
        <v>Pulkkinen</v>
      </c>
      <c r="D1773" s="5" t="str">
        <f t="shared" si="2"/>
        <v> Karen</v>
      </c>
    </row>
    <row r="1774" ht="15.75" customHeight="1">
      <c r="A1774" s="5" t="s">
        <v>3547</v>
      </c>
      <c r="B1774" s="5" t="s">
        <v>3548</v>
      </c>
      <c r="C1774" s="5" t="str">
        <f t="shared" si="1"/>
        <v>Trnovcova</v>
      </c>
      <c r="D1774" s="5" t="str">
        <f t="shared" si="2"/>
        <v> Zuzana</v>
      </c>
    </row>
    <row r="1775" ht="15.75" customHeight="1">
      <c r="A1775" s="5" t="s">
        <v>3549</v>
      </c>
      <c r="B1775" s="5" t="s">
        <v>3550</v>
      </c>
      <c r="C1775" s="5" t="str">
        <f t="shared" si="1"/>
        <v>Anthony</v>
      </c>
      <c r="D1775" s="5" t="str">
        <f t="shared" si="2"/>
        <v> Daniel J.</v>
      </c>
    </row>
    <row r="1776" ht="15.75" customHeight="1">
      <c r="A1776" s="5" t="s">
        <v>3551</v>
      </c>
      <c r="B1776" s="5" t="s">
        <v>3552</v>
      </c>
      <c r="C1776" s="5" t="str">
        <f t="shared" si="1"/>
        <v>Hetrick</v>
      </c>
      <c r="D1776" s="5" t="str">
        <f t="shared" si="2"/>
        <v> Alexandra</v>
      </c>
    </row>
    <row r="1777" ht="15.75" customHeight="1">
      <c r="A1777" s="5" t="s">
        <v>3553</v>
      </c>
      <c r="B1777" s="5" t="s">
        <v>3554</v>
      </c>
      <c r="C1777" s="5" t="str">
        <f t="shared" si="1"/>
        <v>Stern</v>
      </c>
      <c r="D1777" s="5" t="str">
        <f t="shared" si="2"/>
        <v> Jessica</v>
      </c>
    </row>
    <row r="1778" ht="15.75" customHeight="1">
      <c r="A1778" s="5" t="s">
        <v>3555</v>
      </c>
      <c r="B1778" s="5" t="s">
        <v>3556</v>
      </c>
      <c r="C1778" s="5" t="str">
        <f t="shared" si="1"/>
        <v>Newman</v>
      </c>
      <c r="D1778" s="5" t="str">
        <f t="shared" si="2"/>
        <v> Matthew M</v>
      </c>
    </row>
    <row r="1779" ht="15.75" customHeight="1">
      <c r="A1779" s="5" t="s">
        <v>3557</v>
      </c>
      <c r="B1779" s="5" t="s">
        <v>3558</v>
      </c>
      <c r="C1779" s="5" t="str">
        <f t="shared" si="1"/>
        <v>Reasoner</v>
      </c>
      <c r="D1779" s="5" t="str">
        <f t="shared" si="2"/>
        <v> Nadine A.</v>
      </c>
    </row>
    <row r="1780" ht="15.75" customHeight="1">
      <c r="A1780" s="5" t="s">
        <v>3559</v>
      </c>
      <c r="B1780" s="5" t="s">
        <v>3560</v>
      </c>
      <c r="C1780" s="5" t="str">
        <f t="shared" si="1"/>
        <v>Mone</v>
      </c>
      <c r="D1780" s="5" t="str">
        <f t="shared" si="2"/>
        <v> Peter J. Jr.</v>
      </c>
    </row>
    <row r="1781" ht="15.75" customHeight="1">
      <c r="A1781" s="5" t="s">
        <v>3561</v>
      </c>
      <c r="B1781" s="5" t="s">
        <v>3562</v>
      </c>
      <c r="C1781" s="5" t="str">
        <f t="shared" si="1"/>
        <v>Powers</v>
      </c>
      <c r="D1781" s="5" t="str">
        <f t="shared" si="2"/>
        <v> Colleen M</v>
      </c>
    </row>
    <row r="1782" ht="15.75" customHeight="1">
      <c r="A1782" s="5" t="s">
        <v>3563</v>
      </c>
      <c r="B1782" s="5" t="s">
        <v>3564</v>
      </c>
      <c r="C1782" s="5" t="str">
        <f t="shared" si="1"/>
        <v>Ulery</v>
      </c>
      <c r="D1782" s="5" t="str">
        <f t="shared" si="2"/>
        <v> Julie A.</v>
      </c>
    </row>
    <row r="1783" ht="15.75" customHeight="1">
      <c r="A1783" s="5" t="s">
        <v>3565</v>
      </c>
      <c r="B1783" s="5" t="s">
        <v>3566</v>
      </c>
      <c r="C1783" s="5" t="str">
        <f t="shared" si="1"/>
        <v>Haines</v>
      </c>
      <c r="D1783" s="5" t="str">
        <f t="shared" si="2"/>
        <v> Douglas W</v>
      </c>
    </row>
    <row r="1784" ht="15.75" customHeight="1">
      <c r="A1784" s="5" t="s">
        <v>3567</v>
      </c>
      <c r="B1784" s="5" t="s">
        <v>3568</v>
      </c>
      <c r="C1784" s="5" t="str">
        <f t="shared" si="1"/>
        <v>Airoldi</v>
      </c>
      <c r="D1784" s="5" t="str">
        <f t="shared" si="2"/>
        <v> Catherine</v>
      </c>
    </row>
    <row r="1785" ht="15.75" customHeight="1">
      <c r="A1785" s="5" t="s">
        <v>3569</v>
      </c>
      <c r="B1785" s="5" t="s">
        <v>3570</v>
      </c>
      <c r="C1785" s="5" t="str">
        <f t="shared" si="1"/>
        <v>Mattis</v>
      </c>
      <c r="D1785" s="5" t="str">
        <f t="shared" si="2"/>
        <v> James A</v>
      </c>
    </row>
    <row r="1786" ht="15.75" customHeight="1">
      <c r="A1786" s="5" t="s">
        <v>3571</v>
      </c>
      <c r="B1786" s="5" t="s">
        <v>3572</v>
      </c>
      <c r="C1786" s="5" t="str">
        <f t="shared" si="1"/>
        <v>Cho</v>
      </c>
      <c r="D1786" s="5" t="str">
        <f t="shared" si="2"/>
        <v> Youngseong</v>
      </c>
    </row>
    <row r="1787" ht="15.75" customHeight="1">
      <c r="A1787" s="5" t="s">
        <v>3573</v>
      </c>
      <c r="B1787" s="5" t="s">
        <v>3574</v>
      </c>
      <c r="C1787" s="5" t="str">
        <f t="shared" si="1"/>
        <v>Reumann</v>
      </c>
      <c r="D1787" s="5" t="str">
        <f t="shared" si="2"/>
        <v> John</v>
      </c>
    </row>
    <row r="1788" ht="15.75" customHeight="1">
      <c r="A1788" s="5" t="s">
        <v>3575</v>
      </c>
      <c r="B1788" s="5" t="s">
        <v>3576</v>
      </c>
      <c r="C1788" s="5" t="str">
        <f t="shared" si="1"/>
        <v>Cooper</v>
      </c>
      <c r="D1788" s="5" t="str">
        <f t="shared" si="2"/>
        <v> Brandon S.</v>
      </c>
    </row>
    <row r="1789" ht="15.75" customHeight="1">
      <c r="A1789" s="5" t="s">
        <v>3577</v>
      </c>
      <c r="B1789" s="5" t="s">
        <v>3578</v>
      </c>
      <c r="C1789" s="5" t="str">
        <f t="shared" si="1"/>
        <v>Kennedy</v>
      </c>
      <c r="D1789" s="5" t="str">
        <f t="shared" si="2"/>
        <v> Sean P</v>
      </c>
    </row>
    <row r="1790" ht="15.75" customHeight="1">
      <c r="A1790" s="5" t="s">
        <v>3579</v>
      </c>
      <c r="B1790" s="5" t="s">
        <v>3580</v>
      </c>
      <c r="C1790" s="5" t="str">
        <f t="shared" si="1"/>
        <v>Cichon</v>
      </c>
      <c r="D1790" s="5" t="str">
        <f t="shared" si="2"/>
        <v> Scott</v>
      </c>
    </row>
    <row r="1791" ht="15.75" customHeight="1">
      <c r="A1791" s="5" t="s">
        <v>3581</v>
      </c>
      <c r="B1791" s="5" t="s">
        <v>3582</v>
      </c>
      <c r="C1791" s="5" t="str">
        <f t="shared" si="1"/>
        <v>Maroevic</v>
      </c>
      <c r="D1791" s="5" t="str">
        <f t="shared" si="2"/>
        <v> Janez</v>
      </c>
    </row>
    <row r="1792" ht="15.75" customHeight="1">
      <c r="A1792" s="5" t="s">
        <v>3583</v>
      </c>
      <c r="B1792" s="5" t="s">
        <v>3584</v>
      </c>
      <c r="C1792" s="5" t="str">
        <f t="shared" si="1"/>
        <v>Martin</v>
      </c>
      <c r="D1792" s="5" t="str">
        <f t="shared" si="2"/>
        <v> John I. Jr.</v>
      </c>
    </row>
    <row r="1793" ht="15.75" customHeight="1">
      <c r="A1793" s="5" t="s">
        <v>3585</v>
      </c>
      <c r="B1793" s="5" t="s">
        <v>3586</v>
      </c>
      <c r="C1793" s="5" t="str">
        <f t="shared" si="1"/>
        <v>Schulz</v>
      </c>
      <c r="D1793" s="5" t="str">
        <f t="shared" si="2"/>
        <v> Heather</v>
      </c>
    </row>
    <row r="1794" ht="15.75" customHeight="1">
      <c r="A1794" s="5" t="s">
        <v>3587</v>
      </c>
      <c r="B1794" s="5" t="s">
        <v>3588</v>
      </c>
      <c r="C1794" s="5" t="str">
        <f t="shared" si="1"/>
        <v>Capriolo</v>
      </c>
      <c r="D1794" s="5" t="str">
        <f t="shared" si="2"/>
        <v> Michael</v>
      </c>
    </row>
    <row r="1795" ht="15.75" customHeight="1">
      <c r="A1795" s="5" t="s">
        <v>3589</v>
      </c>
      <c r="B1795" s="5" t="s">
        <v>3590</v>
      </c>
      <c r="C1795" s="5" t="str">
        <f t="shared" si="1"/>
        <v>Borleis</v>
      </c>
      <c r="D1795" s="5" t="str">
        <f t="shared" si="2"/>
        <v> Kathleen</v>
      </c>
    </row>
    <row r="1796" ht="15.75" customHeight="1">
      <c r="A1796" s="5" t="s">
        <v>3591</v>
      </c>
      <c r="B1796" s="5" t="s">
        <v>3592</v>
      </c>
      <c r="C1796" s="5" t="str">
        <f t="shared" si="1"/>
        <v>Kramer</v>
      </c>
      <c r="D1796" s="5" t="str">
        <f t="shared" si="2"/>
        <v> Ryan M</v>
      </c>
    </row>
    <row r="1797" ht="15.75" customHeight="1">
      <c r="A1797" s="5" t="s">
        <v>3593</v>
      </c>
      <c r="B1797" s="5" t="s">
        <v>3594</v>
      </c>
      <c r="C1797" s="5" t="str">
        <f t="shared" si="1"/>
        <v>Conrad</v>
      </c>
      <c r="D1797" s="5" t="str">
        <f t="shared" si="2"/>
        <v> Sara</v>
      </c>
    </row>
    <row r="1798" ht="15.75" customHeight="1">
      <c r="A1798" s="5" t="s">
        <v>3595</v>
      </c>
      <c r="B1798" s="5" t="s">
        <v>3596</v>
      </c>
      <c r="C1798" s="5" t="str">
        <f t="shared" si="1"/>
        <v>Karakoyunlu</v>
      </c>
      <c r="D1798" s="5" t="str">
        <f t="shared" si="2"/>
        <v> Deniz</v>
      </c>
    </row>
    <row r="1799" ht="15.75" customHeight="1">
      <c r="A1799" s="5" t="s">
        <v>3597</v>
      </c>
      <c r="B1799" s="5" t="s">
        <v>3598</v>
      </c>
      <c r="C1799" s="5" t="str">
        <f t="shared" si="1"/>
        <v>Desrosiers</v>
      </c>
      <c r="D1799" s="5" t="str">
        <f t="shared" si="2"/>
        <v> Shannon L.</v>
      </c>
    </row>
    <row r="1800" ht="15.75" customHeight="1">
      <c r="A1800" s="5" t="s">
        <v>3599</v>
      </c>
      <c r="B1800" s="5" t="s">
        <v>3600</v>
      </c>
      <c r="C1800" s="5" t="str">
        <f t="shared" si="1"/>
        <v>O'Mara</v>
      </c>
      <c r="D1800" s="5" t="str">
        <f t="shared" si="2"/>
        <v> Kaitlin M.</v>
      </c>
    </row>
    <row r="1801" ht="15.75" customHeight="1">
      <c r="A1801" s="5" t="s">
        <v>3601</v>
      </c>
      <c r="B1801" s="5" t="s">
        <v>3602</v>
      </c>
      <c r="C1801" s="5" t="str">
        <f t="shared" si="1"/>
        <v>Shabo</v>
      </c>
      <c r="D1801" s="5" t="str">
        <f t="shared" si="2"/>
        <v> Alfredo</v>
      </c>
    </row>
    <row r="1802" ht="15.75" customHeight="1">
      <c r="A1802" s="5" t="s">
        <v>3603</v>
      </c>
      <c r="B1802" s="5" t="s">
        <v>3604</v>
      </c>
      <c r="C1802" s="5" t="str">
        <f t="shared" si="1"/>
        <v>Comment</v>
      </c>
      <c r="D1802" s="5" t="str">
        <f t="shared" si="2"/>
        <v> Kristen</v>
      </c>
    </row>
    <row r="1803" ht="15.75" customHeight="1">
      <c r="A1803" s="5" t="s">
        <v>3605</v>
      </c>
      <c r="B1803" s="5" t="s">
        <v>3606</v>
      </c>
      <c r="C1803" s="5" t="str">
        <f t="shared" si="1"/>
        <v>Moss</v>
      </c>
      <c r="D1803" s="5" t="str">
        <f t="shared" si="2"/>
        <v> Daniel</v>
      </c>
    </row>
    <row r="1804" ht="15.75" customHeight="1">
      <c r="A1804" s="5" t="s">
        <v>3607</v>
      </c>
      <c r="B1804" s="5" t="s">
        <v>3608</v>
      </c>
      <c r="C1804" s="5" t="str">
        <f t="shared" si="1"/>
        <v>Guzman</v>
      </c>
      <c r="D1804" s="5" t="str">
        <f t="shared" si="2"/>
        <v> Jonathan</v>
      </c>
    </row>
    <row r="1805" ht="15.75" customHeight="1">
      <c r="A1805" s="5" t="s">
        <v>3609</v>
      </c>
      <c r="B1805" s="5" t="s">
        <v>3610</v>
      </c>
      <c r="C1805" s="5" t="str">
        <f t="shared" si="1"/>
        <v>Cox</v>
      </c>
      <c r="D1805" s="5" t="str">
        <f t="shared" si="2"/>
        <v> Troy</v>
      </c>
    </row>
    <row r="1806" ht="15.75" customHeight="1">
      <c r="A1806" s="5" t="s">
        <v>3611</v>
      </c>
      <c r="B1806" s="5" t="s">
        <v>3612</v>
      </c>
      <c r="C1806" s="5" t="str">
        <f t="shared" si="1"/>
        <v>Clash</v>
      </c>
      <c r="D1806" s="5" t="str">
        <f t="shared" si="2"/>
        <v> Daniel C</v>
      </c>
    </row>
    <row r="1807" ht="15.75" customHeight="1">
      <c r="A1807" s="5" t="s">
        <v>3613</v>
      </c>
      <c r="B1807" s="5" t="s">
        <v>3614</v>
      </c>
      <c r="C1807" s="5" t="str">
        <f t="shared" si="1"/>
        <v>Blankenship</v>
      </c>
      <c r="D1807" s="5" t="str">
        <f t="shared" si="2"/>
        <v> Lauren</v>
      </c>
    </row>
    <row r="1808" ht="15.75" customHeight="1">
      <c r="A1808" s="5" t="s">
        <v>3615</v>
      </c>
      <c r="B1808" s="5" t="s">
        <v>3616</v>
      </c>
      <c r="C1808" s="5" t="str">
        <f t="shared" si="1"/>
        <v>Lloyd</v>
      </c>
      <c r="D1808" s="5" t="str">
        <f t="shared" si="2"/>
        <v> Jennefer</v>
      </c>
    </row>
    <row r="1809" ht="15.75" customHeight="1">
      <c r="A1809" s="5" t="s">
        <v>3617</v>
      </c>
      <c r="B1809" s="5" t="s">
        <v>3618</v>
      </c>
      <c r="C1809" s="5" t="str">
        <f t="shared" si="1"/>
        <v>Kong</v>
      </c>
      <c r="D1809" s="5" t="str">
        <f t="shared" si="2"/>
        <v> Tracey L.</v>
      </c>
    </row>
    <row r="1810" ht="15.75" customHeight="1">
      <c r="A1810" s="5" t="s">
        <v>3619</v>
      </c>
      <c r="B1810" s="5" t="s">
        <v>3620</v>
      </c>
      <c r="C1810" s="5" t="str">
        <f t="shared" si="1"/>
        <v>Benson</v>
      </c>
      <c r="D1810" s="5" t="str">
        <f t="shared" si="2"/>
        <v> Ashley</v>
      </c>
    </row>
    <row r="1811" ht="15.75" customHeight="1">
      <c r="A1811" s="5" t="s">
        <v>3621</v>
      </c>
      <c r="B1811" s="5" t="s">
        <v>3622</v>
      </c>
      <c r="C1811" s="5" t="str">
        <f t="shared" si="1"/>
        <v>Huntington</v>
      </c>
      <c r="D1811" s="5" t="str">
        <f t="shared" si="2"/>
        <v> Cindy</v>
      </c>
    </row>
    <row r="1812" ht="15.75" customHeight="1">
      <c r="A1812" s="5" t="s">
        <v>3623</v>
      </c>
      <c r="B1812" s="5" t="s">
        <v>3624</v>
      </c>
      <c r="C1812" s="5" t="str">
        <f t="shared" si="1"/>
        <v>Kendall</v>
      </c>
      <c r="D1812" s="5" t="str">
        <f t="shared" si="2"/>
        <v> Esther</v>
      </c>
    </row>
    <row r="1813" ht="15.75" customHeight="1">
      <c r="A1813" s="5" t="s">
        <v>3625</v>
      </c>
      <c r="B1813" s="5" t="s">
        <v>3626</v>
      </c>
      <c r="C1813" s="5" t="str">
        <f t="shared" si="1"/>
        <v>Gast</v>
      </c>
      <c r="D1813" s="5" t="str">
        <f t="shared" si="2"/>
        <v> Jackie</v>
      </c>
    </row>
    <row r="1814" ht="15.75" customHeight="1">
      <c r="A1814" s="5" t="s">
        <v>3627</v>
      </c>
      <c r="B1814" s="5" t="s">
        <v>3628</v>
      </c>
      <c r="C1814" s="5" t="str">
        <f t="shared" si="1"/>
        <v>Scanlin</v>
      </c>
      <c r="D1814" s="5" t="str">
        <f t="shared" si="2"/>
        <v> Timothy P.</v>
      </c>
    </row>
    <row r="1815" ht="15.75" customHeight="1">
      <c r="A1815" s="5" t="s">
        <v>3629</v>
      </c>
      <c r="B1815" s="5" t="s">
        <v>3630</v>
      </c>
      <c r="C1815" s="5" t="str">
        <f t="shared" si="1"/>
        <v>Philbrook</v>
      </c>
      <c r="D1815" s="5" t="str">
        <f t="shared" si="2"/>
        <v> Lauren</v>
      </c>
    </row>
    <row r="1816" ht="15.75" customHeight="1">
      <c r="A1816" s="5" t="s">
        <v>3631</v>
      </c>
      <c r="B1816" s="5" t="s">
        <v>3632</v>
      </c>
      <c r="C1816" s="5" t="str">
        <f t="shared" si="1"/>
        <v>Cowan</v>
      </c>
      <c r="D1816" s="5" t="str">
        <f t="shared" si="2"/>
        <v> Benjamin</v>
      </c>
    </row>
    <row r="1817" ht="15.75" customHeight="1">
      <c r="A1817" s="5" t="s">
        <v>3633</v>
      </c>
      <c r="B1817" s="5" t="s">
        <v>3634</v>
      </c>
      <c r="C1817" s="5" t="str">
        <f t="shared" si="1"/>
        <v>Sousa</v>
      </c>
      <c r="D1817" s="5" t="str">
        <f t="shared" si="2"/>
        <v> Hugo M</v>
      </c>
    </row>
    <row r="1818" ht="15.75" customHeight="1">
      <c r="A1818" s="5" t="s">
        <v>3635</v>
      </c>
      <c r="B1818" s="5" t="s">
        <v>3636</v>
      </c>
      <c r="C1818" s="5" t="str">
        <f t="shared" si="1"/>
        <v>Stanton</v>
      </c>
      <c r="D1818" s="5" t="str">
        <f t="shared" si="2"/>
        <v> Daniel J. Jr.</v>
      </c>
    </row>
    <row r="1819" ht="15.75" customHeight="1">
      <c r="A1819" s="5" t="s">
        <v>3637</v>
      </c>
      <c r="B1819" s="5" t="s">
        <v>3638</v>
      </c>
      <c r="C1819" s="5" t="str">
        <f t="shared" si="1"/>
        <v>Mollak</v>
      </c>
      <c r="D1819" s="5" t="str">
        <f t="shared" si="2"/>
        <v> Justin R</v>
      </c>
    </row>
    <row r="1820" ht="15.75" customHeight="1">
      <c r="A1820" s="5" t="s">
        <v>3639</v>
      </c>
      <c r="B1820" s="5" t="s">
        <v>3640</v>
      </c>
      <c r="C1820" s="5" t="str">
        <f t="shared" si="1"/>
        <v>Bell</v>
      </c>
      <c r="D1820" s="5" t="str">
        <f t="shared" si="2"/>
        <v> Colin</v>
      </c>
    </row>
    <row r="1821" ht="15.75" customHeight="1">
      <c r="A1821" s="5" t="s">
        <v>3641</v>
      </c>
      <c r="B1821" s="5" t="s">
        <v>3642</v>
      </c>
      <c r="C1821" s="5" t="str">
        <f t="shared" si="1"/>
        <v>Weston</v>
      </c>
      <c r="D1821" s="5" t="str">
        <f t="shared" si="2"/>
        <v> Rob</v>
      </c>
    </row>
    <row r="1822" ht="15.75" customHeight="1">
      <c r="A1822" s="5" t="s">
        <v>3643</v>
      </c>
      <c r="B1822" s="5" t="s">
        <v>3644</v>
      </c>
      <c r="C1822" s="5" t="str">
        <f t="shared" si="1"/>
        <v>Rabuzzi</v>
      </c>
      <c r="D1822" s="5" t="str">
        <f t="shared" si="2"/>
        <v> Patrick</v>
      </c>
    </row>
    <row r="1823" ht="15.75" customHeight="1">
      <c r="A1823" s="5" t="s">
        <v>3645</v>
      </c>
      <c r="B1823" s="5" t="s">
        <v>3646</v>
      </c>
      <c r="C1823" s="5" t="str">
        <f t="shared" si="1"/>
        <v>Hendrix</v>
      </c>
      <c r="D1823" s="5" t="str">
        <f t="shared" si="2"/>
        <v> Austin D</v>
      </c>
    </row>
    <row r="1824" ht="15.75" customHeight="1">
      <c r="A1824" s="5" t="s">
        <v>3647</v>
      </c>
      <c r="B1824" s="5" t="s">
        <v>3648</v>
      </c>
      <c r="C1824" s="5" t="str">
        <f t="shared" si="1"/>
        <v>Va</v>
      </c>
      <c r="D1824" s="5" t="str">
        <f t="shared" si="2"/>
        <v> Brittany</v>
      </c>
    </row>
    <row r="1825" ht="15.75" customHeight="1">
      <c r="A1825" s="5" t="s">
        <v>3649</v>
      </c>
      <c r="B1825" s="5" t="s">
        <v>3650</v>
      </c>
      <c r="C1825" s="5" t="str">
        <f t="shared" si="1"/>
        <v>Blanton</v>
      </c>
      <c r="D1825" s="5" t="str">
        <f t="shared" si="2"/>
        <v> Matthew T</v>
      </c>
    </row>
    <row r="1826" ht="15.75" customHeight="1">
      <c r="A1826" s="5" t="s">
        <v>3651</v>
      </c>
      <c r="B1826" s="5" t="s">
        <v>3652</v>
      </c>
      <c r="C1826" s="5" t="str">
        <f t="shared" si="1"/>
        <v>Schout</v>
      </c>
      <c r="D1826" s="5" t="str">
        <f t="shared" si="2"/>
        <v> Becky G.</v>
      </c>
    </row>
    <row r="1827" ht="15.75" customHeight="1">
      <c r="A1827" s="5" t="s">
        <v>3653</v>
      </c>
      <c r="B1827" s="5" t="s">
        <v>3654</v>
      </c>
      <c r="C1827" s="5" t="str">
        <f t="shared" si="1"/>
        <v>Schmaltz</v>
      </c>
      <c r="D1827" s="5" t="str">
        <f t="shared" si="2"/>
        <v> Virginie</v>
      </c>
    </row>
    <row r="1828" ht="15.75" customHeight="1">
      <c r="A1828" s="5" t="s">
        <v>3655</v>
      </c>
      <c r="B1828" s="5" t="s">
        <v>3656</v>
      </c>
      <c r="C1828" s="5" t="str">
        <f t="shared" si="1"/>
        <v>Eagen</v>
      </c>
      <c r="D1828" s="5" t="str">
        <f t="shared" si="2"/>
        <v> Allison A</v>
      </c>
    </row>
    <row r="1829" ht="15.75" customHeight="1">
      <c r="A1829" s="5" t="s">
        <v>3657</v>
      </c>
      <c r="B1829" s="5" t="s">
        <v>3658</v>
      </c>
      <c r="C1829" s="5" t="str">
        <f t="shared" si="1"/>
        <v>Rotramel</v>
      </c>
      <c r="D1829" s="5" t="str">
        <f t="shared" si="2"/>
        <v> Julie</v>
      </c>
    </row>
    <row r="1830" ht="15.75" customHeight="1">
      <c r="A1830" s="5" t="s">
        <v>3659</v>
      </c>
      <c r="B1830" s="5" t="s">
        <v>3660</v>
      </c>
      <c r="C1830" s="5" t="str">
        <f t="shared" si="1"/>
        <v>Prevost</v>
      </c>
      <c r="D1830" s="5" t="str">
        <f t="shared" si="2"/>
        <v> Katherine</v>
      </c>
    </row>
    <row r="1831" ht="15.75" customHeight="1">
      <c r="A1831" s="5" t="s">
        <v>3661</v>
      </c>
      <c r="B1831" s="5" t="s">
        <v>3662</v>
      </c>
      <c r="C1831" s="5" t="str">
        <f t="shared" si="1"/>
        <v>Boyd</v>
      </c>
      <c r="D1831" s="5" t="str">
        <f t="shared" si="2"/>
        <v> Caleb</v>
      </c>
    </row>
    <row r="1832" ht="15.75" customHeight="1">
      <c r="A1832" s="5" t="s">
        <v>3663</v>
      </c>
      <c r="B1832" s="5" t="s">
        <v>3664</v>
      </c>
      <c r="C1832" s="5" t="str">
        <f t="shared" si="1"/>
        <v>Dawes</v>
      </c>
      <c r="D1832" s="5" t="str">
        <f t="shared" si="2"/>
        <v> Jaime</v>
      </c>
    </row>
    <row r="1833" ht="15.75" customHeight="1">
      <c r="A1833" s="5" t="s">
        <v>3665</v>
      </c>
      <c r="B1833" s="5" t="s">
        <v>3666</v>
      </c>
      <c r="C1833" s="5" t="str">
        <f t="shared" si="1"/>
        <v>Jennings</v>
      </c>
      <c r="D1833" s="5" t="str">
        <f t="shared" si="2"/>
        <v> Hannah</v>
      </c>
    </row>
    <row r="1834" ht="15.75" customHeight="1">
      <c r="A1834" s="5" t="s">
        <v>3667</v>
      </c>
      <c r="B1834" s="5" t="s">
        <v>3668</v>
      </c>
      <c r="C1834" s="5" t="str">
        <f t="shared" si="1"/>
        <v>Nyambaso</v>
      </c>
      <c r="D1834" s="5" t="str">
        <f t="shared" si="2"/>
        <v> Zachariah</v>
      </c>
    </row>
    <row r="1835" ht="15.75" customHeight="1">
      <c r="A1835" s="5" t="s">
        <v>3669</v>
      </c>
      <c r="B1835" s="5" t="s">
        <v>3670</v>
      </c>
      <c r="C1835" s="5" t="str">
        <f t="shared" si="1"/>
        <v>Shaffer</v>
      </c>
      <c r="D1835" s="5" t="str">
        <f t="shared" si="2"/>
        <v> Patricia A</v>
      </c>
    </row>
    <row r="1836" ht="15.75" customHeight="1">
      <c r="A1836" s="5" t="s">
        <v>3671</v>
      </c>
      <c r="B1836" s="5" t="s">
        <v>3672</v>
      </c>
      <c r="C1836" s="5" t="str">
        <f t="shared" si="1"/>
        <v>Corkum</v>
      </c>
      <c r="D1836" s="5" t="str">
        <f t="shared" si="2"/>
        <v> Elizabeth A.</v>
      </c>
    </row>
    <row r="1837" ht="15.75" customHeight="1">
      <c r="A1837" s="5" t="s">
        <v>3673</v>
      </c>
      <c r="B1837" s="5" t="s">
        <v>3674</v>
      </c>
      <c r="C1837" s="5" t="str">
        <f t="shared" si="1"/>
        <v>Pedersen</v>
      </c>
      <c r="D1837" s="5" t="str">
        <f t="shared" si="2"/>
        <v> Benjamin</v>
      </c>
    </row>
    <row r="1838" ht="15.75" customHeight="1">
      <c r="A1838" s="5" t="s">
        <v>3675</v>
      </c>
      <c r="B1838" s="5" t="s">
        <v>3676</v>
      </c>
      <c r="C1838" s="5" t="str">
        <f t="shared" si="1"/>
        <v>Melo</v>
      </c>
      <c r="D1838" s="5" t="str">
        <f t="shared" si="2"/>
        <v> Breno</v>
      </c>
    </row>
    <row r="1839" ht="15.75" customHeight="1">
      <c r="A1839" s="5" t="s">
        <v>3677</v>
      </c>
      <c r="B1839" s="5" t="s">
        <v>3678</v>
      </c>
      <c r="C1839" s="5" t="str">
        <f t="shared" si="1"/>
        <v>Sakamoto</v>
      </c>
      <c r="D1839" s="5" t="str">
        <f t="shared" si="2"/>
        <v> Takaya</v>
      </c>
    </row>
    <row r="1840" ht="15.75" customHeight="1">
      <c r="A1840" s="5" t="s">
        <v>3679</v>
      </c>
      <c r="B1840" s="5" t="s">
        <v>3680</v>
      </c>
      <c r="C1840" s="5" t="str">
        <f t="shared" si="1"/>
        <v>McMahon</v>
      </c>
      <c r="D1840" s="5" t="str">
        <f t="shared" si="2"/>
        <v> Thomas IV</v>
      </c>
    </row>
    <row r="1841" ht="15.75" customHeight="1">
      <c r="A1841" s="5" t="s">
        <v>3681</v>
      </c>
      <c r="B1841" s="5" t="s">
        <v>3682</v>
      </c>
      <c r="C1841" s="5" t="str">
        <f t="shared" si="1"/>
        <v>Harris</v>
      </c>
      <c r="D1841" s="5" t="str">
        <f t="shared" si="2"/>
        <v> Bradley E</v>
      </c>
    </row>
    <row r="1842" ht="15.75" customHeight="1">
      <c r="A1842" s="5" t="s">
        <v>3683</v>
      </c>
      <c r="B1842" s="5" t="s">
        <v>3684</v>
      </c>
      <c r="C1842" s="5" t="str">
        <f t="shared" si="1"/>
        <v>Lombardo</v>
      </c>
      <c r="D1842" s="5" t="str">
        <f t="shared" si="2"/>
        <v> Megan</v>
      </c>
    </row>
    <row r="1843" ht="15.75" customHeight="1">
      <c r="A1843" s="5" t="s">
        <v>3685</v>
      </c>
      <c r="B1843" s="5" t="s">
        <v>3686</v>
      </c>
      <c r="C1843" s="5" t="str">
        <f t="shared" si="1"/>
        <v>Bode</v>
      </c>
      <c r="D1843" s="5" t="str">
        <f t="shared" si="2"/>
        <v> Ruby J</v>
      </c>
    </row>
    <row r="1844" ht="15.75" customHeight="1">
      <c r="A1844" s="5" t="s">
        <v>3687</v>
      </c>
      <c r="B1844" s="5" t="s">
        <v>3688</v>
      </c>
      <c r="C1844" s="5" t="str">
        <f t="shared" si="1"/>
        <v>Johnson</v>
      </c>
      <c r="D1844" s="5" t="str">
        <f t="shared" si="2"/>
        <v> Bart</v>
      </c>
    </row>
    <row r="1845" ht="15.75" customHeight="1">
      <c r="A1845" s="5" t="s">
        <v>3689</v>
      </c>
      <c r="B1845" s="5" t="s">
        <v>3690</v>
      </c>
      <c r="C1845" s="5" t="str">
        <f t="shared" si="1"/>
        <v>Norcross</v>
      </c>
      <c r="D1845" s="5" t="str">
        <f t="shared" si="2"/>
        <v> Robert A.</v>
      </c>
    </row>
    <row r="1846" ht="15.75" customHeight="1">
      <c r="A1846" s="5" t="s">
        <v>3691</v>
      </c>
      <c r="B1846" s="5" t="s">
        <v>3692</v>
      </c>
      <c r="C1846" s="5" t="str">
        <f t="shared" si="1"/>
        <v>Lazrus</v>
      </c>
      <c r="D1846" s="5" t="str">
        <f t="shared" si="2"/>
        <v> Adam</v>
      </c>
    </row>
    <row r="1847" ht="15.75" customHeight="1">
      <c r="A1847" s="5" t="s">
        <v>3693</v>
      </c>
      <c r="B1847" s="5" t="s">
        <v>3694</v>
      </c>
      <c r="C1847" s="5" t="str">
        <f t="shared" si="1"/>
        <v>Tsegay</v>
      </c>
      <c r="D1847" s="5" t="str">
        <f t="shared" si="2"/>
        <v> Yemane Adhane</v>
      </c>
    </row>
    <row r="1848" ht="15.75" customHeight="1">
      <c r="A1848" s="5" t="s">
        <v>3695</v>
      </c>
      <c r="B1848" s="5" t="s">
        <v>3696</v>
      </c>
      <c r="C1848" s="5" t="str">
        <f t="shared" si="1"/>
        <v>Schneider</v>
      </c>
      <c r="D1848" s="5" t="str">
        <f t="shared" si="2"/>
        <v> Jesse A.</v>
      </c>
    </row>
    <row r="1849" ht="15.75" customHeight="1">
      <c r="A1849" s="5" t="s">
        <v>3697</v>
      </c>
      <c r="B1849" s="5" t="s">
        <v>3698</v>
      </c>
      <c r="C1849" s="5" t="str">
        <f t="shared" si="1"/>
        <v>Loreto</v>
      </c>
      <c r="D1849" s="5" t="str">
        <f t="shared" si="2"/>
        <v> Bird</v>
      </c>
    </row>
    <row r="1850" ht="15.75" customHeight="1">
      <c r="A1850" s="5" t="s">
        <v>3699</v>
      </c>
      <c r="B1850" s="5" t="s">
        <v>3700</v>
      </c>
      <c r="C1850" s="5" t="str">
        <f t="shared" si="1"/>
        <v>Callahan</v>
      </c>
      <c r="D1850" s="5" t="str">
        <f t="shared" si="2"/>
        <v> Patrick M.</v>
      </c>
    </row>
    <row r="1851" ht="15.75" customHeight="1">
      <c r="A1851" s="5" t="s">
        <v>3701</v>
      </c>
      <c r="B1851" s="5" t="s">
        <v>3702</v>
      </c>
      <c r="C1851" s="5" t="str">
        <f t="shared" si="1"/>
        <v>Timko</v>
      </c>
      <c r="D1851" s="5" t="str">
        <f t="shared" si="2"/>
        <v> Kyle</v>
      </c>
    </row>
    <row r="1852" ht="15.75" customHeight="1">
      <c r="A1852" s="5" t="s">
        <v>3703</v>
      </c>
      <c r="B1852" s="5" t="s">
        <v>3704</v>
      </c>
      <c r="C1852" s="5" t="str">
        <f t="shared" si="1"/>
        <v>Achatz</v>
      </c>
      <c r="D1852" s="5" t="str">
        <f t="shared" si="2"/>
        <v> Ryan</v>
      </c>
    </row>
    <row r="1853" ht="15.75" customHeight="1">
      <c r="A1853" s="5" t="s">
        <v>3705</v>
      </c>
      <c r="B1853" s="5" t="s">
        <v>3706</v>
      </c>
      <c r="C1853" s="5" t="str">
        <f t="shared" si="1"/>
        <v>Horwitz</v>
      </c>
      <c r="D1853" s="5" t="str">
        <f t="shared" si="2"/>
        <v> Yuri</v>
      </c>
    </row>
    <row r="1854" ht="15.75" customHeight="1">
      <c r="A1854" s="5" t="s">
        <v>3707</v>
      </c>
      <c r="B1854" s="5" t="s">
        <v>3708</v>
      </c>
      <c r="C1854" s="5" t="str">
        <f t="shared" si="1"/>
        <v>Gordyan</v>
      </c>
      <c r="D1854" s="5" t="str">
        <f t="shared" si="2"/>
        <v> Ryan</v>
      </c>
    </row>
    <row r="1855" ht="15.75" customHeight="1">
      <c r="A1855" s="5" t="s">
        <v>3709</v>
      </c>
      <c r="B1855" s="5" t="s">
        <v>3710</v>
      </c>
      <c r="C1855" s="5" t="str">
        <f t="shared" si="1"/>
        <v>Hetherington</v>
      </c>
      <c r="D1855" s="5" t="str">
        <f t="shared" si="2"/>
        <v> Debbie</v>
      </c>
    </row>
    <row r="1856" ht="15.75" customHeight="1">
      <c r="A1856" s="5" t="s">
        <v>3711</v>
      </c>
      <c r="B1856" s="5" t="s">
        <v>3712</v>
      </c>
      <c r="C1856" s="5" t="str">
        <f t="shared" si="1"/>
        <v>Thompson</v>
      </c>
      <c r="D1856" s="5" t="str">
        <f t="shared" si="2"/>
        <v> Mark D</v>
      </c>
    </row>
    <row r="1857" ht="15.75" customHeight="1">
      <c r="A1857" s="5" t="s">
        <v>3713</v>
      </c>
      <c r="B1857" s="5" t="s">
        <v>3714</v>
      </c>
      <c r="C1857" s="5" t="str">
        <f t="shared" si="1"/>
        <v>Battoo</v>
      </c>
      <c r="D1857" s="5" t="str">
        <f t="shared" si="2"/>
        <v> Christopher</v>
      </c>
    </row>
    <row r="1858" ht="15.75" customHeight="1">
      <c r="A1858" s="5" t="s">
        <v>3715</v>
      </c>
      <c r="B1858" s="5" t="s">
        <v>3716</v>
      </c>
      <c r="C1858" s="5" t="str">
        <f t="shared" si="1"/>
        <v>Barker</v>
      </c>
      <c r="D1858" s="5" t="str">
        <f t="shared" si="2"/>
        <v> Daniell L</v>
      </c>
    </row>
    <row r="1859" ht="15.75" customHeight="1">
      <c r="A1859" s="5" t="s">
        <v>3717</v>
      </c>
      <c r="B1859" s="5" t="s">
        <v>3718</v>
      </c>
      <c r="C1859" s="5" t="str">
        <f t="shared" si="1"/>
        <v>Saarnilehto</v>
      </c>
      <c r="D1859" s="5" t="str">
        <f t="shared" si="2"/>
        <v> Janne</v>
      </c>
    </row>
    <row r="1860" ht="15.75" customHeight="1">
      <c r="A1860" s="5" t="s">
        <v>3719</v>
      </c>
      <c r="B1860" s="5" t="s">
        <v>3720</v>
      </c>
      <c r="C1860" s="5" t="str">
        <f t="shared" si="1"/>
        <v>Morton</v>
      </c>
      <c r="D1860" s="5" t="str">
        <f t="shared" si="2"/>
        <v> Martina</v>
      </c>
    </row>
    <row r="1861" ht="15.75" customHeight="1">
      <c r="A1861" s="5" t="s">
        <v>3721</v>
      </c>
      <c r="B1861" s="5" t="s">
        <v>3722</v>
      </c>
      <c r="C1861" s="5" t="str">
        <f t="shared" si="1"/>
        <v>Thomas</v>
      </c>
      <c r="D1861" s="5" t="str">
        <f t="shared" si="2"/>
        <v> Elizabeth L</v>
      </c>
    </row>
    <row r="1862" ht="15.75" customHeight="1">
      <c r="A1862" s="5" t="s">
        <v>3723</v>
      </c>
      <c r="B1862" s="5" t="s">
        <v>3724</v>
      </c>
      <c r="C1862" s="5" t="str">
        <f t="shared" si="1"/>
        <v>Hillman</v>
      </c>
      <c r="D1862" s="5" t="str">
        <f t="shared" si="2"/>
        <v> Stephanie C.</v>
      </c>
    </row>
    <row r="1863" ht="15.75" customHeight="1">
      <c r="A1863" s="5" t="s">
        <v>3725</v>
      </c>
      <c r="B1863" s="5" t="s">
        <v>3726</v>
      </c>
      <c r="C1863" s="5" t="str">
        <f t="shared" si="1"/>
        <v>Edwards</v>
      </c>
      <c r="D1863" s="5" t="str">
        <f t="shared" si="2"/>
        <v> Katie</v>
      </c>
    </row>
    <row r="1864" ht="15.75" customHeight="1">
      <c r="A1864" s="5" t="s">
        <v>3727</v>
      </c>
      <c r="B1864" s="5" t="s">
        <v>3728</v>
      </c>
      <c r="C1864" s="5" t="str">
        <f t="shared" si="1"/>
        <v>Bartel</v>
      </c>
      <c r="D1864" s="5" t="str">
        <f t="shared" si="2"/>
        <v> Callie</v>
      </c>
    </row>
    <row r="1865" ht="15.75" customHeight="1">
      <c r="A1865" s="5" t="s">
        <v>3729</v>
      </c>
      <c r="B1865" s="5" t="s">
        <v>3730</v>
      </c>
      <c r="C1865" s="5" t="str">
        <f t="shared" si="1"/>
        <v>Potekhina</v>
      </c>
      <c r="D1865" s="5" t="str">
        <f t="shared" si="2"/>
        <v> Inna</v>
      </c>
    </row>
    <row r="1866" ht="15.75" customHeight="1">
      <c r="A1866" s="5" t="s">
        <v>3731</v>
      </c>
      <c r="B1866" s="5" t="s">
        <v>3732</v>
      </c>
      <c r="C1866" s="5" t="str">
        <f t="shared" si="1"/>
        <v>Kelly</v>
      </c>
      <c r="D1866" s="5" t="str">
        <f t="shared" si="2"/>
        <v> Mary K.</v>
      </c>
    </row>
    <row r="1867" ht="15.75" customHeight="1">
      <c r="A1867" s="5" t="s">
        <v>3733</v>
      </c>
      <c r="B1867" s="5" t="s">
        <v>3734</v>
      </c>
      <c r="C1867" s="5" t="str">
        <f t="shared" si="1"/>
        <v>Lapp</v>
      </c>
      <c r="D1867" s="5" t="str">
        <f t="shared" si="2"/>
        <v> Samuel M.</v>
      </c>
    </row>
    <row r="1868" ht="15.75" customHeight="1">
      <c r="A1868" s="5" t="s">
        <v>3735</v>
      </c>
      <c r="B1868" s="5" t="s">
        <v>3736</v>
      </c>
      <c r="C1868" s="5" t="str">
        <f t="shared" si="1"/>
        <v>Burke</v>
      </c>
      <c r="D1868" s="5" t="str">
        <f t="shared" si="2"/>
        <v> Kimberly</v>
      </c>
    </row>
    <row r="1869" ht="15.75" customHeight="1">
      <c r="A1869" s="5" t="s">
        <v>3737</v>
      </c>
      <c r="B1869" s="5" t="s">
        <v>3738</v>
      </c>
      <c r="C1869" s="5" t="str">
        <f t="shared" si="1"/>
        <v>Barry</v>
      </c>
      <c r="D1869" s="5" t="str">
        <f t="shared" si="2"/>
        <v> Tom J.</v>
      </c>
    </row>
    <row r="1870" ht="15.75" customHeight="1">
      <c r="A1870" s="5" t="s">
        <v>3739</v>
      </c>
      <c r="B1870" s="5" t="s">
        <v>3740</v>
      </c>
      <c r="C1870" s="5" t="str">
        <f t="shared" si="1"/>
        <v>McCormick</v>
      </c>
      <c r="D1870" s="5" t="str">
        <f t="shared" si="2"/>
        <v> Zachary</v>
      </c>
    </row>
    <row r="1871" ht="15.75" customHeight="1">
      <c r="A1871" s="5" t="s">
        <v>3741</v>
      </c>
      <c r="B1871" s="5" t="s">
        <v>3742</v>
      </c>
      <c r="C1871" s="5" t="str">
        <f t="shared" si="1"/>
        <v>McElroy</v>
      </c>
      <c r="D1871" s="5" t="str">
        <f t="shared" si="2"/>
        <v> Dane</v>
      </c>
    </row>
    <row r="1872" ht="15.75" customHeight="1">
      <c r="A1872" s="5" t="s">
        <v>3743</v>
      </c>
      <c r="B1872" s="5" t="s">
        <v>3744</v>
      </c>
      <c r="C1872" s="5" t="str">
        <f t="shared" si="1"/>
        <v>Coffed</v>
      </c>
      <c r="D1872" s="5" t="str">
        <f t="shared" si="2"/>
        <v> Dougie J</v>
      </c>
    </row>
    <row r="1873" ht="15.75" customHeight="1">
      <c r="A1873" s="5" t="s">
        <v>3745</v>
      </c>
      <c r="B1873" s="5" t="s">
        <v>3746</v>
      </c>
      <c r="C1873" s="5" t="str">
        <f t="shared" si="1"/>
        <v>Estes</v>
      </c>
      <c r="D1873" s="5" t="str">
        <f t="shared" si="2"/>
        <v> Jeremiah H</v>
      </c>
    </row>
    <row r="1874" ht="15.75" customHeight="1">
      <c r="A1874" s="5" t="s">
        <v>3747</v>
      </c>
      <c r="B1874" s="5" t="s">
        <v>3748</v>
      </c>
      <c r="C1874" s="5" t="str">
        <f t="shared" si="1"/>
        <v>Miles</v>
      </c>
      <c r="D1874" s="5" t="str">
        <f t="shared" si="2"/>
        <v> Ashley J.</v>
      </c>
    </row>
    <row r="1875" ht="15.75" customHeight="1">
      <c r="A1875" s="5" t="s">
        <v>3749</v>
      </c>
      <c r="B1875" s="5" t="s">
        <v>3750</v>
      </c>
      <c r="C1875" s="5" t="str">
        <f t="shared" si="1"/>
        <v>Zamore</v>
      </c>
      <c r="D1875" s="5" t="str">
        <f t="shared" si="2"/>
        <v> Turner J.</v>
      </c>
    </row>
    <row r="1876" ht="15.75" customHeight="1">
      <c r="A1876" s="5" t="s">
        <v>3751</v>
      </c>
      <c r="B1876" s="5" t="s">
        <v>3752</v>
      </c>
      <c r="C1876" s="5" t="str">
        <f t="shared" si="1"/>
        <v>Donaghy</v>
      </c>
      <c r="D1876" s="5" t="str">
        <f t="shared" si="2"/>
        <v> Roger</v>
      </c>
    </row>
    <row r="1877" ht="15.75" customHeight="1">
      <c r="A1877" s="5" t="s">
        <v>3753</v>
      </c>
      <c r="B1877" s="5" t="s">
        <v>3754</v>
      </c>
      <c r="C1877" s="5" t="str">
        <f t="shared" si="1"/>
        <v>Kennedy</v>
      </c>
      <c r="D1877" s="5" t="str">
        <f t="shared" si="2"/>
        <v> Pamela</v>
      </c>
    </row>
    <row r="1878" ht="15.75" customHeight="1">
      <c r="A1878" s="5" t="s">
        <v>3755</v>
      </c>
      <c r="B1878" s="5" t="s">
        <v>3756</v>
      </c>
      <c r="C1878" s="5" t="str">
        <f t="shared" si="1"/>
        <v>Fiorini</v>
      </c>
      <c r="D1878" s="5" t="str">
        <f t="shared" si="2"/>
        <v> Allison M.</v>
      </c>
    </row>
    <row r="1879" ht="15.75" customHeight="1">
      <c r="A1879" s="5" t="s">
        <v>3757</v>
      </c>
      <c r="B1879" s="5" t="s">
        <v>3758</v>
      </c>
      <c r="C1879" s="5" t="str">
        <f t="shared" si="1"/>
        <v>Alexander</v>
      </c>
      <c r="D1879" s="5" t="str">
        <f t="shared" si="2"/>
        <v> Katherine H.</v>
      </c>
    </row>
    <row r="1880" ht="15.75" customHeight="1">
      <c r="A1880" s="5" t="s">
        <v>3759</v>
      </c>
      <c r="B1880" s="5" t="s">
        <v>3760</v>
      </c>
      <c r="C1880" s="5" t="str">
        <f t="shared" si="1"/>
        <v>Watkins</v>
      </c>
      <c r="D1880" s="5" t="str">
        <f t="shared" si="2"/>
        <v> Robin</v>
      </c>
    </row>
    <row r="1881" ht="15.75" customHeight="1">
      <c r="A1881" s="5" t="s">
        <v>3761</v>
      </c>
      <c r="B1881" s="5" t="s">
        <v>3762</v>
      </c>
      <c r="C1881" s="5" t="str">
        <f t="shared" si="1"/>
        <v>Cassel</v>
      </c>
      <c r="D1881" s="5" t="str">
        <f t="shared" si="2"/>
        <v> Terri</v>
      </c>
    </row>
    <row r="1882" ht="15.75" customHeight="1">
      <c r="A1882" s="5" t="s">
        <v>3763</v>
      </c>
      <c r="B1882" s="5" t="s">
        <v>3764</v>
      </c>
      <c r="C1882" s="5" t="str">
        <f t="shared" si="1"/>
        <v>Ferguson</v>
      </c>
      <c r="D1882" s="5" t="str">
        <f t="shared" si="2"/>
        <v> Eddie</v>
      </c>
    </row>
    <row r="1883" ht="15.75" customHeight="1">
      <c r="A1883" s="5" t="s">
        <v>3765</v>
      </c>
      <c r="B1883" s="5" t="s">
        <v>3766</v>
      </c>
      <c r="C1883" s="5" t="str">
        <f t="shared" si="1"/>
        <v>O'Sullivan</v>
      </c>
      <c r="D1883" s="5" t="str">
        <f t="shared" si="2"/>
        <v> Pamela</v>
      </c>
    </row>
    <row r="1884" ht="15.75" customHeight="1">
      <c r="A1884" s="5" t="s">
        <v>3767</v>
      </c>
      <c r="B1884" s="5" t="s">
        <v>3768</v>
      </c>
      <c r="C1884" s="5" t="str">
        <f t="shared" si="1"/>
        <v>Chepkirui</v>
      </c>
      <c r="D1884" s="5" t="str">
        <f t="shared" si="2"/>
        <v> Joyce</v>
      </c>
    </row>
    <row r="1885" ht="15.75" customHeight="1">
      <c r="A1885" s="5" t="s">
        <v>3769</v>
      </c>
      <c r="B1885" s="5" t="s">
        <v>3770</v>
      </c>
      <c r="C1885" s="5" t="str">
        <f t="shared" si="1"/>
        <v>Gurney</v>
      </c>
      <c r="D1885" s="5" t="str">
        <f t="shared" si="2"/>
        <v> Alison W.</v>
      </c>
    </row>
    <row r="1886" ht="15.75" customHeight="1">
      <c r="A1886" s="5" t="s">
        <v>3771</v>
      </c>
      <c r="B1886" s="5" t="s">
        <v>3772</v>
      </c>
      <c r="C1886" s="5" t="str">
        <f t="shared" si="1"/>
        <v>Francis</v>
      </c>
      <c r="D1886" s="5" t="str">
        <f t="shared" si="2"/>
        <v> Tammara C</v>
      </c>
    </row>
    <row r="1887" ht="15.75" customHeight="1">
      <c r="A1887" s="5" t="s">
        <v>3773</v>
      </c>
      <c r="B1887" s="5" t="s">
        <v>3774</v>
      </c>
      <c r="C1887" s="5" t="str">
        <f t="shared" si="1"/>
        <v>Gruca</v>
      </c>
      <c r="D1887" s="5" t="str">
        <f t="shared" si="2"/>
        <v> Dorota</v>
      </c>
    </row>
    <row r="1888" ht="15.75" customHeight="1">
      <c r="A1888" s="5" t="s">
        <v>3775</v>
      </c>
      <c r="B1888" s="5" t="s">
        <v>3776</v>
      </c>
      <c r="C1888" s="5" t="str">
        <f t="shared" si="1"/>
        <v>Roja</v>
      </c>
      <c r="D1888" s="5" t="str">
        <f t="shared" si="2"/>
        <v> Jose Norberto Sr.</v>
      </c>
    </row>
    <row r="1889" ht="15.75" customHeight="1">
      <c r="A1889" s="5" t="s">
        <v>3777</v>
      </c>
      <c r="B1889" s="5" t="s">
        <v>3778</v>
      </c>
      <c r="C1889" s="5" t="str">
        <f t="shared" si="1"/>
        <v>Denton</v>
      </c>
      <c r="D1889" s="5" t="str">
        <f t="shared" si="2"/>
        <v> Peter</v>
      </c>
    </row>
    <row r="1890" ht="15.75" customHeight="1">
      <c r="A1890" s="5" t="s">
        <v>3779</v>
      </c>
      <c r="B1890" s="5" t="s">
        <v>3780</v>
      </c>
      <c r="C1890" s="5" t="str">
        <f t="shared" si="1"/>
        <v>Mason</v>
      </c>
      <c r="D1890" s="5" t="str">
        <f t="shared" si="2"/>
        <v> Bryant</v>
      </c>
    </row>
    <row r="1891" ht="15.75" customHeight="1">
      <c r="A1891" s="5" t="s">
        <v>3781</v>
      </c>
      <c r="B1891" s="5" t="s">
        <v>3782</v>
      </c>
      <c r="C1891" s="5" t="str">
        <f t="shared" si="1"/>
        <v>Trout</v>
      </c>
      <c r="D1891" s="5" t="str">
        <f t="shared" si="2"/>
        <v> Christina</v>
      </c>
    </row>
    <row r="1892" ht="15.75" customHeight="1">
      <c r="A1892" s="5" t="s">
        <v>3783</v>
      </c>
      <c r="B1892" s="5" t="s">
        <v>3784</v>
      </c>
      <c r="C1892" s="5" t="str">
        <f t="shared" si="1"/>
        <v>Gilbert</v>
      </c>
      <c r="D1892" s="5" t="str">
        <f t="shared" si="2"/>
        <v> John</v>
      </c>
    </row>
    <row r="1893" ht="15.75" customHeight="1">
      <c r="A1893" s="5" t="s">
        <v>3785</v>
      </c>
      <c r="B1893" s="5" t="s">
        <v>3786</v>
      </c>
      <c r="C1893" s="5" t="str">
        <f t="shared" si="1"/>
        <v>Chong</v>
      </c>
      <c r="D1893" s="5" t="str">
        <f t="shared" si="2"/>
        <v> Eduardo</v>
      </c>
    </row>
    <row r="1894" ht="15.75" customHeight="1">
      <c r="A1894" s="5" t="s">
        <v>3787</v>
      </c>
      <c r="B1894" s="5" t="s">
        <v>3788</v>
      </c>
      <c r="C1894" s="5" t="str">
        <f t="shared" si="1"/>
        <v>Henry</v>
      </c>
      <c r="D1894" s="5" t="str">
        <f t="shared" si="2"/>
        <v> Laura M.</v>
      </c>
    </row>
    <row r="1895" ht="15.75" customHeight="1">
      <c r="A1895" s="5" t="s">
        <v>3789</v>
      </c>
      <c r="B1895" s="5" t="s">
        <v>3790</v>
      </c>
      <c r="C1895" s="5" t="str">
        <f t="shared" si="1"/>
        <v>Brenneman</v>
      </c>
      <c r="D1895" s="5" t="str">
        <f t="shared" si="2"/>
        <v> Charlie</v>
      </c>
    </row>
    <row r="1896" ht="15.75" customHeight="1">
      <c r="A1896" s="5" t="s">
        <v>3791</v>
      </c>
      <c r="B1896" s="5" t="s">
        <v>3792</v>
      </c>
      <c r="C1896" s="5" t="str">
        <f t="shared" si="1"/>
        <v>Kemp</v>
      </c>
      <c r="D1896" s="5" t="str">
        <f t="shared" si="2"/>
        <v> Melissa D.</v>
      </c>
    </row>
    <row r="1897" ht="15.75" customHeight="1">
      <c r="A1897" s="5" t="s">
        <v>3793</v>
      </c>
      <c r="B1897" s="5" t="s">
        <v>3794</v>
      </c>
      <c r="C1897" s="5" t="str">
        <f t="shared" si="1"/>
        <v>Wilson</v>
      </c>
      <c r="D1897" s="5" t="str">
        <f t="shared" si="2"/>
        <v> Dan C. Jr.</v>
      </c>
    </row>
    <row r="1898" ht="15.75" customHeight="1">
      <c r="A1898" s="5" t="s">
        <v>3795</v>
      </c>
      <c r="B1898" s="5" t="s">
        <v>3796</v>
      </c>
      <c r="C1898" s="5" t="str">
        <f t="shared" si="1"/>
        <v>Hillyard</v>
      </c>
      <c r="D1898" s="5" t="str">
        <f t="shared" si="2"/>
        <v> Matthew</v>
      </c>
    </row>
    <row r="1899" ht="15.75" customHeight="1">
      <c r="A1899" s="5" t="s">
        <v>3797</v>
      </c>
      <c r="B1899" s="5" t="s">
        <v>3798</v>
      </c>
      <c r="C1899" s="5" t="str">
        <f t="shared" si="1"/>
        <v>Turner</v>
      </c>
      <c r="D1899" s="5" t="str">
        <f t="shared" si="2"/>
        <v> Wesley C.</v>
      </c>
    </row>
    <row r="1900" ht="15.75" customHeight="1">
      <c r="A1900" s="5" t="s">
        <v>3799</v>
      </c>
      <c r="B1900" s="5" t="s">
        <v>3800</v>
      </c>
      <c r="C1900" s="5" t="str">
        <f t="shared" si="1"/>
        <v>Benestad</v>
      </c>
      <c r="D1900" s="5" t="str">
        <f t="shared" si="2"/>
        <v> Christopher</v>
      </c>
    </row>
    <row r="1901" ht="15.75" customHeight="1">
      <c r="A1901" s="5" t="s">
        <v>3801</v>
      </c>
      <c r="B1901" s="5" t="s">
        <v>3802</v>
      </c>
      <c r="C1901" s="5" t="str">
        <f t="shared" si="1"/>
        <v>Gonzales</v>
      </c>
      <c r="D1901" s="5" t="str">
        <f t="shared" si="2"/>
        <v> Jessica</v>
      </c>
    </row>
    <row r="1902" ht="15.75" customHeight="1">
      <c r="A1902" s="5" t="s">
        <v>3803</v>
      </c>
      <c r="B1902" s="5" t="s">
        <v>3804</v>
      </c>
      <c r="C1902" s="5" t="str">
        <f t="shared" si="1"/>
        <v>Newman</v>
      </c>
      <c r="D1902" s="5" t="str">
        <f t="shared" si="2"/>
        <v> Christin</v>
      </c>
    </row>
    <row r="1903" ht="15.75" customHeight="1">
      <c r="A1903" s="5" t="s">
        <v>3805</v>
      </c>
      <c r="B1903" s="5" t="s">
        <v>3806</v>
      </c>
      <c r="C1903" s="5" t="str">
        <f t="shared" si="1"/>
        <v>Sayre</v>
      </c>
      <c r="D1903" s="5" t="str">
        <f t="shared" si="2"/>
        <v> Sara</v>
      </c>
    </row>
    <row r="1904" ht="15.75" customHeight="1">
      <c r="A1904" s="5" t="s">
        <v>3807</v>
      </c>
      <c r="B1904" s="5" t="s">
        <v>3808</v>
      </c>
      <c r="C1904" s="5" t="str">
        <f t="shared" si="1"/>
        <v>Panke</v>
      </c>
      <c r="D1904" s="5" t="str">
        <f t="shared" si="2"/>
        <v> Elizabeth</v>
      </c>
    </row>
    <row r="1905" ht="15.75" customHeight="1">
      <c r="A1905" s="5" t="s">
        <v>3809</v>
      </c>
      <c r="B1905" s="5" t="s">
        <v>3810</v>
      </c>
      <c r="C1905" s="5" t="str">
        <f t="shared" si="1"/>
        <v>Brennan</v>
      </c>
      <c r="D1905" s="5" t="str">
        <f t="shared" si="2"/>
        <v> Margaret P.</v>
      </c>
    </row>
    <row r="1906" ht="15.75" customHeight="1">
      <c r="A1906" s="5" t="s">
        <v>3811</v>
      </c>
      <c r="B1906" s="5" t="s">
        <v>3812</v>
      </c>
      <c r="C1906" s="5" t="str">
        <f t="shared" si="1"/>
        <v>Ngo</v>
      </c>
      <c r="D1906" s="5" t="str">
        <f t="shared" si="2"/>
        <v> Tiffany K</v>
      </c>
    </row>
    <row r="1907" ht="15.75" customHeight="1">
      <c r="A1907" s="5" t="s">
        <v>3813</v>
      </c>
      <c r="B1907" s="5" t="s">
        <v>3814</v>
      </c>
      <c r="C1907" s="5" t="str">
        <f t="shared" si="1"/>
        <v>Guerdan</v>
      </c>
      <c r="D1907" s="5" t="str">
        <f t="shared" si="2"/>
        <v> David M.</v>
      </c>
    </row>
    <row r="1908" ht="15.75" customHeight="1">
      <c r="A1908" s="5" t="s">
        <v>3815</v>
      </c>
      <c r="B1908" s="5" t="s">
        <v>3816</v>
      </c>
      <c r="C1908" s="5" t="str">
        <f t="shared" si="1"/>
        <v>Shaw</v>
      </c>
      <c r="D1908" s="5" t="str">
        <f t="shared" si="2"/>
        <v> Christine E</v>
      </c>
    </row>
    <row r="1909" ht="15.75" customHeight="1">
      <c r="A1909" s="5" t="s">
        <v>3817</v>
      </c>
      <c r="B1909" s="5" t="s">
        <v>3818</v>
      </c>
      <c r="C1909" s="5" t="str">
        <f t="shared" si="1"/>
        <v>Mills-Honarvar</v>
      </c>
      <c r="D1909" s="5" t="str">
        <f t="shared" si="2"/>
        <v> Donna</v>
      </c>
    </row>
    <row r="1910" ht="15.75" customHeight="1">
      <c r="A1910" s="5" t="s">
        <v>3819</v>
      </c>
      <c r="B1910" s="5" t="s">
        <v>3820</v>
      </c>
      <c r="C1910" s="5" t="str">
        <f t="shared" si="1"/>
        <v>Farvard</v>
      </c>
      <c r="D1910" s="5" t="str">
        <f t="shared" si="2"/>
        <v> Rod</v>
      </c>
    </row>
    <row r="1911" ht="15.75" customHeight="1">
      <c r="A1911" s="5" t="s">
        <v>3821</v>
      </c>
      <c r="B1911" s="5" t="s">
        <v>3822</v>
      </c>
      <c r="C1911" s="5" t="str">
        <f t="shared" si="1"/>
        <v>Kelly</v>
      </c>
      <c r="D1911" s="5" t="str">
        <f t="shared" si="2"/>
        <v> Joe</v>
      </c>
    </row>
    <row r="1912" ht="15.75" customHeight="1">
      <c r="A1912" s="5" t="s">
        <v>3823</v>
      </c>
      <c r="B1912" s="5" t="s">
        <v>3824</v>
      </c>
      <c r="C1912" s="5" t="str">
        <f t="shared" si="1"/>
        <v>Skinner</v>
      </c>
      <c r="D1912" s="5" t="str">
        <f t="shared" si="2"/>
        <v> Kayleigh</v>
      </c>
    </row>
    <row r="1913" ht="15.75" customHeight="1">
      <c r="A1913" s="5" t="s">
        <v>3825</v>
      </c>
      <c r="B1913" s="5" t="s">
        <v>3826</v>
      </c>
      <c r="C1913" s="5" t="str">
        <f t="shared" si="1"/>
        <v>Murphy</v>
      </c>
      <c r="D1913" s="5" t="str">
        <f t="shared" si="2"/>
        <v> Lorcan A.</v>
      </c>
    </row>
    <row r="1914" ht="15.75" customHeight="1">
      <c r="A1914" s="5" t="s">
        <v>3827</v>
      </c>
      <c r="B1914" s="5" t="s">
        <v>3828</v>
      </c>
      <c r="C1914" s="5" t="str">
        <f t="shared" si="1"/>
        <v>Shue</v>
      </c>
      <c r="D1914" s="5" t="str">
        <f t="shared" si="2"/>
        <v> Billy</v>
      </c>
    </row>
    <row r="1915" ht="15.75" customHeight="1">
      <c r="A1915" s="5" t="s">
        <v>3829</v>
      </c>
      <c r="B1915" s="5" t="s">
        <v>3830</v>
      </c>
      <c r="C1915" s="5" t="str">
        <f t="shared" si="1"/>
        <v>Reilly</v>
      </c>
      <c r="D1915" s="5" t="str">
        <f t="shared" si="2"/>
        <v> Paul M.</v>
      </c>
    </row>
    <row r="1916" ht="15.75" customHeight="1">
      <c r="A1916" s="5" t="s">
        <v>3831</v>
      </c>
      <c r="B1916" s="5" t="s">
        <v>3832</v>
      </c>
      <c r="C1916" s="5" t="str">
        <f t="shared" si="1"/>
        <v>Blinn</v>
      </c>
      <c r="D1916" s="5" t="str">
        <f t="shared" si="2"/>
        <v> Brenda M.</v>
      </c>
    </row>
    <row r="1917" ht="15.75" customHeight="1">
      <c r="A1917" s="5" t="s">
        <v>3833</v>
      </c>
      <c r="B1917" s="5" t="s">
        <v>3834</v>
      </c>
      <c r="C1917" s="5" t="str">
        <f t="shared" si="1"/>
        <v>Duyn</v>
      </c>
      <c r="D1917" s="5" t="str">
        <f t="shared" si="2"/>
        <v> Jeff H</v>
      </c>
    </row>
    <row r="1918" ht="15.75" customHeight="1">
      <c r="A1918" s="5" t="s">
        <v>3835</v>
      </c>
      <c r="B1918" s="5" t="s">
        <v>3836</v>
      </c>
      <c r="C1918" s="5" t="str">
        <f t="shared" si="1"/>
        <v>Wardian</v>
      </c>
      <c r="D1918" s="5" t="str">
        <f t="shared" si="2"/>
        <v> Michael</v>
      </c>
    </row>
    <row r="1919" ht="15.75" customHeight="1">
      <c r="A1919" s="5" t="s">
        <v>3837</v>
      </c>
      <c r="B1919" s="5" t="s">
        <v>3838</v>
      </c>
      <c r="C1919" s="5" t="str">
        <f t="shared" si="1"/>
        <v>Heuninck</v>
      </c>
      <c r="D1919" s="5" t="str">
        <f t="shared" si="2"/>
        <v> Jan</v>
      </c>
    </row>
    <row r="1920" ht="15.75" customHeight="1">
      <c r="A1920" s="5" t="s">
        <v>3839</v>
      </c>
      <c r="B1920" s="5" t="s">
        <v>3840</v>
      </c>
      <c r="C1920" s="5" t="str">
        <f t="shared" si="1"/>
        <v>Kipyego</v>
      </c>
      <c r="D1920" s="5" t="str">
        <f t="shared" si="2"/>
        <v> Bernard</v>
      </c>
    </row>
    <row r="1921" ht="15.75" customHeight="1">
      <c r="A1921" s="5" t="s">
        <v>3841</v>
      </c>
      <c r="B1921" s="5" t="s">
        <v>3842</v>
      </c>
      <c r="C1921" s="5" t="str">
        <f t="shared" si="1"/>
        <v>Kuehl</v>
      </c>
      <c r="D1921" s="5" t="str">
        <f t="shared" si="2"/>
        <v> Craig</v>
      </c>
    </row>
    <row r="1922" ht="15.75" customHeight="1">
      <c r="A1922" s="5" t="s">
        <v>3843</v>
      </c>
      <c r="B1922" s="5" t="s">
        <v>3844</v>
      </c>
      <c r="C1922" s="5" t="str">
        <f t="shared" si="1"/>
        <v>Burkholder</v>
      </c>
      <c r="D1922" s="5" t="str">
        <f t="shared" si="2"/>
        <v> Bryn</v>
      </c>
    </row>
    <row r="1923" ht="15.75" customHeight="1">
      <c r="A1923" s="5" t="s">
        <v>3845</v>
      </c>
      <c r="B1923" s="5" t="s">
        <v>3846</v>
      </c>
      <c r="C1923" s="5" t="str">
        <f t="shared" si="1"/>
        <v>Stadolnik</v>
      </c>
      <c r="D1923" s="5" t="str">
        <f t="shared" si="2"/>
        <v> Michael</v>
      </c>
    </row>
    <row r="1924" ht="15.75" customHeight="1">
      <c r="A1924" s="5" t="s">
        <v>3847</v>
      </c>
      <c r="B1924" s="5" t="s">
        <v>3848</v>
      </c>
      <c r="C1924" s="5" t="str">
        <f t="shared" si="1"/>
        <v>Shields</v>
      </c>
      <c r="D1924" s="5" t="str">
        <f t="shared" si="2"/>
        <v> Benjamin</v>
      </c>
    </row>
    <row r="1925" ht="15.75" customHeight="1">
      <c r="A1925" s="5" t="s">
        <v>3849</v>
      </c>
      <c r="B1925" s="5" t="s">
        <v>3850</v>
      </c>
      <c r="C1925" s="5" t="str">
        <f t="shared" si="1"/>
        <v>Margolis</v>
      </c>
      <c r="D1925" s="5" t="str">
        <f t="shared" si="2"/>
        <v> Jay</v>
      </c>
    </row>
    <row r="1926" ht="15.75" customHeight="1">
      <c r="A1926" s="5" t="s">
        <v>3851</v>
      </c>
      <c r="B1926" s="5" t="s">
        <v>3852</v>
      </c>
      <c r="C1926" s="5" t="str">
        <f t="shared" si="1"/>
        <v>Uffenbeck</v>
      </c>
      <c r="D1926" s="5" t="str">
        <f t="shared" si="2"/>
        <v> William</v>
      </c>
    </row>
    <row r="1927" ht="15.75" customHeight="1">
      <c r="A1927" s="5" t="s">
        <v>3853</v>
      </c>
      <c r="B1927" s="5" t="s">
        <v>3854</v>
      </c>
      <c r="C1927" s="5" t="str">
        <f t="shared" si="1"/>
        <v>Brake</v>
      </c>
      <c r="D1927" s="5" t="str">
        <f t="shared" si="2"/>
        <v> Shelley</v>
      </c>
    </row>
    <row r="1928" ht="15.75" customHeight="1">
      <c r="A1928" s="5" t="s">
        <v>3855</v>
      </c>
      <c r="B1928" s="5" t="s">
        <v>3856</v>
      </c>
      <c r="C1928" s="5" t="str">
        <f t="shared" si="1"/>
        <v>Stepanova</v>
      </c>
      <c r="D1928" s="5" t="str">
        <f t="shared" si="2"/>
        <v> Jekaterina</v>
      </c>
    </row>
    <row r="1929" ht="15.75" customHeight="1">
      <c r="A1929" s="5" t="s">
        <v>3857</v>
      </c>
      <c r="B1929" s="5" t="s">
        <v>3858</v>
      </c>
      <c r="C1929" s="5" t="str">
        <f t="shared" si="1"/>
        <v>Verdi</v>
      </c>
      <c r="D1929" s="5" t="str">
        <f t="shared" si="2"/>
        <v> Daniel</v>
      </c>
    </row>
    <row r="1930" ht="15.75" customHeight="1">
      <c r="A1930" s="5" t="s">
        <v>3859</v>
      </c>
      <c r="B1930" s="5" t="s">
        <v>3860</v>
      </c>
      <c r="C1930" s="5" t="str">
        <f t="shared" si="1"/>
        <v>McLean</v>
      </c>
      <c r="D1930" s="5" t="str">
        <f t="shared" si="2"/>
        <v> Pauline</v>
      </c>
    </row>
    <row r="1931" ht="15.75" customHeight="1">
      <c r="A1931" s="5" t="s">
        <v>3861</v>
      </c>
      <c r="B1931" s="5" t="s">
        <v>3862</v>
      </c>
      <c r="C1931" s="5" t="str">
        <f t="shared" si="1"/>
        <v>Ryan</v>
      </c>
      <c r="D1931" s="5" t="str">
        <f t="shared" si="2"/>
        <v> Colleen</v>
      </c>
    </row>
    <row r="1932" ht="15.75" customHeight="1">
      <c r="A1932" s="5" t="s">
        <v>3863</v>
      </c>
      <c r="B1932" s="5" t="s">
        <v>3864</v>
      </c>
      <c r="C1932" s="5" t="str">
        <f t="shared" si="1"/>
        <v>Mickelson</v>
      </c>
      <c r="D1932" s="5" t="str">
        <f t="shared" si="2"/>
        <v> Aleah K</v>
      </c>
    </row>
    <row r="1933" ht="15.75" customHeight="1">
      <c r="A1933" s="5" t="s">
        <v>3865</v>
      </c>
      <c r="B1933" s="5" t="s">
        <v>3866</v>
      </c>
      <c r="C1933" s="5" t="str">
        <f t="shared" si="1"/>
        <v>Dibaba</v>
      </c>
      <c r="D1933" s="5" t="str">
        <f t="shared" si="2"/>
        <v> Mare</v>
      </c>
    </row>
    <row r="1934" ht="15.75" customHeight="1">
      <c r="A1934" s="5" t="s">
        <v>3867</v>
      </c>
      <c r="B1934" s="5" t="s">
        <v>3868</v>
      </c>
      <c r="C1934" s="5" t="str">
        <f t="shared" si="1"/>
        <v>Shilling</v>
      </c>
      <c r="D1934" s="5" t="str">
        <f t="shared" si="2"/>
        <v> Kevin</v>
      </c>
    </row>
    <row r="1935" ht="15.75" customHeight="1">
      <c r="A1935" s="5" t="s">
        <v>3869</v>
      </c>
      <c r="B1935" s="5" t="s">
        <v>3870</v>
      </c>
      <c r="C1935" s="5" t="str">
        <f t="shared" si="1"/>
        <v>Bashaw</v>
      </c>
      <c r="D1935" s="5" t="str">
        <f t="shared" si="2"/>
        <v> Jessica</v>
      </c>
    </row>
    <row r="1936" ht="15.75" customHeight="1">
      <c r="A1936" s="5" t="s">
        <v>3871</v>
      </c>
      <c r="B1936" s="5" t="s">
        <v>3872</v>
      </c>
      <c r="C1936" s="5" t="str">
        <f t="shared" si="1"/>
        <v>Jacob</v>
      </c>
      <c r="D1936" s="5" t="str">
        <f t="shared" si="2"/>
        <v> Amanda R</v>
      </c>
    </row>
    <row r="1937" ht="15.75" customHeight="1">
      <c r="A1937" s="5" t="s">
        <v>3873</v>
      </c>
      <c r="B1937" s="5" t="s">
        <v>3874</v>
      </c>
      <c r="C1937" s="5" t="str">
        <f t="shared" si="1"/>
        <v>McCutcheon</v>
      </c>
      <c r="D1937" s="5" t="str">
        <f t="shared" si="2"/>
        <v> Murray W.</v>
      </c>
    </row>
    <row r="1938" ht="15.75" customHeight="1">
      <c r="A1938" s="5" t="s">
        <v>3875</v>
      </c>
      <c r="B1938" s="5" t="s">
        <v>3876</v>
      </c>
      <c r="C1938" s="5" t="str">
        <f t="shared" si="1"/>
        <v>Connor</v>
      </c>
      <c r="D1938" s="5" t="str">
        <f t="shared" si="2"/>
        <v> Meghan P.</v>
      </c>
    </row>
    <row r="1939" ht="15.75" customHeight="1">
      <c r="A1939" s="5" t="s">
        <v>3877</v>
      </c>
      <c r="B1939" s="5" t="s">
        <v>3878</v>
      </c>
      <c r="C1939" s="5" t="str">
        <f t="shared" si="1"/>
        <v>May</v>
      </c>
      <c r="D1939" s="5" t="str">
        <f t="shared" si="2"/>
        <v> David</v>
      </c>
    </row>
    <row r="1940" ht="15.75" customHeight="1">
      <c r="A1940" s="5" t="s">
        <v>3879</v>
      </c>
      <c r="B1940" s="5" t="s">
        <v>3880</v>
      </c>
      <c r="C1940" s="5" t="str">
        <f t="shared" si="1"/>
        <v>Geoghegan</v>
      </c>
      <c r="D1940" s="5" t="str">
        <f t="shared" si="2"/>
        <v> Seth</v>
      </c>
    </row>
    <row r="1941" ht="15.75" customHeight="1">
      <c r="A1941" s="5" t="s">
        <v>3881</v>
      </c>
      <c r="B1941" s="5" t="s">
        <v>3882</v>
      </c>
      <c r="C1941" s="5" t="str">
        <f t="shared" si="1"/>
        <v>McGinn</v>
      </c>
      <c r="D1941" s="5" t="str">
        <f t="shared" si="2"/>
        <v> Michael P.</v>
      </c>
    </row>
    <row r="1942" ht="15.75" customHeight="1">
      <c r="A1942" s="5" t="s">
        <v>3883</v>
      </c>
      <c r="B1942" s="5" t="s">
        <v>3884</v>
      </c>
      <c r="C1942" s="5" t="str">
        <f t="shared" si="1"/>
        <v>Jones</v>
      </c>
      <c r="D1942" s="5" t="str">
        <f t="shared" si="2"/>
        <v> Russell M</v>
      </c>
    </row>
    <row r="1943" ht="15.75" customHeight="1">
      <c r="A1943" s="5" t="s">
        <v>3885</v>
      </c>
      <c r="B1943" s="5" t="s">
        <v>3886</v>
      </c>
      <c r="C1943" s="5" t="str">
        <f t="shared" si="1"/>
        <v>Quinteros</v>
      </c>
      <c r="D1943" s="5" t="str">
        <f t="shared" si="2"/>
        <v> Martin</v>
      </c>
    </row>
    <row r="1944" ht="15.75" customHeight="1">
      <c r="A1944" s="5" t="s">
        <v>3887</v>
      </c>
      <c r="B1944" s="5" t="s">
        <v>3888</v>
      </c>
      <c r="C1944" s="5" t="str">
        <f t="shared" si="1"/>
        <v>Loenser</v>
      </c>
      <c r="D1944" s="5" t="str">
        <f t="shared" si="2"/>
        <v> Michael</v>
      </c>
    </row>
    <row r="1945" ht="15.75" customHeight="1">
      <c r="A1945" s="5" t="s">
        <v>3889</v>
      </c>
      <c r="B1945" s="5" t="s">
        <v>3890</v>
      </c>
      <c r="C1945" s="5" t="str">
        <f t="shared" si="1"/>
        <v>Aitken</v>
      </c>
      <c r="D1945" s="5" t="str">
        <f t="shared" si="2"/>
        <v> Miles</v>
      </c>
    </row>
    <row r="1946" ht="15.75" customHeight="1">
      <c r="A1946" s="5" t="s">
        <v>3891</v>
      </c>
      <c r="B1946" s="5" t="s">
        <v>3892</v>
      </c>
      <c r="C1946" s="5" t="str">
        <f t="shared" si="1"/>
        <v>Furrer</v>
      </c>
      <c r="D1946" s="5" t="str">
        <f t="shared" si="2"/>
        <v> Amanda</v>
      </c>
    </row>
    <row r="1947" ht="15.75" customHeight="1">
      <c r="A1947" s="5" t="s">
        <v>3893</v>
      </c>
      <c r="B1947" s="5" t="s">
        <v>3894</v>
      </c>
      <c r="C1947" s="5" t="str">
        <f t="shared" si="1"/>
        <v>Konigs</v>
      </c>
      <c r="D1947" s="5" t="str">
        <f t="shared" si="2"/>
        <v> Roger</v>
      </c>
    </row>
    <row r="1948" ht="15.75" customHeight="1">
      <c r="A1948" s="5" t="s">
        <v>3895</v>
      </c>
      <c r="B1948" s="5" t="s">
        <v>3896</v>
      </c>
      <c r="C1948" s="5" t="str">
        <f t="shared" si="1"/>
        <v>Tesdahl</v>
      </c>
      <c r="D1948" s="5" t="str">
        <f t="shared" si="2"/>
        <v> Brock J</v>
      </c>
    </row>
    <row r="1949" ht="15.75" customHeight="1">
      <c r="A1949" s="5" t="s">
        <v>3897</v>
      </c>
      <c r="B1949" s="5" t="s">
        <v>3898</v>
      </c>
      <c r="C1949" s="5" t="str">
        <f t="shared" si="1"/>
        <v>Engel</v>
      </c>
      <c r="D1949" s="5" t="str">
        <f t="shared" si="2"/>
        <v> Stephen F.</v>
      </c>
    </row>
    <row r="1950" ht="15.75" customHeight="1">
      <c r="A1950" s="5" t="s">
        <v>3899</v>
      </c>
      <c r="B1950" s="5" t="s">
        <v>3900</v>
      </c>
      <c r="C1950" s="5" t="str">
        <f t="shared" si="1"/>
        <v>Kuck</v>
      </c>
      <c r="D1950" s="5" t="str">
        <f t="shared" si="2"/>
        <v> Missy</v>
      </c>
    </row>
    <row r="1951" ht="15.75" customHeight="1">
      <c r="A1951" s="5" t="s">
        <v>3901</v>
      </c>
      <c r="B1951" s="5" t="s">
        <v>3902</v>
      </c>
      <c r="C1951" s="5" t="str">
        <f t="shared" si="1"/>
        <v>Dillon</v>
      </c>
      <c r="D1951" s="5" t="str">
        <f t="shared" si="2"/>
        <v> William</v>
      </c>
    </row>
    <row r="1952" ht="15.75" customHeight="1">
      <c r="A1952" s="5" t="s">
        <v>3903</v>
      </c>
      <c r="B1952" s="5" t="s">
        <v>3904</v>
      </c>
      <c r="C1952" s="5" t="str">
        <f t="shared" si="1"/>
        <v>Neuschel</v>
      </c>
      <c r="D1952" s="5" t="str">
        <f t="shared" si="2"/>
        <v> Lauren M</v>
      </c>
    </row>
    <row r="1953" ht="15.75" customHeight="1">
      <c r="A1953" s="5" t="s">
        <v>3905</v>
      </c>
      <c r="B1953" s="5" t="s">
        <v>3906</v>
      </c>
      <c r="C1953" s="5" t="str">
        <f t="shared" si="1"/>
        <v>Rosale</v>
      </c>
      <c r="D1953" s="5" t="str">
        <f t="shared" si="2"/>
        <v> Apolo U.</v>
      </c>
    </row>
    <row r="1954" ht="15.75" customHeight="1">
      <c r="A1954" s="5" t="s">
        <v>3907</v>
      </c>
      <c r="B1954" s="5" t="s">
        <v>3908</v>
      </c>
      <c r="C1954" s="5" t="str">
        <f t="shared" si="1"/>
        <v>Marquez</v>
      </c>
      <c r="D1954" s="5" t="str">
        <f t="shared" si="2"/>
        <v> Alfons</v>
      </c>
    </row>
    <row r="1955" ht="15.75" customHeight="1">
      <c r="A1955" s="5" t="s">
        <v>3909</v>
      </c>
      <c r="B1955" s="5" t="s">
        <v>3910</v>
      </c>
      <c r="C1955" s="5" t="str">
        <f t="shared" si="1"/>
        <v>Green</v>
      </c>
      <c r="D1955" s="5" t="str">
        <f t="shared" si="2"/>
        <v> Amber</v>
      </c>
    </row>
    <row r="1956" ht="15.75" customHeight="1">
      <c r="A1956" s="5" t="s">
        <v>3911</v>
      </c>
      <c r="B1956" s="5" t="s">
        <v>3912</v>
      </c>
      <c r="C1956" s="5" t="str">
        <f t="shared" si="1"/>
        <v>Schubel</v>
      </c>
      <c r="D1956" s="5" t="str">
        <f t="shared" si="2"/>
        <v> Leah C.</v>
      </c>
    </row>
    <row r="1957" ht="15.75" customHeight="1">
      <c r="A1957" s="5" t="s">
        <v>3913</v>
      </c>
      <c r="B1957" s="5" t="s">
        <v>3914</v>
      </c>
      <c r="C1957" s="5" t="str">
        <f t="shared" si="1"/>
        <v>Jimenez</v>
      </c>
      <c r="D1957" s="5" t="str">
        <f t="shared" si="2"/>
        <v> Lilia</v>
      </c>
    </row>
    <row r="1958" ht="15.75" customHeight="1">
      <c r="A1958" s="5" t="s">
        <v>3915</v>
      </c>
      <c r="B1958" s="5" t="s">
        <v>3916</v>
      </c>
      <c r="C1958" s="5" t="str">
        <f t="shared" si="1"/>
        <v>Zimny-Schmitt</v>
      </c>
      <c r="D1958" s="5" t="str">
        <f t="shared" si="2"/>
        <v> Danny</v>
      </c>
    </row>
    <row r="1959" ht="15.75" customHeight="1">
      <c r="A1959" s="5" t="s">
        <v>3917</v>
      </c>
      <c r="B1959" s="5" t="s">
        <v>3918</v>
      </c>
      <c r="C1959" s="5" t="str">
        <f t="shared" si="1"/>
        <v>Hill</v>
      </c>
      <c r="D1959" s="5" t="str">
        <f t="shared" si="2"/>
        <v> Lauren</v>
      </c>
    </row>
    <row r="1960" ht="15.75" customHeight="1">
      <c r="A1960" s="5" t="s">
        <v>3919</v>
      </c>
      <c r="B1960" s="5" t="s">
        <v>3920</v>
      </c>
      <c r="C1960" s="5" t="str">
        <f t="shared" si="1"/>
        <v>Brohart</v>
      </c>
      <c r="D1960" s="5" t="str">
        <f t="shared" si="2"/>
        <v> Courtney</v>
      </c>
    </row>
    <row r="1961" ht="15.75" customHeight="1">
      <c r="A1961" s="5" t="s">
        <v>3921</v>
      </c>
      <c r="B1961" s="5" t="s">
        <v>3922</v>
      </c>
      <c r="C1961" s="5" t="str">
        <f t="shared" si="1"/>
        <v>Ryan</v>
      </c>
      <c r="D1961" s="5" t="str">
        <f t="shared" si="2"/>
        <v> Elizabeth</v>
      </c>
    </row>
    <row r="1962" ht="15.75" customHeight="1">
      <c r="A1962" s="5" t="s">
        <v>3923</v>
      </c>
      <c r="B1962" s="5" t="s">
        <v>3924</v>
      </c>
      <c r="C1962" s="5" t="str">
        <f t="shared" si="1"/>
        <v>Oka</v>
      </c>
      <c r="D1962" s="5" t="str">
        <f t="shared" si="2"/>
        <v> Satomi</v>
      </c>
    </row>
    <row r="1963" ht="15.75" customHeight="1">
      <c r="A1963" s="5" t="s">
        <v>3925</v>
      </c>
      <c r="B1963" s="5" t="s">
        <v>3926</v>
      </c>
      <c r="C1963" s="5" t="str">
        <f t="shared" si="1"/>
        <v>Newman</v>
      </c>
      <c r="D1963" s="5" t="str">
        <f t="shared" si="2"/>
        <v> Matthew D</v>
      </c>
    </row>
    <row r="1964" ht="15.75" customHeight="1">
      <c r="A1964" s="5" t="s">
        <v>3927</v>
      </c>
      <c r="B1964" s="5" t="s">
        <v>3928</v>
      </c>
      <c r="C1964" s="5" t="str">
        <f t="shared" si="1"/>
        <v>Metzger</v>
      </c>
      <c r="D1964" s="5" t="str">
        <f t="shared" si="2"/>
        <v> Peter T II</v>
      </c>
    </row>
    <row r="1965" ht="15.75" customHeight="1">
      <c r="A1965" s="5" t="s">
        <v>3929</v>
      </c>
      <c r="B1965" s="5" t="s">
        <v>3930</v>
      </c>
      <c r="C1965" s="5" t="str">
        <f t="shared" si="1"/>
        <v>Gonzalez</v>
      </c>
      <c r="D1965" s="5" t="str">
        <f t="shared" si="2"/>
        <v> Manuel</v>
      </c>
    </row>
    <row r="1966" ht="15.75" customHeight="1">
      <c r="A1966" s="5" t="s">
        <v>3931</v>
      </c>
      <c r="B1966" s="5" t="s">
        <v>3932</v>
      </c>
      <c r="C1966" s="5" t="str">
        <f t="shared" si="1"/>
        <v>Vaughn</v>
      </c>
      <c r="D1966" s="5" t="str">
        <f t="shared" si="2"/>
        <v> Kindsey P.</v>
      </c>
    </row>
    <row r="1967" ht="15.75" customHeight="1">
      <c r="A1967" s="5" t="s">
        <v>3933</v>
      </c>
      <c r="B1967" s="5" t="s">
        <v>3934</v>
      </c>
      <c r="C1967" s="5" t="str">
        <f t="shared" si="1"/>
        <v>Clifford</v>
      </c>
      <c r="D1967" s="5" t="str">
        <f t="shared" si="2"/>
        <v> Thomas G.</v>
      </c>
    </row>
    <row r="1968" ht="15.75" customHeight="1">
      <c r="A1968" s="5" t="s">
        <v>3935</v>
      </c>
      <c r="B1968" s="5" t="s">
        <v>3936</v>
      </c>
      <c r="C1968" s="5" t="str">
        <f t="shared" si="1"/>
        <v>Petty</v>
      </c>
      <c r="D1968" s="5" t="str">
        <f t="shared" si="2"/>
        <v> Kyle S</v>
      </c>
    </row>
    <row r="1969" ht="15.75" customHeight="1">
      <c r="A1969" s="5" t="s">
        <v>3937</v>
      </c>
      <c r="B1969" s="5" t="s">
        <v>3938</v>
      </c>
      <c r="C1969" s="5" t="str">
        <f t="shared" si="1"/>
        <v>Sanford</v>
      </c>
      <c r="D1969" s="5" t="str">
        <f t="shared" si="2"/>
        <v> Alexander J.</v>
      </c>
    </row>
    <row r="1970" ht="15.75" customHeight="1">
      <c r="A1970" s="5" t="s">
        <v>3939</v>
      </c>
      <c r="B1970" s="5" t="s">
        <v>3940</v>
      </c>
      <c r="C1970" s="5" t="str">
        <f t="shared" si="1"/>
        <v>Sprague</v>
      </c>
      <c r="D1970" s="5" t="str">
        <f t="shared" si="2"/>
        <v> Dustin L</v>
      </c>
    </row>
    <row r="1971" ht="15.75" customHeight="1">
      <c r="A1971" s="5" t="s">
        <v>3941</v>
      </c>
      <c r="B1971" s="5" t="s">
        <v>3942</v>
      </c>
      <c r="C1971" s="5" t="str">
        <f t="shared" si="1"/>
        <v>Lasseron</v>
      </c>
      <c r="D1971" s="5" t="str">
        <f t="shared" si="2"/>
        <v> Chloe</v>
      </c>
    </row>
    <row r="1972" ht="15.75" customHeight="1">
      <c r="A1972" s="5" t="s">
        <v>3943</v>
      </c>
      <c r="B1972" s="5" t="s">
        <v>3944</v>
      </c>
      <c r="C1972" s="5" t="str">
        <f t="shared" si="1"/>
        <v>Bushong</v>
      </c>
      <c r="D1972" s="5" t="str">
        <f t="shared" si="2"/>
        <v> Cailtlin</v>
      </c>
    </row>
    <row r="1973" ht="15.75" customHeight="1">
      <c r="A1973" s="5" t="s">
        <v>3945</v>
      </c>
      <c r="B1973" s="5" t="s">
        <v>3946</v>
      </c>
      <c r="C1973" s="5" t="str">
        <f t="shared" si="1"/>
        <v>Dennison</v>
      </c>
      <c r="D1973" s="5" t="str">
        <f t="shared" si="2"/>
        <v> Joshua</v>
      </c>
    </row>
    <row r="1974" ht="15.75" customHeight="1">
      <c r="A1974" s="5" t="s">
        <v>3947</v>
      </c>
      <c r="B1974" s="5" t="s">
        <v>3948</v>
      </c>
      <c r="C1974" s="5" t="str">
        <f t="shared" si="1"/>
        <v>Lira</v>
      </c>
      <c r="D1974" s="5" t="str">
        <f t="shared" si="2"/>
        <v> Chuy</v>
      </c>
    </row>
    <row r="1975" ht="15.75" customHeight="1">
      <c r="A1975" s="5" t="s">
        <v>3949</v>
      </c>
      <c r="B1975" s="5" t="s">
        <v>3950</v>
      </c>
      <c r="C1975" s="5" t="str">
        <f t="shared" si="1"/>
        <v>Nahigian</v>
      </c>
      <c r="D1975" s="5" t="str">
        <f t="shared" si="2"/>
        <v> Laurie B</v>
      </c>
    </row>
    <row r="1976" ht="15.75" customHeight="1">
      <c r="A1976" s="5" t="s">
        <v>3951</v>
      </c>
      <c r="B1976" s="5" t="s">
        <v>3952</v>
      </c>
      <c r="C1976" s="5" t="str">
        <f t="shared" si="1"/>
        <v>Cackett</v>
      </c>
      <c r="D1976" s="5" t="str">
        <f t="shared" si="2"/>
        <v> Rachel B.</v>
      </c>
    </row>
    <row r="1977" ht="15.75" customHeight="1">
      <c r="A1977" s="5" t="s">
        <v>3953</v>
      </c>
      <c r="B1977" s="5" t="s">
        <v>3954</v>
      </c>
      <c r="C1977" s="5" t="str">
        <f t="shared" si="1"/>
        <v>Hunter-Galvan</v>
      </c>
      <c r="D1977" s="5" t="str">
        <f t="shared" si="2"/>
        <v> Liza</v>
      </c>
    </row>
    <row r="1978" ht="15.75" customHeight="1">
      <c r="A1978" s="5" t="s">
        <v>3955</v>
      </c>
      <c r="B1978" s="5" t="s">
        <v>3956</v>
      </c>
      <c r="C1978" s="5" t="str">
        <f t="shared" si="1"/>
        <v>Pierret</v>
      </c>
      <c r="D1978" s="5" t="str">
        <f t="shared" si="2"/>
        <v> Lindsey</v>
      </c>
    </row>
    <row r="1979" ht="15.75" customHeight="1">
      <c r="A1979" s="5" t="s">
        <v>3957</v>
      </c>
      <c r="B1979" s="5" t="s">
        <v>3958</v>
      </c>
      <c r="C1979" s="5" t="str">
        <f t="shared" si="1"/>
        <v>White</v>
      </c>
      <c r="D1979" s="5" t="str">
        <f t="shared" si="2"/>
        <v> Lindsay E.</v>
      </c>
    </row>
    <row r="1980" ht="15.75" customHeight="1">
      <c r="A1980" s="5" t="s">
        <v>3959</v>
      </c>
      <c r="B1980" s="5" t="s">
        <v>3960</v>
      </c>
      <c r="C1980" s="5" t="str">
        <f t="shared" si="1"/>
        <v>O'Neil</v>
      </c>
      <c r="D1980" s="5" t="str">
        <f t="shared" si="2"/>
        <v> Kathleen M.</v>
      </c>
    </row>
    <row r="1981" ht="15.75" customHeight="1">
      <c r="A1981" s="5" t="s">
        <v>3961</v>
      </c>
      <c r="B1981" s="5" t="s">
        <v>3962</v>
      </c>
      <c r="C1981" s="5" t="str">
        <f t="shared" si="1"/>
        <v>Leitz</v>
      </c>
      <c r="D1981" s="5" t="str">
        <f t="shared" si="2"/>
        <v> Aya</v>
      </c>
    </row>
    <row r="1982" ht="15.75" customHeight="1">
      <c r="A1982" s="5" t="s">
        <v>3963</v>
      </c>
      <c r="B1982" s="5" t="s">
        <v>3964</v>
      </c>
      <c r="C1982" s="5" t="str">
        <f t="shared" si="1"/>
        <v>Durfee</v>
      </c>
      <c r="D1982" s="5" t="str">
        <f t="shared" si="2"/>
        <v> Carolyn R</v>
      </c>
    </row>
    <row r="1983" ht="15.75" customHeight="1">
      <c r="A1983" s="5" t="s">
        <v>3965</v>
      </c>
      <c r="B1983" s="5" t="s">
        <v>3966</v>
      </c>
      <c r="C1983" s="5" t="str">
        <f t="shared" si="1"/>
        <v>Maylone</v>
      </c>
      <c r="D1983" s="5" t="str">
        <f t="shared" si="2"/>
        <v> Bethany</v>
      </c>
    </row>
    <row r="1984" ht="15.75" customHeight="1">
      <c r="A1984" s="5" t="s">
        <v>3967</v>
      </c>
      <c r="B1984" s="5" t="s">
        <v>3968</v>
      </c>
      <c r="C1984" s="5" t="str">
        <f t="shared" si="1"/>
        <v>Reiland</v>
      </c>
      <c r="D1984" s="5" t="str">
        <f t="shared" si="2"/>
        <v> Holly A</v>
      </c>
    </row>
    <row r="1985" ht="15.75" customHeight="1">
      <c r="A1985" s="5" t="s">
        <v>3969</v>
      </c>
      <c r="B1985" s="5" t="s">
        <v>3970</v>
      </c>
      <c r="C1985" s="5" t="str">
        <f t="shared" si="1"/>
        <v>Hu</v>
      </c>
      <c r="D1985" s="5" t="str">
        <f t="shared" si="2"/>
        <v> Ping</v>
      </c>
    </row>
    <row r="1986" ht="15.75" customHeight="1">
      <c r="A1986" s="5" t="s">
        <v>3971</v>
      </c>
      <c r="B1986" s="5" t="s">
        <v>3972</v>
      </c>
      <c r="C1986" s="5" t="str">
        <f t="shared" si="1"/>
        <v>Lessek</v>
      </c>
      <c r="D1986" s="5" t="str">
        <f t="shared" si="2"/>
        <v> Tim</v>
      </c>
    </row>
    <row r="1987" ht="15.75" customHeight="1">
      <c r="A1987" s="5" t="s">
        <v>3973</v>
      </c>
      <c r="B1987" s="5" t="s">
        <v>3974</v>
      </c>
      <c r="C1987" s="5" t="str">
        <f t="shared" si="1"/>
        <v>Colavincenzo</v>
      </c>
      <c r="D1987" s="5" t="str">
        <f t="shared" si="2"/>
        <v> John</v>
      </c>
    </row>
    <row r="1988" ht="15.75" customHeight="1">
      <c r="A1988" s="5" t="s">
        <v>3975</v>
      </c>
      <c r="B1988" s="5" t="s">
        <v>3976</v>
      </c>
      <c r="C1988" s="5" t="str">
        <f t="shared" si="1"/>
        <v>Mendez-Karr</v>
      </c>
      <c r="D1988" s="5" t="str">
        <f t="shared" si="2"/>
        <v> Cynthia</v>
      </c>
    </row>
    <row r="1989" ht="15.75" customHeight="1">
      <c r="A1989" s="5" t="s">
        <v>3977</v>
      </c>
      <c r="B1989" s="5" t="s">
        <v>3978</v>
      </c>
      <c r="C1989" s="5" t="str">
        <f t="shared" si="1"/>
        <v>Saulnier</v>
      </c>
      <c r="D1989" s="5" t="str">
        <f t="shared" si="2"/>
        <v> Emmett</v>
      </c>
    </row>
    <row r="1990" ht="15.75" customHeight="1">
      <c r="A1990" s="5" t="s">
        <v>3979</v>
      </c>
      <c r="B1990" s="5" t="s">
        <v>3980</v>
      </c>
      <c r="C1990" s="5" t="str">
        <f t="shared" si="1"/>
        <v>Schoonover</v>
      </c>
      <c r="D1990" s="5" t="str">
        <f t="shared" si="2"/>
        <v> Kate</v>
      </c>
    </row>
    <row r="1991" ht="15.75" customHeight="1">
      <c r="A1991" s="5" t="s">
        <v>3981</v>
      </c>
      <c r="B1991" s="5" t="s">
        <v>3982</v>
      </c>
      <c r="C1991" s="5" t="str">
        <f t="shared" si="1"/>
        <v>Hass</v>
      </c>
      <c r="D1991" s="5" t="str">
        <f t="shared" si="2"/>
        <v> Christopher L.</v>
      </c>
    </row>
    <row r="1992" ht="15.75" customHeight="1">
      <c r="A1992" s="5" t="s">
        <v>3983</v>
      </c>
      <c r="B1992" s="5" t="s">
        <v>3984</v>
      </c>
      <c r="C1992" s="5" t="str">
        <f t="shared" si="1"/>
        <v>Cadotte</v>
      </c>
      <c r="D1992" s="5" t="str">
        <f t="shared" si="2"/>
        <v> Christopher P.</v>
      </c>
    </row>
    <row r="1993" ht="15.75" customHeight="1">
      <c r="A1993" s="5" t="s">
        <v>3985</v>
      </c>
      <c r="B1993" s="5" t="s">
        <v>3986</v>
      </c>
      <c r="C1993" s="5" t="str">
        <f t="shared" si="1"/>
        <v>Cacciapaglia</v>
      </c>
      <c r="D1993" s="5" t="str">
        <f t="shared" si="2"/>
        <v> Christopher W</v>
      </c>
    </row>
    <row r="1994" ht="15.75" customHeight="1">
      <c r="A1994" s="5" t="s">
        <v>3987</v>
      </c>
      <c r="B1994" s="5" t="s">
        <v>3988</v>
      </c>
      <c r="C1994" s="5" t="str">
        <f t="shared" si="1"/>
        <v>Mininger</v>
      </c>
      <c r="D1994" s="5" t="str">
        <f t="shared" si="2"/>
        <v> Norman H.</v>
      </c>
    </row>
    <row r="1995" ht="15.75" customHeight="1">
      <c r="A1995" s="5" t="s">
        <v>3989</v>
      </c>
      <c r="B1995" s="5" t="s">
        <v>3990</v>
      </c>
      <c r="C1995" s="5" t="str">
        <f t="shared" si="1"/>
        <v>Mayo</v>
      </c>
      <c r="D1995" s="5" t="str">
        <f t="shared" si="2"/>
        <v> Susan</v>
      </c>
    </row>
    <row r="1996" ht="15.75" customHeight="1">
      <c r="A1996" s="5" t="s">
        <v>3991</v>
      </c>
      <c r="B1996" s="5" t="s">
        <v>3992</v>
      </c>
      <c r="C1996" s="5" t="str">
        <f t="shared" si="1"/>
        <v>Zicko</v>
      </c>
      <c r="D1996" s="5" t="str">
        <f t="shared" si="2"/>
        <v> Tatyana K</v>
      </c>
    </row>
    <row r="1997" ht="15.75" customHeight="1">
      <c r="A1997" s="5" t="s">
        <v>3993</v>
      </c>
      <c r="B1997" s="5" t="s">
        <v>3994</v>
      </c>
      <c r="C1997" s="5" t="str">
        <f t="shared" si="1"/>
        <v>Graham</v>
      </c>
      <c r="D1997" s="5" t="str">
        <f t="shared" si="2"/>
        <v> Chrissy</v>
      </c>
    </row>
    <row r="1998" ht="15.75" customHeight="1">
      <c r="A1998" s="5" t="s">
        <v>3995</v>
      </c>
      <c r="B1998" s="5" t="s">
        <v>3996</v>
      </c>
      <c r="C1998" s="5" t="str">
        <f t="shared" si="1"/>
        <v>Boland</v>
      </c>
      <c r="D1998" s="5" t="str">
        <f t="shared" si="2"/>
        <v> Carrie</v>
      </c>
    </row>
    <row r="1999" ht="15.75" customHeight="1">
      <c r="A1999" s="5" t="s">
        <v>3997</v>
      </c>
      <c r="B1999" s="5" t="s">
        <v>3998</v>
      </c>
      <c r="C1999" s="5" t="str">
        <f t="shared" si="1"/>
        <v>Cupp</v>
      </c>
      <c r="D1999" s="5" t="str">
        <f t="shared" si="2"/>
        <v> Halle</v>
      </c>
    </row>
    <row r="2000" ht="15.75" customHeight="1">
      <c r="A2000" s="5" t="s">
        <v>3999</v>
      </c>
      <c r="B2000" s="5" t="s">
        <v>4000</v>
      </c>
      <c r="C2000" s="5" t="str">
        <f t="shared" si="1"/>
        <v>Shaw</v>
      </c>
      <c r="D2000" s="5" t="str">
        <f t="shared" si="2"/>
        <v> Carolyn</v>
      </c>
    </row>
    <row r="2001" ht="15.75" customHeight="1">
      <c r="A2001" s="5" t="s">
        <v>4001</v>
      </c>
      <c r="B2001" s="5" t="s">
        <v>4002</v>
      </c>
      <c r="C2001" s="5" t="str">
        <f t="shared" si="1"/>
        <v>Klassen</v>
      </c>
      <c r="D2001" s="5" t="str">
        <f t="shared" si="2"/>
        <v> Tara D.</v>
      </c>
    </row>
    <row r="2002" ht="15.75" customHeight="1">
      <c r="A2002" s="5" t="s">
        <v>4003</v>
      </c>
      <c r="B2002" s="5" t="s">
        <v>4004</v>
      </c>
      <c r="C2002" s="5" t="str">
        <f t="shared" si="1"/>
        <v>Musal</v>
      </c>
      <c r="D2002" s="5" t="str">
        <f t="shared" si="2"/>
        <v> Rasim M</v>
      </c>
    </row>
    <row r="2003" ht="15.75" customHeight="1">
      <c r="A2003" s="5" t="s">
        <v>4005</v>
      </c>
      <c r="B2003" s="5" t="s">
        <v>4006</v>
      </c>
      <c r="C2003" s="5" t="str">
        <f t="shared" si="1"/>
        <v>Kitayama</v>
      </c>
      <c r="D2003" s="5" t="str">
        <f t="shared" si="2"/>
        <v> Dina</v>
      </c>
    </row>
    <row r="2004" ht="15.75" customHeight="1">
      <c r="A2004" s="5" t="s">
        <v>4007</v>
      </c>
      <c r="B2004" s="5" t="s">
        <v>4008</v>
      </c>
      <c r="C2004" s="5" t="str">
        <f t="shared" si="1"/>
        <v>Altman</v>
      </c>
      <c r="D2004" s="5" t="str">
        <f t="shared" si="2"/>
        <v> Lisa</v>
      </c>
    </row>
    <row r="2005" ht="15.75" customHeight="1">
      <c r="A2005" s="5" t="s">
        <v>4009</v>
      </c>
      <c r="B2005" s="5" t="s">
        <v>4010</v>
      </c>
      <c r="C2005" s="5" t="str">
        <f t="shared" si="1"/>
        <v>Demchko</v>
      </c>
      <c r="D2005" s="5" t="str">
        <f t="shared" si="2"/>
        <v> Caitrin</v>
      </c>
    </row>
    <row r="2006" ht="15.75" customHeight="1">
      <c r="A2006" s="5" t="s">
        <v>4011</v>
      </c>
      <c r="B2006" s="5" t="s">
        <v>4012</v>
      </c>
      <c r="C2006" s="5" t="str">
        <f t="shared" si="1"/>
        <v>Wild</v>
      </c>
      <c r="D2006" s="5" t="str">
        <f t="shared" si="2"/>
        <v> Adriana S</v>
      </c>
    </row>
    <row r="2007" ht="15.75" customHeight="1">
      <c r="A2007" s="5" t="s">
        <v>4013</v>
      </c>
      <c r="B2007" s="5" t="s">
        <v>4014</v>
      </c>
      <c r="C2007" s="5" t="str">
        <f t="shared" si="1"/>
        <v>Betts</v>
      </c>
      <c r="D2007" s="5" t="str">
        <f t="shared" si="2"/>
        <v> Megan</v>
      </c>
    </row>
    <row r="2008" ht="15.75" customHeight="1">
      <c r="A2008" s="5" t="s">
        <v>4015</v>
      </c>
      <c r="B2008" s="5" t="s">
        <v>4016</v>
      </c>
      <c r="C2008" s="5" t="str">
        <f t="shared" si="1"/>
        <v>Martin</v>
      </c>
      <c r="D2008" s="5" t="str">
        <f t="shared" si="2"/>
        <v> Kristen M</v>
      </c>
    </row>
    <row r="2009" ht="15.75" customHeight="1">
      <c r="A2009" s="5" t="s">
        <v>4017</v>
      </c>
      <c r="B2009" s="5" t="s">
        <v>4018</v>
      </c>
      <c r="C2009" s="5" t="str">
        <f t="shared" si="1"/>
        <v>Vandeventer</v>
      </c>
      <c r="D2009" s="5" t="str">
        <f t="shared" si="2"/>
        <v> Alix</v>
      </c>
    </row>
    <row r="2010" ht="15.75" customHeight="1">
      <c r="A2010" s="5" t="s">
        <v>4019</v>
      </c>
      <c r="B2010" s="5" t="s">
        <v>4020</v>
      </c>
      <c r="C2010" s="5" t="str">
        <f t="shared" si="1"/>
        <v>Hirano</v>
      </c>
      <c r="D2010" s="5" t="str">
        <f t="shared" si="2"/>
        <v> Kakushin</v>
      </c>
    </row>
    <row r="2011" ht="15.75" customHeight="1">
      <c r="A2011" s="5" t="s">
        <v>4021</v>
      </c>
      <c r="B2011" s="5" t="s">
        <v>4022</v>
      </c>
      <c r="C2011" s="5" t="str">
        <f t="shared" si="1"/>
        <v>Davi</v>
      </c>
      <c r="D2011" s="5" t="str">
        <f t="shared" si="2"/>
        <v> Michael J</v>
      </c>
    </row>
    <row r="2012" ht="15.75" customHeight="1">
      <c r="A2012" s="5" t="s">
        <v>4023</v>
      </c>
      <c r="B2012" s="5" t="s">
        <v>4024</v>
      </c>
      <c r="C2012" s="5" t="str">
        <f t="shared" si="1"/>
        <v>Sloan</v>
      </c>
      <c r="D2012" s="5" t="str">
        <f t="shared" si="2"/>
        <v> Bradley</v>
      </c>
    </row>
    <row r="2013" ht="15.75" customHeight="1">
      <c r="A2013" s="5" t="s">
        <v>4025</v>
      </c>
      <c r="B2013" s="5" t="s">
        <v>4026</v>
      </c>
      <c r="C2013" s="5" t="str">
        <f t="shared" si="1"/>
        <v>Homich</v>
      </c>
      <c r="D2013" s="5" t="str">
        <f t="shared" si="2"/>
        <v> Matt</v>
      </c>
    </row>
    <row r="2014" ht="15.75" customHeight="1">
      <c r="A2014" s="5" t="s">
        <v>4027</v>
      </c>
      <c r="B2014" s="5" t="s">
        <v>4028</v>
      </c>
      <c r="C2014" s="5" t="str">
        <f t="shared" si="1"/>
        <v>Bell</v>
      </c>
      <c r="D2014" s="5" t="str">
        <f t="shared" si="2"/>
        <v> Amanda C.</v>
      </c>
    </row>
    <row r="2015" ht="15.75" customHeight="1">
      <c r="A2015" s="5" t="s">
        <v>4029</v>
      </c>
      <c r="B2015" s="5" t="s">
        <v>4030</v>
      </c>
      <c r="C2015" s="5" t="str">
        <f t="shared" si="1"/>
        <v>Kristjansson</v>
      </c>
      <c r="D2015" s="5" t="str">
        <f t="shared" si="2"/>
        <v> Valur</v>
      </c>
    </row>
    <row r="2016" ht="15.75" customHeight="1">
      <c r="A2016" s="5" t="s">
        <v>4031</v>
      </c>
      <c r="B2016" s="5" t="s">
        <v>4032</v>
      </c>
      <c r="C2016" s="5" t="str">
        <f t="shared" si="1"/>
        <v>Pitman</v>
      </c>
      <c r="D2016" s="5" t="str">
        <f t="shared" si="2"/>
        <v> Erica J</v>
      </c>
    </row>
    <row r="2017" ht="15.75" customHeight="1">
      <c r="A2017" s="5" t="s">
        <v>4033</v>
      </c>
      <c r="B2017" s="5" t="s">
        <v>4034</v>
      </c>
      <c r="C2017" s="5" t="str">
        <f t="shared" si="1"/>
        <v>Curley</v>
      </c>
      <c r="D2017" s="5" t="str">
        <f t="shared" si="2"/>
        <v> Stephen F.</v>
      </c>
    </row>
    <row r="2018" ht="15.75" customHeight="1">
      <c r="A2018" s="5" t="s">
        <v>4035</v>
      </c>
      <c r="B2018" s="5" t="s">
        <v>4036</v>
      </c>
      <c r="C2018" s="5" t="str">
        <f t="shared" si="1"/>
        <v>Zimmer</v>
      </c>
      <c r="D2018" s="5" t="str">
        <f t="shared" si="2"/>
        <v> Lissa</v>
      </c>
    </row>
    <row r="2019" ht="15.75" customHeight="1">
      <c r="A2019" s="5" t="s">
        <v>4037</v>
      </c>
      <c r="B2019" s="5" t="s">
        <v>4038</v>
      </c>
      <c r="C2019" s="5" t="str">
        <f t="shared" si="1"/>
        <v>Granski</v>
      </c>
      <c r="D2019" s="5" t="str">
        <f t="shared" si="2"/>
        <v> Megan</v>
      </c>
    </row>
    <row r="2020" ht="15.75" customHeight="1">
      <c r="A2020" s="5" t="s">
        <v>4039</v>
      </c>
      <c r="B2020" s="5" t="s">
        <v>4040</v>
      </c>
      <c r="C2020" s="5" t="str">
        <f t="shared" si="1"/>
        <v>Dunn</v>
      </c>
      <c r="D2020" s="5" t="str">
        <f t="shared" si="2"/>
        <v> Alyson</v>
      </c>
    </row>
    <row r="2021" ht="15.75" customHeight="1">
      <c r="A2021" s="5" t="s">
        <v>4041</v>
      </c>
      <c r="B2021" s="5" t="s">
        <v>4042</v>
      </c>
      <c r="C2021" s="5" t="str">
        <f t="shared" si="1"/>
        <v>Regina</v>
      </c>
      <c r="D2021" s="5" t="str">
        <f t="shared" si="2"/>
        <v> Chance B</v>
      </c>
    </row>
    <row r="2022" ht="15.75" customHeight="1">
      <c r="A2022" s="5" t="s">
        <v>4043</v>
      </c>
      <c r="B2022" s="5" t="s">
        <v>4044</v>
      </c>
      <c r="C2022" s="5" t="str">
        <f t="shared" si="1"/>
        <v>O'Connor</v>
      </c>
      <c r="D2022" s="5" t="str">
        <f t="shared" si="2"/>
        <v> Sean P</v>
      </c>
    </row>
    <row r="2023" ht="15.75" customHeight="1">
      <c r="A2023" s="5" t="s">
        <v>4045</v>
      </c>
      <c r="B2023" s="5" t="s">
        <v>4046</v>
      </c>
      <c r="C2023" s="5" t="str">
        <f t="shared" si="1"/>
        <v>Howe</v>
      </c>
      <c r="D2023" s="5" t="str">
        <f t="shared" si="2"/>
        <v> Therese</v>
      </c>
    </row>
    <row r="2024" ht="15.75" customHeight="1">
      <c r="A2024" s="5" t="s">
        <v>4047</v>
      </c>
      <c r="B2024" s="5" t="s">
        <v>4048</v>
      </c>
      <c r="C2024" s="5" t="str">
        <f t="shared" si="1"/>
        <v>Atwater</v>
      </c>
      <c r="D2024" s="5" t="str">
        <f t="shared" si="2"/>
        <v> Beau</v>
      </c>
    </row>
    <row r="2025" ht="15.75" customHeight="1">
      <c r="A2025" s="5" t="s">
        <v>4049</v>
      </c>
      <c r="B2025" s="5" t="s">
        <v>4050</v>
      </c>
      <c r="C2025" s="5" t="str">
        <f t="shared" si="1"/>
        <v>Gurganus</v>
      </c>
      <c r="D2025" s="5" t="str">
        <f t="shared" si="2"/>
        <v> Kelsey M</v>
      </c>
    </row>
    <row r="2026" ht="15.75" customHeight="1">
      <c r="A2026" s="5" t="s">
        <v>4051</v>
      </c>
      <c r="B2026" s="5" t="s">
        <v>4052</v>
      </c>
      <c r="C2026" s="5" t="str">
        <f t="shared" si="1"/>
        <v>Holden</v>
      </c>
      <c r="D2026" s="5" t="str">
        <f t="shared" si="2"/>
        <v> Gretchen</v>
      </c>
    </row>
    <row r="2027" ht="15.75" customHeight="1">
      <c r="A2027" s="5" t="s">
        <v>4053</v>
      </c>
      <c r="B2027" s="5" t="s">
        <v>4054</v>
      </c>
      <c r="C2027" s="5" t="str">
        <f t="shared" si="1"/>
        <v>Parton</v>
      </c>
      <c r="D2027" s="5" t="str">
        <f t="shared" si="2"/>
        <v> Nicholas E.</v>
      </c>
    </row>
    <row r="2028" ht="15.75" customHeight="1">
      <c r="A2028" s="5" t="s">
        <v>4055</v>
      </c>
      <c r="B2028" s="5" t="s">
        <v>4056</v>
      </c>
      <c r="C2028" s="5" t="str">
        <f t="shared" si="1"/>
        <v>Downs</v>
      </c>
      <c r="D2028" s="5" t="str">
        <f t="shared" si="2"/>
        <v> Deborah</v>
      </c>
    </row>
    <row r="2029" ht="15.75" customHeight="1">
      <c r="A2029" s="5" t="s">
        <v>4057</v>
      </c>
      <c r="B2029" s="5" t="s">
        <v>4058</v>
      </c>
      <c r="C2029" s="5" t="str">
        <f t="shared" si="1"/>
        <v>Dent</v>
      </c>
      <c r="D2029" s="5" t="str">
        <f t="shared" si="2"/>
        <v> Chuck W. Jr.</v>
      </c>
    </row>
    <row r="2030" ht="15.75" customHeight="1">
      <c r="A2030" s="5" t="s">
        <v>4059</v>
      </c>
      <c r="B2030" s="5" t="s">
        <v>4060</v>
      </c>
      <c r="C2030" s="5" t="str">
        <f t="shared" si="1"/>
        <v>Ranti</v>
      </c>
      <c r="D2030" s="5" t="str">
        <f t="shared" si="2"/>
        <v> Daniel</v>
      </c>
    </row>
    <row r="2031" ht="15.75" customHeight="1">
      <c r="A2031" s="5" t="s">
        <v>4061</v>
      </c>
      <c r="B2031" s="5" t="s">
        <v>4062</v>
      </c>
      <c r="C2031" s="5" t="str">
        <f t="shared" si="1"/>
        <v>Ishaq</v>
      </c>
      <c r="D2031" s="5" t="str">
        <f t="shared" si="2"/>
        <v> Amany</v>
      </c>
    </row>
    <row r="2032" ht="15.75" customHeight="1">
      <c r="A2032" s="5" t="s">
        <v>4063</v>
      </c>
      <c r="B2032" s="5" t="s">
        <v>4064</v>
      </c>
      <c r="C2032" s="5" t="str">
        <f t="shared" si="1"/>
        <v>Wiles</v>
      </c>
      <c r="D2032" s="5" t="str">
        <f t="shared" si="2"/>
        <v> Kipling</v>
      </c>
    </row>
    <row r="2033" ht="15.75" customHeight="1">
      <c r="A2033" s="5" t="s">
        <v>4065</v>
      </c>
      <c r="B2033" s="5" t="s">
        <v>4066</v>
      </c>
      <c r="C2033" s="5" t="str">
        <f t="shared" si="1"/>
        <v>Roberts</v>
      </c>
      <c r="D2033" s="5" t="str">
        <f t="shared" si="2"/>
        <v> Duncan</v>
      </c>
    </row>
    <row r="2034" ht="15.75" customHeight="1">
      <c r="A2034" s="5" t="s">
        <v>4067</v>
      </c>
      <c r="B2034" s="5" t="s">
        <v>4068</v>
      </c>
      <c r="C2034" s="5" t="str">
        <f t="shared" si="1"/>
        <v>Serafini</v>
      </c>
      <c r="D2034" s="5" t="str">
        <f t="shared" si="2"/>
        <v> Louis C.</v>
      </c>
    </row>
    <row r="2035" ht="15.75" customHeight="1">
      <c r="A2035" s="5" t="s">
        <v>4069</v>
      </c>
      <c r="B2035" s="5" t="s">
        <v>4070</v>
      </c>
      <c r="C2035" s="5" t="str">
        <f t="shared" si="1"/>
        <v>Button</v>
      </c>
      <c r="D2035" s="5" t="str">
        <f t="shared" si="2"/>
        <v> Daniel J</v>
      </c>
    </row>
    <row r="2036" ht="15.75" customHeight="1">
      <c r="A2036" s="5" t="s">
        <v>4071</v>
      </c>
      <c r="B2036" s="5" t="s">
        <v>4072</v>
      </c>
      <c r="C2036" s="5" t="str">
        <f t="shared" si="1"/>
        <v>Gaal</v>
      </c>
      <c r="D2036" s="5" t="str">
        <f t="shared" si="2"/>
        <v> Ildiko M.</v>
      </c>
    </row>
    <row r="2037" ht="15.75" customHeight="1">
      <c r="A2037" s="5" t="s">
        <v>4073</v>
      </c>
      <c r="B2037" s="5" t="s">
        <v>4074</v>
      </c>
      <c r="C2037" s="5" t="str">
        <f t="shared" si="1"/>
        <v>Liptak</v>
      </c>
      <c r="D2037" s="5" t="str">
        <f t="shared" si="2"/>
        <v> Melinda E.</v>
      </c>
    </row>
    <row r="2038" ht="15.75" customHeight="1">
      <c r="A2038" s="5" t="s">
        <v>4075</v>
      </c>
      <c r="B2038" s="5" t="s">
        <v>4076</v>
      </c>
      <c r="C2038" s="5" t="str">
        <f t="shared" si="1"/>
        <v>Kellam</v>
      </c>
      <c r="D2038" s="5" t="str">
        <f t="shared" si="2"/>
        <v> Ashley M</v>
      </c>
    </row>
    <row r="2039" ht="15.75" customHeight="1">
      <c r="A2039" s="5" t="s">
        <v>4077</v>
      </c>
      <c r="B2039" s="5" t="s">
        <v>4078</v>
      </c>
      <c r="C2039" s="5" t="str">
        <f t="shared" si="1"/>
        <v>Gordon</v>
      </c>
      <c r="D2039" s="5" t="str">
        <f t="shared" si="2"/>
        <v> Stephanie</v>
      </c>
    </row>
    <row r="2040" ht="15.75" customHeight="1">
      <c r="A2040" s="5" t="s">
        <v>4079</v>
      </c>
      <c r="B2040" s="5" t="s">
        <v>4080</v>
      </c>
      <c r="C2040" s="5" t="str">
        <f t="shared" si="1"/>
        <v>Hyland</v>
      </c>
      <c r="D2040" s="5" t="str">
        <f t="shared" si="2"/>
        <v> Sean P.</v>
      </c>
    </row>
    <row r="2041" ht="15.75" customHeight="1">
      <c r="A2041" s="5" t="s">
        <v>4081</v>
      </c>
      <c r="B2041" s="5" t="s">
        <v>4082</v>
      </c>
      <c r="C2041" s="5" t="str">
        <f t="shared" si="1"/>
        <v>Wagoner</v>
      </c>
      <c r="D2041" s="5" t="str">
        <f t="shared" si="2"/>
        <v> Emily G</v>
      </c>
    </row>
    <row r="2042" ht="15.75" customHeight="1">
      <c r="A2042" s="5" t="s">
        <v>4083</v>
      </c>
      <c r="B2042" s="5" t="s">
        <v>4084</v>
      </c>
      <c r="C2042" s="5" t="str">
        <f t="shared" si="1"/>
        <v>Thomas</v>
      </c>
      <c r="D2042" s="5" t="str">
        <f t="shared" si="2"/>
        <v> Malcolm</v>
      </c>
    </row>
    <row r="2043" ht="15.75" customHeight="1">
      <c r="A2043" s="5" t="s">
        <v>4085</v>
      </c>
      <c r="B2043" s="5" t="s">
        <v>4086</v>
      </c>
      <c r="C2043" s="5" t="str">
        <f t="shared" si="1"/>
        <v>Goffi</v>
      </c>
      <c r="D2043" s="5" t="str">
        <f t="shared" si="2"/>
        <v> Danilo</v>
      </c>
    </row>
    <row r="2044" ht="15.75" customHeight="1">
      <c r="A2044" s="5" t="s">
        <v>4087</v>
      </c>
      <c r="B2044" s="5" t="s">
        <v>4088</v>
      </c>
      <c r="C2044" s="5" t="str">
        <f t="shared" si="1"/>
        <v>Salovaara</v>
      </c>
      <c r="D2044" s="5" t="str">
        <f t="shared" si="2"/>
        <v> Mikko</v>
      </c>
    </row>
    <row r="2045" ht="15.75" customHeight="1">
      <c r="A2045" s="5" t="s">
        <v>4089</v>
      </c>
      <c r="B2045" s="5" t="s">
        <v>4090</v>
      </c>
      <c r="C2045" s="5" t="str">
        <f t="shared" si="1"/>
        <v>Reid</v>
      </c>
      <c r="D2045" s="5" t="str">
        <f t="shared" si="2"/>
        <v> Paula C.</v>
      </c>
    </row>
    <row r="2046" ht="15.75" customHeight="1">
      <c r="A2046" s="5" t="s">
        <v>4091</v>
      </c>
      <c r="B2046" s="5" t="s">
        <v>4092</v>
      </c>
      <c r="C2046" s="5" t="str">
        <f t="shared" si="1"/>
        <v>Allan</v>
      </c>
      <c r="D2046" s="5" t="str">
        <f t="shared" si="2"/>
        <v> Kirsten N.</v>
      </c>
    </row>
    <row r="2047" ht="15.75" customHeight="1">
      <c r="A2047" s="5" t="s">
        <v>4093</v>
      </c>
      <c r="B2047" s="5" t="s">
        <v>4094</v>
      </c>
      <c r="C2047" s="5" t="str">
        <f t="shared" si="1"/>
        <v>McLaughlin</v>
      </c>
      <c r="D2047" s="5" t="str">
        <f t="shared" si="2"/>
        <v> Christy</v>
      </c>
    </row>
    <row r="2048" ht="15.75" customHeight="1">
      <c r="A2048" s="5" t="s">
        <v>4095</v>
      </c>
      <c r="B2048" s="5" t="s">
        <v>4096</v>
      </c>
      <c r="C2048" s="5" t="str">
        <f t="shared" si="1"/>
        <v>Lee</v>
      </c>
      <c r="D2048" s="5" t="str">
        <f t="shared" si="2"/>
        <v> Jennifer</v>
      </c>
    </row>
    <row r="2049" ht="15.75" customHeight="1">
      <c r="A2049" s="5" t="s">
        <v>4097</v>
      </c>
      <c r="B2049" s="5" t="s">
        <v>4098</v>
      </c>
      <c r="C2049" s="5" t="str">
        <f t="shared" si="1"/>
        <v>Tang</v>
      </c>
      <c r="D2049" s="5" t="str">
        <f t="shared" si="2"/>
        <v> Jingjing</v>
      </c>
    </row>
    <row r="2050" ht="15.75" customHeight="1">
      <c r="A2050" s="5" t="s">
        <v>4099</v>
      </c>
      <c r="B2050" s="5" t="s">
        <v>4100</v>
      </c>
      <c r="C2050" s="5" t="str">
        <f t="shared" si="1"/>
        <v>Kennedy</v>
      </c>
      <c r="D2050" s="5" t="str">
        <f t="shared" si="2"/>
        <v> Morgan</v>
      </c>
    </row>
    <row r="2051" ht="15.75" customHeight="1">
      <c r="A2051" s="5" t="s">
        <v>4101</v>
      </c>
      <c r="B2051" s="5" t="s">
        <v>4102</v>
      </c>
      <c r="C2051" s="5" t="str">
        <f t="shared" si="1"/>
        <v>Condon</v>
      </c>
      <c r="D2051" s="5" t="str">
        <f t="shared" si="2"/>
        <v> Patrick J.</v>
      </c>
    </row>
    <row r="2052" ht="15.75" customHeight="1">
      <c r="A2052" s="5" t="s">
        <v>4103</v>
      </c>
      <c r="B2052" s="5" t="s">
        <v>4104</v>
      </c>
      <c r="C2052" s="5" t="str">
        <f t="shared" si="1"/>
        <v>Chepkwony</v>
      </c>
      <c r="D2052" s="5" t="str">
        <f t="shared" si="2"/>
        <v> Frankline</v>
      </c>
    </row>
    <row r="2053" ht="15.75" customHeight="1">
      <c r="A2053" s="5" t="s">
        <v>4105</v>
      </c>
      <c r="B2053" s="5" t="s">
        <v>4106</v>
      </c>
      <c r="C2053" s="5" t="str">
        <f t="shared" si="1"/>
        <v>Rodriguez</v>
      </c>
      <c r="D2053" s="5" t="str">
        <f t="shared" si="2"/>
        <v> Laura T.</v>
      </c>
    </row>
    <row r="2054" ht="15.75" customHeight="1">
      <c r="A2054" s="5" t="s">
        <v>4107</v>
      </c>
      <c r="B2054" s="5" t="s">
        <v>4108</v>
      </c>
      <c r="C2054" s="5" t="str">
        <f t="shared" si="1"/>
        <v>Szynkarczuk</v>
      </c>
      <c r="D2054" s="5" t="str">
        <f t="shared" si="2"/>
        <v> Natalia</v>
      </c>
    </row>
    <row r="2055" ht="15.75" customHeight="1">
      <c r="A2055" s="5" t="s">
        <v>4109</v>
      </c>
      <c r="B2055" s="5" t="s">
        <v>4110</v>
      </c>
      <c r="C2055" s="5" t="str">
        <f t="shared" si="1"/>
        <v>Brill</v>
      </c>
      <c r="D2055" s="5" t="str">
        <f t="shared" si="2"/>
        <v> Jennifer L.</v>
      </c>
    </row>
    <row r="2056" ht="15.75" customHeight="1">
      <c r="A2056" s="5" t="s">
        <v>4111</v>
      </c>
      <c r="B2056" s="5" t="s">
        <v>4112</v>
      </c>
      <c r="C2056" s="5" t="str">
        <f t="shared" si="1"/>
        <v>Adams</v>
      </c>
      <c r="D2056" s="5" t="str">
        <f t="shared" si="2"/>
        <v> Brooke</v>
      </c>
    </row>
    <row r="2057" ht="15.75" customHeight="1">
      <c r="A2057" s="5" t="s">
        <v>4113</v>
      </c>
      <c r="B2057" s="5" t="s">
        <v>4114</v>
      </c>
      <c r="C2057" s="5" t="str">
        <f t="shared" si="1"/>
        <v>Nunn</v>
      </c>
      <c r="D2057" s="5" t="str">
        <f t="shared" si="2"/>
        <v> Jeremy M</v>
      </c>
    </row>
    <row r="2058" ht="15.75" customHeight="1">
      <c r="A2058" s="5" t="s">
        <v>4115</v>
      </c>
      <c r="B2058" s="5" t="s">
        <v>4116</v>
      </c>
      <c r="C2058" s="5" t="str">
        <f t="shared" si="1"/>
        <v>Blair</v>
      </c>
      <c r="D2058" s="5" t="str">
        <f t="shared" si="2"/>
        <v> Megan L.</v>
      </c>
    </row>
    <row r="2059" ht="15.75" customHeight="1">
      <c r="A2059" s="5" t="s">
        <v>4117</v>
      </c>
      <c r="B2059" s="5" t="s">
        <v>4118</v>
      </c>
      <c r="C2059" s="5" t="str">
        <f t="shared" si="1"/>
        <v>Sharkey</v>
      </c>
      <c r="D2059" s="5" t="str">
        <f t="shared" si="2"/>
        <v> Bryan</v>
      </c>
    </row>
    <row r="2060" ht="15.75" customHeight="1">
      <c r="A2060" s="5" t="s">
        <v>4119</v>
      </c>
      <c r="B2060" s="5" t="s">
        <v>4120</v>
      </c>
      <c r="C2060" s="5" t="str">
        <f t="shared" si="1"/>
        <v>Scalard</v>
      </c>
      <c r="D2060" s="5" t="str">
        <f t="shared" si="2"/>
        <v> Marny</v>
      </c>
    </row>
    <row r="2061" ht="15.75" customHeight="1">
      <c r="A2061" s="5" t="s">
        <v>4121</v>
      </c>
      <c r="B2061" s="5" t="s">
        <v>4122</v>
      </c>
      <c r="C2061" s="5" t="str">
        <f t="shared" si="1"/>
        <v>Burget</v>
      </c>
      <c r="D2061" s="5" t="str">
        <f t="shared" si="2"/>
        <v> Marc</v>
      </c>
    </row>
    <row r="2062" ht="15.75" customHeight="1">
      <c r="A2062" s="5" t="s">
        <v>4123</v>
      </c>
      <c r="B2062" s="5" t="s">
        <v>4124</v>
      </c>
      <c r="C2062" s="5" t="str">
        <f t="shared" si="1"/>
        <v>English</v>
      </c>
      <c r="D2062" s="5" t="str">
        <f t="shared" si="2"/>
        <v> Benjamin L</v>
      </c>
    </row>
    <row r="2063" ht="15.75" customHeight="1">
      <c r="A2063" s="5" t="s">
        <v>4125</v>
      </c>
      <c r="B2063" s="5" t="s">
        <v>4126</v>
      </c>
      <c r="C2063" s="5" t="str">
        <f t="shared" si="1"/>
        <v>Hampton</v>
      </c>
      <c r="D2063" s="5" t="str">
        <f t="shared" si="2"/>
        <v> Rob G</v>
      </c>
    </row>
    <row r="2064" ht="15.75" customHeight="1">
      <c r="A2064" s="5" t="s">
        <v>4127</v>
      </c>
      <c r="B2064" s="5" t="s">
        <v>4128</v>
      </c>
      <c r="C2064" s="5" t="str">
        <f t="shared" si="1"/>
        <v>Flynn</v>
      </c>
      <c r="D2064" s="5" t="str">
        <f t="shared" si="2"/>
        <v> Stefanie A</v>
      </c>
    </row>
    <row r="2065" ht="15.75" customHeight="1">
      <c r="A2065" s="5" t="s">
        <v>4129</v>
      </c>
      <c r="B2065" s="5" t="s">
        <v>4130</v>
      </c>
      <c r="C2065" s="5" t="str">
        <f t="shared" si="1"/>
        <v>Knast</v>
      </c>
      <c r="D2065" s="5" t="str">
        <f t="shared" si="2"/>
        <v> Stephanie</v>
      </c>
    </row>
    <row r="2066" ht="15.75" customHeight="1">
      <c r="A2066" s="5" t="s">
        <v>4131</v>
      </c>
      <c r="B2066" s="5" t="s">
        <v>4132</v>
      </c>
      <c r="C2066" s="5" t="str">
        <f t="shared" si="1"/>
        <v>Lucas</v>
      </c>
      <c r="D2066" s="5" t="str">
        <f t="shared" si="2"/>
        <v> Caroline F.</v>
      </c>
    </row>
    <row r="2067" ht="15.75" customHeight="1">
      <c r="A2067" s="5" t="s">
        <v>4133</v>
      </c>
      <c r="B2067" s="5" t="s">
        <v>4134</v>
      </c>
      <c r="C2067" s="5" t="str">
        <f t="shared" si="1"/>
        <v>Thomas</v>
      </c>
      <c r="D2067" s="5" t="str">
        <f t="shared" si="2"/>
        <v> Julia J.</v>
      </c>
    </row>
    <row r="2068" ht="15.75" customHeight="1">
      <c r="A2068" s="5" t="s">
        <v>4135</v>
      </c>
      <c r="B2068" s="5" t="s">
        <v>4136</v>
      </c>
      <c r="C2068" s="5" t="str">
        <f t="shared" si="1"/>
        <v>Cherewatti</v>
      </c>
      <c r="D2068" s="5" t="str">
        <f t="shared" si="2"/>
        <v> Jack</v>
      </c>
    </row>
    <row r="2069" ht="15.75" customHeight="1">
      <c r="A2069" s="5" t="s">
        <v>4137</v>
      </c>
      <c r="B2069" s="5" t="s">
        <v>4138</v>
      </c>
      <c r="C2069" s="5" t="str">
        <f t="shared" si="1"/>
        <v>Olle</v>
      </c>
      <c r="D2069" s="5" t="str">
        <f t="shared" si="2"/>
        <v> Bernat</v>
      </c>
    </row>
    <row r="2070" ht="15.75" customHeight="1">
      <c r="A2070" s="5" t="s">
        <v>4139</v>
      </c>
      <c r="B2070" s="5" t="s">
        <v>4140</v>
      </c>
      <c r="C2070" s="5" t="str">
        <f t="shared" si="1"/>
        <v>Hamsi</v>
      </c>
      <c r="D2070" s="5" t="str">
        <f t="shared" si="2"/>
        <v> Hicham</v>
      </c>
    </row>
    <row r="2071" ht="15.75" customHeight="1">
      <c r="A2071" s="5" t="s">
        <v>4141</v>
      </c>
      <c r="B2071" s="5" t="s">
        <v>4142</v>
      </c>
      <c r="C2071" s="5" t="str">
        <f t="shared" si="1"/>
        <v>Finnegan</v>
      </c>
      <c r="D2071" s="5" t="str">
        <f t="shared" si="2"/>
        <v> Sarah</v>
      </c>
    </row>
    <row r="2072" ht="15.75" customHeight="1">
      <c r="A2072" s="5" t="s">
        <v>4143</v>
      </c>
      <c r="B2072" s="5" t="s">
        <v>4144</v>
      </c>
      <c r="C2072" s="5" t="str">
        <f t="shared" si="1"/>
        <v>Walsh</v>
      </c>
      <c r="D2072" s="5" t="str">
        <f t="shared" si="2"/>
        <v> Anthony S</v>
      </c>
    </row>
    <row r="2073" ht="15.75" customHeight="1">
      <c r="A2073" s="5" t="s">
        <v>4145</v>
      </c>
      <c r="B2073" s="5" t="s">
        <v>4146</v>
      </c>
      <c r="C2073" s="5" t="str">
        <f t="shared" si="1"/>
        <v>Villa</v>
      </c>
      <c r="D2073" s="5" t="str">
        <f t="shared" si="2"/>
        <v> Elisabetta</v>
      </c>
    </row>
    <row r="2074" ht="15.75" customHeight="1">
      <c r="A2074" s="5" t="s">
        <v>4147</v>
      </c>
      <c r="B2074" s="5" t="s">
        <v>4148</v>
      </c>
      <c r="C2074" s="5" t="str">
        <f t="shared" si="1"/>
        <v>Cable</v>
      </c>
      <c r="D2074" s="5" t="str">
        <f t="shared" si="2"/>
        <v> Trevor N.</v>
      </c>
    </row>
    <row r="2075" ht="15.75" customHeight="1">
      <c r="A2075" s="5" t="s">
        <v>4149</v>
      </c>
      <c r="B2075" s="5" t="s">
        <v>4150</v>
      </c>
      <c r="C2075" s="5" t="str">
        <f t="shared" si="1"/>
        <v>Eiring</v>
      </c>
      <c r="D2075" s="5" t="str">
        <f t="shared" si="2"/>
        <v> Nancy</v>
      </c>
    </row>
    <row r="2076" ht="15.75" customHeight="1">
      <c r="A2076" s="5" t="s">
        <v>4151</v>
      </c>
      <c r="B2076" s="5" t="s">
        <v>4152</v>
      </c>
      <c r="C2076" s="5" t="str">
        <f t="shared" si="1"/>
        <v>Connor</v>
      </c>
      <c r="D2076" s="5" t="str">
        <f t="shared" si="2"/>
        <v> Allison R.</v>
      </c>
    </row>
    <row r="2077" ht="15.75" customHeight="1">
      <c r="A2077" s="5" t="s">
        <v>4153</v>
      </c>
      <c r="B2077" s="5" t="s">
        <v>4154</v>
      </c>
      <c r="C2077" s="5" t="str">
        <f t="shared" si="1"/>
        <v>Friedman</v>
      </c>
      <c r="D2077" s="5" t="str">
        <f t="shared" si="2"/>
        <v> Robert J.</v>
      </c>
    </row>
    <row r="2078" ht="15.75" customHeight="1">
      <c r="A2078" s="5" t="s">
        <v>4155</v>
      </c>
      <c r="B2078" s="5" t="s">
        <v>4156</v>
      </c>
      <c r="C2078" s="5" t="str">
        <f t="shared" si="1"/>
        <v>Croker</v>
      </c>
      <c r="D2078" s="5" t="str">
        <f t="shared" si="2"/>
        <v> Nicholas</v>
      </c>
    </row>
    <row r="2079" ht="15.75" customHeight="1">
      <c r="A2079" s="5" t="s">
        <v>4157</v>
      </c>
      <c r="B2079" s="5" t="s">
        <v>4158</v>
      </c>
      <c r="C2079" s="5" t="str">
        <f t="shared" si="1"/>
        <v>Beganics</v>
      </c>
      <c r="D2079" s="5" t="str">
        <f t="shared" si="2"/>
        <v> Kevin L</v>
      </c>
    </row>
    <row r="2080" ht="15.75" customHeight="1">
      <c r="A2080" s="5" t="s">
        <v>4159</v>
      </c>
      <c r="B2080" s="5" t="s">
        <v>4160</v>
      </c>
      <c r="C2080" s="5" t="str">
        <f t="shared" si="1"/>
        <v>Huberty</v>
      </c>
      <c r="D2080" s="5" t="str">
        <f t="shared" si="2"/>
        <v> Bryan</v>
      </c>
    </row>
    <row r="2081" ht="15.75" customHeight="1">
      <c r="A2081" s="5" t="s">
        <v>4161</v>
      </c>
      <c r="B2081" s="5" t="s">
        <v>4162</v>
      </c>
      <c r="C2081" s="5" t="str">
        <f t="shared" si="1"/>
        <v>Jacobs</v>
      </c>
      <c r="D2081" s="5" t="str">
        <f t="shared" si="2"/>
        <v> Janae N.</v>
      </c>
    </row>
    <row r="2082" ht="15.75" customHeight="1">
      <c r="A2082" s="5" t="s">
        <v>4163</v>
      </c>
      <c r="B2082" s="5" t="s">
        <v>4164</v>
      </c>
      <c r="C2082" s="5" t="str">
        <f t="shared" si="1"/>
        <v>Hazlehurst</v>
      </c>
      <c r="D2082" s="5" t="str">
        <f t="shared" si="2"/>
        <v> Audrey</v>
      </c>
    </row>
    <row r="2083" ht="15.75" customHeight="1">
      <c r="A2083" s="5" t="s">
        <v>4165</v>
      </c>
      <c r="B2083" s="5" t="s">
        <v>4166</v>
      </c>
      <c r="C2083" s="5" t="str">
        <f t="shared" si="1"/>
        <v>Marin</v>
      </c>
      <c r="D2083" s="5" t="str">
        <f t="shared" si="2"/>
        <v> Laura</v>
      </c>
    </row>
    <row r="2084" ht="15.75" customHeight="1">
      <c r="A2084" s="5" t="s">
        <v>4167</v>
      </c>
      <c r="B2084" s="5" t="s">
        <v>4168</v>
      </c>
      <c r="C2084" s="5" t="str">
        <f t="shared" si="1"/>
        <v>Dear</v>
      </c>
      <c r="D2084" s="5" t="str">
        <f t="shared" si="2"/>
        <v> Nicole F</v>
      </c>
    </row>
    <row r="2085" ht="15.75" customHeight="1">
      <c r="A2085" s="5" t="s">
        <v>4169</v>
      </c>
      <c r="B2085" s="5" t="s">
        <v>4170</v>
      </c>
      <c r="C2085" s="5" t="str">
        <f t="shared" si="1"/>
        <v>Lederer</v>
      </c>
      <c r="D2085" s="5" t="str">
        <f t="shared" si="2"/>
        <v> Krista L</v>
      </c>
    </row>
    <row r="2086" ht="15.75" customHeight="1">
      <c r="A2086" s="5" t="s">
        <v>4171</v>
      </c>
      <c r="B2086" s="5" t="s">
        <v>4172</v>
      </c>
      <c r="C2086" s="5" t="str">
        <f t="shared" si="1"/>
        <v>Robson</v>
      </c>
      <c r="D2086" s="5" t="str">
        <f t="shared" si="2"/>
        <v> Denise</v>
      </c>
    </row>
    <row r="2087" ht="15.75" customHeight="1">
      <c r="A2087" s="5" t="s">
        <v>4173</v>
      </c>
      <c r="B2087" s="5" t="s">
        <v>4174</v>
      </c>
      <c r="C2087" s="5" t="str">
        <f t="shared" si="1"/>
        <v>Galvan</v>
      </c>
      <c r="D2087" s="5" t="str">
        <f t="shared" si="2"/>
        <v> Ariel</v>
      </c>
    </row>
    <row r="2088" ht="15.75" customHeight="1">
      <c r="A2088" s="5" t="s">
        <v>4175</v>
      </c>
      <c r="B2088" s="5" t="s">
        <v>4176</v>
      </c>
      <c r="C2088" s="5" t="str">
        <f t="shared" si="1"/>
        <v>Walsh</v>
      </c>
      <c r="D2088" s="5" t="str">
        <f t="shared" si="2"/>
        <v> Jeremy</v>
      </c>
    </row>
    <row r="2089" ht="15.75" customHeight="1">
      <c r="A2089" s="5" t="s">
        <v>4177</v>
      </c>
      <c r="B2089" s="5" t="s">
        <v>4178</v>
      </c>
      <c r="C2089" s="5" t="str">
        <f t="shared" si="1"/>
        <v>Teeuwen</v>
      </c>
      <c r="D2089" s="5" t="str">
        <f t="shared" si="2"/>
        <v> Rosalie</v>
      </c>
    </row>
    <row r="2090" ht="15.75" customHeight="1">
      <c r="A2090" s="5" t="s">
        <v>4179</v>
      </c>
      <c r="B2090" s="5" t="s">
        <v>4180</v>
      </c>
      <c r="C2090" s="5" t="str">
        <f t="shared" si="1"/>
        <v>List</v>
      </c>
      <c r="D2090" s="5" t="str">
        <f t="shared" si="2"/>
        <v> Jay</v>
      </c>
    </row>
    <row r="2091" ht="15.75" customHeight="1">
      <c r="A2091" s="5" t="s">
        <v>4181</v>
      </c>
      <c r="B2091" s="5" t="s">
        <v>4182</v>
      </c>
      <c r="C2091" s="5" t="str">
        <f t="shared" si="1"/>
        <v>Shafar</v>
      </c>
      <c r="D2091" s="5" t="str">
        <f t="shared" si="2"/>
        <v> Vitaliy</v>
      </c>
    </row>
    <row r="2092" ht="15.75" customHeight="1">
      <c r="A2092" s="5" t="s">
        <v>4183</v>
      </c>
      <c r="B2092" s="5" t="s">
        <v>4184</v>
      </c>
      <c r="C2092" s="5" t="str">
        <f t="shared" si="1"/>
        <v>Copenhaver</v>
      </c>
      <c r="D2092" s="5" t="str">
        <f t="shared" si="2"/>
        <v> Benjamin W.</v>
      </c>
    </row>
    <row r="2093" ht="15.75" customHeight="1">
      <c r="A2093" s="5" t="s">
        <v>4185</v>
      </c>
      <c r="B2093" s="5" t="s">
        <v>4186</v>
      </c>
      <c r="C2093" s="5" t="str">
        <f t="shared" si="1"/>
        <v>Stump</v>
      </c>
      <c r="D2093" s="5" t="str">
        <f t="shared" si="2"/>
        <v> Jesse</v>
      </c>
    </row>
    <row r="2094" ht="15.75" customHeight="1">
      <c r="A2094" s="5" t="s">
        <v>4187</v>
      </c>
      <c r="B2094" s="5" t="s">
        <v>4188</v>
      </c>
      <c r="C2094" s="5" t="str">
        <f t="shared" si="1"/>
        <v>Wehrman</v>
      </c>
      <c r="D2094" s="5" t="str">
        <f t="shared" si="2"/>
        <v> Mark</v>
      </c>
    </row>
    <row r="2095" ht="15.75" customHeight="1">
      <c r="A2095" s="5" t="s">
        <v>4189</v>
      </c>
      <c r="B2095" s="5" t="s">
        <v>4190</v>
      </c>
      <c r="C2095" s="5" t="str">
        <f t="shared" si="1"/>
        <v>Sischo</v>
      </c>
      <c r="D2095" s="5" t="str">
        <f t="shared" si="2"/>
        <v> Lauren</v>
      </c>
    </row>
    <row r="2096" ht="15.75" customHeight="1">
      <c r="A2096" s="5" t="s">
        <v>4191</v>
      </c>
      <c r="B2096" s="5" t="s">
        <v>4192</v>
      </c>
      <c r="C2096" s="5" t="str">
        <f t="shared" si="1"/>
        <v>Fonti</v>
      </c>
      <c r="D2096" s="5" t="str">
        <f t="shared" si="2"/>
        <v> Massimiliano</v>
      </c>
    </row>
    <row r="2097" ht="15.75" customHeight="1">
      <c r="A2097" s="5" t="s">
        <v>4193</v>
      </c>
      <c r="B2097" s="5" t="s">
        <v>4194</v>
      </c>
      <c r="C2097" s="5" t="str">
        <f t="shared" si="1"/>
        <v>Merlis</v>
      </c>
      <c r="D2097" s="5" t="str">
        <f t="shared" si="2"/>
        <v> Josh</v>
      </c>
    </row>
    <row r="2098" ht="15.75" customHeight="1">
      <c r="A2098" s="5" t="s">
        <v>4195</v>
      </c>
      <c r="B2098" s="5" t="s">
        <v>4196</v>
      </c>
      <c r="C2098" s="5" t="str">
        <f t="shared" si="1"/>
        <v>Hasegawa</v>
      </c>
      <c r="D2098" s="5" t="str">
        <f t="shared" si="2"/>
        <v> Kiyokatsu</v>
      </c>
    </row>
    <row r="2099" ht="15.75" customHeight="1">
      <c r="A2099" s="5" t="s">
        <v>4197</v>
      </c>
      <c r="B2099" s="5" t="s">
        <v>4198</v>
      </c>
      <c r="C2099" s="5" t="str">
        <f t="shared" si="1"/>
        <v>Haselden</v>
      </c>
      <c r="D2099" s="5" t="str">
        <f t="shared" si="2"/>
        <v> Amanda L</v>
      </c>
    </row>
    <row r="2100" ht="15.75" customHeight="1">
      <c r="A2100" s="5" t="s">
        <v>4199</v>
      </c>
      <c r="B2100" s="5" t="s">
        <v>4200</v>
      </c>
      <c r="C2100" s="5" t="str">
        <f t="shared" si="1"/>
        <v>Simonson</v>
      </c>
      <c r="D2100" s="5" t="str">
        <f t="shared" si="2"/>
        <v> Matthew</v>
      </c>
    </row>
    <row r="2101" ht="15.75" customHeight="1">
      <c r="A2101" s="5" t="s">
        <v>4201</v>
      </c>
      <c r="B2101" s="5" t="s">
        <v>4202</v>
      </c>
      <c r="C2101" s="5" t="str">
        <f t="shared" si="1"/>
        <v>Montag</v>
      </c>
      <c r="D2101" s="5" t="str">
        <f t="shared" si="2"/>
        <v> Julia M</v>
      </c>
    </row>
    <row r="2102" ht="15.75" customHeight="1">
      <c r="A2102" s="5" t="s">
        <v>4203</v>
      </c>
      <c r="B2102" s="5" t="s">
        <v>4204</v>
      </c>
      <c r="C2102" s="5" t="str">
        <f t="shared" si="1"/>
        <v>Deroian</v>
      </c>
      <c r="D2102" s="5" t="str">
        <f t="shared" si="2"/>
        <v> Rhea</v>
      </c>
    </row>
    <row r="2103" ht="15.75" customHeight="1">
      <c r="A2103" s="5" t="s">
        <v>4205</v>
      </c>
      <c r="B2103" s="5" t="s">
        <v>4206</v>
      </c>
      <c r="C2103" s="5" t="str">
        <f t="shared" si="1"/>
        <v>Goetz</v>
      </c>
      <c r="D2103" s="5" t="str">
        <f t="shared" si="2"/>
        <v> Justin</v>
      </c>
    </row>
    <row r="2104" ht="15.75" customHeight="1">
      <c r="A2104" s="5" t="s">
        <v>4207</v>
      </c>
      <c r="B2104" s="5" t="s">
        <v>4208</v>
      </c>
      <c r="C2104" s="5" t="str">
        <f t="shared" si="1"/>
        <v>Brady</v>
      </c>
      <c r="D2104" s="5" t="str">
        <f t="shared" si="2"/>
        <v> Shamus M.</v>
      </c>
    </row>
    <row r="2105" ht="15.75" customHeight="1">
      <c r="A2105" s="5" t="s">
        <v>4209</v>
      </c>
      <c r="B2105" s="5" t="s">
        <v>4210</v>
      </c>
      <c r="C2105" s="5" t="str">
        <f t="shared" si="1"/>
        <v>Moran</v>
      </c>
      <c r="D2105" s="5" t="str">
        <f t="shared" si="2"/>
        <v> Mike</v>
      </c>
    </row>
    <row r="2106" ht="15.75" customHeight="1">
      <c r="A2106" s="5" t="s">
        <v>4211</v>
      </c>
      <c r="B2106" s="5" t="s">
        <v>4212</v>
      </c>
      <c r="C2106" s="5" t="str">
        <f t="shared" si="1"/>
        <v>Strickler</v>
      </c>
      <c r="D2106" s="5" t="str">
        <f t="shared" si="2"/>
        <v> Mary Beth</v>
      </c>
    </row>
    <row r="2107" ht="15.75" customHeight="1">
      <c r="A2107" s="5" t="s">
        <v>4213</v>
      </c>
      <c r="B2107" s="5" t="s">
        <v>4214</v>
      </c>
      <c r="C2107" s="5" t="str">
        <f t="shared" si="1"/>
        <v>Simone</v>
      </c>
      <c r="D2107" s="5" t="str">
        <f t="shared" si="2"/>
        <v> Erin</v>
      </c>
    </row>
    <row r="2108" ht="15.75" customHeight="1">
      <c r="A2108" s="5" t="s">
        <v>4215</v>
      </c>
      <c r="B2108" s="5" t="s">
        <v>4216</v>
      </c>
      <c r="C2108" s="5" t="str">
        <f t="shared" si="1"/>
        <v>Vo</v>
      </c>
      <c r="D2108" s="5" t="str">
        <f t="shared" si="2"/>
        <v> Hallie</v>
      </c>
    </row>
    <row r="2109" ht="15.75" customHeight="1">
      <c r="A2109" s="5" t="s">
        <v>4217</v>
      </c>
      <c r="B2109" s="5" t="s">
        <v>4218</v>
      </c>
      <c r="C2109" s="5" t="str">
        <f t="shared" si="1"/>
        <v>Woodard</v>
      </c>
      <c r="D2109" s="5" t="str">
        <f t="shared" si="2"/>
        <v> Paige P</v>
      </c>
    </row>
    <row r="2110" ht="15.75" customHeight="1">
      <c r="A2110" s="5" t="s">
        <v>4219</v>
      </c>
      <c r="B2110" s="5" t="s">
        <v>4220</v>
      </c>
      <c r="C2110" s="5" t="str">
        <f t="shared" si="1"/>
        <v>Li</v>
      </c>
      <c r="D2110" s="5" t="str">
        <f t="shared" si="2"/>
        <v> Ji</v>
      </c>
    </row>
    <row r="2111" ht="15.75" customHeight="1">
      <c r="A2111" s="5" t="s">
        <v>4221</v>
      </c>
      <c r="B2111" s="5" t="s">
        <v>4222</v>
      </c>
      <c r="C2111" s="5" t="str">
        <f t="shared" si="1"/>
        <v>Sinda</v>
      </c>
      <c r="D2111" s="5" t="str">
        <f t="shared" si="2"/>
        <v> Carissa A</v>
      </c>
    </row>
    <row r="2112" ht="15.75" customHeight="1">
      <c r="A2112" s="5" t="s">
        <v>4223</v>
      </c>
      <c r="B2112" s="5" t="s">
        <v>4224</v>
      </c>
      <c r="C2112" s="5" t="str">
        <f t="shared" si="1"/>
        <v>Rydland</v>
      </c>
      <c r="D2112" s="5" t="str">
        <f t="shared" si="2"/>
        <v> Mona</v>
      </c>
    </row>
    <row r="2113" ht="15.75" customHeight="1">
      <c r="A2113" s="5" t="s">
        <v>4225</v>
      </c>
      <c r="B2113" s="5" t="s">
        <v>4226</v>
      </c>
      <c r="C2113" s="5" t="str">
        <f t="shared" si="1"/>
        <v>Vespa</v>
      </c>
      <c r="D2113" s="5" t="str">
        <f t="shared" si="2"/>
        <v> Kristin R.</v>
      </c>
    </row>
    <row r="2114" ht="15.75" customHeight="1">
      <c r="A2114" s="5" t="s">
        <v>4227</v>
      </c>
      <c r="B2114" s="5" t="s">
        <v>4228</v>
      </c>
      <c r="C2114" s="5" t="str">
        <f t="shared" si="1"/>
        <v>Meadows</v>
      </c>
      <c r="D2114" s="5" t="str">
        <f t="shared" si="2"/>
        <v> Beth</v>
      </c>
    </row>
    <row r="2115" ht="15.75" customHeight="1">
      <c r="A2115" s="5" t="s">
        <v>4229</v>
      </c>
      <c r="B2115" s="5" t="s">
        <v>4230</v>
      </c>
      <c r="C2115" s="5" t="str">
        <f t="shared" si="1"/>
        <v>Toppen</v>
      </c>
      <c r="D2115" s="5" t="str">
        <f t="shared" si="2"/>
        <v> Allison</v>
      </c>
    </row>
    <row r="2116" ht="15.75" customHeight="1">
      <c r="A2116" s="5" t="s">
        <v>4231</v>
      </c>
      <c r="B2116" s="5" t="s">
        <v>4232</v>
      </c>
      <c r="C2116" s="5" t="str">
        <f t="shared" si="1"/>
        <v>Ermer</v>
      </c>
      <c r="D2116" s="5" t="str">
        <f t="shared" si="2"/>
        <v> Ashley E</v>
      </c>
    </row>
    <row r="2117" ht="15.75" customHeight="1">
      <c r="A2117" s="5" t="s">
        <v>4233</v>
      </c>
      <c r="B2117" s="5" t="s">
        <v>4234</v>
      </c>
      <c r="C2117" s="5" t="str">
        <f t="shared" si="1"/>
        <v>Dionne</v>
      </c>
      <c r="D2117" s="5" t="str">
        <f t="shared" si="2"/>
        <v> Hilary K.</v>
      </c>
    </row>
    <row r="2118" ht="15.75" customHeight="1">
      <c r="A2118" s="5" t="s">
        <v>4235</v>
      </c>
      <c r="B2118" s="5" t="s">
        <v>4236</v>
      </c>
      <c r="C2118" s="5" t="str">
        <f t="shared" si="1"/>
        <v>Stasulli</v>
      </c>
      <c r="D2118" s="5" t="str">
        <f t="shared" si="2"/>
        <v> Dominique</v>
      </c>
    </row>
    <row r="2119" ht="15.75" customHeight="1">
      <c r="A2119" s="5" t="s">
        <v>4237</v>
      </c>
      <c r="B2119" s="5" t="s">
        <v>4238</v>
      </c>
      <c r="C2119" s="5" t="str">
        <f t="shared" si="1"/>
        <v>Duran</v>
      </c>
      <c r="D2119" s="5" t="str">
        <f t="shared" si="2"/>
        <v> Carlos I</v>
      </c>
    </row>
    <row r="2120" ht="15.75" customHeight="1">
      <c r="A2120" s="5" t="s">
        <v>4239</v>
      </c>
      <c r="B2120" s="5" t="s">
        <v>4240</v>
      </c>
      <c r="C2120" s="5" t="str">
        <f t="shared" si="1"/>
        <v>Klundt</v>
      </c>
      <c r="D2120" s="5" t="str">
        <f t="shared" si="2"/>
        <v> Matthew</v>
      </c>
    </row>
    <row r="2121" ht="15.75" customHeight="1">
      <c r="A2121" s="5" t="s">
        <v>4241</v>
      </c>
      <c r="B2121" s="5" t="s">
        <v>4242</v>
      </c>
      <c r="C2121" s="5" t="str">
        <f t="shared" si="1"/>
        <v>Waters</v>
      </c>
      <c r="D2121" s="5" t="str">
        <f t="shared" si="2"/>
        <v> Kara</v>
      </c>
    </row>
    <row r="2122" ht="15.75" customHeight="1">
      <c r="A2122" s="5" t="s">
        <v>4243</v>
      </c>
      <c r="B2122" s="5" t="s">
        <v>4244</v>
      </c>
      <c r="C2122" s="5" t="str">
        <f t="shared" si="1"/>
        <v>Rusk</v>
      </c>
      <c r="D2122" s="5" t="str">
        <f t="shared" si="2"/>
        <v> Sarah S</v>
      </c>
    </row>
    <row r="2123" ht="15.75" customHeight="1">
      <c r="A2123" s="5" t="s">
        <v>4245</v>
      </c>
      <c r="B2123" s="5" t="s">
        <v>4246</v>
      </c>
      <c r="C2123" s="5" t="str">
        <f t="shared" si="1"/>
        <v>Gersbach</v>
      </c>
      <c r="D2123" s="5" t="str">
        <f t="shared" si="2"/>
        <v> Shauna R.</v>
      </c>
    </row>
    <row r="2124" ht="15.75" customHeight="1">
      <c r="A2124" s="5" t="s">
        <v>4247</v>
      </c>
      <c r="B2124" s="5" t="s">
        <v>4248</v>
      </c>
      <c r="C2124" s="5" t="str">
        <f t="shared" si="1"/>
        <v>Taylor-Watson</v>
      </c>
      <c r="D2124" s="5" t="str">
        <f t="shared" si="2"/>
        <v> Lindsay J.</v>
      </c>
    </row>
    <row r="2125" ht="15.75" customHeight="1">
      <c r="A2125" s="5" t="s">
        <v>4249</v>
      </c>
      <c r="B2125" s="5" t="s">
        <v>4250</v>
      </c>
      <c r="C2125" s="5" t="str">
        <f t="shared" si="1"/>
        <v>Crawford</v>
      </c>
      <c r="D2125" s="5" t="str">
        <f t="shared" si="2"/>
        <v> Danya A.</v>
      </c>
    </row>
    <row r="2126" ht="15.75" customHeight="1">
      <c r="A2126" s="5" t="s">
        <v>4251</v>
      </c>
      <c r="B2126" s="5" t="s">
        <v>4252</v>
      </c>
      <c r="C2126" s="5" t="str">
        <f t="shared" si="1"/>
        <v>Levitsky</v>
      </c>
      <c r="D2126" s="5" t="str">
        <f t="shared" si="2"/>
        <v> Lorraine</v>
      </c>
    </row>
    <row r="2127" ht="15.75" customHeight="1">
      <c r="A2127" s="5" t="s">
        <v>4253</v>
      </c>
      <c r="B2127" s="5" t="s">
        <v>4254</v>
      </c>
      <c r="C2127" s="5" t="str">
        <f t="shared" si="1"/>
        <v>Carroll</v>
      </c>
      <c r="D2127" s="5" t="str">
        <f t="shared" si="2"/>
        <v> Jennifer L.</v>
      </c>
    </row>
    <row r="2128" ht="15.75" customHeight="1">
      <c r="A2128" s="5" t="s">
        <v>4255</v>
      </c>
      <c r="B2128" s="5" t="s">
        <v>4256</v>
      </c>
      <c r="C2128" s="5" t="str">
        <f t="shared" si="1"/>
        <v>Campos</v>
      </c>
      <c r="D2128" s="5" t="str">
        <f t="shared" si="2"/>
        <v> Jesus Sr.</v>
      </c>
    </row>
    <row r="2129" ht="15.75" customHeight="1">
      <c r="A2129" s="5" t="s">
        <v>4257</v>
      </c>
      <c r="B2129" s="5" t="s">
        <v>4258</v>
      </c>
      <c r="C2129" s="5" t="str">
        <f t="shared" si="1"/>
        <v>Flajslik</v>
      </c>
      <c r="D2129" s="5" t="str">
        <f t="shared" si="2"/>
        <v> Kristen</v>
      </c>
    </row>
    <row r="2130" ht="15.75" customHeight="1">
      <c r="A2130" s="5" t="s">
        <v>4259</v>
      </c>
      <c r="B2130" s="5" t="s">
        <v>4260</v>
      </c>
      <c r="C2130" s="5" t="str">
        <f t="shared" si="1"/>
        <v>Chua</v>
      </c>
      <c r="D2130" s="5" t="str">
        <f t="shared" si="2"/>
        <v> Catherine C.</v>
      </c>
    </row>
    <row r="2131" ht="15.75" customHeight="1">
      <c r="A2131" s="5" t="s">
        <v>4261</v>
      </c>
      <c r="B2131" s="5" t="s">
        <v>4262</v>
      </c>
      <c r="C2131" s="5" t="str">
        <f t="shared" si="1"/>
        <v>Wiltse</v>
      </c>
      <c r="D2131" s="5" t="str">
        <f t="shared" si="2"/>
        <v> Paula</v>
      </c>
    </row>
    <row r="2132" ht="15.75" customHeight="1">
      <c r="A2132" s="5" t="s">
        <v>4263</v>
      </c>
      <c r="B2132" s="5" t="s">
        <v>4264</v>
      </c>
      <c r="C2132" s="5" t="str">
        <f t="shared" si="1"/>
        <v>Fisher</v>
      </c>
      <c r="D2132" s="5" t="str">
        <f t="shared" si="2"/>
        <v> Evan</v>
      </c>
    </row>
    <row r="2133" ht="15.75" customHeight="1">
      <c r="A2133" s="5" t="s">
        <v>4265</v>
      </c>
      <c r="B2133" s="5" t="s">
        <v>4266</v>
      </c>
      <c r="C2133" s="5" t="str">
        <f t="shared" si="1"/>
        <v>Wilzbacher</v>
      </c>
      <c r="D2133" s="5" t="str">
        <f t="shared" si="2"/>
        <v> Nathan J</v>
      </c>
    </row>
    <row r="2134" ht="15.75" customHeight="1">
      <c r="A2134" s="5" t="s">
        <v>4267</v>
      </c>
      <c r="B2134" s="5" t="s">
        <v>4268</v>
      </c>
      <c r="C2134" s="5" t="str">
        <f t="shared" si="1"/>
        <v>Thayer</v>
      </c>
      <c r="D2134" s="5" t="str">
        <f t="shared" si="2"/>
        <v> Ashley M</v>
      </c>
    </row>
    <row r="2135" ht="15.75" customHeight="1">
      <c r="A2135" s="5" t="s">
        <v>4269</v>
      </c>
      <c r="B2135" s="5" t="s">
        <v>4270</v>
      </c>
      <c r="C2135" s="5" t="str">
        <f t="shared" si="1"/>
        <v>Brosseau</v>
      </c>
      <c r="D2135" s="5" t="str">
        <f t="shared" si="2"/>
        <v> Jason</v>
      </c>
    </row>
    <row r="2136" ht="15.75" customHeight="1">
      <c r="A2136" s="5" t="s">
        <v>4271</v>
      </c>
      <c r="B2136" s="5" t="s">
        <v>4272</v>
      </c>
      <c r="C2136" s="5" t="str">
        <f t="shared" si="1"/>
        <v>Phares</v>
      </c>
      <c r="D2136" s="5" t="str">
        <f t="shared" si="2"/>
        <v> Marshall</v>
      </c>
    </row>
    <row r="2137" ht="15.75" customHeight="1">
      <c r="A2137" s="5" t="s">
        <v>4273</v>
      </c>
      <c r="B2137" s="5" t="s">
        <v>4274</v>
      </c>
      <c r="C2137" s="5" t="str">
        <f t="shared" si="1"/>
        <v>Curley</v>
      </c>
      <c r="D2137" s="5" t="str">
        <f t="shared" si="2"/>
        <v> Lavar</v>
      </c>
    </row>
    <row r="2138" ht="15.75" customHeight="1">
      <c r="A2138" s="5" t="s">
        <v>4275</v>
      </c>
      <c r="B2138" s="5" t="s">
        <v>4276</v>
      </c>
      <c r="C2138" s="5" t="str">
        <f t="shared" si="1"/>
        <v>Johnston</v>
      </c>
      <c r="D2138" s="5" t="str">
        <f t="shared" si="2"/>
        <v> Charlie T.</v>
      </c>
    </row>
    <row r="2139" ht="15.75" customHeight="1">
      <c r="A2139" s="5" t="s">
        <v>4277</v>
      </c>
      <c r="B2139" s="5" t="s">
        <v>4278</v>
      </c>
      <c r="C2139" s="5" t="str">
        <f t="shared" si="1"/>
        <v>Padula</v>
      </c>
      <c r="D2139" s="5" t="str">
        <f t="shared" si="2"/>
        <v> Lauren</v>
      </c>
    </row>
    <row r="2140" ht="15.75" customHeight="1">
      <c r="A2140" s="5" t="s">
        <v>4279</v>
      </c>
      <c r="B2140" s="5" t="s">
        <v>4280</v>
      </c>
      <c r="C2140" s="5" t="str">
        <f t="shared" si="1"/>
        <v>Gamirov</v>
      </c>
      <c r="D2140" s="5" t="str">
        <f t="shared" si="2"/>
        <v> Arthur</v>
      </c>
    </row>
    <row r="2141" ht="15.75" customHeight="1">
      <c r="A2141" s="5" t="s">
        <v>4281</v>
      </c>
      <c r="B2141" s="5" t="s">
        <v>4282</v>
      </c>
      <c r="C2141" s="5" t="str">
        <f t="shared" si="1"/>
        <v>Briot</v>
      </c>
      <c r="D2141" s="5" t="str">
        <f t="shared" si="2"/>
        <v> Thomas</v>
      </c>
    </row>
    <row r="2142" ht="15.75" customHeight="1">
      <c r="A2142" s="5" t="s">
        <v>4283</v>
      </c>
      <c r="B2142" s="5" t="s">
        <v>4284</v>
      </c>
      <c r="C2142" s="5" t="str">
        <f t="shared" si="1"/>
        <v>D</v>
      </c>
      <c r="D2142" s="5" t="str">
        <f t="shared" si="2"/>
        <v> Jennifer</v>
      </c>
    </row>
    <row r="2143" ht="15.75" customHeight="1">
      <c r="A2143" s="5" t="s">
        <v>4285</v>
      </c>
      <c r="B2143" s="5" t="s">
        <v>4286</v>
      </c>
      <c r="C2143" s="5" t="str">
        <f t="shared" si="1"/>
        <v>Putt</v>
      </c>
      <c r="D2143" s="5" t="str">
        <f t="shared" si="2"/>
        <v> Tammy</v>
      </c>
    </row>
    <row r="2144" ht="15.75" customHeight="1">
      <c r="A2144" s="5" t="s">
        <v>4287</v>
      </c>
      <c r="B2144" s="5" t="s">
        <v>4288</v>
      </c>
      <c r="C2144" s="5" t="str">
        <f t="shared" si="1"/>
        <v>Deiman</v>
      </c>
      <c r="D2144" s="5" t="str">
        <f t="shared" si="2"/>
        <v> Lena</v>
      </c>
    </row>
    <row r="2145" ht="15.75" customHeight="1">
      <c r="A2145" s="5" t="s">
        <v>4289</v>
      </c>
      <c r="B2145" s="5" t="s">
        <v>4290</v>
      </c>
      <c r="C2145" s="5" t="str">
        <f t="shared" si="1"/>
        <v>Bonanni</v>
      </c>
      <c r="D2145" s="5" t="str">
        <f t="shared" si="2"/>
        <v> Valentina</v>
      </c>
    </row>
    <row r="2146" ht="15.75" customHeight="1">
      <c r="A2146" s="5" t="s">
        <v>4291</v>
      </c>
      <c r="B2146" s="5" t="s">
        <v>4292</v>
      </c>
      <c r="C2146" s="5" t="str">
        <f t="shared" si="1"/>
        <v>Stein</v>
      </c>
      <c r="D2146" s="5" t="str">
        <f t="shared" si="2"/>
        <v> Russell N.</v>
      </c>
    </row>
    <row r="2147" ht="15.75" customHeight="1">
      <c r="A2147" s="5" t="s">
        <v>4293</v>
      </c>
      <c r="B2147" s="5" t="s">
        <v>4294</v>
      </c>
      <c r="C2147" s="5" t="str">
        <f t="shared" si="1"/>
        <v>Laumann</v>
      </c>
      <c r="D2147" s="5" t="str">
        <f t="shared" si="2"/>
        <v> Scott R.</v>
      </c>
    </row>
    <row r="2148" ht="15.75" customHeight="1">
      <c r="A2148" s="5" t="s">
        <v>4295</v>
      </c>
      <c r="B2148" s="5" t="s">
        <v>4296</v>
      </c>
      <c r="C2148" s="5" t="str">
        <f t="shared" si="1"/>
        <v>Galaviz</v>
      </c>
      <c r="D2148" s="5" t="str">
        <f t="shared" si="2"/>
        <v> Jose Francisco Sr.</v>
      </c>
    </row>
    <row r="2149" ht="15.75" customHeight="1">
      <c r="A2149" s="5" t="s">
        <v>4297</v>
      </c>
      <c r="B2149" s="5" t="s">
        <v>4298</v>
      </c>
      <c r="C2149" s="5" t="str">
        <f t="shared" si="1"/>
        <v>Piper</v>
      </c>
      <c r="D2149" s="5" t="str">
        <f t="shared" si="2"/>
        <v> Paul J</v>
      </c>
    </row>
    <row r="2150" ht="15.75" customHeight="1">
      <c r="A2150" s="5" t="s">
        <v>4299</v>
      </c>
      <c r="B2150" s="5" t="s">
        <v>4300</v>
      </c>
      <c r="C2150" s="5" t="str">
        <f t="shared" si="1"/>
        <v>Cantini</v>
      </c>
      <c r="D2150" s="5" t="str">
        <f t="shared" si="2"/>
        <v> Adam</v>
      </c>
    </row>
    <row r="2151" ht="15.75" customHeight="1">
      <c r="A2151" s="5" t="s">
        <v>4301</v>
      </c>
      <c r="B2151" s="5" t="s">
        <v>4302</v>
      </c>
      <c r="C2151" s="5" t="str">
        <f t="shared" si="1"/>
        <v>Hartman</v>
      </c>
      <c r="D2151" s="5" t="str">
        <f t="shared" si="2"/>
        <v> Edward J.</v>
      </c>
    </row>
    <row r="2152" ht="15.75" customHeight="1">
      <c r="A2152" s="5" t="s">
        <v>4303</v>
      </c>
      <c r="B2152" s="5" t="s">
        <v>4304</v>
      </c>
      <c r="C2152" s="5" t="str">
        <f t="shared" si="1"/>
        <v>Werhane</v>
      </c>
      <c r="D2152" s="5" t="str">
        <f t="shared" si="2"/>
        <v> Patrick A.</v>
      </c>
    </row>
    <row r="2153" ht="15.75" customHeight="1">
      <c r="A2153" s="5" t="s">
        <v>4305</v>
      </c>
      <c r="B2153" s="5" t="s">
        <v>4306</v>
      </c>
      <c r="C2153" s="5" t="str">
        <f t="shared" si="1"/>
        <v>Davies</v>
      </c>
      <c r="D2153" s="5" t="str">
        <f t="shared" si="2"/>
        <v> Geraint H</v>
      </c>
    </row>
    <row r="2154" ht="15.75" customHeight="1">
      <c r="A2154" s="5" t="s">
        <v>4307</v>
      </c>
      <c r="B2154" s="5" t="s">
        <v>4308</v>
      </c>
      <c r="C2154" s="5" t="str">
        <f t="shared" si="1"/>
        <v>Hummel</v>
      </c>
      <c r="D2154" s="5" t="str">
        <f t="shared" si="2"/>
        <v> Dj</v>
      </c>
    </row>
    <row r="2155" ht="15.75" customHeight="1">
      <c r="A2155" s="5" t="s">
        <v>4309</v>
      </c>
      <c r="B2155" s="5" t="s">
        <v>4310</v>
      </c>
      <c r="C2155" s="5" t="str">
        <f t="shared" si="1"/>
        <v>Lutz</v>
      </c>
      <c r="D2155" s="5" t="str">
        <f t="shared" si="2"/>
        <v> Zachary A</v>
      </c>
    </row>
    <row r="2156" ht="15.75" customHeight="1">
      <c r="A2156" s="5" t="s">
        <v>4311</v>
      </c>
      <c r="B2156" s="5" t="s">
        <v>4312</v>
      </c>
      <c r="C2156" s="5" t="str">
        <f t="shared" si="1"/>
        <v>Waters</v>
      </c>
      <c r="D2156" s="5" t="str">
        <f t="shared" si="2"/>
        <v> Brian W.</v>
      </c>
    </row>
    <row r="2157" ht="15.75" customHeight="1">
      <c r="A2157" s="5" t="s">
        <v>4313</v>
      </c>
      <c r="B2157" s="5" t="s">
        <v>4314</v>
      </c>
      <c r="C2157" s="5" t="str">
        <f t="shared" si="1"/>
        <v>Viglienzoni</v>
      </c>
      <c r="D2157" s="5" t="str">
        <f t="shared" si="2"/>
        <v> Joe</v>
      </c>
    </row>
    <row r="2158" ht="15.75" customHeight="1">
      <c r="A2158" s="5" t="s">
        <v>4315</v>
      </c>
      <c r="B2158" s="5" t="s">
        <v>4316</v>
      </c>
      <c r="C2158" s="5" t="str">
        <f t="shared" si="1"/>
        <v>Rathbun</v>
      </c>
      <c r="D2158" s="5" t="str">
        <f t="shared" si="2"/>
        <v> Stephen</v>
      </c>
    </row>
    <row r="2159" ht="15.75" customHeight="1">
      <c r="A2159" s="5" t="s">
        <v>4317</v>
      </c>
      <c r="B2159" s="5" t="s">
        <v>4318</v>
      </c>
      <c r="C2159" s="5" t="str">
        <f t="shared" si="1"/>
        <v>crane</v>
      </c>
      <c r="D2159" s="5" t="str">
        <f t="shared" si="2"/>
        <v> Ellen L.</v>
      </c>
    </row>
    <row r="2160" ht="15.75" customHeight="1">
      <c r="A2160" s="5" t="s">
        <v>4319</v>
      </c>
      <c r="B2160" s="5" t="s">
        <v>4320</v>
      </c>
      <c r="C2160" s="5" t="str">
        <f t="shared" si="1"/>
        <v>Conant</v>
      </c>
      <c r="D2160" s="5" t="str">
        <f t="shared" si="2"/>
        <v> Cindy</v>
      </c>
    </row>
    <row r="2161" ht="15.75" customHeight="1">
      <c r="A2161" s="5" t="s">
        <v>4321</v>
      </c>
      <c r="B2161" s="5" t="s">
        <v>4322</v>
      </c>
      <c r="C2161" s="5" t="str">
        <f t="shared" si="1"/>
        <v>Huyser-Wierenga</v>
      </c>
      <c r="D2161" s="5" t="str">
        <f t="shared" si="2"/>
        <v> Abigail R.</v>
      </c>
    </row>
    <row r="2162" ht="15.75" customHeight="1">
      <c r="A2162" s="5" t="s">
        <v>4323</v>
      </c>
      <c r="B2162" s="5" t="s">
        <v>4324</v>
      </c>
      <c r="C2162" s="5" t="str">
        <f t="shared" si="1"/>
        <v>Natalini</v>
      </c>
      <c r="D2162" s="5" t="str">
        <f t="shared" si="2"/>
        <v> Amy L.</v>
      </c>
    </row>
    <row r="2163" ht="15.75" customHeight="1">
      <c r="A2163" s="5" t="s">
        <v>4325</v>
      </c>
      <c r="B2163" s="5" t="s">
        <v>4326</v>
      </c>
      <c r="C2163" s="5" t="str">
        <f t="shared" si="1"/>
        <v>Robbins</v>
      </c>
      <c r="D2163" s="5" t="str">
        <f t="shared" si="2"/>
        <v> Amy</v>
      </c>
    </row>
    <row r="2164" ht="15.75" customHeight="1">
      <c r="A2164" s="5" t="s">
        <v>4327</v>
      </c>
      <c r="B2164" s="5" t="s">
        <v>4328</v>
      </c>
      <c r="C2164" s="5" t="str">
        <f t="shared" si="1"/>
        <v>Stanislav</v>
      </c>
      <c r="D2164" s="5" t="str">
        <f t="shared" si="2"/>
        <v> Grace H</v>
      </c>
    </row>
    <row r="2165" ht="15.75" customHeight="1">
      <c r="A2165" s="5" t="s">
        <v>4329</v>
      </c>
      <c r="B2165" s="5" t="s">
        <v>4330</v>
      </c>
      <c r="C2165" s="5" t="str">
        <f t="shared" si="1"/>
        <v>Meyer</v>
      </c>
      <c r="D2165" s="5" t="str">
        <f t="shared" si="2"/>
        <v> Caitie J.</v>
      </c>
    </row>
    <row r="2166" ht="15.75" customHeight="1">
      <c r="A2166" s="5" t="s">
        <v>4331</v>
      </c>
      <c r="B2166" s="5" t="s">
        <v>4332</v>
      </c>
      <c r="C2166" s="5" t="str">
        <f t="shared" si="1"/>
        <v>Mears</v>
      </c>
      <c r="D2166" s="5" t="str">
        <f t="shared" si="2"/>
        <v> Benjamin</v>
      </c>
    </row>
    <row r="2167" ht="15.75" customHeight="1">
      <c r="A2167" s="5" t="s">
        <v>4333</v>
      </c>
      <c r="B2167" s="5" t="s">
        <v>4334</v>
      </c>
      <c r="C2167" s="5" t="str">
        <f t="shared" si="1"/>
        <v>Neill</v>
      </c>
      <c r="D2167" s="5" t="str">
        <f t="shared" si="2"/>
        <v> Ian T</v>
      </c>
    </row>
    <row r="2168" ht="15.75" customHeight="1">
      <c r="A2168" s="5" t="s">
        <v>4335</v>
      </c>
      <c r="B2168" s="5" t="s">
        <v>4336</v>
      </c>
      <c r="C2168" s="5" t="str">
        <f t="shared" si="1"/>
        <v>Tola</v>
      </c>
      <c r="D2168" s="5" t="str">
        <f t="shared" si="2"/>
        <v> Tadese</v>
      </c>
    </row>
    <row r="2169" ht="15.75" customHeight="1">
      <c r="A2169" s="5" t="s">
        <v>4337</v>
      </c>
      <c r="B2169" s="5" t="s">
        <v>4338</v>
      </c>
      <c r="C2169" s="5" t="str">
        <f t="shared" si="1"/>
        <v>Briskman</v>
      </c>
      <c r="D2169" s="5" t="str">
        <f t="shared" si="2"/>
        <v> Jonathan</v>
      </c>
    </row>
    <row r="2170" ht="15.75" customHeight="1">
      <c r="A2170" s="5" t="s">
        <v>4339</v>
      </c>
      <c r="B2170" s="5" t="s">
        <v>4340</v>
      </c>
      <c r="C2170" s="5" t="str">
        <f t="shared" si="1"/>
        <v>Ritzenhein</v>
      </c>
      <c r="D2170" s="5" t="str">
        <f t="shared" si="2"/>
        <v> Dathan</v>
      </c>
    </row>
    <row r="2171" ht="15.75" customHeight="1">
      <c r="A2171" s="5" t="s">
        <v>4341</v>
      </c>
      <c r="B2171" s="5" t="s">
        <v>4342</v>
      </c>
      <c r="C2171" s="5" t="str">
        <f t="shared" si="1"/>
        <v>Malkowski</v>
      </c>
      <c r="D2171" s="5" t="str">
        <f t="shared" si="2"/>
        <v> Eric</v>
      </c>
    </row>
    <row r="2172" ht="15.75" customHeight="1">
      <c r="A2172" s="5" t="s">
        <v>4343</v>
      </c>
      <c r="B2172" s="5" t="s">
        <v>4344</v>
      </c>
      <c r="C2172" s="5" t="str">
        <f t="shared" si="1"/>
        <v>Andreyko</v>
      </c>
      <c r="D2172" s="5" t="str">
        <f t="shared" si="2"/>
        <v> Allison M</v>
      </c>
    </row>
    <row r="2173" ht="15.75" customHeight="1">
      <c r="A2173" s="5" t="s">
        <v>4345</v>
      </c>
      <c r="B2173" s="5" t="s">
        <v>4346</v>
      </c>
      <c r="C2173" s="5" t="str">
        <f t="shared" si="1"/>
        <v>Landry</v>
      </c>
      <c r="D2173" s="5" t="str">
        <f t="shared" si="2"/>
        <v> Paul</v>
      </c>
    </row>
    <row r="2174" ht="15.75" customHeight="1">
      <c r="A2174" s="5" t="s">
        <v>4347</v>
      </c>
      <c r="B2174" s="5" t="s">
        <v>4348</v>
      </c>
      <c r="C2174" s="5" t="str">
        <f t="shared" si="1"/>
        <v>Lozier</v>
      </c>
      <c r="D2174" s="5" t="str">
        <f t="shared" si="2"/>
        <v> Aaron R</v>
      </c>
    </row>
    <row r="2175" ht="15.75" customHeight="1">
      <c r="A2175" s="5" t="s">
        <v>4349</v>
      </c>
      <c r="B2175" s="5" t="s">
        <v>4350</v>
      </c>
      <c r="C2175" s="5" t="str">
        <f t="shared" si="1"/>
        <v>O'Brien</v>
      </c>
      <c r="D2175" s="5" t="str">
        <f t="shared" si="2"/>
        <v> Caitlin H.</v>
      </c>
    </row>
    <row r="2176" ht="15.75" customHeight="1">
      <c r="A2176" s="5" t="s">
        <v>4351</v>
      </c>
      <c r="B2176" s="5" t="s">
        <v>4352</v>
      </c>
      <c r="C2176" s="5" t="str">
        <f t="shared" si="1"/>
        <v>Rodas</v>
      </c>
      <c r="D2176" s="5" t="str">
        <f t="shared" si="2"/>
        <v> Harald E.</v>
      </c>
    </row>
    <row r="2177" ht="15.75" customHeight="1">
      <c r="A2177" s="5" t="s">
        <v>4353</v>
      </c>
      <c r="B2177" s="5" t="s">
        <v>4354</v>
      </c>
      <c r="C2177" s="5" t="str">
        <f t="shared" si="1"/>
        <v>O'Connor</v>
      </c>
      <c r="D2177" s="5" t="str">
        <f t="shared" si="2"/>
        <v> Siobhan A.</v>
      </c>
    </row>
    <row r="2178" ht="15.75" customHeight="1">
      <c r="A2178" s="5" t="s">
        <v>4355</v>
      </c>
      <c r="B2178" s="5" t="s">
        <v>4356</v>
      </c>
      <c r="C2178" s="5" t="str">
        <f t="shared" si="1"/>
        <v>White</v>
      </c>
      <c r="D2178" s="5" t="str">
        <f t="shared" si="2"/>
        <v> Andrea J.</v>
      </c>
    </row>
    <row r="2179" ht="15.75" customHeight="1">
      <c r="A2179" s="5" t="s">
        <v>4357</v>
      </c>
      <c r="B2179" s="5" t="s">
        <v>4358</v>
      </c>
      <c r="C2179" s="5" t="str">
        <f t="shared" si="1"/>
        <v>Davenport</v>
      </c>
      <c r="D2179" s="5" t="str">
        <f t="shared" si="2"/>
        <v> Marie</v>
      </c>
    </row>
    <row r="2180" ht="15.75" customHeight="1">
      <c r="A2180" s="5" t="s">
        <v>4359</v>
      </c>
      <c r="B2180" s="5" t="s">
        <v>4360</v>
      </c>
      <c r="C2180" s="5" t="str">
        <f t="shared" si="1"/>
        <v>Karmen</v>
      </c>
      <c r="D2180" s="5" t="str">
        <f t="shared" si="2"/>
        <v> Rachel A.</v>
      </c>
    </row>
    <row r="2181" ht="15.75" customHeight="1">
      <c r="A2181" s="5" t="s">
        <v>4361</v>
      </c>
      <c r="B2181" s="5" t="s">
        <v>4362</v>
      </c>
      <c r="C2181" s="5" t="str">
        <f t="shared" si="1"/>
        <v>Miller</v>
      </c>
      <c r="D2181" s="5" t="str">
        <f t="shared" si="2"/>
        <v> Emma</v>
      </c>
    </row>
    <row r="2182" ht="15.75" customHeight="1">
      <c r="A2182" s="5" t="s">
        <v>4363</v>
      </c>
      <c r="B2182" s="5" t="s">
        <v>4364</v>
      </c>
      <c r="C2182" s="5" t="str">
        <f t="shared" si="1"/>
        <v>Lippmann</v>
      </c>
      <c r="D2182" s="5" t="str">
        <f t="shared" si="2"/>
        <v> Kiersten</v>
      </c>
    </row>
    <row r="2183" ht="15.75" customHeight="1">
      <c r="A2183" s="5" t="s">
        <v>4365</v>
      </c>
      <c r="B2183" s="5" t="s">
        <v>4366</v>
      </c>
      <c r="C2183" s="5" t="str">
        <f t="shared" si="1"/>
        <v>Klehm</v>
      </c>
      <c r="D2183" s="5" t="str">
        <f t="shared" si="2"/>
        <v> Rachael</v>
      </c>
    </row>
    <row r="2184" ht="15.75" customHeight="1">
      <c r="A2184" s="5" t="s">
        <v>4367</v>
      </c>
      <c r="B2184" s="5" t="s">
        <v>4368</v>
      </c>
      <c r="C2184" s="5" t="str">
        <f t="shared" si="1"/>
        <v>Murphy</v>
      </c>
      <c r="D2184" s="5" t="str">
        <f t="shared" si="2"/>
        <v> Timothy P.</v>
      </c>
    </row>
    <row r="2185" ht="15.75" customHeight="1">
      <c r="A2185" s="5" t="s">
        <v>4369</v>
      </c>
      <c r="B2185" s="5" t="s">
        <v>4370</v>
      </c>
      <c r="C2185" s="5" t="str">
        <f t="shared" si="1"/>
        <v>Desisa</v>
      </c>
      <c r="D2185" s="5" t="str">
        <f t="shared" si="2"/>
        <v> Lelisa</v>
      </c>
    </row>
    <row r="2186" ht="15.75" customHeight="1">
      <c r="A2186" s="5" t="s">
        <v>4371</v>
      </c>
      <c r="B2186" s="5" t="s">
        <v>4372</v>
      </c>
      <c r="C2186" s="5" t="str">
        <f t="shared" si="1"/>
        <v>Brooks</v>
      </c>
      <c r="D2186" s="5" t="str">
        <f t="shared" si="2"/>
        <v> Nate</v>
      </c>
    </row>
    <row r="2187" ht="15.75" customHeight="1">
      <c r="A2187" s="5" t="s">
        <v>4373</v>
      </c>
      <c r="B2187" s="5" t="s">
        <v>4374</v>
      </c>
      <c r="C2187" s="5" t="str">
        <f t="shared" si="1"/>
        <v>Stone</v>
      </c>
      <c r="D2187" s="5" t="str">
        <f t="shared" si="2"/>
        <v> Chris C.</v>
      </c>
    </row>
    <row r="2188" ht="15.75" customHeight="1">
      <c r="A2188" s="5" t="s">
        <v>4375</v>
      </c>
      <c r="B2188" s="5" t="s">
        <v>4376</v>
      </c>
      <c r="C2188" s="5" t="str">
        <f t="shared" si="1"/>
        <v>Weispfennig</v>
      </c>
      <c r="D2188" s="5" t="str">
        <f t="shared" si="2"/>
        <v> Scott</v>
      </c>
    </row>
    <row r="2189" ht="15.75" customHeight="1">
      <c r="A2189" s="5" t="s">
        <v>4377</v>
      </c>
      <c r="B2189" s="5" t="s">
        <v>4378</v>
      </c>
      <c r="C2189" s="5" t="str">
        <f t="shared" si="1"/>
        <v>Sorrell</v>
      </c>
      <c r="D2189" s="5" t="str">
        <f t="shared" si="2"/>
        <v> Kevin</v>
      </c>
    </row>
    <row r="2190" ht="15.75" customHeight="1">
      <c r="A2190" s="5" t="s">
        <v>4379</v>
      </c>
      <c r="B2190" s="5" t="s">
        <v>4380</v>
      </c>
      <c r="C2190" s="5" t="str">
        <f t="shared" si="1"/>
        <v>Morris</v>
      </c>
      <c r="D2190" s="5" t="str">
        <f t="shared" si="2"/>
        <v> Erik C.</v>
      </c>
    </row>
    <row r="2191" ht="15.75" customHeight="1">
      <c r="A2191" s="5" t="s">
        <v>4381</v>
      </c>
      <c r="B2191" s="5" t="s">
        <v>4382</v>
      </c>
      <c r="C2191" s="5" t="str">
        <f t="shared" si="1"/>
        <v>Marek</v>
      </c>
      <c r="D2191" s="5" t="str">
        <f t="shared" si="2"/>
        <v> Shawn C</v>
      </c>
    </row>
    <row r="2192" ht="15.75" customHeight="1">
      <c r="A2192" s="5" t="s">
        <v>4383</v>
      </c>
      <c r="B2192" s="5" t="s">
        <v>4384</v>
      </c>
      <c r="C2192" s="5" t="str">
        <f t="shared" si="1"/>
        <v>Armstrong</v>
      </c>
      <c r="D2192" s="5" t="str">
        <f t="shared" si="2"/>
        <v> Vajin L.</v>
      </c>
    </row>
    <row r="2193" ht="15.75" customHeight="1">
      <c r="A2193" s="5" t="s">
        <v>4385</v>
      </c>
      <c r="B2193" s="5" t="s">
        <v>4386</v>
      </c>
      <c r="C2193" s="5" t="str">
        <f t="shared" si="1"/>
        <v>Werner</v>
      </c>
      <c r="D2193" s="5" t="str">
        <f t="shared" si="2"/>
        <v> John K. Jr.</v>
      </c>
    </row>
    <row r="2194" ht="15.75" customHeight="1">
      <c r="A2194" s="5" t="s">
        <v>4387</v>
      </c>
      <c r="B2194" s="5" t="s">
        <v>4388</v>
      </c>
      <c r="C2194" s="5" t="str">
        <f t="shared" si="1"/>
        <v>Gries</v>
      </c>
      <c r="D2194" s="5" t="str">
        <f t="shared" si="2"/>
        <v> Kevin J.</v>
      </c>
    </row>
    <row r="2195" ht="15.75" customHeight="1">
      <c r="A2195" s="5" t="s">
        <v>4389</v>
      </c>
      <c r="B2195" s="5" t="s">
        <v>4390</v>
      </c>
      <c r="C2195" s="5" t="str">
        <f t="shared" si="1"/>
        <v>Mills</v>
      </c>
      <c r="D2195" s="5" t="str">
        <f t="shared" si="2"/>
        <v> Kirby W.</v>
      </c>
    </row>
    <row r="2196" ht="15.75" customHeight="1">
      <c r="A2196" s="5" t="s">
        <v>4391</v>
      </c>
      <c r="B2196" s="5" t="s">
        <v>4392</v>
      </c>
      <c r="C2196" s="5" t="str">
        <f t="shared" si="1"/>
        <v>Penny</v>
      </c>
      <c r="D2196" s="5" t="str">
        <f t="shared" si="2"/>
        <v> J A</v>
      </c>
    </row>
    <row r="2197" ht="15.75" customHeight="1">
      <c r="A2197" s="5" t="s">
        <v>4393</v>
      </c>
      <c r="B2197" s="5" t="s">
        <v>4394</v>
      </c>
      <c r="C2197" s="5" t="str">
        <f t="shared" si="1"/>
        <v>Hicks</v>
      </c>
      <c r="D2197" s="5" t="str">
        <f t="shared" si="2"/>
        <v> Dustin G.</v>
      </c>
    </row>
    <row r="2198" ht="15.75" customHeight="1">
      <c r="A2198" s="5" t="s">
        <v>4395</v>
      </c>
      <c r="B2198" s="5" t="s">
        <v>4396</v>
      </c>
      <c r="C2198" s="5" t="str">
        <f t="shared" si="1"/>
        <v>Masayesva</v>
      </c>
      <c r="D2198" s="5" t="str">
        <f t="shared" si="2"/>
        <v> Anthony G</v>
      </c>
    </row>
    <row r="2199" ht="15.75" customHeight="1">
      <c r="A2199" s="5" t="s">
        <v>4397</v>
      </c>
      <c r="B2199" s="5" t="s">
        <v>4398</v>
      </c>
      <c r="C2199" s="5" t="str">
        <f t="shared" si="1"/>
        <v>Paavola</v>
      </c>
      <c r="D2199" s="5" t="str">
        <f t="shared" si="2"/>
        <v> Ryan</v>
      </c>
    </row>
    <row r="2200" ht="15.75" customHeight="1">
      <c r="A2200" s="5" t="s">
        <v>4399</v>
      </c>
      <c r="B2200" s="5" t="s">
        <v>4400</v>
      </c>
      <c r="C2200" s="5" t="str">
        <f t="shared" si="1"/>
        <v>Gehlsen</v>
      </c>
      <c r="D2200" s="5" t="str">
        <f t="shared" si="2"/>
        <v> Eric N</v>
      </c>
    </row>
    <row r="2201" ht="15.75" customHeight="1">
      <c r="A2201" s="5" t="s">
        <v>4401</v>
      </c>
      <c r="B2201" s="5" t="s">
        <v>4402</v>
      </c>
      <c r="C2201" s="5" t="str">
        <f t="shared" si="1"/>
        <v>Roche</v>
      </c>
      <c r="D2201" s="5" t="str">
        <f t="shared" si="2"/>
        <v> Connor</v>
      </c>
    </row>
    <row r="2202" ht="15.75" customHeight="1">
      <c r="A2202" s="5" t="s">
        <v>4403</v>
      </c>
      <c r="B2202" s="5" t="s">
        <v>4404</v>
      </c>
      <c r="C2202" s="5" t="str">
        <f t="shared" si="1"/>
        <v>Hearn</v>
      </c>
      <c r="D2202" s="5" t="str">
        <f t="shared" si="2"/>
        <v> Patrick H.</v>
      </c>
    </row>
    <row r="2203" ht="15.75" customHeight="1">
      <c r="A2203" s="5" t="s">
        <v>4405</v>
      </c>
      <c r="B2203" s="5" t="s">
        <v>4406</v>
      </c>
      <c r="C2203" s="5" t="str">
        <f t="shared" si="1"/>
        <v>Dimson</v>
      </c>
      <c r="D2203" s="5" t="str">
        <f t="shared" si="2"/>
        <v> Tyler</v>
      </c>
    </row>
    <row r="2204" ht="15.75" customHeight="1">
      <c r="A2204" s="5" t="s">
        <v>4407</v>
      </c>
      <c r="B2204" s="5" t="s">
        <v>4408</v>
      </c>
      <c r="C2204" s="5" t="str">
        <f t="shared" si="1"/>
        <v>Slason</v>
      </c>
      <c r="D2204" s="5" t="str">
        <f t="shared" si="2"/>
        <v> Deborah L.</v>
      </c>
    </row>
    <row r="2205" ht="15.75" customHeight="1">
      <c r="A2205" s="5" t="s">
        <v>4409</v>
      </c>
      <c r="B2205" s="5" t="s">
        <v>4410</v>
      </c>
      <c r="C2205" s="5" t="str">
        <f t="shared" si="1"/>
        <v>Gibson</v>
      </c>
      <c r="D2205" s="5" t="str">
        <f t="shared" si="2"/>
        <v> Andrea K</v>
      </c>
    </row>
    <row r="2206" ht="15.75" customHeight="1">
      <c r="A2206" s="5" t="s">
        <v>4411</v>
      </c>
      <c r="B2206" s="5" t="s">
        <v>4412</v>
      </c>
      <c r="C2206" s="5" t="str">
        <f t="shared" si="1"/>
        <v>Erdos</v>
      </c>
      <c r="D2206" s="5" t="str">
        <f t="shared" si="2"/>
        <v> Elleree</v>
      </c>
    </row>
    <row r="2207" ht="15.75" customHeight="1">
      <c r="A2207" s="5" t="s">
        <v>4413</v>
      </c>
      <c r="B2207" s="5" t="s">
        <v>4414</v>
      </c>
      <c r="C2207" s="5" t="str">
        <f t="shared" si="1"/>
        <v>Cushman</v>
      </c>
      <c r="D2207" s="5" t="str">
        <f t="shared" si="2"/>
        <v> Brandon J</v>
      </c>
    </row>
    <row r="2208" ht="15.75" customHeight="1">
      <c r="A2208" s="5" t="s">
        <v>4415</v>
      </c>
      <c r="B2208" s="5" t="s">
        <v>4416</v>
      </c>
      <c r="C2208" s="5" t="str">
        <f t="shared" si="1"/>
        <v>Hammel</v>
      </c>
      <c r="D2208" s="5" t="str">
        <f t="shared" si="2"/>
        <v> Steve</v>
      </c>
    </row>
    <row r="2209" ht="15.75" customHeight="1">
      <c r="A2209" s="5" t="s">
        <v>4417</v>
      </c>
      <c r="B2209" s="5" t="s">
        <v>4418</v>
      </c>
      <c r="C2209" s="5" t="str">
        <f t="shared" si="1"/>
        <v>Ytterstad</v>
      </c>
      <c r="D2209" s="5" t="str">
        <f t="shared" si="2"/>
        <v> Nina Wavik Sr.</v>
      </c>
    </row>
    <row r="2210" ht="15.75" customHeight="1">
      <c r="A2210" s="5" t="s">
        <v>4419</v>
      </c>
      <c r="B2210" s="5" t="s">
        <v>4420</v>
      </c>
      <c r="C2210" s="5" t="str">
        <f t="shared" si="1"/>
        <v>Prince</v>
      </c>
      <c r="D2210" s="5" t="str">
        <f t="shared" si="2"/>
        <v> Dani</v>
      </c>
    </row>
    <row r="2211" ht="15.75" customHeight="1">
      <c r="A2211" s="5" t="s">
        <v>4421</v>
      </c>
      <c r="B2211" s="5" t="s">
        <v>4422</v>
      </c>
      <c r="C2211" s="5" t="str">
        <f t="shared" si="1"/>
        <v>Freeman</v>
      </c>
      <c r="D2211" s="5" t="str">
        <f t="shared" si="2"/>
        <v> Jennifer A.</v>
      </c>
    </row>
    <row r="2212" ht="15.75" customHeight="1">
      <c r="A2212" s="5" t="s">
        <v>4423</v>
      </c>
      <c r="B2212" s="5" t="s">
        <v>4424</v>
      </c>
      <c r="C2212" s="5" t="str">
        <f t="shared" si="1"/>
        <v>Petrulak</v>
      </c>
      <c r="D2212" s="5" t="str">
        <f t="shared" si="2"/>
        <v> Martin</v>
      </c>
    </row>
    <row r="2213" ht="15.75" customHeight="1">
      <c r="A2213" s="5" t="s">
        <v>4425</v>
      </c>
      <c r="B2213" s="5" t="s">
        <v>4426</v>
      </c>
      <c r="C2213" s="5" t="str">
        <f t="shared" si="1"/>
        <v>Lloyd</v>
      </c>
      <c r="D2213" s="5" t="str">
        <f t="shared" si="2"/>
        <v> Steve</v>
      </c>
    </row>
    <row r="2214" ht="15.75" customHeight="1">
      <c r="A2214" s="5" t="s">
        <v>4427</v>
      </c>
      <c r="B2214" s="5" t="s">
        <v>4428</v>
      </c>
      <c r="C2214" s="5" t="str">
        <f t="shared" si="1"/>
        <v>Zablocki</v>
      </c>
      <c r="D2214" s="5" t="str">
        <f t="shared" si="2"/>
        <v> Christopher</v>
      </c>
    </row>
    <row r="2215" ht="15.75" customHeight="1">
      <c r="A2215" s="5" t="s">
        <v>4429</v>
      </c>
      <c r="B2215" s="5" t="s">
        <v>4430</v>
      </c>
      <c r="C2215" s="5" t="str">
        <f t="shared" si="1"/>
        <v>Va</v>
      </c>
      <c r="D2215" s="5" t="str">
        <f t="shared" si="2"/>
        <v> Kathryn M.</v>
      </c>
    </row>
    <row r="2216" ht="15.75" customHeight="1">
      <c r="A2216" s="5" t="s">
        <v>4431</v>
      </c>
      <c r="B2216" s="5" t="s">
        <v>4432</v>
      </c>
      <c r="C2216" s="5" t="str">
        <f t="shared" si="1"/>
        <v>Babay</v>
      </c>
      <c r="D2216" s="5" t="str">
        <f t="shared" si="2"/>
        <v> Emily</v>
      </c>
    </row>
    <row r="2217" ht="15.75" customHeight="1">
      <c r="A2217" s="5" t="s">
        <v>4433</v>
      </c>
      <c r="B2217" s="5" t="s">
        <v>4434</v>
      </c>
      <c r="C2217" s="5" t="str">
        <f t="shared" si="1"/>
        <v>Taylor</v>
      </c>
      <c r="D2217" s="5" t="str">
        <f t="shared" si="2"/>
        <v> Trent A</v>
      </c>
    </row>
    <row r="2218" ht="15.75" customHeight="1">
      <c r="A2218" s="5" t="s">
        <v>4435</v>
      </c>
      <c r="B2218" s="5" t="s">
        <v>4436</v>
      </c>
      <c r="C2218" s="5" t="str">
        <f t="shared" si="1"/>
        <v>Smith</v>
      </c>
      <c r="D2218" s="5" t="str">
        <f t="shared" si="2"/>
        <v> Jennifer E</v>
      </c>
    </row>
    <row r="2219" ht="15.75" customHeight="1">
      <c r="A2219" s="5" t="s">
        <v>4437</v>
      </c>
      <c r="B2219" s="5" t="s">
        <v>4438</v>
      </c>
      <c r="C2219" s="5" t="str">
        <f t="shared" si="1"/>
        <v>Moody</v>
      </c>
      <c r="D2219" s="5" t="str">
        <f t="shared" si="2"/>
        <v> Polly</v>
      </c>
    </row>
    <row r="2220" ht="15.75" customHeight="1">
      <c r="A2220" s="5" t="s">
        <v>4439</v>
      </c>
      <c r="B2220" s="5" t="s">
        <v>4440</v>
      </c>
      <c r="C2220" s="5" t="str">
        <f t="shared" si="1"/>
        <v>Swierzbinski</v>
      </c>
      <c r="D2220" s="5" t="str">
        <f t="shared" si="2"/>
        <v> Elizabeth</v>
      </c>
    </row>
    <row r="2221" ht="15.75" customHeight="1">
      <c r="A2221" s="5" t="s">
        <v>4441</v>
      </c>
      <c r="B2221" s="5" t="s">
        <v>4442</v>
      </c>
      <c r="C2221" s="5" t="str">
        <f t="shared" si="1"/>
        <v>Schwartz</v>
      </c>
      <c r="D2221" s="5" t="str">
        <f t="shared" si="2"/>
        <v> Tiffany A.</v>
      </c>
    </row>
    <row r="2222" ht="15.75" customHeight="1">
      <c r="A2222" s="5" t="s">
        <v>4443</v>
      </c>
      <c r="B2222" s="5" t="s">
        <v>4444</v>
      </c>
      <c r="C2222" s="5" t="str">
        <f t="shared" si="1"/>
        <v>Sanseverino</v>
      </c>
      <c r="D2222" s="5" t="str">
        <f t="shared" si="2"/>
        <v> Cole</v>
      </c>
    </row>
    <row r="2223" ht="15.75" customHeight="1">
      <c r="A2223" s="5" t="s">
        <v>4445</v>
      </c>
      <c r="B2223" s="5" t="s">
        <v>4446</v>
      </c>
      <c r="C2223" s="5" t="str">
        <f t="shared" si="1"/>
        <v>Lawder</v>
      </c>
      <c r="D2223" s="5" t="str">
        <f t="shared" si="2"/>
        <v> Matthew T.</v>
      </c>
    </row>
    <row r="2224" ht="15.75" customHeight="1">
      <c r="A2224" s="5" t="s">
        <v>4447</v>
      </c>
      <c r="B2224" s="5" t="s">
        <v>4448</v>
      </c>
      <c r="C2224" s="5" t="str">
        <f t="shared" si="1"/>
        <v>Young</v>
      </c>
      <c r="D2224" s="5" t="str">
        <f t="shared" si="2"/>
        <v> Zachary</v>
      </c>
    </row>
    <row r="2225" ht="15.75" customHeight="1">
      <c r="A2225" s="5" t="s">
        <v>4449</v>
      </c>
      <c r="B2225" s="5" t="s">
        <v>4450</v>
      </c>
      <c r="C2225" s="5" t="str">
        <f t="shared" si="1"/>
        <v>Hoerner</v>
      </c>
      <c r="D2225" s="5" t="str">
        <f t="shared" si="2"/>
        <v> Matthew T.</v>
      </c>
    </row>
    <row r="2226" ht="15.75" customHeight="1">
      <c r="A2226" s="5" t="s">
        <v>4451</v>
      </c>
      <c r="B2226" s="5" t="s">
        <v>4452</v>
      </c>
      <c r="C2226" s="5" t="str">
        <f t="shared" si="1"/>
        <v>Benson</v>
      </c>
      <c r="D2226" s="5" t="str">
        <f t="shared" si="2"/>
        <v> Pat</v>
      </c>
    </row>
    <row r="2227" ht="15.75" customHeight="1">
      <c r="A2227" s="5" t="s">
        <v>4453</v>
      </c>
      <c r="B2227" s="5" t="s">
        <v>4454</v>
      </c>
      <c r="C2227" s="5" t="str">
        <f t="shared" si="1"/>
        <v>Horton</v>
      </c>
      <c r="D2227" s="5" t="str">
        <f t="shared" si="2"/>
        <v> Ashley</v>
      </c>
    </row>
    <row r="2228" ht="15.75" customHeight="1">
      <c r="A2228" s="5" t="s">
        <v>4455</v>
      </c>
      <c r="B2228" s="5" t="s">
        <v>4456</v>
      </c>
      <c r="C2228" s="5" t="str">
        <f t="shared" si="1"/>
        <v>McGraw</v>
      </c>
      <c r="D2228" s="5" t="str">
        <f t="shared" si="2"/>
        <v> Elizabeth A.</v>
      </c>
    </row>
    <row r="2229" ht="15.75" customHeight="1">
      <c r="A2229" s="5" t="s">
        <v>4457</v>
      </c>
      <c r="B2229" s="5" t="s">
        <v>4458</v>
      </c>
      <c r="C2229" s="5" t="str">
        <f t="shared" si="1"/>
        <v>Beaulne</v>
      </c>
      <c r="D2229" s="5" t="str">
        <f t="shared" si="2"/>
        <v> Rebecca M.</v>
      </c>
    </row>
    <row r="2230" ht="15.75" customHeight="1">
      <c r="A2230" s="5" t="s">
        <v>4459</v>
      </c>
      <c r="B2230" s="5" t="s">
        <v>4460</v>
      </c>
      <c r="C2230" s="5" t="str">
        <f t="shared" si="1"/>
        <v>Lunz</v>
      </c>
      <c r="D2230" s="5" t="str">
        <f t="shared" si="2"/>
        <v> Ruth</v>
      </c>
    </row>
    <row r="2231" ht="15.75" customHeight="1">
      <c r="A2231" s="5" t="s">
        <v>4461</v>
      </c>
      <c r="B2231" s="5" t="s">
        <v>4462</v>
      </c>
      <c r="C2231" s="5" t="str">
        <f t="shared" si="1"/>
        <v>Kyle</v>
      </c>
      <c r="D2231" s="5" t="str">
        <f t="shared" si="2"/>
        <v> Gregory S</v>
      </c>
    </row>
    <row r="2232" ht="15.75" customHeight="1">
      <c r="A2232" s="5" t="s">
        <v>4463</v>
      </c>
      <c r="B2232" s="5" t="s">
        <v>4464</v>
      </c>
      <c r="C2232" s="5" t="str">
        <f t="shared" si="1"/>
        <v>Brackenwagen</v>
      </c>
      <c r="D2232" s="5" t="str">
        <f t="shared" si="2"/>
        <v> Alexandra S</v>
      </c>
    </row>
    <row r="2233" ht="15.75" customHeight="1">
      <c r="A2233" s="5" t="s">
        <v>4465</v>
      </c>
      <c r="B2233" s="5" t="s">
        <v>4466</v>
      </c>
      <c r="C2233" s="5" t="str">
        <f t="shared" si="1"/>
        <v>Schmitt</v>
      </c>
      <c r="D2233" s="5" t="str">
        <f t="shared" si="2"/>
        <v> Hillary</v>
      </c>
    </row>
    <row r="2234" ht="15.75" customHeight="1">
      <c r="A2234" s="5" t="s">
        <v>4467</v>
      </c>
      <c r="B2234" s="5" t="s">
        <v>4468</v>
      </c>
      <c r="C2234" s="5" t="str">
        <f t="shared" si="1"/>
        <v>Borden</v>
      </c>
      <c r="D2234" s="5" t="str">
        <f t="shared" si="2"/>
        <v> Amy K.</v>
      </c>
    </row>
    <row r="2235" ht="15.75" customHeight="1">
      <c r="A2235" s="5" t="s">
        <v>4469</v>
      </c>
      <c r="B2235" s="5" t="s">
        <v>4470</v>
      </c>
      <c r="C2235" s="5" t="str">
        <f t="shared" si="1"/>
        <v>McLean</v>
      </c>
      <c r="D2235" s="5" t="str">
        <f t="shared" si="2"/>
        <v> Scott</v>
      </c>
    </row>
    <row r="2236" ht="15.75" customHeight="1">
      <c r="A2236" s="5" t="s">
        <v>4471</v>
      </c>
      <c r="B2236" s="5" t="s">
        <v>4472</v>
      </c>
      <c r="C2236" s="5" t="str">
        <f t="shared" si="1"/>
        <v>Regan</v>
      </c>
      <c r="D2236" s="5" t="str">
        <f t="shared" si="2"/>
        <v> John</v>
      </c>
    </row>
    <row r="2237" ht="15.75" customHeight="1">
      <c r="A2237" s="5" t="s">
        <v>4473</v>
      </c>
      <c r="B2237" s="5" t="s">
        <v>4474</v>
      </c>
      <c r="C2237" s="5" t="str">
        <f t="shared" si="1"/>
        <v>Koenis</v>
      </c>
      <c r="D2237" s="5" t="str">
        <f t="shared" si="2"/>
        <v> Maaikel</v>
      </c>
    </row>
    <row r="2238" ht="15.75" customHeight="1">
      <c r="A2238" s="5" t="s">
        <v>4475</v>
      </c>
      <c r="B2238" s="5" t="s">
        <v>4476</v>
      </c>
      <c r="C2238" s="5" t="str">
        <f t="shared" si="1"/>
        <v>Kittaka</v>
      </c>
      <c r="D2238" s="5" t="str">
        <f t="shared" si="2"/>
        <v> Daniel C</v>
      </c>
    </row>
    <row r="2239" ht="15.75" customHeight="1">
      <c r="A2239" s="5" t="s">
        <v>4477</v>
      </c>
      <c r="B2239" s="5" t="s">
        <v>4478</v>
      </c>
      <c r="C2239" s="5" t="str">
        <f t="shared" si="1"/>
        <v>Concannon</v>
      </c>
      <c r="D2239" s="5" t="str">
        <f t="shared" si="2"/>
        <v> Christopher S.</v>
      </c>
    </row>
    <row r="2240" ht="15.75" customHeight="1">
      <c r="A2240" s="5" t="s">
        <v>4479</v>
      </c>
      <c r="B2240" s="5" t="s">
        <v>4480</v>
      </c>
      <c r="C2240" s="5" t="str">
        <f t="shared" si="1"/>
        <v>Johnson</v>
      </c>
      <c r="D2240" s="5" t="str">
        <f t="shared" si="2"/>
        <v> William R</v>
      </c>
    </row>
    <row r="2241" ht="15.75" customHeight="1">
      <c r="A2241" s="5" t="s">
        <v>4481</v>
      </c>
      <c r="B2241" s="5" t="s">
        <v>4482</v>
      </c>
      <c r="C2241" s="5" t="str">
        <f t="shared" si="1"/>
        <v>Schultz</v>
      </c>
      <c r="D2241" s="5" t="str">
        <f t="shared" si="2"/>
        <v> Lyndsy</v>
      </c>
    </row>
    <row r="2242" ht="15.75" customHeight="1">
      <c r="A2242" s="5" t="s">
        <v>4483</v>
      </c>
      <c r="B2242" s="5" t="s">
        <v>4484</v>
      </c>
      <c r="C2242" s="5" t="str">
        <f t="shared" si="1"/>
        <v>Brannigan</v>
      </c>
      <c r="D2242" s="5" t="str">
        <f t="shared" si="2"/>
        <v> Jessica</v>
      </c>
    </row>
    <row r="2243" ht="15.75" customHeight="1">
      <c r="A2243" s="5" t="s">
        <v>4485</v>
      </c>
      <c r="B2243" s="5" t="s">
        <v>4486</v>
      </c>
      <c r="C2243" s="5" t="str">
        <f t="shared" si="1"/>
        <v>Cavallo</v>
      </c>
      <c r="D2243" s="5" t="str">
        <f t="shared" si="2"/>
        <v> Anna</v>
      </c>
    </row>
    <row r="2244" ht="15.75" customHeight="1">
      <c r="A2244" s="5" t="s">
        <v>4487</v>
      </c>
      <c r="B2244" s="5" t="s">
        <v>4488</v>
      </c>
      <c r="C2244" s="5" t="str">
        <f t="shared" si="1"/>
        <v>Chang</v>
      </c>
      <c r="D2244" s="5" t="str">
        <f t="shared" si="2"/>
        <v> Jordan</v>
      </c>
    </row>
    <row r="2245" ht="15.75" customHeight="1">
      <c r="A2245" s="5" t="s">
        <v>4489</v>
      </c>
      <c r="B2245" s="5" t="s">
        <v>4490</v>
      </c>
      <c r="C2245" s="5" t="str">
        <f t="shared" si="1"/>
        <v>Axelrod</v>
      </c>
      <c r="D2245" s="5" t="str">
        <f t="shared" si="2"/>
        <v> Brian</v>
      </c>
    </row>
    <row r="2246" ht="15.75" customHeight="1">
      <c r="A2246" s="5" t="s">
        <v>4491</v>
      </c>
      <c r="B2246" s="5" t="s">
        <v>4492</v>
      </c>
      <c r="C2246" s="5" t="str">
        <f t="shared" si="1"/>
        <v>Davenport</v>
      </c>
      <c r="D2246" s="5" t="str">
        <f t="shared" si="2"/>
        <v> Katherine A</v>
      </c>
    </row>
    <row r="2247" ht="15.75" customHeight="1">
      <c r="A2247" s="5" t="s">
        <v>4493</v>
      </c>
      <c r="B2247" s="5" t="s">
        <v>4494</v>
      </c>
      <c r="C2247" s="5" t="str">
        <f t="shared" si="1"/>
        <v>Roberge</v>
      </c>
      <c r="D2247" s="5" t="str">
        <f t="shared" si="2"/>
        <v> Melanie</v>
      </c>
    </row>
    <row r="2248" ht="15.75" customHeight="1">
      <c r="A2248" s="5" t="s">
        <v>4495</v>
      </c>
      <c r="B2248" s="5" t="s">
        <v>4496</v>
      </c>
      <c r="C2248" s="5" t="str">
        <f t="shared" si="1"/>
        <v>Schmidt</v>
      </c>
      <c r="D2248" s="5" t="str">
        <f t="shared" si="2"/>
        <v> Jessica</v>
      </c>
    </row>
    <row r="2249" ht="15.75" customHeight="1">
      <c r="A2249" s="5" t="s">
        <v>4497</v>
      </c>
      <c r="B2249" s="5" t="s">
        <v>4498</v>
      </c>
      <c r="C2249" s="5" t="str">
        <f t="shared" si="1"/>
        <v>Kosters</v>
      </c>
      <c r="D2249" s="5" t="str">
        <f t="shared" si="2"/>
        <v> Eric S</v>
      </c>
    </row>
    <row r="2250" ht="15.75" customHeight="1">
      <c r="A2250" s="5" t="s">
        <v>4499</v>
      </c>
      <c r="B2250" s="5" t="s">
        <v>4500</v>
      </c>
      <c r="C2250" s="5" t="str">
        <f t="shared" si="1"/>
        <v>Dykes</v>
      </c>
      <c r="D2250" s="5" t="str">
        <f t="shared" si="2"/>
        <v> Joseph</v>
      </c>
    </row>
    <row r="2251" ht="15.75" customHeight="1">
      <c r="A2251" s="5" t="s">
        <v>4501</v>
      </c>
      <c r="B2251" s="5" t="s">
        <v>4502</v>
      </c>
      <c r="C2251" s="5" t="str">
        <f t="shared" si="1"/>
        <v>Velan</v>
      </c>
      <c r="D2251" s="5" t="str">
        <f t="shared" si="2"/>
        <v> Mary</v>
      </c>
    </row>
    <row r="2252" ht="15.75" customHeight="1">
      <c r="A2252" s="5" t="s">
        <v>4503</v>
      </c>
      <c r="B2252" s="5" t="s">
        <v>4504</v>
      </c>
      <c r="C2252" s="5" t="str">
        <f t="shared" si="1"/>
        <v>Goolik</v>
      </c>
      <c r="D2252" s="5" t="str">
        <f t="shared" si="2"/>
        <v> Natalie</v>
      </c>
    </row>
    <row r="2253" ht="15.75" customHeight="1">
      <c r="A2253" s="5" t="s">
        <v>4505</v>
      </c>
      <c r="B2253" s="5" t="s">
        <v>4506</v>
      </c>
      <c r="C2253" s="5" t="str">
        <f t="shared" si="1"/>
        <v>Bain</v>
      </c>
      <c r="D2253" s="5" t="str">
        <f t="shared" si="2"/>
        <v> Christopher</v>
      </c>
    </row>
    <row r="2254" ht="15.75" customHeight="1">
      <c r="A2254" s="5" t="s">
        <v>4507</v>
      </c>
      <c r="B2254" s="5" t="s">
        <v>4508</v>
      </c>
      <c r="C2254" s="5" t="str">
        <f t="shared" si="1"/>
        <v>Wieck</v>
      </c>
      <c r="D2254" s="5" t="str">
        <f t="shared" si="2"/>
        <v> Sonja</v>
      </c>
    </row>
    <row r="2255" ht="15.75" customHeight="1">
      <c r="A2255" s="5" t="s">
        <v>4509</v>
      </c>
      <c r="B2255" s="5" t="s">
        <v>4510</v>
      </c>
      <c r="C2255" s="5" t="str">
        <f t="shared" si="1"/>
        <v>Friel</v>
      </c>
      <c r="D2255" s="5" t="str">
        <f t="shared" si="2"/>
        <v> Alexandra</v>
      </c>
    </row>
    <row r="2256" ht="15.75" customHeight="1">
      <c r="A2256" s="5" t="s">
        <v>4511</v>
      </c>
      <c r="B2256" s="5" t="s">
        <v>4512</v>
      </c>
      <c r="C2256" s="5" t="str">
        <f t="shared" si="1"/>
        <v>Santandreu</v>
      </c>
      <c r="D2256" s="5" t="str">
        <f t="shared" si="2"/>
        <v> Martha L.</v>
      </c>
    </row>
    <row r="2257" ht="15.75" customHeight="1">
      <c r="A2257" s="5" t="s">
        <v>4513</v>
      </c>
      <c r="B2257" s="5" t="s">
        <v>4514</v>
      </c>
      <c r="C2257" s="5" t="str">
        <f t="shared" si="1"/>
        <v>Johnson</v>
      </c>
      <c r="D2257" s="5" t="str">
        <f t="shared" si="2"/>
        <v> Ryan C.</v>
      </c>
    </row>
    <row r="2258" ht="15.75" customHeight="1">
      <c r="A2258" s="5" t="s">
        <v>4515</v>
      </c>
      <c r="B2258" s="5" t="s">
        <v>4516</v>
      </c>
      <c r="C2258" s="5" t="str">
        <f t="shared" si="1"/>
        <v>Gerber</v>
      </c>
      <c r="D2258" s="5" t="str">
        <f t="shared" si="2"/>
        <v> Cliff</v>
      </c>
    </row>
    <row r="2259" ht="15.75" customHeight="1">
      <c r="A2259" s="5" t="s">
        <v>4517</v>
      </c>
      <c r="B2259" s="5" t="s">
        <v>4518</v>
      </c>
      <c r="C2259" s="5" t="str">
        <f t="shared" si="1"/>
        <v>Benadum</v>
      </c>
      <c r="D2259" s="5" t="str">
        <f t="shared" si="2"/>
        <v> Blue</v>
      </c>
    </row>
    <row r="2260" ht="15.75" customHeight="1">
      <c r="A2260" s="5" t="s">
        <v>4519</v>
      </c>
      <c r="B2260" s="5" t="s">
        <v>4520</v>
      </c>
      <c r="C2260" s="5" t="str">
        <f t="shared" si="1"/>
        <v>Ragazzini</v>
      </c>
      <c r="D2260" s="5" t="str">
        <f t="shared" si="2"/>
        <v> Jeffrey M</v>
      </c>
    </row>
    <row r="2261" ht="15.75" customHeight="1">
      <c r="A2261" s="5" t="s">
        <v>4521</v>
      </c>
      <c r="B2261" s="5" t="s">
        <v>4522</v>
      </c>
      <c r="C2261" s="5" t="str">
        <f t="shared" si="1"/>
        <v>Kessinger</v>
      </c>
      <c r="D2261" s="5" t="str">
        <f t="shared" si="2"/>
        <v> Andrew</v>
      </c>
    </row>
    <row r="2262" ht="15.75" customHeight="1">
      <c r="A2262" s="5" t="s">
        <v>4523</v>
      </c>
      <c r="B2262" s="5" t="s">
        <v>4524</v>
      </c>
      <c r="C2262" s="5" t="str">
        <f t="shared" si="1"/>
        <v>Bezgin</v>
      </c>
      <c r="D2262" s="5" t="str">
        <f t="shared" si="2"/>
        <v> Julia</v>
      </c>
    </row>
    <row r="2263" ht="15.75" customHeight="1">
      <c r="A2263" s="5" t="s">
        <v>4525</v>
      </c>
      <c r="B2263" s="5" t="s">
        <v>4526</v>
      </c>
      <c r="C2263" s="5" t="str">
        <f t="shared" si="1"/>
        <v>Woldesilassie</v>
      </c>
      <c r="D2263" s="5" t="str">
        <f t="shared" si="2"/>
        <v> Daniel</v>
      </c>
    </row>
    <row r="2264" ht="15.75" customHeight="1">
      <c r="A2264" s="5" t="s">
        <v>4527</v>
      </c>
      <c r="B2264" s="5" t="s">
        <v>4528</v>
      </c>
      <c r="C2264" s="5" t="str">
        <f t="shared" si="1"/>
        <v>Rui</v>
      </c>
      <c r="D2264" s="5" t="str">
        <f t="shared" si="2"/>
        <v> Jaime</v>
      </c>
    </row>
    <row r="2265" ht="15.75" customHeight="1">
      <c r="A2265" s="5" t="s">
        <v>4529</v>
      </c>
      <c r="B2265" s="5" t="s">
        <v>4530</v>
      </c>
      <c r="C2265" s="5" t="str">
        <f t="shared" si="1"/>
        <v>Bi</v>
      </c>
      <c r="D2265" s="5" t="str">
        <f t="shared" si="2"/>
        <v> Mohd Syahidan</v>
      </c>
    </row>
    <row r="2266" ht="15.75" customHeight="1">
      <c r="A2266" s="5" t="s">
        <v>4531</v>
      </c>
      <c r="B2266" s="5" t="s">
        <v>4532</v>
      </c>
      <c r="C2266" s="5" t="str">
        <f t="shared" si="1"/>
        <v>Fischer-Daly</v>
      </c>
      <c r="D2266" s="5" t="str">
        <f t="shared" si="2"/>
        <v> Matthew</v>
      </c>
    </row>
    <row r="2267" ht="15.75" customHeight="1">
      <c r="A2267" s="5" t="s">
        <v>4533</v>
      </c>
      <c r="B2267" s="5" t="s">
        <v>4534</v>
      </c>
      <c r="C2267" s="5" t="str">
        <f t="shared" si="1"/>
        <v>Pulliam</v>
      </c>
      <c r="D2267" s="5" t="str">
        <f t="shared" si="2"/>
        <v> Elizabeth S.</v>
      </c>
    </row>
    <row r="2268" ht="15.75" customHeight="1">
      <c r="A2268" s="5" t="s">
        <v>4535</v>
      </c>
      <c r="B2268" s="5" t="s">
        <v>4536</v>
      </c>
      <c r="C2268" s="5" t="str">
        <f t="shared" si="1"/>
        <v>Guisinger</v>
      </c>
      <c r="D2268" s="5" t="str">
        <f t="shared" si="2"/>
        <v> Katie</v>
      </c>
    </row>
    <row r="2269" ht="15.75" customHeight="1">
      <c r="A2269" s="5" t="s">
        <v>4537</v>
      </c>
      <c r="B2269" s="5" t="s">
        <v>4538</v>
      </c>
      <c r="C2269" s="5" t="str">
        <f t="shared" si="1"/>
        <v>Arnerich</v>
      </c>
      <c r="D2269" s="5" t="str">
        <f t="shared" si="2"/>
        <v> Christi A.</v>
      </c>
    </row>
    <row r="2270" ht="15.75" customHeight="1">
      <c r="A2270" s="5" t="s">
        <v>4539</v>
      </c>
      <c r="B2270" s="5" t="s">
        <v>4540</v>
      </c>
      <c r="C2270" s="5" t="str">
        <f t="shared" si="1"/>
        <v>Lynch</v>
      </c>
      <c r="D2270" s="5" t="str">
        <f t="shared" si="2"/>
        <v> Sandra K.</v>
      </c>
    </row>
    <row r="2271" ht="15.75" customHeight="1">
      <c r="A2271" s="5" t="s">
        <v>4541</v>
      </c>
      <c r="B2271" s="5" t="s">
        <v>4542</v>
      </c>
      <c r="C2271" s="5" t="str">
        <f t="shared" si="1"/>
        <v>Reilly</v>
      </c>
      <c r="D2271" s="5" t="str">
        <f t="shared" si="2"/>
        <v> Katharine</v>
      </c>
    </row>
    <row r="2272" ht="15.75" customHeight="1">
      <c r="A2272" s="5" t="s">
        <v>4543</v>
      </c>
      <c r="B2272" s="5" t="s">
        <v>4544</v>
      </c>
      <c r="C2272" s="5" t="str">
        <f t="shared" si="1"/>
        <v>Nolette</v>
      </c>
      <c r="D2272" s="5" t="str">
        <f t="shared" si="2"/>
        <v> Jerome</v>
      </c>
    </row>
    <row r="2273" ht="15.75" customHeight="1">
      <c r="A2273" s="5" t="s">
        <v>4545</v>
      </c>
      <c r="B2273" s="5" t="s">
        <v>4546</v>
      </c>
      <c r="C2273" s="5" t="str">
        <f t="shared" si="1"/>
        <v>Chabrier</v>
      </c>
      <c r="D2273" s="5" t="str">
        <f t="shared" si="2"/>
        <v> Julia R</v>
      </c>
    </row>
    <row r="2274" ht="15.75" customHeight="1">
      <c r="A2274" s="5" t="s">
        <v>4547</v>
      </c>
      <c r="B2274" s="5" t="s">
        <v>4548</v>
      </c>
      <c r="C2274" s="5" t="str">
        <f t="shared" si="1"/>
        <v>Lee</v>
      </c>
      <c r="D2274" s="5" t="str">
        <f t="shared" si="2"/>
        <v> Sean Henry</v>
      </c>
    </row>
    <row r="2275" ht="15.75" customHeight="1">
      <c r="A2275" s="5" t="s">
        <v>4549</v>
      </c>
      <c r="B2275" s="5" t="s">
        <v>4550</v>
      </c>
      <c r="C2275" s="5" t="str">
        <f t="shared" si="1"/>
        <v>Knotts</v>
      </c>
      <c r="D2275" s="5" t="str">
        <f t="shared" si="2"/>
        <v> Rachel A.</v>
      </c>
    </row>
    <row r="2276" ht="15.75" customHeight="1">
      <c r="A2276" s="5" t="s">
        <v>4551</v>
      </c>
      <c r="B2276" s="5" t="s">
        <v>4552</v>
      </c>
      <c r="C2276" s="5" t="str">
        <f t="shared" si="1"/>
        <v>Pultorak</v>
      </c>
      <c r="D2276" s="5" t="str">
        <f t="shared" si="2"/>
        <v> Jim</v>
      </c>
    </row>
    <row r="2277" ht="15.75" customHeight="1">
      <c r="A2277" s="5" t="s">
        <v>4553</v>
      </c>
      <c r="B2277" s="5" t="s">
        <v>4554</v>
      </c>
      <c r="C2277" s="5" t="str">
        <f t="shared" si="1"/>
        <v>Maxon</v>
      </c>
      <c r="D2277" s="5" t="str">
        <f t="shared" si="2"/>
        <v> Tim</v>
      </c>
    </row>
    <row r="2278" ht="15.75" customHeight="1">
      <c r="A2278" s="5" t="s">
        <v>4555</v>
      </c>
      <c r="B2278" s="5" t="s">
        <v>4556</v>
      </c>
      <c r="C2278" s="5" t="str">
        <f t="shared" si="1"/>
        <v>Kraai</v>
      </c>
      <c r="D2278" s="5" t="str">
        <f t="shared" si="2"/>
        <v> Abby L.</v>
      </c>
    </row>
    <row r="2279" ht="15.75" customHeight="1">
      <c r="A2279" s="5" t="s">
        <v>4557</v>
      </c>
      <c r="B2279" s="5" t="s">
        <v>4558</v>
      </c>
      <c r="C2279" s="5" t="str">
        <f t="shared" si="1"/>
        <v>Larosa</v>
      </c>
      <c r="D2279" s="5" t="str">
        <f t="shared" si="2"/>
        <v> Mark</v>
      </c>
    </row>
    <row r="2280" ht="15.75" customHeight="1">
      <c r="A2280" s="5" t="s">
        <v>4559</v>
      </c>
      <c r="B2280" s="5" t="s">
        <v>4560</v>
      </c>
      <c r="C2280" s="5" t="str">
        <f t="shared" si="1"/>
        <v>King</v>
      </c>
      <c r="D2280" s="5" t="str">
        <f t="shared" si="2"/>
        <v> Ali</v>
      </c>
    </row>
    <row r="2281" ht="15.75" customHeight="1">
      <c r="A2281" s="5" t="s">
        <v>4561</v>
      </c>
      <c r="B2281" s="5" t="s">
        <v>4562</v>
      </c>
      <c r="C2281" s="5" t="str">
        <f t="shared" si="1"/>
        <v>Haney</v>
      </c>
      <c r="D2281" s="5" t="str">
        <f t="shared" si="2"/>
        <v> Joshua</v>
      </c>
    </row>
    <row r="2282" ht="15.75" customHeight="1">
      <c r="A2282" s="5" t="s">
        <v>4563</v>
      </c>
      <c r="B2282" s="5" t="s">
        <v>4564</v>
      </c>
      <c r="C2282" s="5" t="str">
        <f t="shared" si="1"/>
        <v>Boulay</v>
      </c>
      <c r="D2282" s="5" t="str">
        <f t="shared" si="2"/>
        <v> Pierre</v>
      </c>
    </row>
    <row r="2283" ht="15.75" customHeight="1">
      <c r="A2283" s="5" t="s">
        <v>4565</v>
      </c>
      <c r="B2283" s="5" t="s">
        <v>4566</v>
      </c>
      <c r="C2283" s="5" t="str">
        <f t="shared" si="1"/>
        <v>Peters</v>
      </c>
      <c r="D2283" s="5" t="str">
        <f t="shared" si="2"/>
        <v> Kate</v>
      </c>
    </row>
    <row r="2284" ht="15.75" customHeight="1">
      <c r="A2284" s="5" t="s">
        <v>4567</v>
      </c>
      <c r="B2284" s="5" t="s">
        <v>4568</v>
      </c>
      <c r="C2284" s="5" t="str">
        <f t="shared" si="1"/>
        <v>Luy</v>
      </c>
      <c r="D2284" s="5" t="str">
        <f t="shared" si="2"/>
        <v> David</v>
      </c>
    </row>
    <row r="2285" ht="15.75" customHeight="1">
      <c r="A2285" s="5" t="s">
        <v>4569</v>
      </c>
      <c r="B2285" s="5" t="s">
        <v>4570</v>
      </c>
      <c r="C2285" s="5" t="str">
        <f t="shared" si="1"/>
        <v>Fava</v>
      </c>
      <c r="D2285" s="5" t="str">
        <f t="shared" si="2"/>
        <v> Carla</v>
      </c>
    </row>
    <row r="2286" ht="15.75" customHeight="1">
      <c r="A2286" s="5" t="s">
        <v>4571</v>
      </c>
      <c r="B2286" s="5" t="s">
        <v>4572</v>
      </c>
      <c r="C2286" s="5" t="str">
        <f t="shared" si="1"/>
        <v>Montoya</v>
      </c>
      <c r="D2286" s="5" t="str">
        <f t="shared" si="2"/>
        <v> Alvaro Sr.</v>
      </c>
    </row>
    <row r="2287" ht="15.75" customHeight="1">
      <c r="A2287" s="5" t="s">
        <v>4573</v>
      </c>
      <c r="B2287" s="5" t="s">
        <v>4574</v>
      </c>
      <c r="C2287" s="5" t="str">
        <f t="shared" si="1"/>
        <v>Bain</v>
      </c>
      <c r="D2287" s="5" t="str">
        <f t="shared" si="2"/>
        <v> Hope</v>
      </c>
    </row>
    <row r="2288" ht="15.75" customHeight="1">
      <c r="A2288" s="5" t="s">
        <v>4575</v>
      </c>
      <c r="B2288" s="5" t="s">
        <v>4576</v>
      </c>
      <c r="C2288" s="5" t="str">
        <f t="shared" si="1"/>
        <v>Albertson</v>
      </c>
      <c r="D2288" s="5" t="str">
        <f t="shared" si="2"/>
        <v> Mark P.</v>
      </c>
    </row>
    <row r="2289" ht="15.75" customHeight="1">
      <c r="A2289" s="5" t="s">
        <v>4577</v>
      </c>
      <c r="B2289" s="5" t="s">
        <v>4578</v>
      </c>
      <c r="C2289" s="5" t="str">
        <f t="shared" si="1"/>
        <v>Barger</v>
      </c>
      <c r="D2289" s="5" t="str">
        <f t="shared" si="2"/>
        <v> Desiree</v>
      </c>
    </row>
    <row r="2290" ht="15.75" customHeight="1">
      <c r="A2290" s="5" t="s">
        <v>4579</v>
      </c>
      <c r="B2290" s="5" t="s">
        <v>4580</v>
      </c>
      <c r="C2290" s="5" t="str">
        <f t="shared" si="1"/>
        <v>Fraioli</v>
      </c>
      <c r="D2290" s="5" t="str">
        <f t="shared" si="2"/>
        <v> Mario Jr.</v>
      </c>
    </row>
    <row r="2291" ht="15.75" customHeight="1">
      <c r="A2291" s="5" t="s">
        <v>4581</v>
      </c>
      <c r="B2291" s="5" t="s">
        <v>4582</v>
      </c>
      <c r="C2291" s="5" t="str">
        <f t="shared" si="1"/>
        <v>April</v>
      </c>
      <c r="D2291" s="5" t="str">
        <f t="shared" si="2"/>
        <v> Lusapho</v>
      </c>
    </row>
    <row r="2292" ht="15.75" customHeight="1">
      <c r="A2292" s="5" t="s">
        <v>4583</v>
      </c>
      <c r="B2292" s="5" t="s">
        <v>4584</v>
      </c>
      <c r="C2292" s="5" t="str">
        <f t="shared" si="1"/>
        <v>King</v>
      </c>
      <c r="D2292" s="5" t="str">
        <f t="shared" si="2"/>
        <v> Erin C.</v>
      </c>
    </row>
    <row r="2293" ht="15.75" customHeight="1">
      <c r="A2293" s="5" t="s">
        <v>4585</v>
      </c>
      <c r="B2293" s="5" t="s">
        <v>4586</v>
      </c>
      <c r="C2293" s="5" t="str">
        <f t="shared" si="1"/>
        <v>Talhelm</v>
      </c>
      <c r="D2293" s="5" t="str">
        <f t="shared" si="2"/>
        <v> Alan F</v>
      </c>
    </row>
    <row r="2294" ht="15.75" customHeight="1">
      <c r="A2294" s="5" t="s">
        <v>4587</v>
      </c>
      <c r="B2294" s="5" t="s">
        <v>4588</v>
      </c>
      <c r="C2294" s="5" t="str">
        <f t="shared" si="1"/>
        <v>Regnier</v>
      </c>
      <c r="D2294" s="5" t="str">
        <f t="shared" si="2"/>
        <v> Ryan</v>
      </c>
    </row>
    <row r="2295" ht="15.75" customHeight="1">
      <c r="A2295" s="5" t="s">
        <v>4589</v>
      </c>
      <c r="B2295" s="5" t="s">
        <v>4590</v>
      </c>
      <c r="C2295" s="5" t="str">
        <f t="shared" si="1"/>
        <v>Treece</v>
      </c>
      <c r="D2295" s="5" t="str">
        <f t="shared" si="2"/>
        <v> Hope</v>
      </c>
    </row>
    <row r="2296" ht="15.75" customHeight="1">
      <c r="A2296" s="5" t="s">
        <v>4591</v>
      </c>
      <c r="B2296" s="5" t="s">
        <v>4592</v>
      </c>
      <c r="C2296" s="5" t="str">
        <f t="shared" si="1"/>
        <v>Beisel</v>
      </c>
      <c r="D2296" s="5" t="str">
        <f t="shared" si="2"/>
        <v> Josh</v>
      </c>
    </row>
    <row r="2297" ht="15.75" customHeight="1">
      <c r="A2297" s="5" t="s">
        <v>4593</v>
      </c>
      <c r="B2297" s="5" t="s">
        <v>4594</v>
      </c>
      <c r="C2297" s="5" t="str">
        <f t="shared" si="1"/>
        <v>Enke</v>
      </c>
      <c r="D2297" s="5" t="str">
        <f t="shared" si="2"/>
        <v> Jacob J</v>
      </c>
    </row>
    <row r="2298" ht="15.75" customHeight="1">
      <c r="A2298" s="5" t="s">
        <v>4595</v>
      </c>
      <c r="B2298" s="5" t="s">
        <v>4596</v>
      </c>
      <c r="C2298" s="5" t="str">
        <f t="shared" si="1"/>
        <v>Ruiz-Tagl</v>
      </c>
      <c r="D2298" s="5" t="str">
        <f t="shared" si="2"/>
        <v> Jose Tomas</v>
      </c>
    </row>
    <row r="2299" ht="15.75" customHeight="1">
      <c r="A2299" s="5" t="s">
        <v>4597</v>
      </c>
      <c r="B2299" s="5" t="s">
        <v>4598</v>
      </c>
      <c r="C2299" s="5" t="str">
        <f t="shared" si="1"/>
        <v>Ferrell</v>
      </c>
      <c r="D2299" s="5" t="str">
        <f t="shared" si="2"/>
        <v> Mary Evan</v>
      </c>
    </row>
    <row r="2300" ht="15.75" customHeight="1">
      <c r="A2300" s="5" t="s">
        <v>4599</v>
      </c>
      <c r="B2300" s="5" t="s">
        <v>4600</v>
      </c>
      <c r="C2300" s="5" t="str">
        <f t="shared" si="1"/>
        <v>Gates</v>
      </c>
      <c r="D2300" s="5" t="str">
        <f t="shared" si="2"/>
        <v> Justin K.</v>
      </c>
    </row>
    <row r="2301" ht="15.75" customHeight="1">
      <c r="A2301" s="5" t="s">
        <v>4601</v>
      </c>
      <c r="B2301" s="5" t="s">
        <v>4602</v>
      </c>
      <c r="C2301" s="5" t="str">
        <f t="shared" si="1"/>
        <v>Jeffers</v>
      </c>
      <c r="D2301" s="5" t="str">
        <f t="shared" si="2"/>
        <v> Patrick</v>
      </c>
    </row>
    <row r="2302" ht="15.75" customHeight="1">
      <c r="A2302" s="5" t="s">
        <v>4603</v>
      </c>
      <c r="B2302" s="5" t="s">
        <v>4604</v>
      </c>
      <c r="C2302" s="5" t="str">
        <f t="shared" si="1"/>
        <v>Sulhanek</v>
      </c>
      <c r="D2302" s="5" t="str">
        <f t="shared" si="2"/>
        <v> Roman</v>
      </c>
    </row>
    <row r="2303" ht="15.75" customHeight="1">
      <c r="A2303" s="5" t="s">
        <v>4605</v>
      </c>
      <c r="B2303" s="5" t="s">
        <v>4606</v>
      </c>
      <c r="C2303" s="5" t="str">
        <f t="shared" si="1"/>
        <v>Ozahowski</v>
      </c>
      <c r="D2303" s="5" t="str">
        <f t="shared" si="2"/>
        <v> David</v>
      </c>
    </row>
    <row r="2304" ht="15.75" customHeight="1">
      <c r="A2304" s="5" t="s">
        <v>4607</v>
      </c>
      <c r="B2304" s="5" t="s">
        <v>4608</v>
      </c>
      <c r="C2304" s="5" t="str">
        <f t="shared" si="1"/>
        <v>Caron</v>
      </c>
      <c r="D2304" s="5" t="str">
        <f t="shared" si="2"/>
        <v> Evelyn L</v>
      </c>
    </row>
    <row r="2305" ht="15.75" customHeight="1">
      <c r="A2305" s="5" t="s">
        <v>4609</v>
      </c>
      <c r="B2305" s="5" t="s">
        <v>4610</v>
      </c>
      <c r="C2305" s="5" t="str">
        <f t="shared" si="1"/>
        <v>Fullarton</v>
      </c>
      <c r="D2305" s="5" t="str">
        <f t="shared" si="2"/>
        <v> Jim</v>
      </c>
    </row>
    <row r="2306" ht="15.75" customHeight="1">
      <c r="A2306" s="5" t="s">
        <v>4611</v>
      </c>
      <c r="B2306" s="5" t="s">
        <v>4612</v>
      </c>
      <c r="C2306" s="5" t="str">
        <f t="shared" si="1"/>
        <v>Lindgren</v>
      </c>
      <c r="D2306" s="5" t="str">
        <f t="shared" si="2"/>
        <v> Matthew S</v>
      </c>
    </row>
    <row r="2307" ht="15.75" customHeight="1">
      <c r="A2307" s="5" t="s">
        <v>4613</v>
      </c>
      <c r="B2307" s="5" t="s">
        <v>4614</v>
      </c>
      <c r="C2307" s="5" t="str">
        <f t="shared" si="1"/>
        <v>Akiha</v>
      </c>
      <c r="D2307" s="5" t="str">
        <f t="shared" si="2"/>
        <v> Kenneth</v>
      </c>
    </row>
    <row r="2308" ht="15.75" customHeight="1">
      <c r="A2308" s="5" t="s">
        <v>4615</v>
      </c>
      <c r="B2308" s="5" t="s">
        <v>4616</v>
      </c>
      <c r="C2308" s="5" t="str">
        <f t="shared" si="1"/>
        <v>Sweny</v>
      </c>
      <c r="D2308" s="5" t="str">
        <f t="shared" si="2"/>
        <v> Andrea</v>
      </c>
    </row>
    <row r="2309" ht="15.75" customHeight="1">
      <c r="A2309" s="5" t="s">
        <v>4617</v>
      </c>
      <c r="B2309" s="5" t="s">
        <v>4618</v>
      </c>
      <c r="C2309" s="5" t="str">
        <f t="shared" si="1"/>
        <v>Tobin</v>
      </c>
      <c r="D2309" s="5" t="str">
        <f t="shared" si="2"/>
        <v> Kristina</v>
      </c>
    </row>
    <row r="2310" ht="15.75" customHeight="1">
      <c r="A2310" s="5" t="s">
        <v>4619</v>
      </c>
      <c r="B2310" s="5" t="s">
        <v>4620</v>
      </c>
      <c r="C2310" s="5" t="str">
        <f t="shared" si="1"/>
        <v>Pedersen</v>
      </c>
      <c r="D2310" s="5" t="str">
        <f t="shared" si="2"/>
        <v> Kristen</v>
      </c>
    </row>
    <row r="2311" ht="15.75" customHeight="1">
      <c r="A2311" s="5" t="s">
        <v>4621</v>
      </c>
      <c r="B2311" s="5" t="s">
        <v>4622</v>
      </c>
      <c r="C2311" s="5" t="str">
        <f t="shared" si="1"/>
        <v>Lynch</v>
      </c>
      <c r="D2311" s="5" t="str">
        <f t="shared" si="2"/>
        <v> Matthew</v>
      </c>
    </row>
    <row r="2312" ht="15.75" customHeight="1">
      <c r="A2312" s="5" t="s">
        <v>4623</v>
      </c>
      <c r="B2312" s="5" t="s">
        <v>4624</v>
      </c>
      <c r="C2312" s="5" t="str">
        <f t="shared" si="1"/>
        <v>Keys</v>
      </c>
      <c r="D2312" s="5" t="str">
        <f t="shared" si="2"/>
        <v> Kathleen</v>
      </c>
    </row>
    <row r="2313" ht="15.75" customHeight="1">
      <c r="A2313" s="5" t="s">
        <v>4625</v>
      </c>
      <c r="B2313" s="5" t="s">
        <v>4626</v>
      </c>
      <c r="C2313" s="5" t="str">
        <f t="shared" si="1"/>
        <v>Wilbur</v>
      </c>
      <c r="D2313" s="5" t="str">
        <f t="shared" si="2"/>
        <v> Lindsey</v>
      </c>
    </row>
    <row r="2314" ht="15.75" customHeight="1">
      <c r="A2314" s="5" t="s">
        <v>4627</v>
      </c>
      <c r="B2314" s="5" t="s">
        <v>4628</v>
      </c>
      <c r="C2314" s="5" t="str">
        <f t="shared" si="1"/>
        <v>Ditota</v>
      </c>
      <c r="D2314" s="5" t="str">
        <f t="shared" si="2"/>
        <v> Robert</v>
      </c>
    </row>
    <row r="2315" ht="15.75" customHeight="1">
      <c r="A2315" s="5" t="s">
        <v>4629</v>
      </c>
      <c r="B2315" s="5" t="s">
        <v>4630</v>
      </c>
      <c r="C2315" s="5" t="str">
        <f t="shared" si="1"/>
        <v>Horbol</v>
      </c>
      <c r="D2315" s="5" t="str">
        <f t="shared" si="2"/>
        <v> Sarah E.</v>
      </c>
    </row>
    <row r="2316" ht="15.75" customHeight="1">
      <c r="A2316" s="5" t="s">
        <v>4631</v>
      </c>
      <c r="B2316" s="5" t="s">
        <v>4632</v>
      </c>
      <c r="C2316" s="5" t="str">
        <f t="shared" si="1"/>
        <v>O'Rourke</v>
      </c>
      <c r="D2316" s="5" t="str">
        <f t="shared" si="2"/>
        <v> Flannery</v>
      </c>
    </row>
    <row r="2317" ht="15.75" customHeight="1">
      <c r="A2317" s="5" t="s">
        <v>4633</v>
      </c>
      <c r="B2317" s="5" t="s">
        <v>4634</v>
      </c>
      <c r="C2317" s="5" t="str">
        <f t="shared" si="1"/>
        <v>Williams</v>
      </c>
      <c r="D2317" s="5" t="str">
        <f t="shared" si="2"/>
        <v> John T</v>
      </c>
    </row>
    <row r="2318" ht="15.75" customHeight="1">
      <c r="A2318" s="5" t="s">
        <v>4635</v>
      </c>
      <c r="B2318" s="5" t="s">
        <v>4636</v>
      </c>
      <c r="C2318" s="5" t="str">
        <f t="shared" si="1"/>
        <v>Murakami</v>
      </c>
      <c r="D2318" s="5" t="str">
        <f t="shared" si="2"/>
        <v> Koji</v>
      </c>
    </row>
    <row r="2319" ht="15.75" customHeight="1">
      <c r="A2319" s="5" t="s">
        <v>4637</v>
      </c>
      <c r="B2319" s="5" t="s">
        <v>4638</v>
      </c>
      <c r="C2319" s="5" t="str">
        <f t="shared" si="1"/>
        <v>Gagnon</v>
      </c>
      <c r="D2319" s="5" t="str">
        <f t="shared" si="2"/>
        <v> Candice M</v>
      </c>
    </row>
    <row r="2320" ht="15.75" customHeight="1">
      <c r="A2320" s="5" t="s">
        <v>4639</v>
      </c>
      <c r="B2320" s="5" t="s">
        <v>4640</v>
      </c>
      <c r="C2320" s="5" t="str">
        <f t="shared" si="1"/>
        <v>Petermann</v>
      </c>
      <c r="D2320" s="5" t="str">
        <f t="shared" si="2"/>
        <v> Theodore A.</v>
      </c>
    </row>
    <row r="2321" ht="15.75" customHeight="1">
      <c r="A2321" s="5" t="s">
        <v>4641</v>
      </c>
      <c r="B2321" s="5" t="s">
        <v>4642</v>
      </c>
      <c r="C2321" s="5" t="str">
        <f t="shared" si="1"/>
        <v>Grave</v>
      </c>
      <c r="D2321" s="5" t="str">
        <f t="shared" si="2"/>
        <v> Lindy</v>
      </c>
    </row>
    <row r="2322" ht="15.75" customHeight="1">
      <c r="A2322" s="5" t="s">
        <v>4643</v>
      </c>
      <c r="B2322" s="5" t="s">
        <v>4644</v>
      </c>
      <c r="C2322" s="5" t="str">
        <f t="shared" si="1"/>
        <v>Danielson</v>
      </c>
      <c r="D2322" s="5" t="str">
        <f t="shared" si="2"/>
        <v> Thomas</v>
      </c>
    </row>
    <row r="2323" ht="15.75" customHeight="1">
      <c r="A2323" s="5" t="s">
        <v>4645</v>
      </c>
      <c r="B2323" s="5" t="s">
        <v>4646</v>
      </c>
      <c r="C2323" s="5" t="str">
        <f t="shared" si="1"/>
        <v>Street</v>
      </c>
      <c r="D2323" s="5" t="str">
        <f t="shared" si="2"/>
        <v> Holly</v>
      </c>
    </row>
    <row r="2324" ht="15.75" customHeight="1">
      <c r="A2324" s="5" t="s">
        <v>4647</v>
      </c>
      <c r="B2324" s="5" t="s">
        <v>4648</v>
      </c>
      <c r="C2324" s="5" t="str">
        <f t="shared" si="1"/>
        <v>Buss</v>
      </c>
      <c r="D2324" s="5" t="str">
        <f t="shared" si="2"/>
        <v> Matthew</v>
      </c>
    </row>
    <row r="2325" ht="15.75" customHeight="1">
      <c r="A2325" s="5" t="s">
        <v>4649</v>
      </c>
      <c r="B2325" s="5" t="s">
        <v>4650</v>
      </c>
      <c r="C2325" s="5" t="str">
        <f t="shared" si="1"/>
        <v>Duffy</v>
      </c>
      <c r="D2325" s="5" t="str">
        <f t="shared" si="2"/>
        <v> Meghan K</v>
      </c>
    </row>
    <row r="2326" ht="15.75" customHeight="1">
      <c r="A2326" s="5" t="s">
        <v>4651</v>
      </c>
      <c r="B2326" s="5" t="s">
        <v>4652</v>
      </c>
      <c r="C2326" s="5" t="str">
        <f t="shared" si="1"/>
        <v>Hines</v>
      </c>
      <c r="D2326" s="5" t="str">
        <f t="shared" si="2"/>
        <v> Fred</v>
      </c>
    </row>
    <row r="2327" ht="15.75" customHeight="1">
      <c r="A2327" s="5" t="s">
        <v>4653</v>
      </c>
      <c r="B2327" s="5" t="s">
        <v>4654</v>
      </c>
      <c r="C2327" s="5" t="str">
        <f t="shared" si="1"/>
        <v>Castro</v>
      </c>
      <c r="D2327" s="5" t="str">
        <f t="shared" si="2"/>
        <v> Sebastian</v>
      </c>
    </row>
    <row r="2328" ht="15.75" customHeight="1">
      <c r="A2328" s="5" t="s">
        <v>4655</v>
      </c>
      <c r="B2328" s="5" t="s">
        <v>4656</v>
      </c>
      <c r="C2328" s="5" t="str">
        <f t="shared" si="1"/>
        <v>Howell</v>
      </c>
      <c r="D2328" s="5" t="str">
        <f t="shared" si="2"/>
        <v> Laura</v>
      </c>
    </row>
    <row r="2329" ht="15.75" customHeight="1">
      <c r="A2329" s="5" t="s">
        <v>4657</v>
      </c>
      <c r="B2329" s="5" t="s">
        <v>4658</v>
      </c>
      <c r="C2329" s="5" t="str">
        <f t="shared" si="1"/>
        <v>Avery</v>
      </c>
      <c r="D2329" s="5" t="str">
        <f t="shared" si="2"/>
        <v> Nicole</v>
      </c>
    </row>
    <row r="2330" ht="15.75" customHeight="1">
      <c r="A2330" s="5" t="s">
        <v>4659</v>
      </c>
      <c r="B2330" s="5" t="s">
        <v>4660</v>
      </c>
      <c r="C2330" s="5" t="str">
        <f t="shared" si="1"/>
        <v>Bohinski</v>
      </c>
      <c r="D2330" s="5" t="str">
        <f t="shared" si="2"/>
        <v> Susan E</v>
      </c>
    </row>
    <row r="2331" ht="15.75" customHeight="1">
      <c r="A2331" s="5" t="s">
        <v>4661</v>
      </c>
      <c r="B2331" s="5" t="s">
        <v>4662</v>
      </c>
      <c r="C2331" s="5" t="str">
        <f t="shared" si="1"/>
        <v>Kohls</v>
      </c>
      <c r="D2331" s="5" t="str">
        <f t="shared" si="2"/>
        <v> Katy</v>
      </c>
    </row>
    <row r="2332" ht="15.75" customHeight="1">
      <c r="A2332" s="5" t="s">
        <v>4663</v>
      </c>
      <c r="B2332" s="5" t="s">
        <v>4664</v>
      </c>
      <c r="C2332" s="5" t="str">
        <f t="shared" si="1"/>
        <v>Brietzke</v>
      </c>
      <c r="D2332" s="5" t="str">
        <f t="shared" si="2"/>
        <v> Jordan</v>
      </c>
    </row>
    <row r="2333" ht="15.75" customHeight="1">
      <c r="A2333" s="5" t="s">
        <v>4665</v>
      </c>
      <c r="B2333" s="5" t="s">
        <v>4666</v>
      </c>
      <c r="C2333" s="5" t="str">
        <f t="shared" si="1"/>
        <v>Rivero</v>
      </c>
      <c r="D2333" s="5" t="str">
        <f t="shared" si="2"/>
        <v> Juan D. Sr.</v>
      </c>
    </row>
    <row r="2334" ht="15.75" customHeight="1">
      <c r="A2334" s="5" t="s">
        <v>4667</v>
      </c>
      <c r="B2334" s="5" t="s">
        <v>4668</v>
      </c>
      <c r="C2334" s="5" t="str">
        <f t="shared" si="1"/>
        <v>Albano</v>
      </c>
      <c r="D2334" s="5" t="str">
        <f t="shared" si="2"/>
        <v> Julie</v>
      </c>
    </row>
    <row r="2335" ht="15.75" customHeight="1">
      <c r="A2335" s="5" t="s">
        <v>4669</v>
      </c>
      <c r="B2335" s="5" t="s">
        <v>4670</v>
      </c>
      <c r="C2335" s="5" t="str">
        <f t="shared" si="1"/>
        <v>Rosendahl</v>
      </c>
      <c r="D2335" s="5" t="str">
        <f t="shared" si="2"/>
        <v> Evan P</v>
      </c>
    </row>
    <row r="2336" ht="15.75" customHeight="1">
      <c r="A2336" s="5" t="s">
        <v>4671</v>
      </c>
      <c r="B2336" s="5" t="s">
        <v>4672</v>
      </c>
      <c r="C2336" s="5" t="str">
        <f t="shared" si="1"/>
        <v>German</v>
      </c>
      <c r="D2336" s="5" t="str">
        <f t="shared" si="2"/>
        <v> Aaron K</v>
      </c>
    </row>
  </sheetData>
  <autoFilter ref="$A$1:$D$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8.71"/>
    <col customWidth="1" min="3" max="3" width="11.43"/>
    <col customWidth="1" min="4" max="4" width="16.29"/>
    <col customWidth="1" min="5" max="5" width="19.71"/>
    <col customWidth="1" min="6" max="6" width="18.29"/>
    <col customWidth="1" min="7" max="7" width="29.0"/>
    <col customWidth="1" min="8" max="8" width="12.14"/>
    <col customWidth="1" min="9" max="9" width="13.14"/>
    <col customWidth="1" min="10" max="10" width="29.0"/>
    <col customWidth="1" min="11" max="11" width="20.14"/>
    <col customWidth="1" min="12" max="12" width="8.71"/>
    <col customWidth="1" min="13" max="13" width="33.71"/>
    <col customWidth="1" min="14" max="14" width="14.57"/>
    <col customWidth="1" min="15" max="15" width="11.0"/>
    <col customWidth="1" min="16" max="19" width="8.71"/>
  </cols>
  <sheetData>
    <row r="1" ht="18.75" customHeight="1">
      <c r="A1" s="6" t="s">
        <v>4673</v>
      </c>
      <c r="B1" s="6" t="s">
        <v>4674</v>
      </c>
      <c r="C1" s="6" t="s">
        <v>4675</v>
      </c>
      <c r="D1" s="6" t="s">
        <v>4676</v>
      </c>
      <c r="E1" s="6" t="s">
        <v>4677</v>
      </c>
      <c r="F1" s="6" t="s">
        <v>4678</v>
      </c>
      <c r="G1" s="6" t="s">
        <v>4679</v>
      </c>
      <c r="H1" s="6" t="s">
        <v>4680</v>
      </c>
      <c r="I1" s="7" t="s">
        <v>4681</v>
      </c>
      <c r="J1" s="8" t="s">
        <v>4682</v>
      </c>
      <c r="K1" s="8" t="s">
        <v>4683</v>
      </c>
    </row>
    <row r="2">
      <c r="A2" s="9" t="s">
        <v>3</v>
      </c>
      <c r="B2" s="9">
        <v>47.41</v>
      </c>
      <c r="C2" s="9">
        <v>7.47</v>
      </c>
      <c r="D2" s="9" t="s">
        <v>4684</v>
      </c>
      <c r="E2" s="9" t="s">
        <v>4684</v>
      </c>
      <c r="F2" s="9" t="s">
        <v>4684</v>
      </c>
      <c r="G2" s="9" t="s">
        <v>4685</v>
      </c>
      <c r="H2" s="9" t="s">
        <v>4686</v>
      </c>
      <c r="I2" s="9" t="str">
        <f t="shared" ref="I2:I2336" si="1">IF(H2="?",$H$2,H2)</f>
        <v>Yes</v>
      </c>
      <c r="J2" s="9">
        <f t="shared" ref="J2:J2336" si="2">IF(G2="No major surgery",0,G2)</f>
        <v>0</v>
      </c>
      <c r="K2" s="9" t="str">
        <f t="shared" ref="K2:K2336" si="3">IF(B2&lt;18.5,"UNDERWEIGHT",IF(B2&lt;25,"NORMAL WEIGHT",IF(B2&lt;29.9,"OVERWEIGHT","OBESITY")))</f>
        <v>OBESITY</v>
      </c>
      <c r="M2" s="10" t="s">
        <v>4687</v>
      </c>
      <c r="N2" s="10" t="s">
        <v>4688</v>
      </c>
      <c r="O2" s="9">
        <f>COUNTIF(A2:A2336,"?")</f>
        <v>0</v>
      </c>
    </row>
    <row r="3">
      <c r="A3" s="9" t="s">
        <v>5</v>
      </c>
      <c r="B3" s="9">
        <v>30.36</v>
      </c>
      <c r="C3" s="9">
        <v>5.77</v>
      </c>
      <c r="D3" s="9" t="s">
        <v>4684</v>
      </c>
      <c r="E3" s="9" t="s">
        <v>4684</v>
      </c>
      <c r="F3" s="9" t="s">
        <v>4684</v>
      </c>
      <c r="G3" s="9" t="s">
        <v>4685</v>
      </c>
      <c r="H3" s="9" t="s">
        <v>4686</v>
      </c>
      <c r="I3" s="9" t="str">
        <f t="shared" si="1"/>
        <v>Yes</v>
      </c>
      <c r="J3" s="9">
        <f t="shared" si="2"/>
        <v>0</v>
      </c>
      <c r="K3" s="9" t="str">
        <f t="shared" si="3"/>
        <v>OBESITY</v>
      </c>
      <c r="M3" s="11" t="s">
        <v>4689</v>
      </c>
      <c r="N3" s="11" t="s">
        <v>4688</v>
      </c>
      <c r="O3" s="9">
        <f>COUNTIF(B2:B2336,"?")</f>
        <v>0</v>
      </c>
    </row>
    <row r="4">
      <c r="A4" s="9" t="s">
        <v>7</v>
      </c>
      <c r="B4" s="9">
        <v>34.485</v>
      </c>
      <c r="C4" s="9">
        <v>11.87</v>
      </c>
      <c r="D4" s="9" t="s">
        <v>4686</v>
      </c>
      <c r="E4" s="9" t="s">
        <v>4684</v>
      </c>
      <c r="F4" s="9" t="s">
        <v>4684</v>
      </c>
      <c r="G4" s="9">
        <v>2.0</v>
      </c>
      <c r="H4" s="9" t="s">
        <v>4686</v>
      </c>
      <c r="I4" s="9" t="str">
        <f t="shared" si="1"/>
        <v>Yes</v>
      </c>
      <c r="J4" s="9">
        <f t="shared" si="2"/>
        <v>2</v>
      </c>
      <c r="K4" s="9" t="str">
        <f t="shared" si="3"/>
        <v>OBESITY</v>
      </c>
      <c r="M4" s="10" t="s">
        <v>4690</v>
      </c>
      <c r="N4" s="10" t="s">
        <v>4688</v>
      </c>
      <c r="O4" s="9">
        <f>COUNTIF(C2:C2336,"?")</f>
        <v>0</v>
      </c>
    </row>
    <row r="5">
      <c r="A5" s="9" t="s">
        <v>9</v>
      </c>
      <c r="B5" s="9">
        <v>38.095</v>
      </c>
      <c r="C5" s="9">
        <v>6.05</v>
      </c>
      <c r="D5" s="9" t="s">
        <v>4684</v>
      </c>
      <c r="E5" s="9" t="s">
        <v>4684</v>
      </c>
      <c r="F5" s="9" t="s">
        <v>4684</v>
      </c>
      <c r="G5" s="9" t="s">
        <v>4685</v>
      </c>
      <c r="H5" s="9" t="s">
        <v>4686</v>
      </c>
      <c r="I5" s="9" t="str">
        <f t="shared" si="1"/>
        <v>Yes</v>
      </c>
      <c r="J5" s="9">
        <f t="shared" si="2"/>
        <v>0</v>
      </c>
      <c r="K5" s="9" t="str">
        <f t="shared" si="3"/>
        <v>OBESITY</v>
      </c>
      <c r="M5" s="11" t="s">
        <v>4691</v>
      </c>
      <c r="N5" s="11" t="s">
        <v>4688</v>
      </c>
      <c r="O5" s="9">
        <f>COUNTIF(D2:D2336,"?")</f>
        <v>0</v>
      </c>
    </row>
    <row r="6">
      <c r="A6" s="9" t="s">
        <v>11</v>
      </c>
      <c r="B6" s="9">
        <v>35.53</v>
      </c>
      <c r="C6" s="9">
        <v>5.45</v>
      </c>
      <c r="D6" s="9" t="s">
        <v>4684</v>
      </c>
      <c r="E6" s="9" t="s">
        <v>4684</v>
      </c>
      <c r="F6" s="9" t="s">
        <v>4684</v>
      </c>
      <c r="G6" s="9" t="s">
        <v>4685</v>
      </c>
      <c r="H6" s="9" t="s">
        <v>4686</v>
      </c>
      <c r="I6" s="9" t="str">
        <f t="shared" si="1"/>
        <v>Yes</v>
      </c>
      <c r="J6" s="9">
        <f t="shared" si="2"/>
        <v>0</v>
      </c>
      <c r="K6" s="9" t="str">
        <f t="shared" si="3"/>
        <v>OBESITY</v>
      </c>
      <c r="M6" s="10" t="s">
        <v>4692</v>
      </c>
      <c r="N6" s="10" t="s">
        <v>4688</v>
      </c>
      <c r="O6" s="9">
        <f>COUNTIF(E2:E2336,"?")</f>
        <v>0</v>
      </c>
    </row>
    <row r="7">
      <c r="A7" s="9" t="s">
        <v>13</v>
      </c>
      <c r="B7" s="9">
        <v>32.8</v>
      </c>
      <c r="C7" s="9">
        <v>6.59</v>
      </c>
      <c r="D7" s="9" t="s">
        <v>4684</v>
      </c>
      <c r="E7" s="9" t="s">
        <v>4684</v>
      </c>
      <c r="F7" s="9" t="s">
        <v>4684</v>
      </c>
      <c r="G7" s="9" t="s">
        <v>4685</v>
      </c>
      <c r="H7" s="9" t="s">
        <v>4686</v>
      </c>
      <c r="I7" s="9" t="str">
        <f t="shared" si="1"/>
        <v>Yes</v>
      </c>
      <c r="J7" s="9">
        <f t="shared" si="2"/>
        <v>0</v>
      </c>
      <c r="K7" s="9" t="str">
        <f t="shared" si="3"/>
        <v>OBESITY</v>
      </c>
      <c r="M7" s="11" t="s">
        <v>4693</v>
      </c>
      <c r="N7" s="11" t="s">
        <v>4688</v>
      </c>
      <c r="O7" s="9">
        <f>COUNTIF(F2:F2336,"?")</f>
        <v>0</v>
      </c>
    </row>
    <row r="8">
      <c r="A8" s="9" t="s">
        <v>15</v>
      </c>
      <c r="B8" s="9">
        <v>36.4</v>
      </c>
      <c r="C8" s="9">
        <v>6.07</v>
      </c>
      <c r="D8" s="9" t="s">
        <v>4684</v>
      </c>
      <c r="E8" s="9" t="s">
        <v>4684</v>
      </c>
      <c r="F8" s="9" t="s">
        <v>4684</v>
      </c>
      <c r="G8" s="9" t="s">
        <v>4685</v>
      </c>
      <c r="H8" s="9" t="s">
        <v>4686</v>
      </c>
      <c r="I8" s="9" t="str">
        <f t="shared" si="1"/>
        <v>Yes</v>
      </c>
      <c r="J8" s="9">
        <f t="shared" si="2"/>
        <v>0</v>
      </c>
      <c r="K8" s="9" t="str">
        <f t="shared" si="3"/>
        <v>OBESITY</v>
      </c>
      <c r="M8" s="10" t="s">
        <v>4694</v>
      </c>
      <c r="N8" s="10" t="s">
        <v>4688</v>
      </c>
      <c r="O8" s="9">
        <f>COUNTIF(G2:G2336,"?")</f>
        <v>0</v>
      </c>
    </row>
    <row r="9">
      <c r="A9" s="9" t="s">
        <v>17</v>
      </c>
      <c r="B9" s="9">
        <v>36.96</v>
      </c>
      <c r="C9" s="9">
        <v>7.93</v>
      </c>
      <c r="D9" s="9" t="s">
        <v>4684</v>
      </c>
      <c r="E9" s="9" t="s">
        <v>4684</v>
      </c>
      <c r="F9" s="9" t="s">
        <v>4684</v>
      </c>
      <c r="G9" s="9">
        <v>3.0</v>
      </c>
      <c r="H9" s="9" t="s">
        <v>4686</v>
      </c>
      <c r="I9" s="9" t="str">
        <f t="shared" si="1"/>
        <v>Yes</v>
      </c>
      <c r="J9" s="9">
        <f t="shared" si="2"/>
        <v>3</v>
      </c>
      <c r="K9" s="9" t="str">
        <f t="shared" si="3"/>
        <v>OBESITY</v>
      </c>
      <c r="M9" s="11" t="s">
        <v>4695</v>
      </c>
      <c r="N9" s="11" t="s">
        <v>4688</v>
      </c>
      <c r="O9" s="9">
        <f>COUNTIF(H2:H2336,"?")</f>
        <v>2</v>
      </c>
    </row>
    <row r="10">
      <c r="A10" s="9" t="s">
        <v>19</v>
      </c>
      <c r="B10" s="9">
        <v>41.14</v>
      </c>
      <c r="C10" s="9">
        <v>9.58</v>
      </c>
      <c r="D10" s="9" t="s">
        <v>4686</v>
      </c>
      <c r="E10" s="9" t="s">
        <v>4684</v>
      </c>
      <c r="F10" s="9" t="s">
        <v>4686</v>
      </c>
      <c r="G10" s="9">
        <v>1.0</v>
      </c>
      <c r="H10" s="9" t="s">
        <v>4686</v>
      </c>
      <c r="I10" s="9" t="str">
        <f t="shared" si="1"/>
        <v>Yes</v>
      </c>
      <c r="J10" s="9">
        <f t="shared" si="2"/>
        <v>1</v>
      </c>
      <c r="K10" s="9" t="str">
        <f t="shared" si="3"/>
        <v>OBESITY</v>
      </c>
      <c r="M10" s="12"/>
      <c r="N10" s="13" t="s">
        <v>4696</v>
      </c>
      <c r="O10" s="9">
        <f>SUM(O2:O9)</f>
        <v>2</v>
      </c>
    </row>
    <row r="11">
      <c r="A11" s="9" t="s">
        <v>21</v>
      </c>
      <c r="B11" s="9">
        <v>38.06</v>
      </c>
      <c r="C11" s="9">
        <v>10.79</v>
      </c>
      <c r="D11" s="9" t="s">
        <v>4684</v>
      </c>
      <c r="E11" s="9" t="s">
        <v>4684</v>
      </c>
      <c r="F11" s="9" t="s">
        <v>4684</v>
      </c>
      <c r="G11" s="9" t="s">
        <v>4685</v>
      </c>
      <c r="H11" s="9" t="s">
        <v>4686</v>
      </c>
      <c r="I11" s="9" t="str">
        <f t="shared" si="1"/>
        <v>Yes</v>
      </c>
      <c r="J11" s="9">
        <f t="shared" si="2"/>
        <v>0</v>
      </c>
      <c r="K11" s="9" t="str">
        <f t="shared" si="3"/>
        <v>OBESITY</v>
      </c>
      <c r="N11" s="12"/>
    </row>
    <row r="12">
      <c r="A12" s="9" t="s">
        <v>23</v>
      </c>
      <c r="B12" s="9">
        <v>37.7</v>
      </c>
      <c r="C12" s="9">
        <v>5.96</v>
      </c>
      <c r="D12" s="9" t="s">
        <v>4686</v>
      </c>
      <c r="E12" s="9" t="s">
        <v>4684</v>
      </c>
      <c r="F12" s="9" t="s">
        <v>4684</v>
      </c>
      <c r="G12" s="9">
        <v>2.0</v>
      </c>
      <c r="H12" s="9" t="s">
        <v>4686</v>
      </c>
      <c r="I12" s="9" t="str">
        <f t="shared" si="1"/>
        <v>Yes</v>
      </c>
      <c r="J12" s="9">
        <f t="shared" si="2"/>
        <v>2</v>
      </c>
      <c r="K12" s="9" t="str">
        <f t="shared" si="3"/>
        <v>OBESITY</v>
      </c>
    </row>
    <row r="13">
      <c r="A13" s="9" t="s">
        <v>25</v>
      </c>
      <c r="B13" s="9">
        <v>42.13</v>
      </c>
      <c r="C13" s="9">
        <v>11.9</v>
      </c>
      <c r="D13" s="9" t="s">
        <v>4684</v>
      </c>
      <c r="E13" s="9" t="s">
        <v>4684</v>
      </c>
      <c r="F13" s="9" t="s">
        <v>4684</v>
      </c>
      <c r="G13" s="9" t="s">
        <v>4685</v>
      </c>
      <c r="H13" s="9" t="s">
        <v>4686</v>
      </c>
      <c r="I13" s="9" t="str">
        <f t="shared" si="1"/>
        <v>Yes</v>
      </c>
      <c r="J13" s="9">
        <f t="shared" si="2"/>
        <v>0</v>
      </c>
      <c r="K13" s="9" t="str">
        <f t="shared" si="3"/>
        <v>OBESITY</v>
      </c>
      <c r="S13" s="9" t="s">
        <v>4697</v>
      </c>
    </row>
    <row r="14">
      <c r="A14" s="9" t="s">
        <v>27</v>
      </c>
      <c r="B14" s="9">
        <v>40.92</v>
      </c>
      <c r="C14" s="9">
        <v>8.41</v>
      </c>
      <c r="D14" s="9" t="s">
        <v>4684</v>
      </c>
      <c r="E14" s="9" t="s">
        <v>4684</v>
      </c>
      <c r="F14" s="9" t="s">
        <v>4684</v>
      </c>
      <c r="G14" s="9" t="s">
        <v>4685</v>
      </c>
      <c r="H14" s="9" t="s">
        <v>4686</v>
      </c>
      <c r="I14" s="9" t="str">
        <f t="shared" si="1"/>
        <v>Yes</v>
      </c>
      <c r="J14" s="9">
        <f t="shared" si="2"/>
        <v>0</v>
      </c>
      <c r="K14" s="9" t="str">
        <f t="shared" si="3"/>
        <v>OBESITY</v>
      </c>
      <c r="M14" s="9" t="s">
        <v>4698</v>
      </c>
      <c r="N14" s="9" t="s">
        <v>4688</v>
      </c>
      <c r="O14" s="9">
        <f>COUNTIF(I2:I2336,"Yes")</f>
        <v>490</v>
      </c>
    </row>
    <row r="15">
      <c r="A15" s="9" t="s">
        <v>29</v>
      </c>
      <c r="B15" s="9">
        <v>40.565</v>
      </c>
      <c r="C15" s="9">
        <v>7.02</v>
      </c>
      <c r="D15" s="9" t="s">
        <v>4684</v>
      </c>
      <c r="E15" s="9" t="s">
        <v>4684</v>
      </c>
      <c r="F15" s="9" t="s">
        <v>4684</v>
      </c>
      <c r="G15" s="9" t="s">
        <v>4685</v>
      </c>
      <c r="H15" s="9" t="s">
        <v>4686</v>
      </c>
      <c r="I15" s="9" t="str">
        <f t="shared" si="1"/>
        <v>Yes</v>
      </c>
      <c r="J15" s="9">
        <f t="shared" si="2"/>
        <v>0</v>
      </c>
      <c r="K15" s="9" t="str">
        <f t="shared" si="3"/>
        <v>OBESITY</v>
      </c>
      <c r="M15" s="9" t="s">
        <v>4699</v>
      </c>
      <c r="N15" s="9" t="s">
        <v>4688</v>
      </c>
      <c r="O15" s="13">
        <f>COUNTIF(I2:I2366,"no")</f>
        <v>1845</v>
      </c>
    </row>
    <row r="16">
      <c r="A16" s="9" t="s">
        <v>31</v>
      </c>
      <c r="B16" s="9">
        <v>36.385</v>
      </c>
      <c r="C16" s="9">
        <v>7.59</v>
      </c>
      <c r="D16" s="9" t="s">
        <v>4686</v>
      </c>
      <c r="E16" s="9" t="s">
        <v>4684</v>
      </c>
      <c r="F16" s="9" t="s">
        <v>4684</v>
      </c>
      <c r="G16" s="9">
        <v>2.0</v>
      </c>
      <c r="H16" s="9" t="s">
        <v>4686</v>
      </c>
      <c r="I16" s="9" t="str">
        <f t="shared" si="1"/>
        <v>Yes</v>
      </c>
      <c r="J16" s="9">
        <f t="shared" si="2"/>
        <v>2</v>
      </c>
      <c r="K16" s="9" t="str">
        <f t="shared" si="3"/>
        <v>OBESITY</v>
      </c>
    </row>
    <row r="17">
      <c r="A17" s="9" t="s">
        <v>33</v>
      </c>
      <c r="B17" s="9">
        <v>39.9</v>
      </c>
      <c r="C17" s="9">
        <v>11.32</v>
      </c>
      <c r="D17" s="9" t="s">
        <v>4684</v>
      </c>
      <c r="E17" s="9" t="s">
        <v>4684</v>
      </c>
      <c r="F17" s="9" t="s">
        <v>4684</v>
      </c>
      <c r="G17" s="9" t="s">
        <v>4685</v>
      </c>
      <c r="H17" s="9" t="s">
        <v>4686</v>
      </c>
      <c r="I17" s="9" t="str">
        <f t="shared" si="1"/>
        <v>Yes</v>
      </c>
      <c r="J17" s="9">
        <f t="shared" si="2"/>
        <v>0</v>
      </c>
      <c r="K17" s="9" t="str">
        <f t="shared" si="3"/>
        <v>OBESITY</v>
      </c>
    </row>
    <row r="18">
      <c r="A18" s="9" t="s">
        <v>35</v>
      </c>
      <c r="B18" s="9">
        <v>33.8</v>
      </c>
      <c r="C18" s="9">
        <v>7.67</v>
      </c>
      <c r="D18" s="9" t="s">
        <v>4684</v>
      </c>
      <c r="E18" s="9" t="s">
        <v>4684</v>
      </c>
      <c r="F18" s="9" t="s">
        <v>4684</v>
      </c>
      <c r="G18" s="9">
        <v>3.0</v>
      </c>
      <c r="H18" s="9" t="s">
        <v>4686</v>
      </c>
      <c r="I18" s="9" t="str">
        <f t="shared" si="1"/>
        <v>Yes</v>
      </c>
      <c r="J18" s="9">
        <f t="shared" si="2"/>
        <v>3</v>
      </c>
      <c r="K18" s="9" t="str">
        <f t="shared" si="3"/>
        <v>OBESITY</v>
      </c>
    </row>
    <row r="19">
      <c r="A19" s="9" t="s">
        <v>37</v>
      </c>
      <c r="B19" s="9">
        <v>36.765</v>
      </c>
      <c r="C19" s="9">
        <v>7.29</v>
      </c>
      <c r="D19" s="9" t="s">
        <v>4686</v>
      </c>
      <c r="E19" s="9" t="s">
        <v>4684</v>
      </c>
      <c r="F19" s="9" t="s">
        <v>4686</v>
      </c>
      <c r="G19" s="9">
        <v>1.0</v>
      </c>
      <c r="H19" s="9" t="s">
        <v>4686</v>
      </c>
      <c r="I19" s="9" t="str">
        <f t="shared" si="1"/>
        <v>Yes</v>
      </c>
      <c r="J19" s="9">
        <f t="shared" si="2"/>
        <v>1</v>
      </c>
      <c r="K19" s="9" t="str">
        <f t="shared" si="3"/>
        <v>OBESITY</v>
      </c>
    </row>
    <row r="20">
      <c r="A20" s="9" t="s">
        <v>39</v>
      </c>
      <c r="B20" s="9">
        <v>36.955</v>
      </c>
      <c r="C20" s="9">
        <v>4.72</v>
      </c>
      <c r="D20" s="9" t="s">
        <v>4686</v>
      </c>
      <c r="E20" s="9" t="s">
        <v>4684</v>
      </c>
      <c r="F20" s="9" t="s">
        <v>4684</v>
      </c>
      <c r="G20" s="9">
        <v>1.0</v>
      </c>
      <c r="H20" s="9" t="s">
        <v>4686</v>
      </c>
      <c r="I20" s="9" t="str">
        <f t="shared" si="1"/>
        <v>Yes</v>
      </c>
      <c r="J20" s="9">
        <f t="shared" si="2"/>
        <v>1</v>
      </c>
      <c r="K20" s="9" t="str">
        <f t="shared" si="3"/>
        <v>OBESITY</v>
      </c>
    </row>
    <row r="21" ht="15.75" customHeight="1">
      <c r="A21" s="9" t="s">
        <v>41</v>
      </c>
      <c r="B21" s="9">
        <v>42.9</v>
      </c>
      <c r="C21" s="9">
        <v>11.41</v>
      </c>
      <c r="D21" s="9" t="s">
        <v>4684</v>
      </c>
      <c r="E21" s="9" t="s">
        <v>4684</v>
      </c>
      <c r="F21" s="9" t="s">
        <v>4684</v>
      </c>
      <c r="G21" s="9" t="s">
        <v>4685</v>
      </c>
      <c r="H21" s="9" t="s">
        <v>4686</v>
      </c>
      <c r="I21" s="9" t="str">
        <f t="shared" si="1"/>
        <v>Yes</v>
      </c>
      <c r="J21" s="9">
        <f t="shared" si="2"/>
        <v>0</v>
      </c>
      <c r="K21" s="9" t="str">
        <f t="shared" si="3"/>
        <v>OBESITY</v>
      </c>
    </row>
    <row r="22" ht="15.75" customHeight="1">
      <c r="A22" s="9" t="s">
        <v>43</v>
      </c>
      <c r="B22" s="9">
        <v>36.3</v>
      </c>
      <c r="C22" s="9">
        <v>11.5</v>
      </c>
      <c r="D22" s="9" t="s">
        <v>4686</v>
      </c>
      <c r="E22" s="9" t="s">
        <v>4684</v>
      </c>
      <c r="F22" s="9" t="s">
        <v>4684</v>
      </c>
      <c r="G22" s="9">
        <v>2.0</v>
      </c>
      <c r="H22" s="9" t="s">
        <v>4686</v>
      </c>
      <c r="I22" s="9" t="str">
        <f t="shared" si="1"/>
        <v>Yes</v>
      </c>
      <c r="J22" s="9">
        <f t="shared" si="2"/>
        <v>2</v>
      </c>
      <c r="K22" s="9" t="str">
        <f t="shared" si="3"/>
        <v>OBESITY</v>
      </c>
    </row>
    <row r="23" ht="15.75" customHeight="1">
      <c r="A23" s="9" t="s">
        <v>45</v>
      </c>
      <c r="B23" s="9">
        <v>32.2</v>
      </c>
      <c r="C23" s="9">
        <v>6.22</v>
      </c>
      <c r="D23" s="9" t="s">
        <v>4686</v>
      </c>
      <c r="E23" s="9" t="s">
        <v>4684</v>
      </c>
      <c r="F23" s="9" t="s">
        <v>4684</v>
      </c>
      <c r="G23" s="9">
        <v>2.0</v>
      </c>
      <c r="H23" s="9" t="s">
        <v>4686</v>
      </c>
      <c r="I23" s="9" t="str">
        <f t="shared" si="1"/>
        <v>Yes</v>
      </c>
      <c r="J23" s="9">
        <f t="shared" si="2"/>
        <v>2</v>
      </c>
      <c r="K23" s="9" t="str">
        <f t="shared" si="3"/>
        <v>OBESITY</v>
      </c>
    </row>
    <row r="24" ht="15.75" customHeight="1">
      <c r="A24" s="9" t="s">
        <v>47</v>
      </c>
      <c r="B24" s="9">
        <v>31.3</v>
      </c>
      <c r="C24" s="9">
        <v>11.38</v>
      </c>
      <c r="D24" s="9" t="s">
        <v>4684</v>
      </c>
      <c r="E24" s="9" t="s">
        <v>4684</v>
      </c>
      <c r="F24" s="9" t="s">
        <v>4684</v>
      </c>
      <c r="G24" s="9">
        <v>3.0</v>
      </c>
      <c r="H24" s="9" t="s">
        <v>4686</v>
      </c>
      <c r="I24" s="9" t="str">
        <f t="shared" si="1"/>
        <v>Yes</v>
      </c>
      <c r="J24" s="9">
        <f t="shared" si="2"/>
        <v>3</v>
      </c>
      <c r="K24" s="9" t="str">
        <f t="shared" si="3"/>
        <v>OBESITY</v>
      </c>
    </row>
    <row r="25" ht="15.75" customHeight="1">
      <c r="A25" s="9" t="s">
        <v>49</v>
      </c>
      <c r="B25" s="9">
        <v>41.8</v>
      </c>
      <c r="C25" s="9">
        <v>7.89</v>
      </c>
      <c r="D25" s="9" t="s">
        <v>4686</v>
      </c>
      <c r="E25" s="9" t="s">
        <v>4684</v>
      </c>
      <c r="F25" s="9" t="s">
        <v>4684</v>
      </c>
      <c r="G25" s="9">
        <v>2.0</v>
      </c>
      <c r="H25" s="9" t="s">
        <v>4686</v>
      </c>
      <c r="I25" s="9" t="str">
        <f t="shared" si="1"/>
        <v>Yes</v>
      </c>
      <c r="J25" s="9">
        <f t="shared" si="2"/>
        <v>2</v>
      </c>
      <c r="K25" s="9" t="str">
        <f t="shared" si="3"/>
        <v>OBESITY</v>
      </c>
    </row>
    <row r="26" ht="15.75" customHeight="1">
      <c r="A26" s="9" t="s">
        <v>51</v>
      </c>
      <c r="B26" s="9">
        <v>35.09</v>
      </c>
      <c r="C26" s="9">
        <v>4.38</v>
      </c>
      <c r="D26" s="9" t="s">
        <v>4686</v>
      </c>
      <c r="E26" s="9" t="s">
        <v>4684</v>
      </c>
      <c r="F26" s="9" t="s">
        <v>4684</v>
      </c>
      <c r="G26" s="9">
        <v>2.0</v>
      </c>
      <c r="H26" s="9" t="s">
        <v>4686</v>
      </c>
      <c r="I26" s="9" t="str">
        <f t="shared" si="1"/>
        <v>Yes</v>
      </c>
      <c r="J26" s="9">
        <f t="shared" si="2"/>
        <v>2</v>
      </c>
      <c r="K26" s="9" t="str">
        <f t="shared" si="3"/>
        <v>OBESITY</v>
      </c>
    </row>
    <row r="27" ht="15.75" customHeight="1">
      <c r="A27" s="9" t="s">
        <v>53</v>
      </c>
      <c r="B27" s="9">
        <v>33.88</v>
      </c>
      <c r="C27" s="9">
        <v>7.01</v>
      </c>
      <c r="D27" s="9" t="s">
        <v>4684</v>
      </c>
      <c r="E27" s="9" t="s">
        <v>4684</v>
      </c>
      <c r="F27" s="9" t="s">
        <v>4684</v>
      </c>
      <c r="G27" s="9">
        <v>3.0</v>
      </c>
      <c r="H27" s="9" t="s">
        <v>4686</v>
      </c>
      <c r="I27" s="9" t="str">
        <f t="shared" si="1"/>
        <v>Yes</v>
      </c>
      <c r="J27" s="9">
        <f t="shared" si="2"/>
        <v>3</v>
      </c>
      <c r="K27" s="9" t="str">
        <f t="shared" si="3"/>
        <v>OBESITY</v>
      </c>
    </row>
    <row r="28" ht="15.75" customHeight="1">
      <c r="A28" s="9" t="s">
        <v>55</v>
      </c>
      <c r="B28" s="9">
        <v>30.875</v>
      </c>
      <c r="C28" s="9">
        <v>11.88</v>
      </c>
      <c r="D28" s="9" t="s">
        <v>4684</v>
      </c>
      <c r="E28" s="9" t="s">
        <v>4684</v>
      </c>
      <c r="F28" s="9" t="s">
        <v>4684</v>
      </c>
      <c r="G28" s="9" t="s">
        <v>4685</v>
      </c>
      <c r="H28" s="9" t="s">
        <v>4686</v>
      </c>
      <c r="I28" s="9" t="str">
        <f t="shared" si="1"/>
        <v>Yes</v>
      </c>
      <c r="J28" s="9">
        <f t="shared" si="2"/>
        <v>0</v>
      </c>
      <c r="K28" s="9" t="str">
        <f t="shared" si="3"/>
        <v>OBESITY</v>
      </c>
    </row>
    <row r="29" ht="15.75" customHeight="1">
      <c r="A29" s="9" t="s">
        <v>57</v>
      </c>
      <c r="B29" s="9">
        <v>36.86</v>
      </c>
      <c r="C29" s="9">
        <v>5.19</v>
      </c>
      <c r="D29" s="9" t="s">
        <v>4686</v>
      </c>
      <c r="E29" s="9" t="s">
        <v>4684</v>
      </c>
      <c r="F29" s="9" t="s">
        <v>4686</v>
      </c>
      <c r="G29" s="9">
        <v>1.0</v>
      </c>
      <c r="H29" s="9" t="s">
        <v>4686</v>
      </c>
      <c r="I29" s="9" t="str">
        <f t="shared" si="1"/>
        <v>Yes</v>
      </c>
      <c r="J29" s="9">
        <f t="shared" si="2"/>
        <v>1</v>
      </c>
      <c r="K29" s="9" t="str">
        <f t="shared" si="3"/>
        <v>OBESITY</v>
      </c>
    </row>
    <row r="30" ht="15.75" customHeight="1">
      <c r="A30" s="9" t="s">
        <v>59</v>
      </c>
      <c r="B30" s="9">
        <v>35.86</v>
      </c>
      <c r="C30" s="9">
        <v>6.74</v>
      </c>
      <c r="D30" s="9" t="s">
        <v>4686</v>
      </c>
      <c r="E30" s="9" t="s">
        <v>4684</v>
      </c>
      <c r="F30" s="9" t="s">
        <v>4684</v>
      </c>
      <c r="G30" s="9">
        <v>2.0</v>
      </c>
      <c r="H30" s="9" t="s">
        <v>4686</v>
      </c>
      <c r="I30" s="9" t="str">
        <f t="shared" si="1"/>
        <v>Yes</v>
      </c>
      <c r="J30" s="9">
        <f t="shared" si="2"/>
        <v>2</v>
      </c>
      <c r="K30" s="9" t="str">
        <f t="shared" si="3"/>
        <v>OBESITY</v>
      </c>
    </row>
    <row r="31" ht="15.75" customHeight="1">
      <c r="A31" s="9" t="s">
        <v>61</v>
      </c>
      <c r="B31" s="9">
        <v>37.05</v>
      </c>
      <c r="C31" s="9">
        <v>8.44</v>
      </c>
      <c r="D31" s="9" t="s">
        <v>4684</v>
      </c>
      <c r="E31" s="9" t="s">
        <v>4684</v>
      </c>
      <c r="F31" s="9" t="s">
        <v>4684</v>
      </c>
      <c r="G31" s="9" t="s">
        <v>4685</v>
      </c>
      <c r="H31" s="9" t="s">
        <v>4686</v>
      </c>
      <c r="I31" s="9" t="str">
        <f t="shared" si="1"/>
        <v>Yes</v>
      </c>
      <c r="J31" s="9">
        <f t="shared" si="2"/>
        <v>0</v>
      </c>
      <c r="K31" s="9" t="str">
        <f t="shared" si="3"/>
        <v>OBESITY</v>
      </c>
    </row>
    <row r="32" ht="15.75" customHeight="1">
      <c r="A32" s="9" t="s">
        <v>63</v>
      </c>
      <c r="B32" s="9">
        <v>43.89</v>
      </c>
      <c r="C32" s="9">
        <v>8.71</v>
      </c>
      <c r="D32" s="9" t="s">
        <v>4684</v>
      </c>
      <c r="E32" s="9" t="s">
        <v>4684</v>
      </c>
      <c r="F32" s="9" t="s">
        <v>4684</v>
      </c>
      <c r="G32" s="9" t="s">
        <v>4685</v>
      </c>
      <c r="H32" s="9" t="s">
        <v>4686</v>
      </c>
      <c r="I32" s="9" t="str">
        <f t="shared" si="1"/>
        <v>Yes</v>
      </c>
      <c r="J32" s="9">
        <f t="shared" si="2"/>
        <v>0</v>
      </c>
      <c r="K32" s="9" t="str">
        <f t="shared" si="3"/>
        <v>OBESITY</v>
      </c>
    </row>
    <row r="33" ht="15.75" customHeight="1">
      <c r="A33" s="9" t="s">
        <v>65</v>
      </c>
      <c r="B33" s="9">
        <v>42.35</v>
      </c>
      <c r="C33" s="9">
        <v>5.08</v>
      </c>
      <c r="D33" s="9" t="s">
        <v>4686</v>
      </c>
      <c r="E33" s="9" t="s">
        <v>4684</v>
      </c>
      <c r="F33" s="9" t="s">
        <v>4684</v>
      </c>
      <c r="G33" s="9" t="s">
        <v>4685</v>
      </c>
      <c r="H33" s="9" t="s">
        <v>4686</v>
      </c>
      <c r="I33" s="9" t="str">
        <f t="shared" si="1"/>
        <v>Yes</v>
      </c>
      <c r="J33" s="9">
        <f t="shared" si="2"/>
        <v>0</v>
      </c>
      <c r="K33" s="9" t="str">
        <f t="shared" si="3"/>
        <v>OBESITY</v>
      </c>
    </row>
    <row r="34" ht="15.75" customHeight="1">
      <c r="A34" s="9" t="s">
        <v>67</v>
      </c>
      <c r="B34" s="9">
        <v>31.35</v>
      </c>
      <c r="C34" s="9">
        <v>6.86</v>
      </c>
      <c r="D34" s="9" t="s">
        <v>4684</v>
      </c>
      <c r="E34" s="9" t="s">
        <v>4684</v>
      </c>
      <c r="F34" s="9" t="s">
        <v>4684</v>
      </c>
      <c r="G34" s="9" t="s">
        <v>4685</v>
      </c>
      <c r="H34" s="9" t="s">
        <v>4686</v>
      </c>
      <c r="I34" s="9" t="str">
        <f t="shared" si="1"/>
        <v>Yes</v>
      </c>
      <c r="J34" s="9">
        <f t="shared" si="2"/>
        <v>0</v>
      </c>
      <c r="K34" s="9" t="str">
        <f t="shared" si="3"/>
        <v>OBESITY</v>
      </c>
    </row>
    <row r="35" ht="15.75" customHeight="1">
      <c r="A35" s="9" t="s">
        <v>69</v>
      </c>
      <c r="B35" s="9">
        <v>47.6</v>
      </c>
      <c r="C35" s="9">
        <v>5.95</v>
      </c>
      <c r="D35" s="9" t="s">
        <v>4686</v>
      </c>
      <c r="E35" s="9" t="s">
        <v>4684</v>
      </c>
      <c r="F35" s="9" t="s">
        <v>4684</v>
      </c>
      <c r="G35" s="9" t="s">
        <v>4685</v>
      </c>
      <c r="H35" s="9" t="s">
        <v>4686</v>
      </c>
      <c r="I35" s="9" t="str">
        <f t="shared" si="1"/>
        <v>Yes</v>
      </c>
      <c r="J35" s="9">
        <f t="shared" si="2"/>
        <v>0</v>
      </c>
      <c r="K35" s="9" t="str">
        <f t="shared" si="3"/>
        <v>OBESITY</v>
      </c>
    </row>
    <row r="36" ht="15.75" customHeight="1">
      <c r="A36" s="9" t="s">
        <v>71</v>
      </c>
      <c r="B36" s="9">
        <v>46.2</v>
      </c>
      <c r="C36" s="9">
        <v>6.09</v>
      </c>
      <c r="D36" s="9" t="s">
        <v>4684</v>
      </c>
      <c r="E36" s="9" t="s">
        <v>4684</v>
      </c>
      <c r="F36" s="9" t="s">
        <v>4686</v>
      </c>
      <c r="G36" s="9">
        <v>1.0</v>
      </c>
      <c r="H36" s="9" t="s">
        <v>4686</v>
      </c>
      <c r="I36" s="9" t="str">
        <f t="shared" si="1"/>
        <v>Yes</v>
      </c>
      <c r="J36" s="9">
        <f t="shared" si="2"/>
        <v>1</v>
      </c>
      <c r="K36" s="9" t="str">
        <f t="shared" si="3"/>
        <v>OBESITY</v>
      </c>
    </row>
    <row r="37" ht="15.75" customHeight="1">
      <c r="A37" s="9" t="s">
        <v>73</v>
      </c>
      <c r="B37" s="9">
        <v>32.015</v>
      </c>
      <c r="C37" s="9">
        <v>11.75</v>
      </c>
      <c r="D37" s="9" t="s">
        <v>4684</v>
      </c>
      <c r="E37" s="9" t="s">
        <v>4684</v>
      </c>
      <c r="F37" s="9" t="s">
        <v>4684</v>
      </c>
      <c r="G37" s="9" t="s">
        <v>4685</v>
      </c>
      <c r="H37" s="9" t="s">
        <v>4686</v>
      </c>
      <c r="I37" s="9" t="str">
        <f t="shared" si="1"/>
        <v>Yes</v>
      </c>
      <c r="J37" s="9">
        <f t="shared" si="2"/>
        <v>0</v>
      </c>
      <c r="K37" s="9" t="str">
        <f t="shared" si="3"/>
        <v>OBESITY</v>
      </c>
    </row>
    <row r="38" ht="15.75" customHeight="1">
      <c r="A38" s="9" t="s">
        <v>75</v>
      </c>
      <c r="B38" s="9">
        <v>40.565</v>
      </c>
      <c r="C38" s="9">
        <v>7.37</v>
      </c>
      <c r="D38" s="9" t="s">
        <v>4684</v>
      </c>
      <c r="E38" s="9" t="s">
        <v>4684</v>
      </c>
      <c r="F38" s="9" t="s">
        <v>4684</v>
      </c>
      <c r="G38" s="9" t="s">
        <v>4685</v>
      </c>
      <c r="H38" s="9" t="s">
        <v>4686</v>
      </c>
      <c r="I38" s="9" t="str">
        <f t="shared" si="1"/>
        <v>Yes</v>
      </c>
      <c r="J38" s="9">
        <f t="shared" si="2"/>
        <v>0</v>
      </c>
      <c r="K38" s="9" t="str">
        <f t="shared" si="3"/>
        <v>OBESITY</v>
      </c>
    </row>
    <row r="39" ht="15.75" customHeight="1">
      <c r="A39" s="9" t="s">
        <v>77</v>
      </c>
      <c r="B39" s="9">
        <v>32.45</v>
      </c>
      <c r="C39" s="9">
        <v>11.91</v>
      </c>
      <c r="D39" s="9" t="s">
        <v>4684</v>
      </c>
      <c r="E39" s="9" t="s">
        <v>4684</v>
      </c>
      <c r="F39" s="9" t="s">
        <v>4684</v>
      </c>
      <c r="G39" s="9" t="s">
        <v>4685</v>
      </c>
      <c r="H39" s="9" t="s">
        <v>4686</v>
      </c>
      <c r="I39" s="9" t="str">
        <f t="shared" si="1"/>
        <v>Yes</v>
      </c>
      <c r="J39" s="9">
        <f t="shared" si="2"/>
        <v>0</v>
      </c>
      <c r="K39" s="9" t="str">
        <f t="shared" si="3"/>
        <v>OBESITY</v>
      </c>
    </row>
    <row r="40" ht="15.75" customHeight="1">
      <c r="A40" s="9" t="s">
        <v>79</v>
      </c>
      <c r="B40" s="9">
        <v>34.96</v>
      </c>
      <c r="C40" s="9">
        <v>6.52</v>
      </c>
      <c r="D40" s="9" t="s">
        <v>4684</v>
      </c>
      <c r="E40" s="9" t="s">
        <v>4684</v>
      </c>
      <c r="F40" s="9" t="s">
        <v>4684</v>
      </c>
      <c r="G40" s="9" t="s">
        <v>4685</v>
      </c>
      <c r="H40" s="9" t="s">
        <v>4686</v>
      </c>
      <c r="I40" s="9" t="str">
        <f t="shared" si="1"/>
        <v>Yes</v>
      </c>
      <c r="J40" s="9">
        <f t="shared" si="2"/>
        <v>0</v>
      </c>
      <c r="K40" s="9" t="str">
        <f t="shared" si="3"/>
        <v>OBESITY</v>
      </c>
    </row>
    <row r="41" ht="15.75" customHeight="1">
      <c r="A41" s="9" t="s">
        <v>81</v>
      </c>
      <c r="B41" s="9">
        <v>35.5</v>
      </c>
      <c r="C41" s="9">
        <v>5.14</v>
      </c>
      <c r="D41" s="9" t="s">
        <v>4684</v>
      </c>
      <c r="E41" s="9" t="s">
        <v>4684</v>
      </c>
      <c r="F41" s="9" t="s">
        <v>4686</v>
      </c>
      <c r="G41" s="9">
        <v>1.0</v>
      </c>
      <c r="H41" s="9" t="s">
        <v>4686</v>
      </c>
      <c r="I41" s="9" t="str">
        <f t="shared" si="1"/>
        <v>Yes</v>
      </c>
      <c r="J41" s="9">
        <f t="shared" si="2"/>
        <v>1</v>
      </c>
      <c r="K41" s="9" t="str">
        <f t="shared" si="3"/>
        <v>OBESITY</v>
      </c>
    </row>
    <row r="42" ht="15.75" customHeight="1">
      <c r="A42" s="9" t="s">
        <v>83</v>
      </c>
      <c r="B42" s="9">
        <v>52.58</v>
      </c>
      <c r="C42" s="9">
        <v>4.19</v>
      </c>
      <c r="D42" s="9" t="s">
        <v>4684</v>
      </c>
      <c r="E42" s="9" t="s">
        <v>4686</v>
      </c>
      <c r="F42" s="9" t="s">
        <v>4684</v>
      </c>
      <c r="G42" s="9">
        <v>1.0</v>
      </c>
      <c r="H42" s="9" t="s">
        <v>4686</v>
      </c>
      <c r="I42" s="9" t="str">
        <f t="shared" si="1"/>
        <v>Yes</v>
      </c>
      <c r="J42" s="9">
        <f t="shared" si="2"/>
        <v>1</v>
      </c>
      <c r="K42" s="9" t="str">
        <f t="shared" si="3"/>
        <v>OBESITY</v>
      </c>
    </row>
    <row r="43" ht="15.75" customHeight="1">
      <c r="A43" s="9" t="s">
        <v>85</v>
      </c>
      <c r="B43" s="9">
        <v>35.2</v>
      </c>
      <c r="C43" s="9">
        <v>11.68</v>
      </c>
      <c r="D43" s="9" t="s">
        <v>4686</v>
      </c>
      <c r="E43" s="9" t="s">
        <v>4684</v>
      </c>
      <c r="F43" s="9" t="s">
        <v>4684</v>
      </c>
      <c r="G43" s="9" t="s">
        <v>4685</v>
      </c>
      <c r="H43" s="9" t="s">
        <v>4686</v>
      </c>
      <c r="I43" s="9" t="str">
        <f t="shared" si="1"/>
        <v>Yes</v>
      </c>
      <c r="J43" s="9">
        <f t="shared" si="2"/>
        <v>0</v>
      </c>
      <c r="K43" s="9" t="str">
        <f t="shared" si="3"/>
        <v>OBESITY</v>
      </c>
    </row>
    <row r="44" ht="15.75" customHeight="1">
      <c r="A44" s="9" t="s">
        <v>87</v>
      </c>
      <c r="B44" s="9">
        <v>38.06</v>
      </c>
      <c r="C44" s="9">
        <v>6.98</v>
      </c>
      <c r="D44" s="9" t="s">
        <v>4684</v>
      </c>
      <c r="E44" s="9" t="s">
        <v>4684</v>
      </c>
      <c r="F44" s="9" t="s">
        <v>4684</v>
      </c>
      <c r="G44" s="9" t="s">
        <v>4685</v>
      </c>
      <c r="H44" s="9" t="s">
        <v>4686</v>
      </c>
      <c r="I44" s="9" t="str">
        <f t="shared" si="1"/>
        <v>Yes</v>
      </c>
      <c r="J44" s="9">
        <f t="shared" si="2"/>
        <v>0</v>
      </c>
      <c r="K44" s="9" t="str">
        <f t="shared" si="3"/>
        <v>OBESITY</v>
      </c>
    </row>
    <row r="45" ht="15.75" customHeight="1">
      <c r="A45" s="9" t="s">
        <v>89</v>
      </c>
      <c r="B45" s="9">
        <v>34.21</v>
      </c>
      <c r="C45" s="9">
        <v>8.34</v>
      </c>
      <c r="D45" s="9" t="s">
        <v>4684</v>
      </c>
      <c r="E45" s="9" t="s">
        <v>4684</v>
      </c>
      <c r="F45" s="9" t="s">
        <v>4684</v>
      </c>
      <c r="G45" s="9" t="s">
        <v>4685</v>
      </c>
      <c r="H45" s="9" t="s">
        <v>4686</v>
      </c>
      <c r="I45" s="9" t="str">
        <f t="shared" si="1"/>
        <v>Yes</v>
      </c>
      <c r="J45" s="9">
        <f t="shared" si="2"/>
        <v>0</v>
      </c>
      <c r="K45" s="9" t="str">
        <f t="shared" si="3"/>
        <v>OBESITY</v>
      </c>
    </row>
    <row r="46" ht="15.75" customHeight="1">
      <c r="A46" s="9" t="s">
        <v>91</v>
      </c>
      <c r="B46" s="9">
        <v>38.94</v>
      </c>
      <c r="C46" s="9">
        <v>8.49</v>
      </c>
      <c r="D46" s="9" t="s">
        <v>4686</v>
      </c>
      <c r="E46" s="9" t="s">
        <v>4684</v>
      </c>
      <c r="F46" s="9" t="s">
        <v>4684</v>
      </c>
      <c r="G46" s="9">
        <v>1.0</v>
      </c>
      <c r="H46" s="9" t="s">
        <v>4686</v>
      </c>
      <c r="I46" s="9" t="str">
        <f t="shared" si="1"/>
        <v>Yes</v>
      </c>
      <c r="J46" s="9">
        <f t="shared" si="2"/>
        <v>1</v>
      </c>
      <c r="K46" s="9" t="str">
        <f t="shared" si="3"/>
        <v>OBESITY</v>
      </c>
    </row>
    <row r="47" ht="15.75" customHeight="1">
      <c r="A47" s="9" t="s">
        <v>93</v>
      </c>
      <c r="B47" s="9">
        <v>30.21</v>
      </c>
      <c r="C47" s="9">
        <v>5.34</v>
      </c>
      <c r="D47" s="9" t="s">
        <v>4686</v>
      </c>
      <c r="E47" s="9" t="s">
        <v>4684</v>
      </c>
      <c r="F47" s="9" t="s">
        <v>4684</v>
      </c>
      <c r="G47" s="9">
        <v>1.0</v>
      </c>
      <c r="H47" s="9" t="s">
        <v>4686</v>
      </c>
      <c r="I47" s="9" t="str">
        <f t="shared" si="1"/>
        <v>Yes</v>
      </c>
      <c r="J47" s="9">
        <f t="shared" si="2"/>
        <v>1</v>
      </c>
      <c r="K47" s="9" t="str">
        <f t="shared" si="3"/>
        <v>OBESITY</v>
      </c>
    </row>
    <row r="48" ht="15.75" customHeight="1">
      <c r="A48" s="9" t="s">
        <v>95</v>
      </c>
      <c r="B48" s="9">
        <v>33.63</v>
      </c>
      <c r="C48" s="9">
        <v>4.43</v>
      </c>
      <c r="D48" s="9" t="s">
        <v>4686</v>
      </c>
      <c r="E48" s="9" t="s">
        <v>4684</v>
      </c>
      <c r="F48" s="9" t="s">
        <v>4684</v>
      </c>
      <c r="G48" s="9">
        <v>2.0</v>
      </c>
      <c r="H48" s="9" t="s">
        <v>4686</v>
      </c>
      <c r="I48" s="9" t="str">
        <f t="shared" si="1"/>
        <v>Yes</v>
      </c>
      <c r="J48" s="9">
        <f t="shared" si="2"/>
        <v>2</v>
      </c>
      <c r="K48" s="9" t="str">
        <f t="shared" si="3"/>
        <v>OBESITY</v>
      </c>
    </row>
    <row r="49" ht="15.75" customHeight="1">
      <c r="A49" s="9" t="s">
        <v>97</v>
      </c>
      <c r="B49" s="9">
        <v>40.37</v>
      </c>
      <c r="C49" s="9">
        <v>4.47</v>
      </c>
      <c r="D49" s="9" t="s">
        <v>4684</v>
      </c>
      <c r="E49" s="9" t="s">
        <v>4684</v>
      </c>
      <c r="F49" s="9" t="s">
        <v>4684</v>
      </c>
      <c r="G49" s="9" t="s">
        <v>4685</v>
      </c>
      <c r="H49" s="9" t="s">
        <v>4686</v>
      </c>
      <c r="I49" s="9" t="str">
        <f t="shared" si="1"/>
        <v>Yes</v>
      </c>
      <c r="J49" s="9">
        <f t="shared" si="2"/>
        <v>0</v>
      </c>
      <c r="K49" s="9" t="str">
        <f t="shared" si="3"/>
        <v>OBESITY</v>
      </c>
    </row>
    <row r="50" ht="15.75" customHeight="1">
      <c r="A50" s="9" t="s">
        <v>99</v>
      </c>
      <c r="B50" s="9">
        <v>53.09</v>
      </c>
      <c r="C50" s="9">
        <v>4.82</v>
      </c>
      <c r="D50" s="9" t="s">
        <v>4686</v>
      </c>
      <c r="E50" s="9" t="s">
        <v>4684</v>
      </c>
      <c r="F50" s="9" t="s">
        <v>4684</v>
      </c>
      <c r="G50" s="9">
        <v>2.0</v>
      </c>
      <c r="H50" s="9" t="s">
        <v>4686</v>
      </c>
      <c r="I50" s="9" t="str">
        <f t="shared" si="1"/>
        <v>Yes</v>
      </c>
      <c r="J50" s="9">
        <f t="shared" si="2"/>
        <v>2</v>
      </c>
      <c r="K50" s="9" t="str">
        <f t="shared" si="3"/>
        <v>OBESITY</v>
      </c>
    </row>
    <row r="51" ht="15.75" customHeight="1">
      <c r="A51" s="9" t="s">
        <v>101</v>
      </c>
      <c r="B51" s="9">
        <v>31.79</v>
      </c>
      <c r="C51" s="9">
        <v>5.51</v>
      </c>
      <c r="D51" s="9" t="s">
        <v>4686</v>
      </c>
      <c r="E51" s="9" t="s">
        <v>4684</v>
      </c>
      <c r="F51" s="9" t="s">
        <v>4684</v>
      </c>
      <c r="G51" s="9">
        <v>2.0</v>
      </c>
      <c r="H51" s="9" t="s">
        <v>4686</v>
      </c>
      <c r="I51" s="9" t="str">
        <f t="shared" si="1"/>
        <v>Yes</v>
      </c>
      <c r="J51" s="9">
        <f t="shared" si="2"/>
        <v>2</v>
      </c>
      <c r="K51" s="9" t="str">
        <f t="shared" si="3"/>
        <v>OBESITY</v>
      </c>
    </row>
    <row r="52" ht="15.75" customHeight="1">
      <c r="A52" s="9" t="s">
        <v>103</v>
      </c>
      <c r="B52" s="9">
        <v>41.895</v>
      </c>
      <c r="C52" s="9">
        <v>10.87</v>
      </c>
      <c r="D52" s="9" t="s">
        <v>4686</v>
      </c>
      <c r="E52" s="9" t="s">
        <v>4684</v>
      </c>
      <c r="F52" s="9" t="s">
        <v>4684</v>
      </c>
      <c r="G52" s="9">
        <v>1.0</v>
      </c>
      <c r="H52" s="9" t="s">
        <v>4686</v>
      </c>
      <c r="I52" s="9" t="str">
        <f t="shared" si="1"/>
        <v>Yes</v>
      </c>
      <c r="J52" s="9">
        <f t="shared" si="2"/>
        <v>1</v>
      </c>
      <c r="K52" s="9" t="str">
        <f t="shared" si="3"/>
        <v>OBESITY</v>
      </c>
    </row>
    <row r="53" ht="15.75" customHeight="1">
      <c r="A53" s="9" t="s">
        <v>105</v>
      </c>
      <c r="B53" s="9">
        <v>31.16</v>
      </c>
      <c r="C53" s="9">
        <v>9.34</v>
      </c>
      <c r="D53" s="9" t="s">
        <v>4684</v>
      </c>
      <c r="E53" s="9" t="s">
        <v>4684</v>
      </c>
      <c r="F53" s="9" t="s">
        <v>4684</v>
      </c>
      <c r="G53" s="9" t="s">
        <v>4685</v>
      </c>
      <c r="H53" s="9" t="s">
        <v>4686</v>
      </c>
      <c r="I53" s="9" t="str">
        <f t="shared" si="1"/>
        <v>Yes</v>
      </c>
      <c r="J53" s="9">
        <f t="shared" si="2"/>
        <v>0</v>
      </c>
      <c r="K53" s="9" t="str">
        <f t="shared" si="3"/>
        <v>OBESITY</v>
      </c>
    </row>
    <row r="54" ht="15.75" customHeight="1">
      <c r="A54" s="9" t="s">
        <v>107</v>
      </c>
      <c r="B54" s="9">
        <v>34.105</v>
      </c>
      <c r="C54" s="9">
        <v>5.03</v>
      </c>
      <c r="D54" s="9" t="s">
        <v>4686</v>
      </c>
      <c r="E54" s="9" t="s">
        <v>4684</v>
      </c>
      <c r="F54" s="9" t="s">
        <v>4686</v>
      </c>
      <c r="G54" s="9">
        <v>1.0</v>
      </c>
      <c r="H54" s="9" t="s">
        <v>4686</v>
      </c>
      <c r="I54" s="9" t="str">
        <f t="shared" si="1"/>
        <v>Yes</v>
      </c>
      <c r="J54" s="9">
        <f t="shared" si="2"/>
        <v>1</v>
      </c>
      <c r="K54" s="9" t="str">
        <f t="shared" si="3"/>
        <v>OBESITY</v>
      </c>
    </row>
    <row r="55" ht="15.75" customHeight="1">
      <c r="A55" s="9" t="s">
        <v>109</v>
      </c>
      <c r="B55" s="9">
        <v>51.93</v>
      </c>
      <c r="C55" s="9">
        <v>11.05</v>
      </c>
      <c r="D55" s="9" t="s">
        <v>4684</v>
      </c>
      <c r="E55" s="9" t="s">
        <v>4684</v>
      </c>
      <c r="F55" s="9" t="s">
        <v>4684</v>
      </c>
      <c r="G55" s="9" t="s">
        <v>4685</v>
      </c>
      <c r="H55" s="9" t="s">
        <v>4686</v>
      </c>
      <c r="I55" s="9" t="str">
        <f t="shared" si="1"/>
        <v>Yes</v>
      </c>
      <c r="J55" s="9">
        <f t="shared" si="2"/>
        <v>0</v>
      </c>
      <c r="K55" s="9" t="str">
        <f t="shared" si="3"/>
        <v>OBESITY</v>
      </c>
    </row>
    <row r="56" ht="15.75" customHeight="1">
      <c r="A56" s="9" t="s">
        <v>111</v>
      </c>
      <c r="B56" s="9">
        <v>38.95</v>
      </c>
      <c r="C56" s="9">
        <v>11.95</v>
      </c>
      <c r="D56" s="9" t="s">
        <v>4684</v>
      </c>
      <c r="E56" s="9" t="s">
        <v>4684</v>
      </c>
      <c r="F56" s="9" t="s">
        <v>4684</v>
      </c>
      <c r="G56" s="9" t="s">
        <v>4685</v>
      </c>
      <c r="H56" s="9" t="s">
        <v>4686</v>
      </c>
      <c r="I56" s="9" t="str">
        <f t="shared" si="1"/>
        <v>Yes</v>
      </c>
      <c r="J56" s="9">
        <f t="shared" si="2"/>
        <v>0</v>
      </c>
      <c r="K56" s="9" t="str">
        <f t="shared" si="3"/>
        <v>OBESITY</v>
      </c>
    </row>
    <row r="57" ht="15.75" customHeight="1">
      <c r="A57" s="9" t="s">
        <v>113</v>
      </c>
      <c r="B57" s="9">
        <v>36.63</v>
      </c>
      <c r="C57" s="9">
        <v>7.72</v>
      </c>
      <c r="D57" s="9" t="s">
        <v>4686</v>
      </c>
      <c r="E57" s="9" t="s">
        <v>4684</v>
      </c>
      <c r="F57" s="9" t="s">
        <v>4684</v>
      </c>
      <c r="G57" s="9">
        <v>1.0</v>
      </c>
      <c r="H57" s="9" t="s">
        <v>4686</v>
      </c>
      <c r="I57" s="9" t="str">
        <f t="shared" si="1"/>
        <v>Yes</v>
      </c>
      <c r="J57" s="9">
        <f t="shared" si="2"/>
        <v>1</v>
      </c>
      <c r="K57" s="9" t="str">
        <f t="shared" si="3"/>
        <v>OBESITY</v>
      </c>
    </row>
    <row r="58" ht="15.75" customHeight="1">
      <c r="A58" s="9" t="s">
        <v>115</v>
      </c>
      <c r="B58" s="9">
        <v>34.2</v>
      </c>
      <c r="C58" s="9">
        <v>5.75</v>
      </c>
      <c r="D58" s="9" t="s">
        <v>4684</v>
      </c>
      <c r="E58" s="9" t="s">
        <v>4684</v>
      </c>
      <c r="F58" s="9" t="s">
        <v>4684</v>
      </c>
      <c r="G58" s="9">
        <v>2.0</v>
      </c>
      <c r="H58" s="9" t="s">
        <v>4686</v>
      </c>
      <c r="I58" s="9" t="str">
        <f t="shared" si="1"/>
        <v>Yes</v>
      </c>
      <c r="J58" s="9">
        <f t="shared" si="2"/>
        <v>2</v>
      </c>
      <c r="K58" s="9" t="str">
        <f t="shared" si="3"/>
        <v>OBESITY</v>
      </c>
    </row>
    <row r="59" ht="15.75" customHeight="1">
      <c r="A59" s="9" t="s">
        <v>117</v>
      </c>
      <c r="B59" s="9">
        <v>50.63</v>
      </c>
      <c r="C59" s="9">
        <v>11.89</v>
      </c>
      <c r="D59" s="9" t="s">
        <v>4684</v>
      </c>
      <c r="E59" s="9" t="s">
        <v>4684</v>
      </c>
      <c r="F59" s="9" t="s">
        <v>4684</v>
      </c>
      <c r="G59" s="9" t="s">
        <v>4685</v>
      </c>
      <c r="H59" s="9" t="s">
        <v>4686</v>
      </c>
      <c r="I59" s="9" t="str">
        <f t="shared" si="1"/>
        <v>Yes</v>
      </c>
      <c r="J59" s="9">
        <f t="shared" si="2"/>
        <v>0</v>
      </c>
      <c r="K59" s="9" t="str">
        <f t="shared" si="3"/>
        <v>OBESITY</v>
      </c>
    </row>
    <row r="60" ht="15.75" customHeight="1">
      <c r="A60" s="9" t="s">
        <v>119</v>
      </c>
      <c r="B60" s="9">
        <v>36.48</v>
      </c>
      <c r="C60" s="9">
        <v>6.2</v>
      </c>
      <c r="D60" s="9" t="s">
        <v>4684</v>
      </c>
      <c r="E60" s="9" t="s">
        <v>4684</v>
      </c>
      <c r="F60" s="9" t="s">
        <v>4684</v>
      </c>
      <c r="G60" s="9" t="s">
        <v>4685</v>
      </c>
      <c r="H60" s="9" t="s">
        <v>4686</v>
      </c>
      <c r="I60" s="9" t="str">
        <f t="shared" si="1"/>
        <v>Yes</v>
      </c>
      <c r="J60" s="9">
        <f t="shared" si="2"/>
        <v>0</v>
      </c>
      <c r="K60" s="9" t="str">
        <f t="shared" si="3"/>
        <v>OBESITY</v>
      </c>
    </row>
    <row r="61" ht="15.75" customHeight="1">
      <c r="A61" s="9" t="s">
        <v>121</v>
      </c>
      <c r="B61" s="9">
        <v>54.82</v>
      </c>
      <c r="C61" s="9">
        <v>10.61</v>
      </c>
      <c r="D61" s="9" t="s">
        <v>4684</v>
      </c>
      <c r="E61" s="9" t="s">
        <v>4684</v>
      </c>
      <c r="F61" s="9" t="s">
        <v>4684</v>
      </c>
      <c r="G61" s="9" t="s">
        <v>4685</v>
      </c>
      <c r="H61" s="9" t="s">
        <v>4686</v>
      </c>
      <c r="I61" s="9" t="str">
        <f t="shared" si="1"/>
        <v>Yes</v>
      </c>
      <c r="J61" s="9">
        <f t="shared" si="2"/>
        <v>0</v>
      </c>
      <c r="K61" s="9" t="str">
        <f t="shared" si="3"/>
        <v>OBESITY</v>
      </c>
    </row>
    <row r="62" ht="15.75" customHeight="1">
      <c r="A62" s="9" t="s">
        <v>123</v>
      </c>
      <c r="B62" s="9">
        <v>38.06</v>
      </c>
      <c r="C62" s="9">
        <v>6.04</v>
      </c>
      <c r="D62" s="9" t="s">
        <v>4684</v>
      </c>
      <c r="E62" s="9" t="s">
        <v>4684</v>
      </c>
      <c r="F62" s="9" t="s">
        <v>4686</v>
      </c>
      <c r="G62" s="9">
        <v>1.0</v>
      </c>
      <c r="H62" s="9" t="s">
        <v>4686</v>
      </c>
      <c r="I62" s="9" t="str">
        <f t="shared" si="1"/>
        <v>Yes</v>
      </c>
      <c r="J62" s="9">
        <f t="shared" si="2"/>
        <v>1</v>
      </c>
      <c r="K62" s="9" t="str">
        <f t="shared" si="3"/>
        <v>OBESITY</v>
      </c>
    </row>
    <row r="63" ht="15.75" customHeight="1">
      <c r="A63" s="9" t="s">
        <v>125</v>
      </c>
      <c r="B63" s="9">
        <v>51.48</v>
      </c>
      <c r="C63" s="9">
        <v>9.33</v>
      </c>
      <c r="D63" s="9" t="s">
        <v>4686</v>
      </c>
      <c r="E63" s="9" t="s">
        <v>4684</v>
      </c>
      <c r="F63" s="9" t="s">
        <v>4684</v>
      </c>
      <c r="G63" s="9" t="s">
        <v>4685</v>
      </c>
      <c r="H63" s="9" t="s">
        <v>4686</v>
      </c>
      <c r="I63" s="9" t="str">
        <f t="shared" si="1"/>
        <v>Yes</v>
      </c>
      <c r="J63" s="9">
        <f t="shared" si="2"/>
        <v>0</v>
      </c>
      <c r="K63" s="9" t="str">
        <f t="shared" si="3"/>
        <v>OBESITY</v>
      </c>
    </row>
    <row r="64" ht="15.75" customHeight="1">
      <c r="A64" s="9" t="s">
        <v>127</v>
      </c>
      <c r="B64" s="9">
        <v>52.06</v>
      </c>
      <c r="C64" s="9">
        <v>11.47</v>
      </c>
      <c r="D64" s="9" t="s">
        <v>4684</v>
      </c>
      <c r="E64" s="9" t="s">
        <v>4684</v>
      </c>
      <c r="F64" s="9" t="s">
        <v>4684</v>
      </c>
      <c r="G64" s="9" t="s">
        <v>4685</v>
      </c>
      <c r="H64" s="9" t="s">
        <v>4686</v>
      </c>
      <c r="I64" s="9" t="str">
        <f t="shared" si="1"/>
        <v>Yes</v>
      </c>
      <c r="J64" s="9">
        <f t="shared" si="2"/>
        <v>0</v>
      </c>
      <c r="K64" s="9" t="str">
        <f t="shared" si="3"/>
        <v>OBESITY</v>
      </c>
    </row>
    <row r="65" ht="15.75" customHeight="1">
      <c r="A65" s="9" t="s">
        <v>129</v>
      </c>
      <c r="B65" s="9">
        <v>30.685</v>
      </c>
      <c r="C65" s="9">
        <v>7.02</v>
      </c>
      <c r="D65" s="9" t="s">
        <v>4686</v>
      </c>
      <c r="E65" s="9" t="s">
        <v>4684</v>
      </c>
      <c r="F65" s="9" t="s">
        <v>4684</v>
      </c>
      <c r="G65" s="9" t="s">
        <v>4685</v>
      </c>
      <c r="H65" s="9" t="s">
        <v>4686</v>
      </c>
      <c r="I65" s="9" t="str">
        <f t="shared" si="1"/>
        <v>Yes</v>
      </c>
      <c r="J65" s="9">
        <f t="shared" si="2"/>
        <v>0</v>
      </c>
      <c r="K65" s="9" t="str">
        <f t="shared" si="3"/>
        <v>OBESITY</v>
      </c>
    </row>
    <row r="66" ht="15.75" customHeight="1">
      <c r="A66" s="9" t="s">
        <v>131</v>
      </c>
      <c r="B66" s="9">
        <v>36.08</v>
      </c>
      <c r="C66" s="9">
        <v>8.8</v>
      </c>
      <c r="D66" s="9" t="s">
        <v>4686</v>
      </c>
      <c r="E66" s="9" t="s">
        <v>4684</v>
      </c>
      <c r="F66" s="9" t="s">
        <v>4684</v>
      </c>
      <c r="G66" s="9">
        <v>1.0</v>
      </c>
      <c r="H66" s="9" t="s">
        <v>4686</v>
      </c>
      <c r="I66" s="9" t="str">
        <f t="shared" si="1"/>
        <v>Yes</v>
      </c>
      <c r="J66" s="9">
        <f t="shared" si="2"/>
        <v>1</v>
      </c>
      <c r="K66" s="9" t="str">
        <f t="shared" si="3"/>
        <v>OBESITY</v>
      </c>
    </row>
    <row r="67" ht="15.75" customHeight="1">
      <c r="A67" s="9" t="s">
        <v>133</v>
      </c>
      <c r="B67" s="9">
        <v>54.99</v>
      </c>
      <c r="C67" s="9">
        <v>8.68</v>
      </c>
      <c r="D67" s="9" t="s">
        <v>4684</v>
      </c>
      <c r="E67" s="9" t="s">
        <v>4684</v>
      </c>
      <c r="F67" s="9" t="s">
        <v>4684</v>
      </c>
      <c r="G67" s="9">
        <v>2.0</v>
      </c>
      <c r="H67" s="9" t="s">
        <v>4686</v>
      </c>
      <c r="I67" s="9" t="str">
        <f t="shared" si="1"/>
        <v>Yes</v>
      </c>
      <c r="J67" s="9">
        <f t="shared" si="2"/>
        <v>2</v>
      </c>
      <c r="K67" s="9" t="str">
        <f t="shared" si="3"/>
        <v>OBESITY</v>
      </c>
    </row>
    <row r="68" ht="15.75" customHeight="1">
      <c r="A68" s="9" t="s">
        <v>135</v>
      </c>
      <c r="B68" s="9">
        <v>35.97</v>
      </c>
      <c r="C68" s="9">
        <v>6.12</v>
      </c>
      <c r="D68" s="9" t="s">
        <v>4684</v>
      </c>
      <c r="E68" s="9" t="s">
        <v>4684</v>
      </c>
      <c r="F68" s="9" t="s">
        <v>4686</v>
      </c>
      <c r="G68" s="9">
        <v>1.0</v>
      </c>
      <c r="H68" s="9" t="s">
        <v>4686</v>
      </c>
      <c r="I68" s="9" t="str">
        <f t="shared" si="1"/>
        <v>Yes</v>
      </c>
      <c r="J68" s="9">
        <f t="shared" si="2"/>
        <v>1</v>
      </c>
      <c r="K68" s="9" t="str">
        <f t="shared" si="3"/>
        <v>OBESITY</v>
      </c>
    </row>
    <row r="69" ht="15.75" customHeight="1">
      <c r="A69" s="9" t="s">
        <v>137</v>
      </c>
      <c r="B69" s="9">
        <v>45.54</v>
      </c>
      <c r="C69" s="9">
        <v>5.4</v>
      </c>
      <c r="D69" s="9" t="s">
        <v>4686</v>
      </c>
      <c r="E69" s="9" t="s">
        <v>4684</v>
      </c>
      <c r="F69" s="9" t="s">
        <v>4686</v>
      </c>
      <c r="G69" s="9">
        <v>1.0</v>
      </c>
      <c r="H69" s="9" t="s">
        <v>4686</v>
      </c>
      <c r="I69" s="9" t="str">
        <f t="shared" si="1"/>
        <v>Yes</v>
      </c>
      <c r="J69" s="9">
        <f t="shared" si="2"/>
        <v>1</v>
      </c>
      <c r="K69" s="9" t="str">
        <f t="shared" si="3"/>
        <v>OBESITY</v>
      </c>
    </row>
    <row r="70" ht="15.75" customHeight="1">
      <c r="A70" s="9" t="s">
        <v>139</v>
      </c>
      <c r="B70" s="9">
        <v>35.53</v>
      </c>
      <c r="C70" s="9">
        <v>4.36</v>
      </c>
      <c r="D70" s="9" t="s">
        <v>4686</v>
      </c>
      <c r="E70" s="9" t="s">
        <v>4684</v>
      </c>
      <c r="F70" s="9" t="s">
        <v>4684</v>
      </c>
      <c r="G70" s="9" t="s">
        <v>4685</v>
      </c>
      <c r="H70" s="9" t="s">
        <v>4686</v>
      </c>
      <c r="I70" s="9" t="str">
        <f t="shared" si="1"/>
        <v>Yes</v>
      </c>
      <c r="J70" s="9">
        <f t="shared" si="2"/>
        <v>0</v>
      </c>
      <c r="K70" s="9" t="str">
        <f t="shared" si="3"/>
        <v>OBESITY</v>
      </c>
    </row>
    <row r="71" ht="15.75" customHeight="1">
      <c r="A71" s="9" t="s">
        <v>141</v>
      </c>
      <c r="B71" s="9">
        <v>30.8</v>
      </c>
      <c r="C71" s="9">
        <v>9.77</v>
      </c>
      <c r="D71" s="9" t="s">
        <v>4684</v>
      </c>
      <c r="E71" s="9" t="s">
        <v>4684</v>
      </c>
      <c r="F71" s="9" t="s">
        <v>4684</v>
      </c>
      <c r="G71" s="9" t="s">
        <v>4685</v>
      </c>
      <c r="H71" s="9" t="s">
        <v>4686</v>
      </c>
      <c r="I71" s="9" t="str">
        <f t="shared" si="1"/>
        <v>Yes</v>
      </c>
      <c r="J71" s="9">
        <f t="shared" si="2"/>
        <v>0</v>
      </c>
      <c r="K71" s="9" t="str">
        <f t="shared" si="3"/>
        <v>OBESITY</v>
      </c>
    </row>
    <row r="72" ht="15.75" customHeight="1">
      <c r="A72" s="9" t="s">
        <v>143</v>
      </c>
      <c r="B72" s="9">
        <v>38.39</v>
      </c>
      <c r="C72" s="9">
        <v>4.25</v>
      </c>
      <c r="D72" s="9" t="s">
        <v>4684</v>
      </c>
      <c r="E72" s="9" t="s">
        <v>4684</v>
      </c>
      <c r="F72" s="9" t="s">
        <v>4684</v>
      </c>
      <c r="G72" s="9">
        <v>1.0</v>
      </c>
      <c r="H72" s="9" t="s">
        <v>4686</v>
      </c>
      <c r="I72" s="9" t="str">
        <f t="shared" si="1"/>
        <v>Yes</v>
      </c>
      <c r="J72" s="9">
        <f t="shared" si="2"/>
        <v>1</v>
      </c>
      <c r="K72" s="9" t="str">
        <f t="shared" si="3"/>
        <v>OBESITY</v>
      </c>
    </row>
    <row r="73" ht="15.75" customHeight="1">
      <c r="A73" s="9" t="s">
        <v>145</v>
      </c>
      <c r="B73" s="9">
        <v>32.3</v>
      </c>
      <c r="C73" s="9">
        <v>4.76</v>
      </c>
      <c r="D73" s="9" t="s">
        <v>4684</v>
      </c>
      <c r="E73" s="9" t="s">
        <v>4684</v>
      </c>
      <c r="F73" s="9" t="s">
        <v>4684</v>
      </c>
      <c r="G73" s="9">
        <v>2.0</v>
      </c>
      <c r="H73" s="9" t="s">
        <v>4686</v>
      </c>
      <c r="I73" s="9" t="str">
        <f t="shared" si="1"/>
        <v>Yes</v>
      </c>
      <c r="J73" s="9">
        <f t="shared" si="2"/>
        <v>2</v>
      </c>
      <c r="K73" s="9" t="str">
        <f t="shared" si="3"/>
        <v>OBESITY</v>
      </c>
    </row>
    <row r="74" ht="15.75" customHeight="1">
      <c r="A74" s="9" t="s">
        <v>147</v>
      </c>
      <c r="B74" s="9">
        <v>48.8</v>
      </c>
      <c r="C74" s="9">
        <v>6.22</v>
      </c>
      <c r="D74" s="9" t="s">
        <v>4686</v>
      </c>
      <c r="E74" s="9" t="s">
        <v>4684</v>
      </c>
      <c r="F74" s="9" t="s">
        <v>4684</v>
      </c>
      <c r="G74" s="9">
        <v>2.0</v>
      </c>
      <c r="H74" s="9" t="s">
        <v>4686</v>
      </c>
      <c r="I74" s="9" t="str">
        <f t="shared" si="1"/>
        <v>Yes</v>
      </c>
      <c r="J74" s="9">
        <f t="shared" si="2"/>
        <v>2</v>
      </c>
      <c r="K74" s="9" t="str">
        <f t="shared" si="3"/>
        <v>OBESITY</v>
      </c>
    </row>
    <row r="75" ht="15.75" customHeight="1">
      <c r="A75" s="9" t="s">
        <v>149</v>
      </c>
      <c r="B75" s="9">
        <v>45.5</v>
      </c>
      <c r="C75" s="9">
        <v>7.96</v>
      </c>
      <c r="D75" s="9" t="s">
        <v>4684</v>
      </c>
      <c r="E75" s="9" t="s">
        <v>4684</v>
      </c>
      <c r="F75" s="9" t="s">
        <v>4684</v>
      </c>
      <c r="G75" s="9" t="s">
        <v>4685</v>
      </c>
      <c r="H75" s="9" t="s">
        <v>4686</v>
      </c>
      <c r="I75" s="9" t="str">
        <f t="shared" si="1"/>
        <v>Yes</v>
      </c>
      <c r="J75" s="9">
        <f t="shared" si="2"/>
        <v>0</v>
      </c>
      <c r="K75" s="9" t="str">
        <f t="shared" si="3"/>
        <v>OBESITY</v>
      </c>
    </row>
    <row r="76" ht="15.75" customHeight="1">
      <c r="A76" s="9" t="s">
        <v>151</v>
      </c>
      <c r="B76" s="9">
        <v>53.61</v>
      </c>
      <c r="C76" s="9">
        <v>10.92</v>
      </c>
      <c r="D76" s="9" t="s">
        <v>4686</v>
      </c>
      <c r="E76" s="9" t="s">
        <v>4684</v>
      </c>
      <c r="F76" s="9" t="s">
        <v>4684</v>
      </c>
      <c r="G76" s="9">
        <v>1.0</v>
      </c>
      <c r="H76" s="9" t="s">
        <v>4686</v>
      </c>
      <c r="I76" s="9" t="str">
        <f t="shared" si="1"/>
        <v>Yes</v>
      </c>
      <c r="J76" s="9">
        <f t="shared" si="2"/>
        <v>1</v>
      </c>
      <c r="K76" s="9" t="str">
        <f t="shared" si="3"/>
        <v>OBESITY</v>
      </c>
    </row>
    <row r="77" ht="15.75" customHeight="1">
      <c r="A77" s="9" t="s">
        <v>153</v>
      </c>
      <c r="B77" s="9">
        <v>36.19</v>
      </c>
      <c r="C77" s="9">
        <v>11.51</v>
      </c>
      <c r="D77" s="9" t="s">
        <v>4686</v>
      </c>
      <c r="E77" s="9" t="s">
        <v>4684</v>
      </c>
      <c r="F77" s="9" t="s">
        <v>4684</v>
      </c>
      <c r="G77" s="9">
        <v>1.0</v>
      </c>
      <c r="H77" s="9" t="s">
        <v>4686</v>
      </c>
      <c r="I77" s="9" t="str">
        <f t="shared" si="1"/>
        <v>Yes</v>
      </c>
      <c r="J77" s="9">
        <f t="shared" si="2"/>
        <v>1</v>
      </c>
      <c r="K77" s="9" t="str">
        <f t="shared" si="3"/>
        <v>OBESITY</v>
      </c>
    </row>
    <row r="78" ht="15.75" customHeight="1">
      <c r="A78" s="9" t="s">
        <v>155</v>
      </c>
      <c r="B78" s="9">
        <v>34.6</v>
      </c>
      <c r="C78" s="9">
        <v>5.99</v>
      </c>
      <c r="D78" s="9" t="s">
        <v>4686</v>
      </c>
      <c r="E78" s="9" t="s">
        <v>4684</v>
      </c>
      <c r="F78" s="9" t="s">
        <v>4684</v>
      </c>
      <c r="G78" s="9" t="s">
        <v>4685</v>
      </c>
      <c r="H78" s="9" t="s">
        <v>4686</v>
      </c>
      <c r="I78" s="9" t="str">
        <f t="shared" si="1"/>
        <v>Yes</v>
      </c>
      <c r="J78" s="9">
        <f t="shared" si="2"/>
        <v>0</v>
      </c>
      <c r="K78" s="9" t="str">
        <f t="shared" si="3"/>
        <v>OBESITY</v>
      </c>
    </row>
    <row r="79" ht="15.75" customHeight="1">
      <c r="A79" s="9" t="s">
        <v>157</v>
      </c>
      <c r="B79" s="9">
        <v>54.12</v>
      </c>
      <c r="C79" s="9">
        <v>11.57</v>
      </c>
      <c r="D79" s="9" t="s">
        <v>4684</v>
      </c>
      <c r="E79" s="9" t="s">
        <v>4684</v>
      </c>
      <c r="F79" s="9" t="s">
        <v>4684</v>
      </c>
      <c r="G79" s="9" t="s">
        <v>4685</v>
      </c>
      <c r="H79" s="9" t="s">
        <v>4686</v>
      </c>
      <c r="I79" s="9" t="str">
        <f t="shared" si="1"/>
        <v>Yes</v>
      </c>
      <c r="J79" s="9">
        <f t="shared" si="2"/>
        <v>0</v>
      </c>
      <c r="K79" s="9" t="str">
        <f t="shared" si="3"/>
        <v>OBESITY</v>
      </c>
    </row>
    <row r="80" ht="15.75" customHeight="1">
      <c r="A80" s="9" t="s">
        <v>159</v>
      </c>
      <c r="B80" s="9">
        <v>48.82</v>
      </c>
      <c r="C80" s="9">
        <v>6.67</v>
      </c>
      <c r="D80" s="9" t="s">
        <v>4686</v>
      </c>
      <c r="E80" s="9" t="s">
        <v>4684</v>
      </c>
      <c r="F80" s="9" t="s">
        <v>4684</v>
      </c>
      <c r="G80" s="9" t="s">
        <v>4685</v>
      </c>
      <c r="H80" s="9" t="s">
        <v>4686</v>
      </c>
      <c r="I80" s="9" t="str">
        <f t="shared" si="1"/>
        <v>Yes</v>
      </c>
      <c r="J80" s="9">
        <f t="shared" si="2"/>
        <v>0</v>
      </c>
      <c r="K80" s="9" t="str">
        <f t="shared" si="3"/>
        <v>OBESITY</v>
      </c>
    </row>
    <row r="81" ht="15.75" customHeight="1">
      <c r="A81" s="9" t="s">
        <v>161</v>
      </c>
      <c r="B81" s="9">
        <v>51.01</v>
      </c>
      <c r="C81" s="9">
        <v>9.2</v>
      </c>
      <c r="D81" s="9" t="s">
        <v>4684</v>
      </c>
      <c r="E81" s="9" t="s">
        <v>4684</v>
      </c>
      <c r="F81" s="9" t="s">
        <v>4684</v>
      </c>
      <c r="G81" s="9" t="s">
        <v>4685</v>
      </c>
      <c r="H81" s="9" t="s">
        <v>4686</v>
      </c>
      <c r="I81" s="9" t="str">
        <f t="shared" si="1"/>
        <v>Yes</v>
      </c>
      <c r="J81" s="9">
        <f t="shared" si="2"/>
        <v>0</v>
      </c>
      <c r="K81" s="9" t="str">
        <f t="shared" si="3"/>
        <v>OBESITY</v>
      </c>
    </row>
    <row r="82" ht="15.75" customHeight="1">
      <c r="A82" s="9" t="s">
        <v>163</v>
      </c>
      <c r="B82" s="9">
        <v>45.65</v>
      </c>
      <c r="C82" s="9">
        <v>5.11</v>
      </c>
      <c r="D82" s="9" t="s">
        <v>4686</v>
      </c>
      <c r="E82" s="9" t="s">
        <v>4684</v>
      </c>
      <c r="F82" s="9" t="s">
        <v>4684</v>
      </c>
      <c r="G82" s="9">
        <v>1.0</v>
      </c>
      <c r="H82" s="9" t="s">
        <v>4686</v>
      </c>
      <c r="I82" s="9" t="str">
        <f t="shared" si="1"/>
        <v>Yes</v>
      </c>
      <c r="J82" s="9">
        <f t="shared" si="2"/>
        <v>1</v>
      </c>
      <c r="K82" s="9" t="str">
        <f t="shared" si="3"/>
        <v>OBESITY</v>
      </c>
    </row>
    <row r="83" ht="15.75" customHeight="1">
      <c r="A83" s="9" t="s">
        <v>165</v>
      </c>
      <c r="B83" s="9">
        <v>52.9</v>
      </c>
      <c r="C83" s="9">
        <v>5.34</v>
      </c>
      <c r="D83" s="9" t="s">
        <v>4684</v>
      </c>
      <c r="E83" s="9" t="s">
        <v>4684</v>
      </c>
      <c r="F83" s="9" t="s">
        <v>4684</v>
      </c>
      <c r="G83" s="9" t="s">
        <v>4685</v>
      </c>
      <c r="H83" s="9" t="s">
        <v>4686</v>
      </c>
      <c r="I83" s="9" t="str">
        <f t="shared" si="1"/>
        <v>Yes</v>
      </c>
      <c r="J83" s="9">
        <f t="shared" si="2"/>
        <v>0</v>
      </c>
      <c r="K83" s="9" t="str">
        <f t="shared" si="3"/>
        <v>OBESITY</v>
      </c>
    </row>
    <row r="84" ht="15.75" customHeight="1">
      <c r="A84" s="9" t="s">
        <v>167</v>
      </c>
      <c r="B84" s="9">
        <v>45.41</v>
      </c>
      <c r="C84" s="9">
        <v>4.03</v>
      </c>
      <c r="D84" s="9" t="s">
        <v>4686</v>
      </c>
      <c r="E84" s="9" t="s">
        <v>4684</v>
      </c>
      <c r="F84" s="9" t="s">
        <v>4684</v>
      </c>
      <c r="G84" s="9">
        <v>1.0</v>
      </c>
      <c r="H84" s="9" t="s">
        <v>4686</v>
      </c>
      <c r="I84" s="9" t="str">
        <f t="shared" si="1"/>
        <v>Yes</v>
      </c>
      <c r="J84" s="9">
        <f t="shared" si="2"/>
        <v>1</v>
      </c>
      <c r="K84" s="9" t="str">
        <f t="shared" si="3"/>
        <v>OBESITY</v>
      </c>
    </row>
    <row r="85" ht="15.75" customHeight="1">
      <c r="A85" s="9" t="s">
        <v>169</v>
      </c>
      <c r="B85" s="9">
        <v>49.41</v>
      </c>
      <c r="C85" s="9">
        <v>4.23</v>
      </c>
      <c r="D85" s="9" t="s">
        <v>4686</v>
      </c>
      <c r="E85" s="9" t="s">
        <v>4684</v>
      </c>
      <c r="F85" s="9" t="s">
        <v>4686</v>
      </c>
      <c r="G85" s="9">
        <v>1.0</v>
      </c>
      <c r="H85" s="9" t="s">
        <v>4686</v>
      </c>
      <c r="I85" s="9" t="str">
        <f t="shared" si="1"/>
        <v>Yes</v>
      </c>
      <c r="J85" s="9">
        <f t="shared" si="2"/>
        <v>1</v>
      </c>
      <c r="K85" s="9" t="str">
        <f t="shared" si="3"/>
        <v>OBESITY</v>
      </c>
    </row>
    <row r="86" ht="15.75" customHeight="1">
      <c r="A86" s="9" t="s">
        <v>171</v>
      </c>
      <c r="B86" s="9">
        <v>31.825</v>
      </c>
      <c r="C86" s="9">
        <v>4.06</v>
      </c>
      <c r="D86" s="9" t="s">
        <v>4684</v>
      </c>
      <c r="E86" s="9" t="s">
        <v>4684</v>
      </c>
      <c r="F86" s="9" t="s">
        <v>4684</v>
      </c>
      <c r="G86" s="9">
        <v>2.0</v>
      </c>
      <c r="H86" s="9" t="s">
        <v>4686</v>
      </c>
      <c r="I86" s="9" t="str">
        <f t="shared" si="1"/>
        <v>Yes</v>
      </c>
      <c r="J86" s="9">
        <f t="shared" si="2"/>
        <v>2</v>
      </c>
      <c r="K86" s="9" t="str">
        <f t="shared" si="3"/>
        <v>OBESITY</v>
      </c>
    </row>
    <row r="87" ht="15.75" customHeight="1">
      <c r="A87" s="9" t="s">
        <v>173</v>
      </c>
      <c r="B87" s="9">
        <v>51.28</v>
      </c>
      <c r="C87" s="9">
        <v>4.68</v>
      </c>
      <c r="D87" s="9" t="s">
        <v>4684</v>
      </c>
      <c r="E87" s="9" t="s">
        <v>4684</v>
      </c>
      <c r="F87" s="9" t="s">
        <v>4684</v>
      </c>
      <c r="G87" s="9">
        <v>2.0</v>
      </c>
      <c r="H87" s="9" t="s">
        <v>4686</v>
      </c>
      <c r="I87" s="9" t="str">
        <f t="shared" si="1"/>
        <v>Yes</v>
      </c>
      <c r="J87" s="9">
        <f t="shared" si="2"/>
        <v>2</v>
      </c>
      <c r="K87" s="9" t="str">
        <f t="shared" si="3"/>
        <v>OBESITY</v>
      </c>
    </row>
    <row r="88" ht="15.75" customHeight="1">
      <c r="A88" s="9" t="s">
        <v>175</v>
      </c>
      <c r="B88" s="9">
        <v>34.96</v>
      </c>
      <c r="C88" s="9">
        <v>4.34</v>
      </c>
      <c r="D88" s="9" t="s">
        <v>4684</v>
      </c>
      <c r="E88" s="9" t="s">
        <v>4684</v>
      </c>
      <c r="F88" s="9" t="s">
        <v>4686</v>
      </c>
      <c r="G88" s="9">
        <v>1.0</v>
      </c>
      <c r="H88" s="9" t="s">
        <v>4686</v>
      </c>
      <c r="I88" s="9" t="str">
        <f t="shared" si="1"/>
        <v>Yes</v>
      </c>
      <c r="J88" s="9">
        <f t="shared" si="2"/>
        <v>1</v>
      </c>
      <c r="K88" s="9" t="str">
        <f t="shared" si="3"/>
        <v>OBESITY</v>
      </c>
    </row>
    <row r="89" ht="15.75" customHeight="1">
      <c r="A89" s="9" t="s">
        <v>177</v>
      </c>
      <c r="B89" s="9">
        <v>33.11</v>
      </c>
      <c r="C89" s="9">
        <v>10.51</v>
      </c>
      <c r="D89" s="9" t="s">
        <v>4684</v>
      </c>
      <c r="E89" s="9" t="s">
        <v>4684</v>
      </c>
      <c r="F89" s="9" t="s">
        <v>4684</v>
      </c>
      <c r="G89" s="9" t="s">
        <v>4685</v>
      </c>
      <c r="H89" s="9" t="s">
        <v>4686</v>
      </c>
      <c r="I89" s="9" t="str">
        <f t="shared" si="1"/>
        <v>Yes</v>
      </c>
      <c r="J89" s="9">
        <f t="shared" si="2"/>
        <v>0</v>
      </c>
      <c r="K89" s="9" t="str">
        <f t="shared" si="3"/>
        <v>OBESITY</v>
      </c>
    </row>
    <row r="90" ht="15.75" customHeight="1">
      <c r="A90" s="9" t="s">
        <v>179</v>
      </c>
      <c r="B90" s="9">
        <v>54.74</v>
      </c>
      <c r="C90" s="9">
        <v>5.84</v>
      </c>
      <c r="D90" s="9" t="s">
        <v>4686</v>
      </c>
      <c r="E90" s="9" t="s">
        <v>4684</v>
      </c>
      <c r="F90" s="9" t="s">
        <v>4686</v>
      </c>
      <c r="G90" s="9">
        <v>1.0</v>
      </c>
      <c r="H90" s="9" t="s">
        <v>4686</v>
      </c>
      <c r="I90" s="9" t="str">
        <f t="shared" si="1"/>
        <v>Yes</v>
      </c>
      <c r="J90" s="9">
        <f t="shared" si="2"/>
        <v>1</v>
      </c>
      <c r="K90" s="9" t="str">
        <f t="shared" si="3"/>
        <v>OBESITY</v>
      </c>
    </row>
    <row r="91" ht="15.75" customHeight="1">
      <c r="A91" s="9" t="s">
        <v>181</v>
      </c>
      <c r="B91" s="9">
        <v>32.56</v>
      </c>
      <c r="C91" s="9">
        <v>5.41</v>
      </c>
      <c r="D91" s="9" t="s">
        <v>4684</v>
      </c>
      <c r="E91" s="9" t="s">
        <v>4684</v>
      </c>
      <c r="F91" s="9" t="s">
        <v>4686</v>
      </c>
      <c r="G91" s="9">
        <v>1.0</v>
      </c>
      <c r="H91" s="9" t="s">
        <v>4686</v>
      </c>
      <c r="I91" s="9" t="str">
        <f t="shared" si="1"/>
        <v>Yes</v>
      </c>
      <c r="J91" s="9">
        <f t="shared" si="2"/>
        <v>1</v>
      </c>
      <c r="K91" s="9" t="str">
        <f t="shared" si="3"/>
        <v>OBESITY</v>
      </c>
    </row>
    <row r="92" ht="15.75" customHeight="1">
      <c r="A92" s="9" t="s">
        <v>183</v>
      </c>
      <c r="B92" s="9">
        <v>39.05</v>
      </c>
      <c r="C92" s="9">
        <v>6.06</v>
      </c>
      <c r="D92" s="9" t="s">
        <v>4684</v>
      </c>
      <c r="E92" s="9" t="s">
        <v>4684</v>
      </c>
      <c r="F92" s="9" t="s">
        <v>4684</v>
      </c>
      <c r="G92" s="9">
        <v>1.0</v>
      </c>
      <c r="H92" s="9" t="s">
        <v>4686</v>
      </c>
      <c r="I92" s="9" t="str">
        <f t="shared" si="1"/>
        <v>Yes</v>
      </c>
      <c r="J92" s="9">
        <f t="shared" si="2"/>
        <v>1</v>
      </c>
      <c r="K92" s="9" t="str">
        <f t="shared" si="3"/>
        <v>OBESITY</v>
      </c>
    </row>
    <row r="93" ht="15.75" customHeight="1">
      <c r="A93" s="9" t="s">
        <v>185</v>
      </c>
      <c r="B93" s="9">
        <v>42.75</v>
      </c>
      <c r="C93" s="9">
        <v>4.22</v>
      </c>
      <c r="D93" s="9" t="s">
        <v>4684</v>
      </c>
      <c r="E93" s="9" t="s">
        <v>4684</v>
      </c>
      <c r="F93" s="9" t="s">
        <v>4684</v>
      </c>
      <c r="G93" s="9" t="s">
        <v>4685</v>
      </c>
      <c r="H93" s="9" t="s">
        <v>4686</v>
      </c>
      <c r="I93" s="9" t="str">
        <f t="shared" si="1"/>
        <v>Yes</v>
      </c>
      <c r="J93" s="9">
        <f t="shared" si="2"/>
        <v>0</v>
      </c>
      <c r="K93" s="9" t="str">
        <f t="shared" si="3"/>
        <v>OBESITY</v>
      </c>
    </row>
    <row r="94" ht="15.75" customHeight="1">
      <c r="A94" s="9" t="s">
        <v>187</v>
      </c>
      <c r="B94" s="9">
        <v>50.58</v>
      </c>
      <c r="C94" s="9">
        <v>5.12</v>
      </c>
      <c r="D94" s="9" t="s">
        <v>4684</v>
      </c>
      <c r="E94" s="9" t="s">
        <v>4684</v>
      </c>
      <c r="F94" s="9" t="s">
        <v>4684</v>
      </c>
      <c r="G94" s="9">
        <v>2.0</v>
      </c>
      <c r="H94" s="9" t="s">
        <v>4686</v>
      </c>
      <c r="I94" s="9" t="str">
        <f t="shared" si="1"/>
        <v>Yes</v>
      </c>
      <c r="J94" s="9">
        <f t="shared" si="2"/>
        <v>2</v>
      </c>
      <c r="K94" s="9" t="str">
        <f t="shared" si="3"/>
        <v>OBESITY</v>
      </c>
    </row>
    <row r="95" ht="15.75" customHeight="1">
      <c r="A95" s="9" t="s">
        <v>189</v>
      </c>
      <c r="B95" s="9">
        <v>30.495</v>
      </c>
      <c r="C95" s="9">
        <v>4.57</v>
      </c>
      <c r="D95" s="9" t="s">
        <v>4686</v>
      </c>
      <c r="E95" s="9" t="s">
        <v>4684</v>
      </c>
      <c r="F95" s="9" t="s">
        <v>4684</v>
      </c>
      <c r="G95" s="9" t="s">
        <v>4685</v>
      </c>
      <c r="H95" s="9" t="s">
        <v>4686</v>
      </c>
      <c r="I95" s="9" t="str">
        <f t="shared" si="1"/>
        <v>Yes</v>
      </c>
      <c r="J95" s="9">
        <f t="shared" si="2"/>
        <v>0</v>
      </c>
      <c r="K95" s="9" t="str">
        <f t="shared" si="3"/>
        <v>OBESITY</v>
      </c>
    </row>
    <row r="96" ht="15.75" customHeight="1">
      <c r="A96" s="9" t="s">
        <v>191</v>
      </c>
      <c r="B96" s="9">
        <v>48.31</v>
      </c>
      <c r="C96" s="9">
        <v>9.58</v>
      </c>
      <c r="D96" s="9" t="s">
        <v>4686</v>
      </c>
      <c r="E96" s="9" t="s">
        <v>4684</v>
      </c>
      <c r="F96" s="9" t="s">
        <v>4684</v>
      </c>
      <c r="G96" s="9">
        <v>2.0</v>
      </c>
      <c r="H96" s="9" t="s">
        <v>4686</v>
      </c>
      <c r="I96" s="9" t="str">
        <f t="shared" si="1"/>
        <v>Yes</v>
      </c>
      <c r="J96" s="9">
        <f t="shared" si="2"/>
        <v>2</v>
      </c>
      <c r="K96" s="9" t="str">
        <f t="shared" si="3"/>
        <v>OBESITY</v>
      </c>
    </row>
    <row r="97" ht="15.75" customHeight="1">
      <c r="A97" s="9" t="s">
        <v>193</v>
      </c>
      <c r="B97" s="9">
        <v>48.99</v>
      </c>
      <c r="C97" s="9">
        <v>9.78</v>
      </c>
      <c r="D97" s="9" t="s">
        <v>4686</v>
      </c>
      <c r="E97" s="9" t="s">
        <v>4684</v>
      </c>
      <c r="F97" s="9" t="s">
        <v>4684</v>
      </c>
      <c r="G97" s="9">
        <v>1.0</v>
      </c>
      <c r="H97" s="9" t="s">
        <v>4686</v>
      </c>
      <c r="I97" s="9" t="str">
        <f t="shared" si="1"/>
        <v>Yes</v>
      </c>
      <c r="J97" s="9">
        <f t="shared" si="2"/>
        <v>1</v>
      </c>
      <c r="K97" s="9" t="str">
        <f t="shared" si="3"/>
        <v>OBESITY</v>
      </c>
    </row>
    <row r="98" ht="15.75" customHeight="1">
      <c r="A98" s="9" t="s">
        <v>195</v>
      </c>
      <c r="B98" s="9">
        <v>38.39</v>
      </c>
      <c r="C98" s="9">
        <v>4.11</v>
      </c>
      <c r="D98" s="9" t="s">
        <v>4686</v>
      </c>
      <c r="E98" s="9" t="s">
        <v>4684</v>
      </c>
      <c r="F98" s="9" t="s">
        <v>4684</v>
      </c>
      <c r="G98" s="9" t="s">
        <v>4685</v>
      </c>
      <c r="H98" s="9" t="s">
        <v>4686</v>
      </c>
      <c r="I98" s="9" t="str">
        <f t="shared" si="1"/>
        <v>Yes</v>
      </c>
      <c r="J98" s="9">
        <f t="shared" si="2"/>
        <v>0</v>
      </c>
      <c r="K98" s="9" t="str">
        <f t="shared" si="3"/>
        <v>OBESITY</v>
      </c>
    </row>
    <row r="99" ht="15.75" customHeight="1">
      <c r="A99" s="9" t="s">
        <v>197</v>
      </c>
      <c r="B99" s="9">
        <v>44.34</v>
      </c>
      <c r="C99" s="9">
        <v>4.02</v>
      </c>
      <c r="D99" s="9" t="s">
        <v>4686</v>
      </c>
      <c r="E99" s="9" t="s">
        <v>4684</v>
      </c>
      <c r="F99" s="9" t="s">
        <v>4684</v>
      </c>
      <c r="G99" s="9">
        <v>2.0</v>
      </c>
      <c r="H99" s="9" t="s">
        <v>4686</v>
      </c>
      <c r="I99" s="9" t="str">
        <f t="shared" si="1"/>
        <v>Yes</v>
      </c>
      <c r="J99" s="9">
        <f t="shared" si="2"/>
        <v>2</v>
      </c>
      <c r="K99" s="9" t="str">
        <f t="shared" si="3"/>
        <v>OBESITY</v>
      </c>
    </row>
    <row r="100" ht="15.75" customHeight="1">
      <c r="A100" s="9" t="s">
        <v>199</v>
      </c>
      <c r="B100" s="9">
        <v>41.51</v>
      </c>
      <c r="C100" s="9">
        <v>6.92</v>
      </c>
      <c r="D100" s="9" t="s">
        <v>4684</v>
      </c>
      <c r="E100" s="9" t="s">
        <v>4684</v>
      </c>
      <c r="F100" s="9" t="s">
        <v>4684</v>
      </c>
      <c r="G100" s="9" t="s">
        <v>4685</v>
      </c>
      <c r="H100" s="9" t="s">
        <v>4686</v>
      </c>
      <c r="I100" s="9" t="str">
        <f t="shared" si="1"/>
        <v>Yes</v>
      </c>
      <c r="J100" s="9">
        <f t="shared" si="2"/>
        <v>0</v>
      </c>
      <c r="K100" s="9" t="str">
        <f t="shared" si="3"/>
        <v>OBESITY</v>
      </c>
    </row>
    <row r="101" ht="15.75" customHeight="1">
      <c r="A101" s="9" t="s">
        <v>201</v>
      </c>
      <c r="B101" s="9">
        <v>48.2</v>
      </c>
      <c r="C101" s="9">
        <v>4.84</v>
      </c>
      <c r="D101" s="9" t="s">
        <v>4684</v>
      </c>
      <c r="E101" s="9" t="s">
        <v>4684</v>
      </c>
      <c r="F101" s="9" t="s">
        <v>4684</v>
      </c>
      <c r="G101" s="9" t="s">
        <v>4685</v>
      </c>
      <c r="H101" s="9" t="s">
        <v>4686</v>
      </c>
      <c r="I101" s="9" t="str">
        <f t="shared" si="1"/>
        <v>Yes</v>
      </c>
      <c r="J101" s="9">
        <f t="shared" si="2"/>
        <v>0</v>
      </c>
      <c r="K101" s="9" t="str">
        <f t="shared" si="3"/>
        <v>OBESITY</v>
      </c>
    </row>
    <row r="102" ht="15.75" customHeight="1">
      <c r="A102" s="9" t="s">
        <v>203</v>
      </c>
      <c r="B102" s="9">
        <v>35.75</v>
      </c>
      <c r="C102" s="9">
        <v>8.0</v>
      </c>
      <c r="D102" s="9" t="s">
        <v>4686</v>
      </c>
      <c r="E102" s="9" t="s">
        <v>4684</v>
      </c>
      <c r="F102" s="9" t="s">
        <v>4684</v>
      </c>
      <c r="G102" s="9" t="s">
        <v>4685</v>
      </c>
      <c r="H102" s="9" t="s">
        <v>4686</v>
      </c>
      <c r="I102" s="9" t="str">
        <f t="shared" si="1"/>
        <v>Yes</v>
      </c>
      <c r="J102" s="9">
        <f t="shared" si="2"/>
        <v>0</v>
      </c>
      <c r="K102" s="9" t="str">
        <f t="shared" si="3"/>
        <v>OBESITY</v>
      </c>
    </row>
    <row r="103" ht="15.75" customHeight="1">
      <c r="A103" s="9" t="s">
        <v>205</v>
      </c>
      <c r="B103" s="9">
        <v>53.81</v>
      </c>
      <c r="C103" s="9">
        <v>8.77</v>
      </c>
      <c r="D103" s="9" t="s">
        <v>4686</v>
      </c>
      <c r="E103" s="9" t="s">
        <v>4684</v>
      </c>
      <c r="F103" s="9" t="s">
        <v>4684</v>
      </c>
      <c r="G103" s="9" t="s">
        <v>4685</v>
      </c>
      <c r="H103" s="9" t="s">
        <v>4686</v>
      </c>
      <c r="I103" s="9" t="str">
        <f t="shared" si="1"/>
        <v>Yes</v>
      </c>
      <c r="J103" s="9">
        <f t="shared" si="2"/>
        <v>0</v>
      </c>
      <c r="K103" s="9" t="str">
        <f t="shared" si="3"/>
        <v>OBESITY</v>
      </c>
    </row>
    <row r="104" ht="15.75" customHeight="1">
      <c r="A104" s="9" t="s">
        <v>207</v>
      </c>
      <c r="B104" s="9">
        <v>49.48</v>
      </c>
      <c r="C104" s="9">
        <v>4.96</v>
      </c>
      <c r="D104" s="9" t="s">
        <v>4684</v>
      </c>
      <c r="E104" s="9" t="s">
        <v>4684</v>
      </c>
      <c r="F104" s="9" t="s">
        <v>4686</v>
      </c>
      <c r="G104" s="9">
        <v>1.0</v>
      </c>
      <c r="H104" s="9" t="s">
        <v>4686</v>
      </c>
      <c r="I104" s="9" t="str">
        <f t="shared" si="1"/>
        <v>Yes</v>
      </c>
      <c r="J104" s="9">
        <f t="shared" si="2"/>
        <v>1</v>
      </c>
      <c r="K104" s="9" t="str">
        <f t="shared" si="3"/>
        <v>OBESITY</v>
      </c>
    </row>
    <row r="105" ht="15.75" customHeight="1">
      <c r="A105" s="9" t="s">
        <v>209</v>
      </c>
      <c r="B105" s="9">
        <v>34.1</v>
      </c>
      <c r="C105" s="9">
        <v>4.43</v>
      </c>
      <c r="D105" s="9" t="s">
        <v>4686</v>
      </c>
      <c r="E105" s="9" t="s">
        <v>4684</v>
      </c>
      <c r="F105" s="9" t="s">
        <v>4684</v>
      </c>
      <c r="G105" s="9" t="s">
        <v>4685</v>
      </c>
      <c r="H105" s="9" t="s">
        <v>4686</v>
      </c>
      <c r="I105" s="9" t="str">
        <f t="shared" si="1"/>
        <v>Yes</v>
      </c>
      <c r="J105" s="9">
        <f t="shared" si="2"/>
        <v>0</v>
      </c>
      <c r="K105" s="9" t="str">
        <f t="shared" si="3"/>
        <v>OBESITY</v>
      </c>
    </row>
    <row r="106" ht="15.75" customHeight="1">
      <c r="A106" s="9" t="s">
        <v>211</v>
      </c>
      <c r="B106" s="9">
        <v>35.3</v>
      </c>
      <c r="C106" s="9">
        <v>5.82</v>
      </c>
      <c r="D106" s="9" t="s">
        <v>4686</v>
      </c>
      <c r="E106" s="9" t="s">
        <v>4684</v>
      </c>
      <c r="F106" s="9" t="s">
        <v>4686</v>
      </c>
      <c r="G106" s="9">
        <v>1.0</v>
      </c>
      <c r="H106" s="9" t="s">
        <v>4686</v>
      </c>
      <c r="I106" s="9" t="str">
        <f t="shared" si="1"/>
        <v>Yes</v>
      </c>
      <c r="J106" s="9">
        <f t="shared" si="2"/>
        <v>1</v>
      </c>
      <c r="K106" s="9" t="str">
        <f t="shared" si="3"/>
        <v>OBESITY</v>
      </c>
    </row>
    <row r="107" ht="15.75" customHeight="1">
      <c r="A107" s="9" t="s">
        <v>213</v>
      </c>
      <c r="B107" s="9">
        <v>43.83</v>
      </c>
      <c r="C107" s="9">
        <v>6.03</v>
      </c>
      <c r="D107" s="9" t="s">
        <v>4686</v>
      </c>
      <c r="E107" s="9" t="s">
        <v>4684</v>
      </c>
      <c r="F107" s="9" t="s">
        <v>4684</v>
      </c>
      <c r="G107" s="9">
        <v>2.0</v>
      </c>
      <c r="H107" s="9" t="s">
        <v>4686</v>
      </c>
      <c r="I107" s="9" t="str">
        <f t="shared" si="1"/>
        <v>Yes</v>
      </c>
      <c r="J107" s="9">
        <f t="shared" si="2"/>
        <v>2</v>
      </c>
      <c r="K107" s="9" t="str">
        <f t="shared" si="3"/>
        <v>OBESITY</v>
      </c>
    </row>
    <row r="108" ht="15.75" customHeight="1">
      <c r="A108" s="9" t="s">
        <v>215</v>
      </c>
      <c r="B108" s="9">
        <v>50.07</v>
      </c>
      <c r="C108" s="9">
        <v>9.27</v>
      </c>
      <c r="D108" s="9" t="s">
        <v>4684</v>
      </c>
      <c r="E108" s="9" t="s">
        <v>4684</v>
      </c>
      <c r="F108" s="9" t="s">
        <v>4684</v>
      </c>
      <c r="G108" s="9" t="s">
        <v>4685</v>
      </c>
      <c r="H108" s="9" t="s">
        <v>4686</v>
      </c>
      <c r="I108" s="9" t="str">
        <f t="shared" si="1"/>
        <v>Yes</v>
      </c>
      <c r="J108" s="9">
        <f t="shared" si="2"/>
        <v>0</v>
      </c>
      <c r="K108" s="9" t="str">
        <f t="shared" si="3"/>
        <v>OBESITY</v>
      </c>
    </row>
    <row r="109" ht="15.75" customHeight="1">
      <c r="A109" s="9" t="s">
        <v>217</v>
      </c>
      <c r="B109" s="9">
        <v>32.775</v>
      </c>
      <c r="C109" s="9">
        <v>5.53</v>
      </c>
      <c r="D109" s="9" t="s">
        <v>4684</v>
      </c>
      <c r="E109" s="9" t="s">
        <v>4684</v>
      </c>
      <c r="F109" s="9" t="s">
        <v>4684</v>
      </c>
      <c r="G109" s="9" t="s">
        <v>4685</v>
      </c>
      <c r="H109" s="9" t="s">
        <v>4686</v>
      </c>
      <c r="I109" s="9" t="str">
        <f t="shared" si="1"/>
        <v>Yes</v>
      </c>
      <c r="J109" s="9">
        <f t="shared" si="2"/>
        <v>0</v>
      </c>
      <c r="K109" s="9" t="str">
        <f t="shared" si="3"/>
        <v>OBESITY</v>
      </c>
    </row>
    <row r="110" ht="15.75" customHeight="1">
      <c r="A110" s="9" t="s">
        <v>219</v>
      </c>
      <c r="B110" s="9">
        <v>34.105</v>
      </c>
      <c r="C110" s="9">
        <v>5.07</v>
      </c>
      <c r="D110" s="9" t="s">
        <v>4684</v>
      </c>
      <c r="E110" s="9" t="s">
        <v>4684</v>
      </c>
      <c r="F110" s="9" t="s">
        <v>4684</v>
      </c>
      <c r="G110" s="9">
        <v>1.0</v>
      </c>
      <c r="H110" s="9" t="s">
        <v>4686</v>
      </c>
      <c r="I110" s="9" t="str">
        <f t="shared" si="1"/>
        <v>Yes</v>
      </c>
      <c r="J110" s="9">
        <f t="shared" si="2"/>
        <v>1</v>
      </c>
      <c r="K110" s="9" t="str">
        <f t="shared" si="3"/>
        <v>OBESITY</v>
      </c>
    </row>
    <row r="111" ht="15.75" customHeight="1">
      <c r="A111" s="9" t="s">
        <v>221</v>
      </c>
      <c r="B111" s="9">
        <v>48.93</v>
      </c>
      <c r="C111" s="9">
        <v>11.17</v>
      </c>
      <c r="D111" s="9" t="s">
        <v>4686</v>
      </c>
      <c r="E111" s="9" t="s">
        <v>4684</v>
      </c>
      <c r="F111" s="9" t="s">
        <v>4684</v>
      </c>
      <c r="G111" s="9">
        <v>1.0</v>
      </c>
      <c r="H111" s="9" t="s">
        <v>4686</v>
      </c>
      <c r="I111" s="9" t="str">
        <f t="shared" si="1"/>
        <v>Yes</v>
      </c>
      <c r="J111" s="9">
        <f t="shared" si="2"/>
        <v>1</v>
      </c>
      <c r="K111" s="9" t="str">
        <f t="shared" si="3"/>
        <v>OBESITY</v>
      </c>
    </row>
    <row r="112" ht="15.75" customHeight="1">
      <c r="A112" s="9" t="s">
        <v>223</v>
      </c>
      <c r="B112" s="9">
        <v>37.07</v>
      </c>
      <c r="C112" s="9">
        <v>6.14</v>
      </c>
      <c r="D112" s="9" t="s">
        <v>4686</v>
      </c>
      <c r="E112" s="9" t="s">
        <v>4684</v>
      </c>
      <c r="F112" s="9" t="s">
        <v>4684</v>
      </c>
      <c r="G112" s="9" t="s">
        <v>4685</v>
      </c>
      <c r="H112" s="9" t="s">
        <v>4686</v>
      </c>
      <c r="I112" s="9" t="str">
        <f t="shared" si="1"/>
        <v>Yes</v>
      </c>
      <c r="J112" s="9">
        <f t="shared" si="2"/>
        <v>0</v>
      </c>
      <c r="K112" s="9" t="str">
        <f t="shared" si="3"/>
        <v>OBESITY</v>
      </c>
    </row>
    <row r="113" ht="15.75" customHeight="1">
      <c r="A113" s="9" t="s">
        <v>225</v>
      </c>
      <c r="B113" s="9">
        <v>51.51</v>
      </c>
      <c r="C113" s="9">
        <v>6.26</v>
      </c>
      <c r="D113" s="9" t="s">
        <v>4686</v>
      </c>
      <c r="E113" s="9" t="s">
        <v>4684</v>
      </c>
      <c r="F113" s="9" t="s">
        <v>4686</v>
      </c>
      <c r="G113" s="9">
        <v>1.0</v>
      </c>
      <c r="H113" s="9" t="s">
        <v>4686</v>
      </c>
      <c r="I113" s="9" t="str">
        <f t="shared" si="1"/>
        <v>Yes</v>
      </c>
      <c r="J113" s="9">
        <f t="shared" si="2"/>
        <v>1</v>
      </c>
      <c r="K113" s="9" t="str">
        <f t="shared" si="3"/>
        <v>OBESITY</v>
      </c>
    </row>
    <row r="114" ht="15.75" customHeight="1">
      <c r="A114" s="9" t="s">
        <v>227</v>
      </c>
      <c r="B114" s="9">
        <v>34.8</v>
      </c>
      <c r="C114" s="9">
        <v>4.72</v>
      </c>
      <c r="D114" s="9" t="s">
        <v>4686</v>
      </c>
      <c r="E114" s="9" t="s">
        <v>4684</v>
      </c>
      <c r="F114" s="9" t="s">
        <v>4684</v>
      </c>
      <c r="G114" s="9" t="s">
        <v>4685</v>
      </c>
      <c r="H114" s="9" t="s">
        <v>4686</v>
      </c>
      <c r="I114" s="9" t="str">
        <f t="shared" si="1"/>
        <v>Yes</v>
      </c>
      <c r="J114" s="9">
        <f t="shared" si="2"/>
        <v>0</v>
      </c>
      <c r="K114" s="9" t="str">
        <f t="shared" si="3"/>
        <v>OBESITY</v>
      </c>
    </row>
    <row r="115" ht="15.75" customHeight="1">
      <c r="A115" s="9" t="s">
        <v>229</v>
      </c>
      <c r="B115" s="9">
        <v>36.67</v>
      </c>
      <c r="C115" s="9">
        <v>5.18</v>
      </c>
      <c r="D115" s="9" t="s">
        <v>4684</v>
      </c>
      <c r="E115" s="9" t="s">
        <v>4684</v>
      </c>
      <c r="F115" s="9" t="s">
        <v>4684</v>
      </c>
      <c r="G115" s="9">
        <v>1.0</v>
      </c>
      <c r="H115" s="9" t="s">
        <v>4686</v>
      </c>
      <c r="I115" s="9" t="str">
        <f t="shared" si="1"/>
        <v>Yes</v>
      </c>
      <c r="J115" s="9">
        <f t="shared" si="2"/>
        <v>1</v>
      </c>
      <c r="K115" s="9" t="str">
        <f t="shared" si="3"/>
        <v>OBESITY</v>
      </c>
    </row>
    <row r="116" ht="15.75" customHeight="1">
      <c r="A116" s="9" t="s">
        <v>231</v>
      </c>
      <c r="B116" s="9">
        <v>30.9</v>
      </c>
      <c r="C116" s="9">
        <v>9.4</v>
      </c>
      <c r="D116" s="9" t="s">
        <v>4684</v>
      </c>
      <c r="E116" s="9" t="s">
        <v>4684</v>
      </c>
      <c r="F116" s="9" t="s">
        <v>4684</v>
      </c>
      <c r="G116" s="9">
        <v>2.0</v>
      </c>
      <c r="H116" s="9" t="s">
        <v>4686</v>
      </c>
      <c r="I116" s="9" t="str">
        <f t="shared" si="1"/>
        <v>Yes</v>
      </c>
      <c r="J116" s="9">
        <f t="shared" si="2"/>
        <v>2</v>
      </c>
      <c r="K116" s="9" t="str">
        <f t="shared" si="3"/>
        <v>OBESITY</v>
      </c>
    </row>
    <row r="117" ht="15.75" customHeight="1">
      <c r="A117" s="9" t="s">
        <v>233</v>
      </c>
      <c r="B117" s="9">
        <v>30.495</v>
      </c>
      <c r="C117" s="9">
        <v>6.29</v>
      </c>
      <c r="D117" s="9" t="s">
        <v>4684</v>
      </c>
      <c r="E117" s="9" t="s">
        <v>4684</v>
      </c>
      <c r="F117" s="9" t="s">
        <v>4684</v>
      </c>
      <c r="G117" s="9" t="s">
        <v>4685</v>
      </c>
      <c r="H117" s="9" t="s">
        <v>4686</v>
      </c>
      <c r="I117" s="9" t="str">
        <f t="shared" si="1"/>
        <v>Yes</v>
      </c>
      <c r="J117" s="9">
        <f t="shared" si="2"/>
        <v>0</v>
      </c>
      <c r="K117" s="9" t="str">
        <f t="shared" si="3"/>
        <v>OBESITY</v>
      </c>
    </row>
    <row r="118" ht="15.75" customHeight="1">
      <c r="A118" s="9" t="s">
        <v>235</v>
      </c>
      <c r="B118" s="9">
        <v>44.88</v>
      </c>
      <c r="C118" s="9">
        <v>6.04</v>
      </c>
      <c r="D118" s="9" t="s">
        <v>4684</v>
      </c>
      <c r="E118" s="9" t="s">
        <v>4684</v>
      </c>
      <c r="F118" s="9" t="s">
        <v>4686</v>
      </c>
      <c r="G118" s="9">
        <v>1.0</v>
      </c>
      <c r="H118" s="9" t="s">
        <v>4686</v>
      </c>
      <c r="I118" s="9" t="str">
        <f t="shared" si="1"/>
        <v>Yes</v>
      </c>
      <c r="J118" s="9">
        <f t="shared" si="2"/>
        <v>1</v>
      </c>
      <c r="K118" s="9" t="str">
        <f t="shared" si="3"/>
        <v>OBESITY</v>
      </c>
    </row>
    <row r="119" ht="15.75" customHeight="1">
      <c r="A119" s="9" t="s">
        <v>237</v>
      </c>
      <c r="B119" s="9">
        <v>44.32</v>
      </c>
      <c r="C119" s="9">
        <v>10.55</v>
      </c>
      <c r="D119" s="9" t="s">
        <v>4684</v>
      </c>
      <c r="E119" s="9" t="s">
        <v>4684</v>
      </c>
      <c r="F119" s="9" t="s">
        <v>4684</v>
      </c>
      <c r="G119" s="9" t="s">
        <v>4685</v>
      </c>
      <c r="H119" s="9" t="s">
        <v>4686</v>
      </c>
      <c r="I119" s="9" t="str">
        <f t="shared" si="1"/>
        <v>Yes</v>
      </c>
      <c r="J119" s="9">
        <f t="shared" si="2"/>
        <v>0</v>
      </c>
      <c r="K119" s="9" t="str">
        <f t="shared" si="3"/>
        <v>OBESITY</v>
      </c>
    </row>
    <row r="120" ht="15.75" customHeight="1">
      <c r="A120" s="9" t="s">
        <v>239</v>
      </c>
      <c r="B120" s="9">
        <v>46.39</v>
      </c>
      <c r="C120" s="9">
        <v>5.09</v>
      </c>
      <c r="D120" s="9" t="s">
        <v>4684</v>
      </c>
      <c r="E120" s="9" t="s">
        <v>4684</v>
      </c>
      <c r="F120" s="9" t="s">
        <v>4684</v>
      </c>
      <c r="G120" s="9" t="s">
        <v>4685</v>
      </c>
      <c r="H120" s="9" t="s">
        <v>4686</v>
      </c>
      <c r="I120" s="9" t="str">
        <f t="shared" si="1"/>
        <v>Yes</v>
      </c>
      <c r="J120" s="9">
        <f t="shared" si="2"/>
        <v>0</v>
      </c>
      <c r="K120" s="9" t="str">
        <f t="shared" si="3"/>
        <v>OBESITY</v>
      </c>
    </row>
    <row r="121" ht="15.75" customHeight="1">
      <c r="A121" s="9" t="s">
        <v>241</v>
      </c>
      <c r="B121" s="9">
        <v>42.13</v>
      </c>
      <c r="C121" s="9">
        <v>5.2</v>
      </c>
      <c r="D121" s="9" t="s">
        <v>4686</v>
      </c>
      <c r="E121" s="9" t="s">
        <v>4684</v>
      </c>
      <c r="F121" s="9" t="s">
        <v>4684</v>
      </c>
      <c r="G121" s="9">
        <v>1.0</v>
      </c>
      <c r="H121" s="9" t="s">
        <v>4686</v>
      </c>
      <c r="I121" s="9" t="str">
        <f t="shared" si="1"/>
        <v>Yes</v>
      </c>
      <c r="J121" s="9">
        <f t="shared" si="2"/>
        <v>1</v>
      </c>
      <c r="K121" s="9" t="str">
        <f t="shared" si="3"/>
        <v>OBESITY</v>
      </c>
    </row>
    <row r="122" ht="15.75" customHeight="1">
      <c r="A122" s="9" t="s">
        <v>243</v>
      </c>
      <c r="B122" s="9">
        <v>30.78</v>
      </c>
      <c r="C122" s="9">
        <v>8.45</v>
      </c>
      <c r="D122" s="9" t="s">
        <v>4686</v>
      </c>
      <c r="E122" s="9" t="s">
        <v>4684</v>
      </c>
      <c r="F122" s="9" t="s">
        <v>4684</v>
      </c>
      <c r="G122" s="9" t="s">
        <v>4685</v>
      </c>
      <c r="H122" s="9" t="s">
        <v>4686</v>
      </c>
      <c r="I122" s="9" t="str">
        <f t="shared" si="1"/>
        <v>Yes</v>
      </c>
      <c r="J122" s="9">
        <f t="shared" si="2"/>
        <v>0</v>
      </c>
      <c r="K122" s="9" t="str">
        <f t="shared" si="3"/>
        <v>OBESITY</v>
      </c>
    </row>
    <row r="123" ht="15.75" customHeight="1">
      <c r="A123" s="9" t="s">
        <v>245</v>
      </c>
      <c r="B123" s="9">
        <v>31.35</v>
      </c>
      <c r="C123" s="9">
        <v>9.54</v>
      </c>
      <c r="D123" s="9" t="s">
        <v>4684</v>
      </c>
      <c r="E123" s="9" t="s">
        <v>4684</v>
      </c>
      <c r="F123" s="9" t="s">
        <v>4684</v>
      </c>
      <c r="G123" s="9" t="s">
        <v>4685</v>
      </c>
      <c r="H123" s="9" t="s">
        <v>4686</v>
      </c>
      <c r="I123" s="9" t="str">
        <f t="shared" si="1"/>
        <v>Yes</v>
      </c>
      <c r="J123" s="9">
        <f t="shared" si="2"/>
        <v>0</v>
      </c>
      <c r="K123" s="9" t="str">
        <f t="shared" si="3"/>
        <v>OBESITY</v>
      </c>
    </row>
    <row r="124" ht="15.75" customHeight="1">
      <c r="A124" s="9" t="s">
        <v>247</v>
      </c>
      <c r="B124" s="9">
        <v>41.46</v>
      </c>
      <c r="C124" s="9">
        <v>4.99</v>
      </c>
      <c r="D124" s="9" t="s">
        <v>4686</v>
      </c>
      <c r="E124" s="9" t="s">
        <v>4684</v>
      </c>
      <c r="F124" s="9" t="s">
        <v>4684</v>
      </c>
      <c r="G124" s="9">
        <v>2.0</v>
      </c>
      <c r="H124" s="9" t="s">
        <v>4686</v>
      </c>
      <c r="I124" s="9" t="str">
        <f t="shared" si="1"/>
        <v>Yes</v>
      </c>
      <c r="J124" s="9">
        <f t="shared" si="2"/>
        <v>2</v>
      </c>
      <c r="K124" s="9" t="str">
        <f t="shared" si="3"/>
        <v>OBESITY</v>
      </c>
    </row>
    <row r="125" ht="15.75" customHeight="1">
      <c r="A125" s="9" t="s">
        <v>249</v>
      </c>
      <c r="B125" s="9">
        <v>48.0</v>
      </c>
      <c r="C125" s="9">
        <v>10.54</v>
      </c>
      <c r="D125" s="9" t="s">
        <v>4684</v>
      </c>
      <c r="E125" s="9" t="s">
        <v>4684</v>
      </c>
      <c r="F125" s="9" t="s">
        <v>4684</v>
      </c>
      <c r="G125" s="9" t="s">
        <v>4685</v>
      </c>
      <c r="H125" s="9" t="s">
        <v>4686</v>
      </c>
      <c r="I125" s="9" t="str">
        <f t="shared" si="1"/>
        <v>Yes</v>
      </c>
      <c r="J125" s="9">
        <f t="shared" si="2"/>
        <v>0</v>
      </c>
      <c r="K125" s="9" t="str">
        <f t="shared" si="3"/>
        <v>OBESITY</v>
      </c>
    </row>
    <row r="126" ht="15.75" customHeight="1">
      <c r="A126" s="9" t="s">
        <v>251</v>
      </c>
      <c r="B126" s="9">
        <v>49.13</v>
      </c>
      <c r="C126" s="9">
        <v>4.54</v>
      </c>
      <c r="D126" s="9" t="s">
        <v>4684</v>
      </c>
      <c r="E126" s="9" t="s">
        <v>4684</v>
      </c>
      <c r="F126" s="9" t="s">
        <v>4684</v>
      </c>
      <c r="G126" s="9" t="s">
        <v>4685</v>
      </c>
      <c r="H126" s="9" t="s">
        <v>4686</v>
      </c>
      <c r="I126" s="9" t="str">
        <f t="shared" si="1"/>
        <v>Yes</v>
      </c>
      <c r="J126" s="9">
        <f t="shared" si="2"/>
        <v>0</v>
      </c>
      <c r="K126" s="9" t="str">
        <f t="shared" si="3"/>
        <v>OBESITY</v>
      </c>
    </row>
    <row r="127" ht="15.75" customHeight="1">
      <c r="A127" s="9" t="s">
        <v>253</v>
      </c>
      <c r="B127" s="9">
        <v>37.8</v>
      </c>
      <c r="C127" s="9">
        <v>6.29</v>
      </c>
      <c r="D127" s="9" t="s">
        <v>4684</v>
      </c>
      <c r="E127" s="9" t="s">
        <v>4684</v>
      </c>
      <c r="F127" s="9" t="s">
        <v>4684</v>
      </c>
      <c r="G127" s="9">
        <v>1.0</v>
      </c>
      <c r="H127" s="9" t="s">
        <v>4686</v>
      </c>
      <c r="I127" s="9" t="str">
        <f t="shared" si="1"/>
        <v>Yes</v>
      </c>
      <c r="J127" s="9">
        <f t="shared" si="2"/>
        <v>1</v>
      </c>
      <c r="K127" s="9" t="str">
        <f t="shared" si="3"/>
        <v>OBESITY</v>
      </c>
    </row>
    <row r="128" ht="15.75" customHeight="1">
      <c r="A128" s="9" t="s">
        <v>255</v>
      </c>
      <c r="B128" s="9">
        <v>38.3</v>
      </c>
      <c r="C128" s="9">
        <v>9.51</v>
      </c>
      <c r="D128" s="9" t="s">
        <v>4684</v>
      </c>
      <c r="E128" s="9" t="s">
        <v>4684</v>
      </c>
      <c r="F128" s="9" t="s">
        <v>4684</v>
      </c>
      <c r="G128" s="9" t="s">
        <v>4685</v>
      </c>
      <c r="H128" s="9" t="s">
        <v>4686</v>
      </c>
      <c r="I128" s="9" t="str">
        <f t="shared" si="1"/>
        <v>Yes</v>
      </c>
      <c r="J128" s="9">
        <f t="shared" si="2"/>
        <v>0</v>
      </c>
      <c r="K128" s="9" t="str">
        <f t="shared" si="3"/>
        <v>OBESITY</v>
      </c>
    </row>
    <row r="129" ht="15.75" customHeight="1">
      <c r="A129" s="9" t="s">
        <v>257</v>
      </c>
      <c r="B129" s="9">
        <v>32.775</v>
      </c>
      <c r="C129" s="9">
        <v>4.72</v>
      </c>
      <c r="D129" s="9" t="s">
        <v>4684</v>
      </c>
      <c r="E129" s="9" t="s">
        <v>4684</v>
      </c>
      <c r="F129" s="9" t="s">
        <v>4684</v>
      </c>
      <c r="G129" s="9" t="s">
        <v>4685</v>
      </c>
      <c r="H129" s="9" t="s">
        <v>4686</v>
      </c>
      <c r="I129" s="9" t="str">
        <f t="shared" si="1"/>
        <v>Yes</v>
      </c>
      <c r="J129" s="9">
        <f t="shared" si="2"/>
        <v>0</v>
      </c>
      <c r="K129" s="9" t="str">
        <f t="shared" si="3"/>
        <v>OBESITY</v>
      </c>
    </row>
    <row r="130" ht="15.75" customHeight="1">
      <c r="A130" s="9" t="s">
        <v>259</v>
      </c>
      <c r="B130" s="9">
        <v>34.2</v>
      </c>
      <c r="C130" s="9">
        <v>5.91</v>
      </c>
      <c r="D130" s="9" t="s">
        <v>4686</v>
      </c>
      <c r="E130" s="9" t="s">
        <v>4684</v>
      </c>
      <c r="F130" s="9" t="s">
        <v>4684</v>
      </c>
      <c r="G130" s="9" t="s">
        <v>4685</v>
      </c>
      <c r="H130" s="9" t="s">
        <v>4686</v>
      </c>
      <c r="I130" s="9" t="str">
        <f t="shared" si="1"/>
        <v>Yes</v>
      </c>
      <c r="J130" s="9">
        <f t="shared" si="2"/>
        <v>0</v>
      </c>
      <c r="K130" s="9" t="str">
        <f t="shared" si="3"/>
        <v>OBESITY</v>
      </c>
    </row>
    <row r="131" ht="15.75" customHeight="1">
      <c r="A131" s="9" t="s">
        <v>261</v>
      </c>
      <c r="B131" s="9">
        <v>30.2</v>
      </c>
      <c r="C131" s="9">
        <v>9.58</v>
      </c>
      <c r="D131" s="9" t="s">
        <v>4684</v>
      </c>
      <c r="E131" s="9" t="s">
        <v>4684</v>
      </c>
      <c r="F131" s="9" t="s">
        <v>4684</v>
      </c>
      <c r="G131" s="9" t="s">
        <v>4685</v>
      </c>
      <c r="H131" s="9" t="s">
        <v>4686</v>
      </c>
      <c r="I131" s="9" t="str">
        <f t="shared" si="1"/>
        <v>Yes</v>
      </c>
      <c r="J131" s="9">
        <f t="shared" si="2"/>
        <v>0</v>
      </c>
      <c r="K131" s="9" t="str">
        <f t="shared" si="3"/>
        <v>OBESITY</v>
      </c>
    </row>
    <row r="132" ht="15.75" customHeight="1">
      <c r="A132" s="9" t="s">
        <v>263</v>
      </c>
      <c r="B132" s="9">
        <v>48.32</v>
      </c>
      <c r="C132" s="9">
        <v>5.77</v>
      </c>
      <c r="D132" s="9" t="s">
        <v>4684</v>
      </c>
      <c r="E132" s="9" t="s">
        <v>4684</v>
      </c>
      <c r="F132" s="9" t="s">
        <v>4684</v>
      </c>
      <c r="G132" s="9" t="s">
        <v>4685</v>
      </c>
      <c r="H132" s="9" t="s">
        <v>4686</v>
      </c>
      <c r="I132" s="9" t="str">
        <f t="shared" si="1"/>
        <v>Yes</v>
      </c>
      <c r="J132" s="9">
        <f t="shared" si="2"/>
        <v>0</v>
      </c>
      <c r="K132" s="9" t="str">
        <f t="shared" si="3"/>
        <v>OBESITY</v>
      </c>
    </row>
    <row r="133" ht="15.75" customHeight="1">
      <c r="A133" s="9" t="s">
        <v>265</v>
      </c>
      <c r="B133" s="9">
        <v>44.86</v>
      </c>
      <c r="C133" s="9">
        <v>4.38</v>
      </c>
      <c r="D133" s="9" t="s">
        <v>4686</v>
      </c>
      <c r="E133" s="9" t="s">
        <v>4684</v>
      </c>
      <c r="F133" s="9" t="s">
        <v>4684</v>
      </c>
      <c r="G133" s="9" t="s">
        <v>4685</v>
      </c>
      <c r="H133" s="9" t="s">
        <v>4686</v>
      </c>
      <c r="I133" s="9" t="str">
        <f t="shared" si="1"/>
        <v>Yes</v>
      </c>
      <c r="J133" s="9">
        <f t="shared" si="2"/>
        <v>0</v>
      </c>
      <c r="K133" s="9" t="str">
        <f t="shared" si="3"/>
        <v>OBESITY</v>
      </c>
    </row>
    <row r="134" ht="15.75" customHeight="1">
      <c r="A134" s="9" t="s">
        <v>267</v>
      </c>
      <c r="B134" s="9">
        <v>52.15</v>
      </c>
      <c r="C134" s="9">
        <v>5.65</v>
      </c>
      <c r="D134" s="9" t="s">
        <v>4684</v>
      </c>
      <c r="E134" s="9" t="s">
        <v>4684</v>
      </c>
      <c r="F134" s="9" t="s">
        <v>4684</v>
      </c>
      <c r="G134" s="9">
        <v>1.0</v>
      </c>
      <c r="H134" s="9" t="s">
        <v>4686</v>
      </c>
      <c r="I134" s="9" t="str">
        <f t="shared" si="1"/>
        <v>Yes</v>
      </c>
      <c r="J134" s="9">
        <f t="shared" si="2"/>
        <v>1</v>
      </c>
      <c r="K134" s="9" t="str">
        <f t="shared" si="3"/>
        <v>OBESITY</v>
      </c>
    </row>
    <row r="135" ht="15.75" customHeight="1">
      <c r="A135" s="9" t="s">
        <v>269</v>
      </c>
      <c r="B135" s="9">
        <v>41.12</v>
      </c>
      <c r="C135" s="9">
        <v>7.54</v>
      </c>
      <c r="D135" s="9" t="s">
        <v>4686</v>
      </c>
      <c r="E135" s="9" t="s">
        <v>4684</v>
      </c>
      <c r="F135" s="9" t="s">
        <v>4684</v>
      </c>
      <c r="G135" s="9" t="s">
        <v>4685</v>
      </c>
      <c r="H135" s="9" t="s">
        <v>4686</v>
      </c>
      <c r="I135" s="9" t="str">
        <f t="shared" si="1"/>
        <v>Yes</v>
      </c>
      <c r="J135" s="9">
        <f t="shared" si="2"/>
        <v>0</v>
      </c>
      <c r="K135" s="9" t="str">
        <f t="shared" si="3"/>
        <v>OBESITY</v>
      </c>
    </row>
    <row r="136" ht="15.75" customHeight="1">
      <c r="A136" s="9" t="s">
        <v>271</v>
      </c>
      <c r="B136" s="9">
        <v>38.39</v>
      </c>
      <c r="C136" s="9">
        <v>5.11</v>
      </c>
      <c r="D136" s="9" t="s">
        <v>4686</v>
      </c>
      <c r="E136" s="9" t="s">
        <v>4684</v>
      </c>
      <c r="F136" s="9" t="s">
        <v>4684</v>
      </c>
      <c r="G136" s="9">
        <v>1.0</v>
      </c>
      <c r="H136" s="9" t="s">
        <v>4686</v>
      </c>
      <c r="I136" s="9" t="str">
        <f t="shared" si="1"/>
        <v>Yes</v>
      </c>
      <c r="J136" s="9">
        <f t="shared" si="2"/>
        <v>1</v>
      </c>
      <c r="K136" s="9" t="str">
        <f t="shared" si="3"/>
        <v>OBESITY</v>
      </c>
    </row>
    <row r="137" ht="15.75" customHeight="1">
      <c r="A137" s="9" t="s">
        <v>273</v>
      </c>
      <c r="B137" s="9">
        <v>46.85</v>
      </c>
      <c r="C137" s="9">
        <v>4.25</v>
      </c>
      <c r="D137" s="9" t="s">
        <v>4684</v>
      </c>
      <c r="E137" s="9" t="s">
        <v>4684</v>
      </c>
      <c r="F137" s="9" t="s">
        <v>4686</v>
      </c>
      <c r="G137" s="9">
        <v>1.0</v>
      </c>
      <c r="H137" s="9" t="s">
        <v>4686</v>
      </c>
      <c r="I137" s="9" t="str">
        <f t="shared" si="1"/>
        <v>Yes</v>
      </c>
      <c r="J137" s="9">
        <f t="shared" si="2"/>
        <v>1</v>
      </c>
      <c r="K137" s="9" t="str">
        <f t="shared" si="3"/>
        <v>OBESITY</v>
      </c>
    </row>
    <row r="138" ht="15.75" customHeight="1">
      <c r="A138" s="9" t="s">
        <v>275</v>
      </c>
      <c r="B138" s="9">
        <v>42.24</v>
      </c>
      <c r="C138" s="9">
        <v>5.55</v>
      </c>
      <c r="D138" s="9" t="s">
        <v>4684</v>
      </c>
      <c r="E138" s="9" t="s">
        <v>4686</v>
      </c>
      <c r="F138" s="9" t="s">
        <v>4684</v>
      </c>
      <c r="G138" s="9">
        <v>1.0</v>
      </c>
      <c r="H138" s="9" t="s">
        <v>4686</v>
      </c>
      <c r="I138" s="9" t="str">
        <f t="shared" si="1"/>
        <v>Yes</v>
      </c>
      <c r="J138" s="9">
        <f t="shared" si="2"/>
        <v>1</v>
      </c>
      <c r="K138" s="9" t="str">
        <f t="shared" si="3"/>
        <v>OBESITY</v>
      </c>
    </row>
    <row r="139" ht="15.75" customHeight="1">
      <c r="A139" s="9" t="s">
        <v>277</v>
      </c>
      <c r="B139" s="9">
        <v>34.39</v>
      </c>
      <c r="C139" s="9">
        <v>5.78</v>
      </c>
      <c r="D139" s="9" t="s">
        <v>4684</v>
      </c>
      <c r="E139" s="9" t="s">
        <v>4684</v>
      </c>
      <c r="F139" s="9" t="s">
        <v>4684</v>
      </c>
      <c r="G139" s="9" t="s">
        <v>4685</v>
      </c>
      <c r="H139" s="9" t="s">
        <v>4686</v>
      </c>
      <c r="I139" s="9" t="str">
        <f t="shared" si="1"/>
        <v>Yes</v>
      </c>
      <c r="J139" s="9">
        <f t="shared" si="2"/>
        <v>0</v>
      </c>
      <c r="K139" s="9" t="str">
        <f t="shared" si="3"/>
        <v>OBESITY</v>
      </c>
    </row>
    <row r="140" ht="15.75" customHeight="1">
      <c r="A140" s="9" t="s">
        <v>279</v>
      </c>
      <c r="B140" s="9">
        <v>42.89</v>
      </c>
      <c r="C140" s="9">
        <v>5.28</v>
      </c>
      <c r="D140" s="9" t="s">
        <v>4686</v>
      </c>
      <c r="E140" s="9" t="s">
        <v>4684</v>
      </c>
      <c r="F140" s="9" t="s">
        <v>4684</v>
      </c>
      <c r="G140" s="9" t="s">
        <v>4685</v>
      </c>
      <c r="H140" s="9" t="s">
        <v>4686</v>
      </c>
      <c r="I140" s="9" t="str">
        <f t="shared" si="1"/>
        <v>Yes</v>
      </c>
      <c r="J140" s="9">
        <f t="shared" si="2"/>
        <v>0</v>
      </c>
      <c r="K140" s="9" t="str">
        <f t="shared" si="3"/>
        <v>OBESITY</v>
      </c>
    </row>
    <row r="141" ht="15.75" customHeight="1">
      <c r="A141" s="9" t="s">
        <v>281</v>
      </c>
      <c r="B141" s="9">
        <v>36.3</v>
      </c>
      <c r="C141" s="9">
        <v>5.39</v>
      </c>
      <c r="D141" s="9" t="s">
        <v>4684</v>
      </c>
      <c r="E141" s="9" t="s">
        <v>4684</v>
      </c>
      <c r="F141" s="9" t="s">
        <v>4684</v>
      </c>
      <c r="G141" s="9" t="s">
        <v>4685</v>
      </c>
      <c r="H141" s="9" t="s">
        <v>4686</v>
      </c>
      <c r="I141" s="9" t="str">
        <f t="shared" si="1"/>
        <v>Yes</v>
      </c>
      <c r="J141" s="9">
        <f t="shared" si="2"/>
        <v>0</v>
      </c>
      <c r="K141" s="9" t="str">
        <f t="shared" si="3"/>
        <v>OBESITY</v>
      </c>
    </row>
    <row r="142" ht="15.75" customHeight="1">
      <c r="A142" s="9" t="s">
        <v>283</v>
      </c>
      <c r="B142" s="9">
        <v>35.2</v>
      </c>
      <c r="C142" s="9">
        <v>8.01</v>
      </c>
      <c r="D142" s="9" t="s">
        <v>4686</v>
      </c>
      <c r="E142" s="9" t="s">
        <v>4684</v>
      </c>
      <c r="F142" s="9" t="s">
        <v>4684</v>
      </c>
      <c r="G142" s="9">
        <v>1.0</v>
      </c>
      <c r="H142" s="9" t="s">
        <v>4686</v>
      </c>
      <c r="I142" s="9" t="str">
        <f t="shared" si="1"/>
        <v>Yes</v>
      </c>
      <c r="J142" s="9">
        <f t="shared" si="2"/>
        <v>1</v>
      </c>
      <c r="K142" s="9" t="str">
        <f t="shared" si="3"/>
        <v>OBESITY</v>
      </c>
    </row>
    <row r="143" ht="15.75" customHeight="1">
      <c r="A143" s="9" t="s">
        <v>285</v>
      </c>
      <c r="B143" s="9">
        <v>53.62</v>
      </c>
      <c r="C143" s="9">
        <v>5.21</v>
      </c>
      <c r="D143" s="9" t="s">
        <v>4684</v>
      </c>
      <c r="E143" s="9" t="s">
        <v>4684</v>
      </c>
      <c r="F143" s="9" t="s">
        <v>4684</v>
      </c>
      <c r="G143" s="9" t="s">
        <v>4685</v>
      </c>
      <c r="H143" s="9" t="s">
        <v>4686</v>
      </c>
      <c r="I143" s="9" t="str">
        <f t="shared" si="1"/>
        <v>Yes</v>
      </c>
      <c r="J143" s="9">
        <f t="shared" si="2"/>
        <v>0</v>
      </c>
      <c r="K143" s="9" t="str">
        <f t="shared" si="3"/>
        <v>OBESITY</v>
      </c>
    </row>
    <row r="144" ht="15.75" customHeight="1">
      <c r="A144" s="9" t="s">
        <v>287</v>
      </c>
      <c r="B144" s="9">
        <v>36.67</v>
      </c>
      <c r="C144" s="9">
        <v>6.27</v>
      </c>
      <c r="D144" s="9" t="s">
        <v>4684</v>
      </c>
      <c r="E144" s="9" t="s">
        <v>4684</v>
      </c>
      <c r="F144" s="9" t="s">
        <v>4684</v>
      </c>
      <c r="G144" s="9" t="s">
        <v>4685</v>
      </c>
      <c r="H144" s="9" t="s">
        <v>4686</v>
      </c>
      <c r="I144" s="9" t="str">
        <f t="shared" si="1"/>
        <v>Yes</v>
      </c>
      <c r="J144" s="9">
        <f t="shared" si="2"/>
        <v>0</v>
      </c>
      <c r="K144" s="9" t="str">
        <f t="shared" si="3"/>
        <v>OBESITY</v>
      </c>
    </row>
    <row r="145" ht="15.75" customHeight="1">
      <c r="A145" s="9" t="s">
        <v>289</v>
      </c>
      <c r="B145" s="9">
        <v>33.4</v>
      </c>
      <c r="C145" s="9">
        <v>10.73</v>
      </c>
      <c r="D145" s="9" t="s">
        <v>4686</v>
      </c>
      <c r="E145" s="9" t="s">
        <v>4684</v>
      </c>
      <c r="F145" s="9" t="s">
        <v>4684</v>
      </c>
      <c r="G145" s="9">
        <v>1.0</v>
      </c>
      <c r="H145" s="9" t="s">
        <v>4686</v>
      </c>
      <c r="I145" s="9" t="str">
        <f t="shared" si="1"/>
        <v>Yes</v>
      </c>
      <c r="J145" s="9">
        <f t="shared" si="2"/>
        <v>1</v>
      </c>
      <c r="K145" s="9" t="str">
        <f t="shared" si="3"/>
        <v>OBESITY</v>
      </c>
    </row>
    <row r="146" ht="15.75" customHeight="1">
      <c r="A146" s="9" t="s">
        <v>291</v>
      </c>
      <c r="B146" s="9">
        <v>42.71</v>
      </c>
      <c r="C146" s="9">
        <v>10.52</v>
      </c>
      <c r="D146" s="9" t="s">
        <v>4684</v>
      </c>
      <c r="E146" s="9" t="s">
        <v>4684</v>
      </c>
      <c r="F146" s="9" t="s">
        <v>4684</v>
      </c>
      <c r="G146" s="9" t="s">
        <v>4685</v>
      </c>
      <c r="H146" s="9" t="s">
        <v>4686</v>
      </c>
      <c r="I146" s="9" t="str">
        <f t="shared" si="1"/>
        <v>Yes</v>
      </c>
      <c r="J146" s="9">
        <f t="shared" si="2"/>
        <v>0</v>
      </c>
      <c r="K146" s="9" t="str">
        <f t="shared" si="3"/>
        <v>OBESITY</v>
      </c>
    </row>
    <row r="147" ht="15.75" customHeight="1">
      <c r="A147" s="9" t="s">
        <v>293</v>
      </c>
      <c r="B147" s="9">
        <v>41.52</v>
      </c>
      <c r="C147" s="9">
        <v>11.82</v>
      </c>
      <c r="D147" s="9" t="s">
        <v>4686</v>
      </c>
      <c r="E147" s="9" t="s">
        <v>4684</v>
      </c>
      <c r="F147" s="9" t="s">
        <v>4684</v>
      </c>
      <c r="G147" s="9">
        <v>2.0</v>
      </c>
      <c r="H147" s="9" t="s">
        <v>4686</v>
      </c>
      <c r="I147" s="9" t="str">
        <f t="shared" si="1"/>
        <v>Yes</v>
      </c>
      <c r="J147" s="9">
        <f t="shared" si="2"/>
        <v>2</v>
      </c>
      <c r="K147" s="9" t="str">
        <f t="shared" si="3"/>
        <v>OBESITY</v>
      </c>
    </row>
    <row r="148" ht="15.75" customHeight="1">
      <c r="A148" s="9" t="s">
        <v>295</v>
      </c>
      <c r="B148" s="9">
        <v>39.4</v>
      </c>
      <c r="C148" s="9">
        <v>6.76</v>
      </c>
      <c r="D148" s="9" t="s">
        <v>4684</v>
      </c>
      <c r="E148" s="9" t="s">
        <v>4684</v>
      </c>
      <c r="F148" s="9" t="s">
        <v>4684</v>
      </c>
      <c r="G148" s="9" t="s">
        <v>4685</v>
      </c>
      <c r="H148" s="9" t="s">
        <v>4686</v>
      </c>
      <c r="I148" s="9" t="str">
        <f t="shared" si="1"/>
        <v>Yes</v>
      </c>
      <c r="J148" s="9">
        <f t="shared" si="2"/>
        <v>0</v>
      </c>
      <c r="K148" s="9" t="str">
        <f t="shared" si="3"/>
        <v>OBESITY</v>
      </c>
    </row>
    <row r="149" ht="15.75" customHeight="1">
      <c r="A149" s="9" t="s">
        <v>297</v>
      </c>
      <c r="B149" s="9">
        <v>46.45</v>
      </c>
      <c r="C149" s="9">
        <v>5.62</v>
      </c>
      <c r="D149" s="9" t="s">
        <v>4684</v>
      </c>
      <c r="E149" s="9" t="s">
        <v>4684</v>
      </c>
      <c r="F149" s="9" t="s">
        <v>4684</v>
      </c>
      <c r="G149" s="9" t="s">
        <v>4685</v>
      </c>
      <c r="H149" s="9" t="s">
        <v>4686</v>
      </c>
      <c r="I149" s="9" t="str">
        <f t="shared" si="1"/>
        <v>Yes</v>
      </c>
      <c r="J149" s="9">
        <f t="shared" si="2"/>
        <v>0</v>
      </c>
      <c r="K149" s="9" t="str">
        <f t="shared" si="3"/>
        <v>OBESITY</v>
      </c>
    </row>
    <row r="150" ht="15.75" customHeight="1">
      <c r="A150" s="9" t="s">
        <v>299</v>
      </c>
      <c r="B150" s="9">
        <v>35.75</v>
      </c>
      <c r="C150" s="9">
        <v>4.19</v>
      </c>
      <c r="D150" s="9" t="s">
        <v>4684</v>
      </c>
      <c r="E150" s="9" t="s">
        <v>4684</v>
      </c>
      <c r="F150" s="9" t="s">
        <v>4684</v>
      </c>
      <c r="G150" s="9" t="s">
        <v>4685</v>
      </c>
      <c r="H150" s="9" t="s">
        <v>4686</v>
      </c>
      <c r="I150" s="9" t="str">
        <f t="shared" si="1"/>
        <v>Yes</v>
      </c>
      <c r="J150" s="9">
        <f t="shared" si="2"/>
        <v>0</v>
      </c>
      <c r="K150" s="9" t="str">
        <f t="shared" si="3"/>
        <v>OBESITY</v>
      </c>
    </row>
    <row r="151" ht="15.75" customHeight="1">
      <c r="A151" s="9" t="s">
        <v>301</v>
      </c>
      <c r="B151" s="9">
        <v>26.07</v>
      </c>
      <c r="C151" s="9">
        <v>5.32</v>
      </c>
      <c r="D151" s="9" t="s">
        <v>4684</v>
      </c>
      <c r="E151" s="9" t="s">
        <v>4684</v>
      </c>
      <c r="F151" s="9" t="s">
        <v>4684</v>
      </c>
      <c r="G151" s="9" t="s">
        <v>4685</v>
      </c>
      <c r="H151" s="9" t="s">
        <v>4686</v>
      </c>
      <c r="I151" s="9" t="str">
        <f t="shared" si="1"/>
        <v>Yes</v>
      </c>
      <c r="J151" s="9">
        <f t="shared" si="2"/>
        <v>0</v>
      </c>
      <c r="K151" s="9" t="str">
        <f t="shared" si="3"/>
        <v>OVERWEIGHT</v>
      </c>
    </row>
    <row r="152" ht="15.75" customHeight="1">
      <c r="A152" s="9" t="s">
        <v>303</v>
      </c>
      <c r="B152" s="9">
        <v>36.54</v>
      </c>
      <c r="C152" s="9">
        <v>4.46</v>
      </c>
      <c r="D152" s="9" t="s">
        <v>4686</v>
      </c>
      <c r="E152" s="9" t="s">
        <v>4684</v>
      </c>
      <c r="F152" s="9" t="s">
        <v>4684</v>
      </c>
      <c r="G152" s="9">
        <v>1.0</v>
      </c>
      <c r="H152" s="9" t="s">
        <v>4686</v>
      </c>
      <c r="I152" s="9" t="str">
        <f t="shared" si="1"/>
        <v>Yes</v>
      </c>
      <c r="J152" s="9">
        <f t="shared" si="2"/>
        <v>1</v>
      </c>
      <c r="K152" s="9" t="str">
        <f t="shared" si="3"/>
        <v>OBESITY</v>
      </c>
    </row>
    <row r="153" ht="15.75" customHeight="1">
      <c r="A153" s="9" t="s">
        <v>305</v>
      </c>
      <c r="B153" s="9">
        <v>51.64</v>
      </c>
      <c r="C153" s="9">
        <v>5.65</v>
      </c>
      <c r="D153" s="9" t="s">
        <v>4684</v>
      </c>
      <c r="E153" s="9" t="s">
        <v>4684</v>
      </c>
      <c r="F153" s="9" t="s">
        <v>4684</v>
      </c>
      <c r="G153" s="9" t="s">
        <v>4685</v>
      </c>
      <c r="H153" s="9" t="s">
        <v>4686</v>
      </c>
      <c r="I153" s="9" t="str">
        <f t="shared" si="1"/>
        <v>Yes</v>
      </c>
      <c r="J153" s="9">
        <f t="shared" si="2"/>
        <v>0</v>
      </c>
      <c r="K153" s="9" t="str">
        <f t="shared" si="3"/>
        <v>OBESITY</v>
      </c>
    </row>
    <row r="154" ht="15.75" customHeight="1">
      <c r="A154" s="9" t="s">
        <v>307</v>
      </c>
      <c r="B154" s="9">
        <v>42.83</v>
      </c>
      <c r="C154" s="9">
        <v>6.04</v>
      </c>
      <c r="D154" s="9" t="s">
        <v>4684</v>
      </c>
      <c r="E154" s="9" t="s">
        <v>4684</v>
      </c>
      <c r="F154" s="9" t="s">
        <v>4684</v>
      </c>
      <c r="G154" s="9">
        <v>2.0</v>
      </c>
      <c r="H154" s="9" t="s">
        <v>4686</v>
      </c>
      <c r="I154" s="9" t="str">
        <f t="shared" si="1"/>
        <v>Yes</v>
      </c>
      <c r="J154" s="9">
        <f t="shared" si="2"/>
        <v>2</v>
      </c>
      <c r="K154" s="9" t="str">
        <f t="shared" si="3"/>
        <v>OBESITY</v>
      </c>
    </row>
    <row r="155" ht="15.75" customHeight="1">
      <c r="A155" s="9" t="s">
        <v>309</v>
      </c>
      <c r="B155" s="9">
        <v>40.15</v>
      </c>
      <c r="C155" s="9">
        <v>5.76</v>
      </c>
      <c r="D155" s="9" t="s">
        <v>4684</v>
      </c>
      <c r="E155" s="9" t="s">
        <v>4684</v>
      </c>
      <c r="F155" s="9" t="s">
        <v>4684</v>
      </c>
      <c r="G155" s="9">
        <v>1.0</v>
      </c>
      <c r="H155" s="9" t="s">
        <v>4686</v>
      </c>
      <c r="I155" s="9" t="str">
        <f t="shared" si="1"/>
        <v>Yes</v>
      </c>
      <c r="J155" s="9">
        <f t="shared" si="2"/>
        <v>1</v>
      </c>
      <c r="K155" s="9" t="str">
        <f t="shared" si="3"/>
        <v>OBESITY</v>
      </c>
    </row>
    <row r="156" ht="15.75" customHeight="1">
      <c r="A156" s="9" t="s">
        <v>311</v>
      </c>
      <c r="B156" s="9">
        <v>27.8</v>
      </c>
      <c r="C156" s="9">
        <v>4.36</v>
      </c>
      <c r="D156" s="9" t="s">
        <v>4684</v>
      </c>
      <c r="E156" s="9" t="s">
        <v>4684</v>
      </c>
      <c r="F156" s="9" t="s">
        <v>4686</v>
      </c>
      <c r="G156" s="9">
        <v>1.0</v>
      </c>
      <c r="H156" s="9" t="s">
        <v>4686</v>
      </c>
      <c r="I156" s="9" t="str">
        <f t="shared" si="1"/>
        <v>Yes</v>
      </c>
      <c r="J156" s="9">
        <f t="shared" si="2"/>
        <v>1</v>
      </c>
      <c r="K156" s="9" t="str">
        <f t="shared" si="3"/>
        <v>OVERWEIGHT</v>
      </c>
    </row>
    <row r="157" ht="15.75" customHeight="1">
      <c r="A157" s="9" t="s">
        <v>313</v>
      </c>
      <c r="B157" s="9">
        <v>45.81</v>
      </c>
      <c r="C157" s="9">
        <v>4.76</v>
      </c>
      <c r="D157" s="9" t="s">
        <v>4686</v>
      </c>
      <c r="E157" s="9" t="s">
        <v>4684</v>
      </c>
      <c r="F157" s="9" t="s">
        <v>4686</v>
      </c>
      <c r="G157" s="9">
        <v>1.0</v>
      </c>
      <c r="H157" s="9" t="s">
        <v>4686</v>
      </c>
      <c r="I157" s="9" t="str">
        <f t="shared" si="1"/>
        <v>Yes</v>
      </c>
      <c r="J157" s="9">
        <f t="shared" si="2"/>
        <v>1</v>
      </c>
      <c r="K157" s="9" t="str">
        <f t="shared" si="3"/>
        <v>OBESITY</v>
      </c>
    </row>
    <row r="158" ht="15.75" customHeight="1">
      <c r="A158" s="9" t="s">
        <v>315</v>
      </c>
      <c r="B158" s="9">
        <v>34.43</v>
      </c>
      <c r="C158" s="9">
        <v>10.82</v>
      </c>
      <c r="D158" s="9" t="s">
        <v>4686</v>
      </c>
      <c r="E158" s="9" t="s">
        <v>4684</v>
      </c>
      <c r="F158" s="9" t="s">
        <v>4684</v>
      </c>
      <c r="G158" s="9">
        <v>1.0</v>
      </c>
      <c r="H158" s="9" t="s">
        <v>4686</v>
      </c>
      <c r="I158" s="9" t="str">
        <f t="shared" si="1"/>
        <v>Yes</v>
      </c>
      <c r="J158" s="9">
        <f t="shared" si="2"/>
        <v>1</v>
      </c>
      <c r="K158" s="9" t="str">
        <f t="shared" si="3"/>
        <v>OBESITY</v>
      </c>
    </row>
    <row r="159" ht="15.75" customHeight="1">
      <c r="A159" s="9" t="s">
        <v>317</v>
      </c>
      <c r="B159" s="9">
        <v>41.33</v>
      </c>
      <c r="C159" s="9">
        <v>4.01</v>
      </c>
      <c r="D159" s="9" t="s">
        <v>4686</v>
      </c>
      <c r="E159" s="9" t="s">
        <v>4684</v>
      </c>
      <c r="F159" s="9" t="s">
        <v>4684</v>
      </c>
      <c r="G159" s="9" t="s">
        <v>4685</v>
      </c>
      <c r="H159" s="9" t="s">
        <v>4686</v>
      </c>
      <c r="I159" s="9" t="str">
        <f t="shared" si="1"/>
        <v>Yes</v>
      </c>
      <c r="J159" s="9">
        <f t="shared" si="2"/>
        <v>0</v>
      </c>
      <c r="K159" s="9" t="str">
        <f t="shared" si="3"/>
        <v>OBESITY</v>
      </c>
    </row>
    <row r="160" ht="15.75" customHeight="1">
      <c r="A160" s="9" t="s">
        <v>319</v>
      </c>
      <c r="B160" s="9">
        <v>31.92</v>
      </c>
      <c r="C160" s="9">
        <v>5.12</v>
      </c>
      <c r="D160" s="9" t="s">
        <v>4686</v>
      </c>
      <c r="E160" s="9" t="s">
        <v>4684</v>
      </c>
      <c r="F160" s="9" t="s">
        <v>4684</v>
      </c>
      <c r="G160" s="9">
        <v>1.0</v>
      </c>
      <c r="H160" s="9" t="s">
        <v>4686</v>
      </c>
      <c r="I160" s="9" t="str">
        <f t="shared" si="1"/>
        <v>Yes</v>
      </c>
      <c r="J160" s="9">
        <f t="shared" si="2"/>
        <v>1</v>
      </c>
      <c r="K160" s="9" t="str">
        <f t="shared" si="3"/>
        <v>OBESITY</v>
      </c>
    </row>
    <row r="161" ht="15.75" customHeight="1">
      <c r="A161" s="9" t="s">
        <v>321</v>
      </c>
      <c r="B161" s="9">
        <v>39.8</v>
      </c>
      <c r="C161" s="9">
        <v>10.54</v>
      </c>
      <c r="D161" s="9" t="s">
        <v>4686</v>
      </c>
      <c r="E161" s="9" t="s">
        <v>4684</v>
      </c>
      <c r="F161" s="9" t="s">
        <v>4684</v>
      </c>
      <c r="G161" s="9">
        <v>2.0</v>
      </c>
      <c r="H161" s="9" t="s">
        <v>4686</v>
      </c>
      <c r="I161" s="9" t="str">
        <f t="shared" si="1"/>
        <v>Yes</v>
      </c>
      <c r="J161" s="9">
        <f t="shared" si="2"/>
        <v>2</v>
      </c>
      <c r="K161" s="9" t="str">
        <f t="shared" si="3"/>
        <v>OBESITY</v>
      </c>
    </row>
    <row r="162" ht="15.75" customHeight="1">
      <c r="A162" s="9" t="s">
        <v>323</v>
      </c>
      <c r="B162" s="9">
        <v>42.82</v>
      </c>
      <c r="C162" s="9">
        <v>4.21</v>
      </c>
      <c r="D162" s="9" t="s">
        <v>4684</v>
      </c>
      <c r="E162" s="9" t="s">
        <v>4684</v>
      </c>
      <c r="F162" s="9" t="s">
        <v>4684</v>
      </c>
      <c r="G162" s="9" t="s">
        <v>4685</v>
      </c>
      <c r="H162" s="9" t="s">
        <v>4686</v>
      </c>
      <c r="I162" s="9" t="str">
        <f t="shared" si="1"/>
        <v>Yes</v>
      </c>
      <c r="J162" s="9">
        <f t="shared" si="2"/>
        <v>0</v>
      </c>
      <c r="K162" s="9" t="str">
        <f t="shared" si="3"/>
        <v>OBESITY</v>
      </c>
    </row>
    <row r="163" ht="15.75" customHeight="1">
      <c r="A163" s="9" t="s">
        <v>325</v>
      </c>
      <c r="B163" s="9">
        <v>33.63</v>
      </c>
      <c r="C163" s="9">
        <v>5.42</v>
      </c>
      <c r="D163" s="9" t="s">
        <v>4684</v>
      </c>
      <c r="E163" s="9" t="s">
        <v>4684</v>
      </c>
      <c r="F163" s="9" t="s">
        <v>4684</v>
      </c>
      <c r="G163" s="9" t="s">
        <v>4685</v>
      </c>
      <c r="H163" s="9" t="s">
        <v>4686</v>
      </c>
      <c r="I163" s="9" t="str">
        <f t="shared" si="1"/>
        <v>Yes</v>
      </c>
      <c r="J163" s="9">
        <f t="shared" si="2"/>
        <v>0</v>
      </c>
      <c r="K163" s="9" t="str">
        <f t="shared" si="3"/>
        <v>OBESITY</v>
      </c>
    </row>
    <row r="164" ht="15.75" customHeight="1">
      <c r="A164" s="9" t="s">
        <v>327</v>
      </c>
      <c r="B164" s="9">
        <v>37.07</v>
      </c>
      <c r="C164" s="9">
        <v>4.28</v>
      </c>
      <c r="D164" s="9" t="s">
        <v>4684</v>
      </c>
      <c r="E164" s="9" t="s">
        <v>4686</v>
      </c>
      <c r="F164" s="9" t="s">
        <v>4684</v>
      </c>
      <c r="G164" s="9">
        <v>1.0</v>
      </c>
      <c r="H164" s="9" t="s">
        <v>4686</v>
      </c>
      <c r="I164" s="9" t="str">
        <f t="shared" si="1"/>
        <v>Yes</v>
      </c>
      <c r="J164" s="9">
        <f t="shared" si="2"/>
        <v>1</v>
      </c>
      <c r="K164" s="9" t="str">
        <f t="shared" si="3"/>
        <v>OBESITY</v>
      </c>
    </row>
    <row r="165" ht="15.75" customHeight="1">
      <c r="A165" s="9" t="s">
        <v>329</v>
      </c>
      <c r="B165" s="9">
        <v>35.625</v>
      </c>
      <c r="C165" s="9">
        <v>8.9</v>
      </c>
      <c r="D165" s="9" t="s">
        <v>4684</v>
      </c>
      <c r="E165" s="9" t="s">
        <v>4684</v>
      </c>
      <c r="F165" s="9" t="s">
        <v>4684</v>
      </c>
      <c r="G165" s="9" t="s">
        <v>4685</v>
      </c>
      <c r="H165" s="9" t="s">
        <v>4686</v>
      </c>
      <c r="I165" s="9" t="str">
        <f t="shared" si="1"/>
        <v>Yes</v>
      </c>
      <c r="J165" s="9">
        <f t="shared" si="2"/>
        <v>0</v>
      </c>
      <c r="K165" s="9" t="str">
        <f t="shared" si="3"/>
        <v>OBESITY</v>
      </c>
    </row>
    <row r="166" ht="15.75" customHeight="1">
      <c r="A166" s="9" t="s">
        <v>331</v>
      </c>
      <c r="B166" s="9">
        <v>42.69</v>
      </c>
      <c r="C166" s="9">
        <v>4.89</v>
      </c>
      <c r="D166" s="9" t="s">
        <v>4684</v>
      </c>
      <c r="E166" s="9" t="s">
        <v>4684</v>
      </c>
      <c r="F166" s="9" t="s">
        <v>4686</v>
      </c>
      <c r="G166" s="9">
        <v>1.0</v>
      </c>
      <c r="H166" s="9" t="s">
        <v>4686</v>
      </c>
      <c r="I166" s="9" t="str">
        <f t="shared" si="1"/>
        <v>Yes</v>
      </c>
      <c r="J166" s="9">
        <f t="shared" si="2"/>
        <v>1</v>
      </c>
      <c r="K166" s="9" t="str">
        <f t="shared" si="3"/>
        <v>OBESITY</v>
      </c>
    </row>
    <row r="167" ht="15.75" customHeight="1">
      <c r="A167" s="9" t="s">
        <v>333</v>
      </c>
      <c r="B167" s="9">
        <v>37.87</v>
      </c>
      <c r="C167" s="9">
        <v>4.29</v>
      </c>
      <c r="D167" s="9" t="s">
        <v>4686</v>
      </c>
      <c r="E167" s="9" t="s">
        <v>4684</v>
      </c>
      <c r="F167" s="9" t="s">
        <v>4686</v>
      </c>
      <c r="G167" s="9">
        <v>1.0</v>
      </c>
      <c r="H167" s="9" t="s">
        <v>4686</v>
      </c>
      <c r="I167" s="9" t="str">
        <f t="shared" si="1"/>
        <v>Yes</v>
      </c>
      <c r="J167" s="9">
        <f t="shared" si="2"/>
        <v>1</v>
      </c>
      <c r="K167" s="9" t="str">
        <f t="shared" si="3"/>
        <v>OBESITY</v>
      </c>
    </row>
    <row r="168" ht="15.75" customHeight="1">
      <c r="A168" s="9" t="s">
        <v>335</v>
      </c>
      <c r="B168" s="9">
        <v>40.61</v>
      </c>
      <c r="C168" s="9">
        <v>8.0</v>
      </c>
      <c r="D168" s="9" t="s">
        <v>4686</v>
      </c>
      <c r="E168" s="9" t="s">
        <v>4684</v>
      </c>
      <c r="F168" s="9" t="s">
        <v>4684</v>
      </c>
      <c r="G168" s="9">
        <v>1.0</v>
      </c>
      <c r="H168" s="9" t="s">
        <v>4686</v>
      </c>
      <c r="I168" s="9" t="str">
        <f t="shared" si="1"/>
        <v>Yes</v>
      </c>
      <c r="J168" s="9">
        <f t="shared" si="2"/>
        <v>1</v>
      </c>
      <c r="K168" s="9" t="str">
        <f t="shared" si="3"/>
        <v>OBESITY</v>
      </c>
    </row>
    <row r="169" ht="15.75" customHeight="1">
      <c r="A169" s="9" t="s">
        <v>337</v>
      </c>
      <c r="B169" s="9">
        <v>30.78</v>
      </c>
      <c r="C169" s="9">
        <v>4.67</v>
      </c>
      <c r="D169" s="9" t="s">
        <v>4686</v>
      </c>
      <c r="E169" s="9" t="s">
        <v>4684</v>
      </c>
      <c r="F169" s="9" t="s">
        <v>4684</v>
      </c>
      <c r="G169" s="9" t="s">
        <v>4685</v>
      </c>
      <c r="H169" s="9" t="s">
        <v>4686</v>
      </c>
      <c r="I169" s="9" t="str">
        <f t="shared" si="1"/>
        <v>Yes</v>
      </c>
      <c r="J169" s="9">
        <f t="shared" si="2"/>
        <v>0</v>
      </c>
      <c r="K169" s="9" t="str">
        <f t="shared" si="3"/>
        <v>OBESITY</v>
      </c>
    </row>
    <row r="170" ht="15.75" customHeight="1">
      <c r="A170" s="9" t="s">
        <v>339</v>
      </c>
      <c r="B170" s="9">
        <v>49.49</v>
      </c>
      <c r="C170" s="9">
        <v>4.5</v>
      </c>
      <c r="D170" s="9" t="s">
        <v>4684</v>
      </c>
      <c r="E170" s="9" t="s">
        <v>4684</v>
      </c>
      <c r="F170" s="9" t="s">
        <v>4684</v>
      </c>
      <c r="G170" s="9" t="s">
        <v>4685</v>
      </c>
      <c r="H170" s="9" t="s">
        <v>4686</v>
      </c>
      <c r="I170" s="9" t="str">
        <f t="shared" si="1"/>
        <v>Yes</v>
      </c>
      <c r="J170" s="9">
        <f t="shared" si="2"/>
        <v>0</v>
      </c>
      <c r="K170" s="9" t="str">
        <f t="shared" si="3"/>
        <v>OBESITY</v>
      </c>
    </row>
    <row r="171" ht="15.75" customHeight="1">
      <c r="A171" s="9" t="s">
        <v>341</v>
      </c>
      <c r="B171" s="9">
        <v>37.62</v>
      </c>
      <c r="C171" s="9">
        <v>6.32</v>
      </c>
      <c r="D171" s="9" t="s">
        <v>4686</v>
      </c>
      <c r="E171" s="9" t="s">
        <v>4686</v>
      </c>
      <c r="F171" s="9" t="s">
        <v>4684</v>
      </c>
      <c r="G171" s="9">
        <v>2.0</v>
      </c>
      <c r="H171" s="9" t="s">
        <v>4686</v>
      </c>
      <c r="I171" s="9" t="str">
        <f t="shared" si="1"/>
        <v>Yes</v>
      </c>
      <c r="J171" s="9">
        <f t="shared" si="2"/>
        <v>2</v>
      </c>
      <c r="K171" s="9" t="str">
        <f t="shared" si="3"/>
        <v>OBESITY</v>
      </c>
    </row>
    <row r="172" ht="15.75" customHeight="1">
      <c r="A172" s="9" t="s">
        <v>343</v>
      </c>
      <c r="B172" s="9">
        <v>36.08</v>
      </c>
      <c r="C172" s="9">
        <v>6.1</v>
      </c>
      <c r="D172" s="9" t="s">
        <v>4686</v>
      </c>
      <c r="E172" s="9" t="s">
        <v>4684</v>
      </c>
      <c r="F172" s="9" t="s">
        <v>4684</v>
      </c>
      <c r="G172" s="9">
        <v>1.0</v>
      </c>
      <c r="H172" s="9" t="s">
        <v>4686</v>
      </c>
      <c r="I172" s="9" t="str">
        <f t="shared" si="1"/>
        <v>Yes</v>
      </c>
      <c r="J172" s="9">
        <f t="shared" si="2"/>
        <v>1</v>
      </c>
      <c r="K172" s="9" t="str">
        <f t="shared" si="3"/>
        <v>OBESITY</v>
      </c>
    </row>
    <row r="173" ht="15.75" customHeight="1">
      <c r="A173" s="9" t="s">
        <v>345</v>
      </c>
      <c r="B173" s="9">
        <v>33.5</v>
      </c>
      <c r="C173" s="9">
        <v>5.4</v>
      </c>
      <c r="D173" s="9" t="s">
        <v>4684</v>
      </c>
      <c r="E173" s="9" t="s">
        <v>4684</v>
      </c>
      <c r="F173" s="9" t="s">
        <v>4684</v>
      </c>
      <c r="G173" s="9" t="s">
        <v>4685</v>
      </c>
      <c r="H173" s="9" t="s">
        <v>4686</v>
      </c>
      <c r="I173" s="9" t="str">
        <f t="shared" si="1"/>
        <v>Yes</v>
      </c>
      <c r="J173" s="9">
        <f t="shared" si="2"/>
        <v>0</v>
      </c>
      <c r="K173" s="9" t="str">
        <f t="shared" si="3"/>
        <v>OBESITY</v>
      </c>
    </row>
    <row r="174" ht="15.75" customHeight="1">
      <c r="A174" s="9" t="s">
        <v>347</v>
      </c>
      <c r="B174" s="9">
        <v>47.46</v>
      </c>
      <c r="C174" s="9">
        <v>6.24</v>
      </c>
      <c r="D174" s="9" t="s">
        <v>4686</v>
      </c>
      <c r="E174" s="9" t="s">
        <v>4684</v>
      </c>
      <c r="F174" s="9" t="s">
        <v>4684</v>
      </c>
      <c r="G174" s="9">
        <v>1.0</v>
      </c>
      <c r="H174" s="9" t="s">
        <v>4686</v>
      </c>
      <c r="I174" s="9" t="str">
        <f t="shared" si="1"/>
        <v>Yes</v>
      </c>
      <c r="J174" s="9">
        <f t="shared" si="2"/>
        <v>1</v>
      </c>
      <c r="K174" s="9" t="str">
        <f t="shared" si="3"/>
        <v>OBESITY</v>
      </c>
    </row>
    <row r="175" ht="15.75" customHeight="1">
      <c r="A175" s="9" t="s">
        <v>349</v>
      </c>
      <c r="B175" s="9">
        <v>49.24</v>
      </c>
      <c r="C175" s="9">
        <v>4.45</v>
      </c>
      <c r="D175" s="9" t="s">
        <v>4684</v>
      </c>
      <c r="E175" s="9" t="s">
        <v>4684</v>
      </c>
      <c r="F175" s="9" t="s">
        <v>4684</v>
      </c>
      <c r="G175" s="9" t="s">
        <v>4685</v>
      </c>
      <c r="H175" s="9" t="s">
        <v>4686</v>
      </c>
      <c r="I175" s="9" t="str">
        <f t="shared" si="1"/>
        <v>Yes</v>
      </c>
      <c r="J175" s="9">
        <f t="shared" si="2"/>
        <v>0</v>
      </c>
      <c r="K175" s="9" t="str">
        <f t="shared" si="3"/>
        <v>OBESITY</v>
      </c>
    </row>
    <row r="176" ht="15.75" customHeight="1">
      <c r="A176" s="9" t="s">
        <v>351</v>
      </c>
      <c r="B176" s="9">
        <v>54.4</v>
      </c>
      <c r="C176" s="9">
        <v>5.22</v>
      </c>
      <c r="D176" s="9" t="s">
        <v>4684</v>
      </c>
      <c r="E176" s="9" t="s">
        <v>4684</v>
      </c>
      <c r="F176" s="9" t="s">
        <v>4684</v>
      </c>
      <c r="G176" s="9">
        <v>1.0</v>
      </c>
      <c r="H176" s="9" t="s">
        <v>4686</v>
      </c>
      <c r="I176" s="9" t="str">
        <f t="shared" si="1"/>
        <v>Yes</v>
      </c>
      <c r="J176" s="9">
        <f t="shared" si="2"/>
        <v>1</v>
      </c>
      <c r="K176" s="9" t="str">
        <f t="shared" si="3"/>
        <v>OBESITY</v>
      </c>
    </row>
    <row r="177" ht="15.75" customHeight="1">
      <c r="A177" s="9" t="s">
        <v>353</v>
      </c>
      <c r="B177" s="9">
        <v>35.53</v>
      </c>
      <c r="C177" s="9">
        <v>4.61</v>
      </c>
      <c r="D177" s="9" t="s">
        <v>4684</v>
      </c>
      <c r="E177" s="9" t="s">
        <v>4684</v>
      </c>
      <c r="F177" s="9" t="s">
        <v>4684</v>
      </c>
      <c r="G177" s="9">
        <v>1.0</v>
      </c>
      <c r="H177" s="9" t="s">
        <v>4686</v>
      </c>
      <c r="I177" s="9" t="str">
        <f t="shared" si="1"/>
        <v>Yes</v>
      </c>
      <c r="J177" s="9">
        <f t="shared" si="2"/>
        <v>1</v>
      </c>
      <c r="K177" s="9" t="str">
        <f t="shared" si="3"/>
        <v>OBESITY</v>
      </c>
    </row>
    <row r="178" ht="15.75" customHeight="1">
      <c r="A178" s="9" t="s">
        <v>355</v>
      </c>
      <c r="B178" s="9">
        <v>39.73</v>
      </c>
      <c r="C178" s="9">
        <v>6.24</v>
      </c>
      <c r="D178" s="9" t="s">
        <v>4684</v>
      </c>
      <c r="E178" s="9" t="s">
        <v>4684</v>
      </c>
      <c r="F178" s="9" t="s">
        <v>4684</v>
      </c>
      <c r="G178" s="9" t="s">
        <v>4685</v>
      </c>
      <c r="H178" s="9" t="s">
        <v>4686</v>
      </c>
      <c r="I178" s="9" t="str">
        <f t="shared" si="1"/>
        <v>Yes</v>
      </c>
      <c r="J178" s="9">
        <f t="shared" si="2"/>
        <v>0</v>
      </c>
      <c r="K178" s="9" t="str">
        <f t="shared" si="3"/>
        <v>OBESITY</v>
      </c>
    </row>
    <row r="179" ht="15.75" customHeight="1">
      <c r="A179" s="9" t="s">
        <v>357</v>
      </c>
      <c r="B179" s="9">
        <v>35.68</v>
      </c>
      <c r="C179" s="9">
        <v>10.04</v>
      </c>
      <c r="D179" s="9" t="s">
        <v>4684</v>
      </c>
      <c r="E179" s="9" t="s">
        <v>4684</v>
      </c>
      <c r="F179" s="9" t="s">
        <v>4684</v>
      </c>
      <c r="G179" s="9" t="s">
        <v>4685</v>
      </c>
      <c r="H179" s="9" t="s">
        <v>4686</v>
      </c>
      <c r="I179" s="9" t="str">
        <f t="shared" si="1"/>
        <v>Yes</v>
      </c>
      <c r="J179" s="9">
        <f t="shared" si="2"/>
        <v>0</v>
      </c>
      <c r="K179" s="9" t="str">
        <f t="shared" si="3"/>
        <v>OBESITY</v>
      </c>
    </row>
    <row r="180" ht="15.75" customHeight="1">
      <c r="A180" s="9" t="s">
        <v>359</v>
      </c>
      <c r="B180" s="9">
        <v>48.86</v>
      </c>
      <c r="C180" s="9">
        <v>6.09</v>
      </c>
      <c r="D180" s="9" t="s">
        <v>4684</v>
      </c>
      <c r="E180" s="9" t="s">
        <v>4684</v>
      </c>
      <c r="F180" s="9" t="s">
        <v>4684</v>
      </c>
      <c r="G180" s="9" t="s">
        <v>4685</v>
      </c>
      <c r="H180" s="9" t="s">
        <v>4686</v>
      </c>
      <c r="I180" s="9" t="str">
        <f t="shared" si="1"/>
        <v>Yes</v>
      </c>
      <c r="J180" s="9">
        <f t="shared" si="2"/>
        <v>0</v>
      </c>
      <c r="K180" s="9" t="str">
        <f t="shared" si="3"/>
        <v>OBESITY</v>
      </c>
    </row>
    <row r="181" ht="15.75" customHeight="1">
      <c r="A181" s="9" t="s">
        <v>361</v>
      </c>
      <c r="B181" s="9">
        <v>34.8</v>
      </c>
      <c r="C181" s="9">
        <v>11.4</v>
      </c>
      <c r="D181" s="9" t="s">
        <v>4686</v>
      </c>
      <c r="E181" s="9" t="s">
        <v>4684</v>
      </c>
      <c r="F181" s="9" t="s">
        <v>4686</v>
      </c>
      <c r="G181" s="9">
        <v>1.0</v>
      </c>
      <c r="H181" s="9" t="s">
        <v>4684</v>
      </c>
      <c r="I181" s="9" t="str">
        <f t="shared" si="1"/>
        <v>No</v>
      </c>
      <c r="J181" s="9">
        <f t="shared" si="2"/>
        <v>1</v>
      </c>
      <c r="K181" s="9" t="str">
        <f t="shared" si="3"/>
        <v>OBESITY</v>
      </c>
    </row>
    <row r="182" ht="15.75" customHeight="1">
      <c r="A182" s="9" t="s">
        <v>363</v>
      </c>
      <c r="B182" s="9">
        <v>32.49</v>
      </c>
      <c r="C182" s="9">
        <v>4.29</v>
      </c>
      <c r="D182" s="9" t="s">
        <v>4684</v>
      </c>
      <c r="E182" s="9" t="s">
        <v>4684</v>
      </c>
      <c r="F182" s="9" t="s">
        <v>4686</v>
      </c>
      <c r="G182" s="9">
        <v>1.0</v>
      </c>
      <c r="H182" s="9" t="s">
        <v>4686</v>
      </c>
      <c r="I182" s="9" t="str">
        <f t="shared" si="1"/>
        <v>Yes</v>
      </c>
      <c r="J182" s="9">
        <f t="shared" si="2"/>
        <v>1</v>
      </c>
      <c r="K182" s="9" t="str">
        <f t="shared" si="3"/>
        <v>OBESITY</v>
      </c>
    </row>
    <row r="183" ht="15.75" customHeight="1">
      <c r="A183" s="9" t="s">
        <v>365</v>
      </c>
      <c r="B183" s="9">
        <v>39.0</v>
      </c>
      <c r="C183" s="9">
        <v>5.7</v>
      </c>
      <c r="D183" s="9" t="s">
        <v>4684</v>
      </c>
      <c r="E183" s="9" t="s">
        <v>4684</v>
      </c>
      <c r="F183" s="9" t="s">
        <v>4684</v>
      </c>
      <c r="G183" s="9">
        <v>2.0</v>
      </c>
      <c r="H183" s="9" t="s">
        <v>4686</v>
      </c>
      <c r="I183" s="9" t="str">
        <f t="shared" si="1"/>
        <v>Yes</v>
      </c>
      <c r="J183" s="9">
        <f t="shared" si="2"/>
        <v>2</v>
      </c>
      <c r="K183" s="9" t="str">
        <f t="shared" si="3"/>
        <v>OBESITY</v>
      </c>
    </row>
    <row r="184" ht="15.75" customHeight="1">
      <c r="A184" s="9" t="s">
        <v>367</v>
      </c>
      <c r="B184" s="9">
        <v>35.3</v>
      </c>
      <c r="C184" s="9">
        <v>6.09</v>
      </c>
      <c r="D184" s="9" t="s">
        <v>4684</v>
      </c>
      <c r="E184" s="9" t="s">
        <v>4684</v>
      </c>
      <c r="F184" s="9" t="s">
        <v>4684</v>
      </c>
      <c r="G184" s="9">
        <v>1.0</v>
      </c>
      <c r="H184" s="9" t="s">
        <v>4686</v>
      </c>
      <c r="I184" s="9" t="str">
        <f t="shared" si="1"/>
        <v>Yes</v>
      </c>
      <c r="J184" s="9">
        <f t="shared" si="2"/>
        <v>1</v>
      </c>
      <c r="K184" s="9" t="str">
        <f t="shared" si="3"/>
        <v>OBESITY</v>
      </c>
    </row>
    <row r="185" ht="15.75" customHeight="1">
      <c r="A185" s="9" t="s">
        <v>369</v>
      </c>
      <c r="B185" s="9">
        <v>33.42</v>
      </c>
      <c r="C185" s="9">
        <v>10.67</v>
      </c>
      <c r="D185" s="9" t="s">
        <v>4684</v>
      </c>
      <c r="E185" s="9" t="s">
        <v>4684</v>
      </c>
      <c r="F185" s="9" t="s">
        <v>4684</v>
      </c>
      <c r="G185" s="9" t="s">
        <v>4685</v>
      </c>
      <c r="H185" s="9" t="s">
        <v>4686</v>
      </c>
      <c r="I185" s="9" t="str">
        <f t="shared" si="1"/>
        <v>Yes</v>
      </c>
      <c r="J185" s="9">
        <f t="shared" si="2"/>
        <v>0</v>
      </c>
      <c r="K185" s="9" t="str">
        <f t="shared" si="3"/>
        <v>OBESITY</v>
      </c>
    </row>
    <row r="186" ht="15.75" customHeight="1">
      <c r="A186" s="9" t="s">
        <v>371</v>
      </c>
      <c r="B186" s="9">
        <v>37.18</v>
      </c>
      <c r="C186" s="9">
        <v>6.75</v>
      </c>
      <c r="D186" s="9" t="s">
        <v>4686</v>
      </c>
      <c r="E186" s="9" t="s">
        <v>4684</v>
      </c>
      <c r="F186" s="9" t="s">
        <v>4684</v>
      </c>
      <c r="G186" s="9">
        <v>2.0</v>
      </c>
      <c r="H186" s="9" t="s">
        <v>4686</v>
      </c>
      <c r="I186" s="9" t="str">
        <f t="shared" si="1"/>
        <v>Yes</v>
      </c>
      <c r="J186" s="9">
        <f t="shared" si="2"/>
        <v>2</v>
      </c>
      <c r="K186" s="9" t="str">
        <f t="shared" si="3"/>
        <v>OBESITY</v>
      </c>
    </row>
    <row r="187" ht="15.75" customHeight="1">
      <c r="A187" s="9" t="s">
        <v>373</v>
      </c>
      <c r="B187" s="9">
        <v>33.33</v>
      </c>
      <c r="C187" s="9">
        <v>9.26</v>
      </c>
      <c r="D187" s="9" t="s">
        <v>4686</v>
      </c>
      <c r="E187" s="9" t="s">
        <v>4684</v>
      </c>
      <c r="F187" s="9" t="s">
        <v>4684</v>
      </c>
      <c r="G187" s="9">
        <v>2.0</v>
      </c>
      <c r="H187" s="9" t="s">
        <v>4684</v>
      </c>
      <c r="I187" s="9" t="str">
        <f t="shared" si="1"/>
        <v>No</v>
      </c>
      <c r="J187" s="9">
        <f t="shared" si="2"/>
        <v>2</v>
      </c>
      <c r="K187" s="9" t="str">
        <f t="shared" si="3"/>
        <v>OBESITY</v>
      </c>
    </row>
    <row r="188" ht="15.75" customHeight="1">
      <c r="A188" s="9" t="s">
        <v>375</v>
      </c>
      <c r="B188" s="9">
        <v>53.21</v>
      </c>
      <c r="C188" s="9">
        <v>4.27</v>
      </c>
      <c r="D188" s="9" t="s">
        <v>4684</v>
      </c>
      <c r="E188" s="9" t="s">
        <v>4684</v>
      </c>
      <c r="F188" s="9" t="s">
        <v>4684</v>
      </c>
      <c r="G188" s="9">
        <v>1.0</v>
      </c>
      <c r="H188" s="9" t="s">
        <v>4686</v>
      </c>
      <c r="I188" s="9" t="str">
        <f t="shared" si="1"/>
        <v>Yes</v>
      </c>
      <c r="J188" s="9">
        <f t="shared" si="2"/>
        <v>1</v>
      </c>
      <c r="K188" s="9" t="str">
        <f t="shared" si="3"/>
        <v>OBESITY</v>
      </c>
    </row>
    <row r="189" ht="15.75" customHeight="1">
      <c r="A189" s="9" t="s">
        <v>377</v>
      </c>
      <c r="B189" s="9">
        <v>38.73</v>
      </c>
      <c r="C189" s="9">
        <v>11.51</v>
      </c>
      <c r="D189" s="9" t="s">
        <v>4684</v>
      </c>
      <c r="E189" s="9" t="s">
        <v>4684</v>
      </c>
      <c r="F189" s="9" t="s">
        <v>4684</v>
      </c>
      <c r="G189" s="9">
        <v>2.0</v>
      </c>
      <c r="H189" s="9" t="s">
        <v>4686</v>
      </c>
      <c r="I189" s="9" t="str">
        <f t="shared" si="1"/>
        <v>Yes</v>
      </c>
      <c r="J189" s="9">
        <f t="shared" si="2"/>
        <v>2</v>
      </c>
      <c r="K189" s="9" t="str">
        <f t="shared" si="3"/>
        <v>OBESITY</v>
      </c>
    </row>
    <row r="190" ht="15.75" customHeight="1">
      <c r="A190" s="9" t="s">
        <v>379</v>
      </c>
      <c r="B190" s="9">
        <v>29.73</v>
      </c>
      <c r="C190" s="9">
        <v>7.22</v>
      </c>
      <c r="D190" s="9" t="s">
        <v>4684</v>
      </c>
      <c r="E190" s="9" t="s">
        <v>4684</v>
      </c>
      <c r="F190" s="9" t="s">
        <v>4684</v>
      </c>
      <c r="G190" s="9" t="s">
        <v>4685</v>
      </c>
      <c r="H190" s="9" t="s">
        <v>4686</v>
      </c>
      <c r="I190" s="9" t="str">
        <f t="shared" si="1"/>
        <v>Yes</v>
      </c>
      <c r="J190" s="9">
        <f t="shared" si="2"/>
        <v>0</v>
      </c>
      <c r="K190" s="9" t="str">
        <f t="shared" si="3"/>
        <v>OVERWEIGHT</v>
      </c>
    </row>
    <row r="191" ht="15.75" customHeight="1">
      <c r="A191" s="9" t="s">
        <v>381</v>
      </c>
      <c r="B191" s="9">
        <v>34.7</v>
      </c>
      <c r="C191" s="9">
        <v>4.37</v>
      </c>
      <c r="D191" s="9" t="s">
        <v>4684</v>
      </c>
      <c r="E191" s="9" t="s">
        <v>4684</v>
      </c>
      <c r="F191" s="9" t="s">
        <v>4686</v>
      </c>
      <c r="G191" s="9">
        <v>1.0</v>
      </c>
      <c r="H191" s="9" t="s">
        <v>4686</v>
      </c>
      <c r="I191" s="9" t="str">
        <f t="shared" si="1"/>
        <v>Yes</v>
      </c>
      <c r="J191" s="9">
        <f t="shared" si="2"/>
        <v>1</v>
      </c>
      <c r="K191" s="9" t="str">
        <f t="shared" si="3"/>
        <v>OBESITY</v>
      </c>
    </row>
    <row r="192" ht="15.75" customHeight="1">
      <c r="A192" s="9" t="s">
        <v>383</v>
      </c>
      <c r="B192" s="9">
        <v>38.28</v>
      </c>
      <c r="C192" s="9">
        <v>11.56</v>
      </c>
      <c r="D192" s="9" t="s">
        <v>4686</v>
      </c>
      <c r="E192" s="9" t="s">
        <v>4684</v>
      </c>
      <c r="F192" s="9" t="s">
        <v>4684</v>
      </c>
      <c r="G192" s="9">
        <v>1.0</v>
      </c>
      <c r="H192" s="9" t="s">
        <v>4686</v>
      </c>
      <c r="I192" s="9" t="str">
        <f t="shared" si="1"/>
        <v>Yes</v>
      </c>
      <c r="J192" s="9">
        <f t="shared" si="2"/>
        <v>1</v>
      </c>
      <c r="K192" s="9" t="str">
        <f t="shared" si="3"/>
        <v>OBESITY</v>
      </c>
    </row>
    <row r="193" ht="15.75" customHeight="1">
      <c r="A193" s="9" t="s">
        <v>385</v>
      </c>
      <c r="B193" s="9">
        <v>33.57</v>
      </c>
      <c r="C193" s="9">
        <v>8.82</v>
      </c>
      <c r="D193" s="9" t="s">
        <v>4686</v>
      </c>
      <c r="E193" s="9" t="s">
        <v>4684</v>
      </c>
      <c r="F193" s="9" t="s">
        <v>4684</v>
      </c>
      <c r="G193" s="9" t="s">
        <v>4685</v>
      </c>
      <c r="H193" s="9" t="s">
        <v>4686</v>
      </c>
      <c r="I193" s="9" t="str">
        <f t="shared" si="1"/>
        <v>Yes</v>
      </c>
      <c r="J193" s="9">
        <f t="shared" si="2"/>
        <v>0</v>
      </c>
      <c r="K193" s="9" t="str">
        <f t="shared" si="3"/>
        <v>OBESITY</v>
      </c>
    </row>
    <row r="194" ht="15.75" customHeight="1">
      <c r="A194" s="9" t="s">
        <v>387</v>
      </c>
      <c r="B194" s="9">
        <v>52.06</v>
      </c>
      <c r="C194" s="9">
        <v>4.69</v>
      </c>
      <c r="D194" s="9" t="s">
        <v>4684</v>
      </c>
      <c r="E194" s="9" t="s">
        <v>4684</v>
      </c>
      <c r="F194" s="9" t="s">
        <v>4684</v>
      </c>
      <c r="G194" s="9">
        <v>1.0</v>
      </c>
      <c r="H194" s="9" t="s">
        <v>4686</v>
      </c>
      <c r="I194" s="9" t="str">
        <f t="shared" si="1"/>
        <v>Yes</v>
      </c>
      <c r="J194" s="9">
        <f t="shared" si="2"/>
        <v>1</v>
      </c>
      <c r="K194" s="9" t="str">
        <f t="shared" si="3"/>
        <v>OBESITY</v>
      </c>
    </row>
    <row r="195" ht="15.75" customHeight="1">
      <c r="A195" s="9" t="s">
        <v>389</v>
      </c>
      <c r="B195" s="9">
        <v>38.17</v>
      </c>
      <c r="C195" s="9">
        <v>4.53</v>
      </c>
      <c r="D195" s="9" t="s">
        <v>4684</v>
      </c>
      <c r="E195" s="9" t="s">
        <v>4686</v>
      </c>
      <c r="F195" s="9" t="s">
        <v>4684</v>
      </c>
      <c r="G195" s="9">
        <v>1.0</v>
      </c>
      <c r="H195" s="9" t="s">
        <v>4686</v>
      </c>
      <c r="I195" s="9" t="str">
        <f t="shared" si="1"/>
        <v>Yes</v>
      </c>
      <c r="J195" s="9">
        <f t="shared" si="2"/>
        <v>1</v>
      </c>
      <c r="K195" s="9" t="str">
        <f t="shared" si="3"/>
        <v>OBESITY</v>
      </c>
    </row>
    <row r="196" ht="15.75" customHeight="1">
      <c r="A196" s="9" t="s">
        <v>391</v>
      </c>
      <c r="B196" s="9">
        <v>36.955</v>
      </c>
      <c r="C196" s="9">
        <v>5.84</v>
      </c>
      <c r="D196" s="9" t="s">
        <v>4684</v>
      </c>
      <c r="E196" s="9" t="s">
        <v>4684</v>
      </c>
      <c r="F196" s="9" t="s">
        <v>4686</v>
      </c>
      <c r="G196" s="9">
        <v>1.0</v>
      </c>
      <c r="H196" s="9" t="s">
        <v>4686</v>
      </c>
      <c r="I196" s="9" t="str">
        <f t="shared" si="1"/>
        <v>Yes</v>
      </c>
      <c r="J196" s="9">
        <f t="shared" si="2"/>
        <v>1</v>
      </c>
      <c r="K196" s="9" t="str">
        <f t="shared" si="3"/>
        <v>OBESITY</v>
      </c>
    </row>
    <row r="197" ht="15.75" customHeight="1">
      <c r="A197" s="9" t="s">
        <v>393</v>
      </c>
      <c r="B197" s="9">
        <v>34.4</v>
      </c>
      <c r="C197" s="9">
        <v>4.9</v>
      </c>
      <c r="D197" s="9" t="s">
        <v>4684</v>
      </c>
      <c r="E197" s="9" t="s">
        <v>4684</v>
      </c>
      <c r="F197" s="9" t="s">
        <v>4686</v>
      </c>
      <c r="G197" s="9">
        <v>1.0</v>
      </c>
      <c r="H197" s="9" t="s">
        <v>4686</v>
      </c>
      <c r="I197" s="9" t="str">
        <f t="shared" si="1"/>
        <v>Yes</v>
      </c>
      <c r="J197" s="9">
        <f t="shared" si="2"/>
        <v>1</v>
      </c>
      <c r="K197" s="9" t="str">
        <f t="shared" si="3"/>
        <v>OBESITY</v>
      </c>
    </row>
    <row r="198" ht="15.75" customHeight="1">
      <c r="A198" s="9" t="s">
        <v>395</v>
      </c>
      <c r="B198" s="9">
        <v>31.73</v>
      </c>
      <c r="C198" s="9">
        <v>4.3</v>
      </c>
      <c r="D198" s="9" t="s">
        <v>4684</v>
      </c>
      <c r="E198" s="9" t="s">
        <v>4684</v>
      </c>
      <c r="F198" s="9" t="s">
        <v>4684</v>
      </c>
      <c r="G198" s="9" t="s">
        <v>4685</v>
      </c>
      <c r="H198" s="9" t="s">
        <v>4686</v>
      </c>
      <c r="I198" s="9" t="str">
        <f t="shared" si="1"/>
        <v>Yes</v>
      </c>
      <c r="J198" s="9">
        <f t="shared" si="2"/>
        <v>0</v>
      </c>
      <c r="K198" s="9" t="str">
        <f t="shared" si="3"/>
        <v>OBESITY</v>
      </c>
    </row>
    <row r="199" ht="15.75" customHeight="1">
      <c r="A199" s="9" t="s">
        <v>397</v>
      </c>
      <c r="B199" s="9">
        <v>36.64</v>
      </c>
      <c r="C199" s="9">
        <v>11.34</v>
      </c>
      <c r="D199" s="9" t="s">
        <v>4684</v>
      </c>
      <c r="E199" s="9" t="s">
        <v>4684</v>
      </c>
      <c r="F199" s="9" t="s">
        <v>4684</v>
      </c>
      <c r="G199" s="9" t="s">
        <v>4685</v>
      </c>
      <c r="H199" s="9" t="s">
        <v>4686</v>
      </c>
      <c r="I199" s="9" t="str">
        <f t="shared" si="1"/>
        <v>Yes</v>
      </c>
      <c r="J199" s="9">
        <f t="shared" si="2"/>
        <v>0</v>
      </c>
      <c r="K199" s="9" t="str">
        <f t="shared" si="3"/>
        <v>OBESITY</v>
      </c>
    </row>
    <row r="200" ht="15.75" customHeight="1">
      <c r="A200" s="9" t="s">
        <v>399</v>
      </c>
      <c r="B200" s="9">
        <v>36.85</v>
      </c>
      <c r="C200" s="9">
        <v>5.88</v>
      </c>
      <c r="D200" s="9" t="s">
        <v>4684</v>
      </c>
      <c r="E200" s="9" t="s">
        <v>4686</v>
      </c>
      <c r="F200" s="9" t="s">
        <v>4684</v>
      </c>
      <c r="G200" s="9">
        <v>1.0</v>
      </c>
      <c r="H200" s="9" t="s">
        <v>4686</v>
      </c>
      <c r="I200" s="9" t="str">
        <f t="shared" si="1"/>
        <v>Yes</v>
      </c>
      <c r="J200" s="9">
        <f t="shared" si="2"/>
        <v>1</v>
      </c>
      <c r="K200" s="9" t="str">
        <f t="shared" si="3"/>
        <v>OBESITY</v>
      </c>
    </row>
    <row r="201" ht="15.75" customHeight="1">
      <c r="A201" s="9" t="s">
        <v>401</v>
      </c>
      <c r="B201" s="9">
        <v>33.33</v>
      </c>
      <c r="C201" s="9">
        <v>5.01</v>
      </c>
      <c r="D201" s="9" t="s">
        <v>4686</v>
      </c>
      <c r="E201" s="9" t="s">
        <v>4684</v>
      </c>
      <c r="F201" s="9" t="s">
        <v>4686</v>
      </c>
      <c r="G201" s="9">
        <v>1.0</v>
      </c>
      <c r="H201" s="9" t="s">
        <v>4686</v>
      </c>
      <c r="I201" s="9" t="str">
        <f t="shared" si="1"/>
        <v>Yes</v>
      </c>
      <c r="J201" s="9">
        <f t="shared" si="2"/>
        <v>1</v>
      </c>
      <c r="K201" s="9" t="str">
        <f t="shared" si="3"/>
        <v>OBESITY</v>
      </c>
    </row>
    <row r="202" ht="15.75" customHeight="1">
      <c r="A202" s="9" t="s">
        <v>403</v>
      </c>
      <c r="B202" s="9">
        <v>39.14</v>
      </c>
      <c r="C202" s="9">
        <v>4.4</v>
      </c>
      <c r="D202" s="9" t="s">
        <v>4684</v>
      </c>
      <c r="E202" s="9" t="s">
        <v>4684</v>
      </c>
      <c r="F202" s="9" t="s">
        <v>4686</v>
      </c>
      <c r="G202" s="9">
        <v>1.0</v>
      </c>
      <c r="H202" s="9" t="s">
        <v>4686</v>
      </c>
      <c r="I202" s="9" t="str">
        <f t="shared" si="1"/>
        <v>Yes</v>
      </c>
      <c r="J202" s="9">
        <f t="shared" si="2"/>
        <v>1</v>
      </c>
      <c r="K202" s="9" t="str">
        <f t="shared" si="3"/>
        <v>OBESITY</v>
      </c>
    </row>
    <row r="203" ht="15.75" customHeight="1">
      <c r="A203" s="9" t="s">
        <v>405</v>
      </c>
      <c r="B203" s="9">
        <v>32.9</v>
      </c>
      <c r="C203" s="9">
        <v>6.26</v>
      </c>
      <c r="D203" s="9" t="s">
        <v>4686</v>
      </c>
      <c r="E203" s="9" t="s">
        <v>4684</v>
      </c>
      <c r="F203" s="9" t="s">
        <v>4684</v>
      </c>
      <c r="G203" s="9" t="s">
        <v>4685</v>
      </c>
      <c r="H203" s="9" t="s">
        <v>4686</v>
      </c>
      <c r="I203" s="9" t="str">
        <f t="shared" si="1"/>
        <v>Yes</v>
      </c>
      <c r="J203" s="9">
        <f t="shared" si="2"/>
        <v>0</v>
      </c>
      <c r="K203" s="9" t="str">
        <f t="shared" si="3"/>
        <v>OBESITY</v>
      </c>
    </row>
    <row r="204" ht="15.75" customHeight="1">
      <c r="A204" s="9" t="s">
        <v>407</v>
      </c>
      <c r="B204" s="9">
        <v>29.78</v>
      </c>
      <c r="C204" s="9">
        <v>10.27</v>
      </c>
      <c r="D204" s="9" t="s">
        <v>4686</v>
      </c>
      <c r="E204" s="9" t="s">
        <v>4684</v>
      </c>
      <c r="F204" s="9" t="s">
        <v>4686</v>
      </c>
      <c r="G204" s="9">
        <v>1.0</v>
      </c>
      <c r="H204" s="9" t="s">
        <v>4686</v>
      </c>
      <c r="I204" s="9" t="str">
        <f t="shared" si="1"/>
        <v>Yes</v>
      </c>
      <c r="J204" s="9">
        <f t="shared" si="2"/>
        <v>1</v>
      </c>
      <c r="K204" s="9" t="str">
        <f t="shared" si="3"/>
        <v>OVERWEIGHT</v>
      </c>
    </row>
    <row r="205" ht="15.75" customHeight="1">
      <c r="A205" s="9" t="s">
        <v>409</v>
      </c>
      <c r="B205" s="9">
        <v>32.78</v>
      </c>
      <c r="C205" s="9">
        <v>5.27</v>
      </c>
      <c r="D205" s="9" t="s">
        <v>4684</v>
      </c>
      <c r="E205" s="9" t="s">
        <v>4684</v>
      </c>
      <c r="F205" s="9" t="s">
        <v>4684</v>
      </c>
      <c r="G205" s="9" t="s">
        <v>4685</v>
      </c>
      <c r="H205" s="9" t="s">
        <v>4686</v>
      </c>
      <c r="I205" s="9" t="str">
        <f t="shared" si="1"/>
        <v>Yes</v>
      </c>
      <c r="J205" s="9">
        <f t="shared" si="2"/>
        <v>0</v>
      </c>
      <c r="K205" s="9" t="str">
        <f t="shared" si="3"/>
        <v>OBESITY</v>
      </c>
    </row>
    <row r="206" ht="15.75" customHeight="1">
      <c r="A206" s="9" t="s">
        <v>411</v>
      </c>
      <c r="B206" s="9">
        <v>41.65</v>
      </c>
      <c r="C206" s="9">
        <v>10.73</v>
      </c>
      <c r="D206" s="9" t="s">
        <v>4686</v>
      </c>
      <c r="E206" s="9" t="s">
        <v>4684</v>
      </c>
      <c r="F206" s="9" t="s">
        <v>4684</v>
      </c>
      <c r="G206" s="9" t="s">
        <v>4685</v>
      </c>
      <c r="H206" s="9" t="s">
        <v>4686</v>
      </c>
      <c r="I206" s="9" t="str">
        <f t="shared" si="1"/>
        <v>Yes</v>
      </c>
      <c r="J206" s="9">
        <f t="shared" si="2"/>
        <v>0</v>
      </c>
      <c r="K206" s="9" t="str">
        <f t="shared" si="3"/>
        <v>OBESITY</v>
      </c>
    </row>
    <row r="207" ht="15.75" customHeight="1">
      <c r="A207" s="9" t="s">
        <v>413</v>
      </c>
      <c r="B207" s="9">
        <v>50.79</v>
      </c>
      <c r="C207" s="9">
        <v>4.45</v>
      </c>
      <c r="D207" s="9" t="s">
        <v>4684</v>
      </c>
      <c r="E207" s="9" t="s">
        <v>4684</v>
      </c>
      <c r="F207" s="9" t="s">
        <v>4684</v>
      </c>
      <c r="G207" s="9">
        <v>1.0</v>
      </c>
      <c r="H207" s="9" t="s">
        <v>4686</v>
      </c>
      <c r="I207" s="9" t="str">
        <f t="shared" si="1"/>
        <v>Yes</v>
      </c>
      <c r="J207" s="9">
        <f t="shared" si="2"/>
        <v>1</v>
      </c>
      <c r="K207" s="9" t="str">
        <f t="shared" si="3"/>
        <v>OBESITY</v>
      </c>
    </row>
    <row r="208" ht="15.75" customHeight="1">
      <c r="A208" s="9" t="s">
        <v>415</v>
      </c>
      <c r="B208" s="9">
        <v>35.43</v>
      </c>
      <c r="C208" s="9">
        <v>5.25</v>
      </c>
      <c r="D208" s="9" t="s">
        <v>4686</v>
      </c>
      <c r="E208" s="9" t="s">
        <v>4684</v>
      </c>
      <c r="F208" s="9" t="s">
        <v>4684</v>
      </c>
      <c r="G208" s="9" t="s">
        <v>4685</v>
      </c>
      <c r="H208" s="9" t="s">
        <v>4686</v>
      </c>
      <c r="I208" s="9" t="str">
        <f t="shared" si="1"/>
        <v>Yes</v>
      </c>
      <c r="J208" s="9">
        <f t="shared" si="2"/>
        <v>0</v>
      </c>
      <c r="K208" s="9" t="str">
        <f t="shared" si="3"/>
        <v>OBESITY</v>
      </c>
    </row>
    <row r="209" ht="15.75" customHeight="1">
      <c r="A209" s="9" t="s">
        <v>417</v>
      </c>
      <c r="B209" s="9">
        <v>35.25</v>
      </c>
      <c r="C209" s="9">
        <v>9.51</v>
      </c>
      <c r="D209" s="9" t="s">
        <v>4684</v>
      </c>
      <c r="E209" s="9" t="s">
        <v>4684</v>
      </c>
      <c r="F209" s="9" t="s">
        <v>4684</v>
      </c>
      <c r="G209" s="9" t="s">
        <v>4685</v>
      </c>
      <c r="H209" s="9" t="s">
        <v>4686</v>
      </c>
      <c r="I209" s="9" t="str">
        <f t="shared" si="1"/>
        <v>Yes</v>
      </c>
      <c r="J209" s="9">
        <f t="shared" si="2"/>
        <v>0</v>
      </c>
      <c r="K209" s="9" t="str">
        <f t="shared" si="3"/>
        <v>OBESITY</v>
      </c>
    </row>
    <row r="210" ht="15.75" customHeight="1">
      <c r="A210" s="9" t="s">
        <v>419</v>
      </c>
      <c r="B210" s="9">
        <v>36.85</v>
      </c>
      <c r="C210" s="9">
        <v>11.12</v>
      </c>
      <c r="D210" s="9" t="s">
        <v>4684</v>
      </c>
      <c r="E210" s="9" t="s">
        <v>4684</v>
      </c>
      <c r="F210" s="9" t="s">
        <v>4684</v>
      </c>
      <c r="G210" s="9" t="s">
        <v>4685</v>
      </c>
      <c r="H210" s="9" t="s">
        <v>4686</v>
      </c>
      <c r="I210" s="9" t="str">
        <f t="shared" si="1"/>
        <v>Yes</v>
      </c>
      <c r="J210" s="9">
        <f t="shared" si="2"/>
        <v>0</v>
      </c>
      <c r="K210" s="9" t="str">
        <f t="shared" si="3"/>
        <v>OBESITY</v>
      </c>
    </row>
    <row r="211" ht="15.75" customHeight="1">
      <c r="A211" s="9" t="s">
        <v>421</v>
      </c>
      <c r="B211" s="9">
        <v>31.02</v>
      </c>
      <c r="C211" s="9">
        <v>4.56</v>
      </c>
      <c r="D211" s="9" t="s">
        <v>4684</v>
      </c>
      <c r="E211" s="9" t="s">
        <v>4686</v>
      </c>
      <c r="F211" s="9" t="s">
        <v>4684</v>
      </c>
      <c r="G211" s="9">
        <v>1.0</v>
      </c>
      <c r="H211" s="9" t="s">
        <v>4686</v>
      </c>
      <c r="I211" s="9" t="str">
        <f t="shared" si="1"/>
        <v>Yes</v>
      </c>
      <c r="J211" s="9">
        <f t="shared" si="2"/>
        <v>1</v>
      </c>
      <c r="K211" s="9" t="str">
        <f t="shared" si="3"/>
        <v>OBESITY</v>
      </c>
    </row>
    <row r="212" ht="15.75" customHeight="1">
      <c r="A212" s="9" t="s">
        <v>423</v>
      </c>
      <c r="B212" s="9">
        <v>35.6</v>
      </c>
      <c r="C212" s="9">
        <v>4.02</v>
      </c>
      <c r="D212" s="9" t="s">
        <v>4686</v>
      </c>
      <c r="E212" s="9" t="s">
        <v>4686</v>
      </c>
      <c r="F212" s="9" t="s">
        <v>4684</v>
      </c>
      <c r="G212" s="9">
        <v>2.0</v>
      </c>
      <c r="H212" s="9" t="s">
        <v>4686</v>
      </c>
      <c r="I212" s="9" t="str">
        <f t="shared" si="1"/>
        <v>Yes</v>
      </c>
      <c r="J212" s="9">
        <f t="shared" si="2"/>
        <v>2</v>
      </c>
      <c r="K212" s="9" t="str">
        <f t="shared" si="3"/>
        <v>OBESITY</v>
      </c>
    </row>
    <row r="213" ht="15.75" customHeight="1">
      <c r="A213" s="9" t="s">
        <v>425</v>
      </c>
      <c r="B213" s="9">
        <v>34.39</v>
      </c>
      <c r="C213" s="9">
        <v>8.72</v>
      </c>
      <c r="D213" s="9" t="s">
        <v>4684</v>
      </c>
      <c r="E213" s="9" t="s">
        <v>4684</v>
      </c>
      <c r="F213" s="9" t="s">
        <v>4684</v>
      </c>
      <c r="G213" s="9" t="s">
        <v>4685</v>
      </c>
      <c r="H213" s="9" t="s">
        <v>4686</v>
      </c>
      <c r="I213" s="9" t="str">
        <f t="shared" si="1"/>
        <v>Yes</v>
      </c>
      <c r="J213" s="9">
        <f t="shared" si="2"/>
        <v>0</v>
      </c>
      <c r="K213" s="9" t="str">
        <f t="shared" si="3"/>
        <v>OBESITY</v>
      </c>
    </row>
    <row r="214" ht="15.75" customHeight="1">
      <c r="A214" s="9" t="s">
        <v>427</v>
      </c>
      <c r="B214" s="9">
        <v>29.06</v>
      </c>
      <c r="C214" s="9">
        <v>6.25</v>
      </c>
      <c r="D214" s="9" t="s">
        <v>4686</v>
      </c>
      <c r="E214" s="9" t="s">
        <v>4684</v>
      </c>
      <c r="F214" s="9" t="s">
        <v>4684</v>
      </c>
      <c r="G214" s="9">
        <v>1.0</v>
      </c>
      <c r="H214" s="9" t="s">
        <v>4686</v>
      </c>
      <c r="I214" s="9" t="str">
        <f t="shared" si="1"/>
        <v>Yes</v>
      </c>
      <c r="J214" s="9">
        <f t="shared" si="2"/>
        <v>1</v>
      </c>
      <c r="K214" s="9" t="str">
        <f t="shared" si="3"/>
        <v>OVERWEIGHT</v>
      </c>
    </row>
    <row r="215" ht="15.75" customHeight="1">
      <c r="A215" s="9" t="s">
        <v>429</v>
      </c>
      <c r="B215" s="9">
        <v>35.8</v>
      </c>
      <c r="C215" s="9">
        <v>7.32</v>
      </c>
      <c r="D215" s="9" t="s">
        <v>4684</v>
      </c>
      <c r="E215" s="9" t="s">
        <v>4684</v>
      </c>
      <c r="F215" s="9" t="s">
        <v>4684</v>
      </c>
      <c r="G215" s="9">
        <v>2.0</v>
      </c>
      <c r="H215" s="9" t="s">
        <v>4686</v>
      </c>
      <c r="I215" s="9" t="str">
        <f t="shared" si="1"/>
        <v>Yes</v>
      </c>
      <c r="J215" s="9">
        <f t="shared" si="2"/>
        <v>2</v>
      </c>
      <c r="K215" s="9" t="str">
        <f t="shared" si="3"/>
        <v>OBESITY</v>
      </c>
    </row>
    <row r="216" ht="15.75" customHeight="1">
      <c r="A216" s="9" t="s">
        <v>431</v>
      </c>
      <c r="B216" s="9">
        <v>49.8</v>
      </c>
      <c r="C216" s="9">
        <v>4.24</v>
      </c>
      <c r="D216" s="9" t="s">
        <v>4684</v>
      </c>
      <c r="E216" s="9" t="s">
        <v>4684</v>
      </c>
      <c r="F216" s="9" t="s">
        <v>4684</v>
      </c>
      <c r="G216" s="9">
        <v>1.0</v>
      </c>
      <c r="H216" s="9" t="s">
        <v>4686</v>
      </c>
      <c r="I216" s="9" t="str">
        <f t="shared" si="1"/>
        <v>Yes</v>
      </c>
      <c r="J216" s="9">
        <f t="shared" si="2"/>
        <v>1</v>
      </c>
      <c r="K216" s="9" t="str">
        <f t="shared" si="3"/>
        <v>OBESITY</v>
      </c>
    </row>
    <row r="217" ht="15.75" customHeight="1">
      <c r="A217" s="9" t="s">
        <v>433</v>
      </c>
      <c r="B217" s="9">
        <v>35.71</v>
      </c>
      <c r="C217" s="9">
        <v>6.84</v>
      </c>
      <c r="D217" s="9" t="s">
        <v>4684</v>
      </c>
      <c r="E217" s="9" t="s">
        <v>4684</v>
      </c>
      <c r="F217" s="9" t="s">
        <v>4684</v>
      </c>
      <c r="G217" s="9">
        <v>2.0</v>
      </c>
      <c r="H217" s="9" t="s">
        <v>4686</v>
      </c>
      <c r="I217" s="9" t="str">
        <f t="shared" si="1"/>
        <v>Yes</v>
      </c>
      <c r="J217" s="9">
        <f t="shared" si="2"/>
        <v>2</v>
      </c>
      <c r="K217" s="9" t="str">
        <f t="shared" si="3"/>
        <v>OBESITY</v>
      </c>
    </row>
    <row r="218" ht="15.75" customHeight="1">
      <c r="A218" s="9" t="s">
        <v>435</v>
      </c>
      <c r="B218" s="9">
        <v>30.8</v>
      </c>
      <c r="C218" s="9">
        <v>5.23</v>
      </c>
      <c r="D218" s="9" t="s">
        <v>4686</v>
      </c>
      <c r="E218" s="9" t="s">
        <v>4684</v>
      </c>
      <c r="F218" s="9" t="s">
        <v>4684</v>
      </c>
      <c r="G218" s="9">
        <v>1.0</v>
      </c>
      <c r="H218" s="9" t="s">
        <v>4686</v>
      </c>
      <c r="I218" s="9" t="str">
        <f t="shared" si="1"/>
        <v>Yes</v>
      </c>
      <c r="J218" s="9">
        <f t="shared" si="2"/>
        <v>1</v>
      </c>
      <c r="K218" s="9" t="str">
        <f t="shared" si="3"/>
        <v>OBESITY</v>
      </c>
    </row>
    <row r="219" ht="15.75" customHeight="1">
      <c r="A219" s="9" t="s">
        <v>437</v>
      </c>
      <c r="B219" s="9">
        <v>33.69</v>
      </c>
      <c r="C219" s="9">
        <v>9.68</v>
      </c>
      <c r="D219" s="9" t="s">
        <v>4684</v>
      </c>
      <c r="E219" s="9" t="s">
        <v>4684</v>
      </c>
      <c r="F219" s="9" t="s">
        <v>4684</v>
      </c>
      <c r="G219" s="9" t="s">
        <v>4685</v>
      </c>
      <c r="H219" s="9" t="s">
        <v>4686</v>
      </c>
      <c r="I219" s="9" t="str">
        <f t="shared" si="1"/>
        <v>Yes</v>
      </c>
      <c r="J219" s="9">
        <f t="shared" si="2"/>
        <v>0</v>
      </c>
      <c r="K219" s="9" t="str">
        <f t="shared" si="3"/>
        <v>OBESITY</v>
      </c>
    </row>
    <row r="220" ht="15.75" customHeight="1">
      <c r="A220" s="9" t="s">
        <v>439</v>
      </c>
      <c r="B220" s="9">
        <v>42.27</v>
      </c>
      <c r="C220" s="9">
        <v>6.05</v>
      </c>
      <c r="D220" s="9" t="s">
        <v>4686</v>
      </c>
      <c r="E220" s="9" t="s">
        <v>4684</v>
      </c>
      <c r="F220" s="9" t="s">
        <v>4684</v>
      </c>
      <c r="G220" s="9">
        <v>1.0</v>
      </c>
      <c r="H220" s="9" t="s">
        <v>4686</v>
      </c>
      <c r="I220" s="9" t="str">
        <f t="shared" si="1"/>
        <v>Yes</v>
      </c>
      <c r="J220" s="9">
        <f t="shared" si="2"/>
        <v>1</v>
      </c>
      <c r="K220" s="9" t="str">
        <f t="shared" si="3"/>
        <v>OBESITY</v>
      </c>
    </row>
    <row r="221" ht="15.75" customHeight="1">
      <c r="A221" s="9" t="s">
        <v>441</v>
      </c>
      <c r="B221" s="9">
        <v>53.25</v>
      </c>
      <c r="C221" s="9">
        <v>6.11</v>
      </c>
      <c r="D221" s="9" t="s">
        <v>4686</v>
      </c>
      <c r="E221" s="9" t="s">
        <v>4684</v>
      </c>
      <c r="F221" s="9" t="s">
        <v>4686</v>
      </c>
      <c r="G221" s="9">
        <v>1.0</v>
      </c>
      <c r="H221" s="9" t="s">
        <v>4686</v>
      </c>
      <c r="I221" s="9" t="str">
        <f t="shared" si="1"/>
        <v>Yes</v>
      </c>
      <c r="J221" s="9">
        <f t="shared" si="2"/>
        <v>1</v>
      </c>
      <c r="K221" s="9" t="str">
        <f t="shared" si="3"/>
        <v>OBESITY</v>
      </c>
    </row>
    <row r="222" ht="15.75" customHeight="1">
      <c r="A222" s="9" t="s">
        <v>443</v>
      </c>
      <c r="B222" s="9">
        <v>26.8</v>
      </c>
      <c r="C222" s="9">
        <v>10.93</v>
      </c>
      <c r="D222" s="9" t="s">
        <v>4686</v>
      </c>
      <c r="E222" s="9" t="s">
        <v>4684</v>
      </c>
      <c r="F222" s="9" t="s">
        <v>4684</v>
      </c>
      <c r="G222" s="9" t="s">
        <v>4685</v>
      </c>
      <c r="H222" s="9" t="s">
        <v>4684</v>
      </c>
      <c r="I222" s="9" t="str">
        <f t="shared" si="1"/>
        <v>No</v>
      </c>
      <c r="J222" s="9">
        <f t="shared" si="2"/>
        <v>0</v>
      </c>
      <c r="K222" s="9" t="str">
        <f t="shared" si="3"/>
        <v>OVERWEIGHT</v>
      </c>
    </row>
    <row r="223" ht="15.75" customHeight="1">
      <c r="A223" s="9" t="s">
        <v>445</v>
      </c>
      <c r="B223" s="9">
        <v>28.5</v>
      </c>
      <c r="C223" s="9">
        <v>5.12</v>
      </c>
      <c r="D223" s="9" t="s">
        <v>4684</v>
      </c>
      <c r="E223" s="9" t="s">
        <v>4684</v>
      </c>
      <c r="F223" s="9" t="s">
        <v>4684</v>
      </c>
      <c r="G223" s="9">
        <v>1.0</v>
      </c>
      <c r="H223" s="9" t="s">
        <v>4686</v>
      </c>
      <c r="I223" s="9" t="str">
        <f t="shared" si="1"/>
        <v>Yes</v>
      </c>
      <c r="J223" s="9">
        <f t="shared" si="2"/>
        <v>1</v>
      </c>
      <c r="K223" s="9" t="str">
        <f t="shared" si="3"/>
        <v>OVERWEIGHT</v>
      </c>
    </row>
    <row r="224" ht="15.75" customHeight="1">
      <c r="A224" s="9" t="s">
        <v>447</v>
      </c>
      <c r="B224" s="9">
        <v>22.895</v>
      </c>
      <c r="C224" s="9">
        <v>5.72</v>
      </c>
      <c r="D224" s="9" t="s">
        <v>4684</v>
      </c>
      <c r="E224" s="9" t="s">
        <v>4684</v>
      </c>
      <c r="F224" s="9" t="s">
        <v>4684</v>
      </c>
      <c r="G224" s="9" t="s">
        <v>4685</v>
      </c>
      <c r="H224" s="9" t="s">
        <v>4686</v>
      </c>
      <c r="I224" s="9" t="str">
        <f t="shared" si="1"/>
        <v>Yes</v>
      </c>
      <c r="J224" s="9">
        <f t="shared" si="2"/>
        <v>0</v>
      </c>
      <c r="K224" s="9" t="str">
        <f t="shared" si="3"/>
        <v>NORMAL WEIGHT</v>
      </c>
    </row>
    <row r="225" ht="15.75" customHeight="1">
      <c r="A225" s="9" t="s">
        <v>449</v>
      </c>
      <c r="B225" s="9">
        <v>34.06</v>
      </c>
      <c r="C225" s="9">
        <v>11.83</v>
      </c>
      <c r="D225" s="9" t="s">
        <v>4686</v>
      </c>
      <c r="E225" s="9" t="s">
        <v>4684</v>
      </c>
      <c r="F225" s="9" t="s">
        <v>4684</v>
      </c>
      <c r="G225" s="9">
        <v>1.0</v>
      </c>
      <c r="H225" s="9" t="s">
        <v>4686</v>
      </c>
      <c r="I225" s="9" t="str">
        <f t="shared" si="1"/>
        <v>Yes</v>
      </c>
      <c r="J225" s="9">
        <f t="shared" si="2"/>
        <v>1</v>
      </c>
      <c r="K225" s="9" t="str">
        <f t="shared" si="3"/>
        <v>OBESITY</v>
      </c>
    </row>
    <row r="226" ht="15.75" customHeight="1">
      <c r="A226" s="9" t="s">
        <v>451</v>
      </c>
      <c r="B226" s="9">
        <v>36.41</v>
      </c>
      <c r="C226" s="9">
        <v>4.55</v>
      </c>
      <c r="D226" s="9" t="s">
        <v>4684</v>
      </c>
      <c r="E226" s="9" t="s">
        <v>4684</v>
      </c>
      <c r="F226" s="9" t="s">
        <v>4684</v>
      </c>
      <c r="G226" s="9" t="s">
        <v>4685</v>
      </c>
      <c r="H226" s="9" t="s">
        <v>4686</v>
      </c>
      <c r="I226" s="9" t="str">
        <f t="shared" si="1"/>
        <v>Yes</v>
      </c>
      <c r="J226" s="9">
        <f t="shared" si="2"/>
        <v>0</v>
      </c>
      <c r="K226" s="9" t="str">
        <f t="shared" si="3"/>
        <v>OBESITY</v>
      </c>
    </row>
    <row r="227" ht="15.75" customHeight="1">
      <c r="A227" s="9" t="s">
        <v>453</v>
      </c>
      <c r="B227" s="9">
        <v>52.3</v>
      </c>
      <c r="C227" s="9">
        <v>4.87</v>
      </c>
      <c r="D227" s="9" t="s">
        <v>4686</v>
      </c>
      <c r="E227" s="9" t="s">
        <v>4684</v>
      </c>
      <c r="F227" s="9" t="s">
        <v>4686</v>
      </c>
      <c r="G227" s="9">
        <v>1.0</v>
      </c>
      <c r="H227" s="9" t="s">
        <v>4686</v>
      </c>
      <c r="I227" s="9" t="str">
        <f t="shared" si="1"/>
        <v>Yes</v>
      </c>
      <c r="J227" s="9">
        <f t="shared" si="2"/>
        <v>1</v>
      </c>
      <c r="K227" s="9" t="str">
        <f t="shared" si="3"/>
        <v>OBESITY</v>
      </c>
    </row>
    <row r="228" ht="15.75" customHeight="1">
      <c r="A228" s="9" t="s">
        <v>455</v>
      </c>
      <c r="B228" s="9">
        <v>52.66</v>
      </c>
      <c r="C228" s="9">
        <v>4.45</v>
      </c>
      <c r="D228" s="9" t="s">
        <v>4684</v>
      </c>
      <c r="E228" s="9" t="s">
        <v>4684</v>
      </c>
      <c r="F228" s="9" t="s">
        <v>4684</v>
      </c>
      <c r="G228" s="9">
        <v>1.0</v>
      </c>
      <c r="H228" s="9" t="s">
        <v>4686</v>
      </c>
      <c r="I228" s="9" t="str">
        <f t="shared" si="1"/>
        <v>Yes</v>
      </c>
      <c r="J228" s="9">
        <f t="shared" si="2"/>
        <v>1</v>
      </c>
      <c r="K228" s="9" t="str">
        <f t="shared" si="3"/>
        <v>OBESITY</v>
      </c>
    </row>
    <row r="229" ht="15.75" customHeight="1">
      <c r="A229" s="9" t="s">
        <v>457</v>
      </c>
      <c r="B229" s="9">
        <v>29.57</v>
      </c>
      <c r="C229" s="9">
        <v>9.42</v>
      </c>
      <c r="D229" s="9" t="s">
        <v>4686</v>
      </c>
      <c r="E229" s="9" t="s">
        <v>4684</v>
      </c>
      <c r="F229" s="9" t="s">
        <v>4684</v>
      </c>
      <c r="G229" s="9" t="s">
        <v>4685</v>
      </c>
      <c r="H229" s="9" t="s">
        <v>4686</v>
      </c>
      <c r="I229" s="9" t="str">
        <f t="shared" si="1"/>
        <v>Yes</v>
      </c>
      <c r="J229" s="9">
        <f t="shared" si="2"/>
        <v>0</v>
      </c>
      <c r="K229" s="9" t="str">
        <f t="shared" si="3"/>
        <v>OVERWEIGHT</v>
      </c>
    </row>
    <row r="230" ht="15.75" customHeight="1">
      <c r="A230" s="9" t="s">
        <v>459</v>
      </c>
      <c r="B230" s="9">
        <v>36.99</v>
      </c>
      <c r="C230" s="9">
        <v>5.37</v>
      </c>
      <c r="D230" s="9" t="s">
        <v>4686</v>
      </c>
      <c r="E230" s="9" t="s">
        <v>4684</v>
      </c>
      <c r="F230" s="9" t="s">
        <v>4686</v>
      </c>
      <c r="G230" s="9">
        <v>1.0</v>
      </c>
      <c r="H230" s="9" t="s">
        <v>4686</v>
      </c>
      <c r="I230" s="9" t="str">
        <f t="shared" si="1"/>
        <v>Yes</v>
      </c>
      <c r="J230" s="9">
        <f t="shared" si="2"/>
        <v>1</v>
      </c>
      <c r="K230" s="9" t="str">
        <f t="shared" si="3"/>
        <v>OBESITY</v>
      </c>
    </row>
    <row r="231" ht="15.75" customHeight="1">
      <c r="A231" s="9" t="s">
        <v>461</v>
      </c>
      <c r="B231" s="9">
        <v>31.4</v>
      </c>
      <c r="C231" s="9">
        <v>4.6</v>
      </c>
      <c r="D231" s="9" t="s">
        <v>4686</v>
      </c>
      <c r="E231" s="9" t="s">
        <v>4684</v>
      </c>
      <c r="F231" s="9" t="s">
        <v>4684</v>
      </c>
      <c r="G231" s="9">
        <v>1.0</v>
      </c>
      <c r="H231" s="9" t="s">
        <v>4686</v>
      </c>
      <c r="I231" s="9" t="str">
        <f t="shared" si="1"/>
        <v>Yes</v>
      </c>
      <c r="J231" s="9">
        <f t="shared" si="2"/>
        <v>1</v>
      </c>
      <c r="K231" s="9" t="str">
        <f t="shared" si="3"/>
        <v>OBESITY</v>
      </c>
    </row>
    <row r="232" ht="15.75" customHeight="1">
      <c r="A232" s="9" t="s">
        <v>463</v>
      </c>
      <c r="B232" s="9">
        <v>34.9</v>
      </c>
      <c r="C232" s="9">
        <v>6.22</v>
      </c>
      <c r="D232" s="9" t="s">
        <v>4684</v>
      </c>
      <c r="E232" s="9" t="s">
        <v>4684</v>
      </c>
      <c r="F232" s="9" t="s">
        <v>4686</v>
      </c>
      <c r="G232" s="9">
        <v>1.0</v>
      </c>
      <c r="H232" s="9" t="s">
        <v>4686</v>
      </c>
      <c r="I232" s="9" t="str">
        <f t="shared" si="1"/>
        <v>Yes</v>
      </c>
      <c r="J232" s="9">
        <f t="shared" si="2"/>
        <v>1</v>
      </c>
      <c r="K232" s="9" t="str">
        <f t="shared" si="3"/>
        <v>OBESITY</v>
      </c>
    </row>
    <row r="233" ht="15.75" customHeight="1">
      <c r="A233" s="9" t="s">
        <v>465</v>
      </c>
      <c r="B233" s="9">
        <v>31.13</v>
      </c>
      <c r="C233" s="9">
        <v>4.52</v>
      </c>
      <c r="D233" s="9" t="s">
        <v>4686</v>
      </c>
      <c r="E233" s="9" t="s">
        <v>4684</v>
      </c>
      <c r="F233" s="9" t="s">
        <v>4684</v>
      </c>
      <c r="G233" s="9">
        <v>1.0</v>
      </c>
      <c r="H233" s="9" t="s">
        <v>4686</v>
      </c>
      <c r="I233" s="9" t="str">
        <f t="shared" si="1"/>
        <v>Yes</v>
      </c>
      <c r="J233" s="9">
        <f t="shared" si="2"/>
        <v>1</v>
      </c>
      <c r="K233" s="9" t="str">
        <f t="shared" si="3"/>
        <v>OBESITY</v>
      </c>
    </row>
    <row r="234" ht="15.75" customHeight="1">
      <c r="A234" s="9" t="s">
        <v>467</v>
      </c>
      <c r="B234" s="9">
        <v>34.8</v>
      </c>
      <c r="C234" s="9">
        <v>6.18</v>
      </c>
      <c r="D234" s="9" t="s">
        <v>4684</v>
      </c>
      <c r="E234" s="9" t="s">
        <v>4684</v>
      </c>
      <c r="F234" s="9" t="s">
        <v>4686</v>
      </c>
      <c r="G234" s="9">
        <v>1.0</v>
      </c>
      <c r="H234" s="9" t="s">
        <v>4686</v>
      </c>
      <c r="I234" s="9" t="str">
        <f t="shared" si="1"/>
        <v>Yes</v>
      </c>
      <c r="J234" s="9">
        <f t="shared" si="2"/>
        <v>1</v>
      </c>
      <c r="K234" s="9" t="str">
        <f t="shared" si="3"/>
        <v>OBESITY</v>
      </c>
    </row>
    <row r="235" ht="15.75" customHeight="1">
      <c r="A235" s="9" t="s">
        <v>469</v>
      </c>
      <c r="B235" s="9">
        <v>31.68</v>
      </c>
      <c r="C235" s="9">
        <v>4.4</v>
      </c>
      <c r="D235" s="9" t="s">
        <v>4684</v>
      </c>
      <c r="E235" s="9" t="s">
        <v>4684</v>
      </c>
      <c r="F235" s="9" t="s">
        <v>4684</v>
      </c>
      <c r="G235" s="9" t="s">
        <v>4685</v>
      </c>
      <c r="H235" s="9" t="s">
        <v>4686</v>
      </c>
      <c r="I235" s="9" t="str">
        <f t="shared" si="1"/>
        <v>Yes</v>
      </c>
      <c r="J235" s="9">
        <f t="shared" si="2"/>
        <v>0</v>
      </c>
      <c r="K235" s="9" t="str">
        <f t="shared" si="3"/>
        <v>OBESITY</v>
      </c>
    </row>
    <row r="236" ht="15.75" customHeight="1">
      <c r="A236" s="9" t="s">
        <v>471</v>
      </c>
      <c r="B236" s="9">
        <v>33.535</v>
      </c>
      <c r="C236" s="9">
        <v>6.23</v>
      </c>
      <c r="D236" s="9" t="s">
        <v>4684</v>
      </c>
      <c r="E236" s="9" t="s">
        <v>4686</v>
      </c>
      <c r="F236" s="9" t="s">
        <v>4684</v>
      </c>
      <c r="G236" s="9">
        <v>1.0</v>
      </c>
      <c r="H236" s="9" t="s">
        <v>4686</v>
      </c>
      <c r="I236" s="9" t="str">
        <f t="shared" si="1"/>
        <v>Yes</v>
      </c>
      <c r="J236" s="9">
        <f t="shared" si="2"/>
        <v>1</v>
      </c>
      <c r="K236" s="9" t="str">
        <f t="shared" si="3"/>
        <v>OBESITY</v>
      </c>
    </row>
    <row r="237" ht="15.75" customHeight="1">
      <c r="A237" s="9" t="s">
        <v>473</v>
      </c>
      <c r="B237" s="9">
        <v>31.92</v>
      </c>
      <c r="C237" s="9">
        <v>5.33</v>
      </c>
      <c r="D237" s="9" t="s">
        <v>4686</v>
      </c>
      <c r="E237" s="9" t="s">
        <v>4684</v>
      </c>
      <c r="F237" s="9" t="s">
        <v>4684</v>
      </c>
      <c r="G237" s="9" t="s">
        <v>4685</v>
      </c>
      <c r="H237" s="9" t="s">
        <v>4686</v>
      </c>
      <c r="I237" s="9" t="str">
        <f t="shared" si="1"/>
        <v>Yes</v>
      </c>
      <c r="J237" s="9">
        <f t="shared" si="2"/>
        <v>0</v>
      </c>
      <c r="K237" s="9" t="str">
        <f t="shared" si="3"/>
        <v>OBESITY</v>
      </c>
    </row>
    <row r="238" ht="15.75" customHeight="1">
      <c r="A238" s="9" t="s">
        <v>475</v>
      </c>
      <c r="B238" s="9">
        <v>32.7</v>
      </c>
      <c r="C238" s="9">
        <v>4.09</v>
      </c>
      <c r="D238" s="9" t="s">
        <v>4684</v>
      </c>
      <c r="E238" s="9" t="s">
        <v>4684</v>
      </c>
      <c r="F238" s="9" t="s">
        <v>4684</v>
      </c>
      <c r="G238" s="9">
        <v>1.0</v>
      </c>
      <c r="H238" s="9" t="s">
        <v>4686</v>
      </c>
      <c r="I238" s="9" t="str">
        <f t="shared" si="1"/>
        <v>Yes</v>
      </c>
      <c r="J238" s="9">
        <f t="shared" si="2"/>
        <v>1</v>
      </c>
      <c r="K238" s="9" t="str">
        <f t="shared" si="3"/>
        <v>OBESITY</v>
      </c>
    </row>
    <row r="239" ht="15.75" customHeight="1">
      <c r="A239" s="9" t="s">
        <v>477</v>
      </c>
      <c r="B239" s="9">
        <v>41.25</v>
      </c>
      <c r="C239" s="9">
        <v>5.19</v>
      </c>
      <c r="D239" s="9" t="s">
        <v>4684</v>
      </c>
      <c r="E239" s="9" t="s">
        <v>4684</v>
      </c>
      <c r="F239" s="9" t="s">
        <v>4684</v>
      </c>
      <c r="G239" s="9" t="s">
        <v>4685</v>
      </c>
      <c r="H239" s="9" t="s">
        <v>4686</v>
      </c>
      <c r="I239" s="9" t="str">
        <f t="shared" si="1"/>
        <v>Yes</v>
      </c>
      <c r="J239" s="9">
        <f t="shared" si="2"/>
        <v>0</v>
      </c>
      <c r="K239" s="9" t="str">
        <f t="shared" si="3"/>
        <v>OBESITY</v>
      </c>
    </row>
    <row r="240" ht="15.75" customHeight="1">
      <c r="A240" s="9" t="s">
        <v>479</v>
      </c>
      <c r="B240" s="9">
        <v>33.11</v>
      </c>
      <c r="C240" s="9">
        <v>4.12</v>
      </c>
      <c r="D240" s="9" t="s">
        <v>4684</v>
      </c>
      <c r="E240" s="9" t="s">
        <v>4684</v>
      </c>
      <c r="F240" s="9" t="s">
        <v>4686</v>
      </c>
      <c r="G240" s="9">
        <v>1.0</v>
      </c>
      <c r="H240" s="9" t="s">
        <v>4686</v>
      </c>
      <c r="I240" s="9" t="str">
        <f t="shared" si="1"/>
        <v>Yes</v>
      </c>
      <c r="J240" s="9">
        <f t="shared" si="2"/>
        <v>1</v>
      </c>
      <c r="K240" s="9" t="str">
        <f t="shared" si="3"/>
        <v>OBESITY</v>
      </c>
    </row>
    <row r="241" ht="15.75" customHeight="1">
      <c r="A241" s="9" t="s">
        <v>481</v>
      </c>
      <c r="B241" s="9">
        <v>36.16</v>
      </c>
      <c r="C241" s="9">
        <v>5.1</v>
      </c>
      <c r="D241" s="9" t="s">
        <v>4684</v>
      </c>
      <c r="E241" s="9" t="s">
        <v>4684</v>
      </c>
      <c r="F241" s="9" t="s">
        <v>4684</v>
      </c>
      <c r="G241" s="9">
        <v>1.0</v>
      </c>
      <c r="H241" s="9" t="s">
        <v>4686</v>
      </c>
      <c r="I241" s="9" t="str">
        <f t="shared" si="1"/>
        <v>Yes</v>
      </c>
      <c r="J241" s="9">
        <f t="shared" si="2"/>
        <v>1</v>
      </c>
      <c r="K241" s="9" t="str">
        <f t="shared" si="3"/>
        <v>OBESITY</v>
      </c>
    </row>
    <row r="242" ht="15.75" customHeight="1">
      <c r="A242" s="9" t="s">
        <v>483</v>
      </c>
      <c r="B242" s="9">
        <v>33.72</v>
      </c>
      <c r="C242" s="9">
        <v>6.21</v>
      </c>
      <c r="D242" s="9" t="s">
        <v>4686</v>
      </c>
      <c r="E242" s="9" t="s">
        <v>4684</v>
      </c>
      <c r="F242" s="9" t="s">
        <v>4686</v>
      </c>
      <c r="G242" s="9">
        <v>1.0</v>
      </c>
      <c r="H242" s="9" t="s">
        <v>4686</v>
      </c>
      <c r="I242" s="9" t="str">
        <f t="shared" si="1"/>
        <v>Yes</v>
      </c>
      <c r="J242" s="9">
        <f t="shared" si="2"/>
        <v>1</v>
      </c>
      <c r="K242" s="9" t="str">
        <f t="shared" si="3"/>
        <v>OBESITY</v>
      </c>
    </row>
    <row r="243" ht="15.75" customHeight="1">
      <c r="A243" s="9" t="s">
        <v>485</v>
      </c>
      <c r="B243" s="9">
        <v>37.74</v>
      </c>
      <c r="C243" s="9">
        <v>9.53</v>
      </c>
      <c r="D243" s="9" t="s">
        <v>4686</v>
      </c>
      <c r="E243" s="9" t="s">
        <v>4684</v>
      </c>
      <c r="F243" s="9" t="s">
        <v>4684</v>
      </c>
      <c r="G243" s="9">
        <v>1.0</v>
      </c>
      <c r="H243" s="9" t="s">
        <v>4686</v>
      </c>
      <c r="I243" s="9" t="str">
        <f t="shared" si="1"/>
        <v>Yes</v>
      </c>
      <c r="J243" s="9">
        <f t="shared" si="2"/>
        <v>1</v>
      </c>
      <c r="K243" s="9" t="str">
        <f t="shared" si="3"/>
        <v>OBESITY</v>
      </c>
    </row>
    <row r="244" ht="15.75" customHeight="1">
      <c r="A244" s="9" t="s">
        <v>487</v>
      </c>
      <c r="B244" s="9">
        <v>48.75</v>
      </c>
      <c r="C244" s="9">
        <v>4.64</v>
      </c>
      <c r="D244" s="9" t="s">
        <v>4686</v>
      </c>
      <c r="E244" s="9" t="s">
        <v>4684</v>
      </c>
      <c r="F244" s="9" t="s">
        <v>4684</v>
      </c>
      <c r="G244" s="9">
        <v>1.0</v>
      </c>
      <c r="H244" s="9" t="s">
        <v>4686</v>
      </c>
      <c r="I244" s="9" t="str">
        <f t="shared" si="1"/>
        <v>Yes</v>
      </c>
      <c r="J244" s="9">
        <f t="shared" si="2"/>
        <v>1</v>
      </c>
      <c r="K244" s="9" t="str">
        <f t="shared" si="3"/>
        <v>OBESITY</v>
      </c>
    </row>
    <row r="245" ht="15.75" customHeight="1">
      <c r="A245" s="9" t="s">
        <v>489</v>
      </c>
      <c r="B245" s="9">
        <v>31.065</v>
      </c>
      <c r="C245" s="9">
        <v>5.05</v>
      </c>
      <c r="D245" s="9" t="s">
        <v>4684</v>
      </c>
      <c r="E245" s="9" t="s">
        <v>4684</v>
      </c>
      <c r="F245" s="9" t="s">
        <v>4684</v>
      </c>
      <c r="G245" s="9">
        <v>1.0</v>
      </c>
      <c r="H245" s="9" t="s">
        <v>4686</v>
      </c>
      <c r="I245" s="9" t="str">
        <f t="shared" si="1"/>
        <v>Yes</v>
      </c>
      <c r="J245" s="9">
        <f t="shared" si="2"/>
        <v>1</v>
      </c>
      <c r="K245" s="9" t="str">
        <f t="shared" si="3"/>
        <v>OBESITY</v>
      </c>
    </row>
    <row r="246" ht="15.75" customHeight="1">
      <c r="A246" s="9" t="s">
        <v>491</v>
      </c>
      <c r="B246" s="9">
        <v>23.55</v>
      </c>
      <c r="C246" s="9">
        <v>10.38</v>
      </c>
      <c r="D246" s="9" t="s">
        <v>4684</v>
      </c>
      <c r="E246" s="9" t="s">
        <v>4684</v>
      </c>
      <c r="F246" s="9" t="s">
        <v>4684</v>
      </c>
      <c r="G246" s="9" t="s">
        <v>4685</v>
      </c>
      <c r="H246" s="9" t="s">
        <v>4686</v>
      </c>
      <c r="I246" s="9" t="str">
        <f t="shared" si="1"/>
        <v>Yes</v>
      </c>
      <c r="J246" s="9">
        <f t="shared" si="2"/>
        <v>0</v>
      </c>
      <c r="K246" s="9" t="str">
        <f t="shared" si="3"/>
        <v>NORMAL WEIGHT</v>
      </c>
    </row>
    <row r="247" ht="15.75" customHeight="1">
      <c r="A247" s="9" t="s">
        <v>493</v>
      </c>
      <c r="B247" s="9">
        <v>30.18</v>
      </c>
      <c r="C247" s="9">
        <v>8.31</v>
      </c>
      <c r="D247" s="9" t="s">
        <v>4686</v>
      </c>
      <c r="E247" s="9" t="s">
        <v>4684</v>
      </c>
      <c r="F247" s="9" t="s">
        <v>4684</v>
      </c>
      <c r="G247" s="9">
        <v>1.0</v>
      </c>
      <c r="H247" s="9" t="s">
        <v>4686</v>
      </c>
      <c r="I247" s="9" t="str">
        <f t="shared" si="1"/>
        <v>Yes</v>
      </c>
      <c r="J247" s="9">
        <f t="shared" si="2"/>
        <v>1</v>
      </c>
      <c r="K247" s="9" t="str">
        <f t="shared" si="3"/>
        <v>OBESITY</v>
      </c>
    </row>
    <row r="248" ht="15.75" customHeight="1">
      <c r="A248" s="9" t="s">
        <v>495</v>
      </c>
      <c r="B248" s="9">
        <v>29.94</v>
      </c>
      <c r="C248" s="9">
        <v>7.59</v>
      </c>
      <c r="D248" s="9" t="s">
        <v>4684</v>
      </c>
      <c r="E248" s="9" t="s">
        <v>4684</v>
      </c>
      <c r="F248" s="9" t="s">
        <v>4684</v>
      </c>
      <c r="G248" s="9" t="s">
        <v>4685</v>
      </c>
      <c r="H248" s="9" t="s">
        <v>4686</v>
      </c>
      <c r="I248" s="9" t="str">
        <f t="shared" si="1"/>
        <v>Yes</v>
      </c>
      <c r="J248" s="9">
        <f t="shared" si="2"/>
        <v>0</v>
      </c>
      <c r="K248" s="9" t="str">
        <f t="shared" si="3"/>
        <v>OBESITY</v>
      </c>
    </row>
    <row r="249" ht="15.75" customHeight="1">
      <c r="A249" s="9" t="s">
        <v>497</v>
      </c>
      <c r="B249" s="9">
        <v>31.4</v>
      </c>
      <c r="C249" s="9">
        <v>5.49</v>
      </c>
      <c r="D249" s="9" t="s">
        <v>4684</v>
      </c>
      <c r="E249" s="9" t="s">
        <v>4684</v>
      </c>
      <c r="F249" s="9" t="s">
        <v>4684</v>
      </c>
      <c r="G249" s="9" t="s">
        <v>4685</v>
      </c>
      <c r="H249" s="9" t="s">
        <v>4686</v>
      </c>
      <c r="I249" s="9" t="str">
        <f t="shared" si="1"/>
        <v>Yes</v>
      </c>
      <c r="J249" s="9">
        <f t="shared" si="2"/>
        <v>0</v>
      </c>
      <c r="K249" s="9" t="str">
        <f t="shared" si="3"/>
        <v>OBESITY</v>
      </c>
    </row>
    <row r="250" ht="15.75" customHeight="1">
      <c r="A250" s="9" t="s">
        <v>499</v>
      </c>
      <c r="B250" s="9">
        <v>53.06</v>
      </c>
      <c r="C250" s="9">
        <v>11.68</v>
      </c>
      <c r="D250" s="9" t="s">
        <v>4684</v>
      </c>
      <c r="E250" s="9" t="s">
        <v>4684</v>
      </c>
      <c r="F250" s="9" t="s">
        <v>4684</v>
      </c>
      <c r="G250" s="9" t="s">
        <v>4685</v>
      </c>
      <c r="H250" s="9" t="s">
        <v>4686</v>
      </c>
      <c r="I250" s="9" t="str">
        <f t="shared" si="1"/>
        <v>Yes</v>
      </c>
      <c r="J250" s="9">
        <f t="shared" si="2"/>
        <v>0</v>
      </c>
      <c r="K250" s="9" t="str">
        <f t="shared" si="3"/>
        <v>OBESITY</v>
      </c>
    </row>
    <row r="251" ht="15.75" customHeight="1">
      <c r="A251" s="9" t="s">
        <v>501</v>
      </c>
      <c r="B251" s="9">
        <v>30.25</v>
      </c>
      <c r="C251" s="9">
        <v>4.19</v>
      </c>
      <c r="D251" s="9" t="s">
        <v>4684</v>
      </c>
      <c r="E251" s="9" t="s">
        <v>4684</v>
      </c>
      <c r="F251" s="9" t="s">
        <v>4684</v>
      </c>
      <c r="G251" s="9">
        <v>2.0</v>
      </c>
      <c r="H251" s="9" t="s">
        <v>4686</v>
      </c>
      <c r="I251" s="9" t="str">
        <f t="shared" si="1"/>
        <v>Yes</v>
      </c>
      <c r="J251" s="9">
        <f t="shared" si="2"/>
        <v>2</v>
      </c>
      <c r="K251" s="9" t="str">
        <f t="shared" si="3"/>
        <v>OBESITY</v>
      </c>
    </row>
    <row r="252" ht="15.75" customHeight="1">
      <c r="A252" s="9" t="s">
        <v>503</v>
      </c>
      <c r="B252" s="9">
        <v>46.68</v>
      </c>
      <c r="C252" s="9">
        <v>4.01</v>
      </c>
      <c r="D252" s="9" t="s">
        <v>4684</v>
      </c>
      <c r="E252" s="9" t="s">
        <v>4684</v>
      </c>
      <c r="F252" s="9" t="s">
        <v>4684</v>
      </c>
      <c r="G252" s="9" t="s">
        <v>4685</v>
      </c>
      <c r="H252" s="9" t="s">
        <v>4686</v>
      </c>
      <c r="I252" s="9" t="str">
        <f t="shared" si="1"/>
        <v>Yes</v>
      </c>
      <c r="J252" s="9">
        <f t="shared" si="2"/>
        <v>0</v>
      </c>
      <c r="K252" s="9" t="str">
        <f t="shared" si="3"/>
        <v>OBESITY</v>
      </c>
    </row>
    <row r="253" ht="15.75" customHeight="1">
      <c r="A253" s="9" t="s">
        <v>505</v>
      </c>
      <c r="B253" s="9">
        <v>30.4</v>
      </c>
      <c r="C253" s="9">
        <v>5.91</v>
      </c>
      <c r="D253" s="9" t="s">
        <v>4684</v>
      </c>
      <c r="E253" s="9" t="s">
        <v>4686</v>
      </c>
      <c r="F253" s="9" t="s">
        <v>4684</v>
      </c>
      <c r="G253" s="9">
        <v>2.0</v>
      </c>
      <c r="H253" s="9" t="s">
        <v>4686</v>
      </c>
      <c r="I253" s="9" t="str">
        <f t="shared" si="1"/>
        <v>Yes</v>
      </c>
      <c r="J253" s="9">
        <f t="shared" si="2"/>
        <v>2</v>
      </c>
      <c r="K253" s="9" t="str">
        <f t="shared" si="3"/>
        <v>OBESITY</v>
      </c>
    </row>
    <row r="254" ht="15.75" customHeight="1">
      <c r="A254" s="9" t="s">
        <v>507</v>
      </c>
      <c r="B254" s="9">
        <v>30.2</v>
      </c>
      <c r="C254" s="9">
        <v>4.47</v>
      </c>
      <c r="D254" s="9" t="s">
        <v>4686</v>
      </c>
      <c r="E254" s="9" t="s">
        <v>4684</v>
      </c>
      <c r="F254" s="9" t="s">
        <v>4686</v>
      </c>
      <c r="G254" s="9">
        <v>1.0</v>
      </c>
      <c r="H254" s="9" t="s">
        <v>4686</v>
      </c>
      <c r="I254" s="9" t="str">
        <f t="shared" si="1"/>
        <v>Yes</v>
      </c>
      <c r="J254" s="9">
        <f t="shared" si="2"/>
        <v>1</v>
      </c>
      <c r="K254" s="9" t="str">
        <f t="shared" si="3"/>
        <v>OBESITY</v>
      </c>
    </row>
    <row r="255" ht="15.75" customHeight="1">
      <c r="A255" s="9" t="s">
        <v>509</v>
      </c>
      <c r="B255" s="9">
        <v>51.18</v>
      </c>
      <c r="C255" s="9">
        <v>4.56</v>
      </c>
      <c r="D255" s="9" t="s">
        <v>4686</v>
      </c>
      <c r="E255" s="9" t="s">
        <v>4686</v>
      </c>
      <c r="F255" s="9" t="s">
        <v>4684</v>
      </c>
      <c r="G255" s="9">
        <v>2.0</v>
      </c>
      <c r="H255" s="9" t="s">
        <v>4686</v>
      </c>
      <c r="I255" s="9" t="str">
        <f t="shared" si="1"/>
        <v>Yes</v>
      </c>
      <c r="J255" s="9">
        <f t="shared" si="2"/>
        <v>2</v>
      </c>
      <c r="K255" s="9" t="str">
        <f t="shared" si="3"/>
        <v>OBESITY</v>
      </c>
    </row>
    <row r="256" ht="15.75" customHeight="1">
      <c r="A256" s="9" t="s">
        <v>511</v>
      </c>
      <c r="B256" s="9">
        <v>22.18</v>
      </c>
      <c r="C256" s="9">
        <v>9.9</v>
      </c>
      <c r="D256" s="9" t="s">
        <v>4684</v>
      </c>
      <c r="E256" s="9" t="s">
        <v>4684</v>
      </c>
      <c r="F256" s="9" t="s">
        <v>4684</v>
      </c>
      <c r="G256" s="9" t="s">
        <v>4685</v>
      </c>
      <c r="H256" s="9" t="s">
        <v>4686</v>
      </c>
      <c r="I256" s="9" t="str">
        <f t="shared" si="1"/>
        <v>Yes</v>
      </c>
      <c r="J256" s="9">
        <f t="shared" si="2"/>
        <v>0</v>
      </c>
      <c r="K256" s="9" t="str">
        <f t="shared" si="3"/>
        <v>NORMAL WEIGHT</v>
      </c>
    </row>
    <row r="257" ht="15.75" customHeight="1">
      <c r="A257" s="9" t="s">
        <v>513</v>
      </c>
      <c r="B257" s="9">
        <v>31.92</v>
      </c>
      <c r="C257" s="9">
        <v>5.11</v>
      </c>
      <c r="D257" s="9" t="s">
        <v>4684</v>
      </c>
      <c r="E257" s="9" t="s">
        <v>4684</v>
      </c>
      <c r="F257" s="9" t="s">
        <v>4686</v>
      </c>
      <c r="G257" s="9">
        <v>1.0</v>
      </c>
      <c r="H257" s="9" t="s">
        <v>4686</v>
      </c>
      <c r="I257" s="9" t="str">
        <f t="shared" si="1"/>
        <v>Yes</v>
      </c>
      <c r="J257" s="9">
        <f t="shared" si="2"/>
        <v>1</v>
      </c>
      <c r="K257" s="9" t="str">
        <f t="shared" si="3"/>
        <v>OBESITY</v>
      </c>
    </row>
    <row r="258" ht="15.75" customHeight="1">
      <c r="A258" s="9" t="s">
        <v>515</v>
      </c>
      <c r="B258" s="9">
        <v>31.73</v>
      </c>
      <c r="C258" s="9">
        <v>5.73</v>
      </c>
      <c r="D258" s="9" t="s">
        <v>4684</v>
      </c>
      <c r="E258" s="9" t="s">
        <v>4686</v>
      </c>
      <c r="F258" s="9" t="s">
        <v>4684</v>
      </c>
      <c r="G258" s="9">
        <v>1.0</v>
      </c>
      <c r="H258" s="9" t="s">
        <v>4686</v>
      </c>
      <c r="I258" s="9" t="str">
        <f t="shared" si="1"/>
        <v>Yes</v>
      </c>
      <c r="J258" s="9">
        <f t="shared" si="2"/>
        <v>1</v>
      </c>
      <c r="K258" s="9" t="str">
        <f t="shared" si="3"/>
        <v>OBESITY</v>
      </c>
    </row>
    <row r="259" ht="15.75" customHeight="1">
      <c r="A259" s="9" t="s">
        <v>517</v>
      </c>
      <c r="B259" s="9">
        <v>45.52</v>
      </c>
      <c r="C259" s="9">
        <v>6.04</v>
      </c>
      <c r="D259" s="9" t="s">
        <v>4684</v>
      </c>
      <c r="E259" s="9" t="s">
        <v>4684</v>
      </c>
      <c r="F259" s="9" t="s">
        <v>4686</v>
      </c>
      <c r="G259" s="9">
        <v>1.0</v>
      </c>
      <c r="H259" s="9" t="s">
        <v>4686</v>
      </c>
      <c r="I259" s="9" t="str">
        <f t="shared" si="1"/>
        <v>Yes</v>
      </c>
      <c r="J259" s="9">
        <f t="shared" si="2"/>
        <v>1</v>
      </c>
      <c r="K259" s="9" t="str">
        <f t="shared" si="3"/>
        <v>OBESITY</v>
      </c>
    </row>
    <row r="260" ht="15.75" customHeight="1">
      <c r="A260" s="9" t="s">
        <v>519</v>
      </c>
      <c r="B260" s="9">
        <v>52.81</v>
      </c>
      <c r="C260" s="9">
        <v>5.19</v>
      </c>
      <c r="D260" s="9" t="s">
        <v>4684</v>
      </c>
      <c r="E260" s="9" t="s">
        <v>4684</v>
      </c>
      <c r="F260" s="9" t="s">
        <v>4686</v>
      </c>
      <c r="G260" s="9">
        <v>1.0</v>
      </c>
      <c r="H260" s="9" t="s">
        <v>4686</v>
      </c>
      <c r="I260" s="9" t="str">
        <f t="shared" si="1"/>
        <v>Yes</v>
      </c>
      <c r="J260" s="9">
        <f t="shared" si="2"/>
        <v>1</v>
      </c>
      <c r="K260" s="9" t="str">
        <f t="shared" si="3"/>
        <v>OBESITY</v>
      </c>
    </row>
    <row r="261" ht="15.75" customHeight="1">
      <c r="A261" s="9" t="s">
        <v>521</v>
      </c>
      <c r="B261" s="9">
        <v>33.58</v>
      </c>
      <c r="C261" s="9">
        <v>5.56</v>
      </c>
      <c r="D261" s="9" t="s">
        <v>4684</v>
      </c>
      <c r="E261" s="9" t="s">
        <v>4684</v>
      </c>
      <c r="F261" s="9" t="s">
        <v>4684</v>
      </c>
      <c r="G261" s="9">
        <v>1.0</v>
      </c>
      <c r="H261" s="9" t="s">
        <v>4686</v>
      </c>
      <c r="I261" s="9" t="str">
        <f t="shared" si="1"/>
        <v>Yes</v>
      </c>
      <c r="J261" s="9">
        <f t="shared" si="2"/>
        <v>1</v>
      </c>
      <c r="K261" s="9" t="str">
        <f t="shared" si="3"/>
        <v>OBESITY</v>
      </c>
    </row>
    <row r="262" ht="15.75" customHeight="1">
      <c r="A262" s="9" t="s">
        <v>523</v>
      </c>
      <c r="B262" s="9">
        <v>30.685</v>
      </c>
      <c r="C262" s="9">
        <v>8.23</v>
      </c>
      <c r="D262" s="9" t="s">
        <v>4684</v>
      </c>
      <c r="E262" s="9" t="s">
        <v>4684</v>
      </c>
      <c r="F262" s="9" t="s">
        <v>4684</v>
      </c>
      <c r="G262" s="9" t="s">
        <v>4685</v>
      </c>
      <c r="H262" s="9" t="s">
        <v>4686</v>
      </c>
      <c r="I262" s="9" t="str">
        <f t="shared" si="1"/>
        <v>Yes</v>
      </c>
      <c r="J262" s="9">
        <f t="shared" si="2"/>
        <v>0</v>
      </c>
      <c r="K262" s="9" t="str">
        <f t="shared" si="3"/>
        <v>OBESITY</v>
      </c>
    </row>
    <row r="263" ht="15.75" customHeight="1">
      <c r="A263" s="9" t="s">
        <v>525</v>
      </c>
      <c r="B263" s="9">
        <v>37.525</v>
      </c>
      <c r="C263" s="9">
        <v>9.03</v>
      </c>
      <c r="D263" s="9" t="s">
        <v>4686</v>
      </c>
      <c r="E263" s="9" t="s">
        <v>4684</v>
      </c>
      <c r="F263" s="9" t="s">
        <v>4684</v>
      </c>
      <c r="G263" s="9">
        <v>2.0</v>
      </c>
      <c r="H263" s="9" t="s">
        <v>4684</v>
      </c>
      <c r="I263" s="9" t="str">
        <f t="shared" si="1"/>
        <v>No</v>
      </c>
      <c r="J263" s="9">
        <f t="shared" si="2"/>
        <v>2</v>
      </c>
      <c r="K263" s="9" t="str">
        <f t="shared" si="3"/>
        <v>OBESITY</v>
      </c>
    </row>
    <row r="264" ht="15.75" customHeight="1">
      <c r="A264" s="9" t="s">
        <v>527</v>
      </c>
      <c r="B264" s="9">
        <v>34.5</v>
      </c>
      <c r="C264" s="9">
        <v>4.07</v>
      </c>
      <c r="D264" s="9" t="s">
        <v>4686</v>
      </c>
      <c r="E264" s="9" t="s">
        <v>4684</v>
      </c>
      <c r="F264" s="9" t="s">
        <v>4684</v>
      </c>
      <c r="G264" s="9" t="s">
        <v>4685</v>
      </c>
      <c r="H264" s="9" t="s">
        <v>4686</v>
      </c>
      <c r="I264" s="9" t="str">
        <f t="shared" si="1"/>
        <v>Yes</v>
      </c>
      <c r="J264" s="9">
        <f t="shared" si="2"/>
        <v>0</v>
      </c>
      <c r="K264" s="9" t="str">
        <f t="shared" si="3"/>
        <v>OBESITY</v>
      </c>
    </row>
    <row r="265" ht="15.75" customHeight="1">
      <c r="A265" s="9" t="s">
        <v>529</v>
      </c>
      <c r="B265" s="9">
        <v>28.16</v>
      </c>
      <c r="C265" s="9">
        <v>5.77</v>
      </c>
      <c r="D265" s="9" t="s">
        <v>4684</v>
      </c>
      <c r="E265" s="9" t="s">
        <v>4684</v>
      </c>
      <c r="F265" s="9" t="s">
        <v>4684</v>
      </c>
      <c r="G265" s="9">
        <v>2.0</v>
      </c>
      <c r="H265" s="9" t="s">
        <v>4686</v>
      </c>
      <c r="I265" s="9" t="str">
        <f t="shared" si="1"/>
        <v>Yes</v>
      </c>
      <c r="J265" s="9">
        <f t="shared" si="2"/>
        <v>2</v>
      </c>
      <c r="K265" s="9" t="str">
        <f t="shared" si="3"/>
        <v>OVERWEIGHT</v>
      </c>
    </row>
    <row r="266" ht="15.75" customHeight="1">
      <c r="A266" s="9" t="s">
        <v>531</v>
      </c>
      <c r="B266" s="9">
        <v>30.02</v>
      </c>
      <c r="C266" s="9">
        <v>5.98</v>
      </c>
      <c r="D266" s="9" t="s">
        <v>4684</v>
      </c>
      <c r="E266" s="9" t="s">
        <v>4684</v>
      </c>
      <c r="F266" s="9" t="s">
        <v>4686</v>
      </c>
      <c r="G266" s="9">
        <v>1.0</v>
      </c>
      <c r="H266" s="9" t="s">
        <v>4686</v>
      </c>
      <c r="I266" s="9" t="str">
        <f t="shared" si="1"/>
        <v>Yes</v>
      </c>
      <c r="J266" s="9">
        <f t="shared" si="2"/>
        <v>1</v>
      </c>
      <c r="K266" s="9" t="str">
        <f t="shared" si="3"/>
        <v>OBESITY</v>
      </c>
    </row>
    <row r="267" ht="15.75" customHeight="1">
      <c r="A267" s="9" t="s">
        <v>533</v>
      </c>
      <c r="B267" s="9">
        <v>37.82</v>
      </c>
      <c r="C267" s="9">
        <v>6.01</v>
      </c>
      <c r="D267" s="9" t="s">
        <v>4684</v>
      </c>
      <c r="E267" s="9" t="s">
        <v>4684</v>
      </c>
      <c r="F267" s="9" t="s">
        <v>4684</v>
      </c>
      <c r="G267" s="9" t="s">
        <v>4685</v>
      </c>
      <c r="H267" s="9" t="s">
        <v>4686</v>
      </c>
      <c r="I267" s="9" t="str">
        <f t="shared" si="1"/>
        <v>Yes</v>
      </c>
      <c r="J267" s="9">
        <f t="shared" si="2"/>
        <v>0</v>
      </c>
      <c r="K267" s="9" t="str">
        <f t="shared" si="3"/>
        <v>OBESITY</v>
      </c>
    </row>
    <row r="268" ht="15.75" customHeight="1">
      <c r="A268" s="9" t="s">
        <v>535</v>
      </c>
      <c r="B268" s="9">
        <v>33.14</v>
      </c>
      <c r="C268" s="9">
        <v>5.67</v>
      </c>
      <c r="D268" s="9" t="s">
        <v>4686</v>
      </c>
      <c r="E268" s="9" t="s">
        <v>4684</v>
      </c>
      <c r="F268" s="9" t="s">
        <v>4684</v>
      </c>
      <c r="G268" s="9" t="s">
        <v>4685</v>
      </c>
      <c r="H268" s="9" t="s">
        <v>4686</v>
      </c>
      <c r="I268" s="9" t="str">
        <f t="shared" si="1"/>
        <v>Yes</v>
      </c>
      <c r="J268" s="9">
        <f t="shared" si="2"/>
        <v>0</v>
      </c>
      <c r="K268" s="9" t="str">
        <f t="shared" si="3"/>
        <v>OBESITY</v>
      </c>
    </row>
    <row r="269" ht="15.75" customHeight="1">
      <c r="A269" s="9" t="s">
        <v>537</v>
      </c>
      <c r="B269" s="9">
        <v>25.14</v>
      </c>
      <c r="C269" s="9">
        <v>6.02</v>
      </c>
      <c r="D269" s="9" t="s">
        <v>4686</v>
      </c>
      <c r="E269" s="9" t="s">
        <v>4684</v>
      </c>
      <c r="F269" s="9" t="s">
        <v>4686</v>
      </c>
      <c r="G269" s="9">
        <v>1.0</v>
      </c>
      <c r="H269" s="9" t="s">
        <v>4686</v>
      </c>
      <c r="I269" s="9" t="str">
        <f t="shared" si="1"/>
        <v>Yes</v>
      </c>
      <c r="J269" s="9">
        <f t="shared" si="2"/>
        <v>1</v>
      </c>
      <c r="K269" s="9" t="str">
        <f t="shared" si="3"/>
        <v>OVERWEIGHT</v>
      </c>
    </row>
    <row r="270" ht="15.75" customHeight="1">
      <c r="A270" s="9" t="s">
        <v>539</v>
      </c>
      <c r="B270" s="9">
        <v>20.18</v>
      </c>
      <c r="C270" s="9">
        <v>11.19</v>
      </c>
      <c r="D270" s="9" t="s">
        <v>4684</v>
      </c>
      <c r="E270" s="9" t="s">
        <v>4684</v>
      </c>
      <c r="F270" s="9" t="s">
        <v>4684</v>
      </c>
      <c r="G270" s="9" t="s">
        <v>4685</v>
      </c>
      <c r="H270" s="9" t="s">
        <v>4686</v>
      </c>
      <c r="I270" s="9" t="str">
        <f t="shared" si="1"/>
        <v>Yes</v>
      </c>
      <c r="J270" s="9">
        <f t="shared" si="2"/>
        <v>0</v>
      </c>
      <c r="K270" s="9" t="str">
        <f t="shared" si="3"/>
        <v>NORMAL WEIGHT</v>
      </c>
    </row>
    <row r="271" ht="15.75" customHeight="1">
      <c r="A271" s="9" t="s">
        <v>541</v>
      </c>
      <c r="B271" s="9">
        <v>44.36</v>
      </c>
      <c r="C271" s="9">
        <v>5.11</v>
      </c>
      <c r="D271" s="9" t="s">
        <v>4684</v>
      </c>
      <c r="E271" s="9" t="s">
        <v>4684</v>
      </c>
      <c r="F271" s="9" t="s">
        <v>4684</v>
      </c>
      <c r="G271" s="9" t="s">
        <v>4685</v>
      </c>
      <c r="H271" s="9" t="s">
        <v>4686</v>
      </c>
      <c r="I271" s="9" t="str">
        <f t="shared" si="1"/>
        <v>Yes</v>
      </c>
      <c r="J271" s="9">
        <f t="shared" si="2"/>
        <v>0</v>
      </c>
      <c r="K271" s="9" t="str">
        <f t="shared" si="3"/>
        <v>OBESITY</v>
      </c>
    </row>
    <row r="272" ht="15.75" customHeight="1">
      <c r="A272" s="9" t="s">
        <v>543</v>
      </c>
      <c r="B272" s="9">
        <v>23.82</v>
      </c>
      <c r="C272" s="9">
        <v>10.85</v>
      </c>
      <c r="D272" s="9" t="s">
        <v>4686</v>
      </c>
      <c r="E272" s="9" t="s">
        <v>4684</v>
      </c>
      <c r="F272" s="9" t="s">
        <v>4684</v>
      </c>
      <c r="G272" s="9" t="s">
        <v>4685</v>
      </c>
      <c r="H272" s="9" t="s">
        <v>4686</v>
      </c>
      <c r="I272" s="9" t="str">
        <f t="shared" si="1"/>
        <v>Yes</v>
      </c>
      <c r="J272" s="9">
        <f t="shared" si="2"/>
        <v>0</v>
      </c>
      <c r="K272" s="9" t="str">
        <f t="shared" si="3"/>
        <v>NORMAL WEIGHT</v>
      </c>
    </row>
    <row r="273" ht="15.75" customHeight="1">
      <c r="A273" s="9" t="s">
        <v>545</v>
      </c>
      <c r="B273" s="9">
        <v>45.0</v>
      </c>
      <c r="C273" s="9">
        <v>5.24</v>
      </c>
      <c r="D273" s="9" t="s">
        <v>4686</v>
      </c>
      <c r="E273" s="9" t="s">
        <v>4684</v>
      </c>
      <c r="F273" s="9" t="s">
        <v>4684</v>
      </c>
      <c r="G273" s="9">
        <v>1.0</v>
      </c>
      <c r="H273" s="9" t="s">
        <v>4686</v>
      </c>
      <c r="I273" s="9" t="str">
        <f t="shared" si="1"/>
        <v>Yes</v>
      </c>
      <c r="J273" s="9">
        <f t="shared" si="2"/>
        <v>1</v>
      </c>
      <c r="K273" s="9" t="str">
        <f t="shared" si="3"/>
        <v>OBESITY</v>
      </c>
    </row>
    <row r="274" ht="15.75" customHeight="1">
      <c r="A274" s="9" t="s">
        <v>547</v>
      </c>
      <c r="B274" s="9">
        <v>26.62</v>
      </c>
      <c r="C274" s="9">
        <v>10.08</v>
      </c>
      <c r="D274" s="9" t="s">
        <v>4684</v>
      </c>
      <c r="E274" s="9" t="s">
        <v>4684</v>
      </c>
      <c r="F274" s="9" t="s">
        <v>4684</v>
      </c>
      <c r="G274" s="9" t="s">
        <v>4685</v>
      </c>
      <c r="H274" s="9" t="s">
        <v>4686</v>
      </c>
      <c r="I274" s="9" t="str">
        <f t="shared" si="1"/>
        <v>Yes</v>
      </c>
      <c r="J274" s="9">
        <f t="shared" si="2"/>
        <v>0</v>
      </c>
      <c r="K274" s="9" t="str">
        <f t="shared" si="3"/>
        <v>OVERWEIGHT</v>
      </c>
    </row>
    <row r="275" ht="15.75" customHeight="1">
      <c r="A275" s="9" t="s">
        <v>549</v>
      </c>
      <c r="B275" s="9">
        <v>32.67</v>
      </c>
      <c r="C275" s="9">
        <v>10.97</v>
      </c>
      <c r="D275" s="9" t="s">
        <v>4686</v>
      </c>
      <c r="E275" s="9" t="s">
        <v>4684</v>
      </c>
      <c r="F275" s="9" t="s">
        <v>4684</v>
      </c>
      <c r="G275" s="9" t="s">
        <v>4685</v>
      </c>
      <c r="H275" s="9" t="s">
        <v>4686</v>
      </c>
      <c r="I275" s="9" t="str">
        <f t="shared" si="1"/>
        <v>Yes</v>
      </c>
      <c r="J275" s="9">
        <f t="shared" si="2"/>
        <v>0</v>
      </c>
      <c r="K275" s="9" t="str">
        <f t="shared" si="3"/>
        <v>OBESITY</v>
      </c>
    </row>
    <row r="276" ht="15.75" customHeight="1">
      <c r="A276" s="9" t="s">
        <v>551</v>
      </c>
      <c r="B276" s="9">
        <v>44.44</v>
      </c>
      <c r="C276" s="9">
        <v>4.9</v>
      </c>
      <c r="D276" s="9" t="s">
        <v>4686</v>
      </c>
      <c r="E276" s="9" t="s">
        <v>4684</v>
      </c>
      <c r="F276" s="9" t="s">
        <v>4684</v>
      </c>
      <c r="G276" s="9">
        <v>1.0</v>
      </c>
      <c r="H276" s="9" t="s">
        <v>4686</v>
      </c>
      <c r="I276" s="9" t="str">
        <f t="shared" si="1"/>
        <v>Yes</v>
      </c>
      <c r="J276" s="9">
        <f t="shared" si="2"/>
        <v>1</v>
      </c>
      <c r="K276" s="9" t="str">
        <f t="shared" si="3"/>
        <v>OBESITY</v>
      </c>
    </row>
    <row r="277" ht="15.75" customHeight="1">
      <c r="A277" s="9" t="s">
        <v>553</v>
      </c>
      <c r="B277" s="9">
        <v>28.31</v>
      </c>
      <c r="C277" s="9">
        <v>5.33</v>
      </c>
      <c r="D277" s="9" t="s">
        <v>4684</v>
      </c>
      <c r="E277" s="9" t="s">
        <v>4684</v>
      </c>
      <c r="F277" s="9" t="s">
        <v>4684</v>
      </c>
      <c r="G277" s="9" t="s">
        <v>4685</v>
      </c>
      <c r="H277" s="9" t="s">
        <v>4686</v>
      </c>
      <c r="I277" s="9" t="str">
        <f t="shared" si="1"/>
        <v>Yes</v>
      </c>
      <c r="J277" s="9">
        <f t="shared" si="2"/>
        <v>0</v>
      </c>
      <c r="K277" s="9" t="str">
        <f t="shared" si="3"/>
        <v>OVERWEIGHT</v>
      </c>
    </row>
    <row r="278" ht="15.75" customHeight="1">
      <c r="A278" s="9" t="s">
        <v>555</v>
      </c>
      <c r="B278" s="9">
        <v>25.05</v>
      </c>
      <c r="C278" s="9">
        <v>4.61</v>
      </c>
      <c r="D278" s="9" t="s">
        <v>4684</v>
      </c>
      <c r="E278" s="9" t="s">
        <v>4684</v>
      </c>
      <c r="F278" s="9" t="s">
        <v>4684</v>
      </c>
      <c r="G278" s="9">
        <v>2.0</v>
      </c>
      <c r="H278" s="9" t="s">
        <v>4686</v>
      </c>
      <c r="I278" s="9" t="str">
        <f t="shared" si="1"/>
        <v>Yes</v>
      </c>
      <c r="J278" s="9">
        <f t="shared" si="2"/>
        <v>2</v>
      </c>
      <c r="K278" s="9" t="str">
        <f t="shared" si="3"/>
        <v>OVERWEIGHT</v>
      </c>
    </row>
    <row r="279" ht="15.75" customHeight="1">
      <c r="A279" s="9" t="s">
        <v>557</v>
      </c>
      <c r="B279" s="9">
        <v>28.34</v>
      </c>
      <c r="C279" s="9">
        <v>8.18</v>
      </c>
      <c r="D279" s="9" t="s">
        <v>4684</v>
      </c>
      <c r="E279" s="9" t="s">
        <v>4684</v>
      </c>
      <c r="F279" s="9" t="s">
        <v>4684</v>
      </c>
      <c r="G279" s="9" t="s">
        <v>4685</v>
      </c>
      <c r="H279" s="9" t="s">
        <v>4686</v>
      </c>
      <c r="I279" s="9" t="str">
        <f t="shared" si="1"/>
        <v>Yes</v>
      </c>
      <c r="J279" s="9">
        <f t="shared" si="2"/>
        <v>0</v>
      </c>
      <c r="K279" s="9" t="str">
        <f t="shared" si="3"/>
        <v>OVERWEIGHT</v>
      </c>
    </row>
    <row r="280" ht="15.75" customHeight="1">
      <c r="A280" s="9" t="s">
        <v>559</v>
      </c>
      <c r="B280" s="9">
        <v>17.765</v>
      </c>
      <c r="C280" s="9">
        <v>5.62</v>
      </c>
      <c r="D280" s="9" t="s">
        <v>4684</v>
      </c>
      <c r="E280" s="9" t="s">
        <v>4684</v>
      </c>
      <c r="F280" s="9" t="s">
        <v>4684</v>
      </c>
      <c r="G280" s="9" t="s">
        <v>4685</v>
      </c>
      <c r="H280" s="9" t="s">
        <v>4686</v>
      </c>
      <c r="I280" s="9" t="str">
        <f t="shared" si="1"/>
        <v>Yes</v>
      </c>
      <c r="J280" s="9">
        <f t="shared" si="2"/>
        <v>0</v>
      </c>
      <c r="K280" s="9" t="str">
        <f t="shared" si="3"/>
        <v>UNDERWEIGHT</v>
      </c>
    </row>
    <row r="281" ht="15.75" customHeight="1">
      <c r="A281" s="9" t="s">
        <v>561</v>
      </c>
      <c r="B281" s="9">
        <v>36.12</v>
      </c>
      <c r="C281" s="9">
        <v>5.82</v>
      </c>
      <c r="D281" s="9" t="s">
        <v>4684</v>
      </c>
      <c r="E281" s="9" t="s">
        <v>4684</v>
      </c>
      <c r="F281" s="9" t="s">
        <v>4684</v>
      </c>
      <c r="G281" s="9" t="s">
        <v>4685</v>
      </c>
      <c r="H281" s="9" t="s">
        <v>4686</v>
      </c>
      <c r="I281" s="9" t="str">
        <f t="shared" si="1"/>
        <v>Yes</v>
      </c>
      <c r="J281" s="9">
        <f t="shared" si="2"/>
        <v>0</v>
      </c>
      <c r="K281" s="9" t="str">
        <f t="shared" si="3"/>
        <v>OBESITY</v>
      </c>
    </row>
    <row r="282" ht="15.75" customHeight="1">
      <c r="A282" s="9" t="s">
        <v>563</v>
      </c>
      <c r="B282" s="9">
        <v>23.19</v>
      </c>
      <c r="C282" s="9">
        <v>7.66</v>
      </c>
      <c r="D282" s="9" t="s">
        <v>4684</v>
      </c>
      <c r="E282" s="9" t="s">
        <v>4684</v>
      </c>
      <c r="F282" s="9" t="s">
        <v>4684</v>
      </c>
      <c r="G282" s="9" t="s">
        <v>4685</v>
      </c>
      <c r="H282" s="9" t="s">
        <v>4686</v>
      </c>
      <c r="I282" s="9" t="str">
        <f t="shared" si="1"/>
        <v>Yes</v>
      </c>
      <c r="J282" s="9">
        <f t="shared" si="2"/>
        <v>0</v>
      </c>
      <c r="K282" s="9" t="str">
        <f t="shared" si="3"/>
        <v>NORMAL WEIGHT</v>
      </c>
    </row>
    <row r="283" ht="15.75" customHeight="1">
      <c r="A283" s="9" t="s">
        <v>565</v>
      </c>
      <c r="B283" s="9">
        <v>35.99</v>
      </c>
      <c r="C283" s="9">
        <v>4.23</v>
      </c>
      <c r="D283" s="9" t="s">
        <v>4684</v>
      </c>
      <c r="E283" s="9" t="s">
        <v>4684</v>
      </c>
      <c r="F283" s="9" t="s">
        <v>4684</v>
      </c>
      <c r="G283" s="9" t="s">
        <v>4685</v>
      </c>
      <c r="H283" s="9" t="s">
        <v>4686</v>
      </c>
      <c r="I283" s="9" t="str">
        <f t="shared" si="1"/>
        <v>Yes</v>
      </c>
      <c r="J283" s="9">
        <f t="shared" si="2"/>
        <v>0</v>
      </c>
      <c r="K283" s="9" t="str">
        <f t="shared" si="3"/>
        <v>OBESITY</v>
      </c>
    </row>
    <row r="284" ht="15.75" customHeight="1">
      <c r="A284" s="9" t="s">
        <v>567</v>
      </c>
      <c r="B284" s="9">
        <v>30.25</v>
      </c>
      <c r="C284" s="9">
        <v>5.58</v>
      </c>
      <c r="D284" s="9" t="s">
        <v>4684</v>
      </c>
      <c r="E284" s="9" t="s">
        <v>4684</v>
      </c>
      <c r="F284" s="9" t="s">
        <v>4686</v>
      </c>
      <c r="G284" s="9">
        <v>1.0</v>
      </c>
      <c r="H284" s="9" t="s">
        <v>4686</v>
      </c>
      <c r="I284" s="9" t="str">
        <f t="shared" si="1"/>
        <v>Yes</v>
      </c>
      <c r="J284" s="9">
        <f t="shared" si="2"/>
        <v>1</v>
      </c>
      <c r="K284" s="9" t="str">
        <f t="shared" si="3"/>
        <v>OBESITY</v>
      </c>
    </row>
    <row r="285" ht="15.75" customHeight="1">
      <c r="A285" s="9" t="s">
        <v>569</v>
      </c>
      <c r="B285" s="9">
        <v>26.24</v>
      </c>
      <c r="C285" s="9">
        <v>6.26</v>
      </c>
      <c r="D285" s="9" t="s">
        <v>4686</v>
      </c>
      <c r="E285" s="9" t="s">
        <v>4684</v>
      </c>
      <c r="F285" s="9" t="s">
        <v>4684</v>
      </c>
      <c r="G285" s="9" t="s">
        <v>4685</v>
      </c>
      <c r="H285" s="9" t="s">
        <v>4686</v>
      </c>
      <c r="I285" s="9" t="str">
        <f t="shared" si="1"/>
        <v>Yes</v>
      </c>
      <c r="J285" s="9">
        <f t="shared" si="2"/>
        <v>0</v>
      </c>
      <c r="K285" s="9" t="str">
        <f t="shared" si="3"/>
        <v>OVERWEIGHT</v>
      </c>
    </row>
    <row r="286" ht="15.75" customHeight="1">
      <c r="A286" s="9" t="s">
        <v>571</v>
      </c>
      <c r="B286" s="9">
        <v>31.36</v>
      </c>
      <c r="C286" s="9">
        <v>10.6</v>
      </c>
      <c r="D286" s="9" t="s">
        <v>4686</v>
      </c>
      <c r="E286" s="9" t="s">
        <v>4684</v>
      </c>
      <c r="F286" s="9" t="s">
        <v>4684</v>
      </c>
      <c r="G286" s="9" t="s">
        <v>4685</v>
      </c>
      <c r="H286" s="9" t="s">
        <v>4686</v>
      </c>
      <c r="I286" s="9" t="str">
        <f t="shared" si="1"/>
        <v>Yes</v>
      </c>
      <c r="J286" s="9">
        <f t="shared" si="2"/>
        <v>0</v>
      </c>
      <c r="K286" s="9" t="str">
        <f t="shared" si="3"/>
        <v>OBESITY</v>
      </c>
    </row>
    <row r="287" ht="15.75" customHeight="1">
      <c r="A287" s="9" t="s">
        <v>573</v>
      </c>
      <c r="B287" s="9">
        <v>25.69</v>
      </c>
      <c r="C287" s="9">
        <v>4.78</v>
      </c>
      <c r="D287" s="9" t="s">
        <v>4686</v>
      </c>
      <c r="E287" s="9" t="s">
        <v>4684</v>
      </c>
      <c r="F287" s="9" t="s">
        <v>4684</v>
      </c>
      <c r="G287" s="9" t="s">
        <v>4685</v>
      </c>
      <c r="H287" s="9" t="s">
        <v>4686</v>
      </c>
      <c r="I287" s="9" t="str">
        <f t="shared" si="1"/>
        <v>Yes</v>
      </c>
      <c r="J287" s="9">
        <f t="shared" si="2"/>
        <v>0</v>
      </c>
      <c r="K287" s="9" t="str">
        <f t="shared" si="3"/>
        <v>OVERWEIGHT</v>
      </c>
    </row>
    <row r="288" ht="15.75" customHeight="1">
      <c r="A288" s="9" t="s">
        <v>575</v>
      </c>
      <c r="B288" s="9">
        <v>25.46</v>
      </c>
      <c r="C288" s="9">
        <v>6.03</v>
      </c>
      <c r="D288" s="9" t="s">
        <v>4684</v>
      </c>
      <c r="E288" s="9" t="s">
        <v>4684</v>
      </c>
      <c r="F288" s="9" t="s">
        <v>4684</v>
      </c>
      <c r="G288" s="9">
        <v>2.0</v>
      </c>
      <c r="H288" s="9" t="s">
        <v>4686</v>
      </c>
      <c r="I288" s="9" t="str">
        <f t="shared" si="1"/>
        <v>Yes</v>
      </c>
      <c r="J288" s="9">
        <f t="shared" si="2"/>
        <v>2</v>
      </c>
      <c r="K288" s="9" t="str">
        <f t="shared" si="3"/>
        <v>OVERWEIGHT</v>
      </c>
    </row>
    <row r="289" ht="15.75" customHeight="1">
      <c r="A289" s="9" t="s">
        <v>577</v>
      </c>
      <c r="B289" s="9">
        <v>31.83</v>
      </c>
      <c r="C289" s="9">
        <v>11.55</v>
      </c>
      <c r="D289" s="9" t="s">
        <v>4686</v>
      </c>
      <c r="E289" s="9" t="s">
        <v>4684</v>
      </c>
      <c r="F289" s="9" t="s">
        <v>4684</v>
      </c>
      <c r="G289" s="9">
        <v>1.0</v>
      </c>
      <c r="H289" s="9" t="s">
        <v>4686</v>
      </c>
      <c r="I289" s="9" t="str">
        <f t="shared" si="1"/>
        <v>Yes</v>
      </c>
      <c r="J289" s="9">
        <f t="shared" si="2"/>
        <v>1</v>
      </c>
      <c r="K289" s="9" t="str">
        <f t="shared" si="3"/>
        <v>OBESITY</v>
      </c>
    </row>
    <row r="290" ht="15.75" customHeight="1">
      <c r="A290" s="9" t="s">
        <v>579</v>
      </c>
      <c r="B290" s="9">
        <v>24.43</v>
      </c>
      <c r="C290" s="9">
        <v>7.59</v>
      </c>
      <c r="D290" s="9" t="s">
        <v>4686</v>
      </c>
      <c r="E290" s="9" t="s">
        <v>4684</v>
      </c>
      <c r="F290" s="9" t="s">
        <v>4684</v>
      </c>
      <c r="G290" s="9">
        <v>1.0</v>
      </c>
      <c r="H290" s="9" t="s">
        <v>4686</v>
      </c>
      <c r="I290" s="9" t="str">
        <f t="shared" si="1"/>
        <v>Yes</v>
      </c>
      <c r="J290" s="9">
        <f t="shared" si="2"/>
        <v>1</v>
      </c>
      <c r="K290" s="9" t="str">
        <f t="shared" si="3"/>
        <v>NORMAL WEIGHT</v>
      </c>
    </row>
    <row r="291" ht="15.75" customHeight="1">
      <c r="A291" s="9" t="s">
        <v>581</v>
      </c>
      <c r="B291" s="9">
        <v>41.9</v>
      </c>
      <c r="C291" s="9">
        <v>4.26</v>
      </c>
      <c r="D291" s="9" t="s">
        <v>4684</v>
      </c>
      <c r="E291" s="9" t="s">
        <v>4684</v>
      </c>
      <c r="F291" s="9" t="s">
        <v>4684</v>
      </c>
      <c r="G291" s="9" t="s">
        <v>4685</v>
      </c>
      <c r="H291" s="9" t="s">
        <v>4686</v>
      </c>
      <c r="I291" s="9" t="str">
        <f t="shared" si="1"/>
        <v>Yes</v>
      </c>
      <c r="J291" s="9">
        <f t="shared" si="2"/>
        <v>0</v>
      </c>
      <c r="K291" s="9" t="str">
        <f t="shared" si="3"/>
        <v>OBESITY</v>
      </c>
    </row>
    <row r="292" ht="15.75" customHeight="1">
      <c r="A292" s="9" t="s">
        <v>583</v>
      </c>
      <c r="B292" s="9">
        <v>22.88</v>
      </c>
      <c r="C292" s="9">
        <v>5.9</v>
      </c>
      <c r="D292" s="9" t="s">
        <v>4686</v>
      </c>
      <c r="E292" s="9" t="s">
        <v>4684</v>
      </c>
      <c r="F292" s="9" t="s">
        <v>4686</v>
      </c>
      <c r="G292" s="9">
        <v>1.0</v>
      </c>
      <c r="H292" s="9" t="s">
        <v>4686</v>
      </c>
      <c r="I292" s="9" t="str">
        <f t="shared" si="1"/>
        <v>Yes</v>
      </c>
      <c r="J292" s="9">
        <f t="shared" si="2"/>
        <v>1</v>
      </c>
      <c r="K292" s="9" t="str">
        <f t="shared" si="3"/>
        <v>NORMAL WEIGHT</v>
      </c>
    </row>
    <row r="293" ht="15.75" customHeight="1">
      <c r="A293" s="9" t="s">
        <v>585</v>
      </c>
      <c r="B293" s="9">
        <v>29.735</v>
      </c>
      <c r="C293" s="9">
        <v>7.79</v>
      </c>
      <c r="D293" s="9" t="s">
        <v>4684</v>
      </c>
      <c r="E293" s="9" t="s">
        <v>4684</v>
      </c>
      <c r="F293" s="9" t="s">
        <v>4684</v>
      </c>
      <c r="G293" s="9" t="s">
        <v>4685</v>
      </c>
      <c r="H293" s="9" t="s">
        <v>4684</v>
      </c>
      <c r="I293" s="9" t="str">
        <f t="shared" si="1"/>
        <v>No</v>
      </c>
      <c r="J293" s="9">
        <f t="shared" si="2"/>
        <v>0</v>
      </c>
      <c r="K293" s="9" t="str">
        <f t="shared" si="3"/>
        <v>OVERWEIGHT</v>
      </c>
    </row>
    <row r="294" ht="15.75" customHeight="1">
      <c r="A294" s="9" t="s">
        <v>587</v>
      </c>
      <c r="B294" s="9">
        <v>40.74</v>
      </c>
      <c r="C294" s="9">
        <v>5.28</v>
      </c>
      <c r="D294" s="9" t="s">
        <v>4684</v>
      </c>
      <c r="E294" s="9" t="s">
        <v>4684</v>
      </c>
      <c r="F294" s="9" t="s">
        <v>4686</v>
      </c>
      <c r="G294" s="9">
        <v>1.0</v>
      </c>
      <c r="H294" s="9" t="s">
        <v>4686</v>
      </c>
      <c r="I294" s="9" t="str">
        <f t="shared" si="1"/>
        <v>Yes</v>
      </c>
      <c r="J294" s="9">
        <f t="shared" si="2"/>
        <v>1</v>
      </c>
      <c r="K294" s="9" t="str">
        <f t="shared" si="3"/>
        <v>OBESITY</v>
      </c>
    </row>
    <row r="295" ht="15.75" customHeight="1">
      <c r="A295" s="9" t="s">
        <v>589</v>
      </c>
      <c r="B295" s="9">
        <v>24.14</v>
      </c>
      <c r="C295" s="9">
        <v>5.87</v>
      </c>
      <c r="D295" s="9" t="s">
        <v>4684</v>
      </c>
      <c r="E295" s="9" t="s">
        <v>4684</v>
      </c>
      <c r="F295" s="9" t="s">
        <v>4684</v>
      </c>
      <c r="G295" s="9">
        <v>2.0</v>
      </c>
      <c r="H295" s="9" t="s">
        <v>4686</v>
      </c>
      <c r="I295" s="9" t="str">
        <f t="shared" si="1"/>
        <v>Yes</v>
      </c>
      <c r="J295" s="9">
        <f t="shared" si="2"/>
        <v>2</v>
      </c>
      <c r="K295" s="9" t="str">
        <f t="shared" si="3"/>
        <v>NORMAL WEIGHT</v>
      </c>
    </row>
    <row r="296" ht="15.75" customHeight="1">
      <c r="A296" s="9" t="s">
        <v>591</v>
      </c>
      <c r="B296" s="9">
        <v>25.15</v>
      </c>
      <c r="C296" s="9">
        <v>9.08</v>
      </c>
      <c r="D296" s="9" t="s">
        <v>4686</v>
      </c>
      <c r="E296" s="9" t="s">
        <v>4684</v>
      </c>
      <c r="F296" s="9" t="s">
        <v>4684</v>
      </c>
      <c r="G296" s="9">
        <v>1.0</v>
      </c>
      <c r="H296" s="9" t="s">
        <v>4686</v>
      </c>
      <c r="I296" s="9" t="str">
        <f t="shared" si="1"/>
        <v>Yes</v>
      </c>
      <c r="J296" s="9">
        <f t="shared" si="2"/>
        <v>1</v>
      </c>
      <c r="K296" s="9" t="str">
        <f t="shared" si="3"/>
        <v>OVERWEIGHT</v>
      </c>
    </row>
    <row r="297" ht="15.75" customHeight="1">
      <c r="A297" s="9" t="s">
        <v>593</v>
      </c>
      <c r="B297" s="9">
        <v>28.71</v>
      </c>
      <c r="C297" s="9">
        <v>5.2</v>
      </c>
      <c r="D297" s="9" t="s">
        <v>4684</v>
      </c>
      <c r="E297" s="9" t="s">
        <v>4684</v>
      </c>
      <c r="F297" s="9" t="s">
        <v>4684</v>
      </c>
      <c r="G297" s="9">
        <v>1.0</v>
      </c>
      <c r="H297" s="9" t="s">
        <v>4686</v>
      </c>
      <c r="I297" s="9" t="str">
        <f t="shared" si="1"/>
        <v>Yes</v>
      </c>
      <c r="J297" s="9">
        <f t="shared" si="2"/>
        <v>1</v>
      </c>
      <c r="K297" s="9" t="str">
        <f t="shared" si="3"/>
        <v>OVERWEIGHT</v>
      </c>
    </row>
    <row r="298" ht="15.75" customHeight="1">
      <c r="A298" s="9" t="s">
        <v>595</v>
      </c>
      <c r="B298" s="9">
        <v>23.0</v>
      </c>
      <c r="C298" s="9">
        <v>5.48</v>
      </c>
      <c r="D298" s="9" t="s">
        <v>4684</v>
      </c>
      <c r="E298" s="9" t="s">
        <v>4684</v>
      </c>
      <c r="F298" s="9" t="s">
        <v>4684</v>
      </c>
      <c r="G298" s="9" t="s">
        <v>4685</v>
      </c>
      <c r="H298" s="9" t="s">
        <v>4686</v>
      </c>
      <c r="I298" s="9" t="str">
        <f t="shared" si="1"/>
        <v>Yes</v>
      </c>
      <c r="J298" s="9">
        <f t="shared" si="2"/>
        <v>0</v>
      </c>
      <c r="K298" s="9" t="str">
        <f t="shared" si="3"/>
        <v>NORMAL WEIGHT</v>
      </c>
    </row>
    <row r="299" ht="15.75" customHeight="1">
      <c r="A299" s="9" t="s">
        <v>597</v>
      </c>
      <c r="B299" s="9">
        <v>36.86</v>
      </c>
      <c r="C299" s="9">
        <v>11.95</v>
      </c>
      <c r="D299" s="9" t="s">
        <v>4684</v>
      </c>
      <c r="E299" s="9" t="s">
        <v>4684</v>
      </c>
      <c r="F299" s="9" t="s">
        <v>4684</v>
      </c>
      <c r="G299" s="9" t="s">
        <v>4685</v>
      </c>
      <c r="H299" s="9" t="s">
        <v>4684</v>
      </c>
      <c r="I299" s="9" t="str">
        <f t="shared" si="1"/>
        <v>No</v>
      </c>
      <c r="J299" s="9">
        <f t="shared" si="2"/>
        <v>0</v>
      </c>
      <c r="K299" s="9" t="str">
        <f t="shared" si="3"/>
        <v>OBESITY</v>
      </c>
    </row>
    <row r="300" ht="15.75" customHeight="1">
      <c r="A300" s="9" t="s">
        <v>599</v>
      </c>
      <c r="B300" s="9">
        <v>24.25</v>
      </c>
      <c r="C300" s="9">
        <v>8.7</v>
      </c>
      <c r="D300" s="9" t="s">
        <v>4686</v>
      </c>
      <c r="E300" s="9" t="s">
        <v>4684</v>
      </c>
      <c r="F300" s="9" t="s">
        <v>4684</v>
      </c>
      <c r="G300" s="9">
        <v>1.0</v>
      </c>
      <c r="H300" s="9" t="s">
        <v>4686</v>
      </c>
      <c r="I300" s="9" t="str">
        <f t="shared" si="1"/>
        <v>Yes</v>
      </c>
      <c r="J300" s="9">
        <f t="shared" si="2"/>
        <v>1</v>
      </c>
      <c r="K300" s="9" t="str">
        <f t="shared" si="3"/>
        <v>NORMAL WEIGHT</v>
      </c>
    </row>
    <row r="301" ht="15.75" customHeight="1">
      <c r="A301" s="9" t="s">
        <v>601</v>
      </c>
      <c r="B301" s="9">
        <v>23.85</v>
      </c>
      <c r="C301" s="9">
        <v>7.84</v>
      </c>
      <c r="D301" s="9" t="s">
        <v>4684</v>
      </c>
      <c r="E301" s="9" t="s">
        <v>4684</v>
      </c>
      <c r="F301" s="9" t="s">
        <v>4684</v>
      </c>
      <c r="G301" s="9" t="s">
        <v>4685</v>
      </c>
      <c r="H301" s="9" t="s">
        <v>4686</v>
      </c>
      <c r="I301" s="9" t="str">
        <f t="shared" si="1"/>
        <v>Yes</v>
      </c>
      <c r="J301" s="9">
        <f t="shared" si="2"/>
        <v>0</v>
      </c>
      <c r="K301" s="9" t="str">
        <f t="shared" si="3"/>
        <v>NORMAL WEIGHT</v>
      </c>
    </row>
    <row r="302" ht="15.75" customHeight="1">
      <c r="A302" s="9" t="s">
        <v>603</v>
      </c>
      <c r="B302" s="9">
        <v>40.02</v>
      </c>
      <c r="C302" s="9">
        <v>5.19</v>
      </c>
      <c r="D302" s="9" t="s">
        <v>4686</v>
      </c>
      <c r="E302" s="9" t="s">
        <v>4684</v>
      </c>
      <c r="F302" s="9" t="s">
        <v>4684</v>
      </c>
      <c r="G302" s="9">
        <v>1.0</v>
      </c>
      <c r="H302" s="9" t="s">
        <v>4686</v>
      </c>
      <c r="I302" s="9" t="str">
        <f t="shared" si="1"/>
        <v>Yes</v>
      </c>
      <c r="J302" s="9">
        <f t="shared" si="2"/>
        <v>1</v>
      </c>
      <c r="K302" s="9" t="str">
        <f t="shared" si="3"/>
        <v>OBESITY</v>
      </c>
    </row>
    <row r="303" ht="15.75" customHeight="1">
      <c r="A303" s="9" t="s">
        <v>605</v>
      </c>
      <c r="B303" s="9">
        <v>19.17</v>
      </c>
      <c r="C303" s="9">
        <v>8.41</v>
      </c>
      <c r="D303" s="9" t="s">
        <v>4684</v>
      </c>
      <c r="E303" s="9" t="s">
        <v>4684</v>
      </c>
      <c r="F303" s="9" t="s">
        <v>4684</v>
      </c>
      <c r="G303" s="9" t="s">
        <v>4685</v>
      </c>
      <c r="H303" s="9" t="s">
        <v>4686</v>
      </c>
      <c r="I303" s="9" t="str">
        <f t="shared" si="1"/>
        <v>Yes</v>
      </c>
      <c r="J303" s="9">
        <f t="shared" si="2"/>
        <v>0</v>
      </c>
      <c r="K303" s="9" t="str">
        <f t="shared" si="3"/>
        <v>NORMAL WEIGHT</v>
      </c>
    </row>
    <row r="304" ht="15.75" customHeight="1">
      <c r="A304" s="9" t="s">
        <v>607</v>
      </c>
      <c r="B304" s="9">
        <v>43.53</v>
      </c>
      <c r="C304" s="9">
        <v>5.86</v>
      </c>
      <c r="D304" s="9" t="s">
        <v>4686</v>
      </c>
      <c r="E304" s="9" t="s">
        <v>4686</v>
      </c>
      <c r="F304" s="9" t="s">
        <v>4684</v>
      </c>
      <c r="G304" s="9">
        <v>2.0</v>
      </c>
      <c r="H304" s="9" t="s">
        <v>4686</v>
      </c>
      <c r="I304" s="9" t="str">
        <f t="shared" si="1"/>
        <v>Yes</v>
      </c>
      <c r="J304" s="9">
        <f t="shared" si="2"/>
        <v>2</v>
      </c>
      <c r="K304" s="9" t="str">
        <f t="shared" si="3"/>
        <v>OBESITY</v>
      </c>
    </row>
    <row r="305" ht="15.75" customHeight="1">
      <c r="A305" s="9" t="s">
        <v>609</v>
      </c>
      <c r="B305" s="9">
        <v>46.06</v>
      </c>
      <c r="C305" s="9">
        <v>4.18</v>
      </c>
      <c r="D305" s="9" t="s">
        <v>4684</v>
      </c>
      <c r="E305" s="9" t="s">
        <v>4686</v>
      </c>
      <c r="F305" s="9" t="s">
        <v>4684</v>
      </c>
      <c r="G305" s="9">
        <v>1.0</v>
      </c>
      <c r="H305" s="9" t="s">
        <v>4686</v>
      </c>
      <c r="I305" s="9" t="str">
        <f t="shared" si="1"/>
        <v>Yes</v>
      </c>
      <c r="J305" s="9">
        <f t="shared" si="2"/>
        <v>1</v>
      </c>
      <c r="K305" s="9" t="str">
        <f t="shared" si="3"/>
        <v>OBESITY</v>
      </c>
    </row>
    <row r="306" ht="15.75" customHeight="1">
      <c r="A306" s="9" t="s">
        <v>611</v>
      </c>
      <c r="B306" s="9">
        <v>29.92</v>
      </c>
      <c r="C306" s="9">
        <v>11.99</v>
      </c>
      <c r="D306" s="9" t="s">
        <v>4686</v>
      </c>
      <c r="E306" s="9" t="s">
        <v>4684</v>
      </c>
      <c r="F306" s="9" t="s">
        <v>4684</v>
      </c>
      <c r="G306" s="9">
        <v>2.0</v>
      </c>
      <c r="H306" s="9" t="s">
        <v>4686</v>
      </c>
      <c r="I306" s="9" t="str">
        <f t="shared" si="1"/>
        <v>Yes</v>
      </c>
      <c r="J306" s="9">
        <f t="shared" si="2"/>
        <v>2</v>
      </c>
      <c r="K306" s="9" t="str">
        <f t="shared" si="3"/>
        <v>OBESITY</v>
      </c>
    </row>
    <row r="307" ht="15.75" customHeight="1">
      <c r="A307" s="9" t="s">
        <v>613</v>
      </c>
      <c r="B307" s="9">
        <v>28.46</v>
      </c>
      <c r="C307" s="9">
        <v>4.85</v>
      </c>
      <c r="D307" s="9" t="s">
        <v>4686</v>
      </c>
      <c r="E307" s="9" t="s">
        <v>4684</v>
      </c>
      <c r="F307" s="9" t="s">
        <v>4684</v>
      </c>
      <c r="G307" s="9">
        <v>1.0</v>
      </c>
      <c r="H307" s="9" t="s">
        <v>4686</v>
      </c>
      <c r="I307" s="9" t="str">
        <f t="shared" si="1"/>
        <v>Yes</v>
      </c>
      <c r="J307" s="9">
        <f t="shared" si="2"/>
        <v>1</v>
      </c>
      <c r="K307" s="9" t="str">
        <f t="shared" si="3"/>
        <v>OVERWEIGHT</v>
      </c>
    </row>
    <row r="308" ht="15.75" customHeight="1">
      <c r="A308" s="9" t="s">
        <v>615</v>
      </c>
      <c r="B308" s="9">
        <v>24.56</v>
      </c>
      <c r="C308" s="9">
        <v>6.18</v>
      </c>
      <c r="D308" s="9" t="s">
        <v>4686</v>
      </c>
      <c r="E308" s="9" t="s">
        <v>4684</v>
      </c>
      <c r="F308" s="9" t="s">
        <v>4686</v>
      </c>
      <c r="G308" s="9">
        <v>1.0</v>
      </c>
      <c r="H308" s="9" t="s">
        <v>4686</v>
      </c>
      <c r="I308" s="9" t="str">
        <f t="shared" si="1"/>
        <v>Yes</v>
      </c>
      <c r="J308" s="9">
        <f t="shared" si="2"/>
        <v>1</v>
      </c>
      <c r="K308" s="9" t="str">
        <f t="shared" si="3"/>
        <v>NORMAL WEIGHT</v>
      </c>
    </row>
    <row r="309" ht="15.75" customHeight="1">
      <c r="A309" s="9" t="s">
        <v>617</v>
      </c>
      <c r="B309" s="9">
        <v>41.19</v>
      </c>
      <c r="C309" s="9">
        <v>6.37</v>
      </c>
      <c r="D309" s="9" t="s">
        <v>4684</v>
      </c>
      <c r="E309" s="9" t="s">
        <v>4684</v>
      </c>
      <c r="F309" s="9" t="s">
        <v>4684</v>
      </c>
      <c r="G309" s="9" t="s">
        <v>4685</v>
      </c>
      <c r="H309" s="9" t="s">
        <v>4686</v>
      </c>
      <c r="I309" s="9" t="str">
        <f t="shared" si="1"/>
        <v>Yes</v>
      </c>
      <c r="J309" s="9">
        <f t="shared" si="2"/>
        <v>0</v>
      </c>
      <c r="K309" s="9" t="str">
        <f t="shared" si="3"/>
        <v>OBESITY</v>
      </c>
    </row>
    <row r="310" ht="15.75" customHeight="1">
      <c r="A310" s="9" t="s">
        <v>619</v>
      </c>
      <c r="B310" s="9">
        <v>18.63</v>
      </c>
      <c r="C310" s="9">
        <v>9.81</v>
      </c>
      <c r="D310" s="9" t="s">
        <v>4686</v>
      </c>
      <c r="E310" s="9" t="s">
        <v>4684</v>
      </c>
      <c r="F310" s="9" t="s">
        <v>4684</v>
      </c>
      <c r="G310" s="9">
        <v>2.0</v>
      </c>
      <c r="H310" s="9" t="s">
        <v>4686</v>
      </c>
      <c r="I310" s="9" t="str">
        <f t="shared" si="1"/>
        <v>Yes</v>
      </c>
      <c r="J310" s="9">
        <f t="shared" si="2"/>
        <v>2</v>
      </c>
      <c r="K310" s="9" t="str">
        <f t="shared" si="3"/>
        <v>NORMAL WEIGHT</v>
      </c>
    </row>
    <row r="311" ht="15.75" customHeight="1">
      <c r="A311" s="9" t="s">
        <v>621</v>
      </c>
      <c r="B311" s="9">
        <v>26.26</v>
      </c>
      <c r="C311" s="9">
        <v>11.8</v>
      </c>
      <c r="D311" s="9" t="s">
        <v>4686</v>
      </c>
      <c r="E311" s="9" t="s">
        <v>4684</v>
      </c>
      <c r="F311" s="9" t="s">
        <v>4684</v>
      </c>
      <c r="G311" s="9">
        <v>1.0</v>
      </c>
      <c r="H311" s="9" t="s">
        <v>4686</v>
      </c>
      <c r="I311" s="9" t="str">
        <f t="shared" si="1"/>
        <v>Yes</v>
      </c>
      <c r="J311" s="9">
        <f t="shared" si="2"/>
        <v>1</v>
      </c>
      <c r="K311" s="9" t="str">
        <f t="shared" si="3"/>
        <v>OVERWEIGHT</v>
      </c>
    </row>
    <row r="312" ht="15.75" customHeight="1">
      <c r="A312" s="9" t="s">
        <v>623</v>
      </c>
      <c r="B312" s="9">
        <v>22.37</v>
      </c>
      <c r="C312" s="9">
        <v>5.86</v>
      </c>
      <c r="D312" s="9" t="s">
        <v>4686</v>
      </c>
      <c r="E312" s="9" t="s">
        <v>4684</v>
      </c>
      <c r="F312" s="9" t="s">
        <v>4686</v>
      </c>
      <c r="G312" s="9">
        <v>1.0</v>
      </c>
      <c r="H312" s="9" t="s">
        <v>4686</v>
      </c>
      <c r="I312" s="9" t="str">
        <f t="shared" si="1"/>
        <v>Yes</v>
      </c>
      <c r="J312" s="9">
        <f t="shared" si="2"/>
        <v>1</v>
      </c>
      <c r="K312" s="9" t="str">
        <f t="shared" si="3"/>
        <v>NORMAL WEIGHT</v>
      </c>
    </row>
    <row r="313" ht="15.75" customHeight="1">
      <c r="A313" s="9" t="s">
        <v>625</v>
      </c>
      <c r="B313" s="9">
        <v>39.62</v>
      </c>
      <c r="C313" s="9">
        <v>4.28</v>
      </c>
      <c r="D313" s="9" t="s">
        <v>4684</v>
      </c>
      <c r="E313" s="9" t="s">
        <v>4684</v>
      </c>
      <c r="F313" s="9" t="s">
        <v>4684</v>
      </c>
      <c r="G313" s="9">
        <v>1.0</v>
      </c>
      <c r="H313" s="9" t="s">
        <v>4686</v>
      </c>
      <c r="I313" s="9" t="str">
        <f t="shared" si="1"/>
        <v>Yes</v>
      </c>
      <c r="J313" s="9">
        <f t="shared" si="2"/>
        <v>1</v>
      </c>
      <c r="K313" s="9" t="str">
        <f t="shared" si="3"/>
        <v>OBESITY</v>
      </c>
    </row>
    <row r="314" ht="15.75" customHeight="1">
      <c r="A314" s="9" t="s">
        <v>627</v>
      </c>
      <c r="B314" s="9">
        <v>18.33</v>
      </c>
      <c r="C314" s="9">
        <v>4.16</v>
      </c>
      <c r="D314" s="9" t="s">
        <v>4686</v>
      </c>
      <c r="E314" s="9" t="s">
        <v>4684</v>
      </c>
      <c r="F314" s="9" t="s">
        <v>4684</v>
      </c>
      <c r="G314" s="9" t="s">
        <v>4685</v>
      </c>
      <c r="H314" s="9" t="s">
        <v>4686</v>
      </c>
      <c r="I314" s="9" t="str">
        <f t="shared" si="1"/>
        <v>Yes</v>
      </c>
      <c r="J314" s="9">
        <f t="shared" si="2"/>
        <v>0</v>
      </c>
      <c r="K314" s="9" t="str">
        <f t="shared" si="3"/>
        <v>UNDERWEIGHT</v>
      </c>
    </row>
    <row r="315" ht="15.75" customHeight="1">
      <c r="A315" s="9" t="s">
        <v>629</v>
      </c>
      <c r="B315" s="9">
        <v>17.11</v>
      </c>
      <c r="C315" s="9">
        <v>4.98</v>
      </c>
      <c r="D315" s="9" t="s">
        <v>4686</v>
      </c>
      <c r="E315" s="9" t="s">
        <v>4684</v>
      </c>
      <c r="F315" s="9" t="s">
        <v>4686</v>
      </c>
      <c r="G315" s="9">
        <v>1.0</v>
      </c>
      <c r="H315" s="9" t="s">
        <v>4686</v>
      </c>
      <c r="I315" s="9" t="str">
        <f t="shared" si="1"/>
        <v>Yes</v>
      </c>
      <c r="J315" s="9">
        <f t="shared" si="2"/>
        <v>1</v>
      </c>
      <c r="K315" s="9" t="str">
        <f t="shared" si="3"/>
        <v>UNDERWEIGHT</v>
      </c>
    </row>
    <row r="316" ht="15.75" customHeight="1">
      <c r="A316" s="9" t="s">
        <v>631</v>
      </c>
      <c r="B316" s="9">
        <v>43.5</v>
      </c>
      <c r="C316" s="9">
        <v>6.38</v>
      </c>
      <c r="D316" s="9" t="s">
        <v>4684</v>
      </c>
      <c r="E316" s="9" t="s">
        <v>4686</v>
      </c>
      <c r="F316" s="9" t="s">
        <v>4684</v>
      </c>
      <c r="G316" s="9">
        <v>1.0</v>
      </c>
      <c r="H316" s="9" t="s">
        <v>4686</v>
      </c>
      <c r="I316" s="9" t="str">
        <f t="shared" si="1"/>
        <v>Yes</v>
      </c>
      <c r="J316" s="9">
        <f t="shared" si="2"/>
        <v>1</v>
      </c>
      <c r="K316" s="9" t="str">
        <f t="shared" si="3"/>
        <v>OBESITY</v>
      </c>
    </row>
    <row r="317" ht="15.75" customHeight="1">
      <c r="A317" s="9" t="s">
        <v>633</v>
      </c>
      <c r="B317" s="9">
        <v>25.365</v>
      </c>
      <c r="C317" s="9">
        <v>5.19</v>
      </c>
      <c r="D317" s="9" t="s">
        <v>4684</v>
      </c>
      <c r="E317" s="9" t="s">
        <v>4684</v>
      </c>
      <c r="F317" s="9" t="s">
        <v>4684</v>
      </c>
      <c r="G317" s="9">
        <v>2.0</v>
      </c>
      <c r="H317" s="9" t="s">
        <v>4684</v>
      </c>
      <c r="I317" s="9" t="str">
        <f t="shared" si="1"/>
        <v>No</v>
      </c>
      <c r="J317" s="9">
        <f t="shared" si="2"/>
        <v>2</v>
      </c>
      <c r="K317" s="9" t="str">
        <f t="shared" si="3"/>
        <v>OVERWEIGHT</v>
      </c>
    </row>
    <row r="318" ht="15.75" customHeight="1">
      <c r="A318" s="9" t="s">
        <v>635</v>
      </c>
      <c r="B318" s="9">
        <v>28.595</v>
      </c>
      <c r="C318" s="9">
        <v>10.21</v>
      </c>
      <c r="D318" s="9" t="s">
        <v>4684</v>
      </c>
      <c r="E318" s="9" t="s">
        <v>4684</v>
      </c>
      <c r="F318" s="9" t="s">
        <v>4684</v>
      </c>
      <c r="G318" s="9" t="s">
        <v>4685</v>
      </c>
      <c r="H318" s="9" t="s">
        <v>4684</v>
      </c>
      <c r="I318" s="9" t="str">
        <f t="shared" si="1"/>
        <v>No</v>
      </c>
      <c r="J318" s="9">
        <f t="shared" si="2"/>
        <v>0</v>
      </c>
      <c r="K318" s="9" t="str">
        <f t="shared" si="3"/>
        <v>OVERWEIGHT</v>
      </c>
    </row>
    <row r="319" ht="15.75" customHeight="1">
      <c r="A319" s="9" t="s">
        <v>637</v>
      </c>
      <c r="B319" s="9">
        <v>29.83</v>
      </c>
      <c r="C319" s="9">
        <v>9.7</v>
      </c>
      <c r="D319" s="9" t="s">
        <v>4686</v>
      </c>
      <c r="E319" s="9" t="s">
        <v>4684</v>
      </c>
      <c r="F319" s="9" t="s">
        <v>4686</v>
      </c>
      <c r="G319" s="9">
        <v>1.0</v>
      </c>
      <c r="H319" s="9" t="s">
        <v>4686</v>
      </c>
      <c r="I319" s="9" t="str">
        <f t="shared" si="1"/>
        <v>Yes</v>
      </c>
      <c r="J319" s="9">
        <f t="shared" si="2"/>
        <v>1</v>
      </c>
      <c r="K319" s="9" t="str">
        <f t="shared" si="3"/>
        <v>OVERWEIGHT</v>
      </c>
    </row>
    <row r="320" ht="15.75" customHeight="1">
      <c r="A320" s="9" t="s">
        <v>639</v>
      </c>
      <c r="B320" s="9">
        <v>24.7</v>
      </c>
      <c r="C320" s="9">
        <v>10.25</v>
      </c>
      <c r="D320" s="9" t="s">
        <v>4684</v>
      </c>
      <c r="E320" s="9" t="s">
        <v>4684</v>
      </c>
      <c r="F320" s="9" t="s">
        <v>4684</v>
      </c>
      <c r="G320" s="9">
        <v>3.0</v>
      </c>
      <c r="H320" s="9" t="s">
        <v>4684</v>
      </c>
      <c r="I320" s="9" t="str">
        <f t="shared" si="1"/>
        <v>No</v>
      </c>
      <c r="J320" s="9">
        <f t="shared" si="2"/>
        <v>3</v>
      </c>
      <c r="K320" s="9" t="str">
        <f t="shared" si="3"/>
        <v>NORMAL WEIGHT</v>
      </c>
    </row>
    <row r="321" ht="15.75" customHeight="1">
      <c r="A321" s="9" t="s">
        <v>641</v>
      </c>
      <c r="B321" s="9">
        <v>17.94</v>
      </c>
      <c r="C321" s="9">
        <v>9.77</v>
      </c>
      <c r="D321" s="9" t="s">
        <v>4684</v>
      </c>
      <c r="E321" s="9" t="s">
        <v>4684</v>
      </c>
      <c r="F321" s="9" t="s">
        <v>4684</v>
      </c>
      <c r="G321" s="9" t="s">
        <v>4685</v>
      </c>
      <c r="H321" s="9" t="s">
        <v>4686</v>
      </c>
      <c r="I321" s="9" t="str">
        <f t="shared" si="1"/>
        <v>Yes</v>
      </c>
      <c r="J321" s="9">
        <f t="shared" si="2"/>
        <v>0</v>
      </c>
      <c r="K321" s="9" t="str">
        <f t="shared" si="3"/>
        <v>UNDERWEIGHT</v>
      </c>
    </row>
    <row r="322" ht="15.75" customHeight="1">
      <c r="A322" s="9" t="s">
        <v>643</v>
      </c>
      <c r="B322" s="9">
        <v>21.08</v>
      </c>
      <c r="C322" s="9">
        <v>4.83</v>
      </c>
      <c r="D322" s="9" t="s">
        <v>4684</v>
      </c>
      <c r="E322" s="9" t="s">
        <v>4684</v>
      </c>
      <c r="F322" s="9" t="s">
        <v>4686</v>
      </c>
      <c r="G322" s="9">
        <v>1.0</v>
      </c>
      <c r="H322" s="9" t="s">
        <v>4686</v>
      </c>
      <c r="I322" s="9" t="str">
        <f t="shared" si="1"/>
        <v>Yes</v>
      </c>
      <c r="J322" s="9">
        <f t="shared" si="2"/>
        <v>1</v>
      </c>
      <c r="K322" s="9" t="str">
        <f t="shared" si="3"/>
        <v>NORMAL WEIGHT</v>
      </c>
    </row>
    <row r="323" ht="15.75" customHeight="1">
      <c r="A323" s="9" t="s">
        <v>645</v>
      </c>
      <c r="B323" s="9">
        <v>37.715</v>
      </c>
      <c r="C323" s="9">
        <v>10.86</v>
      </c>
      <c r="D323" s="9" t="s">
        <v>4686</v>
      </c>
      <c r="E323" s="9" t="s">
        <v>4684</v>
      </c>
      <c r="F323" s="9" t="s">
        <v>4684</v>
      </c>
      <c r="G323" s="9" t="s">
        <v>4685</v>
      </c>
      <c r="H323" s="9" t="s">
        <v>4684</v>
      </c>
      <c r="I323" s="9" t="str">
        <f t="shared" si="1"/>
        <v>No</v>
      </c>
      <c r="J323" s="9">
        <f t="shared" si="2"/>
        <v>0</v>
      </c>
      <c r="K323" s="9" t="str">
        <f t="shared" si="3"/>
        <v>OBESITY</v>
      </c>
    </row>
    <row r="324" ht="15.75" customHeight="1">
      <c r="A324" s="9" t="s">
        <v>647</v>
      </c>
      <c r="B324" s="9">
        <v>22.39</v>
      </c>
      <c r="C324" s="9">
        <v>9.53</v>
      </c>
      <c r="D324" s="9" t="s">
        <v>4686</v>
      </c>
      <c r="E324" s="9" t="s">
        <v>4684</v>
      </c>
      <c r="F324" s="9" t="s">
        <v>4684</v>
      </c>
      <c r="G324" s="9" t="s">
        <v>4685</v>
      </c>
      <c r="H324" s="9" t="s">
        <v>4686</v>
      </c>
      <c r="I324" s="9" t="str">
        <f t="shared" si="1"/>
        <v>Yes</v>
      </c>
      <c r="J324" s="9">
        <f t="shared" si="2"/>
        <v>0</v>
      </c>
      <c r="K324" s="9" t="str">
        <f t="shared" si="3"/>
        <v>NORMAL WEIGHT</v>
      </c>
    </row>
    <row r="325" ht="15.75" customHeight="1">
      <c r="A325" s="9" t="s">
        <v>649</v>
      </c>
      <c r="B325" s="9">
        <v>28.78</v>
      </c>
      <c r="C325" s="9">
        <v>5.68</v>
      </c>
      <c r="D325" s="9" t="s">
        <v>4684</v>
      </c>
      <c r="E325" s="9" t="s">
        <v>4684</v>
      </c>
      <c r="F325" s="9" t="s">
        <v>4684</v>
      </c>
      <c r="G325" s="9" t="s">
        <v>4685</v>
      </c>
      <c r="H325" s="9" t="s">
        <v>4686</v>
      </c>
      <c r="I325" s="9" t="str">
        <f t="shared" si="1"/>
        <v>Yes</v>
      </c>
      <c r="J325" s="9">
        <f t="shared" si="2"/>
        <v>0</v>
      </c>
      <c r="K325" s="9" t="str">
        <f t="shared" si="3"/>
        <v>OVERWEIGHT</v>
      </c>
    </row>
    <row r="326" ht="15.75" customHeight="1">
      <c r="A326" s="9" t="s">
        <v>651</v>
      </c>
      <c r="B326" s="9">
        <v>18.33</v>
      </c>
      <c r="C326" s="9">
        <v>5.57</v>
      </c>
      <c r="D326" s="9" t="s">
        <v>4686</v>
      </c>
      <c r="E326" s="9" t="s">
        <v>4684</v>
      </c>
      <c r="F326" s="9" t="s">
        <v>4684</v>
      </c>
      <c r="G326" s="9" t="s">
        <v>4685</v>
      </c>
      <c r="H326" s="9" t="s">
        <v>4686</v>
      </c>
      <c r="I326" s="9" t="str">
        <f t="shared" si="1"/>
        <v>Yes</v>
      </c>
      <c r="J326" s="9">
        <f t="shared" si="2"/>
        <v>0</v>
      </c>
      <c r="K326" s="9" t="str">
        <f t="shared" si="3"/>
        <v>UNDERWEIGHT</v>
      </c>
    </row>
    <row r="327" ht="15.75" customHeight="1">
      <c r="A327" s="9" t="s">
        <v>653</v>
      </c>
      <c r="B327" s="9">
        <v>26.39</v>
      </c>
      <c r="C327" s="9">
        <v>4.58</v>
      </c>
      <c r="D327" s="9" t="s">
        <v>4686</v>
      </c>
      <c r="E327" s="9" t="s">
        <v>4684</v>
      </c>
      <c r="F327" s="9" t="s">
        <v>4684</v>
      </c>
      <c r="G327" s="9">
        <v>1.0</v>
      </c>
      <c r="H327" s="9" t="s">
        <v>4686</v>
      </c>
      <c r="I327" s="9" t="str">
        <f t="shared" si="1"/>
        <v>Yes</v>
      </c>
      <c r="J327" s="9">
        <f t="shared" si="2"/>
        <v>1</v>
      </c>
      <c r="K327" s="9" t="str">
        <f t="shared" si="3"/>
        <v>OVERWEIGHT</v>
      </c>
    </row>
    <row r="328" ht="15.75" customHeight="1">
      <c r="A328" s="9" t="s">
        <v>655</v>
      </c>
      <c r="B328" s="9">
        <v>19.26</v>
      </c>
      <c r="C328" s="9">
        <v>8.96</v>
      </c>
      <c r="D328" s="9" t="s">
        <v>4686</v>
      </c>
      <c r="E328" s="9" t="s">
        <v>4684</v>
      </c>
      <c r="F328" s="9" t="s">
        <v>4684</v>
      </c>
      <c r="G328" s="9">
        <v>1.0</v>
      </c>
      <c r="H328" s="9" t="s">
        <v>4686</v>
      </c>
      <c r="I328" s="9" t="str">
        <f t="shared" si="1"/>
        <v>Yes</v>
      </c>
      <c r="J328" s="9">
        <f t="shared" si="2"/>
        <v>1</v>
      </c>
      <c r="K328" s="9" t="str">
        <f t="shared" si="3"/>
        <v>NORMAL WEIGHT</v>
      </c>
    </row>
    <row r="329" ht="15.75" customHeight="1">
      <c r="A329" s="9" t="s">
        <v>657</v>
      </c>
      <c r="B329" s="9">
        <v>26.92</v>
      </c>
      <c r="C329" s="9">
        <v>6.09</v>
      </c>
      <c r="D329" s="9" t="s">
        <v>4684</v>
      </c>
      <c r="E329" s="9" t="s">
        <v>4684</v>
      </c>
      <c r="F329" s="9" t="s">
        <v>4684</v>
      </c>
      <c r="G329" s="9" t="s">
        <v>4685</v>
      </c>
      <c r="H329" s="9" t="s">
        <v>4686</v>
      </c>
      <c r="I329" s="9" t="str">
        <f t="shared" si="1"/>
        <v>Yes</v>
      </c>
      <c r="J329" s="9">
        <f t="shared" si="2"/>
        <v>0</v>
      </c>
      <c r="K329" s="9" t="str">
        <f t="shared" si="3"/>
        <v>OVERWEIGHT</v>
      </c>
    </row>
    <row r="330" ht="15.75" customHeight="1">
      <c r="A330" s="9" t="s">
        <v>659</v>
      </c>
      <c r="B330" s="9">
        <v>19.73</v>
      </c>
      <c r="C330" s="9">
        <v>4.36</v>
      </c>
      <c r="D330" s="9" t="s">
        <v>4684</v>
      </c>
      <c r="E330" s="9" t="s">
        <v>4684</v>
      </c>
      <c r="F330" s="9" t="s">
        <v>4684</v>
      </c>
      <c r="G330" s="9" t="s">
        <v>4685</v>
      </c>
      <c r="H330" s="9" t="s">
        <v>4686</v>
      </c>
      <c r="I330" s="9" t="str">
        <f t="shared" si="1"/>
        <v>Yes</v>
      </c>
      <c r="J330" s="9">
        <f t="shared" si="2"/>
        <v>0</v>
      </c>
      <c r="K330" s="9" t="str">
        <f t="shared" si="3"/>
        <v>NORMAL WEIGHT</v>
      </c>
    </row>
    <row r="331" ht="15.75" customHeight="1">
      <c r="A331" s="9" t="s">
        <v>661</v>
      </c>
      <c r="B331" s="9">
        <v>23.56</v>
      </c>
      <c r="C331" s="9">
        <v>11.74</v>
      </c>
      <c r="D331" s="9" t="s">
        <v>4686</v>
      </c>
      <c r="E331" s="9" t="s">
        <v>4684</v>
      </c>
      <c r="F331" s="9" t="s">
        <v>4684</v>
      </c>
      <c r="G331" s="9" t="s">
        <v>4685</v>
      </c>
      <c r="H331" s="9" t="s">
        <v>4686</v>
      </c>
      <c r="I331" s="9" t="str">
        <f t="shared" si="1"/>
        <v>Yes</v>
      </c>
      <c r="J331" s="9">
        <f t="shared" si="2"/>
        <v>0</v>
      </c>
      <c r="K331" s="9" t="str">
        <f t="shared" si="3"/>
        <v>NORMAL WEIGHT</v>
      </c>
    </row>
    <row r="332" ht="15.75" customHeight="1">
      <c r="A332" s="9" t="s">
        <v>663</v>
      </c>
      <c r="B332" s="9">
        <v>37.67</v>
      </c>
      <c r="C332" s="9">
        <v>5.89</v>
      </c>
      <c r="D332" s="9" t="s">
        <v>4684</v>
      </c>
      <c r="E332" s="9" t="s">
        <v>4684</v>
      </c>
      <c r="F332" s="9" t="s">
        <v>4684</v>
      </c>
      <c r="G332" s="9">
        <v>1.0</v>
      </c>
      <c r="H332" s="9" t="s">
        <v>4686</v>
      </c>
      <c r="I332" s="9" t="str">
        <f t="shared" si="1"/>
        <v>Yes</v>
      </c>
      <c r="J332" s="9">
        <f t="shared" si="2"/>
        <v>1</v>
      </c>
      <c r="K332" s="9" t="str">
        <f t="shared" si="3"/>
        <v>OBESITY</v>
      </c>
    </row>
    <row r="333" ht="15.75" customHeight="1">
      <c r="A333" s="9" t="s">
        <v>665</v>
      </c>
      <c r="B333" s="9">
        <v>18.73</v>
      </c>
      <c r="C333" s="9">
        <v>10.64</v>
      </c>
      <c r="D333" s="9" t="s">
        <v>4684</v>
      </c>
      <c r="E333" s="9" t="s">
        <v>4684</v>
      </c>
      <c r="F333" s="9" t="s">
        <v>4684</v>
      </c>
      <c r="G333" s="9">
        <v>2.0</v>
      </c>
      <c r="H333" s="9" t="s">
        <v>4686</v>
      </c>
      <c r="I333" s="9" t="str">
        <f t="shared" si="1"/>
        <v>Yes</v>
      </c>
      <c r="J333" s="9">
        <f t="shared" si="2"/>
        <v>2</v>
      </c>
      <c r="K333" s="9" t="str">
        <f t="shared" si="3"/>
        <v>NORMAL WEIGHT</v>
      </c>
    </row>
    <row r="334" ht="15.75" customHeight="1">
      <c r="A334" s="9" t="s">
        <v>667</v>
      </c>
      <c r="B334" s="9">
        <v>33.09</v>
      </c>
      <c r="C334" s="9">
        <v>6.06</v>
      </c>
      <c r="D334" s="9" t="s">
        <v>4684</v>
      </c>
      <c r="E334" s="9" t="s">
        <v>4684</v>
      </c>
      <c r="F334" s="9" t="s">
        <v>4686</v>
      </c>
      <c r="G334" s="9">
        <v>1.0</v>
      </c>
      <c r="H334" s="9" t="s">
        <v>4686</v>
      </c>
      <c r="I334" s="9" t="str">
        <f t="shared" si="1"/>
        <v>Yes</v>
      </c>
      <c r="J334" s="9">
        <f t="shared" si="2"/>
        <v>1</v>
      </c>
      <c r="K334" s="9" t="str">
        <f t="shared" si="3"/>
        <v>OBESITY</v>
      </c>
    </row>
    <row r="335" ht="15.75" customHeight="1">
      <c r="A335" s="9" t="s">
        <v>669</v>
      </c>
      <c r="B335" s="9">
        <v>18.33</v>
      </c>
      <c r="C335" s="9">
        <v>7.46</v>
      </c>
      <c r="D335" s="9" t="s">
        <v>4686</v>
      </c>
      <c r="E335" s="9" t="s">
        <v>4684</v>
      </c>
      <c r="F335" s="9" t="s">
        <v>4684</v>
      </c>
      <c r="G335" s="9">
        <v>1.0</v>
      </c>
      <c r="H335" s="9" t="s">
        <v>4686</v>
      </c>
      <c r="I335" s="9" t="str">
        <f t="shared" si="1"/>
        <v>Yes</v>
      </c>
      <c r="J335" s="9">
        <f t="shared" si="2"/>
        <v>1</v>
      </c>
      <c r="K335" s="9" t="str">
        <f t="shared" si="3"/>
        <v>UNDERWEIGHT</v>
      </c>
    </row>
    <row r="336" ht="15.75" customHeight="1">
      <c r="A336" s="9" t="s">
        <v>671</v>
      </c>
      <c r="B336" s="9">
        <v>27.74</v>
      </c>
      <c r="C336" s="9">
        <v>4.68</v>
      </c>
      <c r="D336" s="9" t="s">
        <v>4686</v>
      </c>
      <c r="E336" s="9" t="s">
        <v>4684</v>
      </c>
      <c r="F336" s="9" t="s">
        <v>4684</v>
      </c>
      <c r="G336" s="9">
        <v>2.0</v>
      </c>
      <c r="H336" s="9" t="s">
        <v>4686</v>
      </c>
      <c r="I336" s="9" t="str">
        <f t="shared" si="1"/>
        <v>Yes</v>
      </c>
      <c r="J336" s="9">
        <f t="shared" si="2"/>
        <v>2</v>
      </c>
      <c r="K336" s="9" t="str">
        <f t="shared" si="3"/>
        <v>OVERWEIGHT</v>
      </c>
    </row>
    <row r="337" ht="15.75" customHeight="1">
      <c r="A337" s="9" t="s">
        <v>673</v>
      </c>
      <c r="B337" s="9">
        <v>24.2</v>
      </c>
      <c r="C337" s="9">
        <v>6.15</v>
      </c>
      <c r="D337" s="9" t="s">
        <v>4684</v>
      </c>
      <c r="E337" s="9" t="s">
        <v>4684</v>
      </c>
      <c r="F337" s="9" t="s">
        <v>4684</v>
      </c>
      <c r="G337" s="9">
        <v>1.0</v>
      </c>
      <c r="H337" s="9" t="s">
        <v>4686</v>
      </c>
      <c r="I337" s="9" t="str">
        <f t="shared" si="1"/>
        <v>Yes</v>
      </c>
      <c r="J337" s="9">
        <f t="shared" si="2"/>
        <v>1</v>
      </c>
      <c r="K337" s="9" t="str">
        <f t="shared" si="3"/>
        <v>NORMAL WEIGHT</v>
      </c>
    </row>
    <row r="338" ht="15.75" customHeight="1">
      <c r="A338" s="9" t="s">
        <v>675</v>
      </c>
      <c r="B338" s="9">
        <v>22.03</v>
      </c>
      <c r="C338" s="9">
        <v>4.28</v>
      </c>
      <c r="D338" s="9" t="s">
        <v>4686</v>
      </c>
      <c r="E338" s="9" t="s">
        <v>4684</v>
      </c>
      <c r="F338" s="9" t="s">
        <v>4684</v>
      </c>
      <c r="G338" s="9" t="s">
        <v>4685</v>
      </c>
      <c r="H338" s="9" t="s">
        <v>4686</v>
      </c>
      <c r="I338" s="9" t="str">
        <f t="shared" si="1"/>
        <v>Yes</v>
      </c>
      <c r="J338" s="9">
        <f t="shared" si="2"/>
        <v>0</v>
      </c>
      <c r="K338" s="9" t="str">
        <f t="shared" si="3"/>
        <v>NORMAL WEIGHT</v>
      </c>
    </row>
    <row r="339" ht="15.75" customHeight="1">
      <c r="A339" s="9" t="s">
        <v>677</v>
      </c>
      <c r="B339" s="9">
        <v>26.885</v>
      </c>
      <c r="C339" s="9">
        <v>9.86</v>
      </c>
      <c r="D339" s="9" t="s">
        <v>4684</v>
      </c>
      <c r="E339" s="9" t="s">
        <v>4684</v>
      </c>
      <c r="F339" s="9" t="s">
        <v>4684</v>
      </c>
      <c r="G339" s="9">
        <v>3.0</v>
      </c>
      <c r="H339" s="9" t="s">
        <v>4686</v>
      </c>
      <c r="I339" s="9" t="str">
        <f t="shared" si="1"/>
        <v>Yes</v>
      </c>
      <c r="J339" s="9">
        <f t="shared" si="2"/>
        <v>3</v>
      </c>
      <c r="K339" s="9" t="str">
        <f t="shared" si="3"/>
        <v>OVERWEIGHT</v>
      </c>
    </row>
    <row r="340" ht="15.75" customHeight="1">
      <c r="A340" s="9" t="s">
        <v>679</v>
      </c>
      <c r="B340" s="9">
        <v>16.36</v>
      </c>
      <c r="C340" s="9">
        <v>11.19</v>
      </c>
      <c r="D340" s="9" t="s">
        <v>4684</v>
      </c>
      <c r="E340" s="9" t="s">
        <v>4684</v>
      </c>
      <c r="F340" s="9" t="s">
        <v>4684</v>
      </c>
      <c r="G340" s="9" t="s">
        <v>4685</v>
      </c>
      <c r="H340" s="9" t="s">
        <v>4686</v>
      </c>
      <c r="I340" s="9" t="str">
        <f t="shared" si="1"/>
        <v>Yes</v>
      </c>
      <c r="J340" s="9">
        <f t="shared" si="2"/>
        <v>0</v>
      </c>
      <c r="K340" s="9" t="str">
        <f t="shared" si="3"/>
        <v>UNDERWEIGHT</v>
      </c>
    </row>
    <row r="341" ht="15.75" customHeight="1">
      <c r="A341" s="9" t="s">
        <v>681</v>
      </c>
      <c r="B341" s="9">
        <v>32.3</v>
      </c>
      <c r="C341" s="9">
        <v>4.89</v>
      </c>
      <c r="D341" s="9" t="s">
        <v>4686</v>
      </c>
      <c r="E341" s="9" t="s">
        <v>4684</v>
      </c>
      <c r="F341" s="9" t="s">
        <v>4686</v>
      </c>
      <c r="G341" s="9">
        <v>1.0</v>
      </c>
      <c r="H341" s="9" t="s">
        <v>4684</v>
      </c>
      <c r="I341" s="9" t="str">
        <f t="shared" si="1"/>
        <v>No</v>
      </c>
      <c r="J341" s="9">
        <f t="shared" si="2"/>
        <v>1</v>
      </c>
      <c r="K341" s="9" t="str">
        <f t="shared" si="3"/>
        <v>OBESITY</v>
      </c>
    </row>
    <row r="342" ht="15.75" customHeight="1">
      <c r="A342" s="9" t="s">
        <v>683</v>
      </c>
      <c r="B342" s="9">
        <v>16.05</v>
      </c>
      <c r="C342" s="9">
        <v>4.35</v>
      </c>
      <c r="D342" s="9" t="s">
        <v>4686</v>
      </c>
      <c r="E342" s="9" t="s">
        <v>4684</v>
      </c>
      <c r="F342" s="9" t="s">
        <v>4684</v>
      </c>
      <c r="G342" s="9" t="s">
        <v>4685</v>
      </c>
      <c r="H342" s="9" t="s">
        <v>4686</v>
      </c>
      <c r="I342" s="9" t="str">
        <f t="shared" si="1"/>
        <v>Yes</v>
      </c>
      <c r="J342" s="9">
        <f t="shared" si="2"/>
        <v>0</v>
      </c>
      <c r="K342" s="9" t="str">
        <f t="shared" si="3"/>
        <v>UNDERWEIGHT</v>
      </c>
    </row>
    <row r="343" ht="15.75" customHeight="1">
      <c r="A343" s="9" t="s">
        <v>685</v>
      </c>
      <c r="B343" s="9">
        <v>29.07</v>
      </c>
      <c r="C343" s="9">
        <v>8.66</v>
      </c>
      <c r="D343" s="9" t="s">
        <v>4686</v>
      </c>
      <c r="E343" s="9" t="s">
        <v>4684</v>
      </c>
      <c r="F343" s="9" t="s">
        <v>4684</v>
      </c>
      <c r="G343" s="9">
        <v>2.0</v>
      </c>
      <c r="H343" s="9" t="s">
        <v>4686</v>
      </c>
      <c r="I343" s="9" t="str">
        <f t="shared" si="1"/>
        <v>Yes</v>
      </c>
      <c r="J343" s="9">
        <f t="shared" si="2"/>
        <v>2</v>
      </c>
      <c r="K343" s="9" t="str">
        <f t="shared" si="3"/>
        <v>OVERWEIGHT</v>
      </c>
    </row>
    <row r="344" ht="15.75" customHeight="1">
      <c r="A344" s="9" t="s">
        <v>687</v>
      </c>
      <c r="B344" s="9">
        <v>17.43</v>
      </c>
      <c r="C344" s="9">
        <v>8.64</v>
      </c>
      <c r="D344" s="9" t="s">
        <v>4684</v>
      </c>
      <c r="E344" s="9" t="s">
        <v>4684</v>
      </c>
      <c r="F344" s="9" t="s">
        <v>4684</v>
      </c>
      <c r="G344" s="9" t="s">
        <v>4685</v>
      </c>
      <c r="H344" s="9" t="s">
        <v>4686</v>
      </c>
      <c r="I344" s="9" t="str">
        <f t="shared" si="1"/>
        <v>Yes</v>
      </c>
      <c r="J344" s="9">
        <f t="shared" si="2"/>
        <v>0</v>
      </c>
      <c r="K344" s="9" t="str">
        <f t="shared" si="3"/>
        <v>UNDERWEIGHT</v>
      </c>
    </row>
    <row r="345" ht="15.75" customHeight="1">
      <c r="A345" s="9" t="s">
        <v>689</v>
      </c>
      <c r="B345" s="9">
        <v>19.33</v>
      </c>
      <c r="C345" s="9">
        <v>4.27</v>
      </c>
      <c r="D345" s="9" t="s">
        <v>4684</v>
      </c>
      <c r="E345" s="9" t="s">
        <v>4684</v>
      </c>
      <c r="F345" s="9" t="s">
        <v>4684</v>
      </c>
      <c r="G345" s="9" t="s">
        <v>4685</v>
      </c>
      <c r="H345" s="9" t="s">
        <v>4686</v>
      </c>
      <c r="I345" s="9" t="str">
        <f t="shared" si="1"/>
        <v>Yes</v>
      </c>
      <c r="J345" s="9">
        <f t="shared" si="2"/>
        <v>0</v>
      </c>
      <c r="K345" s="9" t="str">
        <f t="shared" si="3"/>
        <v>NORMAL WEIGHT</v>
      </c>
    </row>
    <row r="346" ht="15.75" customHeight="1">
      <c r="A346" s="9" t="s">
        <v>691</v>
      </c>
      <c r="B346" s="9">
        <v>30.52</v>
      </c>
      <c r="C346" s="9">
        <v>4.21</v>
      </c>
      <c r="D346" s="9" t="s">
        <v>4684</v>
      </c>
      <c r="E346" s="9" t="s">
        <v>4684</v>
      </c>
      <c r="F346" s="9" t="s">
        <v>4684</v>
      </c>
      <c r="G346" s="9">
        <v>1.0</v>
      </c>
      <c r="H346" s="9" t="s">
        <v>4686</v>
      </c>
      <c r="I346" s="9" t="str">
        <f t="shared" si="1"/>
        <v>Yes</v>
      </c>
      <c r="J346" s="9">
        <f t="shared" si="2"/>
        <v>1</v>
      </c>
      <c r="K346" s="9" t="str">
        <f t="shared" si="3"/>
        <v>OBESITY</v>
      </c>
    </row>
    <row r="347" ht="15.75" customHeight="1">
      <c r="A347" s="9" t="s">
        <v>693</v>
      </c>
      <c r="B347" s="9">
        <v>39.21</v>
      </c>
      <c r="C347" s="9">
        <v>5.04</v>
      </c>
      <c r="D347" s="9" t="s">
        <v>4684</v>
      </c>
      <c r="E347" s="9" t="s">
        <v>4684</v>
      </c>
      <c r="F347" s="9" t="s">
        <v>4686</v>
      </c>
      <c r="G347" s="9">
        <v>1.0</v>
      </c>
      <c r="H347" s="9" t="s">
        <v>4686</v>
      </c>
      <c r="I347" s="9" t="str">
        <f t="shared" si="1"/>
        <v>Yes</v>
      </c>
      <c r="J347" s="9">
        <f t="shared" si="2"/>
        <v>1</v>
      </c>
      <c r="K347" s="9" t="str">
        <f t="shared" si="3"/>
        <v>OBESITY</v>
      </c>
    </row>
    <row r="348" ht="15.75" customHeight="1">
      <c r="A348" s="9" t="s">
        <v>695</v>
      </c>
      <c r="B348" s="9">
        <v>26.98</v>
      </c>
      <c r="C348" s="9">
        <v>5.21</v>
      </c>
      <c r="D348" s="9" t="s">
        <v>4686</v>
      </c>
      <c r="E348" s="9" t="s">
        <v>4684</v>
      </c>
      <c r="F348" s="9" t="s">
        <v>4684</v>
      </c>
      <c r="G348" s="9">
        <v>2.0</v>
      </c>
      <c r="H348" s="9" t="s">
        <v>4686</v>
      </c>
      <c r="I348" s="9" t="str">
        <f t="shared" si="1"/>
        <v>Yes</v>
      </c>
      <c r="J348" s="9">
        <f t="shared" si="2"/>
        <v>2</v>
      </c>
      <c r="K348" s="9" t="str">
        <f t="shared" si="3"/>
        <v>OVERWEIGHT</v>
      </c>
    </row>
    <row r="349" ht="15.75" customHeight="1">
      <c r="A349" s="9" t="s">
        <v>697</v>
      </c>
      <c r="B349" s="9">
        <v>25.84</v>
      </c>
      <c r="C349" s="9">
        <v>8.83</v>
      </c>
      <c r="D349" s="9" t="s">
        <v>4684</v>
      </c>
      <c r="E349" s="9" t="s">
        <v>4684</v>
      </c>
      <c r="F349" s="9" t="s">
        <v>4684</v>
      </c>
      <c r="G349" s="9" t="s">
        <v>4685</v>
      </c>
      <c r="H349" s="9" t="s">
        <v>4684</v>
      </c>
      <c r="I349" s="9" t="str">
        <f t="shared" si="1"/>
        <v>No</v>
      </c>
      <c r="J349" s="9">
        <f t="shared" si="2"/>
        <v>0</v>
      </c>
      <c r="K349" s="9" t="str">
        <f t="shared" si="3"/>
        <v>OVERWEIGHT</v>
      </c>
    </row>
    <row r="350" ht="15.75" customHeight="1">
      <c r="A350" s="9" t="s">
        <v>699</v>
      </c>
      <c r="B350" s="9">
        <v>28.31</v>
      </c>
      <c r="C350" s="9">
        <v>8.47</v>
      </c>
      <c r="D350" s="9" t="s">
        <v>4686</v>
      </c>
      <c r="E350" s="9" t="s">
        <v>4684</v>
      </c>
      <c r="F350" s="9" t="s">
        <v>4684</v>
      </c>
      <c r="G350" s="9">
        <v>2.0</v>
      </c>
      <c r="H350" s="9" t="s">
        <v>4686</v>
      </c>
      <c r="I350" s="9" t="str">
        <f t="shared" si="1"/>
        <v>Yes</v>
      </c>
      <c r="J350" s="9">
        <f t="shared" si="2"/>
        <v>2</v>
      </c>
      <c r="K350" s="9" t="str">
        <f t="shared" si="3"/>
        <v>OVERWEIGHT</v>
      </c>
    </row>
    <row r="351" ht="15.75" customHeight="1">
      <c r="A351" s="9" t="s">
        <v>701</v>
      </c>
      <c r="B351" s="9">
        <v>23.94</v>
      </c>
      <c r="C351" s="9">
        <v>4.2</v>
      </c>
      <c r="D351" s="9" t="s">
        <v>4684</v>
      </c>
      <c r="E351" s="9" t="s">
        <v>4684</v>
      </c>
      <c r="F351" s="9" t="s">
        <v>4684</v>
      </c>
      <c r="G351" s="9" t="s">
        <v>4685</v>
      </c>
      <c r="H351" s="9" t="s">
        <v>4686</v>
      </c>
      <c r="I351" s="9" t="str">
        <f t="shared" si="1"/>
        <v>Yes</v>
      </c>
      <c r="J351" s="9">
        <f t="shared" si="2"/>
        <v>0</v>
      </c>
      <c r="K351" s="9" t="str">
        <f t="shared" si="3"/>
        <v>NORMAL WEIGHT</v>
      </c>
    </row>
    <row r="352" ht="15.75" customHeight="1">
      <c r="A352" s="9" t="s">
        <v>703</v>
      </c>
      <c r="B352" s="9">
        <v>20.03</v>
      </c>
      <c r="C352" s="9">
        <v>6.14</v>
      </c>
      <c r="D352" s="9" t="s">
        <v>4686</v>
      </c>
      <c r="E352" s="9" t="s">
        <v>4684</v>
      </c>
      <c r="F352" s="9" t="s">
        <v>4684</v>
      </c>
      <c r="G352" s="9" t="s">
        <v>4685</v>
      </c>
      <c r="H352" s="9" t="s">
        <v>4686</v>
      </c>
      <c r="I352" s="9" t="str">
        <f t="shared" si="1"/>
        <v>Yes</v>
      </c>
      <c r="J352" s="9">
        <f t="shared" si="2"/>
        <v>0</v>
      </c>
      <c r="K352" s="9" t="str">
        <f t="shared" si="3"/>
        <v>NORMAL WEIGHT</v>
      </c>
    </row>
    <row r="353" ht="15.75" customHeight="1">
      <c r="A353" s="9" t="s">
        <v>705</v>
      </c>
      <c r="B353" s="9">
        <v>41.42</v>
      </c>
      <c r="C353" s="9">
        <v>6.07</v>
      </c>
      <c r="D353" s="9" t="s">
        <v>4684</v>
      </c>
      <c r="E353" s="9" t="s">
        <v>4684</v>
      </c>
      <c r="F353" s="9" t="s">
        <v>4684</v>
      </c>
      <c r="G353" s="9" t="s">
        <v>4685</v>
      </c>
      <c r="H353" s="9" t="s">
        <v>4684</v>
      </c>
      <c r="I353" s="9" t="str">
        <f t="shared" si="1"/>
        <v>No</v>
      </c>
      <c r="J353" s="9">
        <f t="shared" si="2"/>
        <v>0</v>
      </c>
      <c r="K353" s="9" t="str">
        <f t="shared" si="3"/>
        <v>OBESITY</v>
      </c>
    </row>
    <row r="354" ht="15.75" customHeight="1">
      <c r="A354" s="9" t="s">
        <v>707</v>
      </c>
      <c r="B354" s="9">
        <v>36.67</v>
      </c>
      <c r="C354" s="9">
        <v>10.21</v>
      </c>
      <c r="D354" s="9" t="s">
        <v>4684</v>
      </c>
      <c r="E354" s="9" t="s">
        <v>4684</v>
      </c>
      <c r="F354" s="9" t="s">
        <v>4684</v>
      </c>
      <c r="G354" s="9" t="s">
        <v>4685</v>
      </c>
      <c r="H354" s="9" t="s">
        <v>4684</v>
      </c>
      <c r="I354" s="9" t="str">
        <f t="shared" si="1"/>
        <v>No</v>
      </c>
      <c r="J354" s="9">
        <f t="shared" si="2"/>
        <v>0</v>
      </c>
      <c r="K354" s="9" t="str">
        <f t="shared" si="3"/>
        <v>OBESITY</v>
      </c>
    </row>
    <row r="355" ht="15.75" customHeight="1">
      <c r="A355" s="9" t="s">
        <v>709</v>
      </c>
      <c r="B355" s="9">
        <v>27.645</v>
      </c>
      <c r="C355" s="9">
        <v>4.69</v>
      </c>
      <c r="D355" s="9" t="s">
        <v>4684</v>
      </c>
      <c r="E355" s="9" t="s">
        <v>4684</v>
      </c>
      <c r="F355" s="9" t="s">
        <v>4684</v>
      </c>
      <c r="G355" s="9" t="s">
        <v>4685</v>
      </c>
      <c r="H355" s="9" t="s">
        <v>4684</v>
      </c>
      <c r="I355" s="9" t="str">
        <f t="shared" si="1"/>
        <v>No</v>
      </c>
      <c r="J355" s="9">
        <f t="shared" si="2"/>
        <v>0</v>
      </c>
      <c r="K355" s="9" t="str">
        <f t="shared" si="3"/>
        <v>OVERWEIGHT</v>
      </c>
    </row>
    <row r="356" ht="15.75" customHeight="1">
      <c r="A356" s="9" t="s">
        <v>711</v>
      </c>
      <c r="B356" s="9">
        <v>22.72</v>
      </c>
      <c r="C356" s="9">
        <v>5.71</v>
      </c>
      <c r="D356" s="9" t="s">
        <v>4684</v>
      </c>
      <c r="E356" s="9" t="s">
        <v>4684</v>
      </c>
      <c r="F356" s="9" t="s">
        <v>4684</v>
      </c>
      <c r="G356" s="9" t="s">
        <v>4685</v>
      </c>
      <c r="H356" s="9" t="s">
        <v>4686</v>
      </c>
      <c r="I356" s="9" t="str">
        <f t="shared" si="1"/>
        <v>Yes</v>
      </c>
      <c r="J356" s="9">
        <f t="shared" si="2"/>
        <v>0</v>
      </c>
      <c r="K356" s="9" t="str">
        <f t="shared" si="3"/>
        <v>NORMAL WEIGHT</v>
      </c>
    </row>
    <row r="357" ht="15.75" customHeight="1">
      <c r="A357" s="9" t="s">
        <v>713</v>
      </c>
      <c r="B357" s="9">
        <v>36.52</v>
      </c>
      <c r="C357" s="9">
        <v>9.07</v>
      </c>
      <c r="D357" s="9" t="s">
        <v>4686</v>
      </c>
      <c r="E357" s="9" t="s">
        <v>4684</v>
      </c>
      <c r="F357" s="9" t="s">
        <v>4686</v>
      </c>
      <c r="G357" s="9">
        <v>1.0</v>
      </c>
      <c r="H357" s="9" t="s">
        <v>4684</v>
      </c>
      <c r="I357" s="9" t="str">
        <f t="shared" si="1"/>
        <v>No</v>
      </c>
      <c r="J357" s="9">
        <f t="shared" si="2"/>
        <v>1</v>
      </c>
      <c r="K357" s="9" t="str">
        <f t="shared" si="3"/>
        <v>OBESITY</v>
      </c>
    </row>
    <row r="358" ht="15.75" customHeight="1">
      <c r="A358" s="9" t="s">
        <v>715</v>
      </c>
      <c r="B358" s="9">
        <v>33.96</v>
      </c>
      <c r="C358" s="9">
        <v>4.99</v>
      </c>
      <c r="D358" s="9" t="s">
        <v>4684</v>
      </c>
      <c r="E358" s="9" t="s">
        <v>4684</v>
      </c>
      <c r="F358" s="9" t="s">
        <v>4684</v>
      </c>
      <c r="G358" s="9" t="s">
        <v>4685</v>
      </c>
      <c r="H358" s="9" t="s">
        <v>4686</v>
      </c>
      <c r="I358" s="9" t="str">
        <f t="shared" si="1"/>
        <v>Yes</v>
      </c>
      <c r="J358" s="9">
        <f t="shared" si="2"/>
        <v>0</v>
      </c>
      <c r="K358" s="9" t="str">
        <f t="shared" si="3"/>
        <v>OBESITY</v>
      </c>
    </row>
    <row r="359" ht="15.75" customHeight="1">
      <c r="A359" s="9" t="s">
        <v>717</v>
      </c>
      <c r="B359" s="9">
        <v>26.695</v>
      </c>
      <c r="C359" s="9">
        <v>8.31</v>
      </c>
      <c r="D359" s="9" t="s">
        <v>4684</v>
      </c>
      <c r="E359" s="9" t="s">
        <v>4684</v>
      </c>
      <c r="F359" s="9" t="s">
        <v>4684</v>
      </c>
      <c r="G359" s="9" t="s">
        <v>4685</v>
      </c>
      <c r="H359" s="9" t="s">
        <v>4686</v>
      </c>
      <c r="I359" s="9" t="str">
        <f t="shared" si="1"/>
        <v>Yes</v>
      </c>
      <c r="J359" s="9">
        <f t="shared" si="2"/>
        <v>0</v>
      </c>
      <c r="K359" s="9" t="str">
        <f t="shared" si="3"/>
        <v>OVERWEIGHT</v>
      </c>
    </row>
    <row r="360" ht="15.75" customHeight="1">
      <c r="A360" s="9" t="s">
        <v>719</v>
      </c>
      <c r="B360" s="9">
        <v>18.45</v>
      </c>
      <c r="C360" s="9">
        <v>5.07</v>
      </c>
      <c r="D360" s="9" t="s">
        <v>4686</v>
      </c>
      <c r="E360" s="9" t="s">
        <v>4684</v>
      </c>
      <c r="F360" s="9" t="s">
        <v>4684</v>
      </c>
      <c r="G360" s="9" t="s">
        <v>4685</v>
      </c>
      <c r="H360" s="9" t="s">
        <v>4686</v>
      </c>
      <c r="I360" s="9" t="str">
        <f t="shared" si="1"/>
        <v>Yes</v>
      </c>
      <c r="J360" s="9">
        <f t="shared" si="2"/>
        <v>0</v>
      </c>
      <c r="K360" s="9" t="str">
        <f t="shared" si="3"/>
        <v>UNDERWEIGHT</v>
      </c>
    </row>
    <row r="361" ht="15.75" customHeight="1">
      <c r="A361" s="9" t="s">
        <v>721</v>
      </c>
      <c r="B361" s="9">
        <v>33.18</v>
      </c>
      <c r="C361" s="9">
        <v>4.79</v>
      </c>
      <c r="D361" s="9" t="s">
        <v>4684</v>
      </c>
      <c r="E361" s="9" t="s">
        <v>4684</v>
      </c>
      <c r="F361" s="9" t="s">
        <v>4684</v>
      </c>
      <c r="G361" s="9" t="s">
        <v>4685</v>
      </c>
      <c r="H361" s="9" t="s">
        <v>4686</v>
      </c>
      <c r="I361" s="9" t="str">
        <f t="shared" si="1"/>
        <v>Yes</v>
      </c>
      <c r="J361" s="9">
        <f t="shared" si="2"/>
        <v>0</v>
      </c>
      <c r="K361" s="9" t="str">
        <f t="shared" si="3"/>
        <v>OBESITY</v>
      </c>
    </row>
    <row r="362" ht="15.75" customHeight="1">
      <c r="A362" s="9" t="s">
        <v>723</v>
      </c>
      <c r="B362" s="9">
        <v>36.1</v>
      </c>
      <c r="C362" s="9">
        <v>11.39</v>
      </c>
      <c r="D362" s="9" t="s">
        <v>4686</v>
      </c>
      <c r="E362" s="9" t="s">
        <v>4684</v>
      </c>
      <c r="F362" s="9" t="s">
        <v>4684</v>
      </c>
      <c r="G362" s="9">
        <v>2.0</v>
      </c>
      <c r="H362" s="9" t="s">
        <v>4684</v>
      </c>
      <c r="I362" s="9" t="str">
        <f t="shared" si="1"/>
        <v>No</v>
      </c>
      <c r="J362" s="9">
        <f t="shared" si="2"/>
        <v>2</v>
      </c>
      <c r="K362" s="9" t="str">
        <f t="shared" si="3"/>
        <v>OBESITY</v>
      </c>
    </row>
    <row r="363" ht="15.75" customHeight="1">
      <c r="A363" s="9" t="s">
        <v>725</v>
      </c>
      <c r="B363" s="9">
        <v>22.77</v>
      </c>
      <c r="C363" s="9">
        <v>6.0</v>
      </c>
      <c r="D363" s="9" t="s">
        <v>4684</v>
      </c>
      <c r="E363" s="9" t="s">
        <v>4684</v>
      </c>
      <c r="F363" s="9" t="s">
        <v>4684</v>
      </c>
      <c r="G363" s="9" t="s">
        <v>4685</v>
      </c>
      <c r="H363" s="9" t="s">
        <v>4686</v>
      </c>
      <c r="I363" s="9" t="str">
        <f t="shared" si="1"/>
        <v>Yes</v>
      </c>
      <c r="J363" s="9">
        <f t="shared" si="2"/>
        <v>0</v>
      </c>
      <c r="K363" s="9" t="str">
        <f t="shared" si="3"/>
        <v>NORMAL WEIGHT</v>
      </c>
    </row>
    <row r="364" ht="15.75" customHeight="1">
      <c r="A364" s="9" t="s">
        <v>727</v>
      </c>
      <c r="B364" s="9">
        <v>21.24</v>
      </c>
      <c r="C364" s="9">
        <v>5.13</v>
      </c>
      <c r="D364" s="9" t="s">
        <v>4684</v>
      </c>
      <c r="E364" s="9" t="s">
        <v>4684</v>
      </c>
      <c r="F364" s="9" t="s">
        <v>4684</v>
      </c>
      <c r="G364" s="9" t="s">
        <v>4685</v>
      </c>
      <c r="H364" s="9" t="s">
        <v>4686</v>
      </c>
      <c r="I364" s="9" t="str">
        <f t="shared" si="1"/>
        <v>Yes</v>
      </c>
      <c r="J364" s="9">
        <f t="shared" si="2"/>
        <v>0</v>
      </c>
      <c r="K364" s="9" t="str">
        <f t="shared" si="3"/>
        <v>NORMAL WEIGHT</v>
      </c>
    </row>
    <row r="365" ht="15.75" customHeight="1">
      <c r="A365" s="9" t="s">
        <v>729</v>
      </c>
      <c r="B365" s="9">
        <v>17.6</v>
      </c>
      <c r="C365" s="9">
        <v>5.26</v>
      </c>
      <c r="D365" s="9" t="s">
        <v>4686</v>
      </c>
      <c r="E365" s="9" t="s">
        <v>4684</v>
      </c>
      <c r="F365" s="9" t="s">
        <v>4684</v>
      </c>
      <c r="G365" s="9" t="s">
        <v>4685</v>
      </c>
      <c r="H365" s="9" t="s">
        <v>4686</v>
      </c>
      <c r="I365" s="9" t="str">
        <f t="shared" si="1"/>
        <v>Yes</v>
      </c>
      <c r="J365" s="9">
        <f t="shared" si="2"/>
        <v>0</v>
      </c>
      <c r="K365" s="9" t="str">
        <f t="shared" si="3"/>
        <v>UNDERWEIGHT</v>
      </c>
    </row>
    <row r="366" ht="15.75" customHeight="1">
      <c r="A366" s="9" t="s">
        <v>731</v>
      </c>
      <c r="B366" s="9">
        <v>26.29</v>
      </c>
      <c r="C366" s="9">
        <v>6.84</v>
      </c>
      <c r="D366" s="9" t="s">
        <v>4684</v>
      </c>
      <c r="E366" s="9" t="s">
        <v>4684</v>
      </c>
      <c r="F366" s="9" t="s">
        <v>4684</v>
      </c>
      <c r="G366" s="9" t="s">
        <v>4685</v>
      </c>
      <c r="H366" s="9" t="s">
        <v>4686</v>
      </c>
      <c r="I366" s="9" t="str">
        <f t="shared" si="1"/>
        <v>Yes</v>
      </c>
      <c r="J366" s="9">
        <f t="shared" si="2"/>
        <v>0</v>
      </c>
      <c r="K366" s="9" t="str">
        <f t="shared" si="3"/>
        <v>OVERWEIGHT</v>
      </c>
    </row>
    <row r="367" ht="15.75" customHeight="1">
      <c r="A367" s="9" t="s">
        <v>733</v>
      </c>
      <c r="B367" s="9">
        <v>35.31</v>
      </c>
      <c r="C367" s="9">
        <v>9.04</v>
      </c>
      <c r="D367" s="9" t="s">
        <v>4684</v>
      </c>
      <c r="E367" s="9" t="s">
        <v>4684</v>
      </c>
      <c r="F367" s="9" t="s">
        <v>4684</v>
      </c>
      <c r="G367" s="9" t="s">
        <v>4685</v>
      </c>
      <c r="H367" s="9" t="s">
        <v>4684</v>
      </c>
      <c r="I367" s="9" t="str">
        <f t="shared" si="1"/>
        <v>No</v>
      </c>
      <c r="J367" s="9">
        <f t="shared" si="2"/>
        <v>0</v>
      </c>
      <c r="K367" s="9" t="str">
        <f t="shared" si="3"/>
        <v>OBESITY</v>
      </c>
    </row>
    <row r="368" ht="15.75" customHeight="1">
      <c r="A368" s="9" t="s">
        <v>735</v>
      </c>
      <c r="B368" s="9">
        <v>27.04</v>
      </c>
      <c r="C368" s="9">
        <v>4.1</v>
      </c>
      <c r="D368" s="9" t="s">
        <v>4684</v>
      </c>
      <c r="E368" s="9" t="s">
        <v>4684</v>
      </c>
      <c r="F368" s="9" t="s">
        <v>4684</v>
      </c>
      <c r="G368" s="9">
        <v>1.0</v>
      </c>
      <c r="H368" s="9" t="s">
        <v>4686</v>
      </c>
      <c r="I368" s="9" t="str">
        <f t="shared" si="1"/>
        <v>Yes</v>
      </c>
      <c r="J368" s="9">
        <f t="shared" si="2"/>
        <v>1</v>
      </c>
      <c r="K368" s="9" t="str">
        <f t="shared" si="3"/>
        <v>OVERWEIGHT</v>
      </c>
    </row>
    <row r="369" ht="15.75" customHeight="1">
      <c r="A369" s="9" t="s">
        <v>737</v>
      </c>
      <c r="B369" s="9">
        <v>30.23</v>
      </c>
      <c r="C369" s="9">
        <v>4.23</v>
      </c>
      <c r="D369" s="9" t="s">
        <v>4686</v>
      </c>
      <c r="E369" s="9" t="s">
        <v>4684</v>
      </c>
      <c r="F369" s="9" t="s">
        <v>4686</v>
      </c>
      <c r="G369" s="9">
        <v>1.0</v>
      </c>
      <c r="H369" s="9" t="s">
        <v>4686</v>
      </c>
      <c r="I369" s="9" t="str">
        <f t="shared" si="1"/>
        <v>Yes</v>
      </c>
      <c r="J369" s="9">
        <f t="shared" si="2"/>
        <v>1</v>
      </c>
      <c r="K369" s="9" t="str">
        <f t="shared" si="3"/>
        <v>OBESITY</v>
      </c>
    </row>
    <row r="370" ht="15.75" customHeight="1">
      <c r="A370" s="9" t="s">
        <v>739</v>
      </c>
      <c r="B370" s="9">
        <v>30.6</v>
      </c>
      <c r="C370" s="9">
        <v>6.48</v>
      </c>
      <c r="D370" s="9" t="s">
        <v>4686</v>
      </c>
      <c r="E370" s="9" t="s">
        <v>4684</v>
      </c>
      <c r="F370" s="9" t="s">
        <v>4686</v>
      </c>
      <c r="G370" s="9">
        <v>1.0</v>
      </c>
      <c r="H370" s="9" t="s">
        <v>4686</v>
      </c>
      <c r="I370" s="9" t="str">
        <f t="shared" si="1"/>
        <v>Yes</v>
      </c>
      <c r="J370" s="9">
        <f t="shared" si="2"/>
        <v>1</v>
      </c>
      <c r="K370" s="9" t="str">
        <f t="shared" si="3"/>
        <v>OBESITY</v>
      </c>
    </row>
    <row r="371" ht="15.75" customHeight="1">
      <c r="A371" s="9" t="s">
        <v>741</v>
      </c>
      <c r="B371" s="9">
        <v>26.8</v>
      </c>
      <c r="C371" s="9">
        <v>5.53</v>
      </c>
      <c r="D371" s="9" t="s">
        <v>4684</v>
      </c>
      <c r="E371" s="9" t="s">
        <v>4684</v>
      </c>
      <c r="F371" s="9" t="s">
        <v>4684</v>
      </c>
      <c r="G371" s="9">
        <v>1.0</v>
      </c>
      <c r="H371" s="9" t="s">
        <v>4686</v>
      </c>
      <c r="I371" s="9" t="str">
        <f t="shared" si="1"/>
        <v>Yes</v>
      </c>
      <c r="J371" s="9">
        <f t="shared" si="2"/>
        <v>1</v>
      </c>
      <c r="K371" s="9" t="str">
        <f t="shared" si="3"/>
        <v>OVERWEIGHT</v>
      </c>
    </row>
    <row r="372" ht="15.75" customHeight="1">
      <c r="A372" s="9" t="s">
        <v>743</v>
      </c>
      <c r="B372" s="9">
        <v>16.86</v>
      </c>
      <c r="C372" s="9">
        <v>4.07</v>
      </c>
      <c r="D372" s="9" t="s">
        <v>4686</v>
      </c>
      <c r="E372" s="9" t="s">
        <v>4684</v>
      </c>
      <c r="F372" s="9" t="s">
        <v>4684</v>
      </c>
      <c r="G372" s="9" t="s">
        <v>4685</v>
      </c>
      <c r="H372" s="9" t="s">
        <v>4686</v>
      </c>
      <c r="I372" s="9" t="str">
        <f t="shared" si="1"/>
        <v>Yes</v>
      </c>
      <c r="J372" s="9">
        <f t="shared" si="2"/>
        <v>0</v>
      </c>
      <c r="K372" s="9" t="str">
        <f t="shared" si="3"/>
        <v>UNDERWEIGHT</v>
      </c>
    </row>
    <row r="373" ht="15.75" customHeight="1">
      <c r="A373" s="9" t="s">
        <v>745</v>
      </c>
      <c r="B373" s="9">
        <v>16.3</v>
      </c>
      <c r="C373" s="9">
        <v>5.51</v>
      </c>
      <c r="D373" s="9" t="s">
        <v>4684</v>
      </c>
      <c r="E373" s="9" t="s">
        <v>4684</v>
      </c>
      <c r="F373" s="9" t="s">
        <v>4684</v>
      </c>
      <c r="G373" s="9">
        <v>1.0</v>
      </c>
      <c r="H373" s="9" t="s">
        <v>4686</v>
      </c>
      <c r="I373" s="9" t="str">
        <f t="shared" si="1"/>
        <v>Yes</v>
      </c>
      <c r="J373" s="9">
        <f t="shared" si="2"/>
        <v>1</v>
      </c>
      <c r="K373" s="9" t="str">
        <f t="shared" si="3"/>
        <v>UNDERWEIGHT</v>
      </c>
    </row>
    <row r="374" ht="15.75" customHeight="1">
      <c r="A374" s="9" t="s">
        <v>747</v>
      </c>
      <c r="B374" s="9">
        <v>29.81</v>
      </c>
      <c r="C374" s="9">
        <v>11.66</v>
      </c>
      <c r="D374" s="9" t="s">
        <v>4684</v>
      </c>
      <c r="E374" s="9" t="s">
        <v>4684</v>
      </c>
      <c r="F374" s="9" t="s">
        <v>4684</v>
      </c>
      <c r="G374" s="9" t="s">
        <v>4685</v>
      </c>
      <c r="H374" s="9" t="s">
        <v>4686</v>
      </c>
      <c r="I374" s="9" t="str">
        <f t="shared" si="1"/>
        <v>Yes</v>
      </c>
      <c r="J374" s="9">
        <f t="shared" si="2"/>
        <v>0</v>
      </c>
      <c r="K374" s="9" t="str">
        <f t="shared" si="3"/>
        <v>OVERWEIGHT</v>
      </c>
    </row>
    <row r="375" ht="15.75" customHeight="1">
      <c r="A375" s="9" t="s">
        <v>749</v>
      </c>
      <c r="B375" s="9">
        <v>16.33</v>
      </c>
      <c r="C375" s="9">
        <v>7.26</v>
      </c>
      <c r="D375" s="9" t="s">
        <v>4686</v>
      </c>
      <c r="E375" s="9" t="s">
        <v>4684</v>
      </c>
      <c r="F375" s="9" t="s">
        <v>4684</v>
      </c>
      <c r="G375" s="9" t="s">
        <v>4685</v>
      </c>
      <c r="H375" s="9" t="s">
        <v>4686</v>
      </c>
      <c r="I375" s="9" t="str">
        <f t="shared" si="1"/>
        <v>Yes</v>
      </c>
      <c r="J375" s="9">
        <f t="shared" si="2"/>
        <v>0</v>
      </c>
      <c r="K375" s="9" t="str">
        <f t="shared" si="3"/>
        <v>UNDERWEIGHT</v>
      </c>
    </row>
    <row r="376" ht="15.75" customHeight="1">
      <c r="A376" s="9" t="s">
        <v>751</v>
      </c>
      <c r="B376" s="9">
        <v>16.37</v>
      </c>
      <c r="C376" s="9">
        <v>4.79</v>
      </c>
      <c r="D376" s="9" t="s">
        <v>4686</v>
      </c>
      <c r="E376" s="9" t="s">
        <v>4684</v>
      </c>
      <c r="F376" s="9" t="s">
        <v>4684</v>
      </c>
      <c r="G376" s="9" t="s">
        <v>4685</v>
      </c>
      <c r="H376" s="9" t="s">
        <v>4686</v>
      </c>
      <c r="I376" s="9" t="str">
        <f t="shared" si="1"/>
        <v>Yes</v>
      </c>
      <c r="J376" s="9">
        <f t="shared" si="2"/>
        <v>0</v>
      </c>
      <c r="K376" s="9" t="str">
        <f t="shared" si="3"/>
        <v>UNDERWEIGHT</v>
      </c>
    </row>
    <row r="377" ht="15.75" customHeight="1">
      <c r="A377" s="9" t="s">
        <v>753</v>
      </c>
      <c r="B377" s="9">
        <v>22.42</v>
      </c>
      <c r="C377" s="9">
        <v>4.68</v>
      </c>
      <c r="D377" s="9" t="s">
        <v>4686</v>
      </c>
      <c r="E377" s="9" t="s">
        <v>4684</v>
      </c>
      <c r="F377" s="9" t="s">
        <v>4684</v>
      </c>
      <c r="G377" s="9">
        <v>1.0</v>
      </c>
      <c r="H377" s="9" t="s">
        <v>4684</v>
      </c>
      <c r="I377" s="9" t="str">
        <f t="shared" si="1"/>
        <v>No</v>
      </c>
      <c r="J377" s="9">
        <f t="shared" si="2"/>
        <v>1</v>
      </c>
      <c r="K377" s="9" t="str">
        <f t="shared" si="3"/>
        <v>NORMAL WEIGHT</v>
      </c>
    </row>
    <row r="378" ht="15.75" customHeight="1">
      <c r="A378" s="9" t="s">
        <v>755</v>
      </c>
      <c r="B378" s="9">
        <v>31.35</v>
      </c>
      <c r="C378" s="9">
        <v>4.33</v>
      </c>
      <c r="D378" s="9" t="s">
        <v>4686</v>
      </c>
      <c r="E378" s="9" t="s">
        <v>4684</v>
      </c>
      <c r="F378" s="9" t="s">
        <v>4686</v>
      </c>
      <c r="G378" s="9">
        <v>1.0</v>
      </c>
      <c r="H378" s="9" t="s">
        <v>4684</v>
      </c>
      <c r="I378" s="9" t="str">
        <f t="shared" si="1"/>
        <v>No</v>
      </c>
      <c r="J378" s="9">
        <f t="shared" si="2"/>
        <v>1</v>
      </c>
      <c r="K378" s="9" t="str">
        <f t="shared" si="3"/>
        <v>OBESITY</v>
      </c>
    </row>
    <row r="379" ht="15.75" customHeight="1">
      <c r="A379" s="9" t="s">
        <v>757</v>
      </c>
      <c r="B379" s="9">
        <v>31.9</v>
      </c>
      <c r="C379" s="9">
        <v>11.89</v>
      </c>
      <c r="D379" s="9" t="s">
        <v>4684</v>
      </c>
      <c r="E379" s="9" t="s">
        <v>4684</v>
      </c>
      <c r="F379" s="9" t="s">
        <v>4684</v>
      </c>
      <c r="G379" s="9" t="s">
        <v>4685</v>
      </c>
      <c r="H379" s="9" t="s">
        <v>4684</v>
      </c>
      <c r="I379" s="9" t="str">
        <f t="shared" si="1"/>
        <v>No</v>
      </c>
      <c r="J379" s="9">
        <f t="shared" si="2"/>
        <v>0</v>
      </c>
      <c r="K379" s="9" t="str">
        <f t="shared" si="3"/>
        <v>OBESITY</v>
      </c>
    </row>
    <row r="380" ht="15.75" customHeight="1">
      <c r="A380" s="9" t="s">
        <v>759</v>
      </c>
      <c r="B380" s="9">
        <v>30.6</v>
      </c>
      <c r="C380" s="9">
        <v>5.24</v>
      </c>
      <c r="D380" s="9" t="s">
        <v>4684</v>
      </c>
      <c r="E380" s="9" t="s">
        <v>4684</v>
      </c>
      <c r="F380" s="9" t="s">
        <v>4684</v>
      </c>
      <c r="G380" s="9" t="s">
        <v>4685</v>
      </c>
      <c r="H380" s="9" t="s">
        <v>4686</v>
      </c>
      <c r="I380" s="9" t="str">
        <f t="shared" si="1"/>
        <v>Yes</v>
      </c>
      <c r="J380" s="9">
        <f t="shared" si="2"/>
        <v>0</v>
      </c>
      <c r="K380" s="9" t="str">
        <f t="shared" si="3"/>
        <v>OBESITY</v>
      </c>
    </row>
    <row r="381" ht="15.75" customHeight="1">
      <c r="A381" s="9" t="s">
        <v>761</v>
      </c>
      <c r="B381" s="9">
        <v>28.975</v>
      </c>
      <c r="C381" s="9">
        <v>7.63</v>
      </c>
      <c r="D381" s="9" t="s">
        <v>4684</v>
      </c>
      <c r="E381" s="9" t="s">
        <v>4684</v>
      </c>
      <c r="F381" s="9" t="s">
        <v>4684</v>
      </c>
      <c r="G381" s="9" t="s">
        <v>4685</v>
      </c>
      <c r="H381" s="9" t="s">
        <v>4686</v>
      </c>
      <c r="I381" s="9" t="str">
        <f t="shared" si="1"/>
        <v>Yes</v>
      </c>
      <c r="J381" s="9">
        <f t="shared" si="2"/>
        <v>0</v>
      </c>
      <c r="K381" s="9" t="str">
        <f t="shared" si="3"/>
        <v>OVERWEIGHT</v>
      </c>
    </row>
    <row r="382" ht="15.75" customHeight="1">
      <c r="A382" s="9" t="s">
        <v>763</v>
      </c>
      <c r="B382" s="9">
        <v>24.86</v>
      </c>
      <c r="C382" s="9">
        <v>8.92</v>
      </c>
      <c r="D382" s="9" t="s">
        <v>4686</v>
      </c>
      <c r="E382" s="9" t="s">
        <v>4684</v>
      </c>
      <c r="F382" s="9" t="s">
        <v>4684</v>
      </c>
      <c r="G382" s="9">
        <v>2.0</v>
      </c>
      <c r="H382" s="9" t="s">
        <v>4684</v>
      </c>
      <c r="I382" s="9" t="str">
        <f t="shared" si="1"/>
        <v>No</v>
      </c>
      <c r="J382" s="9">
        <f t="shared" si="2"/>
        <v>2</v>
      </c>
      <c r="K382" s="9" t="str">
        <f t="shared" si="3"/>
        <v>NORMAL WEIGHT</v>
      </c>
    </row>
    <row r="383" ht="15.75" customHeight="1">
      <c r="A383" s="9" t="s">
        <v>765</v>
      </c>
      <c r="B383" s="9">
        <v>19.54</v>
      </c>
      <c r="C383" s="9">
        <v>5.37</v>
      </c>
      <c r="D383" s="9" t="s">
        <v>4684</v>
      </c>
      <c r="E383" s="9" t="s">
        <v>4684</v>
      </c>
      <c r="F383" s="9" t="s">
        <v>4684</v>
      </c>
      <c r="G383" s="9" t="s">
        <v>4685</v>
      </c>
      <c r="H383" s="9" t="s">
        <v>4686</v>
      </c>
      <c r="I383" s="9" t="str">
        <f t="shared" si="1"/>
        <v>Yes</v>
      </c>
      <c r="J383" s="9">
        <f t="shared" si="2"/>
        <v>0</v>
      </c>
      <c r="K383" s="9" t="str">
        <f t="shared" si="3"/>
        <v>NORMAL WEIGHT</v>
      </c>
    </row>
    <row r="384" ht="15.75" customHeight="1">
      <c r="A384" s="9" t="s">
        <v>767</v>
      </c>
      <c r="B384" s="9">
        <v>26.74</v>
      </c>
      <c r="C384" s="9">
        <v>4.31</v>
      </c>
      <c r="D384" s="9" t="s">
        <v>4684</v>
      </c>
      <c r="E384" s="9" t="s">
        <v>4684</v>
      </c>
      <c r="F384" s="9" t="s">
        <v>4684</v>
      </c>
      <c r="G384" s="9" t="s">
        <v>4685</v>
      </c>
      <c r="H384" s="9" t="s">
        <v>4686</v>
      </c>
      <c r="I384" s="9" t="str">
        <f t="shared" si="1"/>
        <v>Yes</v>
      </c>
      <c r="J384" s="9">
        <f t="shared" si="2"/>
        <v>0</v>
      </c>
      <c r="K384" s="9" t="str">
        <f t="shared" si="3"/>
        <v>OVERWEIGHT</v>
      </c>
    </row>
    <row r="385" ht="15.75" customHeight="1">
      <c r="A385" s="9" t="s">
        <v>769</v>
      </c>
      <c r="B385" s="9">
        <v>22.99</v>
      </c>
      <c r="C385" s="9">
        <v>10.46</v>
      </c>
      <c r="D385" s="9" t="s">
        <v>4684</v>
      </c>
      <c r="E385" s="9" t="s">
        <v>4684</v>
      </c>
      <c r="F385" s="9" t="s">
        <v>4684</v>
      </c>
      <c r="G385" s="9">
        <v>3.0</v>
      </c>
      <c r="H385" s="9" t="s">
        <v>4686</v>
      </c>
      <c r="I385" s="9" t="str">
        <f t="shared" si="1"/>
        <v>Yes</v>
      </c>
      <c r="J385" s="9">
        <f t="shared" si="2"/>
        <v>3</v>
      </c>
      <c r="K385" s="9" t="str">
        <f t="shared" si="3"/>
        <v>NORMAL WEIGHT</v>
      </c>
    </row>
    <row r="386" ht="15.75" customHeight="1">
      <c r="A386" s="9" t="s">
        <v>771</v>
      </c>
      <c r="B386" s="9">
        <v>31.46</v>
      </c>
      <c r="C386" s="9">
        <v>7.39</v>
      </c>
      <c r="D386" s="9" t="s">
        <v>4684</v>
      </c>
      <c r="E386" s="9" t="s">
        <v>4684</v>
      </c>
      <c r="F386" s="9" t="s">
        <v>4684</v>
      </c>
      <c r="G386" s="9" t="s">
        <v>4685</v>
      </c>
      <c r="H386" s="9" t="s">
        <v>4684</v>
      </c>
      <c r="I386" s="9" t="str">
        <f t="shared" si="1"/>
        <v>No</v>
      </c>
      <c r="J386" s="9">
        <f t="shared" si="2"/>
        <v>0</v>
      </c>
      <c r="K386" s="9" t="str">
        <f t="shared" si="3"/>
        <v>OBESITY</v>
      </c>
    </row>
    <row r="387" ht="15.75" customHeight="1">
      <c r="A387" s="9" t="s">
        <v>773</v>
      </c>
      <c r="B387" s="9">
        <v>30.86</v>
      </c>
      <c r="C387" s="9">
        <v>6.18</v>
      </c>
      <c r="D387" s="9" t="s">
        <v>4684</v>
      </c>
      <c r="E387" s="9" t="s">
        <v>4686</v>
      </c>
      <c r="F387" s="9" t="s">
        <v>4684</v>
      </c>
      <c r="G387" s="9">
        <v>2.0</v>
      </c>
      <c r="H387" s="9" t="s">
        <v>4686</v>
      </c>
      <c r="I387" s="9" t="str">
        <f t="shared" si="1"/>
        <v>Yes</v>
      </c>
      <c r="J387" s="9">
        <f t="shared" si="2"/>
        <v>2</v>
      </c>
      <c r="K387" s="9" t="str">
        <f t="shared" si="3"/>
        <v>OBESITY</v>
      </c>
    </row>
    <row r="388" ht="15.75" customHeight="1">
      <c r="A388" s="9" t="s">
        <v>775</v>
      </c>
      <c r="B388" s="9">
        <v>31.96</v>
      </c>
      <c r="C388" s="9">
        <v>8.86</v>
      </c>
      <c r="D388" s="9" t="s">
        <v>4684</v>
      </c>
      <c r="E388" s="9" t="s">
        <v>4684</v>
      </c>
      <c r="F388" s="9" t="s">
        <v>4684</v>
      </c>
      <c r="G388" s="9" t="s">
        <v>4685</v>
      </c>
      <c r="H388" s="9" t="s">
        <v>4686</v>
      </c>
      <c r="I388" s="9" t="str">
        <f t="shared" si="1"/>
        <v>Yes</v>
      </c>
      <c r="J388" s="9">
        <f t="shared" si="2"/>
        <v>0</v>
      </c>
      <c r="K388" s="9" t="str">
        <f t="shared" si="3"/>
        <v>OBESITY</v>
      </c>
    </row>
    <row r="389" ht="15.75" customHeight="1">
      <c r="A389" s="9" t="s">
        <v>777</v>
      </c>
      <c r="B389" s="9">
        <v>23.76</v>
      </c>
      <c r="C389" s="9">
        <v>10.96</v>
      </c>
      <c r="D389" s="9" t="s">
        <v>4684</v>
      </c>
      <c r="E389" s="9" t="s">
        <v>4684</v>
      </c>
      <c r="F389" s="9" t="s">
        <v>4684</v>
      </c>
      <c r="G389" s="9">
        <v>3.0</v>
      </c>
      <c r="H389" s="9" t="s">
        <v>4686</v>
      </c>
      <c r="I389" s="9" t="str">
        <f t="shared" si="1"/>
        <v>Yes</v>
      </c>
      <c r="J389" s="9">
        <f t="shared" si="2"/>
        <v>3</v>
      </c>
      <c r="K389" s="9" t="str">
        <f t="shared" si="3"/>
        <v>NORMAL WEIGHT</v>
      </c>
    </row>
    <row r="390" ht="15.75" customHeight="1">
      <c r="A390" s="9" t="s">
        <v>779</v>
      </c>
      <c r="B390" s="9">
        <v>19.38</v>
      </c>
      <c r="C390" s="9">
        <v>6.28</v>
      </c>
      <c r="D390" s="9" t="s">
        <v>4684</v>
      </c>
      <c r="E390" s="9" t="s">
        <v>4684</v>
      </c>
      <c r="F390" s="9" t="s">
        <v>4684</v>
      </c>
      <c r="G390" s="9" t="s">
        <v>4685</v>
      </c>
      <c r="H390" s="9" t="s">
        <v>4686</v>
      </c>
      <c r="I390" s="9" t="str">
        <f t="shared" si="1"/>
        <v>Yes</v>
      </c>
      <c r="J390" s="9">
        <f t="shared" si="2"/>
        <v>0</v>
      </c>
      <c r="K390" s="9" t="str">
        <f t="shared" si="3"/>
        <v>NORMAL WEIGHT</v>
      </c>
    </row>
    <row r="391" ht="15.75" customHeight="1">
      <c r="A391" s="9" t="s">
        <v>781</v>
      </c>
      <c r="B391" s="9">
        <v>16.21</v>
      </c>
      <c r="C391" s="9">
        <v>6.29</v>
      </c>
      <c r="D391" s="9" t="s">
        <v>4686</v>
      </c>
      <c r="E391" s="9" t="s">
        <v>4684</v>
      </c>
      <c r="F391" s="9" t="s">
        <v>4684</v>
      </c>
      <c r="G391" s="9">
        <v>1.0</v>
      </c>
      <c r="H391" s="9" t="s">
        <v>4686</v>
      </c>
      <c r="I391" s="9" t="str">
        <f t="shared" si="1"/>
        <v>Yes</v>
      </c>
      <c r="J391" s="9">
        <f t="shared" si="2"/>
        <v>1</v>
      </c>
      <c r="K391" s="9" t="str">
        <f t="shared" si="3"/>
        <v>UNDERWEIGHT</v>
      </c>
    </row>
    <row r="392" ht="15.75" customHeight="1">
      <c r="A392" s="9" t="s">
        <v>783</v>
      </c>
      <c r="B392" s="9">
        <v>32.54</v>
      </c>
      <c r="C392" s="9">
        <v>4.02</v>
      </c>
      <c r="D392" s="9" t="s">
        <v>4684</v>
      </c>
      <c r="E392" s="9" t="s">
        <v>4686</v>
      </c>
      <c r="F392" s="9" t="s">
        <v>4684</v>
      </c>
      <c r="G392" s="9">
        <v>1.0</v>
      </c>
      <c r="H392" s="9" t="s">
        <v>4686</v>
      </c>
      <c r="I392" s="9" t="str">
        <f t="shared" si="1"/>
        <v>Yes</v>
      </c>
      <c r="J392" s="9">
        <f t="shared" si="2"/>
        <v>1</v>
      </c>
      <c r="K392" s="9" t="str">
        <f t="shared" si="3"/>
        <v>OBESITY</v>
      </c>
    </row>
    <row r="393" ht="15.75" customHeight="1">
      <c r="A393" s="9" t="s">
        <v>785</v>
      </c>
      <c r="B393" s="9">
        <v>36.765</v>
      </c>
      <c r="C393" s="9">
        <v>11.95</v>
      </c>
      <c r="D393" s="9" t="s">
        <v>4686</v>
      </c>
      <c r="E393" s="9" t="s">
        <v>4684</v>
      </c>
      <c r="F393" s="9" t="s">
        <v>4684</v>
      </c>
      <c r="G393" s="9">
        <v>2.0</v>
      </c>
      <c r="H393" s="9" t="s">
        <v>4684</v>
      </c>
      <c r="I393" s="9" t="str">
        <f t="shared" si="1"/>
        <v>No</v>
      </c>
      <c r="J393" s="9">
        <f t="shared" si="2"/>
        <v>2</v>
      </c>
      <c r="K393" s="9" t="str">
        <f t="shared" si="3"/>
        <v>OBESITY</v>
      </c>
    </row>
    <row r="394" ht="15.75" customHeight="1">
      <c r="A394" s="9" t="s">
        <v>787</v>
      </c>
      <c r="B394" s="9">
        <v>35.91</v>
      </c>
      <c r="C394" s="9">
        <v>8.71</v>
      </c>
      <c r="D394" s="9" t="s">
        <v>4684</v>
      </c>
      <c r="E394" s="9" t="s">
        <v>4684</v>
      </c>
      <c r="F394" s="9" t="s">
        <v>4684</v>
      </c>
      <c r="G394" s="9" t="s">
        <v>4685</v>
      </c>
      <c r="H394" s="9" t="s">
        <v>4684</v>
      </c>
      <c r="I394" s="9" t="str">
        <f t="shared" si="1"/>
        <v>No</v>
      </c>
      <c r="J394" s="9">
        <f t="shared" si="2"/>
        <v>0</v>
      </c>
      <c r="K394" s="9" t="str">
        <f t="shared" si="3"/>
        <v>OBESITY</v>
      </c>
    </row>
    <row r="395" ht="15.75" customHeight="1">
      <c r="A395" s="9" t="s">
        <v>789</v>
      </c>
      <c r="B395" s="9">
        <v>32.06</v>
      </c>
      <c r="C395" s="9">
        <v>4.67</v>
      </c>
      <c r="D395" s="9" t="s">
        <v>4684</v>
      </c>
      <c r="E395" s="9" t="s">
        <v>4686</v>
      </c>
      <c r="F395" s="9" t="s">
        <v>4684</v>
      </c>
      <c r="G395" s="9">
        <v>1.0</v>
      </c>
      <c r="H395" s="9" t="s">
        <v>4686</v>
      </c>
      <c r="I395" s="9" t="str">
        <f t="shared" si="1"/>
        <v>Yes</v>
      </c>
      <c r="J395" s="9">
        <f t="shared" si="2"/>
        <v>1</v>
      </c>
      <c r="K395" s="9" t="str">
        <f t="shared" si="3"/>
        <v>OBESITY</v>
      </c>
    </row>
    <row r="396" ht="15.75" customHeight="1">
      <c r="A396" s="9" t="s">
        <v>791</v>
      </c>
      <c r="B396" s="9">
        <v>24.1</v>
      </c>
      <c r="C396" s="9">
        <v>11.14</v>
      </c>
      <c r="D396" s="9" t="s">
        <v>4686</v>
      </c>
      <c r="E396" s="9" t="s">
        <v>4684</v>
      </c>
      <c r="F396" s="9" t="s">
        <v>4684</v>
      </c>
      <c r="G396" s="9">
        <v>1.0</v>
      </c>
      <c r="H396" s="9" t="s">
        <v>4684</v>
      </c>
      <c r="I396" s="9" t="str">
        <f t="shared" si="1"/>
        <v>No</v>
      </c>
      <c r="J396" s="9">
        <f t="shared" si="2"/>
        <v>1</v>
      </c>
      <c r="K396" s="9" t="str">
        <f t="shared" si="3"/>
        <v>NORMAL WEIGHT</v>
      </c>
    </row>
    <row r="397" ht="15.75" customHeight="1">
      <c r="A397" s="9" t="s">
        <v>793</v>
      </c>
      <c r="B397" s="9">
        <v>27.1</v>
      </c>
      <c r="C397" s="9">
        <v>9.05</v>
      </c>
      <c r="D397" s="9" t="s">
        <v>4684</v>
      </c>
      <c r="E397" s="9" t="s">
        <v>4684</v>
      </c>
      <c r="F397" s="9" t="s">
        <v>4684</v>
      </c>
      <c r="G397" s="9">
        <v>2.0</v>
      </c>
      <c r="H397" s="9" t="s">
        <v>4684</v>
      </c>
      <c r="I397" s="9" t="str">
        <f t="shared" si="1"/>
        <v>No</v>
      </c>
      <c r="J397" s="9">
        <f t="shared" si="2"/>
        <v>2</v>
      </c>
      <c r="K397" s="9" t="str">
        <f t="shared" si="3"/>
        <v>OVERWEIGHT</v>
      </c>
    </row>
    <row r="398" ht="15.75" customHeight="1">
      <c r="A398" s="9" t="s">
        <v>795</v>
      </c>
      <c r="B398" s="9">
        <v>24.42</v>
      </c>
      <c r="C398" s="9">
        <v>11.31</v>
      </c>
      <c r="D398" s="9" t="s">
        <v>4684</v>
      </c>
      <c r="E398" s="9" t="s">
        <v>4684</v>
      </c>
      <c r="F398" s="9" t="s">
        <v>4684</v>
      </c>
      <c r="G398" s="9" t="s">
        <v>4685</v>
      </c>
      <c r="H398" s="9" t="s">
        <v>4686</v>
      </c>
      <c r="I398" s="9" t="str">
        <f t="shared" si="1"/>
        <v>Yes</v>
      </c>
      <c r="J398" s="9">
        <f t="shared" si="2"/>
        <v>0</v>
      </c>
      <c r="K398" s="9" t="str">
        <f t="shared" si="3"/>
        <v>NORMAL WEIGHT</v>
      </c>
    </row>
    <row r="399" ht="15.75" customHeight="1">
      <c r="A399" s="9" t="s">
        <v>797</v>
      </c>
      <c r="B399" s="9">
        <v>26.695</v>
      </c>
      <c r="C399" s="9">
        <v>4.68</v>
      </c>
      <c r="D399" s="9" t="s">
        <v>4686</v>
      </c>
      <c r="E399" s="9" t="s">
        <v>4684</v>
      </c>
      <c r="F399" s="9" t="s">
        <v>4684</v>
      </c>
      <c r="G399" s="9">
        <v>2.0</v>
      </c>
      <c r="H399" s="9" t="s">
        <v>4686</v>
      </c>
      <c r="I399" s="9" t="str">
        <f t="shared" si="1"/>
        <v>Yes</v>
      </c>
      <c r="J399" s="9">
        <f t="shared" si="2"/>
        <v>2</v>
      </c>
      <c r="K399" s="9" t="str">
        <f t="shared" si="3"/>
        <v>OVERWEIGHT</v>
      </c>
    </row>
    <row r="400" ht="15.75" customHeight="1">
      <c r="A400" s="9" t="s">
        <v>799</v>
      </c>
      <c r="B400" s="9">
        <v>27.79</v>
      </c>
      <c r="C400" s="9">
        <v>6.05</v>
      </c>
      <c r="D400" s="9" t="s">
        <v>4686</v>
      </c>
      <c r="E400" s="9" t="s">
        <v>4686</v>
      </c>
      <c r="F400" s="9" t="s">
        <v>4684</v>
      </c>
      <c r="G400" s="9">
        <v>1.0</v>
      </c>
      <c r="H400" s="9" t="s">
        <v>4686</v>
      </c>
      <c r="I400" s="9" t="str">
        <f t="shared" si="1"/>
        <v>Yes</v>
      </c>
      <c r="J400" s="9">
        <f t="shared" si="2"/>
        <v>1</v>
      </c>
      <c r="K400" s="9" t="str">
        <f t="shared" si="3"/>
        <v>OVERWEIGHT</v>
      </c>
    </row>
    <row r="401" ht="15.75" customHeight="1">
      <c r="A401" s="9" t="s">
        <v>801</v>
      </c>
      <c r="B401" s="9">
        <v>32.68</v>
      </c>
      <c r="C401" s="9">
        <v>4.68</v>
      </c>
      <c r="D401" s="9" t="s">
        <v>4686</v>
      </c>
      <c r="E401" s="9" t="s">
        <v>4684</v>
      </c>
      <c r="F401" s="9" t="s">
        <v>4684</v>
      </c>
      <c r="G401" s="9" t="s">
        <v>4685</v>
      </c>
      <c r="H401" s="9" t="s">
        <v>4684</v>
      </c>
      <c r="I401" s="9" t="str">
        <f t="shared" si="1"/>
        <v>No</v>
      </c>
      <c r="J401" s="9">
        <f t="shared" si="2"/>
        <v>0</v>
      </c>
      <c r="K401" s="9" t="str">
        <f t="shared" si="3"/>
        <v>OBESITY</v>
      </c>
    </row>
    <row r="402" ht="15.75" customHeight="1">
      <c r="A402" s="9" t="s">
        <v>803</v>
      </c>
      <c r="B402" s="9">
        <v>26.4</v>
      </c>
      <c r="C402" s="9">
        <v>9.5</v>
      </c>
      <c r="D402" s="9" t="s">
        <v>4686</v>
      </c>
      <c r="E402" s="9" t="s">
        <v>4684</v>
      </c>
      <c r="F402" s="9" t="s">
        <v>4684</v>
      </c>
      <c r="G402" s="9">
        <v>2.0</v>
      </c>
      <c r="H402" s="9" t="s">
        <v>4684</v>
      </c>
      <c r="I402" s="9" t="str">
        <f t="shared" si="1"/>
        <v>No</v>
      </c>
      <c r="J402" s="9">
        <f t="shared" si="2"/>
        <v>2</v>
      </c>
      <c r="K402" s="9" t="str">
        <f t="shared" si="3"/>
        <v>OVERWEIGHT</v>
      </c>
    </row>
    <row r="403" ht="15.75" customHeight="1">
      <c r="A403" s="9" t="s">
        <v>805</v>
      </c>
      <c r="B403" s="9">
        <v>23.655</v>
      </c>
      <c r="C403" s="9">
        <v>10.84</v>
      </c>
      <c r="D403" s="9" t="s">
        <v>4686</v>
      </c>
      <c r="E403" s="9" t="s">
        <v>4684</v>
      </c>
      <c r="F403" s="9" t="s">
        <v>4686</v>
      </c>
      <c r="G403" s="9">
        <v>1.0</v>
      </c>
      <c r="H403" s="9" t="s">
        <v>4686</v>
      </c>
      <c r="I403" s="9" t="str">
        <f t="shared" si="1"/>
        <v>Yes</v>
      </c>
      <c r="J403" s="9">
        <f t="shared" si="2"/>
        <v>1</v>
      </c>
      <c r="K403" s="9" t="str">
        <f t="shared" si="3"/>
        <v>NORMAL WEIGHT</v>
      </c>
    </row>
    <row r="404" ht="15.75" customHeight="1">
      <c r="A404" s="9" t="s">
        <v>807</v>
      </c>
      <c r="B404" s="9">
        <v>27.36</v>
      </c>
      <c r="C404" s="9">
        <v>5.88</v>
      </c>
      <c r="D404" s="9" t="s">
        <v>4684</v>
      </c>
      <c r="E404" s="9" t="s">
        <v>4684</v>
      </c>
      <c r="F404" s="9" t="s">
        <v>4684</v>
      </c>
      <c r="G404" s="9">
        <v>2.0</v>
      </c>
      <c r="H404" s="9" t="s">
        <v>4684</v>
      </c>
      <c r="I404" s="9" t="str">
        <f t="shared" si="1"/>
        <v>No</v>
      </c>
      <c r="J404" s="9">
        <f t="shared" si="2"/>
        <v>2</v>
      </c>
      <c r="K404" s="9" t="str">
        <f t="shared" si="3"/>
        <v>OVERWEIGHT</v>
      </c>
    </row>
    <row r="405" ht="15.75" customHeight="1">
      <c r="A405" s="9" t="s">
        <v>809</v>
      </c>
      <c r="B405" s="9">
        <v>27.82</v>
      </c>
      <c r="C405" s="9">
        <v>5.24</v>
      </c>
      <c r="D405" s="9" t="s">
        <v>4686</v>
      </c>
      <c r="E405" s="9" t="s">
        <v>4684</v>
      </c>
      <c r="F405" s="9" t="s">
        <v>4684</v>
      </c>
      <c r="G405" s="9" t="s">
        <v>4685</v>
      </c>
      <c r="H405" s="9" t="s">
        <v>4686</v>
      </c>
      <c r="I405" s="9" t="str">
        <f t="shared" si="1"/>
        <v>Yes</v>
      </c>
      <c r="J405" s="9">
        <f t="shared" si="2"/>
        <v>0</v>
      </c>
      <c r="K405" s="9" t="str">
        <f t="shared" si="3"/>
        <v>OVERWEIGHT</v>
      </c>
    </row>
    <row r="406" ht="15.75" customHeight="1">
      <c r="A406" s="9" t="s">
        <v>811</v>
      </c>
      <c r="B406" s="9">
        <v>25.46</v>
      </c>
      <c r="C406" s="9">
        <v>11.75</v>
      </c>
      <c r="D406" s="9" t="s">
        <v>4684</v>
      </c>
      <c r="E406" s="9" t="s">
        <v>4684</v>
      </c>
      <c r="F406" s="9" t="s">
        <v>4684</v>
      </c>
      <c r="G406" s="9" t="s">
        <v>4685</v>
      </c>
      <c r="H406" s="9" t="s">
        <v>4684</v>
      </c>
      <c r="I406" s="9" t="str">
        <f t="shared" si="1"/>
        <v>No</v>
      </c>
      <c r="J406" s="9">
        <f t="shared" si="2"/>
        <v>0</v>
      </c>
      <c r="K406" s="9" t="str">
        <f t="shared" si="3"/>
        <v>OVERWEIGHT</v>
      </c>
    </row>
    <row r="407" ht="15.75" customHeight="1">
      <c r="A407" s="9" t="s">
        <v>813</v>
      </c>
      <c r="B407" s="9">
        <v>25.1</v>
      </c>
      <c r="C407" s="9">
        <v>6.97</v>
      </c>
      <c r="D407" s="9" t="s">
        <v>4684</v>
      </c>
      <c r="E407" s="9" t="s">
        <v>4684</v>
      </c>
      <c r="F407" s="9" t="s">
        <v>4684</v>
      </c>
      <c r="G407" s="9" t="s">
        <v>4685</v>
      </c>
      <c r="H407" s="9" t="s">
        <v>4686</v>
      </c>
      <c r="I407" s="9" t="str">
        <f t="shared" si="1"/>
        <v>Yes</v>
      </c>
      <c r="J407" s="9">
        <f t="shared" si="2"/>
        <v>0</v>
      </c>
      <c r="K407" s="9" t="str">
        <f t="shared" si="3"/>
        <v>OVERWEIGHT</v>
      </c>
    </row>
    <row r="408" ht="15.75" customHeight="1">
      <c r="A408" s="9" t="s">
        <v>815</v>
      </c>
      <c r="B408" s="9">
        <v>32.11</v>
      </c>
      <c r="C408" s="9">
        <v>4.76</v>
      </c>
      <c r="D408" s="9" t="s">
        <v>4684</v>
      </c>
      <c r="E408" s="9" t="s">
        <v>4684</v>
      </c>
      <c r="F408" s="9" t="s">
        <v>4684</v>
      </c>
      <c r="G408" s="9">
        <v>2.0</v>
      </c>
      <c r="H408" s="9" t="s">
        <v>4684</v>
      </c>
      <c r="I408" s="9" t="str">
        <f t="shared" si="1"/>
        <v>No</v>
      </c>
      <c r="J408" s="9">
        <f t="shared" si="2"/>
        <v>2</v>
      </c>
      <c r="K408" s="9" t="str">
        <f t="shared" si="3"/>
        <v>OBESITY</v>
      </c>
    </row>
    <row r="409" ht="15.75" customHeight="1">
      <c r="A409" s="9" t="s">
        <v>817</v>
      </c>
      <c r="B409" s="9">
        <v>29.8</v>
      </c>
      <c r="C409" s="9">
        <v>8.24</v>
      </c>
      <c r="D409" s="9" t="s">
        <v>4686</v>
      </c>
      <c r="E409" s="9" t="s">
        <v>4684</v>
      </c>
      <c r="F409" s="9" t="s">
        <v>4684</v>
      </c>
      <c r="G409" s="9">
        <v>1.0</v>
      </c>
      <c r="H409" s="9" t="s">
        <v>4686</v>
      </c>
      <c r="I409" s="9" t="str">
        <f t="shared" si="1"/>
        <v>Yes</v>
      </c>
      <c r="J409" s="9">
        <f t="shared" si="2"/>
        <v>1</v>
      </c>
      <c r="K409" s="9" t="str">
        <f t="shared" si="3"/>
        <v>OVERWEIGHT</v>
      </c>
    </row>
    <row r="410" ht="15.75" customHeight="1">
      <c r="A410" s="9" t="s">
        <v>819</v>
      </c>
      <c r="B410" s="9">
        <v>24.01</v>
      </c>
      <c r="C410" s="9">
        <v>4.76</v>
      </c>
      <c r="D410" s="9" t="s">
        <v>4684</v>
      </c>
      <c r="E410" s="9" t="s">
        <v>4684</v>
      </c>
      <c r="F410" s="9" t="s">
        <v>4684</v>
      </c>
      <c r="G410" s="9">
        <v>1.0</v>
      </c>
      <c r="H410" s="9" t="s">
        <v>4686</v>
      </c>
      <c r="I410" s="9" t="str">
        <f t="shared" si="1"/>
        <v>Yes</v>
      </c>
      <c r="J410" s="9">
        <f t="shared" si="2"/>
        <v>1</v>
      </c>
      <c r="K410" s="9" t="str">
        <f t="shared" si="3"/>
        <v>NORMAL WEIGHT</v>
      </c>
    </row>
    <row r="411" ht="15.75" customHeight="1">
      <c r="A411" s="9" t="s">
        <v>821</v>
      </c>
      <c r="B411" s="9">
        <v>23.21</v>
      </c>
      <c r="C411" s="9">
        <v>6.03</v>
      </c>
      <c r="D411" s="9" t="s">
        <v>4684</v>
      </c>
      <c r="E411" s="9" t="s">
        <v>4684</v>
      </c>
      <c r="F411" s="9" t="s">
        <v>4684</v>
      </c>
      <c r="G411" s="9">
        <v>1.0</v>
      </c>
      <c r="H411" s="9" t="s">
        <v>4684</v>
      </c>
      <c r="I411" s="9" t="str">
        <f t="shared" si="1"/>
        <v>No</v>
      </c>
      <c r="J411" s="9">
        <f t="shared" si="2"/>
        <v>1</v>
      </c>
      <c r="K411" s="9" t="str">
        <f t="shared" si="3"/>
        <v>NORMAL WEIGHT</v>
      </c>
    </row>
    <row r="412" ht="15.75" customHeight="1">
      <c r="A412" s="9" t="s">
        <v>823</v>
      </c>
      <c r="B412" s="9">
        <v>21.2</v>
      </c>
      <c r="C412" s="9">
        <v>4.07</v>
      </c>
      <c r="D412" s="9" t="s">
        <v>4686</v>
      </c>
      <c r="E412" s="9" t="s">
        <v>4684</v>
      </c>
      <c r="F412" s="9" t="s">
        <v>4684</v>
      </c>
      <c r="G412" s="9">
        <v>1.0</v>
      </c>
      <c r="H412" s="9" t="s">
        <v>4686</v>
      </c>
      <c r="I412" s="9" t="str">
        <f t="shared" si="1"/>
        <v>Yes</v>
      </c>
      <c r="J412" s="9">
        <f t="shared" si="2"/>
        <v>1</v>
      </c>
      <c r="K412" s="9" t="str">
        <f t="shared" si="3"/>
        <v>NORMAL WEIGHT</v>
      </c>
    </row>
    <row r="413" ht="15.75" customHeight="1">
      <c r="A413" s="9" t="s">
        <v>825</v>
      </c>
      <c r="B413" s="9">
        <v>28.215</v>
      </c>
      <c r="C413" s="9">
        <v>8.26</v>
      </c>
      <c r="D413" s="9" t="s">
        <v>4686</v>
      </c>
      <c r="E413" s="9" t="s">
        <v>4684</v>
      </c>
      <c r="F413" s="9" t="s">
        <v>4684</v>
      </c>
      <c r="G413" s="9">
        <v>1.0</v>
      </c>
      <c r="H413" s="9" t="s">
        <v>4686</v>
      </c>
      <c r="I413" s="9" t="str">
        <f t="shared" si="1"/>
        <v>Yes</v>
      </c>
      <c r="J413" s="9">
        <f t="shared" si="2"/>
        <v>1</v>
      </c>
      <c r="K413" s="9" t="str">
        <f t="shared" si="3"/>
        <v>OVERWEIGHT</v>
      </c>
    </row>
    <row r="414" ht="15.75" customHeight="1">
      <c r="A414" s="9" t="s">
        <v>827</v>
      </c>
      <c r="B414" s="9">
        <v>38.095</v>
      </c>
      <c r="C414" s="9">
        <v>4.76</v>
      </c>
      <c r="D414" s="9" t="s">
        <v>4684</v>
      </c>
      <c r="E414" s="9" t="s">
        <v>4684</v>
      </c>
      <c r="F414" s="9" t="s">
        <v>4684</v>
      </c>
      <c r="G414" s="9">
        <v>1.0</v>
      </c>
      <c r="H414" s="9" t="s">
        <v>4684</v>
      </c>
      <c r="I414" s="9" t="str">
        <f t="shared" si="1"/>
        <v>No</v>
      </c>
      <c r="J414" s="9">
        <f t="shared" si="2"/>
        <v>1</v>
      </c>
      <c r="K414" s="9" t="str">
        <f t="shared" si="3"/>
        <v>OBESITY</v>
      </c>
    </row>
    <row r="415" ht="15.75" customHeight="1">
      <c r="A415" s="9" t="s">
        <v>829</v>
      </c>
      <c r="B415" s="9">
        <v>22.61</v>
      </c>
      <c r="C415" s="9">
        <v>6.13</v>
      </c>
      <c r="D415" s="9" t="s">
        <v>4686</v>
      </c>
      <c r="E415" s="9" t="s">
        <v>4684</v>
      </c>
      <c r="F415" s="9" t="s">
        <v>4686</v>
      </c>
      <c r="G415" s="9">
        <v>1.0</v>
      </c>
      <c r="H415" s="9" t="s">
        <v>4686</v>
      </c>
      <c r="I415" s="9" t="str">
        <f t="shared" si="1"/>
        <v>Yes</v>
      </c>
      <c r="J415" s="9">
        <f t="shared" si="2"/>
        <v>1</v>
      </c>
      <c r="K415" s="9" t="str">
        <f t="shared" si="3"/>
        <v>NORMAL WEIGHT</v>
      </c>
    </row>
    <row r="416" ht="15.75" customHeight="1">
      <c r="A416" s="9" t="s">
        <v>831</v>
      </c>
      <c r="B416" s="9">
        <v>24.32</v>
      </c>
      <c r="C416" s="9">
        <v>10.47</v>
      </c>
      <c r="D416" s="9" t="s">
        <v>4686</v>
      </c>
      <c r="E416" s="9" t="s">
        <v>4684</v>
      </c>
      <c r="F416" s="9" t="s">
        <v>4684</v>
      </c>
      <c r="G416" s="9">
        <v>2.0</v>
      </c>
      <c r="H416" s="9" t="s">
        <v>4686</v>
      </c>
      <c r="I416" s="9" t="str">
        <f t="shared" si="1"/>
        <v>Yes</v>
      </c>
      <c r="J416" s="9">
        <f t="shared" si="2"/>
        <v>2</v>
      </c>
      <c r="K416" s="9" t="str">
        <f t="shared" si="3"/>
        <v>NORMAL WEIGHT</v>
      </c>
    </row>
    <row r="417" ht="15.75" customHeight="1">
      <c r="A417" s="9" t="s">
        <v>833</v>
      </c>
      <c r="B417" s="9">
        <v>20.96</v>
      </c>
      <c r="C417" s="9">
        <v>4.04</v>
      </c>
      <c r="D417" s="9" t="s">
        <v>4686</v>
      </c>
      <c r="E417" s="9" t="s">
        <v>4684</v>
      </c>
      <c r="F417" s="9" t="s">
        <v>4684</v>
      </c>
      <c r="G417" s="9">
        <v>1.0</v>
      </c>
      <c r="H417" s="9" t="s">
        <v>4686</v>
      </c>
      <c r="I417" s="9" t="str">
        <f t="shared" si="1"/>
        <v>Yes</v>
      </c>
      <c r="J417" s="9">
        <f t="shared" si="2"/>
        <v>1</v>
      </c>
      <c r="K417" s="9" t="str">
        <f t="shared" si="3"/>
        <v>NORMAL WEIGHT</v>
      </c>
    </row>
    <row r="418" ht="15.75" customHeight="1">
      <c r="A418" s="9" t="s">
        <v>835</v>
      </c>
      <c r="B418" s="9">
        <v>19.68</v>
      </c>
      <c r="C418" s="9">
        <v>5.74</v>
      </c>
      <c r="D418" s="9" t="s">
        <v>4684</v>
      </c>
      <c r="E418" s="9" t="s">
        <v>4684</v>
      </c>
      <c r="F418" s="9" t="s">
        <v>4684</v>
      </c>
      <c r="G418" s="9" t="s">
        <v>4685</v>
      </c>
      <c r="H418" s="9" t="s">
        <v>4686</v>
      </c>
      <c r="I418" s="9" t="str">
        <f t="shared" si="1"/>
        <v>Yes</v>
      </c>
      <c r="J418" s="9">
        <f t="shared" si="2"/>
        <v>0</v>
      </c>
      <c r="K418" s="9" t="str">
        <f t="shared" si="3"/>
        <v>NORMAL WEIGHT</v>
      </c>
    </row>
    <row r="419" ht="15.75" customHeight="1">
      <c r="A419" s="9" t="s">
        <v>837</v>
      </c>
      <c r="B419" s="9">
        <v>18.1</v>
      </c>
      <c r="C419" s="9">
        <v>6.33</v>
      </c>
      <c r="D419" s="9" t="s">
        <v>4684</v>
      </c>
      <c r="E419" s="9" t="s">
        <v>4684</v>
      </c>
      <c r="F419" s="9" t="s">
        <v>4684</v>
      </c>
      <c r="G419" s="9">
        <v>1.0</v>
      </c>
      <c r="H419" s="9" t="s">
        <v>4686</v>
      </c>
      <c r="I419" s="9" t="str">
        <f t="shared" si="1"/>
        <v>Yes</v>
      </c>
      <c r="J419" s="9">
        <f t="shared" si="2"/>
        <v>1</v>
      </c>
      <c r="K419" s="9" t="str">
        <f t="shared" si="3"/>
        <v>UNDERWEIGHT</v>
      </c>
    </row>
    <row r="420" ht="15.75" customHeight="1">
      <c r="A420" s="9" t="s">
        <v>839</v>
      </c>
      <c r="B420" s="9">
        <v>29.64</v>
      </c>
      <c r="C420" s="9">
        <v>4.28</v>
      </c>
      <c r="D420" s="9" t="s">
        <v>4686</v>
      </c>
      <c r="E420" s="9" t="s">
        <v>4684</v>
      </c>
      <c r="F420" s="9" t="s">
        <v>4684</v>
      </c>
      <c r="G420" s="9" t="s">
        <v>4685</v>
      </c>
      <c r="H420" s="9" t="s">
        <v>4684</v>
      </c>
      <c r="I420" s="9" t="str">
        <f t="shared" si="1"/>
        <v>No</v>
      </c>
      <c r="J420" s="9">
        <f t="shared" si="2"/>
        <v>0</v>
      </c>
      <c r="K420" s="9" t="str">
        <f t="shared" si="3"/>
        <v>OVERWEIGHT</v>
      </c>
    </row>
    <row r="421" ht="15.75" customHeight="1">
      <c r="A421" s="9" t="s">
        <v>841</v>
      </c>
      <c r="B421" s="9">
        <v>25.3</v>
      </c>
      <c r="C421" s="9">
        <v>9.47</v>
      </c>
      <c r="D421" s="9" t="s">
        <v>4686</v>
      </c>
      <c r="E421" s="9" t="s">
        <v>4684</v>
      </c>
      <c r="F421" s="9" t="s">
        <v>4684</v>
      </c>
      <c r="G421" s="9">
        <v>2.0</v>
      </c>
      <c r="H421" s="9" t="s">
        <v>4686</v>
      </c>
      <c r="I421" s="9" t="str">
        <f t="shared" si="1"/>
        <v>Yes</v>
      </c>
      <c r="J421" s="9">
        <f t="shared" si="2"/>
        <v>2</v>
      </c>
      <c r="K421" s="9" t="str">
        <f t="shared" si="3"/>
        <v>OVERWEIGHT</v>
      </c>
    </row>
    <row r="422" ht="15.75" customHeight="1">
      <c r="A422" s="9" t="s">
        <v>843</v>
      </c>
      <c r="B422" s="9">
        <v>27.6</v>
      </c>
      <c r="C422" s="9">
        <v>4.85</v>
      </c>
      <c r="D422" s="9" t="s">
        <v>4686</v>
      </c>
      <c r="E422" s="9" t="s">
        <v>4684</v>
      </c>
      <c r="F422" s="9" t="s">
        <v>4684</v>
      </c>
      <c r="G422" s="9" t="s">
        <v>4685</v>
      </c>
      <c r="H422" s="9" t="s">
        <v>4684</v>
      </c>
      <c r="I422" s="9" t="str">
        <f t="shared" si="1"/>
        <v>No</v>
      </c>
      <c r="J422" s="9">
        <f t="shared" si="2"/>
        <v>0</v>
      </c>
      <c r="K422" s="9" t="str">
        <f t="shared" si="3"/>
        <v>OVERWEIGHT</v>
      </c>
    </row>
    <row r="423" ht="15.75" customHeight="1">
      <c r="A423" s="9" t="s">
        <v>845</v>
      </c>
      <c r="B423" s="9">
        <v>27.645</v>
      </c>
      <c r="C423" s="9">
        <v>11.03</v>
      </c>
      <c r="D423" s="9" t="s">
        <v>4686</v>
      </c>
      <c r="E423" s="9" t="s">
        <v>4684</v>
      </c>
      <c r="F423" s="9" t="s">
        <v>4684</v>
      </c>
      <c r="G423" s="9">
        <v>1.0</v>
      </c>
      <c r="H423" s="9" t="s">
        <v>4686</v>
      </c>
      <c r="I423" s="9" t="str">
        <f t="shared" si="1"/>
        <v>Yes</v>
      </c>
      <c r="J423" s="9">
        <f t="shared" si="2"/>
        <v>1</v>
      </c>
      <c r="K423" s="9" t="str">
        <f t="shared" si="3"/>
        <v>OVERWEIGHT</v>
      </c>
    </row>
    <row r="424" ht="15.75" customHeight="1">
      <c r="A424" s="9" t="s">
        <v>847</v>
      </c>
      <c r="B424" s="9">
        <v>27.6</v>
      </c>
      <c r="C424" s="9">
        <v>5.22</v>
      </c>
      <c r="D424" s="9" t="s">
        <v>4684</v>
      </c>
      <c r="E424" s="9" t="s">
        <v>4684</v>
      </c>
      <c r="F424" s="9" t="s">
        <v>4684</v>
      </c>
      <c r="G424" s="9">
        <v>2.0</v>
      </c>
      <c r="H424" s="9" t="s">
        <v>4686</v>
      </c>
      <c r="I424" s="9" t="str">
        <f t="shared" si="1"/>
        <v>Yes</v>
      </c>
      <c r="J424" s="9">
        <f t="shared" si="2"/>
        <v>2</v>
      </c>
      <c r="K424" s="9" t="str">
        <f t="shared" si="3"/>
        <v>OVERWEIGHT</v>
      </c>
    </row>
    <row r="425" ht="15.75" customHeight="1">
      <c r="A425" s="9" t="s">
        <v>849</v>
      </c>
      <c r="B425" s="9">
        <v>25.08</v>
      </c>
      <c r="C425" s="9">
        <v>9.52</v>
      </c>
      <c r="D425" s="9" t="s">
        <v>4686</v>
      </c>
      <c r="E425" s="9" t="s">
        <v>4684</v>
      </c>
      <c r="F425" s="9" t="s">
        <v>4684</v>
      </c>
      <c r="G425" s="9">
        <v>2.0</v>
      </c>
      <c r="H425" s="9" t="s">
        <v>4684</v>
      </c>
      <c r="I425" s="9" t="str">
        <f t="shared" si="1"/>
        <v>No</v>
      </c>
      <c r="J425" s="9">
        <f t="shared" si="2"/>
        <v>2</v>
      </c>
      <c r="K425" s="9" t="str">
        <f t="shared" si="3"/>
        <v>OVERWEIGHT</v>
      </c>
    </row>
    <row r="426" ht="15.75" customHeight="1">
      <c r="A426" s="9" t="s">
        <v>851</v>
      </c>
      <c r="B426" s="9">
        <v>30.02</v>
      </c>
      <c r="C426" s="9">
        <v>11.09</v>
      </c>
      <c r="D426" s="9" t="s">
        <v>4684</v>
      </c>
      <c r="E426" s="9" t="s">
        <v>4684</v>
      </c>
      <c r="F426" s="9" t="s">
        <v>4684</v>
      </c>
      <c r="G426" s="9" t="s">
        <v>4685</v>
      </c>
      <c r="H426" s="9" t="s">
        <v>4684</v>
      </c>
      <c r="I426" s="9" t="str">
        <f t="shared" si="1"/>
        <v>No</v>
      </c>
      <c r="J426" s="9">
        <f t="shared" si="2"/>
        <v>0</v>
      </c>
      <c r="K426" s="9" t="str">
        <f t="shared" si="3"/>
        <v>OBESITY</v>
      </c>
    </row>
    <row r="427" ht="15.75" customHeight="1">
      <c r="A427" s="9" t="s">
        <v>853</v>
      </c>
      <c r="B427" s="9">
        <v>27.36</v>
      </c>
      <c r="C427" s="9">
        <v>9.45</v>
      </c>
      <c r="D427" s="9" t="s">
        <v>4686</v>
      </c>
      <c r="E427" s="9" t="s">
        <v>4684</v>
      </c>
      <c r="F427" s="9" t="s">
        <v>4684</v>
      </c>
      <c r="G427" s="9">
        <v>2.0</v>
      </c>
      <c r="H427" s="9" t="s">
        <v>4686</v>
      </c>
      <c r="I427" s="9" t="str">
        <f t="shared" si="1"/>
        <v>Yes</v>
      </c>
      <c r="J427" s="9">
        <f t="shared" si="2"/>
        <v>2</v>
      </c>
      <c r="K427" s="9" t="str">
        <f t="shared" si="3"/>
        <v>OVERWEIGHT</v>
      </c>
    </row>
    <row r="428" ht="15.75" customHeight="1">
      <c r="A428" s="9" t="s">
        <v>855</v>
      </c>
      <c r="B428" s="9">
        <v>22.2</v>
      </c>
      <c r="C428" s="9">
        <v>5.51</v>
      </c>
      <c r="D428" s="9" t="s">
        <v>4684</v>
      </c>
      <c r="E428" s="9" t="s">
        <v>4684</v>
      </c>
      <c r="F428" s="9" t="s">
        <v>4684</v>
      </c>
      <c r="G428" s="9" t="s">
        <v>4685</v>
      </c>
      <c r="H428" s="9" t="s">
        <v>4686</v>
      </c>
      <c r="I428" s="9" t="str">
        <f t="shared" si="1"/>
        <v>Yes</v>
      </c>
      <c r="J428" s="9">
        <f t="shared" si="2"/>
        <v>0</v>
      </c>
      <c r="K428" s="9" t="str">
        <f t="shared" si="3"/>
        <v>NORMAL WEIGHT</v>
      </c>
    </row>
    <row r="429" ht="15.75" customHeight="1">
      <c r="A429" s="9" t="s">
        <v>857</v>
      </c>
      <c r="B429" s="9">
        <v>25.71</v>
      </c>
      <c r="C429" s="9">
        <v>4.18</v>
      </c>
      <c r="D429" s="9" t="s">
        <v>4684</v>
      </c>
      <c r="E429" s="9" t="s">
        <v>4686</v>
      </c>
      <c r="F429" s="9" t="s">
        <v>4684</v>
      </c>
      <c r="G429" s="9">
        <v>1.0</v>
      </c>
      <c r="H429" s="9" t="s">
        <v>4686</v>
      </c>
      <c r="I429" s="9" t="str">
        <f t="shared" si="1"/>
        <v>Yes</v>
      </c>
      <c r="J429" s="9">
        <f t="shared" si="2"/>
        <v>1</v>
      </c>
      <c r="K429" s="9" t="str">
        <f t="shared" si="3"/>
        <v>OVERWEIGHT</v>
      </c>
    </row>
    <row r="430" ht="15.75" customHeight="1">
      <c r="A430" s="9" t="s">
        <v>859</v>
      </c>
      <c r="B430" s="9">
        <v>41.91</v>
      </c>
      <c r="C430" s="9">
        <v>5.98</v>
      </c>
      <c r="D430" s="9" t="s">
        <v>4686</v>
      </c>
      <c r="E430" s="9" t="s">
        <v>4684</v>
      </c>
      <c r="F430" s="9" t="s">
        <v>4684</v>
      </c>
      <c r="G430" s="9">
        <v>1.0</v>
      </c>
      <c r="H430" s="9" t="s">
        <v>4684</v>
      </c>
      <c r="I430" s="9" t="str">
        <f t="shared" si="1"/>
        <v>No</v>
      </c>
      <c r="J430" s="9">
        <f t="shared" si="2"/>
        <v>1</v>
      </c>
      <c r="K430" s="9" t="str">
        <f t="shared" si="3"/>
        <v>OBESITY</v>
      </c>
    </row>
    <row r="431" ht="15.75" customHeight="1">
      <c r="A431" s="9" t="s">
        <v>861</v>
      </c>
      <c r="B431" s="9">
        <v>25.85</v>
      </c>
      <c r="C431" s="9">
        <v>10.16</v>
      </c>
      <c r="D431" s="9" t="s">
        <v>4684</v>
      </c>
      <c r="E431" s="9" t="s">
        <v>4684</v>
      </c>
      <c r="F431" s="9" t="s">
        <v>4684</v>
      </c>
      <c r="G431" s="9" t="s">
        <v>4685</v>
      </c>
      <c r="H431" s="9" t="s">
        <v>4686</v>
      </c>
      <c r="I431" s="9" t="str">
        <f t="shared" si="1"/>
        <v>Yes</v>
      </c>
      <c r="J431" s="9">
        <f t="shared" si="2"/>
        <v>0</v>
      </c>
      <c r="K431" s="9" t="str">
        <f t="shared" si="3"/>
        <v>OVERWEIGHT</v>
      </c>
    </row>
    <row r="432" ht="15.75" customHeight="1">
      <c r="A432" s="9" t="s">
        <v>863</v>
      </c>
      <c r="B432" s="9">
        <v>23.845</v>
      </c>
      <c r="C432" s="9">
        <v>11.71</v>
      </c>
      <c r="D432" s="9" t="s">
        <v>4684</v>
      </c>
      <c r="E432" s="9" t="s">
        <v>4684</v>
      </c>
      <c r="F432" s="9" t="s">
        <v>4684</v>
      </c>
      <c r="G432" s="9">
        <v>2.0</v>
      </c>
      <c r="H432" s="9" t="s">
        <v>4686</v>
      </c>
      <c r="I432" s="9" t="str">
        <f t="shared" si="1"/>
        <v>Yes</v>
      </c>
      <c r="J432" s="9">
        <f t="shared" si="2"/>
        <v>2</v>
      </c>
      <c r="K432" s="9" t="str">
        <f t="shared" si="3"/>
        <v>NORMAL WEIGHT</v>
      </c>
    </row>
    <row r="433" ht="15.75" customHeight="1">
      <c r="A433" s="9" t="s">
        <v>865</v>
      </c>
      <c r="B433" s="9">
        <v>30.59</v>
      </c>
      <c r="C433" s="9">
        <v>5.23</v>
      </c>
      <c r="D433" s="9" t="s">
        <v>4684</v>
      </c>
      <c r="E433" s="9" t="s">
        <v>4684</v>
      </c>
      <c r="F433" s="9" t="s">
        <v>4686</v>
      </c>
      <c r="G433" s="9">
        <v>1.0</v>
      </c>
      <c r="H433" s="9" t="s">
        <v>4684</v>
      </c>
      <c r="I433" s="9" t="str">
        <f t="shared" si="1"/>
        <v>No</v>
      </c>
      <c r="J433" s="9">
        <f t="shared" si="2"/>
        <v>1</v>
      </c>
      <c r="K433" s="9" t="str">
        <f t="shared" si="3"/>
        <v>OBESITY</v>
      </c>
    </row>
    <row r="434" ht="15.75" customHeight="1">
      <c r="A434" s="9" t="s">
        <v>867</v>
      </c>
      <c r="B434" s="9">
        <v>24.795</v>
      </c>
      <c r="C434" s="9">
        <v>6.85</v>
      </c>
      <c r="D434" s="9" t="s">
        <v>4684</v>
      </c>
      <c r="E434" s="9" t="s">
        <v>4684</v>
      </c>
      <c r="F434" s="9" t="s">
        <v>4684</v>
      </c>
      <c r="G434" s="9" t="s">
        <v>4685</v>
      </c>
      <c r="H434" s="9" t="s">
        <v>4686</v>
      </c>
      <c r="I434" s="9" t="str">
        <f t="shared" si="1"/>
        <v>Yes</v>
      </c>
      <c r="J434" s="9">
        <f t="shared" si="2"/>
        <v>0</v>
      </c>
      <c r="K434" s="9" t="str">
        <f t="shared" si="3"/>
        <v>NORMAL WEIGHT</v>
      </c>
    </row>
    <row r="435" ht="15.75" customHeight="1">
      <c r="A435" s="9" t="s">
        <v>869</v>
      </c>
      <c r="B435" s="9">
        <v>24.13</v>
      </c>
      <c r="C435" s="9">
        <v>7.05</v>
      </c>
      <c r="D435" s="9" t="s">
        <v>4686</v>
      </c>
      <c r="E435" s="9" t="s">
        <v>4684</v>
      </c>
      <c r="F435" s="9" t="s">
        <v>4684</v>
      </c>
      <c r="G435" s="9">
        <v>2.0</v>
      </c>
      <c r="H435" s="9" t="s">
        <v>4686</v>
      </c>
      <c r="I435" s="9" t="str">
        <f t="shared" si="1"/>
        <v>Yes</v>
      </c>
      <c r="J435" s="9">
        <f t="shared" si="2"/>
        <v>2</v>
      </c>
      <c r="K435" s="9" t="str">
        <f t="shared" si="3"/>
        <v>NORMAL WEIGHT</v>
      </c>
    </row>
    <row r="436" ht="15.75" customHeight="1">
      <c r="A436" s="9" t="s">
        <v>871</v>
      </c>
      <c r="B436" s="9">
        <v>25.84</v>
      </c>
      <c r="C436" s="9">
        <v>11.64</v>
      </c>
      <c r="D436" s="9" t="s">
        <v>4684</v>
      </c>
      <c r="E436" s="9" t="s">
        <v>4684</v>
      </c>
      <c r="F436" s="9" t="s">
        <v>4684</v>
      </c>
      <c r="G436" s="9">
        <v>2.0</v>
      </c>
      <c r="H436" s="9" t="s">
        <v>4686</v>
      </c>
      <c r="I436" s="9" t="str">
        <f t="shared" si="1"/>
        <v>Yes</v>
      </c>
      <c r="J436" s="9">
        <f t="shared" si="2"/>
        <v>2</v>
      </c>
      <c r="K436" s="9" t="str">
        <f t="shared" si="3"/>
        <v>OVERWEIGHT</v>
      </c>
    </row>
    <row r="437" ht="15.75" customHeight="1">
      <c r="A437" s="9" t="s">
        <v>873</v>
      </c>
      <c r="B437" s="9">
        <v>28.0</v>
      </c>
      <c r="C437" s="9">
        <v>10.52</v>
      </c>
      <c r="D437" s="9" t="s">
        <v>4684</v>
      </c>
      <c r="E437" s="9" t="s">
        <v>4684</v>
      </c>
      <c r="F437" s="9" t="s">
        <v>4684</v>
      </c>
      <c r="G437" s="9" t="s">
        <v>4685</v>
      </c>
      <c r="H437" s="9" t="s">
        <v>4686</v>
      </c>
      <c r="I437" s="9" t="str">
        <f t="shared" si="1"/>
        <v>Yes</v>
      </c>
      <c r="J437" s="9">
        <f t="shared" si="2"/>
        <v>0</v>
      </c>
      <c r="K437" s="9" t="str">
        <f t="shared" si="3"/>
        <v>OVERWEIGHT</v>
      </c>
    </row>
    <row r="438" ht="15.75" customHeight="1">
      <c r="A438" s="9" t="s">
        <v>875</v>
      </c>
      <c r="B438" s="9">
        <v>34.1</v>
      </c>
      <c r="C438" s="9">
        <v>4.01</v>
      </c>
      <c r="D438" s="9" t="s">
        <v>4686</v>
      </c>
      <c r="E438" s="9" t="s">
        <v>4684</v>
      </c>
      <c r="F438" s="9" t="s">
        <v>4686</v>
      </c>
      <c r="G438" s="9">
        <v>1.0</v>
      </c>
      <c r="H438" s="9" t="s">
        <v>4684</v>
      </c>
      <c r="I438" s="9" t="str">
        <f t="shared" si="1"/>
        <v>No</v>
      </c>
      <c r="J438" s="9">
        <f t="shared" si="2"/>
        <v>1</v>
      </c>
      <c r="K438" s="9" t="str">
        <f t="shared" si="3"/>
        <v>OBESITY</v>
      </c>
    </row>
    <row r="439" ht="15.75" customHeight="1">
      <c r="A439" s="9" t="s">
        <v>877</v>
      </c>
      <c r="B439" s="9">
        <v>26.125</v>
      </c>
      <c r="C439" s="9">
        <v>8.56</v>
      </c>
      <c r="D439" s="9" t="s">
        <v>4686</v>
      </c>
      <c r="E439" s="9" t="s">
        <v>4684</v>
      </c>
      <c r="F439" s="9" t="s">
        <v>4684</v>
      </c>
      <c r="G439" s="9">
        <v>1.0</v>
      </c>
      <c r="H439" s="9" t="s">
        <v>4686</v>
      </c>
      <c r="I439" s="9" t="str">
        <f t="shared" si="1"/>
        <v>Yes</v>
      </c>
      <c r="J439" s="9">
        <f t="shared" si="2"/>
        <v>1</v>
      </c>
      <c r="K439" s="9" t="str">
        <f t="shared" si="3"/>
        <v>OVERWEIGHT</v>
      </c>
    </row>
    <row r="440" ht="15.75" customHeight="1">
      <c r="A440" s="9" t="s">
        <v>879</v>
      </c>
      <c r="B440" s="9">
        <v>25.6</v>
      </c>
      <c r="C440" s="9">
        <v>10.5</v>
      </c>
      <c r="D440" s="9" t="s">
        <v>4684</v>
      </c>
      <c r="E440" s="9" t="s">
        <v>4684</v>
      </c>
      <c r="F440" s="9" t="s">
        <v>4684</v>
      </c>
      <c r="G440" s="9">
        <v>2.0</v>
      </c>
      <c r="H440" s="9" t="s">
        <v>4686</v>
      </c>
      <c r="I440" s="9" t="str">
        <f t="shared" si="1"/>
        <v>Yes</v>
      </c>
      <c r="J440" s="9">
        <f t="shared" si="2"/>
        <v>2</v>
      </c>
      <c r="K440" s="9" t="str">
        <f t="shared" si="3"/>
        <v>OVERWEIGHT</v>
      </c>
    </row>
    <row r="441" ht="15.75" customHeight="1">
      <c r="A441" s="9" t="s">
        <v>881</v>
      </c>
      <c r="B441" s="9">
        <v>24.32</v>
      </c>
      <c r="C441" s="9">
        <v>6.39</v>
      </c>
      <c r="D441" s="9" t="s">
        <v>4684</v>
      </c>
      <c r="E441" s="9" t="s">
        <v>4684</v>
      </c>
      <c r="F441" s="9" t="s">
        <v>4684</v>
      </c>
      <c r="G441" s="9" t="s">
        <v>4685</v>
      </c>
      <c r="H441" s="9" t="s">
        <v>4684</v>
      </c>
      <c r="I441" s="9" t="str">
        <f t="shared" si="1"/>
        <v>No</v>
      </c>
      <c r="J441" s="9">
        <f t="shared" si="2"/>
        <v>0</v>
      </c>
      <c r="K441" s="9" t="str">
        <f t="shared" si="3"/>
        <v>NORMAL WEIGHT</v>
      </c>
    </row>
    <row r="442" ht="15.75" customHeight="1">
      <c r="A442" s="9" t="s">
        <v>883</v>
      </c>
      <c r="B442" s="9">
        <v>22.88</v>
      </c>
      <c r="C442" s="9">
        <v>5.71</v>
      </c>
      <c r="D442" s="9" t="s">
        <v>4686</v>
      </c>
      <c r="E442" s="9" t="s">
        <v>4684</v>
      </c>
      <c r="F442" s="9" t="s">
        <v>4686</v>
      </c>
      <c r="G442" s="9">
        <v>1.0</v>
      </c>
      <c r="H442" s="9" t="s">
        <v>4686</v>
      </c>
      <c r="I442" s="9" t="str">
        <f t="shared" si="1"/>
        <v>Yes</v>
      </c>
      <c r="J442" s="9">
        <f t="shared" si="2"/>
        <v>1</v>
      </c>
      <c r="K442" s="9" t="str">
        <f t="shared" si="3"/>
        <v>NORMAL WEIGHT</v>
      </c>
    </row>
    <row r="443" ht="15.75" customHeight="1">
      <c r="A443" s="9" t="s">
        <v>885</v>
      </c>
      <c r="B443" s="9">
        <v>24.985</v>
      </c>
      <c r="C443" s="9">
        <v>4.43</v>
      </c>
      <c r="D443" s="9" t="s">
        <v>4686</v>
      </c>
      <c r="E443" s="9" t="s">
        <v>4684</v>
      </c>
      <c r="F443" s="9" t="s">
        <v>4686</v>
      </c>
      <c r="G443" s="9">
        <v>1.0</v>
      </c>
      <c r="H443" s="9" t="s">
        <v>4684</v>
      </c>
      <c r="I443" s="9" t="str">
        <f t="shared" si="1"/>
        <v>No</v>
      </c>
      <c r="J443" s="9">
        <f t="shared" si="2"/>
        <v>1</v>
      </c>
      <c r="K443" s="9" t="str">
        <f t="shared" si="3"/>
        <v>NORMAL WEIGHT</v>
      </c>
    </row>
    <row r="444" ht="15.75" customHeight="1">
      <c r="A444" s="9" t="s">
        <v>887</v>
      </c>
      <c r="B444" s="9">
        <v>33.1</v>
      </c>
      <c r="C444" s="9">
        <v>5.52</v>
      </c>
      <c r="D444" s="9" t="s">
        <v>4684</v>
      </c>
      <c r="E444" s="9" t="s">
        <v>4684</v>
      </c>
      <c r="F444" s="9" t="s">
        <v>4686</v>
      </c>
      <c r="G444" s="9">
        <v>1.0</v>
      </c>
      <c r="H444" s="9" t="s">
        <v>4684</v>
      </c>
      <c r="I444" s="9" t="str">
        <f t="shared" si="1"/>
        <v>No</v>
      </c>
      <c r="J444" s="9">
        <f t="shared" si="2"/>
        <v>1</v>
      </c>
      <c r="K444" s="9" t="str">
        <f t="shared" si="3"/>
        <v>OBESITY</v>
      </c>
    </row>
    <row r="445" ht="15.75" customHeight="1">
      <c r="A445" s="9" t="s">
        <v>889</v>
      </c>
      <c r="B445" s="9">
        <v>27.83</v>
      </c>
      <c r="C445" s="9">
        <v>9.2</v>
      </c>
      <c r="D445" s="9" t="s">
        <v>4686</v>
      </c>
      <c r="E445" s="9" t="s">
        <v>4684</v>
      </c>
      <c r="F445" s="9" t="s">
        <v>4684</v>
      </c>
      <c r="G445" s="9">
        <v>1.0</v>
      </c>
      <c r="H445" s="9" t="s">
        <v>4686</v>
      </c>
      <c r="I445" s="9" t="str">
        <f t="shared" si="1"/>
        <v>Yes</v>
      </c>
      <c r="J445" s="9">
        <f t="shared" si="2"/>
        <v>1</v>
      </c>
      <c r="K445" s="9" t="str">
        <f t="shared" si="3"/>
        <v>OVERWEIGHT</v>
      </c>
    </row>
    <row r="446" ht="15.75" customHeight="1">
      <c r="A446" s="9" t="s">
        <v>891</v>
      </c>
      <c r="B446" s="9">
        <v>30.875</v>
      </c>
      <c r="C446" s="9">
        <v>10.97</v>
      </c>
      <c r="D446" s="9" t="s">
        <v>4686</v>
      </c>
      <c r="E446" s="9" t="s">
        <v>4684</v>
      </c>
      <c r="F446" s="9" t="s">
        <v>4684</v>
      </c>
      <c r="G446" s="9">
        <v>2.0</v>
      </c>
      <c r="H446" s="9" t="s">
        <v>4684</v>
      </c>
      <c r="I446" s="9" t="str">
        <f t="shared" si="1"/>
        <v>No</v>
      </c>
      <c r="J446" s="9">
        <f t="shared" si="2"/>
        <v>2</v>
      </c>
      <c r="K446" s="9" t="str">
        <f t="shared" si="3"/>
        <v>OBESITY</v>
      </c>
    </row>
    <row r="447" ht="15.75" customHeight="1">
      <c r="A447" s="9" t="s">
        <v>893</v>
      </c>
      <c r="B447" s="9">
        <v>27.265</v>
      </c>
      <c r="C447" s="9">
        <v>4.25</v>
      </c>
      <c r="D447" s="9" t="s">
        <v>4684</v>
      </c>
      <c r="E447" s="9" t="s">
        <v>4684</v>
      </c>
      <c r="F447" s="9" t="s">
        <v>4686</v>
      </c>
      <c r="G447" s="9">
        <v>1.0</v>
      </c>
      <c r="H447" s="9" t="s">
        <v>4684</v>
      </c>
      <c r="I447" s="9" t="str">
        <f t="shared" si="1"/>
        <v>No</v>
      </c>
      <c r="J447" s="9">
        <f t="shared" si="2"/>
        <v>1</v>
      </c>
      <c r="K447" s="9" t="str">
        <f t="shared" si="3"/>
        <v>OVERWEIGHT</v>
      </c>
    </row>
    <row r="448" ht="15.75" customHeight="1">
      <c r="A448" s="9" t="s">
        <v>895</v>
      </c>
      <c r="B448" s="9">
        <v>26.7</v>
      </c>
      <c r="C448" s="9">
        <v>5.23</v>
      </c>
      <c r="D448" s="9" t="s">
        <v>4684</v>
      </c>
      <c r="E448" s="9" t="s">
        <v>4684</v>
      </c>
      <c r="F448" s="9" t="s">
        <v>4686</v>
      </c>
      <c r="G448" s="9">
        <v>1.0</v>
      </c>
      <c r="H448" s="9" t="s">
        <v>4686</v>
      </c>
      <c r="I448" s="9" t="str">
        <f t="shared" si="1"/>
        <v>Yes</v>
      </c>
      <c r="J448" s="9">
        <f t="shared" si="2"/>
        <v>1</v>
      </c>
      <c r="K448" s="9" t="str">
        <f t="shared" si="3"/>
        <v>OVERWEIGHT</v>
      </c>
    </row>
    <row r="449" ht="15.75" customHeight="1">
      <c r="A449" s="9" t="s">
        <v>897</v>
      </c>
      <c r="B449" s="9">
        <v>29.925</v>
      </c>
      <c r="C449" s="9">
        <v>5.96</v>
      </c>
      <c r="D449" s="9" t="s">
        <v>4686</v>
      </c>
      <c r="E449" s="9" t="s">
        <v>4684</v>
      </c>
      <c r="F449" s="9" t="s">
        <v>4686</v>
      </c>
      <c r="G449" s="9">
        <v>1.0</v>
      </c>
      <c r="H449" s="9" t="s">
        <v>4686</v>
      </c>
      <c r="I449" s="9" t="str">
        <f t="shared" si="1"/>
        <v>Yes</v>
      </c>
      <c r="J449" s="9">
        <f t="shared" si="2"/>
        <v>1</v>
      </c>
      <c r="K449" s="9" t="str">
        <f t="shared" si="3"/>
        <v>OBESITY</v>
      </c>
    </row>
    <row r="450" ht="15.75" customHeight="1">
      <c r="A450" s="9" t="s">
        <v>899</v>
      </c>
      <c r="B450" s="9">
        <v>19.95</v>
      </c>
      <c r="C450" s="9">
        <v>4.29</v>
      </c>
      <c r="D450" s="9" t="s">
        <v>4686</v>
      </c>
      <c r="E450" s="9" t="s">
        <v>4684</v>
      </c>
      <c r="F450" s="9" t="s">
        <v>4684</v>
      </c>
      <c r="G450" s="9">
        <v>2.0</v>
      </c>
      <c r="H450" s="9" t="s">
        <v>4686</v>
      </c>
      <c r="I450" s="9" t="str">
        <f t="shared" si="1"/>
        <v>Yes</v>
      </c>
      <c r="J450" s="9">
        <f t="shared" si="2"/>
        <v>2</v>
      </c>
      <c r="K450" s="9" t="str">
        <f t="shared" si="3"/>
        <v>NORMAL WEIGHT</v>
      </c>
    </row>
    <row r="451" ht="15.75" customHeight="1">
      <c r="A451" s="9" t="s">
        <v>901</v>
      </c>
      <c r="B451" s="9">
        <v>24.225</v>
      </c>
      <c r="C451" s="9">
        <v>4.09</v>
      </c>
      <c r="D451" s="9" t="s">
        <v>4684</v>
      </c>
      <c r="E451" s="9" t="s">
        <v>4684</v>
      </c>
      <c r="F451" s="9" t="s">
        <v>4684</v>
      </c>
      <c r="G451" s="9" t="s">
        <v>4685</v>
      </c>
      <c r="H451" s="9" t="s">
        <v>4684</v>
      </c>
      <c r="I451" s="9" t="str">
        <f t="shared" si="1"/>
        <v>No</v>
      </c>
      <c r="J451" s="9">
        <f t="shared" si="2"/>
        <v>0</v>
      </c>
      <c r="K451" s="9" t="str">
        <f t="shared" si="3"/>
        <v>NORMAL WEIGHT</v>
      </c>
    </row>
    <row r="452" ht="15.75" customHeight="1">
      <c r="A452" s="9" t="s">
        <v>903</v>
      </c>
      <c r="B452" s="9">
        <v>28.12</v>
      </c>
      <c r="C452" s="9">
        <v>4.88</v>
      </c>
      <c r="D452" s="9" t="s">
        <v>4684</v>
      </c>
      <c r="E452" s="9" t="s">
        <v>4684</v>
      </c>
      <c r="F452" s="9" t="s">
        <v>4684</v>
      </c>
      <c r="G452" s="9" t="s">
        <v>4685</v>
      </c>
      <c r="H452" s="9" t="s">
        <v>4686</v>
      </c>
      <c r="I452" s="9" t="str">
        <f t="shared" si="1"/>
        <v>Yes</v>
      </c>
      <c r="J452" s="9">
        <f t="shared" si="2"/>
        <v>0</v>
      </c>
      <c r="K452" s="9" t="str">
        <f t="shared" si="3"/>
        <v>OVERWEIGHT</v>
      </c>
    </row>
    <row r="453" ht="15.75" customHeight="1">
      <c r="A453" s="9" t="s">
        <v>905</v>
      </c>
      <c r="B453" s="9">
        <v>23.21</v>
      </c>
      <c r="C453" s="9">
        <v>6.76</v>
      </c>
      <c r="D453" s="9" t="s">
        <v>4684</v>
      </c>
      <c r="E453" s="9" t="s">
        <v>4684</v>
      </c>
      <c r="F453" s="9" t="s">
        <v>4684</v>
      </c>
      <c r="G453" s="9" t="s">
        <v>4685</v>
      </c>
      <c r="H453" s="9" t="s">
        <v>4686</v>
      </c>
      <c r="I453" s="9" t="str">
        <f t="shared" si="1"/>
        <v>Yes</v>
      </c>
      <c r="J453" s="9">
        <f t="shared" si="2"/>
        <v>0</v>
      </c>
      <c r="K453" s="9" t="str">
        <f t="shared" si="3"/>
        <v>NORMAL WEIGHT</v>
      </c>
    </row>
    <row r="454" ht="15.75" customHeight="1">
      <c r="A454" s="9" t="s">
        <v>907</v>
      </c>
      <c r="B454" s="9">
        <v>23.98</v>
      </c>
      <c r="C454" s="9">
        <v>10.67</v>
      </c>
      <c r="D454" s="9" t="s">
        <v>4684</v>
      </c>
      <c r="E454" s="9" t="s">
        <v>4684</v>
      </c>
      <c r="F454" s="9" t="s">
        <v>4684</v>
      </c>
      <c r="G454" s="9" t="s">
        <v>4685</v>
      </c>
      <c r="H454" s="9" t="s">
        <v>4684</v>
      </c>
      <c r="I454" s="9" t="str">
        <f t="shared" si="1"/>
        <v>No</v>
      </c>
      <c r="J454" s="9">
        <f t="shared" si="2"/>
        <v>0</v>
      </c>
      <c r="K454" s="9" t="str">
        <f t="shared" si="3"/>
        <v>NORMAL WEIGHT</v>
      </c>
    </row>
    <row r="455" ht="15.75" customHeight="1">
      <c r="A455" s="9" t="s">
        <v>909</v>
      </c>
      <c r="B455" s="9">
        <v>30.0</v>
      </c>
      <c r="C455" s="9">
        <v>6.21</v>
      </c>
      <c r="D455" s="9" t="s">
        <v>4684</v>
      </c>
      <c r="E455" s="9" t="s">
        <v>4684</v>
      </c>
      <c r="F455" s="9" t="s">
        <v>4684</v>
      </c>
      <c r="G455" s="9" t="s">
        <v>4685</v>
      </c>
      <c r="H455" s="9" t="s">
        <v>4686</v>
      </c>
      <c r="I455" s="9" t="str">
        <f t="shared" si="1"/>
        <v>Yes</v>
      </c>
      <c r="J455" s="9">
        <f t="shared" si="2"/>
        <v>0</v>
      </c>
      <c r="K455" s="9" t="str">
        <f t="shared" si="3"/>
        <v>OBESITY</v>
      </c>
    </row>
    <row r="456" ht="15.75" customHeight="1">
      <c r="A456" s="9" t="s">
        <v>911</v>
      </c>
      <c r="B456" s="9">
        <v>17.35</v>
      </c>
      <c r="C456" s="9">
        <v>5.03</v>
      </c>
      <c r="D456" s="9" t="s">
        <v>4686</v>
      </c>
      <c r="E456" s="9" t="s">
        <v>4684</v>
      </c>
      <c r="F456" s="9" t="s">
        <v>4684</v>
      </c>
      <c r="G456" s="9" t="s">
        <v>4685</v>
      </c>
      <c r="H456" s="9" t="s">
        <v>4686</v>
      </c>
      <c r="I456" s="9" t="str">
        <f t="shared" si="1"/>
        <v>Yes</v>
      </c>
      <c r="J456" s="9">
        <f t="shared" si="2"/>
        <v>0</v>
      </c>
      <c r="K456" s="9" t="str">
        <f t="shared" si="3"/>
        <v>UNDERWEIGHT</v>
      </c>
    </row>
    <row r="457" ht="15.75" customHeight="1">
      <c r="A457" s="9" t="s">
        <v>913</v>
      </c>
      <c r="B457" s="9">
        <v>22.705</v>
      </c>
      <c r="C457" s="9">
        <v>5.27</v>
      </c>
      <c r="D457" s="9" t="s">
        <v>4684</v>
      </c>
      <c r="E457" s="9" t="s">
        <v>4684</v>
      </c>
      <c r="F457" s="9" t="s">
        <v>4684</v>
      </c>
      <c r="G457" s="9" t="s">
        <v>4685</v>
      </c>
      <c r="H457" s="9" t="s">
        <v>4684</v>
      </c>
      <c r="I457" s="9" t="str">
        <f t="shared" si="1"/>
        <v>No</v>
      </c>
      <c r="J457" s="9">
        <f t="shared" si="2"/>
        <v>0</v>
      </c>
      <c r="K457" s="9" t="str">
        <f t="shared" si="3"/>
        <v>NORMAL WEIGHT</v>
      </c>
    </row>
    <row r="458" ht="15.75" customHeight="1">
      <c r="A458" s="9" t="s">
        <v>915</v>
      </c>
      <c r="B458" s="9">
        <v>25.41</v>
      </c>
      <c r="C458" s="9">
        <v>10.53</v>
      </c>
      <c r="D458" s="9" t="s">
        <v>4686</v>
      </c>
      <c r="E458" s="9" t="s">
        <v>4684</v>
      </c>
      <c r="F458" s="9" t="s">
        <v>4684</v>
      </c>
      <c r="G458" s="9">
        <v>1.0</v>
      </c>
      <c r="H458" s="9" t="s">
        <v>4686</v>
      </c>
      <c r="I458" s="9" t="str">
        <f t="shared" si="1"/>
        <v>Yes</v>
      </c>
      <c r="J458" s="9">
        <f t="shared" si="2"/>
        <v>1</v>
      </c>
      <c r="K458" s="9" t="str">
        <f t="shared" si="3"/>
        <v>OVERWEIGHT</v>
      </c>
    </row>
    <row r="459" ht="15.75" customHeight="1">
      <c r="A459" s="9" t="s">
        <v>917</v>
      </c>
      <c r="B459" s="9">
        <v>18.23</v>
      </c>
      <c r="C459" s="9">
        <v>5.78</v>
      </c>
      <c r="D459" s="9" t="s">
        <v>4684</v>
      </c>
      <c r="E459" s="9" t="s">
        <v>4684</v>
      </c>
      <c r="F459" s="9" t="s">
        <v>4686</v>
      </c>
      <c r="G459" s="9">
        <v>1.0</v>
      </c>
      <c r="H459" s="9" t="s">
        <v>4686</v>
      </c>
      <c r="I459" s="9" t="str">
        <f t="shared" si="1"/>
        <v>Yes</v>
      </c>
      <c r="J459" s="9">
        <f t="shared" si="2"/>
        <v>1</v>
      </c>
      <c r="K459" s="9" t="str">
        <f t="shared" si="3"/>
        <v>UNDERWEIGHT</v>
      </c>
    </row>
    <row r="460" ht="15.75" customHeight="1">
      <c r="A460" s="9" t="s">
        <v>919</v>
      </c>
      <c r="B460" s="9">
        <v>24.7</v>
      </c>
      <c r="C460" s="9">
        <v>4.36</v>
      </c>
      <c r="D460" s="9" t="s">
        <v>4684</v>
      </c>
      <c r="E460" s="9" t="s">
        <v>4684</v>
      </c>
      <c r="F460" s="9" t="s">
        <v>4686</v>
      </c>
      <c r="G460" s="9">
        <v>1.0</v>
      </c>
      <c r="H460" s="9" t="s">
        <v>4686</v>
      </c>
      <c r="I460" s="9" t="str">
        <f t="shared" si="1"/>
        <v>Yes</v>
      </c>
      <c r="J460" s="9">
        <f t="shared" si="2"/>
        <v>1</v>
      </c>
      <c r="K460" s="9" t="str">
        <f t="shared" si="3"/>
        <v>NORMAL WEIGHT</v>
      </c>
    </row>
    <row r="461" ht="15.75" customHeight="1">
      <c r="A461" s="9" t="s">
        <v>921</v>
      </c>
      <c r="B461" s="9">
        <v>37.4</v>
      </c>
      <c r="C461" s="9">
        <v>9.72</v>
      </c>
      <c r="D461" s="9" t="s">
        <v>4686</v>
      </c>
      <c r="E461" s="9" t="s">
        <v>4684</v>
      </c>
      <c r="F461" s="9" t="s">
        <v>4686</v>
      </c>
      <c r="G461" s="9">
        <v>1.0</v>
      </c>
      <c r="H461" s="9" t="s">
        <v>4684</v>
      </c>
      <c r="I461" s="9" t="str">
        <f t="shared" si="1"/>
        <v>No</v>
      </c>
      <c r="J461" s="9">
        <f t="shared" si="2"/>
        <v>1</v>
      </c>
      <c r="K461" s="9" t="str">
        <f t="shared" si="3"/>
        <v>OBESITY</v>
      </c>
    </row>
    <row r="462" ht="15.75" customHeight="1">
      <c r="A462" s="9" t="s">
        <v>923</v>
      </c>
      <c r="B462" s="9">
        <v>26.885</v>
      </c>
      <c r="C462" s="9">
        <v>5.18</v>
      </c>
      <c r="D462" s="9" t="s">
        <v>4684</v>
      </c>
      <c r="E462" s="9" t="s">
        <v>4684</v>
      </c>
      <c r="F462" s="9" t="s">
        <v>4686</v>
      </c>
      <c r="G462" s="9">
        <v>1.0</v>
      </c>
      <c r="H462" s="9" t="s">
        <v>4686</v>
      </c>
      <c r="I462" s="9" t="str">
        <f t="shared" si="1"/>
        <v>Yes</v>
      </c>
      <c r="J462" s="9">
        <f t="shared" si="2"/>
        <v>1</v>
      </c>
      <c r="K462" s="9" t="str">
        <f t="shared" si="3"/>
        <v>OVERWEIGHT</v>
      </c>
    </row>
    <row r="463" ht="15.75" customHeight="1">
      <c r="A463" s="9" t="s">
        <v>925</v>
      </c>
      <c r="B463" s="9">
        <v>25.27</v>
      </c>
      <c r="C463" s="9">
        <v>5.29</v>
      </c>
      <c r="D463" s="9" t="s">
        <v>4684</v>
      </c>
      <c r="E463" s="9" t="s">
        <v>4684</v>
      </c>
      <c r="F463" s="9" t="s">
        <v>4686</v>
      </c>
      <c r="G463" s="9">
        <v>1.0</v>
      </c>
      <c r="H463" s="9" t="s">
        <v>4686</v>
      </c>
      <c r="I463" s="9" t="str">
        <f t="shared" si="1"/>
        <v>Yes</v>
      </c>
      <c r="J463" s="9">
        <f t="shared" si="2"/>
        <v>1</v>
      </c>
      <c r="K463" s="9" t="str">
        <f t="shared" si="3"/>
        <v>OVERWEIGHT</v>
      </c>
    </row>
    <row r="464" ht="15.75" customHeight="1">
      <c r="A464" s="9" t="s">
        <v>927</v>
      </c>
      <c r="B464" s="9">
        <v>23.655</v>
      </c>
      <c r="C464" s="9">
        <v>4.86</v>
      </c>
      <c r="D464" s="9" t="s">
        <v>4686</v>
      </c>
      <c r="E464" s="9" t="s">
        <v>4684</v>
      </c>
      <c r="F464" s="9" t="s">
        <v>4684</v>
      </c>
      <c r="G464" s="9" t="s">
        <v>4685</v>
      </c>
      <c r="H464" s="9" t="s">
        <v>4686</v>
      </c>
      <c r="I464" s="9" t="str">
        <f t="shared" si="1"/>
        <v>Yes</v>
      </c>
      <c r="J464" s="9">
        <f t="shared" si="2"/>
        <v>0</v>
      </c>
      <c r="K464" s="9" t="str">
        <f t="shared" si="3"/>
        <v>NORMAL WEIGHT</v>
      </c>
    </row>
    <row r="465" ht="15.75" customHeight="1">
      <c r="A465" s="9" t="s">
        <v>929</v>
      </c>
      <c r="B465" s="9">
        <v>55.05</v>
      </c>
      <c r="C465" s="9">
        <v>7.66</v>
      </c>
      <c r="D465" s="9" t="s">
        <v>4684</v>
      </c>
      <c r="E465" s="9" t="s">
        <v>4684</v>
      </c>
      <c r="F465" s="9" t="s">
        <v>4684</v>
      </c>
      <c r="G465" s="9" t="s">
        <v>4685</v>
      </c>
      <c r="H465" s="9" t="s">
        <v>4684</v>
      </c>
      <c r="I465" s="9" t="str">
        <f t="shared" si="1"/>
        <v>No</v>
      </c>
      <c r="J465" s="9">
        <f t="shared" si="2"/>
        <v>0</v>
      </c>
      <c r="K465" s="9" t="str">
        <f t="shared" si="3"/>
        <v>OBESITY</v>
      </c>
    </row>
    <row r="466" ht="15.75" customHeight="1">
      <c r="A466" s="9" t="s">
        <v>931</v>
      </c>
      <c r="B466" s="9">
        <v>24.89</v>
      </c>
      <c r="C466" s="9">
        <v>6.1</v>
      </c>
      <c r="D466" s="9" t="s">
        <v>4686</v>
      </c>
      <c r="E466" s="9" t="s">
        <v>4684</v>
      </c>
      <c r="F466" s="9" t="s">
        <v>4686</v>
      </c>
      <c r="G466" s="9">
        <v>1.0</v>
      </c>
      <c r="H466" s="9" t="s">
        <v>4686</v>
      </c>
      <c r="I466" s="9" t="str">
        <f t="shared" si="1"/>
        <v>Yes</v>
      </c>
      <c r="J466" s="9">
        <f t="shared" si="2"/>
        <v>1</v>
      </c>
      <c r="K466" s="9" t="str">
        <f t="shared" si="3"/>
        <v>NORMAL WEIGHT</v>
      </c>
    </row>
    <row r="467" ht="15.75" customHeight="1">
      <c r="A467" s="9" t="s">
        <v>933</v>
      </c>
      <c r="B467" s="9">
        <v>18.715</v>
      </c>
      <c r="C467" s="9">
        <v>4.44</v>
      </c>
      <c r="D467" s="9" t="s">
        <v>4684</v>
      </c>
      <c r="E467" s="9" t="s">
        <v>4684</v>
      </c>
      <c r="F467" s="9" t="s">
        <v>4684</v>
      </c>
      <c r="G467" s="9" t="s">
        <v>4685</v>
      </c>
      <c r="H467" s="9" t="s">
        <v>4684</v>
      </c>
      <c r="I467" s="9" t="str">
        <f t="shared" si="1"/>
        <v>No</v>
      </c>
      <c r="J467" s="9">
        <f t="shared" si="2"/>
        <v>0</v>
      </c>
      <c r="K467" s="9" t="str">
        <f t="shared" si="3"/>
        <v>NORMAL WEIGHT</v>
      </c>
    </row>
    <row r="468" ht="15.75" customHeight="1">
      <c r="A468" s="9" t="s">
        <v>935</v>
      </c>
      <c r="B468" s="9">
        <v>28.12</v>
      </c>
      <c r="C468" s="9">
        <v>6.15</v>
      </c>
      <c r="D468" s="9" t="s">
        <v>4684</v>
      </c>
      <c r="E468" s="9" t="s">
        <v>4684</v>
      </c>
      <c r="F468" s="9" t="s">
        <v>4684</v>
      </c>
      <c r="G468" s="9" t="s">
        <v>4685</v>
      </c>
      <c r="H468" s="9" t="s">
        <v>4686</v>
      </c>
      <c r="I468" s="9" t="str">
        <f t="shared" si="1"/>
        <v>Yes</v>
      </c>
      <c r="J468" s="9">
        <f t="shared" si="2"/>
        <v>0</v>
      </c>
      <c r="K468" s="9" t="str">
        <f t="shared" si="3"/>
        <v>OVERWEIGHT</v>
      </c>
    </row>
    <row r="469" ht="15.75" customHeight="1">
      <c r="A469" s="9" t="s">
        <v>937</v>
      </c>
      <c r="B469" s="9">
        <v>26.6</v>
      </c>
      <c r="C469" s="9">
        <v>4.53</v>
      </c>
      <c r="D469" s="9" t="s">
        <v>4684</v>
      </c>
      <c r="E469" s="9" t="s">
        <v>4684</v>
      </c>
      <c r="F469" s="9" t="s">
        <v>4684</v>
      </c>
      <c r="G469" s="9" t="s">
        <v>4685</v>
      </c>
      <c r="H469" s="9" t="s">
        <v>4686</v>
      </c>
      <c r="I469" s="9" t="str">
        <f t="shared" si="1"/>
        <v>Yes</v>
      </c>
      <c r="J469" s="9">
        <f t="shared" si="2"/>
        <v>0</v>
      </c>
      <c r="K469" s="9" t="str">
        <f t="shared" si="3"/>
        <v>OVERWEIGHT</v>
      </c>
    </row>
    <row r="470" ht="15.75" customHeight="1">
      <c r="A470" s="9" t="s">
        <v>939</v>
      </c>
      <c r="B470" s="9">
        <v>30.115</v>
      </c>
      <c r="C470" s="9">
        <v>5.48</v>
      </c>
      <c r="D470" s="9" t="s">
        <v>4684</v>
      </c>
      <c r="E470" s="9" t="s">
        <v>4686</v>
      </c>
      <c r="F470" s="9" t="s">
        <v>4684</v>
      </c>
      <c r="G470" s="9">
        <v>1.0</v>
      </c>
      <c r="H470" s="9" t="s">
        <v>4684</v>
      </c>
      <c r="I470" s="9" t="str">
        <f t="shared" si="1"/>
        <v>No</v>
      </c>
      <c r="J470" s="9">
        <f t="shared" si="2"/>
        <v>1</v>
      </c>
      <c r="K470" s="9" t="str">
        <f t="shared" si="3"/>
        <v>OBESITY</v>
      </c>
    </row>
    <row r="471" ht="15.75" customHeight="1">
      <c r="A471" s="9" t="s">
        <v>941</v>
      </c>
      <c r="B471" s="9">
        <v>24.605</v>
      </c>
      <c r="C471" s="9">
        <v>5.48</v>
      </c>
      <c r="D471" s="9" t="s">
        <v>4684</v>
      </c>
      <c r="E471" s="9" t="s">
        <v>4684</v>
      </c>
      <c r="F471" s="9" t="s">
        <v>4684</v>
      </c>
      <c r="G471" s="9" t="s">
        <v>4685</v>
      </c>
      <c r="H471" s="9" t="s">
        <v>4686</v>
      </c>
      <c r="I471" s="9" t="str">
        <f t="shared" si="1"/>
        <v>Yes</v>
      </c>
      <c r="J471" s="9">
        <f t="shared" si="2"/>
        <v>0</v>
      </c>
      <c r="K471" s="9" t="str">
        <f t="shared" si="3"/>
        <v>NORMAL WEIGHT</v>
      </c>
    </row>
    <row r="472" ht="15.75" customHeight="1">
      <c r="A472" s="9" t="s">
        <v>943</v>
      </c>
      <c r="B472" s="9">
        <v>29.6</v>
      </c>
      <c r="C472" s="9">
        <v>8.1</v>
      </c>
      <c r="D472" s="9" t="s">
        <v>4684</v>
      </c>
      <c r="E472" s="9" t="s">
        <v>4684</v>
      </c>
      <c r="F472" s="9" t="s">
        <v>4684</v>
      </c>
      <c r="G472" s="9" t="s">
        <v>4685</v>
      </c>
      <c r="H472" s="9" t="s">
        <v>4684</v>
      </c>
      <c r="I472" s="9" t="str">
        <f t="shared" si="1"/>
        <v>No</v>
      </c>
      <c r="J472" s="9">
        <f t="shared" si="2"/>
        <v>0</v>
      </c>
      <c r="K472" s="9" t="str">
        <f t="shared" si="3"/>
        <v>OVERWEIGHT</v>
      </c>
    </row>
    <row r="473" ht="15.75" customHeight="1">
      <c r="A473" s="9" t="s">
        <v>945</v>
      </c>
      <c r="B473" s="9">
        <v>24.42</v>
      </c>
      <c r="C473" s="9">
        <v>7.16</v>
      </c>
      <c r="D473" s="9" t="s">
        <v>4684</v>
      </c>
      <c r="E473" s="9" t="s">
        <v>4684</v>
      </c>
      <c r="F473" s="9" t="s">
        <v>4684</v>
      </c>
      <c r="G473" s="9" t="s">
        <v>4685</v>
      </c>
      <c r="H473" s="9" t="s">
        <v>4686</v>
      </c>
      <c r="I473" s="9" t="str">
        <f t="shared" si="1"/>
        <v>Yes</v>
      </c>
      <c r="J473" s="9">
        <f t="shared" si="2"/>
        <v>0</v>
      </c>
      <c r="K473" s="9" t="str">
        <f t="shared" si="3"/>
        <v>NORMAL WEIGHT</v>
      </c>
    </row>
    <row r="474" ht="15.75" customHeight="1">
      <c r="A474" s="9" t="s">
        <v>947</v>
      </c>
      <c r="B474" s="9">
        <v>20.9</v>
      </c>
      <c r="C474" s="9">
        <v>4.55</v>
      </c>
      <c r="D474" s="9" t="s">
        <v>4686</v>
      </c>
      <c r="E474" s="9" t="s">
        <v>4684</v>
      </c>
      <c r="F474" s="9" t="s">
        <v>4686</v>
      </c>
      <c r="G474" s="9">
        <v>1.0</v>
      </c>
      <c r="H474" s="9" t="s">
        <v>4686</v>
      </c>
      <c r="I474" s="9" t="str">
        <f t="shared" si="1"/>
        <v>Yes</v>
      </c>
      <c r="J474" s="9">
        <f t="shared" si="2"/>
        <v>1</v>
      </c>
      <c r="K474" s="9" t="str">
        <f t="shared" si="3"/>
        <v>NORMAL WEIGHT</v>
      </c>
    </row>
    <row r="475" ht="15.75" customHeight="1">
      <c r="A475" s="9" t="s">
        <v>949</v>
      </c>
      <c r="B475" s="9">
        <v>22.895</v>
      </c>
      <c r="C475" s="9">
        <v>6.03</v>
      </c>
      <c r="D475" s="9" t="s">
        <v>4684</v>
      </c>
      <c r="E475" s="9" t="s">
        <v>4684</v>
      </c>
      <c r="F475" s="9" t="s">
        <v>4684</v>
      </c>
      <c r="G475" s="9" t="s">
        <v>4685</v>
      </c>
      <c r="H475" s="9" t="s">
        <v>4686</v>
      </c>
      <c r="I475" s="9" t="str">
        <f t="shared" si="1"/>
        <v>Yes</v>
      </c>
      <c r="J475" s="9">
        <f t="shared" si="2"/>
        <v>0</v>
      </c>
      <c r="K475" s="9" t="str">
        <f t="shared" si="3"/>
        <v>NORMAL WEIGHT</v>
      </c>
    </row>
    <row r="476" ht="15.75" customHeight="1">
      <c r="A476" s="9" t="s">
        <v>951</v>
      </c>
      <c r="B476" s="9">
        <v>28.3</v>
      </c>
      <c r="C476" s="9">
        <v>5.47</v>
      </c>
      <c r="D476" s="9" t="s">
        <v>4686</v>
      </c>
      <c r="E476" s="9" t="s">
        <v>4684</v>
      </c>
      <c r="F476" s="9" t="s">
        <v>4686</v>
      </c>
      <c r="G476" s="9">
        <v>1.0</v>
      </c>
      <c r="H476" s="9" t="s">
        <v>4686</v>
      </c>
      <c r="I476" s="9" t="str">
        <f t="shared" si="1"/>
        <v>Yes</v>
      </c>
      <c r="J476" s="9">
        <f t="shared" si="2"/>
        <v>1</v>
      </c>
      <c r="K476" s="9" t="str">
        <f t="shared" si="3"/>
        <v>OVERWEIGHT</v>
      </c>
    </row>
    <row r="477" ht="15.75" customHeight="1">
      <c r="A477" s="9" t="s">
        <v>953</v>
      </c>
      <c r="B477" s="9">
        <v>54.3</v>
      </c>
      <c r="C477" s="9">
        <v>4.15</v>
      </c>
      <c r="D477" s="9" t="s">
        <v>4686</v>
      </c>
      <c r="E477" s="9" t="s">
        <v>4684</v>
      </c>
      <c r="F477" s="9" t="s">
        <v>4684</v>
      </c>
      <c r="G477" s="9">
        <v>1.0</v>
      </c>
      <c r="H477" s="9" t="s">
        <v>4684</v>
      </c>
      <c r="I477" s="9" t="str">
        <f t="shared" si="1"/>
        <v>No</v>
      </c>
      <c r="J477" s="9">
        <f t="shared" si="2"/>
        <v>1</v>
      </c>
      <c r="K477" s="9" t="str">
        <f t="shared" si="3"/>
        <v>OBESITY</v>
      </c>
    </row>
    <row r="478" ht="15.75" customHeight="1">
      <c r="A478" s="9" t="s">
        <v>955</v>
      </c>
      <c r="B478" s="9">
        <v>33.345</v>
      </c>
      <c r="C478" s="9">
        <v>11.32</v>
      </c>
      <c r="D478" s="9" t="s">
        <v>4686</v>
      </c>
      <c r="E478" s="9" t="s">
        <v>4684</v>
      </c>
      <c r="F478" s="9" t="s">
        <v>4684</v>
      </c>
      <c r="G478" s="9">
        <v>1.0</v>
      </c>
      <c r="H478" s="9" t="s">
        <v>4684</v>
      </c>
      <c r="I478" s="9" t="str">
        <f t="shared" si="1"/>
        <v>No</v>
      </c>
      <c r="J478" s="9">
        <f t="shared" si="2"/>
        <v>1</v>
      </c>
      <c r="K478" s="9" t="str">
        <f t="shared" si="3"/>
        <v>OBESITY</v>
      </c>
    </row>
    <row r="479" ht="15.75" customHeight="1">
      <c r="A479" s="9" t="s">
        <v>957</v>
      </c>
      <c r="B479" s="9">
        <v>33.0</v>
      </c>
      <c r="C479" s="9">
        <v>9.51</v>
      </c>
      <c r="D479" s="9" t="s">
        <v>4686</v>
      </c>
      <c r="E479" s="9" t="s">
        <v>4684</v>
      </c>
      <c r="F479" s="9" t="s">
        <v>4684</v>
      </c>
      <c r="G479" s="9" t="s">
        <v>4685</v>
      </c>
      <c r="H479" s="9" t="s">
        <v>4684</v>
      </c>
      <c r="I479" s="9" t="str">
        <f t="shared" si="1"/>
        <v>No</v>
      </c>
      <c r="J479" s="9">
        <f t="shared" si="2"/>
        <v>0</v>
      </c>
      <c r="K479" s="9" t="str">
        <f t="shared" si="3"/>
        <v>OBESITY</v>
      </c>
    </row>
    <row r="480" ht="15.75" customHeight="1">
      <c r="A480" s="9" t="s">
        <v>959</v>
      </c>
      <c r="B480" s="9">
        <v>28.025</v>
      </c>
      <c r="C480" s="9">
        <v>7.67</v>
      </c>
      <c r="D480" s="9" t="s">
        <v>4686</v>
      </c>
      <c r="E480" s="9" t="s">
        <v>4684</v>
      </c>
      <c r="F480" s="9" t="s">
        <v>4684</v>
      </c>
      <c r="G480" s="9">
        <v>1.0</v>
      </c>
      <c r="H480" s="9" t="s">
        <v>4686</v>
      </c>
      <c r="I480" s="9" t="str">
        <f t="shared" si="1"/>
        <v>Yes</v>
      </c>
      <c r="J480" s="9">
        <f t="shared" si="2"/>
        <v>1</v>
      </c>
      <c r="K480" s="9" t="str">
        <f t="shared" si="3"/>
        <v>OVERWEIGHT</v>
      </c>
    </row>
    <row r="481" ht="15.75" customHeight="1">
      <c r="A481" s="9" t="s">
        <v>961</v>
      </c>
      <c r="B481" s="9">
        <v>28.69</v>
      </c>
      <c r="C481" s="9">
        <v>6.23</v>
      </c>
      <c r="D481" s="9" t="s">
        <v>4684</v>
      </c>
      <c r="E481" s="9" t="s">
        <v>4684</v>
      </c>
      <c r="F481" s="9" t="s">
        <v>4684</v>
      </c>
      <c r="G481" s="9">
        <v>1.0</v>
      </c>
      <c r="H481" s="9" t="s">
        <v>4686</v>
      </c>
      <c r="I481" s="9" t="str">
        <f t="shared" si="1"/>
        <v>Yes</v>
      </c>
      <c r="J481" s="9">
        <f t="shared" si="2"/>
        <v>1</v>
      </c>
      <c r="K481" s="9" t="str">
        <f t="shared" si="3"/>
        <v>OVERWEIGHT</v>
      </c>
    </row>
    <row r="482" ht="15.75" customHeight="1">
      <c r="A482" s="9" t="s">
        <v>963</v>
      </c>
      <c r="B482" s="9">
        <v>40.28</v>
      </c>
      <c r="C482" s="9">
        <v>8.9</v>
      </c>
      <c r="D482" s="9" t="s">
        <v>4684</v>
      </c>
      <c r="E482" s="9" t="s">
        <v>4684</v>
      </c>
      <c r="F482" s="9" t="s">
        <v>4684</v>
      </c>
      <c r="G482" s="9" t="s">
        <v>4685</v>
      </c>
      <c r="H482" s="9" t="s">
        <v>4684</v>
      </c>
      <c r="I482" s="9" t="str">
        <f t="shared" si="1"/>
        <v>No</v>
      </c>
      <c r="J482" s="9">
        <f t="shared" si="2"/>
        <v>0</v>
      </c>
      <c r="K482" s="9" t="str">
        <f t="shared" si="3"/>
        <v>OBESITY</v>
      </c>
    </row>
    <row r="483" ht="15.75" customHeight="1">
      <c r="A483" s="9" t="s">
        <v>965</v>
      </c>
      <c r="B483" s="9">
        <v>37.3</v>
      </c>
      <c r="C483" s="9">
        <v>7.79</v>
      </c>
      <c r="D483" s="9" t="s">
        <v>4686</v>
      </c>
      <c r="E483" s="9" t="s">
        <v>4684</v>
      </c>
      <c r="F483" s="9" t="s">
        <v>4684</v>
      </c>
      <c r="G483" s="9" t="s">
        <v>4685</v>
      </c>
      <c r="H483" s="9" t="s">
        <v>4684</v>
      </c>
      <c r="I483" s="9" t="str">
        <f t="shared" si="1"/>
        <v>No</v>
      </c>
      <c r="J483" s="9">
        <f t="shared" si="2"/>
        <v>0</v>
      </c>
      <c r="K483" s="9" t="str">
        <f t="shared" si="3"/>
        <v>OBESITY</v>
      </c>
    </row>
    <row r="484" ht="15.75" customHeight="1">
      <c r="A484" s="9" t="s">
        <v>967</v>
      </c>
      <c r="B484" s="9">
        <v>54.47</v>
      </c>
      <c r="C484" s="9">
        <v>4.49</v>
      </c>
      <c r="D484" s="9" t="s">
        <v>4686</v>
      </c>
      <c r="E484" s="9" t="s">
        <v>4684</v>
      </c>
      <c r="F484" s="9" t="s">
        <v>4684</v>
      </c>
      <c r="G484" s="9">
        <v>2.0</v>
      </c>
      <c r="H484" s="9" t="s">
        <v>4684</v>
      </c>
      <c r="I484" s="9" t="str">
        <f t="shared" si="1"/>
        <v>No</v>
      </c>
      <c r="J484" s="9">
        <f t="shared" si="2"/>
        <v>2</v>
      </c>
      <c r="K484" s="9" t="str">
        <f t="shared" si="3"/>
        <v>OBESITY</v>
      </c>
    </row>
    <row r="485" ht="15.75" customHeight="1">
      <c r="A485" s="9" t="s">
        <v>969</v>
      </c>
      <c r="B485" s="9">
        <v>38.06</v>
      </c>
      <c r="C485" s="9">
        <v>5.24</v>
      </c>
      <c r="D485" s="9" t="s">
        <v>4686</v>
      </c>
      <c r="E485" s="9" t="s">
        <v>4684</v>
      </c>
      <c r="F485" s="9" t="s">
        <v>4686</v>
      </c>
      <c r="G485" s="9">
        <v>1.0</v>
      </c>
      <c r="H485" s="9" t="s">
        <v>4684</v>
      </c>
      <c r="I485" s="9" t="str">
        <f t="shared" si="1"/>
        <v>No</v>
      </c>
      <c r="J485" s="9">
        <f t="shared" si="2"/>
        <v>1</v>
      </c>
      <c r="K485" s="9" t="str">
        <f t="shared" si="3"/>
        <v>OBESITY</v>
      </c>
    </row>
    <row r="486" ht="15.75" customHeight="1">
      <c r="A486" s="9" t="s">
        <v>971</v>
      </c>
      <c r="B486" s="9">
        <v>51.47</v>
      </c>
      <c r="C486" s="9">
        <v>9.6</v>
      </c>
      <c r="D486" s="9" t="s">
        <v>4684</v>
      </c>
      <c r="E486" s="9" t="s">
        <v>4684</v>
      </c>
      <c r="F486" s="9" t="s">
        <v>4684</v>
      </c>
      <c r="G486" s="9" t="s">
        <v>4685</v>
      </c>
      <c r="H486" s="9" t="s">
        <v>4684</v>
      </c>
      <c r="I486" s="9" t="str">
        <f t="shared" si="1"/>
        <v>No</v>
      </c>
      <c r="J486" s="9">
        <f t="shared" si="2"/>
        <v>0</v>
      </c>
      <c r="K486" s="9" t="str">
        <f t="shared" si="3"/>
        <v>OBESITY</v>
      </c>
    </row>
    <row r="487" ht="15.75" customHeight="1">
      <c r="A487" s="9" t="s">
        <v>973</v>
      </c>
      <c r="B487" s="9">
        <v>29.8</v>
      </c>
      <c r="C487" s="9">
        <v>5.78</v>
      </c>
      <c r="D487" s="9" t="s">
        <v>4686</v>
      </c>
      <c r="E487" s="9" t="s">
        <v>4684</v>
      </c>
      <c r="F487" s="9" t="s">
        <v>4684</v>
      </c>
      <c r="G487" s="9" t="s">
        <v>4685</v>
      </c>
      <c r="H487" s="9" t="s">
        <v>4684</v>
      </c>
      <c r="I487" s="9" t="str">
        <f t="shared" si="1"/>
        <v>No</v>
      </c>
      <c r="J487" s="9">
        <f t="shared" si="2"/>
        <v>0</v>
      </c>
      <c r="K487" s="9" t="str">
        <f t="shared" si="3"/>
        <v>OVERWEIGHT</v>
      </c>
    </row>
    <row r="488" ht="15.75" customHeight="1">
      <c r="A488" s="9" t="s">
        <v>975</v>
      </c>
      <c r="B488" s="9">
        <v>49.77</v>
      </c>
      <c r="C488" s="9">
        <v>7.02</v>
      </c>
      <c r="D488" s="9" t="s">
        <v>4684</v>
      </c>
      <c r="E488" s="9" t="s">
        <v>4684</v>
      </c>
      <c r="F488" s="9" t="s">
        <v>4684</v>
      </c>
      <c r="G488" s="9" t="s">
        <v>4685</v>
      </c>
      <c r="H488" s="9" t="s">
        <v>4684</v>
      </c>
      <c r="I488" s="9" t="str">
        <f t="shared" si="1"/>
        <v>No</v>
      </c>
      <c r="J488" s="9">
        <f t="shared" si="2"/>
        <v>0</v>
      </c>
      <c r="K488" s="9" t="str">
        <f t="shared" si="3"/>
        <v>OBESITY</v>
      </c>
    </row>
    <row r="489" ht="15.75" customHeight="1">
      <c r="A489" s="9" t="s">
        <v>977</v>
      </c>
      <c r="B489" s="9">
        <v>25.555</v>
      </c>
      <c r="C489" s="9">
        <v>4.09</v>
      </c>
      <c r="D489" s="9" t="s">
        <v>4686</v>
      </c>
      <c r="E489" s="9" t="s">
        <v>4684</v>
      </c>
      <c r="F489" s="9" t="s">
        <v>4684</v>
      </c>
      <c r="G489" s="9" t="s">
        <v>4685</v>
      </c>
      <c r="H489" s="9" t="s">
        <v>4686</v>
      </c>
      <c r="I489" s="9" t="str">
        <f t="shared" si="1"/>
        <v>Yes</v>
      </c>
      <c r="J489" s="9">
        <f t="shared" si="2"/>
        <v>0</v>
      </c>
      <c r="K489" s="9" t="str">
        <f t="shared" si="3"/>
        <v>OVERWEIGHT</v>
      </c>
    </row>
    <row r="490" ht="15.75" customHeight="1">
      <c r="A490" s="9" t="s">
        <v>979</v>
      </c>
      <c r="B490" s="9">
        <v>29.64</v>
      </c>
      <c r="C490" s="9">
        <v>4.93</v>
      </c>
      <c r="D490" s="9" t="s">
        <v>4684</v>
      </c>
      <c r="E490" s="9" t="s">
        <v>4684</v>
      </c>
      <c r="F490" s="9" t="s">
        <v>4686</v>
      </c>
      <c r="G490" s="9">
        <v>1.0</v>
      </c>
      <c r="H490" s="9" t="s">
        <v>4684</v>
      </c>
      <c r="I490" s="9" t="str">
        <f t="shared" si="1"/>
        <v>No</v>
      </c>
      <c r="J490" s="9">
        <f t="shared" si="2"/>
        <v>1</v>
      </c>
      <c r="K490" s="9" t="str">
        <f t="shared" si="3"/>
        <v>OVERWEIGHT</v>
      </c>
    </row>
    <row r="491" ht="15.75" customHeight="1">
      <c r="A491" s="9" t="s">
        <v>981</v>
      </c>
      <c r="B491" s="9">
        <v>53.93</v>
      </c>
      <c r="C491" s="9">
        <v>5.34</v>
      </c>
      <c r="D491" s="9" t="s">
        <v>4686</v>
      </c>
      <c r="E491" s="9" t="s">
        <v>4684</v>
      </c>
      <c r="F491" s="9" t="s">
        <v>4684</v>
      </c>
      <c r="G491" s="9">
        <v>2.0</v>
      </c>
      <c r="H491" s="9" t="s">
        <v>4684</v>
      </c>
      <c r="I491" s="9" t="str">
        <f t="shared" si="1"/>
        <v>No</v>
      </c>
      <c r="J491" s="9">
        <f t="shared" si="2"/>
        <v>2</v>
      </c>
      <c r="K491" s="9" t="str">
        <f t="shared" si="3"/>
        <v>OBESITY</v>
      </c>
    </row>
    <row r="492" ht="15.75" customHeight="1">
      <c r="A492" s="9" t="s">
        <v>983</v>
      </c>
      <c r="B492" s="9">
        <v>28.025</v>
      </c>
      <c r="C492" s="9">
        <v>5.65</v>
      </c>
      <c r="D492" s="9" t="s">
        <v>4684</v>
      </c>
      <c r="E492" s="9" t="s">
        <v>4684</v>
      </c>
      <c r="F492" s="9" t="s">
        <v>4684</v>
      </c>
      <c r="G492" s="9">
        <v>1.0</v>
      </c>
      <c r="H492" s="9" t="s">
        <v>4686</v>
      </c>
      <c r="I492" s="9" t="str">
        <f t="shared" si="1"/>
        <v>Yes</v>
      </c>
      <c r="J492" s="9">
        <f t="shared" si="2"/>
        <v>1</v>
      </c>
      <c r="K492" s="9" t="str">
        <f t="shared" si="3"/>
        <v>OVERWEIGHT</v>
      </c>
    </row>
    <row r="493" ht="15.75" customHeight="1">
      <c r="A493" s="9" t="s">
        <v>985</v>
      </c>
      <c r="B493" s="9">
        <v>27.5</v>
      </c>
      <c r="C493" s="9">
        <v>4.49</v>
      </c>
      <c r="D493" s="9" t="s">
        <v>4684</v>
      </c>
      <c r="E493" s="9" t="s">
        <v>4684</v>
      </c>
      <c r="F493" s="9" t="s">
        <v>4684</v>
      </c>
      <c r="G493" s="9" t="s">
        <v>4685</v>
      </c>
      <c r="H493" s="9" t="s">
        <v>4684</v>
      </c>
      <c r="I493" s="9" t="str">
        <f t="shared" si="1"/>
        <v>No</v>
      </c>
      <c r="J493" s="9">
        <f t="shared" si="2"/>
        <v>0</v>
      </c>
      <c r="K493" s="9" t="str">
        <f t="shared" si="3"/>
        <v>OVERWEIGHT</v>
      </c>
    </row>
    <row r="494" ht="15.75" customHeight="1">
      <c r="A494" s="9" t="s">
        <v>987</v>
      </c>
      <c r="B494" s="9">
        <v>21.8</v>
      </c>
      <c r="C494" s="9">
        <v>10.55</v>
      </c>
      <c r="D494" s="9" t="s">
        <v>4684</v>
      </c>
      <c r="E494" s="9" t="s">
        <v>4684</v>
      </c>
      <c r="F494" s="9" t="s">
        <v>4684</v>
      </c>
      <c r="G494" s="9" t="s">
        <v>4685</v>
      </c>
      <c r="H494" s="9" t="s">
        <v>4686</v>
      </c>
      <c r="I494" s="9" t="str">
        <f t="shared" si="1"/>
        <v>Yes</v>
      </c>
      <c r="J494" s="9">
        <f t="shared" si="2"/>
        <v>0</v>
      </c>
      <c r="K494" s="9" t="str">
        <f t="shared" si="3"/>
        <v>NORMAL WEIGHT</v>
      </c>
    </row>
    <row r="495" ht="15.75" customHeight="1">
      <c r="A495" s="9" t="s">
        <v>989</v>
      </c>
      <c r="B495" s="9">
        <v>26.41</v>
      </c>
      <c r="C495" s="9">
        <v>4.92</v>
      </c>
      <c r="D495" s="9" t="s">
        <v>4686</v>
      </c>
      <c r="E495" s="9" t="s">
        <v>4684</v>
      </c>
      <c r="F495" s="9" t="s">
        <v>4686</v>
      </c>
      <c r="G495" s="9">
        <v>1.0</v>
      </c>
      <c r="H495" s="9" t="s">
        <v>4686</v>
      </c>
      <c r="I495" s="9" t="str">
        <f t="shared" si="1"/>
        <v>Yes</v>
      </c>
      <c r="J495" s="9">
        <f t="shared" si="2"/>
        <v>1</v>
      </c>
      <c r="K495" s="9" t="str">
        <f t="shared" si="3"/>
        <v>OVERWEIGHT</v>
      </c>
    </row>
    <row r="496" ht="15.75" customHeight="1">
      <c r="A496" s="9" t="s">
        <v>991</v>
      </c>
      <c r="B496" s="9">
        <v>27.835</v>
      </c>
      <c r="C496" s="9">
        <v>5.9</v>
      </c>
      <c r="D496" s="9" t="s">
        <v>4686</v>
      </c>
      <c r="E496" s="9" t="s">
        <v>4684</v>
      </c>
      <c r="F496" s="9" t="s">
        <v>4684</v>
      </c>
      <c r="G496" s="9">
        <v>1.0</v>
      </c>
      <c r="H496" s="9" t="s">
        <v>4686</v>
      </c>
      <c r="I496" s="9" t="str">
        <f t="shared" si="1"/>
        <v>Yes</v>
      </c>
      <c r="J496" s="9">
        <f t="shared" si="2"/>
        <v>1</v>
      </c>
      <c r="K496" s="9" t="str">
        <f t="shared" si="3"/>
        <v>OVERWEIGHT</v>
      </c>
    </row>
    <row r="497" ht="15.75" customHeight="1">
      <c r="A497" s="9" t="s">
        <v>993</v>
      </c>
      <c r="B497" s="9">
        <v>51.74</v>
      </c>
      <c r="C497" s="9">
        <v>4.98</v>
      </c>
      <c r="D497" s="9" t="s">
        <v>4686</v>
      </c>
      <c r="E497" s="9" t="s">
        <v>4684</v>
      </c>
      <c r="F497" s="9" t="s">
        <v>4684</v>
      </c>
      <c r="G497" s="9">
        <v>2.0</v>
      </c>
      <c r="H497" s="9" t="s">
        <v>4684</v>
      </c>
      <c r="I497" s="9" t="str">
        <f t="shared" si="1"/>
        <v>No</v>
      </c>
      <c r="J497" s="9">
        <f t="shared" si="2"/>
        <v>2</v>
      </c>
      <c r="K497" s="9" t="str">
        <f t="shared" si="3"/>
        <v>OBESITY</v>
      </c>
    </row>
    <row r="498" ht="15.75" customHeight="1">
      <c r="A498" s="9" t="s">
        <v>995</v>
      </c>
      <c r="B498" s="9">
        <v>23.37</v>
      </c>
      <c r="C498" s="9">
        <v>5.8</v>
      </c>
      <c r="D498" s="9" t="s">
        <v>4684</v>
      </c>
      <c r="E498" s="9" t="s">
        <v>4684</v>
      </c>
      <c r="F498" s="9" t="s">
        <v>4684</v>
      </c>
      <c r="G498" s="9" t="s">
        <v>4685</v>
      </c>
      <c r="H498" s="9" t="s">
        <v>4686</v>
      </c>
      <c r="I498" s="9" t="str">
        <f t="shared" si="1"/>
        <v>Yes</v>
      </c>
      <c r="J498" s="9">
        <f t="shared" si="2"/>
        <v>0</v>
      </c>
      <c r="K498" s="9" t="str">
        <f t="shared" si="3"/>
        <v>NORMAL WEIGHT</v>
      </c>
    </row>
    <row r="499" ht="15.75" customHeight="1">
      <c r="A499" s="9" t="s">
        <v>997</v>
      </c>
      <c r="B499" s="9">
        <v>29.7</v>
      </c>
      <c r="C499" s="9">
        <v>6.21</v>
      </c>
      <c r="D499" s="9" t="s">
        <v>4686</v>
      </c>
      <c r="E499" s="9" t="s">
        <v>4684</v>
      </c>
      <c r="F499" s="9" t="s">
        <v>4686</v>
      </c>
      <c r="G499" s="9">
        <v>1.0</v>
      </c>
      <c r="H499" s="9" t="s">
        <v>4686</v>
      </c>
      <c r="I499" s="9" t="str">
        <f t="shared" si="1"/>
        <v>Yes</v>
      </c>
      <c r="J499" s="9">
        <f t="shared" si="2"/>
        <v>1</v>
      </c>
      <c r="K499" s="9" t="str">
        <f t="shared" si="3"/>
        <v>OVERWEIGHT</v>
      </c>
    </row>
    <row r="500" ht="15.75" customHeight="1">
      <c r="A500" s="9" t="s">
        <v>999</v>
      </c>
      <c r="B500" s="9">
        <v>20.045</v>
      </c>
      <c r="C500" s="9">
        <v>6.17</v>
      </c>
      <c r="D500" s="9" t="s">
        <v>4684</v>
      </c>
      <c r="E500" s="9" t="s">
        <v>4684</v>
      </c>
      <c r="F500" s="9" t="s">
        <v>4686</v>
      </c>
      <c r="G500" s="9">
        <v>1.0</v>
      </c>
      <c r="H500" s="9" t="s">
        <v>4686</v>
      </c>
      <c r="I500" s="9" t="str">
        <f t="shared" si="1"/>
        <v>Yes</v>
      </c>
      <c r="J500" s="9">
        <f t="shared" si="2"/>
        <v>1</v>
      </c>
      <c r="K500" s="9" t="str">
        <f t="shared" si="3"/>
        <v>NORMAL WEIGHT</v>
      </c>
    </row>
    <row r="501" ht="15.75" customHeight="1">
      <c r="A501" s="9" t="s">
        <v>1001</v>
      </c>
      <c r="B501" s="9">
        <v>27.83</v>
      </c>
      <c r="C501" s="9">
        <v>5.36</v>
      </c>
      <c r="D501" s="9" t="s">
        <v>4684</v>
      </c>
      <c r="E501" s="9" t="s">
        <v>4684</v>
      </c>
      <c r="F501" s="9" t="s">
        <v>4684</v>
      </c>
      <c r="G501" s="9">
        <v>2.0</v>
      </c>
      <c r="H501" s="9" t="s">
        <v>4684</v>
      </c>
      <c r="I501" s="9" t="str">
        <f t="shared" si="1"/>
        <v>No</v>
      </c>
      <c r="J501" s="9">
        <f t="shared" si="2"/>
        <v>2</v>
      </c>
      <c r="K501" s="9" t="str">
        <f t="shared" si="3"/>
        <v>OVERWEIGHT</v>
      </c>
    </row>
    <row r="502" ht="15.75" customHeight="1">
      <c r="A502" s="9" t="s">
        <v>1003</v>
      </c>
      <c r="B502" s="9">
        <v>28.93</v>
      </c>
      <c r="C502" s="9">
        <v>5.2</v>
      </c>
      <c r="D502" s="9" t="s">
        <v>4684</v>
      </c>
      <c r="E502" s="9" t="s">
        <v>4684</v>
      </c>
      <c r="F502" s="9" t="s">
        <v>4684</v>
      </c>
      <c r="G502" s="9" t="s">
        <v>4685</v>
      </c>
      <c r="H502" s="9" t="s">
        <v>4686</v>
      </c>
      <c r="I502" s="9" t="str">
        <f t="shared" si="1"/>
        <v>Yes</v>
      </c>
      <c r="J502" s="9">
        <f t="shared" si="2"/>
        <v>0</v>
      </c>
      <c r="K502" s="9" t="str">
        <f t="shared" si="3"/>
        <v>OVERWEIGHT</v>
      </c>
    </row>
    <row r="503" ht="15.75" customHeight="1">
      <c r="A503" s="9" t="s">
        <v>1005</v>
      </c>
      <c r="B503" s="9">
        <v>33.82</v>
      </c>
      <c r="C503" s="9">
        <v>5.42</v>
      </c>
      <c r="D503" s="9" t="s">
        <v>4684</v>
      </c>
      <c r="E503" s="9" t="s">
        <v>4684</v>
      </c>
      <c r="F503" s="9" t="s">
        <v>4684</v>
      </c>
      <c r="G503" s="9" t="s">
        <v>4685</v>
      </c>
      <c r="H503" s="9" t="s">
        <v>4684</v>
      </c>
      <c r="I503" s="9" t="str">
        <f t="shared" si="1"/>
        <v>No</v>
      </c>
      <c r="J503" s="9">
        <f t="shared" si="2"/>
        <v>0</v>
      </c>
      <c r="K503" s="9" t="str">
        <f t="shared" si="3"/>
        <v>OBESITY</v>
      </c>
    </row>
    <row r="504" ht="15.75" customHeight="1">
      <c r="A504" s="9" t="s">
        <v>1007</v>
      </c>
      <c r="B504" s="9">
        <v>20.235</v>
      </c>
      <c r="C504" s="9">
        <v>6.84</v>
      </c>
      <c r="D504" s="9" t="s">
        <v>4684</v>
      </c>
      <c r="E504" s="9" t="s">
        <v>4684</v>
      </c>
      <c r="F504" s="9" t="s">
        <v>4684</v>
      </c>
      <c r="G504" s="9" t="s">
        <v>4685</v>
      </c>
      <c r="H504" s="9" t="s">
        <v>4686</v>
      </c>
      <c r="I504" s="9" t="str">
        <f t="shared" si="1"/>
        <v>Yes</v>
      </c>
      <c r="J504" s="9">
        <f t="shared" si="2"/>
        <v>0</v>
      </c>
      <c r="K504" s="9" t="str">
        <f t="shared" si="3"/>
        <v>NORMAL WEIGHT</v>
      </c>
    </row>
    <row r="505" ht="15.75" customHeight="1">
      <c r="A505" s="9" t="s">
        <v>1009</v>
      </c>
      <c r="B505" s="9">
        <v>49.2</v>
      </c>
      <c r="C505" s="9">
        <v>10.9</v>
      </c>
      <c r="D505" s="9" t="s">
        <v>4686</v>
      </c>
      <c r="E505" s="9" t="s">
        <v>4684</v>
      </c>
      <c r="F505" s="9" t="s">
        <v>4686</v>
      </c>
      <c r="G505" s="9">
        <v>1.0</v>
      </c>
      <c r="H505" s="9" t="s">
        <v>4684</v>
      </c>
      <c r="I505" s="9" t="str">
        <f t="shared" si="1"/>
        <v>No</v>
      </c>
      <c r="J505" s="9">
        <f t="shared" si="2"/>
        <v>1</v>
      </c>
      <c r="K505" s="9" t="str">
        <f t="shared" si="3"/>
        <v>OBESITY</v>
      </c>
    </row>
    <row r="506" ht="15.75" customHeight="1">
      <c r="A506" s="9" t="s">
        <v>1011</v>
      </c>
      <c r="B506" s="9">
        <v>26.4</v>
      </c>
      <c r="C506" s="9">
        <v>4.87</v>
      </c>
      <c r="D506" s="9" t="s">
        <v>4686</v>
      </c>
      <c r="E506" s="9" t="s">
        <v>4684</v>
      </c>
      <c r="F506" s="9" t="s">
        <v>4684</v>
      </c>
      <c r="G506" s="9" t="s">
        <v>4685</v>
      </c>
      <c r="H506" s="9" t="s">
        <v>4686</v>
      </c>
      <c r="I506" s="9" t="str">
        <f t="shared" si="1"/>
        <v>Yes</v>
      </c>
      <c r="J506" s="9">
        <f t="shared" si="2"/>
        <v>0</v>
      </c>
      <c r="K506" s="9" t="str">
        <f t="shared" si="3"/>
        <v>OVERWEIGHT</v>
      </c>
    </row>
    <row r="507" ht="15.75" customHeight="1">
      <c r="A507" s="9" t="s">
        <v>1013</v>
      </c>
      <c r="B507" s="9">
        <v>28.38</v>
      </c>
      <c r="C507" s="9">
        <v>6.07</v>
      </c>
      <c r="D507" s="9" t="s">
        <v>4684</v>
      </c>
      <c r="E507" s="9" t="s">
        <v>4684</v>
      </c>
      <c r="F507" s="9" t="s">
        <v>4684</v>
      </c>
      <c r="G507" s="9">
        <v>1.0</v>
      </c>
      <c r="H507" s="9" t="s">
        <v>4686</v>
      </c>
      <c r="I507" s="9" t="str">
        <f t="shared" si="1"/>
        <v>Yes</v>
      </c>
      <c r="J507" s="9">
        <f t="shared" si="2"/>
        <v>1</v>
      </c>
      <c r="K507" s="9" t="str">
        <f t="shared" si="3"/>
        <v>OVERWEIGHT</v>
      </c>
    </row>
    <row r="508" ht="15.75" customHeight="1">
      <c r="A508" s="9" t="s">
        <v>1015</v>
      </c>
      <c r="B508" s="9">
        <v>24.64</v>
      </c>
      <c r="C508" s="9">
        <v>4.33</v>
      </c>
      <c r="D508" s="9" t="s">
        <v>4684</v>
      </c>
      <c r="E508" s="9" t="s">
        <v>4684</v>
      </c>
      <c r="F508" s="9" t="s">
        <v>4684</v>
      </c>
      <c r="G508" s="9" t="s">
        <v>4685</v>
      </c>
      <c r="H508" s="9" t="s">
        <v>4686</v>
      </c>
      <c r="I508" s="9" t="str">
        <f t="shared" si="1"/>
        <v>Yes</v>
      </c>
      <c r="J508" s="9">
        <f t="shared" si="2"/>
        <v>0</v>
      </c>
      <c r="K508" s="9" t="str">
        <f t="shared" si="3"/>
        <v>NORMAL WEIGHT</v>
      </c>
    </row>
    <row r="509" ht="15.75" customHeight="1">
      <c r="A509" s="9" t="s">
        <v>1017</v>
      </c>
      <c r="B509" s="9">
        <v>39.71</v>
      </c>
      <c r="C509" s="9">
        <v>5.83</v>
      </c>
      <c r="D509" s="9" t="s">
        <v>4684</v>
      </c>
      <c r="E509" s="9" t="s">
        <v>4684</v>
      </c>
      <c r="F509" s="9" t="s">
        <v>4684</v>
      </c>
      <c r="G509" s="9">
        <v>1.0</v>
      </c>
      <c r="H509" s="9" t="s">
        <v>4684</v>
      </c>
      <c r="I509" s="9" t="str">
        <f t="shared" si="1"/>
        <v>No</v>
      </c>
      <c r="J509" s="9">
        <f t="shared" si="2"/>
        <v>1</v>
      </c>
      <c r="K509" s="9" t="str">
        <f t="shared" si="3"/>
        <v>OBESITY</v>
      </c>
    </row>
    <row r="510" ht="15.75" customHeight="1">
      <c r="A510" s="9" t="s">
        <v>1019</v>
      </c>
      <c r="B510" s="9">
        <v>22.22</v>
      </c>
      <c r="C510" s="9">
        <v>5.5</v>
      </c>
      <c r="D510" s="9" t="s">
        <v>4684</v>
      </c>
      <c r="E510" s="9" t="s">
        <v>4684</v>
      </c>
      <c r="F510" s="9" t="s">
        <v>4684</v>
      </c>
      <c r="G510" s="9" t="s">
        <v>4685</v>
      </c>
      <c r="H510" s="9" t="s">
        <v>4686</v>
      </c>
      <c r="I510" s="9" t="str">
        <f t="shared" si="1"/>
        <v>Yes</v>
      </c>
      <c r="J510" s="9">
        <f t="shared" si="2"/>
        <v>0</v>
      </c>
      <c r="K510" s="9" t="str">
        <f t="shared" si="3"/>
        <v>NORMAL WEIGHT</v>
      </c>
    </row>
    <row r="511" ht="15.75" customHeight="1">
      <c r="A511" s="9" t="s">
        <v>1021</v>
      </c>
      <c r="B511" s="9">
        <v>33.345</v>
      </c>
      <c r="C511" s="9">
        <v>4.79</v>
      </c>
      <c r="D511" s="9" t="s">
        <v>4684</v>
      </c>
      <c r="E511" s="9" t="s">
        <v>4684</v>
      </c>
      <c r="F511" s="9" t="s">
        <v>4686</v>
      </c>
      <c r="G511" s="9">
        <v>1.0</v>
      </c>
      <c r="H511" s="9" t="s">
        <v>4684</v>
      </c>
      <c r="I511" s="9" t="str">
        <f t="shared" si="1"/>
        <v>No</v>
      </c>
      <c r="J511" s="9">
        <f t="shared" si="2"/>
        <v>1</v>
      </c>
      <c r="K511" s="9" t="str">
        <f t="shared" si="3"/>
        <v>OBESITY</v>
      </c>
    </row>
    <row r="512" ht="15.75" customHeight="1">
      <c r="A512" s="9" t="s">
        <v>1023</v>
      </c>
      <c r="B512" s="9">
        <v>24.42</v>
      </c>
      <c r="C512" s="9">
        <v>5.81</v>
      </c>
      <c r="D512" s="9" t="s">
        <v>4684</v>
      </c>
      <c r="E512" s="9" t="s">
        <v>4684</v>
      </c>
      <c r="F512" s="9" t="s">
        <v>4684</v>
      </c>
      <c r="G512" s="9">
        <v>1.0</v>
      </c>
      <c r="H512" s="9" t="s">
        <v>4686</v>
      </c>
      <c r="I512" s="9" t="str">
        <f t="shared" si="1"/>
        <v>Yes</v>
      </c>
      <c r="J512" s="9">
        <f t="shared" si="2"/>
        <v>1</v>
      </c>
      <c r="K512" s="9" t="str">
        <f t="shared" si="3"/>
        <v>NORMAL WEIGHT</v>
      </c>
    </row>
    <row r="513" ht="15.75" customHeight="1">
      <c r="A513" s="9" t="s">
        <v>1025</v>
      </c>
      <c r="B513" s="9">
        <v>29.81</v>
      </c>
      <c r="C513" s="9">
        <v>5.58</v>
      </c>
      <c r="D513" s="9" t="s">
        <v>4684</v>
      </c>
      <c r="E513" s="9" t="s">
        <v>4684</v>
      </c>
      <c r="F513" s="9" t="s">
        <v>4684</v>
      </c>
      <c r="G513" s="9" t="s">
        <v>4685</v>
      </c>
      <c r="H513" s="9" t="s">
        <v>4686</v>
      </c>
      <c r="I513" s="9" t="str">
        <f t="shared" si="1"/>
        <v>Yes</v>
      </c>
      <c r="J513" s="9">
        <f t="shared" si="2"/>
        <v>0</v>
      </c>
      <c r="K513" s="9" t="str">
        <f t="shared" si="3"/>
        <v>OVERWEIGHT</v>
      </c>
    </row>
    <row r="514" ht="15.75" customHeight="1">
      <c r="A514" s="9" t="s">
        <v>1027</v>
      </c>
      <c r="B514" s="9">
        <v>51.18</v>
      </c>
      <c r="C514" s="9">
        <v>4.4</v>
      </c>
      <c r="D514" s="9" t="s">
        <v>4686</v>
      </c>
      <c r="E514" s="9" t="s">
        <v>4684</v>
      </c>
      <c r="F514" s="9" t="s">
        <v>4684</v>
      </c>
      <c r="G514" s="9">
        <v>2.0</v>
      </c>
      <c r="H514" s="9" t="s">
        <v>4684</v>
      </c>
      <c r="I514" s="9" t="str">
        <f t="shared" si="1"/>
        <v>No</v>
      </c>
      <c r="J514" s="9">
        <f t="shared" si="2"/>
        <v>2</v>
      </c>
      <c r="K514" s="9" t="str">
        <f t="shared" si="3"/>
        <v>OBESITY</v>
      </c>
    </row>
    <row r="515" ht="15.75" customHeight="1">
      <c r="A515" s="9" t="s">
        <v>1029</v>
      </c>
      <c r="B515" s="9">
        <v>51.37</v>
      </c>
      <c r="C515" s="9">
        <v>8.18</v>
      </c>
      <c r="D515" s="9" t="s">
        <v>4686</v>
      </c>
      <c r="E515" s="9" t="s">
        <v>4684</v>
      </c>
      <c r="F515" s="9" t="s">
        <v>4684</v>
      </c>
      <c r="G515" s="9" t="s">
        <v>4685</v>
      </c>
      <c r="H515" s="9" t="s">
        <v>4684</v>
      </c>
      <c r="I515" s="9" t="str">
        <f t="shared" si="1"/>
        <v>No</v>
      </c>
      <c r="J515" s="9">
        <f t="shared" si="2"/>
        <v>0</v>
      </c>
      <c r="K515" s="9" t="str">
        <f t="shared" si="3"/>
        <v>OBESITY</v>
      </c>
    </row>
    <row r="516" ht="15.75" customHeight="1">
      <c r="A516" s="9" t="s">
        <v>1031</v>
      </c>
      <c r="B516" s="9">
        <v>36.19</v>
      </c>
      <c r="C516" s="9">
        <v>5.52</v>
      </c>
      <c r="D516" s="9" t="s">
        <v>4686</v>
      </c>
      <c r="E516" s="9" t="s">
        <v>4684</v>
      </c>
      <c r="F516" s="9" t="s">
        <v>4684</v>
      </c>
      <c r="G516" s="9" t="s">
        <v>4685</v>
      </c>
      <c r="H516" s="9" t="s">
        <v>4684</v>
      </c>
      <c r="I516" s="9" t="str">
        <f t="shared" si="1"/>
        <v>No</v>
      </c>
      <c r="J516" s="9">
        <f t="shared" si="2"/>
        <v>0</v>
      </c>
      <c r="K516" s="9" t="str">
        <f t="shared" si="3"/>
        <v>OBESITY</v>
      </c>
    </row>
    <row r="517" ht="15.75" customHeight="1">
      <c r="A517" s="9" t="s">
        <v>1033</v>
      </c>
      <c r="B517" s="9">
        <v>25.9</v>
      </c>
      <c r="C517" s="9">
        <v>4.84</v>
      </c>
      <c r="D517" s="9" t="s">
        <v>4684</v>
      </c>
      <c r="E517" s="9" t="s">
        <v>4684</v>
      </c>
      <c r="F517" s="9" t="s">
        <v>4684</v>
      </c>
      <c r="G517" s="9" t="s">
        <v>4685</v>
      </c>
      <c r="H517" s="9" t="s">
        <v>4686</v>
      </c>
      <c r="I517" s="9" t="str">
        <f t="shared" si="1"/>
        <v>Yes</v>
      </c>
      <c r="J517" s="9">
        <f t="shared" si="2"/>
        <v>0</v>
      </c>
      <c r="K517" s="9" t="str">
        <f t="shared" si="3"/>
        <v>OVERWEIGHT</v>
      </c>
    </row>
    <row r="518" ht="15.75" customHeight="1">
      <c r="A518" s="9" t="s">
        <v>1035</v>
      </c>
      <c r="B518" s="9">
        <v>35.72</v>
      </c>
      <c r="C518" s="9">
        <v>4.08</v>
      </c>
      <c r="D518" s="9" t="s">
        <v>4684</v>
      </c>
      <c r="E518" s="9" t="s">
        <v>4684</v>
      </c>
      <c r="F518" s="9" t="s">
        <v>4686</v>
      </c>
      <c r="G518" s="9">
        <v>1.0</v>
      </c>
      <c r="H518" s="9" t="s">
        <v>4684</v>
      </c>
      <c r="I518" s="9" t="str">
        <f t="shared" si="1"/>
        <v>No</v>
      </c>
      <c r="J518" s="9">
        <f t="shared" si="2"/>
        <v>1</v>
      </c>
      <c r="K518" s="9" t="str">
        <f t="shared" si="3"/>
        <v>OBESITY</v>
      </c>
    </row>
    <row r="519" ht="15.75" customHeight="1">
      <c r="A519" s="9" t="s">
        <v>1037</v>
      </c>
      <c r="B519" s="9">
        <v>27.94</v>
      </c>
      <c r="C519" s="9">
        <v>4.48</v>
      </c>
      <c r="D519" s="9" t="s">
        <v>4684</v>
      </c>
      <c r="E519" s="9" t="s">
        <v>4684</v>
      </c>
      <c r="F519" s="9" t="s">
        <v>4686</v>
      </c>
      <c r="G519" s="9">
        <v>1.0</v>
      </c>
      <c r="H519" s="9" t="s">
        <v>4686</v>
      </c>
      <c r="I519" s="9" t="str">
        <f t="shared" si="1"/>
        <v>Yes</v>
      </c>
      <c r="J519" s="9">
        <f t="shared" si="2"/>
        <v>1</v>
      </c>
      <c r="K519" s="9" t="str">
        <f t="shared" si="3"/>
        <v>OVERWEIGHT</v>
      </c>
    </row>
    <row r="520" ht="15.75" customHeight="1">
      <c r="A520" s="9" t="s">
        <v>1039</v>
      </c>
      <c r="B520" s="9">
        <v>27.1</v>
      </c>
      <c r="C520" s="9">
        <v>5.73</v>
      </c>
      <c r="D520" s="9" t="s">
        <v>4684</v>
      </c>
      <c r="E520" s="9" t="s">
        <v>4684</v>
      </c>
      <c r="F520" s="9" t="s">
        <v>4684</v>
      </c>
      <c r="G520" s="9" t="s">
        <v>4685</v>
      </c>
      <c r="H520" s="9" t="s">
        <v>4686</v>
      </c>
      <c r="I520" s="9" t="str">
        <f t="shared" si="1"/>
        <v>Yes</v>
      </c>
      <c r="J520" s="9">
        <f t="shared" si="2"/>
        <v>0</v>
      </c>
      <c r="K520" s="9" t="str">
        <f t="shared" si="3"/>
        <v>OVERWEIGHT</v>
      </c>
    </row>
    <row r="521" ht="15.75" customHeight="1">
      <c r="A521" s="9" t="s">
        <v>1041</v>
      </c>
      <c r="B521" s="9">
        <v>18.3</v>
      </c>
      <c r="C521" s="9">
        <v>5.46</v>
      </c>
      <c r="D521" s="9" t="s">
        <v>4686</v>
      </c>
      <c r="E521" s="9" t="s">
        <v>4684</v>
      </c>
      <c r="F521" s="9" t="s">
        <v>4686</v>
      </c>
      <c r="G521" s="9">
        <v>1.0</v>
      </c>
      <c r="H521" s="9" t="s">
        <v>4686</v>
      </c>
      <c r="I521" s="9" t="str">
        <f t="shared" si="1"/>
        <v>Yes</v>
      </c>
      <c r="J521" s="9">
        <f t="shared" si="2"/>
        <v>1</v>
      </c>
      <c r="K521" s="9" t="str">
        <f t="shared" si="3"/>
        <v>UNDERWEIGHT</v>
      </c>
    </row>
    <row r="522" ht="15.75" customHeight="1">
      <c r="A522" s="9" t="s">
        <v>1043</v>
      </c>
      <c r="B522" s="9">
        <v>25.3</v>
      </c>
      <c r="C522" s="9">
        <v>5.02</v>
      </c>
      <c r="D522" s="9" t="s">
        <v>4686</v>
      </c>
      <c r="E522" s="9" t="s">
        <v>4684</v>
      </c>
      <c r="F522" s="9" t="s">
        <v>4684</v>
      </c>
      <c r="G522" s="9">
        <v>1.0</v>
      </c>
      <c r="H522" s="9" t="s">
        <v>4686</v>
      </c>
      <c r="I522" s="9" t="str">
        <f t="shared" si="1"/>
        <v>Yes</v>
      </c>
      <c r="J522" s="9">
        <f t="shared" si="2"/>
        <v>1</v>
      </c>
      <c r="K522" s="9" t="str">
        <f t="shared" si="3"/>
        <v>OVERWEIGHT</v>
      </c>
    </row>
    <row r="523" ht="15.75" customHeight="1">
      <c r="A523" s="9" t="s">
        <v>1045</v>
      </c>
      <c r="B523" s="9">
        <v>38.83</v>
      </c>
      <c r="C523" s="9">
        <v>6.36</v>
      </c>
      <c r="D523" s="9" t="s">
        <v>4684</v>
      </c>
      <c r="E523" s="9" t="s">
        <v>4684</v>
      </c>
      <c r="F523" s="9" t="s">
        <v>4684</v>
      </c>
      <c r="G523" s="9">
        <v>1.0</v>
      </c>
      <c r="H523" s="9" t="s">
        <v>4684</v>
      </c>
      <c r="I523" s="9" t="str">
        <f t="shared" si="1"/>
        <v>No</v>
      </c>
      <c r="J523" s="9">
        <f t="shared" si="2"/>
        <v>1</v>
      </c>
      <c r="K523" s="9" t="str">
        <f t="shared" si="3"/>
        <v>OBESITY</v>
      </c>
    </row>
    <row r="524" ht="15.75" customHeight="1">
      <c r="A524" s="9" t="s">
        <v>1047</v>
      </c>
      <c r="B524" s="9">
        <v>27.6</v>
      </c>
      <c r="C524" s="9">
        <v>5.36</v>
      </c>
      <c r="D524" s="9" t="s">
        <v>4684</v>
      </c>
      <c r="E524" s="9" t="s">
        <v>4684</v>
      </c>
      <c r="F524" s="9" t="s">
        <v>4684</v>
      </c>
      <c r="G524" s="9">
        <v>1.0</v>
      </c>
      <c r="H524" s="9" t="s">
        <v>4684</v>
      </c>
      <c r="I524" s="9" t="str">
        <f t="shared" si="1"/>
        <v>No</v>
      </c>
      <c r="J524" s="9">
        <f t="shared" si="2"/>
        <v>1</v>
      </c>
      <c r="K524" s="9" t="str">
        <f t="shared" si="3"/>
        <v>OVERWEIGHT</v>
      </c>
    </row>
    <row r="525" ht="15.75" customHeight="1">
      <c r="A525" s="9" t="s">
        <v>1049</v>
      </c>
      <c r="B525" s="9">
        <v>46.4</v>
      </c>
      <c r="C525" s="9">
        <v>8.37</v>
      </c>
      <c r="D525" s="9" t="s">
        <v>4686</v>
      </c>
      <c r="E525" s="9" t="s">
        <v>4684</v>
      </c>
      <c r="F525" s="9" t="s">
        <v>4686</v>
      </c>
      <c r="G525" s="9">
        <v>1.0</v>
      </c>
      <c r="H525" s="9" t="s">
        <v>4684</v>
      </c>
      <c r="I525" s="9" t="str">
        <f t="shared" si="1"/>
        <v>No</v>
      </c>
      <c r="J525" s="9">
        <f t="shared" si="2"/>
        <v>1</v>
      </c>
      <c r="K525" s="9" t="str">
        <f t="shared" si="3"/>
        <v>OBESITY</v>
      </c>
    </row>
    <row r="526" ht="15.75" customHeight="1">
      <c r="A526" s="9" t="s">
        <v>1051</v>
      </c>
      <c r="B526" s="9">
        <v>51.92</v>
      </c>
      <c r="C526" s="9">
        <v>5.18</v>
      </c>
      <c r="D526" s="9" t="s">
        <v>4686</v>
      </c>
      <c r="E526" s="9" t="s">
        <v>4684</v>
      </c>
      <c r="F526" s="9" t="s">
        <v>4686</v>
      </c>
      <c r="G526" s="9">
        <v>1.0</v>
      </c>
      <c r="H526" s="9" t="s">
        <v>4684</v>
      </c>
      <c r="I526" s="9" t="str">
        <f t="shared" si="1"/>
        <v>No</v>
      </c>
      <c r="J526" s="9">
        <f t="shared" si="2"/>
        <v>1</v>
      </c>
      <c r="K526" s="9" t="str">
        <f t="shared" si="3"/>
        <v>OBESITY</v>
      </c>
    </row>
    <row r="527" ht="15.75" customHeight="1">
      <c r="A527" s="9" t="s">
        <v>1053</v>
      </c>
      <c r="B527" s="9">
        <v>32.395</v>
      </c>
      <c r="C527" s="9">
        <v>5.68</v>
      </c>
      <c r="D527" s="9" t="s">
        <v>4686</v>
      </c>
      <c r="E527" s="9" t="s">
        <v>4684</v>
      </c>
      <c r="F527" s="9" t="s">
        <v>4684</v>
      </c>
      <c r="G527" s="9">
        <v>1.0</v>
      </c>
      <c r="H527" s="9" t="s">
        <v>4684</v>
      </c>
      <c r="I527" s="9" t="str">
        <f t="shared" si="1"/>
        <v>No</v>
      </c>
      <c r="J527" s="9">
        <f t="shared" si="2"/>
        <v>1</v>
      </c>
      <c r="K527" s="9" t="str">
        <f t="shared" si="3"/>
        <v>OBESITY</v>
      </c>
    </row>
    <row r="528" ht="15.75" customHeight="1">
      <c r="A528" s="9" t="s">
        <v>1055</v>
      </c>
      <c r="B528" s="9">
        <v>46.19</v>
      </c>
      <c r="C528" s="9">
        <v>7.31</v>
      </c>
      <c r="D528" s="9" t="s">
        <v>4686</v>
      </c>
      <c r="E528" s="9" t="s">
        <v>4684</v>
      </c>
      <c r="F528" s="9" t="s">
        <v>4686</v>
      </c>
      <c r="G528" s="9">
        <v>1.0</v>
      </c>
      <c r="H528" s="9" t="s">
        <v>4684</v>
      </c>
      <c r="I528" s="9" t="str">
        <f t="shared" si="1"/>
        <v>No</v>
      </c>
      <c r="J528" s="9">
        <f t="shared" si="2"/>
        <v>1</v>
      </c>
      <c r="K528" s="9" t="str">
        <f t="shared" si="3"/>
        <v>OBESITY</v>
      </c>
    </row>
    <row r="529" ht="15.75" customHeight="1">
      <c r="A529" s="9" t="s">
        <v>1057</v>
      </c>
      <c r="B529" s="9">
        <v>27.93</v>
      </c>
      <c r="C529" s="9">
        <v>4.67</v>
      </c>
      <c r="D529" s="9" t="s">
        <v>4684</v>
      </c>
      <c r="E529" s="9" t="s">
        <v>4684</v>
      </c>
      <c r="F529" s="9" t="s">
        <v>4686</v>
      </c>
      <c r="G529" s="9">
        <v>1.0</v>
      </c>
      <c r="H529" s="9" t="s">
        <v>4684</v>
      </c>
      <c r="I529" s="9" t="str">
        <f t="shared" si="1"/>
        <v>No</v>
      </c>
      <c r="J529" s="9">
        <f t="shared" si="2"/>
        <v>1</v>
      </c>
      <c r="K529" s="9" t="str">
        <f t="shared" si="3"/>
        <v>OVERWEIGHT</v>
      </c>
    </row>
    <row r="530" ht="15.75" customHeight="1">
      <c r="A530" s="9" t="s">
        <v>1059</v>
      </c>
      <c r="B530" s="9">
        <v>45.62</v>
      </c>
      <c r="C530" s="9">
        <v>6.87</v>
      </c>
      <c r="D530" s="9" t="s">
        <v>4684</v>
      </c>
      <c r="E530" s="9" t="s">
        <v>4684</v>
      </c>
      <c r="F530" s="9" t="s">
        <v>4684</v>
      </c>
      <c r="G530" s="9" t="s">
        <v>4685</v>
      </c>
      <c r="H530" s="9" t="s">
        <v>4684</v>
      </c>
      <c r="I530" s="9" t="str">
        <f t="shared" si="1"/>
        <v>No</v>
      </c>
      <c r="J530" s="9">
        <f t="shared" si="2"/>
        <v>0</v>
      </c>
      <c r="K530" s="9" t="str">
        <f t="shared" si="3"/>
        <v>OBESITY</v>
      </c>
    </row>
    <row r="531" ht="15.75" customHeight="1">
      <c r="A531" s="9" t="s">
        <v>1061</v>
      </c>
      <c r="B531" s="9">
        <v>35.31</v>
      </c>
      <c r="C531" s="9">
        <v>5.87</v>
      </c>
      <c r="D531" s="9" t="s">
        <v>4684</v>
      </c>
      <c r="E531" s="9" t="s">
        <v>4684</v>
      </c>
      <c r="F531" s="9" t="s">
        <v>4686</v>
      </c>
      <c r="G531" s="9">
        <v>1.0</v>
      </c>
      <c r="H531" s="9" t="s">
        <v>4684</v>
      </c>
      <c r="I531" s="9" t="str">
        <f t="shared" si="1"/>
        <v>No</v>
      </c>
      <c r="J531" s="9">
        <f t="shared" si="2"/>
        <v>1</v>
      </c>
      <c r="K531" s="9" t="str">
        <f t="shared" si="3"/>
        <v>OBESITY</v>
      </c>
    </row>
    <row r="532" ht="15.75" customHeight="1">
      <c r="A532" s="9" t="s">
        <v>1063</v>
      </c>
      <c r="B532" s="9">
        <v>30.4</v>
      </c>
      <c r="C532" s="9">
        <v>4.07</v>
      </c>
      <c r="D532" s="9" t="s">
        <v>4686</v>
      </c>
      <c r="E532" s="9" t="s">
        <v>4684</v>
      </c>
      <c r="F532" s="9" t="s">
        <v>4684</v>
      </c>
      <c r="G532" s="9">
        <v>1.0</v>
      </c>
      <c r="H532" s="9" t="s">
        <v>4684</v>
      </c>
      <c r="I532" s="9" t="str">
        <f t="shared" si="1"/>
        <v>No</v>
      </c>
      <c r="J532" s="9">
        <f t="shared" si="2"/>
        <v>1</v>
      </c>
      <c r="K532" s="9" t="str">
        <f t="shared" si="3"/>
        <v>OBESITY</v>
      </c>
    </row>
    <row r="533" ht="15.75" customHeight="1">
      <c r="A533" s="9" t="s">
        <v>1065</v>
      </c>
      <c r="B533" s="9">
        <v>20.13</v>
      </c>
      <c r="C533" s="9">
        <v>6.47</v>
      </c>
      <c r="D533" s="9" t="s">
        <v>4684</v>
      </c>
      <c r="E533" s="9" t="s">
        <v>4684</v>
      </c>
      <c r="F533" s="9" t="s">
        <v>4686</v>
      </c>
      <c r="G533" s="9">
        <v>1.0</v>
      </c>
      <c r="H533" s="9" t="s">
        <v>4686</v>
      </c>
      <c r="I533" s="9" t="str">
        <f t="shared" si="1"/>
        <v>Yes</v>
      </c>
      <c r="J533" s="9">
        <f t="shared" si="2"/>
        <v>1</v>
      </c>
      <c r="K533" s="9" t="str">
        <f t="shared" si="3"/>
        <v>NORMAL WEIGHT</v>
      </c>
    </row>
    <row r="534" ht="15.75" customHeight="1">
      <c r="A534" s="9" t="s">
        <v>1067</v>
      </c>
      <c r="B534" s="9">
        <v>23.655</v>
      </c>
      <c r="C534" s="9">
        <v>5.14</v>
      </c>
      <c r="D534" s="9" t="s">
        <v>4684</v>
      </c>
      <c r="E534" s="9" t="s">
        <v>4684</v>
      </c>
      <c r="F534" s="9" t="s">
        <v>4684</v>
      </c>
      <c r="G534" s="9">
        <v>1.0</v>
      </c>
      <c r="H534" s="9" t="s">
        <v>4686</v>
      </c>
      <c r="I534" s="9" t="str">
        <f t="shared" si="1"/>
        <v>Yes</v>
      </c>
      <c r="J534" s="9">
        <f t="shared" si="2"/>
        <v>1</v>
      </c>
      <c r="K534" s="9" t="str">
        <f t="shared" si="3"/>
        <v>NORMAL WEIGHT</v>
      </c>
    </row>
    <row r="535" ht="15.75" customHeight="1">
      <c r="A535" s="9" t="s">
        <v>1069</v>
      </c>
      <c r="B535" s="9">
        <v>49.05</v>
      </c>
      <c r="C535" s="9">
        <v>9.77</v>
      </c>
      <c r="D535" s="9" t="s">
        <v>4686</v>
      </c>
      <c r="E535" s="9" t="s">
        <v>4684</v>
      </c>
      <c r="F535" s="9" t="s">
        <v>4684</v>
      </c>
      <c r="G535" s="9" t="s">
        <v>4685</v>
      </c>
      <c r="H535" s="9" t="s">
        <v>4684</v>
      </c>
      <c r="I535" s="9" t="str">
        <f t="shared" si="1"/>
        <v>No</v>
      </c>
      <c r="J535" s="9">
        <f t="shared" si="2"/>
        <v>0</v>
      </c>
      <c r="K535" s="9" t="str">
        <f t="shared" si="3"/>
        <v>OBESITY</v>
      </c>
    </row>
    <row r="536" ht="15.75" customHeight="1">
      <c r="A536" s="9" t="s">
        <v>1071</v>
      </c>
      <c r="B536" s="9">
        <v>51.94</v>
      </c>
      <c r="C536" s="9">
        <v>8.8</v>
      </c>
      <c r="D536" s="9" t="s">
        <v>4686</v>
      </c>
      <c r="E536" s="9" t="s">
        <v>4684</v>
      </c>
      <c r="F536" s="9" t="s">
        <v>4684</v>
      </c>
      <c r="G536" s="9">
        <v>2.0</v>
      </c>
      <c r="H536" s="9" t="s">
        <v>4684</v>
      </c>
      <c r="I536" s="9" t="str">
        <f t="shared" si="1"/>
        <v>No</v>
      </c>
      <c r="J536" s="9">
        <f t="shared" si="2"/>
        <v>2</v>
      </c>
      <c r="K536" s="9" t="str">
        <f t="shared" si="3"/>
        <v>OBESITY</v>
      </c>
    </row>
    <row r="537" ht="15.75" customHeight="1">
      <c r="A537" s="9" t="s">
        <v>1073</v>
      </c>
      <c r="B537" s="9">
        <v>29.83</v>
      </c>
      <c r="C537" s="9">
        <v>5.84</v>
      </c>
      <c r="D537" s="9" t="s">
        <v>4684</v>
      </c>
      <c r="E537" s="9" t="s">
        <v>4684</v>
      </c>
      <c r="F537" s="9" t="s">
        <v>4684</v>
      </c>
      <c r="G537" s="9">
        <v>1.0</v>
      </c>
      <c r="H537" s="9" t="s">
        <v>4686</v>
      </c>
      <c r="I537" s="9" t="str">
        <f t="shared" si="1"/>
        <v>Yes</v>
      </c>
      <c r="J537" s="9">
        <f t="shared" si="2"/>
        <v>1</v>
      </c>
      <c r="K537" s="9" t="str">
        <f t="shared" si="3"/>
        <v>OVERWEIGHT</v>
      </c>
    </row>
    <row r="538" ht="15.75" customHeight="1">
      <c r="A538" s="9" t="s">
        <v>1075</v>
      </c>
      <c r="B538" s="9">
        <v>22.6</v>
      </c>
      <c r="C538" s="9">
        <v>10.43</v>
      </c>
      <c r="D538" s="9" t="s">
        <v>4686</v>
      </c>
      <c r="E538" s="9" t="s">
        <v>4684</v>
      </c>
      <c r="F538" s="9" t="s">
        <v>4684</v>
      </c>
      <c r="G538" s="9">
        <v>1.0</v>
      </c>
      <c r="H538" s="9" t="s">
        <v>4686</v>
      </c>
      <c r="I538" s="9" t="str">
        <f t="shared" si="1"/>
        <v>Yes</v>
      </c>
      <c r="J538" s="9">
        <f t="shared" si="2"/>
        <v>1</v>
      </c>
      <c r="K538" s="9" t="str">
        <f t="shared" si="3"/>
        <v>NORMAL WEIGHT</v>
      </c>
    </row>
    <row r="539" ht="15.75" customHeight="1">
      <c r="A539" s="9" t="s">
        <v>1077</v>
      </c>
      <c r="B539" s="9">
        <v>46.69</v>
      </c>
      <c r="C539" s="9">
        <v>4.25</v>
      </c>
      <c r="D539" s="9" t="s">
        <v>4686</v>
      </c>
      <c r="E539" s="9" t="s">
        <v>4684</v>
      </c>
      <c r="F539" s="9" t="s">
        <v>4684</v>
      </c>
      <c r="G539" s="9">
        <v>1.0</v>
      </c>
      <c r="H539" s="9" t="s">
        <v>4684</v>
      </c>
      <c r="I539" s="9" t="str">
        <f t="shared" si="1"/>
        <v>No</v>
      </c>
      <c r="J539" s="9">
        <f t="shared" si="2"/>
        <v>1</v>
      </c>
      <c r="K539" s="9" t="str">
        <f t="shared" si="3"/>
        <v>OBESITY</v>
      </c>
    </row>
    <row r="540" ht="15.75" customHeight="1">
      <c r="A540" s="9" t="s">
        <v>1079</v>
      </c>
      <c r="B540" s="9">
        <v>28.49</v>
      </c>
      <c r="C540" s="9">
        <v>4.89</v>
      </c>
      <c r="D540" s="9" t="s">
        <v>4684</v>
      </c>
      <c r="E540" s="9" t="s">
        <v>4684</v>
      </c>
      <c r="F540" s="9" t="s">
        <v>4684</v>
      </c>
      <c r="G540" s="9" t="s">
        <v>4685</v>
      </c>
      <c r="H540" s="9" t="s">
        <v>4686</v>
      </c>
      <c r="I540" s="9" t="str">
        <f t="shared" si="1"/>
        <v>Yes</v>
      </c>
      <c r="J540" s="9">
        <f t="shared" si="2"/>
        <v>0</v>
      </c>
      <c r="K540" s="9" t="str">
        <f t="shared" si="3"/>
        <v>OVERWEIGHT</v>
      </c>
    </row>
    <row r="541" ht="15.75" customHeight="1">
      <c r="A541" s="9" t="s">
        <v>1081</v>
      </c>
      <c r="B541" s="9">
        <v>28.5</v>
      </c>
      <c r="C541" s="9">
        <v>5.55</v>
      </c>
      <c r="D541" s="9" t="s">
        <v>4686</v>
      </c>
      <c r="E541" s="9" t="s">
        <v>4684</v>
      </c>
      <c r="F541" s="9" t="s">
        <v>4684</v>
      </c>
      <c r="G541" s="9">
        <v>1.0</v>
      </c>
      <c r="H541" s="9" t="s">
        <v>4686</v>
      </c>
      <c r="I541" s="9" t="str">
        <f t="shared" si="1"/>
        <v>Yes</v>
      </c>
      <c r="J541" s="9">
        <f t="shared" si="2"/>
        <v>1</v>
      </c>
      <c r="K541" s="9" t="str">
        <f t="shared" si="3"/>
        <v>OVERWEIGHT</v>
      </c>
    </row>
    <row r="542" ht="15.75" customHeight="1">
      <c r="A542" s="9" t="s">
        <v>1083</v>
      </c>
      <c r="B542" s="9">
        <v>24.4</v>
      </c>
      <c r="C542" s="9">
        <v>4.52</v>
      </c>
      <c r="D542" s="9" t="s">
        <v>4684</v>
      </c>
      <c r="E542" s="9" t="s">
        <v>4684</v>
      </c>
      <c r="F542" s="9" t="s">
        <v>4684</v>
      </c>
      <c r="G542" s="9">
        <v>1.0</v>
      </c>
      <c r="H542" s="9" t="s">
        <v>4686</v>
      </c>
      <c r="I542" s="9" t="str">
        <f t="shared" si="1"/>
        <v>Yes</v>
      </c>
      <c r="J542" s="9">
        <f t="shared" si="2"/>
        <v>1</v>
      </c>
      <c r="K542" s="9" t="str">
        <f t="shared" si="3"/>
        <v>NORMAL WEIGHT</v>
      </c>
    </row>
    <row r="543" ht="15.75" customHeight="1">
      <c r="A543" s="9" t="s">
        <v>1085</v>
      </c>
      <c r="B543" s="9">
        <v>29.15</v>
      </c>
      <c r="C543" s="9">
        <v>4.45</v>
      </c>
      <c r="D543" s="9" t="s">
        <v>4686</v>
      </c>
      <c r="E543" s="9" t="s">
        <v>4684</v>
      </c>
      <c r="F543" s="9" t="s">
        <v>4684</v>
      </c>
      <c r="G543" s="9">
        <v>1.0</v>
      </c>
      <c r="H543" s="9" t="s">
        <v>4686</v>
      </c>
      <c r="I543" s="9" t="str">
        <f t="shared" si="1"/>
        <v>Yes</v>
      </c>
      <c r="J543" s="9">
        <f t="shared" si="2"/>
        <v>1</v>
      </c>
      <c r="K543" s="9" t="str">
        <f t="shared" si="3"/>
        <v>OVERWEIGHT</v>
      </c>
    </row>
    <row r="544" ht="15.75" customHeight="1">
      <c r="A544" s="9" t="s">
        <v>1087</v>
      </c>
      <c r="B544" s="9">
        <v>27.28</v>
      </c>
      <c r="C544" s="9">
        <v>4.72</v>
      </c>
      <c r="D544" s="9" t="s">
        <v>4684</v>
      </c>
      <c r="E544" s="9" t="s">
        <v>4686</v>
      </c>
      <c r="F544" s="9" t="s">
        <v>4684</v>
      </c>
      <c r="G544" s="9">
        <v>1.0</v>
      </c>
      <c r="H544" s="9" t="s">
        <v>4686</v>
      </c>
      <c r="I544" s="9" t="str">
        <f t="shared" si="1"/>
        <v>Yes</v>
      </c>
      <c r="J544" s="9">
        <f t="shared" si="2"/>
        <v>1</v>
      </c>
      <c r="K544" s="9" t="str">
        <f t="shared" si="3"/>
        <v>OVERWEIGHT</v>
      </c>
    </row>
    <row r="545" ht="15.75" customHeight="1">
      <c r="A545" s="9" t="s">
        <v>1089</v>
      </c>
      <c r="B545" s="9">
        <v>32.23</v>
      </c>
      <c r="C545" s="9">
        <v>4.65</v>
      </c>
      <c r="D545" s="9" t="s">
        <v>4686</v>
      </c>
      <c r="E545" s="9" t="s">
        <v>4684</v>
      </c>
      <c r="F545" s="9" t="s">
        <v>4686</v>
      </c>
      <c r="G545" s="9">
        <v>1.0</v>
      </c>
      <c r="H545" s="9" t="s">
        <v>4684</v>
      </c>
      <c r="I545" s="9" t="str">
        <f t="shared" si="1"/>
        <v>No</v>
      </c>
      <c r="J545" s="9">
        <f t="shared" si="2"/>
        <v>1</v>
      </c>
      <c r="K545" s="9" t="str">
        <f t="shared" si="3"/>
        <v>OBESITY</v>
      </c>
    </row>
    <row r="546" ht="15.75" customHeight="1">
      <c r="A546" s="9" t="s">
        <v>1091</v>
      </c>
      <c r="B546" s="9">
        <v>44.2</v>
      </c>
      <c r="C546" s="9">
        <v>11.34</v>
      </c>
      <c r="D546" s="9" t="s">
        <v>4686</v>
      </c>
      <c r="E546" s="9" t="s">
        <v>4684</v>
      </c>
      <c r="F546" s="9" t="s">
        <v>4686</v>
      </c>
      <c r="G546" s="9">
        <v>1.0</v>
      </c>
      <c r="H546" s="9" t="s">
        <v>4684</v>
      </c>
      <c r="I546" s="9" t="str">
        <f t="shared" si="1"/>
        <v>No</v>
      </c>
      <c r="J546" s="9">
        <f t="shared" si="2"/>
        <v>1</v>
      </c>
      <c r="K546" s="9" t="str">
        <f t="shared" si="3"/>
        <v>OBESITY</v>
      </c>
    </row>
    <row r="547" ht="15.75" customHeight="1">
      <c r="A547" s="9" t="s">
        <v>1093</v>
      </c>
      <c r="B547" s="9">
        <v>29.735</v>
      </c>
      <c r="C547" s="9">
        <v>4.53</v>
      </c>
      <c r="D547" s="9" t="s">
        <v>4684</v>
      </c>
      <c r="E547" s="9" t="s">
        <v>4684</v>
      </c>
      <c r="F547" s="9" t="s">
        <v>4686</v>
      </c>
      <c r="G547" s="9">
        <v>1.0</v>
      </c>
      <c r="H547" s="9" t="s">
        <v>4684</v>
      </c>
      <c r="I547" s="9" t="str">
        <f t="shared" si="1"/>
        <v>No</v>
      </c>
      <c r="J547" s="9">
        <f t="shared" si="2"/>
        <v>1</v>
      </c>
      <c r="K547" s="9" t="str">
        <f t="shared" si="3"/>
        <v>OVERWEIGHT</v>
      </c>
    </row>
    <row r="548" ht="15.75" customHeight="1">
      <c r="A548" s="9" t="s">
        <v>1095</v>
      </c>
      <c r="B548" s="9">
        <v>28.31</v>
      </c>
      <c r="C548" s="9">
        <v>6.35</v>
      </c>
      <c r="D548" s="9" t="s">
        <v>4684</v>
      </c>
      <c r="E548" s="9" t="s">
        <v>4684</v>
      </c>
      <c r="F548" s="9" t="s">
        <v>4684</v>
      </c>
      <c r="G548" s="9" t="s">
        <v>4685</v>
      </c>
      <c r="H548" s="9" t="s">
        <v>4686</v>
      </c>
      <c r="I548" s="9" t="str">
        <f t="shared" si="1"/>
        <v>Yes</v>
      </c>
      <c r="J548" s="9">
        <f t="shared" si="2"/>
        <v>0</v>
      </c>
      <c r="K548" s="9" t="str">
        <f t="shared" si="3"/>
        <v>OVERWEIGHT</v>
      </c>
    </row>
    <row r="549" ht="15.75" customHeight="1">
      <c r="A549" s="9" t="s">
        <v>1097</v>
      </c>
      <c r="B549" s="9">
        <v>46.62</v>
      </c>
      <c r="C549" s="9">
        <v>8.51</v>
      </c>
      <c r="D549" s="9" t="s">
        <v>4684</v>
      </c>
      <c r="E549" s="9" t="s">
        <v>4684</v>
      </c>
      <c r="F549" s="9" t="s">
        <v>4684</v>
      </c>
      <c r="G549" s="9" t="s">
        <v>4685</v>
      </c>
      <c r="H549" s="9" t="s">
        <v>4684</v>
      </c>
      <c r="I549" s="9" t="str">
        <f t="shared" si="1"/>
        <v>No</v>
      </c>
      <c r="J549" s="9">
        <f t="shared" si="2"/>
        <v>0</v>
      </c>
      <c r="K549" s="9" t="str">
        <f t="shared" si="3"/>
        <v>OBESITY</v>
      </c>
    </row>
    <row r="550" ht="15.75" customHeight="1">
      <c r="A550" s="9" t="s">
        <v>1099</v>
      </c>
      <c r="B550" s="9">
        <v>51.75</v>
      </c>
      <c r="C550" s="9">
        <v>8.59</v>
      </c>
      <c r="D550" s="9" t="s">
        <v>4686</v>
      </c>
      <c r="E550" s="9" t="s">
        <v>4684</v>
      </c>
      <c r="F550" s="9" t="s">
        <v>4684</v>
      </c>
      <c r="G550" s="9">
        <v>1.0</v>
      </c>
      <c r="H550" s="9" t="s">
        <v>4684</v>
      </c>
      <c r="I550" s="9" t="str">
        <f t="shared" si="1"/>
        <v>No</v>
      </c>
      <c r="J550" s="9">
        <f t="shared" si="2"/>
        <v>1</v>
      </c>
      <c r="K550" s="9" t="str">
        <f t="shared" si="3"/>
        <v>OBESITY</v>
      </c>
    </row>
    <row r="551" ht="15.75" customHeight="1">
      <c r="A551" s="9" t="s">
        <v>1101</v>
      </c>
      <c r="B551" s="9">
        <v>25.7</v>
      </c>
      <c r="C551" s="9">
        <v>4.13</v>
      </c>
      <c r="D551" s="9" t="s">
        <v>4686</v>
      </c>
      <c r="E551" s="9" t="s">
        <v>4684</v>
      </c>
      <c r="F551" s="9" t="s">
        <v>4684</v>
      </c>
      <c r="G551" s="9" t="s">
        <v>4685</v>
      </c>
      <c r="H551" s="9" t="s">
        <v>4686</v>
      </c>
      <c r="I551" s="9" t="str">
        <f t="shared" si="1"/>
        <v>Yes</v>
      </c>
      <c r="J551" s="9">
        <f t="shared" si="2"/>
        <v>0</v>
      </c>
      <c r="K551" s="9" t="str">
        <f t="shared" si="3"/>
        <v>OVERWEIGHT</v>
      </c>
    </row>
    <row r="552" ht="15.75" customHeight="1">
      <c r="A552" s="9" t="s">
        <v>1103</v>
      </c>
      <c r="B552" s="9">
        <v>31.79</v>
      </c>
      <c r="C552" s="9">
        <v>4.55</v>
      </c>
      <c r="D552" s="9" t="s">
        <v>4684</v>
      </c>
      <c r="E552" s="9" t="s">
        <v>4684</v>
      </c>
      <c r="F552" s="9" t="s">
        <v>4684</v>
      </c>
      <c r="G552" s="9" t="s">
        <v>4685</v>
      </c>
      <c r="H552" s="9" t="s">
        <v>4684</v>
      </c>
      <c r="I552" s="9" t="str">
        <f t="shared" si="1"/>
        <v>No</v>
      </c>
      <c r="J552" s="9">
        <f t="shared" si="2"/>
        <v>0</v>
      </c>
      <c r="K552" s="9" t="str">
        <f t="shared" si="3"/>
        <v>OBESITY</v>
      </c>
    </row>
    <row r="553" ht="15.75" customHeight="1">
      <c r="A553" s="9" t="s">
        <v>1105</v>
      </c>
      <c r="B553" s="9">
        <v>24.795</v>
      </c>
      <c r="C553" s="9">
        <v>4.52</v>
      </c>
      <c r="D553" s="9" t="s">
        <v>4684</v>
      </c>
      <c r="E553" s="9" t="s">
        <v>4684</v>
      </c>
      <c r="F553" s="9" t="s">
        <v>4684</v>
      </c>
      <c r="G553" s="9" t="s">
        <v>4685</v>
      </c>
      <c r="H553" s="9" t="s">
        <v>4686</v>
      </c>
      <c r="I553" s="9" t="str">
        <f t="shared" si="1"/>
        <v>Yes</v>
      </c>
      <c r="J553" s="9">
        <f t="shared" si="2"/>
        <v>0</v>
      </c>
      <c r="K553" s="9" t="str">
        <f t="shared" si="3"/>
        <v>NORMAL WEIGHT</v>
      </c>
    </row>
    <row r="554" ht="15.75" customHeight="1">
      <c r="A554" s="9" t="s">
        <v>1107</v>
      </c>
      <c r="B554" s="9">
        <v>53.98</v>
      </c>
      <c r="C554" s="9">
        <v>5.07</v>
      </c>
      <c r="D554" s="9" t="s">
        <v>4684</v>
      </c>
      <c r="E554" s="9" t="s">
        <v>4684</v>
      </c>
      <c r="F554" s="9" t="s">
        <v>4686</v>
      </c>
      <c r="G554" s="9">
        <v>1.0</v>
      </c>
      <c r="H554" s="9" t="s">
        <v>4684</v>
      </c>
      <c r="I554" s="9" t="str">
        <f t="shared" si="1"/>
        <v>No</v>
      </c>
      <c r="J554" s="9">
        <f t="shared" si="2"/>
        <v>1</v>
      </c>
      <c r="K554" s="9" t="str">
        <f t="shared" si="3"/>
        <v>OBESITY</v>
      </c>
    </row>
    <row r="555" ht="15.75" customHeight="1">
      <c r="A555" s="9" t="s">
        <v>1109</v>
      </c>
      <c r="B555" s="9">
        <v>41.325</v>
      </c>
      <c r="C555" s="9">
        <v>4.04</v>
      </c>
      <c r="D555" s="9" t="s">
        <v>4686</v>
      </c>
      <c r="E555" s="9" t="s">
        <v>4684</v>
      </c>
      <c r="F555" s="9" t="s">
        <v>4686</v>
      </c>
      <c r="G555" s="9">
        <v>1.0</v>
      </c>
      <c r="H555" s="9" t="s">
        <v>4684</v>
      </c>
      <c r="I555" s="9" t="str">
        <f t="shared" si="1"/>
        <v>No</v>
      </c>
      <c r="J555" s="9">
        <f t="shared" si="2"/>
        <v>1</v>
      </c>
      <c r="K555" s="9" t="str">
        <f t="shared" si="3"/>
        <v>OBESITY</v>
      </c>
    </row>
    <row r="556" ht="15.75" customHeight="1">
      <c r="A556" s="9" t="s">
        <v>1111</v>
      </c>
      <c r="B556" s="9">
        <v>51.65</v>
      </c>
      <c r="C556" s="9">
        <v>5.3</v>
      </c>
      <c r="D556" s="9" t="s">
        <v>4686</v>
      </c>
      <c r="E556" s="9" t="s">
        <v>4684</v>
      </c>
      <c r="F556" s="9" t="s">
        <v>4684</v>
      </c>
      <c r="G556" s="9" t="s">
        <v>4685</v>
      </c>
      <c r="H556" s="9" t="s">
        <v>4684</v>
      </c>
      <c r="I556" s="9" t="str">
        <f t="shared" si="1"/>
        <v>No</v>
      </c>
      <c r="J556" s="9">
        <f t="shared" si="2"/>
        <v>0</v>
      </c>
      <c r="K556" s="9" t="str">
        <f t="shared" si="3"/>
        <v>OBESITY</v>
      </c>
    </row>
    <row r="557" ht="15.75" customHeight="1">
      <c r="A557" s="9" t="s">
        <v>1113</v>
      </c>
      <c r="B557" s="9">
        <v>44.52</v>
      </c>
      <c r="C557" s="9">
        <v>8.64</v>
      </c>
      <c r="D557" s="9" t="s">
        <v>4686</v>
      </c>
      <c r="E557" s="9" t="s">
        <v>4684</v>
      </c>
      <c r="F557" s="9" t="s">
        <v>4686</v>
      </c>
      <c r="G557" s="9">
        <v>1.0</v>
      </c>
      <c r="H557" s="9" t="s">
        <v>4684</v>
      </c>
      <c r="I557" s="9" t="str">
        <f t="shared" si="1"/>
        <v>No</v>
      </c>
      <c r="J557" s="9">
        <f t="shared" si="2"/>
        <v>1</v>
      </c>
      <c r="K557" s="9" t="str">
        <f t="shared" si="3"/>
        <v>OBESITY</v>
      </c>
    </row>
    <row r="558" ht="15.75" customHeight="1">
      <c r="A558" s="9" t="s">
        <v>1115</v>
      </c>
      <c r="B558" s="9">
        <v>53.29</v>
      </c>
      <c r="C558" s="9">
        <v>4.03</v>
      </c>
      <c r="D558" s="9" t="s">
        <v>4684</v>
      </c>
      <c r="E558" s="9" t="s">
        <v>4684</v>
      </c>
      <c r="F558" s="9" t="s">
        <v>4686</v>
      </c>
      <c r="G558" s="9">
        <v>1.0</v>
      </c>
      <c r="H558" s="9" t="s">
        <v>4684</v>
      </c>
      <c r="I558" s="9" t="str">
        <f t="shared" si="1"/>
        <v>No</v>
      </c>
      <c r="J558" s="9">
        <f t="shared" si="2"/>
        <v>1</v>
      </c>
      <c r="K558" s="9" t="str">
        <f t="shared" si="3"/>
        <v>OBESITY</v>
      </c>
    </row>
    <row r="559" ht="15.75" customHeight="1">
      <c r="A559" s="9" t="s">
        <v>1117</v>
      </c>
      <c r="B559" s="9">
        <v>46.63</v>
      </c>
      <c r="C559" s="9">
        <v>4.26</v>
      </c>
      <c r="D559" s="9" t="s">
        <v>4686</v>
      </c>
      <c r="E559" s="9" t="s">
        <v>4684</v>
      </c>
      <c r="F559" s="9" t="s">
        <v>4684</v>
      </c>
      <c r="G559" s="9">
        <v>2.0</v>
      </c>
      <c r="H559" s="9" t="s">
        <v>4684</v>
      </c>
      <c r="I559" s="9" t="str">
        <f t="shared" si="1"/>
        <v>No</v>
      </c>
      <c r="J559" s="9">
        <f t="shared" si="2"/>
        <v>2</v>
      </c>
      <c r="K559" s="9" t="str">
        <f t="shared" si="3"/>
        <v>OBESITY</v>
      </c>
    </row>
    <row r="560" ht="15.75" customHeight="1">
      <c r="A560" s="9" t="s">
        <v>1119</v>
      </c>
      <c r="B560" s="9">
        <v>28.88</v>
      </c>
      <c r="C560" s="9">
        <v>5.35</v>
      </c>
      <c r="D560" s="9" t="s">
        <v>4684</v>
      </c>
      <c r="E560" s="9" t="s">
        <v>4684</v>
      </c>
      <c r="F560" s="9" t="s">
        <v>4686</v>
      </c>
      <c r="G560" s="9">
        <v>1.0</v>
      </c>
      <c r="H560" s="9" t="s">
        <v>4686</v>
      </c>
      <c r="I560" s="9" t="str">
        <f t="shared" si="1"/>
        <v>Yes</v>
      </c>
      <c r="J560" s="9">
        <f t="shared" si="2"/>
        <v>1</v>
      </c>
      <c r="K560" s="9" t="str">
        <f t="shared" si="3"/>
        <v>OVERWEIGHT</v>
      </c>
    </row>
    <row r="561" ht="15.75" customHeight="1">
      <c r="A561" s="9" t="s">
        <v>1121</v>
      </c>
      <c r="B561" s="9">
        <v>23.98</v>
      </c>
      <c r="C561" s="9">
        <v>4.9</v>
      </c>
      <c r="D561" s="9" t="s">
        <v>4684</v>
      </c>
      <c r="E561" s="9" t="s">
        <v>4684</v>
      </c>
      <c r="F561" s="9" t="s">
        <v>4684</v>
      </c>
      <c r="G561" s="9" t="s">
        <v>4685</v>
      </c>
      <c r="H561" s="9" t="s">
        <v>4700</v>
      </c>
      <c r="I561" s="9" t="str">
        <f t="shared" si="1"/>
        <v>Yes</v>
      </c>
      <c r="J561" s="9">
        <f t="shared" si="2"/>
        <v>0</v>
      </c>
      <c r="K561" s="9" t="str">
        <f t="shared" si="3"/>
        <v>NORMAL WEIGHT</v>
      </c>
    </row>
    <row r="562" ht="15.75" customHeight="1">
      <c r="A562" s="9" t="s">
        <v>1123</v>
      </c>
      <c r="B562" s="9">
        <v>23.65</v>
      </c>
      <c r="C562" s="9">
        <v>4.5</v>
      </c>
      <c r="D562" s="9" t="s">
        <v>4684</v>
      </c>
      <c r="E562" s="9" t="s">
        <v>4684</v>
      </c>
      <c r="F562" s="9" t="s">
        <v>4684</v>
      </c>
      <c r="G562" s="9" t="s">
        <v>4685</v>
      </c>
      <c r="H562" s="9" t="s">
        <v>4684</v>
      </c>
      <c r="I562" s="9" t="str">
        <f t="shared" si="1"/>
        <v>No</v>
      </c>
      <c r="J562" s="9">
        <f t="shared" si="2"/>
        <v>0</v>
      </c>
      <c r="K562" s="9" t="str">
        <f t="shared" si="3"/>
        <v>NORMAL WEIGHT</v>
      </c>
    </row>
    <row r="563" ht="15.75" customHeight="1">
      <c r="A563" s="9" t="s">
        <v>1125</v>
      </c>
      <c r="B563" s="9">
        <v>49.09</v>
      </c>
      <c r="C563" s="9">
        <v>8.38</v>
      </c>
      <c r="D563" s="9" t="s">
        <v>4686</v>
      </c>
      <c r="E563" s="9" t="s">
        <v>4684</v>
      </c>
      <c r="F563" s="9" t="s">
        <v>4684</v>
      </c>
      <c r="G563" s="9">
        <v>2.0</v>
      </c>
      <c r="H563" s="9" t="s">
        <v>4684</v>
      </c>
      <c r="I563" s="9" t="str">
        <f t="shared" si="1"/>
        <v>No</v>
      </c>
      <c r="J563" s="9">
        <f t="shared" si="2"/>
        <v>2</v>
      </c>
      <c r="K563" s="9" t="str">
        <f t="shared" si="3"/>
        <v>OBESITY</v>
      </c>
    </row>
    <row r="564" ht="15.75" customHeight="1">
      <c r="A564" s="9" t="s">
        <v>1127</v>
      </c>
      <c r="B564" s="9">
        <v>28.025</v>
      </c>
      <c r="C564" s="9">
        <v>7.03</v>
      </c>
      <c r="D564" s="9" t="s">
        <v>4684</v>
      </c>
      <c r="E564" s="9" t="s">
        <v>4684</v>
      </c>
      <c r="F564" s="9" t="s">
        <v>4684</v>
      </c>
      <c r="G564" s="9" t="s">
        <v>4685</v>
      </c>
      <c r="H564" s="9" t="s">
        <v>4686</v>
      </c>
      <c r="I564" s="9" t="str">
        <f t="shared" si="1"/>
        <v>Yes</v>
      </c>
      <c r="J564" s="9">
        <f t="shared" si="2"/>
        <v>0</v>
      </c>
      <c r="K564" s="9" t="str">
        <f t="shared" si="3"/>
        <v>OVERWEIGHT</v>
      </c>
    </row>
    <row r="565" ht="15.75" customHeight="1">
      <c r="A565" s="9" t="s">
        <v>1129</v>
      </c>
      <c r="B565" s="9">
        <v>43.32</v>
      </c>
      <c r="C565" s="9">
        <v>8.75</v>
      </c>
      <c r="D565" s="9" t="s">
        <v>4686</v>
      </c>
      <c r="E565" s="9" t="s">
        <v>4684</v>
      </c>
      <c r="F565" s="9" t="s">
        <v>4686</v>
      </c>
      <c r="G565" s="9">
        <v>1.0</v>
      </c>
      <c r="H565" s="9" t="s">
        <v>4684</v>
      </c>
      <c r="I565" s="9" t="str">
        <f t="shared" si="1"/>
        <v>No</v>
      </c>
      <c r="J565" s="9">
        <f t="shared" si="2"/>
        <v>1</v>
      </c>
      <c r="K565" s="9" t="str">
        <f t="shared" si="3"/>
        <v>OBESITY</v>
      </c>
    </row>
    <row r="566" ht="15.75" customHeight="1">
      <c r="A566" s="9" t="s">
        <v>1131</v>
      </c>
      <c r="B566" s="9">
        <v>45.92</v>
      </c>
      <c r="C566" s="9">
        <v>9.51</v>
      </c>
      <c r="D566" s="9" t="s">
        <v>4684</v>
      </c>
      <c r="E566" s="9" t="s">
        <v>4684</v>
      </c>
      <c r="F566" s="9" t="s">
        <v>4684</v>
      </c>
      <c r="G566" s="9" t="s">
        <v>4685</v>
      </c>
      <c r="H566" s="9" t="s">
        <v>4684</v>
      </c>
      <c r="I566" s="9" t="str">
        <f t="shared" si="1"/>
        <v>No</v>
      </c>
      <c r="J566" s="9">
        <f t="shared" si="2"/>
        <v>0</v>
      </c>
      <c r="K566" s="9" t="str">
        <f t="shared" si="3"/>
        <v>OBESITY</v>
      </c>
    </row>
    <row r="567" ht="15.75" customHeight="1">
      <c r="A567" s="9" t="s">
        <v>1133</v>
      </c>
      <c r="B567" s="9">
        <v>44.03</v>
      </c>
      <c r="C567" s="9">
        <v>9.36</v>
      </c>
      <c r="D567" s="9" t="s">
        <v>4684</v>
      </c>
      <c r="E567" s="9" t="s">
        <v>4684</v>
      </c>
      <c r="F567" s="9" t="s">
        <v>4684</v>
      </c>
      <c r="G567" s="9" t="s">
        <v>4685</v>
      </c>
      <c r="H567" s="9" t="s">
        <v>4684</v>
      </c>
      <c r="I567" s="9" t="str">
        <f t="shared" si="1"/>
        <v>No</v>
      </c>
      <c r="J567" s="9">
        <f t="shared" si="2"/>
        <v>0</v>
      </c>
      <c r="K567" s="9" t="str">
        <f t="shared" si="3"/>
        <v>OBESITY</v>
      </c>
    </row>
    <row r="568" ht="15.75" customHeight="1">
      <c r="A568" s="9" t="s">
        <v>1135</v>
      </c>
      <c r="B568" s="9">
        <v>24.6</v>
      </c>
      <c r="C568" s="9">
        <v>4.81</v>
      </c>
      <c r="D568" s="9" t="s">
        <v>4684</v>
      </c>
      <c r="E568" s="9" t="s">
        <v>4684</v>
      </c>
      <c r="F568" s="9" t="s">
        <v>4684</v>
      </c>
      <c r="G568" s="9" t="s">
        <v>4685</v>
      </c>
      <c r="H568" s="9" t="s">
        <v>4686</v>
      </c>
      <c r="I568" s="9" t="str">
        <f t="shared" si="1"/>
        <v>Yes</v>
      </c>
      <c r="J568" s="9">
        <f t="shared" si="2"/>
        <v>0</v>
      </c>
      <c r="K568" s="9" t="str">
        <f t="shared" si="3"/>
        <v>NORMAL WEIGHT</v>
      </c>
    </row>
    <row r="569" ht="15.75" customHeight="1">
      <c r="A569" s="9" t="s">
        <v>1137</v>
      </c>
      <c r="B569" s="9">
        <v>49.15</v>
      </c>
      <c r="C569" s="9">
        <v>8.08</v>
      </c>
      <c r="D569" s="9" t="s">
        <v>4684</v>
      </c>
      <c r="E569" s="9" t="s">
        <v>4684</v>
      </c>
      <c r="F569" s="9" t="s">
        <v>4684</v>
      </c>
      <c r="G569" s="9" t="s">
        <v>4685</v>
      </c>
      <c r="H569" s="9" t="s">
        <v>4684</v>
      </c>
      <c r="I569" s="9" t="str">
        <f t="shared" si="1"/>
        <v>No</v>
      </c>
      <c r="J569" s="9">
        <f t="shared" si="2"/>
        <v>0</v>
      </c>
      <c r="K569" s="9" t="str">
        <f t="shared" si="3"/>
        <v>OBESITY</v>
      </c>
    </row>
    <row r="570" ht="15.75" customHeight="1">
      <c r="A570" s="9" t="s">
        <v>1139</v>
      </c>
      <c r="B570" s="9">
        <v>28.31</v>
      </c>
      <c r="C570" s="9">
        <v>6.29</v>
      </c>
      <c r="D570" s="9" t="s">
        <v>4684</v>
      </c>
      <c r="E570" s="9" t="s">
        <v>4684</v>
      </c>
      <c r="F570" s="9" t="s">
        <v>4686</v>
      </c>
      <c r="G570" s="9">
        <v>1.0</v>
      </c>
      <c r="H570" s="9" t="s">
        <v>4686</v>
      </c>
      <c r="I570" s="9" t="str">
        <f t="shared" si="1"/>
        <v>Yes</v>
      </c>
      <c r="J570" s="9">
        <f t="shared" si="2"/>
        <v>1</v>
      </c>
      <c r="K570" s="9" t="str">
        <f t="shared" si="3"/>
        <v>OVERWEIGHT</v>
      </c>
    </row>
    <row r="571" ht="15.75" customHeight="1">
      <c r="A571" s="9" t="s">
        <v>1141</v>
      </c>
      <c r="B571" s="9">
        <v>22.99</v>
      </c>
      <c r="C571" s="9">
        <v>6.29</v>
      </c>
      <c r="D571" s="9" t="s">
        <v>4684</v>
      </c>
      <c r="E571" s="9" t="s">
        <v>4684</v>
      </c>
      <c r="F571" s="9" t="s">
        <v>4684</v>
      </c>
      <c r="G571" s="9">
        <v>1.0</v>
      </c>
      <c r="H571" s="9" t="s">
        <v>4686</v>
      </c>
      <c r="I571" s="9" t="str">
        <f t="shared" si="1"/>
        <v>Yes</v>
      </c>
      <c r="J571" s="9">
        <f t="shared" si="2"/>
        <v>1</v>
      </c>
      <c r="K571" s="9" t="str">
        <f t="shared" si="3"/>
        <v>NORMAL WEIGHT</v>
      </c>
    </row>
    <row r="572" ht="15.75" customHeight="1">
      <c r="A572" s="9" t="s">
        <v>1143</v>
      </c>
      <c r="B572" s="9">
        <v>29.07</v>
      </c>
      <c r="C572" s="9">
        <v>5.12</v>
      </c>
      <c r="D572" s="9" t="s">
        <v>4684</v>
      </c>
      <c r="E572" s="9" t="s">
        <v>4684</v>
      </c>
      <c r="F572" s="9" t="s">
        <v>4686</v>
      </c>
      <c r="G572" s="9">
        <v>1.0</v>
      </c>
      <c r="H572" s="9" t="s">
        <v>4686</v>
      </c>
      <c r="I572" s="9" t="str">
        <f t="shared" si="1"/>
        <v>Yes</v>
      </c>
      <c r="J572" s="9">
        <f t="shared" si="2"/>
        <v>1</v>
      </c>
      <c r="K572" s="9" t="str">
        <f t="shared" si="3"/>
        <v>OVERWEIGHT</v>
      </c>
    </row>
    <row r="573" ht="15.75" customHeight="1">
      <c r="A573" s="9" t="s">
        <v>1145</v>
      </c>
      <c r="B573" s="9">
        <v>42.02</v>
      </c>
      <c r="C573" s="9">
        <v>9.95</v>
      </c>
      <c r="D573" s="9" t="s">
        <v>4686</v>
      </c>
      <c r="E573" s="9" t="s">
        <v>4684</v>
      </c>
      <c r="F573" s="9" t="s">
        <v>4686</v>
      </c>
      <c r="G573" s="9">
        <v>1.0</v>
      </c>
      <c r="H573" s="9" t="s">
        <v>4684</v>
      </c>
      <c r="I573" s="9" t="str">
        <f t="shared" si="1"/>
        <v>No</v>
      </c>
      <c r="J573" s="9">
        <f t="shared" si="2"/>
        <v>1</v>
      </c>
      <c r="K573" s="9" t="str">
        <f t="shared" si="3"/>
        <v>OBESITY</v>
      </c>
    </row>
    <row r="574" ht="15.75" customHeight="1">
      <c r="A574" s="9" t="s">
        <v>1147</v>
      </c>
      <c r="B574" s="9">
        <v>49.07</v>
      </c>
      <c r="C574" s="9">
        <v>9.08</v>
      </c>
      <c r="D574" s="9" t="s">
        <v>4686</v>
      </c>
      <c r="E574" s="9" t="s">
        <v>4684</v>
      </c>
      <c r="F574" s="9" t="s">
        <v>4684</v>
      </c>
      <c r="G574" s="9">
        <v>1.0</v>
      </c>
      <c r="H574" s="9" t="s">
        <v>4684</v>
      </c>
      <c r="I574" s="9" t="str">
        <f t="shared" si="1"/>
        <v>No</v>
      </c>
      <c r="J574" s="9">
        <f t="shared" si="2"/>
        <v>1</v>
      </c>
      <c r="K574" s="9" t="str">
        <f t="shared" si="3"/>
        <v>OBESITY</v>
      </c>
    </row>
    <row r="575" ht="15.75" customHeight="1">
      <c r="A575" s="9" t="s">
        <v>1149</v>
      </c>
      <c r="B575" s="9">
        <v>19.8</v>
      </c>
      <c r="C575" s="9">
        <v>4.82</v>
      </c>
      <c r="D575" s="9" t="s">
        <v>4684</v>
      </c>
      <c r="E575" s="9" t="s">
        <v>4684</v>
      </c>
      <c r="F575" s="9" t="s">
        <v>4684</v>
      </c>
      <c r="G575" s="9" t="s">
        <v>4685</v>
      </c>
      <c r="H575" s="9" t="s">
        <v>4686</v>
      </c>
      <c r="I575" s="9" t="str">
        <f t="shared" si="1"/>
        <v>Yes</v>
      </c>
      <c r="J575" s="9">
        <f t="shared" si="2"/>
        <v>0</v>
      </c>
      <c r="K575" s="9" t="str">
        <f t="shared" si="3"/>
        <v>NORMAL WEIGHT</v>
      </c>
    </row>
    <row r="576" ht="15.75" customHeight="1">
      <c r="A576" s="9" t="s">
        <v>1151</v>
      </c>
      <c r="B576" s="9">
        <v>27.36</v>
      </c>
      <c r="C576" s="9">
        <v>4.65</v>
      </c>
      <c r="D576" s="9" t="s">
        <v>4684</v>
      </c>
      <c r="E576" s="9" t="s">
        <v>4686</v>
      </c>
      <c r="F576" s="9" t="s">
        <v>4684</v>
      </c>
      <c r="G576" s="9">
        <v>1.0</v>
      </c>
      <c r="H576" s="9" t="s">
        <v>4686</v>
      </c>
      <c r="I576" s="9" t="str">
        <f t="shared" si="1"/>
        <v>Yes</v>
      </c>
      <c r="J576" s="9">
        <f t="shared" si="2"/>
        <v>1</v>
      </c>
      <c r="K576" s="9" t="str">
        <f t="shared" si="3"/>
        <v>OVERWEIGHT</v>
      </c>
    </row>
    <row r="577" ht="15.75" customHeight="1">
      <c r="A577" s="9" t="s">
        <v>1153</v>
      </c>
      <c r="B577" s="9">
        <v>42.95</v>
      </c>
      <c r="C577" s="9">
        <v>5.16</v>
      </c>
      <c r="D577" s="9" t="s">
        <v>4686</v>
      </c>
      <c r="E577" s="9" t="s">
        <v>4684</v>
      </c>
      <c r="F577" s="9" t="s">
        <v>4684</v>
      </c>
      <c r="G577" s="9">
        <v>1.0</v>
      </c>
      <c r="H577" s="9" t="s">
        <v>4684</v>
      </c>
      <c r="I577" s="9" t="str">
        <f t="shared" si="1"/>
        <v>No</v>
      </c>
      <c r="J577" s="9">
        <f t="shared" si="2"/>
        <v>1</v>
      </c>
      <c r="K577" s="9" t="str">
        <f t="shared" si="3"/>
        <v>OBESITY</v>
      </c>
    </row>
    <row r="578" ht="15.75" customHeight="1">
      <c r="A578" s="9" t="s">
        <v>1155</v>
      </c>
      <c r="B578" s="9">
        <v>42.66</v>
      </c>
      <c r="C578" s="9">
        <v>10.44</v>
      </c>
      <c r="D578" s="9" t="s">
        <v>4684</v>
      </c>
      <c r="E578" s="9" t="s">
        <v>4684</v>
      </c>
      <c r="F578" s="9" t="s">
        <v>4684</v>
      </c>
      <c r="G578" s="9" t="s">
        <v>4685</v>
      </c>
      <c r="H578" s="9" t="s">
        <v>4684</v>
      </c>
      <c r="I578" s="9" t="str">
        <f t="shared" si="1"/>
        <v>No</v>
      </c>
      <c r="J578" s="9">
        <f t="shared" si="2"/>
        <v>0</v>
      </c>
      <c r="K578" s="9" t="str">
        <f t="shared" si="3"/>
        <v>OBESITY</v>
      </c>
    </row>
    <row r="579" ht="15.75" customHeight="1">
      <c r="A579" s="9" t="s">
        <v>1157</v>
      </c>
      <c r="B579" s="9">
        <v>33.63</v>
      </c>
      <c r="C579" s="9">
        <v>5.69</v>
      </c>
      <c r="D579" s="9" t="s">
        <v>4684</v>
      </c>
      <c r="E579" s="9" t="s">
        <v>4684</v>
      </c>
      <c r="F579" s="9" t="s">
        <v>4684</v>
      </c>
      <c r="G579" s="9">
        <v>1.0</v>
      </c>
      <c r="H579" s="9" t="s">
        <v>4684</v>
      </c>
      <c r="I579" s="9" t="str">
        <f t="shared" si="1"/>
        <v>No</v>
      </c>
      <c r="J579" s="9">
        <f t="shared" si="2"/>
        <v>1</v>
      </c>
      <c r="K579" s="9" t="str">
        <f t="shared" si="3"/>
        <v>OBESITY</v>
      </c>
    </row>
    <row r="580" ht="15.75" customHeight="1">
      <c r="A580" s="9" t="s">
        <v>1159</v>
      </c>
      <c r="B580" s="9">
        <v>26.84</v>
      </c>
      <c r="C580" s="9">
        <v>6.5</v>
      </c>
      <c r="D580" s="9" t="s">
        <v>4684</v>
      </c>
      <c r="E580" s="9" t="s">
        <v>4684</v>
      </c>
      <c r="F580" s="9" t="s">
        <v>4684</v>
      </c>
      <c r="G580" s="9" t="s">
        <v>4685</v>
      </c>
      <c r="H580" s="9" t="s">
        <v>4686</v>
      </c>
      <c r="I580" s="9" t="str">
        <f t="shared" si="1"/>
        <v>Yes</v>
      </c>
      <c r="J580" s="9">
        <f t="shared" si="2"/>
        <v>0</v>
      </c>
      <c r="K580" s="9" t="str">
        <f t="shared" si="3"/>
        <v>OVERWEIGHT</v>
      </c>
    </row>
    <row r="581" ht="15.75" customHeight="1">
      <c r="A581" s="9" t="s">
        <v>1161</v>
      </c>
      <c r="B581" s="9">
        <v>28.3</v>
      </c>
      <c r="C581" s="9">
        <v>5.73</v>
      </c>
      <c r="D581" s="9" t="s">
        <v>4684</v>
      </c>
      <c r="E581" s="9" t="s">
        <v>4684</v>
      </c>
      <c r="F581" s="9" t="s">
        <v>4686</v>
      </c>
      <c r="G581" s="9">
        <v>1.0</v>
      </c>
      <c r="H581" s="9" t="s">
        <v>4686</v>
      </c>
      <c r="I581" s="9" t="str">
        <f t="shared" si="1"/>
        <v>Yes</v>
      </c>
      <c r="J581" s="9">
        <f t="shared" si="2"/>
        <v>1</v>
      </c>
      <c r="K581" s="9" t="str">
        <f t="shared" si="3"/>
        <v>OVERWEIGHT</v>
      </c>
    </row>
    <row r="582" ht="15.75" customHeight="1">
      <c r="A582" s="9" t="s">
        <v>1163</v>
      </c>
      <c r="B582" s="9">
        <v>27.06</v>
      </c>
      <c r="C582" s="9">
        <v>5.74</v>
      </c>
      <c r="D582" s="9" t="s">
        <v>4686</v>
      </c>
      <c r="E582" s="9" t="s">
        <v>4684</v>
      </c>
      <c r="F582" s="9" t="s">
        <v>4684</v>
      </c>
      <c r="G582" s="9" t="s">
        <v>4685</v>
      </c>
      <c r="H582" s="9" t="s">
        <v>4686</v>
      </c>
      <c r="I582" s="9" t="str">
        <f t="shared" si="1"/>
        <v>Yes</v>
      </c>
      <c r="J582" s="9">
        <f t="shared" si="2"/>
        <v>0</v>
      </c>
      <c r="K582" s="9" t="str">
        <f t="shared" si="3"/>
        <v>OVERWEIGHT</v>
      </c>
    </row>
    <row r="583" ht="15.75" customHeight="1">
      <c r="A583" s="9" t="s">
        <v>1165</v>
      </c>
      <c r="B583" s="9">
        <v>47.13</v>
      </c>
      <c r="C583" s="9">
        <v>8.7</v>
      </c>
      <c r="D583" s="9" t="s">
        <v>4684</v>
      </c>
      <c r="E583" s="9" t="s">
        <v>4684</v>
      </c>
      <c r="F583" s="9" t="s">
        <v>4684</v>
      </c>
      <c r="G583" s="9" t="s">
        <v>4685</v>
      </c>
      <c r="H583" s="9" t="s">
        <v>4684</v>
      </c>
      <c r="I583" s="9" t="str">
        <f t="shared" si="1"/>
        <v>No</v>
      </c>
      <c r="J583" s="9">
        <f t="shared" si="2"/>
        <v>0</v>
      </c>
      <c r="K583" s="9" t="str">
        <f t="shared" si="3"/>
        <v>OBESITY</v>
      </c>
    </row>
    <row r="584" ht="15.75" customHeight="1">
      <c r="A584" s="9" t="s">
        <v>1167</v>
      </c>
      <c r="B584" s="9">
        <v>51.72</v>
      </c>
      <c r="C584" s="9">
        <v>5.09</v>
      </c>
      <c r="D584" s="9" t="s">
        <v>4684</v>
      </c>
      <c r="E584" s="9" t="s">
        <v>4684</v>
      </c>
      <c r="F584" s="9" t="s">
        <v>4684</v>
      </c>
      <c r="G584" s="9" t="s">
        <v>4685</v>
      </c>
      <c r="H584" s="9" t="s">
        <v>4684</v>
      </c>
      <c r="I584" s="9" t="str">
        <f t="shared" si="1"/>
        <v>No</v>
      </c>
      <c r="J584" s="9">
        <f t="shared" si="2"/>
        <v>0</v>
      </c>
      <c r="K584" s="9" t="str">
        <f t="shared" si="3"/>
        <v>OBESITY</v>
      </c>
    </row>
    <row r="585" ht="15.75" customHeight="1">
      <c r="A585" s="9" t="s">
        <v>1169</v>
      </c>
      <c r="B585" s="9">
        <v>48.59</v>
      </c>
      <c r="C585" s="9">
        <v>5.57</v>
      </c>
      <c r="D585" s="9" t="s">
        <v>4684</v>
      </c>
      <c r="E585" s="9" t="s">
        <v>4684</v>
      </c>
      <c r="F585" s="9" t="s">
        <v>4684</v>
      </c>
      <c r="G585" s="9" t="s">
        <v>4685</v>
      </c>
      <c r="H585" s="9" t="s">
        <v>4684</v>
      </c>
      <c r="I585" s="9" t="str">
        <f t="shared" si="1"/>
        <v>No</v>
      </c>
      <c r="J585" s="9">
        <f t="shared" si="2"/>
        <v>0</v>
      </c>
      <c r="K585" s="9" t="str">
        <f t="shared" si="3"/>
        <v>OBESITY</v>
      </c>
    </row>
    <row r="586" ht="15.75" customHeight="1">
      <c r="A586" s="9" t="s">
        <v>1171</v>
      </c>
      <c r="B586" s="9">
        <v>45.18</v>
      </c>
      <c r="C586" s="9">
        <v>10.87</v>
      </c>
      <c r="D586" s="9" t="s">
        <v>4684</v>
      </c>
      <c r="E586" s="9" t="s">
        <v>4684</v>
      </c>
      <c r="F586" s="9" t="s">
        <v>4684</v>
      </c>
      <c r="G586" s="9" t="s">
        <v>4685</v>
      </c>
      <c r="H586" s="9" t="s">
        <v>4684</v>
      </c>
      <c r="I586" s="9" t="str">
        <f t="shared" si="1"/>
        <v>No</v>
      </c>
      <c r="J586" s="9">
        <f t="shared" si="2"/>
        <v>0</v>
      </c>
      <c r="K586" s="9" t="str">
        <f t="shared" si="3"/>
        <v>OBESITY</v>
      </c>
    </row>
    <row r="587" ht="15.75" customHeight="1">
      <c r="A587" s="9" t="s">
        <v>1173</v>
      </c>
      <c r="B587" s="9">
        <v>27.9</v>
      </c>
      <c r="C587" s="9">
        <v>6.02</v>
      </c>
      <c r="D587" s="9" t="s">
        <v>4684</v>
      </c>
      <c r="E587" s="9" t="s">
        <v>4684</v>
      </c>
      <c r="F587" s="9" t="s">
        <v>4686</v>
      </c>
      <c r="G587" s="9">
        <v>1.0</v>
      </c>
      <c r="H587" s="9" t="s">
        <v>4686</v>
      </c>
      <c r="I587" s="9" t="str">
        <f t="shared" si="1"/>
        <v>Yes</v>
      </c>
      <c r="J587" s="9">
        <f t="shared" si="2"/>
        <v>1</v>
      </c>
      <c r="K587" s="9" t="str">
        <f t="shared" si="3"/>
        <v>OVERWEIGHT</v>
      </c>
    </row>
    <row r="588" ht="15.75" customHeight="1">
      <c r="A588" s="9" t="s">
        <v>1175</v>
      </c>
      <c r="B588" s="9">
        <v>51.33</v>
      </c>
      <c r="C588" s="9">
        <v>7.0</v>
      </c>
      <c r="D588" s="9" t="s">
        <v>4684</v>
      </c>
      <c r="E588" s="9" t="s">
        <v>4684</v>
      </c>
      <c r="F588" s="9" t="s">
        <v>4684</v>
      </c>
      <c r="G588" s="9" t="s">
        <v>4685</v>
      </c>
      <c r="H588" s="9" t="s">
        <v>4684</v>
      </c>
      <c r="I588" s="9" t="str">
        <f t="shared" si="1"/>
        <v>No</v>
      </c>
      <c r="J588" s="9">
        <f t="shared" si="2"/>
        <v>0</v>
      </c>
      <c r="K588" s="9" t="str">
        <f t="shared" si="3"/>
        <v>OBESITY</v>
      </c>
    </row>
    <row r="589" ht="15.75" customHeight="1">
      <c r="A589" s="9" t="s">
        <v>1177</v>
      </c>
      <c r="B589" s="9">
        <v>30.59</v>
      </c>
      <c r="C589" s="9">
        <v>5.56</v>
      </c>
      <c r="D589" s="9" t="s">
        <v>4686</v>
      </c>
      <c r="E589" s="9" t="s">
        <v>4684</v>
      </c>
      <c r="F589" s="9" t="s">
        <v>4684</v>
      </c>
      <c r="G589" s="9">
        <v>1.0</v>
      </c>
      <c r="H589" s="9" t="s">
        <v>4684</v>
      </c>
      <c r="I589" s="9" t="str">
        <f t="shared" si="1"/>
        <v>No</v>
      </c>
      <c r="J589" s="9">
        <f t="shared" si="2"/>
        <v>1</v>
      </c>
      <c r="K589" s="9" t="str">
        <f t="shared" si="3"/>
        <v>OBESITY</v>
      </c>
    </row>
    <row r="590" ht="15.75" customHeight="1">
      <c r="A590" s="9" t="s">
        <v>1179</v>
      </c>
      <c r="B590" s="9">
        <v>39.23</v>
      </c>
      <c r="C590" s="9">
        <v>8.45</v>
      </c>
      <c r="D590" s="9" t="s">
        <v>4684</v>
      </c>
      <c r="E590" s="9" t="s">
        <v>4684</v>
      </c>
      <c r="F590" s="9" t="s">
        <v>4684</v>
      </c>
      <c r="G590" s="9" t="s">
        <v>4685</v>
      </c>
      <c r="H590" s="9" t="s">
        <v>4684</v>
      </c>
      <c r="I590" s="9" t="str">
        <f t="shared" si="1"/>
        <v>No</v>
      </c>
      <c r="J590" s="9">
        <f t="shared" si="2"/>
        <v>0</v>
      </c>
      <c r="K590" s="9" t="str">
        <f t="shared" si="3"/>
        <v>OBESITY</v>
      </c>
    </row>
    <row r="591" ht="15.75" customHeight="1">
      <c r="A591" s="9" t="s">
        <v>1181</v>
      </c>
      <c r="B591" s="9">
        <v>19.095</v>
      </c>
      <c r="C591" s="9">
        <v>6.19</v>
      </c>
      <c r="D591" s="9" t="s">
        <v>4684</v>
      </c>
      <c r="E591" s="9" t="s">
        <v>4684</v>
      </c>
      <c r="F591" s="9" t="s">
        <v>4684</v>
      </c>
      <c r="G591" s="9" t="s">
        <v>4685</v>
      </c>
      <c r="H591" s="9" t="s">
        <v>4686</v>
      </c>
      <c r="I591" s="9" t="str">
        <f t="shared" si="1"/>
        <v>Yes</v>
      </c>
      <c r="J591" s="9">
        <f t="shared" si="2"/>
        <v>0</v>
      </c>
      <c r="K591" s="9" t="str">
        <f t="shared" si="3"/>
        <v>NORMAL WEIGHT</v>
      </c>
    </row>
    <row r="592" ht="15.75" customHeight="1">
      <c r="A592" s="9" t="s">
        <v>1183</v>
      </c>
      <c r="B592" s="9">
        <v>49.72</v>
      </c>
      <c r="C592" s="9">
        <v>7.71</v>
      </c>
      <c r="D592" s="9" t="s">
        <v>4684</v>
      </c>
      <c r="E592" s="9" t="s">
        <v>4684</v>
      </c>
      <c r="F592" s="9" t="s">
        <v>4684</v>
      </c>
      <c r="G592" s="9" t="s">
        <v>4685</v>
      </c>
      <c r="H592" s="9" t="s">
        <v>4684</v>
      </c>
      <c r="I592" s="9" t="str">
        <f t="shared" si="1"/>
        <v>No</v>
      </c>
      <c r="J592" s="9">
        <f t="shared" si="2"/>
        <v>0</v>
      </c>
      <c r="K592" s="9" t="str">
        <f t="shared" si="3"/>
        <v>OBESITY</v>
      </c>
    </row>
    <row r="593" ht="15.75" customHeight="1">
      <c r="A593" s="9" t="s">
        <v>1185</v>
      </c>
      <c r="B593" s="9">
        <v>21.755</v>
      </c>
      <c r="C593" s="9">
        <v>4.63</v>
      </c>
      <c r="D593" s="9" t="s">
        <v>4684</v>
      </c>
      <c r="E593" s="9" t="s">
        <v>4684</v>
      </c>
      <c r="F593" s="9" t="s">
        <v>4686</v>
      </c>
      <c r="G593" s="9">
        <v>1.0</v>
      </c>
      <c r="H593" s="9" t="s">
        <v>4686</v>
      </c>
      <c r="I593" s="9" t="str">
        <f t="shared" si="1"/>
        <v>Yes</v>
      </c>
      <c r="J593" s="9">
        <f t="shared" si="2"/>
        <v>1</v>
      </c>
      <c r="K593" s="9" t="str">
        <f t="shared" si="3"/>
        <v>NORMAL WEIGHT</v>
      </c>
    </row>
    <row r="594" ht="15.75" customHeight="1">
      <c r="A594" s="9" t="s">
        <v>1187</v>
      </c>
      <c r="B594" s="9">
        <v>48.39</v>
      </c>
      <c r="C594" s="9">
        <v>4.61</v>
      </c>
      <c r="D594" s="9" t="s">
        <v>4684</v>
      </c>
      <c r="E594" s="9" t="s">
        <v>4684</v>
      </c>
      <c r="F594" s="9" t="s">
        <v>4684</v>
      </c>
      <c r="G594" s="9" t="s">
        <v>4685</v>
      </c>
      <c r="H594" s="9" t="s">
        <v>4684</v>
      </c>
      <c r="I594" s="9" t="str">
        <f t="shared" si="1"/>
        <v>No</v>
      </c>
      <c r="J594" s="9">
        <f t="shared" si="2"/>
        <v>0</v>
      </c>
      <c r="K594" s="9" t="str">
        <f t="shared" si="3"/>
        <v>OBESITY</v>
      </c>
    </row>
    <row r="595" ht="15.75" customHeight="1">
      <c r="A595" s="9" t="s">
        <v>1189</v>
      </c>
      <c r="B595" s="9">
        <v>47.15</v>
      </c>
      <c r="C595" s="9">
        <v>9.53</v>
      </c>
      <c r="D595" s="9" t="s">
        <v>4686</v>
      </c>
      <c r="E595" s="9" t="s">
        <v>4684</v>
      </c>
      <c r="F595" s="9" t="s">
        <v>4684</v>
      </c>
      <c r="G595" s="9">
        <v>1.0</v>
      </c>
      <c r="H595" s="9" t="s">
        <v>4684</v>
      </c>
      <c r="I595" s="9" t="str">
        <f t="shared" si="1"/>
        <v>No</v>
      </c>
      <c r="J595" s="9">
        <f t="shared" si="2"/>
        <v>1</v>
      </c>
      <c r="K595" s="9" t="str">
        <f t="shared" si="3"/>
        <v>OBESITY</v>
      </c>
    </row>
    <row r="596" ht="15.75" customHeight="1">
      <c r="A596" s="9" t="s">
        <v>1191</v>
      </c>
      <c r="B596" s="9">
        <v>47.59</v>
      </c>
      <c r="C596" s="9">
        <v>11.43</v>
      </c>
      <c r="D596" s="9" t="s">
        <v>4686</v>
      </c>
      <c r="E596" s="9" t="s">
        <v>4684</v>
      </c>
      <c r="F596" s="9" t="s">
        <v>4684</v>
      </c>
      <c r="G596" s="9">
        <v>2.0</v>
      </c>
      <c r="H596" s="9" t="s">
        <v>4684</v>
      </c>
      <c r="I596" s="9" t="str">
        <f t="shared" si="1"/>
        <v>No</v>
      </c>
      <c r="J596" s="9">
        <f t="shared" si="2"/>
        <v>2</v>
      </c>
      <c r="K596" s="9" t="str">
        <f t="shared" si="3"/>
        <v>OBESITY</v>
      </c>
    </row>
    <row r="597" ht="15.75" customHeight="1">
      <c r="A597" s="9" t="s">
        <v>1193</v>
      </c>
      <c r="B597" s="9">
        <v>39.81</v>
      </c>
      <c r="C597" s="9">
        <v>7.65</v>
      </c>
      <c r="D597" s="9" t="s">
        <v>4686</v>
      </c>
      <c r="E597" s="9" t="s">
        <v>4684</v>
      </c>
      <c r="F597" s="9" t="s">
        <v>4686</v>
      </c>
      <c r="G597" s="9">
        <v>1.0</v>
      </c>
      <c r="H597" s="9" t="s">
        <v>4684</v>
      </c>
      <c r="I597" s="9" t="str">
        <f t="shared" si="1"/>
        <v>No</v>
      </c>
      <c r="J597" s="9">
        <f t="shared" si="2"/>
        <v>1</v>
      </c>
      <c r="K597" s="9" t="str">
        <f t="shared" si="3"/>
        <v>OBESITY</v>
      </c>
    </row>
    <row r="598" ht="15.75" customHeight="1">
      <c r="A598" s="9" t="s">
        <v>1195</v>
      </c>
      <c r="B598" s="9">
        <v>31.02</v>
      </c>
      <c r="C598" s="9">
        <v>5.87</v>
      </c>
      <c r="D598" s="9" t="s">
        <v>4686</v>
      </c>
      <c r="E598" s="9" t="s">
        <v>4684</v>
      </c>
      <c r="F598" s="9" t="s">
        <v>4684</v>
      </c>
      <c r="G598" s="9" t="s">
        <v>4685</v>
      </c>
      <c r="H598" s="9" t="s">
        <v>4684</v>
      </c>
      <c r="I598" s="9" t="str">
        <f t="shared" si="1"/>
        <v>No</v>
      </c>
      <c r="J598" s="9">
        <f t="shared" si="2"/>
        <v>0</v>
      </c>
      <c r="K598" s="9" t="str">
        <f t="shared" si="3"/>
        <v>OBESITY</v>
      </c>
    </row>
    <row r="599" ht="15.75" customHeight="1">
      <c r="A599" s="9" t="s">
        <v>1197</v>
      </c>
      <c r="B599" s="9">
        <v>24.75</v>
      </c>
      <c r="C599" s="9">
        <v>4.36</v>
      </c>
      <c r="D599" s="9" t="s">
        <v>4686</v>
      </c>
      <c r="E599" s="9" t="s">
        <v>4684</v>
      </c>
      <c r="F599" s="9" t="s">
        <v>4684</v>
      </c>
      <c r="G599" s="9">
        <v>1.0</v>
      </c>
      <c r="H599" s="9" t="s">
        <v>4686</v>
      </c>
      <c r="I599" s="9" t="str">
        <f t="shared" si="1"/>
        <v>Yes</v>
      </c>
      <c r="J599" s="9">
        <f t="shared" si="2"/>
        <v>1</v>
      </c>
      <c r="K599" s="9" t="str">
        <f t="shared" si="3"/>
        <v>NORMAL WEIGHT</v>
      </c>
    </row>
    <row r="600" ht="15.75" customHeight="1">
      <c r="A600" s="9" t="s">
        <v>1199</v>
      </c>
      <c r="B600" s="9">
        <v>30.115</v>
      </c>
      <c r="C600" s="9">
        <v>10.12</v>
      </c>
      <c r="D600" s="9" t="s">
        <v>4684</v>
      </c>
      <c r="E600" s="9" t="s">
        <v>4684</v>
      </c>
      <c r="F600" s="9" t="s">
        <v>4684</v>
      </c>
      <c r="G600" s="9">
        <v>3.0</v>
      </c>
      <c r="H600" s="9" t="s">
        <v>4684</v>
      </c>
      <c r="I600" s="9" t="str">
        <f t="shared" si="1"/>
        <v>No</v>
      </c>
      <c r="J600" s="9">
        <f t="shared" si="2"/>
        <v>3</v>
      </c>
      <c r="K600" s="9" t="str">
        <f t="shared" si="3"/>
        <v>OBESITY</v>
      </c>
    </row>
    <row r="601" ht="15.75" customHeight="1">
      <c r="A601" s="9" t="s">
        <v>1201</v>
      </c>
      <c r="B601" s="9">
        <v>26.03</v>
      </c>
      <c r="C601" s="9">
        <v>4.01</v>
      </c>
      <c r="D601" s="9" t="s">
        <v>4684</v>
      </c>
      <c r="E601" s="9" t="s">
        <v>4684</v>
      </c>
      <c r="F601" s="9" t="s">
        <v>4686</v>
      </c>
      <c r="G601" s="9">
        <v>1.0</v>
      </c>
      <c r="H601" s="9" t="s">
        <v>4686</v>
      </c>
      <c r="I601" s="9" t="str">
        <f t="shared" si="1"/>
        <v>Yes</v>
      </c>
      <c r="J601" s="9">
        <f t="shared" si="2"/>
        <v>1</v>
      </c>
      <c r="K601" s="9" t="str">
        <f t="shared" si="3"/>
        <v>OVERWEIGHT</v>
      </c>
    </row>
    <row r="602" ht="15.75" customHeight="1">
      <c r="A602" s="9" t="s">
        <v>1203</v>
      </c>
      <c r="B602" s="9">
        <v>20.045</v>
      </c>
      <c r="C602" s="9">
        <v>4.77</v>
      </c>
      <c r="D602" s="9" t="s">
        <v>4686</v>
      </c>
      <c r="E602" s="9" t="s">
        <v>4684</v>
      </c>
      <c r="F602" s="9" t="s">
        <v>4684</v>
      </c>
      <c r="G602" s="9">
        <v>1.0</v>
      </c>
      <c r="H602" s="9" t="s">
        <v>4686</v>
      </c>
      <c r="I602" s="9" t="str">
        <f t="shared" si="1"/>
        <v>Yes</v>
      </c>
      <c r="J602" s="9">
        <f t="shared" si="2"/>
        <v>1</v>
      </c>
      <c r="K602" s="9" t="str">
        <f t="shared" si="3"/>
        <v>NORMAL WEIGHT</v>
      </c>
    </row>
    <row r="603" ht="15.75" customHeight="1">
      <c r="A603" s="9" t="s">
        <v>1205</v>
      </c>
      <c r="B603" s="9">
        <v>40.24</v>
      </c>
      <c r="C603" s="9">
        <v>6.83</v>
      </c>
      <c r="D603" s="9" t="s">
        <v>4684</v>
      </c>
      <c r="E603" s="9" t="s">
        <v>4684</v>
      </c>
      <c r="F603" s="9" t="s">
        <v>4684</v>
      </c>
      <c r="G603" s="9" t="s">
        <v>4685</v>
      </c>
      <c r="H603" s="9" t="s">
        <v>4684</v>
      </c>
      <c r="I603" s="9" t="str">
        <f t="shared" si="1"/>
        <v>No</v>
      </c>
      <c r="J603" s="9">
        <f t="shared" si="2"/>
        <v>0</v>
      </c>
      <c r="K603" s="9" t="str">
        <f t="shared" si="3"/>
        <v>OBESITY</v>
      </c>
    </row>
    <row r="604" ht="15.75" customHeight="1">
      <c r="A604" s="9" t="s">
        <v>1207</v>
      </c>
      <c r="B604" s="9">
        <v>43.15</v>
      </c>
      <c r="C604" s="9">
        <v>6.14</v>
      </c>
      <c r="D604" s="9" t="s">
        <v>4686</v>
      </c>
      <c r="E604" s="9" t="s">
        <v>4684</v>
      </c>
      <c r="F604" s="9" t="s">
        <v>4686</v>
      </c>
      <c r="G604" s="9">
        <v>1.0</v>
      </c>
      <c r="H604" s="9" t="s">
        <v>4684</v>
      </c>
      <c r="I604" s="9" t="str">
        <f t="shared" si="1"/>
        <v>No</v>
      </c>
      <c r="J604" s="9">
        <f t="shared" si="2"/>
        <v>1</v>
      </c>
      <c r="K604" s="9" t="str">
        <f t="shared" si="3"/>
        <v>OBESITY</v>
      </c>
    </row>
    <row r="605" ht="15.75" customHeight="1">
      <c r="A605" s="9" t="s">
        <v>1209</v>
      </c>
      <c r="B605" s="9">
        <v>27.7</v>
      </c>
      <c r="C605" s="9">
        <v>5.6</v>
      </c>
      <c r="D605" s="9" t="s">
        <v>4684</v>
      </c>
      <c r="E605" s="9" t="s">
        <v>4684</v>
      </c>
      <c r="F605" s="9" t="s">
        <v>4686</v>
      </c>
      <c r="G605" s="9">
        <v>1.0</v>
      </c>
      <c r="H605" s="9" t="s">
        <v>4686</v>
      </c>
      <c r="I605" s="9" t="str">
        <f t="shared" si="1"/>
        <v>Yes</v>
      </c>
      <c r="J605" s="9">
        <f t="shared" si="2"/>
        <v>1</v>
      </c>
      <c r="K605" s="9" t="str">
        <f t="shared" si="3"/>
        <v>OVERWEIGHT</v>
      </c>
    </row>
    <row r="606" ht="15.75" customHeight="1">
      <c r="A606" s="9" t="s">
        <v>1211</v>
      </c>
      <c r="B606" s="9">
        <v>45.68</v>
      </c>
      <c r="C606" s="9">
        <v>4.8</v>
      </c>
      <c r="D606" s="9" t="s">
        <v>4684</v>
      </c>
      <c r="E606" s="9" t="s">
        <v>4684</v>
      </c>
      <c r="F606" s="9" t="s">
        <v>4684</v>
      </c>
      <c r="G606" s="9">
        <v>2.0</v>
      </c>
      <c r="H606" s="9" t="s">
        <v>4684</v>
      </c>
      <c r="I606" s="9" t="str">
        <f t="shared" si="1"/>
        <v>No</v>
      </c>
      <c r="J606" s="9">
        <f t="shared" si="2"/>
        <v>2</v>
      </c>
      <c r="K606" s="9" t="str">
        <f t="shared" si="3"/>
        <v>OBESITY</v>
      </c>
    </row>
    <row r="607" ht="15.75" customHeight="1">
      <c r="A607" s="9" t="s">
        <v>1213</v>
      </c>
      <c r="B607" s="9">
        <v>27.3</v>
      </c>
      <c r="C607" s="9">
        <v>11.89</v>
      </c>
      <c r="D607" s="9" t="s">
        <v>4684</v>
      </c>
      <c r="E607" s="9" t="s">
        <v>4684</v>
      </c>
      <c r="F607" s="9" t="s">
        <v>4684</v>
      </c>
      <c r="G607" s="9" t="s">
        <v>4685</v>
      </c>
      <c r="H607" s="9" t="s">
        <v>4686</v>
      </c>
      <c r="I607" s="9" t="str">
        <f t="shared" si="1"/>
        <v>Yes</v>
      </c>
      <c r="J607" s="9">
        <f t="shared" si="2"/>
        <v>0</v>
      </c>
      <c r="K607" s="9" t="str">
        <f t="shared" si="3"/>
        <v>OVERWEIGHT</v>
      </c>
    </row>
    <row r="608" ht="15.75" customHeight="1">
      <c r="A608" s="9" t="s">
        <v>1215</v>
      </c>
      <c r="B608" s="9">
        <v>54.45</v>
      </c>
      <c r="C608" s="9">
        <v>4.73</v>
      </c>
      <c r="D608" s="9" t="s">
        <v>4686</v>
      </c>
      <c r="E608" s="9" t="s">
        <v>4684</v>
      </c>
      <c r="F608" s="9" t="s">
        <v>4684</v>
      </c>
      <c r="G608" s="9">
        <v>1.0</v>
      </c>
      <c r="H608" s="9" t="s">
        <v>4684</v>
      </c>
      <c r="I608" s="9" t="str">
        <f t="shared" si="1"/>
        <v>No</v>
      </c>
      <c r="J608" s="9">
        <f t="shared" si="2"/>
        <v>1</v>
      </c>
      <c r="K608" s="9" t="str">
        <f t="shared" si="3"/>
        <v>OBESITY</v>
      </c>
    </row>
    <row r="609" ht="15.75" customHeight="1">
      <c r="A609" s="9" t="s">
        <v>1217</v>
      </c>
      <c r="B609" s="9">
        <v>54.43</v>
      </c>
      <c r="C609" s="9">
        <v>4.61</v>
      </c>
      <c r="D609" s="9" t="s">
        <v>4686</v>
      </c>
      <c r="E609" s="9" t="s">
        <v>4684</v>
      </c>
      <c r="F609" s="9" t="s">
        <v>4684</v>
      </c>
      <c r="G609" s="9">
        <v>1.0</v>
      </c>
      <c r="H609" s="9" t="s">
        <v>4684</v>
      </c>
      <c r="I609" s="9" t="str">
        <f t="shared" si="1"/>
        <v>No</v>
      </c>
      <c r="J609" s="9">
        <f t="shared" si="2"/>
        <v>1</v>
      </c>
      <c r="K609" s="9" t="str">
        <f t="shared" si="3"/>
        <v>OBESITY</v>
      </c>
    </row>
    <row r="610" ht="15.75" customHeight="1">
      <c r="A610" s="9" t="s">
        <v>1219</v>
      </c>
      <c r="B610" s="9">
        <v>48.01</v>
      </c>
      <c r="C610" s="9">
        <v>7.3</v>
      </c>
      <c r="D610" s="9" t="s">
        <v>4684</v>
      </c>
      <c r="E610" s="9" t="s">
        <v>4684</v>
      </c>
      <c r="F610" s="9" t="s">
        <v>4684</v>
      </c>
      <c r="G610" s="9" t="s">
        <v>4685</v>
      </c>
      <c r="H610" s="9" t="s">
        <v>4684</v>
      </c>
      <c r="I610" s="9" t="str">
        <f t="shared" si="1"/>
        <v>No</v>
      </c>
      <c r="J610" s="9">
        <f t="shared" si="2"/>
        <v>0</v>
      </c>
      <c r="K610" s="9" t="str">
        <f t="shared" si="3"/>
        <v>OBESITY</v>
      </c>
    </row>
    <row r="611" ht="15.75" customHeight="1">
      <c r="A611" s="9" t="s">
        <v>1221</v>
      </c>
      <c r="B611" s="9">
        <v>48.32</v>
      </c>
      <c r="C611" s="9">
        <v>5.88</v>
      </c>
      <c r="D611" s="9" t="s">
        <v>4684</v>
      </c>
      <c r="E611" s="9" t="s">
        <v>4684</v>
      </c>
      <c r="F611" s="9" t="s">
        <v>4684</v>
      </c>
      <c r="G611" s="9" t="s">
        <v>4685</v>
      </c>
      <c r="H611" s="9" t="s">
        <v>4684</v>
      </c>
      <c r="I611" s="9" t="str">
        <f t="shared" si="1"/>
        <v>No</v>
      </c>
      <c r="J611" s="9">
        <f t="shared" si="2"/>
        <v>0</v>
      </c>
      <c r="K611" s="9" t="str">
        <f t="shared" si="3"/>
        <v>OBESITY</v>
      </c>
    </row>
    <row r="612" ht="15.75" customHeight="1">
      <c r="A612" s="9" t="s">
        <v>1223</v>
      </c>
      <c r="B612" s="9">
        <v>22.895</v>
      </c>
      <c r="C612" s="9">
        <v>4.06</v>
      </c>
      <c r="D612" s="9" t="s">
        <v>4684</v>
      </c>
      <c r="E612" s="9" t="s">
        <v>4684</v>
      </c>
      <c r="F612" s="9" t="s">
        <v>4686</v>
      </c>
      <c r="G612" s="9">
        <v>1.0</v>
      </c>
      <c r="H612" s="9" t="s">
        <v>4686</v>
      </c>
      <c r="I612" s="9" t="str">
        <f t="shared" si="1"/>
        <v>Yes</v>
      </c>
      <c r="J612" s="9">
        <f t="shared" si="2"/>
        <v>1</v>
      </c>
      <c r="K612" s="9" t="str">
        <f t="shared" si="3"/>
        <v>NORMAL WEIGHT</v>
      </c>
    </row>
    <row r="613" ht="15.75" customHeight="1">
      <c r="A613" s="9" t="s">
        <v>1225</v>
      </c>
      <c r="B613" s="9">
        <v>54.85</v>
      </c>
      <c r="C613" s="9">
        <v>4.9</v>
      </c>
      <c r="D613" s="9" t="s">
        <v>4684</v>
      </c>
      <c r="E613" s="9" t="s">
        <v>4684</v>
      </c>
      <c r="F613" s="9" t="s">
        <v>4684</v>
      </c>
      <c r="G613" s="9">
        <v>1.0</v>
      </c>
      <c r="H613" s="9" t="s">
        <v>4684</v>
      </c>
      <c r="I613" s="9" t="str">
        <f t="shared" si="1"/>
        <v>No</v>
      </c>
      <c r="J613" s="9">
        <f t="shared" si="2"/>
        <v>1</v>
      </c>
      <c r="K613" s="9" t="str">
        <f t="shared" si="3"/>
        <v>OBESITY</v>
      </c>
    </row>
    <row r="614" ht="15.75" customHeight="1">
      <c r="A614" s="9" t="s">
        <v>1227</v>
      </c>
      <c r="B614" s="9">
        <v>21.85</v>
      </c>
      <c r="C614" s="9">
        <v>5.52</v>
      </c>
      <c r="D614" s="9" t="s">
        <v>4684</v>
      </c>
      <c r="E614" s="9" t="s">
        <v>4684</v>
      </c>
      <c r="F614" s="9" t="s">
        <v>4686</v>
      </c>
      <c r="G614" s="9">
        <v>1.0</v>
      </c>
      <c r="H614" s="9" t="s">
        <v>4686</v>
      </c>
      <c r="I614" s="9" t="str">
        <f t="shared" si="1"/>
        <v>Yes</v>
      </c>
      <c r="J614" s="9">
        <f t="shared" si="2"/>
        <v>1</v>
      </c>
      <c r="K614" s="9" t="str">
        <f t="shared" si="3"/>
        <v>NORMAL WEIGHT</v>
      </c>
    </row>
    <row r="615" ht="15.75" customHeight="1">
      <c r="A615" s="9" t="s">
        <v>1229</v>
      </c>
      <c r="B615" s="9">
        <v>51.86</v>
      </c>
      <c r="C615" s="9">
        <v>5.2</v>
      </c>
      <c r="D615" s="9" t="s">
        <v>4686</v>
      </c>
      <c r="E615" s="9" t="s">
        <v>4684</v>
      </c>
      <c r="F615" s="9" t="s">
        <v>4684</v>
      </c>
      <c r="G615" s="9" t="s">
        <v>4685</v>
      </c>
      <c r="H615" s="9" t="s">
        <v>4684</v>
      </c>
      <c r="I615" s="9" t="str">
        <f t="shared" si="1"/>
        <v>No</v>
      </c>
      <c r="J615" s="9">
        <f t="shared" si="2"/>
        <v>0</v>
      </c>
      <c r="K615" s="9" t="str">
        <f t="shared" si="3"/>
        <v>OBESITY</v>
      </c>
    </row>
    <row r="616" ht="15.75" customHeight="1">
      <c r="A616" s="9" t="s">
        <v>1231</v>
      </c>
      <c r="B616" s="9">
        <v>39.05</v>
      </c>
      <c r="C616" s="9">
        <v>7.59</v>
      </c>
      <c r="D616" s="9" t="s">
        <v>4684</v>
      </c>
      <c r="E616" s="9" t="s">
        <v>4684</v>
      </c>
      <c r="F616" s="9" t="s">
        <v>4684</v>
      </c>
      <c r="G616" s="9">
        <v>3.0</v>
      </c>
      <c r="H616" s="9" t="s">
        <v>4684</v>
      </c>
      <c r="I616" s="9" t="str">
        <f t="shared" si="1"/>
        <v>No</v>
      </c>
      <c r="J616" s="9">
        <f t="shared" si="2"/>
        <v>3</v>
      </c>
      <c r="K616" s="9" t="str">
        <f t="shared" si="3"/>
        <v>OBESITY</v>
      </c>
    </row>
    <row r="617" ht="15.75" customHeight="1">
      <c r="A617" s="9" t="s">
        <v>1233</v>
      </c>
      <c r="B617" s="9">
        <v>31.825</v>
      </c>
      <c r="C617" s="9">
        <v>8.28</v>
      </c>
      <c r="D617" s="9" t="s">
        <v>4684</v>
      </c>
      <c r="E617" s="9" t="s">
        <v>4684</v>
      </c>
      <c r="F617" s="9" t="s">
        <v>4684</v>
      </c>
      <c r="G617" s="9">
        <v>3.0</v>
      </c>
      <c r="H617" s="9" t="s">
        <v>4684</v>
      </c>
      <c r="I617" s="9" t="str">
        <f t="shared" si="1"/>
        <v>No</v>
      </c>
      <c r="J617" s="9">
        <f t="shared" si="2"/>
        <v>3</v>
      </c>
      <c r="K617" s="9" t="str">
        <f t="shared" si="3"/>
        <v>OBESITY</v>
      </c>
    </row>
    <row r="618" ht="15.75" customHeight="1">
      <c r="A618" s="9" t="s">
        <v>1235</v>
      </c>
      <c r="B618" s="9">
        <v>46.43</v>
      </c>
      <c r="C618" s="9">
        <v>6.72</v>
      </c>
      <c r="D618" s="9" t="s">
        <v>4684</v>
      </c>
      <c r="E618" s="9" t="s">
        <v>4684</v>
      </c>
      <c r="F618" s="9" t="s">
        <v>4684</v>
      </c>
      <c r="G618" s="9" t="s">
        <v>4685</v>
      </c>
      <c r="H618" s="9" t="s">
        <v>4684</v>
      </c>
      <c r="I618" s="9" t="str">
        <f t="shared" si="1"/>
        <v>No</v>
      </c>
      <c r="J618" s="9">
        <f t="shared" si="2"/>
        <v>0</v>
      </c>
      <c r="K618" s="9" t="str">
        <f t="shared" si="3"/>
        <v>OBESITY</v>
      </c>
    </row>
    <row r="619" ht="15.75" customHeight="1">
      <c r="A619" s="9" t="s">
        <v>1237</v>
      </c>
      <c r="B619" s="9">
        <v>53.63</v>
      </c>
      <c r="C619" s="9">
        <v>5.47</v>
      </c>
      <c r="D619" s="9" t="s">
        <v>4686</v>
      </c>
      <c r="E619" s="9" t="s">
        <v>4684</v>
      </c>
      <c r="F619" s="9" t="s">
        <v>4684</v>
      </c>
      <c r="G619" s="9">
        <v>1.0</v>
      </c>
      <c r="H619" s="9" t="s">
        <v>4684</v>
      </c>
      <c r="I619" s="9" t="str">
        <f t="shared" si="1"/>
        <v>No</v>
      </c>
      <c r="J619" s="9">
        <f t="shared" si="2"/>
        <v>1</v>
      </c>
      <c r="K619" s="9" t="str">
        <f t="shared" si="3"/>
        <v>OBESITY</v>
      </c>
    </row>
    <row r="620" ht="15.75" customHeight="1">
      <c r="A620" s="9" t="s">
        <v>1239</v>
      </c>
      <c r="B620" s="9">
        <v>48.7</v>
      </c>
      <c r="C620" s="9">
        <v>4.71</v>
      </c>
      <c r="D620" s="9" t="s">
        <v>4684</v>
      </c>
      <c r="E620" s="9" t="s">
        <v>4684</v>
      </c>
      <c r="F620" s="9" t="s">
        <v>4684</v>
      </c>
      <c r="G620" s="9" t="s">
        <v>4685</v>
      </c>
      <c r="H620" s="9" t="s">
        <v>4684</v>
      </c>
      <c r="I620" s="9" t="str">
        <f t="shared" si="1"/>
        <v>No</v>
      </c>
      <c r="J620" s="9">
        <f t="shared" si="2"/>
        <v>0</v>
      </c>
      <c r="K620" s="9" t="str">
        <f t="shared" si="3"/>
        <v>OBESITY</v>
      </c>
    </row>
    <row r="621" ht="15.75" customHeight="1">
      <c r="A621" s="9" t="s">
        <v>1241</v>
      </c>
      <c r="B621" s="9">
        <v>48.81</v>
      </c>
      <c r="C621" s="9">
        <v>5.49</v>
      </c>
      <c r="D621" s="9" t="s">
        <v>4684</v>
      </c>
      <c r="E621" s="9" t="s">
        <v>4684</v>
      </c>
      <c r="F621" s="9" t="s">
        <v>4684</v>
      </c>
      <c r="G621" s="9" t="s">
        <v>4685</v>
      </c>
      <c r="H621" s="9" t="s">
        <v>4684</v>
      </c>
      <c r="I621" s="9" t="str">
        <f t="shared" si="1"/>
        <v>No</v>
      </c>
      <c r="J621" s="9">
        <f t="shared" si="2"/>
        <v>0</v>
      </c>
      <c r="K621" s="9" t="str">
        <f t="shared" si="3"/>
        <v>OBESITY</v>
      </c>
    </row>
    <row r="622" ht="15.75" customHeight="1">
      <c r="A622" s="9" t="s">
        <v>1243</v>
      </c>
      <c r="B622" s="9">
        <v>47.53</v>
      </c>
      <c r="C622" s="9">
        <v>4.72</v>
      </c>
      <c r="D622" s="9" t="s">
        <v>4684</v>
      </c>
      <c r="E622" s="9" t="s">
        <v>4684</v>
      </c>
      <c r="F622" s="9" t="s">
        <v>4684</v>
      </c>
      <c r="G622" s="9" t="s">
        <v>4685</v>
      </c>
      <c r="H622" s="9" t="s">
        <v>4684</v>
      </c>
      <c r="I622" s="9" t="str">
        <f t="shared" si="1"/>
        <v>No</v>
      </c>
      <c r="J622" s="9">
        <f t="shared" si="2"/>
        <v>0</v>
      </c>
      <c r="K622" s="9" t="str">
        <f t="shared" si="3"/>
        <v>OBESITY</v>
      </c>
    </row>
    <row r="623" ht="15.75" customHeight="1">
      <c r="A623" s="9" t="s">
        <v>1245</v>
      </c>
      <c r="B623" s="9">
        <v>36.85</v>
      </c>
      <c r="C623" s="9">
        <v>6.7</v>
      </c>
      <c r="D623" s="9" t="s">
        <v>4684</v>
      </c>
      <c r="E623" s="9" t="s">
        <v>4684</v>
      </c>
      <c r="F623" s="9" t="s">
        <v>4684</v>
      </c>
      <c r="G623" s="9" t="s">
        <v>4685</v>
      </c>
      <c r="H623" s="9" t="s">
        <v>4684</v>
      </c>
      <c r="I623" s="9" t="str">
        <f t="shared" si="1"/>
        <v>No</v>
      </c>
      <c r="J623" s="9">
        <f t="shared" si="2"/>
        <v>0</v>
      </c>
      <c r="K623" s="9" t="str">
        <f t="shared" si="3"/>
        <v>OBESITY</v>
      </c>
    </row>
    <row r="624" ht="15.75" customHeight="1">
      <c r="A624" s="9" t="s">
        <v>1247</v>
      </c>
      <c r="B624" s="9">
        <v>29.3</v>
      </c>
      <c r="C624" s="9">
        <v>5.5</v>
      </c>
      <c r="D624" s="9" t="s">
        <v>4684</v>
      </c>
      <c r="E624" s="9" t="s">
        <v>4684</v>
      </c>
      <c r="F624" s="9" t="s">
        <v>4684</v>
      </c>
      <c r="G624" s="9" t="s">
        <v>4685</v>
      </c>
      <c r="H624" s="9" t="s">
        <v>4684</v>
      </c>
      <c r="I624" s="9" t="str">
        <f t="shared" si="1"/>
        <v>No</v>
      </c>
      <c r="J624" s="9">
        <f t="shared" si="2"/>
        <v>0</v>
      </c>
      <c r="K624" s="9" t="str">
        <f t="shared" si="3"/>
        <v>OVERWEIGHT</v>
      </c>
    </row>
    <row r="625" ht="15.75" customHeight="1">
      <c r="A625" s="9" t="s">
        <v>1249</v>
      </c>
      <c r="B625" s="9">
        <v>19.3</v>
      </c>
      <c r="C625" s="9">
        <v>4.46</v>
      </c>
      <c r="D625" s="9" t="s">
        <v>4684</v>
      </c>
      <c r="E625" s="9" t="s">
        <v>4684</v>
      </c>
      <c r="F625" s="9" t="s">
        <v>4684</v>
      </c>
      <c r="G625" s="9">
        <v>1.0</v>
      </c>
      <c r="H625" s="9" t="s">
        <v>4686</v>
      </c>
      <c r="I625" s="9" t="str">
        <f t="shared" si="1"/>
        <v>Yes</v>
      </c>
      <c r="J625" s="9">
        <f t="shared" si="2"/>
        <v>1</v>
      </c>
      <c r="K625" s="9" t="str">
        <f t="shared" si="3"/>
        <v>NORMAL WEIGHT</v>
      </c>
    </row>
    <row r="626" ht="15.75" customHeight="1">
      <c r="A626" s="9" t="s">
        <v>1251</v>
      </c>
      <c r="B626" s="9">
        <v>24.13</v>
      </c>
      <c r="C626" s="9">
        <v>5.29</v>
      </c>
      <c r="D626" s="9" t="s">
        <v>4686</v>
      </c>
      <c r="E626" s="9" t="s">
        <v>4684</v>
      </c>
      <c r="F626" s="9" t="s">
        <v>4686</v>
      </c>
      <c r="G626" s="9">
        <v>1.0</v>
      </c>
      <c r="H626" s="9" t="s">
        <v>4686</v>
      </c>
      <c r="I626" s="9" t="str">
        <f t="shared" si="1"/>
        <v>Yes</v>
      </c>
      <c r="J626" s="9">
        <f t="shared" si="2"/>
        <v>1</v>
      </c>
      <c r="K626" s="9" t="str">
        <f t="shared" si="3"/>
        <v>NORMAL WEIGHT</v>
      </c>
    </row>
    <row r="627" ht="15.75" customHeight="1">
      <c r="A627" s="9" t="s">
        <v>1253</v>
      </c>
      <c r="B627" s="9">
        <v>46.7</v>
      </c>
      <c r="C627" s="9">
        <v>10.99</v>
      </c>
      <c r="D627" s="9" t="s">
        <v>4684</v>
      </c>
      <c r="E627" s="9" t="s">
        <v>4684</v>
      </c>
      <c r="F627" s="9" t="s">
        <v>4684</v>
      </c>
      <c r="G627" s="9" t="s">
        <v>4685</v>
      </c>
      <c r="H627" s="9" t="s">
        <v>4684</v>
      </c>
      <c r="I627" s="9" t="str">
        <f t="shared" si="1"/>
        <v>No</v>
      </c>
      <c r="J627" s="9">
        <f t="shared" si="2"/>
        <v>0</v>
      </c>
      <c r="K627" s="9" t="str">
        <f t="shared" si="3"/>
        <v>OBESITY</v>
      </c>
    </row>
    <row r="628" ht="15.75" customHeight="1">
      <c r="A628" s="9" t="s">
        <v>1255</v>
      </c>
      <c r="B628" s="9">
        <v>45.27</v>
      </c>
      <c r="C628" s="9">
        <v>5.2</v>
      </c>
      <c r="D628" s="9" t="s">
        <v>4686</v>
      </c>
      <c r="E628" s="9" t="s">
        <v>4684</v>
      </c>
      <c r="F628" s="9" t="s">
        <v>4684</v>
      </c>
      <c r="G628" s="9" t="s">
        <v>4685</v>
      </c>
      <c r="H628" s="9" t="s">
        <v>4684</v>
      </c>
      <c r="I628" s="9" t="str">
        <f t="shared" si="1"/>
        <v>No</v>
      </c>
      <c r="J628" s="9">
        <f t="shared" si="2"/>
        <v>0</v>
      </c>
      <c r="K628" s="9" t="str">
        <f t="shared" si="3"/>
        <v>OBESITY</v>
      </c>
    </row>
    <row r="629" ht="15.75" customHeight="1">
      <c r="A629" s="9" t="s">
        <v>1257</v>
      </c>
      <c r="B629" s="9">
        <v>44.29</v>
      </c>
      <c r="C629" s="9">
        <v>9.66</v>
      </c>
      <c r="D629" s="9" t="s">
        <v>4684</v>
      </c>
      <c r="E629" s="9" t="s">
        <v>4684</v>
      </c>
      <c r="F629" s="9" t="s">
        <v>4684</v>
      </c>
      <c r="G629" s="9">
        <v>2.0</v>
      </c>
      <c r="H629" s="9" t="s">
        <v>4684</v>
      </c>
      <c r="I629" s="9" t="str">
        <f t="shared" si="1"/>
        <v>No</v>
      </c>
      <c r="J629" s="9">
        <f t="shared" si="2"/>
        <v>2</v>
      </c>
      <c r="K629" s="9" t="str">
        <f t="shared" si="3"/>
        <v>OBESITY</v>
      </c>
    </row>
    <row r="630" ht="15.75" customHeight="1">
      <c r="A630" s="9" t="s">
        <v>1259</v>
      </c>
      <c r="B630" s="9">
        <v>54.59</v>
      </c>
      <c r="C630" s="9">
        <v>4.22</v>
      </c>
      <c r="D630" s="9" t="s">
        <v>4686</v>
      </c>
      <c r="E630" s="9" t="s">
        <v>4684</v>
      </c>
      <c r="F630" s="9" t="s">
        <v>4684</v>
      </c>
      <c r="G630" s="9">
        <v>1.0</v>
      </c>
      <c r="H630" s="9" t="s">
        <v>4684</v>
      </c>
      <c r="I630" s="9" t="str">
        <f t="shared" si="1"/>
        <v>No</v>
      </c>
      <c r="J630" s="9">
        <f t="shared" si="2"/>
        <v>1</v>
      </c>
      <c r="K630" s="9" t="str">
        <f t="shared" si="3"/>
        <v>OBESITY</v>
      </c>
    </row>
    <row r="631" ht="15.75" customHeight="1">
      <c r="A631" s="9" t="s">
        <v>1261</v>
      </c>
      <c r="B631" s="9">
        <v>32.965</v>
      </c>
      <c r="C631" s="9">
        <v>11.78</v>
      </c>
      <c r="D631" s="9" t="s">
        <v>4684</v>
      </c>
      <c r="E631" s="9" t="s">
        <v>4684</v>
      </c>
      <c r="F631" s="9" t="s">
        <v>4684</v>
      </c>
      <c r="G631" s="9" t="s">
        <v>4685</v>
      </c>
      <c r="H631" s="9" t="s">
        <v>4684</v>
      </c>
      <c r="I631" s="9" t="str">
        <f t="shared" si="1"/>
        <v>No</v>
      </c>
      <c r="J631" s="9">
        <f t="shared" si="2"/>
        <v>0</v>
      </c>
      <c r="K631" s="9" t="str">
        <f t="shared" si="3"/>
        <v>OBESITY</v>
      </c>
    </row>
    <row r="632" ht="15.75" customHeight="1">
      <c r="A632" s="9" t="s">
        <v>1263</v>
      </c>
      <c r="B632" s="9">
        <v>38.05</v>
      </c>
      <c r="C632" s="9">
        <v>9.62</v>
      </c>
      <c r="D632" s="9" t="s">
        <v>4684</v>
      </c>
      <c r="E632" s="9" t="s">
        <v>4684</v>
      </c>
      <c r="F632" s="9" t="s">
        <v>4684</v>
      </c>
      <c r="G632" s="9" t="s">
        <v>4685</v>
      </c>
      <c r="H632" s="9" t="s">
        <v>4684</v>
      </c>
      <c r="I632" s="9" t="str">
        <f t="shared" si="1"/>
        <v>No</v>
      </c>
      <c r="J632" s="9">
        <f t="shared" si="2"/>
        <v>0</v>
      </c>
      <c r="K632" s="9" t="str">
        <f t="shared" si="3"/>
        <v>OBESITY</v>
      </c>
    </row>
    <row r="633" ht="15.75" customHeight="1">
      <c r="A633" s="9" t="s">
        <v>1265</v>
      </c>
      <c r="B633" s="9">
        <v>46.14</v>
      </c>
      <c r="C633" s="9">
        <v>10.78</v>
      </c>
      <c r="D633" s="9" t="s">
        <v>4684</v>
      </c>
      <c r="E633" s="9" t="s">
        <v>4684</v>
      </c>
      <c r="F633" s="9" t="s">
        <v>4684</v>
      </c>
      <c r="G633" s="9" t="s">
        <v>4685</v>
      </c>
      <c r="H633" s="9" t="s">
        <v>4684</v>
      </c>
      <c r="I633" s="9" t="str">
        <f t="shared" si="1"/>
        <v>No</v>
      </c>
      <c r="J633" s="9">
        <f t="shared" si="2"/>
        <v>0</v>
      </c>
      <c r="K633" s="9" t="str">
        <f t="shared" si="3"/>
        <v>OBESITY</v>
      </c>
    </row>
    <row r="634" ht="15.75" customHeight="1">
      <c r="A634" s="9" t="s">
        <v>1267</v>
      </c>
      <c r="B634" s="9">
        <v>41.325</v>
      </c>
      <c r="C634" s="9">
        <v>5.11</v>
      </c>
      <c r="D634" s="9" t="s">
        <v>4686</v>
      </c>
      <c r="E634" s="9" t="s">
        <v>4684</v>
      </c>
      <c r="F634" s="9" t="s">
        <v>4684</v>
      </c>
      <c r="G634" s="9">
        <v>2.0</v>
      </c>
      <c r="H634" s="9" t="s">
        <v>4684</v>
      </c>
      <c r="I634" s="9" t="str">
        <f t="shared" si="1"/>
        <v>No</v>
      </c>
      <c r="J634" s="9">
        <f t="shared" si="2"/>
        <v>2</v>
      </c>
      <c r="K634" s="9" t="str">
        <f t="shared" si="3"/>
        <v>OBESITY</v>
      </c>
    </row>
    <row r="635" ht="15.75" customHeight="1">
      <c r="A635" s="9" t="s">
        <v>1269</v>
      </c>
      <c r="B635" s="9">
        <v>44.64</v>
      </c>
      <c r="C635" s="9">
        <v>7.18</v>
      </c>
      <c r="D635" s="9" t="s">
        <v>4684</v>
      </c>
      <c r="E635" s="9" t="s">
        <v>4684</v>
      </c>
      <c r="F635" s="9" t="s">
        <v>4684</v>
      </c>
      <c r="G635" s="9" t="s">
        <v>4685</v>
      </c>
      <c r="H635" s="9" t="s">
        <v>4684</v>
      </c>
      <c r="I635" s="9" t="str">
        <f t="shared" si="1"/>
        <v>No</v>
      </c>
      <c r="J635" s="9">
        <f t="shared" si="2"/>
        <v>0</v>
      </c>
      <c r="K635" s="9" t="str">
        <f t="shared" si="3"/>
        <v>OBESITY</v>
      </c>
    </row>
    <row r="636" ht="15.75" customHeight="1">
      <c r="A636" s="9" t="s">
        <v>1271</v>
      </c>
      <c r="B636" s="9">
        <v>25.175</v>
      </c>
      <c r="C636" s="9">
        <v>4.96</v>
      </c>
      <c r="D636" s="9" t="s">
        <v>4684</v>
      </c>
      <c r="E636" s="9" t="s">
        <v>4686</v>
      </c>
      <c r="F636" s="9" t="s">
        <v>4684</v>
      </c>
      <c r="G636" s="9">
        <v>1.0</v>
      </c>
      <c r="H636" s="9" t="s">
        <v>4700</v>
      </c>
      <c r="I636" s="9" t="str">
        <f t="shared" si="1"/>
        <v>Yes</v>
      </c>
      <c r="J636" s="9">
        <f t="shared" si="2"/>
        <v>1</v>
      </c>
      <c r="K636" s="9" t="str">
        <f t="shared" si="3"/>
        <v>OVERWEIGHT</v>
      </c>
    </row>
    <row r="637" ht="15.75" customHeight="1">
      <c r="A637" s="9" t="s">
        <v>1273</v>
      </c>
      <c r="B637" s="9">
        <v>43.11</v>
      </c>
      <c r="C637" s="9">
        <v>4.67</v>
      </c>
      <c r="D637" s="9" t="s">
        <v>4686</v>
      </c>
      <c r="E637" s="9" t="s">
        <v>4684</v>
      </c>
      <c r="F637" s="9" t="s">
        <v>4684</v>
      </c>
      <c r="G637" s="9" t="s">
        <v>4685</v>
      </c>
      <c r="H637" s="9" t="s">
        <v>4684</v>
      </c>
      <c r="I637" s="9" t="str">
        <f t="shared" si="1"/>
        <v>No</v>
      </c>
      <c r="J637" s="9">
        <f t="shared" si="2"/>
        <v>0</v>
      </c>
      <c r="K637" s="9" t="str">
        <f t="shared" si="3"/>
        <v>OBESITY</v>
      </c>
    </row>
    <row r="638" ht="15.75" customHeight="1">
      <c r="A638" s="9" t="s">
        <v>1275</v>
      </c>
      <c r="B638" s="9">
        <v>53.32</v>
      </c>
      <c r="C638" s="9">
        <v>5.06</v>
      </c>
      <c r="D638" s="9" t="s">
        <v>4684</v>
      </c>
      <c r="E638" s="9" t="s">
        <v>4684</v>
      </c>
      <c r="F638" s="9" t="s">
        <v>4684</v>
      </c>
      <c r="G638" s="9" t="s">
        <v>4685</v>
      </c>
      <c r="H638" s="9" t="s">
        <v>4684</v>
      </c>
      <c r="I638" s="9" t="str">
        <f t="shared" si="1"/>
        <v>No</v>
      </c>
      <c r="J638" s="9">
        <f t="shared" si="2"/>
        <v>0</v>
      </c>
      <c r="K638" s="9" t="str">
        <f t="shared" si="3"/>
        <v>OBESITY</v>
      </c>
    </row>
    <row r="639" ht="15.75" customHeight="1">
      <c r="A639" s="9" t="s">
        <v>1277</v>
      </c>
      <c r="B639" s="9">
        <v>38.04</v>
      </c>
      <c r="C639" s="9">
        <v>5.02</v>
      </c>
      <c r="D639" s="9" t="s">
        <v>4686</v>
      </c>
      <c r="E639" s="9" t="s">
        <v>4684</v>
      </c>
      <c r="F639" s="9" t="s">
        <v>4684</v>
      </c>
      <c r="G639" s="9">
        <v>1.0</v>
      </c>
      <c r="H639" s="9" t="s">
        <v>4684</v>
      </c>
      <c r="I639" s="9" t="str">
        <f t="shared" si="1"/>
        <v>No</v>
      </c>
      <c r="J639" s="9">
        <f t="shared" si="2"/>
        <v>1</v>
      </c>
      <c r="K639" s="9" t="str">
        <f t="shared" si="3"/>
        <v>OBESITY</v>
      </c>
    </row>
    <row r="640" ht="15.75" customHeight="1">
      <c r="A640" s="9" t="s">
        <v>1279</v>
      </c>
      <c r="B640" s="9">
        <v>37.9</v>
      </c>
      <c r="C640" s="9">
        <v>7.76</v>
      </c>
      <c r="D640" s="9" t="s">
        <v>4684</v>
      </c>
      <c r="E640" s="9" t="s">
        <v>4684</v>
      </c>
      <c r="F640" s="9" t="s">
        <v>4684</v>
      </c>
      <c r="G640" s="9" t="s">
        <v>4685</v>
      </c>
      <c r="H640" s="9" t="s">
        <v>4684</v>
      </c>
      <c r="I640" s="9" t="str">
        <f t="shared" si="1"/>
        <v>No</v>
      </c>
      <c r="J640" s="9">
        <f t="shared" si="2"/>
        <v>0</v>
      </c>
      <c r="K640" s="9" t="str">
        <f t="shared" si="3"/>
        <v>OBESITY</v>
      </c>
    </row>
    <row r="641" ht="15.75" customHeight="1">
      <c r="A641" s="9" t="s">
        <v>1281</v>
      </c>
      <c r="B641" s="9">
        <v>39.6</v>
      </c>
      <c r="C641" s="9">
        <v>9.32</v>
      </c>
      <c r="D641" s="9" t="s">
        <v>4684</v>
      </c>
      <c r="E641" s="9" t="s">
        <v>4684</v>
      </c>
      <c r="F641" s="9" t="s">
        <v>4684</v>
      </c>
      <c r="G641" s="9" t="s">
        <v>4685</v>
      </c>
      <c r="H641" s="9" t="s">
        <v>4684</v>
      </c>
      <c r="I641" s="9" t="str">
        <f t="shared" si="1"/>
        <v>No</v>
      </c>
      <c r="J641" s="9">
        <f t="shared" si="2"/>
        <v>0</v>
      </c>
      <c r="K641" s="9" t="str">
        <f t="shared" si="3"/>
        <v>OBESITY</v>
      </c>
    </row>
    <row r="642" ht="15.75" customHeight="1">
      <c r="A642" s="9" t="s">
        <v>1283</v>
      </c>
      <c r="B642" s="9">
        <v>50.92</v>
      </c>
      <c r="C642" s="9">
        <v>5.31</v>
      </c>
      <c r="D642" s="9" t="s">
        <v>4686</v>
      </c>
      <c r="E642" s="9" t="s">
        <v>4684</v>
      </c>
      <c r="F642" s="9" t="s">
        <v>4684</v>
      </c>
      <c r="G642" s="9">
        <v>1.0</v>
      </c>
      <c r="H642" s="9" t="s">
        <v>4684</v>
      </c>
      <c r="I642" s="9" t="str">
        <f t="shared" si="1"/>
        <v>No</v>
      </c>
      <c r="J642" s="9">
        <f t="shared" si="2"/>
        <v>1</v>
      </c>
      <c r="K642" s="9" t="str">
        <f t="shared" si="3"/>
        <v>OBESITY</v>
      </c>
    </row>
    <row r="643" ht="15.75" customHeight="1">
      <c r="A643" s="9" t="s">
        <v>1285</v>
      </c>
      <c r="B643" s="9">
        <v>21.85</v>
      </c>
      <c r="C643" s="9">
        <v>5.56</v>
      </c>
      <c r="D643" s="9" t="s">
        <v>4686</v>
      </c>
      <c r="E643" s="9" t="s">
        <v>4684</v>
      </c>
      <c r="F643" s="9" t="s">
        <v>4684</v>
      </c>
      <c r="G643" s="9" t="s">
        <v>4685</v>
      </c>
      <c r="H643" s="9" t="s">
        <v>4686</v>
      </c>
      <c r="I643" s="9" t="str">
        <f t="shared" si="1"/>
        <v>Yes</v>
      </c>
      <c r="J643" s="9">
        <f t="shared" si="2"/>
        <v>0</v>
      </c>
      <c r="K643" s="9" t="str">
        <f t="shared" si="3"/>
        <v>NORMAL WEIGHT</v>
      </c>
    </row>
    <row r="644" ht="15.75" customHeight="1">
      <c r="A644" s="9" t="s">
        <v>1287</v>
      </c>
      <c r="B644" s="9">
        <v>36.08</v>
      </c>
      <c r="C644" s="9">
        <v>7.11</v>
      </c>
      <c r="D644" s="9" t="s">
        <v>4686</v>
      </c>
      <c r="E644" s="9" t="s">
        <v>4684</v>
      </c>
      <c r="F644" s="9" t="s">
        <v>4686</v>
      </c>
      <c r="G644" s="9">
        <v>1.0</v>
      </c>
      <c r="H644" s="9" t="s">
        <v>4684</v>
      </c>
      <c r="I644" s="9" t="str">
        <f t="shared" si="1"/>
        <v>No</v>
      </c>
      <c r="J644" s="9">
        <f t="shared" si="2"/>
        <v>1</v>
      </c>
      <c r="K644" s="9" t="str">
        <f t="shared" si="3"/>
        <v>OBESITY</v>
      </c>
    </row>
    <row r="645" ht="15.75" customHeight="1">
      <c r="A645" s="9" t="s">
        <v>1289</v>
      </c>
      <c r="B645" s="9">
        <v>40.44</v>
      </c>
      <c r="C645" s="9">
        <v>5.13</v>
      </c>
      <c r="D645" s="9" t="s">
        <v>4686</v>
      </c>
      <c r="E645" s="9" t="s">
        <v>4684</v>
      </c>
      <c r="F645" s="9" t="s">
        <v>4686</v>
      </c>
      <c r="G645" s="9">
        <v>1.0</v>
      </c>
      <c r="H645" s="9" t="s">
        <v>4684</v>
      </c>
      <c r="I645" s="9" t="str">
        <f t="shared" si="1"/>
        <v>No</v>
      </c>
      <c r="J645" s="9">
        <f t="shared" si="2"/>
        <v>1</v>
      </c>
      <c r="K645" s="9" t="str">
        <f t="shared" si="3"/>
        <v>OBESITY</v>
      </c>
    </row>
    <row r="646" ht="15.75" customHeight="1">
      <c r="A646" s="9" t="s">
        <v>1291</v>
      </c>
      <c r="B646" s="9">
        <v>38.095</v>
      </c>
      <c r="C646" s="9">
        <v>10.2</v>
      </c>
      <c r="D646" s="9" t="s">
        <v>4684</v>
      </c>
      <c r="E646" s="9" t="s">
        <v>4684</v>
      </c>
      <c r="F646" s="9" t="s">
        <v>4684</v>
      </c>
      <c r="G646" s="9" t="s">
        <v>4685</v>
      </c>
      <c r="H646" s="9" t="s">
        <v>4684</v>
      </c>
      <c r="I646" s="9" t="str">
        <f t="shared" si="1"/>
        <v>No</v>
      </c>
      <c r="J646" s="9">
        <f t="shared" si="2"/>
        <v>0</v>
      </c>
      <c r="K646" s="9" t="str">
        <f t="shared" si="3"/>
        <v>OBESITY</v>
      </c>
    </row>
    <row r="647" ht="15.75" customHeight="1">
      <c r="A647" s="9" t="s">
        <v>1293</v>
      </c>
      <c r="B647" s="9">
        <v>44.95</v>
      </c>
      <c r="C647" s="9">
        <v>10.4</v>
      </c>
      <c r="D647" s="9" t="s">
        <v>4684</v>
      </c>
      <c r="E647" s="9" t="s">
        <v>4684</v>
      </c>
      <c r="F647" s="9" t="s">
        <v>4684</v>
      </c>
      <c r="G647" s="9" t="s">
        <v>4685</v>
      </c>
      <c r="H647" s="9" t="s">
        <v>4684</v>
      </c>
      <c r="I647" s="9" t="str">
        <f t="shared" si="1"/>
        <v>No</v>
      </c>
      <c r="J647" s="9">
        <f t="shared" si="2"/>
        <v>0</v>
      </c>
      <c r="K647" s="9" t="str">
        <f t="shared" si="3"/>
        <v>OBESITY</v>
      </c>
    </row>
    <row r="648" ht="15.75" customHeight="1">
      <c r="A648" s="9" t="s">
        <v>1295</v>
      </c>
      <c r="B648" s="9">
        <v>35.54</v>
      </c>
      <c r="C648" s="9">
        <v>10.67</v>
      </c>
      <c r="D648" s="9" t="s">
        <v>4684</v>
      </c>
      <c r="E648" s="9" t="s">
        <v>4684</v>
      </c>
      <c r="F648" s="9" t="s">
        <v>4684</v>
      </c>
      <c r="G648" s="9" t="s">
        <v>4685</v>
      </c>
      <c r="H648" s="9" t="s">
        <v>4684</v>
      </c>
      <c r="I648" s="9" t="str">
        <f t="shared" si="1"/>
        <v>No</v>
      </c>
      <c r="J648" s="9">
        <f t="shared" si="2"/>
        <v>0</v>
      </c>
      <c r="K648" s="9" t="str">
        <f t="shared" si="3"/>
        <v>OBESITY</v>
      </c>
    </row>
    <row r="649" ht="15.75" customHeight="1">
      <c r="A649" s="9" t="s">
        <v>1297</v>
      </c>
      <c r="B649" s="9">
        <v>39.8</v>
      </c>
      <c r="C649" s="9">
        <v>4.65</v>
      </c>
      <c r="D649" s="9" t="s">
        <v>4686</v>
      </c>
      <c r="E649" s="9" t="s">
        <v>4684</v>
      </c>
      <c r="F649" s="9" t="s">
        <v>4684</v>
      </c>
      <c r="G649" s="9">
        <v>2.0</v>
      </c>
      <c r="H649" s="9" t="s">
        <v>4684</v>
      </c>
      <c r="I649" s="9" t="str">
        <f t="shared" si="1"/>
        <v>No</v>
      </c>
      <c r="J649" s="9">
        <f t="shared" si="2"/>
        <v>2</v>
      </c>
      <c r="K649" s="9" t="str">
        <f t="shared" si="3"/>
        <v>OBESITY</v>
      </c>
    </row>
    <row r="650" ht="15.75" customHeight="1">
      <c r="A650" s="9" t="s">
        <v>1299</v>
      </c>
      <c r="B650" s="9">
        <v>33.66</v>
      </c>
      <c r="C650" s="9">
        <v>5.65</v>
      </c>
      <c r="D650" s="9" t="s">
        <v>4686</v>
      </c>
      <c r="E650" s="9" t="s">
        <v>4684</v>
      </c>
      <c r="F650" s="9" t="s">
        <v>4684</v>
      </c>
      <c r="G650" s="9">
        <v>2.0</v>
      </c>
      <c r="H650" s="9" t="s">
        <v>4684</v>
      </c>
      <c r="I650" s="9" t="str">
        <f t="shared" si="1"/>
        <v>No</v>
      </c>
      <c r="J650" s="9">
        <f t="shared" si="2"/>
        <v>2</v>
      </c>
      <c r="K650" s="9" t="str">
        <f t="shared" si="3"/>
        <v>OBESITY</v>
      </c>
    </row>
    <row r="651" ht="15.75" customHeight="1">
      <c r="A651" s="9" t="s">
        <v>1301</v>
      </c>
      <c r="B651" s="9">
        <v>35.5</v>
      </c>
      <c r="C651" s="9">
        <v>11.97</v>
      </c>
      <c r="D651" s="9" t="s">
        <v>4684</v>
      </c>
      <c r="E651" s="9" t="s">
        <v>4684</v>
      </c>
      <c r="F651" s="9" t="s">
        <v>4684</v>
      </c>
      <c r="G651" s="9" t="s">
        <v>4685</v>
      </c>
      <c r="H651" s="9" t="s">
        <v>4684</v>
      </c>
      <c r="I651" s="9" t="str">
        <f t="shared" si="1"/>
        <v>No</v>
      </c>
      <c r="J651" s="9">
        <f t="shared" si="2"/>
        <v>0</v>
      </c>
      <c r="K651" s="9" t="str">
        <f t="shared" si="3"/>
        <v>OBESITY</v>
      </c>
    </row>
    <row r="652" ht="15.75" customHeight="1">
      <c r="A652" s="9" t="s">
        <v>1303</v>
      </c>
      <c r="B652" s="9">
        <v>41.63</v>
      </c>
      <c r="C652" s="9">
        <v>6.71</v>
      </c>
      <c r="D652" s="9" t="s">
        <v>4684</v>
      </c>
      <c r="E652" s="9" t="s">
        <v>4684</v>
      </c>
      <c r="F652" s="9" t="s">
        <v>4684</v>
      </c>
      <c r="G652" s="9" t="s">
        <v>4685</v>
      </c>
      <c r="H652" s="9" t="s">
        <v>4684</v>
      </c>
      <c r="I652" s="9" t="str">
        <f t="shared" si="1"/>
        <v>No</v>
      </c>
      <c r="J652" s="9">
        <f t="shared" si="2"/>
        <v>0</v>
      </c>
      <c r="K652" s="9" t="str">
        <f t="shared" si="3"/>
        <v>OBESITY</v>
      </c>
    </row>
    <row r="653" ht="15.75" customHeight="1">
      <c r="A653" s="9" t="s">
        <v>1305</v>
      </c>
      <c r="B653" s="9">
        <v>46.49</v>
      </c>
      <c r="C653" s="9">
        <v>11.92</v>
      </c>
      <c r="D653" s="9" t="s">
        <v>4684</v>
      </c>
      <c r="E653" s="9" t="s">
        <v>4684</v>
      </c>
      <c r="F653" s="9" t="s">
        <v>4684</v>
      </c>
      <c r="G653" s="9" t="s">
        <v>4685</v>
      </c>
      <c r="H653" s="9" t="s">
        <v>4684</v>
      </c>
      <c r="I653" s="9" t="str">
        <f t="shared" si="1"/>
        <v>No</v>
      </c>
      <c r="J653" s="9">
        <f t="shared" si="2"/>
        <v>0</v>
      </c>
      <c r="K653" s="9" t="str">
        <f t="shared" si="3"/>
        <v>OBESITY</v>
      </c>
    </row>
    <row r="654" ht="15.75" customHeight="1">
      <c r="A654" s="9" t="s">
        <v>1307</v>
      </c>
      <c r="B654" s="9">
        <v>43.29</v>
      </c>
      <c r="C654" s="9">
        <v>5.35</v>
      </c>
      <c r="D654" s="9" t="s">
        <v>4684</v>
      </c>
      <c r="E654" s="9" t="s">
        <v>4684</v>
      </c>
      <c r="F654" s="9" t="s">
        <v>4684</v>
      </c>
      <c r="G654" s="9">
        <v>2.0</v>
      </c>
      <c r="H654" s="9" t="s">
        <v>4684</v>
      </c>
      <c r="I654" s="9" t="str">
        <f t="shared" si="1"/>
        <v>No</v>
      </c>
      <c r="J654" s="9">
        <f t="shared" si="2"/>
        <v>2</v>
      </c>
      <c r="K654" s="9" t="str">
        <f t="shared" si="3"/>
        <v>OBESITY</v>
      </c>
    </row>
    <row r="655" ht="15.75" customHeight="1">
      <c r="A655" s="9" t="s">
        <v>1309</v>
      </c>
      <c r="B655" s="9">
        <v>43.08</v>
      </c>
      <c r="C655" s="9">
        <v>8.96</v>
      </c>
      <c r="D655" s="9" t="s">
        <v>4686</v>
      </c>
      <c r="E655" s="9" t="s">
        <v>4684</v>
      </c>
      <c r="F655" s="9" t="s">
        <v>4684</v>
      </c>
      <c r="G655" s="9">
        <v>1.0</v>
      </c>
      <c r="H655" s="9" t="s">
        <v>4684</v>
      </c>
      <c r="I655" s="9" t="str">
        <f t="shared" si="1"/>
        <v>No</v>
      </c>
      <c r="J655" s="9">
        <f t="shared" si="2"/>
        <v>1</v>
      </c>
      <c r="K655" s="9" t="str">
        <f t="shared" si="3"/>
        <v>OBESITY</v>
      </c>
    </row>
    <row r="656" ht="15.75" customHeight="1">
      <c r="A656" s="9" t="s">
        <v>1311</v>
      </c>
      <c r="B656" s="9">
        <v>39.07</v>
      </c>
      <c r="C656" s="9">
        <v>11.93</v>
      </c>
      <c r="D656" s="9" t="s">
        <v>4684</v>
      </c>
      <c r="E656" s="9" t="s">
        <v>4684</v>
      </c>
      <c r="F656" s="9" t="s">
        <v>4684</v>
      </c>
      <c r="G656" s="9" t="s">
        <v>4685</v>
      </c>
      <c r="H656" s="9" t="s">
        <v>4684</v>
      </c>
      <c r="I656" s="9" t="str">
        <f t="shared" si="1"/>
        <v>No</v>
      </c>
      <c r="J656" s="9">
        <f t="shared" si="2"/>
        <v>0</v>
      </c>
      <c r="K656" s="9" t="str">
        <f t="shared" si="3"/>
        <v>OBESITY</v>
      </c>
    </row>
    <row r="657" ht="15.75" customHeight="1">
      <c r="A657" s="9" t="s">
        <v>1313</v>
      </c>
      <c r="B657" s="9">
        <v>41.3</v>
      </c>
      <c r="C657" s="9">
        <v>9.59</v>
      </c>
      <c r="D657" s="9" t="s">
        <v>4684</v>
      </c>
      <c r="E657" s="9" t="s">
        <v>4684</v>
      </c>
      <c r="F657" s="9" t="s">
        <v>4684</v>
      </c>
      <c r="G657" s="9" t="s">
        <v>4685</v>
      </c>
      <c r="H657" s="9" t="s">
        <v>4684</v>
      </c>
      <c r="I657" s="9" t="str">
        <f t="shared" si="1"/>
        <v>No</v>
      </c>
      <c r="J657" s="9">
        <f t="shared" si="2"/>
        <v>0</v>
      </c>
      <c r="K657" s="9" t="str">
        <f t="shared" si="3"/>
        <v>OBESITY</v>
      </c>
    </row>
    <row r="658" ht="15.75" customHeight="1">
      <c r="A658" s="9" t="s">
        <v>1315</v>
      </c>
      <c r="B658" s="9">
        <v>42.95</v>
      </c>
      <c r="C658" s="9">
        <v>11.88</v>
      </c>
      <c r="D658" s="9" t="s">
        <v>4686</v>
      </c>
      <c r="E658" s="9" t="s">
        <v>4684</v>
      </c>
      <c r="F658" s="9" t="s">
        <v>4684</v>
      </c>
      <c r="G658" s="9">
        <v>2.0</v>
      </c>
      <c r="H658" s="9" t="s">
        <v>4684</v>
      </c>
      <c r="I658" s="9" t="str">
        <f t="shared" si="1"/>
        <v>No</v>
      </c>
      <c r="J658" s="9">
        <f t="shared" si="2"/>
        <v>2</v>
      </c>
      <c r="K658" s="9" t="str">
        <f t="shared" si="3"/>
        <v>OBESITY</v>
      </c>
    </row>
    <row r="659" ht="15.75" customHeight="1">
      <c r="A659" s="9" t="s">
        <v>1317</v>
      </c>
      <c r="B659" s="9">
        <v>46.96</v>
      </c>
      <c r="C659" s="9">
        <v>4.64</v>
      </c>
      <c r="D659" s="9" t="s">
        <v>4684</v>
      </c>
      <c r="E659" s="9" t="s">
        <v>4684</v>
      </c>
      <c r="F659" s="9" t="s">
        <v>4686</v>
      </c>
      <c r="G659" s="9">
        <v>1.0</v>
      </c>
      <c r="H659" s="9" t="s">
        <v>4684</v>
      </c>
      <c r="I659" s="9" t="str">
        <f t="shared" si="1"/>
        <v>No</v>
      </c>
      <c r="J659" s="9">
        <f t="shared" si="2"/>
        <v>1</v>
      </c>
      <c r="K659" s="9" t="str">
        <f t="shared" si="3"/>
        <v>OBESITY</v>
      </c>
    </row>
    <row r="660" ht="15.75" customHeight="1">
      <c r="A660" s="9" t="s">
        <v>1319</v>
      </c>
      <c r="B660" s="9">
        <v>30.495</v>
      </c>
      <c r="C660" s="9">
        <v>9.53</v>
      </c>
      <c r="D660" s="9" t="s">
        <v>4684</v>
      </c>
      <c r="E660" s="9" t="s">
        <v>4684</v>
      </c>
      <c r="F660" s="9" t="s">
        <v>4684</v>
      </c>
      <c r="G660" s="9" t="s">
        <v>4685</v>
      </c>
      <c r="H660" s="9" t="s">
        <v>4684</v>
      </c>
      <c r="I660" s="9" t="str">
        <f t="shared" si="1"/>
        <v>No</v>
      </c>
      <c r="J660" s="9">
        <f t="shared" si="2"/>
        <v>0</v>
      </c>
      <c r="K660" s="9" t="str">
        <f t="shared" si="3"/>
        <v>OBESITY</v>
      </c>
    </row>
    <row r="661" ht="15.75" customHeight="1">
      <c r="A661" s="9" t="s">
        <v>1321</v>
      </c>
      <c r="B661" s="9">
        <v>17.955</v>
      </c>
      <c r="C661" s="9">
        <v>5.29</v>
      </c>
      <c r="D661" s="9" t="s">
        <v>4686</v>
      </c>
      <c r="E661" s="9" t="s">
        <v>4684</v>
      </c>
      <c r="F661" s="9" t="s">
        <v>4684</v>
      </c>
      <c r="G661" s="9">
        <v>1.0</v>
      </c>
      <c r="H661" s="9" t="s">
        <v>4686</v>
      </c>
      <c r="I661" s="9" t="str">
        <f t="shared" si="1"/>
        <v>Yes</v>
      </c>
      <c r="J661" s="9">
        <f t="shared" si="2"/>
        <v>1</v>
      </c>
      <c r="K661" s="9" t="str">
        <f t="shared" si="3"/>
        <v>UNDERWEIGHT</v>
      </c>
    </row>
    <row r="662" ht="15.75" customHeight="1">
      <c r="A662" s="9" t="s">
        <v>1323</v>
      </c>
      <c r="B662" s="9">
        <v>25.6</v>
      </c>
      <c r="C662" s="9">
        <v>10.95</v>
      </c>
      <c r="D662" s="9" t="s">
        <v>4684</v>
      </c>
      <c r="E662" s="9" t="s">
        <v>4684</v>
      </c>
      <c r="F662" s="9" t="s">
        <v>4684</v>
      </c>
      <c r="G662" s="9">
        <v>3.0</v>
      </c>
      <c r="H662" s="9" t="s">
        <v>4684</v>
      </c>
      <c r="I662" s="9" t="str">
        <f t="shared" si="1"/>
        <v>No</v>
      </c>
      <c r="J662" s="9">
        <f t="shared" si="2"/>
        <v>3</v>
      </c>
      <c r="K662" s="9" t="str">
        <f t="shared" si="3"/>
        <v>OVERWEIGHT</v>
      </c>
    </row>
    <row r="663" ht="15.75" customHeight="1">
      <c r="A663" s="9" t="s">
        <v>1325</v>
      </c>
      <c r="B663" s="9">
        <v>34.21</v>
      </c>
      <c r="C663" s="9">
        <v>9.17</v>
      </c>
      <c r="D663" s="9" t="s">
        <v>4684</v>
      </c>
      <c r="E663" s="9" t="s">
        <v>4684</v>
      </c>
      <c r="F663" s="9" t="s">
        <v>4684</v>
      </c>
      <c r="G663" s="9" t="s">
        <v>4685</v>
      </c>
      <c r="H663" s="9" t="s">
        <v>4684</v>
      </c>
      <c r="I663" s="9" t="str">
        <f t="shared" si="1"/>
        <v>No</v>
      </c>
      <c r="J663" s="9">
        <f t="shared" si="2"/>
        <v>0</v>
      </c>
      <c r="K663" s="9" t="str">
        <f t="shared" si="3"/>
        <v>OBESITY</v>
      </c>
    </row>
    <row r="664" ht="15.75" customHeight="1">
      <c r="A664" s="9" t="s">
        <v>1327</v>
      </c>
      <c r="B664" s="9">
        <v>39.74</v>
      </c>
      <c r="C664" s="9">
        <v>7.39</v>
      </c>
      <c r="D664" s="9" t="s">
        <v>4684</v>
      </c>
      <c r="E664" s="9" t="s">
        <v>4684</v>
      </c>
      <c r="F664" s="9" t="s">
        <v>4684</v>
      </c>
      <c r="G664" s="9" t="s">
        <v>4685</v>
      </c>
      <c r="H664" s="9" t="s">
        <v>4684</v>
      </c>
      <c r="I664" s="9" t="str">
        <f t="shared" si="1"/>
        <v>No</v>
      </c>
      <c r="J664" s="9">
        <f t="shared" si="2"/>
        <v>0</v>
      </c>
      <c r="K664" s="9" t="str">
        <f t="shared" si="3"/>
        <v>OBESITY</v>
      </c>
    </row>
    <row r="665" ht="15.75" customHeight="1">
      <c r="A665" s="9" t="s">
        <v>1329</v>
      </c>
      <c r="B665" s="9">
        <v>49.53</v>
      </c>
      <c r="C665" s="9">
        <v>9.13</v>
      </c>
      <c r="D665" s="9" t="s">
        <v>4686</v>
      </c>
      <c r="E665" s="9" t="s">
        <v>4684</v>
      </c>
      <c r="F665" s="9" t="s">
        <v>4684</v>
      </c>
      <c r="G665" s="9" t="s">
        <v>4685</v>
      </c>
      <c r="H665" s="9" t="s">
        <v>4684</v>
      </c>
      <c r="I665" s="9" t="str">
        <f t="shared" si="1"/>
        <v>No</v>
      </c>
      <c r="J665" s="9">
        <f t="shared" si="2"/>
        <v>0</v>
      </c>
      <c r="K665" s="9" t="str">
        <f t="shared" si="3"/>
        <v>OBESITY</v>
      </c>
    </row>
    <row r="666" ht="15.75" customHeight="1">
      <c r="A666" s="9" t="s">
        <v>1331</v>
      </c>
      <c r="B666" s="9">
        <v>39.33</v>
      </c>
      <c r="C666" s="9">
        <v>10.4</v>
      </c>
      <c r="D666" s="9" t="s">
        <v>4684</v>
      </c>
      <c r="E666" s="9" t="s">
        <v>4684</v>
      </c>
      <c r="F666" s="9" t="s">
        <v>4684</v>
      </c>
      <c r="G666" s="9">
        <v>3.0</v>
      </c>
      <c r="H666" s="9" t="s">
        <v>4684</v>
      </c>
      <c r="I666" s="9" t="str">
        <f t="shared" si="1"/>
        <v>No</v>
      </c>
      <c r="J666" s="9">
        <f t="shared" si="2"/>
        <v>3</v>
      </c>
      <c r="K666" s="9" t="str">
        <f t="shared" si="3"/>
        <v>OBESITY</v>
      </c>
    </row>
    <row r="667" ht="15.75" customHeight="1">
      <c r="A667" s="9" t="s">
        <v>1333</v>
      </c>
      <c r="B667" s="9">
        <v>39.98</v>
      </c>
      <c r="C667" s="9">
        <v>9.46</v>
      </c>
      <c r="D667" s="9" t="s">
        <v>4686</v>
      </c>
      <c r="E667" s="9" t="s">
        <v>4684</v>
      </c>
      <c r="F667" s="9" t="s">
        <v>4684</v>
      </c>
      <c r="G667" s="9">
        <v>2.0</v>
      </c>
      <c r="H667" s="9" t="s">
        <v>4684</v>
      </c>
      <c r="I667" s="9" t="str">
        <f t="shared" si="1"/>
        <v>No</v>
      </c>
      <c r="J667" s="9">
        <f t="shared" si="2"/>
        <v>2</v>
      </c>
      <c r="K667" s="9" t="str">
        <f t="shared" si="3"/>
        <v>OBESITY</v>
      </c>
    </row>
    <row r="668" ht="15.75" customHeight="1">
      <c r="A668" s="9" t="s">
        <v>1335</v>
      </c>
      <c r="B668" s="9">
        <v>46.51</v>
      </c>
      <c r="C668" s="9">
        <v>8.69</v>
      </c>
      <c r="D668" s="9" t="s">
        <v>4686</v>
      </c>
      <c r="E668" s="9" t="s">
        <v>4684</v>
      </c>
      <c r="F668" s="9" t="s">
        <v>4684</v>
      </c>
      <c r="G668" s="9" t="s">
        <v>4685</v>
      </c>
      <c r="H668" s="9" t="s">
        <v>4684</v>
      </c>
      <c r="I668" s="9" t="str">
        <f t="shared" si="1"/>
        <v>No</v>
      </c>
      <c r="J668" s="9">
        <f t="shared" si="2"/>
        <v>0</v>
      </c>
      <c r="K668" s="9" t="str">
        <f t="shared" si="3"/>
        <v>OBESITY</v>
      </c>
    </row>
    <row r="669" ht="15.75" customHeight="1">
      <c r="A669" s="9" t="s">
        <v>1337</v>
      </c>
      <c r="B669" s="9">
        <v>43.58</v>
      </c>
      <c r="C669" s="9">
        <v>4.23</v>
      </c>
      <c r="D669" s="9" t="s">
        <v>4684</v>
      </c>
      <c r="E669" s="9" t="s">
        <v>4684</v>
      </c>
      <c r="F669" s="9" t="s">
        <v>4686</v>
      </c>
      <c r="G669" s="9">
        <v>1.0</v>
      </c>
      <c r="H669" s="9" t="s">
        <v>4684</v>
      </c>
      <c r="I669" s="9" t="str">
        <f t="shared" si="1"/>
        <v>No</v>
      </c>
      <c r="J669" s="9">
        <f t="shared" si="2"/>
        <v>1</v>
      </c>
      <c r="K669" s="9" t="str">
        <f t="shared" si="3"/>
        <v>OBESITY</v>
      </c>
    </row>
    <row r="670" ht="15.75" customHeight="1">
      <c r="A670" s="9" t="s">
        <v>1339</v>
      </c>
      <c r="B670" s="9">
        <v>42.28</v>
      </c>
      <c r="C670" s="9">
        <v>9.16</v>
      </c>
      <c r="D670" s="9" t="s">
        <v>4686</v>
      </c>
      <c r="E670" s="9" t="s">
        <v>4684</v>
      </c>
      <c r="F670" s="9" t="s">
        <v>4684</v>
      </c>
      <c r="G670" s="9">
        <v>1.0</v>
      </c>
      <c r="H670" s="9" t="s">
        <v>4684</v>
      </c>
      <c r="I670" s="9" t="str">
        <f t="shared" si="1"/>
        <v>No</v>
      </c>
      <c r="J670" s="9">
        <f t="shared" si="2"/>
        <v>1</v>
      </c>
      <c r="K670" s="9" t="str">
        <f t="shared" si="3"/>
        <v>OBESITY</v>
      </c>
    </row>
    <row r="671" ht="15.75" customHeight="1">
      <c r="A671" s="9" t="s">
        <v>1341</v>
      </c>
      <c r="B671" s="9">
        <v>35.52</v>
      </c>
      <c r="C671" s="9">
        <v>8.26</v>
      </c>
      <c r="D671" s="9" t="s">
        <v>4684</v>
      </c>
      <c r="E671" s="9" t="s">
        <v>4684</v>
      </c>
      <c r="F671" s="9" t="s">
        <v>4684</v>
      </c>
      <c r="G671" s="9" t="s">
        <v>4685</v>
      </c>
      <c r="H671" s="9" t="s">
        <v>4684</v>
      </c>
      <c r="I671" s="9" t="str">
        <f t="shared" si="1"/>
        <v>No</v>
      </c>
      <c r="J671" s="9">
        <f t="shared" si="2"/>
        <v>0</v>
      </c>
      <c r="K671" s="9" t="str">
        <f t="shared" si="3"/>
        <v>OBESITY</v>
      </c>
    </row>
    <row r="672" ht="15.75" customHeight="1">
      <c r="A672" s="9" t="s">
        <v>1343</v>
      </c>
      <c r="B672" s="9">
        <v>33.6</v>
      </c>
      <c r="C672" s="9">
        <v>11.25</v>
      </c>
      <c r="D672" s="9" t="s">
        <v>4684</v>
      </c>
      <c r="E672" s="9" t="s">
        <v>4684</v>
      </c>
      <c r="F672" s="9" t="s">
        <v>4684</v>
      </c>
      <c r="G672" s="9" t="s">
        <v>4685</v>
      </c>
      <c r="H672" s="9" t="s">
        <v>4684</v>
      </c>
      <c r="I672" s="9" t="str">
        <f t="shared" si="1"/>
        <v>No</v>
      </c>
      <c r="J672" s="9">
        <f t="shared" si="2"/>
        <v>0</v>
      </c>
      <c r="K672" s="9" t="str">
        <f t="shared" si="3"/>
        <v>OBESITY</v>
      </c>
    </row>
    <row r="673" ht="15.75" customHeight="1">
      <c r="A673" s="9" t="s">
        <v>1345</v>
      </c>
      <c r="B673" s="9">
        <v>22.42</v>
      </c>
      <c r="C673" s="9">
        <v>6.74</v>
      </c>
      <c r="D673" s="9" t="s">
        <v>4684</v>
      </c>
      <c r="E673" s="9" t="s">
        <v>4684</v>
      </c>
      <c r="F673" s="9" t="s">
        <v>4684</v>
      </c>
      <c r="G673" s="9" t="s">
        <v>4685</v>
      </c>
      <c r="H673" s="9" t="s">
        <v>4686</v>
      </c>
      <c r="I673" s="9" t="str">
        <f t="shared" si="1"/>
        <v>Yes</v>
      </c>
      <c r="J673" s="9">
        <f t="shared" si="2"/>
        <v>0</v>
      </c>
      <c r="K673" s="9" t="str">
        <f t="shared" si="3"/>
        <v>NORMAL WEIGHT</v>
      </c>
    </row>
    <row r="674" ht="15.75" customHeight="1">
      <c r="A674" s="9" t="s">
        <v>1347</v>
      </c>
      <c r="B674" s="9">
        <v>46.86</v>
      </c>
      <c r="C674" s="9">
        <v>4.87</v>
      </c>
      <c r="D674" s="9" t="s">
        <v>4684</v>
      </c>
      <c r="E674" s="9" t="s">
        <v>4684</v>
      </c>
      <c r="F674" s="9" t="s">
        <v>4684</v>
      </c>
      <c r="G674" s="9" t="s">
        <v>4685</v>
      </c>
      <c r="H674" s="9" t="s">
        <v>4684</v>
      </c>
      <c r="I674" s="9" t="str">
        <f t="shared" si="1"/>
        <v>No</v>
      </c>
      <c r="J674" s="9">
        <f t="shared" si="2"/>
        <v>0</v>
      </c>
      <c r="K674" s="9" t="str">
        <f t="shared" si="3"/>
        <v>OBESITY</v>
      </c>
    </row>
    <row r="675" ht="15.75" customHeight="1">
      <c r="A675" s="9" t="s">
        <v>1349</v>
      </c>
      <c r="B675" s="9">
        <v>32.965</v>
      </c>
      <c r="C675" s="9">
        <v>6.68</v>
      </c>
      <c r="D675" s="9" t="s">
        <v>4684</v>
      </c>
      <c r="E675" s="9" t="s">
        <v>4684</v>
      </c>
      <c r="F675" s="9" t="s">
        <v>4684</v>
      </c>
      <c r="G675" s="9">
        <v>3.0</v>
      </c>
      <c r="H675" s="9" t="s">
        <v>4684</v>
      </c>
      <c r="I675" s="9" t="str">
        <f t="shared" si="1"/>
        <v>No</v>
      </c>
      <c r="J675" s="9">
        <f t="shared" si="2"/>
        <v>3</v>
      </c>
      <c r="K675" s="9" t="str">
        <f t="shared" si="3"/>
        <v>OBESITY</v>
      </c>
    </row>
    <row r="676" ht="15.75" customHeight="1">
      <c r="A676" s="9" t="s">
        <v>1351</v>
      </c>
      <c r="B676" s="9">
        <v>39.34</v>
      </c>
      <c r="C676" s="9">
        <v>5.02</v>
      </c>
      <c r="D676" s="9" t="s">
        <v>4686</v>
      </c>
      <c r="E676" s="9" t="s">
        <v>4684</v>
      </c>
      <c r="F676" s="9" t="s">
        <v>4686</v>
      </c>
      <c r="G676" s="9">
        <v>1.0</v>
      </c>
      <c r="H676" s="9" t="s">
        <v>4684</v>
      </c>
      <c r="I676" s="9" t="str">
        <f t="shared" si="1"/>
        <v>No</v>
      </c>
      <c r="J676" s="9">
        <f t="shared" si="2"/>
        <v>1</v>
      </c>
      <c r="K676" s="9" t="str">
        <f t="shared" si="3"/>
        <v>OBESITY</v>
      </c>
    </row>
    <row r="677" ht="15.75" customHeight="1">
      <c r="A677" s="9" t="s">
        <v>1353</v>
      </c>
      <c r="B677" s="9">
        <v>47.0</v>
      </c>
      <c r="C677" s="9">
        <v>10.64</v>
      </c>
      <c r="D677" s="9" t="s">
        <v>4686</v>
      </c>
      <c r="E677" s="9" t="s">
        <v>4684</v>
      </c>
      <c r="F677" s="9" t="s">
        <v>4684</v>
      </c>
      <c r="G677" s="9" t="s">
        <v>4685</v>
      </c>
      <c r="H677" s="9" t="s">
        <v>4684</v>
      </c>
      <c r="I677" s="9" t="str">
        <f t="shared" si="1"/>
        <v>No</v>
      </c>
      <c r="J677" s="9">
        <f t="shared" si="2"/>
        <v>0</v>
      </c>
      <c r="K677" s="9" t="str">
        <f t="shared" si="3"/>
        <v>OBESITY</v>
      </c>
    </row>
    <row r="678" ht="15.75" customHeight="1">
      <c r="A678" s="9" t="s">
        <v>1355</v>
      </c>
      <c r="B678" s="9">
        <v>36.71</v>
      </c>
      <c r="C678" s="9">
        <v>8.74</v>
      </c>
      <c r="D678" s="9" t="s">
        <v>4686</v>
      </c>
      <c r="E678" s="9" t="s">
        <v>4684</v>
      </c>
      <c r="F678" s="9" t="s">
        <v>4684</v>
      </c>
      <c r="G678" s="9" t="s">
        <v>4685</v>
      </c>
      <c r="H678" s="9" t="s">
        <v>4684</v>
      </c>
      <c r="I678" s="9" t="str">
        <f t="shared" si="1"/>
        <v>No</v>
      </c>
      <c r="J678" s="9">
        <f t="shared" si="2"/>
        <v>0</v>
      </c>
      <c r="K678" s="9" t="str">
        <f t="shared" si="3"/>
        <v>OBESITY</v>
      </c>
    </row>
    <row r="679" ht="15.75" customHeight="1">
      <c r="A679" s="9" t="s">
        <v>1357</v>
      </c>
      <c r="B679" s="9">
        <v>53.48</v>
      </c>
      <c r="C679" s="9">
        <v>5.64</v>
      </c>
      <c r="D679" s="9" t="s">
        <v>4684</v>
      </c>
      <c r="E679" s="9" t="s">
        <v>4684</v>
      </c>
      <c r="F679" s="9" t="s">
        <v>4684</v>
      </c>
      <c r="G679" s="9" t="s">
        <v>4685</v>
      </c>
      <c r="H679" s="9" t="s">
        <v>4684</v>
      </c>
      <c r="I679" s="9" t="str">
        <f t="shared" si="1"/>
        <v>No</v>
      </c>
      <c r="J679" s="9">
        <f t="shared" si="2"/>
        <v>0</v>
      </c>
      <c r="K679" s="9" t="str">
        <f t="shared" si="3"/>
        <v>OBESITY</v>
      </c>
    </row>
    <row r="680" ht="15.75" customHeight="1">
      <c r="A680" s="9" t="s">
        <v>1359</v>
      </c>
      <c r="B680" s="9">
        <v>35.5</v>
      </c>
      <c r="C680" s="9">
        <v>10.37</v>
      </c>
      <c r="D680" s="9" t="s">
        <v>4684</v>
      </c>
      <c r="E680" s="9" t="s">
        <v>4684</v>
      </c>
      <c r="F680" s="9" t="s">
        <v>4684</v>
      </c>
      <c r="G680" s="9" t="s">
        <v>4685</v>
      </c>
      <c r="H680" s="9" t="s">
        <v>4684</v>
      </c>
      <c r="I680" s="9" t="str">
        <f t="shared" si="1"/>
        <v>No</v>
      </c>
      <c r="J680" s="9">
        <f t="shared" si="2"/>
        <v>0</v>
      </c>
      <c r="K680" s="9" t="str">
        <f t="shared" si="3"/>
        <v>OBESITY</v>
      </c>
    </row>
    <row r="681" ht="15.75" customHeight="1">
      <c r="A681" s="9" t="s">
        <v>1361</v>
      </c>
      <c r="B681" s="9">
        <v>36.98</v>
      </c>
      <c r="C681" s="9">
        <v>9.56</v>
      </c>
      <c r="D681" s="9" t="s">
        <v>4686</v>
      </c>
      <c r="E681" s="9" t="s">
        <v>4684</v>
      </c>
      <c r="F681" s="9" t="s">
        <v>4684</v>
      </c>
      <c r="G681" s="9" t="s">
        <v>4685</v>
      </c>
      <c r="H681" s="9" t="s">
        <v>4684</v>
      </c>
      <c r="I681" s="9" t="str">
        <f t="shared" si="1"/>
        <v>No</v>
      </c>
      <c r="J681" s="9">
        <f t="shared" si="2"/>
        <v>0</v>
      </c>
      <c r="K681" s="9" t="str">
        <f t="shared" si="3"/>
        <v>OBESITY</v>
      </c>
    </row>
    <row r="682" ht="15.75" customHeight="1">
      <c r="A682" s="9" t="s">
        <v>1363</v>
      </c>
      <c r="B682" s="9">
        <v>32.395</v>
      </c>
      <c r="C682" s="9">
        <v>8.23</v>
      </c>
      <c r="D682" s="9" t="s">
        <v>4686</v>
      </c>
      <c r="E682" s="9" t="s">
        <v>4684</v>
      </c>
      <c r="F682" s="9" t="s">
        <v>4686</v>
      </c>
      <c r="G682" s="9">
        <v>1.0</v>
      </c>
      <c r="H682" s="9" t="s">
        <v>4684</v>
      </c>
      <c r="I682" s="9" t="str">
        <f t="shared" si="1"/>
        <v>No</v>
      </c>
      <c r="J682" s="9">
        <f t="shared" si="2"/>
        <v>1</v>
      </c>
      <c r="K682" s="9" t="str">
        <f t="shared" si="3"/>
        <v>OBESITY</v>
      </c>
    </row>
    <row r="683" ht="15.75" customHeight="1">
      <c r="A683" s="9" t="s">
        <v>1365</v>
      </c>
      <c r="B683" s="9">
        <v>32.73</v>
      </c>
      <c r="C683" s="9">
        <v>7.03</v>
      </c>
      <c r="D683" s="9" t="s">
        <v>4684</v>
      </c>
      <c r="E683" s="9" t="s">
        <v>4684</v>
      </c>
      <c r="F683" s="9" t="s">
        <v>4684</v>
      </c>
      <c r="G683" s="9" t="s">
        <v>4685</v>
      </c>
      <c r="H683" s="9" t="s">
        <v>4684</v>
      </c>
      <c r="I683" s="9" t="str">
        <f t="shared" si="1"/>
        <v>No</v>
      </c>
      <c r="J683" s="9">
        <f t="shared" si="2"/>
        <v>0</v>
      </c>
      <c r="K683" s="9" t="str">
        <f t="shared" si="3"/>
        <v>OBESITY</v>
      </c>
    </row>
    <row r="684" ht="15.75" customHeight="1">
      <c r="A684" s="9" t="s">
        <v>1367</v>
      </c>
      <c r="B684" s="9">
        <v>20.52</v>
      </c>
      <c r="C684" s="9">
        <v>5.45</v>
      </c>
      <c r="D684" s="9" t="s">
        <v>4684</v>
      </c>
      <c r="E684" s="9" t="s">
        <v>4684</v>
      </c>
      <c r="F684" s="9" t="s">
        <v>4684</v>
      </c>
      <c r="G684" s="9">
        <v>1.0</v>
      </c>
      <c r="H684" s="9" t="s">
        <v>4686</v>
      </c>
      <c r="I684" s="9" t="str">
        <f t="shared" si="1"/>
        <v>Yes</v>
      </c>
      <c r="J684" s="9">
        <f t="shared" si="2"/>
        <v>1</v>
      </c>
      <c r="K684" s="9" t="str">
        <f t="shared" si="3"/>
        <v>NORMAL WEIGHT</v>
      </c>
    </row>
    <row r="685" ht="15.75" customHeight="1">
      <c r="A685" s="9" t="s">
        <v>1369</v>
      </c>
      <c r="B685" s="9">
        <v>51.72</v>
      </c>
      <c r="C685" s="9">
        <v>5.76</v>
      </c>
      <c r="D685" s="9" t="s">
        <v>4684</v>
      </c>
      <c r="E685" s="9" t="s">
        <v>4684</v>
      </c>
      <c r="F685" s="9" t="s">
        <v>4684</v>
      </c>
      <c r="G685" s="9" t="s">
        <v>4685</v>
      </c>
      <c r="H685" s="9" t="s">
        <v>4684</v>
      </c>
      <c r="I685" s="9" t="str">
        <f t="shared" si="1"/>
        <v>No</v>
      </c>
      <c r="J685" s="9">
        <f t="shared" si="2"/>
        <v>0</v>
      </c>
      <c r="K685" s="9" t="str">
        <f t="shared" si="3"/>
        <v>OBESITY</v>
      </c>
    </row>
    <row r="686" ht="15.75" customHeight="1">
      <c r="A686" s="9" t="s">
        <v>1371</v>
      </c>
      <c r="B686" s="9">
        <v>50.2</v>
      </c>
      <c r="C686" s="9">
        <v>5.4</v>
      </c>
      <c r="D686" s="9" t="s">
        <v>4684</v>
      </c>
      <c r="E686" s="9" t="s">
        <v>4684</v>
      </c>
      <c r="F686" s="9" t="s">
        <v>4684</v>
      </c>
      <c r="G686" s="9" t="s">
        <v>4685</v>
      </c>
      <c r="H686" s="9" t="s">
        <v>4684</v>
      </c>
      <c r="I686" s="9" t="str">
        <f t="shared" si="1"/>
        <v>No</v>
      </c>
      <c r="J686" s="9">
        <f t="shared" si="2"/>
        <v>0</v>
      </c>
      <c r="K686" s="9" t="str">
        <f t="shared" si="3"/>
        <v>OBESITY</v>
      </c>
    </row>
    <row r="687" ht="15.75" customHeight="1">
      <c r="A687" s="9" t="s">
        <v>1373</v>
      </c>
      <c r="B687" s="9">
        <v>25.52</v>
      </c>
      <c r="C687" s="9">
        <v>6.35</v>
      </c>
      <c r="D687" s="9" t="s">
        <v>4684</v>
      </c>
      <c r="E687" s="9" t="s">
        <v>4684</v>
      </c>
      <c r="F687" s="9" t="s">
        <v>4686</v>
      </c>
      <c r="G687" s="9">
        <v>1.0</v>
      </c>
      <c r="H687" s="9" t="s">
        <v>4684</v>
      </c>
      <c r="I687" s="9" t="str">
        <f t="shared" si="1"/>
        <v>No</v>
      </c>
      <c r="J687" s="9">
        <f t="shared" si="2"/>
        <v>1</v>
      </c>
      <c r="K687" s="9" t="str">
        <f t="shared" si="3"/>
        <v>OVERWEIGHT</v>
      </c>
    </row>
    <row r="688" ht="15.75" customHeight="1">
      <c r="A688" s="9" t="s">
        <v>1375</v>
      </c>
      <c r="B688" s="9">
        <v>35.2</v>
      </c>
      <c r="C688" s="9">
        <v>6.26</v>
      </c>
      <c r="D688" s="9" t="s">
        <v>4686</v>
      </c>
      <c r="E688" s="9" t="s">
        <v>4684</v>
      </c>
      <c r="F688" s="9" t="s">
        <v>4684</v>
      </c>
      <c r="G688" s="9">
        <v>2.0</v>
      </c>
      <c r="H688" s="9" t="s">
        <v>4684</v>
      </c>
      <c r="I688" s="9" t="str">
        <f t="shared" si="1"/>
        <v>No</v>
      </c>
      <c r="J688" s="9">
        <f t="shared" si="2"/>
        <v>2</v>
      </c>
      <c r="K688" s="9" t="str">
        <f t="shared" si="3"/>
        <v>OBESITY</v>
      </c>
    </row>
    <row r="689" ht="15.75" customHeight="1">
      <c r="A689" s="9" t="s">
        <v>1377</v>
      </c>
      <c r="B689" s="9">
        <v>41.26</v>
      </c>
      <c r="C689" s="9">
        <v>5.97</v>
      </c>
      <c r="D689" s="9" t="s">
        <v>4686</v>
      </c>
      <c r="E689" s="9" t="s">
        <v>4684</v>
      </c>
      <c r="F689" s="9" t="s">
        <v>4684</v>
      </c>
      <c r="G689" s="9" t="s">
        <v>4685</v>
      </c>
      <c r="H689" s="9" t="s">
        <v>4684</v>
      </c>
      <c r="I689" s="9" t="str">
        <f t="shared" si="1"/>
        <v>No</v>
      </c>
      <c r="J689" s="9">
        <f t="shared" si="2"/>
        <v>0</v>
      </c>
      <c r="K689" s="9" t="str">
        <f t="shared" si="3"/>
        <v>OBESITY</v>
      </c>
    </row>
    <row r="690" ht="15.75" customHeight="1">
      <c r="A690" s="9" t="s">
        <v>1379</v>
      </c>
      <c r="B690" s="9">
        <v>17.195</v>
      </c>
      <c r="C690" s="9">
        <v>5.29</v>
      </c>
      <c r="D690" s="9" t="s">
        <v>4686</v>
      </c>
      <c r="E690" s="9" t="s">
        <v>4684</v>
      </c>
      <c r="F690" s="9" t="s">
        <v>4684</v>
      </c>
      <c r="G690" s="9" t="s">
        <v>4685</v>
      </c>
      <c r="H690" s="9" t="s">
        <v>4686</v>
      </c>
      <c r="I690" s="9" t="str">
        <f t="shared" si="1"/>
        <v>Yes</v>
      </c>
      <c r="J690" s="9">
        <f t="shared" si="2"/>
        <v>0</v>
      </c>
      <c r="K690" s="9" t="str">
        <f t="shared" si="3"/>
        <v>UNDERWEIGHT</v>
      </c>
    </row>
    <row r="691" ht="15.75" customHeight="1">
      <c r="A691" s="9" t="s">
        <v>1381</v>
      </c>
      <c r="B691" s="9">
        <v>23.085</v>
      </c>
      <c r="C691" s="9">
        <v>4.27</v>
      </c>
      <c r="D691" s="9" t="s">
        <v>4686</v>
      </c>
      <c r="E691" s="9" t="s">
        <v>4684</v>
      </c>
      <c r="F691" s="9" t="s">
        <v>4684</v>
      </c>
      <c r="G691" s="9">
        <v>2.0</v>
      </c>
      <c r="H691" s="9" t="s">
        <v>4684</v>
      </c>
      <c r="I691" s="9" t="str">
        <f t="shared" si="1"/>
        <v>No</v>
      </c>
      <c r="J691" s="9">
        <f t="shared" si="2"/>
        <v>2</v>
      </c>
      <c r="K691" s="9" t="str">
        <f t="shared" si="3"/>
        <v>NORMAL WEIGHT</v>
      </c>
    </row>
    <row r="692" ht="15.75" customHeight="1">
      <c r="A692" s="9" t="s">
        <v>1383</v>
      </c>
      <c r="B692" s="9">
        <v>21.66</v>
      </c>
      <c r="C692" s="9">
        <v>5.2</v>
      </c>
      <c r="D692" s="9" t="s">
        <v>4686</v>
      </c>
      <c r="E692" s="9" t="s">
        <v>4684</v>
      </c>
      <c r="F692" s="9" t="s">
        <v>4684</v>
      </c>
      <c r="G692" s="9">
        <v>2.0</v>
      </c>
      <c r="H692" s="9" t="s">
        <v>4684</v>
      </c>
      <c r="I692" s="9" t="str">
        <f t="shared" si="1"/>
        <v>No</v>
      </c>
      <c r="J692" s="9">
        <f t="shared" si="2"/>
        <v>2</v>
      </c>
      <c r="K692" s="9" t="str">
        <f t="shared" si="3"/>
        <v>NORMAL WEIGHT</v>
      </c>
    </row>
    <row r="693" ht="15.75" customHeight="1">
      <c r="A693" s="9" t="s">
        <v>1385</v>
      </c>
      <c r="B693" s="9">
        <v>36.47</v>
      </c>
      <c r="C693" s="9">
        <v>8.23</v>
      </c>
      <c r="D693" s="9" t="s">
        <v>4686</v>
      </c>
      <c r="E693" s="9" t="s">
        <v>4684</v>
      </c>
      <c r="F693" s="9" t="s">
        <v>4684</v>
      </c>
      <c r="G693" s="9" t="s">
        <v>4685</v>
      </c>
      <c r="H693" s="9" t="s">
        <v>4684</v>
      </c>
      <c r="I693" s="9" t="str">
        <f t="shared" si="1"/>
        <v>No</v>
      </c>
      <c r="J693" s="9">
        <f t="shared" si="2"/>
        <v>0</v>
      </c>
      <c r="K693" s="9" t="str">
        <f t="shared" si="3"/>
        <v>OBESITY</v>
      </c>
    </row>
    <row r="694" ht="15.75" customHeight="1">
      <c r="A694" s="9" t="s">
        <v>1387</v>
      </c>
      <c r="B694" s="9">
        <v>36.08</v>
      </c>
      <c r="C694" s="9">
        <v>10.33</v>
      </c>
      <c r="D694" s="9" t="s">
        <v>4686</v>
      </c>
      <c r="E694" s="9" t="s">
        <v>4684</v>
      </c>
      <c r="F694" s="9" t="s">
        <v>4684</v>
      </c>
      <c r="G694" s="9" t="s">
        <v>4685</v>
      </c>
      <c r="H694" s="9" t="s">
        <v>4684</v>
      </c>
      <c r="I694" s="9" t="str">
        <f t="shared" si="1"/>
        <v>No</v>
      </c>
      <c r="J694" s="9">
        <f t="shared" si="2"/>
        <v>0</v>
      </c>
      <c r="K694" s="9" t="str">
        <f t="shared" si="3"/>
        <v>OBESITY</v>
      </c>
    </row>
    <row r="695" ht="15.75" customHeight="1">
      <c r="A695" s="9" t="s">
        <v>1389</v>
      </c>
      <c r="B695" s="9">
        <v>23.18</v>
      </c>
      <c r="C695" s="9">
        <v>6.13</v>
      </c>
      <c r="D695" s="9" t="s">
        <v>4684</v>
      </c>
      <c r="E695" s="9" t="s">
        <v>4684</v>
      </c>
      <c r="F695" s="9" t="s">
        <v>4684</v>
      </c>
      <c r="G695" s="9" t="s">
        <v>4685</v>
      </c>
      <c r="H695" s="9" t="s">
        <v>4684</v>
      </c>
      <c r="I695" s="9" t="str">
        <f t="shared" si="1"/>
        <v>No</v>
      </c>
      <c r="J695" s="9">
        <f t="shared" si="2"/>
        <v>0</v>
      </c>
      <c r="K695" s="9" t="str">
        <f t="shared" si="3"/>
        <v>NORMAL WEIGHT</v>
      </c>
    </row>
    <row r="696" ht="15.75" customHeight="1">
      <c r="A696" s="9" t="s">
        <v>1391</v>
      </c>
      <c r="B696" s="9">
        <v>39.16</v>
      </c>
      <c r="C696" s="9">
        <v>8.08</v>
      </c>
      <c r="D696" s="9" t="s">
        <v>4684</v>
      </c>
      <c r="E696" s="9" t="s">
        <v>4684</v>
      </c>
      <c r="F696" s="9" t="s">
        <v>4684</v>
      </c>
      <c r="G696" s="9">
        <v>3.0</v>
      </c>
      <c r="H696" s="9" t="s">
        <v>4684</v>
      </c>
      <c r="I696" s="9" t="str">
        <f t="shared" si="1"/>
        <v>No</v>
      </c>
      <c r="J696" s="9">
        <f t="shared" si="2"/>
        <v>3</v>
      </c>
      <c r="K696" s="9" t="str">
        <f t="shared" si="3"/>
        <v>OBESITY</v>
      </c>
    </row>
    <row r="697" ht="15.75" customHeight="1">
      <c r="A697" s="9" t="s">
        <v>1393</v>
      </c>
      <c r="B697" s="9">
        <v>38.19</v>
      </c>
      <c r="C697" s="9">
        <v>10.49</v>
      </c>
      <c r="D697" s="9" t="s">
        <v>4684</v>
      </c>
      <c r="E697" s="9" t="s">
        <v>4684</v>
      </c>
      <c r="F697" s="9" t="s">
        <v>4684</v>
      </c>
      <c r="G697" s="9">
        <v>3.0</v>
      </c>
      <c r="H697" s="9" t="s">
        <v>4684</v>
      </c>
      <c r="I697" s="9" t="str">
        <f t="shared" si="1"/>
        <v>No</v>
      </c>
      <c r="J697" s="9">
        <f t="shared" si="2"/>
        <v>3</v>
      </c>
      <c r="K697" s="9" t="str">
        <f t="shared" si="3"/>
        <v>OBESITY</v>
      </c>
    </row>
    <row r="698" ht="15.75" customHeight="1">
      <c r="A698" s="9" t="s">
        <v>1395</v>
      </c>
      <c r="B698" s="9">
        <v>26.41</v>
      </c>
      <c r="C698" s="9">
        <v>8.11</v>
      </c>
      <c r="D698" s="9" t="s">
        <v>4684</v>
      </c>
      <c r="E698" s="9" t="s">
        <v>4684</v>
      </c>
      <c r="F698" s="9" t="s">
        <v>4684</v>
      </c>
      <c r="G698" s="9">
        <v>3.0</v>
      </c>
      <c r="H698" s="9" t="s">
        <v>4684</v>
      </c>
      <c r="I698" s="9" t="str">
        <f t="shared" si="1"/>
        <v>No</v>
      </c>
      <c r="J698" s="9">
        <f t="shared" si="2"/>
        <v>3</v>
      </c>
      <c r="K698" s="9" t="str">
        <f t="shared" si="3"/>
        <v>OVERWEIGHT</v>
      </c>
    </row>
    <row r="699" ht="15.75" customHeight="1">
      <c r="A699" s="9" t="s">
        <v>1397</v>
      </c>
      <c r="B699" s="9">
        <v>28.785</v>
      </c>
      <c r="C699" s="9">
        <v>6.6</v>
      </c>
      <c r="D699" s="9" t="s">
        <v>4684</v>
      </c>
      <c r="E699" s="9" t="s">
        <v>4684</v>
      </c>
      <c r="F699" s="9" t="s">
        <v>4684</v>
      </c>
      <c r="G699" s="9" t="s">
        <v>4685</v>
      </c>
      <c r="H699" s="9" t="s">
        <v>4684</v>
      </c>
      <c r="I699" s="9" t="str">
        <f t="shared" si="1"/>
        <v>No</v>
      </c>
      <c r="J699" s="9">
        <f t="shared" si="2"/>
        <v>0</v>
      </c>
      <c r="K699" s="9" t="str">
        <f t="shared" si="3"/>
        <v>OVERWEIGHT</v>
      </c>
    </row>
    <row r="700" ht="15.75" customHeight="1">
      <c r="A700" s="9" t="s">
        <v>1399</v>
      </c>
      <c r="B700" s="9">
        <v>26.695</v>
      </c>
      <c r="C700" s="9">
        <v>10.14</v>
      </c>
      <c r="D700" s="9" t="s">
        <v>4686</v>
      </c>
      <c r="E700" s="9" t="s">
        <v>4684</v>
      </c>
      <c r="F700" s="9" t="s">
        <v>4686</v>
      </c>
      <c r="G700" s="9">
        <v>1.0</v>
      </c>
      <c r="H700" s="9" t="s">
        <v>4684</v>
      </c>
      <c r="I700" s="9" t="str">
        <f t="shared" si="1"/>
        <v>No</v>
      </c>
      <c r="J700" s="9">
        <f t="shared" si="2"/>
        <v>1</v>
      </c>
      <c r="K700" s="9" t="str">
        <f t="shared" si="3"/>
        <v>OVERWEIGHT</v>
      </c>
    </row>
    <row r="701" ht="15.75" customHeight="1">
      <c r="A701" s="9" t="s">
        <v>1401</v>
      </c>
      <c r="B701" s="9">
        <v>32.8</v>
      </c>
      <c r="C701" s="9">
        <v>6.06</v>
      </c>
      <c r="D701" s="9" t="s">
        <v>4686</v>
      </c>
      <c r="E701" s="9" t="s">
        <v>4684</v>
      </c>
      <c r="F701" s="9" t="s">
        <v>4684</v>
      </c>
      <c r="G701" s="9">
        <v>1.0</v>
      </c>
      <c r="H701" s="9" t="s">
        <v>4684</v>
      </c>
      <c r="I701" s="9" t="str">
        <f t="shared" si="1"/>
        <v>No</v>
      </c>
      <c r="J701" s="9">
        <f t="shared" si="2"/>
        <v>1</v>
      </c>
      <c r="K701" s="9" t="str">
        <f t="shared" si="3"/>
        <v>OBESITY</v>
      </c>
    </row>
    <row r="702" ht="15.75" customHeight="1">
      <c r="A702" s="9" t="s">
        <v>1403</v>
      </c>
      <c r="B702" s="9">
        <v>35.87</v>
      </c>
      <c r="C702" s="9">
        <v>9.91</v>
      </c>
      <c r="D702" s="9" t="s">
        <v>4686</v>
      </c>
      <c r="E702" s="9" t="s">
        <v>4684</v>
      </c>
      <c r="F702" s="9" t="s">
        <v>4684</v>
      </c>
      <c r="G702" s="9" t="s">
        <v>4685</v>
      </c>
      <c r="H702" s="9" t="s">
        <v>4684</v>
      </c>
      <c r="I702" s="9" t="str">
        <f t="shared" si="1"/>
        <v>No</v>
      </c>
      <c r="J702" s="9">
        <f t="shared" si="2"/>
        <v>0</v>
      </c>
      <c r="K702" s="9" t="str">
        <f t="shared" si="3"/>
        <v>OBESITY</v>
      </c>
    </row>
    <row r="703" ht="15.75" customHeight="1">
      <c r="A703" s="9" t="s">
        <v>1405</v>
      </c>
      <c r="B703" s="9">
        <v>21.66</v>
      </c>
      <c r="C703" s="9">
        <v>4.14</v>
      </c>
      <c r="D703" s="9" t="s">
        <v>4686</v>
      </c>
      <c r="E703" s="9" t="s">
        <v>4684</v>
      </c>
      <c r="F703" s="9" t="s">
        <v>4684</v>
      </c>
      <c r="G703" s="9">
        <v>2.0</v>
      </c>
      <c r="H703" s="9" t="s">
        <v>4684</v>
      </c>
      <c r="I703" s="9" t="str">
        <f t="shared" si="1"/>
        <v>No</v>
      </c>
      <c r="J703" s="9">
        <f t="shared" si="2"/>
        <v>2</v>
      </c>
      <c r="K703" s="9" t="str">
        <f t="shared" si="3"/>
        <v>NORMAL WEIGHT</v>
      </c>
    </row>
    <row r="704" ht="15.75" customHeight="1">
      <c r="A704" s="9" t="s">
        <v>1407</v>
      </c>
      <c r="B704" s="9">
        <v>37.72</v>
      </c>
      <c r="C704" s="9">
        <v>4.38</v>
      </c>
      <c r="D704" s="9" t="s">
        <v>4686</v>
      </c>
      <c r="E704" s="9" t="s">
        <v>4684</v>
      </c>
      <c r="F704" s="9" t="s">
        <v>4686</v>
      </c>
      <c r="G704" s="9">
        <v>1.0</v>
      </c>
      <c r="H704" s="9" t="s">
        <v>4684</v>
      </c>
      <c r="I704" s="9" t="str">
        <f t="shared" si="1"/>
        <v>No</v>
      </c>
      <c r="J704" s="9">
        <f t="shared" si="2"/>
        <v>1</v>
      </c>
      <c r="K704" s="9" t="str">
        <f t="shared" si="3"/>
        <v>OBESITY</v>
      </c>
    </row>
    <row r="705" ht="15.75" customHeight="1">
      <c r="A705" s="9" t="s">
        <v>1409</v>
      </c>
      <c r="B705" s="9">
        <v>39.7</v>
      </c>
      <c r="C705" s="9">
        <v>9.83</v>
      </c>
      <c r="D705" s="9" t="s">
        <v>4684</v>
      </c>
      <c r="E705" s="9" t="s">
        <v>4684</v>
      </c>
      <c r="F705" s="9" t="s">
        <v>4684</v>
      </c>
      <c r="G705" s="9">
        <v>3.0</v>
      </c>
      <c r="H705" s="9" t="s">
        <v>4684</v>
      </c>
      <c r="I705" s="9" t="str">
        <f t="shared" si="1"/>
        <v>No</v>
      </c>
      <c r="J705" s="9">
        <f t="shared" si="2"/>
        <v>3</v>
      </c>
      <c r="K705" s="9" t="str">
        <f t="shared" si="3"/>
        <v>OBESITY</v>
      </c>
    </row>
    <row r="706" ht="15.75" customHeight="1">
      <c r="A706" s="9" t="s">
        <v>1411</v>
      </c>
      <c r="B706" s="9">
        <v>35.97</v>
      </c>
      <c r="C706" s="9">
        <v>11.08</v>
      </c>
      <c r="D706" s="9" t="s">
        <v>4684</v>
      </c>
      <c r="E706" s="9" t="s">
        <v>4684</v>
      </c>
      <c r="F706" s="9" t="s">
        <v>4684</v>
      </c>
      <c r="G706" s="9">
        <v>3.0</v>
      </c>
      <c r="H706" s="9" t="s">
        <v>4684</v>
      </c>
      <c r="I706" s="9" t="str">
        <f t="shared" si="1"/>
        <v>No</v>
      </c>
      <c r="J706" s="9">
        <f t="shared" si="2"/>
        <v>3</v>
      </c>
      <c r="K706" s="9" t="str">
        <f t="shared" si="3"/>
        <v>OBESITY</v>
      </c>
    </row>
    <row r="707" ht="15.75" customHeight="1">
      <c r="A707" s="9" t="s">
        <v>1413</v>
      </c>
      <c r="B707" s="9">
        <v>37.85</v>
      </c>
      <c r="C707" s="9">
        <v>11.01</v>
      </c>
      <c r="D707" s="9" t="s">
        <v>4684</v>
      </c>
      <c r="E707" s="9" t="s">
        <v>4684</v>
      </c>
      <c r="F707" s="9" t="s">
        <v>4684</v>
      </c>
      <c r="G707" s="9" t="s">
        <v>4685</v>
      </c>
      <c r="H707" s="9" t="s">
        <v>4684</v>
      </c>
      <c r="I707" s="9" t="str">
        <f t="shared" si="1"/>
        <v>No</v>
      </c>
      <c r="J707" s="9">
        <f t="shared" si="2"/>
        <v>0</v>
      </c>
      <c r="K707" s="9" t="str">
        <f t="shared" si="3"/>
        <v>OBESITY</v>
      </c>
    </row>
    <row r="708" ht="15.75" customHeight="1">
      <c r="A708" s="9" t="s">
        <v>1415</v>
      </c>
      <c r="B708" s="9">
        <v>21.66</v>
      </c>
      <c r="C708" s="9">
        <v>4.37</v>
      </c>
      <c r="D708" s="9" t="s">
        <v>4684</v>
      </c>
      <c r="E708" s="9" t="s">
        <v>4686</v>
      </c>
      <c r="F708" s="9" t="s">
        <v>4684</v>
      </c>
      <c r="G708" s="9">
        <v>1.0</v>
      </c>
      <c r="H708" s="9" t="s">
        <v>4686</v>
      </c>
      <c r="I708" s="9" t="str">
        <f t="shared" si="1"/>
        <v>Yes</v>
      </c>
      <c r="J708" s="9">
        <f t="shared" si="2"/>
        <v>1</v>
      </c>
      <c r="K708" s="9" t="str">
        <f t="shared" si="3"/>
        <v>NORMAL WEIGHT</v>
      </c>
    </row>
    <row r="709" ht="15.75" customHeight="1">
      <c r="A709" s="9" t="s">
        <v>1417</v>
      </c>
      <c r="B709" s="9">
        <v>39.37</v>
      </c>
      <c r="C709" s="9">
        <v>5.91</v>
      </c>
      <c r="D709" s="9" t="s">
        <v>4684</v>
      </c>
      <c r="E709" s="9" t="s">
        <v>4684</v>
      </c>
      <c r="F709" s="9" t="s">
        <v>4684</v>
      </c>
      <c r="G709" s="9">
        <v>2.0</v>
      </c>
      <c r="H709" s="9" t="s">
        <v>4684</v>
      </c>
      <c r="I709" s="9" t="str">
        <f t="shared" si="1"/>
        <v>No</v>
      </c>
      <c r="J709" s="9">
        <f t="shared" si="2"/>
        <v>2</v>
      </c>
      <c r="K709" s="9" t="str">
        <f t="shared" si="3"/>
        <v>OBESITY</v>
      </c>
    </row>
    <row r="710" ht="15.75" customHeight="1">
      <c r="A710" s="9" t="s">
        <v>1419</v>
      </c>
      <c r="B710" s="9">
        <v>40.88</v>
      </c>
      <c r="C710" s="9">
        <v>7.65</v>
      </c>
      <c r="D710" s="9" t="s">
        <v>4684</v>
      </c>
      <c r="E710" s="9" t="s">
        <v>4684</v>
      </c>
      <c r="F710" s="9" t="s">
        <v>4684</v>
      </c>
      <c r="G710" s="9" t="s">
        <v>4685</v>
      </c>
      <c r="H710" s="9" t="s">
        <v>4684</v>
      </c>
      <c r="I710" s="9" t="str">
        <f t="shared" si="1"/>
        <v>No</v>
      </c>
      <c r="J710" s="9">
        <f t="shared" si="2"/>
        <v>0</v>
      </c>
      <c r="K710" s="9" t="str">
        <f t="shared" si="3"/>
        <v>OBESITY</v>
      </c>
    </row>
    <row r="711" ht="15.75" customHeight="1">
      <c r="A711" s="9" t="s">
        <v>1421</v>
      </c>
      <c r="B711" s="9">
        <v>26.22</v>
      </c>
      <c r="C711" s="9">
        <v>5.37</v>
      </c>
      <c r="D711" s="9" t="s">
        <v>4686</v>
      </c>
      <c r="E711" s="9" t="s">
        <v>4684</v>
      </c>
      <c r="F711" s="9" t="s">
        <v>4684</v>
      </c>
      <c r="G711" s="9">
        <v>2.0</v>
      </c>
      <c r="H711" s="9" t="s">
        <v>4684</v>
      </c>
      <c r="I711" s="9" t="str">
        <f t="shared" si="1"/>
        <v>No</v>
      </c>
      <c r="J711" s="9">
        <f t="shared" si="2"/>
        <v>2</v>
      </c>
      <c r="K711" s="9" t="str">
        <f t="shared" si="3"/>
        <v>OVERWEIGHT</v>
      </c>
    </row>
    <row r="712" ht="15.75" customHeight="1">
      <c r="A712" s="9" t="s">
        <v>1423</v>
      </c>
      <c r="B712" s="9">
        <v>25.08</v>
      </c>
      <c r="C712" s="9">
        <v>5.75</v>
      </c>
      <c r="D712" s="9" t="s">
        <v>4686</v>
      </c>
      <c r="E712" s="9" t="s">
        <v>4684</v>
      </c>
      <c r="F712" s="9" t="s">
        <v>4684</v>
      </c>
      <c r="G712" s="9">
        <v>2.0</v>
      </c>
      <c r="H712" s="9" t="s">
        <v>4684</v>
      </c>
      <c r="I712" s="9" t="str">
        <f t="shared" si="1"/>
        <v>No</v>
      </c>
      <c r="J712" s="9">
        <f t="shared" si="2"/>
        <v>2</v>
      </c>
      <c r="K712" s="9" t="str">
        <f t="shared" si="3"/>
        <v>OVERWEIGHT</v>
      </c>
    </row>
    <row r="713" ht="15.75" customHeight="1">
      <c r="A713" s="9" t="s">
        <v>1425</v>
      </c>
      <c r="B713" s="9">
        <v>39.1</v>
      </c>
      <c r="C713" s="9">
        <v>6.79</v>
      </c>
      <c r="D713" s="9" t="s">
        <v>4686</v>
      </c>
      <c r="E713" s="9" t="s">
        <v>4684</v>
      </c>
      <c r="F713" s="9" t="s">
        <v>4684</v>
      </c>
      <c r="G713" s="9">
        <v>2.0</v>
      </c>
      <c r="H713" s="9" t="s">
        <v>4684</v>
      </c>
      <c r="I713" s="9" t="str">
        <f t="shared" si="1"/>
        <v>No</v>
      </c>
      <c r="J713" s="9">
        <f t="shared" si="2"/>
        <v>2</v>
      </c>
      <c r="K713" s="9" t="str">
        <f t="shared" si="3"/>
        <v>OBESITY</v>
      </c>
    </row>
    <row r="714" ht="15.75" customHeight="1">
      <c r="A714" s="9" t="s">
        <v>1427</v>
      </c>
      <c r="B714" s="9">
        <v>37.905</v>
      </c>
      <c r="C714" s="9">
        <v>7.03</v>
      </c>
      <c r="D714" s="9" t="s">
        <v>4684</v>
      </c>
      <c r="E714" s="9" t="s">
        <v>4684</v>
      </c>
      <c r="F714" s="9" t="s">
        <v>4684</v>
      </c>
      <c r="G714" s="9">
        <v>3.0</v>
      </c>
      <c r="H714" s="9" t="s">
        <v>4684</v>
      </c>
      <c r="I714" s="9" t="str">
        <f t="shared" si="1"/>
        <v>No</v>
      </c>
      <c r="J714" s="9">
        <f t="shared" si="2"/>
        <v>3</v>
      </c>
      <c r="K714" s="9" t="str">
        <f t="shared" si="3"/>
        <v>OBESITY</v>
      </c>
    </row>
    <row r="715" ht="15.75" customHeight="1">
      <c r="A715" s="9" t="s">
        <v>1429</v>
      </c>
      <c r="B715" s="9">
        <v>43.35</v>
      </c>
      <c r="C715" s="9">
        <v>5.41</v>
      </c>
      <c r="D715" s="9" t="s">
        <v>4686</v>
      </c>
      <c r="E715" s="9" t="s">
        <v>4684</v>
      </c>
      <c r="F715" s="9" t="s">
        <v>4686</v>
      </c>
      <c r="G715" s="9">
        <v>1.0</v>
      </c>
      <c r="H715" s="9" t="s">
        <v>4684</v>
      </c>
      <c r="I715" s="9" t="str">
        <f t="shared" si="1"/>
        <v>No</v>
      </c>
      <c r="J715" s="9">
        <f t="shared" si="2"/>
        <v>1</v>
      </c>
      <c r="K715" s="9" t="str">
        <f t="shared" si="3"/>
        <v>OBESITY</v>
      </c>
    </row>
    <row r="716" ht="15.75" customHeight="1">
      <c r="A716" s="9" t="s">
        <v>1431</v>
      </c>
      <c r="B716" s="9">
        <v>36.15</v>
      </c>
      <c r="C716" s="9">
        <v>8.05</v>
      </c>
      <c r="D716" s="9" t="s">
        <v>4684</v>
      </c>
      <c r="E716" s="9" t="s">
        <v>4684</v>
      </c>
      <c r="F716" s="9" t="s">
        <v>4684</v>
      </c>
      <c r="G716" s="9" t="s">
        <v>4685</v>
      </c>
      <c r="H716" s="9" t="s">
        <v>4684</v>
      </c>
      <c r="I716" s="9" t="str">
        <f t="shared" si="1"/>
        <v>No</v>
      </c>
      <c r="J716" s="9">
        <f t="shared" si="2"/>
        <v>0</v>
      </c>
      <c r="K716" s="9" t="str">
        <f t="shared" si="3"/>
        <v>OBESITY</v>
      </c>
    </row>
    <row r="717" ht="15.75" customHeight="1">
      <c r="A717" s="9" t="s">
        <v>1433</v>
      </c>
      <c r="B717" s="9">
        <v>44.98</v>
      </c>
      <c r="C717" s="9">
        <v>5.94</v>
      </c>
      <c r="D717" s="9" t="s">
        <v>4684</v>
      </c>
      <c r="E717" s="9" t="s">
        <v>4684</v>
      </c>
      <c r="F717" s="9" t="s">
        <v>4684</v>
      </c>
      <c r="G717" s="9">
        <v>1.0</v>
      </c>
      <c r="H717" s="9" t="s">
        <v>4684</v>
      </c>
      <c r="I717" s="9" t="str">
        <f t="shared" si="1"/>
        <v>No</v>
      </c>
      <c r="J717" s="9">
        <f t="shared" si="2"/>
        <v>1</v>
      </c>
      <c r="K717" s="9" t="str">
        <f t="shared" si="3"/>
        <v>OBESITY</v>
      </c>
    </row>
    <row r="718" ht="15.75" customHeight="1">
      <c r="A718" s="9" t="s">
        <v>1435</v>
      </c>
      <c r="B718" s="9">
        <v>38.28</v>
      </c>
      <c r="C718" s="9">
        <v>5.51</v>
      </c>
      <c r="D718" s="9" t="s">
        <v>4684</v>
      </c>
      <c r="E718" s="9" t="s">
        <v>4686</v>
      </c>
      <c r="F718" s="9" t="s">
        <v>4684</v>
      </c>
      <c r="G718" s="9">
        <v>1.0</v>
      </c>
      <c r="H718" s="9" t="s">
        <v>4684</v>
      </c>
      <c r="I718" s="9" t="str">
        <f t="shared" si="1"/>
        <v>No</v>
      </c>
      <c r="J718" s="9">
        <f t="shared" si="2"/>
        <v>1</v>
      </c>
      <c r="K718" s="9" t="str">
        <f t="shared" si="3"/>
        <v>OBESITY</v>
      </c>
    </row>
    <row r="719" ht="15.75" customHeight="1">
      <c r="A719" s="9" t="s">
        <v>1437</v>
      </c>
      <c r="B719" s="9">
        <v>32.3</v>
      </c>
      <c r="C719" s="9">
        <v>6.55</v>
      </c>
      <c r="D719" s="9" t="s">
        <v>4686</v>
      </c>
      <c r="E719" s="9" t="s">
        <v>4684</v>
      </c>
      <c r="F719" s="9" t="s">
        <v>4684</v>
      </c>
      <c r="G719" s="9">
        <v>2.0</v>
      </c>
      <c r="H719" s="9" t="s">
        <v>4684</v>
      </c>
      <c r="I719" s="9" t="str">
        <f t="shared" si="1"/>
        <v>No</v>
      </c>
      <c r="J719" s="9">
        <f t="shared" si="2"/>
        <v>2</v>
      </c>
      <c r="K719" s="9" t="str">
        <f t="shared" si="3"/>
        <v>OBESITY</v>
      </c>
    </row>
    <row r="720" ht="15.75" customHeight="1">
      <c r="A720" s="9" t="s">
        <v>1439</v>
      </c>
      <c r="B720" s="9">
        <v>39.51</v>
      </c>
      <c r="C720" s="9">
        <v>5.79</v>
      </c>
      <c r="D720" s="9" t="s">
        <v>4686</v>
      </c>
      <c r="E720" s="9" t="s">
        <v>4684</v>
      </c>
      <c r="F720" s="9" t="s">
        <v>4684</v>
      </c>
      <c r="G720" s="9" t="s">
        <v>4685</v>
      </c>
      <c r="H720" s="9" t="s">
        <v>4684</v>
      </c>
      <c r="I720" s="9" t="str">
        <f t="shared" si="1"/>
        <v>No</v>
      </c>
      <c r="J720" s="9">
        <f t="shared" si="2"/>
        <v>0</v>
      </c>
      <c r="K720" s="9" t="str">
        <f t="shared" si="3"/>
        <v>OBESITY</v>
      </c>
    </row>
    <row r="721" ht="15.75" customHeight="1">
      <c r="A721" s="9" t="s">
        <v>1441</v>
      </c>
      <c r="B721" s="9">
        <v>50.46</v>
      </c>
      <c r="C721" s="9">
        <v>4.56</v>
      </c>
      <c r="D721" s="9" t="s">
        <v>4684</v>
      </c>
      <c r="E721" s="9" t="s">
        <v>4684</v>
      </c>
      <c r="F721" s="9" t="s">
        <v>4684</v>
      </c>
      <c r="G721" s="9" t="s">
        <v>4685</v>
      </c>
      <c r="H721" s="9" t="s">
        <v>4684</v>
      </c>
      <c r="I721" s="9" t="str">
        <f t="shared" si="1"/>
        <v>No</v>
      </c>
      <c r="J721" s="9">
        <f t="shared" si="2"/>
        <v>0</v>
      </c>
      <c r="K721" s="9" t="str">
        <f t="shared" si="3"/>
        <v>OBESITY</v>
      </c>
    </row>
    <row r="722" ht="15.75" customHeight="1">
      <c r="A722" s="9" t="s">
        <v>1443</v>
      </c>
      <c r="B722" s="9">
        <v>31.73</v>
      </c>
      <c r="C722" s="9">
        <v>7.0</v>
      </c>
      <c r="D722" s="9" t="s">
        <v>4684</v>
      </c>
      <c r="E722" s="9" t="s">
        <v>4684</v>
      </c>
      <c r="F722" s="9" t="s">
        <v>4684</v>
      </c>
      <c r="G722" s="9" t="s">
        <v>4685</v>
      </c>
      <c r="H722" s="9" t="s">
        <v>4684</v>
      </c>
      <c r="I722" s="9" t="str">
        <f t="shared" si="1"/>
        <v>No</v>
      </c>
      <c r="J722" s="9">
        <f t="shared" si="2"/>
        <v>0</v>
      </c>
      <c r="K722" s="9" t="str">
        <f t="shared" si="3"/>
        <v>OBESITY</v>
      </c>
    </row>
    <row r="723" ht="15.75" customHeight="1">
      <c r="A723" s="9" t="s">
        <v>1445</v>
      </c>
      <c r="B723" s="9">
        <v>32.1</v>
      </c>
      <c r="C723" s="9">
        <v>6.57</v>
      </c>
      <c r="D723" s="9" t="s">
        <v>4686</v>
      </c>
      <c r="E723" s="9" t="s">
        <v>4684</v>
      </c>
      <c r="F723" s="9" t="s">
        <v>4686</v>
      </c>
      <c r="G723" s="9">
        <v>1.0</v>
      </c>
      <c r="H723" s="9" t="s">
        <v>4684</v>
      </c>
      <c r="I723" s="9" t="str">
        <f t="shared" si="1"/>
        <v>No</v>
      </c>
      <c r="J723" s="9">
        <f t="shared" si="2"/>
        <v>1</v>
      </c>
      <c r="K723" s="9" t="str">
        <f t="shared" si="3"/>
        <v>OBESITY</v>
      </c>
    </row>
    <row r="724" ht="15.75" customHeight="1">
      <c r="A724" s="9" t="s">
        <v>1447</v>
      </c>
      <c r="B724" s="9">
        <v>27.83</v>
      </c>
      <c r="C724" s="9">
        <v>11.61</v>
      </c>
      <c r="D724" s="9" t="s">
        <v>4686</v>
      </c>
      <c r="E724" s="9" t="s">
        <v>4684</v>
      </c>
      <c r="F724" s="9" t="s">
        <v>4686</v>
      </c>
      <c r="G724" s="9">
        <v>1.0</v>
      </c>
      <c r="H724" s="9" t="s">
        <v>4684</v>
      </c>
      <c r="I724" s="9" t="str">
        <f t="shared" si="1"/>
        <v>No</v>
      </c>
      <c r="J724" s="9">
        <f t="shared" si="2"/>
        <v>1</v>
      </c>
      <c r="K724" s="9" t="str">
        <f t="shared" si="3"/>
        <v>OVERWEIGHT</v>
      </c>
    </row>
    <row r="725" ht="15.75" customHeight="1">
      <c r="A725" s="9" t="s">
        <v>1449</v>
      </c>
      <c r="B725" s="9">
        <v>27.72</v>
      </c>
      <c r="C725" s="9">
        <v>8.16</v>
      </c>
      <c r="D725" s="9" t="s">
        <v>4686</v>
      </c>
      <c r="E725" s="9" t="s">
        <v>4684</v>
      </c>
      <c r="F725" s="9" t="s">
        <v>4686</v>
      </c>
      <c r="G725" s="9">
        <v>1.0</v>
      </c>
      <c r="H725" s="9" t="s">
        <v>4684</v>
      </c>
      <c r="I725" s="9" t="str">
        <f t="shared" si="1"/>
        <v>No</v>
      </c>
      <c r="J725" s="9">
        <f t="shared" si="2"/>
        <v>1</v>
      </c>
      <c r="K725" s="9" t="str">
        <f t="shared" si="3"/>
        <v>OVERWEIGHT</v>
      </c>
    </row>
    <row r="726" ht="15.75" customHeight="1">
      <c r="A726" s="9" t="s">
        <v>1451</v>
      </c>
      <c r="B726" s="9">
        <v>36.765</v>
      </c>
      <c r="C726" s="9">
        <v>4.48</v>
      </c>
      <c r="D726" s="9" t="s">
        <v>4686</v>
      </c>
      <c r="E726" s="9" t="s">
        <v>4684</v>
      </c>
      <c r="F726" s="9" t="s">
        <v>4684</v>
      </c>
      <c r="G726" s="9">
        <v>2.0</v>
      </c>
      <c r="H726" s="9" t="s">
        <v>4684</v>
      </c>
      <c r="I726" s="9" t="str">
        <f t="shared" si="1"/>
        <v>No</v>
      </c>
      <c r="J726" s="9">
        <f t="shared" si="2"/>
        <v>2</v>
      </c>
      <c r="K726" s="9" t="str">
        <f t="shared" si="3"/>
        <v>OBESITY</v>
      </c>
    </row>
    <row r="727" ht="15.75" customHeight="1">
      <c r="A727" s="9" t="s">
        <v>1453</v>
      </c>
      <c r="B727" s="9">
        <v>48.36</v>
      </c>
      <c r="C727" s="9">
        <v>4.08</v>
      </c>
      <c r="D727" s="9" t="s">
        <v>4684</v>
      </c>
      <c r="E727" s="9" t="s">
        <v>4684</v>
      </c>
      <c r="F727" s="9" t="s">
        <v>4684</v>
      </c>
      <c r="G727" s="9" t="s">
        <v>4685</v>
      </c>
      <c r="H727" s="9" t="s">
        <v>4684</v>
      </c>
      <c r="I727" s="9" t="str">
        <f t="shared" si="1"/>
        <v>No</v>
      </c>
      <c r="J727" s="9">
        <f t="shared" si="2"/>
        <v>0</v>
      </c>
      <c r="K727" s="9" t="str">
        <f t="shared" si="3"/>
        <v>OBESITY</v>
      </c>
    </row>
    <row r="728" ht="15.75" customHeight="1">
      <c r="A728" s="9" t="s">
        <v>1455</v>
      </c>
      <c r="B728" s="9">
        <v>31.445</v>
      </c>
      <c r="C728" s="9">
        <v>4.4</v>
      </c>
      <c r="D728" s="9" t="s">
        <v>4686</v>
      </c>
      <c r="E728" s="9" t="s">
        <v>4684</v>
      </c>
      <c r="F728" s="9" t="s">
        <v>4684</v>
      </c>
      <c r="G728" s="9">
        <v>2.0</v>
      </c>
      <c r="H728" s="9" t="s">
        <v>4684</v>
      </c>
      <c r="I728" s="9" t="str">
        <f t="shared" si="1"/>
        <v>No</v>
      </c>
      <c r="J728" s="9">
        <f t="shared" si="2"/>
        <v>2</v>
      </c>
      <c r="K728" s="9" t="str">
        <f t="shared" si="3"/>
        <v>OBESITY</v>
      </c>
    </row>
    <row r="729" ht="15.75" customHeight="1">
      <c r="A729" s="9" t="s">
        <v>1457</v>
      </c>
      <c r="B729" s="9">
        <v>27.55</v>
      </c>
      <c r="C729" s="9">
        <v>9.02</v>
      </c>
      <c r="D729" s="9" t="s">
        <v>4684</v>
      </c>
      <c r="E729" s="9" t="s">
        <v>4684</v>
      </c>
      <c r="F729" s="9" t="s">
        <v>4684</v>
      </c>
      <c r="G729" s="9" t="s">
        <v>4685</v>
      </c>
      <c r="H729" s="9" t="s">
        <v>4684</v>
      </c>
      <c r="I729" s="9" t="str">
        <f t="shared" si="1"/>
        <v>No</v>
      </c>
      <c r="J729" s="9">
        <f t="shared" si="2"/>
        <v>0</v>
      </c>
      <c r="K729" s="9" t="str">
        <f t="shared" si="3"/>
        <v>OVERWEIGHT</v>
      </c>
    </row>
    <row r="730" ht="15.75" customHeight="1">
      <c r="A730" s="9" t="s">
        <v>1459</v>
      </c>
      <c r="B730" s="9">
        <v>33.11</v>
      </c>
      <c r="C730" s="9">
        <v>8.06</v>
      </c>
      <c r="D730" s="9" t="s">
        <v>4684</v>
      </c>
      <c r="E730" s="9" t="s">
        <v>4684</v>
      </c>
      <c r="F730" s="9" t="s">
        <v>4684</v>
      </c>
      <c r="G730" s="9" t="s">
        <v>4685</v>
      </c>
      <c r="H730" s="9" t="s">
        <v>4684</v>
      </c>
      <c r="I730" s="9" t="str">
        <f t="shared" si="1"/>
        <v>No</v>
      </c>
      <c r="J730" s="9">
        <f t="shared" si="2"/>
        <v>0</v>
      </c>
      <c r="K730" s="9" t="str">
        <f t="shared" si="3"/>
        <v>OBESITY</v>
      </c>
    </row>
    <row r="731" ht="15.75" customHeight="1">
      <c r="A731" s="9" t="s">
        <v>1461</v>
      </c>
      <c r="B731" s="9">
        <v>36.85</v>
      </c>
      <c r="C731" s="9">
        <v>6.21</v>
      </c>
      <c r="D731" s="9" t="s">
        <v>4686</v>
      </c>
      <c r="E731" s="9" t="s">
        <v>4684</v>
      </c>
      <c r="F731" s="9" t="s">
        <v>4684</v>
      </c>
      <c r="G731" s="9">
        <v>2.0</v>
      </c>
      <c r="H731" s="9" t="s">
        <v>4684</v>
      </c>
      <c r="I731" s="9" t="str">
        <f t="shared" si="1"/>
        <v>No</v>
      </c>
      <c r="J731" s="9">
        <f t="shared" si="2"/>
        <v>2</v>
      </c>
      <c r="K731" s="9" t="str">
        <f t="shared" si="3"/>
        <v>OBESITY</v>
      </c>
    </row>
    <row r="732" ht="15.75" customHeight="1">
      <c r="A732" s="9" t="s">
        <v>1463</v>
      </c>
      <c r="B732" s="9">
        <v>36.3</v>
      </c>
      <c r="C732" s="9">
        <v>5.79</v>
      </c>
      <c r="D732" s="9" t="s">
        <v>4686</v>
      </c>
      <c r="E732" s="9" t="s">
        <v>4684</v>
      </c>
      <c r="F732" s="9" t="s">
        <v>4684</v>
      </c>
      <c r="G732" s="9">
        <v>2.0</v>
      </c>
      <c r="H732" s="9" t="s">
        <v>4684</v>
      </c>
      <c r="I732" s="9" t="str">
        <f t="shared" si="1"/>
        <v>No</v>
      </c>
      <c r="J732" s="9">
        <f t="shared" si="2"/>
        <v>2</v>
      </c>
      <c r="K732" s="9" t="str">
        <f t="shared" si="3"/>
        <v>OBESITY</v>
      </c>
    </row>
    <row r="733" ht="15.75" customHeight="1">
      <c r="A733" s="9" t="s">
        <v>1465</v>
      </c>
      <c r="B733" s="9">
        <v>45.34</v>
      </c>
      <c r="C733" s="9">
        <v>5.69</v>
      </c>
      <c r="D733" s="9" t="s">
        <v>4686</v>
      </c>
      <c r="E733" s="9" t="s">
        <v>4684</v>
      </c>
      <c r="F733" s="9" t="s">
        <v>4684</v>
      </c>
      <c r="G733" s="9" t="s">
        <v>4685</v>
      </c>
      <c r="H733" s="9" t="s">
        <v>4684</v>
      </c>
      <c r="I733" s="9" t="str">
        <f t="shared" si="1"/>
        <v>No</v>
      </c>
      <c r="J733" s="9">
        <f t="shared" si="2"/>
        <v>0</v>
      </c>
      <c r="K733" s="9" t="str">
        <f t="shared" si="3"/>
        <v>OBESITY</v>
      </c>
    </row>
    <row r="734" ht="15.75" customHeight="1">
      <c r="A734" s="9" t="s">
        <v>1467</v>
      </c>
      <c r="B734" s="9">
        <v>31.8</v>
      </c>
      <c r="C734" s="9">
        <v>5.36</v>
      </c>
      <c r="D734" s="9" t="s">
        <v>4686</v>
      </c>
      <c r="E734" s="9" t="s">
        <v>4684</v>
      </c>
      <c r="F734" s="9" t="s">
        <v>4684</v>
      </c>
      <c r="G734" s="9">
        <v>2.0</v>
      </c>
      <c r="H734" s="9" t="s">
        <v>4684</v>
      </c>
      <c r="I734" s="9" t="str">
        <f t="shared" si="1"/>
        <v>No</v>
      </c>
      <c r="J734" s="9">
        <f t="shared" si="2"/>
        <v>2</v>
      </c>
      <c r="K734" s="9" t="str">
        <f t="shared" si="3"/>
        <v>OBESITY</v>
      </c>
    </row>
    <row r="735" ht="15.75" customHeight="1">
      <c r="A735" s="9" t="s">
        <v>1469</v>
      </c>
      <c r="B735" s="9">
        <v>41.02</v>
      </c>
      <c r="C735" s="9">
        <v>11.37</v>
      </c>
      <c r="D735" s="9" t="s">
        <v>4684</v>
      </c>
      <c r="E735" s="9" t="s">
        <v>4684</v>
      </c>
      <c r="F735" s="9" t="s">
        <v>4684</v>
      </c>
      <c r="G735" s="9" t="s">
        <v>4685</v>
      </c>
      <c r="H735" s="9" t="s">
        <v>4684</v>
      </c>
      <c r="I735" s="9" t="str">
        <f t="shared" si="1"/>
        <v>No</v>
      </c>
      <c r="J735" s="9">
        <f t="shared" si="2"/>
        <v>0</v>
      </c>
      <c r="K735" s="9" t="str">
        <f t="shared" si="3"/>
        <v>OBESITY</v>
      </c>
    </row>
    <row r="736" ht="15.75" customHeight="1">
      <c r="A736" s="9" t="s">
        <v>1471</v>
      </c>
      <c r="B736" s="9">
        <v>32.68</v>
      </c>
      <c r="C736" s="9">
        <v>11.87</v>
      </c>
      <c r="D736" s="9" t="s">
        <v>4684</v>
      </c>
      <c r="E736" s="9" t="s">
        <v>4684</v>
      </c>
      <c r="F736" s="9" t="s">
        <v>4684</v>
      </c>
      <c r="G736" s="9" t="s">
        <v>4685</v>
      </c>
      <c r="H736" s="9" t="s">
        <v>4684</v>
      </c>
      <c r="I736" s="9" t="str">
        <f t="shared" si="1"/>
        <v>No</v>
      </c>
      <c r="J736" s="9">
        <f t="shared" si="2"/>
        <v>0</v>
      </c>
      <c r="K736" s="9" t="str">
        <f t="shared" si="3"/>
        <v>OBESITY</v>
      </c>
    </row>
    <row r="737" ht="15.75" customHeight="1">
      <c r="A737" s="9" t="s">
        <v>1473</v>
      </c>
      <c r="B737" s="9">
        <v>21.7</v>
      </c>
      <c r="C737" s="9">
        <v>4.9</v>
      </c>
      <c r="D737" s="9" t="s">
        <v>4684</v>
      </c>
      <c r="E737" s="9" t="s">
        <v>4684</v>
      </c>
      <c r="F737" s="9" t="s">
        <v>4686</v>
      </c>
      <c r="G737" s="9">
        <v>1.0</v>
      </c>
      <c r="H737" s="9" t="s">
        <v>4686</v>
      </c>
      <c r="I737" s="9" t="str">
        <f t="shared" si="1"/>
        <v>Yes</v>
      </c>
      <c r="J737" s="9">
        <f t="shared" si="2"/>
        <v>1</v>
      </c>
      <c r="K737" s="9" t="str">
        <f t="shared" si="3"/>
        <v>NORMAL WEIGHT</v>
      </c>
    </row>
    <row r="738" ht="15.75" customHeight="1">
      <c r="A738" s="9" t="s">
        <v>1475</v>
      </c>
      <c r="B738" s="9">
        <v>40.48</v>
      </c>
      <c r="C738" s="9">
        <v>6.7</v>
      </c>
      <c r="D738" s="9" t="s">
        <v>4684</v>
      </c>
      <c r="E738" s="9" t="s">
        <v>4684</v>
      </c>
      <c r="F738" s="9" t="s">
        <v>4684</v>
      </c>
      <c r="G738" s="9">
        <v>3.0</v>
      </c>
      <c r="H738" s="9" t="s">
        <v>4684</v>
      </c>
      <c r="I738" s="9" t="str">
        <f t="shared" si="1"/>
        <v>No</v>
      </c>
      <c r="J738" s="9">
        <f t="shared" si="2"/>
        <v>3</v>
      </c>
      <c r="K738" s="9" t="str">
        <f t="shared" si="3"/>
        <v>OBESITY</v>
      </c>
    </row>
    <row r="739" ht="15.75" customHeight="1">
      <c r="A739" s="9" t="s">
        <v>1477</v>
      </c>
      <c r="B739" s="9">
        <v>34.5</v>
      </c>
      <c r="C739" s="9">
        <v>10.3</v>
      </c>
      <c r="D739" s="9" t="s">
        <v>4684</v>
      </c>
      <c r="E739" s="9" t="s">
        <v>4684</v>
      </c>
      <c r="F739" s="9" t="s">
        <v>4684</v>
      </c>
      <c r="G739" s="9">
        <v>3.0</v>
      </c>
      <c r="H739" s="9" t="s">
        <v>4684</v>
      </c>
      <c r="I739" s="9" t="str">
        <f t="shared" si="1"/>
        <v>No</v>
      </c>
      <c r="J739" s="9">
        <f t="shared" si="2"/>
        <v>3</v>
      </c>
      <c r="K739" s="9" t="str">
        <f t="shared" si="3"/>
        <v>OBESITY</v>
      </c>
    </row>
    <row r="740" ht="15.75" customHeight="1">
      <c r="A740" s="9" t="s">
        <v>1479</v>
      </c>
      <c r="B740" s="9">
        <v>45.9</v>
      </c>
      <c r="C740" s="9">
        <v>11.14</v>
      </c>
      <c r="D740" s="9" t="s">
        <v>4686</v>
      </c>
      <c r="E740" s="9" t="s">
        <v>4684</v>
      </c>
      <c r="F740" s="9" t="s">
        <v>4684</v>
      </c>
      <c r="G740" s="9">
        <v>1.0</v>
      </c>
      <c r="H740" s="9" t="s">
        <v>4684</v>
      </c>
      <c r="I740" s="9" t="str">
        <f t="shared" si="1"/>
        <v>No</v>
      </c>
      <c r="J740" s="9">
        <f t="shared" si="2"/>
        <v>1</v>
      </c>
      <c r="K740" s="9" t="str">
        <f t="shared" si="3"/>
        <v>OBESITY</v>
      </c>
    </row>
    <row r="741" ht="15.75" customHeight="1">
      <c r="A741" s="9" t="s">
        <v>1481</v>
      </c>
      <c r="B741" s="9">
        <v>33.48</v>
      </c>
      <c r="C741" s="9">
        <v>4.74</v>
      </c>
      <c r="D741" s="9" t="s">
        <v>4686</v>
      </c>
      <c r="E741" s="9" t="s">
        <v>4684</v>
      </c>
      <c r="F741" s="9" t="s">
        <v>4684</v>
      </c>
      <c r="G741" s="9">
        <v>2.0</v>
      </c>
      <c r="H741" s="9" t="s">
        <v>4684</v>
      </c>
      <c r="I741" s="9" t="str">
        <f t="shared" si="1"/>
        <v>No</v>
      </c>
      <c r="J741" s="9">
        <f t="shared" si="2"/>
        <v>2</v>
      </c>
      <c r="K741" s="9" t="str">
        <f t="shared" si="3"/>
        <v>OBESITY</v>
      </c>
    </row>
    <row r="742" ht="15.75" customHeight="1">
      <c r="A742" s="9" t="s">
        <v>1483</v>
      </c>
      <c r="B742" s="9">
        <v>28.31</v>
      </c>
      <c r="C742" s="9">
        <v>5.96</v>
      </c>
      <c r="D742" s="9" t="s">
        <v>4686</v>
      </c>
      <c r="E742" s="9" t="s">
        <v>4684</v>
      </c>
      <c r="F742" s="9" t="s">
        <v>4684</v>
      </c>
      <c r="G742" s="9">
        <v>2.0</v>
      </c>
      <c r="H742" s="9" t="s">
        <v>4684</v>
      </c>
      <c r="I742" s="9" t="str">
        <f t="shared" si="1"/>
        <v>No</v>
      </c>
      <c r="J742" s="9">
        <f t="shared" si="2"/>
        <v>2</v>
      </c>
      <c r="K742" s="9" t="str">
        <f t="shared" si="3"/>
        <v>OVERWEIGHT</v>
      </c>
    </row>
    <row r="743" ht="15.75" customHeight="1">
      <c r="A743" s="9" t="s">
        <v>1485</v>
      </c>
      <c r="B743" s="9">
        <v>21.565</v>
      </c>
      <c r="C743" s="9">
        <v>4.95</v>
      </c>
      <c r="D743" s="9" t="s">
        <v>4684</v>
      </c>
      <c r="E743" s="9" t="s">
        <v>4686</v>
      </c>
      <c r="F743" s="9" t="s">
        <v>4684</v>
      </c>
      <c r="G743" s="9">
        <v>1.0</v>
      </c>
      <c r="H743" s="9" t="s">
        <v>4686</v>
      </c>
      <c r="I743" s="9" t="str">
        <f t="shared" si="1"/>
        <v>Yes</v>
      </c>
      <c r="J743" s="9">
        <f t="shared" si="2"/>
        <v>1</v>
      </c>
      <c r="K743" s="9" t="str">
        <f t="shared" si="3"/>
        <v>NORMAL WEIGHT</v>
      </c>
    </row>
    <row r="744" ht="15.75" customHeight="1">
      <c r="A744" s="9" t="s">
        <v>1487</v>
      </c>
      <c r="B744" s="9">
        <v>35.59</v>
      </c>
      <c r="C744" s="9">
        <v>5.21</v>
      </c>
      <c r="D744" s="9" t="s">
        <v>4686</v>
      </c>
      <c r="E744" s="9" t="s">
        <v>4684</v>
      </c>
      <c r="F744" s="9" t="s">
        <v>4686</v>
      </c>
      <c r="G744" s="9">
        <v>1.0</v>
      </c>
      <c r="H744" s="9" t="s">
        <v>4684</v>
      </c>
      <c r="I744" s="9" t="str">
        <f t="shared" si="1"/>
        <v>No</v>
      </c>
      <c r="J744" s="9">
        <f t="shared" si="2"/>
        <v>1</v>
      </c>
      <c r="K744" s="9" t="str">
        <f t="shared" si="3"/>
        <v>OBESITY</v>
      </c>
    </row>
    <row r="745" ht="15.75" customHeight="1">
      <c r="A745" s="9" t="s">
        <v>1489</v>
      </c>
      <c r="B745" s="9">
        <v>43.44</v>
      </c>
      <c r="C745" s="9">
        <v>4.86</v>
      </c>
      <c r="D745" s="9" t="s">
        <v>4686</v>
      </c>
      <c r="E745" s="9" t="s">
        <v>4684</v>
      </c>
      <c r="F745" s="9" t="s">
        <v>4684</v>
      </c>
      <c r="G745" s="9" t="s">
        <v>4685</v>
      </c>
      <c r="H745" s="9" t="s">
        <v>4684</v>
      </c>
      <c r="I745" s="9" t="str">
        <f t="shared" si="1"/>
        <v>No</v>
      </c>
      <c r="J745" s="9">
        <f t="shared" si="2"/>
        <v>0</v>
      </c>
      <c r="K745" s="9" t="str">
        <f t="shared" si="3"/>
        <v>OBESITY</v>
      </c>
    </row>
    <row r="746" ht="15.75" customHeight="1">
      <c r="A746" s="9" t="s">
        <v>1491</v>
      </c>
      <c r="B746" s="9">
        <v>21.755</v>
      </c>
      <c r="C746" s="9">
        <v>7.79</v>
      </c>
      <c r="D746" s="9" t="s">
        <v>4686</v>
      </c>
      <c r="E746" s="9" t="s">
        <v>4684</v>
      </c>
      <c r="F746" s="9" t="s">
        <v>4684</v>
      </c>
      <c r="G746" s="9" t="s">
        <v>4685</v>
      </c>
      <c r="H746" s="9" t="s">
        <v>4684</v>
      </c>
      <c r="I746" s="9" t="str">
        <f t="shared" si="1"/>
        <v>No</v>
      </c>
      <c r="J746" s="9">
        <f t="shared" si="2"/>
        <v>0</v>
      </c>
      <c r="K746" s="9" t="str">
        <f t="shared" si="3"/>
        <v>NORMAL WEIGHT</v>
      </c>
    </row>
    <row r="747" ht="15.75" customHeight="1">
      <c r="A747" s="9" t="s">
        <v>1493</v>
      </c>
      <c r="B747" s="9">
        <v>44.55</v>
      </c>
      <c r="C747" s="9">
        <v>7.12</v>
      </c>
      <c r="D747" s="9" t="s">
        <v>4686</v>
      </c>
      <c r="E747" s="9" t="s">
        <v>4684</v>
      </c>
      <c r="F747" s="9" t="s">
        <v>4684</v>
      </c>
      <c r="G747" s="9">
        <v>1.0</v>
      </c>
      <c r="H747" s="9" t="s">
        <v>4684</v>
      </c>
      <c r="I747" s="9" t="str">
        <f t="shared" si="1"/>
        <v>No</v>
      </c>
      <c r="J747" s="9">
        <f t="shared" si="2"/>
        <v>1</v>
      </c>
      <c r="K747" s="9" t="str">
        <f t="shared" si="3"/>
        <v>OBESITY</v>
      </c>
    </row>
    <row r="748" ht="15.75" customHeight="1">
      <c r="A748" s="9" t="s">
        <v>1495</v>
      </c>
      <c r="B748" s="9">
        <v>43.32</v>
      </c>
      <c r="C748" s="9">
        <v>4.67</v>
      </c>
      <c r="D748" s="9" t="s">
        <v>4686</v>
      </c>
      <c r="E748" s="9" t="s">
        <v>4684</v>
      </c>
      <c r="F748" s="9" t="s">
        <v>4684</v>
      </c>
      <c r="G748" s="9" t="s">
        <v>4685</v>
      </c>
      <c r="H748" s="9" t="s">
        <v>4684</v>
      </c>
      <c r="I748" s="9" t="str">
        <f t="shared" si="1"/>
        <v>No</v>
      </c>
      <c r="J748" s="9">
        <f t="shared" si="2"/>
        <v>0</v>
      </c>
      <c r="K748" s="9" t="str">
        <f t="shared" si="3"/>
        <v>OBESITY</v>
      </c>
    </row>
    <row r="749" ht="15.75" customHeight="1">
      <c r="A749" s="9" t="s">
        <v>1497</v>
      </c>
      <c r="B749" s="9">
        <v>31.23</v>
      </c>
      <c r="C749" s="9">
        <v>9.12</v>
      </c>
      <c r="D749" s="9" t="s">
        <v>4686</v>
      </c>
      <c r="E749" s="9" t="s">
        <v>4684</v>
      </c>
      <c r="F749" s="9" t="s">
        <v>4686</v>
      </c>
      <c r="G749" s="9">
        <v>1.0</v>
      </c>
      <c r="H749" s="9" t="s">
        <v>4684</v>
      </c>
      <c r="I749" s="9" t="str">
        <f t="shared" si="1"/>
        <v>No</v>
      </c>
      <c r="J749" s="9">
        <f t="shared" si="2"/>
        <v>1</v>
      </c>
      <c r="K749" s="9" t="str">
        <f t="shared" si="3"/>
        <v>OBESITY</v>
      </c>
    </row>
    <row r="750" ht="15.75" customHeight="1">
      <c r="A750" s="9" t="s">
        <v>1499</v>
      </c>
      <c r="B750" s="9">
        <v>42.81</v>
      </c>
      <c r="C750" s="9">
        <v>4.15</v>
      </c>
      <c r="D750" s="9" t="s">
        <v>4684</v>
      </c>
      <c r="E750" s="9" t="s">
        <v>4684</v>
      </c>
      <c r="F750" s="9" t="s">
        <v>4684</v>
      </c>
      <c r="G750" s="9">
        <v>1.0</v>
      </c>
      <c r="H750" s="9" t="s">
        <v>4684</v>
      </c>
      <c r="I750" s="9" t="str">
        <f t="shared" si="1"/>
        <v>No</v>
      </c>
      <c r="J750" s="9">
        <f t="shared" si="2"/>
        <v>1</v>
      </c>
      <c r="K750" s="9" t="str">
        <f t="shared" si="3"/>
        <v>OBESITY</v>
      </c>
    </row>
    <row r="751" ht="15.75" customHeight="1">
      <c r="A751" s="9" t="s">
        <v>1501</v>
      </c>
      <c r="B751" s="9">
        <v>35.91</v>
      </c>
      <c r="C751" s="9">
        <v>6.72</v>
      </c>
      <c r="D751" s="9" t="s">
        <v>4686</v>
      </c>
      <c r="E751" s="9" t="s">
        <v>4684</v>
      </c>
      <c r="F751" s="9" t="s">
        <v>4684</v>
      </c>
      <c r="G751" s="9">
        <v>2.0</v>
      </c>
      <c r="H751" s="9" t="s">
        <v>4684</v>
      </c>
      <c r="I751" s="9" t="str">
        <f t="shared" si="1"/>
        <v>No</v>
      </c>
      <c r="J751" s="9">
        <f t="shared" si="2"/>
        <v>2</v>
      </c>
      <c r="K751" s="9" t="str">
        <f t="shared" si="3"/>
        <v>OBESITY</v>
      </c>
    </row>
    <row r="752" ht="15.75" customHeight="1">
      <c r="A752" s="9" t="s">
        <v>1503</v>
      </c>
      <c r="B752" s="9">
        <v>36.65</v>
      </c>
      <c r="C752" s="9">
        <v>5.01</v>
      </c>
      <c r="D752" s="9" t="s">
        <v>4686</v>
      </c>
      <c r="E752" s="9" t="s">
        <v>4684</v>
      </c>
      <c r="F752" s="9" t="s">
        <v>4686</v>
      </c>
      <c r="G752" s="9">
        <v>1.0</v>
      </c>
      <c r="H752" s="9" t="s">
        <v>4684</v>
      </c>
      <c r="I752" s="9" t="str">
        <f t="shared" si="1"/>
        <v>No</v>
      </c>
      <c r="J752" s="9">
        <f t="shared" si="2"/>
        <v>1</v>
      </c>
      <c r="K752" s="9" t="str">
        <f t="shared" si="3"/>
        <v>OBESITY</v>
      </c>
    </row>
    <row r="753" ht="15.75" customHeight="1">
      <c r="A753" s="9" t="s">
        <v>1505</v>
      </c>
      <c r="B753" s="9">
        <v>22.04</v>
      </c>
      <c r="C753" s="9">
        <v>10.9</v>
      </c>
      <c r="D753" s="9" t="s">
        <v>4686</v>
      </c>
      <c r="E753" s="9" t="s">
        <v>4684</v>
      </c>
      <c r="F753" s="9" t="s">
        <v>4684</v>
      </c>
      <c r="G753" s="9">
        <v>2.0</v>
      </c>
      <c r="H753" s="9" t="s">
        <v>4684</v>
      </c>
      <c r="I753" s="9" t="str">
        <f t="shared" si="1"/>
        <v>No</v>
      </c>
      <c r="J753" s="9">
        <f t="shared" si="2"/>
        <v>2</v>
      </c>
      <c r="K753" s="9" t="str">
        <f t="shared" si="3"/>
        <v>NORMAL WEIGHT</v>
      </c>
    </row>
    <row r="754" ht="15.75" customHeight="1">
      <c r="A754" s="9" t="s">
        <v>1507</v>
      </c>
      <c r="B754" s="9">
        <v>31.825</v>
      </c>
      <c r="C754" s="9">
        <v>5.52</v>
      </c>
      <c r="D754" s="9" t="s">
        <v>4686</v>
      </c>
      <c r="E754" s="9" t="s">
        <v>4684</v>
      </c>
      <c r="F754" s="9" t="s">
        <v>4684</v>
      </c>
      <c r="G754" s="9">
        <v>1.0</v>
      </c>
      <c r="H754" s="9" t="s">
        <v>4684</v>
      </c>
      <c r="I754" s="9" t="str">
        <f t="shared" si="1"/>
        <v>No</v>
      </c>
      <c r="J754" s="9">
        <f t="shared" si="2"/>
        <v>1</v>
      </c>
      <c r="K754" s="9" t="str">
        <f t="shared" si="3"/>
        <v>OBESITY</v>
      </c>
    </row>
    <row r="755" ht="15.75" customHeight="1">
      <c r="A755" s="9" t="s">
        <v>1509</v>
      </c>
      <c r="B755" s="9">
        <v>53.58</v>
      </c>
      <c r="C755" s="9">
        <v>4.55</v>
      </c>
      <c r="D755" s="9" t="s">
        <v>4684</v>
      </c>
      <c r="E755" s="9" t="s">
        <v>4684</v>
      </c>
      <c r="F755" s="9" t="s">
        <v>4684</v>
      </c>
      <c r="G755" s="9">
        <v>1.0</v>
      </c>
      <c r="H755" s="9" t="s">
        <v>4684</v>
      </c>
      <c r="I755" s="9" t="str">
        <f t="shared" si="1"/>
        <v>No</v>
      </c>
      <c r="J755" s="9">
        <f t="shared" si="2"/>
        <v>1</v>
      </c>
      <c r="K755" s="9" t="str">
        <f t="shared" si="3"/>
        <v>OBESITY</v>
      </c>
    </row>
    <row r="756" ht="15.75" customHeight="1">
      <c r="A756" s="9" t="s">
        <v>1511</v>
      </c>
      <c r="B756" s="9">
        <v>34.3</v>
      </c>
      <c r="C756" s="9">
        <v>11.76</v>
      </c>
      <c r="D756" s="9" t="s">
        <v>4684</v>
      </c>
      <c r="E756" s="9" t="s">
        <v>4684</v>
      </c>
      <c r="F756" s="9" t="s">
        <v>4684</v>
      </c>
      <c r="G756" s="9" t="s">
        <v>4685</v>
      </c>
      <c r="H756" s="9" t="s">
        <v>4684</v>
      </c>
      <c r="I756" s="9" t="str">
        <f t="shared" si="1"/>
        <v>No</v>
      </c>
      <c r="J756" s="9">
        <f t="shared" si="2"/>
        <v>0</v>
      </c>
      <c r="K756" s="9" t="str">
        <f t="shared" si="3"/>
        <v>OBESITY</v>
      </c>
    </row>
    <row r="757" ht="15.75" customHeight="1">
      <c r="A757" s="9" t="s">
        <v>1513</v>
      </c>
      <c r="B757" s="9">
        <v>32.11</v>
      </c>
      <c r="C757" s="9">
        <v>7.06</v>
      </c>
      <c r="D757" s="9" t="s">
        <v>4684</v>
      </c>
      <c r="E757" s="9" t="s">
        <v>4684</v>
      </c>
      <c r="F757" s="9" t="s">
        <v>4684</v>
      </c>
      <c r="G757" s="9" t="s">
        <v>4685</v>
      </c>
      <c r="H757" s="9" t="s">
        <v>4684</v>
      </c>
      <c r="I757" s="9" t="str">
        <f t="shared" si="1"/>
        <v>No</v>
      </c>
      <c r="J757" s="9">
        <f t="shared" si="2"/>
        <v>0</v>
      </c>
      <c r="K757" s="9" t="str">
        <f t="shared" si="3"/>
        <v>OBESITY</v>
      </c>
    </row>
    <row r="758" ht="15.75" customHeight="1">
      <c r="A758" s="9" t="s">
        <v>1515</v>
      </c>
      <c r="B758" s="9">
        <v>31.78</v>
      </c>
      <c r="C758" s="9">
        <v>11.35</v>
      </c>
      <c r="D758" s="9" t="s">
        <v>4686</v>
      </c>
      <c r="E758" s="9" t="s">
        <v>4684</v>
      </c>
      <c r="F758" s="9" t="s">
        <v>4686</v>
      </c>
      <c r="G758" s="9">
        <v>1.0</v>
      </c>
      <c r="H758" s="9" t="s">
        <v>4684</v>
      </c>
      <c r="I758" s="9" t="str">
        <f t="shared" si="1"/>
        <v>No</v>
      </c>
      <c r="J758" s="9">
        <f t="shared" si="2"/>
        <v>1</v>
      </c>
      <c r="K758" s="9" t="str">
        <f t="shared" si="3"/>
        <v>OBESITY</v>
      </c>
    </row>
    <row r="759" ht="15.75" customHeight="1">
      <c r="A759" s="9" t="s">
        <v>1517</v>
      </c>
      <c r="B759" s="9">
        <v>46.89</v>
      </c>
      <c r="C759" s="9">
        <v>5.52</v>
      </c>
      <c r="D759" s="9" t="s">
        <v>4684</v>
      </c>
      <c r="E759" s="9" t="s">
        <v>4684</v>
      </c>
      <c r="F759" s="9" t="s">
        <v>4684</v>
      </c>
      <c r="G759" s="9" t="s">
        <v>4685</v>
      </c>
      <c r="H759" s="9" t="s">
        <v>4684</v>
      </c>
      <c r="I759" s="9" t="str">
        <f t="shared" si="1"/>
        <v>No</v>
      </c>
      <c r="J759" s="9">
        <f t="shared" si="2"/>
        <v>0</v>
      </c>
      <c r="K759" s="9" t="str">
        <f t="shared" si="3"/>
        <v>OBESITY</v>
      </c>
    </row>
    <row r="760" ht="15.75" customHeight="1">
      <c r="A760" s="9" t="s">
        <v>1519</v>
      </c>
      <c r="B760" s="9">
        <v>39.35</v>
      </c>
      <c r="C760" s="9">
        <v>7.86</v>
      </c>
      <c r="D760" s="9" t="s">
        <v>4686</v>
      </c>
      <c r="E760" s="9" t="s">
        <v>4684</v>
      </c>
      <c r="F760" s="9" t="s">
        <v>4684</v>
      </c>
      <c r="G760" s="9">
        <v>1.0</v>
      </c>
      <c r="H760" s="9" t="s">
        <v>4684</v>
      </c>
      <c r="I760" s="9" t="str">
        <f t="shared" si="1"/>
        <v>No</v>
      </c>
      <c r="J760" s="9">
        <f t="shared" si="2"/>
        <v>1</v>
      </c>
      <c r="K760" s="9" t="str">
        <f t="shared" si="3"/>
        <v>OBESITY</v>
      </c>
    </row>
    <row r="761" ht="15.75" customHeight="1">
      <c r="A761" s="9" t="s">
        <v>1521</v>
      </c>
      <c r="B761" s="9">
        <v>39.2</v>
      </c>
      <c r="C761" s="9">
        <v>11.38</v>
      </c>
      <c r="D761" s="9" t="s">
        <v>4684</v>
      </c>
      <c r="E761" s="9" t="s">
        <v>4684</v>
      </c>
      <c r="F761" s="9" t="s">
        <v>4684</v>
      </c>
      <c r="G761" s="9" t="s">
        <v>4685</v>
      </c>
      <c r="H761" s="9" t="s">
        <v>4684</v>
      </c>
      <c r="I761" s="9" t="str">
        <f t="shared" si="1"/>
        <v>No</v>
      </c>
      <c r="J761" s="9">
        <f t="shared" si="2"/>
        <v>0</v>
      </c>
      <c r="K761" s="9" t="str">
        <f t="shared" si="3"/>
        <v>OBESITY</v>
      </c>
    </row>
    <row r="762" ht="15.75" customHeight="1">
      <c r="A762" s="9" t="s">
        <v>1523</v>
      </c>
      <c r="B762" s="9">
        <v>39.16</v>
      </c>
      <c r="C762" s="9">
        <v>10.48</v>
      </c>
      <c r="D762" s="9" t="s">
        <v>4684</v>
      </c>
      <c r="E762" s="9" t="s">
        <v>4684</v>
      </c>
      <c r="F762" s="9" t="s">
        <v>4684</v>
      </c>
      <c r="G762" s="9" t="s">
        <v>4685</v>
      </c>
      <c r="H762" s="9" t="s">
        <v>4684</v>
      </c>
      <c r="I762" s="9" t="str">
        <f t="shared" si="1"/>
        <v>No</v>
      </c>
      <c r="J762" s="9">
        <f t="shared" si="2"/>
        <v>0</v>
      </c>
      <c r="K762" s="9" t="str">
        <f t="shared" si="3"/>
        <v>OBESITY</v>
      </c>
    </row>
    <row r="763" ht="15.75" customHeight="1">
      <c r="A763" s="9" t="s">
        <v>1525</v>
      </c>
      <c r="B763" s="9">
        <v>44.1</v>
      </c>
      <c r="C763" s="9">
        <v>5.04</v>
      </c>
      <c r="D763" s="9" t="s">
        <v>4686</v>
      </c>
      <c r="E763" s="9" t="s">
        <v>4684</v>
      </c>
      <c r="F763" s="9" t="s">
        <v>4684</v>
      </c>
      <c r="G763" s="9" t="s">
        <v>4685</v>
      </c>
      <c r="H763" s="9" t="s">
        <v>4684</v>
      </c>
      <c r="I763" s="9" t="str">
        <f t="shared" si="1"/>
        <v>No</v>
      </c>
      <c r="J763" s="9">
        <f t="shared" si="2"/>
        <v>0</v>
      </c>
      <c r="K763" s="9" t="str">
        <f t="shared" si="3"/>
        <v>OBESITY</v>
      </c>
    </row>
    <row r="764" ht="15.75" customHeight="1">
      <c r="A764" s="9" t="s">
        <v>1527</v>
      </c>
      <c r="B764" s="9">
        <v>33.2</v>
      </c>
      <c r="C764" s="9">
        <v>9.06</v>
      </c>
      <c r="D764" s="9" t="s">
        <v>4684</v>
      </c>
      <c r="E764" s="9" t="s">
        <v>4684</v>
      </c>
      <c r="F764" s="9" t="s">
        <v>4684</v>
      </c>
      <c r="G764" s="9" t="s">
        <v>4685</v>
      </c>
      <c r="H764" s="9" t="s">
        <v>4684</v>
      </c>
      <c r="I764" s="9" t="str">
        <f t="shared" si="1"/>
        <v>No</v>
      </c>
      <c r="J764" s="9">
        <f t="shared" si="2"/>
        <v>0</v>
      </c>
      <c r="K764" s="9" t="str">
        <f t="shared" si="3"/>
        <v>OBESITY</v>
      </c>
    </row>
    <row r="765" ht="15.75" customHeight="1">
      <c r="A765" s="9" t="s">
        <v>1529</v>
      </c>
      <c r="B765" s="9">
        <v>29.92</v>
      </c>
      <c r="C765" s="9">
        <v>11.07</v>
      </c>
      <c r="D765" s="9" t="s">
        <v>4684</v>
      </c>
      <c r="E765" s="9" t="s">
        <v>4684</v>
      </c>
      <c r="F765" s="9" t="s">
        <v>4684</v>
      </c>
      <c r="G765" s="9" t="s">
        <v>4685</v>
      </c>
      <c r="H765" s="9" t="s">
        <v>4684</v>
      </c>
      <c r="I765" s="9" t="str">
        <f t="shared" si="1"/>
        <v>No</v>
      </c>
      <c r="J765" s="9">
        <f t="shared" si="2"/>
        <v>0</v>
      </c>
      <c r="K765" s="9" t="str">
        <f t="shared" si="3"/>
        <v>OBESITY</v>
      </c>
    </row>
    <row r="766" ht="15.75" customHeight="1">
      <c r="A766" s="9" t="s">
        <v>1531</v>
      </c>
      <c r="B766" s="9">
        <v>25.0</v>
      </c>
      <c r="C766" s="9">
        <v>10.45</v>
      </c>
      <c r="D766" s="9" t="s">
        <v>4684</v>
      </c>
      <c r="E766" s="9" t="s">
        <v>4684</v>
      </c>
      <c r="F766" s="9" t="s">
        <v>4684</v>
      </c>
      <c r="G766" s="9" t="s">
        <v>4685</v>
      </c>
      <c r="H766" s="9" t="s">
        <v>4684</v>
      </c>
      <c r="I766" s="9" t="str">
        <f t="shared" si="1"/>
        <v>No</v>
      </c>
      <c r="J766" s="9">
        <f t="shared" si="2"/>
        <v>0</v>
      </c>
      <c r="K766" s="9" t="str">
        <f t="shared" si="3"/>
        <v>OVERWEIGHT</v>
      </c>
    </row>
    <row r="767" ht="15.75" customHeight="1">
      <c r="A767" s="9" t="s">
        <v>1533</v>
      </c>
      <c r="B767" s="9">
        <v>38.87</v>
      </c>
      <c r="C767" s="9">
        <v>8.63</v>
      </c>
      <c r="D767" s="9" t="s">
        <v>4686</v>
      </c>
      <c r="E767" s="9" t="s">
        <v>4684</v>
      </c>
      <c r="F767" s="9" t="s">
        <v>4684</v>
      </c>
      <c r="G767" s="9">
        <v>1.0</v>
      </c>
      <c r="H767" s="9" t="s">
        <v>4684</v>
      </c>
      <c r="I767" s="9" t="str">
        <f t="shared" si="1"/>
        <v>No</v>
      </c>
      <c r="J767" s="9">
        <f t="shared" si="2"/>
        <v>1</v>
      </c>
      <c r="K767" s="9" t="str">
        <f t="shared" si="3"/>
        <v>OBESITY</v>
      </c>
    </row>
    <row r="768" ht="15.75" customHeight="1">
      <c r="A768" s="9" t="s">
        <v>1535</v>
      </c>
      <c r="B768" s="9">
        <v>32.3</v>
      </c>
      <c r="C768" s="9">
        <v>5.28</v>
      </c>
      <c r="D768" s="9" t="s">
        <v>4686</v>
      </c>
      <c r="E768" s="9" t="s">
        <v>4684</v>
      </c>
      <c r="F768" s="9" t="s">
        <v>4684</v>
      </c>
      <c r="G768" s="9">
        <v>2.0</v>
      </c>
      <c r="H768" s="9" t="s">
        <v>4684</v>
      </c>
      <c r="I768" s="9" t="str">
        <f t="shared" si="1"/>
        <v>No</v>
      </c>
      <c r="J768" s="9">
        <f t="shared" si="2"/>
        <v>2</v>
      </c>
      <c r="K768" s="9" t="str">
        <f t="shared" si="3"/>
        <v>OBESITY</v>
      </c>
    </row>
    <row r="769" ht="15.75" customHeight="1">
      <c r="A769" s="9" t="s">
        <v>1537</v>
      </c>
      <c r="B769" s="9">
        <v>31.16</v>
      </c>
      <c r="C769" s="9">
        <v>7.49</v>
      </c>
      <c r="D769" s="9" t="s">
        <v>4686</v>
      </c>
      <c r="E769" s="9" t="s">
        <v>4684</v>
      </c>
      <c r="F769" s="9" t="s">
        <v>4684</v>
      </c>
      <c r="G769" s="9">
        <v>2.0</v>
      </c>
      <c r="H769" s="9" t="s">
        <v>4684</v>
      </c>
      <c r="I769" s="9" t="str">
        <f t="shared" si="1"/>
        <v>No</v>
      </c>
      <c r="J769" s="9">
        <f t="shared" si="2"/>
        <v>2</v>
      </c>
      <c r="K769" s="9" t="str">
        <f t="shared" si="3"/>
        <v>OBESITY</v>
      </c>
    </row>
    <row r="770" ht="15.75" customHeight="1">
      <c r="A770" s="9" t="s">
        <v>1539</v>
      </c>
      <c r="B770" s="9">
        <v>54.59</v>
      </c>
      <c r="C770" s="9">
        <v>4.27</v>
      </c>
      <c r="D770" s="9" t="s">
        <v>4684</v>
      </c>
      <c r="E770" s="9" t="s">
        <v>4684</v>
      </c>
      <c r="F770" s="9" t="s">
        <v>4684</v>
      </c>
      <c r="G770" s="9" t="s">
        <v>4685</v>
      </c>
      <c r="H770" s="9" t="s">
        <v>4684</v>
      </c>
      <c r="I770" s="9" t="str">
        <f t="shared" si="1"/>
        <v>No</v>
      </c>
      <c r="J770" s="9">
        <f t="shared" si="2"/>
        <v>0</v>
      </c>
      <c r="K770" s="9" t="str">
        <f t="shared" si="3"/>
        <v>OBESITY</v>
      </c>
    </row>
    <row r="771" ht="15.75" customHeight="1">
      <c r="A771" s="9" t="s">
        <v>1541</v>
      </c>
      <c r="B771" s="9">
        <v>21.09</v>
      </c>
      <c r="C771" s="9">
        <v>9.22</v>
      </c>
      <c r="D771" s="9" t="s">
        <v>4686</v>
      </c>
      <c r="E771" s="9" t="s">
        <v>4684</v>
      </c>
      <c r="F771" s="9" t="s">
        <v>4684</v>
      </c>
      <c r="G771" s="9">
        <v>2.0</v>
      </c>
      <c r="H771" s="9" t="s">
        <v>4684</v>
      </c>
      <c r="I771" s="9" t="str">
        <f t="shared" si="1"/>
        <v>No</v>
      </c>
      <c r="J771" s="9">
        <f t="shared" si="2"/>
        <v>2</v>
      </c>
      <c r="K771" s="9" t="str">
        <f t="shared" si="3"/>
        <v>NORMAL WEIGHT</v>
      </c>
    </row>
    <row r="772" ht="15.75" customHeight="1">
      <c r="A772" s="9" t="s">
        <v>1543</v>
      </c>
      <c r="B772" s="9">
        <v>52.41</v>
      </c>
      <c r="C772" s="9">
        <v>5.99</v>
      </c>
      <c r="D772" s="9" t="s">
        <v>4684</v>
      </c>
      <c r="E772" s="9" t="s">
        <v>4684</v>
      </c>
      <c r="F772" s="9" t="s">
        <v>4684</v>
      </c>
      <c r="G772" s="9">
        <v>1.0</v>
      </c>
      <c r="H772" s="9" t="s">
        <v>4684</v>
      </c>
      <c r="I772" s="9" t="str">
        <f t="shared" si="1"/>
        <v>No</v>
      </c>
      <c r="J772" s="9">
        <f t="shared" si="2"/>
        <v>1</v>
      </c>
      <c r="K772" s="9" t="str">
        <f t="shared" si="3"/>
        <v>OBESITY</v>
      </c>
    </row>
    <row r="773" ht="15.75" customHeight="1">
      <c r="A773" s="9" t="s">
        <v>1545</v>
      </c>
      <c r="B773" s="9">
        <v>41.47</v>
      </c>
      <c r="C773" s="9">
        <v>5.86</v>
      </c>
      <c r="D773" s="9" t="s">
        <v>4686</v>
      </c>
      <c r="E773" s="9" t="s">
        <v>4684</v>
      </c>
      <c r="F773" s="9" t="s">
        <v>4684</v>
      </c>
      <c r="G773" s="9">
        <v>2.0</v>
      </c>
      <c r="H773" s="9" t="s">
        <v>4684</v>
      </c>
      <c r="I773" s="9" t="str">
        <f t="shared" si="1"/>
        <v>No</v>
      </c>
      <c r="J773" s="9">
        <f t="shared" si="2"/>
        <v>2</v>
      </c>
      <c r="K773" s="9" t="str">
        <f t="shared" si="3"/>
        <v>OBESITY</v>
      </c>
    </row>
    <row r="774" ht="15.75" customHeight="1">
      <c r="A774" s="9" t="s">
        <v>1547</v>
      </c>
      <c r="B774" s="9">
        <v>33.1</v>
      </c>
      <c r="C774" s="9">
        <v>5.19</v>
      </c>
      <c r="D774" s="9" t="s">
        <v>4686</v>
      </c>
      <c r="E774" s="9" t="s">
        <v>4684</v>
      </c>
      <c r="F774" s="9" t="s">
        <v>4684</v>
      </c>
      <c r="G774" s="9">
        <v>2.0</v>
      </c>
      <c r="H774" s="9" t="s">
        <v>4684</v>
      </c>
      <c r="I774" s="9" t="str">
        <f t="shared" si="1"/>
        <v>No</v>
      </c>
      <c r="J774" s="9">
        <f t="shared" si="2"/>
        <v>2</v>
      </c>
      <c r="K774" s="9" t="str">
        <f t="shared" si="3"/>
        <v>OBESITY</v>
      </c>
    </row>
    <row r="775" ht="15.75" customHeight="1">
      <c r="A775" s="9" t="s">
        <v>1549</v>
      </c>
      <c r="B775" s="9">
        <v>30.8</v>
      </c>
      <c r="C775" s="9">
        <v>4.37</v>
      </c>
      <c r="D775" s="9" t="s">
        <v>4686</v>
      </c>
      <c r="E775" s="9" t="s">
        <v>4684</v>
      </c>
      <c r="F775" s="9" t="s">
        <v>4684</v>
      </c>
      <c r="G775" s="9">
        <v>2.0</v>
      </c>
      <c r="H775" s="9" t="s">
        <v>4684</v>
      </c>
      <c r="I775" s="9" t="str">
        <f t="shared" si="1"/>
        <v>No</v>
      </c>
      <c r="J775" s="9">
        <f t="shared" si="2"/>
        <v>2</v>
      </c>
      <c r="K775" s="9" t="str">
        <f t="shared" si="3"/>
        <v>OBESITY</v>
      </c>
    </row>
    <row r="776" ht="15.75" customHeight="1">
      <c r="A776" s="9" t="s">
        <v>1551</v>
      </c>
      <c r="B776" s="9">
        <v>42.06</v>
      </c>
      <c r="C776" s="9">
        <v>5.32</v>
      </c>
      <c r="D776" s="9" t="s">
        <v>4684</v>
      </c>
      <c r="E776" s="9" t="s">
        <v>4684</v>
      </c>
      <c r="F776" s="9" t="s">
        <v>4684</v>
      </c>
      <c r="G776" s="9">
        <v>1.0</v>
      </c>
      <c r="H776" s="9" t="s">
        <v>4684</v>
      </c>
      <c r="I776" s="9" t="str">
        <f t="shared" si="1"/>
        <v>No</v>
      </c>
      <c r="J776" s="9">
        <f t="shared" si="2"/>
        <v>1</v>
      </c>
      <c r="K776" s="9" t="str">
        <f t="shared" si="3"/>
        <v>OBESITY</v>
      </c>
    </row>
    <row r="777" ht="15.75" customHeight="1">
      <c r="A777" s="9" t="s">
        <v>1553</v>
      </c>
      <c r="B777" s="9">
        <v>39.27</v>
      </c>
      <c r="C777" s="9">
        <v>5.64</v>
      </c>
      <c r="D777" s="9" t="s">
        <v>4684</v>
      </c>
      <c r="E777" s="9" t="s">
        <v>4684</v>
      </c>
      <c r="F777" s="9" t="s">
        <v>4686</v>
      </c>
      <c r="G777" s="9">
        <v>1.0</v>
      </c>
      <c r="H777" s="9" t="s">
        <v>4684</v>
      </c>
      <c r="I777" s="9" t="str">
        <f t="shared" si="1"/>
        <v>No</v>
      </c>
      <c r="J777" s="9">
        <f t="shared" si="2"/>
        <v>1</v>
      </c>
      <c r="K777" s="9" t="str">
        <f t="shared" si="3"/>
        <v>OBESITY</v>
      </c>
    </row>
    <row r="778" ht="15.75" customHeight="1">
      <c r="A778" s="9" t="s">
        <v>1555</v>
      </c>
      <c r="B778" s="9">
        <v>30.71</v>
      </c>
      <c r="C778" s="9">
        <v>5.59</v>
      </c>
      <c r="D778" s="9" t="s">
        <v>4686</v>
      </c>
      <c r="E778" s="9" t="s">
        <v>4684</v>
      </c>
      <c r="F778" s="9" t="s">
        <v>4684</v>
      </c>
      <c r="G778" s="9">
        <v>1.0</v>
      </c>
      <c r="H778" s="9" t="s">
        <v>4684</v>
      </c>
      <c r="I778" s="9" t="str">
        <f t="shared" si="1"/>
        <v>No</v>
      </c>
      <c r="J778" s="9">
        <f t="shared" si="2"/>
        <v>1</v>
      </c>
      <c r="K778" s="9" t="str">
        <f t="shared" si="3"/>
        <v>OBESITY</v>
      </c>
    </row>
    <row r="779" ht="15.75" customHeight="1">
      <c r="A779" s="9" t="s">
        <v>1557</v>
      </c>
      <c r="B779" s="9">
        <v>47.19</v>
      </c>
      <c r="C779" s="9">
        <v>5.29</v>
      </c>
      <c r="D779" s="9" t="s">
        <v>4684</v>
      </c>
      <c r="E779" s="9" t="s">
        <v>4684</v>
      </c>
      <c r="F779" s="9" t="s">
        <v>4684</v>
      </c>
      <c r="G779" s="9" t="s">
        <v>4685</v>
      </c>
      <c r="H779" s="9" t="s">
        <v>4684</v>
      </c>
      <c r="I779" s="9" t="str">
        <f t="shared" si="1"/>
        <v>No</v>
      </c>
      <c r="J779" s="9">
        <f t="shared" si="2"/>
        <v>0</v>
      </c>
      <c r="K779" s="9" t="str">
        <f t="shared" si="3"/>
        <v>OBESITY</v>
      </c>
    </row>
    <row r="780" ht="15.75" customHeight="1">
      <c r="A780" s="9" t="s">
        <v>1559</v>
      </c>
      <c r="B780" s="9">
        <v>30.02</v>
      </c>
      <c r="C780" s="9">
        <v>6.65</v>
      </c>
      <c r="D780" s="9" t="s">
        <v>4684</v>
      </c>
      <c r="E780" s="9" t="s">
        <v>4684</v>
      </c>
      <c r="F780" s="9" t="s">
        <v>4684</v>
      </c>
      <c r="G780" s="9" t="s">
        <v>4685</v>
      </c>
      <c r="H780" s="9" t="s">
        <v>4684</v>
      </c>
      <c r="I780" s="9" t="str">
        <f t="shared" si="1"/>
        <v>No</v>
      </c>
      <c r="J780" s="9">
        <f t="shared" si="2"/>
        <v>0</v>
      </c>
      <c r="K780" s="9" t="str">
        <f t="shared" si="3"/>
        <v>OBESITY</v>
      </c>
    </row>
    <row r="781" ht="15.75" customHeight="1">
      <c r="A781" s="9" t="s">
        <v>1561</v>
      </c>
      <c r="B781" s="9">
        <v>37.91</v>
      </c>
      <c r="C781" s="9">
        <v>5.68</v>
      </c>
      <c r="D781" s="9" t="s">
        <v>4686</v>
      </c>
      <c r="E781" s="9" t="s">
        <v>4684</v>
      </c>
      <c r="F781" s="9" t="s">
        <v>4684</v>
      </c>
      <c r="G781" s="9" t="s">
        <v>4685</v>
      </c>
      <c r="H781" s="9" t="s">
        <v>4684</v>
      </c>
      <c r="I781" s="9" t="str">
        <f t="shared" si="1"/>
        <v>No</v>
      </c>
      <c r="J781" s="9">
        <f t="shared" si="2"/>
        <v>0</v>
      </c>
      <c r="K781" s="9" t="str">
        <f t="shared" si="3"/>
        <v>OBESITY</v>
      </c>
    </row>
    <row r="782" ht="15.75" customHeight="1">
      <c r="A782" s="9" t="s">
        <v>1563</v>
      </c>
      <c r="B782" s="9">
        <v>54.61</v>
      </c>
      <c r="C782" s="9">
        <v>4.49</v>
      </c>
      <c r="D782" s="9" t="s">
        <v>4684</v>
      </c>
      <c r="E782" s="9" t="s">
        <v>4684</v>
      </c>
      <c r="F782" s="9" t="s">
        <v>4684</v>
      </c>
      <c r="G782" s="9" t="s">
        <v>4685</v>
      </c>
      <c r="H782" s="9" t="s">
        <v>4684</v>
      </c>
      <c r="I782" s="9" t="str">
        <f t="shared" si="1"/>
        <v>No</v>
      </c>
      <c r="J782" s="9">
        <f t="shared" si="2"/>
        <v>0</v>
      </c>
      <c r="K782" s="9" t="str">
        <f t="shared" si="3"/>
        <v>OBESITY</v>
      </c>
    </row>
    <row r="783" ht="15.75" customHeight="1">
      <c r="A783" s="9" t="s">
        <v>1565</v>
      </c>
      <c r="B783" s="9">
        <v>36.005</v>
      </c>
      <c r="C783" s="9">
        <v>6.9</v>
      </c>
      <c r="D783" s="9" t="s">
        <v>4684</v>
      </c>
      <c r="E783" s="9" t="s">
        <v>4684</v>
      </c>
      <c r="F783" s="9" t="s">
        <v>4684</v>
      </c>
      <c r="G783" s="9" t="s">
        <v>4685</v>
      </c>
      <c r="H783" s="9" t="s">
        <v>4684</v>
      </c>
      <c r="I783" s="9" t="str">
        <f t="shared" si="1"/>
        <v>No</v>
      </c>
      <c r="J783" s="9">
        <f t="shared" si="2"/>
        <v>0</v>
      </c>
      <c r="K783" s="9" t="str">
        <f t="shared" si="3"/>
        <v>OBESITY</v>
      </c>
    </row>
    <row r="784" ht="15.75" customHeight="1">
      <c r="A784" s="9" t="s">
        <v>1567</v>
      </c>
      <c r="B784" s="9">
        <v>28.7</v>
      </c>
      <c r="C784" s="9">
        <v>11.52</v>
      </c>
      <c r="D784" s="9" t="s">
        <v>4684</v>
      </c>
      <c r="E784" s="9" t="s">
        <v>4684</v>
      </c>
      <c r="F784" s="9" t="s">
        <v>4684</v>
      </c>
      <c r="G784" s="9" t="s">
        <v>4685</v>
      </c>
      <c r="H784" s="9" t="s">
        <v>4684</v>
      </c>
      <c r="I784" s="9" t="str">
        <f t="shared" si="1"/>
        <v>No</v>
      </c>
      <c r="J784" s="9">
        <f t="shared" si="2"/>
        <v>0</v>
      </c>
      <c r="K784" s="9" t="str">
        <f t="shared" si="3"/>
        <v>OVERWEIGHT</v>
      </c>
    </row>
    <row r="785" ht="15.75" customHeight="1">
      <c r="A785" s="9" t="s">
        <v>1569</v>
      </c>
      <c r="B785" s="9">
        <v>34.295</v>
      </c>
      <c r="C785" s="9">
        <v>11.24</v>
      </c>
      <c r="D785" s="9" t="s">
        <v>4684</v>
      </c>
      <c r="E785" s="9" t="s">
        <v>4684</v>
      </c>
      <c r="F785" s="9" t="s">
        <v>4684</v>
      </c>
      <c r="G785" s="9" t="s">
        <v>4685</v>
      </c>
      <c r="H785" s="9" t="s">
        <v>4684</v>
      </c>
      <c r="I785" s="9" t="str">
        <f t="shared" si="1"/>
        <v>No</v>
      </c>
      <c r="J785" s="9">
        <f t="shared" si="2"/>
        <v>0</v>
      </c>
      <c r="K785" s="9" t="str">
        <f t="shared" si="3"/>
        <v>OBESITY</v>
      </c>
    </row>
    <row r="786" ht="15.75" customHeight="1">
      <c r="A786" s="9" t="s">
        <v>1571</v>
      </c>
      <c r="B786" s="9">
        <v>27.55</v>
      </c>
      <c r="C786" s="9">
        <v>10.98</v>
      </c>
      <c r="D786" s="9" t="s">
        <v>4684</v>
      </c>
      <c r="E786" s="9" t="s">
        <v>4684</v>
      </c>
      <c r="F786" s="9" t="s">
        <v>4684</v>
      </c>
      <c r="G786" s="9" t="s">
        <v>4685</v>
      </c>
      <c r="H786" s="9" t="s">
        <v>4684</v>
      </c>
      <c r="I786" s="9" t="str">
        <f t="shared" si="1"/>
        <v>No</v>
      </c>
      <c r="J786" s="9">
        <f t="shared" si="2"/>
        <v>0</v>
      </c>
      <c r="K786" s="9" t="str">
        <f t="shared" si="3"/>
        <v>OVERWEIGHT</v>
      </c>
    </row>
    <row r="787" ht="15.75" customHeight="1">
      <c r="A787" s="9" t="s">
        <v>1573</v>
      </c>
      <c r="B787" s="9">
        <v>40.7</v>
      </c>
      <c r="C787" s="9">
        <v>5.42</v>
      </c>
      <c r="D787" s="9" t="s">
        <v>4684</v>
      </c>
      <c r="E787" s="9" t="s">
        <v>4684</v>
      </c>
      <c r="F787" s="9" t="s">
        <v>4684</v>
      </c>
      <c r="G787" s="9" t="s">
        <v>4685</v>
      </c>
      <c r="H787" s="9" t="s">
        <v>4684</v>
      </c>
      <c r="I787" s="9" t="str">
        <f t="shared" si="1"/>
        <v>No</v>
      </c>
      <c r="J787" s="9">
        <f t="shared" si="2"/>
        <v>0</v>
      </c>
      <c r="K787" s="9" t="str">
        <f t="shared" si="3"/>
        <v>OBESITY</v>
      </c>
    </row>
    <row r="788" ht="15.75" customHeight="1">
      <c r="A788" s="9" t="s">
        <v>1575</v>
      </c>
      <c r="B788" s="9">
        <v>18.335</v>
      </c>
      <c r="C788" s="9">
        <v>10.97</v>
      </c>
      <c r="D788" s="9" t="s">
        <v>4684</v>
      </c>
      <c r="E788" s="9" t="s">
        <v>4684</v>
      </c>
      <c r="F788" s="9" t="s">
        <v>4684</v>
      </c>
      <c r="G788" s="9" t="s">
        <v>4685</v>
      </c>
      <c r="H788" s="9" t="s">
        <v>4684</v>
      </c>
      <c r="I788" s="9" t="str">
        <f t="shared" si="1"/>
        <v>No</v>
      </c>
      <c r="J788" s="9">
        <f t="shared" si="2"/>
        <v>0</v>
      </c>
      <c r="K788" s="9" t="str">
        <f t="shared" si="3"/>
        <v>UNDERWEIGHT</v>
      </c>
    </row>
    <row r="789" ht="15.75" customHeight="1">
      <c r="A789" s="9" t="s">
        <v>1577</v>
      </c>
      <c r="B789" s="9">
        <v>33.915</v>
      </c>
      <c r="C789" s="9">
        <v>9.56</v>
      </c>
      <c r="D789" s="9" t="s">
        <v>4686</v>
      </c>
      <c r="E789" s="9" t="s">
        <v>4684</v>
      </c>
      <c r="F789" s="9" t="s">
        <v>4684</v>
      </c>
      <c r="G789" s="9">
        <v>2.0</v>
      </c>
      <c r="H789" s="9" t="s">
        <v>4684</v>
      </c>
      <c r="I789" s="9" t="str">
        <f t="shared" si="1"/>
        <v>No</v>
      </c>
      <c r="J789" s="9">
        <f t="shared" si="2"/>
        <v>2</v>
      </c>
      <c r="K789" s="9" t="str">
        <f t="shared" si="3"/>
        <v>OBESITY</v>
      </c>
    </row>
    <row r="790" ht="15.75" customHeight="1">
      <c r="A790" s="9" t="s">
        <v>1579</v>
      </c>
      <c r="B790" s="9">
        <v>33.535</v>
      </c>
      <c r="C790" s="9">
        <v>9.4</v>
      </c>
      <c r="D790" s="9" t="s">
        <v>4686</v>
      </c>
      <c r="E790" s="9" t="s">
        <v>4684</v>
      </c>
      <c r="F790" s="9" t="s">
        <v>4684</v>
      </c>
      <c r="G790" s="9">
        <v>2.0</v>
      </c>
      <c r="H790" s="9" t="s">
        <v>4684</v>
      </c>
      <c r="I790" s="9" t="str">
        <f t="shared" si="1"/>
        <v>No</v>
      </c>
      <c r="J790" s="9">
        <f t="shared" si="2"/>
        <v>2</v>
      </c>
      <c r="K790" s="9" t="str">
        <f t="shared" si="3"/>
        <v>OBESITY</v>
      </c>
    </row>
    <row r="791" ht="15.75" customHeight="1">
      <c r="A791" s="9" t="s">
        <v>1581</v>
      </c>
      <c r="B791" s="9">
        <v>23.655</v>
      </c>
      <c r="C791" s="9">
        <v>8.48</v>
      </c>
      <c r="D791" s="9" t="s">
        <v>4686</v>
      </c>
      <c r="E791" s="9" t="s">
        <v>4684</v>
      </c>
      <c r="F791" s="9" t="s">
        <v>4684</v>
      </c>
      <c r="G791" s="9">
        <v>2.0</v>
      </c>
      <c r="H791" s="9" t="s">
        <v>4684</v>
      </c>
      <c r="I791" s="9" t="str">
        <f t="shared" si="1"/>
        <v>No</v>
      </c>
      <c r="J791" s="9">
        <f t="shared" si="2"/>
        <v>2</v>
      </c>
      <c r="K791" s="9" t="str">
        <f t="shared" si="3"/>
        <v>NORMAL WEIGHT</v>
      </c>
    </row>
    <row r="792" ht="15.75" customHeight="1">
      <c r="A792" s="9" t="s">
        <v>1583</v>
      </c>
      <c r="B792" s="9">
        <v>28.0</v>
      </c>
      <c r="C792" s="9">
        <v>5.57</v>
      </c>
      <c r="D792" s="9" t="s">
        <v>4684</v>
      </c>
      <c r="E792" s="9" t="s">
        <v>4684</v>
      </c>
      <c r="F792" s="9" t="s">
        <v>4684</v>
      </c>
      <c r="G792" s="9" t="s">
        <v>4685</v>
      </c>
      <c r="H792" s="9" t="s">
        <v>4684</v>
      </c>
      <c r="I792" s="9" t="str">
        <f t="shared" si="1"/>
        <v>No</v>
      </c>
      <c r="J792" s="9">
        <f t="shared" si="2"/>
        <v>0</v>
      </c>
      <c r="K792" s="9" t="str">
        <f t="shared" si="3"/>
        <v>OVERWEIGHT</v>
      </c>
    </row>
    <row r="793" ht="15.75" customHeight="1">
      <c r="A793" s="9" t="s">
        <v>1585</v>
      </c>
      <c r="B793" s="9">
        <v>30.23</v>
      </c>
      <c r="C793" s="9">
        <v>6.94</v>
      </c>
      <c r="D793" s="9" t="s">
        <v>4686</v>
      </c>
      <c r="E793" s="9" t="s">
        <v>4684</v>
      </c>
      <c r="F793" s="9" t="s">
        <v>4686</v>
      </c>
      <c r="G793" s="9">
        <v>1.0</v>
      </c>
      <c r="H793" s="9" t="s">
        <v>4684</v>
      </c>
      <c r="I793" s="9" t="str">
        <f t="shared" si="1"/>
        <v>No</v>
      </c>
      <c r="J793" s="9">
        <f t="shared" si="2"/>
        <v>1</v>
      </c>
      <c r="K793" s="9" t="str">
        <f t="shared" si="3"/>
        <v>OBESITY</v>
      </c>
    </row>
    <row r="794" ht="15.75" customHeight="1">
      <c r="A794" s="9" t="s">
        <v>1587</v>
      </c>
      <c r="B794" s="9">
        <v>51.14</v>
      </c>
      <c r="C794" s="9">
        <v>4.05</v>
      </c>
      <c r="D794" s="9" t="s">
        <v>4684</v>
      </c>
      <c r="E794" s="9" t="s">
        <v>4684</v>
      </c>
      <c r="F794" s="9" t="s">
        <v>4684</v>
      </c>
      <c r="G794" s="9">
        <v>1.0</v>
      </c>
      <c r="H794" s="9" t="s">
        <v>4684</v>
      </c>
      <c r="I794" s="9" t="str">
        <f t="shared" si="1"/>
        <v>No</v>
      </c>
      <c r="J794" s="9">
        <f t="shared" si="2"/>
        <v>1</v>
      </c>
      <c r="K794" s="9" t="str">
        <f t="shared" si="3"/>
        <v>OBESITY</v>
      </c>
    </row>
    <row r="795" ht="15.75" customHeight="1">
      <c r="A795" s="9" t="s">
        <v>1589</v>
      </c>
      <c r="B795" s="9">
        <v>24.32</v>
      </c>
      <c r="C795" s="9">
        <v>10.22</v>
      </c>
      <c r="D795" s="9" t="s">
        <v>4684</v>
      </c>
      <c r="E795" s="9" t="s">
        <v>4684</v>
      </c>
      <c r="F795" s="9" t="s">
        <v>4684</v>
      </c>
      <c r="G795" s="9" t="s">
        <v>4685</v>
      </c>
      <c r="H795" s="9" t="s">
        <v>4684</v>
      </c>
      <c r="I795" s="9" t="str">
        <f t="shared" si="1"/>
        <v>No</v>
      </c>
      <c r="J795" s="9">
        <f t="shared" si="2"/>
        <v>0</v>
      </c>
      <c r="K795" s="9" t="str">
        <f t="shared" si="3"/>
        <v>NORMAL WEIGHT</v>
      </c>
    </row>
    <row r="796" ht="15.75" customHeight="1">
      <c r="A796" s="9" t="s">
        <v>1591</v>
      </c>
      <c r="B796" s="9">
        <v>38.06</v>
      </c>
      <c r="C796" s="9">
        <v>9.24</v>
      </c>
      <c r="D796" s="9" t="s">
        <v>4684</v>
      </c>
      <c r="E796" s="9" t="s">
        <v>4684</v>
      </c>
      <c r="F796" s="9" t="s">
        <v>4684</v>
      </c>
      <c r="G796" s="9" t="s">
        <v>4685</v>
      </c>
      <c r="H796" s="9" t="s">
        <v>4684</v>
      </c>
      <c r="I796" s="9" t="str">
        <f t="shared" si="1"/>
        <v>No</v>
      </c>
      <c r="J796" s="9">
        <f t="shared" si="2"/>
        <v>0</v>
      </c>
      <c r="K796" s="9" t="str">
        <f t="shared" si="3"/>
        <v>OBESITY</v>
      </c>
    </row>
    <row r="797" ht="15.75" customHeight="1">
      <c r="A797" s="9" t="s">
        <v>1593</v>
      </c>
      <c r="B797" s="9">
        <v>37.7</v>
      </c>
      <c r="C797" s="9">
        <v>8.6</v>
      </c>
      <c r="D797" s="9" t="s">
        <v>4684</v>
      </c>
      <c r="E797" s="9" t="s">
        <v>4684</v>
      </c>
      <c r="F797" s="9" t="s">
        <v>4684</v>
      </c>
      <c r="G797" s="9" t="s">
        <v>4685</v>
      </c>
      <c r="H797" s="9" t="s">
        <v>4684</v>
      </c>
      <c r="I797" s="9" t="str">
        <f t="shared" si="1"/>
        <v>No</v>
      </c>
      <c r="J797" s="9">
        <f t="shared" si="2"/>
        <v>0</v>
      </c>
      <c r="K797" s="9" t="str">
        <f t="shared" si="3"/>
        <v>OBESITY</v>
      </c>
    </row>
    <row r="798" ht="15.75" customHeight="1">
      <c r="A798" s="9" t="s">
        <v>1595</v>
      </c>
      <c r="B798" s="9">
        <v>44.0</v>
      </c>
      <c r="C798" s="9">
        <v>9.32</v>
      </c>
      <c r="D798" s="9" t="s">
        <v>4686</v>
      </c>
      <c r="E798" s="9" t="s">
        <v>4684</v>
      </c>
      <c r="F798" s="9" t="s">
        <v>4684</v>
      </c>
      <c r="G798" s="9">
        <v>2.0</v>
      </c>
      <c r="H798" s="9" t="s">
        <v>4684</v>
      </c>
      <c r="I798" s="9" t="str">
        <f t="shared" si="1"/>
        <v>No</v>
      </c>
      <c r="J798" s="9">
        <f t="shared" si="2"/>
        <v>2</v>
      </c>
      <c r="K798" s="9" t="str">
        <f t="shared" si="3"/>
        <v>OBESITY</v>
      </c>
    </row>
    <row r="799" ht="15.75" customHeight="1">
      <c r="A799" s="9" t="s">
        <v>1597</v>
      </c>
      <c r="B799" s="9">
        <v>41.45</v>
      </c>
      <c r="C799" s="9">
        <v>6.12</v>
      </c>
      <c r="D799" s="9" t="s">
        <v>4686</v>
      </c>
      <c r="E799" s="9" t="s">
        <v>4684</v>
      </c>
      <c r="F799" s="9" t="s">
        <v>4684</v>
      </c>
      <c r="G799" s="9" t="s">
        <v>4685</v>
      </c>
      <c r="H799" s="9" t="s">
        <v>4684</v>
      </c>
      <c r="I799" s="9" t="str">
        <f t="shared" si="1"/>
        <v>No</v>
      </c>
      <c r="J799" s="9">
        <f t="shared" si="2"/>
        <v>0</v>
      </c>
      <c r="K799" s="9" t="str">
        <f t="shared" si="3"/>
        <v>OBESITY</v>
      </c>
    </row>
    <row r="800" ht="15.75" customHeight="1">
      <c r="A800" s="9" t="s">
        <v>1599</v>
      </c>
      <c r="B800" s="9">
        <v>25.365</v>
      </c>
      <c r="C800" s="9">
        <v>9.19</v>
      </c>
      <c r="D800" s="9" t="s">
        <v>4686</v>
      </c>
      <c r="E800" s="9" t="s">
        <v>4684</v>
      </c>
      <c r="F800" s="9" t="s">
        <v>4684</v>
      </c>
      <c r="G800" s="9" t="s">
        <v>4685</v>
      </c>
      <c r="H800" s="9" t="s">
        <v>4684</v>
      </c>
      <c r="I800" s="9" t="str">
        <f t="shared" si="1"/>
        <v>No</v>
      </c>
      <c r="J800" s="9">
        <f t="shared" si="2"/>
        <v>0</v>
      </c>
      <c r="K800" s="9" t="str">
        <f t="shared" si="3"/>
        <v>OVERWEIGHT</v>
      </c>
    </row>
    <row r="801" ht="15.75" customHeight="1">
      <c r="A801" s="9" t="s">
        <v>1601</v>
      </c>
      <c r="B801" s="9">
        <v>34.56</v>
      </c>
      <c r="C801" s="9">
        <v>5.84</v>
      </c>
      <c r="D801" s="9" t="s">
        <v>4686</v>
      </c>
      <c r="E801" s="9" t="s">
        <v>4684</v>
      </c>
      <c r="F801" s="9" t="s">
        <v>4686</v>
      </c>
      <c r="G801" s="9">
        <v>1.0</v>
      </c>
      <c r="H801" s="9" t="s">
        <v>4684</v>
      </c>
      <c r="I801" s="9" t="str">
        <f t="shared" si="1"/>
        <v>No</v>
      </c>
      <c r="J801" s="9">
        <f t="shared" si="2"/>
        <v>1</v>
      </c>
      <c r="K801" s="9" t="str">
        <f t="shared" si="3"/>
        <v>OBESITY</v>
      </c>
    </row>
    <row r="802" ht="15.75" customHeight="1">
      <c r="A802" s="9" t="s">
        <v>1603</v>
      </c>
      <c r="B802" s="9">
        <v>28.2</v>
      </c>
      <c r="C802" s="9">
        <v>7.19</v>
      </c>
      <c r="D802" s="9" t="s">
        <v>4686</v>
      </c>
      <c r="E802" s="9" t="s">
        <v>4684</v>
      </c>
      <c r="F802" s="9" t="s">
        <v>4684</v>
      </c>
      <c r="G802" s="9">
        <v>2.0</v>
      </c>
      <c r="H802" s="9" t="s">
        <v>4684</v>
      </c>
      <c r="I802" s="9" t="str">
        <f t="shared" si="1"/>
        <v>No</v>
      </c>
      <c r="J802" s="9">
        <f t="shared" si="2"/>
        <v>2</v>
      </c>
      <c r="K802" s="9" t="str">
        <f t="shared" si="3"/>
        <v>OVERWEIGHT</v>
      </c>
    </row>
    <row r="803" ht="15.75" customHeight="1">
      <c r="A803" s="9" t="s">
        <v>1605</v>
      </c>
      <c r="B803" s="9">
        <v>30.43</v>
      </c>
      <c r="C803" s="9">
        <v>9.39</v>
      </c>
      <c r="D803" s="9" t="s">
        <v>4684</v>
      </c>
      <c r="E803" s="9" t="s">
        <v>4684</v>
      </c>
      <c r="F803" s="9" t="s">
        <v>4684</v>
      </c>
      <c r="G803" s="9" t="s">
        <v>4685</v>
      </c>
      <c r="H803" s="9" t="s">
        <v>4684</v>
      </c>
      <c r="I803" s="9" t="str">
        <f t="shared" si="1"/>
        <v>No</v>
      </c>
      <c r="J803" s="9">
        <f t="shared" si="2"/>
        <v>0</v>
      </c>
      <c r="K803" s="9" t="str">
        <f t="shared" si="3"/>
        <v>OBESITY</v>
      </c>
    </row>
    <row r="804" ht="15.75" customHeight="1">
      <c r="A804" s="9" t="s">
        <v>1607</v>
      </c>
      <c r="B804" s="9">
        <v>32.395</v>
      </c>
      <c r="C804" s="9">
        <v>4.27</v>
      </c>
      <c r="D804" s="9" t="s">
        <v>4686</v>
      </c>
      <c r="E804" s="9" t="s">
        <v>4684</v>
      </c>
      <c r="F804" s="9" t="s">
        <v>4684</v>
      </c>
      <c r="G804" s="9">
        <v>1.0</v>
      </c>
      <c r="H804" s="9" t="s">
        <v>4684</v>
      </c>
      <c r="I804" s="9" t="str">
        <f t="shared" si="1"/>
        <v>No</v>
      </c>
      <c r="J804" s="9">
        <f t="shared" si="2"/>
        <v>1</v>
      </c>
      <c r="K804" s="9" t="str">
        <f t="shared" si="3"/>
        <v>OBESITY</v>
      </c>
    </row>
    <row r="805" ht="15.75" customHeight="1">
      <c r="A805" s="9" t="s">
        <v>1609</v>
      </c>
      <c r="B805" s="9">
        <v>24.035</v>
      </c>
      <c r="C805" s="9">
        <v>11.71</v>
      </c>
      <c r="D805" s="9" t="s">
        <v>4684</v>
      </c>
      <c r="E805" s="9" t="s">
        <v>4684</v>
      </c>
      <c r="F805" s="9" t="s">
        <v>4684</v>
      </c>
      <c r="G805" s="9" t="s">
        <v>4685</v>
      </c>
      <c r="H805" s="9" t="s">
        <v>4684</v>
      </c>
      <c r="I805" s="9" t="str">
        <f t="shared" si="1"/>
        <v>No</v>
      </c>
      <c r="J805" s="9">
        <f t="shared" si="2"/>
        <v>0</v>
      </c>
      <c r="K805" s="9" t="str">
        <f t="shared" si="3"/>
        <v>NORMAL WEIGHT</v>
      </c>
    </row>
    <row r="806" ht="15.75" customHeight="1">
      <c r="A806" s="9" t="s">
        <v>1611</v>
      </c>
      <c r="B806" s="9">
        <v>37.12</v>
      </c>
      <c r="C806" s="9">
        <v>5.29</v>
      </c>
      <c r="D806" s="9" t="s">
        <v>4684</v>
      </c>
      <c r="E806" s="9" t="s">
        <v>4684</v>
      </c>
      <c r="F806" s="9" t="s">
        <v>4684</v>
      </c>
      <c r="G806" s="9">
        <v>2.0</v>
      </c>
      <c r="H806" s="9" t="s">
        <v>4684</v>
      </c>
      <c r="I806" s="9" t="str">
        <f t="shared" si="1"/>
        <v>No</v>
      </c>
      <c r="J806" s="9">
        <f t="shared" si="2"/>
        <v>2</v>
      </c>
      <c r="K806" s="9" t="str">
        <f t="shared" si="3"/>
        <v>OBESITY</v>
      </c>
    </row>
    <row r="807" ht="15.75" customHeight="1">
      <c r="A807" s="9" t="s">
        <v>1613</v>
      </c>
      <c r="B807" s="9">
        <v>34.84</v>
      </c>
      <c r="C807" s="9">
        <v>6.0</v>
      </c>
      <c r="D807" s="9" t="s">
        <v>4686</v>
      </c>
      <c r="E807" s="9" t="s">
        <v>4684</v>
      </c>
      <c r="F807" s="9" t="s">
        <v>4686</v>
      </c>
      <c r="G807" s="9">
        <v>1.0</v>
      </c>
      <c r="H807" s="9" t="s">
        <v>4684</v>
      </c>
      <c r="I807" s="9" t="str">
        <f t="shared" si="1"/>
        <v>No</v>
      </c>
      <c r="J807" s="9">
        <f t="shared" si="2"/>
        <v>1</v>
      </c>
      <c r="K807" s="9" t="str">
        <f t="shared" si="3"/>
        <v>OBESITY</v>
      </c>
    </row>
    <row r="808" ht="15.75" customHeight="1">
      <c r="A808" s="9" t="s">
        <v>1615</v>
      </c>
      <c r="B808" s="9">
        <v>29.53</v>
      </c>
      <c r="C808" s="9">
        <v>10.64</v>
      </c>
      <c r="D808" s="9" t="s">
        <v>4684</v>
      </c>
      <c r="E808" s="9" t="s">
        <v>4684</v>
      </c>
      <c r="F808" s="9" t="s">
        <v>4684</v>
      </c>
      <c r="G808" s="9" t="s">
        <v>4685</v>
      </c>
      <c r="H808" s="9" t="s">
        <v>4684</v>
      </c>
      <c r="I808" s="9" t="str">
        <f t="shared" si="1"/>
        <v>No</v>
      </c>
      <c r="J808" s="9">
        <f t="shared" si="2"/>
        <v>0</v>
      </c>
      <c r="K808" s="9" t="str">
        <f t="shared" si="3"/>
        <v>OVERWEIGHT</v>
      </c>
    </row>
    <row r="809" ht="15.75" customHeight="1">
      <c r="A809" s="9" t="s">
        <v>1617</v>
      </c>
      <c r="B809" s="9">
        <v>42.51</v>
      </c>
      <c r="C809" s="9">
        <v>8.21</v>
      </c>
      <c r="D809" s="9" t="s">
        <v>4686</v>
      </c>
      <c r="E809" s="9" t="s">
        <v>4684</v>
      </c>
      <c r="F809" s="9" t="s">
        <v>4684</v>
      </c>
      <c r="G809" s="9" t="s">
        <v>4685</v>
      </c>
      <c r="H809" s="9" t="s">
        <v>4684</v>
      </c>
      <c r="I809" s="9" t="str">
        <f t="shared" si="1"/>
        <v>No</v>
      </c>
      <c r="J809" s="9">
        <f t="shared" si="2"/>
        <v>0</v>
      </c>
      <c r="K809" s="9" t="str">
        <f t="shared" si="3"/>
        <v>OBESITY</v>
      </c>
    </row>
    <row r="810" ht="15.75" customHeight="1">
      <c r="A810" s="9" t="s">
        <v>1619</v>
      </c>
      <c r="B810" s="9">
        <v>38.14</v>
      </c>
      <c r="C810" s="9">
        <v>5.58</v>
      </c>
      <c r="D810" s="9" t="s">
        <v>4684</v>
      </c>
      <c r="E810" s="9" t="s">
        <v>4684</v>
      </c>
      <c r="F810" s="9" t="s">
        <v>4686</v>
      </c>
      <c r="G810" s="9">
        <v>1.0</v>
      </c>
      <c r="H810" s="9" t="s">
        <v>4684</v>
      </c>
      <c r="I810" s="9" t="str">
        <f t="shared" si="1"/>
        <v>No</v>
      </c>
      <c r="J810" s="9">
        <f t="shared" si="2"/>
        <v>1</v>
      </c>
      <c r="K810" s="9" t="str">
        <f t="shared" si="3"/>
        <v>OBESITY</v>
      </c>
    </row>
    <row r="811" ht="15.75" customHeight="1">
      <c r="A811" s="9" t="s">
        <v>1621</v>
      </c>
      <c r="B811" s="9">
        <v>39.93</v>
      </c>
      <c r="C811" s="9">
        <v>8.75</v>
      </c>
      <c r="D811" s="9" t="s">
        <v>4684</v>
      </c>
      <c r="E811" s="9" t="s">
        <v>4684</v>
      </c>
      <c r="F811" s="9" t="s">
        <v>4684</v>
      </c>
      <c r="G811" s="9" t="s">
        <v>4685</v>
      </c>
      <c r="H811" s="9" t="s">
        <v>4684</v>
      </c>
      <c r="I811" s="9" t="str">
        <f t="shared" si="1"/>
        <v>No</v>
      </c>
      <c r="J811" s="9">
        <f t="shared" si="2"/>
        <v>0</v>
      </c>
      <c r="K811" s="9" t="str">
        <f t="shared" si="3"/>
        <v>OBESITY</v>
      </c>
    </row>
    <row r="812" ht="15.75" customHeight="1">
      <c r="A812" s="9" t="s">
        <v>1623</v>
      </c>
      <c r="B812" s="9">
        <v>38.83</v>
      </c>
      <c r="C812" s="9">
        <v>11.86</v>
      </c>
      <c r="D812" s="9" t="s">
        <v>4684</v>
      </c>
      <c r="E812" s="9" t="s">
        <v>4684</v>
      </c>
      <c r="F812" s="9" t="s">
        <v>4684</v>
      </c>
      <c r="G812" s="9" t="s">
        <v>4685</v>
      </c>
      <c r="H812" s="9" t="s">
        <v>4684</v>
      </c>
      <c r="I812" s="9" t="str">
        <f t="shared" si="1"/>
        <v>No</v>
      </c>
      <c r="J812" s="9">
        <f t="shared" si="2"/>
        <v>0</v>
      </c>
      <c r="K812" s="9" t="str">
        <f t="shared" si="3"/>
        <v>OBESITY</v>
      </c>
    </row>
    <row r="813" ht="15.75" customHeight="1">
      <c r="A813" s="9" t="s">
        <v>1625</v>
      </c>
      <c r="B813" s="9">
        <v>37.4</v>
      </c>
      <c r="C813" s="9">
        <v>11.46</v>
      </c>
      <c r="D813" s="9" t="s">
        <v>4684</v>
      </c>
      <c r="E813" s="9" t="s">
        <v>4684</v>
      </c>
      <c r="F813" s="9" t="s">
        <v>4684</v>
      </c>
      <c r="G813" s="9" t="s">
        <v>4685</v>
      </c>
      <c r="H813" s="9" t="s">
        <v>4684</v>
      </c>
      <c r="I813" s="9" t="str">
        <f t="shared" si="1"/>
        <v>No</v>
      </c>
      <c r="J813" s="9">
        <f t="shared" si="2"/>
        <v>0</v>
      </c>
      <c r="K813" s="9" t="str">
        <f t="shared" si="3"/>
        <v>OBESITY</v>
      </c>
    </row>
    <row r="814" ht="15.75" customHeight="1">
      <c r="A814" s="9" t="s">
        <v>1627</v>
      </c>
      <c r="B814" s="9">
        <v>21.4</v>
      </c>
      <c r="C814" s="9">
        <v>9.03</v>
      </c>
      <c r="D814" s="9" t="s">
        <v>4684</v>
      </c>
      <c r="E814" s="9" t="s">
        <v>4684</v>
      </c>
      <c r="F814" s="9" t="s">
        <v>4684</v>
      </c>
      <c r="G814" s="9" t="s">
        <v>4685</v>
      </c>
      <c r="H814" s="9" t="s">
        <v>4684</v>
      </c>
      <c r="I814" s="9" t="str">
        <f t="shared" si="1"/>
        <v>No</v>
      </c>
      <c r="J814" s="9">
        <f t="shared" si="2"/>
        <v>0</v>
      </c>
      <c r="K814" s="9" t="str">
        <f t="shared" si="3"/>
        <v>NORMAL WEIGHT</v>
      </c>
    </row>
    <row r="815" ht="15.75" customHeight="1">
      <c r="A815" s="9" t="s">
        <v>1629</v>
      </c>
      <c r="B815" s="9">
        <v>38.38</v>
      </c>
      <c r="C815" s="9">
        <v>8.26</v>
      </c>
      <c r="D815" s="9" t="s">
        <v>4686</v>
      </c>
      <c r="E815" s="9" t="s">
        <v>4684</v>
      </c>
      <c r="F815" s="9" t="s">
        <v>4684</v>
      </c>
      <c r="G815" s="9">
        <v>2.0</v>
      </c>
      <c r="H815" s="9" t="s">
        <v>4684</v>
      </c>
      <c r="I815" s="9" t="str">
        <f t="shared" si="1"/>
        <v>No</v>
      </c>
      <c r="J815" s="9">
        <f t="shared" si="2"/>
        <v>2</v>
      </c>
      <c r="K815" s="9" t="str">
        <f t="shared" si="3"/>
        <v>OBESITY</v>
      </c>
    </row>
    <row r="816" ht="15.75" customHeight="1">
      <c r="A816" s="9" t="s">
        <v>1631</v>
      </c>
      <c r="B816" s="9">
        <v>33.66</v>
      </c>
      <c r="C816" s="9">
        <v>5.42</v>
      </c>
      <c r="D816" s="9" t="s">
        <v>4686</v>
      </c>
      <c r="E816" s="9" t="s">
        <v>4684</v>
      </c>
      <c r="F816" s="9" t="s">
        <v>4684</v>
      </c>
      <c r="G816" s="9">
        <v>2.0</v>
      </c>
      <c r="H816" s="9" t="s">
        <v>4684</v>
      </c>
      <c r="I816" s="9" t="str">
        <f t="shared" si="1"/>
        <v>No</v>
      </c>
      <c r="J816" s="9">
        <f t="shared" si="2"/>
        <v>2</v>
      </c>
      <c r="K816" s="9" t="str">
        <f t="shared" si="3"/>
        <v>OBESITY</v>
      </c>
    </row>
    <row r="817" ht="15.75" customHeight="1">
      <c r="A817" s="9" t="s">
        <v>1633</v>
      </c>
      <c r="B817" s="9">
        <v>31.79</v>
      </c>
      <c r="C817" s="9">
        <v>11.33</v>
      </c>
      <c r="D817" s="9" t="s">
        <v>4686</v>
      </c>
      <c r="E817" s="9" t="s">
        <v>4684</v>
      </c>
      <c r="F817" s="9" t="s">
        <v>4686</v>
      </c>
      <c r="G817" s="9">
        <v>1.0</v>
      </c>
      <c r="H817" s="9" t="s">
        <v>4684</v>
      </c>
      <c r="I817" s="9" t="str">
        <f t="shared" si="1"/>
        <v>No</v>
      </c>
      <c r="J817" s="9">
        <f t="shared" si="2"/>
        <v>1</v>
      </c>
      <c r="K817" s="9" t="str">
        <f t="shared" si="3"/>
        <v>OBESITY</v>
      </c>
    </row>
    <row r="818" ht="15.75" customHeight="1">
      <c r="A818" s="9" t="s">
        <v>1635</v>
      </c>
      <c r="B818" s="9">
        <v>29.7</v>
      </c>
      <c r="C818" s="9">
        <v>7.69</v>
      </c>
      <c r="D818" s="9" t="s">
        <v>4686</v>
      </c>
      <c r="E818" s="9" t="s">
        <v>4684</v>
      </c>
      <c r="F818" s="9" t="s">
        <v>4686</v>
      </c>
      <c r="G818" s="9">
        <v>1.0</v>
      </c>
      <c r="H818" s="9" t="s">
        <v>4684</v>
      </c>
      <c r="I818" s="9" t="str">
        <f t="shared" si="1"/>
        <v>No</v>
      </c>
      <c r="J818" s="9">
        <f t="shared" si="2"/>
        <v>1</v>
      </c>
      <c r="K818" s="9" t="str">
        <f t="shared" si="3"/>
        <v>OVERWEIGHT</v>
      </c>
    </row>
    <row r="819" ht="15.75" customHeight="1">
      <c r="A819" s="9" t="s">
        <v>1637</v>
      </c>
      <c r="B819" s="9">
        <v>25.46</v>
      </c>
      <c r="C819" s="9">
        <v>8.77</v>
      </c>
      <c r="D819" s="9" t="s">
        <v>4686</v>
      </c>
      <c r="E819" s="9" t="s">
        <v>4684</v>
      </c>
      <c r="F819" s="9" t="s">
        <v>4686</v>
      </c>
      <c r="G819" s="9">
        <v>1.0</v>
      </c>
      <c r="H819" s="9" t="s">
        <v>4684</v>
      </c>
      <c r="I819" s="9" t="str">
        <f t="shared" si="1"/>
        <v>No</v>
      </c>
      <c r="J819" s="9">
        <f t="shared" si="2"/>
        <v>1</v>
      </c>
      <c r="K819" s="9" t="str">
        <f t="shared" si="3"/>
        <v>OVERWEIGHT</v>
      </c>
    </row>
    <row r="820" ht="15.75" customHeight="1">
      <c r="A820" s="9" t="s">
        <v>1639</v>
      </c>
      <c r="B820" s="9">
        <v>39.14</v>
      </c>
      <c r="C820" s="9">
        <v>4.91</v>
      </c>
      <c r="D820" s="9" t="s">
        <v>4684</v>
      </c>
      <c r="E820" s="9" t="s">
        <v>4686</v>
      </c>
      <c r="F820" s="9" t="s">
        <v>4684</v>
      </c>
      <c r="G820" s="9">
        <v>1.0</v>
      </c>
      <c r="H820" s="9" t="s">
        <v>4684</v>
      </c>
      <c r="I820" s="9" t="str">
        <f t="shared" si="1"/>
        <v>No</v>
      </c>
      <c r="J820" s="9">
        <f t="shared" si="2"/>
        <v>1</v>
      </c>
      <c r="K820" s="9" t="str">
        <f t="shared" si="3"/>
        <v>OBESITY</v>
      </c>
    </row>
    <row r="821" ht="15.75" customHeight="1">
      <c r="A821" s="9" t="s">
        <v>1641</v>
      </c>
      <c r="B821" s="9">
        <v>41.2</v>
      </c>
      <c r="C821" s="9">
        <v>4.95</v>
      </c>
      <c r="D821" s="9" t="s">
        <v>4684</v>
      </c>
      <c r="E821" s="9" t="s">
        <v>4684</v>
      </c>
      <c r="F821" s="9" t="s">
        <v>4684</v>
      </c>
      <c r="G821" s="9">
        <v>1.0</v>
      </c>
      <c r="H821" s="9" t="s">
        <v>4684</v>
      </c>
      <c r="I821" s="9" t="str">
        <f t="shared" si="1"/>
        <v>No</v>
      </c>
      <c r="J821" s="9">
        <f t="shared" si="2"/>
        <v>1</v>
      </c>
      <c r="K821" s="9" t="str">
        <f t="shared" si="3"/>
        <v>OBESITY</v>
      </c>
    </row>
    <row r="822" ht="15.75" customHeight="1">
      <c r="A822" s="9" t="s">
        <v>1643</v>
      </c>
      <c r="B822" s="9">
        <v>28.81</v>
      </c>
      <c r="C822" s="9">
        <v>10.8</v>
      </c>
      <c r="D822" s="9" t="s">
        <v>4686</v>
      </c>
      <c r="E822" s="9" t="s">
        <v>4684</v>
      </c>
      <c r="F822" s="9" t="s">
        <v>4686</v>
      </c>
      <c r="G822" s="9">
        <v>1.0</v>
      </c>
      <c r="H822" s="9" t="s">
        <v>4684</v>
      </c>
      <c r="I822" s="9" t="str">
        <f t="shared" si="1"/>
        <v>No</v>
      </c>
      <c r="J822" s="9">
        <f t="shared" si="2"/>
        <v>1</v>
      </c>
      <c r="K822" s="9" t="str">
        <f t="shared" si="3"/>
        <v>OVERWEIGHT</v>
      </c>
    </row>
    <row r="823" ht="15.75" customHeight="1">
      <c r="A823" s="9" t="s">
        <v>1645</v>
      </c>
      <c r="B823" s="9">
        <v>37.41</v>
      </c>
      <c r="C823" s="9">
        <v>7.21</v>
      </c>
      <c r="D823" s="9" t="s">
        <v>4684</v>
      </c>
      <c r="E823" s="9" t="s">
        <v>4684</v>
      </c>
      <c r="F823" s="9" t="s">
        <v>4684</v>
      </c>
      <c r="G823" s="9">
        <v>2.0</v>
      </c>
      <c r="H823" s="9" t="s">
        <v>4684</v>
      </c>
      <c r="I823" s="9" t="str">
        <f t="shared" si="1"/>
        <v>No</v>
      </c>
      <c r="J823" s="9">
        <f t="shared" si="2"/>
        <v>2</v>
      </c>
      <c r="K823" s="9" t="str">
        <f t="shared" si="3"/>
        <v>OBESITY</v>
      </c>
    </row>
    <row r="824" ht="15.75" customHeight="1">
      <c r="A824" s="9" t="s">
        <v>1647</v>
      </c>
      <c r="B824" s="9">
        <v>52.54</v>
      </c>
      <c r="C824" s="9">
        <v>5.12</v>
      </c>
      <c r="D824" s="9" t="s">
        <v>4684</v>
      </c>
      <c r="E824" s="9" t="s">
        <v>4684</v>
      </c>
      <c r="F824" s="9" t="s">
        <v>4686</v>
      </c>
      <c r="G824" s="9">
        <v>1.0</v>
      </c>
      <c r="H824" s="9" t="s">
        <v>4684</v>
      </c>
      <c r="I824" s="9" t="str">
        <f t="shared" si="1"/>
        <v>No</v>
      </c>
      <c r="J824" s="9">
        <f t="shared" si="2"/>
        <v>1</v>
      </c>
      <c r="K824" s="9" t="str">
        <f t="shared" si="3"/>
        <v>OBESITY</v>
      </c>
    </row>
    <row r="825" ht="15.75" customHeight="1">
      <c r="A825" s="9" t="s">
        <v>1649</v>
      </c>
      <c r="B825" s="9">
        <v>17.29</v>
      </c>
      <c r="C825" s="9">
        <v>4.62</v>
      </c>
      <c r="D825" s="9" t="s">
        <v>4684</v>
      </c>
      <c r="E825" s="9" t="s">
        <v>4686</v>
      </c>
      <c r="F825" s="9" t="s">
        <v>4684</v>
      </c>
      <c r="G825" s="9">
        <v>1.0</v>
      </c>
      <c r="H825" s="9" t="s">
        <v>4686</v>
      </c>
      <c r="I825" s="9" t="str">
        <f t="shared" si="1"/>
        <v>Yes</v>
      </c>
      <c r="J825" s="9">
        <f t="shared" si="2"/>
        <v>1</v>
      </c>
      <c r="K825" s="9" t="str">
        <f t="shared" si="3"/>
        <v>UNDERWEIGHT</v>
      </c>
    </row>
    <row r="826" ht="15.75" customHeight="1">
      <c r="A826" s="9" t="s">
        <v>1651</v>
      </c>
      <c r="B826" s="9">
        <v>31.74</v>
      </c>
      <c r="C826" s="9">
        <v>7.68</v>
      </c>
      <c r="D826" s="9" t="s">
        <v>4686</v>
      </c>
      <c r="E826" s="9" t="s">
        <v>4684</v>
      </c>
      <c r="F826" s="9" t="s">
        <v>4684</v>
      </c>
      <c r="G826" s="9" t="s">
        <v>4685</v>
      </c>
      <c r="H826" s="9" t="s">
        <v>4684</v>
      </c>
      <c r="I826" s="9" t="str">
        <f t="shared" si="1"/>
        <v>No</v>
      </c>
      <c r="J826" s="9">
        <f t="shared" si="2"/>
        <v>0</v>
      </c>
      <c r="K826" s="9" t="str">
        <f t="shared" si="3"/>
        <v>OBESITY</v>
      </c>
    </row>
    <row r="827" ht="15.75" customHeight="1">
      <c r="A827" s="9" t="s">
        <v>1653</v>
      </c>
      <c r="B827" s="9">
        <v>26.505</v>
      </c>
      <c r="C827" s="9">
        <v>6.79</v>
      </c>
      <c r="D827" s="9" t="s">
        <v>4686</v>
      </c>
      <c r="E827" s="9" t="s">
        <v>4684</v>
      </c>
      <c r="F827" s="9" t="s">
        <v>4686</v>
      </c>
      <c r="G827" s="9">
        <v>1.0</v>
      </c>
      <c r="H827" s="9" t="s">
        <v>4684</v>
      </c>
      <c r="I827" s="9" t="str">
        <f t="shared" si="1"/>
        <v>No</v>
      </c>
      <c r="J827" s="9">
        <f t="shared" si="2"/>
        <v>1</v>
      </c>
      <c r="K827" s="9" t="str">
        <f t="shared" si="3"/>
        <v>OVERWEIGHT</v>
      </c>
    </row>
    <row r="828" ht="15.75" customHeight="1">
      <c r="A828" s="9" t="s">
        <v>1655</v>
      </c>
      <c r="B828" s="9">
        <v>36.48</v>
      </c>
      <c r="C828" s="9">
        <v>11.09</v>
      </c>
      <c r="D828" s="9" t="s">
        <v>4684</v>
      </c>
      <c r="E828" s="9" t="s">
        <v>4684</v>
      </c>
      <c r="F828" s="9" t="s">
        <v>4684</v>
      </c>
      <c r="G828" s="9" t="s">
        <v>4685</v>
      </c>
      <c r="H828" s="9" t="s">
        <v>4684</v>
      </c>
      <c r="I828" s="9" t="str">
        <f t="shared" si="1"/>
        <v>No</v>
      </c>
      <c r="J828" s="9">
        <f t="shared" si="2"/>
        <v>0</v>
      </c>
      <c r="K828" s="9" t="str">
        <f t="shared" si="3"/>
        <v>OBESITY</v>
      </c>
    </row>
    <row r="829" ht="15.75" customHeight="1">
      <c r="A829" s="9" t="s">
        <v>1657</v>
      </c>
      <c r="B829" s="9">
        <v>39.16</v>
      </c>
      <c r="C829" s="9">
        <v>5.24</v>
      </c>
      <c r="D829" s="9" t="s">
        <v>4686</v>
      </c>
      <c r="E829" s="9" t="s">
        <v>4684</v>
      </c>
      <c r="F829" s="9" t="s">
        <v>4686</v>
      </c>
      <c r="G829" s="9">
        <v>1.0</v>
      </c>
      <c r="H829" s="9" t="s">
        <v>4684</v>
      </c>
      <c r="I829" s="9" t="str">
        <f t="shared" si="1"/>
        <v>No</v>
      </c>
      <c r="J829" s="9">
        <f t="shared" si="2"/>
        <v>1</v>
      </c>
      <c r="K829" s="9" t="str">
        <f t="shared" si="3"/>
        <v>OBESITY</v>
      </c>
    </row>
    <row r="830" ht="15.75" customHeight="1">
      <c r="A830" s="9" t="s">
        <v>1659</v>
      </c>
      <c r="B830" s="9">
        <v>28.22</v>
      </c>
      <c r="C830" s="9">
        <v>7.51</v>
      </c>
      <c r="D830" s="9" t="s">
        <v>4686</v>
      </c>
      <c r="E830" s="9" t="s">
        <v>4684</v>
      </c>
      <c r="F830" s="9" t="s">
        <v>4686</v>
      </c>
      <c r="G830" s="9">
        <v>1.0</v>
      </c>
      <c r="H830" s="9" t="s">
        <v>4684</v>
      </c>
      <c r="I830" s="9" t="str">
        <f t="shared" si="1"/>
        <v>No</v>
      </c>
      <c r="J830" s="9">
        <f t="shared" si="2"/>
        <v>1</v>
      </c>
      <c r="K830" s="9" t="str">
        <f t="shared" si="3"/>
        <v>OVERWEIGHT</v>
      </c>
    </row>
    <row r="831" ht="15.75" customHeight="1">
      <c r="A831" s="9" t="s">
        <v>1661</v>
      </c>
      <c r="B831" s="9">
        <v>35.0</v>
      </c>
      <c r="C831" s="9">
        <v>4.13</v>
      </c>
      <c r="D831" s="9" t="s">
        <v>4684</v>
      </c>
      <c r="E831" s="9" t="s">
        <v>4684</v>
      </c>
      <c r="F831" s="9" t="s">
        <v>4684</v>
      </c>
      <c r="G831" s="9">
        <v>2.0</v>
      </c>
      <c r="H831" s="9" t="s">
        <v>4684</v>
      </c>
      <c r="I831" s="9" t="str">
        <f t="shared" si="1"/>
        <v>No</v>
      </c>
      <c r="J831" s="9">
        <f t="shared" si="2"/>
        <v>2</v>
      </c>
      <c r="K831" s="9" t="str">
        <f t="shared" si="3"/>
        <v>OBESITY</v>
      </c>
    </row>
    <row r="832" ht="15.75" customHeight="1">
      <c r="A832" s="9" t="s">
        <v>1663</v>
      </c>
      <c r="B832" s="9">
        <v>36.24</v>
      </c>
      <c r="C832" s="9">
        <v>8.38</v>
      </c>
      <c r="D832" s="9" t="s">
        <v>4686</v>
      </c>
      <c r="E832" s="9" t="s">
        <v>4684</v>
      </c>
      <c r="F832" s="9" t="s">
        <v>4684</v>
      </c>
      <c r="G832" s="9">
        <v>1.0</v>
      </c>
      <c r="H832" s="9" t="s">
        <v>4684</v>
      </c>
      <c r="I832" s="9" t="str">
        <f t="shared" si="1"/>
        <v>No</v>
      </c>
      <c r="J832" s="9">
        <f t="shared" si="2"/>
        <v>1</v>
      </c>
      <c r="K832" s="9" t="str">
        <f t="shared" si="3"/>
        <v>OBESITY</v>
      </c>
    </row>
    <row r="833" ht="15.75" customHeight="1">
      <c r="A833" s="9" t="s">
        <v>1665</v>
      </c>
      <c r="B833" s="9">
        <v>36.955</v>
      </c>
      <c r="C833" s="9">
        <v>8.07</v>
      </c>
      <c r="D833" s="9" t="s">
        <v>4684</v>
      </c>
      <c r="E833" s="9" t="s">
        <v>4684</v>
      </c>
      <c r="F833" s="9" t="s">
        <v>4684</v>
      </c>
      <c r="G833" s="9" t="s">
        <v>4685</v>
      </c>
      <c r="H833" s="9" t="s">
        <v>4684</v>
      </c>
      <c r="I833" s="9" t="str">
        <f t="shared" si="1"/>
        <v>No</v>
      </c>
      <c r="J833" s="9">
        <f t="shared" si="2"/>
        <v>0</v>
      </c>
      <c r="K833" s="9" t="str">
        <f t="shared" si="3"/>
        <v>OBESITY</v>
      </c>
    </row>
    <row r="834" ht="15.75" customHeight="1">
      <c r="A834" s="9" t="s">
        <v>1667</v>
      </c>
      <c r="B834" s="9">
        <v>29.64</v>
      </c>
      <c r="C834" s="9">
        <v>8.95</v>
      </c>
      <c r="D834" s="9" t="s">
        <v>4684</v>
      </c>
      <c r="E834" s="9" t="s">
        <v>4684</v>
      </c>
      <c r="F834" s="9" t="s">
        <v>4684</v>
      </c>
      <c r="G834" s="9" t="s">
        <v>4685</v>
      </c>
      <c r="H834" s="9" t="s">
        <v>4684</v>
      </c>
      <c r="I834" s="9" t="str">
        <f t="shared" si="1"/>
        <v>No</v>
      </c>
      <c r="J834" s="9">
        <f t="shared" si="2"/>
        <v>0</v>
      </c>
      <c r="K834" s="9" t="str">
        <f t="shared" si="3"/>
        <v>OVERWEIGHT</v>
      </c>
    </row>
    <row r="835" ht="15.75" customHeight="1">
      <c r="A835" s="9" t="s">
        <v>1669</v>
      </c>
      <c r="B835" s="9">
        <v>42.74</v>
      </c>
      <c r="C835" s="9">
        <v>6.31</v>
      </c>
      <c r="D835" s="9" t="s">
        <v>4686</v>
      </c>
      <c r="E835" s="9" t="s">
        <v>4684</v>
      </c>
      <c r="F835" s="9" t="s">
        <v>4684</v>
      </c>
      <c r="G835" s="9">
        <v>1.0</v>
      </c>
      <c r="H835" s="9" t="s">
        <v>4684</v>
      </c>
      <c r="I835" s="9" t="str">
        <f t="shared" si="1"/>
        <v>No</v>
      </c>
      <c r="J835" s="9">
        <f t="shared" si="2"/>
        <v>1</v>
      </c>
      <c r="K835" s="9" t="str">
        <f t="shared" si="3"/>
        <v>OBESITY</v>
      </c>
    </row>
    <row r="836" ht="15.75" customHeight="1">
      <c r="A836" s="9" t="s">
        <v>1671</v>
      </c>
      <c r="B836" s="9">
        <v>36.13</v>
      </c>
      <c r="C836" s="9">
        <v>7.19</v>
      </c>
      <c r="D836" s="9" t="s">
        <v>4686</v>
      </c>
      <c r="E836" s="9" t="s">
        <v>4684</v>
      </c>
      <c r="F836" s="9" t="s">
        <v>4684</v>
      </c>
      <c r="G836" s="9">
        <v>2.0</v>
      </c>
      <c r="H836" s="9" t="s">
        <v>4684</v>
      </c>
      <c r="I836" s="9" t="str">
        <f t="shared" si="1"/>
        <v>No</v>
      </c>
      <c r="J836" s="9">
        <f t="shared" si="2"/>
        <v>2</v>
      </c>
      <c r="K836" s="9" t="str">
        <f t="shared" si="3"/>
        <v>OBESITY</v>
      </c>
    </row>
    <row r="837" ht="15.75" customHeight="1">
      <c r="A837" s="9" t="s">
        <v>1673</v>
      </c>
      <c r="B837" s="9">
        <v>31.55</v>
      </c>
      <c r="C837" s="9">
        <v>6.11</v>
      </c>
      <c r="D837" s="9" t="s">
        <v>4686</v>
      </c>
      <c r="E837" s="9" t="s">
        <v>4684</v>
      </c>
      <c r="F837" s="9" t="s">
        <v>4684</v>
      </c>
      <c r="G837" s="9">
        <v>1.0</v>
      </c>
      <c r="H837" s="9" t="s">
        <v>4684</v>
      </c>
      <c r="I837" s="9" t="str">
        <f t="shared" si="1"/>
        <v>No</v>
      </c>
      <c r="J837" s="9">
        <f t="shared" si="2"/>
        <v>1</v>
      </c>
      <c r="K837" s="9" t="str">
        <f t="shared" si="3"/>
        <v>OBESITY</v>
      </c>
    </row>
    <row r="838" ht="15.75" customHeight="1">
      <c r="A838" s="9" t="s">
        <v>1675</v>
      </c>
      <c r="B838" s="9">
        <v>52.75</v>
      </c>
      <c r="C838" s="9">
        <v>6.02</v>
      </c>
      <c r="D838" s="9" t="s">
        <v>4684</v>
      </c>
      <c r="E838" s="9" t="s">
        <v>4684</v>
      </c>
      <c r="F838" s="9" t="s">
        <v>4684</v>
      </c>
      <c r="G838" s="9">
        <v>1.0</v>
      </c>
      <c r="H838" s="9" t="s">
        <v>4684</v>
      </c>
      <c r="I838" s="9" t="str">
        <f t="shared" si="1"/>
        <v>No</v>
      </c>
      <c r="J838" s="9">
        <f t="shared" si="2"/>
        <v>1</v>
      </c>
      <c r="K838" s="9" t="str">
        <f t="shared" si="3"/>
        <v>OBESITY</v>
      </c>
    </row>
    <row r="839" ht="15.75" customHeight="1">
      <c r="A839" s="9" t="s">
        <v>1677</v>
      </c>
      <c r="B839" s="9">
        <v>36.67</v>
      </c>
      <c r="C839" s="9">
        <v>11.86</v>
      </c>
      <c r="D839" s="9" t="s">
        <v>4684</v>
      </c>
      <c r="E839" s="9" t="s">
        <v>4684</v>
      </c>
      <c r="F839" s="9" t="s">
        <v>4684</v>
      </c>
      <c r="G839" s="9" t="s">
        <v>4685</v>
      </c>
      <c r="H839" s="9" t="s">
        <v>4684</v>
      </c>
      <c r="I839" s="9" t="str">
        <f t="shared" si="1"/>
        <v>No</v>
      </c>
      <c r="J839" s="9">
        <f t="shared" si="2"/>
        <v>0</v>
      </c>
      <c r="K839" s="9" t="str">
        <f t="shared" si="3"/>
        <v>OBESITY</v>
      </c>
    </row>
    <row r="840" ht="15.75" customHeight="1">
      <c r="A840" s="9" t="s">
        <v>1679</v>
      </c>
      <c r="B840" s="9">
        <v>38.06</v>
      </c>
      <c r="C840" s="9">
        <v>8.25</v>
      </c>
      <c r="D840" s="9" t="s">
        <v>4684</v>
      </c>
      <c r="E840" s="9" t="s">
        <v>4684</v>
      </c>
      <c r="F840" s="9" t="s">
        <v>4684</v>
      </c>
      <c r="G840" s="9" t="s">
        <v>4685</v>
      </c>
      <c r="H840" s="9" t="s">
        <v>4684</v>
      </c>
      <c r="I840" s="9" t="str">
        <f t="shared" si="1"/>
        <v>No</v>
      </c>
      <c r="J840" s="9">
        <f t="shared" si="2"/>
        <v>0</v>
      </c>
      <c r="K840" s="9" t="str">
        <f t="shared" si="3"/>
        <v>OBESITY</v>
      </c>
    </row>
    <row r="841" ht="15.75" customHeight="1">
      <c r="A841" s="9" t="s">
        <v>1681</v>
      </c>
      <c r="B841" s="9">
        <v>38.0</v>
      </c>
      <c r="C841" s="9">
        <v>8.13</v>
      </c>
      <c r="D841" s="9" t="s">
        <v>4684</v>
      </c>
      <c r="E841" s="9" t="s">
        <v>4684</v>
      </c>
      <c r="F841" s="9" t="s">
        <v>4684</v>
      </c>
      <c r="G841" s="9" t="s">
        <v>4685</v>
      </c>
      <c r="H841" s="9" t="s">
        <v>4684</v>
      </c>
      <c r="I841" s="9" t="str">
        <f t="shared" si="1"/>
        <v>No</v>
      </c>
      <c r="J841" s="9">
        <f t="shared" si="2"/>
        <v>0</v>
      </c>
      <c r="K841" s="9" t="str">
        <f t="shared" si="3"/>
        <v>OBESITY</v>
      </c>
    </row>
    <row r="842" ht="15.75" customHeight="1">
      <c r="A842" s="9" t="s">
        <v>1683</v>
      </c>
      <c r="B842" s="9">
        <v>35.1</v>
      </c>
      <c r="C842" s="9">
        <v>10.1</v>
      </c>
      <c r="D842" s="9" t="s">
        <v>4684</v>
      </c>
      <c r="E842" s="9" t="s">
        <v>4684</v>
      </c>
      <c r="F842" s="9" t="s">
        <v>4684</v>
      </c>
      <c r="G842" s="9" t="s">
        <v>4685</v>
      </c>
      <c r="H842" s="9" t="s">
        <v>4684</v>
      </c>
      <c r="I842" s="9" t="str">
        <f t="shared" si="1"/>
        <v>No</v>
      </c>
      <c r="J842" s="9">
        <f t="shared" si="2"/>
        <v>0</v>
      </c>
      <c r="K842" s="9" t="str">
        <f t="shared" si="3"/>
        <v>OBESITY</v>
      </c>
    </row>
    <row r="843" ht="15.75" customHeight="1">
      <c r="A843" s="9" t="s">
        <v>1685</v>
      </c>
      <c r="B843" s="9">
        <v>33.82</v>
      </c>
      <c r="C843" s="9">
        <v>5.89</v>
      </c>
      <c r="D843" s="9" t="s">
        <v>4686</v>
      </c>
      <c r="E843" s="9" t="s">
        <v>4684</v>
      </c>
      <c r="F843" s="9" t="s">
        <v>4684</v>
      </c>
      <c r="G843" s="9">
        <v>2.0</v>
      </c>
      <c r="H843" s="9" t="s">
        <v>4684</v>
      </c>
      <c r="I843" s="9" t="str">
        <f t="shared" si="1"/>
        <v>No</v>
      </c>
      <c r="J843" s="9">
        <f t="shared" si="2"/>
        <v>2</v>
      </c>
      <c r="K843" s="9" t="str">
        <f t="shared" si="3"/>
        <v>OBESITY</v>
      </c>
    </row>
    <row r="844" ht="15.75" customHeight="1">
      <c r="A844" s="9" t="s">
        <v>1687</v>
      </c>
      <c r="B844" s="9">
        <v>37.43</v>
      </c>
      <c r="C844" s="9">
        <v>4.97</v>
      </c>
      <c r="D844" s="9" t="s">
        <v>4684</v>
      </c>
      <c r="E844" s="9" t="s">
        <v>4684</v>
      </c>
      <c r="F844" s="9" t="s">
        <v>4684</v>
      </c>
      <c r="G844" s="9">
        <v>2.0</v>
      </c>
      <c r="H844" s="9" t="s">
        <v>4684</v>
      </c>
      <c r="I844" s="9" t="str">
        <f t="shared" si="1"/>
        <v>No</v>
      </c>
      <c r="J844" s="9">
        <f t="shared" si="2"/>
        <v>2</v>
      </c>
      <c r="K844" s="9" t="str">
        <f t="shared" si="3"/>
        <v>OBESITY</v>
      </c>
    </row>
    <row r="845" ht="15.75" customHeight="1">
      <c r="A845" s="9" t="s">
        <v>1689</v>
      </c>
      <c r="B845" s="9">
        <v>30.5</v>
      </c>
      <c r="C845" s="9">
        <v>9.9</v>
      </c>
      <c r="D845" s="9" t="s">
        <v>4684</v>
      </c>
      <c r="E845" s="9" t="s">
        <v>4684</v>
      </c>
      <c r="F845" s="9" t="s">
        <v>4684</v>
      </c>
      <c r="G845" s="9" t="s">
        <v>4685</v>
      </c>
      <c r="H845" s="9" t="s">
        <v>4684</v>
      </c>
      <c r="I845" s="9" t="str">
        <f t="shared" si="1"/>
        <v>No</v>
      </c>
      <c r="J845" s="9">
        <f t="shared" si="2"/>
        <v>0</v>
      </c>
      <c r="K845" s="9" t="str">
        <f t="shared" si="3"/>
        <v>OBESITY</v>
      </c>
    </row>
    <row r="846" ht="15.75" customHeight="1">
      <c r="A846" s="9" t="s">
        <v>1691</v>
      </c>
      <c r="B846" s="9">
        <v>24.53</v>
      </c>
      <c r="C846" s="9">
        <v>9.05</v>
      </c>
      <c r="D846" s="9" t="s">
        <v>4684</v>
      </c>
      <c r="E846" s="9" t="s">
        <v>4684</v>
      </c>
      <c r="F846" s="9" t="s">
        <v>4684</v>
      </c>
      <c r="G846" s="9" t="s">
        <v>4685</v>
      </c>
      <c r="H846" s="9" t="s">
        <v>4684</v>
      </c>
      <c r="I846" s="9" t="str">
        <f t="shared" si="1"/>
        <v>No</v>
      </c>
      <c r="J846" s="9">
        <f t="shared" si="2"/>
        <v>0</v>
      </c>
      <c r="K846" s="9" t="str">
        <f t="shared" si="3"/>
        <v>NORMAL WEIGHT</v>
      </c>
    </row>
    <row r="847" ht="15.75" customHeight="1">
      <c r="A847" s="9" t="s">
        <v>1693</v>
      </c>
      <c r="B847" s="9">
        <v>25.74</v>
      </c>
      <c r="C847" s="9">
        <v>10.93</v>
      </c>
      <c r="D847" s="9" t="s">
        <v>4684</v>
      </c>
      <c r="E847" s="9" t="s">
        <v>4684</v>
      </c>
      <c r="F847" s="9" t="s">
        <v>4684</v>
      </c>
      <c r="G847" s="9" t="s">
        <v>4685</v>
      </c>
      <c r="H847" s="9" t="s">
        <v>4684</v>
      </c>
      <c r="I847" s="9" t="str">
        <f t="shared" si="1"/>
        <v>No</v>
      </c>
      <c r="J847" s="9">
        <f t="shared" si="2"/>
        <v>0</v>
      </c>
      <c r="K847" s="9" t="str">
        <f t="shared" si="3"/>
        <v>OVERWEIGHT</v>
      </c>
    </row>
    <row r="848" ht="15.75" customHeight="1">
      <c r="A848" s="9" t="s">
        <v>1695</v>
      </c>
      <c r="B848" s="9">
        <v>34.08</v>
      </c>
      <c r="C848" s="9">
        <v>7.58</v>
      </c>
      <c r="D848" s="9" t="s">
        <v>4686</v>
      </c>
      <c r="E848" s="9" t="s">
        <v>4684</v>
      </c>
      <c r="F848" s="9" t="s">
        <v>4684</v>
      </c>
      <c r="G848" s="9">
        <v>2.0</v>
      </c>
      <c r="H848" s="9" t="s">
        <v>4684</v>
      </c>
      <c r="I848" s="9" t="str">
        <f t="shared" si="1"/>
        <v>No</v>
      </c>
      <c r="J848" s="9">
        <f t="shared" si="2"/>
        <v>2</v>
      </c>
      <c r="K848" s="9" t="str">
        <f t="shared" si="3"/>
        <v>OBESITY</v>
      </c>
    </row>
    <row r="849" ht="15.75" customHeight="1">
      <c r="A849" s="9" t="s">
        <v>1697</v>
      </c>
      <c r="B849" s="9">
        <v>31.35</v>
      </c>
      <c r="C849" s="9">
        <v>11.0</v>
      </c>
      <c r="D849" s="9" t="s">
        <v>4686</v>
      </c>
      <c r="E849" s="9" t="s">
        <v>4684</v>
      </c>
      <c r="F849" s="9" t="s">
        <v>4686</v>
      </c>
      <c r="G849" s="9">
        <v>1.0</v>
      </c>
      <c r="H849" s="9" t="s">
        <v>4684</v>
      </c>
      <c r="I849" s="9" t="str">
        <f t="shared" si="1"/>
        <v>No</v>
      </c>
      <c r="J849" s="9">
        <f t="shared" si="2"/>
        <v>1</v>
      </c>
      <c r="K849" s="9" t="str">
        <f t="shared" si="3"/>
        <v>OBESITY</v>
      </c>
    </row>
    <row r="850" ht="15.75" customHeight="1">
      <c r="A850" s="9" t="s">
        <v>1699</v>
      </c>
      <c r="B850" s="9">
        <v>26.79</v>
      </c>
      <c r="C850" s="9">
        <v>5.06</v>
      </c>
      <c r="D850" s="9" t="s">
        <v>4684</v>
      </c>
      <c r="E850" s="9" t="s">
        <v>4684</v>
      </c>
      <c r="F850" s="9" t="s">
        <v>4684</v>
      </c>
      <c r="G850" s="9">
        <v>1.0</v>
      </c>
      <c r="H850" s="9" t="s">
        <v>4684</v>
      </c>
      <c r="I850" s="9" t="str">
        <f t="shared" si="1"/>
        <v>No</v>
      </c>
      <c r="J850" s="9">
        <f t="shared" si="2"/>
        <v>1</v>
      </c>
      <c r="K850" s="9" t="str">
        <f t="shared" si="3"/>
        <v>OVERWEIGHT</v>
      </c>
    </row>
    <row r="851" ht="15.75" customHeight="1">
      <c r="A851" s="9" t="s">
        <v>1701</v>
      </c>
      <c r="B851" s="9">
        <v>42.78</v>
      </c>
      <c r="C851" s="9">
        <v>6.11</v>
      </c>
      <c r="D851" s="9" t="s">
        <v>4686</v>
      </c>
      <c r="E851" s="9" t="s">
        <v>4684</v>
      </c>
      <c r="F851" s="9" t="s">
        <v>4684</v>
      </c>
      <c r="G851" s="9">
        <v>1.0</v>
      </c>
      <c r="H851" s="9" t="s">
        <v>4684</v>
      </c>
      <c r="I851" s="9" t="str">
        <f t="shared" si="1"/>
        <v>No</v>
      </c>
      <c r="J851" s="9">
        <f t="shared" si="2"/>
        <v>1</v>
      </c>
      <c r="K851" s="9" t="str">
        <f t="shared" si="3"/>
        <v>OBESITY</v>
      </c>
    </row>
    <row r="852" ht="15.75" customHeight="1">
      <c r="A852" s="9" t="s">
        <v>1703</v>
      </c>
      <c r="B852" s="9">
        <v>46.75</v>
      </c>
      <c r="C852" s="9">
        <v>6.66</v>
      </c>
      <c r="D852" s="9" t="s">
        <v>4686</v>
      </c>
      <c r="E852" s="9" t="s">
        <v>4684</v>
      </c>
      <c r="F852" s="9" t="s">
        <v>4684</v>
      </c>
      <c r="G852" s="9">
        <v>2.0</v>
      </c>
      <c r="H852" s="9" t="s">
        <v>4684</v>
      </c>
      <c r="I852" s="9" t="str">
        <f t="shared" si="1"/>
        <v>No</v>
      </c>
      <c r="J852" s="9">
        <f t="shared" si="2"/>
        <v>2</v>
      </c>
      <c r="K852" s="9" t="str">
        <f t="shared" si="3"/>
        <v>OBESITY</v>
      </c>
    </row>
    <row r="853" ht="15.75" customHeight="1">
      <c r="A853" s="9" t="s">
        <v>1705</v>
      </c>
      <c r="B853" s="9">
        <v>32.15</v>
      </c>
      <c r="C853" s="9">
        <v>4.02</v>
      </c>
      <c r="D853" s="9" t="s">
        <v>4686</v>
      </c>
      <c r="E853" s="9" t="s">
        <v>4684</v>
      </c>
      <c r="F853" s="9" t="s">
        <v>4686</v>
      </c>
      <c r="G853" s="9">
        <v>1.0</v>
      </c>
      <c r="H853" s="9" t="s">
        <v>4684</v>
      </c>
      <c r="I853" s="9" t="str">
        <f t="shared" si="1"/>
        <v>No</v>
      </c>
      <c r="J853" s="9">
        <f t="shared" si="2"/>
        <v>1</v>
      </c>
      <c r="K853" s="9" t="str">
        <f t="shared" si="3"/>
        <v>OBESITY</v>
      </c>
    </row>
    <row r="854" ht="15.75" customHeight="1">
      <c r="A854" s="9" t="s">
        <v>1707</v>
      </c>
      <c r="B854" s="9">
        <v>43.4</v>
      </c>
      <c r="C854" s="9">
        <v>8.81</v>
      </c>
      <c r="D854" s="9" t="s">
        <v>4686</v>
      </c>
      <c r="E854" s="9" t="s">
        <v>4684</v>
      </c>
      <c r="F854" s="9" t="s">
        <v>4684</v>
      </c>
      <c r="G854" s="9">
        <v>2.0</v>
      </c>
      <c r="H854" s="9" t="s">
        <v>4684</v>
      </c>
      <c r="I854" s="9" t="str">
        <f t="shared" si="1"/>
        <v>No</v>
      </c>
      <c r="J854" s="9">
        <f t="shared" si="2"/>
        <v>2</v>
      </c>
      <c r="K854" s="9" t="str">
        <f t="shared" si="3"/>
        <v>OBESITY</v>
      </c>
    </row>
    <row r="855" ht="15.75" customHeight="1">
      <c r="A855" s="9" t="s">
        <v>1709</v>
      </c>
      <c r="B855" s="9">
        <v>31.57</v>
      </c>
      <c r="C855" s="9">
        <v>7.92</v>
      </c>
      <c r="D855" s="9" t="s">
        <v>4686</v>
      </c>
      <c r="E855" s="9" t="s">
        <v>4684</v>
      </c>
      <c r="F855" s="9" t="s">
        <v>4684</v>
      </c>
      <c r="G855" s="9">
        <v>2.0</v>
      </c>
      <c r="H855" s="9" t="s">
        <v>4684</v>
      </c>
      <c r="I855" s="9" t="str">
        <f t="shared" si="1"/>
        <v>No</v>
      </c>
      <c r="J855" s="9">
        <f t="shared" si="2"/>
        <v>2</v>
      </c>
      <c r="K855" s="9" t="str">
        <f t="shared" si="3"/>
        <v>OBESITY</v>
      </c>
    </row>
    <row r="856" ht="15.75" customHeight="1">
      <c r="A856" s="9" t="s">
        <v>1711</v>
      </c>
      <c r="B856" s="9">
        <v>24.32</v>
      </c>
      <c r="C856" s="9">
        <v>7.48</v>
      </c>
      <c r="D856" s="9" t="s">
        <v>4684</v>
      </c>
      <c r="E856" s="9" t="s">
        <v>4684</v>
      </c>
      <c r="F856" s="9" t="s">
        <v>4684</v>
      </c>
      <c r="G856" s="9" t="s">
        <v>4685</v>
      </c>
      <c r="H856" s="9" t="s">
        <v>4684</v>
      </c>
      <c r="I856" s="9" t="str">
        <f t="shared" si="1"/>
        <v>No</v>
      </c>
      <c r="J856" s="9">
        <f t="shared" si="2"/>
        <v>0</v>
      </c>
      <c r="K856" s="9" t="str">
        <f t="shared" si="3"/>
        <v>NORMAL WEIGHT</v>
      </c>
    </row>
    <row r="857" ht="15.75" customHeight="1">
      <c r="A857" s="9" t="s">
        <v>1713</v>
      </c>
      <c r="B857" s="9">
        <v>31.07</v>
      </c>
      <c r="C857" s="9">
        <v>4.62</v>
      </c>
      <c r="D857" s="9" t="s">
        <v>4686</v>
      </c>
      <c r="E857" s="9" t="s">
        <v>4684</v>
      </c>
      <c r="F857" s="9" t="s">
        <v>4684</v>
      </c>
      <c r="G857" s="9">
        <v>2.0</v>
      </c>
      <c r="H857" s="9" t="s">
        <v>4684</v>
      </c>
      <c r="I857" s="9" t="str">
        <f t="shared" si="1"/>
        <v>No</v>
      </c>
      <c r="J857" s="9">
        <f t="shared" si="2"/>
        <v>2</v>
      </c>
      <c r="K857" s="9" t="str">
        <f t="shared" si="3"/>
        <v>OBESITY</v>
      </c>
    </row>
    <row r="858" ht="15.75" customHeight="1">
      <c r="A858" s="9" t="s">
        <v>1715</v>
      </c>
      <c r="B858" s="9">
        <v>35.815</v>
      </c>
      <c r="C858" s="9">
        <v>8.47</v>
      </c>
      <c r="D858" s="9" t="s">
        <v>4684</v>
      </c>
      <c r="E858" s="9" t="s">
        <v>4684</v>
      </c>
      <c r="F858" s="9" t="s">
        <v>4684</v>
      </c>
      <c r="G858" s="9" t="s">
        <v>4685</v>
      </c>
      <c r="H858" s="9" t="s">
        <v>4684</v>
      </c>
      <c r="I858" s="9" t="str">
        <f t="shared" si="1"/>
        <v>No</v>
      </c>
      <c r="J858" s="9">
        <f t="shared" si="2"/>
        <v>0</v>
      </c>
      <c r="K858" s="9" t="str">
        <f t="shared" si="3"/>
        <v>OBESITY</v>
      </c>
    </row>
    <row r="859" ht="15.75" customHeight="1">
      <c r="A859" s="9" t="s">
        <v>1717</v>
      </c>
      <c r="B859" s="9">
        <v>40.81</v>
      </c>
      <c r="C859" s="9">
        <v>10.58</v>
      </c>
      <c r="D859" s="9" t="s">
        <v>4686</v>
      </c>
      <c r="E859" s="9" t="s">
        <v>4684</v>
      </c>
      <c r="F859" s="9" t="s">
        <v>4684</v>
      </c>
      <c r="G859" s="9" t="s">
        <v>4685</v>
      </c>
      <c r="H859" s="9" t="s">
        <v>4684</v>
      </c>
      <c r="I859" s="9" t="str">
        <f t="shared" si="1"/>
        <v>No</v>
      </c>
      <c r="J859" s="9">
        <f t="shared" si="2"/>
        <v>0</v>
      </c>
      <c r="K859" s="9" t="str">
        <f t="shared" si="3"/>
        <v>OBESITY</v>
      </c>
    </row>
    <row r="860" ht="15.75" customHeight="1">
      <c r="A860" s="9" t="s">
        <v>1719</v>
      </c>
      <c r="B860" s="9">
        <v>24.605</v>
      </c>
      <c r="C860" s="9">
        <v>7.48</v>
      </c>
      <c r="D860" s="9" t="s">
        <v>4684</v>
      </c>
      <c r="E860" s="9" t="s">
        <v>4684</v>
      </c>
      <c r="F860" s="9" t="s">
        <v>4684</v>
      </c>
      <c r="G860" s="9" t="s">
        <v>4685</v>
      </c>
      <c r="H860" s="9" t="s">
        <v>4684</v>
      </c>
      <c r="I860" s="9" t="str">
        <f t="shared" si="1"/>
        <v>No</v>
      </c>
      <c r="J860" s="9">
        <f t="shared" si="2"/>
        <v>0</v>
      </c>
      <c r="K860" s="9" t="str">
        <f t="shared" si="3"/>
        <v>NORMAL WEIGHT</v>
      </c>
    </row>
    <row r="861" ht="15.75" customHeight="1">
      <c r="A861" s="9" t="s">
        <v>1721</v>
      </c>
      <c r="B861" s="9">
        <v>21.47</v>
      </c>
      <c r="C861" s="9">
        <v>7.82</v>
      </c>
      <c r="D861" s="9" t="s">
        <v>4684</v>
      </c>
      <c r="E861" s="9" t="s">
        <v>4684</v>
      </c>
      <c r="F861" s="9" t="s">
        <v>4684</v>
      </c>
      <c r="G861" s="9" t="s">
        <v>4685</v>
      </c>
      <c r="H861" s="9" t="s">
        <v>4684</v>
      </c>
      <c r="I861" s="9" t="str">
        <f t="shared" si="1"/>
        <v>No</v>
      </c>
      <c r="J861" s="9">
        <f t="shared" si="2"/>
        <v>0</v>
      </c>
      <c r="K861" s="9" t="str">
        <f t="shared" si="3"/>
        <v>NORMAL WEIGHT</v>
      </c>
    </row>
    <row r="862" ht="15.75" customHeight="1">
      <c r="A862" s="9" t="s">
        <v>1723</v>
      </c>
      <c r="B862" s="9">
        <v>52.89</v>
      </c>
      <c r="C862" s="9">
        <v>4.96</v>
      </c>
      <c r="D862" s="9" t="s">
        <v>4686</v>
      </c>
      <c r="E862" s="9" t="s">
        <v>4684</v>
      </c>
      <c r="F862" s="9" t="s">
        <v>4684</v>
      </c>
      <c r="G862" s="9">
        <v>1.0</v>
      </c>
      <c r="H862" s="9" t="s">
        <v>4684</v>
      </c>
      <c r="I862" s="9" t="str">
        <f t="shared" si="1"/>
        <v>No</v>
      </c>
      <c r="J862" s="9">
        <f t="shared" si="2"/>
        <v>1</v>
      </c>
      <c r="K862" s="9" t="str">
        <f t="shared" si="3"/>
        <v>OBESITY</v>
      </c>
    </row>
    <row r="863" ht="15.75" customHeight="1">
      <c r="A863" s="9" t="s">
        <v>1725</v>
      </c>
      <c r="B863" s="9">
        <v>32.965</v>
      </c>
      <c r="C863" s="9">
        <v>6.15</v>
      </c>
      <c r="D863" s="9" t="s">
        <v>4686</v>
      </c>
      <c r="E863" s="9" t="s">
        <v>4684</v>
      </c>
      <c r="F863" s="9" t="s">
        <v>4684</v>
      </c>
      <c r="G863" s="9">
        <v>1.0</v>
      </c>
      <c r="H863" s="9" t="s">
        <v>4684</v>
      </c>
      <c r="I863" s="9" t="str">
        <f t="shared" si="1"/>
        <v>No</v>
      </c>
      <c r="J863" s="9">
        <f t="shared" si="2"/>
        <v>1</v>
      </c>
      <c r="K863" s="9" t="str">
        <f t="shared" si="3"/>
        <v>OBESITY</v>
      </c>
    </row>
    <row r="864" ht="15.75" customHeight="1">
      <c r="A864" s="9" t="s">
        <v>1727</v>
      </c>
      <c r="B864" s="9">
        <v>36.8</v>
      </c>
      <c r="C864" s="9">
        <v>4.62</v>
      </c>
      <c r="D864" s="9" t="s">
        <v>4684</v>
      </c>
      <c r="E864" s="9" t="s">
        <v>4684</v>
      </c>
      <c r="F864" s="9" t="s">
        <v>4686</v>
      </c>
      <c r="G864" s="9">
        <v>1.0</v>
      </c>
      <c r="H864" s="9" t="s">
        <v>4684</v>
      </c>
      <c r="I864" s="9" t="str">
        <f t="shared" si="1"/>
        <v>No</v>
      </c>
      <c r="J864" s="9">
        <f t="shared" si="2"/>
        <v>1</v>
      </c>
      <c r="K864" s="9" t="str">
        <f t="shared" si="3"/>
        <v>OBESITY</v>
      </c>
    </row>
    <row r="865" ht="15.75" customHeight="1">
      <c r="A865" s="9" t="s">
        <v>1729</v>
      </c>
      <c r="B865" s="9">
        <v>34.3</v>
      </c>
      <c r="C865" s="9">
        <v>4.87</v>
      </c>
      <c r="D865" s="9" t="s">
        <v>4684</v>
      </c>
      <c r="E865" s="9" t="s">
        <v>4684</v>
      </c>
      <c r="F865" s="9" t="s">
        <v>4684</v>
      </c>
      <c r="G865" s="9">
        <v>2.0</v>
      </c>
      <c r="H865" s="9" t="s">
        <v>4684</v>
      </c>
      <c r="I865" s="9" t="str">
        <f t="shared" si="1"/>
        <v>No</v>
      </c>
      <c r="J865" s="9">
        <f t="shared" si="2"/>
        <v>2</v>
      </c>
      <c r="K865" s="9" t="str">
        <f t="shared" si="3"/>
        <v>OBESITY</v>
      </c>
    </row>
    <row r="866" ht="15.75" customHeight="1">
      <c r="A866" s="9" t="s">
        <v>1731</v>
      </c>
      <c r="B866" s="9">
        <v>35.245</v>
      </c>
      <c r="C866" s="9">
        <v>4.63</v>
      </c>
      <c r="D866" s="9" t="s">
        <v>4684</v>
      </c>
      <c r="E866" s="9" t="s">
        <v>4684</v>
      </c>
      <c r="F866" s="9" t="s">
        <v>4684</v>
      </c>
      <c r="G866" s="9" t="s">
        <v>4685</v>
      </c>
      <c r="H866" s="9" t="s">
        <v>4684</v>
      </c>
      <c r="I866" s="9" t="str">
        <f t="shared" si="1"/>
        <v>No</v>
      </c>
      <c r="J866" s="9">
        <f t="shared" si="2"/>
        <v>0</v>
      </c>
      <c r="K866" s="9" t="str">
        <f t="shared" si="3"/>
        <v>OBESITY</v>
      </c>
    </row>
    <row r="867" ht="15.75" customHeight="1">
      <c r="A867" s="9" t="s">
        <v>1733</v>
      </c>
      <c r="B867" s="9">
        <v>26.23</v>
      </c>
      <c r="C867" s="9">
        <v>11.93</v>
      </c>
      <c r="D867" s="9" t="s">
        <v>4684</v>
      </c>
      <c r="E867" s="9" t="s">
        <v>4684</v>
      </c>
      <c r="F867" s="9" t="s">
        <v>4684</v>
      </c>
      <c r="G867" s="9" t="s">
        <v>4685</v>
      </c>
      <c r="H867" s="9" t="s">
        <v>4684</v>
      </c>
      <c r="I867" s="9" t="str">
        <f t="shared" si="1"/>
        <v>No</v>
      </c>
      <c r="J867" s="9">
        <f t="shared" si="2"/>
        <v>0</v>
      </c>
      <c r="K867" s="9" t="str">
        <f t="shared" si="3"/>
        <v>OVERWEIGHT</v>
      </c>
    </row>
    <row r="868" ht="15.75" customHeight="1">
      <c r="A868" s="9" t="s">
        <v>1735</v>
      </c>
      <c r="B868" s="9">
        <v>36.1</v>
      </c>
      <c r="C868" s="9">
        <v>5.65</v>
      </c>
      <c r="D868" s="9" t="s">
        <v>4686</v>
      </c>
      <c r="E868" s="9" t="s">
        <v>4684</v>
      </c>
      <c r="F868" s="9" t="s">
        <v>4684</v>
      </c>
      <c r="G868" s="9">
        <v>2.0</v>
      </c>
      <c r="H868" s="9" t="s">
        <v>4684</v>
      </c>
      <c r="I868" s="9" t="str">
        <f t="shared" si="1"/>
        <v>No</v>
      </c>
      <c r="J868" s="9">
        <f t="shared" si="2"/>
        <v>2</v>
      </c>
      <c r="K868" s="9" t="str">
        <f t="shared" si="3"/>
        <v>OBESITY</v>
      </c>
    </row>
    <row r="869" ht="15.75" customHeight="1">
      <c r="A869" s="9" t="s">
        <v>1737</v>
      </c>
      <c r="B869" s="9">
        <v>37.1</v>
      </c>
      <c r="C869" s="9">
        <v>11.21</v>
      </c>
      <c r="D869" s="9" t="s">
        <v>4686</v>
      </c>
      <c r="E869" s="9" t="s">
        <v>4684</v>
      </c>
      <c r="F869" s="9" t="s">
        <v>4686</v>
      </c>
      <c r="G869" s="9">
        <v>1.0</v>
      </c>
      <c r="H869" s="9" t="s">
        <v>4684</v>
      </c>
      <c r="I869" s="9" t="str">
        <f t="shared" si="1"/>
        <v>No</v>
      </c>
      <c r="J869" s="9">
        <f t="shared" si="2"/>
        <v>1</v>
      </c>
      <c r="K869" s="9" t="str">
        <f t="shared" si="3"/>
        <v>OBESITY</v>
      </c>
    </row>
    <row r="870" ht="15.75" customHeight="1">
      <c r="A870" s="9" t="s">
        <v>1739</v>
      </c>
      <c r="B870" s="9">
        <v>27.5</v>
      </c>
      <c r="C870" s="9">
        <v>10.62</v>
      </c>
      <c r="D870" s="9" t="s">
        <v>4686</v>
      </c>
      <c r="E870" s="9" t="s">
        <v>4684</v>
      </c>
      <c r="F870" s="9" t="s">
        <v>4686</v>
      </c>
      <c r="G870" s="9">
        <v>1.0</v>
      </c>
      <c r="H870" s="9" t="s">
        <v>4684</v>
      </c>
      <c r="I870" s="9" t="str">
        <f t="shared" si="1"/>
        <v>No</v>
      </c>
      <c r="J870" s="9">
        <f t="shared" si="2"/>
        <v>1</v>
      </c>
      <c r="K870" s="9" t="str">
        <f t="shared" si="3"/>
        <v>OVERWEIGHT</v>
      </c>
    </row>
    <row r="871" ht="15.75" customHeight="1">
      <c r="A871" s="9" t="s">
        <v>1741</v>
      </c>
      <c r="B871" s="9">
        <v>24.7</v>
      </c>
      <c r="C871" s="9">
        <v>10.7</v>
      </c>
      <c r="D871" s="9" t="s">
        <v>4686</v>
      </c>
      <c r="E871" s="9" t="s">
        <v>4684</v>
      </c>
      <c r="F871" s="9" t="s">
        <v>4686</v>
      </c>
      <c r="G871" s="9">
        <v>1.0</v>
      </c>
      <c r="H871" s="9" t="s">
        <v>4684</v>
      </c>
      <c r="I871" s="9" t="str">
        <f t="shared" si="1"/>
        <v>No</v>
      </c>
      <c r="J871" s="9">
        <f t="shared" si="2"/>
        <v>1</v>
      </c>
      <c r="K871" s="9" t="str">
        <f t="shared" si="3"/>
        <v>NORMAL WEIGHT</v>
      </c>
    </row>
    <row r="872" ht="15.75" customHeight="1">
      <c r="A872" s="9" t="s">
        <v>1743</v>
      </c>
      <c r="B872" s="9">
        <v>26.78</v>
      </c>
      <c r="C872" s="9">
        <v>10.02</v>
      </c>
      <c r="D872" s="9" t="s">
        <v>4686</v>
      </c>
      <c r="E872" s="9" t="s">
        <v>4684</v>
      </c>
      <c r="F872" s="9" t="s">
        <v>4686</v>
      </c>
      <c r="G872" s="9">
        <v>1.0</v>
      </c>
      <c r="H872" s="9" t="s">
        <v>4684</v>
      </c>
      <c r="I872" s="9" t="str">
        <f t="shared" si="1"/>
        <v>No</v>
      </c>
      <c r="J872" s="9">
        <f t="shared" si="2"/>
        <v>1</v>
      </c>
      <c r="K872" s="9" t="str">
        <f t="shared" si="3"/>
        <v>OVERWEIGHT</v>
      </c>
    </row>
    <row r="873" ht="15.75" customHeight="1">
      <c r="A873" s="9" t="s">
        <v>1745</v>
      </c>
      <c r="B873" s="9">
        <v>45.8</v>
      </c>
      <c r="C873" s="9">
        <v>4.85</v>
      </c>
      <c r="D873" s="9" t="s">
        <v>4684</v>
      </c>
      <c r="E873" s="9" t="s">
        <v>4684</v>
      </c>
      <c r="F873" s="9" t="s">
        <v>4684</v>
      </c>
      <c r="G873" s="9" t="s">
        <v>4685</v>
      </c>
      <c r="H873" s="9" t="s">
        <v>4684</v>
      </c>
      <c r="I873" s="9" t="str">
        <f t="shared" si="1"/>
        <v>No</v>
      </c>
      <c r="J873" s="9">
        <f t="shared" si="2"/>
        <v>0</v>
      </c>
      <c r="K873" s="9" t="str">
        <f t="shared" si="3"/>
        <v>OBESITY</v>
      </c>
    </row>
    <row r="874" ht="15.75" customHeight="1">
      <c r="A874" s="9" t="s">
        <v>1747</v>
      </c>
      <c r="B874" s="9">
        <v>29.0</v>
      </c>
      <c r="C874" s="9">
        <v>4.39</v>
      </c>
      <c r="D874" s="9" t="s">
        <v>4686</v>
      </c>
      <c r="E874" s="9" t="s">
        <v>4684</v>
      </c>
      <c r="F874" s="9" t="s">
        <v>4684</v>
      </c>
      <c r="G874" s="9">
        <v>2.0</v>
      </c>
      <c r="H874" s="9" t="s">
        <v>4684</v>
      </c>
      <c r="I874" s="9" t="str">
        <f t="shared" si="1"/>
        <v>No</v>
      </c>
      <c r="J874" s="9">
        <f t="shared" si="2"/>
        <v>2</v>
      </c>
      <c r="K874" s="9" t="str">
        <f t="shared" si="3"/>
        <v>OVERWEIGHT</v>
      </c>
    </row>
    <row r="875" ht="15.75" customHeight="1">
      <c r="A875" s="9" t="s">
        <v>1749</v>
      </c>
      <c r="B875" s="9">
        <v>33.535</v>
      </c>
      <c r="C875" s="9">
        <v>8.24</v>
      </c>
      <c r="D875" s="9" t="s">
        <v>4686</v>
      </c>
      <c r="E875" s="9" t="s">
        <v>4684</v>
      </c>
      <c r="F875" s="9" t="s">
        <v>4684</v>
      </c>
      <c r="G875" s="9" t="s">
        <v>4685</v>
      </c>
      <c r="H875" s="9" t="s">
        <v>4684</v>
      </c>
      <c r="I875" s="9" t="str">
        <f t="shared" si="1"/>
        <v>No</v>
      </c>
      <c r="J875" s="9">
        <f t="shared" si="2"/>
        <v>0</v>
      </c>
      <c r="K875" s="9" t="str">
        <f t="shared" si="3"/>
        <v>OBESITY</v>
      </c>
    </row>
    <row r="876" ht="15.75" customHeight="1">
      <c r="A876" s="9" t="s">
        <v>1751</v>
      </c>
      <c r="B876" s="9">
        <v>32.775</v>
      </c>
      <c r="C876" s="9">
        <v>9.77</v>
      </c>
      <c r="D876" s="9" t="s">
        <v>4686</v>
      </c>
      <c r="E876" s="9" t="s">
        <v>4684</v>
      </c>
      <c r="F876" s="9" t="s">
        <v>4684</v>
      </c>
      <c r="G876" s="9" t="s">
        <v>4685</v>
      </c>
      <c r="H876" s="9" t="s">
        <v>4684</v>
      </c>
      <c r="I876" s="9" t="str">
        <f t="shared" si="1"/>
        <v>No</v>
      </c>
      <c r="J876" s="9">
        <f t="shared" si="2"/>
        <v>0</v>
      </c>
      <c r="K876" s="9" t="str">
        <f t="shared" si="3"/>
        <v>OBESITY</v>
      </c>
    </row>
    <row r="877" ht="15.75" customHeight="1">
      <c r="A877" s="9" t="s">
        <v>1753</v>
      </c>
      <c r="B877" s="9">
        <v>37.51</v>
      </c>
      <c r="C877" s="9">
        <v>5.5</v>
      </c>
      <c r="D877" s="9" t="s">
        <v>4686</v>
      </c>
      <c r="E877" s="9" t="s">
        <v>4684</v>
      </c>
      <c r="F877" s="9" t="s">
        <v>4684</v>
      </c>
      <c r="G877" s="9">
        <v>2.0</v>
      </c>
      <c r="H877" s="9" t="s">
        <v>4684</v>
      </c>
      <c r="I877" s="9" t="str">
        <f t="shared" si="1"/>
        <v>No</v>
      </c>
      <c r="J877" s="9">
        <f t="shared" si="2"/>
        <v>2</v>
      </c>
      <c r="K877" s="9" t="str">
        <f t="shared" si="3"/>
        <v>OBESITY</v>
      </c>
    </row>
    <row r="878" ht="15.75" customHeight="1">
      <c r="A878" s="9" t="s">
        <v>1755</v>
      </c>
      <c r="B878" s="9">
        <v>39.86</v>
      </c>
      <c r="C878" s="9">
        <v>11.84</v>
      </c>
      <c r="D878" s="9" t="s">
        <v>4686</v>
      </c>
      <c r="E878" s="9" t="s">
        <v>4684</v>
      </c>
      <c r="F878" s="9" t="s">
        <v>4684</v>
      </c>
      <c r="G878" s="9">
        <v>1.0</v>
      </c>
      <c r="H878" s="9" t="s">
        <v>4684</v>
      </c>
      <c r="I878" s="9" t="str">
        <f t="shared" si="1"/>
        <v>No</v>
      </c>
      <c r="J878" s="9">
        <f t="shared" si="2"/>
        <v>1</v>
      </c>
      <c r="K878" s="9" t="str">
        <f t="shared" si="3"/>
        <v>OBESITY</v>
      </c>
    </row>
    <row r="879" ht="15.75" customHeight="1">
      <c r="A879" s="9" t="s">
        <v>1757</v>
      </c>
      <c r="B879" s="9">
        <v>42.13</v>
      </c>
      <c r="C879" s="9">
        <v>4.66</v>
      </c>
      <c r="D879" s="9" t="s">
        <v>4684</v>
      </c>
      <c r="E879" s="9" t="s">
        <v>4684</v>
      </c>
      <c r="F879" s="9" t="s">
        <v>4684</v>
      </c>
      <c r="G879" s="9" t="s">
        <v>4685</v>
      </c>
      <c r="H879" s="9" t="s">
        <v>4684</v>
      </c>
      <c r="I879" s="9" t="str">
        <f t="shared" si="1"/>
        <v>No</v>
      </c>
      <c r="J879" s="9">
        <f t="shared" si="2"/>
        <v>0</v>
      </c>
      <c r="K879" s="9" t="str">
        <f t="shared" si="3"/>
        <v>OBESITY</v>
      </c>
    </row>
    <row r="880" ht="15.75" customHeight="1">
      <c r="A880" s="9" t="s">
        <v>1759</v>
      </c>
      <c r="B880" s="9">
        <v>35.99</v>
      </c>
      <c r="C880" s="9">
        <v>11.11</v>
      </c>
      <c r="D880" s="9" t="s">
        <v>4684</v>
      </c>
      <c r="E880" s="9" t="s">
        <v>4684</v>
      </c>
      <c r="F880" s="9" t="s">
        <v>4684</v>
      </c>
      <c r="G880" s="9" t="s">
        <v>4685</v>
      </c>
      <c r="H880" s="9" t="s">
        <v>4684</v>
      </c>
      <c r="I880" s="9" t="str">
        <f t="shared" si="1"/>
        <v>No</v>
      </c>
      <c r="J880" s="9">
        <f t="shared" si="2"/>
        <v>0</v>
      </c>
      <c r="K880" s="9" t="str">
        <f t="shared" si="3"/>
        <v>OBESITY</v>
      </c>
    </row>
    <row r="881" ht="15.75" customHeight="1">
      <c r="A881" s="9" t="s">
        <v>1761</v>
      </c>
      <c r="B881" s="9">
        <v>35.2</v>
      </c>
      <c r="C881" s="9">
        <v>7.72</v>
      </c>
      <c r="D881" s="9" t="s">
        <v>4686</v>
      </c>
      <c r="E881" s="9" t="s">
        <v>4684</v>
      </c>
      <c r="F881" s="9" t="s">
        <v>4686</v>
      </c>
      <c r="G881" s="9">
        <v>1.0</v>
      </c>
      <c r="H881" s="9" t="s">
        <v>4684</v>
      </c>
      <c r="I881" s="9" t="str">
        <f t="shared" si="1"/>
        <v>No</v>
      </c>
      <c r="J881" s="9">
        <f t="shared" si="2"/>
        <v>1</v>
      </c>
      <c r="K881" s="9" t="str">
        <f t="shared" si="3"/>
        <v>OBESITY</v>
      </c>
    </row>
    <row r="882" ht="15.75" customHeight="1">
      <c r="A882" s="9" t="s">
        <v>1763</v>
      </c>
      <c r="B882" s="9">
        <v>29.91</v>
      </c>
      <c r="C882" s="9">
        <v>5.55</v>
      </c>
      <c r="D882" s="9" t="s">
        <v>4686</v>
      </c>
      <c r="E882" s="9" t="s">
        <v>4684</v>
      </c>
      <c r="F882" s="9" t="s">
        <v>4684</v>
      </c>
      <c r="G882" s="9">
        <v>2.0</v>
      </c>
      <c r="H882" s="9" t="s">
        <v>4684</v>
      </c>
      <c r="I882" s="9" t="str">
        <f t="shared" si="1"/>
        <v>No</v>
      </c>
      <c r="J882" s="9">
        <f t="shared" si="2"/>
        <v>2</v>
      </c>
      <c r="K882" s="9" t="str">
        <f t="shared" si="3"/>
        <v>OBESITY</v>
      </c>
    </row>
    <row r="883" ht="15.75" customHeight="1">
      <c r="A883" s="9" t="s">
        <v>1765</v>
      </c>
      <c r="B883" s="9">
        <v>36.48</v>
      </c>
      <c r="C883" s="9">
        <v>5.05</v>
      </c>
      <c r="D883" s="9" t="s">
        <v>4686</v>
      </c>
      <c r="E883" s="9" t="s">
        <v>4684</v>
      </c>
      <c r="F883" s="9" t="s">
        <v>4684</v>
      </c>
      <c r="G883" s="9">
        <v>1.0</v>
      </c>
      <c r="H883" s="9" t="s">
        <v>4684</v>
      </c>
      <c r="I883" s="9" t="str">
        <f t="shared" si="1"/>
        <v>No</v>
      </c>
      <c r="J883" s="9">
        <f t="shared" si="2"/>
        <v>1</v>
      </c>
      <c r="K883" s="9" t="str">
        <f t="shared" si="3"/>
        <v>OBESITY</v>
      </c>
    </row>
    <row r="884" ht="15.75" customHeight="1">
      <c r="A884" s="9" t="s">
        <v>1767</v>
      </c>
      <c r="B884" s="9">
        <v>27.5</v>
      </c>
      <c r="C884" s="9">
        <v>8.69</v>
      </c>
      <c r="D884" s="9" t="s">
        <v>4686</v>
      </c>
      <c r="E884" s="9" t="s">
        <v>4684</v>
      </c>
      <c r="F884" s="9" t="s">
        <v>4686</v>
      </c>
      <c r="G884" s="9">
        <v>1.0</v>
      </c>
      <c r="H884" s="9" t="s">
        <v>4684</v>
      </c>
      <c r="I884" s="9" t="str">
        <f t="shared" si="1"/>
        <v>No</v>
      </c>
      <c r="J884" s="9">
        <f t="shared" si="2"/>
        <v>1</v>
      </c>
      <c r="K884" s="9" t="str">
        <f t="shared" si="3"/>
        <v>OVERWEIGHT</v>
      </c>
    </row>
    <row r="885" ht="15.75" customHeight="1">
      <c r="A885" s="9" t="s">
        <v>1769</v>
      </c>
      <c r="B885" s="9">
        <v>33.44</v>
      </c>
      <c r="C885" s="9">
        <v>5.9</v>
      </c>
      <c r="D885" s="9" t="s">
        <v>4686</v>
      </c>
      <c r="E885" s="9" t="s">
        <v>4684</v>
      </c>
      <c r="F885" s="9" t="s">
        <v>4684</v>
      </c>
      <c r="G885" s="9">
        <v>1.0</v>
      </c>
      <c r="H885" s="9" t="s">
        <v>4684</v>
      </c>
      <c r="I885" s="9" t="str">
        <f t="shared" si="1"/>
        <v>No</v>
      </c>
      <c r="J885" s="9">
        <f t="shared" si="2"/>
        <v>1</v>
      </c>
      <c r="K885" s="9" t="str">
        <f t="shared" si="3"/>
        <v>OBESITY</v>
      </c>
    </row>
    <row r="886" ht="15.75" customHeight="1">
      <c r="A886" s="9" t="s">
        <v>1771</v>
      </c>
      <c r="B886" s="9">
        <v>28.215</v>
      </c>
      <c r="C886" s="9">
        <v>6.29</v>
      </c>
      <c r="D886" s="9" t="s">
        <v>4686</v>
      </c>
      <c r="E886" s="9" t="s">
        <v>4684</v>
      </c>
      <c r="F886" s="9" t="s">
        <v>4684</v>
      </c>
      <c r="G886" s="9">
        <v>1.0</v>
      </c>
      <c r="H886" s="9" t="s">
        <v>4684</v>
      </c>
      <c r="I886" s="9" t="str">
        <f t="shared" si="1"/>
        <v>No</v>
      </c>
      <c r="J886" s="9">
        <f t="shared" si="2"/>
        <v>1</v>
      </c>
      <c r="K886" s="9" t="str">
        <f t="shared" si="3"/>
        <v>OVERWEIGHT</v>
      </c>
    </row>
    <row r="887" ht="15.75" customHeight="1">
      <c r="A887" s="9" t="s">
        <v>1773</v>
      </c>
      <c r="B887" s="9">
        <v>27.17</v>
      </c>
      <c r="C887" s="9">
        <v>5.84</v>
      </c>
      <c r="D887" s="9" t="s">
        <v>4686</v>
      </c>
      <c r="E887" s="9" t="s">
        <v>4684</v>
      </c>
      <c r="F887" s="9" t="s">
        <v>4684</v>
      </c>
      <c r="G887" s="9">
        <v>1.0</v>
      </c>
      <c r="H887" s="9" t="s">
        <v>4684</v>
      </c>
      <c r="I887" s="9" t="str">
        <f t="shared" si="1"/>
        <v>No</v>
      </c>
      <c r="J887" s="9">
        <f t="shared" si="2"/>
        <v>1</v>
      </c>
      <c r="K887" s="9" t="str">
        <f t="shared" si="3"/>
        <v>OVERWEIGHT</v>
      </c>
    </row>
    <row r="888" ht="15.75" customHeight="1">
      <c r="A888" s="9" t="s">
        <v>1775</v>
      </c>
      <c r="B888" s="9">
        <v>35.38</v>
      </c>
      <c r="C888" s="9">
        <v>6.12</v>
      </c>
      <c r="D888" s="9" t="s">
        <v>4684</v>
      </c>
      <c r="E888" s="9" t="s">
        <v>4684</v>
      </c>
      <c r="F888" s="9" t="s">
        <v>4684</v>
      </c>
      <c r="G888" s="9" t="s">
        <v>4685</v>
      </c>
      <c r="H888" s="9" t="s">
        <v>4684</v>
      </c>
      <c r="I888" s="9" t="str">
        <f t="shared" si="1"/>
        <v>No</v>
      </c>
      <c r="J888" s="9">
        <f t="shared" si="2"/>
        <v>0</v>
      </c>
      <c r="K888" s="9" t="str">
        <f t="shared" si="3"/>
        <v>OBESITY</v>
      </c>
    </row>
    <row r="889" ht="15.75" customHeight="1">
      <c r="A889" s="9" t="s">
        <v>1777</v>
      </c>
      <c r="B889" s="9">
        <v>43.48</v>
      </c>
      <c r="C889" s="9">
        <v>6.24</v>
      </c>
      <c r="D889" s="9" t="s">
        <v>4684</v>
      </c>
      <c r="E889" s="9" t="s">
        <v>4684</v>
      </c>
      <c r="F889" s="9" t="s">
        <v>4684</v>
      </c>
      <c r="G889" s="9" t="s">
        <v>4685</v>
      </c>
      <c r="H889" s="9" t="s">
        <v>4684</v>
      </c>
      <c r="I889" s="9" t="str">
        <f t="shared" si="1"/>
        <v>No</v>
      </c>
      <c r="J889" s="9">
        <f t="shared" si="2"/>
        <v>0</v>
      </c>
      <c r="K889" s="9" t="str">
        <f t="shared" si="3"/>
        <v>OBESITY</v>
      </c>
    </row>
    <row r="890" ht="15.75" customHeight="1">
      <c r="A890" s="9" t="s">
        <v>1779</v>
      </c>
      <c r="B890" s="9">
        <v>41.73</v>
      </c>
      <c r="C890" s="9">
        <v>6.25</v>
      </c>
      <c r="D890" s="9" t="s">
        <v>4684</v>
      </c>
      <c r="E890" s="9" t="s">
        <v>4684</v>
      </c>
      <c r="F890" s="9" t="s">
        <v>4684</v>
      </c>
      <c r="G890" s="9">
        <v>1.0</v>
      </c>
      <c r="H890" s="9" t="s">
        <v>4684</v>
      </c>
      <c r="I890" s="9" t="str">
        <f t="shared" si="1"/>
        <v>No</v>
      </c>
      <c r="J890" s="9">
        <f t="shared" si="2"/>
        <v>1</v>
      </c>
      <c r="K890" s="9" t="str">
        <f t="shared" si="3"/>
        <v>OBESITY</v>
      </c>
    </row>
    <row r="891" ht="15.75" customHeight="1">
      <c r="A891" s="9" t="s">
        <v>1781</v>
      </c>
      <c r="B891" s="9">
        <v>28.9</v>
      </c>
      <c r="C891" s="9">
        <v>11.96</v>
      </c>
      <c r="D891" s="9" t="s">
        <v>4684</v>
      </c>
      <c r="E891" s="9" t="s">
        <v>4684</v>
      </c>
      <c r="F891" s="9" t="s">
        <v>4684</v>
      </c>
      <c r="G891" s="9" t="s">
        <v>4685</v>
      </c>
      <c r="H891" s="9" t="s">
        <v>4684</v>
      </c>
      <c r="I891" s="9" t="str">
        <f t="shared" si="1"/>
        <v>No</v>
      </c>
      <c r="J891" s="9">
        <f t="shared" si="2"/>
        <v>0</v>
      </c>
      <c r="K891" s="9" t="str">
        <f t="shared" si="3"/>
        <v>OVERWEIGHT</v>
      </c>
    </row>
    <row r="892" ht="15.75" customHeight="1">
      <c r="A892" s="9" t="s">
        <v>1783</v>
      </c>
      <c r="B892" s="9">
        <v>25.74</v>
      </c>
      <c r="C892" s="9">
        <v>7.69</v>
      </c>
      <c r="D892" s="9" t="s">
        <v>4684</v>
      </c>
      <c r="E892" s="9" t="s">
        <v>4684</v>
      </c>
      <c r="F892" s="9" t="s">
        <v>4684</v>
      </c>
      <c r="G892" s="9" t="s">
        <v>4685</v>
      </c>
      <c r="H892" s="9" t="s">
        <v>4684</v>
      </c>
      <c r="I892" s="9" t="str">
        <f t="shared" si="1"/>
        <v>No</v>
      </c>
      <c r="J892" s="9">
        <f t="shared" si="2"/>
        <v>0</v>
      </c>
      <c r="K892" s="9" t="str">
        <f t="shared" si="3"/>
        <v>OVERWEIGHT</v>
      </c>
    </row>
    <row r="893" ht="15.75" customHeight="1">
      <c r="A893" s="9" t="s">
        <v>1785</v>
      </c>
      <c r="B893" s="9">
        <v>36.06</v>
      </c>
      <c r="C893" s="9">
        <v>8.83</v>
      </c>
      <c r="D893" s="9" t="s">
        <v>4684</v>
      </c>
      <c r="E893" s="9" t="s">
        <v>4684</v>
      </c>
      <c r="F893" s="9" t="s">
        <v>4684</v>
      </c>
      <c r="G893" s="9" t="s">
        <v>4685</v>
      </c>
      <c r="H893" s="9" t="s">
        <v>4684</v>
      </c>
      <c r="I893" s="9" t="str">
        <f t="shared" si="1"/>
        <v>No</v>
      </c>
      <c r="J893" s="9">
        <f t="shared" si="2"/>
        <v>0</v>
      </c>
      <c r="K893" s="9" t="str">
        <f t="shared" si="3"/>
        <v>OBESITY</v>
      </c>
    </row>
    <row r="894" ht="15.75" customHeight="1">
      <c r="A894" s="9" t="s">
        <v>1787</v>
      </c>
      <c r="B894" s="9">
        <v>43.28</v>
      </c>
      <c r="C894" s="9">
        <v>4.41</v>
      </c>
      <c r="D894" s="9" t="s">
        <v>4684</v>
      </c>
      <c r="E894" s="9" t="s">
        <v>4684</v>
      </c>
      <c r="F894" s="9" t="s">
        <v>4684</v>
      </c>
      <c r="G894" s="9" t="s">
        <v>4685</v>
      </c>
      <c r="H894" s="9" t="s">
        <v>4684</v>
      </c>
      <c r="I894" s="9" t="str">
        <f t="shared" si="1"/>
        <v>No</v>
      </c>
      <c r="J894" s="9">
        <f t="shared" si="2"/>
        <v>0</v>
      </c>
      <c r="K894" s="9" t="str">
        <f t="shared" si="3"/>
        <v>OBESITY</v>
      </c>
    </row>
    <row r="895" ht="15.75" customHeight="1">
      <c r="A895" s="9" t="s">
        <v>1789</v>
      </c>
      <c r="B895" s="9">
        <v>28.785</v>
      </c>
      <c r="C895" s="9">
        <v>9.1</v>
      </c>
      <c r="D895" s="9" t="s">
        <v>4686</v>
      </c>
      <c r="E895" s="9" t="s">
        <v>4684</v>
      </c>
      <c r="F895" s="9" t="s">
        <v>4686</v>
      </c>
      <c r="G895" s="9">
        <v>1.0</v>
      </c>
      <c r="H895" s="9" t="s">
        <v>4684</v>
      </c>
      <c r="I895" s="9" t="str">
        <f t="shared" si="1"/>
        <v>No</v>
      </c>
      <c r="J895" s="9">
        <f t="shared" si="2"/>
        <v>1</v>
      </c>
      <c r="K895" s="9" t="str">
        <f t="shared" si="3"/>
        <v>OVERWEIGHT</v>
      </c>
    </row>
    <row r="896" ht="15.75" customHeight="1">
      <c r="A896" s="9" t="s">
        <v>1791</v>
      </c>
      <c r="B896" s="9">
        <v>25.46</v>
      </c>
      <c r="C896" s="9">
        <v>11.52</v>
      </c>
      <c r="D896" s="9" t="s">
        <v>4686</v>
      </c>
      <c r="E896" s="9" t="s">
        <v>4684</v>
      </c>
      <c r="F896" s="9" t="s">
        <v>4686</v>
      </c>
      <c r="G896" s="9">
        <v>1.0</v>
      </c>
      <c r="H896" s="9" t="s">
        <v>4684</v>
      </c>
      <c r="I896" s="9" t="str">
        <f t="shared" si="1"/>
        <v>No</v>
      </c>
      <c r="J896" s="9">
        <f t="shared" si="2"/>
        <v>1</v>
      </c>
      <c r="K896" s="9" t="str">
        <f t="shared" si="3"/>
        <v>OVERWEIGHT</v>
      </c>
    </row>
    <row r="897" ht="15.75" customHeight="1">
      <c r="A897" s="9" t="s">
        <v>1793</v>
      </c>
      <c r="B897" s="9">
        <v>30.8</v>
      </c>
      <c r="C897" s="9">
        <v>10.95</v>
      </c>
      <c r="D897" s="9" t="s">
        <v>4684</v>
      </c>
      <c r="E897" s="9" t="s">
        <v>4684</v>
      </c>
      <c r="F897" s="9" t="s">
        <v>4684</v>
      </c>
      <c r="G897" s="9" t="s">
        <v>4685</v>
      </c>
      <c r="H897" s="9" t="s">
        <v>4684</v>
      </c>
      <c r="I897" s="9" t="str">
        <f t="shared" si="1"/>
        <v>No</v>
      </c>
      <c r="J897" s="9">
        <f t="shared" si="2"/>
        <v>0</v>
      </c>
      <c r="K897" s="9" t="str">
        <f t="shared" si="3"/>
        <v>OBESITY</v>
      </c>
    </row>
    <row r="898" ht="15.75" customHeight="1">
      <c r="A898" s="9" t="s">
        <v>1795</v>
      </c>
      <c r="B898" s="9">
        <v>28.88</v>
      </c>
      <c r="C898" s="9">
        <v>11.5</v>
      </c>
      <c r="D898" s="9" t="s">
        <v>4684</v>
      </c>
      <c r="E898" s="9" t="s">
        <v>4684</v>
      </c>
      <c r="F898" s="9" t="s">
        <v>4684</v>
      </c>
      <c r="G898" s="9" t="s">
        <v>4685</v>
      </c>
      <c r="H898" s="9" t="s">
        <v>4684</v>
      </c>
      <c r="I898" s="9" t="str">
        <f t="shared" si="1"/>
        <v>No</v>
      </c>
      <c r="J898" s="9">
        <f t="shared" si="2"/>
        <v>0</v>
      </c>
      <c r="K898" s="9" t="str">
        <f t="shared" si="3"/>
        <v>OVERWEIGHT</v>
      </c>
    </row>
    <row r="899" ht="15.75" customHeight="1">
      <c r="A899" s="9" t="s">
        <v>1797</v>
      </c>
      <c r="B899" s="9">
        <v>23.0</v>
      </c>
      <c r="C899" s="9">
        <v>9.88</v>
      </c>
      <c r="D899" s="9" t="s">
        <v>4684</v>
      </c>
      <c r="E899" s="9" t="s">
        <v>4684</v>
      </c>
      <c r="F899" s="9" t="s">
        <v>4684</v>
      </c>
      <c r="G899" s="9" t="s">
        <v>4685</v>
      </c>
      <c r="H899" s="9" t="s">
        <v>4684</v>
      </c>
      <c r="I899" s="9" t="str">
        <f t="shared" si="1"/>
        <v>No</v>
      </c>
      <c r="J899" s="9">
        <f t="shared" si="2"/>
        <v>0</v>
      </c>
      <c r="K899" s="9" t="str">
        <f t="shared" si="3"/>
        <v>NORMAL WEIGHT</v>
      </c>
    </row>
    <row r="900" ht="15.75" customHeight="1">
      <c r="A900" s="9" t="s">
        <v>1799</v>
      </c>
      <c r="B900" s="9">
        <v>38.25</v>
      </c>
      <c r="C900" s="9">
        <v>6.2</v>
      </c>
      <c r="D900" s="9" t="s">
        <v>4684</v>
      </c>
      <c r="E900" s="9" t="s">
        <v>4684</v>
      </c>
      <c r="F900" s="9" t="s">
        <v>4684</v>
      </c>
      <c r="G900" s="9">
        <v>1.0</v>
      </c>
      <c r="H900" s="9" t="s">
        <v>4684</v>
      </c>
      <c r="I900" s="9" t="str">
        <f t="shared" si="1"/>
        <v>No</v>
      </c>
      <c r="J900" s="9">
        <f t="shared" si="2"/>
        <v>1</v>
      </c>
      <c r="K900" s="9" t="str">
        <f t="shared" si="3"/>
        <v>OBESITY</v>
      </c>
    </row>
    <row r="901" ht="15.75" customHeight="1">
      <c r="A901" s="9" t="s">
        <v>1801</v>
      </c>
      <c r="B901" s="9">
        <v>39.25</v>
      </c>
      <c r="C901" s="9">
        <v>8.41</v>
      </c>
      <c r="D901" s="9" t="s">
        <v>4686</v>
      </c>
      <c r="E901" s="9" t="s">
        <v>4684</v>
      </c>
      <c r="F901" s="9" t="s">
        <v>4684</v>
      </c>
      <c r="G901" s="9">
        <v>1.0</v>
      </c>
      <c r="H901" s="9" t="s">
        <v>4684</v>
      </c>
      <c r="I901" s="9" t="str">
        <f t="shared" si="1"/>
        <v>No</v>
      </c>
      <c r="J901" s="9">
        <f t="shared" si="2"/>
        <v>1</v>
      </c>
      <c r="K901" s="9" t="str">
        <f t="shared" si="3"/>
        <v>OBESITY</v>
      </c>
    </row>
    <row r="902" ht="15.75" customHeight="1">
      <c r="A902" s="9" t="s">
        <v>1803</v>
      </c>
      <c r="B902" s="9">
        <v>26.6</v>
      </c>
      <c r="C902" s="9">
        <v>5.07</v>
      </c>
      <c r="D902" s="9" t="s">
        <v>4686</v>
      </c>
      <c r="E902" s="9" t="s">
        <v>4684</v>
      </c>
      <c r="F902" s="9" t="s">
        <v>4684</v>
      </c>
      <c r="G902" s="9">
        <v>2.0</v>
      </c>
      <c r="H902" s="9" t="s">
        <v>4684</v>
      </c>
      <c r="I902" s="9" t="str">
        <f t="shared" si="1"/>
        <v>No</v>
      </c>
      <c r="J902" s="9">
        <f t="shared" si="2"/>
        <v>2</v>
      </c>
      <c r="K902" s="9" t="str">
        <f t="shared" si="3"/>
        <v>OVERWEIGHT</v>
      </c>
    </row>
    <row r="903" ht="15.75" customHeight="1">
      <c r="A903" s="9" t="s">
        <v>1805</v>
      </c>
      <c r="B903" s="9">
        <v>35.7</v>
      </c>
      <c r="C903" s="9">
        <v>4.06</v>
      </c>
      <c r="D903" s="9" t="s">
        <v>4684</v>
      </c>
      <c r="E903" s="9" t="s">
        <v>4684</v>
      </c>
      <c r="F903" s="9" t="s">
        <v>4686</v>
      </c>
      <c r="G903" s="9">
        <v>1.0</v>
      </c>
      <c r="H903" s="9" t="s">
        <v>4684</v>
      </c>
      <c r="I903" s="9" t="str">
        <f t="shared" si="1"/>
        <v>No</v>
      </c>
      <c r="J903" s="9">
        <f t="shared" si="2"/>
        <v>1</v>
      </c>
      <c r="K903" s="9" t="str">
        <f t="shared" si="3"/>
        <v>OBESITY</v>
      </c>
    </row>
    <row r="904" ht="15.75" customHeight="1">
      <c r="A904" s="9" t="s">
        <v>1807</v>
      </c>
      <c r="B904" s="9">
        <v>20.1</v>
      </c>
      <c r="C904" s="9">
        <v>10.52</v>
      </c>
      <c r="D904" s="9" t="s">
        <v>4684</v>
      </c>
      <c r="E904" s="9" t="s">
        <v>4684</v>
      </c>
      <c r="F904" s="9" t="s">
        <v>4684</v>
      </c>
      <c r="G904" s="9" t="s">
        <v>4685</v>
      </c>
      <c r="H904" s="9" t="s">
        <v>4684</v>
      </c>
      <c r="I904" s="9" t="str">
        <f t="shared" si="1"/>
        <v>No</v>
      </c>
      <c r="J904" s="9">
        <f t="shared" si="2"/>
        <v>0</v>
      </c>
      <c r="K904" s="9" t="str">
        <f t="shared" si="3"/>
        <v>NORMAL WEIGHT</v>
      </c>
    </row>
    <row r="905" ht="15.75" customHeight="1">
      <c r="A905" s="9" t="s">
        <v>1809</v>
      </c>
      <c r="B905" s="9">
        <v>22.23</v>
      </c>
      <c r="C905" s="9">
        <v>9.65</v>
      </c>
      <c r="D905" s="9" t="s">
        <v>4684</v>
      </c>
      <c r="E905" s="9" t="s">
        <v>4684</v>
      </c>
      <c r="F905" s="9" t="s">
        <v>4684</v>
      </c>
      <c r="G905" s="9" t="s">
        <v>4685</v>
      </c>
      <c r="H905" s="9" t="s">
        <v>4684</v>
      </c>
      <c r="I905" s="9" t="str">
        <f t="shared" si="1"/>
        <v>No</v>
      </c>
      <c r="J905" s="9">
        <f t="shared" si="2"/>
        <v>0</v>
      </c>
      <c r="K905" s="9" t="str">
        <f t="shared" si="3"/>
        <v>NORMAL WEIGHT</v>
      </c>
    </row>
    <row r="906" ht="15.75" customHeight="1">
      <c r="A906" s="9" t="s">
        <v>1811</v>
      </c>
      <c r="B906" s="9">
        <v>36.47</v>
      </c>
      <c r="C906" s="9">
        <v>6.21</v>
      </c>
      <c r="D906" s="9" t="s">
        <v>4684</v>
      </c>
      <c r="E906" s="9" t="s">
        <v>4684</v>
      </c>
      <c r="F906" s="9" t="s">
        <v>4684</v>
      </c>
      <c r="G906" s="9" t="s">
        <v>4685</v>
      </c>
      <c r="H906" s="9" t="s">
        <v>4684</v>
      </c>
      <c r="I906" s="9" t="str">
        <f t="shared" si="1"/>
        <v>No</v>
      </c>
      <c r="J906" s="9">
        <f t="shared" si="2"/>
        <v>0</v>
      </c>
      <c r="K906" s="9" t="str">
        <f t="shared" si="3"/>
        <v>OBESITY</v>
      </c>
    </row>
    <row r="907" ht="15.75" customHeight="1">
      <c r="A907" s="9" t="s">
        <v>1813</v>
      </c>
      <c r="B907" s="9">
        <v>49.64</v>
      </c>
      <c r="C907" s="9">
        <v>4.76</v>
      </c>
      <c r="D907" s="9" t="s">
        <v>4684</v>
      </c>
      <c r="E907" s="9" t="s">
        <v>4684</v>
      </c>
      <c r="F907" s="9" t="s">
        <v>4686</v>
      </c>
      <c r="G907" s="9">
        <v>1.0</v>
      </c>
      <c r="H907" s="9" t="s">
        <v>4684</v>
      </c>
      <c r="I907" s="9" t="str">
        <f t="shared" si="1"/>
        <v>No</v>
      </c>
      <c r="J907" s="9">
        <f t="shared" si="2"/>
        <v>1</v>
      </c>
      <c r="K907" s="9" t="str">
        <f t="shared" si="3"/>
        <v>OBESITY</v>
      </c>
    </row>
    <row r="908" ht="15.75" customHeight="1">
      <c r="A908" s="9" t="s">
        <v>1815</v>
      </c>
      <c r="B908" s="9">
        <v>36.8</v>
      </c>
      <c r="C908" s="9">
        <v>5.73</v>
      </c>
      <c r="D908" s="9" t="s">
        <v>4686</v>
      </c>
      <c r="E908" s="9" t="s">
        <v>4684</v>
      </c>
      <c r="F908" s="9" t="s">
        <v>4686</v>
      </c>
      <c r="G908" s="9">
        <v>1.0</v>
      </c>
      <c r="H908" s="9" t="s">
        <v>4684</v>
      </c>
      <c r="I908" s="9" t="str">
        <f t="shared" si="1"/>
        <v>No</v>
      </c>
      <c r="J908" s="9">
        <f t="shared" si="2"/>
        <v>1</v>
      </c>
      <c r="K908" s="9" t="str">
        <f t="shared" si="3"/>
        <v>OBESITY</v>
      </c>
    </row>
    <row r="909" ht="15.75" customHeight="1">
      <c r="A909" s="9" t="s">
        <v>1817</v>
      </c>
      <c r="B909" s="9">
        <v>33.88</v>
      </c>
      <c r="C909" s="9">
        <v>10.78</v>
      </c>
      <c r="D909" s="9" t="s">
        <v>4686</v>
      </c>
      <c r="E909" s="9" t="s">
        <v>4684</v>
      </c>
      <c r="F909" s="9" t="s">
        <v>4684</v>
      </c>
      <c r="G909" s="9" t="s">
        <v>4685</v>
      </c>
      <c r="H909" s="9" t="s">
        <v>4684</v>
      </c>
      <c r="I909" s="9" t="str">
        <f t="shared" si="1"/>
        <v>No</v>
      </c>
      <c r="J909" s="9">
        <f t="shared" si="2"/>
        <v>0</v>
      </c>
      <c r="K909" s="9" t="str">
        <f t="shared" si="3"/>
        <v>OBESITY</v>
      </c>
    </row>
    <row r="910" ht="15.75" customHeight="1">
      <c r="A910" s="9" t="s">
        <v>1819</v>
      </c>
      <c r="B910" s="9">
        <v>32.01</v>
      </c>
      <c r="C910" s="9">
        <v>5.08</v>
      </c>
      <c r="D910" s="9" t="s">
        <v>4686</v>
      </c>
      <c r="E910" s="9" t="s">
        <v>4684</v>
      </c>
      <c r="F910" s="9" t="s">
        <v>4684</v>
      </c>
      <c r="G910" s="9">
        <v>1.0</v>
      </c>
      <c r="H910" s="9" t="s">
        <v>4684</v>
      </c>
      <c r="I910" s="9" t="str">
        <f t="shared" si="1"/>
        <v>No</v>
      </c>
      <c r="J910" s="9">
        <f t="shared" si="2"/>
        <v>1</v>
      </c>
      <c r="K910" s="9" t="str">
        <f t="shared" si="3"/>
        <v>OBESITY</v>
      </c>
    </row>
    <row r="911" ht="15.75" customHeight="1">
      <c r="A911" s="9" t="s">
        <v>1821</v>
      </c>
      <c r="B911" s="9">
        <v>33.63</v>
      </c>
      <c r="C911" s="9">
        <v>11.39</v>
      </c>
      <c r="D911" s="9" t="s">
        <v>4684</v>
      </c>
      <c r="E911" s="9" t="s">
        <v>4684</v>
      </c>
      <c r="F911" s="9" t="s">
        <v>4684</v>
      </c>
      <c r="G911" s="9" t="s">
        <v>4685</v>
      </c>
      <c r="H911" s="9" t="s">
        <v>4684</v>
      </c>
      <c r="I911" s="9" t="str">
        <f t="shared" si="1"/>
        <v>No</v>
      </c>
      <c r="J911" s="9">
        <f t="shared" si="2"/>
        <v>0</v>
      </c>
      <c r="K911" s="9" t="str">
        <f t="shared" si="3"/>
        <v>OBESITY</v>
      </c>
    </row>
    <row r="912" ht="15.75" customHeight="1">
      <c r="A912" s="9" t="s">
        <v>1823</v>
      </c>
      <c r="B912" s="9">
        <v>34.865</v>
      </c>
      <c r="C912" s="9">
        <v>5.35</v>
      </c>
      <c r="D912" s="9" t="s">
        <v>4686</v>
      </c>
      <c r="E912" s="9" t="s">
        <v>4684</v>
      </c>
      <c r="F912" s="9" t="s">
        <v>4684</v>
      </c>
      <c r="G912" s="9">
        <v>1.0</v>
      </c>
      <c r="H912" s="9" t="s">
        <v>4684</v>
      </c>
      <c r="I912" s="9" t="str">
        <f t="shared" si="1"/>
        <v>No</v>
      </c>
      <c r="J912" s="9">
        <f t="shared" si="2"/>
        <v>1</v>
      </c>
      <c r="K912" s="9" t="str">
        <f t="shared" si="3"/>
        <v>OBESITY</v>
      </c>
    </row>
    <row r="913" ht="15.75" customHeight="1">
      <c r="A913" s="9" t="s">
        <v>1825</v>
      </c>
      <c r="B913" s="9">
        <v>43.11</v>
      </c>
      <c r="C913" s="9">
        <v>5.6</v>
      </c>
      <c r="D913" s="9" t="s">
        <v>4684</v>
      </c>
      <c r="E913" s="9" t="s">
        <v>4684</v>
      </c>
      <c r="F913" s="9" t="s">
        <v>4684</v>
      </c>
      <c r="G913" s="9" t="s">
        <v>4685</v>
      </c>
      <c r="H913" s="9" t="s">
        <v>4684</v>
      </c>
      <c r="I913" s="9" t="str">
        <f t="shared" si="1"/>
        <v>No</v>
      </c>
      <c r="J913" s="9">
        <f t="shared" si="2"/>
        <v>0</v>
      </c>
      <c r="K913" s="9" t="str">
        <f t="shared" si="3"/>
        <v>OBESITY</v>
      </c>
    </row>
    <row r="914" ht="15.75" customHeight="1">
      <c r="A914" s="9" t="s">
        <v>1827</v>
      </c>
      <c r="B914" s="9">
        <v>30.305</v>
      </c>
      <c r="C914" s="9">
        <v>4.27</v>
      </c>
      <c r="D914" s="9" t="s">
        <v>4686</v>
      </c>
      <c r="E914" s="9" t="s">
        <v>4684</v>
      </c>
      <c r="F914" s="9" t="s">
        <v>4684</v>
      </c>
      <c r="G914" s="9">
        <v>1.0</v>
      </c>
      <c r="H914" s="9" t="s">
        <v>4684</v>
      </c>
      <c r="I914" s="9" t="str">
        <f t="shared" si="1"/>
        <v>No</v>
      </c>
      <c r="J914" s="9">
        <f t="shared" si="2"/>
        <v>1</v>
      </c>
      <c r="K914" s="9" t="str">
        <f t="shared" si="3"/>
        <v>OBESITY</v>
      </c>
    </row>
    <row r="915" ht="15.75" customHeight="1">
      <c r="A915" s="9" t="s">
        <v>1829</v>
      </c>
      <c r="B915" s="9">
        <v>25.175</v>
      </c>
      <c r="C915" s="9">
        <v>5.57</v>
      </c>
      <c r="D915" s="9" t="s">
        <v>4686</v>
      </c>
      <c r="E915" s="9" t="s">
        <v>4684</v>
      </c>
      <c r="F915" s="9" t="s">
        <v>4684</v>
      </c>
      <c r="G915" s="9">
        <v>1.0</v>
      </c>
      <c r="H915" s="9" t="s">
        <v>4684</v>
      </c>
      <c r="I915" s="9" t="str">
        <f t="shared" si="1"/>
        <v>No</v>
      </c>
      <c r="J915" s="9">
        <f t="shared" si="2"/>
        <v>1</v>
      </c>
      <c r="K915" s="9" t="str">
        <f t="shared" si="3"/>
        <v>OVERWEIGHT</v>
      </c>
    </row>
    <row r="916" ht="15.75" customHeight="1">
      <c r="A916" s="9" t="s">
        <v>1831</v>
      </c>
      <c r="B916" s="9">
        <v>26.8</v>
      </c>
      <c r="C916" s="9">
        <v>5.68</v>
      </c>
      <c r="D916" s="9" t="s">
        <v>4686</v>
      </c>
      <c r="E916" s="9" t="s">
        <v>4684</v>
      </c>
      <c r="F916" s="9" t="s">
        <v>4684</v>
      </c>
      <c r="G916" s="9">
        <v>1.0</v>
      </c>
      <c r="H916" s="9" t="s">
        <v>4684</v>
      </c>
      <c r="I916" s="9" t="str">
        <f t="shared" si="1"/>
        <v>No</v>
      </c>
      <c r="J916" s="9">
        <f t="shared" si="2"/>
        <v>1</v>
      </c>
      <c r="K916" s="9" t="str">
        <f t="shared" si="3"/>
        <v>OVERWEIGHT</v>
      </c>
    </row>
    <row r="917" ht="15.75" customHeight="1">
      <c r="A917" s="9" t="s">
        <v>1833</v>
      </c>
      <c r="B917" s="9">
        <v>21.78</v>
      </c>
      <c r="C917" s="9">
        <v>5.3</v>
      </c>
      <c r="D917" s="9" t="s">
        <v>4684</v>
      </c>
      <c r="E917" s="9" t="s">
        <v>4686</v>
      </c>
      <c r="F917" s="9" t="s">
        <v>4684</v>
      </c>
      <c r="G917" s="9">
        <v>1.0</v>
      </c>
      <c r="H917" s="9" t="s">
        <v>4684</v>
      </c>
      <c r="I917" s="9" t="str">
        <f t="shared" si="1"/>
        <v>No</v>
      </c>
      <c r="J917" s="9">
        <f t="shared" si="2"/>
        <v>1</v>
      </c>
      <c r="K917" s="9" t="str">
        <f t="shared" si="3"/>
        <v>NORMAL WEIGHT</v>
      </c>
    </row>
    <row r="918" ht="15.75" customHeight="1">
      <c r="A918" s="9" t="s">
        <v>1835</v>
      </c>
      <c r="B918" s="9">
        <v>30.14</v>
      </c>
      <c r="C918" s="9">
        <v>9.45</v>
      </c>
      <c r="D918" s="9" t="s">
        <v>4686</v>
      </c>
      <c r="E918" s="9" t="s">
        <v>4684</v>
      </c>
      <c r="F918" s="9" t="s">
        <v>4684</v>
      </c>
      <c r="G918" s="9" t="s">
        <v>4685</v>
      </c>
      <c r="H918" s="9" t="s">
        <v>4684</v>
      </c>
      <c r="I918" s="9" t="str">
        <f t="shared" si="1"/>
        <v>No</v>
      </c>
      <c r="J918" s="9">
        <f t="shared" si="2"/>
        <v>0</v>
      </c>
      <c r="K918" s="9" t="str">
        <f t="shared" si="3"/>
        <v>OBESITY</v>
      </c>
    </row>
    <row r="919" ht="15.75" customHeight="1">
      <c r="A919" s="9" t="s">
        <v>1837</v>
      </c>
      <c r="B919" s="9">
        <v>29.7</v>
      </c>
      <c r="C919" s="9">
        <v>6.79</v>
      </c>
      <c r="D919" s="9" t="s">
        <v>4686</v>
      </c>
      <c r="E919" s="9" t="s">
        <v>4684</v>
      </c>
      <c r="F919" s="9" t="s">
        <v>4684</v>
      </c>
      <c r="G919" s="9" t="s">
        <v>4685</v>
      </c>
      <c r="H919" s="9" t="s">
        <v>4684</v>
      </c>
      <c r="I919" s="9" t="str">
        <f t="shared" si="1"/>
        <v>No</v>
      </c>
      <c r="J919" s="9">
        <f t="shared" si="2"/>
        <v>0</v>
      </c>
      <c r="K919" s="9" t="str">
        <f t="shared" si="3"/>
        <v>OVERWEIGHT</v>
      </c>
    </row>
    <row r="920" ht="15.75" customHeight="1">
      <c r="A920" s="9" t="s">
        <v>1839</v>
      </c>
      <c r="B920" s="9">
        <v>32.395</v>
      </c>
      <c r="C920" s="9">
        <v>11.1</v>
      </c>
      <c r="D920" s="9" t="s">
        <v>4686</v>
      </c>
      <c r="E920" s="9" t="s">
        <v>4684</v>
      </c>
      <c r="F920" s="9" t="s">
        <v>4684</v>
      </c>
      <c r="G920" s="9" t="s">
        <v>4685</v>
      </c>
      <c r="H920" s="9" t="s">
        <v>4684</v>
      </c>
      <c r="I920" s="9" t="str">
        <f t="shared" si="1"/>
        <v>No</v>
      </c>
      <c r="J920" s="9">
        <f t="shared" si="2"/>
        <v>0</v>
      </c>
      <c r="K920" s="9" t="str">
        <f t="shared" si="3"/>
        <v>OBESITY</v>
      </c>
    </row>
    <row r="921" ht="15.75" customHeight="1">
      <c r="A921" s="9" t="s">
        <v>1841</v>
      </c>
      <c r="B921" s="9">
        <v>36.64</v>
      </c>
      <c r="C921" s="9">
        <v>7.26</v>
      </c>
      <c r="D921" s="9" t="s">
        <v>4684</v>
      </c>
      <c r="E921" s="9" t="s">
        <v>4684</v>
      </c>
      <c r="F921" s="9" t="s">
        <v>4684</v>
      </c>
      <c r="G921" s="9" t="s">
        <v>4685</v>
      </c>
      <c r="H921" s="9" t="s">
        <v>4684</v>
      </c>
      <c r="I921" s="9" t="str">
        <f t="shared" si="1"/>
        <v>No</v>
      </c>
      <c r="J921" s="9">
        <f t="shared" si="2"/>
        <v>0</v>
      </c>
      <c r="K921" s="9" t="str">
        <f t="shared" si="3"/>
        <v>OBESITY</v>
      </c>
    </row>
    <row r="922" ht="15.75" customHeight="1">
      <c r="A922" s="9" t="s">
        <v>1843</v>
      </c>
      <c r="B922" s="9">
        <v>39.05</v>
      </c>
      <c r="C922" s="9">
        <v>5.27</v>
      </c>
      <c r="D922" s="9" t="s">
        <v>4686</v>
      </c>
      <c r="E922" s="9" t="s">
        <v>4684</v>
      </c>
      <c r="F922" s="9" t="s">
        <v>4684</v>
      </c>
      <c r="G922" s="9">
        <v>1.0</v>
      </c>
      <c r="H922" s="9" t="s">
        <v>4684</v>
      </c>
      <c r="I922" s="9" t="str">
        <f t="shared" si="1"/>
        <v>No</v>
      </c>
      <c r="J922" s="9">
        <f t="shared" si="2"/>
        <v>1</v>
      </c>
      <c r="K922" s="9" t="str">
        <f t="shared" si="3"/>
        <v>OBESITY</v>
      </c>
    </row>
    <row r="923" ht="15.75" customHeight="1">
      <c r="A923" s="9" t="s">
        <v>1845</v>
      </c>
      <c r="B923" s="9">
        <v>33.1</v>
      </c>
      <c r="C923" s="9">
        <v>5.46</v>
      </c>
      <c r="D923" s="9" t="s">
        <v>4686</v>
      </c>
      <c r="E923" s="9" t="s">
        <v>4684</v>
      </c>
      <c r="F923" s="9" t="s">
        <v>4684</v>
      </c>
      <c r="G923" s="9">
        <v>1.0</v>
      </c>
      <c r="H923" s="9" t="s">
        <v>4684</v>
      </c>
      <c r="I923" s="9" t="str">
        <f t="shared" si="1"/>
        <v>No</v>
      </c>
      <c r="J923" s="9">
        <f t="shared" si="2"/>
        <v>1</v>
      </c>
      <c r="K923" s="9" t="str">
        <f t="shared" si="3"/>
        <v>OBESITY</v>
      </c>
    </row>
    <row r="924" ht="15.75" customHeight="1">
      <c r="A924" s="9" t="s">
        <v>1847</v>
      </c>
      <c r="B924" s="9">
        <v>31.825</v>
      </c>
      <c r="C924" s="9">
        <v>8.13</v>
      </c>
      <c r="D924" s="9" t="s">
        <v>4684</v>
      </c>
      <c r="E924" s="9" t="s">
        <v>4684</v>
      </c>
      <c r="F924" s="9" t="s">
        <v>4684</v>
      </c>
      <c r="G924" s="9" t="s">
        <v>4685</v>
      </c>
      <c r="H924" s="9" t="s">
        <v>4684</v>
      </c>
      <c r="I924" s="9" t="str">
        <f t="shared" si="1"/>
        <v>No</v>
      </c>
      <c r="J924" s="9">
        <f t="shared" si="2"/>
        <v>0</v>
      </c>
      <c r="K924" s="9" t="str">
        <f t="shared" si="3"/>
        <v>OBESITY</v>
      </c>
    </row>
    <row r="925" ht="15.75" customHeight="1">
      <c r="A925" s="9" t="s">
        <v>1849</v>
      </c>
      <c r="B925" s="9">
        <v>29.0</v>
      </c>
      <c r="C925" s="9">
        <v>4.25</v>
      </c>
      <c r="D925" s="9" t="s">
        <v>4686</v>
      </c>
      <c r="E925" s="9" t="s">
        <v>4684</v>
      </c>
      <c r="F925" s="9" t="s">
        <v>4684</v>
      </c>
      <c r="G925" s="9">
        <v>1.0</v>
      </c>
      <c r="H925" s="9" t="s">
        <v>4684</v>
      </c>
      <c r="I925" s="9" t="str">
        <f t="shared" si="1"/>
        <v>No</v>
      </c>
      <c r="J925" s="9">
        <f t="shared" si="2"/>
        <v>1</v>
      </c>
      <c r="K925" s="9" t="str">
        <f t="shared" si="3"/>
        <v>OVERWEIGHT</v>
      </c>
    </row>
    <row r="926" ht="15.75" customHeight="1">
      <c r="A926" s="9" t="s">
        <v>1851</v>
      </c>
      <c r="B926" s="9">
        <v>30.495</v>
      </c>
      <c r="C926" s="9">
        <v>8.68</v>
      </c>
      <c r="D926" s="9" t="s">
        <v>4684</v>
      </c>
      <c r="E926" s="9" t="s">
        <v>4684</v>
      </c>
      <c r="F926" s="9" t="s">
        <v>4684</v>
      </c>
      <c r="G926" s="9" t="s">
        <v>4685</v>
      </c>
      <c r="H926" s="9" t="s">
        <v>4684</v>
      </c>
      <c r="I926" s="9" t="str">
        <f t="shared" si="1"/>
        <v>No</v>
      </c>
      <c r="J926" s="9">
        <f t="shared" si="2"/>
        <v>0</v>
      </c>
      <c r="K926" s="9" t="str">
        <f t="shared" si="3"/>
        <v>OBESITY</v>
      </c>
    </row>
    <row r="927" ht="15.75" customHeight="1">
      <c r="A927" s="9" t="s">
        <v>1853</v>
      </c>
      <c r="B927" s="9">
        <v>25.2</v>
      </c>
      <c r="C927" s="9">
        <v>6.25</v>
      </c>
      <c r="D927" s="9" t="s">
        <v>4686</v>
      </c>
      <c r="E927" s="9" t="s">
        <v>4684</v>
      </c>
      <c r="F927" s="9" t="s">
        <v>4684</v>
      </c>
      <c r="G927" s="9">
        <v>1.0</v>
      </c>
      <c r="H927" s="9" t="s">
        <v>4684</v>
      </c>
      <c r="I927" s="9" t="str">
        <f t="shared" si="1"/>
        <v>No</v>
      </c>
      <c r="J927" s="9">
        <f t="shared" si="2"/>
        <v>1</v>
      </c>
      <c r="K927" s="9" t="str">
        <f t="shared" si="3"/>
        <v>OVERWEIGHT</v>
      </c>
    </row>
    <row r="928" ht="15.75" customHeight="1">
      <c r="A928" s="9" t="s">
        <v>1855</v>
      </c>
      <c r="B928" s="9">
        <v>22.77</v>
      </c>
      <c r="C928" s="9">
        <v>4.47</v>
      </c>
      <c r="D928" s="9" t="s">
        <v>4686</v>
      </c>
      <c r="E928" s="9" t="s">
        <v>4684</v>
      </c>
      <c r="F928" s="9" t="s">
        <v>4684</v>
      </c>
      <c r="G928" s="9">
        <v>1.0</v>
      </c>
      <c r="H928" s="9" t="s">
        <v>4684</v>
      </c>
      <c r="I928" s="9" t="str">
        <f t="shared" si="1"/>
        <v>No</v>
      </c>
      <c r="J928" s="9">
        <f t="shared" si="2"/>
        <v>1</v>
      </c>
      <c r="K928" s="9" t="str">
        <f t="shared" si="3"/>
        <v>NORMAL WEIGHT</v>
      </c>
    </row>
    <row r="929" ht="15.75" customHeight="1">
      <c r="A929" s="9" t="s">
        <v>1857</v>
      </c>
      <c r="B929" s="9">
        <v>23.18</v>
      </c>
      <c r="C929" s="9">
        <v>8.31</v>
      </c>
      <c r="D929" s="9" t="s">
        <v>4684</v>
      </c>
      <c r="E929" s="9" t="s">
        <v>4684</v>
      </c>
      <c r="F929" s="9" t="s">
        <v>4684</v>
      </c>
      <c r="G929" s="9" t="s">
        <v>4685</v>
      </c>
      <c r="H929" s="9" t="s">
        <v>4684</v>
      </c>
      <c r="I929" s="9" t="str">
        <f t="shared" si="1"/>
        <v>No</v>
      </c>
      <c r="J929" s="9">
        <f t="shared" si="2"/>
        <v>0</v>
      </c>
      <c r="K929" s="9" t="str">
        <f t="shared" si="3"/>
        <v>NORMAL WEIGHT</v>
      </c>
    </row>
    <row r="930" ht="15.75" customHeight="1">
      <c r="A930" s="9" t="s">
        <v>1859</v>
      </c>
      <c r="B930" s="9">
        <v>35.41</v>
      </c>
      <c r="C930" s="9">
        <v>5.68</v>
      </c>
      <c r="D930" s="9" t="s">
        <v>4684</v>
      </c>
      <c r="E930" s="9" t="s">
        <v>4684</v>
      </c>
      <c r="F930" s="9" t="s">
        <v>4684</v>
      </c>
      <c r="G930" s="9" t="s">
        <v>4685</v>
      </c>
      <c r="H930" s="9" t="s">
        <v>4684</v>
      </c>
      <c r="I930" s="9" t="str">
        <f t="shared" si="1"/>
        <v>No</v>
      </c>
      <c r="J930" s="9">
        <f t="shared" si="2"/>
        <v>0</v>
      </c>
      <c r="K930" s="9" t="str">
        <f t="shared" si="3"/>
        <v>OBESITY</v>
      </c>
    </row>
    <row r="931" ht="15.75" customHeight="1">
      <c r="A931" s="9" t="s">
        <v>1861</v>
      </c>
      <c r="B931" s="9">
        <v>32.11</v>
      </c>
      <c r="C931" s="9">
        <v>4.75</v>
      </c>
      <c r="D931" s="9" t="s">
        <v>4686</v>
      </c>
      <c r="E931" s="9" t="s">
        <v>4684</v>
      </c>
      <c r="F931" s="9" t="s">
        <v>4684</v>
      </c>
      <c r="G931" s="9">
        <v>2.0</v>
      </c>
      <c r="H931" s="9" t="s">
        <v>4684</v>
      </c>
      <c r="I931" s="9" t="str">
        <f t="shared" si="1"/>
        <v>No</v>
      </c>
      <c r="J931" s="9">
        <f t="shared" si="2"/>
        <v>2</v>
      </c>
      <c r="K931" s="9" t="str">
        <f t="shared" si="3"/>
        <v>OBESITY</v>
      </c>
    </row>
    <row r="932" ht="15.75" customHeight="1">
      <c r="A932" s="9" t="s">
        <v>1863</v>
      </c>
      <c r="B932" s="9">
        <v>34.48</v>
      </c>
      <c r="C932" s="9">
        <v>6.31</v>
      </c>
      <c r="D932" s="9" t="s">
        <v>4684</v>
      </c>
      <c r="E932" s="9" t="s">
        <v>4684</v>
      </c>
      <c r="F932" s="9" t="s">
        <v>4686</v>
      </c>
      <c r="G932" s="9">
        <v>1.0</v>
      </c>
      <c r="H932" s="9" t="s">
        <v>4684</v>
      </c>
      <c r="I932" s="9" t="str">
        <f t="shared" si="1"/>
        <v>No</v>
      </c>
      <c r="J932" s="9">
        <f t="shared" si="2"/>
        <v>1</v>
      </c>
      <c r="K932" s="9" t="str">
        <f t="shared" si="3"/>
        <v>OBESITY</v>
      </c>
    </row>
    <row r="933" ht="15.75" customHeight="1">
      <c r="A933" s="9" t="s">
        <v>1865</v>
      </c>
      <c r="B933" s="9">
        <v>34.39</v>
      </c>
      <c r="C933" s="9">
        <v>6.28</v>
      </c>
      <c r="D933" s="9" t="s">
        <v>4686</v>
      </c>
      <c r="E933" s="9" t="s">
        <v>4684</v>
      </c>
      <c r="F933" s="9" t="s">
        <v>4684</v>
      </c>
      <c r="G933" s="9">
        <v>1.0</v>
      </c>
      <c r="H933" s="9" t="s">
        <v>4684</v>
      </c>
      <c r="I933" s="9" t="str">
        <f t="shared" si="1"/>
        <v>No</v>
      </c>
      <c r="J933" s="9">
        <f t="shared" si="2"/>
        <v>1</v>
      </c>
      <c r="K933" s="9" t="str">
        <f t="shared" si="3"/>
        <v>OBESITY</v>
      </c>
    </row>
    <row r="934" ht="15.75" customHeight="1">
      <c r="A934" s="9" t="s">
        <v>1867</v>
      </c>
      <c r="B934" s="9">
        <v>26.4</v>
      </c>
      <c r="C934" s="9">
        <v>9.29</v>
      </c>
      <c r="D934" s="9" t="s">
        <v>4686</v>
      </c>
      <c r="E934" s="9" t="s">
        <v>4684</v>
      </c>
      <c r="F934" s="9" t="s">
        <v>4686</v>
      </c>
      <c r="G934" s="9">
        <v>1.0</v>
      </c>
      <c r="H934" s="9" t="s">
        <v>4684</v>
      </c>
      <c r="I934" s="9" t="str">
        <f t="shared" si="1"/>
        <v>No</v>
      </c>
      <c r="J934" s="9">
        <f t="shared" si="2"/>
        <v>1</v>
      </c>
      <c r="K934" s="9" t="str">
        <f t="shared" si="3"/>
        <v>OVERWEIGHT</v>
      </c>
    </row>
    <row r="935" ht="15.75" customHeight="1">
      <c r="A935" s="9" t="s">
        <v>1869</v>
      </c>
      <c r="B935" s="9">
        <v>28.1</v>
      </c>
      <c r="C935" s="9">
        <v>5.79</v>
      </c>
      <c r="D935" s="9" t="s">
        <v>4686</v>
      </c>
      <c r="E935" s="9" t="s">
        <v>4684</v>
      </c>
      <c r="F935" s="9" t="s">
        <v>4686</v>
      </c>
      <c r="G935" s="9">
        <v>1.0</v>
      </c>
      <c r="H935" s="9" t="s">
        <v>4684</v>
      </c>
      <c r="I935" s="9" t="str">
        <f t="shared" si="1"/>
        <v>No</v>
      </c>
      <c r="J935" s="9">
        <f t="shared" si="2"/>
        <v>1</v>
      </c>
      <c r="K935" s="9" t="str">
        <f t="shared" si="3"/>
        <v>OVERWEIGHT</v>
      </c>
    </row>
    <row r="936" ht="15.75" customHeight="1">
      <c r="A936" s="9" t="s">
        <v>1871</v>
      </c>
      <c r="B936" s="9">
        <v>27.0</v>
      </c>
      <c r="C936" s="9">
        <v>4.54</v>
      </c>
      <c r="D936" s="9" t="s">
        <v>4686</v>
      </c>
      <c r="E936" s="9" t="s">
        <v>4684</v>
      </c>
      <c r="F936" s="9" t="s">
        <v>4684</v>
      </c>
      <c r="G936" s="9">
        <v>1.0</v>
      </c>
      <c r="H936" s="9" t="s">
        <v>4684</v>
      </c>
      <c r="I936" s="9" t="str">
        <f t="shared" si="1"/>
        <v>No</v>
      </c>
      <c r="J936" s="9">
        <f t="shared" si="2"/>
        <v>1</v>
      </c>
      <c r="K936" s="9" t="str">
        <f t="shared" si="3"/>
        <v>OVERWEIGHT</v>
      </c>
    </row>
    <row r="937" ht="15.75" customHeight="1">
      <c r="A937" s="9" t="s">
        <v>1873</v>
      </c>
      <c r="B937" s="9">
        <v>28.595</v>
      </c>
      <c r="C937" s="9">
        <v>4.68</v>
      </c>
      <c r="D937" s="9" t="s">
        <v>4686</v>
      </c>
      <c r="E937" s="9" t="s">
        <v>4684</v>
      </c>
      <c r="F937" s="9" t="s">
        <v>4684</v>
      </c>
      <c r="G937" s="9">
        <v>1.0</v>
      </c>
      <c r="H937" s="9" t="s">
        <v>4684</v>
      </c>
      <c r="I937" s="9" t="str">
        <f t="shared" si="1"/>
        <v>No</v>
      </c>
      <c r="J937" s="9">
        <f t="shared" si="2"/>
        <v>1</v>
      </c>
      <c r="K937" s="9" t="str">
        <f t="shared" si="3"/>
        <v>OVERWEIGHT</v>
      </c>
    </row>
    <row r="938" ht="15.75" customHeight="1">
      <c r="A938" s="9" t="s">
        <v>1875</v>
      </c>
      <c r="B938" s="9">
        <v>36.8</v>
      </c>
      <c r="C938" s="9">
        <v>5.88</v>
      </c>
      <c r="D938" s="9" t="s">
        <v>4684</v>
      </c>
      <c r="E938" s="9" t="s">
        <v>4684</v>
      </c>
      <c r="F938" s="9" t="s">
        <v>4684</v>
      </c>
      <c r="G938" s="9">
        <v>1.0</v>
      </c>
      <c r="H938" s="9" t="s">
        <v>4684</v>
      </c>
      <c r="I938" s="9" t="str">
        <f t="shared" si="1"/>
        <v>No</v>
      </c>
      <c r="J938" s="9">
        <f t="shared" si="2"/>
        <v>1</v>
      </c>
      <c r="K938" s="9" t="str">
        <f t="shared" si="3"/>
        <v>OBESITY</v>
      </c>
    </row>
    <row r="939" ht="15.75" customHeight="1">
      <c r="A939" s="9" t="s">
        <v>1877</v>
      </c>
      <c r="B939" s="9">
        <v>23.75</v>
      </c>
      <c r="C939" s="9">
        <v>5.42</v>
      </c>
      <c r="D939" s="9" t="s">
        <v>4686</v>
      </c>
      <c r="E939" s="9" t="s">
        <v>4684</v>
      </c>
      <c r="F939" s="9" t="s">
        <v>4686</v>
      </c>
      <c r="G939" s="9">
        <v>1.0</v>
      </c>
      <c r="H939" s="9" t="s">
        <v>4684</v>
      </c>
      <c r="I939" s="9" t="str">
        <f t="shared" si="1"/>
        <v>No</v>
      </c>
      <c r="J939" s="9">
        <f t="shared" si="2"/>
        <v>1</v>
      </c>
      <c r="K939" s="9" t="str">
        <f t="shared" si="3"/>
        <v>NORMAL WEIGHT</v>
      </c>
    </row>
    <row r="940" ht="15.75" customHeight="1">
      <c r="A940" s="9" t="s">
        <v>1879</v>
      </c>
      <c r="B940" s="9">
        <v>35.62</v>
      </c>
      <c r="C940" s="9">
        <v>4.16</v>
      </c>
      <c r="D940" s="9" t="s">
        <v>4684</v>
      </c>
      <c r="E940" s="9" t="s">
        <v>4684</v>
      </c>
      <c r="F940" s="9" t="s">
        <v>4684</v>
      </c>
      <c r="G940" s="9" t="s">
        <v>4685</v>
      </c>
      <c r="H940" s="9" t="s">
        <v>4684</v>
      </c>
      <c r="I940" s="9" t="str">
        <f t="shared" si="1"/>
        <v>No</v>
      </c>
      <c r="J940" s="9">
        <f t="shared" si="2"/>
        <v>0</v>
      </c>
      <c r="K940" s="9" t="str">
        <f t="shared" si="3"/>
        <v>OBESITY</v>
      </c>
    </row>
    <row r="941" ht="15.75" customHeight="1">
      <c r="A941" s="9" t="s">
        <v>1881</v>
      </c>
      <c r="B941" s="9">
        <v>30.69</v>
      </c>
      <c r="C941" s="9">
        <v>7.05</v>
      </c>
      <c r="D941" s="9" t="s">
        <v>4686</v>
      </c>
      <c r="E941" s="9" t="s">
        <v>4684</v>
      </c>
      <c r="F941" s="9" t="s">
        <v>4684</v>
      </c>
      <c r="G941" s="9">
        <v>2.0</v>
      </c>
      <c r="H941" s="9" t="s">
        <v>4684</v>
      </c>
      <c r="I941" s="9" t="str">
        <f t="shared" si="1"/>
        <v>No</v>
      </c>
      <c r="J941" s="9">
        <f t="shared" si="2"/>
        <v>2</v>
      </c>
      <c r="K941" s="9" t="str">
        <f t="shared" si="3"/>
        <v>OBESITY</v>
      </c>
    </row>
    <row r="942" ht="15.75" customHeight="1">
      <c r="A942" s="9" t="s">
        <v>1883</v>
      </c>
      <c r="B942" s="9">
        <v>35.8</v>
      </c>
      <c r="C942" s="9">
        <v>5.63</v>
      </c>
      <c r="D942" s="9" t="s">
        <v>4686</v>
      </c>
      <c r="E942" s="9" t="s">
        <v>4684</v>
      </c>
      <c r="F942" s="9" t="s">
        <v>4684</v>
      </c>
      <c r="G942" s="9">
        <v>2.0</v>
      </c>
      <c r="H942" s="9" t="s">
        <v>4684</v>
      </c>
      <c r="I942" s="9" t="str">
        <f t="shared" si="1"/>
        <v>No</v>
      </c>
      <c r="J942" s="9">
        <f t="shared" si="2"/>
        <v>2</v>
      </c>
      <c r="K942" s="9" t="str">
        <f t="shared" si="3"/>
        <v>OBESITY</v>
      </c>
    </row>
    <row r="943" ht="15.75" customHeight="1">
      <c r="A943" s="9" t="s">
        <v>1885</v>
      </c>
      <c r="B943" s="9">
        <v>28.785</v>
      </c>
      <c r="C943" s="9">
        <v>4.24</v>
      </c>
      <c r="D943" s="9" t="s">
        <v>4686</v>
      </c>
      <c r="E943" s="9" t="s">
        <v>4684</v>
      </c>
      <c r="F943" s="9" t="s">
        <v>4684</v>
      </c>
      <c r="G943" s="9">
        <v>2.0</v>
      </c>
      <c r="H943" s="9" t="s">
        <v>4684</v>
      </c>
      <c r="I943" s="9" t="str">
        <f t="shared" si="1"/>
        <v>No</v>
      </c>
      <c r="J943" s="9">
        <f t="shared" si="2"/>
        <v>2</v>
      </c>
      <c r="K943" s="9" t="str">
        <f t="shared" si="3"/>
        <v>OVERWEIGHT</v>
      </c>
    </row>
    <row r="944" ht="15.75" customHeight="1">
      <c r="A944" s="9" t="s">
        <v>1887</v>
      </c>
      <c r="B944" s="9">
        <v>28.595</v>
      </c>
      <c r="C944" s="9">
        <v>4.96</v>
      </c>
      <c r="D944" s="9" t="s">
        <v>4686</v>
      </c>
      <c r="E944" s="9" t="s">
        <v>4684</v>
      </c>
      <c r="F944" s="9" t="s">
        <v>4684</v>
      </c>
      <c r="G944" s="9">
        <v>2.0</v>
      </c>
      <c r="H944" s="9" t="s">
        <v>4684</v>
      </c>
      <c r="I944" s="9" t="str">
        <f t="shared" si="1"/>
        <v>No</v>
      </c>
      <c r="J944" s="9">
        <f t="shared" si="2"/>
        <v>2</v>
      </c>
      <c r="K944" s="9" t="str">
        <f t="shared" si="3"/>
        <v>OVERWEIGHT</v>
      </c>
    </row>
    <row r="945" ht="15.75" customHeight="1">
      <c r="A945" s="9" t="s">
        <v>1889</v>
      </c>
      <c r="B945" s="9">
        <v>48.75</v>
      </c>
      <c r="C945" s="9">
        <v>4.34</v>
      </c>
      <c r="D945" s="9" t="s">
        <v>4684</v>
      </c>
      <c r="E945" s="9" t="s">
        <v>4684</v>
      </c>
      <c r="F945" s="9" t="s">
        <v>4684</v>
      </c>
      <c r="G945" s="9" t="s">
        <v>4685</v>
      </c>
      <c r="H945" s="9" t="s">
        <v>4684</v>
      </c>
      <c r="I945" s="9" t="str">
        <f t="shared" si="1"/>
        <v>No</v>
      </c>
      <c r="J945" s="9">
        <f t="shared" si="2"/>
        <v>0</v>
      </c>
      <c r="K945" s="9" t="str">
        <f t="shared" si="3"/>
        <v>OBESITY</v>
      </c>
    </row>
    <row r="946" ht="15.75" customHeight="1">
      <c r="A946" s="9" t="s">
        <v>1891</v>
      </c>
      <c r="B946" s="9">
        <v>28.31</v>
      </c>
      <c r="C946" s="9">
        <v>5.43</v>
      </c>
      <c r="D946" s="9" t="s">
        <v>4686</v>
      </c>
      <c r="E946" s="9" t="s">
        <v>4684</v>
      </c>
      <c r="F946" s="9" t="s">
        <v>4684</v>
      </c>
      <c r="G946" s="9">
        <v>2.0</v>
      </c>
      <c r="H946" s="9" t="s">
        <v>4684</v>
      </c>
      <c r="I946" s="9" t="str">
        <f t="shared" si="1"/>
        <v>No</v>
      </c>
      <c r="J946" s="9">
        <f t="shared" si="2"/>
        <v>2</v>
      </c>
      <c r="K946" s="9" t="str">
        <f t="shared" si="3"/>
        <v>OVERWEIGHT</v>
      </c>
    </row>
    <row r="947" ht="15.75" customHeight="1">
      <c r="A947" s="9" t="s">
        <v>1893</v>
      </c>
      <c r="B947" s="9">
        <v>38.39</v>
      </c>
      <c r="C947" s="9">
        <v>8.33</v>
      </c>
      <c r="D947" s="9" t="s">
        <v>4686</v>
      </c>
      <c r="E947" s="9" t="s">
        <v>4684</v>
      </c>
      <c r="F947" s="9" t="s">
        <v>4684</v>
      </c>
      <c r="G947" s="9">
        <v>1.0</v>
      </c>
      <c r="H947" s="9" t="s">
        <v>4684</v>
      </c>
      <c r="I947" s="9" t="str">
        <f t="shared" si="1"/>
        <v>No</v>
      </c>
      <c r="J947" s="9">
        <f t="shared" si="2"/>
        <v>1</v>
      </c>
      <c r="K947" s="9" t="str">
        <f t="shared" si="3"/>
        <v>OBESITY</v>
      </c>
    </row>
    <row r="948" ht="15.75" customHeight="1">
      <c r="A948" s="9" t="s">
        <v>1895</v>
      </c>
      <c r="B948" s="9">
        <v>25.87</v>
      </c>
      <c r="C948" s="9">
        <v>5.63</v>
      </c>
      <c r="D948" s="9" t="s">
        <v>4686</v>
      </c>
      <c r="E948" s="9" t="s">
        <v>4684</v>
      </c>
      <c r="F948" s="9" t="s">
        <v>4684</v>
      </c>
      <c r="G948" s="9">
        <v>1.0</v>
      </c>
      <c r="H948" s="9" t="s">
        <v>4684</v>
      </c>
      <c r="I948" s="9" t="str">
        <f t="shared" si="1"/>
        <v>No</v>
      </c>
      <c r="J948" s="9">
        <f t="shared" si="2"/>
        <v>1</v>
      </c>
      <c r="K948" s="9" t="str">
        <f t="shared" si="3"/>
        <v>OVERWEIGHT</v>
      </c>
    </row>
    <row r="949" ht="15.75" customHeight="1">
      <c r="A949" s="9" t="s">
        <v>1897</v>
      </c>
      <c r="B949" s="9">
        <v>43.7</v>
      </c>
      <c r="C949" s="9">
        <v>7.23</v>
      </c>
      <c r="D949" s="9" t="s">
        <v>4684</v>
      </c>
      <c r="E949" s="9" t="s">
        <v>4684</v>
      </c>
      <c r="F949" s="9" t="s">
        <v>4684</v>
      </c>
      <c r="G949" s="9" t="s">
        <v>4685</v>
      </c>
      <c r="H949" s="9" t="s">
        <v>4684</v>
      </c>
      <c r="I949" s="9" t="str">
        <f t="shared" si="1"/>
        <v>No</v>
      </c>
      <c r="J949" s="9">
        <f t="shared" si="2"/>
        <v>0</v>
      </c>
      <c r="K949" s="9" t="str">
        <f t="shared" si="3"/>
        <v>OBESITY</v>
      </c>
    </row>
    <row r="950" ht="15.75" customHeight="1">
      <c r="A950" s="9" t="s">
        <v>1899</v>
      </c>
      <c r="B950" s="9">
        <v>40.945</v>
      </c>
      <c r="C950" s="9">
        <v>10.57</v>
      </c>
      <c r="D950" s="9" t="s">
        <v>4684</v>
      </c>
      <c r="E950" s="9" t="s">
        <v>4684</v>
      </c>
      <c r="F950" s="9" t="s">
        <v>4684</v>
      </c>
      <c r="G950" s="9" t="s">
        <v>4685</v>
      </c>
      <c r="H950" s="9" t="s">
        <v>4684</v>
      </c>
      <c r="I950" s="9" t="str">
        <f t="shared" si="1"/>
        <v>No</v>
      </c>
      <c r="J950" s="9">
        <f t="shared" si="2"/>
        <v>0</v>
      </c>
      <c r="K950" s="9" t="str">
        <f t="shared" si="3"/>
        <v>OBESITY</v>
      </c>
    </row>
    <row r="951" ht="15.75" customHeight="1">
      <c r="A951" s="9" t="s">
        <v>1901</v>
      </c>
      <c r="B951" s="9">
        <v>27.94</v>
      </c>
      <c r="C951" s="9">
        <v>7.92</v>
      </c>
      <c r="D951" s="9" t="s">
        <v>4684</v>
      </c>
      <c r="E951" s="9" t="s">
        <v>4684</v>
      </c>
      <c r="F951" s="9" t="s">
        <v>4684</v>
      </c>
      <c r="G951" s="9" t="s">
        <v>4685</v>
      </c>
      <c r="H951" s="9" t="s">
        <v>4684</v>
      </c>
      <c r="I951" s="9" t="str">
        <f t="shared" si="1"/>
        <v>No</v>
      </c>
      <c r="J951" s="9">
        <f t="shared" si="2"/>
        <v>0</v>
      </c>
      <c r="K951" s="9" t="str">
        <f t="shared" si="3"/>
        <v>OVERWEIGHT</v>
      </c>
    </row>
    <row r="952" ht="15.75" customHeight="1">
      <c r="A952" s="9" t="s">
        <v>1903</v>
      </c>
      <c r="B952" s="9">
        <v>31.9</v>
      </c>
      <c r="C952" s="9">
        <v>10.12</v>
      </c>
      <c r="D952" s="9" t="s">
        <v>4684</v>
      </c>
      <c r="E952" s="9" t="s">
        <v>4684</v>
      </c>
      <c r="F952" s="9" t="s">
        <v>4684</v>
      </c>
      <c r="G952" s="9">
        <v>2.0</v>
      </c>
      <c r="H952" s="9" t="s">
        <v>4684</v>
      </c>
      <c r="I952" s="9" t="str">
        <f t="shared" si="1"/>
        <v>No</v>
      </c>
      <c r="J952" s="9">
        <f t="shared" si="2"/>
        <v>2</v>
      </c>
      <c r="K952" s="9" t="str">
        <f t="shared" si="3"/>
        <v>OBESITY</v>
      </c>
    </row>
    <row r="953" ht="15.75" customHeight="1">
      <c r="A953" s="9" t="s">
        <v>1905</v>
      </c>
      <c r="B953" s="9">
        <v>31.64</v>
      </c>
      <c r="C953" s="9">
        <v>7.91</v>
      </c>
      <c r="D953" s="9" t="s">
        <v>4684</v>
      </c>
      <c r="E953" s="9" t="s">
        <v>4684</v>
      </c>
      <c r="F953" s="9" t="s">
        <v>4684</v>
      </c>
      <c r="G953" s="9" t="s">
        <v>4685</v>
      </c>
      <c r="H953" s="9" t="s">
        <v>4684</v>
      </c>
      <c r="I953" s="9" t="str">
        <f t="shared" si="1"/>
        <v>No</v>
      </c>
      <c r="J953" s="9">
        <f t="shared" si="2"/>
        <v>0</v>
      </c>
      <c r="K953" s="9" t="str">
        <f t="shared" si="3"/>
        <v>OBESITY</v>
      </c>
    </row>
    <row r="954" ht="15.75" customHeight="1">
      <c r="A954" s="9" t="s">
        <v>1907</v>
      </c>
      <c r="B954" s="9">
        <v>46.7</v>
      </c>
      <c r="C954" s="9">
        <v>10.9</v>
      </c>
      <c r="D954" s="9" t="s">
        <v>4684</v>
      </c>
      <c r="E954" s="9" t="s">
        <v>4684</v>
      </c>
      <c r="F954" s="9" t="s">
        <v>4684</v>
      </c>
      <c r="G954" s="9" t="s">
        <v>4685</v>
      </c>
      <c r="H954" s="9" t="s">
        <v>4684</v>
      </c>
      <c r="I954" s="9" t="str">
        <f t="shared" si="1"/>
        <v>No</v>
      </c>
      <c r="J954" s="9">
        <f t="shared" si="2"/>
        <v>0</v>
      </c>
      <c r="K954" s="9" t="str">
        <f t="shared" si="3"/>
        <v>OBESITY</v>
      </c>
    </row>
    <row r="955" ht="15.75" customHeight="1">
      <c r="A955" s="9" t="s">
        <v>1909</v>
      </c>
      <c r="B955" s="9">
        <v>18.335</v>
      </c>
      <c r="C955" s="9">
        <v>11.83</v>
      </c>
      <c r="D955" s="9" t="s">
        <v>4684</v>
      </c>
      <c r="E955" s="9" t="s">
        <v>4684</v>
      </c>
      <c r="F955" s="9" t="s">
        <v>4684</v>
      </c>
      <c r="G955" s="9" t="s">
        <v>4685</v>
      </c>
      <c r="H955" s="9" t="s">
        <v>4684</v>
      </c>
      <c r="I955" s="9" t="str">
        <f t="shared" si="1"/>
        <v>No</v>
      </c>
      <c r="J955" s="9">
        <f t="shared" si="2"/>
        <v>0</v>
      </c>
      <c r="K955" s="9" t="str">
        <f t="shared" si="3"/>
        <v>UNDERWEIGHT</v>
      </c>
    </row>
    <row r="956" ht="15.75" customHeight="1">
      <c r="A956" s="9" t="s">
        <v>1911</v>
      </c>
      <c r="B956" s="9">
        <v>31.24</v>
      </c>
      <c r="C956" s="9">
        <v>7.42</v>
      </c>
      <c r="D956" s="9" t="s">
        <v>4686</v>
      </c>
      <c r="E956" s="9" t="s">
        <v>4684</v>
      </c>
      <c r="F956" s="9" t="s">
        <v>4684</v>
      </c>
      <c r="G956" s="9">
        <v>2.0</v>
      </c>
      <c r="H956" s="9" t="s">
        <v>4684</v>
      </c>
      <c r="I956" s="9" t="str">
        <f t="shared" si="1"/>
        <v>No</v>
      </c>
      <c r="J956" s="9">
        <f t="shared" si="2"/>
        <v>2</v>
      </c>
      <c r="K956" s="9" t="str">
        <f t="shared" si="3"/>
        <v>OBESITY</v>
      </c>
    </row>
    <row r="957" ht="15.75" customHeight="1">
      <c r="A957" s="9" t="s">
        <v>1913</v>
      </c>
      <c r="B957" s="9">
        <v>39.22</v>
      </c>
      <c r="C957" s="9">
        <v>5.62</v>
      </c>
      <c r="D957" s="9" t="s">
        <v>4686</v>
      </c>
      <c r="E957" s="9" t="s">
        <v>4684</v>
      </c>
      <c r="F957" s="9" t="s">
        <v>4684</v>
      </c>
      <c r="G957" s="9">
        <v>1.0</v>
      </c>
      <c r="H957" s="9" t="s">
        <v>4684</v>
      </c>
      <c r="I957" s="9" t="str">
        <f t="shared" si="1"/>
        <v>No</v>
      </c>
      <c r="J957" s="9">
        <f t="shared" si="2"/>
        <v>1</v>
      </c>
      <c r="K957" s="9" t="str">
        <f t="shared" si="3"/>
        <v>OBESITY</v>
      </c>
    </row>
    <row r="958" ht="15.75" customHeight="1">
      <c r="A958" s="9" t="s">
        <v>1915</v>
      </c>
      <c r="B958" s="9">
        <v>24.415</v>
      </c>
      <c r="C958" s="9">
        <v>7.16</v>
      </c>
      <c r="D958" s="9" t="s">
        <v>4684</v>
      </c>
      <c r="E958" s="9" t="s">
        <v>4684</v>
      </c>
      <c r="F958" s="9" t="s">
        <v>4684</v>
      </c>
      <c r="G958" s="9" t="s">
        <v>4685</v>
      </c>
      <c r="H958" s="9" t="s">
        <v>4684</v>
      </c>
      <c r="I958" s="9" t="str">
        <f t="shared" si="1"/>
        <v>No</v>
      </c>
      <c r="J958" s="9">
        <f t="shared" si="2"/>
        <v>0</v>
      </c>
      <c r="K958" s="9" t="str">
        <f t="shared" si="3"/>
        <v>NORMAL WEIGHT</v>
      </c>
    </row>
    <row r="959" ht="15.75" customHeight="1">
      <c r="A959" s="9" t="s">
        <v>1917</v>
      </c>
      <c r="B959" s="9">
        <v>32.3</v>
      </c>
      <c r="C959" s="9">
        <v>9.89</v>
      </c>
      <c r="D959" s="9" t="s">
        <v>4684</v>
      </c>
      <c r="E959" s="9" t="s">
        <v>4684</v>
      </c>
      <c r="F959" s="9" t="s">
        <v>4684</v>
      </c>
      <c r="G959" s="9" t="s">
        <v>4685</v>
      </c>
      <c r="H959" s="9" t="s">
        <v>4684</v>
      </c>
      <c r="I959" s="9" t="str">
        <f t="shared" si="1"/>
        <v>No</v>
      </c>
      <c r="J959" s="9">
        <f t="shared" si="2"/>
        <v>0</v>
      </c>
      <c r="K959" s="9" t="str">
        <f t="shared" si="3"/>
        <v>OBESITY</v>
      </c>
    </row>
    <row r="960" ht="15.75" customHeight="1">
      <c r="A960" s="9" t="s">
        <v>1919</v>
      </c>
      <c r="B960" s="9">
        <v>39.94</v>
      </c>
      <c r="C960" s="9">
        <v>5.14</v>
      </c>
      <c r="D960" s="9" t="s">
        <v>4684</v>
      </c>
      <c r="E960" s="9" t="s">
        <v>4684</v>
      </c>
      <c r="F960" s="9" t="s">
        <v>4684</v>
      </c>
      <c r="G960" s="9" t="s">
        <v>4685</v>
      </c>
      <c r="H960" s="9" t="s">
        <v>4684</v>
      </c>
      <c r="I960" s="9" t="str">
        <f t="shared" si="1"/>
        <v>No</v>
      </c>
      <c r="J960" s="9">
        <f t="shared" si="2"/>
        <v>0</v>
      </c>
      <c r="K960" s="9" t="str">
        <f t="shared" si="3"/>
        <v>OBESITY</v>
      </c>
    </row>
    <row r="961" ht="15.75" customHeight="1">
      <c r="A961" s="9" t="s">
        <v>1921</v>
      </c>
      <c r="B961" s="9">
        <v>30.0</v>
      </c>
      <c r="C961" s="9">
        <v>5.61</v>
      </c>
      <c r="D961" s="9" t="s">
        <v>4686</v>
      </c>
      <c r="E961" s="9" t="s">
        <v>4684</v>
      </c>
      <c r="F961" s="9" t="s">
        <v>4686</v>
      </c>
      <c r="G961" s="9">
        <v>1.0</v>
      </c>
      <c r="H961" s="9" t="s">
        <v>4684</v>
      </c>
      <c r="I961" s="9" t="str">
        <f t="shared" si="1"/>
        <v>No</v>
      </c>
      <c r="J961" s="9">
        <f t="shared" si="2"/>
        <v>1</v>
      </c>
      <c r="K961" s="9" t="str">
        <f t="shared" si="3"/>
        <v>OBESITY</v>
      </c>
    </row>
    <row r="962" ht="15.75" customHeight="1">
      <c r="A962" s="9" t="s">
        <v>1923</v>
      </c>
      <c r="B962" s="9">
        <v>35.34</v>
      </c>
      <c r="C962" s="9">
        <v>5.51</v>
      </c>
      <c r="D962" s="9" t="s">
        <v>4686</v>
      </c>
      <c r="E962" s="9" t="s">
        <v>4684</v>
      </c>
      <c r="F962" s="9" t="s">
        <v>4686</v>
      </c>
      <c r="G962" s="9">
        <v>1.0</v>
      </c>
      <c r="H962" s="9" t="s">
        <v>4684</v>
      </c>
      <c r="I962" s="9" t="str">
        <f t="shared" si="1"/>
        <v>No</v>
      </c>
      <c r="J962" s="9">
        <f t="shared" si="2"/>
        <v>1</v>
      </c>
      <c r="K962" s="9" t="str">
        <f t="shared" si="3"/>
        <v>OBESITY</v>
      </c>
    </row>
    <row r="963" ht="15.75" customHeight="1">
      <c r="A963" s="9" t="s">
        <v>1925</v>
      </c>
      <c r="B963" s="9">
        <v>32.205</v>
      </c>
      <c r="C963" s="9">
        <v>8.38</v>
      </c>
      <c r="D963" s="9" t="s">
        <v>4686</v>
      </c>
      <c r="E963" s="9" t="s">
        <v>4684</v>
      </c>
      <c r="F963" s="9" t="s">
        <v>4684</v>
      </c>
      <c r="G963" s="9">
        <v>2.0</v>
      </c>
      <c r="H963" s="9" t="s">
        <v>4684</v>
      </c>
      <c r="I963" s="9" t="str">
        <f t="shared" si="1"/>
        <v>No</v>
      </c>
      <c r="J963" s="9">
        <f t="shared" si="2"/>
        <v>2</v>
      </c>
      <c r="K963" s="9" t="str">
        <f t="shared" si="3"/>
        <v>OBESITY</v>
      </c>
    </row>
    <row r="964" ht="15.75" customHeight="1">
      <c r="A964" s="9" t="s">
        <v>1927</v>
      </c>
      <c r="B964" s="9">
        <v>33.88</v>
      </c>
      <c r="C964" s="9">
        <v>4.68</v>
      </c>
      <c r="D964" s="9" t="s">
        <v>4684</v>
      </c>
      <c r="E964" s="9" t="s">
        <v>4686</v>
      </c>
      <c r="F964" s="9" t="s">
        <v>4684</v>
      </c>
      <c r="G964" s="9">
        <v>1.0</v>
      </c>
      <c r="H964" s="9" t="s">
        <v>4684</v>
      </c>
      <c r="I964" s="9" t="str">
        <f t="shared" si="1"/>
        <v>No</v>
      </c>
      <c r="J964" s="9">
        <f t="shared" si="2"/>
        <v>1</v>
      </c>
      <c r="K964" s="9" t="str">
        <f t="shared" si="3"/>
        <v>OBESITY</v>
      </c>
    </row>
    <row r="965" ht="15.75" customHeight="1">
      <c r="A965" s="9" t="s">
        <v>1929</v>
      </c>
      <c r="B965" s="9">
        <v>26.63</v>
      </c>
      <c r="C965" s="9">
        <v>4.36</v>
      </c>
      <c r="D965" s="9" t="s">
        <v>4686</v>
      </c>
      <c r="E965" s="9" t="s">
        <v>4684</v>
      </c>
      <c r="F965" s="9" t="s">
        <v>4684</v>
      </c>
      <c r="G965" s="9">
        <v>2.0</v>
      </c>
      <c r="H965" s="9" t="s">
        <v>4684</v>
      </c>
      <c r="I965" s="9" t="str">
        <f t="shared" si="1"/>
        <v>No</v>
      </c>
      <c r="J965" s="9">
        <f t="shared" si="2"/>
        <v>2</v>
      </c>
      <c r="K965" s="9" t="str">
        <f t="shared" si="3"/>
        <v>OVERWEIGHT</v>
      </c>
    </row>
    <row r="966" ht="15.75" customHeight="1">
      <c r="A966" s="9" t="s">
        <v>1931</v>
      </c>
      <c r="B966" s="9">
        <v>28.7</v>
      </c>
      <c r="C966" s="9">
        <v>7.74</v>
      </c>
      <c r="D966" s="9" t="s">
        <v>4684</v>
      </c>
      <c r="E966" s="9" t="s">
        <v>4684</v>
      </c>
      <c r="F966" s="9" t="s">
        <v>4684</v>
      </c>
      <c r="G966" s="9" t="s">
        <v>4685</v>
      </c>
      <c r="H966" s="9" t="s">
        <v>4684</v>
      </c>
      <c r="I966" s="9" t="str">
        <f t="shared" si="1"/>
        <v>No</v>
      </c>
      <c r="J966" s="9">
        <f t="shared" si="2"/>
        <v>0</v>
      </c>
      <c r="K966" s="9" t="str">
        <f t="shared" si="3"/>
        <v>OVERWEIGHT</v>
      </c>
    </row>
    <row r="967" ht="15.75" customHeight="1">
      <c r="A967" s="9" t="s">
        <v>1933</v>
      </c>
      <c r="B967" s="9">
        <v>25.65</v>
      </c>
      <c r="C967" s="9">
        <v>4.05</v>
      </c>
      <c r="D967" s="9" t="s">
        <v>4686</v>
      </c>
      <c r="E967" s="9" t="s">
        <v>4684</v>
      </c>
      <c r="F967" s="9" t="s">
        <v>4684</v>
      </c>
      <c r="G967" s="9">
        <v>2.0</v>
      </c>
      <c r="H967" s="9" t="s">
        <v>4684</v>
      </c>
      <c r="I967" s="9" t="str">
        <f t="shared" si="1"/>
        <v>No</v>
      </c>
      <c r="J967" s="9">
        <f t="shared" si="2"/>
        <v>2</v>
      </c>
      <c r="K967" s="9" t="str">
        <f t="shared" si="3"/>
        <v>OVERWEIGHT</v>
      </c>
    </row>
    <row r="968" ht="15.75" customHeight="1">
      <c r="A968" s="9" t="s">
        <v>1935</v>
      </c>
      <c r="B968" s="9">
        <v>36.385</v>
      </c>
      <c r="C968" s="9">
        <v>11.49</v>
      </c>
      <c r="D968" s="9" t="s">
        <v>4684</v>
      </c>
      <c r="E968" s="9" t="s">
        <v>4684</v>
      </c>
      <c r="F968" s="9" t="s">
        <v>4684</v>
      </c>
      <c r="G968" s="9" t="s">
        <v>4685</v>
      </c>
      <c r="H968" s="9" t="s">
        <v>4684</v>
      </c>
      <c r="I968" s="9" t="str">
        <f t="shared" si="1"/>
        <v>No</v>
      </c>
      <c r="J968" s="9">
        <f t="shared" si="2"/>
        <v>0</v>
      </c>
      <c r="K968" s="9" t="str">
        <f t="shared" si="3"/>
        <v>OBESITY</v>
      </c>
    </row>
    <row r="969" ht="15.75" customHeight="1">
      <c r="A969" s="9" t="s">
        <v>1937</v>
      </c>
      <c r="B969" s="9">
        <v>34.69</v>
      </c>
      <c r="C969" s="9">
        <v>5.65</v>
      </c>
      <c r="D969" s="9" t="s">
        <v>4684</v>
      </c>
      <c r="E969" s="9" t="s">
        <v>4684</v>
      </c>
      <c r="F969" s="9" t="s">
        <v>4684</v>
      </c>
      <c r="G969" s="9" t="s">
        <v>4685</v>
      </c>
      <c r="H969" s="9" t="s">
        <v>4684</v>
      </c>
      <c r="I969" s="9" t="str">
        <f t="shared" si="1"/>
        <v>No</v>
      </c>
      <c r="J969" s="9">
        <f t="shared" si="2"/>
        <v>0</v>
      </c>
      <c r="K969" s="9" t="str">
        <f t="shared" si="3"/>
        <v>OBESITY</v>
      </c>
    </row>
    <row r="970" ht="15.75" customHeight="1">
      <c r="A970" s="9" t="s">
        <v>1939</v>
      </c>
      <c r="B970" s="9">
        <v>37.68</v>
      </c>
      <c r="C970" s="9">
        <v>4.29</v>
      </c>
      <c r="D970" s="9" t="s">
        <v>4686</v>
      </c>
      <c r="E970" s="9" t="s">
        <v>4684</v>
      </c>
      <c r="F970" s="9" t="s">
        <v>4684</v>
      </c>
      <c r="G970" s="9" t="s">
        <v>4685</v>
      </c>
      <c r="H970" s="9" t="s">
        <v>4684</v>
      </c>
      <c r="I970" s="9" t="str">
        <f t="shared" si="1"/>
        <v>No</v>
      </c>
      <c r="J970" s="9">
        <f t="shared" si="2"/>
        <v>0</v>
      </c>
      <c r="K970" s="9" t="str">
        <f t="shared" si="3"/>
        <v>OBESITY</v>
      </c>
    </row>
    <row r="971" ht="15.75" customHeight="1">
      <c r="A971" s="9" t="s">
        <v>1941</v>
      </c>
      <c r="B971" s="9">
        <v>35.49</v>
      </c>
      <c r="C971" s="9">
        <v>4.74</v>
      </c>
      <c r="D971" s="9" t="s">
        <v>4686</v>
      </c>
      <c r="E971" s="9" t="s">
        <v>4684</v>
      </c>
      <c r="F971" s="9" t="s">
        <v>4686</v>
      </c>
      <c r="G971" s="9">
        <v>1.0</v>
      </c>
      <c r="H971" s="9" t="s">
        <v>4684</v>
      </c>
      <c r="I971" s="9" t="str">
        <f t="shared" si="1"/>
        <v>No</v>
      </c>
      <c r="J971" s="9">
        <f t="shared" si="2"/>
        <v>1</v>
      </c>
      <c r="K971" s="9" t="str">
        <f t="shared" si="3"/>
        <v>OBESITY</v>
      </c>
    </row>
    <row r="972" ht="15.75" customHeight="1">
      <c r="A972" s="9" t="s">
        <v>1943</v>
      </c>
      <c r="B972" s="9">
        <v>44.7</v>
      </c>
      <c r="C972" s="9">
        <v>7.6</v>
      </c>
      <c r="D972" s="9" t="s">
        <v>4686</v>
      </c>
      <c r="E972" s="9" t="s">
        <v>4684</v>
      </c>
      <c r="F972" s="9" t="s">
        <v>4684</v>
      </c>
      <c r="G972" s="9">
        <v>2.0</v>
      </c>
      <c r="H972" s="9" t="s">
        <v>4684</v>
      </c>
      <c r="I972" s="9" t="str">
        <f t="shared" si="1"/>
        <v>No</v>
      </c>
      <c r="J972" s="9">
        <f t="shared" si="2"/>
        <v>2</v>
      </c>
      <c r="K972" s="9" t="str">
        <f t="shared" si="3"/>
        <v>OBESITY</v>
      </c>
    </row>
    <row r="973" ht="15.75" customHeight="1">
      <c r="A973" s="9" t="s">
        <v>1945</v>
      </c>
      <c r="B973" s="9">
        <v>38.38</v>
      </c>
      <c r="C973" s="9">
        <v>8.5</v>
      </c>
      <c r="D973" s="9" t="s">
        <v>4686</v>
      </c>
      <c r="E973" s="9" t="s">
        <v>4684</v>
      </c>
      <c r="F973" s="9" t="s">
        <v>4684</v>
      </c>
      <c r="G973" s="9">
        <v>2.0</v>
      </c>
      <c r="H973" s="9" t="s">
        <v>4684</v>
      </c>
      <c r="I973" s="9" t="str">
        <f t="shared" si="1"/>
        <v>No</v>
      </c>
      <c r="J973" s="9">
        <f t="shared" si="2"/>
        <v>2</v>
      </c>
      <c r="K973" s="9" t="str">
        <f t="shared" si="3"/>
        <v>OBESITY</v>
      </c>
    </row>
    <row r="974" ht="15.75" customHeight="1">
      <c r="A974" s="9" t="s">
        <v>1947</v>
      </c>
      <c r="B974" s="9">
        <v>35.245</v>
      </c>
      <c r="C974" s="9">
        <v>11.22</v>
      </c>
      <c r="D974" s="9" t="s">
        <v>4686</v>
      </c>
      <c r="E974" s="9" t="s">
        <v>4684</v>
      </c>
      <c r="F974" s="9" t="s">
        <v>4684</v>
      </c>
      <c r="G974" s="9" t="s">
        <v>4685</v>
      </c>
      <c r="H974" s="9" t="s">
        <v>4684</v>
      </c>
      <c r="I974" s="9" t="str">
        <f t="shared" si="1"/>
        <v>No</v>
      </c>
      <c r="J974" s="9">
        <f t="shared" si="2"/>
        <v>0</v>
      </c>
      <c r="K974" s="9" t="str">
        <f t="shared" si="3"/>
        <v>OBESITY</v>
      </c>
    </row>
    <row r="975" ht="15.75" customHeight="1">
      <c r="A975" s="9" t="s">
        <v>1949</v>
      </c>
      <c r="B975" s="9">
        <v>49.84</v>
      </c>
      <c r="C975" s="9">
        <v>5.1</v>
      </c>
      <c r="D975" s="9" t="s">
        <v>4686</v>
      </c>
      <c r="E975" s="9" t="s">
        <v>4684</v>
      </c>
      <c r="F975" s="9" t="s">
        <v>4686</v>
      </c>
      <c r="G975" s="9">
        <v>1.0</v>
      </c>
      <c r="H975" s="9" t="s">
        <v>4684</v>
      </c>
      <c r="I975" s="9" t="str">
        <f t="shared" si="1"/>
        <v>No</v>
      </c>
      <c r="J975" s="9">
        <f t="shared" si="2"/>
        <v>1</v>
      </c>
      <c r="K975" s="9" t="str">
        <f t="shared" si="3"/>
        <v>OBESITY</v>
      </c>
    </row>
    <row r="976" ht="15.75" customHeight="1">
      <c r="A976" s="9" t="s">
        <v>1951</v>
      </c>
      <c r="B976" s="9">
        <v>49.06</v>
      </c>
      <c r="C976" s="9">
        <v>5.43</v>
      </c>
      <c r="D976" s="9" t="s">
        <v>4686</v>
      </c>
      <c r="E976" s="9" t="s">
        <v>4684</v>
      </c>
      <c r="F976" s="9" t="s">
        <v>4684</v>
      </c>
      <c r="G976" s="9">
        <v>1.0</v>
      </c>
      <c r="H976" s="9" t="s">
        <v>4684</v>
      </c>
      <c r="I976" s="9" t="str">
        <f t="shared" si="1"/>
        <v>No</v>
      </c>
      <c r="J976" s="9">
        <f t="shared" si="2"/>
        <v>1</v>
      </c>
      <c r="K976" s="9" t="str">
        <f t="shared" si="3"/>
        <v>OBESITY</v>
      </c>
    </row>
    <row r="977" ht="15.75" customHeight="1">
      <c r="A977" s="9" t="s">
        <v>1953</v>
      </c>
      <c r="B977" s="9">
        <v>30.88</v>
      </c>
      <c r="C977" s="9">
        <v>5.82</v>
      </c>
      <c r="D977" s="9" t="s">
        <v>4684</v>
      </c>
      <c r="E977" s="9" t="s">
        <v>4684</v>
      </c>
      <c r="F977" s="9" t="s">
        <v>4684</v>
      </c>
      <c r="G977" s="9">
        <v>2.0</v>
      </c>
      <c r="H977" s="9" t="s">
        <v>4684</v>
      </c>
      <c r="I977" s="9" t="str">
        <f t="shared" si="1"/>
        <v>No</v>
      </c>
      <c r="J977" s="9">
        <f t="shared" si="2"/>
        <v>2</v>
      </c>
      <c r="K977" s="9" t="str">
        <f t="shared" si="3"/>
        <v>OBESITY</v>
      </c>
    </row>
    <row r="978" ht="15.75" customHeight="1">
      <c r="A978" s="9" t="s">
        <v>1955</v>
      </c>
      <c r="B978" s="9">
        <v>33.35</v>
      </c>
      <c r="C978" s="9">
        <v>6.05</v>
      </c>
      <c r="D978" s="9" t="s">
        <v>4684</v>
      </c>
      <c r="E978" s="9" t="s">
        <v>4684</v>
      </c>
      <c r="F978" s="9" t="s">
        <v>4686</v>
      </c>
      <c r="G978" s="9">
        <v>1.0</v>
      </c>
      <c r="H978" s="9" t="s">
        <v>4684</v>
      </c>
      <c r="I978" s="9" t="str">
        <f t="shared" si="1"/>
        <v>No</v>
      </c>
      <c r="J978" s="9">
        <f t="shared" si="2"/>
        <v>1</v>
      </c>
      <c r="K978" s="9" t="str">
        <f t="shared" si="3"/>
        <v>OBESITY</v>
      </c>
    </row>
    <row r="979" ht="15.75" customHeight="1">
      <c r="A979" s="9" t="s">
        <v>1957</v>
      </c>
      <c r="B979" s="9">
        <v>38.0</v>
      </c>
      <c r="C979" s="9">
        <v>6.38</v>
      </c>
      <c r="D979" s="9" t="s">
        <v>4686</v>
      </c>
      <c r="E979" s="9" t="s">
        <v>4684</v>
      </c>
      <c r="F979" s="9" t="s">
        <v>4684</v>
      </c>
      <c r="G979" s="9">
        <v>1.0</v>
      </c>
      <c r="H979" s="9" t="s">
        <v>4684</v>
      </c>
      <c r="I979" s="9" t="str">
        <f t="shared" si="1"/>
        <v>No</v>
      </c>
      <c r="J979" s="9">
        <f t="shared" si="2"/>
        <v>1</v>
      </c>
      <c r="K979" s="9" t="str">
        <f t="shared" si="3"/>
        <v>OBESITY</v>
      </c>
    </row>
    <row r="980" ht="15.75" customHeight="1">
      <c r="A980" s="9" t="s">
        <v>1959</v>
      </c>
      <c r="B980" s="9">
        <v>36.08</v>
      </c>
      <c r="C980" s="9">
        <v>5.73</v>
      </c>
      <c r="D980" s="9" t="s">
        <v>4686</v>
      </c>
      <c r="E980" s="9" t="s">
        <v>4684</v>
      </c>
      <c r="F980" s="9" t="s">
        <v>4684</v>
      </c>
      <c r="G980" s="9">
        <v>1.0</v>
      </c>
      <c r="H980" s="9" t="s">
        <v>4684</v>
      </c>
      <c r="I980" s="9" t="str">
        <f t="shared" si="1"/>
        <v>No</v>
      </c>
      <c r="J980" s="9">
        <f t="shared" si="2"/>
        <v>1</v>
      </c>
      <c r="K980" s="9" t="str">
        <f t="shared" si="3"/>
        <v>OBESITY</v>
      </c>
    </row>
    <row r="981" ht="15.75" customHeight="1">
      <c r="A981" s="9" t="s">
        <v>1961</v>
      </c>
      <c r="B981" s="9">
        <v>35.7</v>
      </c>
      <c r="C981" s="9">
        <v>5.47</v>
      </c>
      <c r="D981" s="9" t="s">
        <v>4686</v>
      </c>
      <c r="E981" s="9" t="s">
        <v>4684</v>
      </c>
      <c r="F981" s="9" t="s">
        <v>4684</v>
      </c>
      <c r="G981" s="9">
        <v>1.0</v>
      </c>
      <c r="H981" s="9" t="s">
        <v>4684</v>
      </c>
      <c r="I981" s="9" t="str">
        <f t="shared" si="1"/>
        <v>No</v>
      </c>
      <c r="J981" s="9">
        <f t="shared" si="2"/>
        <v>1</v>
      </c>
      <c r="K981" s="9" t="str">
        <f t="shared" si="3"/>
        <v>OBESITY</v>
      </c>
    </row>
    <row r="982" ht="15.75" customHeight="1">
      <c r="A982" s="9" t="s">
        <v>1963</v>
      </c>
      <c r="B982" s="9">
        <v>34.01</v>
      </c>
      <c r="C982" s="9">
        <v>11.3</v>
      </c>
      <c r="D982" s="9" t="s">
        <v>4684</v>
      </c>
      <c r="E982" s="9" t="s">
        <v>4684</v>
      </c>
      <c r="F982" s="9" t="s">
        <v>4684</v>
      </c>
      <c r="G982" s="9" t="s">
        <v>4685</v>
      </c>
      <c r="H982" s="9" t="s">
        <v>4684</v>
      </c>
      <c r="I982" s="9" t="str">
        <f t="shared" si="1"/>
        <v>No</v>
      </c>
      <c r="J982" s="9">
        <f t="shared" si="2"/>
        <v>0</v>
      </c>
      <c r="K982" s="9" t="str">
        <f t="shared" si="3"/>
        <v>OBESITY</v>
      </c>
    </row>
    <row r="983" ht="15.75" customHeight="1">
      <c r="A983" s="9" t="s">
        <v>1965</v>
      </c>
      <c r="B983" s="9">
        <v>31.54</v>
      </c>
      <c r="C983" s="9">
        <v>6.72</v>
      </c>
      <c r="D983" s="9" t="s">
        <v>4684</v>
      </c>
      <c r="E983" s="9" t="s">
        <v>4684</v>
      </c>
      <c r="F983" s="9" t="s">
        <v>4684</v>
      </c>
      <c r="G983" s="9" t="s">
        <v>4685</v>
      </c>
      <c r="H983" s="9" t="s">
        <v>4684</v>
      </c>
      <c r="I983" s="9" t="str">
        <f t="shared" si="1"/>
        <v>No</v>
      </c>
      <c r="J983" s="9">
        <f t="shared" si="2"/>
        <v>0</v>
      </c>
      <c r="K983" s="9" t="str">
        <f t="shared" si="3"/>
        <v>OBESITY</v>
      </c>
    </row>
    <row r="984" ht="15.75" customHeight="1">
      <c r="A984" s="9" t="s">
        <v>1967</v>
      </c>
      <c r="B984" s="9">
        <v>23.3</v>
      </c>
      <c r="C984" s="9">
        <v>5.36</v>
      </c>
      <c r="D984" s="9" t="s">
        <v>4686</v>
      </c>
      <c r="E984" s="9" t="s">
        <v>4684</v>
      </c>
      <c r="F984" s="9" t="s">
        <v>4684</v>
      </c>
      <c r="G984" s="9">
        <v>1.0</v>
      </c>
      <c r="H984" s="9" t="s">
        <v>4684</v>
      </c>
      <c r="I984" s="9" t="str">
        <f t="shared" si="1"/>
        <v>No</v>
      </c>
      <c r="J984" s="9">
        <f t="shared" si="2"/>
        <v>1</v>
      </c>
      <c r="K984" s="9" t="str">
        <f t="shared" si="3"/>
        <v>NORMAL WEIGHT</v>
      </c>
    </row>
    <row r="985" ht="15.75" customHeight="1">
      <c r="A985" s="9" t="s">
        <v>1969</v>
      </c>
      <c r="B985" s="9">
        <v>27.75</v>
      </c>
      <c r="C985" s="9">
        <v>9.88</v>
      </c>
      <c r="D985" s="9" t="s">
        <v>4684</v>
      </c>
      <c r="E985" s="9" t="s">
        <v>4684</v>
      </c>
      <c r="F985" s="9" t="s">
        <v>4684</v>
      </c>
      <c r="G985" s="9" t="s">
        <v>4685</v>
      </c>
      <c r="H985" s="9" t="s">
        <v>4684</v>
      </c>
      <c r="I985" s="9" t="str">
        <f t="shared" si="1"/>
        <v>No</v>
      </c>
      <c r="J985" s="9">
        <f t="shared" si="2"/>
        <v>0</v>
      </c>
      <c r="K985" s="9" t="str">
        <f t="shared" si="3"/>
        <v>OVERWEIGHT</v>
      </c>
    </row>
    <row r="986" ht="15.75" customHeight="1">
      <c r="A986" s="9" t="s">
        <v>1971</v>
      </c>
      <c r="B986" s="9">
        <v>42.46</v>
      </c>
      <c r="C986" s="9">
        <v>4.11</v>
      </c>
      <c r="D986" s="9" t="s">
        <v>4684</v>
      </c>
      <c r="E986" s="9" t="s">
        <v>4684</v>
      </c>
      <c r="F986" s="9" t="s">
        <v>4684</v>
      </c>
      <c r="G986" s="9" t="s">
        <v>4685</v>
      </c>
      <c r="H986" s="9" t="s">
        <v>4684</v>
      </c>
      <c r="I986" s="9" t="str">
        <f t="shared" si="1"/>
        <v>No</v>
      </c>
      <c r="J986" s="9">
        <f t="shared" si="2"/>
        <v>0</v>
      </c>
      <c r="K986" s="9" t="str">
        <f t="shared" si="3"/>
        <v>OBESITY</v>
      </c>
    </row>
    <row r="987" ht="15.75" customHeight="1">
      <c r="A987" s="9" t="s">
        <v>1973</v>
      </c>
      <c r="B987" s="9">
        <v>54.47</v>
      </c>
      <c r="C987" s="9">
        <v>7.48</v>
      </c>
      <c r="D987" s="9" t="s">
        <v>4684</v>
      </c>
      <c r="E987" s="9" t="s">
        <v>4684</v>
      </c>
      <c r="F987" s="9" t="s">
        <v>4684</v>
      </c>
      <c r="G987" s="9" t="s">
        <v>4685</v>
      </c>
      <c r="H987" s="9" t="s">
        <v>4684</v>
      </c>
      <c r="I987" s="9" t="str">
        <f t="shared" si="1"/>
        <v>No</v>
      </c>
      <c r="J987" s="9">
        <f t="shared" si="2"/>
        <v>0</v>
      </c>
      <c r="K987" s="9" t="str">
        <f t="shared" si="3"/>
        <v>OBESITY</v>
      </c>
    </row>
    <row r="988" ht="15.75" customHeight="1">
      <c r="A988" s="9" t="s">
        <v>1975</v>
      </c>
      <c r="B988" s="9">
        <v>24.93</v>
      </c>
      <c r="C988" s="9">
        <v>9.18</v>
      </c>
      <c r="D988" s="9" t="s">
        <v>4686</v>
      </c>
      <c r="E988" s="9" t="s">
        <v>4684</v>
      </c>
      <c r="F988" s="9" t="s">
        <v>4686</v>
      </c>
      <c r="G988" s="9">
        <v>1.0</v>
      </c>
      <c r="H988" s="9" t="s">
        <v>4684</v>
      </c>
      <c r="I988" s="9" t="str">
        <f t="shared" si="1"/>
        <v>No</v>
      </c>
      <c r="J988" s="9">
        <f t="shared" si="2"/>
        <v>1</v>
      </c>
      <c r="K988" s="9" t="str">
        <f t="shared" si="3"/>
        <v>NORMAL WEIGHT</v>
      </c>
    </row>
    <row r="989" ht="15.75" customHeight="1">
      <c r="A989" s="9" t="s">
        <v>1977</v>
      </c>
      <c r="B989" s="9">
        <v>48.12</v>
      </c>
      <c r="C989" s="9">
        <v>4.51</v>
      </c>
      <c r="D989" s="9" t="s">
        <v>4686</v>
      </c>
      <c r="E989" s="9" t="s">
        <v>4684</v>
      </c>
      <c r="F989" s="9" t="s">
        <v>4684</v>
      </c>
      <c r="G989" s="9">
        <v>1.0</v>
      </c>
      <c r="H989" s="9" t="s">
        <v>4684</v>
      </c>
      <c r="I989" s="9" t="str">
        <f t="shared" si="1"/>
        <v>No</v>
      </c>
      <c r="J989" s="9">
        <f t="shared" si="2"/>
        <v>1</v>
      </c>
      <c r="K989" s="9" t="str">
        <f t="shared" si="3"/>
        <v>OBESITY</v>
      </c>
    </row>
    <row r="990" ht="15.75" customHeight="1">
      <c r="A990" s="9" t="s">
        <v>1979</v>
      </c>
      <c r="B990" s="9">
        <v>24.91</v>
      </c>
      <c r="C990" s="9">
        <v>7.33</v>
      </c>
      <c r="D990" s="9" t="s">
        <v>4686</v>
      </c>
      <c r="E990" s="9" t="s">
        <v>4684</v>
      </c>
      <c r="F990" s="9" t="s">
        <v>4686</v>
      </c>
      <c r="G990" s="9">
        <v>1.0</v>
      </c>
      <c r="H990" s="9" t="s">
        <v>4684</v>
      </c>
      <c r="I990" s="9" t="str">
        <f t="shared" si="1"/>
        <v>No</v>
      </c>
      <c r="J990" s="9">
        <f t="shared" si="2"/>
        <v>1</v>
      </c>
      <c r="K990" s="9" t="str">
        <f t="shared" si="3"/>
        <v>NORMAL WEIGHT</v>
      </c>
    </row>
    <row r="991" ht="15.75" customHeight="1">
      <c r="A991" s="9" t="s">
        <v>1981</v>
      </c>
      <c r="B991" s="9">
        <v>27.645</v>
      </c>
      <c r="C991" s="9">
        <v>10.56</v>
      </c>
      <c r="D991" s="9" t="s">
        <v>4684</v>
      </c>
      <c r="E991" s="9" t="s">
        <v>4684</v>
      </c>
      <c r="F991" s="9" t="s">
        <v>4684</v>
      </c>
      <c r="G991" s="9" t="s">
        <v>4685</v>
      </c>
      <c r="H991" s="9" t="s">
        <v>4684</v>
      </c>
      <c r="I991" s="9" t="str">
        <f t="shared" si="1"/>
        <v>No</v>
      </c>
      <c r="J991" s="9">
        <f t="shared" si="2"/>
        <v>0</v>
      </c>
      <c r="K991" s="9" t="str">
        <f t="shared" si="3"/>
        <v>OVERWEIGHT</v>
      </c>
    </row>
    <row r="992" ht="15.75" customHeight="1">
      <c r="A992" s="9" t="s">
        <v>1983</v>
      </c>
      <c r="B992" s="9">
        <v>33.7</v>
      </c>
      <c r="C992" s="9">
        <v>4.01</v>
      </c>
      <c r="D992" s="9" t="s">
        <v>4684</v>
      </c>
      <c r="E992" s="9" t="s">
        <v>4684</v>
      </c>
      <c r="F992" s="9" t="s">
        <v>4684</v>
      </c>
      <c r="G992" s="9">
        <v>2.0</v>
      </c>
      <c r="H992" s="9" t="s">
        <v>4684</v>
      </c>
      <c r="I992" s="9" t="str">
        <f t="shared" si="1"/>
        <v>No</v>
      </c>
      <c r="J992" s="9">
        <f t="shared" si="2"/>
        <v>2</v>
      </c>
      <c r="K992" s="9" t="str">
        <f t="shared" si="3"/>
        <v>OBESITY</v>
      </c>
    </row>
    <row r="993" ht="15.75" customHeight="1">
      <c r="A993" s="9" t="s">
        <v>1985</v>
      </c>
      <c r="B993" s="9">
        <v>38.93</v>
      </c>
      <c r="C993" s="9">
        <v>5.64</v>
      </c>
      <c r="D993" s="9" t="s">
        <v>4686</v>
      </c>
      <c r="E993" s="9" t="s">
        <v>4684</v>
      </c>
      <c r="F993" s="9" t="s">
        <v>4684</v>
      </c>
      <c r="G993" s="9">
        <v>1.0</v>
      </c>
      <c r="H993" s="9" t="s">
        <v>4684</v>
      </c>
      <c r="I993" s="9" t="str">
        <f t="shared" si="1"/>
        <v>No</v>
      </c>
      <c r="J993" s="9">
        <f t="shared" si="2"/>
        <v>1</v>
      </c>
      <c r="K993" s="9" t="str">
        <f t="shared" si="3"/>
        <v>OBESITY</v>
      </c>
    </row>
    <row r="994" ht="15.75" customHeight="1">
      <c r="A994" s="9" t="s">
        <v>1987</v>
      </c>
      <c r="B994" s="9">
        <v>32.775</v>
      </c>
      <c r="C994" s="9">
        <v>8.02</v>
      </c>
      <c r="D994" s="9" t="s">
        <v>4686</v>
      </c>
      <c r="E994" s="9" t="s">
        <v>4684</v>
      </c>
      <c r="F994" s="9" t="s">
        <v>4684</v>
      </c>
      <c r="G994" s="9">
        <v>2.0</v>
      </c>
      <c r="H994" s="9" t="s">
        <v>4684</v>
      </c>
      <c r="I994" s="9" t="str">
        <f t="shared" si="1"/>
        <v>No</v>
      </c>
      <c r="J994" s="9">
        <f t="shared" si="2"/>
        <v>2</v>
      </c>
      <c r="K994" s="9" t="str">
        <f t="shared" si="3"/>
        <v>OBESITY</v>
      </c>
    </row>
    <row r="995" ht="15.75" customHeight="1">
      <c r="A995" s="9" t="s">
        <v>1989</v>
      </c>
      <c r="B995" s="9">
        <v>29.83</v>
      </c>
      <c r="C995" s="9">
        <v>7.2</v>
      </c>
      <c r="D995" s="9" t="s">
        <v>4686</v>
      </c>
      <c r="E995" s="9" t="s">
        <v>4684</v>
      </c>
      <c r="F995" s="9" t="s">
        <v>4684</v>
      </c>
      <c r="G995" s="9" t="s">
        <v>4685</v>
      </c>
      <c r="H995" s="9" t="s">
        <v>4684</v>
      </c>
      <c r="I995" s="9" t="str">
        <f t="shared" si="1"/>
        <v>No</v>
      </c>
      <c r="J995" s="9">
        <f t="shared" si="2"/>
        <v>0</v>
      </c>
      <c r="K995" s="9" t="str">
        <f t="shared" si="3"/>
        <v>OVERWEIGHT</v>
      </c>
    </row>
    <row r="996" ht="15.75" customHeight="1">
      <c r="A996" s="9" t="s">
        <v>1991</v>
      </c>
      <c r="B996" s="9">
        <v>28.31</v>
      </c>
      <c r="C996" s="9">
        <v>4.55</v>
      </c>
      <c r="D996" s="9" t="s">
        <v>4684</v>
      </c>
      <c r="E996" s="9" t="s">
        <v>4686</v>
      </c>
      <c r="F996" s="9" t="s">
        <v>4684</v>
      </c>
      <c r="G996" s="9">
        <v>1.0</v>
      </c>
      <c r="H996" s="9" t="s">
        <v>4684</v>
      </c>
      <c r="I996" s="9" t="str">
        <f t="shared" si="1"/>
        <v>No</v>
      </c>
      <c r="J996" s="9">
        <f t="shared" si="2"/>
        <v>1</v>
      </c>
      <c r="K996" s="9" t="str">
        <f t="shared" si="3"/>
        <v>OVERWEIGHT</v>
      </c>
    </row>
    <row r="997" ht="15.75" customHeight="1">
      <c r="A997" s="9" t="s">
        <v>1993</v>
      </c>
      <c r="B997" s="9">
        <v>29.79</v>
      </c>
      <c r="C997" s="9">
        <v>9.03</v>
      </c>
      <c r="D997" s="9" t="s">
        <v>4684</v>
      </c>
      <c r="E997" s="9" t="s">
        <v>4684</v>
      </c>
      <c r="F997" s="9" t="s">
        <v>4684</v>
      </c>
      <c r="G997" s="9" t="s">
        <v>4685</v>
      </c>
      <c r="H997" s="9" t="s">
        <v>4684</v>
      </c>
      <c r="I997" s="9" t="str">
        <f t="shared" si="1"/>
        <v>No</v>
      </c>
      <c r="J997" s="9">
        <f t="shared" si="2"/>
        <v>0</v>
      </c>
      <c r="K997" s="9" t="str">
        <f t="shared" si="3"/>
        <v>OVERWEIGHT</v>
      </c>
    </row>
    <row r="998" ht="15.75" customHeight="1">
      <c r="A998" s="9" t="s">
        <v>1995</v>
      </c>
      <c r="B998" s="9">
        <v>36.6</v>
      </c>
      <c r="C998" s="9">
        <v>5.2</v>
      </c>
      <c r="D998" s="9" t="s">
        <v>4686</v>
      </c>
      <c r="E998" s="9" t="s">
        <v>4684</v>
      </c>
      <c r="F998" s="9" t="s">
        <v>4686</v>
      </c>
      <c r="G998" s="9">
        <v>1.0</v>
      </c>
      <c r="H998" s="9" t="s">
        <v>4684</v>
      </c>
      <c r="I998" s="9" t="str">
        <f t="shared" si="1"/>
        <v>No</v>
      </c>
      <c r="J998" s="9">
        <f t="shared" si="2"/>
        <v>1</v>
      </c>
      <c r="K998" s="9" t="str">
        <f t="shared" si="3"/>
        <v>OBESITY</v>
      </c>
    </row>
    <row r="999" ht="15.75" customHeight="1">
      <c r="A999" s="9" t="s">
        <v>1997</v>
      </c>
      <c r="B999" s="9">
        <v>35.93</v>
      </c>
      <c r="C999" s="9">
        <v>8.3</v>
      </c>
      <c r="D999" s="9" t="s">
        <v>4686</v>
      </c>
      <c r="E999" s="9" t="s">
        <v>4684</v>
      </c>
      <c r="F999" s="9" t="s">
        <v>4684</v>
      </c>
      <c r="G999" s="9" t="s">
        <v>4685</v>
      </c>
      <c r="H999" s="9" t="s">
        <v>4684</v>
      </c>
      <c r="I999" s="9" t="str">
        <f t="shared" si="1"/>
        <v>No</v>
      </c>
      <c r="J999" s="9">
        <f t="shared" si="2"/>
        <v>0</v>
      </c>
      <c r="K999" s="9" t="str">
        <f t="shared" si="3"/>
        <v>OBESITY</v>
      </c>
    </row>
    <row r="1000" ht="15.75" customHeight="1">
      <c r="A1000" s="9" t="s">
        <v>1999</v>
      </c>
      <c r="B1000" s="9">
        <v>28.6</v>
      </c>
      <c r="C1000" s="9">
        <v>5.56</v>
      </c>
      <c r="D1000" s="9" t="s">
        <v>4686</v>
      </c>
      <c r="E1000" s="9" t="s">
        <v>4684</v>
      </c>
      <c r="F1000" s="9" t="s">
        <v>4686</v>
      </c>
      <c r="G1000" s="9">
        <v>1.0</v>
      </c>
      <c r="H1000" s="9" t="s">
        <v>4684</v>
      </c>
      <c r="I1000" s="9" t="str">
        <f t="shared" si="1"/>
        <v>No</v>
      </c>
      <c r="J1000" s="9">
        <f t="shared" si="2"/>
        <v>1</v>
      </c>
      <c r="K1000" s="9" t="str">
        <f t="shared" si="3"/>
        <v>OVERWEIGHT</v>
      </c>
    </row>
    <row r="1001" ht="15.75" customHeight="1">
      <c r="A1001" s="9" t="s">
        <v>2001</v>
      </c>
      <c r="B1001" s="9">
        <v>39.17</v>
      </c>
      <c r="C1001" s="9">
        <v>4.15</v>
      </c>
      <c r="D1001" s="9" t="s">
        <v>4684</v>
      </c>
      <c r="E1001" s="9" t="s">
        <v>4684</v>
      </c>
      <c r="F1001" s="9" t="s">
        <v>4684</v>
      </c>
      <c r="G1001" s="9" t="s">
        <v>4685</v>
      </c>
      <c r="H1001" s="9" t="s">
        <v>4684</v>
      </c>
      <c r="I1001" s="9" t="str">
        <f t="shared" si="1"/>
        <v>No</v>
      </c>
      <c r="J1001" s="9">
        <f t="shared" si="2"/>
        <v>0</v>
      </c>
      <c r="K1001" s="9" t="str">
        <f t="shared" si="3"/>
        <v>OBESITY</v>
      </c>
    </row>
    <row r="1002" ht="15.75" customHeight="1">
      <c r="A1002" s="9" t="s">
        <v>2003</v>
      </c>
      <c r="B1002" s="9">
        <v>26.41</v>
      </c>
      <c r="C1002" s="9">
        <v>5.99</v>
      </c>
      <c r="D1002" s="9" t="s">
        <v>4686</v>
      </c>
      <c r="E1002" s="9" t="s">
        <v>4684</v>
      </c>
      <c r="F1002" s="9" t="s">
        <v>4686</v>
      </c>
      <c r="G1002" s="9">
        <v>1.0</v>
      </c>
      <c r="H1002" s="9" t="s">
        <v>4684</v>
      </c>
      <c r="I1002" s="9" t="str">
        <f t="shared" si="1"/>
        <v>No</v>
      </c>
      <c r="J1002" s="9">
        <f t="shared" si="2"/>
        <v>1</v>
      </c>
      <c r="K1002" s="9" t="str">
        <f t="shared" si="3"/>
        <v>OVERWEIGHT</v>
      </c>
    </row>
    <row r="1003" ht="15.75" customHeight="1">
      <c r="A1003" s="9" t="s">
        <v>2005</v>
      </c>
      <c r="B1003" s="9">
        <v>30.63</v>
      </c>
      <c r="C1003" s="9">
        <v>5.8</v>
      </c>
      <c r="D1003" s="9" t="s">
        <v>4686</v>
      </c>
      <c r="E1003" s="9" t="s">
        <v>4684</v>
      </c>
      <c r="F1003" s="9" t="s">
        <v>4684</v>
      </c>
      <c r="G1003" s="9" t="s">
        <v>4685</v>
      </c>
      <c r="H1003" s="9" t="s">
        <v>4684</v>
      </c>
      <c r="I1003" s="9" t="str">
        <f t="shared" si="1"/>
        <v>No</v>
      </c>
      <c r="J1003" s="9">
        <f t="shared" si="2"/>
        <v>0</v>
      </c>
      <c r="K1003" s="9" t="str">
        <f t="shared" si="3"/>
        <v>OBESITY</v>
      </c>
    </row>
    <row r="1004" ht="15.75" customHeight="1">
      <c r="A1004" s="9" t="s">
        <v>2007</v>
      </c>
      <c r="B1004" s="9">
        <v>31.73</v>
      </c>
      <c r="C1004" s="9">
        <v>7.32</v>
      </c>
      <c r="D1004" s="9" t="s">
        <v>4686</v>
      </c>
      <c r="E1004" s="9" t="s">
        <v>4684</v>
      </c>
      <c r="F1004" s="9" t="s">
        <v>4684</v>
      </c>
      <c r="G1004" s="9">
        <v>2.0</v>
      </c>
      <c r="H1004" s="9" t="s">
        <v>4684</v>
      </c>
      <c r="I1004" s="9" t="str">
        <f t="shared" si="1"/>
        <v>No</v>
      </c>
      <c r="J1004" s="9">
        <f t="shared" si="2"/>
        <v>2</v>
      </c>
      <c r="K1004" s="9" t="str">
        <f t="shared" si="3"/>
        <v>OBESITY</v>
      </c>
    </row>
    <row r="1005" ht="15.75" customHeight="1">
      <c r="A1005" s="9" t="s">
        <v>2009</v>
      </c>
      <c r="B1005" s="9">
        <v>30.7</v>
      </c>
      <c r="C1005" s="9">
        <v>5.16</v>
      </c>
      <c r="D1005" s="9" t="s">
        <v>4684</v>
      </c>
      <c r="E1005" s="9" t="s">
        <v>4684</v>
      </c>
      <c r="F1005" s="9" t="s">
        <v>4684</v>
      </c>
      <c r="G1005" s="9">
        <v>2.0</v>
      </c>
      <c r="H1005" s="9" t="s">
        <v>4684</v>
      </c>
      <c r="I1005" s="9" t="str">
        <f t="shared" si="1"/>
        <v>No</v>
      </c>
      <c r="J1005" s="9">
        <f t="shared" si="2"/>
        <v>2</v>
      </c>
      <c r="K1005" s="9" t="str">
        <f t="shared" si="3"/>
        <v>OBESITY</v>
      </c>
    </row>
    <row r="1006" ht="15.75" customHeight="1">
      <c r="A1006" s="9" t="s">
        <v>2011</v>
      </c>
      <c r="B1006" s="9">
        <v>25.935</v>
      </c>
      <c r="C1006" s="9">
        <v>5.96</v>
      </c>
      <c r="D1006" s="9" t="s">
        <v>4686</v>
      </c>
      <c r="E1006" s="9" t="s">
        <v>4684</v>
      </c>
      <c r="F1006" s="9" t="s">
        <v>4684</v>
      </c>
      <c r="G1006" s="9">
        <v>2.0</v>
      </c>
      <c r="H1006" s="9" t="s">
        <v>4684</v>
      </c>
      <c r="I1006" s="9" t="str">
        <f t="shared" si="1"/>
        <v>No</v>
      </c>
      <c r="J1006" s="9">
        <f t="shared" si="2"/>
        <v>2</v>
      </c>
      <c r="K1006" s="9" t="str">
        <f t="shared" si="3"/>
        <v>OVERWEIGHT</v>
      </c>
    </row>
    <row r="1007" ht="15.75" customHeight="1">
      <c r="A1007" s="9" t="s">
        <v>2013</v>
      </c>
      <c r="B1007" s="9">
        <v>35.9</v>
      </c>
      <c r="C1007" s="9">
        <v>4.85</v>
      </c>
      <c r="D1007" s="9" t="s">
        <v>4686</v>
      </c>
      <c r="E1007" s="9" t="s">
        <v>4684</v>
      </c>
      <c r="F1007" s="9" t="s">
        <v>4686</v>
      </c>
      <c r="G1007" s="9">
        <v>1.0</v>
      </c>
      <c r="H1007" s="9" t="s">
        <v>4684</v>
      </c>
      <c r="I1007" s="9" t="str">
        <f t="shared" si="1"/>
        <v>No</v>
      </c>
      <c r="J1007" s="9">
        <f t="shared" si="2"/>
        <v>1</v>
      </c>
      <c r="K1007" s="9" t="str">
        <f t="shared" si="3"/>
        <v>OBESITY</v>
      </c>
    </row>
    <row r="1008" ht="15.75" customHeight="1">
      <c r="A1008" s="9" t="s">
        <v>2015</v>
      </c>
      <c r="B1008" s="9">
        <v>26.7</v>
      </c>
      <c r="C1008" s="9">
        <v>5.09</v>
      </c>
      <c r="D1008" s="9" t="s">
        <v>4686</v>
      </c>
      <c r="E1008" s="9" t="s">
        <v>4684</v>
      </c>
      <c r="F1008" s="9" t="s">
        <v>4686</v>
      </c>
      <c r="G1008" s="9">
        <v>1.0</v>
      </c>
      <c r="H1008" s="9" t="s">
        <v>4684</v>
      </c>
      <c r="I1008" s="9" t="str">
        <f t="shared" si="1"/>
        <v>No</v>
      </c>
      <c r="J1008" s="9">
        <f t="shared" si="2"/>
        <v>1</v>
      </c>
      <c r="K1008" s="9" t="str">
        <f t="shared" si="3"/>
        <v>OVERWEIGHT</v>
      </c>
    </row>
    <row r="1009" ht="15.75" customHeight="1">
      <c r="A1009" s="9" t="s">
        <v>2017</v>
      </c>
      <c r="B1009" s="9">
        <v>33.71</v>
      </c>
      <c r="C1009" s="9">
        <v>4.94</v>
      </c>
      <c r="D1009" s="9" t="s">
        <v>4684</v>
      </c>
      <c r="E1009" s="9" t="s">
        <v>4684</v>
      </c>
      <c r="F1009" s="9" t="s">
        <v>4684</v>
      </c>
      <c r="G1009" s="9" t="s">
        <v>4685</v>
      </c>
      <c r="H1009" s="9" t="s">
        <v>4684</v>
      </c>
      <c r="I1009" s="9" t="str">
        <f t="shared" si="1"/>
        <v>No</v>
      </c>
      <c r="J1009" s="9">
        <f t="shared" si="2"/>
        <v>0</v>
      </c>
      <c r="K1009" s="9" t="str">
        <f t="shared" si="3"/>
        <v>OBESITY</v>
      </c>
    </row>
    <row r="1010" ht="15.75" customHeight="1">
      <c r="A1010" s="9" t="s">
        <v>2019</v>
      </c>
      <c r="B1010" s="9">
        <v>41.91</v>
      </c>
      <c r="C1010" s="9">
        <v>4.92</v>
      </c>
      <c r="D1010" s="9" t="s">
        <v>4686</v>
      </c>
      <c r="E1010" s="9" t="s">
        <v>4684</v>
      </c>
      <c r="F1010" s="9" t="s">
        <v>4684</v>
      </c>
      <c r="G1010" s="9">
        <v>2.0</v>
      </c>
      <c r="H1010" s="9" t="s">
        <v>4684</v>
      </c>
      <c r="I1010" s="9" t="str">
        <f t="shared" si="1"/>
        <v>No</v>
      </c>
      <c r="J1010" s="9">
        <f t="shared" si="2"/>
        <v>2</v>
      </c>
      <c r="K1010" s="9" t="str">
        <f t="shared" si="3"/>
        <v>OBESITY</v>
      </c>
    </row>
    <row r="1011" ht="15.75" customHeight="1">
      <c r="A1011" s="9" t="s">
        <v>2021</v>
      </c>
      <c r="B1011" s="9">
        <v>39.82</v>
      </c>
      <c r="C1011" s="9">
        <v>6.05</v>
      </c>
      <c r="D1011" s="9" t="s">
        <v>4686</v>
      </c>
      <c r="E1011" s="9" t="s">
        <v>4684</v>
      </c>
      <c r="F1011" s="9" t="s">
        <v>4684</v>
      </c>
      <c r="G1011" s="9">
        <v>2.0</v>
      </c>
      <c r="H1011" s="9" t="s">
        <v>4684</v>
      </c>
      <c r="I1011" s="9" t="str">
        <f t="shared" si="1"/>
        <v>No</v>
      </c>
      <c r="J1011" s="9">
        <f t="shared" si="2"/>
        <v>2</v>
      </c>
      <c r="K1011" s="9" t="str">
        <f t="shared" si="3"/>
        <v>OBESITY</v>
      </c>
    </row>
    <row r="1012" ht="15.75" customHeight="1">
      <c r="A1012" s="9" t="s">
        <v>2023</v>
      </c>
      <c r="B1012" s="9">
        <v>28.12</v>
      </c>
      <c r="C1012" s="9">
        <v>4.67</v>
      </c>
      <c r="D1012" s="9" t="s">
        <v>4684</v>
      </c>
      <c r="E1012" s="9" t="s">
        <v>4684</v>
      </c>
      <c r="F1012" s="9" t="s">
        <v>4684</v>
      </c>
      <c r="G1012" s="9">
        <v>2.0</v>
      </c>
      <c r="H1012" s="9" t="s">
        <v>4684</v>
      </c>
      <c r="I1012" s="9" t="str">
        <f t="shared" si="1"/>
        <v>No</v>
      </c>
      <c r="J1012" s="9">
        <f t="shared" si="2"/>
        <v>2</v>
      </c>
      <c r="K1012" s="9" t="str">
        <f t="shared" si="3"/>
        <v>OVERWEIGHT</v>
      </c>
    </row>
    <row r="1013" ht="15.75" customHeight="1">
      <c r="A1013" s="9" t="s">
        <v>2025</v>
      </c>
      <c r="B1013" s="9">
        <v>26.98</v>
      </c>
      <c r="C1013" s="9">
        <v>9.81</v>
      </c>
      <c r="D1013" s="9" t="s">
        <v>4686</v>
      </c>
      <c r="E1013" s="9" t="s">
        <v>4684</v>
      </c>
      <c r="F1013" s="9" t="s">
        <v>4684</v>
      </c>
      <c r="G1013" s="9" t="s">
        <v>4685</v>
      </c>
      <c r="H1013" s="9" t="s">
        <v>4684</v>
      </c>
      <c r="I1013" s="9" t="str">
        <f t="shared" si="1"/>
        <v>No</v>
      </c>
      <c r="J1013" s="9">
        <f t="shared" si="2"/>
        <v>0</v>
      </c>
      <c r="K1013" s="9" t="str">
        <f t="shared" si="3"/>
        <v>OVERWEIGHT</v>
      </c>
    </row>
    <row r="1014" ht="15.75" customHeight="1">
      <c r="A1014" s="9" t="s">
        <v>2027</v>
      </c>
      <c r="B1014" s="9">
        <v>27.2</v>
      </c>
      <c r="C1014" s="9">
        <v>6.06</v>
      </c>
      <c r="D1014" s="9" t="s">
        <v>4686</v>
      </c>
      <c r="E1014" s="9" t="s">
        <v>4684</v>
      </c>
      <c r="F1014" s="9" t="s">
        <v>4684</v>
      </c>
      <c r="G1014" s="9">
        <v>2.0</v>
      </c>
      <c r="H1014" s="9" t="s">
        <v>4684</v>
      </c>
      <c r="I1014" s="9" t="str">
        <f t="shared" si="1"/>
        <v>No</v>
      </c>
      <c r="J1014" s="9">
        <f t="shared" si="2"/>
        <v>2</v>
      </c>
      <c r="K1014" s="9" t="str">
        <f t="shared" si="3"/>
        <v>OVERWEIGHT</v>
      </c>
    </row>
    <row r="1015" ht="15.75" customHeight="1">
      <c r="A1015" s="9" t="s">
        <v>2029</v>
      </c>
      <c r="B1015" s="9">
        <v>25.3</v>
      </c>
      <c r="C1015" s="9">
        <v>5.19</v>
      </c>
      <c r="D1015" s="9" t="s">
        <v>4686</v>
      </c>
      <c r="E1015" s="9" t="s">
        <v>4684</v>
      </c>
      <c r="F1015" s="9" t="s">
        <v>4684</v>
      </c>
      <c r="G1015" s="9">
        <v>2.0</v>
      </c>
      <c r="H1015" s="9" t="s">
        <v>4684</v>
      </c>
      <c r="I1015" s="9" t="str">
        <f t="shared" si="1"/>
        <v>No</v>
      </c>
      <c r="J1015" s="9">
        <f t="shared" si="2"/>
        <v>2</v>
      </c>
      <c r="K1015" s="9" t="str">
        <f t="shared" si="3"/>
        <v>OVERWEIGHT</v>
      </c>
    </row>
    <row r="1016" ht="15.75" customHeight="1">
      <c r="A1016" s="9" t="s">
        <v>2031</v>
      </c>
      <c r="B1016" s="9">
        <v>30.25</v>
      </c>
      <c r="C1016" s="9">
        <v>10.16</v>
      </c>
      <c r="D1016" s="9" t="s">
        <v>4684</v>
      </c>
      <c r="E1016" s="9" t="s">
        <v>4684</v>
      </c>
      <c r="F1016" s="9" t="s">
        <v>4684</v>
      </c>
      <c r="G1016" s="9" t="s">
        <v>4685</v>
      </c>
      <c r="H1016" s="9" t="s">
        <v>4684</v>
      </c>
      <c r="I1016" s="9" t="str">
        <f t="shared" si="1"/>
        <v>No</v>
      </c>
      <c r="J1016" s="9">
        <f t="shared" si="2"/>
        <v>0</v>
      </c>
      <c r="K1016" s="9" t="str">
        <f t="shared" si="3"/>
        <v>OBESITY</v>
      </c>
    </row>
    <row r="1017" ht="15.75" customHeight="1">
      <c r="A1017" s="9" t="s">
        <v>2033</v>
      </c>
      <c r="B1017" s="9">
        <v>54.0</v>
      </c>
      <c r="C1017" s="9">
        <v>4.68</v>
      </c>
      <c r="D1017" s="9" t="s">
        <v>4686</v>
      </c>
      <c r="E1017" s="9" t="s">
        <v>4686</v>
      </c>
      <c r="F1017" s="9" t="s">
        <v>4684</v>
      </c>
      <c r="G1017" s="9">
        <v>2.0</v>
      </c>
      <c r="H1017" s="9" t="s">
        <v>4684</v>
      </c>
      <c r="I1017" s="9" t="str">
        <f t="shared" si="1"/>
        <v>No</v>
      </c>
      <c r="J1017" s="9">
        <f t="shared" si="2"/>
        <v>2</v>
      </c>
      <c r="K1017" s="9" t="str">
        <f t="shared" si="3"/>
        <v>OBESITY</v>
      </c>
    </row>
    <row r="1018" ht="15.75" customHeight="1">
      <c r="A1018" s="9" t="s">
        <v>2035</v>
      </c>
      <c r="B1018" s="9">
        <v>51.86</v>
      </c>
      <c r="C1018" s="9">
        <v>5.32</v>
      </c>
      <c r="D1018" s="9" t="s">
        <v>4686</v>
      </c>
      <c r="E1018" s="9" t="s">
        <v>4684</v>
      </c>
      <c r="F1018" s="9" t="s">
        <v>4684</v>
      </c>
      <c r="G1018" s="9" t="s">
        <v>4685</v>
      </c>
      <c r="H1018" s="9" t="s">
        <v>4684</v>
      </c>
      <c r="I1018" s="9" t="str">
        <f t="shared" si="1"/>
        <v>No</v>
      </c>
      <c r="J1018" s="9">
        <f t="shared" si="2"/>
        <v>0</v>
      </c>
      <c r="K1018" s="9" t="str">
        <f t="shared" si="3"/>
        <v>OBESITY</v>
      </c>
    </row>
    <row r="1019" ht="15.75" customHeight="1">
      <c r="A1019" s="9" t="s">
        <v>2037</v>
      </c>
      <c r="B1019" s="9">
        <v>31.39</v>
      </c>
      <c r="C1019" s="9">
        <v>6.99</v>
      </c>
      <c r="D1019" s="9" t="s">
        <v>4684</v>
      </c>
      <c r="E1019" s="9" t="s">
        <v>4684</v>
      </c>
      <c r="F1019" s="9" t="s">
        <v>4684</v>
      </c>
      <c r="G1019" s="9" t="s">
        <v>4685</v>
      </c>
      <c r="H1019" s="9" t="s">
        <v>4684</v>
      </c>
      <c r="I1019" s="9" t="str">
        <f t="shared" si="1"/>
        <v>No</v>
      </c>
      <c r="J1019" s="9">
        <f t="shared" si="2"/>
        <v>0</v>
      </c>
      <c r="K1019" s="9" t="str">
        <f t="shared" si="3"/>
        <v>OBESITY</v>
      </c>
    </row>
    <row r="1020" ht="15.75" customHeight="1">
      <c r="A1020" s="9" t="s">
        <v>2039</v>
      </c>
      <c r="B1020" s="9">
        <v>39.97</v>
      </c>
      <c r="C1020" s="9">
        <v>5.55</v>
      </c>
      <c r="D1020" s="9" t="s">
        <v>4684</v>
      </c>
      <c r="E1020" s="9" t="s">
        <v>4684</v>
      </c>
      <c r="F1020" s="9" t="s">
        <v>4684</v>
      </c>
      <c r="G1020" s="9" t="s">
        <v>4685</v>
      </c>
      <c r="H1020" s="9" t="s">
        <v>4684</v>
      </c>
      <c r="I1020" s="9" t="str">
        <f t="shared" si="1"/>
        <v>No</v>
      </c>
      <c r="J1020" s="9">
        <f t="shared" si="2"/>
        <v>0</v>
      </c>
      <c r="K1020" s="9" t="str">
        <f t="shared" si="3"/>
        <v>OBESITY</v>
      </c>
    </row>
    <row r="1021" ht="15.75" customHeight="1">
      <c r="A1021" s="9" t="s">
        <v>2041</v>
      </c>
      <c r="B1021" s="9">
        <v>41.23</v>
      </c>
      <c r="C1021" s="9">
        <v>6.94</v>
      </c>
      <c r="D1021" s="9" t="s">
        <v>4684</v>
      </c>
      <c r="E1021" s="9" t="s">
        <v>4684</v>
      </c>
      <c r="F1021" s="9" t="s">
        <v>4684</v>
      </c>
      <c r="G1021" s="9" t="s">
        <v>4685</v>
      </c>
      <c r="H1021" s="9" t="s">
        <v>4684</v>
      </c>
      <c r="I1021" s="9" t="str">
        <f t="shared" si="1"/>
        <v>No</v>
      </c>
      <c r="J1021" s="9">
        <f t="shared" si="2"/>
        <v>0</v>
      </c>
      <c r="K1021" s="9" t="str">
        <f t="shared" si="3"/>
        <v>OBESITY</v>
      </c>
    </row>
    <row r="1022" ht="15.75" customHeight="1">
      <c r="A1022" s="9" t="s">
        <v>2043</v>
      </c>
      <c r="B1022" s="9">
        <v>49.45</v>
      </c>
      <c r="C1022" s="9">
        <v>4.2</v>
      </c>
      <c r="D1022" s="9" t="s">
        <v>4686</v>
      </c>
      <c r="E1022" s="9" t="s">
        <v>4684</v>
      </c>
      <c r="F1022" s="9" t="s">
        <v>4684</v>
      </c>
      <c r="G1022" s="9" t="s">
        <v>4685</v>
      </c>
      <c r="H1022" s="9" t="s">
        <v>4684</v>
      </c>
      <c r="I1022" s="9" t="str">
        <f t="shared" si="1"/>
        <v>No</v>
      </c>
      <c r="J1022" s="9">
        <f t="shared" si="2"/>
        <v>0</v>
      </c>
      <c r="K1022" s="9" t="str">
        <f t="shared" si="3"/>
        <v>OBESITY</v>
      </c>
    </row>
    <row r="1023" ht="15.75" customHeight="1">
      <c r="A1023" s="9" t="s">
        <v>2045</v>
      </c>
      <c r="B1023" s="9">
        <v>41.04</v>
      </c>
      <c r="C1023" s="9">
        <v>5.59</v>
      </c>
      <c r="D1023" s="9" t="s">
        <v>4684</v>
      </c>
      <c r="E1023" s="9" t="s">
        <v>4684</v>
      </c>
      <c r="F1023" s="9" t="s">
        <v>4684</v>
      </c>
      <c r="G1023" s="9" t="s">
        <v>4685</v>
      </c>
      <c r="H1023" s="9" t="s">
        <v>4684</v>
      </c>
      <c r="I1023" s="9" t="str">
        <f t="shared" si="1"/>
        <v>No</v>
      </c>
      <c r="J1023" s="9">
        <f t="shared" si="2"/>
        <v>0</v>
      </c>
      <c r="K1023" s="9" t="str">
        <f t="shared" si="3"/>
        <v>OBESITY</v>
      </c>
    </row>
    <row r="1024" ht="15.75" customHeight="1">
      <c r="A1024" s="9" t="s">
        <v>2047</v>
      </c>
      <c r="B1024" s="9">
        <v>27.93</v>
      </c>
      <c r="C1024" s="9">
        <v>9.96</v>
      </c>
      <c r="D1024" s="9" t="s">
        <v>4684</v>
      </c>
      <c r="E1024" s="9" t="s">
        <v>4684</v>
      </c>
      <c r="F1024" s="9" t="s">
        <v>4684</v>
      </c>
      <c r="G1024" s="9" t="s">
        <v>4685</v>
      </c>
      <c r="H1024" s="9" t="s">
        <v>4684</v>
      </c>
      <c r="I1024" s="9" t="str">
        <f t="shared" si="1"/>
        <v>No</v>
      </c>
      <c r="J1024" s="9">
        <f t="shared" si="2"/>
        <v>0</v>
      </c>
      <c r="K1024" s="9" t="str">
        <f t="shared" si="3"/>
        <v>OVERWEIGHT</v>
      </c>
    </row>
    <row r="1025" ht="15.75" customHeight="1">
      <c r="A1025" s="9" t="s">
        <v>2049</v>
      </c>
      <c r="B1025" s="9">
        <v>21.01</v>
      </c>
      <c r="C1025" s="9">
        <v>7.37</v>
      </c>
      <c r="D1025" s="9" t="s">
        <v>4684</v>
      </c>
      <c r="E1025" s="9" t="s">
        <v>4684</v>
      </c>
      <c r="F1025" s="9" t="s">
        <v>4684</v>
      </c>
      <c r="G1025" s="9" t="s">
        <v>4685</v>
      </c>
      <c r="H1025" s="9" t="s">
        <v>4684</v>
      </c>
      <c r="I1025" s="9" t="str">
        <f t="shared" si="1"/>
        <v>No</v>
      </c>
      <c r="J1025" s="9">
        <f t="shared" si="2"/>
        <v>0</v>
      </c>
      <c r="K1025" s="9" t="str">
        <f t="shared" si="3"/>
        <v>NORMAL WEIGHT</v>
      </c>
    </row>
    <row r="1026" ht="15.75" customHeight="1">
      <c r="A1026" s="9" t="s">
        <v>2051</v>
      </c>
      <c r="B1026" s="9">
        <v>52.37</v>
      </c>
      <c r="C1026" s="9">
        <v>5.06</v>
      </c>
      <c r="D1026" s="9" t="s">
        <v>4686</v>
      </c>
      <c r="E1026" s="9" t="s">
        <v>4686</v>
      </c>
      <c r="F1026" s="9" t="s">
        <v>4684</v>
      </c>
      <c r="G1026" s="9">
        <v>2.0</v>
      </c>
      <c r="H1026" s="9" t="s">
        <v>4684</v>
      </c>
      <c r="I1026" s="9" t="str">
        <f t="shared" si="1"/>
        <v>No</v>
      </c>
      <c r="J1026" s="9">
        <f t="shared" si="2"/>
        <v>2</v>
      </c>
      <c r="K1026" s="9" t="str">
        <f t="shared" si="3"/>
        <v>OBESITY</v>
      </c>
    </row>
    <row r="1027" ht="15.75" customHeight="1">
      <c r="A1027" s="9" t="s">
        <v>2053</v>
      </c>
      <c r="B1027" s="9">
        <v>40.37</v>
      </c>
      <c r="C1027" s="9">
        <v>8.21</v>
      </c>
      <c r="D1027" s="9" t="s">
        <v>4684</v>
      </c>
      <c r="E1027" s="9" t="s">
        <v>4684</v>
      </c>
      <c r="F1027" s="9" t="s">
        <v>4684</v>
      </c>
      <c r="G1027" s="9" t="s">
        <v>4685</v>
      </c>
      <c r="H1027" s="9" t="s">
        <v>4684</v>
      </c>
      <c r="I1027" s="9" t="str">
        <f t="shared" si="1"/>
        <v>No</v>
      </c>
      <c r="J1027" s="9">
        <f t="shared" si="2"/>
        <v>0</v>
      </c>
      <c r="K1027" s="9" t="str">
        <f t="shared" si="3"/>
        <v>OBESITY</v>
      </c>
    </row>
    <row r="1028" ht="15.75" customHeight="1">
      <c r="A1028" s="9" t="s">
        <v>2055</v>
      </c>
      <c r="B1028" s="9">
        <v>41.47</v>
      </c>
      <c r="C1028" s="9">
        <v>10.34</v>
      </c>
      <c r="D1028" s="9" t="s">
        <v>4684</v>
      </c>
      <c r="E1028" s="9" t="s">
        <v>4684</v>
      </c>
      <c r="F1028" s="9" t="s">
        <v>4684</v>
      </c>
      <c r="G1028" s="9">
        <v>2.0</v>
      </c>
      <c r="H1028" s="9" t="s">
        <v>4684</v>
      </c>
      <c r="I1028" s="9" t="str">
        <f t="shared" si="1"/>
        <v>No</v>
      </c>
      <c r="J1028" s="9">
        <f t="shared" si="2"/>
        <v>2</v>
      </c>
      <c r="K1028" s="9" t="str">
        <f t="shared" si="3"/>
        <v>OBESITY</v>
      </c>
    </row>
    <row r="1029" ht="15.75" customHeight="1">
      <c r="A1029" s="9" t="s">
        <v>2057</v>
      </c>
      <c r="B1029" s="9">
        <v>33.725</v>
      </c>
      <c r="C1029" s="9">
        <v>5.51</v>
      </c>
      <c r="D1029" s="9" t="s">
        <v>4686</v>
      </c>
      <c r="E1029" s="9" t="s">
        <v>4684</v>
      </c>
      <c r="F1029" s="9" t="s">
        <v>4684</v>
      </c>
      <c r="G1029" s="9">
        <v>2.0</v>
      </c>
      <c r="H1029" s="9" t="s">
        <v>4684</v>
      </c>
      <c r="I1029" s="9" t="str">
        <f t="shared" si="1"/>
        <v>No</v>
      </c>
      <c r="J1029" s="9">
        <f t="shared" si="2"/>
        <v>2</v>
      </c>
      <c r="K1029" s="9" t="str">
        <f t="shared" si="3"/>
        <v>OBESITY</v>
      </c>
    </row>
    <row r="1030" ht="15.75" customHeight="1">
      <c r="A1030" s="9" t="s">
        <v>2059</v>
      </c>
      <c r="B1030" s="9">
        <v>28.1</v>
      </c>
      <c r="C1030" s="9">
        <v>11.2</v>
      </c>
      <c r="D1030" s="9" t="s">
        <v>4684</v>
      </c>
      <c r="E1030" s="9" t="s">
        <v>4684</v>
      </c>
      <c r="F1030" s="9" t="s">
        <v>4684</v>
      </c>
      <c r="G1030" s="9" t="s">
        <v>4685</v>
      </c>
      <c r="H1030" s="9" t="s">
        <v>4684</v>
      </c>
      <c r="I1030" s="9" t="str">
        <f t="shared" si="1"/>
        <v>No</v>
      </c>
      <c r="J1030" s="9">
        <f t="shared" si="2"/>
        <v>0</v>
      </c>
      <c r="K1030" s="9" t="str">
        <f t="shared" si="3"/>
        <v>OVERWEIGHT</v>
      </c>
    </row>
    <row r="1031" ht="15.75" customHeight="1">
      <c r="A1031" s="9" t="s">
        <v>2061</v>
      </c>
      <c r="B1031" s="9">
        <v>37.43</v>
      </c>
      <c r="C1031" s="9">
        <v>4.35</v>
      </c>
      <c r="D1031" s="9" t="s">
        <v>4686</v>
      </c>
      <c r="E1031" s="9" t="s">
        <v>4684</v>
      </c>
      <c r="F1031" s="9" t="s">
        <v>4686</v>
      </c>
      <c r="G1031" s="9">
        <v>1.0</v>
      </c>
      <c r="H1031" s="9" t="s">
        <v>4684</v>
      </c>
      <c r="I1031" s="9" t="str">
        <f t="shared" si="1"/>
        <v>No</v>
      </c>
      <c r="J1031" s="9">
        <f t="shared" si="2"/>
        <v>1</v>
      </c>
      <c r="K1031" s="9" t="str">
        <f t="shared" si="3"/>
        <v>OBESITY</v>
      </c>
    </row>
    <row r="1032" ht="15.75" customHeight="1">
      <c r="A1032" s="9" t="s">
        <v>2063</v>
      </c>
      <c r="B1032" s="9">
        <v>23.7</v>
      </c>
      <c r="C1032" s="9">
        <v>10.45</v>
      </c>
      <c r="D1032" s="9" t="s">
        <v>4684</v>
      </c>
      <c r="E1032" s="9" t="s">
        <v>4684</v>
      </c>
      <c r="F1032" s="9" t="s">
        <v>4684</v>
      </c>
      <c r="G1032" s="9" t="s">
        <v>4685</v>
      </c>
      <c r="H1032" s="9" t="s">
        <v>4684</v>
      </c>
      <c r="I1032" s="9" t="str">
        <f t="shared" si="1"/>
        <v>No</v>
      </c>
      <c r="J1032" s="9">
        <f t="shared" si="2"/>
        <v>0</v>
      </c>
      <c r="K1032" s="9" t="str">
        <f t="shared" si="3"/>
        <v>NORMAL WEIGHT</v>
      </c>
    </row>
    <row r="1033" ht="15.75" customHeight="1">
      <c r="A1033" s="9" t="s">
        <v>2065</v>
      </c>
      <c r="B1033" s="9">
        <v>24.795</v>
      </c>
      <c r="C1033" s="9">
        <v>4.07</v>
      </c>
      <c r="D1033" s="9" t="s">
        <v>4686</v>
      </c>
      <c r="E1033" s="9" t="s">
        <v>4684</v>
      </c>
      <c r="F1033" s="9" t="s">
        <v>4686</v>
      </c>
      <c r="G1033" s="9">
        <v>1.0</v>
      </c>
      <c r="H1033" s="9" t="s">
        <v>4684</v>
      </c>
      <c r="I1033" s="9" t="str">
        <f t="shared" si="1"/>
        <v>No</v>
      </c>
      <c r="J1033" s="9">
        <f t="shared" si="2"/>
        <v>1</v>
      </c>
      <c r="K1033" s="9" t="str">
        <f t="shared" si="3"/>
        <v>NORMAL WEIGHT</v>
      </c>
    </row>
    <row r="1034" ht="15.75" customHeight="1">
      <c r="A1034" s="9" t="s">
        <v>2067</v>
      </c>
      <c r="B1034" s="9">
        <v>31.9</v>
      </c>
      <c r="C1034" s="9">
        <v>8.34</v>
      </c>
      <c r="D1034" s="9" t="s">
        <v>4684</v>
      </c>
      <c r="E1034" s="9" t="s">
        <v>4684</v>
      </c>
      <c r="F1034" s="9" t="s">
        <v>4684</v>
      </c>
      <c r="G1034" s="9" t="s">
        <v>4685</v>
      </c>
      <c r="H1034" s="9" t="s">
        <v>4684</v>
      </c>
      <c r="I1034" s="9" t="str">
        <f t="shared" si="1"/>
        <v>No</v>
      </c>
      <c r="J1034" s="9">
        <f t="shared" si="2"/>
        <v>0</v>
      </c>
      <c r="K1034" s="9" t="str">
        <f t="shared" si="3"/>
        <v>OBESITY</v>
      </c>
    </row>
    <row r="1035" ht="15.75" customHeight="1">
      <c r="A1035" s="9" t="s">
        <v>2069</v>
      </c>
      <c r="B1035" s="9">
        <v>32.68</v>
      </c>
      <c r="C1035" s="9">
        <v>7.41</v>
      </c>
      <c r="D1035" s="9" t="s">
        <v>4684</v>
      </c>
      <c r="E1035" s="9" t="s">
        <v>4684</v>
      </c>
      <c r="F1035" s="9" t="s">
        <v>4684</v>
      </c>
      <c r="G1035" s="9" t="s">
        <v>4685</v>
      </c>
      <c r="H1035" s="9" t="s">
        <v>4684</v>
      </c>
      <c r="I1035" s="9" t="str">
        <f t="shared" si="1"/>
        <v>No</v>
      </c>
      <c r="J1035" s="9">
        <f t="shared" si="2"/>
        <v>0</v>
      </c>
      <c r="K1035" s="9" t="str">
        <f t="shared" si="3"/>
        <v>OBESITY</v>
      </c>
    </row>
    <row r="1036" ht="15.75" customHeight="1">
      <c r="A1036" s="9" t="s">
        <v>2071</v>
      </c>
      <c r="B1036" s="9">
        <v>47.13</v>
      </c>
      <c r="C1036" s="9">
        <v>4.31</v>
      </c>
      <c r="D1036" s="9" t="s">
        <v>4684</v>
      </c>
      <c r="E1036" s="9" t="s">
        <v>4684</v>
      </c>
      <c r="F1036" s="9" t="s">
        <v>4684</v>
      </c>
      <c r="G1036" s="9" t="s">
        <v>4685</v>
      </c>
      <c r="H1036" s="9" t="s">
        <v>4684</v>
      </c>
      <c r="I1036" s="9" t="str">
        <f t="shared" si="1"/>
        <v>No</v>
      </c>
      <c r="J1036" s="9">
        <f t="shared" si="2"/>
        <v>0</v>
      </c>
      <c r="K1036" s="9" t="str">
        <f t="shared" si="3"/>
        <v>OBESITY</v>
      </c>
    </row>
    <row r="1037" ht="15.75" customHeight="1">
      <c r="A1037" s="9" t="s">
        <v>2073</v>
      </c>
      <c r="B1037" s="9">
        <v>36.67</v>
      </c>
      <c r="C1037" s="9">
        <v>10.83</v>
      </c>
      <c r="D1037" s="9" t="s">
        <v>4684</v>
      </c>
      <c r="E1037" s="9" t="s">
        <v>4684</v>
      </c>
      <c r="F1037" s="9" t="s">
        <v>4684</v>
      </c>
      <c r="G1037" s="9" t="s">
        <v>4685</v>
      </c>
      <c r="H1037" s="9" t="s">
        <v>4684</v>
      </c>
      <c r="I1037" s="9" t="str">
        <f t="shared" si="1"/>
        <v>No</v>
      </c>
      <c r="J1037" s="9">
        <f t="shared" si="2"/>
        <v>0</v>
      </c>
      <c r="K1037" s="9" t="str">
        <f t="shared" si="3"/>
        <v>OBESITY</v>
      </c>
    </row>
    <row r="1038" ht="15.75" customHeight="1">
      <c r="A1038" s="9" t="s">
        <v>2075</v>
      </c>
      <c r="B1038" s="9">
        <v>33.63</v>
      </c>
      <c r="C1038" s="9">
        <v>11.31</v>
      </c>
      <c r="D1038" s="9" t="s">
        <v>4684</v>
      </c>
      <c r="E1038" s="9" t="s">
        <v>4684</v>
      </c>
      <c r="F1038" s="9" t="s">
        <v>4684</v>
      </c>
      <c r="G1038" s="9" t="s">
        <v>4685</v>
      </c>
      <c r="H1038" s="9" t="s">
        <v>4684</v>
      </c>
      <c r="I1038" s="9" t="str">
        <f t="shared" si="1"/>
        <v>No</v>
      </c>
      <c r="J1038" s="9">
        <f t="shared" si="2"/>
        <v>0</v>
      </c>
      <c r="K1038" s="9" t="str">
        <f t="shared" si="3"/>
        <v>OBESITY</v>
      </c>
    </row>
    <row r="1039" ht="15.75" customHeight="1">
      <c r="A1039" s="9" t="s">
        <v>2077</v>
      </c>
      <c r="B1039" s="9">
        <v>32.67</v>
      </c>
      <c r="C1039" s="9">
        <v>11.81</v>
      </c>
      <c r="D1039" s="9" t="s">
        <v>4686</v>
      </c>
      <c r="E1039" s="9" t="s">
        <v>4684</v>
      </c>
      <c r="F1039" s="9" t="s">
        <v>4684</v>
      </c>
      <c r="G1039" s="9" t="s">
        <v>4685</v>
      </c>
      <c r="H1039" s="9" t="s">
        <v>4684</v>
      </c>
      <c r="I1039" s="9" t="str">
        <f t="shared" si="1"/>
        <v>No</v>
      </c>
      <c r="J1039" s="9">
        <f t="shared" si="2"/>
        <v>0</v>
      </c>
      <c r="K1039" s="9" t="str">
        <f t="shared" si="3"/>
        <v>OBESITY</v>
      </c>
    </row>
    <row r="1040" ht="15.75" customHeight="1">
      <c r="A1040" s="9" t="s">
        <v>2079</v>
      </c>
      <c r="B1040" s="9">
        <v>33.3</v>
      </c>
      <c r="C1040" s="9">
        <v>8.26</v>
      </c>
      <c r="D1040" s="9" t="s">
        <v>4686</v>
      </c>
      <c r="E1040" s="9" t="s">
        <v>4684</v>
      </c>
      <c r="F1040" s="9" t="s">
        <v>4684</v>
      </c>
      <c r="G1040" s="9">
        <v>2.0</v>
      </c>
      <c r="H1040" s="9" t="s">
        <v>4684</v>
      </c>
      <c r="I1040" s="9" t="str">
        <f t="shared" si="1"/>
        <v>No</v>
      </c>
      <c r="J1040" s="9">
        <f t="shared" si="2"/>
        <v>2</v>
      </c>
      <c r="K1040" s="9" t="str">
        <f t="shared" si="3"/>
        <v>OBESITY</v>
      </c>
    </row>
    <row r="1041" ht="15.75" customHeight="1">
      <c r="A1041" s="9" t="s">
        <v>2081</v>
      </c>
      <c r="B1041" s="9">
        <v>30.78</v>
      </c>
      <c r="C1041" s="9">
        <v>10.74</v>
      </c>
      <c r="D1041" s="9" t="s">
        <v>4686</v>
      </c>
      <c r="E1041" s="9" t="s">
        <v>4684</v>
      </c>
      <c r="F1041" s="9" t="s">
        <v>4684</v>
      </c>
      <c r="G1041" s="9">
        <v>2.0</v>
      </c>
      <c r="H1041" s="9" t="s">
        <v>4684</v>
      </c>
      <c r="I1041" s="9" t="str">
        <f t="shared" si="1"/>
        <v>No</v>
      </c>
      <c r="J1041" s="9">
        <f t="shared" si="2"/>
        <v>2</v>
      </c>
      <c r="K1041" s="9" t="str">
        <f t="shared" si="3"/>
        <v>OBESITY</v>
      </c>
    </row>
    <row r="1042" ht="15.75" customHeight="1">
      <c r="A1042" s="9" t="s">
        <v>2083</v>
      </c>
      <c r="B1042" s="9">
        <v>28.975</v>
      </c>
      <c r="C1042" s="9">
        <v>7.69</v>
      </c>
      <c r="D1042" s="9" t="s">
        <v>4686</v>
      </c>
      <c r="E1042" s="9" t="s">
        <v>4684</v>
      </c>
      <c r="F1042" s="9" t="s">
        <v>4684</v>
      </c>
      <c r="G1042" s="9" t="s">
        <v>4685</v>
      </c>
      <c r="H1042" s="9" t="s">
        <v>4684</v>
      </c>
      <c r="I1042" s="9" t="str">
        <f t="shared" si="1"/>
        <v>No</v>
      </c>
      <c r="J1042" s="9">
        <f t="shared" si="2"/>
        <v>0</v>
      </c>
      <c r="K1042" s="9" t="str">
        <f t="shared" si="3"/>
        <v>OVERWEIGHT</v>
      </c>
    </row>
    <row r="1043" ht="15.75" customHeight="1">
      <c r="A1043" s="9" t="s">
        <v>2085</v>
      </c>
      <c r="B1043" s="9">
        <v>33.4</v>
      </c>
      <c r="C1043" s="9">
        <v>4.84</v>
      </c>
      <c r="D1043" s="9" t="s">
        <v>4684</v>
      </c>
      <c r="E1043" s="9" t="s">
        <v>4684</v>
      </c>
      <c r="F1043" s="9" t="s">
        <v>4684</v>
      </c>
      <c r="G1043" s="9" t="s">
        <v>4685</v>
      </c>
      <c r="H1043" s="9" t="s">
        <v>4684</v>
      </c>
      <c r="I1043" s="9" t="str">
        <f t="shared" si="1"/>
        <v>No</v>
      </c>
      <c r="J1043" s="9">
        <f t="shared" si="2"/>
        <v>0</v>
      </c>
      <c r="K1043" s="9" t="str">
        <f t="shared" si="3"/>
        <v>OBESITY</v>
      </c>
    </row>
    <row r="1044" ht="15.75" customHeight="1">
      <c r="A1044" s="9" t="s">
        <v>2087</v>
      </c>
      <c r="B1044" s="9">
        <v>21.5</v>
      </c>
      <c r="C1044" s="9">
        <v>9.77</v>
      </c>
      <c r="D1044" s="9" t="s">
        <v>4686</v>
      </c>
      <c r="E1044" s="9" t="s">
        <v>4684</v>
      </c>
      <c r="F1044" s="9" t="s">
        <v>4684</v>
      </c>
      <c r="G1044" s="9" t="s">
        <v>4685</v>
      </c>
      <c r="H1044" s="9" t="s">
        <v>4684</v>
      </c>
      <c r="I1044" s="9" t="str">
        <f t="shared" si="1"/>
        <v>No</v>
      </c>
      <c r="J1044" s="9">
        <f t="shared" si="2"/>
        <v>0</v>
      </c>
      <c r="K1044" s="9" t="str">
        <f t="shared" si="3"/>
        <v>NORMAL WEIGHT</v>
      </c>
    </row>
    <row r="1045" ht="15.75" customHeight="1">
      <c r="A1045" s="9" t="s">
        <v>2089</v>
      </c>
      <c r="B1045" s="9">
        <v>38.14</v>
      </c>
      <c r="C1045" s="9">
        <v>5.84</v>
      </c>
      <c r="D1045" s="9" t="s">
        <v>4684</v>
      </c>
      <c r="E1045" s="9" t="s">
        <v>4684</v>
      </c>
      <c r="F1045" s="9" t="s">
        <v>4684</v>
      </c>
      <c r="G1045" s="9" t="s">
        <v>4685</v>
      </c>
      <c r="H1045" s="9" t="s">
        <v>4684</v>
      </c>
      <c r="I1045" s="9" t="str">
        <f t="shared" si="1"/>
        <v>No</v>
      </c>
      <c r="J1045" s="9">
        <f t="shared" si="2"/>
        <v>0</v>
      </c>
      <c r="K1045" s="9" t="str">
        <f t="shared" si="3"/>
        <v>OBESITY</v>
      </c>
    </row>
    <row r="1046" ht="15.75" customHeight="1">
      <c r="A1046" s="9" t="s">
        <v>2091</v>
      </c>
      <c r="B1046" s="9">
        <v>35.42</v>
      </c>
      <c r="C1046" s="9">
        <v>8.7</v>
      </c>
      <c r="D1046" s="9" t="s">
        <v>4686</v>
      </c>
      <c r="E1046" s="9" t="s">
        <v>4684</v>
      </c>
      <c r="F1046" s="9" t="s">
        <v>4684</v>
      </c>
      <c r="G1046" s="9">
        <v>1.0</v>
      </c>
      <c r="H1046" s="9" t="s">
        <v>4684</v>
      </c>
      <c r="I1046" s="9" t="str">
        <f t="shared" si="1"/>
        <v>No</v>
      </c>
      <c r="J1046" s="9">
        <f t="shared" si="2"/>
        <v>1</v>
      </c>
      <c r="K1046" s="9" t="str">
        <f t="shared" si="3"/>
        <v>OBESITY</v>
      </c>
    </row>
    <row r="1047" ht="15.75" customHeight="1">
      <c r="A1047" s="9" t="s">
        <v>2093</v>
      </c>
      <c r="B1047" s="9">
        <v>35.625</v>
      </c>
      <c r="C1047" s="9">
        <v>10.79</v>
      </c>
      <c r="D1047" s="9" t="s">
        <v>4684</v>
      </c>
      <c r="E1047" s="9" t="s">
        <v>4684</v>
      </c>
      <c r="F1047" s="9" t="s">
        <v>4684</v>
      </c>
      <c r="G1047" s="9" t="s">
        <v>4685</v>
      </c>
      <c r="H1047" s="9" t="s">
        <v>4684</v>
      </c>
      <c r="I1047" s="9" t="str">
        <f t="shared" si="1"/>
        <v>No</v>
      </c>
      <c r="J1047" s="9">
        <f t="shared" si="2"/>
        <v>0</v>
      </c>
      <c r="K1047" s="9" t="str">
        <f t="shared" si="3"/>
        <v>OBESITY</v>
      </c>
    </row>
    <row r="1048" ht="15.75" customHeight="1">
      <c r="A1048" s="9" t="s">
        <v>2095</v>
      </c>
      <c r="B1048" s="9">
        <v>45.51</v>
      </c>
      <c r="C1048" s="9">
        <v>4.32</v>
      </c>
      <c r="D1048" s="9" t="s">
        <v>4684</v>
      </c>
      <c r="E1048" s="9" t="s">
        <v>4684</v>
      </c>
      <c r="F1048" s="9" t="s">
        <v>4684</v>
      </c>
      <c r="G1048" s="9">
        <v>1.0</v>
      </c>
      <c r="H1048" s="9" t="s">
        <v>4684</v>
      </c>
      <c r="I1048" s="9" t="str">
        <f t="shared" si="1"/>
        <v>No</v>
      </c>
      <c r="J1048" s="9">
        <f t="shared" si="2"/>
        <v>1</v>
      </c>
      <c r="K1048" s="9" t="str">
        <f t="shared" si="3"/>
        <v>OBESITY</v>
      </c>
    </row>
    <row r="1049" ht="15.75" customHeight="1">
      <c r="A1049" s="9" t="s">
        <v>2097</v>
      </c>
      <c r="B1049" s="9">
        <v>37.1</v>
      </c>
      <c r="C1049" s="9">
        <v>7.19</v>
      </c>
      <c r="D1049" s="9" t="s">
        <v>4686</v>
      </c>
      <c r="E1049" s="9" t="s">
        <v>4684</v>
      </c>
      <c r="F1049" s="9" t="s">
        <v>4684</v>
      </c>
      <c r="G1049" s="9" t="s">
        <v>4685</v>
      </c>
      <c r="H1049" s="9" t="s">
        <v>4684</v>
      </c>
      <c r="I1049" s="9" t="str">
        <f t="shared" si="1"/>
        <v>No</v>
      </c>
      <c r="J1049" s="9">
        <f t="shared" si="2"/>
        <v>0</v>
      </c>
      <c r="K1049" s="9" t="str">
        <f t="shared" si="3"/>
        <v>OBESITY</v>
      </c>
    </row>
    <row r="1050" ht="15.75" customHeight="1">
      <c r="A1050" s="9" t="s">
        <v>2099</v>
      </c>
      <c r="B1050" s="9">
        <v>30.5</v>
      </c>
      <c r="C1050" s="9">
        <v>11.94</v>
      </c>
      <c r="D1050" s="9" t="s">
        <v>4686</v>
      </c>
      <c r="E1050" s="9" t="s">
        <v>4684</v>
      </c>
      <c r="F1050" s="9" t="s">
        <v>4684</v>
      </c>
      <c r="G1050" s="9" t="s">
        <v>4685</v>
      </c>
      <c r="H1050" s="9" t="s">
        <v>4684</v>
      </c>
      <c r="I1050" s="9" t="str">
        <f t="shared" si="1"/>
        <v>No</v>
      </c>
      <c r="J1050" s="9">
        <f t="shared" si="2"/>
        <v>0</v>
      </c>
      <c r="K1050" s="9" t="str">
        <f t="shared" si="3"/>
        <v>OBESITY</v>
      </c>
    </row>
    <row r="1051" ht="15.75" customHeight="1">
      <c r="A1051" s="9" t="s">
        <v>2101</v>
      </c>
      <c r="B1051" s="9">
        <v>28.16</v>
      </c>
      <c r="C1051" s="9">
        <v>5.56</v>
      </c>
      <c r="D1051" s="9" t="s">
        <v>4684</v>
      </c>
      <c r="E1051" s="9" t="s">
        <v>4684</v>
      </c>
      <c r="F1051" s="9" t="s">
        <v>4684</v>
      </c>
      <c r="G1051" s="9">
        <v>2.0</v>
      </c>
      <c r="H1051" s="9" t="s">
        <v>4684</v>
      </c>
      <c r="I1051" s="9" t="str">
        <f t="shared" si="1"/>
        <v>No</v>
      </c>
      <c r="J1051" s="9">
        <f t="shared" si="2"/>
        <v>2</v>
      </c>
      <c r="K1051" s="9" t="str">
        <f t="shared" si="3"/>
        <v>OVERWEIGHT</v>
      </c>
    </row>
    <row r="1052" ht="15.75" customHeight="1">
      <c r="A1052" s="9" t="s">
        <v>2103</v>
      </c>
      <c r="B1052" s="9">
        <v>29.1</v>
      </c>
      <c r="C1052" s="9">
        <v>5.64</v>
      </c>
      <c r="D1052" s="9" t="s">
        <v>4686</v>
      </c>
      <c r="E1052" s="9" t="s">
        <v>4684</v>
      </c>
      <c r="F1052" s="9" t="s">
        <v>4684</v>
      </c>
      <c r="G1052" s="9" t="s">
        <v>4685</v>
      </c>
      <c r="H1052" s="9" t="s">
        <v>4684</v>
      </c>
      <c r="I1052" s="9" t="str">
        <f t="shared" si="1"/>
        <v>No</v>
      </c>
      <c r="J1052" s="9">
        <f t="shared" si="2"/>
        <v>0</v>
      </c>
      <c r="K1052" s="9" t="str">
        <f t="shared" si="3"/>
        <v>OVERWEIGHT</v>
      </c>
    </row>
    <row r="1053" ht="15.75" customHeight="1">
      <c r="A1053" s="9" t="s">
        <v>2105</v>
      </c>
      <c r="B1053" s="9">
        <v>30.22</v>
      </c>
      <c r="C1053" s="9">
        <v>4.65</v>
      </c>
      <c r="D1053" s="9" t="s">
        <v>4684</v>
      </c>
      <c r="E1053" s="9" t="s">
        <v>4684</v>
      </c>
      <c r="F1053" s="9" t="s">
        <v>4684</v>
      </c>
      <c r="G1053" s="9" t="s">
        <v>4685</v>
      </c>
      <c r="H1053" s="9" t="s">
        <v>4684</v>
      </c>
      <c r="I1053" s="9" t="str">
        <f t="shared" si="1"/>
        <v>No</v>
      </c>
      <c r="J1053" s="9">
        <f t="shared" si="2"/>
        <v>0</v>
      </c>
      <c r="K1053" s="9" t="str">
        <f t="shared" si="3"/>
        <v>OBESITY</v>
      </c>
    </row>
    <row r="1054" ht="15.75" customHeight="1">
      <c r="A1054" s="9" t="s">
        <v>2107</v>
      </c>
      <c r="B1054" s="9">
        <v>24.29</v>
      </c>
      <c r="C1054" s="9">
        <v>9.05</v>
      </c>
      <c r="D1054" s="9" t="s">
        <v>4684</v>
      </c>
      <c r="E1054" s="9" t="s">
        <v>4684</v>
      </c>
      <c r="F1054" s="9" t="s">
        <v>4684</v>
      </c>
      <c r="G1054" s="9" t="s">
        <v>4685</v>
      </c>
      <c r="H1054" s="9" t="s">
        <v>4684</v>
      </c>
      <c r="I1054" s="9" t="str">
        <f t="shared" si="1"/>
        <v>No</v>
      </c>
      <c r="J1054" s="9">
        <f t="shared" si="2"/>
        <v>0</v>
      </c>
      <c r="K1054" s="9" t="str">
        <f t="shared" si="3"/>
        <v>NORMAL WEIGHT</v>
      </c>
    </row>
    <row r="1055" ht="15.75" customHeight="1">
      <c r="A1055" s="9" t="s">
        <v>2109</v>
      </c>
      <c r="B1055" s="9">
        <v>29.39</v>
      </c>
      <c r="C1055" s="9">
        <v>4.52</v>
      </c>
      <c r="D1055" s="9" t="s">
        <v>4686</v>
      </c>
      <c r="E1055" s="9" t="s">
        <v>4684</v>
      </c>
      <c r="F1055" s="9" t="s">
        <v>4684</v>
      </c>
      <c r="G1055" s="9" t="s">
        <v>4685</v>
      </c>
      <c r="H1055" s="9" t="s">
        <v>4684</v>
      </c>
      <c r="I1055" s="9" t="str">
        <f t="shared" si="1"/>
        <v>No</v>
      </c>
      <c r="J1055" s="9">
        <f t="shared" si="2"/>
        <v>0</v>
      </c>
      <c r="K1055" s="9" t="str">
        <f t="shared" si="3"/>
        <v>OVERWEIGHT</v>
      </c>
    </row>
    <row r="1056" ht="15.75" customHeight="1">
      <c r="A1056" s="9" t="s">
        <v>2111</v>
      </c>
      <c r="B1056" s="9">
        <v>25.66</v>
      </c>
      <c r="C1056" s="9">
        <v>4.62</v>
      </c>
      <c r="D1056" s="9" t="s">
        <v>4686</v>
      </c>
      <c r="E1056" s="9" t="s">
        <v>4684</v>
      </c>
      <c r="F1056" s="9" t="s">
        <v>4684</v>
      </c>
      <c r="G1056" s="9">
        <v>1.0</v>
      </c>
      <c r="H1056" s="9" t="s">
        <v>4684</v>
      </c>
      <c r="I1056" s="9" t="str">
        <f t="shared" si="1"/>
        <v>No</v>
      </c>
      <c r="J1056" s="9">
        <f t="shared" si="2"/>
        <v>1</v>
      </c>
      <c r="K1056" s="9" t="str">
        <f t="shared" si="3"/>
        <v>OVERWEIGHT</v>
      </c>
    </row>
    <row r="1057" ht="15.75" customHeight="1">
      <c r="A1057" s="9" t="s">
        <v>2113</v>
      </c>
      <c r="B1057" s="9">
        <v>39.11</v>
      </c>
      <c r="C1057" s="9">
        <v>5.87</v>
      </c>
      <c r="D1057" s="9" t="s">
        <v>4684</v>
      </c>
      <c r="E1057" s="9" t="s">
        <v>4684</v>
      </c>
      <c r="F1057" s="9" t="s">
        <v>4684</v>
      </c>
      <c r="G1057" s="9" t="s">
        <v>4685</v>
      </c>
      <c r="H1057" s="9" t="s">
        <v>4684</v>
      </c>
      <c r="I1057" s="9" t="str">
        <f t="shared" si="1"/>
        <v>No</v>
      </c>
      <c r="J1057" s="9">
        <f t="shared" si="2"/>
        <v>0</v>
      </c>
      <c r="K1057" s="9" t="str">
        <f t="shared" si="3"/>
        <v>OBESITY</v>
      </c>
    </row>
    <row r="1058" ht="15.75" customHeight="1">
      <c r="A1058" s="9" t="s">
        <v>2115</v>
      </c>
      <c r="B1058" s="9">
        <v>43.78</v>
      </c>
      <c r="C1058" s="9">
        <v>5.71</v>
      </c>
      <c r="D1058" s="9" t="s">
        <v>4684</v>
      </c>
      <c r="E1058" s="9" t="s">
        <v>4684</v>
      </c>
      <c r="F1058" s="9" t="s">
        <v>4684</v>
      </c>
      <c r="G1058" s="9">
        <v>1.0</v>
      </c>
      <c r="H1058" s="9" t="s">
        <v>4684</v>
      </c>
      <c r="I1058" s="9" t="str">
        <f t="shared" si="1"/>
        <v>No</v>
      </c>
      <c r="J1058" s="9">
        <f t="shared" si="2"/>
        <v>1</v>
      </c>
      <c r="K1058" s="9" t="str">
        <f t="shared" si="3"/>
        <v>OBESITY</v>
      </c>
    </row>
    <row r="1059" ht="15.75" customHeight="1">
      <c r="A1059" s="9" t="s">
        <v>2117</v>
      </c>
      <c r="B1059" s="9">
        <v>24.35</v>
      </c>
      <c r="C1059" s="9">
        <v>9.08</v>
      </c>
      <c r="D1059" s="9" t="s">
        <v>4684</v>
      </c>
      <c r="E1059" s="9" t="s">
        <v>4684</v>
      </c>
      <c r="F1059" s="9" t="s">
        <v>4684</v>
      </c>
      <c r="G1059" s="9" t="s">
        <v>4685</v>
      </c>
      <c r="H1059" s="9" t="s">
        <v>4684</v>
      </c>
      <c r="I1059" s="9" t="str">
        <f t="shared" si="1"/>
        <v>No</v>
      </c>
      <c r="J1059" s="9">
        <f t="shared" si="2"/>
        <v>0</v>
      </c>
      <c r="K1059" s="9" t="str">
        <f t="shared" si="3"/>
        <v>NORMAL WEIGHT</v>
      </c>
    </row>
    <row r="1060" ht="15.75" customHeight="1">
      <c r="A1060" s="9" t="s">
        <v>2119</v>
      </c>
      <c r="B1060" s="9">
        <v>40.3</v>
      </c>
      <c r="C1060" s="9">
        <v>5.3</v>
      </c>
      <c r="D1060" s="9" t="s">
        <v>4686</v>
      </c>
      <c r="E1060" s="9" t="s">
        <v>4684</v>
      </c>
      <c r="F1060" s="9" t="s">
        <v>4684</v>
      </c>
      <c r="G1060" s="9">
        <v>2.0</v>
      </c>
      <c r="H1060" s="9" t="s">
        <v>4684</v>
      </c>
      <c r="I1060" s="9" t="str">
        <f t="shared" si="1"/>
        <v>No</v>
      </c>
      <c r="J1060" s="9">
        <f t="shared" si="2"/>
        <v>2</v>
      </c>
      <c r="K1060" s="9" t="str">
        <f t="shared" si="3"/>
        <v>OBESITY</v>
      </c>
    </row>
    <row r="1061" ht="15.75" customHeight="1">
      <c r="A1061" s="9" t="s">
        <v>2121</v>
      </c>
      <c r="B1061" s="9">
        <v>32.775</v>
      </c>
      <c r="C1061" s="9">
        <v>11.76</v>
      </c>
      <c r="D1061" s="9" t="s">
        <v>4686</v>
      </c>
      <c r="E1061" s="9" t="s">
        <v>4684</v>
      </c>
      <c r="F1061" s="9" t="s">
        <v>4684</v>
      </c>
      <c r="G1061" s="9" t="s">
        <v>4685</v>
      </c>
      <c r="H1061" s="9" t="s">
        <v>4684</v>
      </c>
      <c r="I1061" s="9" t="str">
        <f t="shared" si="1"/>
        <v>No</v>
      </c>
      <c r="J1061" s="9">
        <f t="shared" si="2"/>
        <v>0</v>
      </c>
      <c r="K1061" s="9" t="str">
        <f t="shared" si="3"/>
        <v>OBESITY</v>
      </c>
    </row>
    <row r="1062" ht="15.75" customHeight="1">
      <c r="A1062" s="9" t="s">
        <v>2123</v>
      </c>
      <c r="B1062" s="9">
        <v>39.6</v>
      </c>
      <c r="C1062" s="9">
        <v>5.11</v>
      </c>
      <c r="D1062" s="9" t="s">
        <v>4686</v>
      </c>
      <c r="E1062" s="9" t="s">
        <v>4684</v>
      </c>
      <c r="F1062" s="9" t="s">
        <v>4684</v>
      </c>
      <c r="G1062" s="9">
        <v>2.0</v>
      </c>
      <c r="H1062" s="9" t="s">
        <v>4684</v>
      </c>
      <c r="I1062" s="9" t="str">
        <f t="shared" si="1"/>
        <v>No</v>
      </c>
      <c r="J1062" s="9">
        <f t="shared" si="2"/>
        <v>2</v>
      </c>
      <c r="K1062" s="9" t="str">
        <f t="shared" si="3"/>
        <v>OBESITY</v>
      </c>
    </row>
    <row r="1063" ht="15.75" customHeight="1">
      <c r="A1063" s="9" t="s">
        <v>2125</v>
      </c>
      <c r="B1063" s="9">
        <v>30.97</v>
      </c>
      <c r="C1063" s="9">
        <v>5.54</v>
      </c>
      <c r="D1063" s="9" t="s">
        <v>4684</v>
      </c>
      <c r="E1063" s="9" t="s">
        <v>4684</v>
      </c>
      <c r="F1063" s="9" t="s">
        <v>4684</v>
      </c>
      <c r="G1063" s="9">
        <v>2.0</v>
      </c>
      <c r="H1063" s="9" t="s">
        <v>4684</v>
      </c>
      <c r="I1063" s="9" t="str">
        <f t="shared" si="1"/>
        <v>No</v>
      </c>
      <c r="J1063" s="9">
        <f t="shared" si="2"/>
        <v>2</v>
      </c>
      <c r="K1063" s="9" t="str">
        <f t="shared" si="3"/>
        <v>OBESITY</v>
      </c>
    </row>
    <row r="1064" ht="15.75" customHeight="1">
      <c r="A1064" s="9" t="s">
        <v>2127</v>
      </c>
      <c r="B1064" s="9">
        <v>27.645</v>
      </c>
      <c r="C1064" s="9">
        <v>8.87</v>
      </c>
      <c r="D1064" s="9" t="s">
        <v>4686</v>
      </c>
      <c r="E1064" s="9" t="s">
        <v>4684</v>
      </c>
      <c r="F1064" s="9" t="s">
        <v>4684</v>
      </c>
      <c r="G1064" s="9" t="s">
        <v>4685</v>
      </c>
      <c r="H1064" s="9" t="s">
        <v>4684</v>
      </c>
      <c r="I1064" s="9" t="str">
        <f t="shared" si="1"/>
        <v>No</v>
      </c>
      <c r="J1064" s="9">
        <f t="shared" si="2"/>
        <v>0</v>
      </c>
      <c r="K1064" s="9" t="str">
        <f t="shared" si="3"/>
        <v>OVERWEIGHT</v>
      </c>
    </row>
    <row r="1065" ht="15.75" customHeight="1">
      <c r="A1065" s="9" t="s">
        <v>2129</v>
      </c>
      <c r="B1065" s="9">
        <v>34.43</v>
      </c>
      <c r="C1065" s="9">
        <v>5.96</v>
      </c>
      <c r="D1065" s="9" t="s">
        <v>4686</v>
      </c>
      <c r="E1065" s="9" t="s">
        <v>4684</v>
      </c>
      <c r="F1065" s="9" t="s">
        <v>4684</v>
      </c>
      <c r="G1065" s="9">
        <v>2.0</v>
      </c>
      <c r="H1065" s="9" t="s">
        <v>4684</v>
      </c>
      <c r="I1065" s="9" t="str">
        <f t="shared" si="1"/>
        <v>No</v>
      </c>
      <c r="J1065" s="9">
        <f t="shared" si="2"/>
        <v>2</v>
      </c>
      <c r="K1065" s="9" t="str">
        <f t="shared" si="3"/>
        <v>OBESITY</v>
      </c>
    </row>
    <row r="1066" ht="15.75" customHeight="1">
      <c r="A1066" s="9" t="s">
        <v>2131</v>
      </c>
      <c r="B1066" s="9">
        <v>39.6</v>
      </c>
      <c r="C1066" s="9">
        <v>4.44</v>
      </c>
      <c r="D1066" s="9" t="s">
        <v>4686</v>
      </c>
      <c r="E1066" s="9" t="s">
        <v>4684</v>
      </c>
      <c r="F1066" s="9" t="s">
        <v>4686</v>
      </c>
      <c r="G1066" s="9">
        <v>1.0</v>
      </c>
      <c r="H1066" s="9" t="s">
        <v>4684</v>
      </c>
      <c r="I1066" s="9" t="str">
        <f t="shared" si="1"/>
        <v>No</v>
      </c>
      <c r="J1066" s="9">
        <f t="shared" si="2"/>
        <v>1</v>
      </c>
      <c r="K1066" s="9" t="str">
        <f t="shared" si="3"/>
        <v>OBESITY</v>
      </c>
    </row>
    <row r="1067" ht="15.75" customHeight="1">
      <c r="A1067" s="9" t="s">
        <v>2133</v>
      </c>
      <c r="B1067" s="9">
        <v>22.1</v>
      </c>
      <c r="C1067" s="9">
        <v>4.65</v>
      </c>
      <c r="D1067" s="9" t="s">
        <v>4686</v>
      </c>
      <c r="E1067" s="9" t="s">
        <v>4684</v>
      </c>
      <c r="F1067" s="9" t="s">
        <v>4684</v>
      </c>
      <c r="G1067" s="9">
        <v>2.0</v>
      </c>
      <c r="H1067" s="9" t="s">
        <v>4684</v>
      </c>
      <c r="I1067" s="9" t="str">
        <f t="shared" si="1"/>
        <v>No</v>
      </c>
      <c r="J1067" s="9">
        <f t="shared" si="2"/>
        <v>2</v>
      </c>
      <c r="K1067" s="9" t="str">
        <f t="shared" si="3"/>
        <v>NORMAL WEIGHT</v>
      </c>
    </row>
    <row r="1068" ht="15.75" customHeight="1">
      <c r="A1068" s="9" t="s">
        <v>2135</v>
      </c>
      <c r="B1068" s="9">
        <v>33.25</v>
      </c>
      <c r="C1068" s="9">
        <v>5.64</v>
      </c>
      <c r="D1068" s="9" t="s">
        <v>4686</v>
      </c>
      <c r="E1068" s="9" t="s">
        <v>4684</v>
      </c>
      <c r="F1068" s="9" t="s">
        <v>4686</v>
      </c>
      <c r="G1068" s="9">
        <v>1.0</v>
      </c>
      <c r="H1068" s="9" t="s">
        <v>4684</v>
      </c>
      <c r="I1068" s="9" t="str">
        <f t="shared" si="1"/>
        <v>No</v>
      </c>
      <c r="J1068" s="9">
        <f t="shared" si="2"/>
        <v>1</v>
      </c>
      <c r="K1068" s="9" t="str">
        <f t="shared" si="3"/>
        <v>OBESITY</v>
      </c>
    </row>
    <row r="1069" ht="15.75" customHeight="1">
      <c r="A1069" s="9" t="s">
        <v>2137</v>
      </c>
      <c r="B1069" s="9">
        <v>33.33</v>
      </c>
      <c r="C1069" s="9">
        <v>10.19</v>
      </c>
      <c r="D1069" s="9" t="s">
        <v>4684</v>
      </c>
      <c r="E1069" s="9" t="s">
        <v>4684</v>
      </c>
      <c r="F1069" s="9" t="s">
        <v>4684</v>
      </c>
      <c r="G1069" s="9" t="s">
        <v>4685</v>
      </c>
      <c r="H1069" s="9" t="s">
        <v>4684</v>
      </c>
      <c r="I1069" s="9" t="str">
        <f t="shared" si="1"/>
        <v>No</v>
      </c>
      <c r="J1069" s="9">
        <f t="shared" si="2"/>
        <v>0</v>
      </c>
      <c r="K1069" s="9" t="str">
        <f t="shared" si="3"/>
        <v>OBESITY</v>
      </c>
    </row>
    <row r="1070" ht="15.75" customHeight="1">
      <c r="A1070" s="9" t="s">
        <v>2139</v>
      </c>
      <c r="B1070" s="9">
        <v>30.5</v>
      </c>
      <c r="C1070" s="9">
        <v>10.79</v>
      </c>
      <c r="D1070" s="9" t="s">
        <v>4684</v>
      </c>
      <c r="E1070" s="9" t="s">
        <v>4684</v>
      </c>
      <c r="F1070" s="9" t="s">
        <v>4684</v>
      </c>
      <c r="G1070" s="9" t="s">
        <v>4685</v>
      </c>
      <c r="H1070" s="9" t="s">
        <v>4684</v>
      </c>
      <c r="I1070" s="9" t="str">
        <f t="shared" si="1"/>
        <v>No</v>
      </c>
      <c r="J1070" s="9">
        <f t="shared" si="2"/>
        <v>0</v>
      </c>
      <c r="K1070" s="9" t="str">
        <f t="shared" si="3"/>
        <v>OBESITY</v>
      </c>
    </row>
    <row r="1071" ht="15.75" customHeight="1">
      <c r="A1071" s="9" t="s">
        <v>2141</v>
      </c>
      <c r="B1071" s="9">
        <v>30.3</v>
      </c>
      <c r="C1071" s="9">
        <v>4.24</v>
      </c>
      <c r="D1071" s="9" t="s">
        <v>4684</v>
      </c>
      <c r="E1071" s="9" t="s">
        <v>4684</v>
      </c>
      <c r="F1071" s="9" t="s">
        <v>4684</v>
      </c>
      <c r="G1071" s="9" t="s">
        <v>4685</v>
      </c>
      <c r="H1071" s="9" t="s">
        <v>4684</v>
      </c>
      <c r="I1071" s="9" t="str">
        <f t="shared" si="1"/>
        <v>No</v>
      </c>
      <c r="J1071" s="9">
        <f t="shared" si="2"/>
        <v>0</v>
      </c>
      <c r="K1071" s="9" t="str">
        <f t="shared" si="3"/>
        <v>OBESITY</v>
      </c>
    </row>
    <row r="1072" ht="15.75" customHeight="1">
      <c r="A1072" s="9" t="s">
        <v>2143</v>
      </c>
      <c r="B1072" s="9">
        <v>26.22</v>
      </c>
      <c r="C1072" s="9">
        <v>5.83</v>
      </c>
      <c r="D1072" s="9" t="s">
        <v>4684</v>
      </c>
      <c r="E1072" s="9" t="s">
        <v>4684</v>
      </c>
      <c r="F1072" s="9" t="s">
        <v>4684</v>
      </c>
      <c r="G1072" s="9">
        <v>2.0</v>
      </c>
      <c r="H1072" s="9" t="s">
        <v>4684</v>
      </c>
      <c r="I1072" s="9" t="str">
        <f t="shared" si="1"/>
        <v>No</v>
      </c>
      <c r="J1072" s="9">
        <f t="shared" si="2"/>
        <v>2</v>
      </c>
      <c r="K1072" s="9" t="str">
        <f t="shared" si="3"/>
        <v>OVERWEIGHT</v>
      </c>
    </row>
    <row r="1073" ht="15.75" customHeight="1">
      <c r="A1073" s="9" t="s">
        <v>2145</v>
      </c>
      <c r="B1073" s="9">
        <v>29.99</v>
      </c>
      <c r="C1073" s="9">
        <v>11.85</v>
      </c>
      <c r="D1073" s="9" t="s">
        <v>4684</v>
      </c>
      <c r="E1073" s="9" t="s">
        <v>4684</v>
      </c>
      <c r="F1073" s="9" t="s">
        <v>4684</v>
      </c>
      <c r="G1073" s="9" t="s">
        <v>4685</v>
      </c>
      <c r="H1073" s="9" t="s">
        <v>4684</v>
      </c>
      <c r="I1073" s="9" t="str">
        <f t="shared" si="1"/>
        <v>No</v>
      </c>
      <c r="J1073" s="9">
        <f t="shared" si="2"/>
        <v>0</v>
      </c>
      <c r="K1073" s="9" t="str">
        <f t="shared" si="3"/>
        <v>OBESITY</v>
      </c>
    </row>
    <row r="1074" ht="15.75" customHeight="1">
      <c r="A1074" s="9" t="s">
        <v>2147</v>
      </c>
      <c r="B1074" s="9">
        <v>36.38</v>
      </c>
      <c r="C1074" s="9">
        <v>5.98</v>
      </c>
      <c r="D1074" s="9" t="s">
        <v>4684</v>
      </c>
      <c r="E1074" s="9" t="s">
        <v>4684</v>
      </c>
      <c r="F1074" s="9" t="s">
        <v>4684</v>
      </c>
      <c r="G1074" s="9">
        <v>1.0</v>
      </c>
      <c r="H1074" s="9" t="s">
        <v>4684</v>
      </c>
      <c r="I1074" s="9" t="str">
        <f t="shared" si="1"/>
        <v>No</v>
      </c>
      <c r="J1074" s="9">
        <f t="shared" si="2"/>
        <v>1</v>
      </c>
      <c r="K1074" s="9" t="str">
        <f t="shared" si="3"/>
        <v>OBESITY</v>
      </c>
    </row>
    <row r="1075" ht="15.75" customHeight="1">
      <c r="A1075" s="9" t="s">
        <v>2149</v>
      </c>
      <c r="B1075" s="9">
        <v>31.16</v>
      </c>
      <c r="C1075" s="9">
        <v>4.26</v>
      </c>
      <c r="D1075" s="9" t="s">
        <v>4686</v>
      </c>
      <c r="E1075" s="9" t="s">
        <v>4684</v>
      </c>
      <c r="F1075" s="9" t="s">
        <v>4686</v>
      </c>
      <c r="G1075" s="9">
        <v>1.0</v>
      </c>
      <c r="H1075" s="9" t="s">
        <v>4684</v>
      </c>
      <c r="I1075" s="9" t="str">
        <f t="shared" si="1"/>
        <v>No</v>
      </c>
      <c r="J1075" s="9">
        <f t="shared" si="2"/>
        <v>1</v>
      </c>
      <c r="K1075" s="9" t="str">
        <f t="shared" si="3"/>
        <v>OBESITY</v>
      </c>
    </row>
    <row r="1076" ht="15.75" customHeight="1">
      <c r="A1076" s="9" t="s">
        <v>2151</v>
      </c>
      <c r="B1076" s="9">
        <v>25.55</v>
      </c>
      <c r="C1076" s="9">
        <v>4.96</v>
      </c>
      <c r="D1076" s="9" t="s">
        <v>4686</v>
      </c>
      <c r="E1076" s="9" t="s">
        <v>4684</v>
      </c>
      <c r="F1076" s="9" t="s">
        <v>4684</v>
      </c>
      <c r="G1076" s="9">
        <v>1.0</v>
      </c>
      <c r="H1076" s="9" t="s">
        <v>4684</v>
      </c>
      <c r="I1076" s="9" t="str">
        <f t="shared" si="1"/>
        <v>No</v>
      </c>
      <c r="J1076" s="9">
        <f t="shared" si="2"/>
        <v>1</v>
      </c>
      <c r="K1076" s="9" t="str">
        <f t="shared" si="3"/>
        <v>OVERWEIGHT</v>
      </c>
    </row>
    <row r="1077" ht="15.75" customHeight="1">
      <c r="A1077" s="9" t="s">
        <v>2153</v>
      </c>
      <c r="B1077" s="9">
        <v>28.77</v>
      </c>
      <c r="C1077" s="9">
        <v>4.0</v>
      </c>
      <c r="D1077" s="9" t="s">
        <v>4686</v>
      </c>
      <c r="E1077" s="9" t="s">
        <v>4684</v>
      </c>
      <c r="F1077" s="9" t="s">
        <v>4684</v>
      </c>
      <c r="G1077" s="9" t="s">
        <v>4685</v>
      </c>
      <c r="H1077" s="9" t="s">
        <v>4684</v>
      </c>
      <c r="I1077" s="9" t="str">
        <f t="shared" si="1"/>
        <v>No</v>
      </c>
      <c r="J1077" s="9">
        <f t="shared" si="2"/>
        <v>0</v>
      </c>
      <c r="K1077" s="9" t="str">
        <f t="shared" si="3"/>
        <v>OVERWEIGHT</v>
      </c>
    </row>
    <row r="1078" ht="15.75" customHeight="1">
      <c r="A1078" s="9" t="s">
        <v>2155</v>
      </c>
      <c r="B1078" s="9">
        <v>23.14</v>
      </c>
      <c r="C1078" s="9">
        <v>4.15</v>
      </c>
      <c r="D1078" s="9" t="s">
        <v>4686</v>
      </c>
      <c r="E1078" s="9" t="s">
        <v>4684</v>
      </c>
      <c r="F1078" s="9" t="s">
        <v>4684</v>
      </c>
      <c r="G1078" s="9">
        <v>1.0</v>
      </c>
      <c r="H1078" s="9" t="s">
        <v>4684</v>
      </c>
      <c r="I1078" s="9" t="str">
        <f t="shared" si="1"/>
        <v>No</v>
      </c>
      <c r="J1078" s="9">
        <f t="shared" si="2"/>
        <v>1</v>
      </c>
      <c r="K1078" s="9" t="str">
        <f t="shared" si="3"/>
        <v>NORMAL WEIGHT</v>
      </c>
    </row>
    <row r="1079" ht="15.75" customHeight="1">
      <c r="A1079" s="9" t="s">
        <v>2157</v>
      </c>
      <c r="B1079" s="9">
        <v>39.6</v>
      </c>
      <c r="C1079" s="9">
        <v>11.36</v>
      </c>
      <c r="D1079" s="9" t="s">
        <v>4684</v>
      </c>
      <c r="E1079" s="9" t="s">
        <v>4684</v>
      </c>
      <c r="F1079" s="9" t="s">
        <v>4684</v>
      </c>
      <c r="G1079" s="9" t="s">
        <v>4685</v>
      </c>
      <c r="H1079" s="9" t="s">
        <v>4684</v>
      </c>
      <c r="I1079" s="9" t="str">
        <f t="shared" si="1"/>
        <v>No</v>
      </c>
      <c r="J1079" s="9">
        <f t="shared" si="2"/>
        <v>0</v>
      </c>
      <c r="K1079" s="9" t="str">
        <f t="shared" si="3"/>
        <v>OBESITY</v>
      </c>
    </row>
    <row r="1080" ht="15.75" customHeight="1">
      <c r="A1080" s="9" t="s">
        <v>2159</v>
      </c>
      <c r="B1080" s="9">
        <v>29.2</v>
      </c>
      <c r="C1080" s="9">
        <v>7.53</v>
      </c>
      <c r="D1080" s="9" t="s">
        <v>4684</v>
      </c>
      <c r="E1080" s="9" t="s">
        <v>4684</v>
      </c>
      <c r="F1080" s="9" t="s">
        <v>4684</v>
      </c>
      <c r="G1080" s="9" t="s">
        <v>4685</v>
      </c>
      <c r="H1080" s="9" t="s">
        <v>4684</v>
      </c>
      <c r="I1080" s="9" t="str">
        <f t="shared" si="1"/>
        <v>No</v>
      </c>
      <c r="J1080" s="9">
        <f t="shared" si="2"/>
        <v>0</v>
      </c>
      <c r="K1080" s="9" t="str">
        <f t="shared" si="3"/>
        <v>OVERWEIGHT</v>
      </c>
    </row>
    <row r="1081" ht="15.75" customHeight="1">
      <c r="A1081" s="9" t="s">
        <v>2161</v>
      </c>
      <c r="B1081" s="9">
        <v>32.775</v>
      </c>
      <c r="C1081" s="9">
        <v>7.95</v>
      </c>
      <c r="D1081" s="9" t="s">
        <v>4684</v>
      </c>
      <c r="E1081" s="9" t="s">
        <v>4684</v>
      </c>
      <c r="F1081" s="9" t="s">
        <v>4684</v>
      </c>
      <c r="G1081" s="9" t="s">
        <v>4685</v>
      </c>
      <c r="H1081" s="9" t="s">
        <v>4684</v>
      </c>
      <c r="I1081" s="9" t="str">
        <f t="shared" si="1"/>
        <v>No</v>
      </c>
      <c r="J1081" s="9">
        <f t="shared" si="2"/>
        <v>0</v>
      </c>
      <c r="K1081" s="9" t="str">
        <f t="shared" si="3"/>
        <v>OBESITY</v>
      </c>
    </row>
    <row r="1082" ht="15.75" customHeight="1">
      <c r="A1082" s="9" t="s">
        <v>2163</v>
      </c>
      <c r="B1082" s="9">
        <v>24.035</v>
      </c>
      <c r="C1082" s="9">
        <v>8.5</v>
      </c>
      <c r="D1082" s="9" t="s">
        <v>4684</v>
      </c>
      <c r="E1082" s="9" t="s">
        <v>4684</v>
      </c>
      <c r="F1082" s="9" t="s">
        <v>4684</v>
      </c>
      <c r="G1082" s="9" t="s">
        <v>4685</v>
      </c>
      <c r="H1082" s="9" t="s">
        <v>4684</v>
      </c>
      <c r="I1082" s="9" t="str">
        <f t="shared" si="1"/>
        <v>No</v>
      </c>
      <c r="J1082" s="9">
        <f t="shared" si="2"/>
        <v>0</v>
      </c>
      <c r="K1082" s="9" t="str">
        <f t="shared" si="3"/>
        <v>NORMAL WEIGHT</v>
      </c>
    </row>
    <row r="1083" ht="15.75" customHeight="1">
      <c r="A1083" s="9" t="s">
        <v>2165</v>
      </c>
      <c r="B1083" s="9">
        <v>30.55</v>
      </c>
      <c r="C1083" s="9">
        <v>5.89</v>
      </c>
      <c r="D1083" s="9" t="s">
        <v>4684</v>
      </c>
      <c r="E1083" s="9" t="s">
        <v>4684</v>
      </c>
      <c r="F1083" s="9" t="s">
        <v>4686</v>
      </c>
      <c r="G1083" s="9">
        <v>1.0</v>
      </c>
      <c r="H1083" s="9" t="s">
        <v>4684</v>
      </c>
      <c r="I1083" s="9" t="str">
        <f t="shared" si="1"/>
        <v>No</v>
      </c>
      <c r="J1083" s="9">
        <f t="shared" si="2"/>
        <v>1</v>
      </c>
      <c r="K1083" s="9" t="str">
        <f t="shared" si="3"/>
        <v>OBESITY</v>
      </c>
    </row>
    <row r="1084" ht="15.75" customHeight="1">
      <c r="A1084" s="9" t="s">
        <v>2167</v>
      </c>
      <c r="B1084" s="9">
        <v>28.81</v>
      </c>
      <c r="C1084" s="9">
        <v>8.76</v>
      </c>
      <c r="D1084" s="9" t="s">
        <v>4684</v>
      </c>
      <c r="E1084" s="9" t="s">
        <v>4684</v>
      </c>
      <c r="F1084" s="9" t="s">
        <v>4684</v>
      </c>
      <c r="G1084" s="9">
        <v>2.0</v>
      </c>
      <c r="H1084" s="9" t="s">
        <v>4684</v>
      </c>
      <c r="I1084" s="9" t="str">
        <f t="shared" si="1"/>
        <v>No</v>
      </c>
      <c r="J1084" s="9">
        <f t="shared" si="2"/>
        <v>2</v>
      </c>
      <c r="K1084" s="9" t="str">
        <f t="shared" si="3"/>
        <v>OVERWEIGHT</v>
      </c>
    </row>
    <row r="1085" ht="15.75" customHeight="1">
      <c r="A1085" s="9" t="s">
        <v>2169</v>
      </c>
      <c r="B1085" s="9">
        <v>31.66</v>
      </c>
      <c r="C1085" s="9">
        <v>4.11</v>
      </c>
      <c r="D1085" s="9" t="s">
        <v>4684</v>
      </c>
      <c r="E1085" s="9" t="s">
        <v>4684</v>
      </c>
      <c r="F1085" s="9" t="s">
        <v>4684</v>
      </c>
      <c r="G1085" s="9" t="s">
        <v>4685</v>
      </c>
      <c r="H1085" s="9" t="s">
        <v>4684</v>
      </c>
      <c r="I1085" s="9" t="str">
        <f t="shared" si="1"/>
        <v>No</v>
      </c>
      <c r="J1085" s="9">
        <f t="shared" si="2"/>
        <v>0</v>
      </c>
      <c r="K1085" s="9" t="str">
        <f t="shared" si="3"/>
        <v>OBESITY</v>
      </c>
    </row>
    <row r="1086" ht="15.75" customHeight="1">
      <c r="A1086" s="9" t="s">
        <v>2171</v>
      </c>
      <c r="B1086" s="9">
        <v>28.215</v>
      </c>
      <c r="C1086" s="9">
        <v>7.56</v>
      </c>
      <c r="D1086" s="9" t="s">
        <v>4686</v>
      </c>
      <c r="E1086" s="9" t="s">
        <v>4684</v>
      </c>
      <c r="F1086" s="9" t="s">
        <v>4684</v>
      </c>
      <c r="G1086" s="9">
        <v>1.0</v>
      </c>
      <c r="H1086" s="9" t="s">
        <v>4684</v>
      </c>
      <c r="I1086" s="9" t="str">
        <f t="shared" si="1"/>
        <v>No</v>
      </c>
      <c r="J1086" s="9">
        <f t="shared" si="2"/>
        <v>1</v>
      </c>
      <c r="K1086" s="9" t="str">
        <f t="shared" si="3"/>
        <v>OVERWEIGHT</v>
      </c>
    </row>
    <row r="1087" ht="15.75" customHeight="1">
      <c r="A1087" s="9" t="s">
        <v>2173</v>
      </c>
      <c r="B1087" s="9">
        <v>26.12</v>
      </c>
      <c r="C1087" s="9">
        <v>4.17</v>
      </c>
      <c r="D1087" s="9" t="s">
        <v>4686</v>
      </c>
      <c r="E1087" s="9" t="s">
        <v>4684</v>
      </c>
      <c r="F1087" s="9" t="s">
        <v>4686</v>
      </c>
      <c r="G1087" s="9">
        <v>1.0</v>
      </c>
      <c r="H1087" s="9" t="s">
        <v>4684</v>
      </c>
      <c r="I1087" s="9" t="str">
        <f t="shared" si="1"/>
        <v>No</v>
      </c>
      <c r="J1087" s="9">
        <f t="shared" si="2"/>
        <v>1</v>
      </c>
      <c r="K1087" s="9" t="str">
        <f t="shared" si="3"/>
        <v>OVERWEIGHT</v>
      </c>
    </row>
    <row r="1088" ht="15.75" customHeight="1">
      <c r="A1088" s="9" t="s">
        <v>2175</v>
      </c>
      <c r="B1088" s="9">
        <v>36.63</v>
      </c>
      <c r="C1088" s="9">
        <v>11.42</v>
      </c>
      <c r="D1088" s="9" t="s">
        <v>4684</v>
      </c>
      <c r="E1088" s="9" t="s">
        <v>4684</v>
      </c>
      <c r="F1088" s="9" t="s">
        <v>4684</v>
      </c>
      <c r="G1088" s="9">
        <v>2.0</v>
      </c>
      <c r="H1088" s="9" t="s">
        <v>4684</v>
      </c>
      <c r="I1088" s="9" t="str">
        <f t="shared" si="1"/>
        <v>No</v>
      </c>
      <c r="J1088" s="9">
        <f t="shared" si="2"/>
        <v>2</v>
      </c>
      <c r="K1088" s="9" t="str">
        <f t="shared" si="3"/>
        <v>OBESITY</v>
      </c>
    </row>
    <row r="1089" ht="15.75" customHeight="1">
      <c r="A1089" s="9" t="s">
        <v>2177</v>
      </c>
      <c r="B1089" s="9">
        <v>33.345</v>
      </c>
      <c r="C1089" s="9">
        <v>7.33</v>
      </c>
      <c r="D1089" s="9" t="s">
        <v>4684</v>
      </c>
      <c r="E1089" s="9" t="s">
        <v>4684</v>
      </c>
      <c r="F1089" s="9" t="s">
        <v>4684</v>
      </c>
      <c r="G1089" s="9">
        <v>2.0</v>
      </c>
      <c r="H1089" s="9" t="s">
        <v>4684</v>
      </c>
      <c r="I1089" s="9" t="str">
        <f t="shared" si="1"/>
        <v>No</v>
      </c>
      <c r="J1089" s="9">
        <f t="shared" si="2"/>
        <v>2</v>
      </c>
      <c r="K1089" s="9" t="str">
        <f t="shared" si="3"/>
        <v>OBESITY</v>
      </c>
    </row>
    <row r="1090" ht="15.75" customHeight="1">
      <c r="A1090" s="9" t="s">
        <v>2179</v>
      </c>
      <c r="B1090" s="9">
        <v>27.11</v>
      </c>
      <c r="C1090" s="9">
        <v>6.7</v>
      </c>
      <c r="D1090" s="9" t="s">
        <v>4684</v>
      </c>
      <c r="E1090" s="9" t="s">
        <v>4684</v>
      </c>
      <c r="F1090" s="9" t="s">
        <v>4684</v>
      </c>
      <c r="G1090" s="9" t="s">
        <v>4685</v>
      </c>
      <c r="H1090" s="9" t="s">
        <v>4684</v>
      </c>
      <c r="I1090" s="9" t="str">
        <f t="shared" si="1"/>
        <v>No</v>
      </c>
      <c r="J1090" s="9">
        <f t="shared" si="2"/>
        <v>0</v>
      </c>
      <c r="K1090" s="9" t="str">
        <f t="shared" si="3"/>
        <v>OVERWEIGHT</v>
      </c>
    </row>
    <row r="1091" ht="15.75" customHeight="1">
      <c r="A1091" s="9" t="s">
        <v>2181</v>
      </c>
      <c r="B1091" s="9">
        <v>26.6</v>
      </c>
      <c r="C1091" s="9">
        <v>5.27</v>
      </c>
      <c r="D1091" s="9" t="s">
        <v>4686</v>
      </c>
      <c r="E1091" s="9" t="s">
        <v>4684</v>
      </c>
      <c r="F1091" s="9" t="s">
        <v>4686</v>
      </c>
      <c r="G1091" s="9">
        <v>1.0</v>
      </c>
      <c r="H1091" s="9" t="s">
        <v>4684</v>
      </c>
      <c r="I1091" s="9" t="str">
        <f t="shared" si="1"/>
        <v>No</v>
      </c>
      <c r="J1091" s="9">
        <f t="shared" si="2"/>
        <v>1</v>
      </c>
      <c r="K1091" s="9" t="str">
        <f t="shared" si="3"/>
        <v>OVERWEIGHT</v>
      </c>
    </row>
    <row r="1092" ht="15.75" customHeight="1">
      <c r="A1092" s="9" t="s">
        <v>2183</v>
      </c>
      <c r="B1092" s="9">
        <v>30.41</v>
      </c>
      <c r="C1092" s="9">
        <v>7.72</v>
      </c>
      <c r="D1092" s="9" t="s">
        <v>4684</v>
      </c>
      <c r="E1092" s="9" t="s">
        <v>4684</v>
      </c>
      <c r="F1092" s="9" t="s">
        <v>4684</v>
      </c>
      <c r="G1092" s="9" t="s">
        <v>4685</v>
      </c>
      <c r="H1092" s="9" t="s">
        <v>4684</v>
      </c>
      <c r="I1092" s="9" t="str">
        <f t="shared" si="1"/>
        <v>No</v>
      </c>
      <c r="J1092" s="9">
        <f t="shared" si="2"/>
        <v>0</v>
      </c>
      <c r="K1092" s="9" t="str">
        <f t="shared" si="3"/>
        <v>OBESITY</v>
      </c>
    </row>
    <row r="1093" ht="15.75" customHeight="1">
      <c r="A1093" s="9" t="s">
        <v>2185</v>
      </c>
      <c r="B1093" s="9">
        <v>28.98</v>
      </c>
      <c r="C1093" s="9">
        <v>8.68</v>
      </c>
      <c r="D1093" s="9" t="s">
        <v>4684</v>
      </c>
      <c r="E1093" s="9" t="s">
        <v>4684</v>
      </c>
      <c r="F1093" s="9" t="s">
        <v>4684</v>
      </c>
      <c r="G1093" s="9">
        <v>2.0</v>
      </c>
      <c r="H1093" s="9" t="s">
        <v>4684</v>
      </c>
      <c r="I1093" s="9" t="str">
        <f t="shared" si="1"/>
        <v>No</v>
      </c>
      <c r="J1093" s="9">
        <f t="shared" si="2"/>
        <v>2</v>
      </c>
      <c r="K1093" s="9" t="str">
        <f t="shared" si="3"/>
        <v>OVERWEIGHT</v>
      </c>
    </row>
    <row r="1094" ht="15.75" customHeight="1">
      <c r="A1094" s="9" t="s">
        <v>2187</v>
      </c>
      <c r="B1094" s="9">
        <v>31.24</v>
      </c>
      <c r="C1094" s="9">
        <v>9.8</v>
      </c>
      <c r="D1094" s="9" t="s">
        <v>4684</v>
      </c>
      <c r="E1094" s="9" t="s">
        <v>4684</v>
      </c>
      <c r="F1094" s="9" t="s">
        <v>4684</v>
      </c>
      <c r="G1094" s="9" t="s">
        <v>4685</v>
      </c>
      <c r="H1094" s="9" t="s">
        <v>4684</v>
      </c>
      <c r="I1094" s="9" t="str">
        <f t="shared" si="1"/>
        <v>No</v>
      </c>
      <c r="J1094" s="9">
        <f t="shared" si="2"/>
        <v>0</v>
      </c>
      <c r="K1094" s="9" t="str">
        <f t="shared" si="3"/>
        <v>OBESITY</v>
      </c>
    </row>
    <row r="1095" ht="15.75" customHeight="1">
      <c r="A1095" s="9" t="s">
        <v>2189</v>
      </c>
      <c r="B1095" s="9">
        <v>31.54</v>
      </c>
      <c r="C1095" s="9">
        <v>4.44</v>
      </c>
      <c r="D1095" s="9" t="s">
        <v>4684</v>
      </c>
      <c r="E1095" s="9" t="s">
        <v>4684</v>
      </c>
      <c r="F1095" s="9" t="s">
        <v>4684</v>
      </c>
      <c r="G1095" s="9" t="s">
        <v>4685</v>
      </c>
      <c r="H1095" s="9" t="s">
        <v>4684</v>
      </c>
      <c r="I1095" s="9" t="str">
        <f t="shared" si="1"/>
        <v>No</v>
      </c>
      <c r="J1095" s="9">
        <f t="shared" si="2"/>
        <v>0</v>
      </c>
      <c r="K1095" s="9" t="str">
        <f t="shared" si="3"/>
        <v>OBESITY</v>
      </c>
    </row>
    <row r="1096" ht="15.75" customHeight="1">
      <c r="A1096" s="9" t="s">
        <v>2191</v>
      </c>
      <c r="B1096" s="9">
        <v>38.6</v>
      </c>
      <c r="C1096" s="9">
        <v>7.19</v>
      </c>
      <c r="D1096" s="9" t="s">
        <v>4686</v>
      </c>
      <c r="E1096" s="9" t="s">
        <v>4684</v>
      </c>
      <c r="F1096" s="9" t="s">
        <v>4684</v>
      </c>
      <c r="G1096" s="9">
        <v>2.0</v>
      </c>
      <c r="H1096" s="9" t="s">
        <v>4684</v>
      </c>
      <c r="I1096" s="9" t="str">
        <f t="shared" si="1"/>
        <v>No</v>
      </c>
      <c r="J1096" s="9">
        <f t="shared" si="2"/>
        <v>2</v>
      </c>
      <c r="K1096" s="9" t="str">
        <f t="shared" si="3"/>
        <v>OBESITY</v>
      </c>
    </row>
    <row r="1097" ht="15.75" customHeight="1">
      <c r="A1097" s="9" t="s">
        <v>2193</v>
      </c>
      <c r="B1097" s="9">
        <v>37.95</v>
      </c>
      <c r="C1097" s="9">
        <v>6.06</v>
      </c>
      <c r="D1097" s="9" t="s">
        <v>4684</v>
      </c>
      <c r="E1097" s="9" t="s">
        <v>4684</v>
      </c>
      <c r="F1097" s="9" t="s">
        <v>4684</v>
      </c>
      <c r="G1097" s="9" t="s">
        <v>4685</v>
      </c>
      <c r="H1097" s="9" t="s">
        <v>4684</v>
      </c>
      <c r="I1097" s="9" t="str">
        <f t="shared" si="1"/>
        <v>No</v>
      </c>
      <c r="J1097" s="9">
        <f t="shared" si="2"/>
        <v>0</v>
      </c>
      <c r="K1097" s="9" t="str">
        <f t="shared" si="3"/>
        <v>OBESITY</v>
      </c>
    </row>
    <row r="1098" ht="15.75" customHeight="1">
      <c r="A1098" s="9" t="s">
        <v>2195</v>
      </c>
      <c r="B1098" s="9">
        <v>38.97</v>
      </c>
      <c r="C1098" s="9">
        <v>5.12</v>
      </c>
      <c r="D1098" s="9" t="s">
        <v>4684</v>
      </c>
      <c r="E1098" s="9" t="s">
        <v>4684</v>
      </c>
      <c r="F1098" s="9" t="s">
        <v>4684</v>
      </c>
      <c r="G1098" s="9" t="s">
        <v>4685</v>
      </c>
      <c r="H1098" s="9" t="s">
        <v>4684</v>
      </c>
      <c r="I1098" s="9" t="str">
        <f t="shared" si="1"/>
        <v>No</v>
      </c>
      <c r="J1098" s="9">
        <f t="shared" si="2"/>
        <v>0</v>
      </c>
      <c r="K1098" s="9" t="str">
        <f t="shared" si="3"/>
        <v>OBESITY</v>
      </c>
    </row>
    <row r="1099" ht="15.75" customHeight="1">
      <c r="A1099" s="9" t="s">
        <v>2197</v>
      </c>
      <c r="B1099" s="9">
        <v>21.2</v>
      </c>
      <c r="C1099" s="9">
        <v>10.72</v>
      </c>
      <c r="D1099" s="9" t="s">
        <v>4684</v>
      </c>
      <c r="E1099" s="9" t="s">
        <v>4684</v>
      </c>
      <c r="F1099" s="9" t="s">
        <v>4684</v>
      </c>
      <c r="G1099" s="9" t="s">
        <v>4685</v>
      </c>
      <c r="H1099" s="9" t="s">
        <v>4684</v>
      </c>
      <c r="I1099" s="9" t="str">
        <f t="shared" si="1"/>
        <v>No</v>
      </c>
      <c r="J1099" s="9">
        <f t="shared" si="2"/>
        <v>0</v>
      </c>
      <c r="K1099" s="9" t="str">
        <f t="shared" si="3"/>
        <v>NORMAL WEIGHT</v>
      </c>
    </row>
    <row r="1100" ht="15.75" customHeight="1">
      <c r="A1100" s="9" t="s">
        <v>2199</v>
      </c>
      <c r="B1100" s="9">
        <v>23.96</v>
      </c>
      <c r="C1100" s="9">
        <v>9.58</v>
      </c>
      <c r="D1100" s="9" t="s">
        <v>4686</v>
      </c>
      <c r="E1100" s="9" t="s">
        <v>4684</v>
      </c>
      <c r="F1100" s="9" t="s">
        <v>4686</v>
      </c>
      <c r="G1100" s="9">
        <v>1.0</v>
      </c>
      <c r="H1100" s="9" t="s">
        <v>4684</v>
      </c>
      <c r="I1100" s="9" t="str">
        <f t="shared" si="1"/>
        <v>No</v>
      </c>
      <c r="J1100" s="9">
        <f t="shared" si="2"/>
        <v>1</v>
      </c>
      <c r="K1100" s="9" t="str">
        <f t="shared" si="3"/>
        <v>NORMAL WEIGHT</v>
      </c>
    </row>
    <row r="1101" ht="15.75" customHeight="1">
      <c r="A1101" s="9" t="s">
        <v>2201</v>
      </c>
      <c r="B1101" s="9">
        <v>35.93</v>
      </c>
      <c r="C1101" s="9">
        <v>6.4</v>
      </c>
      <c r="D1101" s="9" t="s">
        <v>4686</v>
      </c>
      <c r="E1101" s="9" t="s">
        <v>4684</v>
      </c>
      <c r="F1101" s="9" t="s">
        <v>4684</v>
      </c>
      <c r="G1101" s="9">
        <v>1.0</v>
      </c>
      <c r="H1101" s="9" t="s">
        <v>4684</v>
      </c>
      <c r="I1101" s="9" t="str">
        <f t="shared" si="1"/>
        <v>No</v>
      </c>
      <c r="J1101" s="9">
        <f t="shared" si="2"/>
        <v>1</v>
      </c>
      <c r="K1101" s="9" t="str">
        <f t="shared" si="3"/>
        <v>OBESITY</v>
      </c>
    </row>
    <row r="1102" ht="15.75" customHeight="1">
      <c r="A1102" s="9" t="s">
        <v>2203</v>
      </c>
      <c r="B1102" s="9">
        <v>26.11</v>
      </c>
      <c r="C1102" s="9">
        <v>6.8</v>
      </c>
      <c r="D1102" s="9" t="s">
        <v>4686</v>
      </c>
      <c r="E1102" s="9" t="s">
        <v>4684</v>
      </c>
      <c r="F1102" s="9" t="s">
        <v>4684</v>
      </c>
      <c r="G1102" s="9">
        <v>2.0</v>
      </c>
      <c r="H1102" s="9" t="s">
        <v>4684</v>
      </c>
      <c r="I1102" s="9" t="str">
        <f t="shared" si="1"/>
        <v>No</v>
      </c>
      <c r="J1102" s="9">
        <f t="shared" si="2"/>
        <v>2</v>
      </c>
      <c r="K1102" s="9" t="str">
        <f t="shared" si="3"/>
        <v>OVERWEIGHT</v>
      </c>
    </row>
    <row r="1103" ht="15.75" customHeight="1">
      <c r="A1103" s="9" t="s">
        <v>2205</v>
      </c>
      <c r="B1103" s="9">
        <v>32.3</v>
      </c>
      <c r="C1103" s="9">
        <v>9.48</v>
      </c>
      <c r="D1103" s="9" t="s">
        <v>4684</v>
      </c>
      <c r="E1103" s="9" t="s">
        <v>4684</v>
      </c>
      <c r="F1103" s="9" t="s">
        <v>4684</v>
      </c>
      <c r="G1103" s="9">
        <v>2.0</v>
      </c>
      <c r="H1103" s="9" t="s">
        <v>4684</v>
      </c>
      <c r="I1103" s="9" t="str">
        <f t="shared" si="1"/>
        <v>No</v>
      </c>
      <c r="J1103" s="9">
        <f t="shared" si="2"/>
        <v>2</v>
      </c>
      <c r="K1103" s="9" t="str">
        <f t="shared" si="3"/>
        <v>OBESITY</v>
      </c>
    </row>
    <row r="1104" ht="15.75" customHeight="1">
      <c r="A1104" s="9" t="s">
        <v>2207</v>
      </c>
      <c r="B1104" s="9">
        <v>28.69</v>
      </c>
      <c r="C1104" s="9">
        <v>7.45</v>
      </c>
      <c r="D1104" s="9" t="s">
        <v>4684</v>
      </c>
      <c r="E1104" s="9" t="s">
        <v>4684</v>
      </c>
      <c r="F1104" s="9" t="s">
        <v>4684</v>
      </c>
      <c r="G1104" s="9">
        <v>2.0</v>
      </c>
      <c r="H1104" s="9" t="s">
        <v>4684</v>
      </c>
      <c r="I1104" s="9" t="str">
        <f t="shared" si="1"/>
        <v>No</v>
      </c>
      <c r="J1104" s="9">
        <f t="shared" si="2"/>
        <v>2</v>
      </c>
      <c r="K1104" s="9" t="str">
        <f t="shared" si="3"/>
        <v>OVERWEIGHT</v>
      </c>
    </row>
    <row r="1105" ht="15.75" customHeight="1">
      <c r="A1105" s="9" t="s">
        <v>2209</v>
      </c>
      <c r="B1105" s="9">
        <v>31.28</v>
      </c>
      <c r="C1105" s="9">
        <v>6.94</v>
      </c>
      <c r="D1105" s="9" t="s">
        <v>4686</v>
      </c>
      <c r="E1105" s="9" t="s">
        <v>4684</v>
      </c>
      <c r="F1105" s="9" t="s">
        <v>4684</v>
      </c>
      <c r="G1105" s="9">
        <v>1.0</v>
      </c>
      <c r="H1105" s="9" t="s">
        <v>4684</v>
      </c>
      <c r="I1105" s="9" t="str">
        <f t="shared" si="1"/>
        <v>No</v>
      </c>
      <c r="J1105" s="9">
        <f t="shared" si="2"/>
        <v>1</v>
      </c>
      <c r="K1105" s="9" t="str">
        <f t="shared" si="3"/>
        <v>OBESITY</v>
      </c>
    </row>
    <row r="1106" ht="15.75" customHeight="1">
      <c r="A1106" s="9" t="s">
        <v>2211</v>
      </c>
      <c r="B1106" s="9">
        <v>30.21</v>
      </c>
      <c r="C1106" s="9">
        <v>7.83</v>
      </c>
      <c r="D1106" s="9" t="s">
        <v>4684</v>
      </c>
      <c r="E1106" s="9" t="s">
        <v>4684</v>
      </c>
      <c r="F1106" s="9" t="s">
        <v>4684</v>
      </c>
      <c r="G1106" s="9" t="s">
        <v>4685</v>
      </c>
      <c r="H1106" s="9" t="s">
        <v>4684</v>
      </c>
      <c r="I1106" s="9" t="str">
        <f t="shared" si="1"/>
        <v>No</v>
      </c>
      <c r="J1106" s="9">
        <f t="shared" si="2"/>
        <v>0</v>
      </c>
      <c r="K1106" s="9" t="str">
        <f t="shared" si="3"/>
        <v>OBESITY</v>
      </c>
    </row>
    <row r="1107" ht="15.75" customHeight="1">
      <c r="A1107" s="9" t="s">
        <v>2213</v>
      </c>
      <c r="B1107" s="9">
        <v>38.28</v>
      </c>
      <c r="C1107" s="9">
        <v>10.17</v>
      </c>
      <c r="D1107" s="9" t="s">
        <v>4686</v>
      </c>
      <c r="E1107" s="9" t="s">
        <v>4684</v>
      </c>
      <c r="F1107" s="9" t="s">
        <v>4684</v>
      </c>
      <c r="G1107" s="9" t="s">
        <v>4685</v>
      </c>
      <c r="H1107" s="9" t="s">
        <v>4684</v>
      </c>
      <c r="I1107" s="9" t="str">
        <f t="shared" si="1"/>
        <v>No</v>
      </c>
      <c r="J1107" s="9">
        <f t="shared" si="2"/>
        <v>0</v>
      </c>
      <c r="K1107" s="9" t="str">
        <f t="shared" si="3"/>
        <v>OBESITY</v>
      </c>
    </row>
    <row r="1108" ht="15.75" customHeight="1">
      <c r="A1108" s="9" t="s">
        <v>2215</v>
      </c>
      <c r="B1108" s="9">
        <v>29.9</v>
      </c>
      <c r="C1108" s="9">
        <v>8.96</v>
      </c>
      <c r="D1108" s="9" t="s">
        <v>4686</v>
      </c>
      <c r="E1108" s="9" t="s">
        <v>4684</v>
      </c>
      <c r="F1108" s="9" t="s">
        <v>4684</v>
      </c>
      <c r="G1108" s="9" t="s">
        <v>4685</v>
      </c>
      <c r="H1108" s="9" t="s">
        <v>4684</v>
      </c>
      <c r="I1108" s="9" t="str">
        <f t="shared" si="1"/>
        <v>No</v>
      </c>
      <c r="J1108" s="9">
        <f t="shared" si="2"/>
        <v>0</v>
      </c>
      <c r="K1108" s="9" t="str">
        <f t="shared" si="3"/>
        <v>OBESITY</v>
      </c>
    </row>
    <row r="1109" ht="15.75" customHeight="1">
      <c r="A1109" s="9" t="s">
        <v>2217</v>
      </c>
      <c r="B1109" s="9">
        <v>23.18</v>
      </c>
      <c r="C1109" s="9">
        <v>6.96</v>
      </c>
      <c r="D1109" s="9" t="s">
        <v>4686</v>
      </c>
      <c r="E1109" s="9" t="s">
        <v>4684</v>
      </c>
      <c r="F1109" s="9" t="s">
        <v>4684</v>
      </c>
      <c r="G1109" s="9">
        <v>2.0</v>
      </c>
      <c r="H1109" s="9" t="s">
        <v>4684</v>
      </c>
      <c r="I1109" s="9" t="str">
        <f t="shared" si="1"/>
        <v>No</v>
      </c>
      <c r="J1109" s="9">
        <f t="shared" si="2"/>
        <v>2</v>
      </c>
      <c r="K1109" s="9" t="str">
        <f t="shared" si="3"/>
        <v>NORMAL WEIGHT</v>
      </c>
    </row>
    <row r="1110" ht="15.75" customHeight="1">
      <c r="A1110" s="9" t="s">
        <v>2219</v>
      </c>
      <c r="B1110" s="9">
        <v>33.02</v>
      </c>
      <c r="C1110" s="9">
        <v>5.07</v>
      </c>
      <c r="D1110" s="9" t="s">
        <v>4686</v>
      </c>
      <c r="E1110" s="9" t="s">
        <v>4684</v>
      </c>
      <c r="F1110" s="9" t="s">
        <v>4684</v>
      </c>
      <c r="G1110" s="9" t="s">
        <v>4685</v>
      </c>
      <c r="H1110" s="9" t="s">
        <v>4684</v>
      </c>
      <c r="I1110" s="9" t="str">
        <f t="shared" si="1"/>
        <v>No</v>
      </c>
      <c r="J1110" s="9">
        <f t="shared" si="2"/>
        <v>0</v>
      </c>
      <c r="K1110" s="9" t="str">
        <f t="shared" si="3"/>
        <v>OBESITY</v>
      </c>
    </row>
    <row r="1111" ht="15.75" customHeight="1">
      <c r="A1111" s="9" t="s">
        <v>2221</v>
      </c>
      <c r="B1111" s="9">
        <v>27.29</v>
      </c>
      <c r="C1111" s="9">
        <v>5.85</v>
      </c>
      <c r="D1111" s="9" t="s">
        <v>4684</v>
      </c>
      <c r="E1111" s="9" t="s">
        <v>4684</v>
      </c>
      <c r="F1111" s="9" t="s">
        <v>4684</v>
      </c>
      <c r="G1111" s="9">
        <v>2.0</v>
      </c>
      <c r="H1111" s="9" t="s">
        <v>4684</v>
      </c>
      <c r="I1111" s="9" t="str">
        <f t="shared" si="1"/>
        <v>No</v>
      </c>
      <c r="J1111" s="9">
        <f t="shared" si="2"/>
        <v>2</v>
      </c>
      <c r="K1111" s="9" t="str">
        <f t="shared" si="3"/>
        <v>OVERWEIGHT</v>
      </c>
    </row>
    <row r="1112" ht="15.75" customHeight="1">
      <c r="A1112" s="9" t="s">
        <v>2223</v>
      </c>
      <c r="B1112" s="9">
        <v>23.18</v>
      </c>
      <c r="C1112" s="9">
        <v>10.56</v>
      </c>
      <c r="D1112" s="9" t="s">
        <v>4684</v>
      </c>
      <c r="E1112" s="9" t="s">
        <v>4684</v>
      </c>
      <c r="F1112" s="9" t="s">
        <v>4684</v>
      </c>
      <c r="G1112" s="9">
        <v>2.0</v>
      </c>
      <c r="H1112" s="9" t="s">
        <v>4684</v>
      </c>
      <c r="I1112" s="9" t="str">
        <f t="shared" si="1"/>
        <v>No</v>
      </c>
      <c r="J1112" s="9">
        <f t="shared" si="2"/>
        <v>2</v>
      </c>
      <c r="K1112" s="9" t="str">
        <f t="shared" si="3"/>
        <v>NORMAL WEIGHT</v>
      </c>
    </row>
    <row r="1113" ht="15.75" customHeight="1">
      <c r="A1113" s="9" t="s">
        <v>2225</v>
      </c>
      <c r="B1113" s="9">
        <v>32.66</v>
      </c>
      <c r="C1113" s="9">
        <v>8.92</v>
      </c>
      <c r="D1113" s="9" t="s">
        <v>4686</v>
      </c>
      <c r="E1113" s="9" t="s">
        <v>4684</v>
      </c>
      <c r="F1113" s="9" t="s">
        <v>4684</v>
      </c>
      <c r="G1113" s="9" t="s">
        <v>4685</v>
      </c>
      <c r="H1113" s="9" t="s">
        <v>4684</v>
      </c>
      <c r="I1113" s="9" t="str">
        <f t="shared" si="1"/>
        <v>No</v>
      </c>
      <c r="J1113" s="9">
        <f t="shared" si="2"/>
        <v>0</v>
      </c>
      <c r="K1113" s="9" t="str">
        <f t="shared" si="3"/>
        <v>OBESITY</v>
      </c>
    </row>
    <row r="1114" ht="15.75" customHeight="1">
      <c r="A1114" s="9" t="s">
        <v>2227</v>
      </c>
      <c r="B1114" s="9">
        <v>30.78</v>
      </c>
      <c r="C1114" s="9">
        <v>8.63</v>
      </c>
      <c r="D1114" s="9" t="s">
        <v>4684</v>
      </c>
      <c r="E1114" s="9" t="s">
        <v>4684</v>
      </c>
      <c r="F1114" s="9" t="s">
        <v>4684</v>
      </c>
      <c r="G1114" s="9" t="s">
        <v>4685</v>
      </c>
      <c r="H1114" s="9" t="s">
        <v>4684</v>
      </c>
      <c r="I1114" s="9" t="str">
        <f t="shared" si="1"/>
        <v>No</v>
      </c>
      <c r="J1114" s="9">
        <f t="shared" si="2"/>
        <v>0</v>
      </c>
      <c r="K1114" s="9" t="str">
        <f t="shared" si="3"/>
        <v>OBESITY</v>
      </c>
    </row>
    <row r="1115" ht="15.75" customHeight="1">
      <c r="A1115" s="9" t="s">
        <v>2229</v>
      </c>
      <c r="B1115" s="9">
        <v>47.2</v>
      </c>
      <c r="C1115" s="9">
        <v>6.29</v>
      </c>
      <c r="D1115" s="9" t="s">
        <v>4686</v>
      </c>
      <c r="E1115" s="9" t="s">
        <v>4684</v>
      </c>
      <c r="F1115" s="9" t="s">
        <v>4686</v>
      </c>
      <c r="G1115" s="9">
        <v>1.0</v>
      </c>
      <c r="H1115" s="9" t="s">
        <v>4684</v>
      </c>
      <c r="I1115" s="9" t="str">
        <f t="shared" si="1"/>
        <v>No</v>
      </c>
      <c r="J1115" s="9">
        <f t="shared" si="2"/>
        <v>1</v>
      </c>
      <c r="K1115" s="9" t="str">
        <f t="shared" si="3"/>
        <v>OBESITY</v>
      </c>
    </row>
    <row r="1116" ht="15.75" customHeight="1">
      <c r="A1116" s="9" t="s">
        <v>2231</v>
      </c>
      <c r="B1116" s="9">
        <v>31.6</v>
      </c>
      <c r="C1116" s="9">
        <v>5.75</v>
      </c>
      <c r="D1116" s="9" t="s">
        <v>4684</v>
      </c>
      <c r="E1116" s="9" t="s">
        <v>4684</v>
      </c>
      <c r="F1116" s="9" t="s">
        <v>4684</v>
      </c>
      <c r="G1116" s="9">
        <v>2.0</v>
      </c>
      <c r="H1116" s="9" t="s">
        <v>4684</v>
      </c>
      <c r="I1116" s="9" t="str">
        <f t="shared" si="1"/>
        <v>No</v>
      </c>
      <c r="J1116" s="9">
        <f t="shared" si="2"/>
        <v>2</v>
      </c>
      <c r="K1116" s="9" t="str">
        <f t="shared" si="3"/>
        <v>OBESITY</v>
      </c>
    </row>
    <row r="1117" ht="15.75" customHeight="1">
      <c r="A1117" s="9" t="s">
        <v>2233</v>
      </c>
      <c r="B1117" s="9">
        <v>33.915</v>
      </c>
      <c r="C1117" s="9">
        <v>6.66</v>
      </c>
      <c r="D1117" s="9" t="s">
        <v>4686</v>
      </c>
      <c r="E1117" s="9" t="s">
        <v>4684</v>
      </c>
      <c r="F1117" s="9" t="s">
        <v>4684</v>
      </c>
      <c r="G1117" s="9">
        <v>1.0</v>
      </c>
      <c r="H1117" s="9" t="s">
        <v>4684</v>
      </c>
      <c r="I1117" s="9" t="str">
        <f t="shared" si="1"/>
        <v>No</v>
      </c>
      <c r="J1117" s="9">
        <f t="shared" si="2"/>
        <v>1</v>
      </c>
      <c r="K1117" s="9" t="str">
        <f t="shared" si="3"/>
        <v>OBESITY</v>
      </c>
    </row>
    <row r="1118" ht="15.75" customHeight="1">
      <c r="A1118" s="9" t="s">
        <v>2235</v>
      </c>
      <c r="B1118" s="9">
        <v>23.54</v>
      </c>
      <c r="C1118" s="9">
        <v>5.1</v>
      </c>
      <c r="D1118" s="9" t="s">
        <v>4684</v>
      </c>
      <c r="E1118" s="9" t="s">
        <v>4684</v>
      </c>
      <c r="F1118" s="9" t="s">
        <v>4684</v>
      </c>
      <c r="G1118" s="9">
        <v>2.0</v>
      </c>
      <c r="H1118" s="9" t="s">
        <v>4684</v>
      </c>
      <c r="I1118" s="9" t="str">
        <f t="shared" si="1"/>
        <v>No</v>
      </c>
      <c r="J1118" s="9">
        <f t="shared" si="2"/>
        <v>2</v>
      </c>
      <c r="K1118" s="9" t="str">
        <f t="shared" si="3"/>
        <v>NORMAL WEIGHT</v>
      </c>
    </row>
    <row r="1119" ht="15.75" customHeight="1">
      <c r="A1119" s="9" t="s">
        <v>2237</v>
      </c>
      <c r="B1119" s="9">
        <v>27.075</v>
      </c>
      <c r="C1119" s="9">
        <v>4.41</v>
      </c>
      <c r="D1119" s="9" t="s">
        <v>4684</v>
      </c>
      <c r="E1119" s="9" t="s">
        <v>4684</v>
      </c>
      <c r="F1119" s="9" t="s">
        <v>4684</v>
      </c>
      <c r="G1119" s="9">
        <v>2.0</v>
      </c>
      <c r="H1119" s="9" t="s">
        <v>4684</v>
      </c>
      <c r="I1119" s="9" t="str">
        <f t="shared" si="1"/>
        <v>No</v>
      </c>
      <c r="J1119" s="9">
        <f t="shared" si="2"/>
        <v>2</v>
      </c>
      <c r="K1119" s="9" t="str">
        <f t="shared" si="3"/>
        <v>OVERWEIGHT</v>
      </c>
    </row>
    <row r="1120" ht="15.75" customHeight="1">
      <c r="A1120" s="9" t="s">
        <v>2239</v>
      </c>
      <c r="B1120" s="9">
        <v>25.8</v>
      </c>
      <c r="C1120" s="9">
        <v>5.52</v>
      </c>
      <c r="D1120" s="9" t="s">
        <v>4686</v>
      </c>
      <c r="E1120" s="9" t="s">
        <v>4684</v>
      </c>
      <c r="F1120" s="9" t="s">
        <v>4684</v>
      </c>
      <c r="G1120" s="9" t="s">
        <v>4685</v>
      </c>
      <c r="H1120" s="9" t="s">
        <v>4684</v>
      </c>
      <c r="I1120" s="9" t="str">
        <f t="shared" si="1"/>
        <v>No</v>
      </c>
      <c r="J1120" s="9">
        <f t="shared" si="2"/>
        <v>0</v>
      </c>
      <c r="K1120" s="9" t="str">
        <f t="shared" si="3"/>
        <v>OVERWEIGHT</v>
      </c>
    </row>
    <row r="1121" ht="15.75" customHeight="1">
      <c r="A1121" s="9" t="s">
        <v>2241</v>
      </c>
      <c r="B1121" s="9">
        <v>36.1</v>
      </c>
      <c r="C1121" s="9">
        <v>4.62</v>
      </c>
      <c r="D1121" s="9" t="s">
        <v>4686</v>
      </c>
      <c r="E1121" s="9" t="s">
        <v>4684</v>
      </c>
      <c r="F1121" s="9" t="s">
        <v>4686</v>
      </c>
      <c r="G1121" s="9">
        <v>1.0</v>
      </c>
      <c r="H1121" s="9" t="s">
        <v>4684</v>
      </c>
      <c r="I1121" s="9" t="str">
        <f t="shared" si="1"/>
        <v>No</v>
      </c>
      <c r="J1121" s="9">
        <f t="shared" si="2"/>
        <v>1</v>
      </c>
      <c r="K1121" s="9" t="str">
        <f t="shared" si="3"/>
        <v>OBESITY</v>
      </c>
    </row>
    <row r="1122" ht="15.75" customHeight="1">
      <c r="A1122" s="9" t="s">
        <v>2243</v>
      </c>
      <c r="B1122" s="9">
        <v>30.495</v>
      </c>
      <c r="C1122" s="9">
        <v>5.74</v>
      </c>
      <c r="D1122" s="9" t="s">
        <v>4686</v>
      </c>
      <c r="E1122" s="9" t="s">
        <v>4684</v>
      </c>
      <c r="F1122" s="9" t="s">
        <v>4686</v>
      </c>
      <c r="G1122" s="9">
        <v>1.0</v>
      </c>
      <c r="H1122" s="9" t="s">
        <v>4684</v>
      </c>
      <c r="I1122" s="9" t="str">
        <f t="shared" si="1"/>
        <v>No</v>
      </c>
      <c r="J1122" s="9">
        <f t="shared" si="2"/>
        <v>1</v>
      </c>
      <c r="K1122" s="9" t="str">
        <f t="shared" si="3"/>
        <v>OBESITY</v>
      </c>
    </row>
    <row r="1123" ht="15.75" customHeight="1">
      <c r="A1123" s="9" t="s">
        <v>2245</v>
      </c>
      <c r="B1123" s="9">
        <v>21.4</v>
      </c>
      <c r="C1123" s="9">
        <v>6.3</v>
      </c>
      <c r="D1123" s="9" t="s">
        <v>4686</v>
      </c>
      <c r="E1123" s="9" t="s">
        <v>4684</v>
      </c>
      <c r="F1123" s="9" t="s">
        <v>4686</v>
      </c>
      <c r="G1123" s="9">
        <v>1.0</v>
      </c>
      <c r="H1123" s="9" t="s">
        <v>4684</v>
      </c>
      <c r="I1123" s="9" t="str">
        <f t="shared" si="1"/>
        <v>No</v>
      </c>
      <c r="J1123" s="9">
        <f t="shared" si="2"/>
        <v>1</v>
      </c>
      <c r="K1123" s="9" t="str">
        <f t="shared" si="3"/>
        <v>NORMAL WEIGHT</v>
      </c>
    </row>
    <row r="1124" ht="15.75" customHeight="1">
      <c r="A1124" s="9" t="s">
        <v>2247</v>
      </c>
      <c r="B1124" s="9">
        <v>32.3</v>
      </c>
      <c r="C1124" s="9">
        <v>10.27</v>
      </c>
      <c r="D1124" s="9" t="s">
        <v>4684</v>
      </c>
      <c r="E1124" s="9" t="s">
        <v>4684</v>
      </c>
      <c r="F1124" s="9" t="s">
        <v>4684</v>
      </c>
      <c r="G1124" s="9" t="s">
        <v>4685</v>
      </c>
      <c r="H1124" s="9" t="s">
        <v>4684</v>
      </c>
      <c r="I1124" s="9" t="str">
        <f t="shared" si="1"/>
        <v>No</v>
      </c>
      <c r="J1124" s="9">
        <f t="shared" si="2"/>
        <v>0</v>
      </c>
      <c r="K1124" s="9" t="str">
        <f t="shared" si="3"/>
        <v>OBESITY</v>
      </c>
    </row>
    <row r="1125" ht="15.75" customHeight="1">
      <c r="A1125" s="9" t="s">
        <v>2249</v>
      </c>
      <c r="B1125" s="9">
        <v>29.78</v>
      </c>
      <c r="C1125" s="9">
        <v>5.85</v>
      </c>
      <c r="D1125" s="9" t="s">
        <v>4684</v>
      </c>
      <c r="E1125" s="9" t="s">
        <v>4684</v>
      </c>
      <c r="F1125" s="9" t="s">
        <v>4686</v>
      </c>
      <c r="G1125" s="9">
        <v>1.0</v>
      </c>
      <c r="H1125" s="9" t="s">
        <v>4684</v>
      </c>
      <c r="I1125" s="9" t="str">
        <f t="shared" si="1"/>
        <v>No</v>
      </c>
      <c r="J1125" s="9">
        <f t="shared" si="2"/>
        <v>1</v>
      </c>
      <c r="K1125" s="9" t="str">
        <f t="shared" si="3"/>
        <v>OVERWEIGHT</v>
      </c>
    </row>
    <row r="1126" ht="15.75" customHeight="1">
      <c r="A1126" s="9" t="s">
        <v>2251</v>
      </c>
      <c r="B1126" s="9">
        <v>34.76</v>
      </c>
      <c r="C1126" s="9">
        <v>5.92</v>
      </c>
      <c r="D1126" s="9" t="s">
        <v>4686</v>
      </c>
      <c r="E1126" s="9" t="s">
        <v>4684</v>
      </c>
      <c r="F1126" s="9" t="s">
        <v>4684</v>
      </c>
      <c r="G1126" s="9">
        <v>1.0</v>
      </c>
      <c r="H1126" s="9" t="s">
        <v>4684</v>
      </c>
      <c r="I1126" s="9" t="str">
        <f t="shared" si="1"/>
        <v>No</v>
      </c>
      <c r="J1126" s="9">
        <f t="shared" si="2"/>
        <v>1</v>
      </c>
      <c r="K1126" s="9" t="str">
        <f t="shared" si="3"/>
        <v>OBESITY</v>
      </c>
    </row>
    <row r="1127" ht="15.75" customHeight="1">
      <c r="A1127" s="9" t="s">
        <v>2253</v>
      </c>
      <c r="B1127" s="9">
        <v>18.335</v>
      </c>
      <c r="C1127" s="9">
        <v>10.01</v>
      </c>
      <c r="D1127" s="9" t="s">
        <v>4686</v>
      </c>
      <c r="E1127" s="9" t="s">
        <v>4684</v>
      </c>
      <c r="F1127" s="9" t="s">
        <v>4684</v>
      </c>
      <c r="G1127" s="9">
        <v>2.0</v>
      </c>
      <c r="H1127" s="9" t="s">
        <v>4684</v>
      </c>
      <c r="I1127" s="9" t="str">
        <f t="shared" si="1"/>
        <v>No</v>
      </c>
      <c r="J1127" s="9">
        <f t="shared" si="2"/>
        <v>2</v>
      </c>
      <c r="K1127" s="9" t="str">
        <f t="shared" si="3"/>
        <v>UNDERWEIGHT</v>
      </c>
    </row>
    <row r="1128" ht="15.75" customHeight="1">
      <c r="A1128" s="9" t="s">
        <v>2255</v>
      </c>
      <c r="B1128" s="9">
        <v>32.3</v>
      </c>
      <c r="C1128" s="9">
        <v>9.59</v>
      </c>
      <c r="D1128" s="9" t="s">
        <v>4684</v>
      </c>
      <c r="E1128" s="9" t="s">
        <v>4684</v>
      </c>
      <c r="F1128" s="9" t="s">
        <v>4684</v>
      </c>
      <c r="G1128" s="9" t="s">
        <v>4685</v>
      </c>
      <c r="H1128" s="9" t="s">
        <v>4684</v>
      </c>
      <c r="I1128" s="9" t="str">
        <f t="shared" si="1"/>
        <v>No</v>
      </c>
      <c r="J1128" s="9">
        <f t="shared" si="2"/>
        <v>0</v>
      </c>
      <c r="K1128" s="9" t="str">
        <f t="shared" si="3"/>
        <v>OBESITY</v>
      </c>
    </row>
    <row r="1129" ht="15.75" customHeight="1">
      <c r="A1129" s="9" t="s">
        <v>2257</v>
      </c>
      <c r="B1129" s="9">
        <v>27.74</v>
      </c>
      <c r="C1129" s="9">
        <v>10.37</v>
      </c>
      <c r="D1129" s="9" t="s">
        <v>4684</v>
      </c>
      <c r="E1129" s="9" t="s">
        <v>4684</v>
      </c>
      <c r="F1129" s="9" t="s">
        <v>4684</v>
      </c>
      <c r="G1129" s="9" t="s">
        <v>4685</v>
      </c>
      <c r="H1129" s="9" t="s">
        <v>4684</v>
      </c>
      <c r="I1129" s="9" t="str">
        <f t="shared" si="1"/>
        <v>No</v>
      </c>
      <c r="J1129" s="9">
        <f t="shared" si="2"/>
        <v>0</v>
      </c>
      <c r="K1129" s="9" t="str">
        <f t="shared" si="3"/>
        <v>OVERWEIGHT</v>
      </c>
    </row>
    <row r="1130" ht="15.75" customHeight="1">
      <c r="A1130" s="9" t="s">
        <v>2259</v>
      </c>
      <c r="B1130" s="9">
        <v>24.0</v>
      </c>
      <c r="C1130" s="9">
        <v>4.01</v>
      </c>
      <c r="D1130" s="9" t="s">
        <v>4686</v>
      </c>
      <c r="E1130" s="9" t="s">
        <v>4684</v>
      </c>
      <c r="F1130" s="9" t="s">
        <v>4684</v>
      </c>
      <c r="G1130" s="9">
        <v>1.0</v>
      </c>
      <c r="H1130" s="9" t="s">
        <v>4684</v>
      </c>
      <c r="I1130" s="9" t="str">
        <f t="shared" si="1"/>
        <v>No</v>
      </c>
      <c r="J1130" s="9">
        <f t="shared" si="2"/>
        <v>1</v>
      </c>
      <c r="K1130" s="9" t="str">
        <f t="shared" si="3"/>
        <v>NORMAL WEIGHT</v>
      </c>
    </row>
    <row r="1131" ht="15.75" customHeight="1">
      <c r="A1131" s="9" t="s">
        <v>2261</v>
      </c>
      <c r="B1131" s="9">
        <v>31.78</v>
      </c>
      <c r="C1131" s="9">
        <v>4.24</v>
      </c>
      <c r="D1131" s="9" t="s">
        <v>4686</v>
      </c>
      <c r="E1131" s="9" t="s">
        <v>4684</v>
      </c>
      <c r="F1131" s="9" t="s">
        <v>4686</v>
      </c>
      <c r="G1131" s="9">
        <v>1.0</v>
      </c>
      <c r="H1131" s="9" t="s">
        <v>4684</v>
      </c>
      <c r="I1131" s="9" t="str">
        <f t="shared" si="1"/>
        <v>No</v>
      </c>
      <c r="J1131" s="9">
        <f t="shared" si="2"/>
        <v>1</v>
      </c>
      <c r="K1131" s="9" t="str">
        <f t="shared" si="3"/>
        <v>OBESITY</v>
      </c>
    </row>
    <row r="1132" ht="15.75" customHeight="1">
      <c r="A1132" s="9" t="s">
        <v>2263</v>
      </c>
      <c r="B1132" s="9">
        <v>32.25</v>
      </c>
      <c r="C1132" s="9">
        <v>5.36</v>
      </c>
      <c r="D1132" s="9" t="s">
        <v>4686</v>
      </c>
      <c r="E1132" s="9" t="s">
        <v>4684</v>
      </c>
      <c r="F1132" s="9" t="s">
        <v>4684</v>
      </c>
      <c r="G1132" s="9" t="s">
        <v>4685</v>
      </c>
      <c r="H1132" s="9" t="s">
        <v>4684</v>
      </c>
      <c r="I1132" s="9" t="str">
        <f t="shared" si="1"/>
        <v>No</v>
      </c>
      <c r="J1132" s="9">
        <f t="shared" si="2"/>
        <v>0</v>
      </c>
      <c r="K1132" s="9" t="str">
        <f t="shared" si="3"/>
        <v>OBESITY</v>
      </c>
    </row>
    <row r="1133" ht="15.75" customHeight="1">
      <c r="A1133" s="9" t="s">
        <v>2265</v>
      </c>
      <c r="B1133" s="9">
        <v>30.115</v>
      </c>
      <c r="C1133" s="9">
        <v>4.99</v>
      </c>
      <c r="D1133" s="9" t="s">
        <v>4684</v>
      </c>
      <c r="E1133" s="9" t="s">
        <v>4684</v>
      </c>
      <c r="F1133" s="9" t="s">
        <v>4684</v>
      </c>
      <c r="G1133" s="9">
        <v>2.0</v>
      </c>
      <c r="H1133" s="9" t="s">
        <v>4684</v>
      </c>
      <c r="I1133" s="9" t="str">
        <f t="shared" si="1"/>
        <v>No</v>
      </c>
      <c r="J1133" s="9">
        <f t="shared" si="2"/>
        <v>2</v>
      </c>
      <c r="K1133" s="9" t="str">
        <f t="shared" si="3"/>
        <v>OBESITY</v>
      </c>
    </row>
    <row r="1134" ht="15.75" customHeight="1">
      <c r="A1134" s="9" t="s">
        <v>2267</v>
      </c>
      <c r="B1134" s="9">
        <v>22.41</v>
      </c>
      <c r="C1134" s="9">
        <v>8.68</v>
      </c>
      <c r="D1134" s="9" t="s">
        <v>4684</v>
      </c>
      <c r="E1134" s="9" t="s">
        <v>4684</v>
      </c>
      <c r="F1134" s="9" t="s">
        <v>4684</v>
      </c>
      <c r="G1134" s="9" t="s">
        <v>4685</v>
      </c>
      <c r="H1134" s="9" t="s">
        <v>4684</v>
      </c>
      <c r="I1134" s="9" t="str">
        <f t="shared" si="1"/>
        <v>No</v>
      </c>
      <c r="J1134" s="9">
        <f t="shared" si="2"/>
        <v>0</v>
      </c>
      <c r="K1134" s="9" t="str">
        <f t="shared" si="3"/>
        <v>NORMAL WEIGHT</v>
      </c>
    </row>
    <row r="1135" ht="15.75" customHeight="1">
      <c r="A1135" s="9" t="s">
        <v>2269</v>
      </c>
      <c r="B1135" s="9">
        <v>45.72</v>
      </c>
      <c r="C1135" s="9">
        <v>4.23</v>
      </c>
      <c r="D1135" s="9" t="s">
        <v>4686</v>
      </c>
      <c r="E1135" s="9" t="s">
        <v>4684</v>
      </c>
      <c r="F1135" s="9" t="s">
        <v>4684</v>
      </c>
      <c r="G1135" s="9" t="s">
        <v>4685</v>
      </c>
      <c r="H1135" s="9" t="s">
        <v>4684</v>
      </c>
      <c r="I1135" s="9" t="str">
        <f t="shared" si="1"/>
        <v>No</v>
      </c>
      <c r="J1135" s="9">
        <f t="shared" si="2"/>
        <v>0</v>
      </c>
      <c r="K1135" s="9" t="str">
        <f t="shared" si="3"/>
        <v>OBESITY</v>
      </c>
    </row>
    <row r="1136" ht="15.75" customHeight="1">
      <c r="A1136" s="9" t="s">
        <v>2271</v>
      </c>
      <c r="B1136" s="9">
        <v>25.0</v>
      </c>
      <c r="C1136" s="9">
        <v>5.32</v>
      </c>
      <c r="D1136" s="9" t="s">
        <v>4686</v>
      </c>
      <c r="E1136" s="9" t="s">
        <v>4684</v>
      </c>
      <c r="F1136" s="9" t="s">
        <v>4684</v>
      </c>
      <c r="G1136" s="9">
        <v>2.0</v>
      </c>
      <c r="H1136" s="9" t="s">
        <v>4684</v>
      </c>
      <c r="I1136" s="9" t="str">
        <f t="shared" si="1"/>
        <v>No</v>
      </c>
      <c r="J1136" s="9">
        <f t="shared" si="2"/>
        <v>2</v>
      </c>
      <c r="K1136" s="9" t="str">
        <f t="shared" si="3"/>
        <v>OVERWEIGHT</v>
      </c>
    </row>
    <row r="1137" ht="15.75" customHeight="1">
      <c r="A1137" s="9" t="s">
        <v>2273</v>
      </c>
      <c r="B1137" s="9">
        <v>39.5</v>
      </c>
      <c r="C1137" s="9">
        <v>6.66</v>
      </c>
      <c r="D1137" s="9" t="s">
        <v>4684</v>
      </c>
      <c r="E1137" s="9" t="s">
        <v>4684</v>
      </c>
      <c r="F1137" s="9" t="s">
        <v>4684</v>
      </c>
      <c r="G1137" s="9" t="s">
        <v>4685</v>
      </c>
      <c r="H1137" s="9" t="s">
        <v>4684</v>
      </c>
      <c r="I1137" s="9" t="str">
        <f t="shared" si="1"/>
        <v>No</v>
      </c>
      <c r="J1137" s="9">
        <f t="shared" si="2"/>
        <v>0</v>
      </c>
      <c r="K1137" s="9" t="str">
        <f t="shared" si="3"/>
        <v>OBESITY</v>
      </c>
    </row>
    <row r="1138" ht="15.75" customHeight="1">
      <c r="A1138" s="9" t="s">
        <v>2275</v>
      </c>
      <c r="B1138" s="9">
        <v>37.73</v>
      </c>
      <c r="C1138" s="9">
        <v>7.4</v>
      </c>
      <c r="D1138" s="9" t="s">
        <v>4684</v>
      </c>
      <c r="E1138" s="9" t="s">
        <v>4684</v>
      </c>
      <c r="F1138" s="9" t="s">
        <v>4684</v>
      </c>
      <c r="G1138" s="9" t="s">
        <v>4685</v>
      </c>
      <c r="H1138" s="9" t="s">
        <v>4684</v>
      </c>
      <c r="I1138" s="9" t="str">
        <f t="shared" si="1"/>
        <v>No</v>
      </c>
      <c r="J1138" s="9">
        <f t="shared" si="2"/>
        <v>0</v>
      </c>
      <c r="K1138" s="9" t="str">
        <f t="shared" si="3"/>
        <v>OBESITY</v>
      </c>
    </row>
    <row r="1139" ht="15.75" customHeight="1">
      <c r="A1139" s="9" t="s">
        <v>2277</v>
      </c>
      <c r="B1139" s="9">
        <v>40.66</v>
      </c>
      <c r="C1139" s="9">
        <v>10.08</v>
      </c>
      <c r="D1139" s="9" t="s">
        <v>4684</v>
      </c>
      <c r="E1139" s="9" t="s">
        <v>4684</v>
      </c>
      <c r="F1139" s="9" t="s">
        <v>4684</v>
      </c>
      <c r="G1139" s="9" t="s">
        <v>4685</v>
      </c>
      <c r="H1139" s="9" t="s">
        <v>4684</v>
      </c>
      <c r="I1139" s="9" t="str">
        <f t="shared" si="1"/>
        <v>No</v>
      </c>
      <c r="J1139" s="9">
        <f t="shared" si="2"/>
        <v>0</v>
      </c>
      <c r="K1139" s="9" t="str">
        <f t="shared" si="3"/>
        <v>OBESITY</v>
      </c>
    </row>
    <row r="1140" ht="15.75" customHeight="1">
      <c r="A1140" s="9" t="s">
        <v>2279</v>
      </c>
      <c r="B1140" s="9">
        <v>34.2</v>
      </c>
      <c r="C1140" s="9">
        <v>8.58</v>
      </c>
      <c r="D1140" s="9" t="s">
        <v>4684</v>
      </c>
      <c r="E1140" s="9" t="s">
        <v>4684</v>
      </c>
      <c r="F1140" s="9" t="s">
        <v>4684</v>
      </c>
      <c r="G1140" s="9" t="s">
        <v>4685</v>
      </c>
      <c r="H1140" s="9" t="s">
        <v>4684</v>
      </c>
      <c r="I1140" s="9" t="str">
        <f t="shared" si="1"/>
        <v>No</v>
      </c>
      <c r="J1140" s="9">
        <f t="shared" si="2"/>
        <v>0</v>
      </c>
      <c r="K1140" s="9" t="str">
        <f t="shared" si="3"/>
        <v>OBESITY</v>
      </c>
    </row>
    <row r="1141" ht="15.75" customHeight="1">
      <c r="A1141" s="9" t="s">
        <v>2281</v>
      </c>
      <c r="B1141" s="9">
        <v>46.51</v>
      </c>
      <c r="C1141" s="9">
        <v>5.84</v>
      </c>
      <c r="D1141" s="9" t="s">
        <v>4684</v>
      </c>
      <c r="E1141" s="9" t="s">
        <v>4684</v>
      </c>
      <c r="F1141" s="9" t="s">
        <v>4684</v>
      </c>
      <c r="G1141" s="9">
        <v>1.0</v>
      </c>
      <c r="H1141" s="9" t="s">
        <v>4684</v>
      </c>
      <c r="I1141" s="9" t="str">
        <f t="shared" si="1"/>
        <v>No</v>
      </c>
      <c r="J1141" s="9">
        <f t="shared" si="2"/>
        <v>1</v>
      </c>
      <c r="K1141" s="9" t="str">
        <f t="shared" si="3"/>
        <v>OBESITY</v>
      </c>
    </row>
    <row r="1142" ht="15.75" customHeight="1">
      <c r="A1142" s="9" t="s">
        <v>2283</v>
      </c>
      <c r="B1142" s="9">
        <v>28.88</v>
      </c>
      <c r="C1142" s="9">
        <v>4.86</v>
      </c>
      <c r="D1142" s="9" t="s">
        <v>4686</v>
      </c>
      <c r="E1142" s="9" t="s">
        <v>4684</v>
      </c>
      <c r="F1142" s="9" t="s">
        <v>4686</v>
      </c>
      <c r="G1142" s="9">
        <v>1.0</v>
      </c>
      <c r="H1142" s="9" t="s">
        <v>4684</v>
      </c>
      <c r="I1142" s="9" t="str">
        <f t="shared" si="1"/>
        <v>No</v>
      </c>
      <c r="J1142" s="9">
        <f t="shared" si="2"/>
        <v>1</v>
      </c>
      <c r="K1142" s="9" t="str">
        <f t="shared" si="3"/>
        <v>OVERWEIGHT</v>
      </c>
    </row>
    <row r="1143" ht="15.75" customHeight="1">
      <c r="A1143" s="9" t="s">
        <v>2285</v>
      </c>
      <c r="B1143" s="9">
        <v>33.915</v>
      </c>
      <c r="C1143" s="9">
        <v>11.52</v>
      </c>
      <c r="D1143" s="9" t="s">
        <v>4684</v>
      </c>
      <c r="E1143" s="9" t="s">
        <v>4684</v>
      </c>
      <c r="F1143" s="9" t="s">
        <v>4684</v>
      </c>
      <c r="G1143" s="9" t="s">
        <v>4685</v>
      </c>
      <c r="H1143" s="9" t="s">
        <v>4684</v>
      </c>
      <c r="I1143" s="9" t="str">
        <f t="shared" si="1"/>
        <v>No</v>
      </c>
      <c r="J1143" s="9">
        <f t="shared" si="2"/>
        <v>0</v>
      </c>
      <c r="K1143" s="9" t="str">
        <f t="shared" si="3"/>
        <v>OBESITY</v>
      </c>
    </row>
    <row r="1144" ht="15.75" customHeight="1">
      <c r="A1144" s="9" t="s">
        <v>2287</v>
      </c>
      <c r="B1144" s="9">
        <v>24.32</v>
      </c>
      <c r="C1144" s="9">
        <v>6.15</v>
      </c>
      <c r="D1144" s="9" t="s">
        <v>4686</v>
      </c>
      <c r="E1144" s="9" t="s">
        <v>4684</v>
      </c>
      <c r="F1144" s="9" t="s">
        <v>4686</v>
      </c>
      <c r="G1144" s="9">
        <v>1.0</v>
      </c>
      <c r="H1144" s="9" t="s">
        <v>4684</v>
      </c>
      <c r="I1144" s="9" t="str">
        <f t="shared" si="1"/>
        <v>No</v>
      </c>
      <c r="J1144" s="9">
        <f t="shared" si="2"/>
        <v>1</v>
      </c>
      <c r="K1144" s="9" t="str">
        <f t="shared" si="3"/>
        <v>NORMAL WEIGHT</v>
      </c>
    </row>
    <row r="1145" ht="15.75" customHeight="1">
      <c r="A1145" s="9" t="s">
        <v>2289</v>
      </c>
      <c r="B1145" s="9">
        <v>25.8</v>
      </c>
      <c r="C1145" s="9">
        <v>9.94</v>
      </c>
      <c r="D1145" s="9" t="s">
        <v>4684</v>
      </c>
      <c r="E1145" s="9" t="s">
        <v>4684</v>
      </c>
      <c r="F1145" s="9" t="s">
        <v>4684</v>
      </c>
      <c r="G1145" s="9" t="s">
        <v>4685</v>
      </c>
      <c r="H1145" s="9" t="s">
        <v>4684</v>
      </c>
      <c r="I1145" s="9" t="str">
        <f t="shared" si="1"/>
        <v>No</v>
      </c>
      <c r="J1145" s="9">
        <f t="shared" si="2"/>
        <v>0</v>
      </c>
      <c r="K1145" s="9" t="str">
        <f t="shared" si="3"/>
        <v>OVERWEIGHT</v>
      </c>
    </row>
    <row r="1146" ht="15.75" customHeight="1">
      <c r="A1146" s="9" t="s">
        <v>2291</v>
      </c>
      <c r="B1146" s="9">
        <v>21.56</v>
      </c>
      <c r="C1146" s="9">
        <v>10.56</v>
      </c>
      <c r="D1146" s="9" t="s">
        <v>4684</v>
      </c>
      <c r="E1146" s="9" t="s">
        <v>4684</v>
      </c>
      <c r="F1146" s="9" t="s">
        <v>4684</v>
      </c>
      <c r="G1146" s="9" t="s">
        <v>4685</v>
      </c>
      <c r="H1146" s="9" t="s">
        <v>4684</v>
      </c>
      <c r="I1146" s="9" t="str">
        <f t="shared" si="1"/>
        <v>No</v>
      </c>
      <c r="J1146" s="9">
        <f t="shared" si="2"/>
        <v>0</v>
      </c>
      <c r="K1146" s="9" t="str">
        <f t="shared" si="3"/>
        <v>NORMAL WEIGHT</v>
      </c>
    </row>
    <row r="1147" ht="15.75" customHeight="1">
      <c r="A1147" s="9" t="s">
        <v>2293</v>
      </c>
      <c r="B1147" s="9">
        <v>31.6</v>
      </c>
      <c r="C1147" s="9">
        <v>6.79</v>
      </c>
      <c r="D1147" s="9" t="s">
        <v>4684</v>
      </c>
      <c r="E1147" s="9" t="s">
        <v>4684</v>
      </c>
      <c r="F1147" s="9" t="s">
        <v>4684</v>
      </c>
      <c r="G1147" s="9" t="s">
        <v>4685</v>
      </c>
      <c r="H1147" s="9" t="s">
        <v>4684</v>
      </c>
      <c r="I1147" s="9" t="str">
        <f t="shared" si="1"/>
        <v>No</v>
      </c>
      <c r="J1147" s="9">
        <f t="shared" si="2"/>
        <v>0</v>
      </c>
      <c r="K1147" s="9" t="str">
        <f t="shared" si="3"/>
        <v>OBESITY</v>
      </c>
    </row>
    <row r="1148" ht="15.75" customHeight="1">
      <c r="A1148" s="9" t="s">
        <v>2295</v>
      </c>
      <c r="B1148" s="9">
        <v>42.93</v>
      </c>
      <c r="C1148" s="9">
        <v>4.8</v>
      </c>
      <c r="D1148" s="9" t="s">
        <v>4684</v>
      </c>
      <c r="E1148" s="9" t="s">
        <v>4684</v>
      </c>
      <c r="F1148" s="9" t="s">
        <v>4684</v>
      </c>
      <c r="G1148" s="9">
        <v>1.0</v>
      </c>
      <c r="H1148" s="9" t="s">
        <v>4684</v>
      </c>
      <c r="I1148" s="9" t="str">
        <f t="shared" si="1"/>
        <v>No</v>
      </c>
      <c r="J1148" s="9">
        <f t="shared" si="2"/>
        <v>1</v>
      </c>
      <c r="K1148" s="9" t="str">
        <f t="shared" si="3"/>
        <v>OBESITY</v>
      </c>
    </row>
    <row r="1149" ht="15.75" customHeight="1">
      <c r="A1149" s="9" t="s">
        <v>2297</v>
      </c>
      <c r="B1149" s="9">
        <v>26.72</v>
      </c>
      <c r="C1149" s="9">
        <v>5.75</v>
      </c>
      <c r="D1149" s="9" t="s">
        <v>4684</v>
      </c>
      <c r="E1149" s="9" t="s">
        <v>4684</v>
      </c>
      <c r="F1149" s="9" t="s">
        <v>4684</v>
      </c>
      <c r="G1149" s="9">
        <v>2.0</v>
      </c>
      <c r="H1149" s="9" t="s">
        <v>4684</v>
      </c>
      <c r="I1149" s="9" t="str">
        <f t="shared" si="1"/>
        <v>No</v>
      </c>
      <c r="J1149" s="9">
        <f t="shared" si="2"/>
        <v>2</v>
      </c>
      <c r="K1149" s="9" t="str">
        <f t="shared" si="3"/>
        <v>OVERWEIGHT</v>
      </c>
    </row>
    <row r="1150" ht="15.75" customHeight="1">
      <c r="A1150" s="9" t="s">
        <v>2299</v>
      </c>
      <c r="B1150" s="9">
        <v>26.67</v>
      </c>
      <c r="C1150" s="9">
        <v>5.81</v>
      </c>
      <c r="D1150" s="9" t="s">
        <v>4684</v>
      </c>
      <c r="E1150" s="9" t="s">
        <v>4684</v>
      </c>
      <c r="F1150" s="9" t="s">
        <v>4684</v>
      </c>
      <c r="G1150" s="9">
        <v>2.0</v>
      </c>
      <c r="H1150" s="9" t="s">
        <v>4684</v>
      </c>
      <c r="I1150" s="9" t="str">
        <f t="shared" si="1"/>
        <v>No</v>
      </c>
      <c r="J1150" s="9">
        <f t="shared" si="2"/>
        <v>2</v>
      </c>
      <c r="K1150" s="9" t="str">
        <f t="shared" si="3"/>
        <v>OVERWEIGHT</v>
      </c>
    </row>
    <row r="1151" ht="15.75" customHeight="1">
      <c r="A1151" s="9" t="s">
        <v>2301</v>
      </c>
      <c r="B1151" s="9">
        <v>42.68</v>
      </c>
      <c r="C1151" s="9">
        <v>9.28</v>
      </c>
      <c r="D1151" s="9" t="s">
        <v>4684</v>
      </c>
      <c r="E1151" s="9" t="s">
        <v>4684</v>
      </c>
      <c r="F1151" s="9" t="s">
        <v>4684</v>
      </c>
      <c r="G1151" s="9">
        <v>2.0</v>
      </c>
      <c r="H1151" s="9" t="s">
        <v>4684</v>
      </c>
      <c r="I1151" s="9" t="str">
        <f t="shared" si="1"/>
        <v>No</v>
      </c>
      <c r="J1151" s="9">
        <f t="shared" si="2"/>
        <v>2</v>
      </c>
      <c r="K1151" s="9" t="str">
        <f t="shared" si="3"/>
        <v>OBESITY</v>
      </c>
    </row>
    <row r="1152" ht="15.75" customHeight="1">
      <c r="A1152" s="9" t="s">
        <v>2303</v>
      </c>
      <c r="B1152" s="9">
        <v>24.31</v>
      </c>
      <c r="C1152" s="9">
        <v>6.37</v>
      </c>
      <c r="D1152" s="9" t="s">
        <v>4684</v>
      </c>
      <c r="E1152" s="9" t="s">
        <v>4684</v>
      </c>
      <c r="F1152" s="9" t="s">
        <v>4684</v>
      </c>
      <c r="G1152" s="9" t="s">
        <v>4685</v>
      </c>
      <c r="H1152" s="9" t="s">
        <v>4684</v>
      </c>
      <c r="I1152" s="9" t="str">
        <f t="shared" si="1"/>
        <v>No</v>
      </c>
      <c r="J1152" s="9">
        <f t="shared" si="2"/>
        <v>0</v>
      </c>
      <c r="K1152" s="9" t="str">
        <f t="shared" si="3"/>
        <v>NORMAL WEIGHT</v>
      </c>
    </row>
    <row r="1153" ht="15.75" customHeight="1">
      <c r="A1153" s="9" t="s">
        <v>2305</v>
      </c>
      <c r="B1153" s="9">
        <v>44.75</v>
      </c>
      <c r="C1153" s="9">
        <v>5.09</v>
      </c>
      <c r="D1153" s="9" t="s">
        <v>4686</v>
      </c>
      <c r="E1153" s="9" t="s">
        <v>4684</v>
      </c>
      <c r="F1153" s="9" t="s">
        <v>4684</v>
      </c>
      <c r="G1153" s="9" t="s">
        <v>4685</v>
      </c>
      <c r="H1153" s="9" t="s">
        <v>4684</v>
      </c>
      <c r="I1153" s="9" t="str">
        <f t="shared" si="1"/>
        <v>No</v>
      </c>
      <c r="J1153" s="9">
        <f t="shared" si="2"/>
        <v>0</v>
      </c>
      <c r="K1153" s="9" t="str">
        <f t="shared" si="3"/>
        <v>OBESITY</v>
      </c>
    </row>
    <row r="1154" ht="15.75" customHeight="1">
      <c r="A1154" s="9" t="s">
        <v>2307</v>
      </c>
      <c r="B1154" s="9">
        <v>30.78</v>
      </c>
      <c r="C1154" s="9">
        <v>7.94</v>
      </c>
      <c r="D1154" s="9" t="s">
        <v>4684</v>
      </c>
      <c r="E1154" s="9" t="s">
        <v>4684</v>
      </c>
      <c r="F1154" s="9" t="s">
        <v>4684</v>
      </c>
      <c r="G1154" s="9">
        <v>2.0</v>
      </c>
      <c r="H1154" s="9" t="s">
        <v>4684</v>
      </c>
      <c r="I1154" s="9" t="str">
        <f t="shared" si="1"/>
        <v>No</v>
      </c>
      <c r="J1154" s="9">
        <f t="shared" si="2"/>
        <v>2</v>
      </c>
      <c r="K1154" s="9" t="str">
        <f t="shared" si="3"/>
        <v>OBESITY</v>
      </c>
    </row>
    <row r="1155" ht="15.75" customHeight="1">
      <c r="A1155" s="9" t="s">
        <v>2309</v>
      </c>
      <c r="B1155" s="9">
        <v>21.86</v>
      </c>
      <c r="C1155" s="9">
        <v>10.95</v>
      </c>
      <c r="D1155" s="9" t="s">
        <v>4684</v>
      </c>
      <c r="E1155" s="9" t="s">
        <v>4684</v>
      </c>
      <c r="F1155" s="9" t="s">
        <v>4684</v>
      </c>
      <c r="G1155" s="9" t="s">
        <v>4685</v>
      </c>
      <c r="H1155" s="9" t="s">
        <v>4684</v>
      </c>
      <c r="I1155" s="9" t="str">
        <f t="shared" si="1"/>
        <v>No</v>
      </c>
      <c r="J1155" s="9">
        <f t="shared" si="2"/>
        <v>0</v>
      </c>
      <c r="K1155" s="9" t="str">
        <f t="shared" si="3"/>
        <v>NORMAL WEIGHT</v>
      </c>
    </row>
    <row r="1156" ht="15.75" customHeight="1">
      <c r="A1156" s="9" t="s">
        <v>2311</v>
      </c>
      <c r="B1156" s="9">
        <v>49.09</v>
      </c>
      <c r="C1156" s="9">
        <v>6.3</v>
      </c>
      <c r="D1156" s="9" t="s">
        <v>4686</v>
      </c>
      <c r="E1156" s="9" t="s">
        <v>4684</v>
      </c>
      <c r="F1156" s="9" t="s">
        <v>4684</v>
      </c>
      <c r="G1156" s="9" t="s">
        <v>4685</v>
      </c>
      <c r="H1156" s="9" t="s">
        <v>4684</v>
      </c>
      <c r="I1156" s="9" t="str">
        <f t="shared" si="1"/>
        <v>No</v>
      </c>
      <c r="J1156" s="9">
        <f t="shared" si="2"/>
        <v>0</v>
      </c>
      <c r="K1156" s="9" t="str">
        <f t="shared" si="3"/>
        <v>OBESITY</v>
      </c>
    </row>
    <row r="1157" ht="15.75" customHeight="1">
      <c r="A1157" s="9" t="s">
        <v>2313</v>
      </c>
      <c r="B1157" s="9">
        <v>47.74</v>
      </c>
      <c r="C1157" s="9">
        <v>8.05</v>
      </c>
      <c r="D1157" s="9" t="s">
        <v>4686</v>
      </c>
      <c r="E1157" s="9" t="s">
        <v>4684</v>
      </c>
      <c r="F1157" s="9" t="s">
        <v>4684</v>
      </c>
      <c r="G1157" s="9">
        <v>2.0</v>
      </c>
      <c r="H1157" s="9" t="s">
        <v>4684</v>
      </c>
      <c r="I1157" s="9" t="str">
        <f t="shared" si="1"/>
        <v>No</v>
      </c>
      <c r="J1157" s="9">
        <f t="shared" si="2"/>
        <v>2</v>
      </c>
      <c r="K1157" s="9" t="str">
        <f t="shared" si="3"/>
        <v>OBESITY</v>
      </c>
    </row>
    <row r="1158" ht="15.75" customHeight="1">
      <c r="A1158" s="9" t="s">
        <v>2315</v>
      </c>
      <c r="B1158" s="9">
        <v>30.2</v>
      </c>
      <c r="C1158" s="9">
        <v>9.88</v>
      </c>
      <c r="D1158" s="9" t="s">
        <v>4686</v>
      </c>
      <c r="E1158" s="9" t="s">
        <v>4684</v>
      </c>
      <c r="F1158" s="9" t="s">
        <v>4684</v>
      </c>
      <c r="G1158" s="9">
        <v>2.0</v>
      </c>
      <c r="H1158" s="9" t="s">
        <v>4684</v>
      </c>
      <c r="I1158" s="9" t="str">
        <f t="shared" si="1"/>
        <v>No</v>
      </c>
      <c r="J1158" s="9">
        <f t="shared" si="2"/>
        <v>2</v>
      </c>
      <c r="K1158" s="9" t="str">
        <f t="shared" si="3"/>
        <v>OBESITY</v>
      </c>
    </row>
    <row r="1159" ht="15.75" customHeight="1">
      <c r="A1159" s="9" t="s">
        <v>2317</v>
      </c>
      <c r="B1159" s="9">
        <v>33.25</v>
      </c>
      <c r="C1159" s="9">
        <v>7.42</v>
      </c>
      <c r="D1159" s="9" t="s">
        <v>4686</v>
      </c>
      <c r="E1159" s="9" t="s">
        <v>4684</v>
      </c>
      <c r="F1159" s="9" t="s">
        <v>4684</v>
      </c>
      <c r="G1159" s="9">
        <v>2.0</v>
      </c>
      <c r="H1159" s="9" t="s">
        <v>4684</v>
      </c>
      <c r="I1159" s="9" t="str">
        <f t="shared" si="1"/>
        <v>No</v>
      </c>
      <c r="J1159" s="9">
        <f t="shared" si="2"/>
        <v>2</v>
      </c>
      <c r="K1159" s="9" t="str">
        <f t="shared" si="3"/>
        <v>OBESITY</v>
      </c>
    </row>
    <row r="1160" ht="15.75" customHeight="1">
      <c r="A1160" s="9" t="s">
        <v>2319</v>
      </c>
      <c r="B1160" s="9">
        <v>26.6</v>
      </c>
      <c r="C1160" s="9">
        <v>8.45</v>
      </c>
      <c r="D1160" s="9" t="s">
        <v>4686</v>
      </c>
      <c r="E1160" s="9" t="s">
        <v>4684</v>
      </c>
      <c r="F1160" s="9" t="s">
        <v>4684</v>
      </c>
      <c r="G1160" s="9">
        <v>1.0</v>
      </c>
      <c r="H1160" s="9" t="s">
        <v>4684</v>
      </c>
      <c r="I1160" s="9" t="str">
        <f t="shared" si="1"/>
        <v>No</v>
      </c>
      <c r="J1160" s="9">
        <f t="shared" si="2"/>
        <v>1</v>
      </c>
      <c r="K1160" s="9" t="str">
        <f t="shared" si="3"/>
        <v>OVERWEIGHT</v>
      </c>
    </row>
    <row r="1161" ht="15.75" customHeight="1">
      <c r="A1161" s="9" t="s">
        <v>2321</v>
      </c>
      <c r="B1161" s="9">
        <v>26.35</v>
      </c>
      <c r="C1161" s="9">
        <v>6.21</v>
      </c>
      <c r="D1161" s="9" t="s">
        <v>4684</v>
      </c>
      <c r="E1161" s="9" t="s">
        <v>4684</v>
      </c>
      <c r="F1161" s="9" t="s">
        <v>4684</v>
      </c>
      <c r="G1161" s="9">
        <v>2.0</v>
      </c>
      <c r="H1161" s="9" t="s">
        <v>4684</v>
      </c>
      <c r="I1161" s="9" t="str">
        <f t="shared" si="1"/>
        <v>No</v>
      </c>
      <c r="J1161" s="9">
        <f t="shared" si="2"/>
        <v>2</v>
      </c>
      <c r="K1161" s="9" t="str">
        <f t="shared" si="3"/>
        <v>OVERWEIGHT</v>
      </c>
    </row>
    <row r="1162" ht="15.75" customHeight="1">
      <c r="A1162" s="9" t="s">
        <v>2323</v>
      </c>
      <c r="B1162" s="9">
        <v>39.995</v>
      </c>
      <c r="C1162" s="9">
        <v>4.65</v>
      </c>
      <c r="D1162" s="9" t="s">
        <v>4684</v>
      </c>
      <c r="E1162" s="9" t="s">
        <v>4684</v>
      </c>
      <c r="F1162" s="9" t="s">
        <v>4684</v>
      </c>
      <c r="G1162" s="9" t="s">
        <v>4685</v>
      </c>
      <c r="H1162" s="9" t="s">
        <v>4684</v>
      </c>
      <c r="I1162" s="9" t="str">
        <f t="shared" si="1"/>
        <v>No</v>
      </c>
      <c r="J1162" s="9">
        <f t="shared" si="2"/>
        <v>0</v>
      </c>
      <c r="K1162" s="9" t="str">
        <f t="shared" si="3"/>
        <v>OBESITY</v>
      </c>
    </row>
    <row r="1163" ht="15.75" customHeight="1">
      <c r="A1163" s="9" t="s">
        <v>2325</v>
      </c>
      <c r="B1163" s="9">
        <v>22.92</v>
      </c>
      <c r="C1163" s="9">
        <v>5.87</v>
      </c>
      <c r="D1163" s="9" t="s">
        <v>4686</v>
      </c>
      <c r="E1163" s="9" t="s">
        <v>4684</v>
      </c>
      <c r="F1163" s="9" t="s">
        <v>4684</v>
      </c>
      <c r="G1163" s="9">
        <v>1.0</v>
      </c>
      <c r="H1163" s="9" t="s">
        <v>4684</v>
      </c>
      <c r="I1163" s="9" t="str">
        <f t="shared" si="1"/>
        <v>No</v>
      </c>
      <c r="J1163" s="9">
        <f t="shared" si="2"/>
        <v>1</v>
      </c>
      <c r="K1163" s="9" t="str">
        <f t="shared" si="3"/>
        <v>NORMAL WEIGHT</v>
      </c>
    </row>
    <row r="1164" ht="15.75" customHeight="1">
      <c r="A1164" s="9" t="s">
        <v>2327</v>
      </c>
      <c r="B1164" s="9">
        <v>24.78</v>
      </c>
      <c r="C1164" s="9">
        <v>4.24</v>
      </c>
      <c r="D1164" s="9" t="s">
        <v>4686</v>
      </c>
      <c r="E1164" s="9" t="s">
        <v>4684</v>
      </c>
      <c r="F1164" s="9" t="s">
        <v>4684</v>
      </c>
      <c r="G1164" s="9">
        <v>2.0</v>
      </c>
      <c r="H1164" s="9" t="s">
        <v>4684</v>
      </c>
      <c r="I1164" s="9" t="str">
        <f t="shared" si="1"/>
        <v>No</v>
      </c>
      <c r="J1164" s="9">
        <f t="shared" si="2"/>
        <v>2</v>
      </c>
      <c r="K1164" s="9" t="str">
        <f t="shared" si="3"/>
        <v>NORMAL WEIGHT</v>
      </c>
    </row>
    <row r="1165" ht="15.75" customHeight="1">
      <c r="A1165" s="9" t="s">
        <v>2329</v>
      </c>
      <c r="B1165" s="9">
        <v>34.07</v>
      </c>
      <c r="C1165" s="9">
        <v>7.81</v>
      </c>
      <c r="D1165" s="9" t="s">
        <v>4686</v>
      </c>
      <c r="E1165" s="9" t="s">
        <v>4684</v>
      </c>
      <c r="F1165" s="9" t="s">
        <v>4684</v>
      </c>
      <c r="G1165" s="9" t="s">
        <v>4685</v>
      </c>
      <c r="H1165" s="9" t="s">
        <v>4684</v>
      </c>
      <c r="I1165" s="9" t="str">
        <f t="shared" si="1"/>
        <v>No</v>
      </c>
      <c r="J1165" s="9">
        <f t="shared" si="2"/>
        <v>0</v>
      </c>
      <c r="K1165" s="9" t="str">
        <f t="shared" si="3"/>
        <v>OBESITY</v>
      </c>
    </row>
    <row r="1166" ht="15.75" customHeight="1">
      <c r="A1166" s="9" t="s">
        <v>2331</v>
      </c>
      <c r="B1166" s="9">
        <v>30.14</v>
      </c>
      <c r="C1166" s="9">
        <v>9.85</v>
      </c>
      <c r="D1166" s="9" t="s">
        <v>4684</v>
      </c>
      <c r="E1166" s="9" t="s">
        <v>4684</v>
      </c>
      <c r="F1166" s="9" t="s">
        <v>4684</v>
      </c>
      <c r="G1166" s="9" t="s">
        <v>4685</v>
      </c>
      <c r="H1166" s="9" t="s">
        <v>4684</v>
      </c>
      <c r="I1166" s="9" t="str">
        <f t="shared" si="1"/>
        <v>No</v>
      </c>
      <c r="J1166" s="9">
        <f t="shared" si="2"/>
        <v>0</v>
      </c>
      <c r="K1166" s="9" t="str">
        <f t="shared" si="3"/>
        <v>OBESITY</v>
      </c>
    </row>
    <row r="1167" ht="15.75" customHeight="1">
      <c r="A1167" s="9" t="s">
        <v>2333</v>
      </c>
      <c r="B1167" s="9">
        <v>18.05</v>
      </c>
      <c r="C1167" s="9">
        <v>6.94</v>
      </c>
      <c r="D1167" s="9" t="s">
        <v>4684</v>
      </c>
      <c r="E1167" s="9" t="s">
        <v>4684</v>
      </c>
      <c r="F1167" s="9" t="s">
        <v>4684</v>
      </c>
      <c r="G1167" s="9" t="s">
        <v>4685</v>
      </c>
      <c r="H1167" s="9" t="s">
        <v>4684</v>
      </c>
      <c r="I1167" s="9" t="str">
        <f t="shared" si="1"/>
        <v>No</v>
      </c>
      <c r="J1167" s="9">
        <f t="shared" si="2"/>
        <v>0</v>
      </c>
      <c r="K1167" s="9" t="str">
        <f t="shared" si="3"/>
        <v>UNDERWEIGHT</v>
      </c>
    </row>
    <row r="1168" ht="15.75" customHeight="1">
      <c r="A1168" s="9" t="s">
        <v>2335</v>
      </c>
      <c r="B1168" s="9">
        <v>37.4</v>
      </c>
      <c r="C1168" s="9">
        <v>11.3</v>
      </c>
      <c r="D1168" s="9" t="s">
        <v>4686</v>
      </c>
      <c r="E1168" s="9" t="s">
        <v>4684</v>
      </c>
      <c r="F1168" s="9" t="s">
        <v>4684</v>
      </c>
      <c r="G1168" s="9">
        <v>2.0</v>
      </c>
      <c r="H1168" s="9" t="s">
        <v>4684</v>
      </c>
      <c r="I1168" s="9" t="str">
        <f t="shared" si="1"/>
        <v>No</v>
      </c>
      <c r="J1168" s="9">
        <f t="shared" si="2"/>
        <v>2</v>
      </c>
      <c r="K1168" s="9" t="str">
        <f t="shared" si="3"/>
        <v>OBESITY</v>
      </c>
    </row>
    <row r="1169" ht="15.75" customHeight="1">
      <c r="A1169" s="9" t="s">
        <v>2337</v>
      </c>
      <c r="B1169" s="9">
        <v>25.75</v>
      </c>
      <c r="C1169" s="9">
        <v>9.23</v>
      </c>
      <c r="D1169" s="9" t="s">
        <v>4684</v>
      </c>
      <c r="E1169" s="9" t="s">
        <v>4684</v>
      </c>
      <c r="F1169" s="9" t="s">
        <v>4684</v>
      </c>
      <c r="G1169" s="9" t="s">
        <v>4685</v>
      </c>
      <c r="H1169" s="9" t="s">
        <v>4684</v>
      </c>
      <c r="I1169" s="9" t="str">
        <f t="shared" si="1"/>
        <v>No</v>
      </c>
      <c r="J1169" s="9">
        <f t="shared" si="2"/>
        <v>0</v>
      </c>
      <c r="K1169" s="9" t="str">
        <f t="shared" si="3"/>
        <v>OVERWEIGHT</v>
      </c>
    </row>
    <row r="1170" ht="15.75" customHeight="1">
      <c r="A1170" s="9" t="s">
        <v>2339</v>
      </c>
      <c r="B1170" s="9">
        <v>32.3</v>
      </c>
      <c r="C1170" s="9">
        <v>4.37</v>
      </c>
      <c r="D1170" s="9" t="s">
        <v>4684</v>
      </c>
      <c r="E1170" s="9" t="s">
        <v>4684</v>
      </c>
      <c r="F1170" s="9" t="s">
        <v>4684</v>
      </c>
      <c r="G1170" s="9">
        <v>2.0</v>
      </c>
      <c r="H1170" s="9" t="s">
        <v>4684</v>
      </c>
      <c r="I1170" s="9" t="str">
        <f t="shared" si="1"/>
        <v>No</v>
      </c>
      <c r="J1170" s="9">
        <f t="shared" si="2"/>
        <v>2</v>
      </c>
      <c r="K1170" s="9" t="str">
        <f t="shared" si="3"/>
        <v>OBESITY</v>
      </c>
    </row>
    <row r="1171" ht="15.75" customHeight="1">
      <c r="A1171" s="9" t="s">
        <v>2341</v>
      </c>
      <c r="B1171" s="9">
        <v>28.61</v>
      </c>
      <c r="C1171" s="9">
        <v>5.76</v>
      </c>
      <c r="D1171" s="9" t="s">
        <v>4684</v>
      </c>
      <c r="E1171" s="9" t="s">
        <v>4684</v>
      </c>
      <c r="F1171" s="9" t="s">
        <v>4686</v>
      </c>
      <c r="G1171" s="9">
        <v>1.0</v>
      </c>
      <c r="H1171" s="9" t="s">
        <v>4684</v>
      </c>
      <c r="I1171" s="9" t="str">
        <f t="shared" si="1"/>
        <v>No</v>
      </c>
      <c r="J1171" s="9">
        <f t="shared" si="2"/>
        <v>1</v>
      </c>
      <c r="K1171" s="9" t="str">
        <f t="shared" si="3"/>
        <v>OVERWEIGHT</v>
      </c>
    </row>
    <row r="1172" ht="15.75" customHeight="1">
      <c r="A1172" s="9" t="s">
        <v>2343</v>
      </c>
      <c r="B1172" s="9">
        <v>45.41</v>
      </c>
      <c r="C1172" s="9">
        <v>4.96</v>
      </c>
      <c r="D1172" s="9" t="s">
        <v>4684</v>
      </c>
      <c r="E1172" s="9" t="s">
        <v>4684</v>
      </c>
      <c r="F1172" s="9" t="s">
        <v>4684</v>
      </c>
      <c r="G1172" s="9">
        <v>1.0</v>
      </c>
      <c r="H1172" s="9" t="s">
        <v>4684</v>
      </c>
      <c r="I1172" s="9" t="str">
        <f t="shared" si="1"/>
        <v>No</v>
      </c>
      <c r="J1172" s="9">
        <f t="shared" si="2"/>
        <v>1</v>
      </c>
      <c r="K1172" s="9" t="str">
        <f t="shared" si="3"/>
        <v>OBESITY</v>
      </c>
    </row>
    <row r="1173" ht="15.75" customHeight="1">
      <c r="A1173" s="9" t="s">
        <v>2345</v>
      </c>
      <c r="B1173" s="9">
        <v>31.2</v>
      </c>
      <c r="C1173" s="9">
        <v>11.04</v>
      </c>
      <c r="D1173" s="9" t="s">
        <v>4686</v>
      </c>
      <c r="E1173" s="9" t="s">
        <v>4684</v>
      </c>
      <c r="F1173" s="9" t="s">
        <v>4684</v>
      </c>
      <c r="G1173" s="9">
        <v>2.0</v>
      </c>
      <c r="H1173" s="9" t="s">
        <v>4684</v>
      </c>
      <c r="I1173" s="9" t="str">
        <f t="shared" si="1"/>
        <v>No</v>
      </c>
      <c r="J1173" s="9">
        <f t="shared" si="2"/>
        <v>2</v>
      </c>
      <c r="K1173" s="9" t="str">
        <f t="shared" si="3"/>
        <v>OBESITY</v>
      </c>
    </row>
    <row r="1174" ht="15.75" customHeight="1">
      <c r="A1174" s="9" t="s">
        <v>2347</v>
      </c>
      <c r="B1174" s="9">
        <v>29.83</v>
      </c>
      <c r="C1174" s="9">
        <v>7.81</v>
      </c>
      <c r="D1174" s="9" t="s">
        <v>4686</v>
      </c>
      <c r="E1174" s="9" t="s">
        <v>4684</v>
      </c>
      <c r="F1174" s="9" t="s">
        <v>4684</v>
      </c>
      <c r="G1174" s="9">
        <v>1.0</v>
      </c>
      <c r="H1174" s="9" t="s">
        <v>4684</v>
      </c>
      <c r="I1174" s="9" t="str">
        <f t="shared" si="1"/>
        <v>No</v>
      </c>
      <c r="J1174" s="9">
        <f t="shared" si="2"/>
        <v>1</v>
      </c>
      <c r="K1174" s="9" t="str">
        <f t="shared" si="3"/>
        <v>OVERWEIGHT</v>
      </c>
    </row>
    <row r="1175" ht="15.75" customHeight="1">
      <c r="A1175" s="9" t="s">
        <v>2349</v>
      </c>
      <c r="B1175" s="9">
        <v>29.06</v>
      </c>
      <c r="C1175" s="9">
        <v>4.55</v>
      </c>
      <c r="D1175" s="9" t="s">
        <v>4684</v>
      </c>
      <c r="E1175" s="9" t="s">
        <v>4684</v>
      </c>
      <c r="F1175" s="9" t="s">
        <v>4684</v>
      </c>
      <c r="G1175" s="9" t="s">
        <v>4685</v>
      </c>
      <c r="H1175" s="9" t="s">
        <v>4684</v>
      </c>
      <c r="I1175" s="9" t="str">
        <f t="shared" si="1"/>
        <v>No</v>
      </c>
      <c r="J1175" s="9">
        <f t="shared" si="2"/>
        <v>0</v>
      </c>
      <c r="K1175" s="9" t="str">
        <f t="shared" si="3"/>
        <v>OVERWEIGHT</v>
      </c>
    </row>
    <row r="1176" ht="15.75" customHeight="1">
      <c r="A1176" s="9" t="s">
        <v>2351</v>
      </c>
      <c r="B1176" s="9">
        <v>27.455</v>
      </c>
      <c r="C1176" s="9">
        <v>6.13</v>
      </c>
      <c r="D1176" s="9" t="s">
        <v>4684</v>
      </c>
      <c r="E1176" s="9" t="s">
        <v>4684</v>
      </c>
      <c r="F1176" s="9" t="s">
        <v>4684</v>
      </c>
      <c r="G1176" s="9">
        <v>2.0</v>
      </c>
      <c r="H1176" s="9" t="s">
        <v>4684</v>
      </c>
      <c r="I1176" s="9" t="str">
        <f t="shared" si="1"/>
        <v>No</v>
      </c>
      <c r="J1176" s="9">
        <f t="shared" si="2"/>
        <v>2</v>
      </c>
      <c r="K1176" s="9" t="str">
        <f t="shared" si="3"/>
        <v>OVERWEIGHT</v>
      </c>
    </row>
    <row r="1177" ht="15.75" customHeight="1">
      <c r="A1177" s="9" t="s">
        <v>2353</v>
      </c>
      <c r="B1177" s="9">
        <v>23.01</v>
      </c>
      <c r="C1177" s="9">
        <v>6.04</v>
      </c>
      <c r="D1177" s="9" t="s">
        <v>4686</v>
      </c>
      <c r="E1177" s="9" t="s">
        <v>4684</v>
      </c>
      <c r="F1177" s="9" t="s">
        <v>4684</v>
      </c>
      <c r="G1177" s="9">
        <v>1.0</v>
      </c>
      <c r="H1177" s="9" t="s">
        <v>4684</v>
      </c>
      <c r="I1177" s="9" t="str">
        <f t="shared" si="1"/>
        <v>No</v>
      </c>
      <c r="J1177" s="9">
        <f t="shared" si="2"/>
        <v>1</v>
      </c>
      <c r="K1177" s="9" t="str">
        <f t="shared" si="3"/>
        <v>NORMAL WEIGHT</v>
      </c>
    </row>
    <row r="1178" ht="15.75" customHeight="1">
      <c r="A1178" s="9" t="s">
        <v>2355</v>
      </c>
      <c r="B1178" s="9">
        <v>31.39</v>
      </c>
      <c r="C1178" s="9">
        <v>8.85</v>
      </c>
      <c r="D1178" s="9" t="s">
        <v>4686</v>
      </c>
      <c r="E1178" s="9" t="s">
        <v>4684</v>
      </c>
      <c r="F1178" s="9" t="s">
        <v>4684</v>
      </c>
      <c r="G1178" s="9" t="s">
        <v>4685</v>
      </c>
      <c r="H1178" s="9" t="s">
        <v>4684</v>
      </c>
      <c r="I1178" s="9" t="str">
        <f t="shared" si="1"/>
        <v>No</v>
      </c>
      <c r="J1178" s="9">
        <f t="shared" si="2"/>
        <v>0</v>
      </c>
      <c r="K1178" s="9" t="str">
        <f t="shared" si="3"/>
        <v>OBESITY</v>
      </c>
    </row>
    <row r="1179" ht="15.75" customHeight="1">
      <c r="A1179" s="9" t="s">
        <v>2357</v>
      </c>
      <c r="B1179" s="9">
        <v>34.77</v>
      </c>
      <c r="C1179" s="9">
        <v>10.54</v>
      </c>
      <c r="D1179" s="9" t="s">
        <v>4684</v>
      </c>
      <c r="E1179" s="9" t="s">
        <v>4684</v>
      </c>
      <c r="F1179" s="9" t="s">
        <v>4684</v>
      </c>
      <c r="G1179" s="9">
        <v>2.0</v>
      </c>
      <c r="H1179" s="9" t="s">
        <v>4684</v>
      </c>
      <c r="I1179" s="9" t="str">
        <f t="shared" si="1"/>
        <v>No</v>
      </c>
      <c r="J1179" s="9">
        <f t="shared" si="2"/>
        <v>2</v>
      </c>
      <c r="K1179" s="9" t="str">
        <f t="shared" si="3"/>
        <v>OBESITY</v>
      </c>
    </row>
    <row r="1180" ht="15.75" customHeight="1">
      <c r="A1180" s="9" t="s">
        <v>2359</v>
      </c>
      <c r="B1180" s="9">
        <v>24.48</v>
      </c>
      <c r="C1180" s="9">
        <v>4.37</v>
      </c>
      <c r="D1180" s="9" t="s">
        <v>4686</v>
      </c>
      <c r="E1180" s="9" t="s">
        <v>4684</v>
      </c>
      <c r="F1180" s="9" t="s">
        <v>4684</v>
      </c>
      <c r="G1180" s="9">
        <v>2.0</v>
      </c>
      <c r="H1180" s="9" t="s">
        <v>4684</v>
      </c>
      <c r="I1180" s="9" t="str">
        <f t="shared" si="1"/>
        <v>No</v>
      </c>
      <c r="J1180" s="9">
        <f t="shared" si="2"/>
        <v>2</v>
      </c>
      <c r="K1180" s="9" t="str">
        <f t="shared" si="3"/>
        <v>NORMAL WEIGHT</v>
      </c>
    </row>
    <row r="1181" ht="15.75" customHeight="1">
      <c r="A1181" s="9" t="s">
        <v>2361</v>
      </c>
      <c r="B1181" s="9">
        <v>22.61</v>
      </c>
      <c r="C1181" s="9">
        <v>9.63</v>
      </c>
      <c r="D1181" s="9" t="s">
        <v>4684</v>
      </c>
      <c r="E1181" s="9" t="s">
        <v>4684</v>
      </c>
      <c r="F1181" s="9" t="s">
        <v>4684</v>
      </c>
      <c r="G1181" s="9">
        <v>2.0</v>
      </c>
      <c r="H1181" s="9" t="s">
        <v>4684</v>
      </c>
      <c r="I1181" s="9" t="str">
        <f t="shared" si="1"/>
        <v>No</v>
      </c>
      <c r="J1181" s="9">
        <f t="shared" si="2"/>
        <v>2</v>
      </c>
      <c r="K1181" s="9" t="str">
        <f t="shared" si="3"/>
        <v>NORMAL WEIGHT</v>
      </c>
    </row>
    <row r="1182" ht="15.75" customHeight="1">
      <c r="A1182" s="9" t="s">
        <v>2363</v>
      </c>
      <c r="B1182" s="9">
        <v>34.3</v>
      </c>
      <c r="C1182" s="9">
        <v>10.37</v>
      </c>
      <c r="D1182" s="9" t="s">
        <v>4684</v>
      </c>
      <c r="E1182" s="9" t="s">
        <v>4684</v>
      </c>
      <c r="F1182" s="9" t="s">
        <v>4684</v>
      </c>
      <c r="G1182" s="9" t="s">
        <v>4685</v>
      </c>
      <c r="H1182" s="9" t="s">
        <v>4684</v>
      </c>
      <c r="I1182" s="9" t="str">
        <f t="shared" si="1"/>
        <v>No</v>
      </c>
      <c r="J1182" s="9">
        <f t="shared" si="2"/>
        <v>0</v>
      </c>
      <c r="K1182" s="9" t="str">
        <f t="shared" si="3"/>
        <v>OBESITY</v>
      </c>
    </row>
    <row r="1183" ht="15.75" customHeight="1">
      <c r="A1183" s="9" t="s">
        <v>2365</v>
      </c>
      <c r="B1183" s="9">
        <v>46.09</v>
      </c>
      <c r="C1183" s="9">
        <v>5.44</v>
      </c>
      <c r="D1183" s="9" t="s">
        <v>4684</v>
      </c>
      <c r="E1183" s="9" t="s">
        <v>4684</v>
      </c>
      <c r="F1183" s="9" t="s">
        <v>4684</v>
      </c>
      <c r="G1183" s="9">
        <v>2.0</v>
      </c>
      <c r="H1183" s="9" t="s">
        <v>4684</v>
      </c>
      <c r="I1183" s="9" t="str">
        <f t="shared" si="1"/>
        <v>No</v>
      </c>
      <c r="J1183" s="9">
        <f t="shared" si="2"/>
        <v>2</v>
      </c>
      <c r="K1183" s="9" t="str">
        <f t="shared" si="3"/>
        <v>OBESITY</v>
      </c>
    </row>
    <row r="1184" ht="15.75" customHeight="1">
      <c r="A1184" s="9" t="s">
        <v>2367</v>
      </c>
      <c r="B1184" s="9">
        <v>44.745</v>
      </c>
      <c r="C1184" s="9">
        <v>5.19</v>
      </c>
      <c r="D1184" s="9" t="s">
        <v>4684</v>
      </c>
      <c r="E1184" s="9" t="s">
        <v>4684</v>
      </c>
      <c r="F1184" s="9" t="s">
        <v>4684</v>
      </c>
      <c r="G1184" s="9">
        <v>2.0</v>
      </c>
      <c r="H1184" s="9" t="s">
        <v>4684</v>
      </c>
      <c r="I1184" s="9" t="str">
        <f t="shared" si="1"/>
        <v>No</v>
      </c>
      <c r="J1184" s="9">
        <f t="shared" si="2"/>
        <v>2</v>
      </c>
      <c r="K1184" s="9" t="str">
        <f t="shared" si="3"/>
        <v>OBESITY</v>
      </c>
    </row>
    <row r="1185" ht="15.75" customHeight="1">
      <c r="A1185" s="9" t="s">
        <v>2369</v>
      </c>
      <c r="B1185" s="9">
        <v>26.33</v>
      </c>
      <c r="C1185" s="9">
        <v>11.8</v>
      </c>
      <c r="D1185" s="9" t="s">
        <v>4686</v>
      </c>
      <c r="E1185" s="9" t="s">
        <v>4684</v>
      </c>
      <c r="F1185" s="9" t="s">
        <v>4684</v>
      </c>
      <c r="G1185" s="9">
        <v>1.0</v>
      </c>
      <c r="H1185" s="9" t="s">
        <v>4684</v>
      </c>
      <c r="I1185" s="9" t="str">
        <f t="shared" si="1"/>
        <v>No</v>
      </c>
      <c r="J1185" s="9">
        <f t="shared" si="2"/>
        <v>1</v>
      </c>
      <c r="K1185" s="9" t="str">
        <f t="shared" si="3"/>
        <v>OVERWEIGHT</v>
      </c>
    </row>
    <row r="1186" ht="15.75" customHeight="1">
      <c r="A1186" s="9" t="s">
        <v>2371</v>
      </c>
      <c r="B1186" s="9">
        <v>26.6</v>
      </c>
      <c r="C1186" s="9">
        <v>8.38</v>
      </c>
      <c r="D1186" s="9" t="s">
        <v>4684</v>
      </c>
      <c r="E1186" s="9" t="s">
        <v>4684</v>
      </c>
      <c r="F1186" s="9" t="s">
        <v>4684</v>
      </c>
      <c r="G1186" s="9">
        <v>2.0</v>
      </c>
      <c r="H1186" s="9" t="s">
        <v>4684</v>
      </c>
      <c r="I1186" s="9" t="str">
        <f t="shared" si="1"/>
        <v>No</v>
      </c>
      <c r="J1186" s="9">
        <f t="shared" si="2"/>
        <v>2</v>
      </c>
      <c r="K1186" s="9" t="str">
        <f t="shared" si="3"/>
        <v>OVERWEIGHT</v>
      </c>
    </row>
    <row r="1187" ht="15.75" customHeight="1">
      <c r="A1187" s="9" t="s">
        <v>2373</v>
      </c>
      <c r="B1187" s="9">
        <v>27.5</v>
      </c>
      <c r="C1187" s="9">
        <v>7.58</v>
      </c>
      <c r="D1187" s="9" t="s">
        <v>4684</v>
      </c>
      <c r="E1187" s="9" t="s">
        <v>4684</v>
      </c>
      <c r="F1187" s="9" t="s">
        <v>4684</v>
      </c>
      <c r="G1187" s="9" t="s">
        <v>4685</v>
      </c>
      <c r="H1187" s="9" t="s">
        <v>4684</v>
      </c>
      <c r="I1187" s="9" t="str">
        <f t="shared" si="1"/>
        <v>No</v>
      </c>
      <c r="J1187" s="9">
        <f t="shared" si="2"/>
        <v>0</v>
      </c>
      <c r="K1187" s="9" t="str">
        <f t="shared" si="3"/>
        <v>OVERWEIGHT</v>
      </c>
    </row>
    <row r="1188" ht="15.75" customHeight="1">
      <c r="A1188" s="9" t="s">
        <v>2375</v>
      </c>
      <c r="B1188" s="9">
        <v>41.55</v>
      </c>
      <c r="C1188" s="9">
        <v>4.61</v>
      </c>
      <c r="D1188" s="9" t="s">
        <v>4684</v>
      </c>
      <c r="E1188" s="9" t="s">
        <v>4684</v>
      </c>
      <c r="F1188" s="9" t="s">
        <v>4684</v>
      </c>
      <c r="G1188" s="9">
        <v>1.0</v>
      </c>
      <c r="H1188" s="9" t="s">
        <v>4684</v>
      </c>
      <c r="I1188" s="9" t="str">
        <f t="shared" si="1"/>
        <v>No</v>
      </c>
      <c r="J1188" s="9">
        <f t="shared" si="2"/>
        <v>1</v>
      </c>
      <c r="K1188" s="9" t="str">
        <f t="shared" si="3"/>
        <v>OBESITY</v>
      </c>
    </row>
    <row r="1189" ht="15.75" customHeight="1">
      <c r="A1189" s="9" t="s">
        <v>2377</v>
      </c>
      <c r="B1189" s="9">
        <v>41.47</v>
      </c>
      <c r="C1189" s="9">
        <v>4.7</v>
      </c>
      <c r="D1189" s="9" t="s">
        <v>4686</v>
      </c>
      <c r="E1189" s="9" t="s">
        <v>4684</v>
      </c>
      <c r="F1189" s="9" t="s">
        <v>4686</v>
      </c>
      <c r="G1189" s="9">
        <v>1.0</v>
      </c>
      <c r="H1189" s="9" t="s">
        <v>4684</v>
      </c>
      <c r="I1189" s="9" t="str">
        <f t="shared" si="1"/>
        <v>No</v>
      </c>
      <c r="J1189" s="9">
        <f t="shared" si="2"/>
        <v>1</v>
      </c>
      <c r="K1189" s="9" t="str">
        <f t="shared" si="3"/>
        <v>OBESITY</v>
      </c>
    </row>
    <row r="1190" ht="15.75" customHeight="1">
      <c r="A1190" s="9" t="s">
        <v>2379</v>
      </c>
      <c r="B1190" s="9">
        <v>24.795</v>
      </c>
      <c r="C1190" s="9">
        <v>6.05</v>
      </c>
      <c r="D1190" s="9" t="s">
        <v>4686</v>
      </c>
      <c r="E1190" s="9" t="s">
        <v>4684</v>
      </c>
      <c r="F1190" s="9" t="s">
        <v>4684</v>
      </c>
      <c r="G1190" s="9" t="s">
        <v>4685</v>
      </c>
      <c r="H1190" s="9" t="s">
        <v>4684</v>
      </c>
      <c r="I1190" s="9" t="str">
        <f t="shared" si="1"/>
        <v>No</v>
      </c>
      <c r="J1190" s="9">
        <f t="shared" si="2"/>
        <v>0</v>
      </c>
      <c r="K1190" s="9" t="str">
        <f t="shared" si="3"/>
        <v>NORMAL WEIGHT</v>
      </c>
    </row>
    <row r="1191" ht="15.75" customHeight="1">
      <c r="A1191" s="9" t="s">
        <v>2381</v>
      </c>
      <c r="B1191" s="9">
        <v>29.48</v>
      </c>
      <c r="C1191" s="9">
        <v>5.63</v>
      </c>
      <c r="D1191" s="9" t="s">
        <v>4686</v>
      </c>
      <c r="E1191" s="9" t="s">
        <v>4684</v>
      </c>
      <c r="F1191" s="9" t="s">
        <v>4686</v>
      </c>
      <c r="G1191" s="9">
        <v>1.0</v>
      </c>
      <c r="H1191" s="9" t="s">
        <v>4684</v>
      </c>
      <c r="I1191" s="9" t="str">
        <f t="shared" si="1"/>
        <v>No</v>
      </c>
      <c r="J1191" s="9">
        <f t="shared" si="2"/>
        <v>1</v>
      </c>
      <c r="K1191" s="9" t="str">
        <f t="shared" si="3"/>
        <v>OVERWEIGHT</v>
      </c>
    </row>
    <row r="1192" ht="15.75" customHeight="1">
      <c r="A1192" s="9" t="s">
        <v>2383</v>
      </c>
      <c r="B1192" s="9">
        <v>28.09</v>
      </c>
      <c r="C1192" s="9">
        <v>6.06</v>
      </c>
      <c r="D1192" s="9" t="s">
        <v>4684</v>
      </c>
      <c r="E1192" s="9" t="s">
        <v>4684</v>
      </c>
      <c r="F1192" s="9" t="s">
        <v>4686</v>
      </c>
      <c r="G1192" s="9">
        <v>1.0</v>
      </c>
      <c r="H1192" s="9" t="s">
        <v>4684</v>
      </c>
      <c r="I1192" s="9" t="str">
        <f t="shared" si="1"/>
        <v>No</v>
      </c>
      <c r="J1192" s="9">
        <f t="shared" si="2"/>
        <v>1</v>
      </c>
      <c r="K1192" s="9" t="str">
        <f t="shared" si="3"/>
        <v>OVERWEIGHT</v>
      </c>
    </row>
    <row r="1193" ht="15.75" customHeight="1">
      <c r="A1193" s="9" t="s">
        <v>2385</v>
      </c>
      <c r="B1193" s="9">
        <v>32.73</v>
      </c>
      <c r="C1193" s="9">
        <v>5.19</v>
      </c>
      <c r="D1193" s="9" t="s">
        <v>4684</v>
      </c>
      <c r="E1193" s="9" t="s">
        <v>4684</v>
      </c>
      <c r="F1193" s="9" t="s">
        <v>4684</v>
      </c>
      <c r="G1193" s="9">
        <v>1.0</v>
      </c>
      <c r="H1193" s="9" t="s">
        <v>4684</v>
      </c>
      <c r="I1193" s="9" t="str">
        <f t="shared" si="1"/>
        <v>No</v>
      </c>
      <c r="J1193" s="9">
        <f t="shared" si="2"/>
        <v>1</v>
      </c>
      <c r="K1193" s="9" t="str">
        <f t="shared" si="3"/>
        <v>OBESITY</v>
      </c>
    </row>
    <row r="1194" ht="15.75" customHeight="1">
      <c r="A1194" s="9" t="s">
        <v>2387</v>
      </c>
      <c r="B1194" s="9">
        <v>27.36</v>
      </c>
      <c r="C1194" s="9">
        <v>8.96</v>
      </c>
      <c r="D1194" s="9" t="s">
        <v>4684</v>
      </c>
      <c r="E1194" s="9" t="s">
        <v>4684</v>
      </c>
      <c r="F1194" s="9" t="s">
        <v>4684</v>
      </c>
      <c r="G1194" s="9" t="s">
        <v>4685</v>
      </c>
      <c r="H1194" s="9" t="s">
        <v>4684</v>
      </c>
      <c r="I1194" s="9" t="str">
        <f t="shared" si="1"/>
        <v>No</v>
      </c>
      <c r="J1194" s="9">
        <f t="shared" si="2"/>
        <v>0</v>
      </c>
      <c r="K1194" s="9" t="str">
        <f t="shared" si="3"/>
        <v>OVERWEIGHT</v>
      </c>
    </row>
    <row r="1195" ht="15.75" customHeight="1">
      <c r="A1195" s="9" t="s">
        <v>2389</v>
      </c>
      <c r="B1195" s="9">
        <v>27.265</v>
      </c>
      <c r="C1195" s="9">
        <v>11.39</v>
      </c>
      <c r="D1195" s="9" t="s">
        <v>4684</v>
      </c>
      <c r="E1195" s="9" t="s">
        <v>4684</v>
      </c>
      <c r="F1195" s="9" t="s">
        <v>4684</v>
      </c>
      <c r="G1195" s="9" t="s">
        <v>4685</v>
      </c>
      <c r="H1195" s="9" t="s">
        <v>4684</v>
      </c>
      <c r="I1195" s="9" t="str">
        <f t="shared" si="1"/>
        <v>No</v>
      </c>
      <c r="J1195" s="9">
        <f t="shared" si="2"/>
        <v>0</v>
      </c>
      <c r="K1195" s="9" t="str">
        <f t="shared" si="3"/>
        <v>OVERWEIGHT</v>
      </c>
    </row>
    <row r="1196" ht="15.75" customHeight="1">
      <c r="A1196" s="9" t="s">
        <v>2391</v>
      </c>
      <c r="B1196" s="9">
        <v>48.07</v>
      </c>
      <c r="C1196" s="9">
        <v>4.06</v>
      </c>
      <c r="D1196" s="9" t="s">
        <v>4686</v>
      </c>
      <c r="E1196" s="9" t="s">
        <v>4684</v>
      </c>
      <c r="F1196" s="9" t="s">
        <v>4684</v>
      </c>
      <c r="G1196" s="9" t="s">
        <v>4685</v>
      </c>
      <c r="H1196" s="9" t="s">
        <v>4684</v>
      </c>
      <c r="I1196" s="9" t="str">
        <f t="shared" si="1"/>
        <v>No</v>
      </c>
      <c r="J1196" s="9">
        <f t="shared" si="2"/>
        <v>0</v>
      </c>
      <c r="K1196" s="9" t="str">
        <f t="shared" si="3"/>
        <v>OBESITY</v>
      </c>
    </row>
    <row r="1197" ht="15.75" customHeight="1">
      <c r="A1197" s="9" t="s">
        <v>2393</v>
      </c>
      <c r="B1197" s="9">
        <v>30.8</v>
      </c>
      <c r="C1197" s="9">
        <v>5.23</v>
      </c>
      <c r="D1197" s="9" t="s">
        <v>4686</v>
      </c>
      <c r="E1197" s="9" t="s">
        <v>4684</v>
      </c>
      <c r="F1197" s="9" t="s">
        <v>4684</v>
      </c>
      <c r="G1197" s="9" t="s">
        <v>4685</v>
      </c>
      <c r="H1197" s="9" t="s">
        <v>4684</v>
      </c>
      <c r="I1197" s="9" t="str">
        <f t="shared" si="1"/>
        <v>No</v>
      </c>
      <c r="J1197" s="9">
        <f t="shared" si="2"/>
        <v>0</v>
      </c>
      <c r="K1197" s="9" t="str">
        <f t="shared" si="3"/>
        <v>OBESITY</v>
      </c>
    </row>
    <row r="1198" ht="15.75" customHeight="1">
      <c r="A1198" s="9" t="s">
        <v>2395</v>
      </c>
      <c r="B1198" s="9">
        <v>32.3</v>
      </c>
      <c r="C1198" s="9">
        <v>5.05</v>
      </c>
      <c r="D1198" s="9" t="s">
        <v>4686</v>
      </c>
      <c r="E1198" s="9" t="s">
        <v>4684</v>
      </c>
      <c r="F1198" s="9" t="s">
        <v>4684</v>
      </c>
      <c r="G1198" s="9" t="s">
        <v>4685</v>
      </c>
      <c r="H1198" s="9" t="s">
        <v>4684</v>
      </c>
      <c r="I1198" s="9" t="str">
        <f t="shared" si="1"/>
        <v>No</v>
      </c>
      <c r="J1198" s="9">
        <f t="shared" si="2"/>
        <v>0</v>
      </c>
      <c r="K1198" s="9" t="str">
        <f t="shared" si="3"/>
        <v>OBESITY</v>
      </c>
    </row>
    <row r="1199" ht="15.75" customHeight="1">
      <c r="A1199" s="9" t="s">
        <v>2397</v>
      </c>
      <c r="B1199" s="9">
        <v>39.7</v>
      </c>
      <c r="C1199" s="9">
        <v>7.34</v>
      </c>
      <c r="D1199" s="9" t="s">
        <v>4684</v>
      </c>
      <c r="E1199" s="9" t="s">
        <v>4684</v>
      </c>
      <c r="F1199" s="9" t="s">
        <v>4684</v>
      </c>
      <c r="G1199" s="9" t="s">
        <v>4685</v>
      </c>
      <c r="H1199" s="9" t="s">
        <v>4684</v>
      </c>
      <c r="I1199" s="9" t="str">
        <f t="shared" si="1"/>
        <v>No</v>
      </c>
      <c r="J1199" s="9">
        <f t="shared" si="2"/>
        <v>0</v>
      </c>
      <c r="K1199" s="9" t="str">
        <f t="shared" si="3"/>
        <v>OBESITY</v>
      </c>
    </row>
    <row r="1200" ht="15.75" customHeight="1">
      <c r="A1200" s="9" t="s">
        <v>2399</v>
      </c>
      <c r="B1200" s="9">
        <v>35.97</v>
      </c>
      <c r="C1200" s="9">
        <v>8.13</v>
      </c>
      <c r="D1200" s="9" t="s">
        <v>4684</v>
      </c>
      <c r="E1200" s="9" t="s">
        <v>4684</v>
      </c>
      <c r="F1200" s="9" t="s">
        <v>4684</v>
      </c>
      <c r="G1200" s="9" t="s">
        <v>4685</v>
      </c>
      <c r="H1200" s="9" t="s">
        <v>4684</v>
      </c>
      <c r="I1200" s="9" t="str">
        <f t="shared" si="1"/>
        <v>No</v>
      </c>
      <c r="J1200" s="9">
        <f t="shared" si="2"/>
        <v>0</v>
      </c>
      <c r="K1200" s="9" t="str">
        <f t="shared" si="3"/>
        <v>OBESITY</v>
      </c>
    </row>
    <row r="1201" ht="15.75" customHeight="1">
      <c r="A1201" s="9" t="s">
        <v>2401</v>
      </c>
      <c r="B1201" s="9">
        <v>25.86</v>
      </c>
      <c r="C1201" s="9">
        <v>6.68</v>
      </c>
      <c r="D1201" s="9" t="s">
        <v>4686</v>
      </c>
      <c r="E1201" s="9" t="s">
        <v>4684</v>
      </c>
      <c r="F1201" s="9" t="s">
        <v>4684</v>
      </c>
      <c r="G1201" s="9">
        <v>1.0</v>
      </c>
      <c r="H1201" s="9" t="s">
        <v>4684</v>
      </c>
      <c r="I1201" s="9" t="str">
        <f t="shared" si="1"/>
        <v>No</v>
      </c>
      <c r="J1201" s="9">
        <f t="shared" si="2"/>
        <v>1</v>
      </c>
      <c r="K1201" s="9" t="str">
        <f t="shared" si="3"/>
        <v>OVERWEIGHT</v>
      </c>
    </row>
    <row r="1202" ht="15.75" customHeight="1">
      <c r="A1202" s="9" t="s">
        <v>2403</v>
      </c>
      <c r="B1202" s="9">
        <v>30.03</v>
      </c>
      <c r="C1202" s="9">
        <v>11.51</v>
      </c>
      <c r="D1202" s="9" t="s">
        <v>4684</v>
      </c>
      <c r="E1202" s="9" t="s">
        <v>4684</v>
      </c>
      <c r="F1202" s="9" t="s">
        <v>4684</v>
      </c>
      <c r="G1202" s="9" t="s">
        <v>4685</v>
      </c>
      <c r="H1202" s="9" t="s">
        <v>4684</v>
      </c>
      <c r="I1202" s="9" t="str">
        <f t="shared" si="1"/>
        <v>No</v>
      </c>
      <c r="J1202" s="9">
        <f t="shared" si="2"/>
        <v>0</v>
      </c>
      <c r="K1202" s="9" t="str">
        <f t="shared" si="3"/>
        <v>OBESITY</v>
      </c>
    </row>
    <row r="1203" ht="15.75" customHeight="1">
      <c r="A1203" s="9" t="s">
        <v>2405</v>
      </c>
      <c r="B1203" s="9">
        <v>25.76</v>
      </c>
      <c r="C1203" s="9">
        <v>6.02</v>
      </c>
      <c r="D1203" s="9" t="s">
        <v>4686</v>
      </c>
      <c r="E1203" s="9" t="s">
        <v>4684</v>
      </c>
      <c r="F1203" s="9" t="s">
        <v>4686</v>
      </c>
      <c r="G1203" s="9">
        <v>1.0</v>
      </c>
      <c r="H1203" s="9" t="s">
        <v>4684</v>
      </c>
      <c r="I1203" s="9" t="str">
        <f t="shared" si="1"/>
        <v>No</v>
      </c>
      <c r="J1203" s="9">
        <f t="shared" si="2"/>
        <v>1</v>
      </c>
      <c r="K1203" s="9" t="str">
        <f t="shared" si="3"/>
        <v>OVERWEIGHT</v>
      </c>
    </row>
    <row r="1204" ht="15.75" customHeight="1">
      <c r="A1204" s="9" t="s">
        <v>2407</v>
      </c>
      <c r="B1204" s="9">
        <v>22.42</v>
      </c>
      <c r="C1204" s="9">
        <v>7.96</v>
      </c>
      <c r="D1204" s="9" t="s">
        <v>4684</v>
      </c>
      <c r="E1204" s="9" t="s">
        <v>4684</v>
      </c>
      <c r="F1204" s="9" t="s">
        <v>4684</v>
      </c>
      <c r="G1204" s="9" t="s">
        <v>4685</v>
      </c>
      <c r="H1204" s="9" t="s">
        <v>4684</v>
      </c>
      <c r="I1204" s="9" t="str">
        <f t="shared" si="1"/>
        <v>No</v>
      </c>
      <c r="J1204" s="9">
        <f t="shared" si="2"/>
        <v>0</v>
      </c>
      <c r="K1204" s="9" t="str">
        <f t="shared" si="3"/>
        <v>NORMAL WEIGHT</v>
      </c>
    </row>
    <row r="1205" ht="15.75" customHeight="1">
      <c r="A1205" s="9" t="s">
        <v>2409</v>
      </c>
      <c r="B1205" s="9">
        <v>33.18</v>
      </c>
      <c r="C1205" s="9">
        <v>6.01</v>
      </c>
      <c r="D1205" s="9" t="s">
        <v>4686</v>
      </c>
      <c r="E1205" s="9" t="s">
        <v>4684</v>
      </c>
      <c r="F1205" s="9" t="s">
        <v>4684</v>
      </c>
      <c r="G1205" s="9">
        <v>1.0</v>
      </c>
      <c r="H1205" s="9" t="s">
        <v>4684</v>
      </c>
      <c r="I1205" s="9" t="str">
        <f t="shared" si="1"/>
        <v>No</v>
      </c>
      <c r="J1205" s="9">
        <f t="shared" si="2"/>
        <v>1</v>
      </c>
      <c r="K1205" s="9" t="str">
        <f t="shared" si="3"/>
        <v>OBESITY</v>
      </c>
    </row>
    <row r="1206" ht="15.75" customHeight="1">
      <c r="A1206" s="9" t="s">
        <v>2411</v>
      </c>
      <c r="B1206" s="9">
        <v>43.04</v>
      </c>
      <c r="C1206" s="9">
        <v>5.9</v>
      </c>
      <c r="D1206" s="9" t="s">
        <v>4686</v>
      </c>
      <c r="E1206" s="9" t="s">
        <v>4684</v>
      </c>
      <c r="F1206" s="9" t="s">
        <v>4684</v>
      </c>
      <c r="G1206" s="9" t="s">
        <v>4685</v>
      </c>
      <c r="H1206" s="9" t="s">
        <v>4684</v>
      </c>
      <c r="I1206" s="9" t="str">
        <f t="shared" si="1"/>
        <v>No</v>
      </c>
      <c r="J1206" s="9">
        <f t="shared" si="2"/>
        <v>0</v>
      </c>
      <c r="K1206" s="9" t="str">
        <f t="shared" si="3"/>
        <v>OBESITY</v>
      </c>
    </row>
    <row r="1207" ht="15.75" customHeight="1">
      <c r="A1207" s="9" t="s">
        <v>2413</v>
      </c>
      <c r="B1207" s="9">
        <v>34.15</v>
      </c>
      <c r="C1207" s="9">
        <v>4.49</v>
      </c>
      <c r="D1207" s="9" t="s">
        <v>4686</v>
      </c>
      <c r="E1207" s="9" t="s">
        <v>4684</v>
      </c>
      <c r="F1207" s="9" t="s">
        <v>4684</v>
      </c>
      <c r="G1207" s="9">
        <v>1.0</v>
      </c>
      <c r="H1207" s="9" t="s">
        <v>4684</v>
      </c>
      <c r="I1207" s="9" t="str">
        <f t="shared" si="1"/>
        <v>No</v>
      </c>
      <c r="J1207" s="9">
        <f t="shared" si="2"/>
        <v>1</v>
      </c>
      <c r="K1207" s="9" t="str">
        <f t="shared" si="3"/>
        <v>OBESITY</v>
      </c>
    </row>
    <row r="1208" ht="15.75" customHeight="1">
      <c r="A1208" s="9" t="s">
        <v>2415</v>
      </c>
      <c r="B1208" s="9">
        <v>25.78</v>
      </c>
      <c r="C1208" s="9">
        <v>6.25</v>
      </c>
      <c r="D1208" s="9" t="s">
        <v>4684</v>
      </c>
      <c r="E1208" s="9" t="s">
        <v>4684</v>
      </c>
      <c r="F1208" s="9" t="s">
        <v>4684</v>
      </c>
      <c r="G1208" s="9" t="s">
        <v>4685</v>
      </c>
      <c r="H1208" s="9" t="s">
        <v>4684</v>
      </c>
      <c r="I1208" s="9" t="str">
        <f t="shared" si="1"/>
        <v>No</v>
      </c>
      <c r="J1208" s="9">
        <f t="shared" si="2"/>
        <v>0</v>
      </c>
      <c r="K1208" s="9" t="str">
        <f t="shared" si="3"/>
        <v>OVERWEIGHT</v>
      </c>
    </row>
    <row r="1209" ht="15.75" customHeight="1">
      <c r="A1209" s="9" t="s">
        <v>2417</v>
      </c>
      <c r="B1209" s="9">
        <v>21.02</v>
      </c>
      <c r="C1209" s="9">
        <v>9.62</v>
      </c>
      <c r="D1209" s="9" t="s">
        <v>4686</v>
      </c>
      <c r="E1209" s="9" t="s">
        <v>4684</v>
      </c>
      <c r="F1209" s="9" t="s">
        <v>4686</v>
      </c>
      <c r="G1209" s="9">
        <v>1.0</v>
      </c>
      <c r="H1209" s="9" t="s">
        <v>4684</v>
      </c>
      <c r="I1209" s="9" t="str">
        <f t="shared" si="1"/>
        <v>No</v>
      </c>
      <c r="J1209" s="9">
        <f t="shared" si="2"/>
        <v>1</v>
      </c>
      <c r="K1209" s="9" t="str">
        <f t="shared" si="3"/>
        <v>NORMAL WEIGHT</v>
      </c>
    </row>
    <row r="1210" ht="15.75" customHeight="1">
      <c r="A1210" s="9" t="s">
        <v>2419</v>
      </c>
      <c r="B1210" s="9">
        <v>37.51</v>
      </c>
      <c r="C1210" s="9">
        <v>11.06</v>
      </c>
      <c r="D1210" s="9" t="s">
        <v>4684</v>
      </c>
      <c r="E1210" s="9" t="s">
        <v>4684</v>
      </c>
      <c r="F1210" s="9" t="s">
        <v>4684</v>
      </c>
      <c r="G1210" s="9">
        <v>2.0</v>
      </c>
      <c r="H1210" s="9" t="s">
        <v>4684</v>
      </c>
      <c r="I1210" s="9" t="str">
        <f t="shared" si="1"/>
        <v>No</v>
      </c>
      <c r="J1210" s="9">
        <f t="shared" si="2"/>
        <v>2</v>
      </c>
      <c r="K1210" s="9" t="str">
        <f t="shared" si="3"/>
        <v>OBESITY</v>
      </c>
    </row>
    <row r="1211" ht="15.75" customHeight="1">
      <c r="A1211" s="9" t="s">
        <v>2421</v>
      </c>
      <c r="B1211" s="9">
        <v>25.745</v>
      </c>
      <c r="C1211" s="9">
        <v>6.11</v>
      </c>
      <c r="D1211" s="9" t="s">
        <v>4686</v>
      </c>
      <c r="E1211" s="9" t="s">
        <v>4684</v>
      </c>
      <c r="F1211" s="9" t="s">
        <v>4684</v>
      </c>
      <c r="G1211" s="9" t="s">
        <v>4685</v>
      </c>
      <c r="H1211" s="9" t="s">
        <v>4684</v>
      </c>
      <c r="I1211" s="9" t="str">
        <f t="shared" si="1"/>
        <v>No</v>
      </c>
      <c r="J1211" s="9">
        <f t="shared" si="2"/>
        <v>0</v>
      </c>
      <c r="K1211" s="9" t="str">
        <f t="shared" si="3"/>
        <v>OVERWEIGHT</v>
      </c>
    </row>
    <row r="1212" ht="15.75" customHeight="1">
      <c r="A1212" s="9" t="s">
        <v>2423</v>
      </c>
      <c r="B1212" s="9">
        <v>31.35</v>
      </c>
      <c r="C1212" s="9">
        <v>11.49</v>
      </c>
      <c r="D1212" s="9" t="s">
        <v>4684</v>
      </c>
      <c r="E1212" s="9" t="s">
        <v>4684</v>
      </c>
      <c r="F1212" s="9" t="s">
        <v>4684</v>
      </c>
      <c r="G1212" s="9">
        <v>2.0</v>
      </c>
      <c r="H1212" s="9" t="s">
        <v>4684</v>
      </c>
      <c r="I1212" s="9" t="str">
        <f t="shared" si="1"/>
        <v>No</v>
      </c>
      <c r="J1212" s="9">
        <f t="shared" si="2"/>
        <v>2</v>
      </c>
      <c r="K1212" s="9" t="str">
        <f t="shared" si="3"/>
        <v>OBESITY</v>
      </c>
    </row>
    <row r="1213" ht="15.75" customHeight="1">
      <c r="A1213" s="9" t="s">
        <v>2425</v>
      </c>
      <c r="B1213" s="9">
        <v>29.83</v>
      </c>
      <c r="C1213" s="9">
        <v>8.68</v>
      </c>
      <c r="D1213" s="9" t="s">
        <v>4684</v>
      </c>
      <c r="E1213" s="9" t="s">
        <v>4684</v>
      </c>
      <c r="F1213" s="9" t="s">
        <v>4684</v>
      </c>
      <c r="G1213" s="9">
        <v>2.0</v>
      </c>
      <c r="H1213" s="9" t="s">
        <v>4684</v>
      </c>
      <c r="I1213" s="9" t="str">
        <f t="shared" si="1"/>
        <v>No</v>
      </c>
      <c r="J1213" s="9">
        <f t="shared" si="2"/>
        <v>2</v>
      </c>
      <c r="K1213" s="9" t="str">
        <f t="shared" si="3"/>
        <v>OVERWEIGHT</v>
      </c>
    </row>
    <row r="1214" ht="15.75" customHeight="1">
      <c r="A1214" s="9" t="s">
        <v>2427</v>
      </c>
      <c r="B1214" s="9">
        <v>25.49</v>
      </c>
      <c r="C1214" s="9">
        <v>5.68</v>
      </c>
      <c r="D1214" s="9" t="s">
        <v>4686</v>
      </c>
      <c r="E1214" s="9" t="s">
        <v>4684</v>
      </c>
      <c r="F1214" s="9" t="s">
        <v>4686</v>
      </c>
      <c r="G1214" s="9">
        <v>1.0</v>
      </c>
      <c r="H1214" s="9" t="s">
        <v>4684</v>
      </c>
      <c r="I1214" s="9" t="str">
        <f t="shared" si="1"/>
        <v>No</v>
      </c>
      <c r="J1214" s="9">
        <f t="shared" si="2"/>
        <v>1</v>
      </c>
      <c r="K1214" s="9" t="str">
        <f t="shared" si="3"/>
        <v>OVERWEIGHT</v>
      </c>
    </row>
    <row r="1215" ht="15.75" customHeight="1">
      <c r="A1215" s="9" t="s">
        <v>2429</v>
      </c>
      <c r="B1215" s="9">
        <v>34.1</v>
      </c>
      <c r="C1215" s="9">
        <v>8.45</v>
      </c>
      <c r="D1215" s="9" t="s">
        <v>4684</v>
      </c>
      <c r="E1215" s="9" t="s">
        <v>4684</v>
      </c>
      <c r="F1215" s="9" t="s">
        <v>4684</v>
      </c>
      <c r="G1215" s="9" t="s">
        <v>4685</v>
      </c>
      <c r="H1215" s="9" t="s">
        <v>4684</v>
      </c>
      <c r="I1215" s="9" t="str">
        <f t="shared" si="1"/>
        <v>No</v>
      </c>
      <c r="J1215" s="9">
        <f t="shared" si="2"/>
        <v>0</v>
      </c>
      <c r="K1215" s="9" t="str">
        <f t="shared" si="3"/>
        <v>OBESITY</v>
      </c>
    </row>
    <row r="1216" ht="15.75" customHeight="1">
      <c r="A1216" s="9" t="s">
        <v>2431</v>
      </c>
      <c r="B1216" s="9">
        <v>25.84</v>
      </c>
      <c r="C1216" s="9">
        <v>8.51</v>
      </c>
      <c r="D1216" s="9" t="s">
        <v>4684</v>
      </c>
      <c r="E1216" s="9" t="s">
        <v>4684</v>
      </c>
      <c r="F1216" s="9" t="s">
        <v>4684</v>
      </c>
      <c r="G1216" s="9">
        <v>2.0</v>
      </c>
      <c r="H1216" s="9" t="s">
        <v>4684</v>
      </c>
      <c r="I1216" s="9" t="str">
        <f t="shared" si="1"/>
        <v>No</v>
      </c>
      <c r="J1216" s="9">
        <f t="shared" si="2"/>
        <v>2</v>
      </c>
      <c r="K1216" s="9" t="str">
        <f t="shared" si="3"/>
        <v>OVERWEIGHT</v>
      </c>
    </row>
    <row r="1217" ht="15.75" customHeight="1">
      <c r="A1217" s="9" t="s">
        <v>2433</v>
      </c>
      <c r="B1217" s="9">
        <v>20.6</v>
      </c>
      <c r="C1217" s="9">
        <v>7.62</v>
      </c>
      <c r="D1217" s="9" t="s">
        <v>4684</v>
      </c>
      <c r="E1217" s="9" t="s">
        <v>4684</v>
      </c>
      <c r="F1217" s="9" t="s">
        <v>4684</v>
      </c>
      <c r="G1217" s="9" t="s">
        <v>4685</v>
      </c>
      <c r="H1217" s="9" t="s">
        <v>4684</v>
      </c>
      <c r="I1217" s="9" t="str">
        <f t="shared" si="1"/>
        <v>No</v>
      </c>
      <c r="J1217" s="9">
        <f t="shared" si="2"/>
        <v>0</v>
      </c>
      <c r="K1217" s="9" t="str">
        <f t="shared" si="3"/>
        <v>NORMAL WEIGHT</v>
      </c>
    </row>
    <row r="1218" ht="15.75" customHeight="1">
      <c r="A1218" s="9" t="s">
        <v>2435</v>
      </c>
      <c r="B1218" s="9">
        <v>28.88</v>
      </c>
      <c r="C1218" s="9">
        <v>10.18</v>
      </c>
      <c r="D1218" s="9" t="s">
        <v>4684</v>
      </c>
      <c r="E1218" s="9" t="s">
        <v>4684</v>
      </c>
      <c r="F1218" s="9" t="s">
        <v>4684</v>
      </c>
      <c r="G1218" s="9" t="s">
        <v>4685</v>
      </c>
      <c r="H1218" s="9" t="s">
        <v>4684</v>
      </c>
      <c r="I1218" s="9" t="str">
        <f t="shared" si="1"/>
        <v>No</v>
      </c>
      <c r="J1218" s="9">
        <f t="shared" si="2"/>
        <v>0</v>
      </c>
      <c r="K1218" s="9" t="str">
        <f t="shared" si="3"/>
        <v>OVERWEIGHT</v>
      </c>
    </row>
    <row r="1219" ht="15.75" customHeight="1">
      <c r="A1219" s="9" t="s">
        <v>2437</v>
      </c>
      <c r="B1219" s="9">
        <v>28.24</v>
      </c>
      <c r="C1219" s="9">
        <v>5.36</v>
      </c>
      <c r="D1219" s="9" t="s">
        <v>4684</v>
      </c>
      <c r="E1219" s="9" t="s">
        <v>4684</v>
      </c>
      <c r="F1219" s="9" t="s">
        <v>4684</v>
      </c>
      <c r="G1219" s="9" t="s">
        <v>4685</v>
      </c>
      <c r="H1219" s="9" t="s">
        <v>4684</v>
      </c>
      <c r="I1219" s="9" t="str">
        <f t="shared" si="1"/>
        <v>No</v>
      </c>
      <c r="J1219" s="9">
        <f t="shared" si="2"/>
        <v>0</v>
      </c>
      <c r="K1219" s="9" t="str">
        <f t="shared" si="3"/>
        <v>OVERWEIGHT</v>
      </c>
    </row>
    <row r="1220" ht="15.75" customHeight="1">
      <c r="A1220" s="9" t="s">
        <v>2439</v>
      </c>
      <c r="B1220" s="9">
        <v>25.46</v>
      </c>
      <c r="C1220" s="9">
        <v>11.78</v>
      </c>
      <c r="D1220" s="9" t="s">
        <v>4686</v>
      </c>
      <c r="E1220" s="9" t="s">
        <v>4684</v>
      </c>
      <c r="F1220" s="9" t="s">
        <v>4684</v>
      </c>
      <c r="G1220" s="9">
        <v>1.0</v>
      </c>
      <c r="H1220" s="9" t="s">
        <v>4684</v>
      </c>
      <c r="I1220" s="9" t="str">
        <f t="shared" si="1"/>
        <v>No</v>
      </c>
      <c r="J1220" s="9">
        <f t="shared" si="2"/>
        <v>1</v>
      </c>
      <c r="K1220" s="9" t="str">
        <f t="shared" si="3"/>
        <v>OVERWEIGHT</v>
      </c>
    </row>
    <row r="1221" ht="15.75" customHeight="1">
      <c r="A1221" s="9" t="s">
        <v>2441</v>
      </c>
      <c r="B1221" s="9">
        <v>29.64</v>
      </c>
      <c r="C1221" s="9">
        <v>10.82</v>
      </c>
      <c r="D1221" s="9" t="s">
        <v>4686</v>
      </c>
      <c r="E1221" s="9" t="s">
        <v>4684</v>
      </c>
      <c r="F1221" s="9" t="s">
        <v>4684</v>
      </c>
      <c r="G1221" s="9" t="s">
        <v>4685</v>
      </c>
      <c r="H1221" s="9" t="s">
        <v>4684</v>
      </c>
      <c r="I1221" s="9" t="str">
        <f t="shared" si="1"/>
        <v>No</v>
      </c>
      <c r="J1221" s="9">
        <f t="shared" si="2"/>
        <v>0</v>
      </c>
      <c r="K1221" s="9" t="str">
        <f t="shared" si="3"/>
        <v>OVERWEIGHT</v>
      </c>
    </row>
    <row r="1222" ht="15.75" customHeight="1">
      <c r="A1222" s="9" t="s">
        <v>2443</v>
      </c>
      <c r="B1222" s="9">
        <v>31.27</v>
      </c>
      <c r="C1222" s="9">
        <v>7.73</v>
      </c>
      <c r="D1222" s="9" t="s">
        <v>4686</v>
      </c>
      <c r="E1222" s="9" t="s">
        <v>4684</v>
      </c>
      <c r="F1222" s="9" t="s">
        <v>4684</v>
      </c>
      <c r="G1222" s="9">
        <v>1.0</v>
      </c>
      <c r="H1222" s="9" t="s">
        <v>4684</v>
      </c>
      <c r="I1222" s="9" t="str">
        <f t="shared" si="1"/>
        <v>No</v>
      </c>
      <c r="J1222" s="9">
        <f t="shared" si="2"/>
        <v>1</v>
      </c>
      <c r="K1222" s="9" t="str">
        <f t="shared" si="3"/>
        <v>OBESITY</v>
      </c>
    </row>
    <row r="1223" ht="15.75" customHeight="1">
      <c r="A1223" s="9" t="s">
        <v>2445</v>
      </c>
      <c r="B1223" s="9">
        <v>19.95</v>
      </c>
      <c r="C1223" s="9">
        <v>6.24</v>
      </c>
      <c r="D1223" s="9" t="s">
        <v>4686</v>
      </c>
      <c r="E1223" s="9" t="s">
        <v>4684</v>
      </c>
      <c r="F1223" s="9" t="s">
        <v>4684</v>
      </c>
      <c r="G1223" s="9" t="s">
        <v>4685</v>
      </c>
      <c r="H1223" s="9" t="s">
        <v>4684</v>
      </c>
      <c r="I1223" s="9" t="str">
        <f t="shared" si="1"/>
        <v>No</v>
      </c>
      <c r="J1223" s="9">
        <f t="shared" si="2"/>
        <v>0</v>
      </c>
      <c r="K1223" s="9" t="str">
        <f t="shared" si="3"/>
        <v>NORMAL WEIGHT</v>
      </c>
    </row>
    <row r="1224" ht="15.75" customHeight="1">
      <c r="A1224" s="9" t="s">
        <v>2447</v>
      </c>
      <c r="B1224" s="9">
        <v>21.3</v>
      </c>
      <c r="C1224" s="9">
        <v>10.42</v>
      </c>
      <c r="D1224" s="9" t="s">
        <v>4684</v>
      </c>
      <c r="E1224" s="9" t="s">
        <v>4684</v>
      </c>
      <c r="F1224" s="9" t="s">
        <v>4684</v>
      </c>
      <c r="G1224" s="9">
        <v>2.0</v>
      </c>
      <c r="H1224" s="9" t="s">
        <v>4684</v>
      </c>
      <c r="I1224" s="9" t="str">
        <f t="shared" si="1"/>
        <v>No</v>
      </c>
      <c r="J1224" s="9">
        <f t="shared" si="2"/>
        <v>2</v>
      </c>
      <c r="K1224" s="9" t="str">
        <f t="shared" si="3"/>
        <v>NORMAL WEIGHT</v>
      </c>
    </row>
    <row r="1225" ht="15.75" customHeight="1">
      <c r="A1225" s="9" t="s">
        <v>2449</v>
      </c>
      <c r="B1225" s="9">
        <v>31.635</v>
      </c>
      <c r="C1225" s="9">
        <v>11.11</v>
      </c>
      <c r="D1225" s="9" t="s">
        <v>4684</v>
      </c>
      <c r="E1225" s="9" t="s">
        <v>4684</v>
      </c>
      <c r="F1225" s="9" t="s">
        <v>4684</v>
      </c>
      <c r="G1225" s="9" t="s">
        <v>4685</v>
      </c>
      <c r="H1225" s="9" t="s">
        <v>4684</v>
      </c>
      <c r="I1225" s="9" t="str">
        <f t="shared" si="1"/>
        <v>No</v>
      </c>
      <c r="J1225" s="9">
        <f t="shared" si="2"/>
        <v>0</v>
      </c>
      <c r="K1225" s="9" t="str">
        <f t="shared" si="3"/>
        <v>OBESITY</v>
      </c>
    </row>
    <row r="1226" ht="15.75" customHeight="1">
      <c r="A1226" s="9" t="s">
        <v>2451</v>
      </c>
      <c r="B1226" s="9">
        <v>23.9</v>
      </c>
      <c r="C1226" s="9">
        <v>7.67</v>
      </c>
      <c r="D1226" s="9" t="s">
        <v>4686</v>
      </c>
      <c r="E1226" s="9" t="s">
        <v>4684</v>
      </c>
      <c r="F1226" s="9" t="s">
        <v>4684</v>
      </c>
      <c r="G1226" s="9">
        <v>2.0</v>
      </c>
      <c r="H1226" s="9" t="s">
        <v>4684</v>
      </c>
      <c r="I1226" s="9" t="str">
        <f t="shared" si="1"/>
        <v>No</v>
      </c>
      <c r="J1226" s="9">
        <f t="shared" si="2"/>
        <v>2</v>
      </c>
      <c r="K1226" s="9" t="str">
        <f t="shared" si="3"/>
        <v>NORMAL WEIGHT</v>
      </c>
    </row>
    <row r="1227" ht="15.75" customHeight="1">
      <c r="A1227" s="9" t="s">
        <v>2453</v>
      </c>
      <c r="B1227" s="9">
        <v>34.15</v>
      </c>
      <c r="C1227" s="9">
        <v>6.15</v>
      </c>
      <c r="D1227" s="9" t="s">
        <v>4684</v>
      </c>
      <c r="E1227" s="9" t="s">
        <v>4684</v>
      </c>
      <c r="F1227" s="9" t="s">
        <v>4684</v>
      </c>
      <c r="G1227" s="9" t="s">
        <v>4685</v>
      </c>
      <c r="H1227" s="9" t="s">
        <v>4684</v>
      </c>
      <c r="I1227" s="9" t="str">
        <f t="shared" si="1"/>
        <v>No</v>
      </c>
      <c r="J1227" s="9">
        <f t="shared" si="2"/>
        <v>0</v>
      </c>
      <c r="K1227" s="9" t="str">
        <f t="shared" si="3"/>
        <v>OBESITY</v>
      </c>
    </row>
    <row r="1228" ht="15.75" customHeight="1">
      <c r="A1228" s="9" t="s">
        <v>2455</v>
      </c>
      <c r="B1228" s="9">
        <v>28.71</v>
      </c>
      <c r="C1228" s="9">
        <v>5.71</v>
      </c>
      <c r="D1228" s="9" t="s">
        <v>4684</v>
      </c>
      <c r="E1228" s="9" t="s">
        <v>4684</v>
      </c>
      <c r="F1228" s="9" t="s">
        <v>4684</v>
      </c>
      <c r="G1228" s="9" t="s">
        <v>4685</v>
      </c>
      <c r="H1228" s="9" t="s">
        <v>4684</v>
      </c>
      <c r="I1228" s="9" t="str">
        <f t="shared" si="1"/>
        <v>No</v>
      </c>
      <c r="J1228" s="9">
        <f t="shared" si="2"/>
        <v>0</v>
      </c>
      <c r="K1228" s="9" t="str">
        <f t="shared" si="3"/>
        <v>OVERWEIGHT</v>
      </c>
    </row>
    <row r="1229" ht="15.75" customHeight="1">
      <c r="A1229" s="9" t="s">
        <v>2457</v>
      </c>
      <c r="B1229" s="9">
        <v>36.7</v>
      </c>
      <c r="C1229" s="9">
        <v>8.7</v>
      </c>
      <c r="D1229" s="9" t="s">
        <v>4686</v>
      </c>
      <c r="E1229" s="9" t="s">
        <v>4684</v>
      </c>
      <c r="F1229" s="9" t="s">
        <v>4684</v>
      </c>
      <c r="G1229" s="9">
        <v>2.0</v>
      </c>
      <c r="H1229" s="9" t="s">
        <v>4684</v>
      </c>
      <c r="I1229" s="9" t="str">
        <f t="shared" si="1"/>
        <v>No</v>
      </c>
      <c r="J1229" s="9">
        <f t="shared" si="2"/>
        <v>2</v>
      </c>
      <c r="K1229" s="9" t="str">
        <f t="shared" si="3"/>
        <v>OBESITY</v>
      </c>
    </row>
    <row r="1230" ht="15.75" customHeight="1">
      <c r="A1230" s="9" t="s">
        <v>2459</v>
      </c>
      <c r="B1230" s="9">
        <v>34.1</v>
      </c>
      <c r="C1230" s="9">
        <v>9.04</v>
      </c>
      <c r="D1230" s="9" t="s">
        <v>4686</v>
      </c>
      <c r="E1230" s="9" t="s">
        <v>4684</v>
      </c>
      <c r="F1230" s="9" t="s">
        <v>4684</v>
      </c>
      <c r="G1230" s="9">
        <v>2.0</v>
      </c>
      <c r="H1230" s="9" t="s">
        <v>4684</v>
      </c>
      <c r="I1230" s="9" t="str">
        <f t="shared" si="1"/>
        <v>No</v>
      </c>
      <c r="J1230" s="9">
        <f t="shared" si="2"/>
        <v>2</v>
      </c>
      <c r="K1230" s="9" t="str">
        <f t="shared" si="3"/>
        <v>OBESITY</v>
      </c>
    </row>
    <row r="1231" ht="15.75" customHeight="1">
      <c r="A1231" s="9" t="s">
        <v>2461</v>
      </c>
      <c r="B1231" s="9">
        <v>25.7</v>
      </c>
      <c r="C1231" s="9">
        <v>5.61</v>
      </c>
      <c r="D1231" s="9" t="s">
        <v>4684</v>
      </c>
      <c r="E1231" s="9" t="s">
        <v>4684</v>
      </c>
      <c r="F1231" s="9" t="s">
        <v>4684</v>
      </c>
      <c r="G1231" s="9" t="s">
        <v>4685</v>
      </c>
      <c r="H1231" s="9" t="s">
        <v>4684</v>
      </c>
      <c r="I1231" s="9" t="str">
        <f t="shared" si="1"/>
        <v>No</v>
      </c>
      <c r="J1231" s="9">
        <f t="shared" si="2"/>
        <v>0</v>
      </c>
      <c r="K1231" s="9" t="str">
        <f t="shared" si="3"/>
        <v>OVERWEIGHT</v>
      </c>
    </row>
    <row r="1232" ht="15.75" customHeight="1">
      <c r="A1232" s="9" t="s">
        <v>2463</v>
      </c>
      <c r="B1232" s="9">
        <v>21.68</v>
      </c>
      <c r="C1232" s="9">
        <v>8.12</v>
      </c>
      <c r="D1232" s="9" t="s">
        <v>4684</v>
      </c>
      <c r="E1232" s="9" t="s">
        <v>4684</v>
      </c>
      <c r="F1232" s="9" t="s">
        <v>4684</v>
      </c>
      <c r="G1232" s="9" t="s">
        <v>4685</v>
      </c>
      <c r="H1232" s="9" t="s">
        <v>4684</v>
      </c>
      <c r="I1232" s="9" t="str">
        <f t="shared" si="1"/>
        <v>No</v>
      </c>
      <c r="J1232" s="9">
        <f t="shared" si="2"/>
        <v>0</v>
      </c>
      <c r="K1232" s="9" t="str">
        <f t="shared" si="3"/>
        <v>NORMAL WEIGHT</v>
      </c>
    </row>
    <row r="1233" ht="15.75" customHeight="1">
      <c r="A1233" s="9" t="s">
        <v>2465</v>
      </c>
      <c r="B1233" s="9">
        <v>25.175</v>
      </c>
      <c r="C1233" s="9">
        <v>4.74</v>
      </c>
      <c r="D1233" s="9" t="s">
        <v>4684</v>
      </c>
      <c r="E1233" s="9" t="s">
        <v>4684</v>
      </c>
      <c r="F1233" s="9" t="s">
        <v>4684</v>
      </c>
      <c r="G1233" s="9" t="s">
        <v>4685</v>
      </c>
      <c r="H1233" s="9" t="s">
        <v>4684</v>
      </c>
      <c r="I1233" s="9" t="str">
        <f t="shared" si="1"/>
        <v>No</v>
      </c>
      <c r="J1233" s="9">
        <f t="shared" si="2"/>
        <v>0</v>
      </c>
      <c r="K1233" s="9" t="str">
        <f t="shared" si="3"/>
        <v>OVERWEIGHT</v>
      </c>
    </row>
    <row r="1234" ht="15.75" customHeight="1">
      <c r="A1234" s="9" t="s">
        <v>2467</v>
      </c>
      <c r="B1234" s="9">
        <v>44.77</v>
      </c>
      <c r="C1234" s="9">
        <v>4.06</v>
      </c>
      <c r="D1234" s="9" t="s">
        <v>4684</v>
      </c>
      <c r="E1234" s="9" t="s">
        <v>4684</v>
      </c>
      <c r="F1234" s="9" t="s">
        <v>4684</v>
      </c>
      <c r="G1234" s="9">
        <v>2.0</v>
      </c>
      <c r="H1234" s="9" t="s">
        <v>4684</v>
      </c>
      <c r="I1234" s="9" t="str">
        <f t="shared" si="1"/>
        <v>No</v>
      </c>
      <c r="J1234" s="9">
        <f t="shared" si="2"/>
        <v>2</v>
      </c>
      <c r="K1234" s="9" t="str">
        <f t="shared" si="3"/>
        <v>OBESITY</v>
      </c>
    </row>
    <row r="1235" ht="15.75" customHeight="1">
      <c r="A1235" s="9" t="s">
        <v>2469</v>
      </c>
      <c r="B1235" s="9">
        <v>37.07</v>
      </c>
      <c r="C1235" s="9">
        <v>5.69</v>
      </c>
      <c r="D1235" s="9" t="s">
        <v>4684</v>
      </c>
      <c r="E1235" s="9" t="s">
        <v>4684</v>
      </c>
      <c r="F1235" s="9" t="s">
        <v>4684</v>
      </c>
      <c r="G1235" s="9">
        <v>2.0</v>
      </c>
      <c r="H1235" s="9" t="s">
        <v>4684</v>
      </c>
      <c r="I1235" s="9" t="str">
        <f t="shared" si="1"/>
        <v>No</v>
      </c>
      <c r="J1235" s="9">
        <f t="shared" si="2"/>
        <v>2</v>
      </c>
      <c r="K1235" s="9" t="str">
        <f t="shared" si="3"/>
        <v>OBESITY</v>
      </c>
    </row>
    <row r="1236" ht="15.75" customHeight="1">
      <c r="A1236" s="9" t="s">
        <v>2471</v>
      </c>
      <c r="B1236" s="9">
        <v>39.8</v>
      </c>
      <c r="C1236" s="9">
        <v>5.66</v>
      </c>
      <c r="D1236" s="9" t="s">
        <v>4684</v>
      </c>
      <c r="E1236" s="9" t="s">
        <v>4684</v>
      </c>
      <c r="F1236" s="9" t="s">
        <v>4686</v>
      </c>
      <c r="G1236" s="9">
        <v>1.0</v>
      </c>
      <c r="H1236" s="9" t="s">
        <v>4684</v>
      </c>
      <c r="I1236" s="9" t="str">
        <f t="shared" si="1"/>
        <v>No</v>
      </c>
      <c r="J1236" s="9">
        <f t="shared" si="2"/>
        <v>1</v>
      </c>
      <c r="K1236" s="9" t="str">
        <f t="shared" si="3"/>
        <v>OBESITY</v>
      </c>
    </row>
    <row r="1237" ht="15.75" customHeight="1">
      <c r="A1237" s="9" t="s">
        <v>2473</v>
      </c>
      <c r="B1237" s="9">
        <v>26.36</v>
      </c>
      <c r="C1237" s="9">
        <v>4.32</v>
      </c>
      <c r="D1237" s="9" t="s">
        <v>4684</v>
      </c>
      <c r="E1237" s="9" t="s">
        <v>4684</v>
      </c>
      <c r="F1237" s="9" t="s">
        <v>4686</v>
      </c>
      <c r="G1237" s="9">
        <v>1.0</v>
      </c>
      <c r="H1237" s="9" t="s">
        <v>4684</v>
      </c>
      <c r="I1237" s="9" t="str">
        <f t="shared" si="1"/>
        <v>No</v>
      </c>
      <c r="J1237" s="9">
        <f t="shared" si="2"/>
        <v>1</v>
      </c>
      <c r="K1237" s="9" t="str">
        <f t="shared" si="3"/>
        <v>OVERWEIGHT</v>
      </c>
    </row>
    <row r="1238" ht="15.75" customHeight="1">
      <c r="A1238" s="9" t="s">
        <v>2475</v>
      </c>
      <c r="B1238" s="9">
        <v>29.925</v>
      </c>
      <c r="C1238" s="9">
        <v>8.29</v>
      </c>
      <c r="D1238" s="9" t="s">
        <v>4684</v>
      </c>
      <c r="E1238" s="9" t="s">
        <v>4684</v>
      </c>
      <c r="F1238" s="9" t="s">
        <v>4684</v>
      </c>
      <c r="G1238" s="9">
        <v>2.0</v>
      </c>
      <c r="H1238" s="9" t="s">
        <v>4684</v>
      </c>
      <c r="I1238" s="9" t="str">
        <f t="shared" si="1"/>
        <v>No</v>
      </c>
      <c r="J1238" s="9">
        <f t="shared" si="2"/>
        <v>2</v>
      </c>
      <c r="K1238" s="9" t="str">
        <f t="shared" si="3"/>
        <v>OBESITY</v>
      </c>
    </row>
    <row r="1239" ht="15.75" customHeight="1">
      <c r="A1239" s="9" t="s">
        <v>2477</v>
      </c>
      <c r="B1239" s="9">
        <v>37.29</v>
      </c>
      <c r="C1239" s="9">
        <v>10.46</v>
      </c>
      <c r="D1239" s="9" t="s">
        <v>4684</v>
      </c>
      <c r="E1239" s="9" t="s">
        <v>4684</v>
      </c>
      <c r="F1239" s="9" t="s">
        <v>4684</v>
      </c>
      <c r="G1239" s="9" t="s">
        <v>4685</v>
      </c>
      <c r="H1239" s="9" t="s">
        <v>4684</v>
      </c>
      <c r="I1239" s="9" t="str">
        <f t="shared" si="1"/>
        <v>No</v>
      </c>
      <c r="J1239" s="9">
        <f t="shared" si="2"/>
        <v>0</v>
      </c>
      <c r="K1239" s="9" t="str">
        <f t="shared" si="3"/>
        <v>OBESITY</v>
      </c>
    </row>
    <row r="1240" ht="15.75" customHeight="1">
      <c r="A1240" s="9" t="s">
        <v>2479</v>
      </c>
      <c r="B1240" s="9">
        <v>30.2</v>
      </c>
      <c r="C1240" s="9">
        <v>11.96</v>
      </c>
      <c r="D1240" s="9" t="s">
        <v>4684</v>
      </c>
      <c r="E1240" s="9" t="s">
        <v>4684</v>
      </c>
      <c r="F1240" s="9" t="s">
        <v>4684</v>
      </c>
      <c r="G1240" s="9" t="s">
        <v>4685</v>
      </c>
      <c r="H1240" s="9" t="s">
        <v>4684</v>
      </c>
      <c r="I1240" s="9" t="str">
        <f t="shared" si="1"/>
        <v>No</v>
      </c>
      <c r="J1240" s="9">
        <f t="shared" si="2"/>
        <v>0</v>
      </c>
      <c r="K1240" s="9" t="str">
        <f t="shared" si="3"/>
        <v>OBESITY</v>
      </c>
    </row>
    <row r="1241" ht="15.75" customHeight="1">
      <c r="A1241" s="9" t="s">
        <v>2481</v>
      </c>
      <c r="B1241" s="9">
        <v>24.225</v>
      </c>
      <c r="C1241" s="9">
        <v>4.25</v>
      </c>
      <c r="D1241" s="9" t="s">
        <v>4686</v>
      </c>
      <c r="E1241" s="9" t="s">
        <v>4684</v>
      </c>
      <c r="F1241" s="9" t="s">
        <v>4686</v>
      </c>
      <c r="G1241" s="9">
        <v>1.0</v>
      </c>
      <c r="H1241" s="9" t="s">
        <v>4684</v>
      </c>
      <c r="I1241" s="9" t="str">
        <f t="shared" si="1"/>
        <v>No</v>
      </c>
      <c r="J1241" s="9">
        <f t="shared" si="2"/>
        <v>1</v>
      </c>
      <c r="K1241" s="9" t="str">
        <f t="shared" si="3"/>
        <v>NORMAL WEIGHT</v>
      </c>
    </row>
    <row r="1242" ht="15.75" customHeight="1">
      <c r="A1242" s="9" t="s">
        <v>2483</v>
      </c>
      <c r="B1242" s="9">
        <v>31.445</v>
      </c>
      <c r="C1242" s="9">
        <v>8.33</v>
      </c>
      <c r="D1242" s="9" t="s">
        <v>4684</v>
      </c>
      <c r="E1242" s="9" t="s">
        <v>4684</v>
      </c>
      <c r="F1242" s="9" t="s">
        <v>4684</v>
      </c>
      <c r="G1242" s="9" t="s">
        <v>4685</v>
      </c>
      <c r="H1242" s="9" t="s">
        <v>4684</v>
      </c>
      <c r="I1242" s="9" t="str">
        <f t="shared" si="1"/>
        <v>No</v>
      </c>
      <c r="J1242" s="9">
        <f t="shared" si="2"/>
        <v>0</v>
      </c>
      <c r="K1242" s="9" t="str">
        <f t="shared" si="3"/>
        <v>OBESITY</v>
      </c>
    </row>
    <row r="1243" ht="15.75" customHeight="1">
      <c r="A1243" s="9" t="s">
        <v>2485</v>
      </c>
      <c r="B1243" s="9">
        <v>38.88</v>
      </c>
      <c r="C1243" s="9">
        <v>4.29</v>
      </c>
      <c r="D1243" s="9" t="s">
        <v>4684</v>
      </c>
      <c r="E1243" s="9" t="s">
        <v>4684</v>
      </c>
      <c r="F1243" s="9" t="s">
        <v>4684</v>
      </c>
      <c r="G1243" s="9">
        <v>1.0</v>
      </c>
      <c r="H1243" s="9" t="s">
        <v>4684</v>
      </c>
      <c r="I1243" s="9" t="str">
        <f t="shared" si="1"/>
        <v>No</v>
      </c>
      <c r="J1243" s="9">
        <f t="shared" si="2"/>
        <v>1</v>
      </c>
      <c r="K1243" s="9" t="str">
        <f t="shared" si="3"/>
        <v>OBESITY</v>
      </c>
    </row>
    <row r="1244" ht="15.75" customHeight="1">
      <c r="A1244" s="9" t="s">
        <v>2487</v>
      </c>
      <c r="B1244" s="9">
        <v>43.89</v>
      </c>
      <c r="C1244" s="9">
        <v>6.32</v>
      </c>
      <c r="D1244" s="9" t="s">
        <v>4686</v>
      </c>
      <c r="E1244" s="9" t="s">
        <v>4684</v>
      </c>
      <c r="F1244" s="9" t="s">
        <v>4684</v>
      </c>
      <c r="G1244" s="9" t="s">
        <v>4685</v>
      </c>
      <c r="H1244" s="9" t="s">
        <v>4684</v>
      </c>
      <c r="I1244" s="9" t="str">
        <f t="shared" si="1"/>
        <v>No</v>
      </c>
      <c r="J1244" s="9">
        <f t="shared" si="2"/>
        <v>0</v>
      </c>
      <c r="K1244" s="9" t="str">
        <f t="shared" si="3"/>
        <v>OBESITY</v>
      </c>
    </row>
    <row r="1245" ht="15.75" customHeight="1">
      <c r="A1245" s="9" t="s">
        <v>2489</v>
      </c>
      <c r="B1245" s="9">
        <v>25.6</v>
      </c>
      <c r="C1245" s="9">
        <v>5.65</v>
      </c>
      <c r="D1245" s="9" t="s">
        <v>4684</v>
      </c>
      <c r="E1245" s="9" t="s">
        <v>4684</v>
      </c>
      <c r="F1245" s="9" t="s">
        <v>4684</v>
      </c>
      <c r="G1245" s="9">
        <v>2.0</v>
      </c>
      <c r="H1245" s="9" t="s">
        <v>4684</v>
      </c>
      <c r="I1245" s="9" t="str">
        <f t="shared" si="1"/>
        <v>No</v>
      </c>
      <c r="J1245" s="9">
        <f t="shared" si="2"/>
        <v>2</v>
      </c>
      <c r="K1245" s="9" t="str">
        <f t="shared" si="3"/>
        <v>OVERWEIGHT</v>
      </c>
    </row>
    <row r="1246" ht="15.75" customHeight="1">
      <c r="A1246" s="9" t="s">
        <v>2491</v>
      </c>
      <c r="B1246" s="9">
        <v>29.545</v>
      </c>
      <c r="C1246" s="9">
        <v>8.41</v>
      </c>
      <c r="D1246" s="9" t="s">
        <v>4686</v>
      </c>
      <c r="E1246" s="9" t="s">
        <v>4684</v>
      </c>
      <c r="F1246" s="9" t="s">
        <v>4684</v>
      </c>
      <c r="G1246" s="9">
        <v>1.0</v>
      </c>
      <c r="H1246" s="9" t="s">
        <v>4684</v>
      </c>
      <c r="I1246" s="9" t="str">
        <f t="shared" si="1"/>
        <v>No</v>
      </c>
      <c r="J1246" s="9">
        <f t="shared" si="2"/>
        <v>1</v>
      </c>
      <c r="K1246" s="9" t="str">
        <f t="shared" si="3"/>
        <v>OVERWEIGHT</v>
      </c>
    </row>
    <row r="1247" ht="15.75" customHeight="1">
      <c r="A1247" s="9" t="s">
        <v>2493</v>
      </c>
      <c r="B1247" s="9">
        <v>23.25</v>
      </c>
      <c r="C1247" s="9">
        <v>11.96</v>
      </c>
      <c r="D1247" s="9" t="s">
        <v>4686</v>
      </c>
      <c r="E1247" s="9" t="s">
        <v>4684</v>
      </c>
      <c r="F1247" s="9" t="s">
        <v>4684</v>
      </c>
      <c r="G1247" s="9" t="s">
        <v>4685</v>
      </c>
      <c r="H1247" s="9" t="s">
        <v>4684</v>
      </c>
      <c r="I1247" s="9" t="str">
        <f t="shared" si="1"/>
        <v>No</v>
      </c>
      <c r="J1247" s="9">
        <f t="shared" si="2"/>
        <v>0</v>
      </c>
      <c r="K1247" s="9" t="str">
        <f t="shared" si="3"/>
        <v>NORMAL WEIGHT</v>
      </c>
    </row>
    <row r="1248" ht="15.75" customHeight="1">
      <c r="A1248" s="9" t="s">
        <v>2495</v>
      </c>
      <c r="B1248" s="9">
        <v>43.95</v>
      </c>
      <c r="C1248" s="9">
        <v>5.17</v>
      </c>
      <c r="D1248" s="9" t="s">
        <v>4686</v>
      </c>
      <c r="E1248" s="9" t="s">
        <v>4684</v>
      </c>
      <c r="F1248" s="9" t="s">
        <v>4686</v>
      </c>
      <c r="G1248" s="9">
        <v>1.0</v>
      </c>
      <c r="H1248" s="9" t="s">
        <v>4684</v>
      </c>
      <c r="I1248" s="9" t="str">
        <f t="shared" si="1"/>
        <v>No</v>
      </c>
      <c r="J1248" s="9">
        <f t="shared" si="2"/>
        <v>1</v>
      </c>
      <c r="K1248" s="9" t="str">
        <f t="shared" si="3"/>
        <v>OBESITY</v>
      </c>
    </row>
    <row r="1249" ht="15.75" customHeight="1">
      <c r="A1249" s="9" t="s">
        <v>2497</v>
      </c>
      <c r="B1249" s="9">
        <v>21.85</v>
      </c>
      <c r="C1249" s="9">
        <v>8.76</v>
      </c>
      <c r="D1249" s="9" t="s">
        <v>4684</v>
      </c>
      <c r="E1249" s="9" t="s">
        <v>4684</v>
      </c>
      <c r="F1249" s="9" t="s">
        <v>4684</v>
      </c>
      <c r="G1249" s="9" t="s">
        <v>4685</v>
      </c>
      <c r="H1249" s="9" t="s">
        <v>4684</v>
      </c>
      <c r="I1249" s="9" t="str">
        <f t="shared" si="1"/>
        <v>No</v>
      </c>
      <c r="J1249" s="9">
        <f t="shared" si="2"/>
        <v>0</v>
      </c>
      <c r="K1249" s="9" t="str">
        <f t="shared" si="3"/>
        <v>NORMAL WEIGHT</v>
      </c>
    </row>
    <row r="1250" ht="15.75" customHeight="1">
      <c r="A1250" s="9" t="s">
        <v>2499</v>
      </c>
      <c r="B1250" s="9">
        <v>25.73</v>
      </c>
      <c r="C1250" s="9">
        <v>7.99</v>
      </c>
      <c r="D1250" s="9" t="s">
        <v>4684</v>
      </c>
      <c r="E1250" s="9" t="s">
        <v>4684</v>
      </c>
      <c r="F1250" s="9" t="s">
        <v>4684</v>
      </c>
      <c r="G1250" s="9">
        <v>2.0</v>
      </c>
      <c r="H1250" s="9" t="s">
        <v>4684</v>
      </c>
      <c r="I1250" s="9" t="str">
        <f t="shared" si="1"/>
        <v>No</v>
      </c>
      <c r="J1250" s="9">
        <f t="shared" si="2"/>
        <v>2</v>
      </c>
      <c r="K1250" s="9" t="str">
        <f t="shared" si="3"/>
        <v>OVERWEIGHT</v>
      </c>
    </row>
    <row r="1251" ht="15.75" customHeight="1">
      <c r="A1251" s="9" t="s">
        <v>2501</v>
      </c>
      <c r="B1251" s="9">
        <v>32.23</v>
      </c>
      <c r="C1251" s="9">
        <v>8.59</v>
      </c>
      <c r="D1251" s="9" t="s">
        <v>4684</v>
      </c>
      <c r="E1251" s="9" t="s">
        <v>4684</v>
      </c>
      <c r="F1251" s="9" t="s">
        <v>4684</v>
      </c>
      <c r="G1251" s="9" t="s">
        <v>4685</v>
      </c>
      <c r="H1251" s="9" t="s">
        <v>4684</v>
      </c>
      <c r="I1251" s="9" t="str">
        <f t="shared" si="1"/>
        <v>No</v>
      </c>
      <c r="J1251" s="9">
        <f t="shared" si="2"/>
        <v>0</v>
      </c>
      <c r="K1251" s="9" t="str">
        <f t="shared" si="3"/>
        <v>OBESITY</v>
      </c>
    </row>
    <row r="1252" ht="15.75" customHeight="1">
      <c r="A1252" s="9" t="s">
        <v>2503</v>
      </c>
      <c r="B1252" s="9">
        <v>32.205</v>
      </c>
      <c r="C1252" s="9">
        <v>6.14</v>
      </c>
      <c r="D1252" s="9" t="s">
        <v>4684</v>
      </c>
      <c r="E1252" s="9" t="s">
        <v>4684</v>
      </c>
      <c r="F1252" s="9" t="s">
        <v>4684</v>
      </c>
      <c r="G1252" s="9">
        <v>2.0</v>
      </c>
      <c r="H1252" s="9" t="s">
        <v>4684</v>
      </c>
      <c r="I1252" s="9" t="str">
        <f t="shared" si="1"/>
        <v>No</v>
      </c>
      <c r="J1252" s="9">
        <f t="shared" si="2"/>
        <v>2</v>
      </c>
      <c r="K1252" s="9" t="str">
        <f t="shared" si="3"/>
        <v>OBESITY</v>
      </c>
    </row>
    <row r="1253" ht="15.75" customHeight="1">
      <c r="A1253" s="9" t="s">
        <v>2505</v>
      </c>
      <c r="B1253" s="9">
        <v>26.41</v>
      </c>
      <c r="C1253" s="9">
        <v>4.08</v>
      </c>
      <c r="D1253" s="9" t="s">
        <v>4684</v>
      </c>
      <c r="E1253" s="9" t="s">
        <v>4684</v>
      </c>
      <c r="F1253" s="9" t="s">
        <v>4684</v>
      </c>
      <c r="G1253" s="9">
        <v>2.0</v>
      </c>
      <c r="H1253" s="9" t="s">
        <v>4684</v>
      </c>
      <c r="I1253" s="9" t="str">
        <f t="shared" si="1"/>
        <v>No</v>
      </c>
      <c r="J1253" s="9">
        <f t="shared" si="2"/>
        <v>2</v>
      </c>
      <c r="K1253" s="9" t="str">
        <f t="shared" si="3"/>
        <v>OVERWEIGHT</v>
      </c>
    </row>
    <row r="1254" ht="15.75" customHeight="1">
      <c r="A1254" s="9" t="s">
        <v>2507</v>
      </c>
      <c r="B1254" s="9">
        <v>30.2</v>
      </c>
      <c r="C1254" s="9">
        <v>6.25</v>
      </c>
      <c r="D1254" s="9" t="s">
        <v>4686</v>
      </c>
      <c r="E1254" s="9" t="s">
        <v>4684</v>
      </c>
      <c r="F1254" s="9" t="s">
        <v>4684</v>
      </c>
      <c r="G1254" s="9" t="s">
        <v>4685</v>
      </c>
      <c r="H1254" s="9" t="s">
        <v>4684</v>
      </c>
      <c r="I1254" s="9" t="str">
        <f t="shared" si="1"/>
        <v>No</v>
      </c>
      <c r="J1254" s="9">
        <f t="shared" si="2"/>
        <v>0</v>
      </c>
      <c r="K1254" s="9" t="str">
        <f t="shared" si="3"/>
        <v>OBESITY</v>
      </c>
    </row>
    <row r="1255" ht="15.75" customHeight="1">
      <c r="A1255" s="9" t="s">
        <v>2509</v>
      </c>
      <c r="B1255" s="9">
        <v>31.26</v>
      </c>
      <c r="C1255" s="9">
        <v>5.94</v>
      </c>
      <c r="D1255" s="9" t="s">
        <v>4686</v>
      </c>
      <c r="E1255" s="9" t="s">
        <v>4684</v>
      </c>
      <c r="F1255" s="9" t="s">
        <v>4684</v>
      </c>
      <c r="G1255" s="9">
        <v>1.0</v>
      </c>
      <c r="H1255" s="9" t="s">
        <v>4684</v>
      </c>
      <c r="I1255" s="9" t="str">
        <f t="shared" si="1"/>
        <v>No</v>
      </c>
      <c r="J1255" s="9">
        <f t="shared" si="2"/>
        <v>1</v>
      </c>
      <c r="K1255" s="9" t="str">
        <f t="shared" si="3"/>
        <v>OBESITY</v>
      </c>
    </row>
    <row r="1256" ht="15.75" customHeight="1">
      <c r="A1256" s="9" t="s">
        <v>2511</v>
      </c>
      <c r="B1256" s="9">
        <v>33.725</v>
      </c>
      <c r="C1256" s="9">
        <v>6.45</v>
      </c>
      <c r="D1256" s="9" t="s">
        <v>4686</v>
      </c>
      <c r="E1256" s="9" t="s">
        <v>4684</v>
      </c>
      <c r="F1256" s="9" t="s">
        <v>4684</v>
      </c>
      <c r="G1256" s="9" t="s">
        <v>4685</v>
      </c>
      <c r="H1256" s="9" t="s">
        <v>4684</v>
      </c>
      <c r="I1256" s="9" t="str">
        <f t="shared" si="1"/>
        <v>No</v>
      </c>
      <c r="J1256" s="9">
        <f t="shared" si="2"/>
        <v>0</v>
      </c>
      <c r="K1256" s="9" t="str">
        <f t="shared" si="3"/>
        <v>OBESITY</v>
      </c>
    </row>
    <row r="1257" ht="15.75" customHeight="1">
      <c r="A1257" s="9" t="s">
        <v>2513</v>
      </c>
      <c r="B1257" s="9">
        <v>28.9</v>
      </c>
      <c r="C1257" s="9">
        <v>5.74</v>
      </c>
      <c r="D1257" s="9" t="s">
        <v>4686</v>
      </c>
      <c r="E1257" s="9" t="s">
        <v>4684</v>
      </c>
      <c r="F1257" s="9" t="s">
        <v>4684</v>
      </c>
      <c r="G1257" s="9" t="s">
        <v>4685</v>
      </c>
      <c r="H1257" s="9" t="s">
        <v>4684</v>
      </c>
      <c r="I1257" s="9" t="str">
        <f t="shared" si="1"/>
        <v>No</v>
      </c>
      <c r="J1257" s="9">
        <f t="shared" si="2"/>
        <v>0</v>
      </c>
      <c r="K1257" s="9" t="str">
        <f t="shared" si="3"/>
        <v>OVERWEIGHT</v>
      </c>
    </row>
    <row r="1258" ht="15.75" customHeight="1">
      <c r="A1258" s="9" t="s">
        <v>2515</v>
      </c>
      <c r="B1258" s="9">
        <v>45.69</v>
      </c>
      <c r="C1258" s="9">
        <v>4.43</v>
      </c>
      <c r="D1258" s="9" t="s">
        <v>4686</v>
      </c>
      <c r="E1258" s="9" t="s">
        <v>4684</v>
      </c>
      <c r="F1258" s="9" t="s">
        <v>4684</v>
      </c>
      <c r="G1258" s="9" t="s">
        <v>4685</v>
      </c>
      <c r="H1258" s="9" t="s">
        <v>4684</v>
      </c>
      <c r="I1258" s="9" t="str">
        <f t="shared" si="1"/>
        <v>No</v>
      </c>
      <c r="J1258" s="9">
        <f t="shared" si="2"/>
        <v>0</v>
      </c>
      <c r="K1258" s="9" t="str">
        <f t="shared" si="3"/>
        <v>OBESITY</v>
      </c>
    </row>
    <row r="1259" ht="15.75" customHeight="1">
      <c r="A1259" s="9" t="s">
        <v>2517</v>
      </c>
      <c r="B1259" s="9">
        <v>21.03</v>
      </c>
      <c r="C1259" s="9">
        <v>6.5</v>
      </c>
      <c r="D1259" s="9" t="s">
        <v>4684</v>
      </c>
      <c r="E1259" s="9" t="s">
        <v>4684</v>
      </c>
      <c r="F1259" s="9" t="s">
        <v>4684</v>
      </c>
      <c r="G1259" s="9" t="s">
        <v>4685</v>
      </c>
      <c r="H1259" s="9" t="s">
        <v>4684</v>
      </c>
      <c r="I1259" s="9" t="str">
        <f t="shared" si="1"/>
        <v>No</v>
      </c>
      <c r="J1259" s="9">
        <f t="shared" si="2"/>
        <v>0</v>
      </c>
      <c r="K1259" s="9" t="str">
        <f t="shared" si="3"/>
        <v>NORMAL WEIGHT</v>
      </c>
    </row>
    <row r="1260" ht="15.75" customHeight="1">
      <c r="A1260" s="9" t="s">
        <v>2519</v>
      </c>
      <c r="B1260" s="9">
        <v>37.0</v>
      </c>
      <c r="C1260" s="9">
        <v>8.75</v>
      </c>
      <c r="D1260" s="9" t="s">
        <v>4684</v>
      </c>
      <c r="E1260" s="9" t="s">
        <v>4684</v>
      </c>
      <c r="F1260" s="9" t="s">
        <v>4684</v>
      </c>
      <c r="G1260" s="9" t="s">
        <v>4685</v>
      </c>
      <c r="H1260" s="9" t="s">
        <v>4684</v>
      </c>
      <c r="I1260" s="9" t="str">
        <f t="shared" si="1"/>
        <v>No</v>
      </c>
      <c r="J1260" s="9">
        <f t="shared" si="2"/>
        <v>0</v>
      </c>
      <c r="K1260" s="9" t="str">
        <f t="shared" si="3"/>
        <v>OBESITY</v>
      </c>
    </row>
    <row r="1261" ht="15.75" customHeight="1">
      <c r="A1261" s="9" t="s">
        <v>2521</v>
      </c>
      <c r="B1261" s="9">
        <v>25.4</v>
      </c>
      <c r="C1261" s="9">
        <v>11.96</v>
      </c>
      <c r="D1261" s="9" t="s">
        <v>4684</v>
      </c>
      <c r="E1261" s="9" t="s">
        <v>4684</v>
      </c>
      <c r="F1261" s="9" t="s">
        <v>4684</v>
      </c>
      <c r="G1261" s="9" t="s">
        <v>4685</v>
      </c>
      <c r="H1261" s="9" t="s">
        <v>4684</v>
      </c>
      <c r="I1261" s="9" t="str">
        <f t="shared" si="1"/>
        <v>No</v>
      </c>
      <c r="J1261" s="9">
        <f t="shared" si="2"/>
        <v>0</v>
      </c>
      <c r="K1261" s="9" t="str">
        <f t="shared" si="3"/>
        <v>OVERWEIGHT</v>
      </c>
    </row>
    <row r="1262" ht="15.75" customHeight="1">
      <c r="A1262" s="9" t="s">
        <v>2523</v>
      </c>
      <c r="B1262" s="9">
        <v>32.3</v>
      </c>
      <c r="C1262" s="9">
        <v>10.54</v>
      </c>
      <c r="D1262" s="9" t="s">
        <v>4684</v>
      </c>
      <c r="E1262" s="9" t="s">
        <v>4684</v>
      </c>
      <c r="F1262" s="9" t="s">
        <v>4684</v>
      </c>
      <c r="G1262" s="9" t="s">
        <v>4685</v>
      </c>
      <c r="H1262" s="9" t="s">
        <v>4684</v>
      </c>
      <c r="I1262" s="9" t="str">
        <f t="shared" si="1"/>
        <v>No</v>
      </c>
      <c r="J1262" s="9">
        <f t="shared" si="2"/>
        <v>0</v>
      </c>
      <c r="K1262" s="9" t="str">
        <f t="shared" si="3"/>
        <v>OBESITY</v>
      </c>
    </row>
    <row r="1263" ht="15.75" customHeight="1">
      <c r="A1263" s="9" t="s">
        <v>2525</v>
      </c>
      <c r="B1263" s="9">
        <v>23.94</v>
      </c>
      <c r="C1263" s="9">
        <v>4.54</v>
      </c>
      <c r="D1263" s="9" t="s">
        <v>4686</v>
      </c>
      <c r="E1263" s="9" t="s">
        <v>4684</v>
      </c>
      <c r="F1263" s="9" t="s">
        <v>4686</v>
      </c>
      <c r="G1263" s="9">
        <v>1.0</v>
      </c>
      <c r="H1263" s="9" t="s">
        <v>4684</v>
      </c>
      <c r="I1263" s="9" t="str">
        <f t="shared" si="1"/>
        <v>No</v>
      </c>
      <c r="J1263" s="9">
        <f t="shared" si="2"/>
        <v>1</v>
      </c>
      <c r="K1263" s="9" t="str">
        <f t="shared" si="3"/>
        <v>NORMAL WEIGHT</v>
      </c>
    </row>
    <row r="1264" ht="15.75" customHeight="1">
      <c r="A1264" s="9" t="s">
        <v>2527</v>
      </c>
      <c r="B1264" s="9">
        <v>46.4</v>
      </c>
      <c r="C1264" s="9">
        <v>5.71</v>
      </c>
      <c r="D1264" s="9" t="s">
        <v>4684</v>
      </c>
      <c r="E1264" s="9" t="s">
        <v>4684</v>
      </c>
      <c r="F1264" s="9" t="s">
        <v>4684</v>
      </c>
      <c r="G1264" s="9" t="s">
        <v>4685</v>
      </c>
      <c r="H1264" s="9" t="s">
        <v>4684</v>
      </c>
      <c r="I1264" s="9" t="str">
        <f t="shared" si="1"/>
        <v>No</v>
      </c>
      <c r="J1264" s="9">
        <f t="shared" si="2"/>
        <v>0</v>
      </c>
      <c r="K1264" s="9" t="str">
        <f t="shared" si="3"/>
        <v>OBESITY</v>
      </c>
    </row>
    <row r="1265" ht="15.75" customHeight="1">
      <c r="A1265" s="9" t="s">
        <v>2529</v>
      </c>
      <c r="B1265" s="9">
        <v>40.375</v>
      </c>
      <c r="C1265" s="9">
        <v>6.25</v>
      </c>
      <c r="D1265" s="9" t="s">
        <v>4686</v>
      </c>
      <c r="E1265" s="9" t="s">
        <v>4684</v>
      </c>
      <c r="F1265" s="9" t="s">
        <v>4684</v>
      </c>
      <c r="G1265" s="9" t="s">
        <v>4685</v>
      </c>
      <c r="H1265" s="9" t="s">
        <v>4684</v>
      </c>
      <c r="I1265" s="9" t="str">
        <f t="shared" si="1"/>
        <v>No</v>
      </c>
      <c r="J1265" s="9">
        <f t="shared" si="2"/>
        <v>0</v>
      </c>
      <c r="K1265" s="9" t="str">
        <f t="shared" si="3"/>
        <v>OBESITY</v>
      </c>
    </row>
    <row r="1266" ht="15.75" customHeight="1">
      <c r="A1266" s="9" t="s">
        <v>2531</v>
      </c>
      <c r="B1266" s="9">
        <v>28.7</v>
      </c>
      <c r="C1266" s="9">
        <v>9.47</v>
      </c>
      <c r="D1266" s="9" t="s">
        <v>4684</v>
      </c>
      <c r="E1266" s="9" t="s">
        <v>4684</v>
      </c>
      <c r="F1266" s="9" t="s">
        <v>4684</v>
      </c>
      <c r="G1266" s="9">
        <v>2.0</v>
      </c>
      <c r="H1266" s="9" t="s">
        <v>4684</v>
      </c>
      <c r="I1266" s="9" t="str">
        <f t="shared" si="1"/>
        <v>No</v>
      </c>
      <c r="J1266" s="9">
        <f t="shared" si="2"/>
        <v>2</v>
      </c>
      <c r="K1266" s="9" t="str">
        <f t="shared" si="3"/>
        <v>OVERWEIGHT</v>
      </c>
    </row>
    <row r="1267" ht="15.75" customHeight="1">
      <c r="A1267" s="9" t="s">
        <v>2533</v>
      </c>
      <c r="B1267" s="9">
        <v>26.63</v>
      </c>
      <c r="C1267" s="9">
        <v>5.7</v>
      </c>
      <c r="D1267" s="9" t="s">
        <v>4684</v>
      </c>
      <c r="E1267" s="9" t="s">
        <v>4684</v>
      </c>
      <c r="F1267" s="9" t="s">
        <v>4684</v>
      </c>
      <c r="G1267" s="9" t="s">
        <v>4685</v>
      </c>
      <c r="H1267" s="9" t="s">
        <v>4684</v>
      </c>
      <c r="I1267" s="9" t="str">
        <f t="shared" si="1"/>
        <v>No</v>
      </c>
      <c r="J1267" s="9">
        <f t="shared" si="2"/>
        <v>0</v>
      </c>
      <c r="K1267" s="9" t="str">
        <f t="shared" si="3"/>
        <v>OVERWEIGHT</v>
      </c>
    </row>
    <row r="1268" ht="15.75" customHeight="1">
      <c r="A1268" s="9" t="s">
        <v>2535</v>
      </c>
      <c r="B1268" s="9">
        <v>22.515</v>
      </c>
      <c r="C1268" s="9">
        <v>11.18</v>
      </c>
      <c r="D1268" s="9" t="s">
        <v>4684</v>
      </c>
      <c r="E1268" s="9" t="s">
        <v>4684</v>
      </c>
      <c r="F1268" s="9" t="s">
        <v>4684</v>
      </c>
      <c r="G1268" s="9">
        <v>2.0</v>
      </c>
      <c r="H1268" s="9" t="s">
        <v>4684</v>
      </c>
      <c r="I1268" s="9" t="str">
        <f t="shared" si="1"/>
        <v>No</v>
      </c>
      <c r="J1268" s="9">
        <f t="shared" si="2"/>
        <v>2</v>
      </c>
      <c r="K1268" s="9" t="str">
        <f t="shared" si="3"/>
        <v>NORMAL WEIGHT</v>
      </c>
    </row>
    <row r="1269" ht="15.75" customHeight="1">
      <c r="A1269" s="9" t="s">
        <v>2537</v>
      </c>
      <c r="B1269" s="9">
        <v>36.575</v>
      </c>
      <c r="C1269" s="9">
        <v>10.98</v>
      </c>
      <c r="D1269" s="9" t="s">
        <v>4684</v>
      </c>
      <c r="E1269" s="9" t="s">
        <v>4684</v>
      </c>
      <c r="F1269" s="9" t="s">
        <v>4684</v>
      </c>
      <c r="G1269" s="9" t="s">
        <v>4685</v>
      </c>
      <c r="H1269" s="9" t="s">
        <v>4684</v>
      </c>
      <c r="I1269" s="9" t="str">
        <f t="shared" si="1"/>
        <v>No</v>
      </c>
      <c r="J1269" s="9">
        <f t="shared" si="2"/>
        <v>0</v>
      </c>
      <c r="K1269" s="9" t="str">
        <f t="shared" si="3"/>
        <v>OBESITY</v>
      </c>
    </row>
    <row r="1270" ht="15.75" customHeight="1">
      <c r="A1270" s="9" t="s">
        <v>2539</v>
      </c>
      <c r="B1270" s="9">
        <v>23.66</v>
      </c>
      <c r="C1270" s="9">
        <v>5.11</v>
      </c>
      <c r="D1270" s="9" t="s">
        <v>4686</v>
      </c>
      <c r="E1270" s="9" t="s">
        <v>4684</v>
      </c>
      <c r="F1270" s="9" t="s">
        <v>4686</v>
      </c>
      <c r="G1270" s="9">
        <v>1.0</v>
      </c>
      <c r="H1270" s="9" t="s">
        <v>4684</v>
      </c>
      <c r="I1270" s="9" t="str">
        <f t="shared" si="1"/>
        <v>No</v>
      </c>
      <c r="J1270" s="9">
        <f t="shared" si="2"/>
        <v>1</v>
      </c>
      <c r="K1270" s="9" t="str">
        <f t="shared" si="3"/>
        <v>NORMAL WEIGHT</v>
      </c>
    </row>
    <row r="1271" ht="15.75" customHeight="1">
      <c r="A1271" s="9" t="s">
        <v>2541</v>
      </c>
      <c r="B1271" s="9">
        <v>18.62</v>
      </c>
      <c r="C1271" s="9">
        <v>10.24</v>
      </c>
      <c r="D1271" s="9" t="s">
        <v>4684</v>
      </c>
      <c r="E1271" s="9" t="s">
        <v>4684</v>
      </c>
      <c r="F1271" s="9" t="s">
        <v>4684</v>
      </c>
      <c r="G1271" s="9" t="s">
        <v>4685</v>
      </c>
      <c r="H1271" s="9" t="s">
        <v>4684</v>
      </c>
      <c r="I1271" s="9" t="str">
        <f t="shared" si="1"/>
        <v>No</v>
      </c>
      <c r="J1271" s="9">
        <f t="shared" si="2"/>
        <v>0</v>
      </c>
      <c r="K1271" s="9" t="str">
        <f t="shared" si="3"/>
        <v>NORMAL WEIGHT</v>
      </c>
    </row>
    <row r="1272" ht="15.75" customHeight="1">
      <c r="A1272" s="9" t="s">
        <v>2543</v>
      </c>
      <c r="B1272" s="9">
        <v>19.19</v>
      </c>
      <c r="C1272" s="9">
        <v>7.71</v>
      </c>
      <c r="D1272" s="9" t="s">
        <v>4686</v>
      </c>
      <c r="E1272" s="9" t="s">
        <v>4684</v>
      </c>
      <c r="F1272" s="9" t="s">
        <v>4684</v>
      </c>
      <c r="G1272" s="9">
        <v>1.0</v>
      </c>
      <c r="H1272" s="9" t="s">
        <v>4684</v>
      </c>
      <c r="I1272" s="9" t="str">
        <f t="shared" si="1"/>
        <v>No</v>
      </c>
      <c r="J1272" s="9">
        <f t="shared" si="2"/>
        <v>1</v>
      </c>
      <c r="K1272" s="9" t="str">
        <f t="shared" si="3"/>
        <v>NORMAL WEIGHT</v>
      </c>
    </row>
    <row r="1273" ht="15.75" customHeight="1">
      <c r="A1273" s="9" t="s">
        <v>2545</v>
      </c>
      <c r="B1273" s="9">
        <v>27.5</v>
      </c>
      <c r="C1273" s="9">
        <v>6.03</v>
      </c>
      <c r="D1273" s="9" t="s">
        <v>4684</v>
      </c>
      <c r="E1273" s="9" t="s">
        <v>4684</v>
      </c>
      <c r="F1273" s="9" t="s">
        <v>4684</v>
      </c>
      <c r="G1273" s="9" t="s">
        <v>4685</v>
      </c>
      <c r="H1273" s="9" t="s">
        <v>4684</v>
      </c>
      <c r="I1273" s="9" t="str">
        <f t="shared" si="1"/>
        <v>No</v>
      </c>
      <c r="J1273" s="9">
        <f t="shared" si="2"/>
        <v>0</v>
      </c>
      <c r="K1273" s="9" t="str">
        <f t="shared" si="3"/>
        <v>OVERWEIGHT</v>
      </c>
    </row>
    <row r="1274" ht="15.75" customHeight="1">
      <c r="A1274" s="9" t="s">
        <v>2547</v>
      </c>
      <c r="B1274" s="9">
        <v>27.36</v>
      </c>
      <c r="C1274" s="9">
        <v>5.96</v>
      </c>
      <c r="D1274" s="9" t="s">
        <v>4684</v>
      </c>
      <c r="E1274" s="9" t="s">
        <v>4684</v>
      </c>
      <c r="F1274" s="9" t="s">
        <v>4686</v>
      </c>
      <c r="G1274" s="9">
        <v>1.0</v>
      </c>
      <c r="H1274" s="9" t="s">
        <v>4684</v>
      </c>
      <c r="I1274" s="9" t="str">
        <f t="shared" si="1"/>
        <v>No</v>
      </c>
      <c r="J1274" s="9">
        <f t="shared" si="2"/>
        <v>1</v>
      </c>
      <c r="K1274" s="9" t="str">
        <f t="shared" si="3"/>
        <v>OVERWEIGHT</v>
      </c>
    </row>
    <row r="1275" ht="15.75" customHeight="1">
      <c r="A1275" s="9" t="s">
        <v>2549</v>
      </c>
      <c r="B1275" s="9">
        <v>20.35</v>
      </c>
      <c r="C1275" s="9">
        <v>4.16</v>
      </c>
      <c r="D1275" s="9" t="s">
        <v>4684</v>
      </c>
      <c r="E1275" s="9" t="s">
        <v>4684</v>
      </c>
      <c r="F1275" s="9" t="s">
        <v>4684</v>
      </c>
      <c r="G1275" s="9" t="s">
        <v>4685</v>
      </c>
      <c r="H1275" s="9" t="s">
        <v>4684</v>
      </c>
      <c r="I1275" s="9" t="str">
        <f t="shared" si="1"/>
        <v>No</v>
      </c>
      <c r="J1275" s="9">
        <f t="shared" si="2"/>
        <v>0</v>
      </c>
      <c r="K1275" s="9" t="str">
        <f t="shared" si="3"/>
        <v>NORMAL WEIGHT</v>
      </c>
    </row>
    <row r="1276" ht="15.75" customHeight="1">
      <c r="A1276" s="9" t="s">
        <v>2551</v>
      </c>
      <c r="B1276" s="9">
        <v>24.035</v>
      </c>
      <c r="C1276" s="9">
        <v>6.11</v>
      </c>
      <c r="D1276" s="9" t="s">
        <v>4684</v>
      </c>
      <c r="E1276" s="9" t="s">
        <v>4684</v>
      </c>
      <c r="F1276" s="9" t="s">
        <v>4684</v>
      </c>
      <c r="G1276" s="9" t="s">
        <v>4685</v>
      </c>
      <c r="H1276" s="9" t="s">
        <v>4684</v>
      </c>
      <c r="I1276" s="9" t="str">
        <f t="shared" si="1"/>
        <v>No</v>
      </c>
      <c r="J1276" s="9">
        <f t="shared" si="2"/>
        <v>0</v>
      </c>
      <c r="K1276" s="9" t="str">
        <f t="shared" si="3"/>
        <v>NORMAL WEIGHT</v>
      </c>
    </row>
    <row r="1277" ht="15.75" customHeight="1">
      <c r="A1277" s="9" t="s">
        <v>2553</v>
      </c>
      <c r="B1277" s="9">
        <v>23.56</v>
      </c>
      <c r="C1277" s="9">
        <v>5.97</v>
      </c>
      <c r="D1277" s="9" t="s">
        <v>4684</v>
      </c>
      <c r="E1277" s="9" t="s">
        <v>4684</v>
      </c>
      <c r="F1277" s="9" t="s">
        <v>4684</v>
      </c>
      <c r="G1277" s="9" t="s">
        <v>4685</v>
      </c>
      <c r="H1277" s="9" t="s">
        <v>4684</v>
      </c>
      <c r="I1277" s="9" t="str">
        <f t="shared" si="1"/>
        <v>No</v>
      </c>
      <c r="J1277" s="9">
        <f t="shared" si="2"/>
        <v>0</v>
      </c>
      <c r="K1277" s="9" t="str">
        <f t="shared" si="3"/>
        <v>NORMAL WEIGHT</v>
      </c>
    </row>
    <row r="1278" ht="15.75" customHeight="1">
      <c r="A1278" s="9" t="s">
        <v>2555</v>
      </c>
      <c r="B1278" s="9">
        <v>27.17</v>
      </c>
      <c r="C1278" s="9">
        <v>10.81</v>
      </c>
      <c r="D1278" s="9" t="s">
        <v>4684</v>
      </c>
      <c r="E1278" s="9" t="s">
        <v>4684</v>
      </c>
      <c r="F1278" s="9" t="s">
        <v>4684</v>
      </c>
      <c r="G1278" s="9">
        <v>2.0</v>
      </c>
      <c r="H1278" s="9" t="s">
        <v>4684</v>
      </c>
      <c r="I1278" s="9" t="str">
        <f t="shared" si="1"/>
        <v>No</v>
      </c>
      <c r="J1278" s="9">
        <f t="shared" si="2"/>
        <v>2</v>
      </c>
      <c r="K1278" s="9" t="str">
        <f t="shared" si="3"/>
        <v>OVERWEIGHT</v>
      </c>
    </row>
    <row r="1279" ht="15.75" customHeight="1">
      <c r="A1279" s="9" t="s">
        <v>2557</v>
      </c>
      <c r="B1279" s="9">
        <v>34.32</v>
      </c>
      <c r="C1279" s="9">
        <v>5.7</v>
      </c>
      <c r="D1279" s="9" t="s">
        <v>4686</v>
      </c>
      <c r="E1279" s="9" t="s">
        <v>4684</v>
      </c>
      <c r="F1279" s="9" t="s">
        <v>4686</v>
      </c>
      <c r="G1279" s="9">
        <v>1.0</v>
      </c>
      <c r="H1279" s="9" t="s">
        <v>4684</v>
      </c>
      <c r="I1279" s="9" t="str">
        <f t="shared" si="1"/>
        <v>No</v>
      </c>
      <c r="J1279" s="9">
        <f t="shared" si="2"/>
        <v>1</v>
      </c>
      <c r="K1279" s="9" t="str">
        <f t="shared" si="3"/>
        <v>OBESITY</v>
      </c>
    </row>
    <row r="1280" ht="15.75" customHeight="1">
      <c r="A1280" s="9" t="s">
        <v>2559</v>
      </c>
      <c r="B1280" s="9">
        <v>23.87</v>
      </c>
      <c r="C1280" s="9">
        <v>4.77</v>
      </c>
      <c r="D1280" s="9" t="s">
        <v>4686</v>
      </c>
      <c r="E1280" s="9" t="s">
        <v>4684</v>
      </c>
      <c r="F1280" s="9" t="s">
        <v>4686</v>
      </c>
      <c r="G1280" s="9">
        <v>1.0</v>
      </c>
      <c r="H1280" s="9" t="s">
        <v>4684</v>
      </c>
      <c r="I1280" s="9" t="str">
        <f t="shared" si="1"/>
        <v>No</v>
      </c>
      <c r="J1280" s="9">
        <f t="shared" si="2"/>
        <v>1</v>
      </c>
      <c r="K1280" s="9" t="str">
        <f t="shared" si="3"/>
        <v>NORMAL WEIGHT</v>
      </c>
    </row>
    <row r="1281" ht="15.75" customHeight="1">
      <c r="A1281" s="9" t="s">
        <v>2561</v>
      </c>
      <c r="B1281" s="9">
        <v>30.15</v>
      </c>
      <c r="C1281" s="9">
        <v>4.25</v>
      </c>
      <c r="D1281" s="9" t="s">
        <v>4684</v>
      </c>
      <c r="E1281" s="9" t="s">
        <v>4684</v>
      </c>
      <c r="F1281" s="9" t="s">
        <v>4684</v>
      </c>
      <c r="G1281" s="9">
        <v>1.0</v>
      </c>
      <c r="H1281" s="9" t="s">
        <v>4684</v>
      </c>
      <c r="I1281" s="9" t="str">
        <f t="shared" si="1"/>
        <v>No</v>
      </c>
      <c r="J1281" s="9">
        <f t="shared" si="2"/>
        <v>1</v>
      </c>
      <c r="K1281" s="9" t="str">
        <f t="shared" si="3"/>
        <v>OBESITY</v>
      </c>
    </row>
    <row r="1282" ht="15.75" customHeight="1">
      <c r="A1282" s="9" t="s">
        <v>2563</v>
      </c>
      <c r="B1282" s="9">
        <v>26.36</v>
      </c>
      <c r="C1282" s="9">
        <v>5.52</v>
      </c>
      <c r="D1282" s="9" t="s">
        <v>4684</v>
      </c>
      <c r="E1282" s="9" t="s">
        <v>4684</v>
      </c>
      <c r="F1282" s="9" t="s">
        <v>4684</v>
      </c>
      <c r="G1282" s="9" t="s">
        <v>4685</v>
      </c>
      <c r="H1282" s="9" t="s">
        <v>4684</v>
      </c>
      <c r="I1282" s="9" t="str">
        <f t="shared" si="1"/>
        <v>No</v>
      </c>
      <c r="J1282" s="9">
        <f t="shared" si="2"/>
        <v>0</v>
      </c>
      <c r="K1282" s="9" t="str">
        <f t="shared" si="3"/>
        <v>OVERWEIGHT</v>
      </c>
    </row>
    <row r="1283" ht="15.75" customHeight="1">
      <c r="A1283" s="9" t="s">
        <v>2565</v>
      </c>
      <c r="B1283" s="9">
        <v>45.32</v>
      </c>
      <c r="C1283" s="9">
        <v>6.53</v>
      </c>
      <c r="D1283" s="9" t="s">
        <v>4686</v>
      </c>
      <c r="E1283" s="9" t="s">
        <v>4684</v>
      </c>
      <c r="F1283" s="9" t="s">
        <v>4684</v>
      </c>
      <c r="G1283" s="9">
        <v>1.0</v>
      </c>
      <c r="H1283" s="9" t="s">
        <v>4684</v>
      </c>
      <c r="I1283" s="9" t="str">
        <f t="shared" si="1"/>
        <v>No</v>
      </c>
      <c r="J1283" s="9">
        <f t="shared" si="2"/>
        <v>1</v>
      </c>
      <c r="K1283" s="9" t="str">
        <f t="shared" si="3"/>
        <v>OBESITY</v>
      </c>
    </row>
    <row r="1284" ht="15.75" customHeight="1">
      <c r="A1284" s="9" t="s">
        <v>2567</v>
      </c>
      <c r="B1284" s="9">
        <v>31.93</v>
      </c>
      <c r="C1284" s="9">
        <v>4.82</v>
      </c>
      <c r="D1284" s="9" t="s">
        <v>4686</v>
      </c>
      <c r="E1284" s="9" t="s">
        <v>4684</v>
      </c>
      <c r="F1284" s="9" t="s">
        <v>4684</v>
      </c>
      <c r="G1284" s="9">
        <v>1.0</v>
      </c>
      <c r="H1284" s="9" t="s">
        <v>4684</v>
      </c>
      <c r="I1284" s="9" t="str">
        <f t="shared" si="1"/>
        <v>No</v>
      </c>
      <c r="J1284" s="9">
        <f t="shared" si="2"/>
        <v>1</v>
      </c>
      <c r="K1284" s="9" t="str">
        <f t="shared" si="3"/>
        <v>OBESITY</v>
      </c>
    </row>
    <row r="1285" ht="15.75" customHeight="1">
      <c r="A1285" s="9" t="s">
        <v>2569</v>
      </c>
      <c r="B1285" s="9">
        <v>36.0</v>
      </c>
      <c r="C1285" s="9">
        <v>11.94</v>
      </c>
      <c r="D1285" s="9" t="s">
        <v>4686</v>
      </c>
      <c r="E1285" s="9" t="s">
        <v>4684</v>
      </c>
      <c r="F1285" s="9" t="s">
        <v>4684</v>
      </c>
      <c r="G1285" s="9">
        <v>1.0</v>
      </c>
      <c r="H1285" s="9" t="s">
        <v>4684</v>
      </c>
      <c r="I1285" s="9" t="str">
        <f t="shared" si="1"/>
        <v>No</v>
      </c>
      <c r="J1285" s="9">
        <f t="shared" si="2"/>
        <v>1</v>
      </c>
      <c r="K1285" s="9" t="str">
        <f t="shared" si="3"/>
        <v>OBESITY</v>
      </c>
    </row>
    <row r="1286" ht="15.75" customHeight="1">
      <c r="A1286" s="9" t="s">
        <v>2571</v>
      </c>
      <c r="B1286" s="9">
        <v>32.0</v>
      </c>
      <c r="C1286" s="9">
        <v>7.85</v>
      </c>
      <c r="D1286" s="9" t="s">
        <v>4686</v>
      </c>
      <c r="E1286" s="9" t="s">
        <v>4684</v>
      </c>
      <c r="F1286" s="9" t="s">
        <v>4684</v>
      </c>
      <c r="G1286" s="9">
        <v>1.0</v>
      </c>
      <c r="H1286" s="9" t="s">
        <v>4684</v>
      </c>
      <c r="I1286" s="9" t="str">
        <f t="shared" si="1"/>
        <v>No</v>
      </c>
      <c r="J1286" s="9">
        <f t="shared" si="2"/>
        <v>1</v>
      </c>
      <c r="K1286" s="9" t="str">
        <f t="shared" si="3"/>
        <v>OBESITY</v>
      </c>
    </row>
    <row r="1287" ht="15.75" customHeight="1">
      <c r="A1287" s="9" t="s">
        <v>2573</v>
      </c>
      <c r="B1287" s="9">
        <v>29.37</v>
      </c>
      <c r="C1287" s="9">
        <v>8.01</v>
      </c>
      <c r="D1287" s="9" t="s">
        <v>4686</v>
      </c>
      <c r="E1287" s="9" t="s">
        <v>4684</v>
      </c>
      <c r="F1287" s="9" t="s">
        <v>4684</v>
      </c>
      <c r="G1287" s="9">
        <v>1.0</v>
      </c>
      <c r="H1287" s="9" t="s">
        <v>4684</v>
      </c>
      <c r="I1287" s="9" t="str">
        <f t="shared" si="1"/>
        <v>No</v>
      </c>
      <c r="J1287" s="9">
        <f t="shared" si="2"/>
        <v>1</v>
      </c>
      <c r="K1287" s="9" t="str">
        <f t="shared" si="3"/>
        <v>OVERWEIGHT</v>
      </c>
    </row>
    <row r="1288" ht="15.75" customHeight="1">
      <c r="A1288" s="9" t="s">
        <v>2575</v>
      </c>
      <c r="B1288" s="9">
        <v>23.6</v>
      </c>
      <c r="C1288" s="9">
        <v>7.4</v>
      </c>
      <c r="D1288" s="9" t="s">
        <v>4686</v>
      </c>
      <c r="E1288" s="9" t="s">
        <v>4684</v>
      </c>
      <c r="F1288" s="9" t="s">
        <v>4684</v>
      </c>
      <c r="G1288" s="9">
        <v>1.0</v>
      </c>
      <c r="H1288" s="9" t="s">
        <v>4684</v>
      </c>
      <c r="I1288" s="9" t="str">
        <f t="shared" si="1"/>
        <v>No</v>
      </c>
      <c r="J1288" s="9">
        <f t="shared" si="2"/>
        <v>1</v>
      </c>
      <c r="K1288" s="9" t="str">
        <f t="shared" si="3"/>
        <v>NORMAL WEIGHT</v>
      </c>
    </row>
    <row r="1289" ht="15.75" customHeight="1">
      <c r="A1289" s="9" t="s">
        <v>2577</v>
      </c>
      <c r="B1289" s="9">
        <v>33.155</v>
      </c>
      <c r="C1289" s="9">
        <v>8.38</v>
      </c>
      <c r="D1289" s="9" t="s">
        <v>4686</v>
      </c>
      <c r="E1289" s="9" t="s">
        <v>4684</v>
      </c>
      <c r="F1289" s="9" t="s">
        <v>4684</v>
      </c>
      <c r="G1289" s="9" t="s">
        <v>4685</v>
      </c>
      <c r="H1289" s="9" t="s">
        <v>4684</v>
      </c>
      <c r="I1289" s="9" t="str">
        <f t="shared" si="1"/>
        <v>No</v>
      </c>
      <c r="J1289" s="9">
        <f t="shared" si="2"/>
        <v>0</v>
      </c>
      <c r="K1289" s="9" t="str">
        <f t="shared" si="3"/>
        <v>OBESITY</v>
      </c>
    </row>
    <row r="1290" ht="15.75" customHeight="1">
      <c r="A1290" s="9" t="s">
        <v>2579</v>
      </c>
      <c r="B1290" s="9">
        <v>24.32</v>
      </c>
      <c r="C1290" s="9">
        <v>11.56</v>
      </c>
      <c r="D1290" s="9" t="s">
        <v>4686</v>
      </c>
      <c r="E1290" s="9" t="s">
        <v>4684</v>
      </c>
      <c r="F1290" s="9" t="s">
        <v>4684</v>
      </c>
      <c r="G1290" s="9">
        <v>1.0</v>
      </c>
      <c r="H1290" s="9" t="s">
        <v>4684</v>
      </c>
      <c r="I1290" s="9" t="str">
        <f t="shared" si="1"/>
        <v>No</v>
      </c>
      <c r="J1290" s="9">
        <f t="shared" si="2"/>
        <v>1</v>
      </c>
      <c r="K1290" s="9" t="str">
        <f t="shared" si="3"/>
        <v>NORMAL WEIGHT</v>
      </c>
    </row>
    <row r="1291" ht="15.75" customHeight="1">
      <c r="A1291" s="9" t="s">
        <v>2581</v>
      </c>
      <c r="B1291" s="9">
        <v>36.3</v>
      </c>
      <c r="C1291" s="9">
        <v>4.61</v>
      </c>
      <c r="D1291" s="9" t="s">
        <v>4684</v>
      </c>
      <c r="E1291" s="9" t="s">
        <v>4684</v>
      </c>
      <c r="F1291" s="9" t="s">
        <v>4684</v>
      </c>
      <c r="G1291" s="9" t="s">
        <v>4685</v>
      </c>
      <c r="H1291" s="9" t="s">
        <v>4684</v>
      </c>
      <c r="I1291" s="9" t="str">
        <f t="shared" si="1"/>
        <v>No</v>
      </c>
      <c r="J1291" s="9">
        <f t="shared" si="2"/>
        <v>0</v>
      </c>
      <c r="K1291" s="9" t="str">
        <f t="shared" si="3"/>
        <v>OBESITY</v>
      </c>
    </row>
    <row r="1292" ht="15.75" customHeight="1">
      <c r="A1292" s="9" t="s">
        <v>2583</v>
      </c>
      <c r="B1292" s="9">
        <v>34.4</v>
      </c>
      <c r="C1292" s="9">
        <v>4.95</v>
      </c>
      <c r="D1292" s="9" t="s">
        <v>4684</v>
      </c>
      <c r="E1292" s="9" t="s">
        <v>4684</v>
      </c>
      <c r="F1292" s="9" t="s">
        <v>4686</v>
      </c>
      <c r="G1292" s="9">
        <v>1.0</v>
      </c>
      <c r="H1292" s="9" t="s">
        <v>4684</v>
      </c>
      <c r="I1292" s="9" t="str">
        <f t="shared" si="1"/>
        <v>No</v>
      </c>
      <c r="J1292" s="9">
        <f t="shared" si="2"/>
        <v>1</v>
      </c>
      <c r="K1292" s="9" t="str">
        <f t="shared" si="3"/>
        <v>OBESITY</v>
      </c>
    </row>
    <row r="1293" ht="15.75" customHeight="1">
      <c r="A1293" s="9" t="s">
        <v>2585</v>
      </c>
      <c r="B1293" s="9">
        <v>30.9</v>
      </c>
      <c r="C1293" s="9">
        <v>5.04</v>
      </c>
      <c r="D1293" s="9" t="s">
        <v>4684</v>
      </c>
      <c r="E1293" s="9" t="s">
        <v>4684</v>
      </c>
      <c r="F1293" s="9" t="s">
        <v>4684</v>
      </c>
      <c r="G1293" s="9" t="s">
        <v>4685</v>
      </c>
      <c r="H1293" s="9" t="s">
        <v>4684</v>
      </c>
      <c r="I1293" s="9" t="str">
        <f t="shared" si="1"/>
        <v>No</v>
      </c>
      <c r="J1293" s="9">
        <f t="shared" si="2"/>
        <v>0</v>
      </c>
      <c r="K1293" s="9" t="str">
        <f t="shared" si="3"/>
        <v>OBESITY</v>
      </c>
    </row>
    <row r="1294" ht="15.75" customHeight="1">
      <c r="A1294" s="9" t="s">
        <v>2587</v>
      </c>
      <c r="B1294" s="9">
        <v>28.6</v>
      </c>
      <c r="C1294" s="9">
        <v>5.42</v>
      </c>
      <c r="D1294" s="9" t="s">
        <v>4684</v>
      </c>
      <c r="E1294" s="9" t="s">
        <v>4684</v>
      </c>
      <c r="F1294" s="9" t="s">
        <v>4684</v>
      </c>
      <c r="G1294" s="9" t="s">
        <v>4685</v>
      </c>
      <c r="H1294" s="9" t="s">
        <v>4684</v>
      </c>
      <c r="I1294" s="9" t="str">
        <f t="shared" si="1"/>
        <v>No</v>
      </c>
      <c r="J1294" s="9">
        <f t="shared" si="2"/>
        <v>0</v>
      </c>
      <c r="K1294" s="9" t="str">
        <f t="shared" si="3"/>
        <v>OVERWEIGHT</v>
      </c>
    </row>
    <row r="1295" ht="15.75" customHeight="1">
      <c r="A1295" s="9" t="s">
        <v>2589</v>
      </c>
      <c r="B1295" s="9">
        <v>27.83</v>
      </c>
      <c r="C1295" s="9">
        <v>5.39</v>
      </c>
      <c r="D1295" s="9" t="s">
        <v>4684</v>
      </c>
      <c r="E1295" s="9" t="s">
        <v>4684</v>
      </c>
      <c r="F1295" s="9" t="s">
        <v>4684</v>
      </c>
      <c r="G1295" s="9" t="s">
        <v>4685</v>
      </c>
      <c r="H1295" s="9" t="s">
        <v>4684</v>
      </c>
      <c r="I1295" s="9" t="str">
        <f t="shared" si="1"/>
        <v>No</v>
      </c>
      <c r="J1295" s="9">
        <f t="shared" si="2"/>
        <v>0</v>
      </c>
      <c r="K1295" s="9" t="str">
        <f t="shared" si="3"/>
        <v>OVERWEIGHT</v>
      </c>
    </row>
    <row r="1296" ht="15.75" customHeight="1">
      <c r="A1296" s="9" t="s">
        <v>2591</v>
      </c>
      <c r="B1296" s="9">
        <v>39.64</v>
      </c>
      <c r="C1296" s="9">
        <v>6.0</v>
      </c>
      <c r="D1296" s="9" t="s">
        <v>4684</v>
      </c>
      <c r="E1296" s="9" t="s">
        <v>4684</v>
      </c>
      <c r="F1296" s="9" t="s">
        <v>4686</v>
      </c>
      <c r="G1296" s="9">
        <v>1.0</v>
      </c>
      <c r="H1296" s="9" t="s">
        <v>4684</v>
      </c>
      <c r="I1296" s="9" t="str">
        <f t="shared" si="1"/>
        <v>No</v>
      </c>
      <c r="J1296" s="9">
        <f t="shared" si="2"/>
        <v>1</v>
      </c>
      <c r="K1296" s="9" t="str">
        <f t="shared" si="3"/>
        <v>OBESITY</v>
      </c>
    </row>
    <row r="1297" ht="15.75" customHeight="1">
      <c r="A1297" s="9" t="s">
        <v>2593</v>
      </c>
      <c r="B1297" s="9">
        <v>38.48</v>
      </c>
      <c r="C1297" s="9">
        <v>6.02</v>
      </c>
      <c r="D1297" s="9" t="s">
        <v>4684</v>
      </c>
      <c r="E1297" s="9" t="s">
        <v>4684</v>
      </c>
      <c r="F1297" s="9" t="s">
        <v>4684</v>
      </c>
      <c r="G1297" s="9">
        <v>1.0</v>
      </c>
      <c r="H1297" s="9" t="s">
        <v>4684</v>
      </c>
      <c r="I1297" s="9" t="str">
        <f t="shared" si="1"/>
        <v>No</v>
      </c>
      <c r="J1297" s="9">
        <f t="shared" si="2"/>
        <v>1</v>
      </c>
      <c r="K1297" s="9" t="str">
        <f t="shared" si="3"/>
        <v>OBESITY</v>
      </c>
    </row>
    <row r="1298" ht="15.75" customHeight="1">
      <c r="A1298" s="9" t="s">
        <v>2595</v>
      </c>
      <c r="B1298" s="9">
        <v>36.2</v>
      </c>
      <c r="C1298" s="9">
        <v>4.62</v>
      </c>
      <c r="D1298" s="9" t="s">
        <v>4684</v>
      </c>
      <c r="E1298" s="9" t="s">
        <v>4684</v>
      </c>
      <c r="F1298" s="9" t="s">
        <v>4684</v>
      </c>
      <c r="G1298" s="9">
        <v>2.0</v>
      </c>
      <c r="H1298" s="9" t="s">
        <v>4684</v>
      </c>
      <c r="I1298" s="9" t="str">
        <f t="shared" si="1"/>
        <v>No</v>
      </c>
      <c r="J1298" s="9">
        <f t="shared" si="2"/>
        <v>2</v>
      </c>
      <c r="K1298" s="9" t="str">
        <f t="shared" si="3"/>
        <v>OBESITY</v>
      </c>
    </row>
    <row r="1299" ht="15.75" customHeight="1">
      <c r="A1299" s="9" t="s">
        <v>2597</v>
      </c>
      <c r="B1299" s="9">
        <v>27.13</v>
      </c>
      <c r="C1299" s="9">
        <v>5.59</v>
      </c>
      <c r="D1299" s="9" t="s">
        <v>4684</v>
      </c>
      <c r="E1299" s="9" t="s">
        <v>4684</v>
      </c>
      <c r="F1299" s="9" t="s">
        <v>4684</v>
      </c>
      <c r="G1299" s="9">
        <v>1.0</v>
      </c>
      <c r="H1299" s="9" t="s">
        <v>4684</v>
      </c>
      <c r="I1299" s="9" t="str">
        <f t="shared" si="1"/>
        <v>No</v>
      </c>
      <c r="J1299" s="9">
        <f t="shared" si="2"/>
        <v>1</v>
      </c>
      <c r="K1299" s="9" t="str">
        <f t="shared" si="3"/>
        <v>OVERWEIGHT</v>
      </c>
    </row>
    <row r="1300" ht="15.75" customHeight="1">
      <c r="A1300" s="9" t="s">
        <v>2599</v>
      </c>
      <c r="B1300" s="9">
        <v>20.75</v>
      </c>
      <c r="C1300" s="9">
        <v>5.18</v>
      </c>
      <c r="D1300" s="9" t="s">
        <v>4686</v>
      </c>
      <c r="E1300" s="9" t="s">
        <v>4684</v>
      </c>
      <c r="F1300" s="9" t="s">
        <v>4684</v>
      </c>
      <c r="G1300" s="9">
        <v>2.0</v>
      </c>
      <c r="H1300" s="9" t="s">
        <v>4684</v>
      </c>
      <c r="I1300" s="9" t="str">
        <f t="shared" si="1"/>
        <v>No</v>
      </c>
      <c r="J1300" s="9">
        <f t="shared" si="2"/>
        <v>2</v>
      </c>
      <c r="K1300" s="9" t="str">
        <f t="shared" si="3"/>
        <v>NORMAL WEIGHT</v>
      </c>
    </row>
    <row r="1301" ht="15.75" customHeight="1">
      <c r="A1301" s="9" t="s">
        <v>2601</v>
      </c>
      <c r="B1301" s="9">
        <v>26.6</v>
      </c>
      <c r="C1301" s="9">
        <v>6.29</v>
      </c>
      <c r="D1301" s="9" t="s">
        <v>4684</v>
      </c>
      <c r="E1301" s="9" t="s">
        <v>4684</v>
      </c>
      <c r="F1301" s="9" t="s">
        <v>4684</v>
      </c>
      <c r="G1301" s="9">
        <v>2.0</v>
      </c>
      <c r="H1301" s="9" t="s">
        <v>4684</v>
      </c>
      <c r="I1301" s="9" t="str">
        <f t="shared" si="1"/>
        <v>No</v>
      </c>
      <c r="J1301" s="9">
        <f t="shared" si="2"/>
        <v>2</v>
      </c>
      <c r="K1301" s="9" t="str">
        <f t="shared" si="3"/>
        <v>OVERWEIGHT</v>
      </c>
    </row>
    <row r="1302" ht="15.75" customHeight="1">
      <c r="A1302" s="9" t="s">
        <v>2603</v>
      </c>
      <c r="B1302" s="9">
        <v>25.3</v>
      </c>
      <c r="C1302" s="9">
        <v>4.49</v>
      </c>
      <c r="D1302" s="9" t="s">
        <v>4684</v>
      </c>
      <c r="E1302" s="9" t="s">
        <v>4684</v>
      </c>
      <c r="F1302" s="9" t="s">
        <v>4684</v>
      </c>
      <c r="G1302" s="9">
        <v>2.0</v>
      </c>
      <c r="H1302" s="9" t="s">
        <v>4684</v>
      </c>
      <c r="I1302" s="9" t="str">
        <f t="shared" si="1"/>
        <v>No</v>
      </c>
      <c r="J1302" s="9">
        <f t="shared" si="2"/>
        <v>2</v>
      </c>
      <c r="K1302" s="9" t="str">
        <f t="shared" si="3"/>
        <v>OVERWEIGHT</v>
      </c>
    </row>
    <row r="1303" ht="15.75" customHeight="1">
      <c r="A1303" s="9" t="s">
        <v>2605</v>
      </c>
      <c r="B1303" s="9">
        <v>18.84</v>
      </c>
      <c r="C1303" s="9">
        <v>11.82</v>
      </c>
      <c r="D1303" s="9" t="s">
        <v>4686</v>
      </c>
      <c r="E1303" s="9" t="s">
        <v>4684</v>
      </c>
      <c r="F1303" s="9" t="s">
        <v>4686</v>
      </c>
      <c r="G1303" s="9">
        <v>1.0</v>
      </c>
      <c r="H1303" s="9" t="s">
        <v>4684</v>
      </c>
      <c r="I1303" s="9" t="str">
        <f t="shared" si="1"/>
        <v>No</v>
      </c>
      <c r="J1303" s="9">
        <f t="shared" si="2"/>
        <v>1</v>
      </c>
      <c r="K1303" s="9" t="str">
        <f t="shared" si="3"/>
        <v>NORMAL WEIGHT</v>
      </c>
    </row>
    <row r="1304" ht="15.75" customHeight="1">
      <c r="A1304" s="9" t="s">
        <v>2607</v>
      </c>
      <c r="B1304" s="9">
        <v>19.57</v>
      </c>
      <c r="C1304" s="9">
        <v>7.41</v>
      </c>
      <c r="D1304" s="9" t="s">
        <v>4686</v>
      </c>
      <c r="E1304" s="9" t="s">
        <v>4684</v>
      </c>
      <c r="F1304" s="9" t="s">
        <v>4684</v>
      </c>
      <c r="G1304" s="9">
        <v>1.0</v>
      </c>
      <c r="H1304" s="9" t="s">
        <v>4684</v>
      </c>
      <c r="I1304" s="9" t="str">
        <f t="shared" si="1"/>
        <v>No</v>
      </c>
      <c r="J1304" s="9">
        <f t="shared" si="2"/>
        <v>1</v>
      </c>
      <c r="K1304" s="9" t="str">
        <f t="shared" si="3"/>
        <v>NORMAL WEIGHT</v>
      </c>
    </row>
    <row r="1305" ht="15.75" customHeight="1">
      <c r="A1305" s="9" t="s">
        <v>2609</v>
      </c>
      <c r="B1305" s="9">
        <v>30.495</v>
      </c>
      <c r="C1305" s="9">
        <v>5.97</v>
      </c>
      <c r="D1305" s="9" t="s">
        <v>4684</v>
      </c>
      <c r="E1305" s="9" t="s">
        <v>4684</v>
      </c>
      <c r="F1305" s="9" t="s">
        <v>4684</v>
      </c>
      <c r="G1305" s="9" t="s">
        <v>4685</v>
      </c>
      <c r="H1305" s="9" t="s">
        <v>4684</v>
      </c>
      <c r="I1305" s="9" t="str">
        <f t="shared" si="1"/>
        <v>No</v>
      </c>
      <c r="J1305" s="9">
        <f t="shared" si="2"/>
        <v>0</v>
      </c>
      <c r="K1305" s="9" t="str">
        <f t="shared" si="3"/>
        <v>OBESITY</v>
      </c>
    </row>
    <row r="1306" ht="15.75" customHeight="1">
      <c r="A1306" s="9" t="s">
        <v>2611</v>
      </c>
      <c r="B1306" s="9">
        <v>30.115</v>
      </c>
      <c r="C1306" s="9">
        <v>5.74</v>
      </c>
      <c r="D1306" s="9" t="s">
        <v>4684</v>
      </c>
      <c r="E1306" s="9" t="s">
        <v>4684</v>
      </c>
      <c r="F1306" s="9" t="s">
        <v>4686</v>
      </c>
      <c r="G1306" s="9">
        <v>1.0</v>
      </c>
      <c r="H1306" s="9" t="s">
        <v>4684</v>
      </c>
      <c r="I1306" s="9" t="str">
        <f t="shared" si="1"/>
        <v>No</v>
      </c>
      <c r="J1306" s="9">
        <f t="shared" si="2"/>
        <v>1</v>
      </c>
      <c r="K1306" s="9" t="str">
        <f t="shared" si="3"/>
        <v>OBESITY</v>
      </c>
    </row>
    <row r="1307" ht="15.75" customHeight="1">
      <c r="A1307" s="9" t="s">
        <v>2613</v>
      </c>
      <c r="B1307" s="9">
        <v>24.78</v>
      </c>
      <c r="C1307" s="9">
        <v>9.85</v>
      </c>
      <c r="D1307" s="9" t="s">
        <v>4684</v>
      </c>
      <c r="E1307" s="9" t="s">
        <v>4684</v>
      </c>
      <c r="F1307" s="9" t="s">
        <v>4684</v>
      </c>
      <c r="G1307" s="9" t="s">
        <v>4685</v>
      </c>
      <c r="H1307" s="9" t="s">
        <v>4684</v>
      </c>
      <c r="I1307" s="9" t="str">
        <f t="shared" si="1"/>
        <v>No</v>
      </c>
      <c r="J1307" s="9">
        <f t="shared" si="2"/>
        <v>0</v>
      </c>
      <c r="K1307" s="9" t="str">
        <f t="shared" si="3"/>
        <v>NORMAL WEIGHT</v>
      </c>
    </row>
    <row r="1308" ht="15.75" customHeight="1">
      <c r="A1308" s="9" t="s">
        <v>2615</v>
      </c>
      <c r="B1308" s="9">
        <v>24.77</v>
      </c>
      <c r="C1308" s="9">
        <v>7.59</v>
      </c>
      <c r="D1308" s="9" t="s">
        <v>4684</v>
      </c>
      <c r="E1308" s="9" t="s">
        <v>4684</v>
      </c>
      <c r="F1308" s="9" t="s">
        <v>4684</v>
      </c>
      <c r="G1308" s="9" t="s">
        <v>4685</v>
      </c>
      <c r="H1308" s="9" t="s">
        <v>4684</v>
      </c>
      <c r="I1308" s="9" t="str">
        <f t="shared" si="1"/>
        <v>No</v>
      </c>
      <c r="J1308" s="9">
        <f t="shared" si="2"/>
        <v>0</v>
      </c>
      <c r="K1308" s="9" t="str">
        <f t="shared" si="3"/>
        <v>NORMAL WEIGHT</v>
      </c>
    </row>
    <row r="1309" ht="15.75" customHeight="1">
      <c r="A1309" s="9" t="s">
        <v>2617</v>
      </c>
      <c r="B1309" s="9">
        <v>16.58</v>
      </c>
      <c r="C1309" s="9">
        <v>6.98</v>
      </c>
      <c r="D1309" s="9" t="s">
        <v>4686</v>
      </c>
      <c r="E1309" s="9" t="s">
        <v>4684</v>
      </c>
      <c r="F1309" s="9" t="s">
        <v>4686</v>
      </c>
      <c r="G1309" s="9">
        <v>1.0</v>
      </c>
      <c r="H1309" s="9" t="s">
        <v>4684</v>
      </c>
      <c r="I1309" s="9" t="str">
        <f t="shared" si="1"/>
        <v>No</v>
      </c>
      <c r="J1309" s="9">
        <f t="shared" si="2"/>
        <v>1</v>
      </c>
      <c r="K1309" s="9" t="str">
        <f t="shared" si="3"/>
        <v>UNDERWEIGHT</v>
      </c>
    </row>
    <row r="1310" ht="15.75" customHeight="1">
      <c r="A1310" s="9" t="s">
        <v>2619</v>
      </c>
      <c r="B1310" s="9">
        <v>38.17</v>
      </c>
      <c r="C1310" s="9">
        <v>4.73</v>
      </c>
      <c r="D1310" s="9" t="s">
        <v>4686</v>
      </c>
      <c r="E1310" s="9" t="s">
        <v>4684</v>
      </c>
      <c r="F1310" s="9" t="s">
        <v>4684</v>
      </c>
      <c r="G1310" s="9" t="s">
        <v>4685</v>
      </c>
      <c r="H1310" s="9" t="s">
        <v>4684</v>
      </c>
      <c r="I1310" s="9" t="str">
        <f t="shared" si="1"/>
        <v>No</v>
      </c>
      <c r="J1310" s="9">
        <f t="shared" si="2"/>
        <v>0</v>
      </c>
      <c r="K1310" s="9" t="str">
        <f t="shared" si="3"/>
        <v>OBESITY</v>
      </c>
    </row>
    <row r="1311" ht="15.75" customHeight="1">
      <c r="A1311" s="9" t="s">
        <v>2621</v>
      </c>
      <c r="B1311" s="9">
        <v>39.425</v>
      </c>
      <c r="C1311" s="9">
        <v>4.76</v>
      </c>
      <c r="D1311" s="9" t="s">
        <v>4686</v>
      </c>
      <c r="E1311" s="9" t="s">
        <v>4684</v>
      </c>
      <c r="F1311" s="9" t="s">
        <v>4684</v>
      </c>
      <c r="G1311" s="9" t="s">
        <v>4685</v>
      </c>
      <c r="H1311" s="9" t="s">
        <v>4684</v>
      </c>
      <c r="I1311" s="9" t="str">
        <f t="shared" si="1"/>
        <v>No</v>
      </c>
      <c r="J1311" s="9">
        <f t="shared" si="2"/>
        <v>0</v>
      </c>
      <c r="K1311" s="9" t="str">
        <f t="shared" si="3"/>
        <v>OBESITY</v>
      </c>
    </row>
    <row r="1312" ht="15.75" customHeight="1">
      <c r="A1312" s="9" t="s">
        <v>2623</v>
      </c>
      <c r="B1312" s="9">
        <v>33.44</v>
      </c>
      <c r="C1312" s="9">
        <v>6.24</v>
      </c>
      <c r="D1312" s="9" t="s">
        <v>4686</v>
      </c>
      <c r="E1312" s="9" t="s">
        <v>4684</v>
      </c>
      <c r="F1312" s="9" t="s">
        <v>4684</v>
      </c>
      <c r="G1312" s="9" t="s">
        <v>4685</v>
      </c>
      <c r="H1312" s="9" t="s">
        <v>4684</v>
      </c>
      <c r="I1312" s="9" t="str">
        <f t="shared" si="1"/>
        <v>No</v>
      </c>
      <c r="J1312" s="9">
        <f t="shared" si="2"/>
        <v>0</v>
      </c>
      <c r="K1312" s="9" t="str">
        <f t="shared" si="3"/>
        <v>OBESITY</v>
      </c>
    </row>
    <row r="1313" ht="15.75" customHeight="1">
      <c r="A1313" s="9" t="s">
        <v>2625</v>
      </c>
      <c r="B1313" s="9">
        <v>33.345</v>
      </c>
      <c r="C1313" s="9">
        <v>5.44</v>
      </c>
      <c r="D1313" s="9" t="s">
        <v>4686</v>
      </c>
      <c r="E1313" s="9" t="s">
        <v>4684</v>
      </c>
      <c r="F1313" s="9" t="s">
        <v>4684</v>
      </c>
      <c r="G1313" s="9" t="s">
        <v>4685</v>
      </c>
      <c r="H1313" s="9" t="s">
        <v>4684</v>
      </c>
      <c r="I1313" s="9" t="str">
        <f t="shared" si="1"/>
        <v>No</v>
      </c>
      <c r="J1313" s="9">
        <f t="shared" si="2"/>
        <v>0</v>
      </c>
      <c r="K1313" s="9" t="str">
        <f t="shared" si="3"/>
        <v>OBESITY</v>
      </c>
    </row>
    <row r="1314" ht="15.75" customHeight="1">
      <c r="A1314" s="9" t="s">
        <v>2627</v>
      </c>
      <c r="B1314" s="9">
        <v>38.79</v>
      </c>
      <c r="C1314" s="9">
        <v>5.08</v>
      </c>
      <c r="D1314" s="9" t="s">
        <v>4684</v>
      </c>
      <c r="E1314" s="9" t="s">
        <v>4684</v>
      </c>
      <c r="F1314" s="9" t="s">
        <v>4686</v>
      </c>
      <c r="G1314" s="9">
        <v>1.0</v>
      </c>
      <c r="H1314" s="9" t="s">
        <v>4684</v>
      </c>
      <c r="I1314" s="9" t="str">
        <f t="shared" si="1"/>
        <v>No</v>
      </c>
      <c r="J1314" s="9">
        <f t="shared" si="2"/>
        <v>1</v>
      </c>
      <c r="K1314" s="9" t="str">
        <f t="shared" si="3"/>
        <v>OBESITY</v>
      </c>
    </row>
    <row r="1315" ht="15.75" customHeight="1">
      <c r="A1315" s="9" t="s">
        <v>2629</v>
      </c>
      <c r="B1315" s="9">
        <v>30.685</v>
      </c>
      <c r="C1315" s="9">
        <v>4.87</v>
      </c>
      <c r="D1315" s="9" t="s">
        <v>4684</v>
      </c>
      <c r="E1315" s="9" t="s">
        <v>4684</v>
      </c>
      <c r="F1315" s="9" t="s">
        <v>4686</v>
      </c>
      <c r="G1315" s="9">
        <v>1.0</v>
      </c>
      <c r="H1315" s="9" t="s">
        <v>4684</v>
      </c>
      <c r="I1315" s="9" t="str">
        <f t="shared" si="1"/>
        <v>No</v>
      </c>
      <c r="J1315" s="9">
        <f t="shared" si="2"/>
        <v>1</v>
      </c>
      <c r="K1315" s="9" t="str">
        <f t="shared" si="3"/>
        <v>OBESITY</v>
      </c>
    </row>
    <row r="1316" ht="15.75" customHeight="1">
      <c r="A1316" s="9" t="s">
        <v>2631</v>
      </c>
      <c r="B1316" s="9">
        <v>22.135</v>
      </c>
      <c r="C1316" s="9">
        <v>8.17</v>
      </c>
      <c r="D1316" s="9" t="s">
        <v>4684</v>
      </c>
      <c r="E1316" s="9" t="s">
        <v>4684</v>
      </c>
      <c r="F1316" s="9" t="s">
        <v>4684</v>
      </c>
      <c r="G1316" s="9" t="s">
        <v>4685</v>
      </c>
      <c r="H1316" s="9" t="s">
        <v>4684</v>
      </c>
      <c r="I1316" s="9" t="str">
        <f t="shared" si="1"/>
        <v>No</v>
      </c>
      <c r="J1316" s="9">
        <f t="shared" si="2"/>
        <v>0</v>
      </c>
      <c r="K1316" s="9" t="str">
        <f t="shared" si="3"/>
        <v>NORMAL WEIGHT</v>
      </c>
    </row>
    <row r="1317" ht="15.75" customHeight="1">
      <c r="A1317" s="9" t="s">
        <v>2633</v>
      </c>
      <c r="B1317" s="9">
        <v>33.33</v>
      </c>
      <c r="C1317" s="9">
        <v>7.61</v>
      </c>
      <c r="D1317" s="9" t="s">
        <v>4684</v>
      </c>
      <c r="E1317" s="9" t="s">
        <v>4684</v>
      </c>
      <c r="F1317" s="9" t="s">
        <v>4684</v>
      </c>
      <c r="G1317" s="9" t="s">
        <v>4685</v>
      </c>
      <c r="H1317" s="9" t="s">
        <v>4684</v>
      </c>
      <c r="I1317" s="9" t="str">
        <f t="shared" si="1"/>
        <v>No</v>
      </c>
      <c r="J1317" s="9">
        <f t="shared" si="2"/>
        <v>0</v>
      </c>
      <c r="K1317" s="9" t="str">
        <f t="shared" si="3"/>
        <v>OBESITY</v>
      </c>
    </row>
    <row r="1318" ht="15.75" customHeight="1">
      <c r="A1318" s="9" t="s">
        <v>2635</v>
      </c>
      <c r="B1318" s="9">
        <v>31.13</v>
      </c>
      <c r="C1318" s="9">
        <v>10.1</v>
      </c>
      <c r="D1318" s="9" t="s">
        <v>4684</v>
      </c>
      <c r="E1318" s="9" t="s">
        <v>4684</v>
      </c>
      <c r="F1318" s="9" t="s">
        <v>4684</v>
      </c>
      <c r="G1318" s="9" t="s">
        <v>4685</v>
      </c>
      <c r="H1318" s="9" t="s">
        <v>4684</v>
      </c>
      <c r="I1318" s="9" t="str">
        <f t="shared" si="1"/>
        <v>No</v>
      </c>
      <c r="J1318" s="9">
        <f t="shared" si="2"/>
        <v>0</v>
      </c>
      <c r="K1318" s="9" t="str">
        <f t="shared" si="3"/>
        <v>OBESITY</v>
      </c>
    </row>
    <row r="1319" ht="15.75" customHeight="1">
      <c r="A1319" s="9" t="s">
        <v>2637</v>
      </c>
      <c r="B1319" s="9">
        <v>28.9</v>
      </c>
      <c r="C1319" s="9">
        <v>11.24</v>
      </c>
      <c r="D1319" s="9" t="s">
        <v>4684</v>
      </c>
      <c r="E1319" s="9" t="s">
        <v>4684</v>
      </c>
      <c r="F1319" s="9" t="s">
        <v>4684</v>
      </c>
      <c r="G1319" s="9" t="s">
        <v>4685</v>
      </c>
      <c r="H1319" s="9" t="s">
        <v>4684</v>
      </c>
      <c r="I1319" s="9" t="str">
        <f t="shared" si="1"/>
        <v>No</v>
      </c>
      <c r="J1319" s="9">
        <f t="shared" si="2"/>
        <v>0</v>
      </c>
      <c r="K1319" s="9" t="str">
        <f t="shared" si="3"/>
        <v>OVERWEIGHT</v>
      </c>
    </row>
    <row r="1320" ht="15.75" customHeight="1">
      <c r="A1320" s="9" t="s">
        <v>2639</v>
      </c>
      <c r="B1320" s="9">
        <v>43.31</v>
      </c>
      <c r="C1320" s="9">
        <v>6.1</v>
      </c>
      <c r="D1320" s="9" t="s">
        <v>4686</v>
      </c>
      <c r="E1320" s="9" t="s">
        <v>4686</v>
      </c>
      <c r="F1320" s="9" t="s">
        <v>4684</v>
      </c>
      <c r="G1320" s="9">
        <v>1.0</v>
      </c>
      <c r="H1320" s="9" t="s">
        <v>4684</v>
      </c>
      <c r="I1320" s="9" t="str">
        <f t="shared" si="1"/>
        <v>No</v>
      </c>
      <c r="J1320" s="9">
        <f t="shared" si="2"/>
        <v>1</v>
      </c>
      <c r="K1320" s="9" t="str">
        <f t="shared" si="3"/>
        <v>OBESITY</v>
      </c>
    </row>
    <row r="1321" ht="15.75" customHeight="1">
      <c r="A1321" s="9" t="s">
        <v>2641</v>
      </c>
      <c r="B1321" s="9">
        <v>22.8</v>
      </c>
      <c r="C1321" s="9">
        <v>6.98</v>
      </c>
      <c r="D1321" s="9" t="s">
        <v>4684</v>
      </c>
      <c r="E1321" s="9" t="s">
        <v>4684</v>
      </c>
      <c r="F1321" s="9" t="s">
        <v>4684</v>
      </c>
      <c r="G1321" s="9" t="s">
        <v>4685</v>
      </c>
      <c r="H1321" s="9" t="s">
        <v>4684</v>
      </c>
      <c r="I1321" s="9" t="str">
        <f t="shared" si="1"/>
        <v>No</v>
      </c>
      <c r="J1321" s="9">
        <f t="shared" si="2"/>
        <v>0</v>
      </c>
      <c r="K1321" s="9" t="str">
        <f t="shared" si="3"/>
        <v>NORMAL WEIGHT</v>
      </c>
    </row>
    <row r="1322" ht="15.75" customHeight="1">
      <c r="A1322" s="9" t="s">
        <v>2643</v>
      </c>
      <c r="B1322" s="9">
        <v>19.09</v>
      </c>
      <c r="C1322" s="9">
        <v>4.0</v>
      </c>
      <c r="D1322" s="9" t="s">
        <v>4686</v>
      </c>
      <c r="E1322" s="9" t="s">
        <v>4684</v>
      </c>
      <c r="F1322" s="9" t="s">
        <v>4684</v>
      </c>
      <c r="G1322" s="9">
        <v>1.0</v>
      </c>
      <c r="H1322" s="9" t="s">
        <v>4684</v>
      </c>
      <c r="I1322" s="9" t="str">
        <f t="shared" si="1"/>
        <v>No</v>
      </c>
      <c r="J1322" s="9">
        <f t="shared" si="2"/>
        <v>1</v>
      </c>
      <c r="K1322" s="9" t="str">
        <f t="shared" si="3"/>
        <v>NORMAL WEIGHT</v>
      </c>
    </row>
    <row r="1323" ht="15.75" customHeight="1">
      <c r="A1323" s="9" t="s">
        <v>2645</v>
      </c>
      <c r="B1323" s="9">
        <v>23.37</v>
      </c>
      <c r="C1323" s="9">
        <v>4.23</v>
      </c>
      <c r="D1323" s="9" t="s">
        <v>4684</v>
      </c>
      <c r="E1323" s="9" t="s">
        <v>4684</v>
      </c>
      <c r="F1323" s="9" t="s">
        <v>4684</v>
      </c>
      <c r="G1323" s="9" t="s">
        <v>4685</v>
      </c>
      <c r="H1323" s="9" t="s">
        <v>4684</v>
      </c>
      <c r="I1323" s="9" t="str">
        <f t="shared" si="1"/>
        <v>No</v>
      </c>
      <c r="J1323" s="9">
        <f t="shared" si="2"/>
        <v>0</v>
      </c>
      <c r="K1323" s="9" t="str">
        <f t="shared" si="3"/>
        <v>NORMAL WEIGHT</v>
      </c>
    </row>
    <row r="1324" ht="15.75" customHeight="1">
      <c r="A1324" s="9" t="s">
        <v>2647</v>
      </c>
      <c r="B1324" s="9">
        <v>33.44</v>
      </c>
      <c r="C1324" s="9">
        <v>4.72</v>
      </c>
      <c r="D1324" s="9" t="s">
        <v>4686</v>
      </c>
      <c r="E1324" s="9" t="s">
        <v>4684</v>
      </c>
      <c r="F1324" s="9" t="s">
        <v>4684</v>
      </c>
      <c r="G1324" s="9" t="s">
        <v>4685</v>
      </c>
      <c r="H1324" s="9" t="s">
        <v>4684</v>
      </c>
      <c r="I1324" s="9" t="str">
        <f t="shared" si="1"/>
        <v>No</v>
      </c>
      <c r="J1324" s="9">
        <f t="shared" si="2"/>
        <v>0</v>
      </c>
      <c r="K1324" s="9" t="str">
        <f t="shared" si="3"/>
        <v>OBESITY</v>
      </c>
    </row>
    <row r="1325" ht="15.75" customHeight="1">
      <c r="A1325" s="9" t="s">
        <v>2649</v>
      </c>
      <c r="B1325" s="9">
        <v>28.05</v>
      </c>
      <c r="C1325" s="9">
        <v>5.63</v>
      </c>
      <c r="D1325" s="9" t="s">
        <v>4686</v>
      </c>
      <c r="E1325" s="9" t="s">
        <v>4684</v>
      </c>
      <c r="F1325" s="9" t="s">
        <v>4684</v>
      </c>
      <c r="G1325" s="9" t="s">
        <v>4685</v>
      </c>
      <c r="H1325" s="9" t="s">
        <v>4684</v>
      </c>
      <c r="I1325" s="9" t="str">
        <f t="shared" si="1"/>
        <v>No</v>
      </c>
      <c r="J1325" s="9">
        <f t="shared" si="2"/>
        <v>0</v>
      </c>
      <c r="K1325" s="9" t="str">
        <f t="shared" si="3"/>
        <v>OVERWEIGHT</v>
      </c>
    </row>
    <row r="1326" ht="15.75" customHeight="1">
      <c r="A1326" s="9" t="s">
        <v>2651</v>
      </c>
      <c r="B1326" s="9">
        <v>27.72</v>
      </c>
      <c r="C1326" s="9">
        <v>5.83</v>
      </c>
      <c r="D1326" s="9" t="s">
        <v>4686</v>
      </c>
      <c r="E1326" s="9" t="s">
        <v>4684</v>
      </c>
      <c r="F1326" s="9" t="s">
        <v>4684</v>
      </c>
      <c r="G1326" s="9" t="s">
        <v>4685</v>
      </c>
      <c r="H1326" s="9" t="s">
        <v>4684</v>
      </c>
      <c r="I1326" s="9" t="str">
        <f t="shared" si="1"/>
        <v>No</v>
      </c>
      <c r="J1326" s="9">
        <f t="shared" si="2"/>
        <v>0</v>
      </c>
      <c r="K1326" s="9" t="str">
        <f t="shared" si="3"/>
        <v>OVERWEIGHT</v>
      </c>
    </row>
    <row r="1327" ht="15.75" customHeight="1">
      <c r="A1327" s="9" t="s">
        <v>2653</v>
      </c>
      <c r="B1327" s="9">
        <v>29.81</v>
      </c>
      <c r="C1327" s="9">
        <v>9.23</v>
      </c>
      <c r="D1327" s="9" t="s">
        <v>4684</v>
      </c>
      <c r="E1327" s="9" t="s">
        <v>4684</v>
      </c>
      <c r="F1327" s="9" t="s">
        <v>4684</v>
      </c>
      <c r="G1327" s="9" t="s">
        <v>4685</v>
      </c>
      <c r="H1327" s="9" t="s">
        <v>4684</v>
      </c>
      <c r="I1327" s="9" t="str">
        <f t="shared" si="1"/>
        <v>No</v>
      </c>
      <c r="J1327" s="9">
        <f t="shared" si="2"/>
        <v>0</v>
      </c>
      <c r="K1327" s="9" t="str">
        <f t="shared" si="3"/>
        <v>OVERWEIGHT</v>
      </c>
    </row>
    <row r="1328" ht="15.75" customHeight="1">
      <c r="A1328" s="9" t="s">
        <v>2655</v>
      </c>
      <c r="B1328" s="9">
        <v>23.98</v>
      </c>
      <c r="C1328" s="9">
        <v>9.89</v>
      </c>
      <c r="D1328" s="9" t="s">
        <v>4684</v>
      </c>
      <c r="E1328" s="9" t="s">
        <v>4684</v>
      </c>
      <c r="F1328" s="9" t="s">
        <v>4684</v>
      </c>
      <c r="G1328" s="9" t="s">
        <v>4685</v>
      </c>
      <c r="H1328" s="9" t="s">
        <v>4684</v>
      </c>
      <c r="I1328" s="9" t="str">
        <f t="shared" si="1"/>
        <v>No</v>
      </c>
      <c r="J1328" s="9">
        <f t="shared" si="2"/>
        <v>0</v>
      </c>
      <c r="K1328" s="9" t="str">
        <f t="shared" si="3"/>
        <v>NORMAL WEIGHT</v>
      </c>
    </row>
    <row r="1329" ht="15.75" customHeight="1">
      <c r="A1329" s="9" t="s">
        <v>2657</v>
      </c>
      <c r="B1329" s="9">
        <v>17.34</v>
      </c>
      <c r="C1329" s="9">
        <v>12.0</v>
      </c>
      <c r="D1329" s="9" t="s">
        <v>4684</v>
      </c>
      <c r="E1329" s="9" t="s">
        <v>4684</v>
      </c>
      <c r="F1329" s="9" t="s">
        <v>4684</v>
      </c>
      <c r="G1329" s="9" t="s">
        <v>4685</v>
      </c>
      <c r="H1329" s="9" t="s">
        <v>4684</v>
      </c>
      <c r="I1329" s="9" t="str">
        <f t="shared" si="1"/>
        <v>No</v>
      </c>
      <c r="J1329" s="9">
        <f t="shared" si="2"/>
        <v>0</v>
      </c>
      <c r="K1329" s="9" t="str">
        <f t="shared" si="3"/>
        <v>UNDERWEIGHT</v>
      </c>
    </row>
    <row r="1330" ht="15.75" customHeight="1">
      <c r="A1330" s="9" t="s">
        <v>2659</v>
      </c>
      <c r="B1330" s="9">
        <v>40.39</v>
      </c>
      <c r="C1330" s="9">
        <v>4.24</v>
      </c>
      <c r="D1330" s="9" t="s">
        <v>4686</v>
      </c>
      <c r="E1330" s="9" t="s">
        <v>4684</v>
      </c>
      <c r="F1330" s="9" t="s">
        <v>4686</v>
      </c>
      <c r="G1330" s="9">
        <v>1.0</v>
      </c>
      <c r="H1330" s="9" t="s">
        <v>4684</v>
      </c>
      <c r="I1330" s="9" t="str">
        <f t="shared" si="1"/>
        <v>No</v>
      </c>
      <c r="J1330" s="9">
        <f t="shared" si="2"/>
        <v>1</v>
      </c>
      <c r="K1330" s="9" t="str">
        <f t="shared" si="3"/>
        <v>OBESITY</v>
      </c>
    </row>
    <row r="1331" ht="15.75" customHeight="1">
      <c r="A1331" s="9" t="s">
        <v>2661</v>
      </c>
      <c r="B1331" s="9">
        <v>25.96</v>
      </c>
      <c r="C1331" s="9">
        <v>4.68</v>
      </c>
      <c r="D1331" s="9" t="s">
        <v>4686</v>
      </c>
      <c r="E1331" s="9" t="s">
        <v>4684</v>
      </c>
      <c r="F1331" s="9" t="s">
        <v>4686</v>
      </c>
      <c r="G1331" s="9">
        <v>1.0</v>
      </c>
      <c r="H1331" s="9" t="s">
        <v>4684</v>
      </c>
      <c r="I1331" s="9" t="str">
        <f t="shared" si="1"/>
        <v>No</v>
      </c>
      <c r="J1331" s="9">
        <f t="shared" si="2"/>
        <v>1</v>
      </c>
      <c r="K1331" s="9" t="str">
        <f t="shared" si="3"/>
        <v>OVERWEIGHT</v>
      </c>
    </row>
    <row r="1332" ht="15.75" customHeight="1">
      <c r="A1332" s="9" t="s">
        <v>2663</v>
      </c>
      <c r="B1332" s="9">
        <v>17.68</v>
      </c>
      <c r="C1332" s="9">
        <v>8.57</v>
      </c>
      <c r="D1332" s="9" t="s">
        <v>4686</v>
      </c>
      <c r="E1332" s="9" t="s">
        <v>4684</v>
      </c>
      <c r="F1332" s="9" t="s">
        <v>4686</v>
      </c>
      <c r="G1332" s="9">
        <v>1.0</v>
      </c>
      <c r="H1332" s="9" t="s">
        <v>4684</v>
      </c>
      <c r="I1332" s="9" t="str">
        <f t="shared" si="1"/>
        <v>No</v>
      </c>
      <c r="J1332" s="9">
        <f t="shared" si="2"/>
        <v>1</v>
      </c>
      <c r="K1332" s="9" t="str">
        <f t="shared" si="3"/>
        <v>UNDERWEIGHT</v>
      </c>
    </row>
    <row r="1333" ht="15.75" customHeight="1">
      <c r="A1333" s="9" t="s">
        <v>2665</v>
      </c>
      <c r="B1333" s="9">
        <v>30.875</v>
      </c>
      <c r="C1333" s="9">
        <v>4.1</v>
      </c>
      <c r="D1333" s="9" t="s">
        <v>4684</v>
      </c>
      <c r="E1333" s="9" t="s">
        <v>4684</v>
      </c>
      <c r="F1333" s="9" t="s">
        <v>4684</v>
      </c>
      <c r="G1333" s="9" t="s">
        <v>4685</v>
      </c>
      <c r="H1333" s="9" t="s">
        <v>4684</v>
      </c>
      <c r="I1333" s="9" t="str">
        <f t="shared" si="1"/>
        <v>No</v>
      </c>
      <c r="J1333" s="9">
        <f t="shared" si="2"/>
        <v>0</v>
      </c>
      <c r="K1333" s="9" t="str">
        <f t="shared" si="3"/>
        <v>OBESITY</v>
      </c>
    </row>
    <row r="1334" ht="15.75" customHeight="1">
      <c r="A1334" s="9" t="s">
        <v>2667</v>
      </c>
      <c r="B1334" s="9">
        <v>30.81</v>
      </c>
      <c r="C1334" s="9">
        <v>4.49</v>
      </c>
      <c r="D1334" s="9" t="s">
        <v>4684</v>
      </c>
      <c r="E1334" s="9" t="s">
        <v>4684</v>
      </c>
      <c r="F1334" s="9" t="s">
        <v>4684</v>
      </c>
      <c r="G1334" s="9" t="s">
        <v>4685</v>
      </c>
      <c r="H1334" s="9" t="s">
        <v>4684</v>
      </c>
      <c r="I1334" s="9" t="str">
        <f t="shared" si="1"/>
        <v>No</v>
      </c>
      <c r="J1334" s="9">
        <f t="shared" si="2"/>
        <v>0</v>
      </c>
      <c r="K1334" s="9" t="str">
        <f t="shared" si="3"/>
        <v>OBESITY</v>
      </c>
    </row>
    <row r="1335" ht="15.75" customHeight="1">
      <c r="A1335" s="9" t="s">
        <v>2669</v>
      </c>
      <c r="B1335" s="9">
        <v>36.85</v>
      </c>
      <c r="C1335" s="9">
        <v>8.8</v>
      </c>
      <c r="D1335" s="9" t="s">
        <v>4684</v>
      </c>
      <c r="E1335" s="9" t="s">
        <v>4684</v>
      </c>
      <c r="F1335" s="9" t="s">
        <v>4684</v>
      </c>
      <c r="G1335" s="9">
        <v>2.0</v>
      </c>
      <c r="H1335" s="9" t="s">
        <v>4684</v>
      </c>
      <c r="I1335" s="9" t="str">
        <f t="shared" si="1"/>
        <v>No</v>
      </c>
      <c r="J1335" s="9">
        <f t="shared" si="2"/>
        <v>2</v>
      </c>
      <c r="K1335" s="9" t="str">
        <f t="shared" si="3"/>
        <v>OBESITY</v>
      </c>
    </row>
    <row r="1336" ht="15.75" customHeight="1">
      <c r="A1336" s="9" t="s">
        <v>2671</v>
      </c>
      <c r="B1336" s="9">
        <v>35.86</v>
      </c>
      <c r="C1336" s="9">
        <v>7.93</v>
      </c>
      <c r="D1336" s="9" t="s">
        <v>4684</v>
      </c>
      <c r="E1336" s="9" t="s">
        <v>4684</v>
      </c>
      <c r="F1336" s="9" t="s">
        <v>4684</v>
      </c>
      <c r="G1336" s="9">
        <v>2.0</v>
      </c>
      <c r="H1336" s="9" t="s">
        <v>4684</v>
      </c>
      <c r="I1336" s="9" t="str">
        <f t="shared" si="1"/>
        <v>No</v>
      </c>
      <c r="J1336" s="9">
        <f t="shared" si="2"/>
        <v>2</v>
      </c>
      <c r="K1336" s="9" t="str">
        <f t="shared" si="3"/>
        <v>OBESITY</v>
      </c>
    </row>
    <row r="1337" ht="15.75" customHeight="1">
      <c r="A1337" s="9" t="s">
        <v>2673</v>
      </c>
      <c r="B1337" s="9">
        <v>30.3</v>
      </c>
      <c r="C1337" s="9">
        <v>9.45</v>
      </c>
      <c r="D1337" s="9" t="s">
        <v>4684</v>
      </c>
      <c r="E1337" s="9" t="s">
        <v>4684</v>
      </c>
      <c r="F1337" s="9" t="s">
        <v>4684</v>
      </c>
      <c r="G1337" s="9">
        <v>2.0</v>
      </c>
      <c r="H1337" s="9" t="s">
        <v>4684</v>
      </c>
      <c r="I1337" s="9" t="str">
        <f t="shared" si="1"/>
        <v>No</v>
      </c>
      <c r="J1337" s="9">
        <f t="shared" si="2"/>
        <v>2</v>
      </c>
      <c r="K1337" s="9" t="str">
        <f t="shared" si="3"/>
        <v>OBESITY</v>
      </c>
    </row>
    <row r="1338" ht="15.75" customHeight="1">
      <c r="A1338" s="9" t="s">
        <v>2675</v>
      </c>
      <c r="B1338" s="9">
        <v>32.015</v>
      </c>
      <c r="C1338" s="9">
        <v>7.67</v>
      </c>
      <c r="D1338" s="9" t="s">
        <v>4684</v>
      </c>
      <c r="E1338" s="9" t="s">
        <v>4684</v>
      </c>
      <c r="F1338" s="9" t="s">
        <v>4684</v>
      </c>
      <c r="G1338" s="9" t="s">
        <v>4685</v>
      </c>
      <c r="H1338" s="9" t="s">
        <v>4684</v>
      </c>
      <c r="I1338" s="9" t="str">
        <f t="shared" si="1"/>
        <v>No</v>
      </c>
      <c r="J1338" s="9">
        <f t="shared" si="2"/>
        <v>0</v>
      </c>
      <c r="K1338" s="9" t="str">
        <f t="shared" si="3"/>
        <v>OBESITY</v>
      </c>
    </row>
    <row r="1339" ht="15.75" customHeight="1">
      <c r="A1339" s="9" t="s">
        <v>2677</v>
      </c>
      <c r="B1339" s="9">
        <v>25.06</v>
      </c>
      <c r="C1339" s="9">
        <v>10.53</v>
      </c>
      <c r="D1339" s="9" t="s">
        <v>4684</v>
      </c>
      <c r="E1339" s="9" t="s">
        <v>4684</v>
      </c>
      <c r="F1339" s="9" t="s">
        <v>4684</v>
      </c>
      <c r="G1339" s="9">
        <v>2.0</v>
      </c>
      <c r="H1339" s="9" t="s">
        <v>4684</v>
      </c>
      <c r="I1339" s="9" t="str">
        <f t="shared" si="1"/>
        <v>No</v>
      </c>
      <c r="J1339" s="9">
        <f t="shared" si="2"/>
        <v>2</v>
      </c>
      <c r="K1339" s="9" t="str">
        <f t="shared" si="3"/>
        <v>OVERWEIGHT</v>
      </c>
    </row>
    <row r="1340" ht="15.75" customHeight="1">
      <c r="A1340" s="9" t="s">
        <v>2679</v>
      </c>
      <c r="B1340" s="9">
        <v>18.83</v>
      </c>
      <c r="C1340" s="9">
        <v>10.08</v>
      </c>
      <c r="D1340" s="9" t="s">
        <v>4686</v>
      </c>
      <c r="E1340" s="9" t="s">
        <v>4684</v>
      </c>
      <c r="F1340" s="9" t="s">
        <v>4684</v>
      </c>
      <c r="G1340" s="9" t="s">
        <v>4685</v>
      </c>
      <c r="H1340" s="9" t="s">
        <v>4684</v>
      </c>
      <c r="I1340" s="9" t="str">
        <f t="shared" si="1"/>
        <v>No</v>
      </c>
      <c r="J1340" s="9">
        <f t="shared" si="2"/>
        <v>0</v>
      </c>
      <c r="K1340" s="9" t="str">
        <f t="shared" si="3"/>
        <v>NORMAL WEIGHT</v>
      </c>
    </row>
    <row r="1341" ht="15.75" customHeight="1">
      <c r="A1341" s="9" t="s">
        <v>2681</v>
      </c>
      <c r="B1341" s="9">
        <v>47.52</v>
      </c>
      <c r="C1341" s="9">
        <v>11.39</v>
      </c>
      <c r="D1341" s="9" t="s">
        <v>4686</v>
      </c>
      <c r="E1341" s="9" t="s">
        <v>4684</v>
      </c>
      <c r="F1341" s="9" t="s">
        <v>4684</v>
      </c>
      <c r="G1341" s="9">
        <v>1.0</v>
      </c>
      <c r="H1341" s="9" t="s">
        <v>4684</v>
      </c>
      <c r="I1341" s="9" t="str">
        <f t="shared" si="1"/>
        <v>No</v>
      </c>
      <c r="J1341" s="9">
        <f t="shared" si="2"/>
        <v>1</v>
      </c>
      <c r="K1341" s="9" t="str">
        <f t="shared" si="3"/>
        <v>OBESITY</v>
      </c>
    </row>
    <row r="1342" ht="15.75" customHeight="1">
      <c r="A1342" s="9" t="s">
        <v>2683</v>
      </c>
      <c r="B1342" s="9">
        <v>37.82</v>
      </c>
      <c r="C1342" s="9">
        <v>6.36</v>
      </c>
      <c r="D1342" s="9" t="s">
        <v>4684</v>
      </c>
      <c r="E1342" s="9" t="s">
        <v>4684</v>
      </c>
      <c r="F1342" s="9" t="s">
        <v>4684</v>
      </c>
      <c r="G1342" s="9" t="s">
        <v>4685</v>
      </c>
      <c r="H1342" s="9" t="s">
        <v>4684</v>
      </c>
      <c r="I1342" s="9" t="str">
        <f t="shared" si="1"/>
        <v>No</v>
      </c>
      <c r="J1342" s="9">
        <f t="shared" si="2"/>
        <v>0</v>
      </c>
      <c r="K1342" s="9" t="str">
        <f t="shared" si="3"/>
        <v>OBESITY</v>
      </c>
    </row>
    <row r="1343" ht="15.75" customHeight="1">
      <c r="A1343" s="9" t="s">
        <v>2685</v>
      </c>
      <c r="B1343" s="9">
        <v>44.16</v>
      </c>
      <c r="C1343" s="9">
        <v>5.31</v>
      </c>
      <c r="D1343" s="9" t="s">
        <v>4686</v>
      </c>
      <c r="E1343" s="9" t="s">
        <v>4684</v>
      </c>
      <c r="F1343" s="9" t="s">
        <v>4684</v>
      </c>
      <c r="G1343" s="9" t="s">
        <v>4685</v>
      </c>
      <c r="H1343" s="9" t="s">
        <v>4684</v>
      </c>
      <c r="I1343" s="9" t="str">
        <f t="shared" si="1"/>
        <v>No</v>
      </c>
      <c r="J1343" s="9">
        <f t="shared" si="2"/>
        <v>0</v>
      </c>
      <c r="K1343" s="9" t="str">
        <f t="shared" si="3"/>
        <v>OBESITY</v>
      </c>
    </row>
    <row r="1344" ht="15.75" customHeight="1">
      <c r="A1344" s="9" t="s">
        <v>2687</v>
      </c>
      <c r="B1344" s="9">
        <v>37.05</v>
      </c>
      <c r="C1344" s="9">
        <v>4.74</v>
      </c>
      <c r="D1344" s="9" t="s">
        <v>4684</v>
      </c>
      <c r="E1344" s="9" t="s">
        <v>4684</v>
      </c>
      <c r="F1344" s="9" t="s">
        <v>4686</v>
      </c>
      <c r="G1344" s="9">
        <v>1.0</v>
      </c>
      <c r="H1344" s="9" t="s">
        <v>4684</v>
      </c>
      <c r="I1344" s="9" t="str">
        <f t="shared" si="1"/>
        <v>No</v>
      </c>
      <c r="J1344" s="9">
        <f t="shared" si="2"/>
        <v>1</v>
      </c>
      <c r="K1344" s="9" t="str">
        <f t="shared" si="3"/>
        <v>OBESITY</v>
      </c>
    </row>
    <row r="1345" ht="15.75" customHeight="1">
      <c r="A1345" s="9" t="s">
        <v>2689</v>
      </c>
      <c r="B1345" s="9">
        <v>18.66</v>
      </c>
      <c r="C1345" s="9">
        <v>11.35</v>
      </c>
      <c r="D1345" s="9" t="s">
        <v>4684</v>
      </c>
      <c r="E1345" s="9" t="s">
        <v>4684</v>
      </c>
      <c r="F1345" s="9" t="s">
        <v>4684</v>
      </c>
      <c r="G1345" s="9" t="s">
        <v>4685</v>
      </c>
      <c r="H1345" s="9" t="s">
        <v>4684</v>
      </c>
      <c r="I1345" s="9" t="str">
        <f t="shared" si="1"/>
        <v>No</v>
      </c>
      <c r="J1345" s="9">
        <f t="shared" si="2"/>
        <v>0</v>
      </c>
      <c r="K1345" s="9" t="str">
        <f t="shared" si="3"/>
        <v>NORMAL WEIGHT</v>
      </c>
    </row>
    <row r="1346" ht="15.75" customHeight="1">
      <c r="A1346" s="9" t="s">
        <v>2691</v>
      </c>
      <c r="B1346" s="9">
        <v>36.2</v>
      </c>
      <c r="C1346" s="9">
        <v>6.81</v>
      </c>
      <c r="D1346" s="9" t="s">
        <v>4686</v>
      </c>
      <c r="E1346" s="9" t="s">
        <v>4684</v>
      </c>
      <c r="F1346" s="9" t="s">
        <v>4684</v>
      </c>
      <c r="G1346" s="9">
        <v>1.0</v>
      </c>
      <c r="H1346" s="9" t="s">
        <v>4684</v>
      </c>
      <c r="I1346" s="9" t="str">
        <f t="shared" si="1"/>
        <v>No</v>
      </c>
      <c r="J1346" s="9">
        <f t="shared" si="2"/>
        <v>1</v>
      </c>
      <c r="K1346" s="9" t="str">
        <f t="shared" si="3"/>
        <v>OBESITY</v>
      </c>
    </row>
    <row r="1347" ht="15.75" customHeight="1">
      <c r="A1347" s="9" t="s">
        <v>2693</v>
      </c>
      <c r="B1347" s="9">
        <v>18.87</v>
      </c>
      <c r="C1347" s="9">
        <v>8.06</v>
      </c>
      <c r="D1347" s="9" t="s">
        <v>4684</v>
      </c>
      <c r="E1347" s="9" t="s">
        <v>4684</v>
      </c>
      <c r="F1347" s="9" t="s">
        <v>4684</v>
      </c>
      <c r="G1347" s="9" t="s">
        <v>4685</v>
      </c>
      <c r="H1347" s="9" t="s">
        <v>4684</v>
      </c>
      <c r="I1347" s="9" t="str">
        <f t="shared" si="1"/>
        <v>No</v>
      </c>
      <c r="J1347" s="9">
        <f t="shared" si="2"/>
        <v>0</v>
      </c>
      <c r="K1347" s="9" t="str">
        <f t="shared" si="3"/>
        <v>NORMAL WEIGHT</v>
      </c>
    </row>
    <row r="1348" ht="15.75" customHeight="1">
      <c r="A1348" s="9" t="s">
        <v>2695</v>
      </c>
      <c r="B1348" s="9">
        <v>32.3</v>
      </c>
      <c r="C1348" s="9">
        <v>6.74</v>
      </c>
      <c r="D1348" s="9" t="s">
        <v>4686</v>
      </c>
      <c r="E1348" s="9" t="s">
        <v>4684</v>
      </c>
      <c r="F1348" s="9" t="s">
        <v>4684</v>
      </c>
      <c r="G1348" s="9">
        <v>1.0</v>
      </c>
      <c r="H1348" s="9" t="s">
        <v>4684</v>
      </c>
      <c r="I1348" s="9" t="str">
        <f t="shared" si="1"/>
        <v>No</v>
      </c>
      <c r="J1348" s="9">
        <f t="shared" si="2"/>
        <v>1</v>
      </c>
      <c r="K1348" s="9" t="str">
        <f t="shared" si="3"/>
        <v>OBESITY</v>
      </c>
    </row>
    <row r="1349" ht="15.75" customHeight="1">
      <c r="A1349" s="9" t="s">
        <v>2697</v>
      </c>
      <c r="B1349" s="9">
        <v>22.64</v>
      </c>
      <c r="C1349" s="9">
        <v>6.54</v>
      </c>
      <c r="D1349" s="9" t="s">
        <v>4686</v>
      </c>
      <c r="E1349" s="9" t="s">
        <v>4684</v>
      </c>
      <c r="F1349" s="9" t="s">
        <v>4684</v>
      </c>
      <c r="G1349" s="9">
        <v>2.0</v>
      </c>
      <c r="H1349" s="9" t="s">
        <v>4684</v>
      </c>
      <c r="I1349" s="9" t="str">
        <f t="shared" si="1"/>
        <v>No</v>
      </c>
      <c r="J1349" s="9">
        <f t="shared" si="2"/>
        <v>2</v>
      </c>
      <c r="K1349" s="9" t="str">
        <f t="shared" si="3"/>
        <v>NORMAL WEIGHT</v>
      </c>
    </row>
    <row r="1350" ht="15.75" customHeight="1">
      <c r="A1350" s="9" t="s">
        <v>2699</v>
      </c>
      <c r="B1350" s="9">
        <v>28.69</v>
      </c>
      <c r="C1350" s="9">
        <v>5.4</v>
      </c>
      <c r="D1350" s="9" t="s">
        <v>4684</v>
      </c>
      <c r="E1350" s="9" t="s">
        <v>4684</v>
      </c>
      <c r="F1350" s="9" t="s">
        <v>4684</v>
      </c>
      <c r="G1350" s="9" t="s">
        <v>4685</v>
      </c>
      <c r="H1350" s="9" t="s">
        <v>4684</v>
      </c>
      <c r="I1350" s="9" t="str">
        <f t="shared" si="1"/>
        <v>No</v>
      </c>
      <c r="J1350" s="9">
        <f t="shared" si="2"/>
        <v>0</v>
      </c>
      <c r="K1350" s="9" t="str">
        <f t="shared" si="3"/>
        <v>OVERWEIGHT</v>
      </c>
    </row>
    <row r="1351" ht="15.75" customHeight="1">
      <c r="A1351" s="9" t="s">
        <v>2701</v>
      </c>
      <c r="B1351" s="9">
        <v>28.16</v>
      </c>
      <c r="C1351" s="9">
        <v>5.58</v>
      </c>
      <c r="D1351" s="9" t="s">
        <v>4686</v>
      </c>
      <c r="E1351" s="9" t="s">
        <v>4684</v>
      </c>
      <c r="F1351" s="9" t="s">
        <v>4684</v>
      </c>
      <c r="G1351" s="9" t="s">
        <v>4685</v>
      </c>
      <c r="H1351" s="9" t="s">
        <v>4684</v>
      </c>
      <c r="I1351" s="9" t="str">
        <f t="shared" si="1"/>
        <v>No</v>
      </c>
      <c r="J1351" s="9">
        <f t="shared" si="2"/>
        <v>0</v>
      </c>
      <c r="K1351" s="9" t="str">
        <f t="shared" si="3"/>
        <v>OVERWEIGHT</v>
      </c>
    </row>
    <row r="1352" ht="15.75" customHeight="1">
      <c r="A1352" s="9" t="s">
        <v>2703</v>
      </c>
      <c r="B1352" s="9">
        <v>45.54</v>
      </c>
      <c r="C1352" s="9">
        <v>5.84</v>
      </c>
      <c r="D1352" s="9" t="s">
        <v>4684</v>
      </c>
      <c r="E1352" s="9" t="s">
        <v>4684</v>
      </c>
      <c r="F1352" s="9" t="s">
        <v>4686</v>
      </c>
      <c r="G1352" s="9">
        <v>1.0</v>
      </c>
      <c r="H1352" s="9" t="s">
        <v>4684</v>
      </c>
      <c r="I1352" s="9" t="str">
        <f t="shared" si="1"/>
        <v>No</v>
      </c>
      <c r="J1352" s="9">
        <f t="shared" si="2"/>
        <v>1</v>
      </c>
      <c r="K1352" s="9" t="str">
        <f t="shared" si="3"/>
        <v>OBESITY</v>
      </c>
    </row>
    <row r="1353" ht="15.75" customHeight="1">
      <c r="A1353" s="9" t="s">
        <v>2705</v>
      </c>
      <c r="B1353" s="9">
        <v>28.7</v>
      </c>
      <c r="C1353" s="9">
        <v>4.2</v>
      </c>
      <c r="D1353" s="9" t="s">
        <v>4684</v>
      </c>
      <c r="E1353" s="9" t="s">
        <v>4684</v>
      </c>
      <c r="F1353" s="9" t="s">
        <v>4684</v>
      </c>
      <c r="G1353" s="9" t="s">
        <v>4685</v>
      </c>
      <c r="H1353" s="9" t="s">
        <v>4684</v>
      </c>
      <c r="I1353" s="9" t="str">
        <f t="shared" si="1"/>
        <v>No</v>
      </c>
      <c r="J1353" s="9">
        <f t="shared" si="2"/>
        <v>0</v>
      </c>
      <c r="K1353" s="9" t="str">
        <f t="shared" si="3"/>
        <v>OVERWEIGHT</v>
      </c>
    </row>
    <row r="1354" ht="15.75" customHeight="1">
      <c r="A1354" s="9" t="s">
        <v>2707</v>
      </c>
      <c r="B1354" s="9">
        <v>27.74</v>
      </c>
      <c r="C1354" s="9">
        <v>6.06</v>
      </c>
      <c r="D1354" s="9" t="s">
        <v>4686</v>
      </c>
      <c r="E1354" s="9" t="s">
        <v>4684</v>
      </c>
      <c r="F1354" s="9" t="s">
        <v>4684</v>
      </c>
      <c r="G1354" s="9" t="s">
        <v>4685</v>
      </c>
      <c r="H1354" s="9" t="s">
        <v>4684</v>
      </c>
      <c r="I1354" s="9" t="str">
        <f t="shared" si="1"/>
        <v>No</v>
      </c>
      <c r="J1354" s="9">
        <f t="shared" si="2"/>
        <v>0</v>
      </c>
      <c r="K1354" s="9" t="str">
        <f t="shared" si="3"/>
        <v>OVERWEIGHT</v>
      </c>
    </row>
    <row r="1355" ht="15.75" customHeight="1">
      <c r="A1355" s="9" t="s">
        <v>2709</v>
      </c>
      <c r="B1355" s="9">
        <v>36.955</v>
      </c>
      <c r="C1355" s="9">
        <v>7.57</v>
      </c>
      <c r="D1355" s="9" t="s">
        <v>4684</v>
      </c>
      <c r="E1355" s="9" t="s">
        <v>4684</v>
      </c>
      <c r="F1355" s="9" t="s">
        <v>4684</v>
      </c>
      <c r="G1355" s="9" t="s">
        <v>4685</v>
      </c>
      <c r="H1355" s="9" t="s">
        <v>4684</v>
      </c>
      <c r="I1355" s="9" t="str">
        <f t="shared" si="1"/>
        <v>No</v>
      </c>
      <c r="J1355" s="9">
        <f t="shared" si="2"/>
        <v>0</v>
      </c>
      <c r="K1355" s="9" t="str">
        <f t="shared" si="3"/>
        <v>OBESITY</v>
      </c>
    </row>
    <row r="1356" ht="15.75" customHeight="1">
      <c r="A1356" s="9" t="s">
        <v>2711</v>
      </c>
      <c r="B1356" s="9">
        <v>30.69</v>
      </c>
      <c r="C1356" s="9">
        <v>6.15</v>
      </c>
      <c r="D1356" s="9" t="s">
        <v>4684</v>
      </c>
      <c r="E1356" s="9" t="s">
        <v>4684</v>
      </c>
      <c r="F1356" s="9" t="s">
        <v>4684</v>
      </c>
      <c r="G1356" s="9" t="s">
        <v>4685</v>
      </c>
      <c r="H1356" s="9" t="s">
        <v>4684</v>
      </c>
      <c r="I1356" s="9" t="str">
        <f t="shared" si="1"/>
        <v>No</v>
      </c>
      <c r="J1356" s="9">
        <f t="shared" si="2"/>
        <v>0</v>
      </c>
      <c r="K1356" s="9" t="str">
        <f t="shared" si="3"/>
        <v>OBESITY</v>
      </c>
    </row>
    <row r="1357" ht="15.75" customHeight="1">
      <c r="A1357" s="9" t="s">
        <v>2713</v>
      </c>
      <c r="B1357" s="9">
        <v>24.985</v>
      </c>
      <c r="C1357" s="9">
        <v>4.56</v>
      </c>
      <c r="D1357" s="9" t="s">
        <v>4684</v>
      </c>
      <c r="E1357" s="9" t="s">
        <v>4684</v>
      </c>
      <c r="F1357" s="9" t="s">
        <v>4684</v>
      </c>
      <c r="G1357" s="9" t="s">
        <v>4685</v>
      </c>
      <c r="H1357" s="9" t="s">
        <v>4684</v>
      </c>
      <c r="I1357" s="9" t="str">
        <f t="shared" si="1"/>
        <v>No</v>
      </c>
      <c r="J1357" s="9">
        <f t="shared" si="2"/>
        <v>0</v>
      </c>
      <c r="K1357" s="9" t="str">
        <f t="shared" si="3"/>
        <v>NORMAL WEIGHT</v>
      </c>
    </row>
    <row r="1358" ht="15.75" customHeight="1">
      <c r="A1358" s="9" t="s">
        <v>2715</v>
      </c>
      <c r="B1358" s="9">
        <v>39.42</v>
      </c>
      <c r="C1358" s="9">
        <v>4.72</v>
      </c>
      <c r="D1358" s="9" t="s">
        <v>4686</v>
      </c>
      <c r="E1358" s="9" t="s">
        <v>4684</v>
      </c>
      <c r="F1358" s="9" t="s">
        <v>4684</v>
      </c>
      <c r="G1358" s="9">
        <v>1.0</v>
      </c>
      <c r="H1358" s="9" t="s">
        <v>4684</v>
      </c>
      <c r="I1358" s="9" t="str">
        <f t="shared" si="1"/>
        <v>No</v>
      </c>
      <c r="J1358" s="9">
        <f t="shared" si="2"/>
        <v>1</v>
      </c>
      <c r="K1358" s="9" t="str">
        <f t="shared" si="3"/>
        <v>OBESITY</v>
      </c>
    </row>
    <row r="1359" ht="15.75" customHeight="1">
      <c r="A1359" s="9" t="s">
        <v>2717</v>
      </c>
      <c r="B1359" s="9">
        <v>16.8</v>
      </c>
      <c r="C1359" s="9">
        <v>7.98</v>
      </c>
      <c r="D1359" s="9" t="s">
        <v>4684</v>
      </c>
      <c r="E1359" s="9" t="s">
        <v>4684</v>
      </c>
      <c r="F1359" s="9" t="s">
        <v>4684</v>
      </c>
      <c r="G1359" s="9" t="s">
        <v>4685</v>
      </c>
      <c r="H1359" s="9" t="s">
        <v>4684</v>
      </c>
      <c r="I1359" s="9" t="str">
        <f t="shared" si="1"/>
        <v>No</v>
      </c>
      <c r="J1359" s="9">
        <f t="shared" si="2"/>
        <v>0</v>
      </c>
      <c r="K1359" s="9" t="str">
        <f t="shared" si="3"/>
        <v>UNDERWEIGHT</v>
      </c>
    </row>
    <row r="1360" ht="15.75" customHeight="1">
      <c r="A1360" s="9" t="s">
        <v>2719</v>
      </c>
      <c r="B1360" s="9">
        <v>23.275</v>
      </c>
      <c r="C1360" s="9">
        <v>6.26</v>
      </c>
      <c r="D1360" s="9" t="s">
        <v>4686</v>
      </c>
      <c r="E1360" s="9" t="s">
        <v>4684</v>
      </c>
      <c r="F1360" s="9" t="s">
        <v>4686</v>
      </c>
      <c r="G1360" s="9">
        <v>1.0</v>
      </c>
      <c r="H1360" s="9" t="s">
        <v>4684</v>
      </c>
      <c r="I1360" s="9" t="str">
        <f t="shared" si="1"/>
        <v>No</v>
      </c>
      <c r="J1360" s="9">
        <f t="shared" si="2"/>
        <v>1</v>
      </c>
      <c r="K1360" s="9" t="str">
        <f t="shared" si="3"/>
        <v>NORMAL WEIGHT</v>
      </c>
    </row>
    <row r="1361" ht="15.75" customHeight="1">
      <c r="A1361" s="9" t="s">
        <v>2721</v>
      </c>
      <c r="B1361" s="9">
        <v>22.8</v>
      </c>
      <c r="C1361" s="9">
        <v>4.29</v>
      </c>
      <c r="D1361" s="9" t="s">
        <v>4686</v>
      </c>
      <c r="E1361" s="9" t="s">
        <v>4684</v>
      </c>
      <c r="F1361" s="9" t="s">
        <v>4686</v>
      </c>
      <c r="G1361" s="9">
        <v>1.0</v>
      </c>
      <c r="H1361" s="9" t="s">
        <v>4684</v>
      </c>
      <c r="I1361" s="9" t="str">
        <f t="shared" si="1"/>
        <v>No</v>
      </c>
      <c r="J1361" s="9">
        <f t="shared" si="2"/>
        <v>1</v>
      </c>
      <c r="K1361" s="9" t="str">
        <f t="shared" si="3"/>
        <v>NORMAL WEIGHT</v>
      </c>
    </row>
    <row r="1362" ht="15.75" customHeight="1">
      <c r="A1362" s="9" t="s">
        <v>2723</v>
      </c>
      <c r="B1362" s="9">
        <v>24.3</v>
      </c>
      <c r="C1362" s="9">
        <v>5.43</v>
      </c>
      <c r="D1362" s="9" t="s">
        <v>4684</v>
      </c>
      <c r="E1362" s="9" t="s">
        <v>4684</v>
      </c>
      <c r="F1362" s="9" t="s">
        <v>4684</v>
      </c>
      <c r="G1362" s="9">
        <v>2.0</v>
      </c>
      <c r="H1362" s="9" t="s">
        <v>4684</v>
      </c>
      <c r="I1362" s="9" t="str">
        <f t="shared" si="1"/>
        <v>No</v>
      </c>
      <c r="J1362" s="9">
        <f t="shared" si="2"/>
        <v>2</v>
      </c>
      <c r="K1362" s="9" t="str">
        <f t="shared" si="3"/>
        <v>NORMAL WEIGHT</v>
      </c>
    </row>
    <row r="1363" ht="15.75" customHeight="1">
      <c r="A1363" s="9" t="s">
        <v>2725</v>
      </c>
      <c r="B1363" s="9">
        <v>25.13</v>
      </c>
      <c r="C1363" s="9">
        <v>8.0</v>
      </c>
      <c r="D1363" s="9" t="s">
        <v>4686</v>
      </c>
      <c r="E1363" s="9" t="s">
        <v>4684</v>
      </c>
      <c r="F1363" s="9" t="s">
        <v>4684</v>
      </c>
      <c r="G1363" s="9">
        <v>1.0</v>
      </c>
      <c r="H1363" s="9" t="s">
        <v>4684</v>
      </c>
      <c r="I1363" s="9" t="str">
        <f t="shared" si="1"/>
        <v>No</v>
      </c>
      <c r="J1363" s="9">
        <f t="shared" si="2"/>
        <v>1</v>
      </c>
      <c r="K1363" s="9" t="str">
        <f t="shared" si="3"/>
        <v>OVERWEIGHT</v>
      </c>
    </row>
    <row r="1364" ht="15.75" customHeight="1">
      <c r="A1364" s="9" t="s">
        <v>2727</v>
      </c>
      <c r="B1364" s="9">
        <v>22.72</v>
      </c>
      <c r="C1364" s="9">
        <v>9.96</v>
      </c>
      <c r="D1364" s="9" t="s">
        <v>4686</v>
      </c>
      <c r="E1364" s="9" t="s">
        <v>4684</v>
      </c>
      <c r="F1364" s="9" t="s">
        <v>4684</v>
      </c>
      <c r="G1364" s="9">
        <v>2.0</v>
      </c>
      <c r="H1364" s="9" t="s">
        <v>4684</v>
      </c>
      <c r="I1364" s="9" t="str">
        <f t="shared" si="1"/>
        <v>No</v>
      </c>
      <c r="J1364" s="9">
        <f t="shared" si="2"/>
        <v>2</v>
      </c>
      <c r="K1364" s="9" t="str">
        <f t="shared" si="3"/>
        <v>NORMAL WEIGHT</v>
      </c>
    </row>
    <row r="1365" ht="15.75" customHeight="1">
      <c r="A1365" s="9" t="s">
        <v>2729</v>
      </c>
      <c r="B1365" s="9">
        <v>32.6</v>
      </c>
      <c r="C1365" s="9">
        <v>6.8</v>
      </c>
      <c r="D1365" s="9" t="s">
        <v>4686</v>
      </c>
      <c r="E1365" s="9" t="s">
        <v>4684</v>
      </c>
      <c r="F1365" s="9" t="s">
        <v>4684</v>
      </c>
      <c r="G1365" s="9" t="s">
        <v>4685</v>
      </c>
      <c r="H1365" s="9" t="s">
        <v>4684</v>
      </c>
      <c r="I1365" s="9" t="str">
        <f t="shared" si="1"/>
        <v>No</v>
      </c>
      <c r="J1365" s="9">
        <f t="shared" si="2"/>
        <v>0</v>
      </c>
      <c r="K1365" s="9" t="str">
        <f t="shared" si="3"/>
        <v>OBESITY</v>
      </c>
    </row>
    <row r="1366" ht="15.75" customHeight="1">
      <c r="A1366" s="9" t="s">
        <v>2731</v>
      </c>
      <c r="B1366" s="9">
        <v>17.28</v>
      </c>
      <c r="C1366" s="9">
        <v>6.22</v>
      </c>
      <c r="D1366" s="9" t="s">
        <v>4686</v>
      </c>
      <c r="E1366" s="9" t="s">
        <v>4684</v>
      </c>
      <c r="F1366" s="9" t="s">
        <v>4684</v>
      </c>
      <c r="G1366" s="9">
        <v>2.0</v>
      </c>
      <c r="H1366" s="9" t="s">
        <v>4684</v>
      </c>
      <c r="I1366" s="9" t="str">
        <f t="shared" si="1"/>
        <v>No</v>
      </c>
      <c r="J1366" s="9">
        <f t="shared" si="2"/>
        <v>2</v>
      </c>
      <c r="K1366" s="9" t="str">
        <f t="shared" si="3"/>
        <v>UNDERWEIGHT</v>
      </c>
    </row>
    <row r="1367" ht="15.75" customHeight="1">
      <c r="A1367" s="9" t="s">
        <v>2733</v>
      </c>
      <c r="B1367" s="9">
        <v>27.92</v>
      </c>
      <c r="C1367" s="9">
        <v>5.79</v>
      </c>
      <c r="D1367" s="9" t="s">
        <v>4684</v>
      </c>
      <c r="E1367" s="9" t="s">
        <v>4684</v>
      </c>
      <c r="F1367" s="9" t="s">
        <v>4684</v>
      </c>
      <c r="G1367" s="9">
        <v>1.0</v>
      </c>
      <c r="H1367" s="9" t="s">
        <v>4684</v>
      </c>
      <c r="I1367" s="9" t="str">
        <f t="shared" si="1"/>
        <v>No</v>
      </c>
      <c r="J1367" s="9">
        <f t="shared" si="2"/>
        <v>1</v>
      </c>
      <c r="K1367" s="9" t="str">
        <f t="shared" si="3"/>
        <v>OVERWEIGHT</v>
      </c>
    </row>
    <row r="1368" ht="15.75" customHeight="1">
      <c r="A1368" s="9" t="s">
        <v>2735</v>
      </c>
      <c r="B1368" s="9">
        <v>38.285</v>
      </c>
      <c r="C1368" s="9">
        <v>5.41</v>
      </c>
      <c r="D1368" s="9" t="s">
        <v>4684</v>
      </c>
      <c r="E1368" s="9" t="s">
        <v>4684</v>
      </c>
      <c r="F1368" s="9" t="s">
        <v>4684</v>
      </c>
      <c r="G1368" s="9" t="s">
        <v>4685</v>
      </c>
      <c r="H1368" s="9" t="s">
        <v>4684</v>
      </c>
      <c r="I1368" s="9" t="str">
        <f t="shared" si="1"/>
        <v>No</v>
      </c>
      <c r="J1368" s="9">
        <f t="shared" si="2"/>
        <v>0</v>
      </c>
      <c r="K1368" s="9" t="str">
        <f t="shared" si="3"/>
        <v>OBESITY</v>
      </c>
    </row>
    <row r="1369" ht="15.75" customHeight="1">
      <c r="A1369" s="9" t="s">
        <v>2737</v>
      </c>
      <c r="B1369" s="9">
        <v>16.48</v>
      </c>
      <c r="C1369" s="9">
        <v>11.05</v>
      </c>
      <c r="D1369" s="9" t="s">
        <v>4684</v>
      </c>
      <c r="E1369" s="9" t="s">
        <v>4684</v>
      </c>
      <c r="F1369" s="9" t="s">
        <v>4684</v>
      </c>
      <c r="G1369" s="9" t="s">
        <v>4685</v>
      </c>
      <c r="H1369" s="9" t="s">
        <v>4684</v>
      </c>
      <c r="I1369" s="9" t="str">
        <f t="shared" si="1"/>
        <v>No</v>
      </c>
      <c r="J1369" s="9">
        <f t="shared" si="2"/>
        <v>0</v>
      </c>
      <c r="K1369" s="9" t="str">
        <f t="shared" si="3"/>
        <v>UNDERWEIGHT</v>
      </c>
    </row>
    <row r="1370" ht="15.75" customHeight="1">
      <c r="A1370" s="9" t="s">
        <v>2739</v>
      </c>
      <c r="B1370" s="9">
        <v>38.57</v>
      </c>
      <c r="C1370" s="9">
        <v>6.27</v>
      </c>
      <c r="D1370" s="9" t="s">
        <v>4684</v>
      </c>
      <c r="E1370" s="9" t="s">
        <v>4684</v>
      </c>
      <c r="F1370" s="9" t="s">
        <v>4684</v>
      </c>
      <c r="G1370" s="9" t="s">
        <v>4685</v>
      </c>
      <c r="H1370" s="9" t="s">
        <v>4684</v>
      </c>
      <c r="I1370" s="9" t="str">
        <f t="shared" si="1"/>
        <v>No</v>
      </c>
      <c r="J1370" s="9">
        <f t="shared" si="2"/>
        <v>0</v>
      </c>
      <c r="K1370" s="9" t="str">
        <f t="shared" si="3"/>
        <v>OBESITY</v>
      </c>
    </row>
    <row r="1371" ht="15.75" customHeight="1">
      <c r="A1371" s="9" t="s">
        <v>2741</v>
      </c>
      <c r="B1371" s="9">
        <v>43.85</v>
      </c>
      <c r="C1371" s="9">
        <v>4.77</v>
      </c>
      <c r="D1371" s="9" t="s">
        <v>4686</v>
      </c>
      <c r="E1371" s="9" t="s">
        <v>4684</v>
      </c>
      <c r="F1371" s="9" t="s">
        <v>4684</v>
      </c>
      <c r="G1371" s="9" t="s">
        <v>4685</v>
      </c>
      <c r="H1371" s="9" t="s">
        <v>4684</v>
      </c>
      <c r="I1371" s="9" t="str">
        <f t="shared" si="1"/>
        <v>No</v>
      </c>
      <c r="J1371" s="9">
        <f t="shared" si="2"/>
        <v>0</v>
      </c>
      <c r="K1371" s="9" t="str">
        <f t="shared" si="3"/>
        <v>OBESITY</v>
      </c>
    </row>
    <row r="1372" ht="15.75" customHeight="1">
      <c r="A1372" s="9" t="s">
        <v>2743</v>
      </c>
      <c r="B1372" s="9">
        <v>30.11</v>
      </c>
      <c r="C1372" s="9">
        <v>4.08</v>
      </c>
      <c r="D1372" s="9" t="s">
        <v>4684</v>
      </c>
      <c r="E1372" s="9" t="s">
        <v>4684</v>
      </c>
      <c r="F1372" s="9" t="s">
        <v>4684</v>
      </c>
      <c r="G1372" s="9" t="s">
        <v>4685</v>
      </c>
      <c r="H1372" s="9" t="s">
        <v>4684</v>
      </c>
      <c r="I1372" s="9" t="str">
        <f t="shared" si="1"/>
        <v>No</v>
      </c>
      <c r="J1372" s="9">
        <f t="shared" si="2"/>
        <v>0</v>
      </c>
      <c r="K1372" s="9" t="str">
        <f t="shared" si="3"/>
        <v>OBESITY</v>
      </c>
    </row>
    <row r="1373" ht="15.75" customHeight="1">
      <c r="A1373" s="9" t="s">
        <v>2745</v>
      </c>
      <c r="B1373" s="9">
        <v>31.59</v>
      </c>
      <c r="C1373" s="9">
        <v>6.01</v>
      </c>
      <c r="D1373" s="9" t="s">
        <v>4684</v>
      </c>
      <c r="E1373" s="9" t="s">
        <v>4684</v>
      </c>
      <c r="F1373" s="9" t="s">
        <v>4684</v>
      </c>
      <c r="G1373" s="9" t="s">
        <v>4685</v>
      </c>
      <c r="H1373" s="9" t="s">
        <v>4684</v>
      </c>
      <c r="I1373" s="9" t="str">
        <f t="shared" si="1"/>
        <v>No</v>
      </c>
      <c r="J1373" s="9">
        <f t="shared" si="2"/>
        <v>0</v>
      </c>
      <c r="K1373" s="9" t="str">
        <f t="shared" si="3"/>
        <v>OBESITY</v>
      </c>
    </row>
    <row r="1374" ht="15.75" customHeight="1">
      <c r="A1374" s="9" t="s">
        <v>2747</v>
      </c>
      <c r="B1374" s="9">
        <v>40.15</v>
      </c>
      <c r="C1374" s="9">
        <v>11.84</v>
      </c>
      <c r="D1374" s="9" t="s">
        <v>4684</v>
      </c>
      <c r="E1374" s="9" t="s">
        <v>4684</v>
      </c>
      <c r="F1374" s="9" t="s">
        <v>4684</v>
      </c>
      <c r="G1374" s="9" t="s">
        <v>4685</v>
      </c>
      <c r="H1374" s="9" t="s">
        <v>4684</v>
      </c>
      <c r="I1374" s="9" t="str">
        <f t="shared" si="1"/>
        <v>No</v>
      </c>
      <c r="J1374" s="9">
        <f t="shared" si="2"/>
        <v>0</v>
      </c>
      <c r="K1374" s="9" t="str">
        <f t="shared" si="3"/>
        <v>OBESITY</v>
      </c>
    </row>
    <row r="1375" ht="15.75" customHeight="1">
      <c r="A1375" s="9" t="s">
        <v>2749</v>
      </c>
      <c r="B1375" s="9">
        <v>40.7</v>
      </c>
      <c r="C1375" s="9">
        <v>6.27</v>
      </c>
      <c r="D1375" s="9" t="s">
        <v>4686</v>
      </c>
      <c r="E1375" s="9" t="s">
        <v>4684</v>
      </c>
      <c r="F1375" s="9" t="s">
        <v>4686</v>
      </c>
      <c r="G1375" s="9">
        <v>1.0</v>
      </c>
      <c r="H1375" s="9" t="s">
        <v>4684</v>
      </c>
      <c r="I1375" s="9" t="str">
        <f t="shared" si="1"/>
        <v>No</v>
      </c>
      <c r="J1375" s="9">
        <f t="shared" si="2"/>
        <v>1</v>
      </c>
      <c r="K1375" s="9" t="str">
        <f t="shared" si="3"/>
        <v>OBESITY</v>
      </c>
    </row>
    <row r="1376" ht="15.75" customHeight="1">
      <c r="A1376" s="9" t="s">
        <v>2751</v>
      </c>
      <c r="B1376" s="9">
        <v>40.76</v>
      </c>
      <c r="C1376" s="9">
        <v>5.28</v>
      </c>
      <c r="D1376" s="9" t="s">
        <v>4684</v>
      </c>
      <c r="E1376" s="9" t="s">
        <v>4684</v>
      </c>
      <c r="F1376" s="9" t="s">
        <v>4684</v>
      </c>
      <c r="G1376" s="9" t="s">
        <v>4685</v>
      </c>
      <c r="H1376" s="9" t="s">
        <v>4684</v>
      </c>
      <c r="I1376" s="9" t="str">
        <f t="shared" si="1"/>
        <v>No</v>
      </c>
      <c r="J1376" s="9">
        <f t="shared" si="2"/>
        <v>0</v>
      </c>
      <c r="K1376" s="9" t="str">
        <f t="shared" si="3"/>
        <v>OBESITY</v>
      </c>
    </row>
    <row r="1377" ht="15.75" customHeight="1">
      <c r="A1377" s="9" t="s">
        <v>2753</v>
      </c>
      <c r="B1377" s="9">
        <v>29.7</v>
      </c>
      <c r="C1377" s="9">
        <v>7.03</v>
      </c>
      <c r="D1377" s="9" t="s">
        <v>4684</v>
      </c>
      <c r="E1377" s="9" t="s">
        <v>4684</v>
      </c>
      <c r="F1377" s="9" t="s">
        <v>4684</v>
      </c>
      <c r="G1377" s="9" t="s">
        <v>4685</v>
      </c>
      <c r="H1377" s="9" t="s">
        <v>4684</v>
      </c>
      <c r="I1377" s="9" t="str">
        <f t="shared" si="1"/>
        <v>No</v>
      </c>
      <c r="J1377" s="9">
        <f t="shared" si="2"/>
        <v>0</v>
      </c>
      <c r="K1377" s="9" t="str">
        <f t="shared" si="3"/>
        <v>OVERWEIGHT</v>
      </c>
    </row>
    <row r="1378" ht="15.75" customHeight="1">
      <c r="A1378" s="9" t="s">
        <v>2755</v>
      </c>
      <c r="B1378" s="9">
        <v>40.58</v>
      </c>
      <c r="C1378" s="9">
        <v>5.32</v>
      </c>
      <c r="D1378" s="9" t="s">
        <v>4686</v>
      </c>
      <c r="E1378" s="9" t="s">
        <v>4684</v>
      </c>
      <c r="F1378" s="9" t="s">
        <v>4686</v>
      </c>
      <c r="G1378" s="9">
        <v>1.0</v>
      </c>
      <c r="H1378" s="9" t="s">
        <v>4684</v>
      </c>
      <c r="I1378" s="9" t="str">
        <f t="shared" si="1"/>
        <v>No</v>
      </c>
      <c r="J1378" s="9">
        <f t="shared" si="2"/>
        <v>1</v>
      </c>
      <c r="K1378" s="9" t="str">
        <f t="shared" si="3"/>
        <v>OBESITY</v>
      </c>
    </row>
    <row r="1379" ht="15.75" customHeight="1">
      <c r="A1379" s="9" t="s">
        <v>2757</v>
      </c>
      <c r="B1379" s="9">
        <v>33.06</v>
      </c>
      <c r="C1379" s="9">
        <v>9.59</v>
      </c>
      <c r="D1379" s="9" t="s">
        <v>4686</v>
      </c>
      <c r="E1379" s="9" t="s">
        <v>4684</v>
      </c>
      <c r="F1379" s="9" t="s">
        <v>4684</v>
      </c>
      <c r="G1379" s="9" t="s">
        <v>4685</v>
      </c>
      <c r="H1379" s="9" t="s">
        <v>4684</v>
      </c>
      <c r="I1379" s="9" t="str">
        <f t="shared" si="1"/>
        <v>No</v>
      </c>
      <c r="J1379" s="9">
        <f t="shared" si="2"/>
        <v>0</v>
      </c>
      <c r="K1379" s="9" t="str">
        <f t="shared" si="3"/>
        <v>OBESITY</v>
      </c>
    </row>
    <row r="1380" ht="15.75" customHeight="1">
      <c r="A1380" s="9" t="s">
        <v>2759</v>
      </c>
      <c r="B1380" s="9">
        <v>26.62</v>
      </c>
      <c r="C1380" s="9">
        <v>6.15</v>
      </c>
      <c r="D1380" s="9" t="s">
        <v>4686</v>
      </c>
      <c r="E1380" s="9" t="s">
        <v>4684</v>
      </c>
      <c r="F1380" s="9" t="s">
        <v>4684</v>
      </c>
      <c r="G1380" s="9" t="s">
        <v>4685</v>
      </c>
      <c r="H1380" s="9" t="s">
        <v>4684</v>
      </c>
      <c r="I1380" s="9" t="str">
        <f t="shared" si="1"/>
        <v>No</v>
      </c>
      <c r="J1380" s="9">
        <f t="shared" si="2"/>
        <v>0</v>
      </c>
      <c r="K1380" s="9" t="str">
        <f t="shared" si="3"/>
        <v>OVERWEIGHT</v>
      </c>
    </row>
    <row r="1381" ht="15.75" customHeight="1">
      <c r="A1381" s="9" t="s">
        <v>2761</v>
      </c>
      <c r="B1381" s="9">
        <v>37.1</v>
      </c>
      <c r="C1381" s="9">
        <v>11.08</v>
      </c>
      <c r="D1381" s="9" t="s">
        <v>4684</v>
      </c>
      <c r="E1381" s="9" t="s">
        <v>4684</v>
      </c>
      <c r="F1381" s="9" t="s">
        <v>4684</v>
      </c>
      <c r="G1381" s="9" t="s">
        <v>4685</v>
      </c>
      <c r="H1381" s="9" t="s">
        <v>4684</v>
      </c>
      <c r="I1381" s="9" t="str">
        <f t="shared" si="1"/>
        <v>No</v>
      </c>
      <c r="J1381" s="9">
        <f t="shared" si="2"/>
        <v>0</v>
      </c>
      <c r="K1381" s="9" t="str">
        <f t="shared" si="3"/>
        <v>OBESITY</v>
      </c>
    </row>
    <row r="1382" ht="15.75" customHeight="1">
      <c r="A1382" s="9" t="s">
        <v>2763</v>
      </c>
      <c r="B1382" s="9">
        <v>18.28</v>
      </c>
      <c r="C1382" s="9">
        <v>7.95</v>
      </c>
      <c r="D1382" s="9" t="s">
        <v>4684</v>
      </c>
      <c r="E1382" s="9" t="s">
        <v>4684</v>
      </c>
      <c r="F1382" s="9" t="s">
        <v>4684</v>
      </c>
      <c r="G1382" s="9" t="s">
        <v>4685</v>
      </c>
      <c r="H1382" s="9" t="s">
        <v>4684</v>
      </c>
      <c r="I1382" s="9" t="str">
        <f t="shared" si="1"/>
        <v>No</v>
      </c>
      <c r="J1382" s="9">
        <f t="shared" si="2"/>
        <v>0</v>
      </c>
      <c r="K1382" s="9" t="str">
        <f t="shared" si="3"/>
        <v>UNDERWEIGHT</v>
      </c>
    </row>
    <row r="1383" ht="15.75" customHeight="1">
      <c r="A1383" s="9" t="s">
        <v>2765</v>
      </c>
      <c r="B1383" s="9">
        <v>35.815</v>
      </c>
      <c r="C1383" s="9">
        <v>6.23</v>
      </c>
      <c r="D1383" s="9" t="s">
        <v>4684</v>
      </c>
      <c r="E1383" s="9" t="s">
        <v>4684</v>
      </c>
      <c r="F1383" s="9" t="s">
        <v>4684</v>
      </c>
      <c r="G1383" s="9" t="s">
        <v>4685</v>
      </c>
      <c r="H1383" s="9" t="s">
        <v>4684</v>
      </c>
      <c r="I1383" s="9" t="str">
        <f t="shared" si="1"/>
        <v>No</v>
      </c>
      <c r="J1383" s="9">
        <f t="shared" si="2"/>
        <v>0</v>
      </c>
      <c r="K1383" s="9" t="str">
        <f t="shared" si="3"/>
        <v>OBESITY</v>
      </c>
    </row>
    <row r="1384" ht="15.75" customHeight="1">
      <c r="A1384" s="9" t="s">
        <v>2767</v>
      </c>
      <c r="B1384" s="9">
        <v>30.69</v>
      </c>
      <c r="C1384" s="9">
        <v>6.5</v>
      </c>
      <c r="D1384" s="9" t="s">
        <v>4684</v>
      </c>
      <c r="E1384" s="9" t="s">
        <v>4684</v>
      </c>
      <c r="F1384" s="9" t="s">
        <v>4684</v>
      </c>
      <c r="G1384" s="9" t="s">
        <v>4685</v>
      </c>
      <c r="H1384" s="9" t="s">
        <v>4684</v>
      </c>
      <c r="I1384" s="9" t="str">
        <f t="shared" si="1"/>
        <v>No</v>
      </c>
      <c r="J1384" s="9">
        <f t="shared" si="2"/>
        <v>0</v>
      </c>
      <c r="K1384" s="9" t="str">
        <f t="shared" si="3"/>
        <v>OBESITY</v>
      </c>
    </row>
    <row r="1385" ht="15.75" customHeight="1">
      <c r="A1385" s="9" t="s">
        <v>2769</v>
      </c>
      <c r="B1385" s="9">
        <v>26.125</v>
      </c>
      <c r="C1385" s="9">
        <v>5.22</v>
      </c>
      <c r="D1385" s="9" t="s">
        <v>4684</v>
      </c>
      <c r="E1385" s="9" t="s">
        <v>4684</v>
      </c>
      <c r="F1385" s="9" t="s">
        <v>4684</v>
      </c>
      <c r="G1385" s="9" t="s">
        <v>4685</v>
      </c>
      <c r="H1385" s="9" t="s">
        <v>4684</v>
      </c>
      <c r="I1385" s="9" t="str">
        <f t="shared" si="1"/>
        <v>No</v>
      </c>
      <c r="J1385" s="9">
        <f t="shared" si="2"/>
        <v>0</v>
      </c>
      <c r="K1385" s="9" t="str">
        <f t="shared" si="3"/>
        <v>OVERWEIGHT</v>
      </c>
    </row>
    <row r="1386" ht="15.75" customHeight="1">
      <c r="A1386" s="9" t="s">
        <v>2771</v>
      </c>
      <c r="B1386" s="9">
        <v>34.58</v>
      </c>
      <c r="C1386" s="9">
        <v>6.3</v>
      </c>
      <c r="D1386" s="9" t="s">
        <v>4684</v>
      </c>
      <c r="E1386" s="9" t="s">
        <v>4684</v>
      </c>
      <c r="F1386" s="9" t="s">
        <v>4686</v>
      </c>
      <c r="G1386" s="9">
        <v>1.0</v>
      </c>
      <c r="H1386" s="9" t="s">
        <v>4684</v>
      </c>
      <c r="I1386" s="9" t="str">
        <f t="shared" si="1"/>
        <v>No</v>
      </c>
      <c r="J1386" s="9">
        <f t="shared" si="2"/>
        <v>1</v>
      </c>
      <c r="K1386" s="9" t="str">
        <f t="shared" si="3"/>
        <v>OBESITY</v>
      </c>
    </row>
    <row r="1387" ht="15.75" customHeight="1">
      <c r="A1387" s="9" t="s">
        <v>2773</v>
      </c>
      <c r="B1387" s="9">
        <v>27.4</v>
      </c>
      <c r="C1387" s="9">
        <v>8.84</v>
      </c>
      <c r="D1387" s="9" t="s">
        <v>4684</v>
      </c>
      <c r="E1387" s="9" t="s">
        <v>4684</v>
      </c>
      <c r="F1387" s="9" t="s">
        <v>4684</v>
      </c>
      <c r="G1387" s="9" t="s">
        <v>4685</v>
      </c>
      <c r="H1387" s="9" t="s">
        <v>4684</v>
      </c>
      <c r="I1387" s="9" t="str">
        <f t="shared" si="1"/>
        <v>No</v>
      </c>
      <c r="J1387" s="9">
        <f t="shared" si="2"/>
        <v>0</v>
      </c>
      <c r="K1387" s="9" t="str">
        <f t="shared" si="3"/>
        <v>OVERWEIGHT</v>
      </c>
    </row>
    <row r="1388" ht="15.75" customHeight="1">
      <c r="A1388" s="9" t="s">
        <v>2775</v>
      </c>
      <c r="B1388" s="9">
        <v>27.53</v>
      </c>
      <c r="C1388" s="9">
        <v>4.11</v>
      </c>
      <c r="D1388" s="9" t="s">
        <v>4684</v>
      </c>
      <c r="E1388" s="9" t="s">
        <v>4684</v>
      </c>
      <c r="F1388" s="9" t="s">
        <v>4684</v>
      </c>
      <c r="G1388" s="9">
        <v>1.0</v>
      </c>
      <c r="H1388" s="9" t="s">
        <v>4684</v>
      </c>
      <c r="I1388" s="9" t="str">
        <f t="shared" si="1"/>
        <v>No</v>
      </c>
      <c r="J1388" s="9">
        <f t="shared" si="2"/>
        <v>1</v>
      </c>
      <c r="K1388" s="9" t="str">
        <f t="shared" si="3"/>
        <v>OVERWEIGHT</v>
      </c>
    </row>
    <row r="1389" ht="15.75" customHeight="1">
      <c r="A1389" s="9" t="s">
        <v>2777</v>
      </c>
      <c r="B1389" s="9">
        <v>33.0</v>
      </c>
      <c r="C1389" s="9">
        <v>4.57</v>
      </c>
      <c r="D1389" s="9" t="s">
        <v>4684</v>
      </c>
      <c r="E1389" s="9" t="s">
        <v>4684</v>
      </c>
      <c r="F1389" s="9" t="s">
        <v>4684</v>
      </c>
      <c r="G1389" s="9" t="s">
        <v>4685</v>
      </c>
      <c r="H1389" s="9" t="s">
        <v>4684</v>
      </c>
      <c r="I1389" s="9" t="str">
        <f t="shared" si="1"/>
        <v>No</v>
      </c>
      <c r="J1389" s="9">
        <f t="shared" si="2"/>
        <v>0</v>
      </c>
      <c r="K1389" s="9" t="str">
        <f t="shared" si="3"/>
        <v>OBESITY</v>
      </c>
    </row>
    <row r="1390" ht="15.75" customHeight="1">
      <c r="A1390" s="9" t="s">
        <v>2779</v>
      </c>
      <c r="B1390" s="9">
        <v>25.78</v>
      </c>
      <c r="C1390" s="9">
        <v>11.06</v>
      </c>
      <c r="D1390" s="9" t="s">
        <v>4686</v>
      </c>
      <c r="E1390" s="9" t="s">
        <v>4684</v>
      </c>
      <c r="F1390" s="9" t="s">
        <v>4684</v>
      </c>
      <c r="G1390" s="9" t="s">
        <v>4685</v>
      </c>
      <c r="H1390" s="9" t="s">
        <v>4684</v>
      </c>
      <c r="I1390" s="9" t="str">
        <f t="shared" si="1"/>
        <v>No</v>
      </c>
      <c r="J1390" s="9">
        <f t="shared" si="2"/>
        <v>0</v>
      </c>
      <c r="K1390" s="9" t="str">
        <f t="shared" si="3"/>
        <v>OVERWEIGHT</v>
      </c>
    </row>
    <row r="1391" ht="15.75" customHeight="1">
      <c r="A1391" s="9" t="s">
        <v>2781</v>
      </c>
      <c r="B1391" s="9">
        <v>22.66</v>
      </c>
      <c r="C1391" s="9">
        <v>10.68</v>
      </c>
      <c r="D1391" s="9" t="s">
        <v>4684</v>
      </c>
      <c r="E1391" s="9" t="s">
        <v>4684</v>
      </c>
      <c r="F1391" s="9" t="s">
        <v>4684</v>
      </c>
      <c r="G1391" s="9" t="s">
        <v>4685</v>
      </c>
      <c r="H1391" s="9" t="s">
        <v>4684</v>
      </c>
      <c r="I1391" s="9" t="str">
        <f t="shared" si="1"/>
        <v>No</v>
      </c>
      <c r="J1391" s="9">
        <f t="shared" si="2"/>
        <v>0</v>
      </c>
      <c r="K1391" s="9" t="str">
        <f t="shared" si="3"/>
        <v>NORMAL WEIGHT</v>
      </c>
    </row>
    <row r="1392" ht="15.75" customHeight="1">
      <c r="A1392" s="9" t="s">
        <v>2783</v>
      </c>
      <c r="B1392" s="9">
        <v>38.81</v>
      </c>
      <c r="C1392" s="9">
        <v>6.14</v>
      </c>
      <c r="D1392" s="9" t="s">
        <v>4686</v>
      </c>
      <c r="E1392" s="9" t="s">
        <v>4684</v>
      </c>
      <c r="F1392" s="9" t="s">
        <v>4684</v>
      </c>
      <c r="G1392" s="9">
        <v>1.0</v>
      </c>
      <c r="H1392" s="9" t="s">
        <v>4684</v>
      </c>
      <c r="I1392" s="9" t="str">
        <f t="shared" si="1"/>
        <v>No</v>
      </c>
      <c r="J1392" s="9">
        <f t="shared" si="2"/>
        <v>1</v>
      </c>
      <c r="K1392" s="9" t="str">
        <f t="shared" si="3"/>
        <v>OBESITY</v>
      </c>
    </row>
    <row r="1393" ht="15.75" customHeight="1">
      <c r="A1393" s="9" t="s">
        <v>2785</v>
      </c>
      <c r="B1393" s="9">
        <v>38.51</v>
      </c>
      <c r="C1393" s="9">
        <v>5.45</v>
      </c>
      <c r="D1393" s="9" t="s">
        <v>4686</v>
      </c>
      <c r="E1393" s="9" t="s">
        <v>4684</v>
      </c>
      <c r="F1393" s="9" t="s">
        <v>4684</v>
      </c>
      <c r="G1393" s="9" t="s">
        <v>4685</v>
      </c>
      <c r="H1393" s="9" t="s">
        <v>4684</v>
      </c>
      <c r="I1393" s="9" t="str">
        <f t="shared" si="1"/>
        <v>No</v>
      </c>
      <c r="J1393" s="9">
        <f t="shared" si="2"/>
        <v>0</v>
      </c>
      <c r="K1393" s="9" t="str">
        <f t="shared" si="3"/>
        <v>OBESITY</v>
      </c>
    </row>
    <row r="1394" ht="15.75" customHeight="1">
      <c r="A1394" s="9" t="s">
        <v>2787</v>
      </c>
      <c r="B1394" s="9">
        <v>22.98</v>
      </c>
      <c r="C1394" s="9">
        <v>6.14</v>
      </c>
      <c r="D1394" s="9" t="s">
        <v>4686</v>
      </c>
      <c r="E1394" s="9" t="s">
        <v>4684</v>
      </c>
      <c r="F1394" s="9" t="s">
        <v>4684</v>
      </c>
      <c r="G1394" s="9" t="s">
        <v>4685</v>
      </c>
      <c r="H1394" s="9" t="s">
        <v>4684</v>
      </c>
      <c r="I1394" s="9" t="str">
        <f t="shared" si="1"/>
        <v>No</v>
      </c>
      <c r="J1394" s="9">
        <f t="shared" si="2"/>
        <v>0</v>
      </c>
      <c r="K1394" s="9" t="str">
        <f t="shared" si="3"/>
        <v>NORMAL WEIGHT</v>
      </c>
    </row>
    <row r="1395" ht="15.75" customHeight="1">
      <c r="A1395" s="9" t="s">
        <v>2789</v>
      </c>
      <c r="B1395" s="9">
        <v>15.65</v>
      </c>
      <c r="C1395" s="9">
        <v>7.85</v>
      </c>
      <c r="D1395" s="9" t="s">
        <v>4684</v>
      </c>
      <c r="E1395" s="9" t="s">
        <v>4684</v>
      </c>
      <c r="F1395" s="9" t="s">
        <v>4684</v>
      </c>
      <c r="G1395" s="9" t="s">
        <v>4685</v>
      </c>
      <c r="H1395" s="9" t="s">
        <v>4684</v>
      </c>
      <c r="I1395" s="9" t="str">
        <f t="shared" si="1"/>
        <v>No</v>
      </c>
      <c r="J1395" s="9">
        <f t="shared" si="2"/>
        <v>0</v>
      </c>
      <c r="K1395" s="9" t="str">
        <f t="shared" si="3"/>
        <v>UNDERWEIGHT</v>
      </c>
    </row>
    <row r="1396" ht="15.75" customHeight="1">
      <c r="A1396" s="9" t="s">
        <v>2791</v>
      </c>
      <c r="B1396" s="9">
        <v>39.97</v>
      </c>
      <c r="C1396" s="9">
        <v>4.09</v>
      </c>
      <c r="D1396" s="9" t="s">
        <v>4684</v>
      </c>
      <c r="E1396" s="9" t="s">
        <v>4684</v>
      </c>
      <c r="F1396" s="9" t="s">
        <v>4684</v>
      </c>
      <c r="G1396" s="9">
        <v>1.0</v>
      </c>
      <c r="H1396" s="9" t="s">
        <v>4684</v>
      </c>
      <c r="I1396" s="9" t="str">
        <f t="shared" si="1"/>
        <v>No</v>
      </c>
      <c r="J1396" s="9">
        <f t="shared" si="2"/>
        <v>1</v>
      </c>
      <c r="K1396" s="9" t="str">
        <f t="shared" si="3"/>
        <v>OBESITY</v>
      </c>
    </row>
    <row r="1397" ht="15.75" customHeight="1">
      <c r="A1397" s="9" t="s">
        <v>2793</v>
      </c>
      <c r="B1397" s="9">
        <v>37.22</v>
      </c>
      <c r="C1397" s="9">
        <v>4.62</v>
      </c>
      <c r="D1397" s="9" t="s">
        <v>4684</v>
      </c>
      <c r="E1397" s="9" t="s">
        <v>4684</v>
      </c>
      <c r="F1397" s="9" t="s">
        <v>4686</v>
      </c>
      <c r="G1397" s="9">
        <v>1.0</v>
      </c>
      <c r="H1397" s="9" t="s">
        <v>4684</v>
      </c>
      <c r="I1397" s="9" t="str">
        <f t="shared" si="1"/>
        <v>No</v>
      </c>
      <c r="J1397" s="9">
        <f t="shared" si="2"/>
        <v>1</v>
      </c>
      <c r="K1397" s="9" t="str">
        <f t="shared" si="3"/>
        <v>OBESITY</v>
      </c>
    </row>
    <row r="1398" ht="15.75" customHeight="1">
      <c r="A1398" s="9" t="s">
        <v>2795</v>
      </c>
      <c r="B1398" s="9">
        <v>41.325</v>
      </c>
      <c r="C1398" s="9">
        <v>5.77</v>
      </c>
      <c r="D1398" s="9" t="s">
        <v>4684</v>
      </c>
      <c r="E1398" s="9" t="s">
        <v>4684</v>
      </c>
      <c r="F1398" s="9" t="s">
        <v>4684</v>
      </c>
      <c r="G1398" s="9" t="s">
        <v>4685</v>
      </c>
      <c r="H1398" s="9" t="s">
        <v>4684</v>
      </c>
      <c r="I1398" s="9" t="str">
        <f t="shared" si="1"/>
        <v>No</v>
      </c>
      <c r="J1398" s="9">
        <f t="shared" si="2"/>
        <v>0</v>
      </c>
      <c r="K1398" s="9" t="str">
        <f t="shared" si="3"/>
        <v>OBESITY</v>
      </c>
    </row>
    <row r="1399" ht="15.75" customHeight="1">
      <c r="A1399" s="9" t="s">
        <v>2797</v>
      </c>
      <c r="B1399" s="9">
        <v>40.31</v>
      </c>
      <c r="C1399" s="9">
        <v>5.84</v>
      </c>
      <c r="D1399" s="9" t="s">
        <v>4684</v>
      </c>
      <c r="E1399" s="9" t="s">
        <v>4684</v>
      </c>
      <c r="F1399" s="9" t="s">
        <v>4684</v>
      </c>
      <c r="G1399" s="9" t="s">
        <v>4685</v>
      </c>
      <c r="H1399" s="9" t="s">
        <v>4684</v>
      </c>
      <c r="I1399" s="9" t="str">
        <f t="shared" si="1"/>
        <v>No</v>
      </c>
      <c r="J1399" s="9">
        <f t="shared" si="2"/>
        <v>0</v>
      </c>
      <c r="K1399" s="9" t="str">
        <f t="shared" si="3"/>
        <v>OBESITY</v>
      </c>
    </row>
    <row r="1400" ht="15.75" customHeight="1">
      <c r="A1400" s="9" t="s">
        <v>2799</v>
      </c>
      <c r="B1400" s="9">
        <v>29.48</v>
      </c>
      <c r="C1400" s="9">
        <v>4.91</v>
      </c>
      <c r="D1400" s="9" t="s">
        <v>4684</v>
      </c>
      <c r="E1400" s="9" t="s">
        <v>4684</v>
      </c>
      <c r="F1400" s="9" t="s">
        <v>4684</v>
      </c>
      <c r="G1400" s="9" t="s">
        <v>4685</v>
      </c>
      <c r="H1400" s="9" t="s">
        <v>4684</v>
      </c>
      <c r="I1400" s="9" t="str">
        <f t="shared" si="1"/>
        <v>No</v>
      </c>
      <c r="J1400" s="9">
        <f t="shared" si="2"/>
        <v>0</v>
      </c>
      <c r="K1400" s="9" t="str">
        <f t="shared" si="3"/>
        <v>OVERWEIGHT</v>
      </c>
    </row>
    <row r="1401" ht="15.75" customHeight="1">
      <c r="A1401" s="9" t="s">
        <v>2801</v>
      </c>
      <c r="B1401" s="9">
        <v>33.155</v>
      </c>
      <c r="C1401" s="9">
        <v>5.07</v>
      </c>
      <c r="D1401" s="9" t="s">
        <v>4684</v>
      </c>
      <c r="E1401" s="9" t="s">
        <v>4684</v>
      </c>
      <c r="F1401" s="9" t="s">
        <v>4684</v>
      </c>
      <c r="G1401" s="9" t="s">
        <v>4685</v>
      </c>
      <c r="H1401" s="9" t="s">
        <v>4684</v>
      </c>
      <c r="I1401" s="9" t="str">
        <f t="shared" si="1"/>
        <v>No</v>
      </c>
      <c r="J1401" s="9">
        <f t="shared" si="2"/>
        <v>0</v>
      </c>
      <c r="K1401" s="9" t="str">
        <f t="shared" si="3"/>
        <v>OBESITY</v>
      </c>
    </row>
    <row r="1402" ht="15.75" customHeight="1">
      <c r="A1402" s="9" t="s">
        <v>2803</v>
      </c>
      <c r="B1402" s="9">
        <v>42.85</v>
      </c>
      <c r="C1402" s="9">
        <v>5.81</v>
      </c>
      <c r="D1402" s="9" t="s">
        <v>4686</v>
      </c>
      <c r="E1402" s="9" t="s">
        <v>4684</v>
      </c>
      <c r="F1402" s="9" t="s">
        <v>4684</v>
      </c>
      <c r="G1402" s="9" t="s">
        <v>4685</v>
      </c>
      <c r="H1402" s="9" t="s">
        <v>4684</v>
      </c>
      <c r="I1402" s="9" t="str">
        <f t="shared" si="1"/>
        <v>No</v>
      </c>
      <c r="J1402" s="9">
        <f t="shared" si="2"/>
        <v>0</v>
      </c>
      <c r="K1402" s="9" t="str">
        <f t="shared" si="3"/>
        <v>OBESITY</v>
      </c>
    </row>
    <row r="1403" ht="15.75" customHeight="1">
      <c r="A1403" s="9" t="s">
        <v>2805</v>
      </c>
      <c r="B1403" s="9">
        <v>32.34</v>
      </c>
      <c r="C1403" s="9">
        <v>11.2</v>
      </c>
      <c r="D1403" s="9" t="s">
        <v>4684</v>
      </c>
      <c r="E1403" s="9" t="s">
        <v>4684</v>
      </c>
      <c r="F1403" s="9" t="s">
        <v>4684</v>
      </c>
      <c r="G1403" s="9" t="s">
        <v>4685</v>
      </c>
      <c r="H1403" s="9" t="s">
        <v>4684</v>
      </c>
      <c r="I1403" s="9" t="str">
        <f t="shared" si="1"/>
        <v>No</v>
      </c>
      <c r="J1403" s="9">
        <f t="shared" si="2"/>
        <v>0</v>
      </c>
      <c r="K1403" s="9" t="str">
        <f t="shared" si="3"/>
        <v>OBESITY</v>
      </c>
    </row>
    <row r="1404" ht="15.75" customHeight="1">
      <c r="A1404" s="9" t="s">
        <v>2807</v>
      </c>
      <c r="B1404" s="9">
        <v>27.5</v>
      </c>
      <c r="C1404" s="9">
        <v>10.75</v>
      </c>
      <c r="D1404" s="9" t="s">
        <v>4684</v>
      </c>
      <c r="E1404" s="9" t="s">
        <v>4684</v>
      </c>
      <c r="F1404" s="9" t="s">
        <v>4684</v>
      </c>
      <c r="G1404" s="9" t="s">
        <v>4685</v>
      </c>
      <c r="H1404" s="9" t="s">
        <v>4684</v>
      </c>
      <c r="I1404" s="9" t="str">
        <f t="shared" si="1"/>
        <v>No</v>
      </c>
      <c r="J1404" s="9">
        <f t="shared" si="2"/>
        <v>0</v>
      </c>
      <c r="K1404" s="9" t="str">
        <f t="shared" si="3"/>
        <v>OVERWEIGHT</v>
      </c>
    </row>
    <row r="1405" ht="15.75" customHeight="1">
      <c r="A1405" s="9" t="s">
        <v>2809</v>
      </c>
      <c r="B1405" s="9">
        <v>25.8</v>
      </c>
      <c r="C1405" s="9">
        <v>7.8</v>
      </c>
      <c r="D1405" s="9" t="s">
        <v>4684</v>
      </c>
      <c r="E1405" s="9" t="s">
        <v>4684</v>
      </c>
      <c r="F1405" s="9" t="s">
        <v>4684</v>
      </c>
      <c r="G1405" s="9" t="s">
        <v>4685</v>
      </c>
      <c r="H1405" s="9" t="s">
        <v>4684</v>
      </c>
      <c r="I1405" s="9" t="str">
        <f t="shared" si="1"/>
        <v>No</v>
      </c>
      <c r="J1405" s="9">
        <f t="shared" si="2"/>
        <v>0</v>
      </c>
      <c r="K1405" s="9" t="str">
        <f t="shared" si="3"/>
        <v>OVERWEIGHT</v>
      </c>
    </row>
    <row r="1406" ht="15.75" customHeight="1">
      <c r="A1406" s="9" t="s">
        <v>2811</v>
      </c>
      <c r="B1406" s="9">
        <v>25.0</v>
      </c>
      <c r="C1406" s="9">
        <v>7.04</v>
      </c>
      <c r="D1406" s="9" t="s">
        <v>4684</v>
      </c>
      <c r="E1406" s="9" t="s">
        <v>4684</v>
      </c>
      <c r="F1406" s="9" t="s">
        <v>4684</v>
      </c>
      <c r="G1406" s="9" t="s">
        <v>4685</v>
      </c>
      <c r="H1406" s="9" t="s">
        <v>4684</v>
      </c>
      <c r="I1406" s="9" t="str">
        <f t="shared" si="1"/>
        <v>No</v>
      </c>
      <c r="J1406" s="9">
        <f t="shared" si="2"/>
        <v>0</v>
      </c>
      <c r="K1406" s="9" t="str">
        <f t="shared" si="3"/>
        <v>OVERWEIGHT</v>
      </c>
    </row>
    <row r="1407" ht="15.75" customHeight="1">
      <c r="A1407" s="9" t="s">
        <v>2813</v>
      </c>
      <c r="B1407" s="9">
        <v>41.2</v>
      </c>
      <c r="C1407" s="9">
        <v>4.18</v>
      </c>
      <c r="D1407" s="9" t="s">
        <v>4686</v>
      </c>
      <c r="E1407" s="9" t="s">
        <v>4684</v>
      </c>
      <c r="F1407" s="9" t="s">
        <v>4684</v>
      </c>
      <c r="G1407" s="9" t="s">
        <v>4685</v>
      </c>
      <c r="H1407" s="9" t="s">
        <v>4684</v>
      </c>
      <c r="I1407" s="9" t="str">
        <f t="shared" si="1"/>
        <v>No</v>
      </c>
      <c r="J1407" s="9">
        <f t="shared" si="2"/>
        <v>0</v>
      </c>
      <c r="K1407" s="9" t="str">
        <f t="shared" si="3"/>
        <v>OBESITY</v>
      </c>
    </row>
    <row r="1408" ht="15.75" customHeight="1">
      <c r="A1408" s="9" t="s">
        <v>2815</v>
      </c>
      <c r="B1408" s="9">
        <v>17.78</v>
      </c>
      <c r="C1408" s="9">
        <v>8.19</v>
      </c>
      <c r="D1408" s="9" t="s">
        <v>4684</v>
      </c>
      <c r="E1408" s="9" t="s">
        <v>4684</v>
      </c>
      <c r="F1408" s="9" t="s">
        <v>4684</v>
      </c>
      <c r="G1408" s="9" t="s">
        <v>4685</v>
      </c>
      <c r="H1408" s="9" t="s">
        <v>4684</v>
      </c>
      <c r="I1408" s="9" t="str">
        <f t="shared" si="1"/>
        <v>No</v>
      </c>
      <c r="J1408" s="9">
        <f t="shared" si="2"/>
        <v>0</v>
      </c>
      <c r="K1408" s="9" t="str">
        <f t="shared" si="3"/>
        <v>UNDERWEIGHT</v>
      </c>
    </row>
    <row r="1409" ht="15.75" customHeight="1">
      <c r="A1409" s="9" t="s">
        <v>2817</v>
      </c>
      <c r="B1409" s="9">
        <v>40.12</v>
      </c>
      <c r="C1409" s="9">
        <v>6.22</v>
      </c>
      <c r="D1409" s="9" t="s">
        <v>4686</v>
      </c>
      <c r="E1409" s="9" t="s">
        <v>4684</v>
      </c>
      <c r="F1409" s="9" t="s">
        <v>4686</v>
      </c>
      <c r="G1409" s="9">
        <v>1.0</v>
      </c>
      <c r="H1409" s="9" t="s">
        <v>4684</v>
      </c>
      <c r="I1409" s="9" t="str">
        <f t="shared" si="1"/>
        <v>No</v>
      </c>
      <c r="J1409" s="9">
        <f t="shared" si="2"/>
        <v>1</v>
      </c>
      <c r="K1409" s="9" t="str">
        <f t="shared" si="3"/>
        <v>OBESITY</v>
      </c>
    </row>
    <row r="1410" ht="15.75" customHeight="1">
      <c r="A1410" s="9" t="s">
        <v>2819</v>
      </c>
      <c r="B1410" s="9">
        <v>19.35</v>
      </c>
      <c r="C1410" s="9">
        <v>8.22</v>
      </c>
      <c r="D1410" s="9" t="s">
        <v>4686</v>
      </c>
      <c r="E1410" s="9" t="s">
        <v>4684</v>
      </c>
      <c r="F1410" s="9" t="s">
        <v>4684</v>
      </c>
      <c r="G1410" s="9" t="s">
        <v>4685</v>
      </c>
      <c r="H1410" s="9" t="s">
        <v>4684</v>
      </c>
      <c r="I1410" s="9" t="str">
        <f t="shared" si="1"/>
        <v>No</v>
      </c>
      <c r="J1410" s="9">
        <f t="shared" si="2"/>
        <v>0</v>
      </c>
      <c r="K1410" s="9" t="str">
        <f t="shared" si="3"/>
        <v>NORMAL WEIGHT</v>
      </c>
    </row>
    <row r="1411" ht="15.75" customHeight="1">
      <c r="A1411" s="9" t="s">
        <v>2821</v>
      </c>
      <c r="B1411" s="9">
        <v>36.69</v>
      </c>
      <c r="C1411" s="9">
        <v>6.15</v>
      </c>
      <c r="D1411" s="9" t="s">
        <v>4684</v>
      </c>
      <c r="E1411" s="9" t="s">
        <v>4684</v>
      </c>
      <c r="F1411" s="9" t="s">
        <v>4684</v>
      </c>
      <c r="G1411" s="9" t="s">
        <v>4685</v>
      </c>
      <c r="H1411" s="9" t="s">
        <v>4684</v>
      </c>
      <c r="I1411" s="9" t="str">
        <f t="shared" si="1"/>
        <v>No</v>
      </c>
      <c r="J1411" s="9">
        <f t="shared" si="2"/>
        <v>0</v>
      </c>
      <c r="K1411" s="9" t="str">
        <f t="shared" si="3"/>
        <v>OBESITY</v>
      </c>
    </row>
    <row r="1412" ht="15.75" customHeight="1">
      <c r="A1412" s="9" t="s">
        <v>2823</v>
      </c>
      <c r="B1412" s="9">
        <v>28.51</v>
      </c>
      <c r="C1412" s="9">
        <v>5.65</v>
      </c>
      <c r="D1412" s="9" t="s">
        <v>4686</v>
      </c>
      <c r="E1412" s="9" t="s">
        <v>4684</v>
      </c>
      <c r="F1412" s="9" t="s">
        <v>4684</v>
      </c>
      <c r="G1412" s="9">
        <v>1.0</v>
      </c>
      <c r="H1412" s="9" t="s">
        <v>4684</v>
      </c>
      <c r="I1412" s="9" t="str">
        <f t="shared" si="1"/>
        <v>No</v>
      </c>
      <c r="J1412" s="9">
        <f t="shared" si="2"/>
        <v>1</v>
      </c>
      <c r="K1412" s="9" t="str">
        <f t="shared" si="3"/>
        <v>OVERWEIGHT</v>
      </c>
    </row>
    <row r="1413" ht="15.75" customHeight="1">
      <c r="A1413" s="9" t="s">
        <v>2825</v>
      </c>
      <c r="B1413" s="9">
        <v>30.21</v>
      </c>
      <c r="C1413" s="9">
        <v>5.5</v>
      </c>
      <c r="D1413" s="9" t="s">
        <v>4684</v>
      </c>
      <c r="E1413" s="9" t="s">
        <v>4684</v>
      </c>
      <c r="F1413" s="9" t="s">
        <v>4684</v>
      </c>
      <c r="G1413" s="9">
        <v>1.0</v>
      </c>
      <c r="H1413" s="9" t="s">
        <v>4684</v>
      </c>
      <c r="I1413" s="9" t="str">
        <f t="shared" si="1"/>
        <v>No</v>
      </c>
      <c r="J1413" s="9">
        <f t="shared" si="2"/>
        <v>1</v>
      </c>
      <c r="K1413" s="9" t="str">
        <f t="shared" si="3"/>
        <v>OBESITY</v>
      </c>
    </row>
    <row r="1414" ht="15.75" customHeight="1">
      <c r="A1414" s="9" t="s">
        <v>2827</v>
      </c>
      <c r="B1414" s="9">
        <v>24.33</v>
      </c>
      <c r="C1414" s="9">
        <v>8.0</v>
      </c>
      <c r="D1414" s="9" t="s">
        <v>4684</v>
      </c>
      <c r="E1414" s="9" t="s">
        <v>4684</v>
      </c>
      <c r="F1414" s="9" t="s">
        <v>4684</v>
      </c>
      <c r="G1414" s="9" t="s">
        <v>4685</v>
      </c>
      <c r="H1414" s="9" t="s">
        <v>4684</v>
      </c>
      <c r="I1414" s="9" t="str">
        <f t="shared" si="1"/>
        <v>No</v>
      </c>
      <c r="J1414" s="9">
        <f t="shared" si="2"/>
        <v>0</v>
      </c>
      <c r="K1414" s="9" t="str">
        <f t="shared" si="3"/>
        <v>NORMAL WEIGHT</v>
      </c>
    </row>
    <row r="1415" ht="15.75" customHeight="1">
      <c r="A1415" s="9" t="s">
        <v>2829</v>
      </c>
      <c r="B1415" s="9">
        <v>19.855</v>
      </c>
      <c r="C1415" s="9">
        <v>5.71</v>
      </c>
      <c r="D1415" s="9" t="s">
        <v>4686</v>
      </c>
      <c r="E1415" s="9" t="s">
        <v>4684</v>
      </c>
      <c r="F1415" s="9" t="s">
        <v>4684</v>
      </c>
      <c r="G1415" s="9" t="s">
        <v>4685</v>
      </c>
      <c r="H1415" s="9" t="s">
        <v>4684</v>
      </c>
      <c r="I1415" s="9" t="str">
        <f t="shared" si="1"/>
        <v>No</v>
      </c>
      <c r="J1415" s="9">
        <f t="shared" si="2"/>
        <v>0</v>
      </c>
      <c r="K1415" s="9" t="str">
        <f t="shared" si="3"/>
        <v>NORMAL WEIGHT</v>
      </c>
    </row>
    <row r="1416" ht="15.75" customHeight="1">
      <c r="A1416" s="9" t="s">
        <v>2831</v>
      </c>
      <c r="B1416" s="9">
        <v>25.365</v>
      </c>
      <c r="C1416" s="9">
        <v>11.71</v>
      </c>
      <c r="D1416" s="9" t="s">
        <v>4684</v>
      </c>
      <c r="E1416" s="9" t="s">
        <v>4684</v>
      </c>
      <c r="F1416" s="9" t="s">
        <v>4684</v>
      </c>
      <c r="G1416" s="9" t="s">
        <v>4685</v>
      </c>
      <c r="H1416" s="9" t="s">
        <v>4684</v>
      </c>
      <c r="I1416" s="9" t="str">
        <f t="shared" si="1"/>
        <v>No</v>
      </c>
      <c r="J1416" s="9">
        <f t="shared" si="2"/>
        <v>0</v>
      </c>
      <c r="K1416" s="9" t="str">
        <f t="shared" si="3"/>
        <v>OVERWEIGHT</v>
      </c>
    </row>
    <row r="1417" ht="15.75" customHeight="1">
      <c r="A1417" s="9" t="s">
        <v>2833</v>
      </c>
      <c r="B1417" s="9">
        <v>29.6</v>
      </c>
      <c r="C1417" s="9">
        <v>6.17</v>
      </c>
      <c r="D1417" s="9" t="s">
        <v>4686</v>
      </c>
      <c r="E1417" s="9" t="s">
        <v>4684</v>
      </c>
      <c r="F1417" s="9" t="s">
        <v>4686</v>
      </c>
      <c r="G1417" s="9">
        <v>1.0</v>
      </c>
      <c r="H1417" s="9" t="s">
        <v>4684</v>
      </c>
      <c r="I1417" s="9" t="str">
        <f t="shared" si="1"/>
        <v>No</v>
      </c>
      <c r="J1417" s="9">
        <f t="shared" si="2"/>
        <v>1</v>
      </c>
      <c r="K1417" s="9" t="str">
        <f t="shared" si="3"/>
        <v>OVERWEIGHT</v>
      </c>
    </row>
    <row r="1418" ht="15.75" customHeight="1">
      <c r="A1418" s="9" t="s">
        <v>2835</v>
      </c>
      <c r="B1418" s="9">
        <v>39.43</v>
      </c>
      <c r="C1418" s="9">
        <v>6.1</v>
      </c>
      <c r="D1418" s="9" t="s">
        <v>4686</v>
      </c>
      <c r="E1418" s="9" t="s">
        <v>4684</v>
      </c>
      <c r="F1418" s="9" t="s">
        <v>4686</v>
      </c>
      <c r="G1418" s="9">
        <v>1.0</v>
      </c>
      <c r="H1418" s="9" t="s">
        <v>4684</v>
      </c>
      <c r="I1418" s="9" t="str">
        <f t="shared" si="1"/>
        <v>No</v>
      </c>
      <c r="J1418" s="9">
        <f t="shared" si="2"/>
        <v>1</v>
      </c>
      <c r="K1418" s="9" t="str">
        <f t="shared" si="3"/>
        <v>OBESITY</v>
      </c>
    </row>
    <row r="1419" ht="15.75" customHeight="1">
      <c r="A1419" s="9" t="s">
        <v>2837</v>
      </c>
      <c r="B1419" s="9">
        <v>27.34</v>
      </c>
      <c r="C1419" s="9">
        <v>5.19</v>
      </c>
      <c r="D1419" s="9" t="s">
        <v>4686</v>
      </c>
      <c r="E1419" s="9" t="s">
        <v>4684</v>
      </c>
      <c r="F1419" s="9" t="s">
        <v>4684</v>
      </c>
      <c r="G1419" s="9">
        <v>1.0</v>
      </c>
      <c r="H1419" s="9" t="s">
        <v>4684</v>
      </c>
      <c r="I1419" s="9" t="str">
        <f t="shared" si="1"/>
        <v>No</v>
      </c>
      <c r="J1419" s="9">
        <f t="shared" si="2"/>
        <v>1</v>
      </c>
      <c r="K1419" s="9" t="str">
        <f t="shared" si="3"/>
        <v>OVERWEIGHT</v>
      </c>
    </row>
    <row r="1420" ht="15.75" customHeight="1">
      <c r="A1420" s="9" t="s">
        <v>2839</v>
      </c>
      <c r="B1420" s="9">
        <v>39.01</v>
      </c>
      <c r="C1420" s="9">
        <v>5.37</v>
      </c>
      <c r="D1420" s="9" t="s">
        <v>4686</v>
      </c>
      <c r="E1420" s="9" t="s">
        <v>4684</v>
      </c>
      <c r="F1420" s="9" t="s">
        <v>4684</v>
      </c>
      <c r="G1420" s="9" t="s">
        <v>4685</v>
      </c>
      <c r="H1420" s="9" t="s">
        <v>4684</v>
      </c>
      <c r="I1420" s="9" t="str">
        <f t="shared" si="1"/>
        <v>No</v>
      </c>
      <c r="J1420" s="9">
        <f t="shared" si="2"/>
        <v>0</v>
      </c>
      <c r="K1420" s="9" t="str">
        <f t="shared" si="3"/>
        <v>OBESITY</v>
      </c>
    </row>
    <row r="1421" ht="15.75" customHeight="1">
      <c r="A1421" s="9" t="s">
        <v>2841</v>
      </c>
      <c r="B1421" s="9">
        <v>18.99</v>
      </c>
      <c r="C1421" s="9">
        <v>10.82</v>
      </c>
      <c r="D1421" s="9" t="s">
        <v>4686</v>
      </c>
      <c r="E1421" s="9" t="s">
        <v>4684</v>
      </c>
      <c r="F1421" s="9" t="s">
        <v>4684</v>
      </c>
      <c r="G1421" s="9" t="s">
        <v>4685</v>
      </c>
      <c r="H1421" s="9" t="s">
        <v>4684</v>
      </c>
      <c r="I1421" s="9" t="str">
        <f t="shared" si="1"/>
        <v>No</v>
      </c>
      <c r="J1421" s="9">
        <f t="shared" si="2"/>
        <v>0</v>
      </c>
      <c r="K1421" s="9" t="str">
        <f t="shared" si="3"/>
        <v>NORMAL WEIGHT</v>
      </c>
    </row>
    <row r="1422" ht="15.75" customHeight="1">
      <c r="A1422" s="9" t="s">
        <v>2843</v>
      </c>
      <c r="B1422" s="9">
        <v>42.3</v>
      </c>
      <c r="C1422" s="9">
        <v>6.06</v>
      </c>
      <c r="D1422" s="9" t="s">
        <v>4686</v>
      </c>
      <c r="E1422" s="9" t="s">
        <v>4684</v>
      </c>
      <c r="F1422" s="9" t="s">
        <v>4684</v>
      </c>
      <c r="G1422" s="9" t="s">
        <v>4685</v>
      </c>
      <c r="H1422" s="9" t="s">
        <v>4684</v>
      </c>
      <c r="I1422" s="9" t="str">
        <f t="shared" si="1"/>
        <v>No</v>
      </c>
      <c r="J1422" s="9">
        <f t="shared" si="2"/>
        <v>0</v>
      </c>
      <c r="K1422" s="9" t="str">
        <f t="shared" si="3"/>
        <v>OBESITY</v>
      </c>
    </row>
    <row r="1423" ht="15.75" customHeight="1">
      <c r="A1423" s="9" t="s">
        <v>2845</v>
      </c>
      <c r="B1423" s="9">
        <v>39.805</v>
      </c>
      <c r="C1423" s="9">
        <v>5.91</v>
      </c>
      <c r="D1423" s="9" t="s">
        <v>4684</v>
      </c>
      <c r="E1423" s="9" t="s">
        <v>4684</v>
      </c>
      <c r="F1423" s="9" t="s">
        <v>4684</v>
      </c>
      <c r="G1423" s="9" t="s">
        <v>4685</v>
      </c>
      <c r="H1423" s="9" t="s">
        <v>4684</v>
      </c>
      <c r="I1423" s="9" t="str">
        <f t="shared" si="1"/>
        <v>No</v>
      </c>
      <c r="J1423" s="9">
        <f t="shared" si="2"/>
        <v>0</v>
      </c>
      <c r="K1423" s="9" t="str">
        <f t="shared" si="3"/>
        <v>OBESITY</v>
      </c>
    </row>
    <row r="1424" ht="15.75" customHeight="1">
      <c r="A1424" s="9" t="s">
        <v>2847</v>
      </c>
      <c r="B1424" s="9">
        <v>33.7</v>
      </c>
      <c r="C1424" s="9">
        <v>5.87</v>
      </c>
      <c r="D1424" s="9" t="s">
        <v>4684</v>
      </c>
      <c r="E1424" s="9" t="s">
        <v>4684</v>
      </c>
      <c r="F1424" s="9" t="s">
        <v>4684</v>
      </c>
      <c r="G1424" s="9" t="s">
        <v>4685</v>
      </c>
      <c r="H1424" s="9" t="s">
        <v>4684</v>
      </c>
      <c r="I1424" s="9" t="str">
        <f t="shared" si="1"/>
        <v>No</v>
      </c>
      <c r="J1424" s="9">
        <f t="shared" si="2"/>
        <v>0</v>
      </c>
      <c r="K1424" s="9" t="str">
        <f t="shared" si="3"/>
        <v>OBESITY</v>
      </c>
    </row>
    <row r="1425" ht="15.75" customHeight="1">
      <c r="A1425" s="9" t="s">
        <v>2849</v>
      </c>
      <c r="B1425" s="9">
        <v>36.195</v>
      </c>
      <c r="C1425" s="9">
        <v>6.22</v>
      </c>
      <c r="D1425" s="9" t="s">
        <v>4684</v>
      </c>
      <c r="E1425" s="9" t="s">
        <v>4684</v>
      </c>
      <c r="F1425" s="9" t="s">
        <v>4684</v>
      </c>
      <c r="G1425" s="9" t="s">
        <v>4685</v>
      </c>
      <c r="H1425" s="9" t="s">
        <v>4684</v>
      </c>
      <c r="I1425" s="9" t="str">
        <f t="shared" si="1"/>
        <v>No</v>
      </c>
      <c r="J1425" s="9">
        <f t="shared" si="2"/>
        <v>0</v>
      </c>
      <c r="K1425" s="9" t="str">
        <f t="shared" si="3"/>
        <v>OBESITY</v>
      </c>
    </row>
    <row r="1426" ht="15.75" customHeight="1">
      <c r="A1426" s="9" t="s">
        <v>2851</v>
      </c>
      <c r="B1426" s="9">
        <v>32.6</v>
      </c>
      <c r="C1426" s="9">
        <v>5.73</v>
      </c>
      <c r="D1426" s="9" t="s">
        <v>4684</v>
      </c>
      <c r="E1426" s="9" t="s">
        <v>4684</v>
      </c>
      <c r="F1426" s="9" t="s">
        <v>4686</v>
      </c>
      <c r="G1426" s="9">
        <v>1.0</v>
      </c>
      <c r="H1426" s="9" t="s">
        <v>4684</v>
      </c>
      <c r="I1426" s="9" t="str">
        <f t="shared" si="1"/>
        <v>No</v>
      </c>
      <c r="J1426" s="9">
        <f t="shared" si="2"/>
        <v>1</v>
      </c>
      <c r="K1426" s="9" t="str">
        <f t="shared" si="3"/>
        <v>OBESITY</v>
      </c>
    </row>
    <row r="1427" ht="15.75" customHeight="1">
      <c r="A1427" s="9" t="s">
        <v>2853</v>
      </c>
      <c r="B1427" s="9">
        <v>30.2</v>
      </c>
      <c r="C1427" s="9">
        <v>5.7</v>
      </c>
      <c r="D1427" s="9" t="s">
        <v>4684</v>
      </c>
      <c r="E1427" s="9" t="s">
        <v>4684</v>
      </c>
      <c r="F1427" s="9" t="s">
        <v>4684</v>
      </c>
      <c r="G1427" s="9" t="s">
        <v>4685</v>
      </c>
      <c r="H1427" s="9" t="s">
        <v>4684</v>
      </c>
      <c r="I1427" s="9" t="str">
        <f t="shared" si="1"/>
        <v>No</v>
      </c>
      <c r="J1427" s="9">
        <f t="shared" si="2"/>
        <v>0</v>
      </c>
      <c r="K1427" s="9" t="str">
        <f t="shared" si="3"/>
        <v>OBESITY</v>
      </c>
    </row>
    <row r="1428" ht="15.75" customHeight="1">
      <c r="A1428" s="9" t="s">
        <v>2855</v>
      </c>
      <c r="B1428" s="9">
        <v>27.645</v>
      </c>
      <c r="C1428" s="9">
        <v>9.91</v>
      </c>
      <c r="D1428" s="9" t="s">
        <v>4684</v>
      </c>
      <c r="E1428" s="9" t="s">
        <v>4684</v>
      </c>
      <c r="F1428" s="9" t="s">
        <v>4684</v>
      </c>
      <c r="G1428" s="9" t="s">
        <v>4685</v>
      </c>
      <c r="H1428" s="9" t="s">
        <v>4684</v>
      </c>
      <c r="I1428" s="9" t="str">
        <f t="shared" si="1"/>
        <v>No</v>
      </c>
      <c r="J1428" s="9">
        <f t="shared" si="2"/>
        <v>0</v>
      </c>
      <c r="K1428" s="9" t="str">
        <f t="shared" si="3"/>
        <v>OVERWEIGHT</v>
      </c>
    </row>
    <row r="1429" ht="15.75" customHeight="1">
      <c r="A1429" s="9" t="s">
        <v>2857</v>
      </c>
      <c r="B1429" s="9">
        <v>26.41</v>
      </c>
      <c r="C1429" s="9">
        <v>11.4</v>
      </c>
      <c r="D1429" s="9" t="s">
        <v>4684</v>
      </c>
      <c r="E1429" s="9" t="s">
        <v>4684</v>
      </c>
      <c r="F1429" s="9" t="s">
        <v>4684</v>
      </c>
      <c r="G1429" s="9" t="s">
        <v>4685</v>
      </c>
      <c r="H1429" s="9" t="s">
        <v>4684</v>
      </c>
      <c r="I1429" s="9" t="str">
        <f t="shared" si="1"/>
        <v>No</v>
      </c>
      <c r="J1429" s="9">
        <f t="shared" si="2"/>
        <v>0</v>
      </c>
      <c r="K1429" s="9" t="str">
        <f t="shared" si="3"/>
        <v>OVERWEIGHT</v>
      </c>
    </row>
    <row r="1430" ht="15.75" customHeight="1">
      <c r="A1430" s="9" t="s">
        <v>2859</v>
      </c>
      <c r="B1430" s="9">
        <v>34.1</v>
      </c>
      <c r="C1430" s="9">
        <v>6.29</v>
      </c>
      <c r="D1430" s="9" t="s">
        <v>4686</v>
      </c>
      <c r="E1430" s="9" t="s">
        <v>4684</v>
      </c>
      <c r="F1430" s="9" t="s">
        <v>4686</v>
      </c>
      <c r="G1430" s="9">
        <v>1.0</v>
      </c>
      <c r="H1430" s="9" t="s">
        <v>4684</v>
      </c>
      <c r="I1430" s="9" t="str">
        <f t="shared" si="1"/>
        <v>No</v>
      </c>
      <c r="J1430" s="9">
        <f t="shared" si="2"/>
        <v>1</v>
      </c>
      <c r="K1430" s="9" t="str">
        <f t="shared" si="3"/>
        <v>OBESITY</v>
      </c>
    </row>
    <row r="1431" ht="15.75" customHeight="1">
      <c r="A1431" s="9" t="s">
        <v>2861</v>
      </c>
      <c r="B1431" s="9">
        <v>17.3</v>
      </c>
      <c r="C1431" s="9">
        <v>9.28</v>
      </c>
      <c r="D1431" s="9" t="s">
        <v>4684</v>
      </c>
      <c r="E1431" s="9" t="s">
        <v>4684</v>
      </c>
      <c r="F1431" s="9" t="s">
        <v>4684</v>
      </c>
      <c r="G1431" s="9" t="s">
        <v>4685</v>
      </c>
      <c r="H1431" s="9" t="s">
        <v>4684</v>
      </c>
      <c r="I1431" s="9" t="str">
        <f t="shared" si="1"/>
        <v>No</v>
      </c>
      <c r="J1431" s="9">
        <f t="shared" si="2"/>
        <v>0</v>
      </c>
      <c r="K1431" s="9" t="str">
        <f t="shared" si="3"/>
        <v>UNDERWEIGHT</v>
      </c>
    </row>
    <row r="1432" ht="15.75" customHeight="1">
      <c r="A1432" s="9" t="s">
        <v>2863</v>
      </c>
      <c r="B1432" s="9">
        <v>35.02</v>
      </c>
      <c r="C1432" s="9">
        <v>4.78</v>
      </c>
      <c r="D1432" s="9" t="s">
        <v>4684</v>
      </c>
      <c r="E1432" s="9" t="s">
        <v>4684</v>
      </c>
      <c r="F1432" s="9" t="s">
        <v>4686</v>
      </c>
      <c r="G1432" s="9">
        <v>1.0</v>
      </c>
      <c r="H1432" s="9" t="s">
        <v>4684</v>
      </c>
      <c r="I1432" s="9" t="str">
        <f t="shared" si="1"/>
        <v>No</v>
      </c>
      <c r="J1432" s="9">
        <f t="shared" si="2"/>
        <v>1</v>
      </c>
      <c r="K1432" s="9" t="str">
        <f t="shared" si="3"/>
        <v>OBESITY</v>
      </c>
    </row>
    <row r="1433" ht="15.75" customHeight="1">
      <c r="A1433" s="9" t="s">
        <v>2865</v>
      </c>
      <c r="B1433" s="9">
        <v>37.1</v>
      </c>
      <c r="C1433" s="9">
        <v>8.87</v>
      </c>
      <c r="D1433" s="9" t="s">
        <v>4686</v>
      </c>
      <c r="E1433" s="9" t="s">
        <v>4684</v>
      </c>
      <c r="F1433" s="9" t="s">
        <v>4684</v>
      </c>
      <c r="G1433" s="9" t="s">
        <v>4685</v>
      </c>
      <c r="H1433" s="9" t="s">
        <v>4684</v>
      </c>
      <c r="I1433" s="9" t="str">
        <f t="shared" si="1"/>
        <v>No</v>
      </c>
      <c r="J1433" s="9">
        <f t="shared" si="2"/>
        <v>0</v>
      </c>
      <c r="K1433" s="9" t="str">
        <f t="shared" si="3"/>
        <v>OBESITY</v>
      </c>
    </row>
    <row r="1434" ht="15.75" customHeight="1">
      <c r="A1434" s="9" t="s">
        <v>2867</v>
      </c>
      <c r="B1434" s="9">
        <v>16.79</v>
      </c>
      <c r="C1434" s="9">
        <v>11.4</v>
      </c>
      <c r="D1434" s="9" t="s">
        <v>4684</v>
      </c>
      <c r="E1434" s="9" t="s">
        <v>4684</v>
      </c>
      <c r="F1434" s="9" t="s">
        <v>4684</v>
      </c>
      <c r="G1434" s="9" t="s">
        <v>4685</v>
      </c>
      <c r="H1434" s="9" t="s">
        <v>4684</v>
      </c>
      <c r="I1434" s="9" t="str">
        <f t="shared" si="1"/>
        <v>No</v>
      </c>
      <c r="J1434" s="9">
        <f t="shared" si="2"/>
        <v>0</v>
      </c>
      <c r="K1434" s="9" t="str">
        <f t="shared" si="3"/>
        <v>UNDERWEIGHT</v>
      </c>
    </row>
    <row r="1435" ht="15.75" customHeight="1">
      <c r="A1435" s="9" t="s">
        <v>2869</v>
      </c>
      <c r="B1435" s="9">
        <v>31.635</v>
      </c>
      <c r="C1435" s="9">
        <v>9.13</v>
      </c>
      <c r="D1435" s="9" t="s">
        <v>4686</v>
      </c>
      <c r="E1435" s="9" t="s">
        <v>4684</v>
      </c>
      <c r="F1435" s="9" t="s">
        <v>4684</v>
      </c>
      <c r="G1435" s="9" t="s">
        <v>4685</v>
      </c>
      <c r="H1435" s="9" t="s">
        <v>4684</v>
      </c>
      <c r="I1435" s="9" t="str">
        <f t="shared" si="1"/>
        <v>No</v>
      </c>
      <c r="J1435" s="9">
        <f t="shared" si="2"/>
        <v>0</v>
      </c>
      <c r="K1435" s="9" t="str">
        <f t="shared" si="3"/>
        <v>OBESITY</v>
      </c>
    </row>
    <row r="1436" ht="15.75" customHeight="1">
      <c r="A1436" s="9" t="s">
        <v>2871</v>
      </c>
      <c r="B1436" s="9">
        <v>24.19</v>
      </c>
      <c r="C1436" s="9">
        <v>6.22</v>
      </c>
      <c r="D1436" s="9" t="s">
        <v>4686</v>
      </c>
      <c r="E1436" s="9" t="s">
        <v>4684</v>
      </c>
      <c r="F1436" s="9" t="s">
        <v>4686</v>
      </c>
      <c r="G1436" s="9">
        <v>1.0</v>
      </c>
      <c r="H1436" s="9" t="s">
        <v>4684</v>
      </c>
      <c r="I1436" s="9" t="str">
        <f t="shared" si="1"/>
        <v>No</v>
      </c>
      <c r="J1436" s="9">
        <f t="shared" si="2"/>
        <v>1</v>
      </c>
      <c r="K1436" s="9" t="str">
        <f t="shared" si="3"/>
        <v>NORMAL WEIGHT</v>
      </c>
    </row>
    <row r="1437" ht="15.75" customHeight="1">
      <c r="A1437" s="9" t="s">
        <v>2873</v>
      </c>
      <c r="B1437" s="9">
        <v>35.29</v>
      </c>
      <c r="C1437" s="9">
        <v>5.9</v>
      </c>
      <c r="D1437" s="9" t="s">
        <v>4684</v>
      </c>
      <c r="E1437" s="9" t="s">
        <v>4684</v>
      </c>
      <c r="F1437" s="9" t="s">
        <v>4686</v>
      </c>
      <c r="G1437" s="9">
        <v>1.0</v>
      </c>
      <c r="H1437" s="9" t="s">
        <v>4684</v>
      </c>
      <c r="I1437" s="9" t="str">
        <f t="shared" si="1"/>
        <v>No</v>
      </c>
      <c r="J1437" s="9">
        <f t="shared" si="2"/>
        <v>1</v>
      </c>
      <c r="K1437" s="9" t="str">
        <f t="shared" si="3"/>
        <v>OBESITY</v>
      </c>
    </row>
    <row r="1438" ht="15.75" customHeight="1">
      <c r="A1438" s="9" t="s">
        <v>2875</v>
      </c>
      <c r="B1438" s="9">
        <v>35.3</v>
      </c>
      <c r="C1438" s="9">
        <v>4.45</v>
      </c>
      <c r="D1438" s="9" t="s">
        <v>4684</v>
      </c>
      <c r="E1438" s="9" t="s">
        <v>4684</v>
      </c>
      <c r="F1438" s="9" t="s">
        <v>4684</v>
      </c>
      <c r="G1438" s="9" t="s">
        <v>4685</v>
      </c>
      <c r="H1438" s="9" t="s">
        <v>4684</v>
      </c>
      <c r="I1438" s="9" t="str">
        <f t="shared" si="1"/>
        <v>No</v>
      </c>
      <c r="J1438" s="9">
        <f t="shared" si="2"/>
        <v>0</v>
      </c>
      <c r="K1438" s="9" t="str">
        <f t="shared" si="3"/>
        <v>OBESITY</v>
      </c>
    </row>
    <row r="1439" ht="15.75" customHeight="1">
      <c r="A1439" s="9" t="s">
        <v>2877</v>
      </c>
      <c r="B1439" s="9">
        <v>35.64</v>
      </c>
      <c r="C1439" s="9">
        <v>6.17</v>
      </c>
      <c r="D1439" s="9" t="s">
        <v>4684</v>
      </c>
      <c r="E1439" s="9" t="s">
        <v>4684</v>
      </c>
      <c r="F1439" s="9" t="s">
        <v>4686</v>
      </c>
      <c r="G1439" s="9">
        <v>1.0</v>
      </c>
      <c r="H1439" s="9" t="s">
        <v>4684</v>
      </c>
      <c r="I1439" s="9" t="str">
        <f t="shared" si="1"/>
        <v>No</v>
      </c>
      <c r="J1439" s="9">
        <f t="shared" si="2"/>
        <v>1</v>
      </c>
      <c r="K1439" s="9" t="str">
        <f t="shared" si="3"/>
        <v>OBESITY</v>
      </c>
    </row>
    <row r="1440" ht="15.75" customHeight="1">
      <c r="A1440" s="9" t="s">
        <v>2879</v>
      </c>
      <c r="B1440" s="9">
        <v>33.1</v>
      </c>
      <c r="C1440" s="9">
        <v>4.93</v>
      </c>
      <c r="D1440" s="9" t="s">
        <v>4684</v>
      </c>
      <c r="E1440" s="9" t="s">
        <v>4684</v>
      </c>
      <c r="F1440" s="9" t="s">
        <v>4684</v>
      </c>
      <c r="G1440" s="9" t="s">
        <v>4685</v>
      </c>
      <c r="H1440" s="9" t="s">
        <v>4684</v>
      </c>
      <c r="I1440" s="9" t="str">
        <f t="shared" si="1"/>
        <v>No</v>
      </c>
      <c r="J1440" s="9">
        <f t="shared" si="2"/>
        <v>0</v>
      </c>
      <c r="K1440" s="9" t="str">
        <f t="shared" si="3"/>
        <v>OBESITY</v>
      </c>
    </row>
    <row r="1441" ht="15.75" customHeight="1">
      <c r="A1441" s="9" t="s">
        <v>2881</v>
      </c>
      <c r="B1441" s="9">
        <v>26.41</v>
      </c>
      <c r="C1441" s="9">
        <v>7.32</v>
      </c>
      <c r="D1441" s="9" t="s">
        <v>4686</v>
      </c>
      <c r="E1441" s="9" t="s">
        <v>4684</v>
      </c>
      <c r="F1441" s="9" t="s">
        <v>4684</v>
      </c>
      <c r="G1441" s="9">
        <v>1.0</v>
      </c>
      <c r="H1441" s="9" t="s">
        <v>4684</v>
      </c>
      <c r="I1441" s="9" t="str">
        <f t="shared" si="1"/>
        <v>No</v>
      </c>
      <c r="J1441" s="9">
        <f t="shared" si="2"/>
        <v>1</v>
      </c>
      <c r="K1441" s="9" t="str">
        <f t="shared" si="3"/>
        <v>OVERWEIGHT</v>
      </c>
    </row>
    <row r="1442" ht="15.75" customHeight="1">
      <c r="A1442" s="9" t="s">
        <v>2883</v>
      </c>
      <c r="B1442" s="9">
        <v>29.9</v>
      </c>
      <c r="C1442" s="9">
        <v>5.27</v>
      </c>
      <c r="D1442" s="9" t="s">
        <v>4684</v>
      </c>
      <c r="E1442" s="9" t="s">
        <v>4684</v>
      </c>
      <c r="F1442" s="9" t="s">
        <v>4686</v>
      </c>
      <c r="G1442" s="9">
        <v>1.0</v>
      </c>
      <c r="H1442" s="9" t="s">
        <v>4684</v>
      </c>
      <c r="I1442" s="9" t="str">
        <f t="shared" si="1"/>
        <v>No</v>
      </c>
      <c r="J1442" s="9">
        <f t="shared" si="2"/>
        <v>1</v>
      </c>
      <c r="K1442" s="9" t="str">
        <f t="shared" si="3"/>
        <v>OBESITY</v>
      </c>
    </row>
    <row r="1443" ht="15.75" customHeight="1">
      <c r="A1443" s="9" t="s">
        <v>2885</v>
      </c>
      <c r="B1443" s="9">
        <v>25.24</v>
      </c>
      <c r="C1443" s="9">
        <v>5.82</v>
      </c>
      <c r="D1443" s="9" t="s">
        <v>4684</v>
      </c>
      <c r="E1443" s="9" t="s">
        <v>4684</v>
      </c>
      <c r="F1443" s="9" t="s">
        <v>4684</v>
      </c>
      <c r="G1443" s="9">
        <v>1.0</v>
      </c>
      <c r="H1443" s="9" t="s">
        <v>4684</v>
      </c>
      <c r="I1443" s="9" t="str">
        <f t="shared" si="1"/>
        <v>No</v>
      </c>
      <c r="J1443" s="9">
        <f t="shared" si="2"/>
        <v>1</v>
      </c>
      <c r="K1443" s="9" t="str">
        <f t="shared" si="3"/>
        <v>OVERWEIGHT</v>
      </c>
    </row>
    <row r="1444" ht="15.75" customHeight="1">
      <c r="A1444" s="9" t="s">
        <v>2887</v>
      </c>
      <c r="B1444" s="9">
        <v>25.08</v>
      </c>
      <c r="C1444" s="9">
        <v>5.8</v>
      </c>
      <c r="D1444" s="9" t="s">
        <v>4684</v>
      </c>
      <c r="E1444" s="9" t="s">
        <v>4684</v>
      </c>
      <c r="F1444" s="9" t="s">
        <v>4686</v>
      </c>
      <c r="G1444" s="9">
        <v>1.0</v>
      </c>
      <c r="H1444" s="9" t="s">
        <v>4684</v>
      </c>
      <c r="I1444" s="9" t="str">
        <f t="shared" si="1"/>
        <v>No</v>
      </c>
      <c r="J1444" s="9">
        <f t="shared" si="2"/>
        <v>1</v>
      </c>
      <c r="K1444" s="9" t="str">
        <f t="shared" si="3"/>
        <v>OVERWEIGHT</v>
      </c>
    </row>
    <row r="1445" ht="15.75" customHeight="1">
      <c r="A1445" s="9" t="s">
        <v>2889</v>
      </c>
      <c r="B1445" s="9">
        <v>29.165</v>
      </c>
      <c r="C1445" s="9">
        <v>4.87</v>
      </c>
      <c r="D1445" s="9" t="s">
        <v>4684</v>
      </c>
      <c r="E1445" s="9" t="s">
        <v>4686</v>
      </c>
      <c r="F1445" s="9" t="s">
        <v>4684</v>
      </c>
      <c r="G1445" s="9">
        <v>1.0</v>
      </c>
      <c r="H1445" s="9" t="s">
        <v>4684</v>
      </c>
      <c r="I1445" s="9" t="str">
        <f t="shared" si="1"/>
        <v>No</v>
      </c>
      <c r="J1445" s="9">
        <f t="shared" si="2"/>
        <v>1</v>
      </c>
      <c r="K1445" s="9" t="str">
        <f t="shared" si="3"/>
        <v>OVERWEIGHT</v>
      </c>
    </row>
    <row r="1446" ht="15.75" customHeight="1">
      <c r="A1446" s="9" t="s">
        <v>2891</v>
      </c>
      <c r="B1446" s="9">
        <v>15.05</v>
      </c>
      <c r="C1446" s="9">
        <v>8.12</v>
      </c>
      <c r="D1446" s="9" t="s">
        <v>4684</v>
      </c>
      <c r="E1446" s="9" t="s">
        <v>4684</v>
      </c>
      <c r="F1446" s="9" t="s">
        <v>4684</v>
      </c>
      <c r="G1446" s="9" t="s">
        <v>4685</v>
      </c>
      <c r="H1446" s="9" t="s">
        <v>4684</v>
      </c>
      <c r="I1446" s="9" t="str">
        <f t="shared" si="1"/>
        <v>No</v>
      </c>
      <c r="J1446" s="9">
        <f t="shared" si="2"/>
        <v>0</v>
      </c>
      <c r="K1446" s="9" t="str">
        <f t="shared" si="3"/>
        <v>UNDERWEIGHT</v>
      </c>
    </row>
    <row r="1447" ht="15.75" customHeight="1">
      <c r="A1447" s="9" t="s">
        <v>2893</v>
      </c>
      <c r="B1447" s="9">
        <v>19.95</v>
      </c>
      <c r="C1447" s="9">
        <v>4.36</v>
      </c>
      <c r="D1447" s="9" t="s">
        <v>4684</v>
      </c>
      <c r="E1447" s="9" t="s">
        <v>4684</v>
      </c>
      <c r="F1447" s="9" t="s">
        <v>4684</v>
      </c>
      <c r="G1447" s="9">
        <v>2.0</v>
      </c>
      <c r="H1447" s="9" t="s">
        <v>4684</v>
      </c>
      <c r="I1447" s="9" t="str">
        <f t="shared" si="1"/>
        <v>No</v>
      </c>
      <c r="J1447" s="9">
        <f t="shared" si="2"/>
        <v>2</v>
      </c>
      <c r="K1447" s="9" t="str">
        <f t="shared" si="3"/>
        <v>NORMAL WEIGHT</v>
      </c>
    </row>
    <row r="1448" ht="15.75" customHeight="1">
      <c r="A1448" s="9" t="s">
        <v>2895</v>
      </c>
      <c r="B1448" s="9">
        <v>16.66</v>
      </c>
      <c r="C1448" s="9">
        <v>9.16</v>
      </c>
      <c r="D1448" s="9" t="s">
        <v>4684</v>
      </c>
      <c r="E1448" s="9" t="s">
        <v>4684</v>
      </c>
      <c r="F1448" s="9" t="s">
        <v>4684</v>
      </c>
      <c r="G1448" s="9" t="s">
        <v>4685</v>
      </c>
      <c r="H1448" s="9" t="s">
        <v>4684</v>
      </c>
      <c r="I1448" s="9" t="str">
        <f t="shared" si="1"/>
        <v>No</v>
      </c>
      <c r="J1448" s="9">
        <f t="shared" si="2"/>
        <v>0</v>
      </c>
      <c r="K1448" s="9" t="str">
        <f t="shared" si="3"/>
        <v>UNDERWEIGHT</v>
      </c>
    </row>
    <row r="1449" ht="15.75" customHeight="1">
      <c r="A1449" s="9" t="s">
        <v>2897</v>
      </c>
      <c r="B1449" s="9">
        <v>16.62</v>
      </c>
      <c r="C1449" s="9">
        <v>9.14</v>
      </c>
      <c r="D1449" s="9" t="s">
        <v>4684</v>
      </c>
      <c r="E1449" s="9" t="s">
        <v>4684</v>
      </c>
      <c r="F1449" s="9" t="s">
        <v>4684</v>
      </c>
      <c r="G1449" s="9" t="s">
        <v>4685</v>
      </c>
      <c r="H1449" s="9" t="s">
        <v>4684</v>
      </c>
      <c r="I1449" s="9" t="str">
        <f t="shared" si="1"/>
        <v>No</v>
      </c>
      <c r="J1449" s="9">
        <f t="shared" si="2"/>
        <v>0</v>
      </c>
      <c r="K1449" s="9" t="str">
        <f t="shared" si="3"/>
        <v>UNDERWEIGHT</v>
      </c>
    </row>
    <row r="1450" ht="15.75" customHeight="1">
      <c r="A1450" s="9" t="s">
        <v>2899</v>
      </c>
      <c r="B1450" s="9">
        <v>15.36</v>
      </c>
      <c r="C1450" s="9">
        <v>5.49</v>
      </c>
      <c r="D1450" s="9" t="s">
        <v>4686</v>
      </c>
      <c r="E1450" s="9" t="s">
        <v>4684</v>
      </c>
      <c r="F1450" s="9" t="s">
        <v>4684</v>
      </c>
      <c r="G1450" s="9">
        <v>2.0</v>
      </c>
      <c r="H1450" s="9" t="s">
        <v>4684</v>
      </c>
      <c r="I1450" s="9" t="str">
        <f t="shared" si="1"/>
        <v>No</v>
      </c>
      <c r="J1450" s="9">
        <f t="shared" si="2"/>
        <v>2</v>
      </c>
      <c r="K1450" s="9" t="str">
        <f t="shared" si="3"/>
        <v>UNDERWEIGHT</v>
      </c>
    </row>
    <row r="1451" ht="15.75" customHeight="1">
      <c r="A1451" s="9" t="s">
        <v>2901</v>
      </c>
      <c r="B1451" s="9">
        <v>27.74</v>
      </c>
      <c r="C1451" s="9">
        <v>5.96</v>
      </c>
      <c r="D1451" s="9" t="s">
        <v>4686</v>
      </c>
      <c r="E1451" s="9" t="s">
        <v>4684</v>
      </c>
      <c r="F1451" s="9" t="s">
        <v>4684</v>
      </c>
      <c r="G1451" s="9" t="s">
        <v>4685</v>
      </c>
      <c r="H1451" s="9" t="s">
        <v>4684</v>
      </c>
      <c r="I1451" s="9" t="str">
        <f t="shared" si="1"/>
        <v>No</v>
      </c>
      <c r="J1451" s="9">
        <f t="shared" si="2"/>
        <v>0</v>
      </c>
      <c r="K1451" s="9" t="str">
        <f t="shared" si="3"/>
        <v>OVERWEIGHT</v>
      </c>
    </row>
    <row r="1452" ht="15.75" customHeight="1">
      <c r="A1452" s="9" t="s">
        <v>2903</v>
      </c>
      <c r="B1452" s="9">
        <v>22.44</v>
      </c>
      <c r="C1452" s="9">
        <v>4.62</v>
      </c>
      <c r="D1452" s="9" t="s">
        <v>4686</v>
      </c>
      <c r="E1452" s="9" t="s">
        <v>4684</v>
      </c>
      <c r="F1452" s="9" t="s">
        <v>4684</v>
      </c>
      <c r="G1452" s="9" t="s">
        <v>4685</v>
      </c>
      <c r="H1452" s="9" t="s">
        <v>4684</v>
      </c>
      <c r="I1452" s="9" t="str">
        <f t="shared" si="1"/>
        <v>No</v>
      </c>
      <c r="J1452" s="9">
        <f t="shared" si="2"/>
        <v>0</v>
      </c>
      <c r="K1452" s="9" t="str">
        <f t="shared" si="3"/>
        <v>NORMAL WEIGHT</v>
      </c>
    </row>
    <row r="1453" ht="15.75" customHeight="1">
      <c r="A1453" s="9" t="s">
        <v>2905</v>
      </c>
      <c r="B1453" s="9">
        <v>37.05</v>
      </c>
      <c r="C1453" s="9">
        <v>9.96</v>
      </c>
      <c r="D1453" s="9" t="s">
        <v>4686</v>
      </c>
      <c r="E1453" s="9" t="s">
        <v>4684</v>
      </c>
      <c r="F1453" s="9" t="s">
        <v>4684</v>
      </c>
      <c r="G1453" s="9" t="s">
        <v>4685</v>
      </c>
      <c r="H1453" s="9" t="s">
        <v>4684</v>
      </c>
      <c r="I1453" s="9" t="str">
        <f t="shared" si="1"/>
        <v>No</v>
      </c>
      <c r="J1453" s="9">
        <f t="shared" si="2"/>
        <v>0</v>
      </c>
      <c r="K1453" s="9" t="str">
        <f t="shared" si="3"/>
        <v>OBESITY</v>
      </c>
    </row>
    <row r="1454" ht="15.75" customHeight="1">
      <c r="A1454" s="9" t="s">
        <v>2907</v>
      </c>
      <c r="B1454" s="9">
        <v>22.95</v>
      </c>
      <c r="C1454" s="9">
        <v>10.53</v>
      </c>
      <c r="D1454" s="9" t="s">
        <v>4684</v>
      </c>
      <c r="E1454" s="9" t="s">
        <v>4684</v>
      </c>
      <c r="F1454" s="9" t="s">
        <v>4684</v>
      </c>
      <c r="G1454" s="9">
        <v>2.0</v>
      </c>
      <c r="H1454" s="9" t="s">
        <v>4684</v>
      </c>
      <c r="I1454" s="9" t="str">
        <f t="shared" si="1"/>
        <v>No</v>
      </c>
      <c r="J1454" s="9">
        <f t="shared" si="2"/>
        <v>2</v>
      </c>
      <c r="K1454" s="9" t="str">
        <f t="shared" si="3"/>
        <v>NORMAL WEIGHT</v>
      </c>
    </row>
    <row r="1455" ht="15.75" customHeight="1">
      <c r="A1455" s="9" t="s">
        <v>2909</v>
      </c>
      <c r="B1455" s="9">
        <v>34.2</v>
      </c>
      <c r="C1455" s="9">
        <v>6.69</v>
      </c>
      <c r="D1455" s="9" t="s">
        <v>4686</v>
      </c>
      <c r="E1455" s="9" t="s">
        <v>4684</v>
      </c>
      <c r="F1455" s="9" t="s">
        <v>4684</v>
      </c>
      <c r="G1455" s="9" t="s">
        <v>4685</v>
      </c>
      <c r="H1455" s="9" t="s">
        <v>4684</v>
      </c>
      <c r="I1455" s="9" t="str">
        <f t="shared" si="1"/>
        <v>No</v>
      </c>
      <c r="J1455" s="9">
        <f t="shared" si="2"/>
        <v>0</v>
      </c>
      <c r="K1455" s="9" t="str">
        <f t="shared" si="3"/>
        <v>OBESITY</v>
      </c>
    </row>
    <row r="1456" ht="15.75" customHeight="1">
      <c r="A1456" s="9" t="s">
        <v>2911</v>
      </c>
      <c r="B1456" s="9">
        <v>30.59</v>
      </c>
      <c r="C1456" s="9">
        <v>9.55</v>
      </c>
      <c r="D1456" s="9" t="s">
        <v>4686</v>
      </c>
      <c r="E1456" s="9" t="s">
        <v>4684</v>
      </c>
      <c r="F1456" s="9" t="s">
        <v>4684</v>
      </c>
      <c r="G1456" s="9" t="s">
        <v>4685</v>
      </c>
      <c r="H1456" s="9" t="s">
        <v>4684</v>
      </c>
      <c r="I1456" s="9" t="str">
        <f t="shared" si="1"/>
        <v>No</v>
      </c>
      <c r="J1456" s="9">
        <f t="shared" si="2"/>
        <v>0</v>
      </c>
      <c r="K1456" s="9" t="str">
        <f t="shared" si="3"/>
        <v>OBESITY</v>
      </c>
    </row>
    <row r="1457" ht="15.75" customHeight="1">
      <c r="A1457" s="9" t="s">
        <v>2913</v>
      </c>
      <c r="B1457" s="9">
        <v>25.51</v>
      </c>
      <c r="C1457" s="9">
        <v>6.05</v>
      </c>
      <c r="D1457" s="9" t="s">
        <v>4684</v>
      </c>
      <c r="E1457" s="9" t="s">
        <v>4684</v>
      </c>
      <c r="F1457" s="9" t="s">
        <v>4684</v>
      </c>
      <c r="G1457" s="9" t="s">
        <v>4685</v>
      </c>
      <c r="H1457" s="9" t="s">
        <v>4684</v>
      </c>
      <c r="I1457" s="9" t="str">
        <f t="shared" si="1"/>
        <v>No</v>
      </c>
      <c r="J1457" s="9">
        <f t="shared" si="2"/>
        <v>0</v>
      </c>
      <c r="K1457" s="9" t="str">
        <f t="shared" si="3"/>
        <v>OVERWEIGHT</v>
      </c>
    </row>
    <row r="1458" ht="15.75" customHeight="1">
      <c r="A1458" s="9" t="s">
        <v>2915</v>
      </c>
      <c r="B1458" s="9">
        <v>29.04</v>
      </c>
      <c r="C1458" s="9">
        <v>10.56</v>
      </c>
      <c r="D1458" s="9" t="s">
        <v>4686</v>
      </c>
      <c r="E1458" s="9" t="s">
        <v>4684</v>
      </c>
      <c r="F1458" s="9" t="s">
        <v>4684</v>
      </c>
      <c r="G1458" s="9">
        <v>1.0</v>
      </c>
      <c r="H1458" s="9" t="s">
        <v>4684</v>
      </c>
      <c r="I1458" s="9" t="str">
        <f t="shared" si="1"/>
        <v>No</v>
      </c>
      <c r="J1458" s="9">
        <f t="shared" si="2"/>
        <v>1</v>
      </c>
      <c r="K1458" s="9" t="str">
        <f t="shared" si="3"/>
        <v>OVERWEIGHT</v>
      </c>
    </row>
    <row r="1459" ht="15.75" customHeight="1">
      <c r="A1459" s="9" t="s">
        <v>2917</v>
      </c>
      <c r="B1459" s="9">
        <v>22.135</v>
      </c>
      <c r="C1459" s="9">
        <v>10.81</v>
      </c>
      <c r="D1459" s="9" t="s">
        <v>4686</v>
      </c>
      <c r="E1459" s="9" t="s">
        <v>4684</v>
      </c>
      <c r="F1459" s="9" t="s">
        <v>4684</v>
      </c>
      <c r="G1459" s="9">
        <v>1.0</v>
      </c>
      <c r="H1459" s="9" t="s">
        <v>4684</v>
      </c>
      <c r="I1459" s="9" t="str">
        <f t="shared" si="1"/>
        <v>No</v>
      </c>
      <c r="J1459" s="9">
        <f t="shared" si="2"/>
        <v>1</v>
      </c>
      <c r="K1459" s="9" t="str">
        <f t="shared" si="3"/>
        <v>NORMAL WEIGHT</v>
      </c>
    </row>
    <row r="1460" ht="15.75" customHeight="1">
      <c r="A1460" s="9" t="s">
        <v>2919</v>
      </c>
      <c r="B1460" s="9">
        <v>21.375</v>
      </c>
      <c r="C1460" s="9">
        <v>4.32</v>
      </c>
      <c r="D1460" s="9" t="s">
        <v>4684</v>
      </c>
      <c r="E1460" s="9" t="s">
        <v>4684</v>
      </c>
      <c r="F1460" s="9" t="s">
        <v>4684</v>
      </c>
      <c r="G1460" s="9" t="s">
        <v>4685</v>
      </c>
      <c r="H1460" s="9" t="s">
        <v>4684</v>
      </c>
      <c r="I1460" s="9" t="str">
        <f t="shared" si="1"/>
        <v>No</v>
      </c>
      <c r="J1460" s="9">
        <f t="shared" si="2"/>
        <v>0</v>
      </c>
      <c r="K1460" s="9" t="str">
        <f t="shared" si="3"/>
        <v>NORMAL WEIGHT</v>
      </c>
    </row>
    <row r="1461" ht="15.75" customHeight="1">
      <c r="A1461" s="9" t="s">
        <v>2921</v>
      </c>
      <c r="B1461" s="9">
        <v>29.19</v>
      </c>
      <c r="C1461" s="9">
        <v>4.37</v>
      </c>
      <c r="D1461" s="9" t="s">
        <v>4684</v>
      </c>
      <c r="E1461" s="9" t="s">
        <v>4684</v>
      </c>
      <c r="F1461" s="9" t="s">
        <v>4684</v>
      </c>
      <c r="G1461" s="9" t="s">
        <v>4685</v>
      </c>
      <c r="H1461" s="9" t="s">
        <v>4684</v>
      </c>
      <c r="I1461" s="9" t="str">
        <f t="shared" si="1"/>
        <v>No</v>
      </c>
      <c r="J1461" s="9">
        <f t="shared" si="2"/>
        <v>0</v>
      </c>
      <c r="K1461" s="9" t="str">
        <f t="shared" si="3"/>
        <v>OVERWEIGHT</v>
      </c>
    </row>
    <row r="1462" ht="15.75" customHeight="1">
      <c r="A1462" s="9" t="s">
        <v>2923</v>
      </c>
      <c r="B1462" s="9">
        <v>31.92</v>
      </c>
      <c r="C1462" s="9">
        <v>4.81</v>
      </c>
      <c r="D1462" s="9" t="s">
        <v>4686</v>
      </c>
      <c r="E1462" s="9" t="s">
        <v>4684</v>
      </c>
      <c r="F1462" s="9" t="s">
        <v>4686</v>
      </c>
      <c r="G1462" s="9">
        <v>1.0</v>
      </c>
      <c r="H1462" s="9" t="s">
        <v>4684</v>
      </c>
      <c r="I1462" s="9" t="str">
        <f t="shared" si="1"/>
        <v>No</v>
      </c>
      <c r="J1462" s="9">
        <f t="shared" si="2"/>
        <v>1</v>
      </c>
      <c r="K1462" s="9" t="str">
        <f t="shared" si="3"/>
        <v>OBESITY</v>
      </c>
    </row>
    <row r="1463" ht="15.75" customHeight="1">
      <c r="A1463" s="9" t="s">
        <v>2925</v>
      </c>
      <c r="B1463" s="9">
        <v>26.315</v>
      </c>
      <c r="C1463" s="9">
        <v>4.56</v>
      </c>
      <c r="D1463" s="9" t="s">
        <v>4686</v>
      </c>
      <c r="E1463" s="9" t="s">
        <v>4684</v>
      </c>
      <c r="F1463" s="9" t="s">
        <v>4686</v>
      </c>
      <c r="G1463" s="9">
        <v>1.0</v>
      </c>
      <c r="H1463" s="9" t="s">
        <v>4684</v>
      </c>
      <c r="I1463" s="9" t="str">
        <f t="shared" si="1"/>
        <v>No</v>
      </c>
      <c r="J1463" s="9">
        <f t="shared" si="2"/>
        <v>1</v>
      </c>
      <c r="K1463" s="9" t="str">
        <f t="shared" si="3"/>
        <v>OVERWEIGHT</v>
      </c>
    </row>
    <row r="1464" ht="15.75" customHeight="1">
      <c r="A1464" s="9" t="s">
        <v>2927</v>
      </c>
      <c r="B1464" s="9">
        <v>35.3</v>
      </c>
      <c r="C1464" s="9">
        <v>4.39</v>
      </c>
      <c r="D1464" s="9" t="s">
        <v>4684</v>
      </c>
      <c r="E1464" s="9" t="s">
        <v>4684</v>
      </c>
      <c r="F1464" s="9" t="s">
        <v>4684</v>
      </c>
      <c r="G1464" s="9" t="s">
        <v>4685</v>
      </c>
      <c r="H1464" s="9" t="s">
        <v>4684</v>
      </c>
      <c r="I1464" s="9" t="str">
        <f t="shared" si="1"/>
        <v>No</v>
      </c>
      <c r="J1464" s="9">
        <f t="shared" si="2"/>
        <v>0</v>
      </c>
      <c r="K1464" s="9" t="str">
        <f t="shared" si="3"/>
        <v>OBESITY</v>
      </c>
    </row>
    <row r="1465" ht="15.75" customHeight="1">
      <c r="A1465" s="9" t="s">
        <v>2929</v>
      </c>
      <c r="B1465" s="9">
        <v>18.91</v>
      </c>
      <c r="C1465" s="9">
        <v>11.44</v>
      </c>
      <c r="D1465" s="9" t="s">
        <v>4684</v>
      </c>
      <c r="E1465" s="9" t="s">
        <v>4684</v>
      </c>
      <c r="F1465" s="9" t="s">
        <v>4684</v>
      </c>
      <c r="G1465" s="9" t="s">
        <v>4685</v>
      </c>
      <c r="H1465" s="9" t="s">
        <v>4684</v>
      </c>
      <c r="I1465" s="9" t="str">
        <f t="shared" si="1"/>
        <v>No</v>
      </c>
      <c r="J1465" s="9">
        <f t="shared" si="2"/>
        <v>0</v>
      </c>
      <c r="K1465" s="9" t="str">
        <f t="shared" si="3"/>
        <v>NORMAL WEIGHT</v>
      </c>
    </row>
    <row r="1466" ht="15.75" customHeight="1">
      <c r="A1466" s="9" t="s">
        <v>2931</v>
      </c>
      <c r="B1466" s="9">
        <v>22.41</v>
      </c>
      <c r="C1466" s="9">
        <v>11.37</v>
      </c>
      <c r="D1466" s="9" t="s">
        <v>4686</v>
      </c>
      <c r="E1466" s="9" t="s">
        <v>4684</v>
      </c>
      <c r="F1466" s="9" t="s">
        <v>4684</v>
      </c>
      <c r="G1466" s="9">
        <v>1.0</v>
      </c>
      <c r="H1466" s="9" t="s">
        <v>4684</v>
      </c>
      <c r="I1466" s="9" t="str">
        <f t="shared" si="1"/>
        <v>No</v>
      </c>
      <c r="J1466" s="9">
        <f t="shared" si="2"/>
        <v>1</v>
      </c>
      <c r="K1466" s="9" t="str">
        <f t="shared" si="3"/>
        <v>NORMAL WEIGHT</v>
      </c>
    </row>
    <row r="1467" ht="15.75" customHeight="1">
      <c r="A1467" s="9" t="s">
        <v>2933</v>
      </c>
      <c r="B1467" s="9">
        <v>22.705</v>
      </c>
      <c r="C1467" s="9">
        <v>6.14</v>
      </c>
      <c r="D1467" s="9" t="s">
        <v>4684</v>
      </c>
      <c r="E1467" s="9" t="s">
        <v>4684</v>
      </c>
      <c r="F1467" s="9" t="s">
        <v>4684</v>
      </c>
      <c r="G1467" s="9" t="s">
        <v>4685</v>
      </c>
      <c r="H1467" s="9" t="s">
        <v>4684</v>
      </c>
      <c r="I1467" s="9" t="str">
        <f t="shared" si="1"/>
        <v>No</v>
      </c>
      <c r="J1467" s="9">
        <f t="shared" si="2"/>
        <v>0</v>
      </c>
      <c r="K1467" s="9" t="str">
        <f t="shared" si="3"/>
        <v>NORMAL WEIGHT</v>
      </c>
    </row>
    <row r="1468" ht="15.75" customHeight="1">
      <c r="A1468" s="9" t="s">
        <v>2935</v>
      </c>
      <c r="B1468" s="9">
        <v>37.18</v>
      </c>
      <c r="C1468" s="9">
        <v>4.89</v>
      </c>
      <c r="D1468" s="9" t="s">
        <v>4684</v>
      </c>
      <c r="E1468" s="9" t="s">
        <v>4684</v>
      </c>
      <c r="F1468" s="9" t="s">
        <v>4684</v>
      </c>
      <c r="G1468" s="9" t="s">
        <v>4685</v>
      </c>
      <c r="H1468" s="9" t="s">
        <v>4684</v>
      </c>
      <c r="I1468" s="9" t="str">
        <f t="shared" si="1"/>
        <v>No</v>
      </c>
      <c r="J1468" s="9">
        <f t="shared" si="2"/>
        <v>0</v>
      </c>
      <c r="K1468" s="9" t="str">
        <f t="shared" si="3"/>
        <v>OBESITY</v>
      </c>
    </row>
    <row r="1469" ht="15.75" customHeight="1">
      <c r="A1469" s="9" t="s">
        <v>2937</v>
      </c>
      <c r="B1469" s="9">
        <v>35.97</v>
      </c>
      <c r="C1469" s="9">
        <v>4.6</v>
      </c>
      <c r="D1469" s="9" t="s">
        <v>4684</v>
      </c>
      <c r="E1469" s="9" t="s">
        <v>4684</v>
      </c>
      <c r="F1469" s="9" t="s">
        <v>4684</v>
      </c>
      <c r="G1469" s="9" t="s">
        <v>4685</v>
      </c>
      <c r="H1469" s="9" t="s">
        <v>4684</v>
      </c>
      <c r="I1469" s="9" t="str">
        <f t="shared" si="1"/>
        <v>No</v>
      </c>
      <c r="J1469" s="9">
        <f t="shared" si="2"/>
        <v>0</v>
      </c>
      <c r="K1469" s="9" t="str">
        <f t="shared" si="3"/>
        <v>OBESITY</v>
      </c>
    </row>
    <row r="1470" ht="15.75" customHeight="1">
      <c r="A1470" s="9" t="s">
        <v>2939</v>
      </c>
      <c r="B1470" s="9">
        <v>35.8</v>
      </c>
      <c r="C1470" s="9">
        <v>4.42</v>
      </c>
      <c r="D1470" s="9" t="s">
        <v>4684</v>
      </c>
      <c r="E1470" s="9" t="s">
        <v>4684</v>
      </c>
      <c r="F1470" s="9" t="s">
        <v>4684</v>
      </c>
      <c r="G1470" s="9" t="s">
        <v>4685</v>
      </c>
      <c r="H1470" s="9" t="s">
        <v>4684</v>
      </c>
      <c r="I1470" s="9" t="str">
        <f t="shared" si="1"/>
        <v>No</v>
      </c>
      <c r="J1470" s="9">
        <f t="shared" si="2"/>
        <v>0</v>
      </c>
      <c r="K1470" s="9" t="str">
        <f t="shared" si="3"/>
        <v>OBESITY</v>
      </c>
    </row>
    <row r="1471" ht="15.75" customHeight="1">
      <c r="A1471" s="9" t="s">
        <v>2941</v>
      </c>
      <c r="B1471" s="9">
        <v>28.31</v>
      </c>
      <c r="C1471" s="9">
        <v>7.48</v>
      </c>
      <c r="D1471" s="9" t="s">
        <v>4686</v>
      </c>
      <c r="E1471" s="9" t="s">
        <v>4684</v>
      </c>
      <c r="F1471" s="9" t="s">
        <v>4684</v>
      </c>
      <c r="G1471" s="9" t="s">
        <v>4685</v>
      </c>
      <c r="H1471" s="9" t="s">
        <v>4684</v>
      </c>
      <c r="I1471" s="9" t="str">
        <f t="shared" si="1"/>
        <v>No</v>
      </c>
      <c r="J1471" s="9">
        <f t="shared" si="2"/>
        <v>0</v>
      </c>
      <c r="K1471" s="9" t="str">
        <f t="shared" si="3"/>
        <v>OVERWEIGHT</v>
      </c>
    </row>
    <row r="1472" ht="15.75" customHeight="1">
      <c r="A1472" s="9" t="s">
        <v>2943</v>
      </c>
      <c r="B1472" s="9">
        <v>38.06</v>
      </c>
      <c r="C1472" s="9">
        <v>10.74</v>
      </c>
      <c r="D1472" s="9" t="s">
        <v>4684</v>
      </c>
      <c r="E1472" s="9" t="s">
        <v>4684</v>
      </c>
      <c r="F1472" s="9" t="s">
        <v>4684</v>
      </c>
      <c r="G1472" s="9" t="s">
        <v>4685</v>
      </c>
      <c r="H1472" s="9" t="s">
        <v>4684</v>
      </c>
      <c r="I1472" s="9" t="str">
        <f t="shared" si="1"/>
        <v>No</v>
      </c>
      <c r="J1472" s="9">
        <f t="shared" si="2"/>
        <v>0</v>
      </c>
      <c r="K1472" s="9" t="str">
        <f t="shared" si="3"/>
        <v>OBESITY</v>
      </c>
    </row>
    <row r="1473" ht="15.75" customHeight="1">
      <c r="A1473" s="9" t="s">
        <v>2945</v>
      </c>
      <c r="B1473" s="9">
        <v>28.0</v>
      </c>
      <c r="C1473" s="9">
        <v>5.19</v>
      </c>
      <c r="D1473" s="9" t="s">
        <v>4684</v>
      </c>
      <c r="E1473" s="9" t="s">
        <v>4684</v>
      </c>
      <c r="F1473" s="9" t="s">
        <v>4684</v>
      </c>
      <c r="G1473" s="9">
        <v>1.0</v>
      </c>
      <c r="H1473" s="9" t="s">
        <v>4684</v>
      </c>
      <c r="I1473" s="9" t="str">
        <f t="shared" si="1"/>
        <v>No</v>
      </c>
      <c r="J1473" s="9">
        <f t="shared" si="2"/>
        <v>1</v>
      </c>
      <c r="K1473" s="9" t="str">
        <f t="shared" si="3"/>
        <v>OVERWEIGHT</v>
      </c>
    </row>
    <row r="1474" ht="15.75" customHeight="1">
      <c r="A1474" s="9" t="s">
        <v>2947</v>
      </c>
      <c r="B1474" s="9">
        <v>34.32</v>
      </c>
      <c r="C1474" s="9">
        <v>9.17</v>
      </c>
      <c r="D1474" s="9" t="s">
        <v>4684</v>
      </c>
      <c r="E1474" s="9" t="s">
        <v>4684</v>
      </c>
      <c r="F1474" s="9" t="s">
        <v>4684</v>
      </c>
      <c r="G1474" s="9" t="s">
        <v>4685</v>
      </c>
      <c r="H1474" s="9" t="s">
        <v>4684</v>
      </c>
      <c r="I1474" s="9" t="str">
        <f t="shared" si="1"/>
        <v>No</v>
      </c>
      <c r="J1474" s="9">
        <f t="shared" si="2"/>
        <v>0</v>
      </c>
      <c r="K1474" s="9" t="str">
        <f t="shared" si="3"/>
        <v>OBESITY</v>
      </c>
    </row>
    <row r="1475" ht="15.75" customHeight="1">
      <c r="A1475" s="9" t="s">
        <v>2949</v>
      </c>
      <c r="B1475" s="9">
        <v>22.3</v>
      </c>
      <c r="C1475" s="9">
        <v>4.95</v>
      </c>
      <c r="D1475" s="9" t="s">
        <v>4686</v>
      </c>
      <c r="E1475" s="9" t="s">
        <v>4684</v>
      </c>
      <c r="F1475" s="9" t="s">
        <v>4684</v>
      </c>
      <c r="G1475" s="9" t="s">
        <v>4685</v>
      </c>
      <c r="H1475" s="9" t="s">
        <v>4684</v>
      </c>
      <c r="I1475" s="9" t="str">
        <f t="shared" si="1"/>
        <v>No</v>
      </c>
      <c r="J1475" s="9">
        <f t="shared" si="2"/>
        <v>0</v>
      </c>
      <c r="K1475" s="9" t="str">
        <f t="shared" si="3"/>
        <v>NORMAL WEIGHT</v>
      </c>
    </row>
    <row r="1476" ht="15.75" customHeight="1">
      <c r="A1476" s="9" t="s">
        <v>2951</v>
      </c>
      <c r="B1476" s="9">
        <v>27.835</v>
      </c>
      <c r="C1476" s="9">
        <v>6.03</v>
      </c>
      <c r="D1476" s="9" t="s">
        <v>4684</v>
      </c>
      <c r="E1476" s="9" t="s">
        <v>4684</v>
      </c>
      <c r="F1476" s="9" t="s">
        <v>4684</v>
      </c>
      <c r="G1476" s="9">
        <v>1.0</v>
      </c>
      <c r="H1476" s="9" t="s">
        <v>4684</v>
      </c>
      <c r="I1476" s="9" t="str">
        <f t="shared" si="1"/>
        <v>No</v>
      </c>
      <c r="J1476" s="9">
        <f t="shared" si="2"/>
        <v>1</v>
      </c>
      <c r="K1476" s="9" t="str">
        <f t="shared" si="3"/>
        <v>OVERWEIGHT</v>
      </c>
    </row>
    <row r="1477" ht="15.75" customHeight="1">
      <c r="A1477" s="9" t="s">
        <v>2953</v>
      </c>
      <c r="B1477" s="9">
        <v>39.23</v>
      </c>
      <c r="C1477" s="9">
        <v>5.36</v>
      </c>
      <c r="D1477" s="9" t="s">
        <v>4684</v>
      </c>
      <c r="E1477" s="9" t="s">
        <v>4684</v>
      </c>
      <c r="F1477" s="9" t="s">
        <v>4684</v>
      </c>
      <c r="G1477" s="9" t="s">
        <v>4685</v>
      </c>
      <c r="H1477" s="9" t="s">
        <v>4684</v>
      </c>
      <c r="I1477" s="9" t="str">
        <f t="shared" si="1"/>
        <v>No</v>
      </c>
      <c r="J1477" s="9">
        <f t="shared" si="2"/>
        <v>0</v>
      </c>
      <c r="K1477" s="9" t="str">
        <f t="shared" si="3"/>
        <v>OBESITY</v>
      </c>
    </row>
    <row r="1478" ht="15.75" customHeight="1">
      <c r="A1478" s="9" t="s">
        <v>2955</v>
      </c>
      <c r="B1478" s="9">
        <v>19.95</v>
      </c>
      <c r="C1478" s="9">
        <v>6.11</v>
      </c>
      <c r="D1478" s="9" t="s">
        <v>4684</v>
      </c>
      <c r="E1478" s="9" t="s">
        <v>4684</v>
      </c>
      <c r="F1478" s="9" t="s">
        <v>4684</v>
      </c>
      <c r="G1478" s="9">
        <v>1.0</v>
      </c>
      <c r="H1478" s="9" t="s">
        <v>4684</v>
      </c>
      <c r="I1478" s="9" t="str">
        <f t="shared" si="1"/>
        <v>No</v>
      </c>
      <c r="J1478" s="9">
        <f t="shared" si="2"/>
        <v>1</v>
      </c>
      <c r="K1478" s="9" t="str">
        <f t="shared" si="3"/>
        <v>NORMAL WEIGHT</v>
      </c>
    </row>
    <row r="1479" ht="15.75" customHeight="1">
      <c r="A1479" s="9" t="s">
        <v>2957</v>
      </c>
      <c r="B1479" s="9">
        <v>34.64</v>
      </c>
      <c r="C1479" s="9">
        <v>4.88</v>
      </c>
      <c r="D1479" s="9" t="s">
        <v>4684</v>
      </c>
      <c r="E1479" s="9" t="s">
        <v>4684</v>
      </c>
      <c r="F1479" s="9" t="s">
        <v>4686</v>
      </c>
      <c r="G1479" s="9">
        <v>1.0</v>
      </c>
      <c r="H1479" s="9" t="s">
        <v>4684</v>
      </c>
      <c r="I1479" s="9" t="str">
        <f t="shared" si="1"/>
        <v>No</v>
      </c>
      <c r="J1479" s="9">
        <f t="shared" si="2"/>
        <v>1</v>
      </c>
      <c r="K1479" s="9" t="str">
        <f t="shared" si="3"/>
        <v>OBESITY</v>
      </c>
    </row>
    <row r="1480" ht="15.75" customHeight="1">
      <c r="A1480" s="9" t="s">
        <v>2959</v>
      </c>
      <c r="B1480" s="9">
        <v>18.75</v>
      </c>
      <c r="C1480" s="9">
        <v>6.72</v>
      </c>
      <c r="D1480" s="9" t="s">
        <v>4684</v>
      </c>
      <c r="E1480" s="9" t="s">
        <v>4684</v>
      </c>
      <c r="F1480" s="9" t="s">
        <v>4684</v>
      </c>
      <c r="G1480" s="9" t="s">
        <v>4685</v>
      </c>
      <c r="H1480" s="9" t="s">
        <v>4684</v>
      </c>
      <c r="I1480" s="9" t="str">
        <f t="shared" si="1"/>
        <v>No</v>
      </c>
      <c r="J1480" s="9">
        <f t="shared" si="2"/>
        <v>0</v>
      </c>
      <c r="K1480" s="9" t="str">
        <f t="shared" si="3"/>
        <v>NORMAL WEIGHT</v>
      </c>
    </row>
    <row r="1481" ht="15.75" customHeight="1">
      <c r="A1481" s="9" t="s">
        <v>2961</v>
      </c>
      <c r="B1481" s="9">
        <v>26.48</v>
      </c>
      <c r="C1481" s="9">
        <v>4.2</v>
      </c>
      <c r="D1481" s="9" t="s">
        <v>4684</v>
      </c>
      <c r="E1481" s="9" t="s">
        <v>4684</v>
      </c>
      <c r="F1481" s="9" t="s">
        <v>4684</v>
      </c>
      <c r="G1481" s="9">
        <v>1.0</v>
      </c>
      <c r="H1481" s="9" t="s">
        <v>4684</v>
      </c>
      <c r="I1481" s="9" t="str">
        <f t="shared" si="1"/>
        <v>No</v>
      </c>
      <c r="J1481" s="9">
        <f t="shared" si="2"/>
        <v>1</v>
      </c>
      <c r="K1481" s="9" t="str">
        <f t="shared" si="3"/>
        <v>OVERWEIGHT</v>
      </c>
    </row>
    <row r="1482" ht="15.75" customHeight="1">
      <c r="A1482" s="9" t="s">
        <v>2963</v>
      </c>
      <c r="B1482" s="9">
        <v>34.83</v>
      </c>
      <c r="C1482" s="9">
        <v>5.79</v>
      </c>
      <c r="D1482" s="9" t="s">
        <v>4684</v>
      </c>
      <c r="E1482" s="9" t="s">
        <v>4684</v>
      </c>
      <c r="F1482" s="9" t="s">
        <v>4684</v>
      </c>
      <c r="G1482" s="9">
        <v>1.0</v>
      </c>
      <c r="H1482" s="9" t="s">
        <v>4684</v>
      </c>
      <c r="I1482" s="9" t="str">
        <f t="shared" si="1"/>
        <v>No</v>
      </c>
      <c r="J1482" s="9">
        <f t="shared" si="2"/>
        <v>1</v>
      </c>
      <c r="K1482" s="9" t="str">
        <f t="shared" si="3"/>
        <v>OBESITY</v>
      </c>
    </row>
    <row r="1483" ht="15.75" customHeight="1">
      <c r="A1483" s="9" t="s">
        <v>2965</v>
      </c>
      <c r="B1483" s="9">
        <v>25.46</v>
      </c>
      <c r="C1483" s="9">
        <v>4.29</v>
      </c>
      <c r="D1483" s="9" t="s">
        <v>4684</v>
      </c>
      <c r="E1483" s="9" t="s">
        <v>4684</v>
      </c>
      <c r="F1483" s="9" t="s">
        <v>4684</v>
      </c>
      <c r="G1483" s="9" t="s">
        <v>4685</v>
      </c>
      <c r="H1483" s="9" t="s">
        <v>4684</v>
      </c>
      <c r="I1483" s="9" t="str">
        <f t="shared" si="1"/>
        <v>No</v>
      </c>
      <c r="J1483" s="9">
        <f t="shared" si="2"/>
        <v>0</v>
      </c>
      <c r="K1483" s="9" t="str">
        <f t="shared" si="3"/>
        <v>OVERWEIGHT</v>
      </c>
    </row>
    <row r="1484" ht="15.75" customHeight="1">
      <c r="A1484" s="9" t="s">
        <v>2967</v>
      </c>
      <c r="B1484" s="9">
        <v>23.31</v>
      </c>
      <c r="C1484" s="9">
        <v>8.27</v>
      </c>
      <c r="D1484" s="9" t="s">
        <v>4684</v>
      </c>
      <c r="E1484" s="9" t="s">
        <v>4684</v>
      </c>
      <c r="F1484" s="9" t="s">
        <v>4684</v>
      </c>
      <c r="G1484" s="9" t="s">
        <v>4685</v>
      </c>
      <c r="H1484" s="9" t="s">
        <v>4684</v>
      </c>
      <c r="I1484" s="9" t="str">
        <f t="shared" si="1"/>
        <v>No</v>
      </c>
      <c r="J1484" s="9">
        <f t="shared" si="2"/>
        <v>0</v>
      </c>
      <c r="K1484" s="9" t="str">
        <f t="shared" si="3"/>
        <v>NORMAL WEIGHT</v>
      </c>
    </row>
    <row r="1485" ht="15.75" customHeight="1">
      <c r="A1485" s="9" t="s">
        <v>2969</v>
      </c>
      <c r="B1485" s="9">
        <v>29.0</v>
      </c>
      <c r="C1485" s="9">
        <v>4.56</v>
      </c>
      <c r="D1485" s="9" t="s">
        <v>4684</v>
      </c>
      <c r="E1485" s="9" t="s">
        <v>4684</v>
      </c>
      <c r="F1485" s="9" t="s">
        <v>4684</v>
      </c>
      <c r="G1485" s="9" t="s">
        <v>4685</v>
      </c>
      <c r="H1485" s="9" t="s">
        <v>4684</v>
      </c>
      <c r="I1485" s="9" t="str">
        <f t="shared" si="1"/>
        <v>No</v>
      </c>
      <c r="J1485" s="9">
        <f t="shared" si="2"/>
        <v>0</v>
      </c>
      <c r="K1485" s="9" t="str">
        <f t="shared" si="3"/>
        <v>OVERWEIGHT</v>
      </c>
    </row>
    <row r="1486" ht="15.75" customHeight="1">
      <c r="A1486" s="9" t="s">
        <v>2971</v>
      </c>
      <c r="B1486" s="9">
        <v>32.87</v>
      </c>
      <c r="C1486" s="9">
        <v>5.33</v>
      </c>
      <c r="D1486" s="9" t="s">
        <v>4684</v>
      </c>
      <c r="E1486" s="9" t="s">
        <v>4684</v>
      </c>
      <c r="F1486" s="9" t="s">
        <v>4684</v>
      </c>
      <c r="G1486" s="9" t="s">
        <v>4685</v>
      </c>
      <c r="H1486" s="9" t="s">
        <v>4684</v>
      </c>
      <c r="I1486" s="9" t="str">
        <f t="shared" si="1"/>
        <v>No</v>
      </c>
      <c r="J1486" s="9">
        <f t="shared" si="2"/>
        <v>0</v>
      </c>
      <c r="K1486" s="9" t="str">
        <f t="shared" si="3"/>
        <v>OBESITY</v>
      </c>
    </row>
    <row r="1487" ht="15.75" customHeight="1">
      <c r="A1487" s="9" t="s">
        <v>2973</v>
      </c>
      <c r="B1487" s="9">
        <v>26.18</v>
      </c>
      <c r="C1487" s="9">
        <v>5.63</v>
      </c>
      <c r="D1487" s="9" t="s">
        <v>4684</v>
      </c>
      <c r="E1487" s="9" t="s">
        <v>4684</v>
      </c>
      <c r="F1487" s="9" t="s">
        <v>4684</v>
      </c>
      <c r="G1487" s="9" t="s">
        <v>4685</v>
      </c>
      <c r="H1487" s="9" t="s">
        <v>4684</v>
      </c>
      <c r="I1487" s="9" t="str">
        <f t="shared" si="1"/>
        <v>No</v>
      </c>
      <c r="J1487" s="9">
        <f t="shared" si="2"/>
        <v>0</v>
      </c>
      <c r="K1487" s="9" t="str">
        <f t="shared" si="3"/>
        <v>OVERWEIGHT</v>
      </c>
    </row>
    <row r="1488" ht="15.75" customHeight="1">
      <c r="A1488" s="9" t="s">
        <v>2975</v>
      </c>
      <c r="B1488" s="9">
        <v>25.3</v>
      </c>
      <c r="C1488" s="9">
        <v>5.12</v>
      </c>
      <c r="D1488" s="9" t="s">
        <v>4684</v>
      </c>
      <c r="E1488" s="9" t="s">
        <v>4684</v>
      </c>
      <c r="F1488" s="9" t="s">
        <v>4684</v>
      </c>
      <c r="G1488" s="9" t="s">
        <v>4685</v>
      </c>
      <c r="H1488" s="9" t="s">
        <v>4684</v>
      </c>
      <c r="I1488" s="9" t="str">
        <f t="shared" si="1"/>
        <v>No</v>
      </c>
      <c r="J1488" s="9">
        <f t="shared" si="2"/>
        <v>0</v>
      </c>
      <c r="K1488" s="9" t="str">
        <f t="shared" si="3"/>
        <v>OVERWEIGHT</v>
      </c>
    </row>
    <row r="1489" ht="15.75" customHeight="1">
      <c r="A1489" s="9" t="s">
        <v>2977</v>
      </c>
      <c r="B1489" s="9">
        <v>36.94</v>
      </c>
      <c r="C1489" s="9">
        <v>5.15</v>
      </c>
      <c r="D1489" s="9" t="s">
        <v>4686</v>
      </c>
      <c r="E1489" s="9" t="s">
        <v>4684</v>
      </c>
      <c r="F1489" s="9" t="s">
        <v>4684</v>
      </c>
      <c r="G1489" s="9">
        <v>1.0</v>
      </c>
      <c r="H1489" s="9" t="s">
        <v>4684</v>
      </c>
      <c r="I1489" s="9" t="str">
        <f t="shared" si="1"/>
        <v>No</v>
      </c>
      <c r="J1489" s="9">
        <f t="shared" si="2"/>
        <v>1</v>
      </c>
      <c r="K1489" s="9" t="str">
        <f t="shared" si="3"/>
        <v>OBESITY</v>
      </c>
    </row>
    <row r="1490" ht="15.75" customHeight="1">
      <c r="A1490" s="9" t="s">
        <v>2979</v>
      </c>
      <c r="B1490" s="9">
        <v>22.86</v>
      </c>
      <c r="C1490" s="9">
        <v>7.5</v>
      </c>
      <c r="D1490" s="9" t="s">
        <v>4684</v>
      </c>
      <c r="E1490" s="9" t="s">
        <v>4684</v>
      </c>
      <c r="F1490" s="9" t="s">
        <v>4684</v>
      </c>
      <c r="G1490" s="9" t="s">
        <v>4685</v>
      </c>
      <c r="H1490" s="9" t="s">
        <v>4684</v>
      </c>
      <c r="I1490" s="9" t="str">
        <f t="shared" si="1"/>
        <v>No</v>
      </c>
      <c r="J1490" s="9">
        <f t="shared" si="2"/>
        <v>0</v>
      </c>
      <c r="K1490" s="9" t="str">
        <f t="shared" si="3"/>
        <v>NORMAL WEIGHT</v>
      </c>
    </row>
    <row r="1491" ht="15.75" customHeight="1">
      <c r="A1491" s="9" t="s">
        <v>2981</v>
      </c>
      <c r="B1491" s="9">
        <v>18.76</v>
      </c>
      <c r="C1491" s="9">
        <v>4.88</v>
      </c>
      <c r="D1491" s="9" t="s">
        <v>4686</v>
      </c>
      <c r="E1491" s="9" t="s">
        <v>4684</v>
      </c>
      <c r="F1491" s="9" t="s">
        <v>4686</v>
      </c>
      <c r="G1491" s="9">
        <v>1.0</v>
      </c>
      <c r="H1491" s="9" t="s">
        <v>4684</v>
      </c>
      <c r="I1491" s="9" t="str">
        <f t="shared" si="1"/>
        <v>No</v>
      </c>
      <c r="J1491" s="9">
        <f t="shared" si="2"/>
        <v>1</v>
      </c>
      <c r="K1491" s="9" t="str">
        <f t="shared" si="3"/>
        <v>NORMAL WEIGHT</v>
      </c>
    </row>
    <row r="1492" ht="15.75" customHeight="1">
      <c r="A1492" s="9" t="s">
        <v>2983</v>
      </c>
      <c r="B1492" s="9">
        <v>24.36</v>
      </c>
      <c r="C1492" s="9">
        <v>5.57</v>
      </c>
      <c r="D1492" s="9" t="s">
        <v>4684</v>
      </c>
      <c r="E1492" s="9" t="s">
        <v>4684</v>
      </c>
      <c r="F1492" s="9" t="s">
        <v>4684</v>
      </c>
      <c r="G1492" s="9" t="s">
        <v>4685</v>
      </c>
      <c r="H1492" s="9" t="s">
        <v>4684</v>
      </c>
      <c r="I1492" s="9" t="str">
        <f t="shared" si="1"/>
        <v>No</v>
      </c>
      <c r="J1492" s="9">
        <f t="shared" si="2"/>
        <v>0</v>
      </c>
      <c r="K1492" s="9" t="str">
        <f t="shared" si="3"/>
        <v>NORMAL WEIGHT</v>
      </c>
    </row>
    <row r="1493" ht="15.75" customHeight="1">
      <c r="A1493" s="9" t="s">
        <v>2985</v>
      </c>
      <c r="B1493" s="9">
        <v>32.3</v>
      </c>
      <c r="C1493" s="9">
        <v>5.31</v>
      </c>
      <c r="D1493" s="9" t="s">
        <v>4684</v>
      </c>
      <c r="E1493" s="9" t="s">
        <v>4684</v>
      </c>
      <c r="F1493" s="9" t="s">
        <v>4684</v>
      </c>
      <c r="G1493" s="9" t="s">
        <v>4685</v>
      </c>
      <c r="H1493" s="9" t="s">
        <v>4684</v>
      </c>
      <c r="I1493" s="9" t="str">
        <f t="shared" si="1"/>
        <v>No</v>
      </c>
      <c r="J1493" s="9">
        <f t="shared" si="2"/>
        <v>0</v>
      </c>
      <c r="K1493" s="9" t="str">
        <f t="shared" si="3"/>
        <v>OBESITY</v>
      </c>
    </row>
    <row r="1494" ht="15.75" customHeight="1">
      <c r="A1494" s="9" t="s">
        <v>2987</v>
      </c>
      <c r="B1494" s="9">
        <v>22.705</v>
      </c>
      <c r="C1494" s="9">
        <v>4.57</v>
      </c>
      <c r="D1494" s="9" t="s">
        <v>4686</v>
      </c>
      <c r="E1494" s="9" t="s">
        <v>4684</v>
      </c>
      <c r="F1494" s="9" t="s">
        <v>4684</v>
      </c>
      <c r="G1494" s="9" t="s">
        <v>4685</v>
      </c>
      <c r="H1494" s="9" t="s">
        <v>4684</v>
      </c>
      <c r="I1494" s="9" t="str">
        <f t="shared" si="1"/>
        <v>No</v>
      </c>
      <c r="J1494" s="9">
        <f t="shared" si="2"/>
        <v>0</v>
      </c>
      <c r="K1494" s="9" t="str">
        <f t="shared" si="3"/>
        <v>NORMAL WEIGHT</v>
      </c>
    </row>
    <row r="1495" ht="15.75" customHeight="1">
      <c r="A1495" s="9" t="s">
        <v>2989</v>
      </c>
      <c r="B1495" s="9">
        <v>21.79</v>
      </c>
      <c r="C1495" s="9">
        <v>8.7</v>
      </c>
      <c r="D1495" s="9" t="s">
        <v>4686</v>
      </c>
      <c r="E1495" s="9" t="s">
        <v>4684</v>
      </c>
      <c r="F1495" s="9" t="s">
        <v>4684</v>
      </c>
      <c r="G1495" s="9">
        <v>1.0</v>
      </c>
      <c r="H1495" s="9" t="s">
        <v>4684</v>
      </c>
      <c r="I1495" s="9" t="str">
        <f t="shared" si="1"/>
        <v>No</v>
      </c>
      <c r="J1495" s="9">
        <f t="shared" si="2"/>
        <v>1</v>
      </c>
      <c r="K1495" s="9" t="str">
        <f t="shared" si="3"/>
        <v>NORMAL WEIGHT</v>
      </c>
    </row>
    <row r="1496" ht="15.75" customHeight="1">
      <c r="A1496" s="9" t="s">
        <v>2991</v>
      </c>
      <c r="B1496" s="9">
        <v>24.52</v>
      </c>
      <c r="C1496" s="9">
        <v>4.76</v>
      </c>
      <c r="D1496" s="9" t="s">
        <v>4684</v>
      </c>
      <c r="E1496" s="9" t="s">
        <v>4684</v>
      </c>
      <c r="F1496" s="9" t="s">
        <v>4684</v>
      </c>
      <c r="G1496" s="9" t="s">
        <v>4685</v>
      </c>
      <c r="H1496" s="9" t="s">
        <v>4684</v>
      </c>
      <c r="I1496" s="9" t="str">
        <f t="shared" si="1"/>
        <v>No</v>
      </c>
      <c r="J1496" s="9">
        <f t="shared" si="2"/>
        <v>0</v>
      </c>
      <c r="K1496" s="9" t="str">
        <f t="shared" si="3"/>
        <v>NORMAL WEIGHT</v>
      </c>
    </row>
    <row r="1497" ht="15.75" customHeight="1">
      <c r="A1497" s="9" t="s">
        <v>2993</v>
      </c>
      <c r="B1497" s="9">
        <v>39.52</v>
      </c>
      <c r="C1497" s="9">
        <v>11.81</v>
      </c>
      <c r="D1497" s="9" t="s">
        <v>4684</v>
      </c>
      <c r="E1497" s="9" t="s">
        <v>4684</v>
      </c>
      <c r="F1497" s="9" t="s">
        <v>4684</v>
      </c>
      <c r="G1497" s="9" t="s">
        <v>4685</v>
      </c>
      <c r="H1497" s="9" t="s">
        <v>4684</v>
      </c>
      <c r="I1497" s="9" t="str">
        <f t="shared" si="1"/>
        <v>No</v>
      </c>
      <c r="J1497" s="9">
        <f t="shared" si="2"/>
        <v>0</v>
      </c>
      <c r="K1497" s="9" t="str">
        <f t="shared" si="3"/>
        <v>OBESITY</v>
      </c>
    </row>
    <row r="1498" ht="15.75" customHeight="1">
      <c r="A1498" s="9" t="s">
        <v>2995</v>
      </c>
      <c r="B1498" s="9">
        <v>24.49</v>
      </c>
      <c r="C1498" s="9">
        <v>4.67</v>
      </c>
      <c r="D1498" s="9" t="s">
        <v>4684</v>
      </c>
      <c r="E1498" s="9" t="s">
        <v>4684</v>
      </c>
      <c r="F1498" s="9" t="s">
        <v>4684</v>
      </c>
      <c r="G1498" s="9" t="s">
        <v>4685</v>
      </c>
      <c r="H1498" s="9" t="s">
        <v>4684</v>
      </c>
      <c r="I1498" s="9" t="str">
        <f t="shared" si="1"/>
        <v>No</v>
      </c>
      <c r="J1498" s="9">
        <f t="shared" si="2"/>
        <v>0</v>
      </c>
      <c r="K1498" s="9" t="str">
        <f t="shared" si="3"/>
        <v>NORMAL WEIGHT</v>
      </c>
    </row>
    <row r="1499" ht="15.75" customHeight="1">
      <c r="A1499" s="9" t="s">
        <v>2997</v>
      </c>
      <c r="B1499" s="9">
        <v>26.315</v>
      </c>
      <c r="C1499" s="9">
        <v>6.02</v>
      </c>
      <c r="D1499" s="9" t="s">
        <v>4684</v>
      </c>
      <c r="E1499" s="9" t="s">
        <v>4684</v>
      </c>
      <c r="F1499" s="9" t="s">
        <v>4684</v>
      </c>
      <c r="G1499" s="9" t="s">
        <v>4685</v>
      </c>
      <c r="H1499" s="9" t="s">
        <v>4684</v>
      </c>
      <c r="I1499" s="9" t="str">
        <f t="shared" si="1"/>
        <v>No</v>
      </c>
      <c r="J1499" s="9">
        <f t="shared" si="2"/>
        <v>0</v>
      </c>
      <c r="K1499" s="9" t="str">
        <f t="shared" si="3"/>
        <v>OVERWEIGHT</v>
      </c>
    </row>
    <row r="1500" ht="15.75" customHeight="1">
      <c r="A1500" s="9" t="s">
        <v>2999</v>
      </c>
      <c r="B1500" s="9">
        <v>22.58</v>
      </c>
      <c r="C1500" s="9">
        <v>7.46</v>
      </c>
      <c r="D1500" s="9" t="s">
        <v>4684</v>
      </c>
      <c r="E1500" s="9" t="s">
        <v>4684</v>
      </c>
      <c r="F1500" s="9" t="s">
        <v>4684</v>
      </c>
      <c r="G1500" s="9" t="s">
        <v>4685</v>
      </c>
      <c r="H1500" s="9" t="s">
        <v>4684</v>
      </c>
      <c r="I1500" s="9" t="str">
        <f t="shared" si="1"/>
        <v>No</v>
      </c>
      <c r="J1500" s="9">
        <f t="shared" si="2"/>
        <v>0</v>
      </c>
      <c r="K1500" s="9" t="str">
        <f t="shared" si="3"/>
        <v>NORMAL WEIGHT</v>
      </c>
    </row>
    <row r="1501" ht="15.75" customHeight="1">
      <c r="A1501" s="9" t="s">
        <v>3001</v>
      </c>
      <c r="B1501" s="9">
        <v>19.475</v>
      </c>
      <c r="C1501" s="9">
        <v>4.74</v>
      </c>
      <c r="D1501" s="9" t="s">
        <v>4684</v>
      </c>
      <c r="E1501" s="9" t="s">
        <v>4684</v>
      </c>
      <c r="F1501" s="9" t="s">
        <v>4684</v>
      </c>
      <c r="G1501" s="9">
        <v>1.0</v>
      </c>
      <c r="H1501" s="9" t="s">
        <v>4684</v>
      </c>
      <c r="I1501" s="9" t="str">
        <f t="shared" si="1"/>
        <v>No</v>
      </c>
      <c r="J1501" s="9">
        <f t="shared" si="2"/>
        <v>1</v>
      </c>
      <c r="K1501" s="9" t="str">
        <f t="shared" si="3"/>
        <v>NORMAL WEIGHT</v>
      </c>
    </row>
    <row r="1502" ht="15.75" customHeight="1">
      <c r="A1502" s="9" t="s">
        <v>3003</v>
      </c>
      <c r="B1502" s="9">
        <v>26.33</v>
      </c>
      <c r="C1502" s="9">
        <v>4.79</v>
      </c>
      <c r="D1502" s="9" t="s">
        <v>4684</v>
      </c>
      <c r="E1502" s="9" t="s">
        <v>4684</v>
      </c>
      <c r="F1502" s="9" t="s">
        <v>4684</v>
      </c>
      <c r="G1502" s="9" t="s">
        <v>4685</v>
      </c>
      <c r="H1502" s="9" t="s">
        <v>4684</v>
      </c>
      <c r="I1502" s="9" t="str">
        <f t="shared" si="1"/>
        <v>No</v>
      </c>
      <c r="J1502" s="9">
        <f t="shared" si="2"/>
        <v>0</v>
      </c>
      <c r="K1502" s="9" t="str">
        <f t="shared" si="3"/>
        <v>OVERWEIGHT</v>
      </c>
    </row>
    <row r="1503" ht="15.75" customHeight="1">
      <c r="A1503" s="9" t="s">
        <v>3005</v>
      </c>
      <c r="B1503" s="9">
        <v>17.29</v>
      </c>
      <c r="C1503" s="9">
        <v>5.35</v>
      </c>
      <c r="D1503" s="9" t="s">
        <v>4686</v>
      </c>
      <c r="E1503" s="9" t="s">
        <v>4684</v>
      </c>
      <c r="F1503" s="9" t="s">
        <v>4684</v>
      </c>
      <c r="G1503" s="9" t="s">
        <v>4685</v>
      </c>
      <c r="H1503" s="9" t="s">
        <v>4684</v>
      </c>
      <c r="I1503" s="9" t="str">
        <f t="shared" si="1"/>
        <v>No</v>
      </c>
      <c r="J1503" s="9">
        <f t="shared" si="2"/>
        <v>0</v>
      </c>
      <c r="K1503" s="9" t="str">
        <f t="shared" si="3"/>
        <v>UNDERWEIGHT</v>
      </c>
    </row>
    <row r="1504" ht="15.75" customHeight="1">
      <c r="A1504" s="9" t="s">
        <v>3007</v>
      </c>
      <c r="B1504" s="9">
        <v>42.88</v>
      </c>
      <c r="C1504" s="9">
        <v>4.87</v>
      </c>
      <c r="D1504" s="9" t="s">
        <v>4684</v>
      </c>
      <c r="E1504" s="9" t="s">
        <v>4686</v>
      </c>
      <c r="F1504" s="9" t="s">
        <v>4684</v>
      </c>
      <c r="G1504" s="9">
        <v>1.0</v>
      </c>
      <c r="H1504" s="9" t="s">
        <v>4684</v>
      </c>
      <c r="I1504" s="9" t="str">
        <f t="shared" si="1"/>
        <v>No</v>
      </c>
      <c r="J1504" s="9">
        <f t="shared" si="2"/>
        <v>1</v>
      </c>
      <c r="K1504" s="9" t="str">
        <f t="shared" si="3"/>
        <v>OBESITY</v>
      </c>
    </row>
    <row r="1505" ht="15.75" customHeight="1">
      <c r="A1505" s="9" t="s">
        <v>3009</v>
      </c>
      <c r="B1505" s="9">
        <v>32.2</v>
      </c>
      <c r="C1505" s="9">
        <v>10.09</v>
      </c>
      <c r="D1505" s="9" t="s">
        <v>4686</v>
      </c>
      <c r="E1505" s="9" t="s">
        <v>4684</v>
      </c>
      <c r="F1505" s="9" t="s">
        <v>4684</v>
      </c>
      <c r="G1505" s="9" t="s">
        <v>4685</v>
      </c>
      <c r="H1505" s="9" t="s">
        <v>4684</v>
      </c>
      <c r="I1505" s="9" t="str">
        <f t="shared" si="1"/>
        <v>No</v>
      </c>
      <c r="J1505" s="9">
        <f t="shared" si="2"/>
        <v>0</v>
      </c>
      <c r="K1505" s="9" t="str">
        <f t="shared" si="3"/>
        <v>OBESITY</v>
      </c>
    </row>
    <row r="1506" ht="15.75" customHeight="1">
      <c r="A1506" s="9" t="s">
        <v>3011</v>
      </c>
      <c r="B1506" s="9">
        <v>18.75</v>
      </c>
      <c r="C1506" s="9">
        <v>5.47</v>
      </c>
      <c r="D1506" s="9" t="s">
        <v>4686</v>
      </c>
      <c r="E1506" s="9" t="s">
        <v>4684</v>
      </c>
      <c r="F1506" s="9" t="s">
        <v>4686</v>
      </c>
      <c r="G1506" s="9">
        <v>1.0</v>
      </c>
      <c r="H1506" s="9" t="s">
        <v>4684</v>
      </c>
      <c r="I1506" s="9" t="str">
        <f t="shared" si="1"/>
        <v>No</v>
      </c>
      <c r="J1506" s="9">
        <f t="shared" si="2"/>
        <v>1</v>
      </c>
      <c r="K1506" s="9" t="str">
        <f t="shared" si="3"/>
        <v>NORMAL WEIGHT</v>
      </c>
    </row>
    <row r="1507" ht="15.75" customHeight="1">
      <c r="A1507" s="9" t="s">
        <v>3013</v>
      </c>
      <c r="B1507" s="9">
        <v>22.36</v>
      </c>
      <c r="C1507" s="9">
        <v>8.6</v>
      </c>
      <c r="D1507" s="9" t="s">
        <v>4684</v>
      </c>
      <c r="E1507" s="9" t="s">
        <v>4684</v>
      </c>
      <c r="F1507" s="9" t="s">
        <v>4684</v>
      </c>
      <c r="G1507" s="9" t="s">
        <v>4685</v>
      </c>
      <c r="H1507" s="9" t="s">
        <v>4684</v>
      </c>
      <c r="I1507" s="9" t="str">
        <f t="shared" si="1"/>
        <v>No</v>
      </c>
      <c r="J1507" s="9">
        <f t="shared" si="2"/>
        <v>0</v>
      </c>
      <c r="K1507" s="9" t="str">
        <f t="shared" si="3"/>
        <v>NORMAL WEIGHT</v>
      </c>
    </row>
    <row r="1508" ht="15.75" customHeight="1">
      <c r="A1508" s="9" t="s">
        <v>3015</v>
      </c>
      <c r="B1508" s="9">
        <v>23.94</v>
      </c>
      <c r="C1508" s="9">
        <v>10.74</v>
      </c>
      <c r="D1508" s="9" t="s">
        <v>4686</v>
      </c>
      <c r="E1508" s="9" t="s">
        <v>4684</v>
      </c>
      <c r="F1508" s="9" t="s">
        <v>4684</v>
      </c>
      <c r="G1508" s="9" t="s">
        <v>4685</v>
      </c>
      <c r="H1508" s="9" t="s">
        <v>4684</v>
      </c>
      <c r="I1508" s="9" t="str">
        <f t="shared" si="1"/>
        <v>No</v>
      </c>
      <c r="J1508" s="9">
        <f t="shared" si="2"/>
        <v>0</v>
      </c>
      <c r="K1508" s="9" t="str">
        <f t="shared" si="3"/>
        <v>NORMAL WEIGHT</v>
      </c>
    </row>
    <row r="1509" ht="15.75" customHeight="1">
      <c r="A1509" s="9" t="s">
        <v>3017</v>
      </c>
      <c r="B1509" s="9">
        <v>30.1</v>
      </c>
      <c r="C1509" s="9">
        <v>4.39</v>
      </c>
      <c r="D1509" s="9" t="s">
        <v>4684</v>
      </c>
      <c r="E1509" s="9" t="s">
        <v>4684</v>
      </c>
      <c r="F1509" s="9" t="s">
        <v>4686</v>
      </c>
      <c r="G1509" s="9">
        <v>1.0</v>
      </c>
      <c r="H1509" s="9" t="s">
        <v>4684</v>
      </c>
      <c r="I1509" s="9" t="str">
        <f t="shared" si="1"/>
        <v>No</v>
      </c>
      <c r="J1509" s="9">
        <f t="shared" si="2"/>
        <v>1</v>
      </c>
      <c r="K1509" s="9" t="str">
        <f t="shared" si="3"/>
        <v>OBESITY</v>
      </c>
    </row>
    <row r="1510" ht="15.75" customHeight="1">
      <c r="A1510" s="9" t="s">
        <v>3019</v>
      </c>
      <c r="B1510" s="9">
        <v>21.93</v>
      </c>
      <c r="C1510" s="9">
        <v>6.3</v>
      </c>
      <c r="D1510" s="9" t="s">
        <v>4684</v>
      </c>
      <c r="E1510" s="9" t="s">
        <v>4684</v>
      </c>
      <c r="F1510" s="9" t="s">
        <v>4684</v>
      </c>
      <c r="G1510" s="9" t="s">
        <v>4685</v>
      </c>
      <c r="H1510" s="9" t="s">
        <v>4684</v>
      </c>
      <c r="I1510" s="9" t="str">
        <f t="shared" si="1"/>
        <v>No</v>
      </c>
      <c r="J1510" s="9">
        <f t="shared" si="2"/>
        <v>0</v>
      </c>
      <c r="K1510" s="9" t="str">
        <f t="shared" si="3"/>
        <v>NORMAL WEIGHT</v>
      </c>
    </row>
    <row r="1511" ht="15.75" customHeight="1">
      <c r="A1511" s="9" t="s">
        <v>3021</v>
      </c>
      <c r="B1511" s="9">
        <v>39.75</v>
      </c>
      <c r="C1511" s="9">
        <v>5.41</v>
      </c>
      <c r="D1511" s="9" t="s">
        <v>4684</v>
      </c>
      <c r="E1511" s="9" t="s">
        <v>4686</v>
      </c>
      <c r="F1511" s="9" t="s">
        <v>4684</v>
      </c>
      <c r="G1511" s="9">
        <v>1.0</v>
      </c>
      <c r="H1511" s="9" t="s">
        <v>4684</v>
      </c>
      <c r="I1511" s="9" t="str">
        <f t="shared" si="1"/>
        <v>No</v>
      </c>
      <c r="J1511" s="9">
        <f t="shared" si="2"/>
        <v>1</v>
      </c>
      <c r="K1511" s="9" t="str">
        <f t="shared" si="3"/>
        <v>OBESITY</v>
      </c>
    </row>
    <row r="1512" ht="15.75" customHeight="1">
      <c r="A1512" s="9" t="s">
        <v>3023</v>
      </c>
      <c r="B1512" s="9">
        <v>26.03</v>
      </c>
      <c r="C1512" s="9">
        <v>4.47</v>
      </c>
      <c r="D1512" s="9" t="s">
        <v>4684</v>
      </c>
      <c r="E1512" s="9" t="s">
        <v>4684</v>
      </c>
      <c r="F1512" s="9" t="s">
        <v>4686</v>
      </c>
      <c r="G1512" s="9">
        <v>1.0</v>
      </c>
      <c r="H1512" s="9" t="s">
        <v>4684</v>
      </c>
      <c r="I1512" s="9" t="str">
        <f t="shared" si="1"/>
        <v>No</v>
      </c>
      <c r="J1512" s="9">
        <f t="shared" si="2"/>
        <v>1</v>
      </c>
      <c r="K1512" s="9" t="str">
        <f t="shared" si="3"/>
        <v>OVERWEIGHT</v>
      </c>
    </row>
    <row r="1513" ht="15.75" customHeight="1">
      <c r="A1513" s="9" t="s">
        <v>3025</v>
      </c>
      <c r="B1513" s="9">
        <v>34.51</v>
      </c>
      <c r="C1513" s="9">
        <v>6.26</v>
      </c>
      <c r="D1513" s="9" t="s">
        <v>4684</v>
      </c>
      <c r="E1513" s="9" t="s">
        <v>4684</v>
      </c>
      <c r="F1513" s="9" t="s">
        <v>4684</v>
      </c>
      <c r="G1513" s="9" t="s">
        <v>4685</v>
      </c>
      <c r="H1513" s="9" t="s">
        <v>4684</v>
      </c>
      <c r="I1513" s="9" t="str">
        <f t="shared" si="1"/>
        <v>No</v>
      </c>
      <c r="J1513" s="9">
        <f t="shared" si="2"/>
        <v>0</v>
      </c>
      <c r="K1513" s="9" t="str">
        <f t="shared" si="3"/>
        <v>OBESITY</v>
      </c>
    </row>
    <row r="1514" ht="15.75" customHeight="1">
      <c r="A1514" s="9" t="s">
        <v>3027</v>
      </c>
      <c r="B1514" s="9">
        <v>19.32</v>
      </c>
      <c r="C1514" s="9">
        <v>11.58</v>
      </c>
      <c r="D1514" s="9" t="s">
        <v>4686</v>
      </c>
      <c r="E1514" s="9" t="s">
        <v>4684</v>
      </c>
      <c r="F1514" s="9" t="s">
        <v>4684</v>
      </c>
      <c r="G1514" s="9">
        <v>1.0</v>
      </c>
      <c r="H1514" s="9" t="s">
        <v>4684</v>
      </c>
      <c r="I1514" s="9" t="str">
        <f t="shared" si="1"/>
        <v>No</v>
      </c>
      <c r="J1514" s="9">
        <f t="shared" si="2"/>
        <v>1</v>
      </c>
      <c r="K1514" s="9" t="str">
        <f t="shared" si="3"/>
        <v>NORMAL WEIGHT</v>
      </c>
    </row>
    <row r="1515" ht="15.75" customHeight="1">
      <c r="A1515" s="9" t="s">
        <v>3029</v>
      </c>
      <c r="B1515" s="9">
        <v>28.5</v>
      </c>
      <c r="C1515" s="9">
        <v>4.36</v>
      </c>
      <c r="D1515" s="9" t="s">
        <v>4684</v>
      </c>
      <c r="E1515" s="9" t="s">
        <v>4684</v>
      </c>
      <c r="F1515" s="9" t="s">
        <v>4684</v>
      </c>
      <c r="G1515" s="9" t="s">
        <v>4685</v>
      </c>
      <c r="H1515" s="9" t="s">
        <v>4684</v>
      </c>
      <c r="I1515" s="9" t="str">
        <f t="shared" si="1"/>
        <v>No</v>
      </c>
      <c r="J1515" s="9">
        <f t="shared" si="2"/>
        <v>0</v>
      </c>
      <c r="K1515" s="9" t="str">
        <f t="shared" si="3"/>
        <v>OVERWEIGHT</v>
      </c>
    </row>
    <row r="1516" ht="15.75" customHeight="1">
      <c r="A1516" s="9" t="s">
        <v>3031</v>
      </c>
      <c r="B1516" s="9">
        <v>30.875</v>
      </c>
      <c r="C1516" s="9">
        <v>4.14</v>
      </c>
      <c r="D1516" s="9" t="s">
        <v>4686</v>
      </c>
      <c r="E1516" s="9" t="s">
        <v>4684</v>
      </c>
      <c r="F1516" s="9" t="s">
        <v>4684</v>
      </c>
      <c r="G1516" s="9" t="s">
        <v>4685</v>
      </c>
      <c r="H1516" s="9" t="s">
        <v>4684</v>
      </c>
      <c r="I1516" s="9" t="str">
        <f t="shared" si="1"/>
        <v>No</v>
      </c>
      <c r="J1516" s="9">
        <f t="shared" si="2"/>
        <v>0</v>
      </c>
      <c r="K1516" s="9" t="str">
        <f t="shared" si="3"/>
        <v>OBESITY</v>
      </c>
    </row>
    <row r="1517" ht="15.75" customHeight="1">
      <c r="A1517" s="9" t="s">
        <v>3033</v>
      </c>
      <c r="B1517" s="9">
        <v>24.02</v>
      </c>
      <c r="C1517" s="9">
        <v>4.38</v>
      </c>
      <c r="D1517" s="9" t="s">
        <v>4684</v>
      </c>
      <c r="E1517" s="9" t="s">
        <v>4684</v>
      </c>
      <c r="F1517" s="9" t="s">
        <v>4684</v>
      </c>
      <c r="G1517" s="9" t="s">
        <v>4685</v>
      </c>
      <c r="H1517" s="9" t="s">
        <v>4684</v>
      </c>
      <c r="I1517" s="9" t="str">
        <f t="shared" si="1"/>
        <v>No</v>
      </c>
      <c r="J1517" s="9">
        <f t="shared" si="2"/>
        <v>0</v>
      </c>
      <c r="K1517" s="9" t="str">
        <f t="shared" si="3"/>
        <v>NORMAL WEIGHT</v>
      </c>
    </row>
    <row r="1518" ht="15.75" customHeight="1">
      <c r="A1518" s="9" t="s">
        <v>3035</v>
      </c>
      <c r="B1518" s="9">
        <v>36.08</v>
      </c>
      <c r="C1518" s="9">
        <v>11.61</v>
      </c>
      <c r="D1518" s="9" t="s">
        <v>4686</v>
      </c>
      <c r="E1518" s="9" t="s">
        <v>4684</v>
      </c>
      <c r="F1518" s="9" t="s">
        <v>4684</v>
      </c>
      <c r="G1518" s="9" t="s">
        <v>4685</v>
      </c>
      <c r="H1518" s="9" t="s">
        <v>4684</v>
      </c>
      <c r="I1518" s="9" t="str">
        <f t="shared" si="1"/>
        <v>No</v>
      </c>
      <c r="J1518" s="9">
        <f t="shared" si="2"/>
        <v>0</v>
      </c>
      <c r="K1518" s="9" t="str">
        <f t="shared" si="3"/>
        <v>OBESITY</v>
      </c>
    </row>
    <row r="1519" ht="15.75" customHeight="1">
      <c r="A1519" s="9" t="s">
        <v>3037</v>
      </c>
      <c r="B1519" s="9">
        <v>32.2</v>
      </c>
      <c r="C1519" s="9">
        <v>10.59</v>
      </c>
      <c r="D1519" s="9" t="s">
        <v>4686</v>
      </c>
      <c r="E1519" s="9" t="s">
        <v>4684</v>
      </c>
      <c r="F1519" s="9" t="s">
        <v>4684</v>
      </c>
      <c r="G1519" s="9" t="s">
        <v>4685</v>
      </c>
      <c r="H1519" s="9" t="s">
        <v>4684</v>
      </c>
      <c r="I1519" s="9" t="str">
        <f t="shared" si="1"/>
        <v>No</v>
      </c>
      <c r="J1519" s="9">
        <f t="shared" si="2"/>
        <v>0</v>
      </c>
      <c r="K1519" s="9" t="str">
        <f t="shared" si="3"/>
        <v>OBESITY</v>
      </c>
    </row>
    <row r="1520" ht="15.75" customHeight="1">
      <c r="A1520" s="9" t="s">
        <v>3039</v>
      </c>
      <c r="B1520" s="9">
        <v>28.05</v>
      </c>
      <c r="C1520" s="9">
        <v>11.85</v>
      </c>
      <c r="D1520" s="9" t="s">
        <v>4686</v>
      </c>
      <c r="E1520" s="9" t="s">
        <v>4684</v>
      </c>
      <c r="F1520" s="9" t="s">
        <v>4684</v>
      </c>
      <c r="G1520" s="9" t="s">
        <v>4685</v>
      </c>
      <c r="H1520" s="9" t="s">
        <v>4684</v>
      </c>
      <c r="I1520" s="9" t="str">
        <f t="shared" si="1"/>
        <v>No</v>
      </c>
      <c r="J1520" s="9">
        <f t="shared" si="2"/>
        <v>0</v>
      </c>
      <c r="K1520" s="9" t="str">
        <f t="shared" si="3"/>
        <v>OVERWEIGHT</v>
      </c>
    </row>
    <row r="1521" ht="15.75" customHeight="1">
      <c r="A1521" s="9" t="s">
        <v>3041</v>
      </c>
      <c r="B1521" s="9">
        <v>19.0</v>
      </c>
      <c r="C1521" s="9">
        <v>5.46</v>
      </c>
      <c r="D1521" s="9" t="s">
        <v>4686</v>
      </c>
      <c r="E1521" s="9" t="s">
        <v>4684</v>
      </c>
      <c r="F1521" s="9" t="s">
        <v>4684</v>
      </c>
      <c r="G1521" s="9">
        <v>1.0</v>
      </c>
      <c r="H1521" s="9" t="s">
        <v>4684</v>
      </c>
      <c r="I1521" s="9" t="str">
        <f t="shared" si="1"/>
        <v>No</v>
      </c>
      <c r="J1521" s="9">
        <f t="shared" si="2"/>
        <v>1</v>
      </c>
      <c r="K1521" s="9" t="str">
        <f t="shared" si="3"/>
        <v>NORMAL WEIGHT</v>
      </c>
    </row>
    <row r="1522" ht="15.75" customHeight="1">
      <c r="A1522" s="9" t="s">
        <v>3043</v>
      </c>
      <c r="B1522" s="9">
        <v>16.13</v>
      </c>
      <c r="C1522" s="9">
        <v>4.54</v>
      </c>
      <c r="D1522" s="9" t="s">
        <v>4686</v>
      </c>
      <c r="E1522" s="9" t="s">
        <v>4684</v>
      </c>
      <c r="F1522" s="9" t="s">
        <v>4684</v>
      </c>
      <c r="G1522" s="9">
        <v>2.0</v>
      </c>
      <c r="H1522" s="9" t="s">
        <v>4684</v>
      </c>
      <c r="I1522" s="9" t="str">
        <f t="shared" si="1"/>
        <v>No</v>
      </c>
      <c r="J1522" s="9">
        <f t="shared" si="2"/>
        <v>2</v>
      </c>
      <c r="K1522" s="9" t="str">
        <f t="shared" si="3"/>
        <v>UNDERWEIGHT</v>
      </c>
    </row>
    <row r="1523" ht="15.75" customHeight="1">
      <c r="A1523" s="9" t="s">
        <v>3045</v>
      </c>
      <c r="B1523" s="9">
        <v>18.77</v>
      </c>
      <c r="C1523" s="9">
        <v>11.98</v>
      </c>
      <c r="D1523" s="9" t="s">
        <v>4686</v>
      </c>
      <c r="E1523" s="9" t="s">
        <v>4684</v>
      </c>
      <c r="F1523" s="9" t="s">
        <v>4684</v>
      </c>
      <c r="G1523" s="9">
        <v>2.0</v>
      </c>
      <c r="H1523" s="9" t="s">
        <v>4684</v>
      </c>
      <c r="I1523" s="9" t="str">
        <f t="shared" si="1"/>
        <v>No</v>
      </c>
      <c r="J1523" s="9">
        <f t="shared" si="2"/>
        <v>2</v>
      </c>
      <c r="K1523" s="9" t="str">
        <f t="shared" si="3"/>
        <v>NORMAL WEIGHT</v>
      </c>
    </row>
    <row r="1524" ht="15.75" customHeight="1">
      <c r="A1524" s="9" t="s">
        <v>3047</v>
      </c>
      <c r="B1524" s="9">
        <v>28.88</v>
      </c>
      <c r="C1524" s="9">
        <v>6.59</v>
      </c>
      <c r="D1524" s="9" t="s">
        <v>4686</v>
      </c>
      <c r="E1524" s="9" t="s">
        <v>4684</v>
      </c>
      <c r="F1524" s="9" t="s">
        <v>4684</v>
      </c>
      <c r="G1524" s="9">
        <v>1.0</v>
      </c>
      <c r="H1524" s="9" t="s">
        <v>4684</v>
      </c>
      <c r="I1524" s="9" t="str">
        <f t="shared" si="1"/>
        <v>No</v>
      </c>
      <c r="J1524" s="9">
        <f t="shared" si="2"/>
        <v>1</v>
      </c>
      <c r="K1524" s="9" t="str">
        <f t="shared" si="3"/>
        <v>OVERWEIGHT</v>
      </c>
    </row>
    <row r="1525" ht="15.75" customHeight="1">
      <c r="A1525" s="9" t="s">
        <v>3049</v>
      </c>
      <c r="B1525" s="9">
        <v>27.55</v>
      </c>
      <c r="C1525" s="9">
        <v>10.83</v>
      </c>
      <c r="D1525" s="9" t="s">
        <v>4686</v>
      </c>
      <c r="E1525" s="9" t="s">
        <v>4684</v>
      </c>
      <c r="F1525" s="9" t="s">
        <v>4684</v>
      </c>
      <c r="G1525" s="9">
        <v>1.0</v>
      </c>
      <c r="H1525" s="9" t="s">
        <v>4684</v>
      </c>
      <c r="I1525" s="9" t="str">
        <f t="shared" si="1"/>
        <v>No</v>
      </c>
      <c r="J1525" s="9">
        <f t="shared" si="2"/>
        <v>1</v>
      </c>
      <c r="K1525" s="9" t="str">
        <f t="shared" si="3"/>
        <v>OVERWEIGHT</v>
      </c>
    </row>
    <row r="1526" ht="15.75" customHeight="1">
      <c r="A1526" s="9" t="s">
        <v>3051</v>
      </c>
      <c r="B1526" s="9">
        <v>15.6</v>
      </c>
      <c r="C1526" s="9">
        <v>8.6</v>
      </c>
      <c r="D1526" s="9" t="s">
        <v>4684</v>
      </c>
      <c r="E1526" s="9" t="s">
        <v>4684</v>
      </c>
      <c r="F1526" s="9" t="s">
        <v>4684</v>
      </c>
      <c r="G1526" s="9" t="s">
        <v>4685</v>
      </c>
      <c r="H1526" s="9" t="s">
        <v>4684</v>
      </c>
      <c r="I1526" s="9" t="str">
        <f t="shared" si="1"/>
        <v>No</v>
      </c>
      <c r="J1526" s="9">
        <f t="shared" si="2"/>
        <v>0</v>
      </c>
      <c r="K1526" s="9" t="str">
        <f t="shared" si="3"/>
        <v>UNDERWEIGHT</v>
      </c>
    </row>
    <row r="1527" ht="15.75" customHeight="1">
      <c r="A1527" s="9" t="s">
        <v>3053</v>
      </c>
      <c r="B1527" s="9">
        <v>21.99</v>
      </c>
      <c r="C1527" s="9">
        <v>11.17</v>
      </c>
      <c r="D1527" s="9" t="s">
        <v>4684</v>
      </c>
      <c r="E1527" s="9" t="s">
        <v>4684</v>
      </c>
      <c r="F1527" s="9" t="s">
        <v>4684</v>
      </c>
      <c r="G1527" s="9" t="s">
        <v>4685</v>
      </c>
      <c r="H1527" s="9" t="s">
        <v>4684</v>
      </c>
      <c r="I1527" s="9" t="str">
        <f t="shared" si="1"/>
        <v>No</v>
      </c>
      <c r="J1527" s="9">
        <f t="shared" si="2"/>
        <v>0</v>
      </c>
      <c r="K1527" s="9" t="str">
        <f t="shared" si="3"/>
        <v>NORMAL WEIGHT</v>
      </c>
    </row>
    <row r="1528" ht="15.75" customHeight="1">
      <c r="A1528" s="9" t="s">
        <v>3055</v>
      </c>
      <c r="B1528" s="9">
        <v>34.85</v>
      </c>
      <c r="C1528" s="9">
        <v>5.75</v>
      </c>
      <c r="D1528" s="9" t="s">
        <v>4684</v>
      </c>
      <c r="E1528" s="9" t="s">
        <v>4684</v>
      </c>
      <c r="F1528" s="9" t="s">
        <v>4684</v>
      </c>
      <c r="G1528" s="9" t="s">
        <v>4685</v>
      </c>
      <c r="H1528" s="9" t="s">
        <v>4684</v>
      </c>
      <c r="I1528" s="9" t="str">
        <f t="shared" si="1"/>
        <v>No</v>
      </c>
      <c r="J1528" s="9">
        <f t="shared" si="2"/>
        <v>0</v>
      </c>
      <c r="K1528" s="9" t="str">
        <f t="shared" si="3"/>
        <v>OBESITY</v>
      </c>
    </row>
    <row r="1529" ht="15.75" customHeight="1">
      <c r="A1529" s="9" t="s">
        <v>3057</v>
      </c>
      <c r="B1529" s="9">
        <v>24.51</v>
      </c>
      <c r="C1529" s="9">
        <v>4.83</v>
      </c>
      <c r="D1529" s="9" t="s">
        <v>4686</v>
      </c>
      <c r="E1529" s="9" t="s">
        <v>4684</v>
      </c>
      <c r="F1529" s="9" t="s">
        <v>4686</v>
      </c>
      <c r="G1529" s="9">
        <v>1.0</v>
      </c>
      <c r="H1529" s="9" t="s">
        <v>4684</v>
      </c>
      <c r="I1529" s="9" t="str">
        <f t="shared" si="1"/>
        <v>No</v>
      </c>
      <c r="J1529" s="9">
        <f t="shared" si="2"/>
        <v>1</v>
      </c>
      <c r="K1529" s="9" t="str">
        <f t="shared" si="3"/>
        <v>NORMAL WEIGHT</v>
      </c>
    </row>
    <row r="1530" ht="15.75" customHeight="1">
      <c r="A1530" s="9" t="s">
        <v>3059</v>
      </c>
      <c r="B1530" s="9">
        <v>19.4</v>
      </c>
      <c r="C1530" s="9">
        <v>11.93</v>
      </c>
      <c r="D1530" s="9" t="s">
        <v>4684</v>
      </c>
      <c r="E1530" s="9" t="s">
        <v>4684</v>
      </c>
      <c r="F1530" s="9" t="s">
        <v>4684</v>
      </c>
      <c r="G1530" s="9" t="s">
        <v>4685</v>
      </c>
      <c r="H1530" s="9" t="s">
        <v>4684</v>
      </c>
      <c r="I1530" s="9" t="str">
        <f t="shared" si="1"/>
        <v>No</v>
      </c>
      <c r="J1530" s="9">
        <f t="shared" si="2"/>
        <v>0</v>
      </c>
      <c r="K1530" s="9" t="str">
        <f t="shared" si="3"/>
        <v>NORMAL WEIGHT</v>
      </c>
    </row>
    <row r="1531" ht="15.75" customHeight="1">
      <c r="A1531" s="9" t="s">
        <v>3061</v>
      </c>
      <c r="B1531" s="9">
        <v>15.1</v>
      </c>
      <c r="C1531" s="9">
        <v>8.41</v>
      </c>
      <c r="D1531" s="9" t="s">
        <v>4684</v>
      </c>
      <c r="E1531" s="9" t="s">
        <v>4684</v>
      </c>
      <c r="F1531" s="9" t="s">
        <v>4684</v>
      </c>
      <c r="G1531" s="9" t="s">
        <v>4685</v>
      </c>
      <c r="H1531" s="9" t="s">
        <v>4684</v>
      </c>
      <c r="I1531" s="9" t="str">
        <f t="shared" si="1"/>
        <v>No</v>
      </c>
      <c r="J1531" s="9">
        <f t="shared" si="2"/>
        <v>0</v>
      </c>
      <c r="K1531" s="9" t="str">
        <f t="shared" si="3"/>
        <v>UNDERWEIGHT</v>
      </c>
    </row>
    <row r="1532" ht="15.75" customHeight="1">
      <c r="A1532" s="9" t="s">
        <v>3063</v>
      </c>
      <c r="B1532" s="9">
        <v>23.37</v>
      </c>
      <c r="C1532" s="9">
        <v>5.59</v>
      </c>
      <c r="D1532" s="9" t="s">
        <v>4686</v>
      </c>
      <c r="E1532" s="9" t="s">
        <v>4684</v>
      </c>
      <c r="F1532" s="9" t="s">
        <v>4684</v>
      </c>
      <c r="G1532" s="9" t="s">
        <v>4685</v>
      </c>
      <c r="H1532" s="9" t="s">
        <v>4684</v>
      </c>
      <c r="I1532" s="9" t="str">
        <f t="shared" si="1"/>
        <v>No</v>
      </c>
      <c r="J1532" s="9">
        <f t="shared" si="2"/>
        <v>0</v>
      </c>
      <c r="K1532" s="9" t="str">
        <f t="shared" si="3"/>
        <v>NORMAL WEIGHT</v>
      </c>
    </row>
    <row r="1533" ht="15.75" customHeight="1">
      <c r="A1533" s="9" t="s">
        <v>3065</v>
      </c>
      <c r="B1533" s="9">
        <v>42.4</v>
      </c>
      <c r="C1533" s="9">
        <v>4.06</v>
      </c>
      <c r="D1533" s="9" t="s">
        <v>4684</v>
      </c>
      <c r="E1533" s="9" t="s">
        <v>4684</v>
      </c>
      <c r="F1533" s="9" t="s">
        <v>4684</v>
      </c>
      <c r="G1533" s="9" t="s">
        <v>4685</v>
      </c>
      <c r="H1533" s="9" t="s">
        <v>4684</v>
      </c>
      <c r="I1533" s="9" t="str">
        <f t="shared" si="1"/>
        <v>No</v>
      </c>
      <c r="J1533" s="9">
        <f t="shared" si="2"/>
        <v>0</v>
      </c>
      <c r="K1533" s="9" t="str">
        <f t="shared" si="3"/>
        <v>OBESITY</v>
      </c>
    </row>
    <row r="1534" ht="15.75" customHeight="1">
      <c r="A1534" s="9" t="s">
        <v>3067</v>
      </c>
      <c r="B1534" s="9">
        <v>28.405</v>
      </c>
      <c r="C1534" s="9">
        <v>7.02</v>
      </c>
      <c r="D1534" s="9" t="s">
        <v>4686</v>
      </c>
      <c r="E1534" s="9" t="s">
        <v>4684</v>
      </c>
      <c r="F1534" s="9" t="s">
        <v>4684</v>
      </c>
      <c r="G1534" s="9" t="s">
        <v>4685</v>
      </c>
      <c r="H1534" s="9" t="s">
        <v>4684</v>
      </c>
      <c r="I1534" s="9" t="str">
        <f t="shared" si="1"/>
        <v>No</v>
      </c>
      <c r="J1534" s="9">
        <f t="shared" si="2"/>
        <v>0</v>
      </c>
      <c r="K1534" s="9" t="str">
        <f t="shared" si="3"/>
        <v>OVERWEIGHT</v>
      </c>
    </row>
    <row r="1535" ht="15.75" customHeight="1">
      <c r="A1535" s="9" t="s">
        <v>3069</v>
      </c>
      <c r="B1535" s="9">
        <v>23.4</v>
      </c>
      <c r="C1535" s="9">
        <v>4.47</v>
      </c>
      <c r="D1535" s="9" t="s">
        <v>4684</v>
      </c>
      <c r="E1535" s="9" t="s">
        <v>4684</v>
      </c>
      <c r="F1535" s="9" t="s">
        <v>4684</v>
      </c>
      <c r="G1535" s="9" t="s">
        <v>4685</v>
      </c>
      <c r="H1535" s="9" t="s">
        <v>4684</v>
      </c>
      <c r="I1535" s="9" t="str">
        <f t="shared" si="1"/>
        <v>No</v>
      </c>
      <c r="J1535" s="9">
        <f t="shared" si="2"/>
        <v>0</v>
      </c>
      <c r="K1535" s="9" t="str">
        <f t="shared" si="3"/>
        <v>NORMAL WEIGHT</v>
      </c>
    </row>
    <row r="1536" ht="15.75" customHeight="1">
      <c r="A1536" s="9" t="s">
        <v>3071</v>
      </c>
      <c r="B1536" s="9">
        <v>33.44</v>
      </c>
      <c r="C1536" s="9">
        <v>4.54</v>
      </c>
      <c r="D1536" s="9" t="s">
        <v>4684</v>
      </c>
      <c r="E1536" s="9" t="s">
        <v>4684</v>
      </c>
      <c r="F1536" s="9" t="s">
        <v>4684</v>
      </c>
      <c r="G1536" s="9" t="s">
        <v>4685</v>
      </c>
      <c r="H1536" s="9" t="s">
        <v>4684</v>
      </c>
      <c r="I1536" s="9" t="str">
        <f t="shared" si="1"/>
        <v>No</v>
      </c>
      <c r="J1536" s="9">
        <f t="shared" si="2"/>
        <v>0</v>
      </c>
      <c r="K1536" s="9" t="str">
        <f t="shared" si="3"/>
        <v>OBESITY</v>
      </c>
    </row>
    <row r="1537" ht="15.75" customHeight="1">
      <c r="A1537" s="9" t="s">
        <v>3073</v>
      </c>
      <c r="B1537" s="9">
        <v>21.12</v>
      </c>
      <c r="C1537" s="9">
        <v>4.99</v>
      </c>
      <c r="D1537" s="9" t="s">
        <v>4684</v>
      </c>
      <c r="E1537" s="9" t="s">
        <v>4684</v>
      </c>
      <c r="F1537" s="9" t="s">
        <v>4684</v>
      </c>
      <c r="G1537" s="9">
        <v>1.0</v>
      </c>
      <c r="H1537" s="9" t="s">
        <v>4684</v>
      </c>
      <c r="I1537" s="9" t="str">
        <f t="shared" si="1"/>
        <v>No</v>
      </c>
      <c r="J1537" s="9">
        <f t="shared" si="2"/>
        <v>1</v>
      </c>
      <c r="K1537" s="9" t="str">
        <f t="shared" si="3"/>
        <v>NORMAL WEIGHT</v>
      </c>
    </row>
    <row r="1538" ht="15.75" customHeight="1">
      <c r="A1538" s="9" t="s">
        <v>3075</v>
      </c>
      <c r="B1538" s="9">
        <v>18.48</v>
      </c>
      <c r="C1538" s="9">
        <v>10.84</v>
      </c>
      <c r="D1538" s="9" t="s">
        <v>4686</v>
      </c>
      <c r="E1538" s="9" t="s">
        <v>4684</v>
      </c>
      <c r="F1538" s="9" t="s">
        <v>4684</v>
      </c>
      <c r="G1538" s="9">
        <v>2.0</v>
      </c>
      <c r="H1538" s="9" t="s">
        <v>4684</v>
      </c>
      <c r="I1538" s="9" t="str">
        <f t="shared" si="1"/>
        <v>No</v>
      </c>
      <c r="J1538" s="9">
        <f t="shared" si="2"/>
        <v>2</v>
      </c>
      <c r="K1538" s="9" t="str">
        <f t="shared" si="3"/>
        <v>UNDERWEIGHT</v>
      </c>
    </row>
    <row r="1539" ht="15.75" customHeight="1">
      <c r="A1539" s="9" t="s">
        <v>3077</v>
      </c>
      <c r="B1539" s="9">
        <v>16.815</v>
      </c>
      <c r="C1539" s="9">
        <v>5.63</v>
      </c>
      <c r="D1539" s="9" t="s">
        <v>4684</v>
      </c>
      <c r="E1539" s="9" t="s">
        <v>4684</v>
      </c>
      <c r="F1539" s="9" t="s">
        <v>4684</v>
      </c>
      <c r="G1539" s="9">
        <v>1.0</v>
      </c>
      <c r="H1539" s="9" t="s">
        <v>4684</v>
      </c>
      <c r="I1539" s="9" t="str">
        <f t="shared" si="1"/>
        <v>No</v>
      </c>
      <c r="J1539" s="9">
        <f t="shared" si="2"/>
        <v>1</v>
      </c>
      <c r="K1539" s="9" t="str">
        <f t="shared" si="3"/>
        <v>UNDERWEIGHT</v>
      </c>
    </row>
    <row r="1540" ht="15.75" customHeight="1">
      <c r="A1540" s="9" t="s">
        <v>3079</v>
      </c>
      <c r="B1540" s="9">
        <v>26.72</v>
      </c>
      <c r="C1540" s="9">
        <v>4.14</v>
      </c>
      <c r="D1540" s="9" t="s">
        <v>4684</v>
      </c>
      <c r="E1540" s="9" t="s">
        <v>4684</v>
      </c>
      <c r="F1540" s="9" t="s">
        <v>4684</v>
      </c>
      <c r="G1540" s="9" t="s">
        <v>4685</v>
      </c>
      <c r="H1540" s="9" t="s">
        <v>4684</v>
      </c>
      <c r="I1540" s="9" t="str">
        <f t="shared" si="1"/>
        <v>No</v>
      </c>
      <c r="J1540" s="9">
        <f t="shared" si="2"/>
        <v>0</v>
      </c>
      <c r="K1540" s="9" t="str">
        <f t="shared" si="3"/>
        <v>OVERWEIGHT</v>
      </c>
    </row>
    <row r="1541" ht="15.75" customHeight="1">
      <c r="A1541" s="9" t="s">
        <v>3081</v>
      </c>
      <c r="B1541" s="9">
        <v>41.42</v>
      </c>
      <c r="C1541" s="9">
        <v>5.17</v>
      </c>
      <c r="D1541" s="9" t="s">
        <v>4684</v>
      </c>
      <c r="E1541" s="9" t="s">
        <v>4684</v>
      </c>
      <c r="F1541" s="9" t="s">
        <v>4686</v>
      </c>
      <c r="G1541" s="9">
        <v>1.0</v>
      </c>
      <c r="H1541" s="9" t="s">
        <v>4684</v>
      </c>
      <c r="I1541" s="9" t="str">
        <f t="shared" si="1"/>
        <v>No</v>
      </c>
      <c r="J1541" s="9">
        <f t="shared" si="2"/>
        <v>1</v>
      </c>
      <c r="K1541" s="9" t="str">
        <f t="shared" si="3"/>
        <v>OBESITY</v>
      </c>
    </row>
    <row r="1542" ht="15.75" customHeight="1">
      <c r="A1542" s="9" t="s">
        <v>3083</v>
      </c>
      <c r="B1542" s="9">
        <v>20.69</v>
      </c>
      <c r="C1542" s="9">
        <v>6.93</v>
      </c>
      <c r="D1542" s="9" t="s">
        <v>4684</v>
      </c>
      <c r="E1542" s="9" t="s">
        <v>4684</v>
      </c>
      <c r="F1542" s="9" t="s">
        <v>4684</v>
      </c>
      <c r="G1542" s="9">
        <v>2.0</v>
      </c>
      <c r="H1542" s="9" t="s">
        <v>4684</v>
      </c>
      <c r="I1542" s="9" t="str">
        <f t="shared" si="1"/>
        <v>No</v>
      </c>
      <c r="J1542" s="9">
        <f t="shared" si="2"/>
        <v>2</v>
      </c>
      <c r="K1542" s="9" t="str">
        <f t="shared" si="3"/>
        <v>NORMAL WEIGHT</v>
      </c>
    </row>
    <row r="1543" ht="15.75" customHeight="1">
      <c r="A1543" s="9" t="s">
        <v>3085</v>
      </c>
      <c r="B1543" s="9">
        <v>41.23</v>
      </c>
      <c r="C1543" s="9">
        <v>4.24</v>
      </c>
      <c r="D1543" s="9" t="s">
        <v>4684</v>
      </c>
      <c r="E1543" s="9" t="s">
        <v>4684</v>
      </c>
      <c r="F1543" s="9" t="s">
        <v>4684</v>
      </c>
      <c r="G1543" s="9" t="s">
        <v>4685</v>
      </c>
      <c r="H1543" s="9" t="s">
        <v>4684</v>
      </c>
      <c r="I1543" s="9" t="str">
        <f t="shared" si="1"/>
        <v>No</v>
      </c>
      <c r="J1543" s="9">
        <f t="shared" si="2"/>
        <v>0</v>
      </c>
      <c r="K1543" s="9" t="str">
        <f t="shared" si="3"/>
        <v>OBESITY</v>
      </c>
    </row>
    <row r="1544" ht="15.75" customHeight="1">
      <c r="A1544" s="9" t="s">
        <v>3087</v>
      </c>
      <c r="B1544" s="9">
        <v>29.9</v>
      </c>
      <c r="C1544" s="9">
        <v>5.91</v>
      </c>
      <c r="D1544" s="9" t="s">
        <v>4684</v>
      </c>
      <c r="E1544" s="9" t="s">
        <v>4684</v>
      </c>
      <c r="F1544" s="9" t="s">
        <v>4684</v>
      </c>
      <c r="G1544" s="9" t="s">
        <v>4685</v>
      </c>
      <c r="H1544" s="9" t="s">
        <v>4684</v>
      </c>
      <c r="I1544" s="9" t="str">
        <f t="shared" si="1"/>
        <v>No</v>
      </c>
      <c r="J1544" s="9">
        <f t="shared" si="2"/>
        <v>0</v>
      </c>
      <c r="K1544" s="9" t="str">
        <f t="shared" si="3"/>
        <v>OBESITY</v>
      </c>
    </row>
    <row r="1545" ht="15.75" customHeight="1">
      <c r="A1545" s="9" t="s">
        <v>3089</v>
      </c>
      <c r="B1545" s="9">
        <v>34.105</v>
      </c>
      <c r="C1545" s="9">
        <v>5.93</v>
      </c>
      <c r="D1545" s="9" t="s">
        <v>4684</v>
      </c>
      <c r="E1545" s="9" t="s">
        <v>4684</v>
      </c>
      <c r="F1545" s="9" t="s">
        <v>4684</v>
      </c>
      <c r="G1545" s="9" t="s">
        <v>4685</v>
      </c>
      <c r="H1545" s="9" t="s">
        <v>4684</v>
      </c>
      <c r="I1545" s="9" t="str">
        <f t="shared" si="1"/>
        <v>No</v>
      </c>
      <c r="J1545" s="9">
        <f t="shared" si="2"/>
        <v>0</v>
      </c>
      <c r="K1545" s="9" t="str">
        <f t="shared" si="3"/>
        <v>OBESITY</v>
      </c>
    </row>
    <row r="1546" ht="15.75" customHeight="1">
      <c r="A1546" s="9" t="s">
        <v>3091</v>
      </c>
      <c r="B1546" s="9">
        <v>24.97</v>
      </c>
      <c r="C1546" s="9">
        <v>5.66</v>
      </c>
      <c r="D1546" s="9" t="s">
        <v>4684</v>
      </c>
      <c r="E1546" s="9" t="s">
        <v>4684</v>
      </c>
      <c r="F1546" s="9" t="s">
        <v>4684</v>
      </c>
      <c r="G1546" s="9" t="s">
        <v>4685</v>
      </c>
      <c r="H1546" s="9" t="s">
        <v>4684</v>
      </c>
      <c r="I1546" s="9" t="str">
        <f t="shared" si="1"/>
        <v>No</v>
      </c>
      <c r="J1546" s="9">
        <f t="shared" si="2"/>
        <v>0</v>
      </c>
      <c r="K1546" s="9" t="str">
        <f t="shared" si="3"/>
        <v>NORMAL WEIGHT</v>
      </c>
    </row>
    <row r="1547" ht="15.75" customHeight="1">
      <c r="A1547" s="9" t="s">
        <v>3093</v>
      </c>
      <c r="B1547" s="9">
        <v>34.8</v>
      </c>
      <c r="C1547" s="9">
        <v>4.19</v>
      </c>
      <c r="D1547" s="9" t="s">
        <v>4684</v>
      </c>
      <c r="E1547" s="9" t="s">
        <v>4684</v>
      </c>
      <c r="F1547" s="9" t="s">
        <v>4684</v>
      </c>
      <c r="G1547" s="9">
        <v>1.0</v>
      </c>
      <c r="H1547" s="9" t="s">
        <v>4684</v>
      </c>
      <c r="I1547" s="9" t="str">
        <f t="shared" si="1"/>
        <v>No</v>
      </c>
      <c r="J1547" s="9">
        <f t="shared" si="2"/>
        <v>1</v>
      </c>
      <c r="K1547" s="9" t="str">
        <f t="shared" si="3"/>
        <v>OBESITY</v>
      </c>
    </row>
    <row r="1548" ht="15.75" customHeight="1">
      <c r="A1548" s="9" t="s">
        <v>3095</v>
      </c>
      <c r="B1548" s="9">
        <v>32.965</v>
      </c>
      <c r="C1548" s="9">
        <v>9.21</v>
      </c>
      <c r="D1548" s="9" t="s">
        <v>4686</v>
      </c>
      <c r="E1548" s="9" t="s">
        <v>4684</v>
      </c>
      <c r="F1548" s="9" t="s">
        <v>4684</v>
      </c>
      <c r="G1548" s="9" t="s">
        <v>4685</v>
      </c>
      <c r="H1548" s="9" t="s">
        <v>4684</v>
      </c>
      <c r="I1548" s="9" t="str">
        <f t="shared" si="1"/>
        <v>No</v>
      </c>
      <c r="J1548" s="9">
        <f t="shared" si="2"/>
        <v>0</v>
      </c>
      <c r="K1548" s="9" t="str">
        <f t="shared" si="3"/>
        <v>OBESITY</v>
      </c>
    </row>
    <row r="1549" ht="15.75" customHeight="1">
      <c r="A1549" s="9" t="s">
        <v>3097</v>
      </c>
      <c r="B1549" s="9">
        <v>27.265</v>
      </c>
      <c r="C1549" s="9">
        <v>5.51</v>
      </c>
      <c r="D1549" s="9" t="s">
        <v>4684</v>
      </c>
      <c r="E1549" s="9" t="s">
        <v>4684</v>
      </c>
      <c r="F1549" s="9" t="s">
        <v>4684</v>
      </c>
      <c r="G1549" s="9">
        <v>1.0</v>
      </c>
      <c r="H1549" s="9" t="s">
        <v>4684</v>
      </c>
      <c r="I1549" s="9" t="str">
        <f t="shared" si="1"/>
        <v>No</v>
      </c>
      <c r="J1549" s="9">
        <f t="shared" si="2"/>
        <v>1</v>
      </c>
      <c r="K1549" s="9" t="str">
        <f t="shared" si="3"/>
        <v>OVERWEIGHT</v>
      </c>
    </row>
    <row r="1550" ht="15.75" customHeight="1">
      <c r="A1550" s="9" t="s">
        <v>3099</v>
      </c>
      <c r="B1550" s="9">
        <v>17.06</v>
      </c>
      <c r="C1550" s="9">
        <v>8.5</v>
      </c>
      <c r="D1550" s="9" t="s">
        <v>4684</v>
      </c>
      <c r="E1550" s="9" t="s">
        <v>4684</v>
      </c>
      <c r="F1550" s="9" t="s">
        <v>4684</v>
      </c>
      <c r="G1550" s="9" t="s">
        <v>4685</v>
      </c>
      <c r="H1550" s="9" t="s">
        <v>4684</v>
      </c>
      <c r="I1550" s="9" t="str">
        <f t="shared" si="1"/>
        <v>No</v>
      </c>
      <c r="J1550" s="9">
        <f t="shared" si="2"/>
        <v>0</v>
      </c>
      <c r="K1550" s="9" t="str">
        <f t="shared" si="3"/>
        <v>UNDERWEIGHT</v>
      </c>
    </row>
    <row r="1551" ht="15.75" customHeight="1">
      <c r="A1551" s="9" t="s">
        <v>3101</v>
      </c>
      <c r="B1551" s="9">
        <v>36.29</v>
      </c>
      <c r="C1551" s="9">
        <v>6.23</v>
      </c>
      <c r="D1551" s="9" t="s">
        <v>4684</v>
      </c>
      <c r="E1551" s="9" t="s">
        <v>4684</v>
      </c>
      <c r="F1551" s="9" t="s">
        <v>4684</v>
      </c>
      <c r="G1551" s="9" t="s">
        <v>4685</v>
      </c>
      <c r="H1551" s="9" t="s">
        <v>4684</v>
      </c>
      <c r="I1551" s="9" t="str">
        <f t="shared" si="1"/>
        <v>No</v>
      </c>
      <c r="J1551" s="9">
        <f t="shared" si="2"/>
        <v>0</v>
      </c>
      <c r="K1551" s="9" t="str">
        <f t="shared" si="3"/>
        <v>OBESITY</v>
      </c>
    </row>
    <row r="1552" ht="15.75" customHeight="1">
      <c r="A1552" s="9" t="s">
        <v>3103</v>
      </c>
      <c r="B1552" s="9">
        <v>28.595</v>
      </c>
      <c r="C1552" s="9">
        <v>8.53</v>
      </c>
      <c r="D1552" s="9" t="s">
        <v>4686</v>
      </c>
      <c r="E1552" s="9" t="s">
        <v>4684</v>
      </c>
      <c r="F1552" s="9" t="s">
        <v>4684</v>
      </c>
      <c r="G1552" s="9">
        <v>1.0</v>
      </c>
      <c r="H1552" s="9" t="s">
        <v>4684</v>
      </c>
      <c r="I1552" s="9" t="str">
        <f t="shared" si="1"/>
        <v>No</v>
      </c>
      <c r="J1552" s="9">
        <f t="shared" si="2"/>
        <v>1</v>
      </c>
      <c r="K1552" s="9" t="str">
        <f t="shared" si="3"/>
        <v>OVERWEIGHT</v>
      </c>
    </row>
    <row r="1553" ht="15.75" customHeight="1">
      <c r="A1553" s="9" t="s">
        <v>3105</v>
      </c>
      <c r="B1553" s="9">
        <v>17.8</v>
      </c>
      <c r="C1553" s="9">
        <v>5.75</v>
      </c>
      <c r="D1553" s="9" t="s">
        <v>4686</v>
      </c>
      <c r="E1553" s="9" t="s">
        <v>4684</v>
      </c>
      <c r="F1553" s="9" t="s">
        <v>4686</v>
      </c>
      <c r="G1553" s="9">
        <v>1.0</v>
      </c>
      <c r="H1553" s="9" t="s">
        <v>4684</v>
      </c>
      <c r="I1553" s="9" t="str">
        <f t="shared" si="1"/>
        <v>No</v>
      </c>
      <c r="J1553" s="9">
        <f t="shared" si="2"/>
        <v>1</v>
      </c>
      <c r="K1553" s="9" t="str">
        <f t="shared" si="3"/>
        <v>UNDERWEIGHT</v>
      </c>
    </row>
    <row r="1554" ht="15.75" customHeight="1">
      <c r="A1554" s="9" t="s">
        <v>3107</v>
      </c>
      <c r="B1554" s="9">
        <v>21.4</v>
      </c>
      <c r="C1554" s="9">
        <v>5.6</v>
      </c>
      <c r="D1554" s="9" t="s">
        <v>4684</v>
      </c>
      <c r="E1554" s="9" t="s">
        <v>4684</v>
      </c>
      <c r="F1554" s="9" t="s">
        <v>4684</v>
      </c>
      <c r="G1554" s="9" t="s">
        <v>4685</v>
      </c>
      <c r="H1554" s="9" t="s">
        <v>4684</v>
      </c>
      <c r="I1554" s="9" t="str">
        <f t="shared" si="1"/>
        <v>No</v>
      </c>
      <c r="J1554" s="9">
        <f t="shared" si="2"/>
        <v>0</v>
      </c>
      <c r="K1554" s="9" t="str">
        <f t="shared" si="3"/>
        <v>NORMAL WEIGHT</v>
      </c>
    </row>
    <row r="1555" ht="15.75" customHeight="1">
      <c r="A1555" s="9" t="s">
        <v>3109</v>
      </c>
      <c r="B1555" s="9">
        <v>23.01</v>
      </c>
      <c r="C1555" s="9">
        <v>4.68</v>
      </c>
      <c r="D1555" s="9" t="s">
        <v>4684</v>
      </c>
      <c r="E1555" s="9" t="s">
        <v>4684</v>
      </c>
      <c r="F1555" s="9" t="s">
        <v>4684</v>
      </c>
      <c r="G1555" s="9" t="s">
        <v>4685</v>
      </c>
      <c r="H1555" s="9" t="s">
        <v>4684</v>
      </c>
      <c r="I1555" s="9" t="str">
        <f t="shared" si="1"/>
        <v>No</v>
      </c>
      <c r="J1555" s="9">
        <f t="shared" si="2"/>
        <v>0</v>
      </c>
      <c r="K1555" s="9" t="str">
        <f t="shared" si="3"/>
        <v>NORMAL WEIGHT</v>
      </c>
    </row>
    <row r="1556" ht="15.75" customHeight="1">
      <c r="A1556" s="9" t="s">
        <v>3111</v>
      </c>
      <c r="B1556" s="9">
        <v>19.86</v>
      </c>
      <c r="C1556" s="9">
        <v>5.62</v>
      </c>
      <c r="D1556" s="9" t="s">
        <v>4686</v>
      </c>
      <c r="E1556" s="9" t="s">
        <v>4684</v>
      </c>
      <c r="F1556" s="9" t="s">
        <v>4684</v>
      </c>
      <c r="G1556" s="9" t="s">
        <v>4685</v>
      </c>
      <c r="H1556" s="9" t="s">
        <v>4684</v>
      </c>
      <c r="I1556" s="9" t="str">
        <f t="shared" si="1"/>
        <v>No</v>
      </c>
      <c r="J1556" s="9">
        <f t="shared" si="2"/>
        <v>0</v>
      </c>
      <c r="K1556" s="9" t="str">
        <f t="shared" si="3"/>
        <v>NORMAL WEIGHT</v>
      </c>
    </row>
    <row r="1557" ht="15.75" customHeight="1">
      <c r="A1557" s="9" t="s">
        <v>3113</v>
      </c>
      <c r="B1557" s="9">
        <v>33.58</v>
      </c>
      <c r="C1557" s="9">
        <v>5.08</v>
      </c>
      <c r="D1557" s="9" t="s">
        <v>4684</v>
      </c>
      <c r="E1557" s="9" t="s">
        <v>4684</v>
      </c>
      <c r="F1557" s="9" t="s">
        <v>4684</v>
      </c>
      <c r="G1557" s="9" t="s">
        <v>4685</v>
      </c>
      <c r="H1557" s="9" t="s">
        <v>4684</v>
      </c>
      <c r="I1557" s="9" t="str">
        <f t="shared" si="1"/>
        <v>No</v>
      </c>
      <c r="J1557" s="9">
        <f t="shared" si="2"/>
        <v>0</v>
      </c>
      <c r="K1557" s="9" t="str">
        <f t="shared" si="3"/>
        <v>OBESITY</v>
      </c>
    </row>
    <row r="1558" ht="15.75" customHeight="1">
      <c r="A1558" s="9" t="s">
        <v>3115</v>
      </c>
      <c r="B1558" s="9">
        <v>29.81</v>
      </c>
      <c r="C1558" s="9">
        <v>5.28</v>
      </c>
      <c r="D1558" s="9" t="s">
        <v>4684</v>
      </c>
      <c r="E1558" s="9" t="s">
        <v>4684</v>
      </c>
      <c r="F1558" s="9" t="s">
        <v>4684</v>
      </c>
      <c r="G1558" s="9" t="s">
        <v>4685</v>
      </c>
      <c r="H1558" s="9" t="s">
        <v>4684</v>
      </c>
      <c r="I1558" s="9" t="str">
        <f t="shared" si="1"/>
        <v>No</v>
      </c>
      <c r="J1558" s="9">
        <f t="shared" si="2"/>
        <v>0</v>
      </c>
      <c r="K1558" s="9" t="str">
        <f t="shared" si="3"/>
        <v>OVERWEIGHT</v>
      </c>
    </row>
    <row r="1559" ht="15.75" customHeight="1">
      <c r="A1559" s="9" t="s">
        <v>3117</v>
      </c>
      <c r="B1559" s="9">
        <v>27.4</v>
      </c>
      <c r="C1559" s="9">
        <v>4.61</v>
      </c>
      <c r="D1559" s="9" t="s">
        <v>4684</v>
      </c>
      <c r="E1559" s="9" t="s">
        <v>4684</v>
      </c>
      <c r="F1559" s="9" t="s">
        <v>4684</v>
      </c>
      <c r="G1559" s="9" t="s">
        <v>4685</v>
      </c>
      <c r="H1559" s="9" t="s">
        <v>4684</v>
      </c>
      <c r="I1559" s="9" t="str">
        <f t="shared" si="1"/>
        <v>No</v>
      </c>
      <c r="J1559" s="9">
        <f t="shared" si="2"/>
        <v>0</v>
      </c>
      <c r="K1559" s="9" t="str">
        <f t="shared" si="3"/>
        <v>OVERWEIGHT</v>
      </c>
    </row>
    <row r="1560" ht="15.75" customHeight="1">
      <c r="A1560" s="9" t="s">
        <v>3119</v>
      </c>
      <c r="B1560" s="9">
        <v>17.98</v>
      </c>
      <c r="C1560" s="9">
        <v>6.57</v>
      </c>
      <c r="D1560" s="9" t="s">
        <v>4686</v>
      </c>
      <c r="E1560" s="9" t="s">
        <v>4684</v>
      </c>
      <c r="F1560" s="9" t="s">
        <v>4684</v>
      </c>
      <c r="G1560" s="9">
        <v>2.0</v>
      </c>
      <c r="H1560" s="9" t="s">
        <v>4684</v>
      </c>
      <c r="I1560" s="9" t="str">
        <f t="shared" si="1"/>
        <v>No</v>
      </c>
      <c r="J1560" s="9">
        <f t="shared" si="2"/>
        <v>2</v>
      </c>
      <c r="K1560" s="9" t="str">
        <f t="shared" si="3"/>
        <v>UNDERWEIGHT</v>
      </c>
    </row>
    <row r="1561" ht="15.75" customHeight="1">
      <c r="A1561" s="9" t="s">
        <v>3121</v>
      </c>
      <c r="B1561" s="9">
        <v>37.9</v>
      </c>
      <c r="C1561" s="9">
        <v>5.83</v>
      </c>
      <c r="D1561" s="9" t="s">
        <v>4684</v>
      </c>
      <c r="E1561" s="9" t="s">
        <v>4684</v>
      </c>
      <c r="F1561" s="9" t="s">
        <v>4684</v>
      </c>
      <c r="G1561" s="9" t="s">
        <v>4685</v>
      </c>
      <c r="H1561" s="9" t="s">
        <v>4684</v>
      </c>
      <c r="I1561" s="9" t="str">
        <f t="shared" si="1"/>
        <v>No</v>
      </c>
      <c r="J1561" s="9">
        <f t="shared" si="2"/>
        <v>0</v>
      </c>
      <c r="K1561" s="9" t="str">
        <f t="shared" si="3"/>
        <v>OBESITY</v>
      </c>
    </row>
    <row r="1562" ht="15.75" customHeight="1">
      <c r="A1562" s="9" t="s">
        <v>3123</v>
      </c>
      <c r="B1562" s="9">
        <v>25.27</v>
      </c>
      <c r="C1562" s="9">
        <v>6.98</v>
      </c>
      <c r="D1562" s="9" t="s">
        <v>4686</v>
      </c>
      <c r="E1562" s="9" t="s">
        <v>4684</v>
      </c>
      <c r="F1562" s="9" t="s">
        <v>4684</v>
      </c>
      <c r="G1562" s="9" t="s">
        <v>4685</v>
      </c>
      <c r="H1562" s="9" t="s">
        <v>4684</v>
      </c>
      <c r="I1562" s="9" t="str">
        <f t="shared" si="1"/>
        <v>No</v>
      </c>
      <c r="J1562" s="9">
        <f t="shared" si="2"/>
        <v>0</v>
      </c>
      <c r="K1562" s="9" t="str">
        <f t="shared" si="3"/>
        <v>OVERWEIGHT</v>
      </c>
    </row>
    <row r="1563" ht="15.75" customHeight="1">
      <c r="A1563" s="9" t="s">
        <v>3125</v>
      </c>
      <c r="B1563" s="9">
        <v>29.26</v>
      </c>
      <c r="C1563" s="9">
        <v>4.03</v>
      </c>
      <c r="D1563" s="9" t="s">
        <v>4684</v>
      </c>
      <c r="E1563" s="9" t="s">
        <v>4684</v>
      </c>
      <c r="F1563" s="9" t="s">
        <v>4684</v>
      </c>
      <c r="G1563" s="9">
        <v>1.0</v>
      </c>
      <c r="H1563" s="9" t="s">
        <v>4684</v>
      </c>
      <c r="I1563" s="9" t="str">
        <f t="shared" si="1"/>
        <v>No</v>
      </c>
      <c r="J1563" s="9">
        <f t="shared" si="2"/>
        <v>1</v>
      </c>
      <c r="K1563" s="9" t="str">
        <f t="shared" si="3"/>
        <v>OVERWEIGHT</v>
      </c>
    </row>
    <row r="1564" ht="15.75" customHeight="1">
      <c r="A1564" s="9" t="s">
        <v>3127</v>
      </c>
      <c r="B1564" s="9">
        <v>27.835</v>
      </c>
      <c r="C1564" s="9">
        <v>4.56</v>
      </c>
      <c r="D1564" s="9" t="s">
        <v>4684</v>
      </c>
      <c r="E1564" s="9" t="s">
        <v>4684</v>
      </c>
      <c r="F1564" s="9" t="s">
        <v>4684</v>
      </c>
      <c r="G1564" s="9">
        <v>1.0</v>
      </c>
      <c r="H1564" s="9" t="s">
        <v>4684</v>
      </c>
      <c r="I1564" s="9" t="str">
        <f t="shared" si="1"/>
        <v>No</v>
      </c>
      <c r="J1564" s="9">
        <f t="shared" si="2"/>
        <v>1</v>
      </c>
      <c r="K1564" s="9" t="str">
        <f t="shared" si="3"/>
        <v>OVERWEIGHT</v>
      </c>
    </row>
    <row r="1565" ht="15.75" customHeight="1">
      <c r="A1565" s="9" t="s">
        <v>3129</v>
      </c>
      <c r="B1565" s="9">
        <v>46.53</v>
      </c>
      <c r="C1565" s="9">
        <v>5.38</v>
      </c>
      <c r="D1565" s="9" t="s">
        <v>4686</v>
      </c>
      <c r="E1565" s="9" t="s">
        <v>4684</v>
      </c>
      <c r="F1565" s="9" t="s">
        <v>4684</v>
      </c>
      <c r="G1565" s="9" t="s">
        <v>4685</v>
      </c>
      <c r="H1565" s="9" t="s">
        <v>4684</v>
      </c>
      <c r="I1565" s="9" t="str">
        <f t="shared" si="1"/>
        <v>No</v>
      </c>
      <c r="J1565" s="9">
        <f t="shared" si="2"/>
        <v>0</v>
      </c>
      <c r="K1565" s="9" t="str">
        <f t="shared" si="3"/>
        <v>OBESITY</v>
      </c>
    </row>
    <row r="1566" ht="15.75" customHeight="1">
      <c r="A1566" s="9" t="s">
        <v>3131</v>
      </c>
      <c r="B1566" s="9">
        <v>20.58</v>
      </c>
      <c r="C1566" s="9">
        <v>11.04</v>
      </c>
      <c r="D1566" s="9" t="s">
        <v>4686</v>
      </c>
      <c r="E1566" s="9" t="s">
        <v>4684</v>
      </c>
      <c r="F1566" s="9" t="s">
        <v>4684</v>
      </c>
      <c r="G1566" s="9">
        <v>1.0</v>
      </c>
      <c r="H1566" s="9" t="s">
        <v>4684</v>
      </c>
      <c r="I1566" s="9" t="str">
        <f t="shared" si="1"/>
        <v>No</v>
      </c>
      <c r="J1566" s="9">
        <f t="shared" si="2"/>
        <v>1</v>
      </c>
      <c r="K1566" s="9" t="str">
        <f t="shared" si="3"/>
        <v>NORMAL WEIGHT</v>
      </c>
    </row>
    <row r="1567" ht="15.75" customHeight="1">
      <c r="A1567" s="9" t="s">
        <v>3133</v>
      </c>
      <c r="B1567" s="9">
        <v>19.53</v>
      </c>
      <c r="C1567" s="9">
        <v>6.09</v>
      </c>
      <c r="D1567" s="9" t="s">
        <v>4686</v>
      </c>
      <c r="E1567" s="9" t="s">
        <v>4684</v>
      </c>
      <c r="F1567" s="9" t="s">
        <v>4684</v>
      </c>
      <c r="G1567" s="9" t="s">
        <v>4685</v>
      </c>
      <c r="H1567" s="9" t="s">
        <v>4684</v>
      </c>
      <c r="I1567" s="9" t="str">
        <f t="shared" si="1"/>
        <v>No</v>
      </c>
      <c r="J1567" s="9">
        <f t="shared" si="2"/>
        <v>0</v>
      </c>
      <c r="K1567" s="9" t="str">
        <f t="shared" si="3"/>
        <v>NORMAL WEIGHT</v>
      </c>
    </row>
    <row r="1568" ht="15.75" customHeight="1">
      <c r="A1568" s="9" t="s">
        <v>3135</v>
      </c>
      <c r="B1568" s="9">
        <v>27.7</v>
      </c>
      <c r="C1568" s="9">
        <v>4.71</v>
      </c>
      <c r="D1568" s="9" t="s">
        <v>4684</v>
      </c>
      <c r="E1568" s="9" t="s">
        <v>4684</v>
      </c>
      <c r="F1568" s="9" t="s">
        <v>4684</v>
      </c>
      <c r="G1568" s="9">
        <v>1.0</v>
      </c>
      <c r="H1568" s="9" t="s">
        <v>4684</v>
      </c>
      <c r="I1568" s="9" t="str">
        <f t="shared" si="1"/>
        <v>No</v>
      </c>
      <c r="J1568" s="9">
        <f t="shared" si="2"/>
        <v>1</v>
      </c>
      <c r="K1568" s="9" t="str">
        <f t="shared" si="3"/>
        <v>OVERWEIGHT</v>
      </c>
    </row>
    <row r="1569" ht="15.75" customHeight="1">
      <c r="A1569" s="9" t="s">
        <v>3137</v>
      </c>
      <c r="B1569" s="9">
        <v>18.92</v>
      </c>
      <c r="C1569" s="9">
        <v>8.18</v>
      </c>
      <c r="D1569" s="9" t="s">
        <v>4684</v>
      </c>
      <c r="E1569" s="9" t="s">
        <v>4684</v>
      </c>
      <c r="F1569" s="9" t="s">
        <v>4684</v>
      </c>
      <c r="G1569" s="9" t="s">
        <v>4685</v>
      </c>
      <c r="H1569" s="9" t="s">
        <v>4684</v>
      </c>
      <c r="I1569" s="9" t="str">
        <f t="shared" si="1"/>
        <v>No</v>
      </c>
      <c r="J1569" s="9">
        <f t="shared" si="2"/>
        <v>0</v>
      </c>
      <c r="K1569" s="9" t="str">
        <f t="shared" si="3"/>
        <v>NORMAL WEIGHT</v>
      </c>
    </row>
    <row r="1570" ht="15.75" customHeight="1">
      <c r="A1570" s="9" t="s">
        <v>3139</v>
      </c>
      <c r="B1570" s="9">
        <v>17.76</v>
      </c>
      <c r="C1570" s="9">
        <v>11.18</v>
      </c>
      <c r="D1570" s="9" t="s">
        <v>4686</v>
      </c>
      <c r="E1570" s="9" t="s">
        <v>4684</v>
      </c>
      <c r="F1570" s="9" t="s">
        <v>4684</v>
      </c>
      <c r="G1570" s="9">
        <v>2.0</v>
      </c>
      <c r="H1570" s="9" t="s">
        <v>4684</v>
      </c>
      <c r="I1570" s="9" t="str">
        <f t="shared" si="1"/>
        <v>No</v>
      </c>
      <c r="J1570" s="9">
        <f t="shared" si="2"/>
        <v>2</v>
      </c>
      <c r="K1570" s="9" t="str">
        <f t="shared" si="3"/>
        <v>UNDERWEIGHT</v>
      </c>
    </row>
    <row r="1571" ht="15.75" customHeight="1">
      <c r="A1571" s="9" t="s">
        <v>3141</v>
      </c>
      <c r="B1571" s="9">
        <v>29.83</v>
      </c>
      <c r="C1571" s="9">
        <v>5.03</v>
      </c>
      <c r="D1571" s="9" t="s">
        <v>4686</v>
      </c>
      <c r="E1571" s="9" t="s">
        <v>4684</v>
      </c>
      <c r="F1571" s="9" t="s">
        <v>4684</v>
      </c>
      <c r="G1571" s="9" t="s">
        <v>4685</v>
      </c>
      <c r="H1571" s="9" t="s">
        <v>4684</v>
      </c>
      <c r="I1571" s="9" t="str">
        <f t="shared" si="1"/>
        <v>No</v>
      </c>
      <c r="J1571" s="9">
        <f t="shared" si="2"/>
        <v>0</v>
      </c>
      <c r="K1571" s="9" t="str">
        <f t="shared" si="3"/>
        <v>OVERWEIGHT</v>
      </c>
    </row>
    <row r="1572" ht="15.75" customHeight="1">
      <c r="A1572" s="9" t="s">
        <v>3143</v>
      </c>
      <c r="B1572" s="9">
        <v>23.465</v>
      </c>
      <c r="C1572" s="9">
        <v>5.56</v>
      </c>
      <c r="D1572" s="9" t="s">
        <v>4684</v>
      </c>
      <c r="E1572" s="9" t="s">
        <v>4684</v>
      </c>
      <c r="F1572" s="9" t="s">
        <v>4684</v>
      </c>
      <c r="G1572" s="9">
        <v>1.0</v>
      </c>
      <c r="H1572" s="9" t="s">
        <v>4684</v>
      </c>
      <c r="I1572" s="9" t="str">
        <f t="shared" si="1"/>
        <v>No</v>
      </c>
      <c r="J1572" s="9">
        <f t="shared" si="2"/>
        <v>1</v>
      </c>
      <c r="K1572" s="9" t="str">
        <f t="shared" si="3"/>
        <v>NORMAL WEIGHT</v>
      </c>
    </row>
    <row r="1573" ht="15.75" customHeight="1">
      <c r="A1573" s="9" t="s">
        <v>3145</v>
      </c>
      <c r="B1573" s="9">
        <v>29.355</v>
      </c>
      <c r="C1573" s="9">
        <v>4.33</v>
      </c>
      <c r="D1573" s="9" t="s">
        <v>4684</v>
      </c>
      <c r="E1573" s="9" t="s">
        <v>4684</v>
      </c>
      <c r="F1573" s="9" t="s">
        <v>4684</v>
      </c>
      <c r="G1573" s="9" t="s">
        <v>4685</v>
      </c>
      <c r="H1573" s="9" t="s">
        <v>4684</v>
      </c>
      <c r="I1573" s="9" t="str">
        <f t="shared" si="1"/>
        <v>No</v>
      </c>
      <c r="J1573" s="9">
        <f t="shared" si="2"/>
        <v>0</v>
      </c>
      <c r="K1573" s="9" t="str">
        <f t="shared" si="3"/>
        <v>OVERWEIGHT</v>
      </c>
    </row>
    <row r="1574" ht="15.75" customHeight="1">
      <c r="A1574" s="9" t="s">
        <v>3147</v>
      </c>
      <c r="B1574" s="9">
        <v>35.49</v>
      </c>
      <c r="C1574" s="9">
        <v>5.21</v>
      </c>
      <c r="D1574" s="9" t="s">
        <v>4686</v>
      </c>
      <c r="E1574" s="9" t="s">
        <v>4684</v>
      </c>
      <c r="F1574" s="9" t="s">
        <v>4686</v>
      </c>
      <c r="G1574" s="9">
        <v>1.0</v>
      </c>
      <c r="H1574" s="9" t="s">
        <v>4684</v>
      </c>
      <c r="I1574" s="9" t="str">
        <f t="shared" si="1"/>
        <v>No</v>
      </c>
      <c r="J1574" s="9">
        <f t="shared" si="2"/>
        <v>1</v>
      </c>
      <c r="K1574" s="9" t="str">
        <f t="shared" si="3"/>
        <v>OBESITY</v>
      </c>
    </row>
    <row r="1575" ht="15.75" customHeight="1">
      <c r="A1575" s="9" t="s">
        <v>3149</v>
      </c>
      <c r="B1575" s="9">
        <v>26.315</v>
      </c>
      <c r="C1575" s="9">
        <v>5.89</v>
      </c>
      <c r="D1575" s="9" t="s">
        <v>4684</v>
      </c>
      <c r="E1575" s="9" t="s">
        <v>4684</v>
      </c>
      <c r="F1575" s="9" t="s">
        <v>4684</v>
      </c>
      <c r="G1575" s="9" t="s">
        <v>4685</v>
      </c>
      <c r="H1575" s="9" t="s">
        <v>4684</v>
      </c>
      <c r="I1575" s="9" t="str">
        <f t="shared" si="1"/>
        <v>No</v>
      </c>
      <c r="J1575" s="9">
        <f t="shared" si="2"/>
        <v>0</v>
      </c>
      <c r="K1575" s="9" t="str">
        <f t="shared" si="3"/>
        <v>OVERWEIGHT</v>
      </c>
    </row>
    <row r="1576" ht="15.75" customHeight="1">
      <c r="A1576" s="9" t="s">
        <v>3151</v>
      </c>
      <c r="B1576" s="9">
        <v>19.79</v>
      </c>
      <c r="C1576" s="9">
        <v>4.81</v>
      </c>
      <c r="D1576" s="9" t="s">
        <v>4686</v>
      </c>
      <c r="E1576" s="9" t="s">
        <v>4684</v>
      </c>
      <c r="F1576" s="9" t="s">
        <v>4684</v>
      </c>
      <c r="G1576" s="9" t="s">
        <v>4685</v>
      </c>
      <c r="H1576" s="9" t="s">
        <v>4684</v>
      </c>
      <c r="I1576" s="9" t="str">
        <f t="shared" si="1"/>
        <v>No</v>
      </c>
      <c r="J1576" s="9">
        <f t="shared" si="2"/>
        <v>0</v>
      </c>
      <c r="K1576" s="9" t="str">
        <f t="shared" si="3"/>
        <v>NORMAL WEIGHT</v>
      </c>
    </row>
    <row r="1577" ht="15.75" customHeight="1">
      <c r="A1577" s="9" t="s">
        <v>3153</v>
      </c>
      <c r="B1577" s="9">
        <v>40.565</v>
      </c>
      <c r="C1577" s="9">
        <v>5.66</v>
      </c>
      <c r="D1577" s="9" t="s">
        <v>4684</v>
      </c>
      <c r="E1577" s="9" t="s">
        <v>4684</v>
      </c>
      <c r="F1577" s="9" t="s">
        <v>4684</v>
      </c>
      <c r="G1577" s="9">
        <v>1.0</v>
      </c>
      <c r="H1577" s="9" t="s">
        <v>4684</v>
      </c>
      <c r="I1577" s="9" t="str">
        <f t="shared" si="1"/>
        <v>No</v>
      </c>
      <c r="J1577" s="9">
        <f t="shared" si="2"/>
        <v>1</v>
      </c>
      <c r="K1577" s="9" t="str">
        <f t="shared" si="3"/>
        <v>OBESITY</v>
      </c>
    </row>
    <row r="1578" ht="15.75" customHeight="1">
      <c r="A1578" s="9" t="s">
        <v>3155</v>
      </c>
      <c r="B1578" s="9">
        <v>18.03</v>
      </c>
      <c r="C1578" s="9">
        <v>10.66</v>
      </c>
      <c r="D1578" s="9" t="s">
        <v>4686</v>
      </c>
      <c r="E1578" s="9" t="s">
        <v>4684</v>
      </c>
      <c r="F1578" s="9" t="s">
        <v>4684</v>
      </c>
      <c r="G1578" s="9">
        <v>2.0</v>
      </c>
      <c r="H1578" s="9" t="s">
        <v>4684</v>
      </c>
      <c r="I1578" s="9" t="str">
        <f t="shared" si="1"/>
        <v>No</v>
      </c>
      <c r="J1578" s="9">
        <f t="shared" si="2"/>
        <v>2</v>
      </c>
      <c r="K1578" s="9" t="str">
        <f t="shared" si="3"/>
        <v>UNDERWEIGHT</v>
      </c>
    </row>
    <row r="1579" ht="15.75" customHeight="1">
      <c r="A1579" s="9" t="s">
        <v>3157</v>
      </c>
      <c r="B1579" s="9">
        <v>34.65</v>
      </c>
      <c r="C1579" s="9">
        <v>5.98</v>
      </c>
      <c r="D1579" s="9" t="s">
        <v>4686</v>
      </c>
      <c r="E1579" s="9" t="s">
        <v>4684</v>
      </c>
      <c r="F1579" s="9" t="s">
        <v>4684</v>
      </c>
      <c r="G1579" s="9" t="s">
        <v>4685</v>
      </c>
      <c r="H1579" s="9" t="s">
        <v>4684</v>
      </c>
      <c r="I1579" s="9" t="str">
        <f t="shared" si="1"/>
        <v>No</v>
      </c>
      <c r="J1579" s="9">
        <f t="shared" si="2"/>
        <v>0</v>
      </c>
      <c r="K1579" s="9" t="str">
        <f t="shared" si="3"/>
        <v>OBESITY</v>
      </c>
    </row>
    <row r="1580" ht="15.75" customHeight="1">
      <c r="A1580" s="9" t="s">
        <v>3159</v>
      </c>
      <c r="B1580" s="9">
        <v>42.94</v>
      </c>
      <c r="C1580" s="9">
        <v>4.34</v>
      </c>
      <c r="D1580" s="9" t="s">
        <v>4684</v>
      </c>
      <c r="E1580" s="9" t="s">
        <v>4684</v>
      </c>
      <c r="F1580" s="9" t="s">
        <v>4684</v>
      </c>
      <c r="G1580" s="9" t="s">
        <v>4685</v>
      </c>
      <c r="H1580" s="9" t="s">
        <v>4684</v>
      </c>
      <c r="I1580" s="9" t="str">
        <f t="shared" si="1"/>
        <v>No</v>
      </c>
      <c r="J1580" s="9">
        <f t="shared" si="2"/>
        <v>0</v>
      </c>
      <c r="K1580" s="9" t="str">
        <f t="shared" si="3"/>
        <v>OBESITY</v>
      </c>
    </row>
    <row r="1581" ht="15.75" customHeight="1">
      <c r="A1581" s="9" t="s">
        <v>3161</v>
      </c>
      <c r="B1581" s="9">
        <v>31.255</v>
      </c>
      <c r="C1581" s="9">
        <v>5.17</v>
      </c>
      <c r="D1581" s="9" t="s">
        <v>4684</v>
      </c>
      <c r="E1581" s="9" t="s">
        <v>4684</v>
      </c>
      <c r="F1581" s="9" t="s">
        <v>4684</v>
      </c>
      <c r="G1581" s="9" t="s">
        <v>4685</v>
      </c>
      <c r="H1581" s="9" t="s">
        <v>4684</v>
      </c>
      <c r="I1581" s="9" t="str">
        <f t="shared" si="1"/>
        <v>No</v>
      </c>
      <c r="J1581" s="9">
        <f t="shared" si="2"/>
        <v>0</v>
      </c>
      <c r="K1581" s="9" t="str">
        <f t="shared" si="3"/>
        <v>OBESITY</v>
      </c>
    </row>
    <row r="1582" ht="15.75" customHeight="1">
      <c r="A1582" s="9" t="s">
        <v>3163</v>
      </c>
      <c r="B1582" s="9">
        <v>45.43</v>
      </c>
      <c r="C1582" s="9">
        <v>4.23</v>
      </c>
      <c r="D1582" s="9" t="s">
        <v>4686</v>
      </c>
      <c r="E1582" s="9" t="s">
        <v>4684</v>
      </c>
      <c r="F1582" s="9" t="s">
        <v>4686</v>
      </c>
      <c r="G1582" s="9">
        <v>1.0</v>
      </c>
      <c r="H1582" s="9" t="s">
        <v>4684</v>
      </c>
      <c r="I1582" s="9" t="str">
        <f t="shared" si="1"/>
        <v>No</v>
      </c>
      <c r="J1582" s="9">
        <f t="shared" si="2"/>
        <v>1</v>
      </c>
      <c r="K1582" s="9" t="str">
        <f t="shared" si="3"/>
        <v>OBESITY</v>
      </c>
    </row>
    <row r="1583" ht="15.75" customHeight="1">
      <c r="A1583" s="9" t="s">
        <v>3165</v>
      </c>
      <c r="B1583" s="9">
        <v>32.34</v>
      </c>
      <c r="C1583" s="9">
        <v>4.88</v>
      </c>
      <c r="D1583" s="9" t="s">
        <v>4686</v>
      </c>
      <c r="E1583" s="9" t="s">
        <v>4684</v>
      </c>
      <c r="F1583" s="9" t="s">
        <v>4686</v>
      </c>
      <c r="G1583" s="9">
        <v>1.0</v>
      </c>
      <c r="H1583" s="9" t="s">
        <v>4684</v>
      </c>
      <c r="I1583" s="9" t="str">
        <f t="shared" si="1"/>
        <v>No</v>
      </c>
      <c r="J1583" s="9">
        <f t="shared" si="2"/>
        <v>1</v>
      </c>
      <c r="K1583" s="9" t="str">
        <f t="shared" si="3"/>
        <v>OBESITY</v>
      </c>
    </row>
    <row r="1584" ht="15.75" customHeight="1">
      <c r="A1584" s="9" t="s">
        <v>3167</v>
      </c>
      <c r="B1584" s="9">
        <v>25.46</v>
      </c>
      <c r="C1584" s="9">
        <v>9.71</v>
      </c>
      <c r="D1584" s="9" t="s">
        <v>4686</v>
      </c>
      <c r="E1584" s="9" t="s">
        <v>4684</v>
      </c>
      <c r="F1584" s="9" t="s">
        <v>4684</v>
      </c>
      <c r="G1584" s="9">
        <v>1.0</v>
      </c>
      <c r="H1584" s="9" t="s">
        <v>4684</v>
      </c>
      <c r="I1584" s="9" t="str">
        <f t="shared" si="1"/>
        <v>No</v>
      </c>
      <c r="J1584" s="9">
        <f t="shared" si="2"/>
        <v>1</v>
      </c>
      <c r="K1584" s="9" t="str">
        <f t="shared" si="3"/>
        <v>OVERWEIGHT</v>
      </c>
    </row>
    <row r="1585" ht="15.75" customHeight="1">
      <c r="A1585" s="9" t="s">
        <v>3169</v>
      </c>
      <c r="B1585" s="9">
        <v>37.145</v>
      </c>
      <c r="C1585" s="9">
        <v>5.32</v>
      </c>
      <c r="D1585" s="9" t="s">
        <v>4684</v>
      </c>
      <c r="E1585" s="9" t="s">
        <v>4684</v>
      </c>
      <c r="F1585" s="9" t="s">
        <v>4684</v>
      </c>
      <c r="G1585" s="9" t="s">
        <v>4685</v>
      </c>
      <c r="H1585" s="9" t="s">
        <v>4684</v>
      </c>
      <c r="I1585" s="9" t="str">
        <f t="shared" si="1"/>
        <v>No</v>
      </c>
      <c r="J1585" s="9">
        <f t="shared" si="2"/>
        <v>0</v>
      </c>
      <c r="K1585" s="9" t="str">
        <f t="shared" si="3"/>
        <v>OBESITY</v>
      </c>
    </row>
    <row r="1586" ht="15.75" customHeight="1">
      <c r="A1586" s="9" t="s">
        <v>3171</v>
      </c>
      <c r="B1586" s="9">
        <v>30.8</v>
      </c>
      <c r="C1586" s="9">
        <v>5.83</v>
      </c>
      <c r="D1586" s="9" t="s">
        <v>4686</v>
      </c>
      <c r="E1586" s="9" t="s">
        <v>4684</v>
      </c>
      <c r="F1586" s="9" t="s">
        <v>4684</v>
      </c>
      <c r="G1586" s="9" t="s">
        <v>4685</v>
      </c>
      <c r="H1586" s="9" t="s">
        <v>4684</v>
      </c>
      <c r="I1586" s="9" t="str">
        <f t="shared" si="1"/>
        <v>No</v>
      </c>
      <c r="J1586" s="9">
        <f t="shared" si="2"/>
        <v>0</v>
      </c>
      <c r="K1586" s="9" t="str">
        <f t="shared" si="3"/>
        <v>OBESITY</v>
      </c>
    </row>
    <row r="1587" ht="15.75" customHeight="1">
      <c r="A1587" s="9" t="s">
        <v>3173</v>
      </c>
      <c r="B1587" s="9">
        <v>29.5</v>
      </c>
      <c r="C1587" s="9">
        <v>5.54</v>
      </c>
      <c r="D1587" s="9" t="s">
        <v>4686</v>
      </c>
      <c r="E1587" s="9" t="s">
        <v>4684</v>
      </c>
      <c r="F1587" s="9" t="s">
        <v>4684</v>
      </c>
      <c r="G1587" s="9" t="s">
        <v>4685</v>
      </c>
      <c r="H1587" s="9" t="s">
        <v>4684</v>
      </c>
      <c r="I1587" s="9" t="str">
        <f t="shared" si="1"/>
        <v>No</v>
      </c>
      <c r="J1587" s="9">
        <f t="shared" si="2"/>
        <v>0</v>
      </c>
      <c r="K1587" s="9" t="str">
        <f t="shared" si="3"/>
        <v>OVERWEIGHT</v>
      </c>
    </row>
    <row r="1588" ht="15.75" customHeight="1">
      <c r="A1588" s="9" t="s">
        <v>3175</v>
      </c>
      <c r="B1588" s="9">
        <v>43.39</v>
      </c>
      <c r="C1588" s="9">
        <v>5.85</v>
      </c>
      <c r="D1588" s="9" t="s">
        <v>4684</v>
      </c>
      <c r="E1588" s="9" t="s">
        <v>4686</v>
      </c>
      <c r="F1588" s="9" t="s">
        <v>4684</v>
      </c>
      <c r="G1588" s="9">
        <v>1.0</v>
      </c>
      <c r="H1588" s="9" t="s">
        <v>4684</v>
      </c>
      <c r="I1588" s="9" t="str">
        <f t="shared" si="1"/>
        <v>No</v>
      </c>
      <c r="J1588" s="9">
        <f t="shared" si="2"/>
        <v>1</v>
      </c>
      <c r="K1588" s="9" t="str">
        <f t="shared" si="3"/>
        <v>OBESITY</v>
      </c>
    </row>
    <row r="1589" ht="15.75" customHeight="1">
      <c r="A1589" s="9" t="s">
        <v>3177</v>
      </c>
      <c r="B1589" s="9">
        <v>15.08</v>
      </c>
      <c r="C1589" s="9">
        <v>4.85</v>
      </c>
      <c r="D1589" s="9" t="s">
        <v>4686</v>
      </c>
      <c r="E1589" s="9" t="s">
        <v>4684</v>
      </c>
      <c r="F1589" s="9" t="s">
        <v>4686</v>
      </c>
      <c r="G1589" s="9">
        <v>1.0</v>
      </c>
      <c r="H1589" s="9" t="s">
        <v>4684</v>
      </c>
      <c r="I1589" s="9" t="str">
        <f t="shared" si="1"/>
        <v>No</v>
      </c>
      <c r="J1589" s="9">
        <f t="shared" si="2"/>
        <v>1</v>
      </c>
      <c r="K1589" s="9" t="str">
        <f t="shared" si="3"/>
        <v>UNDERWEIGHT</v>
      </c>
    </row>
    <row r="1590" ht="15.75" customHeight="1">
      <c r="A1590" s="9" t="s">
        <v>3179</v>
      </c>
      <c r="B1590" s="9">
        <v>20.48</v>
      </c>
      <c r="C1590" s="9">
        <v>11.09</v>
      </c>
      <c r="D1590" s="9" t="s">
        <v>4684</v>
      </c>
      <c r="E1590" s="9" t="s">
        <v>4684</v>
      </c>
      <c r="F1590" s="9" t="s">
        <v>4684</v>
      </c>
      <c r="G1590" s="9" t="s">
        <v>4685</v>
      </c>
      <c r="H1590" s="9" t="s">
        <v>4684</v>
      </c>
      <c r="I1590" s="9" t="str">
        <f t="shared" si="1"/>
        <v>No</v>
      </c>
      <c r="J1590" s="9">
        <f t="shared" si="2"/>
        <v>0</v>
      </c>
      <c r="K1590" s="9" t="str">
        <f t="shared" si="3"/>
        <v>NORMAL WEIGHT</v>
      </c>
    </row>
    <row r="1591" ht="15.75" customHeight="1">
      <c r="A1591" s="9" t="s">
        <v>3181</v>
      </c>
      <c r="B1591" s="9">
        <v>34.45</v>
      </c>
      <c r="C1591" s="9">
        <v>5.58</v>
      </c>
      <c r="D1591" s="9" t="s">
        <v>4686</v>
      </c>
      <c r="E1591" s="9" t="s">
        <v>4684</v>
      </c>
      <c r="F1591" s="9" t="s">
        <v>4684</v>
      </c>
      <c r="G1591" s="9" t="s">
        <v>4685</v>
      </c>
      <c r="H1591" s="9" t="s">
        <v>4684</v>
      </c>
      <c r="I1591" s="9" t="str">
        <f t="shared" si="1"/>
        <v>No</v>
      </c>
      <c r="J1591" s="9">
        <f t="shared" si="2"/>
        <v>0</v>
      </c>
      <c r="K1591" s="9" t="str">
        <f t="shared" si="3"/>
        <v>OBESITY</v>
      </c>
    </row>
    <row r="1592" ht="15.75" customHeight="1">
      <c r="A1592" s="9" t="s">
        <v>3183</v>
      </c>
      <c r="B1592" s="9">
        <v>34.21</v>
      </c>
      <c r="C1592" s="9">
        <v>9.72</v>
      </c>
      <c r="D1592" s="9" t="s">
        <v>4686</v>
      </c>
      <c r="E1592" s="9" t="s">
        <v>4684</v>
      </c>
      <c r="F1592" s="9" t="s">
        <v>4684</v>
      </c>
      <c r="G1592" s="9" t="s">
        <v>4685</v>
      </c>
      <c r="H1592" s="9" t="s">
        <v>4684</v>
      </c>
      <c r="I1592" s="9" t="str">
        <f t="shared" si="1"/>
        <v>No</v>
      </c>
      <c r="J1592" s="9">
        <f t="shared" si="2"/>
        <v>0</v>
      </c>
      <c r="K1592" s="9" t="str">
        <f t="shared" si="3"/>
        <v>OBESITY</v>
      </c>
    </row>
    <row r="1593" ht="15.75" customHeight="1">
      <c r="A1593" s="9" t="s">
        <v>3185</v>
      </c>
      <c r="B1593" s="9">
        <v>28.8</v>
      </c>
      <c r="C1593" s="9">
        <v>11.41</v>
      </c>
      <c r="D1593" s="9" t="s">
        <v>4686</v>
      </c>
      <c r="E1593" s="9" t="s">
        <v>4684</v>
      </c>
      <c r="F1593" s="9" t="s">
        <v>4684</v>
      </c>
      <c r="G1593" s="9" t="s">
        <v>4685</v>
      </c>
      <c r="H1593" s="9" t="s">
        <v>4684</v>
      </c>
      <c r="I1593" s="9" t="str">
        <f t="shared" si="1"/>
        <v>No</v>
      </c>
      <c r="J1593" s="9">
        <f t="shared" si="2"/>
        <v>0</v>
      </c>
      <c r="K1593" s="9" t="str">
        <f t="shared" si="3"/>
        <v>OVERWEIGHT</v>
      </c>
    </row>
    <row r="1594" ht="15.75" customHeight="1">
      <c r="A1594" s="9" t="s">
        <v>3187</v>
      </c>
      <c r="B1594" s="9">
        <v>31.74</v>
      </c>
      <c r="C1594" s="9">
        <v>4.46</v>
      </c>
      <c r="D1594" s="9" t="s">
        <v>4684</v>
      </c>
      <c r="E1594" s="9" t="s">
        <v>4684</v>
      </c>
      <c r="F1594" s="9" t="s">
        <v>4686</v>
      </c>
      <c r="G1594" s="9">
        <v>1.0</v>
      </c>
      <c r="H1594" s="9" t="s">
        <v>4684</v>
      </c>
      <c r="I1594" s="9" t="str">
        <f t="shared" si="1"/>
        <v>No</v>
      </c>
      <c r="J1594" s="9">
        <f t="shared" si="2"/>
        <v>1</v>
      </c>
      <c r="K1594" s="9" t="str">
        <f t="shared" si="3"/>
        <v>OBESITY</v>
      </c>
    </row>
    <row r="1595" ht="15.75" customHeight="1">
      <c r="A1595" s="9" t="s">
        <v>3189</v>
      </c>
      <c r="B1595" s="9">
        <v>21.78</v>
      </c>
      <c r="C1595" s="9">
        <v>9.31</v>
      </c>
      <c r="D1595" s="9" t="s">
        <v>4686</v>
      </c>
      <c r="E1595" s="9" t="s">
        <v>4684</v>
      </c>
      <c r="F1595" s="9" t="s">
        <v>4684</v>
      </c>
      <c r="G1595" s="9" t="s">
        <v>4685</v>
      </c>
      <c r="H1595" s="9" t="s">
        <v>4684</v>
      </c>
      <c r="I1595" s="9" t="str">
        <f t="shared" si="1"/>
        <v>No</v>
      </c>
      <c r="J1595" s="9">
        <f t="shared" si="2"/>
        <v>0</v>
      </c>
      <c r="K1595" s="9" t="str">
        <f t="shared" si="3"/>
        <v>NORMAL WEIGHT</v>
      </c>
    </row>
    <row r="1596" ht="15.75" customHeight="1">
      <c r="A1596" s="9" t="s">
        <v>3191</v>
      </c>
      <c r="B1596" s="9">
        <v>23.75</v>
      </c>
      <c r="C1596" s="9">
        <v>5.03</v>
      </c>
      <c r="D1596" s="9" t="s">
        <v>4684</v>
      </c>
      <c r="E1596" s="9" t="s">
        <v>4684</v>
      </c>
      <c r="F1596" s="9" t="s">
        <v>4684</v>
      </c>
      <c r="G1596" s="9">
        <v>1.0</v>
      </c>
      <c r="H1596" s="9" t="s">
        <v>4684</v>
      </c>
      <c r="I1596" s="9" t="str">
        <f t="shared" si="1"/>
        <v>No</v>
      </c>
      <c r="J1596" s="9">
        <f t="shared" si="2"/>
        <v>1</v>
      </c>
      <c r="K1596" s="9" t="str">
        <f t="shared" si="3"/>
        <v>NORMAL WEIGHT</v>
      </c>
    </row>
    <row r="1597" ht="15.75" customHeight="1">
      <c r="A1597" s="9" t="s">
        <v>3193</v>
      </c>
      <c r="B1597" s="9">
        <v>33.21</v>
      </c>
      <c r="C1597" s="9">
        <v>5.07</v>
      </c>
      <c r="D1597" s="9" t="s">
        <v>4686</v>
      </c>
      <c r="E1597" s="9" t="s">
        <v>4684</v>
      </c>
      <c r="F1597" s="9" t="s">
        <v>4684</v>
      </c>
      <c r="G1597" s="9">
        <v>1.0</v>
      </c>
      <c r="H1597" s="9" t="s">
        <v>4684</v>
      </c>
      <c r="I1597" s="9" t="str">
        <f t="shared" si="1"/>
        <v>No</v>
      </c>
      <c r="J1597" s="9">
        <f t="shared" si="2"/>
        <v>1</v>
      </c>
      <c r="K1597" s="9" t="str">
        <f t="shared" si="3"/>
        <v>OBESITY</v>
      </c>
    </row>
    <row r="1598" ht="15.75" customHeight="1">
      <c r="A1598" s="9" t="s">
        <v>3195</v>
      </c>
      <c r="B1598" s="9">
        <v>17.7</v>
      </c>
      <c r="C1598" s="9">
        <v>10.42</v>
      </c>
      <c r="D1598" s="9" t="s">
        <v>4686</v>
      </c>
      <c r="E1598" s="9" t="s">
        <v>4684</v>
      </c>
      <c r="F1598" s="9" t="s">
        <v>4684</v>
      </c>
      <c r="G1598" s="9">
        <v>2.0</v>
      </c>
      <c r="H1598" s="9" t="s">
        <v>4684</v>
      </c>
      <c r="I1598" s="9" t="str">
        <f t="shared" si="1"/>
        <v>No</v>
      </c>
      <c r="J1598" s="9">
        <f t="shared" si="2"/>
        <v>2</v>
      </c>
      <c r="K1598" s="9" t="str">
        <f t="shared" si="3"/>
        <v>UNDERWEIGHT</v>
      </c>
    </row>
    <row r="1599" ht="15.75" customHeight="1">
      <c r="A1599" s="9" t="s">
        <v>3197</v>
      </c>
      <c r="B1599" s="9">
        <v>17.2</v>
      </c>
      <c r="C1599" s="9">
        <v>6.45</v>
      </c>
      <c r="D1599" s="9" t="s">
        <v>4684</v>
      </c>
      <c r="E1599" s="9" t="s">
        <v>4684</v>
      </c>
      <c r="F1599" s="9" t="s">
        <v>4684</v>
      </c>
      <c r="G1599" s="9">
        <v>2.0</v>
      </c>
      <c r="H1599" s="9" t="s">
        <v>4684</v>
      </c>
      <c r="I1599" s="9" t="str">
        <f t="shared" si="1"/>
        <v>No</v>
      </c>
      <c r="J1599" s="9">
        <f t="shared" si="2"/>
        <v>2</v>
      </c>
      <c r="K1599" s="9" t="str">
        <f t="shared" si="3"/>
        <v>UNDERWEIGHT</v>
      </c>
    </row>
    <row r="1600" ht="15.75" customHeight="1">
      <c r="A1600" s="9" t="s">
        <v>3199</v>
      </c>
      <c r="B1600" s="9">
        <v>19.21</v>
      </c>
      <c r="C1600" s="9">
        <v>5.52</v>
      </c>
      <c r="D1600" s="9" t="s">
        <v>4684</v>
      </c>
      <c r="E1600" s="9" t="s">
        <v>4684</v>
      </c>
      <c r="F1600" s="9" t="s">
        <v>4684</v>
      </c>
      <c r="G1600" s="9">
        <v>2.0</v>
      </c>
      <c r="H1600" s="9" t="s">
        <v>4684</v>
      </c>
      <c r="I1600" s="9" t="str">
        <f t="shared" si="1"/>
        <v>No</v>
      </c>
      <c r="J1600" s="9">
        <f t="shared" si="2"/>
        <v>2</v>
      </c>
      <c r="K1600" s="9" t="str">
        <f t="shared" si="3"/>
        <v>NORMAL WEIGHT</v>
      </c>
    </row>
    <row r="1601" ht="15.75" customHeight="1">
      <c r="A1601" s="9" t="s">
        <v>3201</v>
      </c>
      <c r="B1601" s="9">
        <v>23.2</v>
      </c>
      <c r="C1601" s="9">
        <v>4.41</v>
      </c>
      <c r="D1601" s="9" t="s">
        <v>4684</v>
      </c>
      <c r="E1601" s="9" t="s">
        <v>4684</v>
      </c>
      <c r="F1601" s="9" t="s">
        <v>4686</v>
      </c>
      <c r="G1601" s="9">
        <v>1.0</v>
      </c>
      <c r="H1601" s="9" t="s">
        <v>4684</v>
      </c>
      <c r="I1601" s="9" t="str">
        <f t="shared" si="1"/>
        <v>No</v>
      </c>
      <c r="J1601" s="9">
        <f t="shared" si="2"/>
        <v>1</v>
      </c>
      <c r="K1601" s="9" t="str">
        <f t="shared" si="3"/>
        <v>NORMAL WEIGHT</v>
      </c>
    </row>
    <row r="1602" ht="15.75" customHeight="1">
      <c r="A1602" s="9" t="s">
        <v>3203</v>
      </c>
      <c r="B1602" s="9">
        <v>32.5</v>
      </c>
      <c r="C1602" s="9">
        <v>4.69</v>
      </c>
      <c r="D1602" s="9" t="s">
        <v>4686</v>
      </c>
      <c r="E1602" s="9" t="s">
        <v>4684</v>
      </c>
      <c r="F1602" s="9" t="s">
        <v>4686</v>
      </c>
      <c r="G1602" s="9">
        <v>1.0</v>
      </c>
      <c r="H1602" s="9" t="s">
        <v>4684</v>
      </c>
      <c r="I1602" s="9" t="str">
        <f t="shared" si="1"/>
        <v>No</v>
      </c>
      <c r="J1602" s="9">
        <f t="shared" si="2"/>
        <v>1</v>
      </c>
      <c r="K1602" s="9" t="str">
        <f t="shared" si="3"/>
        <v>OBESITY</v>
      </c>
    </row>
    <row r="1603" ht="15.75" customHeight="1">
      <c r="A1603" s="9" t="s">
        <v>3205</v>
      </c>
      <c r="B1603" s="9">
        <v>20.9</v>
      </c>
      <c r="C1603" s="9">
        <v>6.94</v>
      </c>
      <c r="D1603" s="9" t="s">
        <v>4684</v>
      </c>
      <c r="E1603" s="9" t="s">
        <v>4684</v>
      </c>
      <c r="F1603" s="9" t="s">
        <v>4684</v>
      </c>
      <c r="G1603" s="9" t="s">
        <v>4685</v>
      </c>
      <c r="H1603" s="9" t="s">
        <v>4684</v>
      </c>
      <c r="I1603" s="9" t="str">
        <f t="shared" si="1"/>
        <v>No</v>
      </c>
      <c r="J1603" s="9">
        <f t="shared" si="2"/>
        <v>0</v>
      </c>
      <c r="K1603" s="9" t="str">
        <f t="shared" si="3"/>
        <v>NORMAL WEIGHT</v>
      </c>
    </row>
    <row r="1604" ht="15.75" customHeight="1">
      <c r="A1604" s="9" t="s">
        <v>3207</v>
      </c>
      <c r="B1604" s="9">
        <v>19.11</v>
      </c>
      <c r="C1604" s="9">
        <v>4.35</v>
      </c>
      <c r="D1604" s="9" t="s">
        <v>4684</v>
      </c>
      <c r="E1604" s="9" t="s">
        <v>4684</v>
      </c>
      <c r="F1604" s="9" t="s">
        <v>4684</v>
      </c>
      <c r="G1604" s="9">
        <v>2.0</v>
      </c>
      <c r="H1604" s="9" t="s">
        <v>4684</v>
      </c>
      <c r="I1604" s="9" t="str">
        <f t="shared" si="1"/>
        <v>No</v>
      </c>
      <c r="J1604" s="9">
        <f t="shared" si="2"/>
        <v>2</v>
      </c>
      <c r="K1604" s="9" t="str">
        <f t="shared" si="3"/>
        <v>NORMAL WEIGHT</v>
      </c>
    </row>
    <row r="1605" ht="15.75" customHeight="1">
      <c r="A1605" s="9" t="s">
        <v>3209</v>
      </c>
      <c r="B1605" s="9">
        <v>31.17</v>
      </c>
      <c r="C1605" s="9">
        <v>5.28</v>
      </c>
      <c r="D1605" s="9" t="s">
        <v>4684</v>
      </c>
      <c r="E1605" s="9" t="s">
        <v>4684</v>
      </c>
      <c r="F1605" s="9" t="s">
        <v>4684</v>
      </c>
      <c r="G1605" s="9">
        <v>1.0</v>
      </c>
      <c r="H1605" s="9" t="s">
        <v>4684</v>
      </c>
      <c r="I1605" s="9" t="str">
        <f t="shared" si="1"/>
        <v>No</v>
      </c>
      <c r="J1605" s="9">
        <f t="shared" si="2"/>
        <v>1</v>
      </c>
      <c r="K1605" s="9" t="str">
        <f t="shared" si="3"/>
        <v>OBESITY</v>
      </c>
    </row>
    <row r="1606" ht="15.75" customHeight="1">
      <c r="A1606" s="9" t="s">
        <v>3211</v>
      </c>
      <c r="B1606" s="9">
        <v>36.08</v>
      </c>
      <c r="C1606" s="9">
        <v>4.29</v>
      </c>
      <c r="D1606" s="9" t="s">
        <v>4684</v>
      </c>
      <c r="E1606" s="9" t="s">
        <v>4684</v>
      </c>
      <c r="F1606" s="9" t="s">
        <v>4684</v>
      </c>
      <c r="G1606" s="9" t="s">
        <v>4685</v>
      </c>
      <c r="H1606" s="9" t="s">
        <v>4684</v>
      </c>
      <c r="I1606" s="9" t="str">
        <f t="shared" si="1"/>
        <v>No</v>
      </c>
      <c r="J1606" s="9">
        <f t="shared" si="2"/>
        <v>0</v>
      </c>
      <c r="K1606" s="9" t="str">
        <f t="shared" si="3"/>
        <v>OBESITY</v>
      </c>
    </row>
    <row r="1607" ht="15.75" customHeight="1">
      <c r="A1607" s="9" t="s">
        <v>3213</v>
      </c>
      <c r="B1607" s="9">
        <v>28.025</v>
      </c>
      <c r="C1607" s="9">
        <v>5.69</v>
      </c>
      <c r="D1607" s="9" t="s">
        <v>4686</v>
      </c>
      <c r="E1607" s="9" t="s">
        <v>4684</v>
      </c>
      <c r="F1607" s="9" t="s">
        <v>4684</v>
      </c>
      <c r="G1607" s="9" t="s">
        <v>4685</v>
      </c>
      <c r="H1607" s="9" t="s">
        <v>4684</v>
      </c>
      <c r="I1607" s="9" t="str">
        <f t="shared" si="1"/>
        <v>No</v>
      </c>
      <c r="J1607" s="9">
        <f t="shared" si="2"/>
        <v>0</v>
      </c>
      <c r="K1607" s="9" t="str">
        <f t="shared" si="3"/>
        <v>OVERWEIGHT</v>
      </c>
    </row>
    <row r="1608" ht="15.75" customHeight="1">
      <c r="A1608" s="9" t="s">
        <v>3215</v>
      </c>
      <c r="B1608" s="9">
        <v>24.32</v>
      </c>
      <c r="C1608" s="9">
        <v>5.56</v>
      </c>
      <c r="D1608" s="9" t="s">
        <v>4686</v>
      </c>
      <c r="E1608" s="9" t="s">
        <v>4684</v>
      </c>
      <c r="F1608" s="9" t="s">
        <v>4684</v>
      </c>
      <c r="G1608" s="9" t="s">
        <v>4685</v>
      </c>
      <c r="H1608" s="9" t="s">
        <v>4684</v>
      </c>
      <c r="I1608" s="9" t="str">
        <f t="shared" si="1"/>
        <v>No</v>
      </c>
      <c r="J1608" s="9">
        <f t="shared" si="2"/>
        <v>0</v>
      </c>
      <c r="K1608" s="9" t="str">
        <f t="shared" si="3"/>
        <v>NORMAL WEIGHT</v>
      </c>
    </row>
    <row r="1609" ht="15.75" customHeight="1">
      <c r="A1609" s="9" t="s">
        <v>3217</v>
      </c>
      <c r="B1609" s="9">
        <v>38.0</v>
      </c>
      <c r="C1609" s="9">
        <v>5.41</v>
      </c>
      <c r="D1609" s="9" t="s">
        <v>4686</v>
      </c>
      <c r="E1609" s="9" t="s">
        <v>4684</v>
      </c>
      <c r="F1609" s="9" t="s">
        <v>4684</v>
      </c>
      <c r="G1609" s="9">
        <v>1.0</v>
      </c>
      <c r="H1609" s="9" t="s">
        <v>4684</v>
      </c>
      <c r="I1609" s="9" t="str">
        <f t="shared" si="1"/>
        <v>No</v>
      </c>
      <c r="J1609" s="9">
        <f t="shared" si="2"/>
        <v>1</v>
      </c>
      <c r="K1609" s="9" t="str">
        <f t="shared" si="3"/>
        <v>OBESITY</v>
      </c>
    </row>
    <row r="1610" ht="15.75" customHeight="1">
      <c r="A1610" s="9" t="s">
        <v>3219</v>
      </c>
      <c r="B1610" s="9">
        <v>31.6</v>
      </c>
      <c r="C1610" s="9">
        <v>10.85</v>
      </c>
      <c r="D1610" s="9" t="s">
        <v>4686</v>
      </c>
      <c r="E1610" s="9" t="s">
        <v>4684</v>
      </c>
      <c r="F1610" s="9" t="s">
        <v>4684</v>
      </c>
      <c r="G1610" s="9" t="s">
        <v>4685</v>
      </c>
      <c r="H1610" s="9" t="s">
        <v>4684</v>
      </c>
      <c r="I1610" s="9" t="str">
        <f t="shared" si="1"/>
        <v>No</v>
      </c>
      <c r="J1610" s="9">
        <f t="shared" si="2"/>
        <v>0</v>
      </c>
      <c r="K1610" s="9" t="str">
        <f t="shared" si="3"/>
        <v>OBESITY</v>
      </c>
    </row>
    <row r="1611" ht="15.75" customHeight="1">
      <c r="A1611" s="9" t="s">
        <v>3221</v>
      </c>
      <c r="B1611" s="9">
        <v>31.02</v>
      </c>
      <c r="C1611" s="9">
        <v>11.63</v>
      </c>
      <c r="D1611" s="9" t="s">
        <v>4686</v>
      </c>
      <c r="E1611" s="9" t="s">
        <v>4684</v>
      </c>
      <c r="F1611" s="9" t="s">
        <v>4684</v>
      </c>
      <c r="G1611" s="9" t="s">
        <v>4685</v>
      </c>
      <c r="H1611" s="9" t="s">
        <v>4684</v>
      </c>
      <c r="I1611" s="9" t="str">
        <f t="shared" si="1"/>
        <v>No</v>
      </c>
      <c r="J1611" s="9">
        <f t="shared" si="2"/>
        <v>0</v>
      </c>
      <c r="K1611" s="9" t="str">
        <f t="shared" si="3"/>
        <v>OBESITY</v>
      </c>
    </row>
    <row r="1612" ht="15.75" customHeight="1">
      <c r="A1612" s="9" t="s">
        <v>3223</v>
      </c>
      <c r="B1612" s="9">
        <v>29.26</v>
      </c>
      <c r="C1612" s="9">
        <v>5.68</v>
      </c>
      <c r="D1612" s="9" t="s">
        <v>4686</v>
      </c>
      <c r="E1612" s="9" t="s">
        <v>4684</v>
      </c>
      <c r="F1612" s="9" t="s">
        <v>4684</v>
      </c>
      <c r="G1612" s="9">
        <v>1.0</v>
      </c>
      <c r="H1612" s="9" t="s">
        <v>4684</v>
      </c>
      <c r="I1612" s="9" t="str">
        <f t="shared" si="1"/>
        <v>No</v>
      </c>
      <c r="J1612" s="9">
        <f t="shared" si="2"/>
        <v>1</v>
      </c>
      <c r="K1612" s="9" t="str">
        <f t="shared" si="3"/>
        <v>OVERWEIGHT</v>
      </c>
    </row>
    <row r="1613" ht="15.75" customHeight="1">
      <c r="A1613" s="9" t="s">
        <v>3225</v>
      </c>
      <c r="B1613" s="9">
        <v>15.09</v>
      </c>
      <c r="C1613" s="9">
        <v>7.59</v>
      </c>
      <c r="D1613" s="9" t="s">
        <v>4686</v>
      </c>
      <c r="E1613" s="9" t="s">
        <v>4684</v>
      </c>
      <c r="F1613" s="9" t="s">
        <v>4684</v>
      </c>
      <c r="G1613" s="9">
        <v>2.0</v>
      </c>
      <c r="H1613" s="9" t="s">
        <v>4684</v>
      </c>
      <c r="I1613" s="9" t="str">
        <f t="shared" si="1"/>
        <v>No</v>
      </c>
      <c r="J1613" s="9">
        <f t="shared" si="2"/>
        <v>2</v>
      </c>
      <c r="K1613" s="9" t="str">
        <f t="shared" si="3"/>
        <v>UNDERWEIGHT</v>
      </c>
    </row>
    <row r="1614" ht="15.75" customHeight="1">
      <c r="A1614" s="9" t="s">
        <v>3227</v>
      </c>
      <c r="B1614" s="9">
        <v>22.63</v>
      </c>
      <c r="C1614" s="9">
        <v>5.09</v>
      </c>
      <c r="D1614" s="9" t="s">
        <v>4686</v>
      </c>
      <c r="E1614" s="9" t="s">
        <v>4684</v>
      </c>
      <c r="F1614" s="9" t="s">
        <v>4684</v>
      </c>
      <c r="G1614" s="9" t="s">
        <v>4685</v>
      </c>
      <c r="H1614" s="9" t="s">
        <v>4684</v>
      </c>
      <c r="I1614" s="9" t="str">
        <f t="shared" si="1"/>
        <v>No</v>
      </c>
      <c r="J1614" s="9">
        <f t="shared" si="2"/>
        <v>0</v>
      </c>
      <c r="K1614" s="9" t="str">
        <f t="shared" si="3"/>
        <v>NORMAL WEIGHT</v>
      </c>
    </row>
    <row r="1615" ht="15.75" customHeight="1">
      <c r="A1615" s="9" t="s">
        <v>3229</v>
      </c>
      <c r="B1615" s="9">
        <v>23.46</v>
      </c>
      <c r="C1615" s="9">
        <v>4.21</v>
      </c>
      <c r="D1615" s="9" t="s">
        <v>4684</v>
      </c>
      <c r="E1615" s="9" t="s">
        <v>4684</v>
      </c>
      <c r="F1615" s="9" t="s">
        <v>4684</v>
      </c>
      <c r="G1615" s="9">
        <v>1.0</v>
      </c>
      <c r="H1615" s="9" t="s">
        <v>4684</v>
      </c>
      <c r="I1615" s="9" t="str">
        <f t="shared" si="1"/>
        <v>No</v>
      </c>
      <c r="J1615" s="9">
        <f t="shared" si="2"/>
        <v>1</v>
      </c>
      <c r="K1615" s="9" t="str">
        <f t="shared" si="3"/>
        <v>NORMAL WEIGHT</v>
      </c>
    </row>
    <row r="1616" ht="15.75" customHeight="1">
      <c r="A1616" s="9" t="s">
        <v>3231</v>
      </c>
      <c r="B1616" s="9">
        <v>22.56</v>
      </c>
      <c r="C1616" s="9">
        <v>4.34</v>
      </c>
      <c r="D1616" s="9" t="s">
        <v>4686</v>
      </c>
      <c r="E1616" s="9" t="s">
        <v>4684</v>
      </c>
      <c r="F1616" s="9" t="s">
        <v>4684</v>
      </c>
      <c r="G1616" s="9" t="s">
        <v>4685</v>
      </c>
      <c r="H1616" s="9" t="s">
        <v>4684</v>
      </c>
      <c r="I1616" s="9" t="str">
        <f t="shared" si="1"/>
        <v>No</v>
      </c>
      <c r="J1616" s="9">
        <f t="shared" si="2"/>
        <v>0</v>
      </c>
      <c r="K1616" s="9" t="str">
        <f t="shared" si="3"/>
        <v>NORMAL WEIGHT</v>
      </c>
    </row>
    <row r="1617" ht="15.75" customHeight="1">
      <c r="A1617" s="9" t="s">
        <v>3233</v>
      </c>
      <c r="B1617" s="9">
        <v>19.28</v>
      </c>
      <c r="C1617" s="9">
        <v>11.85</v>
      </c>
      <c r="D1617" s="9" t="s">
        <v>4684</v>
      </c>
      <c r="E1617" s="9" t="s">
        <v>4684</v>
      </c>
      <c r="F1617" s="9" t="s">
        <v>4684</v>
      </c>
      <c r="G1617" s="9">
        <v>2.0</v>
      </c>
      <c r="H1617" s="9" t="s">
        <v>4684</v>
      </c>
      <c r="I1617" s="9" t="str">
        <f t="shared" si="1"/>
        <v>No</v>
      </c>
      <c r="J1617" s="9">
        <f t="shared" si="2"/>
        <v>2</v>
      </c>
      <c r="K1617" s="9" t="str">
        <f t="shared" si="3"/>
        <v>NORMAL WEIGHT</v>
      </c>
    </row>
    <row r="1618" ht="15.75" customHeight="1">
      <c r="A1618" s="9" t="s">
        <v>3235</v>
      </c>
      <c r="B1618" s="9">
        <v>15.37</v>
      </c>
      <c r="C1618" s="9">
        <v>9.61</v>
      </c>
      <c r="D1618" s="9" t="s">
        <v>4686</v>
      </c>
      <c r="E1618" s="9" t="s">
        <v>4684</v>
      </c>
      <c r="F1618" s="9" t="s">
        <v>4684</v>
      </c>
      <c r="G1618" s="9">
        <v>2.0</v>
      </c>
      <c r="H1618" s="9" t="s">
        <v>4684</v>
      </c>
      <c r="I1618" s="9" t="str">
        <f t="shared" si="1"/>
        <v>No</v>
      </c>
      <c r="J1618" s="9">
        <f t="shared" si="2"/>
        <v>2</v>
      </c>
      <c r="K1618" s="9" t="str">
        <f t="shared" si="3"/>
        <v>UNDERWEIGHT</v>
      </c>
    </row>
    <row r="1619" ht="15.75" customHeight="1">
      <c r="A1619" s="9" t="s">
        <v>3237</v>
      </c>
      <c r="B1619" s="9">
        <v>18.71</v>
      </c>
      <c r="C1619" s="9">
        <v>5.29</v>
      </c>
      <c r="D1619" s="9" t="s">
        <v>4686</v>
      </c>
      <c r="E1619" s="9" t="s">
        <v>4684</v>
      </c>
      <c r="F1619" s="9" t="s">
        <v>4684</v>
      </c>
      <c r="G1619" s="9" t="s">
        <v>4685</v>
      </c>
      <c r="H1619" s="9" t="s">
        <v>4684</v>
      </c>
      <c r="I1619" s="9" t="str">
        <f t="shared" si="1"/>
        <v>No</v>
      </c>
      <c r="J1619" s="9">
        <f t="shared" si="2"/>
        <v>0</v>
      </c>
      <c r="K1619" s="9" t="str">
        <f t="shared" si="3"/>
        <v>NORMAL WEIGHT</v>
      </c>
    </row>
    <row r="1620" ht="15.75" customHeight="1">
      <c r="A1620" s="9" t="s">
        <v>3239</v>
      </c>
      <c r="B1620" s="9">
        <v>20.61</v>
      </c>
      <c r="C1620" s="9">
        <v>6.89</v>
      </c>
      <c r="D1620" s="9" t="s">
        <v>4684</v>
      </c>
      <c r="E1620" s="9" t="s">
        <v>4684</v>
      </c>
      <c r="F1620" s="9" t="s">
        <v>4684</v>
      </c>
      <c r="G1620" s="9" t="s">
        <v>4685</v>
      </c>
      <c r="H1620" s="9" t="s">
        <v>4684</v>
      </c>
      <c r="I1620" s="9" t="str">
        <f t="shared" si="1"/>
        <v>No</v>
      </c>
      <c r="J1620" s="9">
        <f t="shared" si="2"/>
        <v>0</v>
      </c>
      <c r="K1620" s="9" t="str">
        <f t="shared" si="3"/>
        <v>NORMAL WEIGHT</v>
      </c>
    </row>
    <row r="1621" ht="15.75" customHeight="1">
      <c r="A1621" s="9" t="s">
        <v>3241</v>
      </c>
      <c r="B1621" s="9">
        <v>15.99</v>
      </c>
      <c r="C1621" s="9">
        <v>4.57</v>
      </c>
      <c r="D1621" s="9" t="s">
        <v>4686</v>
      </c>
      <c r="E1621" s="9" t="s">
        <v>4684</v>
      </c>
      <c r="F1621" s="9" t="s">
        <v>4686</v>
      </c>
      <c r="G1621" s="9">
        <v>1.0</v>
      </c>
      <c r="H1621" s="9" t="s">
        <v>4684</v>
      </c>
      <c r="I1621" s="9" t="str">
        <f t="shared" si="1"/>
        <v>No</v>
      </c>
      <c r="J1621" s="9">
        <f t="shared" si="2"/>
        <v>1</v>
      </c>
      <c r="K1621" s="9" t="str">
        <f t="shared" si="3"/>
        <v>UNDERWEIGHT</v>
      </c>
    </row>
    <row r="1622" ht="15.75" customHeight="1">
      <c r="A1622" s="9" t="s">
        <v>3243</v>
      </c>
      <c r="B1622" s="9">
        <v>33.155</v>
      </c>
      <c r="C1622" s="9">
        <v>4.32</v>
      </c>
      <c r="D1622" s="9" t="s">
        <v>4684</v>
      </c>
      <c r="E1622" s="9" t="s">
        <v>4684</v>
      </c>
      <c r="F1622" s="9" t="s">
        <v>4684</v>
      </c>
      <c r="G1622" s="9" t="s">
        <v>4685</v>
      </c>
      <c r="H1622" s="9" t="s">
        <v>4684</v>
      </c>
      <c r="I1622" s="9" t="str">
        <f t="shared" si="1"/>
        <v>No</v>
      </c>
      <c r="J1622" s="9">
        <f t="shared" si="2"/>
        <v>0</v>
      </c>
      <c r="K1622" s="9" t="str">
        <f t="shared" si="3"/>
        <v>OBESITY</v>
      </c>
    </row>
    <row r="1623" ht="15.75" customHeight="1">
      <c r="A1623" s="9" t="s">
        <v>3245</v>
      </c>
      <c r="B1623" s="9">
        <v>26.22</v>
      </c>
      <c r="C1623" s="9">
        <v>5.57</v>
      </c>
      <c r="D1623" s="9" t="s">
        <v>4686</v>
      </c>
      <c r="E1623" s="9" t="s">
        <v>4684</v>
      </c>
      <c r="F1623" s="9" t="s">
        <v>4686</v>
      </c>
      <c r="G1623" s="9">
        <v>1.0</v>
      </c>
      <c r="H1623" s="9" t="s">
        <v>4684</v>
      </c>
      <c r="I1623" s="9" t="str">
        <f t="shared" si="1"/>
        <v>No</v>
      </c>
      <c r="J1623" s="9">
        <f t="shared" si="2"/>
        <v>1</v>
      </c>
      <c r="K1623" s="9" t="str">
        <f t="shared" si="3"/>
        <v>OVERWEIGHT</v>
      </c>
    </row>
    <row r="1624" ht="15.75" customHeight="1">
      <c r="A1624" s="9" t="s">
        <v>3247</v>
      </c>
      <c r="B1624" s="9">
        <v>21.85</v>
      </c>
      <c r="C1624" s="9">
        <v>5.26</v>
      </c>
      <c r="D1624" s="9" t="s">
        <v>4686</v>
      </c>
      <c r="E1624" s="9" t="s">
        <v>4684</v>
      </c>
      <c r="F1624" s="9" t="s">
        <v>4686</v>
      </c>
      <c r="G1624" s="9">
        <v>1.0</v>
      </c>
      <c r="H1624" s="9" t="s">
        <v>4684</v>
      </c>
      <c r="I1624" s="9" t="str">
        <f t="shared" si="1"/>
        <v>No</v>
      </c>
      <c r="J1624" s="9">
        <f t="shared" si="2"/>
        <v>1</v>
      </c>
      <c r="K1624" s="9" t="str">
        <f t="shared" si="3"/>
        <v>NORMAL WEIGHT</v>
      </c>
    </row>
    <row r="1625" ht="15.75" customHeight="1">
      <c r="A1625" s="9" t="s">
        <v>3249</v>
      </c>
      <c r="B1625" s="9">
        <v>30.495</v>
      </c>
      <c r="C1625" s="9">
        <v>6.25</v>
      </c>
      <c r="D1625" s="9" t="s">
        <v>4684</v>
      </c>
      <c r="E1625" s="9" t="s">
        <v>4684</v>
      </c>
      <c r="F1625" s="9" t="s">
        <v>4684</v>
      </c>
      <c r="G1625" s="9" t="s">
        <v>4685</v>
      </c>
      <c r="H1625" s="9" t="s">
        <v>4684</v>
      </c>
      <c r="I1625" s="9" t="str">
        <f t="shared" si="1"/>
        <v>No</v>
      </c>
      <c r="J1625" s="9">
        <f t="shared" si="2"/>
        <v>0</v>
      </c>
      <c r="K1625" s="9" t="str">
        <f t="shared" si="3"/>
        <v>OBESITY</v>
      </c>
    </row>
    <row r="1626" ht="15.75" customHeight="1">
      <c r="A1626" s="9" t="s">
        <v>3251</v>
      </c>
      <c r="B1626" s="9">
        <v>34.105</v>
      </c>
      <c r="C1626" s="9">
        <v>5.67</v>
      </c>
      <c r="D1626" s="9" t="s">
        <v>4686</v>
      </c>
      <c r="E1626" s="9" t="s">
        <v>4684</v>
      </c>
      <c r="F1626" s="9" t="s">
        <v>4684</v>
      </c>
      <c r="G1626" s="9" t="s">
        <v>4685</v>
      </c>
      <c r="H1626" s="9" t="s">
        <v>4684</v>
      </c>
      <c r="I1626" s="9" t="str">
        <f t="shared" si="1"/>
        <v>No</v>
      </c>
      <c r="J1626" s="9">
        <f t="shared" si="2"/>
        <v>0</v>
      </c>
      <c r="K1626" s="9" t="str">
        <f t="shared" si="3"/>
        <v>OBESITY</v>
      </c>
    </row>
    <row r="1627" ht="15.75" customHeight="1">
      <c r="A1627" s="9" t="s">
        <v>3253</v>
      </c>
      <c r="B1627" s="9">
        <v>32.77</v>
      </c>
      <c r="C1627" s="9">
        <v>4.42</v>
      </c>
      <c r="D1627" s="9" t="s">
        <v>4686</v>
      </c>
      <c r="E1627" s="9" t="s">
        <v>4684</v>
      </c>
      <c r="F1627" s="9" t="s">
        <v>4684</v>
      </c>
      <c r="G1627" s="9">
        <v>1.0</v>
      </c>
      <c r="H1627" s="9" t="s">
        <v>4684</v>
      </c>
      <c r="I1627" s="9" t="str">
        <f t="shared" si="1"/>
        <v>No</v>
      </c>
      <c r="J1627" s="9">
        <f t="shared" si="2"/>
        <v>1</v>
      </c>
      <c r="K1627" s="9" t="str">
        <f t="shared" si="3"/>
        <v>OBESITY</v>
      </c>
    </row>
    <row r="1628" ht="15.75" customHeight="1">
      <c r="A1628" s="9" t="s">
        <v>3255</v>
      </c>
      <c r="B1628" s="9">
        <v>16.85</v>
      </c>
      <c r="C1628" s="9">
        <v>11.75</v>
      </c>
      <c r="D1628" s="9" t="s">
        <v>4686</v>
      </c>
      <c r="E1628" s="9" t="s">
        <v>4684</v>
      </c>
      <c r="F1628" s="9" t="s">
        <v>4684</v>
      </c>
      <c r="G1628" s="9">
        <v>2.0</v>
      </c>
      <c r="H1628" s="9" t="s">
        <v>4684</v>
      </c>
      <c r="I1628" s="9" t="str">
        <f t="shared" si="1"/>
        <v>No</v>
      </c>
      <c r="J1628" s="9">
        <f t="shared" si="2"/>
        <v>2</v>
      </c>
      <c r="K1628" s="9" t="str">
        <f t="shared" si="3"/>
        <v>UNDERWEIGHT</v>
      </c>
    </row>
    <row r="1629" ht="15.75" customHeight="1">
      <c r="A1629" s="9" t="s">
        <v>3257</v>
      </c>
      <c r="B1629" s="9">
        <v>34.7</v>
      </c>
      <c r="C1629" s="9">
        <v>6.06</v>
      </c>
      <c r="D1629" s="9" t="s">
        <v>4684</v>
      </c>
      <c r="E1629" s="9" t="s">
        <v>4684</v>
      </c>
      <c r="F1629" s="9" t="s">
        <v>4684</v>
      </c>
      <c r="G1629" s="9">
        <v>1.0</v>
      </c>
      <c r="H1629" s="9" t="s">
        <v>4684</v>
      </c>
      <c r="I1629" s="9" t="str">
        <f t="shared" si="1"/>
        <v>No</v>
      </c>
      <c r="J1629" s="9">
        <f t="shared" si="2"/>
        <v>1</v>
      </c>
      <c r="K1629" s="9" t="str">
        <f t="shared" si="3"/>
        <v>OBESITY</v>
      </c>
    </row>
    <row r="1630" ht="15.75" customHeight="1">
      <c r="A1630" s="9" t="s">
        <v>3259</v>
      </c>
      <c r="B1630" s="9">
        <v>37.05</v>
      </c>
      <c r="C1630" s="9">
        <v>5.48</v>
      </c>
      <c r="D1630" s="9" t="s">
        <v>4684</v>
      </c>
      <c r="E1630" s="9" t="s">
        <v>4684</v>
      </c>
      <c r="F1630" s="9" t="s">
        <v>4684</v>
      </c>
      <c r="G1630" s="9">
        <v>1.0</v>
      </c>
      <c r="H1630" s="9" t="s">
        <v>4684</v>
      </c>
      <c r="I1630" s="9" t="str">
        <f t="shared" si="1"/>
        <v>No</v>
      </c>
      <c r="J1630" s="9">
        <f t="shared" si="2"/>
        <v>1</v>
      </c>
      <c r="K1630" s="9" t="str">
        <f t="shared" si="3"/>
        <v>OBESITY</v>
      </c>
    </row>
    <row r="1631" ht="15.75" customHeight="1">
      <c r="A1631" s="9" t="s">
        <v>3261</v>
      </c>
      <c r="B1631" s="9">
        <v>18.78</v>
      </c>
      <c r="C1631" s="9">
        <v>4.45</v>
      </c>
      <c r="D1631" s="9" t="s">
        <v>4684</v>
      </c>
      <c r="E1631" s="9" t="s">
        <v>4684</v>
      </c>
      <c r="F1631" s="9" t="s">
        <v>4686</v>
      </c>
      <c r="G1631" s="9">
        <v>1.0</v>
      </c>
      <c r="H1631" s="9" t="s">
        <v>4684</v>
      </c>
      <c r="I1631" s="9" t="str">
        <f t="shared" si="1"/>
        <v>No</v>
      </c>
      <c r="J1631" s="9">
        <f t="shared" si="2"/>
        <v>1</v>
      </c>
      <c r="K1631" s="9" t="str">
        <f t="shared" si="3"/>
        <v>NORMAL WEIGHT</v>
      </c>
    </row>
    <row r="1632" ht="15.75" customHeight="1">
      <c r="A1632" s="9" t="s">
        <v>3263</v>
      </c>
      <c r="B1632" s="9">
        <v>28.025</v>
      </c>
      <c r="C1632" s="9">
        <v>5.0</v>
      </c>
      <c r="D1632" s="9" t="s">
        <v>4684</v>
      </c>
      <c r="E1632" s="9" t="s">
        <v>4684</v>
      </c>
      <c r="F1632" s="9" t="s">
        <v>4684</v>
      </c>
      <c r="G1632" s="9">
        <v>1.0</v>
      </c>
      <c r="H1632" s="9" t="s">
        <v>4684</v>
      </c>
      <c r="I1632" s="9" t="str">
        <f t="shared" si="1"/>
        <v>No</v>
      </c>
      <c r="J1632" s="9">
        <f t="shared" si="2"/>
        <v>1</v>
      </c>
      <c r="K1632" s="9" t="str">
        <f t="shared" si="3"/>
        <v>OVERWEIGHT</v>
      </c>
    </row>
    <row r="1633" ht="15.75" customHeight="1">
      <c r="A1633" s="9" t="s">
        <v>3265</v>
      </c>
      <c r="B1633" s="9">
        <v>35.09</v>
      </c>
      <c r="C1633" s="9">
        <v>5.84</v>
      </c>
      <c r="D1633" s="9" t="s">
        <v>4684</v>
      </c>
      <c r="E1633" s="9" t="s">
        <v>4684</v>
      </c>
      <c r="F1633" s="9" t="s">
        <v>4684</v>
      </c>
      <c r="G1633" s="9" t="s">
        <v>4685</v>
      </c>
      <c r="H1633" s="9" t="s">
        <v>4684</v>
      </c>
      <c r="I1633" s="9" t="str">
        <f t="shared" si="1"/>
        <v>No</v>
      </c>
      <c r="J1633" s="9">
        <f t="shared" si="2"/>
        <v>0</v>
      </c>
      <c r="K1633" s="9" t="str">
        <f t="shared" si="3"/>
        <v>OBESITY</v>
      </c>
    </row>
    <row r="1634" ht="15.75" customHeight="1">
      <c r="A1634" s="9" t="s">
        <v>3267</v>
      </c>
      <c r="B1634" s="9">
        <v>34.42</v>
      </c>
      <c r="C1634" s="9">
        <v>5.21</v>
      </c>
      <c r="D1634" s="9" t="s">
        <v>4686</v>
      </c>
      <c r="E1634" s="9" t="s">
        <v>4684</v>
      </c>
      <c r="F1634" s="9" t="s">
        <v>4684</v>
      </c>
      <c r="G1634" s="9" t="s">
        <v>4685</v>
      </c>
      <c r="H1634" s="9" t="s">
        <v>4684</v>
      </c>
      <c r="I1634" s="9" t="str">
        <f t="shared" si="1"/>
        <v>No</v>
      </c>
      <c r="J1634" s="9">
        <f t="shared" si="2"/>
        <v>0</v>
      </c>
      <c r="K1634" s="9" t="str">
        <f t="shared" si="3"/>
        <v>OBESITY</v>
      </c>
    </row>
    <row r="1635" ht="15.75" customHeight="1">
      <c r="A1635" s="9" t="s">
        <v>3269</v>
      </c>
      <c r="B1635" s="9">
        <v>29.4</v>
      </c>
      <c r="C1635" s="9">
        <v>4.26</v>
      </c>
      <c r="D1635" s="9" t="s">
        <v>4684</v>
      </c>
      <c r="E1635" s="9" t="s">
        <v>4684</v>
      </c>
      <c r="F1635" s="9" t="s">
        <v>4684</v>
      </c>
      <c r="G1635" s="9" t="s">
        <v>4685</v>
      </c>
      <c r="H1635" s="9" t="s">
        <v>4684</v>
      </c>
      <c r="I1635" s="9" t="str">
        <f t="shared" si="1"/>
        <v>No</v>
      </c>
      <c r="J1635" s="9">
        <f t="shared" si="2"/>
        <v>0</v>
      </c>
      <c r="K1635" s="9" t="str">
        <f t="shared" si="3"/>
        <v>OVERWEIGHT</v>
      </c>
    </row>
    <row r="1636" ht="15.75" customHeight="1">
      <c r="A1636" s="9" t="s">
        <v>3271</v>
      </c>
      <c r="B1636" s="9">
        <v>21.31</v>
      </c>
      <c r="C1636" s="9">
        <v>4.17</v>
      </c>
      <c r="D1636" s="9" t="s">
        <v>4684</v>
      </c>
      <c r="E1636" s="9" t="s">
        <v>4684</v>
      </c>
      <c r="F1636" s="9" t="s">
        <v>4684</v>
      </c>
      <c r="G1636" s="9" t="s">
        <v>4685</v>
      </c>
      <c r="H1636" s="9" t="s">
        <v>4684</v>
      </c>
      <c r="I1636" s="9" t="str">
        <f t="shared" si="1"/>
        <v>No</v>
      </c>
      <c r="J1636" s="9">
        <f t="shared" si="2"/>
        <v>0</v>
      </c>
      <c r="K1636" s="9" t="str">
        <f t="shared" si="3"/>
        <v>NORMAL WEIGHT</v>
      </c>
    </row>
    <row r="1637" ht="15.75" customHeight="1">
      <c r="A1637" s="9" t="s">
        <v>3273</v>
      </c>
      <c r="B1637" s="9">
        <v>19.56</v>
      </c>
      <c r="C1637" s="9">
        <v>11.96</v>
      </c>
      <c r="D1637" s="9" t="s">
        <v>4684</v>
      </c>
      <c r="E1637" s="9" t="s">
        <v>4684</v>
      </c>
      <c r="F1637" s="9" t="s">
        <v>4684</v>
      </c>
      <c r="G1637" s="9" t="s">
        <v>4685</v>
      </c>
      <c r="H1637" s="9" t="s">
        <v>4684</v>
      </c>
      <c r="I1637" s="9" t="str">
        <f t="shared" si="1"/>
        <v>No</v>
      </c>
      <c r="J1637" s="9">
        <f t="shared" si="2"/>
        <v>0</v>
      </c>
      <c r="K1637" s="9" t="str">
        <f t="shared" si="3"/>
        <v>NORMAL WEIGHT</v>
      </c>
    </row>
    <row r="1638" ht="15.75" customHeight="1">
      <c r="A1638" s="9" t="s">
        <v>3275</v>
      </c>
      <c r="B1638" s="9">
        <v>37.335</v>
      </c>
      <c r="C1638" s="9">
        <v>6.26</v>
      </c>
      <c r="D1638" s="9" t="s">
        <v>4686</v>
      </c>
      <c r="E1638" s="9" t="s">
        <v>4684</v>
      </c>
      <c r="F1638" s="9" t="s">
        <v>4684</v>
      </c>
      <c r="G1638" s="9">
        <v>1.0</v>
      </c>
      <c r="H1638" s="9" t="s">
        <v>4684</v>
      </c>
      <c r="I1638" s="9" t="str">
        <f t="shared" si="1"/>
        <v>No</v>
      </c>
      <c r="J1638" s="9">
        <f t="shared" si="2"/>
        <v>1</v>
      </c>
      <c r="K1638" s="9" t="str">
        <f t="shared" si="3"/>
        <v>OBESITY</v>
      </c>
    </row>
    <row r="1639" ht="15.75" customHeight="1">
      <c r="A1639" s="9" t="s">
        <v>3277</v>
      </c>
      <c r="B1639" s="9">
        <v>19.53</v>
      </c>
      <c r="C1639" s="9">
        <v>11.68</v>
      </c>
      <c r="D1639" s="9" t="s">
        <v>4684</v>
      </c>
      <c r="E1639" s="9" t="s">
        <v>4684</v>
      </c>
      <c r="F1639" s="9" t="s">
        <v>4684</v>
      </c>
      <c r="G1639" s="9" t="s">
        <v>4685</v>
      </c>
      <c r="H1639" s="9" t="s">
        <v>4684</v>
      </c>
      <c r="I1639" s="9" t="str">
        <f t="shared" si="1"/>
        <v>No</v>
      </c>
      <c r="J1639" s="9">
        <f t="shared" si="2"/>
        <v>0</v>
      </c>
      <c r="K1639" s="9" t="str">
        <f t="shared" si="3"/>
        <v>NORMAL WEIGHT</v>
      </c>
    </row>
    <row r="1640" ht="15.75" customHeight="1">
      <c r="A1640" s="9" t="s">
        <v>3279</v>
      </c>
      <c r="B1640" s="9">
        <v>34.1</v>
      </c>
      <c r="C1640" s="9">
        <v>5.16</v>
      </c>
      <c r="D1640" s="9" t="s">
        <v>4684</v>
      </c>
      <c r="E1640" s="9" t="s">
        <v>4684</v>
      </c>
      <c r="F1640" s="9" t="s">
        <v>4684</v>
      </c>
      <c r="G1640" s="9" t="s">
        <v>4685</v>
      </c>
      <c r="H1640" s="9" t="s">
        <v>4684</v>
      </c>
      <c r="I1640" s="9" t="str">
        <f t="shared" si="1"/>
        <v>No</v>
      </c>
      <c r="J1640" s="9">
        <f t="shared" si="2"/>
        <v>0</v>
      </c>
      <c r="K1640" s="9" t="str">
        <f t="shared" si="3"/>
        <v>OBESITY</v>
      </c>
    </row>
    <row r="1641" ht="15.75" customHeight="1">
      <c r="A1641" s="9" t="s">
        <v>3281</v>
      </c>
      <c r="B1641" s="9">
        <v>16.5</v>
      </c>
      <c r="C1641" s="9">
        <v>6.9</v>
      </c>
      <c r="D1641" s="9" t="s">
        <v>4686</v>
      </c>
      <c r="E1641" s="9" t="s">
        <v>4684</v>
      </c>
      <c r="F1641" s="9" t="s">
        <v>4684</v>
      </c>
      <c r="G1641" s="9">
        <v>2.0</v>
      </c>
      <c r="H1641" s="9" t="s">
        <v>4684</v>
      </c>
      <c r="I1641" s="9" t="str">
        <f t="shared" si="1"/>
        <v>No</v>
      </c>
      <c r="J1641" s="9">
        <f t="shared" si="2"/>
        <v>2</v>
      </c>
      <c r="K1641" s="9" t="str">
        <f t="shared" si="3"/>
        <v>UNDERWEIGHT</v>
      </c>
    </row>
    <row r="1642" ht="15.75" customHeight="1">
      <c r="A1642" s="9" t="s">
        <v>3283</v>
      </c>
      <c r="B1642" s="9">
        <v>30.69</v>
      </c>
      <c r="C1642" s="9">
        <v>4.83</v>
      </c>
      <c r="D1642" s="9" t="s">
        <v>4684</v>
      </c>
      <c r="E1642" s="9" t="s">
        <v>4684</v>
      </c>
      <c r="F1642" s="9" t="s">
        <v>4684</v>
      </c>
      <c r="G1642" s="9">
        <v>1.0</v>
      </c>
      <c r="H1642" s="9" t="s">
        <v>4684</v>
      </c>
      <c r="I1642" s="9" t="str">
        <f t="shared" si="1"/>
        <v>No</v>
      </c>
      <c r="J1642" s="9">
        <f t="shared" si="2"/>
        <v>1</v>
      </c>
      <c r="K1642" s="9" t="str">
        <f t="shared" si="3"/>
        <v>OBESITY</v>
      </c>
    </row>
    <row r="1643" ht="15.75" customHeight="1">
      <c r="A1643" s="9" t="s">
        <v>3285</v>
      </c>
      <c r="B1643" s="9">
        <v>28.93</v>
      </c>
      <c r="C1643" s="9">
        <v>4.87</v>
      </c>
      <c r="D1643" s="9" t="s">
        <v>4684</v>
      </c>
      <c r="E1643" s="9" t="s">
        <v>4684</v>
      </c>
      <c r="F1643" s="9" t="s">
        <v>4684</v>
      </c>
      <c r="G1643" s="9">
        <v>1.0</v>
      </c>
      <c r="H1643" s="9" t="s">
        <v>4684</v>
      </c>
      <c r="I1643" s="9" t="str">
        <f t="shared" si="1"/>
        <v>No</v>
      </c>
      <c r="J1643" s="9">
        <f t="shared" si="2"/>
        <v>1</v>
      </c>
      <c r="K1643" s="9" t="str">
        <f t="shared" si="3"/>
        <v>OVERWEIGHT</v>
      </c>
    </row>
    <row r="1644" ht="15.75" customHeight="1">
      <c r="A1644" s="9" t="s">
        <v>3287</v>
      </c>
      <c r="B1644" s="9">
        <v>38.9</v>
      </c>
      <c r="C1644" s="9">
        <v>4.28</v>
      </c>
      <c r="D1644" s="9" t="s">
        <v>4684</v>
      </c>
      <c r="E1644" s="9" t="s">
        <v>4684</v>
      </c>
      <c r="F1644" s="9" t="s">
        <v>4684</v>
      </c>
      <c r="G1644" s="9" t="s">
        <v>4685</v>
      </c>
      <c r="H1644" s="9" t="s">
        <v>4684</v>
      </c>
      <c r="I1644" s="9" t="str">
        <f t="shared" si="1"/>
        <v>No</v>
      </c>
      <c r="J1644" s="9">
        <f t="shared" si="2"/>
        <v>0</v>
      </c>
      <c r="K1644" s="9" t="str">
        <f t="shared" si="3"/>
        <v>OBESITY</v>
      </c>
    </row>
    <row r="1645" ht="15.75" customHeight="1">
      <c r="A1645" s="9" t="s">
        <v>3289</v>
      </c>
      <c r="B1645" s="9">
        <v>26.9</v>
      </c>
      <c r="C1645" s="9">
        <v>4.07</v>
      </c>
      <c r="D1645" s="9" t="s">
        <v>4684</v>
      </c>
      <c r="E1645" s="9" t="s">
        <v>4684</v>
      </c>
      <c r="F1645" s="9" t="s">
        <v>4684</v>
      </c>
      <c r="G1645" s="9" t="s">
        <v>4685</v>
      </c>
      <c r="H1645" s="9" t="s">
        <v>4684</v>
      </c>
      <c r="I1645" s="9" t="str">
        <f t="shared" si="1"/>
        <v>No</v>
      </c>
      <c r="J1645" s="9">
        <f t="shared" si="2"/>
        <v>0</v>
      </c>
      <c r="K1645" s="9" t="str">
        <f t="shared" si="3"/>
        <v>OVERWEIGHT</v>
      </c>
    </row>
    <row r="1646" ht="15.75" customHeight="1">
      <c r="A1646" s="9" t="s">
        <v>3291</v>
      </c>
      <c r="B1646" s="9">
        <v>24.86</v>
      </c>
      <c r="C1646" s="9">
        <v>6.23</v>
      </c>
      <c r="D1646" s="9" t="s">
        <v>4684</v>
      </c>
      <c r="E1646" s="9" t="s">
        <v>4684</v>
      </c>
      <c r="F1646" s="9" t="s">
        <v>4684</v>
      </c>
      <c r="G1646" s="9" t="s">
        <v>4685</v>
      </c>
      <c r="H1646" s="9" t="s">
        <v>4684</v>
      </c>
      <c r="I1646" s="9" t="str">
        <f t="shared" si="1"/>
        <v>No</v>
      </c>
      <c r="J1646" s="9">
        <f t="shared" si="2"/>
        <v>0</v>
      </c>
      <c r="K1646" s="9" t="str">
        <f t="shared" si="3"/>
        <v>NORMAL WEIGHT</v>
      </c>
    </row>
    <row r="1647" ht="15.75" customHeight="1">
      <c r="A1647" s="9" t="s">
        <v>3293</v>
      </c>
      <c r="B1647" s="9">
        <v>39.14</v>
      </c>
      <c r="C1647" s="9">
        <v>6.24</v>
      </c>
      <c r="D1647" s="9" t="s">
        <v>4684</v>
      </c>
      <c r="E1647" s="9" t="s">
        <v>4686</v>
      </c>
      <c r="F1647" s="9" t="s">
        <v>4684</v>
      </c>
      <c r="G1647" s="9">
        <v>1.0</v>
      </c>
      <c r="H1647" s="9" t="s">
        <v>4684</v>
      </c>
      <c r="I1647" s="9" t="str">
        <f t="shared" si="1"/>
        <v>No</v>
      </c>
      <c r="J1647" s="9">
        <f t="shared" si="2"/>
        <v>1</v>
      </c>
      <c r="K1647" s="9" t="str">
        <f t="shared" si="3"/>
        <v>OBESITY</v>
      </c>
    </row>
    <row r="1648" ht="15.75" customHeight="1">
      <c r="A1648" s="9" t="s">
        <v>3295</v>
      </c>
      <c r="B1648" s="9">
        <v>39.8</v>
      </c>
      <c r="C1648" s="9">
        <v>6.17</v>
      </c>
      <c r="D1648" s="9" t="s">
        <v>4684</v>
      </c>
      <c r="E1648" s="9" t="s">
        <v>4684</v>
      </c>
      <c r="F1648" s="9" t="s">
        <v>4686</v>
      </c>
      <c r="G1648" s="9">
        <v>1.0</v>
      </c>
      <c r="H1648" s="9" t="s">
        <v>4684</v>
      </c>
      <c r="I1648" s="9" t="str">
        <f t="shared" si="1"/>
        <v>No</v>
      </c>
      <c r="J1648" s="9">
        <f t="shared" si="2"/>
        <v>1</v>
      </c>
      <c r="K1648" s="9" t="str">
        <f t="shared" si="3"/>
        <v>OBESITY</v>
      </c>
    </row>
    <row r="1649" ht="15.75" customHeight="1">
      <c r="A1649" s="9" t="s">
        <v>3297</v>
      </c>
      <c r="B1649" s="9">
        <v>34.32</v>
      </c>
      <c r="C1649" s="9">
        <v>5.16</v>
      </c>
      <c r="D1649" s="9" t="s">
        <v>4684</v>
      </c>
      <c r="E1649" s="9" t="s">
        <v>4684</v>
      </c>
      <c r="F1649" s="9" t="s">
        <v>4684</v>
      </c>
      <c r="G1649" s="9">
        <v>1.0</v>
      </c>
      <c r="H1649" s="9" t="s">
        <v>4684</v>
      </c>
      <c r="I1649" s="9" t="str">
        <f t="shared" si="1"/>
        <v>No</v>
      </c>
      <c r="J1649" s="9">
        <f t="shared" si="2"/>
        <v>1</v>
      </c>
      <c r="K1649" s="9" t="str">
        <f t="shared" si="3"/>
        <v>OBESITY</v>
      </c>
    </row>
    <row r="1650" ht="15.75" customHeight="1">
      <c r="A1650" s="9" t="s">
        <v>3299</v>
      </c>
      <c r="B1650" s="9">
        <v>32.51</v>
      </c>
      <c r="C1650" s="9">
        <v>4.3</v>
      </c>
      <c r="D1650" s="9" t="s">
        <v>4684</v>
      </c>
      <c r="E1650" s="9" t="s">
        <v>4684</v>
      </c>
      <c r="F1650" s="9" t="s">
        <v>4684</v>
      </c>
      <c r="G1650" s="9" t="s">
        <v>4685</v>
      </c>
      <c r="H1650" s="9" t="s">
        <v>4684</v>
      </c>
      <c r="I1650" s="9" t="str">
        <f t="shared" si="1"/>
        <v>No</v>
      </c>
      <c r="J1650" s="9">
        <f t="shared" si="2"/>
        <v>0</v>
      </c>
      <c r="K1650" s="9" t="str">
        <f t="shared" si="3"/>
        <v>OBESITY</v>
      </c>
    </row>
    <row r="1651" ht="15.75" customHeight="1">
      <c r="A1651" s="9" t="s">
        <v>3301</v>
      </c>
      <c r="B1651" s="9">
        <v>30.71</v>
      </c>
      <c r="C1651" s="9">
        <v>6.14</v>
      </c>
      <c r="D1651" s="9" t="s">
        <v>4684</v>
      </c>
      <c r="E1651" s="9" t="s">
        <v>4684</v>
      </c>
      <c r="F1651" s="9" t="s">
        <v>4686</v>
      </c>
      <c r="G1651" s="9">
        <v>1.0</v>
      </c>
      <c r="H1651" s="9" t="s">
        <v>4684</v>
      </c>
      <c r="I1651" s="9" t="str">
        <f t="shared" si="1"/>
        <v>No</v>
      </c>
      <c r="J1651" s="9">
        <f t="shared" si="2"/>
        <v>1</v>
      </c>
      <c r="K1651" s="9" t="str">
        <f t="shared" si="3"/>
        <v>OBESITY</v>
      </c>
    </row>
    <row r="1652" ht="15.75" customHeight="1">
      <c r="A1652" s="9" t="s">
        <v>3303</v>
      </c>
      <c r="B1652" s="9">
        <v>28.9</v>
      </c>
      <c r="C1652" s="9">
        <v>5.36</v>
      </c>
      <c r="D1652" s="9" t="s">
        <v>4684</v>
      </c>
      <c r="E1652" s="9" t="s">
        <v>4684</v>
      </c>
      <c r="F1652" s="9" t="s">
        <v>4684</v>
      </c>
      <c r="G1652" s="9">
        <v>1.0</v>
      </c>
      <c r="H1652" s="9" t="s">
        <v>4684</v>
      </c>
      <c r="I1652" s="9" t="str">
        <f t="shared" si="1"/>
        <v>No</v>
      </c>
      <c r="J1652" s="9">
        <f t="shared" si="2"/>
        <v>1</v>
      </c>
      <c r="K1652" s="9" t="str">
        <f t="shared" si="3"/>
        <v>OVERWEIGHT</v>
      </c>
    </row>
    <row r="1653" ht="15.75" customHeight="1">
      <c r="A1653" s="9" t="s">
        <v>3305</v>
      </c>
      <c r="B1653" s="9">
        <v>36.19</v>
      </c>
      <c r="C1653" s="9">
        <v>4.3</v>
      </c>
      <c r="D1653" s="9" t="s">
        <v>4684</v>
      </c>
      <c r="E1653" s="9" t="s">
        <v>4684</v>
      </c>
      <c r="F1653" s="9" t="s">
        <v>4684</v>
      </c>
      <c r="G1653" s="9" t="s">
        <v>4685</v>
      </c>
      <c r="H1653" s="9" t="s">
        <v>4684</v>
      </c>
      <c r="I1653" s="9" t="str">
        <f t="shared" si="1"/>
        <v>No</v>
      </c>
      <c r="J1653" s="9">
        <f t="shared" si="2"/>
        <v>0</v>
      </c>
      <c r="K1653" s="9" t="str">
        <f t="shared" si="3"/>
        <v>OBESITY</v>
      </c>
    </row>
    <row r="1654" ht="15.75" customHeight="1">
      <c r="A1654" s="9" t="s">
        <v>3307</v>
      </c>
      <c r="B1654" s="9">
        <v>29.6</v>
      </c>
      <c r="C1654" s="9">
        <v>4.09</v>
      </c>
      <c r="D1654" s="9" t="s">
        <v>4684</v>
      </c>
      <c r="E1654" s="9" t="s">
        <v>4684</v>
      </c>
      <c r="F1654" s="9" t="s">
        <v>4684</v>
      </c>
      <c r="G1654" s="9" t="s">
        <v>4685</v>
      </c>
      <c r="H1654" s="9" t="s">
        <v>4684</v>
      </c>
      <c r="I1654" s="9" t="str">
        <f t="shared" si="1"/>
        <v>No</v>
      </c>
      <c r="J1654" s="9">
        <f t="shared" si="2"/>
        <v>0</v>
      </c>
      <c r="K1654" s="9" t="str">
        <f t="shared" si="3"/>
        <v>OVERWEIGHT</v>
      </c>
    </row>
    <row r="1655" ht="15.75" customHeight="1">
      <c r="A1655" s="9" t="s">
        <v>3309</v>
      </c>
      <c r="B1655" s="9">
        <v>30.95</v>
      </c>
      <c r="C1655" s="9">
        <v>6.27</v>
      </c>
      <c r="D1655" s="9" t="s">
        <v>4684</v>
      </c>
      <c r="E1655" s="9" t="s">
        <v>4684</v>
      </c>
      <c r="F1655" s="9" t="s">
        <v>4686</v>
      </c>
      <c r="G1655" s="9">
        <v>1.0</v>
      </c>
      <c r="H1655" s="9" t="s">
        <v>4684</v>
      </c>
      <c r="I1655" s="9" t="str">
        <f t="shared" si="1"/>
        <v>No</v>
      </c>
      <c r="J1655" s="9">
        <f t="shared" si="2"/>
        <v>1</v>
      </c>
      <c r="K1655" s="9" t="str">
        <f t="shared" si="3"/>
        <v>OBESITY</v>
      </c>
    </row>
    <row r="1656" ht="15.75" customHeight="1">
      <c r="A1656" s="9" t="s">
        <v>3311</v>
      </c>
      <c r="B1656" s="9">
        <v>19.95</v>
      </c>
      <c r="C1656" s="9">
        <v>5.39</v>
      </c>
      <c r="D1656" s="9" t="s">
        <v>4684</v>
      </c>
      <c r="E1656" s="9" t="s">
        <v>4684</v>
      </c>
      <c r="F1656" s="9" t="s">
        <v>4684</v>
      </c>
      <c r="G1656" s="9">
        <v>1.0</v>
      </c>
      <c r="H1656" s="9" t="s">
        <v>4684</v>
      </c>
      <c r="I1656" s="9" t="str">
        <f t="shared" si="1"/>
        <v>No</v>
      </c>
      <c r="J1656" s="9">
        <f t="shared" si="2"/>
        <v>1</v>
      </c>
      <c r="K1656" s="9" t="str">
        <f t="shared" si="3"/>
        <v>NORMAL WEIGHT</v>
      </c>
    </row>
    <row r="1657" ht="15.75" customHeight="1">
      <c r="A1657" s="9" t="s">
        <v>3313</v>
      </c>
      <c r="B1657" s="9">
        <v>23.65</v>
      </c>
      <c r="C1657" s="9">
        <v>5.75</v>
      </c>
      <c r="D1657" s="9" t="s">
        <v>4686</v>
      </c>
      <c r="E1657" s="9" t="s">
        <v>4684</v>
      </c>
      <c r="F1657" s="9" t="s">
        <v>4684</v>
      </c>
      <c r="G1657" s="9" t="s">
        <v>4685</v>
      </c>
      <c r="H1657" s="9" t="s">
        <v>4684</v>
      </c>
      <c r="I1657" s="9" t="str">
        <f t="shared" si="1"/>
        <v>No</v>
      </c>
      <c r="J1657" s="9">
        <f t="shared" si="2"/>
        <v>0</v>
      </c>
      <c r="K1657" s="9" t="str">
        <f t="shared" si="3"/>
        <v>NORMAL WEIGHT</v>
      </c>
    </row>
    <row r="1658" ht="15.75" customHeight="1">
      <c r="A1658" s="9" t="s">
        <v>3315</v>
      </c>
      <c r="B1658" s="9">
        <v>43.34</v>
      </c>
      <c r="C1658" s="9">
        <v>4.91</v>
      </c>
      <c r="D1658" s="9" t="s">
        <v>4684</v>
      </c>
      <c r="E1658" s="9" t="s">
        <v>4684</v>
      </c>
      <c r="F1658" s="9" t="s">
        <v>4684</v>
      </c>
      <c r="G1658" s="9">
        <v>1.0</v>
      </c>
      <c r="H1658" s="9" t="s">
        <v>4684</v>
      </c>
      <c r="I1658" s="9" t="str">
        <f t="shared" si="1"/>
        <v>No</v>
      </c>
      <c r="J1658" s="9">
        <f t="shared" si="2"/>
        <v>1</v>
      </c>
      <c r="K1658" s="9" t="str">
        <f t="shared" si="3"/>
        <v>OBESITY</v>
      </c>
    </row>
    <row r="1659" ht="15.75" customHeight="1">
      <c r="A1659" s="9" t="s">
        <v>3317</v>
      </c>
      <c r="B1659" s="9">
        <v>31.98</v>
      </c>
      <c r="C1659" s="9">
        <v>4.46</v>
      </c>
      <c r="D1659" s="9" t="s">
        <v>4686</v>
      </c>
      <c r="E1659" s="9" t="s">
        <v>4684</v>
      </c>
      <c r="F1659" s="9" t="s">
        <v>4684</v>
      </c>
      <c r="G1659" s="9">
        <v>1.0</v>
      </c>
      <c r="H1659" s="9" t="s">
        <v>4684</v>
      </c>
      <c r="I1659" s="9" t="str">
        <f t="shared" si="1"/>
        <v>No</v>
      </c>
      <c r="J1659" s="9">
        <f t="shared" si="2"/>
        <v>1</v>
      </c>
      <c r="K1659" s="9" t="str">
        <f t="shared" si="3"/>
        <v>OBESITY</v>
      </c>
    </row>
    <row r="1660" ht="15.75" customHeight="1">
      <c r="A1660" s="9" t="s">
        <v>3319</v>
      </c>
      <c r="B1660" s="9">
        <v>35.86</v>
      </c>
      <c r="C1660" s="9">
        <v>6.22</v>
      </c>
      <c r="D1660" s="9" t="s">
        <v>4684</v>
      </c>
      <c r="E1660" s="9" t="s">
        <v>4684</v>
      </c>
      <c r="F1660" s="9" t="s">
        <v>4684</v>
      </c>
      <c r="G1660" s="9">
        <v>1.0</v>
      </c>
      <c r="H1660" s="9" t="s">
        <v>4684</v>
      </c>
      <c r="I1660" s="9" t="str">
        <f t="shared" si="1"/>
        <v>No</v>
      </c>
      <c r="J1660" s="9">
        <f t="shared" si="2"/>
        <v>1</v>
      </c>
      <c r="K1660" s="9" t="str">
        <f t="shared" si="3"/>
        <v>OBESITY</v>
      </c>
    </row>
    <row r="1661" ht="15.75" customHeight="1">
      <c r="A1661" s="9" t="s">
        <v>3321</v>
      </c>
      <c r="B1661" s="9">
        <v>15.2</v>
      </c>
      <c r="C1661" s="9">
        <v>8.82</v>
      </c>
      <c r="D1661" s="9" t="s">
        <v>4684</v>
      </c>
      <c r="E1661" s="9" t="s">
        <v>4684</v>
      </c>
      <c r="F1661" s="9" t="s">
        <v>4684</v>
      </c>
      <c r="G1661" s="9" t="s">
        <v>4685</v>
      </c>
      <c r="H1661" s="9" t="s">
        <v>4684</v>
      </c>
      <c r="I1661" s="9" t="str">
        <f t="shared" si="1"/>
        <v>No</v>
      </c>
      <c r="J1661" s="9">
        <f t="shared" si="2"/>
        <v>0</v>
      </c>
      <c r="K1661" s="9" t="str">
        <f t="shared" si="3"/>
        <v>UNDERWEIGHT</v>
      </c>
    </row>
    <row r="1662" ht="15.75" customHeight="1">
      <c r="A1662" s="9" t="s">
        <v>3323</v>
      </c>
      <c r="B1662" s="9">
        <v>37.2</v>
      </c>
      <c r="C1662" s="9">
        <v>10.14</v>
      </c>
      <c r="D1662" s="9" t="s">
        <v>4684</v>
      </c>
      <c r="E1662" s="9" t="s">
        <v>4684</v>
      </c>
      <c r="F1662" s="9" t="s">
        <v>4684</v>
      </c>
      <c r="G1662" s="9" t="s">
        <v>4685</v>
      </c>
      <c r="H1662" s="9" t="s">
        <v>4684</v>
      </c>
      <c r="I1662" s="9" t="str">
        <f t="shared" si="1"/>
        <v>No</v>
      </c>
      <c r="J1662" s="9">
        <f t="shared" si="2"/>
        <v>0</v>
      </c>
      <c r="K1662" s="9" t="str">
        <f t="shared" si="3"/>
        <v>OBESITY</v>
      </c>
    </row>
    <row r="1663" ht="15.75" customHeight="1">
      <c r="A1663" s="9" t="s">
        <v>3325</v>
      </c>
      <c r="B1663" s="9">
        <v>17.91</v>
      </c>
      <c r="C1663" s="9">
        <v>4.66</v>
      </c>
      <c r="D1663" s="9" t="s">
        <v>4684</v>
      </c>
      <c r="E1663" s="9" t="s">
        <v>4684</v>
      </c>
      <c r="F1663" s="9" t="s">
        <v>4684</v>
      </c>
      <c r="G1663" s="9">
        <v>2.0</v>
      </c>
      <c r="H1663" s="9" t="s">
        <v>4684</v>
      </c>
      <c r="I1663" s="9" t="str">
        <f t="shared" si="1"/>
        <v>No</v>
      </c>
      <c r="J1663" s="9">
        <f t="shared" si="2"/>
        <v>2</v>
      </c>
      <c r="K1663" s="9" t="str">
        <f t="shared" si="3"/>
        <v>UNDERWEIGHT</v>
      </c>
    </row>
    <row r="1664" ht="15.75" customHeight="1">
      <c r="A1664" s="9" t="s">
        <v>3327</v>
      </c>
      <c r="B1664" s="9">
        <v>20.76</v>
      </c>
      <c r="C1664" s="9">
        <v>6.26</v>
      </c>
      <c r="D1664" s="9" t="s">
        <v>4684</v>
      </c>
      <c r="E1664" s="9" t="s">
        <v>4684</v>
      </c>
      <c r="F1664" s="9" t="s">
        <v>4684</v>
      </c>
      <c r="G1664" s="9" t="s">
        <v>4685</v>
      </c>
      <c r="H1664" s="9" t="s">
        <v>4684</v>
      </c>
      <c r="I1664" s="9" t="str">
        <f t="shared" si="1"/>
        <v>No</v>
      </c>
      <c r="J1664" s="9">
        <f t="shared" si="2"/>
        <v>0</v>
      </c>
      <c r="K1664" s="9" t="str">
        <f t="shared" si="3"/>
        <v>NORMAL WEIGHT</v>
      </c>
    </row>
    <row r="1665" ht="15.75" customHeight="1">
      <c r="A1665" s="9" t="s">
        <v>3329</v>
      </c>
      <c r="B1665" s="9">
        <v>38.99</v>
      </c>
      <c r="C1665" s="9">
        <v>5.21</v>
      </c>
      <c r="D1665" s="9" t="s">
        <v>4684</v>
      </c>
      <c r="E1665" s="9" t="s">
        <v>4686</v>
      </c>
      <c r="F1665" s="9" t="s">
        <v>4684</v>
      </c>
      <c r="G1665" s="9">
        <v>1.0</v>
      </c>
      <c r="H1665" s="9" t="s">
        <v>4684</v>
      </c>
      <c r="I1665" s="9" t="str">
        <f t="shared" si="1"/>
        <v>No</v>
      </c>
      <c r="J1665" s="9">
        <f t="shared" si="2"/>
        <v>1</v>
      </c>
      <c r="K1665" s="9" t="str">
        <f t="shared" si="3"/>
        <v>OBESITY</v>
      </c>
    </row>
    <row r="1666" ht="15.75" customHeight="1">
      <c r="A1666" s="9" t="s">
        <v>3331</v>
      </c>
      <c r="B1666" s="9">
        <v>42.655</v>
      </c>
      <c r="C1666" s="9">
        <v>5.94</v>
      </c>
      <c r="D1666" s="9" t="s">
        <v>4686</v>
      </c>
      <c r="E1666" s="9" t="s">
        <v>4684</v>
      </c>
      <c r="F1666" s="9" t="s">
        <v>4686</v>
      </c>
      <c r="G1666" s="9">
        <v>1.0</v>
      </c>
      <c r="H1666" s="9" t="s">
        <v>4684</v>
      </c>
      <c r="I1666" s="9" t="str">
        <f t="shared" si="1"/>
        <v>No</v>
      </c>
      <c r="J1666" s="9">
        <f t="shared" si="2"/>
        <v>1</v>
      </c>
      <c r="K1666" s="9" t="str">
        <f t="shared" si="3"/>
        <v>OBESITY</v>
      </c>
    </row>
    <row r="1667" ht="15.75" customHeight="1">
      <c r="A1667" s="9" t="s">
        <v>3333</v>
      </c>
      <c r="B1667" s="9">
        <v>30.57</v>
      </c>
      <c r="C1667" s="9">
        <v>5.34</v>
      </c>
      <c r="D1667" s="9" t="s">
        <v>4684</v>
      </c>
      <c r="E1667" s="9" t="s">
        <v>4684</v>
      </c>
      <c r="F1667" s="9" t="s">
        <v>4686</v>
      </c>
      <c r="G1667" s="9">
        <v>1.0</v>
      </c>
      <c r="H1667" s="9" t="s">
        <v>4684</v>
      </c>
      <c r="I1667" s="9" t="str">
        <f t="shared" si="1"/>
        <v>No</v>
      </c>
      <c r="J1667" s="9">
        <f t="shared" si="2"/>
        <v>1</v>
      </c>
      <c r="K1667" s="9" t="str">
        <f t="shared" si="3"/>
        <v>OBESITY</v>
      </c>
    </row>
    <row r="1668" ht="15.75" customHeight="1">
      <c r="A1668" s="9" t="s">
        <v>3335</v>
      </c>
      <c r="B1668" s="9">
        <v>17.7</v>
      </c>
      <c r="C1668" s="9">
        <v>6.38</v>
      </c>
      <c r="D1668" s="9" t="s">
        <v>4684</v>
      </c>
      <c r="E1668" s="9" t="s">
        <v>4684</v>
      </c>
      <c r="F1668" s="9" t="s">
        <v>4684</v>
      </c>
      <c r="G1668" s="9">
        <v>2.0</v>
      </c>
      <c r="H1668" s="9" t="s">
        <v>4684</v>
      </c>
      <c r="I1668" s="9" t="str">
        <f t="shared" si="1"/>
        <v>No</v>
      </c>
      <c r="J1668" s="9">
        <f t="shared" si="2"/>
        <v>2</v>
      </c>
      <c r="K1668" s="9" t="str">
        <f t="shared" si="3"/>
        <v>UNDERWEIGHT</v>
      </c>
    </row>
    <row r="1669" ht="15.75" customHeight="1">
      <c r="A1669" s="9" t="s">
        <v>3337</v>
      </c>
      <c r="B1669" s="9">
        <v>34.77</v>
      </c>
      <c r="C1669" s="9">
        <v>4.47</v>
      </c>
      <c r="D1669" s="9" t="s">
        <v>4684</v>
      </c>
      <c r="E1669" s="9" t="s">
        <v>4684</v>
      </c>
      <c r="F1669" s="9" t="s">
        <v>4684</v>
      </c>
      <c r="G1669" s="9">
        <v>1.0</v>
      </c>
      <c r="H1669" s="9" t="s">
        <v>4684</v>
      </c>
      <c r="I1669" s="9" t="str">
        <f t="shared" si="1"/>
        <v>No</v>
      </c>
      <c r="J1669" s="9">
        <f t="shared" si="2"/>
        <v>1</v>
      </c>
      <c r="K1669" s="9" t="str">
        <f t="shared" si="3"/>
        <v>OBESITY</v>
      </c>
    </row>
    <row r="1670" ht="15.75" customHeight="1">
      <c r="A1670" s="9" t="s">
        <v>3339</v>
      </c>
      <c r="B1670" s="9">
        <v>16.88</v>
      </c>
      <c r="C1670" s="9">
        <v>9.96</v>
      </c>
      <c r="D1670" s="9" t="s">
        <v>4684</v>
      </c>
      <c r="E1670" s="9" t="s">
        <v>4684</v>
      </c>
      <c r="F1670" s="9" t="s">
        <v>4684</v>
      </c>
      <c r="G1670" s="9" t="s">
        <v>4685</v>
      </c>
      <c r="H1670" s="9" t="s">
        <v>4684</v>
      </c>
      <c r="I1670" s="9" t="str">
        <f t="shared" si="1"/>
        <v>No</v>
      </c>
      <c r="J1670" s="9">
        <f t="shared" si="2"/>
        <v>0</v>
      </c>
      <c r="K1670" s="9" t="str">
        <f t="shared" si="3"/>
        <v>UNDERWEIGHT</v>
      </c>
    </row>
    <row r="1671" ht="15.75" customHeight="1">
      <c r="A1671" s="9" t="s">
        <v>3341</v>
      </c>
      <c r="B1671" s="9">
        <v>40.26</v>
      </c>
      <c r="C1671" s="9">
        <v>9.92</v>
      </c>
      <c r="D1671" s="9" t="s">
        <v>4686</v>
      </c>
      <c r="E1671" s="9" t="s">
        <v>4684</v>
      </c>
      <c r="F1671" s="9" t="s">
        <v>4684</v>
      </c>
      <c r="G1671" s="9" t="s">
        <v>4685</v>
      </c>
      <c r="H1671" s="9" t="s">
        <v>4684</v>
      </c>
      <c r="I1671" s="9" t="str">
        <f t="shared" si="1"/>
        <v>No</v>
      </c>
      <c r="J1671" s="9">
        <f t="shared" si="2"/>
        <v>0</v>
      </c>
      <c r="K1671" s="9" t="str">
        <f t="shared" si="3"/>
        <v>OBESITY</v>
      </c>
    </row>
    <row r="1672" ht="15.75" customHeight="1">
      <c r="A1672" s="9" t="s">
        <v>3343</v>
      </c>
      <c r="B1672" s="9">
        <v>25.6</v>
      </c>
      <c r="C1672" s="9">
        <v>6.03</v>
      </c>
      <c r="D1672" s="9" t="s">
        <v>4684</v>
      </c>
      <c r="E1672" s="9" t="s">
        <v>4684</v>
      </c>
      <c r="F1672" s="9" t="s">
        <v>4686</v>
      </c>
      <c r="G1672" s="9">
        <v>1.0</v>
      </c>
      <c r="H1672" s="9" t="s">
        <v>4684</v>
      </c>
      <c r="I1672" s="9" t="str">
        <f t="shared" si="1"/>
        <v>No</v>
      </c>
      <c r="J1672" s="9">
        <f t="shared" si="2"/>
        <v>1</v>
      </c>
      <c r="K1672" s="9" t="str">
        <f t="shared" si="3"/>
        <v>OVERWEIGHT</v>
      </c>
    </row>
    <row r="1673" ht="15.75" customHeight="1">
      <c r="A1673" s="9" t="s">
        <v>3345</v>
      </c>
      <c r="B1673" s="9">
        <v>33.55</v>
      </c>
      <c r="C1673" s="9">
        <v>10.9</v>
      </c>
      <c r="D1673" s="9" t="s">
        <v>4686</v>
      </c>
      <c r="E1673" s="9" t="s">
        <v>4684</v>
      </c>
      <c r="F1673" s="9" t="s">
        <v>4684</v>
      </c>
      <c r="G1673" s="9" t="s">
        <v>4685</v>
      </c>
      <c r="H1673" s="9" t="s">
        <v>4684</v>
      </c>
      <c r="I1673" s="9" t="str">
        <f t="shared" si="1"/>
        <v>No</v>
      </c>
      <c r="J1673" s="9">
        <f t="shared" si="2"/>
        <v>0</v>
      </c>
      <c r="K1673" s="9" t="str">
        <f t="shared" si="3"/>
        <v>OBESITY</v>
      </c>
    </row>
    <row r="1674" ht="15.75" customHeight="1">
      <c r="A1674" s="9" t="s">
        <v>3347</v>
      </c>
      <c r="B1674" s="9">
        <v>16.69</v>
      </c>
      <c r="C1674" s="9">
        <v>10.66</v>
      </c>
      <c r="D1674" s="9" t="s">
        <v>4684</v>
      </c>
      <c r="E1674" s="9" t="s">
        <v>4684</v>
      </c>
      <c r="F1674" s="9" t="s">
        <v>4684</v>
      </c>
      <c r="G1674" s="9" t="s">
        <v>4685</v>
      </c>
      <c r="H1674" s="9" t="s">
        <v>4684</v>
      </c>
      <c r="I1674" s="9" t="str">
        <f t="shared" si="1"/>
        <v>No</v>
      </c>
      <c r="J1674" s="9">
        <f t="shared" si="2"/>
        <v>0</v>
      </c>
      <c r="K1674" s="9" t="str">
        <f t="shared" si="3"/>
        <v>UNDERWEIGHT</v>
      </c>
    </row>
    <row r="1675" ht="15.75" customHeight="1">
      <c r="A1675" s="9" t="s">
        <v>3349</v>
      </c>
      <c r="B1675" s="9">
        <v>19.95</v>
      </c>
      <c r="C1675" s="9">
        <v>4.05</v>
      </c>
      <c r="D1675" s="9" t="s">
        <v>4684</v>
      </c>
      <c r="E1675" s="9" t="s">
        <v>4684</v>
      </c>
      <c r="F1675" s="9" t="s">
        <v>4684</v>
      </c>
      <c r="G1675" s="9">
        <v>1.0</v>
      </c>
      <c r="H1675" s="9" t="s">
        <v>4684</v>
      </c>
      <c r="I1675" s="9" t="str">
        <f t="shared" si="1"/>
        <v>No</v>
      </c>
      <c r="J1675" s="9">
        <f t="shared" si="2"/>
        <v>1</v>
      </c>
      <c r="K1675" s="9" t="str">
        <f t="shared" si="3"/>
        <v>NORMAL WEIGHT</v>
      </c>
    </row>
    <row r="1676" ht="15.75" customHeight="1">
      <c r="A1676" s="9" t="s">
        <v>3351</v>
      </c>
      <c r="B1676" s="9">
        <v>17.55</v>
      </c>
      <c r="C1676" s="9">
        <v>4.23</v>
      </c>
      <c r="D1676" s="9" t="s">
        <v>4684</v>
      </c>
      <c r="E1676" s="9" t="s">
        <v>4684</v>
      </c>
      <c r="F1676" s="9" t="s">
        <v>4684</v>
      </c>
      <c r="G1676" s="9">
        <v>2.0</v>
      </c>
      <c r="H1676" s="9" t="s">
        <v>4684</v>
      </c>
      <c r="I1676" s="9" t="str">
        <f t="shared" si="1"/>
        <v>No</v>
      </c>
      <c r="J1676" s="9">
        <f t="shared" si="2"/>
        <v>2</v>
      </c>
      <c r="K1676" s="9" t="str">
        <f t="shared" si="3"/>
        <v>UNDERWEIGHT</v>
      </c>
    </row>
    <row r="1677" ht="15.75" customHeight="1">
      <c r="A1677" s="9" t="s">
        <v>3353</v>
      </c>
      <c r="B1677" s="9">
        <v>22.01</v>
      </c>
      <c r="C1677" s="9">
        <v>5.01</v>
      </c>
      <c r="D1677" s="9" t="s">
        <v>4684</v>
      </c>
      <c r="E1677" s="9" t="s">
        <v>4684</v>
      </c>
      <c r="F1677" s="9" t="s">
        <v>4684</v>
      </c>
      <c r="G1677" s="9">
        <v>1.0</v>
      </c>
      <c r="H1677" s="9" t="s">
        <v>4684</v>
      </c>
      <c r="I1677" s="9" t="str">
        <f t="shared" si="1"/>
        <v>No</v>
      </c>
      <c r="J1677" s="9">
        <f t="shared" si="2"/>
        <v>1</v>
      </c>
      <c r="K1677" s="9" t="str">
        <f t="shared" si="3"/>
        <v>NORMAL WEIGHT</v>
      </c>
    </row>
    <row r="1678" ht="15.75" customHeight="1">
      <c r="A1678" s="9" t="s">
        <v>3355</v>
      </c>
      <c r="B1678" s="9">
        <v>41.8</v>
      </c>
      <c r="C1678" s="9">
        <v>5.82</v>
      </c>
      <c r="D1678" s="9" t="s">
        <v>4686</v>
      </c>
      <c r="E1678" s="9" t="s">
        <v>4684</v>
      </c>
      <c r="F1678" s="9" t="s">
        <v>4686</v>
      </c>
      <c r="G1678" s="9">
        <v>1.0</v>
      </c>
      <c r="H1678" s="9" t="s">
        <v>4684</v>
      </c>
      <c r="I1678" s="9" t="str">
        <f t="shared" si="1"/>
        <v>No</v>
      </c>
      <c r="J1678" s="9">
        <f t="shared" si="2"/>
        <v>1</v>
      </c>
      <c r="K1678" s="9" t="str">
        <f t="shared" si="3"/>
        <v>OBESITY</v>
      </c>
    </row>
    <row r="1679" ht="15.75" customHeight="1">
      <c r="A1679" s="9" t="s">
        <v>3357</v>
      </c>
      <c r="B1679" s="9">
        <v>19.17</v>
      </c>
      <c r="C1679" s="9">
        <v>7.94</v>
      </c>
      <c r="D1679" s="9" t="s">
        <v>4684</v>
      </c>
      <c r="E1679" s="9" t="s">
        <v>4684</v>
      </c>
      <c r="F1679" s="9" t="s">
        <v>4684</v>
      </c>
      <c r="G1679" s="9" t="s">
        <v>4685</v>
      </c>
      <c r="H1679" s="9" t="s">
        <v>4684</v>
      </c>
      <c r="I1679" s="9" t="str">
        <f t="shared" si="1"/>
        <v>No</v>
      </c>
      <c r="J1679" s="9">
        <f t="shared" si="2"/>
        <v>0</v>
      </c>
      <c r="K1679" s="9" t="str">
        <f t="shared" si="3"/>
        <v>NORMAL WEIGHT</v>
      </c>
    </row>
    <row r="1680" ht="15.75" customHeight="1">
      <c r="A1680" s="9" t="s">
        <v>3359</v>
      </c>
      <c r="B1680" s="9">
        <v>32.8</v>
      </c>
      <c r="C1680" s="9">
        <v>6.16</v>
      </c>
      <c r="D1680" s="9" t="s">
        <v>4686</v>
      </c>
      <c r="E1680" s="9" t="s">
        <v>4684</v>
      </c>
      <c r="F1680" s="9" t="s">
        <v>4686</v>
      </c>
      <c r="G1680" s="9">
        <v>1.0</v>
      </c>
      <c r="H1680" s="9" t="s">
        <v>4684</v>
      </c>
      <c r="I1680" s="9" t="str">
        <f t="shared" si="1"/>
        <v>No</v>
      </c>
      <c r="J1680" s="9">
        <f t="shared" si="2"/>
        <v>1</v>
      </c>
      <c r="K1680" s="9" t="str">
        <f t="shared" si="3"/>
        <v>OBESITY</v>
      </c>
    </row>
    <row r="1681" ht="15.75" customHeight="1">
      <c r="A1681" s="9" t="s">
        <v>3361</v>
      </c>
      <c r="B1681" s="9">
        <v>35.815</v>
      </c>
      <c r="C1681" s="9">
        <v>4.15</v>
      </c>
      <c r="D1681" s="9" t="s">
        <v>4684</v>
      </c>
      <c r="E1681" s="9" t="s">
        <v>4684</v>
      </c>
      <c r="F1681" s="9" t="s">
        <v>4684</v>
      </c>
      <c r="G1681" s="9">
        <v>1.0</v>
      </c>
      <c r="H1681" s="9" t="s">
        <v>4684</v>
      </c>
      <c r="I1681" s="9" t="str">
        <f t="shared" si="1"/>
        <v>No</v>
      </c>
      <c r="J1681" s="9">
        <f t="shared" si="2"/>
        <v>1</v>
      </c>
      <c r="K1681" s="9" t="str">
        <f t="shared" si="3"/>
        <v>OBESITY</v>
      </c>
    </row>
    <row r="1682" ht="15.75" customHeight="1">
      <c r="A1682" s="9" t="s">
        <v>3363</v>
      </c>
      <c r="B1682" s="9">
        <v>24.3</v>
      </c>
      <c r="C1682" s="9">
        <v>6.23</v>
      </c>
      <c r="D1682" s="9" t="s">
        <v>4684</v>
      </c>
      <c r="E1682" s="9" t="s">
        <v>4684</v>
      </c>
      <c r="F1682" s="9" t="s">
        <v>4684</v>
      </c>
      <c r="G1682" s="9" t="s">
        <v>4685</v>
      </c>
      <c r="H1682" s="9" t="s">
        <v>4684</v>
      </c>
      <c r="I1682" s="9" t="str">
        <f t="shared" si="1"/>
        <v>No</v>
      </c>
      <c r="J1682" s="9">
        <f t="shared" si="2"/>
        <v>0</v>
      </c>
      <c r="K1682" s="9" t="str">
        <f t="shared" si="3"/>
        <v>NORMAL WEIGHT</v>
      </c>
    </row>
    <row r="1683" ht="15.75" customHeight="1">
      <c r="A1683" s="9" t="s">
        <v>3365</v>
      </c>
      <c r="B1683" s="9">
        <v>19.06</v>
      </c>
      <c r="C1683" s="9">
        <v>7.41</v>
      </c>
      <c r="D1683" s="9" t="s">
        <v>4684</v>
      </c>
      <c r="E1683" s="9" t="s">
        <v>4684</v>
      </c>
      <c r="F1683" s="9" t="s">
        <v>4684</v>
      </c>
      <c r="G1683" s="9" t="s">
        <v>4685</v>
      </c>
      <c r="H1683" s="9" t="s">
        <v>4684</v>
      </c>
      <c r="I1683" s="9" t="str">
        <f t="shared" si="1"/>
        <v>No</v>
      </c>
      <c r="J1683" s="9">
        <f t="shared" si="2"/>
        <v>0</v>
      </c>
      <c r="K1683" s="9" t="str">
        <f t="shared" si="3"/>
        <v>NORMAL WEIGHT</v>
      </c>
    </row>
    <row r="1684" ht="15.75" customHeight="1">
      <c r="A1684" s="9" t="s">
        <v>3367</v>
      </c>
      <c r="B1684" s="9">
        <v>33.25</v>
      </c>
      <c r="C1684" s="9">
        <v>5.62</v>
      </c>
      <c r="D1684" s="9" t="s">
        <v>4686</v>
      </c>
      <c r="E1684" s="9" t="s">
        <v>4684</v>
      </c>
      <c r="F1684" s="9" t="s">
        <v>4684</v>
      </c>
      <c r="G1684" s="9">
        <v>1.0</v>
      </c>
      <c r="H1684" s="9" t="s">
        <v>4684</v>
      </c>
      <c r="I1684" s="9" t="str">
        <f t="shared" si="1"/>
        <v>No</v>
      </c>
      <c r="J1684" s="9">
        <f t="shared" si="2"/>
        <v>1</v>
      </c>
      <c r="K1684" s="9" t="str">
        <f t="shared" si="3"/>
        <v>OBESITY</v>
      </c>
    </row>
    <row r="1685" ht="15.75" customHeight="1">
      <c r="A1685" s="9" t="s">
        <v>3369</v>
      </c>
      <c r="B1685" s="9">
        <v>21.37</v>
      </c>
      <c r="C1685" s="9">
        <v>4.54</v>
      </c>
      <c r="D1685" s="9" t="s">
        <v>4686</v>
      </c>
      <c r="E1685" s="9" t="s">
        <v>4684</v>
      </c>
      <c r="F1685" s="9" t="s">
        <v>4686</v>
      </c>
      <c r="G1685" s="9">
        <v>1.0</v>
      </c>
      <c r="H1685" s="9" t="s">
        <v>4684</v>
      </c>
      <c r="I1685" s="9" t="str">
        <f t="shared" si="1"/>
        <v>No</v>
      </c>
      <c r="J1685" s="9">
        <f t="shared" si="2"/>
        <v>1</v>
      </c>
      <c r="K1685" s="9" t="str">
        <f t="shared" si="3"/>
        <v>NORMAL WEIGHT</v>
      </c>
    </row>
    <row r="1686" ht="15.75" customHeight="1">
      <c r="A1686" s="9" t="s">
        <v>3371</v>
      </c>
      <c r="B1686" s="9">
        <v>34.43</v>
      </c>
      <c r="C1686" s="9">
        <v>8.62</v>
      </c>
      <c r="D1686" s="9" t="s">
        <v>4686</v>
      </c>
      <c r="E1686" s="9" t="s">
        <v>4684</v>
      </c>
      <c r="F1686" s="9" t="s">
        <v>4684</v>
      </c>
      <c r="G1686" s="9">
        <v>1.0</v>
      </c>
      <c r="H1686" s="9" t="s">
        <v>4684</v>
      </c>
      <c r="I1686" s="9" t="str">
        <f t="shared" si="1"/>
        <v>No</v>
      </c>
      <c r="J1686" s="9">
        <f t="shared" si="2"/>
        <v>1</v>
      </c>
      <c r="K1686" s="9" t="str">
        <f t="shared" si="3"/>
        <v>OBESITY</v>
      </c>
    </row>
    <row r="1687" ht="15.75" customHeight="1">
      <c r="A1687" s="9" t="s">
        <v>3373</v>
      </c>
      <c r="B1687" s="9">
        <v>20.86</v>
      </c>
      <c r="C1687" s="9">
        <v>4.36</v>
      </c>
      <c r="D1687" s="9" t="s">
        <v>4686</v>
      </c>
      <c r="E1687" s="9" t="s">
        <v>4684</v>
      </c>
      <c r="F1687" s="9" t="s">
        <v>4684</v>
      </c>
      <c r="G1687" s="9" t="s">
        <v>4685</v>
      </c>
      <c r="H1687" s="9" t="s">
        <v>4684</v>
      </c>
      <c r="I1687" s="9" t="str">
        <f t="shared" si="1"/>
        <v>No</v>
      </c>
      <c r="J1687" s="9">
        <f t="shared" si="2"/>
        <v>0</v>
      </c>
      <c r="K1687" s="9" t="str">
        <f t="shared" si="3"/>
        <v>NORMAL WEIGHT</v>
      </c>
    </row>
    <row r="1688" ht="15.75" customHeight="1">
      <c r="A1688" s="9" t="s">
        <v>3375</v>
      </c>
      <c r="B1688" s="9">
        <v>18.34</v>
      </c>
      <c r="C1688" s="9">
        <v>10.01</v>
      </c>
      <c r="D1688" s="9" t="s">
        <v>4684</v>
      </c>
      <c r="E1688" s="9" t="s">
        <v>4684</v>
      </c>
      <c r="F1688" s="9" t="s">
        <v>4684</v>
      </c>
      <c r="G1688" s="9" t="s">
        <v>4685</v>
      </c>
      <c r="H1688" s="9" t="s">
        <v>4684</v>
      </c>
      <c r="I1688" s="9" t="str">
        <f t="shared" si="1"/>
        <v>No</v>
      </c>
      <c r="J1688" s="9">
        <f t="shared" si="2"/>
        <v>0</v>
      </c>
      <c r="K1688" s="9" t="str">
        <f t="shared" si="3"/>
        <v>UNDERWEIGHT</v>
      </c>
    </row>
    <row r="1689" ht="15.75" customHeight="1">
      <c r="A1689" s="9" t="s">
        <v>3377</v>
      </c>
      <c r="B1689" s="9">
        <v>34.15</v>
      </c>
      <c r="C1689" s="9">
        <v>5.42</v>
      </c>
      <c r="D1689" s="9" t="s">
        <v>4684</v>
      </c>
      <c r="E1689" s="9" t="s">
        <v>4684</v>
      </c>
      <c r="F1689" s="9" t="s">
        <v>4684</v>
      </c>
      <c r="G1689" s="9" t="s">
        <v>4685</v>
      </c>
      <c r="H1689" s="9" t="s">
        <v>4684</v>
      </c>
      <c r="I1689" s="9" t="str">
        <f t="shared" si="1"/>
        <v>No</v>
      </c>
      <c r="J1689" s="9">
        <f t="shared" si="2"/>
        <v>0</v>
      </c>
      <c r="K1689" s="9" t="str">
        <f t="shared" si="3"/>
        <v>OBESITY</v>
      </c>
    </row>
    <row r="1690" ht="15.75" customHeight="1">
      <c r="A1690" s="9" t="s">
        <v>3379</v>
      </c>
      <c r="B1690" s="9">
        <v>18.35</v>
      </c>
      <c r="C1690" s="9">
        <v>5.12</v>
      </c>
      <c r="D1690" s="9" t="s">
        <v>4684</v>
      </c>
      <c r="E1690" s="9" t="s">
        <v>4684</v>
      </c>
      <c r="F1690" s="9" t="s">
        <v>4684</v>
      </c>
      <c r="G1690" s="9" t="s">
        <v>4685</v>
      </c>
      <c r="H1690" s="9" t="s">
        <v>4684</v>
      </c>
      <c r="I1690" s="9" t="str">
        <f t="shared" si="1"/>
        <v>No</v>
      </c>
      <c r="J1690" s="9">
        <f t="shared" si="2"/>
        <v>0</v>
      </c>
      <c r="K1690" s="9" t="str">
        <f t="shared" si="3"/>
        <v>UNDERWEIGHT</v>
      </c>
    </row>
    <row r="1691" ht="15.75" customHeight="1">
      <c r="A1691" s="9" t="s">
        <v>3381</v>
      </c>
      <c r="B1691" s="9">
        <v>22.13</v>
      </c>
      <c r="C1691" s="9">
        <v>9.2</v>
      </c>
      <c r="D1691" s="9" t="s">
        <v>4686</v>
      </c>
      <c r="E1691" s="9" t="s">
        <v>4684</v>
      </c>
      <c r="F1691" s="9" t="s">
        <v>4684</v>
      </c>
      <c r="G1691" s="9" t="s">
        <v>4685</v>
      </c>
      <c r="H1691" s="9" t="s">
        <v>4684</v>
      </c>
      <c r="I1691" s="9" t="str">
        <f t="shared" si="1"/>
        <v>No</v>
      </c>
      <c r="J1691" s="9">
        <f t="shared" si="2"/>
        <v>0</v>
      </c>
      <c r="K1691" s="9" t="str">
        <f t="shared" si="3"/>
        <v>NORMAL WEIGHT</v>
      </c>
    </row>
    <row r="1692" ht="15.75" customHeight="1">
      <c r="A1692" s="9" t="s">
        <v>3383</v>
      </c>
      <c r="B1692" s="9">
        <v>22.51</v>
      </c>
      <c r="C1692" s="9">
        <v>6.08</v>
      </c>
      <c r="D1692" s="9" t="s">
        <v>4686</v>
      </c>
      <c r="E1692" s="9" t="s">
        <v>4684</v>
      </c>
      <c r="F1692" s="9" t="s">
        <v>4684</v>
      </c>
      <c r="G1692" s="9">
        <v>1.0</v>
      </c>
      <c r="H1692" s="9" t="s">
        <v>4684</v>
      </c>
      <c r="I1692" s="9" t="str">
        <f t="shared" si="1"/>
        <v>No</v>
      </c>
      <c r="J1692" s="9">
        <f t="shared" si="2"/>
        <v>1</v>
      </c>
      <c r="K1692" s="9" t="str">
        <f t="shared" si="3"/>
        <v>NORMAL WEIGHT</v>
      </c>
    </row>
    <row r="1693" ht="15.75" customHeight="1">
      <c r="A1693" s="9" t="s">
        <v>3385</v>
      </c>
      <c r="B1693" s="9">
        <v>31.0</v>
      </c>
      <c r="C1693" s="9">
        <v>4.77</v>
      </c>
      <c r="D1693" s="9" t="s">
        <v>4684</v>
      </c>
      <c r="E1693" s="9" t="s">
        <v>4684</v>
      </c>
      <c r="F1693" s="9" t="s">
        <v>4684</v>
      </c>
      <c r="G1693" s="9">
        <v>1.0</v>
      </c>
      <c r="H1693" s="9" t="s">
        <v>4684</v>
      </c>
      <c r="I1693" s="9" t="str">
        <f t="shared" si="1"/>
        <v>No</v>
      </c>
      <c r="J1693" s="9">
        <f t="shared" si="2"/>
        <v>1</v>
      </c>
      <c r="K1693" s="9" t="str">
        <f t="shared" si="3"/>
        <v>OBESITY</v>
      </c>
    </row>
    <row r="1694" ht="15.75" customHeight="1">
      <c r="A1694" s="9" t="s">
        <v>3387</v>
      </c>
      <c r="B1694" s="9">
        <v>28.27</v>
      </c>
      <c r="C1694" s="9">
        <v>4.62</v>
      </c>
      <c r="D1694" s="9" t="s">
        <v>4684</v>
      </c>
      <c r="E1694" s="9" t="s">
        <v>4684</v>
      </c>
      <c r="F1694" s="9" t="s">
        <v>4684</v>
      </c>
      <c r="G1694" s="9">
        <v>1.0</v>
      </c>
      <c r="H1694" s="9" t="s">
        <v>4684</v>
      </c>
      <c r="I1694" s="9" t="str">
        <f t="shared" si="1"/>
        <v>No</v>
      </c>
      <c r="J1694" s="9">
        <f t="shared" si="2"/>
        <v>1</v>
      </c>
      <c r="K1694" s="9" t="str">
        <f t="shared" si="3"/>
        <v>OVERWEIGHT</v>
      </c>
    </row>
    <row r="1695" ht="15.75" customHeight="1">
      <c r="A1695" s="9" t="s">
        <v>3389</v>
      </c>
      <c r="B1695" s="9">
        <v>29.92</v>
      </c>
      <c r="C1695" s="9">
        <v>9.07</v>
      </c>
      <c r="D1695" s="9" t="s">
        <v>4686</v>
      </c>
      <c r="E1695" s="9" t="s">
        <v>4684</v>
      </c>
      <c r="F1695" s="9" t="s">
        <v>4684</v>
      </c>
      <c r="G1695" s="9">
        <v>1.0</v>
      </c>
      <c r="H1695" s="9" t="s">
        <v>4684</v>
      </c>
      <c r="I1695" s="9" t="str">
        <f t="shared" si="1"/>
        <v>No</v>
      </c>
      <c r="J1695" s="9">
        <f t="shared" si="2"/>
        <v>1</v>
      </c>
      <c r="K1695" s="9" t="str">
        <f t="shared" si="3"/>
        <v>OBESITY</v>
      </c>
    </row>
    <row r="1696" ht="15.75" customHeight="1">
      <c r="A1696" s="9" t="s">
        <v>3391</v>
      </c>
      <c r="B1696" s="9">
        <v>25.9</v>
      </c>
      <c r="C1696" s="9">
        <v>9.12</v>
      </c>
      <c r="D1696" s="9" t="s">
        <v>4686</v>
      </c>
      <c r="E1696" s="9" t="s">
        <v>4684</v>
      </c>
      <c r="F1696" s="9" t="s">
        <v>4684</v>
      </c>
      <c r="G1696" s="9">
        <v>1.0</v>
      </c>
      <c r="H1696" s="9" t="s">
        <v>4684</v>
      </c>
      <c r="I1696" s="9" t="str">
        <f t="shared" si="1"/>
        <v>No</v>
      </c>
      <c r="J1696" s="9">
        <f t="shared" si="2"/>
        <v>1</v>
      </c>
      <c r="K1696" s="9" t="str">
        <f t="shared" si="3"/>
        <v>OVERWEIGHT</v>
      </c>
    </row>
    <row r="1697" ht="15.75" customHeight="1">
      <c r="A1697" s="9" t="s">
        <v>3393</v>
      </c>
      <c r="B1697" s="9">
        <v>27.74</v>
      </c>
      <c r="C1697" s="9">
        <v>7.32</v>
      </c>
      <c r="D1697" s="9" t="s">
        <v>4686</v>
      </c>
      <c r="E1697" s="9" t="s">
        <v>4684</v>
      </c>
      <c r="F1697" s="9" t="s">
        <v>4684</v>
      </c>
      <c r="G1697" s="9">
        <v>1.0</v>
      </c>
      <c r="H1697" s="9" t="s">
        <v>4684</v>
      </c>
      <c r="I1697" s="9" t="str">
        <f t="shared" si="1"/>
        <v>No</v>
      </c>
      <c r="J1697" s="9">
        <f t="shared" si="2"/>
        <v>1</v>
      </c>
      <c r="K1697" s="9" t="str">
        <f t="shared" si="3"/>
        <v>OVERWEIGHT</v>
      </c>
    </row>
    <row r="1698" ht="15.75" customHeight="1">
      <c r="A1698" s="9" t="s">
        <v>3395</v>
      </c>
      <c r="B1698" s="9">
        <v>17.26</v>
      </c>
      <c r="C1698" s="9">
        <v>11.73</v>
      </c>
      <c r="D1698" s="9" t="s">
        <v>4684</v>
      </c>
      <c r="E1698" s="9" t="s">
        <v>4684</v>
      </c>
      <c r="F1698" s="9" t="s">
        <v>4684</v>
      </c>
      <c r="G1698" s="9">
        <v>2.0</v>
      </c>
      <c r="H1698" s="9" t="s">
        <v>4684</v>
      </c>
      <c r="I1698" s="9" t="str">
        <f t="shared" si="1"/>
        <v>No</v>
      </c>
      <c r="J1698" s="9">
        <f t="shared" si="2"/>
        <v>2</v>
      </c>
      <c r="K1698" s="9" t="str">
        <f t="shared" si="3"/>
        <v>UNDERWEIGHT</v>
      </c>
    </row>
    <row r="1699" ht="15.75" customHeight="1">
      <c r="A1699" s="9" t="s">
        <v>3397</v>
      </c>
      <c r="B1699" s="9">
        <v>19.855</v>
      </c>
      <c r="C1699" s="9">
        <v>6.64</v>
      </c>
      <c r="D1699" s="9" t="s">
        <v>4686</v>
      </c>
      <c r="E1699" s="9" t="s">
        <v>4684</v>
      </c>
      <c r="F1699" s="9" t="s">
        <v>4684</v>
      </c>
      <c r="G1699" s="9">
        <v>1.0</v>
      </c>
      <c r="H1699" s="9" t="s">
        <v>4684</v>
      </c>
      <c r="I1699" s="9" t="str">
        <f t="shared" si="1"/>
        <v>No</v>
      </c>
      <c r="J1699" s="9">
        <f t="shared" si="2"/>
        <v>1</v>
      </c>
      <c r="K1699" s="9" t="str">
        <f t="shared" si="3"/>
        <v>NORMAL WEIGHT</v>
      </c>
    </row>
    <row r="1700" ht="15.75" customHeight="1">
      <c r="A1700" s="9" t="s">
        <v>3399</v>
      </c>
      <c r="B1700" s="9">
        <v>41.69</v>
      </c>
      <c r="C1700" s="9">
        <v>5.78</v>
      </c>
      <c r="D1700" s="9" t="s">
        <v>4684</v>
      </c>
      <c r="E1700" s="9" t="s">
        <v>4684</v>
      </c>
      <c r="F1700" s="9" t="s">
        <v>4684</v>
      </c>
      <c r="G1700" s="9" t="s">
        <v>4685</v>
      </c>
      <c r="H1700" s="9" t="s">
        <v>4684</v>
      </c>
      <c r="I1700" s="9" t="str">
        <f t="shared" si="1"/>
        <v>No</v>
      </c>
      <c r="J1700" s="9">
        <f t="shared" si="2"/>
        <v>0</v>
      </c>
      <c r="K1700" s="9" t="str">
        <f t="shared" si="3"/>
        <v>OBESITY</v>
      </c>
    </row>
    <row r="1701" ht="15.75" customHeight="1">
      <c r="A1701" s="9" t="s">
        <v>3401</v>
      </c>
      <c r="B1701" s="9">
        <v>16.12</v>
      </c>
      <c r="C1701" s="9">
        <v>10.45</v>
      </c>
      <c r="D1701" s="9" t="s">
        <v>4684</v>
      </c>
      <c r="E1701" s="9" t="s">
        <v>4684</v>
      </c>
      <c r="F1701" s="9" t="s">
        <v>4684</v>
      </c>
      <c r="G1701" s="9" t="s">
        <v>4685</v>
      </c>
      <c r="H1701" s="9" t="s">
        <v>4684</v>
      </c>
      <c r="I1701" s="9" t="str">
        <f t="shared" si="1"/>
        <v>No</v>
      </c>
      <c r="J1701" s="9">
        <f t="shared" si="2"/>
        <v>0</v>
      </c>
      <c r="K1701" s="9" t="str">
        <f t="shared" si="3"/>
        <v>UNDERWEIGHT</v>
      </c>
    </row>
    <row r="1702" ht="15.75" customHeight="1">
      <c r="A1702" s="9" t="s">
        <v>3403</v>
      </c>
      <c r="B1702" s="9">
        <v>37.43</v>
      </c>
      <c r="C1702" s="9">
        <v>4.52</v>
      </c>
      <c r="D1702" s="9" t="s">
        <v>4684</v>
      </c>
      <c r="E1702" s="9" t="s">
        <v>4684</v>
      </c>
      <c r="F1702" s="9" t="s">
        <v>4684</v>
      </c>
      <c r="G1702" s="9">
        <v>1.0</v>
      </c>
      <c r="H1702" s="9" t="s">
        <v>4684</v>
      </c>
      <c r="I1702" s="9" t="str">
        <f t="shared" si="1"/>
        <v>No</v>
      </c>
      <c r="J1702" s="9">
        <f t="shared" si="2"/>
        <v>1</v>
      </c>
      <c r="K1702" s="9" t="str">
        <f t="shared" si="3"/>
        <v>OBESITY</v>
      </c>
    </row>
    <row r="1703" ht="15.75" customHeight="1">
      <c r="A1703" s="9" t="s">
        <v>3405</v>
      </c>
      <c r="B1703" s="9">
        <v>31.065</v>
      </c>
      <c r="C1703" s="9">
        <v>5.71</v>
      </c>
      <c r="D1703" s="9" t="s">
        <v>4684</v>
      </c>
      <c r="E1703" s="9" t="s">
        <v>4684</v>
      </c>
      <c r="F1703" s="9" t="s">
        <v>4684</v>
      </c>
      <c r="G1703" s="9" t="s">
        <v>4685</v>
      </c>
      <c r="H1703" s="9" t="s">
        <v>4684</v>
      </c>
      <c r="I1703" s="9" t="str">
        <f t="shared" si="1"/>
        <v>No</v>
      </c>
      <c r="J1703" s="9">
        <f t="shared" si="2"/>
        <v>0</v>
      </c>
      <c r="K1703" s="9" t="str">
        <f t="shared" si="3"/>
        <v>OBESITY</v>
      </c>
    </row>
    <row r="1704" ht="15.75" customHeight="1">
      <c r="A1704" s="9" t="s">
        <v>3407</v>
      </c>
      <c r="B1704" s="9">
        <v>25.08</v>
      </c>
      <c r="C1704" s="9">
        <v>4.77</v>
      </c>
      <c r="D1704" s="9" t="s">
        <v>4684</v>
      </c>
      <c r="E1704" s="9" t="s">
        <v>4684</v>
      </c>
      <c r="F1704" s="9" t="s">
        <v>4684</v>
      </c>
      <c r="G1704" s="9" t="s">
        <v>4685</v>
      </c>
      <c r="H1704" s="9" t="s">
        <v>4684</v>
      </c>
      <c r="I1704" s="9" t="str">
        <f t="shared" si="1"/>
        <v>No</v>
      </c>
      <c r="J1704" s="9">
        <f t="shared" si="2"/>
        <v>0</v>
      </c>
      <c r="K1704" s="9" t="str">
        <f t="shared" si="3"/>
        <v>OVERWEIGHT</v>
      </c>
    </row>
    <row r="1705" ht="15.75" customHeight="1">
      <c r="A1705" s="9" t="s">
        <v>3409</v>
      </c>
      <c r="B1705" s="9">
        <v>15.2</v>
      </c>
      <c r="C1705" s="9">
        <v>7.81</v>
      </c>
      <c r="D1705" s="9" t="s">
        <v>4686</v>
      </c>
      <c r="E1705" s="9" t="s">
        <v>4684</v>
      </c>
      <c r="F1705" s="9" t="s">
        <v>4684</v>
      </c>
      <c r="G1705" s="9">
        <v>1.0</v>
      </c>
      <c r="H1705" s="9" t="s">
        <v>4684</v>
      </c>
      <c r="I1705" s="9" t="str">
        <f t="shared" si="1"/>
        <v>No</v>
      </c>
      <c r="J1705" s="9">
        <f t="shared" si="2"/>
        <v>1</v>
      </c>
      <c r="K1705" s="9" t="str">
        <f t="shared" si="3"/>
        <v>UNDERWEIGHT</v>
      </c>
    </row>
    <row r="1706" ht="15.75" customHeight="1">
      <c r="A1706" s="9" t="s">
        <v>3411</v>
      </c>
      <c r="B1706" s="9">
        <v>22.34</v>
      </c>
      <c r="C1706" s="9">
        <v>5.19</v>
      </c>
      <c r="D1706" s="9" t="s">
        <v>4686</v>
      </c>
      <c r="E1706" s="9" t="s">
        <v>4684</v>
      </c>
      <c r="F1706" s="9" t="s">
        <v>4684</v>
      </c>
      <c r="G1706" s="9" t="s">
        <v>4685</v>
      </c>
      <c r="H1706" s="9" t="s">
        <v>4684</v>
      </c>
      <c r="I1706" s="9" t="str">
        <f t="shared" si="1"/>
        <v>No</v>
      </c>
      <c r="J1706" s="9">
        <f t="shared" si="2"/>
        <v>0</v>
      </c>
      <c r="K1706" s="9" t="str">
        <f t="shared" si="3"/>
        <v>NORMAL WEIGHT</v>
      </c>
    </row>
    <row r="1707" ht="15.75" customHeight="1">
      <c r="A1707" s="9" t="s">
        <v>3413</v>
      </c>
      <c r="B1707" s="9">
        <v>40.15</v>
      </c>
      <c r="C1707" s="9">
        <v>5.93</v>
      </c>
      <c r="D1707" s="9" t="s">
        <v>4684</v>
      </c>
      <c r="E1707" s="9" t="s">
        <v>4684</v>
      </c>
      <c r="F1707" s="9" t="s">
        <v>4684</v>
      </c>
      <c r="G1707" s="9">
        <v>1.0</v>
      </c>
      <c r="H1707" s="9" t="s">
        <v>4684</v>
      </c>
      <c r="I1707" s="9" t="str">
        <f t="shared" si="1"/>
        <v>No</v>
      </c>
      <c r="J1707" s="9">
        <f t="shared" si="2"/>
        <v>1</v>
      </c>
      <c r="K1707" s="9" t="str">
        <f t="shared" si="3"/>
        <v>OBESITY</v>
      </c>
    </row>
    <row r="1708" ht="15.75" customHeight="1">
      <c r="A1708" s="9" t="s">
        <v>3415</v>
      </c>
      <c r="B1708" s="9">
        <v>37.73</v>
      </c>
      <c r="C1708" s="9">
        <v>6.29</v>
      </c>
      <c r="D1708" s="9" t="s">
        <v>4684</v>
      </c>
      <c r="E1708" s="9" t="s">
        <v>4684</v>
      </c>
      <c r="F1708" s="9" t="s">
        <v>4684</v>
      </c>
      <c r="G1708" s="9">
        <v>1.0</v>
      </c>
      <c r="H1708" s="9" t="s">
        <v>4684</v>
      </c>
      <c r="I1708" s="9" t="str">
        <f t="shared" si="1"/>
        <v>No</v>
      </c>
      <c r="J1708" s="9">
        <f t="shared" si="2"/>
        <v>1</v>
      </c>
      <c r="K1708" s="9" t="str">
        <f t="shared" si="3"/>
        <v>OBESITY</v>
      </c>
    </row>
    <row r="1709" ht="15.75" customHeight="1">
      <c r="A1709" s="9" t="s">
        <v>3417</v>
      </c>
      <c r="B1709" s="9">
        <v>25.35</v>
      </c>
      <c r="C1709" s="9">
        <v>4.9</v>
      </c>
      <c r="D1709" s="9" t="s">
        <v>4684</v>
      </c>
      <c r="E1709" s="9" t="s">
        <v>4684</v>
      </c>
      <c r="F1709" s="9" t="s">
        <v>4684</v>
      </c>
      <c r="G1709" s="9" t="s">
        <v>4685</v>
      </c>
      <c r="H1709" s="9" t="s">
        <v>4684</v>
      </c>
      <c r="I1709" s="9" t="str">
        <f t="shared" si="1"/>
        <v>No</v>
      </c>
      <c r="J1709" s="9">
        <f t="shared" si="2"/>
        <v>0</v>
      </c>
      <c r="K1709" s="9" t="str">
        <f t="shared" si="3"/>
        <v>OVERWEIGHT</v>
      </c>
    </row>
    <row r="1710" ht="15.75" customHeight="1">
      <c r="A1710" s="9" t="s">
        <v>3419</v>
      </c>
      <c r="B1710" s="9">
        <v>26.41</v>
      </c>
      <c r="C1710" s="9">
        <v>5.07</v>
      </c>
      <c r="D1710" s="9" t="s">
        <v>4686</v>
      </c>
      <c r="E1710" s="9" t="s">
        <v>4684</v>
      </c>
      <c r="F1710" s="9" t="s">
        <v>4684</v>
      </c>
      <c r="G1710" s="9">
        <v>1.0</v>
      </c>
      <c r="H1710" s="9" t="s">
        <v>4684</v>
      </c>
      <c r="I1710" s="9" t="str">
        <f t="shared" si="1"/>
        <v>No</v>
      </c>
      <c r="J1710" s="9">
        <f t="shared" si="2"/>
        <v>1</v>
      </c>
      <c r="K1710" s="9" t="str">
        <f t="shared" si="3"/>
        <v>OVERWEIGHT</v>
      </c>
    </row>
    <row r="1711" ht="15.75" customHeight="1">
      <c r="A1711" s="9" t="s">
        <v>3421</v>
      </c>
      <c r="B1711" s="9">
        <v>27.6</v>
      </c>
      <c r="C1711" s="9">
        <v>5.33</v>
      </c>
      <c r="D1711" s="9" t="s">
        <v>4684</v>
      </c>
      <c r="E1711" s="9" t="s">
        <v>4684</v>
      </c>
      <c r="F1711" s="9" t="s">
        <v>4684</v>
      </c>
      <c r="G1711" s="9">
        <v>1.0</v>
      </c>
      <c r="H1711" s="9" t="s">
        <v>4684</v>
      </c>
      <c r="I1711" s="9" t="str">
        <f t="shared" si="1"/>
        <v>No</v>
      </c>
      <c r="J1711" s="9">
        <f t="shared" si="2"/>
        <v>1</v>
      </c>
      <c r="K1711" s="9" t="str">
        <f t="shared" si="3"/>
        <v>OVERWEIGHT</v>
      </c>
    </row>
    <row r="1712" ht="15.75" customHeight="1">
      <c r="A1712" s="9" t="s">
        <v>3423</v>
      </c>
      <c r="B1712" s="9">
        <v>33.82</v>
      </c>
      <c r="C1712" s="9">
        <v>8.93</v>
      </c>
      <c r="D1712" s="9" t="s">
        <v>4686</v>
      </c>
      <c r="E1712" s="9" t="s">
        <v>4684</v>
      </c>
      <c r="F1712" s="9" t="s">
        <v>4684</v>
      </c>
      <c r="G1712" s="9">
        <v>1.0</v>
      </c>
      <c r="H1712" s="9" t="s">
        <v>4684</v>
      </c>
      <c r="I1712" s="9" t="str">
        <f t="shared" si="1"/>
        <v>No</v>
      </c>
      <c r="J1712" s="9">
        <f t="shared" si="2"/>
        <v>1</v>
      </c>
      <c r="K1712" s="9" t="str">
        <f t="shared" si="3"/>
        <v>OBESITY</v>
      </c>
    </row>
    <row r="1713" ht="15.75" customHeight="1">
      <c r="A1713" s="9" t="s">
        <v>3425</v>
      </c>
      <c r="B1713" s="9">
        <v>32.9</v>
      </c>
      <c r="C1713" s="9">
        <v>4.35</v>
      </c>
      <c r="D1713" s="9" t="s">
        <v>4684</v>
      </c>
      <c r="E1713" s="9" t="s">
        <v>4684</v>
      </c>
      <c r="F1713" s="9" t="s">
        <v>4684</v>
      </c>
      <c r="G1713" s="9" t="s">
        <v>4685</v>
      </c>
      <c r="H1713" s="9" t="s">
        <v>4684</v>
      </c>
      <c r="I1713" s="9" t="str">
        <f t="shared" si="1"/>
        <v>No</v>
      </c>
      <c r="J1713" s="9">
        <f t="shared" si="2"/>
        <v>0</v>
      </c>
      <c r="K1713" s="9" t="str">
        <f t="shared" si="3"/>
        <v>OBESITY</v>
      </c>
    </row>
    <row r="1714" ht="15.75" customHeight="1">
      <c r="A1714" s="9" t="s">
        <v>3427</v>
      </c>
      <c r="B1714" s="9">
        <v>30.875</v>
      </c>
      <c r="C1714" s="9">
        <v>9.54</v>
      </c>
      <c r="D1714" s="9" t="s">
        <v>4686</v>
      </c>
      <c r="E1714" s="9" t="s">
        <v>4684</v>
      </c>
      <c r="F1714" s="9" t="s">
        <v>4684</v>
      </c>
      <c r="G1714" s="9">
        <v>1.0</v>
      </c>
      <c r="H1714" s="9" t="s">
        <v>4684</v>
      </c>
      <c r="I1714" s="9" t="str">
        <f t="shared" si="1"/>
        <v>No</v>
      </c>
      <c r="J1714" s="9">
        <f t="shared" si="2"/>
        <v>1</v>
      </c>
      <c r="K1714" s="9" t="str">
        <f t="shared" si="3"/>
        <v>OBESITY</v>
      </c>
    </row>
    <row r="1715" ht="15.75" customHeight="1">
      <c r="A1715" s="9" t="s">
        <v>3429</v>
      </c>
      <c r="B1715" s="9">
        <v>32.64</v>
      </c>
      <c r="C1715" s="9">
        <v>5.91</v>
      </c>
      <c r="D1715" s="9" t="s">
        <v>4684</v>
      </c>
      <c r="E1715" s="9" t="s">
        <v>4684</v>
      </c>
      <c r="F1715" s="9" t="s">
        <v>4684</v>
      </c>
      <c r="G1715" s="9" t="s">
        <v>4685</v>
      </c>
      <c r="H1715" s="9" t="s">
        <v>4684</v>
      </c>
      <c r="I1715" s="9" t="str">
        <f t="shared" si="1"/>
        <v>No</v>
      </c>
      <c r="J1715" s="9">
        <f t="shared" si="2"/>
        <v>0</v>
      </c>
      <c r="K1715" s="9" t="str">
        <f t="shared" si="3"/>
        <v>OBESITY</v>
      </c>
    </row>
    <row r="1716" ht="15.75" customHeight="1">
      <c r="A1716" s="9" t="s">
        <v>3431</v>
      </c>
      <c r="B1716" s="9">
        <v>22.135</v>
      </c>
      <c r="C1716" s="9">
        <v>5.1</v>
      </c>
      <c r="D1716" s="9" t="s">
        <v>4684</v>
      </c>
      <c r="E1716" s="9" t="s">
        <v>4684</v>
      </c>
      <c r="F1716" s="9" t="s">
        <v>4684</v>
      </c>
      <c r="G1716" s="9" t="s">
        <v>4685</v>
      </c>
      <c r="H1716" s="9" t="s">
        <v>4684</v>
      </c>
      <c r="I1716" s="9" t="str">
        <f t="shared" si="1"/>
        <v>No</v>
      </c>
      <c r="J1716" s="9">
        <f t="shared" si="2"/>
        <v>0</v>
      </c>
      <c r="K1716" s="9" t="str">
        <f t="shared" si="3"/>
        <v>NORMAL WEIGHT</v>
      </c>
    </row>
    <row r="1717" ht="15.75" customHeight="1">
      <c r="A1717" s="9" t="s">
        <v>3433</v>
      </c>
      <c r="B1717" s="9">
        <v>16.53</v>
      </c>
      <c r="C1717" s="9">
        <v>5.08</v>
      </c>
      <c r="D1717" s="9" t="s">
        <v>4684</v>
      </c>
      <c r="E1717" s="9" t="s">
        <v>4684</v>
      </c>
      <c r="F1717" s="9" t="s">
        <v>4684</v>
      </c>
      <c r="G1717" s="9">
        <v>2.0</v>
      </c>
      <c r="H1717" s="9" t="s">
        <v>4684</v>
      </c>
      <c r="I1717" s="9" t="str">
        <f t="shared" si="1"/>
        <v>No</v>
      </c>
      <c r="J1717" s="9">
        <f t="shared" si="2"/>
        <v>2</v>
      </c>
      <c r="K1717" s="9" t="str">
        <f t="shared" si="3"/>
        <v>UNDERWEIGHT</v>
      </c>
    </row>
    <row r="1718" ht="15.75" customHeight="1">
      <c r="A1718" s="9" t="s">
        <v>3435</v>
      </c>
      <c r="B1718" s="9">
        <v>32.775</v>
      </c>
      <c r="C1718" s="9">
        <v>4.75</v>
      </c>
      <c r="D1718" s="9" t="s">
        <v>4684</v>
      </c>
      <c r="E1718" s="9" t="s">
        <v>4684</v>
      </c>
      <c r="F1718" s="9" t="s">
        <v>4684</v>
      </c>
      <c r="G1718" s="9" t="s">
        <v>4685</v>
      </c>
      <c r="H1718" s="9" t="s">
        <v>4684</v>
      </c>
      <c r="I1718" s="9" t="str">
        <f t="shared" si="1"/>
        <v>No</v>
      </c>
      <c r="J1718" s="9">
        <f t="shared" si="2"/>
        <v>0</v>
      </c>
      <c r="K1718" s="9" t="str">
        <f t="shared" si="3"/>
        <v>OBESITY</v>
      </c>
    </row>
    <row r="1719" ht="15.75" customHeight="1">
      <c r="A1719" s="9" t="s">
        <v>3437</v>
      </c>
      <c r="B1719" s="9">
        <v>30.9</v>
      </c>
      <c r="C1719" s="9">
        <v>6.05</v>
      </c>
      <c r="D1719" s="9" t="s">
        <v>4684</v>
      </c>
      <c r="E1719" s="9" t="s">
        <v>4684</v>
      </c>
      <c r="F1719" s="9" t="s">
        <v>4684</v>
      </c>
      <c r="G1719" s="9">
        <v>1.0</v>
      </c>
      <c r="H1719" s="9" t="s">
        <v>4684</v>
      </c>
      <c r="I1719" s="9" t="str">
        <f t="shared" si="1"/>
        <v>No</v>
      </c>
      <c r="J1719" s="9">
        <f t="shared" si="2"/>
        <v>1</v>
      </c>
      <c r="K1719" s="9" t="str">
        <f t="shared" si="3"/>
        <v>OBESITY</v>
      </c>
    </row>
    <row r="1720" ht="15.75" customHeight="1">
      <c r="A1720" s="9" t="s">
        <v>3439</v>
      </c>
      <c r="B1720" s="9">
        <v>15.58</v>
      </c>
      <c r="C1720" s="9">
        <v>11.56</v>
      </c>
      <c r="D1720" s="9" t="s">
        <v>4684</v>
      </c>
      <c r="E1720" s="9" t="s">
        <v>4684</v>
      </c>
      <c r="F1720" s="9" t="s">
        <v>4684</v>
      </c>
      <c r="G1720" s="9" t="s">
        <v>4685</v>
      </c>
      <c r="H1720" s="9" t="s">
        <v>4684</v>
      </c>
      <c r="I1720" s="9" t="str">
        <f t="shared" si="1"/>
        <v>No</v>
      </c>
      <c r="J1720" s="9">
        <f t="shared" si="2"/>
        <v>0</v>
      </c>
      <c r="K1720" s="9" t="str">
        <f t="shared" si="3"/>
        <v>UNDERWEIGHT</v>
      </c>
    </row>
    <row r="1721" ht="15.75" customHeight="1">
      <c r="A1721" s="9" t="s">
        <v>3441</v>
      </c>
      <c r="B1721" s="9">
        <v>26.315</v>
      </c>
      <c r="C1721" s="9">
        <v>5.76</v>
      </c>
      <c r="D1721" s="9" t="s">
        <v>4684</v>
      </c>
      <c r="E1721" s="9" t="s">
        <v>4684</v>
      </c>
      <c r="F1721" s="9" t="s">
        <v>4684</v>
      </c>
      <c r="G1721" s="9" t="s">
        <v>4685</v>
      </c>
      <c r="H1721" s="9" t="s">
        <v>4684</v>
      </c>
      <c r="I1721" s="9" t="str">
        <f t="shared" si="1"/>
        <v>No</v>
      </c>
      <c r="J1721" s="9">
        <f t="shared" si="2"/>
        <v>0</v>
      </c>
      <c r="K1721" s="9" t="str">
        <f t="shared" si="3"/>
        <v>OVERWEIGHT</v>
      </c>
    </row>
    <row r="1722" ht="15.75" customHeight="1">
      <c r="A1722" s="9" t="s">
        <v>3443</v>
      </c>
      <c r="B1722" s="9">
        <v>35.61</v>
      </c>
      <c r="C1722" s="9">
        <v>5.65</v>
      </c>
      <c r="D1722" s="9" t="s">
        <v>4684</v>
      </c>
      <c r="E1722" s="9" t="s">
        <v>4686</v>
      </c>
      <c r="F1722" s="9" t="s">
        <v>4684</v>
      </c>
      <c r="G1722" s="9">
        <v>1.0</v>
      </c>
      <c r="H1722" s="9" t="s">
        <v>4684</v>
      </c>
      <c r="I1722" s="9" t="str">
        <f t="shared" si="1"/>
        <v>No</v>
      </c>
      <c r="J1722" s="9">
        <f t="shared" si="2"/>
        <v>1</v>
      </c>
      <c r="K1722" s="9" t="str">
        <f t="shared" si="3"/>
        <v>OBESITY</v>
      </c>
    </row>
    <row r="1723" ht="15.75" customHeight="1">
      <c r="A1723" s="9" t="s">
        <v>3445</v>
      </c>
      <c r="B1723" s="9">
        <v>37.56</v>
      </c>
      <c r="C1723" s="9">
        <v>5.88</v>
      </c>
      <c r="D1723" s="9" t="s">
        <v>4684</v>
      </c>
      <c r="E1723" s="9" t="s">
        <v>4686</v>
      </c>
      <c r="F1723" s="9" t="s">
        <v>4684</v>
      </c>
      <c r="G1723" s="9">
        <v>1.0</v>
      </c>
      <c r="H1723" s="9" t="s">
        <v>4684</v>
      </c>
      <c r="I1723" s="9" t="str">
        <f t="shared" si="1"/>
        <v>No</v>
      </c>
      <c r="J1723" s="9">
        <f t="shared" si="2"/>
        <v>1</v>
      </c>
      <c r="K1723" s="9" t="str">
        <f t="shared" si="3"/>
        <v>OBESITY</v>
      </c>
    </row>
    <row r="1724" ht="15.75" customHeight="1">
      <c r="A1724" s="9" t="s">
        <v>3447</v>
      </c>
      <c r="B1724" s="9">
        <v>15.49</v>
      </c>
      <c r="C1724" s="9">
        <v>9.6</v>
      </c>
      <c r="D1724" s="9" t="s">
        <v>4684</v>
      </c>
      <c r="E1724" s="9" t="s">
        <v>4684</v>
      </c>
      <c r="F1724" s="9" t="s">
        <v>4684</v>
      </c>
      <c r="G1724" s="9" t="s">
        <v>4685</v>
      </c>
      <c r="H1724" s="9" t="s">
        <v>4684</v>
      </c>
      <c r="I1724" s="9" t="str">
        <f t="shared" si="1"/>
        <v>No</v>
      </c>
      <c r="J1724" s="9">
        <f t="shared" si="2"/>
        <v>0</v>
      </c>
      <c r="K1724" s="9" t="str">
        <f t="shared" si="3"/>
        <v>UNDERWEIGHT</v>
      </c>
    </row>
    <row r="1725" ht="15.75" customHeight="1">
      <c r="A1725" s="9" t="s">
        <v>3449</v>
      </c>
      <c r="B1725" s="9">
        <v>23.48</v>
      </c>
      <c r="C1725" s="9">
        <v>6.24</v>
      </c>
      <c r="D1725" s="9" t="s">
        <v>4684</v>
      </c>
      <c r="E1725" s="9" t="s">
        <v>4684</v>
      </c>
      <c r="F1725" s="9" t="s">
        <v>4684</v>
      </c>
      <c r="G1725" s="9">
        <v>1.0</v>
      </c>
      <c r="H1725" s="9" t="s">
        <v>4684</v>
      </c>
      <c r="I1725" s="9" t="str">
        <f t="shared" si="1"/>
        <v>No</v>
      </c>
      <c r="J1725" s="9">
        <f t="shared" si="2"/>
        <v>1</v>
      </c>
      <c r="K1725" s="9" t="str">
        <f t="shared" si="3"/>
        <v>NORMAL WEIGHT</v>
      </c>
    </row>
    <row r="1726" ht="15.75" customHeight="1">
      <c r="A1726" s="9" t="s">
        <v>3451</v>
      </c>
      <c r="B1726" s="9">
        <v>30.02</v>
      </c>
      <c r="C1726" s="9">
        <v>7.63</v>
      </c>
      <c r="D1726" s="9" t="s">
        <v>4686</v>
      </c>
      <c r="E1726" s="9" t="s">
        <v>4684</v>
      </c>
      <c r="F1726" s="9" t="s">
        <v>4684</v>
      </c>
      <c r="G1726" s="9">
        <v>1.0</v>
      </c>
      <c r="H1726" s="9" t="s">
        <v>4684</v>
      </c>
      <c r="I1726" s="9" t="str">
        <f t="shared" si="1"/>
        <v>No</v>
      </c>
      <c r="J1726" s="9">
        <f t="shared" si="2"/>
        <v>1</v>
      </c>
      <c r="K1726" s="9" t="str">
        <f t="shared" si="3"/>
        <v>OBESITY</v>
      </c>
    </row>
    <row r="1727" ht="15.75" customHeight="1">
      <c r="A1727" s="9" t="s">
        <v>3453</v>
      </c>
      <c r="B1727" s="9">
        <v>26.885</v>
      </c>
      <c r="C1727" s="9">
        <v>8.66</v>
      </c>
      <c r="D1727" s="9" t="s">
        <v>4686</v>
      </c>
      <c r="E1727" s="9" t="s">
        <v>4684</v>
      </c>
      <c r="F1727" s="9" t="s">
        <v>4684</v>
      </c>
      <c r="G1727" s="9">
        <v>1.0</v>
      </c>
      <c r="H1727" s="9" t="s">
        <v>4684</v>
      </c>
      <c r="I1727" s="9" t="str">
        <f t="shared" si="1"/>
        <v>No</v>
      </c>
      <c r="J1727" s="9">
        <f t="shared" si="2"/>
        <v>1</v>
      </c>
      <c r="K1727" s="9" t="str">
        <f t="shared" si="3"/>
        <v>OVERWEIGHT</v>
      </c>
    </row>
    <row r="1728" ht="15.75" customHeight="1">
      <c r="A1728" s="9" t="s">
        <v>3455</v>
      </c>
      <c r="B1728" s="9">
        <v>25.84</v>
      </c>
      <c r="C1728" s="9">
        <v>8.55</v>
      </c>
      <c r="D1728" s="9" t="s">
        <v>4686</v>
      </c>
      <c r="E1728" s="9" t="s">
        <v>4684</v>
      </c>
      <c r="F1728" s="9" t="s">
        <v>4684</v>
      </c>
      <c r="G1728" s="9">
        <v>1.0</v>
      </c>
      <c r="H1728" s="9" t="s">
        <v>4684</v>
      </c>
      <c r="I1728" s="9" t="str">
        <f t="shared" si="1"/>
        <v>No</v>
      </c>
      <c r="J1728" s="9">
        <f t="shared" si="2"/>
        <v>1</v>
      </c>
      <c r="K1728" s="9" t="str">
        <f t="shared" si="3"/>
        <v>OVERWEIGHT</v>
      </c>
    </row>
    <row r="1729" ht="15.75" customHeight="1">
      <c r="A1729" s="9" t="s">
        <v>3457</v>
      </c>
      <c r="B1729" s="9">
        <v>27.455</v>
      </c>
      <c r="C1729" s="9">
        <v>4.54</v>
      </c>
      <c r="D1729" s="9" t="s">
        <v>4684</v>
      </c>
      <c r="E1729" s="9" t="s">
        <v>4684</v>
      </c>
      <c r="F1729" s="9" t="s">
        <v>4684</v>
      </c>
      <c r="G1729" s="9" t="s">
        <v>4685</v>
      </c>
      <c r="H1729" s="9" t="s">
        <v>4684</v>
      </c>
      <c r="I1729" s="9" t="str">
        <f t="shared" si="1"/>
        <v>No</v>
      </c>
      <c r="J1729" s="9">
        <f t="shared" si="2"/>
        <v>0</v>
      </c>
      <c r="K1729" s="9" t="str">
        <f t="shared" si="3"/>
        <v>OVERWEIGHT</v>
      </c>
    </row>
    <row r="1730" ht="15.75" customHeight="1">
      <c r="A1730" s="9" t="s">
        <v>3459</v>
      </c>
      <c r="B1730" s="9">
        <v>24.605</v>
      </c>
      <c r="C1730" s="9">
        <v>5.7</v>
      </c>
      <c r="D1730" s="9" t="s">
        <v>4684</v>
      </c>
      <c r="E1730" s="9" t="s">
        <v>4684</v>
      </c>
      <c r="F1730" s="9" t="s">
        <v>4684</v>
      </c>
      <c r="G1730" s="9" t="s">
        <v>4685</v>
      </c>
      <c r="H1730" s="9" t="s">
        <v>4684</v>
      </c>
      <c r="I1730" s="9" t="str">
        <f t="shared" si="1"/>
        <v>No</v>
      </c>
      <c r="J1730" s="9">
        <f t="shared" si="2"/>
        <v>0</v>
      </c>
      <c r="K1730" s="9" t="str">
        <f t="shared" si="3"/>
        <v>NORMAL WEIGHT</v>
      </c>
    </row>
    <row r="1731" ht="15.75" customHeight="1">
      <c r="A1731" s="9" t="s">
        <v>3461</v>
      </c>
      <c r="B1731" s="9">
        <v>30.8</v>
      </c>
      <c r="C1731" s="9">
        <v>5.07</v>
      </c>
      <c r="D1731" s="9" t="s">
        <v>4684</v>
      </c>
      <c r="E1731" s="9" t="s">
        <v>4684</v>
      </c>
      <c r="F1731" s="9" t="s">
        <v>4684</v>
      </c>
      <c r="G1731" s="9" t="s">
        <v>4685</v>
      </c>
      <c r="H1731" s="9" t="s">
        <v>4684</v>
      </c>
      <c r="I1731" s="9" t="str">
        <f t="shared" si="1"/>
        <v>No</v>
      </c>
      <c r="J1731" s="9">
        <f t="shared" si="2"/>
        <v>0</v>
      </c>
      <c r="K1731" s="9" t="str">
        <f t="shared" si="3"/>
        <v>OBESITY</v>
      </c>
    </row>
    <row r="1732" ht="15.75" customHeight="1">
      <c r="A1732" s="9" t="s">
        <v>3463</v>
      </c>
      <c r="B1732" s="9">
        <v>34.8</v>
      </c>
      <c r="C1732" s="9">
        <v>4.38</v>
      </c>
      <c r="D1732" s="9" t="s">
        <v>4684</v>
      </c>
      <c r="E1732" s="9" t="s">
        <v>4684</v>
      </c>
      <c r="F1732" s="9" t="s">
        <v>4684</v>
      </c>
      <c r="G1732" s="9">
        <v>1.0</v>
      </c>
      <c r="H1732" s="9" t="s">
        <v>4684</v>
      </c>
      <c r="I1732" s="9" t="str">
        <f t="shared" si="1"/>
        <v>No</v>
      </c>
      <c r="J1732" s="9">
        <f t="shared" si="2"/>
        <v>1</v>
      </c>
      <c r="K1732" s="9" t="str">
        <f t="shared" si="3"/>
        <v>OBESITY</v>
      </c>
    </row>
    <row r="1733" ht="15.75" customHeight="1">
      <c r="A1733" s="9" t="s">
        <v>3465</v>
      </c>
      <c r="B1733" s="9">
        <v>34.21</v>
      </c>
      <c r="C1733" s="9">
        <v>4.54</v>
      </c>
      <c r="D1733" s="9" t="s">
        <v>4684</v>
      </c>
      <c r="E1733" s="9" t="s">
        <v>4684</v>
      </c>
      <c r="F1733" s="9" t="s">
        <v>4684</v>
      </c>
      <c r="G1733" s="9">
        <v>1.0</v>
      </c>
      <c r="H1733" s="9" t="s">
        <v>4684</v>
      </c>
      <c r="I1733" s="9" t="str">
        <f t="shared" si="1"/>
        <v>No</v>
      </c>
      <c r="J1733" s="9">
        <f t="shared" si="2"/>
        <v>1</v>
      </c>
      <c r="K1733" s="9" t="str">
        <f t="shared" si="3"/>
        <v>OBESITY</v>
      </c>
    </row>
    <row r="1734" ht="15.75" customHeight="1">
      <c r="A1734" s="9" t="s">
        <v>3467</v>
      </c>
      <c r="B1734" s="9">
        <v>31.0</v>
      </c>
      <c r="C1734" s="9">
        <v>5.38</v>
      </c>
      <c r="D1734" s="9" t="s">
        <v>4684</v>
      </c>
      <c r="E1734" s="9" t="s">
        <v>4684</v>
      </c>
      <c r="F1734" s="9" t="s">
        <v>4684</v>
      </c>
      <c r="G1734" s="9">
        <v>1.0</v>
      </c>
      <c r="H1734" s="9" t="s">
        <v>4684</v>
      </c>
      <c r="I1734" s="9" t="str">
        <f t="shared" si="1"/>
        <v>No</v>
      </c>
      <c r="J1734" s="9">
        <f t="shared" si="2"/>
        <v>1</v>
      </c>
      <c r="K1734" s="9" t="str">
        <f t="shared" si="3"/>
        <v>OBESITY</v>
      </c>
    </row>
    <row r="1735" ht="15.75" customHeight="1">
      <c r="A1735" s="9" t="s">
        <v>3469</v>
      </c>
      <c r="B1735" s="9">
        <v>26.125</v>
      </c>
      <c r="C1735" s="9">
        <v>5.55</v>
      </c>
      <c r="D1735" s="9" t="s">
        <v>4684</v>
      </c>
      <c r="E1735" s="9" t="s">
        <v>4684</v>
      </c>
      <c r="F1735" s="9" t="s">
        <v>4684</v>
      </c>
      <c r="G1735" s="9">
        <v>1.0</v>
      </c>
      <c r="H1735" s="9" t="s">
        <v>4684</v>
      </c>
      <c r="I1735" s="9" t="str">
        <f t="shared" si="1"/>
        <v>No</v>
      </c>
      <c r="J1735" s="9">
        <f t="shared" si="2"/>
        <v>1</v>
      </c>
      <c r="K1735" s="9" t="str">
        <f t="shared" si="3"/>
        <v>OVERWEIGHT</v>
      </c>
    </row>
    <row r="1736" ht="15.75" customHeight="1">
      <c r="A1736" s="9" t="s">
        <v>3471</v>
      </c>
      <c r="B1736" s="9">
        <v>30.13</v>
      </c>
      <c r="C1736" s="9">
        <v>4.03</v>
      </c>
      <c r="D1736" s="9" t="s">
        <v>4686</v>
      </c>
      <c r="E1736" s="9" t="s">
        <v>4684</v>
      </c>
      <c r="F1736" s="9" t="s">
        <v>4684</v>
      </c>
      <c r="G1736" s="9">
        <v>1.0</v>
      </c>
      <c r="H1736" s="9" t="s">
        <v>4684</v>
      </c>
      <c r="I1736" s="9" t="str">
        <f t="shared" si="1"/>
        <v>No</v>
      </c>
      <c r="J1736" s="9">
        <f t="shared" si="2"/>
        <v>1</v>
      </c>
      <c r="K1736" s="9" t="str">
        <f t="shared" si="3"/>
        <v>OBESITY</v>
      </c>
    </row>
    <row r="1737" ht="15.75" customHeight="1">
      <c r="A1737" s="9" t="s">
        <v>3473</v>
      </c>
      <c r="B1737" s="9">
        <v>34.19</v>
      </c>
      <c r="C1737" s="9">
        <v>4.19</v>
      </c>
      <c r="D1737" s="9" t="s">
        <v>4684</v>
      </c>
      <c r="E1737" s="9" t="s">
        <v>4684</v>
      </c>
      <c r="F1737" s="9" t="s">
        <v>4684</v>
      </c>
      <c r="G1737" s="9" t="s">
        <v>4685</v>
      </c>
      <c r="H1737" s="9" t="s">
        <v>4684</v>
      </c>
      <c r="I1737" s="9" t="str">
        <f t="shared" si="1"/>
        <v>No</v>
      </c>
      <c r="J1737" s="9">
        <f t="shared" si="2"/>
        <v>0</v>
      </c>
      <c r="K1737" s="9" t="str">
        <f t="shared" si="3"/>
        <v>OBESITY</v>
      </c>
    </row>
    <row r="1738" ht="15.75" customHeight="1">
      <c r="A1738" s="9" t="s">
        <v>3475</v>
      </c>
      <c r="B1738" s="9">
        <v>22.515</v>
      </c>
      <c r="C1738" s="9">
        <v>4.37</v>
      </c>
      <c r="D1738" s="9" t="s">
        <v>4684</v>
      </c>
      <c r="E1738" s="9" t="s">
        <v>4684</v>
      </c>
      <c r="F1738" s="9" t="s">
        <v>4686</v>
      </c>
      <c r="G1738" s="9">
        <v>1.0</v>
      </c>
      <c r="H1738" s="9" t="s">
        <v>4684</v>
      </c>
      <c r="I1738" s="9" t="str">
        <f t="shared" si="1"/>
        <v>No</v>
      </c>
      <c r="J1738" s="9">
        <f t="shared" si="2"/>
        <v>1</v>
      </c>
      <c r="K1738" s="9" t="str">
        <f t="shared" si="3"/>
        <v>NORMAL WEIGHT</v>
      </c>
    </row>
    <row r="1739" ht="15.75" customHeight="1">
      <c r="A1739" s="9" t="s">
        <v>3477</v>
      </c>
      <c r="B1739" s="9">
        <v>18.24</v>
      </c>
      <c r="C1739" s="9">
        <v>5.31</v>
      </c>
      <c r="D1739" s="9" t="s">
        <v>4686</v>
      </c>
      <c r="E1739" s="9" t="s">
        <v>4684</v>
      </c>
      <c r="F1739" s="9" t="s">
        <v>4686</v>
      </c>
      <c r="G1739" s="9">
        <v>1.0</v>
      </c>
      <c r="H1739" s="9" t="s">
        <v>4684</v>
      </c>
      <c r="I1739" s="9" t="str">
        <f t="shared" si="1"/>
        <v>No</v>
      </c>
      <c r="J1739" s="9">
        <f t="shared" si="2"/>
        <v>1</v>
      </c>
      <c r="K1739" s="9" t="str">
        <f t="shared" si="3"/>
        <v>UNDERWEIGHT</v>
      </c>
    </row>
    <row r="1740" ht="15.75" customHeight="1">
      <c r="A1740" s="9" t="s">
        <v>3479</v>
      </c>
      <c r="B1740" s="9">
        <v>37.28</v>
      </c>
      <c r="C1740" s="9">
        <v>4.66</v>
      </c>
      <c r="D1740" s="9" t="s">
        <v>4684</v>
      </c>
      <c r="E1740" s="9" t="s">
        <v>4686</v>
      </c>
      <c r="F1740" s="9" t="s">
        <v>4684</v>
      </c>
      <c r="G1740" s="9">
        <v>1.0</v>
      </c>
      <c r="H1740" s="9" t="s">
        <v>4684</v>
      </c>
      <c r="I1740" s="9" t="str">
        <f t="shared" si="1"/>
        <v>No</v>
      </c>
      <c r="J1740" s="9">
        <f t="shared" si="2"/>
        <v>1</v>
      </c>
      <c r="K1740" s="9" t="str">
        <f t="shared" si="3"/>
        <v>OBESITY</v>
      </c>
    </row>
    <row r="1741" ht="15.75" customHeight="1">
      <c r="A1741" s="9" t="s">
        <v>3481</v>
      </c>
      <c r="B1741" s="9">
        <v>18.2</v>
      </c>
      <c r="C1741" s="9">
        <v>6.19</v>
      </c>
      <c r="D1741" s="9" t="s">
        <v>4684</v>
      </c>
      <c r="E1741" s="9" t="s">
        <v>4684</v>
      </c>
      <c r="F1741" s="9" t="s">
        <v>4686</v>
      </c>
      <c r="G1741" s="9">
        <v>1.0</v>
      </c>
      <c r="H1741" s="9" t="s">
        <v>4684</v>
      </c>
      <c r="I1741" s="9" t="str">
        <f t="shared" si="1"/>
        <v>No</v>
      </c>
      <c r="J1741" s="9">
        <f t="shared" si="2"/>
        <v>1</v>
      </c>
      <c r="K1741" s="9" t="str">
        <f t="shared" si="3"/>
        <v>UNDERWEIGHT</v>
      </c>
    </row>
    <row r="1742" ht="15.75" customHeight="1">
      <c r="A1742" s="9" t="s">
        <v>3483</v>
      </c>
      <c r="B1742" s="9">
        <v>20.53</v>
      </c>
      <c r="C1742" s="9">
        <v>4.86</v>
      </c>
      <c r="D1742" s="9" t="s">
        <v>4684</v>
      </c>
      <c r="E1742" s="9" t="s">
        <v>4684</v>
      </c>
      <c r="F1742" s="9" t="s">
        <v>4684</v>
      </c>
      <c r="G1742" s="9">
        <v>1.0</v>
      </c>
      <c r="H1742" s="9" t="s">
        <v>4684</v>
      </c>
      <c r="I1742" s="9" t="str">
        <f t="shared" si="1"/>
        <v>No</v>
      </c>
      <c r="J1742" s="9">
        <f t="shared" si="2"/>
        <v>1</v>
      </c>
      <c r="K1742" s="9" t="str">
        <f t="shared" si="3"/>
        <v>NORMAL WEIGHT</v>
      </c>
    </row>
    <row r="1743" ht="15.75" customHeight="1">
      <c r="A1743" s="9" t="s">
        <v>3485</v>
      </c>
      <c r="B1743" s="9">
        <v>23.79</v>
      </c>
      <c r="C1743" s="9">
        <v>4.74</v>
      </c>
      <c r="D1743" s="9" t="s">
        <v>4684</v>
      </c>
      <c r="E1743" s="9" t="s">
        <v>4684</v>
      </c>
      <c r="F1743" s="9" t="s">
        <v>4684</v>
      </c>
      <c r="G1743" s="9" t="s">
        <v>4685</v>
      </c>
      <c r="H1743" s="9" t="s">
        <v>4684</v>
      </c>
      <c r="I1743" s="9" t="str">
        <f t="shared" si="1"/>
        <v>No</v>
      </c>
      <c r="J1743" s="9">
        <f t="shared" si="2"/>
        <v>0</v>
      </c>
      <c r="K1743" s="9" t="str">
        <f t="shared" si="3"/>
        <v>NORMAL WEIGHT</v>
      </c>
    </row>
    <row r="1744" ht="15.75" customHeight="1">
      <c r="A1744" s="9" t="s">
        <v>3487</v>
      </c>
      <c r="B1744" s="9">
        <v>29.8</v>
      </c>
      <c r="C1744" s="9">
        <v>6.03</v>
      </c>
      <c r="D1744" s="9" t="s">
        <v>4684</v>
      </c>
      <c r="E1744" s="9" t="s">
        <v>4684</v>
      </c>
      <c r="F1744" s="9" t="s">
        <v>4684</v>
      </c>
      <c r="G1744" s="9" t="s">
        <v>4685</v>
      </c>
      <c r="H1744" s="9" t="s">
        <v>4684</v>
      </c>
      <c r="I1744" s="9" t="str">
        <f t="shared" si="1"/>
        <v>No</v>
      </c>
      <c r="J1744" s="9">
        <f t="shared" si="2"/>
        <v>0</v>
      </c>
      <c r="K1744" s="9" t="str">
        <f t="shared" si="3"/>
        <v>OVERWEIGHT</v>
      </c>
    </row>
    <row r="1745" ht="15.75" customHeight="1">
      <c r="A1745" s="9" t="s">
        <v>3489</v>
      </c>
      <c r="B1745" s="9">
        <v>31.54</v>
      </c>
      <c r="C1745" s="9">
        <v>4.71</v>
      </c>
      <c r="D1745" s="9" t="s">
        <v>4684</v>
      </c>
      <c r="E1745" s="9" t="s">
        <v>4684</v>
      </c>
      <c r="F1745" s="9" t="s">
        <v>4684</v>
      </c>
      <c r="G1745" s="9" t="s">
        <v>4685</v>
      </c>
      <c r="H1745" s="9" t="s">
        <v>4684</v>
      </c>
      <c r="I1745" s="9" t="str">
        <f t="shared" si="1"/>
        <v>No</v>
      </c>
      <c r="J1745" s="9">
        <f t="shared" si="2"/>
        <v>0</v>
      </c>
      <c r="K1745" s="9" t="str">
        <f t="shared" si="3"/>
        <v>OBESITY</v>
      </c>
    </row>
    <row r="1746" ht="15.75" customHeight="1">
      <c r="A1746" s="9" t="s">
        <v>3491</v>
      </c>
      <c r="B1746" s="9">
        <v>20.82</v>
      </c>
      <c r="C1746" s="9">
        <v>5.55</v>
      </c>
      <c r="D1746" s="9" t="s">
        <v>4684</v>
      </c>
      <c r="E1746" s="9" t="s">
        <v>4684</v>
      </c>
      <c r="F1746" s="9" t="s">
        <v>4684</v>
      </c>
      <c r="G1746" s="9">
        <v>1.0</v>
      </c>
      <c r="H1746" s="9" t="s">
        <v>4684</v>
      </c>
      <c r="I1746" s="9" t="str">
        <f t="shared" si="1"/>
        <v>No</v>
      </c>
      <c r="J1746" s="9">
        <f t="shared" si="2"/>
        <v>1</v>
      </c>
      <c r="K1746" s="9" t="str">
        <f t="shared" si="3"/>
        <v>NORMAL WEIGHT</v>
      </c>
    </row>
    <row r="1747" ht="15.75" customHeight="1">
      <c r="A1747" s="9" t="s">
        <v>3493</v>
      </c>
      <c r="B1747" s="9">
        <v>38.83</v>
      </c>
      <c r="C1747" s="9">
        <v>4.78</v>
      </c>
      <c r="D1747" s="9" t="s">
        <v>4684</v>
      </c>
      <c r="E1747" s="9" t="s">
        <v>4684</v>
      </c>
      <c r="F1747" s="9" t="s">
        <v>4686</v>
      </c>
      <c r="G1747" s="9">
        <v>1.0</v>
      </c>
      <c r="H1747" s="9" t="s">
        <v>4684</v>
      </c>
      <c r="I1747" s="9" t="str">
        <f t="shared" si="1"/>
        <v>No</v>
      </c>
      <c r="J1747" s="9">
        <f t="shared" si="2"/>
        <v>1</v>
      </c>
      <c r="K1747" s="9" t="str">
        <f t="shared" si="3"/>
        <v>OBESITY</v>
      </c>
    </row>
    <row r="1748" ht="15.75" customHeight="1">
      <c r="A1748" s="9" t="s">
        <v>3495</v>
      </c>
      <c r="B1748" s="9">
        <v>23.44</v>
      </c>
      <c r="C1748" s="9">
        <v>4.65</v>
      </c>
      <c r="D1748" s="9" t="s">
        <v>4686</v>
      </c>
      <c r="E1748" s="9" t="s">
        <v>4684</v>
      </c>
      <c r="F1748" s="9" t="s">
        <v>4684</v>
      </c>
      <c r="G1748" s="9">
        <v>1.0</v>
      </c>
      <c r="H1748" s="9" t="s">
        <v>4684</v>
      </c>
      <c r="I1748" s="9" t="str">
        <f t="shared" si="1"/>
        <v>No</v>
      </c>
      <c r="J1748" s="9">
        <f t="shared" si="2"/>
        <v>1</v>
      </c>
      <c r="K1748" s="9" t="str">
        <f t="shared" si="3"/>
        <v>NORMAL WEIGHT</v>
      </c>
    </row>
    <row r="1749" ht="15.75" customHeight="1">
      <c r="A1749" s="9" t="s">
        <v>3497</v>
      </c>
      <c r="B1749" s="9">
        <v>24.13</v>
      </c>
      <c r="C1749" s="9">
        <v>5.2</v>
      </c>
      <c r="D1749" s="9" t="s">
        <v>4684</v>
      </c>
      <c r="E1749" s="9" t="s">
        <v>4684</v>
      </c>
      <c r="F1749" s="9" t="s">
        <v>4684</v>
      </c>
      <c r="G1749" s="9">
        <v>1.0</v>
      </c>
      <c r="H1749" s="9" t="s">
        <v>4684</v>
      </c>
      <c r="I1749" s="9" t="str">
        <f t="shared" si="1"/>
        <v>No</v>
      </c>
      <c r="J1749" s="9">
        <f t="shared" si="2"/>
        <v>1</v>
      </c>
      <c r="K1749" s="9" t="str">
        <f t="shared" si="3"/>
        <v>NORMAL WEIGHT</v>
      </c>
    </row>
    <row r="1750" ht="15.75" customHeight="1">
      <c r="A1750" s="9" t="s">
        <v>3499</v>
      </c>
      <c r="B1750" s="9">
        <v>42.13</v>
      </c>
      <c r="C1750" s="9">
        <v>4.54</v>
      </c>
      <c r="D1750" s="9" t="s">
        <v>4686</v>
      </c>
      <c r="E1750" s="9" t="s">
        <v>4684</v>
      </c>
      <c r="F1750" s="9" t="s">
        <v>4684</v>
      </c>
      <c r="G1750" s="9">
        <v>1.0</v>
      </c>
      <c r="H1750" s="9" t="s">
        <v>4684</v>
      </c>
      <c r="I1750" s="9" t="str">
        <f t="shared" si="1"/>
        <v>No</v>
      </c>
      <c r="J1750" s="9">
        <f t="shared" si="2"/>
        <v>1</v>
      </c>
      <c r="K1750" s="9" t="str">
        <f t="shared" si="3"/>
        <v>OBESITY</v>
      </c>
    </row>
    <row r="1751" ht="15.75" customHeight="1">
      <c r="A1751" s="9" t="s">
        <v>3501</v>
      </c>
      <c r="B1751" s="9">
        <v>17.86</v>
      </c>
      <c r="C1751" s="9">
        <v>4.11</v>
      </c>
      <c r="D1751" s="9" t="s">
        <v>4684</v>
      </c>
      <c r="E1751" s="9" t="s">
        <v>4684</v>
      </c>
      <c r="F1751" s="9" t="s">
        <v>4684</v>
      </c>
      <c r="G1751" s="9">
        <v>1.0</v>
      </c>
      <c r="H1751" s="9" t="s">
        <v>4684</v>
      </c>
      <c r="I1751" s="9" t="str">
        <f t="shared" si="1"/>
        <v>No</v>
      </c>
      <c r="J1751" s="9">
        <f t="shared" si="2"/>
        <v>1</v>
      </c>
      <c r="K1751" s="9" t="str">
        <f t="shared" si="3"/>
        <v>UNDERWEIGHT</v>
      </c>
    </row>
    <row r="1752" ht="15.75" customHeight="1">
      <c r="A1752" s="9" t="s">
        <v>3503</v>
      </c>
      <c r="B1752" s="9">
        <v>32.78</v>
      </c>
      <c r="C1752" s="9">
        <v>4.63</v>
      </c>
      <c r="D1752" s="9" t="s">
        <v>4684</v>
      </c>
      <c r="E1752" s="9" t="s">
        <v>4684</v>
      </c>
      <c r="F1752" s="9" t="s">
        <v>4684</v>
      </c>
      <c r="G1752" s="9" t="s">
        <v>4685</v>
      </c>
      <c r="H1752" s="9" t="s">
        <v>4684</v>
      </c>
      <c r="I1752" s="9" t="str">
        <f t="shared" si="1"/>
        <v>No</v>
      </c>
      <c r="J1752" s="9">
        <f t="shared" si="2"/>
        <v>0</v>
      </c>
      <c r="K1752" s="9" t="str">
        <f t="shared" si="3"/>
        <v>OBESITY</v>
      </c>
    </row>
    <row r="1753" ht="15.75" customHeight="1">
      <c r="A1753" s="9" t="s">
        <v>3505</v>
      </c>
      <c r="B1753" s="9">
        <v>23.9</v>
      </c>
      <c r="C1753" s="9">
        <v>6.06</v>
      </c>
      <c r="D1753" s="9" t="s">
        <v>4686</v>
      </c>
      <c r="E1753" s="9" t="s">
        <v>4684</v>
      </c>
      <c r="F1753" s="9" t="s">
        <v>4686</v>
      </c>
      <c r="G1753" s="9">
        <v>1.0</v>
      </c>
      <c r="H1753" s="9" t="s">
        <v>4684</v>
      </c>
      <c r="I1753" s="9" t="str">
        <f t="shared" si="1"/>
        <v>No</v>
      </c>
      <c r="J1753" s="9">
        <f t="shared" si="2"/>
        <v>1</v>
      </c>
      <c r="K1753" s="9" t="str">
        <f t="shared" si="3"/>
        <v>NORMAL WEIGHT</v>
      </c>
    </row>
    <row r="1754" ht="15.75" customHeight="1">
      <c r="A1754" s="9" t="s">
        <v>3507</v>
      </c>
      <c r="B1754" s="9">
        <v>15.47</v>
      </c>
      <c r="C1754" s="9">
        <v>8.43</v>
      </c>
      <c r="D1754" s="9" t="s">
        <v>4684</v>
      </c>
      <c r="E1754" s="9" t="s">
        <v>4684</v>
      </c>
      <c r="F1754" s="9" t="s">
        <v>4684</v>
      </c>
      <c r="G1754" s="9" t="s">
        <v>4685</v>
      </c>
      <c r="H1754" s="9" t="s">
        <v>4684</v>
      </c>
      <c r="I1754" s="9" t="str">
        <f t="shared" si="1"/>
        <v>No</v>
      </c>
      <c r="J1754" s="9">
        <f t="shared" si="2"/>
        <v>0</v>
      </c>
      <c r="K1754" s="9" t="str">
        <f t="shared" si="3"/>
        <v>UNDERWEIGHT</v>
      </c>
    </row>
    <row r="1755" ht="15.75" customHeight="1">
      <c r="A1755" s="9" t="s">
        <v>3509</v>
      </c>
      <c r="B1755" s="9">
        <v>28.54</v>
      </c>
      <c r="C1755" s="9">
        <v>5.51</v>
      </c>
      <c r="D1755" s="9" t="s">
        <v>4684</v>
      </c>
      <c r="E1755" s="9" t="s">
        <v>4684</v>
      </c>
      <c r="F1755" s="9" t="s">
        <v>4686</v>
      </c>
      <c r="G1755" s="9">
        <v>1.0</v>
      </c>
      <c r="H1755" s="9" t="s">
        <v>4684</v>
      </c>
      <c r="I1755" s="9" t="str">
        <f t="shared" si="1"/>
        <v>No</v>
      </c>
      <c r="J1755" s="9">
        <f t="shared" si="2"/>
        <v>1</v>
      </c>
      <c r="K1755" s="9" t="str">
        <f t="shared" si="3"/>
        <v>OVERWEIGHT</v>
      </c>
    </row>
    <row r="1756" ht="15.75" customHeight="1">
      <c r="A1756" s="9" t="s">
        <v>3511</v>
      </c>
      <c r="B1756" s="9">
        <v>18.54</v>
      </c>
      <c r="C1756" s="9">
        <v>4.95</v>
      </c>
      <c r="D1756" s="9" t="s">
        <v>4684</v>
      </c>
      <c r="E1756" s="9" t="s">
        <v>4684</v>
      </c>
      <c r="F1756" s="9" t="s">
        <v>4684</v>
      </c>
      <c r="G1756" s="9" t="s">
        <v>4685</v>
      </c>
      <c r="H1756" s="9" t="s">
        <v>4684</v>
      </c>
      <c r="I1756" s="9" t="str">
        <f t="shared" si="1"/>
        <v>No</v>
      </c>
      <c r="J1756" s="9">
        <f t="shared" si="2"/>
        <v>0</v>
      </c>
      <c r="K1756" s="9" t="str">
        <f t="shared" si="3"/>
        <v>NORMAL WEIGHT</v>
      </c>
    </row>
    <row r="1757" ht="15.75" customHeight="1">
      <c r="A1757" s="9" t="s">
        <v>3513</v>
      </c>
      <c r="B1757" s="9">
        <v>32.18</v>
      </c>
      <c r="C1757" s="9">
        <v>6.44</v>
      </c>
      <c r="D1757" s="9" t="s">
        <v>4686</v>
      </c>
      <c r="E1757" s="9" t="s">
        <v>4684</v>
      </c>
      <c r="F1757" s="9" t="s">
        <v>4686</v>
      </c>
      <c r="G1757" s="9">
        <v>1.0</v>
      </c>
      <c r="H1757" s="9" t="s">
        <v>4684</v>
      </c>
      <c r="I1757" s="9" t="str">
        <f t="shared" si="1"/>
        <v>No</v>
      </c>
      <c r="J1757" s="9">
        <f t="shared" si="2"/>
        <v>1</v>
      </c>
      <c r="K1757" s="9" t="str">
        <f t="shared" si="3"/>
        <v>OBESITY</v>
      </c>
    </row>
    <row r="1758" ht="15.75" customHeight="1">
      <c r="A1758" s="9" t="s">
        <v>3515</v>
      </c>
      <c r="B1758" s="9">
        <v>37.38</v>
      </c>
      <c r="C1758" s="9">
        <v>6.05</v>
      </c>
      <c r="D1758" s="9" t="s">
        <v>4686</v>
      </c>
      <c r="E1758" s="9" t="s">
        <v>4684</v>
      </c>
      <c r="F1758" s="9" t="s">
        <v>4684</v>
      </c>
      <c r="G1758" s="9" t="s">
        <v>4685</v>
      </c>
      <c r="H1758" s="9" t="s">
        <v>4684</v>
      </c>
      <c r="I1758" s="9" t="str">
        <f t="shared" si="1"/>
        <v>No</v>
      </c>
      <c r="J1758" s="9">
        <f t="shared" si="2"/>
        <v>0</v>
      </c>
      <c r="K1758" s="9" t="str">
        <f t="shared" si="3"/>
        <v>OBESITY</v>
      </c>
    </row>
    <row r="1759" ht="15.75" customHeight="1">
      <c r="A1759" s="9" t="s">
        <v>3517</v>
      </c>
      <c r="B1759" s="9">
        <v>31.12</v>
      </c>
      <c r="C1759" s="9">
        <v>4.76</v>
      </c>
      <c r="D1759" s="9" t="s">
        <v>4686</v>
      </c>
      <c r="E1759" s="9" t="s">
        <v>4684</v>
      </c>
      <c r="F1759" s="9" t="s">
        <v>4686</v>
      </c>
      <c r="G1759" s="9">
        <v>1.0</v>
      </c>
      <c r="H1759" s="9" t="s">
        <v>4684</v>
      </c>
      <c r="I1759" s="9" t="str">
        <f t="shared" si="1"/>
        <v>No</v>
      </c>
      <c r="J1759" s="9">
        <f t="shared" si="2"/>
        <v>1</v>
      </c>
      <c r="K1759" s="9" t="str">
        <f t="shared" si="3"/>
        <v>OBESITY</v>
      </c>
    </row>
    <row r="1760" ht="15.75" customHeight="1">
      <c r="A1760" s="9" t="s">
        <v>3519</v>
      </c>
      <c r="B1760" s="9">
        <v>22.01</v>
      </c>
      <c r="C1760" s="9">
        <v>6.72</v>
      </c>
      <c r="D1760" s="9" t="s">
        <v>4686</v>
      </c>
      <c r="E1760" s="9" t="s">
        <v>4684</v>
      </c>
      <c r="F1760" s="9" t="s">
        <v>4684</v>
      </c>
      <c r="G1760" s="9">
        <v>1.0</v>
      </c>
      <c r="H1760" s="9" t="s">
        <v>4684</v>
      </c>
      <c r="I1760" s="9" t="str">
        <f t="shared" si="1"/>
        <v>No</v>
      </c>
      <c r="J1760" s="9">
        <f t="shared" si="2"/>
        <v>1</v>
      </c>
      <c r="K1760" s="9" t="str">
        <f t="shared" si="3"/>
        <v>NORMAL WEIGHT</v>
      </c>
    </row>
    <row r="1761" ht="15.75" customHeight="1">
      <c r="A1761" s="9" t="s">
        <v>3521</v>
      </c>
      <c r="B1761" s="9">
        <v>27.645</v>
      </c>
      <c r="C1761" s="9">
        <v>5.7</v>
      </c>
      <c r="D1761" s="9" t="s">
        <v>4684</v>
      </c>
      <c r="E1761" s="9" t="s">
        <v>4684</v>
      </c>
      <c r="F1761" s="9" t="s">
        <v>4684</v>
      </c>
      <c r="G1761" s="9" t="s">
        <v>4685</v>
      </c>
      <c r="H1761" s="9" t="s">
        <v>4684</v>
      </c>
      <c r="I1761" s="9" t="str">
        <f t="shared" si="1"/>
        <v>No</v>
      </c>
      <c r="J1761" s="9">
        <f t="shared" si="2"/>
        <v>0</v>
      </c>
      <c r="K1761" s="9" t="str">
        <f t="shared" si="3"/>
        <v>OVERWEIGHT</v>
      </c>
    </row>
    <row r="1762" ht="15.75" customHeight="1">
      <c r="A1762" s="9" t="s">
        <v>3523</v>
      </c>
      <c r="B1762" s="9">
        <v>29.64</v>
      </c>
      <c r="C1762" s="9">
        <v>5.31</v>
      </c>
      <c r="D1762" s="9" t="s">
        <v>4686</v>
      </c>
      <c r="E1762" s="9" t="s">
        <v>4684</v>
      </c>
      <c r="F1762" s="9" t="s">
        <v>4684</v>
      </c>
      <c r="G1762" s="9" t="s">
        <v>4685</v>
      </c>
      <c r="H1762" s="9" t="s">
        <v>4684</v>
      </c>
      <c r="I1762" s="9" t="str">
        <f t="shared" si="1"/>
        <v>No</v>
      </c>
      <c r="J1762" s="9">
        <f t="shared" si="2"/>
        <v>0</v>
      </c>
      <c r="K1762" s="9" t="str">
        <f t="shared" si="3"/>
        <v>OVERWEIGHT</v>
      </c>
    </row>
    <row r="1763" ht="15.75" customHeight="1">
      <c r="A1763" s="9" t="s">
        <v>3525</v>
      </c>
      <c r="B1763" s="9">
        <v>33.7</v>
      </c>
      <c r="C1763" s="9">
        <v>4.32</v>
      </c>
      <c r="D1763" s="9" t="s">
        <v>4686</v>
      </c>
      <c r="E1763" s="9" t="s">
        <v>4684</v>
      </c>
      <c r="F1763" s="9" t="s">
        <v>4684</v>
      </c>
      <c r="G1763" s="9">
        <v>1.0</v>
      </c>
      <c r="H1763" s="9" t="s">
        <v>4684</v>
      </c>
      <c r="I1763" s="9" t="str">
        <f t="shared" si="1"/>
        <v>No</v>
      </c>
      <c r="J1763" s="9">
        <f t="shared" si="2"/>
        <v>1</v>
      </c>
      <c r="K1763" s="9" t="str">
        <f t="shared" si="3"/>
        <v>OBESITY</v>
      </c>
    </row>
    <row r="1764" ht="15.75" customHeight="1">
      <c r="A1764" s="9" t="s">
        <v>3527</v>
      </c>
      <c r="B1764" s="9">
        <v>27.5</v>
      </c>
      <c r="C1764" s="9">
        <v>4.23</v>
      </c>
      <c r="D1764" s="9" t="s">
        <v>4686</v>
      </c>
      <c r="E1764" s="9" t="s">
        <v>4684</v>
      </c>
      <c r="F1764" s="9" t="s">
        <v>4684</v>
      </c>
      <c r="G1764" s="9">
        <v>1.0</v>
      </c>
      <c r="H1764" s="9" t="s">
        <v>4684</v>
      </c>
      <c r="I1764" s="9" t="str">
        <f t="shared" si="1"/>
        <v>No</v>
      </c>
      <c r="J1764" s="9">
        <f t="shared" si="2"/>
        <v>1</v>
      </c>
      <c r="K1764" s="9" t="str">
        <f t="shared" si="3"/>
        <v>OVERWEIGHT</v>
      </c>
    </row>
    <row r="1765" ht="15.75" customHeight="1">
      <c r="A1765" s="9" t="s">
        <v>3529</v>
      </c>
      <c r="B1765" s="9">
        <v>16.12</v>
      </c>
      <c r="C1765" s="9">
        <v>6.09</v>
      </c>
      <c r="D1765" s="9" t="s">
        <v>4684</v>
      </c>
      <c r="E1765" s="9" t="s">
        <v>4684</v>
      </c>
      <c r="F1765" s="9" t="s">
        <v>4684</v>
      </c>
      <c r="G1765" s="9" t="s">
        <v>4685</v>
      </c>
      <c r="H1765" s="9" t="s">
        <v>4684</v>
      </c>
      <c r="I1765" s="9" t="str">
        <f t="shared" si="1"/>
        <v>No</v>
      </c>
      <c r="J1765" s="9">
        <f t="shared" si="2"/>
        <v>0</v>
      </c>
      <c r="K1765" s="9" t="str">
        <f t="shared" si="3"/>
        <v>UNDERWEIGHT</v>
      </c>
    </row>
    <row r="1766" ht="15.75" customHeight="1">
      <c r="A1766" s="9" t="s">
        <v>3531</v>
      </c>
      <c r="B1766" s="9">
        <v>26.73</v>
      </c>
      <c r="C1766" s="9">
        <v>4.74</v>
      </c>
      <c r="D1766" s="9" t="s">
        <v>4686</v>
      </c>
      <c r="E1766" s="9" t="s">
        <v>4684</v>
      </c>
      <c r="F1766" s="9" t="s">
        <v>4684</v>
      </c>
      <c r="G1766" s="9">
        <v>1.0</v>
      </c>
      <c r="H1766" s="9" t="s">
        <v>4684</v>
      </c>
      <c r="I1766" s="9" t="str">
        <f t="shared" si="1"/>
        <v>No</v>
      </c>
      <c r="J1766" s="9">
        <f t="shared" si="2"/>
        <v>1</v>
      </c>
      <c r="K1766" s="9" t="str">
        <f t="shared" si="3"/>
        <v>OVERWEIGHT</v>
      </c>
    </row>
    <row r="1767" ht="15.75" customHeight="1">
      <c r="A1767" s="9" t="s">
        <v>3533</v>
      </c>
      <c r="B1767" s="9">
        <v>37.25</v>
      </c>
      <c r="C1767" s="9">
        <v>6.23</v>
      </c>
      <c r="D1767" s="9" t="s">
        <v>4686</v>
      </c>
      <c r="E1767" s="9" t="s">
        <v>4684</v>
      </c>
      <c r="F1767" s="9" t="s">
        <v>4684</v>
      </c>
      <c r="G1767" s="9" t="s">
        <v>4685</v>
      </c>
      <c r="H1767" s="9" t="s">
        <v>4684</v>
      </c>
      <c r="I1767" s="9" t="str">
        <f t="shared" si="1"/>
        <v>No</v>
      </c>
      <c r="J1767" s="9">
        <f t="shared" si="2"/>
        <v>0</v>
      </c>
      <c r="K1767" s="9" t="str">
        <f t="shared" si="3"/>
        <v>OBESITY</v>
      </c>
    </row>
    <row r="1768" ht="15.75" customHeight="1">
      <c r="A1768" s="9" t="s">
        <v>3535</v>
      </c>
      <c r="B1768" s="9">
        <v>23.56</v>
      </c>
      <c r="C1768" s="9">
        <v>5.45</v>
      </c>
      <c r="D1768" s="9" t="s">
        <v>4686</v>
      </c>
      <c r="E1768" s="9" t="s">
        <v>4684</v>
      </c>
      <c r="F1768" s="9" t="s">
        <v>4684</v>
      </c>
      <c r="G1768" s="9">
        <v>1.0</v>
      </c>
      <c r="H1768" s="9" t="s">
        <v>4684</v>
      </c>
      <c r="I1768" s="9" t="str">
        <f t="shared" si="1"/>
        <v>No</v>
      </c>
      <c r="J1768" s="9">
        <f t="shared" si="2"/>
        <v>1</v>
      </c>
      <c r="K1768" s="9" t="str">
        <f t="shared" si="3"/>
        <v>NORMAL WEIGHT</v>
      </c>
    </row>
    <row r="1769" ht="15.75" customHeight="1">
      <c r="A1769" s="9" t="s">
        <v>3537</v>
      </c>
      <c r="B1769" s="9">
        <v>15.84</v>
      </c>
      <c r="C1769" s="9">
        <v>10.34</v>
      </c>
      <c r="D1769" s="9" t="s">
        <v>4684</v>
      </c>
      <c r="E1769" s="9" t="s">
        <v>4684</v>
      </c>
      <c r="F1769" s="9" t="s">
        <v>4684</v>
      </c>
      <c r="G1769" s="9">
        <v>2.0</v>
      </c>
      <c r="H1769" s="9" t="s">
        <v>4684</v>
      </c>
      <c r="I1769" s="9" t="str">
        <f t="shared" si="1"/>
        <v>No</v>
      </c>
      <c r="J1769" s="9">
        <f t="shared" si="2"/>
        <v>2</v>
      </c>
      <c r="K1769" s="9" t="str">
        <f t="shared" si="3"/>
        <v>UNDERWEIGHT</v>
      </c>
    </row>
    <row r="1770" ht="15.75" customHeight="1">
      <c r="A1770" s="9" t="s">
        <v>3539</v>
      </c>
      <c r="B1770" s="9">
        <v>36.63</v>
      </c>
      <c r="C1770" s="9">
        <v>5.15</v>
      </c>
      <c r="D1770" s="9" t="s">
        <v>4684</v>
      </c>
      <c r="E1770" s="9" t="s">
        <v>4684</v>
      </c>
      <c r="F1770" s="9" t="s">
        <v>4684</v>
      </c>
      <c r="G1770" s="9" t="s">
        <v>4685</v>
      </c>
      <c r="H1770" s="9" t="s">
        <v>4684</v>
      </c>
      <c r="I1770" s="9" t="str">
        <f t="shared" si="1"/>
        <v>No</v>
      </c>
      <c r="J1770" s="9">
        <f t="shared" si="2"/>
        <v>0</v>
      </c>
      <c r="K1770" s="9" t="str">
        <f t="shared" si="3"/>
        <v>OBESITY</v>
      </c>
    </row>
    <row r="1771" ht="15.75" customHeight="1">
      <c r="A1771" s="9" t="s">
        <v>3541</v>
      </c>
      <c r="B1771" s="9">
        <v>16.47</v>
      </c>
      <c r="C1771" s="9">
        <v>11.72</v>
      </c>
      <c r="D1771" s="9" t="s">
        <v>4684</v>
      </c>
      <c r="E1771" s="9" t="s">
        <v>4684</v>
      </c>
      <c r="F1771" s="9" t="s">
        <v>4684</v>
      </c>
      <c r="G1771" s="9" t="s">
        <v>4685</v>
      </c>
      <c r="H1771" s="9" t="s">
        <v>4684</v>
      </c>
      <c r="I1771" s="9" t="str">
        <f t="shared" si="1"/>
        <v>No</v>
      </c>
      <c r="J1771" s="9">
        <f t="shared" si="2"/>
        <v>0</v>
      </c>
      <c r="K1771" s="9" t="str">
        <f t="shared" si="3"/>
        <v>UNDERWEIGHT</v>
      </c>
    </row>
    <row r="1772" ht="15.75" customHeight="1">
      <c r="A1772" s="9" t="s">
        <v>3543</v>
      </c>
      <c r="B1772" s="9">
        <v>25.8</v>
      </c>
      <c r="C1772" s="9">
        <v>5.29</v>
      </c>
      <c r="D1772" s="9" t="s">
        <v>4684</v>
      </c>
      <c r="E1772" s="9" t="s">
        <v>4684</v>
      </c>
      <c r="F1772" s="9" t="s">
        <v>4684</v>
      </c>
      <c r="G1772" s="9" t="s">
        <v>4685</v>
      </c>
      <c r="H1772" s="9" t="s">
        <v>4684</v>
      </c>
      <c r="I1772" s="9" t="str">
        <f t="shared" si="1"/>
        <v>No</v>
      </c>
      <c r="J1772" s="9">
        <f t="shared" si="2"/>
        <v>0</v>
      </c>
      <c r="K1772" s="9" t="str">
        <f t="shared" si="3"/>
        <v>OVERWEIGHT</v>
      </c>
    </row>
    <row r="1773" ht="15.75" customHeight="1">
      <c r="A1773" s="9" t="s">
        <v>3545</v>
      </c>
      <c r="B1773" s="9">
        <v>23.6</v>
      </c>
      <c r="C1773" s="9">
        <v>4.33</v>
      </c>
      <c r="D1773" s="9" t="s">
        <v>4684</v>
      </c>
      <c r="E1773" s="9" t="s">
        <v>4684</v>
      </c>
      <c r="F1773" s="9" t="s">
        <v>4684</v>
      </c>
      <c r="G1773" s="9" t="s">
        <v>4685</v>
      </c>
      <c r="H1773" s="9" t="s">
        <v>4684</v>
      </c>
      <c r="I1773" s="9" t="str">
        <f t="shared" si="1"/>
        <v>No</v>
      </c>
      <c r="J1773" s="9">
        <f t="shared" si="2"/>
        <v>0</v>
      </c>
      <c r="K1773" s="9" t="str">
        <f t="shared" si="3"/>
        <v>NORMAL WEIGHT</v>
      </c>
    </row>
    <row r="1774" ht="15.75" customHeight="1">
      <c r="A1774" s="9" t="s">
        <v>3547</v>
      </c>
      <c r="B1774" s="9">
        <v>32.11</v>
      </c>
      <c r="C1774" s="9">
        <v>6.24</v>
      </c>
      <c r="D1774" s="9" t="s">
        <v>4684</v>
      </c>
      <c r="E1774" s="9" t="s">
        <v>4684</v>
      </c>
      <c r="F1774" s="9" t="s">
        <v>4686</v>
      </c>
      <c r="G1774" s="9">
        <v>1.0</v>
      </c>
      <c r="H1774" s="9" t="s">
        <v>4684</v>
      </c>
      <c r="I1774" s="9" t="str">
        <f t="shared" si="1"/>
        <v>No</v>
      </c>
      <c r="J1774" s="9">
        <f t="shared" si="2"/>
        <v>1</v>
      </c>
      <c r="K1774" s="9" t="str">
        <f t="shared" si="3"/>
        <v>OBESITY</v>
      </c>
    </row>
    <row r="1775" ht="15.75" customHeight="1">
      <c r="A1775" s="9" t="s">
        <v>3549</v>
      </c>
      <c r="B1775" s="9">
        <v>30.115</v>
      </c>
      <c r="C1775" s="9">
        <v>11.61</v>
      </c>
      <c r="D1775" s="9" t="s">
        <v>4684</v>
      </c>
      <c r="E1775" s="9" t="s">
        <v>4684</v>
      </c>
      <c r="F1775" s="9" t="s">
        <v>4684</v>
      </c>
      <c r="G1775" s="9" t="s">
        <v>4685</v>
      </c>
      <c r="H1775" s="9" t="s">
        <v>4684</v>
      </c>
      <c r="I1775" s="9" t="str">
        <f t="shared" si="1"/>
        <v>No</v>
      </c>
      <c r="J1775" s="9">
        <f t="shared" si="2"/>
        <v>0</v>
      </c>
      <c r="K1775" s="9" t="str">
        <f t="shared" si="3"/>
        <v>OBESITY</v>
      </c>
    </row>
    <row r="1776" ht="15.75" customHeight="1">
      <c r="A1776" s="9" t="s">
        <v>3551</v>
      </c>
      <c r="B1776" s="9">
        <v>20.28</v>
      </c>
      <c r="C1776" s="9">
        <v>11.07</v>
      </c>
      <c r="D1776" s="9" t="s">
        <v>4686</v>
      </c>
      <c r="E1776" s="9" t="s">
        <v>4684</v>
      </c>
      <c r="F1776" s="9" t="s">
        <v>4684</v>
      </c>
      <c r="G1776" s="9" t="s">
        <v>4685</v>
      </c>
      <c r="H1776" s="9" t="s">
        <v>4684</v>
      </c>
      <c r="I1776" s="9" t="str">
        <f t="shared" si="1"/>
        <v>No</v>
      </c>
      <c r="J1776" s="9">
        <f t="shared" si="2"/>
        <v>0</v>
      </c>
      <c r="K1776" s="9" t="str">
        <f t="shared" si="3"/>
        <v>NORMAL WEIGHT</v>
      </c>
    </row>
    <row r="1777" ht="15.75" customHeight="1">
      <c r="A1777" s="9" t="s">
        <v>3553</v>
      </c>
      <c r="B1777" s="9">
        <v>20.235</v>
      </c>
      <c r="C1777" s="9">
        <v>5.19</v>
      </c>
      <c r="D1777" s="9" t="s">
        <v>4684</v>
      </c>
      <c r="E1777" s="9" t="s">
        <v>4684</v>
      </c>
      <c r="F1777" s="9" t="s">
        <v>4686</v>
      </c>
      <c r="G1777" s="9">
        <v>1.0</v>
      </c>
      <c r="H1777" s="9" t="s">
        <v>4684</v>
      </c>
      <c r="I1777" s="9" t="str">
        <f t="shared" si="1"/>
        <v>No</v>
      </c>
      <c r="J1777" s="9">
        <f t="shared" si="2"/>
        <v>1</v>
      </c>
      <c r="K1777" s="9" t="str">
        <f t="shared" si="3"/>
        <v>NORMAL WEIGHT</v>
      </c>
    </row>
    <row r="1778" ht="15.75" customHeight="1">
      <c r="A1778" s="9" t="s">
        <v>3555</v>
      </c>
      <c r="B1778" s="9">
        <v>25.27</v>
      </c>
      <c r="C1778" s="9">
        <v>5.7</v>
      </c>
      <c r="D1778" s="9" t="s">
        <v>4686</v>
      </c>
      <c r="E1778" s="9" t="s">
        <v>4684</v>
      </c>
      <c r="F1778" s="9" t="s">
        <v>4684</v>
      </c>
      <c r="G1778" s="9">
        <v>1.0</v>
      </c>
      <c r="H1778" s="9" t="s">
        <v>4684</v>
      </c>
      <c r="I1778" s="9" t="str">
        <f t="shared" si="1"/>
        <v>No</v>
      </c>
      <c r="J1778" s="9">
        <f t="shared" si="2"/>
        <v>1</v>
      </c>
      <c r="K1778" s="9" t="str">
        <f t="shared" si="3"/>
        <v>OVERWEIGHT</v>
      </c>
    </row>
    <row r="1779" ht="15.75" customHeight="1">
      <c r="A1779" s="9" t="s">
        <v>3557</v>
      </c>
      <c r="B1779" s="9">
        <v>24.24</v>
      </c>
      <c r="C1779" s="9">
        <v>6.15</v>
      </c>
      <c r="D1779" s="9" t="s">
        <v>4684</v>
      </c>
      <c r="E1779" s="9" t="s">
        <v>4684</v>
      </c>
      <c r="F1779" s="9" t="s">
        <v>4684</v>
      </c>
      <c r="G1779" s="9" t="s">
        <v>4685</v>
      </c>
      <c r="H1779" s="9" t="s">
        <v>4684</v>
      </c>
      <c r="I1779" s="9" t="str">
        <f t="shared" si="1"/>
        <v>No</v>
      </c>
      <c r="J1779" s="9">
        <f t="shared" si="2"/>
        <v>0</v>
      </c>
      <c r="K1779" s="9" t="str">
        <f t="shared" si="3"/>
        <v>NORMAL WEIGHT</v>
      </c>
    </row>
    <row r="1780" ht="15.75" customHeight="1">
      <c r="A1780" s="9" t="s">
        <v>3559</v>
      </c>
      <c r="B1780" s="9">
        <v>35.75</v>
      </c>
      <c r="C1780" s="9">
        <v>5.07</v>
      </c>
      <c r="D1780" s="9" t="s">
        <v>4684</v>
      </c>
      <c r="E1780" s="9" t="s">
        <v>4684</v>
      </c>
      <c r="F1780" s="9" t="s">
        <v>4684</v>
      </c>
      <c r="G1780" s="9" t="s">
        <v>4685</v>
      </c>
      <c r="H1780" s="9" t="s">
        <v>4684</v>
      </c>
      <c r="I1780" s="9" t="str">
        <f t="shared" si="1"/>
        <v>No</v>
      </c>
      <c r="J1780" s="9">
        <f t="shared" si="2"/>
        <v>0</v>
      </c>
      <c r="K1780" s="9" t="str">
        <f t="shared" si="3"/>
        <v>OBESITY</v>
      </c>
    </row>
    <row r="1781" ht="15.75" customHeight="1">
      <c r="A1781" s="9" t="s">
        <v>3561</v>
      </c>
      <c r="B1781" s="9">
        <v>29.92</v>
      </c>
      <c r="C1781" s="9">
        <v>10.97</v>
      </c>
      <c r="D1781" s="9" t="s">
        <v>4686</v>
      </c>
      <c r="E1781" s="9" t="s">
        <v>4684</v>
      </c>
      <c r="F1781" s="9" t="s">
        <v>4684</v>
      </c>
      <c r="G1781" s="9">
        <v>1.0</v>
      </c>
      <c r="H1781" s="9" t="s">
        <v>4684</v>
      </c>
      <c r="I1781" s="9" t="str">
        <f t="shared" si="1"/>
        <v>No</v>
      </c>
      <c r="J1781" s="9">
        <f t="shared" si="2"/>
        <v>1</v>
      </c>
      <c r="K1781" s="9" t="str">
        <f t="shared" si="3"/>
        <v>OBESITY</v>
      </c>
    </row>
    <row r="1782" ht="15.75" customHeight="1">
      <c r="A1782" s="9" t="s">
        <v>3563</v>
      </c>
      <c r="B1782" s="9">
        <v>26.2</v>
      </c>
      <c r="C1782" s="9">
        <v>10.93</v>
      </c>
      <c r="D1782" s="9" t="s">
        <v>4686</v>
      </c>
      <c r="E1782" s="9" t="s">
        <v>4684</v>
      </c>
      <c r="F1782" s="9" t="s">
        <v>4684</v>
      </c>
      <c r="G1782" s="9">
        <v>1.0</v>
      </c>
      <c r="H1782" s="9" t="s">
        <v>4684</v>
      </c>
      <c r="I1782" s="9" t="str">
        <f t="shared" si="1"/>
        <v>No</v>
      </c>
      <c r="J1782" s="9">
        <f t="shared" si="2"/>
        <v>1</v>
      </c>
      <c r="K1782" s="9" t="str">
        <f t="shared" si="3"/>
        <v>OVERWEIGHT</v>
      </c>
    </row>
    <row r="1783" ht="15.75" customHeight="1">
      <c r="A1783" s="9" t="s">
        <v>3565</v>
      </c>
      <c r="B1783" s="9">
        <v>26.695</v>
      </c>
      <c r="C1783" s="9">
        <v>4.21</v>
      </c>
      <c r="D1783" s="9" t="s">
        <v>4686</v>
      </c>
      <c r="E1783" s="9" t="s">
        <v>4684</v>
      </c>
      <c r="F1783" s="9" t="s">
        <v>4686</v>
      </c>
      <c r="G1783" s="9">
        <v>1.0</v>
      </c>
      <c r="H1783" s="9" t="s">
        <v>4684</v>
      </c>
      <c r="I1783" s="9" t="str">
        <f t="shared" si="1"/>
        <v>No</v>
      </c>
      <c r="J1783" s="9">
        <f t="shared" si="2"/>
        <v>1</v>
      </c>
      <c r="K1783" s="9" t="str">
        <f t="shared" si="3"/>
        <v>OVERWEIGHT</v>
      </c>
    </row>
    <row r="1784" ht="15.75" customHeight="1">
      <c r="A1784" s="9" t="s">
        <v>3567</v>
      </c>
      <c r="B1784" s="9">
        <v>23.16</v>
      </c>
      <c r="C1784" s="9">
        <v>5.5</v>
      </c>
      <c r="D1784" s="9" t="s">
        <v>4684</v>
      </c>
      <c r="E1784" s="9" t="s">
        <v>4684</v>
      </c>
      <c r="F1784" s="9" t="s">
        <v>4684</v>
      </c>
      <c r="G1784" s="9" t="s">
        <v>4685</v>
      </c>
      <c r="H1784" s="9" t="s">
        <v>4684</v>
      </c>
      <c r="I1784" s="9" t="str">
        <f t="shared" si="1"/>
        <v>No</v>
      </c>
      <c r="J1784" s="9">
        <f t="shared" si="2"/>
        <v>0</v>
      </c>
      <c r="K1784" s="9" t="str">
        <f t="shared" si="3"/>
        <v>NORMAL WEIGHT</v>
      </c>
    </row>
    <row r="1785" ht="15.75" customHeight="1">
      <c r="A1785" s="9" t="s">
        <v>3569</v>
      </c>
      <c r="B1785" s="9">
        <v>32.585</v>
      </c>
      <c r="C1785" s="9">
        <v>4.93</v>
      </c>
      <c r="D1785" s="9" t="s">
        <v>4686</v>
      </c>
      <c r="E1785" s="9" t="s">
        <v>4684</v>
      </c>
      <c r="F1785" s="9" t="s">
        <v>4684</v>
      </c>
      <c r="G1785" s="9">
        <v>1.0</v>
      </c>
      <c r="H1785" s="9" t="s">
        <v>4684</v>
      </c>
      <c r="I1785" s="9" t="str">
        <f t="shared" si="1"/>
        <v>No</v>
      </c>
      <c r="J1785" s="9">
        <f t="shared" si="2"/>
        <v>1</v>
      </c>
      <c r="K1785" s="9" t="str">
        <f t="shared" si="3"/>
        <v>OBESITY</v>
      </c>
    </row>
    <row r="1786" ht="15.75" customHeight="1">
      <c r="A1786" s="9" t="s">
        <v>3571</v>
      </c>
      <c r="B1786" s="9">
        <v>33.97</v>
      </c>
      <c r="C1786" s="9">
        <v>5.6</v>
      </c>
      <c r="D1786" s="9" t="s">
        <v>4686</v>
      </c>
      <c r="E1786" s="9" t="s">
        <v>4684</v>
      </c>
      <c r="F1786" s="9" t="s">
        <v>4684</v>
      </c>
      <c r="G1786" s="9" t="s">
        <v>4685</v>
      </c>
      <c r="H1786" s="9" t="s">
        <v>4684</v>
      </c>
      <c r="I1786" s="9" t="str">
        <f t="shared" si="1"/>
        <v>No</v>
      </c>
      <c r="J1786" s="9">
        <f t="shared" si="2"/>
        <v>0</v>
      </c>
      <c r="K1786" s="9" t="str">
        <f t="shared" si="3"/>
        <v>OBESITY</v>
      </c>
    </row>
    <row r="1787" ht="15.75" customHeight="1">
      <c r="A1787" s="9" t="s">
        <v>3573</v>
      </c>
      <c r="B1787" s="9">
        <v>16.57</v>
      </c>
      <c r="C1787" s="9">
        <v>9.99</v>
      </c>
      <c r="D1787" s="9" t="s">
        <v>4684</v>
      </c>
      <c r="E1787" s="9" t="s">
        <v>4684</v>
      </c>
      <c r="F1787" s="9" t="s">
        <v>4684</v>
      </c>
      <c r="G1787" s="9" t="s">
        <v>4685</v>
      </c>
      <c r="H1787" s="9" t="s">
        <v>4684</v>
      </c>
      <c r="I1787" s="9" t="str">
        <f t="shared" si="1"/>
        <v>No</v>
      </c>
      <c r="J1787" s="9">
        <f t="shared" si="2"/>
        <v>0</v>
      </c>
      <c r="K1787" s="9" t="str">
        <f t="shared" si="3"/>
        <v>UNDERWEIGHT</v>
      </c>
    </row>
    <row r="1788" ht="15.75" customHeight="1">
      <c r="A1788" s="9" t="s">
        <v>3575</v>
      </c>
      <c r="B1788" s="9">
        <v>17.55</v>
      </c>
      <c r="C1788" s="9">
        <v>5.93</v>
      </c>
      <c r="D1788" s="9" t="s">
        <v>4684</v>
      </c>
      <c r="E1788" s="9" t="s">
        <v>4684</v>
      </c>
      <c r="F1788" s="9" t="s">
        <v>4686</v>
      </c>
      <c r="G1788" s="9">
        <v>1.0</v>
      </c>
      <c r="H1788" s="9" t="s">
        <v>4684</v>
      </c>
      <c r="I1788" s="9" t="str">
        <f t="shared" si="1"/>
        <v>No</v>
      </c>
      <c r="J1788" s="9">
        <f t="shared" si="2"/>
        <v>1</v>
      </c>
      <c r="K1788" s="9" t="str">
        <f t="shared" si="3"/>
        <v>UNDERWEIGHT</v>
      </c>
    </row>
    <row r="1789" ht="15.75" customHeight="1">
      <c r="A1789" s="9" t="s">
        <v>3577</v>
      </c>
      <c r="B1789" s="9">
        <v>29.41</v>
      </c>
      <c r="C1789" s="9">
        <v>6.29</v>
      </c>
      <c r="D1789" s="9" t="s">
        <v>4686</v>
      </c>
      <c r="E1789" s="9" t="s">
        <v>4684</v>
      </c>
      <c r="F1789" s="9" t="s">
        <v>4684</v>
      </c>
      <c r="G1789" s="9">
        <v>1.0</v>
      </c>
      <c r="H1789" s="9" t="s">
        <v>4684</v>
      </c>
      <c r="I1789" s="9" t="str">
        <f t="shared" si="1"/>
        <v>No</v>
      </c>
      <c r="J1789" s="9">
        <f t="shared" si="2"/>
        <v>1</v>
      </c>
      <c r="K1789" s="9" t="str">
        <f t="shared" si="3"/>
        <v>OVERWEIGHT</v>
      </c>
    </row>
    <row r="1790" ht="15.75" customHeight="1">
      <c r="A1790" s="9" t="s">
        <v>3579</v>
      </c>
      <c r="B1790" s="9">
        <v>17.91</v>
      </c>
      <c r="C1790" s="9">
        <v>5.65</v>
      </c>
      <c r="D1790" s="9" t="s">
        <v>4684</v>
      </c>
      <c r="E1790" s="9" t="s">
        <v>4684</v>
      </c>
      <c r="F1790" s="9" t="s">
        <v>4684</v>
      </c>
      <c r="G1790" s="9">
        <v>1.0</v>
      </c>
      <c r="H1790" s="9" t="s">
        <v>4684</v>
      </c>
      <c r="I1790" s="9" t="str">
        <f t="shared" si="1"/>
        <v>No</v>
      </c>
      <c r="J1790" s="9">
        <f t="shared" si="2"/>
        <v>1</v>
      </c>
      <c r="K1790" s="9" t="str">
        <f t="shared" si="3"/>
        <v>UNDERWEIGHT</v>
      </c>
    </row>
    <row r="1791" ht="15.75" customHeight="1">
      <c r="A1791" s="9" t="s">
        <v>3581</v>
      </c>
      <c r="B1791" s="9">
        <v>31.57</v>
      </c>
      <c r="C1791" s="9">
        <v>6.15</v>
      </c>
      <c r="D1791" s="9" t="s">
        <v>4684</v>
      </c>
      <c r="E1791" s="9" t="s">
        <v>4684</v>
      </c>
      <c r="F1791" s="9" t="s">
        <v>4684</v>
      </c>
      <c r="G1791" s="9">
        <v>1.0</v>
      </c>
      <c r="H1791" s="9" t="s">
        <v>4684</v>
      </c>
      <c r="I1791" s="9" t="str">
        <f t="shared" si="1"/>
        <v>No</v>
      </c>
      <c r="J1791" s="9">
        <f t="shared" si="2"/>
        <v>1</v>
      </c>
      <c r="K1791" s="9" t="str">
        <f t="shared" si="3"/>
        <v>OBESITY</v>
      </c>
    </row>
    <row r="1792" ht="15.75" customHeight="1">
      <c r="A1792" s="9" t="s">
        <v>3583</v>
      </c>
      <c r="B1792" s="9">
        <v>33.18</v>
      </c>
      <c r="C1792" s="9">
        <v>5.22</v>
      </c>
      <c r="D1792" s="9" t="s">
        <v>4684</v>
      </c>
      <c r="E1792" s="9" t="s">
        <v>4686</v>
      </c>
      <c r="F1792" s="9" t="s">
        <v>4684</v>
      </c>
      <c r="G1792" s="9">
        <v>1.0</v>
      </c>
      <c r="H1792" s="9" t="s">
        <v>4684</v>
      </c>
      <c r="I1792" s="9" t="str">
        <f t="shared" si="1"/>
        <v>No</v>
      </c>
      <c r="J1792" s="9">
        <f t="shared" si="2"/>
        <v>1</v>
      </c>
      <c r="K1792" s="9" t="str">
        <f t="shared" si="3"/>
        <v>OBESITY</v>
      </c>
    </row>
    <row r="1793" ht="15.75" customHeight="1">
      <c r="A1793" s="9" t="s">
        <v>3585</v>
      </c>
      <c r="B1793" s="9">
        <v>37.0</v>
      </c>
      <c r="C1793" s="9">
        <v>11.66</v>
      </c>
      <c r="D1793" s="9" t="s">
        <v>4684</v>
      </c>
      <c r="E1793" s="9" t="s">
        <v>4684</v>
      </c>
      <c r="F1793" s="9" t="s">
        <v>4684</v>
      </c>
      <c r="G1793" s="9" t="s">
        <v>4685</v>
      </c>
      <c r="H1793" s="9" t="s">
        <v>4684</v>
      </c>
      <c r="I1793" s="9" t="str">
        <f t="shared" si="1"/>
        <v>No</v>
      </c>
      <c r="J1793" s="9">
        <f t="shared" si="2"/>
        <v>0</v>
      </c>
      <c r="K1793" s="9" t="str">
        <f t="shared" si="3"/>
        <v>OBESITY</v>
      </c>
    </row>
    <row r="1794" ht="15.75" customHeight="1">
      <c r="A1794" s="9" t="s">
        <v>3587</v>
      </c>
      <c r="B1794" s="9">
        <v>18.905</v>
      </c>
      <c r="C1794" s="9">
        <v>4.91</v>
      </c>
      <c r="D1794" s="9" t="s">
        <v>4686</v>
      </c>
      <c r="E1794" s="9" t="s">
        <v>4684</v>
      </c>
      <c r="F1794" s="9" t="s">
        <v>4684</v>
      </c>
      <c r="G1794" s="9">
        <v>1.0</v>
      </c>
      <c r="H1794" s="9" t="s">
        <v>4684</v>
      </c>
      <c r="I1794" s="9" t="str">
        <f t="shared" si="1"/>
        <v>No</v>
      </c>
      <c r="J1794" s="9">
        <f t="shared" si="2"/>
        <v>1</v>
      </c>
      <c r="K1794" s="9" t="str">
        <f t="shared" si="3"/>
        <v>NORMAL WEIGHT</v>
      </c>
    </row>
    <row r="1795" ht="15.75" customHeight="1">
      <c r="A1795" s="9" t="s">
        <v>3589</v>
      </c>
      <c r="B1795" s="9">
        <v>20.03</v>
      </c>
      <c r="C1795" s="9">
        <v>9.25</v>
      </c>
      <c r="D1795" s="9" t="s">
        <v>4686</v>
      </c>
      <c r="E1795" s="9" t="s">
        <v>4684</v>
      </c>
      <c r="F1795" s="9" t="s">
        <v>4684</v>
      </c>
      <c r="G1795" s="9" t="s">
        <v>4685</v>
      </c>
      <c r="H1795" s="9" t="s">
        <v>4684</v>
      </c>
      <c r="I1795" s="9" t="str">
        <f t="shared" si="1"/>
        <v>No</v>
      </c>
      <c r="J1795" s="9">
        <f t="shared" si="2"/>
        <v>0</v>
      </c>
      <c r="K1795" s="9" t="str">
        <f t="shared" si="3"/>
        <v>NORMAL WEIGHT</v>
      </c>
    </row>
    <row r="1796" ht="15.75" customHeight="1">
      <c r="A1796" s="9" t="s">
        <v>3591</v>
      </c>
      <c r="B1796" s="9">
        <v>16.7</v>
      </c>
      <c r="C1796" s="9">
        <v>11.48</v>
      </c>
      <c r="D1796" s="9" t="s">
        <v>4684</v>
      </c>
      <c r="E1796" s="9" t="s">
        <v>4684</v>
      </c>
      <c r="F1796" s="9" t="s">
        <v>4684</v>
      </c>
      <c r="G1796" s="9" t="s">
        <v>4685</v>
      </c>
      <c r="H1796" s="9" t="s">
        <v>4684</v>
      </c>
      <c r="I1796" s="9" t="str">
        <f t="shared" si="1"/>
        <v>No</v>
      </c>
      <c r="J1796" s="9">
        <f t="shared" si="2"/>
        <v>0</v>
      </c>
      <c r="K1796" s="9" t="str">
        <f t="shared" si="3"/>
        <v>UNDERWEIGHT</v>
      </c>
    </row>
    <row r="1797" ht="15.75" customHeight="1">
      <c r="A1797" s="9" t="s">
        <v>3593</v>
      </c>
      <c r="B1797" s="9">
        <v>39.82</v>
      </c>
      <c r="C1797" s="9">
        <v>6.06</v>
      </c>
      <c r="D1797" s="9" t="s">
        <v>4684</v>
      </c>
      <c r="E1797" s="9" t="s">
        <v>4684</v>
      </c>
      <c r="F1797" s="9" t="s">
        <v>4684</v>
      </c>
      <c r="G1797" s="9" t="s">
        <v>4685</v>
      </c>
      <c r="H1797" s="9" t="s">
        <v>4684</v>
      </c>
      <c r="I1797" s="9" t="str">
        <f t="shared" si="1"/>
        <v>No</v>
      </c>
      <c r="J1797" s="9">
        <f t="shared" si="2"/>
        <v>0</v>
      </c>
      <c r="K1797" s="9" t="str">
        <f t="shared" si="3"/>
        <v>OBESITY</v>
      </c>
    </row>
    <row r="1798" ht="15.75" customHeight="1">
      <c r="A1798" s="9" t="s">
        <v>3595</v>
      </c>
      <c r="B1798" s="9">
        <v>22.04</v>
      </c>
      <c r="C1798" s="9">
        <v>5.86</v>
      </c>
      <c r="D1798" s="9" t="s">
        <v>4684</v>
      </c>
      <c r="E1798" s="9" t="s">
        <v>4684</v>
      </c>
      <c r="F1798" s="9" t="s">
        <v>4684</v>
      </c>
      <c r="G1798" s="9">
        <v>1.0</v>
      </c>
      <c r="H1798" s="9" t="s">
        <v>4684</v>
      </c>
      <c r="I1798" s="9" t="str">
        <f t="shared" si="1"/>
        <v>No</v>
      </c>
      <c r="J1798" s="9">
        <f t="shared" si="2"/>
        <v>1</v>
      </c>
      <c r="K1798" s="9" t="str">
        <f t="shared" si="3"/>
        <v>NORMAL WEIGHT</v>
      </c>
    </row>
    <row r="1799" ht="15.75" customHeight="1">
      <c r="A1799" s="9" t="s">
        <v>3597</v>
      </c>
      <c r="B1799" s="9">
        <v>28.27</v>
      </c>
      <c r="C1799" s="9">
        <v>5.33</v>
      </c>
      <c r="D1799" s="9" t="s">
        <v>4684</v>
      </c>
      <c r="E1799" s="9" t="s">
        <v>4684</v>
      </c>
      <c r="F1799" s="9" t="s">
        <v>4684</v>
      </c>
      <c r="G1799" s="9" t="s">
        <v>4685</v>
      </c>
      <c r="H1799" s="9" t="s">
        <v>4684</v>
      </c>
      <c r="I1799" s="9" t="str">
        <f t="shared" si="1"/>
        <v>No</v>
      </c>
      <c r="J1799" s="9">
        <f t="shared" si="2"/>
        <v>0</v>
      </c>
      <c r="K1799" s="9" t="str">
        <f t="shared" si="3"/>
        <v>OVERWEIGHT</v>
      </c>
    </row>
    <row r="1800" ht="15.75" customHeight="1">
      <c r="A1800" s="9" t="s">
        <v>3599</v>
      </c>
      <c r="B1800" s="9">
        <v>18.5</v>
      </c>
      <c r="C1800" s="9">
        <v>5.33</v>
      </c>
      <c r="D1800" s="9" t="s">
        <v>4684</v>
      </c>
      <c r="E1800" s="9" t="s">
        <v>4684</v>
      </c>
      <c r="F1800" s="9" t="s">
        <v>4684</v>
      </c>
      <c r="G1800" s="9" t="s">
        <v>4685</v>
      </c>
      <c r="H1800" s="9" t="s">
        <v>4684</v>
      </c>
      <c r="I1800" s="9" t="str">
        <f t="shared" si="1"/>
        <v>No</v>
      </c>
      <c r="J1800" s="9">
        <f t="shared" si="2"/>
        <v>0</v>
      </c>
      <c r="K1800" s="9" t="str">
        <f t="shared" si="3"/>
        <v>NORMAL WEIGHT</v>
      </c>
    </row>
    <row r="1801" ht="15.75" customHeight="1">
      <c r="A1801" s="9" t="s">
        <v>3601</v>
      </c>
      <c r="B1801" s="9">
        <v>38.6</v>
      </c>
      <c r="C1801" s="9">
        <v>6.02</v>
      </c>
      <c r="D1801" s="9" t="s">
        <v>4684</v>
      </c>
      <c r="E1801" s="9" t="s">
        <v>4684</v>
      </c>
      <c r="F1801" s="9" t="s">
        <v>4684</v>
      </c>
      <c r="G1801" s="9">
        <v>1.0</v>
      </c>
      <c r="H1801" s="9" t="s">
        <v>4684</v>
      </c>
      <c r="I1801" s="9" t="str">
        <f t="shared" si="1"/>
        <v>No</v>
      </c>
      <c r="J1801" s="9">
        <f t="shared" si="2"/>
        <v>1</v>
      </c>
      <c r="K1801" s="9" t="str">
        <f t="shared" si="3"/>
        <v>OBESITY</v>
      </c>
    </row>
    <row r="1802" ht="15.75" customHeight="1">
      <c r="A1802" s="9" t="s">
        <v>3603</v>
      </c>
      <c r="B1802" s="9">
        <v>43.12</v>
      </c>
      <c r="C1802" s="9">
        <v>6.25</v>
      </c>
      <c r="D1802" s="9" t="s">
        <v>4684</v>
      </c>
      <c r="E1802" s="9" t="s">
        <v>4684</v>
      </c>
      <c r="F1802" s="9" t="s">
        <v>4684</v>
      </c>
      <c r="G1802" s="9">
        <v>1.0</v>
      </c>
      <c r="H1802" s="9" t="s">
        <v>4684</v>
      </c>
      <c r="I1802" s="9" t="str">
        <f t="shared" si="1"/>
        <v>No</v>
      </c>
      <c r="J1802" s="9">
        <f t="shared" si="2"/>
        <v>1</v>
      </c>
      <c r="K1802" s="9" t="str">
        <f t="shared" si="3"/>
        <v>OBESITY</v>
      </c>
    </row>
    <row r="1803" ht="15.75" customHeight="1">
      <c r="A1803" s="9" t="s">
        <v>3605</v>
      </c>
      <c r="B1803" s="9">
        <v>30.5</v>
      </c>
      <c r="C1803" s="9">
        <v>4.81</v>
      </c>
      <c r="D1803" s="9" t="s">
        <v>4684</v>
      </c>
      <c r="E1803" s="9" t="s">
        <v>4684</v>
      </c>
      <c r="F1803" s="9" t="s">
        <v>4684</v>
      </c>
      <c r="G1803" s="9">
        <v>1.0</v>
      </c>
      <c r="H1803" s="9" t="s">
        <v>4684</v>
      </c>
      <c r="I1803" s="9" t="str">
        <f t="shared" si="1"/>
        <v>No</v>
      </c>
      <c r="J1803" s="9">
        <f t="shared" si="2"/>
        <v>1</v>
      </c>
      <c r="K1803" s="9" t="str">
        <f t="shared" si="3"/>
        <v>OBESITY</v>
      </c>
    </row>
    <row r="1804" ht="15.75" customHeight="1">
      <c r="A1804" s="9" t="s">
        <v>3607</v>
      </c>
      <c r="B1804" s="9">
        <v>27.61</v>
      </c>
      <c r="C1804" s="9">
        <v>4.6</v>
      </c>
      <c r="D1804" s="9" t="s">
        <v>4684</v>
      </c>
      <c r="E1804" s="9" t="s">
        <v>4684</v>
      </c>
      <c r="F1804" s="9" t="s">
        <v>4684</v>
      </c>
      <c r="G1804" s="9">
        <v>1.0</v>
      </c>
      <c r="H1804" s="9" t="s">
        <v>4684</v>
      </c>
      <c r="I1804" s="9" t="str">
        <f t="shared" si="1"/>
        <v>No</v>
      </c>
      <c r="J1804" s="9">
        <f t="shared" si="2"/>
        <v>1</v>
      </c>
      <c r="K1804" s="9" t="str">
        <f t="shared" si="3"/>
        <v>OVERWEIGHT</v>
      </c>
    </row>
    <row r="1805" ht="15.75" customHeight="1">
      <c r="A1805" s="9" t="s">
        <v>3609</v>
      </c>
      <c r="B1805" s="9">
        <v>27.1</v>
      </c>
      <c r="C1805" s="9">
        <v>5.08</v>
      </c>
      <c r="D1805" s="9" t="s">
        <v>4684</v>
      </c>
      <c r="E1805" s="9" t="s">
        <v>4684</v>
      </c>
      <c r="F1805" s="9" t="s">
        <v>4684</v>
      </c>
      <c r="G1805" s="9">
        <v>1.0</v>
      </c>
      <c r="H1805" s="9" t="s">
        <v>4684</v>
      </c>
      <c r="I1805" s="9" t="str">
        <f t="shared" si="1"/>
        <v>No</v>
      </c>
      <c r="J1805" s="9">
        <f t="shared" si="2"/>
        <v>1</v>
      </c>
      <c r="K1805" s="9" t="str">
        <f t="shared" si="3"/>
        <v>OVERWEIGHT</v>
      </c>
    </row>
    <row r="1806" ht="15.75" customHeight="1">
      <c r="A1806" s="9" t="s">
        <v>3611</v>
      </c>
      <c r="B1806" s="9">
        <v>35.93</v>
      </c>
      <c r="C1806" s="9">
        <v>5.43</v>
      </c>
      <c r="D1806" s="9" t="s">
        <v>4684</v>
      </c>
      <c r="E1806" s="9" t="s">
        <v>4686</v>
      </c>
      <c r="F1806" s="9" t="s">
        <v>4684</v>
      </c>
      <c r="G1806" s="9">
        <v>1.0</v>
      </c>
      <c r="H1806" s="9" t="s">
        <v>4684</v>
      </c>
      <c r="I1806" s="9" t="str">
        <f t="shared" si="1"/>
        <v>No</v>
      </c>
      <c r="J1806" s="9">
        <f t="shared" si="2"/>
        <v>1</v>
      </c>
      <c r="K1806" s="9" t="str">
        <f t="shared" si="3"/>
        <v>OBESITY</v>
      </c>
    </row>
    <row r="1807" ht="15.75" customHeight="1">
      <c r="A1807" s="9" t="s">
        <v>3613</v>
      </c>
      <c r="B1807" s="9">
        <v>32.68</v>
      </c>
      <c r="C1807" s="9">
        <v>5.44</v>
      </c>
      <c r="D1807" s="9" t="s">
        <v>4684</v>
      </c>
      <c r="E1807" s="9" t="s">
        <v>4684</v>
      </c>
      <c r="F1807" s="9" t="s">
        <v>4684</v>
      </c>
      <c r="G1807" s="9" t="s">
        <v>4685</v>
      </c>
      <c r="H1807" s="9" t="s">
        <v>4684</v>
      </c>
      <c r="I1807" s="9" t="str">
        <f t="shared" si="1"/>
        <v>No</v>
      </c>
      <c r="J1807" s="9">
        <f t="shared" si="2"/>
        <v>0</v>
      </c>
      <c r="K1807" s="9" t="str">
        <f t="shared" si="3"/>
        <v>OBESITY</v>
      </c>
    </row>
    <row r="1808" ht="15.75" customHeight="1">
      <c r="A1808" s="9" t="s">
        <v>3615</v>
      </c>
      <c r="B1808" s="9">
        <v>20.74</v>
      </c>
      <c r="C1808" s="9">
        <v>11.69</v>
      </c>
      <c r="D1808" s="9" t="s">
        <v>4686</v>
      </c>
      <c r="E1808" s="9" t="s">
        <v>4684</v>
      </c>
      <c r="F1808" s="9" t="s">
        <v>4684</v>
      </c>
      <c r="G1808" s="9">
        <v>1.0</v>
      </c>
      <c r="H1808" s="9" t="s">
        <v>4684</v>
      </c>
      <c r="I1808" s="9" t="str">
        <f t="shared" si="1"/>
        <v>No</v>
      </c>
      <c r="J1808" s="9">
        <f t="shared" si="2"/>
        <v>1</v>
      </c>
      <c r="K1808" s="9" t="str">
        <f t="shared" si="3"/>
        <v>NORMAL WEIGHT</v>
      </c>
    </row>
    <row r="1809" ht="15.75" customHeight="1">
      <c r="A1809" s="9" t="s">
        <v>3617</v>
      </c>
      <c r="B1809" s="9">
        <v>15.57</v>
      </c>
      <c r="C1809" s="9">
        <v>6.07</v>
      </c>
      <c r="D1809" s="9" t="s">
        <v>4684</v>
      </c>
      <c r="E1809" s="9" t="s">
        <v>4684</v>
      </c>
      <c r="F1809" s="9" t="s">
        <v>4684</v>
      </c>
      <c r="G1809" s="9" t="s">
        <v>4685</v>
      </c>
      <c r="H1809" s="9" t="s">
        <v>4684</v>
      </c>
      <c r="I1809" s="9" t="str">
        <f t="shared" si="1"/>
        <v>No</v>
      </c>
      <c r="J1809" s="9">
        <f t="shared" si="2"/>
        <v>0</v>
      </c>
      <c r="K1809" s="9" t="str">
        <f t="shared" si="3"/>
        <v>UNDERWEIGHT</v>
      </c>
    </row>
    <row r="1810" ht="15.75" customHeight="1">
      <c r="A1810" s="9" t="s">
        <v>3619</v>
      </c>
      <c r="B1810" s="9">
        <v>23.845</v>
      </c>
      <c r="C1810" s="9">
        <v>4.36</v>
      </c>
      <c r="D1810" s="9" t="s">
        <v>4684</v>
      </c>
      <c r="E1810" s="9" t="s">
        <v>4684</v>
      </c>
      <c r="F1810" s="9" t="s">
        <v>4684</v>
      </c>
      <c r="G1810" s="9" t="s">
        <v>4685</v>
      </c>
      <c r="H1810" s="9" t="s">
        <v>4684</v>
      </c>
      <c r="I1810" s="9" t="str">
        <f t="shared" si="1"/>
        <v>No</v>
      </c>
      <c r="J1810" s="9">
        <f t="shared" si="2"/>
        <v>0</v>
      </c>
      <c r="K1810" s="9" t="str">
        <f t="shared" si="3"/>
        <v>NORMAL WEIGHT</v>
      </c>
    </row>
    <row r="1811" ht="15.75" customHeight="1">
      <c r="A1811" s="9" t="s">
        <v>3621</v>
      </c>
      <c r="B1811" s="9">
        <v>22.895</v>
      </c>
      <c r="C1811" s="9">
        <v>5.24</v>
      </c>
      <c r="D1811" s="9" t="s">
        <v>4684</v>
      </c>
      <c r="E1811" s="9" t="s">
        <v>4684</v>
      </c>
      <c r="F1811" s="9" t="s">
        <v>4684</v>
      </c>
      <c r="G1811" s="9">
        <v>1.0</v>
      </c>
      <c r="H1811" s="9" t="s">
        <v>4684</v>
      </c>
      <c r="I1811" s="9" t="str">
        <f t="shared" si="1"/>
        <v>No</v>
      </c>
      <c r="J1811" s="9">
        <f t="shared" si="2"/>
        <v>1</v>
      </c>
      <c r="K1811" s="9" t="str">
        <f t="shared" si="3"/>
        <v>NORMAL WEIGHT</v>
      </c>
    </row>
    <row r="1812" ht="15.75" customHeight="1">
      <c r="A1812" s="9" t="s">
        <v>3623</v>
      </c>
      <c r="B1812" s="9">
        <v>21.945</v>
      </c>
      <c r="C1812" s="9">
        <v>5.37</v>
      </c>
      <c r="D1812" s="9" t="s">
        <v>4684</v>
      </c>
      <c r="E1812" s="9" t="s">
        <v>4684</v>
      </c>
      <c r="F1812" s="9" t="s">
        <v>4684</v>
      </c>
      <c r="G1812" s="9">
        <v>1.0</v>
      </c>
      <c r="H1812" s="9" t="s">
        <v>4684</v>
      </c>
      <c r="I1812" s="9" t="str">
        <f t="shared" si="1"/>
        <v>No</v>
      </c>
      <c r="J1812" s="9">
        <f t="shared" si="2"/>
        <v>1</v>
      </c>
      <c r="K1812" s="9" t="str">
        <f t="shared" si="3"/>
        <v>NORMAL WEIGHT</v>
      </c>
    </row>
    <row r="1813" ht="15.75" customHeight="1">
      <c r="A1813" s="9" t="s">
        <v>3625</v>
      </c>
      <c r="B1813" s="9">
        <v>19.47</v>
      </c>
      <c r="C1813" s="9">
        <v>6.6</v>
      </c>
      <c r="D1813" s="9" t="s">
        <v>4686</v>
      </c>
      <c r="E1813" s="9" t="s">
        <v>4684</v>
      </c>
      <c r="F1813" s="9" t="s">
        <v>4684</v>
      </c>
      <c r="G1813" s="9" t="s">
        <v>4685</v>
      </c>
      <c r="H1813" s="9" t="s">
        <v>4684</v>
      </c>
      <c r="I1813" s="9" t="str">
        <f t="shared" si="1"/>
        <v>No</v>
      </c>
      <c r="J1813" s="9">
        <f t="shared" si="2"/>
        <v>0</v>
      </c>
      <c r="K1813" s="9" t="str">
        <f t="shared" si="3"/>
        <v>NORMAL WEIGHT</v>
      </c>
    </row>
    <row r="1814" ht="15.75" customHeight="1">
      <c r="A1814" s="9" t="s">
        <v>3627</v>
      </c>
      <c r="B1814" s="9">
        <v>15.61</v>
      </c>
      <c r="C1814" s="9">
        <v>5.77</v>
      </c>
      <c r="D1814" s="9" t="s">
        <v>4684</v>
      </c>
      <c r="E1814" s="9" t="s">
        <v>4684</v>
      </c>
      <c r="F1814" s="9" t="s">
        <v>4684</v>
      </c>
      <c r="G1814" s="9" t="s">
        <v>4685</v>
      </c>
      <c r="H1814" s="9" t="s">
        <v>4684</v>
      </c>
      <c r="I1814" s="9" t="str">
        <f t="shared" si="1"/>
        <v>No</v>
      </c>
      <c r="J1814" s="9">
        <f t="shared" si="2"/>
        <v>0</v>
      </c>
      <c r="K1814" s="9" t="str">
        <f t="shared" si="3"/>
        <v>UNDERWEIGHT</v>
      </c>
    </row>
    <row r="1815" ht="15.75" customHeight="1">
      <c r="A1815" s="9" t="s">
        <v>3629</v>
      </c>
      <c r="B1815" s="9">
        <v>28.6</v>
      </c>
      <c r="C1815" s="9">
        <v>6.08</v>
      </c>
      <c r="D1815" s="9" t="s">
        <v>4684</v>
      </c>
      <c r="E1815" s="9" t="s">
        <v>4684</v>
      </c>
      <c r="F1815" s="9" t="s">
        <v>4686</v>
      </c>
      <c r="G1815" s="9">
        <v>1.0</v>
      </c>
      <c r="H1815" s="9" t="s">
        <v>4684</v>
      </c>
      <c r="I1815" s="9" t="str">
        <f t="shared" si="1"/>
        <v>No</v>
      </c>
      <c r="J1815" s="9">
        <f t="shared" si="2"/>
        <v>1</v>
      </c>
      <c r="K1815" s="9" t="str">
        <f t="shared" si="3"/>
        <v>OVERWEIGHT</v>
      </c>
    </row>
    <row r="1816" ht="15.75" customHeight="1">
      <c r="A1816" s="9" t="s">
        <v>3631</v>
      </c>
      <c r="B1816" s="9">
        <v>46.53</v>
      </c>
      <c r="C1816" s="9">
        <v>4.16</v>
      </c>
      <c r="D1816" s="9" t="s">
        <v>4684</v>
      </c>
      <c r="E1816" s="9" t="s">
        <v>4684</v>
      </c>
      <c r="F1816" s="9" t="s">
        <v>4684</v>
      </c>
      <c r="G1816" s="9" t="s">
        <v>4685</v>
      </c>
      <c r="H1816" s="9" t="s">
        <v>4684</v>
      </c>
      <c r="I1816" s="9" t="str">
        <f t="shared" si="1"/>
        <v>No</v>
      </c>
      <c r="J1816" s="9">
        <f t="shared" si="2"/>
        <v>0</v>
      </c>
      <c r="K1816" s="9" t="str">
        <f t="shared" si="3"/>
        <v>OBESITY</v>
      </c>
    </row>
    <row r="1817" ht="15.75" customHeight="1">
      <c r="A1817" s="9" t="s">
        <v>3633</v>
      </c>
      <c r="B1817" s="9">
        <v>34.99</v>
      </c>
      <c r="C1817" s="9">
        <v>5.1</v>
      </c>
      <c r="D1817" s="9" t="s">
        <v>4684</v>
      </c>
      <c r="E1817" s="9" t="s">
        <v>4684</v>
      </c>
      <c r="F1817" s="9" t="s">
        <v>4686</v>
      </c>
      <c r="G1817" s="9">
        <v>1.0</v>
      </c>
      <c r="H1817" s="9" t="s">
        <v>4684</v>
      </c>
      <c r="I1817" s="9" t="str">
        <f t="shared" si="1"/>
        <v>No</v>
      </c>
      <c r="J1817" s="9">
        <f t="shared" si="2"/>
        <v>1</v>
      </c>
      <c r="K1817" s="9" t="str">
        <f t="shared" si="3"/>
        <v>OBESITY</v>
      </c>
    </row>
    <row r="1818" ht="15.75" customHeight="1">
      <c r="A1818" s="9" t="s">
        <v>3635</v>
      </c>
      <c r="B1818" s="9">
        <v>17.05</v>
      </c>
      <c r="C1818" s="9">
        <v>5.3</v>
      </c>
      <c r="D1818" s="9" t="s">
        <v>4684</v>
      </c>
      <c r="E1818" s="9" t="s">
        <v>4684</v>
      </c>
      <c r="F1818" s="9" t="s">
        <v>4686</v>
      </c>
      <c r="G1818" s="9">
        <v>1.0</v>
      </c>
      <c r="H1818" s="9" t="s">
        <v>4684</v>
      </c>
      <c r="I1818" s="9" t="str">
        <f t="shared" si="1"/>
        <v>No</v>
      </c>
      <c r="J1818" s="9">
        <f t="shared" si="2"/>
        <v>1</v>
      </c>
      <c r="K1818" s="9" t="str">
        <f t="shared" si="3"/>
        <v>UNDERWEIGHT</v>
      </c>
    </row>
    <row r="1819" ht="15.75" customHeight="1">
      <c r="A1819" s="9" t="s">
        <v>3637</v>
      </c>
      <c r="B1819" s="9">
        <v>37.18</v>
      </c>
      <c r="C1819" s="9">
        <v>4.9</v>
      </c>
      <c r="D1819" s="9" t="s">
        <v>4684</v>
      </c>
      <c r="E1819" s="9" t="s">
        <v>4684</v>
      </c>
      <c r="F1819" s="9" t="s">
        <v>4684</v>
      </c>
      <c r="G1819" s="9" t="s">
        <v>4685</v>
      </c>
      <c r="H1819" s="9" t="s">
        <v>4684</v>
      </c>
      <c r="I1819" s="9" t="str">
        <f t="shared" si="1"/>
        <v>No</v>
      </c>
      <c r="J1819" s="9">
        <f t="shared" si="2"/>
        <v>0</v>
      </c>
      <c r="K1819" s="9" t="str">
        <f t="shared" si="3"/>
        <v>OBESITY</v>
      </c>
    </row>
    <row r="1820" ht="15.75" customHeight="1">
      <c r="A1820" s="9" t="s">
        <v>3639</v>
      </c>
      <c r="B1820" s="9">
        <v>35.2</v>
      </c>
      <c r="C1820" s="9">
        <v>5.55</v>
      </c>
      <c r="D1820" s="9" t="s">
        <v>4684</v>
      </c>
      <c r="E1820" s="9" t="s">
        <v>4684</v>
      </c>
      <c r="F1820" s="9" t="s">
        <v>4684</v>
      </c>
      <c r="G1820" s="9" t="s">
        <v>4685</v>
      </c>
      <c r="H1820" s="9" t="s">
        <v>4684</v>
      </c>
      <c r="I1820" s="9" t="str">
        <f t="shared" si="1"/>
        <v>No</v>
      </c>
      <c r="J1820" s="9">
        <f t="shared" si="2"/>
        <v>0</v>
      </c>
      <c r="K1820" s="9" t="str">
        <f t="shared" si="3"/>
        <v>OBESITY</v>
      </c>
    </row>
    <row r="1821" ht="15.75" customHeight="1">
      <c r="A1821" s="9" t="s">
        <v>3641</v>
      </c>
      <c r="B1821" s="9">
        <v>37.335</v>
      </c>
      <c r="C1821" s="9">
        <v>4.95</v>
      </c>
      <c r="D1821" s="9" t="s">
        <v>4684</v>
      </c>
      <c r="E1821" s="9" t="s">
        <v>4684</v>
      </c>
      <c r="F1821" s="9" t="s">
        <v>4684</v>
      </c>
      <c r="G1821" s="9" t="s">
        <v>4685</v>
      </c>
      <c r="H1821" s="9" t="s">
        <v>4684</v>
      </c>
      <c r="I1821" s="9" t="str">
        <f t="shared" si="1"/>
        <v>No</v>
      </c>
      <c r="J1821" s="9">
        <f t="shared" si="2"/>
        <v>0</v>
      </c>
      <c r="K1821" s="9" t="str">
        <f t="shared" si="3"/>
        <v>OBESITY</v>
      </c>
    </row>
    <row r="1822" ht="15.75" customHeight="1">
      <c r="A1822" s="9" t="s">
        <v>3643</v>
      </c>
      <c r="B1822" s="9">
        <v>27.265</v>
      </c>
      <c r="C1822" s="9">
        <v>6.46</v>
      </c>
      <c r="D1822" s="9" t="s">
        <v>4686</v>
      </c>
      <c r="E1822" s="9" t="s">
        <v>4684</v>
      </c>
      <c r="F1822" s="9" t="s">
        <v>4684</v>
      </c>
      <c r="G1822" s="9" t="s">
        <v>4685</v>
      </c>
      <c r="H1822" s="9" t="s">
        <v>4684</v>
      </c>
      <c r="I1822" s="9" t="str">
        <f t="shared" si="1"/>
        <v>No</v>
      </c>
      <c r="J1822" s="9">
        <f t="shared" si="2"/>
        <v>0</v>
      </c>
      <c r="K1822" s="9" t="str">
        <f t="shared" si="3"/>
        <v>OVERWEIGHT</v>
      </c>
    </row>
    <row r="1823" ht="15.75" customHeight="1">
      <c r="A1823" s="9" t="s">
        <v>3645</v>
      </c>
      <c r="B1823" s="9">
        <v>30.8</v>
      </c>
      <c r="C1823" s="9">
        <v>4.9</v>
      </c>
      <c r="D1823" s="9" t="s">
        <v>4686</v>
      </c>
      <c r="E1823" s="9" t="s">
        <v>4684</v>
      </c>
      <c r="F1823" s="9" t="s">
        <v>4684</v>
      </c>
      <c r="G1823" s="9" t="s">
        <v>4685</v>
      </c>
      <c r="H1823" s="9" t="s">
        <v>4684</v>
      </c>
      <c r="I1823" s="9" t="str">
        <f t="shared" si="1"/>
        <v>No</v>
      </c>
      <c r="J1823" s="9">
        <f t="shared" si="2"/>
        <v>0</v>
      </c>
      <c r="K1823" s="9" t="str">
        <f t="shared" si="3"/>
        <v>OBESITY</v>
      </c>
    </row>
    <row r="1824" ht="15.75" customHeight="1">
      <c r="A1824" s="9" t="s">
        <v>3647</v>
      </c>
      <c r="B1824" s="9">
        <v>30.21</v>
      </c>
      <c r="C1824" s="9">
        <v>5.21</v>
      </c>
      <c r="D1824" s="9" t="s">
        <v>4684</v>
      </c>
      <c r="E1824" s="9" t="s">
        <v>4684</v>
      </c>
      <c r="F1824" s="9" t="s">
        <v>4684</v>
      </c>
      <c r="G1824" s="9">
        <v>1.0</v>
      </c>
      <c r="H1824" s="9" t="s">
        <v>4684</v>
      </c>
      <c r="I1824" s="9" t="str">
        <f t="shared" si="1"/>
        <v>No</v>
      </c>
      <c r="J1824" s="9">
        <f t="shared" si="2"/>
        <v>1</v>
      </c>
      <c r="K1824" s="9" t="str">
        <f t="shared" si="3"/>
        <v>OBESITY</v>
      </c>
    </row>
    <row r="1825" ht="15.75" customHeight="1">
      <c r="A1825" s="9" t="s">
        <v>3649</v>
      </c>
      <c r="B1825" s="9">
        <v>35.34</v>
      </c>
      <c r="C1825" s="9">
        <v>4.13</v>
      </c>
      <c r="D1825" s="9" t="s">
        <v>4684</v>
      </c>
      <c r="E1825" s="9" t="s">
        <v>4686</v>
      </c>
      <c r="F1825" s="9" t="s">
        <v>4684</v>
      </c>
      <c r="G1825" s="9">
        <v>1.0</v>
      </c>
      <c r="H1825" s="9" t="s">
        <v>4684</v>
      </c>
      <c r="I1825" s="9" t="str">
        <f t="shared" si="1"/>
        <v>No</v>
      </c>
      <c r="J1825" s="9">
        <f t="shared" si="2"/>
        <v>1</v>
      </c>
      <c r="K1825" s="9" t="str">
        <f t="shared" si="3"/>
        <v>OBESITY</v>
      </c>
    </row>
    <row r="1826" ht="15.75" customHeight="1">
      <c r="A1826" s="9" t="s">
        <v>3651</v>
      </c>
      <c r="B1826" s="9">
        <v>26.695</v>
      </c>
      <c r="C1826" s="9">
        <v>5.28</v>
      </c>
      <c r="D1826" s="9" t="s">
        <v>4684</v>
      </c>
      <c r="E1826" s="9" t="s">
        <v>4684</v>
      </c>
      <c r="F1826" s="9" t="s">
        <v>4684</v>
      </c>
      <c r="G1826" s="9" t="s">
        <v>4685</v>
      </c>
      <c r="H1826" s="9" t="s">
        <v>4684</v>
      </c>
      <c r="I1826" s="9" t="str">
        <f t="shared" si="1"/>
        <v>No</v>
      </c>
      <c r="J1826" s="9">
        <f t="shared" si="2"/>
        <v>0</v>
      </c>
      <c r="K1826" s="9" t="str">
        <f t="shared" si="3"/>
        <v>OVERWEIGHT</v>
      </c>
    </row>
    <row r="1827" ht="15.75" customHeight="1">
      <c r="A1827" s="9" t="s">
        <v>3653</v>
      </c>
      <c r="B1827" s="9">
        <v>29.355</v>
      </c>
      <c r="C1827" s="9">
        <v>4.68</v>
      </c>
      <c r="D1827" s="9" t="s">
        <v>4686</v>
      </c>
      <c r="E1827" s="9" t="s">
        <v>4684</v>
      </c>
      <c r="F1827" s="9" t="s">
        <v>4684</v>
      </c>
      <c r="G1827" s="9" t="s">
        <v>4685</v>
      </c>
      <c r="H1827" s="9" t="s">
        <v>4684</v>
      </c>
      <c r="I1827" s="9" t="str">
        <f t="shared" si="1"/>
        <v>No</v>
      </c>
      <c r="J1827" s="9">
        <f t="shared" si="2"/>
        <v>0</v>
      </c>
      <c r="K1827" s="9" t="str">
        <f t="shared" si="3"/>
        <v>OVERWEIGHT</v>
      </c>
    </row>
    <row r="1828" ht="15.75" customHeight="1">
      <c r="A1828" s="9" t="s">
        <v>3655</v>
      </c>
      <c r="B1828" s="9">
        <v>29.59</v>
      </c>
      <c r="C1828" s="9">
        <v>4.06</v>
      </c>
      <c r="D1828" s="9" t="s">
        <v>4684</v>
      </c>
      <c r="E1828" s="9" t="s">
        <v>4684</v>
      </c>
      <c r="F1828" s="9" t="s">
        <v>4684</v>
      </c>
      <c r="G1828" s="9" t="s">
        <v>4685</v>
      </c>
      <c r="H1828" s="9" t="s">
        <v>4684</v>
      </c>
      <c r="I1828" s="9" t="str">
        <f t="shared" si="1"/>
        <v>No</v>
      </c>
      <c r="J1828" s="9">
        <f t="shared" si="2"/>
        <v>0</v>
      </c>
      <c r="K1828" s="9" t="str">
        <f t="shared" si="3"/>
        <v>OVERWEIGHT</v>
      </c>
    </row>
    <row r="1829" ht="15.75" customHeight="1">
      <c r="A1829" s="9" t="s">
        <v>3657</v>
      </c>
      <c r="B1829" s="9">
        <v>31.35</v>
      </c>
      <c r="C1829" s="9">
        <v>4.2</v>
      </c>
      <c r="D1829" s="9" t="s">
        <v>4684</v>
      </c>
      <c r="E1829" s="9" t="s">
        <v>4686</v>
      </c>
      <c r="F1829" s="9" t="s">
        <v>4684</v>
      </c>
      <c r="G1829" s="9">
        <v>1.0</v>
      </c>
      <c r="H1829" s="9" t="s">
        <v>4684</v>
      </c>
      <c r="I1829" s="9" t="str">
        <f t="shared" si="1"/>
        <v>No</v>
      </c>
      <c r="J1829" s="9">
        <f t="shared" si="2"/>
        <v>1</v>
      </c>
      <c r="K1829" s="9" t="str">
        <f t="shared" si="3"/>
        <v>OBESITY</v>
      </c>
    </row>
    <row r="1830" ht="15.75" customHeight="1">
      <c r="A1830" s="9" t="s">
        <v>3659</v>
      </c>
      <c r="B1830" s="9">
        <v>20.52</v>
      </c>
      <c r="C1830" s="9">
        <v>4.83</v>
      </c>
      <c r="D1830" s="9" t="s">
        <v>4684</v>
      </c>
      <c r="E1830" s="9" t="s">
        <v>4684</v>
      </c>
      <c r="F1830" s="9" t="s">
        <v>4684</v>
      </c>
      <c r="G1830" s="9" t="s">
        <v>4685</v>
      </c>
      <c r="H1830" s="9" t="s">
        <v>4684</v>
      </c>
      <c r="I1830" s="9" t="str">
        <f t="shared" si="1"/>
        <v>No</v>
      </c>
      <c r="J1830" s="9">
        <f t="shared" si="2"/>
        <v>0</v>
      </c>
      <c r="K1830" s="9" t="str">
        <f t="shared" si="3"/>
        <v>NORMAL WEIGHT</v>
      </c>
    </row>
    <row r="1831" ht="15.75" customHeight="1">
      <c r="A1831" s="9" t="s">
        <v>3661</v>
      </c>
      <c r="B1831" s="9">
        <v>42.9</v>
      </c>
      <c r="C1831" s="9">
        <v>4.87</v>
      </c>
      <c r="D1831" s="9" t="s">
        <v>4686</v>
      </c>
      <c r="E1831" s="9" t="s">
        <v>4684</v>
      </c>
      <c r="F1831" s="9" t="s">
        <v>4684</v>
      </c>
      <c r="G1831" s="9">
        <v>1.0</v>
      </c>
      <c r="H1831" s="9" t="s">
        <v>4684</v>
      </c>
      <c r="I1831" s="9" t="str">
        <f t="shared" si="1"/>
        <v>No</v>
      </c>
      <c r="J1831" s="9">
        <f t="shared" si="2"/>
        <v>1</v>
      </c>
      <c r="K1831" s="9" t="str">
        <f t="shared" si="3"/>
        <v>OBESITY</v>
      </c>
    </row>
    <row r="1832" ht="15.75" customHeight="1">
      <c r="A1832" s="9" t="s">
        <v>3663</v>
      </c>
      <c r="B1832" s="9">
        <v>24.6</v>
      </c>
      <c r="C1832" s="9">
        <v>5.86</v>
      </c>
      <c r="D1832" s="9" t="s">
        <v>4684</v>
      </c>
      <c r="E1832" s="9" t="s">
        <v>4684</v>
      </c>
      <c r="F1832" s="9" t="s">
        <v>4686</v>
      </c>
      <c r="G1832" s="9">
        <v>1.0</v>
      </c>
      <c r="H1832" s="9" t="s">
        <v>4684</v>
      </c>
      <c r="I1832" s="9" t="str">
        <f t="shared" si="1"/>
        <v>No</v>
      </c>
      <c r="J1832" s="9">
        <f t="shared" si="2"/>
        <v>1</v>
      </c>
      <c r="K1832" s="9" t="str">
        <f t="shared" si="3"/>
        <v>NORMAL WEIGHT</v>
      </c>
    </row>
    <row r="1833" ht="15.75" customHeight="1">
      <c r="A1833" s="9" t="s">
        <v>3665</v>
      </c>
      <c r="B1833" s="9">
        <v>28.405</v>
      </c>
      <c r="C1833" s="9">
        <v>4.12</v>
      </c>
      <c r="D1833" s="9" t="s">
        <v>4684</v>
      </c>
      <c r="E1833" s="9" t="s">
        <v>4684</v>
      </c>
      <c r="F1833" s="9" t="s">
        <v>4684</v>
      </c>
      <c r="G1833" s="9">
        <v>1.0</v>
      </c>
      <c r="H1833" s="9" t="s">
        <v>4684</v>
      </c>
      <c r="I1833" s="9" t="str">
        <f t="shared" si="1"/>
        <v>No</v>
      </c>
      <c r="J1833" s="9">
        <f t="shared" si="2"/>
        <v>1</v>
      </c>
      <c r="K1833" s="9" t="str">
        <f t="shared" si="3"/>
        <v>OVERWEIGHT</v>
      </c>
    </row>
    <row r="1834" ht="15.75" customHeight="1">
      <c r="A1834" s="9" t="s">
        <v>3667</v>
      </c>
      <c r="B1834" s="9">
        <v>34.675</v>
      </c>
      <c r="C1834" s="9">
        <v>5.71</v>
      </c>
      <c r="D1834" s="9" t="s">
        <v>4686</v>
      </c>
      <c r="E1834" s="9" t="s">
        <v>4684</v>
      </c>
      <c r="F1834" s="9" t="s">
        <v>4684</v>
      </c>
      <c r="G1834" s="9">
        <v>1.0</v>
      </c>
      <c r="H1834" s="9" t="s">
        <v>4684</v>
      </c>
      <c r="I1834" s="9" t="str">
        <f t="shared" si="1"/>
        <v>No</v>
      </c>
      <c r="J1834" s="9">
        <f t="shared" si="2"/>
        <v>1</v>
      </c>
      <c r="K1834" s="9" t="str">
        <f t="shared" si="3"/>
        <v>OBESITY</v>
      </c>
    </row>
    <row r="1835" ht="15.75" customHeight="1">
      <c r="A1835" s="9" t="s">
        <v>3669</v>
      </c>
      <c r="B1835" s="9">
        <v>18.85</v>
      </c>
      <c r="C1835" s="9">
        <v>6.03</v>
      </c>
      <c r="D1835" s="9" t="s">
        <v>4684</v>
      </c>
      <c r="E1835" s="9" t="s">
        <v>4684</v>
      </c>
      <c r="F1835" s="9" t="s">
        <v>4684</v>
      </c>
      <c r="G1835" s="9">
        <v>1.0</v>
      </c>
      <c r="H1835" s="9" t="s">
        <v>4684</v>
      </c>
      <c r="I1835" s="9" t="str">
        <f t="shared" si="1"/>
        <v>No</v>
      </c>
      <c r="J1835" s="9">
        <f t="shared" si="2"/>
        <v>1</v>
      </c>
      <c r="K1835" s="9" t="str">
        <f t="shared" si="3"/>
        <v>NORMAL WEIGHT</v>
      </c>
    </row>
    <row r="1836" ht="15.75" customHeight="1">
      <c r="A1836" s="9" t="s">
        <v>3671</v>
      </c>
      <c r="B1836" s="9">
        <v>34.13</v>
      </c>
      <c r="C1836" s="9">
        <v>5.65</v>
      </c>
      <c r="D1836" s="9" t="s">
        <v>4684</v>
      </c>
      <c r="E1836" s="9" t="s">
        <v>4684</v>
      </c>
      <c r="F1836" s="9" t="s">
        <v>4686</v>
      </c>
      <c r="G1836" s="9">
        <v>1.0</v>
      </c>
      <c r="H1836" s="9" t="s">
        <v>4684</v>
      </c>
      <c r="I1836" s="9" t="str">
        <f t="shared" si="1"/>
        <v>No</v>
      </c>
      <c r="J1836" s="9">
        <f t="shared" si="2"/>
        <v>1</v>
      </c>
      <c r="K1836" s="9" t="str">
        <f t="shared" si="3"/>
        <v>OBESITY</v>
      </c>
    </row>
    <row r="1837" ht="15.75" customHeight="1">
      <c r="A1837" s="9" t="s">
        <v>3673</v>
      </c>
      <c r="B1837" s="9">
        <v>17.34</v>
      </c>
      <c r="C1837" s="9">
        <v>5.05</v>
      </c>
      <c r="D1837" s="9" t="s">
        <v>4684</v>
      </c>
      <c r="E1837" s="9" t="s">
        <v>4684</v>
      </c>
      <c r="F1837" s="9" t="s">
        <v>4684</v>
      </c>
      <c r="G1837" s="9" t="s">
        <v>4685</v>
      </c>
      <c r="H1837" s="9" t="s">
        <v>4684</v>
      </c>
      <c r="I1837" s="9" t="str">
        <f t="shared" si="1"/>
        <v>No</v>
      </c>
      <c r="J1837" s="9">
        <f t="shared" si="2"/>
        <v>0</v>
      </c>
      <c r="K1837" s="9" t="str">
        <f t="shared" si="3"/>
        <v>UNDERWEIGHT</v>
      </c>
    </row>
    <row r="1838" ht="15.75" customHeight="1">
      <c r="A1838" s="9" t="s">
        <v>3675</v>
      </c>
      <c r="B1838" s="9">
        <v>17.44</v>
      </c>
      <c r="C1838" s="9">
        <v>6.26</v>
      </c>
      <c r="D1838" s="9" t="s">
        <v>4684</v>
      </c>
      <c r="E1838" s="9" t="s">
        <v>4684</v>
      </c>
      <c r="F1838" s="9" t="s">
        <v>4684</v>
      </c>
      <c r="G1838" s="9" t="s">
        <v>4685</v>
      </c>
      <c r="H1838" s="9" t="s">
        <v>4684</v>
      </c>
      <c r="I1838" s="9" t="str">
        <f t="shared" si="1"/>
        <v>No</v>
      </c>
      <c r="J1838" s="9">
        <f t="shared" si="2"/>
        <v>0</v>
      </c>
      <c r="K1838" s="9" t="str">
        <f t="shared" si="3"/>
        <v>UNDERWEIGHT</v>
      </c>
    </row>
    <row r="1839" ht="15.75" customHeight="1">
      <c r="A1839" s="9" t="s">
        <v>3677</v>
      </c>
      <c r="B1839" s="9">
        <v>33.66</v>
      </c>
      <c r="C1839" s="9">
        <v>4.08</v>
      </c>
      <c r="D1839" s="9" t="s">
        <v>4686</v>
      </c>
      <c r="E1839" s="9" t="s">
        <v>4684</v>
      </c>
      <c r="F1839" s="9" t="s">
        <v>4686</v>
      </c>
      <c r="G1839" s="9">
        <v>1.0</v>
      </c>
      <c r="H1839" s="9" t="s">
        <v>4684</v>
      </c>
      <c r="I1839" s="9" t="str">
        <f t="shared" si="1"/>
        <v>No</v>
      </c>
      <c r="J1839" s="9">
        <f t="shared" si="2"/>
        <v>1</v>
      </c>
      <c r="K1839" s="9" t="str">
        <f t="shared" si="3"/>
        <v>OBESITY</v>
      </c>
    </row>
    <row r="1840" ht="15.75" customHeight="1">
      <c r="A1840" s="9" t="s">
        <v>3679</v>
      </c>
      <c r="B1840" s="9">
        <v>21.375</v>
      </c>
      <c r="C1840" s="9">
        <v>6.19</v>
      </c>
      <c r="D1840" s="9" t="s">
        <v>4686</v>
      </c>
      <c r="E1840" s="9" t="s">
        <v>4684</v>
      </c>
      <c r="F1840" s="9" t="s">
        <v>4684</v>
      </c>
      <c r="G1840" s="9">
        <v>1.0</v>
      </c>
      <c r="H1840" s="9" t="s">
        <v>4684</v>
      </c>
      <c r="I1840" s="9" t="str">
        <f t="shared" si="1"/>
        <v>No</v>
      </c>
      <c r="J1840" s="9">
        <f t="shared" si="2"/>
        <v>1</v>
      </c>
      <c r="K1840" s="9" t="str">
        <f t="shared" si="3"/>
        <v>NORMAL WEIGHT</v>
      </c>
    </row>
    <row r="1841" ht="15.75" customHeight="1">
      <c r="A1841" s="9" t="s">
        <v>3681</v>
      </c>
      <c r="B1841" s="9">
        <v>27.14</v>
      </c>
      <c r="C1841" s="9">
        <v>6.01</v>
      </c>
      <c r="D1841" s="9" t="s">
        <v>4684</v>
      </c>
      <c r="E1841" s="9" t="s">
        <v>4684</v>
      </c>
      <c r="F1841" s="9" t="s">
        <v>4684</v>
      </c>
      <c r="G1841" s="9">
        <v>1.0</v>
      </c>
      <c r="H1841" s="9" t="s">
        <v>4684</v>
      </c>
      <c r="I1841" s="9" t="str">
        <f t="shared" si="1"/>
        <v>No</v>
      </c>
      <c r="J1841" s="9">
        <f t="shared" si="2"/>
        <v>1</v>
      </c>
      <c r="K1841" s="9" t="str">
        <f t="shared" si="3"/>
        <v>OVERWEIGHT</v>
      </c>
    </row>
    <row r="1842" ht="15.75" customHeight="1">
      <c r="A1842" s="9" t="s">
        <v>3683</v>
      </c>
      <c r="B1842" s="9">
        <v>35.78</v>
      </c>
      <c r="C1842" s="9">
        <v>6.07</v>
      </c>
      <c r="D1842" s="9" t="s">
        <v>4684</v>
      </c>
      <c r="E1842" s="9" t="s">
        <v>4686</v>
      </c>
      <c r="F1842" s="9" t="s">
        <v>4684</v>
      </c>
      <c r="G1842" s="9">
        <v>1.0</v>
      </c>
      <c r="H1842" s="9" t="s">
        <v>4684</v>
      </c>
      <c r="I1842" s="9" t="str">
        <f t="shared" si="1"/>
        <v>No</v>
      </c>
      <c r="J1842" s="9">
        <f t="shared" si="2"/>
        <v>1</v>
      </c>
      <c r="K1842" s="9" t="str">
        <f t="shared" si="3"/>
        <v>OBESITY</v>
      </c>
    </row>
    <row r="1843" ht="15.75" customHeight="1">
      <c r="A1843" s="9" t="s">
        <v>3685</v>
      </c>
      <c r="B1843" s="9">
        <v>34.96</v>
      </c>
      <c r="C1843" s="9">
        <v>5.63</v>
      </c>
      <c r="D1843" s="9" t="s">
        <v>4684</v>
      </c>
      <c r="E1843" s="9" t="s">
        <v>4684</v>
      </c>
      <c r="F1843" s="9" t="s">
        <v>4684</v>
      </c>
      <c r="G1843" s="9" t="s">
        <v>4685</v>
      </c>
      <c r="H1843" s="9" t="s">
        <v>4684</v>
      </c>
      <c r="I1843" s="9" t="str">
        <f t="shared" si="1"/>
        <v>No</v>
      </c>
      <c r="J1843" s="9">
        <f t="shared" si="2"/>
        <v>0</v>
      </c>
      <c r="K1843" s="9" t="str">
        <f t="shared" si="3"/>
        <v>OBESITY</v>
      </c>
    </row>
    <row r="1844" ht="15.75" customHeight="1">
      <c r="A1844" s="9" t="s">
        <v>3687</v>
      </c>
      <c r="B1844" s="9">
        <v>38.39</v>
      </c>
      <c r="C1844" s="9">
        <v>6.05</v>
      </c>
      <c r="D1844" s="9" t="s">
        <v>4684</v>
      </c>
      <c r="E1844" s="9" t="s">
        <v>4684</v>
      </c>
      <c r="F1844" s="9" t="s">
        <v>4684</v>
      </c>
      <c r="G1844" s="9" t="s">
        <v>4685</v>
      </c>
      <c r="H1844" s="9" t="s">
        <v>4684</v>
      </c>
      <c r="I1844" s="9" t="str">
        <f t="shared" si="1"/>
        <v>No</v>
      </c>
      <c r="J1844" s="9">
        <f t="shared" si="2"/>
        <v>0</v>
      </c>
      <c r="K1844" s="9" t="str">
        <f t="shared" si="3"/>
        <v>OBESITY</v>
      </c>
    </row>
    <row r="1845" ht="15.75" customHeight="1">
      <c r="A1845" s="9" t="s">
        <v>3689</v>
      </c>
      <c r="B1845" s="9">
        <v>33.82</v>
      </c>
      <c r="C1845" s="9">
        <v>4.65</v>
      </c>
      <c r="D1845" s="9" t="s">
        <v>4684</v>
      </c>
      <c r="E1845" s="9" t="s">
        <v>4684</v>
      </c>
      <c r="F1845" s="9" t="s">
        <v>4684</v>
      </c>
      <c r="G1845" s="9" t="s">
        <v>4685</v>
      </c>
      <c r="H1845" s="9" t="s">
        <v>4684</v>
      </c>
      <c r="I1845" s="9" t="str">
        <f t="shared" si="1"/>
        <v>No</v>
      </c>
      <c r="J1845" s="9">
        <f t="shared" si="2"/>
        <v>0</v>
      </c>
      <c r="K1845" s="9" t="str">
        <f t="shared" si="3"/>
        <v>OBESITY</v>
      </c>
    </row>
    <row r="1846" ht="15.75" customHeight="1">
      <c r="A1846" s="9" t="s">
        <v>3691</v>
      </c>
      <c r="B1846" s="9">
        <v>27.835</v>
      </c>
      <c r="C1846" s="9">
        <v>5.37</v>
      </c>
      <c r="D1846" s="9" t="s">
        <v>4684</v>
      </c>
      <c r="E1846" s="9" t="s">
        <v>4684</v>
      </c>
      <c r="F1846" s="9" t="s">
        <v>4684</v>
      </c>
      <c r="G1846" s="9" t="s">
        <v>4685</v>
      </c>
      <c r="H1846" s="9" t="s">
        <v>4684</v>
      </c>
      <c r="I1846" s="9" t="str">
        <f t="shared" si="1"/>
        <v>No</v>
      </c>
      <c r="J1846" s="9">
        <f t="shared" si="2"/>
        <v>0</v>
      </c>
      <c r="K1846" s="9" t="str">
        <f t="shared" si="3"/>
        <v>OVERWEIGHT</v>
      </c>
    </row>
    <row r="1847" ht="15.75" customHeight="1">
      <c r="A1847" s="9" t="s">
        <v>3693</v>
      </c>
      <c r="B1847" s="9">
        <v>33.0</v>
      </c>
      <c r="C1847" s="9">
        <v>5.39</v>
      </c>
      <c r="D1847" s="9" t="s">
        <v>4684</v>
      </c>
      <c r="E1847" s="9" t="s">
        <v>4684</v>
      </c>
      <c r="F1847" s="9" t="s">
        <v>4684</v>
      </c>
      <c r="G1847" s="9" t="s">
        <v>4685</v>
      </c>
      <c r="H1847" s="9" t="s">
        <v>4684</v>
      </c>
      <c r="I1847" s="9" t="str">
        <f t="shared" si="1"/>
        <v>No</v>
      </c>
      <c r="J1847" s="9">
        <f t="shared" si="2"/>
        <v>0</v>
      </c>
      <c r="K1847" s="9" t="str">
        <f t="shared" si="3"/>
        <v>OBESITY</v>
      </c>
    </row>
    <row r="1848" ht="15.75" customHeight="1">
      <c r="A1848" s="9" t="s">
        <v>3695</v>
      </c>
      <c r="B1848" s="9">
        <v>26.885</v>
      </c>
      <c r="C1848" s="9">
        <v>5.86</v>
      </c>
      <c r="D1848" s="9" t="s">
        <v>4684</v>
      </c>
      <c r="E1848" s="9" t="s">
        <v>4684</v>
      </c>
      <c r="F1848" s="9" t="s">
        <v>4684</v>
      </c>
      <c r="G1848" s="9" t="s">
        <v>4685</v>
      </c>
      <c r="H1848" s="9" t="s">
        <v>4684</v>
      </c>
      <c r="I1848" s="9" t="str">
        <f t="shared" si="1"/>
        <v>No</v>
      </c>
      <c r="J1848" s="9">
        <f t="shared" si="2"/>
        <v>0</v>
      </c>
      <c r="K1848" s="9" t="str">
        <f t="shared" si="3"/>
        <v>OVERWEIGHT</v>
      </c>
    </row>
    <row r="1849" ht="15.75" customHeight="1">
      <c r="A1849" s="9" t="s">
        <v>3697</v>
      </c>
      <c r="B1849" s="9">
        <v>29.26</v>
      </c>
      <c r="C1849" s="9">
        <v>4.44</v>
      </c>
      <c r="D1849" s="9" t="s">
        <v>4684</v>
      </c>
      <c r="E1849" s="9" t="s">
        <v>4684</v>
      </c>
      <c r="F1849" s="9" t="s">
        <v>4684</v>
      </c>
      <c r="G1849" s="9" t="s">
        <v>4685</v>
      </c>
      <c r="H1849" s="9" t="s">
        <v>4684</v>
      </c>
      <c r="I1849" s="9" t="str">
        <f t="shared" si="1"/>
        <v>No</v>
      </c>
      <c r="J1849" s="9">
        <f t="shared" si="2"/>
        <v>0</v>
      </c>
      <c r="K1849" s="9" t="str">
        <f t="shared" si="3"/>
        <v>OVERWEIGHT</v>
      </c>
    </row>
    <row r="1850" ht="15.75" customHeight="1">
      <c r="A1850" s="9" t="s">
        <v>3699</v>
      </c>
      <c r="B1850" s="9">
        <v>26.98</v>
      </c>
      <c r="C1850" s="9">
        <v>4.41</v>
      </c>
      <c r="D1850" s="9" t="s">
        <v>4684</v>
      </c>
      <c r="E1850" s="9" t="s">
        <v>4684</v>
      </c>
      <c r="F1850" s="9" t="s">
        <v>4684</v>
      </c>
      <c r="G1850" s="9" t="s">
        <v>4685</v>
      </c>
      <c r="H1850" s="9" t="s">
        <v>4684</v>
      </c>
      <c r="I1850" s="9" t="str">
        <f t="shared" si="1"/>
        <v>No</v>
      </c>
      <c r="J1850" s="9">
        <f t="shared" si="2"/>
        <v>0</v>
      </c>
      <c r="K1850" s="9" t="str">
        <f t="shared" si="3"/>
        <v>OVERWEIGHT</v>
      </c>
    </row>
    <row r="1851" ht="15.75" customHeight="1">
      <c r="A1851" s="9" t="s">
        <v>3701</v>
      </c>
      <c r="B1851" s="9">
        <v>32.11</v>
      </c>
      <c r="C1851" s="9">
        <v>5.19</v>
      </c>
      <c r="D1851" s="9" t="s">
        <v>4684</v>
      </c>
      <c r="E1851" s="9" t="s">
        <v>4684</v>
      </c>
      <c r="F1851" s="9" t="s">
        <v>4686</v>
      </c>
      <c r="G1851" s="9">
        <v>1.0</v>
      </c>
      <c r="H1851" s="9" t="s">
        <v>4684</v>
      </c>
      <c r="I1851" s="9" t="str">
        <f t="shared" si="1"/>
        <v>No</v>
      </c>
      <c r="J1851" s="9">
        <f t="shared" si="2"/>
        <v>1</v>
      </c>
      <c r="K1851" s="9" t="str">
        <f t="shared" si="3"/>
        <v>OBESITY</v>
      </c>
    </row>
    <row r="1852" ht="15.75" customHeight="1">
      <c r="A1852" s="9" t="s">
        <v>3703</v>
      </c>
      <c r="B1852" s="9">
        <v>31.73</v>
      </c>
      <c r="C1852" s="9">
        <v>5.16</v>
      </c>
      <c r="D1852" s="9" t="s">
        <v>4684</v>
      </c>
      <c r="E1852" s="9" t="s">
        <v>4684</v>
      </c>
      <c r="F1852" s="9" t="s">
        <v>4686</v>
      </c>
      <c r="G1852" s="9">
        <v>1.0</v>
      </c>
      <c r="H1852" s="9" t="s">
        <v>4684</v>
      </c>
      <c r="I1852" s="9" t="str">
        <f t="shared" si="1"/>
        <v>No</v>
      </c>
      <c r="J1852" s="9">
        <f t="shared" si="2"/>
        <v>1</v>
      </c>
      <c r="K1852" s="9" t="str">
        <f t="shared" si="3"/>
        <v>OBESITY</v>
      </c>
    </row>
    <row r="1853" ht="15.75" customHeight="1">
      <c r="A1853" s="9" t="s">
        <v>3705</v>
      </c>
      <c r="B1853" s="9">
        <v>22.515</v>
      </c>
      <c r="C1853" s="9">
        <v>4.24</v>
      </c>
      <c r="D1853" s="9" t="s">
        <v>4684</v>
      </c>
      <c r="E1853" s="9" t="s">
        <v>4684</v>
      </c>
      <c r="F1853" s="9" t="s">
        <v>4684</v>
      </c>
      <c r="G1853" s="9" t="s">
        <v>4685</v>
      </c>
      <c r="H1853" s="9" t="s">
        <v>4684</v>
      </c>
      <c r="I1853" s="9" t="str">
        <f t="shared" si="1"/>
        <v>No</v>
      </c>
      <c r="J1853" s="9">
        <f t="shared" si="2"/>
        <v>0</v>
      </c>
      <c r="K1853" s="9" t="str">
        <f t="shared" si="3"/>
        <v>NORMAL WEIGHT</v>
      </c>
    </row>
    <row r="1854" ht="15.75" customHeight="1">
      <c r="A1854" s="9" t="s">
        <v>3707</v>
      </c>
      <c r="B1854" s="9">
        <v>25.9</v>
      </c>
      <c r="C1854" s="9">
        <v>5.45</v>
      </c>
      <c r="D1854" s="9" t="s">
        <v>4684</v>
      </c>
      <c r="E1854" s="9" t="s">
        <v>4684</v>
      </c>
      <c r="F1854" s="9" t="s">
        <v>4684</v>
      </c>
      <c r="G1854" s="9">
        <v>1.0</v>
      </c>
      <c r="H1854" s="9" t="s">
        <v>4684</v>
      </c>
      <c r="I1854" s="9" t="str">
        <f t="shared" si="1"/>
        <v>No</v>
      </c>
      <c r="J1854" s="9">
        <f t="shared" si="2"/>
        <v>1</v>
      </c>
      <c r="K1854" s="9" t="str">
        <f t="shared" si="3"/>
        <v>OVERWEIGHT</v>
      </c>
    </row>
    <row r="1855" ht="15.75" customHeight="1">
      <c r="A1855" s="9" t="s">
        <v>3709</v>
      </c>
      <c r="B1855" s="9">
        <v>27.72</v>
      </c>
      <c r="C1855" s="9">
        <v>5.03</v>
      </c>
      <c r="D1855" s="9" t="s">
        <v>4686</v>
      </c>
      <c r="E1855" s="9" t="s">
        <v>4684</v>
      </c>
      <c r="F1855" s="9" t="s">
        <v>4684</v>
      </c>
      <c r="G1855" s="9">
        <v>1.0</v>
      </c>
      <c r="H1855" s="9" t="s">
        <v>4684</v>
      </c>
      <c r="I1855" s="9" t="str">
        <f t="shared" si="1"/>
        <v>No</v>
      </c>
      <c r="J1855" s="9">
        <f t="shared" si="2"/>
        <v>1</v>
      </c>
      <c r="K1855" s="9" t="str">
        <f t="shared" si="3"/>
        <v>OVERWEIGHT</v>
      </c>
    </row>
    <row r="1856" ht="15.75" customHeight="1">
      <c r="A1856" s="9" t="s">
        <v>3711</v>
      </c>
      <c r="B1856" s="9">
        <v>31.5</v>
      </c>
      <c r="C1856" s="9">
        <v>9.62</v>
      </c>
      <c r="D1856" s="9" t="s">
        <v>4686</v>
      </c>
      <c r="E1856" s="9" t="s">
        <v>4684</v>
      </c>
      <c r="F1856" s="9" t="s">
        <v>4684</v>
      </c>
      <c r="G1856" s="9">
        <v>1.0</v>
      </c>
      <c r="H1856" s="9" t="s">
        <v>4684</v>
      </c>
      <c r="I1856" s="9" t="str">
        <f t="shared" si="1"/>
        <v>No</v>
      </c>
      <c r="J1856" s="9">
        <f t="shared" si="2"/>
        <v>1</v>
      </c>
      <c r="K1856" s="9" t="str">
        <f t="shared" si="3"/>
        <v>OBESITY</v>
      </c>
    </row>
    <row r="1857" ht="15.75" customHeight="1">
      <c r="A1857" s="9" t="s">
        <v>3713</v>
      </c>
      <c r="B1857" s="9">
        <v>29.7</v>
      </c>
      <c r="C1857" s="9">
        <v>6.77</v>
      </c>
      <c r="D1857" s="9" t="s">
        <v>4686</v>
      </c>
      <c r="E1857" s="9" t="s">
        <v>4684</v>
      </c>
      <c r="F1857" s="9" t="s">
        <v>4684</v>
      </c>
      <c r="G1857" s="9">
        <v>1.0</v>
      </c>
      <c r="H1857" s="9" t="s">
        <v>4684</v>
      </c>
      <c r="I1857" s="9" t="str">
        <f t="shared" si="1"/>
        <v>No</v>
      </c>
      <c r="J1857" s="9">
        <f t="shared" si="2"/>
        <v>1</v>
      </c>
      <c r="K1857" s="9" t="str">
        <f t="shared" si="3"/>
        <v>OVERWEIGHT</v>
      </c>
    </row>
    <row r="1858" ht="15.75" customHeight="1">
      <c r="A1858" s="9" t="s">
        <v>3715</v>
      </c>
      <c r="B1858" s="9">
        <v>21.26</v>
      </c>
      <c r="C1858" s="9">
        <v>5.36</v>
      </c>
      <c r="D1858" s="9" t="s">
        <v>4686</v>
      </c>
      <c r="E1858" s="9" t="s">
        <v>4684</v>
      </c>
      <c r="F1858" s="9" t="s">
        <v>4684</v>
      </c>
      <c r="G1858" s="9">
        <v>1.0</v>
      </c>
      <c r="H1858" s="9" t="s">
        <v>4684</v>
      </c>
      <c r="I1858" s="9" t="str">
        <f t="shared" si="1"/>
        <v>No</v>
      </c>
      <c r="J1858" s="9">
        <f t="shared" si="2"/>
        <v>1</v>
      </c>
      <c r="K1858" s="9" t="str">
        <f t="shared" si="3"/>
        <v>NORMAL WEIGHT</v>
      </c>
    </row>
    <row r="1859" ht="15.75" customHeight="1">
      <c r="A1859" s="9" t="s">
        <v>3717</v>
      </c>
      <c r="B1859" s="9">
        <v>17.09</v>
      </c>
      <c r="C1859" s="9">
        <v>5.69</v>
      </c>
      <c r="D1859" s="9" t="s">
        <v>4684</v>
      </c>
      <c r="E1859" s="9" t="s">
        <v>4684</v>
      </c>
      <c r="F1859" s="9" t="s">
        <v>4684</v>
      </c>
      <c r="G1859" s="9" t="s">
        <v>4685</v>
      </c>
      <c r="H1859" s="9" t="s">
        <v>4684</v>
      </c>
      <c r="I1859" s="9" t="str">
        <f t="shared" si="1"/>
        <v>No</v>
      </c>
      <c r="J1859" s="9">
        <f t="shared" si="2"/>
        <v>0</v>
      </c>
      <c r="K1859" s="9" t="str">
        <f t="shared" si="3"/>
        <v>UNDERWEIGHT</v>
      </c>
    </row>
    <row r="1860" ht="15.75" customHeight="1">
      <c r="A1860" s="9" t="s">
        <v>3719</v>
      </c>
      <c r="B1860" s="9">
        <v>24.3</v>
      </c>
      <c r="C1860" s="9">
        <v>4.9</v>
      </c>
      <c r="D1860" s="9" t="s">
        <v>4686</v>
      </c>
      <c r="E1860" s="9" t="s">
        <v>4684</v>
      </c>
      <c r="F1860" s="9" t="s">
        <v>4686</v>
      </c>
      <c r="G1860" s="9">
        <v>1.0</v>
      </c>
      <c r="H1860" s="9" t="s">
        <v>4684</v>
      </c>
      <c r="I1860" s="9" t="str">
        <f t="shared" si="1"/>
        <v>No</v>
      </c>
      <c r="J1860" s="9">
        <f t="shared" si="2"/>
        <v>1</v>
      </c>
      <c r="K1860" s="9" t="str">
        <f t="shared" si="3"/>
        <v>NORMAL WEIGHT</v>
      </c>
    </row>
    <row r="1861" ht="15.75" customHeight="1">
      <c r="A1861" s="9" t="s">
        <v>3721</v>
      </c>
      <c r="B1861" s="9">
        <v>29.735</v>
      </c>
      <c r="C1861" s="9">
        <v>5.78</v>
      </c>
      <c r="D1861" s="9" t="s">
        <v>4684</v>
      </c>
      <c r="E1861" s="9" t="s">
        <v>4684</v>
      </c>
      <c r="F1861" s="9" t="s">
        <v>4684</v>
      </c>
      <c r="G1861" s="9" t="s">
        <v>4685</v>
      </c>
      <c r="H1861" s="9" t="s">
        <v>4684</v>
      </c>
      <c r="I1861" s="9" t="str">
        <f t="shared" si="1"/>
        <v>No</v>
      </c>
      <c r="J1861" s="9">
        <f t="shared" si="2"/>
        <v>0</v>
      </c>
      <c r="K1861" s="9" t="str">
        <f t="shared" si="3"/>
        <v>OVERWEIGHT</v>
      </c>
    </row>
    <row r="1862" ht="15.75" customHeight="1">
      <c r="A1862" s="9" t="s">
        <v>3723</v>
      </c>
      <c r="B1862" s="9">
        <v>29.26</v>
      </c>
      <c r="C1862" s="9">
        <v>4.7</v>
      </c>
      <c r="D1862" s="9" t="s">
        <v>4684</v>
      </c>
      <c r="E1862" s="9" t="s">
        <v>4684</v>
      </c>
      <c r="F1862" s="9" t="s">
        <v>4684</v>
      </c>
      <c r="G1862" s="9" t="s">
        <v>4685</v>
      </c>
      <c r="H1862" s="9" t="s">
        <v>4684</v>
      </c>
      <c r="I1862" s="9" t="str">
        <f t="shared" si="1"/>
        <v>No</v>
      </c>
      <c r="J1862" s="9">
        <f t="shared" si="2"/>
        <v>0</v>
      </c>
      <c r="K1862" s="9" t="str">
        <f t="shared" si="3"/>
        <v>OVERWEIGHT</v>
      </c>
    </row>
    <row r="1863" ht="15.75" customHeight="1">
      <c r="A1863" s="9" t="s">
        <v>3725</v>
      </c>
      <c r="B1863" s="9">
        <v>33.0</v>
      </c>
      <c r="C1863" s="9">
        <v>6.28</v>
      </c>
      <c r="D1863" s="9" t="s">
        <v>4684</v>
      </c>
      <c r="E1863" s="9" t="s">
        <v>4684</v>
      </c>
      <c r="F1863" s="9" t="s">
        <v>4684</v>
      </c>
      <c r="G1863" s="9" t="s">
        <v>4685</v>
      </c>
      <c r="H1863" s="9" t="s">
        <v>4684</v>
      </c>
      <c r="I1863" s="9" t="str">
        <f t="shared" si="1"/>
        <v>No</v>
      </c>
      <c r="J1863" s="9">
        <f t="shared" si="2"/>
        <v>0</v>
      </c>
      <c r="K1863" s="9" t="str">
        <f t="shared" si="3"/>
        <v>OBESITY</v>
      </c>
    </row>
    <row r="1864" ht="15.75" customHeight="1">
      <c r="A1864" s="9" t="s">
        <v>3727</v>
      </c>
      <c r="B1864" s="9">
        <v>31.065</v>
      </c>
      <c r="C1864" s="9">
        <v>4.23</v>
      </c>
      <c r="D1864" s="9" t="s">
        <v>4684</v>
      </c>
      <c r="E1864" s="9" t="s">
        <v>4684</v>
      </c>
      <c r="F1864" s="9" t="s">
        <v>4684</v>
      </c>
      <c r="G1864" s="9" t="s">
        <v>4685</v>
      </c>
      <c r="H1864" s="9" t="s">
        <v>4684</v>
      </c>
      <c r="I1864" s="9" t="str">
        <f t="shared" si="1"/>
        <v>No</v>
      </c>
      <c r="J1864" s="9">
        <f t="shared" si="2"/>
        <v>0</v>
      </c>
      <c r="K1864" s="9" t="str">
        <f t="shared" si="3"/>
        <v>OBESITY</v>
      </c>
    </row>
    <row r="1865" ht="15.75" customHeight="1">
      <c r="A1865" s="9" t="s">
        <v>3729</v>
      </c>
      <c r="B1865" s="9">
        <v>26.51</v>
      </c>
      <c r="C1865" s="9">
        <v>6.17</v>
      </c>
      <c r="D1865" s="9" t="s">
        <v>4684</v>
      </c>
      <c r="E1865" s="9" t="s">
        <v>4684</v>
      </c>
      <c r="F1865" s="9" t="s">
        <v>4684</v>
      </c>
      <c r="G1865" s="9" t="s">
        <v>4685</v>
      </c>
      <c r="H1865" s="9" t="s">
        <v>4684</v>
      </c>
      <c r="I1865" s="9" t="str">
        <f t="shared" si="1"/>
        <v>No</v>
      </c>
      <c r="J1865" s="9">
        <f t="shared" si="2"/>
        <v>0</v>
      </c>
      <c r="K1865" s="9" t="str">
        <f t="shared" si="3"/>
        <v>OVERWEIGHT</v>
      </c>
    </row>
    <row r="1866" ht="15.75" customHeight="1">
      <c r="A1866" s="9" t="s">
        <v>3731</v>
      </c>
      <c r="B1866" s="9">
        <v>28.88</v>
      </c>
      <c r="C1866" s="9">
        <v>4.96</v>
      </c>
      <c r="D1866" s="9" t="s">
        <v>4684</v>
      </c>
      <c r="E1866" s="9" t="s">
        <v>4684</v>
      </c>
      <c r="F1866" s="9" t="s">
        <v>4684</v>
      </c>
      <c r="G1866" s="9" t="s">
        <v>4685</v>
      </c>
      <c r="H1866" s="9" t="s">
        <v>4684</v>
      </c>
      <c r="I1866" s="9" t="str">
        <f t="shared" si="1"/>
        <v>No</v>
      </c>
      <c r="J1866" s="9">
        <f t="shared" si="2"/>
        <v>0</v>
      </c>
      <c r="K1866" s="9" t="str">
        <f t="shared" si="3"/>
        <v>OVERWEIGHT</v>
      </c>
    </row>
    <row r="1867" ht="15.75" customHeight="1">
      <c r="A1867" s="9" t="s">
        <v>3733</v>
      </c>
      <c r="B1867" s="9">
        <v>35.815</v>
      </c>
      <c r="C1867" s="9">
        <v>5.11</v>
      </c>
      <c r="D1867" s="9" t="s">
        <v>4686</v>
      </c>
      <c r="E1867" s="9" t="s">
        <v>4684</v>
      </c>
      <c r="F1867" s="9" t="s">
        <v>4684</v>
      </c>
      <c r="G1867" s="9">
        <v>1.0</v>
      </c>
      <c r="H1867" s="9" t="s">
        <v>4684</v>
      </c>
      <c r="I1867" s="9" t="str">
        <f t="shared" si="1"/>
        <v>No</v>
      </c>
      <c r="J1867" s="9">
        <f t="shared" si="2"/>
        <v>1</v>
      </c>
      <c r="K1867" s="9" t="str">
        <f t="shared" si="3"/>
        <v>OBESITY</v>
      </c>
    </row>
    <row r="1868" ht="15.75" customHeight="1">
      <c r="A1868" s="9" t="s">
        <v>3735</v>
      </c>
      <c r="B1868" s="9">
        <v>21.28</v>
      </c>
      <c r="C1868" s="9">
        <v>4.05</v>
      </c>
      <c r="D1868" s="9" t="s">
        <v>4684</v>
      </c>
      <c r="E1868" s="9" t="s">
        <v>4686</v>
      </c>
      <c r="F1868" s="9" t="s">
        <v>4684</v>
      </c>
      <c r="G1868" s="9">
        <v>1.0</v>
      </c>
      <c r="H1868" s="9" t="s">
        <v>4684</v>
      </c>
      <c r="I1868" s="9" t="str">
        <f t="shared" si="1"/>
        <v>No</v>
      </c>
      <c r="J1868" s="9">
        <f t="shared" si="2"/>
        <v>1</v>
      </c>
      <c r="K1868" s="9" t="str">
        <f t="shared" si="3"/>
        <v>NORMAL WEIGHT</v>
      </c>
    </row>
    <row r="1869" ht="15.75" customHeight="1">
      <c r="A1869" s="9" t="s">
        <v>3737</v>
      </c>
      <c r="B1869" s="9">
        <v>33.81</v>
      </c>
      <c r="C1869" s="9">
        <v>6.49</v>
      </c>
      <c r="D1869" s="9" t="s">
        <v>4684</v>
      </c>
      <c r="E1869" s="9" t="s">
        <v>4684</v>
      </c>
      <c r="F1869" s="9" t="s">
        <v>4686</v>
      </c>
      <c r="G1869" s="9">
        <v>1.0</v>
      </c>
      <c r="H1869" s="9" t="s">
        <v>4684</v>
      </c>
      <c r="I1869" s="9" t="str">
        <f t="shared" si="1"/>
        <v>No</v>
      </c>
      <c r="J1869" s="9">
        <f t="shared" si="2"/>
        <v>1</v>
      </c>
      <c r="K1869" s="9" t="str">
        <f t="shared" si="3"/>
        <v>OBESITY</v>
      </c>
    </row>
    <row r="1870" ht="15.75" customHeight="1">
      <c r="A1870" s="9" t="s">
        <v>3739</v>
      </c>
      <c r="B1870" s="9">
        <v>44.22</v>
      </c>
      <c r="C1870" s="9">
        <v>4.19</v>
      </c>
      <c r="D1870" s="9" t="s">
        <v>4684</v>
      </c>
      <c r="E1870" s="9" t="s">
        <v>4684</v>
      </c>
      <c r="F1870" s="9" t="s">
        <v>4684</v>
      </c>
      <c r="G1870" s="9">
        <v>1.0</v>
      </c>
      <c r="H1870" s="9" t="s">
        <v>4684</v>
      </c>
      <c r="I1870" s="9" t="str">
        <f t="shared" si="1"/>
        <v>No</v>
      </c>
      <c r="J1870" s="9">
        <f t="shared" si="2"/>
        <v>1</v>
      </c>
      <c r="K1870" s="9" t="str">
        <f t="shared" si="3"/>
        <v>OBESITY</v>
      </c>
    </row>
    <row r="1871" ht="15.75" customHeight="1">
      <c r="A1871" s="9" t="s">
        <v>3741</v>
      </c>
      <c r="B1871" s="9">
        <v>15.46</v>
      </c>
      <c r="C1871" s="9">
        <v>4.99</v>
      </c>
      <c r="D1871" s="9" t="s">
        <v>4686</v>
      </c>
      <c r="E1871" s="9" t="s">
        <v>4684</v>
      </c>
      <c r="F1871" s="9" t="s">
        <v>4686</v>
      </c>
      <c r="G1871" s="9">
        <v>1.0</v>
      </c>
      <c r="H1871" s="9" t="s">
        <v>4684</v>
      </c>
      <c r="I1871" s="9" t="str">
        <f t="shared" si="1"/>
        <v>No</v>
      </c>
      <c r="J1871" s="9">
        <f t="shared" si="2"/>
        <v>1</v>
      </c>
      <c r="K1871" s="9" t="str">
        <f t="shared" si="3"/>
        <v>UNDERWEIGHT</v>
      </c>
    </row>
    <row r="1872" ht="15.75" customHeight="1">
      <c r="A1872" s="9" t="s">
        <v>3743</v>
      </c>
      <c r="B1872" s="9">
        <v>30.3</v>
      </c>
      <c r="C1872" s="9">
        <v>4.77</v>
      </c>
      <c r="D1872" s="9" t="s">
        <v>4686</v>
      </c>
      <c r="E1872" s="9" t="s">
        <v>4684</v>
      </c>
      <c r="F1872" s="9" t="s">
        <v>4684</v>
      </c>
      <c r="G1872" s="9">
        <v>1.0</v>
      </c>
      <c r="H1872" s="9" t="s">
        <v>4684</v>
      </c>
      <c r="I1872" s="9" t="str">
        <f t="shared" si="1"/>
        <v>No</v>
      </c>
      <c r="J1872" s="9">
        <f t="shared" si="2"/>
        <v>1</v>
      </c>
      <c r="K1872" s="9" t="str">
        <f t="shared" si="3"/>
        <v>OBESITY</v>
      </c>
    </row>
    <row r="1873" ht="15.75" customHeight="1">
      <c r="A1873" s="9" t="s">
        <v>3745</v>
      </c>
      <c r="B1873" s="9">
        <v>16.67</v>
      </c>
      <c r="C1873" s="9">
        <v>5.46</v>
      </c>
      <c r="D1873" s="9" t="s">
        <v>4684</v>
      </c>
      <c r="E1873" s="9" t="s">
        <v>4684</v>
      </c>
      <c r="F1873" s="9" t="s">
        <v>4684</v>
      </c>
      <c r="G1873" s="9" t="s">
        <v>4685</v>
      </c>
      <c r="H1873" s="9" t="s">
        <v>4684</v>
      </c>
      <c r="I1873" s="9" t="str">
        <f t="shared" si="1"/>
        <v>No</v>
      </c>
      <c r="J1873" s="9">
        <f t="shared" si="2"/>
        <v>0</v>
      </c>
      <c r="K1873" s="9" t="str">
        <f t="shared" si="3"/>
        <v>UNDERWEIGHT</v>
      </c>
    </row>
    <row r="1874" ht="15.75" customHeight="1">
      <c r="A1874" s="9" t="s">
        <v>3747</v>
      </c>
      <c r="B1874" s="9">
        <v>28.595</v>
      </c>
      <c r="C1874" s="9">
        <v>5.43</v>
      </c>
      <c r="D1874" s="9" t="s">
        <v>4684</v>
      </c>
      <c r="E1874" s="9" t="s">
        <v>4684</v>
      </c>
      <c r="F1874" s="9" t="s">
        <v>4684</v>
      </c>
      <c r="G1874" s="9" t="s">
        <v>4685</v>
      </c>
      <c r="H1874" s="9" t="s">
        <v>4684</v>
      </c>
      <c r="I1874" s="9" t="str">
        <f t="shared" si="1"/>
        <v>No</v>
      </c>
      <c r="J1874" s="9">
        <f t="shared" si="2"/>
        <v>0</v>
      </c>
      <c r="K1874" s="9" t="str">
        <f t="shared" si="3"/>
        <v>OVERWEIGHT</v>
      </c>
    </row>
    <row r="1875" ht="15.75" customHeight="1">
      <c r="A1875" s="9" t="s">
        <v>3749</v>
      </c>
      <c r="B1875" s="9">
        <v>25.935</v>
      </c>
      <c r="C1875" s="9">
        <v>4.29</v>
      </c>
      <c r="D1875" s="9" t="s">
        <v>4684</v>
      </c>
      <c r="E1875" s="9" t="s">
        <v>4684</v>
      </c>
      <c r="F1875" s="9" t="s">
        <v>4684</v>
      </c>
      <c r="G1875" s="9" t="s">
        <v>4685</v>
      </c>
      <c r="H1875" s="9" t="s">
        <v>4684</v>
      </c>
      <c r="I1875" s="9" t="str">
        <f t="shared" si="1"/>
        <v>No</v>
      </c>
      <c r="J1875" s="9">
        <f t="shared" si="2"/>
        <v>0</v>
      </c>
      <c r="K1875" s="9" t="str">
        <f t="shared" si="3"/>
        <v>OVERWEIGHT</v>
      </c>
    </row>
    <row r="1876" ht="15.75" customHeight="1">
      <c r="A1876" s="9" t="s">
        <v>3751</v>
      </c>
      <c r="B1876" s="9">
        <v>27.645</v>
      </c>
      <c r="C1876" s="9">
        <v>5.25</v>
      </c>
      <c r="D1876" s="9" t="s">
        <v>4684</v>
      </c>
      <c r="E1876" s="9" t="s">
        <v>4684</v>
      </c>
      <c r="F1876" s="9" t="s">
        <v>4684</v>
      </c>
      <c r="G1876" s="9">
        <v>1.0</v>
      </c>
      <c r="H1876" s="9" t="s">
        <v>4684</v>
      </c>
      <c r="I1876" s="9" t="str">
        <f t="shared" si="1"/>
        <v>No</v>
      </c>
      <c r="J1876" s="9">
        <f t="shared" si="2"/>
        <v>1</v>
      </c>
      <c r="K1876" s="9" t="str">
        <f t="shared" si="3"/>
        <v>OVERWEIGHT</v>
      </c>
    </row>
    <row r="1877" ht="15.75" customHeight="1">
      <c r="A1877" s="9" t="s">
        <v>3753</v>
      </c>
      <c r="B1877" s="9">
        <v>30.1</v>
      </c>
      <c r="C1877" s="9">
        <v>4.04</v>
      </c>
      <c r="D1877" s="9" t="s">
        <v>4684</v>
      </c>
      <c r="E1877" s="9" t="s">
        <v>4684</v>
      </c>
      <c r="F1877" s="9" t="s">
        <v>4684</v>
      </c>
      <c r="G1877" s="9">
        <v>1.0</v>
      </c>
      <c r="H1877" s="9" t="s">
        <v>4684</v>
      </c>
      <c r="I1877" s="9" t="str">
        <f t="shared" si="1"/>
        <v>No</v>
      </c>
      <c r="J1877" s="9">
        <f t="shared" si="2"/>
        <v>1</v>
      </c>
      <c r="K1877" s="9" t="str">
        <f t="shared" si="3"/>
        <v>OBESITY</v>
      </c>
    </row>
    <row r="1878" ht="15.75" customHeight="1">
      <c r="A1878" s="9" t="s">
        <v>3755</v>
      </c>
      <c r="B1878" s="9">
        <v>26.79</v>
      </c>
      <c r="C1878" s="9">
        <v>5.0</v>
      </c>
      <c r="D1878" s="9" t="s">
        <v>4686</v>
      </c>
      <c r="E1878" s="9" t="s">
        <v>4684</v>
      </c>
      <c r="F1878" s="9" t="s">
        <v>4686</v>
      </c>
      <c r="G1878" s="9">
        <v>1.0</v>
      </c>
      <c r="H1878" s="9" t="s">
        <v>4684</v>
      </c>
      <c r="I1878" s="9" t="str">
        <f t="shared" si="1"/>
        <v>No</v>
      </c>
      <c r="J1878" s="9">
        <f t="shared" si="2"/>
        <v>1</v>
      </c>
      <c r="K1878" s="9" t="str">
        <f t="shared" si="3"/>
        <v>OVERWEIGHT</v>
      </c>
    </row>
    <row r="1879" ht="15.75" customHeight="1">
      <c r="A1879" s="9" t="s">
        <v>3757</v>
      </c>
      <c r="B1879" s="9">
        <v>27.1</v>
      </c>
      <c r="C1879" s="9">
        <v>4.01</v>
      </c>
      <c r="D1879" s="9" t="s">
        <v>4686</v>
      </c>
      <c r="E1879" s="9" t="s">
        <v>4684</v>
      </c>
      <c r="F1879" s="9" t="s">
        <v>4684</v>
      </c>
      <c r="G1879" s="9">
        <v>1.0</v>
      </c>
      <c r="H1879" s="9" t="s">
        <v>4684</v>
      </c>
      <c r="I1879" s="9" t="str">
        <f t="shared" si="1"/>
        <v>No</v>
      </c>
      <c r="J1879" s="9">
        <f t="shared" si="2"/>
        <v>1</v>
      </c>
      <c r="K1879" s="9" t="str">
        <f t="shared" si="3"/>
        <v>OVERWEIGHT</v>
      </c>
    </row>
    <row r="1880" ht="15.75" customHeight="1">
      <c r="A1880" s="9" t="s">
        <v>3759</v>
      </c>
      <c r="B1880" s="9">
        <v>24.31</v>
      </c>
      <c r="C1880" s="9">
        <v>5.4</v>
      </c>
      <c r="D1880" s="9" t="s">
        <v>4684</v>
      </c>
      <c r="E1880" s="9" t="s">
        <v>4684</v>
      </c>
      <c r="F1880" s="9" t="s">
        <v>4684</v>
      </c>
      <c r="G1880" s="9" t="s">
        <v>4685</v>
      </c>
      <c r="H1880" s="9" t="s">
        <v>4684</v>
      </c>
      <c r="I1880" s="9" t="str">
        <f t="shared" si="1"/>
        <v>No</v>
      </c>
      <c r="J1880" s="9">
        <f t="shared" si="2"/>
        <v>0</v>
      </c>
      <c r="K1880" s="9" t="str">
        <f t="shared" si="3"/>
        <v>NORMAL WEIGHT</v>
      </c>
    </row>
    <row r="1881" ht="15.75" customHeight="1">
      <c r="A1881" s="9" t="s">
        <v>3761</v>
      </c>
      <c r="B1881" s="9">
        <v>15.53</v>
      </c>
      <c r="C1881" s="9">
        <v>5.81</v>
      </c>
      <c r="D1881" s="9" t="s">
        <v>4684</v>
      </c>
      <c r="E1881" s="9" t="s">
        <v>4684</v>
      </c>
      <c r="F1881" s="9" t="s">
        <v>4684</v>
      </c>
      <c r="G1881" s="9">
        <v>1.0</v>
      </c>
      <c r="H1881" s="9" t="s">
        <v>4684</v>
      </c>
      <c r="I1881" s="9" t="str">
        <f t="shared" si="1"/>
        <v>No</v>
      </c>
      <c r="J1881" s="9">
        <f t="shared" si="2"/>
        <v>1</v>
      </c>
      <c r="K1881" s="9" t="str">
        <f t="shared" si="3"/>
        <v>UNDERWEIGHT</v>
      </c>
    </row>
    <row r="1882" ht="15.75" customHeight="1">
      <c r="A1882" s="9" t="s">
        <v>3763</v>
      </c>
      <c r="B1882" s="9">
        <v>30.7</v>
      </c>
      <c r="C1882" s="9">
        <v>5.82</v>
      </c>
      <c r="D1882" s="9" t="s">
        <v>4684</v>
      </c>
      <c r="E1882" s="9" t="s">
        <v>4684</v>
      </c>
      <c r="F1882" s="9" t="s">
        <v>4684</v>
      </c>
      <c r="G1882" s="9">
        <v>1.0</v>
      </c>
      <c r="H1882" s="9" t="s">
        <v>4684</v>
      </c>
      <c r="I1882" s="9" t="str">
        <f t="shared" si="1"/>
        <v>No</v>
      </c>
      <c r="J1882" s="9">
        <f t="shared" si="2"/>
        <v>1</v>
      </c>
      <c r="K1882" s="9" t="str">
        <f t="shared" si="3"/>
        <v>OBESITY</v>
      </c>
    </row>
    <row r="1883" ht="15.75" customHeight="1">
      <c r="A1883" s="9" t="s">
        <v>3765</v>
      </c>
      <c r="B1883" s="9">
        <v>33.33</v>
      </c>
      <c r="C1883" s="9">
        <v>4.82</v>
      </c>
      <c r="D1883" s="9" t="s">
        <v>4684</v>
      </c>
      <c r="E1883" s="9" t="s">
        <v>4684</v>
      </c>
      <c r="F1883" s="9" t="s">
        <v>4684</v>
      </c>
      <c r="G1883" s="9">
        <v>1.0</v>
      </c>
      <c r="H1883" s="9" t="s">
        <v>4684</v>
      </c>
      <c r="I1883" s="9" t="str">
        <f t="shared" si="1"/>
        <v>No</v>
      </c>
      <c r="J1883" s="9">
        <f t="shared" si="2"/>
        <v>1</v>
      </c>
      <c r="K1883" s="9" t="str">
        <f t="shared" si="3"/>
        <v>OBESITY</v>
      </c>
    </row>
    <row r="1884" ht="15.75" customHeight="1">
      <c r="A1884" s="9" t="s">
        <v>3767</v>
      </c>
      <c r="B1884" s="9">
        <v>32.4</v>
      </c>
      <c r="C1884" s="9">
        <v>5.08</v>
      </c>
      <c r="D1884" s="9" t="s">
        <v>4684</v>
      </c>
      <c r="E1884" s="9" t="s">
        <v>4684</v>
      </c>
      <c r="F1884" s="9" t="s">
        <v>4684</v>
      </c>
      <c r="G1884" s="9">
        <v>1.0</v>
      </c>
      <c r="H1884" s="9" t="s">
        <v>4684</v>
      </c>
      <c r="I1884" s="9" t="str">
        <f t="shared" si="1"/>
        <v>No</v>
      </c>
      <c r="J1884" s="9">
        <f t="shared" si="2"/>
        <v>1</v>
      </c>
      <c r="K1884" s="9" t="str">
        <f t="shared" si="3"/>
        <v>OBESITY</v>
      </c>
    </row>
    <row r="1885" ht="15.75" customHeight="1">
      <c r="A1885" s="9" t="s">
        <v>3769</v>
      </c>
      <c r="B1885" s="9">
        <v>27.93</v>
      </c>
      <c r="C1885" s="9">
        <v>5.59</v>
      </c>
      <c r="D1885" s="9" t="s">
        <v>4684</v>
      </c>
      <c r="E1885" s="9" t="s">
        <v>4684</v>
      </c>
      <c r="F1885" s="9" t="s">
        <v>4684</v>
      </c>
      <c r="G1885" s="9">
        <v>1.0</v>
      </c>
      <c r="H1885" s="9" t="s">
        <v>4684</v>
      </c>
      <c r="I1885" s="9" t="str">
        <f t="shared" si="1"/>
        <v>No</v>
      </c>
      <c r="J1885" s="9">
        <f t="shared" si="2"/>
        <v>1</v>
      </c>
      <c r="K1885" s="9" t="str">
        <f t="shared" si="3"/>
        <v>OVERWEIGHT</v>
      </c>
    </row>
    <row r="1886" ht="15.75" customHeight="1">
      <c r="A1886" s="9" t="s">
        <v>3771</v>
      </c>
      <c r="B1886" s="9">
        <v>21.755</v>
      </c>
      <c r="C1886" s="9">
        <v>5.12</v>
      </c>
      <c r="D1886" s="9" t="s">
        <v>4684</v>
      </c>
      <c r="E1886" s="9" t="s">
        <v>4684</v>
      </c>
      <c r="F1886" s="9" t="s">
        <v>4684</v>
      </c>
      <c r="G1886" s="9" t="s">
        <v>4685</v>
      </c>
      <c r="H1886" s="9" t="s">
        <v>4684</v>
      </c>
      <c r="I1886" s="9" t="str">
        <f t="shared" si="1"/>
        <v>No</v>
      </c>
      <c r="J1886" s="9">
        <f t="shared" si="2"/>
        <v>0</v>
      </c>
      <c r="K1886" s="9" t="str">
        <f t="shared" si="3"/>
        <v>NORMAL WEIGHT</v>
      </c>
    </row>
    <row r="1887" ht="15.75" customHeight="1">
      <c r="A1887" s="9" t="s">
        <v>3773</v>
      </c>
      <c r="B1887" s="9">
        <v>25.935</v>
      </c>
      <c r="C1887" s="9">
        <v>4.95</v>
      </c>
      <c r="D1887" s="9" t="s">
        <v>4684</v>
      </c>
      <c r="E1887" s="9" t="s">
        <v>4684</v>
      </c>
      <c r="F1887" s="9" t="s">
        <v>4684</v>
      </c>
      <c r="G1887" s="9" t="s">
        <v>4685</v>
      </c>
      <c r="H1887" s="9" t="s">
        <v>4684</v>
      </c>
      <c r="I1887" s="9" t="str">
        <f t="shared" si="1"/>
        <v>No</v>
      </c>
      <c r="J1887" s="9">
        <f t="shared" si="2"/>
        <v>0</v>
      </c>
      <c r="K1887" s="9" t="str">
        <f t="shared" si="3"/>
        <v>OVERWEIGHT</v>
      </c>
    </row>
    <row r="1888" ht="15.75" customHeight="1">
      <c r="A1888" s="9" t="s">
        <v>3775</v>
      </c>
      <c r="B1888" s="9">
        <v>31.5</v>
      </c>
      <c r="C1888" s="9">
        <v>6.16</v>
      </c>
      <c r="D1888" s="9" t="s">
        <v>4684</v>
      </c>
      <c r="E1888" s="9" t="s">
        <v>4684</v>
      </c>
      <c r="F1888" s="9" t="s">
        <v>4684</v>
      </c>
      <c r="G1888" s="9" t="s">
        <v>4685</v>
      </c>
      <c r="H1888" s="9" t="s">
        <v>4684</v>
      </c>
      <c r="I1888" s="9" t="str">
        <f t="shared" si="1"/>
        <v>No</v>
      </c>
      <c r="J1888" s="9">
        <f t="shared" si="2"/>
        <v>0</v>
      </c>
      <c r="K1888" s="9" t="str">
        <f t="shared" si="3"/>
        <v>OBESITY</v>
      </c>
    </row>
    <row r="1889" ht="15.75" customHeight="1">
      <c r="A1889" s="9" t="s">
        <v>3777</v>
      </c>
      <c r="B1889" s="9">
        <v>30.03</v>
      </c>
      <c r="C1889" s="9">
        <v>6.41</v>
      </c>
      <c r="D1889" s="9" t="s">
        <v>4684</v>
      </c>
      <c r="E1889" s="9" t="s">
        <v>4684</v>
      </c>
      <c r="F1889" s="9" t="s">
        <v>4684</v>
      </c>
      <c r="G1889" s="9" t="s">
        <v>4685</v>
      </c>
      <c r="H1889" s="9" t="s">
        <v>4684</v>
      </c>
      <c r="I1889" s="9" t="str">
        <f t="shared" si="1"/>
        <v>No</v>
      </c>
      <c r="J1889" s="9">
        <f t="shared" si="2"/>
        <v>0</v>
      </c>
      <c r="K1889" s="9" t="str">
        <f t="shared" si="3"/>
        <v>OBESITY</v>
      </c>
    </row>
    <row r="1890" ht="15.75" customHeight="1">
      <c r="A1890" s="9" t="s">
        <v>3779</v>
      </c>
      <c r="B1890" s="9">
        <v>33.48</v>
      </c>
      <c r="C1890" s="9">
        <v>8.94</v>
      </c>
      <c r="D1890" s="9" t="s">
        <v>4684</v>
      </c>
      <c r="E1890" s="9" t="s">
        <v>4684</v>
      </c>
      <c r="F1890" s="9" t="s">
        <v>4684</v>
      </c>
      <c r="G1890" s="9" t="s">
        <v>4685</v>
      </c>
      <c r="H1890" s="9" t="s">
        <v>4684</v>
      </c>
      <c r="I1890" s="9" t="str">
        <f t="shared" si="1"/>
        <v>No</v>
      </c>
      <c r="J1890" s="9">
        <f t="shared" si="2"/>
        <v>0</v>
      </c>
      <c r="K1890" s="9" t="str">
        <f t="shared" si="3"/>
        <v>OBESITY</v>
      </c>
    </row>
    <row r="1891" ht="15.75" customHeight="1">
      <c r="A1891" s="9" t="s">
        <v>3781</v>
      </c>
      <c r="B1891" s="9">
        <v>16.51</v>
      </c>
      <c r="C1891" s="9">
        <v>4.42</v>
      </c>
      <c r="D1891" s="9" t="s">
        <v>4686</v>
      </c>
      <c r="E1891" s="9" t="s">
        <v>4684</v>
      </c>
      <c r="F1891" s="9" t="s">
        <v>4686</v>
      </c>
      <c r="G1891" s="9">
        <v>1.0</v>
      </c>
      <c r="H1891" s="9" t="s">
        <v>4684</v>
      </c>
      <c r="I1891" s="9" t="str">
        <f t="shared" si="1"/>
        <v>No</v>
      </c>
      <c r="J1891" s="9">
        <f t="shared" si="2"/>
        <v>1</v>
      </c>
      <c r="K1891" s="9" t="str">
        <f t="shared" si="3"/>
        <v>UNDERWEIGHT</v>
      </c>
    </row>
    <row r="1892" ht="15.75" customHeight="1">
      <c r="A1892" s="9" t="s">
        <v>3783</v>
      </c>
      <c r="B1892" s="9">
        <v>33.155</v>
      </c>
      <c r="C1892" s="9">
        <v>5.3</v>
      </c>
      <c r="D1892" s="9" t="s">
        <v>4686</v>
      </c>
      <c r="E1892" s="9" t="s">
        <v>4684</v>
      </c>
      <c r="F1892" s="9" t="s">
        <v>4684</v>
      </c>
      <c r="G1892" s="9">
        <v>1.0</v>
      </c>
      <c r="H1892" s="9" t="s">
        <v>4684</v>
      </c>
      <c r="I1892" s="9" t="str">
        <f t="shared" si="1"/>
        <v>No</v>
      </c>
      <c r="J1892" s="9">
        <f t="shared" si="2"/>
        <v>1</v>
      </c>
      <c r="K1892" s="9" t="str">
        <f t="shared" si="3"/>
        <v>OBESITY</v>
      </c>
    </row>
    <row r="1893" ht="15.75" customHeight="1">
      <c r="A1893" s="9" t="s">
        <v>3785</v>
      </c>
      <c r="B1893" s="9">
        <v>37.29</v>
      </c>
      <c r="C1893" s="9">
        <v>4.64</v>
      </c>
      <c r="D1893" s="9" t="s">
        <v>4684</v>
      </c>
      <c r="E1893" s="9" t="s">
        <v>4684</v>
      </c>
      <c r="F1893" s="9" t="s">
        <v>4686</v>
      </c>
      <c r="G1893" s="9">
        <v>1.0</v>
      </c>
      <c r="H1893" s="9" t="s">
        <v>4684</v>
      </c>
      <c r="I1893" s="9" t="str">
        <f t="shared" si="1"/>
        <v>No</v>
      </c>
      <c r="J1893" s="9">
        <f t="shared" si="2"/>
        <v>1</v>
      </c>
      <c r="K1893" s="9" t="str">
        <f t="shared" si="3"/>
        <v>OBESITY</v>
      </c>
    </row>
    <row r="1894" ht="15.75" customHeight="1">
      <c r="A1894" s="9" t="s">
        <v>3787</v>
      </c>
      <c r="B1894" s="9">
        <v>20.23</v>
      </c>
      <c r="C1894" s="9">
        <v>6.16</v>
      </c>
      <c r="D1894" s="9" t="s">
        <v>4686</v>
      </c>
      <c r="E1894" s="9" t="s">
        <v>4684</v>
      </c>
      <c r="F1894" s="9" t="s">
        <v>4684</v>
      </c>
      <c r="G1894" s="9">
        <v>1.0</v>
      </c>
      <c r="H1894" s="9" t="s">
        <v>4684</v>
      </c>
      <c r="I1894" s="9" t="str">
        <f t="shared" si="1"/>
        <v>No</v>
      </c>
      <c r="J1894" s="9">
        <f t="shared" si="2"/>
        <v>1</v>
      </c>
      <c r="K1894" s="9" t="str">
        <f t="shared" si="3"/>
        <v>NORMAL WEIGHT</v>
      </c>
    </row>
    <row r="1895" ht="15.75" customHeight="1">
      <c r="A1895" s="9" t="s">
        <v>3789</v>
      </c>
      <c r="B1895" s="9">
        <v>28.975</v>
      </c>
      <c r="C1895" s="9">
        <v>4.12</v>
      </c>
      <c r="D1895" s="9" t="s">
        <v>4684</v>
      </c>
      <c r="E1895" s="9" t="s">
        <v>4684</v>
      </c>
      <c r="F1895" s="9" t="s">
        <v>4686</v>
      </c>
      <c r="G1895" s="9">
        <v>1.0</v>
      </c>
      <c r="H1895" s="9" t="s">
        <v>4684</v>
      </c>
      <c r="I1895" s="9" t="str">
        <f t="shared" si="1"/>
        <v>No</v>
      </c>
      <c r="J1895" s="9">
        <f t="shared" si="2"/>
        <v>1</v>
      </c>
      <c r="K1895" s="9" t="str">
        <f t="shared" si="3"/>
        <v>OVERWEIGHT</v>
      </c>
    </row>
    <row r="1896" ht="15.75" customHeight="1">
      <c r="A1896" s="9" t="s">
        <v>3791</v>
      </c>
      <c r="B1896" s="9">
        <v>16.42</v>
      </c>
      <c r="C1896" s="9">
        <v>5.77</v>
      </c>
      <c r="D1896" s="9" t="s">
        <v>4686</v>
      </c>
      <c r="E1896" s="9" t="s">
        <v>4684</v>
      </c>
      <c r="F1896" s="9" t="s">
        <v>4686</v>
      </c>
      <c r="G1896" s="9">
        <v>1.0</v>
      </c>
      <c r="H1896" s="9" t="s">
        <v>4684</v>
      </c>
      <c r="I1896" s="9" t="str">
        <f t="shared" si="1"/>
        <v>No</v>
      </c>
      <c r="J1896" s="9">
        <f t="shared" si="2"/>
        <v>1</v>
      </c>
      <c r="K1896" s="9" t="str">
        <f t="shared" si="3"/>
        <v>UNDERWEIGHT</v>
      </c>
    </row>
    <row r="1897" ht="15.75" customHeight="1">
      <c r="A1897" s="9" t="s">
        <v>3793</v>
      </c>
      <c r="B1897" s="9">
        <v>17.56</v>
      </c>
      <c r="C1897" s="9">
        <v>6.2</v>
      </c>
      <c r="D1897" s="9" t="s">
        <v>4684</v>
      </c>
      <c r="E1897" s="9" t="s">
        <v>4684</v>
      </c>
      <c r="F1897" s="9" t="s">
        <v>4684</v>
      </c>
      <c r="G1897" s="9">
        <v>1.0</v>
      </c>
      <c r="H1897" s="9" t="s">
        <v>4684</v>
      </c>
      <c r="I1897" s="9" t="str">
        <f t="shared" si="1"/>
        <v>No</v>
      </c>
      <c r="J1897" s="9">
        <f t="shared" si="2"/>
        <v>1</v>
      </c>
      <c r="K1897" s="9" t="str">
        <f t="shared" si="3"/>
        <v>UNDERWEIGHT</v>
      </c>
    </row>
    <row r="1898" ht="15.75" customHeight="1">
      <c r="A1898" s="9" t="s">
        <v>3795</v>
      </c>
      <c r="B1898" s="9">
        <v>24.13</v>
      </c>
      <c r="C1898" s="9">
        <v>4.39</v>
      </c>
      <c r="D1898" s="9" t="s">
        <v>4684</v>
      </c>
      <c r="E1898" s="9" t="s">
        <v>4684</v>
      </c>
      <c r="F1898" s="9" t="s">
        <v>4684</v>
      </c>
      <c r="G1898" s="9">
        <v>1.0</v>
      </c>
      <c r="H1898" s="9" t="s">
        <v>4684</v>
      </c>
      <c r="I1898" s="9" t="str">
        <f t="shared" si="1"/>
        <v>No</v>
      </c>
      <c r="J1898" s="9">
        <f t="shared" si="2"/>
        <v>1</v>
      </c>
      <c r="K1898" s="9" t="str">
        <f t="shared" si="3"/>
        <v>NORMAL WEIGHT</v>
      </c>
    </row>
    <row r="1899" ht="15.75" customHeight="1">
      <c r="A1899" s="9" t="s">
        <v>3797</v>
      </c>
      <c r="B1899" s="9">
        <v>19.95</v>
      </c>
      <c r="C1899" s="9">
        <v>5.13</v>
      </c>
      <c r="D1899" s="9" t="s">
        <v>4684</v>
      </c>
      <c r="E1899" s="9" t="s">
        <v>4686</v>
      </c>
      <c r="F1899" s="9" t="s">
        <v>4684</v>
      </c>
      <c r="G1899" s="9">
        <v>2.0</v>
      </c>
      <c r="H1899" s="9" t="s">
        <v>4684</v>
      </c>
      <c r="I1899" s="9" t="str">
        <f t="shared" si="1"/>
        <v>No</v>
      </c>
      <c r="J1899" s="9">
        <f t="shared" si="2"/>
        <v>2</v>
      </c>
      <c r="K1899" s="9" t="str">
        <f t="shared" si="3"/>
        <v>NORMAL WEIGHT</v>
      </c>
    </row>
    <row r="1900" ht="15.75" customHeight="1">
      <c r="A1900" s="9" t="s">
        <v>3799</v>
      </c>
      <c r="B1900" s="9">
        <v>21.24</v>
      </c>
      <c r="C1900" s="9">
        <v>4.49</v>
      </c>
      <c r="D1900" s="9" t="s">
        <v>4684</v>
      </c>
      <c r="E1900" s="9" t="s">
        <v>4684</v>
      </c>
      <c r="F1900" s="9" t="s">
        <v>4684</v>
      </c>
      <c r="G1900" s="9" t="s">
        <v>4685</v>
      </c>
      <c r="H1900" s="9" t="s">
        <v>4684</v>
      </c>
      <c r="I1900" s="9" t="str">
        <f t="shared" si="1"/>
        <v>No</v>
      </c>
      <c r="J1900" s="9">
        <f t="shared" si="2"/>
        <v>0</v>
      </c>
      <c r="K1900" s="9" t="str">
        <f t="shared" si="3"/>
        <v>NORMAL WEIGHT</v>
      </c>
    </row>
    <row r="1901" ht="15.75" customHeight="1">
      <c r="A1901" s="9" t="s">
        <v>3801</v>
      </c>
      <c r="B1901" s="9">
        <v>44.22</v>
      </c>
      <c r="C1901" s="9">
        <v>6.35</v>
      </c>
      <c r="D1901" s="9" t="s">
        <v>4684</v>
      </c>
      <c r="E1901" s="9" t="s">
        <v>4684</v>
      </c>
      <c r="F1901" s="9" t="s">
        <v>4684</v>
      </c>
      <c r="G1901" s="9" t="s">
        <v>4685</v>
      </c>
      <c r="H1901" s="9" t="s">
        <v>4684</v>
      </c>
      <c r="I1901" s="9" t="str">
        <f t="shared" si="1"/>
        <v>No</v>
      </c>
      <c r="J1901" s="9">
        <f t="shared" si="2"/>
        <v>0</v>
      </c>
      <c r="K1901" s="9" t="str">
        <f t="shared" si="3"/>
        <v>OBESITY</v>
      </c>
    </row>
    <row r="1902" ht="15.75" customHeight="1">
      <c r="A1902" s="9" t="s">
        <v>3803</v>
      </c>
      <c r="B1902" s="9">
        <v>41.1</v>
      </c>
      <c r="C1902" s="9">
        <v>5.79</v>
      </c>
      <c r="D1902" s="9" t="s">
        <v>4684</v>
      </c>
      <c r="E1902" s="9" t="s">
        <v>4684</v>
      </c>
      <c r="F1902" s="9" t="s">
        <v>4684</v>
      </c>
      <c r="G1902" s="9" t="s">
        <v>4685</v>
      </c>
      <c r="H1902" s="9" t="s">
        <v>4684</v>
      </c>
      <c r="I1902" s="9" t="str">
        <f t="shared" si="1"/>
        <v>No</v>
      </c>
      <c r="J1902" s="9">
        <f t="shared" si="2"/>
        <v>0</v>
      </c>
      <c r="K1902" s="9" t="str">
        <f t="shared" si="3"/>
        <v>OBESITY</v>
      </c>
    </row>
    <row r="1903" ht="15.75" customHeight="1">
      <c r="A1903" s="9" t="s">
        <v>3805</v>
      </c>
      <c r="B1903" s="9">
        <v>34.2</v>
      </c>
      <c r="C1903" s="9">
        <v>4.78</v>
      </c>
      <c r="D1903" s="9" t="s">
        <v>4686</v>
      </c>
      <c r="E1903" s="9" t="s">
        <v>4684</v>
      </c>
      <c r="F1903" s="9" t="s">
        <v>4684</v>
      </c>
      <c r="G1903" s="9" t="s">
        <v>4685</v>
      </c>
      <c r="H1903" s="9" t="s">
        <v>4684</v>
      </c>
      <c r="I1903" s="9" t="str">
        <f t="shared" si="1"/>
        <v>No</v>
      </c>
      <c r="J1903" s="9">
        <f t="shared" si="2"/>
        <v>0</v>
      </c>
      <c r="K1903" s="9" t="str">
        <f t="shared" si="3"/>
        <v>OBESITY</v>
      </c>
    </row>
    <row r="1904" ht="15.75" customHeight="1">
      <c r="A1904" s="9" t="s">
        <v>3807</v>
      </c>
      <c r="B1904" s="9">
        <v>29.92</v>
      </c>
      <c r="C1904" s="9">
        <v>6.02</v>
      </c>
      <c r="D1904" s="9" t="s">
        <v>4686</v>
      </c>
      <c r="E1904" s="9" t="s">
        <v>4684</v>
      </c>
      <c r="F1904" s="9" t="s">
        <v>4684</v>
      </c>
      <c r="G1904" s="9" t="s">
        <v>4685</v>
      </c>
      <c r="H1904" s="9" t="s">
        <v>4684</v>
      </c>
      <c r="I1904" s="9" t="str">
        <f t="shared" si="1"/>
        <v>No</v>
      </c>
      <c r="J1904" s="9">
        <f t="shared" si="2"/>
        <v>0</v>
      </c>
      <c r="K1904" s="9" t="str">
        <f t="shared" si="3"/>
        <v>OBESITY</v>
      </c>
    </row>
    <row r="1905" ht="15.75" customHeight="1">
      <c r="A1905" s="9" t="s">
        <v>3809</v>
      </c>
      <c r="B1905" s="9">
        <v>28.93</v>
      </c>
      <c r="C1905" s="9">
        <v>4.44</v>
      </c>
      <c r="D1905" s="9" t="s">
        <v>4684</v>
      </c>
      <c r="E1905" s="9" t="s">
        <v>4684</v>
      </c>
      <c r="F1905" s="9" t="s">
        <v>4684</v>
      </c>
      <c r="G1905" s="9" t="s">
        <v>4685</v>
      </c>
      <c r="H1905" s="9" t="s">
        <v>4684</v>
      </c>
      <c r="I1905" s="9" t="str">
        <f t="shared" si="1"/>
        <v>No</v>
      </c>
      <c r="J1905" s="9">
        <f t="shared" si="2"/>
        <v>0</v>
      </c>
      <c r="K1905" s="9" t="str">
        <f t="shared" si="3"/>
        <v>OVERWEIGHT</v>
      </c>
    </row>
    <row r="1906" ht="15.75" customHeight="1">
      <c r="A1906" s="9" t="s">
        <v>3811</v>
      </c>
      <c r="B1906" s="9">
        <v>31.255</v>
      </c>
      <c r="C1906" s="9">
        <v>5.84</v>
      </c>
      <c r="D1906" s="9" t="s">
        <v>4686</v>
      </c>
      <c r="E1906" s="9" t="s">
        <v>4684</v>
      </c>
      <c r="F1906" s="9" t="s">
        <v>4684</v>
      </c>
      <c r="G1906" s="9">
        <v>1.0</v>
      </c>
      <c r="H1906" s="9" t="s">
        <v>4684</v>
      </c>
      <c r="I1906" s="9" t="str">
        <f t="shared" si="1"/>
        <v>No</v>
      </c>
      <c r="J1906" s="9">
        <f t="shared" si="2"/>
        <v>1</v>
      </c>
      <c r="K1906" s="9" t="str">
        <f t="shared" si="3"/>
        <v>OBESITY</v>
      </c>
    </row>
    <row r="1907" ht="15.75" customHeight="1">
      <c r="A1907" s="9" t="s">
        <v>3813</v>
      </c>
      <c r="B1907" s="9">
        <v>29.83</v>
      </c>
      <c r="C1907" s="9">
        <v>5.39</v>
      </c>
      <c r="D1907" s="9" t="s">
        <v>4684</v>
      </c>
      <c r="E1907" s="9" t="s">
        <v>4684</v>
      </c>
      <c r="F1907" s="9" t="s">
        <v>4684</v>
      </c>
      <c r="G1907" s="9" t="s">
        <v>4685</v>
      </c>
      <c r="H1907" s="9" t="s">
        <v>4684</v>
      </c>
      <c r="I1907" s="9" t="str">
        <f t="shared" si="1"/>
        <v>No</v>
      </c>
      <c r="J1907" s="9">
        <f t="shared" si="2"/>
        <v>0</v>
      </c>
      <c r="K1907" s="9" t="str">
        <f t="shared" si="3"/>
        <v>OVERWEIGHT</v>
      </c>
    </row>
    <row r="1908" ht="15.75" customHeight="1">
      <c r="A1908" s="9" t="s">
        <v>3815</v>
      </c>
      <c r="B1908" s="9">
        <v>29.59</v>
      </c>
      <c r="C1908" s="9">
        <v>6.16</v>
      </c>
      <c r="D1908" s="9" t="s">
        <v>4684</v>
      </c>
      <c r="E1908" s="9" t="s">
        <v>4684</v>
      </c>
      <c r="F1908" s="9" t="s">
        <v>4686</v>
      </c>
      <c r="G1908" s="9">
        <v>1.0</v>
      </c>
      <c r="H1908" s="9" t="s">
        <v>4684</v>
      </c>
      <c r="I1908" s="9" t="str">
        <f t="shared" si="1"/>
        <v>No</v>
      </c>
      <c r="J1908" s="9">
        <f t="shared" si="2"/>
        <v>1</v>
      </c>
      <c r="K1908" s="9" t="str">
        <f t="shared" si="3"/>
        <v>OVERWEIGHT</v>
      </c>
    </row>
    <row r="1909" ht="15.75" customHeight="1">
      <c r="A1909" s="9" t="s">
        <v>3817</v>
      </c>
      <c r="B1909" s="9">
        <v>31.16</v>
      </c>
      <c r="C1909" s="9">
        <v>4.49</v>
      </c>
      <c r="D1909" s="9" t="s">
        <v>4684</v>
      </c>
      <c r="E1909" s="9" t="s">
        <v>4684</v>
      </c>
      <c r="F1909" s="9" t="s">
        <v>4686</v>
      </c>
      <c r="G1909" s="9">
        <v>1.0</v>
      </c>
      <c r="H1909" s="9" t="s">
        <v>4684</v>
      </c>
      <c r="I1909" s="9" t="str">
        <f t="shared" si="1"/>
        <v>No</v>
      </c>
      <c r="J1909" s="9">
        <f t="shared" si="2"/>
        <v>1</v>
      </c>
      <c r="K1909" s="9" t="str">
        <f t="shared" si="3"/>
        <v>OBESITY</v>
      </c>
    </row>
    <row r="1910" ht="15.75" customHeight="1">
      <c r="A1910" s="9" t="s">
        <v>3819</v>
      </c>
      <c r="B1910" s="9">
        <v>34.21</v>
      </c>
      <c r="C1910" s="9">
        <v>4.48</v>
      </c>
      <c r="D1910" s="9" t="s">
        <v>4686</v>
      </c>
      <c r="E1910" s="9" t="s">
        <v>4684</v>
      </c>
      <c r="F1910" s="9" t="s">
        <v>4684</v>
      </c>
      <c r="G1910" s="9">
        <v>1.0</v>
      </c>
      <c r="H1910" s="9" t="s">
        <v>4684</v>
      </c>
      <c r="I1910" s="9" t="str">
        <f t="shared" si="1"/>
        <v>No</v>
      </c>
      <c r="J1910" s="9">
        <f t="shared" si="2"/>
        <v>1</v>
      </c>
      <c r="K1910" s="9" t="str">
        <f t="shared" si="3"/>
        <v>OBESITY</v>
      </c>
    </row>
    <row r="1911" ht="15.75" customHeight="1">
      <c r="A1911" s="9" t="s">
        <v>3821</v>
      </c>
      <c r="B1911" s="9">
        <v>34.86</v>
      </c>
      <c r="C1911" s="9">
        <v>10.97</v>
      </c>
      <c r="D1911" s="9" t="s">
        <v>4684</v>
      </c>
      <c r="E1911" s="9" t="s">
        <v>4684</v>
      </c>
      <c r="F1911" s="9" t="s">
        <v>4684</v>
      </c>
      <c r="G1911" s="9" t="s">
        <v>4685</v>
      </c>
      <c r="H1911" s="9" t="s">
        <v>4684</v>
      </c>
      <c r="I1911" s="9" t="str">
        <f t="shared" si="1"/>
        <v>No</v>
      </c>
      <c r="J1911" s="9">
        <f t="shared" si="2"/>
        <v>0</v>
      </c>
      <c r="K1911" s="9" t="str">
        <f t="shared" si="3"/>
        <v>OBESITY</v>
      </c>
    </row>
    <row r="1912" ht="15.75" customHeight="1">
      <c r="A1912" s="9" t="s">
        <v>3823</v>
      </c>
      <c r="B1912" s="9">
        <v>34.58</v>
      </c>
      <c r="C1912" s="9">
        <v>5.14</v>
      </c>
      <c r="D1912" s="9" t="s">
        <v>4684</v>
      </c>
      <c r="E1912" s="9" t="s">
        <v>4686</v>
      </c>
      <c r="F1912" s="9" t="s">
        <v>4684</v>
      </c>
      <c r="G1912" s="9">
        <v>2.0</v>
      </c>
      <c r="H1912" s="9" t="s">
        <v>4684</v>
      </c>
      <c r="I1912" s="9" t="str">
        <f t="shared" si="1"/>
        <v>No</v>
      </c>
      <c r="J1912" s="9">
        <f t="shared" si="2"/>
        <v>2</v>
      </c>
      <c r="K1912" s="9" t="str">
        <f t="shared" si="3"/>
        <v>OBESITY</v>
      </c>
    </row>
    <row r="1913" ht="15.75" customHeight="1">
      <c r="A1913" s="9" t="s">
        <v>3825</v>
      </c>
      <c r="B1913" s="9">
        <v>17.94</v>
      </c>
      <c r="C1913" s="9">
        <v>5.17</v>
      </c>
      <c r="D1913" s="9" t="s">
        <v>4686</v>
      </c>
      <c r="E1913" s="9" t="s">
        <v>4684</v>
      </c>
      <c r="F1913" s="9" t="s">
        <v>4684</v>
      </c>
      <c r="G1913" s="9" t="s">
        <v>4685</v>
      </c>
      <c r="H1913" s="9" t="s">
        <v>4684</v>
      </c>
      <c r="I1913" s="9" t="str">
        <f t="shared" si="1"/>
        <v>No</v>
      </c>
      <c r="J1913" s="9">
        <f t="shared" si="2"/>
        <v>0</v>
      </c>
      <c r="K1913" s="9" t="str">
        <f t="shared" si="3"/>
        <v>UNDERWEIGHT</v>
      </c>
    </row>
    <row r="1914" ht="15.75" customHeight="1">
      <c r="A1914" s="9" t="s">
        <v>3827</v>
      </c>
      <c r="B1914" s="9">
        <v>26.8</v>
      </c>
      <c r="C1914" s="9">
        <v>6.18</v>
      </c>
      <c r="D1914" s="9" t="s">
        <v>4686</v>
      </c>
      <c r="E1914" s="9" t="s">
        <v>4684</v>
      </c>
      <c r="F1914" s="9" t="s">
        <v>4686</v>
      </c>
      <c r="G1914" s="9">
        <v>1.0</v>
      </c>
      <c r="H1914" s="9" t="s">
        <v>4684</v>
      </c>
      <c r="I1914" s="9" t="str">
        <f t="shared" si="1"/>
        <v>No</v>
      </c>
      <c r="J1914" s="9">
        <f t="shared" si="2"/>
        <v>1</v>
      </c>
      <c r="K1914" s="9" t="str">
        <f t="shared" si="3"/>
        <v>OVERWEIGHT</v>
      </c>
    </row>
    <row r="1915" ht="15.75" customHeight="1">
      <c r="A1915" s="9" t="s">
        <v>3829</v>
      </c>
      <c r="B1915" s="9">
        <v>17.69</v>
      </c>
      <c r="C1915" s="9">
        <v>9.07</v>
      </c>
      <c r="D1915" s="9" t="s">
        <v>4686</v>
      </c>
      <c r="E1915" s="9" t="s">
        <v>4684</v>
      </c>
      <c r="F1915" s="9" t="s">
        <v>4684</v>
      </c>
      <c r="G1915" s="9" t="s">
        <v>4685</v>
      </c>
      <c r="H1915" s="9" t="s">
        <v>4684</v>
      </c>
      <c r="I1915" s="9" t="str">
        <f t="shared" si="1"/>
        <v>No</v>
      </c>
      <c r="J1915" s="9">
        <f t="shared" si="2"/>
        <v>0</v>
      </c>
      <c r="K1915" s="9" t="str">
        <f t="shared" si="3"/>
        <v>UNDERWEIGHT</v>
      </c>
    </row>
    <row r="1916" ht="15.75" customHeight="1">
      <c r="A1916" s="9" t="s">
        <v>3831</v>
      </c>
      <c r="B1916" s="9">
        <v>25.77</v>
      </c>
      <c r="C1916" s="9">
        <v>4.43</v>
      </c>
      <c r="D1916" s="9" t="s">
        <v>4684</v>
      </c>
      <c r="E1916" s="9" t="s">
        <v>4684</v>
      </c>
      <c r="F1916" s="9" t="s">
        <v>4686</v>
      </c>
      <c r="G1916" s="9">
        <v>1.0</v>
      </c>
      <c r="H1916" s="9" t="s">
        <v>4684</v>
      </c>
      <c r="I1916" s="9" t="str">
        <f t="shared" si="1"/>
        <v>No</v>
      </c>
      <c r="J1916" s="9">
        <f t="shared" si="2"/>
        <v>1</v>
      </c>
      <c r="K1916" s="9" t="str">
        <f t="shared" si="3"/>
        <v>OVERWEIGHT</v>
      </c>
    </row>
    <row r="1917" ht="15.75" customHeight="1">
      <c r="A1917" s="9" t="s">
        <v>3833</v>
      </c>
      <c r="B1917" s="9">
        <v>34.46</v>
      </c>
      <c r="C1917" s="9">
        <v>4.17</v>
      </c>
      <c r="D1917" s="9" t="s">
        <v>4684</v>
      </c>
      <c r="E1917" s="9" t="s">
        <v>4686</v>
      </c>
      <c r="F1917" s="9" t="s">
        <v>4684</v>
      </c>
      <c r="G1917" s="9">
        <v>1.0</v>
      </c>
      <c r="H1917" s="9" t="s">
        <v>4684</v>
      </c>
      <c r="I1917" s="9" t="str">
        <f t="shared" si="1"/>
        <v>No</v>
      </c>
      <c r="J1917" s="9">
        <f t="shared" si="2"/>
        <v>1</v>
      </c>
      <c r="K1917" s="9" t="str">
        <f t="shared" si="3"/>
        <v>OBESITY</v>
      </c>
    </row>
    <row r="1918" ht="15.75" customHeight="1">
      <c r="A1918" s="9" t="s">
        <v>3835</v>
      </c>
      <c r="B1918" s="9">
        <v>30.875</v>
      </c>
      <c r="C1918" s="9">
        <v>4.95</v>
      </c>
      <c r="D1918" s="9" t="s">
        <v>4686</v>
      </c>
      <c r="E1918" s="9" t="s">
        <v>4684</v>
      </c>
      <c r="F1918" s="9" t="s">
        <v>4684</v>
      </c>
      <c r="G1918" s="9" t="s">
        <v>4685</v>
      </c>
      <c r="H1918" s="9" t="s">
        <v>4684</v>
      </c>
      <c r="I1918" s="9" t="str">
        <f t="shared" si="1"/>
        <v>No</v>
      </c>
      <c r="J1918" s="9">
        <f t="shared" si="2"/>
        <v>0</v>
      </c>
      <c r="K1918" s="9" t="str">
        <f t="shared" si="3"/>
        <v>OBESITY</v>
      </c>
    </row>
    <row r="1919" ht="15.75" customHeight="1">
      <c r="A1919" s="9" t="s">
        <v>3837</v>
      </c>
      <c r="B1919" s="9">
        <v>39.49</v>
      </c>
      <c r="C1919" s="9">
        <v>5.13</v>
      </c>
      <c r="D1919" s="9" t="s">
        <v>4684</v>
      </c>
      <c r="E1919" s="9" t="s">
        <v>4684</v>
      </c>
      <c r="F1919" s="9" t="s">
        <v>4684</v>
      </c>
      <c r="G1919" s="9" t="s">
        <v>4685</v>
      </c>
      <c r="H1919" s="9" t="s">
        <v>4684</v>
      </c>
      <c r="I1919" s="9" t="str">
        <f t="shared" si="1"/>
        <v>No</v>
      </c>
      <c r="J1919" s="9">
        <f t="shared" si="2"/>
        <v>0</v>
      </c>
      <c r="K1919" s="9" t="str">
        <f t="shared" si="3"/>
        <v>OBESITY</v>
      </c>
    </row>
    <row r="1920" ht="15.75" customHeight="1">
      <c r="A1920" s="9" t="s">
        <v>3839</v>
      </c>
      <c r="B1920" s="9">
        <v>28.88</v>
      </c>
      <c r="C1920" s="9">
        <v>4.1</v>
      </c>
      <c r="D1920" s="9" t="s">
        <v>4684</v>
      </c>
      <c r="E1920" s="9" t="s">
        <v>4684</v>
      </c>
      <c r="F1920" s="9" t="s">
        <v>4684</v>
      </c>
      <c r="G1920" s="9" t="s">
        <v>4685</v>
      </c>
      <c r="H1920" s="9" t="s">
        <v>4684</v>
      </c>
      <c r="I1920" s="9" t="str">
        <f t="shared" si="1"/>
        <v>No</v>
      </c>
      <c r="J1920" s="9">
        <f t="shared" si="2"/>
        <v>0</v>
      </c>
      <c r="K1920" s="9" t="str">
        <f t="shared" si="3"/>
        <v>OVERWEIGHT</v>
      </c>
    </row>
    <row r="1921" ht="15.75" customHeight="1">
      <c r="A1921" s="9" t="s">
        <v>3841</v>
      </c>
      <c r="B1921" s="9">
        <v>20.235</v>
      </c>
      <c r="C1921" s="9">
        <v>5.01</v>
      </c>
      <c r="D1921" s="9" t="s">
        <v>4686</v>
      </c>
      <c r="E1921" s="9" t="s">
        <v>4684</v>
      </c>
      <c r="F1921" s="9" t="s">
        <v>4684</v>
      </c>
      <c r="G1921" s="9" t="s">
        <v>4685</v>
      </c>
      <c r="H1921" s="9" t="s">
        <v>4684</v>
      </c>
      <c r="I1921" s="9" t="str">
        <f t="shared" si="1"/>
        <v>No</v>
      </c>
      <c r="J1921" s="9">
        <f t="shared" si="2"/>
        <v>0</v>
      </c>
      <c r="K1921" s="9" t="str">
        <f t="shared" si="3"/>
        <v>NORMAL WEIGHT</v>
      </c>
    </row>
    <row r="1922" ht="15.75" customHeight="1">
      <c r="A1922" s="9" t="s">
        <v>3843</v>
      </c>
      <c r="B1922" s="9">
        <v>30.67</v>
      </c>
      <c r="C1922" s="9">
        <v>5.09</v>
      </c>
      <c r="D1922" s="9" t="s">
        <v>4686</v>
      </c>
      <c r="E1922" s="9" t="s">
        <v>4684</v>
      </c>
      <c r="F1922" s="9" t="s">
        <v>4684</v>
      </c>
      <c r="G1922" s="9" t="s">
        <v>4685</v>
      </c>
      <c r="H1922" s="9" t="s">
        <v>4684</v>
      </c>
      <c r="I1922" s="9" t="str">
        <f t="shared" si="1"/>
        <v>No</v>
      </c>
      <c r="J1922" s="9">
        <f t="shared" si="2"/>
        <v>0</v>
      </c>
      <c r="K1922" s="9" t="str">
        <f t="shared" si="3"/>
        <v>OBESITY</v>
      </c>
    </row>
    <row r="1923" ht="15.75" customHeight="1">
      <c r="A1923" s="9" t="s">
        <v>3845</v>
      </c>
      <c r="B1923" s="9">
        <v>30.875</v>
      </c>
      <c r="C1923" s="9">
        <v>6.49</v>
      </c>
      <c r="D1923" s="9" t="s">
        <v>4684</v>
      </c>
      <c r="E1923" s="9" t="s">
        <v>4684</v>
      </c>
      <c r="F1923" s="9" t="s">
        <v>4684</v>
      </c>
      <c r="G1923" s="9" t="s">
        <v>4685</v>
      </c>
      <c r="H1923" s="9" t="s">
        <v>4684</v>
      </c>
      <c r="I1923" s="9" t="str">
        <f t="shared" si="1"/>
        <v>No</v>
      </c>
      <c r="J1923" s="9">
        <f t="shared" si="2"/>
        <v>0</v>
      </c>
      <c r="K1923" s="9" t="str">
        <f t="shared" si="3"/>
        <v>OBESITY</v>
      </c>
    </row>
    <row r="1924" ht="15.75" customHeight="1">
      <c r="A1924" s="9" t="s">
        <v>3847</v>
      </c>
      <c r="B1924" s="9">
        <v>23.8</v>
      </c>
      <c r="C1924" s="9">
        <v>4.08</v>
      </c>
      <c r="D1924" s="9" t="s">
        <v>4684</v>
      </c>
      <c r="E1924" s="9" t="s">
        <v>4684</v>
      </c>
      <c r="F1924" s="9" t="s">
        <v>4684</v>
      </c>
      <c r="G1924" s="9" t="s">
        <v>4685</v>
      </c>
      <c r="H1924" s="9" t="s">
        <v>4684</v>
      </c>
      <c r="I1924" s="9" t="str">
        <f t="shared" si="1"/>
        <v>No</v>
      </c>
      <c r="J1924" s="9">
        <f t="shared" si="2"/>
        <v>0</v>
      </c>
      <c r="K1924" s="9" t="str">
        <f t="shared" si="3"/>
        <v>NORMAL WEIGHT</v>
      </c>
    </row>
    <row r="1925" ht="15.75" customHeight="1">
      <c r="A1925" s="9" t="s">
        <v>3849</v>
      </c>
      <c r="B1925" s="9">
        <v>15.37</v>
      </c>
      <c r="C1925" s="9">
        <v>8.63</v>
      </c>
      <c r="D1925" s="9" t="s">
        <v>4686</v>
      </c>
      <c r="E1925" s="9" t="s">
        <v>4684</v>
      </c>
      <c r="F1925" s="9" t="s">
        <v>4684</v>
      </c>
      <c r="G1925" s="9" t="s">
        <v>4685</v>
      </c>
      <c r="H1925" s="9" t="s">
        <v>4684</v>
      </c>
      <c r="I1925" s="9" t="str">
        <f t="shared" si="1"/>
        <v>No</v>
      </c>
      <c r="J1925" s="9">
        <f t="shared" si="2"/>
        <v>0</v>
      </c>
      <c r="K1925" s="9" t="str">
        <f t="shared" si="3"/>
        <v>UNDERWEIGHT</v>
      </c>
    </row>
    <row r="1926" ht="15.75" customHeight="1">
      <c r="A1926" s="9" t="s">
        <v>3851</v>
      </c>
      <c r="B1926" s="9">
        <v>30.4</v>
      </c>
      <c r="C1926" s="9">
        <v>5.28</v>
      </c>
      <c r="D1926" s="9" t="s">
        <v>4684</v>
      </c>
      <c r="E1926" s="9" t="s">
        <v>4684</v>
      </c>
      <c r="F1926" s="9" t="s">
        <v>4684</v>
      </c>
      <c r="G1926" s="9" t="s">
        <v>4685</v>
      </c>
      <c r="H1926" s="9" t="s">
        <v>4684</v>
      </c>
      <c r="I1926" s="9" t="str">
        <f t="shared" si="1"/>
        <v>No</v>
      </c>
      <c r="J1926" s="9">
        <f t="shared" si="2"/>
        <v>0</v>
      </c>
      <c r="K1926" s="9" t="str">
        <f t="shared" si="3"/>
        <v>OBESITY</v>
      </c>
    </row>
    <row r="1927" ht="15.75" customHeight="1">
      <c r="A1927" s="9" t="s">
        <v>3853</v>
      </c>
      <c r="B1927" s="9">
        <v>19.48</v>
      </c>
      <c r="C1927" s="9">
        <v>5.63</v>
      </c>
      <c r="D1927" s="9" t="s">
        <v>4686</v>
      </c>
      <c r="E1927" s="9" t="s">
        <v>4684</v>
      </c>
      <c r="F1927" s="9" t="s">
        <v>4684</v>
      </c>
      <c r="G1927" s="9">
        <v>1.0</v>
      </c>
      <c r="H1927" s="9" t="s">
        <v>4684</v>
      </c>
      <c r="I1927" s="9" t="str">
        <f t="shared" si="1"/>
        <v>No</v>
      </c>
      <c r="J1927" s="9">
        <f t="shared" si="2"/>
        <v>1</v>
      </c>
      <c r="K1927" s="9" t="str">
        <f t="shared" si="3"/>
        <v>NORMAL WEIGHT</v>
      </c>
    </row>
    <row r="1928" ht="15.75" customHeight="1">
      <c r="A1928" s="9" t="s">
        <v>3855</v>
      </c>
      <c r="B1928" s="9">
        <v>16.96</v>
      </c>
      <c r="C1928" s="9">
        <v>11.47</v>
      </c>
      <c r="D1928" s="9" t="s">
        <v>4686</v>
      </c>
      <c r="E1928" s="9" t="s">
        <v>4684</v>
      </c>
      <c r="F1928" s="9" t="s">
        <v>4684</v>
      </c>
      <c r="G1928" s="9" t="s">
        <v>4685</v>
      </c>
      <c r="H1928" s="9" t="s">
        <v>4684</v>
      </c>
      <c r="I1928" s="9" t="str">
        <f t="shared" si="1"/>
        <v>No</v>
      </c>
      <c r="J1928" s="9">
        <f t="shared" si="2"/>
        <v>0</v>
      </c>
      <c r="K1928" s="9" t="str">
        <f t="shared" si="3"/>
        <v>UNDERWEIGHT</v>
      </c>
    </row>
    <row r="1929" ht="15.75" customHeight="1">
      <c r="A1929" s="9" t="s">
        <v>3857</v>
      </c>
      <c r="B1929" s="9">
        <v>19.05</v>
      </c>
      <c r="C1929" s="9">
        <v>4.92</v>
      </c>
      <c r="D1929" s="9" t="s">
        <v>4684</v>
      </c>
      <c r="E1929" s="9" t="s">
        <v>4684</v>
      </c>
      <c r="F1929" s="9" t="s">
        <v>4684</v>
      </c>
      <c r="G1929" s="9">
        <v>1.0</v>
      </c>
      <c r="H1929" s="9" t="s">
        <v>4684</v>
      </c>
      <c r="I1929" s="9" t="str">
        <f t="shared" si="1"/>
        <v>No</v>
      </c>
      <c r="J1929" s="9">
        <f t="shared" si="2"/>
        <v>1</v>
      </c>
      <c r="K1929" s="9" t="str">
        <f t="shared" si="3"/>
        <v>NORMAL WEIGHT</v>
      </c>
    </row>
    <row r="1930" ht="15.75" customHeight="1">
      <c r="A1930" s="9" t="s">
        <v>3859</v>
      </c>
      <c r="B1930" s="9">
        <v>37.62</v>
      </c>
      <c r="C1930" s="9">
        <v>4.18</v>
      </c>
      <c r="D1930" s="9" t="s">
        <v>4684</v>
      </c>
      <c r="E1930" s="9" t="s">
        <v>4684</v>
      </c>
      <c r="F1930" s="9" t="s">
        <v>4684</v>
      </c>
      <c r="G1930" s="9" t="s">
        <v>4685</v>
      </c>
      <c r="H1930" s="9" t="s">
        <v>4684</v>
      </c>
      <c r="I1930" s="9" t="str">
        <f t="shared" si="1"/>
        <v>No</v>
      </c>
      <c r="J1930" s="9">
        <f t="shared" si="2"/>
        <v>0</v>
      </c>
      <c r="K1930" s="9" t="str">
        <f t="shared" si="3"/>
        <v>OBESITY</v>
      </c>
    </row>
    <row r="1931" ht="15.75" customHeight="1">
      <c r="A1931" s="9" t="s">
        <v>3861</v>
      </c>
      <c r="B1931" s="9">
        <v>29.1</v>
      </c>
      <c r="C1931" s="9">
        <v>4.67</v>
      </c>
      <c r="D1931" s="9" t="s">
        <v>4684</v>
      </c>
      <c r="E1931" s="9" t="s">
        <v>4684</v>
      </c>
      <c r="F1931" s="9" t="s">
        <v>4684</v>
      </c>
      <c r="G1931" s="9" t="s">
        <v>4685</v>
      </c>
      <c r="H1931" s="9" t="s">
        <v>4684</v>
      </c>
      <c r="I1931" s="9" t="str">
        <f t="shared" si="1"/>
        <v>No</v>
      </c>
      <c r="J1931" s="9">
        <f t="shared" si="2"/>
        <v>0</v>
      </c>
      <c r="K1931" s="9" t="str">
        <f t="shared" si="3"/>
        <v>OVERWEIGHT</v>
      </c>
    </row>
    <row r="1932" ht="15.75" customHeight="1">
      <c r="A1932" s="9" t="s">
        <v>3863</v>
      </c>
      <c r="B1932" s="9">
        <v>26.62</v>
      </c>
      <c r="C1932" s="9">
        <v>6.24</v>
      </c>
      <c r="D1932" s="9" t="s">
        <v>4684</v>
      </c>
      <c r="E1932" s="9" t="s">
        <v>4684</v>
      </c>
      <c r="F1932" s="9" t="s">
        <v>4684</v>
      </c>
      <c r="G1932" s="9" t="s">
        <v>4685</v>
      </c>
      <c r="H1932" s="9" t="s">
        <v>4684</v>
      </c>
      <c r="I1932" s="9" t="str">
        <f t="shared" si="1"/>
        <v>No</v>
      </c>
      <c r="J1932" s="9">
        <f t="shared" si="2"/>
        <v>0</v>
      </c>
      <c r="K1932" s="9" t="str">
        <f t="shared" si="3"/>
        <v>OVERWEIGHT</v>
      </c>
    </row>
    <row r="1933" ht="15.75" customHeight="1">
      <c r="A1933" s="9" t="s">
        <v>3865</v>
      </c>
      <c r="B1933" s="9">
        <v>25.74</v>
      </c>
      <c r="C1933" s="9">
        <v>5.99</v>
      </c>
      <c r="D1933" s="9" t="s">
        <v>4684</v>
      </c>
      <c r="E1933" s="9" t="s">
        <v>4684</v>
      </c>
      <c r="F1933" s="9" t="s">
        <v>4684</v>
      </c>
      <c r="G1933" s="9" t="s">
        <v>4685</v>
      </c>
      <c r="H1933" s="9" t="s">
        <v>4684</v>
      </c>
      <c r="I1933" s="9" t="str">
        <f t="shared" si="1"/>
        <v>No</v>
      </c>
      <c r="J1933" s="9">
        <f t="shared" si="2"/>
        <v>0</v>
      </c>
      <c r="K1933" s="9" t="str">
        <f t="shared" si="3"/>
        <v>OVERWEIGHT</v>
      </c>
    </row>
    <row r="1934" ht="15.75" customHeight="1">
      <c r="A1934" s="9" t="s">
        <v>3867</v>
      </c>
      <c r="B1934" s="9">
        <v>18.22</v>
      </c>
      <c r="C1934" s="9">
        <v>10.27</v>
      </c>
      <c r="D1934" s="9" t="s">
        <v>4686</v>
      </c>
      <c r="E1934" s="9" t="s">
        <v>4684</v>
      </c>
      <c r="F1934" s="9" t="s">
        <v>4684</v>
      </c>
      <c r="G1934" s="9">
        <v>1.0</v>
      </c>
      <c r="H1934" s="9" t="s">
        <v>4684</v>
      </c>
      <c r="I1934" s="9" t="str">
        <f t="shared" si="1"/>
        <v>No</v>
      </c>
      <c r="J1934" s="9">
        <f t="shared" si="2"/>
        <v>1</v>
      </c>
      <c r="K1934" s="9" t="str">
        <f t="shared" si="3"/>
        <v>UNDERWEIGHT</v>
      </c>
    </row>
    <row r="1935" ht="15.75" customHeight="1">
      <c r="A1935" s="9" t="s">
        <v>3869</v>
      </c>
      <c r="B1935" s="9">
        <v>26.03</v>
      </c>
      <c r="C1935" s="9">
        <v>5.97</v>
      </c>
      <c r="D1935" s="9" t="s">
        <v>4684</v>
      </c>
      <c r="E1935" s="9" t="s">
        <v>4684</v>
      </c>
      <c r="F1935" s="9" t="s">
        <v>4686</v>
      </c>
      <c r="G1935" s="9">
        <v>1.0</v>
      </c>
      <c r="H1935" s="9" t="s">
        <v>4684</v>
      </c>
      <c r="I1935" s="9" t="str">
        <f t="shared" si="1"/>
        <v>No</v>
      </c>
      <c r="J1935" s="9">
        <f t="shared" si="2"/>
        <v>1</v>
      </c>
      <c r="K1935" s="9" t="str">
        <f t="shared" si="3"/>
        <v>OVERWEIGHT</v>
      </c>
    </row>
    <row r="1936" ht="15.75" customHeight="1">
      <c r="A1936" s="9" t="s">
        <v>3871</v>
      </c>
      <c r="B1936" s="9">
        <v>17.29</v>
      </c>
      <c r="C1936" s="9">
        <v>4.98</v>
      </c>
      <c r="D1936" s="9" t="s">
        <v>4684</v>
      </c>
      <c r="E1936" s="9" t="s">
        <v>4684</v>
      </c>
      <c r="F1936" s="9" t="s">
        <v>4684</v>
      </c>
      <c r="G1936" s="9" t="s">
        <v>4685</v>
      </c>
      <c r="H1936" s="9" t="s">
        <v>4684</v>
      </c>
      <c r="I1936" s="9" t="str">
        <f t="shared" si="1"/>
        <v>No</v>
      </c>
      <c r="J1936" s="9">
        <f t="shared" si="2"/>
        <v>0</v>
      </c>
      <c r="K1936" s="9" t="str">
        <f t="shared" si="3"/>
        <v>UNDERWEIGHT</v>
      </c>
    </row>
    <row r="1937" ht="15.75" customHeight="1">
      <c r="A1937" s="9" t="s">
        <v>3873</v>
      </c>
      <c r="B1937" s="9">
        <v>18.17</v>
      </c>
      <c r="C1937" s="9">
        <v>6.91</v>
      </c>
      <c r="D1937" s="9" t="s">
        <v>4686</v>
      </c>
      <c r="E1937" s="9" t="s">
        <v>4684</v>
      </c>
      <c r="F1937" s="9" t="s">
        <v>4684</v>
      </c>
      <c r="G1937" s="9">
        <v>1.0</v>
      </c>
      <c r="H1937" s="9" t="s">
        <v>4684</v>
      </c>
      <c r="I1937" s="9" t="str">
        <f t="shared" si="1"/>
        <v>No</v>
      </c>
      <c r="J1937" s="9">
        <f t="shared" si="2"/>
        <v>1</v>
      </c>
      <c r="K1937" s="9" t="str">
        <f t="shared" si="3"/>
        <v>UNDERWEIGHT</v>
      </c>
    </row>
    <row r="1938" ht="15.75" customHeight="1">
      <c r="A1938" s="9" t="s">
        <v>3875</v>
      </c>
      <c r="B1938" s="9">
        <v>32.54</v>
      </c>
      <c r="C1938" s="9">
        <v>6.38</v>
      </c>
      <c r="D1938" s="9" t="s">
        <v>4684</v>
      </c>
      <c r="E1938" s="9" t="s">
        <v>4686</v>
      </c>
      <c r="F1938" s="9" t="s">
        <v>4684</v>
      </c>
      <c r="G1938" s="9">
        <v>1.0</v>
      </c>
      <c r="H1938" s="9" t="s">
        <v>4684</v>
      </c>
      <c r="I1938" s="9" t="str">
        <f t="shared" si="1"/>
        <v>No</v>
      </c>
      <c r="J1938" s="9">
        <f t="shared" si="2"/>
        <v>1</v>
      </c>
      <c r="K1938" s="9" t="str">
        <f t="shared" si="3"/>
        <v>OBESITY</v>
      </c>
    </row>
    <row r="1939" ht="15.75" customHeight="1">
      <c r="A1939" s="9" t="s">
        <v>3877</v>
      </c>
      <c r="B1939" s="9">
        <v>30.25</v>
      </c>
      <c r="C1939" s="9">
        <v>4.77</v>
      </c>
      <c r="D1939" s="9" t="s">
        <v>4684</v>
      </c>
      <c r="E1939" s="9" t="s">
        <v>4684</v>
      </c>
      <c r="F1939" s="9" t="s">
        <v>4684</v>
      </c>
      <c r="G1939" s="9" t="s">
        <v>4685</v>
      </c>
      <c r="H1939" s="9" t="s">
        <v>4684</v>
      </c>
      <c r="I1939" s="9" t="str">
        <f t="shared" si="1"/>
        <v>No</v>
      </c>
      <c r="J1939" s="9">
        <f t="shared" si="2"/>
        <v>0</v>
      </c>
      <c r="K1939" s="9" t="str">
        <f t="shared" si="3"/>
        <v>OBESITY</v>
      </c>
    </row>
    <row r="1940" ht="15.75" customHeight="1">
      <c r="A1940" s="9" t="s">
        <v>3879</v>
      </c>
      <c r="B1940" s="9">
        <v>19.59</v>
      </c>
      <c r="C1940" s="9">
        <v>6.04</v>
      </c>
      <c r="D1940" s="9" t="s">
        <v>4686</v>
      </c>
      <c r="E1940" s="9" t="s">
        <v>4684</v>
      </c>
      <c r="F1940" s="9" t="s">
        <v>4684</v>
      </c>
      <c r="G1940" s="9">
        <v>1.0</v>
      </c>
      <c r="H1940" s="9" t="s">
        <v>4684</v>
      </c>
      <c r="I1940" s="9" t="str">
        <f t="shared" si="1"/>
        <v>No</v>
      </c>
      <c r="J1940" s="9">
        <f t="shared" si="2"/>
        <v>1</v>
      </c>
      <c r="K1940" s="9" t="str">
        <f t="shared" si="3"/>
        <v>NORMAL WEIGHT</v>
      </c>
    </row>
    <row r="1941" ht="15.75" customHeight="1">
      <c r="A1941" s="9" t="s">
        <v>3881</v>
      </c>
      <c r="B1941" s="9">
        <v>45.9</v>
      </c>
      <c r="C1941" s="9">
        <v>4.3</v>
      </c>
      <c r="D1941" s="9" t="s">
        <v>4686</v>
      </c>
      <c r="E1941" s="9" t="s">
        <v>4684</v>
      </c>
      <c r="F1941" s="9" t="s">
        <v>4684</v>
      </c>
      <c r="G1941" s="9">
        <v>1.0</v>
      </c>
      <c r="H1941" s="9" t="s">
        <v>4684</v>
      </c>
      <c r="I1941" s="9" t="str">
        <f t="shared" si="1"/>
        <v>No</v>
      </c>
      <c r="J1941" s="9">
        <f t="shared" si="2"/>
        <v>1</v>
      </c>
      <c r="K1941" s="9" t="str">
        <f t="shared" si="3"/>
        <v>OBESITY</v>
      </c>
    </row>
    <row r="1942" ht="15.75" customHeight="1">
      <c r="A1942" s="9" t="s">
        <v>3883</v>
      </c>
      <c r="B1942" s="9">
        <v>17.06</v>
      </c>
      <c r="C1942" s="9">
        <v>8.75</v>
      </c>
      <c r="D1942" s="9" t="s">
        <v>4686</v>
      </c>
      <c r="E1942" s="9" t="s">
        <v>4684</v>
      </c>
      <c r="F1942" s="9" t="s">
        <v>4684</v>
      </c>
      <c r="G1942" s="9" t="s">
        <v>4685</v>
      </c>
      <c r="H1942" s="9" t="s">
        <v>4684</v>
      </c>
      <c r="I1942" s="9" t="str">
        <f t="shared" si="1"/>
        <v>No</v>
      </c>
      <c r="J1942" s="9">
        <f t="shared" si="2"/>
        <v>0</v>
      </c>
      <c r="K1942" s="9" t="str">
        <f t="shared" si="3"/>
        <v>UNDERWEIGHT</v>
      </c>
    </row>
    <row r="1943" ht="15.75" customHeight="1">
      <c r="A1943" s="9" t="s">
        <v>3885</v>
      </c>
      <c r="B1943" s="9">
        <v>32.07</v>
      </c>
      <c r="C1943" s="9">
        <v>5.25</v>
      </c>
      <c r="D1943" s="9" t="s">
        <v>4684</v>
      </c>
      <c r="E1943" s="9" t="s">
        <v>4684</v>
      </c>
      <c r="F1943" s="9" t="s">
        <v>4686</v>
      </c>
      <c r="G1943" s="9">
        <v>1.0</v>
      </c>
      <c r="H1943" s="9" t="s">
        <v>4684</v>
      </c>
      <c r="I1943" s="9" t="str">
        <f t="shared" si="1"/>
        <v>No</v>
      </c>
      <c r="J1943" s="9">
        <f t="shared" si="2"/>
        <v>1</v>
      </c>
      <c r="K1943" s="9" t="str">
        <f t="shared" si="3"/>
        <v>OBESITY</v>
      </c>
    </row>
    <row r="1944" ht="15.75" customHeight="1">
      <c r="A1944" s="9" t="s">
        <v>3887</v>
      </c>
      <c r="B1944" s="9">
        <v>16.5</v>
      </c>
      <c r="C1944" s="9">
        <v>5.03</v>
      </c>
      <c r="D1944" s="9" t="s">
        <v>4684</v>
      </c>
      <c r="E1944" s="9" t="s">
        <v>4684</v>
      </c>
      <c r="F1944" s="9" t="s">
        <v>4684</v>
      </c>
      <c r="G1944" s="9">
        <v>1.0</v>
      </c>
      <c r="H1944" s="9" t="s">
        <v>4684</v>
      </c>
      <c r="I1944" s="9" t="str">
        <f t="shared" si="1"/>
        <v>No</v>
      </c>
      <c r="J1944" s="9">
        <f t="shared" si="2"/>
        <v>1</v>
      </c>
      <c r="K1944" s="9" t="str">
        <f t="shared" si="3"/>
        <v>UNDERWEIGHT</v>
      </c>
    </row>
    <row r="1945" ht="15.75" customHeight="1">
      <c r="A1945" s="9" t="s">
        <v>3889</v>
      </c>
      <c r="B1945" s="9">
        <v>31.4</v>
      </c>
      <c r="C1945" s="9">
        <v>5.88</v>
      </c>
      <c r="D1945" s="9" t="s">
        <v>4684</v>
      </c>
      <c r="E1945" s="9" t="s">
        <v>4684</v>
      </c>
      <c r="F1945" s="9" t="s">
        <v>4684</v>
      </c>
      <c r="G1945" s="9">
        <v>1.0</v>
      </c>
      <c r="H1945" s="9" t="s">
        <v>4684</v>
      </c>
      <c r="I1945" s="9" t="str">
        <f t="shared" si="1"/>
        <v>No</v>
      </c>
      <c r="J1945" s="9">
        <f t="shared" si="2"/>
        <v>1</v>
      </c>
      <c r="K1945" s="9" t="str">
        <f t="shared" si="3"/>
        <v>OBESITY</v>
      </c>
    </row>
    <row r="1946" ht="15.75" customHeight="1">
      <c r="A1946" s="9" t="s">
        <v>3891</v>
      </c>
      <c r="B1946" s="9">
        <v>20.36</v>
      </c>
      <c r="C1946" s="9">
        <v>4.49</v>
      </c>
      <c r="D1946" s="9" t="s">
        <v>4684</v>
      </c>
      <c r="E1946" s="9" t="s">
        <v>4684</v>
      </c>
      <c r="F1946" s="9" t="s">
        <v>4684</v>
      </c>
      <c r="G1946" s="9" t="s">
        <v>4685</v>
      </c>
      <c r="H1946" s="9" t="s">
        <v>4684</v>
      </c>
      <c r="I1946" s="9" t="str">
        <f t="shared" si="1"/>
        <v>No</v>
      </c>
      <c r="J1946" s="9">
        <f t="shared" si="2"/>
        <v>0</v>
      </c>
      <c r="K1946" s="9" t="str">
        <f t="shared" si="3"/>
        <v>NORMAL WEIGHT</v>
      </c>
    </row>
    <row r="1947" ht="15.75" customHeight="1">
      <c r="A1947" s="9" t="s">
        <v>3893</v>
      </c>
      <c r="B1947" s="9">
        <v>25.46</v>
      </c>
      <c r="C1947" s="9">
        <v>4.14</v>
      </c>
      <c r="D1947" s="9" t="s">
        <v>4684</v>
      </c>
      <c r="E1947" s="9" t="s">
        <v>4684</v>
      </c>
      <c r="F1947" s="9" t="s">
        <v>4684</v>
      </c>
      <c r="G1947" s="9">
        <v>1.0</v>
      </c>
      <c r="H1947" s="9" t="s">
        <v>4684</v>
      </c>
      <c r="I1947" s="9" t="str">
        <f t="shared" si="1"/>
        <v>No</v>
      </c>
      <c r="J1947" s="9">
        <f t="shared" si="2"/>
        <v>1</v>
      </c>
      <c r="K1947" s="9" t="str">
        <f t="shared" si="3"/>
        <v>OVERWEIGHT</v>
      </c>
    </row>
    <row r="1948" ht="15.75" customHeight="1">
      <c r="A1948" s="9" t="s">
        <v>3895</v>
      </c>
      <c r="B1948" s="9">
        <v>17.09</v>
      </c>
      <c r="C1948" s="9">
        <v>5.8</v>
      </c>
      <c r="D1948" s="9" t="s">
        <v>4686</v>
      </c>
      <c r="E1948" s="9" t="s">
        <v>4684</v>
      </c>
      <c r="F1948" s="9" t="s">
        <v>4684</v>
      </c>
      <c r="G1948" s="9" t="s">
        <v>4685</v>
      </c>
      <c r="H1948" s="9" t="s">
        <v>4684</v>
      </c>
      <c r="I1948" s="9" t="str">
        <f t="shared" si="1"/>
        <v>No</v>
      </c>
      <c r="J1948" s="9">
        <f t="shared" si="2"/>
        <v>0</v>
      </c>
      <c r="K1948" s="9" t="str">
        <f t="shared" si="3"/>
        <v>UNDERWEIGHT</v>
      </c>
    </row>
    <row r="1949" ht="15.75" customHeight="1">
      <c r="A1949" s="9" t="s">
        <v>3897</v>
      </c>
      <c r="B1949" s="9">
        <v>20.83</v>
      </c>
      <c r="C1949" s="9">
        <v>5.12</v>
      </c>
      <c r="D1949" s="9" t="s">
        <v>4684</v>
      </c>
      <c r="E1949" s="9" t="s">
        <v>4684</v>
      </c>
      <c r="F1949" s="9" t="s">
        <v>4684</v>
      </c>
      <c r="G1949" s="9" t="s">
        <v>4685</v>
      </c>
      <c r="H1949" s="9" t="s">
        <v>4684</v>
      </c>
      <c r="I1949" s="9" t="str">
        <f t="shared" si="1"/>
        <v>No</v>
      </c>
      <c r="J1949" s="9">
        <f t="shared" si="2"/>
        <v>0</v>
      </c>
      <c r="K1949" s="9" t="str">
        <f t="shared" si="3"/>
        <v>NORMAL WEIGHT</v>
      </c>
    </row>
    <row r="1950" ht="15.75" customHeight="1">
      <c r="A1950" s="9" t="s">
        <v>3899</v>
      </c>
      <c r="B1950" s="9">
        <v>18.92</v>
      </c>
      <c r="C1950" s="9">
        <v>5.98</v>
      </c>
      <c r="D1950" s="9" t="s">
        <v>4686</v>
      </c>
      <c r="E1950" s="9" t="s">
        <v>4684</v>
      </c>
      <c r="F1950" s="9" t="s">
        <v>4684</v>
      </c>
      <c r="G1950" s="9">
        <v>1.0</v>
      </c>
      <c r="H1950" s="9" t="s">
        <v>4684</v>
      </c>
      <c r="I1950" s="9" t="str">
        <f t="shared" si="1"/>
        <v>No</v>
      </c>
      <c r="J1950" s="9">
        <f t="shared" si="2"/>
        <v>1</v>
      </c>
      <c r="K1950" s="9" t="str">
        <f t="shared" si="3"/>
        <v>NORMAL WEIGHT</v>
      </c>
    </row>
    <row r="1951" ht="15.75" customHeight="1">
      <c r="A1951" s="9" t="s">
        <v>3901</v>
      </c>
      <c r="B1951" s="9">
        <v>37.1</v>
      </c>
      <c r="C1951" s="9">
        <v>5.46</v>
      </c>
      <c r="D1951" s="9" t="s">
        <v>4684</v>
      </c>
      <c r="E1951" s="9" t="s">
        <v>4684</v>
      </c>
      <c r="F1951" s="9" t="s">
        <v>4684</v>
      </c>
      <c r="G1951" s="9" t="s">
        <v>4685</v>
      </c>
      <c r="H1951" s="9" t="s">
        <v>4684</v>
      </c>
      <c r="I1951" s="9" t="str">
        <f t="shared" si="1"/>
        <v>No</v>
      </c>
      <c r="J1951" s="9">
        <f t="shared" si="2"/>
        <v>0</v>
      </c>
      <c r="K1951" s="9" t="str">
        <f t="shared" si="3"/>
        <v>OBESITY</v>
      </c>
    </row>
    <row r="1952" ht="15.75" customHeight="1">
      <c r="A1952" s="9" t="s">
        <v>3903</v>
      </c>
      <c r="B1952" s="9">
        <v>22.515</v>
      </c>
      <c r="C1952" s="9">
        <v>4.91</v>
      </c>
      <c r="D1952" s="9" t="s">
        <v>4686</v>
      </c>
      <c r="E1952" s="9" t="s">
        <v>4684</v>
      </c>
      <c r="F1952" s="9" t="s">
        <v>4686</v>
      </c>
      <c r="G1952" s="9">
        <v>1.0</v>
      </c>
      <c r="H1952" s="9" t="s">
        <v>4684</v>
      </c>
      <c r="I1952" s="9" t="str">
        <f t="shared" si="1"/>
        <v>No</v>
      </c>
      <c r="J1952" s="9">
        <f t="shared" si="2"/>
        <v>1</v>
      </c>
      <c r="K1952" s="9" t="str">
        <f t="shared" si="3"/>
        <v>NORMAL WEIGHT</v>
      </c>
    </row>
    <row r="1953" ht="15.75" customHeight="1">
      <c r="A1953" s="9" t="s">
        <v>3905</v>
      </c>
      <c r="B1953" s="9">
        <v>32.7</v>
      </c>
      <c r="C1953" s="9">
        <v>4.66</v>
      </c>
      <c r="D1953" s="9" t="s">
        <v>4684</v>
      </c>
      <c r="E1953" s="9" t="s">
        <v>4684</v>
      </c>
      <c r="F1953" s="9" t="s">
        <v>4684</v>
      </c>
      <c r="G1953" s="9" t="s">
        <v>4685</v>
      </c>
      <c r="H1953" s="9" t="s">
        <v>4684</v>
      </c>
      <c r="I1953" s="9" t="str">
        <f t="shared" si="1"/>
        <v>No</v>
      </c>
      <c r="J1953" s="9">
        <f t="shared" si="2"/>
        <v>0</v>
      </c>
      <c r="K1953" s="9" t="str">
        <f t="shared" si="3"/>
        <v>OBESITY</v>
      </c>
    </row>
    <row r="1954" ht="15.75" customHeight="1">
      <c r="A1954" s="9" t="s">
        <v>3907</v>
      </c>
      <c r="B1954" s="9">
        <v>17.75</v>
      </c>
      <c r="C1954" s="9">
        <v>6.8</v>
      </c>
      <c r="D1954" s="9" t="s">
        <v>4686</v>
      </c>
      <c r="E1954" s="9" t="s">
        <v>4684</v>
      </c>
      <c r="F1954" s="9" t="s">
        <v>4684</v>
      </c>
      <c r="G1954" s="9">
        <v>1.0</v>
      </c>
      <c r="H1954" s="9" t="s">
        <v>4684</v>
      </c>
      <c r="I1954" s="9" t="str">
        <f t="shared" si="1"/>
        <v>No</v>
      </c>
      <c r="J1954" s="9">
        <f t="shared" si="2"/>
        <v>1</v>
      </c>
      <c r="K1954" s="9" t="str">
        <f t="shared" si="3"/>
        <v>UNDERWEIGHT</v>
      </c>
    </row>
    <row r="1955" ht="15.75" customHeight="1">
      <c r="A1955" s="9" t="s">
        <v>3909</v>
      </c>
      <c r="B1955" s="9">
        <v>33.63</v>
      </c>
      <c r="C1955" s="9">
        <v>4.47</v>
      </c>
      <c r="D1955" s="9" t="s">
        <v>4686</v>
      </c>
      <c r="E1955" s="9" t="s">
        <v>4684</v>
      </c>
      <c r="F1955" s="9" t="s">
        <v>4684</v>
      </c>
      <c r="G1955" s="9" t="s">
        <v>4685</v>
      </c>
      <c r="H1955" s="9" t="s">
        <v>4684</v>
      </c>
      <c r="I1955" s="9" t="str">
        <f t="shared" si="1"/>
        <v>No</v>
      </c>
      <c r="J1955" s="9">
        <f t="shared" si="2"/>
        <v>0</v>
      </c>
      <c r="K1955" s="9" t="str">
        <f t="shared" si="3"/>
        <v>OBESITY</v>
      </c>
    </row>
    <row r="1956" ht="15.75" customHeight="1">
      <c r="A1956" s="9" t="s">
        <v>3911</v>
      </c>
      <c r="B1956" s="9">
        <v>34.8</v>
      </c>
      <c r="C1956" s="9">
        <v>4.08</v>
      </c>
      <c r="D1956" s="9" t="s">
        <v>4686</v>
      </c>
      <c r="E1956" s="9" t="s">
        <v>4684</v>
      </c>
      <c r="F1956" s="9" t="s">
        <v>4684</v>
      </c>
      <c r="G1956" s="9">
        <v>1.0</v>
      </c>
      <c r="H1956" s="9" t="s">
        <v>4684</v>
      </c>
      <c r="I1956" s="9" t="str">
        <f t="shared" si="1"/>
        <v>No</v>
      </c>
      <c r="J1956" s="9">
        <f t="shared" si="2"/>
        <v>1</v>
      </c>
      <c r="K1956" s="9" t="str">
        <f t="shared" si="3"/>
        <v>OBESITY</v>
      </c>
    </row>
    <row r="1957" ht="15.75" customHeight="1">
      <c r="A1957" s="9" t="s">
        <v>3913</v>
      </c>
      <c r="B1957" s="9">
        <v>16.81</v>
      </c>
      <c r="C1957" s="9">
        <v>5.51</v>
      </c>
      <c r="D1957" s="9" t="s">
        <v>4686</v>
      </c>
      <c r="E1957" s="9" t="s">
        <v>4684</v>
      </c>
      <c r="F1957" s="9" t="s">
        <v>4684</v>
      </c>
      <c r="G1957" s="9">
        <v>1.0</v>
      </c>
      <c r="H1957" s="9" t="s">
        <v>4684</v>
      </c>
      <c r="I1957" s="9" t="str">
        <f t="shared" si="1"/>
        <v>No</v>
      </c>
      <c r="J1957" s="9">
        <f t="shared" si="2"/>
        <v>1</v>
      </c>
      <c r="K1957" s="9" t="str">
        <f t="shared" si="3"/>
        <v>UNDERWEIGHT</v>
      </c>
    </row>
    <row r="1958" ht="15.75" customHeight="1">
      <c r="A1958" s="9" t="s">
        <v>3915</v>
      </c>
      <c r="B1958" s="9">
        <v>16.69</v>
      </c>
      <c r="C1958" s="9">
        <v>8.4</v>
      </c>
      <c r="D1958" s="9" t="s">
        <v>4686</v>
      </c>
      <c r="E1958" s="9" t="s">
        <v>4684</v>
      </c>
      <c r="F1958" s="9" t="s">
        <v>4684</v>
      </c>
      <c r="G1958" s="9" t="s">
        <v>4685</v>
      </c>
      <c r="H1958" s="9" t="s">
        <v>4684</v>
      </c>
      <c r="I1958" s="9" t="str">
        <f t="shared" si="1"/>
        <v>No</v>
      </c>
      <c r="J1958" s="9">
        <f t="shared" si="2"/>
        <v>0</v>
      </c>
      <c r="K1958" s="9" t="str">
        <f t="shared" si="3"/>
        <v>UNDERWEIGHT</v>
      </c>
    </row>
    <row r="1959" ht="15.75" customHeight="1">
      <c r="A1959" s="9" t="s">
        <v>3917</v>
      </c>
      <c r="B1959" s="9">
        <v>23.21</v>
      </c>
      <c r="C1959" s="9">
        <v>5.14</v>
      </c>
      <c r="D1959" s="9" t="s">
        <v>4686</v>
      </c>
      <c r="E1959" s="9" t="s">
        <v>4684</v>
      </c>
      <c r="F1959" s="9" t="s">
        <v>4684</v>
      </c>
      <c r="G1959" s="9">
        <v>1.0</v>
      </c>
      <c r="H1959" s="9" t="s">
        <v>4684</v>
      </c>
      <c r="I1959" s="9" t="str">
        <f t="shared" si="1"/>
        <v>No</v>
      </c>
      <c r="J1959" s="9">
        <f t="shared" si="2"/>
        <v>1</v>
      </c>
      <c r="K1959" s="9" t="str">
        <f t="shared" si="3"/>
        <v>NORMAL WEIGHT</v>
      </c>
    </row>
    <row r="1960" ht="15.75" customHeight="1">
      <c r="A1960" s="9" t="s">
        <v>3919</v>
      </c>
      <c r="B1960" s="9">
        <v>25.175</v>
      </c>
      <c r="C1960" s="9">
        <v>5.21</v>
      </c>
      <c r="D1960" s="9" t="s">
        <v>4686</v>
      </c>
      <c r="E1960" s="9" t="s">
        <v>4684</v>
      </c>
      <c r="F1960" s="9" t="s">
        <v>4684</v>
      </c>
      <c r="G1960" s="9">
        <v>1.0</v>
      </c>
      <c r="H1960" s="9" t="s">
        <v>4684</v>
      </c>
      <c r="I1960" s="9" t="str">
        <f t="shared" si="1"/>
        <v>No</v>
      </c>
      <c r="J1960" s="9">
        <f t="shared" si="2"/>
        <v>1</v>
      </c>
      <c r="K1960" s="9" t="str">
        <f t="shared" si="3"/>
        <v>OVERWEIGHT</v>
      </c>
    </row>
    <row r="1961" ht="15.75" customHeight="1">
      <c r="A1961" s="9" t="s">
        <v>3921</v>
      </c>
      <c r="B1961" s="9">
        <v>34.77</v>
      </c>
      <c r="C1961" s="9">
        <v>6.23</v>
      </c>
      <c r="D1961" s="9" t="s">
        <v>4684</v>
      </c>
      <c r="E1961" s="9" t="s">
        <v>4684</v>
      </c>
      <c r="F1961" s="9" t="s">
        <v>4684</v>
      </c>
      <c r="G1961" s="9" t="s">
        <v>4685</v>
      </c>
      <c r="H1961" s="9" t="s">
        <v>4684</v>
      </c>
      <c r="I1961" s="9" t="str">
        <f t="shared" si="1"/>
        <v>No</v>
      </c>
      <c r="J1961" s="9">
        <f t="shared" si="2"/>
        <v>0</v>
      </c>
      <c r="K1961" s="9" t="str">
        <f t="shared" si="3"/>
        <v>OBESITY</v>
      </c>
    </row>
    <row r="1962" ht="15.75" customHeight="1">
      <c r="A1962" s="9" t="s">
        <v>3923</v>
      </c>
      <c r="B1962" s="9">
        <v>27.7</v>
      </c>
      <c r="C1962" s="9">
        <v>5.6</v>
      </c>
      <c r="D1962" s="9" t="s">
        <v>4684</v>
      </c>
      <c r="E1962" s="9" t="s">
        <v>4684</v>
      </c>
      <c r="F1962" s="9" t="s">
        <v>4684</v>
      </c>
      <c r="G1962" s="9">
        <v>1.0</v>
      </c>
      <c r="H1962" s="9" t="s">
        <v>4684</v>
      </c>
      <c r="I1962" s="9" t="str">
        <f t="shared" si="1"/>
        <v>No</v>
      </c>
      <c r="J1962" s="9">
        <f t="shared" si="2"/>
        <v>1</v>
      </c>
      <c r="K1962" s="9" t="str">
        <f t="shared" si="3"/>
        <v>OVERWEIGHT</v>
      </c>
    </row>
    <row r="1963" ht="15.75" customHeight="1">
      <c r="A1963" s="9" t="s">
        <v>3925</v>
      </c>
      <c r="B1963" s="9">
        <v>19.12</v>
      </c>
      <c r="C1963" s="9">
        <v>4.72</v>
      </c>
      <c r="D1963" s="9" t="s">
        <v>4686</v>
      </c>
      <c r="E1963" s="9" t="s">
        <v>4684</v>
      </c>
      <c r="F1963" s="9" t="s">
        <v>4684</v>
      </c>
      <c r="G1963" s="9">
        <v>1.0</v>
      </c>
      <c r="H1963" s="9" t="s">
        <v>4684</v>
      </c>
      <c r="I1963" s="9" t="str">
        <f t="shared" si="1"/>
        <v>No</v>
      </c>
      <c r="J1963" s="9">
        <f t="shared" si="2"/>
        <v>1</v>
      </c>
      <c r="K1963" s="9" t="str">
        <f t="shared" si="3"/>
        <v>NORMAL WEIGHT</v>
      </c>
    </row>
    <row r="1964" ht="15.75" customHeight="1">
      <c r="A1964" s="9" t="s">
        <v>3927</v>
      </c>
      <c r="B1964" s="9">
        <v>32.67</v>
      </c>
      <c r="C1964" s="9">
        <v>4.67</v>
      </c>
      <c r="D1964" s="9" t="s">
        <v>4684</v>
      </c>
      <c r="E1964" s="9" t="s">
        <v>4684</v>
      </c>
      <c r="F1964" s="9" t="s">
        <v>4686</v>
      </c>
      <c r="G1964" s="9">
        <v>1.0</v>
      </c>
      <c r="H1964" s="9" t="s">
        <v>4684</v>
      </c>
      <c r="I1964" s="9" t="str">
        <f t="shared" si="1"/>
        <v>No</v>
      </c>
      <c r="J1964" s="9">
        <f t="shared" si="2"/>
        <v>1</v>
      </c>
      <c r="K1964" s="9" t="str">
        <f t="shared" si="3"/>
        <v>OBESITY</v>
      </c>
    </row>
    <row r="1965" ht="15.75" customHeight="1">
      <c r="A1965" s="9" t="s">
        <v>3929</v>
      </c>
      <c r="B1965" s="9">
        <v>28.5</v>
      </c>
      <c r="C1965" s="9">
        <v>6.11</v>
      </c>
      <c r="D1965" s="9" t="s">
        <v>4684</v>
      </c>
      <c r="E1965" s="9" t="s">
        <v>4684</v>
      </c>
      <c r="F1965" s="9" t="s">
        <v>4684</v>
      </c>
      <c r="G1965" s="9">
        <v>1.0</v>
      </c>
      <c r="H1965" s="9" t="s">
        <v>4684</v>
      </c>
      <c r="I1965" s="9" t="str">
        <f t="shared" si="1"/>
        <v>No</v>
      </c>
      <c r="J1965" s="9">
        <f t="shared" si="2"/>
        <v>1</v>
      </c>
      <c r="K1965" s="9" t="str">
        <f t="shared" si="3"/>
        <v>OVERWEIGHT</v>
      </c>
    </row>
    <row r="1966" ht="15.75" customHeight="1">
      <c r="A1966" s="9" t="s">
        <v>3931</v>
      </c>
      <c r="B1966" s="9">
        <v>39.27</v>
      </c>
      <c r="C1966" s="9">
        <v>6.25</v>
      </c>
      <c r="D1966" s="9" t="s">
        <v>4684</v>
      </c>
      <c r="E1966" s="9" t="s">
        <v>4684</v>
      </c>
      <c r="F1966" s="9" t="s">
        <v>4684</v>
      </c>
      <c r="G1966" s="9" t="s">
        <v>4685</v>
      </c>
      <c r="H1966" s="9" t="s">
        <v>4684</v>
      </c>
      <c r="I1966" s="9" t="str">
        <f t="shared" si="1"/>
        <v>No</v>
      </c>
      <c r="J1966" s="9">
        <f t="shared" si="2"/>
        <v>0</v>
      </c>
      <c r="K1966" s="9" t="str">
        <f t="shared" si="3"/>
        <v>OBESITY</v>
      </c>
    </row>
    <row r="1967" ht="15.75" customHeight="1">
      <c r="A1967" s="9" t="s">
        <v>3933</v>
      </c>
      <c r="B1967" s="9">
        <v>32.49</v>
      </c>
      <c r="C1967" s="9">
        <v>4.0</v>
      </c>
      <c r="D1967" s="9" t="s">
        <v>4686</v>
      </c>
      <c r="E1967" s="9" t="s">
        <v>4684</v>
      </c>
      <c r="F1967" s="9" t="s">
        <v>4684</v>
      </c>
      <c r="G1967" s="9" t="s">
        <v>4685</v>
      </c>
      <c r="H1967" s="9" t="s">
        <v>4684</v>
      </c>
      <c r="I1967" s="9" t="str">
        <f t="shared" si="1"/>
        <v>No</v>
      </c>
      <c r="J1967" s="9">
        <f t="shared" si="2"/>
        <v>0</v>
      </c>
      <c r="K1967" s="9" t="str">
        <f t="shared" si="3"/>
        <v>OBESITY</v>
      </c>
    </row>
    <row r="1968" ht="15.75" customHeight="1">
      <c r="A1968" s="9" t="s">
        <v>3935</v>
      </c>
      <c r="B1968" s="9">
        <v>23.7</v>
      </c>
      <c r="C1968" s="9">
        <v>5.55</v>
      </c>
      <c r="D1968" s="9" t="s">
        <v>4686</v>
      </c>
      <c r="E1968" s="9" t="s">
        <v>4684</v>
      </c>
      <c r="F1968" s="9" t="s">
        <v>4684</v>
      </c>
      <c r="G1968" s="9" t="s">
        <v>4685</v>
      </c>
      <c r="H1968" s="9" t="s">
        <v>4684</v>
      </c>
      <c r="I1968" s="9" t="str">
        <f t="shared" si="1"/>
        <v>No</v>
      </c>
      <c r="J1968" s="9">
        <f t="shared" si="2"/>
        <v>0</v>
      </c>
      <c r="K1968" s="9" t="str">
        <f t="shared" si="3"/>
        <v>NORMAL WEIGHT</v>
      </c>
    </row>
    <row r="1969" ht="15.75" customHeight="1">
      <c r="A1969" s="9" t="s">
        <v>3937</v>
      </c>
      <c r="B1969" s="9">
        <v>30.4</v>
      </c>
      <c r="C1969" s="9">
        <v>5.95</v>
      </c>
      <c r="D1969" s="9" t="s">
        <v>4684</v>
      </c>
      <c r="E1969" s="9" t="s">
        <v>4686</v>
      </c>
      <c r="F1969" s="9" t="s">
        <v>4684</v>
      </c>
      <c r="G1969" s="9">
        <v>1.0</v>
      </c>
      <c r="H1969" s="9" t="s">
        <v>4684</v>
      </c>
      <c r="I1969" s="9" t="str">
        <f t="shared" si="1"/>
        <v>No</v>
      </c>
      <c r="J1969" s="9">
        <f t="shared" si="2"/>
        <v>1</v>
      </c>
      <c r="K1969" s="9" t="str">
        <f t="shared" si="3"/>
        <v>OBESITY</v>
      </c>
    </row>
    <row r="1970" ht="15.75" customHeight="1">
      <c r="A1970" s="9" t="s">
        <v>3939</v>
      </c>
      <c r="B1970" s="9">
        <v>38.94</v>
      </c>
      <c r="C1970" s="9">
        <v>4.36</v>
      </c>
      <c r="D1970" s="9" t="s">
        <v>4684</v>
      </c>
      <c r="E1970" s="9" t="s">
        <v>4684</v>
      </c>
      <c r="F1970" s="9" t="s">
        <v>4686</v>
      </c>
      <c r="G1970" s="9">
        <v>1.0</v>
      </c>
      <c r="H1970" s="9" t="s">
        <v>4684</v>
      </c>
      <c r="I1970" s="9" t="str">
        <f t="shared" si="1"/>
        <v>No</v>
      </c>
      <c r="J1970" s="9">
        <f t="shared" si="2"/>
        <v>1</v>
      </c>
      <c r="K1970" s="9" t="str">
        <f t="shared" si="3"/>
        <v>OBESITY</v>
      </c>
    </row>
    <row r="1971" ht="15.75" customHeight="1">
      <c r="A1971" s="9" t="s">
        <v>3941</v>
      </c>
      <c r="B1971" s="9">
        <v>31.02</v>
      </c>
      <c r="C1971" s="9">
        <v>4.84</v>
      </c>
      <c r="D1971" s="9" t="s">
        <v>4684</v>
      </c>
      <c r="E1971" s="9" t="s">
        <v>4684</v>
      </c>
      <c r="F1971" s="9" t="s">
        <v>4686</v>
      </c>
      <c r="G1971" s="9">
        <v>1.0</v>
      </c>
      <c r="H1971" s="9" t="s">
        <v>4684</v>
      </c>
      <c r="I1971" s="9" t="str">
        <f t="shared" si="1"/>
        <v>No</v>
      </c>
      <c r="J1971" s="9">
        <f t="shared" si="2"/>
        <v>1</v>
      </c>
      <c r="K1971" s="9" t="str">
        <f t="shared" si="3"/>
        <v>OBESITY</v>
      </c>
    </row>
    <row r="1972" ht="15.75" customHeight="1">
      <c r="A1972" s="9" t="s">
        <v>3943</v>
      </c>
      <c r="B1972" s="9">
        <v>17.5</v>
      </c>
      <c r="C1972" s="9">
        <v>4.56</v>
      </c>
      <c r="D1972" s="9" t="s">
        <v>4684</v>
      </c>
      <c r="E1972" s="9" t="s">
        <v>4684</v>
      </c>
      <c r="F1972" s="9" t="s">
        <v>4684</v>
      </c>
      <c r="G1972" s="9">
        <v>1.0</v>
      </c>
      <c r="H1972" s="9" t="s">
        <v>4684</v>
      </c>
      <c r="I1972" s="9" t="str">
        <f t="shared" si="1"/>
        <v>No</v>
      </c>
      <c r="J1972" s="9">
        <f t="shared" si="2"/>
        <v>1</v>
      </c>
      <c r="K1972" s="9" t="str">
        <f t="shared" si="3"/>
        <v>UNDERWEIGHT</v>
      </c>
    </row>
    <row r="1973" ht="15.75" customHeight="1">
      <c r="A1973" s="9" t="s">
        <v>3945</v>
      </c>
      <c r="B1973" s="9">
        <v>34.8</v>
      </c>
      <c r="C1973" s="9">
        <v>4.42</v>
      </c>
      <c r="D1973" s="9" t="s">
        <v>4686</v>
      </c>
      <c r="E1973" s="9" t="s">
        <v>4686</v>
      </c>
      <c r="F1973" s="9" t="s">
        <v>4684</v>
      </c>
      <c r="G1973" s="9">
        <v>2.0</v>
      </c>
      <c r="H1973" s="9" t="s">
        <v>4684</v>
      </c>
      <c r="I1973" s="9" t="str">
        <f t="shared" si="1"/>
        <v>No</v>
      </c>
      <c r="J1973" s="9">
        <f t="shared" si="2"/>
        <v>2</v>
      </c>
      <c r="K1973" s="9" t="str">
        <f t="shared" si="3"/>
        <v>OBESITY</v>
      </c>
    </row>
    <row r="1974" ht="15.75" customHeight="1">
      <c r="A1974" s="9" t="s">
        <v>3947</v>
      </c>
      <c r="B1974" s="9">
        <v>17.3</v>
      </c>
      <c r="C1974" s="9">
        <v>7.66</v>
      </c>
      <c r="D1974" s="9" t="s">
        <v>4686</v>
      </c>
      <c r="E1974" s="9" t="s">
        <v>4684</v>
      </c>
      <c r="F1974" s="9" t="s">
        <v>4684</v>
      </c>
      <c r="G1974" s="9">
        <v>1.0</v>
      </c>
      <c r="H1974" s="9" t="s">
        <v>4684</v>
      </c>
      <c r="I1974" s="9" t="str">
        <f t="shared" si="1"/>
        <v>No</v>
      </c>
      <c r="J1974" s="9">
        <f t="shared" si="2"/>
        <v>1</v>
      </c>
      <c r="K1974" s="9" t="str">
        <f t="shared" si="3"/>
        <v>UNDERWEIGHT</v>
      </c>
    </row>
    <row r="1975" ht="15.75" customHeight="1">
      <c r="A1975" s="9" t="s">
        <v>3949</v>
      </c>
      <c r="B1975" s="9">
        <v>32.25</v>
      </c>
      <c r="C1975" s="9">
        <v>5.2</v>
      </c>
      <c r="D1975" s="9" t="s">
        <v>4686</v>
      </c>
      <c r="E1975" s="9" t="s">
        <v>4684</v>
      </c>
      <c r="F1975" s="9" t="s">
        <v>4684</v>
      </c>
      <c r="G1975" s="9" t="s">
        <v>4685</v>
      </c>
      <c r="H1975" s="9" t="s">
        <v>4684</v>
      </c>
      <c r="I1975" s="9" t="str">
        <f t="shared" si="1"/>
        <v>No</v>
      </c>
      <c r="J1975" s="9">
        <f t="shared" si="2"/>
        <v>0</v>
      </c>
      <c r="K1975" s="9" t="str">
        <f t="shared" si="3"/>
        <v>OBESITY</v>
      </c>
    </row>
    <row r="1976" ht="15.75" customHeight="1">
      <c r="A1976" s="9" t="s">
        <v>3951</v>
      </c>
      <c r="B1976" s="9">
        <v>42.4</v>
      </c>
      <c r="C1976" s="9">
        <v>5.53</v>
      </c>
      <c r="D1976" s="9" t="s">
        <v>4686</v>
      </c>
      <c r="E1976" s="9" t="s">
        <v>4684</v>
      </c>
      <c r="F1976" s="9" t="s">
        <v>4684</v>
      </c>
      <c r="G1976" s="9" t="s">
        <v>4685</v>
      </c>
      <c r="H1976" s="9" t="s">
        <v>4684</v>
      </c>
      <c r="I1976" s="9" t="str">
        <f t="shared" si="1"/>
        <v>No</v>
      </c>
      <c r="J1976" s="9">
        <f t="shared" si="2"/>
        <v>0</v>
      </c>
      <c r="K1976" s="9" t="str">
        <f t="shared" si="3"/>
        <v>OBESITY</v>
      </c>
    </row>
    <row r="1977" ht="15.75" customHeight="1">
      <c r="A1977" s="9" t="s">
        <v>3953</v>
      </c>
      <c r="B1977" s="9">
        <v>38.665</v>
      </c>
      <c r="C1977" s="9">
        <v>4.86</v>
      </c>
      <c r="D1977" s="9" t="s">
        <v>4684</v>
      </c>
      <c r="E1977" s="9" t="s">
        <v>4686</v>
      </c>
      <c r="F1977" s="9" t="s">
        <v>4684</v>
      </c>
      <c r="G1977" s="9">
        <v>1.0</v>
      </c>
      <c r="H1977" s="9" t="s">
        <v>4684</v>
      </c>
      <c r="I1977" s="9" t="str">
        <f t="shared" si="1"/>
        <v>No</v>
      </c>
      <c r="J1977" s="9">
        <f t="shared" si="2"/>
        <v>1</v>
      </c>
      <c r="K1977" s="9" t="str">
        <f t="shared" si="3"/>
        <v>OBESITY</v>
      </c>
    </row>
    <row r="1978" ht="15.75" customHeight="1">
      <c r="A1978" s="9" t="s">
        <v>3955</v>
      </c>
      <c r="B1978" s="9">
        <v>29.92</v>
      </c>
      <c r="C1978" s="9">
        <v>5.49</v>
      </c>
      <c r="D1978" s="9" t="s">
        <v>4686</v>
      </c>
      <c r="E1978" s="9" t="s">
        <v>4684</v>
      </c>
      <c r="F1978" s="9" t="s">
        <v>4684</v>
      </c>
      <c r="G1978" s="9" t="s">
        <v>4685</v>
      </c>
      <c r="H1978" s="9" t="s">
        <v>4684</v>
      </c>
      <c r="I1978" s="9" t="str">
        <f t="shared" si="1"/>
        <v>No</v>
      </c>
      <c r="J1978" s="9">
        <f t="shared" si="2"/>
        <v>0</v>
      </c>
      <c r="K1978" s="9" t="str">
        <f t="shared" si="3"/>
        <v>OBESITY</v>
      </c>
    </row>
    <row r="1979" ht="15.75" customHeight="1">
      <c r="A1979" s="9" t="s">
        <v>3957</v>
      </c>
      <c r="B1979" s="9">
        <v>29.48</v>
      </c>
      <c r="C1979" s="9">
        <v>4.09</v>
      </c>
      <c r="D1979" s="9" t="s">
        <v>4686</v>
      </c>
      <c r="E1979" s="9" t="s">
        <v>4684</v>
      </c>
      <c r="F1979" s="9" t="s">
        <v>4684</v>
      </c>
      <c r="G1979" s="9" t="s">
        <v>4685</v>
      </c>
      <c r="H1979" s="9" t="s">
        <v>4684</v>
      </c>
      <c r="I1979" s="9" t="str">
        <f t="shared" si="1"/>
        <v>No</v>
      </c>
      <c r="J1979" s="9">
        <f t="shared" si="2"/>
        <v>0</v>
      </c>
      <c r="K1979" s="9" t="str">
        <f t="shared" si="3"/>
        <v>OVERWEIGHT</v>
      </c>
    </row>
    <row r="1980" ht="15.75" customHeight="1">
      <c r="A1980" s="9" t="s">
        <v>3959</v>
      </c>
      <c r="B1980" s="9">
        <v>28.785</v>
      </c>
      <c r="C1980" s="9">
        <v>4.31</v>
      </c>
      <c r="D1980" s="9" t="s">
        <v>4686</v>
      </c>
      <c r="E1980" s="9" t="s">
        <v>4684</v>
      </c>
      <c r="F1980" s="9" t="s">
        <v>4684</v>
      </c>
      <c r="G1980" s="9" t="s">
        <v>4685</v>
      </c>
      <c r="H1980" s="9" t="s">
        <v>4684</v>
      </c>
      <c r="I1980" s="9" t="str">
        <f t="shared" si="1"/>
        <v>No</v>
      </c>
      <c r="J1980" s="9">
        <f t="shared" si="2"/>
        <v>0</v>
      </c>
      <c r="K1980" s="9" t="str">
        <f t="shared" si="3"/>
        <v>OVERWEIGHT</v>
      </c>
    </row>
    <row r="1981" ht="15.75" customHeight="1">
      <c r="A1981" s="9" t="s">
        <v>3961</v>
      </c>
      <c r="B1981" s="9">
        <v>19.8</v>
      </c>
      <c r="C1981" s="9">
        <v>4.0</v>
      </c>
      <c r="D1981" s="9" t="s">
        <v>4686</v>
      </c>
      <c r="E1981" s="9" t="s">
        <v>4684</v>
      </c>
      <c r="F1981" s="9" t="s">
        <v>4684</v>
      </c>
      <c r="G1981" s="9" t="s">
        <v>4685</v>
      </c>
      <c r="H1981" s="9" t="s">
        <v>4684</v>
      </c>
      <c r="I1981" s="9" t="str">
        <f t="shared" si="1"/>
        <v>No</v>
      </c>
      <c r="J1981" s="9">
        <f t="shared" si="2"/>
        <v>0</v>
      </c>
      <c r="K1981" s="9" t="str">
        <f t="shared" si="3"/>
        <v>NORMAL WEIGHT</v>
      </c>
    </row>
    <row r="1982" ht="15.75" customHeight="1">
      <c r="A1982" s="9" t="s">
        <v>3963</v>
      </c>
      <c r="B1982" s="9">
        <v>35.53</v>
      </c>
      <c r="C1982" s="9">
        <v>4.68</v>
      </c>
      <c r="D1982" s="9" t="s">
        <v>4684</v>
      </c>
      <c r="E1982" s="9" t="s">
        <v>4684</v>
      </c>
      <c r="F1982" s="9" t="s">
        <v>4686</v>
      </c>
      <c r="G1982" s="9">
        <v>1.0</v>
      </c>
      <c r="H1982" s="9" t="s">
        <v>4684</v>
      </c>
      <c r="I1982" s="9" t="str">
        <f t="shared" si="1"/>
        <v>No</v>
      </c>
      <c r="J1982" s="9">
        <f t="shared" si="2"/>
        <v>1</v>
      </c>
      <c r="K1982" s="9" t="str">
        <f t="shared" si="3"/>
        <v>OBESITY</v>
      </c>
    </row>
    <row r="1983" ht="15.75" customHeight="1">
      <c r="A1983" s="9" t="s">
        <v>3965</v>
      </c>
      <c r="B1983" s="9">
        <v>21.47</v>
      </c>
      <c r="C1983" s="9">
        <v>4.02</v>
      </c>
      <c r="D1983" s="9" t="s">
        <v>4686</v>
      </c>
      <c r="E1983" s="9" t="s">
        <v>4684</v>
      </c>
      <c r="F1983" s="9" t="s">
        <v>4684</v>
      </c>
      <c r="G1983" s="9">
        <v>1.0</v>
      </c>
      <c r="H1983" s="9" t="s">
        <v>4684</v>
      </c>
      <c r="I1983" s="9" t="str">
        <f t="shared" si="1"/>
        <v>No</v>
      </c>
      <c r="J1983" s="9">
        <f t="shared" si="2"/>
        <v>1</v>
      </c>
      <c r="K1983" s="9" t="str">
        <f t="shared" si="3"/>
        <v>NORMAL WEIGHT</v>
      </c>
    </row>
    <row r="1984" ht="15.75" customHeight="1">
      <c r="A1984" s="9" t="s">
        <v>3967</v>
      </c>
      <c r="B1984" s="9">
        <v>25.9</v>
      </c>
      <c r="C1984" s="9">
        <v>5.12</v>
      </c>
      <c r="D1984" s="9" t="s">
        <v>4684</v>
      </c>
      <c r="E1984" s="9" t="s">
        <v>4684</v>
      </c>
      <c r="F1984" s="9" t="s">
        <v>4686</v>
      </c>
      <c r="G1984" s="9">
        <v>1.0</v>
      </c>
      <c r="H1984" s="9" t="s">
        <v>4684</v>
      </c>
      <c r="I1984" s="9" t="str">
        <f t="shared" si="1"/>
        <v>No</v>
      </c>
      <c r="J1984" s="9">
        <f t="shared" si="2"/>
        <v>1</v>
      </c>
      <c r="K1984" s="9" t="str">
        <f t="shared" si="3"/>
        <v>OVERWEIGHT</v>
      </c>
    </row>
    <row r="1985" ht="15.75" customHeight="1">
      <c r="A1985" s="9" t="s">
        <v>3969</v>
      </c>
      <c r="B1985" s="9">
        <v>20.81</v>
      </c>
      <c r="C1985" s="9">
        <v>5.52</v>
      </c>
      <c r="D1985" s="9" t="s">
        <v>4684</v>
      </c>
      <c r="E1985" s="9" t="s">
        <v>4684</v>
      </c>
      <c r="F1985" s="9" t="s">
        <v>4684</v>
      </c>
      <c r="G1985" s="9" t="s">
        <v>4685</v>
      </c>
      <c r="H1985" s="9" t="s">
        <v>4684</v>
      </c>
      <c r="I1985" s="9" t="str">
        <f t="shared" si="1"/>
        <v>No</v>
      </c>
      <c r="J1985" s="9">
        <f t="shared" si="2"/>
        <v>0</v>
      </c>
      <c r="K1985" s="9" t="str">
        <f t="shared" si="3"/>
        <v>NORMAL WEIGHT</v>
      </c>
    </row>
    <row r="1986" ht="15.75" customHeight="1">
      <c r="A1986" s="9" t="s">
        <v>3971</v>
      </c>
      <c r="B1986" s="9">
        <v>25.84</v>
      </c>
      <c r="C1986" s="9">
        <v>5.81</v>
      </c>
      <c r="D1986" s="9" t="s">
        <v>4686</v>
      </c>
      <c r="E1986" s="9" t="s">
        <v>4684</v>
      </c>
      <c r="F1986" s="9" t="s">
        <v>4686</v>
      </c>
      <c r="G1986" s="9">
        <v>1.0</v>
      </c>
      <c r="H1986" s="9" t="s">
        <v>4684</v>
      </c>
      <c r="I1986" s="9" t="str">
        <f t="shared" si="1"/>
        <v>No</v>
      </c>
      <c r="J1986" s="9">
        <f t="shared" si="2"/>
        <v>1</v>
      </c>
      <c r="K1986" s="9" t="str">
        <f t="shared" si="3"/>
        <v>OVERWEIGHT</v>
      </c>
    </row>
    <row r="1987" ht="15.75" customHeight="1">
      <c r="A1987" s="9" t="s">
        <v>3973</v>
      </c>
      <c r="B1987" s="9">
        <v>30.95</v>
      </c>
      <c r="C1987" s="9">
        <v>5.16</v>
      </c>
      <c r="D1987" s="9" t="s">
        <v>4684</v>
      </c>
      <c r="E1987" s="9" t="s">
        <v>4684</v>
      </c>
      <c r="F1987" s="9" t="s">
        <v>4686</v>
      </c>
      <c r="G1987" s="9">
        <v>1.0</v>
      </c>
      <c r="H1987" s="9" t="s">
        <v>4684</v>
      </c>
      <c r="I1987" s="9" t="str">
        <f t="shared" si="1"/>
        <v>No</v>
      </c>
      <c r="J1987" s="9">
        <f t="shared" si="2"/>
        <v>1</v>
      </c>
      <c r="K1987" s="9" t="str">
        <f t="shared" si="3"/>
        <v>OBESITY</v>
      </c>
    </row>
    <row r="1988" ht="15.75" customHeight="1">
      <c r="A1988" s="9" t="s">
        <v>3975</v>
      </c>
      <c r="B1988" s="9">
        <v>30.54</v>
      </c>
      <c r="C1988" s="9">
        <v>5.0</v>
      </c>
      <c r="D1988" s="9" t="s">
        <v>4684</v>
      </c>
      <c r="E1988" s="9" t="s">
        <v>4684</v>
      </c>
      <c r="F1988" s="9" t="s">
        <v>4686</v>
      </c>
      <c r="G1988" s="9">
        <v>1.0</v>
      </c>
      <c r="H1988" s="9" t="s">
        <v>4684</v>
      </c>
      <c r="I1988" s="9" t="str">
        <f t="shared" si="1"/>
        <v>No</v>
      </c>
      <c r="J1988" s="9">
        <f t="shared" si="2"/>
        <v>1</v>
      </c>
      <c r="K1988" s="9" t="str">
        <f t="shared" si="3"/>
        <v>OBESITY</v>
      </c>
    </row>
    <row r="1989" ht="15.75" customHeight="1">
      <c r="A1989" s="9" t="s">
        <v>3977</v>
      </c>
      <c r="B1989" s="9">
        <v>33.915</v>
      </c>
      <c r="C1989" s="9">
        <v>5.84</v>
      </c>
      <c r="D1989" s="9" t="s">
        <v>4686</v>
      </c>
      <c r="E1989" s="9" t="s">
        <v>4684</v>
      </c>
      <c r="F1989" s="9" t="s">
        <v>4684</v>
      </c>
      <c r="G1989" s="9" t="s">
        <v>4685</v>
      </c>
      <c r="H1989" s="9" t="s">
        <v>4684</v>
      </c>
      <c r="I1989" s="9" t="str">
        <f t="shared" si="1"/>
        <v>No</v>
      </c>
      <c r="J1989" s="9">
        <f t="shared" si="2"/>
        <v>0</v>
      </c>
      <c r="K1989" s="9" t="str">
        <f t="shared" si="3"/>
        <v>OBESITY</v>
      </c>
    </row>
    <row r="1990" ht="15.75" customHeight="1">
      <c r="A1990" s="9" t="s">
        <v>3979</v>
      </c>
      <c r="B1990" s="9">
        <v>33.31</v>
      </c>
      <c r="C1990" s="9">
        <v>4.19</v>
      </c>
      <c r="D1990" s="9" t="s">
        <v>4684</v>
      </c>
      <c r="E1990" s="9" t="s">
        <v>4684</v>
      </c>
      <c r="F1990" s="9" t="s">
        <v>4686</v>
      </c>
      <c r="G1990" s="9">
        <v>1.0</v>
      </c>
      <c r="H1990" s="9" t="s">
        <v>4684</v>
      </c>
      <c r="I1990" s="9" t="str">
        <f t="shared" si="1"/>
        <v>No</v>
      </c>
      <c r="J1990" s="9">
        <f t="shared" si="2"/>
        <v>1</v>
      </c>
      <c r="K1990" s="9" t="str">
        <f t="shared" si="3"/>
        <v>OBESITY</v>
      </c>
    </row>
    <row r="1991" ht="15.75" customHeight="1">
      <c r="A1991" s="9" t="s">
        <v>3981</v>
      </c>
      <c r="B1991" s="9">
        <v>25.745</v>
      </c>
      <c r="C1991" s="9">
        <v>4.62</v>
      </c>
      <c r="D1991" s="9" t="s">
        <v>4686</v>
      </c>
      <c r="E1991" s="9" t="s">
        <v>4684</v>
      </c>
      <c r="F1991" s="9" t="s">
        <v>4684</v>
      </c>
      <c r="G1991" s="9" t="s">
        <v>4685</v>
      </c>
      <c r="H1991" s="9" t="s">
        <v>4684</v>
      </c>
      <c r="I1991" s="9" t="str">
        <f t="shared" si="1"/>
        <v>No</v>
      </c>
      <c r="J1991" s="9">
        <f t="shared" si="2"/>
        <v>0</v>
      </c>
      <c r="K1991" s="9" t="str">
        <f t="shared" si="3"/>
        <v>OVERWEIGHT</v>
      </c>
    </row>
    <row r="1992" ht="15.75" customHeight="1">
      <c r="A1992" s="9" t="s">
        <v>3983</v>
      </c>
      <c r="B1992" s="9">
        <v>37.1</v>
      </c>
      <c r="C1992" s="9">
        <v>6.24</v>
      </c>
      <c r="D1992" s="9" t="s">
        <v>4684</v>
      </c>
      <c r="E1992" s="9" t="s">
        <v>4684</v>
      </c>
      <c r="F1992" s="9" t="s">
        <v>4684</v>
      </c>
      <c r="G1992" s="9" t="s">
        <v>4685</v>
      </c>
      <c r="H1992" s="9" t="s">
        <v>4684</v>
      </c>
      <c r="I1992" s="9" t="str">
        <f t="shared" si="1"/>
        <v>No</v>
      </c>
      <c r="J1992" s="9">
        <f t="shared" si="2"/>
        <v>0</v>
      </c>
      <c r="K1992" s="9" t="str">
        <f t="shared" si="3"/>
        <v>OBESITY</v>
      </c>
    </row>
    <row r="1993" ht="15.75" customHeight="1">
      <c r="A1993" s="9" t="s">
        <v>3985</v>
      </c>
      <c r="B1993" s="9">
        <v>35.435</v>
      </c>
      <c r="C1993" s="9">
        <v>5.81</v>
      </c>
      <c r="D1993" s="9" t="s">
        <v>4684</v>
      </c>
      <c r="E1993" s="9" t="s">
        <v>4684</v>
      </c>
      <c r="F1993" s="9" t="s">
        <v>4684</v>
      </c>
      <c r="G1993" s="9" t="s">
        <v>4685</v>
      </c>
      <c r="H1993" s="9" t="s">
        <v>4684</v>
      </c>
      <c r="I1993" s="9" t="str">
        <f t="shared" si="1"/>
        <v>No</v>
      </c>
      <c r="J1993" s="9">
        <f t="shared" si="2"/>
        <v>0</v>
      </c>
      <c r="K1993" s="9" t="str">
        <f t="shared" si="3"/>
        <v>OBESITY</v>
      </c>
    </row>
    <row r="1994" ht="15.75" customHeight="1">
      <c r="A1994" s="9" t="s">
        <v>3987</v>
      </c>
      <c r="B1994" s="9">
        <v>20.4</v>
      </c>
      <c r="C1994" s="9">
        <v>4.83</v>
      </c>
      <c r="D1994" s="9" t="s">
        <v>4684</v>
      </c>
      <c r="E1994" s="9" t="s">
        <v>4684</v>
      </c>
      <c r="F1994" s="9" t="s">
        <v>4684</v>
      </c>
      <c r="G1994" s="9" t="s">
        <v>4685</v>
      </c>
      <c r="H1994" s="9" t="s">
        <v>4684</v>
      </c>
      <c r="I1994" s="9" t="str">
        <f t="shared" si="1"/>
        <v>No</v>
      </c>
      <c r="J1994" s="9">
        <f t="shared" si="2"/>
        <v>0</v>
      </c>
      <c r="K1994" s="9" t="str">
        <f t="shared" si="3"/>
        <v>NORMAL WEIGHT</v>
      </c>
    </row>
    <row r="1995" ht="15.75" customHeight="1">
      <c r="A1995" s="9" t="s">
        <v>3989</v>
      </c>
      <c r="B1995" s="9">
        <v>42.13</v>
      </c>
      <c r="C1995" s="9">
        <v>5.72</v>
      </c>
      <c r="D1995" s="9" t="s">
        <v>4686</v>
      </c>
      <c r="E1995" s="9" t="s">
        <v>4684</v>
      </c>
      <c r="F1995" s="9" t="s">
        <v>4686</v>
      </c>
      <c r="G1995" s="9">
        <v>1.0</v>
      </c>
      <c r="H1995" s="9" t="s">
        <v>4684</v>
      </c>
      <c r="I1995" s="9" t="str">
        <f t="shared" si="1"/>
        <v>No</v>
      </c>
      <c r="J1995" s="9">
        <f t="shared" si="2"/>
        <v>1</v>
      </c>
      <c r="K1995" s="9" t="str">
        <f t="shared" si="3"/>
        <v>OBESITY</v>
      </c>
    </row>
    <row r="1996" ht="15.75" customHeight="1">
      <c r="A1996" s="9" t="s">
        <v>3991</v>
      </c>
      <c r="B1996" s="9">
        <v>33.99</v>
      </c>
      <c r="C1996" s="9">
        <v>4.83</v>
      </c>
      <c r="D1996" s="9" t="s">
        <v>4686</v>
      </c>
      <c r="E1996" s="9" t="s">
        <v>4684</v>
      </c>
      <c r="F1996" s="9" t="s">
        <v>4686</v>
      </c>
      <c r="G1996" s="9">
        <v>1.0</v>
      </c>
      <c r="H1996" s="9" t="s">
        <v>4684</v>
      </c>
      <c r="I1996" s="9" t="str">
        <f t="shared" si="1"/>
        <v>No</v>
      </c>
      <c r="J1996" s="9">
        <f t="shared" si="2"/>
        <v>1</v>
      </c>
      <c r="K1996" s="9" t="str">
        <f t="shared" si="3"/>
        <v>OBESITY</v>
      </c>
    </row>
    <row r="1997" ht="15.75" customHeight="1">
      <c r="A1997" s="9" t="s">
        <v>3993</v>
      </c>
      <c r="B1997" s="9">
        <v>28.595</v>
      </c>
      <c r="C1997" s="9">
        <v>4.14</v>
      </c>
      <c r="D1997" s="9" t="s">
        <v>4686</v>
      </c>
      <c r="E1997" s="9" t="s">
        <v>4684</v>
      </c>
      <c r="F1997" s="9" t="s">
        <v>4686</v>
      </c>
      <c r="G1997" s="9">
        <v>1.0</v>
      </c>
      <c r="H1997" s="9" t="s">
        <v>4684</v>
      </c>
      <c r="I1997" s="9" t="str">
        <f t="shared" si="1"/>
        <v>No</v>
      </c>
      <c r="J1997" s="9">
        <f t="shared" si="2"/>
        <v>1</v>
      </c>
      <c r="K1997" s="9" t="str">
        <f t="shared" si="3"/>
        <v>OVERWEIGHT</v>
      </c>
    </row>
    <row r="1998" ht="15.75" customHeight="1">
      <c r="A1998" s="9" t="s">
        <v>3995</v>
      </c>
      <c r="B1998" s="9">
        <v>20.8</v>
      </c>
      <c r="C1998" s="9">
        <v>4.07</v>
      </c>
      <c r="D1998" s="9" t="s">
        <v>4686</v>
      </c>
      <c r="E1998" s="9" t="s">
        <v>4684</v>
      </c>
      <c r="F1998" s="9" t="s">
        <v>4686</v>
      </c>
      <c r="G1998" s="9">
        <v>1.0</v>
      </c>
      <c r="H1998" s="9" t="s">
        <v>4684</v>
      </c>
      <c r="I1998" s="9" t="str">
        <f t="shared" si="1"/>
        <v>No</v>
      </c>
      <c r="J1998" s="9">
        <f t="shared" si="2"/>
        <v>1</v>
      </c>
      <c r="K1998" s="9" t="str">
        <f t="shared" si="3"/>
        <v>NORMAL WEIGHT</v>
      </c>
    </row>
    <row r="1999" ht="15.75" customHeight="1">
      <c r="A1999" s="9" t="s">
        <v>3997</v>
      </c>
      <c r="B1999" s="9">
        <v>23.465</v>
      </c>
      <c r="C1999" s="9">
        <v>6.26</v>
      </c>
      <c r="D1999" s="9" t="s">
        <v>4686</v>
      </c>
      <c r="E1999" s="9" t="s">
        <v>4684</v>
      </c>
      <c r="F1999" s="9" t="s">
        <v>4686</v>
      </c>
      <c r="G1999" s="9">
        <v>1.0</v>
      </c>
      <c r="H1999" s="9" t="s">
        <v>4684</v>
      </c>
      <c r="I1999" s="9" t="str">
        <f t="shared" si="1"/>
        <v>No</v>
      </c>
      <c r="J1999" s="9">
        <f t="shared" si="2"/>
        <v>1</v>
      </c>
      <c r="K1999" s="9" t="str">
        <f t="shared" si="3"/>
        <v>NORMAL WEIGHT</v>
      </c>
    </row>
    <row r="2000" ht="15.75" customHeight="1">
      <c r="A2000" s="9" t="s">
        <v>3999</v>
      </c>
      <c r="B2000" s="9">
        <v>40.185</v>
      </c>
      <c r="C2000" s="9">
        <v>5.88</v>
      </c>
      <c r="D2000" s="9" t="s">
        <v>4686</v>
      </c>
      <c r="E2000" s="9" t="s">
        <v>4684</v>
      </c>
      <c r="F2000" s="9" t="s">
        <v>4684</v>
      </c>
      <c r="G2000" s="9" t="s">
        <v>4685</v>
      </c>
      <c r="H2000" s="9" t="s">
        <v>4684</v>
      </c>
      <c r="I2000" s="9" t="str">
        <f t="shared" si="1"/>
        <v>No</v>
      </c>
      <c r="J2000" s="9">
        <f t="shared" si="2"/>
        <v>0</v>
      </c>
      <c r="K2000" s="9" t="str">
        <f t="shared" si="3"/>
        <v>OBESITY</v>
      </c>
    </row>
    <row r="2001" ht="15.75" customHeight="1">
      <c r="A2001" s="9" t="s">
        <v>4001</v>
      </c>
      <c r="B2001" s="9">
        <v>21.89</v>
      </c>
      <c r="C2001" s="9">
        <v>5.72</v>
      </c>
      <c r="D2001" s="9" t="s">
        <v>4686</v>
      </c>
      <c r="E2001" s="9" t="s">
        <v>4684</v>
      </c>
      <c r="F2001" s="9" t="s">
        <v>4684</v>
      </c>
      <c r="G2001" s="9" t="s">
        <v>4685</v>
      </c>
      <c r="H2001" s="9" t="s">
        <v>4684</v>
      </c>
      <c r="I2001" s="9" t="str">
        <f t="shared" si="1"/>
        <v>No</v>
      </c>
      <c r="J2001" s="9">
        <f t="shared" si="2"/>
        <v>0</v>
      </c>
      <c r="K2001" s="9" t="str">
        <f t="shared" si="3"/>
        <v>NORMAL WEIGHT</v>
      </c>
    </row>
    <row r="2002" ht="15.75" customHeight="1">
      <c r="A2002" s="9" t="s">
        <v>4003</v>
      </c>
      <c r="B2002" s="9">
        <v>29.34</v>
      </c>
      <c r="C2002" s="9">
        <v>6.09</v>
      </c>
      <c r="D2002" s="9" t="s">
        <v>4686</v>
      </c>
      <c r="E2002" s="9" t="s">
        <v>4686</v>
      </c>
      <c r="F2002" s="9" t="s">
        <v>4684</v>
      </c>
      <c r="G2002" s="9">
        <v>2.0</v>
      </c>
      <c r="H2002" s="9" t="s">
        <v>4684</v>
      </c>
      <c r="I2002" s="9" t="str">
        <f t="shared" si="1"/>
        <v>No</v>
      </c>
      <c r="J2002" s="9">
        <f t="shared" si="2"/>
        <v>2</v>
      </c>
      <c r="K2002" s="9" t="str">
        <f t="shared" si="3"/>
        <v>OVERWEIGHT</v>
      </c>
    </row>
    <row r="2003" ht="15.75" customHeight="1">
      <c r="A2003" s="9" t="s">
        <v>4005</v>
      </c>
      <c r="B2003" s="9">
        <v>22.61</v>
      </c>
      <c r="C2003" s="9">
        <v>4.25</v>
      </c>
      <c r="D2003" s="9" t="s">
        <v>4686</v>
      </c>
      <c r="E2003" s="9" t="s">
        <v>4684</v>
      </c>
      <c r="F2003" s="9" t="s">
        <v>4684</v>
      </c>
      <c r="G2003" s="9" t="s">
        <v>4685</v>
      </c>
      <c r="H2003" s="9" t="s">
        <v>4684</v>
      </c>
      <c r="I2003" s="9" t="str">
        <f t="shared" si="1"/>
        <v>No</v>
      </c>
      <c r="J2003" s="9">
        <f t="shared" si="2"/>
        <v>0</v>
      </c>
      <c r="K2003" s="9" t="str">
        <f t="shared" si="3"/>
        <v>NORMAL WEIGHT</v>
      </c>
    </row>
    <row r="2004" ht="15.75" customHeight="1">
      <c r="A2004" s="9" t="s">
        <v>4007</v>
      </c>
      <c r="B2004" s="9">
        <v>22.23</v>
      </c>
      <c r="C2004" s="9">
        <v>6.09</v>
      </c>
      <c r="D2004" s="9" t="s">
        <v>4686</v>
      </c>
      <c r="E2004" s="9" t="s">
        <v>4684</v>
      </c>
      <c r="F2004" s="9" t="s">
        <v>4684</v>
      </c>
      <c r="G2004" s="9" t="s">
        <v>4685</v>
      </c>
      <c r="H2004" s="9" t="s">
        <v>4684</v>
      </c>
      <c r="I2004" s="9" t="str">
        <f t="shared" si="1"/>
        <v>No</v>
      </c>
      <c r="J2004" s="9">
        <f t="shared" si="2"/>
        <v>0</v>
      </c>
      <c r="K2004" s="9" t="str">
        <f t="shared" si="3"/>
        <v>NORMAL WEIGHT</v>
      </c>
    </row>
    <row r="2005" ht="15.75" customHeight="1">
      <c r="A2005" s="9" t="s">
        <v>4009</v>
      </c>
      <c r="B2005" s="9">
        <v>33.4</v>
      </c>
      <c r="C2005" s="9">
        <v>5.51</v>
      </c>
      <c r="D2005" s="9" t="s">
        <v>4684</v>
      </c>
      <c r="E2005" s="9" t="s">
        <v>4684</v>
      </c>
      <c r="F2005" s="9" t="s">
        <v>4684</v>
      </c>
      <c r="G2005" s="9" t="s">
        <v>4685</v>
      </c>
      <c r="H2005" s="9" t="s">
        <v>4684</v>
      </c>
      <c r="I2005" s="9" t="str">
        <f t="shared" si="1"/>
        <v>No</v>
      </c>
      <c r="J2005" s="9">
        <f t="shared" si="2"/>
        <v>0</v>
      </c>
      <c r="K2005" s="9" t="str">
        <f t="shared" si="3"/>
        <v>OBESITY</v>
      </c>
    </row>
    <row r="2006" ht="15.75" customHeight="1">
      <c r="A2006" s="9" t="s">
        <v>4011</v>
      </c>
      <c r="B2006" s="9">
        <v>33.11</v>
      </c>
      <c r="C2006" s="9">
        <v>5.63</v>
      </c>
      <c r="D2006" s="9" t="s">
        <v>4684</v>
      </c>
      <c r="E2006" s="9" t="s">
        <v>4684</v>
      </c>
      <c r="F2006" s="9" t="s">
        <v>4684</v>
      </c>
      <c r="G2006" s="9" t="s">
        <v>4685</v>
      </c>
      <c r="H2006" s="9" t="s">
        <v>4684</v>
      </c>
      <c r="I2006" s="9" t="str">
        <f t="shared" si="1"/>
        <v>No</v>
      </c>
      <c r="J2006" s="9">
        <f t="shared" si="2"/>
        <v>0</v>
      </c>
      <c r="K2006" s="9" t="str">
        <f t="shared" si="3"/>
        <v>OBESITY</v>
      </c>
    </row>
    <row r="2007" ht="15.75" customHeight="1">
      <c r="A2007" s="9" t="s">
        <v>4013</v>
      </c>
      <c r="B2007" s="9">
        <v>16.815</v>
      </c>
      <c r="C2007" s="9">
        <v>5.29</v>
      </c>
      <c r="D2007" s="9" t="s">
        <v>4686</v>
      </c>
      <c r="E2007" s="9" t="s">
        <v>4684</v>
      </c>
      <c r="F2007" s="9" t="s">
        <v>4684</v>
      </c>
      <c r="G2007" s="9" t="s">
        <v>4685</v>
      </c>
      <c r="H2007" s="9" t="s">
        <v>4684</v>
      </c>
      <c r="I2007" s="9" t="str">
        <f t="shared" si="1"/>
        <v>No</v>
      </c>
      <c r="J2007" s="9">
        <f t="shared" si="2"/>
        <v>0</v>
      </c>
      <c r="K2007" s="9" t="str">
        <f t="shared" si="3"/>
        <v>UNDERWEIGHT</v>
      </c>
    </row>
    <row r="2008" ht="15.75" customHeight="1">
      <c r="A2008" s="9" t="s">
        <v>4015</v>
      </c>
      <c r="B2008" s="9">
        <v>25.61</v>
      </c>
      <c r="C2008" s="9">
        <v>4.0</v>
      </c>
      <c r="D2008" s="9" t="s">
        <v>4684</v>
      </c>
      <c r="E2008" s="9" t="s">
        <v>4684</v>
      </c>
      <c r="F2008" s="9" t="s">
        <v>4686</v>
      </c>
      <c r="G2008" s="9">
        <v>1.0</v>
      </c>
      <c r="H2008" s="9" t="s">
        <v>4684</v>
      </c>
      <c r="I2008" s="9" t="str">
        <f t="shared" si="1"/>
        <v>No</v>
      </c>
      <c r="J2008" s="9">
        <f t="shared" si="2"/>
        <v>1</v>
      </c>
      <c r="K2008" s="9" t="str">
        <f t="shared" si="3"/>
        <v>OVERWEIGHT</v>
      </c>
    </row>
    <row r="2009" ht="15.75" customHeight="1">
      <c r="A2009" s="9" t="s">
        <v>4017</v>
      </c>
      <c r="B2009" s="9">
        <v>25.8</v>
      </c>
      <c r="C2009" s="9">
        <v>5.49</v>
      </c>
      <c r="D2009" s="9" t="s">
        <v>4684</v>
      </c>
      <c r="E2009" s="9" t="s">
        <v>4684</v>
      </c>
      <c r="F2009" s="9" t="s">
        <v>4684</v>
      </c>
      <c r="G2009" s="9" t="s">
        <v>4685</v>
      </c>
      <c r="H2009" s="9" t="s">
        <v>4684</v>
      </c>
      <c r="I2009" s="9" t="str">
        <f t="shared" si="1"/>
        <v>No</v>
      </c>
      <c r="J2009" s="9">
        <f t="shared" si="2"/>
        <v>0</v>
      </c>
      <c r="K2009" s="9" t="str">
        <f t="shared" si="3"/>
        <v>OVERWEIGHT</v>
      </c>
    </row>
    <row r="2010" ht="15.75" customHeight="1">
      <c r="A2010" s="9" t="s">
        <v>4019</v>
      </c>
      <c r="B2010" s="9">
        <v>27.39</v>
      </c>
      <c r="C2010" s="9">
        <v>5.34</v>
      </c>
      <c r="D2010" s="9" t="s">
        <v>4684</v>
      </c>
      <c r="E2010" s="9" t="s">
        <v>4684</v>
      </c>
      <c r="F2010" s="9" t="s">
        <v>4684</v>
      </c>
      <c r="G2010" s="9" t="s">
        <v>4685</v>
      </c>
      <c r="H2010" s="9" t="s">
        <v>4684</v>
      </c>
      <c r="I2010" s="9" t="str">
        <f t="shared" si="1"/>
        <v>No</v>
      </c>
      <c r="J2010" s="9">
        <f t="shared" si="2"/>
        <v>0</v>
      </c>
      <c r="K2010" s="9" t="str">
        <f t="shared" si="3"/>
        <v>OVERWEIGHT</v>
      </c>
    </row>
    <row r="2011" ht="15.75" customHeight="1">
      <c r="A2011" s="9" t="s">
        <v>4021</v>
      </c>
      <c r="B2011" s="9">
        <v>17.03</v>
      </c>
      <c r="C2011" s="9">
        <v>4.12</v>
      </c>
      <c r="D2011" s="9" t="s">
        <v>4684</v>
      </c>
      <c r="E2011" s="9" t="s">
        <v>4684</v>
      </c>
      <c r="F2011" s="9" t="s">
        <v>4684</v>
      </c>
      <c r="G2011" s="9">
        <v>1.0</v>
      </c>
      <c r="H2011" s="9" t="s">
        <v>4684</v>
      </c>
      <c r="I2011" s="9" t="str">
        <f t="shared" si="1"/>
        <v>No</v>
      </c>
      <c r="J2011" s="9">
        <f t="shared" si="2"/>
        <v>1</v>
      </c>
      <c r="K2011" s="9" t="str">
        <f t="shared" si="3"/>
        <v>UNDERWEIGHT</v>
      </c>
    </row>
    <row r="2012" ht="15.75" customHeight="1">
      <c r="A2012" s="9" t="s">
        <v>4023</v>
      </c>
      <c r="B2012" s="9">
        <v>23.75</v>
      </c>
      <c r="C2012" s="9">
        <v>5.49</v>
      </c>
      <c r="D2012" s="9" t="s">
        <v>4686</v>
      </c>
      <c r="E2012" s="9" t="s">
        <v>4684</v>
      </c>
      <c r="F2012" s="9" t="s">
        <v>4684</v>
      </c>
      <c r="G2012" s="9" t="s">
        <v>4685</v>
      </c>
      <c r="H2012" s="9" t="s">
        <v>4684</v>
      </c>
      <c r="I2012" s="9" t="str">
        <f t="shared" si="1"/>
        <v>No</v>
      </c>
      <c r="J2012" s="9">
        <f t="shared" si="2"/>
        <v>0</v>
      </c>
      <c r="K2012" s="9" t="str">
        <f t="shared" si="3"/>
        <v>NORMAL WEIGHT</v>
      </c>
    </row>
    <row r="2013" ht="15.75" customHeight="1">
      <c r="A2013" s="9" t="s">
        <v>4025</v>
      </c>
      <c r="B2013" s="9">
        <v>26.03</v>
      </c>
      <c r="C2013" s="9">
        <v>5.11</v>
      </c>
      <c r="D2013" s="9" t="s">
        <v>4686</v>
      </c>
      <c r="E2013" s="9" t="s">
        <v>4684</v>
      </c>
      <c r="F2013" s="9" t="s">
        <v>4684</v>
      </c>
      <c r="G2013" s="9">
        <v>1.0</v>
      </c>
      <c r="H2013" s="9" t="s">
        <v>4684</v>
      </c>
      <c r="I2013" s="9" t="str">
        <f t="shared" si="1"/>
        <v>No</v>
      </c>
      <c r="J2013" s="9">
        <f t="shared" si="2"/>
        <v>1</v>
      </c>
      <c r="K2013" s="9" t="str">
        <f t="shared" si="3"/>
        <v>OVERWEIGHT</v>
      </c>
    </row>
    <row r="2014" ht="15.75" customHeight="1">
      <c r="A2014" s="9" t="s">
        <v>4027</v>
      </c>
      <c r="B2014" s="9">
        <v>16.08</v>
      </c>
      <c r="C2014" s="9">
        <v>5.94</v>
      </c>
      <c r="D2014" s="9" t="s">
        <v>4684</v>
      </c>
      <c r="E2014" s="9" t="s">
        <v>4684</v>
      </c>
      <c r="F2014" s="9" t="s">
        <v>4684</v>
      </c>
      <c r="G2014" s="9" t="s">
        <v>4685</v>
      </c>
      <c r="H2014" s="9" t="s">
        <v>4684</v>
      </c>
      <c r="I2014" s="9" t="str">
        <f t="shared" si="1"/>
        <v>No</v>
      </c>
      <c r="J2014" s="9">
        <f t="shared" si="2"/>
        <v>0</v>
      </c>
      <c r="K2014" s="9" t="str">
        <f t="shared" si="3"/>
        <v>UNDERWEIGHT</v>
      </c>
    </row>
    <row r="2015" ht="15.75" customHeight="1">
      <c r="A2015" s="9" t="s">
        <v>4029</v>
      </c>
      <c r="B2015" s="9">
        <v>30.875</v>
      </c>
      <c r="C2015" s="9">
        <v>5.54</v>
      </c>
      <c r="D2015" s="9" t="s">
        <v>4684</v>
      </c>
      <c r="E2015" s="9" t="s">
        <v>4684</v>
      </c>
      <c r="F2015" s="9" t="s">
        <v>4684</v>
      </c>
      <c r="G2015" s="9" t="s">
        <v>4685</v>
      </c>
      <c r="H2015" s="9" t="s">
        <v>4684</v>
      </c>
      <c r="I2015" s="9" t="str">
        <f t="shared" si="1"/>
        <v>No</v>
      </c>
      <c r="J2015" s="9">
        <f t="shared" si="2"/>
        <v>0</v>
      </c>
      <c r="K2015" s="9" t="str">
        <f t="shared" si="3"/>
        <v>OBESITY</v>
      </c>
    </row>
    <row r="2016" ht="15.75" customHeight="1">
      <c r="A2016" s="9" t="s">
        <v>4031</v>
      </c>
      <c r="B2016" s="9">
        <v>31.79</v>
      </c>
      <c r="C2016" s="9">
        <v>7.09</v>
      </c>
      <c r="D2016" s="9" t="s">
        <v>4684</v>
      </c>
      <c r="E2016" s="9" t="s">
        <v>4684</v>
      </c>
      <c r="F2016" s="9" t="s">
        <v>4684</v>
      </c>
      <c r="G2016" s="9" t="s">
        <v>4685</v>
      </c>
      <c r="H2016" s="9" t="s">
        <v>4684</v>
      </c>
      <c r="I2016" s="9" t="str">
        <f t="shared" si="1"/>
        <v>No</v>
      </c>
      <c r="J2016" s="9">
        <f t="shared" si="2"/>
        <v>0</v>
      </c>
      <c r="K2016" s="9" t="str">
        <f t="shared" si="3"/>
        <v>OBESITY</v>
      </c>
    </row>
    <row r="2017" ht="15.75" customHeight="1">
      <c r="A2017" s="9" t="s">
        <v>4033</v>
      </c>
      <c r="B2017" s="9">
        <v>28.48</v>
      </c>
      <c r="C2017" s="9">
        <v>6.22</v>
      </c>
      <c r="D2017" s="9" t="s">
        <v>4686</v>
      </c>
      <c r="E2017" s="9" t="s">
        <v>4684</v>
      </c>
      <c r="F2017" s="9" t="s">
        <v>4686</v>
      </c>
      <c r="G2017" s="9">
        <v>1.0</v>
      </c>
      <c r="H2017" s="9" t="s">
        <v>4684</v>
      </c>
      <c r="I2017" s="9" t="str">
        <f t="shared" si="1"/>
        <v>No</v>
      </c>
      <c r="J2017" s="9">
        <f t="shared" si="2"/>
        <v>1</v>
      </c>
      <c r="K2017" s="9" t="str">
        <f t="shared" si="3"/>
        <v>OVERWEIGHT</v>
      </c>
    </row>
    <row r="2018" ht="15.75" customHeight="1">
      <c r="A2018" s="9" t="s">
        <v>4035</v>
      </c>
      <c r="B2018" s="9">
        <v>26.6</v>
      </c>
      <c r="C2018" s="9">
        <v>4.33</v>
      </c>
      <c r="D2018" s="9" t="s">
        <v>4684</v>
      </c>
      <c r="E2018" s="9" t="s">
        <v>4684</v>
      </c>
      <c r="F2018" s="9" t="s">
        <v>4684</v>
      </c>
      <c r="G2018" s="9">
        <v>1.0</v>
      </c>
      <c r="H2018" s="9" t="s">
        <v>4684</v>
      </c>
      <c r="I2018" s="9" t="str">
        <f t="shared" si="1"/>
        <v>No</v>
      </c>
      <c r="J2018" s="9">
        <f t="shared" si="2"/>
        <v>1</v>
      </c>
      <c r="K2018" s="9" t="str">
        <f t="shared" si="3"/>
        <v>OVERWEIGHT</v>
      </c>
    </row>
    <row r="2019" ht="15.75" customHeight="1">
      <c r="A2019" s="9" t="s">
        <v>4037</v>
      </c>
      <c r="B2019" s="9">
        <v>25.27</v>
      </c>
      <c r="C2019" s="9">
        <v>5.83</v>
      </c>
      <c r="D2019" s="9" t="s">
        <v>4684</v>
      </c>
      <c r="E2019" s="9" t="s">
        <v>4684</v>
      </c>
      <c r="F2019" s="9" t="s">
        <v>4684</v>
      </c>
      <c r="G2019" s="9">
        <v>1.0</v>
      </c>
      <c r="H2019" s="9" t="s">
        <v>4684</v>
      </c>
      <c r="I2019" s="9" t="str">
        <f t="shared" si="1"/>
        <v>No</v>
      </c>
      <c r="J2019" s="9">
        <f t="shared" si="2"/>
        <v>1</v>
      </c>
      <c r="K2019" s="9" t="str">
        <f t="shared" si="3"/>
        <v>OVERWEIGHT</v>
      </c>
    </row>
    <row r="2020" ht="15.75" customHeight="1">
      <c r="A2020" s="9" t="s">
        <v>4039</v>
      </c>
      <c r="B2020" s="9">
        <v>34.485</v>
      </c>
      <c r="C2020" s="9">
        <v>4.7</v>
      </c>
      <c r="D2020" s="9" t="s">
        <v>4686</v>
      </c>
      <c r="E2020" s="9" t="s">
        <v>4684</v>
      </c>
      <c r="F2020" s="9" t="s">
        <v>4686</v>
      </c>
      <c r="G2020" s="9">
        <v>1.0</v>
      </c>
      <c r="H2020" s="9" t="s">
        <v>4684</v>
      </c>
      <c r="I2020" s="9" t="str">
        <f t="shared" si="1"/>
        <v>No</v>
      </c>
      <c r="J2020" s="9">
        <f t="shared" si="2"/>
        <v>1</v>
      </c>
      <c r="K2020" s="9" t="str">
        <f t="shared" si="3"/>
        <v>OBESITY</v>
      </c>
    </row>
    <row r="2021" ht="15.75" customHeight="1">
      <c r="A2021" s="9" t="s">
        <v>4041</v>
      </c>
      <c r="B2021" s="9">
        <v>15.57</v>
      </c>
      <c r="C2021" s="9">
        <v>4.07</v>
      </c>
      <c r="D2021" s="9" t="s">
        <v>4686</v>
      </c>
      <c r="E2021" s="9" t="s">
        <v>4684</v>
      </c>
      <c r="F2021" s="9" t="s">
        <v>4684</v>
      </c>
      <c r="G2021" s="9">
        <v>1.0</v>
      </c>
      <c r="H2021" s="9" t="s">
        <v>4684</v>
      </c>
      <c r="I2021" s="9" t="str">
        <f t="shared" si="1"/>
        <v>No</v>
      </c>
      <c r="J2021" s="9">
        <f t="shared" si="2"/>
        <v>1</v>
      </c>
      <c r="K2021" s="9" t="str">
        <f t="shared" si="3"/>
        <v>UNDERWEIGHT</v>
      </c>
    </row>
    <row r="2022" ht="15.75" customHeight="1">
      <c r="A2022" s="9" t="s">
        <v>4043</v>
      </c>
      <c r="B2022" s="9">
        <v>30.36</v>
      </c>
      <c r="C2022" s="9">
        <v>9.39</v>
      </c>
      <c r="D2022" s="9" t="s">
        <v>4684</v>
      </c>
      <c r="E2022" s="9" t="s">
        <v>4684</v>
      </c>
      <c r="F2022" s="9" t="s">
        <v>4684</v>
      </c>
      <c r="G2022" s="9" t="s">
        <v>4685</v>
      </c>
      <c r="H2022" s="9" t="s">
        <v>4684</v>
      </c>
      <c r="I2022" s="9" t="str">
        <f t="shared" si="1"/>
        <v>No</v>
      </c>
      <c r="J2022" s="9">
        <f t="shared" si="2"/>
        <v>0</v>
      </c>
      <c r="K2022" s="9" t="str">
        <f t="shared" si="3"/>
        <v>OBESITY</v>
      </c>
    </row>
    <row r="2023" ht="15.75" customHeight="1">
      <c r="A2023" s="9" t="s">
        <v>4045</v>
      </c>
      <c r="B2023" s="9">
        <v>19.37</v>
      </c>
      <c r="C2023" s="9">
        <v>4.18</v>
      </c>
      <c r="D2023" s="9" t="s">
        <v>4684</v>
      </c>
      <c r="E2023" s="9" t="s">
        <v>4684</v>
      </c>
      <c r="F2023" s="9" t="s">
        <v>4684</v>
      </c>
      <c r="G2023" s="9" t="s">
        <v>4685</v>
      </c>
      <c r="H2023" s="9" t="s">
        <v>4684</v>
      </c>
      <c r="I2023" s="9" t="str">
        <f t="shared" si="1"/>
        <v>No</v>
      </c>
      <c r="J2023" s="9">
        <f t="shared" si="2"/>
        <v>0</v>
      </c>
      <c r="K2023" s="9" t="str">
        <f t="shared" si="3"/>
        <v>NORMAL WEIGHT</v>
      </c>
    </row>
    <row r="2024" ht="15.75" customHeight="1">
      <c r="A2024" s="9" t="s">
        <v>4047</v>
      </c>
      <c r="B2024" s="9">
        <v>16.71</v>
      </c>
      <c r="C2024" s="9">
        <v>4.18</v>
      </c>
      <c r="D2024" s="9" t="s">
        <v>4684</v>
      </c>
      <c r="E2024" s="9" t="s">
        <v>4684</v>
      </c>
      <c r="F2024" s="9" t="s">
        <v>4684</v>
      </c>
      <c r="G2024" s="9">
        <v>1.0</v>
      </c>
      <c r="H2024" s="9" t="s">
        <v>4684</v>
      </c>
      <c r="I2024" s="9" t="str">
        <f t="shared" si="1"/>
        <v>No</v>
      </c>
      <c r="J2024" s="9">
        <f t="shared" si="2"/>
        <v>1</v>
      </c>
      <c r="K2024" s="9" t="str">
        <f t="shared" si="3"/>
        <v>UNDERWEIGHT</v>
      </c>
    </row>
    <row r="2025" ht="15.75" customHeight="1">
      <c r="A2025" s="9" t="s">
        <v>4049</v>
      </c>
      <c r="B2025" s="9">
        <v>24.1</v>
      </c>
      <c r="C2025" s="9">
        <v>4.4</v>
      </c>
      <c r="D2025" s="9" t="s">
        <v>4686</v>
      </c>
      <c r="E2025" s="9" t="s">
        <v>4684</v>
      </c>
      <c r="F2025" s="9" t="s">
        <v>4684</v>
      </c>
      <c r="G2025" s="9">
        <v>1.0</v>
      </c>
      <c r="H2025" s="9" t="s">
        <v>4684</v>
      </c>
      <c r="I2025" s="9" t="str">
        <f t="shared" si="1"/>
        <v>No</v>
      </c>
      <c r="J2025" s="9">
        <f t="shared" si="2"/>
        <v>1</v>
      </c>
      <c r="K2025" s="9" t="str">
        <f t="shared" si="3"/>
        <v>NORMAL WEIGHT</v>
      </c>
    </row>
    <row r="2026" ht="15.75" customHeight="1">
      <c r="A2026" s="9" t="s">
        <v>4051</v>
      </c>
      <c r="B2026" s="9">
        <v>29.77</v>
      </c>
      <c r="C2026" s="9">
        <v>9.9</v>
      </c>
      <c r="D2026" s="9" t="s">
        <v>4684</v>
      </c>
      <c r="E2026" s="9" t="s">
        <v>4684</v>
      </c>
      <c r="F2026" s="9" t="s">
        <v>4684</v>
      </c>
      <c r="G2026" s="9" t="s">
        <v>4685</v>
      </c>
      <c r="H2026" s="9" t="s">
        <v>4684</v>
      </c>
      <c r="I2026" s="9" t="str">
        <f t="shared" si="1"/>
        <v>No</v>
      </c>
      <c r="J2026" s="9">
        <f t="shared" si="2"/>
        <v>0</v>
      </c>
      <c r="K2026" s="9" t="str">
        <f t="shared" si="3"/>
        <v>OVERWEIGHT</v>
      </c>
    </row>
    <row r="2027" ht="15.75" customHeight="1">
      <c r="A2027" s="9" t="s">
        <v>4053</v>
      </c>
      <c r="B2027" s="9">
        <v>46.53</v>
      </c>
      <c r="C2027" s="9">
        <v>4.84</v>
      </c>
      <c r="D2027" s="9" t="s">
        <v>4686</v>
      </c>
      <c r="E2027" s="9" t="s">
        <v>4684</v>
      </c>
      <c r="F2027" s="9" t="s">
        <v>4684</v>
      </c>
      <c r="G2027" s="9" t="s">
        <v>4685</v>
      </c>
      <c r="H2027" s="9" t="s">
        <v>4684</v>
      </c>
      <c r="I2027" s="9" t="str">
        <f t="shared" si="1"/>
        <v>No</v>
      </c>
      <c r="J2027" s="9">
        <f t="shared" si="2"/>
        <v>0</v>
      </c>
      <c r="K2027" s="9" t="str">
        <f t="shared" si="3"/>
        <v>OBESITY</v>
      </c>
    </row>
    <row r="2028" ht="15.75" customHeight="1">
      <c r="A2028" s="9" t="s">
        <v>4055</v>
      </c>
      <c r="B2028" s="9">
        <v>23.4</v>
      </c>
      <c r="C2028" s="9">
        <v>5.53</v>
      </c>
      <c r="D2028" s="9" t="s">
        <v>4684</v>
      </c>
      <c r="E2028" s="9" t="s">
        <v>4684</v>
      </c>
      <c r="F2028" s="9" t="s">
        <v>4686</v>
      </c>
      <c r="G2028" s="9">
        <v>1.0</v>
      </c>
      <c r="H2028" s="9" t="s">
        <v>4684</v>
      </c>
      <c r="I2028" s="9" t="str">
        <f t="shared" si="1"/>
        <v>No</v>
      </c>
      <c r="J2028" s="9">
        <f t="shared" si="2"/>
        <v>1</v>
      </c>
      <c r="K2028" s="9" t="str">
        <f t="shared" si="3"/>
        <v>NORMAL WEIGHT</v>
      </c>
    </row>
    <row r="2029" ht="15.75" customHeight="1">
      <c r="A2029" s="9" t="s">
        <v>4057</v>
      </c>
      <c r="B2029" s="9">
        <v>30.0</v>
      </c>
      <c r="C2029" s="9">
        <v>4.33</v>
      </c>
      <c r="D2029" s="9" t="s">
        <v>4686</v>
      </c>
      <c r="E2029" s="9" t="s">
        <v>4684</v>
      </c>
      <c r="F2029" s="9" t="s">
        <v>4684</v>
      </c>
      <c r="G2029" s="9" t="s">
        <v>4685</v>
      </c>
      <c r="H2029" s="9" t="s">
        <v>4684</v>
      </c>
      <c r="I2029" s="9" t="str">
        <f t="shared" si="1"/>
        <v>No</v>
      </c>
      <c r="J2029" s="9">
        <f t="shared" si="2"/>
        <v>0</v>
      </c>
      <c r="K2029" s="9" t="str">
        <f t="shared" si="3"/>
        <v>OBESITY</v>
      </c>
    </row>
    <row r="2030" ht="15.75" customHeight="1">
      <c r="A2030" s="9" t="s">
        <v>4059</v>
      </c>
      <c r="B2030" s="9">
        <v>29.15</v>
      </c>
      <c r="C2030" s="9">
        <v>4.91</v>
      </c>
      <c r="D2030" s="9" t="s">
        <v>4686</v>
      </c>
      <c r="E2030" s="9" t="s">
        <v>4684</v>
      </c>
      <c r="F2030" s="9" t="s">
        <v>4684</v>
      </c>
      <c r="G2030" s="9" t="s">
        <v>4685</v>
      </c>
      <c r="H2030" s="9" t="s">
        <v>4684</v>
      </c>
      <c r="I2030" s="9" t="str">
        <f t="shared" si="1"/>
        <v>No</v>
      </c>
      <c r="J2030" s="9">
        <f t="shared" si="2"/>
        <v>0</v>
      </c>
      <c r="K2030" s="9" t="str">
        <f t="shared" si="3"/>
        <v>OVERWEIGHT</v>
      </c>
    </row>
    <row r="2031" ht="15.75" customHeight="1">
      <c r="A2031" s="9" t="s">
        <v>4061</v>
      </c>
      <c r="B2031" s="9">
        <v>34.865</v>
      </c>
      <c r="C2031" s="9">
        <v>4.8</v>
      </c>
      <c r="D2031" s="9" t="s">
        <v>4684</v>
      </c>
      <c r="E2031" s="9" t="s">
        <v>4684</v>
      </c>
      <c r="F2031" s="9" t="s">
        <v>4684</v>
      </c>
      <c r="G2031" s="9" t="s">
        <v>4685</v>
      </c>
      <c r="H2031" s="9" t="s">
        <v>4684</v>
      </c>
      <c r="I2031" s="9" t="str">
        <f t="shared" si="1"/>
        <v>No</v>
      </c>
      <c r="J2031" s="9">
        <f t="shared" si="2"/>
        <v>0</v>
      </c>
      <c r="K2031" s="9" t="str">
        <f t="shared" si="3"/>
        <v>OBESITY</v>
      </c>
    </row>
    <row r="2032" ht="15.75" customHeight="1">
      <c r="A2032" s="9" t="s">
        <v>4063</v>
      </c>
      <c r="B2032" s="9">
        <v>28.12</v>
      </c>
      <c r="C2032" s="9">
        <v>5.55</v>
      </c>
      <c r="D2032" s="9" t="s">
        <v>4686</v>
      </c>
      <c r="E2032" s="9" t="s">
        <v>4686</v>
      </c>
      <c r="F2032" s="9" t="s">
        <v>4684</v>
      </c>
      <c r="G2032" s="9">
        <v>2.0</v>
      </c>
      <c r="H2032" s="9" t="s">
        <v>4684</v>
      </c>
      <c r="I2032" s="9" t="str">
        <f t="shared" si="1"/>
        <v>No</v>
      </c>
      <c r="J2032" s="9">
        <f t="shared" si="2"/>
        <v>2</v>
      </c>
      <c r="K2032" s="9" t="str">
        <f t="shared" si="3"/>
        <v>OVERWEIGHT</v>
      </c>
    </row>
    <row r="2033" ht="15.75" customHeight="1">
      <c r="A2033" s="9" t="s">
        <v>4065</v>
      </c>
      <c r="B2033" s="9">
        <v>29.45</v>
      </c>
      <c r="C2033" s="9">
        <v>5.24</v>
      </c>
      <c r="D2033" s="9" t="s">
        <v>4686</v>
      </c>
      <c r="E2033" s="9" t="s">
        <v>4684</v>
      </c>
      <c r="F2033" s="9" t="s">
        <v>4684</v>
      </c>
      <c r="G2033" s="9" t="s">
        <v>4685</v>
      </c>
      <c r="H2033" s="9" t="s">
        <v>4684</v>
      </c>
      <c r="I2033" s="9" t="str">
        <f t="shared" si="1"/>
        <v>No</v>
      </c>
      <c r="J2033" s="9">
        <f t="shared" si="2"/>
        <v>0</v>
      </c>
      <c r="K2033" s="9" t="str">
        <f t="shared" si="3"/>
        <v>OVERWEIGHT</v>
      </c>
    </row>
    <row r="2034" ht="15.75" customHeight="1">
      <c r="A2034" s="9" t="s">
        <v>4067</v>
      </c>
      <c r="B2034" s="9">
        <v>27.94</v>
      </c>
      <c r="C2034" s="9">
        <v>6.08</v>
      </c>
      <c r="D2034" s="9" t="s">
        <v>4684</v>
      </c>
      <c r="E2034" s="9" t="s">
        <v>4684</v>
      </c>
      <c r="F2034" s="9" t="s">
        <v>4686</v>
      </c>
      <c r="G2034" s="9">
        <v>1.0</v>
      </c>
      <c r="H2034" s="9" t="s">
        <v>4684</v>
      </c>
      <c r="I2034" s="9" t="str">
        <f t="shared" si="1"/>
        <v>No</v>
      </c>
      <c r="J2034" s="9">
        <f t="shared" si="2"/>
        <v>1</v>
      </c>
      <c r="K2034" s="9" t="str">
        <f t="shared" si="3"/>
        <v>OVERWEIGHT</v>
      </c>
    </row>
    <row r="2035" ht="15.75" customHeight="1">
      <c r="A2035" s="9" t="s">
        <v>4069</v>
      </c>
      <c r="B2035" s="9">
        <v>27.2</v>
      </c>
      <c r="C2035" s="9">
        <v>5.83</v>
      </c>
      <c r="D2035" s="9" t="s">
        <v>4684</v>
      </c>
      <c r="E2035" s="9" t="s">
        <v>4684</v>
      </c>
      <c r="F2035" s="9" t="s">
        <v>4686</v>
      </c>
      <c r="G2035" s="9">
        <v>1.0</v>
      </c>
      <c r="H2035" s="9" t="s">
        <v>4684</v>
      </c>
      <c r="I2035" s="9" t="str">
        <f t="shared" si="1"/>
        <v>No</v>
      </c>
      <c r="J2035" s="9">
        <f t="shared" si="2"/>
        <v>1</v>
      </c>
      <c r="K2035" s="9" t="str">
        <f t="shared" si="3"/>
        <v>OVERWEIGHT</v>
      </c>
    </row>
    <row r="2036" ht="15.75" customHeight="1">
      <c r="A2036" s="9" t="s">
        <v>4071</v>
      </c>
      <c r="B2036" s="9">
        <v>33.345</v>
      </c>
      <c r="C2036" s="9">
        <v>4.29</v>
      </c>
      <c r="D2036" s="9" t="s">
        <v>4684</v>
      </c>
      <c r="E2036" s="9" t="s">
        <v>4684</v>
      </c>
      <c r="F2036" s="9" t="s">
        <v>4684</v>
      </c>
      <c r="G2036" s="9">
        <v>1.0</v>
      </c>
      <c r="H2036" s="9" t="s">
        <v>4684</v>
      </c>
      <c r="I2036" s="9" t="str">
        <f t="shared" si="1"/>
        <v>No</v>
      </c>
      <c r="J2036" s="9">
        <f t="shared" si="2"/>
        <v>1</v>
      </c>
      <c r="K2036" s="9" t="str">
        <f t="shared" si="3"/>
        <v>OBESITY</v>
      </c>
    </row>
    <row r="2037" ht="15.75" customHeight="1">
      <c r="A2037" s="9" t="s">
        <v>4073</v>
      </c>
      <c r="B2037" s="9">
        <v>29.925</v>
      </c>
      <c r="C2037" s="9">
        <v>5.3</v>
      </c>
      <c r="D2037" s="9" t="s">
        <v>4684</v>
      </c>
      <c r="E2037" s="9" t="s">
        <v>4684</v>
      </c>
      <c r="F2037" s="9" t="s">
        <v>4684</v>
      </c>
      <c r="G2037" s="9">
        <v>1.0</v>
      </c>
      <c r="H2037" s="9" t="s">
        <v>4684</v>
      </c>
      <c r="I2037" s="9" t="str">
        <f t="shared" si="1"/>
        <v>No</v>
      </c>
      <c r="J2037" s="9">
        <f t="shared" si="2"/>
        <v>1</v>
      </c>
      <c r="K2037" s="9" t="str">
        <f t="shared" si="3"/>
        <v>OBESITY</v>
      </c>
    </row>
    <row r="2038" ht="15.75" customHeight="1">
      <c r="A2038" s="9" t="s">
        <v>4075</v>
      </c>
      <c r="B2038" s="9">
        <v>24.225</v>
      </c>
      <c r="C2038" s="9">
        <v>4.42</v>
      </c>
      <c r="D2038" s="9" t="s">
        <v>4684</v>
      </c>
      <c r="E2038" s="9" t="s">
        <v>4684</v>
      </c>
      <c r="F2038" s="9" t="s">
        <v>4684</v>
      </c>
      <c r="G2038" s="9">
        <v>1.0</v>
      </c>
      <c r="H2038" s="9" t="s">
        <v>4684</v>
      </c>
      <c r="I2038" s="9" t="str">
        <f t="shared" si="1"/>
        <v>No</v>
      </c>
      <c r="J2038" s="9">
        <f t="shared" si="2"/>
        <v>1</v>
      </c>
      <c r="K2038" s="9" t="str">
        <f t="shared" si="3"/>
        <v>NORMAL WEIGHT</v>
      </c>
    </row>
    <row r="2039" ht="15.75" customHeight="1">
      <c r="A2039" s="9" t="s">
        <v>4077</v>
      </c>
      <c r="B2039" s="9">
        <v>29.68</v>
      </c>
      <c r="C2039" s="9">
        <v>5.68</v>
      </c>
      <c r="D2039" s="9" t="s">
        <v>4684</v>
      </c>
      <c r="E2039" s="9" t="s">
        <v>4686</v>
      </c>
      <c r="F2039" s="9" t="s">
        <v>4684</v>
      </c>
      <c r="G2039" s="9">
        <v>1.0</v>
      </c>
      <c r="H2039" s="9" t="s">
        <v>4684</v>
      </c>
      <c r="I2039" s="9" t="str">
        <f t="shared" si="1"/>
        <v>No</v>
      </c>
      <c r="J2039" s="9">
        <f t="shared" si="2"/>
        <v>1</v>
      </c>
      <c r="K2039" s="9" t="str">
        <f t="shared" si="3"/>
        <v>OVERWEIGHT</v>
      </c>
    </row>
    <row r="2040" ht="15.75" customHeight="1">
      <c r="A2040" s="9" t="s">
        <v>4079</v>
      </c>
      <c r="B2040" s="9">
        <v>20.615</v>
      </c>
      <c r="C2040" s="9">
        <v>6.05</v>
      </c>
      <c r="D2040" s="9" t="s">
        <v>4684</v>
      </c>
      <c r="E2040" s="9" t="s">
        <v>4684</v>
      </c>
      <c r="F2040" s="9" t="s">
        <v>4686</v>
      </c>
      <c r="G2040" s="9">
        <v>1.0</v>
      </c>
      <c r="H2040" s="9" t="s">
        <v>4684</v>
      </c>
      <c r="I2040" s="9" t="str">
        <f t="shared" si="1"/>
        <v>No</v>
      </c>
      <c r="J2040" s="9">
        <f t="shared" si="2"/>
        <v>1</v>
      </c>
      <c r="K2040" s="9" t="str">
        <f t="shared" si="3"/>
        <v>NORMAL WEIGHT</v>
      </c>
    </row>
    <row r="2041" ht="15.75" customHeight="1">
      <c r="A2041" s="9" t="s">
        <v>4081</v>
      </c>
      <c r="B2041" s="9">
        <v>32.12</v>
      </c>
      <c r="C2041" s="9">
        <v>5.33</v>
      </c>
      <c r="D2041" s="9" t="s">
        <v>4684</v>
      </c>
      <c r="E2041" s="9" t="s">
        <v>4686</v>
      </c>
      <c r="F2041" s="9" t="s">
        <v>4684</v>
      </c>
      <c r="G2041" s="9">
        <v>1.0</v>
      </c>
      <c r="H2041" s="9" t="s">
        <v>4684</v>
      </c>
      <c r="I2041" s="9" t="str">
        <f t="shared" si="1"/>
        <v>No</v>
      </c>
      <c r="J2041" s="9">
        <f t="shared" si="2"/>
        <v>1</v>
      </c>
      <c r="K2041" s="9" t="str">
        <f t="shared" si="3"/>
        <v>OBESITY</v>
      </c>
    </row>
    <row r="2042" ht="15.75" customHeight="1">
      <c r="A2042" s="9" t="s">
        <v>4083</v>
      </c>
      <c r="B2042" s="9">
        <v>27.36</v>
      </c>
      <c r="C2042" s="9">
        <v>6.22</v>
      </c>
      <c r="D2042" s="9" t="s">
        <v>4684</v>
      </c>
      <c r="E2042" s="9" t="s">
        <v>4684</v>
      </c>
      <c r="F2042" s="9" t="s">
        <v>4684</v>
      </c>
      <c r="G2042" s="9" t="s">
        <v>4685</v>
      </c>
      <c r="H2042" s="9" t="s">
        <v>4684</v>
      </c>
      <c r="I2042" s="9" t="str">
        <f t="shared" si="1"/>
        <v>No</v>
      </c>
      <c r="J2042" s="9">
        <f t="shared" si="2"/>
        <v>0</v>
      </c>
      <c r="K2042" s="9" t="str">
        <f t="shared" si="3"/>
        <v>OVERWEIGHT</v>
      </c>
    </row>
    <row r="2043" ht="15.75" customHeight="1">
      <c r="A2043" s="9" t="s">
        <v>4085</v>
      </c>
      <c r="B2043" s="9">
        <v>17.385</v>
      </c>
      <c r="C2043" s="9">
        <v>5.84</v>
      </c>
      <c r="D2043" s="9" t="s">
        <v>4684</v>
      </c>
      <c r="E2043" s="9" t="s">
        <v>4684</v>
      </c>
      <c r="F2043" s="9" t="s">
        <v>4684</v>
      </c>
      <c r="G2043" s="9" t="s">
        <v>4685</v>
      </c>
      <c r="H2043" s="9" t="s">
        <v>4684</v>
      </c>
      <c r="I2043" s="9" t="str">
        <f t="shared" si="1"/>
        <v>No</v>
      </c>
      <c r="J2043" s="9">
        <f t="shared" si="2"/>
        <v>0</v>
      </c>
      <c r="K2043" s="9" t="str">
        <f t="shared" si="3"/>
        <v>UNDERWEIGHT</v>
      </c>
    </row>
    <row r="2044" ht="15.75" customHeight="1">
      <c r="A2044" s="9" t="s">
        <v>4087</v>
      </c>
      <c r="B2044" s="9">
        <v>30.13</v>
      </c>
      <c r="C2044" s="9">
        <v>5.71</v>
      </c>
      <c r="D2044" s="9" t="s">
        <v>4684</v>
      </c>
      <c r="E2044" s="9" t="s">
        <v>4686</v>
      </c>
      <c r="F2044" s="9" t="s">
        <v>4684</v>
      </c>
      <c r="G2044" s="9">
        <v>1.0</v>
      </c>
      <c r="H2044" s="9" t="s">
        <v>4684</v>
      </c>
      <c r="I2044" s="9" t="str">
        <f t="shared" si="1"/>
        <v>No</v>
      </c>
      <c r="J2044" s="9">
        <f t="shared" si="2"/>
        <v>1</v>
      </c>
      <c r="K2044" s="9" t="str">
        <f t="shared" si="3"/>
        <v>OBESITY</v>
      </c>
    </row>
    <row r="2045" ht="15.75" customHeight="1">
      <c r="A2045" s="9" t="s">
        <v>4089</v>
      </c>
      <c r="B2045" s="9">
        <v>25.44</v>
      </c>
      <c r="C2045" s="9">
        <v>6.04</v>
      </c>
      <c r="D2045" s="9" t="s">
        <v>4686</v>
      </c>
      <c r="E2045" s="9" t="s">
        <v>4684</v>
      </c>
      <c r="F2045" s="9" t="s">
        <v>4686</v>
      </c>
      <c r="G2045" s="9">
        <v>1.0</v>
      </c>
      <c r="H2045" s="9" t="s">
        <v>4684</v>
      </c>
      <c r="I2045" s="9" t="str">
        <f t="shared" si="1"/>
        <v>No</v>
      </c>
      <c r="J2045" s="9">
        <f t="shared" si="2"/>
        <v>1</v>
      </c>
      <c r="K2045" s="9" t="str">
        <f t="shared" si="3"/>
        <v>OVERWEIGHT</v>
      </c>
    </row>
    <row r="2046" ht="15.75" customHeight="1">
      <c r="A2046" s="9" t="s">
        <v>4091</v>
      </c>
      <c r="B2046" s="9">
        <v>39.805</v>
      </c>
      <c r="C2046" s="9">
        <v>4.38</v>
      </c>
      <c r="D2046" s="9" t="s">
        <v>4684</v>
      </c>
      <c r="E2046" s="9" t="s">
        <v>4686</v>
      </c>
      <c r="F2046" s="9" t="s">
        <v>4684</v>
      </c>
      <c r="G2046" s="9">
        <v>1.0</v>
      </c>
      <c r="H2046" s="9" t="s">
        <v>4684</v>
      </c>
      <c r="I2046" s="9" t="str">
        <f t="shared" si="1"/>
        <v>No</v>
      </c>
      <c r="J2046" s="9">
        <f t="shared" si="2"/>
        <v>1</v>
      </c>
      <c r="K2046" s="9" t="str">
        <f t="shared" si="3"/>
        <v>OBESITY</v>
      </c>
    </row>
    <row r="2047" ht="15.75" customHeight="1">
      <c r="A2047" s="9" t="s">
        <v>4093</v>
      </c>
      <c r="B2047" s="9">
        <v>30.4</v>
      </c>
      <c r="C2047" s="9">
        <v>5.56</v>
      </c>
      <c r="D2047" s="9" t="s">
        <v>4686</v>
      </c>
      <c r="E2047" s="9" t="s">
        <v>4686</v>
      </c>
      <c r="F2047" s="9" t="s">
        <v>4684</v>
      </c>
      <c r="G2047" s="9">
        <v>1.0</v>
      </c>
      <c r="H2047" s="9" t="s">
        <v>4684</v>
      </c>
      <c r="I2047" s="9" t="str">
        <f t="shared" si="1"/>
        <v>No</v>
      </c>
      <c r="J2047" s="9">
        <f t="shared" si="2"/>
        <v>1</v>
      </c>
      <c r="K2047" s="9" t="str">
        <f t="shared" si="3"/>
        <v>OBESITY</v>
      </c>
    </row>
    <row r="2048" ht="15.75" customHeight="1">
      <c r="A2048" s="9" t="s">
        <v>4095</v>
      </c>
      <c r="B2048" s="9">
        <v>23.18</v>
      </c>
      <c r="C2048" s="9">
        <v>4.24</v>
      </c>
      <c r="D2048" s="9" t="s">
        <v>4684</v>
      </c>
      <c r="E2048" s="9" t="s">
        <v>4686</v>
      </c>
      <c r="F2048" s="9" t="s">
        <v>4684</v>
      </c>
      <c r="G2048" s="9">
        <v>1.0</v>
      </c>
      <c r="H2048" s="9" t="s">
        <v>4684</v>
      </c>
      <c r="I2048" s="9" t="str">
        <f t="shared" si="1"/>
        <v>No</v>
      </c>
      <c r="J2048" s="9">
        <f t="shared" si="2"/>
        <v>1</v>
      </c>
      <c r="K2048" s="9" t="str">
        <f t="shared" si="3"/>
        <v>NORMAL WEIGHT</v>
      </c>
    </row>
    <row r="2049" ht="15.75" customHeight="1">
      <c r="A2049" s="9" t="s">
        <v>4097</v>
      </c>
      <c r="B2049" s="9">
        <v>39.615</v>
      </c>
      <c r="C2049" s="9">
        <v>6.32</v>
      </c>
      <c r="D2049" s="9" t="s">
        <v>4684</v>
      </c>
      <c r="E2049" s="9" t="s">
        <v>4684</v>
      </c>
      <c r="F2049" s="9" t="s">
        <v>4686</v>
      </c>
      <c r="G2049" s="9">
        <v>1.0</v>
      </c>
      <c r="H2049" s="9" t="s">
        <v>4684</v>
      </c>
      <c r="I2049" s="9" t="str">
        <f t="shared" si="1"/>
        <v>No</v>
      </c>
      <c r="J2049" s="9">
        <f t="shared" si="2"/>
        <v>1</v>
      </c>
      <c r="K2049" s="9" t="str">
        <f t="shared" si="3"/>
        <v>OBESITY</v>
      </c>
    </row>
    <row r="2050" ht="15.75" customHeight="1">
      <c r="A2050" s="9" t="s">
        <v>4099</v>
      </c>
      <c r="B2050" s="9">
        <v>30.59</v>
      </c>
      <c r="C2050" s="9">
        <v>6.3</v>
      </c>
      <c r="D2050" s="9" t="s">
        <v>4686</v>
      </c>
      <c r="E2050" s="9" t="s">
        <v>4684</v>
      </c>
      <c r="F2050" s="9" t="s">
        <v>4686</v>
      </c>
      <c r="G2050" s="9">
        <v>1.0</v>
      </c>
      <c r="H2050" s="9" t="s">
        <v>4684</v>
      </c>
      <c r="I2050" s="9" t="str">
        <f t="shared" si="1"/>
        <v>No</v>
      </c>
      <c r="J2050" s="9">
        <f t="shared" si="2"/>
        <v>1</v>
      </c>
      <c r="K2050" s="9" t="str">
        <f t="shared" si="3"/>
        <v>OBESITY</v>
      </c>
    </row>
    <row r="2051" ht="15.75" customHeight="1">
      <c r="A2051" s="9" t="s">
        <v>4101</v>
      </c>
      <c r="B2051" s="9">
        <v>16.72</v>
      </c>
      <c r="C2051" s="9">
        <v>4.38</v>
      </c>
      <c r="D2051" s="9" t="s">
        <v>4686</v>
      </c>
      <c r="E2051" s="9" t="s">
        <v>4684</v>
      </c>
      <c r="F2051" s="9" t="s">
        <v>4684</v>
      </c>
      <c r="G2051" s="9">
        <v>1.0</v>
      </c>
      <c r="H2051" s="9" t="s">
        <v>4684</v>
      </c>
      <c r="I2051" s="9" t="str">
        <f t="shared" si="1"/>
        <v>No</v>
      </c>
      <c r="J2051" s="9">
        <f t="shared" si="2"/>
        <v>1</v>
      </c>
      <c r="K2051" s="9" t="str">
        <f t="shared" si="3"/>
        <v>UNDERWEIGHT</v>
      </c>
    </row>
    <row r="2052" ht="15.75" customHeight="1">
      <c r="A2052" s="9" t="s">
        <v>4103</v>
      </c>
      <c r="B2052" s="9">
        <v>26.22</v>
      </c>
      <c r="C2052" s="9">
        <v>4.65</v>
      </c>
      <c r="D2052" s="9" t="s">
        <v>4686</v>
      </c>
      <c r="E2052" s="9" t="s">
        <v>4684</v>
      </c>
      <c r="F2052" s="9" t="s">
        <v>4686</v>
      </c>
      <c r="G2052" s="9">
        <v>1.0</v>
      </c>
      <c r="H2052" s="9" t="s">
        <v>4684</v>
      </c>
      <c r="I2052" s="9" t="str">
        <f t="shared" si="1"/>
        <v>No</v>
      </c>
      <c r="J2052" s="9">
        <f t="shared" si="2"/>
        <v>1</v>
      </c>
      <c r="K2052" s="9" t="str">
        <f t="shared" si="3"/>
        <v>OVERWEIGHT</v>
      </c>
    </row>
    <row r="2053" ht="15.75" customHeight="1">
      <c r="A2053" s="9" t="s">
        <v>4105</v>
      </c>
      <c r="B2053" s="9">
        <v>31.825</v>
      </c>
      <c r="C2053" s="9">
        <v>4.7</v>
      </c>
      <c r="D2053" s="9" t="s">
        <v>4684</v>
      </c>
      <c r="E2053" s="9" t="s">
        <v>4684</v>
      </c>
      <c r="F2053" s="9" t="s">
        <v>4686</v>
      </c>
      <c r="G2053" s="9">
        <v>1.0</v>
      </c>
      <c r="H2053" s="9" t="s">
        <v>4684</v>
      </c>
      <c r="I2053" s="9" t="str">
        <f t="shared" si="1"/>
        <v>No</v>
      </c>
      <c r="J2053" s="9">
        <f t="shared" si="2"/>
        <v>1</v>
      </c>
      <c r="K2053" s="9" t="str">
        <f t="shared" si="3"/>
        <v>OBESITY</v>
      </c>
    </row>
    <row r="2054" ht="15.75" customHeight="1">
      <c r="A2054" s="9" t="s">
        <v>4107</v>
      </c>
      <c r="B2054" s="9">
        <v>25.745</v>
      </c>
      <c r="C2054" s="9">
        <v>4.34</v>
      </c>
      <c r="D2054" s="9" t="s">
        <v>4684</v>
      </c>
      <c r="E2054" s="9" t="s">
        <v>4684</v>
      </c>
      <c r="F2054" s="9" t="s">
        <v>4686</v>
      </c>
      <c r="G2054" s="9">
        <v>1.0</v>
      </c>
      <c r="H2054" s="9" t="s">
        <v>4684</v>
      </c>
      <c r="I2054" s="9" t="str">
        <f t="shared" si="1"/>
        <v>No</v>
      </c>
      <c r="J2054" s="9">
        <f t="shared" si="2"/>
        <v>1</v>
      </c>
      <c r="K2054" s="9" t="str">
        <f t="shared" si="3"/>
        <v>OVERWEIGHT</v>
      </c>
    </row>
    <row r="2055" ht="15.75" customHeight="1">
      <c r="A2055" s="9" t="s">
        <v>4109</v>
      </c>
      <c r="B2055" s="9">
        <v>24.605</v>
      </c>
      <c r="C2055" s="9">
        <v>5.62</v>
      </c>
      <c r="D2055" s="9" t="s">
        <v>4684</v>
      </c>
      <c r="E2055" s="9" t="s">
        <v>4684</v>
      </c>
      <c r="F2055" s="9" t="s">
        <v>4686</v>
      </c>
      <c r="G2055" s="9">
        <v>1.0</v>
      </c>
      <c r="H2055" s="9" t="s">
        <v>4684</v>
      </c>
      <c r="I2055" s="9" t="str">
        <f t="shared" si="1"/>
        <v>No</v>
      </c>
      <c r="J2055" s="9">
        <f t="shared" si="2"/>
        <v>1</v>
      </c>
      <c r="K2055" s="9" t="str">
        <f t="shared" si="3"/>
        <v>NORMAL WEIGHT</v>
      </c>
    </row>
    <row r="2056" ht="15.75" customHeight="1">
      <c r="A2056" s="9" t="s">
        <v>4111</v>
      </c>
      <c r="B2056" s="9">
        <v>24.51</v>
      </c>
      <c r="C2056" s="9">
        <v>4.24</v>
      </c>
      <c r="D2056" s="9" t="s">
        <v>4684</v>
      </c>
      <c r="E2056" s="9" t="s">
        <v>4684</v>
      </c>
      <c r="F2056" s="9" t="s">
        <v>4686</v>
      </c>
      <c r="G2056" s="9">
        <v>1.0</v>
      </c>
      <c r="H2056" s="9" t="s">
        <v>4684</v>
      </c>
      <c r="I2056" s="9" t="str">
        <f t="shared" si="1"/>
        <v>No</v>
      </c>
      <c r="J2056" s="9">
        <f t="shared" si="2"/>
        <v>1</v>
      </c>
      <c r="K2056" s="9" t="str">
        <f t="shared" si="3"/>
        <v>NORMAL WEIGHT</v>
      </c>
    </row>
    <row r="2057" ht="15.75" customHeight="1">
      <c r="A2057" s="9" t="s">
        <v>4113</v>
      </c>
      <c r="B2057" s="9">
        <v>31.065</v>
      </c>
      <c r="C2057" s="9">
        <v>4.57</v>
      </c>
      <c r="D2057" s="9" t="s">
        <v>4686</v>
      </c>
      <c r="E2057" s="9" t="s">
        <v>4684</v>
      </c>
      <c r="F2057" s="9" t="s">
        <v>4684</v>
      </c>
      <c r="G2057" s="9" t="s">
        <v>4685</v>
      </c>
      <c r="H2057" s="9" t="s">
        <v>4684</v>
      </c>
      <c r="I2057" s="9" t="str">
        <f t="shared" si="1"/>
        <v>No</v>
      </c>
      <c r="J2057" s="9">
        <f t="shared" si="2"/>
        <v>0</v>
      </c>
      <c r="K2057" s="9" t="str">
        <f t="shared" si="3"/>
        <v>OBESITY</v>
      </c>
    </row>
    <row r="2058" ht="15.75" customHeight="1">
      <c r="A2058" s="9" t="s">
        <v>4115</v>
      </c>
      <c r="B2058" s="9">
        <v>28.12</v>
      </c>
      <c r="C2058" s="9">
        <v>5.05</v>
      </c>
      <c r="D2058" s="9" t="s">
        <v>4684</v>
      </c>
      <c r="E2058" s="9" t="s">
        <v>4684</v>
      </c>
      <c r="F2058" s="9" t="s">
        <v>4684</v>
      </c>
      <c r="G2058" s="9" t="s">
        <v>4685</v>
      </c>
      <c r="H2058" s="9" t="s">
        <v>4684</v>
      </c>
      <c r="I2058" s="9" t="str">
        <f t="shared" si="1"/>
        <v>No</v>
      </c>
      <c r="J2058" s="9">
        <f t="shared" si="2"/>
        <v>0</v>
      </c>
      <c r="K2058" s="9" t="str">
        <f t="shared" si="3"/>
        <v>OVERWEIGHT</v>
      </c>
    </row>
    <row r="2059" ht="15.75" customHeight="1">
      <c r="A2059" s="9" t="s">
        <v>4117</v>
      </c>
      <c r="B2059" s="9">
        <v>38.06</v>
      </c>
      <c r="C2059" s="9">
        <v>6.16</v>
      </c>
      <c r="D2059" s="9" t="s">
        <v>4684</v>
      </c>
      <c r="E2059" s="9" t="s">
        <v>4684</v>
      </c>
      <c r="F2059" s="9" t="s">
        <v>4684</v>
      </c>
      <c r="G2059" s="9" t="s">
        <v>4685</v>
      </c>
      <c r="H2059" s="9" t="s">
        <v>4684</v>
      </c>
      <c r="I2059" s="9" t="str">
        <f t="shared" si="1"/>
        <v>No</v>
      </c>
      <c r="J2059" s="9">
        <f t="shared" si="2"/>
        <v>0</v>
      </c>
      <c r="K2059" s="9" t="str">
        <f t="shared" si="3"/>
        <v>OBESITY</v>
      </c>
    </row>
    <row r="2060" ht="15.75" customHeight="1">
      <c r="A2060" s="9" t="s">
        <v>4119</v>
      </c>
      <c r="B2060" s="9">
        <v>24.96</v>
      </c>
      <c r="C2060" s="9">
        <v>4.57</v>
      </c>
      <c r="D2060" s="9" t="s">
        <v>4684</v>
      </c>
      <c r="E2060" s="9" t="s">
        <v>4684</v>
      </c>
      <c r="F2060" s="9" t="s">
        <v>4684</v>
      </c>
      <c r="G2060" s="9" t="s">
        <v>4685</v>
      </c>
      <c r="H2060" s="9" t="s">
        <v>4684</v>
      </c>
      <c r="I2060" s="9" t="str">
        <f t="shared" si="1"/>
        <v>No</v>
      </c>
      <c r="J2060" s="9">
        <f t="shared" si="2"/>
        <v>0</v>
      </c>
      <c r="K2060" s="9" t="str">
        <f t="shared" si="3"/>
        <v>NORMAL WEIGHT</v>
      </c>
    </row>
    <row r="2061" ht="15.75" customHeight="1">
      <c r="A2061" s="9" t="s">
        <v>4121</v>
      </c>
      <c r="B2061" s="9">
        <v>17.67</v>
      </c>
      <c r="C2061" s="9">
        <v>5.53</v>
      </c>
      <c r="D2061" s="9" t="s">
        <v>4686</v>
      </c>
      <c r="E2061" s="9" t="s">
        <v>4684</v>
      </c>
      <c r="F2061" s="9" t="s">
        <v>4684</v>
      </c>
      <c r="G2061" s="9" t="s">
        <v>4685</v>
      </c>
      <c r="H2061" s="9" t="s">
        <v>4684</v>
      </c>
      <c r="I2061" s="9" t="str">
        <f t="shared" si="1"/>
        <v>No</v>
      </c>
      <c r="J2061" s="9">
        <f t="shared" si="2"/>
        <v>0</v>
      </c>
      <c r="K2061" s="9" t="str">
        <f t="shared" si="3"/>
        <v>UNDERWEIGHT</v>
      </c>
    </row>
    <row r="2062" ht="15.75" customHeight="1">
      <c r="A2062" s="9" t="s">
        <v>4123</v>
      </c>
      <c r="B2062" s="9">
        <v>31.35</v>
      </c>
      <c r="C2062" s="9">
        <v>5.84</v>
      </c>
      <c r="D2062" s="9" t="s">
        <v>4684</v>
      </c>
      <c r="E2062" s="9" t="s">
        <v>4686</v>
      </c>
      <c r="F2062" s="9" t="s">
        <v>4684</v>
      </c>
      <c r="G2062" s="9">
        <v>1.0</v>
      </c>
      <c r="H2062" s="9" t="s">
        <v>4684</v>
      </c>
      <c r="I2062" s="9" t="str">
        <f t="shared" si="1"/>
        <v>No</v>
      </c>
      <c r="J2062" s="9">
        <f t="shared" si="2"/>
        <v>1</v>
      </c>
      <c r="K2062" s="9" t="str">
        <f t="shared" si="3"/>
        <v>OBESITY</v>
      </c>
    </row>
    <row r="2063" ht="15.75" customHeight="1">
      <c r="A2063" s="9" t="s">
        <v>4125</v>
      </c>
      <c r="B2063" s="9">
        <v>28.31</v>
      </c>
      <c r="C2063" s="9">
        <v>6.41</v>
      </c>
      <c r="D2063" s="9" t="s">
        <v>4684</v>
      </c>
      <c r="E2063" s="9" t="s">
        <v>4686</v>
      </c>
      <c r="F2063" s="9" t="s">
        <v>4684</v>
      </c>
      <c r="G2063" s="9">
        <v>1.0</v>
      </c>
      <c r="H2063" s="9" t="s">
        <v>4684</v>
      </c>
      <c r="I2063" s="9" t="str">
        <f t="shared" si="1"/>
        <v>No</v>
      </c>
      <c r="J2063" s="9">
        <f t="shared" si="2"/>
        <v>1</v>
      </c>
      <c r="K2063" s="9" t="str">
        <f t="shared" si="3"/>
        <v>OVERWEIGHT</v>
      </c>
    </row>
    <row r="2064" ht="15.75" customHeight="1">
      <c r="A2064" s="9" t="s">
        <v>4127</v>
      </c>
      <c r="B2064" s="9">
        <v>30.3</v>
      </c>
      <c r="C2064" s="9">
        <v>4.73</v>
      </c>
      <c r="D2064" s="9" t="s">
        <v>4686</v>
      </c>
      <c r="E2064" s="9" t="s">
        <v>4684</v>
      </c>
      <c r="F2064" s="9" t="s">
        <v>4686</v>
      </c>
      <c r="G2064" s="9">
        <v>1.0</v>
      </c>
      <c r="H2064" s="9" t="s">
        <v>4684</v>
      </c>
      <c r="I2064" s="9" t="str">
        <f t="shared" si="1"/>
        <v>No</v>
      </c>
      <c r="J2064" s="9">
        <f t="shared" si="2"/>
        <v>1</v>
      </c>
      <c r="K2064" s="9" t="str">
        <f t="shared" si="3"/>
        <v>OBESITY</v>
      </c>
    </row>
    <row r="2065" ht="15.75" customHeight="1">
      <c r="A2065" s="9" t="s">
        <v>4129</v>
      </c>
      <c r="B2065" s="9">
        <v>26.4</v>
      </c>
      <c r="C2065" s="9">
        <v>6.22</v>
      </c>
      <c r="D2065" s="9" t="s">
        <v>4686</v>
      </c>
      <c r="E2065" s="9" t="s">
        <v>4684</v>
      </c>
      <c r="F2065" s="9" t="s">
        <v>4684</v>
      </c>
      <c r="G2065" s="9" t="s">
        <v>4685</v>
      </c>
      <c r="H2065" s="9" t="s">
        <v>4684</v>
      </c>
      <c r="I2065" s="9" t="str">
        <f t="shared" si="1"/>
        <v>No</v>
      </c>
      <c r="J2065" s="9">
        <f t="shared" si="2"/>
        <v>0</v>
      </c>
      <c r="K2065" s="9" t="str">
        <f t="shared" si="3"/>
        <v>OVERWEIGHT</v>
      </c>
    </row>
    <row r="2066" ht="15.75" customHeight="1">
      <c r="A2066" s="9" t="s">
        <v>4131</v>
      </c>
      <c r="B2066" s="9">
        <v>22.135</v>
      </c>
      <c r="C2066" s="9">
        <v>4.46</v>
      </c>
      <c r="D2066" s="9" t="s">
        <v>4686</v>
      </c>
      <c r="E2066" s="9" t="s">
        <v>4684</v>
      </c>
      <c r="F2066" s="9" t="s">
        <v>4684</v>
      </c>
      <c r="G2066" s="9" t="s">
        <v>4685</v>
      </c>
      <c r="H2066" s="9" t="s">
        <v>4684</v>
      </c>
      <c r="I2066" s="9" t="str">
        <f t="shared" si="1"/>
        <v>No</v>
      </c>
      <c r="J2066" s="9">
        <f t="shared" si="2"/>
        <v>0</v>
      </c>
      <c r="K2066" s="9" t="str">
        <f t="shared" si="3"/>
        <v>NORMAL WEIGHT</v>
      </c>
    </row>
    <row r="2067" ht="15.75" customHeight="1">
      <c r="A2067" s="9" t="s">
        <v>4133</v>
      </c>
      <c r="B2067" s="9">
        <v>17.4</v>
      </c>
      <c r="C2067" s="9">
        <v>4.5</v>
      </c>
      <c r="D2067" s="9" t="s">
        <v>4686</v>
      </c>
      <c r="E2067" s="9" t="s">
        <v>4684</v>
      </c>
      <c r="F2067" s="9" t="s">
        <v>4684</v>
      </c>
      <c r="G2067" s="9" t="s">
        <v>4685</v>
      </c>
      <c r="H2067" s="9" t="s">
        <v>4684</v>
      </c>
      <c r="I2067" s="9" t="str">
        <f t="shared" si="1"/>
        <v>No</v>
      </c>
      <c r="J2067" s="9">
        <f t="shared" si="2"/>
        <v>0</v>
      </c>
      <c r="K2067" s="9" t="str">
        <f t="shared" si="3"/>
        <v>UNDERWEIGHT</v>
      </c>
    </row>
    <row r="2068" ht="15.75" customHeight="1">
      <c r="A2068" s="9" t="s">
        <v>4135</v>
      </c>
      <c r="B2068" s="9">
        <v>28.06</v>
      </c>
      <c r="C2068" s="9">
        <v>8.93</v>
      </c>
      <c r="D2068" s="9" t="s">
        <v>4684</v>
      </c>
      <c r="E2068" s="9" t="s">
        <v>4684</v>
      </c>
      <c r="F2068" s="9" t="s">
        <v>4684</v>
      </c>
      <c r="G2068" s="9" t="s">
        <v>4685</v>
      </c>
      <c r="H2068" s="9" t="s">
        <v>4684</v>
      </c>
      <c r="I2068" s="9" t="str">
        <f t="shared" si="1"/>
        <v>No</v>
      </c>
      <c r="J2068" s="9">
        <f t="shared" si="2"/>
        <v>0</v>
      </c>
      <c r="K2068" s="9" t="str">
        <f t="shared" si="3"/>
        <v>OVERWEIGHT</v>
      </c>
    </row>
    <row r="2069" ht="15.75" customHeight="1">
      <c r="A2069" s="9" t="s">
        <v>4137</v>
      </c>
      <c r="B2069" s="9">
        <v>31.13</v>
      </c>
      <c r="C2069" s="9">
        <v>11.02</v>
      </c>
      <c r="D2069" s="9" t="s">
        <v>4684</v>
      </c>
      <c r="E2069" s="9" t="s">
        <v>4684</v>
      </c>
      <c r="F2069" s="9" t="s">
        <v>4684</v>
      </c>
      <c r="G2069" s="9" t="s">
        <v>4685</v>
      </c>
      <c r="H2069" s="9" t="s">
        <v>4684</v>
      </c>
      <c r="I2069" s="9" t="str">
        <f t="shared" si="1"/>
        <v>No</v>
      </c>
      <c r="J2069" s="9">
        <f t="shared" si="2"/>
        <v>0</v>
      </c>
      <c r="K2069" s="9" t="str">
        <f t="shared" si="3"/>
        <v>OBESITY</v>
      </c>
    </row>
    <row r="2070" ht="15.75" customHeight="1">
      <c r="A2070" s="9" t="s">
        <v>4139</v>
      </c>
      <c r="B2070" s="9">
        <v>18.46</v>
      </c>
      <c r="C2070" s="9">
        <v>5.25</v>
      </c>
      <c r="D2070" s="9" t="s">
        <v>4684</v>
      </c>
      <c r="E2070" s="9" t="s">
        <v>4684</v>
      </c>
      <c r="F2070" s="9" t="s">
        <v>4684</v>
      </c>
      <c r="G2070" s="9" t="s">
        <v>4685</v>
      </c>
      <c r="H2070" s="9" t="s">
        <v>4684</v>
      </c>
      <c r="I2070" s="9" t="str">
        <f t="shared" si="1"/>
        <v>No</v>
      </c>
      <c r="J2070" s="9">
        <f t="shared" si="2"/>
        <v>0</v>
      </c>
      <c r="K2070" s="9" t="str">
        <f t="shared" si="3"/>
        <v>UNDERWEIGHT</v>
      </c>
    </row>
    <row r="2071" ht="15.75" customHeight="1">
      <c r="A2071" s="9" t="s">
        <v>4141</v>
      </c>
      <c r="B2071" s="9">
        <v>17.3</v>
      </c>
      <c r="C2071" s="9">
        <v>4.75</v>
      </c>
      <c r="D2071" s="9" t="s">
        <v>4684</v>
      </c>
      <c r="E2071" s="9" t="s">
        <v>4684</v>
      </c>
      <c r="F2071" s="9" t="s">
        <v>4684</v>
      </c>
      <c r="G2071" s="9" t="s">
        <v>4685</v>
      </c>
      <c r="H2071" s="9" t="s">
        <v>4684</v>
      </c>
      <c r="I2071" s="9" t="str">
        <f t="shared" si="1"/>
        <v>No</v>
      </c>
      <c r="J2071" s="9">
        <f t="shared" si="2"/>
        <v>0</v>
      </c>
      <c r="K2071" s="9" t="str">
        <f t="shared" si="3"/>
        <v>UNDERWEIGHT</v>
      </c>
    </row>
    <row r="2072" ht="15.75" customHeight="1">
      <c r="A2072" s="9" t="s">
        <v>4143</v>
      </c>
      <c r="B2072" s="9">
        <v>35.625</v>
      </c>
      <c r="C2072" s="9">
        <v>4.68</v>
      </c>
      <c r="D2072" s="9" t="s">
        <v>4686</v>
      </c>
      <c r="E2072" s="9" t="s">
        <v>4684</v>
      </c>
      <c r="F2072" s="9" t="s">
        <v>4686</v>
      </c>
      <c r="G2072" s="9">
        <v>1.0</v>
      </c>
      <c r="H2072" s="9" t="s">
        <v>4684</v>
      </c>
      <c r="I2072" s="9" t="str">
        <f t="shared" si="1"/>
        <v>No</v>
      </c>
      <c r="J2072" s="9">
        <f t="shared" si="2"/>
        <v>1</v>
      </c>
      <c r="K2072" s="9" t="str">
        <f t="shared" si="3"/>
        <v>OBESITY</v>
      </c>
    </row>
    <row r="2073" ht="15.75" customHeight="1">
      <c r="A2073" s="9" t="s">
        <v>4145</v>
      </c>
      <c r="B2073" s="9">
        <v>20.235</v>
      </c>
      <c r="C2073" s="9">
        <v>6.17</v>
      </c>
      <c r="D2073" s="9" t="s">
        <v>4686</v>
      </c>
      <c r="E2073" s="9" t="s">
        <v>4686</v>
      </c>
      <c r="F2073" s="9" t="s">
        <v>4684</v>
      </c>
      <c r="G2073" s="9">
        <v>2.0</v>
      </c>
      <c r="H2073" s="9" t="s">
        <v>4684</v>
      </c>
      <c r="I2073" s="9" t="str">
        <f t="shared" si="1"/>
        <v>No</v>
      </c>
      <c r="J2073" s="9">
        <f t="shared" si="2"/>
        <v>2</v>
      </c>
      <c r="K2073" s="9" t="str">
        <f t="shared" si="3"/>
        <v>NORMAL WEIGHT</v>
      </c>
    </row>
    <row r="2074" ht="15.75" customHeight="1">
      <c r="A2074" s="9" t="s">
        <v>4147</v>
      </c>
      <c r="B2074" s="9">
        <v>27.55</v>
      </c>
      <c r="C2074" s="9">
        <v>4.56</v>
      </c>
      <c r="D2074" s="9" t="s">
        <v>4686</v>
      </c>
      <c r="E2074" s="9" t="s">
        <v>4684</v>
      </c>
      <c r="F2074" s="9" t="s">
        <v>4686</v>
      </c>
      <c r="G2074" s="9">
        <v>1.0</v>
      </c>
      <c r="H2074" s="9" t="s">
        <v>4684</v>
      </c>
      <c r="I2074" s="9" t="str">
        <f t="shared" si="1"/>
        <v>No</v>
      </c>
      <c r="J2074" s="9">
        <f t="shared" si="2"/>
        <v>1</v>
      </c>
      <c r="K2074" s="9" t="str">
        <f t="shared" si="3"/>
        <v>OVERWEIGHT</v>
      </c>
    </row>
    <row r="2075" ht="15.75" customHeight="1">
      <c r="A2075" s="9" t="s">
        <v>4149</v>
      </c>
      <c r="B2075" s="9">
        <v>17.97</v>
      </c>
      <c r="C2075" s="9">
        <v>6.3</v>
      </c>
      <c r="D2075" s="9" t="s">
        <v>4684</v>
      </c>
      <c r="E2075" s="9" t="s">
        <v>4684</v>
      </c>
      <c r="F2075" s="9" t="s">
        <v>4684</v>
      </c>
      <c r="G2075" s="9" t="s">
        <v>4685</v>
      </c>
      <c r="H2075" s="9" t="s">
        <v>4684</v>
      </c>
      <c r="I2075" s="9" t="str">
        <f t="shared" si="1"/>
        <v>No</v>
      </c>
      <c r="J2075" s="9">
        <f t="shared" si="2"/>
        <v>0</v>
      </c>
      <c r="K2075" s="9" t="str">
        <f t="shared" si="3"/>
        <v>UNDERWEIGHT</v>
      </c>
    </row>
    <row r="2076" ht="15.75" customHeight="1">
      <c r="A2076" s="9" t="s">
        <v>4151</v>
      </c>
      <c r="B2076" s="9">
        <v>29.98</v>
      </c>
      <c r="C2076" s="9">
        <v>6.03</v>
      </c>
      <c r="D2076" s="9" t="s">
        <v>4684</v>
      </c>
      <c r="E2076" s="9" t="s">
        <v>4686</v>
      </c>
      <c r="F2076" s="9" t="s">
        <v>4684</v>
      </c>
      <c r="G2076" s="9">
        <v>1.0</v>
      </c>
      <c r="H2076" s="9" t="s">
        <v>4684</v>
      </c>
      <c r="I2076" s="9" t="str">
        <f t="shared" si="1"/>
        <v>No</v>
      </c>
      <c r="J2076" s="9">
        <f t="shared" si="2"/>
        <v>1</v>
      </c>
      <c r="K2076" s="9" t="str">
        <f t="shared" si="3"/>
        <v>OBESITY</v>
      </c>
    </row>
    <row r="2077" ht="15.75" customHeight="1">
      <c r="A2077" s="9" t="s">
        <v>4153</v>
      </c>
      <c r="B2077" s="9">
        <v>33.66</v>
      </c>
      <c r="C2077" s="9">
        <v>4.2</v>
      </c>
      <c r="D2077" s="9" t="s">
        <v>4686</v>
      </c>
      <c r="E2077" s="9" t="s">
        <v>4684</v>
      </c>
      <c r="F2077" s="9" t="s">
        <v>4684</v>
      </c>
      <c r="G2077" s="9">
        <v>1.0</v>
      </c>
      <c r="H2077" s="9" t="s">
        <v>4684</v>
      </c>
      <c r="I2077" s="9" t="str">
        <f t="shared" si="1"/>
        <v>No</v>
      </c>
      <c r="J2077" s="9">
        <f t="shared" si="2"/>
        <v>1</v>
      </c>
      <c r="K2077" s="9" t="str">
        <f t="shared" si="3"/>
        <v>OBESITY</v>
      </c>
    </row>
    <row r="2078" ht="15.75" customHeight="1">
      <c r="A2078" s="9" t="s">
        <v>4155</v>
      </c>
      <c r="B2078" s="9">
        <v>32.67</v>
      </c>
      <c r="C2078" s="9">
        <v>5.61</v>
      </c>
      <c r="D2078" s="9" t="s">
        <v>4686</v>
      </c>
      <c r="E2078" s="9" t="s">
        <v>4684</v>
      </c>
      <c r="F2078" s="9" t="s">
        <v>4684</v>
      </c>
      <c r="G2078" s="9">
        <v>1.0</v>
      </c>
      <c r="H2078" s="9" t="s">
        <v>4684</v>
      </c>
      <c r="I2078" s="9" t="str">
        <f t="shared" si="1"/>
        <v>No</v>
      </c>
      <c r="J2078" s="9">
        <f t="shared" si="2"/>
        <v>1</v>
      </c>
      <c r="K2078" s="9" t="str">
        <f t="shared" si="3"/>
        <v>OBESITY</v>
      </c>
    </row>
    <row r="2079" ht="15.75" customHeight="1">
      <c r="A2079" s="9" t="s">
        <v>4157</v>
      </c>
      <c r="B2079" s="9">
        <v>30.5</v>
      </c>
      <c r="C2079" s="9">
        <v>5.88</v>
      </c>
      <c r="D2079" s="9" t="s">
        <v>4686</v>
      </c>
      <c r="E2079" s="9" t="s">
        <v>4684</v>
      </c>
      <c r="F2079" s="9" t="s">
        <v>4684</v>
      </c>
      <c r="G2079" s="9">
        <v>1.0</v>
      </c>
      <c r="H2079" s="9" t="s">
        <v>4684</v>
      </c>
      <c r="I2079" s="9" t="str">
        <f t="shared" si="1"/>
        <v>No</v>
      </c>
      <c r="J2079" s="9">
        <f t="shared" si="2"/>
        <v>1</v>
      </c>
      <c r="K2079" s="9" t="str">
        <f t="shared" si="3"/>
        <v>OBESITY</v>
      </c>
    </row>
    <row r="2080" ht="15.75" customHeight="1">
      <c r="A2080" s="9" t="s">
        <v>4159</v>
      </c>
      <c r="B2080" s="9">
        <v>23.1</v>
      </c>
      <c r="C2080" s="9">
        <v>5.92</v>
      </c>
      <c r="D2080" s="9" t="s">
        <v>4686</v>
      </c>
      <c r="E2080" s="9" t="s">
        <v>4684</v>
      </c>
      <c r="F2080" s="9" t="s">
        <v>4684</v>
      </c>
      <c r="G2080" s="9">
        <v>1.0</v>
      </c>
      <c r="H2080" s="9" t="s">
        <v>4684</v>
      </c>
      <c r="I2080" s="9" t="str">
        <f t="shared" si="1"/>
        <v>No</v>
      </c>
      <c r="J2080" s="9">
        <f t="shared" si="2"/>
        <v>1</v>
      </c>
      <c r="K2080" s="9" t="str">
        <f t="shared" si="3"/>
        <v>NORMAL WEIGHT</v>
      </c>
    </row>
    <row r="2081" ht="15.75" customHeight="1">
      <c r="A2081" s="9" t="s">
        <v>4161</v>
      </c>
      <c r="B2081" s="9">
        <v>39.49</v>
      </c>
      <c r="C2081" s="9">
        <v>4.81</v>
      </c>
      <c r="D2081" s="9" t="s">
        <v>4684</v>
      </c>
      <c r="E2081" s="9" t="s">
        <v>4684</v>
      </c>
      <c r="F2081" s="9" t="s">
        <v>4684</v>
      </c>
      <c r="G2081" s="9">
        <v>1.0</v>
      </c>
      <c r="H2081" s="9" t="s">
        <v>4684</v>
      </c>
      <c r="I2081" s="9" t="str">
        <f t="shared" si="1"/>
        <v>No</v>
      </c>
      <c r="J2081" s="9">
        <f t="shared" si="2"/>
        <v>1</v>
      </c>
      <c r="K2081" s="9" t="str">
        <f t="shared" si="3"/>
        <v>OBESITY</v>
      </c>
    </row>
    <row r="2082" ht="15.75" customHeight="1">
      <c r="A2082" s="9" t="s">
        <v>4163</v>
      </c>
      <c r="B2082" s="9">
        <v>33.99</v>
      </c>
      <c r="C2082" s="9">
        <v>4.55</v>
      </c>
      <c r="D2082" s="9" t="s">
        <v>4684</v>
      </c>
      <c r="E2082" s="9" t="s">
        <v>4684</v>
      </c>
      <c r="F2082" s="9" t="s">
        <v>4684</v>
      </c>
      <c r="G2082" s="9">
        <v>1.0</v>
      </c>
      <c r="H2082" s="9" t="s">
        <v>4684</v>
      </c>
      <c r="I2082" s="9" t="str">
        <f t="shared" si="1"/>
        <v>No</v>
      </c>
      <c r="J2082" s="9">
        <f t="shared" si="2"/>
        <v>1</v>
      </c>
      <c r="K2082" s="9" t="str">
        <f t="shared" si="3"/>
        <v>OBESITY</v>
      </c>
    </row>
    <row r="2083" ht="15.75" customHeight="1">
      <c r="A2083" s="9" t="s">
        <v>4165</v>
      </c>
      <c r="B2083" s="9">
        <v>27.72</v>
      </c>
      <c r="C2083" s="9">
        <v>6.43</v>
      </c>
      <c r="D2083" s="9" t="s">
        <v>4684</v>
      </c>
      <c r="E2083" s="9" t="s">
        <v>4684</v>
      </c>
      <c r="F2083" s="9" t="s">
        <v>4684</v>
      </c>
      <c r="G2083" s="9">
        <v>1.0</v>
      </c>
      <c r="H2083" s="9" t="s">
        <v>4684</v>
      </c>
      <c r="I2083" s="9" t="str">
        <f t="shared" si="1"/>
        <v>No</v>
      </c>
      <c r="J2083" s="9">
        <f t="shared" si="2"/>
        <v>1</v>
      </c>
      <c r="K2083" s="9" t="str">
        <f t="shared" si="3"/>
        <v>OVERWEIGHT</v>
      </c>
    </row>
    <row r="2084" ht="15.75" customHeight="1">
      <c r="A2084" s="9" t="s">
        <v>4167</v>
      </c>
      <c r="B2084" s="9">
        <v>30.59</v>
      </c>
      <c r="C2084" s="9">
        <v>11.62</v>
      </c>
      <c r="D2084" s="9" t="s">
        <v>4684</v>
      </c>
      <c r="E2084" s="9" t="s">
        <v>4684</v>
      </c>
      <c r="F2084" s="9" t="s">
        <v>4684</v>
      </c>
      <c r="G2084" s="9" t="s">
        <v>4685</v>
      </c>
      <c r="H2084" s="9" t="s">
        <v>4684</v>
      </c>
      <c r="I2084" s="9" t="str">
        <f t="shared" si="1"/>
        <v>No</v>
      </c>
      <c r="J2084" s="9">
        <f t="shared" si="2"/>
        <v>0</v>
      </c>
      <c r="K2084" s="9" t="str">
        <f t="shared" si="3"/>
        <v>OBESITY</v>
      </c>
    </row>
    <row r="2085" ht="15.75" customHeight="1">
      <c r="A2085" s="9" t="s">
        <v>4169</v>
      </c>
      <c r="B2085" s="9">
        <v>22.6</v>
      </c>
      <c r="C2085" s="9">
        <v>6.04</v>
      </c>
      <c r="D2085" s="9" t="s">
        <v>4684</v>
      </c>
      <c r="E2085" s="9" t="s">
        <v>4684</v>
      </c>
      <c r="F2085" s="9" t="s">
        <v>4684</v>
      </c>
      <c r="G2085" s="9">
        <v>1.0</v>
      </c>
      <c r="H2085" s="9" t="s">
        <v>4684</v>
      </c>
      <c r="I2085" s="9" t="str">
        <f t="shared" si="1"/>
        <v>No</v>
      </c>
      <c r="J2085" s="9">
        <f t="shared" si="2"/>
        <v>1</v>
      </c>
      <c r="K2085" s="9" t="str">
        <f t="shared" si="3"/>
        <v>NORMAL WEIGHT</v>
      </c>
    </row>
    <row r="2086" ht="15.75" customHeight="1">
      <c r="A2086" s="9" t="s">
        <v>4171</v>
      </c>
      <c r="B2086" s="9">
        <v>28.785</v>
      </c>
      <c r="C2086" s="9">
        <v>8.82</v>
      </c>
      <c r="D2086" s="9" t="s">
        <v>4684</v>
      </c>
      <c r="E2086" s="9" t="s">
        <v>4684</v>
      </c>
      <c r="F2086" s="9" t="s">
        <v>4684</v>
      </c>
      <c r="G2086" s="9" t="s">
        <v>4685</v>
      </c>
      <c r="H2086" s="9" t="s">
        <v>4684</v>
      </c>
      <c r="I2086" s="9" t="str">
        <f t="shared" si="1"/>
        <v>No</v>
      </c>
      <c r="J2086" s="9">
        <f t="shared" si="2"/>
        <v>0</v>
      </c>
      <c r="K2086" s="9" t="str">
        <f t="shared" si="3"/>
        <v>OVERWEIGHT</v>
      </c>
    </row>
    <row r="2087" ht="15.75" customHeight="1">
      <c r="A2087" s="9" t="s">
        <v>4173</v>
      </c>
      <c r="B2087" s="9">
        <v>50.38</v>
      </c>
      <c r="C2087" s="9">
        <v>5.8</v>
      </c>
      <c r="D2087" s="9" t="s">
        <v>4684</v>
      </c>
      <c r="E2087" s="9" t="s">
        <v>4684</v>
      </c>
      <c r="F2087" s="9" t="s">
        <v>4684</v>
      </c>
      <c r="G2087" s="9" t="s">
        <v>4685</v>
      </c>
      <c r="H2087" s="9" t="s">
        <v>4684</v>
      </c>
      <c r="I2087" s="9" t="str">
        <f t="shared" si="1"/>
        <v>No</v>
      </c>
      <c r="J2087" s="9">
        <f t="shared" si="2"/>
        <v>0</v>
      </c>
      <c r="K2087" s="9" t="str">
        <f t="shared" si="3"/>
        <v>OBESITY</v>
      </c>
    </row>
    <row r="2088" ht="15.75" customHeight="1">
      <c r="A2088" s="9" t="s">
        <v>4175</v>
      </c>
      <c r="B2088" s="9">
        <v>35.2</v>
      </c>
      <c r="C2088" s="9">
        <v>4.28</v>
      </c>
      <c r="D2088" s="9" t="s">
        <v>4684</v>
      </c>
      <c r="E2088" s="9" t="s">
        <v>4684</v>
      </c>
      <c r="F2088" s="9" t="s">
        <v>4684</v>
      </c>
      <c r="G2088" s="9" t="s">
        <v>4685</v>
      </c>
      <c r="H2088" s="9" t="s">
        <v>4684</v>
      </c>
      <c r="I2088" s="9" t="str">
        <f t="shared" si="1"/>
        <v>No</v>
      </c>
      <c r="J2088" s="9">
        <f t="shared" si="2"/>
        <v>0</v>
      </c>
      <c r="K2088" s="9" t="str">
        <f t="shared" si="3"/>
        <v>OBESITY</v>
      </c>
    </row>
    <row r="2089" ht="15.75" customHeight="1">
      <c r="A2089" s="9" t="s">
        <v>4177</v>
      </c>
      <c r="B2089" s="9">
        <v>35.72</v>
      </c>
      <c r="C2089" s="9">
        <v>5.5</v>
      </c>
      <c r="D2089" s="9" t="s">
        <v>4686</v>
      </c>
      <c r="E2089" s="9" t="s">
        <v>4684</v>
      </c>
      <c r="F2089" s="9" t="s">
        <v>4684</v>
      </c>
      <c r="G2089" s="9" t="s">
        <v>4685</v>
      </c>
      <c r="H2089" s="9" t="s">
        <v>4684</v>
      </c>
      <c r="I2089" s="9" t="str">
        <f t="shared" si="1"/>
        <v>No</v>
      </c>
      <c r="J2089" s="9">
        <f t="shared" si="2"/>
        <v>0</v>
      </c>
      <c r="K2089" s="9" t="str">
        <f t="shared" si="3"/>
        <v>OBESITY</v>
      </c>
    </row>
    <row r="2090" ht="15.75" customHeight="1">
      <c r="A2090" s="9" t="s">
        <v>4179</v>
      </c>
      <c r="B2090" s="9">
        <v>24.51</v>
      </c>
      <c r="C2090" s="9">
        <v>4.69</v>
      </c>
      <c r="D2090" s="9" t="s">
        <v>4684</v>
      </c>
      <c r="E2090" s="9" t="s">
        <v>4684</v>
      </c>
      <c r="F2090" s="9" t="s">
        <v>4684</v>
      </c>
      <c r="G2090" s="9" t="s">
        <v>4685</v>
      </c>
      <c r="H2090" s="9" t="s">
        <v>4684</v>
      </c>
      <c r="I2090" s="9" t="str">
        <f t="shared" si="1"/>
        <v>No</v>
      </c>
      <c r="J2090" s="9">
        <f t="shared" si="2"/>
        <v>0</v>
      </c>
      <c r="K2090" s="9" t="str">
        <f t="shared" si="3"/>
        <v>NORMAL WEIGHT</v>
      </c>
    </row>
    <row r="2091" ht="15.75" customHeight="1">
      <c r="A2091" s="9" t="s">
        <v>4181</v>
      </c>
      <c r="B2091" s="9">
        <v>23.845</v>
      </c>
      <c r="C2091" s="9">
        <v>4.43</v>
      </c>
      <c r="D2091" s="9" t="s">
        <v>4684</v>
      </c>
      <c r="E2091" s="9" t="s">
        <v>4684</v>
      </c>
      <c r="F2091" s="9" t="s">
        <v>4684</v>
      </c>
      <c r="G2091" s="9" t="s">
        <v>4685</v>
      </c>
      <c r="H2091" s="9" t="s">
        <v>4684</v>
      </c>
      <c r="I2091" s="9" t="str">
        <f t="shared" si="1"/>
        <v>No</v>
      </c>
      <c r="J2091" s="9">
        <f t="shared" si="2"/>
        <v>0</v>
      </c>
      <c r="K2091" s="9" t="str">
        <f t="shared" si="3"/>
        <v>NORMAL WEIGHT</v>
      </c>
    </row>
    <row r="2092" ht="15.75" customHeight="1">
      <c r="A2092" s="9" t="s">
        <v>4183</v>
      </c>
      <c r="B2092" s="9">
        <v>15.68</v>
      </c>
      <c r="C2092" s="9">
        <v>6.16</v>
      </c>
      <c r="D2092" s="9" t="s">
        <v>4686</v>
      </c>
      <c r="E2092" s="9" t="s">
        <v>4684</v>
      </c>
      <c r="F2092" s="9" t="s">
        <v>4684</v>
      </c>
      <c r="G2092" s="9">
        <v>1.0</v>
      </c>
      <c r="H2092" s="9" t="s">
        <v>4684</v>
      </c>
      <c r="I2092" s="9" t="str">
        <f t="shared" si="1"/>
        <v>No</v>
      </c>
      <c r="J2092" s="9">
        <f t="shared" si="2"/>
        <v>1</v>
      </c>
      <c r="K2092" s="9" t="str">
        <f t="shared" si="3"/>
        <v>UNDERWEIGHT</v>
      </c>
    </row>
    <row r="2093" ht="15.75" customHeight="1">
      <c r="A2093" s="9" t="s">
        <v>4185</v>
      </c>
      <c r="B2093" s="9">
        <v>32.395</v>
      </c>
      <c r="C2093" s="9">
        <v>6.66</v>
      </c>
      <c r="D2093" s="9" t="s">
        <v>4684</v>
      </c>
      <c r="E2093" s="9" t="s">
        <v>4684</v>
      </c>
      <c r="F2093" s="9" t="s">
        <v>4684</v>
      </c>
      <c r="G2093" s="9" t="s">
        <v>4685</v>
      </c>
      <c r="H2093" s="9" t="s">
        <v>4684</v>
      </c>
      <c r="I2093" s="9" t="str">
        <f t="shared" si="1"/>
        <v>No</v>
      </c>
      <c r="J2093" s="9">
        <f t="shared" si="2"/>
        <v>0</v>
      </c>
      <c r="K2093" s="9" t="str">
        <f t="shared" si="3"/>
        <v>OBESITY</v>
      </c>
    </row>
    <row r="2094" ht="15.75" customHeight="1">
      <c r="A2094" s="9" t="s">
        <v>4187</v>
      </c>
      <c r="B2094" s="9">
        <v>23.655</v>
      </c>
      <c r="C2094" s="9">
        <v>5.92</v>
      </c>
      <c r="D2094" s="9" t="s">
        <v>4684</v>
      </c>
      <c r="E2094" s="9" t="s">
        <v>4684</v>
      </c>
      <c r="F2094" s="9" t="s">
        <v>4684</v>
      </c>
      <c r="G2094" s="9">
        <v>1.0</v>
      </c>
      <c r="H2094" s="9" t="s">
        <v>4684</v>
      </c>
      <c r="I2094" s="9" t="str">
        <f t="shared" si="1"/>
        <v>No</v>
      </c>
      <c r="J2094" s="9">
        <f t="shared" si="2"/>
        <v>1</v>
      </c>
      <c r="K2094" s="9" t="str">
        <f t="shared" si="3"/>
        <v>NORMAL WEIGHT</v>
      </c>
    </row>
    <row r="2095" ht="15.75" customHeight="1">
      <c r="A2095" s="9" t="s">
        <v>4189</v>
      </c>
      <c r="B2095" s="9">
        <v>28.4</v>
      </c>
      <c r="C2095" s="9">
        <v>5.97</v>
      </c>
      <c r="D2095" s="9" t="s">
        <v>4684</v>
      </c>
      <c r="E2095" s="9" t="s">
        <v>4684</v>
      </c>
      <c r="F2095" s="9" t="s">
        <v>4686</v>
      </c>
      <c r="G2095" s="9">
        <v>1.0</v>
      </c>
      <c r="H2095" s="9" t="s">
        <v>4684</v>
      </c>
      <c r="I2095" s="9" t="str">
        <f t="shared" si="1"/>
        <v>No</v>
      </c>
      <c r="J2095" s="9">
        <f t="shared" si="2"/>
        <v>1</v>
      </c>
      <c r="K2095" s="9" t="str">
        <f t="shared" si="3"/>
        <v>OVERWEIGHT</v>
      </c>
    </row>
    <row r="2096" ht="15.75" customHeight="1">
      <c r="A2096" s="9" t="s">
        <v>4191</v>
      </c>
      <c r="B2096" s="9">
        <v>35.42</v>
      </c>
      <c r="C2096" s="9">
        <v>4.64</v>
      </c>
      <c r="D2096" s="9" t="s">
        <v>4686</v>
      </c>
      <c r="E2096" s="9" t="s">
        <v>4684</v>
      </c>
      <c r="F2096" s="9" t="s">
        <v>4684</v>
      </c>
      <c r="G2096" s="9" t="s">
        <v>4685</v>
      </c>
      <c r="H2096" s="9" t="s">
        <v>4684</v>
      </c>
      <c r="I2096" s="9" t="str">
        <f t="shared" si="1"/>
        <v>No</v>
      </c>
      <c r="J2096" s="9">
        <f t="shared" si="2"/>
        <v>0</v>
      </c>
      <c r="K2096" s="9" t="str">
        <f t="shared" si="3"/>
        <v>OBESITY</v>
      </c>
    </row>
    <row r="2097" ht="15.75" customHeight="1">
      <c r="A2097" s="9" t="s">
        <v>4193</v>
      </c>
      <c r="B2097" s="9">
        <v>26.18</v>
      </c>
      <c r="C2097" s="9">
        <v>6.12</v>
      </c>
      <c r="D2097" s="9" t="s">
        <v>4684</v>
      </c>
      <c r="E2097" s="9" t="s">
        <v>4686</v>
      </c>
      <c r="F2097" s="9" t="s">
        <v>4684</v>
      </c>
      <c r="G2097" s="9">
        <v>1.0</v>
      </c>
      <c r="H2097" s="9" t="s">
        <v>4684</v>
      </c>
      <c r="I2097" s="9" t="str">
        <f t="shared" si="1"/>
        <v>No</v>
      </c>
      <c r="J2097" s="9">
        <f t="shared" si="2"/>
        <v>1</v>
      </c>
      <c r="K2097" s="9" t="str">
        <f t="shared" si="3"/>
        <v>OVERWEIGHT</v>
      </c>
    </row>
    <row r="2098" ht="15.75" customHeight="1">
      <c r="A2098" s="9" t="s">
        <v>4195</v>
      </c>
      <c r="B2098" s="9">
        <v>20.8</v>
      </c>
      <c r="C2098" s="9">
        <v>4.87</v>
      </c>
      <c r="D2098" s="9" t="s">
        <v>4686</v>
      </c>
      <c r="E2098" s="9" t="s">
        <v>4684</v>
      </c>
      <c r="F2098" s="9" t="s">
        <v>4684</v>
      </c>
      <c r="G2098" s="9" t="s">
        <v>4685</v>
      </c>
      <c r="H2098" s="9" t="s">
        <v>4684</v>
      </c>
      <c r="I2098" s="9" t="str">
        <f t="shared" si="1"/>
        <v>No</v>
      </c>
      <c r="J2098" s="9">
        <f t="shared" si="2"/>
        <v>0</v>
      </c>
      <c r="K2098" s="9" t="str">
        <f t="shared" si="3"/>
        <v>NORMAL WEIGHT</v>
      </c>
    </row>
    <row r="2099" ht="15.75" customHeight="1">
      <c r="A2099" s="9" t="s">
        <v>4197</v>
      </c>
      <c r="B2099" s="9">
        <v>15.82</v>
      </c>
      <c r="C2099" s="9">
        <v>4.6</v>
      </c>
      <c r="D2099" s="9" t="s">
        <v>4684</v>
      </c>
      <c r="E2099" s="9" t="s">
        <v>4684</v>
      </c>
      <c r="F2099" s="9" t="s">
        <v>4684</v>
      </c>
      <c r="G2099" s="9" t="s">
        <v>4685</v>
      </c>
      <c r="H2099" s="9" t="s">
        <v>4684</v>
      </c>
      <c r="I2099" s="9" t="str">
        <f t="shared" si="1"/>
        <v>No</v>
      </c>
      <c r="J2099" s="9">
        <f t="shared" si="2"/>
        <v>0</v>
      </c>
      <c r="K2099" s="9" t="str">
        <f t="shared" si="3"/>
        <v>UNDERWEIGHT</v>
      </c>
    </row>
    <row r="2100" ht="15.75" customHeight="1">
      <c r="A2100" s="9" t="s">
        <v>4199</v>
      </c>
      <c r="B2100" s="9">
        <v>17.67</v>
      </c>
      <c r="C2100" s="9">
        <v>4.78</v>
      </c>
      <c r="D2100" s="9" t="s">
        <v>4684</v>
      </c>
      <c r="E2100" s="9" t="s">
        <v>4684</v>
      </c>
      <c r="F2100" s="9" t="s">
        <v>4684</v>
      </c>
      <c r="G2100" s="9" t="s">
        <v>4685</v>
      </c>
      <c r="H2100" s="9" t="s">
        <v>4684</v>
      </c>
      <c r="I2100" s="9" t="str">
        <f t="shared" si="1"/>
        <v>No</v>
      </c>
      <c r="J2100" s="9">
        <f t="shared" si="2"/>
        <v>0</v>
      </c>
      <c r="K2100" s="9" t="str">
        <f t="shared" si="3"/>
        <v>UNDERWEIGHT</v>
      </c>
    </row>
    <row r="2101" ht="15.75" customHeight="1">
      <c r="A2101" s="9" t="s">
        <v>4201</v>
      </c>
      <c r="B2101" s="9">
        <v>31.92</v>
      </c>
      <c r="C2101" s="9">
        <v>11.05</v>
      </c>
      <c r="D2101" s="9" t="s">
        <v>4684</v>
      </c>
      <c r="E2101" s="9" t="s">
        <v>4684</v>
      </c>
      <c r="F2101" s="9" t="s">
        <v>4684</v>
      </c>
      <c r="G2101" s="9" t="s">
        <v>4685</v>
      </c>
      <c r="H2101" s="9" t="s">
        <v>4684</v>
      </c>
      <c r="I2101" s="9" t="str">
        <f t="shared" si="1"/>
        <v>No</v>
      </c>
      <c r="J2101" s="9">
        <f t="shared" si="2"/>
        <v>0</v>
      </c>
      <c r="K2101" s="9" t="str">
        <f t="shared" si="3"/>
        <v>OBESITY</v>
      </c>
    </row>
    <row r="2102" ht="15.75" customHeight="1">
      <c r="A2102" s="9" t="s">
        <v>4203</v>
      </c>
      <c r="B2102" s="9">
        <v>28.975</v>
      </c>
      <c r="C2102" s="9">
        <v>7.62</v>
      </c>
      <c r="D2102" s="9" t="s">
        <v>4684</v>
      </c>
      <c r="E2102" s="9" t="s">
        <v>4684</v>
      </c>
      <c r="F2102" s="9" t="s">
        <v>4684</v>
      </c>
      <c r="G2102" s="9" t="s">
        <v>4685</v>
      </c>
      <c r="H2102" s="9" t="s">
        <v>4684</v>
      </c>
      <c r="I2102" s="9" t="str">
        <f t="shared" si="1"/>
        <v>No</v>
      </c>
      <c r="J2102" s="9">
        <f t="shared" si="2"/>
        <v>0</v>
      </c>
      <c r="K2102" s="9" t="str">
        <f t="shared" si="3"/>
        <v>OVERWEIGHT</v>
      </c>
    </row>
    <row r="2103" ht="15.75" customHeight="1">
      <c r="A2103" s="9" t="s">
        <v>4205</v>
      </c>
      <c r="B2103" s="9">
        <v>31.73</v>
      </c>
      <c r="C2103" s="9">
        <v>4.78</v>
      </c>
      <c r="D2103" s="9" t="s">
        <v>4686</v>
      </c>
      <c r="E2103" s="9" t="s">
        <v>4686</v>
      </c>
      <c r="F2103" s="9" t="s">
        <v>4684</v>
      </c>
      <c r="G2103" s="9">
        <v>2.0</v>
      </c>
      <c r="H2103" s="9" t="s">
        <v>4684</v>
      </c>
      <c r="I2103" s="9" t="str">
        <f t="shared" si="1"/>
        <v>No</v>
      </c>
      <c r="J2103" s="9">
        <f t="shared" si="2"/>
        <v>2</v>
      </c>
      <c r="K2103" s="9" t="str">
        <f t="shared" si="3"/>
        <v>OBESITY</v>
      </c>
    </row>
    <row r="2104" ht="15.75" customHeight="1">
      <c r="A2104" s="9" t="s">
        <v>4207</v>
      </c>
      <c r="B2104" s="9">
        <v>28.88</v>
      </c>
      <c r="C2104" s="9">
        <v>6.09</v>
      </c>
      <c r="D2104" s="9" t="s">
        <v>4686</v>
      </c>
      <c r="E2104" s="9" t="s">
        <v>4686</v>
      </c>
      <c r="F2104" s="9" t="s">
        <v>4684</v>
      </c>
      <c r="G2104" s="9">
        <v>2.0</v>
      </c>
      <c r="H2104" s="9" t="s">
        <v>4684</v>
      </c>
      <c r="I2104" s="9" t="str">
        <f t="shared" si="1"/>
        <v>No</v>
      </c>
      <c r="J2104" s="9">
        <f t="shared" si="2"/>
        <v>2</v>
      </c>
      <c r="K2104" s="9" t="str">
        <f t="shared" si="3"/>
        <v>OVERWEIGHT</v>
      </c>
    </row>
    <row r="2105" ht="15.75" customHeight="1">
      <c r="A2105" s="9" t="s">
        <v>4209</v>
      </c>
      <c r="B2105" s="9">
        <v>25.555</v>
      </c>
      <c r="C2105" s="9">
        <v>5.11</v>
      </c>
      <c r="D2105" s="9" t="s">
        <v>4684</v>
      </c>
      <c r="E2105" s="9" t="s">
        <v>4684</v>
      </c>
      <c r="F2105" s="9" t="s">
        <v>4686</v>
      </c>
      <c r="G2105" s="9">
        <v>1.0</v>
      </c>
      <c r="H2105" s="9" t="s">
        <v>4684</v>
      </c>
      <c r="I2105" s="9" t="str">
        <f t="shared" si="1"/>
        <v>No</v>
      </c>
      <c r="J2105" s="9">
        <f t="shared" si="2"/>
        <v>1</v>
      </c>
      <c r="K2105" s="9" t="str">
        <f t="shared" si="3"/>
        <v>OVERWEIGHT</v>
      </c>
    </row>
    <row r="2106" ht="15.75" customHeight="1">
      <c r="A2106" s="9" t="s">
        <v>4211</v>
      </c>
      <c r="B2106" s="9">
        <v>37.29</v>
      </c>
      <c r="C2106" s="9">
        <v>4.46</v>
      </c>
      <c r="D2106" s="9" t="s">
        <v>4684</v>
      </c>
      <c r="E2106" s="9" t="s">
        <v>4686</v>
      </c>
      <c r="F2106" s="9" t="s">
        <v>4684</v>
      </c>
      <c r="G2106" s="9">
        <v>1.0</v>
      </c>
      <c r="H2106" s="9" t="s">
        <v>4684</v>
      </c>
      <c r="I2106" s="9" t="str">
        <f t="shared" si="1"/>
        <v>No</v>
      </c>
      <c r="J2106" s="9">
        <f t="shared" si="2"/>
        <v>1</v>
      </c>
      <c r="K2106" s="9" t="str">
        <f t="shared" si="3"/>
        <v>OBESITY</v>
      </c>
    </row>
    <row r="2107" ht="15.75" customHeight="1">
      <c r="A2107" s="9" t="s">
        <v>4213</v>
      </c>
      <c r="B2107" s="9">
        <v>40.28</v>
      </c>
      <c r="C2107" s="9">
        <v>6.11</v>
      </c>
      <c r="D2107" s="9" t="s">
        <v>4684</v>
      </c>
      <c r="E2107" s="9" t="s">
        <v>4686</v>
      </c>
      <c r="F2107" s="9" t="s">
        <v>4684</v>
      </c>
      <c r="G2107" s="9">
        <v>1.0</v>
      </c>
      <c r="H2107" s="9" t="s">
        <v>4684</v>
      </c>
      <c r="I2107" s="9" t="str">
        <f t="shared" si="1"/>
        <v>No</v>
      </c>
      <c r="J2107" s="9">
        <f t="shared" si="2"/>
        <v>1</v>
      </c>
      <c r="K2107" s="9" t="str">
        <f t="shared" si="3"/>
        <v>OBESITY</v>
      </c>
    </row>
    <row r="2108" ht="15.75" customHeight="1">
      <c r="A2108" s="9" t="s">
        <v>4215</v>
      </c>
      <c r="B2108" s="9">
        <v>40.185</v>
      </c>
      <c r="C2108" s="9">
        <v>4.66</v>
      </c>
      <c r="D2108" s="9" t="s">
        <v>4684</v>
      </c>
      <c r="E2108" s="9" t="s">
        <v>4686</v>
      </c>
      <c r="F2108" s="9" t="s">
        <v>4684</v>
      </c>
      <c r="G2108" s="9">
        <v>1.0</v>
      </c>
      <c r="H2108" s="9" t="s">
        <v>4684</v>
      </c>
      <c r="I2108" s="9" t="str">
        <f t="shared" si="1"/>
        <v>No</v>
      </c>
      <c r="J2108" s="9">
        <f t="shared" si="2"/>
        <v>1</v>
      </c>
      <c r="K2108" s="9" t="str">
        <f t="shared" si="3"/>
        <v>OBESITY</v>
      </c>
    </row>
    <row r="2109" ht="15.75" customHeight="1">
      <c r="A2109" s="9" t="s">
        <v>4217</v>
      </c>
      <c r="B2109" s="9">
        <v>23.57</v>
      </c>
      <c r="C2109" s="9">
        <v>6.14</v>
      </c>
      <c r="D2109" s="9" t="s">
        <v>4684</v>
      </c>
      <c r="E2109" s="9" t="s">
        <v>4684</v>
      </c>
      <c r="F2109" s="9" t="s">
        <v>4684</v>
      </c>
      <c r="G2109" s="9" t="s">
        <v>4685</v>
      </c>
      <c r="H2109" s="9" t="s">
        <v>4684</v>
      </c>
      <c r="I2109" s="9" t="str">
        <f t="shared" si="1"/>
        <v>No</v>
      </c>
      <c r="J2109" s="9">
        <f t="shared" si="2"/>
        <v>0</v>
      </c>
      <c r="K2109" s="9" t="str">
        <f t="shared" si="3"/>
        <v>NORMAL WEIGHT</v>
      </c>
    </row>
    <row r="2110" ht="15.75" customHeight="1">
      <c r="A2110" s="9" t="s">
        <v>4219</v>
      </c>
      <c r="B2110" s="9">
        <v>35.625</v>
      </c>
      <c r="C2110" s="9">
        <v>6.21</v>
      </c>
      <c r="D2110" s="9" t="s">
        <v>4684</v>
      </c>
      <c r="E2110" s="9" t="s">
        <v>4686</v>
      </c>
      <c r="F2110" s="9" t="s">
        <v>4684</v>
      </c>
      <c r="G2110" s="9">
        <v>1.0</v>
      </c>
      <c r="H2110" s="9" t="s">
        <v>4684</v>
      </c>
      <c r="I2110" s="9" t="str">
        <f t="shared" si="1"/>
        <v>No</v>
      </c>
      <c r="J2110" s="9">
        <f t="shared" si="2"/>
        <v>1</v>
      </c>
      <c r="K2110" s="9" t="str">
        <f t="shared" si="3"/>
        <v>OBESITY</v>
      </c>
    </row>
    <row r="2111" ht="15.75" customHeight="1">
      <c r="A2111" s="9" t="s">
        <v>4221</v>
      </c>
      <c r="B2111" s="9">
        <v>33.155</v>
      </c>
      <c r="C2111" s="9">
        <v>4.6</v>
      </c>
      <c r="D2111" s="9" t="s">
        <v>4684</v>
      </c>
      <c r="E2111" s="9" t="s">
        <v>4686</v>
      </c>
      <c r="F2111" s="9" t="s">
        <v>4684</v>
      </c>
      <c r="G2111" s="9">
        <v>1.0</v>
      </c>
      <c r="H2111" s="9" t="s">
        <v>4684</v>
      </c>
      <c r="I2111" s="9" t="str">
        <f t="shared" si="1"/>
        <v>No</v>
      </c>
      <c r="J2111" s="9">
        <f t="shared" si="2"/>
        <v>1</v>
      </c>
      <c r="K2111" s="9" t="str">
        <f t="shared" si="3"/>
        <v>OBESITY</v>
      </c>
    </row>
    <row r="2112" ht="15.75" customHeight="1">
      <c r="A2112" s="9" t="s">
        <v>4223</v>
      </c>
      <c r="B2112" s="9">
        <v>31.92</v>
      </c>
      <c r="C2112" s="9">
        <v>5.04</v>
      </c>
      <c r="D2112" s="9" t="s">
        <v>4684</v>
      </c>
      <c r="E2112" s="9" t="s">
        <v>4686</v>
      </c>
      <c r="F2112" s="9" t="s">
        <v>4684</v>
      </c>
      <c r="G2112" s="9">
        <v>1.0</v>
      </c>
      <c r="H2112" s="9" t="s">
        <v>4684</v>
      </c>
      <c r="I2112" s="9" t="str">
        <f t="shared" si="1"/>
        <v>No</v>
      </c>
      <c r="J2112" s="9">
        <f t="shared" si="2"/>
        <v>1</v>
      </c>
      <c r="K2112" s="9" t="str">
        <f t="shared" si="3"/>
        <v>OBESITY</v>
      </c>
    </row>
    <row r="2113" ht="15.75" customHeight="1">
      <c r="A2113" s="9" t="s">
        <v>4225</v>
      </c>
      <c r="B2113" s="9">
        <v>30.305</v>
      </c>
      <c r="C2113" s="9">
        <v>5.08</v>
      </c>
      <c r="D2113" s="9" t="s">
        <v>4684</v>
      </c>
      <c r="E2113" s="9" t="s">
        <v>4686</v>
      </c>
      <c r="F2113" s="9" t="s">
        <v>4684</v>
      </c>
      <c r="G2113" s="9">
        <v>1.0</v>
      </c>
      <c r="H2113" s="9" t="s">
        <v>4684</v>
      </c>
      <c r="I2113" s="9" t="str">
        <f t="shared" si="1"/>
        <v>No</v>
      </c>
      <c r="J2113" s="9">
        <f t="shared" si="2"/>
        <v>1</v>
      </c>
      <c r="K2113" s="9" t="str">
        <f t="shared" si="3"/>
        <v>OBESITY</v>
      </c>
    </row>
    <row r="2114" ht="15.75" customHeight="1">
      <c r="A2114" s="9" t="s">
        <v>4227</v>
      </c>
      <c r="B2114" s="9">
        <v>30.115</v>
      </c>
      <c r="C2114" s="9">
        <v>4.38</v>
      </c>
      <c r="D2114" s="9" t="s">
        <v>4684</v>
      </c>
      <c r="E2114" s="9" t="s">
        <v>4686</v>
      </c>
      <c r="F2114" s="9" t="s">
        <v>4684</v>
      </c>
      <c r="G2114" s="9">
        <v>1.0</v>
      </c>
      <c r="H2114" s="9" t="s">
        <v>4684</v>
      </c>
      <c r="I2114" s="9" t="str">
        <f t="shared" si="1"/>
        <v>No</v>
      </c>
      <c r="J2114" s="9">
        <f t="shared" si="2"/>
        <v>1</v>
      </c>
      <c r="K2114" s="9" t="str">
        <f t="shared" si="3"/>
        <v>OBESITY</v>
      </c>
    </row>
    <row r="2115" ht="15.75" customHeight="1">
      <c r="A2115" s="9" t="s">
        <v>4229</v>
      </c>
      <c r="B2115" s="9">
        <v>24.09</v>
      </c>
      <c r="C2115" s="9">
        <v>4.79</v>
      </c>
      <c r="D2115" s="9" t="s">
        <v>4684</v>
      </c>
      <c r="E2115" s="9" t="s">
        <v>4686</v>
      </c>
      <c r="F2115" s="9" t="s">
        <v>4684</v>
      </c>
      <c r="G2115" s="9">
        <v>1.0</v>
      </c>
      <c r="H2115" s="9" t="s">
        <v>4684</v>
      </c>
      <c r="I2115" s="9" t="str">
        <f t="shared" si="1"/>
        <v>No</v>
      </c>
      <c r="J2115" s="9">
        <f t="shared" si="2"/>
        <v>1</v>
      </c>
      <c r="K2115" s="9" t="str">
        <f t="shared" si="3"/>
        <v>NORMAL WEIGHT</v>
      </c>
    </row>
    <row r="2116" ht="15.75" customHeight="1">
      <c r="A2116" s="9" t="s">
        <v>4231</v>
      </c>
      <c r="B2116" s="9">
        <v>28.215</v>
      </c>
      <c r="C2116" s="9">
        <v>4.21</v>
      </c>
      <c r="D2116" s="9" t="s">
        <v>4684</v>
      </c>
      <c r="E2116" s="9" t="s">
        <v>4686</v>
      </c>
      <c r="F2116" s="9" t="s">
        <v>4684</v>
      </c>
      <c r="G2116" s="9">
        <v>1.0</v>
      </c>
      <c r="H2116" s="9" t="s">
        <v>4684</v>
      </c>
      <c r="I2116" s="9" t="str">
        <f t="shared" si="1"/>
        <v>No</v>
      </c>
      <c r="J2116" s="9">
        <f t="shared" si="2"/>
        <v>1</v>
      </c>
      <c r="K2116" s="9" t="str">
        <f t="shared" si="3"/>
        <v>OVERWEIGHT</v>
      </c>
    </row>
    <row r="2117" ht="15.75" customHeight="1">
      <c r="A2117" s="9" t="s">
        <v>4233</v>
      </c>
      <c r="B2117" s="9">
        <v>26.315</v>
      </c>
      <c r="C2117" s="9">
        <v>5.47</v>
      </c>
      <c r="D2117" s="9" t="s">
        <v>4684</v>
      </c>
      <c r="E2117" s="9" t="s">
        <v>4686</v>
      </c>
      <c r="F2117" s="9" t="s">
        <v>4684</v>
      </c>
      <c r="G2117" s="9">
        <v>1.0</v>
      </c>
      <c r="H2117" s="9" t="s">
        <v>4684</v>
      </c>
      <c r="I2117" s="9" t="str">
        <f t="shared" si="1"/>
        <v>No</v>
      </c>
      <c r="J2117" s="9">
        <f t="shared" si="2"/>
        <v>1</v>
      </c>
      <c r="K2117" s="9" t="str">
        <f t="shared" si="3"/>
        <v>OVERWEIGHT</v>
      </c>
    </row>
    <row r="2118" ht="15.75" customHeight="1">
      <c r="A2118" s="9" t="s">
        <v>4235</v>
      </c>
      <c r="B2118" s="9">
        <v>25.08</v>
      </c>
      <c r="C2118" s="9">
        <v>5.09</v>
      </c>
      <c r="D2118" s="9" t="s">
        <v>4684</v>
      </c>
      <c r="E2118" s="9" t="s">
        <v>4686</v>
      </c>
      <c r="F2118" s="9" t="s">
        <v>4684</v>
      </c>
      <c r="G2118" s="9">
        <v>1.0</v>
      </c>
      <c r="H2118" s="9" t="s">
        <v>4684</v>
      </c>
      <c r="I2118" s="9" t="str">
        <f t="shared" si="1"/>
        <v>No</v>
      </c>
      <c r="J2118" s="9">
        <f t="shared" si="2"/>
        <v>1</v>
      </c>
      <c r="K2118" s="9" t="str">
        <f t="shared" si="3"/>
        <v>OVERWEIGHT</v>
      </c>
    </row>
    <row r="2119" ht="15.75" customHeight="1">
      <c r="A2119" s="9" t="s">
        <v>4237</v>
      </c>
      <c r="B2119" s="9">
        <v>15.41</v>
      </c>
      <c r="C2119" s="9">
        <v>5.08</v>
      </c>
      <c r="D2119" s="9" t="s">
        <v>4684</v>
      </c>
      <c r="E2119" s="9" t="s">
        <v>4684</v>
      </c>
      <c r="F2119" s="9" t="s">
        <v>4684</v>
      </c>
      <c r="G2119" s="9" t="s">
        <v>4685</v>
      </c>
      <c r="H2119" s="9" t="s">
        <v>4684</v>
      </c>
      <c r="I2119" s="9" t="str">
        <f t="shared" si="1"/>
        <v>No</v>
      </c>
      <c r="J2119" s="9">
        <f t="shared" si="2"/>
        <v>0</v>
      </c>
      <c r="K2119" s="9" t="str">
        <f t="shared" si="3"/>
        <v>UNDERWEIGHT</v>
      </c>
    </row>
    <row r="2120" ht="15.75" customHeight="1">
      <c r="A2120" s="9" t="s">
        <v>4239</v>
      </c>
      <c r="B2120" s="9">
        <v>23.83</v>
      </c>
      <c r="C2120" s="9">
        <v>5.68</v>
      </c>
      <c r="D2120" s="9" t="s">
        <v>4684</v>
      </c>
      <c r="E2120" s="9" t="s">
        <v>4684</v>
      </c>
      <c r="F2120" s="9" t="s">
        <v>4684</v>
      </c>
      <c r="G2120" s="9" t="s">
        <v>4685</v>
      </c>
      <c r="H2120" s="9" t="s">
        <v>4684</v>
      </c>
      <c r="I2120" s="9" t="str">
        <f t="shared" si="1"/>
        <v>No</v>
      </c>
      <c r="J2120" s="9">
        <f t="shared" si="2"/>
        <v>0</v>
      </c>
      <c r="K2120" s="9" t="str">
        <f t="shared" si="3"/>
        <v>NORMAL WEIGHT</v>
      </c>
    </row>
    <row r="2121" ht="15.75" customHeight="1">
      <c r="A2121" s="9" t="s">
        <v>4241</v>
      </c>
      <c r="B2121" s="9">
        <v>36.0</v>
      </c>
      <c r="C2121" s="9">
        <v>4.66</v>
      </c>
      <c r="D2121" s="9" t="s">
        <v>4684</v>
      </c>
      <c r="E2121" s="9" t="s">
        <v>4686</v>
      </c>
      <c r="F2121" s="9" t="s">
        <v>4684</v>
      </c>
      <c r="G2121" s="9">
        <v>1.0</v>
      </c>
      <c r="H2121" s="9" t="s">
        <v>4684</v>
      </c>
      <c r="I2121" s="9" t="str">
        <f t="shared" si="1"/>
        <v>No</v>
      </c>
      <c r="J2121" s="9">
        <f t="shared" si="2"/>
        <v>1</v>
      </c>
      <c r="K2121" s="9" t="str">
        <f t="shared" si="3"/>
        <v>OBESITY</v>
      </c>
    </row>
    <row r="2122" ht="15.75" customHeight="1">
      <c r="A2122" s="9" t="s">
        <v>4243</v>
      </c>
      <c r="B2122" s="9">
        <v>28.82</v>
      </c>
      <c r="C2122" s="9">
        <v>5.59</v>
      </c>
      <c r="D2122" s="9" t="s">
        <v>4684</v>
      </c>
      <c r="E2122" s="9" t="s">
        <v>4686</v>
      </c>
      <c r="F2122" s="9" t="s">
        <v>4684</v>
      </c>
      <c r="G2122" s="9">
        <v>1.0</v>
      </c>
      <c r="H2122" s="9" t="s">
        <v>4684</v>
      </c>
      <c r="I2122" s="9" t="str">
        <f t="shared" si="1"/>
        <v>No</v>
      </c>
      <c r="J2122" s="9">
        <f t="shared" si="2"/>
        <v>1</v>
      </c>
      <c r="K2122" s="9" t="str">
        <f t="shared" si="3"/>
        <v>OVERWEIGHT</v>
      </c>
    </row>
    <row r="2123" ht="15.75" customHeight="1">
      <c r="A2123" s="9" t="s">
        <v>4245</v>
      </c>
      <c r="B2123" s="9">
        <v>28.05</v>
      </c>
      <c r="C2123" s="9">
        <v>6.2</v>
      </c>
      <c r="D2123" s="9" t="s">
        <v>4684</v>
      </c>
      <c r="E2123" s="9" t="s">
        <v>4686</v>
      </c>
      <c r="F2123" s="9" t="s">
        <v>4684</v>
      </c>
      <c r="G2123" s="9">
        <v>1.0</v>
      </c>
      <c r="H2123" s="9" t="s">
        <v>4684</v>
      </c>
      <c r="I2123" s="9" t="str">
        <f t="shared" si="1"/>
        <v>No</v>
      </c>
      <c r="J2123" s="9">
        <f t="shared" si="2"/>
        <v>1</v>
      </c>
      <c r="K2123" s="9" t="str">
        <f t="shared" si="3"/>
        <v>OVERWEIGHT</v>
      </c>
    </row>
    <row r="2124" ht="15.75" customHeight="1">
      <c r="A2124" s="9" t="s">
        <v>4247</v>
      </c>
      <c r="B2124" s="9">
        <v>27.1</v>
      </c>
      <c r="C2124" s="9">
        <v>4.45</v>
      </c>
      <c r="D2124" s="9" t="s">
        <v>4684</v>
      </c>
      <c r="E2124" s="9" t="s">
        <v>4686</v>
      </c>
      <c r="F2124" s="9" t="s">
        <v>4684</v>
      </c>
      <c r="G2124" s="9">
        <v>1.0</v>
      </c>
      <c r="H2124" s="9" t="s">
        <v>4684</v>
      </c>
      <c r="I2124" s="9" t="str">
        <f t="shared" si="1"/>
        <v>No</v>
      </c>
      <c r="J2124" s="9">
        <f t="shared" si="2"/>
        <v>1</v>
      </c>
      <c r="K2124" s="9" t="str">
        <f t="shared" si="3"/>
        <v>OVERWEIGHT</v>
      </c>
    </row>
    <row r="2125" ht="15.75" customHeight="1">
      <c r="A2125" s="9" t="s">
        <v>4249</v>
      </c>
      <c r="B2125" s="9">
        <v>24.3</v>
      </c>
      <c r="C2125" s="9">
        <v>6.1</v>
      </c>
      <c r="D2125" s="9" t="s">
        <v>4686</v>
      </c>
      <c r="E2125" s="9" t="s">
        <v>4686</v>
      </c>
      <c r="F2125" s="9" t="s">
        <v>4684</v>
      </c>
      <c r="G2125" s="9">
        <v>1.0</v>
      </c>
      <c r="H2125" s="9" t="s">
        <v>4684</v>
      </c>
      <c r="I2125" s="9" t="str">
        <f t="shared" si="1"/>
        <v>No</v>
      </c>
      <c r="J2125" s="9">
        <f t="shared" si="2"/>
        <v>1</v>
      </c>
      <c r="K2125" s="9" t="str">
        <f t="shared" si="3"/>
        <v>NORMAL WEIGHT</v>
      </c>
    </row>
    <row r="2126" ht="15.75" customHeight="1">
      <c r="A2126" s="9" t="s">
        <v>4251</v>
      </c>
      <c r="B2126" s="9">
        <v>30.72</v>
      </c>
      <c r="C2126" s="9">
        <v>6.06</v>
      </c>
      <c r="D2126" s="9" t="s">
        <v>4684</v>
      </c>
      <c r="E2126" s="9" t="s">
        <v>4686</v>
      </c>
      <c r="F2126" s="9" t="s">
        <v>4684</v>
      </c>
      <c r="G2126" s="9">
        <v>1.0</v>
      </c>
      <c r="H2126" s="9" t="s">
        <v>4684</v>
      </c>
      <c r="I2126" s="9" t="str">
        <f t="shared" si="1"/>
        <v>No</v>
      </c>
      <c r="J2126" s="9">
        <f t="shared" si="2"/>
        <v>1</v>
      </c>
      <c r="K2126" s="9" t="str">
        <f t="shared" si="3"/>
        <v>OBESITY</v>
      </c>
    </row>
    <row r="2127" ht="15.75" customHeight="1">
      <c r="A2127" s="9" t="s">
        <v>4253</v>
      </c>
      <c r="B2127" s="9">
        <v>37.43</v>
      </c>
      <c r="C2127" s="9">
        <v>4.56</v>
      </c>
      <c r="D2127" s="9" t="s">
        <v>4684</v>
      </c>
      <c r="E2127" s="9" t="s">
        <v>4684</v>
      </c>
      <c r="F2127" s="9" t="s">
        <v>4686</v>
      </c>
      <c r="G2127" s="9">
        <v>1.0</v>
      </c>
      <c r="H2127" s="9" t="s">
        <v>4684</v>
      </c>
      <c r="I2127" s="9" t="str">
        <f t="shared" si="1"/>
        <v>No</v>
      </c>
      <c r="J2127" s="9">
        <f t="shared" si="2"/>
        <v>1</v>
      </c>
      <c r="K2127" s="9" t="str">
        <f t="shared" si="3"/>
        <v>OBESITY</v>
      </c>
    </row>
    <row r="2128" ht="15.75" customHeight="1">
      <c r="A2128" s="9" t="s">
        <v>4255</v>
      </c>
      <c r="B2128" s="9">
        <v>25.74</v>
      </c>
      <c r="C2128" s="9">
        <v>6.41</v>
      </c>
      <c r="D2128" s="9" t="s">
        <v>4686</v>
      </c>
      <c r="E2128" s="9" t="s">
        <v>4684</v>
      </c>
      <c r="F2128" s="9" t="s">
        <v>4686</v>
      </c>
      <c r="G2128" s="9">
        <v>1.0</v>
      </c>
      <c r="H2128" s="9" t="s">
        <v>4684</v>
      </c>
      <c r="I2128" s="9" t="str">
        <f t="shared" si="1"/>
        <v>No</v>
      </c>
      <c r="J2128" s="9">
        <f t="shared" si="2"/>
        <v>1</v>
      </c>
      <c r="K2128" s="9" t="str">
        <f t="shared" si="3"/>
        <v>OVERWEIGHT</v>
      </c>
    </row>
    <row r="2129" ht="15.75" customHeight="1">
      <c r="A2129" s="9" t="s">
        <v>4257</v>
      </c>
      <c r="B2129" s="9">
        <v>36.575</v>
      </c>
      <c r="C2129" s="9">
        <v>5.57</v>
      </c>
      <c r="D2129" s="9" t="s">
        <v>4684</v>
      </c>
      <c r="E2129" s="9" t="s">
        <v>4684</v>
      </c>
      <c r="F2129" s="9" t="s">
        <v>4686</v>
      </c>
      <c r="G2129" s="9">
        <v>1.0</v>
      </c>
      <c r="H2129" s="9" t="s">
        <v>4684</v>
      </c>
      <c r="I2129" s="9" t="str">
        <f t="shared" si="1"/>
        <v>No</v>
      </c>
      <c r="J2129" s="9">
        <f t="shared" si="2"/>
        <v>1</v>
      </c>
      <c r="K2129" s="9" t="str">
        <f t="shared" si="3"/>
        <v>OBESITY</v>
      </c>
    </row>
    <row r="2130" ht="15.75" customHeight="1">
      <c r="A2130" s="9" t="s">
        <v>4259</v>
      </c>
      <c r="B2130" s="9">
        <v>35.15</v>
      </c>
      <c r="C2130" s="9">
        <v>5.47</v>
      </c>
      <c r="D2130" s="9" t="s">
        <v>4684</v>
      </c>
      <c r="E2130" s="9" t="s">
        <v>4684</v>
      </c>
      <c r="F2130" s="9" t="s">
        <v>4686</v>
      </c>
      <c r="G2130" s="9">
        <v>1.0</v>
      </c>
      <c r="H2130" s="9" t="s">
        <v>4684</v>
      </c>
      <c r="I2130" s="9" t="str">
        <f t="shared" si="1"/>
        <v>No</v>
      </c>
      <c r="J2130" s="9">
        <f t="shared" si="2"/>
        <v>1</v>
      </c>
      <c r="K2130" s="9" t="str">
        <f t="shared" si="3"/>
        <v>OBESITY</v>
      </c>
    </row>
    <row r="2131" ht="15.75" customHeight="1">
      <c r="A2131" s="9" t="s">
        <v>4261</v>
      </c>
      <c r="B2131" s="9">
        <v>32.11</v>
      </c>
      <c r="C2131" s="9">
        <v>4.43</v>
      </c>
      <c r="D2131" s="9" t="s">
        <v>4684</v>
      </c>
      <c r="E2131" s="9" t="s">
        <v>4684</v>
      </c>
      <c r="F2131" s="9" t="s">
        <v>4686</v>
      </c>
      <c r="G2131" s="9">
        <v>1.0</v>
      </c>
      <c r="H2131" s="9" t="s">
        <v>4684</v>
      </c>
      <c r="I2131" s="9" t="str">
        <f t="shared" si="1"/>
        <v>No</v>
      </c>
      <c r="J2131" s="9">
        <f t="shared" si="2"/>
        <v>1</v>
      </c>
      <c r="K2131" s="9" t="str">
        <f t="shared" si="3"/>
        <v>OBESITY</v>
      </c>
    </row>
    <row r="2132" ht="15.75" customHeight="1">
      <c r="A2132" s="9" t="s">
        <v>4263</v>
      </c>
      <c r="B2132" s="9">
        <v>30.495</v>
      </c>
      <c r="C2132" s="9">
        <v>4.95</v>
      </c>
      <c r="D2132" s="9" t="s">
        <v>4684</v>
      </c>
      <c r="E2132" s="9" t="s">
        <v>4684</v>
      </c>
      <c r="F2132" s="9" t="s">
        <v>4686</v>
      </c>
      <c r="G2132" s="9">
        <v>1.0</v>
      </c>
      <c r="H2132" s="9" t="s">
        <v>4684</v>
      </c>
      <c r="I2132" s="9" t="str">
        <f t="shared" si="1"/>
        <v>No</v>
      </c>
      <c r="J2132" s="9">
        <f t="shared" si="2"/>
        <v>1</v>
      </c>
      <c r="K2132" s="9" t="str">
        <f t="shared" si="3"/>
        <v>OBESITY</v>
      </c>
    </row>
    <row r="2133" ht="15.75" customHeight="1">
      <c r="A2133" s="9" t="s">
        <v>4265</v>
      </c>
      <c r="B2133" s="9">
        <v>29.24</v>
      </c>
      <c r="C2133" s="9">
        <v>4.04</v>
      </c>
      <c r="D2133" s="9" t="s">
        <v>4684</v>
      </c>
      <c r="E2133" s="9" t="s">
        <v>4686</v>
      </c>
      <c r="F2133" s="9" t="s">
        <v>4684</v>
      </c>
      <c r="G2133" s="9">
        <v>1.0</v>
      </c>
      <c r="H2133" s="9" t="s">
        <v>4684</v>
      </c>
      <c r="I2133" s="9" t="str">
        <f t="shared" si="1"/>
        <v>No</v>
      </c>
      <c r="J2133" s="9">
        <f t="shared" si="2"/>
        <v>1</v>
      </c>
      <c r="K2133" s="9" t="str">
        <f t="shared" si="3"/>
        <v>OVERWEIGHT</v>
      </c>
    </row>
    <row r="2134" ht="15.75" customHeight="1">
      <c r="A2134" s="9" t="s">
        <v>4267</v>
      </c>
      <c r="B2134" s="9">
        <v>22.515</v>
      </c>
      <c r="C2134" s="9">
        <v>5.93</v>
      </c>
      <c r="D2134" s="9" t="s">
        <v>4684</v>
      </c>
      <c r="E2134" s="9" t="s">
        <v>4684</v>
      </c>
      <c r="F2134" s="9" t="s">
        <v>4686</v>
      </c>
      <c r="G2134" s="9">
        <v>1.0</v>
      </c>
      <c r="H2134" s="9" t="s">
        <v>4684</v>
      </c>
      <c r="I2134" s="9" t="str">
        <f t="shared" si="1"/>
        <v>No</v>
      </c>
      <c r="J2134" s="9">
        <f t="shared" si="2"/>
        <v>1</v>
      </c>
      <c r="K2134" s="9" t="str">
        <f t="shared" si="3"/>
        <v>NORMAL WEIGHT</v>
      </c>
    </row>
    <row r="2135" ht="15.75" customHeight="1">
      <c r="A2135" s="9" t="s">
        <v>4269</v>
      </c>
      <c r="B2135" s="9">
        <v>15.65</v>
      </c>
      <c r="C2135" s="9">
        <v>4.23</v>
      </c>
      <c r="D2135" s="9" t="s">
        <v>4684</v>
      </c>
      <c r="E2135" s="9" t="s">
        <v>4684</v>
      </c>
      <c r="F2135" s="9" t="s">
        <v>4684</v>
      </c>
      <c r="G2135" s="9" t="s">
        <v>4685</v>
      </c>
      <c r="H2135" s="9" t="s">
        <v>4684</v>
      </c>
      <c r="I2135" s="9" t="str">
        <f t="shared" si="1"/>
        <v>No</v>
      </c>
      <c r="J2135" s="9">
        <f t="shared" si="2"/>
        <v>0</v>
      </c>
      <c r="K2135" s="9" t="str">
        <f t="shared" si="3"/>
        <v>UNDERWEIGHT</v>
      </c>
    </row>
    <row r="2136" ht="15.75" customHeight="1">
      <c r="A2136" s="9" t="s">
        <v>4271</v>
      </c>
      <c r="B2136" s="9">
        <v>27.36</v>
      </c>
      <c r="C2136" s="9">
        <v>5.59</v>
      </c>
      <c r="D2136" s="9" t="s">
        <v>4686</v>
      </c>
      <c r="E2136" s="9" t="s">
        <v>4684</v>
      </c>
      <c r="F2136" s="9" t="s">
        <v>4684</v>
      </c>
      <c r="G2136" s="9" t="s">
        <v>4685</v>
      </c>
      <c r="H2136" s="9" t="s">
        <v>4684</v>
      </c>
      <c r="I2136" s="9" t="str">
        <f t="shared" si="1"/>
        <v>No</v>
      </c>
      <c r="J2136" s="9">
        <f t="shared" si="2"/>
        <v>0</v>
      </c>
      <c r="K2136" s="9" t="str">
        <f t="shared" si="3"/>
        <v>OVERWEIGHT</v>
      </c>
    </row>
    <row r="2137" ht="15.75" customHeight="1">
      <c r="A2137" s="9" t="s">
        <v>4273</v>
      </c>
      <c r="B2137" s="9">
        <v>22.3</v>
      </c>
      <c r="C2137" s="9">
        <v>4.89</v>
      </c>
      <c r="D2137" s="9" t="s">
        <v>4686</v>
      </c>
      <c r="E2137" s="9" t="s">
        <v>4684</v>
      </c>
      <c r="F2137" s="9" t="s">
        <v>4684</v>
      </c>
      <c r="G2137" s="9" t="s">
        <v>4685</v>
      </c>
      <c r="H2137" s="9" t="s">
        <v>4684</v>
      </c>
      <c r="I2137" s="9" t="str">
        <f t="shared" si="1"/>
        <v>No</v>
      </c>
      <c r="J2137" s="9">
        <f t="shared" si="2"/>
        <v>0</v>
      </c>
      <c r="K2137" s="9" t="str">
        <f t="shared" si="3"/>
        <v>NORMAL WEIGHT</v>
      </c>
    </row>
    <row r="2138" ht="15.75" customHeight="1">
      <c r="A2138" s="9" t="s">
        <v>4275</v>
      </c>
      <c r="B2138" s="9">
        <v>26.03</v>
      </c>
      <c r="C2138" s="9">
        <v>5.81</v>
      </c>
      <c r="D2138" s="9" t="s">
        <v>4686</v>
      </c>
      <c r="E2138" s="9" t="s">
        <v>4684</v>
      </c>
      <c r="F2138" s="9" t="s">
        <v>4684</v>
      </c>
      <c r="G2138" s="9" t="s">
        <v>4685</v>
      </c>
      <c r="H2138" s="9" t="s">
        <v>4684</v>
      </c>
      <c r="I2138" s="9" t="str">
        <f t="shared" si="1"/>
        <v>No</v>
      </c>
      <c r="J2138" s="9">
        <f t="shared" si="2"/>
        <v>0</v>
      </c>
      <c r="K2138" s="9" t="str">
        <f t="shared" si="3"/>
        <v>OVERWEIGHT</v>
      </c>
    </row>
    <row r="2139" ht="15.75" customHeight="1">
      <c r="A2139" s="9" t="s">
        <v>4277</v>
      </c>
      <c r="B2139" s="9">
        <v>27.74</v>
      </c>
      <c r="C2139" s="9">
        <v>4.29</v>
      </c>
      <c r="D2139" s="9" t="s">
        <v>4684</v>
      </c>
      <c r="E2139" s="9" t="s">
        <v>4686</v>
      </c>
      <c r="F2139" s="9" t="s">
        <v>4684</v>
      </c>
      <c r="G2139" s="9">
        <v>1.0</v>
      </c>
      <c r="H2139" s="9" t="s">
        <v>4684</v>
      </c>
      <c r="I2139" s="9" t="str">
        <f t="shared" si="1"/>
        <v>No</v>
      </c>
      <c r="J2139" s="9">
        <f t="shared" si="2"/>
        <v>1</v>
      </c>
      <c r="K2139" s="9" t="str">
        <f t="shared" si="3"/>
        <v>OVERWEIGHT</v>
      </c>
    </row>
    <row r="2140" ht="15.75" customHeight="1">
      <c r="A2140" s="9" t="s">
        <v>4279</v>
      </c>
      <c r="B2140" s="9">
        <v>32.11</v>
      </c>
      <c r="C2140" s="9">
        <v>4.03</v>
      </c>
      <c r="D2140" s="9" t="s">
        <v>4686</v>
      </c>
      <c r="E2140" s="9" t="s">
        <v>4686</v>
      </c>
      <c r="F2140" s="9" t="s">
        <v>4684</v>
      </c>
      <c r="G2140" s="9">
        <v>2.0</v>
      </c>
      <c r="H2140" s="9" t="s">
        <v>4684</v>
      </c>
      <c r="I2140" s="9" t="str">
        <f t="shared" si="1"/>
        <v>No</v>
      </c>
      <c r="J2140" s="9">
        <f t="shared" si="2"/>
        <v>2</v>
      </c>
      <c r="K2140" s="9" t="str">
        <f t="shared" si="3"/>
        <v>OBESITY</v>
      </c>
    </row>
    <row r="2141" ht="15.75" customHeight="1">
      <c r="A2141" s="9" t="s">
        <v>4281</v>
      </c>
      <c r="B2141" s="9">
        <v>25.175</v>
      </c>
      <c r="C2141" s="9">
        <v>6.29</v>
      </c>
      <c r="D2141" s="9" t="s">
        <v>4686</v>
      </c>
      <c r="E2141" s="9" t="s">
        <v>4686</v>
      </c>
      <c r="F2141" s="9" t="s">
        <v>4684</v>
      </c>
      <c r="G2141" s="9">
        <v>2.0</v>
      </c>
      <c r="H2141" s="9" t="s">
        <v>4684</v>
      </c>
      <c r="I2141" s="9" t="str">
        <f t="shared" si="1"/>
        <v>No</v>
      </c>
      <c r="J2141" s="9">
        <f t="shared" si="2"/>
        <v>2</v>
      </c>
      <c r="K2141" s="9" t="str">
        <f t="shared" si="3"/>
        <v>OVERWEIGHT</v>
      </c>
    </row>
    <row r="2142" ht="15.75" customHeight="1">
      <c r="A2142" s="9" t="s">
        <v>4283</v>
      </c>
      <c r="B2142" s="9">
        <v>39.49</v>
      </c>
      <c r="C2142" s="9">
        <v>4.48</v>
      </c>
      <c r="D2142" s="9" t="s">
        <v>4686</v>
      </c>
      <c r="E2142" s="9" t="s">
        <v>4684</v>
      </c>
      <c r="F2142" s="9" t="s">
        <v>4684</v>
      </c>
      <c r="G2142" s="9" t="s">
        <v>4685</v>
      </c>
      <c r="H2142" s="9" t="s">
        <v>4684</v>
      </c>
      <c r="I2142" s="9" t="str">
        <f t="shared" si="1"/>
        <v>No</v>
      </c>
      <c r="J2142" s="9">
        <f t="shared" si="2"/>
        <v>0</v>
      </c>
      <c r="K2142" s="9" t="str">
        <f t="shared" si="3"/>
        <v>OBESITY</v>
      </c>
    </row>
    <row r="2143" ht="15.75" customHeight="1">
      <c r="A2143" s="9" t="s">
        <v>4285</v>
      </c>
      <c r="B2143" s="9">
        <v>34.87</v>
      </c>
      <c r="C2143" s="9">
        <v>5.51</v>
      </c>
      <c r="D2143" s="9" t="s">
        <v>4686</v>
      </c>
      <c r="E2143" s="9" t="s">
        <v>4684</v>
      </c>
      <c r="F2143" s="9" t="s">
        <v>4684</v>
      </c>
      <c r="G2143" s="9" t="s">
        <v>4685</v>
      </c>
      <c r="H2143" s="9" t="s">
        <v>4684</v>
      </c>
      <c r="I2143" s="9" t="str">
        <f t="shared" si="1"/>
        <v>No</v>
      </c>
      <c r="J2143" s="9">
        <f t="shared" si="2"/>
        <v>0</v>
      </c>
      <c r="K2143" s="9" t="str">
        <f t="shared" si="3"/>
        <v>OBESITY</v>
      </c>
    </row>
    <row r="2144" ht="15.75" customHeight="1">
      <c r="A2144" s="9" t="s">
        <v>4287</v>
      </c>
      <c r="B2144" s="9">
        <v>34.6</v>
      </c>
      <c r="C2144" s="9">
        <v>4.5</v>
      </c>
      <c r="D2144" s="9" t="s">
        <v>4686</v>
      </c>
      <c r="E2144" s="9" t="s">
        <v>4684</v>
      </c>
      <c r="F2144" s="9" t="s">
        <v>4684</v>
      </c>
      <c r="G2144" s="9" t="s">
        <v>4685</v>
      </c>
      <c r="H2144" s="9" t="s">
        <v>4684</v>
      </c>
      <c r="I2144" s="9" t="str">
        <f t="shared" si="1"/>
        <v>No</v>
      </c>
      <c r="J2144" s="9">
        <f t="shared" si="2"/>
        <v>0</v>
      </c>
      <c r="K2144" s="9" t="str">
        <f t="shared" si="3"/>
        <v>OBESITY</v>
      </c>
    </row>
    <row r="2145" ht="15.75" customHeight="1">
      <c r="A2145" s="9" t="s">
        <v>4289</v>
      </c>
      <c r="B2145" s="9">
        <v>25.8</v>
      </c>
      <c r="C2145" s="9">
        <v>6.29</v>
      </c>
      <c r="D2145" s="9" t="s">
        <v>4686</v>
      </c>
      <c r="E2145" s="9" t="s">
        <v>4684</v>
      </c>
      <c r="F2145" s="9" t="s">
        <v>4684</v>
      </c>
      <c r="G2145" s="9" t="s">
        <v>4685</v>
      </c>
      <c r="H2145" s="9" t="s">
        <v>4684</v>
      </c>
      <c r="I2145" s="9" t="str">
        <f t="shared" si="1"/>
        <v>No</v>
      </c>
      <c r="J2145" s="9">
        <f t="shared" si="2"/>
        <v>0</v>
      </c>
      <c r="K2145" s="9" t="str">
        <f t="shared" si="3"/>
        <v>OVERWEIGHT</v>
      </c>
    </row>
    <row r="2146" ht="15.75" customHeight="1">
      <c r="A2146" s="9" t="s">
        <v>4291</v>
      </c>
      <c r="B2146" s="9">
        <v>35.86</v>
      </c>
      <c r="C2146" s="9">
        <v>4.33</v>
      </c>
      <c r="D2146" s="9" t="s">
        <v>4684</v>
      </c>
      <c r="E2146" s="9" t="s">
        <v>4684</v>
      </c>
      <c r="F2146" s="9" t="s">
        <v>4684</v>
      </c>
      <c r="G2146" s="9">
        <v>1.0</v>
      </c>
      <c r="H2146" s="9" t="s">
        <v>4684</v>
      </c>
      <c r="I2146" s="9" t="str">
        <f t="shared" si="1"/>
        <v>No</v>
      </c>
      <c r="J2146" s="9">
        <f t="shared" si="2"/>
        <v>1</v>
      </c>
      <c r="K2146" s="9" t="str">
        <f t="shared" si="3"/>
        <v>OBESITY</v>
      </c>
    </row>
    <row r="2147" ht="15.75" customHeight="1">
      <c r="A2147" s="9" t="s">
        <v>4293</v>
      </c>
      <c r="B2147" s="9">
        <v>40.47</v>
      </c>
      <c r="C2147" s="9">
        <v>11.15</v>
      </c>
      <c r="D2147" s="9" t="s">
        <v>4684</v>
      </c>
      <c r="E2147" s="9" t="s">
        <v>4684</v>
      </c>
      <c r="F2147" s="9" t="s">
        <v>4684</v>
      </c>
      <c r="G2147" s="9" t="s">
        <v>4685</v>
      </c>
      <c r="H2147" s="9" t="s">
        <v>4684</v>
      </c>
      <c r="I2147" s="9" t="str">
        <f t="shared" si="1"/>
        <v>No</v>
      </c>
      <c r="J2147" s="9">
        <f t="shared" si="2"/>
        <v>0</v>
      </c>
      <c r="K2147" s="9" t="str">
        <f t="shared" si="3"/>
        <v>OBESITY</v>
      </c>
    </row>
    <row r="2148" ht="15.75" customHeight="1">
      <c r="A2148" s="9" t="s">
        <v>4295</v>
      </c>
      <c r="B2148" s="9">
        <v>32.01</v>
      </c>
      <c r="C2148" s="9">
        <v>6.45</v>
      </c>
      <c r="D2148" s="9" t="s">
        <v>4684</v>
      </c>
      <c r="E2148" s="9" t="s">
        <v>4684</v>
      </c>
      <c r="F2148" s="9" t="s">
        <v>4684</v>
      </c>
      <c r="G2148" s="9">
        <v>1.0</v>
      </c>
      <c r="H2148" s="9" t="s">
        <v>4684</v>
      </c>
      <c r="I2148" s="9" t="str">
        <f t="shared" si="1"/>
        <v>No</v>
      </c>
      <c r="J2148" s="9">
        <f t="shared" si="2"/>
        <v>1</v>
      </c>
      <c r="K2148" s="9" t="str">
        <f t="shared" si="3"/>
        <v>OBESITY</v>
      </c>
    </row>
    <row r="2149" ht="15.75" customHeight="1">
      <c r="A2149" s="9" t="s">
        <v>4297</v>
      </c>
      <c r="B2149" s="9">
        <v>33.0</v>
      </c>
      <c r="C2149" s="9">
        <v>9.27</v>
      </c>
      <c r="D2149" s="9" t="s">
        <v>4684</v>
      </c>
      <c r="E2149" s="9" t="s">
        <v>4684</v>
      </c>
      <c r="F2149" s="9" t="s">
        <v>4684</v>
      </c>
      <c r="G2149" s="9" t="s">
        <v>4685</v>
      </c>
      <c r="H2149" s="9" t="s">
        <v>4684</v>
      </c>
      <c r="I2149" s="9" t="str">
        <f t="shared" si="1"/>
        <v>No</v>
      </c>
      <c r="J2149" s="9">
        <f t="shared" si="2"/>
        <v>0</v>
      </c>
      <c r="K2149" s="9" t="str">
        <f t="shared" si="3"/>
        <v>OBESITY</v>
      </c>
    </row>
    <row r="2150" ht="15.75" customHeight="1">
      <c r="A2150" s="9" t="s">
        <v>4299</v>
      </c>
      <c r="B2150" s="9">
        <v>29.3</v>
      </c>
      <c r="C2150" s="9">
        <v>6.15</v>
      </c>
      <c r="D2150" s="9" t="s">
        <v>4684</v>
      </c>
      <c r="E2150" s="9" t="s">
        <v>4684</v>
      </c>
      <c r="F2150" s="9" t="s">
        <v>4684</v>
      </c>
      <c r="G2150" s="9">
        <v>1.0</v>
      </c>
      <c r="H2150" s="9" t="s">
        <v>4684</v>
      </c>
      <c r="I2150" s="9" t="str">
        <f t="shared" si="1"/>
        <v>No</v>
      </c>
      <c r="J2150" s="9">
        <f t="shared" si="2"/>
        <v>1</v>
      </c>
      <c r="K2150" s="9" t="str">
        <f t="shared" si="3"/>
        <v>OVERWEIGHT</v>
      </c>
    </row>
    <row r="2151" ht="15.75" customHeight="1">
      <c r="A2151" s="9" t="s">
        <v>4301</v>
      </c>
      <c r="B2151" s="9">
        <v>25.8</v>
      </c>
      <c r="C2151" s="9">
        <v>4.13</v>
      </c>
      <c r="D2151" s="9" t="s">
        <v>4684</v>
      </c>
      <c r="E2151" s="9" t="s">
        <v>4684</v>
      </c>
      <c r="F2151" s="9" t="s">
        <v>4684</v>
      </c>
      <c r="G2151" s="9">
        <v>1.0</v>
      </c>
      <c r="H2151" s="9" t="s">
        <v>4684</v>
      </c>
      <c r="I2151" s="9" t="str">
        <f t="shared" si="1"/>
        <v>No</v>
      </c>
      <c r="J2151" s="9">
        <f t="shared" si="2"/>
        <v>1</v>
      </c>
      <c r="K2151" s="9" t="str">
        <f t="shared" si="3"/>
        <v>OVERWEIGHT</v>
      </c>
    </row>
    <row r="2152" ht="15.75" customHeight="1">
      <c r="A2152" s="9" t="s">
        <v>4303</v>
      </c>
      <c r="B2152" s="9">
        <v>23.4</v>
      </c>
      <c r="C2152" s="9">
        <v>4.24</v>
      </c>
      <c r="D2152" s="9" t="s">
        <v>4684</v>
      </c>
      <c r="E2152" s="9" t="s">
        <v>4684</v>
      </c>
      <c r="F2152" s="9" t="s">
        <v>4684</v>
      </c>
      <c r="G2152" s="9">
        <v>1.0</v>
      </c>
      <c r="H2152" s="9" t="s">
        <v>4684</v>
      </c>
      <c r="I2152" s="9" t="str">
        <f t="shared" si="1"/>
        <v>No</v>
      </c>
      <c r="J2152" s="9">
        <f t="shared" si="2"/>
        <v>1</v>
      </c>
      <c r="K2152" s="9" t="str">
        <f t="shared" si="3"/>
        <v>NORMAL WEIGHT</v>
      </c>
    </row>
    <row r="2153" ht="15.75" customHeight="1">
      <c r="A2153" s="9" t="s">
        <v>4305</v>
      </c>
      <c r="B2153" s="9">
        <v>27.93</v>
      </c>
      <c r="C2153" s="9">
        <v>9.88</v>
      </c>
      <c r="D2153" s="9" t="s">
        <v>4684</v>
      </c>
      <c r="E2153" s="9" t="s">
        <v>4684</v>
      </c>
      <c r="F2153" s="9" t="s">
        <v>4684</v>
      </c>
      <c r="G2153" s="9" t="s">
        <v>4685</v>
      </c>
      <c r="H2153" s="9" t="s">
        <v>4684</v>
      </c>
      <c r="I2153" s="9" t="str">
        <f t="shared" si="1"/>
        <v>No</v>
      </c>
      <c r="J2153" s="9">
        <f t="shared" si="2"/>
        <v>0</v>
      </c>
      <c r="K2153" s="9" t="str">
        <f t="shared" si="3"/>
        <v>OVERWEIGHT</v>
      </c>
    </row>
    <row r="2154" ht="15.75" customHeight="1">
      <c r="A2154" s="9" t="s">
        <v>4307</v>
      </c>
      <c r="B2154" s="9">
        <v>22.0</v>
      </c>
      <c r="C2154" s="9">
        <v>9.5</v>
      </c>
      <c r="D2154" s="9" t="s">
        <v>4684</v>
      </c>
      <c r="E2154" s="9" t="s">
        <v>4684</v>
      </c>
      <c r="F2154" s="9" t="s">
        <v>4684</v>
      </c>
      <c r="G2154" s="9" t="s">
        <v>4685</v>
      </c>
      <c r="H2154" s="9" t="s">
        <v>4684</v>
      </c>
      <c r="I2154" s="9" t="str">
        <f t="shared" si="1"/>
        <v>No</v>
      </c>
      <c r="J2154" s="9">
        <f t="shared" si="2"/>
        <v>0</v>
      </c>
      <c r="K2154" s="9" t="str">
        <f t="shared" si="3"/>
        <v>NORMAL WEIGHT</v>
      </c>
    </row>
    <row r="2155" ht="15.75" customHeight="1">
      <c r="A2155" s="9" t="s">
        <v>4309</v>
      </c>
      <c r="B2155" s="9">
        <v>36.86</v>
      </c>
      <c r="C2155" s="9">
        <v>4.97</v>
      </c>
      <c r="D2155" s="9" t="s">
        <v>4686</v>
      </c>
      <c r="E2155" s="9" t="s">
        <v>4684</v>
      </c>
      <c r="F2155" s="9" t="s">
        <v>4684</v>
      </c>
      <c r="G2155" s="9" t="s">
        <v>4685</v>
      </c>
      <c r="H2155" s="9" t="s">
        <v>4684</v>
      </c>
      <c r="I2155" s="9" t="str">
        <f t="shared" si="1"/>
        <v>No</v>
      </c>
      <c r="J2155" s="9">
        <f t="shared" si="2"/>
        <v>0</v>
      </c>
      <c r="K2155" s="9" t="str">
        <f t="shared" si="3"/>
        <v>OBESITY</v>
      </c>
    </row>
    <row r="2156" ht="15.75" customHeight="1">
      <c r="A2156" s="9" t="s">
        <v>4311</v>
      </c>
      <c r="B2156" s="9">
        <v>31.255</v>
      </c>
      <c r="C2156" s="9">
        <v>5.49</v>
      </c>
      <c r="D2156" s="9" t="s">
        <v>4686</v>
      </c>
      <c r="E2156" s="9" t="s">
        <v>4684</v>
      </c>
      <c r="F2156" s="9" t="s">
        <v>4684</v>
      </c>
      <c r="G2156" s="9" t="s">
        <v>4685</v>
      </c>
      <c r="H2156" s="9" t="s">
        <v>4684</v>
      </c>
      <c r="I2156" s="9" t="str">
        <f t="shared" si="1"/>
        <v>No</v>
      </c>
      <c r="J2156" s="9">
        <f t="shared" si="2"/>
        <v>0</v>
      </c>
      <c r="K2156" s="9" t="str">
        <f t="shared" si="3"/>
        <v>OBESITY</v>
      </c>
    </row>
    <row r="2157" ht="15.75" customHeight="1">
      <c r="A2157" s="9" t="s">
        <v>4313</v>
      </c>
      <c r="B2157" s="9">
        <v>23.06</v>
      </c>
      <c r="C2157" s="9">
        <v>4.47</v>
      </c>
      <c r="D2157" s="9" t="s">
        <v>4684</v>
      </c>
      <c r="E2157" s="9" t="s">
        <v>4684</v>
      </c>
      <c r="F2157" s="9" t="s">
        <v>4684</v>
      </c>
      <c r="G2157" s="9" t="s">
        <v>4685</v>
      </c>
      <c r="H2157" s="9" t="s">
        <v>4684</v>
      </c>
      <c r="I2157" s="9" t="str">
        <f t="shared" si="1"/>
        <v>No</v>
      </c>
      <c r="J2157" s="9">
        <f t="shared" si="2"/>
        <v>0</v>
      </c>
      <c r="K2157" s="9" t="str">
        <f t="shared" si="3"/>
        <v>NORMAL WEIGHT</v>
      </c>
    </row>
    <row r="2158" ht="15.75" customHeight="1">
      <c r="A2158" s="9" t="s">
        <v>4315</v>
      </c>
      <c r="B2158" s="9">
        <v>28.975</v>
      </c>
      <c r="C2158" s="9">
        <v>4.34</v>
      </c>
      <c r="D2158" s="9" t="s">
        <v>4686</v>
      </c>
      <c r="E2158" s="9" t="s">
        <v>4684</v>
      </c>
      <c r="F2158" s="9" t="s">
        <v>4684</v>
      </c>
      <c r="G2158" s="9" t="s">
        <v>4685</v>
      </c>
      <c r="H2158" s="9" t="s">
        <v>4684</v>
      </c>
      <c r="I2158" s="9" t="str">
        <f t="shared" si="1"/>
        <v>No</v>
      </c>
      <c r="J2158" s="9">
        <f t="shared" si="2"/>
        <v>0</v>
      </c>
      <c r="K2158" s="9" t="str">
        <f t="shared" si="3"/>
        <v>OVERWEIGHT</v>
      </c>
    </row>
    <row r="2159" ht="15.75" customHeight="1">
      <c r="A2159" s="9" t="s">
        <v>4317</v>
      </c>
      <c r="B2159" s="9">
        <v>33.3</v>
      </c>
      <c r="C2159" s="9">
        <v>9.49</v>
      </c>
      <c r="D2159" s="9" t="s">
        <v>4684</v>
      </c>
      <c r="E2159" s="9" t="s">
        <v>4684</v>
      </c>
      <c r="F2159" s="9" t="s">
        <v>4684</v>
      </c>
      <c r="G2159" s="9" t="s">
        <v>4685</v>
      </c>
      <c r="H2159" s="9" t="s">
        <v>4684</v>
      </c>
      <c r="I2159" s="9" t="str">
        <f t="shared" si="1"/>
        <v>No</v>
      </c>
      <c r="J2159" s="9">
        <f t="shared" si="2"/>
        <v>0</v>
      </c>
      <c r="K2159" s="9" t="str">
        <f t="shared" si="3"/>
        <v>OBESITY</v>
      </c>
    </row>
    <row r="2160" ht="15.75" customHeight="1">
      <c r="A2160" s="9" t="s">
        <v>4319</v>
      </c>
      <c r="B2160" s="9">
        <v>33.0</v>
      </c>
      <c r="C2160" s="9">
        <v>10.16</v>
      </c>
      <c r="D2160" s="9" t="s">
        <v>4684</v>
      </c>
      <c r="E2160" s="9" t="s">
        <v>4684</v>
      </c>
      <c r="F2160" s="9" t="s">
        <v>4684</v>
      </c>
      <c r="G2160" s="9" t="s">
        <v>4685</v>
      </c>
      <c r="H2160" s="9" t="s">
        <v>4684</v>
      </c>
      <c r="I2160" s="9" t="str">
        <f t="shared" si="1"/>
        <v>No</v>
      </c>
      <c r="J2160" s="9">
        <f t="shared" si="2"/>
        <v>0</v>
      </c>
      <c r="K2160" s="9" t="str">
        <f t="shared" si="3"/>
        <v>OBESITY</v>
      </c>
    </row>
    <row r="2161" ht="15.75" customHeight="1">
      <c r="A2161" s="9" t="s">
        <v>4321</v>
      </c>
      <c r="B2161" s="9">
        <v>31.46</v>
      </c>
      <c r="C2161" s="9">
        <v>11.19</v>
      </c>
      <c r="D2161" s="9" t="s">
        <v>4684</v>
      </c>
      <c r="E2161" s="9" t="s">
        <v>4684</v>
      </c>
      <c r="F2161" s="9" t="s">
        <v>4684</v>
      </c>
      <c r="G2161" s="9" t="s">
        <v>4685</v>
      </c>
      <c r="H2161" s="9" t="s">
        <v>4684</v>
      </c>
      <c r="I2161" s="9" t="str">
        <f t="shared" si="1"/>
        <v>No</v>
      </c>
      <c r="J2161" s="9">
        <f t="shared" si="2"/>
        <v>0</v>
      </c>
      <c r="K2161" s="9" t="str">
        <f t="shared" si="3"/>
        <v>OBESITY</v>
      </c>
    </row>
    <row r="2162" ht="15.75" customHeight="1">
      <c r="A2162" s="9" t="s">
        <v>4323</v>
      </c>
      <c r="B2162" s="9">
        <v>29.6</v>
      </c>
      <c r="C2162" s="9">
        <v>11.03</v>
      </c>
      <c r="D2162" s="9" t="s">
        <v>4684</v>
      </c>
      <c r="E2162" s="9" t="s">
        <v>4684</v>
      </c>
      <c r="F2162" s="9" t="s">
        <v>4684</v>
      </c>
      <c r="G2162" s="9" t="s">
        <v>4685</v>
      </c>
      <c r="H2162" s="9" t="s">
        <v>4684</v>
      </c>
      <c r="I2162" s="9" t="str">
        <f t="shared" si="1"/>
        <v>No</v>
      </c>
      <c r="J2162" s="9">
        <f t="shared" si="2"/>
        <v>0</v>
      </c>
      <c r="K2162" s="9" t="str">
        <f t="shared" si="3"/>
        <v>OVERWEIGHT</v>
      </c>
    </row>
    <row r="2163" ht="15.75" customHeight="1">
      <c r="A2163" s="9" t="s">
        <v>4325</v>
      </c>
      <c r="B2163" s="9">
        <v>22.05</v>
      </c>
      <c r="C2163" s="9">
        <v>4.43</v>
      </c>
      <c r="D2163" s="9" t="s">
        <v>4686</v>
      </c>
      <c r="E2163" s="9" t="s">
        <v>4684</v>
      </c>
      <c r="F2163" s="9" t="s">
        <v>4684</v>
      </c>
      <c r="G2163" s="9" t="s">
        <v>4685</v>
      </c>
      <c r="H2163" s="9" t="s">
        <v>4684</v>
      </c>
      <c r="I2163" s="9" t="str">
        <f t="shared" si="1"/>
        <v>No</v>
      </c>
      <c r="J2163" s="9">
        <f t="shared" si="2"/>
        <v>0</v>
      </c>
      <c r="K2163" s="9" t="str">
        <f t="shared" si="3"/>
        <v>NORMAL WEIGHT</v>
      </c>
    </row>
    <row r="2164" ht="15.75" customHeight="1">
      <c r="A2164" s="9" t="s">
        <v>4327</v>
      </c>
      <c r="B2164" s="9">
        <v>27.06</v>
      </c>
      <c r="C2164" s="9">
        <v>6.14</v>
      </c>
      <c r="D2164" s="9" t="s">
        <v>4684</v>
      </c>
      <c r="E2164" s="9" t="s">
        <v>4686</v>
      </c>
      <c r="F2164" s="9" t="s">
        <v>4684</v>
      </c>
      <c r="G2164" s="9">
        <v>1.0</v>
      </c>
      <c r="H2164" s="9" t="s">
        <v>4684</v>
      </c>
      <c r="I2164" s="9" t="str">
        <f t="shared" si="1"/>
        <v>No</v>
      </c>
      <c r="J2164" s="9">
        <f t="shared" si="2"/>
        <v>1</v>
      </c>
      <c r="K2164" s="9" t="str">
        <f t="shared" si="3"/>
        <v>OVERWEIGHT</v>
      </c>
    </row>
    <row r="2165" ht="15.75" customHeight="1">
      <c r="A2165" s="9" t="s">
        <v>4329</v>
      </c>
      <c r="B2165" s="9">
        <v>20.49</v>
      </c>
      <c r="C2165" s="9">
        <v>4.87</v>
      </c>
      <c r="D2165" s="9" t="s">
        <v>4684</v>
      </c>
      <c r="E2165" s="9" t="s">
        <v>4684</v>
      </c>
      <c r="F2165" s="9" t="s">
        <v>4684</v>
      </c>
      <c r="G2165" s="9" t="s">
        <v>4685</v>
      </c>
      <c r="H2165" s="9" t="s">
        <v>4684</v>
      </c>
      <c r="I2165" s="9" t="str">
        <f t="shared" si="1"/>
        <v>No</v>
      </c>
      <c r="J2165" s="9">
        <f t="shared" si="2"/>
        <v>0</v>
      </c>
      <c r="K2165" s="9" t="str">
        <f t="shared" si="3"/>
        <v>NORMAL WEIGHT</v>
      </c>
    </row>
    <row r="2166" ht="15.75" customHeight="1">
      <c r="A2166" s="9" t="s">
        <v>4331</v>
      </c>
      <c r="B2166" s="9">
        <v>28.4</v>
      </c>
      <c r="C2166" s="9">
        <v>4.3</v>
      </c>
      <c r="D2166" s="9" t="s">
        <v>4684</v>
      </c>
      <c r="E2166" s="9" t="s">
        <v>4684</v>
      </c>
      <c r="F2166" s="9" t="s">
        <v>4686</v>
      </c>
      <c r="G2166" s="9">
        <v>1.0</v>
      </c>
      <c r="H2166" s="9" t="s">
        <v>4684</v>
      </c>
      <c r="I2166" s="9" t="str">
        <f t="shared" si="1"/>
        <v>No</v>
      </c>
      <c r="J2166" s="9">
        <f t="shared" si="2"/>
        <v>1</v>
      </c>
      <c r="K2166" s="9" t="str">
        <f t="shared" si="3"/>
        <v>OVERWEIGHT</v>
      </c>
    </row>
    <row r="2167" ht="15.75" customHeight="1">
      <c r="A2167" s="9" t="s">
        <v>4333</v>
      </c>
      <c r="B2167" s="9">
        <v>41.91</v>
      </c>
      <c r="C2167" s="9">
        <v>6.19</v>
      </c>
      <c r="D2167" s="9" t="s">
        <v>4684</v>
      </c>
      <c r="E2167" s="9" t="s">
        <v>4684</v>
      </c>
      <c r="F2167" s="9" t="s">
        <v>4684</v>
      </c>
      <c r="G2167" s="9" t="s">
        <v>4685</v>
      </c>
      <c r="H2167" s="9" t="s">
        <v>4684</v>
      </c>
      <c r="I2167" s="9" t="str">
        <f t="shared" si="1"/>
        <v>No</v>
      </c>
      <c r="J2167" s="9">
        <f t="shared" si="2"/>
        <v>0</v>
      </c>
      <c r="K2167" s="9" t="str">
        <f t="shared" si="3"/>
        <v>OBESITY</v>
      </c>
    </row>
    <row r="2168" ht="15.75" customHeight="1">
      <c r="A2168" s="9" t="s">
        <v>4335</v>
      </c>
      <c r="B2168" s="9">
        <v>24.6</v>
      </c>
      <c r="C2168" s="9">
        <v>6.19</v>
      </c>
      <c r="D2168" s="9" t="s">
        <v>4684</v>
      </c>
      <c r="E2168" s="9" t="s">
        <v>4684</v>
      </c>
      <c r="F2168" s="9" t="s">
        <v>4686</v>
      </c>
      <c r="G2168" s="9">
        <v>1.0</v>
      </c>
      <c r="H2168" s="9" t="s">
        <v>4684</v>
      </c>
      <c r="I2168" s="9" t="str">
        <f t="shared" si="1"/>
        <v>No</v>
      </c>
      <c r="J2168" s="9">
        <f t="shared" si="2"/>
        <v>1</v>
      </c>
      <c r="K2168" s="9" t="str">
        <f t="shared" si="3"/>
        <v>NORMAL WEIGHT</v>
      </c>
    </row>
    <row r="2169" ht="15.75" customHeight="1">
      <c r="A2169" s="9" t="s">
        <v>4337</v>
      </c>
      <c r="B2169" s="9">
        <v>20.9</v>
      </c>
      <c r="C2169" s="9">
        <v>5.12</v>
      </c>
      <c r="D2169" s="9" t="s">
        <v>4684</v>
      </c>
      <c r="E2169" s="9" t="s">
        <v>4684</v>
      </c>
      <c r="F2169" s="9" t="s">
        <v>4686</v>
      </c>
      <c r="G2169" s="9">
        <v>1.0</v>
      </c>
      <c r="H2169" s="9" t="s">
        <v>4684</v>
      </c>
      <c r="I2169" s="9" t="str">
        <f t="shared" si="1"/>
        <v>No</v>
      </c>
      <c r="J2169" s="9">
        <f t="shared" si="2"/>
        <v>1</v>
      </c>
      <c r="K2169" s="9" t="str">
        <f t="shared" si="3"/>
        <v>NORMAL WEIGHT</v>
      </c>
    </row>
    <row r="2170" ht="15.75" customHeight="1">
      <c r="A2170" s="9" t="s">
        <v>4339</v>
      </c>
      <c r="B2170" s="9">
        <v>34.4</v>
      </c>
      <c r="C2170" s="9">
        <v>4.04</v>
      </c>
      <c r="D2170" s="9" t="s">
        <v>4684</v>
      </c>
      <c r="E2170" s="9" t="s">
        <v>4684</v>
      </c>
      <c r="F2170" s="9" t="s">
        <v>4684</v>
      </c>
      <c r="G2170" s="9" t="s">
        <v>4685</v>
      </c>
      <c r="H2170" s="9" t="s">
        <v>4684</v>
      </c>
      <c r="I2170" s="9" t="str">
        <f t="shared" si="1"/>
        <v>No</v>
      </c>
      <c r="J2170" s="9">
        <f t="shared" si="2"/>
        <v>0</v>
      </c>
      <c r="K2170" s="9" t="str">
        <f t="shared" si="3"/>
        <v>OBESITY</v>
      </c>
    </row>
    <row r="2171" ht="15.75" customHeight="1">
      <c r="A2171" s="9" t="s">
        <v>4341</v>
      </c>
      <c r="B2171" s="9">
        <v>32.56</v>
      </c>
      <c r="C2171" s="9">
        <v>5.36</v>
      </c>
      <c r="D2171" s="9" t="s">
        <v>4684</v>
      </c>
      <c r="E2171" s="9" t="s">
        <v>4684</v>
      </c>
      <c r="F2171" s="9" t="s">
        <v>4684</v>
      </c>
      <c r="G2171" s="9" t="s">
        <v>4685</v>
      </c>
      <c r="H2171" s="9" t="s">
        <v>4684</v>
      </c>
      <c r="I2171" s="9" t="str">
        <f t="shared" si="1"/>
        <v>No</v>
      </c>
      <c r="J2171" s="9">
        <f t="shared" si="2"/>
        <v>0</v>
      </c>
      <c r="K2171" s="9" t="str">
        <f t="shared" si="3"/>
        <v>OBESITY</v>
      </c>
    </row>
    <row r="2172" ht="15.75" customHeight="1">
      <c r="A2172" s="9" t="s">
        <v>4343</v>
      </c>
      <c r="B2172" s="9">
        <v>27.98</v>
      </c>
      <c r="C2172" s="9">
        <v>4.38</v>
      </c>
      <c r="D2172" s="9" t="s">
        <v>4684</v>
      </c>
      <c r="E2172" s="9" t="s">
        <v>4686</v>
      </c>
      <c r="F2172" s="9" t="s">
        <v>4684</v>
      </c>
      <c r="G2172" s="9">
        <v>1.0</v>
      </c>
      <c r="H2172" s="9" t="s">
        <v>4684</v>
      </c>
      <c r="I2172" s="9" t="str">
        <f t="shared" si="1"/>
        <v>No</v>
      </c>
      <c r="J2172" s="9">
        <f t="shared" si="2"/>
        <v>1</v>
      </c>
      <c r="K2172" s="9" t="str">
        <f t="shared" si="3"/>
        <v>OVERWEIGHT</v>
      </c>
    </row>
    <row r="2173" ht="15.75" customHeight="1">
      <c r="A2173" s="9" t="s">
        <v>4345</v>
      </c>
      <c r="B2173" s="9">
        <v>26.51</v>
      </c>
      <c r="C2173" s="9">
        <v>4.58</v>
      </c>
      <c r="D2173" s="9" t="s">
        <v>4684</v>
      </c>
      <c r="E2173" s="9" t="s">
        <v>4684</v>
      </c>
      <c r="F2173" s="9" t="s">
        <v>4684</v>
      </c>
      <c r="G2173" s="9" t="s">
        <v>4685</v>
      </c>
      <c r="H2173" s="9" t="s">
        <v>4684</v>
      </c>
      <c r="I2173" s="9" t="str">
        <f t="shared" si="1"/>
        <v>No</v>
      </c>
      <c r="J2173" s="9">
        <f t="shared" si="2"/>
        <v>0</v>
      </c>
      <c r="K2173" s="9" t="str">
        <f t="shared" si="3"/>
        <v>OVERWEIGHT</v>
      </c>
    </row>
    <row r="2174" ht="15.75" customHeight="1">
      <c r="A2174" s="9" t="s">
        <v>4347</v>
      </c>
      <c r="B2174" s="9">
        <v>29.735</v>
      </c>
      <c r="C2174" s="9">
        <v>11.92</v>
      </c>
      <c r="D2174" s="9" t="s">
        <v>4684</v>
      </c>
      <c r="E2174" s="9" t="s">
        <v>4684</v>
      </c>
      <c r="F2174" s="9" t="s">
        <v>4684</v>
      </c>
      <c r="G2174" s="9" t="s">
        <v>4685</v>
      </c>
      <c r="H2174" s="9" t="s">
        <v>4684</v>
      </c>
      <c r="I2174" s="9" t="str">
        <f t="shared" si="1"/>
        <v>No</v>
      </c>
      <c r="J2174" s="9">
        <f t="shared" si="2"/>
        <v>0</v>
      </c>
      <c r="K2174" s="9" t="str">
        <f t="shared" si="3"/>
        <v>OVERWEIGHT</v>
      </c>
    </row>
    <row r="2175" ht="15.75" customHeight="1">
      <c r="A2175" s="9" t="s">
        <v>4349</v>
      </c>
      <c r="B2175" s="9">
        <v>40.5</v>
      </c>
      <c r="C2175" s="9">
        <v>5.4</v>
      </c>
      <c r="D2175" s="9" t="s">
        <v>4684</v>
      </c>
      <c r="E2175" s="9" t="s">
        <v>4684</v>
      </c>
      <c r="F2175" s="9" t="s">
        <v>4686</v>
      </c>
      <c r="G2175" s="9">
        <v>1.0</v>
      </c>
      <c r="H2175" s="9" t="s">
        <v>4684</v>
      </c>
      <c r="I2175" s="9" t="str">
        <f t="shared" si="1"/>
        <v>No</v>
      </c>
      <c r="J2175" s="9">
        <f t="shared" si="2"/>
        <v>1</v>
      </c>
      <c r="K2175" s="9" t="str">
        <f t="shared" si="3"/>
        <v>OBESITY</v>
      </c>
    </row>
    <row r="2176" ht="15.75" customHeight="1">
      <c r="A2176" s="9" t="s">
        <v>4351</v>
      </c>
      <c r="B2176" s="9">
        <v>25.64</v>
      </c>
      <c r="C2176" s="9">
        <v>4.76</v>
      </c>
      <c r="D2176" s="9" t="s">
        <v>4684</v>
      </c>
      <c r="E2176" s="9" t="s">
        <v>4684</v>
      </c>
      <c r="F2176" s="9" t="s">
        <v>4684</v>
      </c>
      <c r="G2176" s="9">
        <v>1.0</v>
      </c>
      <c r="H2176" s="9" t="s">
        <v>4684</v>
      </c>
      <c r="I2176" s="9" t="str">
        <f t="shared" si="1"/>
        <v>No</v>
      </c>
      <c r="J2176" s="9">
        <f t="shared" si="2"/>
        <v>1</v>
      </c>
      <c r="K2176" s="9" t="str">
        <f t="shared" si="3"/>
        <v>OVERWEIGHT</v>
      </c>
    </row>
    <row r="2177" ht="15.75" customHeight="1">
      <c r="A2177" s="9" t="s">
        <v>4353</v>
      </c>
      <c r="B2177" s="9">
        <v>32.9</v>
      </c>
      <c r="C2177" s="9">
        <v>4.78</v>
      </c>
      <c r="D2177" s="9" t="s">
        <v>4684</v>
      </c>
      <c r="E2177" s="9" t="s">
        <v>4684</v>
      </c>
      <c r="F2177" s="9" t="s">
        <v>4686</v>
      </c>
      <c r="G2177" s="9">
        <v>1.0</v>
      </c>
      <c r="H2177" s="9" t="s">
        <v>4684</v>
      </c>
      <c r="I2177" s="9" t="str">
        <f t="shared" si="1"/>
        <v>No</v>
      </c>
      <c r="J2177" s="9">
        <f t="shared" si="2"/>
        <v>1</v>
      </c>
      <c r="K2177" s="9" t="str">
        <f t="shared" si="3"/>
        <v>OBESITY</v>
      </c>
    </row>
    <row r="2178" ht="15.75" customHeight="1">
      <c r="A2178" s="9" t="s">
        <v>4355</v>
      </c>
      <c r="B2178" s="9">
        <v>29.8</v>
      </c>
      <c r="C2178" s="9">
        <v>4.26</v>
      </c>
      <c r="D2178" s="9" t="s">
        <v>4684</v>
      </c>
      <c r="E2178" s="9" t="s">
        <v>4684</v>
      </c>
      <c r="F2178" s="9" t="s">
        <v>4686</v>
      </c>
      <c r="G2178" s="9">
        <v>1.0</v>
      </c>
      <c r="H2178" s="9" t="s">
        <v>4684</v>
      </c>
      <c r="I2178" s="9" t="str">
        <f t="shared" si="1"/>
        <v>No</v>
      </c>
      <c r="J2178" s="9">
        <f t="shared" si="2"/>
        <v>1</v>
      </c>
      <c r="K2178" s="9" t="str">
        <f t="shared" si="3"/>
        <v>OVERWEIGHT</v>
      </c>
    </row>
    <row r="2179" ht="15.75" customHeight="1">
      <c r="A2179" s="9" t="s">
        <v>4357</v>
      </c>
      <c r="B2179" s="9">
        <v>28.9</v>
      </c>
      <c r="C2179" s="9">
        <v>5.85</v>
      </c>
      <c r="D2179" s="9" t="s">
        <v>4684</v>
      </c>
      <c r="E2179" s="9" t="s">
        <v>4684</v>
      </c>
      <c r="F2179" s="9" t="s">
        <v>4686</v>
      </c>
      <c r="G2179" s="9">
        <v>1.0</v>
      </c>
      <c r="H2179" s="9" t="s">
        <v>4684</v>
      </c>
      <c r="I2179" s="9" t="str">
        <f t="shared" si="1"/>
        <v>No</v>
      </c>
      <c r="J2179" s="9">
        <f t="shared" si="2"/>
        <v>1</v>
      </c>
      <c r="K2179" s="9" t="str">
        <f t="shared" si="3"/>
        <v>OVERWEIGHT</v>
      </c>
    </row>
    <row r="2180" ht="15.75" customHeight="1">
      <c r="A2180" s="9" t="s">
        <v>4359</v>
      </c>
      <c r="B2180" s="9">
        <v>24.7</v>
      </c>
      <c r="C2180" s="9">
        <v>5.32</v>
      </c>
      <c r="D2180" s="9" t="s">
        <v>4684</v>
      </c>
      <c r="E2180" s="9" t="s">
        <v>4684</v>
      </c>
      <c r="F2180" s="9" t="s">
        <v>4686</v>
      </c>
      <c r="G2180" s="9">
        <v>1.0</v>
      </c>
      <c r="H2180" s="9" t="s">
        <v>4684</v>
      </c>
      <c r="I2180" s="9" t="str">
        <f t="shared" si="1"/>
        <v>No</v>
      </c>
      <c r="J2180" s="9">
        <f t="shared" si="2"/>
        <v>1</v>
      </c>
      <c r="K2180" s="9" t="str">
        <f t="shared" si="3"/>
        <v>NORMAL WEIGHT</v>
      </c>
    </row>
    <row r="2181" ht="15.75" customHeight="1">
      <c r="A2181" s="9" t="s">
        <v>4361</v>
      </c>
      <c r="B2181" s="9">
        <v>20.6</v>
      </c>
      <c r="C2181" s="9">
        <v>5.14</v>
      </c>
      <c r="D2181" s="9" t="s">
        <v>4684</v>
      </c>
      <c r="E2181" s="9" t="s">
        <v>4684</v>
      </c>
      <c r="F2181" s="9" t="s">
        <v>4686</v>
      </c>
      <c r="G2181" s="9">
        <v>1.0</v>
      </c>
      <c r="H2181" s="9" t="s">
        <v>4684</v>
      </c>
      <c r="I2181" s="9" t="str">
        <f t="shared" si="1"/>
        <v>No</v>
      </c>
      <c r="J2181" s="9">
        <f t="shared" si="2"/>
        <v>1</v>
      </c>
      <c r="K2181" s="9" t="str">
        <f t="shared" si="3"/>
        <v>NORMAL WEIGHT</v>
      </c>
    </row>
    <row r="2182" ht="15.75" customHeight="1">
      <c r="A2182" s="9" t="s">
        <v>4363</v>
      </c>
      <c r="B2182" s="9">
        <v>18.6</v>
      </c>
      <c r="C2182" s="9">
        <v>5.0</v>
      </c>
      <c r="D2182" s="9" t="s">
        <v>4684</v>
      </c>
      <c r="E2182" s="9" t="s">
        <v>4684</v>
      </c>
      <c r="F2182" s="9" t="s">
        <v>4686</v>
      </c>
      <c r="G2182" s="9">
        <v>1.0</v>
      </c>
      <c r="H2182" s="9" t="s">
        <v>4684</v>
      </c>
      <c r="I2182" s="9" t="str">
        <f t="shared" si="1"/>
        <v>No</v>
      </c>
      <c r="J2182" s="9">
        <f t="shared" si="2"/>
        <v>1</v>
      </c>
      <c r="K2182" s="9" t="str">
        <f t="shared" si="3"/>
        <v>NORMAL WEIGHT</v>
      </c>
    </row>
    <row r="2183" ht="15.75" customHeight="1">
      <c r="A2183" s="9" t="s">
        <v>4365</v>
      </c>
      <c r="B2183" s="9">
        <v>17.8</v>
      </c>
      <c r="C2183" s="9">
        <v>4.55</v>
      </c>
      <c r="D2183" s="9" t="s">
        <v>4684</v>
      </c>
      <c r="E2183" s="9" t="s">
        <v>4684</v>
      </c>
      <c r="F2183" s="9" t="s">
        <v>4686</v>
      </c>
      <c r="G2183" s="9">
        <v>1.0</v>
      </c>
      <c r="H2183" s="9" t="s">
        <v>4684</v>
      </c>
      <c r="I2183" s="9" t="str">
        <f t="shared" si="1"/>
        <v>No</v>
      </c>
      <c r="J2183" s="9">
        <f t="shared" si="2"/>
        <v>1</v>
      </c>
      <c r="K2183" s="9" t="str">
        <f t="shared" si="3"/>
        <v>UNDERWEIGHT</v>
      </c>
    </row>
    <row r="2184" ht="15.75" customHeight="1">
      <c r="A2184" s="9" t="s">
        <v>4367</v>
      </c>
      <c r="B2184" s="9">
        <v>35.2</v>
      </c>
      <c r="C2184" s="9">
        <v>5.97</v>
      </c>
      <c r="D2184" s="9" t="s">
        <v>4684</v>
      </c>
      <c r="E2184" s="9" t="s">
        <v>4686</v>
      </c>
      <c r="F2184" s="9" t="s">
        <v>4684</v>
      </c>
      <c r="G2184" s="9">
        <v>1.0</v>
      </c>
      <c r="H2184" s="9" t="s">
        <v>4684</v>
      </c>
      <c r="I2184" s="9" t="str">
        <f t="shared" si="1"/>
        <v>No</v>
      </c>
      <c r="J2184" s="9">
        <f t="shared" si="2"/>
        <v>1</v>
      </c>
      <c r="K2184" s="9" t="str">
        <f t="shared" si="3"/>
        <v>OBESITY</v>
      </c>
    </row>
    <row r="2185" ht="15.75" customHeight="1">
      <c r="A2185" s="9" t="s">
        <v>4369</v>
      </c>
      <c r="B2185" s="9">
        <v>33.77</v>
      </c>
      <c r="C2185" s="9">
        <v>4.02</v>
      </c>
      <c r="D2185" s="9" t="s">
        <v>4684</v>
      </c>
      <c r="E2185" s="9" t="s">
        <v>4686</v>
      </c>
      <c r="F2185" s="9" t="s">
        <v>4684</v>
      </c>
      <c r="G2185" s="9">
        <v>1.0</v>
      </c>
      <c r="H2185" s="9" t="s">
        <v>4684</v>
      </c>
      <c r="I2185" s="9" t="str">
        <f t="shared" si="1"/>
        <v>No</v>
      </c>
      <c r="J2185" s="9">
        <f t="shared" si="2"/>
        <v>1</v>
      </c>
      <c r="K2185" s="9" t="str">
        <f t="shared" si="3"/>
        <v>OBESITY</v>
      </c>
    </row>
    <row r="2186" ht="15.75" customHeight="1">
      <c r="A2186" s="9" t="s">
        <v>4371</v>
      </c>
      <c r="B2186" s="9">
        <v>30.03</v>
      </c>
      <c r="C2186" s="9">
        <v>4.04</v>
      </c>
      <c r="D2186" s="9" t="s">
        <v>4684</v>
      </c>
      <c r="E2186" s="9" t="s">
        <v>4686</v>
      </c>
      <c r="F2186" s="9" t="s">
        <v>4684</v>
      </c>
      <c r="G2186" s="9">
        <v>1.0</v>
      </c>
      <c r="H2186" s="9" t="s">
        <v>4684</v>
      </c>
      <c r="I2186" s="9" t="str">
        <f t="shared" si="1"/>
        <v>No</v>
      </c>
      <c r="J2186" s="9">
        <f t="shared" si="2"/>
        <v>1</v>
      </c>
      <c r="K2186" s="9" t="str">
        <f t="shared" si="3"/>
        <v>OBESITY</v>
      </c>
    </row>
    <row r="2187" ht="15.75" customHeight="1">
      <c r="A2187" s="9" t="s">
        <v>4373</v>
      </c>
      <c r="B2187" s="9">
        <v>29.37</v>
      </c>
      <c r="C2187" s="9">
        <v>5.54</v>
      </c>
      <c r="D2187" s="9" t="s">
        <v>4684</v>
      </c>
      <c r="E2187" s="9" t="s">
        <v>4686</v>
      </c>
      <c r="F2187" s="9" t="s">
        <v>4684</v>
      </c>
      <c r="G2187" s="9">
        <v>1.0</v>
      </c>
      <c r="H2187" s="9" t="s">
        <v>4684</v>
      </c>
      <c r="I2187" s="9" t="str">
        <f t="shared" si="1"/>
        <v>No</v>
      </c>
      <c r="J2187" s="9">
        <f t="shared" si="2"/>
        <v>1</v>
      </c>
      <c r="K2187" s="9" t="str">
        <f t="shared" si="3"/>
        <v>OVERWEIGHT</v>
      </c>
    </row>
    <row r="2188" ht="15.75" customHeight="1">
      <c r="A2188" s="9" t="s">
        <v>4375</v>
      </c>
      <c r="B2188" s="9">
        <v>28.5</v>
      </c>
      <c r="C2188" s="9">
        <v>4.03</v>
      </c>
      <c r="D2188" s="9" t="s">
        <v>4684</v>
      </c>
      <c r="E2188" s="9" t="s">
        <v>4686</v>
      </c>
      <c r="F2188" s="9" t="s">
        <v>4684</v>
      </c>
      <c r="G2188" s="9">
        <v>1.0</v>
      </c>
      <c r="H2188" s="9" t="s">
        <v>4684</v>
      </c>
      <c r="I2188" s="9" t="str">
        <f t="shared" si="1"/>
        <v>No</v>
      </c>
      <c r="J2188" s="9">
        <f t="shared" si="2"/>
        <v>1</v>
      </c>
      <c r="K2188" s="9" t="str">
        <f t="shared" si="3"/>
        <v>OVERWEIGHT</v>
      </c>
    </row>
    <row r="2189" ht="15.75" customHeight="1">
      <c r="A2189" s="9" t="s">
        <v>4377</v>
      </c>
      <c r="B2189" s="9">
        <v>23.32</v>
      </c>
      <c r="C2189" s="9">
        <v>5.62</v>
      </c>
      <c r="D2189" s="9" t="s">
        <v>4684</v>
      </c>
      <c r="E2189" s="9" t="s">
        <v>4686</v>
      </c>
      <c r="F2189" s="9" t="s">
        <v>4684</v>
      </c>
      <c r="G2189" s="9">
        <v>1.0</v>
      </c>
      <c r="H2189" s="9" t="s">
        <v>4684</v>
      </c>
      <c r="I2189" s="9" t="str">
        <f t="shared" si="1"/>
        <v>No</v>
      </c>
      <c r="J2189" s="9">
        <f t="shared" si="2"/>
        <v>1</v>
      </c>
      <c r="K2189" s="9" t="str">
        <f t="shared" si="3"/>
        <v>NORMAL WEIGHT</v>
      </c>
    </row>
    <row r="2190" ht="15.75" customHeight="1">
      <c r="A2190" s="9" t="s">
        <v>4379</v>
      </c>
      <c r="B2190" s="9">
        <v>26.125</v>
      </c>
      <c r="C2190" s="9">
        <v>5.27</v>
      </c>
      <c r="D2190" s="9" t="s">
        <v>4684</v>
      </c>
      <c r="E2190" s="9" t="s">
        <v>4686</v>
      </c>
      <c r="F2190" s="9" t="s">
        <v>4684</v>
      </c>
      <c r="G2190" s="9">
        <v>1.0</v>
      </c>
      <c r="H2190" s="9" t="s">
        <v>4684</v>
      </c>
      <c r="I2190" s="9" t="str">
        <f t="shared" si="1"/>
        <v>No</v>
      </c>
      <c r="J2190" s="9">
        <f t="shared" si="2"/>
        <v>1</v>
      </c>
      <c r="K2190" s="9" t="str">
        <f t="shared" si="3"/>
        <v>OVERWEIGHT</v>
      </c>
    </row>
    <row r="2191" ht="15.75" customHeight="1">
      <c r="A2191" s="9" t="s">
        <v>4381</v>
      </c>
      <c r="B2191" s="9">
        <v>25.46</v>
      </c>
      <c r="C2191" s="9">
        <v>5.18</v>
      </c>
      <c r="D2191" s="9" t="s">
        <v>4684</v>
      </c>
      <c r="E2191" s="9" t="s">
        <v>4686</v>
      </c>
      <c r="F2191" s="9" t="s">
        <v>4684</v>
      </c>
      <c r="G2191" s="9">
        <v>1.0</v>
      </c>
      <c r="H2191" s="9" t="s">
        <v>4684</v>
      </c>
      <c r="I2191" s="9" t="str">
        <f t="shared" si="1"/>
        <v>No</v>
      </c>
      <c r="J2191" s="9">
        <f t="shared" si="2"/>
        <v>1</v>
      </c>
      <c r="K2191" s="9" t="str">
        <f t="shared" si="3"/>
        <v>OVERWEIGHT</v>
      </c>
    </row>
    <row r="2192" ht="15.75" customHeight="1">
      <c r="A2192" s="9" t="s">
        <v>4383</v>
      </c>
      <c r="B2192" s="9">
        <v>23.75</v>
      </c>
      <c r="C2192" s="9">
        <v>5.27</v>
      </c>
      <c r="D2192" s="9" t="s">
        <v>4684</v>
      </c>
      <c r="E2192" s="9" t="s">
        <v>4686</v>
      </c>
      <c r="F2192" s="9" t="s">
        <v>4684</v>
      </c>
      <c r="G2192" s="9">
        <v>1.0</v>
      </c>
      <c r="H2192" s="9" t="s">
        <v>4684</v>
      </c>
      <c r="I2192" s="9" t="str">
        <f t="shared" si="1"/>
        <v>No</v>
      </c>
      <c r="J2192" s="9">
        <f t="shared" si="2"/>
        <v>1</v>
      </c>
      <c r="K2192" s="9" t="str">
        <f t="shared" si="3"/>
        <v>NORMAL WEIGHT</v>
      </c>
    </row>
    <row r="2193" ht="15.75" customHeight="1">
      <c r="A2193" s="9" t="s">
        <v>4385</v>
      </c>
      <c r="B2193" s="9">
        <v>23.085</v>
      </c>
      <c r="C2193" s="9">
        <v>5.62</v>
      </c>
      <c r="D2193" s="9" t="s">
        <v>4684</v>
      </c>
      <c r="E2193" s="9" t="s">
        <v>4686</v>
      </c>
      <c r="F2193" s="9" t="s">
        <v>4684</v>
      </c>
      <c r="G2193" s="9">
        <v>1.0</v>
      </c>
      <c r="H2193" s="9" t="s">
        <v>4684</v>
      </c>
      <c r="I2193" s="9" t="str">
        <f t="shared" si="1"/>
        <v>No</v>
      </c>
      <c r="J2193" s="9">
        <f t="shared" si="2"/>
        <v>1</v>
      </c>
      <c r="K2193" s="9" t="str">
        <f t="shared" si="3"/>
        <v>NORMAL WEIGHT</v>
      </c>
    </row>
    <row r="2194" ht="15.75" customHeight="1">
      <c r="A2194" s="9" t="s">
        <v>4387</v>
      </c>
      <c r="B2194" s="9">
        <v>22.99</v>
      </c>
      <c r="C2194" s="9">
        <v>5.06</v>
      </c>
      <c r="D2194" s="9" t="s">
        <v>4684</v>
      </c>
      <c r="E2194" s="9" t="s">
        <v>4686</v>
      </c>
      <c r="F2194" s="9" t="s">
        <v>4684</v>
      </c>
      <c r="G2194" s="9">
        <v>1.0</v>
      </c>
      <c r="H2194" s="9" t="s">
        <v>4684</v>
      </c>
      <c r="I2194" s="9" t="str">
        <f t="shared" si="1"/>
        <v>No</v>
      </c>
      <c r="J2194" s="9">
        <f t="shared" si="2"/>
        <v>1</v>
      </c>
      <c r="K2194" s="9" t="str">
        <f t="shared" si="3"/>
        <v>NORMAL WEIGHT</v>
      </c>
    </row>
    <row r="2195" ht="15.75" customHeight="1">
      <c r="A2195" s="9" t="s">
        <v>4389</v>
      </c>
      <c r="B2195" s="9">
        <v>21.47</v>
      </c>
      <c r="C2195" s="9">
        <v>4.69</v>
      </c>
      <c r="D2195" s="9" t="s">
        <v>4684</v>
      </c>
      <c r="E2195" s="9" t="s">
        <v>4686</v>
      </c>
      <c r="F2195" s="9" t="s">
        <v>4684</v>
      </c>
      <c r="G2195" s="9">
        <v>1.0</v>
      </c>
      <c r="H2195" s="9" t="s">
        <v>4684</v>
      </c>
      <c r="I2195" s="9" t="str">
        <f t="shared" si="1"/>
        <v>No</v>
      </c>
      <c r="J2195" s="9">
        <f t="shared" si="2"/>
        <v>1</v>
      </c>
      <c r="K2195" s="9" t="str">
        <f t="shared" si="3"/>
        <v>NORMAL WEIGHT</v>
      </c>
    </row>
    <row r="2196" ht="15.75" customHeight="1">
      <c r="A2196" s="9" t="s">
        <v>4391</v>
      </c>
      <c r="B2196" s="9">
        <v>15.96</v>
      </c>
      <c r="C2196" s="9">
        <v>5.44</v>
      </c>
      <c r="D2196" s="9" t="s">
        <v>4684</v>
      </c>
      <c r="E2196" s="9" t="s">
        <v>4686</v>
      </c>
      <c r="F2196" s="9" t="s">
        <v>4684</v>
      </c>
      <c r="G2196" s="9">
        <v>1.0</v>
      </c>
      <c r="H2196" s="9" t="s">
        <v>4684</v>
      </c>
      <c r="I2196" s="9" t="str">
        <f t="shared" si="1"/>
        <v>No</v>
      </c>
      <c r="J2196" s="9">
        <f t="shared" si="2"/>
        <v>1</v>
      </c>
      <c r="K2196" s="9" t="str">
        <f t="shared" si="3"/>
        <v>UNDERWEIGHT</v>
      </c>
    </row>
    <row r="2197" ht="15.75" customHeight="1">
      <c r="A2197" s="9" t="s">
        <v>4393</v>
      </c>
      <c r="B2197" s="9">
        <v>39.5</v>
      </c>
      <c r="C2197" s="9">
        <v>5.05</v>
      </c>
      <c r="D2197" s="9" t="s">
        <v>4684</v>
      </c>
      <c r="E2197" s="9" t="s">
        <v>4686</v>
      </c>
      <c r="F2197" s="9" t="s">
        <v>4684</v>
      </c>
      <c r="G2197" s="9">
        <v>1.0</v>
      </c>
      <c r="H2197" s="9" t="s">
        <v>4684</v>
      </c>
      <c r="I2197" s="9" t="str">
        <f t="shared" si="1"/>
        <v>No</v>
      </c>
      <c r="J2197" s="9">
        <f t="shared" si="2"/>
        <v>1</v>
      </c>
      <c r="K2197" s="9" t="str">
        <f t="shared" si="3"/>
        <v>OBESITY</v>
      </c>
    </row>
    <row r="2198" ht="15.75" customHeight="1">
      <c r="A2198" s="9" t="s">
        <v>4395</v>
      </c>
      <c r="B2198" s="9">
        <v>33.77</v>
      </c>
      <c r="C2198" s="9">
        <v>6.0</v>
      </c>
      <c r="D2198" s="9" t="s">
        <v>4684</v>
      </c>
      <c r="E2198" s="9" t="s">
        <v>4686</v>
      </c>
      <c r="F2198" s="9" t="s">
        <v>4684</v>
      </c>
      <c r="G2198" s="9">
        <v>1.0</v>
      </c>
      <c r="H2198" s="9" t="s">
        <v>4684</v>
      </c>
      <c r="I2198" s="9" t="str">
        <f t="shared" si="1"/>
        <v>No</v>
      </c>
      <c r="J2198" s="9">
        <f t="shared" si="2"/>
        <v>1</v>
      </c>
      <c r="K2198" s="9" t="str">
        <f t="shared" si="3"/>
        <v>OBESITY</v>
      </c>
    </row>
    <row r="2199" ht="15.75" customHeight="1">
      <c r="A2199" s="9" t="s">
        <v>4397</v>
      </c>
      <c r="B2199" s="9">
        <v>26.84</v>
      </c>
      <c r="C2199" s="9">
        <v>5.99</v>
      </c>
      <c r="D2199" s="9" t="s">
        <v>4686</v>
      </c>
      <c r="E2199" s="9" t="s">
        <v>4686</v>
      </c>
      <c r="F2199" s="9" t="s">
        <v>4684</v>
      </c>
      <c r="G2199" s="9">
        <v>1.0</v>
      </c>
      <c r="H2199" s="9" t="s">
        <v>4684</v>
      </c>
      <c r="I2199" s="9" t="str">
        <f t="shared" si="1"/>
        <v>No</v>
      </c>
      <c r="J2199" s="9">
        <f t="shared" si="2"/>
        <v>1</v>
      </c>
      <c r="K2199" s="9" t="str">
        <f t="shared" si="3"/>
        <v>OVERWEIGHT</v>
      </c>
    </row>
    <row r="2200" ht="15.75" customHeight="1">
      <c r="A2200" s="9" t="s">
        <v>4399</v>
      </c>
      <c r="B2200" s="9">
        <v>35.53</v>
      </c>
      <c r="C2200" s="9">
        <v>4.36</v>
      </c>
      <c r="D2200" s="9" t="s">
        <v>4684</v>
      </c>
      <c r="E2200" s="9" t="s">
        <v>4684</v>
      </c>
      <c r="F2200" s="9" t="s">
        <v>4686</v>
      </c>
      <c r="G2200" s="9">
        <v>1.0</v>
      </c>
      <c r="H2200" s="9" t="s">
        <v>4684</v>
      </c>
      <c r="I2200" s="9" t="str">
        <f t="shared" si="1"/>
        <v>No</v>
      </c>
      <c r="J2200" s="9">
        <f t="shared" si="2"/>
        <v>1</v>
      </c>
      <c r="K2200" s="9" t="str">
        <f t="shared" si="3"/>
        <v>OBESITY</v>
      </c>
    </row>
    <row r="2201" ht="15.75" customHeight="1">
      <c r="A2201" s="9" t="s">
        <v>4401</v>
      </c>
      <c r="B2201" s="9">
        <v>30.59</v>
      </c>
      <c r="C2201" s="9">
        <v>4.41</v>
      </c>
      <c r="D2201" s="9" t="s">
        <v>4684</v>
      </c>
      <c r="E2201" s="9" t="s">
        <v>4684</v>
      </c>
      <c r="F2201" s="9" t="s">
        <v>4686</v>
      </c>
      <c r="G2201" s="9">
        <v>1.0</v>
      </c>
      <c r="H2201" s="9" t="s">
        <v>4684</v>
      </c>
      <c r="I2201" s="9" t="str">
        <f t="shared" si="1"/>
        <v>No</v>
      </c>
      <c r="J2201" s="9">
        <f t="shared" si="2"/>
        <v>1</v>
      </c>
      <c r="K2201" s="9" t="str">
        <f t="shared" si="3"/>
        <v>OBESITY</v>
      </c>
    </row>
    <row r="2202" ht="15.75" customHeight="1">
      <c r="A2202" s="9" t="s">
        <v>4403</v>
      </c>
      <c r="B2202" s="9">
        <v>30.59</v>
      </c>
      <c r="C2202" s="9">
        <v>4.17</v>
      </c>
      <c r="D2202" s="9" t="s">
        <v>4684</v>
      </c>
      <c r="E2202" s="9" t="s">
        <v>4684</v>
      </c>
      <c r="F2202" s="9" t="s">
        <v>4686</v>
      </c>
      <c r="G2202" s="9">
        <v>1.0</v>
      </c>
      <c r="H2202" s="9" t="s">
        <v>4684</v>
      </c>
      <c r="I2202" s="9" t="str">
        <f t="shared" si="1"/>
        <v>No</v>
      </c>
      <c r="J2202" s="9">
        <f t="shared" si="2"/>
        <v>1</v>
      </c>
      <c r="K2202" s="9" t="str">
        <f t="shared" si="3"/>
        <v>OBESITY</v>
      </c>
    </row>
    <row r="2203" ht="15.75" customHeight="1">
      <c r="A2203" s="9" t="s">
        <v>4405</v>
      </c>
      <c r="B2203" s="9">
        <v>27.835</v>
      </c>
      <c r="C2203" s="9">
        <v>4.44</v>
      </c>
      <c r="D2203" s="9" t="s">
        <v>4684</v>
      </c>
      <c r="E2203" s="9" t="s">
        <v>4684</v>
      </c>
      <c r="F2203" s="9" t="s">
        <v>4686</v>
      </c>
      <c r="G2203" s="9">
        <v>1.0</v>
      </c>
      <c r="H2203" s="9" t="s">
        <v>4684</v>
      </c>
      <c r="I2203" s="9" t="str">
        <f t="shared" si="1"/>
        <v>No</v>
      </c>
      <c r="J2203" s="9">
        <f t="shared" si="2"/>
        <v>1</v>
      </c>
      <c r="K2203" s="9" t="str">
        <f t="shared" si="3"/>
        <v>OVERWEIGHT</v>
      </c>
    </row>
    <row r="2204" ht="15.75" customHeight="1">
      <c r="A2204" s="9" t="s">
        <v>4407</v>
      </c>
      <c r="B2204" s="9">
        <v>40.26</v>
      </c>
      <c r="C2204" s="9">
        <v>5.52</v>
      </c>
      <c r="D2204" s="9" t="s">
        <v>4684</v>
      </c>
      <c r="E2204" s="9" t="s">
        <v>4686</v>
      </c>
      <c r="F2204" s="9" t="s">
        <v>4684</v>
      </c>
      <c r="G2204" s="9">
        <v>1.0</v>
      </c>
      <c r="H2204" s="9" t="s">
        <v>4684</v>
      </c>
      <c r="I2204" s="9" t="str">
        <f t="shared" si="1"/>
        <v>No</v>
      </c>
      <c r="J2204" s="9">
        <f t="shared" si="2"/>
        <v>1</v>
      </c>
      <c r="K2204" s="9" t="str">
        <f t="shared" si="3"/>
        <v>OBESITY</v>
      </c>
    </row>
    <row r="2205" ht="15.75" customHeight="1">
      <c r="A2205" s="9" t="s">
        <v>4409</v>
      </c>
      <c r="B2205" s="9">
        <v>39.82</v>
      </c>
      <c r="C2205" s="9">
        <v>6.01</v>
      </c>
      <c r="D2205" s="9" t="s">
        <v>4684</v>
      </c>
      <c r="E2205" s="9" t="s">
        <v>4686</v>
      </c>
      <c r="F2205" s="9" t="s">
        <v>4684</v>
      </c>
      <c r="G2205" s="9">
        <v>1.0</v>
      </c>
      <c r="H2205" s="9" t="s">
        <v>4684</v>
      </c>
      <c r="I2205" s="9" t="str">
        <f t="shared" si="1"/>
        <v>No</v>
      </c>
      <c r="J2205" s="9">
        <f t="shared" si="2"/>
        <v>1</v>
      </c>
      <c r="K2205" s="9" t="str">
        <f t="shared" si="3"/>
        <v>OBESITY</v>
      </c>
    </row>
    <row r="2206" ht="15.75" customHeight="1">
      <c r="A2206" s="9" t="s">
        <v>4411</v>
      </c>
      <c r="B2206" s="9">
        <v>39.16</v>
      </c>
      <c r="C2206" s="9">
        <v>5.81</v>
      </c>
      <c r="D2206" s="9" t="s">
        <v>4684</v>
      </c>
      <c r="E2206" s="9" t="s">
        <v>4686</v>
      </c>
      <c r="F2206" s="9" t="s">
        <v>4684</v>
      </c>
      <c r="G2206" s="9">
        <v>1.0</v>
      </c>
      <c r="H2206" s="9" t="s">
        <v>4684</v>
      </c>
      <c r="I2206" s="9" t="str">
        <f t="shared" si="1"/>
        <v>No</v>
      </c>
      <c r="J2206" s="9">
        <f t="shared" si="2"/>
        <v>1</v>
      </c>
      <c r="K2206" s="9" t="str">
        <f t="shared" si="3"/>
        <v>OBESITY</v>
      </c>
    </row>
    <row r="2207" ht="15.75" customHeight="1">
      <c r="A2207" s="9" t="s">
        <v>4413</v>
      </c>
      <c r="B2207" s="9">
        <v>25.555</v>
      </c>
      <c r="C2207" s="9">
        <v>4.37</v>
      </c>
      <c r="D2207" s="9" t="s">
        <v>4684</v>
      </c>
      <c r="E2207" s="9" t="s">
        <v>4684</v>
      </c>
      <c r="F2207" s="9" t="s">
        <v>4686</v>
      </c>
      <c r="G2207" s="9">
        <v>1.0</v>
      </c>
      <c r="H2207" s="9" t="s">
        <v>4684</v>
      </c>
      <c r="I2207" s="9" t="str">
        <f t="shared" si="1"/>
        <v>No</v>
      </c>
      <c r="J2207" s="9">
        <f t="shared" si="2"/>
        <v>1</v>
      </c>
      <c r="K2207" s="9" t="str">
        <f t="shared" si="3"/>
        <v>OVERWEIGHT</v>
      </c>
    </row>
    <row r="2208" ht="15.75" customHeight="1">
      <c r="A2208" s="9" t="s">
        <v>4415</v>
      </c>
      <c r="B2208" s="9">
        <v>25.175</v>
      </c>
      <c r="C2208" s="9">
        <v>5.74</v>
      </c>
      <c r="D2208" s="9" t="s">
        <v>4684</v>
      </c>
      <c r="E2208" s="9" t="s">
        <v>4684</v>
      </c>
      <c r="F2208" s="9" t="s">
        <v>4686</v>
      </c>
      <c r="G2208" s="9">
        <v>1.0</v>
      </c>
      <c r="H2208" s="9" t="s">
        <v>4684</v>
      </c>
      <c r="I2208" s="9" t="str">
        <f t="shared" si="1"/>
        <v>No</v>
      </c>
      <c r="J2208" s="9">
        <f t="shared" si="2"/>
        <v>1</v>
      </c>
      <c r="K2208" s="9" t="str">
        <f t="shared" si="3"/>
        <v>OVERWEIGHT</v>
      </c>
    </row>
    <row r="2209" ht="15.75" customHeight="1">
      <c r="A2209" s="9" t="s">
        <v>4417</v>
      </c>
      <c r="B2209" s="9">
        <v>38.28</v>
      </c>
      <c r="C2209" s="9">
        <v>5.39</v>
      </c>
      <c r="D2209" s="9" t="s">
        <v>4684</v>
      </c>
      <c r="E2209" s="9" t="s">
        <v>4686</v>
      </c>
      <c r="F2209" s="9" t="s">
        <v>4684</v>
      </c>
      <c r="G2209" s="9">
        <v>1.0</v>
      </c>
      <c r="H2209" s="9" t="s">
        <v>4684</v>
      </c>
      <c r="I2209" s="9" t="str">
        <f t="shared" si="1"/>
        <v>No</v>
      </c>
      <c r="J2209" s="9">
        <f t="shared" si="2"/>
        <v>1</v>
      </c>
      <c r="K2209" s="9" t="str">
        <f t="shared" si="3"/>
        <v>OBESITY</v>
      </c>
    </row>
    <row r="2210" ht="15.75" customHeight="1">
      <c r="A2210" s="9" t="s">
        <v>4419</v>
      </c>
      <c r="B2210" s="9">
        <v>38.17</v>
      </c>
      <c r="C2210" s="9">
        <v>4.07</v>
      </c>
      <c r="D2210" s="9" t="s">
        <v>4684</v>
      </c>
      <c r="E2210" s="9" t="s">
        <v>4686</v>
      </c>
      <c r="F2210" s="9" t="s">
        <v>4684</v>
      </c>
      <c r="G2210" s="9">
        <v>1.0</v>
      </c>
      <c r="H2210" s="9" t="s">
        <v>4684</v>
      </c>
      <c r="I2210" s="9" t="str">
        <f t="shared" si="1"/>
        <v>No</v>
      </c>
      <c r="J2210" s="9">
        <f t="shared" si="2"/>
        <v>1</v>
      </c>
      <c r="K2210" s="9" t="str">
        <f t="shared" si="3"/>
        <v>OBESITY</v>
      </c>
    </row>
    <row r="2211" ht="15.75" customHeight="1">
      <c r="A2211" s="9" t="s">
        <v>4421</v>
      </c>
      <c r="B2211" s="9">
        <v>36.85</v>
      </c>
      <c r="C2211" s="9">
        <v>5.49</v>
      </c>
      <c r="D2211" s="9" t="s">
        <v>4684</v>
      </c>
      <c r="E2211" s="9" t="s">
        <v>4686</v>
      </c>
      <c r="F2211" s="9" t="s">
        <v>4684</v>
      </c>
      <c r="G2211" s="9">
        <v>1.0</v>
      </c>
      <c r="H2211" s="9" t="s">
        <v>4684</v>
      </c>
      <c r="I2211" s="9" t="str">
        <f t="shared" si="1"/>
        <v>No</v>
      </c>
      <c r="J2211" s="9">
        <f t="shared" si="2"/>
        <v>1</v>
      </c>
      <c r="K2211" s="9" t="str">
        <f t="shared" si="3"/>
        <v>OBESITY</v>
      </c>
    </row>
    <row r="2212" ht="15.75" customHeight="1">
      <c r="A2212" s="9" t="s">
        <v>4423</v>
      </c>
      <c r="B2212" s="9">
        <v>22.61</v>
      </c>
      <c r="C2212" s="9">
        <v>5.68</v>
      </c>
      <c r="D2212" s="9" t="s">
        <v>4684</v>
      </c>
      <c r="E2212" s="9" t="s">
        <v>4684</v>
      </c>
      <c r="F2212" s="9" t="s">
        <v>4686</v>
      </c>
      <c r="G2212" s="9">
        <v>1.0</v>
      </c>
      <c r="H2212" s="9" t="s">
        <v>4684</v>
      </c>
      <c r="I2212" s="9" t="str">
        <f t="shared" si="1"/>
        <v>No</v>
      </c>
      <c r="J2212" s="9">
        <f t="shared" si="2"/>
        <v>1</v>
      </c>
      <c r="K2212" s="9" t="str">
        <f t="shared" si="3"/>
        <v>NORMAL WEIGHT</v>
      </c>
    </row>
    <row r="2213" ht="15.75" customHeight="1">
      <c r="A2213" s="9" t="s">
        <v>4425</v>
      </c>
      <c r="B2213" s="9">
        <v>21.755</v>
      </c>
      <c r="C2213" s="9">
        <v>6.09</v>
      </c>
      <c r="D2213" s="9" t="s">
        <v>4684</v>
      </c>
      <c r="E2213" s="9" t="s">
        <v>4684</v>
      </c>
      <c r="F2213" s="9" t="s">
        <v>4686</v>
      </c>
      <c r="G2213" s="9">
        <v>1.0</v>
      </c>
      <c r="H2213" s="9" t="s">
        <v>4684</v>
      </c>
      <c r="I2213" s="9" t="str">
        <f t="shared" si="1"/>
        <v>No</v>
      </c>
      <c r="J2213" s="9">
        <f t="shared" si="2"/>
        <v>1</v>
      </c>
      <c r="K2213" s="9" t="str">
        <f t="shared" si="3"/>
        <v>NORMAL WEIGHT</v>
      </c>
    </row>
    <row r="2214" ht="15.75" customHeight="1">
      <c r="A2214" s="9" t="s">
        <v>4427</v>
      </c>
      <c r="B2214" s="9">
        <v>20.425</v>
      </c>
      <c r="C2214" s="9">
        <v>5.53</v>
      </c>
      <c r="D2214" s="9" t="s">
        <v>4684</v>
      </c>
      <c r="E2214" s="9" t="s">
        <v>4684</v>
      </c>
      <c r="F2214" s="9" t="s">
        <v>4686</v>
      </c>
      <c r="G2214" s="9">
        <v>1.0</v>
      </c>
      <c r="H2214" s="9" t="s">
        <v>4684</v>
      </c>
      <c r="I2214" s="9" t="str">
        <f t="shared" si="1"/>
        <v>No</v>
      </c>
      <c r="J2214" s="9">
        <f t="shared" si="2"/>
        <v>1</v>
      </c>
      <c r="K2214" s="9" t="str">
        <f t="shared" si="3"/>
        <v>NORMAL WEIGHT</v>
      </c>
    </row>
    <row r="2215" ht="15.75" customHeight="1">
      <c r="A2215" s="9" t="s">
        <v>4429</v>
      </c>
      <c r="B2215" s="9">
        <v>31.35</v>
      </c>
      <c r="C2215" s="9">
        <v>4.28</v>
      </c>
      <c r="D2215" s="9" t="s">
        <v>4684</v>
      </c>
      <c r="E2215" s="9" t="s">
        <v>4686</v>
      </c>
      <c r="F2215" s="9" t="s">
        <v>4684</v>
      </c>
      <c r="G2215" s="9">
        <v>1.0</v>
      </c>
      <c r="H2215" s="9" t="s">
        <v>4684</v>
      </c>
      <c r="I2215" s="9" t="str">
        <f t="shared" si="1"/>
        <v>No</v>
      </c>
      <c r="J2215" s="9">
        <f t="shared" si="2"/>
        <v>1</v>
      </c>
      <c r="K2215" s="9" t="str">
        <f t="shared" si="3"/>
        <v>OBESITY</v>
      </c>
    </row>
    <row r="2216" ht="15.75" customHeight="1">
      <c r="A2216" s="9" t="s">
        <v>4431</v>
      </c>
      <c r="B2216" s="9">
        <v>31.13</v>
      </c>
      <c r="C2216" s="9">
        <v>6.01</v>
      </c>
      <c r="D2216" s="9" t="s">
        <v>4684</v>
      </c>
      <c r="E2216" s="9" t="s">
        <v>4686</v>
      </c>
      <c r="F2216" s="9" t="s">
        <v>4684</v>
      </c>
      <c r="G2216" s="9">
        <v>1.0</v>
      </c>
      <c r="H2216" s="9" t="s">
        <v>4684</v>
      </c>
      <c r="I2216" s="9" t="str">
        <f t="shared" si="1"/>
        <v>No</v>
      </c>
      <c r="J2216" s="9">
        <f t="shared" si="2"/>
        <v>1</v>
      </c>
      <c r="K2216" s="9" t="str">
        <f t="shared" si="3"/>
        <v>OBESITY</v>
      </c>
    </row>
    <row r="2217" ht="15.75" customHeight="1">
      <c r="A2217" s="9" t="s">
        <v>4433</v>
      </c>
      <c r="B2217" s="9">
        <v>17.48</v>
      </c>
      <c r="C2217" s="9">
        <v>4.59</v>
      </c>
      <c r="D2217" s="9" t="s">
        <v>4684</v>
      </c>
      <c r="E2217" s="9" t="s">
        <v>4684</v>
      </c>
      <c r="F2217" s="9" t="s">
        <v>4686</v>
      </c>
      <c r="G2217" s="9">
        <v>1.0</v>
      </c>
      <c r="H2217" s="9" t="s">
        <v>4684</v>
      </c>
      <c r="I2217" s="9" t="str">
        <f t="shared" si="1"/>
        <v>No</v>
      </c>
      <c r="J2217" s="9">
        <f t="shared" si="2"/>
        <v>1</v>
      </c>
      <c r="K2217" s="9" t="str">
        <f t="shared" si="3"/>
        <v>UNDERWEIGHT</v>
      </c>
    </row>
    <row r="2218" ht="15.75" customHeight="1">
      <c r="A2218" s="9" t="s">
        <v>4435</v>
      </c>
      <c r="B2218" s="9">
        <v>22.57</v>
      </c>
      <c r="C2218" s="9">
        <v>5.8</v>
      </c>
      <c r="D2218" s="9" t="s">
        <v>4686</v>
      </c>
      <c r="E2218" s="9" t="s">
        <v>4684</v>
      </c>
      <c r="F2218" s="9" t="s">
        <v>4684</v>
      </c>
      <c r="G2218" s="9">
        <v>1.0</v>
      </c>
      <c r="H2218" s="9" t="s">
        <v>4684</v>
      </c>
      <c r="I2218" s="9" t="str">
        <f t="shared" si="1"/>
        <v>No</v>
      </c>
      <c r="J2218" s="9">
        <f t="shared" si="2"/>
        <v>1</v>
      </c>
      <c r="K2218" s="9" t="str">
        <f t="shared" si="3"/>
        <v>NORMAL WEIGHT</v>
      </c>
    </row>
    <row r="2219" ht="15.75" customHeight="1">
      <c r="A2219" s="9" t="s">
        <v>4437</v>
      </c>
      <c r="B2219" s="9">
        <v>26.73</v>
      </c>
      <c r="C2219" s="9">
        <v>5.08</v>
      </c>
      <c r="D2219" s="9" t="s">
        <v>4684</v>
      </c>
      <c r="E2219" s="9" t="s">
        <v>4686</v>
      </c>
      <c r="F2219" s="9" t="s">
        <v>4684</v>
      </c>
      <c r="G2219" s="9">
        <v>1.0</v>
      </c>
      <c r="H2219" s="9" t="s">
        <v>4684</v>
      </c>
      <c r="I2219" s="9" t="str">
        <f t="shared" si="1"/>
        <v>No</v>
      </c>
      <c r="J2219" s="9">
        <f t="shared" si="2"/>
        <v>1</v>
      </c>
      <c r="K2219" s="9" t="str">
        <f t="shared" si="3"/>
        <v>OVERWEIGHT</v>
      </c>
    </row>
    <row r="2220" ht="15.75" customHeight="1">
      <c r="A2220" s="9" t="s">
        <v>4439</v>
      </c>
      <c r="B2220" s="9">
        <v>20.79</v>
      </c>
      <c r="C2220" s="9">
        <v>5.84</v>
      </c>
      <c r="D2220" s="9" t="s">
        <v>4684</v>
      </c>
      <c r="E2220" s="9" t="s">
        <v>4686</v>
      </c>
      <c r="F2220" s="9" t="s">
        <v>4684</v>
      </c>
      <c r="G2220" s="9">
        <v>1.0</v>
      </c>
      <c r="H2220" s="9" t="s">
        <v>4684</v>
      </c>
      <c r="I2220" s="9" t="str">
        <f t="shared" si="1"/>
        <v>No</v>
      </c>
      <c r="J2220" s="9">
        <f t="shared" si="2"/>
        <v>1</v>
      </c>
      <c r="K2220" s="9" t="str">
        <f t="shared" si="3"/>
        <v>NORMAL WEIGHT</v>
      </c>
    </row>
    <row r="2221" ht="15.75" customHeight="1">
      <c r="A2221" s="9" t="s">
        <v>4441</v>
      </c>
      <c r="B2221" s="9">
        <v>20.15</v>
      </c>
      <c r="C2221" s="9">
        <v>4.15</v>
      </c>
      <c r="D2221" s="9" t="s">
        <v>4684</v>
      </c>
      <c r="E2221" s="9" t="s">
        <v>4684</v>
      </c>
      <c r="F2221" s="9" t="s">
        <v>4684</v>
      </c>
      <c r="G2221" s="9">
        <v>1.0</v>
      </c>
      <c r="H2221" s="9" t="s">
        <v>4684</v>
      </c>
      <c r="I2221" s="9" t="str">
        <f t="shared" si="1"/>
        <v>No</v>
      </c>
      <c r="J2221" s="9">
        <f t="shared" si="2"/>
        <v>1</v>
      </c>
      <c r="K2221" s="9" t="str">
        <f t="shared" si="3"/>
        <v>NORMAL WEIGHT</v>
      </c>
    </row>
    <row r="2222" ht="15.75" customHeight="1">
      <c r="A2222" s="9" t="s">
        <v>4443</v>
      </c>
      <c r="B2222" s="9">
        <v>36.85</v>
      </c>
      <c r="C2222" s="9">
        <v>4.36</v>
      </c>
      <c r="D2222" s="9" t="s">
        <v>4686</v>
      </c>
      <c r="E2222" s="9" t="s">
        <v>4684</v>
      </c>
      <c r="F2222" s="9" t="s">
        <v>4684</v>
      </c>
      <c r="G2222" s="9" t="s">
        <v>4685</v>
      </c>
      <c r="H2222" s="9" t="s">
        <v>4684</v>
      </c>
      <c r="I2222" s="9" t="str">
        <f t="shared" si="1"/>
        <v>No</v>
      </c>
      <c r="J2222" s="9">
        <f t="shared" si="2"/>
        <v>0</v>
      </c>
      <c r="K2222" s="9" t="str">
        <f t="shared" si="3"/>
        <v>OBESITY</v>
      </c>
    </row>
    <row r="2223" ht="15.75" customHeight="1">
      <c r="A2223" s="9" t="s">
        <v>4445</v>
      </c>
      <c r="B2223" s="9">
        <v>35.53</v>
      </c>
      <c r="C2223" s="9">
        <v>4.55</v>
      </c>
      <c r="D2223" s="9" t="s">
        <v>4686</v>
      </c>
      <c r="E2223" s="9" t="s">
        <v>4684</v>
      </c>
      <c r="F2223" s="9" t="s">
        <v>4684</v>
      </c>
      <c r="G2223" s="9" t="s">
        <v>4685</v>
      </c>
      <c r="H2223" s="9" t="s">
        <v>4684</v>
      </c>
      <c r="I2223" s="9" t="str">
        <f t="shared" si="1"/>
        <v>No</v>
      </c>
      <c r="J2223" s="9">
        <f t="shared" si="2"/>
        <v>0</v>
      </c>
      <c r="K2223" s="9" t="str">
        <f t="shared" si="3"/>
        <v>OBESITY</v>
      </c>
    </row>
    <row r="2224" ht="15.75" customHeight="1">
      <c r="A2224" s="9" t="s">
        <v>4447</v>
      </c>
      <c r="B2224" s="9">
        <v>31.1</v>
      </c>
      <c r="C2224" s="9">
        <v>4.37</v>
      </c>
      <c r="D2224" s="9" t="s">
        <v>4686</v>
      </c>
      <c r="E2224" s="9" t="s">
        <v>4684</v>
      </c>
      <c r="F2224" s="9" t="s">
        <v>4684</v>
      </c>
      <c r="G2224" s="9" t="s">
        <v>4685</v>
      </c>
      <c r="H2224" s="9" t="s">
        <v>4684</v>
      </c>
      <c r="I2224" s="9" t="str">
        <f t="shared" si="1"/>
        <v>No</v>
      </c>
      <c r="J2224" s="9">
        <f t="shared" si="2"/>
        <v>0</v>
      </c>
      <c r="K2224" s="9" t="str">
        <f t="shared" si="3"/>
        <v>OBESITY</v>
      </c>
    </row>
    <row r="2225" ht="15.75" customHeight="1">
      <c r="A2225" s="9" t="s">
        <v>4449</v>
      </c>
      <c r="B2225" s="9">
        <v>23.21</v>
      </c>
      <c r="C2225" s="9">
        <v>5.24</v>
      </c>
      <c r="D2225" s="9" t="s">
        <v>4686</v>
      </c>
      <c r="E2225" s="9" t="s">
        <v>4684</v>
      </c>
      <c r="F2225" s="9" t="s">
        <v>4684</v>
      </c>
      <c r="G2225" s="9" t="s">
        <v>4685</v>
      </c>
      <c r="H2225" s="9" t="s">
        <v>4684</v>
      </c>
      <c r="I2225" s="9" t="str">
        <f t="shared" si="1"/>
        <v>No</v>
      </c>
      <c r="J2225" s="9">
        <f t="shared" si="2"/>
        <v>0</v>
      </c>
      <c r="K2225" s="9" t="str">
        <f t="shared" si="3"/>
        <v>NORMAL WEIGHT</v>
      </c>
    </row>
    <row r="2226" ht="15.75" customHeight="1">
      <c r="A2226" s="9" t="s">
        <v>4451</v>
      </c>
      <c r="B2226" s="9">
        <v>18.36</v>
      </c>
      <c r="C2226" s="9">
        <v>5.96</v>
      </c>
      <c r="D2226" s="9" t="s">
        <v>4684</v>
      </c>
      <c r="E2226" s="9" t="s">
        <v>4684</v>
      </c>
      <c r="F2226" s="9" t="s">
        <v>4684</v>
      </c>
      <c r="G2226" s="9">
        <v>1.0</v>
      </c>
      <c r="H2226" s="9" t="s">
        <v>4684</v>
      </c>
      <c r="I2226" s="9" t="str">
        <f t="shared" si="1"/>
        <v>No</v>
      </c>
      <c r="J2226" s="9">
        <f t="shared" si="2"/>
        <v>1</v>
      </c>
      <c r="K2226" s="9" t="str">
        <f t="shared" si="3"/>
        <v>UNDERWEIGHT</v>
      </c>
    </row>
    <row r="2227" ht="15.75" customHeight="1">
      <c r="A2227" s="9" t="s">
        <v>4453</v>
      </c>
      <c r="B2227" s="9">
        <v>15.92</v>
      </c>
      <c r="C2227" s="9">
        <v>4.76</v>
      </c>
      <c r="D2227" s="9" t="s">
        <v>4686</v>
      </c>
      <c r="E2227" s="9" t="s">
        <v>4684</v>
      </c>
      <c r="F2227" s="9" t="s">
        <v>4684</v>
      </c>
      <c r="G2227" s="9">
        <v>1.0</v>
      </c>
      <c r="H2227" s="9" t="s">
        <v>4684</v>
      </c>
      <c r="I2227" s="9" t="str">
        <f t="shared" si="1"/>
        <v>No</v>
      </c>
      <c r="J2227" s="9">
        <f t="shared" si="2"/>
        <v>1</v>
      </c>
      <c r="K2227" s="9" t="str">
        <f t="shared" si="3"/>
        <v>UNDERWEIGHT</v>
      </c>
    </row>
    <row r="2228" ht="15.75" customHeight="1">
      <c r="A2228" s="9" t="s">
        <v>4455</v>
      </c>
      <c r="B2228" s="9">
        <v>15.17</v>
      </c>
      <c r="C2228" s="9">
        <v>4.3</v>
      </c>
      <c r="D2228" s="9" t="s">
        <v>4686</v>
      </c>
      <c r="E2228" s="9" t="s">
        <v>4684</v>
      </c>
      <c r="F2228" s="9" t="s">
        <v>4686</v>
      </c>
      <c r="G2228" s="9">
        <v>1.0</v>
      </c>
      <c r="H2228" s="9" t="s">
        <v>4684</v>
      </c>
      <c r="I2228" s="9" t="str">
        <f t="shared" si="1"/>
        <v>No</v>
      </c>
      <c r="J2228" s="9">
        <f t="shared" si="2"/>
        <v>1</v>
      </c>
      <c r="K2228" s="9" t="str">
        <f t="shared" si="3"/>
        <v>UNDERWEIGHT</v>
      </c>
    </row>
    <row r="2229" ht="15.75" customHeight="1">
      <c r="A2229" s="9" t="s">
        <v>4457</v>
      </c>
      <c r="B2229" s="9">
        <v>16.63</v>
      </c>
      <c r="C2229" s="9">
        <v>4.5</v>
      </c>
      <c r="D2229" s="9" t="s">
        <v>4684</v>
      </c>
      <c r="E2229" s="9" t="s">
        <v>4684</v>
      </c>
      <c r="F2229" s="9" t="s">
        <v>4684</v>
      </c>
      <c r="G2229" s="9">
        <v>1.0</v>
      </c>
      <c r="H2229" s="9" t="s">
        <v>4684</v>
      </c>
      <c r="I2229" s="9" t="str">
        <f t="shared" si="1"/>
        <v>No</v>
      </c>
      <c r="J2229" s="9">
        <f t="shared" si="2"/>
        <v>1</v>
      </c>
      <c r="K2229" s="9" t="str">
        <f t="shared" si="3"/>
        <v>UNDERWEIGHT</v>
      </c>
    </row>
    <row r="2230" ht="15.75" customHeight="1">
      <c r="A2230" s="9" t="s">
        <v>4459</v>
      </c>
      <c r="B2230" s="9">
        <v>19.39</v>
      </c>
      <c r="C2230" s="9">
        <v>5.59</v>
      </c>
      <c r="D2230" s="9" t="s">
        <v>4684</v>
      </c>
      <c r="E2230" s="9" t="s">
        <v>4684</v>
      </c>
      <c r="F2230" s="9" t="s">
        <v>4686</v>
      </c>
      <c r="G2230" s="9">
        <v>1.0</v>
      </c>
      <c r="H2230" s="9" t="s">
        <v>4684</v>
      </c>
      <c r="I2230" s="9" t="str">
        <f t="shared" si="1"/>
        <v>No</v>
      </c>
      <c r="J2230" s="9">
        <f t="shared" si="2"/>
        <v>1</v>
      </c>
      <c r="K2230" s="9" t="str">
        <f t="shared" si="3"/>
        <v>NORMAL WEIGHT</v>
      </c>
    </row>
    <row r="2231" ht="15.75" customHeight="1">
      <c r="A2231" s="9" t="s">
        <v>4461</v>
      </c>
      <c r="B2231" s="9">
        <v>17.34</v>
      </c>
      <c r="C2231" s="9">
        <v>6.29</v>
      </c>
      <c r="D2231" s="9" t="s">
        <v>4686</v>
      </c>
      <c r="E2231" s="9" t="s">
        <v>4684</v>
      </c>
      <c r="F2231" s="9" t="s">
        <v>4686</v>
      </c>
      <c r="G2231" s="9">
        <v>1.0</v>
      </c>
      <c r="H2231" s="9" t="s">
        <v>4684</v>
      </c>
      <c r="I2231" s="9" t="str">
        <f t="shared" si="1"/>
        <v>No</v>
      </c>
      <c r="J2231" s="9">
        <f t="shared" si="2"/>
        <v>1</v>
      </c>
      <c r="K2231" s="9" t="str">
        <f t="shared" si="3"/>
        <v>UNDERWEIGHT</v>
      </c>
    </row>
    <row r="2232" ht="15.75" customHeight="1">
      <c r="A2232" s="9" t="s">
        <v>4463</v>
      </c>
      <c r="B2232" s="9">
        <v>17.94</v>
      </c>
      <c r="C2232" s="9">
        <v>4.19</v>
      </c>
      <c r="D2232" s="9" t="s">
        <v>4684</v>
      </c>
      <c r="E2232" s="9" t="s">
        <v>4686</v>
      </c>
      <c r="F2232" s="9" t="s">
        <v>4684</v>
      </c>
      <c r="G2232" s="9">
        <v>1.0</v>
      </c>
      <c r="H2232" s="9" t="s">
        <v>4684</v>
      </c>
      <c r="I2232" s="9" t="str">
        <f t="shared" si="1"/>
        <v>No</v>
      </c>
      <c r="J2232" s="9">
        <f t="shared" si="2"/>
        <v>1</v>
      </c>
      <c r="K2232" s="9" t="str">
        <f t="shared" si="3"/>
        <v>UNDERWEIGHT</v>
      </c>
    </row>
    <row r="2233" ht="15.75" customHeight="1">
      <c r="A2233" s="9" t="s">
        <v>4465</v>
      </c>
      <c r="B2233" s="9">
        <v>16.67</v>
      </c>
      <c r="C2233" s="9">
        <v>4.7</v>
      </c>
      <c r="D2233" s="9" t="s">
        <v>4686</v>
      </c>
      <c r="E2233" s="9" t="s">
        <v>4684</v>
      </c>
      <c r="F2233" s="9" t="s">
        <v>4686</v>
      </c>
      <c r="G2233" s="9">
        <v>1.0</v>
      </c>
      <c r="H2233" s="9" t="s">
        <v>4684</v>
      </c>
      <c r="I2233" s="9" t="str">
        <f t="shared" si="1"/>
        <v>No</v>
      </c>
      <c r="J2233" s="9">
        <f t="shared" si="2"/>
        <v>1</v>
      </c>
      <c r="K2233" s="9" t="str">
        <f t="shared" si="3"/>
        <v>UNDERWEIGHT</v>
      </c>
    </row>
    <row r="2234" ht="15.75" customHeight="1">
      <c r="A2234" s="9" t="s">
        <v>4467</v>
      </c>
      <c r="B2234" s="9">
        <v>20.58</v>
      </c>
      <c r="C2234" s="9">
        <v>5.64</v>
      </c>
      <c r="D2234" s="9" t="s">
        <v>4686</v>
      </c>
      <c r="E2234" s="9" t="s">
        <v>4684</v>
      </c>
      <c r="F2234" s="9" t="s">
        <v>4684</v>
      </c>
      <c r="G2234" s="9" t="s">
        <v>4685</v>
      </c>
      <c r="H2234" s="9" t="s">
        <v>4684</v>
      </c>
      <c r="I2234" s="9" t="str">
        <f t="shared" si="1"/>
        <v>No</v>
      </c>
      <c r="J2234" s="9">
        <f t="shared" si="2"/>
        <v>0</v>
      </c>
      <c r="K2234" s="9" t="str">
        <f t="shared" si="3"/>
        <v>NORMAL WEIGHT</v>
      </c>
    </row>
    <row r="2235" ht="15.75" customHeight="1">
      <c r="A2235" s="9" t="s">
        <v>4469</v>
      </c>
      <c r="B2235" s="9">
        <v>16.5</v>
      </c>
      <c r="C2235" s="9">
        <v>4.11</v>
      </c>
      <c r="D2235" s="9" t="s">
        <v>4686</v>
      </c>
      <c r="E2235" s="9" t="s">
        <v>4684</v>
      </c>
      <c r="F2235" s="9" t="s">
        <v>4684</v>
      </c>
      <c r="G2235" s="9" t="s">
        <v>4685</v>
      </c>
      <c r="H2235" s="9" t="s">
        <v>4684</v>
      </c>
      <c r="I2235" s="9" t="str">
        <f t="shared" si="1"/>
        <v>No</v>
      </c>
      <c r="J2235" s="9">
        <f t="shared" si="2"/>
        <v>0</v>
      </c>
      <c r="K2235" s="9" t="str">
        <f t="shared" si="3"/>
        <v>UNDERWEIGHT</v>
      </c>
    </row>
    <row r="2236" ht="15.75" customHeight="1">
      <c r="A2236" s="9" t="s">
        <v>4471</v>
      </c>
      <c r="B2236" s="9">
        <v>15.41</v>
      </c>
      <c r="C2236" s="9">
        <v>5.43</v>
      </c>
      <c r="D2236" s="9" t="s">
        <v>4686</v>
      </c>
      <c r="E2236" s="9" t="s">
        <v>4684</v>
      </c>
      <c r="F2236" s="9" t="s">
        <v>4686</v>
      </c>
      <c r="G2236" s="9">
        <v>1.0</v>
      </c>
      <c r="H2236" s="9" t="s">
        <v>4684</v>
      </c>
      <c r="I2236" s="9" t="str">
        <f t="shared" si="1"/>
        <v>No</v>
      </c>
      <c r="J2236" s="9">
        <f t="shared" si="2"/>
        <v>1</v>
      </c>
      <c r="K2236" s="9" t="str">
        <f t="shared" si="3"/>
        <v>UNDERWEIGHT</v>
      </c>
    </row>
    <row r="2237" ht="15.75" customHeight="1">
      <c r="A2237" s="9" t="s">
        <v>4473</v>
      </c>
      <c r="B2237" s="9">
        <v>24.59</v>
      </c>
      <c r="C2237" s="9">
        <v>4.38</v>
      </c>
      <c r="D2237" s="9" t="s">
        <v>4684</v>
      </c>
      <c r="E2237" s="9" t="s">
        <v>4684</v>
      </c>
      <c r="F2237" s="9" t="s">
        <v>4684</v>
      </c>
      <c r="G2237" s="9">
        <v>1.0</v>
      </c>
      <c r="H2237" s="9" t="s">
        <v>4684</v>
      </c>
      <c r="I2237" s="9" t="str">
        <f t="shared" si="1"/>
        <v>No</v>
      </c>
      <c r="J2237" s="9">
        <f t="shared" si="2"/>
        <v>1</v>
      </c>
      <c r="K2237" s="9" t="str">
        <f t="shared" si="3"/>
        <v>NORMAL WEIGHT</v>
      </c>
    </row>
    <row r="2238" ht="15.75" customHeight="1">
      <c r="A2238" s="9" t="s">
        <v>4475</v>
      </c>
      <c r="B2238" s="9">
        <v>33.33</v>
      </c>
      <c r="C2238" s="9">
        <v>9.79</v>
      </c>
      <c r="D2238" s="9" t="s">
        <v>4684</v>
      </c>
      <c r="E2238" s="9" t="s">
        <v>4684</v>
      </c>
      <c r="F2238" s="9" t="s">
        <v>4684</v>
      </c>
      <c r="G2238" s="9" t="s">
        <v>4685</v>
      </c>
      <c r="H2238" s="9" t="s">
        <v>4684</v>
      </c>
      <c r="I2238" s="9" t="str">
        <f t="shared" si="1"/>
        <v>No</v>
      </c>
      <c r="J2238" s="9">
        <f t="shared" si="2"/>
        <v>0</v>
      </c>
      <c r="K2238" s="9" t="str">
        <f t="shared" si="3"/>
        <v>OBESITY</v>
      </c>
    </row>
    <row r="2239" ht="15.75" customHeight="1">
      <c r="A2239" s="9" t="s">
        <v>4477</v>
      </c>
      <c r="B2239" s="9">
        <v>18.5</v>
      </c>
      <c r="C2239" s="9">
        <v>11.84</v>
      </c>
      <c r="D2239" s="9" t="s">
        <v>4684</v>
      </c>
      <c r="E2239" s="9" t="s">
        <v>4684</v>
      </c>
      <c r="F2239" s="9" t="s">
        <v>4684</v>
      </c>
      <c r="G2239" s="9" t="s">
        <v>4685</v>
      </c>
      <c r="H2239" s="9" t="s">
        <v>4684</v>
      </c>
      <c r="I2239" s="9" t="str">
        <f t="shared" si="1"/>
        <v>No</v>
      </c>
      <c r="J2239" s="9">
        <f t="shared" si="2"/>
        <v>0</v>
      </c>
      <c r="K2239" s="9" t="str">
        <f t="shared" si="3"/>
        <v>NORMAL WEIGHT</v>
      </c>
    </row>
    <row r="2240" ht="15.75" customHeight="1">
      <c r="A2240" s="9" t="s">
        <v>4479</v>
      </c>
      <c r="B2240" s="9">
        <v>18.58</v>
      </c>
      <c r="C2240" s="9">
        <v>6.22</v>
      </c>
      <c r="D2240" s="9" t="s">
        <v>4684</v>
      </c>
      <c r="E2240" s="9" t="s">
        <v>4684</v>
      </c>
      <c r="F2240" s="9" t="s">
        <v>4684</v>
      </c>
      <c r="G2240" s="9" t="s">
        <v>4685</v>
      </c>
      <c r="H2240" s="9" t="s">
        <v>4684</v>
      </c>
      <c r="I2240" s="9" t="str">
        <f t="shared" si="1"/>
        <v>No</v>
      </c>
      <c r="J2240" s="9">
        <f t="shared" si="2"/>
        <v>0</v>
      </c>
      <c r="K2240" s="9" t="str">
        <f t="shared" si="3"/>
        <v>NORMAL WEIGHT</v>
      </c>
    </row>
    <row r="2241" ht="15.75" customHeight="1">
      <c r="A2241" s="9" t="s">
        <v>4481</v>
      </c>
      <c r="B2241" s="9">
        <v>16.64</v>
      </c>
      <c r="C2241" s="9">
        <v>10.01</v>
      </c>
      <c r="D2241" s="9" t="s">
        <v>4684</v>
      </c>
      <c r="E2241" s="9" t="s">
        <v>4684</v>
      </c>
      <c r="F2241" s="9" t="s">
        <v>4684</v>
      </c>
      <c r="G2241" s="9" t="s">
        <v>4685</v>
      </c>
      <c r="H2241" s="9" t="s">
        <v>4684</v>
      </c>
      <c r="I2241" s="9" t="str">
        <f t="shared" si="1"/>
        <v>No</v>
      </c>
      <c r="J2241" s="9">
        <f t="shared" si="2"/>
        <v>0</v>
      </c>
      <c r="K2241" s="9" t="str">
        <f t="shared" si="3"/>
        <v>UNDERWEIGHT</v>
      </c>
    </row>
    <row r="2242" ht="15.75" customHeight="1">
      <c r="A2242" s="9" t="s">
        <v>4483</v>
      </c>
      <c r="B2242" s="9">
        <v>19.33</v>
      </c>
      <c r="C2242" s="9">
        <v>4.32</v>
      </c>
      <c r="D2242" s="9" t="s">
        <v>4684</v>
      </c>
      <c r="E2242" s="9" t="s">
        <v>4684</v>
      </c>
      <c r="F2242" s="9" t="s">
        <v>4684</v>
      </c>
      <c r="G2242" s="9">
        <v>1.0</v>
      </c>
      <c r="H2242" s="9" t="s">
        <v>4684</v>
      </c>
      <c r="I2242" s="9" t="str">
        <f t="shared" si="1"/>
        <v>No</v>
      </c>
      <c r="J2242" s="9">
        <f t="shared" si="2"/>
        <v>1</v>
      </c>
      <c r="K2242" s="9" t="str">
        <f t="shared" si="3"/>
        <v>NORMAL WEIGHT</v>
      </c>
    </row>
    <row r="2243" ht="15.75" customHeight="1">
      <c r="A2243" s="9" t="s">
        <v>4485</v>
      </c>
      <c r="B2243" s="9">
        <v>21.26</v>
      </c>
      <c r="C2243" s="9">
        <v>5.65</v>
      </c>
      <c r="D2243" s="9" t="s">
        <v>4686</v>
      </c>
      <c r="E2243" s="9" t="s">
        <v>4684</v>
      </c>
      <c r="F2243" s="9" t="s">
        <v>4686</v>
      </c>
      <c r="G2243" s="9">
        <v>1.0</v>
      </c>
      <c r="H2243" s="9" t="s">
        <v>4684</v>
      </c>
      <c r="I2243" s="9" t="str">
        <f t="shared" si="1"/>
        <v>No</v>
      </c>
      <c r="J2243" s="9">
        <f t="shared" si="2"/>
        <v>1</v>
      </c>
      <c r="K2243" s="9" t="str">
        <f t="shared" si="3"/>
        <v>NORMAL WEIGHT</v>
      </c>
    </row>
    <row r="2244" ht="15.75" customHeight="1">
      <c r="A2244" s="9" t="s">
        <v>4487</v>
      </c>
      <c r="B2244" s="9">
        <v>15.6</v>
      </c>
      <c r="C2244" s="9">
        <v>4.12</v>
      </c>
      <c r="D2244" s="9" t="s">
        <v>4686</v>
      </c>
      <c r="E2244" s="9" t="s">
        <v>4684</v>
      </c>
      <c r="F2244" s="9" t="s">
        <v>4684</v>
      </c>
      <c r="G2244" s="9">
        <v>1.0</v>
      </c>
      <c r="H2244" s="9" t="s">
        <v>4684</v>
      </c>
      <c r="I2244" s="9" t="str">
        <f t="shared" si="1"/>
        <v>No</v>
      </c>
      <c r="J2244" s="9">
        <f t="shared" si="2"/>
        <v>1</v>
      </c>
      <c r="K2244" s="9" t="str">
        <f t="shared" si="3"/>
        <v>UNDERWEIGHT</v>
      </c>
    </row>
    <row r="2245" ht="15.75" customHeight="1">
      <c r="A2245" s="9" t="s">
        <v>4489</v>
      </c>
      <c r="B2245" s="9">
        <v>24.39</v>
      </c>
      <c r="C2245" s="9">
        <v>6.24</v>
      </c>
      <c r="D2245" s="9" t="s">
        <v>4684</v>
      </c>
      <c r="E2245" s="9" t="s">
        <v>4684</v>
      </c>
      <c r="F2245" s="9" t="s">
        <v>4684</v>
      </c>
      <c r="G2245" s="9">
        <v>1.0</v>
      </c>
      <c r="H2245" s="9" t="s">
        <v>4684</v>
      </c>
      <c r="I2245" s="9" t="str">
        <f t="shared" si="1"/>
        <v>No</v>
      </c>
      <c r="J2245" s="9">
        <f t="shared" si="2"/>
        <v>1</v>
      </c>
      <c r="K2245" s="9" t="str">
        <f t="shared" si="3"/>
        <v>NORMAL WEIGHT</v>
      </c>
    </row>
    <row r="2246" ht="15.75" customHeight="1">
      <c r="A2246" s="9" t="s">
        <v>4491</v>
      </c>
      <c r="B2246" s="9">
        <v>24.75</v>
      </c>
      <c r="C2246" s="9">
        <v>4.83</v>
      </c>
      <c r="D2246" s="9" t="s">
        <v>4684</v>
      </c>
      <c r="E2246" s="9" t="s">
        <v>4684</v>
      </c>
      <c r="F2246" s="9" t="s">
        <v>4684</v>
      </c>
      <c r="G2246" s="9" t="s">
        <v>4685</v>
      </c>
      <c r="H2246" s="9" t="s">
        <v>4684</v>
      </c>
      <c r="I2246" s="9" t="str">
        <f t="shared" si="1"/>
        <v>No</v>
      </c>
      <c r="J2246" s="9">
        <f t="shared" si="2"/>
        <v>0</v>
      </c>
      <c r="K2246" s="9" t="str">
        <f t="shared" si="3"/>
        <v>NORMAL WEIGHT</v>
      </c>
    </row>
    <row r="2247" ht="15.75" customHeight="1">
      <c r="A2247" s="9" t="s">
        <v>4493</v>
      </c>
      <c r="B2247" s="9">
        <v>20.88</v>
      </c>
      <c r="C2247" s="9">
        <v>7.4</v>
      </c>
      <c r="D2247" s="9" t="s">
        <v>4684</v>
      </c>
      <c r="E2247" s="9" t="s">
        <v>4684</v>
      </c>
      <c r="F2247" s="9" t="s">
        <v>4684</v>
      </c>
      <c r="G2247" s="9" t="s">
        <v>4685</v>
      </c>
      <c r="H2247" s="9" t="s">
        <v>4684</v>
      </c>
      <c r="I2247" s="9" t="str">
        <f t="shared" si="1"/>
        <v>No</v>
      </c>
      <c r="J2247" s="9">
        <f t="shared" si="2"/>
        <v>0</v>
      </c>
      <c r="K2247" s="9" t="str">
        <f t="shared" si="3"/>
        <v>NORMAL WEIGHT</v>
      </c>
    </row>
    <row r="2248" ht="15.75" customHeight="1">
      <c r="A2248" s="9" t="s">
        <v>4495</v>
      </c>
      <c r="B2248" s="9">
        <v>20.43</v>
      </c>
      <c r="C2248" s="9">
        <v>4.54</v>
      </c>
      <c r="D2248" s="9" t="s">
        <v>4684</v>
      </c>
      <c r="E2248" s="9" t="s">
        <v>4684</v>
      </c>
      <c r="F2248" s="9" t="s">
        <v>4684</v>
      </c>
      <c r="G2248" s="9" t="s">
        <v>4685</v>
      </c>
      <c r="H2248" s="9" t="s">
        <v>4684</v>
      </c>
      <c r="I2248" s="9" t="str">
        <f t="shared" si="1"/>
        <v>No</v>
      </c>
      <c r="J2248" s="9">
        <f t="shared" si="2"/>
        <v>0</v>
      </c>
      <c r="K2248" s="9" t="str">
        <f t="shared" si="3"/>
        <v>NORMAL WEIGHT</v>
      </c>
    </row>
    <row r="2249" ht="15.75" customHeight="1">
      <c r="A2249" s="9" t="s">
        <v>4497</v>
      </c>
      <c r="B2249" s="9">
        <v>15.18</v>
      </c>
      <c r="C2249" s="9">
        <v>11.11</v>
      </c>
      <c r="D2249" s="9" t="s">
        <v>4684</v>
      </c>
      <c r="E2249" s="9" t="s">
        <v>4684</v>
      </c>
      <c r="F2249" s="9" t="s">
        <v>4684</v>
      </c>
      <c r="G2249" s="9" t="s">
        <v>4685</v>
      </c>
      <c r="H2249" s="9" t="s">
        <v>4684</v>
      </c>
      <c r="I2249" s="9" t="str">
        <f t="shared" si="1"/>
        <v>No</v>
      </c>
      <c r="J2249" s="9">
        <f t="shared" si="2"/>
        <v>0</v>
      </c>
      <c r="K2249" s="9" t="str">
        <f t="shared" si="3"/>
        <v>UNDERWEIGHT</v>
      </c>
    </row>
    <row r="2250" ht="15.75" customHeight="1">
      <c r="A2250" s="9" t="s">
        <v>4499</v>
      </c>
      <c r="B2250" s="9">
        <v>15.12</v>
      </c>
      <c r="C2250" s="9">
        <v>4.03</v>
      </c>
      <c r="D2250" s="9" t="s">
        <v>4686</v>
      </c>
      <c r="E2250" s="9" t="s">
        <v>4684</v>
      </c>
      <c r="F2250" s="9" t="s">
        <v>4684</v>
      </c>
      <c r="G2250" s="9" t="s">
        <v>4685</v>
      </c>
      <c r="H2250" s="9" t="s">
        <v>4684</v>
      </c>
      <c r="I2250" s="9" t="str">
        <f t="shared" si="1"/>
        <v>No</v>
      </c>
      <c r="J2250" s="9">
        <f t="shared" si="2"/>
        <v>0</v>
      </c>
      <c r="K2250" s="9" t="str">
        <f t="shared" si="3"/>
        <v>UNDERWEIGHT</v>
      </c>
    </row>
    <row r="2251" ht="15.75" customHeight="1">
      <c r="A2251" s="9" t="s">
        <v>4501</v>
      </c>
      <c r="B2251" s="9">
        <v>23.88</v>
      </c>
      <c r="C2251" s="9">
        <v>4.51</v>
      </c>
      <c r="D2251" s="9" t="s">
        <v>4684</v>
      </c>
      <c r="E2251" s="9" t="s">
        <v>4684</v>
      </c>
      <c r="F2251" s="9" t="s">
        <v>4684</v>
      </c>
      <c r="G2251" s="9">
        <v>1.0</v>
      </c>
      <c r="H2251" s="9" t="s">
        <v>4684</v>
      </c>
      <c r="I2251" s="9" t="str">
        <f t="shared" si="1"/>
        <v>No</v>
      </c>
      <c r="J2251" s="9">
        <f t="shared" si="2"/>
        <v>1</v>
      </c>
      <c r="K2251" s="9" t="str">
        <f t="shared" si="3"/>
        <v>NORMAL WEIGHT</v>
      </c>
    </row>
    <row r="2252" ht="15.75" customHeight="1">
      <c r="A2252" s="9" t="s">
        <v>4503</v>
      </c>
      <c r="B2252" s="9">
        <v>16.13</v>
      </c>
      <c r="C2252" s="9">
        <v>5.56</v>
      </c>
      <c r="D2252" s="9" t="s">
        <v>4684</v>
      </c>
      <c r="E2252" s="9" t="s">
        <v>4686</v>
      </c>
      <c r="F2252" s="9" t="s">
        <v>4684</v>
      </c>
      <c r="G2252" s="9">
        <v>1.0</v>
      </c>
      <c r="H2252" s="9" t="s">
        <v>4684</v>
      </c>
      <c r="I2252" s="9" t="str">
        <f t="shared" si="1"/>
        <v>No</v>
      </c>
      <c r="J2252" s="9">
        <f t="shared" si="2"/>
        <v>1</v>
      </c>
      <c r="K2252" s="9" t="str">
        <f t="shared" si="3"/>
        <v>UNDERWEIGHT</v>
      </c>
    </row>
    <row r="2253" ht="15.75" customHeight="1">
      <c r="A2253" s="9" t="s">
        <v>4505</v>
      </c>
      <c r="B2253" s="9">
        <v>24.09</v>
      </c>
      <c r="C2253" s="9">
        <v>4.1</v>
      </c>
      <c r="D2253" s="9" t="s">
        <v>4684</v>
      </c>
      <c r="E2253" s="9" t="s">
        <v>4686</v>
      </c>
      <c r="F2253" s="9" t="s">
        <v>4684</v>
      </c>
      <c r="G2253" s="9">
        <v>1.0</v>
      </c>
      <c r="H2253" s="9" t="s">
        <v>4684</v>
      </c>
      <c r="I2253" s="9" t="str">
        <f t="shared" si="1"/>
        <v>No</v>
      </c>
      <c r="J2253" s="9">
        <f t="shared" si="2"/>
        <v>1</v>
      </c>
      <c r="K2253" s="9" t="str">
        <f t="shared" si="3"/>
        <v>NORMAL WEIGHT</v>
      </c>
    </row>
    <row r="2254" ht="15.75" customHeight="1">
      <c r="A2254" s="9" t="s">
        <v>4507</v>
      </c>
      <c r="B2254" s="9">
        <v>19.43</v>
      </c>
      <c r="C2254" s="9">
        <v>5.85</v>
      </c>
      <c r="D2254" s="9" t="s">
        <v>4684</v>
      </c>
      <c r="E2254" s="9" t="s">
        <v>4686</v>
      </c>
      <c r="F2254" s="9" t="s">
        <v>4684</v>
      </c>
      <c r="G2254" s="9">
        <v>1.0</v>
      </c>
      <c r="H2254" s="9" t="s">
        <v>4684</v>
      </c>
      <c r="I2254" s="9" t="str">
        <f t="shared" si="1"/>
        <v>No</v>
      </c>
      <c r="J2254" s="9">
        <f t="shared" si="2"/>
        <v>1</v>
      </c>
      <c r="K2254" s="9" t="str">
        <f t="shared" si="3"/>
        <v>NORMAL WEIGHT</v>
      </c>
    </row>
    <row r="2255" ht="15.75" customHeight="1">
      <c r="A2255" s="9" t="s">
        <v>4509</v>
      </c>
      <c r="B2255" s="9">
        <v>15.22</v>
      </c>
      <c r="C2255" s="9">
        <v>4.92</v>
      </c>
      <c r="D2255" s="9" t="s">
        <v>4686</v>
      </c>
      <c r="E2255" s="9" t="s">
        <v>4684</v>
      </c>
      <c r="F2255" s="9" t="s">
        <v>4686</v>
      </c>
      <c r="G2255" s="9">
        <v>1.0</v>
      </c>
      <c r="H2255" s="9" t="s">
        <v>4684</v>
      </c>
      <c r="I2255" s="9" t="str">
        <f t="shared" si="1"/>
        <v>No</v>
      </c>
      <c r="J2255" s="9">
        <f t="shared" si="2"/>
        <v>1</v>
      </c>
      <c r="K2255" s="9" t="str">
        <f t="shared" si="3"/>
        <v>UNDERWEIGHT</v>
      </c>
    </row>
    <row r="2256" ht="15.75" customHeight="1">
      <c r="A2256" s="9" t="s">
        <v>4511</v>
      </c>
      <c r="B2256" s="9">
        <v>20.72</v>
      </c>
      <c r="C2256" s="9">
        <v>9.46</v>
      </c>
      <c r="D2256" s="9" t="s">
        <v>4684</v>
      </c>
      <c r="E2256" s="9" t="s">
        <v>4684</v>
      </c>
      <c r="F2256" s="9" t="s">
        <v>4684</v>
      </c>
      <c r="G2256" s="9" t="s">
        <v>4685</v>
      </c>
      <c r="H2256" s="9" t="s">
        <v>4684</v>
      </c>
      <c r="I2256" s="9" t="str">
        <f t="shared" si="1"/>
        <v>No</v>
      </c>
      <c r="J2256" s="9">
        <f t="shared" si="2"/>
        <v>0</v>
      </c>
      <c r="K2256" s="9" t="str">
        <f t="shared" si="3"/>
        <v>NORMAL WEIGHT</v>
      </c>
    </row>
    <row r="2257" ht="15.75" customHeight="1">
      <c r="A2257" s="9" t="s">
        <v>4513</v>
      </c>
      <c r="B2257" s="9">
        <v>35.4</v>
      </c>
      <c r="C2257" s="9">
        <v>5.94</v>
      </c>
      <c r="D2257" s="9" t="s">
        <v>4684</v>
      </c>
      <c r="E2257" s="9" t="s">
        <v>4684</v>
      </c>
      <c r="F2257" s="9" t="s">
        <v>4686</v>
      </c>
      <c r="G2257" s="9">
        <v>1.0</v>
      </c>
      <c r="H2257" s="9" t="s">
        <v>4684</v>
      </c>
      <c r="I2257" s="9" t="str">
        <f t="shared" si="1"/>
        <v>No</v>
      </c>
      <c r="J2257" s="9">
        <f t="shared" si="2"/>
        <v>1</v>
      </c>
      <c r="K2257" s="9" t="str">
        <f t="shared" si="3"/>
        <v>OBESITY</v>
      </c>
    </row>
    <row r="2258" ht="15.75" customHeight="1">
      <c r="A2258" s="9" t="s">
        <v>4515</v>
      </c>
      <c r="B2258" s="9">
        <v>34.4</v>
      </c>
      <c r="C2258" s="9">
        <v>5.7</v>
      </c>
      <c r="D2258" s="9" t="s">
        <v>4684</v>
      </c>
      <c r="E2258" s="9" t="s">
        <v>4684</v>
      </c>
      <c r="F2258" s="9" t="s">
        <v>4686</v>
      </c>
      <c r="G2258" s="9">
        <v>1.0</v>
      </c>
      <c r="H2258" s="9" t="s">
        <v>4684</v>
      </c>
      <c r="I2258" s="9" t="str">
        <f t="shared" si="1"/>
        <v>No</v>
      </c>
      <c r="J2258" s="9">
        <f t="shared" si="2"/>
        <v>1</v>
      </c>
      <c r="K2258" s="9" t="str">
        <f t="shared" si="3"/>
        <v>OBESITY</v>
      </c>
    </row>
    <row r="2259" ht="15.75" customHeight="1">
      <c r="A2259" s="9" t="s">
        <v>4517</v>
      </c>
      <c r="B2259" s="9">
        <v>34.1</v>
      </c>
      <c r="C2259" s="9">
        <v>4.13</v>
      </c>
      <c r="D2259" s="9" t="s">
        <v>4684</v>
      </c>
      <c r="E2259" s="9" t="s">
        <v>4684</v>
      </c>
      <c r="F2259" s="9" t="s">
        <v>4686</v>
      </c>
      <c r="G2259" s="9">
        <v>1.0</v>
      </c>
      <c r="H2259" s="9" t="s">
        <v>4684</v>
      </c>
      <c r="I2259" s="9" t="str">
        <f t="shared" si="1"/>
        <v>No</v>
      </c>
      <c r="J2259" s="9">
        <f t="shared" si="2"/>
        <v>1</v>
      </c>
      <c r="K2259" s="9" t="str">
        <f t="shared" si="3"/>
        <v>OBESITY</v>
      </c>
    </row>
    <row r="2260" ht="15.75" customHeight="1">
      <c r="A2260" s="9" t="s">
        <v>4519</v>
      </c>
      <c r="B2260" s="9">
        <v>30.4</v>
      </c>
      <c r="C2260" s="9">
        <v>4.77</v>
      </c>
      <c r="D2260" s="9" t="s">
        <v>4684</v>
      </c>
      <c r="E2260" s="9" t="s">
        <v>4684</v>
      </c>
      <c r="F2260" s="9" t="s">
        <v>4686</v>
      </c>
      <c r="G2260" s="9">
        <v>1.0</v>
      </c>
      <c r="H2260" s="9" t="s">
        <v>4684</v>
      </c>
      <c r="I2260" s="9" t="str">
        <f t="shared" si="1"/>
        <v>No</v>
      </c>
      <c r="J2260" s="9">
        <f t="shared" si="2"/>
        <v>1</v>
      </c>
      <c r="K2260" s="9" t="str">
        <f t="shared" si="3"/>
        <v>OBESITY</v>
      </c>
    </row>
    <row r="2261" ht="15.75" customHeight="1">
      <c r="A2261" s="9" t="s">
        <v>4521</v>
      </c>
      <c r="B2261" s="9">
        <v>28.7</v>
      </c>
      <c r="C2261" s="9">
        <v>4.99</v>
      </c>
      <c r="D2261" s="9" t="s">
        <v>4684</v>
      </c>
      <c r="E2261" s="9" t="s">
        <v>4684</v>
      </c>
      <c r="F2261" s="9" t="s">
        <v>4686</v>
      </c>
      <c r="G2261" s="9">
        <v>1.0</v>
      </c>
      <c r="H2261" s="9" t="s">
        <v>4684</v>
      </c>
      <c r="I2261" s="9" t="str">
        <f t="shared" si="1"/>
        <v>No</v>
      </c>
      <c r="J2261" s="9">
        <f t="shared" si="2"/>
        <v>1</v>
      </c>
      <c r="K2261" s="9" t="str">
        <f t="shared" si="3"/>
        <v>OVERWEIGHT</v>
      </c>
    </row>
    <row r="2262" ht="15.75" customHeight="1">
      <c r="A2262" s="9" t="s">
        <v>4523</v>
      </c>
      <c r="B2262" s="9">
        <v>17.44</v>
      </c>
      <c r="C2262" s="9">
        <v>4.42</v>
      </c>
      <c r="D2262" s="9" t="s">
        <v>4686</v>
      </c>
      <c r="E2262" s="9" t="s">
        <v>4684</v>
      </c>
      <c r="F2262" s="9" t="s">
        <v>4686</v>
      </c>
      <c r="G2262" s="9">
        <v>1.0</v>
      </c>
      <c r="H2262" s="9" t="s">
        <v>4684</v>
      </c>
      <c r="I2262" s="9" t="str">
        <f t="shared" si="1"/>
        <v>No</v>
      </c>
      <c r="J2262" s="9">
        <f t="shared" si="2"/>
        <v>1</v>
      </c>
      <c r="K2262" s="9" t="str">
        <f t="shared" si="3"/>
        <v>UNDERWEIGHT</v>
      </c>
    </row>
    <row r="2263" ht="15.75" customHeight="1">
      <c r="A2263" s="9" t="s">
        <v>4525</v>
      </c>
      <c r="B2263" s="9">
        <v>27.6</v>
      </c>
      <c r="C2263" s="9">
        <v>4.01</v>
      </c>
      <c r="D2263" s="9" t="s">
        <v>4684</v>
      </c>
      <c r="E2263" s="9" t="s">
        <v>4684</v>
      </c>
      <c r="F2263" s="9" t="s">
        <v>4686</v>
      </c>
      <c r="G2263" s="9">
        <v>1.0</v>
      </c>
      <c r="H2263" s="9" t="s">
        <v>4684</v>
      </c>
      <c r="I2263" s="9" t="str">
        <f t="shared" si="1"/>
        <v>No</v>
      </c>
      <c r="J2263" s="9">
        <f t="shared" si="2"/>
        <v>1</v>
      </c>
      <c r="K2263" s="9" t="str">
        <f t="shared" si="3"/>
        <v>OVERWEIGHT</v>
      </c>
    </row>
    <row r="2264" ht="15.75" customHeight="1">
      <c r="A2264" s="9" t="s">
        <v>4527</v>
      </c>
      <c r="B2264" s="9">
        <v>20.7</v>
      </c>
      <c r="C2264" s="9">
        <v>4.49</v>
      </c>
      <c r="D2264" s="9" t="s">
        <v>4684</v>
      </c>
      <c r="E2264" s="9" t="s">
        <v>4684</v>
      </c>
      <c r="F2264" s="9" t="s">
        <v>4686</v>
      </c>
      <c r="G2264" s="9">
        <v>1.0</v>
      </c>
      <c r="H2264" s="9" t="s">
        <v>4684</v>
      </c>
      <c r="I2264" s="9" t="str">
        <f t="shared" si="1"/>
        <v>No</v>
      </c>
      <c r="J2264" s="9">
        <f t="shared" si="2"/>
        <v>1</v>
      </c>
      <c r="K2264" s="9" t="str">
        <f t="shared" si="3"/>
        <v>NORMAL WEIGHT</v>
      </c>
    </row>
    <row r="2265" ht="15.75" customHeight="1">
      <c r="A2265" s="9" t="s">
        <v>4529</v>
      </c>
      <c r="B2265" s="9">
        <v>20.3</v>
      </c>
      <c r="C2265" s="9">
        <v>6.37</v>
      </c>
      <c r="D2265" s="9" t="s">
        <v>4684</v>
      </c>
      <c r="E2265" s="9" t="s">
        <v>4684</v>
      </c>
      <c r="F2265" s="9" t="s">
        <v>4686</v>
      </c>
      <c r="G2265" s="9">
        <v>1.0</v>
      </c>
      <c r="H2265" s="9" t="s">
        <v>4684</v>
      </c>
      <c r="I2265" s="9" t="str">
        <f t="shared" si="1"/>
        <v>No</v>
      </c>
      <c r="J2265" s="9">
        <f t="shared" si="2"/>
        <v>1</v>
      </c>
      <c r="K2265" s="9" t="str">
        <f t="shared" si="3"/>
        <v>NORMAL WEIGHT</v>
      </c>
    </row>
    <row r="2266" ht="15.75" customHeight="1">
      <c r="A2266" s="9" t="s">
        <v>4531</v>
      </c>
      <c r="B2266" s="9">
        <v>19.8</v>
      </c>
      <c r="C2266" s="9">
        <v>5.12</v>
      </c>
      <c r="D2266" s="9" t="s">
        <v>4684</v>
      </c>
      <c r="E2266" s="9" t="s">
        <v>4684</v>
      </c>
      <c r="F2266" s="9" t="s">
        <v>4686</v>
      </c>
      <c r="G2266" s="9">
        <v>1.0</v>
      </c>
      <c r="H2266" s="9" t="s">
        <v>4684</v>
      </c>
      <c r="I2266" s="9" t="str">
        <f t="shared" si="1"/>
        <v>No</v>
      </c>
      <c r="J2266" s="9">
        <f t="shared" si="2"/>
        <v>1</v>
      </c>
      <c r="K2266" s="9" t="str">
        <f t="shared" si="3"/>
        <v>NORMAL WEIGHT</v>
      </c>
    </row>
    <row r="2267" ht="15.75" customHeight="1">
      <c r="A2267" s="9" t="s">
        <v>4533</v>
      </c>
      <c r="B2267" s="9">
        <v>21.87</v>
      </c>
      <c r="C2267" s="9">
        <v>8.59</v>
      </c>
      <c r="D2267" s="9" t="s">
        <v>4684</v>
      </c>
      <c r="E2267" s="9" t="s">
        <v>4684</v>
      </c>
      <c r="F2267" s="9" t="s">
        <v>4684</v>
      </c>
      <c r="G2267" s="9" t="s">
        <v>4685</v>
      </c>
      <c r="H2267" s="9" t="s">
        <v>4684</v>
      </c>
      <c r="I2267" s="9" t="str">
        <f t="shared" si="1"/>
        <v>No</v>
      </c>
      <c r="J2267" s="9">
        <f t="shared" si="2"/>
        <v>0</v>
      </c>
      <c r="K2267" s="9" t="str">
        <f t="shared" si="3"/>
        <v>NORMAL WEIGHT</v>
      </c>
    </row>
    <row r="2268" ht="15.75" customHeight="1">
      <c r="A2268" s="9" t="s">
        <v>4535</v>
      </c>
      <c r="B2268" s="9">
        <v>16.6</v>
      </c>
      <c r="C2268" s="9">
        <v>5.87</v>
      </c>
      <c r="D2268" s="9" t="s">
        <v>4684</v>
      </c>
      <c r="E2268" s="9" t="s">
        <v>4684</v>
      </c>
      <c r="F2268" s="9" t="s">
        <v>4684</v>
      </c>
      <c r="G2268" s="9">
        <v>1.0</v>
      </c>
      <c r="H2268" s="9" t="s">
        <v>4684</v>
      </c>
      <c r="I2268" s="9" t="str">
        <f t="shared" si="1"/>
        <v>No</v>
      </c>
      <c r="J2268" s="9">
        <f t="shared" si="2"/>
        <v>1</v>
      </c>
      <c r="K2268" s="9" t="str">
        <f t="shared" si="3"/>
        <v>UNDERWEIGHT</v>
      </c>
    </row>
    <row r="2269" ht="15.75" customHeight="1">
      <c r="A2269" s="9" t="s">
        <v>4537</v>
      </c>
      <c r="B2269" s="9">
        <v>21.98</v>
      </c>
      <c r="C2269" s="9">
        <v>7.03</v>
      </c>
      <c r="D2269" s="9" t="s">
        <v>4684</v>
      </c>
      <c r="E2269" s="9" t="s">
        <v>4684</v>
      </c>
      <c r="F2269" s="9" t="s">
        <v>4684</v>
      </c>
      <c r="G2269" s="9" t="s">
        <v>4685</v>
      </c>
      <c r="H2269" s="9" t="s">
        <v>4684</v>
      </c>
      <c r="I2269" s="9" t="str">
        <f t="shared" si="1"/>
        <v>No</v>
      </c>
      <c r="J2269" s="9">
        <f t="shared" si="2"/>
        <v>0</v>
      </c>
      <c r="K2269" s="9" t="str">
        <f t="shared" si="3"/>
        <v>NORMAL WEIGHT</v>
      </c>
    </row>
    <row r="2270" ht="15.75" customHeight="1">
      <c r="A2270" s="9" t="s">
        <v>4539</v>
      </c>
      <c r="B2270" s="9">
        <v>19.7</v>
      </c>
      <c r="C2270" s="9">
        <v>5.51</v>
      </c>
      <c r="D2270" s="9" t="s">
        <v>4684</v>
      </c>
      <c r="E2270" s="9" t="s">
        <v>4684</v>
      </c>
      <c r="F2270" s="9" t="s">
        <v>4684</v>
      </c>
      <c r="G2270" s="9">
        <v>1.0</v>
      </c>
      <c r="H2270" s="9" t="s">
        <v>4684</v>
      </c>
      <c r="I2270" s="9" t="str">
        <f t="shared" si="1"/>
        <v>No</v>
      </c>
      <c r="J2270" s="9">
        <f t="shared" si="2"/>
        <v>1</v>
      </c>
      <c r="K2270" s="9" t="str">
        <f t="shared" si="3"/>
        <v>NORMAL WEIGHT</v>
      </c>
    </row>
    <row r="2271" ht="15.75" customHeight="1">
      <c r="A2271" s="9" t="s">
        <v>4541</v>
      </c>
      <c r="B2271" s="9">
        <v>19.21</v>
      </c>
      <c r="C2271" s="9">
        <v>4.76</v>
      </c>
      <c r="D2271" s="9" t="s">
        <v>4684</v>
      </c>
      <c r="E2271" s="9" t="s">
        <v>4686</v>
      </c>
      <c r="F2271" s="9" t="s">
        <v>4684</v>
      </c>
      <c r="G2271" s="9">
        <v>1.0</v>
      </c>
      <c r="H2271" s="9" t="s">
        <v>4684</v>
      </c>
      <c r="I2271" s="9" t="str">
        <f t="shared" si="1"/>
        <v>No</v>
      </c>
      <c r="J2271" s="9">
        <f t="shared" si="2"/>
        <v>1</v>
      </c>
      <c r="K2271" s="9" t="str">
        <f t="shared" si="3"/>
        <v>NORMAL WEIGHT</v>
      </c>
    </row>
    <row r="2272" ht="15.75" customHeight="1">
      <c r="A2272" s="9" t="s">
        <v>4543</v>
      </c>
      <c r="B2272" s="9">
        <v>19.3</v>
      </c>
      <c r="C2272" s="9">
        <v>4.7</v>
      </c>
      <c r="D2272" s="9" t="s">
        <v>4684</v>
      </c>
      <c r="E2272" s="9" t="s">
        <v>4686</v>
      </c>
      <c r="F2272" s="9" t="s">
        <v>4684</v>
      </c>
      <c r="G2272" s="9">
        <v>1.0</v>
      </c>
      <c r="H2272" s="9" t="s">
        <v>4684</v>
      </c>
      <c r="I2272" s="9" t="str">
        <f t="shared" si="1"/>
        <v>No</v>
      </c>
      <c r="J2272" s="9">
        <f t="shared" si="2"/>
        <v>1</v>
      </c>
      <c r="K2272" s="9" t="str">
        <f t="shared" si="3"/>
        <v>NORMAL WEIGHT</v>
      </c>
    </row>
    <row r="2273" ht="15.75" customHeight="1">
      <c r="A2273" s="9" t="s">
        <v>4545</v>
      </c>
      <c r="B2273" s="9">
        <v>16.22</v>
      </c>
      <c r="C2273" s="9">
        <v>6.21</v>
      </c>
      <c r="D2273" s="9" t="s">
        <v>4686</v>
      </c>
      <c r="E2273" s="9" t="s">
        <v>4684</v>
      </c>
      <c r="F2273" s="9" t="s">
        <v>4684</v>
      </c>
      <c r="G2273" s="9" t="s">
        <v>4685</v>
      </c>
      <c r="H2273" s="9" t="s">
        <v>4684</v>
      </c>
      <c r="I2273" s="9" t="str">
        <f t="shared" si="1"/>
        <v>No</v>
      </c>
      <c r="J2273" s="9">
        <f t="shared" si="2"/>
        <v>0</v>
      </c>
      <c r="K2273" s="9" t="str">
        <f t="shared" si="3"/>
        <v>UNDERWEIGHT</v>
      </c>
    </row>
    <row r="2274" ht="15.75" customHeight="1">
      <c r="A2274" s="9" t="s">
        <v>4547</v>
      </c>
      <c r="B2274" s="9">
        <v>17.12</v>
      </c>
      <c r="C2274" s="9">
        <v>4.52</v>
      </c>
      <c r="D2274" s="9" t="s">
        <v>4684</v>
      </c>
      <c r="E2274" s="9" t="s">
        <v>4686</v>
      </c>
      <c r="F2274" s="9" t="s">
        <v>4684</v>
      </c>
      <c r="G2274" s="9">
        <v>1.0</v>
      </c>
      <c r="H2274" s="9" t="s">
        <v>4684</v>
      </c>
      <c r="I2274" s="9" t="str">
        <f t="shared" si="1"/>
        <v>No</v>
      </c>
      <c r="J2274" s="9">
        <f t="shared" si="2"/>
        <v>1</v>
      </c>
      <c r="K2274" s="9" t="str">
        <f t="shared" si="3"/>
        <v>UNDERWEIGHT</v>
      </c>
    </row>
    <row r="2275" ht="15.75" customHeight="1">
      <c r="A2275" s="9" t="s">
        <v>4549</v>
      </c>
      <c r="B2275" s="9">
        <v>19.07</v>
      </c>
      <c r="C2275" s="9">
        <v>5.45</v>
      </c>
      <c r="D2275" s="9" t="s">
        <v>4684</v>
      </c>
      <c r="E2275" s="9" t="s">
        <v>4684</v>
      </c>
      <c r="F2275" s="9" t="s">
        <v>4684</v>
      </c>
      <c r="G2275" s="9">
        <v>1.0</v>
      </c>
      <c r="H2275" s="9" t="s">
        <v>4684</v>
      </c>
      <c r="I2275" s="9" t="str">
        <f t="shared" si="1"/>
        <v>No</v>
      </c>
      <c r="J2275" s="9">
        <f t="shared" si="2"/>
        <v>1</v>
      </c>
      <c r="K2275" s="9" t="str">
        <f t="shared" si="3"/>
        <v>NORMAL WEIGHT</v>
      </c>
    </row>
    <row r="2276" ht="15.75" customHeight="1">
      <c r="A2276" s="9" t="s">
        <v>4551</v>
      </c>
      <c r="B2276" s="9">
        <v>15.56</v>
      </c>
      <c r="C2276" s="9">
        <v>4.42</v>
      </c>
      <c r="D2276" s="9" t="s">
        <v>4684</v>
      </c>
      <c r="E2276" s="9" t="s">
        <v>4684</v>
      </c>
      <c r="F2276" s="9" t="s">
        <v>4684</v>
      </c>
      <c r="G2276" s="9" t="s">
        <v>4685</v>
      </c>
      <c r="H2276" s="9" t="s">
        <v>4684</v>
      </c>
      <c r="I2276" s="9" t="str">
        <f t="shared" si="1"/>
        <v>No</v>
      </c>
      <c r="J2276" s="9">
        <f t="shared" si="2"/>
        <v>0</v>
      </c>
      <c r="K2276" s="9" t="str">
        <f t="shared" si="3"/>
        <v>UNDERWEIGHT</v>
      </c>
    </row>
    <row r="2277" ht="15.75" customHeight="1">
      <c r="A2277" s="9" t="s">
        <v>4553</v>
      </c>
      <c r="B2277" s="9">
        <v>22.76</v>
      </c>
      <c r="C2277" s="9">
        <v>9.44</v>
      </c>
      <c r="D2277" s="9" t="s">
        <v>4684</v>
      </c>
      <c r="E2277" s="9" t="s">
        <v>4684</v>
      </c>
      <c r="F2277" s="9" t="s">
        <v>4684</v>
      </c>
      <c r="G2277" s="9" t="s">
        <v>4685</v>
      </c>
      <c r="H2277" s="9" t="s">
        <v>4684</v>
      </c>
      <c r="I2277" s="9" t="str">
        <f t="shared" si="1"/>
        <v>No</v>
      </c>
      <c r="J2277" s="9">
        <f t="shared" si="2"/>
        <v>0</v>
      </c>
      <c r="K2277" s="9" t="str">
        <f t="shared" si="3"/>
        <v>NORMAL WEIGHT</v>
      </c>
    </row>
    <row r="2278" ht="15.75" customHeight="1">
      <c r="A2278" s="9" t="s">
        <v>4555</v>
      </c>
      <c r="B2278" s="9">
        <v>22.79</v>
      </c>
      <c r="C2278" s="9">
        <v>6.15</v>
      </c>
      <c r="D2278" s="9" t="s">
        <v>4686</v>
      </c>
      <c r="E2278" s="9" t="s">
        <v>4684</v>
      </c>
      <c r="F2278" s="9" t="s">
        <v>4686</v>
      </c>
      <c r="G2278" s="9">
        <v>1.0</v>
      </c>
      <c r="H2278" s="9" t="s">
        <v>4684</v>
      </c>
      <c r="I2278" s="9" t="str">
        <f t="shared" si="1"/>
        <v>No</v>
      </c>
      <c r="J2278" s="9">
        <f t="shared" si="2"/>
        <v>1</v>
      </c>
      <c r="K2278" s="9" t="str">
        <f t="shared" si="3"/>
        <v>NORMAL WEIGHT</v>
      </c>
    </row>
    <row r="2279" ht="15.75" customHeight="1">
      <c r="A2279" s="9" t="s">
        <v>4557</v>
      </c>
      <c r="B2279" s="9">
        <v>17.41</v>
      </c>
      <c r="C2279" s="9">
        <v>5.13</v>
      </c>
      <c r="D2279" s="9" t="s">
        <v>4686</v>
      </c>
      <c r="E2279" s="9" t="s">
        <v>4684</v>
      </c>
      <c r="F2279" s="9" t="s">
        <v>4684</v>
      </c>
      <c r="G2279" s="9" t="s">
        <v>4685</v>
      </c>
      <c r="H2279" s="9" t="s">
        <v>4684</v>
      </c>
      <c r="I2279" s="9" t="str">
        <f t="shared" si="1"/>
        <v>No</v>
      </c>
      <c r="J2279" s="9">
        <f t="shared" si="2"/>
        <v>0</v>
      </c>
      <c r="K2279" s="9" t="str">
        <f t="shared" si="3"/>
        <v>UNDERWEIGHT</v>
      </c>
    </row>
    <row r="2280" ht="15.75" customHeight="1">
      <c r="A2280" s="9" t="s">
        <v>4559</v>
      </c>
      <c r="B2280" s="9">
        <v>19.32</v>
      </c>
      <c r="C2280" s="9">
        <v>4.96</v>
      </c>
      <c r="D2280" s="9" t="s">
        <v>4686</v>
      </c>
      <c r="E2280" s="9" t="s">
        <v>4684</v>
      </c>
      <c r="F2280" s="9" t="s">
        <v>4684</v>
      </c>
      <c r="G2280" s="9" t="s">
        <v>4685</v>
      </c>
      <c r="H2280" s="9" t="s">
        <v>4684</v>
      </c>
      <c r="I2280" s="9" t="str">
        <f t="shared" si="1"/>
        <v>No</v>
      </c>
      <c r="J2280" s="9">
        <f t="shared" si="2"/>
        <v>0</v>
      </c>
      <c r="K2280" s="9" t="str">
        <f t="shared" si="3"/>
        <v>NORMAL WEIGHT</v>
      </c>
    </row>
    <row r="2281" ht="15.75" customHeight="1">
      <c r="A2281" s="9" t="s">
        <v>4561</v>
      </c>
      <c r="B2281" s="9">
        <v>18.25</v>
      </c>
      <c r="C2281" s="9">
        <v>10.95</v>
      </c>
      <c r="D2281" s="9" t="s">
        <v>4684</v>
      </c>
      <c r="E2281" s="9" t="s">
        <v>4684</v>
      </c>
      <c r="F2281" s="9" t="s">
        <v>4684</v>
      </c>
      <c r="G2281" s="9" t="s">
        <v>4685</v>
      </c>
      <c r="H2281" s="9" t="s">
        <v>4684</v>
      </c>
      <c r="I2281" s="9" t="str">
        <f t="shared" si="1"/>
        <v>No</v>
      </c>
      <c r="J2281" s="9">
        <f t="shared" si="2"/>
        <v>0</v>
      </c>
      <c r="K2281" s="9" t="str">
        <f t="shared" si="3"/>
        <v>UNDERWEIGHT</v>
      </c>
    </row>
    <row r="2282" ht="15.75" customHeight="1">
      <c r="A2282" s="9" t="s">
        <v>4563</v>
      </c>
      <c r="B2282" s="9">
        <v>53.13</v>
      </c>
      <c r="C2282" s="9">
        <v>4.44</v>
      </c>
      <c r="D2282" s="9" t="s">
        <v>4684</v>
      </c>
      <c r="E2282" s="9" t="s">
        <v>4686</v>
      </c>
      <c r="F2282" s="9" t="s">
        <v>4684</v>
      </c>
      <c r="G2282" s="9">
        <v>1.0</v>
      </c>
      <c r="H2282" s="9" t="s">
        <v>4684</v>
      </c>
      <c r="I2282" s="9" t="str">
        <f t="shared" si="1"/>
        <v>No</v>
      </c>
      <c r="J2282" s="9">
        <f t="shared" si="2"/>
        <v>1</v>
      </c>
      <c r="K2282" s="9" t="str">
        <f t="shared" si="3"/>
        <v>OBESITY</v>
      </c>
    </row>
    <row r="2283" ht="15.75" customHeight="1">
      <c r="A2283" s="9" t="s">
        <v>4565</v>
      </c>
      <c r="B2283" s="9">
        <v>20.46</v>
      </c>
      <c r="C2283" s="9">
        <v>4.02</v>
      </c>
      <c r="D2283" s="9" t="s">
        <v>4684</v>
      </c>
      <c r="E2283" s="9" t="s">
        <v>4684</v>
      </c>
      <c r="F2283" s="9" t="s">
        <v>4684</v>
      </c>
      <c r="G2283" s="9" t="s">
        <v>4685</v>
      </c>
      <c r="H2283" s="9" t="s">
        <v>4684</v>
      </c>
      <c r="I2283" s="9" t="str">
        <f t="shared" si="1"/>
        <v>No</v>
      </c>
      <c r="J2283" s="9">
        <f t="shared" si="2"/>
        <v>0</v>
      </c>
      <c r="K2283" s="9" t="str">
        <f t="shared" si="3"/>
        <v>NORMAL WEIGHT</v>
      </c>
    </row>
    <row r="2284" ht="15.75" customHeight="1">
      <c r="A2284" s="9" t="s">
        <v>4567</v>
      </c>
      <c r="B2284" s="9">
        <v>43.01</v>
      </c>
      <c r="C2284" s="9">
        <v>5.44</v>
      </c>
      <c r="D2284" s="9" t="s">
        <v>4684</v>
      </c>
      <c r="E2284" s="9" t="s">
        <v>4686</v>
      </c>
      <c r="F2284" s="9" t="s">
        <v>4684</v>
      </c>
      <c r="G2284" s="9">
        <v>1.0</v>
      </c>
      <c r="H2284" s="9" t="s">
        <v>4684</v>
      </c>
      <c r="I2284" s="9" t="str">
        <f t="shared" si="1"/>
        <v>No</v>
      </c>
      <c r="J2284" s="9">
        <f t="shared" si="2"/>
        <v>1</v>
      </c>
      <c r="K2284" s="9" t="str">
        <f t="shared" si="3"/>
        <v>OBESITY</v>
      </c>
    </row>
    <row r="2285" ht="15.75" customHeight="1">
      <c r="A2285" s="9" t="s">
        <v>4569</v>
      </c>
      <c r="B2285" s="9">
        <v>15.01</v>
      </c>
      <c r="C2285" s="9">
        <v>4.15</v>
      </c>
      <c r="D2285" s="9" t="s">
        <v>4684</v>
      </c>
      <c r="E2285" s="9" t="s">
        <v>4684</v>
      </c>
      <c r="F2285" s="9" t="s">
        <v>4686</v>
      </c>
      <c r="G2285" s="9">
        <v>1.0</v>
      </c>
      <c r="H2285" s="9" t="s">
        <v>4684</v>
      </c>
      <c r="I2285" s="9" t="str">
        <f t="shared" si="1"/>
        <v>No</v>
      </c>
      <c r="J2285" s="9">
        <f t="shared" si="2"/>
        <v>1</v>
      </c>
      <c r="K2285" s="9" t="str">
        <f t="shared" si="3"/>
        <v>UNDERWEIGHT</v>
      </c>
    </row>
    <row r="2286" ht="15.75" customHeight="1">
      <c r="A2286" s="9" t="s">
        <v>4571</v>
      </c>
      <c r="B2286" s="9">
        <v>41.14</v>
      </c>
      <c r="C2286" s="9">
        <v>6.02</v>
      </c>
      <c r="D2286" s="9" t="s">
        <v>4684</v>
      </c>
      <c r="E2286" s="9" t="s">
        <v>4686</v>
      </c>
      <c r="F2286" s="9" t="s">
        <v>4684</v>
      </c>
      <c r="G2286" s="9">
        <v>1.0</v>
      </c>
      <c r="H2286" s="9" t="s">
        <v>4684</v>
      </c>
      <c r="I2286" s="9" t="str">
        <f t="shared" si="1"/>
        <v>No</v>
      </c>
      <c r="J2286" s="9">
        <f t="shared" si="2"/>
        <v>1</v>
      </c>
      <c r="K2286" s="9" t="str">
        <f t="shared" si="3"/>
        <v>OBESITY</v>
      </c>
    </row>
    <row r="2287" ht="15.75" customHeight="1">
      <c r="A2287" s="9" t="s">
        <v>4573</v>
      </c>
      <c r="B2287" s="9">
        <v>16.55</v>
      </c>
      <c r="C2287" s="9">
        <v>7.73</v>
      </c>
      <c r="D2287" s="9" t="s">
        <v>4684</v>
      </c>
      <c r="E2287" s="9" t="s">
        <v>4684</v>
      </c>
      <c r="F2287" s="9" t="s">
        <v>4684</v>
      </c>
      <c r="G2287" s="9" t="s">
        <v>4685</v>
      </c>
      <c r="H2287" s="9" t="s">
        <v>4684</v>
      </c>
      <c r="I2287" s="9" t="str">
        <f t="shared" si="1"/>
        <v>No</v>
      </c>
      <c r="J2287" s="9">
        <f t="shared" si="2"/>
        <v>0</v>
      </c>
      <c r="K2287" s="9" t="str">
        <f t="shared" si="3"/>
        <v>UNDERWEIGHT</v>
      </c>
    </row>
    <row r="2288" ht="15.75" customHeight="1">
      <c r="A2288" s="9" t="s">
        <v>4575</v>
      </c>
      <c r="B2288" s="9">
        <v>37.29</v>
      </c>
      <c r="C2288" s="9">
        <v>5.03</v>
      </c>
      <c r="D2288" s="9" t="s">
        <v>4684</v>
      </c>
      <c r="E2288" s="9" t="s">
        <v>4686</v>
      </c>
      <c r="F2288" s="9" t="s">
        <v>4684</v>
      </c>
      <c r="G2288" s="9">
        <v>1.0</v>
      </c>
      <c r="H2288" s="9" t="s">
        <v>4684</v>
      </c>
      <c r="I2288" s="9" t="str">
        <f t="shared" si="1"/>
        <v>No</v>
      </c>
      <c r="J2288" s="9">
        <f t="shared" si="2"/>
        <v>1</v>
      </c>
      <c r="K2288" s="9" t="str">
        <f t="shared" si="3"/>
        <v>OBESITY</v>
      </c>
    </row>
    <row r="2289" ht="15.75" customHeight="1">
      <c r="A2289" s="9" t="s">
        <v>4577</v>
      </c>
      <c r="B2289" s="9">
        <v>16.74</v>
      </c>
      <c r="C2289" s="9">
        <v>4.08</v>
      </c>
      <c r="D2289" s="9" t="s">
        <v>4686</v>
      </c>
      <c r="E2289" s="9" t="s">
        <v>4684</v>
      </c>
      <c r="F2289" s="9" t="s">
        <v>4684</v>
      </c>
      <c r="G2289" s="9" t="s">
        <v>4685</v>
      </c>
      <c r="H2289" s="9" t="s">
        <v>4684</v>
      </c>
      <c r="I2289" s="9" t="str">
        <f t="shared" si="1"/>
        <v>No</v>
      </c>
      <c r="J2289" s="9">
        <f t="shared" si="2"/>
        <v>0</v>
      </c>
      <c r="K2289" s="9" t="str">
        <f t="shared" si="3"/>
        <v>UNDERWEIGHT</v>
      </c>
    </row>
    <row r="2290" ht="15.75" customHeight="1">
      <c r="A2290" s="9" t="s">
        <v>4579</v>
      </c>
      <c r="B2290" s="9">
        <v>34.43</v>
      </c>
      <c r="C2290" s="9">
        <v>4.27</v>
      </c>
      <c r="D2290" s="9" t="s">
        <v>4684</v>
      </c>
      <c r="E2290" s="9" t="s">
        <v>4686</v>
      </c>
      <c r="F2290" s="9" t="s">
        <v>4684</v>
      </c>
      <c r="G2290" s="9">
        <v>1.0</v>
      </c>
      <c r="H2290" s="9" t="s">
        <v>4684</v>
      </c>
      <c r="I2290" s="9" t="str">
        <f t="shared" si="1"/>
        <v>No</v>
      </c>
      <c r="J2290" s="9">
        <f t="shared" si="2"/>
        <v>1</v>
      </c>
      <c r="K2290" s="9" t="str">
        <f t="shared" si="3"/>
        <v>OBESITY</v>
      </c>
    </row>
    <row r="2291" ht="15.75" customHeight="1">
      <c r="A2291" s="9" t="s">
        <v>4581</v>
      </c>
      <c r="B2291" s="9">
        <v>34.1</v>
      </c>
      <c r="C2291" s="9">
        <v>4.07</v>
      </c>
      <c r="D2291" s="9" t="s">
        <v>4684</v>
      </c>
      <c r="E2291" s="9" t="s">
        <v>4686</v>
      </c>
      <c r="F2291" s="9" t="s">
        <v>4684</v>
      </c>
      <c r="G2291" s="9">
        <v>1.0</v>
      </c>
      <c r="H2291" s="9" t="s">
        <v>4684</v>
      </c>
      <c r="I2291" s="9" t="str">
        <f t="shared" si="1"/>
        <v>No</v>
      </c>
      <c r="J2291" s="9">
        <f t="shared" si="2"/>
        <v>1</v>
      </c>
      <c r="K2291" s="9" t="str">
        <f t="shared" si="3"/>
        <v>OBESITY</v>
      </c>
    </row>
    <row r="2292" ht="15.75" customHeight="1">
      <c r="A2292" s="9" t="s">
        <v>4583</v>
      </c>
      <c r="B2292" s="9">
        <v>19.3</v>
      </c>
      <c r="C2292" s="9">
        <v>10.36</v>
      </c>
      <c r="D2292" s="9" t="s">
        <v>4684</v>
      </c>
      <c r="E2292" s="9" t="s">
        <v>4684</v>
      </c>
      <c r="F2292" s="9" t="s">
        <v>4684</v>
      </c>
      <c r="G2292" s="9" t="s">
        <v>4685</v>
      </c>
      <c r="H2292" s="9" t="s">
        <v>4684</v>
      </c>
      <c r="I2292" s="9" t="str">
        <f t="shared" si="1"/>
        <v>No</v>
      </c>
      <c r="J2292" s="9">
        <f t="shared" si="2"/>
        <v>0</v>
      </c>
      <c r="K2292" s="9" t="str">
        <f t="shared" si="3"/>
        <v>NORMAL WEIGHT</v>
      </c>
    </row>
    <row r="2293" ht="15.75" customHeight="1">
      <c r="A2293" s="9" t="s">
        <v>4585</v>
      </c>
      <c r="B2293" s="9">
        <v>33.66</v>
      </c>
      <c r="C2293" s="9">
        <v>5.71</v>
      </c>
      <c r="D2293" s="9" t="s">
        <v>4684</v>
      </c>
      <c r="E2293" s="9" t="s">
        <v>4686</v>
      </c>
      <c r="F2293" s="9" t="s">
        <v>4684</v>
      </c>
      <c r="G2293" s="9">
        <v>1.0</v>
      </c>
      <c r="H2293" s="9" t="s">
        <v>4684</v>
      </c>
      <c r="I2293" s="9" t="str">
        <f t="shared" si="1"/>
        <v>No</v>
      </c>
      <c r="J2293" s="9">
        <f t="shared" si="2"/>
        <v>1</v>
      </c>
      <c r="K2293" s="9" t="str">
        <f t="shared" si="3"/>
        <v>OBESITY</v>
      </c>
    </row>
    <row r="2294" ht="15.75" customHeight="1">
      <c r="A2294" s="9" t="s">
        <v>4587</v>
      </c>
      <c r="B2294" s="9">
        <v>33.33</v>
      </c>
      <c r="C2294" s="9">
        <v>6.08</v>
      </c>
      <c r="D2294" s="9" t="s">
        <v>4684</v>
      </c>
      <c r="E2294" s="9" t="s">
        <v>4686</v>
      </c>
      <c r="F2294" s="9" t="s">
        <v>4684</v>
      </c>
      <c r="G2294" s="9">
        <v>1.0</v>
      </c>
      <c r="H2294" s="9" t="s">
        <v>4684</v>
      </c>
      <c r="I2294" s="9" t="str">
        <f t="shared" si="1"/>
        <v>No</v>
      </c>
      <c r="J2294" s="9">
        <f t="shared" si="2"/>
        <v>1</v>
      </c>
      <c r="K2294" s="9" t="str">
        <f t="shared" si="3"/>
        <v>OBESITY</v>
      </c>
    </row>
    <row r="2295" ht="15.75" customHeight="1">
      <c r="A2295" s="9" t="s">
        <v>4589</v>
      </c>
      <c r="B2295" s="9">
        <v>21.84</v>
      </c>
      <c r="C2295" s="9">
        <v>5.71</v>
      </c>
      <c r="D2295" s="9" t="s">
        <v>4684</v>
      </c>
      <c r="E2295" s="9" t="s">
        <v>4686</v>
      </c>
      <c r="F2295" s="9" t="s">
        <v>4684</v>
      </c>
      <c r="G2295" s="9">
        <v>1.0</v>
      </c>
      <c r="H2295" s="9" t="s">
        <v>4684</v>
      </c>
      <c r="I2295" s="9" t="str">
        <f t="shared" si="1"/>
        <v>No</v>
      </c>
      <c r="J2295" s="9">
        <f t="shared" si="2"/>
        <v>1</v>
      </c>
      <c r="K2295" s="9" t="str">
        <f t="shared" si="3"/>
        <v>NORMAL WEIGHT</v>
      </c>
    </row>
    <row r="2296" ht="15.75" customHeight="1">
      <c r="A2296" s="9" t="s">
        <v>4591</v>
      </c>
      <c r="B2296" s="9">
        <v>16.87</v>
      </c>
      <c r="C2296" s="9">
        <v>9.13</v>
      </c>
      <c r="D2296" s="9" t="s">
        <v>4684</v>
      </c>
      <c r="E2296" s="9" t="s">
        <v>4684</v>
      </c>
      <c r="F2296" s="9" t="s">
        <v>4684</v>
      </c>
      <c r="G2296" s="9" t="s">
        <v>4685</v>
      </c>
      <c r="H2296" s="9" t="s">
        <v>4684</v>
      </c>
      <c r="I2296" s="9" t="str">
        <f t="shared" si="1"/>
        <v>No</v>
      </c>
      <c r="J2296" s="9">
        <f t="shared" si="2"/>
        <v>0</v>
      </c>
      <c r="K2296" s="9" t="str">
        <f t="shared" si="3"/>
        <v>UNDERWEIGHT</v>
      </c>
    </row>
    <row r="2297" ht="15.75" customHeight="1">
      <c r="A2297" s="9" t="s">
        <v>4593</v>
      </c>
      <c r="B2297" s="9">
        <v>30.14</v>
      </c>
      <c r="C2297" s="9">
        <v>5.49</v>
      </c>
      <c r="D2297" s="9" t="s">
        <v>4684</v>
      </c>
      <c r="E2297" s="9" t="s">
        <v>4686</v>
      </c>
      <c r="F2297" s="9" t="s">
        <v>4684</v>
      </c>
      <c r="G2297" s="9">
        <v>1.0</v>
      </c>
      <c r="H2297" s="9" t="s">
        <v>4684</v>
      </c>
      <c r="I2297" s="9" t="str">
        <f t="shared" si="1"/>
        <v>No</v>
      </c>
      <c r="J2297" s="9">
        <f t="shared" si="2"/>
        <v>1</v>
      </c>
      <c r="K2297" s="9" t="str">
        <f t="shared" si="3"/>
        <v>OBESITY</v>
      </c>
    </row>
    <row r="2298" ht="15.75" customHeight="1">
      <c r="A2298" s="9" t="s">
        <v>4595</v>
      </c>
      <c r="B2298" s="9">
        <v>23.21</v>
      </c>
      <c r="C2298" s="9">
        <v>4.37</v>
      </c>
      <c r="D2298" s="9" t="s">
        <v>4684</v>
      </c>
      <c r="E2298" s="9" t="s">
        <v>4686</v>
      </c>
      <c r="F2298" s="9" t="s">
        <v>4684</v>
      </c>
      <c r="G2298" s="9">
        <v>1.0</v>
      </c>
      <c r="H2298" s="9" t="s">
        <v>4684</v>
      </c>
      <c r="I2298" s="9" t="str">
        <f t="shared" si="1"/>
        <v>No</v>
      </c>
      <c r="J2298" s="9">
        <f t="shared" si="2"/>
        <v>1</v>
      </c>
      <c r="K2298" s="9" t="str">
        <f t="shared" si="3"/>
        <v>NORMAL WEIGHT</v>
      </c>
    </row>
    <row r="2299" ht="15.75" customHeight="1">
      <c r="A2299" s="9" t="s">
        <v>4597</v>
      </c>
      <c r="B2299" s="9">
        <v>17.17</v>
      </c>
      <c r="C2299" s="9">
        <v>8.46</v>
      </c>
      <c r="D2299" s="9" t="s">
        <v>4684</v>
      </c>
      <c r="E2299" s="9" t="s">
        <v>4684</v>
      </c>
      <c r="F2299" s="9" t="s">
        <v>4684</v>
      </c>
      <c r="G2299" s="9" t="s">
        <v>4685</v>
      </c>
      <c r="H2299" s="9" t="s">
        <v>4684</v>
      </c>
      <c r="I2299" s="9" t="str">
        <f t="shared" si="1"/>
        <v>No</v>
      </c>
      <c r="J2299" s="9">
        <f t="shared" si="2"/>
        <v>0</v>
      </c>
      <c r="K2299" s="9" t="str">
        <f t="shared" si="3"/>
        <v>UNDERWEIGHT</v>
      </c>
    </row>
    <row r="2300" ht="15.75" customHeight="1">
      <c r="A2300" s="9" t="s">
        <v>4599</v>
      </c>
      <c r="B2300" s="9">
        <v>15.61</v>
      </c>
      <c r="C2300" s="9">
        <v>5.28</v>
      </c>
      <c r="D2300" s="9" t="s">
        <v>4684</v>
      </c>
      <c r="E2300" s="9" t="s">
        <v>4684</v>
      </c>
      <c r="F2300" s="9" t="s">
        <v>4684</v>
      </c>
      <c r="G2300" s="9">
        <v>1.0</v>
      </c>
      <c r="H2300" s="9" t="s">
        <v>4684</v>
      </c>
      <c r="I2300" s="9" t="str">
        <f t="shared" si="1"/>
        <v>No</v>
      </c>
      <c r="J2300" s="9">
        <f t="shared" si="2"/>
        <v>1</v>
      </c>
      <c r="K2300" s="9" t="str">
        <f t="shared" si="3"/>
        <v>UNDERWEIGHT</v>
      </c>
    </row>
    <row r="2301" ht="15.75" customHeight="1">
      <c r="A2301" s="9" t="s">
        <v>4601</v>
      </c>
      <c r="B2301" s="9">
        <v>17.98</v>
      </c>
      <c r="C2301" s="9">
        <v>5.33</v>
      </c>
      <c r="D2301" s="9" t="s">
        <v>4686</v>
      </c>
      <c r="E2301" s="9" t="s">
        <v>4684</v>
      </c>
      <c r="F2301" s="9" t="s">
        <v>4686</v>
      </c>
      <c r="G2301" s="9">
        <v>1.0</v>
      </c>
      <c r="H2301" s="9" t="s">
        <v>4684</v>
      </c>
      <c r="I2301" s="9" t="str">
        <f t="shared" si="1"/>
        <v>No</v>
      </c>
      <c r="J2301" s="9">
        <f t="shared" si="2"/>
        <v>1</v>
      </c>
      <c r="K2301" s="9" t="str">
        <f t="shared" si="3"/>
        <v>UNDERWEIGHT</v>
      </c>
    </row>
    <row r="2302" ht="15.75" customHeight="1">
      <c r="A2302" s="9" t="s">
        <v>4603</v>
      </c>
      <c r="B2302" s="9">
        <v>21.64</v>
      </c>
      <c r="C2302" s="9">
        <v>5.5</v>
      </c>
      <c r="D2302" s="9" t="s">
        <v>4684</v>
      </c>
      <c r="E2302" s="9" t="s">
        <v>4686</v>
      </c>
      <c r="F2302" s="9" t="s">
        <v>4684</v>
      </c>
      <c r="G2302" s="9">
        <v>1.0</v>
      </c>
      <c r="H2302" s="9" t="s">
        <v>4684</v>
      </c>
      <c r="I2302" s="9" t="str">
        <f t="shared" si="1"/>
        <v>No</v>
      </c>
      <c r="J2302" s="9">
        <f t="shared" si="2"/>
        <v>1</v>
      </c>
      <c r="K2302" s="9" t="str">
        <f t="shared" si="3"/>
        <v>NORMAL WEIGHT</v>
      </c>
    </row>
    <row r="2303" ht="15.75" customHeight="1">
      <c r="A2303" s="9" t="s">
        <v>4605</v>
      </c>
      <c r="B2303" s="9">
        <v>16.4</v>
      </c>
      <c r="C2303" s="9">
        <v>5.4</v>
      </c>
      <c r="D2303" s="9" t="s">
        <v>4684</v>
      </c>
      <c r="E2303" s="9" t="s">
        <v>4684</v>
      </c>
      <c r="F2303" s="9" t="s">
        <v>4686</v>
      </c>
      <c r="G2303" s="9">
        <v>1.0</v>
      </c>
      <c r="H2303" s="9" t="s">
        <v>4684</v>
      </c>
      <c r="I2303" s="9" t="str">
        <f t="shared" si="1"/>
        <v>No</v>
      </c>
      <c r="J2303" s="9">
        <f t="shared" si="2"/>
        <v>1</v>
      </c>
      <c r="K2303" s="9" t="str">
        <f t="shared" si="3"/>
        <v>UNDERWEIGHT</v>
      </c>
    </row>
    <row r="2304" ht="15.75" customHeight="1">
      <c r="A2304" s="9" t="s">
        <v>4607</v>
      </c>
      <c r="B2304" s="9">
        <v>15.77</v>
      </c>
      <c r="C2304" s="9">
        <v>6.05</v>
      </c>
      <c r="D2304" s="9" t="s">
        <v>4686</v>
      </c>
      <c r="E2304" s="9" t="s">
        <v>4684</v>
      </c>
      <c r="F2304" s="9" t="s">
        <v>4684</v>
      </c>
      <c r="G2304" s="9">
        <v>1.0</v>
      </c>
      <c r="H2304" s="9" t="s">
        <v>4684</v>
      </c>
      <c r="I2304" s="9" t="str">
        <f t="shared" si="1"/>
        <v>No</v>
      </c>
      <c r="J2304" s="9">
        <f t="shared" si="2"/>
        <v>1</v>
      </c>
      <c r="K2304" s="9" t="str">
        <f t="shared" si="3"/>
        <v>UNDERWEIGHT</v>
      </c>
    </row>
    <row r="2305" ht="15.75" customHeight="1">
      <c r="A2305" s="9" t="s">
        <v>4609</v>
      </c>
      <c r="B2305" s="9">
        <v>18.27</v>
      </c>
      <c r="C2305" s="9">
        <v>11.46</v>
      </c>
      <c r="D2305" s="9" t="s">
        <v>4684</v>
      </c>
      <c r="E2305" s="9" t="s">
        <v>4684</v>
      </c>
      <c r="F2305" s="9" t="s">
        <v>4684</v>
      </c>
      <c r="G2305" s="9" t="s">
        <v>4685</v>
      </c>
      <c r="H2305" s="9" t="s">
        <v>4684</v>
      </c>
      <c r="I2305" s="9" t="str">
        <f t="shared" si="1"/>
        <v>No</v>
      </c>
      <c r="J2305" s="9">
        <f t="shared" si="2"/>
        <v>0</v>
      </c>
      <c r="K2305" s="9" t="str">
        <f t="shared" si="3"/>
        <v>UNDERWEIGHT</v>
      </c>
    </row>
    <row r="2306" ht="15.75" customHeight="1">
      <c r="A2306" s="9" t="s">
        <v>4611</v>
      </c>
      <c r="B2306" s="9">
        <v>16.49</v>
      </c>
      <c r="C2306" s="9">
        <v>8.48</v>
      </c>
      <c r="D2306" s="9" t="s">
        <v>4684</v>
      </c>
      <c r="E2306" s="9" t="s">
        <v>4684</v>
      </c>
      <c r="F2306" s="9" t="s">
        <v>4684</v>
      </c>
      <c r="G2306" s="9" t="s">
        <v>4685</v>
      </c>
      <c r="H2306" s="9" t="s">
        <v>4684</v>
      </c>
      <c r="I2306" s="9" t="str">
        <f t="shared" si="1"/>
        <v>No</v>
      </c>
      <c r="J2306" s="9">
        <f t="shared" si="2"/>
        <v>0</v>
      </c>
      <c r="K2306" s="9" t="str">
        <f t="shared" si="3"/>
        <v>UNDERWEIGHT</v>
      </c>
    </row>
    <row r="2307" ht="15.75" customHeight="1">
      <c r="A2307" s="9" t="s">
        <v>4613</v>
      </c>
      <c r="B2307" s="9">
        <v>16.14</v>
      </c>
      <c r="C2307" s="9">
        <v>4.86</v>
      </c>
      <c r="D2307" s="9" t="s">
        <v>4684</v>
      </c>
      <c r="E2307" s="9" t="s">
        <v>4684</v>
      </c>
      <c r="F2307" s="9" t="s">
        <v>4684</v>
      </c>
      <c r="G2307" s="9" t="s">
        <v>4685</v>
      </c>
      <c r="H2307" s="9" t="s">
        <v>4684</v>
      </c>
      <c r="I2307" s="9" t="str">
        <f t="shared" si="1"/>
        <v>No</v>
      </c>
      <c r="J2307" s="9">
        <f t="shared" si="2"/>
        <v>0</v>
      </c>
      <c r="K2307" s="9" t="str">
        <f t="shared" si="3"/>
        <v>UNDERWEIGHT</v>
      </c>
    </row>
    <row r="2308" ht="15.75" customHeight="1">
      <c r="A2308" s="9" t="s">
        <v>4615</v>
      </c>
      <c r="B2308" s="9">
        <v>20.85</v>
      </c>
      <c r="C2308" s="9">
        <v>4.45</v>
      </c>
      <c r="D2308" s="9" t="s">
        <v>4686</v>
      </c>
      <c r="E2308" s="9" t="s">
        <v>4684</v>
      </c>
      <c r="F2308" s="9" t="s">
        <v>4684</v>
      </c>
      <c r="G2308" s="9">
        <v>1.0</v>
      </c>
      <c r="H2308" s="9" t="s">
        <v>4684</v>
      </c>
      <c r="I2308" s="9" t="str">
        <f t="shared" si="1"/>
        <v>No</v>
      </c>
      <c r="J2308" s="9">
        <f t="shared" si="2"/>
        <v>1</v>
      </c>
      <c r="K2308" s="9" t="str">
        <f t="shared" si="3"/>
        <v>NORMAL WEIGHT</v>
      </c>
    </row>
    <row r="2309" ht="15.75" customHeight="1">
      <c r="A2309" s="9" t="s">
        <v>4617</v>
      </c>
      <c r="B2309" s="9">
        <v>15.88</v>
      </c>
      <c r="C2309" s="9">
        <v>4.36</v>
      </c>
      <c r="D2309" s="9" t="s">
        <v>4684</v>
      </c>
      <c r="E2309" s="9" t="s">
        <v>4684</v>
      </c>
      <c r="F2309" s="9" t="s">
        <v>4684</v>
      </c>
      <c r="G2309" s="9" t="s">
        <v>4685</v>
      </c>
      <c r="H2309" s="9" t="s">
        <v>4684</v>
      </c>
      <c r="I2309" s="9" t="str">
        <f t="shared" si="1"/>
        <v>No</v>
      </c>
      <c r="J2309" s="9">
        <f t="shared" si="2"/>
        <v>0</v>
      </c>
      <c r="K2309" s="9" t="str">
        <f t="shared" si="3"/>
        <v>UNDERWEIGHT</v>
      </c>
    </row>
    <row r="2310" ht="15.75" customHeight="1">
      <c r="A2310" s="9" t="s">
        <v>4619</v>
      </c>
      <c r="B2310" s="9">
        <v>20.66</v>
      </c>
      <c r="C2310" s="9">
        <v>5.8</v>
      </c>
      <c r="D2310" s="9" t="s">
        <v>4684</v>
      </c>
      <c r="E2310" s="9" t="s">
        <v>4686</v>
      </c>
      <c r="F2310" s="9" t="s">
        <v>4684</v>
      </c>
      <c r="G2310" s="9">
        <v>1.0</v>
      </c>
      <c r="H2310" s="9" t="s">
        <v>4684</v>
      </c>
      <c r="I2310" s="9" t="str">
        <f t="shared" si="1"/>
        <v>No</v>
      </c>
      <c r="J2310" s="9">
        <f t="shared" si="2"/>
        <v>1</v>
      </c>
      <c r="K2310" s="9" t="str">
        <f t="shared" si="3"/>
        <v>NORMAL WEIGHT</v>
      </c>
    </row>
    <row r="2311" ht="15.75" customHeight="1">
      <c r="A2311" s="9" t="s">
        <v>4621</v>
      </c>
      <c r="B2311" s="9">
        <v>20.4</v>
      </c>
      <c r="C2311" s="9">
        <v>5.27</v>
      </c>
      <c r="D2311" s="9" t="s">
        <v>4684</v>
      </c>
      <c r="E2311" s="9" t="s">
        <v>4684</v>
      </c>
      <c r="F2311" s="9" t="s">
        <v>4684</v>
      </c>
      <c r="G2311" s="9" t="s">
        <v>4685</v>
      </c>
      <c r="H2311" s="9" t="s">
        <v>4684</v>
      </c>
      <c r="I2311" s="9" t="str">
        <f t="shared" si="1"/>
        <v>No</v>
      </c>
      <c r="J2311" s="9">
        <f t="shared" si="2"/>
        <v>0</v>
      </c>
      <c r="K2311" s="9" t="str">
        <f t="shared" si="3"/>
        <v>NORMAL WEIGHT</v>
      </c>
    </row>
    <row r="2312" ht="15.75" customHeight="1">
      <c r="A2312" s="9" t="s">
        <v>4623</v>
      </c>
      <c r="B2312" s="9">
        <v>25.19</v>
      </c>
      <c r="C2312" s="9">
        <v>5.64</v>
      </c>
      <c r="D2312" s="9" t="s">
        <v>4686</v>
      </c>
      <c r="E2312" s="9" t="s">
        <v>4684</v>
      </c>
      <c r="F2312" s="9" t="s">
        <v>4684</v>
      </c>
      <c r="G2312" s="9" t="s">
        <v>4685</v>
      </c>
      <c r="H2312" s="9" t="s">
        <v>4684</v>
      </c>
      <c r="I2312" s="9" t="str">
        <f t="shared" si="1"/>
        <v>No</v>
      </c>
      <c r="J2312" s="9">
        <f t="shared" si="2"/>
        <v>0</v>
      </c>
      <c r="K2312" s="9" t="str">
        <f t="shared" si="3"/>
        <v>OVERWEIGHT</v>
      </c>
    </row>
    <row r="2313" ht="15.75" customHeight="1">
      <c r="A2313" s="9" t="s">
        <v>4625</v>
      </c>
      <c r="B2313" s="9">
        <v>20.54</v>
      </c>
      <c r="C2313" s="9">
        <v>4.2</v>
      </c>
      <c r="D2313" s="9" t="s">
        <v>4686</v>
      </c>
      <c r="E2313" s="9" t="s">
        <v>4684</v>
      </c>
      <c r="F2313" s="9" t="s">
        <v>4684</v>
      </c>
      <c r="G2313" s="9">
        <v>1.0</v>
      </c>
      <c r="H2313" s="9" t="s">
        <v>4684</v>
      </c>
      <c r="I2313" s="9" t="str">
        <f t="shared" si="1"/>
        <v>No</v>
      </c>
      <c r="J2313" s="9">
        <f t="shared" si="2"/>
        <v>1</v>
      </c>
      <c r="K2313" s="9" t="str">
        <f t="shared" si="3"/>
        <v>NORMAL WEIGHT</v>
      </c>
    </row>
    <row r="2314" ht="15.75" customHeight="1">
      <c r="A2314" s="9" t="s">
        <v>4627</v>
      </c>
      <c r="B2314" s="9">
        <v>20.13</v>
      </c>
      <c r="C2314" s="9">
        <v>5.42</v>
      </c>
      <c r="D2314" s="9" t="s">
        <v>4684</v>
      </c>
      <c r="E2314" s="9" t="s">
        <v>4684</v>
      </c>
      <c r="F2314" s="9" t="s">
        <v>4684</v>
      </c>
      <c r="G2314" s="9" t="s">
        <v>4685</v>
      </c>
      <c r="H2314" s="9" t="s">
        <v>4684</v>
      </c>
      <c r="I2314" s="9" t="str">
        <f t="shared" si="1"/>
        <v>No</v>
      </c>
      <c r="J2314" s="9">
        <f t="shared" si="2"/>
        <v>0</v>
      </c>
      <c r="K2314" s="9" t="str">
        <f t="shared" si="3"/>
        <v>NORMAL WEIGHT</v>
      </c>
    </row>
    <row r="2315" ht="15.75" customHeight="1">
      <c r="A2315" s="9" t="s">
        <v>4629</v>
      </c>
      <c r="B2315" s="9">
        <v>18.93</v>
      </c>
      <c r="C2315" s="9">
        <v>6.11</v>
      </c>
      <c r="D2315" s="9" t="s">
        <v>4684</v>
      </c>
      <c r="E2315" s="9" t="s">
        <v>4684</v>
      </c>
      <c r="F2315" s="9" t="s">
        <v>4686</v>
      </c>
      <c r="G2315" s="9">
        <v>1.0</v>
      </c>
      <c r="H2315" s="9" t="s">
        <v>4684</v>
      </c>
      <c r="I2315" s="9" t="str">
        <f t="shared" si="1"/>
        <v>No</v>
      </c>
      <c r="J2315" s="9">
        <f t="shared" si="2"/>
        <v>1</v>
      </c>
      <c r="K2315" s="9" t="str">
        <f t="shared" si="3"/>
        <v>NORMAL WEIGHT</v>
      </c>
    </row>
    <row r="2316" ht="15.75" customHeight="1">
      <c r="A2316" s="9" t="s">
        <v>4631</v>
      </c>
      <c r="B2316" s="9">
        <v>24.14</v>
      </c>
      <c r="C2316" s="9">
        <v>5.29</v>
      </c>
      <c r="D2316" s="9" t="s">
        <v>4684</v>
      </c>
      <c r="E2316" s="9" t="s">
        <v>4686</v>
      </c>
      <c r="F2316" s="9" t="s">
        <v>4684</v>
      </c>
      <c r="G2316" s="9">
        <v>1.0</v>
      </c>
      <c r="H2316" s="9" t="s">
        <v>4684</v>
      </c>
      <c r="I2316" s="9" t="str">
        <f t="shared" si="1"/>
        <v>No</v>
      </c>
      <c r="J2316" s="9">
        <f t="shared" si="2"/>
        <v>1</v>
      </c>
      <c r="K2316" s="9" t="str">
        <f t="shared" si="3"/>
        <v>NORMAL WEIGHT</v>
      </c>
    </row>
    <row r="2317" ht="15.75" customHeight="1">
      <c r="A2317" s="9" t="s">
        <v>4633</v>
      </c>
      <c r="B2317" s="9">
        <v>25.03</v>
      </c>
      <c r="C2317" s="9">
        <v>5.91</v>
      </c>
      <c r="D2317" s="9" t="s">
        <v>4684</v>
      </c>
      <c r="E2317" s="9" t="s">
        <v>4686</v>
      </c>
      <c r="F2317" s="9" t="s">
        <v>4684</v>
      </c>
      <c r="G2317" s="9">
        <v>1.0</v>
      </c>
      <c r="H2317" s="9" t="s">
        <v>4684</v>
      </c>
      <c r="I2317" s="9" t="str">
        <f t="shared" si="1"/>
        <v>No</v>
      </c>
      <c r="J2317" s="9">
        <f t="shared" si="2"/>
        <v>1</v>
      </c>
      <c r="K2317" s="9" t="str">
        <f t="shared" si="3"/>
        <v>OVERWEIGHT</v>
      </c>
    </row>
    <row r="2318" ht="15.75" customHeight="1">
      <c r="A2318" s="9" t="s">
        <v>4635</v>
      </c>
      <c r="B2318" s="9">
        <v>20.47</v>
      </c>
      <c r="C2318" s="9">
        <v>5.81</v>
      </c>
      <c r="D2318" s="9" t="s">
        <v>4686</v>
      </c>
      <c r="E2318" s="9" t="s">
        <v>4684</v>
      </c>
      <c r="F2318" s="9" t="s">
        <v>4684</v>
      </c>
      <c r="G2318" s="9">
        <v>1.0</v>
      </c>
      <c r="H2318" s="9" t="s">
        <v>4684</v>
      </c>
      <c r="I2318" s="9" t="str">
        <f t="shared" si="1"/>
        <v>No</v>
      </c>
      <c r="J2318" s="9">
        <f t="shared" si="2"/>
        <v>1</v>
      </c>
      <c r="K2318" s="9" t="str">
        <f t="shared" si="3"/>
        <v>NORMAL WEIGHT</v>
      </c>
    </row>
    <row r="2319" ht="15.75" customHeight="1">
      <c r="A2319" s="9" t="s">
        <v>4637</v>
      </c>
      <c r="B2319" s="9">
        <v>18.82</v>
      </c>
      <c r="C2319" s="9">
        <v>5.51</v>
      </c>
      <c r="D2319" s="9" t="s">
        <v>4686</v>
      </c>
      <c r="E2319" s="9" t="s">
        <v>4684</v>
      </c>
      <c r="F2319" s="9" t="s">
        <v>4684</v>
      </c>
      <c r="G2319" s="9" t="s">
        <v>4685</v>
      </c>
      <c r="H2319" s="9" t="s">
        <v>4684</v>
      </c>
      <c r="I2319" s="9" t="str">
        <f t="shared" si="1"/>
        <v>No</v>
      </c>
      <c r="J2319" s="9">
        <f t="shared" si="2"/>
        <v>0</v>
      </c>
      <c r="K2319" s="9" t="str">
        <f t="shared" si="3"/>
        <v>NORMAL WEIGHT</v>
      </c>
    </row>
    <row r="2320" ht="15.75" customHeight="1">
      <c r="A2320" s="9" t="s">
        <v>4639</v>
      </c>
      <c r="B2320" s="9">
        <v>17.08</v>
      </c>
      <c r="C2320" s="9">
        <v>5.73</v>
      </c>
      <c r="D2320" s="9" t="s">
        <v>4684</v>
      </c>
      <c r="E2320" s="9" t="s">
        <v>4684</v>
      </c>
      <c r="F2320" s="9" t="s">
        <v>4686</v>
      </c>
      <c r="G2320" s="9">
        <v>1.0</v>
      </c>
      <c r="H2320" s="9" t="s">
        <v>4684</v>
      </c>
      <c r="I2320" s="9" t="str">
        <f t="shared" si="1"/>
        <v>No</v>
      </c>
      <c r="J2320" s="9">
        <f t="shared" si="2"/>
        <v>1</v>
      </c>
      <c r="K2320" s="9" t="str">
        <f t="shared" si="3"/>
        <v>UNDERWEIGHT</v>
      </c>
    </row>
    <row r="2321" ht="15.75" customHeight="1">
      <c r="A2321" s="9" t="s">
        <v>4641</v>
      </c>
      <c r="B2321" s="9">
        <v>19.21</v>
      </c>
      <c r="C2321" s="9">
        <v>5.53</v>
      </c>
      <c r="D2321" s="9" t="s">
        <v>4686</v>
      </c>
      <c r="E2321" s="9" t="s">
        <v>4684</v>
      </c>
      <c r="F2321" s="9" t="s">
        <v>4684</v>
      </c>
      <c r="G2321" s="9" t="s">
        <v>4685</v>
      </c>
      <c r="H2321" s="9" t="s">
        <v>4684</v>
      </c>
      <c r="I2321" s="9" t="str">
        <f t="shared" si="1"/>
        <v>No</v>
      </c>
      <c r="J2321" s="9">
        <f t="shared" si="2"/>
        <v>0</v>
      </c>
      <c r="K2321" s="9" t="str">
        <f t="shared" si="3"/>
        <v>NORMAL WEIGHT</v>
      </c>
    </row>
    <row r="2322" ht="15.75" customHeight="1">
      <c r="A2322" s="9" t="s">
        <v>4643</v>
      </c>
      <c r="B2322" s="9">
        <v>17.86</v>
      </c>
      <c r="C2322" s="9">
        <v>5.43</v>
      </c>
      <c r="D2322" s="9" t="s">
        <v>4684</v>
      </c>
      <c r="E2322" s="9" t="s">
        <v>4684</v>
      </c>
      <c r="F2322" s="9" t="s">
        <v>4686</v>
      </c>
      <c r="G2322" s="9">
        <v>1.0</v>
      </c>
      <c r="H2322" s="9" t="s">
        <v>4684</v>
      </c>
      <c r="I2322" s="9" t="str">
        <f t="shared" si="1"/>
        <v>No</v>
      </c>
      <c r="J2322" s="9">
        <f t="shared" si="2"/>
        <v>1</v>
      </c>
      <c r="K2322" s="9" t="str">
        <f t="shared" si="3"/>
        <v>UNDERWEIGHT</v>
      </c>
    </row>
    <row r="2323" ht="15.75" customHeight="1">
      <c r="A2323" s="9" t="s">
        <v>4645</v>
      </c>
      <c r="B2323" s="9">
        <v>21.38</v>
      </c>
      <c r="C2323" s="9">
        <v>8.01</v>
      </c>
      <c r="D2323" s="9" t="s">
        <v>4684</v>
      </c>
      <c r="E2323" s="9" t="s">
        <v>4684</v>
      </c>
      <c r="F2323" s="9" t="s">
        <v>4684</v>
      </c>
      <c r="G2323" s="9" t="s">
        <v>4685</v>
      </c>
      <c r="H2323" s="9" t="s">
        <v>4684</v>
      </c>
      <c r="I2323" s="9" t="str">
        <f t="shared" si="1"/>
        <v>No</v>
      </c>
      <c r="J2323" s="9">
        <f t="shared" si="2"/>
        <v>0</v>
      </c>
      <c r="K2323" s="9" t="str">
        <f t="shared" si="3"/>
        <v>NORMAL WEIGHT</v>
      </c>
    </row>
    <row r="2324" ht="15.75" customHeight="1">
      <c r="A2324" s="9" t="s">
        <v>4647</v>
      </c>
      <c r="B2324" s="9">
        <v>23.35</v>
      </c>
      <c r="C2324" s="9">
        <v>5.94</v>
      </c>
      <c r="D2324" s="9" t="s">
        <v>4684</v>
      </c>
      <c r="E2324" s="9" t="s">
        <v>4684</v>
      </c>
      <c r="F2324" s="9" t="s">
        <v>4684</v>
      </c>
      <c r="G2324" s="9" t="s">
        <v>4685</v>
      </c>
      <c r="H2324" s="9" t="s">
        <v>4684</v>
      </c>
      <c r="I2324" s="9" t="str">
        <f t="shared" si="1"/>
        <v>No</v>
      </c>
      <c r="J2324" s="9">
        <f t="shared" si="2"/>
        <v>0</v>
      </c>
      <c r="K2324" s="9" t="str">
        <f t="shared" si="3"/>
        <v>NORMAL WEIGHT</v>
      </c>
    </row>
    <row r="2325" ht="15.75" customHeight="1">
      <c r="A2325" s="9" t="s">
        <v>4649</v>
      </c>
      <c r="B2325" s="9">
        <v>22.24</v>
      </c>
      <c r="C2325" s="9">
        <v>5.04</v>
      </c>
      <c r="D2325" s="9" t="s">
        <v>4684</v>
      </c>
      <c r="E2325" s="9" t="s">
        <v>4684</v>
      </c>
      <c r="F2325" s="9" t="s">
        <v>4684</v>
      </c>
      <c r="G2325" s="9" t="s">
        <v>4685</v>
      </c>
      <c r="H2325" s="9" t="s">
        <v>4684</v>
      </c>
      <c r="I2325" s="9" t="str">
        <f t="shared" si="1"/>
        <v>No</v>
      </c>
      <c r="J2325" s="9">
        <f t="shared" si="2"/>
        <v>0</v>
      </c>
      <c r="K2325" s="9" t="str">
        <f t="shared" si="3"/>
        <v>NORMAL WEIGHT</v>
      </c>
    </row>
    <row r="2326" ht="15.75" customHeight="1">
      <c r="A2326" s="9" t="s">
        <v>4651</v>
      </c>
      <c r="B2326" s="9">
        <v>24.76</v>
      </c>
      <c r="C2326" s="9">
        <v>4.54</v>
      </c>
      <c r="D2326" s="9" t="s">
        <v>4686</v>
      </c>
      <c r="E2326" s="9" t="s">
        <v>4684</v>
      </c>
      <c r="F2326" s="9" t="s">
        <v>4684</v>
      </c>
      <c r="G2326" s="9" t="s">
        <v>4685</v>
      </c>
      <c r="H2326" s="9" t="s">
        <v>4684</v>
      </c>
      <c r="I2326" s="9" t="str">
        <f t="shared" si="1"/>
        <v>No</v>
      </c>
      <c r="J2326" s="9">
        <f t="shared" si="2"/>
        <v>0</v>
      </c>
      <c r="K2326" s="9" t="str">
        <f t="shared" si="3"/>
        <v>NORMAL WEIGHT</v>
      </c>
    </row>
    <row r="2327" ht="15.75" customHeight="1">
      <c r="A2327" s="9" t="s">
        <v>4653</v>
      </c>
      <c r="B2327" s="9">
        <v>20.1</v>
      </c>
      <c r="C2327" s="9">
        <v>5.6</v>
      </c>
      <c r="D2327" s="9" t="s">
        <v>4686</v>
      </c>
      <c r="E2327" s="9" t="s">
        <v>4684</v>
      </c>
      <c r="F2327" s="9" t="s">
        <v>4686</v>
      </c>
      <c r="G2327" s="9">
        <v>1.0</v>
      </c>
      <c r="H2327" s="9" t="s">
        <v>4684</v>
      </c>
      <c r="I2327" s="9" t="str">
        <f t="shared" si="1"/>
        <v>No</v>
      </c>
      <c r="J2327" s="9">
        <f t="shared" si="2"/>
        <v>1</v>
      </c>
      <c r="K2327" s="9" t="str">
        <f t="shared" si="3"/>
        <v>NORMAL WEIGHT</v>
      </c>
    </row>
    <row r="2328" ht="15.75" customHeight="1">
      <c r="A2328" s="9" t="s">
        <v>4655</v>
      </c>
      <c r="B2328" s="9">
        <v>21.77</v>
      </c>
      <c r="C2328" s="9">
        <v>10.67</v>
      </c>
      <c r="D2328" s="9" t="s">
        <v>4684</v>
      </c>
      <c r="E2328" s="9" t="s">
        <v>4684</v>
      </c>
      <c r="F2328" s="9" t="s">
        <v>4684</v>
      </c>
      <c r="G2328" s="9" t="s">
        <v>4685</v>
      </c>
      <c r="H2328" s="9" t="s">
        <v>4684</v>
      </c>
      <c r="I2328" s="9" t="str">
        <f t="shared" si="1"/>
        <v>No</v>
      </c>
      <c r="J2328" s="9">
        <f t="shared" si="2"/>
        <v>0</v>
      </c>
      <c r="K2328" s="9" t="str">
        <f t="shared" si="3"/>
        <v>NORMAL WEIGHT</v>
      </c>
    </row>
    <row r="2329" ht="15.75" customHeight="1">
      <c r="A2329" s="9" t="s">
        <v>4657</v>
      </c>
      <c r="B2329" s="9">
        <v>17.82</v>
      </c>
      <c r="C2329" s="9">
        <v>5.26</v>
      </c>
      <c r="D2329" s="9" t="s">
        <v>4686</v>
      </c>
      <c r="E2329" s="9" t="s">
        <v>4684</v>
      </c>
      <c r="F2329" s="9" t="s">
        <v>4684</v>
      </c>
      <c r="G2329" s="9">
        <v>1.0</v>
      </c>
      <c r="H2329" s="9" t="s">
        <v>4684</v>
      </c>
      <c r="I2329" s="9" t="str">
        <f t="shared" si="1"/>
        <v>No</v>
      </c>
      <c r="J2329" s="9">
        <f t="shared" si="2"/>
        <v>1</v>
      </c>
      <c r="K2329" s="9" t="str">
        <f t="shared" si="3"/>
        <v>UNDERWEIGHT</v>
      </c>
    </row>
    <row r="2330" ht="15.75" customHeight="1">
      <c r="A2330" s="9" t="s">
        <v>4659</v>
      </c>
      <c r="B2330" s="9">
        <v>17.07</v>
      </c>
      <c r="C2330" s="9">
        <v>5.22</v>
      </c>
      <c r="D2330" s="9" t="s">
        <v>4684</v>
      </c>
      <c r="E2330" s="9" t="s">
        <v>4684</v>
      </c>
      <c r="F2330" s="9" t="s">
        <v>4686</v>
      </c>
      <c r="G2330" s="9">
        <v>1.0</v>
      </c>
      <c r="H2330" s="9" t="s">
        <v>4684</v>
      </c>
      <c r="I2330" s="9" t="str">
        <f t="shared" si="1"/>
        <v>No</v>
      </c>
      <c r="J2330" s="9">
        <f t="shared" si="2"/>
        <v>1</v>
      </c>
      <c r="K2330" s="9" t="str">
        <f t="shared" si="3"/>
        <v>UNDERWEIGHT</v>
      </c>
    </row>
    <row r="2331" ht="15.75" customHeight="1">
      <c r="A2331" s="9" t="s">
        <v>4661</v>
      </c>
      <c r="B2331" s="9">
        <v>22.24</v>
      </c>
      <c r="C2331" s="9">
        <v>4.29</v>
      </c>
      <c r="D2331" s="9" t="s">
        <v>4686</v>
      </c>
      <c r="E2331" s="9" t="s">
        <v>4684</v>
      </c>
      <c r="F2331" s="9" t="s">
        <v>4684</v>
      </c>
      <c r="G2331" s="9" t="s">
        <v>4685</v>
      </c>
      <c r="H2331" s="9" t="s">
        <v>4684</v>
      </c>
      <c r="I2331" s="9" t="str">
        <f t="shared" si="1"/>
        <v>No</v>
      </c>
      <c r="J2331" s="9">
        <f t="shared" si="2"/>
        <v>0</v>
      </c>
      <c r="K2331" s="9" t="str">
        <f t="shared" si="3"/>
        <v>NORMAL WEIGHT</v>
      </c>
    </row>
    <row r="2332" ht="15.75" customHeight="1">
      <c r="A2332" s="9" t="s">
        <v>4663</v>
      </c>
      <c r="B2332" s="9">
        <v>22.34</v>
      </c>
      <c r="C2332" s="9">
        <v>5.57</v>
      </c>
      <c r="D2332" s="9" t="s">
        <v>4684</v>
      </c>
      <c r="E2332" s="9" t="s">
        <v>4684</v>
      </c>
      <c r="F2332" s="9" t="s">
        <v>4684</v>
      </c>
      <c r="G2332" s="9">
        <v>1.0</v>
      </c>
      <c r="H2332" s="9" t="s">
        <v>4684</v>
      </c>
      <c r="I2332" s="9" t="str">
        <f t="shared" si="1"/>
        <v>No</v>
      </c>
      <c r="J2332" s="9">
        <f t="shared" si="2"/>
        <v>1</v>
      </c>
      <c r="K2332" s="9" t="str">
        <f t="shared" si="3"/>
        <v>NORMAL WEIGHT</v>
      </c>
    </row>
    <row r="2333" ht="15.75" customHeight="1">
      <c r="A2333" s="9" t="s">
        <v>4665</v>
      </c>
      <c r="B2333" s="9">
        <v>17.7</v>
      </c>
      <c r="C2333" s="9">
        <v>6.28</v>
      </c>
      <c r="D2333" s="9" t="s">
        <v>4684</v>
      </c>
      <c r="E2333" s="9" t="s">
        <v>4684</v>
      </c>
      <c r="F2333" s="9" t="s">
        <v>4684</v>
      </c>
      <c r="G2333" s="9">
        <v>1.0</v>
      </c>
      <c r="H2333" s="9" t="s">
        <v>4684</v>
      </c>
      <c r="I2333" s="9" t="str">
        <f t="shared" si="1"/>
        <v>No</v>
      </c>
      <c r="J2333" s="9">
        <f t="shared" si="2"/>
        <v>1</v>
      </c>
      <c r="K2333" s="9" t="str">
        <f t="shared" si="3"/>
        <v>UNDERWEIGHT</v>
      </c>
    </row>
    <row r="2334" ht="15.75" customHeight="1">
      <c r="A2334" s="9" t="s">
        <v>4667</v>
      </c>
      <c r="B2334" s="9">
        <v>16.47</v>
      </c>
      <c r="C2334" s="9">
        <v>6.35</v>
      </c>
      <c r="D2334" s="9" t="s">
        <v>4684</v>
      </c>
      <c r="E2334" s="9" t="s">
        <v>4684</v>
      </c>
      <c r="F2334" s="9" t="s">
        <v>4686</v>
      </c>
      <c r="G2334" s="9">
        <v>1.0</v>
      </c>
      <c r="H2334" s="9" t="s">
        <v>4684</v>
      </c>
      <c r="I2334" s="9" t="str">
        <f t="shared" si="1"/>
        <v>No</v>
      </c>
      <c r="J2334" s="9">
        <f t="shared" si="2"/>
        <v>1</v>
      </c>
      <c r="K2334" s="9" t="str">
        <f t="shared" si="3"/>
        <v>UNDERWEIGHT</v>
      </c>
    </row>
    <row r="2335" ht="15.75" customHeight="1">
      <c r="A2335" s="9" t="s">
        <v>4669</v>
      </c>
      <c r="B2335" s="9">
        <v>17.6</v>
      </c>
      <c r="C2335" s="9">
        <v>4.39</v>
      </c>
      <c r="D2335" s="9" t="s">
        <v>4684</v>
      </c>
      <c r="E2335" s="9" t="s">
        <v>4684</v>
      </c>
      <c r="F2335" s="9" t="s">
        <v>4684</v>
      </c>
      <c r="G2335" s="9">
        <v>1.0</v>
      </c>
      <c r="H2335" s="9" t="s">
        <v>4684</v>
      </c>
      <c r="I2335" s="9" t="str">
        <f t="shared" si="1"/>
        <v>No</v>
      </c>
      <c r="J2335" s="9">
        <f t="shared" si="2"/>
        <v>1</v>
      </c>
      <c r="K2335" s="9" t="str">
        <f t="shared" si="3"/>
        <v>UNDERWEIGHT</v>
      </c>
    </row>
    <row r="2336" ht="15.75" customHeight="1">
      <c r="A2336" s="9" t="s">
        <v>4671</v>
      </c>
      <c r="B2336" s="9">
        <v>17.58</v>
      </c>
      <c r="C2336" s="9">
        <v>4.51</v>
      </c>
      <c r="D2336" s="9" t="s">
        <v>4684</v>
      </c>
      <c r="E2336" s="9" t="s">
        <v>4684</v>
      </c>
      <c r="F2336" s="9" t="s">
        <v>4684</v>
      </c>
      <c r="G2336" s="9">
        <v>1.0</v>
      </c>
      <c r="H2336" s="9" t="s">
        <v>4684</v>
      </c>
      <c r="I2336" s="9" t="str">
        <f t="shared" si="1"/>
        <v>No</v>
      </c>
      <c r="J2336" s="9">
        <f t="shared" si="2"/>
        <v>1</v>
      </c>
      <c r="K2336" s="9" t="str">
        <f t="shared" si="3"/>
        <v>UNDERWEIGHT</v>
      </c>
    </row>
  </sheetData>
  <autoFilter ref="$A$1:$K$1"/>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9.57"/>
    <col customWidth="1" min="3" max="4" width="8.71"/>
    <col customWidth="1" min="5" max="5" width="15.43"/>
    <col customWidth="1" min="6" max="6" width="14.0"/>
    <col customWidth="1" min="7" max="7" width="11.14"/>
    <col customWidth="1" min="8" max="8" width="17.0"/>
    <col customWidth="1" min="9" max="9" width="19.0"/>
    <col customWidth="1" min="10" max="10" width="13.29"/>
    <col customWidth="1" min="11" max="11" width="20.43"/>
    <col customWidth="1" min="12" max="12" width="20.0"/>
    <col customWidth="1" min="13" max="13" width="14.29"/>
    <col customWidth="1" min="14" max="14" width="14.71"/>
    <col customWidth="1" min="15" max="15" width="9.86"/>
    <col customWidth="1" min="16" max="16" width="15.71"/>
    <col customWidth="1" min="17" max="17" width="30.57"/>
    <col customWidth="1" min="18" max="18" width="34.14"/>
    <col customWidth="1" min="19" max="19" width="17.86"/>
  </cols>
  <sheetData>
    <row r="1" ht="18.75" customHeight="1">
      <c r="A1" s="14" t="s">
        <v>4701</v>
      </c>
      <c r="B1" s="14" t="s">
        <v>4702</v>
      </c>
      <c r="C1" s="14" t="s">
        <v>4703</v>
      </c>
      <c r="D1" s="14" t="s">
        <v>4704</v>
      </c>
      <c r="E1" s="14" t="s">
        <v>4705</v>
      </c>
      <c r="F1" s="14" t="s">
        <v>4706</v>
      </c>
      <c r="G1" s="15" t="s">
        <v>4707</v>
      </c>
      <c r="H1" s="14" t="s">
        <v>4708</v>
      </c>
      <c r="I1" s="14" t="s">
        <v>4709</v>
      </c>
      <c r="J1" s="14" t="s">
        <v>4710</v>
      </c>
      <c r="K1" s="16" t="s">
        <v>4711</v>
      </c>
      <c r="L1" s="16" t="s">
        <v>4712</v>
      </c>
      <c r="M1" s="16" t="s">
        <v>4713</v>
      </c>
      <c r="N1" s="16" t="s">
        <v>4714</v>
      </c>
      <c r="O1" s="16" t="s">
        <v>4715</v>
      </c>
      <c r="P1" s="16" t="s">
        <v>4705</v>
      </c>
      <c r="Q1" s="4"/>
      <c r="R1" s="4"/>
      <c r="S1" s="4"/>
    </row>
    <row r="2">
      <c r="A2" s="9" t="s">
        <v>1999</v>
      </c>
      <c r="B2" s="17">
        <v>1969.0</v>
      </c>
      <c r="C2" s="9" t="s">
        <v>4716</v>
      </c>
      <c r="D2" s="9">
        <v>20.0</v>
      </c>
      <c r="E2" s="18">
        <f t="shared" ref="E2:E2344" si="1">DATE(K2, MONTH(1 &amp; C2), D2)</f>
        <v>25435</v>
      </c>
      <c r="F2" s="9">
        <v>3.0</v>
      </c>
      <c r="G2" s="19">
        <v>11253.42</v>
      </c>
      <c r="H2" s="9" t="s">
        <v>4717</v>
      </c>
      <c r="I2" s="9" t="s">
        <v>4718</v>
      </c>
      <c r="J2" s="9" t="s">
        <v>4719</v>
      </c>
      <c r="K2" s="20">
        <f t="shared" ref="K2:K2344" si="2">IF(B2="?",ROUND(AVERAGE($B$2:$B$2344),0),B2)</f>
        <v>1969</v>
      </c>
      <c r="L2" s="9" t="str">
        <f t="shared" ref="L2:L2344" si="3">IF(H2="?",$H$2,H2)</f>
        <v>tier - 3</v>
      </c>
      <c r="M2" s="9" t="str">
        <f t="shared" ref="M2:M2344" si="4">IF(I2="?",$I$2,I2)</f>
        <v>tier - 1</v>
      </c>
      <c r="N2" s="9" t="str">
        <f t="shared" ref="N2:N2344" si="5">IF(J2="?","UNKNOWN",J2)</f>
        <v>R1011</v>
      </c>
      <c r="O2" s="17">
        <f t="shared" ref="O2:O2344" si="6">IFERROR(INT(YEARFRAC(E2, DATE(2023,6,8))), "")</f>
        <v>53</v>
      </c>
      <c r="P2" s="18">
        <v>25435.0</v>
      </c>
      <c r="Q2" s="21"/>
      <c r="R2" s="17">
        <f>Q28-B2</f>
        <v>43116</v>
      </c>
    </row>
    <row r="3">
      <c r="A3" s="9" t="s">
        <v>1997</v>
      </c>
      <c r="B3" s="17">
        <v>1981.0</v>
      </c>
      <c r="C3" s="9" t="s">
        <v>4720</v>
      </c>
      <c r="D3" s="9">
        <v>2.0</v>
      </c>
      <c r="E3" s="18">
        <f t="shared" si="1"/>
        <v>29861</v>
      </c>
      <c r="F3" s="9">
        <v>1.0</v>
      </c>
      <c r="G3" s="19">
        <v>11255.29</v>
      </c>
      <c r="H3" s="9" t="s">
        <v>4717</v>
      </c>
      <c r="I3" s="9" t="s">
        <v>4718</v>
      </c>
      <c r="J3" s="9" t="s">
        <v>4721</v>
      </c>
      <c r="K3" s="20">
        <f t="shared" si="2"/>
        <v>1981</v>
      </c>
      <c r="L3" s="9" t="str">
        <f t="shared" si="3"/>
        <v>tier - 3</v>
      </c>
      <c r="M3" s="9" t="str">
        <f t="shared" si="4"/>
        <v>tier - 1</v>
      </c>
      <c r="N3" s="9" t="str">
        <f t="shared" si="5"/>
        <v>R1026</v>
      </c>
      <c r="O3" s="17">
        <f t="shared" si="6"/>
        <v>41</v>
      </c>
      <c r="P3" s="18">
        <v>29861.0</v>
      </c>
      <c r="Q3" s="22" t="s">
        <v>4722</v>
      </c>
      <c r="R3" s="22" t="s">
        <v>4688</v>
      </c>
      <c r="S3" s="22">
        <f>COUNTIF(A2:A2344,"?")</f>
        <v>6</v>
      </c>
    </row>
    <row r="4">
      <c r="A4" s="9" t="s">
        <v>1995</v>
      </c>
      <c r="B4" s="17">
        <v>1969.0</v>
      </c>
      <c r="C4" s="9" t="s">
        <v>4720</v>
      </c>
      <c r="D4" s="9">
        <v>11.0</v>
      </c>
      <c r="E4" s="18">
        <f t="shared" si="1"/>
        <v>25487</v>
      </c>
      <c r="F4" s="9">
        <v>3.0</v>
      </c>
      <c r="G4" s="19">
        <v>11264.54</v>
      </c>
      <c r="H4" s="9" t="s">
        <v>4717</v>
      </c>
      <c r="I4" s="9" t="s">
        <v>4723</v>
      </c>
      <c r="J4" s="9" t="s">
        <v>4719</v>
      </c>
      <c r="K4" s="20">
        <f t="shared" si="2"/>
        <v>1969</v>
      </c>
      <c r="L4" s="9" t="str">
        <f t="shared" si="3"/>
        <v>tier - 3</v>
      </c>
      <c r="M4" s="9" t="str">
        <f t="shared" si="4"/>
        <v>tier - 2</v>
      </c>
      <c r="N4" s="9" t="str">
        <f t="shared" si="5"/>
        <v>R1011</v>
      </c>
      <c r="O4" s="17">
        <f t="shared" si="6"/>
        <v>53</v>
      </c>
      <c r="P4" s="18">
        <v>25487.0</v>
      </c>
      <c r="Q4" s="22" t="s">
        <v>4724</v>
      </c>
      <c r="R4" s="22" t="s">
        <v>4688</v>
      </c>
      <c r="S4" s="22">
        <f>COUNTIF(B2:B2344,"?")</f>
        <v>2</v>
      </c>
    </row>
    <row r="5">
      <c r="A5" s="9" t="s">
        <v>1993</v>
      </c>
      <c r="B5" s="17">
        <v>1971.0</v>
      </c>
      <c r="C5" s="9" t="s">
        <v>4725</v>
      </c>
      <c r="D5" s="9">
        <v>26.0</v>
      </c>
      <c r="E5" s="18">
        <f t="shared" si="1"/>
        <v>26293</v>
      </c>
      <c r="F5" s="9">
        <v>0.0</v>
      </c>
      <c r="G5" s="19">
        <v>11265.71</v>
      </c>
      <c r="H5" s="9" t="s">
        <v>4717</v>
      </c>
      <c r="I5" s="9" t="s">
        <v>4718</v>
      </c>
      <c r="J5" s="9" t="s">
        <v>4726</v>
      </c>
      <c r="K5" s="20">
        <f t="shared" si="2"/>
        <v>1971</v>
      </c>
      <c r="L5" s="9" t="str">
        <f t="shared" si="3"/>
        <v>tier - 3</v>
      </c>
      <c r="M5" s="9" t="str">
        <f t="shared" si="4"/>
        <v>tier - 1</v>
      </c>
      <c r="N5" s="9" t="str">
        <f t="shared" si="5"/>
        <v>R1025</v>
      </c>
      <c r="O5" s="17">
        <f t="shared" si="6"/>
        <v>51</v>
      </c>
      <c r="P5" s="18">
        <v>26293.0</v>
      </c>
      <c r="Q5" s="22" t="s">
        <v>4727</v>
      </c>
      <c r="R5" s="22" t="s">
        <v>4688</v>
      </c>
      <c r="S5" s="22">
        <f>COUNTIF(C2:C2344,"?")</f>
        <v>0</v>
      </c>
    </row>
    <row r="6">
      <c r="A6" s="9" t="s">
        <v>1991</v>
      </c>
      <c r="B6" s="17">
        <v>2004.0</v>
      </c>
      <c r="C6" s="9" t="s">
        <v>4720</v>
      </c>
      <c r="D6" s="9">
        <v>4.0</v>
      </c>
      <c r="E6" s="18">
        <f t="shared" si="1"/>
        <v>38264</v>
      </c>
      <c r="F6" s="9">
        <v>1.0</v>
      </c>
      <c r="G6" s="19">
        <v>11272.33</v>
      </c>
      <c r="H6" s="9" t="s">
        <v>4717</v>
      </c>
      <c r="I6" s="9" t="s">
        <v>4723</v>
      </c>
      <c r="J6" s="9" t="s">
        <v>4728</v>
      </c>
      <c r="K6" s="20">
        <f t="shared" si="2"/>
        <v>2004</v>
      </c>
      <c r="L6" s="9" t="str">
        <f t="shared" si="3"/>
        <v>tier - 3</v>
      </c>
      <c r="M6" s="9" t="str">
        <f t="shared" si="4"/>
        <v>tier - 2</v>
      </c>
      <c r="N6" s="9" t="str">
        <f t="shared" si="5"/>
        <v>R1019</v>
      </c>
      <c r="O6" s="17">
        <f t="shared" si="6"/>
        <v>18</v>
      </c>
      <c r="P6" s="18">
        <v>38264.0</v>
      </c>
      <c r="Q6" s="22" t="s">
        <v>4729</v>
      </c>
      <c r="R6" s="22" t="s">
        <v>4688</v>
      </c>
      <c r="S6" s="22">
        <f>COUNTIF(D2:D2344,"?")</f>
        <v>0</v>
      </c>
    </row>
    <row r="7">
      <c r="A7" s="9" t="s">
        <v>1989</v>
      </c>
      <c r="B7" s="17">
        <v>1967.0</v>
      </c>
      <c r="C7" s="9" t="s">
        <v>4730</v>
      </c>
      <c r="D7" s="9">
        <v>14.0</v>
      </c>
      <c r="E7" s="18">
        <f t="shared" si="1"/>
        <v>24637</v>
      </c>
      <c r="F7" s="9">
        <v>0.0</v>
      </c>
      <c r="G7" s="19">
        <v>11286.54</v>
      </c>
      <c r="H7" s="9" t="s">
        <v>4717</v>
      </c>
      <c r="I7" s="9" t="s">
        <v>4717</v>
      </c>
      <c r="J7" s="9" t="s">
        <v>4731</v>
      </c>
      <c r="K7" s="20">
        <f t="shared" si="2"/>
        <v>1967</v>
      </c>
      <c r="L7" s="9" t="str">
        <f t="shared" si="3"/>
        <v>tier - 3</v>
      </c>
      <c r="M7" s="9" t="str">
        <f t="shared" si="4"/>
        <v>tier - 3</v>
      </c>
      <c r="N7" s="9" t="str">
        <f t="shared" si="5"/>
        <v>R1024</v>
      </c>
      <c r="O7" s="17">
        <f t="shared" si="6"/>
        <v>55</v>
      </c>
      <c r="P7" s="18">
        <v>24637.0</v>
      </c>
      <c r="Q7" s="22" t="s">
        <v>4732</v>
      </c>
      <c r="R7" s="22" t="s">
        <v>4688</v>
      </c>
      <c r="S7" s="22">
        <f>COUNTIF(F2:F2344,"?")</f>
        <v>0</v>
      </c>
    </row>
    <row r="8">
      <c r="A8" s="9" t="s">
        <v>1987</v>
      </c>
      <c r="B8" s="17">
        <v>1970.0</v>
      </c>
      <c r="C8" s="9" t="s">
        <v>4730</v>
      </c>
      <c r="D8" s="9">
        <v>22.0</v>
      </c>
      <c r="E8" s="18">
        <f t="shared" si="1"/>
        <v>25741</v>
      </c>
      <c r="F8" s="9">
        <v>3.0</v>
      </c>
      <c r="G8" s="19">
        <v>11289.11</v>
      </c>
      <c r="H8" s="9" t="s">
        <v>4717</v>
      </c>
      <c r="I8" s="9" t="s">
        <v>4718</v>
      </c>
      <c r="J8" s="9" t="s">
        <v>4733</v>
      </c>
      <c r="K8" s="20">
        <f t="shared" si="2"/>
        <v>1970</v>
      </c>
      <c r="L8" s="9" t="str">
        <f t="shared" si="3"/>
        <v>tier - 3</v>
      </c>
      <c r="M8" s="9" t="str">
        <f t="shared" si="4"/>
        <v>tier - 1</v>
      </c>
      <c r="N8" s="9" t="str">
        <f t="shared" si="5"/>
        <v>R1012</v>
      </c>
      <c r="O8" s="17">
        <f t="shared" si="6"/>
        <v>52</v>
      </c>
      <c r="P8" s="18">
        <v>25741.0</v>
      </c>
      <c r="Q8" s="22" t="s">
        <v>4734</v>
      </c>
      <c r="R8" s="22" t="s">
        <v>4688</v>
      </c>
      <c r="S8" s="22">
        <f>COUNTIF(G2:G2344,"?")</f>
        <v>0</v>
      </c>
    </row>
    <row r="9">
      <c r="A9" s="9" t="s">
        <v>1985</v>
      </c>
      <c r="B9" s="17">
        <v>1988.0</v>
      </c>
      <c r="C9" s="9" t="s">
        <v>4735</v>
      </c>
      <c r="D9" s="9">
        <v>14.0</v>
      </c>
      <c r="E9" s="18">
        <f t="shared" si="1"/>
        <v>32461</v>
      </c>
      <c r="F9" s="9">
        <v>3.0</v>
      </c>
      <c r="G9" s="19">
        <v>11294.57</v>
      </c>
      <c r="H9" s="9" t="s">
        <v>4717</v>
      </c>
      <c r="I9" s="9" t="s">
        <v>4718</v>
      </c>
      <c r="J9" s="9" t="s">
        <v>4736</v>
      </c>
      <c r="K9" s="20">
        <f t="shared" si="2"/>
        <v>1988</v>
      </c>
      <c r="L9" s="9" t="str">
        <f t="shared" si="3"/>
        <v>tier - 3</v>
      </c>
      <c r="M9" s="9" t="str">
        <f t="shared" si="4"/>
        <v>tier - 1</v>
      </c>
      <c r="N9" s="9" t="str">
        <f t="shared" si="5"/>
        <v>R1022</v>
      </c>
      <c r="O9" s="17">
        <f t="shared" si="6"/>
        <v>34</v>
      </c>
      <c r="P9" s="18">
        <v>32461.0</v>
      </c>
      <c r="Q9" s="22" t="s">
        <v>4737</v>
      </c>
      <c r="R9" s="22" t="s">
        <v>4688</v>
      </c>
      <c r="S9" s="22">
        <f>COUNTIF(H2:H2344,"?")</f>
        <v>1</v>
      </c>
    </row>
    <row r="10">
      <c r="A10" s="9" t="s">
        <v>1983</v>
      </c>
      <c r="B10" s="17">
        <v>1972.0</v>
      </c>
      <c r="C10" s="9" t="s">
        <v>4738</v>
      </c>
      <c r="D10" s="9">
        <v>25.0</v>
      </c>
      <c r="E10" s="18">
        <f t="shared" si="1"/>
        <v>26567</v>
      </c>
      <c r="F10" s="9">
        <v>4.0</v>
      </c>
      <c r="G10" s="19">
        <v>11299.34</v>
      </c>
      <c r="H10" s="9" t="s">
        <v>4717</v>
      </c>
      <c r="I10" s="9" t="s">
        <v>4723</v>
      </c>
      <c r="J10" s="9" t="s">
        <v>4719</v>
      </c>
      <c r="K10" s="20">
        <f t="shared" si="2"/>
        <v>1972</v>
      </c>
      <c r="L10" s="9" t="str">
        <f t="shared" si="3"/>
        <v>tier - 3</v>
      </c>
      <c r="M10" s="9" t="str">
        <f t="shared" si="4"/>
        <v>tier - 2</v>
      </c>
      <c r="N10" s="9" t="str">
        <f t="shared" si="5"/>
        <v>R1011</v>
      </c>
      <c r="O10" s="17">
        <f t="shared" si="6"/>
        <v>50</v>
      </c>
      <c r="P10" s="18">
        <v>26567.0</v>
      </c>
      <c r="Q10" s="22" t="s">
        <v>4739</v>
      </c>
      <c r="R10" s="22" t="s">
        <v>4688</v>
      </c>
      <c r="S10" s="22">
        <f>COUNTIF(I2:I2344,"?")</f>
        <v>1</v>
      </c>
    </row>
    <row r="11">
      <c r="A11" s="9" t="s">
        <v>1981</v>
      </c>
      <c r="B11" s="17">
        <v>1968.0</v>
      </c>
      <c r="C11" s="9" t="s">
        <v>4720</v>
      </c>
      <c r="D11" s="9">
        <v>6.0</v>
      </c>
      <c r="E11" s="18">
        <f t="shared" si="1"/>
        <v>25117</v>
      </c>
      <c r="F11" s="9">
        <v>1.0</v>
      </c>
      <c r="G11" s="19">
        <v>11305.93</v>
      </c>
      <c r="H11" s="9" t="s">
        <v>4717</v>
      </c>
      <c r="I11" s="9" t="s">
        <v>4718</v>
      </c>
      <c r="J11" s="9" t="s">
        <v>4733</v>
      </c>
      <c r="K11" s="20">
        <f t="shared" si="2"/>
        <v>1968</v>
      </c>
      <c r="L11" s="9" t="str">
        <f t="shared" si="3"/>
        <v>tier - 3</v>
      </c>
      <c r="M11" s="9" t="str">
        <f t="shared" si="4"/>
        <v>tier - 1</v>
      </c>
      <c r="N11" s="9" t="str">
        <f t="shared" si="5"/>
        <v>R1012</v>
      </c>
      <c r="O11" s="17">
        <f t="shared" si="6"/>
        <v>54</v>
      </c>
      <c r="P11" s="18">
        <v>25117.0</v>
      </c>
      <c r="Q11" s="22" t="s">
        <v>4740</v>
      </c>
      <c r="R11" s="22" t="s">
        <v>4688</v>
      </c>
      <c r="S11" s="22">
        <f>COUNTIF(J2:J2344,"?")</f>
        <v>2</v>
      </c>
    </row>
    <row r="12">
      <c r="A12" s="9" t="s">
        <v>199</v>
      </c>
      <c r="B12" s="17">
        <v>1962.0</v>
      </c>
      <c r="C12" s="9" t="s">
        <v>4738</v>
      </c>
      <c r="D12" s="9">
        <v>4.0</v>
      </c>
      <c r="E12" s="18">
        <f t="shared" si="1"/>
        <v>22893</v>
      </c>
      <c r="F12" s="9">
        <v>0.0</v>
      </c>
      <c r="G12" s="19">
        <v>40309.93</v>
      </c>
      <c r="H12" s="9" t="s">
        <v>4718</v>
      </c>
      <c r="I12" s="9" t="s">
        <v>4717</v>
      </c>
      <c r="J12" s="9" t="s">
        <v>4719</v>
      </c>
      <c r="K12" s="20">
        <f t="shared" si="2"/>
        <v>1962</v>
      </c>
      <c r="L12" s="9" t="str">
        <f t="shared" si="3"/>
        <v>tier - 1</v>
      </c>
      <c r="M12" s="9" t="str">
        <f t="shared" si="4"/>
        <v>tier - 3</v>
      </c>
      <c r="N12" s="9" t="str">
        <f t="shared" si="5"/>
        <v>R1011</v>
      </c>
      <c r="O12" s="17">
        <f t="shared" si="6"/>
        <v>60</v>
      </c>
      <c r="P12" s="18">
        <v>22893.0</v>
      </c>
      <c r="Q12" s="22"/>
      <c r="R12" s="23" t="s">
        <v>4696</v>
      </c>
      <c r="S12" s="23">
        <f>SUM(S3:S11)</f>
        <v>12</v>
      </c>
    </row>
    <row r="13">
      <c r="A13" s="9" t="s">
        <v>1979</v>
      </c>
      <c r="B13" s="17">
        <v>1963.0</v>
      </c>
      <c r="C13" s="9" t="s">
        <v>4735</v>
      </c>
      <c r="D13" s="9">
        <v>22.0</v>
      </c>
      <c r="E13" s="18">
        <f t="shared" si="1"/>
        <v>23337</v>
      </c>
      <c r="F13" s="9">
        <v>0.0</v>
      </c>
      <c r="G13" s="19">
        <v>11312.33</v>
      </c>
      <c r="H13" s="9" t="s">
        <v>4717</v>
      </c>
      <c r="I13" s="9" t="s">
        <v>4717</v>
      </c>
      <c r="J13" s="9" t="s">
        <v>4733</v>
      </c>
      <c r="K13" s="20">
        <f t="shared" si="2"/>
        <v>1963</v>
      </c>
      <c r="L13" s="9" t="str">
        <f t="shared" si="3"/>
        <v>tier - 3</v>
      </c>
      <c r="M13" s="9" t="str">
        <f t="shared" si="4"/>
        <v>tier - 3</v>
      </c>
      <c r="N13" s="9" t="str">
        <f t="shared" si="5"/>
        <v>R1012</v>
      </c>
      <c r="O13" s="17">
        <f t="shared" si="6"/>
        <v>59</v>
      </c>
      <c r="P13" s="18">
        <v>23337.0</v>
      </c>
    </row>
    <row r="14">
      <c r="A14" s="9" t="s">
        <v>1977</v>
      </c>
      <c r="B14" s="17">
        <v>1995.0</v>
      </c>
      <c r="C14" s="9" t="s">
        <v>4725</v>
      </c>
      <c r="D14" s="9">
        <v>10.0</v>
      </c>
      <c r="E14" s="18">
        <f t="shared" si="1"/>
        <v>35043</v>
      </c>
      <c r="F14" s="9">
        <v>0.0</v>
      </c>
      <c r="G14" s="19">
        <v>11318.57</v>
      </c>
      <c r="H14" s="9" t="s">
        <v>4717</v>
      </c>
      <c r="I14" s="9" t="s">
        <v>4723</v>
      </c>
      <c r="J14" s="9" t="s">
        <v>4721</v>
      </c>
      <c r="K14" s="20">
        <f t="shared" si="2"/>
        <v>1995</v>
      </c>
      <c r="L14" s="9" t="str">
        <f t="shared" si="3"/>
        <v>tier - 3</v>
      </c>
      <c r="M14" s="9" t="str">
        <f t="shared" si="4"/>
        <v>tier - 2</v>
      </c>
      <c r="N14" s="9" t="str">
        <f t="shared" si="5"/>
        <v>R1026</v>
      </c>
      <c r="O14" s="17">
        <f t="shared" si="6"/>
        <v>27</v>
      </c>
      <c r="P14" s="18">
        <v>35043.0</v>
      </c>
    </row>
    <row r="15">
      <c r="A15" s="9" t="s">
        <v>1975</v>
      </c>
      <c r="B15" s="17">
        <v>1963.0</v>
      </c>
      <c r="C15" s="9" t="s">
        <v>4741</v>
      </c>
      <c r="D15" s="9">
        <v>11.0</v>
      </c>
      <c r="E15" s="18">
        <f t="shared" si="1"/>
        <v>23203</v>
      </c>
      <c r="F15" s="9">
        <v>0.0</v>
      </c>
      <c r="G15" s="19">
        <v>11319.12</v>
      </c>
      <c r="H15" s="9" t="s">
        <v>4717</v>
      </c>
      <c r="I15" s="9" t="s">
        <v>4718</v>
      </c>
      <c r="J15" s="9" t="s">
        <v>4733</v>
      </c>
      <c r="K15" s="20">
        <f t="shared" si="2"/>
        <v>1963</v>
      </c>
      <c r="L15" s="9" t="str">
        <f t="shared" si="3"/>
        <v>tier - 3</v>
      </c>
      <c r="M15" s="9" t="str">
        <f t="shared" si="4"/>
        <v>tier - 1</v>
      </c>
      <c r="N15" s="9" t="str">
        <f t="shared" si="5"/>
        <v>R1012</v>
      </c>
      <c r="O15" s="17">
        <f t="shared" si="6"/>
        <v>59</v>
      </c>
      <c r="P15" s="18">
        <v>23203.0</v>
      </c>
    </row>
    <row r="16">
      <c r="A16" s="9" t="s">
        <v>1973</v>
      </c>
      <c r="B16" s="17">
        <v>2002.0</v>
      </c>
      <c r="C16" s="9" t="s">
        <v>4738</v>
      </c>
      <c r="D16" s="9">
        <v>20.0</v>
      </c>
      <c r="E16" s="18">
        <f t="shared" si="1"/>
        <v>37519</v>
      </c>
      <c r="F16" s="9">
        <v>0.0</v>
      </c>
      <c r="G16" s="19">
        <v>11321.49</v>
      </c>
      <c r="H16" s="9" t="s">
        <v>4717</v>
      </c>
      <c r="I16" s="9" t="s">
        <v>4717</v>
      </c>
      <c r="J16" s="9" t="s">
        <v>4733</v>
      </c>
      <c r="K16" s="20">
        <f t="shared" si="2"/>
        <v>2002</v>
      </c>
      <c r="L16" s="9" t="str">
        <f t="shared" si="3"/>
        <v>tier - 3</v>
      </c>
      <c r="M16" s="9" t="str">
        <f t="shared" si="4"/>
        <v>tier - 3</v>
      </c>
      <c r="N16" s="9" t="str">
        <f t="shared" si="5"/>
        <v>R1012</v>
      </c>
      <c r="O16" s="17">
        <f t="shared" si="6"/>
        <v>20</v>
      </c>
      <c r="P16" s="18">
        <v>37519.0</v>
      </c>
      <c r="Q16" s="22" t="s">
        <v>4742</v>
      </c>
      <c r="R16" s="22" t="s">
        <v>4688</v>
      </c>
      <c r="S16" s="22">
        <f>COUNTIF(L2:L2344,"tier - 1")</f>
        <v>309</v>
      </c>
    </row>
    <row r="17">
      <c r="A17" s="9" t="s">
        <v>1971</v>
      </c>
      <c r="B17" s="17">
        <v>1989.0</v>
      </c>
      <c r="C17" s="9" t="s">
        <v>4716</v>
      </c>
      <c r="D17" s="9">
        <v>19.0</v>
      </c>
      <c r="E17" s="18">
        <f t="shared" si="1"/>
        <v>32739</v>
      </c>
      <c r="F17" s="9">
        <v>1.0</v>
      </c>
      <c r="G17" s="19">
        <v>11326.71</v>
      </c>
      <c r="H17" s="9" t="s">
        <v>4717</v>
      </c>
      <c r="I17" s="9" t="s">
        <v>4717</v>
      </c>
      <c r="J17" s="9" t="s">
        <v>4743</v>
      </c>
      <c r="K17" s="20">
        <f t="shared" si="2"/>
        <v>1989</v>
      </c>
      <c r="L17" s="9" t="str">
        <f t="shared" si="3"/>
        <v>tier - 3</v>
      </c>
      <c r="M17" s="9" t="str">
        <f t="shared" si="4"/>
        <v>tier - 3</v>
      </c>
      <c r="N17" s="9" t="str">
        <f t="shared" si="5"/>
        <v>R1013</v>
      </c>
      <c r="O17" s="17">
        <f t="shared" si="6"/>
        <v>33</v>
      </c>
      <c r="P17" s="18">
        <v>32739.0</v>
      </c>
      <c r="Q17" s="22" t="s">
        <v>4744</v>
      </c>
      <c r="R17" s="22" t="s">
        <v>4688</v>
      </c>
      <c r="S17" s="23">
        <f>COUNTIF(L2:L2344,"tier - 2")</f>
        <v>1339</v>
      </c>
    </row>
    <row r="18">
      <c r="A18" s="9" t="s">
        <v>1969</v>
      </c>
      <c r="B18" s="17">
        <v>1968.0</v>
      </c>
      <c r="C18" s="9" t="s">
        <v>4735</v>
      </c>
      <c r="D18" s="9">
        <v>2.0</v>
      </c>
      <c r="E18" s="18">
        <f t="shared" si="1"/>
        <v>25144</v>
      </c>
      <c r="F18" s="9">
        <v>0.0</v>
      </c>
      <c r="G18" s="19">
        <v>11344.32</v>
      </c>
      <c r="H18" s="9" t="s">
        <v>4717</v>
      </c>
      <c r="I18" s="9" t="s">
        <v>4723</v>
      </c>
      <c r="J18" s="9" t="s">
        <v>4726</v>
      </c>
      <c r="K18" s="20">
        <f t="shared" si="2"/>
        <v>1968</v>
      </c>
      <c r="L18" s="9" t="str">
        <f t="shared" si="3"/>
        <v>tier - 3</v>
      </c>
      <c r="M18" s="9" t="str">
        <f t="shared" si="4"/>
        <v>tier - 2</v>
      </c>
      <c r="N18" s="9" t="str">
        <f t="shared" si="5"/>
        <v>R1025</v>
      </c>
      <c r="O18" s="17">
        <f t="shared" si="6"/>
        <v>54</v>
      </c>
      <c r="P18" s="18">
        <v>25144.0</v>
      </c>
      <c r="Q18" s="22" t="s">
        <v>4745</v>
      </c>
      <c r="R18" s="22" t="s">
        <v>4688</v>
      </c>
      <c r="S18" s="22">
        <f>COUNTIF(L2:L2344,"tier - 3")</f>
        <v>695</v>
      </c>
    </row>
    <row r="19">
      <c r="A19" s="9" t="s">
        <v>1967</v>
      </c>
      <c r="B19" s="17">
        <v>1964.0</v>
      </c>
      <c r="C19" s="9" t="s">
        <v>4741</v>
      </c>
      <c r="D19" s="9">
        <v>12.0</v>
      </c>
      <c r="E19" s="18">
        <f t="shared" si="1"/>
        <v>23570</v>
      </c>
      <c r="F19" s="9">
        <v>0.0</v>
      </c>
      <c r="G19" s="19">
        <v>11345.52</v>
      </c>
      <c r="H19" s="9" t="s">
        <v>4717</v>
      </c>
      <c r="I19" s="9" t="s">
        <v>4717</v>
      </c>
      <c r="J19" s="9" t="s">
        <v>4719</v>
      </c>
      <c r="K19" s="20">
        <f t="shared" si="2"/>
        <v>1964</v>
      </c>
      <c r="L19" s="9" t="str">
        <f t="shared" si="3"/>
        <v>tier - 3</v>
      </c>
      <c r="M19" s="9" t="str">
        <f t="shared" si="4"/>
        <v>tier - 3</v>
      </c>
      <c r="N19" s="9" t="str">
        <f t="shared" si="5"/>
        <v>R1011</v>
      </c>
      <c r="O19" s="17">
        <f t="shared" si="6"/>
        <v>58</v>
      </c>
      <c r="P19" s="18">
        <v>23570.0</v>
      </c>
    </row>
    <row r="20">
      <c r="A20" s="9" t="s">
        <v>1965</v>
      </c>
      <c r="B20" s="17">
        <v>1965.0</v>
      </c>
      <c r="C20" s="9" t="s">
        <v>4735</v>
      </c>
      <c r="D20" s="9">
        <v>29.0</v>
      </c>
      <c r="E20" s="18">
        <f t="shared" si="1"/>
        <v>24075</v>
      </c>
      <c r="F20" s="9">
        <v>0.0</v>
      </c>
      <c r="G20" s="19">
        <v>11353.23</v>
      </c>
      <c r="H20" s="9" t="s">
        <v>4717</v>
      </c>
      <c r="I20" s="9" t="s">
        <v>4718</v>
      </c>
      <c r="J20" s="9" t="s">
        <v>4733</v>
      </c>
      <c r="K20" s="20">
        <f t="shared" si="2"/>
        <v>1965</v>
      </c>
      <c r="L20" s="9" t="str">
        <f t="shared" si="3"/>
        <v>tier - 3</v>
      </c>
      <c r="M20" s="9" t="str">
        <f t="shared" si="4"/>
        <v>tier - 1</v>
      </c>
      <c r="N20" s="9" t="str">
        <f t="shared" si="5"/>
        <v>R1012</v>
      </c>
      <c r="O20" s="17">
        <f t="shared" si="6"/>
        <v>57</v>
      </c>
      <c r="P20" s="18">
        <v>24075.0</v>
      </c>
    </row>
    <row r="21" ht="15.75" customHeight="1">
      <c r="A21" s="9" t="s">
        <v>1963</v>
      </c>
      <c r="B21" s="17">
        <v>1965.0</v>
      </c>
      <c r="C21" s="9" t="s">
        <v>4738</v>
      </c>
      <c r="D21" s="9">
        <v>26.0</v>
      </c>
      <c r="E21" s="18">
        <f t="shared" si="1"/>
        <v>24011</v>
      </c>
      <c r="F21" s="9">
        <v>0.0</v>
      </c>
      <c r="G21" s="19">
        <v>11356.66</v>
      </c>
      <c r="H21" s="9" t="s">
        <v>4717</v>
      </c>
      <c r="I21" s="9" t="s">
        <v>4717</v>
      </c>
      <c r="J21" s="9" t="s">
        <v>4733</v>
      </c>
      <c r="K21" s="20">
        <f t="shared" si="2"/>
        <v>1965</v>
      </c>
      <c r="L21" s="9" t="str">
        <f t="shared" si="3"/>
        <v>tier - 3</v>
      </c>
      <c r="M21" s="9" t="str">
        <f t="shared" si="4"/>
        <v>tier - 3</v>
      </c>
      <c r="N21" s="9" t="str">
        <f t="shared" si="5"/>
        <v>R1012</v>
      </c>
      <c r="O21" s="17">
        <f t="shared" si="6"/>
        <v>57</v>
      </c>
      <c r="P21" s="18">
        <v>24011.0</v>
      </c>
      <c r="Q21" s="22" t="s">
        <v>4746</v>
      </c>
      <c r="R21" s="22" t="s">
        <v>4688</v>
      </c>
      <c r="S21" s="22">
        <f>COUNTIF(M2:M2344,"tier - 1")</f>
        <v>735</v>
      </c>
    </row>
    <row r="22" ht="15.75" customHeight="1">
      <c r="A22" s="9" t="s">
        <v>1961</v>
      </c>
      <c r="B22" s="17">
        <v>1964.0</v>
      </c>
      <c r="C22" s="9" t="s">
        <v>4741</v>
      </c>
      <c r="D22" s="9">
        <v>4.0</v>
      </c>
      <c r="E22" s="18">
        <f t="shared" si="1"/>
        <v>23562</v>
      </c>
      <c r="F22" s="9">
        <v>0.0</v>
      </c>
      <c r="G22" s="19">
        <v>11362.76</v>
      </c>
      <c r="H22" s="9" t="s">
        <v>4717</v>
      </c>
      <c r="I22" s="9" t="s">
        <v>4718</v>
      </c>
      <c r="J22" s="9" t="s">
        <v>4719</v>
      </c>
      <c r="K22" s="20">
        <f t="shared" si="2"/>
        <v>1964</v>
      </c>
      <c r="L22" s="9" t="str">
        <f t="shared" si="3"/>
        <v>tier - 3</v>
      </c>
      <c r="M22" s="9" t="str">
        <f t="shared" si="4"/>
        <v>tier - 1</v>
      </c>
      <c r="N22" s="9" t="str">
        <f t="shared" si="5"/>
        <v>R1011</v>
      </c>
      <c r="O22" s="17">
        <f t="shared" si="6"/>
        <v>58</v>
      </c>
      <c r="P22" s="18">
        <v>23562.0</v>
      </c>
      <c r="Q22" s="22" t="s">
        <v>4747</v>
      </c>
      <c r="R22" s="22" t="s">
        <v>4688</v>
      </c>
      <c r="S22" s="23">
        <f>COUNTIF(M2:M2344,"tier - 2")</f>
        <v>812</v>
      </c>
    </row>
    <row r="23" ht="15.75" customHeight="1">
      <c r="A23" s="9" t="s">
        <v>197</v>
      </c>
      <c r="B23" s="17">
        <v>1966.0</v>
      </c>
      <c r="C23" s="9" t="s">
        <v>4716</v>
      </c>
      <c r="D23" s="9">
        <v>12.0</v>
      </c>
      <c r="E23" s="18">
        <f t="shared" si="1"/>
        <v>24331</v>
      </c>
      <c r="F23" s="9">
        <v>0.0</v>
      </c>
      <c r="G23" s="19">
        <v>40373.74</v>
      </c>
      <c r="H23" s="9" t="s">
        <v>4718</v>
      </c>
      <c r="I23" s="9" t="s">
        <v>4717</v>
      </c>
      <c r="J23" s="9" t="s">
        <v>4719</v>
      </c>
      <c r="K23" s="20">
        <f t="shared" si="2"/>
        <v>1966</v>
      </c>
      <c r="L23" s="9" t="str">
        <f t="shared" si="3"/>
        <v>tier - 1</v>
      </c>
      <c r="M23" s="9" t="str">
        <f t="shared" si="4"/>
        <v>tier - 3</v>
      </c>
      <c r="N23" s="9" t="str">
        <f t="shared" si="5"/>
        <v>R1011</v>
      </c>
      <c r="O23" s="17">
        <f t="shared" si="6"/>
        <v>56</v>
      </c>
      <c r="P23" s="18">
        <v>24331.0</v>
      </c>
      <c r="Q23" s="22" t="s">
        <v>4748</v>
      </c>
      <c r="R23" s="22" t="s">
        <v>4688</v>
      </c>
      <c r="S23" s="22">
        <f>COUNTIF(M2:M2344,"tier - 3")</f>
        <v>796</v>
      </c>
    </row>
    <row r="24" ht="15.75" customHeight="1">
      <c r="A24" s="9" t="s">
        <v>1959</v>
      </c>
      <c r="B24" s="17">
        <v>1964.0</v>
      </c>
      <c r="C24" s="9" t="s">
        <v>4741</v>
      </c>
      <c r="D24" s="9">
        <v>3.0</v>
      </c>
      <c r="E24" s="18">
        <f t="shared" si="1"/>
        <v>23561</v>
      </c>
      <c r="F24" s="9">
        <v>0.0</v>
      </c>
      <c r="G24" s="19">
        <v>11363.28</v>
      </c>
      <c r="H24" s="9" t="s">
        <v>4717</v>
      </c>
      <c r="I24" s="9" t="s">
        <v>4718</v>
      </c>
      <c r="J24" s="9" t="s">
        <v>4743</v>
      </c>
      <c r="K24" s="20">
        <f t="shared" si="2"/>
        <v>1964</v>
      </c>
      <c r="L24" s="9" t="str">
        <f t="shared" si="3"/>
        <v>tier - 3</v>
      </c>
      <c r="M24" s="9" t="str">
        <f t="shared" si="4"/>
        <v>tier - 1</v>
      </c>
      <c r="N24" s="9" t="str">
        <f t="shared" si="5"/>
        <v>R1013</v>
      </c>
      <c r="O24" s="17">
        <f t="shared" si="6"/>
        <v>58</v>
      </c>
      <c r="P24" s="18">
        <v>23561.0</v>
      </c>
    </row>
    <row r="25" ht="15.75" customHeight="1">
      <c r="A25" s="9" t="s">
        <v>1957</v>
      </c>
      <c r="B25" s="17">
        <v>1964.0</v>
      </c>
      <c r="C25" s="9" t="s">
        <v>4725</v>
      </c>
      <c r="D25" s="9">
        <v>13.0</v>
      </c>
      <c r="E25" s="18">
        <f t="shared" si="1"/>
        <v>23724</v>
      </c>
      <c r="F25" s="9">
        <v>0.0</v>
      </c>
      <c r="G25" s="19">
        <v>11365.95</v>
      </c>
      <c r="H25" s="9" t="s">
        <v>4717</v>
      </c>
      <c r="I25" s="9" t="s">
        <v>4723</v>
      </c>
      <c r="J25" s="9" t="s">
        <v>4719</v>
      </c>
      <c r="K25" s="20">
        <f t="shared" si="2"/>
        <v>1964</v>
      </c>
      <c r="L25" s="9" t="str">
        <f t="shared" si="3"/>
        <v>tier - 3</v>
      </c>
      <c r="M25" s="9" t="str">
        <f t="shared" si="4"/>
        <v>tier - 2</v>
      </c>
      <c r="N25" s="9" t="str">
        <f t="shared" si="5"/>
        <v>R1011</v>
      </c>
      <c r="O25" s="17">
        <f t="shared" si="6"/>
        <v>58</v>
      </c>
      <c r="P25" s="18">
        <v>23724.0</v>
      </c>
      <c r="R25" s="9" t="s">
        <v>4749</v>
      </c>
      <c r="S25" s="24"/>
    </row>
    <row r="26" ht="15.75" customHeight="1">
      <c r="A26" s="9" t="s">
        <v>1955</v>
      </c>
      <c r="B26" s="17">
        <v>1979.0</v>
      </c>
      <c r="C26" s="9" t="s">
        <v>4730</v>
      </c>
      <c r="D26" s="9">
        <v>7.0</v>
      </c>
      <c r="E26" s="18">
        <f t="shared" si="1"/>
        <v>29013</v>
      </c>
      <c r="F26" s="9">
        <v>2.0</v>
      </c>
      <c r="G26" s="19">
        <v>11369.39</v>
      </c>
      <c r="H26" s="9" t="s">
        <v>4717</v>
      </c>
      <c r="I26" s="9" t="s">
        <v>4718</v>
      </c>
      <c r="J26" s="9" t="s">
        <v>4721</v>
      </c>
      <c r="K26" s="20">
        <f t="shared" si="2"/>
        <v>1979</v>
      </c>
      <c r="L26" s="9" t="str">
        <f t="shared" si="3"/>
        <v>tier - 3</v>
      </c>
      <c r="M26" s="9" t="str">
        <f t="shared" si="4"/>
        <v>tier - 1</v>
      </c>
      <c r="N26" s="9" t="str">
        <f t="shared" si="5"/>
        <v>R1026</v>
      </c>
      <c r="O26" s="17">
        <f t="shared" si="6"/>
        <v>44</v>
      </c>
      <c r="P26" s="18">
        <v>29013.0</v>
      </c>
    </row>
    <row r="27" ht="15.75" customHeight="1">
      <c r="A27" s="9" t="s">
        <v>1953</v>
      </c>
      <c r="B27" s="17">
        <v>1972.0</v>
      </c>
      <c r="C27" s="9" t="s">
        <v>4725</v>
      </c>
      <c r="D27" s="9">
        <v>6.0</v>
      </c>
      <c r="E27" s="18">
        <f t="shared" si="1"/>
        <v>26639</v>
      </c>
      <c r="F27" s="9">
        <v>0.0</v>
      </c>
      <c r="G27" s="19">
        <v>11378.57</v>
      </c>
      <c r="H27" s="9" t="s">
        <v>4717</v>
      </c>
      <c r="I27" s="9" t="s">
        <v>4723</v>
      </c>
      <c r="J27" s="9" t="s">
        <v>4726</v>
      </c>
      <c r="K27" s="20">
        <f t="shared" si="2"/>
        <v>1972</v>
      </c>
      <c r="L27" s="9" t="str">
        <f t="shared" si="3"/>
        <v>tier - 3</v>
      </c>
      <c r="M27" s="9" t="str">
        <f t="shared" si="4"/>
        <v>tier - 2</v>
      </c>
      <c r="N27" s="9" t="str">
        <f t="shared" si="5"/>
        <v>R1025</v>
      </c>
      <c r="O27" s="17">
        <f t="shared" si="6"/>
        <v>50</v>
      </c>
      <c r="P27" s="18">
        <v>26639.0</v>
      </c>
    </row>
    <row r="28" ht="15.75" customHeight="1">
      <c r="A28" s="9" t="s">
        <v>1951</v>
      </c>
      <c r="B28" s="17">
        <v>1964.0</v>
      </c>
      <c r="C28" s="9" t="s">
        <v>4730</v>
      </c>
      <c r="D28" s="9">
        <v>13.0</v>
      </c>
      <c r="E28" s="18">
        <f t="shared" si="1"/>
        <v>23541</v>
      </c>
      <c r="F28" s="9">
        <v>0.0</v>
      </c>
      <c r="G28" s="19">
        <v>11381.33</v>
      </c>
      <c r="H28" s="9" t="s">
        <v>4717</v>
      </c>
      <c r="I28" s="9" t="s">
        <v>4723</v>
      </c>
      <c r="J28" s="9" t="s">
        <v>4743</v>
      </c>
      <c r="K28" s="20">
        <f t="shared" si="2"/>
        <v>1964</v>
      </c>
      <c r="L28" s="9" t="str">
        <f t="shared" si="3"/>
        <v>tier - 3</v>
      </c>
      <c r="M28" s="9" t="str">
        <f t="shared" si="4"/>
        <v>tier - 2</v>
      </c>
      <c r="N28" s="9" t="str">
        <f t="shared" si="5"/>
        <v>R1013</v>
      </c>
      <c r="O28" s="17">
        <f t="shared" si="6"/>
        <v>58</v>
      </c>
      <c r="P28" s="18">
        <v>23541.0</v>
      </c>
      <c r="Q28" s="18">
        <v>45085.0</v>
      </c>
    </row>
    <row r="29" ht="15.75" customHeight="1">
      <c r="A29" s="9" t="s">
        <v>1949</v>
      </c>
      <c r="B29" s="17">
        <v>1997.0</v>
      </c>
      <c r="C29" s="9" t="s">
        <v>4741</v>
      </c>
      <c r="D29" s="9">
        <v>28.0</v>
      </c>
      <c r="E29" s="18">
        <f t="shared" si="1"/>
        <v>35639</v>
      </c>
      <c r="F29" s="9">
        <v>0.0</v>
      </c>
      <c r="G29" s="19">
        <v>11388.27</v>
      </c>
      <c r="H29" s="9" t="s">
        <v>4717</v>
      </c>
      <c r="I29" s="9" t="s">
        <v>4723</v>
      </c>
      <c r="J29" s="9" t="s">
        <v>4721</v>
      </c>
      <c r="K29" s="20">
        <f t="shared" si="2"/>
        <v>1997</v>
      </c>
      <c r="L29" s="9" t="str">
        <f t="shared" si="3"/>
        <v>tier - 3</v>
      </c>
      <c r="M29" s="9" t="str">
        <f t="shared" si="4"/>
        <v>tier - 2</v>
      </c>
      <c r="N29" s="9" t="str">
        <f t="shared" si="5"/>
        <v>R1026</v>
      </c>
      <c r="O29" s="17">
        <f t="shared" si="6"/>
        <v>25</v>
      </c>
      <c r="P29" s="18">
        <v>35639.0</v>
      </c>
    </row>
    <row r="30" ht="15.75" customHeight="1">
      <c r="A30" s="9" t="s">
        <v>1947</v>
      </c>
      <c r="B30" s="17">
        <v>1967.0</v>
      </c>
      <c r="C30" s="9" t="s">
        <v>4725</v>
      </c>
      <c r="D30" s="9">
        <v>19.0</v>
      </c>
      <c r="E30" s="18">
        <f t="shared" si="1"/>
        <v>24825</v>
      </c>
      <c r="F30" s="9">
        <v>1.0</v>
      </c>
      <c r="G30" s="19">
        <v>11394.07</v>
      </c>
      <c r="H30" s="9" t="s">
        <v>4717</v>
      </c>
      <c r="I30" s="9" t="s">
        <v>4718</v>
      </c>
      <c r="J30" s="9" t="s">
        <v>4750</v>
      </c>
      <c r="K30" s="20">
        <f t="shared" si="2"/>
        <v>1967</v>
      </c>
      <c r="L30" s="9" t="str">
        <f t="shared" si="3"/>
        <v>tier - 3</v>
      </c>
      <c r="M30" s="9" t="str">
        <f t="shared" si="4"/>
        <v>tier - 1</v>
      </c>
      <c r="N30" s="9" t="str">
        <f t="shared" si="5"/>
        <v>R1018</v>
      </c>
      <c r="O30" s="17">
        <f t="shared" si="6"/>
        <v>55</v>
      </c>
      <c r="P30" s="18">
        <v>24825.0</v>
      </c>
    </row>
    <row r="31" ht="15.75" customHeight="1">
      <c r="A31" s="9" t="s">
        <v>1945</v>
      </c>
      <c r="B31" s="17">
        <v>1970.0</v>
      </c>
      <c r="C31" s="9" t="s">
        <v>4720</v>
      </c>
      <c r="D31" s="9">
        <v>2.0</v>
      </c>
      <c r="E31" s="18">
        <f t="shared" si="1"/>
        <v>25843</v>
      </c>
      <c r="F31" s="9">
        <v>2.0</v>
      </c>
      <c r="G31" s="19">
        <v>11396.9</v>
      </c>
      <c r="H31" s="9" t="s">
        <v>4717</v>
      </c>
      <c r="I31" s="9" t="s">
        <v>4717</v>
      </c>
      <c r="J31" s="9" t="s">
        <v>4731</v>
      </c>
      <c r="K31" s="20">
        <f t="shared" si="2"/>
        <v>1970</v>
      </c>
      <c r="L31" s="9" t="str">
        <f t="shared" si="3"/>
        <v>tier - 3</v>
      </c>
      <c r="M31" s="9" t="str">
        <f t="shared" si="4"/>
        <v>tier - 3</v>
      </c>
      <c r="N31" s="9" t="str">
        <f t="shared" si="5"/>
        <v>R1024</v>
      </c>
      <c r="O31" s="17">
        <f t="shared" si="6"/>
        <v>52</v>
      </c>
      <c r="P31" s="18">
        <v>25843.0</v>
      </c>
    </row>
    <row r="32" ht="15.75" customHeight="1">
      <c r="A32" s="9" t="s">
        <v>1943</v>
      </c>
      <c r="B32" s="17">
        <v>1970.0</v>
      </c>
      <c r="C32" s="9" t="s">
        <v>4720</v>
      </c>
      <c r="D32" s="9">
        <v>7.0</v>
      </c>
      <c r="E32" s="18">
        <f t="shared" si="1"/>
        <v>25848</v>
      </c>
      <c r="F32" s="9">
        <v>3.0</v>
      </c>
      <c r="G32" s="19">
        <v>11411.69</v>
      </c>
      <c r="H32" s="9" t="s">
        <v>4717</v>
      </c>
      <c r="I32" s="9" t="s">
        <v>4723</v>
      </c>
      <c r="J32" s="9" t="s">
        <v>4719</v>
      </c>
      <c r="K32" s="20">
        <f t="shared" si="2"/>
        <v>1970</v>
      </c>
      <c r="L32" s="9" t="str">
        <f t="shared" si="3"/>
        <v>tier - 3</v>
      </c>
      <c r="M32" s="9" t="str">
        <f t="shared" si="4"/>
        <v>tier - 2</v>
      </c>
      <c r="N32" s="9" t="str">
        <f t="shared" si="5"/>
        <v>R1011</v>
      </c>
      <c r="O32" s="17">
        <f t="shared" si="6"/>
        <v>52</v>
      </c>
      <c r="P32" s="18">
        <v>25848.0</v>
      </c>
    </row>
    <row r="33" ht="15.75" customHeight="1">
      <c r="A33" s="9" t="s">
        <v>1941</v>
      </c>
      <c r="B33" s="17">
        <v>1983.0</v>
      </c>
      <c r="C33" s="9" t="s">
        <v>4720</v>
      </c>
      <c r="D33" s="9">
        <v>23.0</v>
      </c>
      <c r="E33" s="18">
        <f t="shared" si="1"/>
        <v>30612</v>
      </c>
      <c r="F33" s="9">
        <v>3.0</v>
      </c>
      <c r="G33" s="19">
        <v>11412.02</v>
      </c>
      <c r="H33" s="9" t="s">
        <v>4717</v>
      </c>
      <c r="I33" s="9" t="s">
        <v>4718</v>
      </c>
      <c r="J33" s="9" t="s">
        <v>4751</v>
      </c>
      <c r="K33" s="20">
        <f t="shared" si="2"/>
        <v>1983</v>
      </c>
      <c r="L33" s="9" t="str">
        <f t="shared" si="3"/>
        <v>tier - 3</v>
      </c>
      <c r="M33" s="9" t="str">
        <f t="shared" si="4"/>
        <v>tier - 1</v>
      </c>
      <c r="N33" s="9" t="str">
        <f t="shared" si="5"/>
        <v>R1021</v>
      </c>
      <c r="O33" s="17">
        <f t="shared" si="6"/>
        <v>39</v>
      </c>
      <c r="P33" s="18">
        <v>30612.0</v>
      </c>
    </row>
    <row r="34" ht="15.75" customHeight="1">
      <c r="A34" s="9" t="s">
        <v>195</v>
      </c>
      <c r="B34" s="17">
        <v>1985.0</v>
      </c>
      <c r="C34" s="9" t="s">
        <v>4735</v>
      </c>
      <c r="D34" s="9">
        <v>3.0</v>
      </c>
      <c r="E34" s="18">
        <f t="shared" si="1"/>
        <v>31354</v>
      </c>
      <c r="F34" s="9">
        <v>0.0</v>
      </c>
      <c r="G34" s="19">
        <v>40419.02</v>
      </c>
      <c r="H34" s="9" t="s">
        <v>4718</v>
      </c>
      <c r="I34" s="9" t="s">
        <v>4723</v>
      </c>
      <c r="J34" s="9" t="s">
        <v>4743</v>
      </c>
      <c r="K34" s="20">
        <f t="shared" si="2"/>
        <v>1985</v>
      </c>
      <c r="L34" s="9" t="str">
        <f t="shared" si="3"/>
        <v>tier - 1</v>
      </c>
      <c r="M34" s="9" t="str">
        <f t="shared" si="4"/>
        <v>tier - 2</v>
      </c>
      <c r="N34" s="9" t="str">
        <f t="shared" si="5"/>
        <v>R1013</v>
      </c>
      <c r="O34" s="17">
        <f t="shared" si="6"/>
        <v>37</v>
      </c>
      <c r="P34" s="18">
        <v>31354.0</v>
      </c>
    </row>
    <row r="35" ht="15.75" customHeight="1">
      <c r="A35" s="9" t="s">
        <v>1939</v>
      </c>
      <c r="B35" s="17">
        <v>1985.0</v>
      </c>
      <c r="C35" s="9" t="s">
        <v>4730</v>
      </c>
      <c r="D35" s="9">
        <v>9.0</v>
      </c>
      <c r="E35" s="18">
        <f t="shared" si="1"/>
        <v>31207</v>
      </c>
      <c r="F35" s="9">
        <v>3.0</v>
      </c>
      <c r="G35" s="19">
        <v>11419.49</v>
      </c>
      <c r="H35" s="9" t="s">
        <v>4717</v>
      </c>
      <c r="I35" s="9" t="s">
        <v>4718</v>
      </c>
      <c r="J35" s="9" t="s">
        <v>4733</v>
      </c>
      <c r="K35" s="20">
        <f t="shared" si="2"/>
        <v>1985</v>
      </c>
      <c r="L35" s="9" t="str">
        <f t="shared" si="3"/>
        <v>tier - 3</v>
      </c>
      <c r="M35" s="9" t="str">
        <f t="shared" si="4"/>
        <v>tier - 1</v>
      </c>
      <c r="N35" s="9" t="str">
        <f t="shared" si="5"/>
        <v>R1012</v>
      </c>
      <c r="O35" s="17">
        <f t="shared" si="6"/>
        <v>37</v>
      </c>
      <c r="P35" s="18">
        <v>31207.0</v>
      </c>
    </row>
    <row r="36" ht="15.75" customHeight="1">
      <c r="A36" s="9" t="s">
        <v>1937</v>
      </c>
      <c r="B36" s="17">
        <v>1980.0</v>
      </c>
      <c r="C36" s="9" t="s">
        <v>4741</v>
      </c>
      <c r="D36" s="9">
        <v>17.0</v>
      </c>
      <c r="E36" s="18">
        <f t="shared" si="1"/>
        <v>29419</v>
      </c>
      <c r="F36" s="9">
        <v>2.0</v>
      </c>
      <c r="G36" s="19">
        <v>11435.74</v>
      </c>
      <c r="H36" s="9" t="s">
        <v>4717</v>
      </c>
      <c r="I36" s="9" t="s">
        <v>4717</v>
      </c>
      <c r="J36" s="9" t="s">
        <v>4751</v>
      </c>
      <c r="K36" s="20">
        <f t="shared" si="2"/>
        <v>1980</v>
      </c>
      <c r="L36" s="9" t="str">
        <f t="shared" si="3"/>
        <v>tier - 3</v>
      </c>
      <c r="M36" s="9" t="str">
        <f t="shared" si="4"/>
        <v>tier - 3</v>
      </c>
      <c r="N36" s="9" t="str">
        <f t="shared" si="5"/>
        <v>R1021</v>
      </c>
      <c r="O36" s="17">
        <f t="shared" si="6"/>
        <v>42</v>
      </c>
      <c r="P36" s="18">
        <v>29419.0</v>
      </c>
    </row>
    <row r="37" ht="15.75" customHeight="1">
      <c r="A37" s="9" t="s">
        <v>1935</v>
      </c>
      <c r="B37" s="17">
        <v>1971.0</v>
      </c>
      <c r="C37" s="9" t="s">
        <v>4738</v>
      </c>
      <c r="D37" s="9">
        <v>12.0</v>
      </c>
      <c r="E37" s="18">
        <f t="shared" si="1"/>
        <v>26188</v>
      </c>
      <c r="F37" s="9">
        <v>3.0</v>
      </c>
      <c r="G37" s="19">
        <v>11436.74</v>
      </c>
      <c r="H37" s="9" t="s">
        <v>4717</v>
      </c>
      <c r="I37" s="9" t="s">
        <v>4717</v>
      </c>
      <c r="J37" s="9" t="s">
        <v>4733</v>
      </c>
      <c r="K37" s="20">
        <f t="shared" si="2"/>
        <v>1971</v>
      </c>
      <c r="L37" s="9" t="str">
        <f t="shared" si="3"/>
        <v>tier - 3</v>
      </c>
      <c r="M37" s="9" t="str">
        <f t="shared" si="4"/>
        <v>tier - 3</v>
      </c>
      <c r="N37" s="9" t="str">
        <f t="shared" si="5"/>
        <v>R1012</v>
      </c>
      <c r="O37" s="17">
        <f t="shared" si="6"/>
        <v>51</v>
      </c>
      <c r="P37" s="18">
        <v>26188.0</v>
      </c>
    </row>
    <row r="38" ht="15.75" customHeight="1">
      <c r="A38" s="9" t="s">
        <v>1933</v>
      </c>
      <c r="B38" s="17">
        <v>1966.0</v>
      </c>
      <c r="C38" s="9" t="s">
        <v>4730</v>
      </c>
      <c r="D38" s="9">
        <v>14.0</v>
      </c>
      <c r="E38" s="18">
        <f t="shared" si="1"/>
        <v>24272</v>
      </c>
      <c r="F38" s="9">
        <v>0.0</v>
      </c>
      <c r="G38" s="19">
        <v>11454.02</v>
      </c>
      <c r="H38" s="9" t="s">
        <v>4717</v>
      </c>
      <c r="I38" s="9" t="s">
        <v>4718</v>
      </c>
      <c r="J38" s="9" t="s">
        <v>4733</v>
      </c>
      <c r="K38" s="20">
        <f t="shared" si="2"/>
        <v>1966</v>
      </c>
      <c r="L38" s="9" t="str">
        <f t="shared" si="3"/>
        <v>tier - 3</v>
      </c>
      <c r="M38" s="9" t="str">
        <f t="shared" si="4"/>
        <v>tier - 1</v>
      </c>
      <c r="N38" s="9" t="str">
        <f t="shared" si="5"/>
        <v>R1012</v>
      </c>
      <c r="O38" s="17">
        <f t="shared" si="6"/>
        <v>56</v>
      </c>
      <c r="P38" s="18">
        <v>24272.0</v>
      </c>
    </row>
    <row r="39" ht="15.75" customHeight="1">
      <c r="A39" s="9" t="s">
        <v>1931</v>
      </c>
      <c r="B39" s="17">
        <v>1965.0</v>
      </c>
      <c r="C39" s="9" t="s">
        <v>4730</v>
      </c>
      <c r="D39" s="9">
        <v>23.0</v>
      </c>
      <c r="E39" s="18">
        <f t="shared" si="1"/>
        <v>23916</v>
      </c>
      <c r="F39" s="9">
        <v>0.0</v>
      </c>
      <c r="G39" s="19">
        <v>11455.28</v>
      </c>
      <c r="H39" s="9" t="s">
        <v>4717</v>
      </c>
      <c r="I39" s="9" t="s">
        <v>4723</v>
      </c>
      <c r="J39" s="9" t="s">
        <v>4719</v>
      </c>
      <c r="K39" s="20">
        <f t="shared" si="2"/>
        <v>1965</v>
      </c>
      <c r="L39" s="9" t="str">
        <f t="shared" si="3"/>
        <v>tier - 3</v>
      </c>
      <c r="M39" s="9" t="str">
        <f t="shared" si="4"/>
        <v>tier - 2</v>
      </c>
      <c r="N39" s="9" t="str">
        <f t="shared" si="5"/>
        <v>R1011</v>
      </c>
      <c r="O39" s="17">
        <f t="shared" si="6"/>
        <v>57</v>
      </c>
      <c r="P39" s="18">
        <v>23916.0</v>
      </c>
    </row>
    <row r="40" ht="15.75" customHeight="1">
      <c r="A40" s="9" t="s">
        <v>1929</v>
      </c>
      <c r="B40" s="17">
        <v>1966.0</v>
      </c>
      <c r="C40" s="9" t="s">
        <v>4738</v>
      </c>
      <c r="D40" s="9">
        <v>7.0</v>
      </c>
      <c r="E40" s="18">
        <f t="shared" si="1"/>
        <v>24357</v>
      </c>
      <c r="F40" s="9">
        <v>0.0</v>
      </c>
      <c r="G40" s="19">
        <v>11478.14</v>
      </c>
      <c r="H40" s="9" t="s">
        <v>4717</v>
      </c>
      <c r="I40" s="9" t="s">
        <v>4723</v>
      </c>
      <c r="J40" s="9" t="s">
        <v>4726</v>
      </c>
      <c r="K40" s="20">
        <f t="shared" si="2"/>
        <v>1966</v>
      </c>
      <c r="L40" s="9" t="str">
        <f t="shared" si="3"/>
        <v>tier - 3</v>
      </c>
      <c r="M40" s="9" t="str">
        <f t="shared" si="4"/>
        <v>tier - 2</v>
      </c>
      <c r="N40" s="9" t="str">
        <f t="shared" si="5"/>
        <v>R1025</v>
      </c>
      <c r="O40" s="17">
        <f t="shared" si="6"/>
        <v>56</v>
      </c>
      <c r="P40" s="18">
        <v>24357.0</v>
      </c>
    </row>
    <row r="41" ht="15.75" customHeight="1">
      <c r="A41" s="9" t="s">
        <v>1927</v>
      </c>
      <c r="B41" s="17">
        <v>2004.0</v>
      </c>
      <c r="C41" s="9" t="s">
        <v>4738</v>
      </c>
      <c r="D41" s="9">
        <v>10.0</v>
      </c>
      <c r="E41" s="18">
        <f t="shared" si="1"/>
        <v>38240</v>
      </c>
      <c r="F41" s="9">
        <v>0.0</v>
      </c>
      <c r="G41" s="19">
        <v>11482.63</v>
      </c>
      <c r="H41" s="9" t="s">
        <v>4717</v>
      </c>
      <c r="I41" s="9" t="s">
        <v>4723</v>
      </c>
      <c r="J41" s="9" t="s">
        <v>4743</v>
      </c>
      <c r="K41" s="20">
        <f t="shared" si="2"/>
        <v>2004</v>
      </c>
      <c r="L41" s="9" t="str">
        <f t="shared" si="3"/>
        <v>tier - 3</v>
      </c>
      <c r="M41" s="9" t="str">
        <f t="shared" si="4"/>
        <v>tier - 2</v>
      </c>
      <c r="N41" s="9" t="str">
        <f t="shared" si="5"/>
        <v>R1013</v>
      </c>
      <c r="O41" s="17">
        <f t="shared" si="6"/>
        <v>18</v>
      </c>
      <c r="P41" s="18">
        <v>38240.0</v>
      </c>
    </row>
    <row r="42" ht="15.75" customHeight="1">
      <c r="A42" s="9" t="s">
        <v>1925</v>
      </c>
      <c r="B42" s="17">
        <v>1970.0</v>
      </c>
      <c r="C42" s="9" t="s">
        <v>4720</v>
      </c>
      <c r="D42" s="9">
        <v>13.0</v>
      </c>
      <c r="E42" s="18">
        <f t="shared" si="1"/>
        <v>25854</v>
      </c>
      <c r="F42" s="9">
        <v>3.0</v>
      </c>
      <c r="G42" s="19">
        <v>11488.32</v>
      </c>
      <c r="H42" s="9" t="s">
        <v>4717</v>
      </c>
      <c r="I42" s="9" t="s">
        <v>4718</v>
      </c>
      <c r="J42" s="9" t="s">
        <v>4752</v>
      </c>
      <c r="K42" s="20">
        <f t="shared" si="2"/>
        <v>1970</v>
      </c>
      <c r="L42" s="9" t="str">
        <f t="shared" si="3"/>
        <v>tier - 3</v>
      </c>
      <c r="M42" s="9" t="str">
        <f t="shared" si="4"/>
        <v>tier - 1</v>
      </c>
      <c r="N42" s="9" t="str">
        <f t="shared" si="5"/>
        <v>R1014</v>
      </c>
      <c r="O42" s="17">
        <f t="shared" si="6"/>
        <v>52</v>
      </c>
      <c r="P42" s="18">
        <v>25854.0</v>
      </c>
    </row>
    <row r="43" ht="15.75" customHeight="1">
      <c r="A43" s="9" t="s">
        <v>1923</v>
      </c>
      <c r="B43" s="17">
        <v>1983.0</v>
      </c>
      <c r="C43" s="9" t="s">
        <v>4730</v>
      </c>
      <c r="D43" s="9">
        <v>7.0</v>
      </c>
      <c r="E43" s="18">
        <f t="shared" si="1"/>
        <v>30474</v>
      </c>
      <c r="F43" s="9">
        <v>3.0</v>
      </c>
      <c r="G43" s="19">
        <v>11492.46</v>
      </c>
      <c r="H43" s="9" t="s">
        <v>4717</v>
      </c>
      <c r="I43" s="9" t="s">
        <v>4717</v>
      </c>
      <c r="J43" s="9" t="s">
        <v>4721</v>
      </c>
      <c r="K43" s="20">
        <f t="shared" si="2"/>
        <v>1983</v>
      </c>
      <c r="L43" s="9" t="str">
        <f t="shared" si="3"/>
        <v>tier - 3</v>
      </c>
      <c r="M43" s="9" t="str">
        <f t="shared" si="4"/>
        <v>tier - 3</v>
      </c>
      <c r="N43" s="9" t="str">
        <f t="shared" si="5"/>
        <v>R1026</v>
      </c>
      <c r="O43" s="17">
        <f t="shared" si="6"/>
        <v>40</v>
      </c>
      <c r="P43" s="18">
        <v>30474.0</v>
      </c>
    </row>
    <row r="44" ht="15.75" customHeight="1">
      <c r="A44" s="9" t="s">
        <v>1921</v>
      </c>
      <c r="B44" s="17">
        <v>1969.0</v>
      </c>
      <c r="C44" s="9" t="s">
        <v>4716</v>
      </c>
      <c r="D44" s="9">
        <v>11.0</v>
      </c>
      <c r="E44" s="18">
        <f t="shared" si="1"/>
        <v>25426</v>
      </c>
      <c r="F44" s="9">
        <v>0.0</v>
      </c>
      <c r="G44" s="19">
        <v>11497.69</v>
      </c>
      <c r="H44" s="9" t="s">
        <v>4717</v>
      </c>
      <c r="I44" s="9" t="s">
        <v>4718</v>
      </c>
      <c r="J44" s="9" t="s">
        <v>4733</v>
      </c>
      <c r="K44" s="20">
        <f t="shared" si="2"/>
        <v>1969</v>
      </c>
      <c r="L44" s="9" t="str">
        <f t="shared" si="3"/>
        <v>tier - 3</v>
      </c>
      <c r="M44" s="9" t="str">
        <f t="shared" si="4"/>
        <v>tier - 1</v>
      </c>
      <c r="N44" s="9" t="str">
        <f t="shared" si="5"/>
        <v>R1012</v>
      </c>
      <c r="O44" s="17">
        <f t="shared" si="6"/>
        <v>53</v>
      </c>
      <c r="P44" s="18">
        <v>25426.0</v>
      </c>
    </row>
    <row r="45" ht="15.75" customHeight="1">
      <c r="A45" s="9" t="s">
        <v>193</v>
      </c>
      <c r="B45" s="17">
        <v>1975.0</v>
      </c>
      <c r="C45" s="9" t="s">
        <v>4741</v>
      </c>
      <c r="D45" s="9">
        <v>10.0</v>
      </c>
      <c r="E45" s="18">
        <f t="shared" si="1"/>
        <v>27585</v>
      </c>
      <c r="F45" s="9">
        <v>1.0</v>
      </c>
      <c r="G45" s="19">
        <v>40590.55</v>
      </c>
      <c r="H45" s="9" t="s">
        <v>4718</v>
      </c>
      <c r="I45" s="9" t="s">
        <v>4717</v>
      </c>
      <c r="J45" s="9" t="s">
        <v>4733</v>
      </c>
      <c r="K45" s="20">
        <f t="shared" si="2"/>
        <v>1975</v>
      </c>
      <c r="L45" s="9" t="str">
        <f t="shared" si="3"/>
        <v>tier - 1</v>
      </c>
      <c r="M45" s="9" t="str">
        <f t="shared" si="4"/>
        <v>tier - 3</v>
      </c>
      <c r="N45" s="9" t="str">
        <f t="shared" si="5"/>
        <v>R1012</v>
      </c>
      <c r="O45" s="17">
        <f t="shared" si="6"/>
        <v>47</v>
      </c>
      <c r="P45" s="18">
        <v>27585.0</v>
      </c>
    </row>
    <row r="46" ht="15.75" customHeight="1">
      <c r="A46" s="9" t="s">
        <v>1919</v>
      </c>
      <c r="B46" s="17">
        <v>1989.0</v>
      </c>
      <c r="C46" s="9" t="s">
        <v>4720</v>
      </c>
      <c r="D46" s="9">
        <v>6.0</v>
      </c>
      <c r="E46" s="18">
        <f t="shared" si="1"/>
        <v>32787</v>
      </c>
      <c r="F46" s="9">
        <v>3.0</v>
      </c>
      <c r="G46" s="19">
        <v>11511.61</v>
      </c>
      <c r="H46" s="9" t="s">
        <v>4717</v>
      </c>
      <c r="I46" s="9" t="s">
        <v>4717</v>
      </c>
      <c r="J46" s="9" t="s">
        <v>4721</v>
      </c>
      <c r="K46" s="20">
        <f t="shared" si="2"/>
        <v>1989</v>
      </c>
      <c r="L46" s="9" t="str">
        <f t="shared" si="3"/>
        <v>tier - 3</v>
      </c>
      <c r="M46" s="9" t="str">
        <f t="shared" si="4"/>
        <v>tier - 3</v>
      </c>
      <c r="N46" s="9" t="str">
        <f t="shared" si="5"/>
        <v>R1026</v>
      </c>
      <c r="O46" s="17">
        <f t="shared" si="6"/>
        <v>33</v>
      </c>
      <c r="P46" s="18">
        <v>32787.0</v>
      </c>
    </row>
    <row r="47" ht="15.75" customHeight="1">
      <c r="A47" s="9" t="s">
        <v>1917</v>
      </c>
      <c r="B47" s="17">
        <v>1968.0</v>
      </c>
      <c r="C47" s="9" t="s">
        <v>4730</v>
      </c>
      <c r="D47" s="9">
        <v>24.0</v>
      </c>
      <c r="E47" s="18">
        <f t="shared" si="1"/>
        <v>25013</v>
      </c>
      <c r="F47" s="9">
        <v>1.0</v>
      </c>
      <c r="G47" s="19">
        <v>11512.41</v>
      </c>
      <c r="H47" s="9" t="s">
        <v>4717</v>
      </c>
      <c r="I47" s="9" t="s">
        <v>4718</v>
      </c>
      <c r="J47" s="9" t="s">
        <v>4731</v>
      </c>
      <c r="K47" s="20">
        <f t="shared" si="2"/>
        <v>1968</v>
      </c>
      <c r="L47" s="9" t="str">
        <f t="shared" si="3"/>
        <v>tier - 3</v>
      </c>
      <c r="M47" s="9" t="str">
        <f t="shared" si="4"/>
        <v>tier - 1</v>
      </c>
      <c r="N47" s="9" t="str">
        <f t="shared" si="5"/>
        <v>R1024</v>
      </c>
      <c r="O47" s="17">
        <f t="shared" si="6"/>
        <v>54</v>
      </c>
      <c r="P47" s="18">
        <v>25013.0</v>
      </c>
    </row>
    <row r="48" ht="15.75" customHeight="1">
      <c r="A48" s="9" t="s">
        <v>1915</v>
      </c>
      <c r="B48" s="17">
        <v>1971.0</v>
      </c>
      <c r="C48" s="9" t="s">
        <v>4725</v>
      </c>
      <c r="D48" s="9">
        <v>19.0</v>
      </c>
      <c r="E48" s="18">
        <f t="shared" si="1"/>
        <v>26286</v>
      </c>
      <c r="F48" s="9">
        <v>4.0</v>
      </c>
      <c r="G48" s="19">
        <v>11520.1</v>
      </c>
      <c r="H48" s="9" t="s">
        <v>4717</v>
      </c>
      <c r="I48" s="9" t="s">
        <v>4718</v>
      </c>
      <c r="J48" s="9" t="s">
        <v>4733</v>
      </c>
      <c r="K48" s="20">
        <f t="shared" si="2"/>
        <v>1971</v>
      </c>
      <c r="L48" s="9" t="str">
        <f t="shared" si="3"/>
        <v>tier - 3</v>
      </c>
      <c r="M48" s="9" t="str">
        <f t="shared" si="4"/>
        <v>tier - 1</v>
      </c>
      <c r="N48" s="9" t="str">
        <f t="shared" si="5"/>
        <v>R1012</v>
      </c>
      <c r="O48" s="17">
        <f t="shared" si="6"/>
        <v>51</v>
      </c>
      <c r="P48" s="18">
        <v>26286.0</v>
      </c>
    </row>
    <row r="49" ht="15.75" customHeight="1">
      <c r="A49" s="9" t="s">
        <v>1913</v>
      </c>
      <c r="B49" s="17">
        <v>1988.0</v>
      </c>
      <c r="C49" s="9" t="s">
        <v>4730</v>
      </c>
      <c r="D49" s="9">
        <v>12.0</v>
      </c>
      <c r="E49" s="18">
        <f t="shared" si="1"/>
        <v>32306</v>
      </c>
      <c r="F49" s="9">
        <v>3.0</v>
      </c>
      <c r="G49" s="19">
        <v>11524.25</v>
      </c>
      <c r="H49" s="9" t="s">
        <v>4717</v>
      </c>
      <c r="I49" s="9" t="s">
        <v>4718</v>
      </c>
      <c r="J49" s="9" t="s">
        <v>4721</v>
      </c>
      <c r="K49" s="20">
        <f t="shared" si="2"/>
        <v>1988</v>
      </c>
      <c r="L49" s="9" t="str">
        <f t="shared" si="3"/>
        <v>tier - 3</v>
      </c>
      <c r="M49" s="9" t="str">
        <f t="shared" si="4"/>
        <v>tier - 1</v>
      </c>
      <c r="N49" s="9" t="str">
        <f t="shared" si="5"/>
        <v>R1026</v>
      </c>
      <c r="O49" s="17">
        <f t="shared" si="6"/>
        <v>34</v>
      </c>
      <c r="P49" s="18">
        <v>32306.0</v>
      </c>
    </row>
    <row r="50" ht="15.75" customHeight="1">
      <c r="A50" s="9" t="s">
        <v>1911</v>
      </c>
      <c r="B50" s="17">
        <v>1970.0</v>
      </c>
      <c r="C50" s="9" t="s">
        <v>4741</v>
      </c>
      <c r="D50" s="9">
        <v>23.0</v>
      </c>
      <c r="E50" s="18">
        <f t="shared" si="1"/>
        <v>25772</v>
      </c>
      <c r="F50" s="9">
        <v>0.0</v>
      </c>
      <c r="G50" s="19">
        <v>11530.12</v>
      </c>
      <c r="H50" s="9" t="s">
        <v>4717</v>
      </c>
      <c r="I50" s="9" t="s">
        <v>4718</v>
      </c>
      <c r="J50" s="9" t="s">
        <v>4733</v>
      </c>
      <c r="K50" s="20">
        <f t="shared" si="2"/>
        <v>1970</v>
      </c>
      <c r="L50" s="9" t="str">
        <f t="shared" si="3"/>
        <v>tier - 3</v>
      </c>
      <c r="M50" s="9" t="str">
        <f t="shared" si="4"/>
        <v>tier - 1</v>
      </c>
      <c r="N50" s="9" t="str">
        <f t="shared" si="5"/>
        <v>R1012</v>
      </c>
      <c r="O50" s="17">
        <f t="shared" si="6"/>
        <v>52</v>
      </c>
      <c r="P50" s="18">
        <v>25772.0</v>
      </c>
    </row>
    <row r="51" ht="15.75" customHeight="1">
      <c r="A51" s="9" t="s">
        <v>1909</v>
      </c>
      <c r="B51" s="17">
        <v>1965.0</v>
      </c>
      <c r="C51" s="9" t="s">
        <v>4720</v>
      </c>
      <c r="D51" s="9">
        <v>3.0</v>
      </c>
      <c r="E51" s="18">
        <f t="shared" si="1"/>
        <v>24018</v>
      </c>
      <c r="F51" s="9">
        <v>0.0</v>
      </c>
      <c r="G51" s="19">
        <v>11534.87</v>
      </c>
      <c r="H51" s="9" t="s">
        <v>4717</v>
      </c>
      <c r="I51" s="9" t="s">
        <v>4718</v>
      </c>
      <c r="J51" s="9" t="s">
        <v>4753</v>
      </c>
      <c r="K51" s="20">
        <f t="shared" si="2"/>
        <v>1965</v>
      </c>
      <c r="L51" s="9" t="str">
        <f t="shared" si="3"/>
        <v>tier - 3</v>
      </c>
      <c r="M51" s="9" t="str">
        <f t="shared" si="4"/>
        <v>tier - 1</v>
      </c>
      <c r="N51" s="9" t="str">
        <f t="shared" si="5"/>
        <v>R1017</v>
      </c>
      <c r="O51" s="17">
        <f t="shared" si="6"/>
        <v>57</v>
      </c>
      <c r="P51" s="18">
        <v>24018.0</v>
      </c>
    </row>
    <row r="52" ht="15.75" customHeight="1">
      <c r="A52" s="9" t="s">
        <v>1907</v>
      </c>
      <c r="B52" s="17">
        <v>1968.0</v>
      </c>
      <c r="C52" s="9" t="s">
        <v>4735</v>
      </c>
      <c r="D52" s="9">
        <v>14.0</v>
      </c>
      <c r="E52" s="18">
        <f t="shared" si="1"/>
        <v>25156</v>
      </c>
      <c r="F52" s="9">
        <v>2.0</v>
      </c>
      <c r="G52" s="19">
        <v>11538.42</v>
      </c>
      <c r="H52" s="9" t="s">
        <v>4717</v>
      </c>
      <c r="I52" s="9" t="s">
        <v>4718</v>
      </c>
      <c r="J52" s="9" t="s">
        <v>4719</v>
      </c>
      <c r="K52" s="20">
        <f t="shared" si="2"/>
        <v>1968</v>
      </c>
      <c r="L52" s="9" t="str">
        <f t="shared" si="3"/>
        <v>tier - 3</v>
      </c>
      <c r="M52" s="9" t="str">
        <f t="shared" si="4"/>
        <v>tier - 1</v>
      </c>
      <c r="N52" s="9" t="str">
        <f t="shared" si="5"/>
        <v>R1011</v>
      </c>
      <c r="O52" s="17">
        <f t="shared" si="6"/>
        <v>54</v>
      </c>
      <c r="P52" s="18">
        <v>25156.0</v>
      </c>
    </row>
    <row r="53" ht="15.75" customHeight="1">
      <c r="A53" s="9" t="s">
        <v>1905</v>
      </c>
      <c r="B53" s="17">
        <v>1971.0</v>
      </c>
      <c r="C53" s="9" t="s">
        <v>4725</v>
      </c>
      <c r="D53" s="9">
        <v>1.0</v>
      </c>
      <c r="E53" s="18">
        <f t="shared" si="1"/>
        <v>26268</v>
      </c>
      <c r="F53" s="9">
        <v>0.0</v>
      </c>
      <c r="G53" s="19">
        <v>11540.25</v>
      </c>
      <c r="H53" s="9" t="s">
        <v>4717</v>
      </c>
      <c r="I53" s="9" t="s">
        <v>4718</v>
      </c>
      <c r="J53" s="9" t="s">
        <v>4733</v>
      </c>
      <c r="K53" s="20">
        <f t="shared" si="2"/>
        <v>1971</v>
      </c>
      <c r="L53" s="9" t="str">
        <f t="shared" si="3"/>
        <v>tier - 3</v>
      </c>
      <c r="M53" s="9" t="str">
        <f t="shared" si="4"/>
        <v>tier - 1</v>
      </c>
      <c r="N53" s="9" t="str">
        <f t="shared" si="5"/>
        <v>R1012</v>
      </c>
      <c r="O53" s="17">
        <f t="shared" si="6"/>
        <v>51</v>
      </c>
      <c r="P53" s="18">
        <v>26268.0</v>
      </c>
    </row>
    <row r="54" ht="15.75" customHeight="1">
      <c r="A54" s="9" t="s">
        <v>1903</v>
      </c>
      <c r="B54" s="17">
        <v>1973.0</v>
      </c>
      <c r="C54" s="9" t="s">
        <v>4741</v>
      </c>
      <c r="D54" s="9">
        <v>23.0</v>
      </c>
      <c r="E54" s="18">
        <f t="shared" si="1"/>
        <v>26868</v>
      </c>
      <c r="F54" s="9">
        <v>5.0</v>
      </c>
      <c r="G54" s="19">
        <v>11552.9</v>
      </c>
      <c r="H54" s="9" t="s">
        <v>4717</v>
      </c>
      <c r="I54" s="9" t="s">
        <v>4723</v>
      </c>
      <c r="J54" s="9" t="s">
        <v>4719</v>
      </c>
      <c r="K54" s="20">
        <f t="shared" si="2"/>
        <v>1973</v>
      </c>
      <c r="L54" s="9" t="str">
        <f t="shared" si="3"/>
        <v>tier - 3</v>
      </c>
      <c r="M54" s="9" t="str">
        <f t="shared" si="4"/>
        <v>tier - 2</v>
      </c>
      <c r="N54" s="9" t="str">
        <f t="shared" si="5"/>
        <v>R1011</v>
      </c>
      <c r="O54" s="17">
        <f t="shared" si="6"/>
        <v>49</v>
      </c>
      <c r="P54" s="18">
        <v>26868.0</v>
      </c>
    </row>
    <row r="55" ht="15.75" customHeight="1">
      <c r="A55" s="9" t="s">
        <v>1901</v>
      </c>
      <c r="B55" s="17">
        <v>1965.0</v>
      </c>
      <c r="C55" s="9" t="s">
        <v>4720</v>
      </c>
      <c r="D55" s="9">
        <v>27.0</v>
      </c>
      <c r="E55" s="18">
        <f t="shared" si="1"/>
        <v>24042</v>
      </c>
      <c r="F55" s="9">
        <v>1.0</v>
      </c>
      <c r="G55" s="19">
        <v>11554.22</v>
      </c>
      <c r="H55" s="9" t="s">
        <v>4717</v>
      </c>
      <c r="I55" s="9" t="s">
        <v>4718</v>
      </c>
      <c r="J55" s="9" t="s">
        <v>4743</v>
      </c>
      <c r="K55" s="20">
        <f t="shared" si="2"/>
        <v>1965</v>
      </c>
      <c r="L55" s="9" t="str">
        <f t="shared" si="3"/>
        <v>tier - 3</v>
      </c>
      <c r="M55" s="9" t="str">
        <f t="shared" si="4"/>
        <v>tier - 1</v>
      </c>
      <c r="N55" s="9" t="str">
        <f t="shared" si="5"/>
        <v>R1013</v>
      </c>
      <c r="O55" s="17">
        <f t="shared" si="6"/>
        <v>57</v>
      </c>
      <c r="P55" s="18">
        <v>24042.0</v>
      </c>
    </row>
    <row r="56" ht="15.75" customHeight="1">
      <c r="A56" s="9" t="s">
        <v>191</v>
      </c>
      <c r="B56" s="17">
        <v>1970.0</v>
      </c>
      <c r="C56" s="9" t="s">
        <v>4738</v>
      </c>
      <c r="D56" s="9">
        <v>25.0</v>
      </c>
      <c r="E56" s="18">
        <f t="shared" si="1"/>
        <v>25836</v>
      </c>
      <c r="F56" s="9">
        <v>0.0</v>
      </c>
      <c r="G56" s="19">
        <v>40692.91</v>
      </c>
      <c r="H56" s="9" t="s">
        <v>4718</v>
      </c>
      <c r="I56" s="9" t="s">
        <v>4718</v>
      </c>
      <c r="J56" s="9" t="s">
        <v>4719</v>
      </c>
      <c r="K56" s="20">
        <f t="shared" si="2"/>
        <v>1970</v>
      </c>
      <c r="L56" s="9" t="str">
        <f t="shared" si="3"/>
        <v>tier - 1</v>
      </c>
      <c r="M56" s="9" t="str">
        <f t="shared" si="4"/>
        <v>tier - 1</v>
      </c>
      <c r="N56" s="9" t="str">
        <f t="shared" si="5"/>
        <v>R1011</v>
      </c>
      <c r="O56" s="17">
        <f t="shared" si="6"/>
        <v>52</v>
      </c>
      <c r="P56" s="18">
        <v>25836.0</v>
      </c>
    </row>
    <row r="57" ht="15.75" customHeight="1">
      <c r="A57" s="9" t="s">
        <v>1899</v>
      </c>
      <c r="B57" s="17">
        <v>1965.0</v>
      </c>
      <c r="C57" s="9" t="s">
        <v>4725</v>
      </c>
      <c r="D57" s="9">
        <v>25.0</v>
      </c>
      <c r="E57" s="18">
        <f t="shared" si="1"/>
        <v>24101</v>
      </c>
      <c r="F57" s="9">
        <v>0.0</v>
      </c>
      <c r="G57" s="19">
        <v>11566.3</v>
      </c>
      <c r="H57" s="9" t="s">
        <v>4717</v>
      </c>
      <c r="I57" s="9" t="s">
        <v>4717</v>
      </c>
      <c r="J57" s="9" t="s">
        <v>4754</v>
      </c>
      <c r="K57" s="20">
        <f t="shared" si="2"/>
        <v>1965</v>
      </c>
      <c r="L57" s="9" t="str">
        <f t="shared" si="3"/>
        <v>tier - 3</v>
      </c>
      <c r="M57" s="9" t="str">
        <f t="shared" si="4"/>
        <v>tier - 3</v>
      </c>
      <c r="N57" s="9" t="str">
        <f t="shared" si="5"/>
        <v>R1016</v>
      </c>
      <c r="O57" s="17">
        <f t="shared" si="6"/>
        <v>57</v>
      </c>
      <c r="P57" s="18">
        <v>24101.0</v>
      </c>
    </row>
    <row r="58" ht="15.75" customHeight="1">
      <c r="A58" s="9" t="s">
        <v>1897</v>
      </c>
      <c r="B58" s="17">
        <v>1965.0</v>
      </c>
      <c r="C58" s="9" t="s">
        <v>4735</v>
      </c>
      <c r="D58" s="9">
        <v>6.0</v>
      </c>
      <c r="E58" s="18">
        <f t="shared" si="1"/>
        <v>24052</v>
      </c>
      <c r="F58" s="9">
        <v>1.0</v>
      </c>
      <c r="G58" s="19">
        <v>11576.13</v>
      </c>
      <c r="H58" s="9" t="s">
        <v>4717</v>
      </c>
      <c r="I58" s="9" t="s">
        <v>4717</v>
      </c>
      <c r="J58" s="9" t="s">
        <v>4719</v>
      </c>
      <c r="K58" s="20">
        <f t="shared" si="2"/>
        <v>1965</v>
      </c>
      <c r="L58" s="9" t="str">
        <f t="shared" si="3"/>
        <v>tier - 3</v>
      </c>
      <c r="M58" s="9" t="str">
        <f t="shared" si="4"/>
        <v>tier - 3</v>
      </c>
      <c r="N58" s="9" t="str">
        <f t="shared" si="5"/>
        <v>R1011</v>
      </c>
      <c r="O58" s="17">
        <f t="shared" si="6"/>
        <v>57</v>
      </c>
      <c r="P58" s="18">
        <v>24052.0</v>
      </c>
    </row>
    <row r="59" ht="15.75" customHeight="1">
      <c r="A59" s="9" t="s">
        <v>1895</v>
      </c>
      <c r="B59" s="17">
        <v>1964.0</v>
      </c>
      <c r="C59" s="9" t="s">
        <v>4730</v>
      </c>
      <c r="D59" s="9">
        <v>20.0</v>
      </c>
      <c r="E59" s="18">
        <f t="shared" si="1"/>
        <v>23548</v>
      </c>
      <c r="F59" s="9">
        <v>0.0</v>
      </c>
      <c r="G59" s="19">
        <v>11602.75</v>
      </c>
      <c r="H59" s="9" t="s">
        <v>4717</v>
      </c>
      <c r="I59" s="9" t="s">
        <v>4718</v>
      </c>
      <c r="J59" s="9" t="s">
        <v>4755</v>
      </c>
      <c r="K59" s="20">
        <f t="shared" si="2"/>
        <v>1964</v>
      </c>
      <c r="L59" s="9" t="str">
        <f t="shared" si="3"/>
        <v>tier - 3</v>
      </c>
      <c r="M59" s="9" t="str">
        <f t="shared" si="4"/>
        <v>tier - 1</v>
      </c>
      <c r="N59" s="9" t="str">
        <f t="shared" si="5"/>
        <v>R1020</v>
      </c>
      <c r="O59" s="17">
        <f t="shared" si="6"/>
        <v>58</v>
      </c>
      <c r="P59" s="18">
        <v>23548.0</v>
      </c>
    </row>
    <row r="60" ht="15.75" customHeight="1">
      <c r="A60" s="9" t="s">
        <v>1893</v>
      </c>
      <c r="B60" s="17">
        <v>1986.0</v>
      </c>
      <c r="C60" s="9" t="s">
        <v>4741</v>
      </c>
      <c r="D60" s="9">
        <v>17.0</v>
      </c>
      <c r="E60" s="18">
        <f t="shared" si="1"/>
        <v>31610</v>
      </c>
      <c r="F60" s="9">
        <v>3.0</v>
      </c>
      <c r="G60" s="19">
        <v>11625.11</v>
      </c>
      <c r="H60" s="9" t="s">
        <v>4717</v>
      </c>
      <c r="I60" s="9" t="s">
        <v>4717</v>
      </c>
      <c r="J60" s="9" t="s">
        <v>4736</v>
      </c>
      <c r="K60" s="20">
        <f t="shared" si="2"/>
        <v>1986</v>
      </c>
      <c r="L60" s="9" t="str">
        <f t="shared" si="3"/>
        <v>tier - 3</v>
      </c>
      <c r="M60" s="9" t="str">
        <f t="shared" si="4"/>
        <v>tier - 3</v>
      </c>
      <c r="N60" s="9" t="str">
        <f t="shared" si="5"/>
        <v>R1022</v>
      </c>
      <c r="O60" s="17">
        <f t="shared" si="6"/>
        <v>36</v>
      </c>
      <c r="P60" s="18">
        <v>31610.0</v>
      </c>
    </row>
    <row r="61" ht="15.75" customHeight="1">
      <c r="A61" s="9" t="s">
        <v>1891</v>
      </c>
      <c r="B61" s="17">
        <v>1966.0</v>
      </c>
      <c r="C61" s="9" t="s">
        <v>4720</v>
      </c>
      <c r="D61" s="9">
        <v>4.0</v>
      </c>
      <c r="E61" s="18">
        <f t="shared" si="1"/>
        <v>24384</v>
      </c>
      <c r="F61" s="9">
        <v>0.0</v>
      </c>
      <c r="G61" s="19">
        <v>11657.72</v>
      </c>
      <c r="H61" s="9" t="s">
        <v>4717</v>
      </c>
      <c r="I61" s="9" t="s">
        <v>4723</v>
      </c>
      <c r="J61" s="9" t="s">
        <v>4731</v>
      </c>
      <c r="K61" s="20">
        <f t="shared" si="2"/>
        <v>1966</v>
      </c>
      <c r="L61" s="9" t="str">
        <f t="shared" si="3"/>
        <v>tier - 3</v>
      </c>
      <c r="M61" s="9" t="str">
        <f t="shared" si="4"/>
        <v>tier - 2</v>
      </c>
      <c r="N61" s="9" t="str">
        <f t="shared" si="5"/>
        <v>R1024</v>
      </c>
      <c r="O61" s="17">
        <f t="shared" si="6"/>
        <v>56</v>
      </c>
      <c r="P61" s="18">
        <v>24384.0</v>
      </c>
    </row>
    <row r="62" ht="15.75" customHeight="1">
      <c r="A62" s="9" t="s">
        <v>1889</v>
      </c>
      <c r="B62" s="17">
        <v>1994.0</v>
      </c>
      <c r="C62" s="9" t="s">
        <v>4741</v>
      </c>
      <c r="D62" s="9">
        <v>20.0</v>
      </c>
      <c r="E62" s="18">
        <f t="shared" si="1"/>
        <v>34535</v>
      </c>
      <c r="F62" s="9">
        <v>0.0</v>
      </c>
      <c r="G62" s="19">
        <v>11657.81</v>
      </c>
      <c r="H62" s="9" t="s">
        <v>4717</v>
      </c>
      <c r="I62" s="9" t="s">
        <v>4723</v>
      </c>
      <c r="J62" s="9" t="s">
        <v>4756</v>
      </c>
      <c r="K62" s="20">
        <f t="shared" si="2"/>
        <v>1994</v>
      </c>
      <c r="L62" s="9" t="str">
        <f t="shared" si="3"/>
        <v>tier - 3</v>
      </c>
      <c r="M62" s="9" t="str">
        <f t="shared" si="4"/>
        <v>tier - 2</v>
      </c>
      <c r="N62" s="9" t="str">
        <f t="shared" si="5"/>
        <v>R1023</v>
      </c>
      <c r="O62" s="17">
        <f t="shared" si="6"/>
        <v>28</v>
      </c>
      <c r="P62" s="18">
        <v>34535.0</v>
      </c>
    </row>
    <row r="63" ht="15.75" customHeight="1">
      <c r="A63" s="9" t="s">
        <v>1887</v>
      </c>
      <c r="B63" s="17">
        <v>1966.0</v>
      </c>
      <c r="C63" s="9" t="s">
        <v>4741</v>
      </c>
      <c r="D63" s="9">
        <v>6.0</v>
      </c>
      <c r="E63" s="18">
        <f t="shared" si="1"/>
        <v>24294</v>
      </c>
      <c r="F63" s="9">
        <v>0.0</v>
      </c>
      <c r="G63" s="19">
        <v>11658.12</v>
      </c>
      <c r="H63" s="9" t="s">
        <v>4717</v>
      </c>
      <c r="I63" s="9" t="s">
        <v>4718</v>
      </c>
      <c r="J63" s="9" t="s">
        <v>4731</v>
      </c>
      <c r="K63" s="20">
        <f t="shared" si="2"/>
        <v>1966</v>
      </c>
      <c r="L63" s="9" t="str">
        <f t="shared" si="3"/>
        <v>tier - 3</v>
      </c>
      <c r="M63" s="9" t="str">
        <f t="shared" si="4"/>
        <v>tier - 1</v>
      </c>
      <c r="N63" s="9" t="str">
        <f t="shared" si="5"/>
        <v>R1024</v>
      </c>
      <c r="O63" s="17">
        <f t="shared" si="6"/>
        <v>56</v>
      </c>
      <c r="P63" s="18">
        <v>24294.0</v>
      </c>
    </row>
    <row r="64" ht="15.75" customHeight="1">
      <c r="A64" s="9" t="s">
        <v>1885</v>
      </c>
      <c r="B64" s="17">
        <v>1966.0</v>
      </c>
      <c r="C64" s="9" t="s">
        <v>4716</v>
      </c>
      <c r="D64" s="9">
        <v>23.0</v>
      </c>
      <c r="E64" s="18">
        <f t="shared" si="1"/>
        <v>24342</v>
      </c>
      <c r="F64" s="9">
        <v>0.0</v>
      </c>
      <c r="G64" s="19">
        <v>11658.38</v>
      </c>
      <c r="H64" s="9" t="s">
        <v>4717</v>
      </c>
      <c r="I64" s="9" t="s">
        <v>4717</v>
      </c>
      <c r="J64" s="9" t="s">
        <v>4731</v>
      </c>
      <c r="K64" s="20">
        <f t="shared" si="2"/>
        <v>1966</v>
      </c>
      <c r="L64" s="9" t="str">
        <f t="shared" si="3"/>
        <v>tier - 3</v>
      </c>
      <c r="M64" s="9" t="str">
        <f t="shared" si="4"/>
        <v>tier - 3</v>
      </c>
      <c r="N64" s="9" t="str">
        <f t="shared" si="5"/>
        <v>R1024</v>
      </c>
      <c r="O64" s="17">
        <f t="shared" si="6"/>
        <v>56</v>
      </c>
      <c r="P64" s="18">
        <v>24342.0</v>
      </c>
    </row>
    <row r="65" ht="15.75" customHeight="1">
      <c r="A65" s="9" t="s">
        <v>1883</v>
      </c>
      <c r="B65" s="17">
        <v>1966.0</v>
      </c>
      <c r="C65" s="9" t="s">
        <v>4735</v>
      </c>
      <c r="D65" s="9">
        <v>9.0</v>
      </c>
      <c r="E65" s="18">
        <f t="shared" si="1"/>
        <v>24420</v>
      </c>
      <c r="F65" s="9">
        <v>1.0</v>
      </c>
      <c r="G65" s="19">
        <v>11674.13</v>
      </c>
      <c r="H65" s="9" t="s">
        <v>4717</v>
      </c>
      <c r="I65" s="9" t="s">
        <v>4718</v>
      </c>
      <c r="J65" s="9" t="s">
        <v>4719</v>
      </c>
      <c r="K65" s="20">
        <f t="shared" si="2"/>
        <v>1966</v>
      </c>
      <c r="L65" s="9" t="str">
        <f t="shared" si="3"/>
        <v>tier - 3</v>
      </c>
      <c r="M65" s="9" t="str">
        <f t="shared" si="4"/>
        <v>tier - 1</v>
      </c>
      <c r="N65" s="9" t="str">
        <f t="shared" si="5"/>
        <v>R1011</v>
      </c>
      <c r="O65" s="17">
        <f t="shared" si="6"/>
        <v>56</v>
      </c>
      <c r="P65" s="18">
        <v>24420.0</v>
      </c>
    </row>
    <row r="66" ht="15.75" customHeight="1">
      <c r="A66" s="9" t="s">
        <v>1881</v>
      </c>
      <c r="B66" s="17">
        <v>1970.0</v>
      </c>
      <c r="C66" s="9" t="s">
        <v>4725</v>
      </c>
      <c r="D66" s="9">
        <v>1.0</v>
      </c>
      <c r="E66" s="18">
        <f t="shared" si="1"/>
        <v>25903</v>
      </c>
      <c r="F66" s="9">
        <v>0.0</v>
      </c>
      <c r="G66" s="19">
        <v>11696.52</v>
      </c>
      <c r="H66" s="9" t="s">
        <v>4717</v>
      </c>
      <c r="I66" s="9" t="s">
        <v>4718</v>
      </c>
      <c r="J66" s="9" t="s">
        <v>4751</v>
      </c>
      <c r="K66" s="20">
        <f t="shared" si="2"/>
        <v>1970</v>
      </c>
      <c r="L66" s="9" t="str">
        <f t="shared" si="3"/>
        <v>tier - 3</v>
      </c>
      <c r="M66" s="9" t="str">
        <f t="shared" si="4"/>
        <v>tier - 1</v>
      </c>
      <c r="N66" s="9" t="str">
        <f t="shared" si="5"/>
        <v>R1021</v>
      </c>
      <c r="O66" s="17">
        <f t="shared" si="6"/>
        <v>52</v>
      </c>
      <c r="P66" s="18">
        <v>25903.0</v>
      </c>
    </row>
    <row r="67" ht="15.75" customHeight="1">
      <c r="A67" s="9" t="s">
        <v>189</v>
      </c>
      <c r="B67" s="17">
        <v>1976.0</v>
      </c>
      <c r="C67" s="9" t="s">
        <v>4725</v>
      </c>
      <c r="D67" s="9">
        <v>26.0</v>
      </c>
      <c r="E67" s="18">
        <f t="shared" si="1"/>
        <v>28120</v>
      </c>
      <c r="F67" s="9">
        <v>3.0</v>
      </c>
      <c r="G67" s="19">
        <v>40720.55</v>
      </c>
      <c r="H67" s="9" t="s">
        <v>4718</v>
      </c>
      <c r="I67" s="9" t="s">
        <v>4717</v>
      </c>
      <c r="J67" s="9" t="s">
        <v>4733</v>
      </c>
      <c r="K67" s="20">
        <f t="shared" si="2"/>
        <v>1976</v>
      </c>
      <c r="L67" s="9" t="str">
        <f t="shared" si="3"/>
        <v>tier - 1</v>
      </c>
      <c r="M67" s="9" t="str">
        <f t="shared" si="4"/>
        <v>tier - 3</v>
      </c>
      <c r="N67" s="9" t="str">
        <f t="shared" si="5"/>
        <v>R1012</v>
      </c>
      <c r="O67" s="17">
        <f t="shared" si="6"/>
        <v>46</v>
      </c>
      <c r="P67" s="18">
        <v>28120.0</v>
      </c>
    </row>
    <row r="68" ht="15.75" customHeight="1">
      <c r="A68" s="9" t="s">
        <v>1879</v>
      </c>
      <c r="B68" s="17">
        <v>1982.0</v>
      </c>
      <c r="C68" s="9" t="s">
        <v>4720</v>
      </c>
      <c r="D68" s="9">
        <v>21.0</v>
      </c>
      <c r="E68" s="18">
        <f t="shared" si="1"/>
        <v>30245</v>
      </c>
      <c r="F68" s="9">
        <v>3.0</v>
      </c>
      <c r="G68" s="19">
        <v>11712.97</v>
      </c>
      <c r="H68" s="9" t="s">
        <v>4717</v>
      </c>
      <c r="I68" s="9" t="s">
        <v>4723</v>
      </c>
      <c r="J68" s="9" t="s">
        <v>4751</v>
      </c>
      <c r="K68" s="20">
        <f t="shared" si="2"/>
        <v>1982</v>
      </c>
      <c r="L68" s="9" t="str">
        <f t="shared" si="3"/>
        <v>tier - 3</v>
      </c>
      <c r="M68" s="9" t="str">
        <f t="shared" si="4"/>
        <v>tier - 2</v>
      </c>
      <c r="N68" s="9" t="str">
        <f t="shared" si="5"/>
        <v>R1021</v>
      </c>
      <c r="O68" s="17">
        <f t="shared" si="6"/>
        <v>40</v>
      </c>
      <c r="P68" s="18">
        <v>30245.0</v>
      </c>
    </row>
    <row r="69" ht="15.75" customHeight="1">
      <c r="A69" s="9" t="s">
        <v>1877</v>
      </c>
      <c r="B69" s="17">
        <v>1969.0</v>
      </c>
      <c r="C69" s="9" t="s">
        <v>4720</v>
      </c>
      <c r="D69" s="9">
        <v>12.0</v>
      </c>
      <c r="E69" s="18">
        <f t="shared" si="1"/>
        <v>25488</v>
      </c>
      <c r="F69" s="9">
        <v>2.0</v>
      </c>
      <c r="G69" s="19">
        <v>11729.68</v>
      </c>
      <c r="H69" s="9" t="s">
        <v>4717</v>
      </c>
      <c r="I69" s="9" t="s">
        <v>4718</v>
      </c>
      <c r="J69" s="9" t="s">
        <v>4731</v>
      </c>
      <c r="K69" s="20">
        <f t="shared" si="2"/>
        <v>1969</v>
      </c>
      <c r="L69" s="9" t="str">
        <f t="shared" si="3"/>
        <v>tier - 3</v>
      </c>
      <c r="M69" s="9" t="str">
        <f t="shared" si="4"/>
        <v>tier - 1</v>
      </c>
      <c r="N69" s="9" t="str">
        <f t="shared" si="5"/>
        <v>R1024</v>
      </c>
      <c r="O69" s="17">
        <f t="shared" si="6"/>
        <v>53</v>
      </c>
      <c r="P69" s="18">
        <v>25488.0</v>
      </c>
    </row>
    <row r="70" ht="15.75" customHeight="1">
      <c r="A70" s="9" t="s">
        <v>1875</v>
      </c>
      <c r="B70" s="17">
        <v>1984.0</v>
      </c>
      <c r="C70" s="9" t="s">
        <v>4735</v>
      </c>
      <c r="D70" s="9">
        <v>26.0</v>
      </c>
      <c r="E70" s="18">
        <f t="shared" si="1"/>
        <v>31012</v>
      </c>
      <c r="F70" s="9">
        <v>3.0</v>
      </c>
      <c r="G70" s="19">
        <v>11730.82</v>
      </c>
      <c r="H70" s="9" t="s">
        <v>4717</v>
      </c>
      <c r="I70" s="9" t="s">
        <v>4717</v>
      </c>
      <c r="J70" s="9" t="s">
        <v>4721</v>
      </c>
      <c r="K70" s="20">
        <f t="shared" si="2"/>
        <v>1984</v>
      </c>
      <c r="L70" s="9" t="str">
        <f t="shared" si="3"/>
        <v>tier - 3</v>
      </c>
      <c r="M70" s="9" t="str">
        <f t="shared" si="4"/>
        <v>tier - 3</v>
      </c>
      <c r="N70" s="9" t="str">
        <f t="shared" si="5"/>
        <v>R1026</v>
      </c>
      <c r="O70" s="17">
        <f t="shared" si="6"/>
        <v>38</v>
      </c>
      <c r="P70" s="18">
        <v>31012.0</v>
      </c>
    </row>
    <row r="71" ht="15.75" customHeight="1">
      <c r="A71" s="9" t="s">
        <v>1873</v>
      </c>
      <c r="B71" s="17">
        <v>1964.0</v>
      </c>
      <c r="C71" s="9" t="s">
        <v>4735</v>
      </c>
      <c r="D71" s="9">
        <v>9.0</v>
      </c>
      <c r="E71" s="18">
        <f t="shared" si="1"/>
        <v>23690</v>
      </c>
      <c r="F71" s="9">
        <v>0.0</v>
      </c>
      <c r="G71" s="19">
        <v>11735.88</v>
      </c>
      <c r="H71" s="9" t="s">
        <v>4717</v>
      </c>
      <c r="I71" s="9" t="s">
        <v>4718</v>
      </c>
      <c r="J71" s="9" t="s">
        <v>4733</v>
      </c>
      <c r="K71" s="20">
        <f t="shared" si="2"/>
        <v>1964</v>
      </c>
      <c r="L71" s="9" t="str">
        <f t="shared" si="3"/>
        <v>tier - 3</v>
      </c>
      <c r="M71" s="9" t="str">
        <f t="shared" si="4"/>
        <v>tier - 1</v>
      </c>
      <c r="N71" s="9" t="str">
        <f t="shared" si="5"/>
        <v>R1012</v>
      </c>
      <c r="O71" s="17">
        <f t="shared" si="6"/>
        <v>58</v>
      </c>
      <c r="P71" s="18">
        <v>23690.0</v>
      </c>
    </row>
    <row r="72" ht="15.75" customHeight="1">
      <c r="A72" s="9" t="s">
        <v>1871</v>
      </c>
      <c r="B72" s="17">
        <v>1988.0</v>
      </c>
      <c r="C72" s="9" t="s">
        <v>4738</v>
      </c>
      <c r="D72" s="9">
        <v>5.0</v>
      </c>
      <c r="E72" s="18">
        <f t="shared" si="1"/>
        <v>32391</v>
      </c>
      <c r="F72" s="9">
        <v>2.0</v>
      </c>
      <c r="G72" s="19">
        <v>11737.85</v>
      </c>
      <c r="H72" s="9" t="s">
        <v>4717</v>
      </c>
      <c r="I72" s="9" t="s">
        <v>4718</v>
      </c>
      <c r="J72" s="9" t="s">
        <v>4719</v>
      </c>
      <c r="K72" s="20">
        <f t="shared" si="2"/>
        <v>1988</v>
      </c>
      <c r="L72" s="9" t="str">
        <f t="shared" si="3"/>
        <v>tier - 3</v>
      </c>
      <c r="M72" s="9" t="str">
        <f t="shared" si="4"/>
        <v>tier - 1</v>
      </c>
      <c r="N72" s="9" t="str">
        <f t="shared" si="5"/>
        <v>R1011</v>
      </c>
      <c r="O72" s="17">
        <f t="shared" si="6"/>
        <v>34</v>
      </c>
      <c r="P72" s="18">
        <v>32391.0</v>
      </c>
    </row>
    <row r="73" ht="15.75" customHeight="1">
      <c r="A73" s="9" t="s">
        <v>1869</v>
      </c>
      <c r="B73" s="17">
        <v>1969.0</v>
      </c>
      <c r="C73" s="9" t="s">
        <v>4735</v>
      </c>
      <c r="D73" s="9">
        <v>12.0</v>
      </c>
      <c r="E73" s="18">
        <f t="shared" si="1"/>
        <v>25519</v>
      </c>
      <c r="F73" s="9">
        <v>3.0</v>
      </c>
      <c r="G73" s="19">
        <v>11741.73</v>
      </c>
      <c r="H73" s="9" t="s">
        <v>4717</v>
      </c>
      <c r="I73" s="9" t="s">
        <v>4718</v>
      </c>
      <c r="J73" s="9" t="s">
        <v>4719</v>
      </c>
      <c r="K73" s="20">
        <f t="shared" si="2"/>
        <v>1969</v>
      </c>
      <c r="L73" s="9" t="str">
        <f t="shared" si="3"/>
        <v>tier - 3</v>
      </c>
      <c r="M73" s="9" t="str">
        <f t="shared" si="4"/>
        <v>tier - 1</v>
      </c>
      <c r="N73" s="9" t="str">
        <f t="shared" si="5"/>
        <v>R1011</v>
      </c>
      <c r="O73" s="17">
        <f t="shared" si="6"/>
        <v>53</v>
      </c>
      <c r="P73" s="18">
        <v>25519.0</v>
      </c>
    </row>
    <row r="74" ht="15.75" customHeight="1">
      <c r="A74" s="9" t="s">
        <v>1867</v>
      </c>
      <c r="B74" s="17">
        <v>1963.0</v>
      </c>
      <c r="C74" s="9" t="s">
        <v>4730</v>
      </c>
      <c r="D74" s="9">
        <v>9.0</v>
      </c>
      <c r="E74" s="18">
        <f t="shared" si="1"/>
        <v>23171</v>
      </c>
      <c r="F74" s="9">
        <v>0.0</v>
      </c>
      <c r="G74" s="19">
        <v>11743.3</v>
      </c>
      <c r="H74" s="9" t="s">
        <v>4717</v>
      </c>
      <c r="I74" s="9" t="s">
        <v>4717</v>
      </c>
      <c r="J74" s="9" t="s">
        <v>4743</v>
      </c>
      <c r="K74" s="20">
        <f t="shared" si="2"/>
        <v>1963</v>
      </c>
      <c r="L74" s="9" t="str">
        <f t="shared" si="3"/>
        <v>tier - 3</v>
      </c>
      <c r="M74" s="9" t="str">
        <f t="shared" si="4"/>
        <v>tier - 3</v>
      </c>
      <c r="N74" s="9" t="str">
        <f t="shared" si="5"/>
        <v>R1013</v>
      </c>
      <c r="O74" s="17">
        <f t="shared" si="6"/>
        <v>59</v>
      </c>
      <c r="P74" s="18">
        <v>23171.0</v>
      </c>
    </row>
    <row r="75" ht="15.75" customHeight="1">
      <c r="A75" s="9" t="s">
        <v>1865</v>
      </c>
      <c r="B75" s="17">
        <v>1964.0</v>
      </c>
      <c r="C75" s="9" t="s">
        <v>4725</v>
      </c>
      <c r="D75" s="9">
        <v>2.0</v>
      </c>
      <c r="E75" s="18">
        <f t="shared" si="1"/>
        <v>23713</v>
      </c>
      <c r="F75" s="9">
        <v>0.0</v>
      </c>
      <c r="G75" s="19">
        <v>11743.93</v>
      </c>
      <c r="H75" s="9" t="s">
        <v>4717</v>
      </c>
      <c r="I75" s="9" t="s">
        <v>4718</v>
      </c>
      <c r="J75" s="9" t="s">
        <v>4733</v>
      </c>
      <c r="K75" s="20">
        <f t="shared" si="2"/>
        <v>1964</v>
      </c>
      <c r="L75" s="9" t="str">
        <f t="shared" si="3"/>
        <v>tier - 3</v>
      </c>
      <c r="M75" s="9" t="str">
        <f t="shared" si="4"/>
        <v>tier - 1</v>
      </c>
      <c r="N75" s="9" t="str">
        <f t="shared" si="5"/>
        <v>R1012</v>
      </c>
      <c r="O75" s="17">
        <f t="shared" si="6"/>
        <v>58</v>
      </c>
      <c r="P75" s="18">
        <v>23713.0</v>
      </c>
    </row>
    <row r="76" ht="15.75" customHeight="1">
      <c r="A76" s="9" t="s">
        <v>1863</v>
      </c>
      <c r="B76" s="17">
        <v>1979.0</v>
      </c>
      <c r="C76" s="9" t="s">
        <v>4735</v>
      </c>
      <c r="D76" s="9">
        <v>6.0</v>
      </c>
      <c r="E76" s="18">
        <f t="shared" si="1"/>
        <v>29165</v>
      </c>
      <c r="F76" s="9">
        <v>2.0</v>
      </c>
      <c r="G76" s="19">
        <v>11752.68</v>
      </c>
      <c r="H76" s="9" t="s">
        <v>4717</v>
      </c>
      <c r="I76" s="9" t="s">
        <v>4718</v>
      </c>
      <c r="J76" s="9" t="s">
        <v>4721</v>
      </c>
      <c r="K76" s="20">
        <f t="shared" si="2"/>
        <v>1979</v>
      </c>
      <c r="L76" s="9" t="str">
        <f t="shared" si="3"/>
        <v>tier - 3</v>
      </c>
      <c r="M76" s="9" t="str">
        <f t="shared" si="4"/>
        <v>tier - 1</v>
      </c>
      <c r="N76" s="9" t="str">
        <f t="shared" si="5"/>
        <v>R1026</v>
      </c>
      <c r="O76" s="17">
        <f t="shared" si="6"/>
        <v>43</v>
      </c>
      <c r="P76" s="18">
        <v>29165.0</v>
      </c>
    </row>
    <row r="77" ht="15.75" customHeight="1">
      <c r="A77" s="9" t="s">
        <v>1861</v>
      </c>
      <c r="B77" s="17">
        <v>1966.0</v>
      </c>
      <c r="C77" s="9" t="s">
        <v>4741</v>
      </c>
      <c r="D77" s="9">
        <v>25.0</v>
      </c>
      <c r="E77" s="18">
        <f t="shared" si="1"/>
        <v>24313</v>
      </c>
      <c r="F77" s="9">
        <v>1.0</v>
      </c>
      <c r="G77" s="19">
        <v>11763.0</v>
      </c>
      <c r="H77" s="9" t="s">
        <v>4717</v>
      </c>
      <c r="I77" s="9" t="s">
        <v>4717</v>
      </c>
      <c r="J77" s="9" t="s">
        <v>4754</v>
      </c>
      <c r="K77" s="20">
        <f t="shared" si="2"/>
        <v>1966</v>
      </c>
      <c r="L77" s="9" t="str">
        <f t="shared" si="3"/>
        <v>tier - 3</v>
      </c>
      <c r="M77" s="9" t="str">
        <f t="shared" si="4"/>
        <v>tier - 3</v>
      </c>
      <c r="N77" s="9" t="str">
        <f t="shared" si="5"/>
        <v>R1016</v>
      </c>
      <c r="O77" s="17">
        <f t="shared" si="6"/>
        <v>56</v>
      </c>
      <c r="P77" s="18">
        <v>24313.0</v>
      </c>
    </row>
    <row r="78" ht="15.75" customHeight="1">
      <c r="A78" s="9" t="s">
        <v>187</v>
      </c>
      <c r="B78" s="17">
        <v>1972.0</v>
      </c>
      <c r="C78" s="9" t="s">
        <v>4730</v>
      </c>
      <c r="D78" s="9">
        <v>10.0</v>
      </c>
      <c r="E78" s="18">
        <f t="shared" si="1"/>
        <v>26460</v>
      </c>
      <c r="F78" s="9">
        <v>0.0</v>
      </c>
      <c r="G78" s="19">
        <v>40817.85</v>
      </c>
      <c r="H78" s="9" t="s">
        <v>4718</v>
      </c>
      <c r="I78" s="9" t="s">
        <v>4717</v>
      </c>
      <c r="J78" s="9" t="s">
        <v>4719</v>
      </c>
      <c r="K78" s="20">
        <f t="shared" si="2"/>
        <v>1972</v>
      </c>
      <c r="L78" s="9" t="str">
        <f t="shared" si="3"/>
        <v>tier - 1</v>
      </c>
      <c r="M78" s="9" t="str">
        <f t="shared" si="4"/>
        <v>tier - 3</v>
      </c>
      <c r="N78" s="9" t="str">
        <f t="shared" si="5"/>
        <v>R1011</v>
      </c>
      <c r="O78" s="17">
        <f t="shared" si="6"/>
        <v>50</v>
      </c>
      <c r="P78" s="18">
        <v>26460.0</v>
      </c>
    </row>
    <row r="79" ht="15.75" customHeight="1">
      <c r="A79" s="9" t="s">
        <v>1859</v>
      </c>
      <c r="B79" s="17">
        <v>1982.0</v>
      </c>
      <c r="C79" s="9" t="s">
        <v>4735</v>
      </c>
      <c r="D79" s="9">
        <v>20.0</v>
      </c>
      <c r="E79" s="18">
        <f t="shared" si="1"/>
        <v>30275</v>
      </c>
      <c r="F79" s="9">
        <v>3.0</v>
      </c>
      <c r="G79" s="19">
        <v>11773.06</v>
      </c>
      <c r="H79" s="9" t="s">
        <v>4717</v>
      </c>
      <c r="I79" s="9" t="s">
        <v>4717</v>
      </c>
      <c r="J79" s="9" t="s">
        <v>4721</v>
      </c>
      <c r="K79" s="20">
        <f t="shared" si="2"/>
        <v>1982</v>
      </c>
      <c r="L79" s="9" t="str">
        <f t="shared" si="3"/>
        <v>tier - 3</v>
      </c>
      <c r="M79" s="9" t="str">
        <f t="shared" si="4"/>
        <v>tier - 3</v>
      </c>
      <c r="N79" s="9" t="str">
        <f t="shared" si="5"/>
        <v>R1026</v>
      </c>
      <c r="O79" s="17">
        <f t="shared" si="6"/>
        <v>40</v>
      </c>
      <c r="P79" s="18">
        <v>30275.0</v>
      </c>
    </row>
    <row r="80" ht="15.75" customHeight="1">
      <c r="A80" s="9" t="s">
        <v>1857</v>
      </c>
      <c r="B80" s="17">
        <v>1965.0</v>
      </c>
      <c r="C80" s="9" t="s">
        <v>4720</v>
      </c>
      <c r="D80" s="9">
        <v>3.0</v>
      </c>
      <c r="E80" s="18">
        <f t="shared" si="1"/>
        <v>24018</v>
      </c>
      <c r="F80" s="9">
        <v>0.0</v>
      </c>
      <c r="G80" s="19">
        <v>11830.61</v>
      </c>
      <c r="H80" s="9" t="s">
        <v>4717</v>
      </c>
      <c r="I80" s="9" t="s">
        <v>4718</v>
      </c>
      <c r="J80" s="9" t="s">
        <v>4733</v>
      </c>
      <c r="K80" s="20">
        <f t="shared" si="2"/>
        <v>1965</v>
      </c>
      <c r="L80" s="9" t="str">
        <f t="shared" si="3"/>
        <v>tier - 3</v>
      </c>
      <c r="M80" s="9" t="str">
        <f t="shared" si="4"/>
        <v>tier - 1</v>
      </c>
      <c r="N80" s="9" t="str">
        <f t="shared" si="5"/>
        <v>R1012</v>
      </c>
      <c r="O80" s="17">
        <f t="shared" si="6"/>
        <v>57</v>
      </c>
      <c r="P80" s="18">
        <v>24018.0</v>
      </c>
    </row>
    <row r="81" ht="15.75" customHeight="1">
      <c r="A81" s="9" t="s">
        <v>1855</v>
      </c>
      <c r="B81" s="17">
        <v>1964.0</v>
      </c>
      <c r="C81" s="9" t="s">
        <v>4730</v>
      </c>
      <c r="D81" s="9">
        <v>27.0</v>
      </c>
      <c r="E81" s="18">
        <f t="shared" si="1"/>
        <v>23555</v>
      </c>
      <c r="F81" s="9">
        <v>0.0</v>
      </c>
      <c r="G81" s="19">
        <v>11833.78</v>
      </c>
      <c r="H81" s="9" t="s">
        <v>4717</v>
      </c>
      <c r="I81" s="9" t="s">
        <v>4717</v>
      </c>
      <c r="J81" s="9" t="s">
        <v>4743</v>
      </c>
      <c r="K81" s="20">
        <f t="shared" si="2"/>
        <v>1964</v>
      </c>
      <c r="L81" s="9" t="str">
        <f t="shared" si="3"/>
        <v>tier - 3</v>
      </c>
      <c r="M81" s="9" t="str">
        <f t="shared" si="4"/>
        <v>tier - 3</v>
      </c>
      <c r="N81" s="9" t="str">
        <f t="shared" si="5"/>
        <v>R1013</v>
      </c>
      <c r="O81" s="17">
        <f t="shared" si="6"/>
        <v>58</v>
      </c>
      <c r="P81" s="18">
        <v>23555.0</v>
      </c>
    </row>
    <row r="82" ht="15.75" customHeight="1">
      <c r="A82" s="9" t="s">
        <v>1853</v>
      </c>
      <c r="B82" s="17">
        <v>1964.0</v>
      </c>
      <c r="C82" s="9" t="s">
        <v>4738</v>
      </c>
      <c r="D82" s="9">
        <v>11.0</v>
      </c>
      <c r="E82" s="18">
        <f t="shared" si="1"/>
        <v>23631</v>
      </c>
      <c r="F82" s="9">
        <v>0.0</v>
      </c>
      <c r="G82" s="19">
        <v>11837.16</v>
      </c>
      <c r="H82" s="9" t="s">
        <v>4717</v>
      </c>
      <c r="I82" s="9" t="s">
        <v>4717</v>
      </c>
      <c r="J82" s="9" t="s">
        <v>4719</v>
      </c>
      <c r="K82" s="20">
        <f t="shared" si="2"/>
        <v>1964</v>
      </c>
      <c r="L82" s="9" t="str">
        <f t="shared" si="3"/>
        <v>tier - 3</v>
      </c>
      <c r="M82" s="9" t="str">
        <f t="shared" si="4"/>
        <v>tier - 3</v>
      </c>
      <c r="N82" s="9" t="str">
        <f t="shared" si="5"/>
        <v>R1011</v>
      </c>
      <c r="O82" s="17">
        <f t="shared" si="6"/>
        <v>58</v>
      </c>
      <c r="P82" s="18">
        <v>23631.0</v>
      </c>
    </row>
    <row r="83" ht="15.75" customHeight="1">
      <c r="A83" s="9" t="s">
        <v>1851</v>
      </c>
      <c r="B83" s="17">
        <v>1965.0</v>
      </c>
      <c r="C83" s="9" t="s">
        <v>4738</v>
      </c>
      <c r="D83" s="9">
        <v>25.0</v>
      </c>
      <c r="E83" s="18">
        <f t="shared" si="1"/>
        <v>24010</v>
      </c>
      <c r="F83" s="9">
        <v>0.0</v>
      </c>
      <c r="G83" s="19">
        <v>11840.78</v>
      </c>
      <c r="H83" s="9" t="s">
        <v>4717</v>
      </c>
      <c r="I83" s="9" t="s">
        <v>4723</v>
      </c>
      <c r="J83" s="9" t="s">
        <v>4733</v>
      </c>
      <c r="K83" s="20">
        <f t="shared" si="2"/>
        <v>1965</v>
      </c>
      <c r="L83" s="9" t="str">
        <f t="shared" si="3"/>
        <v>tier - 3</v>
      </c>
      <c r="M83" s="9" t="str">
        <f t="shared" si="4"/>
        <v>tier - 2</v>
      </c>
      <c r="N83" s="9" t="str">
        <f t="shared" si="5"/>
        <v>R1012</v>
      </c>
      <c r="O83" s="17">
        <f t="shared" si="6"/>
        <v>57</v>
      </c>
      <c r="P83" s="18">
        <v>24010.0</v>
      </c>
    </row>
    <row r="84" ht="15.75" customHeight="1">
      <c r="A84" s="9" t="s">
        <v>1849</v>
      </c>
      <c r="B84" s="17">
        <v>1964.0</v>
      </c>
      <c r="C84" s="9" t="s">
        <v>4741</v>
      </c>
      <c r="D84" s="9">
        <v>11.0</v>
      </c>
      <c r="E84" s="18">
        <f t="shared" si="1"/>
        <v>23569</v>
      </c>
      <c r="F84" s="9">
        <v>0.0</v>
      </c>
      <c r="G84" s="19">
        <v>11842.44</v>
      </c>
      <c r="H84" s="9" t="s">
        <v>4717</v>
      </c>
      <c r="I84" s="9" t="s">
        <v>4723</v>
      </c>
      <c r="J84" s="9" t="s">
        <v>4719</v>
      </c>
      <c r="K84" s="20">
        <f t="shared" si="2"/>
        <v>1964</v>
      </c>
      <c r="L84" s="9" t="str">
        <f t="shared" si="3"/>
        <v>tier - 3</v>
      </c>
      <c r="M84" s="9" t="str">
        <f t="shared" si="4"/>
        <v>tier - 2</v>
      </c>
      <c r="N84" s="9" t="str">
        <f t="shared" si="5"/>
        <v>R1011</v>
      </c>
      <c r="O84" s="17">
        <f t="shared" si="6"/>
        <v>58</v>
      </c>
      <c r="P84" s="18">
        <v>23569.0</v>
      </c>
    </row>
    <row r="85" ht="15.75" customHeight="1">
      <c r="A85" s="9" t="s">
        <v>1847</v>
      </c>
      <c r="B85" s="17">
        <v>1965.0</v>
      </c>
      <c r="C85" s="9" t="s">
        <v>4735</v>
      </c>
      <c r="D85" s="9">
        <v>10.0</v>
      </c>
      <c r="E85" s="18">
        <f t="shared" si="1"/>
        <v>24056</v>
      </c>
      <c r="F85" s="9">
        <v>0.0</v>
      </c>
      <c r="G85" s="19">
        <v>11842.62</v>
      </c>
      <c r="H85" s="9" t="s">
        <v>4717</v>
      </c>
      <c r="I85" s="9" t="s">
        <v>4717</v>
      </c>
      <c r="J85" s="9" t="s">
        <v>4733</v>
      </c>
      <c r="K85" s="20">
        <f t="shared" si="2"/>
        <v>1965</v>
      </c>
      <c r="L85" s="9" t="str">
        <f t="shared" si="3"/>
        <v>tier - 3</v>
      </c>
      <c r="M85" s="9" t="str">
        <f t="shared" si="4"/>
        <v>tier - 3</v>
      </c>
      <c r="N85" s="9" t="str">
        <f t="shared" si="5"/>
        <v>R1012</v>
      </c>
      <c r="O85" s="17">
        <f t="shared" si="6"/>
        <v>57</v>
      </c>
      <c r="P85" s="18">
        <v>24056.0</v>
      </c>
    </row>
    <row r="86" ht="15.75" customHeight="1">
      <c r="A86" s="9" t="s">
        <v>1845</v>
      </c>
      <c r="B86" s="17">
        <v>1964.0</v>
      </c>
      <c r="C86" s="9" t="s">
        <v>4730</v>
      </c>
      <c r="D86" s="9">
        <v>27.0</v>
      </c>
      <c r="E86" s="18">
        <f t="shared" si="1"/>
        <v>23555</v>
      </c>
      <c r="F86" s="9">
        <v>0.0</v>
      </c>
      <c r="G86" s="19">
        <v>11848.14</v>
      </c>
      <c r="H86" s="9" t="s">
        <v>4717</v>
      </c>
      <c r="I86" s="9" t="s">
        <v>4723</v>
      </c>
      <c r="J86" s="9" t="s">
        <v>4719</v>
      </c>
      <c r="K86" s="20">
        <f t="shared" si="2"/>
        <v>1964</v>
      </c>
      <c r="L86" s="9" t="str">
        <f t="shared" si="3"/>
        <v>tier - 3</v>
      </c>
      <c r="M86" s="9" t="str">
        <f t="shared" si="4"/>
        <v>tier - 2</v>
      </c>
      <c r="N86" s="9" t="str">
        <f t="shared" si="5"/>
        <v>R1011</v>
      </c>
      <c r="O86" s="17">
        <f t="shared" si="6"/>
        <v>58</v>
      </c>
      <c r="P86" s="18">
        <v>23555.0</v>
      </c>
    </row>
    <row r="87" ht="15.75" customHeight="1">
      <c r="A87" s="9" t="s">
        <v>1843</v>
      </c>
      <c r="B87" s="17">
        <v>1964.0</v>
      </c>
      <c r="C87" s="9" t="s">
        <v>4738</v>
      </c>
      <c r="D87" s="9">
        <v>29.0</v>
      </c>
      <c r="E87" s="18">
        <f t="shared" si="1"/>
        <v>23649</v>
      </c>
      <c r="F87" s="9">
        <v>0.0</v>
      </c>
      <c r="G87" s="19">
        <v>11856.41</v>
      </c>
      <c r="H87" s="9" t="s">
        <v>4717</v>
      </c>
      <c r="I87" s="9" t="s">
        <v>4723</v>
      </c>
      <c r="J87" s="9" t="s">
        <v>4743</v>
      </c>
      <c r="K87" s="20">
        <f t="shared" si="2"/>
        <v>1964</v>
      </c>
      <c r="L87" s="9" t="str">
        <f t="shared" si="3"/>
        <v>tier - 3</v>
      </c>
      <c r="M87" s="9" t="str">
        <f t="shared" si="4"/>
        <v>tier - 2</v>
      </c>
      <c r="N87" s="9" t="str">
        <f t="shared" si="5"/>
        <v>R1013</v>
      </c>
      <c r="O87" s="17">
        <f t="shared" si="6"/>
        <v>58</v>
      </c>
      <c r="P87" s="18">
        <v>23649.0</v>
      </c>
    </row>
    <row r="88" ht="15.75" customHeight="1">
      <c r="A88" s="9" t="s">
        <v>1841</v>
      </c>
      <c r="B88" s="17">
        <v>1974.0</v>
      </c>
      <c r="C88" s="9" t="s">
        <v>4741</v>
      </c>
      <c r="D88" s="9">
        <v>7.0</v>
      </c>
      <c r="E88" s="18">
        <f t="shared" si="1"/>
        <v>27217</v>
      </c>
      <c r="F88" s="9">
        <v>0.0</v>
      </c>
      <c r="G88" s="19">
        <v>11858.56</v>
      </c>
      <c r="H88" s="9" t="s">
        <v>4717</v>
      </c>
      <c r="I88" s="9" t="s">
        <v>4717</v>
      </c>
      <c r="J88" s="9" t="s">
        <v>4719</v>
      </c>
      <c r="K88" s="20">
        <f t="shared" si="2"/>
        <v>1974</v>
      </c>
      <c r="L88" s="9" t="str">
        <f t="shared" si="3"/>
        <v>tier - 3</v>
      </c>
      <c r="M88" s="9" t="str">
        <f t="shared" si="4"/>
        <v>tier - 3</v>
      </c>
      <c r="N88" s="9" t="str">
        <f t="shared" si="5"/>
        <v>R1011</v>
      </c>
      <c r="O88" s="17">
        <f t="shared" si="6"/>
        <v>48</v>
      </c>
      <c r="P88" s="18">
        <v>27217.0</v>
      </c>
    </row>
    <row r="89" ht="15.75" customHeight="1">
      <c r="A89" s="9" t="s">
        <v>185</v>
      </c>
      <c r="B89" s="17">
        <v>1999.0</v>
      </c>
      <c r="C89" s="9" t="s">
        <v>4741</v>
      </c>
      <c r="D89" s="9">
        <v>2.0</v>
      </c>
      <c r="E89" s="18">
        <f t="shared" si="1"/>
        <v>36343</v>
      </c>
      <c r="F89" s="9">
        <v>1.0</v>
      </c>
      <c r="G89" s="19">
        <v>40904.2</v>
      </c>
      <c r="H89" s="9" t="s">
        <v>4718</v>
      </c>
      <c r="I89" s="9" t="s">
        <v>4718</v>
      </c>
      <c r="J89" s="9" t="s">
        <v>4731</v>
      </c>
      <c r="K89" s="20">
        <f t="shared" si="2"/>
        <v>1999</v>
      </c>
      <c r="L89" s="9" t="str">
        <f t="shared" si="3"/>
        <v>tier - 1</v>
      </c>
      <c r="M89" s="9" t="str">
        <f t="shared" si="4"/>
        <v>tier - 1</v>
      </c>
      <c r="N89" s="9" t="str">
        <f t="shared" si="5"/>
        <v>R1024</v>
      </c>
      <c r="O89" s="17">
        <f t="shared" si="6"/>
        <v>23</v>
      </c>
      <c r="P89" s="18">
        <v>36343.0</v>
      </c>
    </row>
    <row r="90" ht="15.75" customHeight="1">
      <c r="A90" s="9" t="s">
        <v>1839</v>
      </c>
      <c r="B90" s="17">
        <v>1967.0</v>
      </c>
      <c r="C90" s="9" t="s">
        <v>4716</v>
      </c>
      <c r="D90" s="9">
        <v>24.0</v>
      </c>
      <c r="E90" s="18">
        <f t="shared" si="1"/>
        <v>24708</v>
      </c>
      <c r="F90" s="9">
        <v>1.0</v>
      </c>
      <c r="G90" s="19">
        <v>11879.1</v>
      </c>
      <c r="H90" s="9" t="s">
        <v>4717</v>
      </c>
      <c r="I90" s="9" t="s">
        <v>4717</v>
      </c>
      <c r="J90" s="9" t="s">
        <v>4731</v>
      </c>
      <c r="K90" s="20">
        <f t="shared" si="2"/>
        <v>1967</v>
      </c>
      <c r="L90" s="9" t="str">
        <f t="shared" si="3"/>
        <v>tier - 3</v>
      </c>
      <c r="M90" s="9" t="str">
        <f t="shared" si="4"/>
        <v>tier - 3</v>
      </c>
      <c r="N90" s="9" t="str">
        <f t="shared" si="5"/>
        <v>R1024</v>
      </c>
      <c r="O90" s="17">
        <f t="shared" si="6"/>
        <v>55</v>
      </c>
      <c r="P90" s="18">
        <v>24708.0</v>
      </c>
    </row>
    <row r="91" ht="15.75" customHeight="1">
      <c r="A91" s="9" t="s">
        <v>1837</v>
      </c>
      <c r="B91" s="17">
        <v>1967.0</v>
      </c>
      <c r="C91" s="9" t="s">
        <v>4741</v>
      </c>
      <c r="D91" s="9">
        <v>14.0</v>
      </c>
      <c r="E91" s="18">
        <f t="shared" si="1"/>
        <v>24667</v>
      </c>
      <c r="F91" s="9">
        <v>2.0</v>
      </c>
      <c r="G91" s="19">
        <v>11881.36</v>
      </c>
      <c r="H91" s="9" t="s">
        <v>4717</v>
      </c>
      <c r="I91" s="9" t="s">
        <v>4723</v>
      </c>
      <c r="J91" s="9" t="s">
        <v>4719</v>
      </c>
      <c r="K91" s="20">
        <f t="shared" si="2"/>
        <v>1967</v>
      </c>
      <c r="L91" s="9" t="str">
        <f t="shared" si="3"/>
        <v>tier - 3</v>
      </c>
      <c r="M91" s="9" t="str">
        <f t="shared" si="4"/>
        <v>tier - 2</v>
      </c>
      <c r="N91" s="9" t="str">
        <f t="shared" si="5"/>
        <v>R1011</v>
      </c>
      <c r="O91" s="17">
        <f t="shared" si="6"/>
        <v>55</v>
      </c>
      <c r="P91" s="18">
        <v>24667.0</v>
      </c>
    </row>
    <row r="92" ht="15.75" customHeight="1">
      <c r="A92" s="9" t="s">
        <v>1835</v>
      </c>
      <c r="B92" s="17">
        <v>1967.0</v>
      </c>
      <c r="C92" s="9" t="s">
        <v>4720</v>
      </c>
      <c r="D92" s="9">
        <v>29.0</v>
      </c>
      <c r="E92" s="18">
        <f t="shared" si="1"/>
        <v>24774</v>
      </c>
      <c r="F92" s="9">
        <v>2.0</v>
      </c>
      <c r="G92" s="19">
        <v>11881.97</v>
      </c>
      <c r="H92" s="9" t="s">
        <v>4717</v>
      </c>
      <c r="I92" s="9" t="s">
        <v>4718</v>
      </c>
      <c r="J92" s="9" t="s">
        <v>4743</v>
      </c>
      <c r="K92" s="20">
        <f t="shared" si="2"/>
        <v>1967</v>
      </c>
      <c r="L92" s="9" t="str">
        <f t="shared" si="3"/>
        <v>tier - 3</v>
      </c>
      <c r="M92" s="9" t="str">
        <f t="shared" si="4"/>
        <v>tier - 1</v>
      </c>
      <c r="N92" s="9" t="str">
        <f t="shared" si="5"/>
        <v>R1013</v>
      </c>
      <c r="O92" s="17">
        <f t="shared" si="6"/>
        <v>55</v>
      </c>
      <c r="P92" s="18">
        <v>24774.0</v>
      </c>
    </row>
    <row r="93" ht="15.75" customHeight="1">
      <c r="A93" s="9" t="s">
        <v>1833</v>
      </c>
      <c r="B93" s="17">
        <v>2004.0</v>
      </c>
      <c r="C93" s="9" t="s">
        <v>4730</v>
      </c>
      <c r="D93" s="9">
        <v>2.0</v>
      </c>
      <c r="E93" s="18">
        <f t="shared" si="1"/>
        <v>38140</v>
      </c>
      <c r="F93" s="9">
        <v>2.0</v>
      </c>
      <c r="G93" s="19">
        <v>11884.05</v>
      </c>
      <c r="H93" s="9" t="s">
        <v>4717</v>
      </c>
      <c r="I93" s="9" t="s">
        <v>4717</v>
      </c>
      <c r="J93" s="9" t="s">
        <v>4743</v>
      </c>
      <c r="K93" s="20">
        <f t="shared" si="2"/>
        <v>2004</v>
      </c>
      <c r="L93" s="9" t="str">
        <f t="shared" si="3"/>
        <v>tier - 3</v>
      </c>
      <c r="M93" s="9" t="str">
        <f t="shared" si="4"/>
        <v>tier - 3</v>
      </c>
      <c r="N93" s="9" t="str">
        <f t="shared" si="5"/>
        <v>R1013</v>
      </c>
      <c r="O93" s="17">
        <f t="shared" si="6"/>
        <v>19</v>
      </c>
      <c r="P93" s="18">
        <v>38140.0</v>
      </c>
    </row>
    <row r="94" ht="15.75" customHeight="1">
      <c r="A94" s="9" t="s">
        <v>1831</v>
      </c>
      <c r="B94" s="17">
        <v>1964.0</v>
      </c>
      <c r="C94" s="9" t="s">
        <v>4735</v>
      </c>
      <c r="D94" s="9">
        <v>19.0</v>
      </c>
      <c r="E94" s="18">
        <f t="shared" si="1"/>
        <v>23700</v>
      </c>
      <c r="F94" s="9">
        <v>0.0</v>
      </c>
      <c r="G94" s="19">
        <v>11918.2</v>
      </c>
      <c r="H94" s="9" t="s">
        <v>4717</v>
      </c>
      <c r="I94" s="9" t="s">
        <v>4718</v>
      </c>
      <c r="J94" s="9" t="s">
        <v>4751</v>
      </c>
      <c r="K94" s="20">
        <f t="shared" si="2"/>
        <v>1964</v>
      </c>
      <c r="L94" s="9" t="str">
        <f t="shared" si="3"/>
        <v>tier - 3</v>
      </c>
      <c r="M94" s="9" t="str">
        <f t="shared" si="4"/>
        <v>tier - 1</v>
      </c>
      <c r="N94" s="9" t="str">
        <f t="shared" si="5"/>
        <v>R1021</v>
      </c>
      <c r="O94" s="17">
        <f t="shared" si="6"/>
        <v>58</v>
      </c>
      <c r="P94" s="18">
        <v>23700.0</v>
      </c>
    </row>
    <row r="95" ht="15.75" customHeight="1">
      <c r="A95" s="9" t="s">
        <v>1829</v>
      </c>
      <c r="B95" s="17">
        <v>1964.0</v>
      </c>
      <c r="C95" s="9" t="s">
        <v>4725</v>
      </c>
      <c r="D95" s="9">
        <v>20.0</v>
      </c>
      <c r="E95" s="18">
        <f t="shared" si="1"/>
        <v>23731</v>
      </c>
      <c r="F95" s="9">
        <v>0.0</v>
      </c>
      <c r="G95" s="19">
        <v>11931.13</v>
      </c>
      <c r="H95" s="9" t="s">
        <v>4717</v>
      </c>
      <c r="I95" s="9" t="s">
        <v>4718</v>
      </c>
      <c r="J95" s="9" t="s">
        <v>4728</v>
      </c>
      <c r="K95" s="20">
        <f t="shared" si="2"/>
        <v>1964</v>
      </c>
      <c r="L95" s="9" t="str">
        <f t="shared" si="3"/>
        <v>tier - 3</v>
      </c>
      <c r="M95" s="9" t="str">
        <f t="shared" si="4"/>
        <v>tier - 1</v>
      </c>
      <c r="N95" s="9" t="str">
        <f t="shared" si="5"/>
        <v>R1019</v>
      </c>
      <c r="O95" s="17">
        <f t="shared" si="6"/>
        <v>58</v>
      </c>
      <c r="P95" s="18">
        <v>23731.0</v>
      </c>
    </row>
    <row r="96" ht="15.75" customHeight="1">
      <c r="A96" s="9" t="s">
        <v>1827</v>
      </c>
      <c r="B96" s="17">
        <v>1964.0</v>
      </c>
      <c r="C96" s="9" t="s">
        <v>4716</v>
      </c>
      <c r="D96" s="9">
        <v>2.0</v>
      </c>
      <c r="E96" s="18">
        <f t="shared" si="1"/>
        <v>23591</v>
      </c>
      <c r="F96" s="9">
        <v>0.0</v>
      </c>
      <c r="G96" s="19">
        <v>11938.26</v>
      </c>
      <c r="H96" s="9" t="s">
        <v>4717</v>
      </c>
      <c r="I96" s="9" t="s">
        <v>4717</v>
      </c>
      <c r="J96" s="9" t="s">
        <v>4728</v>
      </c>
      <c r="K96" s="20">
        <f t="shared" si="2"/>
        <v>1964</v>
      </c>
      <c r="L96" s="9" t="str">
        <f t="shared" si="3"/>
        <v>tier - 3</v>
      </c>
      <c r="M96" s="9" t="str">
        <f t="shared" si="4"/>
        <v>tier - 3</v>
      </c>
      <c r="N96" s="9" t="str">
        <f t="shared" si="5"/>
        <v>R1019</v>
      </c>
      <c r="O96" s="17">
        <f t="shared" si="6"/>
        <v>58</v>
      </c>
      <c r="P96" s="18">
        <v>23591.0</v>
      </c>
    </row>
    <row r="97" ht="15.75" customHeight="1">
      <c r="A97" s="9" t="s">
        <v>1825</v>
      </c>
      <c r="B97" s="17">
        <v>1991.0</v>
      </c>
      <c r="C97" s="9" t="s">
        <v>4720</v>
      </c>
      <c r="D97" s="9">
        <v>19.0</v>
      </c>
      <c r="E97" s="18">
        <f t="shared" si="1"/>
        <v>33530</v>
      </c>
      <c r="F97" s="9">
        <v>3.0</v>
      </c>
      <c r="G97" s="19">
        <v>11941.83</v>
      </c>
      <c r="H97" s="9" t="s">
        <v>4717</v>
      </c>
      <c r="I97" s="9" t="s">
        <v>4718</v>
      </c>
      <c r="J97" s="9" t="s">
        <v>4756</v>
      </c>
      <c r="K97" s="20">
        <f t="shared" si="2"/>
        <v>1991</v>
      </c>
      <c r="L97" s="9" t="str">
        <f t="shared" si="3"/>
        <v>tier - 3</v>
      </c>
      <c r="M97" s="9" t="str">
        <f t="shared" si="4"/>
        <v>tier - 1</v>
      </c>
      <c r="N97" s="9" t="str">
        <f t="shared" si="5"/>
        <v>R1023</v>
      </c>
      <c r="O97" s="17">
        <f t="shared" si="6"/>
        <v>31</v>
      </c>
      <c r="P97" s="18">
        <v>33530.0</v>
      </c>
    </row>
    <row r="98" ht="15.75" customHeight="1">
      <c r="A98" s="9" t="s">
        <v>1823</v>
      </c>
      <c r="B98" s="17">
        <v>1964.0</v>
      </c>
      <c r="C98" s="9" t="s">
        <v>4725</v>
      </c>
      <c r="D98" s="9">
        <v>25.0</v>
      </c>
      <c r="E98" s="18">
        <f t="shared" si="1"/>
        <v>23736</v>
      </c>
      <c r="F98" s="9">
        <v>0.0</v>
      </c>
      <c r="G98" s="19">
        <v>11944.59</v>
      </c>
      <c r="H98" s="9" t="s">
        <v>4717</v>
      </c>
      <c r="I98" s="9" t="s">
        <v>4723</v>
      </c>
      <c r="J98" s="9" t="s">
        <v>4754</v>
      </c>
      <c r="K98" s="20">
        <f t="shared" si="2"/>
        <v>1964</v>
      </c>
      <c r="L98" s="9" t="str">
        <f t="shared" si="3"/>
        <v>tier - 3</v>
      </c>
      <c r="M98" s="9" t="str">
        <f t="shared" si="4"/>
        <v>tier - 2</v>
      </c>
      <c r="N98" s="9" t="str">
        <f t="shared" si="5"/>
        <v>R1016</v>
      </c>
      <c r="O98" s="17">
        <f t="shared" si="6"/>
        <v>58</v>
      </c>
      <c r="P98" s="18">
        <v>23736.0</v>
      </c>
    </row>
    <row r="99" ht="15.75" customHeight="1">
      <c r="A99" s="9" t="s">
        <v>1821</v>
      </c>
      <c r="B99" s="17">
        <v>1965.0</v>
      </c>
      <c r="C99" s="9" t="s">
        <v>4735</v>
      </c>
      <c r="D99" s="9">
        <v>1.0</v>
      </c>
      <c r="E99" s="18">
        <f t="shared" si="1"/>
        <v>24047</v>
      </c>
      <c r="F99" s="9">
        <v>1.0</v>
      </c>
      <c r="G99" s="19">
        <v>11945.13</v>
      </c>
      <c r="H99" s="9" t="s">
        <v>4717</v>
      </c>
      <c r="I99" s="9" t="s">
        <v>4723</v>
      </c>
      <c r="J99" s="9" t="s">
        <v>4733</v>
      </c>
      <c r="K99" s="20">
        <f t="shared" si="2"/>
        <v>1965</v>
      </c>
      <c r="L99" s="9" t="str">
        <f t="shared" si="3"/>
        <v>tier - 3</v>
      </c>
      <c r="M99" s="9" t="str">
        <f t="shared" si="4"/>
        <v>tier - 2</v>
      </c>
      <c r="N99" s="9" t="str">
        <f t="shared" si="5"/>
        <v>R1012</v>
      </c>
      <c r="O99" s="17">
        <f t="shared" si="6"/>
        <v>57</v>
      </c>
      <c r="P99" s="18">
        <v>24047.0</v>
      </c>
    </row>
    <row r="100" ht="15.75" customHeight="1">
      <c r="A100" s="9" t="s">
        <v>183</v>
      </c>
      <c r="B100" s="17">
        <v>1992.0</v>
      </c>
      <c r="C100" s="9" t="s">
        <v>4716</v>
      </c>
      <c r="D100" s="9">
        <v>4.0</v>
      </c>
      <c r="E100" s="18">
        <f t="shared" si="1"/>
        <v>33820</v>
      </c>
      <c r="F100" s="9">
        <v>3.0</v>
      </c>
      <c r="G100" s="19">
        <v>40932.43</v>
      </c>
      <c r="H100" s="9" t="s">
        <v>4718</v>
      </c>
      <c r="I100" s="9" t="s">
        <v>4723</v>
      </c>
      <c r="J100" s="9" t="s">
        <v>4743</v>
      </c>
      <c r="K100" s="20">
        <f t="shared" si="2"/>
        <v>1992</v>
      </c>
      <c r="L100" s="9" t="str">
        <f t="shared" si="3"/>
        <v>tier - 1</v>
      </c>
      <c r="M100" s="9" t="str">
        <f t="shared" si="4"/>
        <v>tier - 2</v>
      </c>
      <c r="N100" s="9" t="str">
        <f t="shared" si="5"/>
        <v>R1013</v>
      </c>
      <c r="O100" s="17">
        <f t="shared" si="6"/>
        <v>30</v>
      </c>
      <c r="P100" s="18">
        <v>33820.0</v>
      </c>
    </row>
    <row r="101" ht="15.75" customHeight="1">
      <c r="A101" s="9" t="s">
        <v>1819</v>
      </c>
      <c r="B101" s="17">
        <v>1964.0</v>
      </c>
      <c r="C101" s="9" t="s">
        <v>4738</v>
      </c>
      <c r="D101" s="9">
        <v>29.0</v>
      </c>
      <c r="E101" s="18">
        <f t="shared" si="1"/>
        <v>23649</v>
      </c>
      <c r="F101" s="9">
        <v>1.0</v>
      </c>
      <c r="G101" s="19">
        <v>11946.63</v>
      </c>
      <c r="H101" s="9" t="s">
        <v>4717</v>
      </c>
      <c r="I101" s="9" t="s">
        <v>4723</v>
      </c>
      <c r="J101" s="9" t="s">
        <v>4743</v>
      </c>
      <c r="K101" s="20">
        <f t="shared" si="2"/>
        <v>1964</v>
      </c>
      <c r="L101" s="9" t="str">
        <f t="shared" si="3"/>
        <v>tier - 3</v>
      </c>
      <c r="M101" s="9" t="str">
        <f t="shared" si="4"/>
        <v>tier - 2</v>
      </c>
      <c r="N101" s="9" t="str">
        <f t="shared" si="5"/>
        <v>R1013</v>
      </c>
      <c r="O101" s="17">
        <f t="shared" si="6"/>
        <v>58</v>
      </c>
      <c r="P101" s="18">
        <v>23649.0</v>
      </c>
    </row>
    <row r="102" ht="15.75" customHeight="1">
      <c r="A102" s="9" t="s">
        <v>1817</v>
      </c>
      <c r="B102" s="17">
        <v>1967.0</v>
      </c>
      <c r="C102" s="9" t="s">
        <v>4725</v>
      </c>
      <c r="D102" s="9">
        <v>22.0</v>
      </c>
      <c r="E102" s="18">
        <f t="shared" si="1"/>
        <v>24828</v>
      </c>
      <c r="F102" s="9">
        <v>3.0</v>
      </c>
      <c r="G102" s="19">
        <v>11987.17</v>
      </c>
      <c r="H102" s="9" t="s">
        <v>4717</v>
      </c>
      <c r="I102" s="9" t="s">
        <v>4717</v>
      </c>
      <c r="J102" s="9" t="s">
        <v>4743</v>
      </c>
      <c r="K102" s="20">
        <f t="shared" si="2"/>
        <v>1967</v>
      </c>
      <c r="L102" s="9" t="str">
        <f t="shared" si="3"/>
        <v>tier - 3</v>
      </c>
      <c r="M102" s="9" t="str">
        <f t="shared" si="4"/>
        <v>tier - 3</v>
      </c>
      <c r="N102" s="9" t="str">
        <f t="shared" si="5"/>
        <v>R1013</v>
      </c>
      <c r="O102" s="17">
        <f t="shared" si="6"/>
        <v>55</v>
      </c>
      <c r="P102" s="18">
        <v>24828.0</v>
      </c>
    </row>
    <row r="103" ht="15.75" customHeight="1">
      <c r="A103" s="9" t="s">
        <v>1815</v>
      </c>
      <c r="B103" s="17">
        <v>1983.0</v>
      </c>
      <c r="C103" s="9" t="s">
        <v>4741</v>
      </c>
      <c r="D103" s="9">
        <v>4.0</v>
      </c>
      <c r="E103" s="18">
        <f t="shared" si="1"/>
        <v>30501</v>
      </c>
      <c r="F103" s="9">
        <v>3.0</v>
      </c>
      <c r="G103" s="19">
        <v>11987.68</v>
      </c>
      <c r="H103" s="9" t="s">
        <v>4717</v>
      </c>
      <c r="I103" s="9" t="s">
        <v>4723</v>
      </c>
      <c r="J103" s="9" t="s">
        <v>4721</v>
      </c>
      <c r="K103" s="20">
        <f t="shared" si="2"/>
        <v>1983</v>
      </c>
      <c r="L103" s="9" t="str">
        <f t="shared" si="3"/>
        <v>tier - 3</v>
      </c>
      <c r="M103" s="9" t="str">
        <f t="shared" si="4"/>
        <v>tier - 2</v>
      </c>
      <c r="N103" s="9" t="str">
        <f t="shared" si="5"/>
        <v>R1026</v>
      </c>
      <c r="O103" s="17">
        <f t="shared" si="6"/>
        <v>39</v>
      </c>
      <c r="P103" s="18">
        <v>30501.0</v>
      </c>
    </row>
    <row r="104" ht="15.75" customHeight="1">
      <c r="A104" s="9" t="s">
        <v>1813</v>
      </c>
      <c r="B104" s="17">
        <v>1993.0</v>
      </c>
      <c r="C104" s="9" t="s">
        <v>4725</v>
      </c>
      <c r="D104" s="9">
        <v>12.0</v>
      </c>
      <c r="E104" s="18">
        <f t="shared" si="1"/>
        <v>34315</v>
      </c>
      <c r="F104" s="9">
        <v>0.0</v>
      </c>
      <c r="G104" s="19">
        <v>11994.89</v>
      </c>
      <c r="H104" s="9" t="s">
        <v>4717</v>
      </c>
      <c r="I104" s="9" t="s">
        <v>4723</v>
      </c>
      <c r="J104" s="9" t="s">
        <v>4733</v>
      </c>
      <c r="K104" s="20">
        <f t="shared" si="2"/>
        <v>1993</v>
      </c>
      <c r="L104" s="9" t="str">
        <f t="shared" si="3"/>
        <v>tier - 3</v>
      </c>
      <c r="M104" s="9" t="str">
        <f t="shared" si="4"/>
        <v>tier - 2</v>
      </c>
      <c r="N104" s="9" t="str">
        <f t="shared" si="5"/>
        <v>R1012</v>
      </c>
      <c r="O104" s="17">
        <f t="shared" si="6"/>
        <v>29</v>
      </c>
      <c r="P104" s="18">
        <v>34315.0</v>
      </c>
    </row>
    <row r="105" ht="15.75" customHeight="1">
      <c r="A105" s="9" t="s">
        <v>1811</v>
      </c>
      <c r="B105" s="17">
        <v>1982.0</v>
      </c>
      <c r="C105" s="9" t="s">
        <v>4720</v>
      </c>
      <c r="D105" s="9">
        <v>17.0</v>
      </c>
      <c r="E105" s="18">
        <f t="shared" si="1"/>
        <v>30241</v>
      </c>
      <c r="F105" s="9">
        <v>3.0</v>
      </c>
      <c r="G105" s="19">
        <v>12001.29</v>
      </c>
      <c r="H105" s="9" t="s">
        <v>4717</v>
      </c>
      <c r="I105" s="9" t="s">
        <v>4717</v>
      </c>
      <c r="J105" s="9" t="s">
        <v>4751</v>
      </c>
      <c r="K105" s="20">
        <f t="shared" si="2"/>
        <v>1982</v>
      </c>
      <c r="L105" s="9" t="str">
        <f t="shared" si="3"/>
        <v>tier - 3</v>
      </c>
      <c r="M105" s="9" t="str">
        <f t="shared" si="4"/>
        <v>tier - 3</v>
      </c>
      <c r="N105" s="9" t="str">
        <f t="shared" si="5"/>
        <v>R1021</v>
      </c>
      <c r="O105" s="17">
        <f t="shared" si="6"/>
        <v>40</v>
      </c>
      <c r="P105" s="18">
        <v>30241.0</v>
      </c>
    </row>
    <row r="106" ht="15.75" customHeight="1">
      <c r="A106" s="9" t="s">
        <v>1809</v>
      </c>
      <c r="B106" s="17">
        <v>1965.0</v>
      </c>
      <c r="C106" s="9" t="s">
        <v>4730</v>
      </c>
      <c r="D106" s="9">
        <v>9.0</v>
      </c>
      <c r="E106" s="18">
        <f t="shared" si="1"/>
        <v>23902</v>
      </c>
      <c r="F106" s="9">
        <v>0.0</v>
      </c>
      <c r="G106" s="19">
        <v>12029.29</v>
      </c>
      <c r="H106" s="9" t="s">
        <v>4717</v>
      </c>
      <c r="I106" s="9" t="s">
        <v>4723</v>
      </c>
      <c r="J106" s="9" t="s">
        <v>4731</v>
      </c>
      <c r="K106" s="20">
        <f t="shared" si="2"/>
        <v>1965</v>
      </c>
      <c r="L106" s="9" t="str">
        <f t="shared" si="3"/>
        <v>tier - 3</v>
      </c>
      <c r="M106" s="9" t="str">
        <f t="shared" si="4"/>
        <v>tier - 2</v>
      </c>
      <c r="N106" s="9" t="str">
        <f t="shared" si="5"/>
        <v>R1024</v>
      </c>
      <c r="O106" s="17">
        <f t="shared" si="6"/>
        <v>57</v>
      </c>
      <c r="P106" s="18">
        <v>23902.0</v>
      </c>
    </row>
    <row r="107" ht="15.75" customHeight="1">
      <c r="A107" s="9" t="s">
        <v>1807</v>
      </c>
      <c r="B107" s="17">
        <v>1965.0</v>
      </c>
      <c r="C107" s="9" t="s">
        <v>4720</v>
      </c>
      <c r="D107" s="9">
        <v>29.0</v>
      </c>
      <c r="E107" s="18">
        <f t="shared" si="1"/>
        <v>24044</v>
      </c>
      <c r="F107" s="9">
        <v>1.0</v>
      </c>
      <c r="G107" s="19">
        <v>12032.33</v>
      </c>
      <c r="H107" s="9" t="s">
        <v>4717</v>
      </c>
      <c r="I107" s="9" t="s">
        <v>4718</v>
      </c>
      <c r="J107" s="9" t="s">
        <v>4719</v>
      </c>
      <c r="K107" s="20">
        <f t="shared" si="2"/>
        <v>1965</v>
      </c>
      <c r="L107" s="9" t="str">
        <f t="shared" si="3"/>
        <v>tier - 3</v>
      </c>
      <c r="M107" s="9" t="str">
        <f t="shared" si="4"/>
        <v>tier - 1</v>
      </c>
      <c r="N107" s="9" t="str">
        <f t="shared" si="5"/>
        <v>R1011</v>
      </c>
      <c r="O107" s="17">
        <f t="shared" si="6"/>
        <v>57</v>
      </c>
      <c r="P107" s="18">
        <v>24044.0</v>
      </c>
    </row>
    <row r="108" ht="15.75" customHeight="1">
      <c r="A108" s="9" t="s">
        <v>1805</v>
      </c>
      <c r="B108" s="17">
        <v>1979.0</v>
      </c>
      <c r="C108" s="9" t="s">
        <v>4720</v>
      </c>
      <c r="D108" s="9">
        <v>16.0</v>
      </c>
      <c r="E108" s="18">
        <f t="shared" si="1"/>
        <v>29144</v>
      </c>
      <c r="F108" s="9">
        <v>2.0</v>
      </c>
      <c r="G108" s="19">
        <v>12035.18</v>
      </c>
      <c r="H108" s="9" t="s">
        <v>4717</v>
      </c>
      <c r="I108" s="9" t="s">
        <v>4717</v>
      </c>
      <c r="J108" s="9" t="s">
        <v>4751</v>
      </c>
      <c r="K108" s="20">
        <f t="shared" si="2"/>
        <v>1979</v>
      </c>
      <c r="L108" s="9" t="str">
        <f t="shared" si="3"/>
        <v>tier - 3</v>
      </c>
      <c r="M108" s="9" t="str">
        <f t="shared" si="4"/>
        <v>tier - 3</v>
      </c>
      <c r="N108" s="9" t="str">
        <f t="shared" si="5"/>
        <v>R1021</v>
      </c>
      <c r="O108" s="17">
        <f t="shared" si="6"/>
        <v>43</v>
      </c>
      <c r="P108" s="18">
        <v>29144.0</v>
      </c>
    </row>
    <row r="109" ht="15.75" customHeight="1">
      <c r="A109" s="9" t="s">
        <v>1803</v>
      </c>
      <c r="B109" s="17">
        <v>1966.0</v>
      </c>
      <c r="C109" s="9" t="s">
        <v>4735</v>
      </c>
      <c r="D109" s="9">
        <v>24.0</v>
      </c>
      <c r="E109" s="18">
        <f t="shared" si="1"/>
        <v>24435</v>
      </c>
      <c r="F109" s="9">
        <v>1.0</v>
      </c>
      <c r="G109" s="19">
        <v>12044.34</v>
      </c>
      <c r="H109" s="9" t="s">
        <v>4717</v>
      </c>
      <c r="I109" s="9" t="s">
        <v>4718</v>
      </c>
      <c r="J109" s="9" t="s">
        <v>4733</v>
      </c>
      <c r="K109" s="20">
        <f t="shared" si="2"/>
        <v>1966</v>
      </c>
      <c r="L109" s="9" t="str">
        <f t="shared" si="3"/>
        <v>tier - 3</v>
      </c>
      <c r="M109" s="9" t="str">
        <f t="shared" si="4"/>
        <v>tier - 1</v>
      </c>
      <c r="N109" s="9" t="str">
        <f t="shared" si="5"/>
        <v>R1012</v>
      </c>
      <c r="O109" s="17">
        <f t="shared" si="6"/>
        <v>56</v>
      </c>
      <c r="P109" s="18">
        <v>24435.0</v>
      </c>
    </row>
    <row r="110" ht="15.75" customHeight="1">
      <c r="A110" s="9" t="s">
        <v>1801</v>
      </c>
      <c r="B110" s="17">
        <v>1986.0</v>
      </c>
      <c r="C110" s="9" t="s">
        <v>4738</v>
      </c>
      <c r="D110" s="9">
        <v>7.0</v>
      </c>
      <c r="E110" s="18">
        <f t="shared" si="1"/>
        <v>31662</v>
      </c>
      <c r="F110" s="9">
        <v>3.0</v>
      </c>
      <c r="G110" s="19">
        <v>12048.13</v>
      </c>
      <c r="H110" s="9" t="s">
        <v>4717</v>
      </c>
      <c r="I110" s="9" t="s">
        <v>4723</v>
      </c>
      <c r="J110" s="9" t="s">
        <v>4721</v>
      </c>
      <c r="K110" s="20">
        <f t="shared" si="2"/>
        <v>1986</v>
      </c>
      <c r="L110" s="9" t="str">
        <f t="shared" si="3"/>
        <v>tier - 3</v>
      </c>
      <c r="M110" s="9" t="str">
        <f t="shared" si="4"/>
        <v>tier - 2</v>
      </c>
      <c r="N110" s="9" t="str">
        <f t="shared" si="5"/>
        <v>R1026</v>
      </c>
      <c r="O110" s="17">
        <f t="shared" si="6"/>
        <v>36</v>
      </c>
      <c r="P110" s="18">
        <v>31662.0</v>
      </c>
    </row>
    <row r="111" ht="15.75" customHeight="1">
      <c r="A111" s="9" t="s">
        <v>181</v>
      </c>
      <c r="B111" s="17">
        <v>1979.0</v>
      </c>
      <c r="C111" s="9" t="s">
        <v>4738</v>
      </c>
      <c r="D111" s="9">
        <v>16.0</v>
      </c>
      <c r="E111" s="18">
        <f t="shared" si="1"/>
        <v>29114</v>
      </c>
      <c r="F111" s="9">
        <v>3.0</v>
      </c>
      <c r="G111" s="19">
        <v>40941.29</v>
      </c>
      <c r="H111" s="9" t="s">
        <v>4718</v>
      </c>
      <c r="I111" s="9" t="s">
        <v>4723</v>
      </c>
      <c r="J111" s="9" t="s">
        <v>4743</v>
      </c>
      <c r="K111" s="20">
        <f t="shared" si="2"/>
        <v>1979</v>
      </c>
      <c r="L111" s="9" t="str">
        <f t="shared" si="3"/>
        <v>tier - 1</v>
      </c>
      <c r="M111" s="9" t="str">
        <f t="shared" si="4"/>
        <v>tier - 2</v>
      </c>
      <c r="N111" s="9" t="str">
        <f t="shared" si="5"/>
        <v>R1013</v>
      </c>
      <c r="O111" s="17">
        <f t="shared" si="6"/>
        <v>43</v>
      </c>
      <c r="P111" s="18">
        <v>29114.0</v>
      </c>
    </row>
    <row r="112" ht="15.75" customHeight="1">
      <c r="A112" s="9" t="s">
        <v>19</v>
      </c>
      <c r="B112" s="17">
        <v>1963.0</v>
      </c>
      <c r="C112" s="9" t="s">
        <v>4738</v>
      </c>
      <c r="D112" s="9">
        <v>4.0</v>
      </c>
      <c r="E112" s="18">
        <f t="shared" si="1"/>
        <v>23258</v>
      </c>
      <c r="F112" s="9">
        <v>1.0</v>
      </c>
      <c r="G112" s="19">
        <v>48970.25</v>
      </c>
      <c r="H112" s="9" t="s">
        <v>4718</v>
      </c>
      <c r="I112" s="9" t="s">
        <v>4723</v>
      </c>
      <c r="J112" s="9" t="s">
        <v>4743</v>
      </c>
      <c r="K112" s="20">
        <f t="shared" si="2"/>
        <v>1963</v>
      </c>
      <c r="L112" s="9" t="str">
        <f t="shared" si="3"/>
        <v>tier - 1</v>
      </c>
      <c r="M112" s="9" t="str">
        <f t="shared" si="4"/>
        <v>tier - 2</v>
      </c>
      <c r="N112" s="9" t="str">
        <f t="shared" si="5"/>
        <v>R1013</v>
      </c>
      <c r="O112" s="17">
        <f t="shared" si="6"/>
        <v>59</v>
      </c>
      <c r="P112" s="18">
        <v>23258.0</v>
      </c>
    </row>
    <row r="113" ht="15.75" customHeight="1">
      <c r="A113" s="9" t="s">
        <v>1799</v>
      </c>
      <c r="B113" s="17">
        <v>1984.0</v>
      </c>
      <c r="C113" s="9" t="s">
        <v>4738</v>
      </c>
      <c r="D113" s="9">
        <v>2.0</v>
      </c>
      <c r="E113" s="18">
        <f t="shared" si="1"/>
        <v>30927</v>
      </c>
      <c r="F113" s="9">
        <v>3.0</v>
      </c>
      <c r="G113" s="19">
        <v>12091.34</v>
      </c>
      <c r="H113" s="9" t="s">
        <v>4717</v>
      </c>
      <c r="I113" s="9" t="s">
        <v>4723</v>
      </c>
      <c r="J113" s="9" t="s">
        <v>4736</v>
      </c>
      <c r="K113" s="20">
        <f t="shared" si="2"/>
        <v>1984</v>
      </c>
      <c r="L113" s="9" t="str">
        <f t="shared" si="3"/>
        <v>tier - 3</v>
      </c>
      <c r="M113" s="9" t="str">
        <f t="shared" si="4"/>
        <v>tier - 2</v>
      </c>
      <c r="N113" s="9" t="str">
        <f t="shared" si="5"/>
        <v>R1022</v>
      </c>
      <c r="O113" s="17">
        <f t="shared" si="6"/>
        <v>38</v>
      </c>
      <c r="P113" s="18">
        <v>30927.0</v>
      </c>
    </row>
    <row r="114" ht="15.75" customHeight="1">
      <c r="A114" s="9" t="s">
        <v>1797</v>
      </c>
      <c r="B114" s="17">
        <v>1968.0</v>
      </c>
      <c r="C114" s="9" t="s">
        <v>4730</v>
      </c>
      <c r="D114" s="9">
        <v>21.0</v>
      </c>
      <c r="E114" s="18">
        <f t="shared" si="1"/>
        <v>25010</v>
      </c>
      <c r="F114" s="9">
        <v>3.0</v>
      </c>
      <c r="G114" s="19">
        <v>12094.48</v>
      </c>
      <c r="H114" s="9" t="s">
        <v>4717</v>
      </c>
      <c r="I114" s="9" t="s">
        <v>4717</v>
      </c>
      <c r="J114" s="9" t="s">
        <v>4719</v>
      </c>
      <c r="K114" s="20">
        <f t="shared" si="2"/>
        <v>1968</v>
      </c>
      <c r="L114" s="9" t="str">
        <f t="shared" si="3"/>
        <v>tier - 3</v>
      </c>
      <c r="M114" s="9" t="str">
        <f t="shared" si="4"/>
        <v>tier - 3</v>
      </c>
      <c r="N114" s="9" t="str">
        <f t="shared" si="5"/>
        <v>R1011</v>
      </c>
      <c r="O114" s="17">
        <f t="shared" si="6"/>
        <v>54</v>
      </c>
      <c r="P114" s="18">
        <v>25010.0</v>
      </c>
    </row>
    <row r="115" ht="15.75" customHeight="1">
      <c r="A115" s="9" t="s">
        <v>1795</v>
      </c>
      <c r="B115" s="17">
        <v>1968.0</v>
      </c>
      <c r="C115" s="9" t="s">
        <v>4725</v>
      </c>
      <c r="D115" s="9">
        <v>9.0</v>
      </c>
      <c r="E115" s="18">
        <f t="shared" si="1"/>
        <v>25181</v>
      </c>
      <c r="F115" s="9">
        <v>2.0</v>
      </c>
      <c r="G115" s="19">
        <v>12096.65</v>
      </c>
      <c r="H115" s="9" t="s">
        <v>4717</v>
      </c>
      <c r="I115" s="9" t="s">
        <v>4718</v>
      </c>
      <c r="J115" s="9" t="s">
        <v>4731</v>
      </c>
      <c r="K115" s="20">
        <f t="shared" si="2"/>
        <v>1968</v>
      </c>
      <c r="L115" s="9" t="str">
        <f t="shared" si="3"/>
        <v>tier - 3</v>
      </c>
      <c r="M115" s="9" t="str">
        <f t="shared" si="4"/>
        <v>tier - 1</v>
      </c>
      <c r="N115" s="9" t="str">
        <f t="shared" si="5"/>
        <v>R1024</v>
      </c>
      <c r="O115" s="17">
        <f t="shared" si="6"/>
        <v>54</v>
      </c>
      <c r="P115" s="18">
        <v>25181.0</v>
      </c>
    </row>
    <row r="116" ht="15.75" customHeight="1">
      <c r="A116" s="9" t="s">
        <v>1793</v>
      </c>
      <c r="B116" s="17">
        <v>1968.0</v>
      </c>
      <c r="C116" s="9" t="s">
        <v>4720</v>
      </c>
      <c r="D116" s="9">
        <v>25.0</v>
      </c>
      <c r="E116" s="18">
        <f t="shared" si="1"/>
        <v>25136</v>
      </c>
      <c r="F116" s="9">
        <v>3.0</v>
      </c>
      <c r="G116" s="19">
        <v>12105.32</v>
      </c>
      <c r="H116" s="9" t="s">
        <v>4717</v>
      </c>
      <c r="I116" s="9" t="s">
        <v>4717</v>
      </c>
      <c r="J116" s="9" t="s">
        <v>4719</v>
      </c>
      <c r="K116" s="20">
        <f t="shared" si="2"/>
        <v>1968</v>
      </c>
      <c r="L116" s="9" t="str">
        <f t="shared" si="3"/>
        <v>tier - 3</v>
      </c>
      <c r="M116" s="9" t="str">
        <f t="shared" si="4"/>
        <v>tier - 3</v>
      </c>
      <c r="N116" s="9" t="str">
        <f t="shared" si="5"/>
        <v>R1011</v>
      </c>
      <c r="O116" s="17">
        <f t="shared" si="6"/>
        <v>54</v>
      </c>
      <c r="P116" s="18">
        <v>25136.0</v>
      </c>
    </row>
    <row r="117" ht="15.75" customHeight="1">
      <c r="A117" s="9" t="s">
        <v>1791</v>
      </c>
      <c r="B117" s="17">
        <v>1963.0</v>
      </c>
      <c r="C117" s="9" t="s">
        <v>4741</v>
      </c>
      <c r="D117" s="9">
        <v>20.0</v>
      </c>
      <c r="E117" s="18">
        <f t="shared" si="1"/>
        <v>23212</v>
      </c>
      <c r="F117" s="9">
        <v>0.0</v>
      </c>
      <c r="G117" s="19">
        <v>12124.99</v>
      </c>
      <c r="H117" s="9" t="s">
        <v>4717</v>
      </c>
      <c r="I117" s="9" t="s">
        <v>4718</v>
      </c>
      <c r="J117" s="9" t="s">
        <v>4733</v>
      </c>
      <c r="K117" s="20">
        <f t="shared" si="2"/>
        <v>1963</v>
      </c>
      <c r="L117" s="9" t="str">
        <f t="shared" si="3"/>
        <v>tier - 3</v>
      </c>
      <c r="M117" s="9" t="str">
        <f t="shared" si="4"/>
        <v>tier - 1</v>
      </c>
      <c r="N117" s="9" t="str">
        <f t="shared" si="5"/>
        <v>R1012</v>
      </c>
      <c r="O117" s="17">
        <f t="shared" si="6"/>
        <v>59</v>
      </c>
      <c r="P117" s="18">
        <v>23212.0</v>
      </c>
    </row>
    <row r="118" ht="15.75" customHeight="1">
      <c r="A118" s="9" t="s">
        <v>1789</v>
      </c>
      <c r="B118" s="17">
        <v>1963.0</v>
      </c>
      <c r="C118" s="9" t="s">
        <v>4730</v>
      </c>
      <c r="D118" s="9">
        <v>4.0</v>
      </c>
      <c r="E118" s="18">
        <f t="shared" si="1"/>
        <v>23166</v>
      </c>
      <c r="F118" s="9">
        <v>0.0</v>
      </c>
      <c r="G118" s="19">
        <v>12129.61</v>
      </c>
      <c r="H118" s="9" t="s">
        <v>4717</v>
      </c>
      <c r="I118" s="9" t="s">
        <v>4718</v>
      </c>
      <c r="J118" s="9" t="s">
        <v>4733</v>
      </c>
      <c r="K118" s="20">
        <f t="shared" si="2"/>
        <v>1963</v>
      </c>
      <c r="L118" s="9" t="str">
        <f t="shared" si="3"/>
        <v>tier - 3</v>
      </c>
      <c r="M118" s="9" t="str">
        <f t="shared" si="4"/>
        <v>tier - 1</v>
      </c>
      <c r="N118" s="9" t="str">
        <f t="shared" si="5"/>
        <v>R1012</v>
      </c>
      <c r="O118" s="17">
        <f t="shared" si="6"/>
        <v>60</v>
      </c>
      <c r="P118" s="18">
        <v>23166.0</v>
      </c>
    </row>
    <row r="119" ht="15.75" customHeight="1">
      <c r="A119" s="9" t="s">
        <v>1787</v>
      </c>
      <c r="B119" s="17">
        <v>1991.0</v>
      </c>
      <c r="C119" s="9" t="s">
        <v>4735</v>
      </c>
      <c r="D119" s="9">
        <v>6.0</v>
      </c>
      <c r="E119" s="18">
        <f t="shared" si="1"/>
        <v>33548</v>
      </c>
      <c r="F119" s="9">
        <v>3.0</v>
      </c>
      <c r="G119" s="19">
        <v>12130.8</v>
      </c>
      <c r="H119" s="9" t="s">
        <v>4717</v>
      </c>
      <c r="I119" s="9" t="s">
        <v>4717</v>
      </c>
      <c r="J119" s="9" t="s">
        <v>4721</v>
      </c>
      <c r="K119" s="20">
        <f t="shared" si="2"/>
        <v>1991</v>
      </c>
      <c r="L119" s="9" t="str">
        <f t="shared" si="3"/>
        <v>tier - 3</v>
      </c>
      <c r="M119" s="9" t="str">
        <f t="shared" si="4"/>
        <v>tier - 3</v>
      </c>
      <c r="N119" s="9" t="str">
        <f t="shared" si="5"/>
        <v>R1026</v>
      </c>
      <c r="O119" s="17">
        <f t="shared" si="6"/>
        <v>31</v>
      </c>
      <c r="P119" s="18">
        <v>33548.0</v>
      </c>
    </row>
    <row r="120" ht="15.75" customHeight="1">
      <c r="A120" s="9" t="s">
        <v>1785</v>
      </c>
      <c r="B120" s="17">
        <v>1974.0</v>
      </c>
      <c r="C120" s="9" t="s">
        <v>4738</v>
      </c>
      <c r="D120" s="9">
        <v>16.0</v>
      </c>
      <c r="E120" s="18">
        <f t="shared" si="1"/>
        <v>27288</v>
      </c>
      <c r="F120" s="9">
        <v>0.0</v>
      </c>
      <c r="G120" s="19">
        <v>12137.6</v>
      </c>
      <c r="H120" s="9" t="s">
        <v>4717</v>
      </c>
      <c r="I120" s="9" t="s">
        <v>4717</v>
      </c>
      <c r="J120" s="9" t="s">
        <v>4733</v>
      </c>
      <c r="K120" s="20">
        <f t="shared" si="2"/>
        <v>1974</v>
      </c>
      <c r="L120" s="9" t="str">
        <f t="shared" si="3"/>
        <v>tier - 3</v>
      </c>
      <c r="M120" s="9" t="str">
        <f t="shared" si="4"/>
        <v>tier - 3</v>
      </c>
      <c r="N120" s="9" t="str">
        <f t="shared" si="5"/>
        <v>R1012</v>
      </c>
      <c r="O120" s="17">
        <f t="shared" si="6"/>
        <v>48</v>
      </c>
      <c r="P120" s="18">
        <v>27288.0</v>
      </c>
    </row>
    <row r="121" ht="15.75" customHeight="1">
      <c r="A121" s="9" t="s">
        <v>1783</v>
      </c>
      <c r="B121" s="17">
        <v>1962.0</v>
      </c>
      <c r="C121" s="9" t="s">
        <v>4735</v>
      </c>
      <c r="D121" s="9">
        <v>4.0</v>
      </c>
      <c r="E121" s="18">
        <f t="shared" si="1"/>
        <v>22954</v>
      </c>
      <c r="F121" s="9">
        <v>0.0</v>
      </c>
      <c r="G121" s="19">
        <v>12142.58</v>
      </c>
      <c r="H121" s="9" t="s">
        <v>4717</v>
      </c>
      <c r="I121" s="9" t="s">
        <v>4723</v>
      </c>
      <c r="J121" s="9" t="s">
        <v>4743</v>
      </c>
      <c r="K121" s="20">
        <f t="shared" si="2"/>
        <v>1962</v>
      </c>
      <c r="L121" s="9" t="str">
        <f t="shared" si="3"/>
        <v>tier - 3</v>
      </c>
      <c r="M121" s="9" t="str">
        <f t="shared" si="4"/>
        <v>tier - 2</v>
      </c>
      <c r="N121" s="9" t="str">
        <f t="shared" si="5"/>
        <v>R1013</v>
      </c>
      <c r="O121" s="17">
        <f t="shared" si="6"/>
        <v>60</v>
      </c>
      <c r="P121" s="18">
        <v>22954.0</v>
      </c>
    </row>
    <row r="122" ht="15.75" customHeight="1">
      <c r="A122" s="9" t="s">
        <v>1781</v>
      </c>
      <c r="B122" s="17">
        <v>1962.0</v>
      </c>
      <c r="C122" s="9" t="s">
        <v>4738</v>
      </c>
      <c r="D122" s="9">
        <v>15.0</v>
      </c>
      <c r="E122" s="18">
        <f t="shared" si="1"/>
        <v>22904</v>
      </c>
      <c r="F122" s="9">
        <v>0.0</v>
      </c>
      <c r="G122" s="19">
        <v>12146.97</v>
      </c>
      <c r="H122" s="9" t="s">
        <v>4717</v>
      </c>
      <c r="I122" s="9" t="s">
        <v>4717</v>
      </c>
      <c r="J122" s="9" t="s">
        <v>4719</v>
      </c>
      <c r="K122" s="20">
        <f t="shared" si="2"/>
        <v>1962</v>
      </c>
      <c r="L122" s="9" t="str">
        <f t="shared" si="3"/>
        <v>tier - 3</v>
      </c>
      <c r="M122" s="9" t="str">
        <f t="shared" si="4"/>
        <v>tier - 3</v>
      </c>
      <c r="N122" s="9" t="str">
        <f t="shared" si="5"/>
        <v>R1011</v>
      </c>
      <c r="O122" s="17">
        <f t="shared" si="6"/>
        <v>60</v>
      </c>
      <c r="P122" s="18">
        <v>22904.0</v>
      </c>
    </row>
    <row r="123" ht="15.75" customHeight="1">
      <c r="A123" s="9" t="s">
        <v>179</v>
      </c>
      <c r="B123" s="17">
        <v>1983.0</v>
      </c>
      <c r="C123" s="9" t="s">
        <v>4738</v>
      </c>
      <c r="D123" s="9">
        <v>8.0</v>
      </c>
      <c r="E123" s="18">
        <f t="shared" si="1"/>
        <v>30567</v>
      </c>
      <c r="F123" s="9">
        <v>3.0</v>
      </c>
      <c r="G123" s="19">
        <v>40961.29</v>
      </c>
      <c r="H123" s="9" t="s">
        <v>4718</v>
      </c>
      <c r="I123" s="9" t="s">
        <v>4723</v>
      </c>
      <c r="J123" s="9" t="s">
        <v>4719</v>
      </c>
      <c r="K123" s="20">
        <f t="shared" si="2"/>
        <v>1983</v>
      </c>
      <c r="L123" s="9" t="str">
        <f t="shared" si="3"/>
        <v>tier - 1</v>
      </c>
      <c r="M123" s="9" t="str">
        <f t="shared" si="4"/>
        <v>tier - 2</v>
      </c>
      <c r="N123" s="9" t="str">
        <f t="shared" si="5"/>
        <v>R1011</v>
      </c>
      <c r="O123" s="17">
        <f t="shared" si="6"/>
        <v>39</v>
      </c>
      <c r="P123" s="18">
        <v>30567.0</v>
      </c>
    </row>
    <row r="124" ht="15.75" customHeight="1">
      <c r="A124" s="9" t="s">
        <v>1779</v>
      </c>
      <c r="B124" s="17">
        <v>1987.0</v>
      </c>
      <c r="C124" s="9" t="s">
        <v>4720</v>
      </c>
      <c r="D124" s="9">
        <v>5.0</v>
      </c>
      <c r="E124" s="18">
        <f t="shared" si="1"/>
        <v>32055</v>
      </c>
      <c r="F124" s="9">
        <v>3.0</v>
      </c>
      <c r="G124" s="19">
        <v>12148.2</v>
      </c>
      <c r="H124" s="9" t="s">
        <v>4717</v>
      </c>
      <c r="I124" s="9" t="s">
        <v>4717</v>
      </c>
      <c r="J124" s="9" t="s">
        <v>4733</v>
      </c>
      <c r="K124" s="20">
        <f t="shared" si="2"/>
        <v>1987</v>
      </c>
      <c r="L124" s="9" t="str">
        <f t="shared" si="3"/>
        <v>tier - 3</v>
      </c>
      <c r="M124" s="9" t="str">
        <f t="shared" si="4"/>
        <v>tier - 3</v>
      </c>
      <c r="N124" s="9" t="str">
        <f t="shared" si="5"/>
        <v>R1012</v>
      </c>
      <c r="O124" s="17">
        <f t="shared" si="6"/>
        <v>35</v>
      </c>
      <c r="P124" s="18">
        <v>32055.0</v>
      </c>
    </row>
    <row r="125" ht="15.75" customHeight="1">
      <c r="A125" s="9" t="s">
        <v>1777</v>
      </c>
      <c r="B125" s="17">
        <v>1991.0</v>
      </c>
      <c r="C125" s="9" t="s">
        <v>4716</v>
      </c>
      <c r="D125" s="9">
        <v>29.0</v>
      </c>
      <c r="E125" s="18">
        <f t="shared" si="1"/>
        <v>33479</v>
      </c>
      <c r="F125" s="9">
        <v>3.0</v>
      </c>
      <c r="G125" s="19">
        <v>12198.64</v>
      </c>
      <c r="H125" s="9" t="s">
        <v>4717</v>
      </c>
      <c r="I125" s="9" t="s">
        <v>4717</v>
      </c>
      <c r="J125" s="9" t="s">
        <v>4721</v>
      </c>
      <c r="K125" s="20">
        <f t="shared" si="2"/>
        <v>1991</v>
      </c>
      <c r="L125" s="9" t="str">
        <f t="shared" si="3"/>
        <v>tier - 3</v>
      </c>
      <c r="M125" s="9" t="str">
        <f t="shared" si="4"/>
        <v>tier - 3</v>
      </c>
      <c r="N125" s="9" t="str">
        <f t="shared" si="5"/>
        <v>R1026</v>
      </c>
      <c r="O125" s="17">
        <f t="shared" si="6"/>
        <v>31</v>
      </c>
      <c r="P125" s="18">
        <v>33479.0</v>
      </c>
    </row>
    <row r="126" ht="15.75" customHeight="1">
      <c r="A126" s="9" t="s">
        <v>1775</v>
      </c>
      <c r="B126" s="17">
        <v>1977.0</v>
      </c>
      <c r="C126" s="9" t="s">
        <v>4716</v>
      </c>
      <c r="D126" s="9">
        <v>14.0</v>
      </c>
      <c r="E126" s="18">
        <f t="shared" si="1"/>
        <v>28351</v>
      </c>
      <c r="F126" s="9">
        <v>2.0</v>
      </c>
      <c r="G126" s="19">
        <v>12218.7</v>
      </c>
      <c r="H126" s="9" t="s">
        <v>4717</v>
      </c>
      <c r="I126" s="9" t="s">
        <v>4718</v>
      </c>
      <c r="J126" s="9" t="s">
        <v>4733</v>
      </c>
      <c r="K126" s="20">
        <f t="shared" si="2"/>
        <v>1977</v>
      </c>
      <c r="L126" s="9" t="str">
        <f t="shared" si="3"/>
        <v>tier - 3</v>
      </c>
      <c r="M126" s="9" t="str">
        <f t="shared" si="4"/>
        <v>tier - 1</v>
      </c>
      <c r="N126" s="9" t="str">
        <f t="shared" si="5"/>
        <v>R1012</v>
      </c>
      <c r="O126" s="17">
        <f t="shared" si="6"/>
        <v>45</v>
      </c>
      <c r="P126" s="18">
        <v>28351.0</v>
      </c>
    </row>
    <row r="127" ht="15.75" customHeight="1">
      <c r="A127" s="9" t="s">
        <v>1773</v>
      </c>
      <c r="B127" s="17">
        <v>1964.0</v>
      </c>
      <c r="C127" s="9" t="s">
        <v>4741</v>
      </c>
      <c r="D127" s="9">
        <v>20.0</v>
      </c>
      <c r="E127" s="18">
        <f t="shared" si="1"/>
        <v>23578</v>
      </c>
      <c r="F127" s="9">
        <v>0.0</v>
      </c>
      <c r="G127" s="19">
        <v>12222.9</v>
      </c>
      <c r="H127" s="9" t="s">
        <v>4717</v>
      </c>
      <c r="I127" s="9" t="s">
        <v>4723</v>
      </c>
      <c r="J127" s="9" t="s">
        <v>4733</v>
      </c>
      <c r="K127" s="20">
        <f t="shared" si="2"/>
        <v>1964</v>
      </c>
      <c r="L127" s="9" t="str">
        <f t="shared" si="3"/>
        <v>tier - 3</v>
      </c>
      <c r="M127" s="9" t="str">
        <f t="shared" si="4"/>
        <v>tier - 2</v>
      </c>
      <c r="N127" s="9" t="str">
        <f t="shared" si="5"/>
        <v>R1012</v>
      </c>
      <c r="O127" s="17">
        <f t="shared" si="6"/>
        <v>58</v>
      </c>
      <c r="P127" s="18">
        <v>23578.0</v>
      </c>
    </row>
    <row r="128" ht="15.75" customHeight="1">
      <c r="A128" s="9" t="s">
        <v>1771</v>
      </c>
      <c r="B128" s="17">
        <v>1964.0</v>
      </c>
      <c r="C128" s="9" t="s">
        <v>4741</v>
      </c>
      <c r="D128" s="9">
        <v>2.0</v>
      </c>
      <c r="E128" s="18">
        <f t="shared" si="1"/>
        <v>23560</v>
      </c>
      <c r="F128" s="9">
        <v>0.0</v>
      </c>
      <c r="G128" s="19">
        <v>12224.35</v>
      </c>
      <c r="H128" s="9" t="s">
        <v>4717</v>
      </c>
      <c r="I128" s="9" t="s">
        <v>4718</v>
      </c>
      <c r="J128" s="9" t="s">
        <v>4733</v>
      </c>
      <c r="K128" s="20">
        <f t="shared" si="2"/>
        <v>1964</v>
      </c>
      <c r="L128" s="9" t="str">
        <f t="shared" si="3"/>
        <v>tier - 3</v>
      </c>
      <c r="M128" s="9" t="str">
        <f t="shared" si="4"/>
        <v>tier - 1</v>
      </c>
      <c r="N128" s="9" t="str">
        <f t="shared" si="5"/>
        <v>R1012</v>
      </c>
      <c r="O128" s="17">
        <f t="shared" si="6"/>
        <v>58</v>
      </c>
      <c r="P128" s="18">
        <v>23560.0</v>
      </c>
    </row>
    <row r="129" ht="15.75" customHeight="1">
      <c r="A129" s="9" t="s">
        <v>1769</v>
      </c>
      <c r="B129" s="17">
        <v>1964.0</v>
      </c>
      <c r="C129" s="9" t="s">
        <v>4730</v>
      </c>
      <c r="D129" s="9">
        <v>24.0</v>
      </c>
      <c r="E129" s="18">
        <f t="shared" si="1"/>
        <v>23552</v>
      </c>
      <c r="F129" s="9">
        <v>0.0</v>
      </c>
      <c r="G129" s="19">
        <v>12231.61</v>
      </c>
      <c r="H129" s="9" t="s">
        <v>4717</v>
      </c>
      <c r="I129" s="9" t="s">
        <v>4717</v>
      </c>
      <c r="J129" s="9" t="s">
        <v>4733</v>
      </c>
      <c r="K129" s="20">
        <f t="shared" si="2"/>
        <v>1964</v>
      </c>
      <c r="L129" s="9" t="str">
        <f t="shared" si="3"/>
        <v>tier - 3</v>
      </c>
      <c r="M129" s="9" t="str">
        <f t="shared" si="4"/>
        <v>tier - 3</v>
      </c>
      <c r="N129" s="9" t="str">
        <f t="shared" si="5"/>
        <v>R1012</v>
      </c>
      <c r="O129" s="17">
        <f t="shared" si="6"/>
        <v>58</v>
      </c>
      <c r="P129" s="18">
        <v>23552.0</v>
      </c>
    </row>
    <row r="130" ht="15.75" customHeight="1">
      <c r="A130" s="9" t="s">
        <v>1767</v>
      </c>
      <c r="B130" s="17">
        <v>1963.0</v>
      </c>
      <c r="C130" s="9" t="s">
        <v>4741</v>
      </c>
      <c r="D130" s="9">
        <v>19.0</v>
      </c>
      <c r="E130" s="18">
        <f t="shared" si="1"/>
        <v>23211</v>
      </c>
      <c r="F130" s="9">
        <v>0.0</v>
      </c>
      <c r="G130" s="19">
        <v>12233.83</v>
      </c>
      <c r="H130" s="9" t="s">
        <v>4717</v>
      </c>
      <c r="I130" s="9" t="s">
        <v>4718</v>
      </c>
      <c r="J130" s="9" t="s">
        <v>4719</v>
      </c>
      <c r="K130" s="20">
        <f t="shared" si="2"/>
        <v>1963</v>
      </c>
      <c r="L130" s="9" t="str">
        <f t="shared" si="3"/>
        <v>tier - 3</v>
      </c>
      <c r="M130" s="9" t="str">
        <f t="shared" si="4"/>
        <v>tier - 1</v>
      </c>
      <c r="N130" s="9" t="str">
        <f t="shared" si="5"/>
        <v>R1011</v>
      </c>
      <c r="O130" s="17">
        <f t="shared" si="6"/>
        <v>59</v>
      </c>
      <c r="P130" s="18">
        <v>23211.0</v>
      </c>
    </row>
    <row r="131" ht="15.75" customHeight="1">
      <c r="A131" s="9" t="s">
        <v>1765</v>
      </c>
      <c r="B131" s="17">
        <v>1964.0</v>
      </c>
      <c r="C131" s="9" t="s">
        <v>4720</v>
      </c>
      <c r="D131" s="9">
        <v>15.0</v>
      </c>
      <c r="E131" s="18">
        <f t="shared" si="1"/>
        <v>23665</v>
      </c>
      <c r="F131" s="9">
        <v>0.0</v>
      </c>
      <c r="G131" s="19">
        <v>12235.84</v>
      </c>
      <c r="H131" s="9" t="s">
        <v>4717</v>
      </c>
      <c r="I131" s="9" t="s">
        <v>4717</v>
      </c>
      <c r="J131" s="9" t="s">
        <v>4733</v>
      </c>
      <c r="K131" s="20">
        <f t="shared" si="2"/>
        <v>1964</v>
      </c>
      <c r="L131" s="9" t="str">
        <f t="shared" si="3"/>
        <v>tier - 3</v>
      </c>
      <c r="M131" s="9" t="str">
        <f t="shared" si="4"/>
        <v>tier - 3</v>
      </c>
      <c r="N131" s="9" t="str">
        <f t="shared" si="5"/>
        <v>R1012</v>
      </c>
      <c r="O131" s="17">
        <f t="shared" si="6"/>
        <v>58</v>
      </c>
      <c r="P131" s="18">
        <v>23665.0</v>
      </c>
    </row>
    <row r="132" ht="15.75" customHeight="1">
      <c r="A132" s="9" t="s">
        <v>1763</v>
      </c>
      <c r="B132" s="17">
        <v>1966.0</v>
      </c>
      <c r="C132" s="9" t="s">
        <v>4741</v>
      </c>
      <c r="D132" s="9">
        <v>29.0</v>
      </c>
      <c r="E132" s="18">
        <f t="shared" si="1"/>
        <v>24317</v>
      </c>
      <c r="F132" s="9">
        <v>0.0</v>
      </c>
      <c r="G132" s="19">
        <v>12237.73</v>
      </c>
      <c r="H132" s="9" t="s">
        <v>4717</v>
      </c>
      <c r="I132" s="9" t="s">
        <v>4717</v>
      </c>
      <c r="J132" s="9" t="s">
        <v>4733</v>
      </c>
      <c r="K132" s="20">
        <f t="shared" si="2"/>
        <v>1966</v>
      </c>
      <c r="L132" s="9" t="str">
        <f t="shared" si="3"/>
        <v>tier - 3</v>
      </c>
      <c r="M132" s="9" t="str">
        <f t="shared" si="4"/>
        <v>tier - 3</v>
      </c>
      <c r="N132" s="9" t="str">
        <f t="shared" si="5"/>
        <v>R1012</v>
      </c>
      <c r="O132" s="17">
        <f t="shared" si="6"/>
        <v>56</v>
      </c>
      <c r="P132" s="18">
        <v>24317.0</v>
      </c>
    </row>
    <row r="133" ht="15.75" customHeight="1">
      <c r="A133" s="9" t="s">
        <v>1761</v>
      </c>
      <c r="B133" s="17">
        <v>1963.0</v>
      </c>
      <c r="C133" s="9" t="s">
        <v>4741</v>
      </c>
      <c r="D133" s="9">
        <v>17.0</v>
      </c>
      <c r="E133" s="18">
        <f t="shared" si="1"/>
        <v>23209</v>
      </c>
      <c r="F133" s="9">
        <v>0.0</v>
      </c>
      <c r="G133" s="19">
        <v>12244.53</v>
      </c>
      <c r="H133" s="9" t="s">
        <v>4717</v>
      </c>
      <c r="I133" s="9" t="s">
        <v>4718</v>
      </c>
      <c r="J133" s="9" t="s">
        <v>4743</v>
      </c>
      <c r="K133" s="20">
        <f t="shared" si="2"/>
        <v>1963</v>
      </c>
      <c r="L133" s="9" t="str">
        <f t="shared" si="3"/>
        <v>tier - 3</v>
      </c>
      <c r="M133" s="9" t="str">
        <f t="shared" si="4"/>
        <v>tier - 1</v>
      </c>
      <c r="N133" s="9" t="str">
        <f t="shared" si="5"/>
        <v>R1013</v>
      </c>
      <c r="O133" s="17">
        <f t="shared" si="6"/>
        <v>59</v>
      </c>
      <c r="P133" s="18">
        <v>23209.0</v>
      </c>
    </row>
    <row r="134" ht="15.75" customHeight="1">
      <c r="A134" s="9" t="s">
        <v>177</v>
      </c>
      <c r="B134" s="17">
        <v>1974.0</v>
      </c>
      <c r="C134" s="9" t="s">
        <v>4730</v>
      </c>
      <c r="D134" s="9">
        <v>5.0</v>
      </c>
      <c r="E134" s="18">
        <f t="shared" si="1"/>
        <v>27185</v>
      </c>
      <c r="F134" s="9">
        <v>0.0</v>
      </c>
      <c r="G134" s="19">
        <v>40974.16</v>
      </c>
      <c r="H134" s="9" t="s">
        <v>4718</v>
      </c>
      <c r="I134" s="9" t="s">
        <v>4723</v>
      </c>
      <c r="J134" s="9" t="s">
        <v>4743</v>
      </c>
      <c r="K134" s="20">
        <f t="shared" si="2"/>
        <v>1974</v>
      </c>
      <c r="L134" s="9" t="str">
        <f t="shared" si="3"/>
        <v>tier - 1</v>
      </c>
      <c r="M134" s="9" t="str">
        <f t="shared" si="4"/>
        <v>tier - 2</v>
      </c>
      <c r="N134" s="9" t="str">
        <f t="shared" si="5"/>
        <v>R1013</v>
      </c>
      <c r="O134" s="17">
        <f t="shared" si="6"/>
        <v>49</v>
      </c>
      <c r="P134" s="18">
        <v>27185.0</v>
      </c>
    </row>
    <row r="135" ht="15.75" customHeight="1">
      <c r="A135" s="9" t="s">
        <v>1759</v>
      </c>
      <c r="B135" s="17">
        <v>1974.0</v>
      </c>
      <c r="C135" s="9" t="s">
        <v>4730</v>
      </c>
      <c r="D135" s="9">
        <v>23.0</v>
      </c>
      <c r="E135" s="18">
        <f t="shared" si="1"/>
        <v>27203</v>
      </c>
      <c r="F135" s="9">
        <v>0.0</v>
      </c>
      <c r="G135" s="19">
        <v>12245.17</v>
      </c>
      <c r="H135" s="9" t="s">
        <v>4717</v>
      </c>
      <c r="I135" s="9" t="s">
        <v>4718</v>
      </c>
      <c r="J135" s="9" t="s">
        <v>4733</v>
      </c>
      <c r="K135" s="20">
        <f t="shared" si="2"/>
        <v>1974</v>
      </c>
      <c r="L135" s="9" t="str">
        <f t="shared" si="3"/>
        <v>tier - 3</v>
      </c>
      <c r="M135" s="9" t="str">
        <f t="shared" si="4"/>
        <v>tier - 1</v>
      </c>
      <c r="N135" s="9" t="str">
        <f t="shared" si="5"/>
        <v>R1012</v>
      </c>
      <c r="O135" s="17">
        <f t="shared" si="6"/>
        <v>48</v>
      </c>
      <c r="P135" s="18">
        <v>27203.0</v>
      </c>
    </row>
    <row r="136" ht="15.75" customHeight="1">
      <c r="A136" s="9" t="s">
        <v>1757</v>
      </c>
      <c r="B136" s="17">
        <v>1989.0</v>
      </c>
      <c r="C136" s="9" t="s">
        <v>4735</v>
      </c>
      <c r="D136" s="9">
        <v>23.0</v>
      </c>
      <c r="E136" s="18">
        <f t="shared" si="1"/>
        <v>32835</v>
      </c>
      <c r="F136" s="9">
        <v>3.0</v>
      </c>
      <c r="G136" s="19">
        <v>12254.44</v>
      </c>
      <c r="H136" s="9" t="s">
        <v>4717</v>
      </c>
      <c r="I136" s="9" t="s">
        <v>4717</v>
      </c>
      <c r="J136" s="9" t="s">
        <v>4721</v>
      </c>
      <c r="K136" s="20">
        <f t="shared" si="2"/>
        <v>1989</v>
      </c>
      <c r="L136" s="9" t="str">
        <f t="shared" si="3"/>
        <v>tier - 3</v>
      </c>
      <c r="M136" s="9" t="str">
        <f t="shared" si="4"/>
        <v>tier - 3</v>
      </c>
      <c r="N136" s="9" t="str">
        <f t="shared" si="5"/>
        <v>R1026</v>
      </c>
      <c r="O136" s="17">
        <f t="shared" si="6"/>
        <v>33</v>
      </c>
      <c r="P136" s="18">
        <v>32835.0</v>
      </c>
    </row>
    <row r="137" ht="15.75" customHeight="1">
      <c r="A137" s="9" t="s">
        <v>1755</v>
      </c>
      <c r="B137" s="17">
        <v>1986.0</v>
      </c>
      <c r="C137" s="9" t="s">
        <v>4716</v>
      </c>
      <c r="D137" s="9">
        <v>13.0</v>
      </c>
      <c r="E137" s="18">
        <f t="shared" si="1"/>
        <v>31637</v>
      </c>
      <c r="F137" s="9">
        <v>3.0</v>
      </c>
      <c r="G137" s="19">
        <v>12255.04</v>
      </c>
      <c r="H137" s="9" t="s">
        <v>4717</v>
      </c>
      <c r="I137" s="9" t="s">
        <v>4723</v>
      </c>
      <c r="J137" s="9" t="s">
        <v>4721</v>
      </c>
      <c r="K137" s="20">
        <f t="shared" si="2"/>
        <v>1986</v>
      </c>
      <c r="L137" s="9" t="str">
        <f t="shared" si="3"/>
        <v>tier - 3</v>
      </c>
      <c r="M137" s="9" t="str">
        <f t="shared" si="4"/>
        <v>tier - 2</v>
      </c>
      <c r="N137" s="9" t="str">
        <f t="shared" si="5"/>
        <v>R1026</v>
      </c>
      <c r="O137" s="17">
        <f t="shared" si="6"/>
        <v>36</v>
      </c>
      <c r="P137" s="18">
        <v>31637.0</v>
      </c>
    </row>
    <row r="138" ht="15.75" customHeight="1">
      <c r="A138" s="9" t="s">
        <v>1753</v>
      </c>
      <c r="B138" s="17">
        <v>1966.0</v>
      </c>
      <c r="C138" s="9" t="s">
        <v>4725</v>
      </c>
      <c r="D138" s="9">
        <v>6.0</v>
      </c>
      <c r="E138" s="18">
        <f t="shared" si="1"/>
        <v>24447</v>
      </c>
      <c r="F138" s="9">
        <v>2.0</v>
      </c>
      <c r="G138" s="19">
        <v>12265.51</v>
      </c>
      <c r="H138" s="9" t="s">
        <v>4717</v>
      </c>
      <c r="I138" s="9" t="s">
        <v>4717</v>
      </c>
      <c r="J138" s="9" t="s">
        <v>4743</v>
      </c>
      <c r="K138" s="20">
        <f t="shared" si="2"/>
        <v>1966</v>
      </c>
      <c r="L138" s="9" t="str">
        <f t="shared" si="3"/>
        <v>tier - 3</v>
      </c>
      <c r="M138" s="9" t="str">
        <f t="shared" si="4"/>
        <v>tier - 3</v>
      </c>
      <c r="N138" s="9" t="str">
        <f t="shared" si="5"/>
        <v>R1013</v>
      </c>
      <c r="O138" s="17">
        <f t="shared" si="6"/>
        <v>56</v>
      </c>
      <c r="P138" s="18">
        <v>24447.0</v>
      </c>
    </row>
    <row r="139" ht="15.75" customHeight="1">
      <c r="A139" s="9" t="s">
        <v>1751</v>
      </c>
      <c r="B139" s="17">
        <v>1967.0</v>
      </c>
      <c r="C139" s="9" t="s">
        <v>4725</v>
      </c>
      <c r="D139" s="9">
        <v>30.0</v>
      </c>
      <c r="E139" s="18">
        <f t="shared" si="1"/>
        <v>24836</v>
      </c>
      <c r="F139" s="9">
        <v>2.0</v>
      </c>
      <c r="G139" s="19">
        <v>12268.63</v>
      </c>
      <c r="H139" s="9" t="s">
        <v>4717</v>
      </c>
      <c r="I139" s="9" t="s">
        <v>4718</v>
      </c>
      <c r="J139" s="9" t="s">
        <v>4733</v>
      </c>
      <c r="K139" s="20">
        <f t="shared" si="2"/>
        <v>1967</v>
      </c>
      <c r="L139" s="9" t="str">
        <f t="shared" si="3"/>
        <v>tier - 3</v>
      </c>
      <c r="M139" s="9" t="str">
        <f t="shared" si="4"/>
        <v>tier - 1</v>
      </c>
      <c r="N139" s="9" t="str">
        <f t="shared" si="5"/>
        <v>R1012</v>
      </c>
      <c r="O139" s="17">
        <f t="shared" si="6"/>
        <v>55</v>
      </c>
      <c r="P139" s="18">
        <v>24836.0</v>
      </c>
    </row>
    <row r="140" ht="15.75" customHeight="1">
      <c r="A140" s="9" t="s">
        <v>1749</v>
      </c>
      <c r="B140" s="17">
        <v>1967.0</v>
      </c>
      <c r="C140" s="9" t="s">
        <v>4716</v>
      </c>
      <c r="D140" s="9">
        <v>28.0</v>
      </c>
      <c r="E140" s="18">
        <f t="shared" si="1"/>
        <v>24712</v>
      </c>
      <c r="F140" s="9">
        <v>2.0</v>
      </c>
      <c r="G140" s="19">
        <v>12269.69</v>
      </c>
      <c r="H140" s="9" t="s">
        <v>4717</v>
      </c>
      <c r="I140" s="9" t="s">
        <v>4723</v>
      </c>
      <c r="J140" s="9" t="s">
        <v>4733</v>
      </c>
      <c r="K140" s="20">
        <f t="shared" si="2"/>
        <v>1967</v>
      </c>
      <c r="L140" s="9" t="str">
        <f t="shared" si="3"/>
        <v>tier - 3</v>
      </c>
      <c r="M140" s="9" t="str">
        <f t="shared" si="4"/>
        <v>tier - 2</v>
      </c>
      <c r="N140" s="9" t="str">
        <f t="shared" si="5"/>
        <v>R1012</v>
      </c>
      <c r="O140" s="17">
        <f t="shared" si="6"/>
        <v>55</v>
      </c>
      <c r="P140" s="18">
        <v>24712.0</v>
      </c>
    </row>
    <row r="141" ht="15.75" customHeight="1">
      <c r="A141" s="9" t="s">
        <v>1747</v>
      </c>
      <c r="B141" s="17">
        <v>1966.0</v>
      </c>
      <c r="C141" s="9" t="s">
        <v>4735</v>
      </c>
      <c r="D141" s="9">
        <v>16.0</v>
      </c>
      <c r="E141" s="18">
        <f t="shared" si="1"/>
        <v>24427</v>
      </c>
      <c r="F141" s="9">
        <v>0.0</v>
      </c>
      <c r="G141" s="19">
        <v>12282.03</v>
      </c>
      <c r="H141" s="9" t="s">
        <v>4717</v>
      </c>
      <c r="I141" s="9" t="s">
        <v>4718</v>
      </c>
      <c r="J141" s="9" t="s">
        <v>4726</v>
      </c>
      <c r="K141" s="20">
        <f t="shared" si="2"/>
        <v>1966</v>
      </c>
      <c r="L141" s="9" t="str">
        <f t="shared" si="3"/>
        <v>tier - 3</v>
      </c>
      <c r="M141" s="9" t="str">
        <f t="shared" si="4"/>
        <v>tier - 1</v>
      </c>
      <c r="N141" s="9" t="str">
        <f t="shared" si="5"/>
        <v>R1025</v>
      </c>
      <c r="O141" s="17">
        <f t="shared" si="6"/>
        <v>56</v>
      </c>
      <c r="P141" s="18">
        <v>24427.0</v>
      </c>
    </row>
    <row r="142" ht="15.75" customHeight="1">
      <c r="A142" s="9" t="s">
        <v>1745</v>
      </c>
      <c r="B142" s="17">
        <v>1990.0</v>
      </c>
      <c r="C142" s="9" t="s">
        <v>4720</v>
      </c>
      <c r="D142" s="9">
        <v>29.0</v>
      </c>
      <c r="E142" s="18">
        <f t="shared" si="1"/>
        <v>33175</v>
      </c>
      <c r="F142" s="9">
        <v>3.0</v>
      </c>
      <c r="G142" s="19">
        <v>12282.38</v>
      </c>
      <c r="H142" s="9" t="s">
        <v>4717</v>
      </c>
      <c r="I142" s="9" t="s">
        <v>4718</v>
      </c>
      <c r="J142" s="9" t="s">
        <v>4719</v>
      </c>
      <c r="K142" s="20">
        <f t="shared" si="2"/>
        <v>1990</v>
      </c>
      <c r="L142" s="9" t="str">
        <f t="shared" si="3"/>
        <v>tier - 3</v>
      </c>
      <c r="M142" s="9" t="str">
        <f t="shared" si="4"/>
        <v>tier - 1</v>
      </c>
      <c r="N142" s="9" t="str">
        <f t="shared" si="5"/>
        <v>R1011</v>
      </c>
      <c r="O142" s="17">
        <f t="shared" si="6"/>
        <v>32</v>
      </c>
      <c r="P142" s="18">
        <v>33175.0</v>
      </c>
    </row>
    <row r="143" ht="15.75" customHeight="1">
      <c r="A143" s="9" t="s">
        <v>1743</v>
      </c>
      <c r="B143" s="17">
        <v>1963.0</v>
      </c>
      <c r="C143" s="9" t="s">
        <v>4720</v>
      </c>
      <c r="D143" s="9">
        <v>28.0</v>
      </c>
      <c r="E143" s="18">
        <f t="shared" si="1"/>
        <v>23312</v>
      </c>
      <c r="F143" s="9">
        <v>0.0</v>
      </c>
      <c r="G143" s="19">
        <v>12299.59</v>
      </c>
      <c r="H143" s="9" t="s">
        <v>4717</v>
      </c>
      <c r="I143" s="9" t="s">
        <v>4718</v>
      </c>
      <c r="J143" s="9" t="s">
        <v>4726</v>
      </c>
      <c r="K143" s="20">
        <f t="shared" si="2"/>
        <v>1963</v>
      </c>
      <c r="L143" s="9" t="str">
        <f t="shared" si="3"/>
        <v>tier - 3</v>
      </c>
      <c r="M143" s="9" t="str">
        <f t="shared" si="4"/>
        <v>tier - 1</v>
      </c>
      <c r="N143" s="9" t="str">
        <f t="shared" si="5"/>
        <v>R1025</v>
      </c>
      <c r="O143" s="17">
        <f t="shared" si="6"/>
        <v>59</v>
      </c>
      <c r="P143" s="18">
        <v>23312.0</v>
      </c>
    </row>
    <row r="144" ht="15.75" customHeight="1">
      <c r="A144" s="9" t="s">
        <v>1741</v>
      </c>
      <c r="B144" s="17">
        <v>1963.0</v>
      </c>
      <c r="C144" s="9" t="s">
        <v>4716</v>
      </c>
      <c r="D144" s="9">
        <v>29.0</v>
      </c>
      <c r="E144" s="18">
        <f t="shared" si="1"/>
        <v>23252</v>
      </c>
      <c r="F144" s="9">
        <v>0.0</v>
      </c>
      <c r="G144" s="19">
        <v>12323.94</v>
      </c>
      <c r="H144" s="9" t="s">
        <v>4717</v>
      </c>
      <c r="I144" s="9" t="s">
        <v>4717</v>
      </c>
      <c r="J144" s="9" t="s">
        <v>4753</v>
      </c>
      <c r="K144" s="20">
        <f t="shared" si="2"/>
        <v>1963</v>
      </c>
      <c r="L144" s="9" t="str">
        <f t="shared" si="3"/>
        <v>tier - 3</v>
      </c>
      <c r="M144" s="9" t="str">
        <f t="shared" si="4"/>
        <v>tier - 3</v>
      </c>
      <c r="N144" s="9" t="str">
        <f t="shared" si="5"/>
        <v>R1017</v>
      </c>
      <c r="O144" s="17">
        <f t="shared" si="6"/>
        <v>59</v>
      </c>
      <c r="P144" s="18">
        <v>23252.0</v>
      </c>
    </row>
    <row r="145" ht="15.75" customHeight="1">
      <c r="A145" s="9" t="s">
        <v>175</v>
      </c>
      <c r="B145" s="17">
        <v>1979.0</v>
      </c>
      <c r="C145" s="9" t="s">
        <v>4720</v>
      </c>
      <c r="D145" s="9">
        <v>11.0</v>
      </c>
      <c r="E145" s="18">
        <f t="shared" si="1"/>
        <v>29139</v>
      </c>
      <c r="F145" s="9">
        <v>1.0</v>
      </c>
      <c r="G145" s="19">
        <v>41034.22</v>
      </c>
      <c r="H145" s="9" t="s">
        <v>4718</v>
      </c>
      <c r="I145" s="9" t="s">
        <v>4717</v>
      </c>
      <c r="J145" s="9" t="s">
        <v>4753</v>
      </c>
      <c r="K145" s="20">
        <f t="shared" si="2"/>
        <v>1979</v>
      </c>
      <c r="L145" s="9" t="str">
        <f t="shared" si="3"/>
        <v>tier - 1</v>
      </c>
      <c r="M145" s="9" t="str">
        <f t="shared" si="4"/>
        <v>tier - 3</v>
      </c>
      <c r="N145" s="9" t="str">
        <f t="shared" si="5"/>
        <v>R1017</v>
      </c>
      <c r="O145" s="17">
        <f t="shared" si="6"/>
        <v>43</v>
      </c>
      <c r="P145" s="18">
        <v>29139.0</v>
      </c>
    </row>
    <row r="146" ht="15.75" customHeight="1">
      <c r="A146" s="9" t="s">
        <v>1739</v>
      </c>
      <c r="B146" s="17">
        <v>1963.0</v>
      </c>
      <c r="C146" s="9" t="s">
        <v>4716</v>
      </c>
      <c r="D146" s="9">
        <v>2.0</v>
      </c>
      <c r="E146" s="18">
        <f t="shared" si="1"/>
        <v>23225</v>
      </c>
      <c r="F146" s="9">
        <v>1.0</v>
      </c>
      <c r="G146" s="19">
        <v>12333.83</v>
      </c>
      <c r="H146" s="9" t="s">
        <v>4717</v>
      </c>
      <c r="I146" s="9" t="s">
        <v>4723</v>
      </c>
      <c r="J146" s="9" t="s">
        <v>4719</v>
      </c>
      <c r="K146" s="20">
        <f t="shared" si="2"/>
        <v>1963</v>
      </c>
      <c r="L146" s="9" t="str">
        <f t="shared" si="3"/>
        <v>tier - 3</v>
      </c>
      <c r="M146" s="9" t="str">
        <f t="shared" si="4"/>
        <v>tier - 2</v>
      </c>
      <c r="N146" s="9" t="str">
        <f t="shared" si="5"/>
        <v>R1011</v>
      </c>
      <c r="O146" s="17">
        <f t="shared" si="6"/>
        <v>59</v>
      </c>
      <c r="P146" s="18">
        <v>23225.0</v>
      </c>
    </row>
    <row r="147" ht="15.75" customHeight="1">
      <c r="A147" s="9" t="s">
        <v>1737</v>
      </c>
      <c r="B147" s="17">
        <v>1963.0</v>
      </c>
      <c r="C147" s="9" t="s">
        <v>4738</v>
      </c>
      <c r="D147" s="9">
        <v>22.0</v>
      </c>
      <c r="E147" s="18">
        <f t="shared" si="1"/>
        <v>23276</v>
      </c>
      <c r="F147" s="9">
        <v>1.0</v>
      </c>
      <c r="G147" s="19">
        <v>12347.17</v>
      </c>
      <c r="H147" s="9" t="s">
        <v>4717</v>
      </c>
      <c r="I147" s="9" t="s">
        <v>4717</v>
      </c>
      <c r="J147" s="9" t="s">
        <v>4719</v>
      </c>
      <c r="K147" s="20">
        <f t="shared" si="2"/>
        <v>1963</v>
      </c>
      <c r="L147" s="9" t="str">
        <f t="shared" si="3"/>
        <v>tier - 3</v>
      </c>
      <c r="M147" s="9" t="str">
        <f t="shared" si="4"/>
        <v>tier - 3</v>
      </c>
      <c r="N147" s="9" t="str">
        <f t="shared" si="5"/>
        <v>R1011</v>
      </c>
      <c r="O147" s="17">
        <f t="shared" si="6"/>
        <v>59</v>
      </c>
      <c r="P147" s="18">
        <v>23276.0</v>
      </c>
    </row>
    <row r="148" ht="15.75" customHeight="1">
      <c r="A148" s="9" t="s">
        <v>1735</v>
      </c>
      <c r="B148" s="17">
        <v>1966.0</v>
      </c>
      <c r="C148" s="9" t="s">
        <v>4725</v>
      </c>
      <c r="D148" s="9">
        <v>29.0</v>
      </c>
      <c r="E148" s="18">
        <f t="shared" si="1"/>
        <v>24470</v>
      </c>
      <c r="F148" s="9">
        <v>3.0</v>
      </c>
      <c r="G148" s="19">
        <v>12363.55</v>
      </c>
      <c r="H148" s="9" t="s">
        <v>4717</v>
      </c>
      <c r="I148" s="9" t="s">
        <v>4717</v>
      </c>
      <c r="J148" s="9" t="s">
        <v>4719</v>
      </c>
      <c r="K148" s="20">
        <f t="shared" si="2"/>
        <v>1966</v>
      </c>
      <c r="L148" s="9" t="str">
        <f t="shared" si="3"/>
        <v>tier - 3</v>
      </c>
      <c r="M148" s="9" t="str">
        <f t="shared" si="4"/>
        <v>tier - 3</v>
      </c>
      <c r="N148" s="9" t="str">
        <f t="shared" si="5"/>
        <v>R1011</v>
      </c>
      <c r="O148" s="17">
        <f t="shared" si="6"/>
        <v>56</v>
      </c>
      <c r="P148" s="18">
        <v>24470.0</v>
      </c>
    </row>
    <row r="149" ht="15.75" customHeight="1">
      <c r="A149" s="9" t="s">
        <v>1733</v>
      </c>
      <c r="B149" s="17">
        <v>1962.0</v>
      </c>
      <c r="C149" s="9" t="s">
        <v>4738</v>
      </c>
      <c r="D149" s="9">
        <v>26.0</v>
      </c>
      <c r="E149" s="18">
        <f t="shared" si="1"/>
        <v>22915</v>
      </c>
      <c r="F149" s="9">
        <v>0.0</v>
      </c>
      <c r="G149" s="19">
        <v>12369.89</v>
      </c>
      <c r="H149" s="9" t="s">
        <v>4717</v>
      </c>
      <c r="I149" s="9" t="s">
        <v>4723</v>
      </c>
      <c r="J149" s="9" t="s">
        <v>4731</v>
      </c>
      <c r="K149" s="20">
        <f t="shared" si="2"/>
        <v>1962</v>
      </c>
      <c r="L149" s="9" t="str">
        <f t="shared" si="3"/>
        <v>tier - 3</v>
      </c>
      <c r="M149" s="9" t="str">
        <f t="shared" si="4"/>
        <v>tier - 2</v>
      </c>
      <c r="N149" s="9" t="str">
        <f t="shared" si="5"/>
        <v>R1024</v>
      </c>
      <c r="O149" s="17">
        <f t="shared" si="6"/>
        <v>60</v>
      </c>
      <c r="P149" s="18">
        <v>22915.0</v>
      </c>
    </row>
    <row r="150" ht="15.75" customHeight="1">
      <c r="A150" s="9" t="s">
        <v>1731</v>
      </c>
      <c r="B150" s="17">
        <v>1989.0</v>
      </c>
      <c r="C150" s="9" t="s">
        <v>4725</v>
      </c>
      <c r="D150" s="9">
        <v>29.0</v>
      </c>
      <c r="E150" s="18">
        <f t="shared" si="1"/>
        <v>32871</v>
      </c>
      <c r="F150" s="9">
        <v>0.0</v>
      </c>
      <c r="G150" s="19">
        <v>12404.88</v>
      </c>
      <c r="H150" s="9" t="s">
        <v>4717</v>
      </c>
      <c r="I150" s="9" t="s">
        <v>4717</v>
      </c>
      <c r="J150" s="9" t="s">
        <v>4754</v>
      </c>
      <c r="K150" s="20">
        <f t="shared" si="2"/>
        <v>1989</v>
      </c>
      <c r="L150" s="9" t="str">
        <f t="shared" si="3"/>
        <v>tier - 3</v>
      </c>
      <c r="M150" s="9" t="str">
        <f t="shared" si="4"/>
        <v>tier - 3</v>
      </c>
      <c r="N150" s="9" t="str">
        <f t="shared" si="5"/>
        <v>R1016</v>
      </c>
      <c r="O150" s="17">
        <f t="shared" si="6"/>
        <v>33</v>
      </c>
      <c r="P150" s="18">
        <v>32871.0</v>
      </c>
    </row>
    <row r="151" ht="15.75" customHeight="1">
      <c r="A151" s="9" t="s">
        <v>1729</v>
      </c>
      <c r="B151" s="17">
        <v>1972.0</v>
      </c>
      <c r="C151" s="9" t="s">
        <v>4716</v>
      </c>
      <c r="D151" s="9">
        <v>21.0</v>
      </c>
      <c r="E151" s="18">
        <f t="shared" si="1"/>
        <v>26532</v>
      </c>
      <c r="F151" s="9">
        <v>0.0</v>
      </c>
      <c r="G151" s="19">
        <v>12407.3</v>
      </c>
      <c r="H151" s="9" t="s">
        <v>4717</v>
      </c>
      <c r="I151" s="9" t="s">
        <v>4723</v>
      </c>
      <c r="J151" s="9" t="s">
        <v>4751</v>
      </c>
      <c r="K151" s="20">
        <f t="shared" si="2"/>
        <v>1972</v>
      </c>
      <c r="L151" s="9" t="str">
        <f t="shared" si="3"/>
        <v>tier - 3</v>
      </c>
      <c r="M151" s="9" t="str">
        <f t="shared" si="4"/>
        <v>tier - 2</v>
      </c>
      <c r="N151" s="9" t="str">
        <f t="shared" si="5"/>
        <v>R1021</v>
      </c>
      <c r="O151" s="17">
        <f t="shared" si="6"/>
        <v>50</v>
      </c>
      <c r="P151" s="18">
        <v>26532.0</v>
      </c>
    </row>
    <row r="152" ht="15.75" customHeight="1">
      <c r="A152" s="9" t="s">
        <v>1727</v>
      </c>
      <c r="B152" s="17">
        <v>1979.0</v>
      </c>
      <c r="C152" s="9" t="s">
        <v>4741</v>
      </c>
      <c r="D152" s="9">
        <v>14.0</v>
      </c>
      <c r="E152" s="18">
        <f t="shared" si="1"/>
        <v>29050</v>
      </c>
      <c r="F152" s="9">
        <v>2.0</v>
      </c>
      <c r="G152" s="19">
        <v>12408.29</v>
      </c>
      <c r="H152" s="9" t="s">
        <v>4717</v>
      </c>
      <c r="I152" s="9" t="s">
        <v>4718</v>
      </c>
      <c r="J152" s="9" t="s">
        <v>4736</v>
      </c>
      <c r="K152" s="20">
        <f t="shared" si="2"/>
        <v>1979</v>
      </c>
      <c r="L152" s="9" t="str">
        <f t="shared" si="3"/>
        <v>tier - 3</v>
      </c>
      <c r="M152" s="9" t="str">
        <f t="shared" si="4"/>
        <v>tier - 1</v>
      </c>
      <c r="N152" s="9" t="str">
        <f t="shared" si="5"/>
        <v>R1022</v>
      </c>
      <c r="O152" s="17">
        <f t="shared" si="6"/>
        <v>43</v>
      </c>
      <c r="P152" s="18">
        <v>29050.0</v>
      </c>
    </row>
    <row r="153" ht="15.75" customHeight="1">
      <c r="A153" s="9" t="s">
        <v>1725</v>
      </c>
      <c r="B153" s="17">
        <v>1964.0</v>
      </c>
      <c r="C153" s="9" t="s">
        <v>4716</v>
      </c>
      <c r="D153" s="9">
        <v>4.0</v>
      </c>
      <c r="E153" s="18">
        <f t="shared" si="1"/>
        <v>23593</v>
      </c>
      <c r="F153" s="9">
        <v>0.0</v>
      </c>
      <c r="G153" s="19">
        <v>12430.95</v>
      </c>
      <c r="H153" s="9" t="s">
        <v>4717</v>
      </c>
      <c r="I153" s="9" t="s">
        <v>4717</v>
      </c>
      <c r="J153" s="9" t="s">
        <v>4731</v>
      </c>
      <c r="K153" s="20">
        <f t="shared" si="2"/>
        <v>1964</v>
      </c>
      <c r="L153" s="9" t="str">
        <f t="shared" si="3"/>
        <v>tier - 3</v>
      </c>
      <c r="M153" s="9" t="str">
        <f t="shared" si="4"/>
        <v>tier - 3</v>
      </c>
      <c r="N153" s="9" t="str">
        <f t="shared" si="5"/>
        <v>R1024</v>
      </c>
      <c r="O153" s="17">
        <f t="shared" si="6"/>
        <v>58</v>
      </c>
      <c r="P153" s="18">
        <v>23593.0</v>
      </c>
    </row>
    <row r="154" ht="15.75" customHeight="1">
      <c r="A154" s="9" t="s">
        <v>1723</v>
      </c>
      <c r="B154" s="17">
        <v>1995.0</v>
      </c>
      <c r="C154" s="9" t="s">
        <v>4716</v>
      </c>
      <c r="D154" s="9">
        <v>9.0</v>
      </c>
      <c r="E154" s="18">
        <f t="shared" si="1"/>
        <v>34920</v>
      </c>
      <c r="F154" s="9">
        <v>0.0</v>
      </c>
      <c r="G154" s="19">
        <v>12452.25</v>
      </c>
      <c r="H154" s="9" t="s">
        <v>4717</v>
      </c>
      <c r="I154" s="9" t="s">
        <v>4717</v>
      </c>
      <c r="J154" s="9" t="s">
        <v>4733</v>
      </c>
      <c r="K154" s="20">
        <f t="shared" si="2"/>
        <v>1995</v>
      </c>
      <c r="L154" s="9" t="str">
        <f t="shared" si="3"/>
        <v>tier - 3</v>
      </c>
      <c r="M154" s="9" t="str">
        <f t="shared" si="4"/>
        <v>tier - 3</v>
      </c>
      <c r="N154" s="9" t="str">
        <f t="shared" si="5"/>
        <v>R1012</v>
      </c>
      <c r="O154" s="17">
        <f t="shared" si="6"/>
        <v>27</v>
      </c>
      <c r="P154" s="18">
        <v>34920.0</v>
      </c>
    </row>
    <row r="155" ht="15.75" customHeight="1">
      <c r="A155" s="9" t="s">
        <v>1721</v>
      </c>
      <c r="B155" s="17">
        <v>1968.0</v>
      </c>
      <c r="C155" s="9" t="s">
        <v>4735</v>
      </c>
      <c r="D155" s="9">
        <v>26.0</v>
      </c>
      <c r="E155" s="18">
        <f t="shared" si="1"/>
        <v>25168</v>
      </c>
      <c r="F155" s="9">
        <v>3.0</v>
      </c>
      <c r="G155" s="19">
        <v>12475.35</v>
      </c>
      <c r="H155" s="9" t="s">
        <v>4717</v>
      </c>
      <c r="I155" s="9" t="s">
        <v>4718</v>
      </c>
      <c r="J155" s="9" t="s">
        <v>4733</v>
      </c>
      <c r="K155" s="20">
        <f t="shared" si="2"/>
        <v>1968</v>
      </c>
      <c r="L155" s="9" t="str">
        <f t="shared" si="3"/>
        <v>tier - 3</v>
      </c>
      <c r="M155" s="9" t="str">
        <f t="shared" si="4"/>
        <v>tier - 1</v>
      </c>
      <c r="N155" s="9" t="str">
        <f t="shared" si="5"/>
        <v>R1012</v>
      </c>
      <c r="O155" s="17">
        <f t="shared" si="6"/>
        <v>54</v>
      </c>
      <c r="P155" s="18">
        <v>25168.0</v>
      </c>
    </row>
    <row r="156" ht="15.75" customHeight="1">
      <c r="A156" s="9" t="s">
        <v>173</v>
      </c>
      <c r="B156" s="17">
        <v>1972.0</v>
      </c>
      <c r="C156" s="9" t="s">
        <v>4716</v>
      </c>
      <c r="D156" s="9">
        <v>12.0</v>
      </c>
      <c r="E156" s="18">
        <f t="shared" si="1"/>
        <v>26523</v>
      </c>
      <c r="F156" s="9">
        <v>0.0</v>
      </c>
      <c r="G156" s="19">
        <v>41055.29</v>
      </c>
      <c r="H156" s="9" t="s">
        <v>4718</v>
      </c>
      <c r="I156" s="9" t="s">
        <v>4723</v>
      </c>
      <c r="J156" s="9" t="s">
        <v>4719</v>
      </c>
      <c r="K156" s="20">
        <f t="shared" si="2"/>
        <v>1972</v>
      </c>
      <c r="L156" s="9" t="str">
        <f t="shared" si="3"/>
        <v>tier - 1</v>
      </c>
      <c r="M156" s="9" t="str">
        <f t="shared" si="4"/>
        <v>tier - 2</v>
      </c>
      <c r="N156" s="9" t="str">
        <f t="shared" si="5"/>
        <v>R1011</v>
      </c>
      <c r="O156" s="17">
        <f t="shared" si="6"/>
        <v>50</v>
      </c>
      <c r="P156" s="18">
        <v>26523.0</v>
      </c>
    </row>
    <row r="157" ht="15.75" customHeight="1">
      <c r="A157" s="9" t="s">
        <v>1719</v>
      </c>
      <c r="B157" s="17">
        <v>1968.0</v>
      </c>
      <c r="C157" s="9" t="s">
        <v>4735</v>
      </c>
      <c r="D157" s="9">
        <v>12.0</v>
      </c>
      <c r="E157" s="18">
        <f t="shared" si="1"/>
        <v>25154</v>
      </c>
      <c r="F157" s="9">
        <v>3.0</v>
      </c>
      <c r="G157" s="19">
        <v>12479.71</v>
      </c>
      <c r="H157" s="9" t="s">
        <v>4717</v>
      </c>
      <c r="I157" s="9" t="s">
        <v>4717</v>
      </c>
      <c r="J157" s="9" t="s">
        <v>4733</v>
      </c>
      <c r="K157" s="20">
        <f t="shared" si="2"/>
        <v>1968</v>
      </c>
      <c r="L157" s="9" t="str">
        <f t="shared" si="3"/>
        <v>tier - 3</v>
      </c>
      <c r="M157" s="9" t="str">
        <f t="shared" si="4"/>
        <v>tier - 3</v>
      </c>
      <c r="N157" s="9" t="str">
        <f t="shared" si="5"/>
        <v>R1012</v>
      </c>
      <c r="O157" s="17">
        <f t="shared" si="6"/>
        <v>54</v>
      </c>
      <c r="P157" s="18">
        <v>25154.0</v>
      </c>
    </row>
    <row r="158" ht="15.75" customHeight="1">
      <c r="A158" s="9" t="s">
        <v>1717</v>
      </c>
      <c r="B158" s="17">
        <v>1967.0</v>
      </c>
      <c r="C158" s="9" t="s">
        <v>4738</v>
      </c>
      <c r="D158" s="9">
        <v>1.0</v>
      </c>
      <c r="E158" s="18">
        <f t="shared" si="1"/>
        <v>24716</v>
      </c>
      <c r="F158" s="9">
        <v>3.0</v>
      </c>
      <c r="G158" s="19">
        <v>12485.8</v>
      </c>
      <c r="H158" s="9" t="s">
        <v>4717</v>
      </c>
      <c r="I158" s="9" t="s">
        <v>4717</v>
      </c>
      <c r="J158" s="9" t="s">
        <v>4743</v>
      </c>
      <c r="K158" s="20">
        <f t="shared" si="2"/>
        <v>1967</v>
      </c>
      <c r="L158" s="9" t="str">
        <f t="shared" si="3"/>
        <v>tier - 3</v>
      </c>
      <c r="M158" s="9" t="str">
        <f t="shared" si="4"/>
        <v>tier - 3</v>
      </c>
      <c r="N158" s="9" t="str">
        <f t="shared" si="5"/>
        <v>R1013</v>
      </c>
      <c r="O158" s="17">
        <f t="shared" si="6"/>
        <v>55</v>
      </c>
      <c r="P158" s="18">
        <v>24716.0</v>
      </c>
    </row>
    <row r="159" ht="15.75" customHeight="1">
      <c r="A159" s="9" t="s">
        <v>1715</v>
      </c>
      <c r="B159" s="17">
        <v>1968.0</v>
      </c>
      <c r="C159" s="9" t="s">
        <v>4725</v>
      </c>
      <c r="D159" s="9">
        <v>3.0</v>
      </c>
      <c r="E159" s="18">
        <f t="shared" si="1"/>
        <v>25175</v>
      </c>
      <c r="F159" s="9">
        <v>3.0</v>
      </c>
      <c r="G159" s="19">
        <v>12495.29</v>
      </c>
      <c r="H159" s="9" t="s">
        <v>4717</v>
      </c>
      <c r="I159" s="9" t="s">
        <v>4717</v>
      </c>
      <c r="J159" s="9" t="s">
        <v>4733</v>
      </c>
      <c r="K159" s="20">
        <f t="shared" si="2"/>
        <v>1968</v>
      </c>
      <c r="L159" s="9" t="str">
        <f t="shared" si="3"/>
        <v>tier - 3</v>
      </c>
      <c r="M159" s="9" t="str">
        <f t="shared" si="4"/>
        <v>tier - 3</v>
      </c>
      <c r="N159" s="9" t="str">
        <f t="shared" si="5"/>
        <v>R1012</v>
      </c>
      <c r="O159" s="17">
        <f t="shared" si="6"/>
        <v>54</v>
      </c>
      <c r="P159" s="18">
        <v>25175.0</v>
      </c>
    </row>
    <row r="160" ht="15.75" customHeight="1">
      <c r="A160" s="9" t="s">
        <v>1713</v>
      </c>
      <c r="B160" s="17">
        <v>1966.0</v>
      </c>
      <c r="C160" s="9" t="s">
        <v>4741</v>
      </c>
      <c r="D160" s="9">
        <v>12.0</v>
      </c>
      <c r="E160" s="18">
        <f t="shared" si="1"/>
        <v>24300</v>
      </c>
      <c r="F160" s="9">
        <v>0.0</v>
      </c>
      <c r="G160" s="19">
        <v>12499.88</v>
      </c>
      <c r="H160" s="9" t="s">
        <v>4717</v>
      </c>
      <c r="I160" s="9" t="s">
        <v>4723</v>
      </c>
      <c r="J160" s="9" t="s">
        <v>4733</v>
      </c>
      <c r="K160" s="20">
        <f t="shared" si="2"/>
        <v>1966</v>
      </c>
      <c r="L160" s="9" t="str">
        <f t="shared" si="3"/>
        <v>tier - 3</v>
      </c>
      <c r="M160" s="9" t="str">
        <f t="shared" si="4"/>
        <v>tier - 2</v>
      </c>
      <c r="N160" s="9" t="str">
        <f t="shared" si="5"/>
        <v>R1012</v>
      </c>
      <c r="O160" s="17">
        <f t="shared" si="6"/>
        <v>56</v>
      </c>
      <c r="P160" s="18">
        <v>24300.0</v>
      </c>
    </row>
    <row r="161" ht="15.75" customHeight="1">
      <c r="A161" s="9" t="s">
        <v>1711</v>
      </c>
      <c r="B161" s="17">
        <v>1962.0</v>
      </c>
      <c r="C161" s="9" t="s">
        <v>4720</v>
      </c>
      <c r="D161" s="9">
        <v>16.0</v>
      </c>
      <c r="E161" s="18">
        <f t="shared" si="1"/>
        <v>22935</v>
      </c>
      <c r="F161" s="9">
        <v>0.0</v>
      </c>
      <c r="G161" s="19">
        <v>12523.6</v>
      </c>
      <c r="H161" s="9" t="s">
        <v>4717</v>
      </c>
      <c r="I161" s="9" t="s">
        <v>4717</v>
      </c>
      <c r="J161" s="9" t="s">
        <v>4733</v>
      </c>
      <c r="K161" s="20">
        <f t="shared" si="2"/>
        <v>1962</v>
      </c>
      <c r="L161" s="9" t="str">
        <f t="shared" si="3"/>
        <v>tier - 3</v>
      </c>
      <c r="M161" s="9" t="str">
        <f t="shared" si="4"/>
        <v>tier - 3</v>
      </c>
      <c r="N161" s="9" t="str">
        <f t="shared" si="5"/>
        <v>R1012</v>
      </c>
      <c r="O161" s="17">
        <f t="shared" si="6"/>
        <v>60</v>
      </c>
      <c r="P161" s="18">
        <v>22935.0</v>
      </c>
    </row>
    <row r="162" ht="15.75" customHeight="1">
      <c r="A162" s="9" t="s">
        <v>1709</v>
      </c>
      <c r="B162" s="17">
        <v>1961.0</v>
      </c>
      <c r="C162" s="9" t="s">
        <v>4735</v>
      </c>
      <c r="D162" s="9">
        <v>28.0</v>
      </c>
      <c r="E162" s="18">
        <f t="shared" si="1"/>
        <v>22613</v>
      </c>
      <c r="F162" s="9">
        <v>0.0</v>
      </c>
      <c r="G162" s="19">
        <v>12557.61</v>
      </c>
      <c r="H162" s="9" t="s">
        <v>4717</v>
      </c>
      <c r="I162" s="9" t="s">
        <v>4717</v>
      </c>
      <c r="J162" s="9" t="s">
        <v>4743</v>
      </c>
      <c r="K162" s="20">
        <f t="shared" si="2"/>
        <v>1961</v>
      </c>
      <c r="L162" s="9" t="str">
        <f t="shared" si="3"/>
        <v>tier - 3</v>
      </c>
      <c r="M162" s="9" t="str">
        <f t="shared" si="4"/>
        <v>tier - 3</v>
      </c>
      <c r="N162" s="9" t="str">
        <f t="shared" si="5"/>
        <v>R1013</v>
      </c>
      <c r="O162" s="17">
        <f t="shared" si="6"/>
        <v>61</v>
      </c>
      <c r="P162" s="18">
        <v>22613.0</v>
      </c>
    </row>
    <row r="163" ht="15.75" customHeight="1">
      <c r="A163" s="9" t="s">
        <v>1707</v>
      </c>
      <c r="B163" s="17">
        <v>1961.0</v>
      </c>
      <c r="C163" s="9" t="s">
        <v>4735</v>
      </c>
      <c r="D163" s="9">
        <v>28.0</v>
      </c>
      <c r="E163" s="18">
        <f t="shared" si="1"/>
        <v>22613</v>
      </c>
      <c r="F163" s="9">
        <v>0.0</v>
      </c>
      <c r="G163" s="19">
        <v>12574.05</v>
      </c>
      <c r="H163" s="9" t="s">
        <v>4717</v>
      </c>
      <c r="I163" s="9" t="s">
        <v>4718</v>
      </c>
      <c r="J163" s="9" t="s">
        <v>4719</v>
      </c>
      <c r="K163" s="20">
        <f t="shared" si="2"/>
        <v>1961</v>
      </c>
      <c r="L163" s="9" t="str">
        <f t="shared" si="3"/>
        <v>tier - 3</v>
      </c>
      <c r="M163" s="9" t="str">
        <f t="shared" si="4"/>
        <v>tier - 1</v>
      </c>
      <c r="N163" s="9" t="str">
        <f t="shared" si="5"/>
        <v>R1011</v>
      </c>
      <c r="O163" s="17">
        <f t="shared" si="6"/>
        <v>61</v>
      </c>
      <c r="P163" s="18">
        <v>22613.0</v>
      </c>
    </row>
    <row r="164" ht="15.75" customHeight="1">
      <c r="A164" s="9" t="s">
        <v>1705</v>
      </c>
      <c r="B164" s="17">
        <v>1969.0</v>
      </c>
      <c r="C164" s="9" t="s">
        <v>4735</v>
      </c>
      <c r="D164" s="9">
        <v>26.0</v>
      </c>
      <c r="E164" s="18">
        <f t="shared" si="1"/>
        <v>25533</v>
      </c>
      <c r="F164" s="9">
        <v>0.0</v>
      </c>
      <c r="G164" s="19">
        <v>12579.92</v>
      </c>
      <c r="H164" s="9" t="s">
        <v>4717</v>
      </c>
      <c r="I164" s="9" t="s">
        <v>4718</v>
      </c>
      <c r="J164" s="9" t="s">
        <v>4726</v>
      </c>
      <c r="K164" s="20">
        <f t="shared" si="2"/>
        <v>1969</v>
      </c>
      <c r="L164" s="9" t="str">
        <f t="shared" si="3"/>
        <v>tier - 3</v>
      </c>
      <c r="M164" s="9" t="str">
        <f t="shared" si="4"/>
        <v>tier - 1</v>
      </c>
      <c r="N164" s="9" t="str">
        <f t="shared" si="5"/>
        <v>R1025</v>
      </c>
      <c r="O164" s="17">
        <f t="shared" si="6"/>
        <v>53</v>
      </c>
      <c r="P164" s="18">
        <v>25533.0</v>
      </c>
    </row>
    <row r="165" ht="15.75" customHeight="1">
      <c r="A165" s="9" t="s">
        <v>1703</v>
      </c>
      <c r="B165" s="17">
        <v>1970.0</v>
      </c>
      <c r="C165" s="9" t="s">
        <v>4730</v>
      </c>
      <c r="D165" s="9">
        <v>18.0</v>
      </c>
      <c r="E165" s="18">
        <f t="shared" si="1"/>
        <v>25737</v>
      </c>
      <c r="F165" s="9">
        <v>5.0</v>
      </c>
      <c r="G165" s="19">
        <v>12592.53</v>
      </c>
      <c r="H165" s="9" t="s">
        <v>4717</v>
      </c>
      <c r="I165" s="9" t="s">
        <v>4723</v>
      </c>
      <c r="J165" s="9" t="s">
        <v>4743</v>
      </c>
      <c r="K165" s="20">
        <f t="shared" si="2"/>
        <v>1970</v>
      </c>
      <c r="L165" s="9" t="str">
        <f t="shared" si="3"/>
        <v>tier - 3</v>
      </c>
      <c r="M165" s="9" t="str">
        <f t="shared" si="4"/>
        <v>tier - 2</v>
      </c>
      <c r="N165" s="9" t="str">
        <f t="shared" si="5"/>
        <v>R1013</v>
      </c>
      <c r="O165" s="17">
        <f t="shared" si="6"/>
        <v>52</v>
      </c>
      <c r="P165" s="18">
        <v>25737.0</v>
      </c>
    </row>
    <row r="166" ht="15.75" customHeight="1">
      <c r="A166" s="9" t="s">
        <v>1701</v>
      </c>
      <c r="B166" s="17">
        <v>1988.0</v>
      </c>
      <c r="C166" s="9" t="s">
        <v>4716</v>
      </c>
      <c r="D166" s="9">
        <v>11.0</v>
      </c>
      <c r="E166" s="18">
        <f t="shared" si="1"/>
        <v>32366</v>
      </c>
      <c r="F166" s="9">
        <v>3.0</v>
      </c>
      <c r="G166" s="19">
        <v>12600.46</v>
      </c>
      <c r="H166" s="9" t="s">
        <v>4717</v>
      </c>
      <c r="I166" s="9" t="s">
        <v>4718</v>
      </c>
      <c r="J166" s="9" t="s">
        <v>4756</v>
      </c>
      <c r="K166" s="20">
        <f t="shared" si="2"/>
        <v>1988</v>
      </c>
      <c r="L166" s="9" t="str">
        <f t="shared" si="3"/>
        <v>tier - 3</v>
      </c>
      <c r="M166" s="9" t="str">
        <f t="shared" si="4"/>
        <v>tier - 1</v>
      </c>
      <c r="N166" s="9" t="str">
        <f t="shared" si="5"/>
        <v>R1023</v>
      </c>
      <c r="O166" s="17">
        <f t="shared" si="6"/>
        <v>34</v>
      </c>
      <c r="P166" s="18">
        <v>32366.0</v>
      </c>
    </row>
    <row r="167" ht="15.75" customHeight="1">
      <c r="A167" s="9" t="s">
        <v>171</v>
      </c>
      <c r="B167" s="17">
        <v>1972.0</v>
      </c>
      <c r="C167" s="9" t="s">
        <v>4738</v>
      </c>
      <c r="D167" s="9">
        <v>6.0</v>
      </c>
      <c r="E167" s="18">
        <f t="shared" si="1"/>
        <v>26548</v>
      </c>
      <c r="F167" s="9">
        <v>0.0</v>
      </c>
      <c r="G167" s="19">
        <v>41097.16</v>
      </c>
      <c r="H167" s="9" t="s">
        <v>4718</v>
      </c>
      <c r="I167" s="9" t="s">
        <v>4717</v>
      </c>
      <c r="J167" s="9" t="s">
        <v>4754</v>
      </c>
      <c r="K167" s="20">
        <f t="shared" si="2"/>
        <v>1972</v>
      </c>
      <c r="L167" s="9" t="str">
        <f t="shared" si="3"/>
        <v>tier - 1</v>
      </c>
      <c r="M167" s="9" t="str">
        <f t="shared" si="4"/>
        <v>tier - 3</v>
      </c>
      <c r="N167" s="9" t="str">
        <f t="shared" si="5"/>
        <v>R1016</v>
      </c>
      <c r="O167" s="17">
        <f t="shared" si="6"/>
        <v>50</v>
      </c>
      <c r="P167" s="18">
        <v>26548.0</v>
      </c>
    </row>
    <row r="168" ht="15.75" customHeight="1">
      <c r="A168" s="9" t="s">
        <v>1699</v>
      </c>
      <c r="B168" s="17">
        <v>1998.0</v>
      </c>
      <c r="C168" s="9" t="s">
        <v>4735</v>
      </c>
      <c r="D168" s="9">
        <v>18.0</v>
      </c>
      <c r="E168" s="18">
        <f t="shared" si="1"/>
        <v>36117</v>
      </c>
      <c r="F168" s="9">
        <v>1.0</v>
      </c>
      <c r="G168" s="19">
        <v>12609.89</v>
      </c>
      <c r="H168" s="9" t="s">
        <v>4717</v>
      </c>
      <c r="I168" s="9" t="s">
        <v>4717</v>
      </c>
      <c r="J168" s="9" t="s">
        <v>4733</v>
      </c>
      <c r="K168" s="20">
        <f t="shared" si="2"/>
        <v>1998</v>
      </c>
      <c r="L168" s="9" t="str">
        <f t="shared" si="3"/>
        <v>tier - 3</v>
      </c>
      <c r="M168" s="9" t="str">
        <f t="shared" si="4"/>
        <v>tier - 3</v>
      </c>
      <c r="N168" s="9" t="str">
        <f t="shared" si="5"/>
        <v>R1012</v>
      </c>
      <c r="O168" s="17">
        <f t="shared" si="6"/>
        <v>24</v>
      </c>
      <c r="P168" s="18">
        <v>36117.0</v>
      </c>
    </row>
    <row r="169" ht="15.75" customHeight="1">
      <c r="A169" s="9" t="s">
        <v>1697</v>
      </c>
      <c r="B169" s="17">
        <v>1963.0</v>
      </c>
      <c r="C169" s="9" t="s">
        <v>4716</v>
      </c>
      <c r="D169" s="9">
        <v>19.0</v>
      </c>
      <c r="E169" s="18">
        <f t="shared" si="1"/>
        <v>23242</v>
      </c>
      <c r="F169" s="9">
        <v>0.0</v>
      </c>
      <c r="G169" s="19">
        <v>12622.18</v>
      </c>
      <c r="H169" s="9" t="s">
        <v>4717</v>
      </c>
      <c r="I169" s="9" t="s">
        <v>4718</v>
      </c>
      <c r="J169" s="9" t="s">
        <v>4733</v>
      </c>
      <c r="K169" s="20">
        <f t="shared" si="2"/>
        <v>1963</v>
      </c>
      <c r="L169" s="9" t="str">
        <f t="shared" si="3"/>
        <v>tier - 3</v>
      </c>
      <c r="M169" s="9" t="str">
        <f t="shared" si="4"/>
        <v>tier - 1</v>
      </c>
      <c r="N169" s="9" t="str">
        <f t="shared" si="5"/>
        <v>R1012</v>
      </c>
      <c r="O169" s="17">
        <f t="shared" si="6"/>
        <v>59</v>
      </c>
      <c r="P169" s="18">
        <v>23242.0</v>
      </c>
    </row>
    <row r="170" ht="15.75" customHeight="1">
      <c r="A170" s="9" t="s">
        <v>1695</v>
      </c>
      <c r="B170" s="17">
        <v>1970.0</v>
      </c>
      <c r="C170" s="9" t="s">
        <v>4725</v>
      </c>
      <c r="D170" s="9">
        <v>28.0</v>
      </c>
      <c r="E170" s="18">
        <f t="shared" si="1"/>
        <v>25930</v>
      </c>
      <c r="F170" s="9">
        <v>0.0</v>
      </c>
      <c r="G170" s="19">
        <v>12624.74</v>
      </c>
      <c r="H170" s="9" t="s">
        <v>4717</v>
      </c>
      <c r="I170" s="9" t="s">
        <v>4718</v>
      </c>
      <c r="J170" s="9" t="s">
        <v>4733</v>
      </c>
      <c r="K170" s="20">
        <f t="shared" si="2"/>
        <v>1970</v>
      </c>
      <c r="L170" s="9" t="str">
        <f t="shared" si="3"/>
        <v>tier - 3</v>
      </c>
      <c r="M170" s="9" t="str">
        <f t="shared" si="4"/>
        <v>tier - 1</v>
      </c>
      <c r="N170" s="9" t="str">
        <f t="shared" si="5"/>
        <v>R1012</v>
      </c>
      <c r="O170" s="17">
        <f t="shared" si="6"/>
        <v>52</v>
      </c>
      <c r="P170" s="18">
        <v>25930.0</v>
      </c>
    </row>
    <row r="171" ht="15.75" customHeight="1">
      <c r="A171" s="9" t="s">
        <v>1693</v>
      </c>
      <c r="B171" s="17">
        <v>1965.0</v>
      </c>
      <c r="C171" s="9" t="s">
        <v>4720</v>
      </c>
      <c r="D171" s="9">
        <v>4.0</v>
      </c>
      <c r="E171" s="18">
        <f t="shared" si="1"/>
        <v>24019</v>
      </c>
      <c r="F171" s="9">
        <v>2.0</v>
      </c>
      <c r="G171" s="19">
        <v>12629.17</v>
      </c>
      <c r="H171" s="9" t="s">
        <v>4717</v>
      </c>
      <c r="I171" s="9" t="s">
        <v>4718</v>
      </c>
      <c r="J171" s="9" t="s">
        <v>4743</v>
      </c>
      <c r="K171" s="20">
        <f t="shared" si="2"/>
        <v>1965</v>
      </c>
      <c r="L171" s="9" t="str">
        <f t="shared" si="3"/>
        <v>tier - 3</v>
      </c>
      <c r="M171" s="9" t="str">
        <f t="shared" si="4"/>
        <v>tier - 1</v>
      </c>
      <c r="N171" s="9" t="str">
        <f t="shared" si="5"/>
        <v>R1013</v>
      </c>
      <c r="O171" s="17">
        <f t="shared" si="6"/>
        <v>57</v>
      </c>
      <c r="P171" s="18">
        <v>24019.0</v>
      </c>
    </row>
    <row r="172" ht="15.75" customHeight="1">
      <c r="A172" s="9" t="s">
        <v>1691</v>
      </c>
      <c r="B172" s="17">
        <v>1962.0</v>
      </c>
      <c r="C172" s="9" t="s">
        <v>4735</v>
      </c>
      <c r="D172" s="9">
        <v>22.0</v>
      </c>
      <c r="E172" s="18">
        <f t="shared" si="1"/>
        <v>22972</v>
      </c>
      <c r="F172" s="9">
        <v>0.0</v>
      </c>
      <c r="G172" s="19">
        <v>12629.9</v>
      </c>
      <c r="H172" s="9" t="s">
        <v>4717</v>
      </c>
      <c r="I172" s="9" t="s">
        <v>4717</v>
      </c>
      <c r="J172" s="9" t="s">
        <v>4743</v>
      </c>
      <c r="K172" s="20">
        <f t="shared" si="2"/>
        <v>1962</v>
      </c>
      <c r="L172" s="9" t="str">
        <f t="shared" si="3"/>
        <v>tier - 3</v>
      </c>
      <c r="M172" s="9" t="str">
        <f t="shared" si="4"/>
        <v>tier - 3</v>
      </c>
      <c r="N172" s="9" t="str">
        <f t="shared" si="5"/>
        <v>R1013</v>
      </c>
      <c r="O172" s="17">
        <f t="shared" si="6"/>
        <v>60</v>
      </c>
      <c r="P172" s="18">
        <v>22972.0</v>
      </c>
    </row>
    <row r="173" ht="15.75" customHeight="1">
      <c r="A173" s="9" t="s">
        <v>1689</v>
      </c>
      <c r="B173" s="17">
        <v>1962.0</v>
      </c>
      <c r="C173" s="9" t="s">
        <v>4741</v>
      </c>
      <c r="D173" s="9">
        <v>22.0</v>
      </c>
      <c r="E173" s="18">
        <f t="shared" si="1"/>
        <v>22849</v>
      </c>
      <c r="F173" s="9">
        <v>0.0</v>
      </c>
      <c r="G173" s="19">
        <v>12638.2</v>
      </c>
      <c r="H173" s="9" t="s">
        <v>4717</v>
      </c>
      <c r="I173" s="9" t="s">
        <v>4718</v>
      </c>
      <c r="J173" s="9" t="s">
        <v>4719</v>
      </c>
      <c r="K173" s="20">
        <f t="shared" si="2"/>
        <v>1962</v>
      </c>
      <c r="L173" s="9" t="str">
        <f t="shared" si="3"/>
        <v>tier - 3</v>
      </c>
      <c r="M173" s="9" t="str">
        <f t="shared" si="4"/>
        <v>tier - 1</v>
      </c>
      <c r="N173" s="9" t="str">
        <f t="shared" si="5"/>
        <v>R1011</v>
      </c>
      <c r="O173" s="17">
        <f t="shared" si="6"/>
        <v>60</v>
      </c>
      <c r="P173" s="18">
        <v>22849.0</v>
      </c>
    </row>
    <row r="174" ht="15.75" customHeight="1">
      <c r="A174" s="9" t="s">
        <v>1687</v>
      </c>
      <c r="B174" s="17">
        <v>1972.0</v>
      </c>
      <c r="C174" s="9" t="s">
        <v>4738</v>
      </c>
      <c r="D174" s="9">
        <v>5.0</v>
      </c>
      <c r="E174" s="18">
        <f t="shared" si="1"/>
        <v>26547</v>
      </c>
      <c r="F174" s="9">
        <v>0.0</v>
      </c>
      <c r="G174" s="19">
        <v>12640.24</v>
      </c>
      <c r="H174" s="9" t="s">
        <v>4717</v>
      </c>
      <c r="I174" s="9" t="s">
        <v>4718</v>
      </c>
      <c r="J174" s="9" t="s">
        <v>4719</v>
      </c>
      <c r="K174" s="20">
        <f t="shared" si="2"/>
        <v>1972</v>
      </c>
      <c r="L174" s="9" t="str">
        <f t="shared" si="3"/>
        <v>tier - 3</v>
      </c>
      <c r="M174" s="9" t="str">
        <f t="shared" si="4"/>
        <v>tier - 1</v>
      </c>
      <c r="N174" s="9" t="str">
        <f t="shared" si="5"/>
        <v>R1011</v>
      </c>
      <c r="O174" s="17">
        <f t="shared" si="6"/>
        <v>50</v>
      </c>
      <c r="P174" s="18">
        <v>26547.0</v>
      </c>
    </row>
    <row r="175" ht="15.75" customHeight="1">
      <c r="A175" s="9" t="s">
        <v>1685</v>
      </c>
      <c r="B175" s="17">
        <v>1966.0</v>
      </c>
      <c r="C175" s="9" t="s">
        <v>4725</v>
      </c>
      <c r="D175" s="9">
        <v>17.0</v>
      </c>
      <c r="E175" s="18">
        <f t="shared" si="1"/>
        <v>24458</v>
      </c>
      <c r="F175" s="9">
        <v>2.0</v>
      </c>
      <c r="G175" s="19">
        <v>12643.38</v>
      </c>
      <c r="H175" s="9" t="s">
        <v>4717</v>
      </c>
      <c r="I175" s="9" t="s">
        <v>4718</v>
      </c>
      <c r="J175" s="9" t="s">
        <v>4733</v>
      </c>
      <c r="K175" s="20">
        <f t="shared" si="2"/>
        <v>1966</v>
      </c>
      <c r="L175" s="9" t="str">
        <f t="shared" si="3"/>
        <v>tier - 3</v>
      </c>
      <c r="M175" s="9" t="str">
        <f t="shared" si="4"/>
        <v>tier - 1</v>
      </c>
      <c r="N175" s="9" t="str">
        <f t="shared" si="5"/>
        <v>R1012</v>
      </c>
      <c r="O175" s="17">
        <f t="shared" si="6"/>
        <v>56</v>
      </c>
      <c r="P175" s="18">
        <v>24458.0</v>
      </c>
    </row>
    <row r="176" ht="15.75" customHeight="1">
      <c r="A176" s="9" t="s">
        <v>1683</v>
      </c>
      <c r="B176" s="17">
        <v>1962.0</v>
      </c>
      <c r="C176" s="9" t="s">
        <v>4741</v>
      </c>
      <c r="D176" s="9">
        <v>11.0</v>
      </c>
      <c r="E176" s="18">
        <f t="shared" si="1"/>
        <v>22838</v>
      </c>
      <c r="F176" s="9">
        <v>0.0</v>
      </c>
      <c r="G176" s="19">
        <v>12644.59</v>
      </c>
      <c r="H176" s="9" t="s">
        <v>4717</v>
      </c>
      <c r="I176" s="9" t="s">
        <v>4723</v>
      </c>
      <c r="J176" s="9" t="s">
        <v>4719</v>
      </c>
      <c r="K176" s="20">
        <f t="shared" si="2"/>
        <v>1962</v>
      </c>
      <c r="L176" s="9" t="str">
        <f t="shared" si="3"/>
        <v>tier - 3</v>
      </c>
      <c r="M176" s="9" t="str">
        <f t="shared" si="4"/>
        <v>tier - 2</v>
      </c>
      <c r="N176" s="9" t="str">
        <f t="shared" si="5"/>
        <v>R1011</v>
      </c>
      <c r="O176" s="17">
        <f t="shared" si="6"/>
        <v>60</v>
      </c>
      <c r="P176" s="18">
        <v>22838.0</v>
      </c>
    </row>
    <row r="177" ht="15.75" customHeight="1">
      <c r="A177" s="9" t="s">
        <v>1681</v>
      </c>
      <c r="B177" s="17">
        <v>1965.0</v>
      </c>
      <c r="C177" s="9" t="s">
        <v>4738</v>
      </c>
      <c r="D177" s="9">
        <v>14.0</v>
      </c>
      <c r="E177" s="18">
        <f t="shared" si="1"/>
        <v>23999</v>
      </c>
      <c r="F177" s="9">
        <v>2.0</v>
      </c>
      <c r="G177" s="19">
        <v>12646.21</v>
      </c>
      <c r="H177" s="9" t="s">
        <v>4717</v>
      </c>
      <c r="I177" s="9" t="s">
        <v>4723</v>
      </c>
      <c r="J177" s="9" t="s">
        <v>4719</v>
      </c>
      <c r="K177" s="20">
        <f t="shared" si="2"/>
        <v>1965</v>
      </c>
      <c r="L177" s="9" t="str">
        <f t="shared" si="3"/>
        <v>tier - 3</v>
      </c>
      <c r="M177" s="9" t="str">
        <f t="shared" si="4"/>
        <v>tier - 2</v>
      </c>
      <c r="N177" s="9" t="str">
        <f t="shared" si="5"/>
        <v>R1011</v>
      </c>
      <c r="O177" s="17">
        <f t="shared" si="6"/>
        <v>57</v>
      </c>
      <c r="P177" s="18">
        <v>23999.0</v>
      </c>
    </row>
    <row r="178" ht="15.75" customHeight="1">
      <c r="A178" s="9" t="s">
        <v>169</v>
      </c>
      <c r="B178" s="17">
        <v>1969.0</v>
      </c>
      <c r="C178" s="9" t="s">
        <v>4716</v>
      </c>
      <c r="D178" s="9">
        <v>8.0</v>
      </c>
      <c r="E178" s="18">
        <f t="shared" si="1"/>
        <v>25423</v>
      </c>
      <c r="F178" s="9">
        <v>0.0</v>
      </c>
      <c r="G178" s="19">
        <v>41191.57</v>
      </c>
      <c r="H178" s="9" t="s">
        <v>4718</v>
      </c>
      <c r="I178" s="9" t="s">
        <v>4723</v>
      </c>
      <c r="J178" s="9" t="s">
        <v>4719</v>
      </c>
      <c r="K178" s="20">
        <f t="shared" si="2"/>
        <v>1969</v>
      </c>
      <c r="L178" s="9" t="str">
        <f t="shared" si="3"/>
        <v>tier - 1</v>
      </c>
      <c r="M178" s="9" t="str">
        <f t="shared" si="4"/>
        <v>tier - 2</v>
      </c>
      <c r="N178" s="9" t="str">
        <f t="shared" si="5"/>
        <v>R1011</v>
      </c>
      <c r="O178" s="17">
        <f t="shared" si="6"/>
        <v>53</v>
      </c>
      <c r="P178" s="18">
        <v>25423.0</v>
      </c>
    </row>
    <row r="179" ht="15.75" customHeight="1">
      <c r="A179" s="9" t="s">
        <v>1679</v>
      </c>
      <c r="B179" s="17">
        <v>1962.0</v>
      </c>
      <c r="C179" s="9" t="s">
        <v>4716</v>
      </c>
      <c r="D179" s="9">
        <v>27.0</v>
      </c>
      <c r="E179" s="18">
        <f t="shared" si="1"/>
        <v>22885</v>
      </c>
      <c r="F179" s="9">
        <v>0.0</v>
      </c>
      <c r="G179" s="19">
        <v>12648.7</v>
      </c>
      <c r="H179" s="9" t="s">
        <v>4717</v>
      </c>
      <c r="I179" s="9" t="s">
        <v>4723</v>
      </c>
      <c r="J179" s="9" t="s">
        <v>4743</v>
      </c>
      <c r="K179" s="20">
        <f t="shared" si="2"/>
        <v>1962</v>
      </c>
      <c r="L179" s="9" t="str">
        <f t="shared" si="3"/>
        <v>tier - 3</v>
      </c>
      <c r="M179" s="9" t="str">
        <f t="shared" si="4"/>
        <v>tier - 2</v>
      </c>
      <c r="N179" s="9" t="str">
        <f t="shared" si="5"/>
        <v>R1013</v>
      </c>
      <c r="O179" s="17">
        <f t="shared" si="6"/>
        <v>60</v>
      </c>
      <c r="P179" s="18">
        <v>22885.0</v>
      </c>
    </row>
    <row r="180" ht="15.75" customHeight="1">
      <c r="A180" s="9" t="s">
        <v>1677</v>
      </c>
      <c r="B180" s="17">
        <v>1974.0</v>
      </c>
      <c r="C180" s="9" t="s">
        <v>4738</v>
      </c>
      <c r="D180" s="9">
        <v>24.0</v>
      </c>
      <c r="E180" s="18">
        <f t="shared" si="1"/>
        <v>27296</v>
      </c>
      <c r="F180" s="9">
        <v>0.0</v>
      </c>
      <c r="G180" s="19">
        <v>12697.48</v>
      </c>
      <c r="H180" s="9" t="s">
        <v>4717</v>
      </c>
      <c r="I180" s="9" t="s">
        <v>4717</v>
      </c>
      <c r="J180" s="9" t="s">
        <v>4751</v>
      </c>
      <c r="K180" s="20">
        <f t="shared" si="2"/>
        <v>1974</v>
      </c>
      <c r="L180" s="9" t="str">
        <f t="shared" si="3"/>
        <v>tier - 3</v>
      </c>
      <c r="M180" s="9" t="str">
        <f t="shared" si="4"/>
        <v>tier - 3</v>
      </c>
      <c r="N180" s="9" t="str">
        <f t="shared" si="5"/>
        <v>R1021</v>
      </c>
      <c r="O180" s="17">
        <f t="shared" si="6"/>
        <v>48</v>
      </c>
      <c r="P180" s="18">
        <v>27296.0</v>
      </c>
    </row>
    <row r="181" ht="15.75" customHeight="1">
      <c r="A181" s="9" t="s">
        <v>1675</v>
      </c>
      <c r="B181" s="17">
        <v>1992.0</v>
      </c>
      <c r="C181" s="9" t="s">
        <v>4741</v>
      </c>
      <c r="D181" s="9">
        <v>7.0</v>
      </c>
      <c r="E181" s="18">
        <f t="shared" si="1"/>
        <v>33792</v>
      </c>
      <c r="F181" s="9">
        <v>0.0</v>
      </c>
      <c r="G181" s="19">
        <v>12699.56</v>
      </c>
      <c r="H181" s="9" t="s">
        <v>4717</v>
      </c>
      <c r="I181" s="9" t="s">
        <v>4723</v>
      </c>
      <c r="J181" s="9" t="s">
        <v>4719</v>
      </c>
      <c r="K181" s="20">
        <f t="shared" si="2"/>
        <v>1992</v>
      </c>
      <c r="L181" s="9" t="str">
        <f t="shared" si="3"/>
        <v>tier - 3</v>
      </c>
      <c r="M181" s="9" t="str">
        <f t="shared" si="4"/>
        <v>tier - 2</v>
      </c>
      <c r="N181" s="9" t="str">
        <f t="shared" si="5"/>
        <v>R1011</v>
      </c>
      <c r="O181" s="17">
        <f t="shared" si="6"/>
        <v>30</v>
      </c>
      <c r="P181" s="18">
        <v>33792.0</v>
      </c>
    </row>
    <row r="182" ht="15.75" customHeight="1">
      <c r="A182" s="9" t="s">
        <v>1673</v>
      </c>
      <c r="B182" s="17">
        <v>1964.0</v>
      </c>
      <c r="C182" s="9" t="s">
        <v>4735</v>
      </c>
      <c r="D182" s="9">
        <v>28.0</v>
      </c>
      <c r="E182" s="18">
        <f t="shared" si="1"/>
        <v>23709</v>
      </c>
      <c r="F182" s="9">
        <v>0.0</v>
      </c>
      <c r="G182" s="19">
        <v>12700.63</v>
      </c>
      <c r="H182" s="9" t="s">
        <v>4717</v>
      </c>
      <c r="I182" s="9" t="s">
        <v>4717</v>
      </c>
      <c r="J182" s="9" t="s">
        <v>4719</v>
      </c>
      <c r="K182" s="20">
        <f t="shared" si="2"/>
        <v>1964</v>
      </c>
      <c r="L182" s="9" t="str">
        <f t="shared" si="3"/>
        <v>tier - 3</v>
      </c>
      <c r="M182" s="9" t="str">
        <f t="shared" si="4"/>
        <v>tier - 3</v>
      </c>
      <c r="N182" s="9" t="str">
        <f t="shared" si="5"/>
        <v>R1011</v>
      </c>
      <c r="O182" s="17">
        <f t="shared" si="6"/>
        <v>58</v>
      </c>
      <c r="P182" s="18">
        <v>23709.0</v>
      </c>
    </row>
    <row r="183" ht="15.75" customHeight="1">
      <c r="A183" s="9" t="s">
        <v>1671</v>
      </c>
      <c r="B183" s="17">
        <v>1970.0</v>
      </c>
      <c r="C183" s="9" t="s">
        <v>4741</v>
      </c>
      <c r="D183" s="9">
        <v>8.0</v>
      </c>
      <c r="E183" s="18">
        <f t="shared" si="1"/>
        <v>25757</v>
      </c>
      <c r="F183" s="9">
        <v>0.0</v>
      </c>
      <c r="G183" s="19">
        <v>12713.0</v>
      </c>
      <c r="H183" s="9" t="s">
        <v>4717</v>
      </c>
      <c r="I183" s="9" t="s">
        <v>4718</v>
      </c>
      <c r="J183" s="9" t="s">
        <v>4719</v>
      </c>
      <c r="K183" s="20">
        <f t="shared" si="2"/>
        <v>1970</v>
      </c>
      <c r="L183" s="9" t="str">
        <f t="shared" si="3"/>
        <v>tier - 3</v>
      </c>
      <c r="M183" s="9" t="str">
        <f t="shared" si="4"/>
        <v>tier - 1</v>
      </c>
      <c r="N183" s="9" t="str">
        <f t="shared" si="5"/>
        <v>R1011</v>
      </c>
      <c r="O183" s="17">
        <f t="shared" si="6"/>
        <v>52</v>
      </c>
      <c r="P183" s="18">
        <v>25757.0</v>
      </c>
    </row>
    <row r="184" ht="15.75" customHeight="1">
      <c r="A184" s="9" t="s">
        <v>1669</v>
      </c>
      <c r="B184" s="17">
        <v>1988.0</v>
      </c>
      <c r="C184" s="9" t="s">
        <v>4741</v>
      </c>
      <c r="D184" s="9">
        <v>17.0</v>
      </c>
      <c r="E184" s="18">
        <f t="shared" si="1"/>
        <v>32341</v>
      </c>
      <c r="F184" s="9">
        <v>3.0</v>
      </c>
      <c r="G184" s="19">
        <v>12718.21</v>
      </c>
      <c r="H184" s="9" t="s">
        <v>4717</v>
      </c>
      <c r="I184" s="9" t="s">
        <v>4718</v>
      </c>
      <c r="J184" s="9" t="s">
        <v>4721</v>
      </c>
      <c r="K184" s="20">
        <f t="shared" si="2"/>
        <v>1988</v>
      </c>
      <c r="L184" s="9" t="str">
        <f t="shared" si="3"/>
        <v>tier - 3</v>
      </c>
      <c r="M184" s="9" t="str">
        <f t="shared" si="4"/>
        <v>tier - 1</v>
      </c>
      <c r="N184" s="9" t="str">
        <f t="shared" si="5"/>
        <v>R1026</v>
      </c>
      <c r="O184" s="17">
        <f t="shared" si="6"/>
        <v>34</v>
      </c>
      <c r="P184" s="18">
        <v>32341.0</v>
      </c>
    </row>
    <row r="185" ht="15.75" customHeight="1">
      <c r="A185" s="9" t="s">
        <v>1667</v>
      </c>
      <c r="B185" s="17">
        <v>1962.0</v>
      </c>
      <c r="C185" s="9" t="s">
        <v>4738</v>
      </c>
      <c r="D185" s="9">
        <v>2.0</v>
      </c>
      <c r="E185" s="18">
        <f t="shared" si="1"/>
        <v>22891</v>
      </c>
      <c r="F185" s="9">
        <v>0.0</v>
      </c>
      <c r="G185" s="19">
        <v>12731.0</v>
      </c>
      <c r="H185" s="9" t="s">
        <v>4717</v>
      </c>
      <c r="I185" s="9" t="s">
        <v>4717</v>
      </c>
      <c r="J185" s="9" t="s">
        <v>4754</v>
      </c>
      <c r="K185" s="20">
        <f t="shared" si="2"/>
        <v>1962</v>
      </c>
      <c r="L185" s="9" t="str">
        <f t="shared" si="3"/>
        <v>tier - 3</v>
      </c>
      <c r="M185" s="9" t="str">
        <f t="shared" si="4"/>
        <v>tier - 3</v>
      </c>
      <c r="N185" s="9" t="str">
        <f t="shared" si="5"/>
        <v>R1016</v>
      </c>
      <c r="O185" s="17">
        <f t="shared" si="6"/>
        <v>60</v>
      </c>
      <c r="P185" s="18">
        <v>22891.0</v>
      </c>
    </row>
    <row r="186" ht="15.75" customHeight="1">
      <c r="A186" s="9" t="s">
        <v>1665</v>
      </c>
      <c r="B186" s="17">
        <v>1962.0</v>
      </c>
      <c r="C186" s="9" t="s">
        <v>4720</v>
      </c>
      <c r="D186" s="9">
        <v>1.0</v>
      </c>
      <c r="E186" s="18">
        <f t="shared" si="1"/>
        <v>22920</v>
      </c>
      <c r="F186" s="9">
        <v>0.0</v>
      </c>
      <c r="G186" s="19">
        <v>12741.17</v>
      </c>
      <c r="H186" s="9" t="s">
        <v>4717</v>
      </c>
      <c r="I186" s="9" t="s">
        <v>4718</v>
      </c>
      <c r="J186" s="9" t="s">
        <v>4753</v>
      </c>
      <c r="K186" s="20">
        <f t="shared" si="2"/>
        <v>1962</v>
      </c>
      <c r="L186" s="9" t="str">
        <f t="shared" si="3"/>
        <v>tier - 3</v>
      </c>
      <c r="M186" s="9" t="str">
        <f t="shared" si="4"/>
        <v>tier - 1</v>
      </c>
      <c r="N186" s="9" t="str">
        <f t="shared" si="5"/>
        <v>R1017</v>
      </c>
      <c r="O186" s="17">
        <f t="shared" si="6"/>
        <v>60</v>
      </c>
      <c r="P186" s="18">
        <v>22920.0</v>
      </c>
    </row>
    <row r="187" ht="15.75" customHeight="1">
      <c r="A187" s="9" t="s">
        <v>1663</v>
      </c>
      <c r="B187" s="17">
        <v>1975.0</v>
      </c>
      <c r="C187" s="9" t="s">
        <v>4738</v>
      </c>
      <c r="D187" s="9">
        <v>25.0</v>
      </c>
      <c r="E187" s="18">
        <f t="shared" si="1"/>
        <v>27662</v>
      </c>
      <c r="F187" s="9">
        <v>1.0</v>
      </c>
      <c r="G187" s="19">
        <v>12770.27</v>
      </c>
      <c r="H187" s="9" t="s">
        <v>4717</v>
      </c>
      <c r="I187" s="9" t="s">
        <v>4717</v>
      </c>
      <c r="J187" s="9" t="s">
        <v>4751</v>
      </c>
      <c r="K187" s="20">
        <f t="shared" si="2"/>
        <v>1975</v>
      </c>
      <c r="L187" s="9" t="str">
        <f t="shared" si="3"/>
        <v>tier - 3</v>
      </c>
      <c r="M187" s="9" t="str">
        <f t="shared" si="4"/>
        <v>tier - 3</v>
      </c>
      <c r="N187" s="9" t="str">
        <f t="shared" si="5"/>
        <v>R1021</v>
      </c>
      <c r="O187" s="17">
        <f t="shared" si="6"/>
        <v>47</v>
      </c>
      <c r="P187" s="18">
        <v>27662.0</v>
      </c>
    </row>
    <row r="188" ht="15.75" customHeight="1">
      <c r="A188" s="9" t="s">
        <v>1661</v>
      </c>
      <c r="B188" s="17">
        <v>1972.0</v>
      </c>
      <c r="C188" s="9" t="s">
        <v>4720</v>
      </c>
      <c r="D188" s="9">
        <v>7.0</v>
      </c>
      <c r="E188" s="18">
        <f t="shared" si="1"/>
        <v>26579</v>
      </c>
      <c r="F188" s="9">
        <v>0.0</v>
      </c>
      <c r="G188" s="19">
        <v>12776.05</v>
      </c>
      <c r="H188" s="9" t="s">
        <v>4717</v>
      </c>
      <c r="I188" s="9" t="s">
        <v>4717</v>
      </c>
      <c r="J188" s="9" t="s">
        <v>4721</v>
      </c>
      <c r="K188" s="20">
        <f t="shared" si="2"/>
        <v>1972</v>
      </c>
      <c r="L188" s="9" t="str">
        <f t="shared" si="3"/>
        <v>tier - 3</v>
      </c>
      <c r="M188" s="9" t="str">
        <f t="shared" si="4"/>
        <v>tier - 3</v>
      </c>
      <c r="N188" s="9" t="str">
        <f t="shared" si="5"/>
        <v>R1026</v>
      </c>
      <c r="O188" s="17">
        <f t="shared" si="6"/>
        <v>50</v>
      </c>
      <c r="P188" s="18">
        <v>26579.0</v>
      </c>
    </row>
    <row r="189" ht="15.75" customHeight="1">
      <c r="A189" s="9" t="s">
        <v>167</v>
      </c>
      <c r="B189" s="17">
        <v>1964.0</v>
      </c>
      <c r="C189" s="9" t="s">
        <v>4730</v>
      </c>
      <c r="D189" s="9">
        <v>6.0</v>
      </c>
      <c r="E189" s="18">
        <f t="shared" si="1"/>
        <v>23534</v>
      </c>
      <c r="F189" s="9">
        <v>0.0</v>
      </c>
      <c r="G189" s="19">
        <v>41250.39</v>
      </c>
      <c r="H189" s="9" t="s">
        <v>4718</v>
      </c>
      <c r="I189" s="9" t="s">
        <v>4717</v>
      </c>
      <c r="J189" s="9" t="s">
        <v>4719</v>
      </c>
      <c r="K189" s="20">
        <f t="shared" si="2"/>
        <v>1964</v>
      </c>
      <c r="L189" s="9" t="str">
        <f t="shared" si="3"/>
        <v>tier - 1</v>
      </c>
      <c r="M189" s="9" t="str">
        <f t="shared" si="4"/>
        <v>tier - 3</v>
      </c>
      <c r="N189" s="9" t="str">
        <f t="shared" si="5"/>
        <v>R1011</v>
      </c>
      <c r="O189" s="17">
        <f t="shared" si="6"/>
        <v>59</v>
      </c>
      <c r="P189" s="18">
        <v>23534.0</v>
      </c>
    </row>
    <row r="190" ht="15.75" customHeight="1">
      <c r="A190" s="9" t="s">
        <v>1659</v>
      </c>
      <c r="B190" s="17">
        <v>1963.0</v>
      </c>
      <c r="C190" s="9" t="s">
        <v>4725</v>
      </c>
      <c r="D190" s="9">
        <v>5.0</v>
      </c>
      <c r="E190" s="18">
        <f t="shared" si="1"/>
        <v>23350</v>
      </c>
      <c r="F190" s="9">
        <v>0.0</v>
      </c>
      <c r="G190" s="19">
        <v>12788.03</v>
      </c>
      <c r="H190" s="9" t="s">
        <v>4717</v>
      </c>
      <c r="I190" s="9" t="s">
        <v>4717</v>
      </c>
      <c r="J190" s="9" t="s">
        <v>4726</v>
      </c>
      <c r="K190" s="20">
        <f t="shared" si="2"/>
        <v>1963</v>
      </c>
      <c r="L190" s="9" t="str">
        <f t="shared" si="3"/>
        <v>tier - 3</v>
      </c>
      <c r="M190" s="9" t="str">
        <f t="shared" si="4"/>
        <v>tier - 3</v>
      </c>
      <c r="N190" s="9" t="str">
        <f t="shared" si="5"/>
        <v>R1025</v>
      </c>
      <c r="O190" s="17">
        <f t="shared" si="6"/>
        <v>59</v>
      </c>
      <c r="P190" s="18">
        <v>23350.0</v>
      </c>
    </row>
    <row r="191" ht="15.75" customHeight="1">
      <c r="A191" s="9" t="s">
        <v>1657</v>
      </c>
      <c r="B191" s="17">
        <v>1983.0</v>
      </c>
      <c r="C191" s="9" t="s">
        <v>4720</v>
      </c>
      <c r="D191" s="9">
        <v>29.0</v>
      </c>
      <c r="E191" s="18">
        <f t="shared" si="1"/>
        <v>30618</v>
      </c>
      <c r="F191" s="9">
        <v>3.0</v>
      </c>
      <c r="G191" s="19">
        <v>12788.18</v>
      </c>
      <c r="H191" s="9" t="s">
        <v>4717</v>
      </c>
      <c r="I191" s="9" t="s">
        <v>4718</v>
      </c>
      <c r="J191" s="9" t="s">
        <v>4721</v>
      </c>
      <c r="K191" s="20">
        <f t="shared" si="2"/>
        <v>1983</v>
      </c>
      <c r="L191" s="9" t="str">
        <f t="shared" si="3"/>
        <v>tier - 3</v>
      </c>
      <c r="M191" s="9" t="str">
        <f t="shared" si="4"/>
        <v>tier - 1</v>
      </c>
      <c r="N191" s="9" t="str">
        <f t="shared" si="5"/>
        <v>R1026</v>
      </c>
      <c r="O191" s="17">
        <f t="shared" si="6"/>
        <v>39</v>
      </c>
      <c r="P191" s="18">
        <v>30618.0</v>
      </c>
    </row>
    <row r="192" ht="15.75" customHeight="1">
      <c r="A192" s="9" t="s">
        <v>1655</v>
      </c>
      <c r="B192" s="17">
        <v>1978.0</v>
      </c>
      <c r="C192" s="9" t="s">
        <v>4741</v>
      </c>
      <c r="D192" s="9">
        <v>24.0</v>
      </c>
      <c r="E192" s="18">
        <f t="shared" si="1"/>
        <v>28695</v>
      </c>
      <c r="F192" s="9">
        <v>0.0</v>
      </c>
      <c r="G192" s="19">
        <v>12797.21</v>
      </c>
      <c r="H192" s="9" t="s">
        <v>4717</v>
      </c>
      <c r="I192" s="9" t="s">
        <v>4718</v>
      </c>
      <c r="J192" s="9" t="s">
        <v>4731</v>
      </c>
      <c r="K192" s="20">
        <f t="shared" si="2"/>
        <v>1978</v>
      </c>
      <c r="L192" s="9" t="str">
        <f t="shared" si="3"/>
        <v>tier - 3</v>
      </c>
      <c r="M192" s="9" t="str">
        <f t="shared" si="4"/>
        <v>tier - 1</v>
      </c>
      <c r="N192" s="9" t="str">
        <f t="shared" si="5"/>
        <v>R1024</v>
      </c>
      <c r="O192" s="17">
        <f t="shared" si="6"/>
        <v>44</v>
      </c>
      <c r="P192" s="18">
        <v>28695.0</v>
      </c>
    </row>
    <row r="193" ht="15.75" customHeight="1">
      <c r="A193" s="9" t="s">
        <v>1653</v>
      </c>
      <c r="B193" s="17">
        <v>1963.0</v>
      </c>
      <c r="C193" s="9" t="s">
        <v>4741</v>
      </c>
      <c r="D193" s="9">
        <v>20.0</v>
      </c>
      <c r="E193" s="18">
        <f t="shared" si="1"/>
        <v>23212</v>
      </c>
      <c r="F193" s="9">
        <v>0.0</v>
      </c>
      <c r="G193" s="19">
        <v>12815.44</v>
      </c>
      <c r="H193" s="9" t="s">
        <v>4717</v>
      </c>
      <c r="I193" s="9" t="s">
        <v>4717</v>
      </c>
      <c r="J193" s="9" t="s">
        <v>4731</v>
      </c>
      <c r="K193" s="20">
        <f t="shared" si="2"/>
        <v>1963</v>
      </c>
      <c r="L193" s="9" t="str">
        <f t="shared" si="3"/>
        <v>tier - 3</v>
      </c>
      <c r="M193" s="9" t="str">
        <f t="shared" si="4"/>
        <v>tier - 3</v>
      </c>
      <c r="N193" s="9" t="str">
        <f t="shared" si="5"/>
        <v>R1024</v>
      </c>
      <c r="O193" s="17">
        <f t="shared" si="6"/>
        <v>59</v>
      </c>
      <c r="P193" s="18">
        <v>23212.0</v>
      </c>
    </row>
    <row r="194" ht="15.75" customHeight="1">
      <c r="A194" s="9" t="s">
        <v>1651</v>
      </c>
      <c r="B194" s="17">
        <v>1967.0</v>
      </c>
      <c r="C194" s="9" t="s">
        <v>4738</v>
      </c>
      <c r="D194" s="9">
        <v>25.0</v>
      </c>
      <c r="E194" s="18">
        <f t="shared" si="1"/>
        <v>24740</v>
      </c>
      <c r="F194" s="9">
        <v>0.0</v>
      </c>
      <c r="G194" s="19">
        <v>12823.25</v>
      </c>
      <c r="H194" s="9" t="s">
        <v>4717</v>
      </c>
      <c r="I194" s="9" t="s">
        <v>4717</v>
      </c>
      <c r="J194" s="9" t="s">
        <v>4751</v>
      </c>
      <c r="K194" s="20">
        <f t="shared" si="2"/>
        <v>1967</v>
      </c>
      <c r="L194" s="9" t="str">
        <f t="shared" si="3"/>
        <v>tier - 3</v>
      </c>
      <c r="M194" s="9" t="str">
        <f t="shared" si="4"/>
        <v>tier - 3</v>
      </c>
      <c r="N194" s="9" t="str">
        <f t="shared" si="5"/>
        <v>R1021</v>
      </c>
      <c r="O194" s="17">
        <f t="shared" si="6"/>
        <v>55</v>
      </c>
      <c r="P194" s="18">
        <v>24740.0</v>
      </c>
    </row>
    <row r="195" ht="15.75" customHeight="1">
      <c r="A195" s="9" t="s">
        <v>1649</v>
      </c>
      <c r="B195" s="17">
        <v>2004.0</v>
      </c>
      <c r="C195" s="9" t="s">
        <v>4735</v>
      </c>
      <c r="D195" s="9">
        <v>9.0</v>
      </c>
      <c r="E195" s="18">
        <f t="shared" si="1"/>
        <v>38300</v>
      </c>
      <c r="F195" s="9">
        <v>2.0</v>
      </c>
      <c r="G195" s="19">
        <v>12829.46</v>
      </c>
      <c r="H195" s="9" t="s">
        <v>4717</v>
      </c>
      <c r="I195" s="9" t="s">
        <v>4717</v>
      </c>
      <c r="J195" s="9" t="s">
        <v>4754</v>
      </c>
      <c r="K195" s="20">
        <f t="shared" si="2"/>
        <v>2004</v>
      </c>
      <c r="L195" s="9" t="str">
        <f t="shared" si="3"/>
        <v>tier - 3</v>
      </c>
      <c r="M195" s="9" t="str">
        <f t="shared" si="4"/>
        <v>tier - 3</v>
      </c>
      <c r="N195" s="9" t="str">
        <f t="shared" si="5"/>
        <v>R1016</v>
      </c>
      <c r="O195" s="17">
        <f t="shared" si="6"/>
        <v>18</v>
      </c>
      <c r="P195" s="18">
        <v>38300.0</v>
      </c>
    </row>
    <row r="196" ht="15.75" customHeight="1">
      <c r="A196" s="9" t="s">
        <v>1647</v>
      </c>
      <c r="B196" s="17">
        <v>1993.0</v>
      </c>
      <c r="C196" s="9" t="s">
        <v>4738</v>
      </c>
      <c r="D196" s="9">
        <v>27.0</v>
      </c>
      <c r="E196" s="18">
        <f t="shared" si="1"/>
        <v>34239</v>
      </c>
      <c r="F196" s="9">
        <v>0.0</v>
      </c>
      <c r="G196" s="19">
        <v>12847.24</v>
      </c>
      <c r="H196" s="9" t="s">
        <v>4717</v>
      </c>
      <c r="I196" s="9" t="s">
        <v>4723</v>
      </c>
      <c r="J196" s="9" t="s">
        <v>4733</v>
      </c>
      <c r="K196" s="20">
        <f t="shared" si="2"/>
        <v>1993</v>
      </c>
      <c r="L196" s="9" t="str">
        <f t="shared" si="3"/>
        <v>tier - 3</v>
      </c>
      <c r="M196" s="9" t="str">
        <f t="shared" si="4"/>
        <v>tier - 2</v>
      </c>
      <c r="N196" s="9" t="str">
        <f t="shared" si="5"/>
        <v>R1012</v>
      </c>
      <c r="O196" s="17">
        <f t="shared" si="6"/>
        <v>29</v>
      </c>
      <c r="P196" s="18">
        <v>34239.0</v>
      </c>
    </row>
    <row r="197" ht="15.75" customHeight="1">
      <c r="A197" s="9" t="s">
        <v>1645</v>
      </c>
      <c r="B197" s="17">
        <v>1973.0</v>
      </c>
      <c r="C197" s="9" t="s">
        <v>4738</v>
      </c>
      <c r="D197" s="9">
        <v>22.0</v>
      </c>
      <c r="E197" s="18">
        <f t="shared" si="1"/>
        <v>26929</v>
      </c>
      <c r="F197" s="9">
        <v>0.0</v>
      </c>
      <c r="G197" s="19">
        <v>12852.37</v>
      </c>
      <c r="H197" s="9" t="s">
        <v>4717</v>
      </c>
      <c r="I197" s="9" t="s">
        <v>4718</v>
      </c>
      <c r="J197" s="9" t="s">
        <v>4733</v>
      </c>
      <c r="K197" s="20">
        <f t="shared" si="2"/>
        <v>1973</v>
      </c>
      <c r="L197" s="9" t="str">
        <f t="shared" si="3"/>
        <v>tier - 3</v>
      </c>
      <c r="M197" s="9" t="str">
        <f t="shared" si="4"/>
        <v>tier - 1</v>
      </c>
      <c r="N197" s="9" t="str">
        <f t="shared" si="5"/>
        <v>R1012</v>
      </c>
      <c r="O197" s="17">
        <f t="shared" si="6"/>
        <v>49</v>
      </c>
      <c r="P197" s="18">
        <v>26929.0</v>
      </c>
    </row>
    <row r="198" ht="15.75" customHeight="1">
      <c r="A198" s="9" t="s">
        <v>1643</v>
      </c>
      <c r="B198" s="17">
        <v>1963.0</v>
      </c>
      <c r="C198" s="9" t="s">
        <v>4738</v>
      </c>
      <c r="D198" s="9">
        <v>27.0</v>
      </c>
      <c r="E198" s="18">
        <f t="shared" si="1"/>
        <v>23281</v>
      </c>
      <c r="F198" s="9">
        <v>0.0</v>
      </c>
      <c r="G198" s="19">
        <v>12856.84</v>
      </c>
      <c r="H198" s="9" t="s">
        <v>4717</v>
      </c>
      <c r="I198" s="9" t="s">
        <v>4717</v>
      </c>
      <c r="J198" s="9" t="s">
        <v>4751</v>
      </c>
      <c r="K198" s="20">
        <f t="shared" si="2"/>
        <v>1963</v>
      </c>
      <c r="L198" s="9" t="str">
        <f t="shared" si="3"/>
        <v>tier - 3</v>
      </c>
      <c r="M198" s="9" t="str">
        <f t="shared" si="4"/>
        <v>tier - 3</v>
      </c>
      <c r="N198" s="9" t="str">
        <f t="shared" si="5"/>
        <v>R1021</v>
      </c>
      <c r="O198" s="17">
        <f t="shared" si="6"/>
        <v>59</v>
      </c>
      <c r="P198" s="18">
        <v>23281.0</v>
      </c>
    </row>
    <row r="199" ht="15.75" customHeight="1">
      <c r="A199" s="9" t="s">
        <v>1641</v>
      </c>
      <c r="B199" s="17">
        <v>1984.0</v>
      </c>
      <c r="C199" s="9" t="s">
        <v>4716</v>
      </c>
      <c r="D199" s="9">
        <v>6.0</v>
      </c>
      <c r="E199" s="18">
        <f t="shared" si="1"/>
        <v>30900</v>
      </c>
      <c r="F199" s="9">
        <v>3.0</v>
      </c>
      <c r="G199" s="19">
        <v>12870.31</v>
      </c>
      <c r="H199" s="9" t="s">
        <v>4717</v>
      </c>
      <c r="I199" s="9" t="s">
        <v>4717</v>
      </c>
      <c r="J199" s="9" t="s">
        <v>4733</v>
      </c>
      <c r="K199" s="20">
        <f t="shared" si="2"/>
        <v>1984</v>
      </c>
      <c r="L199" s="9" t="str">
        <f t="shared" si="3"/>
        <v>tier - 3</v>
      </c>
      <c r="M199" s="9" t="str">
        <f t="shared" si="4"/>
        <v>tier - 3</v>
      </c>
      <c r="N199" s="9" t="str">
        <f t="shared" si="5"/>
        <v>R1012</v>
      </c>
      <c r="O199" s="17">
        <f t="shared" si="6"/>
        <v>38</v>
      </c>
      <c r="P199" s="18">
        <v>30900.0</v>
      </c>
    </row>
    <row r="200" ht="15.75" customHeight="1">
      <c r="A200" s="9" t="s">
        <v>165</v>
      </c>
      <c r="B200" s="17">
        <v>1977.0</v>
      </c>
      <c r="C200" s="9" t="s">
        <v>4716</v>
      </c>
      <c r="D200" s="9">
        <v>27.0</v>
      </c>
      <c r="E200" s="18">
        <f t="shared" si="1"/>
        <v>28364</v>
      </c>
      <c r="F200" s="9">
        <v>2.0</v>
      </c>
      <c r="G200" s="19">
        <v>41271.5</v>
      </c>
      <c r="H200" s="9" t="s">
        <v>4718</v>
      </c>
      <c r="I200" s="9" t="s">
        <v>4723</v>
      </c>
      <c r="J200" s="9" t="s">
        <v>4719</v>
      </c>
      <c r="K200" s="20">
        <f t="shared" si="2"/>
        <v>1977</v>
      </c>
      <c r="L200" s="9" t="str">
        <f t="shared" si="3"/>
        <v>tier - 1</v>
      </c>
      <c r="M200" s="9" t="str">
        <f t="shared" si="4"/>
        <v>tier - 2</v>
      </c>
      <c r="N200" s="9" t="str">
        <f t="shared" si="5"/>
        <v>R1011</v>
      </c>
      <c r="O200" s="17">
        <f t="shared" si="6"/>
        <v>45</v>
      </c>
      <c r="P200" s="18">
        <v>28364.0</v>
      </c>
    </row>
    <row r="201" ht="15.75" customHeight="1">
      <c r="A201" s="9" t="s">
        <v>1639</v>
      </c>
      <c r="B201" s="17">
        <v>2004.0</v>
      </c>
      <c r="C201" s="9" t="s">
        <v>4741</v>
      </c>
      <c r="D201" s="9">
        <v>9.0</v>
      </c>
      <c r="E201" s="18">
        <f t="shared" si="1"/>
        <v>38177</v>
      </c>
      <c r="F201" s="9">
        <v>0.0</v>
      </c>
      <c r="G201" s="19">
        <v>12890.06</v>
      </c>
      <c r="H201" s="9" t="s">
        <v>4717</v>
      </c>
      <c r="I201" s="9" t="s">
        <v>4718</v>
      </c>
      <c r="J201" s="9" t="s">
        <v>4728</v>
      </c>
      <c r="K201" s="20">
        <f t="shared" si="2"/>
        <v>2004</v>
      </c>
      <c r="L201" s="9" t="str">
        <f t="shared" si="3"/>
        <v>tier - 3</v>
      </c>
      <c r="M201" s="9" t="str">
        <f t="shared" si="4"/>
        <v>tier - 1</v>
      </c>
      <c r="N201" s="9" t="str">
        <f t="shared" si="5"/>
        <v>R1019</v>
      </c>
      <c r="O201" s="17">
        <f t="shared" si="6"/>
        <v>18</v>
      </c>
      <c r="P201" s="18">
        <v>38177.0</v>
      </c>
    </row>
    <row r="202" ht="15.75" customHeight="1">
      <c r="A202" s="9" t="s">
        <v>1637</v>
      </c>
      <c r="B202" s="17">
        <v>1963.0</v>
      </c>
      <c r="C202" s="9" t="s">
        <v>4716</v>
      </c>
      <c r="D202" s="9">
        <v>16.0</v>
      </c>
      <c r="E202" s="18">
        <f t="shared" si="1"/>
        <v>23239</v>
      </c>
      <c r="F202" s="9">
        <v>1.0</v>
      </c>
      <c r="G202" s="19">
        <v>12913.99</v>
      </c>
      <c r="H202" s="9" t="s">
        <v>4717</v>
      </c>
      <c r="I202" s="9" t="s">
        <v>4723</v>
      </c>
      <c r="J202" s="9" t="s">
        <v>4754</v>
      </c>
      <c r="K202" s="20">
        <f t="shared" si="2"/>
        <v>1963</v>
      </c>
      <c r="L202" s="9" t="str">
        <f t="shared" si="3"/>
        <v>tier - 3</v>
      </c>
      <c r="M202" s="9" t="str">
        <f t="shared" si="4"/>
        <v>tier - 2</v>
      </c>
      <c r="N202" s="9" t="str">
        <f t="shared" si="5"/>
        <v>R1016</v>
      </c>
      <c r="O202" s="17">
        <f t="shared" si="6"/>
        <v>59</v>
      </c>
      <c r="P202" s="18">
        <v>23239.0</v>
      </c>
    </row>
    <row r="203" ht="15.75" customHeight="1">
      <c r="A203" s="9" t="s">
        <v>1635</v>
      </c>
      <c r="B203" s="17">
        <v>1963.0</v>
      </c>
      <c r="C203" s="9" t="s">
        <v>4738</v>
      </c>
      <c r="D203" s="9">
        <v>1.0</v>
      </c>
      <c r="E203" s="18">
        <f t="shared" si="1"/>
        <v>23255</v>
      </c>
      <c r="F203" s="9">
        <v>2.0</v>
      </c>
      <c r="G203" s="19">
        <v>12925.89</v>
      </c>
      <c r="H203" s="9" t="s">
        <v>4717</v>
      </c>
      <c r="I203" s="9" t="s">
        <v>4723</v>
      </c>
      <c r="J203" s="9" t="s">
        <v>4743</v>
      </c>
      <c r="K203" s="20">
        <f t="shared" si="2"/>
        <v>1963</v>
      </c>
      <c r="L203" s="9" t="str">
        <f t="shared" si="3"/>
        <v>tier - 3</v>
      </c>
      <c r="M203" s="9" t="str">
        <f t="shared" si="4"/>
        <v>tier - 2</v>
      </c>
      <c r="N203" s="9" t="str">
        <f t="shared" si="5"/>
        <v>R1013</v>
      </c>
      <c r="O203" s="17">
        <f t="shared" si="6"/>
        <v>59</v>
      </c>
      <c r="P203" s="18">
        <v>23255.0</v>
      </c>
    </row>
    <row r="204" ht="15.75" customHeight="1">
      <c r="A204" s="9" t="s">
        <v>1633</v>
      </c>
      <c r="B204" s="17">
        <v>1963.0</v>
      </c>
      <c r="C204" s="9" t="s">
        <v>4716</v>
      </c>
      <c r="D204" s="9">
        <v>14.0</v>
      </c>
      <c r="E204" s="18">
        <f t="shared" si="1"/>
        <v>23237</v>
      </c>
      <c r="F204" s="9">
        <v>2.0</v>
      </c>
      <c r="G204" s="19">
        <v>12928.79</v>
      </c>
      <c r="H204" s="9" t="s">
        <v>4717</v>
      </c>
      <c r="I204" s="9" t="s">
        <v>4723</v>
      </c>
      <c r="J204" s="9" t="s">
        <v>4743</v>
      </c>
      <c r="K204" s="20">
        <f t="shared" si="2"/>
        <v>1963</v>
      </c>
      <c r="L204" s="9" t="str">
        <f t="shared" si="3"/>
        <v>tier - 3</v>
      </c>
      <c r="M204" s="9" t="str">
        <f t="shared" si="4"/>
        <v>tier - 2</v>
      </c>
      <c r="N204" s="9" t="str">
        <f t="shared" si="5"/>
        <v>R1013</v>
      </c>
      <c r="O204" s="17">
        <f t="shared" si="6"/>
        <v>59</v>
      </c>
      <c r="P204" s="18">
        <v>23237.0</v>
      </c>
    </row>
    <row r="205" ht="15.75" customHeight="1">
      <c r="A205" s="9" t="s">
        <v>1631</v>
      </c>
      <c r="B205" s="17">
        <v>1966.0</v>
      </c>
      <c r="C205" s="9" t="s">
        <v>4725</v>
      </c>
      <c r="D205" s="9">
        <v>22.0</v>
      </c>
      <c r="E205" s="18">
        <f t="shared" si="1"/>
        <v>24463</v>
      </c>
      <c r="F205" s="9">
        <v>4.0</v>
      </c>
      <c r="G205" s="19">
        <v>12949.16</v>
      </c>
      <c r="H205" s="9" t="s">
        <v>4717</v>
      </c>
      <c r="I205" s="9" t="s">
        <v>4717</v>
      </c>
      <c r="J205" s="9" t="s">
        <v>4743</v>
      </c>
      <c r="K205" s="20">
        <f t="shared" si="2"/>
        <v>1966</v>
      </c>
      <c r="L205" s="9" t="str">
        <f t="shared" si="3"/>
        <v>tier - 3</v>
      </c>
      <c r="M205" s="9" t="str">
        <f t="shared" si="4"/>
        <v>tier - 3</v>
      </c>
      <c r="N205" s="9" t="str">
        <f t="shared" si="5"/>
        <v>R1013</v>
      </c>
      <c r="O205" s="17">
        <f t="shared" si="6"/>
        <v>56</v>
      </c>
      <c r="P205" s="18">
        <v>24463.0</v>
      </c>
    </row>
    <row r="206" ht="15.75" customHeight="1">
      <c r="A206" s="9" t="s">
        <v>1629</v>
      </c>
      <c r="B206" s="17">
        <v>1961.0</v>
      </c>
      <c r="C206" s="9" t="s">
        <v>4716</v>
      </c>
      <c r="D206" s="9">
        <v>20.0</v>
      </c>
      <c r="E206" s="18">
        <f t="shared" si="1"/>
        <v>22513</v>
      </c>
      <c r="F206" s="9">
        <v>0.0</v>
      </c>
      <c r="G206" s="19">
        <v>12950.07</v>
      </c>
      <c r="H206" s="9" t="s">
        <v>4717</v>
      </c>
      <c r="I206" s="9" t="s">
        <v>4718</v>
      </c>
      <c r="J206" s="9" t="s">
        <v>4733</v>
      </c>
      <c r="K206" s="20">
        <f t="shared" si="2"/>
        <v>1961</v>
      </c>
      <c r="L206" s="9" t="str">
        <f t="shared" si="3"/>
        <v>tier - 3</v>
      </c>
      <c r="M206" s="9" t="str">
        <f t="shared" si="4"/>
        <v>tier - 1</v>
      </c>
      <c r="N206" s="9" t="str">
        <f t="shared" si="5"/>
        <v>R1012</v>
      </c>
      <c r="O206" s="17">
        <f t="shared" si="6"/>
        <v>61</v>
      </c>
      <c r="P206" s="18">
        <v>22513.0</v>
      </c>
    </row>
    <row r="207" ht="15.75" customHeight="1">
      <c r="A207" s="9" t="s">
        <v>1627</v>
      </c>
      <c r="B207" s="17">
        <v>1960.0</v>
      </c>
      <c r="C207" s="9" t="s">
        <v>4735</v>
      </c>
      <c r="D207" s="9">
        <v>4.0</v>
      </c>
      <c r="E207" s="18">
        <f t="shared" si="1"/>
        <v>22224</v>
      </c>
      <c r="F207" s="9">
        <v>0.0</v>
      </c>
      <c r="G207" s="19">
        <v>12957.12</v>
      </c>
      <c r="H207" s="9" t="s">
        <v>4717</v>
      </c>
      <c r="I207" s="9" t="s">
        <v>4718</v>
      </c>
      <c r="J207" s="9" t="s">
        <v>4719</v>
      </c>
      <c r="K207" s="20">
        <f t="shared" si="2"/>
        <v>1960</v>
      </c>
      <c r="L207" s="9" t="str">
        <f t="shared" si="3"/>
        <v>tier - 3</v>
      </c>
      <c r="M207" s="9" t="str">
        <f t="shared" si="4"/>
        <v>tier - 1</v>
      </c>
      <c r="N207" s="9" t="str">
        <f t="shared" si="5"/>
        <v>R1011</v>
      </c>
      <c r="O207" s="17">
        <f t="shared" si="6"/>
        <v>62</v>
      </c>
      <c r="P207" s="18">
        <v>22224.0</v>
      </c>
    </row>
    <row r="208" ht="15.75" customHeight="1">
      <c r="A208" s="9" t="s">
        <v>1625</v>
      </c>
      <c r="B208" s="17">
        <v>1960.0</v>
      </c>
      <c r="C208" s="9" t="s">
        <v>4730</v>
      </c>
      <c r="D208" s="9">
        <v>22.0</v>
      </c>
      <c r="E208" s="18">
        <f t="shared" si="1"/>
        <v>22089</v>
      </c>
      <c r="F208" s="9">
        <v>0.0</v>
      </c>
      <c r="G208" s="19">
        <v>12979.36</v>
      </c>
      <c r="H208" s="9" t="s">
        <v>4717</v>
      </c>
      <c r="I208" s="9" t="s">
        <v>4718</v>
      </c>
      <c r="J208" s="9" t="s">
        <v>4719</v>
      </c>
      <c r="K208" s="20">
        <f t="shared" si="2"/>
        <v>1960</v>
      </c>
      <c r="L208" s="9" t="str">
        <f t="shared" si="3"/>
        <v>tier - 3</v>
      </c>
      <c r="M208" s="9" t="str">
        <f t="shared" si="4"/>
        <v>tier - 1</v>
      </c>
      <c r="N208" s="9" t="str">
        <f t="shared" si="5"/>
        <v>R1011</v>
      </c>
      <c r="O208" s="17">
        <f t="shared" si="6"/>
        <v>62</v>
      </c>
      <c r="P208" s="18">
        <v>22089.0</v>
      </c>
    </row>
    <row r="209" ht="15.75" customHeight="1">
      <c r="A209" s="9" t="s">
        <v>1623</v>
      </c>
      <c r="B209" s="17">
        <v>1960.0</v>
      </c>
      <c r="C209" s="9" t="s">
        <v>4738</v>
      </c>
      <c r="D209" s="9">
        <v>23.0</v>
      </c>
      <c r="E209" s="18">
        <f t="shared" si="1"/>
        <v>22182</v>
      </c>
      <c r="F209" s="9">
        <v>0.0</v>
      </c>
      <c r="G209" s="19">
        <v>12981.35</v>
      </c>
      <c r="H209" s="9" t="s">
        <v>4717</v>
      </c>
      <c r="I209" s="9" t="s">
        <v>4717</v>
      </c>
      <c r="J209" s="9" t="s">
        <v>4743</v>
      </c>
      <c r="K209" s="20">
        <f t="shared" si="2"/>
        <v>1960</v>
      </c>
      <c r="L209" s="9" t="str">
        <f t="shared" si="3"/>
        <v>tier - 3</v>
      </c>
      <c r="M209" s="9" t="str">
        <f t="shared" si="4"/>
        <v>tier - 3</v>
      </c>
      <c r="N209" s="9" t="str">
        <f t="shared" si="5"/>
        <v>R1013</v>
      </c>
      <c r="O209" s="17">
        <f t="shared" si="6"/>
        <v>62</v>
      </c>
      <c r="P209" s="18">
        <v>22182.0</v>
      </c>
    </row>
    <row r="210" ht="15.75" customHeight="1">
      <c r="A210" s="9" t="s">
        <v>1621</v>
      </c>
      <c r="B210" s="17">
        <v>1960.0</v>
      </c>
      <c r="C210" s="9" t="s">
        <v>4735</v>
      </c>
      <c r="D210" s="9">
        <v>28.0</v>
      </c>
      <c r="E210" s="18">
        <f t="shared" si="1"/>
        <v>22248</v>
      </c>
      <c r="F210" s="9">
        <v>0.0</v>
      </c>
      <c r="G210" s="19">
        <v>12982.87</v>
      </c>
      <c r="H210" s="9" t="s">
        <v>4717</v>
      </c>
      <c r="I210" s="9" t="s">
        <v>4718</v>
      </c>
      <c r="J210" s="9" t="s">
        <v>4743</v>
      </c>
      <c r="K210" s="20">
        <f t="shared" si="2"/>
        <v>1960</v>
      </c>
      <c r="L210" s="9" t="str">
        <f t="shared" si="3"/>
        <v>tier - 3</v>
      </c>
      <c r="M210" s="9" t="str">
        <f t="shared" si="4"/>
        <v>tier - 1</v>
      </c>
      <c r="N210" s="9" t="str">
        <f t="shared" si="5"/>
        <v>R1013</v>
      </c>
      <c r="O210" s="17">
        <f t="shared" si="6"/>
        <v>62</v>
      </c>
      <c r="P210" s="18">
        <v>22248.0</v>
      </c>
    </row>
    <row r="211" ht="15.75" customHeight="1">
      <c r="A211" s="9" t="s">
        <v>163</v>
      </c>
      <c r="B211" s="17">
        <v>1964.0</v>
      </c>
      <c r="C211" s="9" t="s">
        <v>4720</v>
      </c>
      <c r="D211" s="9">
        <v>7.0</v>
      </c>
      <c r="E211" s="18">
        <f t="shared" si="1"/>
        <v>23657</v>
      </c>
      <c r="F211" s="9">
        <v>0.0</v>
      </c>
      <c r="G211" s="19">
        <v>41331.79</v>
      </c>
      <c r="H211" s="9" t="s">
        <v>4718</v>
      </c>
      <c r="I211" s="9" t="s">
        <v>4723</v>
      </c>
      <c r="J211" s="9" t="s">
        <v>4719</v>
      </c>
      <c r="K211" s="20">
        <f t="shared" si="2"/>
        <v>1964</v>
      </c>
      <c r="L211" s="9" t="str">
        <f t="shared" si="3"/>
        <v>tier - 1</v>
      </c>
      <c r="M211" s="9" t="str">
        <f t="shared" si="4"/>
        <v>tier - 2</v>
      </c>
      <c r="N211" s="9" t="str">
        <f t="shared" si="5"/>
        <v>R1011</v>
      </c>
      <c r="O211" s="17">
        <f t="shared" si="6"/>
        <v>58</v>
      </c>
      <c r="P211" s="18">
        <v>23657.0</v>
      </c>
    </row>
    <row r="212" ht="15.75" customHeight="1">
      <c r="A212" s="9" t="s">
        <v>1619</v>
      </c>
      <c r="B212" s="17">
        <v>1979.0</v>
      </c>
      <c r="C212" s="9" t="s">
        <v>4735</v>
      </c>
      <c r="D212" s="9">
        <v>27.0</v>
      </c>
      <c r="E212" s="18">
        <f t="shared" si="1"/>
        <v>29186</v>
      </c>
      <c r="F212" s="9">
        <v>2.0</v>
      </c>
      <c r="G212" s="19">
        <v>12994.12</v>
      </c>
      <c r="H212" s="9" t="s">
        <v>4717</v>
      </c>
      <c r="I212" s="9" t="s">
        <v>4723</v>
      </c>
      <c r="J212" s="9" t="s">
        <v>4721</v>
      </c>
      <c r="K212" s="20">
        <f t="shared" si="2"/>
        <v>1979</v>
      </c>
      <c r="L212" s="9" t="str">
        <f t="shared" si="3"/>
        <v>tier - 3</v>
      </c>
      <c r="M212" s="9" t="str">
        <f t="shared" si="4"/>
        <v>tier - 2</v>
      </c>
      <c r="N212" s="9" t="str">
        <f t="shared" si="5"/>
        <v>R1026</v>
      </c>
      <c r="O212" s="17">
        <f t="shared" si="6"/>
        <v>43</v>
      </c>
      <c r="P212" s="18">
        <v>29186.0</v>
      </c>
    </row>
    <row r="213" ht="15.75" customHeight="1">
      <c r="A213" s="9" t="s">
        <v>1617</v>
      </c>
      <c r="B213" s="17">
        <v>1981.0</v>
      </c>
      <c r="C213" s="9" t="s">
        <v>4720</v>
      </c>
      <c r="D213" s="9">
        <v>30.0</v>
      </c>
      <c r="E213" s="18">
        <f t="shared" si="1"/>
        <v>29889</v>
      </c>
      <c r="F213" s="9">
        <v>1.0</v>
      </c>
      <c r="G213" s="19">
        <v>13002.91</v>
      </c>
      <c r="H213" s="9" t="s">
        <v>4717</v>
      </c>
      <c r="I213" s="9" t="s">
        <v>4718</v>
      </c>
      <c r="J213" s="9" t="s">
        <v>4733</v>
      </c>
      <c r="K213" s="20">
        <f t="shared" si="2"/>
        <v>1981</v>
      </c>
      <c r="L213" s="9" t="str">
        <f t="shared" si="3"/>
        <v>tier - 3</v>
      </c>
      <c r="M213" s="9" t="str">
        <f t="shared" si="4"/>
        <v>tier - 1</v>
      </c>
      <c r="N213" s="9" t="str">
        <f t="shared" si="5"/>
        <v>R1012</v>
      </c>
      <c r="O213" s="17">
        <f t="shared" si="6"/>
        <v>41</v>
      </c>
      <c r="P213" s="18">
        <v>29889.0</v>
      </c>
    </row>
    <row r="214" ht="15.75" customHeight="1">
      <c r="A214" s="9" t="s">
        <v>1615</v>
      </c>
      <c r="B214" s="17">
        <v>1962.0</v>
      </c>
      <c r="C214" s="9" t="s">
        <v>4730</v>
      </c>
      <c r="D214" s="9">
        <v>24.0</v>
      </c>
      <c r="E214" s="18">
        <f t="shared" si="1"/>
        <v>22821</v>
      </c>
      <c r="F214" s="9">
        <v>0.0</v>
      </c>
      <c r="G214" s="19">
        <v>13004.95</v>
      </c>
      <c r="H214" s="9" t="s">
        <v>4717</v>
      </c>
      <c r="I214" s="9" t="s">
        <v>4718</v>
      </c>
      <c r="J214" s="9" t="s">
        <v>4733</v>
      </c>
      <c r="K214" s="20">
        <f t="shared" si="2"/>
        <v>1962</v>
      </c>
      <c r="L214" s="9" t="str">
        <f t="shared" si="3"/>
        <v>tier - 3</v>
      </c>
      <c r="M214" s="9" t="str">
        <f t="shared" si="4"/>
        <v>tier - 1</v>
      </c>
      <c r="N214" s="9" t="str">
        <f t="shared" si="5"/>
        <v>R1012</v>
      </c>
      <c r="O214" s="17">
        <f t="shared" si="6"/>
        <v>60</v>
      </c>
      <c r="P214" s="18">
        <v>22821.0</v>
      </c>
    </row>
    <row r="215" ht="15.75" customHeight="1">
      <c r="A215" s="9" t="s">
        <v>1613</v>
      </c>
      <c r="B215" s="17">
        <v>1969.0</v>
      </c>
      <c r="C215" s="9" t="s">
        <v>4725</v>
      </c>
      <c r="D215" s="9">
        <v>13.0</v>
      </c>
      <c r="E215" s="18">
        <f t="shared" si="1"/>
        <v>25550</v>
      </c>
      <c r="F215" s="9">
        <v>0.0</v>
      </c>
      <c r="G215" s="19">
        <v>13008.07</v>
      </c>
      <c r="H215" s="9" t="s">
        <v>4717</v>
      </c>
      <c r="I215" s="9" t="s">
        <v>4717</v>
      </c>
      <c r="J215" s="9" t="s">
        <v>4733</v>
      </c>
      <c r="K215" s="20">
        <f t="shared" si="2"/>
        <v>1969</v>
      </c>
      <c r="L215" s="9" t="str">
        <f t="shared" si="3"/>
        <v>tier - 3</v>
      </c>
      <c r="M215" s="9" t="str">
        <f t="shared" si="4"/>
        <v>tier - 3</v>
      </c>
      <c r="N215" s="9" t="str">
        <f t="shared" si="5"/>
        <v>R1012</v>
      </c>
      <c r="O215" s="17">
        <f t="shared" si="6"/>
        <v>53</v>
      </c>
      <c r="P215" s="18">
        <v>25550.0</v>
      </c>
    </row>
    <row r="216" ht="15.75" customHeight="1">
      <c r="A216" s="9" t="s">
        <v>1611</v>
      </c>
      <c r="B216" s="17">
        <v>1972.0</v>
      </c>
      <c r="C216" s="9" t="s">
        <v>4738</v>
      </c>
      <c r="D216" s="9">
        <v>27.0</v>
      </c>
      <c r="E216" s="18">
        <f t="shared" si="1"/>
        <v>26569</v>
      </c>
      <c r="F216" s="9">
        <v>0.0</v>
      </c>
      <c r="G216" s="19">
        <v>13010.86</v>
      </c>
      <c r="H216" s="9" t="s">
        <v>4717</v>
      </c>
      <c r="I216" s="9" t="s">
        <v>4723</v>
      </c>
      <c r="J216" s="9" t="s">
        <v>4733</v>
      </c>
      <c r="K216" s="20">
        <f t="shared" si="2"/>
        <v>1972</v>
      </c>
      <c r="L216" s="9" t="str">
        <f t="shared" si="3"/>
        <v>tier - 3</v>
      </c>
      <c r="M216" s="9" t="str">
        <f t="shared" si="4"/>
        <v>tier - 2</v>
      </c>
      <c r="N216" s="9" t="str">
        <f t="shared" si="5"/>
        <v>R1012</v>
      </c>
      <c r="O216" s="17">
        <f t="shared" si="6"/>
        <v>50</v>
      </c>
      <c r="P216" s="18">
        <v>26569.0</v>
      </c>
    </row>
    <row r="217" ht="15.75" customHeight="1">
      <c r="A217" s="9" t="s">
        <v>1609</v>
      </c>
      <c r="B217" s="17">
        <v>1962.0</v>
      </c>
      <c r="C217" s="9" t="s">
        <v>4741</v>
      </c>
      <c r="D217" s="9">
        <v>20.0</v>
      </c>
      <c r="E217" s="18">
        <f t="shared" si="1"/>
        <v>22847</v>
      </c>
      <c r="F217" s="9">
        <v>0.0</v>
      </c>
      <c r="G217" s="19">
        <v>13012.21</v>
      </c>
      <c r="H217" s="9" t="s">
        <v>4717</v>
      </c>
      <c r="I217" s="9" t="s">
        <v>4718</v>
      </c>
      <c r="J217" s="9" t="s">
        <v>4733</v>
      </c>
      <c r="K217" s="20">
        <f t="shared" si="2"/>
        <v>1962</v>
      </c>
      <c r="L217" s="9" t="str">
        <f t="shared" si="3"/>
        <v>tier - 3</v>
      </c>
      <c r="M217" s="9" t="str">
        <f t="shared" si="4"/>
        <v>tier - 1</v>
      </c>
      <c r="N217" s="9" t="str">
        <f t="shared" si="5"/>
        <v>R1012</v>
      </c>
      <c r="O217" s="17">
        <f t="shared" si="6"/>
        <v>60</v>
      </c>
      <c r="P217" s="18">
        <v>22847.0</v>
      </c>
    </row>
    <row r="218" ht="15.75" customHeight="1">
      <c r="A218" s="9" t="s">
        <v>1607</v>
      </c>
      <c r="B218" s="17">
        <v>1964.0</v>
      </c>
      <c r="C218" s="9" t="s">
        <v>4738</v>
      </c>
      <c r="D218" s="9">
        <v>23.0</v>
      </c>
      <c r="E218" s="18">
        <f t="shared" si="1"/>
        <v>23643</v>
      </c>
      <c r="F218" s="9">
        <v>1.0</v>
      </c>
      <c r="G218" s="19">
        <v>13019.16</v>
      </c>
      <c r="H218" s="9" t="s">
        <v>4717</v>
      </c>
      <c r="I218" s="9" t="s">
        <v>4718</v>
      </c>
      <c r="J218" s="9" t="s">
        <v>4731</v>
      </c>
      <c r="K218" s="20">
        <f t="shared" si="2"/>
        <v>1964</v>
      </c>
      <c r="L218" s="9" t="str">
        <f t="shared" si="3"/>
        <v>tier - 3</v>
      </c>
      <c r="M218" s="9" t="str">
        <f t="shared" si="4"/>
        <v>tier - 1</v>
      </c>
      <c r="N218" s="9" t="str">
        <f t="shared" si="5"/>
        <v>R1024</v>
      </c>
      <c r="O218" s="17">
        <f t="shared" si="6"/>
        <v>58</v>
      </c>
      <c r="P218" s="18">
        <v>23643.0</v>
      </c>
    </row>
    <row r="219" ht="15.75" customHeight="1">
      <c r="A219" s="9" t="s">
        <v>1605</v>
      </c>
      <c r="B219" s="17">
        <v>1965.0</v>
      </c>
      <c r="C219" s="9" t="s">
        <v>4735</v>
      </c>
      <c r="D219" s="9">
        <v>4.0</v>
      </c>
      <c r="E219" s="18">
        <f t="shared" si="1"/>
        <v>24050</v>
      </c>
      <c r="F219" s="9">
        <v>0.0</v>
      </c>
      <c r="G219" s="19">
        <v>13023.93</v>
      </c>
      <c r="H219" s="9" t="s">
        <v>4717</v>
      </c>
      <c r="I219" s="9" t="s">
        <v>4723</v>
      </c>
      <c r="J219" s="9" t="s">
        <v>4726</v>
      </c>
      <c r="K219" s="20">
        <f t="shared" si="2"/>
        <v>1965</v>
      </c>
      <c r="L219" s="9" t="str">
        <f t="shared" si="3"/>
        <v>tier - 3</v>
      </c>
      <c r="M219" s="9" t="str">
        <f t="shared" si="4"/>
        <v>tier - 2</v>
      </c>
      <c r="N219" s="9" t="str">
        <f t="shared" si="5"/>
        <v>R1025</v>
      </c>
      <c r="O219" s="17">
        <f t="shared" si="6"/>
        <v>57</v>
      </c>
      <c r="P219" s="18">
        <v>24050.0</v>
      </c>
    </row>
    <row r="220" ht="15.75" customHeight="1">
      <c r="A220" s="9" t="s">
        <v>1603</v>
      </c>
      <c r="B220" s="17">
        <v>1961.0</v>
      </c>
      <c r="C220" s="9" t="s">
        <v>4735</v>
      </c>
      <c r="D220" s="9">
        <v>9.0</v>
      </c>
      <c r="E220" s="18">
        <f t="shared" si="1"/>
        <v>22594</v>
      </c>
      <c r="F220" s="9">
        <v>0.0</v>
      </c>
      <c r="G220" s="19">
        <v>13041.92</v>
      </c>
      <c r="H220" s="9" t="s">
        <v>4717</v>
      </c>
      <c r="I220" s="9" t="s">
        <v>4718</v>
      </c>
      <c r="J220" s="9" t="s">
        <v>4719</v>
      </c>
      <c r="K220" s="20">
        <f t="shared" si="2"/>
        <v>1961</v>
      </c>
      <c r="L220" s="9" t="str">
        <f t="shared" si="3"/>
        <v>tier - 3</v>
      </c>
      <c r="M220" s="9" t="str">
        <f t="shared" si="4"/>
        <v>tier - 1</v>
      </c>
      <c r="N220" s="9" t="str">
        <f t="shared" si="5"/>
        <v>R1011</v>
      </c>
      <c r="O220" s="17">
        <f t="shared" si="6"/>
        <v>61</v>
      </c>
      <c r="P220" s="18">
        <v>22594.0</v>
      </c>
    </row>
    <row r="221" ht="15.75" customHeight="1">
      <c r="A221" s="9" t="s">
        <v>1601</v>
      </c>
      <c r="B221" s="17">
        <v>1969.0</v>
      </c>
      <c r="C221" s="9" t="s">
        <v>4738</v>
      </c>
      <c r="D221" s="9">
        <v>23.0</v>
      </c>
      <c r="E221" s="18">
        <f t="shared" si="1"/>
        <v>25469</v>
      </c>
      <c r="F221" s="9">
        <v>0.0</v>
      </c>
      <c r="G221" s="19">
        <v>13044.41</v>
      </c>
      <c r="H221" s="9" t="s">
        <v>4717</v>
      </c>
      <c r="I221" s="9" t="s">
        <v>4718</v>
      </c>
      <c r="J221" s="9" t="s">
        <v>4733</v>
      </c>
      <c r="K221" s="20">
        <f t="shared" si="2"/>
        <v>1969</v>
      </c>
      <c r="L221" s="9" t="str">
        <f t="shared" si="3"/>
        <v>tier - 3</v>
      </c>
      <c r="M221" s="9" t="str">
        <f t="shared" si="4"/>
        <v>tier - 1</v>
      </c>
      <c r="N221" s="9" t="str">
        <f t="shared" si="5"/>
        <v>R1012</v>
      </c>
      <c r="O221" s="17">
        <f t="shared" si="6"/>
        <v>53</v>
      </c>
      <c r="P221" s="18">
        <v>25469.0</v>
      </c>
    </row>
    <row r="222" ht="15.75" customHeight="1">
      <c r="A222" s="9" t="s">
        <v>161</v>
      </c>
      <c r="B222" s="17">
        <v>1971.0</v>
      </c>
      <c r="C222" s="9" t="s">
        <v>4720</v>
      </c>
      <c r="D222" s="9">
        <v>16.0</v>
      </c>
      <c r="E222" s="18">
        <f t="shared" si="1"/>
        <v>26222</v>
      </c>
      <c r="F222" s="9">
        <v>0.0</v>
      </c>
      <c r="G222" s="19">
        <v>41351.88</v>
      </c>
      <c r="H222" s="9" t="s">
        <v>4718</v>
      </c>
      <c r="I222" s="9" t="s">
        <v>4723</v>
      </c>
      <c r="J222" s="9" t="s">
        <v>4719</v>
      </c>
      <c r="K222" s="20">
        <f t="shared" si="2"/>
        <v>1971</v>
      </c>
      <c r="L222" s="9" t="str">
        <f t="shared" si="3"/>
        <v>tier - 1</v>
      </c>
      <c r="M222" s="9" t="str">
        <f t="shared" si="4"/>
        <v>tier - 2</v>
      </c>
      <c r="N222" s="9" t="str">
        <f t="shared" si="5"/>
        <v>R1011</v>
      </c>
      <c r="O222" s="17">
        <f t="shared" si="6"/>
        <v>51</v>
      </c>
      <c r="P222" s="18">
        <v>26222.0</v>
      </c>
    </row>
    <row r="223" ht="15.75" customHeight="1">
      <c r="A223" s="9" t="s">
        <v>17</v>
      </c>
      <c r="B223" s="17">
        <v>1958.0</v>
      </c>
      <c r="C223" s="9" t="s">
        <v>4730</v>
      </c>
      <c r="D223" s="9">
        <v>27.0</v>
      </c>
      <c r="E223" s="18">
        <f t="shared" si="1"/>
        <v>21363</v>
      </c>
      <c r="F223" s="9">
        <v>2.0</v>
      </c>
      <c r="G223" s="19">
        <v>49577.66</v>
      </c>
      <c r="H223" s="9" t="s">
        <v>4723</v>
      </c>
      <c r="I223" s="9" t="s">
        <v>4723</v>
      </c>
      <c r="J223" s="9" t="s">
        <v>4743</v>
      </c>
      <c r="K223" s="20">
        <f t="shared" si="2"/>
        <v>1958</v>
      </c>
      <c r="L223" s="9" t="str">
        <f t="shared" si="3"/>
        <v>tier - 2</v>
      </c>
      <c r="M223" s="9" t="str">
        <f t="shared" si="4"/>
        <v>tier - 2</v>
      </c>
      <c r="N223" s="9" t="str">
        <f t="shared" si="5"/>
        <v>R1013</v>
      </c>
      <c r="O223" s="17">
        <f t="shared" si="6"/>
        <v>64</v>
      </c>
      <c r="P223" s="18">
        <v>21363.0</v>
      </c>
    </row>
    <row r="224" ht="15.75" customHeight="1">
      <c r="A224" s="9" t="s">
        <v>1599</v>
      </c>
      <c r="B224" s="17">
        <v>1967.0</v>
      </c>
      <c r="C224" s="9" t="s">
        <v>4716</v>
      </c>
      <c r="D224" s="9">
        <v>6.0</v>
      </c>
      <c r="E224" s="18">
        <f t="shared" si="1"/>
        <v>24690</v>
      </c>
      <c r="F224" s="9">
        <v>3.0</v>
      </c>
      <c r="G224" s="19">
        <v>13047.33</v>
      </c>
      <c r="H224" s="9" t="s">
        <v>4717</v>
      </c>
      <c r="I224" s="9" t="s">
        <v>4717</v>
      </c>
      <c r="J224" s="9" t="s">
        <v>4731</v>
      </c>
      <c r="K224" s="20">
        <f t="shared" si="2"/>
        <v>1967</v>
      </c>
      <c r="L224" s="9" t="str">
        <f t="shared" si="3"/>
        <v>tier - 3</v>
      </c>
      <c r="M224" s="9" t="str">
        <f t="shared" si="4"/>
        <v>tier - 3</v>
      </c>
      <c r="N224" s="9" t="str">
        <f t="shared" si="5"/>
        <v>R1024</v>
      </c>
      <c r="O224" s="17">
        <f t="shared" si="6"/>
        <v>55</v>
      </c>
      <c r="P224" s="18">
        <v>24690.0</v>
      </c>
    </row>
    <row r="225" ht="15.75" customHeight="1">
      <c r="A225" s="9" t="s">
        <v>1597</v>
      </c>
      <c r="B225" s="17">
        <v>1985.0</v>
      </c>
      <c r="C225" s="9" t="s">
        <v>4720</v>
      </c>
      <c r="D225" s="9">
        <v>26.0</v>
      </c>
      <c r="E225" s="18">
        <f t="shared" si="1"/>
        <v>31346</v>
      </c>
      <c r="F225" s="9">
        <v>3.0</v>
      </c>
      <c r="G225" s="19">
        <v>13051.22</v>
      </c>
      <c r="H225" s="9" t="s">
        <v>4717</v>
      </c>
      <c r="I225" s="9" t="s">
        <v>4718</v>
      </c>
      <c r="J225" s="9" t="s">
        <v>4721</v>
      </c>
      <c r="K225" s="20">
        <f t="shared" si="2"/>
        <v>1985</v>
      </c>
      <c r="L225" s="9" t="str">
        <f t="shared" si="3"/>
        <v>tier - 3</v>
      </c>
      <c r="M225" s="9" t="str">
        <f t="shared" si="4"/>
        <v>tier - 1</v>
      </c>
      <c r="N225" s="9" t="str">
        <f t="shared" si="5"/>
        <v>R1026</v>
      </c>
      <c r="O225" s="17">
        <f t="shared" si="6"/>
        <v>37</v>
      </c>
      <c r="P225" s="18">
        <v>31346.0</v>
      </c>
    </row>
    <row r="226" ht="15.75" customHeight="1">
      <c r="A226" s="9" t="s">
        <v>1595</v>
      </c>
      <c r="B226" s="17">
        <v>1961.0</v>
      </c>
      <c r="C226" s="9" t="s">
        <v>4735</v>
      </c>
      <c r="D226" s="9">
        <v>6.0</v>
      </c>
      <c r="E226" s="18">
        <f t="shared" si="1"/>
        <v>22591</v>
      </c>
      <c r="F226" s="9">
        <v>0.0</v>
      </c>
      <c r="G226" s="19">
        <v>13063.88</v>
      </c>
      <c r="H226" s="9" t="s">
        <v>4717</v>
      </c>
      <c r="I226" s="9" t="s">
        <v>4723</v>
      </c>
      <c r="J226" s="9" t="s">
        <v>4719</v>
      </c>
      <c r="K226" s="20">
        <f t="shared" si="2"/>
        <v>1961</v>
      </c>
      <c r="L226" s="9" t="str">
        <f t="shared" si="3"/>
        <v>tier - 3</v>
      </c>
      <c r="M226" s="9" t="str">
        <f t="shared" si="4"/>
        <v>tier - 2</v>
      </c>
      <c r="N226" s="9" t="str">
        <f t="shared" si="5"/>
        <v>R1011</v>
      </c>
      <c r="O226" s="17">
        <f t="shared" si="6"/>
        <v>61</v>
      </c>
      <c r="P226" s="18">
        <v>22591.0</v>
      </c>
    </row>
    <row r="227" ht="15.75" customHeight="1">
      <c r="A227" s="9" t="s">
        <v>1593</v>
      </c>
      <c r="B227" s="17">
        <v>1978.0</v>
      </c>
      <c r="C227" s="9" t="s">
        <v>4741</v>
      </c>
      <c r="D227" s="9">
        <v>17.0</v>
      </c>
      <c r="E227" s="18">
        <f t="shared" si="1"/>
        <v>28688</v>
      </c>
      <c r="F227" s="9">
        <v>2.0</v>
      </c>
      <c r="G227" s="19">
        <v>13101.74</v>
      </c>
      <c r="H227" s="9" t="s">
        <v>4717</v>
      </c>
      <c r="I227" s="9" t="s">
        <v>4723</v>
      </c>
      <c r="J227" s="9" t="s">
        <v>4721</v>
      </c>
      <c r="K227" s="20">
        <f t="shared" si="2"/>
        <v>1978</v>
      </c>
      <c r="L227" s="9" t="str">
        <f t="shared" si="3"/>
        <v>tier - 3</v>
      </c>
      <c r="M227" s="9" t="str">
        <f t="shared" si="4"/>
        <v>tier - 2</v>
      </c>
      <c r="N227" s="9" t="str">
        <f t="shared" si="5"/>
        <v>R1026</v>
      </c>
      <c r="O227" s="17">
        <f t="shared" si="6"/>
        <v>44</v>
      </c>
      <c r="P227" s="18">
        <v>28688.0</v>
      </c>
    </row>
    <row r="228" ht="15.75" customHeight="1">
      <c r="A228" s="9" t="s">
        <v>1591</v>
      </c>
      <c r="B228" s="17">
        <v>1971.0</v>
      </c>
      <c r="C228" s="9" t="s">
        <v>4720</v>
      </c>
      <c r="D228" s="9">
        <v>30.0</v>
      </c>
      <c r="E228" s="18">
        <f t="shared" si="1"/>
        <v>26236</v>
      </c>
      <c r="F228" s="9">
        <v>0.0</v>
      </c>
      <c r="G228" s="19">
        <v>13110.79</v>
      </c>
      <c r="H228" s="9" t="s">
        <v>4717</v>
      </c>
      <c r="I228" s="9" t="s">
        <v>4723</v>
      </c>
      <c r="J228" s="9" t="s">
        <v>4719</v>
      </c>
      <c r="K228" s="20">
        <f t="shared" si="2"/>
        <v>1971</v>
      </c>
      <c r="L228" s="9" t="str">
        <f t="shared" si="3"/>
        <v>tier - 3</v>
      </c>
      <c r="M228" s="9" t="str">
        <f t="shared" si="4"/>
        <v>tier - 2</v>
      </c>
      <c r="N228" s="9" t="str">
        <f t="shared" si="5"/>
        <v>R1011</v>
      </c>
      <c r="O228" s="17">
        <f t="shared" si="6"/>
        <v>51</v>
      </c>
      <c r="P228" s="18">
        <v>26236.0</v>
      </c>
    </row>
    <row r="229" ht="15.75" customHeight="1">
      <c r="A229" s="9" t="s">
        <v>1589</v>
      </c>
      <c r="B229" s="17">
        <v>1962.0</v>
      </c>
      <c r="C229" s="9" t="s">
        <v>4716</v>
      </c>
      <c r="D229" s="9">
        <v>2.0</v>
      </c>
      <c r="E229" s="18">
        <f t="shared" si="1"/>
        <v>22860</v>
      </c>
      <c r="F229" s="9">
        <v>1.0</v>
      </c>
      <c r="G229" s="19">
        <v>13112.6</v>
      </c>
      <c r="H229" s="9" t="s">
        <v>4717</v>
      </c>
      <c r="I229" s="9" t="s">
        <v>4717</v>
      </c>
      <c r="J229" s="9" t="s">
        <v>4733</v>
      </c>
      <c r="K229" s="20">
        <f t="shared" si="2"/>
        <v>1962</v>
      </c>
      <c r="L229" s="9" t="str">
        <f t="shared" si="3"/>
        <v>tier - 3</v>
      </c>
      <c r="M229" s="9" t="str">
        <f t="shared" si="4"/>
        <v>tier - 3</v>
      </c>
      <c r="N229" s="9" t="str">
        <f t="shared" si="5"/>
        <v>R1012</v>
      </c>
      <c r="O229" s="17">
        <f t="shared" si="6"/>
        <v>60</v>
      </c>
      <c r="P229" s="18">
        <v>22860.0</v>
      </c>
    </row>
    <row r="230" ht="15.75" customHeight="1">
      <c r="A230" s="9" t="s">
        <v>1587</v>
      </c>
      <c r="B230" s="17">
        <v>1992.0</v>
      </c>
      <c r="C230" s="9" t="s">
        <v>4716</v>
      </c>
      <c r="D230" s="9">
        <v>12.0</v>
      </c>
      <c r="E230" s="18">
        <f t="shared" si="1"/>
        <v>33828</v>
      </c>
      <c r="F230" s="9">
        <v>0.0</v>
      </c>
      <c r="G230" s="19">
        <v>13113.51</v>
      </c>
      <c r="H230" s="9" t="s">
        <v>4717</v>
      </c>
      <c r="I230" s="9" t="s">
        <v>4723</v>
      </c>
      <c r="J230" s="9" t="s">
        <v>4721</v>
      </c>
      <c r="K230" s="20">
        <f t="shared" si="2"/>
        <v>1992</v>
      </c>
      <c r="L230" s="9" t="str">
        <f t="shared" si="3"/>
        <v>tier - 3</v>
      </c>
      <c r="M230" s="9" t="str">
        <f t="shared" si="4"/>
        <v>tier - 2</v>
      </c>
      <c r="N230" s="9" t="str">
        <f t="shared" si="5"/>
        <v>R1026</v>
      </c>
      <c r="O230" s="17">
        <f t="shared" si="6"/>
        <v>30</v>
      </c>
      <c r="P230" s="18">
        <v>33828.0</v>
      </c>
    </row>
    <row r="231" ht="15.75" customHeight="1">
      <c r="A231" s="9" t="s">
        <v>1585</v>
      </c>
      <c r="B231" s="17">
        <v>1963.0</v>
      </c>
      <c r="C231" s="9" t="s">
        <v>4738</v>
      </c>
      <c r="D231" s="9">
        <v>14.0</v>
      </c>
      <c r="E231" s="18">
        <f t="shared" si="1"/>
        <v>23268</v>
      </c>
      <c r="F231" s="9">
        <v>0.0</v>
      </c>
      <c r="G231" s="19">
        <v>13116.84</v>
      </c>
      <c r="H231" s="9" t="s">
        <v>4717</v>
      </c>
      <c r="I231" s="9" t="s">
        <v>4718</v>
      </c>
      <c r="J231" s="9" t="s">
        <v>4733</v>
      </c>
      <c r="K231" s="20">
        <f t="shared" si="2"/>
        <v>1963</v>
      </c>
      <c r="L231" s="9" t="str">
        <f t="shared" si="3"/>
        <v>tier - 3</v>
      </c>
      <c r="M231" s="9" t="str">
        <f t="shared" si="4"/>
        <v>tier - 1</v>
      </c>
      <c r="N231" s="9" t="str">
        <f t="shared" si="5"/>
        <v>R1012</v>
      </c>
      <c r="O231" s="17">
        <f t="shared" si="6"/>
        <v>59</v>
      </c>
      <c r="P231" s="18">
        <v>23268.0</v>
      </c>
    </row>
    <row r="232" ht="15.75" customHeight="1">
      <c r="A232" s="9" t="s">
        <v>1583</v>
      </c>
      <c r="B232" s="17">
        <v>1999.0</v>
      </c>
      <c r="C232" s="9" t="s">
        <v>4716</v>
      </c>
      <c r="D232" s="9">
        <v>16.0</v>
      </c>
      <c r="E232" s="18">
        <f t="shared" si="1"/>
        <v>36388</v>
      </c>
      <c r="F232" s="9">
        <v>0.0</v>
      </c>
      <c r="G232" s="19">
        <v>13126.68</v>
      </c>
      <c r="H232" s="9" t="s">
        <v>4717</v>
      </c>
      <c r="I232" s="9" t="s">
        <v>4717</v>
      </c>
      <c r="J232" s="9" t="s">
        <v>4719</v>
      </c>
      <c r="K232" s="20">
        <f t="shared" si="2"/>
        <v>1999</v>
      </c>
      <c r="L232" s="9" t="str">
        <f t="shared" si="3"/>
        <v>tier - 3</v>
      </c>
      <c r="M232" s="9" t="str">
        <f t="shared" si="4"/>
        <v>tier - 3</v>
      </c>
      <c r="N232" s="9" t="str">
        <f t="shared" si="5"/>
        <v>R1011</v>
      </c>
      <c r="O232" s="17">
        <f t="shared" si="6"/>
        <v>23</v>
      </c>
      <c r="P232" s="18">
        <v>36388.0</v>
      </c>
    </row>
    <row r="233" ht="15.75" customHeight="1">
      <c r="A233" s="9" t="s">
        <v>1581</v>
      </c>
      <c r="B233" s="17">
        <v>1961.0</v>
      </c>
      <c r="C233" s="9" t="s">
        <v>4738</v>
      </c>
      <c r="D233" s="9">
        <v>7.0</v>
      </c>
      <c r="E233" s="18">
        <f t="shared" si="1"/>
        <v>22531</v>
      </c>
      <c r="F233" s="9">
        <v>0.0</v>
      </c>
      <c r="G233" s="19">
        <v>13129.6</v>
      </c>
      <c r="H233" s="9" t="s">
        <v>4717</v>
      </c>
      <c r="I233" s="9" t="s">
        <v>4723</v>
      </c>
      <c r="J233" s="9" t="s">
        <v>4753</v>
      </c>
      <c r="K233" s="20">
        <f t="shared" si="2"/>
        <v>1961</v>
      </c>
      <c r="L233" s="9" t="str">
        <f t="shared" si="3"/>
        <v>tier - 3</v>
      </c>
      <c r="M233" s="9" t="str">
        <f t="shared" si="4"/>
        <v>tier - 2</v>
      </c>
      <c r="N233" s="9" t="str">
        <f t="shared" si="5"/>
        <v>R1017</v>
      </c>
      <c r="O233" s="17">
        <f t="shared" si="6"/>
        <v>61</v>
      </c>
      <c r="P233" s="18">
        <v>22531.0</v>
      </c>
    </row>
    <row r="234" ht="15.75" customHeight="1">
      <c r="A234" s="9" t="s">
        <v>159</v>
      </c>
      <c r="B234" s="17">
        <v>1967.0</v>
      </c>
      <c r="C234" s="9" t="s">
        <v>4725</v>
      </c>
      <c r="D234" s="9">
        <v>22.0</v>
      </c>
      <c r="E234" s="18">
        <f t="shared" si="1"/>
        <v>24828</v>
      </c>
      <c r="F234" s="9">
        <v>0.0</v>
      </c>
      <c r="G234" s="19">
        <v>41505.15</v>
      </c>
      <c r="H234" s="9" t="s">
        <v>4718</v>
      </c>
      <c r="I234" s="9" t="s">
        <v>4723</v>
      </c>
      <c r="J234" s="9" t="s">
        <v>4719</v>
      </c>
      <c r="K234" s="20">
        <f t="shared" si="2"/>
        <v>1967</v>
      </c>
      <c r="L234" s="9" t="str">
        <f t="shared" si="3"/>
        <v>tier - 1</v>
      </c>
      <c r="M234" s="9" t="str">
        <f t="shared" si="4"/>
        <v>tier - 2</v>
      </c>
      <c r="N234" s="9" t="str">
        <f t="shared" si="5"/>
        <v>R1011</v>
      </c>
      <c r="O234" s="17">
        <f t="shared" si="6"/>
        <v>55</v>
      </c>
      <c r="P234" s="18">
        <v>24828.0</v>
      </c>
    </row>
    <row r="235" ht="15.75" customHeight="1">
      <c r="A235" s="9" t="s">
        <v>1579</v>
      </c>
      <c r="B235" s="17">
        <v>1961.0</v>
      </c>
      <c r="C235" s="9" t="s">
        <v>4725</v>
      </c>
      <c r="D235" s="9">
        <v>6.0</v>
      </c>
      <c r="E235" s="18">
        <f t="shared" si="1"/>
        <v>22621</v>
      </c>
      <c r="F235" s="9">
        <v>0.0</v>
      </c>
      <c r="G235" s="19">
        <v>13143.34</v>
      </c>
      <c r="H235" s="9" t="s">
        <v>4717</v>
      </c>
      <c r="I235" s="9" t="s">
        <v>4723</v>
      </c>
      <c r="J235" s="9" t="s">
        <v>4755</v>
      </c>
      <c r="K235" s="20">
        <f t="shared" si="2"/>
        <v>1961</v>
      </c>
      <c r="L235" s="9" t="str">
        <f t="shared" si="3"/>
        <v>tier - 3</v>
      </c>
      <c r="M235" s="9" t="str">
        <f t="shared" si="4"/>
        <v>tier - 2</v>
      </c>
      <c r="N235" s="9" t="str">
        <f t="shared" si="5"/>
        <v>R1020</v>
      </c>
      <c r="O235" s="17">
        <f t="shared" si="6"/>
        <v>61</v>
      </c>
      <c r="P235" s="18">
        <v>22621.0</v>
      </c>
    </row>
    <row r="236" ht="15.75" customHeight="1">
      <c r="A236" s="9" t="s">
        <v>1577</v>
      </c>
      <c r="B236" s="17">
        <v>1961.0</v>
      </c>
      <c r="C236" s="9" t="s">
        <v>4725</v>
      </c>
      <c r="D236" s="9">
        <v>6.0</v>
      </c>
      <c r="E236" s="18">
        <f t="shared" si="1"/>
        <v>22621</v>
      </c>
      <c r="F236" s="9">
        <v>0.0</v>
      </c>
      <c r="G236" s="19">
        <v>13143.86</v>
      </c>
      <c r="H236" s="9" t="s">
        <v>4717</v>
      </c>
      <c r="I236" s="9" t="s">
        <v>4723</v>
      </c>
      <c r="J236" s="9" t="s">
        <v>4754</v>
      </c>
      <c r="K236" s="20">
        <f t="shared" si="2"/>
        <v>1961</v>
      </c>
      <c r="L236" s="9" t="str">
        <f t="shared" si="3"/>
        <v>tier - 3</v>
      </c>
      <c r="M236" s="9" t="str">
        <f t="shared" si="4"/>
        <v>tier - 2</v>
      </c>
      <c r="N236" s="9" t="str">
        <f t="shared" si="5"/>
        <v>R1016</v>
      </c>
      <c r="O236" s="17">
        <f t="shared" si="6"/>
        <v>61</v>
      </c>
      <c r="P236" s="18">
        <v>22621.0</v>
      </c>
    </row>
    <row r="237" ht="15.75" customHeight="1">
      <c r="A237" s="9" t="s">
        <v>1575</v>
      </c>
      <c r="B237" s="17">
        <v>1962.0</v>
      </c>
      <c r="C237" s="9" t="s">
        <v>4716</v>
      </c>
      <c r="D237" s="9">
        <v>5.0</v>
      </c>
      <c r="E237" s="18">
        <f t="shared" si="1"/>
        <v>22863</v>
      </c>
      <c r="F237" s="9">
        <v>0.0</v>
      </c>
      <c r="G237" s="19">
        <v>13204.29</v>
      </c>
      <c r="H237" s="9" t="s">
        <v>4717</v>
      </c>
      <c r="I237" s="9" t="s">
        <v>4718</v>
      </c>
      <c r="J237" s="9" t="s">
        <v>4731</v>
      </c>
      <c r="K237" s="20">
        <f t="shared" si="2"/>
        <v>1962</v>
      </c>
      <c r="L237" s="9" t="str">
        <f t="shared" si="3"/>
        <v>tier - 3</v>
      </c>
      <c r="M237" s="9" t="str">
        <f t="shared" si="4"/>
        <v>tier - 1</v>
      </c>
      <c r="N237" s="9" t="str">
        <f t="shared" si="5"/>
        <v>R1024</v>
      </c>
      <c r="O237" s="17">
        <f t="shared" si="6"/>
        <v>60</v>
      </c>
      <c r="P237" s="18">
        <v>22863.0</v>
      </c>
    </row>
    <row r="238" ht="15.75" customHeight="1">
      <c r="A238" s="9" t="s">
        <v>1573</v>
      </c>
      <c r="B238" s="17">
        <v>1982.0</v>
      </c>
      <c r="C238" s="9" t="s">
        <v>4720</v>
      </c>
      <c r="D238" s="9">
        <v>15.0</v>
      </c>
      <c r="E238" s="18">
        <f t="shared" si="1"/>
        <v>30239</v>
      </c>
      <c r="F238" s="9">
        <v>3.0</v>
      </c>
      <c r="G238" s="19">
        <v>13214.43</v>
      </c>
      <c r="H238" s="9" t="s">
        <v>4717</v>
      </c>
      <c r="I238" s="9" t="s">
        <v>4723</v>
      </c>
      <c r="J238" s="9" t="s">
        <v>4733</v>
      </c>
      <c r="K238" s="20">
        <f t="shared" si="2"/>
        <v>1982</v>
      </c>
      <c r="L238" s="9" t="str">
        <f t="shared" si="3"/>
        <v>tier - 3</v>
      </c>
      <c r="M238" s="9" t="str">
        <f t="shared" si="4"/>
        <v>tier - 2</v>
      </c>
      <c r="N238" s="9" t="str">
        <f t="shared" si="5"/>
        <v>R1012</v>
      </c>
      <c r="O238" s="17">
        <f t="shared" si="6"/>
        <v>40</v>
      </c>
      <c r="P238" s="18">
        <v>30239.0</v>
      </c>
    </row>
    <row r="239" ht="15.75" customHeight="1">
      <c r="A239" s="9" t="s">
        <v>1571</v>
      </c>
      <c r="B239" s="17">
        <v>1962.0</v>
      </c>
      <c r="C239" s="9" t="s">
        <v>4725</v>
      </c>
      <c r="D239" s="9">
        <v>7.0</v>
      </c>
      <c r="E239" s="18">
        <f t="shared" si="1"/>
        <v>22987</v>
      </c>
      <c r="F239" s="9">
        <v>0.0</v>
      </c>
      <c r="G239" s="19">
        <v>13217.09</v>
      </c>
      <c r="H239" s="9" t="s">
        <v>4717</v>
      </c>
      <c r="I239" s="9" t="s">
        <v>4718</v>
      </c>
      <c r="J239" s="9" t="s">
        <v>4731</v>
      </c>
      <c r="K239" s="20">
        <f t="shared" si="2"/>
        <v>1962</v>
      </c>
      <c r="L239" s="9" t="str">
        <f t="shared" si="3"/>
        <v>tier - 3</v>
      </c>
      <c r="M239" s="9" t="str">
        <f t="shared" si="4"/>
        <v>tier - 1</v>
      </c>
      <c r="N239" s="9" t="str">
        <f t="shared" si="5"/>
        <v>R1024</v>
      </c>
      <c r="O239" s="17">
        <f t="shared" si="6"/>
        <v>60</v>
      </c>
      <c r="P239" s="18">
        <v>22987.0</v>
      </c>
    </row>
    <row r="240" ht="15.75" customHeight="1">
      <c r="A240" s="9" t="s">
        <v>1569</v>
      </c>
      <c r="B240" s="17">
        <v>1965.0</v>
      </c>
      <c r="C240" s="9" t="s">
        <v>4735</v>
      </c>
      <c r="D240" s="9">
        <v>13.0</v>
      </c>
      <c r="E240" s="18">
        <f t="shared" si="1"/>
        <v>24059</v>
      </c>
      <c r="F240" s="9">
        <v>2.0</v>
      </c>
      <c r="G240" s="19">
        <v>13224.06</v>
      </c>
      <c r="H240" s="9" t="s">
        <v>4717</v>
      </c>
      <c r="I240" s="9" t="s">
        <v>4717</v>
      </c>
      <c r="J240" s="9" t="s">
        <v>4731</v>
      </c>
      <c r="K240" s="20">
        <f t="shared" si="2"/>
        <v>1965</v>
      </c>
      <c r="L240" s="9" t="str">
        <f t="shared" si="3"/>
        <v>tier - 3</v>
      </c>
      <c r="M240" s="9" t="str">
        <f t="shared" si="4"/>
        <v>tier - 3</v>
      </c>
      <c r="N240" s="9" t="str">
        <f t="shared" si="5"/>
        <v>R1024</v>
      </c>
      <c r="O240" s="17">
        <f t="shared" si="6"/>
        <v>57</v>
      </c>
      <c r="P240" s="18">
        <v>24059.0</v>
      </c>
    </row>
    <row r="241" ht="15.75" customHeight="1">
      <c r="A241" s="9" t="s">
        <v>1567</v>
      </c>
      <c r="B241" s="17">
        <v>1962.0</v>
      </c>
      <c r="C241" s="9" t="s">
        <v>4735</v>
      </c>
      <c r="D241" s="9">
        <v>24.0</v>
      </c>
      <c r="E241" s="18">
        <f t="shared" si="1"/>
        <v>22974</v>
      </c>
      <c r="F241" s="9">
        <v>1.0</v>
      </c>
      <c r="G241" s="19">
        <v>13224.69</v>
      </c>
      <c r="H241" s="9" t="s">
        <v>4717</v>
      </c>
      <c r="I241" s="9" t="s">
        <v>4723</v>
      </c>
      <c r="J241" s="9" t="s">
        <v>4719</v>
      </c>
      <c r="K241" s="20">
        <f t="shared" si="2"/>
        <v>1962</v>
      </c>
      <c r="L241" s="9" t="str">
        <f t="shared" si="3"/>
        <v>tier - 3</v>
      </c>
      <c r="M241" s="9" t="str">
        <f t="shared" si="4"/>
        <v>tier - 2</v>
      </c>
      <c r="N241" s="9" t="str">
        <f t="shared" si="5"/>
        <v>R1011</v>
      </c>
      <c r="O241" s="17">
        <f t="shared" si="6"/>
        <v>60</v>
      </c>
      <c r="P241" s="18">
        <v>22974.0</v>
      </c>
    </row>
    <row r="242" ht="15.75" customHeight="1">
      <c r="A242" s="9" t="s">
        <v>1565</v>
      </c>
      <c r="B242" s="17">
        <v>1962.0</v>
      </c>
      <c r="C242" s="9" t="s">
        <v>4720</v>
      </c>
      <c r="D242" s="9">
        <v>11.0</v>
      </c>
      <c r="E242" s="18">
        <f t="shared" si="1"/>
        <v>22930</v>
      </c>
      <c r="F242" s="9">
        <v>0.0</v>
      </c>
      <c r="G242" s="19">
        <v>13228.85</v>
      </c>
      <c r="H242" s="9" t="s">
        <v>4717</v>
      </c>
      <c r="I242" s="9" t="s">
        <v>4717</v>
      </c>
      <c r="J242" s="9" t="s">
        <v>4756</v>
      </c>
      <c r="K242" s="20">
        <f t="shared" si="2"/>
        <v>1962</v>
      </c>
      <c r="L242" s="9" t="str">
        <f t="shared" si="3"/>
        <v>tier - 3</v>
      </c>
      <c r="M242" s="9" t="str">
        <f t="shared" si="4"/>
        <v>tier - 3</v>
      </c>
      <c r="N242" s="9" t="str">
        <f t="shared" si="5"/>
        <v>R1023</v>
      </c>
      <c r="O242" s="17">
        <f t="shared" si="6"/>
        <v>60</v>
      </c>
      <c r="P242" s="18">
        <v>22930.0</v>
      </c>
    </row>
    <row r="243" ht="15.75" customHeight="1">
      <c r="A243" s="9" t="s">
        <v>1563</v>
      </c>
      <c r="B243" s="17">
        <v>1994.0</v>
      </c>
      <c r="C243" s="9" t="s">
        <v>4741</v>
      </c>
      <c r="D243" s="9">
        <v>1.0</v>
      </c>
      <c r="E243" s="18">
        <f t="shared" si="1"/>
        <v>34516</v>
      </c>
      <c r="F243" s="9">
        <v>0.0</v>
      </c>
      <c r="G243" s="19">
        <v>13292.52</v>
      </c>
      <c r="H243" s="9" t="s">
        <v>4717</v>
      </c>
      <c r="I243" s="9" t="s">
        <v>4717</v>
      </c>
      <c r="J243" s="9" t="s">
        <v>4733</v>
      </c>
      <c r="K243" s="20">
        <f t="shared" si="2"/>
        <v>1994</v>
      </c>
      <c r="L243" s="9" t="str">
        <f t="shared" si="3"/>
        <v>tier - 3</v>
      </c>
      <c r="M243" s="9" t="str">
        <f t="shared" si="4"/>
        <v>tier - 3</v>
      </c>
      <c r="N243" s="9" t="str">
        <f t="shared" si="5"/>
        <v>R1012</v>
      </c>
      <c r="O243" s="17">
        <f t="shared" si="6"/>
        <v>28</v>
      </c>
      <c r="P243" s="18">
        <v>34516.0</v>
      </c>
    </row>
    <row r="244" ht="15.75" customHeight="1">
      <c r="A244" s="9" t="s">
        <v>1561</v>
      </c>
      <c r="B244" s="17">
        <v>1976.0</v>
      </c>
      <c r="C244" s="9" t="s">
        <v>4716</v>
      </c>
      <c r="D244" s="9">
        <v>23.0</v>
      </c>
      <c r="E244" s="18">
        <f t="shared" si="1"/>
        <v>27995</v>
      </c>
      <c r="F244" s="9">
        <v>2.0</v>
      </c>
      <c r="G244" s="19">
        <v>13333.71</v>
      </c>
      <c r="H244" s="9" t="s">
        <v>4717</v>
      </c>
      <c r="I244" s="9" t="s">
        <v>4723</v>
      </c>
      <c r="J244" s="9" t="s">
        <v>4733</v>
      </c>
      <c r="K244" s="20">
        <f t="shared" si="2"/>
        <v>1976</v>
      </c>
      <c r="L244" s="9" t="str">
        <f t="shared" si="3"/>
        <v>tier - 3</v>
      </c>
      <c r="M244" s="9" t="str">
        <f t="shared" si="4"/>
        <v>tier - 2</v>
      </c>
      <c r="N244" s="9" t="str">
        <f t="shared" si="5"/>
        <v>R1012</v>
      </c>
      <c r="O244" s="17">
        <f t="shared" si="6"/>
        <v>46</v>
      </c>
      <c r="P244" s="18">
        <v>27995.0</v>
      </c>
    </row>
    <row r="245" ht="15.75" customHeight="1">
      <c r="A245" s="9" t="s">
        <v>157</v>
      </c>
      <c r="B245" s="17">
        <v>1974.0</v>
      </c>
      <c r="C245" s="9" t="s">
        <v>4735</v>
      </c>
      <c r="D245" s="9">
        <v>24.0</v>
      </c>
      <c r="E245" s="18">
        <f t="shared" si="1"/>
        <v>27357</v>
      </c>
      <c r="F245" s="9">
        <v>0.0</v>
      </c>
      <c r="G245" s="19">
        <v>41636.2</v>
      </c>
      <c r="H245" s="9" t="s">
        <v>4718</v>
      </c>
      <c r="I245" s="9" t="s">
        <v>4718</v>
      </c>
      <c r="J245" s="9" t="s">
        <v>4719</v>
      </c>
      <c r="K245" s="20">
        <f t="shared" si="2"/>
        <v>1974</v>
      </c>
      <c r="L245" s="9" t="str">
        <f t="shared" si="3"/>
        <v>tier - 1</v>
      </c>
      <c r="M245" s="9" t="str">
        <f t="shared" si="4"/>
        <v>tier - 1</v>
      </c>
      <c r="N245" s="9" t="str">
        <f t="shared" si="5"/>
        <v>R1011</v>
      </c>
      <c r="O245" s="17">
        <f t="shared" si="6"/>
        <v>48</v>
      </c>
      <c r="P245" s="18">
        <v>27357.0</v>
      </c>
    </row>
    <row r="246" ht="15.75" customHeight="1">
      <c r="A246" s="9" t="s">
        <v>1559</v>
      </c>
      <c r="B246" s="17">
        <v>1960.0</v>
      </c>
      <c r="C246" s="9" t="s">
        <v>4735</v>
      </c>
      <c r="D246" s="9">
        <v>11.0</v>
      </c>
      <c r="E246" s="18">
        <f t="shared" si="1"/>
        <v>22231</v>
      </c>
      <c r="F246" s="9">
        <v>0.0</v>
      </c>
      <c r="G246" s="19">
        <v>13352.1</v>
      </c>
      <c r="H246" s="9" t="s">
        <v>4717</v>
      </c>
      <c r="I246" s="9" t="s">
        <v>4718</v>
      </c>
      <c r="J246" s="9" t="s">
        <v>4733</v>
      </c>
      <c r="K246" s="20">
        <f t="shared" si="2"/>
        <v>1960</v>
      </c>
      <c r="L246" s="9" t="str">
        <f t="shared" si="3"/>
        <v>tier - 3</v>
      </c>
      <c r="M246" s="9" t="str">
        <f t="shared" si="4"/>
        <v>tier - 1</v>
      </c>
      <c r="N246" s="9" t="str">
        <f t="shared" si="5"/>
        <v>R1012</v>
      </c>
      <c r="O246" s="17">
        <f t="shared" si="6"/>
        <v>62</v>
      </c>
      <c r="P246" s="18">
        <v>22231.0</v>
      </c>
    </row>
    <row r="247" ht="15.75" customHeight="1">
      <c r="A247" s="9" t="s">
        <v>1557</v>
      </c>
      <c r="B247" s="17">
        <v>1990.0</v>
      </c>
      <c r="C247" s="9" t="s">
        <v>4720</v>
      </c>
      <c r="D247" s="9">
        <v>2.0</v>
      </c>
      <c r="E247" s="18">
        <f t="shared" si="1"/>
        <v>33148</v>
      </c>
      <c r="F247" s="9">
        <v>3.0</v>
      </c>
      <c r="G247" s="19">
        <v>13360.94</v>
      </c>
      <c r="H247" s="9" t="s">
        <v>4717</v>
      </c>
      <c r="I247" s="9" t="s">
        <v>4718</v>
      </c>
      <c r="J247" s="9" t="s">
        <v>4733</v>
      </c>
      <c r="K247" s="20">
        <f t="shared" si="2"/>
        <v>1990</v>
      </c>
      <c r="L247" s="9" t="str">
        <f t="shared" si="3"/>
        <v>tier - 3</v>
      </c>
      <c r="M247" s="9" t="str">
        <f t="shared" si="4"/>
        <v>tier - 1</v>
      </c>
      <c r="N247" s="9" t="str">
        <f t="shared" si="5"/>
        <v>R1012</v>
      </c>
      <c r="O247" s="17">
        <f t="shared" si="6"/>
        <v>32</v>
      </c>
      <c r="P247" s="18">
        <v>33148.0</v>
      </c>
    </row>
    <row r="248" ht="15.75" customHeight="1">
      <c r="A248" s="9" t="s">
        <v>1555</v>
      </c>
      <c r="B248" s="17">
        <v>1964.0</v>
      </c>
      <c r="C248" s="9" t="s">
        <v>4738</v>
      </c>
      <c r="D248" s="9">
        <v>24.0</v>
      </c>
      <c r="E248" s="18">
        <f t="shared" si="1"/>
        <v>23644</v>
      </c>
      <c r="F248" s="9">
        <v>0.0</v>
      </c>
      <c r="G248" s="19">
        <v>13375.76</v>
      </c>
      <c r="H248" s="9" t="s">
        <v>4717</v>
      </c>
      <c r="I248" s="9" t="s">
        <v>4723</v>
      </c>
      <c r="J248" s="9" t="s">
        <v>4726</v>
      </c>
      <c r="K248" s="20">
        <f t="shared" si="2"/>
        <v>1964</v>
      </c>
      <c r="L248" s="9" t="str">
        <f t="shared" si="3"/>
        <v>tier - 3</v>
      </c>
      <c r="M248" s="9" t="str">
        <f t="shared" si="4"/>
        <v>tier - 2</v>
      </c>
      <c r="N248" s="9" t="str">
        <f t="shared" si="5"/>
        <v>R1025</v>
      </c>
      <c r="O248" s="17">
        <f t="shared" si="6"/>
        <v>58</v>
      </c>
      <c r="P248" s="18">
        <v>23644.0</v>
      </c>
    </row>
    <row r="249" ht="15.75" customHeight="1">
      <c r="A249" s="9" t="s">
        <v>1553</v>
      </c>
      <c r="B249" s="17">
        <v>1979.0</v>
      </c>
      <c r="C249" s="9" t="s">
        <v>4738</v>
      </c>
      <c r="D249" s="9">
        <v>30.0</v>
      </c>
      <c r="E249" s="18">
        <f t="shared" si="1"/>
        <v>29128</v>
      </c>
      <c r="F249" s="9">
        <v>2.0</v>
      </c>
      <c r="G249" s="19">
        <v>13377.41</v>
      </c>
      <c r="H249" s="9" t="s">
        <v>4717</v>
      </c>
      <c r="I249" s="9" t="s">
        <v>4717</v>
      </c>
      <c r="J249" s="9" t="s">
        <v>4721</v>
      </c>
      <c r="K249" s="20">
        <f t="shared" si="2"/>
        <v>1979</v>
      </c>
      <c r="L249" s="9" t="str">
        <f t="shared" si="3"/>
        <v>tier - 3</v>
      </c>
      <c r="M249" s="9" t="str">
        <f t="shared" si="4"/>
        <v>tier - 3</v>
      </c>
      <c r="N249" s="9" t="str">
        <f t="shared" si="5"/>
        <v>R1026</v>
      </c>
      <c r="O249" s="17">
        <f t="shared" si="6"/>
        <v>43</v>
      </c>
      <c r="P249" s="18">
        <v>29128.0</v>
      </c>
    </row>
    <row r="250" ht="15.75" customHeight="1">
      <c r="A250" s="9" t="s">
        <v>1551</v>
      </c>
      <c r="B250" s="17">
        <v>1984.0</v>
      </c>
      <c r="C250" s="9" t="s">
        <v>4730</v>
      </c>
      <c r="D250" s="9">
        <v>6.0</v>
      </c>
      <c r="E250" s="18">
        <f t="shared" si="1"/>
        <v>30839</v>
      </c>
      <c r="F250" s="9">
        <v>3.0</v>
      </c>
      <c r="G250" s="19">
        <v>13383.67</v>
      </c>
      <c r="H250" s="9" t="s">
        <v>4717</v>
      </c>
      <c r="I250" s="9" t="s">
        <v>4723</v>
      </c>
      <c r="J250" s="9" t="s">
        <v>4756</v>
      </c>
      <c r="K250" s="20">
        <f t="shared" si="2"/>
        <v>1984</v>
      </c>
      <c r="L250" s="9" t="str">
        <f t="shared" si="3"/>
        <v>tier - 3</v>
      </c>
      <c r="M250" s="9" t="str">
        <f t="shared" si="4"/>
        <v>tier - 2</v>
      </c>
      <c r="N250" s="9" t="str">
        <f t="shared" si="5"/>
        <v>R1023</v>
      </c>
      <c r="O250" s="17">
        <f t="shared" si="6"/>
        <v>39</v>
      </c>
      <c r="P250" s="18">
        <v>30839.0</v>
      </c>
    </row>
    <row r="251" ht="15.75" customHeight="1">
      <c r="A251" s="9" t="s">
        <v>1549</v>
      </c>
      <c r="B251" s="17">
        <v>1959.0</v>
      </c>
      <c r="C251" s="9" t="s">
        <v>4725</v>
      </c>
      <c r="D251" s="9">
        <v>9.0</v>
      </c>
      <c r="E251" s="18">
        <f t="shared" si="1"/>
        <v>21893</v>
      </c>
      <c r="F251" s="9">
        <v>0.0</v>
      </c>
      <c r="G251" s="19">
        <v>13390.56</v>
      </c>
      <c r="H251" s="9" t="s">
        <v>4717</v>
      </c>
      <c r="I251" s="9" t="s">
        <v>4717</v>
      </c>
      <c r="J251" s="9" t="s">
        <v>4719</v>
      </c>
      <c r="K251" s="20">
        <f t="shared" si="2"/>
        <v>1959</v>
      </c>
      <c r="L251" s="9" t="str">
        <f t="shared" si="3"/>
        <v>tier - 3</v>
      </c>
      <c r="M251" s="9" t="str">
        <f t="shared" si="4"/>
        <v>tier - 3</v>
      </c>
      <c r="N251" s="9" t="str">
        <f t="shared" si="5"/>
        <v>R1011</v>
      </c>
      <c r="O251" s="17">
        <f t="shared" si="6"/>
        <v>63</v>
      </c>
      <c r="P251" s="18">
        <v>21893.0</v>
      </c>
    </row>
    <row r="252" ht="15.75" customHeight="1">
      <c r="A252" s="9" t="s">
        <v>1547</v>
      </c>
      <c r="B252" s="17">
        <v>1959.0</v>
      </c>
      <c r="C252" s="9" t="s">
        <v>4735</v>
      </c>
      <c r="D252" s="9">
        <v>25.0</v>
      </c>
      <c r="E252" s="18">
        <f t="shared" si="1"/>
        <v>21879</v>
      </c>
      <c r="F252" s="9">
        <v>0.0</v>
      </c>
      <c r="G252" s="19">
        <v>13393.76</v>
      </c>
      <c r="H252" s="9" t="s">
        <v>4717</v>
      </c>
      <c r="I252" s="9" t="s">
        <v>4718</v>
      </c>
      <c r="J252" s="9" t="s">
        <v>4719</v>
      </c>
      <c r="K252" s="20">
        <f t="shared" si="2"/>
        <v>1959</v>
      </c>
      <c r="L252" s="9" t="str">
        <f t="shared" si="3"/>
        <v>tier - 3</v>
      </c>
      <c r="M252" s="9" t="str">
        <f t="shared" si="4"/>
        <v>tier - 1</v>
      </c>
      <c r="N252" s="9" t="str">
        <f t="shared" si="5"/>
        <v>R1011</v>
      </c>
      <c r="O252" s="17">
        <f t="shared" si="6"/>
        <v>63</v>
      </c>
      <c r="P252" s="18">
        <v>21879.0</v>
      </c>
    </row>
    <row r="253" ht="15.75" customHeight="1">
      <c r="A253" s="9" t="s">
        <v>1545</v>
      </c>
      <c r="B253" s="17">
        <v>1959.0</v>
      </c>
      <c r="C253" s="9" t="s">
        <v>4725</v>
      </c>
      <c r="D253" s="9">
        <v>20.0</v>
      </c>
      <c r="E253" s="18">
        <f t="shared" si="1"/>
        <v>21904</v>
      </c>
      <c r="F253" s="9">
        <v>0.0</v>
      </c>
      <c r="G253" s="19">
        <v>13405.39</v>
      </c>
      <c r="H253" s="9" t="s">
        <v>4717</v>
      </c>
      <c r="I253" s="9" t="s">
        <v>4717</v>
      </c>
      <c r="J253" s="9" t="s">
        <v>4743</v>
      </c>
      <c r="K253" s="20">
        <f t="shared" si="2"/>
        <v>1959</v>
      </c>
      <c r="L253" s="9" t="str">
        <f t="shared" si="3"/>
        <v>tier - 3</v>
      </c>
      <c r="M253" s="9" t="str">
        <f t="shared" si="4"/>
        <v>tier - 3</v>
      </c>
      <c r="N253" s="9" t="str">
        <f t="shared" si="5"/>
        <v>R1013</v>
      </c>
      <c r="O253" s="17">
        <f t="shared" si="6"/>
        <v>63</v>
      </c>
      <c r="P253" s="18">
        <v>21904.0</v>
      </c>
    </row>
    <row r="254" ht="15.75" customHeight="1">
      <c r="A254" s="9" t="s">
        <v>1543</v>
      </c>
      <c r="B254" s="17">
        <v>1992.0</v>
      </c>
      <c r="C254" s="9" t="s">
        <v>4725</v>
      </c>
      <c r="D254" s="9">
        <v>19.0</v>
      </c>
      <c r="E254" s="18">
        <f t="shared" si="1"/>
        <v>33957</v>
      </c>
      <c r="F254" s="9">
        <v>0.0</v>
      </c>
      <c r="G254" s="19">
        <v>13412.97</v>
      </c>
      <c r="H254" s="9" t="s">
        <v>4717</v>
      </c>
      <c r="I254" s="9" t="s">
        <v>4717</v>
      </c>
      <c r="J254" s="9" t="s">
        <v>4756</v>
      </c>
      <c r="K254" s="20">
        <f t="shared" si="2"/>
        <v>1992</v>
      </c>
      <c r="L254" s="9" t="str">
        <f t="shared" si="3"/>
        <v>tier - 3</v>
      </c>
      <c r="M254" s="9" t="str">
        <f t="shared" si="4"/>
        <v>tier - 3</v>
      </c>
      <c r="N254" s="9" t="str">
        <f t="shared" si="5"/>
        <v>R1023</v>
      </c>
      <c r="O254" s="17">
        <f t="shared" si="6"/>
        <v>30</v>
      </c>
      <c r="P254" s="18">
        <v>33957.0</v>
      </c>
    </row>
    <row r="255" ht="15.75" customHeight="1">
      <c r="A255" s="9" t="s">
        <v>1541</v>
      </c>
      <c r="B255" s="17">
        <v>1961.0</v>
      </c>
      <c r="C255" s="9" t="s">
        <v>4741</v>
      </c>
      <c r="D255" s="9">
        <v>22.0</v>
      </c>
      <c r="E255" s="18">
        <f t="shared" si="1"/>
        <v>22484</v>
      </c>
      <c r="F255" s="9">
        <v>0.0</v>
      </c>
      <c r="G255" s="19">
        <v>13415.04</v>
      </c>
      <c r="H255" s="9" t="s">
        <v>4717</v>
      </c>
      <c r="I255" s="9" t="s">
        <v>4723</v>
      </c>
      <c r="J255" s="9" t="s">
        <v>4733</v>
      </c>
      <c r="K255" s="20">
        <f t="shared" si="2"/>
        <v>1961</v>
      </c>
      <c r="L255" s="9" t="str">
        <f t="shared" si="3"/>
        <v>tier - 3</v>
      </c>
      <c r="M255" s="9" t="str">
        <f t="shared" si="4"/>
        <v>tier - 2</v>
      </c>
      <c r="N255" s="9" t="str">
        <f t="shared" si="5"/>
        <v>R1012</v>
      </c>
      <c r="O255" s="17">
        <f t="shared" si="6"/>
        <v>61</v>
      </c>
      <c r="P255" s="18">
        <v>22484.0</v>
      </c>
    </row>
    <row r="256" ht="15.75" customHeight="1">
      <c r="A256" s="9" t="s">
        <v>155</v>
      </c>
      <c r="B256" s="17">
        <v>1976.0</v>
      </c>
      <c r="C256" s="9" t="s">
        <v>4720</v>
      </c>
      <c r="D256" s="9">
        <v>29.0</v>
      </c>
      <c r="E256" s="18">
        <f t="shared" si="1"/>
        <v>28062</v>
      </c>
      <c r="F256" s="9">
        <v>1.0</v>
      </c>
      <c r="G256" s="19">
        <v>41661.6</v>
      </c>
      <c r="H256" s="9" t="s">
        <v>4718</v>
      </c>
      <c r="I256" s="9" t="s">
        <v>4717</v>
      </c>
      <c r="J256" s="9" t="s">
        <v>4719</v>
      </c>
      <c r="K256" s="20">
        <f t="shared" si="2"/>
        <v>1976</v>
      </c>
      <c r="L256" s="9" t="str">
        <f t="shared" si="3"/>
        <v>tier - 1</v>
      </c>
      <c r="M256" s="9" t="str">
        <f t="shared" si="4"/>
        <v>tier - 3</v>
      </c>
      <c r="N256" s="9" t="str">
        <f t="shared" si="5"/>
        <v>R1011</v>
      </c>
      <c r="O256" s="17">
        <f t="shared" si="6"/>
        <v>46</v>
      </c>
      <c r="P256" s="18">
        <v>28062.0</v>
      </c>
    </row>
    <row r="257" ht="15.75" customHeight="1">
      <c r="A257" s="9" t="s">
        <v>1539</v>
      </c>
      <c r="B257" s="17">
        <v>1994.0</v>
      </c>
      <c r="C257" s="9" t="s">
        <v>4730</v>
      </c>
      <c r="D257" s="9">
        <v>17.0</v>
      </c>
      <c r="E257" s="18">
        <f t="shared" si="1"/>
        <v>34502</v>
      </c>
      <c r="F257" s="9">
        <v>0.0</v>
      </c>
      <c r="G257" s="19">
        <v>13417.05</v>
      </c>
      <c r="H257" s="9" t="s">
        <v>4717</v>
      </c>
      <c r="I257" s="9" t="s">
        <v>4717</v>
      </c>
      <c r="J257" s="9" t="s">
        <v>4733</v>
      </c>
      <c r="K257" s="20">
        <f t="shared" si="2"/>
        <v>1994</v>
      </c>
      <c r="L257" s="9" t="str">
        <f t="shared" si="3"/>
        <v>tier - 3</v>
      </c>
      <c r="M257" s="9" t="str">
        <f t="shared" si="4"/>
        <v>tier - 3</v>
      </c>
      <c r="N257" s="9" t="str">
        <f t="shared" si="5"/>
        <v>R1012</v>
      </c>
      <c r="O257" s="17">
        <f t="shared" si="6"/>
        <v>28</v>
      </c>
      <c r="P257" s="18">
        <v>34502.0</v>
      </c>
    </row>
    <row r="258" ht="15.75" customHeight="1">
      <c r="A258" s="9" t="s">
        <v>1537</v>
      </c>
      <c r="B258" s="17">
        <v>1961.0</v>
      </c>
      <c r="C258" s="9" t="s">
        <v>4735</v>
      </c>
      <c r="D258" s="9">
        <v>3.0</v>
      </c>
      <c r="E258" s="18">
        <f t="shared" si="1"/>
        <v>22588</v>
      </c>
      <c r="F258" s="9">
        <v>0.0</v>
      </c>
      <c r="G258" s="19">
        <v>13429.04</v>
      </c>
      <c r="H258" s="9" t="s">
        <v>4717</v>
      </c>
      <c r="I258" s="9" t="s">
        <v>4717</v>
      </c>
      <c r="J258" s="9" t="s">
        <v>4733</v>
      </c>
      <c r="K258" s="20">
        <f t="shared" si="2"/>
        <v>1961</v>
      </c>
      <c r="L258" s="9" t="str">
        <f t="shared" si="3"/>
        <v>tier - 3</v>
      </c>
      <c r="M258" s="9" t="str">
        <f t="shared" si="4"/>
        <v>tier - 3</v>
      </c>
      <c r="N258" s="9" t="str">
        <f t="shared" si="5"/>
        <v>R1012</v>
      </c>
      <c r="O258" s="17">
        <f t="shared" si="6"/>
        <v>61</v>
      </c>
      <c r="P258" s="18">
        <v>22588.0</v>
      </c>
    </row>
    <row r="259" ht="15.75" customHeight="1">
      <c r="A259" s="9" t="s">
        <v>1535</v>
      </c>
      <c r="B259" s="17">
        <v>1966.0</v>
      </c>
      <c r="C259" s="9" t="s">
        <v>4735</v>
      </c>
      <c r="D259" s="9">
        <v>14.0</v>
      </c>
      <c r="E259" s="18">
        <f t="shared" si="1"/>
        <v>24425</v>
      </c>
      <c r="F259" s="9">
        <v>3.0</v>
      </c>
      <c r="G259" s="19">
        <v>13430.27</v>
      </c>
      <c r="H259" s="9" t="s">
        <v>4717</v>
      </c>
      <c r="I259" s="9" t="s">
        <v>4717</v>
      </c>
      <c r="J259" s="9" t="s">
        <v>4731</v>
      </c>
      <c r="K259" s="20">
        <f t="shared" si="2"/>
        <v>1966</v>
      </c>
      <c r="L259" s="9" t="str">
        <f t="shared" si="3"/>
        <v>tier - 3</v>
      </c>
      <c r="M259" s="9" t="str">
        <f t="shared" si="4"/>
        <v>tier - 3</v>
      </c>
      <c r="N259" s="9" t="str">
        <f t="shared" si="5"/>
        <v>R1024</v>
      </c>
      <c r="O259" s="17">
        <f t="shared" si="6"/>
        <v>56</v>
      </c>
      <c r="P259" s="18">
        <v>24425.0</v>
      </c>
    </row>
    <row r="260" ht="15.75" customHeight="1">
      <c r="A260" s="9" t="s">
        <v>1533</v>
      </c>
      <c r="B260" s="17">
        <v>1975.0</v>
      </c>
      <c r="C260" s="9" t="s">
        <v>4730</v>
      </c>
      <c r="D260" s="9">
        <v>29.0</v>
      </c>
      <c r="E260" s="18">
        <f t="shared" si="1"/>
        <v>27574</v>
      </c>
      <c r="F260" s="9">
        <v>1.0</v>
      </c>
      <c r="G260" s="19">
        <v>13440.7</v>
      </c>
      <c r="H260" s="9" t="s">
        <v>4717</v>
      </c>
      <c r="I260" s="9" t="s">
        <v>4723</v>
      </c>
      <c r="J260" s="9" t="s">
        <v>4733</v>
      </c>
      <c r="K260" s="20">
        <f t="shared" si="2"/>
        <v>1975</v>
      </c>
      <c r="L260" s="9" t="str">
        <f t="shared" si="3"/>
        <v>tier - 3</v>
      </c>
      <c r="M260" s="9" t="str">
        <f t="shared" si="4"/>
        <v>tier - 2</v>
      </c>
      <c r="N260" s="9" t="str">
        <f t="shared" si="5"/>
        <v>R1012</v>
      </c>
      <c r="O260" s="17">
        <f t="shared" si="6"/>
        <v>47</v>
      </c>
      <c r="P260" s="18">
        <v>27574.0</v>
      </c>
    </row>
    <row r="261" ht="15.75" customHeight="1">
      <c r="A261" s="9" t="s">
        <v>1531</v>
      </c>
      <c r="B261" s="17">
        <v>1960.0</v>
      </c>
      <c r="C261" s="9" t="s">
        <v>4716</v>
      </c>
      <c r="D261" s="9">
        <v>13.0</v>
      </c>
      <c r="E261" s="18">
        <f t="shared" si="1"/>
        <v>22141</v>
      </c>
      <c r="F261" s="9">
        <v>0.0</v>
      </c>
      <c r="G261" s="19">
        <v>13451.12</v>
      </c>
      <c r="H261" s="9" t="s">
        <v>4717</v>
      </c>
      <c r="I261" s="9" t="s">
        <v>4718</v>
      </c>
      <c r="J261" s="9" t="s">
        <v>4719</v>
      </c>
      <c r="K261" s="20">
        <f t="shared" si="2"/>
        <v>1960</v>
      </c>
      <c r="L261" s="9" t="str">
        <f t="shared" si="3"/>
        <v>tier - 3</v>
      </c>
      <c r="M261" s="9" t="str">
        <f t="shared" si="4"/>
        <v>tier - 1</v>
      </c>
      <c r="N261" s="9" t="str">
        <f t="shared" si="5"/>
        <v>R1011</v>
      </c>
      <c r="O261" s="17">
        <f t="shared" si="6"/>
        <v>62</v>
      </c>
      <c r="P261" s="18">
        <v>22141.0</v>
      </c>
    </row>
    <row r="262" ht="15.75" customHeight="1">
      <c r="A262" s="9" t="s">
        <v>1529</v>
      </c>
      <c r="B262" s="17">
        <v>1960.0</v>
      </c>
      <c r="C262" s="9" t="s">
        <v>4741</v>
      </c>
      <c r="D262" s="9">
        <v>11.0</v>
      </c>
      <c r="E262" s="18">
        <f t="shared" si="1"/>
        <v>22108</v>
      </c>
      <c r="F262" s="9">
        <v>0.0</v>
      </c>
      <c r="G262" s="19">
        <v>13457.96</v>
      </c>
      <c r="H262" s="9" t="s">
        <v>4717</v>
      </c>
      <c r="I262" s="9" t="s">
        <v>4718</v>
      </c>
      <c r="J262" s="9" t="s">
        <v>4743</v>
      </c>
      <c r="K262" s="20">
        <f t="shared" si="2"/>
        <v>1960</v>
      </c>
      <c r="L262" s="9" t="str">
        <f t="shared" si="3"/>
        <v>tier - 3</v>
      </c>
      <c r="M262" s="9" t="str">
        <f t="shared" si="4"/>
        <v>tier - 1</v>
      </c>
      <c r="N262" s="9" t="str">
        <f t="shared" si="5"/>
        <v>R1013</v>
      </c>
      <c r="O262" s="17">
        <f t="shared" si="6"/>
        <v>62</v>
      </c>
      <c r="P262" s="18">
        <v>22108.0</v>
      </c>
    </row>
    <row r="263" ht="15.75" customHeight="1">
      <c r="A263" s="9" t="s">
        <v>1527</v>
      </c>
      <c r="B263" s="17">
        <v>1960.0</v>
      </c>
      <c r="C263" s="9" t="s">
        <v>4725</v>
      </c>
      <c r="D263" s="9">
        <v>16.0</v>
      </c>
      <c r="E263" s="18">
        <f t="shared" si="1"/>
        <v>22266</v>
      </c>
      <c r="F263" s="9">
        <v>0.0</v>
      </c>
      <c r="G263" s="19">
        <v>13462.52</v>
      </c>
      <c r="H263" s="9" t="s">
        <v>4717</v>
      </c>
      <c r="I263" s="9" t="s">
        <v>4723</v>
      </c>
      <c r="J263" s="9" t="s">
        <v>4719</v>
      </c>
      <c r="K263" s="20">
        <f t="shared" si="2"/>
        <v>1960</v>
      </c>
      <c r="L263" s="9" t="str">
        <f t="shared" si="3"/>
        <v>tier - 3</v>
      </c>
      <c r="M263" s="9" t="str">
        <f t="shared" si="4"/>
        <v>tier - 2</v>
      </c>
      <c r="N263" s="9" t="str">
        <f t="shared" si="5"/>
        <v>R1011</v>
      </c>
      <c r="O263" s="17">
        <f t="shared" si="6"/>
        <v>62</v>
      </c>
      <c r="P263" s="18">
        <v>22266.0</v>
      </c>
    </row>
    <row r="264" ht="15.75" customHeight="1">
      <c r="A264" s="9" t="s">
        <v>1525</v>
      </c>
      <c r="B264" s="17">
        <v>1985.0</v>
      </c>
      <c r="C264" s="9" t="s">
        <v>4716</v>
      </c>
      <c r="D264" s="9">
        <v>19.0</v>
      </c>
      <c r="E264" s="18">
        <f t="shared" si="1"/>
        <v>31278</v>
      </c>
      <c r="F264" s="9">
        <v>3.0</v>
      </c>
      <c r="G264" s="19">
        <v>13465.8</v>
      </c>
      <c r="H264" s="9" t="s">
        <v>4717</v>
      </c>
      <c r="I264" s="9" t="s">
        <v>4718</v>
      </c>
      <c r="J264" s="9" t="s">
        <v>4733</v>
      </c>
      <c r="K264" s="20">
        <f t="shared" si="2"/>
        <v>1985</v>
      </c>
      <c r="L264" s="9" t="str">
        <f t="shared" si="3"/>
        <v>tier - 3</v>
      </c>
      <c r="M264" s="9" t="str">
        <f t="shared" si="4"/>
        <v>tier - 1</v>
      </c>
      <c r="N264" s="9" t="str">
        <f t="shared" si="5"/>
        <v>R1012</v>
      </c>
      <c r="O264" s="17">
        <f t="shared" si="6"/>
        <v>37</v>
      </c>
      <c r="P264" s="18">
        <v>31278.0</v>
      </c>
    </row>
    <row r="265" ht="15.75" customHeight="1">
      <c r="A265" s="9" t="s">
        <v>1523</v>
      </c>
      <c r="B265" s="17">
        <v>1960.0</v>
      </c>
      <c r="C265" s="9" t="s">
        <v>4741</v>
      </c>
      <c r="D265" s="9">
        <v>28.0</v>
      </c>
      <c r="E265" s="18">
        <f t="shared" si="1"/>
        <v>22125</v>
      </c>
      <c r="F265" s="9">
        <v>0.0</v>
      </c>
      <c r="G265" s="19">
        <v>13470.8</v>
      </c>
      <c r="H265" s="9" t="s">
        <v>4717</v>
      </c>
      <c r="I265" s="9" t="s">
        <v>4723</v>
      </c>
      <c r="J265" s="9" t="s">
        <v>4743</v>
      </c>
      <c r="K265" s="20">
        <f t="shared" si="2"/>
        <v>1960</v>
      </c>
      <c r="L265" s="9" t="str">
        <f t="shared" si="3"/>
        <v>tier - 3</v>
      </c>
      <c r="M265" s="9" t="str">
        <f t="shared" si="4"/>
        <v>tier - 2</v>
      </c>
      <c r="N265" s="9" t="str">
        <f t="shared" si="5"/>
        <v>R1013</v>
      </c>
      <c r="O265" s="17">
        <f t="shared" si="6"/>
        <v>62</v>
      </c>
      <c r="P265" s="18">
        <v>22125.0</v>
      </c>
    </row>
    <row r="266" ht="15.75" customHeight="1">
      <c r="A266" s="9" t="s">
        <v>1521</v>
      </c>
      <c r="B266" s="17">
        <v>1960.0</v>
      </c>
      <c r="C266" s="9" t="s">
        <v>4741</v>
      </c>
      <c r="D266" s="9">
        <v>24.0</v>
      </c>
      <c r="E266" s="18">
        <f t="shared" si="1"/>
        <v>22121</v>
      </c>
      <c r="F266" s="9">
        <v>0.0</v>
      </c>
      <c r="G266" s="19">
        <v>13470.86</v>
      </c>
      <c r="H266" s="9" t="s">
        <v>4717</v>
      </c>
      <c r="I266" s="9" t="s">
        <v>4717</v>
      </c>
      <c r="J266" s="9" t="s">
        <v>4719</v>
      </c>
      <c r="K266" s="20">
        <f t="shared" si="2"/>
        <v>1960</v>
      </c>
      <c r="L266" s="9" t="str">
        <f t="shared" si="3"/>
        <v>tier - 3</v>
      </c>
      <c r="M266" s="9" t="str">
        <f t="shared" si="4"/>
        <v>tier - 3</v>
      </c>
      <c r="N266" s="9" t="str">
        <f t="shared" si="5"/>
        <v>R1011</v>
      </c>
      <c r="O266" s="17">
        <f t="shared" si="6"/>
        <v>62</v>
      </c>
      <c r="P266" s="18">
        <v>22121.0</v>
      </c>
    </row>
    <row r="267" ht="15.75" customHeight="1">
      <c r="A267" s="9" t="s">
        <v>153</v>
      </c>
      <c r="B267" s="17">
        <v>1975.0</v>
      </c>
      <c r="C267" s="9" t="s">
        <v>4735</v>
      </c>
      <c r="D267" s="9">
        <v>14.0</v>
      </c>
      <c r="E267" s="18">
        <f t="shared" si="1"/>
        <v>27712</v>
      </c>
      <c r="F267" s="9">
        <v>0.0</v>
      </c>
      <c r="G267" s="19">
        <v>41676.08</v>
      </c>
      <c r="H267" s="9" t="s">
        <v>4718</v>
      </c>
      <c r="I267" s="9" t="s">
        <v>4723</v>
      </c>
      <c r="J267" s="9" t="s">
        <v>4743</v>
      </c>
      <c r="K267" s="20">
        <f t="shared" si="2"/>
        <v>1975</v>
      </c>
      <c r="L267" s="9" t="str">
        <f t="shared" si="3"/>
        <v>tier - 1</v>
      </c>
      <c r="M267" s="9" t="str">
        <f t="shared" si="4"/>
        <v>tier - 2</v>
      </c>
      <c r="N267" s="9" t="str">
        <f t="shared" si="5"/>
        <v>R1013</v>
      </c>
      <c r="O267" s="17">
        <f t="shared" si="6"/>
        <v>47</v>
      </c>
      <c r="P267" s="18">
        <v>27712.0</v>
      </c>
    </row>
    <row r="268" ht="15.75" customHeight="1">
      <c r="A268" s="9" t="s">
        <v>1519</v>
      </c>
      <c r="B268" s="17">
        <v>1975.0</v>
      </c>
      <c r="C268" s="9" t="s">
        <v>4716</v>
      </c>
      <c r="D268" s="9">
        <v>7.0</v>
      </c>
      <c r="E268" s="18">
        <f t="shared" si="1"/>
        <v>27613</v>
      </c>
      <c r="F268" s="9">
        <v>1.0</v>
      </c>
      <c r="G268" s="19">
        <v>13472.19</v>
      </c>
      <c r="H268" s="9" t="s">
        <v>4717</v>
      </c>
      <c r="I268" s="9" t="s">
        <v>4723</v>
      </c>
      <c r="J268" s="9" t="s">
        <v>4733</v>
      </c>
      <c r="K268" s="20">
        <f t="shared" si="2"/>
        <v>1975</v>
      </c>
      <c r="L268" s="9" t="str">
        <f t="shared" si="3"/>
        <v>tier - 3</v>
      </c>
      <c r="M268" s="9" t="str">
        <f t="shared" si="4"/>
        <v>tier - 2</v>
      </c>
      <c r="N268" s="9" t="str">
        <f t="shared" si="5"/>
        <v>R1012</v>
      </c>
      <c r="O268" s="17">
        <f t="shared" si="6"/>
        <v>47</v>
      </c>
      <c r="P268" s="18">
        <v>27613.0</v>
      </c>
    </row>
    <row r="269" ht="15.75" customHeight="1">
      <c r="A269" s="9" t="s">
        <v>1517</v>
      </c>
      <c r="B269" s="17">
        <v>1990.0</v>
      </c>
      <c r="C269" s="9" t="s">
        <v>4716</v>
      </c>
      <c r="D269" s="9">
        <v>30.0</v>
      </c>
      <c r="E269" s="18">
        <f t="shared" si="1"/>
        <v>33115</v>
      </c>
      <c r="F269" s="9">
        <v>3.0</v>
      </c>
      <c r="G269" s="19">
        <v>13480.83</v>
      </c>
      <c r="H269" s="9" t="s">
        <v>4717</v>
      </c>
      <c r="I269" s="9" t="s">
        <v>4723</v>
      </c>
      <c r="J269" s="9" t="s">
        <v>4756</v>
      </c>
      <c r="K269" s="20">
        <f t="shared" si="2"/>
        <v>1990</v>
      </c>
      <c r="L269" s="9" t="str">
        <f t="shared" si="3"/>
        <v>tier - 3</v>
      </c>
      <c r="M269" s="9" t="str">
        <f t="shared" si="4"/>
        <v>tier - 2</v>
      </c>
      <c r="N269" s="9" t="str">
        <f t="shared" si="5"/>
        <v>R1023</v>
      </c>
      <c r="O269" s="17">
        <f t="shared" si="6"/>
        <v>32</v>
      </c>
      <c r="P269" s="18">
        <v>33115.0</v>
      </c>
    </row>
    <row r="270" ht="15.75" customHeight="1">
      <c r="A270" s="9" t="s">
        <v>1515</v>
      </c>
      <c r="B270" s="17">
        <v>1963.0</v>
      </c>
      <c r="C270" s="9" t="s">
        <v>4720</v>
      </c>
      <c r="D270" s="9">
        <v>14.0</v>
      </c>
      <c r="E270" s="18">
        <f t="shared" si="1"/>
        <v>23298</v>
      </c>
      <c r="F270" s="9">
        <v>0.0</v>
      </c>
      <c r="G270" s="19">
        <v>13511.28</v>
      </c>
      <c r="H270" s="9" t="s">
        <v>4717</v>
      </c>
      <c r="I270" s="9" t="s">
        <v>4718</v>
      </c>
      <c r="J270" s="9" t="s">
        <v>4733</v>
      </c>
      <c r="K270" s="20">
        <f t="shared" si="2"/>
        <v>1963</v>
      </c>
      <c r="L270" s="9" t="str">
        <f t="shared" si="3"/>
        <v>tier - 3</v>
      </c>
      <c r="M270" s="9" t="str">
        <f t="shared" si="4"/>
        <v>tier - 1</v>
      </c>
      <c r="N270" s="9" t="str">
        <f t="shared" si="5"/>
        <v>R1012</v>
      </c>
      <c r="O270" s="17">
        <f t="shared" si="6"/>
        <v>59</v>
      </c>
      <c r="P270" s="18">
        <v>23298.0</v>
      </c>
    </row>
    <row r="271" ht="15.75" customHeight="1">
      <c r="A271" s="9" t="s">
        <v>1513</v>
      </c>
      <c r="B271" s="17">
        <v>1960.0</v>
      </c>
      <c r="C271" s="9" t="s">
        <v>4741</v>
      </c>
      <c r="D271" s="9">
        <v>11.0</v>
      </c>
      <c r="E271" s="18">
        <f t="shared" si="1"/>
        <v>22108</v>
      </c>
      <c r="F271" s="9">
        <v>0.0</v>
      </c>
      <c r="G271" s="19">
        <v>13555.0</v>
      </c>
      <c r="H271" s="9" t="s">
        <v>4717</v>
      </c>
      <c r="I271" s="9" t="s">
        <v>4717</v>
      </c>
      <c r="J271" s="9" t="s">
        <v>4753</v>
      </c>
      <c r="K271" s="20">
        <f t="shared" si="2"/>
        <v>1960</v>
      </c>
      <c r="L271" s="9" t="str">
        <f t="shared" si="3"/>
        <v>tier - 3</v>
      </c>
      <c r="M271" s="9" t="str">
        <f t="shared" si="4"/>
        <v>tier - 3</v>
      </c>
      <c r="N271" s="9" t="str">
        <f t="shared" si="5"/>
        <v>R1017</v>
      </c>
      <c r="O271" s="17">
        <f t="shared" si="6"/>
        <v>62</v>
      </c>
      <c r="P271" s="18">
        <v>22108.0</v>
      </c>
    </row>
    <row r="272" ht="15.75" customHeight="1">
      <c r="A272" s="9" t="s">
        <v>1511</v>
      </c>
      <c r="B272" s="17">
        <v>1968.0</v>
      </c>
      <c r="C272" s="9" t="s">
        <v>4741</v>
      </c>
      <c r="D272" s="9">
        <v>15.0</v>
      </c>
      <c r="E272" s="18">
        <f t="shared" si="1"/>
        <v>25034</v>
      </c>
      <c r="F272" s="9">
        <v>0.0</v>
      </c>
      <c r="G272" s="19">
        <v>13566.04</v>
      </c>
      <c r="H272" s="9" t="s">
        <v>4717</v>
      </c>
      <c r="I272" s="9" t="s">
        <v>4717</v>
      </c>
      <c r="J272" s="9" t="s">
        <v>4721</v>
      </c>
      <c r="K272" s="20">
        <f t="shared" si="2"/>
        <v>1968</v>
      </c>
      <c r="L272" s="9" t="str">
        <f t="shared" si="3"/>
        <v>tier - 3</v>
      </c>
      <c r="M272" s="9" t="str">
        <f t="shared" si="4"/>
        <v>tier - 3</v>
      </c>
      <c r="N272" s="9" t="str">
        <f t="shared" si="5"/>
        <v>R1026</v>
      </c>
      <c r="O272" s="17">
        <f t="shared" si="6"/>
        <v>54</v>
      </c>
      <c r="P272" s="18">
        <v>25034.0</v>
      </c>
    </row>
    <row r="273" ht="15.75" customHeight="1">
      <c r="A273" s="9" t="s">
        <v>1509</v>
      </c>
      <c r="B273" s="17">
        <v>1992.0</v>
      </c>
      <c r="C273" s="9" t="s">
        <v>4716</v>
      </c>
      <c r="D273" s="9">
        <v>14.0</v>
      </c>
      <c r="E273" s="18">
        <f t="shared" si="1"/>
        <v>33830</v>
      </c>
      <c r="F273" s="9">
        <v>0.0</v>
      </c>
      <c r="G273" s="19">
        <v>13588.17</v>
      </c>
      <c r="H273" s="9" t="s">
        <v>4717</v>
      </c>
      <c r="I273" s="9" t="s">
        <v>4718</v>
      </c>
      <c r="J273" s="9" t="s">
        <v>4733</v>
      </c>
      <c r="K273" s="20">
        <f t="shared" si="2"/>
        <v>1992</v>
      </c>
      <c r="L273" s="9" t="str">
        <f t="shared" si="3"/>
        <v>tier - 3</v>
      </c>
      <c r="M273" s="9" t="str">
        <f t="shared" si="4"/>
        <v>tier - 1</v>
      </c>
      <c r="N273" s="9" t="str">
        <f t="shared" si="5"/>
        <v>R1012</v>
      </c>
      <c r="O273" s="17">
        <f t="shared" si="6"/>
        <v>30</v>
      </c>
      <c r="P273" s="18">
        <v>33830.0</v>
      </c>
    </row>
    <row r="274" ht="15.75" customHeight="1">
      <c r="A274" s="9" t="s">
        <v>1507</v>
      </c>
      <c r="B274" s="17">
        <v>1964.0</v>
      </c>
      <c r="C274" s="9" t="s">
        <v>4738</v>
      </c>
      <c r="D274" s="9">
        <v>10.0</v>
      </c>
      <c r="E274" s="18">
        <f t="shared" si="1"/>
        <v>23630</v>
      </c>
      <c r="F274" s="9">
        <v>2.0</v>
      </c>
      <c r="G274" s="19">
        <v>13607.37</v>
      </c>
      <c r="H274" s="9" t="s">
        <v>4717</v>
      </c>
      <c r="I274" s="9" t="s">
        <v>4718</v>
      </c>
      <c r="J274" s="9" t="s">
        <v>4731</v>
      </c>
      <c r="K274" s="20">
        <f t="shared" si="2"/>
        <v>1964</v>
      </c>
      <c r="L274" s="9" t="str">
        <f t="shared" si="3"/>
        <v>tier - 3</v>
      </c>
      <c r="M274" s="9" t="str">
        <f t="shared" si="4"/>
        <v>tier - 1</v>
      </c>
      <c r="N274" s="9" t="str">
        <f t="shared" si="5"/>
        <v>R1024</v>
      </c>
      <c r="O274" s="17">
        <f t="shared" si="6"/>
        <v>58</v>
      </c>
      <c r="P274" s="18">
        <v>23630.0</v>
      </c>
    </row>
    <row r="275" ht="15.75" customHeight="1">
      <c r="A275" s="9" t="s">
        <v>1505</v>
      </c>
      <c r="B275" s="17">
        <v>1961.0</v>
      </c>
      <c r="C275" s="9" t="s">
        <v>4735</v>
      </c>
      <c r="D275" s="9">
        <v>18.0</v>
      </c>
      <c r="E275" s="18">
        <f t="shared" si="1"/>
        <v>22603</v>
      </c>
      <c r="F275" s="9">
        <v>0.0</v>
      </c>
      <c r="G275" s="19">
        <v>13616.36</v>
      </c>
      <c r="H275" s="9" t="s">
        <v>4717</v>
      </c>
      <c r="I275" s="9" t="s">
        <v>4717</v>
      </c>
      <c r="J275" s="9" t="s">
        <v>4731</v>
      </c>
      <c r="K275" s="20">
        <f t="shared" si="2"/>
        <v>1961</v>
      </c>
      <c r="L275" s="9" t="str">
        <f t="shared" si="3"/>
        <v>tier - 3</v>
      </c>
      <c r="M275" s="9" t="str">
        <f t="shared" si="4"/>
        <v>tier - 3</v>
      </c>
      <c r="N275" s="9" t="str">
        <f t="shared" si="5"/>
        <v>R1024</v>
      </c>
      <c r="O275" s="17">
        <f t="shared" si="6"/>
        <v>61</v>
      </c>
      <c r="P275" s="18">
        <v>22603.0</v>
      </c>
    </row>
    <row r="276" ht="15.75" customHeight="1">
      <c r="A276" s="9" t="s">
        <v>1503</v>
      </c>
      <c r="B276" s="17">
        <v>1969.0</v>
      </c>
      <c r="C276" s="9" t="s">
        <v>4741</v>
      </c>
      <c r="D276" s="9">
        <v>26.0</v>
      </c>
      <c r="E276" s="18">
        <f t="shared" si="1"/>
        <v>25410</v>
      </c>
      <c r="F276" s="9">
        <v>0.0</v>
      </c>
      <c r="G276" s="19">
        <v>13622.01</v>
      </c>
      <c r="H276" s="9" t="s">
        <v>4717</v>
      </c>
      <c r="I276" s="9" t="s">
        <v>4717</v>
      </c>
      <c r="J276" s="9" t="s">
        <v>4733</v>
      </c>
      <c r="K276" s="20">
        <f t="shared" si="2"/>
        <v>1969</v>
      </c>
      <c r="L276" s="9" t="str">
        <f t="shared" si="3"/>
        <v>tier - 3</v>
      </c>
      <c r="M276" s="9" t="str">
        <f t="shared" si="4"/>
        <v>tier - 3</v>
      </c>
      <c r="N276" s="9" t="str">
        <f t="shared" si="5"/>
        <v>R1012</v>
      </c>
      <c r="O276" s="17">
        <f t="shared" si="6"/>
        <v>53</v>
      </c>
      <c r="P276" s="18">
        <v>25410.0</v>
      </c>
    </row>
    <row r="277" ht="15.75" customHeight="1">
      <c r="A277" s="9" t="s">
        <v>1501</v>
      </c>
      <c r="B277" s="17">
        <v>1961.0</v>
      </c>
      <c r="C277" s="9" t="s">
        <v>4725</v>
      </c>
      <c r="D277" s="9">
        <v>24.0</v>
      </c>
      <c r="E277" s="18">
        <f t="shared" si="1"/>
        <v>22639</v>
      </c>
      <c r="F277" s="9">
        <v>0.0</v>
      </c>
      <c r="G277" s="19">
        <v>13635.64</v>
      </c>
      <c r="H277" s="9" t="s">
        <v>4717</v>
      </c>
      <c r="I277" s="9" t="s">
        <v>4717</v>
      </c>
      <c r="J277" s="9" t="s">
        <v>4731</v>
      </c>
      <c r="K277" s="20">
        <f t="shared" si="2"/>
        <v>1961</v>
      </c>
      <c r="L277" s="9" t="str">
        <f t="shared" si="3"/>
        <v>tier - 3</v>
      </c>
      <c r="M277" s="9" t="str">
        <f t="shared" si="4"/>
        <v>tier - 3</v>
      </c>
      <c r="N277" s="9" t="str">
        <f t="shared" si="5"/>
        <v>R1024</v>
      </c>
      <c r="O277" s="17">
        <f t="shared" si="6"/>
        <v>61</v>
      </c>
      <c r="P277" s="18">
        <v>22639.0</v>
      </c>
    </row>
    <row r="278" ht="15.75" customHeight="1">
      <c r="A278" s="9" t="s">
        <v>151</v>
      </c>
      <c r="B278" s="17">
        <v>1975.0</v>
      </c>
      <c r="C278" s="9" t="s">
        <v>4738</v>
      </c>
      <c r="D278" s="9">
        <v>29.0</v>
      </c>
      <c r="E278" s="18">
        <f t="shared" si="1"/>
        <v>27666</v>
      </c>
      <c r="F278" s="9">
        <v>1.0</v>
      </c>
      <c r="G278" s="19">
        <v>41681.86</v>
      </c>
      <c r="H278" s="9" t="s">
        <v>4718</v>
      </c>
      <c r="I278" s="9" t="s">
        <v>4718</v>
      </c>
      <c r="J278" s="9" t="s">
        <v>4719</v>
      </c>
      <c r="K278" s="20">
        <f t="shared" si="2"/>
        <v>1975</v>
      </c>
      <c r="L278" s="9" t="str">
        <f t="shared" si="3"/>
        <v>tier - 1</v>
      </c>
      <c r="M278" s="9" t="str">
        <f t="shared" si="4"/>
        <v>tier - 1</v>
      </c>
      <c r="N278" s="9" t="str">
        <f t="shared" si="5"/>
        <v>R1011</v>
      </c>
      <c r="O278" s="17">
        <f t="shared" si="6"/>
        <v>47</v>
      </c>
      <c r="P278" s="18">
        <v>27666.0</v>
      </c>
    </row>
    <row r="279" ht="15.75" customHeight="1">
      <c r="A279" s="9" t="s">
        <v>1499</v>
      </c>
      <c r="B279" s="17">
        <v>1984.0</v>
      </c>
      <c r="C279" s="9" t="s">
        <v>4741</v>
      </c>
      <c r="D279" s="9">
        <v>20.0</v>
      </c>
      <c r="E279" s="18">
        <f t="shared" si="1"/>
        <v>30883</v>
      </c>
      <c r="F279" s="9">
        <v>3.0</v>
      </c>
      <c r="G279" s="19">
        <v>13638.06</v>
      </c>
      <c r="H279" s="9" t="s">
        <v>4717</v>
      </c>
      <c r="I279" s="9" t="s">
        <v>4717</v>
      </c>
      <c r="J279" s="9" t="s">
        <v>4756</v>
      </c>
      <c r="K279" s="20">
        <f t="shared" si="2"/>
        <v>1984</v>
      </c>
      <c r="L279" s="9" t="str">
        <f t="shared" si="3"/>
        <v>tier - 3</v>
      </c>
      <c r="M279" s="9" t="str">
        <f t="shared" si="4"/>
        <v>tier - 3</v>
      </c>
      <c r="N279" s="9" t="str">
        <f t="shared" si="5"/>
        <v>R1023</v>
      </c>
      <c r="O279" s="17">
        <f t="shared" si="6"/>
        <v>38</v>
      </c>
      <c r="P279" s="18">
        <v>30883.0</v>
      </c>
    </row>
    <row r="280" ht="15.75" customHeight="1">
      <c r="A280" s="9" t="s">
        <v>1497</v>
      </c>
      <c r="B280" s="17">
        <v>1963.0</v>
      </c>
      <c r="C280" s="9" t="s">
        <v>4716</v>
      </c>
      <c r="D280" s="9">
        <v>4.0</v>
      </c>
      <c r="E280" s="18">
        <f t="shared" si="1"/>
        <v>23227</v>
      </c>
      <c r="F280" s="9">
        <v>0.0</v>
      </c>
      <c r="G280" s="19">
        <v>13677.68</v>
      </c>
      <c r="H280" s="9" t="s">
        <v>4717</v>
      </c>
      <c r="I280" s="9" t="s">
        <v>4723</v>
      </c>
      <c r="J280" s="9" t="s">
        <v>4751</v>
      </c>
      <c r="K280" s="20">
        <f t="shared" si="2"/>
        <v>1963</v>
      </c>
      <c r="L280" s="9" t="str">
        <f t="shared" si="3"/>
        <v>tier - 3</v>
      </c>
      <c r="M280" s="9" t="str">
        <f t="shared" si="4"/>
        <v>tier - 2</v>
      </c>
      <c r="N280" s="9" t="str">
        <f t="shared" si="5"/>
        <v>R1021</v>
      </c>
      <c r="O280" s="17">
        <f t="shared" si="6"/>
        <v>59</v>
      </c>
      <c r="P280" s="18">
        <v>23227.0</v>
      </c>
    </row>
    <row r="281" ht="15.75" customHeight="1">
      <c r="A281" s="9" t="s">
        <v>1495</v>
      </c>
      <c r="B281" s="17">
        <v>1985.0</v>
      </c>
      <c r="C281" s="9" t="s">
        <v>4738</v>
      </c>
      <c r="D281" s="9">
        <v>14.0</v>
      </c>
      <c r="E281" s="18">
        <f t="shared" si="1"/>
        <v>31304</v>
      </c>
      <c r="F281" s="9">
        <v>3.0</v>
      </c>
      <c r="G281" s="19">
        <v>13685.51</v>
      </c>
      <c r="H281" s="9" t="s">
        <v>4717</v>
      </c>
      <c r="I281" s="9" t="s">
        <v>4718</v>
      </c>
      <c r="J281" s="9" t="s">
        <v>4721</v>
      </c>
      <c r="K281" s="20">
        <f t="shared" si="2"/>
        <v>1985</v>
      </c>
      <c r="L281" s="9" t="str">
        <f t="shared" si="3"/>
        <v>tier - 3</v>
      </c>
      <c r="M281" s="9" t="str">
        <f t="shared" si="4"/>
        <v>tier - 1</v>
      </c>
      <c r="N281" s="9" t="str">
        <f t="shared" si="5"/>
        <v>R1026</v>
      </c>
      <c r="O281" s="17">
        <f t="shared" si="6"/>
        <v>37</v>
      </c>
      <c r="P281" s="18">
        <v>31304.0</v>
      </c>
    </row>
    <row r="282" ht="15.75" customHeight="1">
      <c r="A282" s="9" t="s">
        <v>1493</v>
      </c>
      <c r="B282" s="17">
        <v>1986.0</v>
      </c>
      <c r="C282" s="9" t="s">
        <v>4735</v>
      </c>
      <c r="D282" s="9">
        <v>24.0</v>
      </c>
      <c r="E282" s="18">
        <f t="shared" si="1"/>
        <v>31740</v>
      </c>
      <c r="F282" s="9">
        <v>3.0</v>
      </c>
      <c r="G282" s="19">
        <v>13714.55</v>
      </c>
      <c r="H282" s="9" t="s">
        <v>4717</v>
      </c>
      <c r="I282" s="9" t="s">
        <v>4723</v>
      </c>
      <c r="J282" s="9" t="s">
        <v>4756</v>
      </c>
      <c r="K282" s="20">
        <f t="shared" si="2"/>
        <v>1986</v>
      </c>
      <c r="L282" s="9" t="str">
        <f t="shared" si="3"/>
        <v>tier - 3</v>
      </c>
      <c r="M282" s="9" t="str">
        <f t="shared" si="4"/>
        <v>tier - 2</v>
      </c>
      <c r="N282" s="9" t="str">
        <f t="shared" si="5"/>
        <v>R1023</v>
      </c>
      <c r="O282" s="17">
        <f t="shared" si="6"/>
        <v>36</v>
      </c>
      <c r="P282" s="18">
        <v>31740.0</v>
      </c>
    </row>
    <row r="283" ht="15.75" customHeight="1">
      <c r="A283" s="9" t="s">
        <v>1491</v>
      </c>
      <c r="B283" s="17">
        <v>1981.0</v>
      </c>
      <c r="C283" s="9" t="s">
        <v>4716</v>
      </c>
      <c r="D283" s="9">
        <v>2.0</v>
      </c>
      <c r="E283" s="18">
        <f t="shared" si="1"/>
        <v>29800</v>
      </c>
      <c r="F283" s="9">
        <v>1.0</v>
      </c>
      <c r="G283" s="19">
        <v>13725.47</v>
      </c>
      <c r="H283" s="9" t="s">
        <v>4717</v>
      </c>
      <c r="I283" s="9" t="s">
        <v>4723</v>
      </c>
      <c r="J283" s="9" t="s">
        <v>4731</v>
      </c>
      <c r="K283" s="20">
        <f t="shared" si="2"/>
        <v>1981</v>
      </c>
      <c r="L283" s="9" t="str">
        <f t="shared" si="3"/>
        <v>tier - 3</v>
      </c>
      <c r="M283" s="9" t="str">
        <f t="shared" si="4"/>
        <v>tier - 2</v>
      </c>
      <c r="N283" s="9" t="str">
        <f t="shared" si="5"/>
        <v>R1024</v>
      </c>
      <c r="O283" s="17">
        <f t="shared" si="6"/>
        <v>41</v>
      </c>
      <c r="P283" s="18">
        <v>29800.0</v>
      </c>
    </row>
    <row r="284" ht="15.75" customHeight="1">
      <c r="A284" s="9" t="s">
        <v>1489</v>
      </c>
      <c r="B284" s="17">
        <v>1985.0</v>
      </c>
      <c r="C284" s="9" t="s">
        <v>4716</v>
      </c>
      <c r="D284" s="9">
        <v>29.0</v>
      </c>
      <c r="E284" s="18">
        <f t="shared" si="1"/>
        <v>31288</v>
      </c>
      <c r="F284" s="9">
        <v>3.0</v>
      </c>
      <c r="G284" s="19">
        <v>13726.21</v>
      </c>
      <c r="H284" s="9" t="s">
        <v>4717</v>
      </c>
      <c r="I284" s="9" t="s">
        <v>4717</v>
      </c>
      <c r="J284" s="9" t="s">
        <v>4721</v>
      </c>
      <c r="K284" s="20">
        <f t="shared" si="2"/>
        <v>1985</v>
      </c>
      <c r="L284" s="9" t="str">
        <f t="shared" si="3"/>
        <v>tier - 3</v>
      </c>
      <c r="M284" s="9" t="str">
        <f t="shared" si="4"/>
        <v>tier - 3</v>
      </c>
      <c r="N284" s="9" t="str">
        <f t="shared" si="5"/>
        <v>R1026</v>
      </c>
      <c r="O284" s="17">
        <f t="shared" si="6"/>
        <v>37</v>
      </c>
      <c r="P284" s="18">
        <v>31288.0</v>
      </c>
    </row>
    <row r="285" ht="15.75" customHeight="1">
      <c r="A285" s="9" t="s">
        <v>1487</v>
      </c>
      <c r="B285" s="17">
        <v>1969.0</v>
      </c>
      <c r="C285" s="9" t="s">
        <v>4720</v>
      </c>
      <c r="D285" s="9">
        <v>23.0</v>
      </c>
      <c r="E285" s="18">
        <f t="shared" si="1"/>
        <v>25499</v>
      </c>
      <c r="F285" s="9">
        <v>0.0</v>
      </c>
      <c r="G285" s="19">
        <v>13746.74</v>
      </c>
      <c r="H285" s="9" t="s">
        <v>4717</v>
      </c>
      <c r="I285" s="9" t="s">
        <v>4723</v>
      </c>
      <c r="J285" s="9" t="s">
        <v>4721</v>
      </c>
      <c r="K285" s="20">
        <f t="shared" si="2"/>
        <v>1969</v>
      </c>
      <c r="L285" s="9" t="str">
        <f t="shared" si="3"/>
        <v>tier - 3</v>
      </c>
      <c r="M285" s="9" t="str">
        <f t="shared" si="4"/>
        <v>tier - 2</v>
      </c>
      <c r="N285" s="9" t="str">
        <f t="shared" si="5"/>
        <v>R1026</v>
      </c>
      <c r="O285" s="17">
        <f t="shared" si="6"/>
        <v>53</v>
      </c>
      <c r="P285" s="18">
        <v>25499.0</v>
      </c>
    </row>
    <row r="286" ht="15.75" customHeight="1">
      <c r="A286" s="9" t="s">
        <v>1485</v>
      </c>
      <c r="B286" s="17">
        <v>2004.0</v>
      </c>
      <c r="C286" s="9" t="s">
        <v>4741</v>
      </c>
      <c r="D286" s="9">
        <v>16.0</v>
      </c>
      <c r="E286" s="18">
        <f t="shared" si="1"/>
        <v>38184</v>
      </c>
      <c r="F286" s="9">
        <v>0.0</v>
      </c>
      <c r="G286" s="19">
        <v>13747.87</v>
      </c>
      <c r="H286" s="9" t="s">
        <v>4717</v>
      </c>
      <c r="I286" s="9" t="s">
        <v>4723</v>
      </c>
      <c r="J286" s="9" t="s">
        <v>4750</v>
      </c>
      <c r="K286" s="20">
        <f t="shared" si="2"/>
        <v>2004</v>
      </c>
      <c r="L286" s="9" t="str">
        <f t="shared" si="3"/>
        <v>tier - 3</v>
      </c>
      <c r="M286" s="9" t="str">
        <f t="shared" si="4"/>
        <v>tier - 2</v>
      </c>
      <c r="N286" s="9" t="str">
        <f t="shared" si="5"/>
        <v>R1018</v>
      </c>
      <c r="O286" s="17">
        <f t="shared" si="6"/>
        <v>18</v>
      </c>
      <c r="P286" s="18">
        <v>38184.0</v>
      </c>
    </row>
    <row r="287" ht="15.75" customHeight="1">
      <c r="A287" s="9" t="s">
        <v>1483</v>
      </c>
      <c r="B287" s="17">
        <v>1959.0</v>
      </c>
      <c r="C287" s="9" t="s">
        <v>4716</v>
      </c>
      <c r="D287" s="9">
        <v>6.0</v>
      </c>
      <c r="E287" s="18">
        <f t="shared" si="1"/>
        <v>21768</v>
      </c>
      <c r="F287" s="9">
        <v>0.0</v>
      </c>
      <c r="G287" s="19">
        <v>13770.1</v>
      </c>
      <c r="H287" s="9" t="s">
        <v>4717</v>
      </c>
      <c r="I287" s="9" t="s">
        <v>4718</v>
      </c>
      <c r="J287" s="9" t="s">
        <v>4733</v>
      </c>
      <c r="K287" s="20">
        <f t="shared" si="2"/>
        <v>1959</v>
      </c>
      <c r="L287" s="9" t="str">
        <f t="shared" si="3"/>
        <v>tier - 3</v>
      </c>
      <c r="M287" s="9" t="str">
        <f t="shared" si="4"/>
        <v>tier - 1</v>
      </c>
      <c r="N287" s="9" t="str">
        <f t="shared" si="5"/>
        <v>R1012</v>
      </c>
      <c r="O287" s="17">
        <f t="shared" si="6"/>
        <v>63</v>
      </c>
      <c r="P287" s="18">
        <v>21768.0</v>
      </c>
    </row>
    <row r="288" ht="15.75" customHeight="1">
      <c r="A288" s="9" t="s">
        <v>1481</v>
      </c>
      <c r="B288" s="17">
        <v>1966.0</v>
      </c>
      <c r="C288" s="9" t="s">
        <v>4735</v>
      </c>
      <c r="D288" s="9">
        <v>10.0</v>
      </c>
      <c r="E288" s="18">
        <f t="shared" si="1"/>
        <v>24421</v>
      </c>
      <c r="F288" s="9">
        <v>0.0</v>
      </c>
      <c r="G288" s="19">
        <v>13801.61</v>
      </c>
      <c r="H288" s="9" t="s">
        <v>4717</v>
      </c>
      <c r="I288" s="9" t="s">
        <v>4717</v>
      </c>
      <c r="J288" s="9" t="s">
        <v>4721</v>
      </c>
      <c r="K288" s="20">
        <f t="shared" si="2"/>
        <v>1966</v>
      </c>
      <c r="L288" s="9" t="str">
        <f t="shared" si="3"/>
        <v>tier - 3</v>
      </c>
      <c r="M288" s="9" t="str">
        <f t="shared" si="4"/>
        <v>tier - 3</v>
      </c>
      <c r="N288" s="9" t="str">
        <f t="shared" si="5"/>
        <v>R1026</v>
      </c>
      <c r="O288" s="17">
        <f t="shared" si="6"/>
        <v>56</v>
      </c>
      <c r="P288" s="18">
        <v>24421.0</v>
      </c>
    </row>
    <row r="289" ht="15.75" customHeight="1">
      <c r="A289" s="9" t="s">
        <v>149</v>
      </c>
      <c r="B289" s="17">
        <v>1962.0</v>
      </c>
      <c r="C289" s="9" t="s">
        <v>4738</v>
      </c>
      <c r="D289" s="9">
        <v>22.0</v>
      </c>
      <c r="E289" s="18">
        <f t="shared" si="1"/>
        <v>22911</v>
      </c>
      <c r="F289" s="9">
        <v>0.0</v>
      </c>
      <c r="G289" s="19">
        <v>41794.63</v>
      </c>
      <c r="H289" s="9" t="s">
        <v>4718</v>
      </c>
      <c r="I289" s="9" t="s">
        <v>4717</v>
      </c>
      <c r="J289" s="9" t="s">
        <v>4719</v>
      </c>
      <c r="K289" s="20">
        <f t="shared" si="2"/>
        <v>1962</v>
      </c>
      <c r="L289" s="9" t="str">
        <f t="shared" si="3"/>
        <v>tier - 1</v>
      </c>
      <c r="M289" s="9" t="str">
        <f t="shared" si="4"/>
        <v>tier - 3</v>
      </c>
      <c r="N289" s="9" t="str">
        <f t="shared" si="5"/>
        <v>R1011</v>
      </c>
      <c r="O289" s="17">
        <f t="shared" si="6"/>
        <v>60</v>
      </c>
      <c r="P289" s="18">
        <v>22911.0</v>
      </c>
    </row>
    <row r="290" ht="15.75" customHeight="1">
      <c r="A290" s="9" t="s">
        <v>1479</v>
      </c>
      <c r="B290" s="17">
        <v>1986.0</v>
      </c>
      <c r="C290" s="9" t="s">
        <v>4725</v>
      </c>
      <c r="D290" s="9">
        <v>8.0</v>
      </c>
      <c r="E290" s="18">
        <f t="shared" si="1"/>
        <v>31754</v>
      </c>
      <c r="F290" s="9">
        <v>3.0</v>
      </c>
      <c r="G290" s="19">
        <v>13819.49</v>
      </c>
      <c r="H290" s="9" t="s">
        <v>4717</v>
      </c>
      <c r="I290" s="9" t="s">
        <v>4723</v>
      </c>
      <c r="J290" s="9" t="s">
        <v>4733</v>
      </c>
      <c r="K290" s="20">
        <f t="shared" si="2"/>
        <v>1986</v>
      </c>
      <c r="L290" s="9" t="str">
        <f t="shared" si="3"/>
        <v>tier - 3</v>
      </c>
      <c r="M290" s="9" t="str">
        <f t="shared" si="4"/>
        <v>tier - 2</v>
      </c>
      <c r="N290" s="9" t="str">
        <f t="shared" si="5"/>
        <v>R1012</v>
      </c>
      <c r="O290" s="17">
        <f t="shared" si="6"/>
        <v>36</v>
      </c>
      <c r="P290" s="18">
        <v>31754.0</v>
      </c>
    </row>
    <row r="291" ht="15.75" customHeight="1">
      <c r="A291" s="9" t="s">
        <v>1477</v>
      </c>
      <c r="B291" s="17">
        <v>1958.0</v>
      </c>
      <c r="C291" s="9" t="s">
        <v>4735</v>
      </c>
      <c r="D291" s="9">
        <v>25.0</v>
      </c>
      <c r="E291" s="18">
        <f t="shared" si="1"/>
        <v>21514</v>
      </c>
      <c r="F291" s="9">
        <v>0.0</v>
      </c>
      <c r="G291" s="19">
        <v>13822.8</v>
      </c>
      <c r="H291" s="9" t="s">
        <v>4717</v>
      </c>
      <c r="I291" s="9" t="s">
        <v>4717</v>
      </c>
      <c r="J291" s="9" t="s">
        <v>4719</v>
      </c>
      <c r="K291" s="20">
        <f t="shared" si="2"/>
        <v>1958</v>
      </c>
      <c r="L291" s="9" t="str">
        <f t="shared" si="3"/>
        <v>tier - 3</v>
      </c>
      <c r="M291" s="9" t="str">
        <f t="shared" si="4"/>
        <v>tier - 3</v>
      </c>
      <c r="N291" s="9" t="str">
        <f t="shared" si="5"/>
        <v>R1011</v>
      </c>
      <c r="O291" s="17">
        <f t="shared" si="6"/>
        <v>64</v>
      </c>
      <c r="P291" s="18">
        <v>21514.0</v>
      </c>
    </row>
    <row r="292" ht="15.75" customHeight="1">
      <c r="A292" s="9" t="s">
        <v>1475</v>
      </c>
      <c r="B292" s="17">
        <v>1958.0</v>
      </c>
      <c r="C292" s="9" t="s">
        <v>4725</v>
      </c>
      <c r="D292" s="9">
        <v>10.0</v>
      </c>
      <c r="E292" s="18">
        <f t="shared" si="1"/>
        <v>21529</v>
      </c>
      <c r="F292" s="9">
        <v>0.0</v>
      </c>
      <c r="G292" s="19">
        <v>13831.12</v>
      </c>
      <c r="H292" s="9" t="s">
        <v>4717</v>
      </c>
      <c r="I292" s="9" t="s">
        <v>4718</v>
      </c>
      <c r="J292" s="9" t="s">
        <v>4743</v>
      </c>
      <c r="K292" s="20">
        <f t="shared" si="2"/>
        <v>1958</v>
      </c>
      <c r="L292" s="9" t="str">
        <f t="shared" si="3"/>
        <v>tier - 3</v>
      </c>
      <c r="M292" s="9" t="str">
        <f t="shared" si="4"/>
        <v>tier - 1</v>
      </c>
      <c r="N292" s="9" t="str">
        <f t="shared" si="5"/>
        <v>R1013</v>
      </c>
      <c r="O292" s="17">
        <f t="shared" si="6"/>
        <v>64</v>
      </c>
      <c r="P292" s="18">
        <v>21529.0</v>
      </c>
    </row>
    <row r="293" ht="15.75" customHeight="1">
      <c r="A293" s="9" t="s">
        <v>1473</v>
      </c>
      <c r="B293" s="17">
        <v>2003.0</v>
      </c>
      <c r="C293" s="9" t="s">
        <v>4730</v>
      </c>
      <c r="D293" s="9">
        <v>7.0</v>
      </c>
      <c r="E293" s="18">
        <f t="shared" si="1"/>
        <v>37779</v>
      </c>
      <c r="F293" s="9">
        <v>0.0</v>
      </c>
      <c r="G293" s="19">
        <v>13844.51</v>
      </c>
      <c r="H293" s="9" t="s">
        <v>4723</v>
      </c>
      <c r="I293" s="9" t="s">
        <v>4718</v>
      </c>
      <c r="J293" s="9" t="s">
        <v>4719</v>
      </c>
      <c r="K293" s="20">
        <f t="shared" si="2"/>
        <v>2003</v>
      </c>
      <c r="L293" s="9" t="str">
        <f t="shared" si="3"/>
        <v>tier - 2</v>
      </c>
      <c r="M293" s="9" t="str">
        <f t="shared" si="4"/>
        <v>tier - 1</v>
      </c>
      <c r="N293" s="9" t="str">
        <f t="shared" si="5"/>
        <v>R1011</v>
      </c>
      <c r="O293" s="17">
        <f t="shared" si="6"/>
        <v>20</v>
      </c>
      <c r="P293" s="18">
        <v>37779.0</v>
      </c>
    </row>
    <row r="294" ht="15.75" customHeight="1">
      <c r="A294" s="9" t="s">
        <v>1471</v>
      </c>
      <c r="B294" s="17">
        <v>1960.0</v>
      </c>
      <c r="C294" s="9" t="s">
        <v>4741</v>
      </c>
      <c r="D294" s="9">
        <v>21.0</v>
      </c>
      <c r="E294" s="18">
        <f t="shared" si="1"/>
        <v>22118</v>
      </c>
      <c r="F294" s="9">
        <v>0.0</v>
      </c>
      <c r="G294" s="19">
        <v>13844.8</v>
      </c>
      <c r="H294" s="9" t="s">
        <v>4723</v>
      </c>
      <c r="I294" s="9" t="s">
        <v>4723</v>
      </c>
      <c r="J294" s="9" t="s">
        <v>4733</v>
      </c>
      <c r="K294" s="20">
        <f t="shared" si="2"/>
        <v>1960</v>
      </c>
      <c r="L294" s="9" t="str">
        <f t="shared" si="3"/>
        <v>tier - 2</v>
      </c>
      <c r="M294" s="9" t="str">
        <f t="shared" si="4"/>
        <v>tier - 2</v>
      </c>
      <c r="N294" s="9" t="str">
        <f t="shared" si="5"/>
        <v>R1012</v>
      </c>
      <c r="O294" s="17">
        <f t="shared" si="6"/>
        <v>62</v>
      </c>
      <c r="P294" s="18">
        <v>22118.0</v>
      </c>
    </row>
    <row r="295" ht="15.75" customHeight="1">
      <c r="A295" s="9" t="s">
        <v>1469</v>
      </c>
      <c r="B295" s="17">
        <v>1978.0</v>
      </c>
      <c r="C295" s="9" t="s">
        <v>4725</v>
      </c>
      <c r="D295" s="9">
        <v>19.0</v>
      </c>
      <c r="E295" s="18">
        <f t="shared" si="1"/>
        <v>28843</v>
      </c>
      <c r="F295" s="9">
        <v>2.0</v>
      </c>
      <c r="G295" s="19">
        <v>13874.89</v>
      </c>
      <c r="H295" s="9" t="s">
        <v>4723</v>
      </c>
      <c r="I295" s="9" t="s">
        <v>4718</v>
      </c>
      <c r="J295" s="9" t="s">
        <v>4733</v>
      </c>
      <c r="K295" s="20">
        <f t="shared" si="2"/>
        <v>1978</v>
      </c>
      <c r="L295" s="9" t="str">
        <f t="shared" si="3"/>
        <v>tier - 2</v>
      </c>
      <c r="M295" s="9" t="str">
        <f t="shared" si="4"/>
        <v>tier - 1</v>
      </c>
      <c r="N295" s="9" t="str">
        <f t="shared" si="5"/>
        <v>R1012</v>
      </c>
      <c r="O295" s="17">
        <f t="shared" si="6"/>
        <v>44</v>
      </c>
      <c r="P295" s="18">
        <v>28843.0</v>
      </c>
    </row>
    <row r="296" ht="15.75" customHeight="1">
      <c r="A296" s="9" t="s">
        <v>1467</v>
      </c>
      <c r="B296" s="17">
        <v>1959.0</v>
      </c>
      <c r="C296" s="9" t="s">
        <v>4720</v>
      </c>
      <c r="D296" s="9">
        <v>5.0</v>
      </c>
      <c r="E296" s="18">
        <f t="shared" si="1"/>
        <v>21828</v>
      </c>
      <c r="F296" s="9">
        <v>0.0</v>
      </c>
      <c r="G296" s="19">
        <v>13880.95</v>
      </c>
      <c r="H296" s="9" t="s">
        <v>4723</v>
      </c>
      <c r="I296" s="9" t="s">
        <v>4723</v>
      </c>
      <c r="J296" s="9" t="s">
        <v>4719</v>
      </c>
      <c r="K296" s="20">
        <f t="shared" si="2"/>
        <v>1959</v>
      </c>
      <c r="L296" s="9" t="str">
        <f t="shared" si="3"/>
        <v>tier - 2</v>
      </c>
      <c r="M296" s="9" t="str">
        <f t="shared" si="4"/>
        <v>tier - 2</v>
      </c>
      <c r="N296" s="9" t="str">
        <f t="shared" si="5"/>
        <v>R1011</v>
      </c>
      <c r="O296" s="17">
        <f t="shared" si="6"/>
        <v>63</v>
      </c>
      <c r="P296" s="18">
        <v>21828.0</v>
      </c>
    </row>
    <row r="297" ht="15.75" customHeight="1">
      <c r="A297" s="9" t="s">
        <v>1465</v>
      </c>
      <c r="B297" s="17">
        <v>1985.0</v>
      </c>
      <c r="C297" s="9" t="s">
        <v>4738</v>
      </c>
      <c r="D297" s="9">
        <v>25.0</v>
      </c>
      <c r="E297" s="18">
        <f t="shared" si="1"/>
        <v>31315</v>
      </c>
      <c r="F297" s="9">
        <v>3.0</v>
      </c>
      <c r="G297" s="19">
        <v>13886.4</v>
      </c>
      <c r="H297" s="9" t="s">
        <v>4723</v>
      </c>
      <c r="I297" s="9" t="s">
        <v>4723</v>
      </c>
      <c r="J297" s="9" t="s">
        <v>4733</v>
      </c>
      <c r="K297" s="20">
        <f t="shared" si="2"/>
        <v>1985</v>
      </c>
      <c r="L297" s="9" t="str">
        <f t="shared" si="3"/>
        <v>tier - 2</v>
      </c>
      <c r="M297" s="9" t="str">
        <f t="shared" si="4"/>
        <v>tier - 2</v>
      </c>
      <c r="N297" s="9" t="str">
        <f t="shared" si="5"/>
        <v>R1012</v>
      </c>
      <c r="O297" s="17">
        <f t="shared" si="6"/>
        <v>37</v>
      </c>
      <c r="P297" s="18">
        <v>31315.0</v>
      </c>
    </row>
    <row r="298" ht="15.75" customHeight="1">
      <c r="A298" s="9" t="s">
        <v>1463</v>
      </c>
      <c r="B298" s="17">
        <v>1959.0</v>
      </c>
      <c r="C298" s="9" t="s">
        <v>4725</v>
      </c>
      <c r="D298" s="9">
        <v>29.0</v>
      </c>
      <c r="E298" s="18">
        <f t="shared" si="1"/>
        <v>21913</v>
      </c>
      <c r="F298" s="9">
        <v>0.0</v>
      </c>
      <c r="G298" s="19">
        <v>13887.2</v>
      </c>
      <c r="H298" s="9" t="s">
        <v>4723</v>
      </c>
      <c r="I298" s="9" t="s">
        <v>4717</v>
      </c>
      <c r="J298" s="9" t="s">
        <v>4743</v>
      </c>
      <c r="K298" s="20">
        <f t="shared" si="2"/>
        <v>1959</v>
      </c>
      <c r="L298" s="9" t="str">
        <f t="shared" si="3"/>
        <v>tier - 2</v>
      </c>
      <c r="M298" s="9" t="str">
        <f t="shared" si="4"/>
        <v>tier - 3</v>
      </c>
      <c r="N298" s="9" t="str">
        <f t="shared" si="5"/>
        <v>R1013</v>
      </c>
      <c r="O298" s="17">
        <f t="shared" si="6"/>
        <v>63</v>
      </c>
      <c r="P298" s="18">
        <v>21913.0</v>
      </c>
    </row>
    <row r="299" ht="15.75" customHeight="1">
      <c r="A299" s="9" t="s">
        <v>1461</v>
      </c>
      <c r="B299" s="17">
        <v>1959.0</v>
      </c>
      <c r="C299" s="9" t="s">
        <v>4741</v>
      </c>
      <c r="D299" s="9">
        <v>7.0</v>
      </c>
      <c r="E299" s="18">
        <f t="shared" si="1"/>
        <v>21738</v>
      </c>
      <c r="F299" s="9">
        <v>0.0</v>
      </c>
      <c r="G299" s="19">
        <v>13887.97</v>
      </c>
      <c r="H299" s="9" t="s">
        <v>4723</v>
      </c>
      <c r="I299" s="9" t="s">
        <v>4723</v>
      </c>
      <c r="J299" s="9" t="s">
        <v>4743</v>
      </c>
      <c r="K299" s="20">
        <f t="shared" si="2"/>
        <v>1959</v>
      </c>
      <c r="L299" s="9" t="str">
        <f t="shared" si="3"/>
        <v>tier - 2</v>
      </c>
      <c r="M299" s="9" t="str">
        <f t="shared" si="4"/>
        <v>tier - 2</v>
      </c>
      <c r="N299" s="9" t="str">
        <f t="shared" si="5"/>
        <v>R1013</v>
      </c>
      <c r="O299" s="17">
        <f t="shared" si="6"/>
        <v>63</v>
      </c>
      <c r="P299" s="18">
        <v>21738.0</v>
      </c>
    </row>
    <row r="300" ht="15.75" customHeight="1">
      <c r="A300" s="9" t="s">
        <v>147</v>
      </c>
      <c r="B300" s="17">
        <v>1966.0</v>
      </c>
      <c r="C300" s="9" t="s">
        <v>4738</v>
      </c>
      <c r="D300" s="9">
        <v>21.0</v>
      </c>
      <c r="E300" s="18">
        <f t="shared" si="1"/>
        <v>24371</v>
      </c>
      <c r="F300" s="9">
        <v>0.0</v>
      </c>
      <c r="G300" s="19">
        <v>41886.54</v>
      </c>
      <c r="H300" s="9" t="s">
        <v>4718</v>
      </c>
      <c r="I300" s="9" t="s">
        <v>4717</v>
      </c>
      <c r="J300" s="9" t="s">
        <v>4719</v>
      </c>
      <c r="K300" s="20">
        <f t="shared" si="2"/>
        <v>1966</v>
      </c>
      <c r="L300" s="9" t="str">
        <f t="shared" si="3"/>
        <v>tier - 1</v>
      </c>
      <c r="M300" s="9" t="str">
        <f t="shared" si="4"/>
        <v>tier - 3</v>
      </c>
      <c r="N300" s="9" t="str">
        <f t="shared" si="5"/>
        <v>R1011</v>
      </c>
      <c r="O300" s="17">
        <f t="shared" si="6"/>
        <v>56</v>
      </c>
      <c r="P300" s="18">
        <v>24371.0</v>
      </c>
    </row>
    <row r="301" ht="15.75" customHeight="1">
      <c r="A301" s="9" t="s">
        <v>1459</v>
      </c>
      <c r="B301" s="17">
        <v>1962.0</v>
      </c>
      <c r="C301" s="9" t="s">
        <v>4741</v>
      </c>
      <c r="D301" s="9">
        <v>27.0</v>
      </c>
      <c r="E301" s="18">
        <f t="shared" si="1"/>
        <v>22854</v>
      </c>
      <c r="F301" s="9">
        <v>3.0</v>
      </c>
      <c r="G301" s="19">
        <v>13919.82</v>
      </c>
      <c r="H301" s="9" t="s">
        <v>4723</v>
      </c>
      <c r="I301" s="9" t="s">
        <v>4723</v>
      </c>
      <c r="J301" s="9" t="s">
        <v>4743</v>
      </c>
      <c r="K301" s="20">
        <f t="shared" si="2"/>
        <v>1962</v>
      </c>
      <c r="L301" s="9" t="str">
        <f t="shared" si="3"/>
        <v>tier - 2</v>
      </c>
      <c r="M301" s="9" t="str">
        <f t="shared" si="4"/>
        <v>tier - 2</v>
      </c>
      <c r="N301" s="9" t="str">
        <f t="shared" si="5"/>
        <v>R1013</v>
      </c>
      <c r="O301" s="17">
        <f t="shared" si="6"/>
        <v>60</v>
      </c>
      <c r="P301" s="18">
        <v>22854.0</v>
      </c>
    </row>
    <row r="302" ht="15.75" customHeight="1">
      <c r="A302" s="9" t="s">
        <v>1457</v>
      </c>
      <c r="B302" s="17">
        <v>1960.0</v>
      </c>
      <c r="C302" s="9" t="s">
        <v>4730</v>
      </c>
      <c r="D302" s="9">
        <v>18.0</v>
      </c>
      <c r="E302" s="18">
        <f t="shared" si="1"/>
        <v>22085</v>
      </c>
      <c r="F302" s="9">
        <v>1.0</v>
      </c>
      <c r="G302" s="19">
        <v>13937.67</v>
      </c>
      <c r="H302" s="9" t="s">
        <v>4723</v>
      </c>
      <c r="I302" s="9" t="s">
        <v>4718</v>
      </c>
      <c r="J302" s="9" t="s">
        <v>4733</v>
      </c>
      <c r="K302" s="20">
        <f t="shared" si="2"/>
        <v>1960</v>
      </c>
      <c r="L302" s="9" t="str">
        <f t="shared" si="3"/>
        <v>tier - 2</v>
      </c>
      <c r="M302" s="9" t="str">
        <f t="shared" si="4"/>
        <v>tier - 1</v>
      </c>
      <c r="N302" s="9" t="str">
        <f t="shared" si="5"/>
        <v>R1012</v>
      </c>
      <c r="O302" s="17">
        <f t="shared" si="6"/>
        <v>62</v>
      </c>
      <c r="P302" s="18">
        <v>22085.0</v>
      </c>
    </row>
    <row r="303" ht="15.75" customHeight="1">
      <c r="A303" s="9" t="s">
        <v>1455</v>
      </c>
      <c r="B303" s="17">
        <v>1959.0</v>
      </c>
      <c r="C303" s="9" t="s">
        <v>4716</v>
      </c>
      <c r="D303" s="9">
        <v>29.0</v>
      </c>
      <c r="E303" s="18">
        <f t="shared" si="1"/>
        <v>21791</v>
      </c>
      <c r="F303" s="9">
        <v>0.0</v>
      </c>
      <c r="G303" s="19">
        <v>13974.46</v>
      </c>
      <c r="H303" s="9" t="s">
        <v>4723</v>
      </c>
      <c r="I303" s="9" t="s">
        <v>4723</v>
      </c>
      <c r="J303" s="9" t="s">
        <v>4728</v>
      </c>
      <c r="K303" s="20">
        <f t="shared" si="2"/>
        <v>1959</v>
      </c>
      <c r="L303" s="9" t="str">
        <f t="shared" si="3"/>
        <v>tier - 2</v>
      </c>
      <c r="M303" s="9" t="str">
        <f t="shared" si="4"/>
        <v>tier - 2</v>
      </c>
      <c r="N303" s="9" t="str">
        <f t="shared" si="5"/>
        <v>R1019</v>
      </c>
      <c r="O303" s="17">
        <f t="shared" si="6"/>
        <v>63</v>
      </c>
      <c r="P303" s="18">
        <v>21791.0</v>
      </c>
    </row>
    <row r="304" ht="15.75" customHeight="1">
      <c r="A304" s="9" t="s">
        <v>1453</v>
      </c>
      <c r="B304" s="17">
        <v>1990.0</v>
      </c>
      <c r="C304" s="9" t="s">
        <v>4741</v>
      </c>
      <c r="D304" s="9">
        <v>13.0</v>
      </c>
      <c r="E304" s="18">
        <f t="shared" si="1"/>
        <v>33067</v>
      </c>
      <c r="F304" s="9">
        <v>3.0</v>
      </c>
      <c r="G304" s="19">
        <v>13979.45</v>
      </c>
      <c r="H304" s="9" t="s">
        <v>4723</v>
      </c>
      <c r="I304" s="9" t="s">
        <v>4718</v>
      </c>
      <c r="J304" s="9" t="s">
        <v>4756</v>
      </c>
      <c r="K304" s="20">
        <f t="shared" si="2"/>
        <v>1990</v>
      </c>
      <c r="L304" s="9" t="str">
        <f t="shared" si="3"/>
        <v>tier - 2</v>
      </c>
      <c r="M304" s="9" t="str">
        <f t="shared" si="4"/>
        <v>tier - 1</v>
      </c>
      <c r="N304" s="9" t="str">
        <f t="shared" si="5"/>
        <v>R1023</v>
      </c>
      <c r="O304" s="17">
        <f t="shared" si="6"/>
        <v>32</v>
      </c>
      <c r="P304" s="18">
        <v>33067.0</v>
      </c>
    </row>
    <row r="305" ht="15.75" customHeight="1">
      <c r="A305" s="9" t="s">
        <v>1451</v>
      </c>
      <c r="B305" s="17">
        <v>1959.0</v>
      </c>
      <c r="C305" s="9" t="s">
        <v>4738</v>
      </c>
      <c r="D305" s="9">
        <v>6.0</v>
      </c>
      <c r="E305" s="18">
        <f t="shared" si="1"/>
        <v>21799</v>
      </c>
      <c r="F305" s="9">
        <v>0.0</v>
      </c>
      <c r="G305" s="19">
        <v>13981.85</v>
      </c>
      <c r="H305" s="9" t="s">
        <v>4723</v>
      </c>
      <c r="I305" s="9" t="s">
        <v>4718</v>
      </c>
      <c r="J305" s="9" t="s">
        <v>4754</v>
      </c>
      <c r="K305" s="20">
        <f t="shared" si="2"/>
        <v>1959</v>
      </c>
      <c r="L305" s="9" t="str">
        <f t="shared" si="3"/>
        <v>tier - 2</v>
      </c>
      <c r="M305" s="9" t="str">
        <f t="shared" si="4"/>
        <v>tier - 1</v>
      </c>
      <c r="N305" s="9" t="str">
        <f t="shared" si="5"/>
        <v>R1016</v>
      </c>
      <c r="O305" s="17">
        <f t="shared" si="6"/>
        <v>63</v>
      </c>
      <c r="P305" s="18">
        <v>21799.0</v>
      </c>
    </row>
    <row r="306" ht="15.75" customHeight="1">
      <c r="A306" s="9" t="s">
        <v>1449</v>
      </c>
      <c r="B306" s="17">
        <v>1963.0</v>
      </c>
      <c r="C306" s="9" t="s">
        <v>4725</v>
      </c>
      <c r="D306" s="9">
        <v>23.0</v>
      </c>
      <c r="E306" s="18">
        <f t="shared" si="1"/>
        <v>23368</v>
      </c>
      <c r="F306" s="9">
        <v>3.0</v>
      </c>
      <c r="G306" s="19">
        <v>14001.13</v>
      </c>
      <c r="H306" s="9" t="s">
        <v>4723</v>
      </c>
      <c r="I306" s="9" t="s">
        <v>4718</v>
      </c>
      <c r="J306" s="9" t="s">
        <v>4743</v>
      </c>
      <c r="K306" s="20">
        <f t="shared" si="2"/>
        <v>1963</v>
      </c>
      <c r="L306" s="9" t="str">
        <f t="shared" si="3"/>
        <v>tier - 2</v>
      </c>
      <c r="M306" s="9" t="str">
        <f t="shared" si="4"/>
        <v>tier - 1</v>
      </c>
      <c r="N306" s="9" t="str">
        <f t="shared" si="5"/>
        <v>R1013</v>
      </c>
      <c r="O306" s="17">
        <f t="shared" si="6"/>
        <v>59</v>
      </c>
      <c r="P306" s="18">
        <v>23368.0</v>
      </c>
    </row>
    <row r="307" ht="15.75" customHeight="1">
      <c r="A307" s="9" t="s">
        <v>1447</v>
      </c>
      <c r="B307" s="17">
        <v>1963.0</v>
      </c>
      <c r="C307" s="9" t="s">
        <v>4741</v>
      </c>
      <c r="D307" s="9">
        <v>6.0</v>
      </c>
      <c r="E307" s="18">
        <f t="shared" si="1"/>
        <v>23198</v>
      </c>
      <c r="F307" s="9">
        <v>3.0</v>
      </c>
      <c r="G307" s="19">
        <v>14001.29</v>
      </c>
      <c r="H307" s="9" t="s">
        <v>4723</v>
      </c>
      <c r="I307" s="9" t="s">
        <v>4723</v>
      </c>
      <c r="J307" s="9" t="s">
        <v>4743</v>
      </c>
      <c r="K307" s="20">
        <f t="shared" si="2"/>
        <v>1963</v>
      </c>
      <c r="L307" s="9" t="str">
        <f t="shared" si="3"/>
        <v>tier - 2</v>
      </c>
      <c r="M307" s="9" t="str">
        <f t="shared" si="4"/>
        <v>tier - 2</v>
      </c>
      <c r="N307" s="9" t="str">
        <f t="shared" si="5"/>
        <v>R1013</v>
      </c>
      <c r="O307" s="17">
        <f t="shared" si="6"/>
        <v>59</v>
      </c>
      <c r="P307" s="18">
        <v>23198.0</v>
      </c>
    </row>
    <row r="308" ht="15.75" customHeight="1">
      <c r="A308" s="9" t="s">
        <v>1445</v>
      </c>
      <c r="B308" s="17">
        <v>1963.0</v>
      </c>
      <c r="C308" s="9" t="s">
        <v>4741</v>
      </c>
      <c r="D308" s="9">
        <v>8.0</v>
      </c>
      <c r="E308" s="18">
        <f t="shared" si="1"/>
        <v>23200</v>
      </c>
      <c r="F308" s="9">
        <v>3.0</v>
      </c>
      <c r="G308" s="19">
        <v>14007.22</v>
      </c>
      <c r="H308" s="9" t="s">
        <v>4723</v>
      </c>
      <c r="I308" s="9" t="s">
        <v>4717</v>
      </c>
      <c r="J308" s="9" t="s">
        <v>4719</v>
      </c>
      <c r="K308" s="20">
        <f t="shared" si="2"/>
        <v>1963</v>
      </c>
      <c r="L308" s="9" t="str">
        <f t="shared" si="3"/>
        <v>tier - 2</v>
      </c>
      <c r="M308" s="9" t="str">
        <f t="shared" si="4"/>
        <v>tier - 3</v>
      </c>
      <c r="N308" s="9" t="str">
        <f t="shared" si="5"/>
        <v>R1011</v>
      </c>
      <c r="O308" s="17">
        <f t="shared" si="6"/>
        <v>59</v>
      </c>
      <c r="P308" s="18">
        <v>23200.0</v>
      </c>
    </row>
    <row r="309" ht="15.75" customHeight="1">
      <c r="A309" s="9" t="s">
        <v>1443</v>
      </c>
      <c r="B309" s="17">
        <v>1960.0</v>
      </c>
      <c r="C309" s="9" t="s">
        <v>4735</v>
      </c>
      <c r="D309" s="9">
        <v>8.0</v>
      </c>
      <c r="E309" s="18">
        <f t="shared" si="1"/>
        <v>22228</v>
      </c>
      <c r="F309" s="9">
        <v>0.0</v>
      </c>
      <c r="G309" s="19">
        <v>14043.48</v>
      </c>
      <c r="H309" s="9" t="s">
        <v>4723</v>
      </c>
      <c r="I309" s="9" t="s">
        <v>4717</v>
      </c>
      <c r="J309" s="9" t="s">
        <v>4731</v>
      </c>
      <c r="K309" s="20">
        <f t="shared" si="2"/>
        <v>1960</v>
      </c>
      <c r="L309" s="9" t="str">
        <f t="shared" si="3"/>
        <v>tier - 2</v>
      </c>
      <c r="M309" s="9" t="str">
        <f t="shared" si="4"/>
        <v>tier - 3</v>
      </c>
      <c r="N309" s="9" t="str">
        <f t="shared" si="5"/>
        <v>R1024</v>
      </c>
      <c r="O309" s="17">
        <f t="shared" si="6"/>
        <v>62</v>
      </c>
      <c r="P309" s="18">
        <v>22228.0</v>
      </c>
    </row>
    <row r="310" ht="15.75" customHeight="1">
      <c r="A310" s="9" t="s">
        <v>1441</v>
      </c>
      <c r="B310" s="17">
        <v>1991.0</v>
      </c>
      <c r="C310" s="9" t="s">
        <v>4738</v>
      </c>
      <c r="D310" s="9">
        <v>12.0</v>
      </c>
      <c r="E310" s="18">
        <f t="shared" si="1"/>
        <v>33493</v>
      </c>
      <c r="F310" s="9">
        <v>3.0</v>
      </c>
      <c r="G310" s="19">
        <v>14081.93</v>
      </c>
      <c r="H310" s="9" t="s">
        <v>4723</v>
      </c>
      <c r="I310" s="9" t="s">
        <v>4717</v>
      </c>
      <c r="J310" s="9" t="s">
        <v>4733</v>
      </c>
      <c r="K310" s="20">
        <f t="shared" si="2"/>
        <v>1991</v>
      </c>
      <c r="L310" s="9" t="str">
        <f t="shared" si="3"/>
        <v>tier - 2</v>
      </c>
      <c r="M310" s="9" t="str">
        <f t="shared" si="4"/>
        <v>tier - 3</v>
      </c>
      <c r="N310" s="9" t="str">
        <f t="shared" si="5"/>
        <v>R1012</v>
      </c>
      <c r="O310" s="17">
        <f t="shared" si="6"/>
        <v>31</v>
      </c>
      <c r="P310" s="18">
        <v>33493.0</v>
      </c>
    </row>
    <row r="311" ht="15.75" customHeight="1">
      <c r="A311" s="9" t="s">
        <v>145</v>
      </c>
      <c r="B311" s="17">
        <v>1972.0</v>
      </c>
      <c r="C311" s="9" t="s">
        <v>4730</v>
      </c>
      <c r="D311" s="9">
        <v>8.0</v>
      </c>
      <c r="E311" s="18">
        <f t="shared" si="1"/>
        <v>26458</v>
      </c>
      <c r="F311" s="9">
        <v>1.0</v>
      </c>
      <c r="G311" s="19">
        <v>41919.1</v>
      </c>
      <c r="H311" s="9" t="s">
        <v>4718</v>
      </c>
      <c r="I311" s="9" t="s">
        <v>4718</v>
      </c>
      <c r="J311" s="9" t="s">
        <v>4754</v>
      </c>
      <c r="K311" s="20">
        <f t="shared" si="2"/>
        <v>1972</v>
      </c>
      <c r="L311" s="9" t="str">
        <f t="shared" si="3"/>
        <v>tier - 1</v>
      </c>
      <c r="M311" s="9" t="str">
        <f t="shared" si="4"/>
        <v>tier - 1</v>
      </c>
      <c r="N311" s="9" t="str">
        <f t="shared" si="5"/>
        <v>R1016</v>
      </c>
      <c r="O311" s="17">
        <f t="shared" si="6"/>
        <v>51</v>
      </c>
      <c r="P311" s="18">
        <v>26458.0</v>
      </c>
    </row>
    <row r="312" ht="15.75" customHeight="1">
      <c r="A312" s="9" t="s">
        <v>1439</v>
      </c>
      <c r="B312" s="17">
        <v>1976.0</v>
      </c>
      <c r="C312" s="9" t="s">
        <v>4738</v>
      </c>
      <c r="D312" s="9">
        <v>26.0</v>
      </c>
      <c r="E312" s="18">
        <f t="shared" si="1"/>
        <v>28029</v>
      </c>
      <c r="F312" s="9">
        <v>2.0</v>
      </c>
      <c r="G312" s="19">
        <v>14098.07</v>
      </c>
      <c r="H312" s="9" t="s">
        <v>4723</v>
      </c>
      <c r="I312" s="9" t="s">
        <v>4717</v>
      </c>
      <c r="J312" s="9" t="s">
        <v>4756</v>
      </c>
      <c r="K312" s="20">
        <f t="shared" si="2"/>
        <v>1976</v>
      </c>
      <c r="L312" s="9" t="str">
        <f t="shared" si="3"/>
        <v>tier - 2</v>
      </c>
      <c r="M312" s="9" t="str">
        <f t="shared" si="4"/>
        <v>tier - 3</v>
      </c>
      <c r="N312" s="9" t="str">
        <f t="shared" si="5"/>
        <v>R1023</v>
      </c>
      <c r="O312" s="17">
        <f t="shared" si="6"/>
        <v>46</v>
      </c>
      <c r="P312" s="18">
        <v>28029.0</v>
      </c>
    </row>
    <row r="313" ht="15.75" customHeight="1">
      <c r="A313" s="9" t="s">
        <v>1437</v>
      </c>
      <c r="B313" s="17">
        <v>1961.0</v>
      </c>
      <c r="C313" s="9" t="s">
        <v>4730</v>
      </c>
      <c r="D313" s="9">
        <v>14.0</v>
      </c>
      <c r="E313" s="18">
        <f t="shared" si="1"/>
        <v>22446</v>
      </c>
      <c r="F313" s="9">
        <v>2.0</v>
      </c>
      <c r="G313" s="19">
        <v>14119.62</v>
      </c>
      <c r="H313" s="9" t="s">
        <v>4723</v>
      </c>
      <c r="I313" s="9" t="s">
        <v>4718</v>
      </c>
      <c r="J313" s="9" t="s">
        <v>4733</v>
      </c>
      <c r="K313" s="20">
        <f t="shared" si="2"/>
        <v>1961</v>
      </c>
      <c r="L313" s="9" t="str">
        <f t="shared" si="3"/>
        <v>tier - 2</v>
      </c>
      <c r="M313" s="9" t="str">
        <f t="shared" si="4"/>
        <v>tier - 1</v>
      </c>
      <c r="N313" s="9" t="str">
        <f t="shared" si="5"/>
        <v>R1012</v>
      </c>
      <c r="O313" s="17">
        <f t="shared" si="6"/>
        <v>61</v>
      </c>
      <c r="P313" s="18">
        <v>22446.0</v>
      </c>
    </row>
    <row r="314" ht="15.75" customHeight="1">
      <c r="A314" s="9" t="s">
        <v>1435</v>
      </c>
      <c r="B314" s="17">
        <v>2004.0</v>
      </c>
      <c r="C314" s="9" t="s">
        <v>4741</v>
      </c>
      <c r="D314" s="9">
        <v>6.0</v>
      </c>
      <c r="E314" s="18">
        <f t="shared" si="1"/>
        <v>38174</v>
      </c>
      <c r="F314" s="9">
        <v>0.0</v>
      </c>
      <c r="G314" s="19">
        <v>14133.04</v>
      </c>
      <c r="H314" s="9" t="s">
        <v>4723</v>
      </c>
      <c r="I314" s="9" t="s">
        <v>4717</v>
      </c>
      <c r="J314" s="9" t="s">
        <v>4743</v>
      </c>
      <c r="K314" s="20">
        <f t="shared" si="2"/>
        <v>2004</v>
      </c>
      <c r="L314" s="9" t="str">
        <f t="shared" si="3"/>
        <v>tier - 2</v>
      </c>
      <c r="M314" s="9" t="str">
        <f t="shared" si="4"/>
        <v>tier - 3</v>
      </c>
      <c r="N314" s="9" t="str">
        <f t="shared" si="5"/>
        <v>R1013</v>
      </c>
      <c r="O314" s="17">
        <f t="shared" si="6"/>
        <v>18</v>
      </c>
      <c r="P314" s="18">
        <v>38174.0</v>
      </c>
    </row>
    <row r="315" ht="15.75" customHeight="1">
      <c r="A315" s="9" t="s">
        <v>1433</v>
      </c>
      <c r="B315" s="17">
        <v>1984.0</v>
      </c>
      <c r="C315" s="9" t="s">
        <v>4741</v>
      </c>
      <c r="D315" s="9">
        <v>7.0</v>
      </c>
      <c r="E315" s="18">
        <f t="shared" si="1"/>
        <v>30870</v>
      </c>
      <c r="F315" s="9">
        <v>3.0</v>
      </c>
      <c r="G315" s="19">
        <v>14152.46</v>
      </c>
      <c r="H315" s="9" t="s">
        <v>4723</v>
      </c>
      <c r="I315" s="9" t="s">
        <v>4718</v>
      </c>
      <c r="J315" s="9" t="s">
        <v>4733</v>
      </c>
      <c r="K315" s="20">
        <f t="shared" si="2"/>
        <v>1984</v>
      </c>
      <c r="L315" s="9" t="str">
        <f t="shared" si="3"/>
        <v>tier - 2</v>
      </c>
      <c r="M315" s="9" t="str">
        <f t="shared" si="4"/>
        <v>tier - 1</v>
      </c>
      <c r="N315" s="9" t="str">
        <f t="shared" si="5"/>
        <v>R1012</v>
      </c>
      <c r="O315" s="17">
        <f t="shared" si="6"/>
        <v>38</v>
      </c>
      <c r="P315" s="18">
        <v>30870.0</v>
      </c>
    </row>
    <row r="316" ht="15.75" customHeight="1">
      <c r="A316" s="9" t="s">
        <v>1431</v>
      </c>
      <c r="B316" s="17">
        <v>1968.0</v>
      </c>
      <c r="C316" s="9" t="s">
        <v>4725</v>
      </c>
      <c r="D316" s="9">
        <v>25.0</v>
      </c>
      <c r="E316" s="18">
        <f t="shared" si="1"/>
        <v>25197</v>
      </c>
      <c r="F316" s="9">
        <v>0.0</v>
      </c>
      <c r="G316" s="19">
        <v>14193.55</v>
      </c>
      <c r="H316" s="9" t="s">
        <v>4723</v>
      </c>
      <c r="I316" s="9" t="s">
        <v>4718</v>
      </c>
      <c r="J316" s="9" t="s">
        <v>4721</v>
      </c>
      <c r="K316" s="20">
        <f t="shared" si="2"/>
        <v>1968</v>
      </c>
      <c r="L316" s="9" t="str">
        <f t="shared" si="3"/>
        <v>tier - 2</v>
      </c>
      <c r="M316" s="9" t="str">
        <f t="shared" si="4"/>
        <v>tier - 1</v>
      </c>
      <c r="N316" s="9" t="str">
        <f t="shared" si="5"/>
        <v>R1026</v>
      </c>
      <c r="O316" s="17">
        <f t="shared" si="6"/>
        <v>54</v>
      </c>
      <c r="P316" s="18">
        <v>25197.0</v>
      </c>
    </row>
    <row r="317" ht="15.75" customHeight="1">
      <c r="A317" s="9" t="s">
        <v>1429</v>
      </c>
      <c r="B317" s="17">
        <v>1983.0</v>
      </c>
      <c r="C317" s="9" t="s">
        <v>4735</v>
      </c>
      <c r="D317" s="9">
        <v>17.0</v>
      </c>
      <c r="E317" s="18">
        <f t="shared" si="1"/>
        <v>30637</v>
      </c>
      <c r="F317" s="9">
        <v>3.0</v>
      </c>
      <c r="G317" s="19">
        <v>14209.4</v>
      </c>
      <c r="H317" s="9" t="s">
        <v>4723</v>
      </c>
      <c r="I317" s="9" t="s">
        <v>4718</v>
      </c>
      <c r="J317" s="9" t="s">
        <v>4721</v>
      </c>
      <c r="K317" s="20">
        <f t="shared" si="2"/>
        <v>1983</v>
      </c>
      <c r="L317" s="9" t="str">
        <f t="shared" si="3"/>
        <v>tier - 2</v>
      </c>
      <c r="M317" s="9" t="str">
        <f t="shared" si="4"/>
        <v>tier - 1</v>
      </c>
      <c r="N317" s="9" t="str">
        <f t="shared" si="5"/>
        <v>R1026</v>
      </c>
      <c r="O317" s="17">
        <f t="shared" si="6"/>
        <v>39</v>
      </c>
      <c r="P317" s="18">
        <v>30637.0</v>
      </c>
    </row>
    <row r="318" ht="15.75" customHeight="1">
      <c r="A318" s="9" t="s">
        <v>1427</v>
      </c>
      <c r="B318" s="17">
        <v>1958.0</v>
      </c>
      <c r="C318" s="9" t="s">
        <v>4738</v>
      </c>
      <c r="D318" s="9">
        <v>21.0</v>
      </c>
      <c r="E318" s="18">
        <f t="shared" si="1"/>
        <v>21449</v>
      </c>
      <c r="F318" s="9">
        <v>0.0</v>
      </c>
      <c r="G318" s="19">
        <v>14210.54</v>
      </c>
      <c r="H318" s="9" t="s">
        <v>4723</v>
      </c>
      <c r="I318" s="9" t="s">
        <v>4723</v>
      </c>
      <c r="J318" s="9" t="s">
        <v>4733</v>
      </c>
      <c r="K318" s="20">
        <f t="shared" si="2"/>
        <v>1958</v>
      </c>
      <c r="L318" s="9" t="str">
        <f t="shared" si="3"/>
        <v>tier - 2</v>
      </c>
      <c r="M318" s="9" t="str">
        <f t="shared" si="4"/>
        <v>tier - 2</v>
      </c>
      <c r="N318" s="9" t="str">
        <f t="shared" si="5"/>
        <v>R1012</v>
      </c>
      <c r="O318" s="17">
        <f t="shared" si="6"/>
        <v>64</v>
      </c>
      <c r="P318" s="18">
        <v>21449.0</v>
      </c>
    </row>
    <row r="319" ht="15.75" customHeight="1">
      <c r="A319" s="9" t="s">
        <v>1425</v>
      </c>
      <c r="B319" s="17">
        <v>1961.0</v>
      </c>
      <c r="C319" s="9" t="s">
        <v>4738</v>
      </c>
      <c r="D319" s="9">
        <v>25.0</v>
      </c>
      <c r="E319" s="18">
        <f t="shared" si="1"/>
        <v>22549</v>
      </c>
      <c r="F319" s="9">
        <v>2.0</v>
      </c>
      <c r="G319" s="19">
        <v>14235.07</v>
      </c>
      <c r="H319" s="9" t="s">
        <v>4723</v>
      </c>
      <c r="I319" s="9" t="s">
        <v>4718</v>
      </c>
      <c r="J319" s="9" t="s">
        <v>4719</v>
      </c>
      <c r="K319" s="20">
        <f t="shared" si="2"/>
        <v>1961</v>
      </c>
      <c r="L319" s="9" t="str">
        <f t="shared" si="3"/>
        <v>tier - 2</v>
      </c>
      <c r="M319" s="9" t="str">
        <f t="shared" si="4"/>
        <v>tier - 1</v>
      </c>
      <c r="N319" s="9" t="str">
        <f t="shared" si="5"/>
        <v>R1011</v>
      </c>
      <c r="O319" s="17">
        <f t="shared" si="6"/>
        <v>61</v>
      </c>
      <c r="P319" s="18">
        <v>22549.0</v>
      </c>
    </row>
    <row r="320" ht="15.75" customHeight="1">
      <c r="A320" s="9" t="s">
        <v>1423</v>
      </c>
      <c r="B320" s="17">
        <v>1959.0</v>
      </c>
      <c r="C320" s="9" t="s">
        <v>4720</v>
      </c>
      <c r="D320" s="9">
        <v>10.0</v>
      </c>
      <c r="E320" s="18">
        <f t="shared" si="1"/>
        <v>21833</v>
      </c>
      <c r="F320" s="9">
        <v>0.0</v>
      </c>
      <c r="G320" s="19">
        <v>14254.61</v>
      </c>
      <c r="H320" s="9" t="s">
        <v>4723</v>
      </c>
      <c r="I320" s="9" t="s">
        <v>4718</v>
      </c>
      <c r="J320" s="9" t="s">
        <v>4733</v>
      </c>
      <c r="K320" s="20">
        <f t="shared" si="2"/>
        <v>1959</v>
      </c>
      <c r="L320" s="9" t="str">
        <f t="shared" si="3"/>
        <v>tier - 2</v>
      </c>
      <c r="M320" s="9" t="str">
        <f t="shared" si="4"/>
        <v>tier - 1</v>
      </c>
      <c r="N320" s="9" t="str">
        <f t="shared" si="5"/>
        <v>R1012</v>
      </c>
      <c r="O320" s="17">
        <f t="shared" si="6"/>
        <v>63</v>
      </c>
      <c r="P320" s="18">
        <v>21833.0</v>
      </c>
    </row>
    <row r="321" ht="15.75" customHeight="1">
      <c r="A321" s="9" t="s">
        <v>1421</v>
      </c>
      <c r="B321" s="17">
        <v>1959.0</v>
      </c>
      <c r="C321" s="9" t="s">
        <v>4735</v>
      </c>
      <c r="D321" s="9">
        <v>8.0</v>
      </c>
      <c r="E321" s="18">
        <f t="shared" si="1"/>
        <v>21862</v>
      </c>
      <c r="F321" s="9">
        <v>0.0</v>
      </c>
      <c r="G321" s="19">
        <v>14256.19</v>
      </c>
      <c r="H321" s="9" t="s">
        <v>4723</v>
      </c>
      <c r="I321" s="9" t="s">
        <v>4717</v>
      </c>
      <c r="J321" s="9" t="s">
        <v>4733</v>
      </c>
      <c r="K321" s="20">
        <f t="shared" si="2"/>
        <v>1959</v>
      </c>
      <c r="L321" s="9" t="str">
        <f t="shared" si="3"/>
        <v>tier - 2</v>
      </c>
      <c r="M321" s="9" t="str">
        <f t="shared" si="4"/>
        <v>tier - 3</v>
      </c>
      <c r="N321" s="9" t="str">
        <f t="shared" si="5"/>
        <v>R1012</v>
      </c>
      <c r="O321" s="17">
        <f t="shared" si="6"/>
        <v>63</v>
      </c>
      <c r="P321" s="18">
        <v>21862.0</v>
      </c>
    </row>
    <row r="322" ht="15.75" customHeight="1">
      <c r="A322" s="9" t="s">
        <v>143</v>
      </c>
      <c r="B322" s="17">
        <v>1984.0</v>
      </c>
      <c r="C322" s="9" t="s">
        <v>4735</v>
      </c>
      <c r="D322" s="9">
        <v>10.0</v>
      </c>
      <c r="E322" s="18">
        <f t="shared" si="1"/>
        <v>30996</v>
      </c>
      <c r="F322" s="9">
        <v>3.0</v>
      </c>
      <c r="G322" s="19">
        <v>41949.24</v>
      </c>
      <c r="H322" s="9" t="s">
        <v>4718</v>
      </c>
      <c r="I322" s="9" t="s">
        <v>4718</v>
      </c>
      <c r="J322" s="9" t="s">
        <v>4743</v>
      </c>
      <c r="K322" s="20">
        <f t="shared" si="2"/>
        <v>1984</v>
      </c>
      <c r="L322" s="9" t="str">
        <f t="shared" si="3"/>
        <v>tier - 1</v>
      </c>
      <c r="M322" s="9" t="str">
        <f t="shared" si="4"/>
        <v>tier - 1</v>
      </c>
      <c r="N322" s="9" t="str">
        <f t="shared" si="5"/>
        <v>R1013</v>
      </c>
      <c r="O322" s="17">
        <f t="shared" si="6"/>
        <v>38</v>
      </c>
      <c r="P322" s="18">
        <v>30996.0</v>
      </c>
    </row>
    <row r="323" ht="15.75" customHeight="1">
      <c r="A323" s="9" t="s">
        <v>1419</v>
      </c>
      <c r="B323" s="17">
        <v>1974.0</v>
      </c>
      <c r="C323" s="9" t="s">
        <v>4725</v>
      </c>
      <c r="D323" s="9">
        <v>26.0</v>
      </c>
      <c r="E323" s="18">
        <f t="shared" si="1"/>
        <v>27389</v>
      </c>
      <c r="F323" s="9">
        <v>0.0</v>
      </c>
      <c r="G323" s="19">
        <v>14256.79</v>
      </c>
      <c r="H323" s="9" t="s">
        <v>4723</v>
      </c>
      <c r="I323" s="9" t="s">
        <v>4723</v>
      </c>
      <c r="J323" s="9" t="s">
        <v>4721</v>
      </c>
      <c r="K323" s="20">
        <f t="shared" si="2"/>
        <v>1974</v>
      </c>
      <c r="L323" s="9" t="str">
        <f t="shared" si="3"/>
        <v>tier - 2</v>
      </c>
      <c r="M323" s="9" t="str">
        <f t="shared" si="4"/>
        <v>tier - 2</v>
      </c>
      <c r="N323" s="9" t="str">
        <f t="shared" si="5"/>
        <v>R1026</v>
      </c>
      <c r="O323" s="17">
        <f t="shared" si="6"/>
        <v>48</v>
      </c>
      <c r="P323" s="18">
        <v>27389.0</v>
      </c>
    </row>
    <row r="324" ht="15.75" customHeight="1">
      <c r="A324" s="9" t="s">
        <v>1417</v>
      </c>
      <c r="B324" s="17">
        <v>1972.0</v>
      </c>
      <c r="C324" s="9" t="s">
        <v>4741</v>
      </c>
      <c r="D324" s="9">
        <v>13.0</v>
      </c>
      <c r="E324" s="18">
        <f t="shared" si="1"/>
        <v>26493</v>
      </c>
      <c r="F324" s="9">
        <v>0.0</v>
      </c>
      <c r="G324" s="19">
        <v>14258.33</v>
      </c>
      <c r="H324" s="9" t="s">
        <v>4723</v>
      </c>
      <c r="I324" s="9" t="s">
        <v>4723</v>
      </c>
      <c r="J324" s="9" t="s">
        <v>4721</v>
      </c>
      <c r="K324" s="20">
        <f t="shared" si="2"/>
        <v>1972</v>
      </c>
      <c r="L324" s="9" t="str">
        <f t="shared" si="3"/>
        <v>tier - 2</v>
      </c>
      <c r="M324" s="9" t="str">
        <f t="shared" si="4"/>
        <v>tier - 2</v>
      </c>
      <c r="N324" s="9" t="str">
        <f t="shared" si="5"/>
        <v>R1026</v>
      </c>
      <c r="O324" s="17">
        <f t="shared" si="6"/>
        <v>50</v>
      </c>
      <c r="P324" s="18">
        <v>26493.0</v>
      </c>
    </row>
    <row r="325" ht="15.75" customHeight="1">
      <c r="A325" s="9" t="s">
        <v>1415</v>
      </c>
      <c r="B325" s="17">
        <v>2004.0</v>
      </c>
      <c r="C325" s="9" t="s">
        <v>4738</v>
      </c>
      <c r="D325" s="9">
        <v>6.0</v>
      </c>
      <c r="E325" s="18">
        <f t="shared" si="1"/>
        <v>38236</v>
      </c>
      <c r="F325" s="9">
        <v>0.0</v>
      </c>
      <c r="G325" s="19">
        <v>14283.46</v>
      </c>
      <c r="H325" s="9" t="s">
        <v>4723</v>
      </c>
      <c r="I325" s="9" t="s">
        <v>4723</v>
      </c>
      <c r="J325" s="9" t="s">
        <v>4731</v>
      </c>
      <c r="K325" s="20">
        <f t="shared" si="2"/>
        <v>2004</v>
      </c>
      <c r="L325" s="9" t="str">
        <f t="shared" si="3"/>
        <v>tier - 2</v>
      </c>
      <c r="M325" s="9" t="str">
        <f t="shared" si="4"/>
        <v>tier - 2</v>
      </c>
      <c r="N325" s="9" t="str">
        <f t="shared" si="5"/>
        <v>R1024</v>
      </c>
      <c r="O325" s="17">
        <f t="shared" si="6"/>
        <v>18</v>
      </c>
      <c r="P325" s="18">
        <v>38236.0</v>
      </c>
    </row>
    <row r="326" ht="15.75" customHeight="1">
      <c r="A326" s="9" t="s">
        <v>1413</v>
      </c>
      <c r="B326" s="17">
        <v>1968.0</v>
      </c>
      <c r="C326" s="9" t="s">
        <v>4725</v>
      </c>
      <c r="D326" s="9">
        <v>15.0</v>
      </c>
      <c r="E326" s="18">
        <f t="shared" si="1"/>
        <v>25187</v>
      </c>
      <c r="F326" s="9">
        <v>0.0</v>
      </c>
      <c r="G326" s="19">
        <v>14285.9</v>
      </c>
      <c r="H326" s="9" t="s">
        <v>4723</v>
      </c>
      <c r="I326" s="9" t="s">
        <v>4717</v>
      </c>
      <c r="J326" s="9" t="s">
        <v>4733</v>
      </c>
      <c r="K326" s="20">
        <f t="shared" si="2"/>
        <v>1968</v>
      </c>
      <c r="L326" s="9" t="str">
        <f t="shared" si="3"/>
        <v>tier - 2</v>
      </c>
      <c r="M326" s="9" t="str">
        <f t="shared" si="4"/>
        <v>tier - 3</v>
      </c>
      <c r="N326" s="9" t="str">
        <f t="shared" si="5"/>
        <v>R1012</v>
      </c>
      <c r="O326" s="17">
        <f t="shared" si="6"/>
        <v>54</v>
      </c>
      <c r="P326" s="18">
        <v>25187.0</v>
      </c>
    </row>
    <row r="327" ht="15.75" customHeight="1">
      <c r="A327" s="9" t="s">
        <v>1411</v>
      </c>
      <c r="B327" s="17">
        <v>1958.0</v>
      </c>
      <c r="C327" s="9" t="s">
        <v>4720</v>
      </c>
      <c r="D327" s="9">
        <v>15.0</v>
      </c>
      <c r="E327" s="18">
        <f t="shared" si="1"/>
        <v>21473</v>
      </c>
      <c r="F327" s="9">
        <v>0.0</v>
      </c>
      <c r="G327" s="19">
        <v>14313.85</v>
      </c>
      <c r="H327" s="9" t="s">
        <v>4723</v>
      </c>
      <c r="I327" s="9" t="s">
        <v>4717</v>
      </c>
      <c r="J327" s="9" t="s">
        <v>4743</v>
      </c>
      <c r="K327" s="20">
        <f t="shared" si="2"/>
        <v>1958</v>
      </c>
      <c r="L327" s="9" t="str">
        <f t="shared" si="3"/>
        <v>tier - 2</v>
      </c>
      <c r="M327" s="9" t="str">
        <f t="shared" si="4"/>
        <v>tier - 3</v>
      </c>
      <c r="N327" s="9" t="str">
        <f t="shared" si="5"/>
        <v>R1013</v>
      </c>
      <c r="O327" s="17">
        <f t="shared" si="6"/>
        <v>64</v>
      </c>
      <c r="P327" s="18">
        <v>21473.0</v>
      </c>
    </row>
    <row r="328" ht="15.75" customHeight="1">
      <c r="A328" s="9" t="s">
        <v>1409</v>
      </c>
      <c r="B328" s="17">
        <v>1958.0</v>
      </c>
      <c r="C328" s="9" t="s">
        <v>4741</v>
      </c>
      <c r="D328" s="9">
        <v>10.0</v>
      </c>
      <c r="E328" s="18">
        <f t="shared" si="1"/>
        <v>21376</v>
      </c>
      <c r="F328" s="9">
        <v>0.0</v>
      </c>
      <c r="G328" s="19">
        <v>14319.03</v>
      </c>
      <c r="H328" s="9" t="s">
        <v>4723</v>
      </c>
      <c r="I328" s="9" t="s">
        <v>4723</v>
      </c>
      <c r="J328" s="9" t="s">
        <v>4719</v>
      </c>
      <c r="K328" s="20">
        <f t="shared" si="2"/>
        <v>1958</v>
      </c>
      <c r="L328" s="9" t="str">
        <f t="shared" si="3"/>
        <v>tier - 2</v>
      </c>
      <c r="M328" s="9" t="str">
        <f t="shared" si="4"/>
        <v>tier - 2</v>
      </c>
      <c r="N328" s="9" t="str">
        <f t="shared" si="5"/>
        <v>R1011</v>
      </c>
      <c r="O328" s="17">
        <f t="shared" si="6"/>
        <v>64</v>
      </c>
      <c r="P328" s="18">
        <v>21376.0</v>
      </c>
    </row>
    <row r="329" ht="15.75" customHeight="1">
      <c r="A329" s="9" t="s">
        <v>1407</v>
      </c>
      <c r="B329" s="17">
        <v>1969.0</v>
      </c>
      <c r="C329" s="9" t="s">
        <v>4738</v>
      </c>
      <c r="D329" s="9">
        <v>26.0</v>
      </c>
      <c r="E329" s="18">
        <f t="shared" si="1"/>
        <v>25472</v>
      </c>
      <c r="F329" s="9">
        <v>0.0</v>
      </c>
      <c r="G329" s="19">
        <v>14337.91</v>
      </c>
      <c r="H329" s="9" t="s">
        <v>4723</v>
      </c>
      <c r="I329" s="9" t="s">
        <v>4717</v>
      </c>
      <c r="J329" s="9" t="s">
        <v>4736</v>
      </c>
      <c r="K329" s="20">
        <f t="shared" si="2"/>
        <v>1969</v>
      </c>
      <c r="L329" s="9" t="str">
        <f t="shared" si="3"/>
        <v>tier - 2</v>
      </c>
      <c r="M329" s="9" t="str">
        <f t="shared" si="4"/>
        <v>tier - 3</v>
      </c>
      <c r="N329" s="9" t="str">
        <f t="shared" si="5"/>
        <v>R1022</v>
      </c>
      <c r="O329" s="17">
        <f t="shared" si="6"/>
        <v>53</v>
      </c>
      <c r="P329" s="18">
        <v>25472.0</v>
      </c>
    </row>
    <row r="330" ht="15.75" customHeight="1">
      <c r="A330" s="9" t="s">
        <v>1405</v>
      </c>
      <c r="B330" s="17">
        <v>1959.0</v>
      </c>
      <c r="C330" s="9" t="s">
        <v>4725</v>
      </c>
      <c r="D330" s="9">
        <v>24.0</v>
      </c>
      <c r="E330" s="18">
        <f t="shared" si="1"/>
        <v>21908</v>
      </c>
      <c r="F330" s="9">
        <v>1.0</v>
      </c>
      <c r="G330" s="19">
        <v>14349.85</v>
      </c>
      <c r="H330" s="9" t="s">
        <v>4723</v>
      </c>
      <c r="I330" s="9" t="s">
        <v>4723</v>
      </c>
      <c r="J330" s="9" t="s">
        <v>4733</v>
      </c>
      <c r="K330" s="20">
        <f t="shared" si="2"/>
        <v>1959</v>
      </c>
      <c r="L330" s="9" t="str">
        <f t="shared" si="3"/>
        <v>tier - 2</v>
      </c>
      <c r="M330" s="9" t="str">
        <f t="shared" si="4"/>
        <v>tier - 2</v>
      </c>
      <c r="N330" s="9" t="str">
        <f t="shared" si="5"/>
        <v>R1012</v>
      </c>
      <c r="O330" s="17">
        <f t="shared" si="6"/>
        <v>63</v>
      </c>
      <c r="P330" s="18">
        <v>21908.0</v>
      </c>
    </row>
    <row r="331" ht="15.75" customHeight="1">
      <c r="A331" s="9" t="s">
        <v>1403</v>
      </c>
      <c r="B331" s="17">
        <v>1967.0</v>
      </c>
      <c r="C331" s="9" t="s">
        <v>4720</v>
      </c>
      <c r="D331" s="9">
        <v>10.0</v>
      </c>
      <c r="E331" s="18">
        <f t="shared" si="1"/>
        <v>24755</v>
      </c>
      <c r="F331" s="9">
        <v>0.0</v>
      </c>
      <c r="G331" s="19">
        <v>14355.43</v>
      </c>
      <c r="H331" s="9" t="s">
        <v>4723</v>
      </c>
      <c r="I331" s="9" t="s">
        <v>4718</v>
      </c>
      <c r="J331" s="9" t="s">
        <v>4721</v>
      </c>
      <c r="K331" s="20">
        <f t="shared" si="2"/>
        <v>1967</v>
      </c>
      <c r="L331" s="9" t="str">
        <f t="shared" si="3"/>
        <v>tier - 2</v>
      </c>
      <c r="M331" s="9" t="str">
        <f t="shared" si="4"/>
        <v>tier - 1</v>
      </c>
      <c r="N331" s="9" t="str">
        <f t="shared" si="5"/>
        <v>R1026</v>
      </c>
      <c r="O331" s="17">
        <f t="shared" si="6"/>
        <v>55</v>
      </c>
      <c r="P331" s="18">
        <v>24755.0</v>
      </c>
    </row>
    <row r="332" ht="15.75" customHeight="1">
      <c r="A332" s="9" t="s">
        <v>1401</v>
      </c>
      <c r="B332" s="17">
        <v>1988.0</v>
      </c>
      <c r="C332" s="9" t="s">
        <v>4735</v>
      </c>
      <c r="D332" s="9">
        <v>16.0</v>
      </c>
      <c r="E332" s="18">
        <f t="shared" si="1"/>
        <v>32463</v>
      </c>
      <c r="F332" s="9">
        <v>1.0</v>
      </c>
      <c r="G332" s="19">
        <v>14358.36</v>
      </c>
      <c r="H332" s="9" t="s">
        <v>4723</v>
      </c>
      <c r="I332" s="9" t="s">
        <v>4723</v>
      </c>
      <c r="J332" s="9" t="s">
        <v>4719</v>
      </c>
      <c r="K332" s="20">
        <f t="shared" si="2"/>
        <v>1988</v>
      </c>
      <c r="L332" s="9" t="str">
        <f t="shared" si="3"/>
        <v>tier - 2</v>
      </c>
      <c r="M332" s="9" t="str">
        <f t="shared" si="4"/>
        <v>tier - 2</v>
      </c>
      <c r="N332" s="9" t="str">
        <f t="shared" si="5"/>
        <v>R1011</v>
      </c>
      <c r="O332" s="17">
        <f t="shared" si="6"/>
        <v>34</v>
      </c>
      <c r="P332" s="18">
        <v>32463.0</v>
      </c>
    </row>
    <row r="333" ht="15.75" customHeight="1">
      <c r="A333" s="9" t="s">
        <v>141</v>
      </c>
      <c r="B333" s="17">
        <v>1968.0</v>
      </c>
      <c r="C333" s="9" t="s">
        <v>4725</v>
      </c>
      <c r="D333" s="9">
        <v>19.0</v>
      </c>
      <c r="E333" s="18">
        <f t="shared" si="1"/>
        <v>25191</v>
      </c>
      <c r="F333" s="9">
        <v>1.0</v>
      </c>
      <c r="G333" s="19">
        <v>41999.52</v>
      </c>
      <c r="H333" s="9" t="s">
        <v>4718</v>
      </c>
      <c r="I333" s="9" t="s">
        <v>4717</v>
      </c>
      <c r="J333" s="9" t="s">
        <v>4743</v>
      </c>
      <c r="K333" s="20">
        <f t="shared" si="2"/>
        <v>1968</v>
      </c>
      <c r="L333" s="9" t="str">
        <f t="shared" si="3"/>
        <v>tier - 1</v>
      </c>
      <c r="M333" s="9" t="str">
        <f t="shared" si="4"/>
        <v>tier - 3</v>
      </c>
      <c r="N333" s="9" t="str">
        <f t="shared" si="5"/>
        <v>R1013</v>
      </c>
      <c r="O333" s="17">
        <f t="shared" si="6"/>
        <v>54</v>
      </c>
      <c r="P333" s="18">
        <v>25191.0</v>
      </c>
    </row>
    <row r="334" ht="15.75" customHeight="1">
      <c r="A334" s="9" t="s">
        <v>15</v>
      </c>
      <c r="B334" s="17">
        <v>1994.0</v>
      </c>
      <c r="C334" s="9" t="s">
        <v>4720</v>
      </c>
      <c r="D334" s="9">
        <v>27.0</v>
      </c>
      <c r="E334" s="18">
        <f t="shared" si="1"/>
        <v>34634</v>
      </c>
      <c r="F334" s="9">
        <v>1.0</v>
      </c>
      <c r="G334" s="19">
        <v>51194.56</v>
      </c>
      <c r="H334" s="9" t="s">
        <v>4718</v>
      </c>
      <c r="I334" s="9" t="s">
        <v>4717</v>
      </c>
      <c r="J334" s="9" t="s">
        <v>4719</v>
      </c>
      <c r="K334" s="20">
        <f t="shared" si="2"/>
        <v>1994</v>
      </c>
      <c r="L334" s="9" t="str">
        <f t="shared" si="3"/>
        <v>tier - 1</v>
      </c>
      <c r="M334" s="9" t="str">
        <f t="shared" si="4"/>
        <v>tier - 3</v>
      </c>
      <c r="N334" s="9" t="str">
        <f t="shared" si="5"/>
        <v>R1011</v>
      </c>
      <c r="O334" s="17">
        <f t="shared" si="6"/>
        <v>28</v>
      </c>
      <c r="P334" s="18">
        <v>34634.0</v>
      </c>
    </row>
    <row r="335" ht="15.75" customHeight="1">
      <c r="A335" s="9" t="s">
        <v>1399</v>
      </c>
      <c r="B335" s="17">
        <v>1963.0</v>
      </c>
      <c r="C335" s="9" t="s">
        <v>4741</v>
      </c>
      <c r="D335" s="9">
        <v>16.0</v>
      </c>
      <c r="E335" s="18">
        <f t="shared" si="1"/>
        <v>23208</v>
      </c>
      <c r="F335" s="9">
        <v>3.0</v>
      </c>
      <c r="G335" s="19">
        <v>14382.71</v>
      </c>
      <c r="H335" s="9" t="s">
        <v>4723</v>
      </c>
      <c r="I335" s="9" t="s">
        <v>4723</v>
      </c>
      <c r="J335" s="9" t="s">
        <v>4733</v>
      </c>
      <c r="K335" s="20">
        <f t="shared" si="2"/>
        <v>1963</v>
      </c>
      <c r="L335" s="9" t="str">
        <f t="shared" si="3"/>
        <v>tier - 2</v>
      </c>
      <c r="M335" s="9" t="str">
        <f t="shared" si="4"/>
        <v>tier - 2</v>
      </c>
      <c r="N335" s="9" t="str">
        <f t="shared" si="5"/>
        <v>R1012</v>
      </c>
      <c r="O335" s="17">
        <f t="shared" si="6"/>
        <v>59</v>
      </c>
      <c r="P335" s="18">
        <v>23208.0</v>
      </c>
    </row>
    <row r="336" ht="15.75" customHeight="1">
      <c r="A336" s="9" t="s">
        <v>1397</v>
      </c>
      <c r="B336" s="17">
        <v>1965.0</v>
      </c>
      <c r="C336" s="9" t="s">
        <v>4730</v>
      </c>
      <c r="D336" s="9">
        <v>22.0</v>
      </c>
      <c r="E336" s="18">
        <f t="shared" si="1"/>
        <v>23915</v>
      </c>
      <c r="F336" s="9">
        <v>4.0</v>
      </c>
      <c r="G336" s="19">
        <v>14394.4</v>
      </c>
      <c r="H336" s="9" t="s">
        <v>4723</v>
      </c>
      <c r="I336" s="9" t="s">
        <v>4717</v>
      </c>
      <c r="J336" s="9" t="s">
        <v>4731</v>
      </c>
      <c r="K336" s="20">
        <f t="shared" si="2"/>
        <v>1965</v>
      </c>
      <c r="L336" s="9" t="str">
        <f t="shared" si="3"/>
        <v>tier - 2</v>
      </c>
      <c r="M336" s="9" t="str">
        <f t="shared" si="4"/>
        <v>tier - 3</v>
      </c>
      <c r="N336" s="9" t="str">
        <f t="shared" si="5"/>
        <v>R1024</v>
      </c>
      <c r="O336" s="17">
        <f t="shared" si="6"/>
        <v>57</v>
      </c>
      <c r="P336" s="18">
        <v>23915.0</v>
      </c>
    </row>
    <row r="337" ht="15.75" customHeight="1">
      <c r="A337" s="9" t="s">
        <v>1395</v>
      </c>
      <c r="B337" s="17">
        <v>1958.0</v>
      </c>
      <c r="C337" s="9" t="s">
        <v>4738</v>
      </c>
      <c r="D337" s="9">
        <v>14.0</v>
      </c>
      <c r="E337" s="18">
        <f t="shared" si="1"/>
        <v>21442</v>
      </c>
      <c r="F337" s="9">
        <v>0.0</v>
      </c>
      <c r="G337" s="19">
        <v>14394.56</v>
      </c>
      <c r="H337" s="9" t="s">
        <v>4723</v>
      </c>
      <c r="I337" s="9" t="s">
        <v>4718</v>
      </c>
      <c r="J337" s="9" t="s">
        <v>4750</v>
      </c>
      <c r="K337" s="20">
        <f t="shared" si="2"/>
        <v>1958</v>
      </c>
      <c r="L337" s="9" t="str">
        <f t="shared" si="3"/>
        <v>tier - 2</v>
      </c>
      <c r="M337" s="9" t="str">
        <f t="shared" si="4"/>
        <v>tier - 1</v>
      </c>
      <c r="N337" s="9" t="str">
        <f t="shared" si="5"/>
        <v>R1018</v>
      </c>
      <c r="O337" s="17">
        <f t="shared" si="6"/>
        <v>64</v>
      </c>
      <c r="P337" s="18">
        <v>21442.0</v>
      </c>
    </row>
    <row r="338" ht="15.75" customHeight="1">
      <c r="A338" s="9" t="s">
        <v>1393</v>
      </c>
      <c r="B338" s="17">
        <v>1958.0</v>
      </c>
      <c r="C338" s="9" t="s">
        <v>4741</v>
      </c>
      <c r="D338" s="9">
        <v>29.0</v>
      </c>
      <c r="E338" s="18">
        <f t="shared" si="1"/>
        <v>21395</v>
      </c>
      <c r="F338" s="9">
        <v>0.0</v>
      </c>
      <c r="G338" s="19">
        <v>14410.93</v>
      </c>
      <c r="H338" s="9" t="s">
        <v>4723</v>
      </c>
      <c r="I338" s="9" t="s">
        <v>4723</v>
      </c>
      <c r="J338" s="9" t="s">
        <v>4754</v>
      </c>
      <c r="K338" s="20">
        <f t="shared" si="2"/>
        <v>1958</v>
      </c>
      <c r="L338" s="9" t="str">
        <f t="shared" si="3"/>
        <v>tier - 2</v>
      </c>
      <c r="M338" s="9" t="str">
        <f t="shared" si="4"/>
        <v>tier - 2</v>
      </c>
      <c r="N338" s="9" t="str">
        <f t="shared" si="5"/>
        <v>R1016</v>
      </c>
      <c r="O338" s="17">
        <f t="shared" si="6"/>
        <v>64</v>
      </c>
      <c r="P338" s="18">
        <v>21395.0</v>
      </c>
    </row>
    <row r="339" ht="15.75" customHeight="1">
      <c r="A339" s="9" t="s">
        <v>1391</v>
      </c>
      <c r="B339" s="17">
        <v>1958.0</v>
      </c>
      <c r="C339" s="9" t="s">
        <v>4738</v>
      </c>
      <c r="D339" s="9">
        <v>20.0</v>
      </c>
      <c r="E339" s="18">
        <f t="shared" si="1"/>
        <v>21448</v>
      </c>
      <c r="F339" s="9">
        <v>1.0</v>
      </c>
      <c r="G339" s="19">
        <v>14418.28</v>
      </c>
      <c r="H339" s="9" t="s">
        <v>4723</v>
      </c>
      <c r="I339" s="9" t="s">
        <v>4717</v>
      </c>
      <c r="J339" s="9" t="s">
        <v>4743</v>
      </c>
      <c r="K339" s="20">
        <f t="shared" si="2"/>
        <v>1958</v>
      </c>
      <c r="L339" s="9" t="str">
        <f t="shared" si="3"/>
        <v>tier - 2</v>
      </c>
      <c r="M339" s="9" t="str">
        <f t="shared" si="4"/>
        <v>tier - 3</v>
      </c>
      <c r="N339" s="9" t="str">
        <f t="shared" si="5"/>
        <v>R1013</v>
      </c>
      <c r="O339" s="17">
        <f t="shared" si="6"/>
        <v>64</v>
      </c>
      <c r="P339" s="18">
        <v>21448.0</v>
      </c>
    </row>
    <row r="340" ht="15.75" customHeight="1">
      <c r="A340" s="9" t="s">
        <v>1389</v>
      </c>
      <c r="B340" s="17">
        <v>1999.0</v>
      </c>
      <c r="C340" s="9" t="s">
        <v>4716</v>
      </c>
      <c r="D340" s="9">
        <v>10.0</v>
      </c>
      <c r="E340" s="18">
        <f t="shared" si="1"/>
        <v>36382</v>
      </c>
      <c r="F340" s="9">
        <v>2.0</v>
      </c>
      <c r="G340" s="19">
        <v>14426.07</v>
      </c>
      <c r="H340" s="9" t="s">
        <v>4723</v>
      </c>
      <c r="I340" s="9" t="s">
        <v>4718</v>
      </c>
      <c r="J340" s="9" t="s">
        <v>4733</v>
      </c>
      <c r="K340" s="20">
        <f t="shared" si="2"/>
        <v>1999</v>
      </c>
      <c r="L340" s="9" t="str">
        <f t="shared" si="3"/>
        <v>tier - 2</v>
      </c>
      <c r="M340" s="9" t="str">
        <f t="shared" si="4"/>
        <v>tier - 1</v>
      </c>
      <c r="N340" s="9" t="str">
        <f t="shared" si="5"/>
        <v>R1012</v>
      </c>
      <c r="O340" s="17">
        <f t="shared" si="6"/>
        <v>23</v>
      </c>
      <c r="P340" s="18">
        <v>36382.0</v>
      </c>
    </row>
    <row r="341" ht="15.75" customHeight="1">
      <c r="A341" s="9" t="s">
        <v>1387</v>
      </c>
      <c r="B341" s="17">
        <v>1967.0</v>
      </c>
      <c r="C341" s="9" t="s">
        <v>4716</v>
      </c>
      <c r="D341" s="9">
        <v>15.0</v>
      </c>
      <c r="E341" s="18">
        <f t="shared" si="1"/>
        <v>24699</v>
      </c>
      <c r="F341" s="9">
        <v>0.0</v>
      </c>
      <c r="G341" s="19">
        <v>14426.66</v>
      </c>
      <c r="H341" s="9" t="s">
        <v>4723</v>
      </c>
      <c r="I341" s="9" t="s">
        <v>4723</v>
      </c>
      <c r="J341" s="9" t="s">
        <v>4721</v>
      </c>
      <c r="K341" s="20">
        <f t="shared" si="2"/>
        <v>1967</v>
      </c>
      <c r="L341" s="9" t="str">
        <f t="shared" si="3"/>
        <v>tier - 2</v>
      </c>
      <c r="M341" s="9" t="str">
        <f t="shared" si="4"/>
        <v>tier - 2</v>
      </c>
      <c r="N341" s="9" t="str">
        <f t="shared" si="5"/>
        <v>R1026</v>
      </c>
      <c r="O341" s="17">
        <f t="shared" si="6"/>
        <v>55</v>
      </c>
      <c r="P341" s="18">
        <v>24699.0</v>
      </c>
    </row>
    <row r="342" ht="15.75" customHeight="1">
      <c r="A342" s="9" t="s">
        <v>1385</v>
      </c>
      <c r="B342" s="17">
        <v>1967.0</v>
      </c>
      <c r="C342" s="9" t="s">
        <v>4735</v>
      </c>
      <c r="D342" s="9">
        <v>4.0</v>
      </c>
      <c r="E342" s="18">
        <f t="shared" si="1"/>
        <v>24780</v>
      </c>
      <c r="F342" s="9">
        <v>0.0</v>
      </c>
      <c r="G342" s="19">
        <v>14427.63</v>
      </c>
      <c r="H342" s="9" t="s">
        <v>4723</v>
      </c>
      <c r="I342" s="9" t="s">
        <v>4723</v>
      </c>
      <c r="J342" s="9" t="s">
        <v>4751</v>
      </c>
      <c r="K342" s="20">
        <f t="shared" si="2"/>
        <v>1967</v>
      </c>
      <c r="L342" s="9" t="str">
        <f t="shared" si="3"/>
        <v>tier - 2</v>
      </c>
      <c r="M342" s="9" t="str">
        <f t="shared" si="4"/>
        <v>tier - 2</v>
      </c>
      <c r="N342" s="9" t="str">
        <f t="shared" si="5"/>
        <v>R1021</v>
      </c>
      <c r="O342" s="17">
        <f t="shared" si="6"/>
        <v>55</v>
      </c>
      <c r="P342" s="18">
        <v>24780.0</v>
      </c>
    </row>
    <row r="343" ht="15.75" customHeight="1">
      <c r="A343" s="9" t="s">
        <v>1383</v>
      </c>
      <c r="B343" s="17">
        <v>1959.0</v>
      </c>
      <c r="C343" s="9" t="s">
        <v>4730</v>
      </c>
      <c r="D343" s="9">
        <v>29.0</v>
      </c>
      <c r="E343" s="18">
        <f t="shared" si="1"/>
        <v>21730</v>
      </c>
      <c r="F343" s="9">
        <v>0.0</v>
      </c>
      <c r="G343" s="19">
        <v>14449.85</v>
      </c>
      <c r="H343" s="9" t="s">
        <v>4723</v>
      </c>
      <c r="I343" s="9" t="s">
        <v>4718</v>
      </c>
      <c r="J343" s="9" t="s">
        <v>4731</v>
      </c>
      <c r="K343" s="20">
        <f t="shared" si="2"/>
        <v>1959</v>
      </c>
      <c r="L343" s="9" t="str">
        <f t="shared" si="3"/>
        <v>tier - 2</v>
      </c>
      <c r="M343" s="9" t="str">
        <f t="shared" si="4"/>
        <v>tier - 1</v>
      </c>
      <c r="N343" s="9" t="str">
        <f t="shared" si="5"/>
        <v>R1024</v>
      </c>
      <c r="O343" s="17">
        <f t="shared" si="6"/>
        <v>63</v>
      </c>
      <c r="P343" s="18">
        <v>21730.0</v>
      </c>
    </row>
    <row r="344" ht="15.75" customHeight="1">
      <c r="A344" s="9" t="s">
        <v>1381</v>
      </c>
      <c r="B344" s="17">
        <v>1959.0</v>
      </c>
      <c r="C344" s="9" t="s">
        <v>4716</v>
      </c>
      <c r="D344" s="9">
        <v>3.0</v>
      </c>
      <c r="E344" s="18">
        <f t="shared" si="1"/>
        <v>21765</v>
      </c>
      <c r="F344" s="9">
        <v>0.0</v>
      </c>
      <c r="G344" s="19">
        <v>14451.84</v>
      </c>
      <c r="H344" s="9" t="s">
        <v>4723</v>
      </c>
      <c r="I344" s="9" t="s">
        <v>4717</v>
      </c>
      <c r="J344" s="9" t="s">
        <v>4756</v>
      </c>
      <c r="K344" s="20">
        <f t="shared" si="2"/>
        <v>1959</v>
      </c>
      <c r="L344" s="9" t="str">
        <f t="shared" si="3"/>
        <v>tier - 2</v>
      </c>
      <c r="M344" s="9" t="str">
        <f t="shared" si="4"/>
        <v>tier - 3</v>
      </c>
      <c r="N344" s="9" t="str">
        <f t="shared" si="5"/>
        <v>R1023</v>
      </c>
      <c r="O344" s="17">
        <f t="shared" si="6"/>
        <v>63</v>
      </c>
      <c r="P344" s="18">
        <v>21765.0</v>
      </c>
    </row>
    <row r="345" ht="15.75" customHeight="1">
      <c r="A345" s="9" t="s">
        <v>139</v>
      </c>
      <c r="B345" s="17">
        <v>1976.0</v>
      </c>
      <c r="C345" s="9" t="s">
        <v>4735</v>
      </c>
      <c r="D345" s="9">
        <v>28.0</v>
      </c>
      <c r="E345" s="18">
        <f t="shared" si="1"/>
        <v>28092</v>
      </c>
      <c r="F345" s="9">
        <v>0.0</v>
      </c>
      <c r="G345" s="19">
        <v>42111.66</v>
      </c>
      <c r="H345" s="9" t="s">
        <v>4718</v>
      </c>
      <c r="I345" s="9" t="s">
        <v>4718</v>
      </c>
      <c r="J345" s="9" t="s">
        <v>4731</v>
      </c>
      <c r="K345" s="20">
        <f t="shared" si="2"/>
        <v>1976</v>
      </c>
      <c r="L345" s="9" t="str">
        <f t="shared" si="3"/>
        <v>tier - 1</v>
      </c>
      <c r="M345" s="9" t="str">
        <f t="shared" si="4"/>
        <v>tier - 1</v>
      </c>
      <c r="N345" s="9" t="str">
        <f t="shared" si="5"/>
        <v>R1024</v>
      </c>
      <c r="O345" s="17">
        <f t="shared" si="6"/>
        <v>46</v>
      </c>
      <c r="P345" s="18">
        <v>28092.0</v>
      </c>
    </row>
    <row r="346" ht="15.75" customHeight="1">
      <c r="A346" s="9" t="s">
        <v>1379</v>
      </c>
      <c r="B346" s="17">
        <v>1996.0</v>
      </c>
      <c r="C346" s="9" t="s">
        <v>4735</v>
      </c>
      <c r="D346" s="9">
        <v>10.0</v>
      </c>
      <c r="E346" s="18">
        <f t="shared" si="1"/>
        <v>35379</v>
      </c>
      <c r="F346" s="9">
        <v>2.0</v>
      </c>
      <c r="G346" s="19">
        <v>14455.64</v>
      </c>
      <c r="H346" s="9" t="s">
        <v>4723</v>
      </c>
      <c r="I346" s="9" t="s">
        <v>4717</v>
      </c>
      <c r="J346" s="9" t="s">
        <v>4731</v>
      </c>
      <c r="K346" s="20">
        <f t="shared" si="2"/>
        <v>1996</v>
      </c>
      <c r="L346" s="9" t="str">
        <f t="shared" si="3"/>
        <v>tier - 2</v>
      </c>
      <c r="M346" s="9" t="str">
        <f t="shared" si="4"/>
        <v>tier - 3</v>
      </c>
      <c r="N346" s="9" t="str">
        <f t="shared" si="5"/>
        <v>R1024</v>
      </c>
      <c r="O346" s="17">
        <f t="shared" si="6"/>
        <v>26</v>
      </c>
      <c r="P346" s="18">
        <v>35379.0</v>
      </c>
    </row>
    <row r="347" ht="15.75" customHeight="1">
      <c r="A347" s="9" t="s">
        <v>1377</v>
      </c>
      <c r="B347" s="17">
        <v>1976.0</v>
      </c>
      <c r="C347" s="9" t="s">
        <v>4735</v>
      </c>
      <c r="D347" s="9">
        <v>27.0</v>
      </c>
      <c r="E347" s="18">
        <f t="shared" si="1"/>
        <v>28091</v>
      </c>
      <c r="F347" s="9">
        <v>2.0</v>
      </c>
      <c r="G347" s="19">
        <v>14470.01</v>
      </c>
      <c r="H347" s="9" t="s">
        <v>4723</v>
      </c>
      <c r="I347" s="9" t="s">
        <v>4717</v>
      </c>
      <c r="J347" s="9" t="s">
        <v>4733</v>
      </c>
      <c r="K347" s="20">
        <f t="shared" si="2"/>
        <v>1976</v>
      </c>
      <c r="L347" s="9" t="str">
        <f t="shared" si="3"/>
        <v>tier - 2</v>
      </c>
      <c r="M347" s="9" t="str">
        <f t="shared" si="4"/>
        <v>tier - 3</v>
      </c>
      <c r="N347" s="9" t="str">
        <f t="shared" si="5"/>
        <v>R1012</v>
      </c>
      <c r="O347" s="17">
        <f t="shared" si="6"/>
        <v>46</v>
      </c>
      <c r="P347" s="18">
        <v>28091.0</v>
      </c>
    </row>
    <row r="348" ht="15.75" customHeight="1">
      <c r="A348" s="9" t="s">
        <v>1375</v>
      </c>
      <c r="B348" s="17">
        <v>1959.0</v>
      </c>
      <c r="C348" s="9" t="s">
        <v>4735</v>
      </c>
      <c r="D348" s="9">
        <v>20.0</v>
      </c>
      <c r="E348" s="18">
        <f t="shared" si="1"/>
        <v>21874</v>
      </c>
      <c r="F348" s="9">
        <v>1.0</v>
      </c>
      <c r="G348" s="19">
        <v>14474.68</v>
      </c>
      <c r="H348" s="9" t="s">
        <v>4723</v>
      </c>
      <c r="I348" s="9" t="s">
        <v>4723</v>
      </c>
      <c r="J348" s="9" t="s">
        <v>4743</v>
      </c>
      <c r="K348" s="20">
        <f t="shared" si="2"/>
        <v>1959</v>
      </c>
      <c r="L348" s="9" t="str">
        <f t="shared" si="3"/>
        <v>tier - 2</v>
      </c>
      <c r="M348" s="9" t="str">
        <f t="shared" si="4"/>
        <v>tier - 2</v>
      </c>
      <c r="N348" s="9" t="str">
        <f t="shared" si="5"/>
        <v>R1013</v>
      </c>
      <c r="O348" s="17">
        <f t="shared" si="6"/>
        <v>63</v>
      </c>
      <c r="P348" s="18">
        <v>21874.0</v>
      </c>
    </row>
    <row r="349" ht="15.75" customHeight="1">
      <c r="A349" s="9" t="s">
        <v>1373</v>
      </c>
      <c r="B349" s="17">
        <v>1979.0</v>
      </c>
      <c r="C349" s="9" t="s">
        <v>4720</v>
      </c>
      <c r="D349" s="9">
        <v>20.0</v>
      </c>
      <c r="E349" s="18">
        <f t="shared" si="1"/>
        <v>29148</v>
      </c>
      <c r="F349" s="9">
        <v>5.0</v>
      </c>
      <c r="G349" s="19">
        <v>14478.33</v>
      </c>
      <c r="H349" s="9" t="s">
        <v>4723</v>
      </c>
      <c r="I349" s="9" t="s">
        <v>4723</v>
      </c>
      <c r="J349" s="9" t="s">
        <v>4743</v>
      </c>
      <c r="K349" s="20">
        <f t="shared" si="2"/>
        <v>1979</v>
      </c>
      <c r="L349" s="9" t="str">
        <f t="shared" si="3"/>
        <v>tier - 2</v>
      </c>
      <c r="M349" s="9" t="str">
        <f t="shared" si="4"/>
        <v>tier - 2</v>
      </c>
      <c r="N349" s="9" t="str">
        <f t="shared" si="5"/>
        <v>R1013</v>
      </c>
      <c r="O349" s="17">
        <f t="shared" si="6"/>
        <v>43</v>
      </c>
      <c r="P349" s="18">
        <v>29148.0</v>
      </c>
    </row>
    <row r="350" ht="15.75" customHeight="1">
      <c r="A350" s="9" t="s">
        <v>1371</v>
      </c>
      <c r="B350" s="17">
        <v>1989.0</v>
      </c>
      <c r="C350" s="9" t="s">
        <v>4741</v>
      </c>
      <c r="D350" s="9">
        <v>22.0</v>
      </c>
      <c r="E350" s="18">
        <f t="shared" si="1"/>
        <v>32711</v>
      </c>
      <c r="F350" s="9">
        <v>3.0</v>
      </c>
      <c r="G350" s="19">
        <v>14507.46</v>
      </c>
      <c r="H350" s="9" t="s">
        <v>4723</v>
      </c>
      <c r="I350" s="9" t="s">
        <v>4717</v>
      </c>
      <c r="J350" s="9" t="s">
        <v>4733</v>
      </c>
      <c r="K350" s="20">
        <f t="shared" si="2"/>
        <v>1989</v>
      </c>
      <c r="L350" s="9" t="str">
        <f t="shared" si="3"/>
        <v>tier - 2</v>
      </c>
      <c r="M350" s="9" t="str">
        <f t="shared" si="4"/>
        <v>tier - 3</v>
      </c>
      <c r="N350" s="9" t="str">
        <f t="shared" si="5"/>
        <v>R1012</v>
      </c>
      <c r="O350" s="17">
        <f t="shared" si="6"/>
        <v>33</v>
      </c>
      <c r="P350" s="18">
        <v>32711.0</v>
      </c>
    </row>
    <row r="351" ht="15.75" customHeight="1">
      <c r="A351" s="9" t="s">
        <v>1369</v>
      </c>
      <c r="B351" s="17">
        <v>1989.0</v>
      </c>
      <c r="C351" s="9" t="s">
        <v>4741</v>
      </c>
      <c r="D351" s="9">
        <v>14.0</v>
      </c>
      <c r="E351" s="18">
        <f t="shared" si="1"/>
        <v>32703</v>
      </c>
      <c r="F351" s="9">
        <v>3.0</v>
      </c>
      <c r="G351" s="19">
        <v>14547.26</v>
      </c>
      <c r="H351" s="9" t="s">
        <v>4723</v>
      </c>
      <c r="I351" s="9" t="s">
        <v>4717</v>
      </c>
      <c r="J351" s="9" t="s">
        <v>4719</v>
      </c>
      <c r="K351" s="20">
        <f t="shared" si="2"/>
        <v>1989</v>
      </c>
      <c r="L351" s="9" t="str">
        <f t="shared" si="3"/>
        <v>tier - 2</v>
      </c>
      <c r="M351" s="9" t="str">
        <f t="shared" si="4"/>
        <v>tier - 3</v>
      </c>
      <c r="N351" s="9" t="str">
        <f t="shared" si="5"/>
        <v>R1011</v>
      </c>
      <c r="O351" s="17">
        <f t="shared" si="6"/>
        <v>33</v>
      </c>
      <c r="P351" s="18">
        <v>32703.0</v>
      </c>
    </row>
    <row r="352" ht="15.75" customHeight="1">
      <c r="A352" s="9" t="s">
        <v>1367</v>
      </c>
      <c r="B352" s="17">
        <v>1998.0</v>
      </c>
      <c r="C352" s="9" t="s">
        <v>4738</v>
      </c>
      <c r="D352" s="9">
        <v>12.0</v>
      </c>
      <c r="E352" s="18">
        <f t="shared" si="1"/>
        <v>36050</v>
      </c>
      <c r="F352" s="9">
        <v>0.0</v>
      </c>
      <c r="G352" s="19">
        <v>14571.89</v>
      </c>
      <c r="H352" s="9" t="s">
        <v>4723</v>
      </c>
      <c r="I352" s="9" t="s">
        <v>4718</v>
      </c>
      <c r="J352" s="9" t="s">
        <v>4731</v>
      </c>
      <c r="K352" s="20">
        <f t="shared" si="2"/>
        <v>1998</v>
      </c>
      <c r="L352" s="9" t="str">
        <f t="shared" si="3"/>
        <v>tier - 2</v>
      </c>
      <c r="M352" s="9" t="str">
        <f t="shared" si="4"/>
        <v>tier - 1</v>
      </c>
      <c r="N352" s="9" t="str">
        <f t="shared" si="5"/>
        <v>R1024</v>
      </c>
      <c r="O352" s="17">
        <f t="shared" si="6"/>
        <v>24</v>
      </c>
      <c r="P352" s="18">
        <v>36050.0</v>
      </c>
    </row>
    <row r="353" ht="15.75" customHeight="1">
      <c r="A353" s="9" t="s">
        <v>1365</v>
      </c>
      <c r="B353" s="17">
        <v>1962.0</v>
      </c>
      <c r="C353" s="9" t="s">
        <v>4725</v>
      </c>
      <c r="D353" s="9">
        <v>3.0</v>
      </c>
      <c r="E353" s="18">
        <f t="shared" si="1"/>
        <v>22983</v>
      </c>
      <c r="F353" s="9">
        <v>0.0</v>
      </c>
      <c r="G353" s="19">
        <v>14574.64</v>
      </c>
      <c r="H353" s="9" t="s">
        <v>4723</v>
      </c>
      <c r="I353" s="9" t="s">
        <v>4718</v>
      </c>
      <c r="J353" s="9" t="s">
        <v>4726</v>
      </c>
      <c r="K353" s="20">
        <f t="shared" si="2"/>
        <v>1962</v>
      </c>
      <c r="L353" s="9" t="str">
        <f t="shared" si="3"/>
        <v>tier - 2</v>
      </c>
      <c r="M353" s="9" t="str">
        <f t="shared" si="4"/>
        <v>tier - 1</v>
      </c>
      <c r="N353" s="9" t="str">
        <f t="shared" si="5"/>
        <v>R1025</v>
      </c>
      <c r="O353" s="17">
        <f t="shared" si="6"/>
        <v>60</v>
      </c>
      <c r="P353" s="18">
        <v>22983.0</v>
      </c>
    </row>
    <row r="354" ht="15.75" customHeight="1">
      <c r="A354" s="9" t="s">
        <v>1363</v>
      </c>
      <c r="B354" s="17">
        <v>1963.0</v>
      </c>
      <c r="C354" s="9" t="s">
        <v>4720</v>
      </c>
      <c r="D354" s="9">
        <v>14.0</v>
      </c>
      <c r="E354" s="18">
        <f t="shared" si="1"/>
        <v>23298</v>
      </c>
      <c r="F354" s="9">
        <v>3.0</v>
      </c>
      <c r="G354" s="19">
        <v>14590.63</v>
      </c>
      <c r="H354" s="9" t="s">
        <v>4723</v>
      </c>
      <c r="I354" s="9" t="s">
        <v>4718</v>
      </c>
      <c r="J354" s="9" t="s">
        <v>4731</v>
      </c>
      <c r="K354" s="20">
        <f t="shared" si="2"/>
        <v>1963</v>
      </c>
      <c r="L354" s="9" t="str">
        <f t="shared" si="3"/>
        <v>tier - 2</v>
      </c>
      <c r="M354" s="9" t="str">
        <f t="shared" si="4"/>
        <v>tier - 1</v>
      </c>
      <c r="N354" s="9" t="str">
        <f t="shared" si="5"/>
        <v>R1024</v>
      </c>
      <c r="O354" s="17">
        <f t="shared" si="6"/>
        <v>59</v>
      </c>
      <c r="P354" s="18">
        <v>23298.0</v>
      </c>
    </row>
    <row r="355" ht="15.75" customHeight="1">
      <c r="A355" s="9" t="s">
        <v>1361</v>
      </c>
      <c r="B355" s="17">
        <v>1967.0</v>
      </c>
      <c r="C355" s="9" t="s">
        <v>4741</v>
      </c>
      <c r="D355" s="9">
        <v>18.0</v>
      </c>
      <c r="E355" s="18">
        <f t="shared" si="1"/>
        <v>24671</v>
      </c>
      <c r="F355" s="9">
        <v>0.0</v>
      </c>
      <c r="G355" s="19">
        <v>14600.62</v>
      </c>
      <c r="H355" s="9" t="s">
        <v>4723</v>
      </c>
      <c r="I355" s="9" t="s">
        <v>4717</v>
      </c>
      <c r="J355" s="9" t="s">
        <v>4736</v>
      </c>
      <c r="K355" s="20">
        <f t="shared" si="2"/>
        <v>1967</v>
      </c>
      <c r="L355" s="9" t="str">
        <f t="shared" si="3"/>
        <v>tier - 2</v>
      </c>
      <c r="M355" s="9" t="str">
        <f t="shared" si="4"/>
        <v>tier - 3</v>
      </c>
      <c r="N355" s="9" t="str">
        <f t="shared" si="5"/>
        <v>R1022</v>
      </c>
      <c r="O355" s="17">
        <f t="shared" si="6"/>
        <v>55</v>
      </c>
      <c r="P355" s="18">
        <v>24671.0</v>
      </c>
    </row>
    <row r="356" ht="15.75" customHeight="1">
      <c r="A356" s="9" t="s">
        <v>137</v>
      </c>
      <c r="B356" s="17">
        <v>1997.0</v>
      </c>
      <c r="C356" s="9" t="s">
        <v>4725</v>
      </c>
      <c r="D356" s="9">
        <v>9.0</v>
      </c>
      <c r="E356" s="18">
        <f t="shared" si="1"/>
        <v>35773</v>
      </c>
      <c r="F356" s="9">
        <v>2.0</v>
      </c>
      <c r="G356" s="19">
        <v>42112.24</v>
      </c>
      <c r="H356" s="9" t="s">
        <v>4718</v>
      </c>
      <c r="I356" s="9" t="s">
        <v>4717</v>
      </c>
      <c r="J356" s="9" t="s">
        <v>4743</v>
      </c>
      <c r="K356" s="20">
        <f t="shared" si="2"/>
        <v>1997</v>
      </c>
      <c r="L356" s="9" t="str">
        <f t="shared" si="3"/>
        <v>tier - 1</v>
      </c>
      <c r="M356" s="9" t="str">
        <f t="shared" si="4"/>
        <v>tier - 3</v>
      </c>
      <c r="N356" s="9" t="str">
        <f t="shared" si="5"/>
        <v>R1013</v>
      </c>
      <c r="O356" s="17">
        <f t="shared" si="6"/>
        <v>25</v>
      </c>
      <c r="P356" s="18">
        <v>35773.0</v>
      </c>
    </row>
    <row r="357" ht="15.75" customHeight="1">
      <c r="A357" s="9" t="s">
        <v>1359</v>
      </c>
      <c r="B357" s="17">
        <v>1965.0</v>
      </c>
      <c r="C357" s="9" t="s">
        <v>4735</v>
      </c>
      <c r="D357" s="9">
        <v>8.0</v>
      </c>
      <c r="E357" s="18">
        <f t="shared" si="1"/>
        <v>24054</v>
      </c>
      <c r="F357" s="9">
        <v>0.0</v>
      </c>
      <c r="G357" s="19">
        <v>14612.33</v>
      </c>
      <c r="H357" s="9" t="s">
        <v>4723</v>
      </c>
      <c r="I357" s="9" t="s">
        <v>4717</v>
      </c>
      <c r="J357" s="9" t="s">
        <v>4751</v>
      </c>
      <c r="K357" s="20">
        <f t="shared" si="2"/>
        <v>1965</v>
      </c>
      <c r="L357" s="9" t="str">
        <f t="shared" si="3"/>
        <v>tier - 2</v>
      </c>
      <c r="M357" s="9" t="str">
        <f t="shared" si="4"/>
        <v>tier - 3</v>
      </c>
      <c r="N357" s="9" t="str">
        <f t="shared" si="5"/>
        <v>R1021</v>
      </c>
      <c r="O357" s="17">
        <f t="shared" si="6"/>
        <v>57</v>
      </c>
      <c r="P357" s="18">
        <v>24054.0</v>
      </c>
    </row>
    <row r="358" ht="15.75" customHeight="1">
      <c r="A358" s="9" t="s">
        <v>1357</v>
      </c>
      <c r="B358" s="17">
        <v>1991.0</v>
      </c>
      <c r="C358" s="9" t="s">
        <v>4716</v>
      </c>
      <c r="D358" s="9">
        <v>21.0</v>
      </c>
      <c r="E358" s="18">
        <f t="shared" si="1"/>
        <v>33471</v>
      </c>
      <c r="F358" s="9">
        <v>3.0</v>
      </c>
      <c r="G358" s="19">
        <v>14630.52</v>
      </c>
      <c r="H358" s="9" t="s">
        <v>4723</v>
      </c>
      <c r="I358" s="9" t="s">
        <v>4717</v>
      </c>
      <c r="J358" s="9" t="s">
        <v>4719</v>
      </c>
      <c r="K358" s="20">
        <f t="shared" si="2"/>
        <v>1991</v>
      </c>
      <c r="L358" s="9" t="str">
        <f t="shared" si="3"/>
        <v>tier - 2</v>
      </c>
      <c r="M358" s="9" t="str">
        <f t="shared" si="4"/>
        <v>tier - 3</v>
      </c>
      <c r="N358" s="9" t="str">
        <f t="shared" si="5"/>
        <v>R1011</v>
      </c>
      <c r="O358" s="17">
        <f t="shared" si="6"/>
        <v>31</v>
      </c>
      <c r="P358" s="18">
        <v>33471.0</v>
      </c>
    </row>
    <row r="359" ht="15.75" customHeight="1">
      <c r="A359" s="9" t="s">
        <v>1355</v>
      </c>
      <c r="B359" s="17">
        <v>1967.0</v>
      </c>
      <c r="C359" s="9" t="s">
        <v>4738</v>
      </c>
      <c r="D359" s="9">
        <v>1.0</v>
      </c>
      <c r="E359" s="18">
        <f t="shared" si="1"/>
        <v>24716</v>
      </c>
      <c r="F359" s="9">
        <v>0.0</v>
      </c>
      <c r="G359" s="19">
        <v>14640.35</v>
      </c>
      <c r="H359" s="9" t="s">
        <v>4723</v>
      </c>
      <c r="I359" s="9" t="s">
        <v>4717</v>
      </c>
      <c r="J359" s="9" t="s">
        <v>4721</v>
      </c>
      <c r="K359" s="20">
        <f t="shared" si="2"/>
        <v>1967</v>
      </c>
      <c r="L359" s="9" t="str">
        <f t="shared" si="3"/>
        <v>tier - 2</v>
      </c>
      <c r="M359" s="9" t="str">
        <f t="shared" si="4"/>
        <v>tier - 3</v>
      </c>
      <c r="N359" s="9" t="str">
        <f t="shared" si="5"/>
        <v>R1026</v>
      </c>
      <c r="O359" s="17">
        <f t="shared" si="6"/>
        <v>55</v>
      </c>
      <c r="P359" s="18">
        <v>24716.0</v>
      </c>
    </row>
    <row r="360" ht="15.75" customHeight="1">
      <c r="A360" s="9" t="s">
        <v>1353</v>
      </c>
      <c r="B360" s="17">
        <v>1981.0</v>
      </c>
      <c r="C360" s="9" t="s">
        <v>4735</v>
      </c>
      <c r="D360" s="9">
        <v>13.0</v>
      </c>
      <c r="E360" s="18">
        <f t="shared" si="1"/>
        <v>29903</v>
      </c>
      <c r="F360" s="9">
        <v>1.0</v>
      </c>
      <c r="G360" s="19">
        <v>14657.2</v>
      </c>
      <c r="H360" s="9" t="s">
        <v>4723</v>
      </c>
      <c r="I360" s="9" t="s">
        <v>4718</v>
      </c>
      <c r="J360" s="9" t="s">
        <v>4733</v>
      </c>
      <c r="K360" s="20">
        <f t="shared" si="2"/>
        <v>1981</v>
      </c>
      <c r="L360" s="9" t="str">
        <f t="shared" si="3"/>
        <v>tier - 2</v>
      </c>
      <c r="M360" s="9" t="str">
        <f t="shared" si="4"/>
        <v>tier - 1</v>
      </c>
      <c r="N360" s="9" t="str">
        <f t="shared" si="5"/>
        <v>R1012</v>
      </c>
      <c r="O360" s="17">
        <f t="shared" si="6"/>
        <v>41</v>
      </c>
      <c r="P360" s="18">
        <v>29903.0</v>
      </c>
    </row>
    <row r="361" ht="15.75" customHeight="1">
      <c r="A361" s="9" t="s">
        <v>1351</v>
      </c>
      <c r="B361" s="17">
        <v>1969.0</v>
      </c>
      <c r="C361" s="9" t="s">
        <v>4720</v>
      </c>
      <c r="D361" s="9">
        <v>20.0</v>
      </c>
      <c r="E361" s="18">
        <f t="shared" si="1"/>
        <v>25496</v>
      </c>
      <c r="F361" s="9">
        <v>0.0</v>
      </c>
      <c r="G361" s="19">
        <v>14665.75</v>
      </c>
      <c r="H361" s="9" t="s">
        <v>4723</v>
      </c>
      <c r="I361" s="9" t="s">
        <v>4718</v>
      </c>
      <c r="J361" s="9" t="s">
        <v>4733</v>
      </c>
      <c r="K361" s="20">
        <f t="shared" si="2"/>
        <v>1969</v>
      </c>
      <c r="L361" s="9" t="str">
        <f t="shared" si="3"/>
        <v>tier - 2</v>
      </c>
      <c r="M361" s="9" t="str">
        <f t="shared" si="4"/>
        <v>tier - 1</v>
      </c>
      <c r="N361" s="9" t="str">
        <f t="shared" si="5"/>
        <v>R1012</v>
      </c>
      <c r="O361" s="17">
        <f t="shared" si="6"/>
        <v>53</v>
      </c>
      <c r="P361" s="18">
        <v>25496.0</v>
      </c>
    </row>
    <row r="362" ht="15.75" customHeight="1">
      <c r="A362" s="9" t="s">
        <v>1349</v>
      </c>
      <c r="B362" s="17">
        <v>1958.0</v>
      </c>
      <c r="C362" s="9" t="s">
        <v>4741</v>
      </c>
      <c r="D362" s="9">
        <v>23.0</v>
      </c>
      <c r="E362" s="18">
        <f t="shared" si="1"/>
        <v>21389</v>
      </c>
      <c r="F362" s="9">
        <v>0.0</v>
      </c>
      <c r="G362" s="19">
        <v>14692.67</v>
      </c>
      <c r="H362" s="9" t="s">
        <v>4723</v>
      </c>
      <c r="I362" s="9" t="s">
        <v>4718</v>
      </c>
      <c r="J362" s="9" t="s">
        <v>4733</v>
      </c>
      <c r="K362" s="20">
        <f t="shared" si="2"/>
        <v>1958</v>
      </c>
      <c r="L362" s="9" t="str">
        <f t="shared" si="3"/>
        <v>tier - 2</v>
      </c>
      <c r="M362" s="9" t="str">
        <f t="shared" si="4"/>
        <v>tier - 1</v>
      </c>
      <c r="N362" s="9" t="str">
        <f t="shared" si="5"/>
        <v>R1012</v>
      </c>
      <c r="O362" s="17">
        <f t="shared" si="6"/>
        <v>64</v>
      </c>
      <c r="P362" s="18">
        <v>21389.0</v>
      </c>
    </row>
    <row r="363" ht="15.75" customHeight="1">
      <c r="A363" s="9" t="s">
        <v>1347</v>
      </c>
      <c r="B363" s="17">
        <v>1982.0</v>
      </c>
      <c r="C363" s="9" t="s">
        <v>4738</v>
      </c>
      <c r="D363" s="9">
        <v>4.0</v>
      </c>
      <c r="E363" s="18">
        <f t="shared" si="1"/>
        <v>30198</v>
      </c>
      <c r="F363" s="9">
        <v>3.0</v>
      </c>
      <c r="G363" s="19">
        <v>14696.77</v>
      </c>
      <c r="H363" s="9" t="s">
        <v>4723</v>
      </c>
      <c r="I363" s="9" t="s">
        <v>4723</v>
      </c>
      <c r="J363" s="9" t="s">
        <v>4719</v>
      </c>
      <c r="K363" s="20">
        <f t="shared" si="2"/>
        <v>1982</v>
      </c>
      <c r="L363" s="9" t="str">
        <f t="shared" si="3"/>
        <v>tier - 2</v>
      </c>
      <c r="M363" s="9" t="str">
        <f t="shared" si="4"/>
        <v>tier - 2</v>
      </c>
      <c r="N363" s="9" t="str">
        <f t="shared" si="5"/>
        <v>R1011</v>
      </c>
      <c r="O363" s="17">
        <f t="shared" si="6"/>
        <v>40</v>
      </c>
      <c r="P363" s="18">
        <v>30198.0</v>
      </c>
    </row>
    <row r="364" ht="15.75" customHeight="1">
      <c r="A364" s="9" t="s">
        <v>1345</v>
      </c>
      <c r="B364" s="17">
        <v>2002.0</v>
      </c>
      <c r="C364" s="9" t="s">
        <v>4738</v>
      </c>
      <c r="D364" s="9">
        <v>24.0</v>
      </c>
      <c r="E364" s="18">
        <f t="shared" si="1"/>
        <v>37523</v>
      </c>
      <c r="F364" s="9">
        <v>0.0</v>
      </c>
      <c r="G364" s="19">
        <v>14711.74</v>
      </c>
      <c r="H364" s="9" t="s">
        <v>4723</v>
      </c>
      <c r="I364" s="9" t="s">
        <v>4723</v>
      </c>
      <c r="J364" s="9" t="s">
        <v>4733</v>
      </c>
      <c r="K364" s="20">
        <f t="shared" si="2"/>
        <v>2002</v>
      </c>
      <c r="L364" s="9" t="str">
        <f t="shared" si="3"/>
        <v>tier - 2</v>
      </c>
      <c r="M364" s="9" t="str">
        <f t="shared" si="4"/>
        <v>tier - 2</v>
      </c>
      <c r="N364" s="9" t="str">
        <f t="shared" si="5"/>
        <v>R1012</v>
      </c>
      <c r="O364" s="17">
        <f t="shared" si="6"/>
        <v>20</v>
      </c>
      <c r="P364" s="18">
        <v>37523.0</v>
      </c>
    </row>
    <row r="365" ht="15.75" customHeight="1">
      <c r="A365" s="9" t="s">
        <v>1343</v>
      </c>
      <c r="B365" s="17">
        <v>1962.0</v>
      </c>
      <c r="C365" s="9" t="s">
        <v>4741</v>
      </c>
      <c r="D365" s="9">
        <v>29.0</v>
      </c>
      <c r="E365" s="18">
        <f t="shared" si="1"/>
        <v>22856</v>
      </c>
      <c r="F365" s="9">
        <v>0.0</v>
      </c>
      <c r="G365" s="19">
        <v>14738.43</v>
      </c>
      <c r="H365" s="9" t="s">
        <v>4723</v>
      </c>
      <c r="I365" s="9" t="s">
        <v>4717</v>
      </c>
      <c r="J365" s="9" t="s">
        <v>4751</v>
      </c>
      <c r="K365" s="20">
        <f t="shared" si="2"/>
        <v>1962</v>
      </c>
      <c r="L365" s="9" t="str">
        <f t="shared" si="3"/>
        <v>tier - 2</v>
      </c>
      <c r="M365" s="9" t="str">
        <f t="shared" si="4"/>
        <v>tier - 3</v>
      </c>
      <c r="N365" s="9" t="str">
        <f t="shared" si="5"/>
        <v>R1021</v>
      </c>
      <c r="O365" s="17">
        <f t="shared" si="6"/>
        <v>60</v>
      </c>
      <c r="P365" s="18">
        <v>22856.0</v>
      </c>
    </row>
    <row r="366" ht="15.75" customHeight="1">
      <c r="A366" s="9" t="s">
        <v>1341</v>
      </c>
      <c r="B366" s="17">
        <v>1965.0</v>
      </c>
      <c r="C366" s="9" t="s">
        <v>4741</v>
      </c>
      <c r="D366" s="9">
        <v>27.0</v>
      </c>
      <c r="E366" s="18">
        <f t="shared" si="1"/>
        <v>23950</v>
      </c>
      <c r="F366" s="9">
        <v>0.0</v>
      </c>
      <c r="G366" s="19">
        <v>14750.42</v>
      </c>
      <c r="H366" s="9" t="s">
        <v>4723</v>
      </c>
      <c r="I366" s="9" t="s">
        <v>4723</v>
      </c>
      <c r="J366" s="9" t="s">
        <v>4721</v>
      </c>
      <c r="K366" s="20">
        <f t="shared" si="2"/>
        <v>1965</v>
      </c>
      <c r="L366" s="9" t="str">
        <f t="shared" si="3"/>
        <v>tier - 2</v>
      </c>
      <c r="M366" s="9" t="str">
        <f t="shared" si="4"/>
        <v>tier - 2</v>
      </c>
      <c r="N366" s="9" t="str">
        <f t="shared" si="5"/>
        <v>R1026</v>
      </c>
      <c r="O366" s="17">
        <f t="shared" si="6"/>
        <v>57</v>
      </c>
      <c r="P366" s="18">
        <v>23950.0</v>
      </c>
    </row>
    <row r="367" ht="15.75" customHeight="1">
      <c r="A367" s="9" t="s">
        <v>135</v>
      </c>
      <c r="B367" s="17">
        <v>1979.0</v>
      </c>
      <c r="C367" s="9" t="s">
        <v>4741</v>
      </c>
      <c r="D367" s="9">
        <v>3.0</v>
      </c>
      <c r="E367" s="18">
        <f t="shared" si="1"/>
        <v>29039</v>
      </c>
      <c r="F367" s="9">
        <v>3.0</v>
      </c>
      <c r="G367" s="19">
        <v>42124.52</v>
      </c>
      <c r="H367" s="9" t="s">
        <v>4718</v>
      </c>
      <c r="I367" s="9" t="s">
        <v>4718</v>
      </c>
      <c r="J367" s="9" t="s">
        <v>4743</v>
      </c>
      <c r="K367" s="20">
        <f t="shared" si="2"/>
        <v>1979</v>
      </c>
      <c r="L367" s="9" t="str">
        <f t="shared" si="3"/>
        <v>tier - 1</v>
      </c>
      <c r="M367" s="9" t="str">
        <f t="shared" si="4"/>
        <v>tier - 1</v>
      </c>
      <c r="N367" s="9" t="str">
        <f t="shared" si="5"/>
        <v>R1013</v>
      </c>
      <c r="O367" s="17">
        <f t="shared" si="6"/>
        <v>43</v>
      </c>
      <c r="P367" s="18">
        <v>29039.0</v>
      </c>
    </row>
    <row r="368" ht="15.75" customHeight="1">
      <c r="A368" s="9" t="s">
        <v>1339</v>
      </c>
      <c r="B368" s="17">
        <v>1975.0</v>
      </c>
      <c r="C368" s="9" t="s">
        <v>4725</v>
      </c>
      <c r="D368" s="9">
        <v>10.0</v>
      </c>
      <c r="E368" s="18">
        <f t="shared" si="1"/>
        <v>27738</v>
      </c>
      <c r="F368" s="9">
        <v>1.0</v>
      </c>
      <c r="G368" s="19">
        <v>14819.0</v>
      </c>
      <c r="H368" s="9" t="s">
        <v>4723</v>
      </c>
      <c r="I368" s="9" t="s">
        <v>4717</v>
      </c>
      <c r="J368" s="9" t="s">
        <v>4756</v>
      </c>
      <c r="K368" s="20">
        <f t="shared" si="2"/>
        <v>1975</v>
      </c>
      <c r="L368" s="9" t="str">
        <f t="shared" si="3"/>
        <v>tier - 2</v>
      </c>
      <c r="M368" s="9" t="str">
        <f t="shared" si="4"/>
        <v>tier - 3</v>
      </c>
      <c r="N368" s="9" t="str">
        <f t="shared" si="5"/>
        <v>R1023</v>
      </c>
      <c r="O368" s="17">
        <f t="shared" si="6"/>
        <v>47</v>
      </c>
      <c r="P368" s="18">
        <v>27738.0</v>
      </c>
    </row>
    <row r="369" ht="15.75" customHeight="1">
      <c r="A369" s="9" t="s">
        <v>1337</v>
      </c>
      <c r="B369" s="17">
        <v>1979.0</v>
      </c>
      <c r="C369" s="9" t="s">
        <v>4720</v>
      </c>
      <c r="D369" s="9">
        <v>18.0</v>
      </c>
      <c r="E369" s="18">
        <f t="shared" si="1"/>
        <v>29146</v>
      </c>
      <c r="F369" s="9">
        <v>2.0</v>
      </c>
      <c r="G369" s="19">
        <v>14839.34</v>
      </c>
      <c r="H369" s="9" t="s">
        <v>4723</v>
      </c>
      <c r="I369" s="9" t="s">
        <v>4717</v>
      </c>
      <c r="J369" s="9" t="s">
        <v>4721</v>
      </c>
      <c r="K369" s="20">
        <f t="shared" si="2"/>
        <v>1979</v>
      </c>
      <c r="L369" s="9" t="str">
        <f t="shared" si="3"/>
        <v>tier - 2</v>
      </c>
      <c r="M369" s="9" t="str">
        <f t="shared" si="4"/>
        <v>tier - 3</v>
      </c>
      <c r="N369" s="9" t="str">
        <f t="shared" si="5"/>
        <v>R1026</v>
      </c>
      <c r="O369" s="17">
        <f t="shared" si="6"/>
        <v>43</v>
      </c>
      <c r="P369" s="18">
        <v>29146.0</v>
      </c>
    </row>
    <row r="370" ht="15.75" customHeight="1">
      <c r="A370" s="9" t="s">
        <v>1335</v>
      </c>
      <c r="B370" s="17">
        <v>1981.0</v>
      </c>
      <c r="C370" s="9" t="s">
        <v>4730</v>
      </c>
      <c r="D370" s="9">
        <v>5.0</v>
      </c>
      <c r="E370" s="18">
        <f t="shared" si="1"/>
        <v>29742</v>
      </c>
      <c r="F370" s="9">
        <v>1.0</v>
      </c>
      <c r="G370" s="19">
        <v>14843.96</v>
      </c>
      <c r="H370" s="9" t="s">
        <v>4723</v>
      </c>
      <c r="I370" s="9" t="s">
        <v>4717</v>
      </c>
      <c r="J370" s="9" t="s">
        <v>4721</v>
      </c>
      <c r="K370" s="20">
        <f t="shared" si="2"/>
        <v>1981</v>
      </c>
      <c r="L370" s="9" t="str">
        <f t="shared" si="3"/>
        <v>tier - 2</v>
      </c>
      <c r="M370" s="9" t="str">
        <f t="shared" si="4"/>
        <v>tier - 3</v>
      </c>
      <c r="N370" s="9" t="str">
        <f t="shared" si="5"/>
        <v>R1026</v>
      </c>
      <c r="O370" s="17">
        <f t="shared" si="6"/>
        <v>42</v>
      </c>
      <c r="P370" s="18">
        <v>29742.0</v>
      </c>
    </row>
    <row r="371" ht="15.75" customHeight="1">
      <c r="A371" s="9" t="s">
        <v>1333</v>
      </c>
      <c r="B371" s="17">
        <v>1970.0</v>
      </c>
      <c r="C371" s="9" t="s">
        <v>4735</v>
      </c>
      <c r="D371" s="9">
        <v>11.0</v>
      </c>
      <c r="E371" s="18">
        <f t="shared" si="1"/>
        <v>25883</v>
      </c>
      <c r="F371" s="9">
        <v>0.0</v>
      </c>
      <c r="G371" s="19">
        <v>14847.63</v>
      </c>
      <c r="H371" s="9" t="s">
        <v>4723</v>
      </c>
      <c r="I371" s="9" t="s">
        <v>4723</v>
      </c>
      <c r="J371" s="9" t="s">
        <v>4756</v>
      </c>
      <c r="K371" s="20">
        <f t="shared" si="2"/>
        <v>1970</v>
      </c>
      <c r="L371" s="9" t="str">
        <f t="shared" si="3"/>
        <v>tier - 2</v>
      </c>
      <c r="M371" s="9" t="str">
        <f t="shared" si="4"/>
        <v>tier - 2</v>
      </c>
      <c r="N371" s="9" t="str">
        <f t="shared" si="5"/>
        <v>R1023</v>
      </c>
      <c r="O371" s="17">
        <f t="shared" si="6"/>
        <v>52</v>
      </c>
      <c r="P371" s="18">
        <v>25883.0</v>
      </c>
    </row>
    <row r="372" ht="15.75" customHeight="1">
      <c r="A372" s="9" t="s">
        <v>1331</v>
      </c>
      <c r="B372" s="17">
        <v>1958.0</v>
      </c>
      <c r="C372" s="9" t="s">
        <v>4720</v>
      </c>
      <c r="D372" s="9">
        <v>17.0</v>
      </c>
      <c r="E372" s="18">
        <f t="shared" si="1"/>
        <v>21475</v>
      </c>
      <c r="F372" s="9">
        <v>0.0</v>
      </c>
      <c r="G372" s="19">
        <v>14901.52</v>
      </c>
      <c r="H372" s="9" t="s">
        <v>4723</v>
      </c>
      <c r="I372" s="9" t="s">
        <v>4723</v>
      </c>
      <c r="J372" s="9" t="s">
        <v>4731</v>
      </c>
      <c r="K372" s="20">
        <f t="shared" si="2"/>
        <v>1958</v>
      </c>
      <c r="L372" s="9" t="str">
        <f t="shared" si="3"/>
        <v>tier - 2</v>
      </c>
      <c r="M372" s="9" t="str">
        <f t="shared" si="4"/>
        <v>tier - 2</v>
      </c>
      <c r="N372" s="9" t="str">
        <f t="shared" si="5"/>
        <v>R1024</v>
      </c>
      <c r="O372" s="17">
        <f t="shared" si="6"/>
        <v>64</v>
      </c>
      <c r="P372" s="18">
        <v>21475.0</v>
      </c>
    </row>
    <row r="373" ht="15.75" customHeight="1">
      <c r="A373" s="9" t="s">
        <v>1329</v>
      </c>
      <c r="B373" s="17">
        <v>1981.0</v>
      </c>
      <c r="C373" s="9" t="s">
        <v>4741</v>
      </c>
      <c r="D373" s="9">
        <v>4.0</v>
      </c>
      <c r="E373" s="18">
        <f t="shared" si="1"/>
        <v>29771</v>
      </c>
      <c r="F373" s="9">
        <v>1.0</v>
      </c>
      <c r="G373" s="19">
        <v>14908.27</v>
      </c>
      <c r="H373" s="9" t="s">
        <v>4723</v>
      </c>
      <c r="I373" s="9" t="s">
        <v>4718</v>
      </c>
      <c r="J373" s="9" t="s">
        <v>4719</v>
      </c>
      <c r="K373" s="20">
        <f t="shared" si="2"/>
        <v>1981</v>
      </c>
      <c r="L373" s="9" t="str">
        <f t="shared" si="3"/>
        <v>tier - 2</v>
      </c>
      <c r="M373" s="9" t="str">
        <f t="shared" si="4"/>
        <v>tier - 1</v>
      </c>
      <c r="N373" s="9" t="str">
        <f t="shared" si="5"/>
        <v>R1011</v>
      </c>
      <c r="O373" s="17">
        <f t="shared" si="6"/>
        <v>41</v>
      </c>
      <c r="P373" s="18">
        <v>29771.0</v>
      </c>
    </row>
    <row r="374" ht="15.75" customHeight="1">
      <c r="A374" s="9" t="s">
        <v>1327</v>
      </c>
      <c r="B374" s="17">
        <v>1968.0</v>
      </c>
      <c r="C374" s="9" t="s">
        <v>4735</v>
      </c>
      <c r="D374" s="9">
        <v>8.0</v>
      </c>
      <c r="E374" s="18">
        <f t="shared" si="1"/>
        <v>25150</v>
      </c>
      <c r="F374" s="9">
        <v>0.0</v>
      </c>
      <c r="G374" s="19">
        <v>14926.97</v>
      </c>
      <c r="H374" s="9" t="s">
        <v>4723</v>
      </c>
      <c r="I374" s="9" t="s">
        <v>4723</v>
      </c>
      <c r="J374" s="9" t="s">
        <v>4733</v>
      </c>
      <c r="K374" s="20">
        <f t="shared" si="2"/>
        <v>1968</v>
      </c>
      <c r="L374" s="9" t="str">
        <f t="shared" si="3"/>
        <v>tier - 2</v>
      </c>
      <c r="M374" s="9" t="str">
        <f t="shared" si="4"/>
        <v>tier - 2</v>
      </c>
      <c r="N374" s="9" t="str">
        <f t="shared" si="5"/>
        <v>R1012</v>
      </c>
      <c r="O374" s="17">
        <f t="shared" si="6"/>
        <v>54</v>
      </c>
      <c r="P374" s="18">
        <v>25150.0</v>
      </c>
    </row>
    <row r="375" ht="15.75" customHeight="1">
      <c r="A375" s="9" t="s">
        <v>1325</v>
      </c>
      <c r="B375" s="17">
        <v>1962.0</v>
      </c>
      <c r="C375" s="9" t="s">
        <v>4735</v>
      </c>
      <c r="D375" s="9">
        <v>29.0</v>
      </c>
      <c r="E375" s="18">
        <f t="shared" si="1"/>
        <v>22979</v>
      </c>
      <c r="F375" s="9">
        <v>0.0</v>
      </c>
      <c r="G375" s="19">
        <v>14945.34</v>
      </c>
      <c r="H375" s="9" t="s">
        <v>4723</v>
      </c>
      <c r="I375" s="9" t="s">
        <v>4718</v>
      </c>
      <c r="J375" s="9" t="s">
        <v>4751</v>
      </c>
      <c r="K375" s="20">
        <f t="shared" si="2"/>
        <v>1962</v>
      </c>
      <c r="L375" s="9" t="str">
        <f t="shared" si="3"/>
        <v>tier - 2</v>
      </c>
      <c r="M375" s="9" t="str">
        <f t="shared" si="4"/>
        <v>tier - 1</v>
      </c>
      <c r="N375" s="9" t="str">
        <f t="shared" si="5"/>
        <v>R1021</v>
      </c>
      <c r="O375" s="17">
        <f t="shared" si="6"/>
        <v>60</v>
      </c>
      <c r="P375" s="18">
        <v>22979.0</v>
      </c>
    </row>
    <row r="376" ht="15.75" customHeight="1">
      <c r="A376" s="9" t="s">
        <v>1323</v>
      </c>
      <c r="B376" s="17">
        <v>1958.0</v>
      </c>
      <c r="C376" s="9" t="s">
        <v>4741</v>
      </c>
      <c r="D376" s="9">
        <v>29.0</v>
      </c>
      <c r="E376" s="18">
        <f t="shared" si="1"/>
        <v>21395</v>
      </c>
      <c r="F376" s="9">
        <v>2.0</v>
      </c>
      <c r="G376" s="19">
        <v>14988.43</v>
      </c>
      <c r="H376" s="9" t="s">
        <v>4723</v>
      </c>
      <c r="I376" s="9" t="s">
        <v>4717</v>
      </c>
      <c r="J376" s="9" t="s">
        <v>4719</v>
      </c>
      <c r="K376" s="20">
        <f t="shared" si="2"/>
        <v>1958</v>
      </c>
      <c r="L376" s="9" t="str">
        <f t="shared" si="3"/>
        <v>tier - 2</v>
      </c>
      <c r="M376" s="9" t="str">
        <f t="shared" si="4"/>
        <v>tier - 3</v>
      </c>
      <c r="N376" s="9" t="str">
        <f t="shared" si="5"/>
        <v>R1011</v>
      </c>
      <c r="O376" s="17">
        <f t="shared" si="6"/>
        <v>64</v>
      </c>
      <c r="P376" s="18">
        <v>21395.0</v>
      </c>
    </row>
    <row r="377" ht="15.75" customHeight="1">
      <c r="A377" s="9" t="s">
        <v>1321</v>
      </c>
      <c r="B377" s="17">
        <v>1995.0</v>
      </c>
      <c r="C377" s="9" t="s">
        <v>4716</v>
      </c>
      <c r="D377" s="9">
        <v>2.0</v>
      </c>
      <c r="E377" s="18">
        <f t="shared" si="1"/>
        <v>34913</v>
      </c>
      <c r="F377" s="9">
        <v>2.0</v>
      </c>
      <c r="G377" s="19">
        <v>15006.58</v>
      </c>
      <c r="H377" s="9" t="s">
        <v>4723</v>
      </c>
      <c r="I377" s="9" t="s">
        <v>4723</v>
      </c>
      <c r="J377" s="9" t="s">
        <v>4731</v>
      </c>
      <c r="K377" s="20">
        <f t="shared" si="2"/>
        <v>1995</v>
      </c>
      <c r="L377" s="9" t="str">
        <f t="shared" si="3"/>
        <v>tier - 2</v>
      </c>
      <c r="M377" s="9" t="str">
        <f t="shared" si="4"/>
        <v>tier - 2</v>
      </c>
      <c r="N377" s="9" t="str">
        <f t="shared" si="5"/>
        <v>R1024</v>
      </c>
      <c r="O377" s="17">
        <f t="shared" si="6"/>
        <v>27</v>
      </c>
      <c r="P377" s="18">
        <v>34913.0</v>
      </c>
    </row>
    <row r="378" ht="15.75" customHeight="1">
      <c r="A378" s="9" t="s">
        <v>133</v>
      </c>
      <c r="B378" s="17">
        <v>1973.0</v>
      </c>
      <c r="C378" s="9" t="s">
        <v>4738</v>
      </c>
      <c r="D378" s="9">
        <v>18.0</v>
      </c>
      <c r="E378" s="18">
        <f t="shared" si="1"/>
        <v>26925</v>
      </c>
      <c r="F378" s="9">
        <v>0.0</v>
      </c>
      <c r="G378" s="19">
        <v>42188.15</v>
      </c>
      <c r="H378" s="9" t="s">
        <v>4718</v>
      </c>
      <c r="I378" s="9" t="s">
        <v>4718</v>
      </c>
      <c r="J378" s="9" t="s">
        <v>4719</v>
      </c>
      <c r="K378" s="20">
        <f t="shared" si="2"/>
        <v>1973</v>
      </c>
      <c r="L378" s="9" t="str">
        <f t="shared" si="3"/>
        <v>tier - 1</v>
      </c>
      <c r="M378" s="9" t="str">
        <f t="shared" si="4"/>
        <v>tier - 1</v>
      </c>
      <c r="N378" s="9" t="str">
        <f t="shared" si="5"/>
        <v>R1011</v>
      </c>
      <c r="O378" s="17">
        <f t="shared" si="6"/>
        <v>49</v>
      </c>
      <c r="P378" s="18">
        <v>26925.0</v>
      </c>
    </row>
    <row r="379" ht="15.75" customHeight="1">
      <c r="A379" s="9" t="s">
        <v>1319</v>
      </c>
      <c r="B379" s="17">
        <v>1960.0</v>
      </c>
      <c r="C379" s="9" t="s">
        <v>4716</v>
      </c>
      <c r="D379" s="9">
        <v>8.0</v>
      </c>
      <c r="E379" s="18">
        <f t="shared" si="1"/>
        <v>22136</v>
      </c>
      <c r="F379" s="9">
        <v>2.0</v>
      </c>
      <c r="G379" s="19">
        <v>15019.76</v>
      </c>
      <c r="H379" s="9" t="s">
        <v>4723</v>
      </c>
      <c r="I379" s="9" t="s">
        <v>4723</v>
      </c>
      <c r="J379" s="9" t="s">
        <v>4733</v>
      </c>
      <c r="K379" s="20">
        <f t="shared" si="2"/>
        <v>1960</v>
      </c>
      <c r="L379" s="9" t="str">
        <f t="shared" si="3"/>
        <v>tier - 2</v>
      </c>
      <c r="M379" s="9" t="str">
        <f t="shared" si="4"/>
        <v>tier - 2</v>
      </c>
      <c r="N379" s="9" t="str">
        <f t="shared" si="5"/>
        <v>R1012</v>
      </c>
      <c r="O379" s="17">
        <f t="shared" si="6"/>
        <v>62</v>
      </c>
      <c r="P379" s="18">
        <v>22136.0</v>
      </c>
    </row>
    <row r="380" ht="15.75" customHeight="1">
      <c r="A380" s="9" t="s">
        <v>1317</v>
      </c>
      <c r="B380" s="17">
        <v>1979.0</v>
      </c>
      <c r="C380" s="9" t="s">
        <v>4735</v>
      </c>
      <c r="D380" s="9">
        <v>25.0</v>
      </c>
      <c r="E380" s="18">
        <f t="shared" si="1"/>
        <v>29184</v>
      </c>
      <c r="F380" s="9">
        <v>2.0</v>
      </c>
      <c r="G380" s="19">
        <v>15025.76</v>
      </c>
      <c r="H380" s="9" t="s">
        <v>4723</v>
      </c>
      <c r="I380" s="9" t="s">
        <v>4718</v>
      </c>
      <c r="J380" s="9" t="s">
        <v>4719</v>
      </c>
      <c r="K380" s="20">
        <f t="shared" si="2"/>
        <v>1979</v>
      </c>
      <c r="L380" s="9" t="str">
        <f t="shared" si="3"/>
        <v>tier - 2</v>
      </c>
      <c r="M380" s="9" t="str">
        <f t="shared" si="4"/>
        <v>tier - 1</v>
      </c>
      <c r="N380" s="9" t="str">
        <f t="shared" si="5"/>
        <v>R1011</v>
      </c>
      <c r="O380" s="17">
        <f t="shared" si="6"/>
        <v>43</v>
      </c>
      <c r="P380" s="18">
        <v>29184.0</v>
      </c>
    </row>
    <row r="381" ht="15.75" customHeight="1">
      <c r="A381" s="9" t="s">
        <v>1315</v>
      </c>
      <c r="B381" s="17">
        <v>1970.0</v>
      </c>
      <c r="C381" s="9" t="s">
        <v>4738</v>
      </c>
      <c r="D381" s="9">
        <v>11.0</v>
      </c>
      <c r="E381" s="18">
        <f t="shared" si="1"/>
        <v>25822</v>
      </c>
      <c r="F381" s="9">
        <v>0.0</v>
      </c>
      <c r="G381" s="19">
        <v>15026.3</v>
      </c>
      <c r="H381" s="9" t="s">
        <v>4723</v>
      </c>
      <c r="I381" s="9" t="s">
        <v>4717</v>
      </c>
      <c r="J381" s="9" t="s">
        <v>4719</v>
      </c>
      <c r="K381" s="20">
        <f t="shared" si="2"/>
        <v>1970</v>
      </c>
      <c r="L381" s="9" t="str">
        <f t="shared" si="3"/>
        <v>tier - 2</v>
      </c>
      <c r="M381" s="9" t="str">
        <f t="shared" si="4"/>
        <v>tier - 3</v>
      </c>
      <c r="N381" s="9" t="str">
        <f t="shared" si="5"/>
        <v>R1011</v>
      </c>
      <c r="O381" s="17">
        <f t="shared" si="6"/>
        <v>52</v>
      </c>
      <c r="P381" s="18">
        <v>25822.0</v>
      </c>
    </row>
    <row r="382" ht="15.75" customHeight="1">
      <c r="A382" s="9" t="s">
        <v>1313</v>
      </c>
      <c r="B382" s="17">
        <v>1971.0</v>
      </c>
      <c r="C382" s="9" t="s">
        <v>4716</v>
      </c>
      <c r="D382" s="9">
        <v>15.0</v>
      </c>
      <c r="E382" s="18">
        <f t="shared" si="1"/>
        <v>26160</v>
      </c>
      <c r="F382" s="9">
        <v>0.0</v>
      </c>
      <c r="G382" s="19">
        <v>15038.51</v>
      </c>
      <c r="H382" s="9" t="s">
        <v>4723</v>
      </c>
      <c r="I382" s="9" t="s">
        <v>4717</v>
      </c>
      <c r="J382" s="9" t="s">
        <v>4756</v>
      </c>
      <c r="K382" s="20">
        <f t="shared" si="2"/>
        <v>1971</v>
      </c>
      <c r="L382" s="9" t="str">
        <f t="shared" si="3"/>
        <v>tier - 2</v>
      </c>
      <c r="M382" s="9" t="str">
        <f t="shared" si="4"/>
        <v>tier - 3</v>
      </c>
      <c r="N382" s="9" t="str">
        <f t="shared" si="5"/>
        <v>R1023</v>
      </c>
      <c r="O382" s="17">
        <f t="shared" si="6"/>
        <v>51</v>
      </c>
      <c r="P382" s="18">
        <v>26160.0</v>
      </c>
    </row>
    <row r="383" ht="15.75" customHeight="1">
      <c r="A383" s="9" t="s">
        <v>1311</v>
      </c>
      <c r="B383" s="17">
        <v>1968.0</v>
      </c>
      <c r="C383" s="9" t="s">
        <v>4730</v>
      </c>
      <c r="D383" s="9">
        <v>12.0</v>
      </c>
      <c r="E383" s="18">
        <f t="shared" si="1"/>
        <v>25001</v>
      </c>
      <c r="F383" s="9">
        <v>0.0</v>
      </c>
      <c r="G383" s="19">
        <v>15052.68</v>
      </c>
      <c r="H383" s="9" t="s">
        <v>4723</v>
      </c>
      <c r="I383" s="9" t="s">
        <v>4723</v>
      </c>
      <c r="J383" s="9" t="s">
        <v>4736</v>
      </c>
      <c r="K383" s="20">
        <f t="shared" si="2"/>
        <v>1968</v>
      </c>
      <c r="L383" s="9" t="str">
        <f t="shared" si="3"/>
        <v>tier - 2</v>
      </c>
      <c r="M383" s="9" t="str">
        <f t="shared" si="4"/>
        <v>tier - 2</v>
      </c>
      <c r="N383" s="9" t="str">
        <f t="shared" si="5"/>
        <v>R1022</v>
      </c>
      <c r="O383" s="17">
        <f t="shared" si="6"/>
        <v>54</v>
      </c>
      <c r="P383" s="18">
        <v>25001.0</v>
      </c>
    </row>
    <row r="384" ht="15.75" customHeight="1">
      <c r="A384" s="9" t="s">
        <v>1309</v>
      </c>
      <c r="B384" s="17">
        <v>1975.0</v>
      </c>
      <c r="C384" s="9" t="s">
        <v>4720</v>
      </c>
      <c r="D384" s="9">
        <v>26.0</v>
      </c>
      <c r="E384" s="18">
        <f t="shared" si="1"/>
        <v>27693</v>
      </c>
      <c r="F384" s="9">
        <v>1.0</v>
      </c>
      <c r="G384" s="19">
        <v>15090.35</v>
      </c>
      <c r="H384" s="9" t="s">
        <v>4723</v>
      </c>
      <c r="I384" s="9" t="s">
        <v>4718</v>
      </c>
      <c r="J384" s="9" t="s">
        <v>4756</v>
      </c>
      <c r="K384" s="20">
        <f t="shared" si="2"/>
        <v>1975</v>
      </c>
      <c r="L384" s="9" t="str">
        <f t="shared" si="3"/>
        <v>tier - 2</v>
      </c>
      <c r="M384" s="9" t="str">
        <f t="shared" si="4"/>
        <v>tier - 1</v>
      </c>
      <c r="N384" s="9" t="str">
        <f t="shared" si="5"/>
        <v>R1023</v>
      </c>
      <c r="O384" s="17">
        <f t="shared" si="6"/>
        <v>47</v>
      </c>
      <c r="P384" s="18">
        <v>27693.0</v>
      </c>
    </row>
    <row r="385" ht="15.75" customHeight="1">
      <c r="A385" s="9" t="s">
        <v>1307</v>
      </c>
      <c r="B385" s="17">
        <v>1972.0</v>
      </c>
      <c r="C385" s="9" t="s">
        <v>4735</v>
      </c>
      <c r="D385" s="9">
        <v>7.0</v>
      </c>
      <c r="E385" s="18">
        <f t="shared" si="1"/>
        <v>26610</v>
      </c>
      <c r="F385" s="9">
        <v>0.0</v>
      </c>
      <c r="G385" s="19">
        <v>15103.69</v>
      </c>
      <c r="H385" s="9" t="s">
        <v>4723</v>
      </c>
      <c r="I385" s="9" t="s">
        <v>4718</v>
      </c>
      <c r="J385" s="9" t="s">
        <v>4733</v>
      </c>
      <c r="K385" s="20">
        <f t="shared" si="2"/>
        <v>1972</v>
      </c>
      <c r="L385" s="9" t="str">
        <f t="shared" si="3"/>
        <v>tier - 2</v>
      </c>
      <c r="M385" s="9" t="str">
        <f t="shared" si="4"/>
        <v>tier - 1</v>
      </c>
      <c r="N385" s="9" t="str">
        <f t="shared" si="5"/>
        <v>R1012</v>
      </c>
      <c r="O385" s="17">
        <f t="shared" si="6"/>
        <v>50</v>
      </c>
      <c r="P385" s="18">
        <v>26610.0</v>
      </c>
    </row>
    <row r="386" ht="15.75" customHeight="1">
      <c r="A386" s="9" t="s">
        <v>1305</v>
      </c>
      <c r="B386" s="17">
        <v>1978.0</v>
      </c>
      <c r="C386" s="9" t="s">
        <v>4738</v>
      </c>
      <c r="D386" s="9">
        <v>5.0</v>
      </c>
      <c r="E386" s="18">
        <f t="shared" si="1"/>
        <v>28738</v>
      </c>
      <c r="F386" s="9">
        <v>2.0</v>
      </c>
      <c r="G386" s="19">
        <v>15123.19</v>
      </c>
      <c r="H386" s="9" t="s">
        <v>4723</v>
      </c>
      <c r="I386" s="9" t="s">
        <v>4718</v>
      </c>
      <c r="J386" s="9" t="s">
        <v>4719</v>
      </c>
      <c r="K386" s="20">
        <f t="shared" si="2"/>
        <v>1978</v>
      </c>
      <c r="L386" s="9" t="str">
        <f t="shared" si="3"/>
        <v>tier - 2</v>
      </c>
      <c r="M386" s="9" t="str">
        <f t="shared" si="4"/>
        <v>tier - 1</v>
      </c>
      <c r="N386" s="9" t="str">
        <f t="shared" si="5"/>
        <v>R1011</v>
      </c>
      <c r="O386" s="17">
        <f t="shared" si="6"/>
        <v>44</v>
      </c>
      <c r="P386" s="18">
        <v>28738.0</v>
      </c>
    </row>
    <row r="387" ht="15.75" customHeight="1">
      <c r="A387" s="9" t="s">
        <v>1303</v>
      </c>
      <c r="B387" s="17">
        <v>1971.0</v>
      </c>
      <c r="C387" s="9" t="s">
        <v>4735</v>
      </c>
      <c r="D387" s="9">
        <v>25.0</v>
      </c>
      <c r="E387" s="18">
        <f t="shared" si="1"/>
        <v>26262</v>
      </c>
      <c r="F387" s="9">
        <v>0.0</v>
      </c>
      <c r="G387" s="19">
        <v>15150.44</v>
      </c>
      <c r="H387" s="9" t="s">
        <v>4723</v>
      </c>
      <c r="I387" s="9" t="s">
        <v>4718</v>
      </c>
      <c r="J387" s="9" t="s">
        <v>4756</v>
      </c>
      <c r="K387" s="20">
        <f t="shared" si="2"/>
        <v>1971</v>
      </c>
      <c r="L387" s="9" t="str">
        <f t="shared" si="3"/>
        <v>tier - 2</v>
      </c>
      <c r="M387" s="9" t="str">
        <f t="shared" si="4"/>
        <v>tier - 1</v>
      </c>
      <c r="N387" s="9" t="str">
        <f t="shared" si="5"/>
        <v>R1023</v>
      </c>
      <c r="O387" s="17">
        <f t="shared" si="6"/>
        <v>51</v>
      </c>
      <c r="P387" s="18">
        <v>26262.0</v>
      </c>
    </row>
    <row r="388" ht="15.75" customHeight="1">
      <c r="A388" s="9" t="s">
        <v>1301</v>
      </c>
      <c r="B388" s="17">
        <v>1962.0</v>
      </c>
      <c r="C388" s="9" t="s">
        <v>4720</v>
      </c>
      <c r="D388" s="9">
        <v>25.0</v>
      </c>
      <c r="E388" s="18">
        <f t="shared" si="1"/>
        <v>22944</v>
      </c>
      <c r="F388" s="9">
        <v>0.0</v>
      </c>
      <c r="G388" s="19">
        <v>15161.25</v>
      </c>
      <c r="H388" s="9" t="s">
        <v>4723</v>
      </c>
      <c r="I388" s="9" t="s">
        <v>4723</v>
      </c>
      <c r="J388" s="9" t="s">
        <v>4733</v>
      </c>
      <c r="K388" s="20">
        <f t="shared" si="2"/>
        <v>1962</v>
      </c>
      <c r="L388" s="9" t="str">
        <f t="shared" si="3"/>
        <v>tier - 2</v>
      </c>
      <c r="M388" s="9" t="str">
        <f t="shared" si="4"/>
        <v>tier - 2</v>
      </c>
      <c r="N388" s="9" t="str">
        <f t="shared" si="5"/>
        <v>R1012</v>
      </c>
      <c r="O388" s="17">
        <f t="shared" si="6"/>
        <v>60</v>
      </c>
      <c r="P388" s="18">
        <v>22944.0</v>
      </c>
    </row>
    <row r="389" ht="15.75" customHeight="1">
      <c r="A389" s="9" t="s">
        <v>131</v>
      </c>
      <c r="B389" s="17">
        <v>1975.0</v>
      </c>
      <c r="C389" s="9" t="s">
        <v>4716</v>
      </c>
      <c r="D389" s="9">
        <v>15.0</v>
      </c>
      <c r="E389" s="18">
        <f t="shared" si="1"/>
        <v>27621</v>
      </c>
      <c r="F389" s="9">
        <v>1.0</v>
      </c>
      <c r="G389" s="19">
        <v>42211.14</v>
      </c>
      <c r="H389" s="9" t="s">
        <v>4718</v>
      </c>
      <c r="I389" s="9" t="s">
        <v>4717</v>
      </c>
      <c r="J389" s="9" t="s">
        <v>4743</v>
      </c>
      <c r="K389" s="20">
        <f t="shared" si="2"/>
        <v>1975</v>
      </c>
      <c r="L389" s="9" t="str">
        <f t="shared" si="3"/>
        <v>tier - 1</v>
      </c>
      <c r="M389" s="9" t="str">
        <f t="shared" si="4"/>
        <v>tier - 3</v>
      </c>
      <c r="N389" s="9" t="str">
        <f t="shared" si="5"/>
        <v>R1013</v>
      </c>
      <c r="O389" s="17">
        <f t="shared" si="6"/>
        <v>47</v>
      </c>
      <c r="P389" s="18">
        <v>27621.0</v>
      </c>
    </row>
    <row r="390" ht="15.75" customHeight="1">
      <c r="A390" s="9" t="s">
        <v>1299</v>
      </c>
      <c r="B390" s="17">
        <v>1959.0</v>
      </c>
      <c r="C390" s="9" t="s">
        <v>4730</v>
      </c>
      <c r="D390" s="9">
        <v>4.0</v>
      </c>
      <c r="E390" s="18">
        <f t="shared" si="1"/>
        <v>21705</v>
      </c>
      <c r="F390" s="9">
        <v>3.0</v>
      </c>
      <c r="G390" s="19">
        <v>15161.53</v>
      </c>
      <c r="H390" s="9" t="s">
        <v>4723</v>
      </c>
      <c r="I390" s="9" t="s">
        <v>4718</v>
      </c>
      <c r="J390" s="9" t="s">
        <v>4743</v>
      </c>
      <c r="K390" s="20">
        <f t="shared" si="2"/>
        <v>1959</v>
      </c>
      <c r="L390" s="9" t="str">
        <f t="shared" si="3"/>
        <v>tier - 2</v>
      </c>
      <c r="M390" s="9" t="str">
        <f t="shared" si="4"/>
        <v>tier - 1</v>
      </c>
      <c r="N390" s="9" t="str">
        <f t="shared" si="5"/>
        <v>R1013</v>
      </c>
      <c r="O390" s="17">
        <f t="shared" si="6"/>
        <v>64</v>
      </c>
      <c r="P390" s="18">
        <v>21705.0</v>
      </c>
    </row>
    <row r="391" ht="15.75" customHeight="1">
      <c r="A391" s="9" t="s">
        <v>1297</v>
      </c>
      <c r="B391" s="17">
        <v>1959.0</v>
      </c>
      <c r="C391" s="9" t="s">
        <v>4725</v>
      </c>
      <c r="D391" s="9">
        <v>3.0</v>
      </c>
      <c r="E391" s="18">
        <f t="shared" si="1"/>
        <v>21887</v>
      </c>
      <c r="F391" s="9">
        <v>3.0</v>
      </c>
      <c r="G391" s="19">
        <v>15170.07</v>
      </c>
      <c r="H391" s="9" t="s">
        <v>4723</v>
      </c>
      <c r="I391" s="9" t="s">
        <v>4717</v>
      </c>
      <c r="J391" s="9" t="s">
        <v>4719</v>
      </c>
      <c r="K391" s="20">
        <f t="shared" si="2"/>
        <v>1959</v>
      </c>
      <c r="L391" s="9" t="str">
        <f t="shared" si="3"/>
        <v>tier - 2</v>
      </c>
      <c r="M391" s="9" t="str">
        <f t="shared" si="4"/>
        <v>tier - 3</v>
      </c>
      <c r="N391" s="9" t="str">
        <f t="shared" si="5"/>
        <v>R1011</v>
      </c>
      <c r="O391" s="17">
        <f t="shared" si="6"/>
        <v>63</v>
      </c>
      <c r="P391" s="18">
        <v>21887.0</v>
      </c>
    </row>
    <row r="392" ht="15.75" customHeight="1">
      <c r="A392" s="9" t="s">
        <v>1295</v>
      </c>
      <c r="B392" s="17">
        <v>1962.0</v>
      </c>
      <c r="C392" s="9" t="s">
        <v>4730</v>
      </c>
      <c r="D392" s="9">
        <v>17.0</v>
      </c>
      <c r="E392" s="18">
        <f t="shared" si="1"/>
        <v>22814</v>
      </c>
      <c r="F392" s="9">
        <v>0.0</v>
      </c>
      <c r="G392" s="19">
        <v>15174.81</v>
      </c>
      <c r="H392" s="9" t="s">
        <v>4723</v>
      </c>
      <c r="I392" s="9" t="s">
        <v>4718</v>
      </c>
      <c r="J392" s="9" t="s">
        <v>4733</v>
      </c>
      <c r="K392" s="20">
        <f t="shared" si="2"/>
        <v>1962</v>
      </c>
      <c r="L392" s="9" t="str">
        <f t="shared" si="3"/>
        <v>tier - 2</v>
      </c>
      <c r="M392" s="9" t="str">
        <f t="shared" si="4"/>
        <v>tier - 1</v>
      </c>
      <c r="N392" s="9" t="str">
        <f t="shared" si="5"/>
        <v>R1012</v>
      </c>
      <c r="O392" s="17">
        <f t="shared" si="6"/>
        <v>60</v>
      </c>
      <c r="P392" s="18">
        <v>22814.0</v>
      </c>
    </row>
    <row r="393" ht="15.75" customHeight="1">
      <c r="A393" s="9" t="s">
        <v>1293</v>
      </c>
      <c r="B393" s="17">
        <v>1978.0</v>
      </c>
      <c r="C393" s="9" t="s">
        <v>4735</v>
      </c>
      <c r="D393" s="9">
        <v>23.0</v>
      </c>
      <c r="E393" s="18">
        <f t="shared" si="1"/>
        <v>28817</v>
      </c>
      <c r="F393" s="9">
        <v>2.0</v>
      </c>
      <c r="G393" s="19">
        <v>15207.92</v>
      </c>
      <c r="H393" s="9" t="s">
        <v>4723</v>
      </c>
      <c r="I393" s="9" t="s">
        <v>4718</v>
      </c>
      <c r="J393" s="9" t="s">
        <v>4733</v>
      </c>
      <c r="K393" s="20">
        <f t="shared" si="2"/>
        <v>1978</v>
      </c>
      <c r="L393" s="9" t="str">
        <f t="shared" si="3"/>
        <v>tier - 2</v>
      </c>
      <c r="M393" s="9" t="str">
        <f t="shared" si="4"/>
        <v>tier - 1</v>
      </c>
      <c r="N393" s="9" t="str">
        <f t="shared" si="5"/>
        <v>R1012</v>
      </c>
      <c r="O393" s="17">
        <f t="shared" si="6"/>
        <v>44</v>
      </c>
      <c r="P393" s="18">
        <v>28817.0</v>
      </c>
    </row>
    <row r="394" ht="15.75" customHeight="1">
      <c r="A394" s="9" t="s">
        <v>1291</v>
      </c>
      <c r="B394" s="17">
        <v>1960.0</v>
      </c>
      <c r="C394" s="9" t="s">
        <v>4741</v>
      </c>
      <c r="D394" s="9">
        <v>25.0</v>
      </c>
      <c r="E394" s="18">
        <f t="shared" si="1"/>
        <v>22122</v>
      </c>
      <c r="F394" s="9">
        <v>2.0</v>
      </c>
      <c r="G394" s="19">
        <v>15230.32</v>
      </c>
      <c r="H394" s="9" t="s">
        <v>4723</v>
      </c>
      <c r="I394" s="9" t="s">
        <v>4723</v>
      </c>
      <c r="J394" s="9" t="s">
        <v>4731</v>
      </c>
      <c r="K394" s="20">
        <f t="shared" si="2"/>
        <v>1960</v>
      </c>
      <c r="L394" s="9" t="str">
        <f t="shared" si="3"/>
        <v>tier - 2</v>
      </c>
      <c r="M394" s="9" t="str">
        <f t="shared" si="4"/>
        <v>tier - 2</v>
      </c>
      <c r="N394" s="9" t="str">
        <f t="shared" si="5"/>
        <v>R1024</v>
      </c>
      <c r="O394" s="17">
        <f t="shared" si="6"/>
        <v>62</v>
      </c>
      <c r="P394" s="18">
        <v>22122.0</v>
      </c>
    </row>
    <row r="395" ht="15.75" customHeight="1">
      <c r="A395" s="9" t="s">
        <v>1289</v>
      </c>
      <c r="B395" s="17">
        <v>1969.0</v>
      </c>
      <c r="C395" s="9" t="s">
        <v>4738</v>
      </c>
      <c r="D395" s="9">
        <v>16.0</v>
      </c>
      <c r="E395" s="18">
        <f t="shared" si="1"/>
        <v>25462</v>
      </c>
      <c r="F395" s="9">
        <v>0.0</v>
      </c>
      <c r="G395" s="19">
        <v>15260.52</v>
      </c>
      <c r="H395" s="9" t="s">
        <v>4723</v>
      </c>
      <c r="I395" s="9" t="s">
        <v>4723</v>
      </c>
      <c r="J395" s="9" t="s">
        <v>4756</v>
      </c>
      <c r="K395" s="20">
        <f t="shared" si="2"/>
        <v>1969</v>
      </c>
      <c r="L395" s="9" t="str">
        <f t="shared" si="3"/>
        <v>tier - 2</v>
      </c>
      <c r="M395" s="9" t="str">
        <f t="shared" si="4"/>
        <v>tier - 2</v>
      </c>
      <c r="N395" s="9" t="str">
        <f t="shared" si="5"/>
        <v>R1023</v>
      </c>
      <c r="O395" s="17">
        <f t="shared" si="6"/>
        <v>53</v>
      </c>
      <c r="P395" s="18">
        <v>25462.0</v>
      </c>
    </row>
    <row r="396" ht="15.75" customHeight="1">
      <c r="A396" s="9" t="s">
        <v>1287</v>
      </c>
      <c r="B396" s="17">
        <v>1963.0</v>
      </c>
      <c r="C396" s="9" t="s">
        <v>4725</v>
      </c>
      <c r="D396" s="9">
        <v>13.0</v>
      </c>
      <c r="E396" s="18">
        <f t="shared" si="1"/>
        <v>23358</v>
      </c>
      <c r="F396" s="9">
        <v>0.0</v>
      </c>
      <c r="G396" s="19">
        <v>15322.77</v>
      </c>
      <c r="H396" s="9" t="s">
        <v>4723</v>
      </c>
      <c r="I396" s="9" t="s">
        <v>4717</v>
      </c>
      <c r="J396" s="9" t="s">
        <v>4751</v>
      </c>
      <c r="K396" s="20">
        <f t="shared" si="2"/>
        <v>1963</v>
      </c>
      <c r="L396" s="9" t="str">
        <f t="shared" si="3"/>
        <v>tier - 2</v>
      </c>
      <c r="M396" s="9" t="str">
        <f t="shared" si="4"/>
        <v>tier - 3</v>
      </c>
      <c r="N396" s="9" t="str">
        <f t="shared" si="5"/>
        <v>R1021</v>
      </c>
      <c r="O396" s="17">
        <f t="shared" si="6"/>
        <v>59</v>
      </c>
      <c r="P396" s="18">
        <v>23358.0</v>
      </c>
    </row>
    <row r="397" ht="15.75" customHeight="1">
      <c r="A397" s="9" t="s">
        <v>1285</v>
      </c>
      <c r="B397" s="17">
        <v>2001.0</v>
      </c>
      <c r="C397" s="9" t="s">
        <v>4741</v>
      </c>
      <c r="D397" s="9">
        <v>14.0</v>
      </c>
      <c r="E397" s="18">
        <f t="shared" si="1"/>
        <v>37086</v>
      </c>
      <c r="F397" s="9">
        <v>1.0</v>
      </c>
      <c r="G397" s="19">
        <v>15359.1</v>
      </c>
      <c r="H397" s="9" t="s">
        <v>4723</v>
      </c>
      <c r="I397" s="9" t="s">
        <v>4717</v>
      </c>
      <c r="J397" s="9" t="s">
        <v>4731</v>
      </c>
      <c r="K397" s="20">
        <f t="shared" si="2"/>
        <v>2001</v>
      </c>
      <c r="L397" s="9" t="str">
        <f t="shared" si="3"/>
        <v>tier - 2</v>
      </c>
      <c r="M397" s="9" t="str">
        <f t="shared" si="4"/>
        <v>tier - 3</v>
      </c>
      <c r="N397" s="9" t="str">
        <f t="shared" si="5"/>
        <v>R1024</v>
      </c>
      <c r="O397" s="17">
        <f t="shared" si="6"/>
        <v>21</v>
      </c>
      <c r="P397" s="18">
        <v>37086.0</v>
      </c>
    </row>
    <row r="398" ht="15.75" customHeight="1">
      <c r="A398" s="9" t="s">
        <v>1283</v>
      </c>
      <c r="B398" s="17">
        <v>1988.0</v>
      </c>
      <c r="C398" s="9" t="s">
        <v>4725</v>
      </c>
      <c r="D398" s="9">
        <v>17.0</v>
      </c>
      <c r="E398" s="18">
        <f t="shared" si="1"/>
        <v>32494</v>
      </c>
      <c r="F398" s="9">
        <v>3.0</v>
      </c>
      <c r="G398" s="19">
        <v>15361.5</v>
      </c>
      <c r="H398" s="9" t="s">
        <v>4723</v>
      </c>
      <c r="I398" s="9" t="s">
        <v>4717</v>
      </c>
      <c r="J398" s="9" t="s">
        <v>4756</v>
      </c>
      <c r="K398" s="20">
        <f t="shared" si="2"/>
        <v>1988</v>
      </c>
      <c r="L398" s="9" t="str">
        <f t="shared" si="3"/>
        <v>tier - 2</v>
      </c>
      <c r="M398" s="9" t="str">
        <f t="shared" si="4"/>
        <v>tier - 3</v>
      </c>
      <c r="N398" s="9" t="str">
        <f t="shared" si="5"/>
        <v>R1023</v>
      </c>
      <c r="O398" s="17">
        <f t="shared" si="6"/>
        <v>34</v>
      </c>
      <c r="P398" s="18">
        <v>32494.0</v>
      </c>
    </row>
    <row r="399" ht="15.75" customHeight="1">
      <c r="A399" s="9" t="s">
        <v>1281</v>
      </c>
      <c r="B399" s="17">
        <v>1968.0</v>
      </c>
      <c r="C399" s="9" t="s">
        <v>4741</v>
      </c>
      <c r="D399" s="9">
        <v>18.0</v>
      </c>
      <c r="E399" s="18">
        <f t="shared" si="1"/>
        <v>25037</v>
      </c>
      <c r="F399" s="9">
        <v>0.0</v>
      </c>
      <c r="G399" s="19">
        <v>15363.77</v>
      </c>
      <c r="H399" s="9" t="s">
        <v>4723</v>
      </c>
      <c r="I399" s="9" t="s">
        <v>4718</v>
      </c>
      <c r="J399" s="9" t="s">
        <v>4721</v>
      </c>
      <c r="K399" s="20">
        <f t="shared" si="2"/>
        <v>1968</v>
      </c>
      <c r="L399" s="9" t="str">
        <f t="shared" si="3"/>
        <v>tier - 2</v>
      </c>
      <c r="M399" s="9" t="str">
        <f t="shared" si="4"/>
        <v>tier - 1</v>
      </c>
      <c r="N399" s="9" t="str">
        <f t="shared" si="5"/>
        <v>R1026</v>
      </c>
      <c r="O399" s="17">
        <f t="shared" si="6"/>
        <v>54</v>
      </c>
      <c r="P399" s="18">
        <v>25037.0</v>
      </c>
    </row>
    <row r="400" ht="15.75" customHeight="1">
      <c r="A400" s="9" t="s">
        <v>129</v>
      </c>
      <c r="B400" s="17">
        <v>1967.0</v>
      </c>
      <c r="C400" s="9" t="s">
        <v>4730</v>
      </c>
      <c r="D400" s="9">
        <v>28.0</v>
      </c>
      <c r="E400" s="18">
        <f t="shared" si="1"/>
        <v>24651</v>
      </c>
      <c r="F400" s="9">
        <v>0.0</v>
      </c>
      <c r="G400" s="19">
        <v>42303.69</v>
      </c>
      <c r="H400" s="9" t="s">
        <v>4718</v>
      </c>
      <c r="I400" s="9" t="s">
        <v>4723</v>
      </c>
      <c r="J400" s="9" t="s">
        <v>4754</v>
      </c>
      <c r="K400" s="20">
        <f t="shared" si="2"/>
        <v>1967</v>
      </c>
      <c r="L400" s="9" t="str">
        <f t="shared" si="3"/>
        <v>tier - 1</v>
      </c>
      <c r="M400" s="9" t="str">
        <f t="shared" si="4"/>
        <v>tier - 2</v>
      </c>
      <c r="N400" s="9" t="str">
        <f t="shared" si="5"/>
        <v>R1016</v>
      </c>
      <c r="O400" s="17">
        <f t="shared" si="6"/>
        <v>55</v>
      </c>
      <c r="P400" s="18">
        <v>24651.0</v>
      </c>
    </row>
    <row r="401" ht="15.75" customHeight="1">
      <c r="A401" s="9" t="s">
        <v>1279</v>
      </c>
      <c r="B401" s="17">
        <v>1962.0</v>
      </c>
      <c r="C401" s="9" t="s">
        <v>4738</v>
      </c>
      <c r="D401" s="9">
        <v>6.0</v>
      </c>
      <c r="E401" s="18">
        <f t="shared" si="1"/>
        <v>22895</v>
      </c>
      <c r="F401" s="9">
        <v>0.0</v>
      </c>
      <c r="G401" s="19">
        <v>15368.22</v>
      </c>
      <c r="H401" s="9" t="s">
        <v>4723</v>
      </c>
      <c r="I401" s="9" t="s">
        <v>4723</v>
      </c>
      <c r="J401" s="9" t="s">
        <v>4719</v>
      </c>
      <c r="K401" s="20">
        <f t="shared" si="2"/>
        <v>1962</v>
      </c>
      <c r="L401" s="9" t="str">
        <f t="shared" si="3"/>
        <v>tier - 2</v>
      </c>
      <c r="M401" s="9" t="str">
        <f t="shared" si="4"/>
        <v>tier - 2</v>
      </c>
      <c r="N401" s="9" t="str">
        <f t="shared" si="5"/>
        <v>R1011</v>
      </c>
      <c r="O401" s="17">
        <f t="shared" si="6"/>
        <v>60</v>
      </c>
      <c r="P401" s="18">
        <v>22895.0</v>
      </c>
    </row>
    <row r="402" ht="15.75" customHeight="1">
      <c r="A402" s="9" t="s">
        <v>1277</v>
      </c>
      <c r="B402" s="17">
        <v>1964.0</v>
      </c>
      <c r="C402" s="9" t="s">
        <v>4738</v>
      </c>
      <c r="D402" s="9">
        <v>4.0</v>
      </c>
      <c r="E402" s="18">
        <f t="shared" si="1"/>
        <v>23624</v>
      </c>
      <c r="F402" s="9">
        <v>0.0</v>
      </c>
      <c r="G402" s="19">
        <v>15377.77</v>
      </c>
      <c r="H402" s="9" t="s">
        <v>4723</v>
      </c>
      <c r="I402" s="9" t="s">
        <v>4723</v>
      </c>
      <c r="J402" s="9" t="s">
        <v>4733</v>
      </c>
      <c r="K402" s="20">
        <f t="shared" si="2"/>
        <v>1964</v>
      </c>
      <c r="L402" s="9" t="str">
        <f t="shared" si="3"/>
        <v>tier - 2</v>
      </c>
      <c r="M402" s="9" t="str">
        <f t="shared" si="4"/>
        <v>tier - 2</v>
      </c>
      <c r="N402" s="9" t="str">
        <f t="shared" si="5"/>
        <v>R1012</v>
      </c>
      <c r="O402" s="17">
        <f t="shared" si="6"/>
        <v>58</v>
      </c>
      <c r="P402" s="18">
        <v>23624.0</v>
      </c>
    </row>
    <row r="403" ht="15.75" customHeight="1">
      <c r="A403" s="9" t="s">
        <v>1275</v>
      </c>
      <c r="B403" s="17">
        <v>1990.0</v>
      </c>
      <c r="C403" s="9" t="s">
        <v>4720</v>
      </c>
      <c r="D403" s="9">
        <v>25.0</v>
      </c>
      <c r="E403" s="18">
        <f t="shared" si="1"/>
        <v>33171</v>
      </c>
      <c r="F403" s="9">
        <v>3.0</v>
      </c>
      <c r="G403" s="19">
        <v>15440.2</v>
      </c>
      <c r="H403" s="9" t="s">
        <v>4723</v>
      </c>
      <c r="I403" s="9" t="s">
        <v>4718</v>
      </c>
      <c r="J403" s="9" t="s">
        <v>4733</v>
      </c>
      <c r="K403" s="20">
        <f t="shared" si="2"/>
        <v>1990</v>
      </c>
      <c r="L403" s="9" t="str">
        <f t="shared" si="3"/>
        <v>tier - 2</v>
      </c>
      <c r="M403" s="9" t="str">
        <f t="shared" si="4"/>
        <v>tier - 1</v>
      </c>
      <c r="N403" s="9" t="str">
        <f t="shared" si="5"/>
        <v>R1012</v>
      </c>
      <c r="O403" s="17">
        <f t="shared" si="6"/>
        <v>32</v>
      </c>
      <c r="P403" s="18">
        <v>33171.0</v>
      </c>
    </row>
    <row r="404" ht="15.75" customHeight="1">
      <c r="A404" s="9" t="s">
        <v>1273</v>
      </c>
      <c r="B404" s="17">
        <v>1976.0</v>
      </c>
      <c r="C404" s="9" t="s">
        <v>4741</v>
      </c>
      <c r="D404" s="9">
        <v>20.0</v>
      </c>
      <c r="E404" s="18">
        <f t="shared" si="1"/>
        <v>27961</v>
      </c>
      <c r="F404" s="9">
        <v>2.0</v>
      </c>
      <c r="G404" s="19">
        <v>15450.48</v>
      </c>
      <c r="H404" s="9" t="s">
        <v>4723</v>
      </c>
      <c r="I404" s="9" t="s">
        <v>4718</v>
      </c>
      <c r="J404" s="9" t="s">
        <v>4721</v>
      </c>
      <c r="K404" s="20">
        <f t="shared" si="2"/>
        <v>1976</v>
      </c>
      <c r="L404" s="9" t="str">
        <f t="shared" si="3"/>
        <v>tier - 2</v>
      </c>
      <c r="M404" s="9" t="str">
        <f t="shared" si="4"/>
        <v>tier - 1</v>
      </c>
      <c r="N404" s="9" t="str">
        <f t="shared" si="5"/>
        <v>R1026</v>
      </c>
      <c r="O404" s="17">
        <f t="shared" si="6"/>
        <v>46</v>
      </c>
      <c r="P404" s="18">
        <v>27961.0</v>
      </c>
    </row>
    <row r="405" ht="15.75" customHeight="1">
      <c r="A405" s="9" t="s">
        <v>1271</v>
      </c>
      <c r="B405" s="17">
        <v>2004.0</v>
      </c>
      <c r="C405" s="9" t="s">
        <v>4741</v>
      </c>
      <c r="D405" s="9">
        <v>17.0</v>
      </c>
      <c r="E405" s="18">
        <f t="shared" si="1"/>
        <v>38185</v>
      </c>
      <c r="F405" s="9">
        <v>0.0</v>
      </c>
      <c r="G405" s="19">
        <v>15518.18</v>
      </c>
      <c r="H405" s="9" t="s">
        <v>4723</v>
      </c>
      <c r="I405" s="9" t="s">
        <v>4717</v>
      </c>
      <c r="J405" s="9" t="s">
        <v>4757</v>
      </c>
      <c r="K405" s="20">
        <f t="shared" si="2"/>
        <v>2004</v>
      </c>
      <c r="L405" s="9" t="str">
        <f t="shared" si="3"/>
        <v>tier - 2</v>
      </c>
      <c r="M405" s="9" t="str">
        <f t="shared" si="4"/>
        <v>tier - 3</v>
      </c>
      <c r="N405" s="9" t="str">
        <f t="shared" si="5"/>
        <v>R1015</v>
      </c>
      <c r="O405" s="17">
        <f t="shared" si="6"/>
        <v>18</v>
      </c>
      <c r="P405" s="18">
        <v>38185.0</v>
      </c>
    </row>
    <row r="406" ht="15.75" customHeight="1">
      <c r="A406" s="9" t="s">
        <v>1269</v>
      </c>
      <c r="B406" s="17">
        <v>1974.0</v>
      </c>
      <c r="C406" s="9" t="s">
        <v>4730</v>
      </c>
      <c r="D406" s="9">
        <v>28.0</v>
      </c>
      <c r="E406" s="18">
        <f t="shared" si="1"/>
        <v>27208</v>
      </c>
      <c r="F406" s="9">
        <v>0.0</v>
      </c>
      <c r="G406" s="19">
        <v>15532.16</v>
      </c>
      <c r="H406" s="9" t="s">
        <v>4723</v>
      </c>
      <c r="I406" s="9" t="s">
        <v>4723</v>
      </c>
      <c r="J406" s="9" t="s">
        <v>4721</v>
      </c>
      <c r="K406" s="20">
        <f t="shared" si="2"/>
        <v>1974</v>
      </c>
      <c r="L406" s="9" t="str">
        <f t="shared" si="3"/>
        <v>tier - 2</v>
      </c>
      <c r="M406" s="9" t="str">
        <f t="shared" si="4"/>
        <v>tier - 2</v>
      </c>
      <c r="N406" s="9" t="str">
        <f t="shared" si="5"/>
        <v>R1026</v>
      </c>
      <c r="O406" s="17">
        <f t="shared" si="6"/>
        <v>48</v>
      </c>
      <c r="P406" s="18">
        <v>27208.0</v>
      </c>
    </row>
    <row r="407" ht="15.75" customHeight="1">
      <c r="A407" s="9" t="s">
        <v>1267</v>
      </c>
      <c r="B407" s="17">
        <v>1959.0</v>
      </c>
      <c r="C407" s="9" t="s">
        <v>4720</v>
      </c>
      <c r="D407" s="9">
        <v>2.0</v>
      </c>
      <c r="E407" s="18">
        <f t="shared" si="1"/>
        <v>21825</v>
      </c>
      <c r="F407" s="9">
        <v>3.0</v>
      </c>
      <c r="G407" s="19">
        <v>15555.19</v>
      </c>
      <c r="H407" s="9" t="s">
        <v>4723</v>
      </c>
      <c r="I407" s="9" t="s">
        <v>4717</v>
      </c>
      <c r="J407" s="9" t="s">
        <v>4733</v>
      </c>
      <c r="K407" s="20">
        <f t="shared" si="2"/>
        <v>1959</v>
      </c>
      <c r="L407" s="9" t="str">
        <f t="shared" si="3"/>
        <v>tier - 2</v>
      </c>
      <c r="M407" s="9" t="str">
        <f t="shared" si="4"/>
        <v>tier - 3</v>
      </c>
      <c r="N407" s="9" t="str">
        <f t="shared" si="5"/>
        <v>R1012</v>
      </c>
      <c r="O407" s="17">
        <f t="shared" si="6"/>
        <v>63</v>
      </c>
      <c r="P407" s="18">
        <v>21825.0</v>
      </c>
    </row>
    <row r="408" ht="15.75" customHeight="1">
      <c r="A408" s="9" t="s">
        <v>1265</v>
      </c>
      <c r="B408" s="17">
        <v>1974.0</v>
      </c>
      <c r="C408" s="9" t="s">
        <v>4741</v>
      </c>
      <c r="D408" s="9">
        <v>30.0</v>
      </c>
      <c r="E408" s="18">
        <f t="shared" si="1"/>
        <v>27240</v>
      </c>
      <c r="F408" s="9">
        <v>0.0</v>
      </c>
      <c r="G408" s="19">
        <v>15556.67</v>
      </c>
      <c r="H408" s="9" t="s">
        <v>4723</v>
      </c>
      <c r="I408" s="9" t="s">
        <v>4723</v>
      </c>
      <c r="J408" s="9" t="s">
        <v>4733</v>
      </c>
      <c r="K408" s="20">
        <f t="shared" si="2"/>
        <v>1974</v>
      </c>
      <c r="L408" s="9" t="str">
        <f t="shared" si="3"/>
        <v>tier - 2</v>
      </c>
      <c r="M408" s="9" t="str">
        <f t="shared" si="4"/>
        <v>tier - 2</v>
      </c>
      <c r="N408" s="9" t="str">
        <f t="shared" si="5"/>
        <v>R1012</v>
      </c>
      <c r="O408" s="17">
        <f t="shared" si="6"/>
        <v>48</v>
      </c>
      <c r="P408" s="18">
        <v>27240.0</v>
      </c>
    </row>
    <row r="409" ht="15.75" customHeight="1">
      <c r="A409" s="9" t="s">
        <v>1263</v>
      </c>
      <c r="B409" s="17">
        <v>1965.0</v>
      </c>
      <c r="C409" s="9" t="s">
        <v>4720</v>
      </c>
      <c r="D409" s="9">
        <v>28.0</v>
      </c>
      <c r="E409" s="18">
        <f t="shared" si="1"/>
        <v>24043</v>
      </c>
      <c r="F409" s="9">
        <v>0.0</v>
      </c>
      <c r="G409" s="19">
        <v>15608.58</v>
      </c>
      <c r="H409" s="9" t="s">
        <v>4723</v>
      </c>
      <c r="I409" s="9" t="s">
        <v>4723</v>
      </c>
      <c r="J409" s="9" t="s">
        <v>4721</v>
      </c>
      <c r="K409" s="20">
        <f t="shared" si="2"/>
        <v>1965</v>
      </c>
      <c r="L409" s="9" t="str">
        <f t="shared" si="3"/>
        <v>tier - 2</v>
      </c>
      <c r="M409" s="9" t="str">
        <f t="shared" si="4"/>
        <v>tier - 2</v>
      </c>
      <c r="N409" s="9" t="str">
        <f t="shared" si="5"/>
        <v>R1026</v>
      </c>
      <c r="O409" s="17">
        <f t="shared" si="6"/>
        <v>57</v>
      </c>
      <c r="P409" s="18">
        <v>24043.0</v>
      </c>
    </row>
    <row r="410" ht="15.75" customHeight="1">
      <c r="A410" s="9" t="s">
        <v>1261</v>
      </c>
      <c r="B410" s="17">
        <v>1960.0</v>
      </c>
      <c r="C410" s="9" t="s">
        <v>4730</v>
      </c>
      <c r="D410" s="9">
        <v>6.0</v>
      </c>
      <c r="E410" s="18">
        <f t="shared" si="1"/>
        <v>22073</v>
      </c>
      <c r="F410" s="9">
        <v>3.0</v>
      </c>
      <c r="G410" s="19">
        <v>15612.19</v>
      </c>
      <c r="H410" s="9" t="s">
        <v>4723</v>
      </c>
      <c r="I410" s="9" t="s">
        <v>4723</v>
      </c>
      <c r="J410" s="9" t="s">
        <v>4733</v>
      </c>
      <c r="K410" s="20">
        <f t="shared" si="2"/>
        <v>1960</v>
      </c>
      <c r="L410" s="9" t="str">
        <f t="shared" si="3"/>
        <v>tier - 2</v>
      </c>
      <c r="M410" s="9" t="str">
        <f t="shared" si="4"/>
        <v>tier - 2</v>
      </c>
      <c r="N410" s="9" t="str">
        <f t="shared" si="5"/>
        <v>R1012</v>
      </c>
      <c r="O410" s="17">
        <f t="shared" si="6"/>
        <v>63</v>
      </c>
      <c r="P410" s="18">
        <v>22073.0</v>
      </c>
    </row>
    <row r="411" ht="15.75" customHeight="1">
      <c r="A411" s="9" t="s">
        <v>127</v>
      </c>
      <c r="B411" s="17">
        <v>1968.0</v>
      </c>
      <c r="C411" s="9" t="s">
        <v>4716</v>
      </c>
      <c r="D411" s="9">
        <v>3.0</v>
      </c>
      <c r="E411" s="18">
        <f t="shared" si="1"/>
        <v>25053</v>
      </c>
      <c r="F411" s="9">
        <v>0.0</v>
      </c>
      <c r="G411" s="19">
        <v>42478.6</v>
      </c>
      <c r="H411" s="9" t="s">
        <v>4718</v>
      </c>
      <c r="I411" s="9" t="s">
        <v>4723</v>
      </c>
      <c r="J411" s="9" t="s">
        <v>4719</v>
      </c>
      <c r="K411" s="20">
        <f t="shared" si="2"/>
        <v>1968</v>
      </c>
      <c r="L411" s="9" t="str">
        <f t="shared" si="3"/>
        <v>tier - 1</v>
      </c>
      <c r="M411" s="9" t="str">
        <f t="shared" si="4"/>
        <v>tier - 2</v>
      </c>
      <c r="N411" s="9" t="str">
        <f t="shared" si="5"/>
        <v>R1011</v>
      </c>
      <c r="O411" s="17">
        <f t="shared" si="6"/>
        <v>54</v>
      </c>
      <c r="P411" s="18">
        <v>25053.0</v>
      </c>
    </row>
    <row r="412" ht="15.75" customHeight="1">
      <c r="A412" s="9" t="s">
        <v>1259</v>
      </c>
      <c r="B412" s="17">
        <v>1988.0</v>
      </c>
      <c r="C412" s="9" t="s">
        <v>4725</v>
      </c>
      <c r="D412" s="9">
        <v>22.0</v>
      </c>
      <c r="E412" s="18">
        <f t="shared" si="1"/>
        <v>32499</v>
      </c>
      <c r="F412" s="9">
        <v>3.0</v>
      </c>
      <c r="G412" s="19">
        <v>15646.28</v>
      </c>
      <c r="H412" s="9" t="s">
        <v>4723</v>
      </c>
      <c r="I412" s="9" t="s">
        <v>4723</v>
      </c>
      <c r="J412" s="9" t="s">
        <v>4719</v>
      </c>
      <c r="K412" s="20">
        <f t="shared" si="2"/>
        <v>1988</v>
      </c>
      <c r="L412" s="9" t="str">
        <f t="shared" si="3"/>
        <v>tier - 2</v>
      </c>
      <c r="M412" s="9" t="str">
        <f t="shared" si="4"/>
        <v>tier - 2</v>
      </c>
      <c r="N412" s="9" t="str">
        <f t="shared" si="5"/>
        <v>R1011</v>
      </c>
      <c r="O412" s="17">
        <f t="shared" si="6"/>
        <v>34</v>
      </c>
      <c r="P412" s="18">
        <v>32499.0</v>
      </c>
    </row>
    <row r="413" ht="15.75" customHeight="1">
      <c r="A413" s="9" t="s">
        <v>1257</v>
      </c>
      <c r="B413" s="17">
        <v>1973.0</v>
      </c>
      <c r="C413" s="9" t="s">
        <v>4730</v>
      </c>
      <c r="D413" s="9">
        <v>26.0</v>
      </c>
      <c r="E413" s="18">
        <f t="shared" si="1"/>
        <v>26841</v>
      </c>
      <c r="F413" s="9">
        <v>0.0</v>
      </c>
      <c r="G413" s="19">
        <v>15670.3</v>
      </c>
      <c r="H413" s="9" t="s">
        <v>4723</v>
      </c>
      <c r="I413" s="9" t="s">
        <v>4723</v>
      </c>
      <c r="J413" s="9" t="s">
        <v>4721</v>
      </c>
      <c r="K413" s="20">
        <f t="shared" si="2"/>
        <v>1973</v>
      </c>
      <c r="L413" s="9" t="str">
        <f t="shared" si="3"/>
        <v>tier - 2</v>
      </c>
      <c r="M413" s="9" t="str">
        <f t="shared" si="4"/>
        <v>tier - 2</v>
      </c>
      <c r="N413" s="9" t="str">
        <f t="shared" si="5"/>
        <v>R1026</v>
      </c>
      <c r="O413" s="17">
        <f t="shared" si="6"/>
        <v>49</v>
      </c>
      <c r="P413" s="18">
        <v>26841.0</v>
      </c>
    </row>
    <row r="414" ht="15.75" customHeight="1">
      <c r="A414" s="9" t="s">
        <v>1255</v>
      </c>
      <c r="B414" s="17">
        <v>1976.0</v>
      </c>
      <c r="C414" s="9" t="s">
        <v>4738</v>
      </c>
      <c r="D414" s="9">
        <v>20.0</v>
      </c>
      <c r="E414" s="18">
        <f t="shared" si="1"/>
        <v>28023</v>
      </c>
      <c r="F414" s="9">
        <v>2.0</v>
      </c>
      <c r="G414" s="19">
        <v>15698.86</v>
      </c>
      <c r="H414" s="9" t="s">
        <v>4723</v>
      </c>
      <c r="I414" s="9" t="s">
        <v>4723</v>
      </c>
      <c r="J414" s="9" t="s">
        <v>4733</v>
      </c>
      <c r="K414" s="20">
        <f t="shared" si="2"/>
        <v>1976</v>
      </c>
      <c r="L414" s="9" t="str">
        <f t="shared" si="3"/>
        <v>tier - 2</v>
      </c>
      <c r="M414" s="9" t="str">
        <f t="shared" si="4"/>
        <v>tier - 2</v>
      </c>
      <c r="N414" s="9" t="str">
        <f t="shared" si="5"/>
        <v>R1012</v>
      </c>
      <c r="O414" s="17">
        <f t="shared" si="6"/>
        <v>46</v>
      </c>
      <c r="P414" s="18">
        <v>28023.0</v>
      </c>
    </row>
    <row r="415" ht="15.75" customHeight="1">
      <c r="A415" s="9" t="s">
        <v>1253</v>
      </c>
      <c r="B415" s="17">
        <v>1974.0</v>
      </c>
      <c r="C415" s="9" t="s">
        <v>4716</v>
      </c>
      <c r="D415" s="9">
        <v>29.0</v>
      </c>
      <c r="E415" s="18">
        <f t="shared" si="1"/>
        <v>27270</v>
      </c>
      <c r="F415" s="9">
        <v>0.0</v>
      </c>
      <c r="G415" s="19">
        <v>15746.62</v>
      </c>
      <c r="H415" s="9" t="s">
        <v>4723</v>
      </c>
      <c r="I415" s="9" t="s">
        <v>4718</v>
      </c>
      <c r="J415" s="9" t="s">
        <v>4733</v>
      </c>
      <c r="K415" s="20">
        <f t="shared" si="2"/>
        <v>1974</v>
      </c>
      <c r="L415" s="9" t="str">
        <f t="shared" si="3"/>
        <v>tier - 2</v>
      </c>
      <c r="M415" s="9" t="str">
        <f t="shared" si="4"/>
        <v>tier - 1</v>
      </c>
      <c r="N415" s="9" t="str">
        <f t="shared" si="5"/>
        <v>R1012</v>
      </c>
      <c r="O415" s="17">
        <f t="shared" si="6"/>
        <v>48</v>
      </c>
      <c r="P415" s="18">
        <v>27270.0</v>
      </c>
    </row>
    <row r="416" ht="15.75" customHeight="1">
      <c r="A416" s="9" t="s">
        <v>1251</v>
      </c>
      <c r="B416" s="17">
        <v>1997.0</v>
      </c>
      <c r="C416" s="9" t="s">
        <v>4720</v>
      </c>
      <c r="D416" s="9">
        <v>9.0</v>
      </c>
      <c r="E416" s="18">
        <f t="shared" si="1"/>
        <v>35712</v>
      </c>
      <c r="F416" s="9">
        <v>0.0</v>
      </c>
      <c r="G416" s="19">
        <v>15817.99</v>
      </c>
      <c r="H416" s="9" t="s">
        <v>4723</v>
      </c>
      <c r="I416" s="9" t="s">
        <v>4723</v>
      </c>
      <c r="J416" s="9" t="s">
        <v>4733</v>
      </c>
      <c r="K416" s="20">
        <f t="shared" si="2"/>
        <v>1997</v>
      </c>
      <c r="L416" s="9" t="str">
        <f t="shared" si="3"/>
        <v>tier - 2</v>
      </c>
      <c r="M416" s="9" t="str">
        <f t="shared" si="4"/>
        <v>tier - 2</v>
      </c>
      <c r="N416" s="9" t="str">
        <f t="shared" si="5"/>
        <v>R1012</v>
      </c>
      <c r="O416" s="17">
        <f t="shared" si="6"/>
        <v>25</v>
      </c>
      <c r="P416" s="18">
        <v>35712.0</v>
      </c>
    </row>
    <row r="417" ht="15.75" customHeight="1">
      <c r="A417" s="9" t="s">
        <v>1249</v>
      </c>
      <c r="B417" s="17">
        <v>1984.0</v>
      </c>
      <c r="C417" s="9" t="s">
        <v>4730</v>
      </c>
      <c r="D417" s="9">
        <v>26.0</v>
      </c>
      <c r="E417" s="18">
        <f t="shared" si="1"/>
        <v>30859</v>
      </c>
      <c r="F417" s="9">
        <v>0.0</v>
      </c>
      <c r="G417" s="19">
        <v>15820.7</v>
      </c>
      <c r="H417" s="9" t="s">
        <v>4723</v>
      </c>
      <c r="I417" s="9" t="s">
        <v>4717</v>
      </c>
      <c r="J417" s="9" t="s">
        <v>4719</v>
      </c>
      <c r="K417" s="20">
        <f t="shared" si="2"/>
        <v>1984</v>
      </c>
      <c r="L417" s="9" t="str">
        <f t="shared" si="3"/>
        <v>tier - 2</v>
      </c>
      <c r="M417" s="9" t="str">
        <f t="shared" si="4"/>
        <v>tier - 3</v>
      </c>
      <c r="N417" s="9" t="str">
        <f t="shared" si="5"/>
        <v>R1011</v>
      </c>
      <c r="O417" s="17">
        <f t="shared" si="6"/>
        <v>38</v>
      </c>
      <c r="P417" s="18">
        <v>30859.0</v>
      </c>
    </row>
    <row r="418" ht="15.75" customHeight="1">
      <c r="A418" s="9" t="s">
        <v>1247</v>
      </c>
      <c r="B418" s="17">
        <v>1982.0</v>
      </c>
      <c r="C418" s="9" t="s">
        <v>4735</v>
      </c>
      <c r="D418" s="9">
        <v>11.0</v>
      </c>
      <c r="E418" s="18">
        <f t="shared" si="1"/>
        <v>30266</v>
      </c>
      <c r="F418" s="9">
        <v>4.0</v>
      </c>
      <c r="G418" s="19">
        <v>15828.82</v>
      </c>
      <c r="H418" s="9" t="s">
        <v>4723</v>
      </c>
      <c r="I418" s="9" t="s">
        <v>4717</v>
      </c>
      <c r="J418" s="9" t="s">
        <v>4719</v>
      </c>
      <c r="K418" s="20">
        <f t="shared" si="2"/>
        <v>1982</v>
      </c>
      <c r="L418" s="9" t="str">
        <f t="shared" si="3"/>
        <v>tier - 2</v>
      </c>
      <c r="M418" s="9" t="str">
        <f t="shared" si="4"/>
        <v>tier - 3</v>
      </c>
      <c r="N418" s="9" t="str">
        <f t="shared" si="5"/>
        <v>R1011</v>
      </c>
      <c r="O418" s="17">
        <f t="shared" si="6"/>
        <v>40</v>
      </c>
      <c r="P418" s="18">
        <v>30266.0</v>
      </c>
    </row>
    <row r="419" ht="15.75" customHeight="1">
      <c r="A419" s="9" t="s">
        <v>1245</v>
      </c>
      <c r="B419" s="17">
        <v>1962.0</v>
      </c>
      <c r="C419" s="9" t="s">
        <v>4725</v>
      </c>
      <c r="D419" s="9">
        <v>25.0</v>
      </c>
      <c r="E419" s="18">
        <f t="shared" si="1"/>
        <v>23005</v>
      </c>
      <c r="F419" s="9">
        <v>0.0</v>
      </c>
      <c r="G419" s="19">
        <v>15840.81</v>
      </c>
      <c r="H419" s="9" t="s">
        <v>4723</v>
      </c>
      <c r="I419" s="9" t="s">
        <v>4718</v>
      </c>
      <c r="J419" s="9" t="s">
        <v>4736</v>
      </c>
      <c r="K419" s="20">
        <f t="shared" si="2"/>
        <v>1962</v>
      </c>
      <c r="L419" s="9" t="str">
        <f t="shared" si="3"/>
        <v>tier - 2</v>
      </c>
      <c r="M419" s="9" t="str">
        <f t="shared" si="4"/>
        <v>tier - 1</v>
      </c>
      <c r="N419" s="9" t="str">
        <f t="shared" si="5"/>
        <v>R1022</v>
      </c>
      <c r="O419" s="17">
        <f t="shared" si="6"/>
        <v>60</v>
      </c>
      <c r="P419" s="18">
        <v>23005.0</v>
      </c>
    </row>
    <row r="420" ht="15.75" customHeight="1">
      <c r="A420" s="9" t="s">
        <v>1243</v>
      </c>
      <c r="B420" s="17">
        <v>1980.0</v>
      </c>
      <c r="C420" s="9" t="s">
        <v>4720</v>
      </c>
      <c r="D420" s="9">
        <v>12.0</v>
      </c>
      <c r="E420" s="18">
        <f t="shared" si="1"/>
        <v>29506</v>
      </c>
      <c r="F420" s="9">
        <v>2.0</v>
      </c>
      <c r="G420" s="19">
        <v>15922.29</v>
      </c>
      <c r="H420" s="9" t="s">
        <v>4723</v>
      </c>
      <c r="I420" s="9" t="s">
        <v>4717</v>
      </c>
      <c r="J420" s="9" t="s">
        <v>4721</v>
      </c>
      <c r="K420" s="20">
        <f t="shared" si="2"/>
        <v>1980</v>
      </c>
      <c r="L420" s="9" t="str">
        <f t="shared" si="3"/>
        <v>tier - 2</v>
      </c>
      <c r="M420" s="9" t="str">
        <f t="shared" si="4"/>
        <v>tier - 3</v>
      </c>
      <c r="N420" s="9" t="str">
        <f t="shared" si="5"/>
        <v>R1026</v>
      </c>
      <c r="O420" s="17">
        <f t="shared" si="6"/>
        <v>42</v>
      </c>
      <c r="P420" s="18">
        <v>29506.0</v>
      </c>
    </row>
    <row r="421" ht="15.75" customHeight="1">
      <c r="A421" s="9" t="s">
        <v>1241</v>
      </c>
      <c r="B421" s="17">
        <v>1982.0</v>
      </c>
      <c r="C421" s="9" t="s">
        <v>4741</v>
      </c>
      <c r="D421" s="9">
        <v>24.0</v>
      </c>
      <c r="E421" s="18">
        <f t="shared" si="1"/>
        <v>30156</v>
      </c>
      <c r="F421" s="9">
        <v>3.0</v>
      </c>
      <c r="G421" s="19">
        <v>15965.29</v>
      </c>
      <c r="H421" s="9" t="s">
        <v>4723</v>
      </c>
      <c r="I421" s="9" t="s">
        <v>4718</v>
      </c>
      <c r="J421" s="9" t="s">
        <v>4733</v>
      </c>
      <c r="K421" s="20">
        <f t="shared" si="2"/>
        <v>1982</v>
      </c>
      <c r="L421" s="9" t="str">
        <f t="shared" si="3"/>
        <v>tier - 2</v>
      </c>
      <c r="M421" s="9" t="str">
        <f t="shared" si="4"/>
        <v>tier - 1</v>
      </c>
      <c r="N421" s="9" t="str">
        <f t="shared" si="5"/>
        <v>R1012</v>
      </c>
      <c r="O421" s="17">
        <f t="shared" si="6"/>
        <v>40</v>
      </c>
      <c r="P421" s="18">
        <v>30156.0</v>
      </c>
    </row>
    <row r="422" ht="15.75" customHeight="1">
      <c r="A422" s="9" t="s">
        <v>125</v>
      </c>
      <c r="B422" s="17">
        <v>1967.0</v>
      </c>
      <c r="C422" s="9" t="s">
        <v>4730</v>
      </c>
      <c r="D422" s="9">
        <v>27.0</v>
      </c>
      <c r="E422" s="18">
        <f t="shared" si="1"/>
        <v>24650</v>
      </c>
      <c r="F422" s="9">
        <v>0.0</v>
      </c>
      <c r="G422" s="19">
        <v>42538.72</v>
      </c>
      <c r="H422" s="9" t="s">
        <v>4718</v>
      </c>
      <c r="I422" s="9" t="s">
        <v>4717</v>
      </c>
      <c r="J422" s="9" t="s">
        <v>4719</v>
      </c>
      <c r="K422" s="20">
        <f t="shared" si="2"/>
        <v>1967</v>
      </c>
      <c r="L422" s="9" t="str">
        <f t="shared" si="3"/>
        <v>tier - 1</v>
      </c>
      <c r="M422" s="9" t="str">
        <f t="shared" si="4"/>
        <v>tier - 3</v>
      </c>
      <c r="N422" s="9" t="str">
        <f t="shared" si="5"/>
        <v>R1011</v>
      </c>
      <c r="O422" s="17">
        <f t="shared" si="6"/>
        <v>55</v>
      </c>
      <c r="P422" s="18">
        <v>24650.0</v>
      </c>
    </row>
    <row r="423" ht="15.75" customHeight="1">
      <c r="A423" s="9" t="s">
        <v>1239</v>
      </c>
      <c r="B423" s="17">
        <v>1980.0</v>
      </c>
      <c r="C423" s="9" t="s">
        <v>4738</v>
      </c>
      <c r="D423" s="9">
        <v>19.0</v>
      </c>
      <c r="E423" s="18">
        <f t="shared" si="1"/>
        <v>29483</v>
      </c>
      <c r="F423" s="9">
        <v>2.0</v>
      </c>
      <c r="G423" s="19">
        <v>15966.19</v>
      </c>
      <c r="H423" s="9" t="s">
        <v>4723</v>
      </c>
      <c r="I423" s="9" t="s">
        <v>4723</v>
      </c>
      <c r="J423" s="9" t="s">
        <v>4733</v>
      </c>
      <c r="K423" s="20">
        <f t="shared" si="2"/>
        <v>1980</v>
      </c>
      <c r="L423" s="9" t="str">
        <f t="shared" si="3"/>
        <v>tier - 2</v>
      </c>
      <c r="M423" s="9" t="str">
        <f t="shared" si="4"/>
        <v>tier - 2</v>
      </c>
      <c r="N423" s="9" t="str">
        <f t="shared" si="5"/>
        <v>R1012</v>
      </c>
      <c r="O423" s="17">
        <f t="shared" si="6"/>
        <v>42</v>
      </c>
      <c r="P423" s="18">
        <v>29483.0</v>
      </c>
    </row>
    <row r="424" ht="15.75" customHeight="1">
      <c r="A424" s="9" t="s">
        <v>1237</v>
      </c>
      <c r="B424" s="17">
        <v>1988.0</v>
      </c>
      <c r="C424" s="9" t="s">
        <v>4725</v>
      </c>
      <c r="D424" s="9">
        <v>5.0</v>
      </c>
      <c r="E424" s="18">
        <f t="shared" si="1"/>
        <v>32482</v>
      </c>
      <c r="F424" s="9">
        <v>3.0</v>
      </c>
      <c r="G424" s="19">
        <v>16059.06</v>
      </c>
      <c r="H424" s="9" t="s">
        <v>4723</v>
      </c>
      <c r="I424" s="9" t="s">
        <v>4717</v>
      </c>
      <c r="J424" s="9" t="s">
        <v>4733</v>
      </c>
      <c r="K424" s="20">
        <f t="shared" si="2"/>
        <v>1988</v>
      </c>
      <c r="L424" s="9" t="str">
        <f t="shared" si="3"/>
        <v>tier - 2</v>
      </c>
      <c r="M424" s="9" t="str">
        <f t="shared" si="4"/>
        <v>tier - 3</v>
      </c>
      <c r="N424" s="9" t="str">
        <f t="shared" si="5"/>
        <v>R1012</v>
      </c>
      <c r="O424" s="17">
        <f t="shared" si="6"/>
        <v>34</v>
      </c>
      <c r="P424" s="18">
        <v>32482.0</v>
      </c>
    </row>
    <row r="425" ht="15.75" customHeight="1">
      <c r="A425" s="9" t="s">
        <v>1235</v>
      </c>
      <c r="B425" s="17">
        <v>1978.0</v>
      </c>
      <c r="C425" s="9" t="s">
        <v>4738</v>
      </c>
      <c r="D425" s="9">
        <v>16.0</v>
      </c>
      <c r="E425" s="18">
        <f t="shared" si="1"/>
        <v>28749</v>
      </c>
      <c r="F425" s="9">
        <v>2.0</v>
      </c>
      <c r="G425" s="19">
        <v>16062.89</v>
      </c>
      <c r="H425" s="9" t="s">
        <v>4723</v>
      </c>
      <c r="I425" s="9" t="s">
        <v>4723</v>
      </c>
      <c r="J425" s="9" t="s">
        <v>4721</v>
      </c>
      <c r="K425" s="20">
        <f t="shared" si="2"/>
        <v>1978</v>
      </c>
      <c r="L425" s="9" t="str">
        <f t="shared" si="3"/>
        <v>tier - 2</v>
      </c>
      <c r="M425" s="9" t="str">
        <f t="shared" si="4"/>
        <v>tier - 2</v>
      </c>
      <c r="N425" s="9" t="str">
        <f t="shared" si="5"/>
        <v>R1026</v>
      </c>
      <c r="O425" s="17">
        <f t="shared" si="6"/>
        <v>44</v>
      </c>
      <c r="P425" s="18">
        <v>28749.0</v>
      </c>
    </row>
    <row r="426" ht="15.75" customHeight="1">
      <c r="A426" s="9" t="s">
        <v>1233</v>
      </c>
      <c r="B426" s="17">
        <v>1958.0</v>
      </c>
      <c r="C426" s="9" t="s">
        <v>4720</v>
      </c>
      <c r="D426" s="9">
        <v>22.0</v>
      </c>
      <c r="E426" s="18">
        <f t="shared" si="1"/>
        <v>21480</v>
      </c>
      <c r="F426" s="9">
        <v>2.0</v>
      </c>
      <c r="G426" s="19">
        <v>16069.08</v>
      </c>
      <c r="H426" s="9" t="s">
        <v>4723</v>
      </c>
      <c r="I426" s="9" t="s">
        <v>4723</v>
      </c>
      <c r="J426" s="9" t="s">
        <v>4731</v>
      </c>
      <c r="K426" s="20">
        <f t="shared" si="2"/>
        <v>1958</v>
      </c>
      <c r="L426" s="9" t="str">
        <f t="shared" si="3"/>
        <v>tier - 2</v>
      </c>
      <c r="M426" s="9" t="str">
        <f t="shared" si="4"/>
        <v>tier - 2</v>
      </c>
      <c r="N426" s="9" t="str">
        <f t="shared" si="5"/>
        <v>R1024</v>
      </c>
      <c r="O426" s="17">
        <f t="shared" si="6"/>
        <v>64</v>
      </c>
      <c r="P426" s="18">
        <v>21480.0</v>
      </c>
    </row>
    <row r="427" ht="15.75" customHeight="1">
      <c r="A427" s="9" t="s">
        <v>1231</v>
      </c>
      <c r="B427" s="17">
        <v>1958.0</v>
      </c>
      <c r="C427" s="9" t="s">
        <v>4730</v>
      </c>
      <c r="D427" s="9">
        <v>21.0</v>
      </c>
      <c r="E427" s="18">
        <f t="shared" si="1"/>
        <v>21357</v>
      </c>
      <c r="F427" s="9">
        <v>3.0</v>
      </c>
      <c r="G427" s="19">
        <v>16085.13</v>
      </c>
      <c r="H427" s="9" t="s">
        <v>4723</v>
      </c>
      <c r="I427" s="9" t="s">
        <v>4723</v>
      </c>
      <c r="J427" s="9" t="s">
        <v>4743</v>
      </c>
      <c r="K427" s="20">
        <f t="shared" si="2"/>
        <v>1958</v>
      </c>
      <c r="L427" s="9" t="str">
        <f t="shared" si="3"/>
        <v>tier - 2</v>
      </c>
      <c r="M427" s="9" t="str">
        <f t="shared" si="4"/>
        <v>tier - 2</v>
      </c>
      <c r="N427" s="9" t="str">
        <f t="shared" si="5"/>
        <v>R1013</v>
      </c>
      <c r="O427" s="17">
        <f t="shared" si="6"/>
        <v>64</v>
      </c>
      <c r="P427" s="18">
        <v>21357.0</v>
      </c>
    </row>
    <row r="428" ht="15.75" customHeight="1">
      <c r="A428" s="9" t="s">
        <v>1229</v>
      </c>
      <c r="B428" s="17">
        <v>1985.0</v>
      </c>
      <c r="C428" s="9" t="s">
        <v>4716</v>
      </c>
      <c r="D428" s="9">
        <v>27.0</v>
      </c>
      <c r="E428" s="18">
        <f t="shared" si="1"/>
        <v>31286</v>
      </c>
      <c r="F428" s="9">
        <v>3.0</v>
      </c>
      <c r="G428" s="19">
        <v>16097.94</v>
      </c>
      <c r="H428" s="9" t="s">
        <v>4723</v>
      </c>
      <c r="I428" s="9" t="s">
        <v>4717</v>
      </c>
      <c r="J428" s="9" t="s">
        <v>4733</v>
      </c>
      <c r="K428" s="20">
        <f t="shared" si="2"/>
        <v>1985</v>
      </c>
      <c r="L428" s="9" t="str">
        <f t="shared" si="3"/>
        <v>tier - 2</v>
      </c>
      <c r="M428" s="9" t="str">
        <f t="shared" si="4"/>
        <v>tier - 3</v>
      </c>
      <c r="N428" s="9" t="str">
        <f t="shared" si="5"/>
        <v>R1012</v>
      </c>
      <c r="O428" s="17">
        <f t="shared" si="6"/>
        <v>37</v>
      </c>
      <c r="P428" s="18">
        <v>31286.0</v>
      </c>
    </row>
    <row r="429" ht="15.75" customHeight="1">
      <c r="A429" s="9" t="s">
        <v>1227</v>
      </c>
      <c r="B429" s="17">
        <v>1993.0</v>
      </c>
      <c r="C429" s="9" t="s">
        <v>4716</v>
      </c>
      <c r="D429" s="9">
        <v>8.0</v>
      </c>
      <c r="E429" s="18">
        <f t="shared" si="1"/>
        <v>34189</v>
      </c>
      <c r="F429" s="9">
        <v>0.0</v>
      </c>
      <c r="G429" s="19">
        <v>16115.3</v>
      </c>
      <c r="H429" s="9" t="s">
        <v>4723</v>
      </c>
      <c r="I429" s="9" t="s">
        <v>4718</v>
      </c>
      <c r="J429" s="9" t="s">
        <v>4731</v>
      </c>
      <c r="K429" s="20">
        <f t="shared" si="2"/>
        <v>1993</v>
      </c>
      <c r="L429" s="9" t="str">
        <f t="shared" si="3"/>
        <v>tier - 2</v>
      </c>
      <c r="M429" s="9" t="str">
        <f t="shared" si="4"/>
        <v>tier - 1</v>
      </c>
      <c r="N429" s="9" t="str">
        <f t="shared" si="5"/>
        <v>R1024</v>
      </c>
      <c r="O429" s="17">
        <f t="shared" si="6"/>
        <v>29</v>
      </c>
      <c r="P429" s="18">
        <v>34189.0</v>
      </c>
    </row>
    <row r="430" ht="15.75" customHeight="1">
      <c r="A430" s="9" t="s">
        <v>1225</v>
      </c>
      <c r="B430" s="17">
        <v>1987.0</v>
      </c>
      <c r="C430" s="9" t="s">
        <v>4720</v>
      </c>
      <c r="D430" s="9">
        <v>6.0</v>
      </c>
      <c r="E430" s="18">
        <f t="shared" si="1"/>
        <v>32056</v>
      </c>
      <c r="F430" s="9">
        <v>3.0</v>
      </c>
      <c r="G430" s="19">
        <v>16122.65</v>
      </c>
      <c r="H430" s="9" t="s">
        <v>4723</v>
      </c>
      <c r="I430" s="9" t="s">
        <v>4718</v>
      </c>
      <c r="J430" s="9" t="s">
        <v>4719</v>
      </c>
      <c r="K430" s="20">
        <f t="shared" si="2"/>
        <v>1987</v>
      </c>
      <c r="L430" s="9" t="str">
        <f t="shared" si="3"/>
        <v>tier - 2</v>
      </c>
      <c r="M430" s="9" t="str">
        <f t="shared" si="4"/>
        <v>tier - 1</v>
      </c>
      <c r="N430" s="9" t="str">
        <f t="shared" si="5"/>
        <v>R1011</v>
      </c>
      <c r="O430" s="17">
        <f t="shared" si="6"/>
        <v>35</v>
      </c>
      <c r="P430" s="18">
        <v>32056.0</v>
      </c>
    </row>
    <row r="431" ht="15.75" customHeight="1">
      <c r="A431" s="9" t="s">
        <v>1223</v>
      </c>
      <c r="B431" s="17">
        <v>1993.0</v>
      </c>
      <c r="C431" s="9" t="s">
        <v>4725</v>
      </c>
      <c r="D431" s="9">
        <v>12.0</v>
      </c>
      <c r="E431" s="18">
        <f t="shared" si="1"/>
        <v>34315</v>
      </c>
      <c r="F431" s="9">
        <v>0.0</v>
      </c>
      <c r="G431" s="19">
        <v>16138.76</v>
      </c>
      <c r="H431" s="9" t="s">
        <v>4723</v>
      </c>
      <c r="I431" s="9" t="s">
        <v>4717</v>
      </c>
      <c r="J431" s="9" t="s">
        <v>4753</v>
      </c>
      <c r="K431" s="20">
        <f t="shared" si="2"/>
        <v>1993</v>
      </c>
      <c r="L431" s="9" t="str">
        <f t="shared" si="3"/>
        <v>tier - 2</v>
      </c>
      <c r="M431" s="9" t="str">
        <f t="shared" si="4"/>
        <v>tier - 3</v>
      </c>
      <c r="N431" s="9" t="str">
        <f t="shared" si="5"/>
        <v>R1017</v>
      </c>
      <c r="O431" s="17">
        <f t="shared" si="6"/>
        <v>29</v>
      </c>
      <c r="P431" s="18">
        <v>34315.0</v>
      </c>
    </row>
    <row r="432" ht="15.75" customHeight="1">
      <c r="A432" s="9" t="s">
        <v>1221</v>
      </c>
      <c r="B432" s="17">
        <v>1982.0</v>
      </c>
      <c r="C432" s="9" t="s">
        <v>4741</v>
      </c>
      <c r="D432" s="9">
        <v>6.0</v>
      </c>
      <c r="E432" s="18">
        <f t="shared" si="1"/>
        <v>30138</v>
      </c>
      <c r="F432" s="9">
        <v>3.0</v>
      </c>
      <c r="G432" s="19">
        <v>16152.04</v>
      </c>
      <c r="H432" s="9" t="s">
        <v>4723</v>
      </c>
      <c r="I432" s="9" t="s">
        <v>4718</v>
      </c>
      <c r="J432" s="9" t="s">
        <v>4721</v>
      </c>
      <c r="K432" s="20">
        <f t="shared" si="2"/>
        <v>1982</v>
      </c>
      <c r="L432" s="9" t="str">
        <f t="shared" si="3"/>
        <v>tier - 2</v>
      </c>
      <c r="M432" s="9" t="str">
        <f t="shared" si="4"/>
        <v>tier - 1</v>
      </c>
      <c r="N432" s="9" t="str">
        <f t="shared" si="5"/>
        <v>R1026</v>
      </c>
      <c r="O432" s="17">
        <f t="shared" si="6"/>
        <v>40</v>
      </c>
      <c r="P432" s="18">
        <v>30138.0</v>
      </c>
    </row>
    <row r="433" ht="15.75" customHeight="1">
      <c r="A433" s="9" t="s">
        <v>123</v>
      </c>
      <c r="B433" s="17">
        <v>1979.0</v>
      </c>
      <c r="C433" s="9" t="s">
        <v>4725</v>
      </c>
      <c r="D433" s="9">
        <v>27.0</v>
      </c>
      <c r="E433" s="18">
        <f t="shared" si="1"/>
        <v>29216</v>
      </c>
      <c r="F433" s="9">
        <v>2.0</v>
      </c>
      <c r="G433" s="19">
        <v>42560.43</v>
      </c>
      <c r="H433" s="9" t="s">
        <v>4718</v>
      </c>
      <c r="I433" s="9" t="s">
        <v>4717</v>
      </c>
      <c r="J433" s="9" t="s">
        <v>4743</v>
      </c>
      <c r="K433" s="20">
        <f t="shared" si="2"/>
        <v>1979</v>
      </c>
      <c r="L433" s="9" t="str">
        <f t="shared" si="3"/>
        <v>tier - 1</v>
      </c>
      <c r="M433" s="9" t="str">
        <f t="shared" si="4"/>
        <v>tier - 3</v>
      </c>
      <c r="N433" s="9" t="str">
        <f t="shared" si="5"/>
        <v>R1013</v>
      </c>
      <c r="O433" s="17">
        <f t="shared" si="6"/>
        <v>43</v>
      </c>
      <c r="P433" s="18">
        <v>29216.0</v>
      </c>
    </row>
    <row r="434" ht="15.75" customHeight="1">
      <c r="A434" s="9" t="s">
        <v>1219</v>
      </c>
      <c r="B434" s="17">
        <v>1974.0</v>
      </c>
      <c r="C434" s="9" t="s">
        <v>4738</v>
      </c>
      <c r="D434" s="9">
        <v>11.0</v>
      </c>
      <c r="E434" s="18">
        <f t="shared" si="1"/>
        <v>27283</v>
      </c>
      <c r="F434" s="9">
        <v>0.0</v>
      </c>
      <c r="G434" s="19">
        <v>16190.97</v>
      </c>
      <c r="H434" s="9" t="s">
        <v>4723</v>
      </c>
      <c r="I434" s="9" t="s">
        <v>4717</v>
      </c>
      <c r="J434" s="9" t="s">
        <v>4733</v>
      </c>
      <c r="K434" s="20">
        <f t="shared" si="2"/>
        <v>1974</v>
      </c>
      <c r="L434" s="9" t="str">
        <f t="shared" si="3"/>
        <v>tier - 2</v>
      </c>
      <c r="M434" s="9" t="str">
        <f t="shared" si="4"/>
        <v>tier - 3</v>
      </c>
      <c r="N434" s="9" t="str">
        <f t="shared" si="5"/>
        <v>R1012</v>
      </c>
      <c r="O434" s="17">
        <f t="shared" si="6"/>
        <v>48</v>
      </c>
      <c r="P434" s="18">
        <v>27283.0</v>
      </c>
    </row>
    <row r="435" ht="15.75" customHeight="1">
      <c r="A435" s="9" t="s">
        <v>1217</v>
      </c>
      <c r="B435" s="17">
        <v>1988.0</v>
      </c>
      <c r="C435" s="9" t="s">
        <v>4716</v>
      </c>
      <c r="D435" s="9">
        <v>6.0</v>
      </c>
      <c r="E435" s="18">
        <f t="shared" si="1"/>
        <v>32361</v>
      </c>
      <c r="F435" s="9">
        <v>3.0</v>
      </c>
      <c r="G435" s="19">
        <v>16199.1</v>
      </c>
      <c r="H435" s="9" t="s">
        <v>4723</v>
      </c>
      <c r="I435" s="9" t="s">
        <v>4723</v>
      </c>
      <c r="J435" s="9" t="s">
        <v>4733</v>
      </c>
      <c r="K435" s="20">
        <f t="shared" si="2"/>
        <v>1988</v>
      </c>
      <c r="L435" s="9" t="str">
        <f t="shared" si="3"/>
        <v>tier - 2</v>
      </c>
      <c r="M435" s="9" t="str">
        <f t="shared" si="4"/>
        <v>tier - 2</v>
      </c>
      <c r="N435" s="9" t="str">
        <f t="shared" si="5"/>
        <v>R1012</v>
      </c>
      <c r="O435" s="17">
        <f t="shared" si="6"/>
        <v>34</v>
      </c>
      <c r="P435" s="18">
        <v>32361.0</v>
      </c>
    </row>
    <row r="436" ht="15.75" customHeight="1">
      <c r="A436" s="9" t="s">
        <v>1215</v>
      </c>
      <c r="B436" s="17">
        <v>1988.0</v>
      </c>
      <c r="C436" s="9" t="s">
        <v>4716</v>
      </c>
      <c r="D436" s="9">
        <v>21.0</v>
      </c>
      <c r="E436" s="18">
        <f t="shared" si="1"/>
        <v>32376</v>
      </c>
      <c r="F436" s="9">
        <v>3.0</v>
      </c>
      <c r="G436" s="19">
        <v>16205.88</v>
      </c>
      <c r="H436" s="9" t="s">
        <v>4723</v>
      </c>
      <c r="I436" s="9" t="s">
        <v>4718</v>
      </c>
      <c r="J436" s="9" t="s">
        <v>4733</v>
      </c>
      <c r="K436" s="20">
        <f t="shared" si="2"/>
        <v>1988</v>
      </c>
      <c r="L436" s="9" t="str">
        <f t="shared" si="3"/>
        <v>tier - 2</v>
      </c>
      <c r="M436" s="9" t="str">
        <f t="shared" si="4"/>
        <v>tier - 1</v>
      </c>
      <c r="N436" s="9" t="str">
        <f t="shared" si="5"/>
        <v>R1012</v>
      </c>
      <c r="O436" s="17">
        <f t="shared" si="6"/>
        <v>34</v>
      </c>
      <c r="P436" s="18">
        <v>32376.0</v>
      </c>
    </row>
    <row r="437" ht="15.75" customHeight="1">
      <c r="A437" s="9" t="s">
        <v>1213</v>
      </c>
      <c r="B437" s="17">
        <v>2002.0</v>
      </c>
      <c r="C437" s="9" t="s">
        <v>4738</v>
      </c>
      <c r="D437" s="9">
        <v>8.0</v>
      </c>
      <c r="E437" s="18">
        <f t="shared" si="1"/>
        <v>37507</v>
      </c>
      <c r="F437" s="9">
        <v>0.0</v>
      </c>
      <c r="G437" s="19">
        <v>16232.85</v>
      </c>
      <c r="H437" s="9" t="s">
        <v>4723</v>
      </c>
      <c r="I437" s="9" t="s">
        <v>4718</v>
      </c>
      <c r="J437" s="9" t="s">
        <v>4719</v>
      </c>
      <c r="K437" s="20">
        <f t="shared" si="2"/>
        <v>2002</v>
      </c>
      <c r="L437" s="9" t="str">
        <f t="shared" si="3"/>
        <v>tier - 2</v>
      </c>
      <c r="M437" s="9" t="str">
        <f t="shared" si="4"/>
        <v>tier - 1</v>
      </c>
      <c r="N437" s="9" t="str">
        <f t="shared" si="5"/>
        <v>R1011</v>
      </c>
      <c r="O437" s="17">
        <f t="shared" si="6"/>
        <v>20</v>
      </c>
      <c r="P437" s="18">
        <v>37507.0</v>
      </c>
    </row>
    <row r="438" ht="15.75" customHeight="1">
      <c r="A438" s="9" t="s">
        <v>1211</v>
      </c>
      <c r="B438" s="17">
        <v>1972.0</v>
      </c>
      <c r="C438" s="9" t="s">
        <v>4741</v>
      </c>
      <c r="D438" s="9">
        <v>30.0</v>
      </c>
      <c r="E438" s="18">
        <f t="shared" si="1"/>
        <v>26510</v>
      </c>
      <c r="F438" s="9">
        <v>0.0</v>
      </c>
      <c r="G438" s="19">
        <v>16267.32</v>
      </c>
      <c r="H438" s="9" t="s">
        <v>4723</v>
      </c>
      <c r="I438" s="9" t="s">
        <v>4723</v>
      </c>
      <c r="J438" s="9" t="s">
        <v>4756</v>
      </c>
      <c r="K438" s="20">
        <f t="shared" si="2"/>
        <v>1972</v>
      </c>
      <c r="L438" s="9" t="str">
        <f t="shared" si="3"/>
        <v>tier - 2</v>
      </c>
      <c r="M438" s="9" t="str">
        <f t="shared" si="4"/>
        <v>tier - 2</v>
      </c>
      <c r="N438" s="9" t="str">
        <f t="shared" si="5"/>
        <v>R1023</v>
      </c>
      <c r="O438" s="17">
        <f t="shared" si="6"/>
        <v>50</v>
      </c>
      <c r="P438" s="18">
        <v>26510.0</v>
      </c>
    </row>
    <row r="439" ht="15.75" customHeight="1">
      <c r="A439" s="9" t="s">
        <v>1209</v>
      </c>
      <c r="B439" s="17">
        <v>2003.0</v>
      </c>
      <c r="C439" s="9" t="s">
        <v>4716</v>
      </c>
      <c r="D439" s="9">
        <v>24.0</v>
      </c>
      <c r="E439" s="18">
        <f t="shared" si="1"/>
        <v>37857</v>
      </c>
      <c r="F439" s="9">
        <v>0.0</v>
      </c>
      <c r="G439" s="19">
        <v>16297.85</v>
      </c>
      <c r="H439" s="9" t="s">
        <v>4723</v>
      </c>
      <c r="I439" s="9" t="s">
        <v>4717</v>
      </c>
      <c r="J439" s="9" t="s">
        <v>4719</v>
      </c>
      <c r="K439" s="20">
        <f t="shared" si="2"/>
        <v>2003</v>
      </c>
      <c r="L439" s="9" t="str">
        <f t="shared" si="3"/>
        <v>tier - 2</v>
      </c>
      <c r="M439" s="9" t="str">
        <f t="shared" si="4"/>
        <v>tier - 3</v>
      </c>
      <c r="N439" s="9" t="str">
        <f t="shared" si="5"/>
        <v>R1011</v>
      </c>
      <c r="O439" s="17">
        <f t="shared" si="6"/>
        <v>19</v>
      </c>
      <c r="P439" s="18">
        <v>37857.0</v>
      </c>
    </row>
    <row r="440" ht="15.75" customHeight="1">
      <c r="A440" s="9" t="s">
        <v>1207</v>
      </c>
      <c r="B440" s="17">
        <v>1969.0</v>
      </c>
      <c r="C440" s="9" t="s">
        <v>4716</v>
      </c>
      <c r="D440" s="9">
        <v>8.0</v>
      </c>
      <c r="E440" s="18">
        <f t="shared" si="1"/>
        <v>25423</v>
      </c>
      <c r="F440" s="9">
        <v>0.0</v>
      </c>
      <c r="G440" s="19">
        <v>16311.05</v>
      </c>
      <c r="H440" s="9" t="s">
        <v>4723</v>
      </c>
      <c r="I440" s="9" t="s">
        <v>4717</v>
      </c>
      <c r="J440" s="9" t="s">
        <v>4721</v>
      </c>
      <c r="K440" s="20">
        <f t="shared" si="2"/>
        <v>1969</v>
      </c>
      <c r="L440" s="9" t="str">
        <f t="shared" si="3"/>
        <v>tier - 2</v>
      </c>
      <c r="M440" s="9" t="str">
        <f t="shared" si="4"/>
        <v>tier - 3</v>
      </c>
      <c r="N440" s="9" t="str">
        <f t="shared" si="5"/>
        <v>R1026</v>
      </c>
      <c r="O440" s="17">
        <f t="shared" si="6"/>
        <v>53</v>
      </c>
      <c r="P440" s="18">
        <v>25423.0</v>
      </c>
    </row>
    <row r="441" ht="15.75" customHeight="1">
      <c r="A441" s="9" t="s">
        <v>1205</v>
      </c>
      <c r="B441" s="17">
        <v>1965.0</v>
      </c>
      <c r="C441" s="9" t="s">
        <v>4725</v>
      </c>
      <c r="D441" s="9">
        <v>5.0</v>
      </c>
      <c r="E441" s="18">
        <f t="shared" si="1"/>
        <v>24081</v>
      </c>
      <c r="F441" s="9">
        <v>0.0</v>
      </c>
      <c r="G441" s="19">
        <v>16351.42</v>
      </c>
      <c r="H441" s="9" t="s">
        <v>4723</v>
      </c>
      <c r="I441" s="9" t="s">
        <v>4717</v>
      </c>
      <c r="J441" s="9" t="s">
        <v>4721</v>
      </c>
      <c r="K441" s="20">
        <f t="shared" si="2"/>
        <v>1965</v>
      </c>
      <c r="L441" s="9" t="str">
        <f t="shared" si="3"/>
        <v>tier - 2</v>
      </c>
      <c r="M441" s="9" t="str">
        <f t="shared" si="4"/>
        <v>tier - 3</v>
      </c>
      <c r="N441" s="9" t="str">
        <f t="shared" si="5"/>
        <v>R1026</v>
      </c>
      <c r="O441" s="17">
        <f t="shared" si="6"/>
        <v>57</v>
      </c>
      <c r="P441" s="18">
        <v>24081.0</v>
      </c>
    </row>
    <row r="442" ht="15.75" customHeight="1">
      <c r="A442" s="9" t="s">
        <v>1203</v>
      </c>
      <c r="B442" s="17">
        <v>1995.0</v>
      </c>
      <c r="C442" s="9" t="s">
        <v>4738</v>
      </c>
      <c r="D442" s="9">
        <v>28.0</v>
      </c>
      <c r="E442" s="18">
        <f t="shared" si="1"/>
        <v>34970</v>
      </c>
      <c r="F442" s="9">
        <v>3.0</v>
      </c>
      <c r="G442" s="19">
        <v>16420.49</v>
      </c>
      <c r="H442" s="9" t="s">
        <v>4723</v>
      </c>
      <c r="I442" s="9" t="s">
        <v>4717</v>
      </c>
      <c r="J442" s="9" t="s">
        <v>4733</v>
      </c>
      <c r="K442" s="20">
        <f t="shared" si="2"/>
        <v>1995</v>
      </c>
      <c r="L442" s="9" t="str">
        <f t="shared" si="3"/>
        <v>tier - 2</v>
      </c>
      <c r="M442" s="9" t="str">
        <f t="shared" si="4"/>
        <v>tier - 3</v>
      </c>
      <c r="N442" s="9" t="str">
        <f t="shared" si="5"/>
        <v>R1012</v>
      </c>
      <c r="O442" s="17">
        <f t="shared" si="6"/>
        <v>27</v>
      </c>
      <c r="P442" s="18">
        <v>34970.0</v>
      </c>
    </row>
    <row r="443" ht="15.75" customHeight="1">
      <c r="A443" s="9" t="s">
        <v>1201</v>
      </c>
      <c r="B443" s="17">
        <v>2003.0</v>
      </c>
      <c r="C443" s="9" t="s">
        <v>4725</v>
      </c>
      <c r="D443" s="9">
        <v>20.0</v>
      </c>
      <c r="E443" s="18">
        <f t="shared" si="1"/>
        <v>37975</v>
      </c>
      <c r="F443" s="9">
        <v>1.0</v>
      </c>
      <c r="G443" s="19">
        <v>16450.89</v>
      </c>
      <c r="H443" s="9" t="s">
        <v>4723</v>
      </c>
      <c r="I443" s="9" t="s">
        <v>4718</v>
      </c>
      <c r="J443" s="9" t="s">
        <v>4733</v>
      </c>
      <c r="K443" s="20">
        <f t="shared" si="2"/>
        <v>2003</v>
      </c>
      <c r="L443" s="9" t="str">
        <f t="shared" si="3"/>
        <v>tier - 2</v>
      </c>
      <c r="M443" s="9" t="str">
        <f t="shared" si="4"/>
        <v>tier - 1</v>
      </c>
      <c r="N443" s="9" t="str">
        <f t="shared" si="5"/>
        <v>R1012</v>
      </c>
      <c r="O443" s="17">
        <f t="shared" si="6"/>
        <v>19</v>
      </c>
      <c r="P443" s="18">
        <v>37975.0</v>
      </c>
    </row>
    <row r="444" ht="15.75" customHeight="1">
      <c r="A444" s="9" t="s">
        <v>121</v>
      </c>
      <c r="B444" s="17">
        <v>1971.0</v>
      </c>
      <c r="C444" s="9" t="s">
        <v>4735</v>
      </c>
      <c r="D444" s="9">
        <v>3.0</v>
      </c>
      <c r="E444" s="18">
        <f t="shared" si="1"/>
        <v>26240</v>
      </c>
      <c r="F444" s="9">
        <v>0.0</v>
      </c>
      <c r="G444" s="19">
        <v>42644.2</v>
      </c>
      <c r="H444" s="9" t="s">
        <v>4718</v>
      </c>
      <c r="I444" s="9" t="s">
        <v>4717</v>
      </c>
      <c r="J444" s="9" t="s">
        <v>4719</v>
      </c>
      <c r="K444" s="20">
        <f t="shared" si="2"/>
        <v>1971</v>
      </c>
      <c r="L444" s="9" t="str">
        <f t="shared" si="3"/>
        <v>tier - 1</v>
      </c>
      <c r="M444" s="9" t="str">
        <f t="shared" si="4"/>
        <v>tier - 3</v>
      </c>
      <c r="N444" s="9" t="str">
        <f t="shared" si="5"/>
        <v>R1011</v>
      </c>
      <c r="O444" s="17">
        <f t="shared" si="6"/>
        <v>51</v>
      </c>
      <c r="P444" s="18">
        <v>26240.0</v>
      </c>
    </row>
    <row r="445" ht="15.75" customHeight="1">
      <c r="A445" s="9" t="s">
        <v>13</v>
      </c>
      <c r="B445" s="17">
        <v>1962.0</v>
      </c>
      <c r="C445" s="9" t="s">
        <v>4716</v>
      </c>
      <c r="D445" s="9">
        <v>4.0</v>
      </c>
      <c r="E445" s="18">
        <f t="shared" si="1"/>
        <v>22862</v>
      </c>
      <c r="F445" s="9">
        <v>0.0</v>
      </c>
      <c r="G445" s="19">
        <v>52590.83</v>
      </c>
      <c r="H445" s="9" t="s">
        <v>4718</v>
      </c>
      <c r="I445" s="9" t="s">
        <v>4717</v>
      </c>
      <c r="J445" s="9" t="s">
        <v>4719</v>
      </c>
      <c r="K445" s="20">
        <f t="shared" si="2"/>
        <v>1962</v>
      </c>
      <c r="L445" s="9" t="str">
        <f t="shared" si="3"/>
        <v>tier - 1</v>
      </c>
      <c r="M445" s="9" t="str">
        <f t="shared" si="4"/>
        <v>tier - 3</v>
      </c>
      <c r="N445" s="9" t="str">
        <f t="shared" si="5"/>
        <v>R1011</v>
      </c>
      <c r="O445" s="17">
        <f t="shared" si="6"/>
        <v>60</v>
      </c>
      <c r="P445" s="18">
        <v>22862.0</v>
      </c>
    </row>
    <row r="446" ht="15.75" customHeight="1">
      <c r="A446" s="9" t="s">
        <v>1199</v>
      </c>
      <c r="B446" s="17">
        <v>1958.0</v>
      </c>
      <c r="C446" s="9" t="s">
        <v>4720</v>
      </c>
      <c r="D446" s="9">
        <v>10.0</v>
      </c>
      <c r="E446" s="18">
        <f t="shared" si="1"/>
        <v>21468</v>
      </c>
      <c r="F446" s="9">
        <v>3.0</v>
      </c>
      <c r="G446" s="19">
        <v>16455.71</v>
      </c>
      <c r="H446" s="9" t="s">
        <v>4723</v>
      </c>
      <c r="I446" s="9" t="s">
        <v>4723</v>
      </c>
      <c r="J446" s="9" t="s">
        <v>4733</v>
      </c>
      <c r="K446" s="20">
        <f t="shared" si="2"/>
        <v>1958</v>
      </c>
      <c r="L446" s="9" t="str">
        <f t="shared" si="3"/>
        <v>tier - 2</v>
      </c>
      <c r="M446" s="9" t="str">
        <f t="shared" si="4"/>
        <v>tier - 2</v>
      </c>
      <c r="N446" s="9" t="str">
        <f t="shared" si="5"/>
        <v>R1012</v>
      </c>
      <c r="O446" s="17">
        <f t="shared" si="6"/>
        <v>64</v>
      </c>
      <c r="P446" s="18">
        <v>21468.0</v>
      </c>
    </row>
    <row r="447" ht="15.75" customHeight="1">
      <c r="A447" s="9" t="s">
        <v>1197</v>
      </c>
      <c r="B447" s="17">
        <v>1995.0</v>
      </c>
      <c r="C447" s="9" t="s">
        <v>4725</v>
      </c>
      <c r="D447" s="9">
        <v>23.0</v>
      </c>
      <c r="E447" s="18">
        <f t="shared" si="1"/>
        <v>35056</v>
      </c>
      <c r="F447" s="9">
        <v>0.0</v>
      </c>
      <c r="G447" s="19">
        <v>16577.78</v>
      </c>
      <c r="H447" s="9" t="s">
        <v>4723</v>
      </c>
      <c r="I447" s="9" t="s">
        <v>4718</v>
      </c>
      <c r="J447" s="9" t="s">
        <v>4743</v>
      </c>
      <c r="K447" s="20">
        <f t="shared" si="2"/>
        <v>1995</v>
      </c>
      <c r="L447" s="9" t="str">
        <f t="shared" si="3"/>
        <v>tier - 2</v>
      </c>
      <c r="M447" s="9" t="str">
        <f t="shared" si="4"/>
        <v>tier - 1</v>
      </c>
      <c r="N447" s="9" t="str">
        <f t="shared" si="5"/>
        <v>R1013</v>
      </c>
      <c r="O447" s="17">
        <f t="shared" si="6"/>
        <v>27</v>
      </c>
      <c r="P447" s="18">
        <v>35056.0</v>
      </c>
    </row>
    <row r="448" ht="15.75" customHeight="1">
      <c r="A448" s="9" t="s">
        <v>1195</v>
      </c>
      <c r="B448" s="17">
        <v>2001.0</v>
      </c>
      <c r="C448" s="9" t="s">
        <v>4730</v>
      </c>
      <c r="D448" s="9">
        <v>25.0</v>
      </c>
      <c r="E448" s="18">
        <f t="shared" si="1"/>
        <v>37067</v>
      </c>
      <c r="F448" s="9">
        <v>0.0</v>
      </c>
      <c r="G448" s="19">
        <v>16586.5</v>
      </c>
      <c r="H448" s="9" t="s">
        <v>4723</v>
      </c>
      <c r="I448" s="9" t="s">
        <v>4718</v>
      </c>
      <c r="J448" s="9" t="s">
        <v>4743</v>
      </c>
      <c r="K448" s="20">
        <f t="shared" si="2"/>
        <v>2001</v>
      </c>
      <c r="L448" s="9" t="str">
        <f t="shared" si="3"/>
        <v>tier - 2</v>
      </c>
      <c r="M448" s="9" t="str">
        <f t="shared" si="4"/>
        <v>tier - 1</v>
      </c>
      <c r="N448" s="9" t="str">
        <f t="shared" si="5"/>
        <v>R1013</v>
      </c>
      <c r="O448" s="17">
        <f t="shared" si="6"/>
        <v>21</v>
      </c>
      <c r="P448" s="18">
        <v>37067.0</v>
      </c>
    </row>
    <row r="449" ht="15.75" customHeight="1">
      <c r="A449" s="9" t="s">
        <v>1193</v>
      </c>
      <c r="B449" s="17">
        <v>1963.0</v>
      </c>
      <c r="C449" s="9" t="s">
        <v>4730</v>
      </c>
      <c r="D449" s="9">
        <v>25.0</v>
      </c>
      <c r="E449" s="18">
        <f t="shared" si="1"/>
        <v>23187</v>
      </c>
      <c r="F449" s="9">
        <v>0.0</v>
      </c>
      <c r="G449" s="19">
        <v>16587.96</v>
      </c>
      <c r="H449" s="9" t="s">
        <v>4723</v>
      </c>
      <c r="I449" s="9" t="s">
        <v>4723</v>
      </c>
      <c r="J449" s="9" t="s">
        <v>4756</v>
      </c>
      <c r="K449" s="20">
        <f t="shared" si="2"/>
        <v>1963</v>
      </c>
      <c r="L449" s="9" t="str">
        <f t="shared" si="3"/>
        <v>tier - 2</v>
      </c>
      <c r="M449" s="9" t="str">
        <f t="shared" si="4"/>
        <v>tier - 2</v>
      </c>
      <c r="N449" s="9" t="str">
        <f t="shared" si="5"/>
        <v>R1023</v>
      </c>
      <c r="O449" s="17">
        <f t="shared" si="6"/>
        <v>59</v>
      </c>
      <c r="P449" s="18">
        <v>23187.0</v>
      </c>
    </row>
    <row r="450" ht="15.75" customHeight="1">
      <c r="A450" s="9" t="s">
        <v>1191</v>
      </c>
      <c r="B450" s="17">
        <v>1970.0</v>
      </c>
      <c r="C450" s="9" t="s">
        <v>4741</v>
      </c>
      <c r="D450" s="9">
        <v>10.0</v>
      </c>
      <c r="E450" s="18">
        <f t="shared" si="1"/>
        <v>25759</v>
      </c>
      <c r="F450" s="9">
        <v>0.0</v>
      </c>
      <c r="G450" s="19">
        <v>16600.16</v>
      </c>
      <c r="H450" s="9" t="s">
        <v>4723</v>
      </c>
      <c r="I450" s="9" t="s">
        <v>4723</v>
      </c>
      <c r="J450" s="9" t="s">
        <v>4719</v>
      </c>
      <c r="K450" s="20">
        <f t="shared" si="2"/>
        <v>1970</v>
      </c>
      <c r="L450" s="9" t="str">
        <f t="shared" si="3"/>
        <v>tier - 2</v>
      </c>
      <c r="M450" s="9" t="str">
        <f t="shared" si="4"/>
        <v>tier - 2</v>
      </c>
      <c r="N450" s="9" t="str">
        <f t="shared" si="5"/>
        <v>R1011</v>
      </c>
      <c r="O450" s="17">
        <f t="shared" si="6"/>
        <v>52</v>
      </c>
      <c r="P450" s="18">
        <v>25759.0</v>
      </c>
    </row>
    <row r="451" ht="15.75" customHeight="1">
      <c r="A451" s="9" t="s">
        <v>1189</v>
      </c>
      <c r="B451" s="17">
        <v>1975.0</v>
      </c>
      <c r="C451" s="9" t="s">
        <v>4741</v>
      </c>
      <c r="D451" s="9">
        <v>24.0</v>
      </c>
      <c r="E451" s="18">
        <f t="shared" si="1"/>
        <v>27599</v>
      </c>
      <c r="F451" s="9">
        <v>1.0</v>
      </c>
      <c r="G451" s="19">
        <v>16602.18</v>
      </c>
      <c r="H451" s="9" t="s">
        <v>4723</v>
      </c>
      <c r="I451" s="9" t="s">
        <v>4718</v>
      </c>
      <c r="J451" s="9" t="s">
        <v>4721</v>
      </c>
      <c r="K451" s="20">
        <f t="shared" si="2"/>
        <v>1975</v>
      </c>
      <c r="L451" s="9" t="str">
        <f t="shared" si="3"/>
        <v>tier - 2</v>
      </c>
      <c r="M451" s="9" t="str">
        <f t="shared" si="4"/>
        <v>tier - 1</v>
      </c>
      <c r="N451" s="9" t="str">
        <f t="shared" si="5"/>
        <v>R1026</v>
      </c>
      <c r="O451" s="17">
        <f t="shared" si="6"/>
        <v>47</v>
      </c>
      <c r="P451" s="18">
        <v>27599.0</v>
      </c>
    </row>
    <row r="452" ht="15.75" customHeight="1">
      <c r="A452" s="9" t="s">
        <v>1187</v>
      </c>
      <c r="B452" s="17">
        <v>1977.0</v>
      </c>
      <c r="C452" s="9" t="s">
        <v>4738</v>
      </c>
      <c r="D452" s="9">
        <v>25.0</v>
      </c>
      <c r="E452" s="18">
        <f t="shared" si="1"/>
        <v>28393</v>
      </c>
      <c r="F452" s="9">
        <v>2.0</v>
      </c>
      <c r="G452" s="19">
        <v>16631.61</v>
      </c>
      <c r="H452" s="9" t="s">
        <v>4723</v>
      </c>
      <c r="I452" s="9" t="s">
        <v>4718</v>
      </c>
      <c r="J452" s="9" t="s">
        <v>4733</v>
      </c>
      <c r="K452" s="20">
        <f t="shared" si="2"/>
        <v>1977</v>
      </c>
      <c r="L452" s="9" t="str">
        <f t="shared" si="3"/>
        <v>tier - 2</v>
      </c>
      <c r="M452" s="9" t="str">
        <f t="shared" si="4"/>
        <v>tier - 1</v>
      </c>
      <c r="N452" s="9" t="str">
        <f t="shared" si="5"/>
        <v>R1012</v>
      </c>
      <c r="O452" s="17">
        <f t="shared" si="6"/>
        <v>45</v>
      </c>
      <c r="P452" s="18">
        <v>28393.0</v>
      </c>
    </row>
    <row r="453" ht="15.75" customHeight="1">
      <c r="A453" s="9" t="s">
        <v>1185</v>
      </c>
      <c r="B453" s="17">
        <v>1993.0</v>
      </c>
      <c r="C453" s="9" t="s">
        <v>4735</v>
      </c>
      <c r="D453" s="9">
        <v>5.0</v>
      </c>
      <c r="E453" s="18">
        <f t="shared" si="1"/>
        <v>34278</v>
      </c>
      <c r="F453" s="9">
        <v>1.0</v>
      </c>
      <c r="G453" s="19">
        <v>16657.72</v>
      </c>
      <c r="H453" s="9" t="s">
        <v>4723</v>
      </c>
      <c r="I453" s="9" t="s">
        <v>4718</v>
      </c>
      <c r="J453" s="9" t="s">
        <v>4731</v>
      </c>
      <c r="K453" s="20">
        <f t="shared" si="2"/>
        <v>1993</v>
      </c>
      <c r="L453" s="9" t="str">
        <f t="shared" si="3"/>
        <v>tier - 2</v>
      </c>
      <c r="M453" s="9" t="str">
        <f t="shared" si="4"/>
        <v>tier - 1</v>
      </c>
      <c r="N453" s="9" t="str">
        <f t="shared" si="5"/>
        <v>R1024</v>
      </c>
      <c r="O453" s="17">
        <f t="shared" si="6"/>
        <v>29</v>
      </c>
      <c r="P453" s="18">
        <v>34278.0</v>
      </c>
    </row>
    <row r="454" ht="15.75" customHeight="1">
      <c r="A454" s="9" t="s">
        <v>1183</v>
      </c>
      <c r="B454" s="17">
        <v>1974.0</v>
      </c>
      <c r="C454" s="9" t="s">
        <v>4716</v>
      </c>
      <c r="D454" s="9">
        <v>28.0</v>
      </c>
      <c r="E454" s="18">
        <f t="shared" si="1"/>
        <v>27269</v>
      </c>
      <c r="F454" s="9">
        <v>0.0</v>
      </c>
      <c r="G454" s="19">
        <v>16770.99</v>
      </c>
      <c r="H454" s="9" t="s">
        <v>4723</v>
      </c>
      <c r="I454" s="9" t="s">
        <v>4718</v>
      </c>
      <c r="J454" s="9" t="s">
        <v>4733</v>
      </c>
      <c r="K454" s="20">
        <f t="shared" si="2"/>
        <v>1974</v>
      </c>
      <c r="L454" s="9" t="str">
        <f t="shared" si="3"/>
        <v>tier - 2</v>
      </c>
      <c r="M454" s="9" t="str">
        <f t="shared" si="4"/>
        <v>tier - 1</v>
      </c>
      <c r="N454" s="9" t="str">
        <f t="shared" si="5"/>
        <v>R1012</v>
      </c>
      <c r="O454" s="17">
        <f t="shared" si="6"/>
        <v>48</v>
      </c>
      <c r="P454" s="18">
        <v>27269.0</v>
      </c>
    </row>
    <row r="455" ht="15.75" customHeight="1">
      <c r="A455" s="9" t="s">
        <v>1181</v>
      </c>
      <c r="B455" s="17">
        <v>1989.0</v>
      </c>
      <c r="C455" s="9" t="s">
        <v>4738</v>
      </c>
      <c r="D455" s="9">
        <v>23.0</v>
      </c>
      <c r="E455" s="18">
        <f t="shared" si="1"/>
        <v>32774</v>
      </c>
      <c r="F455" s="9">
        <v>2.0</v>
      </c>
      <c r="G455" s="19">
        <v>16776.3</v>
      </c>
      <c r="H455" s="9" t="s">
        <v>4723</v>
      </c>
      <c r="I455" s="9" t="s">
        <v>4723</v>
      </c>
      <c r="J455" s="9" t="s">
        <v>4731</v>
      </c>
      <c r="K455" s="20">
        <f t="shared" si="2"/>
        <v>1989</v>
      </c>
      <c r="L455" s="9" t="str">
        <f t="shared" si="3"/>
        <v>tier - 2</v>
      </c>
      <c r="M455" s="9" t="str">
        <f t="shared" si="4"/>
        <v>tier - 2</v>
      </c>
      <c r="N455" s="9" t="str">
        <f t="shared" si="5"/>
        <v>R1024</v>
      </c>
      <c r="O455" s="17">
        <f t="shared" si="6"/>
        <v>33</v>
      </c>
      <c r="P455" s="18">
        <v>32774.0</v>
      </c>
    </row>
    <row r="456" ht="15.75" customHeight="1">
      <c r="A456" s="9" t="s">
        <v>119</v>
      </c>
      <c r="B456" s="17">
        <v>1977.0</v>
      </c>
      <c r="C456" s="9" t="s">
        <v>4720</v>
      </c>
      <c r="D456" s="9">
        <v>21.0</v>
      </c>
      <c r="E456" s="18">
        <f t="shared" si="1"/>
        <v>28419</v>
      </c>
      <c r="F456" s="9">
        <v>2.0</v>
      </c>
      <c r="G456" s="19">
        <v>42760.5</v>
      </c>
      <c r="H456" s="9" t="s">
        <v>4718</v>
      </c>
      <c r="I456" s="9" t="s">
        <v>4723</v>
      </c>
      <c r="J456" s="9" t="s">
        <v>4733</v>
      </c>
      <c r="K456" s="20">
        <f t="shared" si="2"/>
        <v>1977</v>
      </c>
      <c r="L456" s="9" t="str">
        <f t="shared" si="3"/>
        <v>tier - 1</v>
      </c>
      <c r="M456" s="9" t="str">
        <f t="shared" si="4"/>
        <v>tier - 2</v>
      </c>
      <c r="N456" s="9" t="str">
        <f t="shared" si="5"/>
        <v>R1012</v>
      </c>
      <c r="O456" s="17">
        <f t="shared" si="6"/>
        <v>45</v>
      </c>
      <c r="P456" s="18">
        <v>28419.0</v>
      </c>
    </row>
    <row r="457" ht="15.75" customHeight="1">
      <c r="A457" s="9" t="s">
        <v>1179</v>
      </c>
      <c r="B457" s="17">
        <v>1962.0</v>
      </c>
      <c r="C457" s="9" t="s">
        <v>4741</v>
      </c>
      <c r="D457" s="9">
        <v>29.0</v>
      </c>
      <c r="E457" s="18">
        <f t="shared" si="1"/>
        <v>22856</v>
      </c>
      <c r="F457" s="9">
        <v>0.0</v>
      </c>
      <c r="G457" s="19">
        <v>16779.4</v>
      </c>
      <c r="H457" s="9" t="s">
        <v>4723</v>
      </c>
      <c r="I457" s="9" t="s">
        <v>4723</v>
      </c>
      <c r="J457" s="9" t="s">
        <v>4721</v>
      </c>
      <c r="K457" s="20">
        <f t="shared" si="2"/>
        <v>1962</v>
      </c>
      <c r="L457" s="9" t="str">
        <f t="shared" si="3"/>
        <v>tier - 2</v>
      </c>
      <c r="M457" s="9" t="str">
        <f t="shared" si="4"/>
        <v>tier - 2</v>
      </c>
      <c r="N457" s="9" t="str">
        <f t="shared" si="5"/>
        <v>R1026</v>
      </c>
      <c r="O457" s="17">
        <f t="shared" si="6"/>
        <v>60</v>
      </c>
      <c r="P457" s="18">
        <v>22856.0</v>
      </c>
    </row>
    <row r="458" ht="15.75" customHeight="1">
      <c r="A458" s="9" t="s">
        <v>1177</v>
      </c>
      <c r="B458" s="17">
        <v>1995.0</v>
      </c>
      <c r="C458" s="9" t="s">
        <v>4720</v>
      </c>
      <c r="D458" s="9">
        <v>19.0</v>
      </c>
      <c r="E458" s="18">
        <f t="shared" si="1"/>
        <v>34991</v>
      </c>
      <c r="F458" s="9">
        <v>1.0</v>
      </c>
      <c r="G458" s="19">
        <v>16796.41</v>
      </c>
      <c r="H458" s="9" t="s">
        <v>4723</v>
      </c>
      <c r="I458" s="9" t="s">
        <v>4717</v>
      </c>
      <c r="J458" s="9" t="s">
        <v>4731</v>
      </c>
      <c r="K458" s="20">
        <f t="shared" si="2"/>
        <v>1995</v>
      </c>
      <c r="L458" s="9" t="str">
        <f t="shared" si="3"/>
        <v>tier - 2</v>
      </c>
      <c r="M458" s="9" t="str">
        <f t="shared" si="4"/>
        <v>tier - 3</v>
      </c>
      <c r="N458" s="9" t="str">
        <f t="shared" si="5"/>
        <v>R1024</v>
      </c>
      <c r="O458" s="17">
        <f t="shared" si="6"/>
        <v>27</v>
      </c>
      <c r="P458" s="18">
        <v>34991.0</v>
      </c>
    </row>
    <row r="459" ht="15.75" customHeight="1">
      <c r="A459" s="9" t="s">
        <v>1175</v>
      </c>
      <c r="B459" s="17">
        <v>1974.0</v>
      </c>
      <c r="C459" s="9" t="s">
        <v>4716</v>
      </c>
      <c r="D459" s="9">
        <v>8.0</v>
      </c>
      <c r="E459" s="18">
        <f t="shared" si="1"/>
        <v>27249</v>
      </c>
      <c r="F459" s="9">
        <v>0.0</v>
      </c>
      <c r="G459" s="19">
        <v>16841.32</v>
      </c>
      <c r="H459" s="9" t="s">
        <v>4723</v>
      </c>
      <c r="I459" s="9" t="s">
        <v>4717</v>
      </c>
      <c r="J459" s="9" t="s">
        <v>4719</v>
      </c>
      <c r="K459" s="20">
        <f t="shared" si="2"/>
        <v>1974</v>
      </c>
      <c r="L459" s="9" t="str">
        <f t="shared" si="3"/>
        <v>tier - 2</v>
      </c>
      <c r="M459" s="9" t="str">
        <f t="shared" si="4"/>
        <v>tier - 3</v>
      </c>
      <c r="N459" s="9" t="str">
        <f t="shared" si="5"/>
        <v>R1011</v>
      </c>
      <c r="O459" s="17">
        <f t="shared" si="6"/>
        <v>48</v>
      </c>
      <c r="P459" s="18">
        <v>27249.0</v>
      </c>
    </row>
    <row r="460" ht="15.75" customHeight="1">
      <c r="A460" s="9" t="s">
        <v>1173</v>
      </c>
      <c r="B460" s="17">
        <v>2003.0</v>
      </c>
      <c r="C460" s="9" t="s">
        <v>4738</v>
      </c>
      <c r="D460" s="9">
        <v>10.0</v>
      </c>
      <c r="E460" s="18">
        <f t="shared" si="1"/>
        <v>37874</v>
      </c>
      <c r="F460" s="9">
        <v>0.0</v>
      </c>
      <c r="G460" s="19">
        <v>16884.92</v>
      </c>
      <c r="H460" s="9" t="s">
        <v>4723</v>
      </c>
      <c r="I460" s="9" t="s">
        <v>4723</v>
      </c>
      <c r="J460" s="9" t="s">
        <v>4719</v>
      </c>
      <c r="K460" s="20">
        <f t="shared" si="2"/>
        <v>2003</v>
      </c>
      <c r="L460" s="9" t="str">
        <f t="shared" si="3"/>
        <v>tier - 2</v>
      </c>
      <c r="M460" s="9" t="str">
        <f t="shared" si="4"/>
        <v>tier - 2</v>
      </c>
      <c r="N460" s="9" t="str">
        <f t="shared" si="5"/>
        <v>R1011</v>
      </c>
      <c r="O460" s="17">
        <f t="shared" si="6"/>
        <v>19</v>
      </c>
      <c r="P460" s="18">
        <v>37874.0</v>
      </c>
    </row>
    <row r="461" ht="15.75" customHeight="1">
      <c r="A461" s="9" t="s">
        <v>1171</v>
      </c>
      <c r="B461" s="17">
        <v>1968.0</v>
      </c>
      <c r="C461" s="9" t="s">
        <v>4720</v>
      </c>
      <c r="D461" s="9">
        <v>21.0</v>
      </c>
      <c r="E461" s="18">
        <f t="shared" si="1"/>
        <v>25132</v>
      </c>
      <c r="F461" s="9">
        <v>0.0</v>
      </c>
      <c r="G461" s="19">
        <v>16903.5</v>
      </c>
      <c r="H461" s="9" t="s">
        <v>4723</v>
      </c>
      <c r="I461" s="9" t="s">
        <v>4717</v>
      </c>
      <c r="J461" s="9" t="s">
        <v>4733</v>
      </c>
      <c r="K461" s="20">
        <f t="shared" si="2"/>
        <v>1968</v>
      </c>
      <c r="L461" s="9" t="str">
        <f t="shared" si="3"/>
        <v>tier - 2</v>
      </c>
      <c r="M461" s="9" t="str">
        <f t="shared" si="4"/>
        <v>tier - 3</v>
      </c>
      <c r="N461" s="9" t="str">
        <f t="shared" si="5"/>
        <v>R1012</v>
      </c>
      <c r="O461" s="17">
        <f t="shared" si="6"/>
        <v>54</v>
      </c>
      <c r="P461" s="18">
        <v>25132.0</v>
      </c>
    </row>
    <row r="462" ht="15.75" customHeight="1">
      <c r="A462" s="9" t="s">
        <v>1169</v>
      </c>
      <c r="B462" s="17">
        <v>1977.0</v>
      </c>
      <c r="C462" s="9" t="s">
        <v>4716</v>
      </c>
      <c r="D462" s="9">
        <v>25.0</v>
      </c>
      <c r="E462" s="18">
        <f t="shared" si="1"/>
        <v>28362</v>
      </c>
      <c r="F462" s="9">
        <v>2.0</v>
      </c>
      <c r="G462" s="19">
        <v>16921.09</v>
      </c>
      <c r="H462" s="9" t="s">
        <v>4723</v>
      </c>
      <c r="I462" s="9" t="s">
        <v>4717</v>
      </c>
      <c r="J462" s="9" t="s">
        <v>4756</v>
      </c>
      <c r="K462" s="20">
        <f t="shared" si="2"/>
        <v>1977</v>
      </c>
      <c r="L462" s="9" t="str">
        <f t="shared" si="3"/>
        <v>tier - 2</v>
      </c>
      <c r="M462" s="9" t="str">
        <f t="shared" si="4"/>
        <v>tier - 3</v>
      </c>
      <c r="N462" s="9" t="str">
        <f t="shared" si="5"/>
        <v>R1023</v>
      </c>
      <c r="O462" s="17">
        <f t="shared" si="6"/>
        <v>45</v>
      </c>
      <c r="P462" s="18">
        <v>28362.0</v>
      </c>
    </row>
    <row r="463" ht="15.75" customHeight="1">
      <c r="A463" s="9" t="s">
        <v>1167</v>
      </c>
      <c r="B463" s="17">
        <v>1980.0</v>
      </c>
      <c r="C463" s="9" t="s">
        <v>4741</v>
      </c>
      <c r="D463" s="9">
        <v>16.0</v>
      </c>
      <c r="E463" s="18">
        <f t="shared" si="1"/>
        <v>29418</v>
      </c>
      <c r="F463" s="9">
        <v>2.0</v>
      </c>
      <c r="G463" s="19">
        <v>16990.55</v>
      </c>
      <c r="H463" s="9" t="s">
        <v>4723</v>
      </c>
      <c r="I463" s="9" t="s">
        <v>4717</v>
      </c>
      <c r="J463" s="9" t="s">
        <v>4733</v>
      </c>
      <c r="K463" s="20">
        <f t="shared" si="2"/>
        <v>1980</v>
      </c>
      <c r="L463" s="9" t="str">
        <f t="shared" si="3"/>
        <v>tier - 2</v>
      </c>
      <c r="M463" s="9" t="str">
        <f t="shared" si="4"/>
        <v>tier - 3</v>
      </c>
      <c r="N463" s="9" t="str">
        <f t="shared" si="5"/>
        <v>R1012</v>
      </c>
      <c r="O463" s="17">
        <f t="shared" si="6"/>
        <v>42</v>
      </c>
      <c r="P463" s="18">
        <v>29418.0</v>
      </c>
    </row>
    <row r="464" ht="15.75" customHeight="1">
      <c r="A464" s="9" t="s">
        <v>1165</v>
      </c>
      <c r="B464" s="17">
        <v>1971.0</v>
      </c>
      <c r="C464" s="9" t="s">
        <v>4716</v>
      </c>
      <c r="D464" s="9">
        <v>22.0</v>
      </c>
      <c r="E464" s="18">
        <f t="shared" si="1"/>
        <v>26167</v>
      </c>
      <c r="F464" s="9">
        <v>0.0</v>
      </c>
      <c r="G464" s="19">
        <v>17016.01</v>
      </c>
      <c r="H464" s="9" t="s">
        <v>4723</v>
      </c>
      <c r="I464" s="9" t="s">
        <v>4723</v>
      </c>
      <c r="J464" s="9" t="s">
        <v>4756</v>
      </c>
      <c r="K464" s="20">
        <f t="shared" si="2"/>
        <v>1971</v>
      </c>
      <c r="L464" s="9" t="str">
        <f t="shared" si="3"/>
        <v>tier - 2</v>
      </c>
      <c r="M464" s="9" t="str">
        <f t="shared" si="4"/>
        <v>tier - 2</v>
      </c>
      <c r="N464" s="9" t="str">
        <f t="shared" si="5"/>
        <v>R1023</v>
      </c>
      <c r="O464" s="17">
        <f t="shared" si="6"/>
        <v>51</v>
      </c>
      <c r="P464" s="18">
        <v>26167.0</v>
      </c>
    </row>
    <row r="465" ht="15.75" customHeight="1">
      <c r="A465" s="9" t="s">
        <v>1163</v>
      </c>
      <c r="B465" s="17">
        <v>1996.0</v>
      </c>
      <c r="C465" s="9" t="s">
        <v>4730</v>
      </c>
      <c r="D465" s="9">
        <v>10.0</v>
      </c>
      <c r="E465" s="18">
        <f t="shared" si="1"/>
        <v>35226</v>
      </c>
      <c r="F465" s="9">
        <v>0.0</v>
      </c>
      <c r="G465" s="19">
        <v>17043.34</v>
      </c>
      <c r="H465" s="9" t="s">
        <v>4723</v>
      </c>
      <c r="I465" s="9" t="s">
        <v>4717</v>
      </c>
      <c r="J465" s="9" t="s">
        <v>4743</v>
      </c>
      <c r="K465" s="20">
        <f t="shared" si="2"/>
        <v>1996</v>
      </c>
      <c r="L465" s="9" t="str">
        <f t="shared" si="3"/>
        <v>tier - 2</v>
      </c>
      <c r="M465" s="9" t="str">
        <f t="shared" si="4"/>
        <v>tier - 3</v>
      </c>
      <c r="N465" s="9" t="str">
        <f t="shared" si="5"/>
        <v>R1013</v>
      </c>
      <c r="O465" s="17">
        <f t="shared" si="6"/>
        <v>26</v>
      </c>
      <c r="P465" s="18">
        <v>35226.0</v>
      </c>
    </row>
    <row r="466" ht="15.75" customHeight="1">
      <c r="A466" s="9" t="s">
        <v>1161</v>
      </c>
      <c r="B466" s="17">
        <v>2003.0</v>
      </c>
      <c r="C466" s="9" t="s">
        <v>4725</v>
      </c>
      <c r="D466" s="9">
        <v>26.0</v>
      </c>
      <c r="E466" s="18">
        <f t="shared" si="1"/>
        <v>37981</v>
      </c>
      <c r="F466" s="9">
        <v>0.0</v>
      </c>
      <c r="G466" s="19">
        <v>17081.08</v>
      </c>
      <c r="H466" s="9" t="s">
        <v>4723</v>
      </c>
      <c r="I466" s="9" t="s">
        <v>4723</v>
      </c>
      <c r="J466" s="9" t="s">
        <v>4719</v>
      </c>
      <c r="K466" s="20">
        <f t="shared" si="2"/>
        <v>2003</v>
      </c>
      <c r="L466" s="9" t="str">
        <f t="shared" si="3"/>
        <v>tier - 2</v>
      </c>
      <c r="M466" s="9" t="str">
        <f t="shared" si="4"/>
        <v>tier - 2</v>
      </c>
      <c r="N466" s="9" t="str">
        <f t="shared" si="5"/>
        <v>R1011</v>
      </c>
      <c r="O466" s="17">
        <f t="shared" si="6"/>
        <v>19</v>
      </c>
      <c r="P466" s="18">
        <v>37981.0</v>
      </c>
    </row>
    <row r="467" ht="15.75" customHeight="1">
      <c r="A467" s="9" t="s">
        <v>117</v>
      </c>
      <c r="B467" s="17">
        <v>1965.0</v>
      </c>
      <c r="C467" s="9" t="s">
        <v>4720</v>
      </c>
      <c r="D467" s="9">
        <v>29.0</v>
      </c>
      <c r="E467" s="18">
        <f t="shared" si="1"/>
        <v>24044</v>
      </c>
      <c r="F467" s="9">
        <v>0.0</v>
      </c>
      <c r="G467" s="19">
        <v>42764.12</v>
      </c>
      <c r="H467" s="9" t="s">
        <v>4718</v>
      </c>
      <c r="I467" s="9" t="s">
        <v>4723</v>
      </c>
      <c r="J467" s="9" t="s">
        <v>4719</v>
      </c>
      <c r="K467" s="20">
        <f t="shared" si="2"/>
        <v>1965</v>
      </c>
      <c r="L467" s="9" t="str">
        <f t="shared" si="3"/>
        <v>tier - 1</v>
      </c>
      <c r="M467" s="9" t="str">
        <f t="shared" si="4"/>
        <v>tier - 2</v>
      </c>
      <c r="N467" s="9" t="str">
        <f t="shared" si="5"/>
        <v>R1011</v>
      </c>
      <c r="O467" s="17">
        <f t="shared" si="6"/>
        <v>57</v>
      </c>
      <c r="P467" s="18">
        <v>24044.0</v>
      </c>
    </row>
    <row r="468" ht="15.75" customHeight="1">
      <c r="A468" s="9" t="s">
        <v>1159</v>
      </c>
      <c r="B468" s="17">
        <v>2002.0</v>
      </c>
      <c r="C468" s="9" t="s">
        <v>4730</v>
      </c>
      <c r="D468" s="9">
        <v>28.0</v>
      </c>
      <c r="E468" s="18">
        <f t="shared" si="1"/>
        <v>37435</v>
      </c>
      <c r="F468" s="9">
        <v>1.0</v>
      </c>
      <c r="G468" s="19">
        <v>17085.27</v>
      </c>
      <c r="H468" s="9" t="s">
        <v>4723</v>
      </c>
      <c r="I468" s="9" t="s">
        <v>4717</v>
      </c>
      <c r="J468" s="9" t="s">
        <v>4743</v>
      </c>
      <c r="K468" s="20">
        <f t="shared" si="2"/>
        <v>2002</v>
      </c>
      <c r="L468" s="9" t="str">
        <f t="shared" si="3"/>
        <v>tier - 2</v>
      </c>
      <c r="M468" s="9" t="str">
        <f t="shared" si="4"/>
        <v>tier - 3</v>
      </c>
      <c r="N468" s="9" t="str">
        <f t="shared" si="5"/>
        <v>R1013</v>
      </c>
      <c r="O468" s="17">
        <f t="shared" si="6"/>
        <v>20</v>
      </c>
      <c r="P468" s="18">
        <v>37435.0</v>
      </c>
    </row>
    <row r="469" ht="15.75" customHeight="1">
      <c r="A469" s="9" t="s">
        <v>1157</v>
      </c>
      <c r="B469" s="17">
        <v>1998.0</v>
      </c>
      <c r="C469" s="9" t="s">
        <v>4730</v>
      </c>
      <c r="D469" s="9">
        <v>3.0</v>
      </c>
      <c r="E469" s="18">
        <f t="shared" si="1"/>
        <v>35949</v>
      </c>
      <c r="F469" s="9">
        <v>4.0</v>
      </c>
      <c r="G469" s="19">
        <v>17128.43</v>
      </c>
      <c r="H469" s="9" t="s">
        <v>4723</v>
      </c>
      <c r="I469" s="9" t="s">
        <v>4717</v>
      </c>
      <c r="J469" s="9" t="s">
        <v>4754</v>
      </c>
      <c r="K469" s="20">
        <f t="shared" si="2"/>
        <v>1998</v>
      </c>
      <c r="L469" s="9" t="str">
        <f t="shared" si="3"/>
        <v>tier - 2</v>
      </c>
      <c r="M469" s="9" t="str">
        <f t="shared" si="4"/>
        <v>tier - 3</v>
      </c>
      <c r="N469" s="9" t="str">
        <f t="shared" si="5"/>
        <v>R1016</v>
      </c>
      <c r="O469" s="17">
        <f t="shared" si="6"/>
        <v>25</v>
      </c>
      <c r="P469" s="18">
        <v>35949.0</v>
      </c>
    </row>
    <row r="470" ht="15.75" customHeight="1">
      <c r="A470" s="9" t="s">
        <v>1155</v>
      </c>
      <c r="B470" s="17">
        <v>1965.0</v>
      </c>
      <c r="C470" s="9" t="s">
        <v>4738</v>
      </c>
      <c r="D470" s="9">
        <v>16.0</v>
      </c>
      <c r="E470" s="18">
        <f t="shared" si="1"/>
        <v>24001</v>
      </c>
      <c r="F470" s="9">
        <v>0.0</v>
      </c>
      <c r="G470" s="19">
        <v>17172.27</v>
      </c>
      <c r="H470" s="9" t="s">
        <v>4723</v>
      </c>
      <c r="I470" s="9" t="s">
        <v>4723</v>
      </c>
      <c r="J470" s="9" t="s">
        <v>4721</v>
      </c>
      <c r="K470" s="20">
        <f t="shared" si="2"/>
        <v>1965</v>
      </c>
      <c r="L470" s="9" t="str">
        <f t="shared" si="3"/>
        <v>tier - 2</v>
      </c>
      <c r="M470" s="9" t="str">
        <f t="shared" si="4"/>
        <v>tier - 2</v>
      </c>
      <c r="N470" s="9" t="str">
        <f t="shared" si="5"/>
        <v>R1026</v>
      </c>
      <c r="O470" s="17">
        <f t="shared" si="6"/>
        <v>57</v>
      </c>
      <c r="P470" s="18">
        <v>24001.0</v>
      </c>
    </row>
    <row r="471" ht="15.75" customHeight="1">
      <c r="A471" s="9" t="s">
        <v>1153</v>
      </c>
      <c r="B471" s="17">
        <v>1964.0</v>
      </c>
      <c r="C471" s="9" t="s">
        <v>4730</v>
      </c>
      <c r="D471" s="9">
        <v>7.0</v>
      </c>
      <c r="E471" s="18">
        <f t="shared" si="1"/>
        <v>23535</v>
      </c>
      <c r="F471" s="9">
        <v>0.0</v>
      </c>
      <c r="G471" s="19">
        <v>17174.52</v>
      </c>
      <c r="H471" s="9" t="s">
        <v>4723</v>
      </c>
      <c r="I471" s="9" t="s">
        <v>4723</v>
      </c>
      <c r="J471" s="9" t="s">
        <v>4733</v>
      </c>
      <c r="K471" s="20">
        <f t="shared" si="2"/>
        <v>1964</v>
      </c>
      <c r="L471" s="9" t="str">
        <f t="shared" si="3"/>
        <v>tier - 2</v>
      </c>
      <c r="M471" s="9" t="str">
        <f t="shared" si="4"/>
        <v>tier - 2</v>
      </c>
      <c r="N471" s="9" t="str">
        <f t="shared" si="5"/>
        <v>R1012</v>
      </c>
      <c r="O471" s="17">
        <f t="shared" si="6"/>
        <v>59</v>
      </c>
      <c r="P471" s="18">
        <v>23535.0</v>
      </c>
    </row>
    <row r="472" ht="15.75" customHeight="1">
      <c r="A472" s="9" t="s">
        <v>1151</v>
      </c>
      <c r="B472" s="17">
        <v>2004.0</v>
      </c>
      <c r="C472" s="9" t="s">
        <v>4716</v>
      </c>
      <c r="D472" s="9">
        <v>18.0</v>
      </c>
      <c r="E472" s="18">
        <f t="shared" si="1"/>
        <v>38217</v>
      </c>
      <c r="F472" s="9">
        <v>1.0</v>
      </c>
      <c r="G472" s="19">
        <v>17178.68</v>
      </c>
      <c r="H472" s="9" t="s">
        <v>4723</v>
      </c>
      <c r="I472" s="9" t="s">
        <v>4723</v>
      </c>
      <c r="J472" s="9" t="s">
        <v>4728</v>
      </c>
      <c r="K472" s="20">
        <f t="shared" si="2"/>
        <v>2004</v>
      </c>
      <c r="L472" s="9" t="str">
        <f t="shared" si="3"/>
        <v>tier - 2</v>
      </c>
      <c r="M472" s="9" t="str">
        <f t="shared" si="4"/>
        <v>tier - 2</v>
      </c>
      <c r="N472" s="9" t="str">
        <f t="shared" si="5"/>
        <v>R1019</v>
      </c>
      <c r="O472" s="17">
        <f t="shared" si="6"/>
        <v>18</v>
      </c>
      <c r="P472" s="18">
        <v>38217.0</v>
      </c>
    </row>
    <row r="473" ht="15.75" customHeight="1">
      <c r="A473" s="9" t="s">
        <v>1149</v>
      </c>
      <c r="B473" s="17">
        <v>1982.0</v>
      </c>
      <c r="C473" s="9" t="s">
        <v>4720</v>
      </c>
      <c r="D473" s="9">
        <v>22.0</v>
      </c>
      <c r="E473" s="18">
        <f t="shared" si="1"/>
        <v>30246</v>
      </c>
      <c r="F473" s="9">
        <v>1.0</v>
      </c>
      <c r="G473" s="19">
        <v>17179.52</v>
      </c>
      <c r="H473" s="9" t="s">
        <v>4723</v>
      </c>
      <c r="I473" s="9" t="s">
        <v>4718</v>
      </c>
      <c r="J473" s="9" t="s">
        <v>4743</v>
      </c>
      <c r="K473" s="20">
        <f t="shared" si="2"/>
        <v>1982</v>
      </c>
      <c r="L473" s="9" t="str">
        <f t="shared" si="3"/>
        <v>tier - 2</v>
      </c>
      <c r="M473" s="9" t="str">
        <f t="shared" si="4"/>
        <v>tier - 1</v>
      </c>
      <c r="N473" s="9" t="str">
        <f t="shared" si="5"/>
        <v>R1013</v>
      </c>
      <c r="O473" s="17">
        <f t="shared" si="6"/>
        <v>40</v>
      </c>
      <c r="P473" s="18">
        <v>30246.0</v>
      </c>
    </row>
    <row r="474" ht="15.75" customHeight="1">
      <c r="A474" s="9" t="s">
        <v>1147</v>
      </c>
      <c r="B474" s="17">
        <v>1975.0</v>
      </c>
      <c r="C474" s="9" t="s">
        <v>4716</v>
      </c>
      <c r="D474" s="9">
        <v>25.0</v>
      </c>
      <c r="E474" s="18">
        <f t="shared" si="1"/>
        <v>27631</v>
      </c>
      <c r="F474" s="9">
        <v>1.0</v>
      </c>
      <c r="G474" s="19">
        <v>17253.43</v>
      </c>
      <c r="H474" s="9" t="s">
        <v>4723</v>
      </c>
      <c r="I474" s="9" t="s">
        <v>4717</v>
      </c>
      <c r="J474" s="9" t="s">
        <v>4721</v>
      </c>
      <c r="K474" s="20">
        <f t="shared" si="2"/>
        <v>1975</v>
      </c>
      <c r="L474" s="9" t="str">
        <f t="shared" si="3"/>
        <v>tier - 2</v>
      </c>
      <c r="M474" s="9" t="str">
        <f t="shared" si="4"/>
        <v>tier - 3</v>
      </c>
      <c r="N474" s="9" t="str">
        <f t="shared" si="5"/>
        <v>R1026</v>
      </c>
      <c r="O474" s="17">
        <f t="shared" si="6"/>
        <v>47</v>
      </c>
      <c r="P474" s="18">
        <v>27631.0</v>
      </c>
    </row>
    <row r="475" ht="15.75" customHeight="1">
      <c r="A475" s="9" t="s">
        <v>1145</v>
      </c>
      <c r="B475" s="17">
        <v>1963.0</v>
      </c>
      <c r="C475" s="9" t="s">
        <v>4741</v>
      </c>
      <c r="D475" s="9">
        <v>12.0</v>
      </c>
      <c r="E475" s="18">
        <f t="shared" si="1"/>
        <v>23204</v>
      </c>
      <c r="F475" s="9">
        <v>0.0</v>
      </c>
      <c r="G475" s="19">
        <v>17337.58</v>
      </c>
      <c r="H475" s="9" t="s">
        <v>4723</v>
      </c>
      <c r="I475" s="9" t="s">
        <v>4717</v>
      </c>
      <c r="J475" s="9" t="s">
        <v>4756</v>
      </c>
      <c r="K475" s="20">
        <f t="shared" si="2"/>
        <v>1963</v>
      </c>
      <c r="L475" s="9" t="str">
        <f t="shared" si="3"/>
        <v>tier - 2</v>
      </c>
      <c r="M475" s="9" t="str">
        <f t="shared" si="4"/>
        <v>tier - 3</v>
      </c>
      <c r="N475" s="9" t="str">
        <f t="shared" si="5"/>
        <v>R1023</v>
      </c>
      <c r="O475" s="17">
        <f t="shared" si="6"/>
        <v>59</v>
      </c>
      <c r="P475" s="18">
        <v>23204.0</v>
      </c>
    </row>
    <row r="476" ht="15.75" customHeight="1">
      <c r="A476" s="9" t="s">
        <v>1143</v>
      </c>
      <c r="B476" s="17">
        <v>2003.0</v>
      </c>
      <c r="C476" s="9" t="s">
        <v>4735</v>
      </c>
      <c r="D476" s="9">
        <v>1.0</v>
      </c>
      <c r="E476" s="18">
        <f t="shared" si="1"/>
        <v>37926</v>
      </c>
      <c r="F476" s="9">
        <v>0.0</v>
      </c>
      <c r="G476" s="19">
        <v>17352.68</v>
      </c>
      <c r="H476" s="9" t="s">
        <v>4723</v>
      </c>
      <c r="I476" s="9" t="s">
        <v>4717</v>
      </c>
      <c r="J476" s="9" t="s">
        <v>4733</v>
      </c>
      <c r="K476" s="20">
        <f t="shared" si="2"/>
        <v>2003</v>
      </c>
      <c r="L476" s="9" t="str">
        <f t="shared" si="3"/>
        <v>tier - 2</v>
      </c>
      <c r="M476" s="9" t="str">
        <f t="shared" si="4"/>
        <v>tier - 3</v>
      </c>
      <c r="N476" s="9" t="str">
        <f t="shared" si="5"/>
        <v>R1012</v>
      </c>
      <c r="O476" s="17">
        <f t="shared" si="6"/>
        <v>19</v>
      </c>
      <c r="P476" s="18">
        <v>37926.0</v>
      </c>
    </row>
    <row r="477" ht="15.75" customHeight="1">
      <c r="A477" s="9" t="s">
        <v>1141</v>
      </c>
      <c r="B477" s="17">
        <v>1992.0</v>
      </c>
      <c r="C477" s="9" t="s">
        <v>4720</v>
      </c>
      <c r="D477" s="9">
        <v>18.0</v>
      </c>
      <c r="E477" s="18">
        <f t="shared" si="1"/>
        <v>33895</v>
      </c>
      <c r="F477" s="9">
        <v>2.0</v>
      </c>
      <c r="G477" s="19">
        <v>17361.77</v>
      </c>
      <c r="H477" s="9" t="s">
        <v>4723</v>
      </c>
      <c r="I477" s="9" t="s">
        <v>4718</v>
      </c>
      <c r="J477" s="9" t="s">
        <v>4733</v>
      </c>
      <c r="K477" s="20">
        <f t="shared" si="2"/>
        <v>1992</v>
      </c>
      <c r="L477" s="9" t="str">
        <f t="shared" si="3"/>
        <v>tier - 2</v>
      </c>
      <c r="M477" s="9" t="str">
        <f t="shared" si="4"/>
        <v>tier - 1</v>
      </c>
      <c r="N477" s="9" t="str">
        <f t="shared" si="5"/>
        <v>R1012</v>
      </c>
      <c r="O477" s="17">
        <f t="shared" si="6"/>
        <v>30</v>
      </c>
      <c r="P477" s="18">
        <v>33895.0</v>
      </c>
    </row>
    <row r="478" ht="15.75" customHeight="1">
      <c r="A478" s="9" t="s">
        <v>115</v>
      </c>
      <c r="B478" s="17">
        <v>1972.0</v>
      </c>
      <c r="C478" s="9" t="s">
        <v>4738</v>
      </c>
      <c r="D478" s="9">
        <v>10.0</v>
      </c>
      <c r="E478" s="18">
        <f t="shared" si="1"/>
        <v>26552</v>
      </c>
      <c r="F478" s="9">
        <v>2.0</v>
      </c>
      <c r="G478" s="19">
        <v>42856.84</v>
      </c>
      <c r="H478" s="9" t="s">
        <v>4718</v>
      </c>
      <c r="I478" s="9" t="s">
        <v>4718</v>
      </c>
      <c r="J478" s="9" t="s">
        <v>4719</v>
      </c>
      <c r="K478" s="20">
        <f t="shared" si="2"/>
        <v>1972</v>
      </c>
      <c r="L478" s="9" t="str">
        <f t="shared" si="3"/>
        <v>tier - 1</v>
      </c>
      <c r="M478" s="9" t="str">
        <f t="shared" si="4"/>
        <v>tier - 1</v>
      </c>
      <c r="N478" s="9" t="str">
        <f t="shared" si="5"/>
        <v>R1011</v>
      </c>
      <c r="O478" s="17">
        <f t="shared" si="6"/>
        <v>50</v>
      </c>
      <c r="P478" s="18">
        <v>26552.0</v>
      </c>
    </row>
    <row r="479" ht="15.75" customHeight="1">
      <c r="A479" s="9" t="s">
        <v>1139</v>
      </c>
      <c r="B479" s="17">
        <v>2003.0</v>
      </c>
      <c r="C479" s="9" t="s">
        <v>4735</v>
      </c>
      <c r="D479" s="9">
        <v>2.0</v>
      </c>
      <c r="E479" s="18">
        <f t="shared" si="1"/>
        <v>37927</v>
      </c>
      <c r="F479" s="9">
        <v>0.0</v>
      </c>
      <c r="G479" s="19">
        <v>17468.98</v>
      </c>
      <c r="H479" s="9" t="s">
        <v>4723</v>
      </c>
      <c r="I479" s="9" t="s">
        <v>4718</v>
      </c>
      <c r="J479" s="9" t="s">
        <v>4733</v>
      </c>
      <c r="K479" s="20">
        <f t="shared" si="2"/>
        <v>2003</v>
      </c>
      <c r="L479" s="9" t="str">
        <f t="shared" si="3"/>
        <v>tier - 2</v>
      </c>
      <c r="M479" s="9" t="str">
        <f t="shared" si="4"/>
        <v>tier - 1</v>
      </c>
      <c r="N479" s="9" t="str">
        <f t="shared" si="5"/>
        <v>R1012</v>
      </c>
      <c r="O479" s="17">
        <f t="shared" si="6"/>
        <v>19</v>
      </c>
      <c r="P479" s="18">
        <v>37927.0</v>
      </c>
    </row>
    <row r="480" ht="15.75" customHeight="1">
      <c r="A480" s="9" t="s">
        <v>1137</v>
      </c>
      <c r="B480" s="17">
        <v>1971.0</v>
      </c>
      <c r="C480" s="9" t="s">
        <v>4730</v>
      </c>
      <c r="D480" s="9">
        <v>8.0</v>
      </c>
      <c r="E480" s="18">
        <f t="shared" si="1"/>
        <v>26092</v>
      </c>
      <c r="F480" s="9">
        <v>0.0</v>
      </c>
      <c r="G480" s="19">
        <v>17479.53</v>
      </c>
      <c r="H480" s="9" t="s">
        <v>4718</v>
      </c>
      <c r="I480" s="9" t="s">
        <v>4718</v>
      </c>
      <c r="J480" s="9" t="s">
        <v>4733</v>
      </c>
      <c r="K480" s="20">
        <f t="shared" si="2"/>
        <v>1971</v>
      </c>
      <c r="L480" s="9" t="str">
        <f t="shared" si="3"/>
        <v>tier - 1</v>
      </c>
      <c r="M480" s="9" t="str">
        <f t="shared" si="4"/>
        <v>tier - 1</v>
      </c>
      <c r="N480" s="9" t="str">
        <f t="shared" si="5"/>
        <v>R1012</v>
      </c>
      <c r="O480" s="17">
        <f t="shared" si="6"/>
        <v>52</v>
      </c>
      <c r="P480" s="18">
        <v>26092.0</v>
      </c>
    </row>
    <row r="481" ht="15.75" customHeight="1">
      <c r="A481" s="9" t="s">
        <v>1135</v>
      </c>
      <c r="B481" s="17">
        <v>1990.0</v>
      </c>
      <c r="C481" s="9" t="s">
        <v>4725</v>
      </c>
      <c r="D481" s="9">
        <v>29.0</v>
      </c>
      <c r="E481" s="18">
        <f t="shared" si="1"/>
        <v>33236</v>
      </c>
      <c r="F481" s="9">
        <v>0.0</v>
      </c>
      <c r="G481" s="19">
        <v>17496.31</v>
      </c>
      <c r="H481" s="9" t="s">
        <v>4718</v>
      </c>
      <c r="I481" s="9" t="s">
        <v>4723</v>
      </c>
      <c r="J481" s="9" t="s">
        <v>4719</v>
      </c>
      <c r="K481" s="20">
        <f t="shared" si="2"/>
        <v>1990</v>
      </c>
      <c r="L481" s="9" t="str">
        <f t="shared" si="3"/>
        <v>tier - 1</v>
      </c>
      <c r="M481" s="9" t="str">
        <f t="shared" si="4"/>
        <v>tier - 2</v>
      </c>
      <c r="N481" s="9" t="str">
        <f t="shared" si="5"/>
        <v>R1011</v>
      </c>
      <c r="O481" s="17">
        <f t="shared" si="6"/>
        <v>32</v>
      </c>
      <c r="P481" s="18">
        <v>33236.0</v>
      </c>
    </row>
    <row r="482" ht="15.75" customHeight="1">
      <c r="A482" s="9" t="s">
        <v>1133</v>
      </c>
      <c r="B482" s="17">
        <v>1965.0</v>
      </c>
      <c r="C482" s="9" t="s">
        <v>4730</v>
      </c>
      <c r="D482" s="9">
        <v>16.0</v>
      </c>
      <c r="E482" s="18">
        <f t="shared" si="1"/>
        <v>23909</v>
      </c>
      <c r="F482" s="9">
        <v>0.0</v>
      </c>
      <c r="G482" s="19">
        <v>17505.65</v>
      </c>
      <c r="H482" s="9" t="s">
        <v>4718</v>
      </c>
      <c r="I482" s="9" t="s">
        <v>4723</v>
      </c>
      <c r="J482" s="9" t="s">
        <v>4756</v>
      </c>
      <c r="K482" s="20">
        <f t="shared" si="2"/>
        <v>1965</v>
      </c>
      <c r="L482" s="9" t="str">
        <f t="shared" si="3"/>
        <v>tier - 1</v>
      </c>
      <c r="M482" s="9" t="str">
        <f t="shared" si="4"/>
        <v>tier - 2</v>
      </c>
      <c r="N482" s="9" t="str">
        <f t="shared" si="5"/>
        <v>R1023</v>
      </c>
      <c r="O482" s="17">
        <f t="shared" si="6"/>
        <v>57</v>
      </c>
      <c r="P482" s="18">
        <v>23909.0</v>
      </c>
    </row>
    <row r="483" ht="15.75" customHeight="1">
      <c r="A483" s="9" t="s">
        <v>1131</v>
      </c>
      <c r="B483" s="17">
        <v>1968.0</v>
      </c>
      <c r="C483" s="9" t="s">
        <v>4741</v>
      </c>
      <c r="D483" s="9">
        <v>12.0</v>
      </c>
      <c r="E483" s="18">
        <f t="shared" si="1"/>
        <v>25031</v>
      </c>
      <c r="F483" s="9">
        <v>0.0</v>
      </c>
      <c r="G483" s="19">
        <v>17507.47</v>
      </c>
      <c r="H483" s="9" t="s">
        <v>4718</v>
      </c>
      <c r="I483" s="9" t="s">
        <v>4718</v>
      </c>
      <c r="J483" s="9" t="s">
        <v>4721</v>
      </c>
      <c r="K483" s="20">
        <f t="shared" si="2"/>
        <v>1968</v>
      </c>
      <c r="L483" s="9" t="str">
        <f t="shared" si="3"/>
        <v>tier - 1</v>
      </c>
      <c r="M483" s="9" t="str">
        <f t="shared" si="4"/>
        <v>tier - 1</v>
      </c>
      <c r="N483" s="9" t="str">
        <f t="shared" si="5"/>
        <v>R1026</v>
      </c>
      <c r="O483" s="17">
        <f t="shared" si="6"/>
        <v>54</v>
      </c>
      <c r="P483" s="18">
        <v>25031.0</v>
      </c>
    </row>
    <row r="484" ht="15.75" customHeight="1">
      <c r="A484" s="9" t="s">
        <v>1129</v>
      </c>
      <c r="B484" s="17">
        <v>1963.0</v>
      </c>
      <c r="C484" s="9" t="s">
        <v>4735</v>
      </c>
      <c r="D484" s="9">
        <v>16.0</v>
      </c>
      <c r="E484" s="18">
        <f t="shared" si="1"/>
        <v>23331</v>
      </c>
      <c r="F484" s="9">
        <v>0.0</v>
      </c>
      <c r="G484" s="19">
        <v>17556.88</v>
      </c>
      <c r="H484" s="9" t="s">
        <v>4718</v>
      </c>
      <c r="I484" s="9" t="s">
        <v>4723</v>
      </c>
      <c r="J484" s="9" t="s">
        <v>4733</v>
      </c>
      <c r="K484" s="20">
        <f t="shared" si="2"/>
        <v>1963</v>
      </c>
      <c r="L484" s="9" t="str">
        <f t="shared" si="3"/>
        <v>tier - 1</v>
      </c>
      <c r="M484" s="9" t="str">
        <f t="shared" si="4"/>
        <v>tier - 2</v>
      </c>
      <c r="N484" s="9" t="str">
        <f t="shared" si="5"/>
        <v>R1012</v>
      </c>
      <c r="O484" s="17">
        <f t="shared" si="6"/>
        <v>59</v>
      </c>
      <c r="P484" s="18">
        <v>23331.0</v>
      </c>
    </row>
    <row r="485" ht="15.75" customHeight="1">
      <c r="A485" s="9" t="s">
        <v>1127</v>
      </c>
      <c r="B485" s="17">
        <v>2002.0</v>
      </c>
      <c r="C485" s="9" t="s">
        <v>4716</v>
      </c>
      <c r="D485" s="9">
        <v>25.0</v>
      </c>
      <c r="E485" s="18">
        <f t="shared" si="1"/>
        <v>37493</v>
      </c>
      <c r="F485" s="9">
        <v>1.0</v>
      </c>
      <c r="G485" s="19">
        <v>17560.38</v>
      </c>
      <c r="H485" s="9" t="s">
        <v>4718</v>
      </c>
      <c r="I485" s="9" t="s">
        <v>4718</v>
      </c>
      <c r="J485" s="9" t="s">
        <v>4733</v>
      </c>
      <c r="K485" s="20">
        <f t="shared" si="2"/>
        <v>2002</v>
      </c>
      <c r="L485" s="9" t="str">
        <f t="shared" si="3"/>
        <v>tier - 1</v>
      </c>
      <c r="M485" s="9" t="str">
        <f t="shared" si="4"/>
        <v>tier - 1</v>
      </c>
      <c r="N485" s="9" t="str">
        <f t="shared" si="5"/>
        <v>R1012</v>
      </c>
      <c r="O485" s="17">
        <f t="shared" si="6"/>
        <v>20</v>
      </c>
      <c r="P485" s="18">
        <v>37493.0</v>
      </c>
    </row>
    <row r="486" ht="15.75" customHeight="1">
      <c r="A486" s="9" t="s">
        <v>1125</v>
      </c>
      <c r="B486" s="17">
        <v>1970.0</v>
      </c>
      <c r="C486" s="9" t="s">
        <v>4741</v>
      </c>
      <c r="D486" s="9">
        <v>26.0</v>
      </c>
      <c r="E486" s="18">
        <f t="shared" si="1"/>
        <v>25775</v>
      </c>
      <c r="F486" s="9">
        <v>0.0</v>
      </c>
      <c r="G486" s="19">
        <v>17584.72</v>
      </c>
      <c r="H486" s="9" t="s">
        <v>4718</v>
      </c>
      <c r="I486" s="9" t="s">
        <v>4717</v>
      </c>
      <c r="J486" s="9" t="s">
        <v>4733</v>
      </c>
      <c r="K486" s="20">
        <f t="shared" si="2"/>
        <v>1970</v>
      </c>
      <c r="L486" s="9" t="str">
        <f t="shared" si="3"/>
        <v>tier - 1</v>
      </c>
      <c r="M486" s="9" t="str">
        <f t="shared" si="4"/>
        <v>tier - 3</v>
      </c>
      <c r="N486" s="9" t="str">
        <f t="shared" si="5"/>
        <v>R1012</v>
      </c>
      <c r="O486" s="17">
        <f t="shared" si="6"/>
        <v>52</v>
      </c>
      <c r="P486" s="18">
        <v>25775.0</v>
      </c>
    </row>
    <row r="487" ht="15.75" customHeight="1">
      <c r="A487" s="9" t="s">
        <v>1123</v>
      </c>
      <c r="B487" s="17">
        <v>1990.0</v>
      </c>
      <c r="C487" s="9" t="s">
        <v>4720</v>
      </c>
      <c r="D487" s="9">
        <v>25.0</v>
      </c>
      <c r="E487" s="18">
        <f t="shared" si="1"/>
        <v>33171</v>
      </c>
      <c r="F487" s="9">
        <v>1.0</v>
      </c>
      <c r="G487" s="19">
        <v>17626.24</v>
      </c>
      <c r="H487" s="9" t="s">
        <v>4718</v>
      </c>
      <c r="I487" s="9" t="s">
        <v>4717</v>
      </c>
      <c r="J487" s="9" t="s">
        <v>4743</v>
      </c>
      <c r="K487" s="20">
        <f t="shared" si="2"/>
        <v>1990</v>
      </c>
      <c r="L487" s="9" t="str">
        <f t="shared" si="3"/>
        <v>tier - 1</v>
      </c>
      <c r="M487" s="9" t="str">
        <f t="shared" si="4"/>
        <v>tier - 3</v>
      </c>
      <c r="N487" s="9" t="str">
        <f t="shared" si="5"/>
        <v>R1013</v>
      </c>
      <c r="O487" s="17">
        <f t="shared" si="6"/>
        <v>32</v>
      </c>
      <c r="P487" s="18">
        <v>33171.0</v>
      </c>
    </row>
    <row r="488" ht="15.75" customHeight="1">
      <c r="A488" s="9" t="s">
        <v>1121</v>
      </c>
      <c r="B488" s="17">
        <v>1994.0</v>
      </c>
      <c r="C488" s="9" t="s">
        <v>4741</v>
      </c>
      <c r="D488" s="9">
        <v>1.0</v>
      </c>
      <c r="E488" s="18">
        <f t="shared" si="1"/>
        <v>34516</v>
      </c>
      <c r="F488" s="9">
        <v>3.0</v>
      </c>
      <c r="G488" s="19">
        <v>17663.14</v>
      </c>
      <c r="H488" s="9" t="s">
        <v>4718</v>
      </c>
      <c r="I488" s="9" t="s">
        <v>4717</v>
      </c>
      <c r="J488" s="9" t="s">
        <v>4743</v>
      </c>
      <c r="K488" s="20">
        <f t="shared" si="2"/>
        <v>1994</v>
      </c>
      <c r="L488" s="9" t="str">
        <f t="shared" si="3"/>
        <v>tier - 1</v>
      </c>
      <c r="M488" s="9" t="str">
        <f t="shared" si="4"/>
        <v>tier - 3</v>
      </c>
      <c r="N488" s="9" t="str">
        <f t="shared" si="5"/>
        <v>R1013</v>
      </c>
      <c r="O488" s="17">
        <f t="shared" si="6"/>
        <v>28</v>
      </c>
      <c r="P488" s="18">
        <v>34516.0</v>
      </c>
    </row>
    <row r="489" ht="15.75" customHeight="1">
      <c r="A489" s="9" t="s">
        <v>113</v>
      </c>
      <c r="B489" s="17">
        <v>1975.0</v>
      </c>
      <c r="C489" s="9" t="s">
        <v>4720</v>
      </c>
      <c r="D489" s="9">
        <v>23.0</v>
      </c>
      <c r="E489" s="18">
        <f t="shared" si="1"/>
        <v>27690</v>
      </c>
      <c r="F489" s="9">
        <v>1.0</v>
      </c>
      <c r="G489" s="19">
        <v>42969.85</v>
      </c>
      <c r="H489" s="9" t="s">
        <v>4718</v>
      </c>
      <c r="I489" s="9" t="s">
        <v>4717</v>
      </c>
      <c r="J489" s="9" t="s">
        <v>4743</v>
      </c>
      <c r="K489" s="20">
        <f t="shared" si="2"/>
        <v>1975</v>
      </c>
      <c r="L489" s="9" t="str">
        <f t="shared" si="3"/>
        <v>tier - 1</v>
      </c>
      <c r="M489" s="9" t="str">
        <f t="shared" si="4"/>
        <v>tier - 3</v>
      </c>
      <c r="N489" s="9" t="str">
        <f t="shared" si="5"/>
        <v>R1013</v>
      </c>
      <c r="O489" s="17">
        <f t="shared" si="6"/>
        <v>47</v>
      </c>
      <c r="P489" s="18">
        <v>27690.0</v>
      </c>
    </row>
    <row r="490" ht="15.75" customHeight="1">
      <c r="A490" s="9" t="s">
        <v>1119</v>
      </c>
      <c r="B490" s="17">
        <v>2003.0</v>
      </c>
      <c r="C490" s="9" t="s">
        <v>4741</v>
      </c>
      <c r="D490" s="9">
        <v>14.0</v>
      </c>
      <c r="E490" s="18">
        <f t="shared" si="1"/>
        <v>37816</v>
      </c>
      <c r="F490" s="9">
        <v>0.0</v>
      </c>
      <c r="G490" s="19">
        <v>17748.51</v>
      </c>
      <c r="H490" s="9" t="s">
        <v>4718</v>
      </c>
      <c r="I490" s="9" t="s">
        <v>4718</v>
      </c>
      <c r="J490" s="9" t="s">
        <v>4733</v>
      </c>
      <c r="K490" s="20">
        <f t="shared" si="2"/>
        <v>2003</v>
      </c>
      <c r="L490" s="9" t="str">
        <f t="shared" si="3"/>
        <v>tier - 1</v>
      </c>
      <c r="M490" s="9" t="str">
        <f t="shared" si="4"/>
        <v>tier - 1</v>
      </c>
      <c r="N490" s="9" t="str">
        <f t="shared" si="5"/>
        <v>R1012</v>
      </c>
      <c r="O490" s="17">
        <f t="shared" si="6"/>
        <v>19</v>
      </c>
      <c r="P490" s="18">
        <v>37816.0</v>
      </c>
    </row>
    <row r="491" ht="15.75" customHeight="1">
      <c r="A491" s="9" t="s">
        <v>1117</v>
      </c>
      <c r="B491" s="17">
        <v>1966.0</v>
      </c>
      <c r="C491" s="9" t="s">
        <v>4730</v>
      </c>
      <c r="D491" s="9">
        <v>21.0</v>
      </c>
      <c r="E491" s="18">
        <f t="shared" si="1"/>
        <v>24279</v>
      </c>
      <c r="F491" s="9">
        <v>0.0</v>
      </c>
      <c r="G491" s="19">
        <v>17777.73</v>
      </c>
      <c r="H491" s="9" t="s">
        <v>4718</v>
      </c>
      <c r="I491" s="9" t="s">
        <v>4717</v>
      </c>
      <c r="J491" s="9" t="s">
        <v>4733</v>
      </c>
      <c r="K491" s="20">
        <f t="shared" si="2"/>
        <v>1966</v>
      </c>
      <c r="L491" s="9" t="str">
        <f t="shared" si="3"/>
        <v>tier - 1</v>
      </c>
      <c r="M491" s="9" t="str">
        <f t="shared" si="4"/>
        <v>tier - 3</v>
      </c>
      <c r="N491" s="9" t="str">
        <f t="shared" si="5"/>
        <v>R1012</v>
      </c>
      <c r="O491" s="17">
        <f t="shared" si="6"/>
        <v>56</v>
      </c>
      <c r="P491" s="18">
        <v>24279.0</v>
      </c>
    </row>
    <row r="492" ht="15.75" customHeight="1">
      <c r="A492" s="9" t="s">
        <v>1115</v>
      </c>
      <c r="B492" s="17">
        <v>1979.0</v>
      </c>
      <c r="C492" s="9" t="s">
        <v>4720</v>
      </c>
      <c r="D492" s="9">
        <v>10.0</v>
      </c>
      <c r="E492" s="18">
        <f t="shared" si="1"/>
        <v>29138</v>
      </c>
      <c r="F492" s="9">
        <v>2.0</v>
      </c>
      <c r="G492" s="19">
        <v>17779.94</v>
      </c>
      <c r="H492" s="9" t="s">
        <v>4718</v>
      </c>
      <c r="I492" s="9" t="s">
        <v>4723</v>
      </c>
      <c r="J492" s="9" t="s">
        <v>4733</v>
      </c>
      <c r="K492" s="20">
        <f t="shared" si="2"/>
        <v>1979</v>
      </c>
      <c r="L492" s="9" t="str">
        <f t="shared" si="3"/>
        <v>tier - 1</v>
      </c>
      <c r="M492" s="9" t="str">
        <f t="shared" si="4"/>
        <v>tier - 2</v>
      </c>
      <c r="N492" s="9" t="str">
        <f t="shared" si="5"/>
        <v>R1012</v>
      </c>
      <c r="O492" s="17">
        <f t="shared" si="6"/>
        <v>43</v>
      </c>
      <c r="P492" s="18">
        <v>29138.0</v>
      </c>
    </row>
    <row r="493" ht="15.75" customHeight="1">
      <c r="A493" s="9" t="s">
        <v>1113</v>
      </c>
      <c r="B493" s="17">
        <v>1963.0</v>
      </c>
      <c r="C493" s="9" t="s">
        <v>4725</v>
      </c>
      <c r="D493" s="9">
        <v>8.0</v>
      </c>
      <c r="E493" s="18">
        <f t="shared" si="1"/>
        <v>23353</v>
      </c>
      <c r="F493" s="9">
        <v>0.0</v>
      </c>
      <c r="G493" s="19">
        <v>17832.6</v>
      </c>
      <c r="H493" s="9" t="s">
        <v>4718</v>
      </c>
      <c r="I493" s="9" t="s">
        <v>4723</v>
      </c>
      <c r="J493" s="9" t="s">
        <v>4733</v>
      </c>
      <c r="K493" s="20">
        <f t="shared" si="2"/>
        <v>1963</v>
      </c>
      <c r="L493" s="9" t="str">
        <f t="shared" si="3"/>
        <v>tier - 1</v>
      </c>
      <c r="M493" s="9" t="str">
        <f t="shared" si="4"/>
        <v>tier - 2</v>
      </c>
      <c r="N493" s="9" t="str">
        <f t="shared" si="5"/>
        <v>R1012</v>
      </c>
      <c r="O493" s="17">
        <f t="shared" si="6"/>
        <v>59</v>
      </c>
      <c r="P493" s="18">
        <v>23353.0</v>
      </c>
    </row>
    <row r="494" ht="15.75" customHeight="1">
      <c r="A494" s="9" t="s">
        <v>1111</v>
      </c>
      <c r="B494" s="17">
        <v>1976.0</v>
      </c>
      <c r="C494" s="9" t="s">
        <v>4725</v>
      </c>
      <c r="D494" s="9">
        <v>12.0</v>
      </c>
      <c r="E494" s="18">
        <f t="shared" si="1"/>
        <v>28106</v>
      </c>
      <c r="F494" s="9">
        <v>2.0</v>
      </c>
      <c r="G494" s="19">
        <v>17862.92</v>
      </c>
      <c r="H494" s="9" t="s">
        <v>4718</v>
      </c>
      <c r="I494" s="9" t="s">
        <v>4723</v>
      </c>
      <c r="J494" s="9" t="s">
        <v>4733</v>
      </c>
      <c r="K494" s="20">
        <f t="shared" si="2"/>
        <v>1976</v>
      </c>
      <c r="L494" s="9" t="str">
        <f t="shared" si="3"/>
        <v>tier - 1</v>
      </c>
      <c r="M494" s="9" t="str">
        <f t="shared" si="4"/>
        <v>tier - 2</v>
      </c>
      <c r="N494" s="9" t="str">
        <f t="shared" si="5"/>
        <v>R1012</v>
      </c>
      <c r="O494" s="17">
        <f t="shared" si="6"/>
        <v>46</v>
      </c>
      <c r="P494" s="18">
        <v>28106.0</v>
      </c>
    </row>
    <row r="495" ht="15.75" customHeight="1">
      <c r="A495" s="9" t="s">
        <v>1109</v>
      </c>
      <c r="B495" s="17">
        <v>1997.0</v>
      </c>
      <c r="C495" s="9" t="s">
        <v>4716</v>
      </c>
      <c r="D495" s="9">
        <v>26.0</v>
      </c>
      <c r="E495" s="18">
        <f t="shared" si="1"/>
        <v>35668</v>
      </c>
      <c r="F495" s="9">
        <v>0.0</v>
      </c>
      <c r="G495" s="19">
        <v>17878.9</v>
      </c>
      <c r="H495" s="9" t="s">
        <v>4718</v>
      </c>
      <c r="I495" s="9" t="s">
        <v>4723</v>
      </c>
      <c r="J495" s="9" t="s">
        <v>4731</v>
      </c>
      <c r="K495" s="20">
        <f t="shared" si="2"/>
        <v>1997</v>
      </c>
      <c r="L495" s="9" t="str">
        <f t="shared" si="3"/>
        <v>tier - 1</v>
      </c>
      <c r="M495" s="9" t="str">
        <f t="shared" si="4"/>
        <v>tier - 2</v>
      </c>
      <c r="N495" s="9" t="str">
        <f t="shared" si="5"/>
        <v>R1024</v>
      </c>
      <c r="O495" s="17">
        <f t="shared" si="6"/>
        <v>25</v>
      </c>
      <c r="P495" s="18">
        <v>35668.0</v>
      </c>
    </row>
    <row r="496" ht="15.75" customHeight="1">
      <c r="A496" s="9" t="s">
        <v>1107</v>
      </c>
      <c r="B496" s="17">
        <v>1979.0</v>
      </c>
      <c r="C496" s="9" t="s">
        <v>4735</v>
      </c>
      <c r="D496" s="9">
        <v>12.0</v>
      </c>
      <c r="E496" s="18">
        <f t="shared" si="1"/>
        <v>29171</v>
      </c>
      <c r="F496" s="9">
        <v>2.0</v>
      </c>
      <c r="G496" s="19">
        <v>17882.67</v>
      </c>
      <c r="H496" s="9" t="s">
        <v>4718</v>
      </c>
      <c r="I496" s="9" t="s">
        <v>4717</v>
      </c>
      <c r="J496" s="9" t="s">
        <v>4733</v>
      </c>
      <c r="K496" s="20">
        <f t="shared" si="2"/>
        <v>1979</v>
      </c>
      <c r="L496" s="9" t="str">
        <f t="shared" si="3"/>
        <v>tier - 1</v>
      </c>
      <c r="M496" s="9" t="str">
        <f t="shared" si="4"/>
        <v>tier - 3</v>
      </c>
      <c r="N496" s="9" t="str">
        <f t="shared" si="5"/>
        <v>R1012</v>
      </c>
      <c r="O496" s="17">
        <f t="shared" si="6"/>
        <v>43</v>
      </c>
      <c r="P496" s="18">
        <v>29171.0</v>
      </c>
    </row>
    <row r="497" ht="15.75" customHeight="1">
      <c r="A497" s="9" t="s">
        <v>1105</v>
      </c>
      <c r="B497" s="17">
        <v>1989.0</v>
      </c>
      <c r="C497" s="9" t="s">
        <v>4725</v>
      </c>
      <c r="D497" s="9">
        <v>4.0</v>
      </c>
      <c r="E497" s="18">
        <f t="shared" si="1"/>
        <v>32846</v>
      </c>
      <c r="F497" s="9">
        <v>0.0</v>
      </c>
      <c r="G497" s="19">
        <v>17904.53</v>
      </c>
      <c r="H497" s="9" t="s">
        <v>4718</v>
      </c>
      <c r="I497" s="9" t="s">
        <v>4723</v>
      </c>
      <c r="J497" s="9" t="s">
        <v>4753</v>
      </c>
      <c r="K497" s="20">
        <f t="shared" si="2"/>
        <v>1989</v>
      </c>
      <c r="L497" s="9" t="str">
        <f t="shared" si="3"/>
        <v>tier - 1</v>
      </c>
      <c r="M497" s="9" t="str">
        <f t="shared" si="4"/>
        <v>tier - 2</v>
      </c>
      <c r="N497" s="9" t="str">
        <f t="shared" si="5"/>
        <v>R1017</v>
      </c>
      <c r="O497" s="17">
        <f t="shared" si="6"/>
        <v>33</v>
      </c>
      <c r="P497" s="18">
        <v>32846.0</v>
      </c>
    </row>
    <row r="498" ht="15.75" customHeight="1">
      <c r="A498" s="9" t="s">
        <v>1103</v>
      </c>
      <c r="B498" s="17">
        <v>1977.0</v>
      </c>
      <c r="C498" s="9" t="s">
        <v>4720</v>
      </c>
      <c r="D498" s="9">
        <v>17.0</v>
      </c>
      <c r="E498" s="18">
        <f t="shared" si="1"/>
        <v>28415</v>
      </c>
      <c r="F498" s="9">
        <v>0.0</v>
      </c>
      <c r="G498" s="19">
        <v>17929.3</v>
      </c>
      <c r="H498" s="9" t="s">
        <v>4718</v>
      </c>
      <c r="I498" s="9" t="s">
        <v>4723</v>
      </c>
      <c r="J498" s="9" t="s">
        <v>4743</v>
      </c>
      <c r="K498" s="20">
        <f t="shared" si="2"/>
        <v>1977</v>
      </c>
      <c r="L498" s="9" t="str">
        <f t="shared" si="3"/>
        <v>tier - 1</v>
      </c>
      <c r="M498" s="9" t="str">
        <f t="shared" si="4"/>
        <v>tier - 2</v>
      </c>
      <c r="N498" s="9" t="str">
        <f t="shared" si="5"/>
        <v>R1013</v>
      </c>
      <c r="O498" s="17">
        <f t="shared" si="6"/>
        <v>45</v>
      </c>
      <c r="P498" s="18">
        <v>28415.0</v>
      </c>
    </row>
    <row r="499" ht="15.75" customHeight="1">
      <c r="A499" s="9" t="s">
        <v>1101</v>
      </c>
      <c r="B499" s="17">
        <v>2001.0</v>
      </c>
      <c r="C499" s="9" t="s">
        <v>4738</v>
      </c>
      <c r="D499" s="9">
        <v>28.0</v>
      </c>
      <c r="E499" s="18">
        <f t="shared" si="1"/>
        <v>37162</v>
      </c>
      <c r="F499" s="9">
        <v>4.0</v>
      </c>
      <c r="G499" s="19">
        <v>17942.11</v>
      </c>
      <c r="H499" s="9" t="s">
        <v>4718</v>
      </c>
      <c r="I499" s="9" t="s">
        <v>4723</v>
      </c>
      <c r="J499" s="9" t="s">
        <v>4719</v>
      </c>
      <c r="K499" s="20">
        <f t="shared" si="2"/>
        <v>2001</v>
      </c>
      <c r="L499" s="9" t="str">
        <f t="shared" si="3"/>
        <v>tier - 1</v>
      </c>
      <c r="M499" s="9" t="str">
        <f t="shared" si="4"/>
        <v>tier - 2</v>
      </c>
      <c r="N499" s="9" t="str">
        <f t="shared" si="5"/>
        <v>R1011</v>
      </c>
      <c r="O499" s="17">
        <f t="shared" si="6"/>
        <v>21</v>
      </c>
      <c r="P499" s="18">
        <v>37162.0</v>
      </c>
    </row>
    <row r="500" ht="15.75" customHeight="1">
      <c r="A500" s="9" t="s">
        <v>111</v>
      </c>
      <c r="B500" s="17">
        <v>1978.0</v>
      </c>
      <c r="C500" s="9" t="s">
        <v>4735</v>
      </c>
      <c r="D500" s="9">
        <v>4.0</v>
      </c>
      <c r="E500" s="18">
        <f t="shared" si="1"/>
        <v>28798</v>
      </c>
      <c r="F500" s="9">
        <v>0.0</v>
      </c>
      <c r="G500" s="19">
        <v>42983.46</v>
      </c>
      <c r="H500" s="9" t="s">
        <v>4718</v>
      </c>
      <c r="I500" s="9" t="s">
        <v>4723</v>
      </c>
      <c r="J500" s="9" t="s">
        <v>4733</v>
      </c>
      <c r="K500" s="20">
        <f t="shared" si="2"/>
        <v>1978</v>
      </c>
      <c r="L500" s="9" t="str">
        <f t="shared" si="3"/>
        <v>tier - 1</v>
      </c>
      <c r="M500" s="9" t="str">
        <f t="shared" si="4"/>
        <v>tier - 2</v>
      </c>
      <c r="N500" s="9" t="str">
        <f t="shared" si="5"/>
        <v>R1012</v>
      </c>
      <c r="O500" s="17">
        <f t="shared" si="6"/>
        <v>44</v>
      </c>
      <c r="P500" s="18">
        <v>28798.0</v>
      </c>
    </row>
    <row r="501" ht="15.75" customHeight="1">
      <c r="A501" s="9" t="s">
        <v>1099</v>
      </c>
      <c r="B501" s="17">
        <v>1975.0</v>
      </c>
      <c r="C501" s="9" t="s">
        <v>4730</v>
      </c>
      <c r="D501" s="9">
        <v>27.0</v>
      </c>
      <c r="E501" s="18">
        <f t="shared" si="1"/>
        <v>27572</v>
      </c>
      <c r="F501" s="9">
        <v>1.0</v>
      </c>
      <c r="G501" s="19">
        <v>18031.16</v>
      </c>
      <c r="H501" s="9" t="s">
        <v>4718</v>
      </c>
      <c r="I501" s="9" t="s">
        <v>4717</v>
      </c>
      <c r="J501" s="9" t="s">
        <v>4756</v>
      </c>
      <c r="K501" s="20">
        <f t="shared" si="2"/>
        <v>1975</v>
      </c>
      <c r="L501" s="9" t="str">
        <f t="shared" si="3"/>
        <v>tier - 1</v>
      </c>
      <c r="M501" s="9" t="str">
        <f t="shared" si="4"/>
        <v>tier - 3</v>
      </c>
      <c r="N501" s="9" t="str">
        <f t="shared" si="5"/>
        <v>R1023</v>
      </c>
      <c r="O501" s="17">
        <f t="shared" si="6"/>
        <v>47</v>
      </c>
      <c r="P501" s="18">
        <v>27572.0</v>
      </c>
    </row>
    <row r="502" ht="15.75" customHeight="1">
      <c r="A502" s="9" t="s">
        <v>1097</v>
      </c>
      <c r="B502" s="17">
        <v>1965.0</v>
      </c>
      <c r="C502" s="9" t="s">
        <v>4720</v>
      </c>
      <c r="D502" s="9">
        <v>17.0</v>
      </c>
      <c r="E502" s="18">
        <f t="shared" si="1"/>
        <v>24032</v>
      </c>
      <c r="F502" s="9">
        <v>0.0</v>
      </c>
      <c r="G502" s="19">
        <v>18031.19</v>
      </c>
      <c r="H502" s="9" t="s">
        <v>4718</v>
      </c>
      <c r="I502" s="9" t="s">
        <v>4723</v>
      </c>
      <c r="J502" s="9" t="s">
        <v>4733</v>
      </c>
      <c r="K502" s="20">
        <f t="shared" si="2"/>
        <v>1965</v>
      </c>
      <c r="L502" s="9" t="str">
        <f t="shared" si="3"/>
        <v>tier - 1</v>
      </c>
      <c r="M502" s="9" t="str">
        <f t="shared" si="4"/>
        <v>tier - 2</v>
      </c>
      <c r="N502" s="9" t="str">
        <f t="shared" si="5"/>
        <v>R1012</v>
      </c>
      <c r="O502" s="17">
        <f t="shared" si="6"/>
        <v>57</v>
      </c>
      <c r="P502" s="18">
        <v>24032.0</v>
      </c>
    </row>
    <row r="503" ht="15.75" customHeight="1">
      <c r="A503" s="9" t="s">
        <v>1095</v>
      </c>
      <c r="B503" s="17">
        <v>1999.0</v>
      </c>
      <c r="C503" s="9" t="s">
        <v>4720</v>
      </c>
      <c r="D503" s="9">
        <v>24.0</v>
      </c>
      <c r="E503" s="18">
        <f t="shared" si="1"/>
        <v>36457</v>
      </c>
      <c r="F503" s="9">
        <v>0.0</v>
      </c>
      <c r="G503" s="19">
        <v>18033.97</v>
      </c>
      <c r="H503" s="9" t="s">
        <v>4718</v>
      </c>
      <c r="I503" s="9" t="s">
        <v>4718</v>
      </c>
      <c r="J503" s="9" t="s">
        <v>4733</v>
      </c>
      <c r="K503" s="20">
        <f t="shared" si="2"/>
        <v>1999</v>
      </c>
      <c r="L503" s="9" t="str">
        <f t="shared" si="3"/>
        <v>tier - 1</v>
      </c>
      <c r="M503" s="9" t="str">
        <f t="shared" si="4"/>
        <v>tier - 1</v>
      </c>
      <c r="N503" s="9" t="str">
        <f t="shared" si="5"/>
        <v>R1012</v>
      </c>
      <c r="O503" s="17">
        <f t="shared" si="6"/>
        <v>23</v>
      </c>
      <c r="P503" s="18">
        <v>36457.0</v>
      </c>
    </row>
    <row r="504" ht="15.75" customHeight="1">
      <c r="A504" s="9" t="s">
        <v>1093</v>
      </c>
      <c r="B504" s="17">
        <v>1993.0</v>
      </c>
      <c r="C504" s="9" t="s">
        <v>4741</v>
      </c>
      <c r="D504" s="9">
        <v>12.0</v>
      </c>
      <c r="E504" s="18">
        <f t="shared" si="1"/>
        <v>34162</v>
      </c>
      <c r="F504" s="9">
        <v>2.0</v>
      </c>
      <c r="G504" s="19">
        <v>18157.88</v>
      </c>
      <c r="H504" s="9" t="s">
        <v>4718</v>
      </c>
      <c r="I504" s="9" t="s">
        <v>4718</v>
      </c>
      <c r="J504" s="9" t="s">
        <v>4733</v>
      </c>
      <c r="K504" s="20">
        <f t="shared" si="2"/>
        <v>1993</v>
      </c>
      <c r="L504" s="9" t="str">
        <f t="shared" si="3"/>
        <v>tier - 1</v>
      </c>
      <c r="M504" s="9" t="str">
        <f t="shared" si="4"/>
        <v>tier - 1</v>
      </c>
      <c r="N504" s="9" t="str">
        <f t="shared" si="5"/>
        <v>R1012</v>
      </c>
      <c r="O504" s="17">
        <f t="shared" si="6"/>
        <v>29</v>
      </c>
      <c r="P504" s="18">
        <v>34162.0</v>
      </c>
    </row>
    <row r="505" ht="15.75" customHeight="1">
      <c r="A505" s="9" t="s">
        <v>1091</v>
      </c>
      <c r="B505" s="17">
        <v>1963.0</v>
      </c>
      <c r="C505" s="9" t="s">
        <v>4741</v>
      </c>
      <c r="D505" s="9">
        <v>4.0</v>
      </c>
      <c r="E505" s="18">
        <f t="shared" si="1"/>
        <v>23196</v>
      </c>
      <c r="F505" s="9">
        <v>0.0</v>
      </c>
      <c r="G505" s="19">
        <v>18208.34</v>
      </c>
      <c r="H505" s="9" t="s">
        <v>4718</v>
      </c>
      <c r="I505" s="9" t="s">
        <v>4723</v>
      </c>
      <c r="J505" s="9" t="s">
        <v>4721</v>
      </c>
      <c r="K505" s="20">
        <f t="shared" si="2"/>
        <v>1963</v>
      </c>
      <c r="L505" s="9" t="str">
        <f t="shared" si="3"/>
        <v>tier - 1</v>
      </c>
      <c r="M505" s="9" t="str">
        <f t="shared" si="4"/>
        <v>tier - 2</v>
      </c>
      <c r="N505" s="9" t="str">
        <f t="shared" si="5"/>
        <v>R1026</v>
      </c>
      <c r="O505" s="17">
        <f t="shared" si="6"/>
        <v>59</v>
      </c>
      <c r="P505" s="18">
        <v>23196.0</v>
      </c>
    </row>
    <row r="506" ht="15.75" customHeight="1">
      <c r="A506" s="9" t="s">
        <v>1089</v>
      </c>
      <c r="B506" s="17">
        <v>1997.0</v>
      </c>
      <c r="C506" s="9" t="s">
        <v>4730</v>
      </c>
      <c r="D506" s="9">
        <v>15.0</v>
      </c>
      <c r="E506" s="18">
        <f t="shared" si="1"/>
        <v>35596</v>
      </c>
      <c r="F506" s="9">
        <v>1.0</v>
      </c>
      <c r="G506" s="19">
        <v>18218.16</v>
      </c>
      <c r="H506" s="9" t="s">
        <v>4718</v>
      </c>
      <c r="I506" s="9" t="s">
        <v>4718</v>
      </c>
      <c r="J506" s="9" t="s">
        <v>4743</v>
      </c>
      <c r="K506" s="20">
        <f t="shared" si="2"/>
        <v>1997</v>
      </c>
      <c r="L506" s="9" t="str">
        <f t="shared" si="3"/>
        <v>tier - 1</v>
      </c>
      <c r="M506" s="9" t="str">
        <f t="shared" si="4"/>
        <v>tier - 1</v>
      </c>
      <c r="N506" s="9" t="str">
        <f t="shared" si="5"/>
        <v>R1013</v>
      </c>
      <c r="O506" s="17">
        <f t="shared" si="6"/>
        <v>25</v>
      </c>
      <c r="P506" s="18">
        <v>35596.0</v>
      </c>
    </row>
    <row r="507" ht="15.75" customHeight="1">
      <c r="A507" s="9" t="s">
        <v>1087</v>
      </c>
      <c r="B507" s="17">
        <v>2004.0</v>
      </c>
      <c r="C507" s="9" t="s">
        <v>4738</v>
      </c>
      <c r="D507" s="9">
        <v>10.0</v>
      </c>
      <c r="E507" s="18">
        <f t="shared" si="1"/>
        <v>38240</v>
      </c>
      <c r="F507" s="9">
        <v>3.0</v>
      </c>
      <c r="G507" s="19">
        <v>18223.45</v>
      </c>
      <c r="H507" s="9" t="s">
        <v>4718</v>
      </c>
      <c r="I507" s="9" t="s">
        <v>4717</v>
      </c>
      <c r="J507" s="9" t="s">
        <v>4743</v>
      </c>
      <c r="K507" s="20">
        <f t="shared" si="2"/>
        <v>2004</v>
      </c>
      <c r="L507" s="9" t="str">
        <f t="shared" si="3"/>
        <v>tier - 1</v>
      </c>
      <c r="M507" s="9" t="str">
        <f t="shared" si="4"/>
        <v>tier - 3</v>
      </c>
      <c r="N507" s="9" t="str">
        <f t="shared" si="5"/>
        <v>R1013</v>
      </c>
      <c r="O507" s="17">
        <f t="shared" si="6"/>
        <v>18</v>
      </c>
      <c r="P507" s="18">
        <v>38240.0</v>
      </c>
    </row>
    <row r="508" ht="15.75" customHeight="1">
      <c r="A508" s="9" t="s">
        <v>1085</v>
      </c>
      <c r="B508" s="17">
        <v>1995.0</v>
      </c>
      <c r="C508" s="9" t="s">
        <v>4716</v>
      </c>
      <c r="D508" s="9">
        <v>3.0</v>
      </c>
      <c r="E508" s="18">
        <f t="shared" si="1"/>
        <v>34914</v>
      </c>
      <c r="F508" s="9">
        <v>0.0</v>
      </c>
      <c r="G508" s="19">
        <v>18246.5</v>
      </c>
      <c r="H508" s="9" t="s">
        <v>4718</v>
      </c>
      <c r="I508" s="9" t="s">
        <v>4718</v>
      </c>
      <c r="J508" s="9" t="s">
        <v>4743</v>
      </c>
      <c r="K508" s="20">
        <f t="shared" si="2"/>
        <v>1995</v>
      </c>
      <c r="L508" s="9" t="str">
        <f t="shared" si="3"/>
        <v>tier - 1</v>
      </c>
      <c r="M508" s="9" t="str">
        <f t="shared" si="4"/>
        <v>tier - 1</v>
      </c>
      <c r="N508" s="9" t="str">
        <f t="shared" si="5"/>
        <v>R1013</v>
      </c>
      <c r="O508" s="17">
        <f t="shared" si="6"/>
        <v>27</v>
      </c>
      <c r="P508" s="18">
        <v>34914.0</v>
      </c>
    </row>
    <row r="509" ht="15.75" customHeight="1">
      <c r="A509" s="9" t="s">
        <v>1083</v>
      </c>
      <c r="B509" s="17">
        <v>1992.0</v>
      </c>
      <c r="C509" s="9" t="s">
        <v>4725</v>
      </c>
      <c r="D509" s="9">
        <v>25.0</v>
      </c>
      <c r="E509" s="18">
        <f t="shared" si="1"/>
        <v>33963</v>
      </c>
      <c r="F509" s="9">
        <v>3.0</v>
      </c>
      <c r="G509" s="19">
        <v>18259.22</v>
      </c>
      <c r="H509" s="9" t="s">
        <v>4718</v>
      </c>
      <c r="I509" s="9" t="s">
        <v>4717</v>
      </c>
      <c r="J509" s="9" t="s">
        <v>4719</v>
      </c>
      <c r="K509" s="20">
        <f t="shared" si="2"/>
        <v>1992</v>
      </c>
      <c r="L509" s="9" t="str">
        <f t="shared" si="3"/>
        <v>tier - 1</v>
      </c>
      <c r="M509" s="9" t="str">
        <f t="shared" si="4"/>
        <v>tier - 3</v>
      </c>
      <c r="N509" s="9" t="str">
        <f t="shared" si="5"/>
        <v>R1011</v>
      </c>
      <c r="O509" s="17">
        <f t="shared" si="6"/>
        <v>30</v>
      </c>
      <c r="P509" s="18">
        <v>33963.0</v>
      </c>
    </row>
    <row r="510" ht="15.75" customHeight="1">
      <c r="A510" s="9" t="s">
        <v>1081</v>
      </c>
      <c r="B510" s="17">
        <v>1995.0</v>
      </c>
      <c r="C510" s="9" t="s">
        <v>4741</v>
      </c>
      <c r="D510" s="9">
        <v>4.0</v>
      </c>
      <c r="E510" s="18">
        <f t="shared" si="1"/>
        <v>34884</v>
      </c>
      <c r="F510" s="9">
        <v>0.0</v>
      </c>
      <c r="G510" s="19">
        <v>18310.74</v>
      </c>
      <c r="H510" s="9" t="s">
        <v>4718</v>
      </c>
      <c r="I510" s="9" t="s">
        <v>4717</v>
      </c>
      <c r="J510" s="9" t="s">
        <v>4733</v>
      </c>
      <c r="K510" s="20">
        <f t="shared" si="2"/>
        <v>1995</v>
      </c>
      <c r="L510" s="9" t="str">
        <f t="shared" si="3"/>
        <v>tier - 1</v>
      </c>
      <c r="M510" s="9" t="str">
        <f t="shared" si="4"/>
        <v>tier - 3</v>
      </c>
      <c r="N510" s="9" t="str">
        <f t="shared" si="5"/>
        <v>R1012</v>
      </c>
      <c r="O510" s="17">
        <f t="shared" si="6"/>
        <v>27</v>
      </c>
      <c r="P510" s="18">
        <v>34884.0</v>
      </c>
    </row>
    <row r="511" ht="15.75" customHeight="1">
      <c r="A511" s="9" t="s">
        <v>109</v>
      </c>
      <c r="B511" s="17">
        <v>1965.0</v>
      </c>
      <c r="C511" s="9" t="s">
        <v>4735</v>
      </c>
      <c r="D511" s="9">
        <v>29.0</v>
      </c>
      <c r="E511" s="18">
        <f t="shared" si="1"/>
        <v>24075</v>
      </c>
      <c r="F511" s="9">
        <v>0.0</v>
      </c>
      <c r="G511" s="19">
        <v>43073.76</v>
      </c>
      <c r="H511" s="9" t="s">
        <v>4723</v>
      </c>
      <c r="I511" s="9" t="s">
        <v>4723</v>
      </c>
      <c r="J511" s="9" t="s">
        <v>4719</v>
      </c>
      <c r="K511" s="20">
        <f t="shared" si="2"/>
        <v>1965</v>
      </c>
      <c r="L511" s="9" t="str">
        <f t="shared" si="3"/>
        <v>tier - 2</v>
      </c>
      <c r="M511" s="9" t="str">
        <f t="shared" si="4"/>
        <v>tier - 2</v>
      </c>
      <c r="N511" s="9" t="str">
        <f t="shared" si="5"/>
        <v>R1011</v>
      </c>
      <c r="O511" s="17">
        <f t="shared" si="6"/>
        <v>57</v>
      </c>
      <c r="P511" s="18">
        <v>24075.0</v>
      </c>
    </row>
    <row r="512" ht="15.75" customHeight="1">
      <c r="A512" s="9" t="s">
        <v>1079</v>
      </c>
      <c r="B512" s="17">
        <v>1999.0</v>
      </c>
      <c r="C512" s="9" t="s">
        <v>4725</v>
      </c>
      <c r="D512" s="9">
        <v>15.0</v>
      </c>
      <c r="E512" s="18">
        <f t="shared" si="1"/>
        <v>36509</v>
      </c>
      <c r="F512" s="9">
        <v>1.0</v>
      </c>
      <c r="G512" s="19">
        <v>18328.24</v>
      </c>
      <c r="H512" s="9" t="s">
        <v>4718</v>
      </c>
      <c r="I512" s="9" t="s">
        <v>4723</v>
      </c>
      <c r="J512" s="9" t="s">
        <v>4743</v>
      </c>
      <c r="K512" s="20">
        <f t="shared" si="2"/>
        <v>1999</v>
      </c>
      <c r="L512" s="9" t="str">
        <f t="shared" si="3"/>
        <v>tier - 1</v>
      </c>
      <c r="M512" s="9" t="str">
        <f t="shared" si="4"/>
        <v>tier - 2</v>
      </c>
      <c r="N512" s="9" t="str">
        <f t="shared" si="5"/>
        <v>R1013</v>
      </c>
      <c r="O512" s="17">
        <f t="shared" si="6"/>
        <v>23</v>
      </c>
      <c r="P512" s="18">
        <v>36509.0</v>
      </c>
    </row>
    <row r="513" ht="15.75" customHeight="1">
      <c r="A513" s="9" t="s">
        <v>1077</v>
      </c>
      <c r="B513" s="17">
        <v>1964.0</v>
      </c>
      <c r="C513" s="9" t="s">
        <v>4738</v>
      </c>
      <c r="D513" s="9">
        <v>26.0</v>
      </c>
      <c r="E513" s="18">
        <f t="shared" si="1"/>
        <v>23646</v>
      </c>
      <c r="F513" s="9">
        <v>0.0</v>
      </c>
      <c r="G513" s="19">
        <v>18443.11</v>
      </c>
      <c r="H513" s="9" t="s">
        <v>4718</v>
      </c>
      <c r="I513" s="9" t="s">
        <v>4723</v>
      </c>
      <c r="J513" s="9" t="s">
        <v>4733</v>
      </c>
      <c r="K513" s="20">
        <f t="shared" si="2"/>
        <v>1964</v>
      </c>
      <c r="L513" s="9" t="str">
        <f t="shared" si="3"/>
        <v>tier - 1</v>
      </c>
      <c r="M513" s="9" t="str">
        <f t="shared" si="4"/>
        <v>tier - 2</v>
      </c>
      <c r="N513" s="9" t="str">
        <f t="shared" si="5"/>
        <v>R1012</v>
      </c>
      <c r="O513" s="17">
        <f t="shared" si="6"/>
        <v>58</v>
      </c>
      <c r="P513" s="18">
        <v>23646.0</v>
      </c>
    </row>
    <row r="514" ht="15.75" customHeight="1">
      <c r="A514" s="9" t="s">
        <v>1075</v>
      </c>
      <c r="B514" s="17">
        <v>1986.0</v>
      </c>
      <c r="C514" s="9" t="s">
        <v>4716</v>
      </c>
      <c r="D514" s="9">
        <v>12.0</v>
      </c>
      <c r="E514" s="18">
        <f t="shared" si="1"/>
        <v>31636</v>
      </c>
      <c r="F514" s="9">
        <v>2.0</v>
      </c>
      <c r="G514" s="19">
        <v>18608.26</v>
      </c>
      <c r="H514" s="9" t="s">
        <v>4718</v>
      </c>
      <c r="I514" s="9" t="s">
        <v>4717</v>
      </c>
      <c r="J514" s="9" t="s">
        <v>4719</v>
      </c>
      <c r="K514" s="20">
        <f t="shared" si="2"/>
        <v>1986</v>
      </c>
      <c r="L514" s="9" t="str">
        <f t="shared" si="3"/>
        <v>tier - 1</v>
      </c>
      <c r="M514" s="9" t="str">
        <f t="shared" si="4"/>
        <v>tier - 3</v>
      </c>
      <c r="N514" s="9" t="str">
        <f t="shared" si="5"/>
        <v>R1011</v>
      </c>
      <c r="O514" s="17">
        <f t="shared" si="6"/>
        <v>36</v>
      </c>
      <c r="P514" s="18">
        <v>31636.0</v>
      </c>
    </row>
    <row r="515" ht="15.75" customHeight="1">
      <c r="A515" s="9" t="s">
        <v>1073</v>
      </c>
      <c r="B515" s="17">
        <v>1998.0</v>
      </c>
      <c r="C515" s="9" t="s">
        <v>4738</v>
      </c>
      <c r="D515" s="9">
        <v>23.0</v>
      </c>
      <c r="E515" s="18">
        <f t="shared" si="1"/>
        <v>36061</v>
      </c>
      <c r="F515" s="9">
        <v>0.0</v>
      </c>
      <c r="G515" s="19">
        <v>18648.42</v>
      </c>
      <c r="H515" s="9" t="s">
        <v>4718</v>
      </c>
      <c r="I515" s="9" t="s">
        <v>4718</v>
      </c>
      <c r="J515" s="9" t="s">
        <v>4728</v>
      </c>
      <c r="K515" s="20">
        <f t="shared" si="2"/>
        <v>1998</v>
      </c>
      <c r="L515" s="9" t="str">
        <f t="shared" si="3"/>
        <v>tier - 1</v>
      </c>
      <c r="M515" s="9" t="str">
        <f t="shared" si="4"/>
        <v>tier - 1</v>
      </c>
      <c r="N515" s="9" t="str">
        <f t="shared" si="5"/>
        <v>R1019</v>
      </c>
      <c r="O515" s="17">
        <f t="shared" si="6"/>
        <v>24</v>
      </c>
      <c r="P515" s="18">
        <v>36061.0</v>
      </c>
    </row>
    <row r="516" ht="15.75" customHeight="1">
      <c r="A516" s="9" t="s">
        <v>1071</v>
      </c>
      <c r="B516" s="17">
        <v>1970.0</v>
      </c>
      <c r="C516" s="9" t="s">
        <v>4720</v>
      </c>
      <c r="D516" s="9">
        <v>17.0</v>
      </c>
      <c r="E516" s="18">
        <f t="shared" si="1"/>
        <v>25858</v>
      </c>
      <c r="F516" s="9">
        <v>0.0</v>
      </c>
      <c r="G516" s="19">
        <v>18682.74</v>
      </c>
      <c r="H516" s="9" t="s">
        <v>4718</v>
      </c>
      <c r="I516" s="9" t="s">
        <v>4717</v>
      </c>
      <c r="J516" s="9" t="s">
        <v>4733</v>
      </c>
      <c r="K516" s="20">
        <f t="shared" si="2"/>
        <v>1970</v>
      </c>
      <c r="L516" s="9" t="str">
        <f t="shared" si="3"/>
        <v>tier - 1</v>
      </c>
      <c r="M516" s="9" t="str">
        <f t="shared" si="4"/>
        <v>tier - 3</v>
      </c>
      <c r="N516" s="9" t="str">
        <f t="shared" si="5"/>
        <v>R1012</v>
      </c>
      <c r="O516" s="17">
        <f t="shared" si="6"/>
        <v>52</v>
      </c>
      <c r="P516" s="18">
        <v>25858.0</v>
      </c>
    </row>
    <row r="517" ht="15.75" customHeight="1">
      <c r="A517" s="9" t="s">
        <v>1069</v>
      </c>
      <c r="B517" s="17">
        <v>1967.0</v>
      </c>
      <c r="C517" s="9" t="s">
        <v>4716</v>
      </c>
      <c r="D517" s="9">
        <v>30.0</v>
      </c>
      <c r="E517" s="18">
        <f t="shared" si="1"/>
        <v>24714</v>
      </c>
      <c r="F517" s="9">
        <v>0.0</v>
      </c>
      <c r="G517" s="19">
        <v>18694.69</v>
      </c>
      <c r="H517" s="9" t="s">
        <v>4718</v>
      </c>
      <c r="I517" s="9" t="s">
        <v>4718</v>
      </c>
      <c r="J517" s="9" t="s">
        <v>4756</v>
      </c>
      <c r="K517" s="20">
        <f t="shared" si="2"/>
        <v>1967</v>
      </c>
      <c r="L517" s="9" t="str">
        <f t="shared" si="3"/>
        <v>tier - 1</v>
      </c>
      <c r="M517" s="9" t="str">
        <f t="shared" si="4"/>
        <v>tier - 1</v>
      </c>
      <c r="N517" s="9" t="str">
        <f t="shared" si="5"/>
        <v>R1023</v>
      </c>
      <c r="O517" s="17">
        <f t="shared" si="6"/>
        <v>55</v>
      </c>
      <c r="P517" s="18">
        <v>24714.0</v>
      </c>
    </row>
    <row r="518" ht="15.75" customHeight="1">
      <c r="A518" s="9" t="s">
        <v>1067</v>
      </c>
      <c r="B518" s="17">
        <v>1992.0</v>
      </c>
      <c r="C518" s="9" t="s">
        <v>4725</v>
      </c>
      <c r="D518" s="9">
        <v>27.0</v>
      </c>
      <c r="E518" s="18">
        <f t="shared" si="1"/>
        <v>33965</v>
      </c>
      <c r="F518" s="9">
        <v>3.0</v>
      </c>
      <c r="G518" s="19">
        <v>18765.88</v>
      </c>
      <c r="H518" s="9" t="s">
        <v>4718</v>
      </c>
      <c r="I518" s="9" t="s">
        <v>4723</v>
      </c>
      <c r="J518" s="9" t="s">
        <v>4733</v>
      </c>
      <c r="K518" s="20">
        <f t="shared" si="2"/>
        <v>1992</v>
      </c>
      <c r="L518" s="9" t="str">
        <f t="shared" si="3"/>
        <v>tier - 1</v>
      </c>
      <c r="M518" s="9" t="str">
        <f t="shared" si="4"/>
        <v>tier - 2</v>
      </c>
      <c r="N518" s="9" t="str">
        <f t="shared" si="5"/>
        <v>R1012</v>
      </c>
      <c r="O518" s="17">
        <f t="shared" si="6"/>
        <v>30</v>
      </c>
      <c r="P518" s="18">
        <v>33965.0</v>
      </c>
    </row>
    <row r="519" ht="15.75" customHeight="1">
      <c r="A519" s="9" t="s">
        <v>1065</v>
      </c>
      <c r="B519" s="17">
        <v>1979.0</v>
      </c>
      <c r="C519" s="9" t="s">
        <v>4735</v>
      </c>
      <c r="D519" s="9">
        <v>19.0</v>
      </c>
      <c r="E519" s="18">
        <f t="shared" si="1"/>
        <v>29178</v>
      </c>
      <c r="F519" s="9">
        <v>2.0</v>
      </c>
      <c r="G519" s="19">
        <v>18767.74</v>
      </c>
      <c r="H519" s="9" t="s">
        <v>4718</v>
      </c>
      <c r="I519" s="9" t="s">
        <v>4718</v>
      </c>
      <c r="J519" s="9" t="s">
        <v>4743</v>
      </c>
      <c r="K519" s="20">
        <f t="shared" si="2"/>
        <v>1979</v>
      </c>
      <c r="L519" s="9" t="str">
        <f t="shared" si="3"/>
        <v>tier - 1</v>
      </c>
      <c r="M519" s="9" t="str">
        <f t="shared" si="4"/>
        <v>tier - 1</v>
      </c>
      <c r="N519" s="9" t="str">
        <f t="shared" si="5"/>
        <v>R1013</v>
      </c>
      <c r="O519" s="17">
        <f t="shared" si="6"/>
        <v>43</v>
      </c>
      <c r="P519" s="18">
        <v>29178.0</v>
      </c>
    </row>
    <row r="520" ht="15.75" customHeight="1">
      <c r="A520" s="9" t="s">
        <v>1063</v>
      </c>
      <c r="B520" s="17">
        <v>1995.0</v>
      </c>
      <c r="C520" s="9" t="s">
        <v>4735</v>
      </c>
      <c r="D520" s="9">
        <v>28.0</v>
      </c>
      <c r="E520" s="18">
        <f t="shared" si="1"/>
        <v>35031</v>
      </c>
      <c r="F520" s="9">
        <v>3.0</v>
      </c>
      <c r="G520" s="19">
        <v>18804.75</v>
      </c>
      <c r="H520" s="9" t="s">
        <v>4718</v>
      </c>
      <c r="I520" s="9" t="s">
        <v>4718</v>
      </c>
      <c r="J520" s="9" t="s">
        <v>4733</v>
      </c>
      <c r="K520" s="20">
        <f t="shared" si="2"/>
        <v>1995</v>
      </c>
      <c r="L520" s="9" t="str">
        <f t="shared" si="3"/>
        <v>tier - 1</v>
      </c>
      <c r="M520" s="9" t="str">
        <f t="shared" si="4"/>
        <v>tier - 1</v>
      </c>
      <c r="N520" s="9" t="str">
        <f t="shared" si="5"/>
        <v>R1012</v>
      </c>
      <c r="O520" s="17">
        <f t="shared" si="6"/>
        <v>27</v>
      </c>
      <c r="P520" s="18">
        <v>35031.0</v>
      </c>
    </row>
    <row r="521" ht="15.75" customHeight="1">
      <c r="A521" s="9" t="s">
        <v>1061</v>
      </c>
      <c r="B521" s="17">
        <v>1979.0</v>
      </c>
      <c r="C521" s="9" t="s">
        <v>4720</v>
      </c>
      <c r="D521" s="9">
        <v>15.0</v>
      </c>
      <c r="E521" s="18">
        <f t="shared" si="1"/>
        <v>29143</v>
      </c>
      <c r="F521" s="9">
        <v>2.0</v>
      </c>
      <c r="G521" s="19">
        <v>18806.15</v>
      </c>
      <c r="H521" s="9" t="s">
        <v>4718</v>
      </c>
      <c r="I521" s="9" t="s">
        <v>4723</v>
      </c>
      <c r="J521" s="9" t="s">
        <v>4743</v>
      </c>
      <c r="K521" s="20">
        <f t="shared" si="2"/>
        <v>1979</v>
      </c>
      <c r="L521" s="9" t="str">
        <f t="shared" si="3"/>
        <v>tier - 1</v>
      </c>
      <c r="M521" s="9" t="str">
        <f t="shared" si="4"/>
        <v>tier - 2</v>
      </c>
      <c r="N521" s="9" t="str">
        <f t="shared" si="5"/>
        <v>R1013</v>
      </c>
      <c r="O521" s="17">
        <f t="shared" si="6"/>
        <v>43</v>
      </c>
      <c r="P521" s="18">
        <v>29143.0</v>
      </c>
    </row>
    <row r="522" ht="15.75" customHeight="1">
      <c r="A522" s="9" t="s">
        <v>107</v>
      </c>
      <c r="B522" s="17">
        <v>1969.0</v>
      </c>
      <c r="C522" s="9" t="s">
        <v>4725</v>
      </c>
      <c r="D522" s="9">
        <v>3.0</v>
      </c>
      <c r="E522" s="18">
        <f t="shared" si="1"/>
        <v>25540</v>
      </c>
      <c r="F522" s="9">
        <v>0.0</v>
      </c>
      <c r="G522" s="19">
        <v>43254.42</v>
      </c>
      <c r="H522" s="9" t="s">
        <v>4723</v>
      </c>
      <c r="I522" s="9" t="s">
        <v>4723</v>
      </c>
      <c r="J522" s="9" t="s">
        <v>4754</v>
      </c>
      <c r="K522" s="20">
        <f t="shared" si="2"/>
        <v>1969</v>
      </c>
      <c r="L522" s="9" t="str">
        <f t="shared" si="3"/>
        <v>tier - 2</v>
      </c>
      <c r="M522" s="9" t="str">
        <f t="shared" si="4"/>
        <v>tier - 2</v>
      </c>
      <c r="N522" s="9" t="str">
        <f t="shared" si="5"/>
        <v>R1016</v>
      </c>
      <c r="O522" s="17">
        <f t="shared" si="6"/>
        <v>53</v>
      </c>
      <c r="P522" s="18">
        <v>25540.0</v>
      </c>
    </row>
    <row r="523" ht="15.75" customHeight="1">
      <c r="A523" s="9" t="s">
        <v>1059</v>
      </c>
      <c r="B523" s="17">
        <v>1962.0</v>
      </c>
      <c r="C523" s="9" t="s">
        <v>4725</v>
      </c>
      <c r="D523" s="9">
        <v>18.0</v>
      </c>
      <c r="E523" s="18">
        <f t="shared" si="1"/>
        <v>22998</v>
      </c>
      <c r="F523" s="9">
        <v>0.0</v>
      </c>
      <c r="G523" s="19">
        <v>18815.53</v>
      </c>
      <c r="H523" s="9" t="s">
        <v>4718</v>
      </c>
      <c r="I523" s="9" t="s">
        <v>4718</v>
      </c>
      <c r="J523" s="9" t="s">
        <v>4756</v>
      </c>
      <c r="K523" s="20">
        <f t="shared" si="2"/>
        <v>1962</v>
      </c>
      <c r="L523" s="9" t="str">
        <f t="shared" si="3"/>
        <v>tier - 1</v>
      </c>
      <c r="M523" s="9" t="str">
        <f t="shared" si="4"/>
        <v>tier - 1</v>
      </c>
      <c r="N523" s="9" t="str">
        <f t="shared" si="5"/>
        <v>R1023</v>
      </c>
      <c r="O523" s="17">
        <f t="shared" si="6"/>
        <v>60</v>
      </c>
      <c r="P523" s="18">
        <v>22998.0</v>
      </c>
    </row>
    <row r="524" ht="15.75" customHeight="1">
      <c r="A524" s="9" t="s">
        <v>1057</v>
      </c>
      <c r="B524" s="17">
        <v>2003.0</v>
      </c>
      <c r="C524" s="9" t="s">
        <v>4741</v>
      </c>
      <c r="D524" s="9">
        <v>24.0</v>
      </c>
      <c r="E524" s="18">
        <f t="shared" si="1"/>
        <v>37826</v>
      </c>
      <c r="F524" s="9">
        <v>3.0</v>
      </c>
      <c r="G524" s="19">
        <v>18838.7</v>
      </c>
      <c r="H524" s="9" t="s">
        <v>4718</v>
      </c>
      <c r="I524" s="9" t="s">
        <v>4717</v>
      </c>
      <c r="J524" s="9" t="s">
        <v>4733</v>
      </c>
      <c r="K524" s="20">
        <f t="shared" si="2"/>
        <v>2003</v>
      </c>
      <c r="L524" s="9" t="str">
        <f t="shared" si="3"/>
        <v>tier - 1</v>
      </c>
      <c r="M524" s="9" t="str">
        <f t="shared" si="4"/>
        <v>tier - 3</v>
      </c>
      <c r="N524" s="9" t="str">
        <f t="shared" si="5"/>
        <v>R1012</v>
      </c>
      <c r="O524" s="17">
        <f t="shared" si="6"/>
        <v>19</v>
      </c>
      <c r="P524" s="18">
        <v>37826.0</v>
      </c>
    </row>
    <row r="525" ht="15.75" customHeight="1">
      <c r="A525" s="9" t="s">
        <v>1055</v>
      </c>
      <c r="B525" s="17">
        <v>1963.0</v>
      </c>
      <c r="C525" s="9" t="s">
        <v>4725</v>
      </c>
      <c r="D525" s="9">
        <v>6.0</v>
      </c>
      <c r="E525" s="18">
        <f t="shared" si="1"/>
        <v>23351</v>
      </c>
      <c r="F525" s="9">
        <v>0.0</v>
      </c>
      <c r="G525" s="19">
        <v>18883.33</v>
      </c>
      <c r="H525" s="9" t="s">
        <v>4718</v>
      </c>
      <c r="I525" s="9" t="s">
        <v>4718</v>
      </c>
      <c r="J525" s="9" t="s">
        <v>4721</v>
      </c>
      <c r="K525" s="20">
        <f t="shared" si="2"/>
        <v>1963</v>
      </c>
      <c r="L525" s="9" t="str">
        <f t="shared" si="3"/>
        <v>tier - 1</v>
      </c>
      <c r="M525" s="9" t="str">
        <f t="shared" si="4"/>
        <v>tier - 1</v>
      </c>
      <c r="N525" s="9" t="str">
        <f t="shared" si="5"/>
        <v>R1026</v>
      </c>
      <c r="O525" s="17">
        <f t="shared" si="6"/>
        <v>59</v>
      </c>
      <c r="P525" s="18">
        <v>23351.0</v>
      </c>
    </row>
    <row r="526" ht="15.75" customHeight="1">
      <c r="A526" s="9" t="s">
        <v>1053</v>
      </c>
      <c r="B526" s="17">
        <v>1995.0</v>
      </c>
      <c r="C526" s="9" t="s">
        <v>4738</v>
      </c>
      <c r="D526" s="9">
        <v>27.0</v>
      </c>
      <c r="E526" s="18">
        <f t="shared" si="1"/>
        <v>34969</v>
      </c>
      <c r="F526" s="9">
        <v>1.0</v>
      </c>
      <c r="G526" s="19">
        <v>18903.49</v>
      </c>
      <c r="H526" s="9" t="s">
        <v>4718</v>
      </c>
      <c r="I526" s="9" t="s">
        <v>4723</v>
      </c>
      <c r="J526" s="9" t="s">
        <v>4731</v>
      </c>
      <c r="K526" s="20">
        <f t="shared" si="2"/>
        <v>1995</v>
      </c>
      <c r="L526" s="9" t="str">
        <f t="shared" si="3"/>
        <v>tier - 1</v>
      </c>
      <c r="M526" s="9" t="str">
        <f t="shared" si="4"/>
        <v>tier - 2</v>
      </c>
      <c r="N526" s="9" t="str">
        <f t="shared" si="5"/>
        <v>R1024</v>
      </c>
      <c r="O526" s="17">
        <f t="shared" si="6"/>
        <v>27</v>
      </c>
      <c r="P526" s="18">
        <v>34969.0</v>
      </c>
    </row>
    <row r="527" ht="15.75" customHeight="1">
      <c r="A527" s="9" t="s">
        <v>1051</v>
      </c>
      <c r="B527" s="17">
        <v>1969.0</v>
      </c>
      <c r="C527" s="9" t="s">
        <v>4716</v>
      </c>
      <c r="D527" s="9">
        <v>3.0</v>
      </c>
      <c r="E527" s="18">
        <f t="shared" si="1"/>
        <v>25418</v>
      </c>
      <c r="F527" s="9">
        <v>0.0</v>
      </c>
      <c r="G527" s="19">
        <v>18932.81</v>
      </c>
      <c r="H527" s="9" t="s">
        <v>4718</v>
      </c>
      <c r="I527" s="9" t="s">
        <v>4717</v>
      </c>
      <c r="J527" s="9" t="s">
        <v>4733</v>
      </c>
      <c r="K527" s="20">
        <f t="shared" si="2"/>
        <v>1969</v>
      </c>
      <c r="L527" s="9" t="str">
        <f t="shared" si="3"/>
        <v>tier - 1</v>
      </c>
      <c r="M527" s="9" t="str">
        <f t="shared" si="4"/>
        <v>tier - 3</v>
      </c>
      <c r="N527" s="9" t="str">
        <f t="shared" si="5"/>
        <v>R1012</v>
      </c>
      <c r="O527" s="17">
        <f t="shared" si="6"/>
        <v>53</v>
      </c>
      <c r="P527" s="18">
        <v>25418.0</v>
      </c>
    </row>
    <row r="528" ht="15.75" customHeight="1">
      <c r="A528" s="9" t="s">
        <v>1049</v>
      </c>
      <c r="B528" s="17">
        <v>1963.0</v>
      </c>
      <c r="C528" s="9" t="s">
        <v>4720</v>
      </c>
      <c r="D528" s="9">
        <v>20.0</v>
      </c>
      <c r="E528" s="18">
        <f t="shared" si="1"/>
        <v>23304</v>
      </c>
      <c r="F528" s="9">
        <v>0.0</v>
      </c>
      <c r="G528" s="19">
        <v>18954.56</v>
      </c>
      <c r="H528" s="9" t="s">
        <v>4718</v>
      </c>
      <c r="I528" s="9" t="s">
        <v>4718</v>
      </c>
      <c r="J528" s="9" t="s">
        <v>4721</v>
      </c>
      <c r="K528" s="20">
        <f t="shared" si="2"/>
        <v>1963</v>
      </c>
      <c r="L528" s="9" t="str">
        <f t="shared" si="3"/>
        <v>tier - 1</v>
      </c>
      <c r="M528" s="9" t="str">
        <f t="shared" si="4"/>
        <v>tier - 1</v>
      </c>
      <c r="N528" s="9" t="str">
        <f t="shared" si="5"/>
        <v>R1026</v>
      </c>
      <c r="O528" s="17">
        <f t="shared" si="6"/>
        <v>59</v>
      </c>
      <c r="P528" s="18">
        <v>23304.0</v>
      </c>
    </row>
    <row r="529" ht="15.75" customHeight="1">
      <c r="A529" s="9" t="s">
        <v>1047</v>
      </c>
      <c r="B529" s="17">
        <v>1998.0</v>
      </c>
      <c r="C529" s="9" t="s">
        <v>4716</v>
      </c>
      <c r="D529" s="9">
        <v>6.0</v>
      </c>
      <c r="E529" s="18">
        <f t="shared" si="1"/>
        <v>36013</v>
      </c>
      <c r="F529" s="9">
        <v>0.0</v>
      </c>
      <c r="G529" s="19">
        <v>18955.22</v>
      </c>
      <c r="H529" s="9" t="s">
        <v>4718</v>
      </c>
      <c r="I529" s="9" t="s">
        <v>4717</v>
      </c>
      <c r="J529" s="9" t="s">
        <v>4719</v>
      </c>
      <c r="K529" s="20">
        <f t="shared" si="2"/>
        <v>1998</v>
      </c>
      <c r="L529" s="9" t="str">
        <f t="shared" si="3"/>
        <v>tier - 1</v>
      </c>
      <c r="M529" s="9" t="str">
        <f t="shared" si="4"/>
        <v>tier - 3</v>
      </c>
      <c r="N529" s="9" t="str">
        <f t="shared" si="5"/>
        <v>R1011</v>
      </c>
      <c r="O529" s="17">
        <f t="shared" si="6"/>
        <v>24</v>
      </c>
      <c r="P529" s="18">
        <v>36013.0</v>
      </c>
    </row>
    <row r="530" ht="15.75" customHeight="1">
      <c r="A530" s="9" t="s">
        <v>1045</v>
      </c>
      <c r="B530" s="17">
        <v>1992.0</v>
      </c>
      <c r="C530" s="9" t="s">
        <v>4735</v>
      </c>
      <c r="D530" s="9">
        <v>30.0</v>
      </c>
      <c r="E530" s="18">
        <f t="shared" si="1"/>
        <v>33938</v>
      </c>
      <c r="F530" s="9">
        <v>1.0</v>
      </c>
      <c r="G530" s="19">
        <v>18963.17</v>
      </c>
      <c r="H530" s="9" t="s">
        <v>4718</v>
      </c>
      <c r="I530" s="9" t="s">
        <v>4718</v>
      </c>
      <c r="J530" s="9" t="s">
        <v>4743</v>
      </c>
      <c r="K530" s="20">
        <f t="shared" si="2"/>
        <v>1992</v>
      </c>
      <c r="L530" s="9" t="str">
        <f t="shared" si="3"/>
        <v>tier - 1</v>
      </c>
      <c r="M530" s="9" t="str">
        <f t="shared" si="4"/>
        <v>tier - 1</v>
      </c>
      <c r="N530" s="9" t="str">
        <f t="shared" si="5"/>
        <v>R1013</v>
      </c>
      <c r="O530" s="17">
        <f t="shared" si="6"/>
        <v>30</v>
      </c>
      <c r="P530" s="18">
        <v>33938.0</v>
      </c>
    </row>
    <row r="531" ht="15.75" customHeight="1">
      <c r="A531" s="9" t="s">
        <v>1043</v>
      </c>
      <c r="B531" s="17">
        <v>1988.0</v>
      </c>
      <c r="C531" s="9" t="s">
        <v>4720</v>
      </c>
      <c r="D531" s="9">
        <v>24.0</v>
      </c>
      <c r="E531" s="18">
        <f t="shared" si="1"/>
        <v>32440</v>
      </c>
      <c r="F531" s="9">
        <v>2.0</v>
      </c>
      <c r="G531" s="19">
        <v>18972.5</v>
      </c>
      <c r="H531" s="9" t="s">
        <v>4718</v>
      </c>
      <c r="I531" s="9" t="s">
        <v>4717</v>
      </c>
      <c r="J531" s="9" t="s">
        <v>4743</v>
      </c>
      <c r="K531" s="20">
        <f t="shared" si="2"/>
        <v>1988</v>
      </c>
      <c r="L531" s="9" t="str">
        <f t="shared" si="3"/>
        <v>tier - 1</v>
      </c>
      <c r="M531" s="9" t="str">
        <f t="shared" si="4"/>
        <v>tier - 3</v>
      </c>
      <c r="N531" s="9" t="str">
        <f t="shared" si="5"/>
        <v>R1013</v>
      </c>
      <c r="O531" s="17">
        <f t="shared" si="6"/>
        <v>34</v>
      </c>
      <c r="P531" s="18">
        <v>32440.0</v>
      </c>
    </row>
    <row r="532" ht="15.75" customHeight="1">
      <c r="A532" s="9" t="s">
        <v>1041</v>
      </c>
      <c r="B532" s="17">
        <v>1983.0</v>
      </c>
      <c r="C532" s="9" t="s">
        <v>4725</v>
      </c>
      <c r="D532" s="9">
        <v>19.0</v>
      </c>
      <c r="E532" s="18">
        <f t="shared" si="1"/>
        <v>30669</v>
      </c>
      <c r="F532" s="9">
        <v>5.0</v>
      </c>
      <c r="G532" s="19">
        <v>19023.26</v>
      </c>
      <c r="H532" s="9" t="s">
        <v>4718</v>
      </c>
      <c r="I532" s="9" t="s">
        <v>4717</v>
      </c>
      <c r="J532" s="9" t="s">
        <v>4719</v>
      </c>
      <c r="K532" s="20">
        <f t="shared" si="2"/>
        <v>1983</v>
      </c>
      <c r="L532" s="9" t="str">
        <f t="shared" si="3"/>
        <v>tier - 1</v>
      </c>
      <c r="M532" s="9" t="str">
        <f t="shared" si="4"/>
        <v>tier - 3</v>
      </c>
      <c r="N532" s="9" t="str">
        <f t="shared" si="5"/>
        <v>R1011</v>
      </c>
      <c r="O532" s="17">
        <f t="shared" si="6"/>
        <v>39</v>
      </c>
      <c r="P532" s="18">
        <v>30669.0</v>
      </c>
    </row>
    <row r="533" ht="15.75" customHeight="1">
      <c r="A533" s="9" t="s">
        <v>105</v>
      </c>
      <c r="B533" s="17">
        <v>1965.0</v>
      </c>
      <c r="C533" s="9" t="s">
        <v>4716</v>
      </c>
      <c r="D533" s="9">
        <v>22.0</v>
      </c>
      <c r="E533" s="18">
        <f t="shared" si="1"/>
        <v>23976</v>
      </c>
      <c r="F533" s="9">
        <v>0.0</v>
      </c>
      <c r="G533" s="19">
        <v>43578.94</v>
      </c>
      <c r="H533" s="9" t="s">
        <v>4723</v>
      </c>
      <c r="I533" s="9" t="s">
        <v>4723</v>
      </c>
      <c r="J533" s="9" t="s">
        <v>4733</v>
      </c>
      <c r="K533" s="20">
        <f t="shared" si="2"/>
        <v>1965</v>
      </c>
      <c r="L533" s="9" t="str">
        <f t="shared" si="3"/>
        <v>tier - 2</v>
      </c>
      <c r="M533" s="9" t="str">
        <f t="shared" si="4"/>
        <v>tier - 2</v>
      </c>
      <c r="N533" s="9" t="str">
        <f t="shared" si="5"/>
        <v>R1012</v>
      </c>
      <c r="O533" s="17">
        <f t="shared" si="6"/>
        <v>57</v>
      </c>
      <c r="P533" s="18">
        <v>23976.0</v>
      </c>
    </row>
    <row r="534" ht="15.75" customHeight="1">
      <c r="A534" s="9" t="s">
        <v>1039</v>
      </c>
      <c r="B534" s="17">
        <v>1989.0</v>
      </c>
      <c r="C534" s="9" t="s">
        <v>4730</v>
      </c>
      <c r="D534" s="9">
        <v>5.0</v>
      </c>
      <c r="E534" s="18">
        <f t="shared" si="1"/>
        <v>32664</v>
      </c>
      <c r="F534" s="9">
        <v>1.0</v>
      </c>
      <c r="G534" s="19">
        <v>19040.88</v>
      </c>
      <c r="H534" s="9" t="s">
        <v>4718</v>
      </c>
      <c r="I534" s="9" t="s">
        <v>4717</v>
      </c>
      <c r="J534" s="9" t="s">
        <v>4719</v>
      </c>
      <c r="K534" s="20">
        <f t="shared" si="2"/>
        <v>1989</v>
      </c>
      <c r="L534" s="9" t="str">
        <f t="shared" si="3"/>
        <v>tier - 1</v>
      </c>
      <c r="M534" s="9" t="str">
        <f t="shared" si="4"/>
        <v>tier - 3</v>
      </c>
      <c r="N534" s="9" t="str">
        <f t="shared" si="5"/>
        <v>R1011</v>
      </c>
      <c r="O534" s="17">
        <f t="shared" si="6"/>
        <v>34</v>
      </c>
      <c r="P534" s="18">
        <v>32664.0</v>
      </c>
    </row>
    <row r="535" ht="15.75" customHeight="1">
      <c r="A535" s="9" t="s">
        <v>1037</v>
      </c>
      <c r="B535" s="17">
        <v>1993.0</v>
      </c>
      <c r="C535" s="9" t="s">
        <v>4738</v>
      </c>
      <c r="D535" s="9">
        <v>28.0</v>
      </c>
      <c r="E535" s="18">
        <f t="shared" si="1"/>
        <v>34240</v>
      </c>
      <c r="F535" s="9">
        <v>1.0</v>
      </c>
      <c r="G535" s="19">
        <v>19107.78</v>
      </c>
      <c r="H535" s="9" t="s">
        <v>4718</v>
      </c>
      <c r="I535" s="9" t="s">
        <v>4723</v>
      </c>
      <c r="J535" s="9" t="s">
        <v>4743</v>
      </c>
      <c r="K535" s="20">
        <f t="shared" si="2"/>
        <v>1993</v>
      </c>
      <c r="L535" s="9" t="str">
        <f t="shared" si="3"/>
        <v>tier - 1</v>
      </c>
      <c r="M535" s="9" t="str">
        <f t="shared" si="4"/>
        <v>tier - 2</v>
      </c>
      <c r="N535" s="9" t="str">
        <f t="shared" si="5"/>
        <v>R1013</v>
      </c>
      <c r="O535" s="17">
        <f t="shared" si="6"/>
        <v>29</v>
      </c>
      <c r="P535" s="18">
        <v>34240.0</v>
      </c>
    </row>
    <row r="536" ht="15.75" customHeight="1">
      <c r="A536" s="9" t="s">
        <v>1035</v>
      </c>
      <c r="B536" s="17">
        <v>1979.0</v>
      </c>
      <c r="C536" s="9" t="s">
        <v>4741</v>
      </c>
      <c r="D536" s="9">
        <v>2.0</v>
      </c>
      <c r="E536" s="18">
        <f t="shared" si="1"/>
        <v>29038</v>
      </c>
      <c r="F536" s="9">
        <v>2.0</v>
      </c>
      <c r="G536" s="19">
        <v>19144.58</v>
      </c>
      <c r="H536" s="9" t="s">
        <v>4718</v>
      </c>
      <c r="I536" s="9" t="s">
        <v>4718</v>
      </c>
      <c r="J536" s="9" t="s">
        <v>4731</v>
      </c>
      <c r="K536" s="20">
        <f t="shared" si="2"/>
        <v>1979</v>
      </c>
      <c r="L536" s="9" t="str">
        <f t="shared" si="3"/>
        <v>tier - 1</v>
      </c>
      <c r="M536" s="9" t="str">
        <f t="shared" si="4"/>
        <v>tier - 1</v>
      </c>
      <c r="N536" s="9" t="str">
        <f t="shared" si="5"/>
        <v>R1024</v>
      </c>
      <c r="O536" s="17">
        <f t="shared" si="6"/>
        <v>43</v>
      </c>
      <c r="P536" s="18">
        <v>29038.0</v>
      </c>
    </row>
    <row r="537" ht="15.75" customHeight="1">
      <c r="A537" s="9" t="s">
        <v>1033</v>
      </c>
      <c r="B537" s="17">
        <v>1991.0</v>
      </c>
      <c r="C537" s="9" t="s">
        <v>4738</v>
      </c>
      <c r="D537" s="9">
        <v>16.0</v>
      </c>
      <c r="E537" s="18">
        <f t="shared" si="1"/>
        <v>33497</v>
      </c>
      <c r="F537" s="9">
        <v>3.0</v>
      </c>
      <c r="G537" s="19">
        <v>19199.94</v>
      </c>
      <c r="H537" s="9" t="s">
        <v>4718</v>
      </c>
      <c r="I537" s="9" t="s">
        <v>4717</v>
      </c>
      <c r="J537" s="9" t="s">
        <v>4719</v>
      </c>
      <c r="K537" s="20">
        <f t="shared" si="2"/>
        <v>1991</v>
      </c>
      <c r="L537" s="9" t="str">
        <f t="shared" si="3"/>
        <v>tier - 1</v>
      </c>
      <c r="M537" s="9" t="str">
        <f t="shared" si="4"/>
        <v>tier - 3</v>
      </c>
      <c r="N537" s="9" t="str">
        <f t="shared" si="5"/>
        <v>R1011</v>
      </c>
      <c r="O537" s="17">
        <f t="shared" si="6"/>
        <v>31</v>
      </c>
      <c r="P537" s="18">
        <v>33497.0</v>
      </c>
    </row>
    <row r="538" ht="15.75" customHeight="1">
      <c r="A538" s="9" t="s">
        <v>1031</v>
      </c>
      <c r="B538" s="17">
        <v>1985.0</v>
      </c>
      <c r="C538" s="9" t="s">
        <v>4725</v>
      </c>
      <c r="D538" s="9">
        <v>28.0</v>
      </c>
      <c r="E538" s="18">
        <f t="shared" si="1"/>
        <v>31409</v>
      </c>
      <c r="F538" s="9">
        <v>0.0</v>
      </c>
      <c r="G538" s="19">
        <v>19214.71</v>
      </c>
      <c r="H538" s="9" t="s">
        <v>4718</v>
      </c>
      <c r="I538" s="9" t="s">
        <v>4717</v>
      </c>
      <c r="J538" s="9" t="s">
        <v>4743</v>
      </c>
      <c r="K538" s="20">
        <f t="shared" si="2"/>
        <v>1985</v>
      </c>
      <c r="L538" s="9" t="str">
        <f t="shared" si="3"/>
        <v>tier - 1</v>
      </c>
      <c r="M538" s="9" t="str">
        <f t="shared" si="4"/>
        <v>tier - 3</v>
      </c>
      <c r="N538" s="9" t="str">
        <f t="shared" si="5"/>
        <v>R1013</v>
      </c>
      <c r="O538" s="17">
        <f t="shared" si="6"/>
        <v>37</v>
      </c>
      <c r="P538" s="18">
        <v>31409.0</v>
      </c>
    </row>
    <row r="539" ht="15.75" customHeight="1">
      <c r="A539" s="9" t="s">
        <v>1029</v>
      </c>
      <c r="B539" s="17">
        <v>1967.0</v>
      </c>
      <c r="C539" s="9" t="s">
        <v>4741</v>
      </c>
      <c r="D539" s="9">
        <v>29.0</v>
      </c>
      <c r="E539" s="18">
        <f t="shared" si="1"/>
        <v>24682</v>
      </c>
      <c r="F539" s="9">
        <v>0.0</v>
      </c>
      <c r="G539" s="19">
        <v>19259.96</v>
      </c>
      <c r="H539" s="9" t="s">
        <v>4718</v>
      </c>
      <c r="I539" s="9" t="s">
        <v>4718</v>
      </c>
      <c r="J539" s="9" t="s">
        <v>4733</v>
      </c>
      <c r="K539" s="20">
        <f t="shared" si="2"/>
        <v>1967</v>
      </c>
      <c r="L539" s="9" t="str">
        <f t="shared" si="3"/>
        <v>tier - 1</v>
      </c>
      <c r="M539" s="9" t="str">
        <f t="shared" si="4"/>
        <v>tier - 1</v>
      </c>
      <c r="N539" s="9" t="str">
        <f t="shared" si="5"/>
        <v>R1012</v>
      </c>
      <c r="O539" s="17">
        <f t="shared" si="6"/>
        <v>55</v>
      </c>
      <c r="P539" s="18">
        <v>24682.0</v>
      </c>
    </row>
    <row r="540" ht="15.75" customHeight="1">
      <c r="A540" s="9" t="s">
        <v>1027</v>
      </c>
      <c r="B540" s="17">
        <v>1966.0</v>
      </c>
      <c r="C540" s="9" t="s">
        <v>4735</v>
      </c>
      <c r="D540" s="9">
        <v>15.0</v>
      </c>
      <c r="E540" s="18">
        <f t="shared" si="1"/>
        <v>24426</v>
      </c>
      <c r="F540" s="9">
        <v>0.0</v>
      </c>
      <c r="G540" s="19">
        <v>19321.06</v>
      </c>
      <c r="H540" s="9" t="s">
        <v>4718</v>
      </c>
      <c r="I540" s="9" t="s">
        <v>4718</v>
      </c>
      <c r="J540" s="9" t="s">
        <v>4733</v>
      </c>
      <c r="K540" s="20">
        <f t="shared" si="2"/>
        <v>1966</v>
      </c>
      <c r="L540" s="9" t="str">
        <f t="shared" si="3"/>
        <v>tier - 1</v>
      </c>
      <c r="M540" s="9" t="str">
        <f t="shared" si="4"/>
        <v>tier - 1</v>
      </c>
      <c r="N540" s="9" t="str">
        <f t="shared" si="5"/>
        <v>R1012</v>
      </c>
      <c r="O540" s="17">
        <f t="shared" si="6"/>
        <v>56</v>
      </c>
      <c r="P540" s="18">
        <v>24426.0</v>
      </c>
    </row>
    <row r="541" ht="15.75" customHeight="1">
      <c r="A541" s="9" t="s">
        <v>1025</v>
      </c>
      <c r="B541" s="17">
        <v>1991.0</v>
      </c>
      <c r="C541" s="9" t="s">
        <v>4716</v>
      </c>
      <c r="D541" s="9">
        <v>24.0</v>
      </c>
      <c r="E541" s="18">
        <f t="shared" si="1"/>
        <v>33474</v>
      </c>
      <c r="F541" s="9">
        <v>0.0</v>
      </c>
      <c r="G541" s="19">
        <v>19350.37</v>
      </c>
      <c r="H541" s="9" t="s">
        <v>4718</v>
      </c>
      <c r="I541" s="9" t="s">
        <v>4717</v>
      </c>
      <c r="J541" s="9" t="s">
        <v>4743</v>
      </c>
      <c r="K541" s="20">
        <f t="shared" si="2"/>
        <v>1991</v>
      </c>
      <c r="L541" s="9" t="str">
        <f t="shared" si="3"/>
        <v>tier - 1</v>
      </c>
      <c r="M541" s="9" t="str">
        <f t="shared" si="4"/>
        <v>tier - 3</v>
      </c>
      <c r="N541" s="9" t="str">
        <f t="shared" si="5"/>
        <v>R1013</v>
      </c>
      <c r="O541" s="17">
        <f t="shared" si="6"/>
        <v>31</v>
      </c>
      <c r="P541" s="18">
        <v>33474.0</v>
      </c>
    </row>
    <row r="542" ht="15.75" customHeight="1">
      <c r="A542" s="9" t="s">
        <v>1023</v>
      </c>
      <c r="B542" s="17">
        <v>1987.0</v>
      </c>
      <c r="C542" s="9" t="s">
        <v>4730</v>
      </c>
      <c r="D542" s="9">
        <v>30.0</v>
      </c>
      <c r="E542" s="18">
        <f t="shared" si="1"/>
        <v>31958</v>
      </c>
      <c r="F542" s="9">
        <v>3.0</v>
      </c>
      <c r="G542" s="19">
        <v>19362.0</v>
      </c>
      <c r="H542" s="9" t="s">
        <v>4718</v>
      </c>
      <c r="I542" s="9" t="s">
        <v>4717</v>
      </c>
      <c r="J542" s="9" t="s">
        <v>4743</v>
      </c>
      <c r="K542" s="20">
        <f t="shared" si="2"/>
        <v>1987</v>
      </c>
      <c r="L542" s="9" t="str">
        <f t="shared" si="3"/>
        <v>tier - 1</v>
      </c>
      <c r="M542" s="9" t="str">
        <f t="shared" si="4"/>
        <v>tier - 3</v>
      </c>
      <c r="N542" s="9" t="str">
        <f t="shared" si="5"/>
        <v>R1013</v>
      </c>
      <c r="O542" s="17">
        <f t="shared" si="6"/>
        <v>35</v>
      </c>
      <c r="P542" s="18">
        <v>31958.0</v>
      </c>
    </row>
    <row r="543" ht="15.75" customHeight="1">
      <c r="A543" s="9" t="s">
        <v>1021</v>
      </c>
      <c r="B543" s="17">
        <v>1993.0</v>
      </c>
      <c r="C543" s="9" t="s">
        <v>4738</v>
      </c>
      <c r="D543" s="9">
        <v>6.0</v>
      </c>
      <c r="E543" s="18">
        <f t="shared" si="1"/>
        <v>34218</v>
      </c>
      <c r="F543" s="9">
        <v>2.0</v>
      </c>
      <c r="G543" s="19">
        <v>19442.35</v>
      </c>
      <c r="H543" s="9" t="s">
        <v>4718</v>
      </c>
      <c r="I543" s="9" t="s">
        <v>4717</v>
      </c>
      <c r="J543" s="9" t="s">
        <v>4733</v>
      </c>
      <c r="K543" s="20">
        <f t="shared" si="2"/>
        <v>1993</v>
      </c>
      <c r="L543" s="9" t="str">
        <f t="shared" si="3"/>
        <v>tier - 1</v>
      </c>
      <c r="M543" s="9" t="str">
        <f t="shared" si="4"/>
        <v>tier - 3</v>
      </c>
      <c r="N543" s="9" t="str">
        <f t="shared" si="5"/>
        <v>R1012</v>
      </c>
      <c r="O543" s="17">
        <f t="shared" si="6"/>
        <v>29</v>
      </c>
      <c r="P543" s="18">
        <v>34218.0</v>
      </c>
    </row>
    <row r="544" ht="15.75" customHeight="1">
      <c r="A544" s="9" t="s">
        <v>103</v>
      </c>
      <c r="B544" s="17">
        <v>1986.0</v>
      </c>
      <c r="C544" s="9" t="s">
        <v>4725</v>
      </c>
      <c r="D544" s="9">
        <v>29.0</v>
      </c>
      <c r="E544" s="18">
        <f t="shared" si="1"/>
        <v>31775</v>
      </c>
      <c r="F544" s="9">
        <v>3.0</v>
      </c>
      <c r="G544" s="19">
        <v>43753.34</v>
      </c>
      <c r="H544" s="9" t="s">
        <v>4723</v>
      </c>
      <c r="I544" s="9" t="s">
        <v>4718</v>
      </c>
      <c r="J544" s="9" t="s">
        <v>4757</v>
      </c>
      <c r="K544" s="20">
        <f t="shared" si="2"/>
        <v>1986</v>
      </c>
      <c r="L544" s="9" t="str">
        <f t="shared" si="3"/>
        <v>tier - 2</v>
      </c>
      <c r="M544" s="9" t="str">
        <f t="shared" si="4"/>
        <v>tier - 1</v>
      </c>
      <c r="N544" s="9" t="str">
        <f t="shared" si="5"/>
        <v>R1015</v>
      </c>
      <c r="O544" s="17">
        <f t="shared" si="6"/>
        <v>36</v>
      </c>
      <c r="P544" s="18">
        <v>31775.0</v>
      </c>
    </row>
    <row r="545" ht="15.75" customHeight="1">
      <c r="A545" s="9" t="s">
        <v>1019</v>
      </c>
      <c r="B545" s="17">
        <v>1982.0</v>
      </c>
      <c r="C545" s="9" t="s">
        <v>4725</v>
      </c>
      <c r="D545" s="9">
        <v>15.0</v>
      </c>
      <c r="E545" s="18">
        <f t="shared" si="1"/>
        <v>30300</v>
      </c>
      <c r="F545" s="9">
        <v>2.0</v>
      </c>
      <c r="G545" s="19">
        <v>19444.27</v>
      </c>
      <c r="H545" s="9" t="s">
        <v>4718</v>
      </c>
      <c r="I545" s="9" t="s">
        <v>4718</v>
      </c>
      <c r="J545" s="9" t="s">
        <v>4743</v>
      </c>
      <c r="K545" s="20">
        <f t="shared" si="2"/>
        <v>1982</v>
      </c>
      <c r="L545" s="9" t="str">
        <f t="shared" si="3"/>
        <v>tier - 1</v>
      </c>
      <c r="M545" s="9" t="str">
        <f t="shared" si="4"/>
        <v>tier - 1</v>
      </c>
      <c r="N545" s="9" t="str">
        <f t="shared" si="5"/>
        <v>R1013</v>
      </c>
      <c r="O545" s="17">
        <f t="shared" si="6"/>
        <v>40</v>
      </c>
      <c r="P545" s="18">
        <v>30300.0</v>
      </c>
    </row>
    <row r="546" ht="15.75" customHeight="1">
      <c r="A546" s="9" t="s">
        <v>1017</v>
      </c>
      <c r="B546" s="17">
        <v>1987.0</v>
      </c>
      <c r="C546" s="9" t="s">
        <v>4735</v>
      </c>
      <c r="D546" s="9">
        <v>30.0</v>
      </c>
      <c r="E546" s="18">
        <f t="shared" si="1"/>
        <v>32111</v>
      </c>
      <c r="F546" s="9">
        <v>4.0</v>
      </c>
      <c r="G546" s="19">
        <v>19496.72</v>
      </c>
      <c r="H546" s="9" t="s">
        <v>4718</v>
      </c>
      <c r="I546" s="9" t="s">
        <v>4717</v>
      </c>
      <c r="J546" s="9" t="s">
        <v>4728</v>
      </c>
      <c r="K546" s="20">
        <f t="shared" si="2"/>
        <v>1987</v>
      </c>
      <c r="L546" s="9" t="str">
        <f t="shared" si="3"/>
        <v>tier - 1</v>
      </c>
      <c r="M546" s="9" t="str">
        <f t="shared" si="4"/>
        <v>tier - 3</v>
      </c>
      <c r="N546" s="9" t="str">
        <f t="shared" si="5"/>
        <v>R1019</v>
      </c>
      <c r="O546" s="17">
        <f t="shared" si="6"/>
        <v>35</v>
      </c>
      <c r="P546" s="18">
        <v>32111.0</v>
      </c>
    </row>
    <row r="547" ht="15.75" customHeight="1">
      <c r="A547" s="9" t="s">
        <v>1015</v>
      </c>
      <c r="B547" s="17">
        <v>1980.0</v>
      </c>
      <c r="C547" s="9" t="s">
        <v>4735</v>
      </c>
      <c r="D547" s="9">
        <v>8.0</v>
      </c>
      <c r="E547" s="18">
        <f t="shared" si="1"/>
        <v>29533</v>
      </c>
      <c r="F547" s="9">
        <v>0.0</v>
      </c>
      <c r="G547" s="19">
        <v>19515.54</v>
      </c>
      <c r="H547" s="9" t="s">
        <v>4718</v>
      </c>
      <c r="I547" s="9" t="s">
        <v>4718</v>
      </c>
      <c r="J547" s="9" t="s">
        <v>4743</v>
      </c>
      <c r="K547" s="20">
        <f t="shared" si="2"/>
        <v>1980</v>
      </c>
      <c r="L547" s="9" t="str">
        <f t="shared" si="3"/>
        <v>tier - 1</v>
      </c>
      <c r="M547" s="9" t="str">
        <f t="shared" si="4"/>
        <v>tier - 1</v>
      </c>
      <c r="N547" s="9" t="str">
        <f t="shared" si="5"/>
        <v>R1013</v>
      </c>
      <c r="O547" s="17">
        <f t="shared" si="6"/>
        <v>42</v>
      </c>
      <c r="P547" s="18">
        <v>29533.0</v>
      </c>
    </row>
    <row r="548" ht="15.75" customHeight="1">
      <c r="A548" s="9" t="s">
        <v>1013</v>
      </c>
      <c r="B548" s="17">
        <v>1992.0</v>
      </c>
      <c r="C548" s="9" t="s">
        <v>4716</v>
      </c>
      <c r="D548" s="9">
        <v>19.0</v>
      </c>
      <c r="E548" s="18">
        <f t="shared" si="1"/>
        <v>33835</v>
      </c>
      <c r="F548" s="9">
        <v>1.0</v>
      </c>
      <c r="G548" s="19">
        <v>19521.97</v>
      </c>
      <c r="H548" s="9" t="s">
        <v>4718</v>
      </c>
      <c r="I548" s="9" t="s">
        <v>4723</v>
      </c>
      <c r="J548" s="9" t="s">
        <v>4743</v>
      </c>
      <c r="K548" s="20">
        <f t="shared" si="2"/>
        <v>1992</v>
      </c>
      <c r="L548" s="9" t="str">
        <f t="shared" si="3"/>
        <v>tier - 1</v>
      </c>
      <c r="M548" s="9" t="str">
        <f t="shared" si="4"/>
        <v>tier - 2</v>
      </c>
      <c r="N548" s="9" t="str">
        <f t="shared" si="5"/>
        <v>R1013</v>
      </c>
      <c r="O548" s="17">
        <f t="shared" si="6"/>
        <v>30</v>
      </c>
      <c r="P548" s="18">
        <v>33835.0</v>
      </c>
    </row>
    <row r="549" ht="15.75" customHeight="1">
      <c r="A549" s="9" t="s">
        <v>1011</v>
      </c>
      <c r="B549" s="17">
        <v>1985.0</v>
      </c>
      <c r="C549" s="9" t="s">
        <v>4738</v>
      </c>
      <c r="D549" s="9">
        <v>17.0</v>
      </c>
      <c r="E549" s="18">
        <f t="shared" si="1"/>
        <v>31307</v>
      </c>
      <c r="F549" s="9">
        <v>0.0</v>
      </c>
      <c r="G549" s="19">
        <v>19539.24</v>
      </c>
      <c r="H549" s="9" t="s">
        <v>4718</v>
      </c>
      <c r="I549" s="9" t="s">
        <v>4718</v>
      </c>
      <c r="J549" s="9" t="s">
        <v>4743</v>
      </c>
      <c r="K549" s="20">
        <f t="shared" si="2"/>
        <v>1985</v>
      </c>
      <c r="L549" s="9" t="str">
        <f t="shared" si="3"/>
        <v>tier - 1</v>
      </c>
      <c r="M549" s="9" t="str">
        <f t="shared" si="4"/>
        <v>tier - 1</v>
      </c>
      <c r="N549" s="9" t="str">
        <f t="shared" si="5"/>
        <v>R1013</v>
      </c>
      <c r="O549" s="17">
        <f t="shared" si="6"/>
        <v>37</v>
      </c>
      <c r="P549" s="18">
        <v>31307.0</v>
      </c>
    </row>
    <row r="550" ht="15.75" customHeight="1">
      <c r="A550" s="9" t="s">
        <v>1009</v>
      </c>
      <c r="B550" s="17">
        <v>1963.0</v>
      </c>
      <c r="C550" s="9" t="s">
        <v>4741</v>
      </c>
      <c r="D550" s="9">
        <v>14.0</v>
      </c>
      <c r="E550" s="18">
        <f t="shared" si="1"/>
        <v>23206</v>
      </c>
      <c r="F550" s="9">
        <v>0.0</v>
      </c>
      <c r="G550" s="19">
        <v>19551.34</v>
      </c>
      <c r="H550" s="9" t="s">
        <v>4718</v>
      </c>
      <c r="I550" s="9" t="s">
        <v>4717</v>
      </c>
      <c r="J550" s="9" t="s">
        <v>4733</v>
      </c>
      <c r="K550" s="20">
        <f t="shared" si="2"/>
        <v>1963</v>
      </c>
      <c r="L550" s="9" t="str">
        <f t="shared" si="3"/>
        <v>tier - 1</v>
      </c>
      <c r="M550" s="9" t="str">
        <f t="shared" si="4"/>
        <v>tier - 3</v>
      </c>
      <c r="N550" s="9" t="str">
        <f t="shared" si="5"/>
        <v>R1012</v>
      </c>
      <c r="O550" s="17">
        <f t="shared" si="6"/>
        <v>59</v>
      </c>
      <c r="P550" s="18">
        <v>23206.0</v>
      </c>
    </row>
    <row r="551" ht="15.75" customHeight="1">
      <c r="A551" s="9" t="s">
        <v>1007</v>
      </c>
      <c r="B551" s="17">
        <v>1978.0</v>
      </c>
      <c r="C551" s="9" t="s">
        <v>4738</v>
      </c>
      <c r="D551" s="9">
        <v>24.0</v>
      </c>
      <c r="E551" s="18">
        <f t="shared" si="1"/>
        <v>28757</v>
      </c>
      <c r="F551" s="9">
        <v>1.0</v>
      </c>
      <c r="G551" s="19">
        <v>19594.81</v>
      </c>
      <c r="H551" s="9" t="s">
        <v>4718</v>
      </c>
      <c r="I551" s="9" t="s">
        <v>4718</v>
      </c>
      <c r="J551" s="9" t="s">
        <v>4731</v>
      </c>
      <c r="K551" s="20">
        <f t="shared" si="2"/>
        <v>1978</v>
      </c>
      <c r="L551" s="9" t="str">
        <f t="shared" si="3"/>
        <v>tier - 1</v>
      </c>
      <c r="M551" s="9" t="str">
        <f t="shared" si="4"/>
        <v>tier - 1</v>
      </c>
      <c r="N551" s="9" t="str">
        <f t="shared" si="5"/>
        <v>R1024</v>
      </c>
      <c r="O551" s="17">
        <f t="shared" si="6"/>
        <v>44</v>
      </c>
      <c r="P551" s="18">
        <v>28757.0</v>
      </c>
    </row>
    <row r="552" ht="15.75" customHeight="1">
      <c r="A552" s="9" t="s">
        <v>1005</v>
      </c>
      <c r="B552" s="17">
        <v>1994.0</v>
      </c>
      <c r="C552" s="9" t="s">
        <v>4716</v>
      </c>
      <c r="D552" s="9">
        <v>27.0</v>
      </c>
      <c r="E552" s="18">
        <f t="shared" si="1"/>
        <v>34573</v>
      </c>
      <c r="F552" s="9">
        <v>0.0</v>
      </c>
      <c r="G552" s="19">
        <v>19673.34</v>
      </c>
      <c r="H552" s="9" t="s">
        <v>4718</v>
      </c>
      <c r="I552" s="9" t="s">
        <v>4723</v>
      </c>
      <c r="J552" s="9" t="s">
        <v>4733</v>
      </c>
      <c r="K552" s="20">
        <f t="shared" si="2"/>
        <v>1994</v>
      </c>
      <c r="L552" s="9" t="str">
        <f t="shared" si="3"/>
        <v>tier - 1</v>
      </c>
      <c r="M552" s="9" t="str">
        <f t="shared" si="4"/>
        <v>tier - 2</v>
      </c>
      <c r="N552" s="9" t="str">
        <f t="shared" si="5"/>
        <v>R1012</v>
      </c>
      <c r="O552" s="17">
        <f t="shared" si="6"/>
        <v>28</v>
      </c>
      <c r="P552" s="18">
        <v>34573.0</v>
      </c>
    </row>
    <row r="553" ht="15.75" customHeight="1">
      <c r="A553" s="9" t="s">
        <v>1003</v>
      </c>
      <c r="B553" s="17">
        <v>1990.0</v>
      </c>
      <c r="C553" s="9" t="s">
        <v>4716</v>
      </c>
      <c r="D553" s="9">
        <v>8.0</v>
      </c>
      <c r="E553" s="18">
        <f t="shared" si="1"/>
        <v>33093</v>
      </c>
      <c r="F553" s="9">
        <v>1.0</v>
      </c>
      <c r="G553" s="19">
        <v>19719.69</v>
      </c>
      <c r="H553" s="9" t="s">
        <v>4718</v>
      </c>
      <c r="I553" s="9" t="s">
        <v>4723</v>
      </c>
      <c r="J553" s="9" t="s">
        <v>4743</v>
      </c>
      <c r="K553" s="20">
        <f t="shared" si="2"/>
        <v>1990</v>
      </c>
      <c r="L553" s="9" t="str">
        <f t="shared" si="3"/>
        <v>tier - 1</v>
      </c>
      <c r="M553" s="9" t="str">
        <f t="shared" si="4"/>
        <v>tier - 2</v>
      </c>
      <c r="N553" s="9" t="str">
        <f t="shared" si="5"/>
        <v>R1013</v>
      </c>
      <c r="O553" s="17">
        <f t="shared" si="6"/>
        <v>32</v>
      </c>
      <c r="P553" s="18">
        <v>33093.0</v>
      </c>
    </row>
    <row r="554" ht="15.75" customHeight="1">
      <c r="A554" s="9" t="s">
        <v>1001</v>
      </c>
      <c r="B554" s="17">
        <v>1972.0</v>
      </c>
      <c r="C554" s="9" t="s">
        <v>4730</v>
      </c>
      <c r="D554" s="9">
        <v>14.0</v>
      </c>
      <c r="E554" s="18">
        <f t="shared" si="1"/>
        <v>26464</v>
      </c>
      <c r="F554" s="9">
        <v>3.0</v>
      </c>
      <c r="G554" s="19">
        <v>19749.38</v>
      </c>
      <c r="H554" s="9" t="s">
        <v>4718</v>
      </c>
      <c r="I554" s="9" t="s">
        <v>4717</v>
      </c>
      <c r="J554" s="9" t="s">
        <v>4743</v>
      </c>
      <c r="K554" s="20">
        <f t="shared" si="2"/>
        <v>1972</v>
      </c>
      <c r="L554" s="9" t="str">
        <f t="shared" si="3"/>
        <v>tier - 1</v>
      </c>
      <c r="M554" s="9" t="str">
        <f t="shared" si="4"/>
        <v>tier - 3</v>
      </c>
      <c r="N554" s="9" t="str">
        <f t="shared" si="5"/>
        <v>R1013</v>
      </c>
      <c r="O554" s="17">
        <f t="shared" si="6"/>
        <v>50</v>
      </c>
      <c r="P554" s="18">
        <v>26464.0</v>
      </c>
    </row>
    <row r="555" ht="15.75" customHeight="1">
      <c r="A555" s="9" t="s">
        <v>101</v>
      </c>
      <c r="B555" s="17">
        <v>1966.0</v>
      </c>
      <c r="C555" s="9" t="s">
        <v>4720</v>
      </c>
      <c r="D555" s="9">
        <v>25.0</v>
      </c>
      <c r="E555" s="18">
        <f t="shared" si="1"/>
        <v>24405</v>
      </c>
      <c r="F555" s="9">
        <v>2.0</v>
      </c>
      <c r="G555" s="19">
        <v>43813.87</v>
      </c>
      <c r="H555" s="9" t="s">
        <v>4723</v>
      </c>
      <c r="I555" s="9" t="s">
        <v>4723</v>
      </c>
      <c r="J555" s="9" t="s">
        <v>4743</v>
      </c>
      <c r="K555" s="20">
        <f t="shared" si="2"/>
        <v>1966</v>
      </c>
      <c r="L555" s="9" t="str">
        <f t="shared" si="3"/>
        <v>tier - 2</v>
      </c>
      <c r="M555" s="9" t="str">
        <f t="shared" si="4"/>
        <v>tier - 2</v>
      </c>
      <c r="N555" s="9" t="str">
        <f t="shared" si="5"/>
        <v>R1013</v>
      </c>
      <c r="O555" s="17">
        <f t="shared" si="6"/>
        <v>56</v>
      </c>
      <c r="P555" s="18">
        <v>24405.0</v>
      </c>
    </row>
    <row r="556" ht="15.75" customHeight="1">
      <c r="A556" s="9" t="s">
        <v>11</v>
      </c>
      <c r="B556" s="17">
        <v>1989.0</v>
      </c>
      <c r="C556" s="9" t="s">
        <v>4730</v>
      </c>
      <c r="D556" s="9">
        <v>19.0</v>
      </c>
      <c r="E556" s="18">
        <f t="shared" si="1"/>
        <v>32678</v>
      </c>
      <c r="F556" s="9">
        <v>0.0</v>
      </c>
      <c r="G556" s="19">
        <v>55135.4</v>
      </c>
      <c r="H556" s="9" t="s">
        <v>4718</v>
      </c>
      <c r="I556" s="9" t="s">
        <v>4723</v>
      </c>
      <c r="J556" s="9" t="s">
        <v>4733</v>
      </c>
      <c r="K556" s="20">
        <f t="shared" si="2"/>
        <v>1989</v>
      </c>
      <c r="L556" s="9" t="str">
        <f t="shared" si="3"/>
        <v>tier - 1</v>
      </c>
      <c r="M556" s="9" t="str">
        <f t="shared" si="4"/>
        <v>tier - 2</v>
      </c>
      <c r="N556" s="9" t="str">
        <f t="shared" si="5"/>
        <v>R1012</v>
      </c>
      <c r="O556" s="17">
        <f t="shared" si="6"/>
        <v>33</v>
      </c>
      <c r="P556" s="18">
        <v>32678.0</v>
      </c>
    </row>
    <row r="557" ht="15.75" customHeight="1">
      <c r="A557" s="9" t="s">
        <v>999</v>
      </c>
      <c r="B557" s="17">
        <v>1979.0</v>
      </c>
      <c r="C557" s="9" t="s">
        <v>4720</v>
      </c>
      <c r="D557" s="9">
        <v>30.0</v>
      </c>
      <c r="E557" s="18">
        <f t="shared" si="1"/>
        <v>29158</v>
      </c>
      <c r="F557" s="9">
        <v>2.0</v>
      </c>
      <c r="G557" s="19">
        <v>19798.05</v>
      </c>
      <c r="H557" s="9" t="s">
        <v>4718</v>
      </c>
      <c r="I557" s="9" t="s">
        <v>4718</v>
      </c>
      <c r="J557" s="9" t="s">
        <v>4731</v>
      </c>
      <c r="K557" s="20">
        <f t="shared" si="2"/>
        <v>1979</v>
      </c>
      <c r="L557" s="9" t="str">
        <f t="shared" si="3"/>
        <v>tier - 1</v>
      </c>
      <c r="M557" s="9" t="str">
        <f t="shared" si="4"/>
        <v>tier - 1</v>
      </c>
      <c r="N557" s="9" t="str">
        <f t="shared" si="5"/>
        <v>R1024</v>
      </c>
      <c r="O557" s="17">
        <f t="shared" si="6"/>
        <v>43</v>
      </c>
      <c r="P557" s="18">
        <v>29158.0</v>
      </c>
    </row>
    <row r="558" ht="15.75" customHeight="1">
      <c r="A558" s="9" t="s">
        <v>997</v>
      </c>
      <c r="B558" s="17">
        <v>1997.0</v>
      </c>
      <c r="C558" s="9" t="s">
        <v>4720</v>
      </c>
      <c r="D558" s="9">
        <v>18.0</v>
      </c>
      <c r="E558" s="18">
        <f t="shared" si="1"/>
        <v>35721</v>
      </c>
      <c r="F558" s="9">
        <v>3.0</v>
      </c>
      <c r="G558" s="19">
        <v>19933.46</v>
      </c>
      <c r="H558" s="9" t="s">
        <v>4718</v>
      </c>
      <c r="I558" s="9" t="s">
        <v>4717</v>
      </c>
      <c r="J558" s="9" t="s">
        <v>4719</v>
      </c>
      <c r="K558" s="20">
        <f t="shared" si="2"/>
        <v>1997</v>
      </c>
      <c r="L558" s="9" t="str">
        <f t="shared" si="3"/>
        <v>tier - 1</v>
      </c>
      <c r="M558" s="9" t="str">
        <f t="shared" si="4"/>
        <v>tier - 3</v>
      </c>
      <c r="N558" s="9" t="str">
        <f t="shared" si="5"/>
        <v>R1011</v>
      </c>
      <c r="O558" s="17">
        <f t="shared" si="6"/>
        <v>25</v>
      </c>
      <c r="P558" s="18">
        <v>35721.0</v>
      </c>
    </row>
    <row r="559" ht="15.75" customHeight="1">
      <c r="A559" s="9" t="s">
        <v>995</v>
      </c>
      <c r="B559" s="17">
        <v>1980.0</v>
      </c>
      <c r="C559" s="9" t="s">
        <v>4720</v>
      </c>
      <c r="D559" s="9">
        <v>9.0</v>
      </c>
      <c r="E559" s="18">
        <f t="shared" si="1"/>
        <v>29503</v>
      </c>
      <c r="F559" s="9">
        <v>0.0</v>
      </c>
      <c r="G559" s="19">
        <v>19964.75</v>
      </c>
      <c r="H559" s="9" t="s">
        <v>4718</v>
      </c>
      <c r="I559" s="9" t="s">
        <v>4723</v>
      </c>
      <c r="J559" s="9" t="s">
        <v>4731</v>
      </c>
      <c r="K559" s="20">
        <f t="shared" si="2"/>
        <v>1980</v>
      </c>
      <c r="L559" s="9" t="str">
        <f t="shared" si="3"/>
        <v>tier - 1</v>
      </c>
      <c r="M559" s="9" t="str">
        <f t="shared" si="4"/>
        <v>tier - 2</v>
      </c>
      <c r="N559" s="9" t="str">
        <f t="shared" si="5"/>
        <v>R1024</v>
      </c>
      <c r="O559" s="17">
        <f t="shared" si="6"/>
        <v>42</v>
      </c>
      <c r="P559" s="18">
        <v>29503.0</v>
      </c>
    </row>
    <row r="560" ht="15.75" customHeight="1">
      <c r="A560" s="9" t="s">
        <v>993</v>
      </c>
      <c r="B560" s="17">
        <v>1966.0</v>
      </c>
      <c r="C560" s="9" t="s">
        <v>4716</v>
      </c>
      <c r="D560" s="9">
        <v>10.0</v>
      </c>
      <c r="E560" s="18">
        <f t="shared" si="1"/>
        <v>24329</v>
      </c>
      <c r="F560" s="9">
        <v>0.0</v>
      </c>
      <c r="G560" s="19">
        <v>19995.29</v>
      </c>
      <c r="H560" s="9" t="s">
        <v>4718</v>
      </c>
      <c r="I560" s="9" t="s">
        <v>4717</v>
      </c>
      <c r="J560" s="9" t="s">
        <v>4721</v>
      </c>
      <c r="K560" s="20">
        <f t="shared" si="2"/>
        <v>1966</v>
      </c>
      <c r="L560" s="9" t="str">
        <f t="shared" si="3"/>
        <v>tier - 1</v>
      </c>
      <c r="M560" s="9" t="str">
        <f t="shared" si="4"/>
        <v>tier - 3</v>
      </c>
      <c r="N560" s="9" t="str">
        <f t="shared" si="5"/>
        <v>R1026</v>
      </c>
      <c r="O560" s="17">
        <f t="shared" si="6"/>
        <v>56</v>
      </c>
      <c r="P560" s="18">
        <v>24329.0</v>
      </c>
    </row>
    <row r="561" ht="15.75" customHeight="1">
      <c r="A561" s="9" t="s">
        <v>991</v>
      </c>
      <c r="B561" s="17">
        <v>1988.0</v>
      </c>
      <c r="C561" s="9" t="s">
        <v>4741</v>
      </c>
      <c r="D561" s="9">
        <v>25.0</v>
      </c>
      <c r="E561" s="18">
        <f t="shared" si="1"/>
        <v>32349</v>
      </c>
      <c r="F561" s="9">
        <v>1.0</v>
      </c>
      <c r="G561" s="19">
        <v>20009.63</v>
      </c>
      <c r="H561" s="9" t="s">
        <v>4723</v>
      </c>
      <c r="I561" s="9" t="s">
        <v>4718</v>
      </c>
      <c r="J561" s="9" t="s">
        <v>4733</v>
      </c>
      <c r="K561" s="20">
        <f t="shared" si="2"/>
        <v>1988</v>
      </c>
      <c r="L561" s="9" t="str">
        <f t="shared" si="3"/>
        <v>tier - 2</v>
      </c>
      <c r="M561" s="9" t="str">
        <f t="shared" si="4"/>
        <v>tier - 1</v>
      </c>
      <c r="N561" s="9" t="str">
        <f t="shared" si="5"/>
        <v>R1012</v>
      </c>
      <c r="O561" s="17">
        <f t="shared" si="6"/>
        <v>34</v>
      </c>
      <c r="P561" s="18">
        <v>32349.0</v>
      </c>
    </row>
    <row r="562" ht="15.75" customHeight="1">
      <c r="A562" s="9" t="s">
        <v>989</v>
      </c>
      <c r="B562" s="17">
        <v>1983.0</v>
      </c>
      <c r="C562" s="9" t="s">
        <v>4720</v>
      </c>
      <c r="D562" s="9">
        <v>6.0</v>
      </c>
      <c r="E562" s="18">
        <f t="shared" si="1"/>
        <v>30595</v>
      </c>
      <c r="F562" s="9">
        <v>0.0</v>
      </c>
      <c r="G562" s="19">
        <v>20149.32</v>
      </c>
      <c r="H562" s="9" t="s">
        <v>4723</v>
      </c>
      <c r="I562" s="9" t="s">
        <v>4718</v>
      </c>
      <c r="J562" s="9" t="s">
        <v>4754</v>
      </c>
      <c r="K562" s="20">
        <f t="shared" si="2"/>
        <v>1983</v>
      </c>
      <c r="L562" s="9" t="str">
        <f t="shared" si="3"/>
        <v>tier - 2</v>
      </c>
      <c r="M562" s="9" t="str">
        <f t="shared" si="4"/>
        <v>tier - 1</v>
      </c>
      <c r="N562" s="9" t="str">
        <f t="shared" si="5"/>
        <v>R1016</v>
      </c>
      <c r="O562" s="17">
        <f t="shared" si="6"/>
        <v>39</v>
      </c>
      <c r="P562" s="18">
        <v>30595.0</v>
      </c>
    </row>
    <row r="563" ht="15.75" customHeight="1">
      <c r="A563" s="9" t="s">
        <v>987</v>
      </c>
      <c r="B563" s="17">
        <v>2002.0</v>
      </c>
      <c r="C563" s="9" t="s">
        <v>4741</v>
      </c>
      <c r="D563" s="9">
        <v>9.0</v>
      </c>
      <c r="E563" s="18">
        <f t="shared" si="1"/>
        <v>37446</v>
      </c>
      <c r="F563" s="9">
        <v>0.0</v>
      </c>
      <c r="G563" s="19">
        <v>20167.34</v>
      </c>
      <c r="H563" s="9" t="s">
        <v>4717</v>
      </c>
      <c r="I563" s="9" t="s">
        <v>4717</v>
      </c>
      <c r="J563" s="9" t="s">
        <v>4719</v>
      </c>
      <c r="K563" s="20">
        <f t="shared" si="2"/>
        <v>2002</v>
      </c>
      <c r="L563" s="9" t="str">
        <f t="shared" si="3"/>
        <v>tier - 3</v>
      </c>
      <c r="M563" s="9" t="str">
        <f t="shared" si="4"/>
        <v>tier - 3</v>
      </c>
      <c r="N563" s="9" t="str">
        <f t="shared" si="5"/>
        <v>R1011</v>
      </c>
      <c r="O563" s="17">
        <f t="shared" si="6"/>
        <v>20</v>
      </c>
      <c r="P563" s="18">
        <v>37446.0</v>
      </c>
    </row>
    <row r="564" ht="15.75" customHeight="1">
      <c r="A564" s="9" t="s">
        <v>985</v>
      </c>
      <c r="B564" s="17">
        <v>1994.0</v>
      </c>
      <c r="C564" s="9" t="s">
        <v>4730</v>
      </c>
      <c r="D564" s="9">
        <v>8.0</v>
      </c>
      <c r="E564" s="18">
        <f t="shared" si="1"/>
        <v>34493</v>
      </c>
      <c r="F564" s="9">
        <v>2.0</v>
      </c>
      <c r="G564" s="19">
        <v>20177.67</v>
      </c>
      <c r="H564" s="9" t="s">
        <v>4723</v>
      </c>
      <c r="I564" s="9" t="s">
        <v>4718</v>
      </c>
      <c r="J564" s="9" t="s">
        <v>4719</v>
      </c>
      <c r="K564" s="20">
        <f t="shared" si="2"/>
        <v>1994</v>
      </c>
      <c r="L564" s="9" t="str">
        <f t="shared" si="3"/>
        <v>tier - 2</v>
      </c>
      <c r="M564" s="9" t="str">
        <f t="shared" si="4"/>
        <v>tier - 1</v>
      </c>
      <c r="N564" s="9" t="str">
        <f t="shared" si="5"/>
        <v>R1011</v>
      </c>
      <c r="O564" s="17">
        <f t="shared" si="6"/>
        <v>29</v>
      </c>
      <c r="P564" s="18">
        <v>34493.0</v>
      </c>
    </row>
    <row r="565" ht="15.75" customHeight="1">
      <c r="A565" s="9" t="s">
        <v>983</v>
      </c>
      <c r="B565" s="17">
        <v>1987.0</v>
      </c>
      <c r="C565" s="9" t="s">
        <v>4720</v>
      </c>
      <c r="D565" s="9">
        <v>17.0</v>
      </c>
      <c r="E565" s="18">
        <f t="shared" si="1"/>
        <v>32067</v>
      </c>
      <c r="F565" s="9">
        <v>0.0</v>
      </c>
      <c r="G565" s="19">
        <v>20234.85</v>
      </c>
      <c r="H565" s="9" t="s">
        <v>4723</v>
      </c>
      <c r="I565" s="9" t="s">
        <v>4717</v>
      </c>
      <c r="J565" s="9" t="s">
        <v>4733</v>
      </c>
      <c r="K565" s="20">
        <f t="shared" si="2"/>
        <v>1987</v>
      </c>
      <c r="L565" s="9" t="str">
        <f t="shared" si="3"/>
        <v>tier - 2</v>
      </c>
      <c r="M565" s="9" t="str">
        <f t="shared" si="4"/>
        <v>tier - 3</v>
      </c>
      <c r="N565" s="9" t="str">
        <f t="shared" si="5"/>
        <v>R1012</v>
      </c>
      <c r="O565" s="17">
        <f t="shared" si="6"/>
        <v>35</v>
      </c>
      <c r="P565" s="18">
        <v>32067.0</v>
      </c>
    </row>
    <row r="566" ht="15.75" customHeight="1">
      <c r="A566" s="9" t="s">
        <v>981</v>
      </c>
      <c r="B566" s="17">
        <v>1966.0</v>
      </c>
      <c r="C566" s="9" t="s">
        <v>4716</v>
      </c>
      <c r="D566" s="9">
        <v>22.0</v>
      </c>
      <c r="E566" s="18">
        <f t="shared" si="1"/>
        <v>24341</v>
      </c>
      <c r="F566" s="9">
        <v>0.0</v>
      </c>
      <c r="G566" s="19">
        <v>20253.84</v>
      </c>
      <c r="H566" s="9" t="s">
        <v>4723</v>
      </c>
      <c r="I566" s="9" t="s">
        <v>4717</v>
      </c>
      <c r="J566" s="9" t="s">
        <v>4733</v>
      </c>
      <c r="K566" s="20">
        <f t="shared" si="2"/>
        <v>1966</v>
      </c>
      <c r="L566" s="9" t="str">
        <f t="shared" si="3"/>
        <v>tier - 2</v>
      </c>
      <c r="M566" s="9" t="str">
        <f t="shared" si="4"/>
        <v>tier - 3</v>
      </c>
      <c r="N566" s="9" t="str">
        <f t="shared" si="5"/>
        <v>R1012</v>
      </c>
      <c r="O566" s="17">
        <f t="shared" si="6"/>
        <v>56</v>
      </c>
      <c r="P566" s="18">
        <v>24341.0</v>
      </c>
    </row>
    <row r="567" ht="15.75" customHeight="1">
      <c r="A567" s="9" t="s">
        <v>99</v>
      </c>
      <c r="B567" s="17">
        <v>1966.0</v>
      </c>
      <c r="C567" s="9" t="s">
        <v>4741</v>
      </c>
      <c r="D567" s="9">
        <v>2.0</v>
      </c>
      <c r="E567" s="18">
        <f t="shared" si="1"/>
        <v>24290</v>
      </c>
      <c r="F567" s="9">
        <v>0.0</v>
      </c>
      <c r="G567" s="19">
        <v>43817.45</v>
      </c>
      <c r="H567" s="9" t="s">
        <v>4723</v>
      </c>
      <c r="I567" s="9" t="s">
        <v>4717</v>
      </c>
      <c r="J567" s="9" t="s">
        <v>4733</v>
      </c>
      <c r="K567" s="20">
        <f t="shared" si="2"/>
        <v>1966</v>
      </c>
      <c r="L567" s="9" t="str">
        <f t="shared" si="3"/>
        <v>tier - 2</v>
      </c>
      <c r="M567" s="9" t="str">
        <f t="shared" si="4"/>
        <v>tier - 3</v>
      </c>
      <c r="N567" s="9" t="str">
        <f t="shared" si="5"/>
        <v>R1012</v>
      </c>
      <c r="O567" s="17">
        <f t="shared" si="6"/>
        <v>56</v>
      </c>
      <c r="P567" s="18">
        <v>24290.0</v>
      </c>
    </row>
    <row r="568" ht="15.75" customHeight="1">
      <c r="A568" s="9" t="s">
        <v>979</v>
      </c>
      <c r="B568" s="17">
        <v>1993.0</v>
      </c>
      <c r="C568" s="9" t="s">
        <v>4738</v>
      </c>
      <c r="D568" s="9">
        <v>7.0</v>
      </c>
      <c r="E568" s="18">
        <f t="shared" si="1"/>
        <v>34219</v>
      </c>
      <c r="F568" s="9">
        <v>1.0</v>
      </c>
      <c r="G568" s="19">
        <v>20277.81</v>
      </c>
      <c r="H568" s="9" t="s">
        <v>4717</v>
      </c>
      <c r="I568" s="9" t="s">
        <v>4717</v>
      </c>
      <c r="J568" s="9" t="s">
        <v>4754</v>
      </c>
      <c r="K568" s="20">
        <f t="shared" si="2"/>
        <v>1993</v>
      </c>
      <c r="L568" s="9" t="str">
        <f t="shared" si="3"/>
        <v>tier - 3</v>
      </c>
      <c r="M568" s="9" t="str">
        <f t="shared" si="4"/>
        <v>tier - 3</v>
      </c>
      <c r="N568" s="9" t="str">
        <f t="shared" si="5"/>
        <v>R1016</v>
      </c>
      <c r="O568" s="17">
        <f t="shared" si="6"/>
        <v>29</v>
      </c>
      <c r="P568" s="18">
        <v>34219.0</v>
      </c>
    </row>
    <row r="569" ht="15.75" customHeight="1">
      <c r="A569" s="9" t="s">
        <v>977</v>
      </c>
      <c r="B569" s="17">
        <v>1985.0</v>
      </c>
      <c r="C569" s="9" t="s">
        <v>4738</v>
      </c>
      <c r="D569" s="9">
        <v>17.0</v>
      </c>
      <c r="E569" s="18">
        <f t="shared" si="1"/>
        <v>31307</v>
      </c>
      <c r="F569" s="9">
        <v>1.0</v>
      </c>
      <c r="G569" s="19">
        <v>20296.86</v>
      </c>
      <c r="H569" s="9" t="s">
        <v>4717</v>
      </c>
      <c r="I569" s="9" t="s">
        <v>4718</v>
      </c>
      <c r="J569" s="9" t="s">
        <v>4731</v>
      </c>
      <c r="K569" s="20">
        <f t="shared" si="2"/>
        <v>1985</v>
      </c>
      <c r="L569" s="9" t="str">
        <f t="shared" si="3"/>
        <v>tier - 3</v>
      </c>
      <c r="M569" s="9" t="str">
        <f t="shared" si="4"/>
        <v>tier - 1</v>
      </c>
      <c r="N569" s="9" t="str">
        <f t="shared" si="5"/>
        <v>R1024</v>
      </c>
      <c r="O569" s="17">
        <f t="shared" si="6"/>
        <v>37</v>
      </c>
      <c r="P569" s="18">
        <v>31307.0</v>
      </c>
    </row>
    <row r="570" ht="15.75" customHeight="1">
      <c r="A570" s="9" t="s">
        <v>975</v>
      </c>
      <c r="B570" s="17">
        <v>1962.0</v>
      </c>
      <c r="C570" s="9" t="s">
        <v>4741</v>
      </c>
      <c r="D570" s="9">
        <v>2.0</v>
      </c>
      <c r="E570" s="18">
        <f t="shared" si="1"/>
        <v>22829</v>
      </c>
      <c r="F570" s="9">
        <v>0.0</v>
      </c>
      <c r="G570" s="19">
        <v>20354.5</v>
      </c>
      <c r="H570" s="9" t="s">
        <v>4717</v>
      </c>
      <c r="I570" s="9" t="s">
        <v>4723</v>
      </c>
      <c r="J570" s="9" t="s">
        <v>4721</v>
      </c>
      <c r="K570" s="20">
        <f t="shared" si="2"/>
        <v>1962</v>
      </c>
      <c r="L570" s="9" t="str">
        <f t="shared" si="3"/>
        <v>tier - 3</v>
      </c>
      <c r="M570" s="9" t="str">
        <f t="shared" si="4"/>
        <v>tier - 2</v>
      </c>
      <c r="N570" s="9" t="str">
        <f t="shared" si="5"/>
        <v>R1026</v>
      </c>
      <c r="O570" s="17">
        <f t="shared" si="6"/>
        <v>60</v>
      </c>
      <c r="P570" s="18">
        <v>22829.0</v>
      </c>
    </row>
    <row r="571" ht="15.75" customHeight="1">
      <c r="A571" s="9" t="s">
        <v>973</v>
      </c>
      <c r="B571" s="17">
        <v>1985.0</v>
      </c>
      <c r="C571" s="9" t="s">
        <v>4741</v>
      </c>
      <c r="D571" s="9">
        <v>12.0</v>
      </c>
      <c r="E571" s="18">
        <f t="shared" si="1"/>
        <v>31240</v>
      </c>
      <c r="F571" s="9">
        <v>0.0</v>
      </c>
      <c r="G571" s="19">
        <v>20420.6</v>
      </c>
      <c r="H571" s="9" t="s">
        <v>4717</v>
      </c>
      <c r="I571" s="9" t="s">
        <v>4723</v>
      </c>
      <c r="J571" s="9" t="s">
        <v>4719</v>
      </c>
      <c r="K571" s="20">
        <f t="shared" si="2"/>
        <v>1985</v>
      </c>
      <c r="L571" s="9" t="str">
        <f t="shared" si="3"/>
        <v>tier - 3</v>
      </c>
      <c r="M571" s="9" t="str">
        <f t="shared" si="4"/>
        <v>tier - 2</v>
      </c>
      <c r="N571" s="9" t="str">
        <f t="shared" si="5"/>
        <v>R1011</v>
      </c>
      <c r="O571" s="17">
        <f t="shared" si="6"/>
        <v>37</v>
      </c>
      <c r="P571" s="18">
        <v>31240.0</v>
      </c>
    </row>
    <row r="572" ht="15.75" customHeight="1">
      <c r="A572" s="9" t="s">
        <v>971</v>
      </c>
      <c r="B572" s="17">
        <v>1962.0</v>
      </c>
      <c r="C572" s="9" t="s">
        <v>4720</v>
      </c>
      <c r="D572" s="9">
        <v>18.0</v>
      </c>
      <c r="E572" s="18">
        <f t="shared" si="1"/>
        <v>22937</v>
      </c>
      <c r="F572" s="9">
        <v>0.0</v>
      </c>
      <c r="G572" s="19">
        <v>20446.85</v>
      </c>
      <c r="H572" s="9" t="s">
        <v>4723</v>
      </c>
      <c r="I572" s="9" t="s">
        <v>4718</v>
      </c>
      <c r="J572" s="9" t="s">
        <v>4733</v>
      </c>
      <c r="K572" s="20">
        <f t="shared" si="2"/>
        <v>1962</v>
      </c>
      <c r="L572" s="9" t="str">
        <f t="shared" si="3"/>
        <v>tier - 2</v>
      </c>
      <c r="M572" s="9" t="str">
        <f t="shared" si="4"/>
        <v>tier - 1</v>
      </c>
      <c r="N572" s="9" t="str">
        <f t="shared" si="5"/>
        <v>R1012</v>
      </c>
      <c r="O572" s="17">
        <f t="shared" si="6"/>
        <v>60</v>
      </c>
      <c r="P572" s="18">
        <v>22937.0</v>
      </c>
    </row>
    <row r="573" ht="15.75" customHeight="1">
      <c r="A573" s="9" t="s">
        <v>969</v>
      </c>
      <c r="B573" s="17">
        <v>1969.0</v>
      </c>
      <c r="C573" s="9" t="s">
        <v>4720</v>
      </c>
      <c r="D573" s="9">
        <v>13.0</v>
      </c>
      <c r="E573" s="18">
        <f t="shared" si="1"/>
        <v>25489</v>
      </c>
      <c r="F573" s="9">
        <v>3.0</v>
      </c>
      <c r="G573" s="19">
        <v>20463.0</v>
      </c>
      <c r="H573" s="9" t="s">
        <v>4723</v>
      </c>
      <c r="I573" s="9" t="s">
        <v>4723</v>
      </c>
      <c r="J573" s="9" t="s">
        <v>4743</v>
      </c>
      <c r="K573" s="20">
        <f t="shared" si="2"/>
        <v>1969</v>
      </c>
      <c r="L573" s="9" t="str">
        <f t="shared" si="3"/>
        <v>tier - 2</v>
      </c>
      <c r="M573" s="9" t="str">
        <f t="shared" si="4"/>
        <v>tier - 2</v>
      </c>
      <c r="N573" s="9" t="str">
        <f t="shared" si="5"/>
        <v>R1013</v>
      </c>
      <c r="O573" s="17">
        <f t="shared" si="6"/>
        <v>53</v>
      </c>
      <c r="P573" s="18">
        <v>25489.0</v>
      </c>
    </row>
    <row r="574" ht="15.75" customHeight="1">
      <c r="A574" s="9" t="s">
        <v>967</v>
      </c>
      <c r="B574" s="17">
        <v>1966.0</v>
      </c>
      <c r="C574" s="9" t="s">
        <v>4741</v>
      </c>
      <c r="D574" s="9">
        <v>9.0</v>
      </c>
      <c r="E574" s="18">
        <f t="shared" si="1"/>
        <v>24297</v>
      </c>
      <c r="F574" s="9">
        <v>0.0</v>
      </c>
      <c r="G574" s="19">
        <v>20568.32</v>
      </c>
      <c r="H574" s="9" t="s">
        <v>4717</v>
      </c>
      <c r="I574" s="9" t="s">
        <v>4723</v>
      </c>
      <c r="J574" s="9" t="s">
        <v>4733</v>
      </c>
      <c r="K574" s="20">
        <f t="shared" si="2"/>
        <v>1966</v>
      </c>
      <c r="L574" s="9" t="str">
        <f t="shared" si="3"/>
        <v>tier - 3</v>
      </c>
      <c r="M574" s="9" t="str">
        <f t="shared" si="4"/>
        <v>tier - 2</v>
      </c>
      <c r="N574" s="9" t="str">
        <f t="shared" si="5"/>
        <v>R1012</v>
      </c>
      <c r="O574" s="17">
        <f t="shared" si="6"/>
        <v>56</v>
      </c>
      <c r="P574" s="18">
        <v>24297.0</v>
      </c>
    </row>
    <row r="575" ht="15.75" customHeight="1">
      <c r="A575" s="9" t="s">
        <v>965</v>
      </c>
      <c r="B575" s="17">
        <v>1967.0</v>
      </c>
      <c r="C575" s="9" t="s">
        <v>4725</v>
      </c>
      <c r="D575" s="9">
        <v>17.0</v>
      </c>
      <c r="E575" s="18">
        <f t="shared" si="1"/>
        <v>24823</v>
      </c>
      <c r="F575" s="9">
        <v>0.0</v>
      </c>
      <c r="G575" s="19">
        <v>20630.28</v>
      </c>
      <c r="H575" s="9" t="s">
        <v>4723</v>
      </c>
      <c r="I575" s="9" t="s">
        <v>4717</v>
      </c>
      <c r="J575" s="9" t="s">
        <v>4719</v>
      </c>
      <c r="K575" s="20">
        <f t="shared" si="2"/>
        <v>1967</v>
      </c>
      <c r="L575" s="9" t="str">
        <f t="shared" si="3"/>
        <v>tier - 2</v>
      </c>
      <c r="M575" s="9" t="str">
        <f t="shared" si="4"/>
        <v>tier - 3</v>
      </c>
      <c r="N575" s="9" t="str">
        <f t="shared" si="5"/>
        <v>R1011</v>
      </c>
      <c r="O575" s="17">
        <f t="shared" si="6"/>
        <v>55</v>
      </c>
      <c r="P575" s="18">
        <v>24823.0</v>
      </c>
    </row>
    <row r="576" ht="15.75" customHeight="1">
      <c r="A576" s="9" t="s">
        <v>963</v>
      </c>
      <c r="B576" s="17">
        <v>1965.0</v>
      </c>
      <c r="C576" s="9" t="s">
        <v>4716</v>
      </c>
      <c r="D576" s="9">
        <v>1.0</v>
      </c>
      <c r="E576" s="18">
        <f t="shared" si="1"/>
        <v>23955</v>
      </c>
      <c r="F576" s="9">
        <v>0.0</v>
      </c>
      <c r="G576" s="19">
        <v>20709.02</v>
      </c>
      <c r="H576" s="9" t="s">
        <v>4717</v>
      </c>
      <c r="I576" s="9" t="s">
        <v>4723</v>
      </c>
      <c r="J576" s="9" t="s">
        <v>4728</v>
      </c>
      <c r="K576" s="20">
        <f t="shared" si="2"/>
        <v>1965</v>
      </c>
      <c r="L576" s="9" t="str">
        <f t="shared" si="3"/>
        <v>tier - 3</v>
      </c>
      <c r="M576" s="9" t="str">
        <f t="shared" si="4"/>
        <v>tier - 2</v>
      </c>
      <c r="N576" s="9" t="str">
        <f t="shared" si="5"/>
        <v>R1019</v>
      </c>
      <c r="O576" s="17">
        <f t="shared" si="6"/>
        <v>57</v>
      </c>
      <c r="P576" s="18">
        <v>23955.0</v>
      </c>
    </row>
    <row r="577" ht="15.75" customHeight="1">
      <c r="A577" s="9" t="s">
        <v>961</v>
      </c>
      <c r="B577" s="17">
        <v>1992.0</v>
      </c>
      <c r="C577" s="9" t="s">
        <v>4738</v>
      </c>
      <c r="D577" s="9">
        <v>14.0</v>
      </c>
      <c r="E577" s="18">
        <f t="shared" si="1"/>
        <v>33861</v>
      </c>
      <c r="F577" s="9">
        <v>3.0</v>
      </c>
      <c r="G577" s="19">
        <v>20745.99</v>
      </c>
      <c r="H577" s="9" t="s">
        <v>4717</v>
      </c>
      <c r="I577" s="9" t="s">
        <v>4718</v>
      </c>
      <c r="J577" s="9" t="s">
        <v>4733</v>
      </c>
      <c r="K577" s="20">
        <f t="shared" si="2"/>
        <v>1992</v>
      </c>
      <c r="L577" s="9" t="str">
        <f t="shared" si="3"/>
        <v>tier - 3</v>
      </c>
      <c r="M577" s="9" t="str">
        <f t="shared" si="4"/>
        <v>tier - 1</v>
      </c>
      <c r="N577" s="9" t="str">
        <f t="shared" si="5"/>
        <v>R1012</v>
      </c>
      <c r="O577" s="17">
        <f t="shared" si="6"/>
        <v>30</v>
      </c>
      <c r="P577" s="18">
        <v>33861.0</v>
      </c>
    </row>
    <row r="578" ht="15.75" customHeight="1">
      <c r="A578" s="9" t="s">
        <v>97</v>
      </c>
      <c r="B578" s="17">
        <v>1980.0</v>
      </c>
      <c r="C578" s="9" t="s">
        <v>4735</v>
      </c>
      <c r="D578" s="9">
        <v>10.0</v>
      </c>
      <c r="E578" s="18">
        <f t="shared" si="1"/>
        <v>29535</v>
      </c>
      <c r="F578" s="9">
        <v>2.0</v>
      </c>
      <c r="G578" s="19">
        <v>43896.38</v>
      </c>
      <c r="H578" s="9" t="s">
        <v>4723</v>
      </c>
      <c r="I578" s="9" t="s">
        <v>4718</v>
      </c>
      <c r="J578" s="9" t="s">
        <v>4743</v>
      </c>
      <c r="K578" s="20">
        <f t="shared" si="2"/>
        <v>1980</v>
      </c>
      <c r="L578" s="9" t="str">
        <f t="shared" si="3"/>
        <v>tier - 2</v>
      </c>
      <c r="M578" s="9" t="str">
        <f t="shared" si="4"/>
        <v>tier - 1</v>
      </c>
      <c r="N578" s="9" t="str">
        <f t="shared" si="5"/>
        <v>R1013</v>
      </c>
      <c r="O578" s="17">
        <f t="shared" si="6"/>
        <v>42</v>
      </c>
      <c r="P578" s="18">
        <v>29535.0</v>
      </c>
    </row>
    <row r="579" ht="15.75" customHeight="1">
      <c r="A579" s="9" t="s">
        <v>959</v>
      </c>
      <c r="B579" s="17">
        <v>1986.0</v>
      </c>
      <c r="C579" s="9" t="s">
        <v>4716</v>
      </c>
      <c r="D579" s="9">
        <v>4.0</v>
      </c>
      <c r="E579" s="18">
        <f t="shared" si="1"/>
        <v>31628</v>
      </c>
      <c r="F579" s="9">
        <v>1.0</v>
      </c>
      <c r="G579" s="19">
        <v>20773.63</v>
      </c>
      <c r="H579" s="9" t="s">
        <v>4723</v>
      </c>
      <c r="I579" s="9" t="s">
        <v>4717</v>
      </c>
      <c r="J579" s="9" t="s">
        <v>4753</v>
      </c>
      <c r="K579" s="20">
        <f t="shared" si="2"/>
        <v>1986</v>
      </c>
      <c r="L579" s="9" t="str">
        <f t="shared" si="3"/>
        <v>tier - 2</v>
      </c>
      <c r="M579" s="9" t="str">
        <f t="shared" si="4"/>
        <v>tier - 3</v>
      </c>
      <c r="N579" s="9" t="str">
        <f t="shared" si="5"/>
        <v>R1017</v>
      </c>
      <c r="O579" s="17">
        <f t="shared" si="6"/>
        <v>36</v>
      </c>
      <c r="P579" s="18">
        <v>31628.0</v>
      </c>
    </row>
    <row r="580" ht="15.75" customHeight="1">
      <c r="A580" s="9" t="s">
        <v>957</v>
      </c>
      <c r="B580" s="17">
        <v>1967.0</v>
      </c>
      <c r="C580" s="9" t="s">
        <v>4738</v>
      </c>
      <c r="D580" s="9">
        <v>8.0</v>
      </c>
      <c r="E580" s="18">
        <f t="shared" si="1"/>
        <v>24723</v>
      </c>
      <c r="F580" s="9">
        <v>0.0</v>
      </c>
      <c r="G580" s="19">
        <v>20781.49</v>
      </c>
      <c r="H580" s="9" t="s">
        <v>4723</v>
      </c>
      <c r="I580" s="9" t="s">
        <v>4717</v>
      </c>
      <c r="J580" s="9" t="s">
        <v>4743</v>
      </c>
      <c r="K580" s="20">
        <f t="shared" si="2"/>
        <v>1967</v>
      </c>
      <c r="L580" s="9" t="str">
        <f t="shared" si="3"/>
        <v>tier - 2</v>
      </c>
      <c r="M580" s="9" t="str">
        <f t="shared" si="4"/>
        <v>tier - 3</v>
      </c>
      <c r="N580" s="9" t="str">
        <f t="shared" si="5"/>
        <v>R1013</v>
      </c>
      <c r="O580" s="17">
        <f t="shared" si="6"/>
        <v>55</v>
      </c>
      <c r="P580" s="18">
        <v>24723.0</v>
      </c>
    </row>
    <row r="581" ht="15.75" customHeight="1">
      <c r="A581" s="9" t="s">
        <v>955</v>
      </c>
      <c r="B581" s="17">
        <v>1975.0</v>
      </c>
      <c r="C581" s="9" t="s">
        <v>4725</v>
      </c>
      <c r="D581" s="9">
        <v>8.0</v>
      </c>
      <c r="E581" s="18">
        <f t="shared" si="1"/>
        <v>27736</v>
      </c>
      <c r="F581" s="9">
        <v>0.0</v>
      </c>
      <c r="G581" s="19">
        <v>20878.78</v>
      </c>
      <c r="H581" s="9" t="s">
        <v>4723</v>
      </c>
      <c r="I581" s="9" t="s">
        <v>4718</v>
      </c>
      <c r="J581" s="9" t="s">
        <v>4731</v>
      </c>
      <c r="K581" s="20">
        <f t="shared" si="2"/>
        <v>1975</v>
      </c>
      <c r="L581" s="9" t="str">
        <f t="shared" si="3"/>
        <v>tier - 2</v>
      </c>
      <c r="M581" s="9" t="str">
        <f t="shared" si="4"/>
        <v>tier - 1</v>
      </c>
      <c r="N581" s="9" t="str">
        <f t="shared" si="5"/>
        <v>R1024</v>
      </c>
      <c r="O581" s="17">
        <f t="shared" si="6"/>
        <v>47</v>
      </c>
      <c r="P581" s="18">
        <v>27736.0</v>
      </c>
    </row>
    <row r="582" ht="15.75" customHeight="1">
      <c r="A582" s="9" t="s">
        <v>953</v>
      </c>
      <c r="B582" s="17">
        <v>1964.0</v>
      </c>
      <c r="C582" s="9" t="s">
        <v>4735</v>
      </c>
      <c r="D582" s="9">
        <v>19.0</v>
      </c>
      <c r="E582" s="18">
        <f t="shared" si="1"/>
        <v>23700</v>
      </c>
      <c r="F582" s="9">
        <v>0.0</v>
      </c>
      <c r="G582" s="19">
        <v>20893.06</v>
      </c>
      <c r="H582" s="9" t="s">
        <v>4723</v>
      </c>
      <c r="I582" s="9" t="s">
        <v>4717</v>
      </c>
      <c r="J582" s="9" t="s">
        <v>4733</v>
      </c>
      <c r="K582" s="20">
        <f t="shared" si="2"/>
        <v>1964</v>
      </c>
      <c r="L582" s="9" t="str">
        <f t="shared" si="3"/>
        <v>tier - 2</v>
      </c>
      <c r="M582" s="9" t="str">
        <f t="shared" si="4"/>
        <v>tier - 3</v>
      </c>
      <c r="N582" s="9" t="str">
        <f t="shared" si="5"/>
        <v>R1012</v>
      </c>
      <c r="O582" s="17">
        <f t="shared" si="6"/>
        <v>58</v>
      </c>
      <c r="P582" s="18">
        <v>23700.0</v>
      </c>
    </row>
    <row r="583" ht="15.75" customHeight="1">
      <c r="A583" s="9" t="s">
        <v>951</v>
      </c>
      <c r="B583" s="17">
        <v>1983.0</v>
      </c>
      <c r="C583" s="9" t="s">
        <v>4741</v>
      </c>
      <c r="D583" s="9">
        <v>2.0</v>
      </c>
      <c r="E583" s="18">
        <f t="shared" si="1"/>
        <v>30499</v>
      </c>
      <c r="F583" s="9">
        <v>1.0</v>
      </c>
      <c r="G583" s="19">
        <v>21082.16</v>
      </c>
      <c r="H583" s="9" t="s">
        <v>4717</v>
      </c>
      <c r="I583" s="9" t="s">
        <v>4723</v>
      </c>
      <c r="J583" s="9" t="s">
        <v>4719</v>
      </c>
      <c r="K583" s="20">
        <f t="shared" si="2"/>
        <v>1983</v>
      </c>
      <c r="L583" s="9" t="str">
        <f t="shared" si="3"/>
        <v>tier - 3</v>
      </c>
      <c r="M583" s="9" t="str">
        <f t="shared" si="4"/>
        <v>tier - 2</v>
      </c>
      <c r="N583" s="9" t="str">
        <f t="shared" si="5"/>
        <v>R1011</v>
      </c>
      <c r="O583" s="17">
        <f t="shared" si="6"/>
        <v>39</v>
      </c>
      <c r="P583" s="18">
        <v>30499.0</v>
      </c>
    </row>
    <row r="584" ht="15.75" customHeight="1">
      <c r="A584" s="9" t="s">
        <v>949</v>
      </c>
      <c r="B584" s="17">
        <v>1977.0</v>
      </c>
      <c r="C584" s="9" t="s">
        <v>4735</v>
      </c>
      <c r="D584" s="9">
        <v>23.0</v>
      </c>
      <c r="E584" s="18">
        <f t="shared" si="1"/>
        <v>28452</v>
      </c>
      <c r="F584" s="9">
        <v>2.0</v>
      </c>
      <c r="G584" s="19">
        <v>21098.55</v>
      </c>
      <c r="H584" s="9" t="s">
        <v>4717</v>
      </c>
      <c r="I584" s="9" t="s">
        <v>4717</v>
      </c>
      <c r="J584" s="9" t="s">
        <v>4733</v>
      </c>
      <c r="K584" s="20">
        <f t="shared" si="2"/>
        <v>1977</v>
      </c>
      <c r="L584" s="9" t="str">
        <f t="shared" si="3"/>
        <v>tier - 3</v>
      </c>
      <c r="M584" s="9" t="str">
        <f t="shared" si="4"/>
        <v>tier - 3</v>
      </c>
      <c r="N584" s="9" t="str">
        <f t="shared" si="5"/>
        <v>R1012</v>
      </c>
      <c r="O584" s="17">
        <f t="shared" si="6"/>
        <v>45</v>
      </c>
      <c r="P584" s="18">
        <v>28452.0</v>
      </c>
    </row>
    <row r="585" ht="15.75" customHeight="1">
      <c r="A585" s="9" t="s">
        <v>947</v>
      </c>
      <c r="B585" s="17">
        <v>1969.0</v>
      </c>
      <c r="C585" s="9" t="s">
        <v>4716</v>
      </c>
      <c r="D585" s="9">
        <v>26.0</v>
      </c>
      <c r="E585" s="18">
        <f t="shared" si="1"/>
        <v>25441</v>
      </c>
      <c r="F585" s="9">
        <v>0.0</v>
      </c>
      <c r="G585" s="19">
        <v>21195.82</v>
      </c>
      <c r="H585" s="9" t="s">
        <v>4717</v>
      </c>
      <c r="I585" s="9" t="s">
        <v>4718</v>
      </c>
      <c r="J585" s="9" t="s">
        <v>4743</v>
      </c>
      <c r="K585" s="20">
        <f t="shared" si="2"/>
        <v>1969</v>
      </c>
      <c r="L585" s="9" t="str">
        <f t="shared" si="3"/>
        <v>tier - 3</v>
      </c>
      <c r="M585" s="9" t="str">
        <f t="shared" si="4"/>
        <v>tier - 1</v>
      </c>
      <c r="N585" s="9" t="str">
        <f t="shared" si="5"/>
        <v>R1013</v>
      </c>
      <c r="O585" s="17">
        <f t="shared" si="6"/>
        <v>53</v>
      </c>
      <c r="P585" s="18">
        <v>25441.0</v>
      </c>
    </row>
    <row r="586" ht="15.75" customHeight="1">
      <c r="A586" s="9" t="s">
        <v>945</v>
      </c>
      <c r="B586" s="17">
        <v>1974.0</v>
      </c>
      <c r="C586" s="9" t="s">
        <v>4720</v>
      </c>
      <c r="D586" s="9">
        <v>14.0</v>
      </c>
      <c r="E586" s="18">
        <f t="shared" si="1"/>
        <v>27316</v>
      </c>
      <c r="F586" s="9">
        <v>0.0</v>
      </c>
      <c r="G586" s="19">
        <v>21223.68</v>
      </c>
      <c r="H586" s="9" t="s">
        <v>4717</v>
      </c>
      <c r="I586" s="9" t="s">
        <v>4723</v>
      </c>
      <c r="J586" s="9" t="s">
        <v>4743</v>
      </c>
      <c r="K586" s="20">
        <f t="shared" si="2"/>
        <v>1974</v>
      </c>
      <c r="L586" s="9" t="str">
        <f t="shared" si="3"/>
        <v>tier - 3</v>
      </c>
      <c r="M586" s="9" t="str">
        <f t="shared" si="4"/>
        <v>tier - 2</v>
      </c>
      <c r="N586" s="9" t="str">
        <f t="shared" si="5"/>
        <v>R1013</v>
      </c>
      <c r="O586" s="17">
        <f t="shared" si="6"/>
        <v>48</v>
      </c>
      <c r="P586" s="18">
        <v>27316.0</v>
      </c>
    </row>
    <row r="587" ht="15.75" customHeight="1">
      <c r="A587" s="9" t="s">
        <v>943</v>
      </c>
      <c r="B587" s="17">
        <v>1974.0</v>
      </c>
      <c r="C587" s="9" t="s">
        <v>4738</v>
      </c>
      <c r="D587" s="9">
        <v>3.0</v>
      </c>
      <c r="E587" s="18">
        <f t="shared" si="1"/>
        <v>27275</v>
      </c>
      <c r="F587" s="9">
        <v>0.0</v>
      </c>
      <c r="G587" s="19">
        <v>21232.18</v>
      </c>
      <c r="H587" s="9" t="s">
        <v>4717</v>
      </c>
      <c r="I587" s="9" t="s">
        <v>4723</v>
      </c>
      <c r="J587" s="9" t="s">
        <v>4719</v>
      </c>
      <c r="K587" s="20">
        <f t="shared" si="2"/>
        <v>1974</v>
      </c>
      <c r="L587" s="9" t="str">
        <f t="shared" si="3"/>
        <v>tier - 3</v>
      </c>
      <c r="M587" s="9" t="str">
        <f t="shared" si="4"/>
        <v>tier - 2</v>
      </c>
      <c r="N587" s="9" t="str">
        <f t="shared" si="5"/>
        <v>R1011</v>
      </c>
      <c r="O587" s="17">
        <f t="shared" si="6"/>
        <v>48</v>
      </c>
      <c r="P587" s="18">
        <v>27275.0</v>
      </c>
    </row>
    <row r="588" ht="15.75" customHeight="1">
      <c r="A588" s="9" t="s">
        <v>941</v>
      </c>
      <c r="B588" s="17">
        <v>1980.0</v>
      </c>
      <c r="C588" s="9" t="s">
        <v>4725</v>
      </c>
      <c r="D588" s="9">
        <v>10.0</v>
      </c>
      <c r="E588" s="18">
        <f t="shared" si="1"/>
        <v>29565</v>
      </c>
      <c r="F588" s="9">
        <v>2.0</v>
      </c>
      <c r="G588" s="19">
        <v>21259.38</v>
      </c>
      <c r="H588" s="9" t="s">
        <v>4717</v>
      </c>
      <c r="I588" s="9" t="s">
        <v>4717</v>
      </c>
      <c r="J588" s="9" t="s">
        <v>4728</v>
      </c>
      <c r="K588" s="20">
        <f t="shared" si="2"/>
        <v>1980</v>
      </c>
      <c r="L588" s="9" t="str">
        <f t="shared" si="3"/>
        <v>tier - 3</v>
      </c>
      <c r="M588" s="9" t="str">
        <f t="shared" si="4"/>
        <v>tier - 3</v>
      </c>
      <c r="N588" s="9" t="str">
        <f t="shared" si="5"/>
        <v>R1019</v>
      </c>
      <c r="O588" s="17">
        <f t="shared" si="6"/>
        <v>42</v>
      </c>
      <c r="P588" s="18">
        <v>29565.0</v>
      </c>
    </row>
    <row r="589" ht="15.75" customHeight="1">
      <c r="A589" s="9" t="s">
        <v>95</v>
      </c>
      <c r="B589" s="17">
        <v>1966.0</v>
      </c>
      <c r="C589" s="9" t="s">
        <v>4720</v>
      </c>
      <c r="D589" s="9">
        <v>5.0</v>
      </c>
      <c r="E589" s="18">
        <f t="shared" si="1"/>
        <v>24385</v>
      </c>
      <c r="F589" s="9">
        <v>0.0</v>
      </c>
      <c r="G589" s="19">
        <v>43921.18</v>
      </c>
      <c r="H589" s="9" t="s">
        <v>4723</v>
      </c>
      <c r="I589" s="9" t="s">
        <v>4723</v>
      </c>
      <c r="J589" s="9" t="s">
        <v>4733</v>
      </c>
      <c r="K589" s="20">
        <f t="shared" si="2"/>
        <v>1966</v>
      </c>
      <c r="L589" s="9" t="str">
        <f t="shared" si="3"/>
        <v>tier - 2</v>
      </c>
      <c r="M589" s="9" t="str">
        <f t="shared" si="4"/>
        <v>tier - 2</v>
      </c>
      <c r="N589" s="9" t="str">
        <f t="shared" si="5"/>
        <v>R1012</v>
      </c>
      <c r="O589" s="17">
        <f t="shared" si="6"/>
        <v>56</v>
      </c>
      <c r="P589" s="18">
        <v>24385.0</v>
      </c>
    </row>
    <row r="590" ht="15.75" customHeight="1">
      <c r="A590" s="9" t="s">
        <v>939</v>
      </c>
      <c r="B590" s="17">
        <v>2004.0</v>
      </c>
      <c r="C590" s="9" t="s">
        <v>4716</v>
      </c>
      <c r="D590" s="9">
        <v>4.0</v>
      </c>
      <c r="E590" s="18">
        <f t="shared" si="1"/>
        <v>38203</v>
      </c>
      <c r="F590" s="9">
        <v>0.0</v>
      </c>
      <c r="G590" s="19">
        <v>21344.85</v>
      </c>
      <c r="H590" s="9" t="s">
        <v>4717</v>
      </c>
      <c r="I590" s="9" t="s">
        <v>4718</v>
      </c>
      <c r="J590" s="9" t="s">
        <v>4731</v>
      </c>
      <c r="K590" s="20">
        <f t="shared" si="2"/>
        <v>2004</v>
      </c>
      <c r="L590" s="9" t="str">
        <f t="shared" si="3"/>
        <v>tier - 3</v>
      </c>
      <c r="M590" s="9" t="str">
        <f t="shared" si="4"/>
        <v>tier - 1</v>
      </c>
      <c r="N590" s="9" t="str">
        <f t="shared" si="5"/>
        <v>R1024</v>
      </c>
      <c r="O590" s="17">
        <f t="shared" si="6"/>
        <v>18</v>
      </c>
      <c r="P590" s="18">
        <v>38203.0</v>
      </c>
    </row>
    <row r="591" ht="15.75" customHeight="1">
      <c r="A591" s="9" t="s">
        <v>937</v>
      </c>
      <c r="B591" s="17">
        <v>1980.0</v>
      </c>
      <c r="C591" s="9" t="s">
        <v>4738</v>
      </c>
      <c r="D591" s="9">
        <v>4.0</v>
      </c>
      <c r="E591" s="18">
        <f t="shared" si="1"/>
        <v>29468</v>
      </c>
      <c r="F591" s="9">
        <v>0.0</v>
      </c>
      <c r="G591" s="19">
        <v>21348.71</v>
      </c>
      <c r="H591" s="9" t="s">
        <v>4723</v>
      </c>
      <c r="I591" s="9" t="s">
        <v>4718</v>
      </c>
      <c r="J591" s="9" t="s">
        <v>4733</v>
      </c>
      <c r="K591" s="20">
        <f t="shared" si="2"/>
        <v>1980</v>
      </c>
      <c r="L591" s="9" t="str">
        <f t="shared" si="3"/>
        <v>tier - 2</v>
      </c>
      <c r="M591" s="9" t="str">
        <f t="shared" si="4"/>
        <v>tier - 1</v>
      </c>
      <c r="N591" s="9" t="str">
        <f t="shared" si="5"/>
        <v>R1012</v>
      </c>
      <c r="O591" s="17">
        <f t="shared" si="6"/>
        <v>42</v>
      </c>
      <c r="P591" s="18">
        <v>29468.0</v>
      </c>
    </row>
    <row r="592" ht="15.75" customHeight="1">
      <c r="A592" s="9" t="s">
        <v>935</v>
      </c>
      <c r="B592" s="17">
        <v>1990.0</v>
      </c>
      <c r="C592" s="9" t="s">
        <v>4735</v>
      </c>
      <c r="D592" s="9">
        <v>21.0</v>
      </c>
      <c r="E592" s="18">
        <f t="shared" si="1"/>
        <v>33198</v>
      </c>
      <c r="F592" s="9">
        <v>4.0</v>
      </c>
      <c r="G592" s="19">
        <v>21472.48</v>
      </c>
      <c r="H592" s="9" t="s">
        <v>4723</v>
      </c>
      <c r="I592" s="9" t="s">
        <v>4723</v>
      </c>
      <c r="J592" s="9" t="s">
        <v>4733</v>
      </c>
      <c r="K592" s="20">
        <f t="shared" si="2"/>
        <v>1990</v>
      </c>
      <c r="L592" s="9" t="str">
        <f t="shared" si="3"/>
        <v>tier - 2</v>
      </c>
      <c r="M592" s="9" t="str">
        <f t="shared" si="4"/>
        <v>tier - 2</v>
      </c>
      <c r="N592" s="9" t="str">
        <f t="shared" si="5"/>
        <v>R1012</v>
      </c>
      <c r="O592" s="17">
        <f t="shared" si="6"/>
        <v>32</v>
      </c>
      <c r="P592" s="18">
        <v>33198.0</v>
      </c>
    </row>
    <row r="593" ht="15.75" customHeight="1">
      <c r="A593" s="9" t="s">
        <v>933</v>
      </c>
      <c r="B593" s="17">
        <v>1999.0</v>
      </c>
      <c r="C593" s="9" t="s">
        <v>4730</v>
      </c>
      <c r="D593" s="9">
        <v>12.0</v>
      </c>
      <c r="E593" s="18">
        <f t="shared" si="1"/>
        <v>36323</v>
      </c>
      <c r="F593" s="9">
        <v>0.0</v>
      </c>
      <c r="G593" s="19">
        <v>21595.38</v>
      </c>
      <c r="H593" s="9" t="s">
        <v>4723</v>
      </c>
      <c r="I593" s="9" t="s">
        <v>4717</v>
      </c>
      <c r="J593" s="9" t="s">
        <v>4733</v>
      </c>
      <c r="K593" s="20">
        <f t="shared" si="2"/>
        <v>1999</v>
      </c>
      <c r="L593" s="9" t="str">
        <f t="shared" si="3"/>
        <v>tier - 2</v>
      </c>
      <c r="M593" s="9" t="str">
        <f t="shared" si="4"/>
        <v>tier - 3</v>
      </c>
      <c r="N593" s="9" t="str">
        <f t="shared" si="5"/>
        <v>R1012</v>
      </c>
      <c r="O593" s="17">
        <f t="shared" si="6"/>
        <v>23</v>
      </c>
      <c r="P593" s="18">
        <v>36323.0</v>
      </c>
    </row>
    <row r="594" ht="15.75" customHeight="1">
      <c r="A594" s="9" t="s">
        <v>931</v>
      </c>
      <c r="B594" s="17">
        <v>1983.0</v>
      </c>
      <c r="C594" s="9" t="s">
        <v>4725</v>
      </c>
      <c r="D594" s="9">
        <v>25.0</v>
      </c>
      <c r="E594" s="18">
        <f t="shared" si="1"/>
        <v>30675</v>
      </c>
      <c r="F594" s="9">
        <v>3.0</v>
      </c>
      <c r="G594" s="19">
        <v>21659.93</v>
      </c>
      <c r="H594" s="9" t="s">
        <v>4717</v>
      </c>
      <c r="I594" s="9" t="s">
        <v>4717</v>
      </c>
      <c r="J594" s="9" t="s">
        <v>4731</v>
      </c>
      <c r="K594" s="20">
        <f t="shared" si="2"/>
        <v>1983</v>
      </c>
      <c r="L594" s="9" t="str">
        <f t="shared" si="3"/>
        <v>tier - 3</v>
      </c>
      <c r="M594" s="9" t="str">
        <f t="shared" si="4"/>
        <v>tier - 3</v>
      </c>
      <c r="N594" s="9" t="str">
        <f t="shared" si="5"/>
        <v>R1024</v>
      </c>
      <c r="O594" s="17">
        <f t="shared" si="6"/>
        <v>39</v>
      </c>
      <c r="P594" s="18">
        <v>30675.0</v>
      </c>
    </row>
    <row r="595" ht="15.75" customHeight="1">
      <c r="A595" s="9" t="s">
        <v>929</v>
      </c>
      <c r="B595" s="17">
        <v>1962.0</v>
      </c>
      <c r="C595" s="9" t="s">
        <v>4735</v>
      </c>
      <c r="D595" s="9">
        <v>16.0</v>
      </c>
      <c r="E595" s="18">
        <f t="shared" si="1"/>
        <v>22966</v>
      </c>
      <c r="F595" s="9">
        <v>0.0</v>
      </c>
      <c r="G595" s="19">
        <v>21661.16</v>
      </c>
      <c r="H595" s="9" t="s">
        <v>4723</v>
      </c>
      <c r="I595" s="9" t="s">
        <v>4723</v>
      </c>
      <c r="J595" s="9" t="s">
        <v>4733</v>
      </c>
      <c r="K595" s="20">
        <f t="shared" si="2"/>
        <v>1962</v>
      </c>
      <c r="L595" s="9" t="str">
        <f t="shared" si="3"/>
        <v>tier - 2</v>
      </c>
      <c r="M595" s="9" t="str">
        <f t="shared" si="4"/>
        <v>tier - 2</v>
      </c>
      <c r="N595" s="9" t="str">
        <f t="shared" si="5"/>
        <v>R1012</v>
      </c>
      <c r="O595" s="17">
        <f t="shared" si="6"/>
        <v>60</v>
      </c>
      <c r="P595" s="18">
        <v>22966.0</v>
      </c>
    </row>
    <row r="596" ht="15.75" customHeight="1">
      <c r="A596" s="9" t="s">
        <v>927</v>
      </c>
      <c r="B596" s="17">
        <v>1976.0</v>
      </c>
      <c r="C596" s="9" t="s">
        <v>4741</v>
      </c>
      <c r="D596" s="9">
        <v>18.0</v>
      </c>
      <c r="E596" s="18">
        <f t="shared" si="1"/>
        <v>27959</v>
      </c>
      <c r="F596" s="9">
        <v>1.0</v>
      </c>
      <c r="G596" s="19">
        <v>21677.28</v>
      </c>
      <c r="H596" s="9" t="s">
        <v>4717</v>
      </c>
      <c r="I596" s="9" t="s">
        <v>4718</v>
      </c>
      <c r="J596" s="9" t="s">
        <v>4733</v>
      </c>
      <c r="K596" s="20">
        <f t="shared" si="2"/>
        <v>1976</v>
      </c>
      <c r="L596" s="9" t="str">
        <f t="shared" si="3"/>
        <v>tier - 3</v>
      </c>
      <c r="M596" s="9" t="str">
        <f t="shared" si="4"/>
        <v>tier - 1</v>
      </c>
      <c r="N596" s="9" t="str">
        <f t="shared" si="5"/>
        <v>R1012</v>
      </c>
      <c r="O596" s="17">
        <f t="shared" si="6"/>
        <v>46</v>
      </c>
      <c r="P596" s="18">
        <v>27959.0</v>
      </c>
    </row>
    <row r="597" ht="15.75" customHeight="1">
      <c r="A597" s="9" t="s">
        <v>925</v>
      </c>
      <c r="B597" s="17">
        <v>1979.0</v>
      </c>
      <c r="C597" s="9" t="s">
        <v>4738</v>
      </c>
      <c r="D597" s="9">
        <v>20.0</v>
      </c>
      <c r="E597" s="18">
        <f t="shared" si="1"/>
        <v>29118</v>
      </c>
      <c r="F597" s="9">
        <v>1.0</v>
      </c>
      <c r="G597" s="19">
        <v>21771.34</v>
      </c>
      <c r="H597" s="9" t="s">
        <v>4717</v>
      </c>
      <c r="I597" s="9" t="s">
        <v>4718</v>
      </c>
      <c r="J597" s="9" t="s">
        <v>4731</v>
      </c>
      <c r="K597" s="20">
        <f t="shared" si="2"/>
        <v>1979</v>
      </c>
      <c r="L597" s="9" t="str">
        <f t="shared" si="3"/>
        <v>tier - 3</v>
      </c>
      <c r="M597" s="9" t="str">
        <f t="shared" si="4"/>
        <v>tier - 1</v>
      </c>
      <c r="N597" s="9" t="str">
        <f t="shared" si="5"/>
        <v>R1024</v>
      </c>
      <c r="O597" s="17">
        <f t="shared" si="6"/>
        <v>43</v>
      </c>
      <c r="P597" s="18">
        <v>29118.0</v>
      </c>
    </row>
    <row r="598" ht="15.75" customHeight="1">
      <c r="A598" s="9" t="s">
        <v>923</v>
      </c>
      <c r="B598" s="17">
        <v>1979.0</v>
      </c>
      <c r="C598" s="9" t="s">
        <v>4738</v>
      </c>
      <c r="D598" s="9">
        <v>28.0</v>
      </c>
      <c r="E598" s="18">
        <f t="shared" si="1"/>
        <v>29126</v>
      </c>
      <c r="F598" s="9">
        <v>0.0</v>
      </c>
      <c r="G598" s="19">
        <v>21774.32</v>
      </c>
      <c r="H598" s="9" t="s">
        <v>4717</v>
      </c>
      <c r="I598" s="9" t="s">
        <v>4723</v>
      </c>
      <c r="J598" s="9" t="s">
        <v>4733</v>
      </c>
      <c r="K598" s="20">
        <f t="shared" si="2"/>
        <v>1979</v>
      </c>
      <c r="L598" s="9" t="str">
        <f t="shared" si="3"/>
        <v>tier - 3</v>
      </c>
      <c r="M598" s="9" t="str">
        <f t="shared" si="4"/>
        <v>tier - 2</v>
      </c>
      <c r="N598" s="9" t="str">
        <f t="shared" si="5"/>
        <v>R1012</v>
      </c>
      <c r="O598" s="17">
        <f t="shared" si="6"/>
        <v>43</v>
      </c>
      <c r="P598" s="18">
        <v>29126.0</v>
      </c>
    </row>
    <row r="599" ht="15.75" customHeight="1">
      <c r="A599" s="9" t="s">
        <v>921</v>
      </c>
      <c r="B599" s="17">
        <v>1963.0</v>
      </c>
      <c r="C599" s="9" t="s">
        <v>4716</v>
      </c>
      <c r="D599" s="9">
        <v>27.0</v>
      </c>
      <c r="E599" s="18">
        <f t="shared" si="1"/>
        <v>23250</v>
      </c>
      <c r="F599" s="9">
        <v>0.0</v>
      </c>
      <c r="G599" s="19">
        <v>21797.0</v>
      </c>
      <c r="H599" s="9" t="s">
        <v>4717</v>
      </c>
      <c r="I599" s="9" t="s">
        <v>4718</v>
      </c>
      <c r="J599" s="9" t="s">
        <v>4719</v>
      </c>
      <c r="K599" s="20">
        <f t="shared" si="2"/>
        <v>1963</v>
      </c>
      <c r="L599" s="9" t="str">
        <f t="shared" si="3"/>
        <v>tier - 3</v>
      </c>
      <c r="M599" s="9" t="str">
        <f t="shared" si="4"/>
        <v>tier - 1</v>
      </c>
      <c r="N599" s="9" t="str">
        <f t="shared" si="5"/>
        <v>R1011</v>
      </c>
      <c r="O599" s="17">
        <f t="shared" si="6"/>
        <v>59</v>
      </c>
      <c r="P599" s="18">
        <v>23250.0</v>
      </c>
    </row>
    <row r="600" ht="15.75" customHeight="1">
      <c r="A600" s="9" t="s">
        <v>93</v>
      </c>
      <c r="B600" s="17">
        <v>1988.0</v>
      </c>
      <c r="C600" s="9" t="s">
        <v>4741</v>
      </c>
      <c r="D600" s="9">
        <v>16.0</v>
      </c>
      <c r="E600" s="18">
        <f t="shared" si="1"/>
        <v>32340</v>
      </c>
      <c r="F600" s="9">
        <v>1.0</v>
      </c>
      <c r="G600" s="19">
        <v>43943.88</v>
      </c>
      <c r="H600" s="9" t="s">
        <v>4723</v>
      </c>
      <c r="I600" s="9" t="s">
        <v>4718</v>
      </c>
      <c r="J600" s="9" t="s">
        <v>4733</v>
      </c>
      <c r="K600" s="20">
        <f t="shared" si="2"/>
        <v>1988</v>
      </c>
      <c r="L600" s="9" t="str">
        <f t="shared" si="3"/>
        <v>tier - 2</v>
      </c>
      <c r="M600" s="9" t="str">
        <f t="shared" si="4"/>
        <v>tier - 1</v>
      </c>
      <c r="N600" s="9" t="str">
        <f t="shared" si="5"/>
        <v>R1012</v>
      </c>
      <c r="O600" s="17">
        <f t="shared" si="6"/>
        <v>34</v>
      </c>
      <c r="P600" s="18">
        <v>32340.0</v>
      </c>
    </row>
    <row r="601" ht="15.75" customHeight="1">
      <c r="A601" s="9" t="s">
        <v>919</v>
      </c>
      <c r="B601" s="17">
        <v>1979.0</v>
      </c>
      <c r="C601" s="9" t="s">
        <v>4716</v>
      </c>
      <c r="D601" s="9">
        <v>17.0</v>
      </c>
      <c r="E601" s="18">
        <f t="shared" si="1"/>
        <v>29084</v>
      </c>
      <c r="F601" s="9">
        <v>2.0</v>
      </c>
      <c r="G601" s="19">
        <v>21880.82</v>
      </c>
      <c r="H601" s="9" t="s">
        <v>4717</v>
      </c>
      <c r="I601" s="9" t="s">
        <v>4718</v>
      </c>
      <c r="J601" s="9" t="s">
        <v>4733</v>
      </c>
      <c r="K601" s="20">
        <f t="shared" si="2"/>
        <v>1979</v>
      </c>
      <c r="L601" s="9" t="str">
        <f t="shared" si="3"/>
        <v>tier - 3</v>
      </c>
      <c r="M601" s="9" t="str">
        <f t="shared" si="4"/>
        <v>tier - 1</v>
      </c>
      <c r="N601" s="9" t="str">
        <f t="shared" si="5"/>
        <v>R1012</v>
      </c>
      <c r="O601" s="17">
        <f t="shared" si="6"/>
        <v>43</v>
      </c>
      <c r="P601" s="18">
        <v>29084.0</v>
      </c>
    </row>
    <row r="602" ht="15.75" customHeight="1">
      <c r="A602" s="9" t="s">
        <v>917</v>
      </c>
      <c r="B602" s="17">
        <v>2003.0</v>
      </c>
      <c r="C602" s="9" t="s">
        <v>4738</v>
      </c>
      <c r="D602" s="9">
        <v>28.0</v>
      </c>
      <c r="E602" s="18">
        <f t="shared" si="1"/>
        <v>37892</v>
      </c>
      <c r="F602" s="9">
        <v>0.0</v>
      </c>
      <c r="G602" s="19">
        <v>21882.4</v>
      </c>
      <c r="H602" s="9" t="s">
        <v>4723</v>
      </c>
      <c r="I602" s="9" t="s">
        <v>4718</v>
      </c>
      <c r="J602" s="9" t="s">
        <v>4719</v>
      </c>
      <c r="K602" s="20">
        <f t="shared" si="2"/>
        <v>2003</v>
      </c>
      <c r="L602" s="9" t="str">
        <f t="shared" si="3"/>
        <v>tier - 2</v>
      </c>
      <c r="M602" s="9" t="str">
        <f t="shared" si="4"/>
        <v>tier - 1</v>
      </c>
      <c r="N602" s="9" t="str">
        <f t="shared" si="5"/>
        <v>R1011</v>
      </c>
      <c r="O602" s="17">
        <f t="shared" si="6"/>
        <v>19</v>
      </c>
      <c r="P602" s="18">
        <v>37892.0</v>
      </c>
    </row>
    <row r="603" ht="15.75" customHeight="1">
      <c r="A603" s="9" t="s">
        <v>915</v>
      </c>
      <c r="B603" s="17">
        <v>1975.0</v>
      </c>
      <c r="C603" s="9" t="s">
        <v>4725</v>
      </c>
      <c r="D603" s="9">
        <v>19.0</v>
      </c>
      <c r="E603" s="18">
        <f t="shared" si="1"/>
        <v>27747</v>
      </c>
      <c r="F603" s="9">
        <v>1.0</v>
      </c>
      <c r="G603" s="19">
        <v>21978.68</v>
      </c>
      <c r="H603" s="9" t="s">
        <v>4717</v>
      </c>
      <c r="I603" s="9" t="s">
        <v>4717</v>
      </c>
      <c r="J603" s="9" t="s">
        <v>4743</v>
      </c>
      <c r="K603" s="20">
        <f t="shared" si="2"/>
        <v>1975</v>
      </c>
      <c r="L603" s="9" t="str">
        <f t="shared" si="3"/>
        <v>tier - 3</v>
      </c>
      <c r="M603" s="9" t="str">
        <f t="shared" si="4"/>
        <v>tier - 3</v>
      </c>
      <c r="N603" s="9" t="str">
        <f t="shared" si="5"/>
        <v>R1013</v>
      </c>
      <c r="O603" s="17">
        <f t="shared" si="6"/>
        <v>47</v>
      </c>
      <c r="P603" s="18">
        <v>27747.0</v>
      </c>
    </row>
    <row r="604" ht="15.75" customHeight="1">
      <c r="A604" s="9" t="s">
        <v>913</v>
      </c>
      <c r="B604" s="17">
        <v>1989.0</v>
      </c>
      <c r="C604" s="9" t="s">
        <v>4720</v>
      </c>
      <c r="D604" s="9">
        <v>14.0</v>
      </c>
      <c r="E604" s="18">
        <f t="shared" si="1"/>
        <v>32795</v>
      </c>
      <c r="F604" s="9">
        <v>0.0</v>
      </c>
      <c r="G604" s="19">
        <v>21984.47</v>
      </c>
      <c r="H604" s="9" t="s">
        <v>4717</v>
      </c>
      <c r="I604" s="9" t="s">
        <v>4718</v>
      </c>
      <c r="J604" s="9" t="s">
        <v>4733</v>
      </c>
      <c r="K604" s="20">
        <f t="shared" si="2"/>
        <v>1989</v>
      </c>
      <c r="L604" s="9" t="str">
        <f t="shared" si="3"/>
        <v>tier - 3</v>
      </c>
      <c r="M604" s="9" t="str">
        <f t="shared" si="4"/>
        <v>tier - 1</v>
      </c>
      <c r="N604" s="9" t="str">
        <f t="shared" si="5"/>
        <v>R1012</v>
      </c>
      <c r="O604" s="17">
        <f t="shared" si="6"/>
        <v>33</v>
      </c>
      <c r="P604" s="18">
        <v>32795.0</v>
      </c>
    </row>
    <row r="605" ht="15.75" customHeight="1">
      <c r="A605" s="9" t="s">
        <v>911</v>
      </c>
      <c r="B605" s="17">
        <v>2001.0</v>
      </c>
      <c r="C605" s="9" t="s">
        <v>4716</v>
      </c>
      <c r="D605" s="9">
        <v>28.0</v>
      </c>
      <c r="E605" s="18">
        <f t="shared" si="1"/>
        <v>37131</v>
      </c>
      <c r="F605" s="9">
        <v>0.0</v>
      </c>
      <c r="G605" s="19">
        <v>22097.62</v>
      </c>
      <c r="H605" s="9" t="s">
        <v>4717</v>
      </c>
      <c r="I605" s="9" t="s">
        <v>4718</v>
      </c>
      <c r="J605" s="9" t="s">
        <v>4719</v>
      </c>
      <c r="K605" s="20">
        <f t="shared" si="2"/>
        <v>2001</v>
      </c>
      <c r="L605" s="9" t="str">
        <f t="shared" si="3"/>
        <v>tier - 3</v>
      </c>
      <c r="M605" s="9" t="str">
        <f t="shared" si="4"/>
        <v>tier - 1</v>
      </c>
      <c r="N605" s="9" t="str">
        <f t="shared" si="5"/>
        <v>R1011</v>
      </c>
      <c r="O605" s="17">
        <f t="shared" si="6"/>
        <v>21</v>
      </c>
      <c r="P605" s="18">
        <v>37131.0</v>
      </c>
    </row>
    <row r="606" ht="15.75" customHeight="1">
      <c r="A606" s="9" t="s">
        <v>909</v>
      </c>
      <c r="B606" s="17">
        <v>1980.0</v>
      </c>
      <c r="C606" s="9" t="s">
        <v>4738</v>
      </c>
      <c r="D606" s="9">
        <v>12.0</v>
      </c>
      <c r="E606" s="18">
        <f t="shared" si="1"/>
        <v>29476</v>
      </c>
      <c r="F606" s="9">
        <v>0.0</v>
      </c>
      <c r="G606" s="19">
        <v>22144.03</v>
      </c>
      <c r="H606" s="9" t="s">
        <v>4723</v>
      </c>
      <c r="I606" s="9" t="s">
        <v>4723</v>
      </c>
      <c r="J606" s="9" t="s">
        <v>4719</v>
      </c>
      <c r="K606" s="20">
        <f t="shared" si="2"/>
        <v>1980</v>
      </c>
      <c r="L606" s="9" t="str">
        <f t="shared" si="3"/>
        <v>tier - 2</v>
      </c>
      <c r="M606" s="9" t="str">
        <f t="shared" si="4"/>
        <v>tier - 2</v>
      </c>
      <c r="N606" s="9" t="str">
        <f t="shared" si="5"/>
        <v>R1011</v>
      </c>
      <c r="O606" s="17">
        <f t="shared" si="6"/>
        <v>42</v>
      </c>
      <c r="P606" s="18">
        <v>29476.0</v>
      </c>
    </row>
    <row r="607" ht="15.75" customHeight="1">
      <c r="A607" s="9" t="s">
        <v>907</v>
      </c>
      <c r="B607" s="17">
        <v>1965.0</v>
      </c>
      <c r="C607" s="9" t="s">
        <v>4716</v>
      </c>
      <c r="D607" s="9">
        <v>24.0</v>
      </c>
      <c r="E607" s="18">
        <f t="shared" si="1"/>
        <v>23978</v>
      </c>
      <c r="F607" s="9">
        <v>1.0</v>
      </c>
      <c r="G607" s="19">
        <v>22192.44</v>
      </c>
      <c r="H607" s="9" t="s">
        <v>4717</v>
      </c>
      <c r="I607" s="9" t="s">
        <v>4718</v>
      </c>
      <c r="J607" s="9" t="s">
        <v>4743</v>
      </c>
      <c r="K607" s="20">
        <f t="shared" si="2"/>
        <v>1965</v>
      </c>
      <c r="L607" s="9" t="str">
        <f t="shared" si="3"/>
        <v>tier - 3</v>
      </c>
      <c r="M607" s="9" t="str">
        <f t="shared" si="4"/>
        <v>tier - 1</v>
      </c>
      <c r="N607" s="9" t="str">
        <f t="shared" si="5"/>
        <v>R1013</v>
      </c>
      <c r="O607" s="17">
        <f t="shared" si="6"/>
        <v>57</v>
      </c>
      <c r="P607" s="18">
        <v>23978.0</v>
      </c>
    </row>
    <row r="608" ht="15.75" customHeight="1">
      <c r="A608" s="9" t="s">
        <v>905</v>
      </c>
      <c r="B608" s="17">
        <v>1971.0</v>
      </c>
      <c r="C608" s="9" t="s">
        <v>4730</v>
      </c>
      <c r="D608" s="9">
        <v>16.0</v>
      </c>
      <c r="E608" s="18">
        <f t="shared" si="1"/>
        <v>26100</v>
      </c>
      <c r="F608" s="9">
        <v>1.0</v>
      </c>
      <c r="G608" s="19">
        <v>22218.11</v>
      </c>
      <c r="H608" s="9" t="s">
        <v>4723</v>
      </c>
      <c r="I608" s="9" t="s">
        <v>4717</v>
      </c>
      <c r="J608" s="9" t="s">
        <v>4743</v>
      </c>
      <c r="K608" s="20">
        <f t="shared" si="2"/>
        <v>1971</v>
      </c>
      <c r="L608" s="9" t="str">
        <f t="shared" si="3"/>
        <v>tier - 2</v>
      </c>
      <c r="M608" s="9" t="str">
        <f t="shared" si="4"/>
        <v>tier - 3</v>
      </c>
      <c r="N608" s="9" t="str">
        <f t="shared" si="5"/>
        <v>R1013</v>
      </c>
      <c r="O608" s="17">
        <f t="shared" si="6"/>
        <v>51</v>
      </c>
      <c r="P608" s="18">
        <v>26100.0</v>
      </c>
    </row>
    <row r="609" ht="15.75" customHeight="1">
      <c r="A609" s="9" t="s">
        <v>903</v>
      </c>
      <c r="B609" s="17">
        <v>1982.0</v>
      </c>
      <c r="C609" s="9" t="s">
        <v>4725</v>
      </c>
      <c r="D609" s="9">
        <v>27.0</v>
      </c>
      <c r="E609" s="18">
        <f t="shared" si="1"/>
        <v>30312</v>
      </c>
      <c r="F609" s="9">
        <v>1.0</v>
      </c>
      <c r="G609" s="19">
        <v>22331.57</v>
      </c>
      <c r="H609" s="9" t="s">
        <v>4723</v>
      </c>
      <c r="I609" s="9" t="s">
        <v>4717</v>
      </c>
      <c r="J609" s="9" t="s">
        <v>4731</v>
      </c>
      <c r="K609" s="20">
        <f t="shared" si="2"/>
        <v>1982</v>
      </c>
      <c r="L609" s="9" t="str">
        <f t="shared" si="3"/>
        <v>tier - 2</v>
      </c>
      <c r="M609" s="9" t="str">
        <f t="shared" si="4"/>
        <v>tier - 3</v>
      </c>
      <c r="N609" s="9" t="str">
        <f t="shared" si="5"/>
        <v>R1024</v>
      </c>
      <c r="O609" s="17">
        <f t="shared" si="6"/>
        <v>40</v>
      </c>
      <c r="P609" s="18">
        <v>30312.0</v>
      </c>
    </row>
    <row r="610" ht="15.75" customHeight="1">
      <c r="A610" s="9" t="s">
        <v>901</v>
      </c>
      <c r="B610" s="17">
        <v>1999.0</v>
      </c>
      <c r="C610" s="9" t="s">
        <v>4716</v>
      </c>
      <c r="D610" s="9">
        <v>26.0</v>
      </c>
      <c r="E610" s="18">
        <f t="shared" si="1"/>
        <v>36398</v>
      </c>
      <c r="F610" s="9">
        <v>2.0</v>
      </c>
      <c r="G610" s="19">
        <v>22395.74</v>
      </c>
      <c r="H610" s="9" t="s">
        <v>4717</v>
      </c>
      <c r="I610" s="9" t="s">
        <v>4723</v>
      </c>
      <c r="J610" s="9" t="s">
        <v>4731</v>
      </c>
      <c r="K610" s="20">
        <f t="shared" si="2"/>
        <v>1999</v>
      </c>
      <c r="L610" s="9" t="str">
        <f t="shared" si="3"/>
        <v>tier - 3</v>
      </c>
      <c r="M610" s="9" t="str">
        <f t="shared" si="4"/>
        <v>tier - 2</v>
      </c>
      <c r="N610" s="9" t="str">
        <f t="shared" si="5"/>
        <v>R1024</v>
      </c>
      <c r="O610" s="17">
        <f t="shared" si="6"/>
        <v>23</v>
      </c>
      <c r="P610" s="18">
        <v>36398.0</v>
      </c>
    </row>
    <row r="611" ht="15.75" customHeight="1">
      <c r="A611" s="9" t="s">
        <v>91</v>
      </c>
      <c r="B611" s="17">
        <v>1975.0</v>
      </c>
      <c r="C611" s="9" t="s">
        <v>4730</v>
      </c>
      <c r="D611" s="9">
        <v>1.0</v>
      </c>
      <c r="E611" s="18">
        <f t="shared" si="1"/>
        <v>27546</v>
      </c>
      <c r="F611" s="9">
        <v>2.0</v>
      </c>
      <c r="G611" s="19">
        <v>44202.65</v>
      </c>
      <c r="H611" s="9" t="s">
        <v>4723</v>
      </c>
      <c r="I611" s="9" t="s">
        <v>4723</v>
      </c>
      <c r="J611" s="9" t="s">
        <v>4743</v>
      </c>
      <c r="K611" s="20">
        <f t="shared" si="2"/>
        <v>1975</v>
      </c>
      <c r="L611" s="9" t="str">
        <f t="shared" si="3"/>
        <v>tier - 2</v>
      </c>
      <c r="M611" s="9" t="str">
        <f t="shared" si="4"/>
        <v>tier - 2</v>
      </c>
      <c r="N611" s="9" t="str">
        <f t="shared" si="5"/>
        <v>R1013</v>
      </c>
      <c r="O611" s="17">
        <f t="shared" si="6"/>
        <v>48</v>
      </c>
      <c r="P611" s="18">
        <v>27546.0</v>
      </c>
    </row>
    <row r="612" ht="15.75" customHeight="1">
      <c r="A612" s="9" t="s">
        <v>899</v>
      </c>
      <c r="B612" s="17">
        <v>1966.0</v>
      </c>
      <c r="C612" s="9" t="s">
        <v>4716</v>
      </c>
      <c r="D612" s="9">
        <v>18.0</v>
      </c>
      <c r="E612" s="18">
        <f t="shared" si="1"/>
        <v>24337</v>
      </c>
      <c r="F612" s="9">
        <v>0.0</v>
      </c>
      <c r="G612" s="19">
        <v>22412.65</v>
      </c>
      <c r="H612" s="9" t="s">
        <v>4717</v>
      </c>
      <c r="I612" s="9" t="s">
        <v>4717</v>
      </c>
      <c r="J612" s="9" t="s">
        <v>4752</v>
      </c>
      <c r="K612" s="20">
        <f t="shared" si="2"/>
        <v>1966</v>
      </c>
      <c r="L612" s="9" t="str">
        <f t="shared" si="3"/>
        <v>tier - 3</v>
      </c>
      <c r="M612" s="9" t="str">
        <f t="shared" si="4"/>
        <v>tier - 3</v>
      </c>
      <c r="N612" s="9" t="str">
        <f t="shared" si="5"/>
        <v>R1014</v>
      </c>
      <c r="O612" s="17">
        <f t="shared" si="6"/>
        <v>56</v>
      </c>
      <c r="P612" s="18">
        <v>24337.0</v>
      </c>
    </row>
    <row r="613" ht="15.75" customHeight="1">
      <c r="A613" s="9" t="s">
        <v>897</v>
      </c>
      <c r="B613" s="17">
        <v>1983.0</v>
      </c>
      <c r="C613" s="9" t="s">
        <v>4725</v>
      </c>
      <c r="D613" s="9">
        <v>21.0</v>
      </c>
      <c r="E613" s="18">
        <f t="shared" si="1"/>
        <v>30671</v>
      </c>
      <c r="F613" s="9">
        <v>1.0</v>
      </c>
      <c r="G613" s="19">
        <v>22462.04</v>
      </c>
      <c r="H613" s="9" t="s">
        <v>4717</v>
      </c>
      <c r="I613" s="9" t="s">
        <v>4718</v>
      </c>
      <c r="J613" s="9" t="s">
        <v>4728</v>
      </c>
      <c r="K613" s="20">
        <f t="shared" si="2"/>
        <v>1983</v>
      </c>
      <c r="L613" s="9" t="str">
        <f t="shared" si="3"/>
        <v>tier - 3</v>
      </c>
      <c r="M613" s="9" t="str">
        <f t="shared" si="4"/>
        <v>tier - 1</v>
      </c>
      <c r="N613" s="9" t="str">
        <f t="shared" si="5"/>
        <v>R1019</v>
      </c>
      <c r="O613" s="17">
        <f t="shared" si="6"/>
        <v>39</v>
      </c>
      <c r="P613" s="18">
        <v>30671.0</v>
      </c>
    </row>
    <row r="614" ht="15.75" customHeight="1">
      <c r="A614" s="9" t="s">
        <v>895</v>
      </c>
      <c r="B614" s="17">
        <v>1979.0</v>
      </c>
      <c r="C614" s="9" t="s">
        <v>4735</v>
      </c>
      <c r="D614" s="9">
        <v>14.0</v>
      </c>
      <c r="E614" s="18">
        <f t="shared" si="1"/>
        <v>29173</v>
      </c>
      <c r="F614" s="9">
        <v>2.0</v>
      </c>
      <c r="G614" s="19">
        <v>22478.6</v>
      </c>
      <c r="H614" s="9" t="s">
        <v>4717</v>
      </c>
      <c r="I614" s="9" t="s">
        <v>4723</v>
      </c>
      <c r="J614" s="9" t="s">
        <v>4719</v>
      </c>
      <c r="K614" s="20">
        <f t="shared" si="2"/>
        <v>1979</v>
      </c>
      <c r="L614" s="9" t="str">
        <f t="shared" si="3"/>
        <v>tier - 3</v>
      </c>
      <c r="M614" s="9" t="str">
        <f t="shared" si="4"/>
        <v>tier - 2</v>
      </c>
      <c r="N614" s="9" t="str">
        <f t="shared" si="5"/>
        <v>R1011</v>
      </c>
      <c r="O614" s="17">
        <f t="shared" si="6"/>
        <v>43</v>
      </c>
      <c r="P614" s="18">
        <v>29173.0</v>
      </c>
    </row>
    <row r="615" ht="15.75" customHeight="1">
      <c r="A615" s="9" t="s">
        <v>893</v>
      </c>
      <c r="B615" s="17">
        <v>2003.0</v>
      </c>
      <c r="C615" s="9" t="s">
        <v>4741</v>
      </c>
      <c r="D615" s="9">
        <v>25.0</v>
      </c>
      <c r="E615" s="18">
        <f t="shared" si="1"/>
        <v>37827</v>
      </c>
      <c r="F615" s="9">
        <v>2.0</v>
      </c>
      <c r="G615" s="19">
        <v>22493.66</v>
      </c>
      <c r="H615" s="9" t="s">
        <v>4723</v>
      </c>
      <c r="I615" s="9" t="s">
        <v>4718</v>
      </c>
      <c r="J615" s="9" t="s">
        <v>4733</v>
      </c>
      <c r="K615" s="20">
        <f t="shared" si="2"/>
        <v>2003</v>
      </c>
      <c r="L615" s="9" t="str">
        <f t="shared" si="3"/>
        <v>tier - 2</v>
      </c>
      <c r="M615" s="9" t="str">
        <f t="shared" si="4"/>
        <v>tier - 1</v>
      </c>
      <c r="N615" s="9" t="str">
        <f t="shared" si="5"/>
        <v>R1012</v>
      </c>
      <c r="O615" s="17">
        <f t="shared" si="6"/>
        <v>19</v>
      </c>
      <c r="P615" s="18">
        <v>37827.0</v>
      </c>
    </row>
    <row r="616" ht="15.75" customHeight="1">
      <c r="A616" s="9" t="s">
        <v>891</v>
      </c>
      <c r="B616" s="17">
        <v>1970.0</v>
      </c>
      <c r="C616" s="9" t="s">
        <v>4735</v>
      </c>
      <c r="D616" s="9">
        <v>9.0</v>
      </c>
      <c r="E616" s="18">
        <f t="shared" si="1"/>
        <v>25881</v>
      </c>
      <c r="F616" s="9">
        <v>0.0</v>
      </c>
      <c r="G616" s="19">
        <v>23045.57</v>
      </c>
      <c r="H616" s="9" t="s">
        <v>4723</v>
      </c>
      <c r="I616" s="9" t="s">
        <v>4723</v>
      </c>
      <c r="J616" s="9" t="s">
        <v>4731</v>
      </c>
      <c r="K616" s="20">
        <f t="shared" si="2"/>
        <v>1970</v>
      </c>
      <c r="L616" s="9" t="str">
        <f t="shared" si="3"/>
        <v>tier - 2</v>
      </c>
      <c r="M616" s="9" t="str">
        <f t="shared" si="4"/>
        <v>tier - 2</v>
      </c>
      <c r="N616" s="9" t="str">
        <f t="shared" si="5"/>
        <v>R1024</v>
      </c>
      <c r="O616" s="17">
        <f t="shared" si="6"/>
        <v>52</v>
      </c>
      <c r="P616" s="18">
        <v>25881.0</v>
      </c>
    </row>
    <row r="617" ht="15.75" customHeight="1">
      <c r="A617" s="9" t="s">
        <v>889</v>
      </c>
      <c r="B617" s="17">
        <v>1975.0</v>
      </c>
      <c r="C617" s="9" t="s">
        <v>4738</v>
      </c>
      <c r="D617" s="9">
        <v>9.0</v>
      </c>
      <c r="E617" s="18">
        <f t="shared" si="1"/>
        <v>27646</v>
      </c>
      <c r="F617" s="9">
        <v>0.0</v>
      </c>
      <c r="G617" s="19">
        <v>23065.42</v>
      </c>
      <c r="H617" s="9" t="s">
        <v>4723</v>
      </c>
      <c r="I617" s="9" t="s">
        <v>4723</v>
      </c>
      <c r="J617" s="9" t="s">
        <v>4743</v>
      </c>
      <c r="K617" s="20">
        <f t="shared" si="2"/>
        <v>1975</v>
      </c>
      <c r="L617" s="9" t="str">
        <f t="shared" si="3"/>
        <v>tier - 2</v>
      </c>
      <c r="M617" s="9" t="str">
        <f t="shared" si="4"/>
        <v>tier - 2</v>
      </c>
      <c r="N617" s="9" t="str">
        <f t="shared" si="5"/>
        <v>R1013</v>
      </c>
      <c r="O617" s="17">
        <f t="shared" si="6"/>
        <v>47</v>
      </c>
      <c r="P617" s="18">
        <v>27646.0</v>
      </c>
    </row>
    <row r="618" ht="15.75" customHeight="1">
      <c r="A618" s="9" t="s">
        <v>887</v>
      </c>
      <c r="B618" s="17">
        <v>2003.0</v>
      </c>
      <c r="C618" s="9" t="s">
        <v>4725</v>
      </c>
      <c r="D618" s="9">
        <v>14.0</v>
      </c>
      <c r="E618" s="18">
        <f t="shared" si="1"/>
        <v>37969</v>
      </c>
      <c r="F618" s="9">
        <v>0.0</v>
      </c>
      <c r="G618" s="19">
        <v>23082.96</v>
      </c>
      <c r="H618" s="9" t="s">
        <v>4723</v>
      </c>
      <c r="I618" s="9" t="s">
        <v>4723</v>
      </c>
      <c r="J618" s="9" t="s">
        <v>4719</v>
      </c>
      <c r="K618" s="20">
        <f t="shared" si="2"/>
        <v>2003</v>
      </c>
      <c r="L618" s="9" t="str">
        <f t="shared" si="3"/>
        <v>tier - 2</v>
      </c>
      <c r="M618" s="9" t="str">
        <f t="shared" si="4"/>
        <v>tier - 2</v>
      </c>
      <c r="N618" s="9" t="str">
        <f t="shared" si="5"/>
        <v>R1011</v>
      </c>
      <c r="O618" s="17">
        <f t="shared" si="6"/>
        <v>19</v>
      </c>
      <c r="P618" s="18">
        <v>37969.0</v>
      </c>
    </row>
    <row r="619" ht="15.75" customHeight="1">
      <c r="A619" s="9" t="s">
        <v>885</v>
      </c>
      <c r="B619" s="17">
        <v>1997.0</v>
      </c>
      <c r="C619" s="9" t="s">
        <v>4716</v>
      </c>
      <c r="D619" s="9">
        <v>7.0</v>
      </c>
      <c r="E619" s="18">
        <f t="shared" si="1"/>
        <v>35649</v>
      </c>
      <c r="F619" s="9">
        <v>2.0</v>
      </c>
      <c r="G619" s="19">
        <v>23241.47</v>
      </c>
      <c r="H619" s="9" t="s">
        <v>4723</v>
      </c>
      <c r="I619" s="9" t="s">
        <v>4717</v>
      </c>
      <c r="J619" s="9" t="s">
        <v>4750</v>
      </c>
      <c r="K619" s="20">
        <f t="shared" si="2"/>
        <v>1997</v>
      </c>
      <c r="L619" s="9" t="str">
        <f t="shared" si="3"/>
        <v>tier - 2</v>
      </c>
      <c r="M619" s="9" t="str">
        <f t="shared" si="4"/>
        <v>tier - 3</v>
      </c>
      <c r="N619" s="9" t="str">
        <f t="shared" si="5"/>
        <v>R1018</v>
      </c>
      <c r="O619" s="17">
        <f t="shared" si="6"/>
        <v>25</v>
      </c>
      <c r="P619" s="18">
        <v>35649.0</v>
      </c>
    </row>
    <row r="620" ht="15.75" customHeight="1">
      <c r="A620" s="9" t="s">
        <v>883</v>
      </c>
      <c r="B620" s="17">
        <v>1969.0</v>
      </c>
      <c r="C620" s="9" t="s">
        <v>4735</v>
      </c>
      <c r="D620" s="9">
        <v>14.0</v>
      </c>
      <c r="E620" s="18">
        <f t="shared" si="1"/>
        <v>25521</v>
      </c>
      <c r="F620" s="9">
        <v>1.0</v>
      </c>
      <c r="G620" s="19">
        <v>23244.79</v>
      </c>
      <c r="H620" s="9" t="s">
        <v>4723</v>
      </c>
      <c r="I620" s="9" t="s">
        <v>4717</v>
      </c>
      <c r="J620" s="9" t="s">
        <v>4743</v>
      </c>
      <c r="K620" s="20">
        <f t="shared" si="2"/>
        <v>1969</v>
      </c>
      <c r="L620" s="9" t="str">
        <f t="shared" si="3"/>
        <v>tier - 2</v>
      </c>
      <c r="M620" s="9" t="str">
        <f t="shared" si="4"/>
        <v>tier - 3</v>
      </c>
      <c r="N620" s="9" t="str">
        <f t="shared" si="5"/>
        <v>R1013</v>
      </c>
      <c r="O620" s="17">
        <f t="shared" si="6"/>
        <v>53</v>
      </c>
      <c r="P620" s="18">
        <v>25521.0</v>
      </c>
    </row>
    <row r="621" ht="15.75" customHeight="1">
      <c r="A621" s="9" t="s">
        <v>881</v>
      </c>
      <c r="B621" s="17">
        <v>1994.0</v>
      </c>
      <c r="C621" s="9" t="s">
        <v>4720</v>
      </c>
      <c r="D621" s="9">
        <v>3.0</v>
      </c>
      <c r="E621" s="18">
        <f t="shared" si="1"/>
        <v>34610</v>
      </c>
      <c r="F621" s="9">
        <v>1.0</v>
      </c>
      <c r="G621" s="19">
        <v>23288.93</v>
      </c>
      <c r="H621" s="9" t="s">
        <v>4723</v>
      </c>
      <c r="I621" s="9" t="s">
        <v>4717</v>
      </c>
      <c r="J621" s="9" t="s">
        <v>4731</v>
      </c>
      <c r="K621" s="20">
        <f t="shared" si="2"/>
        <v>1994</v>
      </c>
      <c r="L621" s="9" t="str">
        <f t="shared" si="3"/>
        <v>tier - 2</v>
      </c>
      <c r="M621" s="9" t="str">
        <f t="shared" si="4"/>
        <v>tier - 3</v>
      </c>
      <c r="N621" s="9" t="str">
        <f t="shared" si="5"/>
        <v>R1024</v>
      </c>
      <c r="O621" s="17">
        <f t="shared" si="6"/>
        <v>28</v>
      </c>
      <c r="P621" s="18">
        <v>34610.0</v>
      </c>
    </row>
    <row r="622" ht="15.75" customHeight="1">
      <c r="A622" s="9" t="s">
        <v>89</v>
      </c>
      <c r="B622" s="17">
        <v>1968.0</v>
      </c>
      <c r="C622" s="9" t="s">
        <v>4735</v>
      </c>
      <c r="D622" s="9">
        <v>24.0</v>
      </c>
      <c r="E622" s="18">
        <f t="shared" si="1"/>
        <v>25166</v>
      </c>
      <c r="F622" s="9">
        <v>2.0</v>
      </c>
      <c r="G622" s="19">
        <v>44260.75</v>
      </c>
      <c r="H622" s="9" t="s">
        <v>4723</v>
      </c>
      <c r="I622" s="9" t="s">
        <v>4718</v>
      </c>
      <c r="J622" s="9" t="s">
        <v>4743</v>
      </c>
      <c r="K622" s="20">
        <f t="shared" si="2"/>
        <v>1968</v>
      </c>
      <c r="L622" s="9" t="str">
        <f t="shared" si="3"/>
        <v>tier - 2</v>
      </c>
      <c r="M622" s="9" t="str">
        <f t="shared" si="4"/>
        <v>tier - 1</v>
      </c>
      <c r="N622" s="9" t="str">
        <f t="shared" si="5"/>
        <v>R1013</v>
      </c>
      <c r="O622" s="17">
        <f t="shared" si="6"/>
        <v>54</v>
      </c>
      <c r="P622" s="18">
        <v>25166.0</v>
      </c>
    </row>
    <row r="623" ht="15.75" customHeight="1">
      <c r="A623" s="9" t="s">
        <v>879</v>
      </c>
      <c r="B623" s="17">
        <v>1973.0</v>
      </c>
      <c r="C623" s="9" t="s">
        <v>4720</v>
      </c>
      <c r="D623" s="9">
        <v>22.0</v>
      </c>
      <c r="E623" s="18">
        <f t="shared" si="1"/>
        <v>26959</v>
      </c>
      <c r="F623" s="9">
        <v>2.0</v>
      </c>
      <c r="G623" s="19">
        <v>23306.55</v>
      </c>
      <c r="H623" s="9" t="s">
        <v>4723</v>
      </c>
      <c r="I623" s="9" t="s">
        <v>4723</v>
      </c>
      <c r="J623" s="9" t="s">
        <v>4719</v>
      </c>
      <c r="K623" s="20">
        <f t="shared" si="2"/>
        <v>1973</v>
      </c>
      <c r="L623" s="9" t="str">
        <f t="shared" si="3"/>
        <v>tier - 2</v>
      </c>
      <c r="M623" s="9" t="str">
        <f t="shared" si="4"/>
        <v>tier - 2</v>
      </c>
      <c r="N623" s="9" t="str">
        <f t="shared" si="5"/>
        <v>R1011</v>
      </c>
      <c r="O623" s="17">
        <f t="shared" si="6"/>
        <v>49</v>
      </c>
      <c r="P623" s="18">
        <v>26959.0</v>
      </c>
    </row>
    <row r="624" ht="15.75" customHeight="1">
      <c r="A624" s="9" t="s">
        <v>877</v>
      </c>
      <c r="B624" s="17">
        <v>1975.0</v>
      </c>
      <c r="C624" s="9" t="s">
        <v>4735</v>
      </c>
      <c r="D624" s="9">
        <v>13.0</v>
      </c>
      <c r="E624" s="18">
        <f t="shared" si="1"/>
        <v>27711</v>
      </c>
      <c r="F624" s="9">
        <v>1.0</v>
      </c>
      <c r="G624" s="19">
        <v>23401.31</v>
      </c>
      <c r="H624" s="9" t="s">
        <v>4723</v>
      </c>
      <c r="I624" s="9" t="s">
        <v>4717</v>
      </c>
      <c r="J624" s="9" t="s">
        <v>4731</v>
      </c>
      <c r="K624" s="20">
        <f t="shared" si="2"/>
        <v>1975</v>
      </c>
      <c r="L624" s="9" t="str">
        <f t="shared" si="3"/>
        <v>tier - 2</v>
      </c>
      <c r="M624" s="9" t="str">
        <f t="shared" si="4"/>
        <v>tier - 3</v>
      </c>
      <c r="N624" s="9" t="str">
        <f t="shared" si="5"/>
        <v>R1024</v>
      </c>
      <c r="O624" s="17">
        <f t="shared" si="6"/>
        <v>47</v>
      </c>
      <c r="P624" s="18">
        <v>27711.0</v>
      </c>
    </row>
    <row r="625" ht="15.75" customHeight="1">
      <c r="A625" s="9" t="s">
        <v>875</v>
      </c>
      <c r="B625" s="17">
        <v>1983.0</v>
      </c>
      <c r="C625" s="9" t="s">
        <v>4716</v>
      </c>
      <c r="D625" s="9">
        <v>26.0</v>
      </c>
      <c r="E625" s="18">
        <f t="shared" si="1"/>
        <v>30554</v>
      </c>
      <c r="F625" s="9">
        <v>2.0</v>
      </c>
      <c r="G625" s="19">
        <v>23563.02</v>
      </c>
      <c r="H625" s="9" t="s">
        <v>4723</v>
      </c>
      <c r="I625" s="9" t="s">
        <v>4723</v>
      </c>
      <c r="J625" s="9" t="s">
        <v>4743</v>
      </c>
      <c r="K625" s="20">
        <f t="shared" si="2"/>
        <v>1983</v>
      </c>
      <c r="L625" s="9" t="str">
        <f t="shared" si="3"/>
        <v>tier - 2</v>
      </c>
      <c r="M625" s="9" t="str">
        <f t="shared" si="4"/>
        <v>tier - 2</v>
      </c>
      <c r="N625" s="9" t="str">
        <f t="shared" si="5"/>
        <v>R1013</v>
      </c>
      <c r="O625" s="17">
        <f t="shared" si="6"/>
        <v>39</v>
      </c>
      <c r="P625" s="18">
        <v>30554.0</v>
      </c>
    </row>
    <row r="626" ht="15.75" customHeight="1">
      <c r="A626" s="9" t="s">
        <v>873</v>
      </c>
      <c r="B626" s="17">
        <v>1974.0</v>
      </c>
      <c r="C626" s="9" t="s">
        <v>4730</v>
      </c>
      <c r="D626" s="9">
        <v>2.0</v>
      </c>
      <c r="E626" s="18">
        <f t="shared" si="1"/>
        <v>27182</v>
      </c>
      <c r="F626" s="9">
        <v>1.0</v>
      </c>
      <c r="G626" s="19">
        <v>23568.27</v>
      </c>
      <c r="H626" s="9" t="s">
        <v>4723</v>
      </c>
      <c r="I626" s="9" t="s">
        <v>4723</v>
      </c>
      <c r="J626" s="9" t="s">
        <v>4719</v>
      </c>
      <c r="K626" s="20">
        <f t="shared" si="2"/>
        <v>1974</v>
      </c>
      <c r="L626" s="9" t="str">
        <f t="shared" si="3"/>
        <v>tier - 2</v>
      </c>
      <c r="M626" s="9" t="str">
        <f t="shared" si="4"/>
        <v>tier - 2</v>
      </c>
      <c r="N626" s="9" t="str">
        <f t="shared" si="5"/>
        <v>R1011</v>
      </c>
      <c r="O626" s="17">
        <f t="shared" si="6"/>
        <v>49</v>
      </c>
      <c r="P626" s="18">
        <v>27182.0</v>
      </c>
    </row>
    <row r="627" ht="15.75" customHeight="1">
      <c r="A627" s="9" t="s">
        <v>871</v>
      </c>
      <c r="B627" s="17">
        <v>1973.0</v>
      </c>
      <c r="C627" s="9" t="s">
        <v>4730</v>
      </c>
      <c r="D627" s="9">
        <v>27.0</v>
      </c>
      <c r="E627" s="18">
        <f t="shared" si="1"/>
        <v>26842</v>
      </c>
      <c r="F627" s="9">
        <v>2.0</v>
      </c>
      <c r="G627" s="19">
        <v>23807.24</v>
      </c>
      <c r="H627" s="9" t="s">
        <v>4723</v>
      </c>
      <c r="I627" s="9" t="s">
        <v>4717</v>
      </c>
      <c r="J627" s="9" t="s">
        <v>4733</v>
      </c>
      <c r="K627" s="20">
        <f t="shared" si="2"/>
        <v>1973</v>
      </c>
      <c r="L627" s="9" t="str">
        <f t="shared" si="3"/>
        <v>tier - 2</v>
      </c>
      <c r="M627" s="9" t="str">
        <f t="shared" si="4"/>
        <v>tier - 3</v>
      </c>
      <c r="N627" s="9" t="str">
        <f t="shared" si="5"/>
        <v>R1012</v>
      </c>
      <c r="O627" s="17">
        <f t="shared" si="6"/>
        <v>49</v>
      </c>
      <c r="P627" s="18">
        <v>26842.0</v>
      </c>
    </row>
    <row r="628" ht="15.75" customHeight="1">
      <c r="A628" s="9" t="s">
        <v>869</v>
      </c>
      <c r="B628" s="17">
        <v>1970.0</v>
      </c>
      <c r="C628" s="9" t="s">
        <v>4716</v>
      </c>
      <c r="D628" s="9">
        <v>8.0</v>
      </c>
      <c r="E628" s="18">
        <f t="shared" si="1"/>
        <v>25788</v>
      </c>
      <c r="F628" s="9">
        <v>1.0</v>
      </c>
      <c r="G628" s="19">
        <v>23887.66</v>
      </c>
      <c r="H628" s="9" t="s">
        <v>4723</v>
      </c>
      <c r="I628" s="9" t="s">
        <v>4717</v>
      </c>
      <c r="J628" s="9" t="s">
        <v>4733</v>
      </c>
      <c r="K628" s="20">
        <f t="shared" si="2"/>
        <v>1970</v>
      </c>
      <c r="L628" s="9" t="str">
        <f t="shared" si="3"/>
        <v>tier - 2</v>
      </c>
      <c r="M628" s="9" t="str">
        <f t="shared" si="4"/>
        <v>tier - 3</v>
      </c>
      <c r="N628" s="9" t="str">
        <f t="shared" si="5"/>
        <v>R1012</v>
      </c>
      <c r="O628" s="17">
        <f t="shared" si="6"/>
        <v>52</v>
      </c>
      <c r="P628" s="18">
        <v>25788.0</v>
      </c>
    </row>
    <row r="629" ht="15.75" customHeight="1">
      <c r="A629" s="9" t="s">
        <v>867</v>
      </c>
      <c r="B629" s="17">
        <v>1971.0</v>
      </c>
      <c r="C629" s="9" t="s">
        <v>4741</v>
      </c>
      <c r="D629" s="9">
        <v>10.0</v>
      </c>
      <c r="E629" s="18">
        <f t="shared" si="1"/>
        <v>26124</v>
      </c>
      <c r="F629" s="9">
        <v>2.0</v>
      </c>
      <c r="G629" s="19">
        <v>23967.38</v>
      </c>
      <c r="H629" s="9" t="s">
        <v>4723</v>
      </c>
      <c r="I629" s="9" t="s">
        <v>4723</v>
      </c>
      <c r="J629" s="9" t="s">
        <v>4733</v>
      </c>
      <c r="K629" s="20">
        <f t="shared" si="2"/>
        <v>1971</v>
      </c>
      <c r="L629" s="9" t="str">
        <f t="shared" si="3"/>
        <v>tier - 2</v>
      </c>
      <c r="M629" s="9" t="str">
        <f t="shared" si="4"/>
        <v>tier - 2</v>
      </c>
      <c r="N629" s="9" t="str">
        <f t="shared" si="5"/>
        <v>R1012</v>
      </c>
      <c r="O629" s="17">
        <f t="shared" si="6"/>
        <v>51</v>
      </c>
      <c r="P629" s="18">
        <v>26124.0</v>
      </c>
    </row>
    <row r="630" ht="15.75" customHeight="1">
      <c r="A630" s="9" t="s">
        <v>865</v>
      </c>
      <c r="B630" s="17">
        <v>2003.0</v>
      </c>
      <c r="C630" s="9" t="s">
        <v>4725</v>
      </c>
      <c r="D630" s="9">
        <v>30.0</v>
      </c>
      <c r="E630" s="18">
        <f t="shared" si="1"/>
        <v>37985</v>
      </c>
      <c r="F630" s="9">
        <v>2.0</v>
      </c>
      <c r="G630" s="19">
        <v>24059.68</v>
      </c>
      <c r="H630" s="9" t="s">
        <v>4723</v>
      </c>
      <c r="I630" s="9" t="s">
        <v>4723</v>
      </c>
      <c r="J630" s="9" t="s">
        <v>4733</v>
      </c>
      <c r="K630" s="20">
        <f t="shared" si="2"/>
        <v>2003</v>
      </c>
      <c r="L630" s="9" t="str">
        <f t="shared" si="3"/>
        <v>tier - 2</v>
      </c>
      <c r="M630" s="9" t="str">
        <f t="shared" si="4"/>
        <v>tier - 2</v>
      </c>
      <c r="N630" s="9" t="str">
        <f t="shared" si="5"/>
        <v>R1012</v>
      </c>
      <c r="O630" s="17">
        <f t="shared" si="6"/>
        <v>19</v>
      </c>
      <c r="P630" s="18">
        <v>37985.0</v>
      </c>
    </row>
    <row r="631" ht="15.75" customHeight="1">
      <c r="A631" s="9" t="s">
        <v>863</v>
      </c>
      <c r="B631" s="17">
        <v>1973.0</v>
      </c>
      <c r="C631" s="9" t="s">
        <v>4730</v>
      </c>
      <c r="D631" s="9">
        <v>13.0</v>
      </c>
      <c r="E631" s="18">
        <f t="shared" si="1"/>
        <v>26828</v>
      </c>
      <c r="F631" s="9">
        <v>3.0</v>
      </c>
      <c r="G631" s="19">
        <v>24106.91</v>
      </c>
      <c r="H631" s="9" t="s">
        <v>4723</v>
      </c>
      <c r="I631" s="9" t="s">
        <v>4723</v>
      </c>
      <c r="J631" s="9" t="s">
        <v>4731</v>
      </c>
      <c r="K631" s="20">
        <f t="shared" si="2"/>
        <v>1973</v>
      </c>
      <c r="L631" s="9" t="str">
        <f t="shared" si="3"/>
        <v>tier - 2</v>
      </c>
      <c r="M631" s="9" t="str">
        <f t="shared" si="4"/>
        <v>tier - 2</v>
      </c>
      <c r="N631" s="9" t="str">
        <f t="shared" si="5"/>
        <v>R1024</v>
      </c>
      <c r="O631" s="17">
        <f t="shared" si="6"/>
        <v>49</v>
      </c>
      <c r="P631" s="18">
        <v>26828.0</v>
      </c>
    </row>
    <row r="632" ht="15.75" customHeight="1">
      <c r="A632" s="9" t="s">
        <v>861</v>
      </c>
      <c r="B632" s="17">
        <v>1974.0</v>
      </c>
      <c r="C632" s="9" t="s">
        <v>4738</v>
      </c>
      <c r="D632" s="9">
        <v>10.0</v>
      </c>
      <c r="E632" s="18">
        <f t="shared" si="1"/>
        <v>27282</v>
      </c>
      <c r="F632" s="9">
        <v>3.0</v>
      </c>
      <c r="G632" s="19">
        <v>24180.93</v>
      </c>
      <c r="H632" s="9" t="s">
        <v>4723</v>
      </c>
      <c r="I632" s="9" t="s">
        <v>4718</v>
      </c>
      <c r="J632" s="9" t="s">
        <v>4743</v>
      </c>
      <c r="K632" s="20">
        <f t="shared" si="2"/>
        <v>1974</v>
      </c>
      <c r="L632" s="9" t="str">
        <f t="shared" si="3"/>
        <v>tier - 2</v>
      </c>
      <c r="M632" s="9" t="str">
        <f t="shared" si="4"/>
        <v>tier - 1</v>
      </c>
      <c r="N632" s="9" t="str">
        <f t="shared" si="5"/>
        <v>R1013</v>
      </c>
      <c r="O632" s="17">
        <f t="shared" si="6"/>
        <v>48</v>
      </c>
      <c r="P632" s="18">
        <v>27282.0</v>
      </c>
    </row>
    <row r="633" ht="15.75" customHeight="1">
      <c r="A633" s="9" t="s">
        <v>87</v>
      </c>
      <c r="B633" s="17">
        <v>1971.0</v>
      </c>
      <c r="C633" s="9" t="s">
        <v>4720</v>
      </c>
      <c r="D633" s="9">
        <v>29.0</v>
      </c>
      <c r="E633" s="18">
        <f t="shared" si="1"/>
        <v>26235</v>
      </c>
      <c r="F633" s="9">
        <v>0.0</v>
      </c>
      <c r="G633" s="19">
        <v>44400.41</v>
      </c>
      <c r="H633" s="9" t="s">
        <v>4723</v>
      </c>
      <c r="I633" s="9" t="s">
        <v>4723</v>
      </c>
      <c r="J633" s="9" t="s">
        <v>4743</v>
      </c>
      <c r="K633" s="20">
        <f t="shared" si="2"/>
        <v>1971</v>
      </c>
      <c r="L633" s="9" t="str">
        <f t="shared" si="3"/>
        <v>tier - 2</v>
      </c>
      <c r="M633" s="9" t="str">
        <f t="shared" si="4"/>
        <v>tier - 2</v>
      </c>
      <c r="N633" s="9" t="str">
        <f t="shared" si="5"/>
        <v>R1013</v>
      </c>
      <c r="O633" s="17">
        <f t="shared" si="6"/>
        <v>51</v>
      </c>
      <c r="P633" s="18">
        <v>26235.0</v>
      </c>
    </row>
    <row r="634" ht="15.75" customHeight="1">
      <c r="A634" s="9" t="s">
        <v>859</v>
      </c>
      <c r="B634" s="17">
        <v>1964.0</v>
      </c>
      <c r="C634" s="9" t="s">
        <v>4725</v>
      </c>
      <c r="D634" s="9">
        <v>16.0</v>
      </c>
      <c r="E634" s="18">
        <f t="shared" si="1"/>
        <v>23727</v>
      </c>
      <c r="F634" s="9">
        <v>0.0</v>
      </c>
      <c r="G634" s="19">
        <v>24227.34</v>
      </c>
      <c r="H634" s="9" t="s">
        <v>4723</v>
      </c>
      <c r="I634" s="9" t="s">
        <v>4718</v>
      </c>
      <c r="J634" s="9" t="s">
        <v>4743</v>
      </c>
      <c r="K634" s="20">
        <f t="shared" si="2"/>
        <v>1964</v>
      </c>
      <c r="L634" s="9" t="str">
        <f t="shared" si="3"/>
        <v>tier - 2</v>
      </c>
      <c r="M634" s="9" t="str">
        <f t="shared" si="4"/>
        <v>tier - 1</v>
      </c>
      <c r="N634" s="9" t="str">
        <f t="shared" si="5"/>
        <v>R1013</v>
      </c>
      <c r="O634" s="17">
        <f t="shared" si="6"/>
        <v>58</v>
      </c>
      <c r="P634" s="18">
        <v>23727.0</v>
      </c>
    </row>
    <row r="635" ht="15.75" customHeight="1">
      <c r="A635" s="9" t="s">
        <v>857</v>
      </c>
      <c r="B635" s="17">
        <v>2004.0</v>
      </c>
      <c r="C635" s="9" t="s">
        <v>4716</v>
      </c>
      <c r="D635" s="9">
        <v>3.0</v>
      </c>
      <c r="E635" s="18">
        <f t="shared" si="1"/>
        <v>38202</v>
      </c>
      <c r="F635" s="9">
        <v>0.0</v>
      </c>
      <c r="G635" s="19">
        <v>24294.02</v>
      </c>
      <c r="H635" s="9" t="s">
        <v>4723</v>
      </c>
      <c r="I635" s="9" t="s">
        <v>4718</v>
      </c>
      <c r="J635" s="9" t="s">
        <v>4719</v>
      </c>
      <c r="K635" s="20">
        <f t="shared" si="2"/>
        <v>2004</v>
      </c>
      <c r="L635" s="9" t="str">
        <f t="shared" si="3"/>
        <v>tier - 2</v>
      </c>
      <c r="M635" s="9" t="str">
        <f t="shared" si="4"/>
        <v>tier - 1</v>
      </c>
      <c r="N635" s="9" t="str">
        <f t="shared" si="5"/>
        <v>R1011</v>
      </c>
      <c r="O635" s="17">
        <f t="shared" si="6"/>
        <v>18</v>
      </c>
      <c r="P635" s="18">
        <v>38202.0</v>
      </c>
    </row>
    <row r="636" ht="15.75" customHeight="1">
      <c r="A636" s="9" t="s">
        <v>855</v>
      </c>
      <c r="B636" s="17">
        <v>1999.0</v>
      </c>
      <c r="C636" s="9" t="s">
        <v>4720</v>
      </c>
      <c r="D636" s="9">
        <v>7.0</v>
      </c>
      <c r="E636" s="18">
        <f t="shared" si="1"/>
        <v>36440</v>
      </c>
      <c r="F636" s="9">
        <v>0.0</v>
      </c>
      <c r="G636" s="19">
        <v>24387.74</v>
      </c>
      <c r="H636" s="9" t="s">
        <v>4723</v>
      </c>
      <c r="I636" s="9" t="s">
        <v>4718</v>
      </c>
      <c r="J636" s="9" t="s">
        <v>4719</v>
      </c>
      <c r="K636" s="20">
        <f t="shared" si="2"/>
        <v>1999</v>
      </c>
      <c r="L636" s="9" t="str">
        <f t="shared" si="3"/>
        <v>tier - 2</v>
      </c>
      <c r="M636" s="9" t="str">
        <f t="shared" si="4"/>
        <v>tier - 1</v>
      </c>
      <c r="N636" s="9" t="str">
        <f t="shared" si="5"/>
        <v>R1011</v>
      </c>
      <c r="O636" s="17">
        <f t="shared" si="6"/>
        <v>23</v>
      </c>
      <c r="P636" s="18">
        <v>36440.0</v>
      </c>
    </row>
    <row r="637" ht="15.75" customHeight="1">
      <c r="A637" s="9" t="s">
        <v>853</v>
      </c>
      <c r="B637" s="17">
        <v>1970.0</v>
      </c>
      <c r="C637" s="9" t="s">
        <v>4735</v>
      </c>
      <c r="D637" s="9">
        <v>30.0</v>
      </c>
      <c r="E637" s="18">
        <f t="shared" si="1"/>
        <v>25902</v>
      </c>
      <c r="F637" s="9">
        <v>0.0</v>
      </c>
      <c r="G637" s="19">
        <v>24393.62</v>
      </c>
      <c r="H637" s="9" t="s">
        <v>4723</v>
      </c>
      <c r="I637" s="9" t="s">
        <v>4717</v>
      </c>
      <c r="J637" s="9" t="s">
        <v>4733</v>
      </c>
      <c r="K637" s="20">
        <f t="shared" si="2"/>
        <v>1970</v>
      </c>
      <c r="L637" s="9" t="str">
        <f t="shared" si="3"/>
        <v>tier - 2</v>
      </c>
      <c r="M637" s="9" t="str">
        <f t="shared" si="4"/>
        <v>tier - 3</v>
      </c>
      <c r="N637" s="9" t="str">
        <f t="shared" si="5"/>
        <v>R1012</v>
      </c>
      <c r="O637" s="17">
        <f t="shared" si="6"/>
        <v>52</v>
      </c>
      <c r="P637" s="18">
        <v>25902.0</v>
      </c>
    </row>
    <row r="638" ht="15.75" customHeight="1">
      <c r="A638" s="9" t="s">
        <v>851</v>
      </c>
      <c r="B638" s="17">
        <v>1968.0</v>
      </c>
      <c r="C638" s="9" t="s">
        <v>4741</v>
      </c>
      <c r="D638" s="9">
        <v>6.0</v>
      </c>
      <c r="E638" s="18">
        <f t="shared" si="1"/>
        <v>25025</v>
      </c>
      <c r="F638" s="9">
        <v>0.0</v>
      </c>
      <c r="G638" s="19">
        <v>24476.48</v>
      </c>
      <c r="H638" s="9" t="s">
        <v>4723</v>
      </c>
      <c r="I638" s="9" t="s">
        <v>4723</v>
      </c>
      <c r="J638" s="9" t="s">
        <v>4733</v>
      </c>
      <c r="K638" s="20">
        <f t="shared" si="2"/>
        <v>1968</v>
      </c>
      <c r="L638" s="9" t="str">
        <f t="shared" si="3"/>
        <v>tier - 2</v>
      </c>
      <c r="M638" s="9" t="str">
        <f t="shared" si="4"/>
        <v>tier - 2</v>
      </c>
      <c r="N638" s="9" t="str">
        <f t="shared" si="5"/>
        <v>R1012</v>
      </c>
      <c r="O638" s="17">
        <f t="shared" si="6"/>
        <v>54</v>
      </c>
      <c r="P638" s="18">
        <v>25025.0</v>
      </c>
    </row>
    <row r="639" ht="15.75" customHeight="1">
      <c r="A639" s="9" t="s">
        <v>849</v>
      </c>
      <c r="B639" s="17">
        <v>1961.0</v>
      </c>
      <c r="C639" s="9" t="s">
        <v>4720</v>
      </c>
      <c r="D639" s="9">
        <v>21.0</v>
      </c>
      <c r="E639" s="18">
        <f t="shared" si="1"/>
        <v>22575</v>
      </c>
      <c r="F639" s="9">
        <v>0.0</v>
      </c>
      <c r="G639" s="19">
        <v>24513.09</v>
      </c>
      <c r="H639" s="9" t="s">
        <v>4723</v>
      </c>
      <c r="I639" s="9" t="s">
        <v>4723</v>
      </c>
      <c r="J639" s="9" t="s">
        <v>4743</v>
      </c>
      <c r="K639" s="20">
        <f t="shared" si="2"/>
        <v>1961</v>
      </c>
      <c r="L639" s="9" t="str">
        <f t="shared" si="3"/>
        <v>tier - 2</v>
      </c>
      <c r="M639" s="9" t="str">
        <f t="shared" si="4"/>
        <v>tier - 2</v>
      </c>
      <c r="N639" s="9" t="str">
        <f t="shared" si="5"/>
        <v>R1013</v>
      </c>
      <c r="O639" s="17">
        <f t="shared" si="6"/>
        <v>61</v>
      </c>
      <c r="P639" s="18">
        <v>22575.0</v>
      </c>
    </row>
    <row r="640" ht="15.75" customHeight="1">
      <c r="A640" s="9" t="s">
        <v>847</v>
      </c>
      <c r="B640" s="17">
        <v>1972.0</v>
      </c>
      <c r="C640" s="9" t="s">
        <v>4738</v>
      </c>
      <c r="D640" s="9">
        <v>14.0</v>
      </c>
      <c r="E640" s="18">
        <f t="shared" si="1"/>
        <v>26556</v>
      </c>
      <c r="F640" s="9">
        <v>1.0</v>
      </c>
      <c r="G640" s="19">
        <v>24520.26</v>
      </c>
      <c r="H640" s="9" t="s">
        <v>4723</v>
      </c>
      <c r="I640" s="9" t="s">
        <v>4717</v>
      </c>
      <c r="J640" s="9" t="s">
        <v>4719</v>
      </c>
      <c r="K640" s="20">
        <f t="shared" si="2"/>
        <v>1972</v>
      </c>
      <c r="L640" s="9" t="str">
        <f t="shared" si="3"/>
        <v>tier - 2</v>
      </c>
      <c r="M640" s="9" t="str">
        <f t="shared" si="4"/>
        <v>tier - 3</v>
      </c>
      <c r="N640" s="9" t="str">
        <f t="shared" si="5"/>
        <v>R1011</v>
      </c>
      <c r="O640" s="17">
        <f t="shared" si="6"/>
        <v>50</v>
      </c>
      <c r="P640" s="18">
        <v>26556.0</v>
      </c>
    </row>
    <row r="641" ht="15.75" customHeight="1">
      <c r="A641" s="9" t="s">
        <v>845</v>
      </c>
      <c r="B641" s="17">
        <v>1975.0</v>
      </c>
      <c r="C641" s="9" t="s">
        <v>4730</v>
      </c>
      <c r="D641" s="9">
        <v>13.0</v>
      </c>
      <c r="E641" s="18">
        <f t="shared" si="1"/>
        <v>27558</v>
      </c>
      <c r="F641" s="9">
        <v>2.0</v>
      </c>
      <c r="G641" s="19">
        <v>24535.7</v>
      </c>
      <c r="H641" s="9" t="s">
        <v>4723</v>
      </c>
      <c r="I641" s="9" t="s">
        <v>4723</v>
      </c>
      <c r="J641" s="9" t="s">
        <v>4733</v>
      </c>
      <c r="K641" s="20">
        <f t="shared" si="2"/>
        <v>1975</v>
      </c>
      <c r="L641" s="9" t="str">
        <f t="shared" si="3"/>
        <v>tier - 2</v>
      </c>
      <c r="M641" s="9" t="str">
        <f t="shared" si="4"/>
        <v>tier - 2</v>
      </c>
      <c r="N641" s="9" t="str">
        <f t="shared" si="5"/>
        <v>R1012</v>
      </c>
      <c r="O641" s="17">
        <f t="shared" si="6"/>
        <v>47</v>
      </c>
      <c r="P641" s="18">
        <v>27558.0</v>
      </c>
    </row>
    <row r="642" ht="15.75" customHeight="1">
      <c r="A642" s="9" t="s">
        <v>843</v>
      </c>
      <c r="B642" s="17">
        <v>1976.0</v>
      </c>
      <c r="C642" s="9" t="s">
        <v>4720</v>
      </c>
      <c r="D642" s="9">
        <v>12.0</v>
      </c>
      <c r="E642" s="18">
        <f t="shared" si="1"/>
        <v>28045</v>
      </c>
      <c r="F642" s="9">
        <v>0.0</v>
      </c>
      <c r="G642" s="19">
        <v>24603.05</v>
      </c>
      <c r="H642" s="9" t="s">
        <v>4723</v>
      </c>
      <c r="I642" s="9" t="s">
        <v>4723</v>
      </c>
      <c r="J642" s="9" t="s">
        <v>4719</v>
      </c>
      <c r="K642" s="20">
        <f t="shared" si="2"/>
        <v>1976</v>
      </c>
      <c r="L642" s="9" t="str">
        <f t="shared" si="3"/>
        <v>tier - 2</v>
      </c>
      <c r="M642" s="9" t="str">
        <f t="shared" si="4"/>
        <v>tier - 2</v>
      </c>
      <c r="N642" s="9" t="str">
        <f t="shared" si="5"/>
        <v>R1011</v>
      </c>
      <c r="O642" s="17">
        <f t="shared" si="6"/>
        <v>46</v>
      </c>
      <c r="P642" s="18">
        <v>28045.0</v>
      </c>
    </row>
    <row r="643" ht="15.75" customHeight="1">
      <c r="A643" s="9" t="s">
        <v>841</v>
      </c>
      <c r="B643" s="17">
        <v>1970.0</v>
      </c>
      <c r="C643" s="9" t="s">
        <v>4730</v>
      </c>
      <c r="D643" s="9">
        <v>12.0</v>
      </c>
      <c r="E643" s="18">
        <f t="shared" si="1"/>
        <v>25731</v>
      </c>
      <c r="F643" s="9">
        <v>2.0</v>
      </c>
      <c r="G643" s="19">
        <v>24667.42</v>
      </c>
      <c r="H643" s="9" t="s">
        <v>4723</v>
      </c>
      <c r="I643" s="9" t="s">
        <v>4717</v>
      </c>
      <c r="J643" s="9" t="s">
        <v>4743</v>
      </c>
      <c r="K643" s="20">
        <f t="shared" si="2"/>
        <v>1970</v>
      </c>
      <c r="L643" s="9" t="str">
        <f t="shared" si="3"/>
        <v>tier - 2</v>
      </c>
      <c r="M643" s="9" t="str">
        <f t="shared" si="4"/>
        <v>tier - 3</v>
      </c>
      <c r="N643" s="9" t="str">
        <f t="shared" si="5"/>
        <v>R1013</v>
      </c>
      <c r="O643" s="17">
        <f t="shared" si="6"/>
        <v>52</v>
      </c>
      <c r="P643" s="18">
        <v>25731.0</v>
      </c>
    </row>
    <row r="644" ht="15.75" customHeight="1">
      <c r="A644" s="9" t="s">
        <v>85</v>
      </c>
      <c r="B644" s="17">
        <v>1967.0</v>
      </c>
      <c r="C644" s="9" t="s">
        <v>4738</v>
      </c>
      <c r="D644" s="9">
        <v>14.0</v>
      </c>
      <c r="E644" s="18">
        <f t="shared" si="1"/>
        <v>24729</v>
      </c>
      <c r="F644" s="9">
        <v>0.0</v>
      </c>
      <c r="G644" s="19">
        <v>44423.8</v>
      </c>
      <c r="H644" s="9" t="s">
        <v>4723</v>
      </c>
      <c r="I644" s="9" t="s">
        <v>4717</v>
      </c>
      <c r="J644" s="9" t="s">
        <v>4743</v>
      </c>
      <c r="K644" s="20">
        <f t="shared" si="2"/>
        <v>1967</v>
      </c>
      <c r="L644" s="9" t="str">
        <f t="shared" si="3"/>
        <v>tier - 2</v>
      </c>
      <c r="M644" s="9" t="str">
        <f t="shared" si="4"/>
        <v>tier - 3</v>
      </c>
      <c r="N644" s="9" t="str">
        <f t="shared" si="5"/>
        <v>R1013</v>
      </c>
      <c r="O644" s="17">
        <f t="shared" si="6"/>
        <v>55</v>
      </c>
      <c r="P644" s="18">
        <v>24729.0</v>
      </c>
    </row>
    <row r="645" ht="15.75" customHeight="1">
      <c r="A645" s="9" t="s">
        <v>839</v>
      </c>
      <c r="B645" s="17">
        <v>1996.0</v>
      </c>
      <c r="C645" s="9" t="s">
        <v>4716</v>
      </c>
      <c r="D645" s="9">
        <v>28.0</v>
      </c>
      <c r="E645" s="18">
        <f t="shared" si="1"/>
        <v>35305</v>
      </c>
      <c r="F645" s="9">
        <v>4.0</v>
      </c>
      <c r="G645" s="19">
        <v>24671.66</v>
      </c>
      <c r="H645" s="9" t="s">
        <v>4723</v>
      </c>
      <c r="I645" s="9" t="s">
        <v>4718</v>
      </c>
      <c r="J645" s="9" t="s">
        <v>4731</v>
      </c>
      <c r="K645" s="20">
        <f t="shared" si="2"/>
        <v>1996</v>
      </c>
      <c r="L645" s="9" t="str">
        <f t="shared" si="3"/>
        <v>tier - 2</v>
      </c>
      <c r="M645" s="9" t="str">
        <f t="shared" si="4"/>
        <v>tier - 1</v>
      </c>
      <c r="N645" s="9" t="str">
        <f t="shared" si="5"/>
        <v>R1024</v>
      </c>
      <c r="O645" s="17">
        <f t="shared" si="6"/>
        <v>26</v>
      </c>
      <c r="P645" s="18">
        <v>35305.0</v>
      </c>
    </row>
    <row r="646" ht="15.75" customHeight="1">
      <c r="A646" s="9" t="s">
        <v>837</v>
      </c>
      <c r="B646" s="17">
        <v>1992.0</v>
      </c>
      <c r="C646" s="9" t="s">
        <v>4720</v>
      </c>
      <c r="D646" s="9">
        <v>11.0</v>
      </c>
      <c r="E646" s="18">
        <f t="shared" si="1"/>
        <v>33888</v>
      </c>
      <c r="F646" s="9">
        <v>0.0</v>
      </c>
      <c r="G646" s="19">
        <v>24795.04</v>
      </c>
      <c r="H646" s="9" t="s">
        <v>4723</v>
      </c>
      <c r="I646" s="9" t="s">
        <v>4717</v>
      </c>
      <c r="J646" s="9" t="s">
        <v>4719</v>
      </c>
      <c r="K646" s="20">
        <f t="shared" si="2"/>
        <v>1992</v>
      </c>
      <c r="L646" s="9" t="str">
        <f t="shared" si="3"/>
        <v>tier - 2</v>
      </c>
      <c r="M646" s="9" t="str">
        <f t="shared" si="4"/>
        <v>tier - 3</v>
      </c>
      <c r="N646" s="9" t="str">
        <f t="shared" si="5"/>
        <v>R1011</v>
      </c>
      <c r="O646" s="17">
        <f t="shared" si="6"/>
        <v>30</v>
      </c>
      <c r="P646" s="18">
        <v>33888.0</v>
      </c>
    </row>
    <row r="647" ht="15.75" customHeight="1">
      <c r="A647" s="9" t="s">
        <v>835</v>
      </c>
      <c r="B647" s="17">
        <v>1994.0</v>
      </c>
      <c r="C647" s="9" t="s">
        <v>4738</v>
      </c>
      <c r="D647" s="9">
        <v>9.0</v>
      </c>
      <c r="E647" s="18">
        <f t="shared" si="1"/>
        <v>34586</v>
      </c>
      <c r="F647" s="9">
        <v>0.0</v>
      </c>
      <c r="G647" s="19">
        <v>24817.25</v>
      </c>
      <c r="H647" s="9" t="s">
        <v>4723</v>
      </c>
      <c r="I647" s="9" t="s">
        <v>4723</v>
      </c>
      <c r="J647" s="9" t="s">
        <v>4719</v>
      </c>
      <c r="K647" s="20">
        <f t="shared" si="2"/>
        <v>1994</v>
      </c>
      <c r="L647" s="9" t="str">
        <f t="shared" si="3"/>
        <v>tier - 2</v>
      </c>
      <c r="M647" s="9" t="str">
        <f t="shared" si="4"/>
        <v>tier - 2</v>
      </c>
      <c r="N647" s="9" t="str">
        <f t="shared" si="5"/>
        <v>R1011</v>
      </c>
      <c r="O647" s="17">
        <f t="shared" si="6"/>
        <v>28</v>
      </c>
      <c r="P647" s="18">
        <v>34586.0</v>
      </c>
    </row>
    <row r="648" ht="15.75" customHeight="1">
      <c r="A648" s="9" t="s">
        <v>833</v>
      </c>
      <c r="B648" s="17">
        <v>1995.0</v>
      </c>
      <c r="C648" s="9" t="s">
        <v>4730</v>
      </c>
      <c r="D648" s="9">
        <v>10.0</v>
      </c>
      <c r="E648" s="18">
        <f t="shared" si="1"/>
        <v>34860</v>
      </c>
      <c r="F648" s="9">
        <v>0.0</v>
      </c>
      <c r="G648" s="19">
        <v>24863.25</v>
      </c>
      <c r="H648" s="9" t="s">
        <v>4723</v>
      </c>
      <c r="I648" s="9" t="s">
        <v>4717</v>
      </c>
      <c r="J648" s="9" t="s">
        <v>4719</v>
      </c>
      <c r="K648" s="20">
        <f t="shared" si="2"/>
        <v>1995</v>
      </c>
      <c r="L648" s="9" t="str">
        <f t="shared" si="3"/>
        <v>tier - 2</v>
      </c>
      <c r="M648" s="9" t="str">
        <f t="shared" si="4"/>
        <v>tier - 3</v>
      </c>
      <c r="N648" s="9" t="str">
        <f t="shared" si="5"/>
        <v>R1011</v>
      </c>
      <c r="O648" s="17">
        <f t="shared" si="6"/>
        <v>27</v>
      </c>
      <c r="P648" s="18">
        <v>34860.0</v>
      </c>
    </row>
    <row r="649" ht="15.75" customHeight="1">
      <c r="A649" s="9" t="s">
        <v>831</v>
      </c>
      <c r="B649" s="17">
        <v>1970.0</v>
      </c>
      <c r="C649" s="9" t="s">
        <v>4735</v>
      </c>
      <c r="D649" s="9">
        <v>26.0</v>
      </c>
      <c r="E649" s="18">
        <f t="shared" si="1"/>
        <v>25898</v>
      </c>
      <c r="F649" s="9">
        <v>3.0</v>
      </c>
      <c r="G649" s="19">
        <v>24869.84</v>
      </c>
      <c r="H649" s="9" t="s">
        <v>4723</v>
      </c>
      <c r="I649" s="9" t="s">
        <v>4723</v>
      </c>
      <c r="J649" s="9" t="s">
        <v>4754</v>
      </c>
      <c r="K649" s="20">
        <f t="shared" si="2"/>
        <v>1970</v>
      </c>
      <c r="L649" s="9" t="str">
        <f t="shared" si="3"/>
        <v>tier - 2</v>
      </c>
      <c r="M649" s="9" t="str">
        <f t="shared" si="4"/>
        <v>tier - 2</v>
      </c>
      <c r="N649" s="9" t="str">
        <f t="shared" si="5"/>
        <v>R1016</v>
      </c>
      <c r="O649" s="17">
        <f t="shared" si="6"/>
        <v>52</v>
      </c>
      <c r="P649" s="18">
        <v>25898.0</v>
      </c>
    </row>
    <row r="650" ht="15.75" customHeight="1">
      <c r="A650" s="9" t="s">
        <v>829</v>
      </c>
      <c r="B650" s="17">
        <v>1969.0</v>
      </c>
      <c r="C650" s="9" t="s">
        <v>4741</v>
      </c>
      <c r="D650" s="9">
        <v>23.0</v>
      </c>
      <c r="E650" s="18">
        <f t="shared" si="1"/>
        <v>25407</v>
      </c>
      <c r="F650" s="9">
        <v>3.0</v>
      </c>
      <c r="G650" s="19">
        <v>24873.38</v>
      </c>
      <c r="H650" s="9" t="s">
        <v>4723</v>
      </c>
      <c r="I650" s="9" t="s">
        <v>4718</v>
      </c>
      <c r="J650" s="9" t="s">
        <v>4731</v>
      </c>
      <c r="K650" s="20">
        <f t="shared" si="2"/>
        <v>1969</v>
      </c>
      <c r="L650" s="9" t="str">
        <f t="shared" si="3"/>
        <v>tier - 2</v>
      </c>
      <c r="M650" s="9" t="str">
        <f t="shared" si="4"/>
        <v>tier - 1</v>
      </c>
      <c r="N650" s="9" t="str">
        <f t="shared" si="5"/>
        <v>R1024</v>
      </c>
      <c r="O650" s="17">
        <f t="shared" si="6"/>
        <v>53</v>
      </c>
      <c r="P650" s="18">
        <v>25407.0</v>
      </c>
    </row>
    <row r="651" ht="15.75" customHeight="1">
      <c r="A651" s="9" t="s">
        <v>827</v>
      </c>
      <c r="B651" s="17">
        <v>1987.0</v>
      </c>
      <c r="C651" s="9" t="s">
        <v>4730</v>
      </c>
      <c r="D651" s="9">
        <v>14.0</v>
      </c>
      <c r="E651" s="18">
        <f t="shared" si="1"/>
        <v>31942</v>
      </c>
      <c r="F651" s="9">
        <v>2.0</v>
      </c>
      <c r="G651" s="19">
        <v>24915.05</v>
      </c>
      <c r="H651" s="9" t="s">
        <v>4723</v>
      </c>
      <c r="I651" s="9" t="s">
        <v>4718</v>
      </c>
      <c r="J651" s="9" t="s">
        <v>4731</v>
      </c>
      <c r="K651" s="20">
        <f t="shared" si="2"/>
        <v>1987</v>
      </c>
      <c r="L651" s="9" t="str">
        <f t="shared" si="3"/>
        <v>tier - 2</v>
      </c>
      <c r="M651" s="9" t="str">
        <f t="shared" si="4"/>
        <v>tier - 1</v>
      </c>
      <c r="N651" s="9" t="str">
        <f t="shared" si="5"/>
        <v>R1024</v>
      </c>
      <c r="O651" s="17">
        <f t="shared" si="6"/>
        <v>35</v>
      </c>
      <c r="P651" s="18">
        <v>31942.0</v>
      </c>
    </row>
    <row r="652" ht="15.75" customHeight="1">
      <c r="A652" s="9" t="s">
        <v>825</v>
      </c>
      <c r="B652" s="17">
        <v>1975.0</v>
      </c>
      <c r="C652" s="9" t="s">
        <v>4735</v>
      </c>
      <c r="D652" s="9">
        <v>14.0</v>
      </c>
      <c r="E652" s="18">
        <f t="shared" si="1"/>
        <v>27712</v>
      </c>
      <c r="F652" s="9">
        <v>3.0</v>
      </c>
      <c r="G652" s="19">
        <v>24915.22</v>
      </c>
      <c r="H652" s="9" t="s">
        <v>4723</v>
      </c>
      <c r="I652" s="9" t="s">
        <v>4717</v>
      </c>
      <c r="J652" s="9" t="s">
        <v>4733</v>
      </c>
      <c r="K652" s="20">
        <f t="shared" si="2"/>
        <v>1975</v>
      </c>
      <c r="L652" s="9" t="str">
        <f t="shared" si="3"/>
        <v>tier - 2</v>
      </c>
      <c r="M652" s="9" t="str">
        <f t="shared" si="4"/>
        <v>tier - 3</v>
      </c>
      <c r="N652" s="9" t="str">
        <f t="shared" si="5"/>
        <v>R1012</v>
      </c>
      <c r="O652" s="17">
        <f t="shared" si="6"/>
        <v>47</v>
      </c>
      <c r="P652" s="18">
        <v>27712.0</v>
      </c>
    </row>
    <row r="653" ht="15.75" customHeight="1">
      <c r="A653" s="9" t="s">
        <v>823</v>
      </c>
      <c r="B653" s="17">
        <v>1995.0</v>
      </c>
      <c r="C653" s="9" t="s">
        <v>4725</v>
      </c>
      <c r="D653" s="9">
        <v>4.0</v>
      </c>
      <c r="E653" s="18">
        <f t="shared" si="1"/>
        <v>35037</v>
      </c>
      <c r="F653" s="9">
        <v>0.0</v>
      </c>
      <c r="G653" s="19">
        <v>25075.97</v>
      </c>
      <c r="H653" s="9" t="s">
        <v>4723</v>
      </c>
      <c r="I653" s="9" t="s">
        <v>4723</v>
      </c>
      <c r="J653" s="9" t="s">
        <v>4719</v>
      </c>
      <c r="K653" s="20">
        <f t="shared" si="2"/>
        <v>1995</v>
      </c>
      <c r="L653" s="9" t="str">
        <f t="shared" si="3"/>
        <v>tier - 2</v>
      </c>
      <c r="M653" s="9" t="str">
        <f t="shared" si="4"/>
        <v>tier - 2</v>
      </c>
      <c r="N653" s="9" t="str">
        <f t="shared" si="5"/>
        <v>R1011</v>
      </c>
      <c r="O653" s="17">
        <f t="shared" si="6"/>
        <v>27</v>
      </c>
      <c r="P653" s="18">
        <v>35037.0</v>
      </c>
    </row>
    <row r="654" ht="15.75" customHeight="1">
      <c r="A654" s="9" t="s">
        <v>821</v>
      </c>
      <c r="B654" s="17">
        <v>1998.0</v>
      </c>
      <c r="C654" s="9" t="s">
        <v>4730</v>
      </c>
      <c r="D654" s="9">
        <v>14.0</v>
      </c>
      <c r="E654" s="18">
        <f t="shared" si="1"/>
        <v>35960</v>
      </c>
      <c r="F654" s="9">
        <v>0.0</v>
      </c>
      <c r="G654" s="19">
        <v>25081.77</v>
      </c>
      <c r="H654" s="9" t="s">
        <v>4723</v>
      </c>
      <c r="I654" s="9" t="s">
        <v>4723</v>
      </c>
      <c r="J654" s="9" t="s">
        <v>4743</v>
      </c>
      <c r="K654" s="20">
        <f t="shared" si="2"/>
        <v>1998</v>
      </c>
      <c r="L654" s="9" t="str">
        <f t="shared" si="3"/>
        <v>tier - 2</v>
      </c>
      <c r="M654" s="9" t="str">
        <f t="shared" si="4"/>
        <v>tier - 2</v>
      </c>
      <c r="N654" s="9" t="str">
        <f t="shared" si="5"/>
        <v>R1013</v>
      </c>
      <c r="O654" s="17">
        <f t="shared" si="6"/>
        <v>24</v>
      </c>
      <c r="P654" s="18">
        <v>35960.0</v>
      </c>
    </row>
    <row r="655" ht="15.75" customHeight="1">
      <c r="A655" s="9" t="s">
        <v>83</v>
      </c>
      <c r="B655" s="17">
        <v>2000.0</v>
      </c>
      <c r="C655" s="9" t="s">
        <v>4716</v>
      </c>
      <c r="D655" s="9">
        <v>2.0</v>
      </c>
      <c r="E655" s="18">
        <f t="shared" si="1"/>
        <v>36740</v>
      </c>
      <c r="F655" s="9">
        <v>1.0</v>
      </c>
      <c r="G655" s="19">
        <v>44501.4</v>
      </c>
      <c r="H655" s="9" t="s">
        <v>4723</v>
      </c>
      <c r="I655" s="9" t="s">
        <v>4717</v>
      </c>
      <c r="J655" s="9" t="s">
        <v>4743</v>
      </c>
      <c r="K655" s="20">
        <f t="shared" si="2"/>
        <v>2000</v>
      </c>
      <c r="L655" s="9" t="str">
        <f t="shared" si="3"/>
        <v>tier - 2</v>
      </c>
      <c r="M655" s="9" t="str">
        <f t="shared" si="4"/>
        <v>tier - 3</v>
      </c>
      <c r="N655" s="9" t="str">
        <f t="shared" si="5"/>
        <v>R1013</v>
      </c>
      <c r="O655" s="17">
        <f t="shared" si="6"/>
        <v>22</v>
      </c>
      <c r="P655" s="18">
        <v>36740.0</v>
      </c>
    </row>
    <row r="656" ht="15.75" customHeight="1">
      <c r="A656" s="9" t="s">
        <v>819</v>
      </c>
      <c r="B656" s="17">
        <v>1998.0</v>
      </c>
      <c r="C656" s="9" t="s">
        <v>4735</v>
      </c>
      <c r="D656" s="9">
        <v>24.0</v>
      </c>
      <c r="E656" s="18">
        <f t="shared" si="1"/>
        <v>36123</v>
      </c>
      <c r="F656" s="9">
        <v>0.0</v>
      </c>
      <c r="G656" s="19">
        <v>25127.22</v>
      </c>
      <c r="H656" s="9" t="s">
        <v>4723</v>
      </c>
      <c r="I656" s="9" t="s">
        <v>4717</v>
      </c>
      <c r="J656" s="9" t="s">
        <v>4719</v>
      </c>
      <c r="K656" s="20">
        <f t="shared" si="2"/>
        <v>1998</v>
      </c>
      <c r="L656" s="9" t="str">
        <f t="shared" si="3"/>
        <v>tier - 2</v>
      </c>
      <c r="M656" s="9" t="str">
        <f t="shared" si="4"/>
        <v>tier - 3</v>
      </c>
      <c r="N656" s="9" t="str">
        <f t="shared" si="5"/>
        <v>R1011</v>
      </c>
      <c r="O656" s="17">
        <f t="shared" si="6"/>
        <v>24</v>
      </c>
      <c r="P656" s="18">
        <v>36123.0</v>
      </c>
    </row>
    <row r="657" ht="15.75" customHeight="1">
      <c r="A657" s="9" t="s">
        <v>817</v>
      </c>
      <c r="B657" s="17">
        <v>1975.0</v>
      </c>
      <c r="C657" s="9" t="s">
        <v>4725</v>
      </c>
      <c r="D657" s="9">
        <v>14.0</v>
      </c>
      <c r="E657" s="18">
        <f t="shared" si="1"/>
        <v>27742</v>
      </c>
      <c r="F657" s="9">
        <v>3.0</v>
      </c>
      <c r="G657" s="19">
        <v>25309.49</v>
      </c>
      <c r="H657" s="9" t="s">
        <v>4723</v>
      </c>
      <c r="I657" s="9" t="s">
        <v>4718</v>
      </c>
      <c r="J657" s="9" t="s">
        <v>4719</v>
      </c>
      <c r="K657" s="20">
        <f t="shared" si="2"/>
        <v>1975</v>
      </c>
      <c r="L657" s="9" t="str">
        <f t="shared" si="3"/>
        <v>tier - 2</v>
      </c>
      <c r="M657" s="9" t="str">
        <f t="shared" si="4"/>
        <v>tier - 1</v>
      </c>
      <c r="N657" s="9" t="str">
        <f t="shared" si="5"/>
        <v>R1011</v>
      </c>
      <c r="O657" s="17">
        <f t="shared" si="6"/>
        <v>47</v>
      </c>
      <c r="P657" s="18">
        <v>27742.0</v>
      </c>
    </row>
    <row r="658" ht="15.75" customHeight="1">
      <c r="A658" s="9" t="s">
        <v>815</v>
      </c>
      <c r="B658" s="17">
        <v>1972.0</v>
      </c>
      <c r="C658" s="9" t="s">
        <v>4738</v>
      </c>
      <c r="D658" s="9">
        <v>26.0</v>
      </c>
      <c r="E658" s="18">
        <f t="shared" si="1"/>
        <v>26568</v>
      </c>
      <c r="F658" s="9">
        <v>2.0</v>
      </c>
      <c r="G658" s="19">
        <v>25333.33</v>
      </c>
      <c r="H658" s="9" t="s">
        <v>4723</v>
      </c>
      <c r="I658" s="9" t="s">
        <v>4723</v>
      </c>
      <c r="J658" s="9" t="s">
        <v>4753</v>
      </c>
      <c r="K658" s="20">
        <f t="shared" si="2"/>
        <v>1972</v>
      </c>
      <c r="L658" s="9" t="str">
        <f t="shared" si="3"/>
        <v>tier - 2</v>
      </c>
      <c r="M658" s="9" t="str">
        <f t="shared" si="4"/>
        <v>tier - 2</v>
      </c>
      <c r="N658" s="9" t="str">
        <f t="shared" si="5"/>
        <v>R1017</v>
      </c>
      <c r="O658" s="17">
        <f t="shared" si="6"/>
        <v>50</v>
      </c>
      <c r="P658" s="18">
        <v>26568.0</v>
      </c>
    </row>
    <row r="659" ht="15.75" customHeight="1">
      <c r="A659" s="9" t="s">
        <v>813</v>
      </c>
      <c r="B659" s="17">
        <v>1968.0</v>
      </c>
      <c r="C659" s="9" t="s">
        <v>4716</v>
      </c>
      <c r="D659" s="9">
        <v>22.0</v>
      </c>
      <c r="E659" s="18">
        <f t="shared" si="1"/>
        <v>25072</v>
      </c>
      <c r="F659" s="9">
        <v>3.0</v>
      </c>
      <c r="G659" s="19">
        <v>25382.3</v>
      </c>
      <c r="H659" s="9" t="s">
        <v>4723</v>
      </c>
      <c r="I659" s="9" t="s">
        <v>4723</v>
      </c>
      <c r="J659" s="9" t="s">
        <v>4719</v>
      </c>
      <c r="K659" s="20">
        <f t="shared" si="2"/>
        <v>1968</v>
      </c>
      <c r="L659" s="9" t="str">
        <f t="shared" si="3"/>
        <v>tier - 2</v>
      </c>
      <c r="M659" s="9" t="str">
        <f t="shared" si="4"/>
        <v>tier - 2</v>
      </c>
      <c r="N659" s="9" t="str">
        <f t="shared" si="5"/>
        <v>R1011</v>
      </c>
      <c r="O659" s="17">
        <f t="shared" si="6"/>
        <v>54</v>
      </c>
      <c r="P659" s="18">
        <v>25072.0</v>
      </c>
    </row>
    <row r="660" ht="15.75" customHeight="1">
      <c r="A660" s="9" t="s">
        <v>811</v>
      </c>
      <c r="B660" s="17">
        <v>1968.0</v>
      </c>
      <c r="C660" s="9" t="s">
        <v>4725</v>
      </c>
      <c r="D660" s="9">
        <v>11.0</v>
      </c>
      <c r="E660" s="18">
        <f t="shared" si="1"/>
        <v>25183</v>
      </c>
      <c r="F660" s="9">
        <v>1.0</v>
      </c>
      <c r="G660" s="19">
        <v>25517.11</v>
      </c>
      <c r="H660" s="9" t="s">
        <v>4723</v>
      </c>
      <c r="I660" s="9" t="s">
        <v>4717</v>
      </c>
      <c r="J660" s="9" t="s">
        <v>4753</v>
      </c>
      <c r="K660" s="20">
        <f t="shared" si="2"/>
        <v>1968</v>
      </c>
      <c r="L660" s="9" t="str">
        <f t="shared" si="3"/>
        <v>tier - 2</v>
      </c>
      <c r="M660" s="9" t="str">
        <f t="shared" si="4"/>
        <v>tier - 3</v>
      </c>
      <c r="N660" s="9" t="str">
        <f t="shared" si="5"/>
        <v>R1017</v>
      </c>
      <c r="O660" s="17">
        <f t="shared" si="6"/>
        <v>54</v>
      </c>
      <c r="P660" s="18">
        <v>25183.0</v>
      </c>
    </row>
    <row r="661" ht="15.75" customHeight="1">
      <c r="A661" s="9" t="s">
        <v>809</v>
      </c>
      <c r="B661" s="17">
        <v>2001.0</v>
      </c>
      <c r="C661" s="9" t="s">
        <v>4716</v>
      </c>
      <c r="D661" s="9">
        <v>2.0</v>
      </c>
      <c r="E661" s="18">
        <f t="shared" si="1"/>
        <v>37105</v>
      </c>
      <c r="F661" s="9">
        <v>0.0</v>
      </c>
      <c r="G661" s="19">
        <v>25648.98</v>
      </c>
      <c r="H661" s="9" t="s">
        <v>4723</v>
      </c>
      <c r="I661" s="9" t="s">
        <v>4718</v>
      </c>
      <c r="J661" s="9" t="s">
        <v>4719</v>
      </c>
      <c r="K661" s="20">
        <f t="shared" si="2"/>
        <v>2001</v>
      </c>
      <c r="L661" s="9" t="str">
        <f t="shared" si="3"/>
        <v>tier - 2</v>
      </c>
      <c r="M661" s="9" t="str">
        <f t="shared" si="4"/>
        <v>tier - 1</v>
      </c>
      <c r="N661" s="9" t="str">
        <f t="shared" si="5"/>
        <v>R1011</v>
      </c>
      <c r="O661" s="17">
        <f t="shared" si="6"/>
        <v>21</v>
      </c>
      <c r="P661" s="18">
        <v>37105.0</v>
      </c>
    </row>
    <row r="662" ht="15.75" customHeight="1">
      <c r="A662" s="9" t="s">
        <v>807</v>
      </c>
      <c r="B662" s="17">
        <v>1972.0</v>
      </c>
      <c r="C662" s="9" t="s">
        <v>4741</v>
      </c>
      <c r="D662" s="9">
        <v>17.0</v>
      </c>
      <c r="E662" s="18">
        <f t="shared" si="1"/>
        <v>26497</v>
      </c>
      <c r="F662" s="9">
        <v>0.0</v>
      </c>
      <c r="G662" s="19">
        <v>25656.58</v>
      </c>
      <c r="H662" s="9" t="s">
        <v>4723</v>
      </c>
      <c r="I662" s="9" t="s">
        <v>4717</v>
      </c>
      <c r="J662" s="9" t="s">
        <v>4731</v>
      </c>
      <c r="K662" s="20">
        <f t="shared" si="2"/>
        <v>1972</v>
      </c>
      <c r="L662" s="9" t="str">
        <f t="shared" si="3"/>
        <v>tier - 2</v>
      </c>
      <c r="M662" s="9" t="str">
        <f t="shared" si="4"/>
        <v>tier - 3</v>
      </c>
      <c r="N662" s="9" t="str">
        <f t="shared" si="5"/>
        <v>R1024</v>
      </c>
      <c r="O662" s="17">
        <f t="shared" si="6"/>
        <v>50</v>
      </c>
      <c r="P662" s="18">
        <v>26497.0</v>
      </c>
    </row>
    <row r="663" ht="15.75" customHeight="1">
      <c r="A663" s="9" t="s">
        <v>805</v>
      </c>
      <c r="B663" s="17">
        <v>1963.0</v>
      </c>
      <c r="C663" s="9" t="s">
        <v>4716</v>
      </c>
      <c r="D663" s="9">
        <v>21.0</v>
      </c>
      <c r="E663" s="18">
        <f t="shared" si="1"/>
        <v>23244</v>
      </c>
      <c r="F663" s="9">
        <v>0.0</v>
      </c>
      <c r="G663" s="19">
        <v>25678.78</v>
      </c>
      <c r="H663" s="9" t="s">
        <v>4723</v>
      </c>
      <c r="I663" s="9" t="s">
        <v>4717</v>
      </c>
      <c r="J663" s="9" t="s">
        <v>4733</v>
      </c>
      <c r="K663" s="20">
        <f t="shared" si="2"/>
        <v>1963</v>
      </c>
      <c r="L663" s="9" t="str">
        <f t="shared" si="3"/>
        <v>tier - 2</v>
      </c>
      <c r="M663" s="9" t="str">
        <f t="shared" si="4"/>
        <v>tier - 3</v>
      </c>
      <c r="N663" s="9" t="str">
        <f t="shared" si="5"/>
        <v>R1012</v>
      </c>
      <c r="O663" s="17">
        <f t="shared" si="6"/>
        <v>59</v>
      </c>
      <c r="P663" s="18">
        <v>23244.0</v>
      </c>
    </row>
    <row r="664" ht="15.75" customHeight="1">
      <c r="A664" s="9" t="s">
        <v>803</v>
      </c>
      <c r="B664" s="17">
        <v>1970.0</v>
      </c>
      <c r="C664" s="9" t="s">
        <v>4725</v>
      </c>
      <c r="D664" s="9">
        <v>3.0</v>
      </c>
      <c r="E664" s="18">
        <f t="shared" si="1"/>
        <v>25905</v>
      </c>
      <c r="F664" s="9">
        <v>3.0</v>
      </c>
      <c r="G664" s="19">
        <v>25992.82</v>
      </c>
      <c r="H664" s="9" t="s">
        <v>4723</v>
      </c>
      <c r="I664" s="9" t="s">
        <v>4723</v>
      </c>
      <c r="J664" s="9" t="s">
        <v>4743</v>
      </c>
      <c r="K664" s="20">
        <f t="shared" si="2"/>
        <v>1970</v>
      </c>
      <c r="L664" s="9" t="str">
        <f t="shared" si="3"/>
        <v>tier - 2</v>
      </c>
      <c r="M664" s="9" t="str">
        <f t="shared" si="4"/>
        <v>tier - 2</v>
      </c>
      <c r="N664" s="9" t="str">
        <f t="shared" si="5"/>
        <v>R1013</v>
      </c>
      <c r="O664" s="17">
        <f t="shared" si="6"/>
        <v>52</v>
      </c>
      <c r="P664" s="18">
        <v>25905.0</v>
      </c>
    </row>
    <row r="665" ht="15.75" customHeight="1">
      <c r="A665" s="9" t="s">
        <v>801</v>
      </c>
      <c r="B665" s="17">
        <v>2001.0</v>
      </c>
      <c r="C665" s="9" t="s">
        <v>4730</v>
      </c>
      <c r="D665" s="9">
        <v>5.0</v>
      </c>
      <c r="E665" s="18">
        <f t="shared" si="1"/>
        <v>37047</v>
      </c>
      <c r="F665" s="9">
        <v>2.0</v>
      </c>
      <c r="G665" s="19">
        <v>26018.95</v>
      </c>
      <c r="H665" s="9" t="s">
        <v>4723</v>
      </c>
      <c r="I665" s="9" t="s">
        <v>4723</v>
      </c>
      <c r="J665" s="9" t="s">
        <v>4733</v>
      </c>
      <c r="K665" s="20">
        <f t="shared" si="2"/>
        <v>2001</v>
      </c>
      <c r="L665" s="9" t="str">
        <f t="shared" si="3"/>
        <v>tier - 2</v>
      </c>
      <c r="M665" s="9" t="str">
        <f t="shared" si="4"/>
        <v>tier - 2</v>
      </c>
      <c r="N665" s="9" t="str">
        <f t="shared" si="5"/>
        <v>R1012</v>
      </c>
      <c r="O665" s="17">
        <f t="shared" si="6"/>
        <v>22</v>
      </c>
      <c r="P665" s="18">
        <v>37047.0</v>
      </c>
    </row>
    <row r="666" ht="15.75" customHeight="1">
      <c r="A666" s="9" t="s">
        <v>81</v>
      </c>
      <c r="B666" s="17">
        <v>1993.0</v>
      </c>
      <c r="C666" s="9" t="s">
        <v>4720</v>
      </c>
      <c r="D666" s="9">
        <v>11.0</v>
      </c>
      <c r="E666" s="18">
        <f t="shared" si="1"/>
        <v>34253</v>
      </c>
      <c r="F666" s="9">
        <v>2.0</v>
      </c>
      <c r="G666" s="19">
        <v>44585.46</v>
      </c>
      <c r="H666" s="9" t="s">
        <v>4723</v>
      </c>
      <c r="I666" s="9" t="s">
        <v>4723</v>
      </c>
      <c r="J666" s="9" t="s">
        <v>4719</v>
      </c>
      <c r="K666" s="20">
        <f t="shared" si="2"/>
        <v>1993</v>
      </c>
      <c r="L666" s="9" t="str">
        <f t="shared" si="3"/>
        <v>tier - 2</v>
      </c>
      <c r="M666" s="9" t="str">
        <f t="shared" si="4"/>
        <v>tier - 2</v>
      </c>
      <c r="N666" s="9" t="str">
        <f t="shared" si="5"/>
        <v>R1011</v>
      </c>
      <c r="O666" s="17">
        <f t="shared" si="6"/>
        <v>29</v>
      </c>
      <c r="P666" s="18">
        <v>34253.0</v>
      </c>
    </row>
    <row r="667" ht="15.75" customHeight="1">
      <c r="A667" s="9" t="s">
        <v>9</v>
      </c>
      <c r="B667" s="17">
        <v>1991.0</v>
      </c>
      <c r="C667" s="9" t="s">
        <v>4730</v>
      </c>
      <c r="D667" s="9">
        <v>6.0</v>
      </c>
      <c r="E667" s="18">
        <f t="shared" si="1"/>
        <v>33395</v>
      </c>
      <c r="F667" s="9">
        <v>1.0</v>
      </c>
      <c r="G667" s="19">
        <v>58571.07</v>
      </c>
      <c r="H667" s="9" t="s">
        <v>4718</v>
      </c>
      <c r="I667" s="9" t="s">
        <v>4717</v>
      </c>
      <c r="J667" s="9" t="s">
        <v>4731</v>
      </c>
      <c r="K667" s="20">
        <f t="shared" si="2"/>
        <v>1991</v>
      </c>
      <c r="L667" s="9" t="str">
        <f t="shared" si="3"/>
        <v>tier - 1</v>
      </c>
      <c r="M667" s="9" t="str">
        <f t="shared" si="4"/>
        <v>tier - 3</v>
      </c>
      <c r="N667" s="9" t="str">
        <f t="shared" si="5"/>
        <v>R1024</v>
      </c>
      <c r="O667" s="17">
        <f t="shared" si="6"/>
        <v>32</v>
      </c>
      <c r="P667" s="18">
        <v>33395.0</v>
      </c>
    </row>
    <row r="668" ht="15.75" customHeight="1">
      <c r="A668" s="9" t="s">
        <v>799</v>
      </c>
      <c r="B668" s="17">
        <v>2000.0</v>
      </c>
      <c r="C668" s="9" t="s">
        <v>4725</v>
      </c>
      <c r="D668" s="9">
        <v>26.0</v>
      </c>
      <c r="E668" s="18">
        <f t="shared" si="1"/>
        <v>36886</v>
      </c>
      <c r="F668" s="9">
        <v>0.0</v>
      </c>
      <c r="G668" s="19">
        <v>26026.97</v>
      </c>
      <c r="H668" s="9" t="s">
        <v>4723</v>
      </c>
      <c r="I668" s="9" t="s">
        <v>4717</v>
      </c>
      <c r="J668" s="9" t="s">
        <v>4719</v>
      </c>
      <c r="K668" s="20">
        <f t="shared" si="2"/>
        <v>2000</v>
      </c>
      <c r="L668" s="9" t="str">
        <f t="shared" si="3"/>
        <v>tier - 2</v>
      </c>
      <c r="M668" s="9" t="str">
        <f t="shared" si="4"/>
        <v>tier - 3</v>
      </c>
      <c r="N668" s="9" t="str">
        <f t="shared" si="5"/>
        <v>R1011</v>
      </c>
      <c r="O668" s="17">
        <f t="shared" si="6"/>
        <v>22</v>
      </c>
      <c r="P668" s="18">
        <v>36886.0</v>
      </c>
    </row>
    <row r="669" ht="15.75" customHeight="1">
      <c r="A669" s="9" t="s">
        <v>797</v>
      </c>
      <c r="B669" s="17">
        <v>1966.0</v>
      </c>
      <c r="C669" s="9" t="s">
        <v>4741</v>
      </c>
      <c r="D669" s="9">
        <v>9.0</v>
      </c>
      <c r="E669" s="18">
        <f t="shared" si="1"/>
        <v>24297</v>
      </c>
      <c r="F669" s="9">
        <v>1.0</v>
      </c>
      <c r="G669" s="19">
        <v>26109.33</v>
      </c>
      <c r="H669" s="9" t="s">
        <v>4723</v>
      </c>
      <c r="I669" s="9" t="s">
        <v>4717</v>
      </c>
      <c r="J669" s="9" t="s">
        <v>4733</v>
      </c>
      <c r="K669" s="20">
        <f t="shared" si="2"/>
        <v>1966</v>
      </c>
      <c r="L669" s="9" t="str">
        <f t="shared" si="3"/>
        <v>tier - 2</v>
      </c>
      <c r="M669" s="9" t="str">
        <f t="shared" si="4"/>
        <v>tier - 3</v>
      </c>
      <c r="N669" s="9" t="str">
        <f t="shared" si="5"/>
        <v>R1012</v>
      </c>
      <c r="O669" s="17">
        <f t="shared" si="6"/>
        <v>56</v>
      </c>
      <c r="P669" s="18">
        <v>24297.0</v>
      </c>
    </row>
    <row r="670" ht="15.75" customHeight="1">
      <c r="A670" s="9" t="s">
        <v>795</v>
      </c>
      <c r="B670" s="17">
        <v>2002.0</v>
      </c>
      <c r="C670" s="9" t="s">
        <v>4720</v>
      </c>
      <c r="D670" s="9">
        <v>11.0</v>
      </c>
      <c r="E670" s="18">
        <f t="shared" si="1"/>
        <v>37540</v>
      </c>
      <c r="F670" s="9">
        <v>0.0</v>
      </c>
      <c r="G670" s="19">
        <v>26125.67</v>
      </c>
      <c r="H670" s="9" t="s">
        <v>4723</v>
      </c>
      <c r="I670" s="9" t="s">
        <v>4718</v>
      </c>
      <c r="J670" s="9" t="s">
        <v>4743</v>
      </c>
      <c r="K670" s="20">
        <f t="shared" si="2"/>
        <v>2002</v>
      </c>
      <c r="L670" s="9" t="str">
        <f t="shared" si="3"/>
        <v>tier - 2</v>
      </c>
      <c r="M670" s="9" t="str">
        <f t="shared" si="4"/>
        <v>tier - 1</v>
      </c>
      <c r="N670" s="9" t="str">
        <f t="shared" si="5"/>
        <v>R1013</v>
      </c>
      <c r="O670" s="17">
        <f t="shared" si="6"/>
        <v>20</v>
      </c>
      <c r="P670" s="18">
        <v>37540.0</v>
      </c>
    </row>
    <row r="671" ht="15.75" customHeight="1">
      <c r="A671" s="9" t="s">
        <v>793</v>
      </c>
      <c r="B671" s="17">
        <v>1973.0</v>
      </c>
      <c r="C671" s="9" t="s">
        <v>4741</v>
      </c>
      <c r="D671" s="9">
        <v>7.0</v>
      </c>
      <c r="E671" s="18">
        <f t="shared" si="1"/>
        <v>26852</v>
      </c>
      <c r="F671" s="9">
        <v>1.0</v>
      </c>
      <c r="G671" s="19">
        <v>26140.36</v>
      </c>
      <c r="H671" s="9" t="s">
        <v>4723</v>
      </c>
      <c r="I671" s="9" t="s">
        <v>4717</v>
      </c>
      <c r="J671" s="9" t="s">
        <v>4719</v>
      </c>
      <c r="K671" s="20">
        <f t="shared" si="2"/>
        <v>1973</v>
      </c>
      <c r="L671" s="9" t="str">
        <f t="shared" si="3"/>
        <v>tier - 2</v>
      </c>
      <c r="M671" s="9" t="str">
        <f t="shared" si="4"/>
        <v>tier - 3</v>
      </c>
      <c r="N671" s="9" t="str">
        <f t="shared" si="5"/>
        <v>R1011</v>
      </c>
      <c r="O671" s="17">
        <f t="shared" si="6"/>
        <v>49</v>
      </c>
      <c r="P671" s="18">
        <v>26852.0</v>
      </c>
    </row>
    <row r="672" ht="15.75" customHeight="1">
      <c r="A672" s="9" t="s">
        <v>791</v>
      </c>
      <c r="B672" s="17">
        <v>1975.0</v>
      </c>
      <c r="C672" s="9" t="s">
        <v>4730</v>
      </c>
      <c r="D672" s="9">
        <v>4.0</v>
      </c>
      <c r="E672" s="18">
        <f t="shared" si="1"/>
        <v>27549</v>
      </c>
      <c r="F672" s="9">
        <v>1.0</v>
      </c>
      <c r="G672" s="19">
        <v>26236.58</v>
      </c>
      <c r="H672" s="9" t="s">
        <v>4723</v>
      </c>
      <c r="I672" s="9" t="s">
        <v>4718</v>
      </c>
      <c r="J672" s="9" t="s">
        <v>4719</v>
      </c>
      <c r="K672" s="20">
        <f t="shared" si="2"/>
        <v>1975</v>
      </c>
      <c r="L672" s="9" t="str">
        <f t="shared" si="3"/>
        <v>tier - 2</v>
      </c>
      <c r="M672" s="9" t="str">
        <f t="shared" si="4"/>
        <v>tier - 1</v>
      </c>
      <c r="N672" s="9" t="str">
        <f t="shared" si="5"/>
        <v>R1011</v>
      </c>
      <c r="O672" s="17">
        <f t="shared" si="6"/>
        <v>48</v>
      </c>
      <c r="P672" s="18">
        <v>27549.0</v>
      </c>
    </row>
    <row r="673" ht="15.75" customHeight="1">
      <c r="A673" s="9" t="s">
        <v>789</v>
      </c>
      <c r="B673" s="17">
        <v>2004.0</v>
      </c>
      <c r="C673" s="9" t="s">
        <v>4725</v>
      </c>
      <c r="D673" s="9">
        <v>5.0</v>
      </c>
      <c r="E673" s="18">
        <f t="shared" si="1"/>
        <v>38326</v>
      </c>
      <c r="F673" s="9">
        <v>0.0</v>
      </c>
      <c r="G673" s="19">
        <v>26316.59</v>
      </c>
      <c r="H673" s="9" t="s">
        <v>4723</v>
      </c>
      <c r="I673" s="9" t="s">
        <v>4717</v>
      </c>
      <c r="J673" s="9" t="s">
        <v>4719</v>
      </c>
      <c r="K673" s="20">
        <f t="shared" si="2"/>
        <v>2004</v>
      </c>
      <c r="L673" s="9" t="str">
        <f t="shared" si="3"/>
        <v>tier - 2</v>
      </c>
      <c r="M673" s="9" t="str">
        <f t="shared" si="4"/>
        <v>tier - 3</v>
      </c>
      <c r="N673" s="9" t="str">
        <f t="shared" si="5"/>
        <v>R1011</v>
      </c>
      <c r="O673" s="17">
        <f t="shared" si="6"/>
        <v>18</v>
      </c>
      <c r="P673" s="18">
        <v>38326.0</v>
      </c>
    </row>
    <row r="674" ht="15.75" customHeight="1">
      <c r="A674" s="9" t="s">
        <v>787</v>
      </c>
      <c r="B674" s="17">
        <v>1974.0</v>
      </c>
      <c r="C674" s="9" t="s">
        <v>4738</v>
      </c>
      <c r="D674" s="9">
        <v>21.0</v>
      </c>
      <c r="E674" s="18">
        <f t="shared" si="1"/>
        <v>27293</v>
      </c>
      <c r="F674" s="9">
        <v>1.0</v>
      </c>
      <c r="G674" s="19">
        <v>26392.26</v>
      </c>
      <c r="H674" s="9" t="s">
        <v>4723</v>
      </c>
      <c r="I674" s="9" t="s">
        <v>4723</v>
      </c>
      <c r="J674" s="9" t="s">
        <v>4731</v>
      </c>
      <c r="K674" s="20">
        <f t="shared" si="2"/>
        <v>1974</v>
      </c>
      <c r="L674" s="9" t="str">
        <f t="shared" si="3"/>
        <v>tier - 2</v>
      </c>
      <c r="M674" s="9" t="str">
        <f t="shared" si="4"/>
        <v>tier - 2</v>
      </c>
      <c r="N674" s="9" t="str">
        <f t="shared" si="5"/>
        <v>R1024</v>
      </c>
      <c r="O674" s="17">
        <f t="shared" si="6"/>
        <v>48</v>
      </c>
      <c r="P674" s="18">
        <v>27293.0</v>
      </c>
    </row>
    <row r="675" ht="15.75" customHeight="1">
      <c r="A675" s="9" t="s">
        <v>785</v>
      </c>
      <c r="B675" s="17">
        <v>1970.0</v>
      </c>
      <c r="C675" s="9" t="s">
        <v>4716</v>
      </c>
      <c r="D675" s="9">
        <v>27.0</v>
      </c>
      <c r="E675" s="18">
        <f t="shared" si="1"/>
        <v>25807</v>
      </c>
      <c r="F675" s="9">
        <v>2.0</v>
      </c>
      <c r="G675" s="19">
        <v>26467.1</v>
      </c>
      <c r="H675" s="9" t="s">
        <v>4723</v>
      </c>
      <c r="I675" s="9" t="s">
        <v>4717</v>
      </c>
      <c r="J675" s="9" t="s">
        <v>4733</v>
      </c>
      <c r="K675" s="20">
        <f t="shared" si="2"/>
        <v>1970</v>
      </c>
      <c r="L675" s="9" t="str">
        <f t="shared" si="3"/>
        <v>tier - 2</v>
      </c>
      <c r="M675" s="9" t="str">
        <f t="shared" si="4"/>
        <v>tier - 3</v>
      </c>
      <c r="N675" s="9" t="str">
        <f t="shared" si="5"/>
        <v>R1012</v>
      </c>
      <c r="O675" s="17">
        <f t="shared" si="6"/>
        <v>52</v>
      </c>
      <c r="P675" s="18">
        <v>25807.0</v>
      </c>
    </row>
    <row r="676" ht="15.75" customHeight="1">
      <c r="A676" s="9" t="s">
        <v>783</v>
      </c>
      <c r="B676" s="17">
        <v>2004.0</v>
      </c>
      <c r="C676" s="9" t="s">
        <v>4738</v>
      </c>
      <c r="D676" s="9">
        <v>5.0</v>
      </c>
      <c r="E676" s="18">
        <f t="shared" si="1"/>
        <v>38235</v>
      </c>
      <c r="F676" s="9">
        <v>0.0</v>
      </c>
      <c r="G676" s="19">
        <v>26479.4</v>
      </c>
      <c r="H676" s="9" t="s">
        <v>4723</v>
      </c>
      <c r="I676" s="9" t="s">
        <v>4723</v>
      </c>
      <c r="J676" s="9" t="s">
        <v>4719</v>
      </c>
      <c r="K676" s="20">
        <f t="shared" si="2"/>
        <v>2004</v>
      </c>
      <c r="L676" s="9" t="str">
        <f t="shared" si="3"/>
        <v>tier - 2</v>
      </c>
      <c r="M676" s="9" t="str">
        <f t="shared" si="4"/>
        <v>tier - 2</v>
      </c>
      <c r="N676" s="9" t="str">
        <f t="shared" si="5"/>
        <v>R1011</v>
      </c>
      <c r="O676" s="17">
        <f t="shared" si="6"/>
        <v>18</v>
      </c>
      <c r="P676" s="18">
        <v>38235.0</v>
      </c>
    </row>
    <row r="677" ht="15.75" customHeight="1">
      <c r="A677" s="9" t="s">
        <v>781</v>
      </c>
      <c r="B677" s="17">
        <v>1988.0</v>
      </c>
      <c r="C677" s="9" t="s">
        <v>4741</v>
      </c>
      <c r="D677" s="9">
        <v>22.0</v>
      </c>
      <c r="E677" s="18">
        <f t="shared" si="1"/>
        <v>32346</v>
      </c>
      <c r="F677" s="9">
        <v>3.0</v>
      </c>
      <c r="G677" s="19">
        <v>26607.89</v>
      </c>
      <c r="H677" s="9" t="s">
        <v>4723</v>
      </c>
      <c r="I677" s="9" t="s">
        <v>4718</v>
      </c>
      <c r="J677" s="9" t="s">
        <v>4719</v>
      </c>
      <c r="K677" s="20">
        <f t="shared" si="2"/>
        <v>1988</v>
      </c>
      <c r="L677" s="9" t="str">
        <f t="shared" si="3"/>
        <v>tier - 2</v>
      </c>
      <c r="M677" s="9" t="str">
        <f t="shared" si="4"/>
        <v>tier - 1</v>
      </c>
      <c r="N677" s="9" t="str">
        <f t="shared" si="5"/>
        <v>R1011</v>
      </c>
      <c r="O677" s="17">
        <f t="shared" si="6"/>
        <v>34</v>
      </c>
      <c r="P677" s="18">
        <v>32346.0</v>
      </c>
    </row>
    <row r="678" ht="15.75" customHeight="1">
      <c r="A678" s="9" t="s">
        <v>79</v>
      </c>
      <c r="B678" s="17">
        <v>1971.0</v>
      </c>
      <c r="C678" s="9" t="s">
        <v>4716</v>
      </c>
      <c r="D678" s="9">
        <v>13.0</v>
      </c>
      <c r="E678" s="18">
        <f t="shared" si="1"/>
        <v>26158</v>
      </c>
      <c r="F678" s="9">
        <v>2.0</v>
      </c>
      <c r="G678" s="19">
        <v>44641.2</v>
      </c>
      <c r="H678" s="9" t="s">
        <v>4723</v>
      </c>
      <c r="I678" s="9" t="s">
        <v>4717</v>
      </c>
      <c r="J678" s="9" t="s">
        <v>4731</v>
      </c>
      <c r="K678" s="20">
        <f t="shared" si="2"/>
        <v>1971</v>
      </c>
      <c r="L678" s="9" t="str">
        <f t="shared" si="3"/>
        <v>tier - 2</v>
      </c>
      <c r="M678" s="9" t="str">
        <f t="shared" si="4"/>
        <v>tier - 3</v>
      </c>
      <c r="N678" s="9" t="str">
        <f t="shared" si="5"/>
        <v>R1024</v>
      </c>
      <c r="O678" s="17">
        <f t="shared" si="6"/>
        <v>51</v>
      </c>
      <c r="P678" s="18">
        <v>26158.0</v>
      </c>
    </row>
    <row r="679" ht="15.75" customHeight="1">
      <c r="A679" s="9" t="s">
        <v>779</v>
      </c>
      <c r="B679" s="17">
        <v>1991.0</v>
      </c>
      <c r="C679" s="9" t="s">
        <v>4716</v>
      </c>
      <c r="D679" s="9">
        <v>22.0</v>
      </c>
      <c r="E679" s="18">
        <f t="shared" si="1"/>
        <v>33472</v>
      </c>
      <c r="F679" s="9">
        <v>3.0</v>
      </c>
      <c r="G679" s="19">
        <v>26912.56</v>
      </c>
      <c r="H679" s="9" t="s">
        <v>4723</v>
      </c>
      <c r="I679" s="9" t="s">
        <v>4723</v>
      </c>
      <c r="J679" s="9" t="s">
        <v>4719</v>
      </c>
      <c r="K679" s="20">
        <f t="shared" si="2"/>
        <v>1991</v>
      </c>
      <c r="L679" s="9" t="str">
        <f t="shared" si="3"/>
        <v>tier - 2</v>
      </c>
      <c r="M679" s="9" t="str">
        <f t="shared" si="4"/>
        <v>tier - 2</v>
      </c>
      <c r="N679" s="9" t="str">
        <f t="shared" si="5"/>
        <v>R1011</v>
      </c>
      <c r="O679" s="17">
        <f t="shared" si="6"/>
        <v>31</v>
      </c>
      <c r="P679" s="18">
        <v>33472.0</v>
      </c>
    </row>
    <row r="680" ht="15.75" customHeight="1">
      <c r="A680" s="9" t="s">
        <v>777</v>
      </c>
      <c r="B680" s="17">
        <v>1958.0</v>
      </c>
      <c r="C680" s="9" t="s">
        <v>4725</v>
      </c>
      <c r="D680" s="9">
        <v>25.0</v>
      </c>
      <c r="E680" s="18">
        <f t="shared" si="1"/>
        <v>21544</v>
      </c>
      <c r="F680" s="9">
        <v>0.0</v>
      </c>
      <c r="G680" s="19">
        <v>26926.51</v>
      </c>
      <c r="H680" s="9" t="s">
        <v>4723</v>
      </c>
      <c r="I680" s="9" t="s">
        <v>4718</v>
      </c>
      <c r="J680" s="9" t="s">
        <v>4743</v>
      </c>
      <c r="K680" s="20">
        <f t="shared" si="2"/>
        <v>1958</v>
      </c>
      <c r="L680" s="9" t="str">
        <f t="shared" si="3"/>
        <v>tier - 2</v>
      </c>
      <c r="M680" s="9" t="str">
        <f t="shared" si="4"/>
        <v>tier - 1</v>
      </c>
      <c r="N680" s="9" t="str">
        <f t="shared" si="5"/>
        <v>R1013</v>
      </c>
      <c r="O680" s="17">
        <f t="shared" si="6"/>
        <v>64</v>
      </c>
      <c r="P680" s="18">
        <v>21544.0</v>
      </c>
    </row>
    <row r="681" ht="15.75" customHeight="1">
      <c r="A681" s="9" t="s">
        <v>775</v>
      </c>
      <c r="B681" s="17">
        <v>2002.0</v>
      </c>
      <c r="C681" s="9" t="s">
        <v>4730</v>
      </c>
      <c r="D681" s="9">
        <v>17.0</v>
      </c>
      <c r="E681" s="18">
        <f t="shared" si="1"/>
        <v>37424</v>
      </c>
      <c r="F681" s="9">
        <v>0.0</v>
      </c>
      <c r="G681" s="19">
        <v>26927.69</v>
      </c>
      <c r="H681" s="9" t="s">
        <v>4723</v>
      </c>
      <c r="I681" s="9" t="s">
        <v>4723</v>
      </c>
      <c r="J681" s="9" t="s">
        <v>4719</v>
      </c>
      <c r="K681" s="20">
        <f t="shared" si="2"/>
        <v>2002</v>
      </c>
      <c r="L681" s="9" t="str">
        <f t="shared" si="3"/>
        <v>tier - 2</v>
      </c>
      <c r="M681" s="9" t="str">
        <f t="shared" si="4"/>
        <v>tier - 2</v>
      </c>
      <c r="N681" s="9" t="str">
        <f t="shared" si="5"/>
        <v>R1011</v>
      </c>
      <c r="O681" s="17">
        <f t="shared" si="6"/>
        <v>20</v>
      </c>
      <c r="P681" s="18">
        <v>37424.0</v>
      </c>
    </row>
    <row r="682" ht="15.75" customHeight="1">
      <c r="A682" s="9" t="s">
        <v>773</v>
      </c>
      <c r="B682" s="17">
        <v>2000.0</v>
      </c>
      <c r="C682" s="9" t="s">
        <v>4735</v>
      </c>
      <c r="D682" s="9">
        <v>9.0</v>
      </c>
      <c r="E682" s="18">
        <f t="shared" si="1"/>
        <v>36839</v>
      </c>
      <c r="F682" s="9">
        <v>0.0</v>
      </c>
      <c r="G682" s="19">
        <v>26936.98</v>
      </c>
      <c r="H682" s="9" t="s">
        <v>4723</v>
      </c>
      <c r="I682" s="9" t="s">
        <v>4717</v>
      </c>
      <c r="J682" s="9" t="s">
        <v>4719</v>
      </c>
      <c r="K682" s="20">
        <f t="shared" si="2"/>
        <v>2000</v>
      </c>
      <c r="L682" s="9" t="str">
        <f t="shared" si="3"/>
        <v>tier - 2</v>
      </c>
      <c r="M682" s="9" t="str">
        <f t="shared" si="4"/>
        <v>tier - 3</v>
      </c>
      <c r="N682" s="9" t="str">
        <f t="shared" si="5"/>
        <v>R1011</v>
      </c>
      <c r="O682" s="17">
        <f t="shared" si="6"/>
        <v>22</v>
      </c>
      <c r="P682" s="18">
        <v>36839.0</v>
      </c>
    </row>
    <row r="683" ht="15.75" customHeight="1">
      <c r="A683" s="9" t="s">
        <v>771</v>
      </c>
      <c r="B683" s="17">
        <v>1960.0</v>
      </c>
      <c r="C683" s="9" t="s">
        <v>4741</v>
      </c>
      <c r="D683" s="9">
        <v>9.0</v>
      </c>
      <c r="E683" s="18">
        <f t="shared" si="1"/>
        <v>22106</v>
      </c>
      <c r="F683" s="9">
        <v>1.0</v>
      </c>
      <c r="G683" s="19">
        <v>27000.98</v>
      </c>
      <c r="H683" s="9" t="s">
        <v>4723</v>
      </c>
      <c r="I683" s="9" t="s">
        <v>4723</v>
      </c>
      <c r="J683" s="9" t="s">
        <v>4743</v>
      </c>
      <c r="K683" s="20">
        <f t="shared" si="2"/>
        <v>1960</v>
      </c>
      <c r="L683" s="9" t="str">
        <f t="shared" si="3"/>
        <v>tier - 2</v>
      </c>
      <c r="M683" s="9" t="str">
        <f t="shared" si="4"/>
        <v>tier - 2</v>
      </c>
      <c r="N683" s="9" t="str">
        <f t="shared" si="5"/>
        <v>R1013</v>
      </c>
      <c r="O683" s="17">
        <f t="shared" si="6"/>
        <v>62</v>
      </c>
      <c r="P683" s="18">
        <v>22106.0</v>
      </c>
    </row>
    <row r="684" ht="15.75" customHeight="1">
      <c r="A684" s="9" t="s">
        <v>769</v>
      </c>
      <c r="B684" s="17">
        <v>1958.0</v>
      </c>
      <c r="C684" s="9" t="s">
        <v>4730</v>
      </c>
      <c r="D684" s="9">
        <v>30.0</v>
      </c>
      <c r="E684" s="18">
        <f t="shared" si="1"/>
        <v>21366</v>
      </c>
      <c r="F684" s="9">
        <v>0.0</v>
      </c>
      <c r="G684" s="19">
        <v>27037.91</v>
      </c>
      <c r="H684" s="9" t="s">
        <v>4723</v>
      </c>
      <c r="I684" s="9" t="s">
        <v>4723</v>
      </c>
      <c r="J684" s="9" t="s">
        <v>4743</v>
      </c>
      <c r="K684" s="20">
        <f t="shared" si="2"/>
        <v>1958</v>
      </c>
      <c r="L684" s="9" t="str">
        <f t="shared" si="3"/>
        <v>tier - 2</v>
      </c>
      <c r="M684" s="9" t="str">
        <f t="shared" si="4"/>
        <v>tier - 2</v>
      </c>
      <c r="N684" s="9" t="str">
        <f t="shared" si="5"/>
        <v>R1013</v>
      </c>
      <c r="O684" s="17">
        <f t="shared" si="6"/>
        <v>64</v>
      </c>
      <c r="P684" s="18">
        <v>21366.0</v>
      </c>
    </row>
    <row r="685" ht="15.75" customHeight="1">
      <c r="A685" s="9" t="s">
        <v>767</v>
      </c>
      <c r="B685" s="17">
        <v>1994.0</v>
      </c>
      <c r="C685" s="9" t="s">
        <v>4741</v>
      </c>
      <c r="D685" s="9">
        <v>2.0</v>
      </c>
      <c r="E685" s="18">
        <f t="shared" si="1"/>
        <v>34517</v>
      </c>
      <c r="F685" s="9">
        <v>0.0</v>
      </c>
      <c r="G685" s="19">
        <v>27080.64</v>
      </c>
      <c r="H685" s="9" t="s">
        <v>4723</v>
      </c>
      <c r="I685" s="9" t="s">
        <v>4723</v>
      </c>
      <c r="J685" s="9" t="s">
        <v>4719</v>
      </c>
      <c r="K685" s="20">
        <f t="shared" si="2"/>
        <v>1994</v>
      </c>
      <c r="L685" s="9" t="str">
        <f t="shared" si="3"/>
        <v>tier - 2</v>
      </c>
      <c r="M685" s="9" t="str">
        <f t="shared" si="4"/>
        <v>tier - 2</v>
      </c>
      <c r="N685" s="9" t="str">
        <f t="shared" si="5"/>
        <v>R1011</v>
      </c>
      <c r="O685" s="17">
        <f t="shared" si="6"/>
        <v>28</v>
      </c>
      <c r="P685" s="18">
        <v>34517.0</v>
      </c>
    </row>
    <row r="686" ht="15.75" customHeight="1">
      <c r="A686" s="9" t="s">
        <v>765</v>
      </c>
      <c r="B686" s="17">
        <v>1990.0</v>
      </c>
      <c r="C686" s="9" t="s">
        <v>4725</v>
      </c>
      <c r="D686" s="9">
        <v>13.0</v>
      </c>
      <c r="E686" s="18">
        <f t="shared" si="1"/>
        <v>33220</v>
      </c>
      <c r="F686" s="9">
        <v>3.0</v>
      </c>
      <c r="G686" s="19">
        <v>27092.38</v>
      </c>
      <c r="H686" s="9" t="s">
        <v>4723</v>
      </c>
      <c r="I686" s="9" t="s">
        <v>4717</v>
      </c>
      <c r="J686" s="9" t="s">
        <v>4719</v>
      </c>
      <c r="K686" s="20">
        <f t="shared" si="2"/>
        <v>1990</v>
      </c>
      <c r="L686" s="9" t="str">
        <f t="shared" si="3"/>
        <v>tier - 2</v>
      </c>
      <c r="M686" s="9" t="str">
        <f t="shared" si="4"/>
        <v>tier - 3</v>
      </c>
      <c r="N686" s="9" t="str">
        <f t="shared" si="5"/>
        <v>R1011</v>
      </c>
      <c r="O686" s="17">
        <f t="shared" si="6"/>
        <v>32</v>
      </c>
      <c r="P686" s="18">
        <v>33220.0</v>
      </c>
    </row>
    <row r="687" ht="15.75" customHeight="1">
      <c r="A687" s="9" t="s">
        <v>763</v>
      </c>
      <c r="B687" s="17">
        <v>1970.0</v>
      </c>
      <c r="C687" s="9" t="s">
        <v>4720</v>
      </c>
      <c r="D687" s="9">
        <v>2.0</v>
      </c>
      <c r="E687" s="18">
        <f t="shared" si="1"/>
        <v>25843</v>
      </c>
      <c r="F687" s="9">
        <v>0.0</v>
      </c>
      <c r="G687" s="19">
        <v>27117.99</v>
      </c>
      <c r="H687" s="9" t="s">
        <v>4723</v>
      </c>
      <c r="I687" s="9" t="s">
        <v>4723</v>
      </c>
      <c r="J687" s="9" t="s">
        <v>4743</v>
      </c>
      <c r="K687" s="20">
        <f t="shared" si="2"/>
        <v>1970</v>
      </c>
      <c r="L687" s="9" t="str">
        <f t="shared" si="3"/>
        <v>tier - 2</v>
      </c>
      <c r="M687" s="9" t="str">
        <f t="shared" si="4"/>
        <v>tier - 2</v>
      </c>
      <c r="N687" s="9" t="str">
        <f t="shared" si="5"/>
        <v>R1013</v>
      </c>
      <c r="O687" s="17">
        <f t="shared" si="6"/>
        <v>52</v>
      </c>
      <c r="P687" s="18">
        <v>25843.0</v>
      </c>
    </row>
    <row r="688" ht="15.75" customHeight="1">
      <c r="A688" s="9" t="s">
        <v>761</v>
      </c>
      <c r="B688" s="17">
        <v>1965.0</v>
      </c>
      <c r="C688" s="9" t="s">
        <v>4725</v>
      </c>
      <c r="D688" s="9">
        <v>21.0</v>
      </c>
      <c r="E688" s="18">
        <f t="shared" si="1"/>
        <v>24097</v>
      </c>
      <c r="F688" s="9">
        <v>0.0</v>
      </c>
      <c r="G688" s="19">
        <v>27218.44</v>
      </c>
      <c r="H688" s="9" t="s">
        <v>4723</v>
      </c>
      <c r="I688" s="9" t="s">
        <v>4718</v>
      </c>
      <c r="J688" s="9" t="s">
        <v>4753</v>
      </c>
      <c r="K688" s="20">
        <f t="shared" si="2"/>
        <v>1965</v>
      </c>
      <c r="L688" s="9" t="str">
        <f t="shared" si="3"/>
        <v>tier - 2</v>
      </c>
      <c r="M688" s="9" t="str">
        <f t="shared" si="4"/>
        <v>tier - 1</v>
      </c>
      <c r="N688" s="9" t="str">
        <f t="shared" si="5"/>
        <v>R1017</v>
      </c>
      <c r="O688" s="17">
        <f t="shared" si="6"/>
        <v>57</v>
      </c>
      <c r="P688" s="18">
        <v>24097.0</v>
      </c>
    </row>
    <row r="689" ht="15.75" customHeight="1">
      <c r="A689" s="9" t="s">
        <v>77</v>
      </c>
      <c r="B689" s="17">
        <v>1962.0</v>
      </c>
      <c r="C689" s="9" t="s">
        <v>4725</v>
      </c>
      <c r="D689" s="9">
        <v>17.0</v>
      </c>
      <c r="E689" s="18">
        <f t="shared" si="1"/>
        <v>22997</v>
      </c>
      <c r="F689" s="9">
        <v>0.0</v>
      </c>
      <c r="G689" s="19">
        <v>45008.96</v>
      </c>
      <c r="H689" s="9" t="s">
        <v>4723</v>
      </c>
      <c r="I689" s="9" t="s">
        <v>4723</v>
      </c>
      <c r="J689" s="9" t="s">
        <v>4743</v>
      </c>
      <c r="K689" s="20">
        <f t="shared" si="2"/>
        <v>1962</v>
      </c>
      <c r="L689" s="9" t="str">
        <f t="shared" si="3"/>
        <v>tier - 2</v>
      </c>
      <c r="M689" s="9" t="str">
        <f t="shared" si="4"/>
        <v>tier - 2</v>
      </c>
      <c r="N689" s="9" t="str">
        <f t="shared" si="5"/>
        <v>R1013</v>
      </c>
      <c r="O689" s="17">
        <f t="shared" si="6"/>
        <v>60</v>
      </c>
      <c r="P689" s="18">
        <v>22997.0</v>
      </c>
    </row>
    <row r="690" ht="15.75" customHeight="1">
      <c r="A690" s="9" t="s">
        <v>759</v>
      </c>
      <c r="B690" s="17">
        <v>1999.0</v>
      </c>
      <c r="C690" s="9" t="s">
        <v>4725</v>
      </c>
      <c r="D690" s="9">
        <v>2.0</v>
      </c>
      <c r="E690" s="18">
        <f t="shared" si="1"/>
        <v>36496</v>
      </c>
      <c r="F690" s="9">
        <v>0.0</v>
      </c>
      <c r="G690" s="19">
        <v>27236.96</v>
      </c>
      <c r="H690" s="9" t="s">
        <v>4723</v>
      </c>
      <c r="I690" s="9" t="s">
        <v>4718</v>
      </c>
      <c r="J690" s="9" t="s">
        <v>4719</v>
      </c>
      <c r="K690" s="20">
        <f t="shared" si="2"/>
        <v>1999</v>
      </c>
      <c r="L690" s="9" t="str">
        <f t="shared" si="3"/>
        <v>tier - 2</v>
      </c>
      <c r="M690" s="9" t="str">
        <f t="shared" si="4"/>
        <v>tier - 1</v>
      </c>
      <c r="N690" s="9" t="str">
        <f t="shared" si="5"/>
        <v>R1011</v>
      </c>
      <c r="O690" s="17">
        <f t="shared" si="6"/>
        <v>23</v>
      </c>
      <c r="P690" s="18">
        <v>36496.0</v>
      </c>
    </row>
    <row r="691" ht="15.75" customHeight="1">
      <c r="A691" s="9" t="s">
        <v>757</v>
      </c>
      <c r="B691" s="17">
        <v>1968.0</v>
      </c>
      <c r="C691" s="9" t="s">
        <v>4730</v>
      </c>
      <c r="D691" s="9">
        <v>6.0</v>
      </c>
      <c r="E691" s="18">
        <f t="shared" si="1"/>
        <v>24995</v>
      </c>
      <c r="F691" s="9">
        <v>3.0</v>
      </c>
      <c r="G691" s="19">
        <v>27322.73</v>
      </c>
      <c r="H691" s="9" t="s">
        <v>4723</v>
      </c>
      <c r="I691" s="9" t="s">
        <v>4723</v>
      </c>
      <c r="J691" s="9" t="s">
        <v>4743</v>
      </c>
      <c r="K691" s="20">
        <f t="shared" si="2"/>
        <v>1968</v>
      </c>
      <c r="L691" s="9" t="str">
        <f t="shared" si="3"/>
        <v>tier - 2</v>
      </c>
      <c r="M691" s="9" t="str">
        <f t="shared" si="4"/>
        <v>tier - 2</v>
      </c>
      <c r="N691" s="9" t="str">
        <f t="shared" si="5"/>
        <v>R1013</v>
      </c>
      <c r="O691" s="17">
        <f t="shared" si="6"/>
        <v>55</v>
      </c>
      <c r="P691" s="18">
        <v>24995.0</v>
      </c>
    </row>
    <row r="692" ht="15.75" customHeight="1">
      <c r="A692" s="9" t="s">
        <v>755</v>
      </c>
      <c r="B692" s="17">
        <v>1969.0</v>
      </c>
      <c r="C692" s="9" t="s">
        <v>4720</v>
      </c>
      <c r="D692" s="9">
        <v>16.0</v>
      </c>
      <c r="E692" s="18">
        <f t="shared" si="1"/>
        <v>25492</v>
      </c>
      <c r="F692" s="9">
        <v>0.0</v>
      </c>
      <c r="G692" s="19">
        <v>27346.04</v>
      </c>
      <c r="H692" s="9" t="s">
        <v>4723</v>
      </c>
      <c r="I692" s="9" t="s">
        <v>4723</v>
      </c>
      <c r="J692" s="9" t="s">
        <v>4743</v>
      </c>
      <c r="K692" s="20">
        <f t="shared" si="2"/>
        <v>1969</v>
      </c>
      <c r="L692" s="9" t="str">
        <f t="shared" si="3"/>
        <v>tier - 2</v>
      </c>
      <c r="M692" s="9" t="str">
        <f t="shared" si="4"/>
        <v>tier - 2</v>
      </c>
      <c r="N692" s="9" t="str">
        <f t="shared" si="5"/>
        <v>R1013</v>
      </c>
      <c r="O692" s="17">
        <f t="shared" si="6"/>
        <v>53</v>
      </c>
      <c r="P692" s="18">
        <v>25492.0</v>
      </c>
    </row>
    <row r="693" ht="15.75" customHeight="1">
      <c r="A693" s="9" t="s">
        <v>753</v>
      </c>
      <c r="B693" s="17">
        <v>1988.0</v>
      </c>
      <c r="C693" s="9" t="s">
        <v>4738</v>
      </c>
      <c r="D693" s="9">
        <v>15.0</v>
      </c>
      <c r="E693" s="18">
        <f t="shared" si="1"/>
        <v>32401</v>
      </c>
      <c r="F693" s="9">
        <v>2.0</v>
      </c>
      <c r="G693" s="19">
        <v>27375.9</v>
      </c>
      <c r="H693" s="9" t="s">
        <v>4723</v>
      </c>
      <c r="I693" s="9" t="s">
        <v>4717</v>
      </c>
      <c r="J693" s="9" t="s">
        <v>4757</v>
      </c>
      <c r="K693" s="20">
        <f t="shared" si="2"/>
        <v>1988</v>
      </c>
      <c r="L693" s="9" t="str">
        <f t="shared" si="3"/>
        <v>tier - 2</v>
      </c>
      <c r="M693" s="9" t="str">
        <f t="shared" si="4"/>
        <v>tier - 3</v>
      </c>
      <c r="N693" s="9" t="str">
        <f t="shared" si="5"/>
        <v>R1015</v>
      </c>
      <c r="O693" s="17">
        <f t="shared" si="6"/>
        <v>34</v>
      </c>
      <c r="P693" s="18">
        <v>32401.0</v>
      </c>
    </row>
    <row r="694" ht="15.75" customHeight="1">
      <c r="A694" s="9" t="s">
        <v>751</v>
      </c>
      <c r="B694" s="17">
        <v>1985.0</v>
      </c>
      <c r="C694" s="9" t="s">
        <v>4725</v>
      </c>
      <c r="D694" s="9">
        <v>5.0</v>
      </c>
      <c r="E694" s="18">
        <f t="shared" si="1"/>
        <v>31386</v>
      </c>
      <c r="F694" s="9">
        <v>3.0</v>
      </c>
      <c r="G694" s="19">
        <v>27432.73</v>
      </c>
      <c r="H694" s="9" t="s">
        <v>4723</v>
      </c>
      <c r="I694" s="9" t="s">
        <v>4718</v>
      </c>
      <c r="J694" s="9" t="s">
        <v>4719</v>
      </c>
      <c r="K694" s="20">
        <f t="shared" si="2"/>
        <v>1985</v>
      </c>
      <c r="L694" s="9" t="str">
        <f t="shared" si="3"/>
        <v>tier - 2</v>
      </c>
      <c r="M694" s="9" t="str">
        <f t="shared" si="4"/>
        <v>tier - 1</v>
      </c>
      <c r="N694" s="9" t="str">
        <f t="shared" si="5"/>
        <v>R1011</v>
      </c>
      <c r="O694" s="17">
        <f t="shared" si="6"/>
        <v>37</v>
      </c>
      <c r="P694" s="18">
        <v>31386.0</v>
      </c>
    </row>
    <row r="695" ht="15.75" customHeight="1">
      <c r="A695" s="9" t="s">
        <v>749</v>
      </c>
      <c r="B695" s="17">
        <v>1981.0</v>
      </c>
      <c r="C695" s="9" t="s">
        <v>4720</v>
      </c>
      <c r="D695" s="9">
        <v>3.0</v>
      </c>
      <c r="E695" s="18">
        <f t="shared" si="1"/>
        <v>29862</v>
      </c>
      <c r="F695" s="9">
        <v>1.0</v>
      </c>
      <c r="G695" s="19">
        <v>27495.59</v>
      </c>
      <c r="H695" s="9" t="s">
        <v>4723</v>
      </c>
      <c r="I695" s="9" t="s">
        <v>4718</v>
      </c>
      <c r="J695" s="9" t="s">
        <v>4719</v>
      </c>
      <c r="K695" s="20">
        <f t="shared" si="2"/>
        <v>1981</v>
      </c>
      <c r="L695" s="9" t="str">
        <f t="shared" si="3"/>
        <v>tier - 2</v>
      </c>
      <c r="M695" s="9" t="str">
        <f t="shared" si="4"/>
        <v>tier - 1</v>
      </c>
      <c r="N695" s="9" t="str">
        <f t="shared" si="5"/>
        <v>R1011</v>
      </c>
      <c r="O695" s="17">
        <f t="shared" si="6"/>
        <v>41</v>
      </c>
      <c r="P695" s="18">
        <v>29862.0</v>
      </c>
    </row>
    <row r="696" ht="15.75" customHeight="1">
      <c r="A696" s="9" t="s">
        <v>747</v>
      </c>
      <c r="B696" s="17">
        <v>1965.0</v>
      </c>
      <c r="C696" s="9" t="s">
        <v>4720</v>
      </c>
      <c r="D696" s="9">
        <v>19.0</v>
      </c>
      <c r="E696" s="18">
        <f t="shared" si="1"/>
        <v>24034</v>
      </c>
      <c r="F696" s="9">
        <v>0.0</v>
      </c>
      <c r="G696" s="19">
        <v>27533.91</v>
      </c>
      <c r="H696" s="9" t="s">
        <v>4723</v>
      </c>
      <c r="I696" s="9" t="s">
        <v>4717</v>
      </c>
      <c r="J696" s="9" t="s">
        <v>4743</v>
      </c>
      <c r="K696" s="20">
        <f t="shared" si="2"/>
        <v>1965</v>
      </c>
      <c r="L696" s="9" t="str">
        <f t="shared" si="3"/>
        <v>tier - 2</v>
      </c>
      <c r="M696" s="9" t="str">
        <f t="shared" si="4"/>
        <v>tier - 3</v>
      </c>
      <c r="N696" s="9" t="str">
        <f t="shared" si="5"/>
        <v>R1013</v>
      </c>
      <c r="O696" s="17">
        <f t="shared" si="6"/>
        <v>57</v>
      </c>
      <c r="P696" s="18">
        <v>24034.0</v>
      </c>
    </row>
    <row r="697" ht="15.75" customHeight="1">
      <c r="A697" s="9" t="s">
        <v>745</v>
      </c>
      <c r="B697" s="17">
        <v>1984.0</v>
      </c>
      <c r="C697" s="9" t="s">
        <v>4741</v>
      </c>
      <c r="D697" s="9">
        <v>22.0</v>
      </c>
      <c r="E697" s="18">
        <f t="shared" si="1"/>
        <v>30885</v>
      </c>
      <c r="F697" s="9">
        <v>3.0</v>
      </c>
      <c r="G697" s="19">
        <v>27534.53</v>
      </c>
      <c r="H697" s="9" t="s">
        <v>4723</v>
      </c>
      <c r="I697" s="9" t="s">
        <v>4723</v>
      </c>
      <c r="J697" s="9" t="s">
        <v>4719</v>
      </c>
      <c r="K697" s="20">
        <f t="shared" si="2"/>
        <v>1984</v>
      </c>
      <c r="L697" s="9" t="str">
        <f t="shared" si="3"/>
        <v>tier - 2</v>
      </c>
      <c r="M697" s="9" t="str">
        <f t="shared" si="4"/>
        <v>tier - 2</v>
      </c>
      <c r="N697" s="9" t="str">
        <f t="shared" si="5"/>
        <v>R1011</v>
      </c>
      <c r="O697" s="17">
        <f t="shared" si="6"/>
        <v>38</v>
      </c>
      <c r="P697" s="18">
        <v>30885.0</v>
      </c>
    </row>
    <row r="698" ht="15.75" customHeight="1">
      <c r="A698" s="9" t="s">
        <v>743</v>
      </c>
      <c r="B698" s="17">
        <v>1985.0</v>
      </c>
      <c r="C698" s="9" t="s">
        <v>4735</v>
      </c>
      <c r="D698" s="9">
        <v>6.0</v>
      </c>
      <c r="E698" s="18">
        <f t="shared" si="1"/>
        <v>31357</v>
      </c>
      <c r="F698" s="9">
        <v>3.0</v>
      </c>
      <c r="G698" s="19">
        <v>27598.93</v>
      </c>
      <c r="H698" s="9" t="s">
        <v>4723</v>
      </c>
      <c r="I698" s="9" t="s">
        <v>4718</v>
      </c>
      <c r="J698" s="9" t="s">
        <v>4719</v>
      </c>
      <c r="K698" s="20">
        <f t="shared" si="2"/>
        <v>1985</v>
      </c>
      <c r="L698" s="9" t="str">
        <f t="shared" si="3"/>
        <v>tier - 2</v>
      </c>
      <c r="M698" s="9" t="str">
        <f t="shared" si="4"/>
        <v>tier - 1</v>
      </c>
      <c r="N698" s="9" t="str">
        <f t="shared" si="5"/>
        <v>R1011</v>
      </c>
      <c r="O698" s="17">
        <f t="shared" si="6"/>
        <v>37</v>
      </c>
      <c r="P698" s="18">
        <v>31357.0</v>
      </c>
    </row>
    <row r="699" ht="15.75" customHeight="1">
      <c r="A699" s="9" t="s">
        <v>741</v>
      </c>
      <c r="B699" s="17">
        <v>1992.0</v>
      </c>
      <c r="C699" s="9" t="s">
        <v>4730</v>
      </c>
      <c r="D699" s="9">
        <v>11.0</v>
      </c>
      <c r="E699" s="18">
        <f t="shared" si="1"/>
        <v>33766</v>
      </c>
      <c r="F699" s="9">
        <v>0.0</v>
      </c>
      <c r="G699" s="19">
        <v>27614.71</v>
      </c>
      <c r="H699" s="9" t="s">
        <v>4723</v>
      </c>
      <c r="I699" s="9" t="s">
        <v>4717</v>
      </c>
      <c r="J699" s="9" t="s">
        <v>4719</v>
      </c>
      <c r="K699" s="20">
        <f t="shared" si="2"/>
        <v>1992</v>
      </c>
      <c r="L699" s="9" t="str">
        <f t="shared" si="3"/>
        <v>tier - 2</v>
      </c>
      <c r="M699" s="9" t="str">
        <f t="shared" si="4"/>
        <v>tier - 3</v>
      </c>
      <c r="N699" s="9" t="str">
        <f t="shared" si="5"/>
        <v>R1011</v>
      </c>
      <c r="O699" s="17">
        <f t="shared" si="6"/>
        <v>30</v>
      </c>
      <c r="P699" s="18">
        <v>33766.0</v>
      </c>
    </row>
    <row r="700" ht="15.75" customHeight="1">
      <c r="A700" s="9" t="s">
        <v>75</v>
      </c>
      <c r="B700" s="17">
        <v>1974.0</v>
      </c>
      <c r="C700" s="9" t="s">
        <v>4716</v>
      </c>
      <c r="D700" s="9">
        <v>9.0</v>
      </c>
      <c r="E700" s="18">
        <f t="shared" si="1"/>
        <v>27250</v>
      </c>
      <c r="F700" s="9">
        <v>2.0</v>
      </c>
      <c r="G700" s="19">
        <v>45702.02</v>
      </c>
      <c r="H700" s="9" t="s">
        <v>4723</v>
      </c>
      <c r="I700" s="9" t="s">
        <v>4723</v>
      </c>
      <c r="J700" s="9" t="s">
        <v>4733</v>
      </c>
      <c r="K700" s="20">
        <f t="shared" si="2"/>
        <v>1974</v>
      </c>
      <c r="L700" s="9" t="str">
        <f t="shared" si="3"/>
        <v>tier - 2</v>
      </c>
      <c r="M700" s="9" t="str">
        <f t="shared" si="4"/>
        <v>tier - 2</v>
      </c>
      <c r="N700" s="9" t="str">
        <f t="shared" si="5"/>
        <v>R1012</v>
      </c>
      <c r="O700" s="17">
        <f t="shared" si="6"/>
        <v>48</v>
      </c>
      <c r="P700" s="18">
        <v>27250.0</v>
      </c>
    </row>
    <row r="701" ht="15.75" customHeight="1">
      <c r="A701" s="9" t="s">
        <v>739</v>
      </c>
      <c r="B701" s="17">
        <v>1997.0</v>
      </c>
      <c r="C701" s="9" t="s">
        <v>4738</v>
      </c>
      <c r="D701" s="9">
        <v>9.0</v>
      </c>
      <c r="E701" s="18">
        <f t="shared" si="1"/>
        <v>35682</v>
      </c>
      <c r="F701" s="9">
        <v>0.0</v>
      </c>
      <c r="G701" s="19">
        <v>27619.36</v>
      </c>
      <c r="H701" s="9" t="s">
        <v>4723</v>
      </c>
      <c r="I701" s="9" t="s">
        <v>4717</v>
      </c>
      <c r="J701" s="9" t="s">
        <v>4719</v>
      </c>
      <c r="K701" s="20">
        <f t="shared" si="2"/>
        <v>1997</v>
      </c>
      <c r="L701" s="9" t="str">
        <f t="shared" si="3"/>
        <v>tier - 2</v>
      </c>
      <c r="M701" s="9" t="str">
        <f t="shared" si="4"/>
        <v>tier - 3</v>
      </c>
      <c r="N701" s="9" t="str">
        <f t="shared" si="5"/>
        <v>R1011</v>
      </c>
      <c r="O701" s="17">
        <f t="shared" si="6"/>
        <v>25</v>
      </c>
      <c r="P701" s="18">
        <v>35682.0</v>
      </c>
    </row>
    <row r="702" ht="15.75" customHeight="1">
      <c r="A702" s="9" t="s">
        <v>737</v>
      </c>
      <c r="B702" s="17">
        <v>1997.0</v>
      </c>
      <c r="C702" s="9" t="s">
        <v>4720</v>
      </c>
      <c r="D702" s="9">
        <v>7.0</v>
      </c>
      <c r="E702" s="18">
        <f t="shared" si="1"/>
        <v>35710</v>
      </c>
      <c r="F702" s="9">
        <v>0.0</v>
      </c>
      <c r="G702" s="19">
        <v>27625.17</v>
      </c>
      <c r="H702" s="9" t="s">
        <v>4718</v>
      </c>
      <c r="I702" s="9" t="s">
        <v>4718</v>
      </c>
      <c r="J702" s="9" t="s">
        <v>4719</v>
      </c>
      <c r="K702" s="20">
        <f t="shared" si="2"/>
        <v>1997</v>
      </c>
      <c r="L702" s="9" t="str">
        <f t="shared" si="3"/>
        <v>tier - 1</v>
      </c>
      <c r="M702" s="9" t="str">
        <f t="shared" si="4"/>
        <v>tier - 1</v>
      </c>
      <c r="N702" s="9" t="str">
        <f t="shared" si="5"/>
        <v>R1011</v>
      </c>
      <c r="O702" s="17">
        <f t="shared" si="6"/>
        <v>25</v>
      </c>
      <c r="P702" s="18">
        <v>35710.0</v>
      </c>
    </row>
    <row r="703" ht="15.75" customHeight="1">
      <c r="A703" s="9" t="s">
        <v>735</v>
      </c>
      <c r="B703" s="17">
        <v>1992.0</v>
      </c>
      <c r="C703" s="9" t="s">
        <v>4741</v>
      </c>
      <c r="D703" s="9">
        <v>3.0</v>
      </c>
      <c r="E703" s="18">
        <f t="shared" si="1"/>
        <v>33788</v>
      </c>
      <c r="F703" s="9">
        <v>0.0</v>
      </c>
      <c r="G703" s="19">
        <v>27696.11</v>
      </c>
      <c r="H703" s="9" t="s">
        <v>4718</v>
      </c>
      <c r="I703" s="9" t="s">
        <v>4723</v>
      </c>
      <c r="J703" s="9" t="s">
        <v>4719</v>
      </c>
      <c r="K703" s="20">
        <f t="shared" si="2"/>
        <v>1992</v>
      </c>
      <c r="L703" s="9" t="str">
        <f t="shared" si="3"/>
        <v>tier - 1</v>
      </c>
      <c r="M703" s="9" t="str">
        <f t="shared" si="4"/>
        <v>tier - 2</v>
      </c>
      <c r="N703" s="9" t="str">
        <f t="shared" si="5"/>
        <v>R1011</v>
      </c>
      <c r="O703" s="17">
        <f t="shared" si="6"/>
        <v>30</v>
      </c>
      <c r="P703" s="18">
        <v>33788.0</v>
      </c>
    </row>
    <row r="704" ht="15.75" customHeight="1">
      <c r="A704" s="9" t="s">
        <v>733</v>
      </c>
      <c r="B704" s="17">
        <v>2002.0</v>
      </c>
      <c r="C704" s="9" t="s">
        <v>4725</v>
      </c>
      <c r="D704" s="9">
        <v>6.0</v>
      </c>
      <c r="E704" s="18">
        <f t="shared" si="1"/>
        <v>37596</v>
      </c>
      <c r="F704" s="9">
        <v>1.0</v>
      </c>
      <c r="G704" s="19">
        <v>27724.29</v>
      </c>
      <c r="H704" s="9" t="s">
        <v>4718</v>
      </c>
      <c r="I704" s="9" t="s">
        <v>4717</v>
      </c>
      <c r="J704" s="9" t="s">
        <v>4743</v>
      </c>
      <c r="K704" s="20">
        <f t="shared" si="2"/>
        <v>2002</v>
      </c>
      <c r="L704" s="9" t="str">
        <f t="shared" si="3"/>
        <v>tier - 1</v>
      </c>
      <c r="M704" s="9" t="str">
        <f t="shared" si="4"/>
        <v>tier - 3</v>
      </c>
      <c r="N704" s="9" t="str">
        <f t="shared" si="5"/>
        <v>R1013</v>
      </c>
      <c r="O704" s="17">
        <f t="shared" si="6"/>
        <v>20</v>
      </c>
      <c r="P704" s="18">
        <v>37596.0</v>
      </c>
    </row>
    <row r="705" ht="15.75" customHeight="1">
      <c r="A705" s="9" t="s">
        <v>731</v>
      </c>
      <c r="B705" s="17">
        <v>1960.0</v>
      </c>
      <c r="C705" s="9" t="s">
        <v>4741</v>
      </c>
      <c r="D705" s="9">
        <v>6.0</v>
      </c>
      <c r="E705" s="18">
        <f t="shared" si="1"/>
        <v>22103</v>
      </c>
      <c r="F705" s="9">
        <v>0.0</v>
      </c>
      <c r="G705" s="19">
        <v>27808.73</v>
      </c>
      <c r="H705" s="9" t="s">
        <v>4718</v>
      </c>
      <c r="I705" s="9" t="s">
        <v>4718</v>
      </c>
      <c r="J705" s="9" t="s">
        <v>4743</v>
      </c>
      <c r="K705" s="20">
        <f t="shared" si="2"/>
        <v>1960</v>
      </c>
      <c r="L705" s="9" t="str">
        <f t="shared" si="3"/>
        <v>tier - 1</v>
      </c>
      <c r="M705" s="9" t="str">
        <f t="shared" si="4"/>
        <v>tier - 1</v>
      </c>
      <c r="N705" s="9" t="str">
        <f t="shared" si="5"/>
        <v>R1013</v>
      </c>
      <c r="O705" s="17">
        <f t="shared" si="6"/>
        <v>62</v>
      </c>
      <c r="P705" s="18">
        <v>22103.0</v>
      </c>
    </row>
    <row r="706" ht="15.75" customHeight="1">
      <c r="A706" s="9" t="s">
        <v>729</v>
      </c>
      <c r="B706" s="17">
        <v>1985.0</v>
      </c>
      <c r="C706" s="9" t="s">
        <v>4725</v>
      </c>
      <c r="D706" s="9">
        <v>4.0</v>
      </c>
      <c r="E706" s="18">
        <f t="shared" si="1"/>
        <v>31385</v>
      </c>
      <c r="F706" s="9">
        <v>3.0</v>
      </c>
      <c r="G706" s="19">
        <v>27849.94</v>
      </c>
      <c r="H706" s="9" t="s">
        <v>4718</v>
      </c>
      <c r="I706" s="9" t="s">
        <v>4718</v>
      </c>
      <c r="J706" s="9" t="s">
        <v>4719</v>
      </c>
      <c r="K706" s="20">
        <f t="shared" si="2"/>
        <v>1985</v>
      </c>
      <c r="L706" s="9" t="str">
        <f t="shared" si="3"/>
        <v>tier - 1</v>
      </c>
      <c r="M706" s="9" t="str">
        <f t="shared" si="4"/>
        <v>tier - 1</v>
      </c>
      <c r="N706" s="9" t="str">
        <f t="shared" si="5"/>
        <v>R1011</v>
      </c>
      <c r="O706" s="17">
        <f t="shared" si="6"/>
        <v>37</v>
      </c>
      <c r="P706" s="18">
        <v>31385.0</v>
      </c>
    </row>
    <row r="707" ht="15.75" customHeight="1">
      <c r="A707" s="9" t="s">
        <v>727</v>
      </c>
      <c r="B707" s="17">
        <v>1989.0</v>
      </c>
      <c r="C707" s="9" t="s">
        <v>4735</v>
      </c>
      <c r="D707" s="9">
        <v>21.0</v>
      </c>
      <c r="E707" s="18">
        <f t="shared" si="1"/>
        <v>32833</v>
      </c>
      <c r="F707" s="9">
        <v>3.0</v>
      </c>
      <c r="G707" s="19">
        <v>27925.86</v>
      </c>
      <c r="H707" s="9" t="s">
        <v>4718</v>
      </c>
      <c r="I707" s="9" t="s">
        <v>4723</v>
      </c>
      <c r="J707" s="9" t="s">
        <v>4719</v>
      </c>
      <c r="K707" s="20">
        <f t="shared" si="2"/>
        <v>1989</v>
      </c>
      <c r="L707" s="9" t="str">
        <f t="shared" si="3"/>
        <v>tier - 1</v>
      </c>
      <c r="M707" s="9" t="str">
        <f t="shared" si="4"/>
        <v>tier - 2</v>
      </c>
      <c r="N707" s="9" t="str">
        <f t="shared" si="5"/>
        <v>R1011</v>
      </c>
      <c r="O707" s="17">
        <f t="shared" si="6"/>
        <v>33</v>
      </c>
      <c r="P707" s="18">
        <v>32833.0</v>
      </c>
    </row>
    <row r="708" ht="15.75" customHeight="1">
      <c r="A708" s="9" t="s">
        <v>725</v>
      </c>
      <c r="B708" s="17">
        <v>1991.0</v>
      </c>
      <c r="C708" s="9" t="s">
        <v>4730</v>
      </c>
      <c r="D708" s="9">
        <v>4.0</v>
      </c>
      <c r="E708" s="18">
        <f t="shared" si="1"/>
        <v>33393</v>
      </c>
      <c r="F708" s="9">
        <v>3.0</v>
      </c>
      <c r="G708" s="19">
        <v>27931.11</v>
      </c>
      <c r="H708" s="9" t="s">
        <v>4718</v>
      </c>
      <c r="I708" s="9" t="s">
        <v>4717</v>
      </c>
      <c r="J708" s="9" t="s">
        <v>4719</v>
      </c>
      <c r="K708" s="20">
        <f t="shared" si="2"/>
        <v>1991</v>
      </c>
      <c r="L708" s="9" t="str">
        <f t="shared" si="3"/>
        <v>tier - 1</v>
      </c>
      <c r="M708" s="9" t="str">
        <f t="shared" si="4"/>
        <v>tier - 3</v>
      </c>
      <c r="N708" s="9" t="str">
        <f t="shared" si="5"/>
        <v>R1011</v>
      </c>
      <c r="O708" s="17">
        <f t="shared" si="6"/>
        <v>32</v>
      </c>
      <c r="P708" s="18">
        <v>33393.0</v>
      </c>
    </row>
    <row r="709" ht="15.75" customHeight="1">
      <c r="A709" s="9" t="s">
        <v>723</v>
      </c>
      <c r="B709" s="17">
        <v>1961.0</v>
      </c>
      <c r="C709" s="9" t="s">
        <v>4741</v>
      </c>
      <c r="D709" s="9">
        <v>28.0</v>
      </c>
      <c r="E709" s="18">
        <f t="shared" si="1"/>
        <v>22490</v>
      </c>
      <c r="F709" s="9">
        <v>3.0</v>
      </c>
      <c r="G709" s="19">
        <v>27941.29</v>
      </c>
      <c r="H709" s="9" t="s">
        <v>4718</v>
      </c>
      <c r="I709" s="9" t="s">
        <v>4717</v>
      </c>
      <c r="J709" s="9" t="s">
        <v>4719</v>
      </c>
      <c r="K709" s="20">
        <f t="shared" si="2"/>
        <v>1961</v>
      </c>
      <c r="L709" s="9" t="str">
        <f t="shared" si="3"/>
        <v>tier - 1</v>
      </c>
      <c r="M709" s="9" t="str">
        <f t="shared" si="4"/>
        <v>tier - 3</v>
      </c>
      <c r="N709" s="9" t="str">
        <f t="shared" si="5"/>
        <v>R1011</v>
      </c>
      <c r="O709" s="17">
        <f t="shared" si="6"/>
        <v>61</v>
      </c>
      <c r="P709" s="18">
        <v>22490.0</v>
      </c>
    </row>
    <row r="710" ht="15.75" customHeight="1">
      <c r="A710" s="9" t="s">
        <v>721</v>
      </c>
      <c r="B710" s="17">
        <v>1999.0</v>
      </c>
      <c r="C710" s="9" t="s">
        <v>4725</v>
      </c>
      <c r="D710" s="9">
        <v>21.0</v>
      </c>
      <c r="E710" s="18">
        <f t="shared" si="1"/>
        <v>36515</v>
      </c>
      <c r="F710" s="9">
        <v>0.0</v>
      </c>
      <c r="G710" s="19">
        <v>27980.77</v>
      </c>
      <c r="H710" s="9" t="s">
        <v>4718</v>
      </c>
      <c r="I710" s="9" t="s">
        <v>4718</v>
      </c>
      <c r="J710" s="9" t="s">
        <v>4719</v>
      </c>
      <c r="K710" s="20">
        <f t="shared" si="2"/>
        <v>1999</v>
      </c>
      <c r="L710" s="9" t="str">
        <f t="shared" si="3"/>
        <v>tier - 1</v>
      </c>
      <c r="M710" s="9" t="str">
        <f t="shared" si="4"/>
        <v>tier - 1</v>
      </c>
      <c r="N710" s="9" t="str">
        <f t="shared" si="5"/>
        <v>R1011</v>
      </c>
      <c r="O710" s="17">
        <f t="shared" si="6"/>
        <v>23</v>
      </c>
      <c r="P710" s="18">
        <v>36515.0</v>
      </c>
    </row>
    <row r="711" ht="15.75" customHeight="1">
      <c r="A711" s="9" t="s">
        <v>73</v>
      </c>
      <c r="B711" s="17">
        <v>1960.0</v>
      </c>
      <c r="C711" s="9" t="s">
        <v>4725</v>
      </c>
      <c r="D711" s="9">
        <v>21.0</v>
      </c>
      <c r="E711" s="18">
        <f t="shared" si="1"/>
        <v>22271</v>
      </c>
      <c r="F711" s="9">
        <v>0.0</v>
      </c>
      <c r="G711" s="19">
        <v>45710.21</v>
      </c>
      <c r="H711" s="9" t="s">
        <v>4723</v>
      </c>
      <c r="I711" s="9" t="s">
        <v>4723</v>
      </c>
      <c r="J711" s="9" t="s">
        <v>4754</v>
      </c>
      <c r="K711" s="20">
        <f t="shared" si="2"/>
        <v>1960</v>
      </c>
      <c r="L711" s="9" t="str">
        <f t="shared" si="3"/>
        <v>tier - 2</v>
      </c>
      <c r="M711" s="9" t="str">
        <f t="shared" si="4"/>
        <v>tier - 2</v>
      </c>
      <c r="N711" s="9" t="str">
        <f t="shared" si="5"/>
        <v>R1016</v>
      </c>
      <c r="O711" s="17">
        <f t="shared" si="6"/>
        <v>62</v>
      </c>
      <c r="P711" s="18">
        <v>22271.0</v>
      </c>
    </row>
    <row r="712" ht="15.75" customHeight="1">
      <c r="A712" s="9" t="s">
        <v>719</v>
      </c>
      <c r="B712" s="17">
        <v>1985.0</v>
      </c>
      <c r="C712" s="9" t="s">
        <v>4735</v>
      </c>
      <c r="D712" s="9">
        <v>29.0</v>
      </c>
      <c r="E712" s="18">
        <f t="shared" si="1"/>
        <v>31380</v>
      </c>
      <c r="F712" s="9">
        <v>3.0</v>
      </c>
      <c r="G712" s="19">
        <v>28006.94</v>
      </c>
      <c r="H712" s="9" t="s">
        <v>4718</v>
      </c>
      <c r="I712" s="9" t="s">
        <v>4723</v>
      </c>
      <c r="J712" s="9" t="s">
        <v>4719</v>
      </c>
      <c r="K712" s="20">
        <f t="shared" si="2"/>
        <v>1985</v>
      </c>
      <c r="L712" s="9" t="str">
        <f t="shared" si="3"/>
        <v>tier - 1</v>
      </c>
      <c r="M712" s="9" t="str">
        <f t="shared" si="4"/>
        <v>tier - 2</v>
      </c>
      <c r="N712" s="9" t="str">
        <f t="shared" si="5"/>
        <v>R1011</v>
      </c>
      <c r="O712" s="17">
        <f t="shared" si="6"/>
        <v>37</v>
      </c>
      <c r="P712" s="18">
        <v>31380.0</v>
      </c>
    </row>
    <row r="713" ht="15.75" customHeight="1">
      <c r="A713" s="9" t="s">
        <v>717</v>
      </c>
      <c r="B713" s="17">
        <v>1960.0</v>
      </c>
      <c r="C713" s="9" t="s">
        <v>4735</v>
      </c>
      <c r="D713" s="9">
        <v>22.0</v>
      </c>
      <c r="E713" s="18">
        <f t="shared" si="1"/>
        <v>22242</v>
      </c>
      <c r="F713" s="9">
        <v>0.0</v>
      </c>
      <c r="G713" s="19">
        <v>28101.33</v>
      </c>
      <c r="H713" s="9" t="s">
        <v>4718</v>
      </c>
      <c r="I713" s="9" t="s">
        <v>4723</v>
      </c>
      <c r="J713" s="9" t="s">
        <v>4728</v>
      </c>
      <c r="K713" s="20">
        <f t="shared" si="2"/>
        <v>1960</v>
      </c>
      <c r="L713" s="9" t="str">
        <f t="shared" si="3"/>
        <v>tier - 1</v>
      </c>
      <c r="M713" s="9" t="str">
        <f t="shared" si="4"/>
        <v>tier - 2</v>
      </c>
      <c r="N713" s="9" t="str">
        <f t="shared" si="5"/>
        <v>R1019</v>
      </c>
      <c r="O713" s="17">
        <f t="shared" si="6"/>
        <v>62</v>
      </c>
      <c r="P713" s="18">
        <v>22242.0</v>
      </c>
    </row>
    <row r="714" ht="15.75" customHeight="1">
      <c r="A714" s="9" t="s">
        <v>715</v>
      </c>
      <c r="B714" s="17">
        <v>1999.0</v>
      </c>
      <c r="C714" s="9" t="s">
        <v>4738</v>
      </c>
      <c r="D714" s="9">
        <v>6.0</v>
      </c>
      <c r="E714" s="18">
        <f t="shared" si="1"/>
        <v>36409</v>
      </c>
      <c r="F714" s="9">
        <v>0.0</v>
      </c>
      <c r="G714" s="19">
        <v>28245.34</v>
      </c>
      <c r="H714" s="9" t="s">
        <v>4718</v>
      </c>
      <c r="I714" s="9" t="s">
        <v>4717</v>
      </c>
      <c r="J714" s="9" t="s">
        <v>4719</v>
      </c>
      <c r="K714" s="20">
        <f t="shared" si="2"/>
        <v>1999</v>
      </c>
      <c r="L714" s="9" t="str">
        <f t="shared" si="3"/>
        <v>tier - 1</v>
      </c>
      <c r="M714" s="9" t="str">
        <f t="shared" si="4"/>
        <v>tier - 3</v>
      </c>
      <c r="N714" s="9" t="str">
        <f t="shared" si="5"/>
        <v>R1011</v>
      </c>
      <c r="O714" s="17">
        <f t="shared" si="6"/>
        <v>23</v>
      </c>
      <c r="P714" s="18">
        <v>36409.0</v>
      </c>
    </row>
    <row r="715" ht="15.75" customHeight="1">
      <c r="A715" s="9" t="s">
        <v>713</v>
      </c>
      <c r="B715" s="17">
        <v>1963.0</v>
      </c>
      <c r="C715" s="9" t="s">
        <v>4735</v>
      </c>
      <c r="D715" s="9">
        <v>25.0</v>
      </c>
      <c r="E715" s="18">
        <f t="shared" si="1"/>
        <v>23340</v>
      </c>
      <c r="F715" s="9">
        <v>1.0</v>
      </c>
      <c r="G715" s="19">
        <v>28287.9</v>
      </c>
      <c r="H715" s="9" t="s">
        <v>4718</v>
      </c>
      <c r="I715" s="9" t="s">
        <v>4718</v>
      </c>
      <c r="J715" s="9" t="s">
        <v>4743</v>
      </c>
      <c r="K715" s="20">
        <f t="shared" si="2"/>
        <v>1963</v>
      </c>
      <c r="L715" s="9" t="str">
        <f t="shared" si="3"/>
        <v>tier - 1</v>
      </c>
      <c r="M715" s="9" t="str">
        <f t="shared" si="4"/>
        <v>tier - 1</v>
      </c>
      <c r="N715" s="9" t="str">
        <f t="shared" si="5"/>
        <v>R1013</v>
      </c>
      <c r="O715" s="17">
        <f t="shared" si="6"/>
        <v>59</v>
      </c>
      <c r="P715" s="18">
        <v>23340.0</v>
      </c>
    </row>
    <row r="716" ht="15.75" customHeight="1">
      <c r="A716" s="9" t="s">
        <v>711</v>
      </c>
      <c r="B716" s="17">
        <v>1990.0</v>
      </c>
      <c r="C716" s="9" t="s">
        <v>4725</v>
      </c>
      <c r="D716" s="9">
        <v>24.0</v>
      </c>
      <c r="E716" s="18">
        <f t="shared" si="1"/>
        <v>33231</v>
      </c>
      <c r="F716" s="9">
        <v>3.0</v>
      </c>
      <c r="G716" s="19">
        <v>28302.33</v>
      </c>
      <c r="H716" s="9" t="s">
        <v>4718</v>
      </c>
      <c r="I716" s="9" t="s">
        <v>4723</v>
      </c>
      <c r="J716" s="9" t="s">
        <v>4719</v>
      </c>
      <c r="K716" s="20">
        <f t="shared" si="2"/>
        <v>1990</v>
      </c>
      <c r="L716" s="9" t="str">
        <f t="shared" si="3"/>
        <v>tier - 1</v>
      </c>
      <c r="M716" s="9" t="str">
        <f t="shared" si="4"/>
        <v>tier - 2</v>
      </c>
      <c r="N716" s="9" t="str">
        <f t="shared" si="5"/>
        <v>R1011</v>
      </c>
      <c r="O716" s="17">
        <f t="shared" si="6"/>
        <v>32</v>
      </c>
      <c r="P716" s="18">
        <v>33231.0</v>
      </c>
    </row>
    <row r="717" ht="15.75" customHeight="1">
      <c r="A717" s="9" t="s">
        <v>709</v>
      </c>
      <c r="B717" s="17">
        <v>1977.0</v>
      </c>
      <c r="C717" s="9" t="s">
        <v>4725</v>
      </c>
      <c r="D717" s="9">
        <v>2.0</v>
      </c>
      <c r="E717" s="18">
        <f t="shared" si="1"/>
        <v>28461</v>
      </c>
      <c r="F717" s="9">
        <v>1.0</v>
      </c>
      <c r="G717" s="19">
        <v>28340.19</v>
      </c>
      <c r="H717" s="9" t="s">
        <v>4718</v>
      </c>
      <c r="I717" s="9" t="s">
        <v>4723</v>
      </c>
      <c r="J717" s="9" t="s">
        <v>4733</v>
      </c>
      <c r="K717" s="20">
        <f t="shared" si="2"/>
        <v>1977</v>
      </c>
      <c r="L717" s="9" t="str">
        <f t="shared" si="3"/>
        <v>tier - 1</v>
      </c>
      <c r="M717" s="9" t="str">
        <f t="shared" si="4"/>
        <v>tier - 2</v>
      </c>
      <c r="N717" s="9" t="str">
        <f t="shared" si="5"/>
        <v>R1012</v>
      </c>
      <c r="O717" s="17">
        <f t="shared" si="6"/>
        <v>45</v>
      </c>
      <c r="P717" s="18">
        <v>28461.0</v>
      </c>
    </row>
    <row r="718" ht="15.75" customHeight="1">
      <c r="A718" s="9" t="s">
        <v>707</v>
      </c>
      <c r="B718" s="17">
        <v>1974.0</v>
      </c>
      <c r="C718" s="9" t="s">
        <v>4738</v>
      </c>
      <c r="D718" s="9">
        <v>16.0</v>
      </c>
      <c r="E718" s="18">
        <f t="shared" si="1"/>
        <v>27288</v>
      </c>
      <c r="F718" s="9">
        <v>1.0</v>
      </c>
      <c r="G718" s="19">
        <v>28468.92</v>
      </c>
      <c r="H718" s="9" t="s">
        <v>4718</v>
      </c>
      <c r="I718" s="9" t="s">
        <v>4718</v>
      </c>
      <c r="J718" s="9" t="s">
        <v>4733</v>
      </c>
      <c r="K718" s="20">
        <f t="shared" si="2"/>
        <v>1974</v>
      </c>
      <c r="L718" s="9" t="str">
        <f t="shared" si="3"/>
        <v>tier - 1</v>
      </c>
      <c r="M718" s="9" t="str">
        <f t="shared" si="4"/>
        <v>tier - 1</v>
      </c>
      <c r="N718" s="9" t="str">
        <f t="shared" si="5"/>
        <v>R1012</v>
      </c>
      <c r="O718" s="17">
        <f t="shared" si="6"/>
        <v>48</v>
      </c>
      <c r="P718" s="18">
        <v>27288.0</v>
      </c>
    </row>
    <row r="719" ht="15.75" customHeight="1">
      <c r="A719" s="9" t="s">
        <v>705</v>
      </c>
      <c r="B719" s="17">
        <v>1982.0</v>
      </c>
      <c r="C719" s="9" t="s">
        <v>4725</v>
      </c>
      <c r="D719" s="9">
        <v>11.0</v>
      </c>
      <c r="E719" s="18">
        <f t="shared" si="1"/>
        <v>30296</v>
      </c>
      <c r="F719" s="9">
        <v>1.0</v>
      </c>
      <c r="G719" s="19">
        <v>28476.73</v>
      </c>
      <c r="H719" s="9" t="s">
        <v>4718</v>
      </c>
      <c r="I719" s="9" t="s">
        <v>4723</v>
      </c>
      <c r="J719" s="9" t="s">
        <v>4733</v>
      </c>
      <c r="K719" s="20">
        <f t="shared" si="2"/>
        <v>1982</v>
      </c>
      <c r="L719" s="9" t="str">
        <f t="shared" si="3"/>
        <v>tier - 1</v>
      </c>
      <c r="M719" s="9" t="str">
        <f t="shared" si="4"/>
        <v>tier - 2</v>
      </c>
      <c r="N719" s="9" t="str">
        <f t="shared" si="5"/>
        <v>R1012</v>
      </c>
      <c r="O719" s="17">
        <f t="shared" si="6"/>
        <v>40</v>
      </c>
      <c r="P719" s="18">
        <v>30296.0</v>
      </c>
    </row>
    <row r="720" ht="15.75" customHeight="1">
      <c r="A720" s="9" t="s">
        <v>703</v>
      </c>
      <c r="B720" s="17">
        <v>1985.0</v>
      </c>
      <c r="C720" s="9" t="s">
        <v>4738</v>
      </c>
      <c r="D720" s="9">
        <v>27.0</v>
      </c>
      <c r="E720" s="18">
        <f t="shared" si="1"/>
        <v>31317</v>
      </c>
      <c r="F720" s="9">
        <v>3.0</v>
      </c>
      <c r="G720" s="19">
        <v>28542.86</v>
      </c>
      <c r="H720" s="9" t="s">
        <v>4718</v>
      </c>
      <c r="I720" s="9" t="s">
        <v>4717</v>
      </c>
      <c r="J720" s="9" t="s">
        <v>4719</v>
      </c>
      <c r="K720" s="20">
        <f t="shared" si="2"/>
        <v>1985</v>
      </c>
      <c r="L720" s="9" t="str">
        <f t="shared" si="3"/>
        <v>tier - 1</v>
      </c>
      <c r="M720" s="9" t="str">
        <f t="shared" si="4"/>
        <v>tier - 3</v>
      </c>
      <c r="N720" s="9" t="str">
        <f t="shared" si="5"/>
        <v>R1011</v>
      </c>
      <c r="O720" s="17">
        <f t="shared" si="6"/>
        <v>37</v>
      </c>
      <c r="P720" s="18">
        <v>31317.0</v>
      </c>
    </row>
    <row r="721" ht="15.75" customHeight="1">
      <c r="A721" s="9" t="s">
        <v>701</v>
      </c>
      <c r="B721" s="17">
        <v>1990.0</v>
      </c>
      <c r="C721" s="9" t="s">
        <v>4725</v>
      </c>
      <c r="D721" s="9">
        <v>5.0</v>
      </c>
      <c r="E721" s="18">
        <f t="shared" si="1"/>
        <v>33212</v>
      </c>
      <c r="F721" s="9">
        <v>3.0</v>
      </c>
      <c r="G721" s="19">
        <v>28716.14</v>
      </c>
      <c r="H721" s="9" t="s">
        <v>4718</v>
      </c>
      <c r="I721" s="9" t="s">
        <v>4717</v>
      </c>
      <c r="J721" s="9" t="s">
        <v>4719</v>
      </c>
      <c r="K721" s="20">
        <f t="shared" si="2"/>
        <v>1990</v>
      </c>
      <c r="L721" s="9" t="str">
        <f t="shared" si="3"/>
        <v>tier - 1</v>
      </c>
      <c r="M721" s="9" t="str">
        <f t="shared" si="4"/>
        <v>tier - 3</v>
      </c>
      <c r="N721" s="9" t="str">
        <f t="shared" si="5"/>
        <v>R1011</v>
      </c>
      <c r="O721" s="17">
        <f t="shared" si="6"/>
        <v>32</v>
      </c>
      <c r="P721" s="18">
        <v>33212.0</v>
      </c>
    </row>
    <row r="722" ht="15.75" customHeight="1">
      <c r="A722" s="9" t="s">
        <v>71</v>
      </c>
      <c r="B722" s="17">
        <v>1979.0</v>
      </c>
      <c r="C722" s="9" t="s">
        <v>4716</v>
      </c>
      <c r="D722" s="9">
        <v>12.0</v>
      </c>
      <c r="E722" s="18">
        <f t="shared" si="1"/>
        <v>29079</v>
      </c>
      <c r="F722" s="9">
        <v>0.0</v>
      </c>
      <c r="G722" s="19">
        <v>45863.21</v>
      </c>
      <c r="H722" s="9" t="s">
        <v>4723</v>
      </c>
      <c r="I722" s="9" t="s">
        <v>4718</v>
      </c>
      <c r="J722" s="9" t="s">
        <v>4743</v>
      </c>
      <c r="K722" s="20">
        <f t="shared" si="2"/>
        <v>1979</v>
      </c>
      <c r="L722" s="9" t="str">
        <f t="shared" si="3"/>
        <v>tier - 2</v>
      </c>
      <c r="M722" s="9" t="str">
        <f t="shared" si="4"/>
        <v>tier - 1</v>
      </c>
      <c r="N722" s="9" t="str">
        <f t="shared" si="5"/>
        <v>R1013</v>
      </c>
      <c r="O722" s="17">
        <f t="shared" si="6"/>
        <v>43</v>
      </c>
      <c r="P722" s="18">
        <v>29079.0</v>
      </c>
    </row>
    <row r="723" ht="15.75" customHeight="1">
      <c r="A723" s="9" t="s">
        <v>699</v>
      </c>
      <c r="B723" s="17">
        <v>1961.0</v>
      </c>
      <c r="C723" s="9" t="s">
        <v>4716</v>
      </c>
      <c r="D723" s="9">
        <v>3.0</v>
      </c>
      <c r="E723" s="18">
        <f t="shared" si="1"/>
        <v>22496</v>
      </c>
      <c r="F723" s="9">
        <v>1.0</v>
      </c>
      <c r="G723" s="19">
        <v>28868.66</v>
      </c>
      <c r="H723" s="9" t="s">
        <v>4718</v>
      </c>
      <c r="I723" s="9" t="s">
        <v>4723</v>
      </c>
      <c r="J723" s="9" t="s">
        <v>4733</v>
      </c>
      <c r="K723" s="20">
        <f t="shared" si="2"/>
        <v>1961</v>
      </c>
      <c r="L723" s="9" t="str">
        <f t="shared" si="3"/>
        <v>tier - 1</v>
      </c>
      <c r="M723" s="9" t="str">
        <f t="shared" si="4"/>
        <v>tier - 2</v>
      </c>
      <c r="N723" s="9" t="str">
        <f t="shared" si="5"/>
        <v>R1012</v>
      </c>
      <c r="O723" s="17">
        <f t="shared" si="6"/>
        <v>61</v>
      </c>
      <c r="P723" s="18">
        <v>22496.0</v>
      </c>
    </row>
    <row r="724" ht="15.75" customHeight="1">
      <c r="A724" s="9" t="s">
        <v>697</v>
      </c>
      <c r="B724" s="17">
        <v>1962.0</v>
      </c>
      <c r="C724" s="9" t="s">
        <v>4741</v>
      </c>
      <c r="D724" s="9">
        <v>25.0</v>
      </c>
      <c r="E724" s="18">
        <f t="shared" si="1"/>
        <v>22852</v>
      </c>
      <c r="F724" s="9">
        <v>0.0</v>
      </c>
      <c r="G724" s="19">
        <v>28923.14</v>
      </c>
      <c r="H724" s="9" t="s">
        <v>4718</v>
      </c>
      <c r="I724" s="9" t="s">
        <v>4718</v>
      </c>
      <c r="J724" s="9" t="s">
        <v>4733</v>
      </c>
      <c r="K724" s="20">
        <f t="shared" si="2"/>
        <v>1962</v>
      </c>
      <c r="L724" s="9" t="str">
        <f t="shared" si="3"/>
        <v>tier - 1</v>
      </c>
      <c r="M724" s="9" t="str">
        <f t="shared" si="4"/>
        <v>tier - 1</v>
      </c>
      <c r="N724" s="9" t="str">
        <f t="shared" si="5"/>
        <v>R1012</v>
      </c>
      <c r="O724" s="17">
        <f t="shared" si="6"/>
        <v>60</v>
      </c>
      <c r="P724" s="18">
        <v>22852.0</v>
      </c>
    </row>
    <row r="725" ht="15.75" customHeight="1">
      <c r="A725" s="9" t="s">
        <v>695</v>
      </c>
      <c r="B725" s="17">
        <v>1959.0</v>
      </c>
      <c r="C725" s="9" t="s">
        <v>4725</v>
      </c>
      <c r="D725" s="9">
        <v>5.0</v>
      </c>
      <c r="E725" s="18">
        <f t="shared" si="1"/>
        <v>21889</v>
      </c>
      <c r="F725" s="9">
        <v>0.0</v>
      </c>
      <c r="G725" s="19">
        <v>28950.47</v>
      </c>
      <c r="H725" s="9" t="s">
        <v>4718</v>
      </c>
      <c r="I725" s="9" t="s">
        <v>4718</v>
      </c>
      <c r="J725" s="9" t="s">
        <v>4733</v>
      </c>
      <c r="K725" s="20">
        <f t="shared" si="2"/>
        <v>1959</v>
      </c>
      <c r="L725" s="9" t="str">
        <f t="shared" si="3"/>
        <v>tier - 1</v>
      </c>
      <c r="M725" s="9" t="str">
        <f t="shared" si="4"/>
        <v>tier - 1</v>
      </c>
      <c r="N725" s="9" t="str">
        <f t="shared" si="5"/>
        <v>R1012</v>
      </c>
      <c r="O725" s="17">
        <f t="shared" si="6"/>
        <v>63</v>
      </c>
      <c r="P725" s="18">
        <v>21889.0</v>
      </c>
    </row>
    <row r="726" ht="15.75" customHeight="1">
      <c r="A726" s="9" t="s">
        <v>693</v>
      </c>
      <c r="B726" s="17">
        <v>2003.0</v>
      </c>
      <c r="C726" s="9" t="s">
        <v>4738</v>
      </c>
      <c r="D726" s="9">
        <v>1.0</v>
      </c>
      <c r="E726" s="18">
        <f t="shared" si="1"/>
        <v>37865</v>
      </c>
      <c r="F726" s="9">
        <v>0.0</v>
      </c>
      <c r="G726" s="19">
        <v>28998.68</v>
      </c>
      <c r="H726" s="9" t="s">
        <v>4718</v>
      </c>
      <c r="I726" s="9" t="s">
        <v>4717</v>
      </c>
      <c r="J726" s="9" t="s">
        <v>4719</v>
      </c>
      <c r="K726" s="20">
        <f t="shared" si="2"/>
        <v>2003</v>
      </c>
      <c r="L726" s="9" t="str">
        <f t="shared" si="3"/>
        <v>tier - 1</v>
      </c>
      <c r="M726" s="9" t="str">
        <f t="shared" si="4"/>
        <v>tier - 3</v>
      </c>
      <c r="N726" s="9" t="str">
        <f t="shared" si="5"/>
        <v>R1011</v>
      </c>
      <c r="O726" s="17">
        <f t="shared" si="6"/>
        <v>19</v>
      </c>
      <c r="P726" s="18">
        <v>37865.0</v>
      </c>
    </row>
    <row r="727" ht="15.75" customHeight="1">
      <c r="A727" s="9" t="s">
        <v>691</v>
      </c>
      <c r="B727" s="17">
        <v>1992.0</v>
      </c>
      <c r="C727" s="9" t="s">
        <v>4741</v>
      </c>
      <c r="D727" s="9">
        <v>7.0</v>
      </c>
      <c r="E727" s="18">
        <f t="shared" si="1"/>
        <v>33792</v>
      </c>
      <c r="F727" s="9">
        <v>0.0</v>
      </c>
      <c r="G727" s="19">
        <v>29007.82</v>
      </c>
      <c r="H727" s="9" t="s">
        <v>4718</v>
      </c>
      <c r="I727" s="9" t="s">
        <v>4717</v>
      </c>
      <c r="J727" s="9" t="s">
        <v>4719</v>
      </c>
      <c r="K727" s="20">
        <f t="shared" si="2"/>
        <v>1992</v>
      </c>
      <c r="L727" s="9" t="str">
        <f t="shared" si="3"/>
        <v>tier - 1</v>
      </c>
      <c r="M727" s="9" t="str">
        <f t="shared" si="4"/>
        <v>tier - 3</v>
      </c>
      <c r="N727" s="9" t="str">
        <f t="shared" si="5"/>
        <v>R1011</v>
      </c>
      <c r="O727" s="17">
        <f t="shared" si="6"/>
        <v>30</v>
      </c>
      <c r="P727" s="18">
        <v>33792.0</v>
      </c>
    </row>
    <row r="728" ht="15.75" customHeight="1">
      <c r="A728" s="9" t="s">
        <v>4758</v>
      </c>
      <c r="B728" s="17">
        <v>2004.0</v>
      </c>
      <c r="C728" s="9" t="s">
        <v>4735</v>
      </c>
      <c r="D728" s="9">
        <v>1.0</v>
      </c>
      <c r="E728" s="18">
        <f t="shared" si="1"/>
        <v>38292</v>
      </c>
      <c r="F728" s="9">
        <v>2.0</v>
      </c>
      <c r="G728" s="19">
        <v>34303.17</v>
      </c>
      <c r="H728" s="9" t="s">
        <v>4718</v>
      </c>
      <c r="I728" s="9" t="s">
        <v>4717</v>
      </c>
      <c r="J728" s="9" t="s">
        <v>4743</v>
      </c>
      <c r="K728" s="20">
        <f t="shared" si="2"/>
        <v>2004</v>
      </c>
      <c r="L728" s="9" t="str">
        <f t="shared" si="3"/>
        <v>tier - 1</v>
      </c>
      <c r="M728" s="9" t="str">
        <f t="shared" si="4"/>
        <v>tier - 3</v>
      </c>
      <c r="N728" s="9" t="str">
        <f t="shared" si="5"/>
        <v>R1013</v>
      </c>
      <c r="O728" s="17">
        <f t="shared" si="6"/>
        <v>18</v>
      </c>
      <c r="P728" s="18">
        <v>38292.0</v>
      </c>
    </row>
    <row r="729" ht="15.75" customHeight="1">
      <c r="A729" s="9" t="s">
        <v>689</v>
      </c>
      <c r="B729" s="17">
        <v>1980.0</v>
      </c>
      <c r="C729" s="9" t="s">
        <v>4741</v>
      </c>
      <c r="D729" s="9">
        <v>14.0</v>
      </c>
      <c r="E729" s="18">
        <f t="shared" si="1"/>
        <v>29416</v>
      </c>
      <c r="F729" s="9">
        <v>2.0</v>
      </c>
      <c r="G729" s="19">
        <v>29114.21</v>
      </c>
      <c r="H729" s="9" t="s">
        <v>4718</v>
      </c>
      <c r="I729" s="9" t="s">
        <v>4717</v>
      </c>
      <c r="J729" s="9" t="s">
        <v>4719</v>
      </c>
      <c r="K729" s="20">
        <f t="shared" si="2"/>
        <v>1980</v>
      </c>
      <c r="L729" s="9" t="str">
        <f t="shared" si="3"/>
        <v>tier - 1</v>
      </c>
      <c r="M729" s="9" t="str">
        <f t="shared" si="4"/>
        <v>tier - 3</v>
      </c>
      <c r="N729" s="9" t="str">
        <f t="shared" si="5"/>
        <v>R1011</v>
      </c>
      <c r="O729" s="17">
        <f t="shared" si="6"/>
        <v>42</v>
      </c>
      <c r="P729" s="18">
        <v>29416.0</v>
      </c>
    </row>
    <row r="730" ht="15.75" customHeight="1">
      <c r="A730" s="9" t="s">
        <v>687</v>
      </c>
      <c r="B730" s="17">
        <v>1978.0</v>
      </c>
      <c r="C730" s="9" t="s">
        <v>4735</v>
      </c>
      <c r="D730" s="9">
        <v>29.0</v>
      </c>
      <c r="E730" s="18">
        <f t="shared" si="1"/>
        <v>28823</v>
      </c>
      <c r="F730" s="9">
        <v>2.0</v>
      </c>
      <c r="G730" s="19">
        <v>29114.77</v>
      </c>
      <c r="H730" s="9" t="s">
        <v>4718</v>
      </c>
      <c r="I730" s="9" t="s">
        <v>4718</v>
      </c>
      <c r="J730" s="9" t="s">
        <v>4719</v>
      </c>
      <c r="K730" s="20">
        <f t="shared" si="2"/>
        <v>1978</v>
      </c>
      <c r="L730" s="9" t="str">
        <f t="shared" si="3"/>
        <v>tier - 1</v>
      </c>
      <c r="M730" s="9" t="str">
        <f t="shared" si="4"/>
        <v>tier - 1</v>
      </c>
      <c r="N730" s="9" t="str">
        <f t="shared" si="5"/>
        <v>R1011</v>
      </c>
      <c r="O730" s="17">
        <f t="shared" si="6"/>
        <v>44</v>
      </c>
      <c r="P730" s="18">
        <v>28823.0</v>
      </c>
    </row>
    <row r="731" ht="15.75" customHeight="1">
      <c r="A731" s="9" t="s">
        <v>685</v>
      </c>
      <c r="B731" s="17">
        <v>1961.0</v>
      </c>
      <c r="C731" s="9" t="s">
        <v>4725</v>
      </c>
      <c r="D731" s="9">
        <v>24.0</v>
      </c>
      <c r="E731" s="18">
        <f t="shared" si="1"/>
        <v>22639</v>
      </c>
      <c r="F731" s="9">
        <v>0.0</v>
      </c>
      <c r="G731" s="19">
        <v>29141.36</v>
      </c>
      <c r="H731" s="9" t="s">
        <v>4718</v>
      </c>
      <c r="I731" s="9" t="s">
        <v>4717</v>
      </c>
      <c r="J731" s="9" t="s">
        <v>4733</v>
      </c>
      <c r="K731" s="20">
        <f t="shared" si="2"/>
        <v>1961</v>
      </c>
      <c r="L731" s="9" t="str">
        <f t="shared" si="3"/>
        <v>tier - 1</v>
      </c>
      <c r="M731" s="9" t="str">
        <f t="shared" si="4"/>
        <v>tier - 3</v>
      </c>
      <c r="N731" s="9" t="str">
        <f t="shared" si="5"/>
        <v>R1012</v>
      </c>
      <c r="O731" s="17">
        <f t="shared" si="6"/>
        <v>61</v>
      </c>
      <c r="P731" s="18">
        <v>22639.0</v>
      </c>
    </row>
    <row r="732" ht="15.75" customHeight="1">
      <c r="A732" s="9" t="s">
        <v>683</v>
      </c>
      <c r="B732" s="17">
        <v>1976.0</v>
      </c>
      <c r="C732" s="9" t="s">
        <v>4735</v>
      </c>
      <c r="D732" s="9">
        <v>8.0</v>
      </c>
      <c r="E732" s="18">
        <f t="shared" si="1"/>
        <v>28072</v>
      </c>
      <c r="F732" s="9">
        <v>2.0</v>
      </c>
      <c r="G732" s="19">
        <v>29160.39</v>
      </c>
      <c r="H732" s="9" t="s">
        <v>4718</v>
      </c>
      <c r="I732" s="9" t="s">
        <v>4723</v>
      </c>
      <c r="J732" s="9" t="s">
        <v>4719</v>
      </c>
      <c r="K732" s="20">
        <f t="shared" si="2"/>
        <v>1976</v>
      </c>
      <c r="L732" s="9" t="str">
        <f t="shared" si="3"/>
        <v>tier - 1</v>
      </c>
      <c r="M732" s="9" t="str">
        <f t="shared" si="4"/>
        <v>tier - 2</v>
      </c>
      <c r="N732" s="9" t="str">
        <f t="shared" si="5"/>
        <v>R1011</v>
      </c>
      <c r="O732" s="17">
        <f t="shared" si="6"/>
        <v>46</v>
      </c>
      <c r="P732" s="18">
        <v>28072.0</v>
      </c>
    </row>
    <row r="733" ht="15.75" customHeight="1">
      <c r="A733" s="9" t="s">
        <v>681</v>
      </c>
      <c r="B733" s="17">
        <v>1969.0</v>
      </c>
      <c r="C733" s="9" t="s">
        <v>4741</v>
      </c>
      <c r="D733" s="9">
        <v>9.0</v>
      </c>
      <c r="E733" s="18">
        <f t="shared" si="1"/>
        <v>25393</v>
      </c>
      <c r="F733" s="9">
        <v>2.0</v>
      </c>
      <c r="G733" s="19">
        <v>29186.48</v>
      </c>
      <c r="H733" s="9" t="s">
        <v>4718</v>
      </c>
      <c r="I733" s="9" t="s">
        <v>4717</v>
      </c>
      <c r="J733" s="9" t="s">
        <v>4731</v>
      </c>
      <c r="K733" s="20">
        <f t="shared" si="2"/>
        <v>1969</v>
      </c>
      <c r="L733" s="9" t="str">
        <f t="shared" si="3"/>
        <v>tier - 1</v>
      </c>
      <c r="M733" s="9" t="str">
        <f t="shared" si="4"/>
        <v>tier - 3</v>
      </c>
      <c r="N733" s="9" t="str">
        <f t="shared" si="5"/>
        <v>R1024</v>
      </c>
      <c r="O733" s="17">
        <f t="shared" si="6"/>
        <v>53</v>
      </c>
      <c r="P733" s="18">
        <v>25393.0</v>
      </c>
    </row>
    <row r="734" ht="15.75" customHeight="1">
      <c r="A734" s="9" t="s">
        <v>69</v>
      </c>
      <c r="B734" s="17">
        <v>1985.0</v>
      </c>
      <c r="C734" s="9" t="s">
        <v>4738</v>
      </c>
      <c r="D734" s="9">
        <v>30.0</v>
      </c>
      <c r="E734" s="18">
        <f t="shared" si="1"/>
        <v>31320</v>
      </c>
      <c r="F734" s="9">
        <v>2.0</v>
      </c>
      <c r="G734" s="19">
        <v>46113.51</v>
      </c>
      <c r="H734" s="9" t="s">
        <v>4723</v>
      </c>
      <c r="I734" s="9" t="s">
        <v>4717</v>
      </c>
      <c r="J734" s="9" t="s">
        <v>4719</v>
      </c>
      <c r="K734" s="20">
        <f t="shared" si="2"/>
        <v>1985</v>
      </c>
      <c r="L734" s="9" t="str">
        <f t="shared" si="3"/>
        <v>tier - 2</v>
      </c>
      <c r="M734" s="9" t="str">
        <f t="shared" si="4"/>
        <v>tier - 3</v>
      </c>
      <c r="N734" s="9" t="str">
        <f t="shared" si="5"/>
        <v>R1011</v>
      </c>
      <c r="O734" s="17">
        <f t="shared" si="6"/>
        <v>37</v>
      </c>
      <c r="P734" s="18">
        <v>31320.0</v>
      </c>
    </row>
    <row r="735" ht="15.75" customHeight="1">
      <c r="A735" s="9" t="s">
        <v>679</v>
      </c>
      <c r="B735" s="17">
        <v>1978.0</v>
      </c>
      <c r="C735" s="9" t="s">
        <v>4741</v>
      </c>
      <c r="D735" s="9">
        <v>21.0</v>
      </c>
      <c r="E735" s="18">
        <f t="shared" si="1"/>
        <v>28692</v>
      </c>
      <c r="F735" s="9">
        <v>2.0</v>
      </c>
      <c r="G735" s="19">
        <v>29227.6</v>
      </c>
      <c r="H735" s="9" t="s">
        <v>4718</v>
      </c>
      <c r="I735" s="9" t="s">
        <v>4717</v>
      </c>
      <c r="J735" s="9" t="s">
        <v>4733</v>
      </c>
      <c r="K735" s="20">
        <f t="shared" si="2"/>
        <v>1978</v>
      </c>
      <c r="L735" s="9" t="str">
        <f t="shared" si="3"/>
        <v>tier - 1</v>
      </c>
      <c r="M735" s="9" t="str">
        <f t="shared" si="4"/>
        <v>tier - 3</v>
      </c>
      <c r="N735" s="9" t="str">
        <f t="shared" si="5"/>
        <v>R1012</v>
      </c>
      <c r="O735" s="17">
        <f t="shared" si="6"/>
        <v>44</v>
      </c>
      <c r="P735" s="18">
        <v>28692.0</v>
      </c>
    </row>
    <row r="736" ht="15.75" customHeight="1">
      <c r="A736" s="9" t="s">
        <v>677</v>
      </c>
      <c r="B736" s="17">
        <v>1958.0</v>
      </c>
      <c r="C736" s="9" t="s">
        <v>4730</v>
      </c>
      <c r="D736" s="9">
        <v>5.0</v>
      </c>
      <c r="E736" s="18">
        <f t="shared" si="1"/>
        <v>21341</v>
      </c>
      <c r="F736" s="9">
        <v>0.0</v>
      </c>
      <c r="G736" s="19">
        <v>29330.98</v>
      </c>
      <c r="H736" s="9" t="s">
        <v>4718</v>
      </c>
      <c r="I736" s="9" t="s">
        <v>4723</v>
      </c>
      <c r="J736" s="9" t="s">
        <v>4733</v>
      </c>
      <c r="K736" s="20">
        <f t="shared" si="2"/>
        <v>1958</v>
      </c>
      <c r="L736" s="9" t="str">
        <f t="shared" si="3"/>
        <v>tier - 1</v>
      </c>
      <c r="M736" s="9" t="str">
        <f t="shared" si="4"/>
        <v>tier - 2</v>
      </c>
      <c r="N736" s="9" t="str">
        <f t="shared" si="5"/>
        <v>R1012</v>
      </c>
      <c r="O736" s="17">
        <f t="shared" si="6"/>
        <v>65</v>
      </c>
      <c r="P736" s="18">
        <v>21341.0</v>
      </c>
    </row>
    <row r="737" ht="15.75" customHeight="1">
      <c r="A737" s="9" t="s">
        <v>675</v>
      </c>
      <c r="B737" s="17">
        <v>1985.0</v>
      </c>
      <c r="C737" s="9" t="s">
        <v>4735</v>
      </c>
      <c r="D737" s="9">
        <v>7.0</v>
      </c>
      <c r="E737" s="18">
        <f t="shared" si="1"/>
        <v>31358</v>
      </c>
      <c r="F737" s="9">
        <v>3.0</v>
      </c>
      <c r="G737" s="19">
        <v>29352.56</v>
      </c>
      <c r="H737" s="9" t="s">
        <v>4718</v>
      </c>
      <c r="I737" s="9" t="s">
        <v>4718</v>
      </c>
      <c r="J737" s="9" t="s">
        <v>4719</v>
      </c>
      <c r="K737" s="20">
        <f t="shared" si="2"/>
        <v>1985</v>
      </c>
      <c r="L737" s="9" t="str">
        <f t="shared" si="3"/>
        <v>tier - 1</v>
      </c>
      <c r="M737" s="9" t="str">
        <f t="shared" si="4"/>
        <v>tier - 1</v>
      </c>
      <c r="N737" s="9" t="str">
        <f t="shared" si="5"/>
        <v>R1011</v>
      </c>
      <c r="O737" s="17">
        <f t="shared" si="6"/>
        <v>37</v>
      </c>
      <c r="P737" s="18">
        <v>31358.0</v>
      </c>
    </row>
    <row r="738" ht="15.75" customHeight="1">
      <c r="A738" s="9" t="s">
        <v>673</v>
      </c>
      <c r="B738" s="17">
        <v>1987.0</v>
      </c>
      <c r="C738" s="9" t="s">
        <v>4741</v>
      </c>
      <c r="D738" s="9">
        <v>16.0</v>
      </c>
      <c r="E738" s="18">
        <f t="shared" si="1"/>
        <v>31974</v>
      </c>
      <c r="F738" s="9">
        <v>3.0</v>
      </c>
      <c r="G738" s="19">
        <v>29443.59</v>
      </c>
      <c r="H738" s="9" t="s">
        <v>4718</v>
      </c>
      <c r="I738" s="9" t="s">
        <v>4718</v>
      </c>
      <c r="J738" s="9" t="s">
        <v>4719</v>
      </c>
      <c r="K738" s="20">
        <f t="shared" si="2"/>
        <v>1987</v>
      </c>
      <c r="L738" s="9" t="str">
        <f t="shared" si="3"/>
        <v>tier - 1</v>
      </c>
      <c r="M738" s="9" t="str">
        <f t="shared" si="4"/>
        <v>tier - 1</v>
      </c>
      <c r="N738" s="9" t="str">
        <f t="shared" si="5"/>
        <v>R1011</v>
      </c>
      <c r="O738" s="17">
        <f t="shared" si="6"/>
        <v>35</v>
      </c>
      <c r="P738" s="18">
        <v>31974.0</v>
      </c>
    </row>
    <row r="739" ht="15.75" customHeight="1">
      <c r="A739" s="9" t="s">
        <v>671</v>
      </c>
      <c r="B739" s="17">
        <v>1959.0</v>
      </c>
      <c r="C739" s="9" t="s">
        <v>4720</v>
      </c>
      <c r="D739" s="9">
        <v>20.0</v>
      </c>
      <c r="E739" s="18">
        <f t="shared" si="1"/>
        <v>21843</v>
      </c>
      <c r="F739" s="9">
        <v>0.0</v>
      </c>
      <c r="G739" s="19">
        <v>29523.17</v>
      </c>
      <c r="H739" s="9" t="s">
        <v>4718</v>
      </c>
      <c r="I739" s="9" t="s">
        <v>4723</v>
      </c>
      <c r="J739" s="9" t="s">
        <v>4731</v>
      </c>
      <c r="K739" s="20">
        <f t="shared" si="2"/>
        <v>1959</v>
      </c>
      <c r="L739" s="9" t="str">
        <f t="shared" si="3"/>
        <v>tier - 1</v>
      </c>
      <c r="M739" s="9" t="str">
        <f t="shared" si="4"/>
        <v>tier - 2</v>
      </c>
      <c r="N739" s="9" t="str">
        <f t="shared" si="5"/>
        <v>R1024</v>
      </c>
      <c r="O739" s="17">
        <f t="shared" si="6"/>
        <v>63</v>
      </c>
      <c r="P739" s="18">
        <v>21843.0</v>
      </c>
    </row>
    <row r="740" ht="15.75" customHeight="1">
      <c r="A740" s="9" t="s">
        <v>669</v>
      </c>
      <c r="B740" s="17">
        <v>1975.0</v>
      </c>
      <c r="C740" s="9" t="s">
        <v>4735</v>
      </c>
      <c r="D740" s="9">
        <v>3.0</v>
      </c>
      <c r="E740" s="18">
        <f t="shared" si="1"/>
        <v>27701</v>
      </c>
      <c r="F740" s="9">
        <v>1.0</v>
      </c>
      <c r="G740" s="19">
        <v>29583.8</v>
      </c>
      <c r="H740" s="9" t="s">
        <v>4718</v>
      </c>
      <c r="I740" s="9" t="s">
        <v>4718</v>
      </c>
      <c r="J740" s="9" t="s">
        <v>4719</v>
      </c>
      <c r="K740" s="20">
        <f t="shared" si="2"/>
        <v>1975</v>
      </c>
      <c r="L740" s="9" t="str">
        <f t="shared" si="3"/>
        <v>tier - 1</v>
      </c>
      <c r="M740" s="9" t="str">
        <f t="shared" si="4"/>
        <v>tier - 1</v>
      </c>
      <c r="N740" s="9" t="str">
        <f t="shared" si="5"/>
        <v>R1011</v>
      </c>
      <c r="O740" s="17">
        <f t="shared" si="6"/>
        <v>47</v>
      </c>
      <c r="P740" s="18">
        <v>27701.0</v>
      </c>
    </row>
    <row r="741" ht="15.75" customHeight="1">
      <c r="A741" s="9" t="s">
        <v>667</v>
      </c>
      <c r="B741" s="17">
        <v>1993.0</v>
      </c>
      <c r="C741" s="9" t="s">
        <v>4741</v>
      </c>
      <c r="D741" s="9">
        <v>27.0</v>
      </c>
      <c r="E741" s="18">
        <f t="shared" si="1"/>
        <v>34177</v>
      </c>
      <c r="F741" s="9">
        <v>0.0</v>
      </c>
      <c r="G741" s="19">
        <v>29622.69</v>
      </c>
      <c r="H741" s="9" t="s">
        <v>4718</v>
      </c>
      <c r="I741" s="9" t="s">
        <v>4718</v>
      </c>
      <c r="J741" s="9" t="s">
        <v>4719</v>
      </c>
      <c r="K741" s="20">
        <f t="shared" si="2"/>
        <v>1993</v>
      </c>
      <c r="L741" s="9" t="str">
        <f t="shared" si="3"/>
        <v>tier - 1</v>
      </c>
      <c r="M741" s="9" t="str">
        <f t="shared" si="4"/>
        <v>tier - 1</v>
      </c>
      <c r="N741" s="9" t="str">
        <f t="shared" si="5"/>
        <v>R1011</v>
      </c>
      <c r="O741" s="17">
        <f t="shared" si="6"/>
        <v>29</v>
      </c>
      <c r="P741" s="18">
        <v>34177.0</v>
      </c>
    </row>
    <row r="742" ht="15.75" customHeight="1">
      <c r="A742" s="9" t="s">
        <v>665</v>
      </c>
      <c r="B742" s="17">
        <v>1973.0</v>
      </c>
      <c r="C742" s="9" t="s">
        <v>4716</v>
      </c>
      <c r="D742" s="9">
        <v>23.0</v>
      </c>
      <c r="E742" s="18">
        <f t="shared" si="1"/>
        <v>26899</v>
      </c>
      <c r="F742" s="9">
        <v>0.0</v>
      </c>
      <c r="G742" s="19">
        <v>29757.69</v>
      </c>
      <c r="H742" s="9" t="s">
        <v>4718</v>
      </c>
      <c r="I742" s="9" t="s">
        <v>4717</v>
      </c>
      <c r="J742" s="9" t="s">
        <v>4719</v>
      </c>
      <c r="K742" s="20">
        <f t="shared" si="2"/>
        <v>1973</v>
      </c>
      <c r="L742" s="9" t="str">
        <f t="shared" si="3"/>
        <v>tier - 1</v>
      </c>
      <c r="M742" s="9" t="str">
        <f t="shared" si="4"/>
        <v>tier - 3</v>
      </c>
      <c r="N742" s="9" t="str">
        <f t="shared" si="5"/>
        <v>R1011</v>
      </c>
      <c r="O742" s="17">
        <f t="shared" si="6"/>
        <v>49</v>
      </c>
      <c r="P742" s="18">
        <v>26899.0</v>
      </c>
    </row>
    <row r="743" ht="15.75" customHeight="1">
      <c r="A743" s="9" t="s">
        <v>663</v>
      </c>
      <c r="B743" s="17">
        <v>1998.0</v>
      </c>
      <c r="C743" s="9" t="s">
        <v>4730</v>
      </c>
      <c r="D743" s="9">
        <v>20.0</v>
      </c>
      <c r="E743" s="18">
        <f t="shared" si="1"/>
        <v>35966</v>
      </c>
      <c r="F743" s="9">
        <v>0.0</v>
      </c>
      <c r="G743" s="19">
        <v>29760.6</v>
      </c>
      <c r="H743" s="9" t="s">
        <v>4718</v>
      </c>
      <c r="I743" s="9" t="s">
        <v>4723</v>
      </c>
      <c r="J743" s="9" t="s">
        <v>4719</v>
      </c>
      <c r="K743" s="20">
        <f t="shared" si="2"/>
        <v>1998</v>
      </c>
      <c r="L743" s="9" t="str">
        <f t="shared" si="3"/>
        <v>tier - 1</v>
      </c>
      <c r="M743" s="9" t="str">
        <f t="shared" si="4"/>
        <v>tier - 2</v>
      </c>
      <c r="N743" s="9" t="str">
        <f t="shared" si="5"/>
        <v>R1011</v>
      </c>
      <c r="O743" s="17">
        <f t="shared" si="6"/>
        <v>24</v>
      </c>
      <c r="P743" s="18">
        <v>35966.0</v>
      </c>
    </row>
    <row r="744" ht="15.75" customHeight="1">
      <c r="A744" s="9" t="s">
        <v>661</v>
      </c>
      <c r="B744" s="17">
        <v>1981.0</v>
      </c>
      <c r="C744" s="9" t="s">
        <v>4716</v>
      </c>
      <c r="D744" s="9">
        <v>13.0</v>
      </c>
      <c r="E744" s="18">
        <f t="shared" si="1"/>
        <v>29811</v>
      </c>
      <c r="F744" s="9">
        <v>1.0</v>
      </c>
      <c r="G744" s="19">
        <v>29816.64</v>
      </c>
      <c r="H744" s="9" t="s">
        <v>4718</v>
      </c>
      <c r="I744" s="9" t="s">
        <v>4723</v>
      </c>
      <c r="J744" s="9" t="s">
        <v>4719</v>
      </c>
      <c r="K744" s="20">
        <f t="shared" si="2"/>
        <v>1981</v>
      </c>
      <c r="L744" s="9" t="str">
        <f t="shared" si="3"/>
        <v>tier - 1</v>
      </c>
      <c r="M744" s="9" t="str">
        <f t="shared" si="4"/>
        <v>tier - 2</v>
      </c>
      <c r="N744" s="9" t="str">
        <f t="shared" si="5"/>
        <v>R1011</v>
      </c>
      <c r="O744" s="17">
        <f t="shared" si="6"/>
        <v>41</v>
      </c>
      <c r="P744" s="18">
        <v>29811.0</v>
      </c>
    </row>
    <row r="745" ht="15.75" customHeight="1">
      <c r="A745" s="9" t="s">
        <v>67</v>
      </c>
      <c r="B745" s="17">
        <v>1962.0</v>
      </c>
      <c r="C745" s="9" t="s">
        <v>4725</v>
      </c>
      <c r="D745" s="9">
        <v>4.0</v>
      </c>
      <c r="E745" s="18">
        <f t="shared" si="1"/>
        <v>22984</v>
      </c>
      <c r="F745" s="9">
        <v>3.0</v>
      </c>
      <c r="G745" s="19">
        <v>46130.53</v>
      </c>
      <c r="H745" s="9" t="s">
        <v>4718</v>
      </c>
      <c r="I745" s="9" t="s">
        <v>4718</v>
      </c>
      <c r="J745" s="9" t="s">
        <v>4733</v>
      </c>
      <c r="K745" s="20">
        <f t="shared" si="2"/>
        <v>1962</v>
      </c>
      <c r="L745" s="9" t="str">
        <f t="shared" si="3"/>
        <v>tier - 1</v>
      </c>
      <c r="M745" s="9" t="str">
        <f t="shared" si="4"/>
        <v>tier - 1</v>
      </c>
      <c r="N745" s="9" t="str">
        <f t="shared" si="5"/>
        <v>R1012</v>
      </c>
      <c r="O745" s="17">
        <f t="shared" si="6"/>
        <v>60</v>
      </c>
      <c r="P745" s="18">
        <v>22984.0</v>
      </c>
    </row>
    <row r="746" ht="15.75" customHeight="1">
      <c r="A746" s="9" t="s">
        <v>659</v>
      </c>
      <c r="B746" s="17">
        <v>1982.0</v>
      </c>
      <c r="C746" s="9" t="s">
        <v>4720</v>
      </c>
      <c r="D746" s="9">
        <v>29.0</v>
      </c>
      <c r="E746" s="18">
        <f t="shared" si="1"/>
        <v>30253</v>
      </c>
      <c r="F746" s="9">
        <v>3.0</v>
      </c>
      <c r="G746" s="19">
        <v>29818.76</v>
      </c>
      <c r="H746" s="9" t="s">
        <v>4718</v>
      </c>
      <c r="I746" s="9" t="s">
        <v>4718</v>
      </c>
      <c r="J746" s="9" t="s">
        <v>4733</v>
      </c>
      <c r="K746" s="20">
        <f t="shared" si="2"/>
        <v>1982</v>
      </c>
      <c r="L746" s="9" t="str">
        <f t="shared" si="3"/>
        <v>tier - 1</v>
      </c>
      <c r="M746" s="9" t="str">
        <f t="shared" si="4"/>
        <v>tier - 1</v>
      </c>
      <c r="N746" s="9" t="str">
        <f t="shared" si="5"/>
        <v>R1012</v>
      </c>
      <c r="O746" s="17">
        <f t="shared" si="6"/>
        <v>40</v>
      </c>
      <c r="P746" s="18">
        <v>30253.0</v>
      </c>
    </row>
    <row r="747" ht="15.75" customHeight="1">
      <c r="A747" s="9" t="s">
        <v>657</v>
      </c>
      <c r="B747" s="17">
        <v>1989.0</v>
      </c>
      <c r="C747" s="9" t="s">
        <v>4725</v>
      </c>
      <c r="D747" s="9">
        <v>30.0</v>
      </c>
      <c r="E747" s="18">
        <f t="shared" si="1"/>
        <v>32872</v>
      </c>
      <c r="F747" s="9">
        <v>3.0</v>
      </c>
      <c r="G747" s="19">
        <v>29852.48</v>
      </c>
      <c r="H747" s="9" t="s">
        <v>4718</v>
      </c>
      <c r="I747" s="9" t="s">
        <v>4717</v>
      </c>
      <c r="J747" s="9" t="s">
        <v>4719</v>
      </c>
      <c r="K747" s="20">
        <f t="shared" si="2"/>
        <v>1989</v>
      </c>
      <c r="L747" s="9" t="str">
        <f t="shared" si="3"/>
        <v>tier - 1</v>
      </c>
      <c r="M747" s="9" t="str">
        <f t="shared" si="4"/>
        <v>tier - 3</v>
      </c>
      <c r="N747" s="9" t="str">
        <f t="shared" si="5"/>
        <v>R1011</v>
      </c>
      <c r="O747" s="17">
        <f t="shared" si="6"/>
        <v>33</v>
      </c>
      <c r="P747" s="18">
        <v>32872.0</v>
      </c>
    </row>
    <row r="748" ht="15.75" customHeight="1">
      <c r="A748" s="9" t="s">
        <v>655</v>
      </c>
      <c r="B748" s="17">
        <v>1975.0</v>
      </c>
      <c r="C748" s="9" t="s">
        <v>4716</v>
      </c>
      <c r="D748" s="9">
        <v>19.0</v>
      </c>
      <c r="E748" s="18">
        <f t="shared" si="1"/>
        <v>27625</v>
      </c>
      <c r="F748" s="9">
        <v>1.0</v>
      </c>
      <c r="G748" s="19">
        <v>29899.25</v>
      </c>
      <c r="H748" s="9" t="s">
        <v>4718</v>
      </c>
      <c r="I748" s="9" t="s">
        <v>4717</v>
      </c>
      <c r="J748" s="9" t="s">
        <v>4719</v>
      </c>
      <c r="K748" s="20">
        <f t="shared" si="2"/>
        <v>1975</v>
      </c>
      <c r="L748" s="9" t="str">
        <f t="shared" si="3"/>
        <v>tier - 1</v>
      </c>
      <c r="M748" s="9" t="str">
        <f t="shared" si="4"/>
        <v>tier - 3</v>
      </c>
      <c r="N748" s="9" t="str">
        <f t="shared" si="5"/>
        <v>R1011</v>
      </c>
      <c r="O748" s="17">
        <f t="shared" si="6"/>
        <v>47</v>
      </c>
      <c r="P748" s="18">
        <v>27625.0</v>
      </c>
    </row>
    <row r="749" ht="15.75" customHeight="1">
      <c r="A749" s="9" t="s">
        <v>653</v>
      </c>
      <c r="B749" s="17">
        <v>1988.0</v>
      </c>
      <c r="C749" s="9" t="s">
        <v>4725</v>
      </c>
      <c r="D749" s="9">
        <v>30.0</v>
      </c>
      <c r="E749" s="18">
        <f t="shared" si="1"/>
        <v>32507</v>
      </c>
      <c r="F749" s="9">
        <v>3.0</v>
      </c>
      <c r="G749" s="19">
        <v>29929.56</v>
      </c>
      <c r="H749" s="9" t="s">
        <v>4718</v>
      </c>
      <c r="I749" s="9" t="s">
        <v>4718</v>
      </c>
      <c r="J749" s="9" t="s">
        <v>4719</v>
      </c>
      <c r="K749" s="20">
        <f t="shared" si="2"/>
        <v>1988</v>
      </c>
      <c r="L749" s="9" t="str">
        <f t="shared" si="3"/>
        <v>tier - 1</v>
      </c>
      <c r="M749" s="9" t="str">
        <f t="shared" si="4"/>
        <v>tier - 1</v>
      </c>
      <c r="N749" s="9" t="str">
        <f t="shared" si="5"/>
        <v>R1011</v>
      </c>
      <c r="O749" s="17">
        <f t="shared" si="6"/>
        <v>34</v>
      </c>
      <c r="P749" s="18">
        <v>32507.0</v>
      </c>
    </row>
    <row r="750" ht="15.75" customHeight="1">
      <c r="A750" s="9" t="s">
        <v>651</v>
      </c>
      <c r="B750" s="17">
        <v>1976.0</v>
      </c>
      <c r="C750" s="9" t="s">
        <v>4730</v>
      </c>
      <c r="D750" s="9">
        <v>12.0</v>
      </c>
      <c r="E750" s="18">
        <f t="shared" si="1"/>
        <v>27923</v>
      </c>
      <c r="F750" s="9">
        <v>2.0</v>
      </c>
      <c r="G750" s="19">
        <v>29933.75</v>
      </c>
      <c r="H750" s="9" t="s">
        <v>4718</v>
      </c>
      <c r="I750" s="9" t="s">
        <v>4718</v>
      </c>
      <c r="J750" s="9" t="s">
        <v>4719</v>
      </c>
      <c r="K750" s="20">
        <f t="shared" si="2"/>
        <v>1976</v>
      </c>
      <c r="L750" s="9" t="str">
        <f t="shared" si="3"/>
        <v>tier - 1</v>
      </c>
      <c r="M750" s="9" t="str">
        <f t="shared" si="4"/>
        <v>tier - 1</v>
      </c>
      <c r="N750" s="9" t="str">
        <f t="shared" si="5"/>
        <v>R1011</v>
      </c>
      <c r="O750" s="17">
        <f t="shared" si="6"/>
        <v>46</v>
      </c>
      <c r="P750" s="18">
        <v>27923.0</v>
      </c>
    </row>
    <row r="751" ht="15.75" customHeight="1">
      <c r="A751" s="9" t="s">
        <v>649</v>
      </c>
      <c r="B751" s="17">
        <v>1991.0</v>
      </c>
      <c r="C751" s="9" t="s">
        <v>4720</v>
      </c>
      <c r="D751" s="9">
        <v>5.0</v>
      </c>
      <c r="E751" s="18">
        <f t="shared" si="1"/>
        <v>33516</v>
      </c>
      <c r="F751" s="9">
        <v>3.0</v>
      </c>
      <c r="G751" s="19">
        <v>29969.67</v>
      </c>
      <c r="H751" s="9" t="s">
        <v>4718</v>
      </c>
      <c r="I751" s="9" t="s">
        <v>4718</v>
      </c>
      <c r="J751" s="9" t="s">
        <v>4719</v>
      </c>
      <c r="K751" s="20">
        <f t="shared" si="2"/>
        <v>1991</v>
      </c>
      <c r="L751" s="9" t="str">
        <f t="shared" si="3"/>
        <v>tier - 1</v>
      </c>
      <c r="M751" s="9" t="str">
        <f t="shared" si="4"/>
        <v>tier - 1</v>
      </c>
      <c r="N751" s="9" t="str">
        <f t="shared" si="5"/>
        <v>R1011</v>
      </c>
      <c r="O751" s="17">
        <f t="shared" si="6"/>
        <v>31</v>
      </c>
      <c r="P751" s="18">
        <v>33516.0</v>
      </c>
    </row>
    <row r="752" ht="15.75" customHeight="1">
      <c r="A752" s="9" t="s">
        <v>647</v>
      </c>
      <c r="B752" s="17">
        <v>1981.0</v>
      </c>
      <c r="C752" s="9" t="s">
        <v>4716</v>
      </c>
      <c r="D752" s="9">
        <v>4.0</v>
      </c>
      <c r="E752" s="18">
        <f t="shared" si="1"/>
        <v>29802</v>
      </c>
      <c r="F752" s="9">
        <v>1.0</v>
      </c>
      <c r="G752" s="19">
        <v>30026.87</v>
      </c>
      <c r="H752" s="9" t="s">
        <v>4723</v>
      </c>
      <c r="I752" s="9" t="s">
        <v>4717</v>
      </c>
      <c r="J752" s="9" t="s">
        <v>4733</v>
      </c>
      <c r="K752" s="20">
        <f t="shared" si="2"/>
        <v>1981</v>
      </c>
      <c r="L752" s="9" t="str">
        <f t="shared" si="3"/>
        <v>tier - 2</v>
      </c>
      <c r="M752" s="9" t="str">
        <f t="shared" si="4"/>
        <v>tier - 3</v>
      </c>
      <c r="N752" s="9" t="str">
        <f t="shared" si="5"/>
        <v>R1012</v>
      </c>
      <c r="O752" s="17">
        <f t="shared" si="6"/>
        <v>41</v>
      </c>
      <c r="P752" s="18">
        <v>29802.0</v>
      </c>
    </row>
    <row r="753" ht="15.75" customHeight="1">
      <c r="A753" s="9" t="s">
        <v>645</v>
      </c>
      <c r="B753" s="17">
        <v>1967.0</v>
      </c>
      <c r="C753" s="9" t="s">
        <v>4730</v>
      </c>
      <c r="D753" s="9">
        <v>16.0</v>
      </c>
      <c r="E753" s="18">
        <f t="shared" si="1"/>
        <v>24639</v>
      </c>
      <c r="F753" s="9">
        <v>3.0</v>
      </c>
      <c r="G753" s="19">
        <v>30063.58</v>
      </c>
      <c r="H753" s="9" t="s">
        <v>4718</v>
      </c>
      <c r="I753" s="9" t="s">
        <v>4718</v>
      </c>
      <c r="J753" s="9" t="s">
        <v>4733</v>
      </c>
      <c r="K753" s="20">
        <f t="shared" si="2"/>
        <v>1967</v>
      </c>
      <c r="L753" s="9" t="str">
        <f t="shared" si="3"/>
        <v>tier - 1</v>
      </c>
      <c r="M753" s="9" t="str">
        <f t="shared" si="4"/>
        <v>tier - 1</v>
      </c>
      <c r="N753" s="9" t="str">
        <f t="shared" si="5"/>
        <v>R1012</v>
      </c>
      <c r="O753" s="17">
        <f t="shared" si="6"/>
        <v>55</v>
      </c>
      <c r="P753" s="18">
        <v>24639.0</v>
      </c>
    </row>
    <row r="754" ht="15.75" customHeight="1">
      <c r="A754" s="9" t="s">
        <v>643</v>
      </c>
      <c r="B754" s="17">
        <v>1979.0</v>
      </c>
      <c r="C754" s="9" t="s">
        <v>4738</v>
      </c>
      <c r="D754" s="9">
        <v>2.0</v>
      </c>
      <c r="E754" s="18">
        <f t="shared" si="1"/>
        <v>29100</v>
      </c>
      <c r="F754" s="9">
        <v>2.0</v>
      </c>
      <c r="G754" s="19">
        <v>30095.97</v>
      </c>
      <c r="H754" s="9" t="s">
        <v>4723</v>
      </c>
      <c r="I754" s="9" t="s">
        <v>4717</v>
      </c>
      <c r="J754" s="9" t="s">
        <v>4719</v>
      </c>
      <c r="K754" s="20">
        <f t="shared" si="2"/>
        <v>1979</v>
      </c>
      <c r="L754" s="9" t="str">
        <f t="shared" si="3"/>
        <v>tier - 2</v>
      </c>
      <c r="M754" s="9" t="str">
        <f t="shared" si="4"/>
        <v>tier - 3</v>
      </c>
      <c r="N754" s="9" t="str">
        <f t="shared" si="5"/>
        <v>R1011</v>
      </c>
      <c r="O754" s="17">
        <f t="shared" si="6"/>
        <v>43</v>
      </c>
      <c r="P754" s="18">
        <v>29100.0</v>
      </c>
    </row>
    <row r="755" ht="15.75" customHeight="1">
      <c r="A755" s="9" t="s">
        <v>641</v>
      </c>
      <c r="B755" s="17">
        <v>1971.0</v>
      </c>
      <c r="C755" s="9" t="s">
        <v>4725</v>
      </c>
      <c r="D755" s="9">
        <v>25.0</v>
      </c>
      <c r="E755" s="18">
        <f t="shared" si="1"/>
        <v>26292</v>
      </c>
      <c r="F755" s="9">
        <v>0.0</v>
      </c>
      <c r="G755" s="19">
        <v>30134.75</v>
      </c>
      <c r="H755" s="9" t="s">
        <v>4723</v>
      </c>
      <c r="I755" s="9" t="s">
        <v>4717</v>
      </c>
      <c r="J755" s="9" t="s">
        <v>4719</v>
      </c>
      <c r="K755" s="20">
        <f t="shared" si="2"/>
        <v>1971</v>
      </c>
      <c r="L755" s="9" t="str">
        <f t="shared" si="3"/>
        <v>tier - 2</v>
      </c>
      <c r="M755" s="9" t="str">
        <f t="shared" si="4"/>
        <v>tier - 3</v>
      </c>
      <c r="N755" s="9" t="str">
        <f t="shared" si="5"/>
        <v>R1011</v>
      </c>
      <c r="O755" s="17">
        <f t="shared" si="6"/>
        <v>51</v>
      </c>
      <c r="P755" s="18">
        <v>26292.0</v>
      </c>
    </row>
    <row r="756" ht="15.75" customHeight="1">
      <c r="A756" s="9" t="s">
        <v>65</v>
      </c>
      <c r="B756" s="17">
        <v>1976.0</v>
      </c>
      <c r="C756" s="9" t="s">
        <v>4725</v>
      </c>
      <c r="D756" s="9">
        <v>2.0</v>
      </c>
      <c r="E756" s="18">
        <f t="shared" si="1"/>
        <v>28096</v>
      </c>
      <c r="F756" s="9">
        <v>3.0</v>
      </c>
      <c r="G756" s="19">
        <v>46151.12</v>
      </c>
      <c r="H756" s="9" t="s">
        <v>4718</v>
      </c>
      <c r="I756" s="9" t="s">
        <v>4717</v>
      </c>
      <c r="J756" s="9" t="s">
        <v>4743</v>
      </c>
      <c r="K756" s="20">
        <f t="shared" si="2"/>
        <v>1976</v>
      </c>
      <c r="L756" s="9" t="str">
        <f t="shared" si="3"/>
        <v>tier - 1</v>
      </c>
      <c r="M756" s="9" t="str">
        <f t="shared" si="4"/>
        <v>tier - 3</v>
      </c>
      <c r="N756" s="9" t="str">
        <f t="shared" si="5"/>
        <v>R1013</v>
      </c>
      <c r="O756" s="17">
        <f t="shared" si="6"/>
        <v>46</v>
      </c>
      <c r="P756" s="18">
        <v>28096.0</v>
      </c>
    </row>
    <row r="757" ht="15.75" customHeight="1">
      <c r="A757" s="9" t="s">
        <v>639</v>
      </c>
      <c r="B757" s="17">
        <v>1958.0</v>
      </c>
      <c r="C757" s="9" t="s">
        <v>4716</v>
      </c>
      <c r="D757" s="9">
        <v>11.0</v>
      </c>
      <c r="E757" s="18">
        <f t="shared" si="1"/>
        <v>21408</v>
      </c>
      <c r="F757" s="9">
        <v>1.0</v>
      </c>
      <c r="G757" s="19">
        <v>30166.62</v>
      </c>
      <c r="H757" s="9" t="s">
        <v>4718</v>
      </c>
      <c r="I757" s="9" t="s">
        <v>4717</v>
      </c>
      <c r="J757" s="9" t="s">
        <v>4733</v>
      </c>
      <c r="K757" s="20">
        <f t="shared" si="2"/>
        <v>1958</v>
      </c>
      <c r="L757" s="9" t="str">
        <f t="shared" si="3"/>
        <v>tier - 1</v>
      </c>
      <c r="M757" s="9" t="str">
        <f t="shared" si="4"/>
        <v>tier - 3</v>
      </c>
      <c r="N757" s="9" t="str">
        <f t="shared" si="5"/>
        <v>R1012</v>
      </c>
      <c r="O757" s="17">
        <f t="shared" si="6"/>
        <v>64</v>
      </c>
      <c r="P757" s="18">
        <v>21408.0</v>
      </c>
    </row>
    <row r="758" ht="15.75" customHeight="1">
      <c r="A758" s="9" t="s">
        <v>637</v>
      </c>
      <c r="B758" s="17">
        <v>1963.0</v>
      </c>
      <c r="C758" s="9" t="s">
        <v>4738</v>
      </c>
      <c r="D758" s="9">
        <v>13.0</v>
      </c>
      <c r="E758" s="18">
        <f t="shared" si="1"/>
        <v>23267</v>
      </c>
      <c r="F758" s="9">
        <v>3.0</v>
      </c>
      <c r="G758" s="19">
        <v>30184.94</v>
      </c>
      <c r="H758" s="9" t="s">
        <v>4718</v>
      </c>
      <c r="I758" s="9" t="s">
        <v>4718</v>
      </c>
      <c r="J758" s="9" t="s">
        <v>4752</v>
      </c>
      <c r="K758" s="20">
        <f t="shared" si="2"/>
        <v>1963</v>
      </c>
      <c r="L758" s="9" t="str">
        <f t="shared" si="3"/>
        <v>tier - 1</v>
      </c>
      <c r="M758" s="9" t="str">
        <f t="shared" si="4"/>
        <v>tier - 1</v>
      </c>
      <c r="N758" s="9" t="str">
        <f t="shared" si="5"/>
        <v>R1014</v>
      </c>
      <c r="O758" s="17">
        <f t="shared" si="6"/>
        <v>59</v>
      </c>
      <c r="P758" s="18">
        <v>23267.0</v>
      </c>
    </row>
    <row r="759" ht="15.75" customHeight="1">
      <c r="A759" s="9" t="s">
        <v>635</v>
      </c>
      <c r="B759" s="17">
        <v>1962.0</v>
      </c>
      <c r="C759" s="9" t="s">
        <v>4738</v>
      </c>
      <c r="D759" s="9">
        <v>15.0</v>
      </c>
      <c r="E759" s="18">
        <f t="shared" si="1"/>
        <v>22904</v>
      </c>
      <c r="F759" s="9">
        <v>0.0</v>
      </c>
      <c r="G759" s="19">
        <v>30260.0</v>
      </c>
      <c r="H759" s="9" t="s">
        <v>4718</v>
      </c>
      <c r="I759" s="9" t="s">
        <v>4718</v>
      </c>
      <c r="J759" s="9" t="s">
        <v>4752</v>
      </c>
      <c r="K759" s="20">
        <f t="shared" si="2"/>
        <v>1962</v>
      </c>
      <c r="L759" s="9" t="str">
        <f t="shared" si="3"/>
        <v>tier - 1</v>
      </c>
      <c r="M759" s="9" t="str">
        <f t="shared" si="4"/>
        <v>tier - 1</v>
      </c>
      <c r="N759" s="9" t="str">
        <f t="shared" si="5"/>
        <v>R1014</v>
      </c>
      <c r="O759" s="17">
        <f t="shared" si="6"/>
        <v>60</v>
      </c>
      <c r="P759" s="18">
        <v>22904.0</v>
      </c>
    </row>
    <row r="760" ht="15.75" customHeight="1">
      <c r="A760" s="9" t="s">
        <v>633</v>
      </c>
      <c r="B760" s="17">
        <v>1972.0</v>
      </c>
      <c r="C760" s="9" t="s">
        <v>4741</v>
      </c>
      <c r="D760" s="9">
        <v>24.0</v>
      </c>
      <c r="E760" s="18">
        <f t="shared" si="1"/>
        <v>26504</v>
      </c>
      <c r="F760" s="9">
        <v>2.0</v>
      </c>
      <c r="G760" s="19">
        <v>30284.64</v>
      </c>
      <c r="H760" s="9" t="s">
        <v>4718</v>
      </c>
      <c r="I760" s="9" t="s">
        <v>4718</v>
      </c>
      <c r="J760" s="9" t="s">
        <v>4733</v>
      </c>
      <c r="K760" s="20">
        <f t="shared" si="2"/>
        <v>1972</v>
      </c>
      <c r="L760" s="9" t="str">
        <f t="shared" si="3"/>
        <v>tier - 1</v>
      </c>
      <c r="M760" s="9" t="str">
        <f t="shared" si="4"/>
        <v>tier - 1</v>
      </c>
      <c r="N760" s="9" t="str">
        <f t="shared" si="5"/>
        <v>R1012</v>
      </c>
      <c r="O760" s="17">
        <f t="shared" si="6"/>
        <v>50</v>
      </c>
      <c r="P760" s="18">
        <v>26504.0</v>
      </c>
    </row>
    <row r="761" ht="15.75" customHeight="1">
      <c r="A761" s="9" t="s">
        <v>631</v>
      </c>
      <c r="B761" s="17">
        <v>2004.0</v>
      </c>
      <c r="C761" s="9" t="s">
        <v>4730</v>
      </c>
      <c r="D761" s="9">
        <v>1.0</v>
      </c>
      <c r="E761" s="18">
        <f t="shared" si="1"/>
        <v>38139</v>
      </c>
      <c r="F761" s="9">
        <v>0.0</v>
      </c>
      <c r="G761" s="19">
        <v>30328.27</v>
      </c>
      <c r="H761" s="9" t="s">
        <v>4723</v>
      </c>
      <c r="I761" s="9" t="s">
        <v>4723</v>
      </c>
      <c r="J761" s="9" t="s">
        <v>4719</v>
      </c>
      <c r="K761" s="20">
        <f t="shared" si="2"/>
        <v>2004</v>
      </c>
      <c r="L761" s="9" t="str">
        <f t="shared" si="3"/>
        <v>tier - 2</v>
      </c>
      <c r="M761" s="9" t="str">
        <f t="shared" si="4"/>
        <v>tier - 2</v>
      </c>
      <c r="N761" s="9" t="str">
        <f t="shared" si="5"/>
        <v>R1011</v>
      </c>
      <c r="O761" s="17">
        <f t="shared" si="6"/>
        <v>19</v>
      </c>
      <c r="P761" s="18">
        <v>38139.0</v>
      </c>
    </row>
    <row r="762" ht="15.75" customHeight="1">
      <c r="A762" s="9" t="s">
        <v>629</v>
      </c>
      <c r="B762" s="17">
        <v>1969.0</v>
      </c>
      <c r="C762" s="9" t="s">
        <v>4741</v>
      </c>
      <c r="D762" s="9">
        <v>30.0</v>
      </c>
      <c r="E762" s="18">
        <f t="shared" si="1"/>
        <v>25414</v>
      </c>
      <c r="F762" s="9">
        <v>0.0</v>
      </c>
      <c r="G762" s="19">
        <v>30366.93</v>
      </c>
      <c r="H762" s="9" t="s">
        <v>4723</v>
      </c>
      <c r="I762" s="9" t="s">
        <v>4723</v>
      </c>
      <c r="J762" s="9" t="s">
        <v>4719</v>
      </c>
      <c r="K762" s="20">
        <f t="shared" si="2"/>
        <v>1969</v>
      </c>
      <c r="L762" s="9" t="str">
        <f t="shared" si="3"/>
        <v>tier - 2</v>
      </c>
      <c r="M762" s="9" t="str">
        <f t="shared" si="4"/>
        <v>tier - 2</v>
      </c>
      <c r="N762" s="9" t="str">
        <f t="shared" si="5"/>
        <v>R1011</v>
      </c>
      <c r="O762" s="17">
        <f t="shared" si="6"/>
        <v>53</v>
      </c>
      <c r="P762" s="18">
        <v>25414.0</v>
      </c>
    </row>
    <row r="763" ht="15.75" customHeight="1">
      <c r="A763" s="9" t="s">
        <v>627</v>
      </c>
      <c r="B763" s="17">
        <v>1976.0</v>
      </c>
      <c r="C763" s="9" t="s">
        <v>4738</v>
      </c>
      <c r="D763" s="9">
        <v>3.0</v>
      </c>
      <c r="E763" s="18">
        <f t="shared" si="1"/>
        <v>28006</v>
      </c>
      <c r="F763" s="9">
        <v>2.0</v>
      </c>
      <c r="G763" s="19">
        <v>30409.53</v>
      </c>
      <c r="H763" s="9" t="s">
        <v>4723</v>
      </c>
      <c r="I763" s="9" t="s">
        <v>4717</v>
      </c>
      <c r="J763" s="9" t="s">
        <v>4733</v>
      </c>
      <c r="K763" s="20">
        <f t="shared" si="2"/>
        <v>1976</v>
      </c>
      <c r="L763" s="9" t="str">
        <f t="shared" si="3"/>
        <v>tier - 2</v>
      </c>
      <c r="M763" s="9" t="str">
        <f t="shared" si="4"/>
        <v>tier - 3</v>
      </c>
      <c r="N763" s="9" t="str">
        <f t="shared" si="5"/>
        <v>R1012</v>
      </c>
      <c r="O763" s="17">
        <f t="shared" si="6"/>
        <v>46</v>
      </c>
      <c r="P763" s="18">
        <v>28006.0</v>
      </c>
    </row>
    <row r="764" ht="15.75" customHeight="1">
      <c r="A764" s="9" t="s">
        <v>625</v>
      </c>
      <c r="B764" s="17">
        <v>1998.0</v>
      </c>
      <c r="C764" s="9" t="s">
        <v>4720</v>
      </c>
      <c r="D764" s="9">
        <v>28.0</v>
      </c>
      <c r="E764" s="18">
        <f t="shared" si="1"/>
        <v>36096</v>
      </c>
      <c r="F764" s="9">
        <v>0.0</v>
      </c>
      <c r="G764" s="19">
        <v>30422.03</v>
      </c>
      <c r="H764" s="9" t="s">
        <v>4723</v>
      </c>
      <c r="I764" s="9" t="s">
        <v>4717</v>
      </c>
      <c r="J764" s="9" t="s">
        <v>4719</v>
      </c>
      <c r="K764" s="20">
        <f t="shared" si="2"/>
        <v>1998</v>
      </c>
      <c r="L764" s="9" t="str">
        <f t="shared" si="3"/>
        <v>tier - 2</v>
      </c>
      <c r="M764" s="9" t="str">
        <f t="shared" si="4"/>
        <v>tier - 3</v>
      </c>
      <c r="N764" s="9" t="str">
        <f t="shared" si="5"/>
        <v>R1011</v>
      </c>
      <c r="O764" s="17">
        <f t="shared" si="6"/>
        <v>24</v>
      </c>
      <c r="P764" s="18">
        <v>36096.0</v>
      </c>
    </row>
    <row r="765" ht="15.75" customHeight="1">
      <c r="A765" s="9" t="s">
        <v>623</v>
      </c>
      <c r="B765" s="17">
        <v>1983.0</v>
      </c>
      <c r="C765" s="9" t="s">
        <v>4738</v>
      </c>
      <c r="D765" s="9">
        <v>3.0</v>
      </c>
      <c r="E765" s="18">
        <f t="shared" si="1"/>
        <v>30562</v>
      </c>
      <c r="F765" s="9">
        <v>3.0</v>
      </c>
      <c r="G765" s="19">
        <v>30457.37</v>
      </c>
      <c r="H765" s="9" t="s">
        <v>4723</v>
      </c>
      <c r="I765" s="9" t="s">
        <v>4718</v>
      </c>
      <c r="J765" s="9" t="s">
        <v>4733</v>
      </c>
      <c r="K765" s="20">
        <f t="shared" si="2"/>
        <v>1983</v>
      </c>
      <c r="L765" s="9" t="str">
        <f t="shared" si="3"/>
        <v>tier - 2</v>
      </c>
      <c r="M765" s="9" t="str">
        <f t="shared" si="4"/>
        <v>tier - 1</v>
      </c>
      <c r="N765" s="9" t="str">
        <f t="shared" si="5"/>
        <v>R1012</v>
      </c>
      <c r="O765" s="17">
        <f t="shared" si="6"/>
        <v>39</v>
      </c>
      <c r="P765" s="18">
        <v>30562.0</v>
      </c>
    </row>
    <row r="766" ht="15.75" customHeight="1">
      <c r="A766" s="9" t="s">
        <v>621</v>
      </c>
      <c r="B766" s="17">
        <v>1986.0</v>
      </c>
      <c r="C766" s="9" t="s">
        <v>4716</v>
      </c>
      <c r="D766" s="9">
        <v>10.0</v>
      </c>
      <c r="E766" s="18">
        <f t="shared" si="1"/>
        <v>31634</v>
      </c>
      <c r="F766" s="9">
        <v>3.0</v>
      </c>
      <c r="G766" s="19">
        <v>30530.5</v>
      </c>
      <c r="H766" s="9" t="s">
        <v>4723</v>
      </c>
      <c r="I766" s="9" t="s">
        <v>4718</v>
      </c>
      <c r="J766" s="9" t="s">
        <v>4719</v>
      </c>
      <c r="K766" s="20">
        <f t="shared" si="2"/>
        <v>1986</v>
      </c>
      <c r="L766" s="9" t="str">
        <f t="shared" si="3"/>
        <v>tier - 2</v>
      </c>
      <c r="M766" s="9" t="str">
        <f t="shared" si="4"/>
        <v>tier - 1</v>
      </c>
      <c r="N766" s="9" t="str">
        <f t="shared" si="5"/>
        <v>R1011</v>
      </c>
      <c r="O766" s="17">
        <f t="shared" si="6"/>
        <v>36</v>
      </c>
      <c r="P766" s="18">
        <v>31634.0</v>
      </c>
    </row>
    <row r="767" ht="15.75" customHeight="1">
      <c r="A767" s="9" t="s">
        <v>63</v>
      </c>
      <c r="B767" s="17">
        <v>1978.0</v>
      </c>
      <c r="C767" s="9" t="s">
        <v>4716</v>
      </c>
      <c r="D767" s="9">
        <v>17.0</v>
      </c>
      <c r="E767" s="18">
        <f t="shared" si="1"/>
        <v>28719</v>
      </c>
      <c r="F767" s="9">
        <v>2.0</v>
      </c>
      <c r="G767" s="19">
        <v>46200.99</v>
      </c>
      <c r="H767" s="9" t="s">
        <v>4718</v>
      </c>
      <c r="I767" s="9" t="s">
        <v>4718</v>
      </c>
      <c r="J767" s="9" t="s">
        <v>4743</v>
      </c>
      <c r="K767" s="20">
        <f t="shared" si="2"/>
        <v>1978</v>
      </c>
      <c r="L767" s="9" t="str">
        <f t="shared" si="3"/>
        <v>tier - 1</v>
      </c>
      <c r="M767" s="9" t="str">
        <f t="shared" si="4"/>
        <v>tier - 1</v>
      </c>
      <c r="N767" s="9" t="str">
        <f t="shared" si="5"/>
        <v>R1013</v>
      </c>
      <c r="O767" s="17">
        <f t="shared" si="6"/>
        <v>44</v>
      </c>
      <c r="P767" s="18">
        <v>28719.0</v>
      </c>
    </row>
    <row r="768" ht="15.75" customHeight="1">
      <c r="A768" s="9" t="s">
        <v>619</v>
      </c>
      <c r="B768" s="17">
        <v>1970.0</v>
      </c>
      <c r="C768" s="9" t="s">
        <v>4735</v>
      </c>
      <c r="D768" s="9">
        <v>11.0</v>
      </c>
      <c r="E768" s="18">
        <f t="shared" si="1"/>
        <v>25883</v>
      </c>
      <c r="F768" s="9">
        <v>0.0</v>
      </c>
      <c r="G768" s="19">
        <v>30625.65</v>
      </c>
      <c r="H768" s="9" t="s">
        <v>4723</v>
      </c>
      <c r="I768" s="9" t="s">
        <v>4717</v>
      </c>
      <c r="J768" s="9" t="s">
        <v>4719</v>
      </c>
      <c r="K768" s="20">
        <f t="shared" si="2"/>
        <v>1970</v>
      </c>
      <c r="L768" s="9" t="str">
        <f t="shared" si="3"/>
        <v>tier - 2</v>
      </c>
      <c r="M768" s="9" t="str">
        <f t="shared" si="4"/>
        <v>tier - 3</v>
      </c>
      <c r="N768" s="9" t="str">
        <f t="shared" si="5"/>
        <v>R1011</v>
      </c>
      <c r="O768" s="17">
        <f t="shared" si="6"/>
        <v>52</v>
      </c>
      <c r="P768" s="18">
        <v>25883.0</v>
      </c>
    </row>
    <row r="769" ht="15.75" customHeight="1">
      <c r="A769" s="9" t="s">
        <v>617</v>
      </c>
      <c r="B769" s="17">
        <v>1999.0</v>
      </c>
      <c r="C769" s="9" t="s">
        <v>4738</v>
      </c>
      <c r="D769" s="9">
        <v>21.0</v>
      </c>
      <c r="E769" s="18">
        <f t="shared" si="1"/>
        <v>36424</v>
      </c>
      <c r="F769" s="9">
        <v>0.0</v>
      </c>
      <c r="G769" s="19">
        <v>30697.71</v>
      </c>
      <c r="H769" s="9" t="s">
        <v>4718</v>
      </c>
      <c r="I769" s="9" t="s">
        <v>4723</v>
      </c>
      <c r="J769" s="9" t="s">
        <v>4719</v>
      </c>
      <c r="K769" s="20">
        <f t="shared" si="2"/>
        <v>1999</v>
      </c>
      <c r="L769" s="9" t="str">
        <f t="shared" si="3"/>
        <v>tier - 1</v>
      </c>
      <c r="M769" s="9" t="str">
        <f t="shared" si="4"/>
        <v>tier - 2</v>
      </c>
      <c r="N769" s="9" t="str">
        <f t="shared" si="5"/>
        <v>R1011</v>
      </c>
      <c r="O769" s="17">
        <f t="shared" si="6"/>
        <v>23</v>
      </c>
      <c r="P769" s="18">
        <v>36424.0</v>
      </c>
    </row>
    <row r="770" ht="15.75" customHeight="1">
      <c r="A770" s="9" t="s">
        <v>615</v>
      </c>
      <c r="B770" s="17">
        <v>1983.0</v>
      </c>
      <c r="C770" s="9" t="s">
        <v>4725</v>
      </c>
      <c r="D770" s="9">
        <v>21.0</v>
      </c>
      <c r="E770" s="18">
        <f t="shared" si="1"/>
        <v>30671</v>
      </c>
      <c r="F770" s="9">
        <v>3.0</v>
      </c>
      <c r="G770" s="19">
        <v>30724.44</v>
      </c>
      <c r="H770" s="9" t="s">
        <v>4723</v>
      </c>
      <c r="I770" s="9" t="s">
        <v>4717</v>
      </c>
      <c r="J770" s="9" t="s">
        <v>4719</v>
      </c>
      <c r="K770" s="20">
        <f t="shared" si="2"/>
        <v>1983</v>
      </c>
      <c r="L770" s="9" t="str">
        <f t="shared" si="3"/>
        <v>tier - 2</v>
      </c>
      <c r="M770" s="9" t="str">
        <f t="shared" si="4"/>
        <v>tier - 3</v>
      </c>
      <c r="N770" s="9" t="str">
        <f t="shared" si="5"/>
        <v>R1011</v>
      </c>
      <c r="O770" s="17">
        <f t="shared" si="6"/>
        <v>39</v>
      </c>
      <c r="P770" s="18">
        <v>30671.0</v>
      </c>
    </row>
    <row r="771" ht="15.75" customHeight="1">
      <c r="A771" s="9" t="s">
        <v>613</v>
      </c>
      <c r="B771" s="17">
        <v>1988.0</v>
      </c>
      <c r="C771" s="9" t="s">
        <v>4738</v>
      </c>
      <c r="D771" s="9">
        <v>5.0</v>
      </c>
      <c r="E771" s="18">
        <f t="shared" si="1"/>
        <v>32391</v>
      </c>
      <c r="F771" s="9">
        <v>3.0</v>
      </c>
      <c r="G771" s="19">
        <v>30763.01</v>
      </c>
      <c r="H771" s="9" t="s">
        <v>4723</v>
      </c>
      <c r="I771" s="9" t="s">
        <v>4718</v>
      </c>
      <c r="J771" s="9" t="s">
        <v>4719</v>
      </c>
      <c r="K771" s="20">
        <f t="shared" si="2"/>
        <v>1988</v>
      </c>
      <c r="L771" s="9" t="str">
        <f t="shared" si="3"/>
        <v>tier - 2</v>
      </c>
      <c r="M771" s="9" t="str">
        <f t="shared" si="4"/>
        <v>tier - 1</v>
      </c>
      <c r="N771" s="9" t="str">
        <f t="shared" si="5"/>
        <v>R1011</v>
      </c>
      <c r="O771" s="17">
        <f t="shared" si="6"/>
        <v>34</v>
      </c>
      <c r="P771" s="18">
        <v>32391.0</v>
      </c>
    </row>
    <row r="772" ht="15.75" customHeight="1">
      <c r="A772" s="9" t="s">
        <v>611</v>
      </c>
      <c r="B772" s="17">
        <v>1961.0</v>
      </c>
      <c r="C772" s="9" t="s">
        <v>4738</v>
      </c>
      <c r="D772" s="9">
        <v>9.0</v>
      </c>
      <c r="E772" s="18">
        <f t="shared" si="1"/>
        <v>22533</v>
      </c>
      <c r="F772" s="9">
        <v>3.0</v>
      </c>
      <c r="G772" s="19">
        <v>30942.19</v>
      </c>
      <c r="H772" s="9" t="s">
        <v>4723</v>
      </c>
      <c r="I772" s="9" t="s">
        <v>4723</v>
      </c>
      <c r="J772" s="9" t="s">
        <v>4743</v>
      </c>
      <c r="K772" s="20">
        <f t="shared" si="2"/>
        <v>1961</v>
      </c>
      <c r="L772" s="9" t="str">
        <f t="shared" si="3"/>
        <v>tier - 2</v>
      </c>
      <c r="M772" s="9" t="str">
        <f t="shared" si="4"/>
        <v>tier - 2</v>
      </c>
      <c r="N772" s="9" t="str">
        <f t="shared" si="5"/>
        <v>R1013</v>
      </c>
      <c r="O772" s="17">
        <f t="shared" si="6"/>
        <v>61</v>
      </c>
      <c r="P772" s="18">
        <v>22533.0</v>
      </c>
    </row>
    <row r="773" ht="15.75" customHeight="1">
      <c r="A773" s="9" t="s">
        <v>609</v>
      </c>
      <c r="B773" s="17">
        <v>2004.0</v>
      </c>
      <c r="C773" s="9" t="s">
        <v>4735</v>
      </c>
      <c r="D773" s="9">
        <v>9.0</v>
      </c>
      <c r="E773" s="18">
        <f t="shared" si="1"/>
        <v>38300</v>
      </c>
      <c r="F773" s="9">
        <v>0.0</v>
      </c>
      <c r="G773" s="19">
        <v>31196.61</v>
      </c>
      <c r="H773" s="9" t="s">
        <v>4723</v>
      </c>
      <c r="I773" s="9" t="s">
        <v>4718</v>
      </c>
      <c r="J773" s="9" t="s">
        <v>4719</v>
      </c>
      <c r="K773" s="20">
        <f t="shared" si="2"/>
        <v>2004</v>
      </c>
      <c r="L773" s="9" t="str">
        <f t="shared" si="3"/>
        <v>tier - 2</v>
      </c>
      <c r="M773" s="9" t="str">
        <f t="shared" si="4"/>
        <v>tier - 1</v>
      </c>
      <c r="N773" s="9" t="str">
        <f t="shared" si="5"/>
        <v>R1011</v>
      </c>
      <c r="O773" s="17">
        <f t="shared" si="6"/>
        <v>18</v>
      </c>
      <c r="P773" s="18">
        <v>38300.0</v>
      </c>
    </row>
    <row r="774" ht="15.75" customHeight="1">
      <c r="A774" s="9" t="s">
        <v>607</v>
      </c>
      <c r="B774" s="17">
        <v>2000.0</v>
      </c>
      <c r="C774" s="9" t="s">
        <v>4741</v>
      </c>
      <c r="D774" s="9">
        <v>22.0</v>
      </c>
      <c r="E774" s="18">
        <f t="shared" si="1"/>
        <v>36729</v>
      </c>
      <c r="F774" s="9">
        <v>0.0</v>
      </c>
      <c r="G774" s="19">
        <v>31234.56</v>
      </c>
      <c r="H774" s="9" t="s">
        <v>4718</v>
      </c>
      <c r="I774" s="9" t="s">
        <v>4718</v>
      </c>
      <c r="J774" s="9" t="s">
        <v>4719</v>
      </c>
      <c r="K774" s="20">
        <f t="shared" si="2"/>
        <v>2000</v>
      </c>
      <c r="L774" s="9" t="str">
        <f t="shared" si="3"/>
        <v>tier - 1</v>
      </c>
      <c r="M774" s="9" t="str">
        <f t="shared" si="4"/>
        <v>tier - 1</v>
      </c>
      <c r="N774" s="9" t="str">
        <f t="shared" si="5"/>
        <v>R1011</v>
      </c>
      <c r="O774" s="17">
        <f t="shared" si="6"/>
        <v>22</v>
      </c>
      <c r="P774" s="18">
        <v>36729.0</v>
      </c>
    </row>
    <row r="775" ht="15.75" customHeight="1">
      <c r="A775" s="9" t="s">
        <v>605</v>
      </c>
      <c r="B775" s="17">
        <v>1968.0</v>
      </c>
      <c r="C775" s="9" t="s">
        <v>4741</v>
      </c>
      <c r="D775" s="9">
        <v>9.0</v>
      </c>
      <c r="E775" s="18">
        <f t="shared" si="1"/>
        <v>25028</v>
      </c>
      <c r="F775" s="9">
        <v>0.0</v>
      </c>
      <c r="G775" s="19">
        <v>31322.53</v>
      </c>
      <c r="H775" s="9" t="s">
        <v>4723</v>
      </c>
      <c r="I775" s="9" t="s">
        <v>4718</v>
      </c>
      <c r="J775" s="9" t="s">
        <v>4719</v>
      </c>
      <c r="K775" s="20">
        <f t="shared" si="2"/>
        <v>1968</v>
      </c>
      <c r="L775" s="9" t="str">
        <f t="shared" si="3"/>
        <v>tier - 2</v>
      </c>
      <c r="M775" s="9" t="str">
        <f t="shared" si="4"/>
        <v>tier - 1</v>
      </c>
      <c r="N775" s="9" t="str">
        <f t="shared" si="5"/>
        <v>R1011</v>
      </c>
      <c r="O775" s="17">
        <f t="shared" si="6"/>
        <v>54</v>
      </c>
      <c r="P775" s="18">
        <v>25028.0</v>
      </c>
    </row>
    <row r="776" ht="15.75" customHeight="1">
      <c r="A776" s="9" t="s">
        <v>603</v>
      </c>
      <c r="B776" s="17">
        <v>1995.0</v>
      </c>
      <c r="C776" s="9" t="s">
        <v>4738</v>
      </c>
      <c r="D776" s="9">
        <v>27.0</v>
      </c>
      <c r="E776" s="18">
        <f t="shared" si="1"/>
        <v>34969</v>
      </c>
      <c r="F776" s="9">
        <v>0.0</v>
      </c>
      <c r="G776" s="19">
        <v>31328.27</v>
      </c>
      <c r="H776" s="9" t="s">
        <v>4723</v>
      </c>
      <c r="I776" s="9" t="s">
        <v>4723</v>
      </c>
      <c r="J776" s="9" t="s">
        <v>4719</v>
      </c>
      <c r="K776" s="20">
        <f t="shared" si="2"/>
        <v>1995</v>
      </c>
      <c r="L776" s="9" t="str">
        <f t="shared" si="3"/>
        <v>tier - 2</v>
      </c>
      <c r="M776" s="9" t="str">
        <f t="shared" si="4"/>
        <v>tier - 2</v>
      </c>
      <c r="N776" s="9" t="str">
        <f t="shared" si="5"/>
        <v>R1011</v>
      </c>
      <c r="O776" s="17">
        <f t="shared" si="6"/>
        <v>27</v>
      </c>
      <c r="P776" s="18">
        <v>34969.0</v>
      </c>
    </row>
    <row r="777" ht="15.75" customHeight="1">
      <c r="A777" s="9" t="s">
        <v>601</v>
      </c>
      <c r="B777" s="17">
        <v>1974.0</v>
      </c>
      <c r="C777" s="9" t="s">
        <v>4720</v>
      </c>
      <c r="D777" s="9">
        <v>8.0</v>
      </c>
      <c r="E777" s="18">
        <f t="shared" si="1"/>
        <v>27310</v>
      </c>
      <c r="F777" s="9">
        <v>0.0</v>
      </c>
      <c r="G777" s="19">
        <v>31368.81</v>
      </c>
      <c r="H777" s="9" t="s">
        <v>4723</v>
      </c>
      <c r="I777" s="9" t="s">
        <v>4717</v>
      </c>
      <c r="J777" s="9" t="s">
        <v>4719</v>
      </c>
      <c r="K777" s="20">
        <f t="shared" si="2"/>
        <v>1974</v>
      </c>
      <c r="L777" s="9" t="str">
        <f t="shared" si="3"/>
        <v>tier - 2</v>
      </c>
      <c r="M777" s="9" t="str">
        <f t="shared" si="4"/>
        <v>tier - 3</v>
      </c>
      <c r="N777" s="9" t="str">
        <f t="shared" si="5"/>
        <v>R1011</v>
      </c>
      <c r="O777" s="17">
        <f t="shared" si="6"/>
        <v>48</v>
      </c>
      <c r="P777" s="18">
        <v>27310.0</v>
      </c>
    </row>
    <row r="778" ht="15.75" customHeight="1">
      <c r="A778" s="9" t="s">
        <v>61</v>
      </c>
      <c r="B778" s="17">
        <v>1971.0</v>
      </c>
      <c r="C778" s="9" t="s">
        <v>4725</v>
      </c>
      <c r="D778" s="9">
        <v>6.0</v>
      </c>
      <c r="E778" s="18">
        <f t="shared" si="1"/>
        <v>26273</v>
      </c>
      <c r="F778" s="9">
        <v>3.0</v>
      </c>
      <c r="G778" s="19">
        <v>46255.11</v>
      </c>
      <c r="H778" s="9" t="s">
        <v>4718</v>
      </c>
      <c r="I778" s="9" t="s">
        <v>4717</v>
      </c>
      <c r="J778" s="9" t="s">
        <v>4731</v>
      </c>
      <c r="K778" s="20">
        <f t="shared" si="2"/>
        <v>1971</v>
      </c>
      <c r="L778" s="9" t="str">
        <f t="shared" si="3"/>
        <v>tier - 1</v>
      </c>
      <c r="M778" s="9" t="str">
        <f t="shared" si="4"/>
        <v>tier - 3</v>
      </c>
      <c r="N778" s="9" t="str">
        <f t="shared" si="5"/>
        <v>R1024</v>
      </c>
      <c r="O778" s="17">
        <f t="shared" si="6"/>
        <v>51</v>
      </c>
      <c r="P778" s="18">
        <v>26273.0</v>
      </c>
    </row>
    <row r="779" ht="15.75" customHeight="1">
      <c r="A779" s="9" t="s">
        <v>7</v>
      </c>
      <c r="B779" s="17">
        <v>1970.0</v>
      </c>
      <c r="C779" s="9" t="s">
        <v>4738</v>
      </c>
      <c r="D779" s="9">
        <v>11.0</v>
      </c>
      <c r="E779" s="18">
        <f t="shared" si="1"/>
        <v>25822</v>
      </c>
      <c r="F779" s="9">
        <v>3.0</v>
      </c>
      <c r="G779" s="19">
        <v>60021.4</v>
      </c>
      <c r="H779" s="9" t="s">
        <v>4718</v>
      </c>
      <c r="I779" s="9" t="s">
        <v>4718</v>
      </c>
      <c r="J779" s="9" t="s">
        <v>4733</v>
      </c>
      <c r="K779" s="20">
        <f t="shared" si="2"/>
        <v>1970</v>
      </c>
      <c r="L779" s="9" t="str">
        <f t="shared" si="3"/>
        <v>tier - 1</v>
      </c>
      <c r="M779" s="9" t="str">
        <f t="shared" si="4"/>
        <v>tier - 1</v>
      </c>
      <c r="N779" s="9" t="str">
        <f t="shared" si="5"/>
        <v>R1012</v>
      </c>
      <c r="O779" s="17">
        <f t="shared" si="6"/>
        <v>52</v>
      </c>
      <c r="P779" s="18">
        <v>25822.0</v>
      </c>
    </row>
    <row r="780" ht="15.75" customHeight="1">
      <c r="A780" s="9" t="s">
        <v>599</v>
      </c>
      <c r="B780" s="17">
        <v>1975.0</v>
      </c>
      <c r="C780" s="9" t="s">
        <v>4720</v>
      </c>
      <c r="D780" s="9">
        <v>29.0</v>
      </c>
      <c r="E780" s="18">
        <f t="shared" si="1"/>
        <v>27696</v>
      </c>
      <c r="F780" s="9">
        <v>1.0</v>
      </c>
      <c r="G780" s="19">
        <v>31591.82</v>
      </c>
      <c r="H780" s="9" t="s">
        <v>4723</v>
      </c>
      <c r="I780" s="9" t="s">
        <v>4718</v>
      </c>
      <c r="J780" s="9" t="s">
        <v>4719</v>
      </c>
      <c r="K780" s="20">
        <f t="shared" si="2"/>
        <v>1975</v>
      </c>
      <c r="L780" s="9" t="str">
        <f t="shared" si="3"/>
        <v>tier - 2</v>
      </c>
      <c r="M780" s="9" t="str">
        <f t="shared" si="4"/>
        <v>tier - 1</v>
      </c>
      <c r="N780" s="9" t="str">
        <f t="shared" si="5"/>
        <v>R1011</v>
      </c>
      <c r="O780" s="17">
        <f t="shared" si="6"/>
        <v>47</v>
      </c>
      <c r="P780" s="18">
        <v>27696.0</v>
      </c>
    </row>
    <row r="781" ht="15.75" customHeight="1">
      <c r="A781" s="9" t="s">
        <v>597</v>
      </c>
      <c r="B781" s="17">
        <v>1960.0</v>
      </c>
      <c r="C781" s="9" t="s">
        <v>4725</v>
      </c>
      <c r="D781" s="9">
        <v>13.0</v>
      </c>
      <c r="E781" s="18">
        <f t="shared" si="1"/>
        <v>22263</v>
      </c>
      <c r="F781" s="9">
        <v>1.0</v>
      </c>
      <c r="G781" s="19">
        <v>31620.0</v>
      </c>
      <c r="H781" s="9" t="s">
        <v>4723</v>
      </c>
      <c r="I781" s="9" t="s">
        <v>4718</v>
      </c>
      <c r="J781" s="9" t="s">
        <v>4731</v>
      </c>
      <c r="K781" s="20">
        <f t="shared" si="2"/>
        <v>1960</v>
      </c>
      <c r="L781" s="9" t="str">
        <f t="shared" si="3"/>
        <v>tier - 2</v>
      </c>
      <c r="M781" s="9" t="str">
        <f t="shared" si="4"/>
        <v>tier - 1</v>
      </c>
      <c r="N781" s="9" t="str">
        <f t="shared" si="5"/>
        <v>R1024</v>
      </c>
      <c r="O781" s="17">
        <f t="shared" si="6"/>
        <v>62</v>
      </c>
      <c r="P781" s="18">
        <v>22263.0</v>
      </c>
    </row>
    <row r="782" ht="15.75" customHeight="1">
      <c r="A782" s="9" t="s">
        <v>595</v>
      </c>
      <c r="B782" s="17">
        <v>1977.0</v>
      </c>
      <c r="C782" s="9" t="s">
        <v>4720</v>
      </c>
      <c r="D782" s="9">
        <v>14.0</v>
      </c>
      <c r="E782" s="18">
        <f t="shared" si="1"/>
        <v>28412</v>
      </c>
      <c r="F782" s="9">
        <v>2.0</v>
      </c>
      <c r="G782" s="19">
        <v>31736.7</v>
      </c>
      <c r="H782" s="9" t="s">
        <v>4723</v>
      </c>
      <c r="I782" s="9" t="s">
        <v>4723</v>
      </c>
      <c r="J782" s="9" t="s">
        <v>4733</v>
      </c>
      <c r="K782" s="20">
        <f t="shared" si="2"/>
        <v>1977</v>
      </c>
      <c r="L782" s="9" t="str">
        <f t="shared" si="3"/>
        <v>tier - 2</v>
      </c>
      <c r="M782" s="9" t="str">
        <f t="shared" si="4"/>
        <v>tier - 2</v>
      </c>
      <c r="N782" s="9" t="str">
        <f t="shared" si="5"/>
        <v>R1012</v>
      </c>
      <c r="O782" s="17">
        <f t="shared" si="6"/>
        <v>45</v>
      </c>
      <c r="P782" s="18">
        <v>28412.0</v>
      </c>
    </row>
    <row r="783" ht="15.75" customHeight="1">
      <c r="A783" s="9" t="s">
        <v>593</v>
      </c>
      <c r="B783" s="17">
        <v>1984.0</v>
      </c>
      <c r="C783" s="9" t="s">
        <v>4738</v>
      </c>
      <c r="D783" s="9">
        <v>10.0</v>
      </c>
      <c r="E783" s="18">
        <f t="shared" si="1"/>
        <v>30935</v>
      </c>
      <c r="F783" s="9">
        <v>3.0</v>
      </c>
      <c r="G783" s="19">
        <v>31743.92</v>
      </c>
      <c r="H783" s="9" t="s">
        <v>4723</v>
      </c>
      <c r="I783" s="9" t="s">
        <v>4718</v>
      </c>
      <c r="J783" s="9" t="s">
        <v>4719</v>
      </c>
      <c r="K783" s="20">
        <f t="shared" si="2"/>
        <v>1984</v>
      </c>
      <c r="L783" s="9" t="str">
        <f t="shared" si="3"/>
        <v>tier - 2</v>
      </c>
      <c r="M783" s="9" t="str">
        <f t="shared" si="4"/>
        <v>tier - 1</v>
      </c>
      <c r="N783" s="9" t="str">
        <f t="shared" si="5"/>
        <v>R1011</v>
      </c>
      <c r="O783" s="17">
        <f t="shared" si="6"/>
        <v>38</v>
      </c>
      <c r="P783" s="18">
        <v>30935.0</v>
      </c>
    </row>
    <row r="784" ht="15.75" customHeight="1">
      <c r="A784" s="9" t="s">
        <v>591</v>
      </c>
      <c r="B784" s="17">
        <v>1975.0</v>
      </c>
      <c r="C784" s="9" t="s">
        <v>4738</v>
      </c>
      <c r="D784" s="9">
        <v>25.0</v>
      </c>
      <c r="E784" s="18">
        <f t="shared" si="1"/>
        <v>27662</v>
      </c>
      <c r="F784" s="9">
        <v>1.0</v>
      </c>
      <c r="G784" s="19">
        <v>31897.1</v>
      </c>
      <c r="H784" s="9" t="s">
        <v>4723</v>
      </c>
      <c r="I784" s="9" t="s">
        <v>4717</v>
      </c>
      <c r="J784" s="9" t="s">
        <v>4719</v>
      </c>
      <c r="K784" s="20">
        <f t="shared" si="2"/>
        <v>1975</v>
      </c>
      <c r="L784" s="9" t="str">
        <f t="shared" si="3"/>
        <v>tier - 2</v>
      </c>
      <c r="M784" s="9" t="str">
        <f t="shared" si="4"/>
        <v>tier - 3</v>
      </c>
      <c r="N784" s="9" t="str">
        <f t="shared" si="5"/>
        <v>R1011</v>
      </c>
      <c r="O784" s="17">
        <f t="shared" si="6"/>
        <v>47</v>
      </c>
      <c r="P784" s="18">
        <v>27662.0</v>
      </c>
    </row>
    <row r="785" ht="15.75" customHeight="1">
      <c r="A785" s="9" t="s">
        <v>589</v>
      </c>
      <c r="B785" s="17">
        <v>1972.0</v>
      </c>
      <c r="C785" s="9" t="s">
        <v>4738</v>
      </c>
      <c r="D785" s="9">
        <v>21.0</v>
      </c>
      <c r="E785" s="18">
        <f t="shared" si="1"/>
        <v>26563</v>
      </c>
      <c r="F785" s="9">
        <v>0.0</v>
      </c>
      <c r="G785" s="19">
        <v>31980.89</v>
      </c>
      <c r="H785" s="9" t="s">
        <v>4723</v>
      </c>
      <c r="I785" s="9" t="s">
        <v>4718</v>
      </c>
      <c r="J785" s="9" t="s">
        <v>4719</v>
      </c>
      <c r="K785" s="20">
        <f t="shared" si="2"/>
        <v>1972</v>
      </c>
      <c r="L785" s="9" t="str">
        <f t="shared" si="3"/>
        <v>tier - 2</v>
      </c>
      <c r="M785" s="9" t="str">
        <f t="shared" si="4"/>
        <v>tier - 1</v>
      </c>
      <c r="N785" s="9" t="str">
        <f t="shared" si="5"/>
        <v>R1011</v>
      </c>
      <c r="O785" s="17">
        <f t="shared" si="6"/>
        <v>50</v>
      </c>
      <c r="P785" s="18">
        <v>26563.0</v>
      </c>
    </row>
    <row r="786" ht="15.75" customHeight="1">
      <c r="A786" s="9" t="s">
        <v>587</v>
      </c>
      <c r="B786" s="17">
        <v>1993.0</v>
      </c>
      <c r="C786" s="9" t="s">
        <v>4738</v>
      </c>
      <c r="D786" s="9">
        <v>13.0</v>
      </c>
      <c r="E786" s="18">
        <f t="shared" si="1"/>
        <v>34225</v>
      </c>
      <c r="F786" s="9">
        <v>0.0</v>
      </c>
      <c r="G786" s="19">
        <v>32086.21</v>
      </c>
      <c r="H786" s="9" t="s">
        <v>4718</v>
      </c>
      <c r="I786" s="9" t="s">
        <v>4717</v>
      </c>
      <c r="J786" s="9" t="s">
        <v>4719</v>
      </c>
      <c r="K786" s="20">
        <f t="shared" si="2"/>
        <v>1993</v>
      </c>
      <c r="L786" s="9" t="str">
        <f t="shared" si="3"/>
        <v>tier - 1</v>
      </c>
      <c r="M786" s="9" t="str">
        <f t="shared" si="4"/>
        <v>tier - 3</v>
      </c>
      <c r="N786" s="9" t="str">
        <f t="shared" si="5"/>
        <v>R1011</v>
      </c>
      <c r="O786" s="17">
        <f t="shared" si="6"/>
        <v>29</v>
      </c>
      <c r="P786" s="18">
        <v>34225.0</v>
      </c>
    </row>
    <row r="787" ht="15.75" customHeight="1">
      <c r="A787" s="9" t="s">
        <v>585</v>
      </c>
      <c r="B787" s="17">
        <v>1978.0</v>
      </c>
      <c r="C787" s="9" t="s">
        <v>4735</v>
      </c>
      <c r="D787" s="9">
        <v>10.0</v>
      </c>
      <c r="E787" s="18">
        <f t="shared" si="1"/>
        <v>28804</v>
      </c>
      <c r="F787" s="9">
        <v>2.0</v>
      </c>
      <c r="G787" s="19">
        <v>32108.66</v>
      </c>
      <c r="H787" s="9" t="s">
        <v>4718</v>
      </c>
      <c r="I787" s="9" t="s">
        <v>4717</v>
      </c>
      <c r="J787" s="9" t="s">
        <v>4753</v>
      </c>
      <c r="K787" s="20">
        <f t="shared" si="2"/>
        <v>1978</v>
      </c>
      <c r="L787" s="9" t="str">
        <f t="shared" si="3"/>
        <v>tier - 1</v>
      </c>
      <c r="M787" s="9" t="str">
        <f t="shared" si="4"/>
        <v>tier - 3</v>
      </c>
      <c r="N787" s="9" t="str">
        <f t="shared" si="5"/>
        <v>R1017</v>
      </c>
      <c r="O787" s="17">
        <f t="shared" si="6"/>
        <v>44</v>
      </c>
      <c r="P787" s="18">
        <v>28804.0</v>
      </c>
    </row>
    <row r="788" ht="15.75" customHeight="1">
      <c r="A788" s="9" t="s">
        <v>583</v>
      </c>
      <c r="B788" s="17">
        <v>1969.0</v>
      </c>
      <c r="C788" s="9" t="s">
        <v>4738</v>
      </c>
      <c r="D788" s="9">
        <v>11.0</v>
      </c>
      <c r="E788" s="18">
        <f t="shared" si="1"/>
        <v>25457</v>
      </c>
      <c r="F788" s="9">
        <v>0.0</v>
      </c>
      <c r="G788" s="19">
        <v>32192.76</v>
      </c>
      <c r="H788" s="9" t="s">
        <v>4718</v>
      </c>
      <c r="I788" s="9" t="s">
        <v>4723</v>
      </c>
      <c r="J788" s="9" t="s">
        <v>4719</v>
      </c>
      <c r="K788" s="20">
        <f t="shared" si="2"/>
        <v>1969</v>
      </c>
      <c r="L788" s="9" t="str">
        <f t="shared" si="3"/>
        <v>tier - 1</v>
      </c>
      <c r="M788" s="9" t="str">
        <f t="shared" si="4"/>
        <v>tier - 2</v>
      </c>
      <c r="N788" s="9" t="str">
        <f t="shared" si="5"/>
        <v>R1011</v>
      </c>
      <c r="O788" s="17">
        <f t="shared" si="6"/>
        <v>53</v>
      </c>
      <c r="P788" s="18">
        <v>25457.0</v>
      </c>
    </row>
    <row r="789" ht="15.75" customHeight="1">
      <c r="A789" s="9" t="s">
        <v>581</v>
      </c>
      <c r="B789" s="17">
        <v>1994.0</v>
      </c>
      <c r="C789" s="9" t="s">
        <v>4738</v>
      </c>
      <c r="D789" s="9">
        <v>8.0</v>
      </c>
      <c r="E789" s="18">
        <f t="shared" si="1"/>
        <v>34585</v>
      </c>
      <c r="F789" s="9">
        <v>0.0</v>
      </c>
      <c r="G789" s="19">
        <v>32222.81</v>
      </c>
      <c r="H789" s="9" t="s">
        <v>4723</v>
      </c>
      <c r="I789" s="9" t="s">
        <v>4718</v>
      </c>
      <c r="J789" s="9" t="s">
        <v>4719</v>
      </c>
      <c r="K789" s="20">
        <f t="shared" si="2"/>
        <v>1994</v>
      </c>
      <c r="L789" s="9" t="str">
        <f t="shared" si="3"/>
        <v>tier - 2</v>
      </c>
      <c r="M789" s="9" t="str">
        <f t="shared" si="4"/>
        <v>tier - 1</v>
      </c>
      <c r="N789" s="9" t="str">
        <f t="shared" si="5"/>
        <v>R1011</v>
      </c>
      <c r="O789" s="17">
        <f t="shared" si="6"/>
        <v>28</v>
      </c>
      <c r="P789" s="18">
        <v>34585.0</v>
      </c>
    </row>
    <row r="790" ht="15.75" customHeight="1">
      <c r="A790" s="9" t="s">
        <v>59</v>
      </c>
      <c r="B790" s="17">
        <v>1961.0</v>
      </c>
      <c r="C790" s="9" t="s">
        <v>4716</v>
      </c>
      <c r="D790" s="9">
        <v>8.0</v>
      </c>
      <c r="E790" s="18">
        <f t="shared" si="1"/>
        <v>22501</v>
      </c>
      <c r="F790" s="9">
        <v>0.0</v>
      </c>
      <c r="G790" s="19">
        <v>46599.11</v>
      </c>
      <c r="H790" s="9" t="s">
        <v>4718</v>
      </c>
      <c r="I790" s="9" t="s">
        <v>4718</v>
      </c>
      <c r="J790" s="9" t="s">
        <v>4743</v>
      </c>
      <c r="K790" s="20">
        <f t="shared" si="2"/>
        <v>1961</v>
      </c>
      <c r="L790" s="9" t="str">
        <f t="shared" si="3"/>
        <v>tier - 1</v>
      </c>
      <c r="M790" s="9" t="str">
        <f t="shared" si="4"/>
        <v>tier - 1</v>
      </c>
      <c r="N790" s="9" t="str">
        <f t="shared" si="5"/>
        <v>R1013</v>
      </c>
      <c r="O790" s="17">
        <f t="shared" si="6"/>
        <v>61</v>
      </c>
      <c r="P790" s="18">
        <v>22501.0</v>
      </c>
    </row>
    <row r="791" ht="15.75" customHeight="1">
      <c r="A791" s="9" t="s">
        <v>579</v>
      </c>
      <c r="B791" s="17">
        <v>1975.0</v>
      </c>
      <c r="C791" s="9" t="s">
        <v>4725</v>
      </c>
      <c r="D791" s="9">
        <v>17.0</v>
      </c>
      <c r="E791" s="18">
        <f t="shared" si="1"/>
        <v>27745</v>
      </c>
      <c r="F791" s="9">
        <v>1.0</v>
      </c>
      <c r="G791" s="19">
        <v>32259.96</v>
      </c>
      <c r="H791" s="9" t="s">
        <v>4723</v>
      </c>
      <c r="I791" s="9" t="s">
        <v>4717</v>
      </c>
      <c r="J791" s="9" t="s">
        <v>4733</v>
      </c>
      <c r="K791" s="20">
        <f t="shared" si="2"/>
        <v>1975</v>
      </c>
      <c r="L791" s="9" t="str">
        <f t="shared" si="3"/>
        <v>tier - 2</v>
      </c>
      <c r="M791" s="9" t="str">
        <f t="shared" si="4"/>
        <v>tier - 3</v>
      </c>
      <c r="N791" s="9" t="str">
        <f t="shared" si="5"/>
        <v>R1012</v>
      </c>
      <c r="O791" s="17">
        <f t="shared" si="6"/>
        <v>47</v>
      </c>
      <c r="P791" s="18">
        <v>27745.0</v>
      </c>
    </row>
    <row r="792" ht="15.75" customHeight="1">
      <c r="A792" s="9" t="s">
        <v>577</v>
      </c>
      <c r="B792" s="17">
        <v>1986.0</v>
      </c>
      <c r="C792" s="9" t="s">
        <v>4725</v>
      </c>
      <c r="D792" s="9">
        <v>2.0</v>
      </c>
      <c r="E792" s="18">
        <f t="shared" si="1"/>
        <v>31748</v>
      </c>
      <c r="F792" s="9">
        <v>3.0</v>
      </c>
      <c r="G792" s="19">
        <v>32288.49</v>
      </c>
      <c r="H792" s="9" t="s">
        <v>4723</v>
      </c>
      <c r="I792" s="9" t="s">
        <v>4723</v>
      </c>
      <c r="J792" s="9" t="s">
        <v>4719</v>
      </c>
      <c r="K792" s="20">
        <f t="shared" si="2"/>
        <v>1986</v>
      </c>
      <c r="L792" s="9" t="str">
        <f t="shared" si="3"/>
        <v>tier - 2</v>
      </c>
      <c r="M792" s="9" t="str">
        <f t="shared" si="4"/>
        <v>tier - 2</v>
      </c>
      <c r="N792" s="9" t="str">
        <f t="shared" si="5"/>
        <v>R1011</v>
      </c>
      <c r="O792" s="17">
        <f t="shared" si="6"/>
        <v>36</v>
      </c>
      <c r="P792" s="18">
        <v>31748.0</v>
      </c>
    </row>
    <row r="793" ht="15.75" customHeight="1">
      <c r="A793" s="9" t="s">
        <v>575</v>
      </c>
      <c r="B793" s="17">
        <v>1972.0</v>
      </c>
      <c r="C793" s="9" t="s">
        <v>4720</v>
      </c>
      <c r="D793" s="9">
        <v>19.0</v>
      </c>
      <c r="E793" s="18">
        <f t="shared" si="1"/>
        <v>26591</v>
      </c>
      <c r="F793" s="9">
        <v>0.0</v>
      </c>
      <c r="G793" s="19">
        <v>32428.63</v>
      </c>
      <c r="H793" s="9" t="s">
        <v>4723</v>
      </c>
      <c r="I793" s="9" t="s">
        <v>4723</v>
      </c>
      <c r="J793" s="9" t="s">
        <v>4719</v>
      </c>
      <c r="K793" s="20">
        <f t="shared" si="2"/>
        <v>1972</v>
      </c>
      <c r="L793" s="9" t="str">
        <f t="shared" si="3"/>
        <v>tier - 2</v>
      </c>
      <c r="M793" s="9" t="str">
        <f t="shared" si="4"/>
        <v>tier - 2</v>
      </c>
      <c r="N793" s="9" t="str">
        <f t="shared" si="5"/>
        <v>R1011</v>
      </c>
      <c r="O793" s="17">
        <f t="shared" si="6"/>
        <v>50</v>
      </c>
      <c r="P793" s="18">
        <v>26591.0</v>
      </c>
    </row>
    <row r="794" ht="15.75" customHeight="1">
      <c r="A794" s="9" t="s">
        <v>573</v>
      </c>
      <c r="B794" s="17">
        <v>1976.0</v>
      </c>
      <c r="C794" s="9" t="s">
        <v>4716</v>
      </c>
      <c r="D794" s="9">
        <v>9.0</v>
      </c>
      <c r="E794" s="18">
        <f t="shared" si="1"/>
        <v>27981</v>
      </c>
      <c r="F794" s="9">
        <v>2.0</v>
      </c>
      <c r="G794" s="19">
        <v>32430.22</v>
      </c>
      <c r="H794" s="9" t="s">
        <v>4723</v>
      </c>
      <c r="I794" s="9" t="s">
        <v>4717</v>
      </c>
      <c r="J794" s="9" t="s">
        <v>4719</v>
      </c>
      <c r="K794" s="20">
        <f t="shared" si="2"/>
        <v>1976</v>
      </c>
      <c r="L794" s="9" t="str">
        <f t="shared" si="3"/>
        <v>tier - 2</v>
      </c>
      <c r="M794" s="9" t="str">
        <f t="shared" si="4"/>
        <v>tier - 3</v>
      </c>
      <c r="N794" s="9" t="str">
        <f t="shared" si="5"/>
        <v>R1011</v>
      </c>
      <c r="O794" s="17">
        <f t="shared" si="6"/>
        <v>46</v>
      </c>
      <c r="P794" s="18">
        <v>27981.0</v>
      </c>
    </row>
    <row r="795" ht="15.75" customHeight="1">
      <c r="A795" s="9" t="s">
        <v>571</v>
      </c>
      <c r="B795" s="17">
        <v>1981.0</v>
      </c>
      <c r="C795" s="9" t="s">
        <v>4738</v>
      </c>
      <c r="D795" s="9">
        <v>27.0</v>
      </c>
      <c r="E795" s="18">
        <f t="shared" si="1"/>
        <v>29856</v>
      </c>
      <c r="F795" s="9">
        <v>1.0</v>
      </c>
      <c r="G795" s="19">
        <v>32462.35</v>
      </c>
      <c r="H795" s="9" t="s">
        <v>4723</v>
      </c>
      <c r="I795" s="9" t="s">
        <v>4723</v>
      </c>
      <c r="J795" s="9" t="s">
        <v>4719</v>
      </c>
      <c r="K795" s="20">
        <f t="shared" si="2"/>
        <v>1981</v>
      </c>
      <c r="L795" s="9" t="str">
        <f t="shared" si="3"/>
        <v>tier - 2</v>
      </c>
      <c r="M795" s="9" t="str">
        <f t="shared" si="4"/>
        <v>tier - 2</v>
      </c>
      <c r="N795" s="9" t="str">
        <f t="shared" si="5"/>
        <v>R1011</v>
      </c>
      <c r="O795" s="17">
        <f t="shared" si="6"/>
        <v>41</v>
      </c>
      <c r="P795" s="18">
        <v>29856.0</v>
      </c>
    </row>
    <row r="796" ht="15.75" customHeight="1">
      <c r="A796" s="9" t="s">
        <v>569</v>
      </c>
      <c r="B796" s="17">
        <v>1976.0</v>
      </c>
      <c r="C796" s="9" t="s">
        <v>4738</v>
      </c>
      <c r="D796" s="9">
        <v>19.0</v>
      </c>
      <c r="E796" s="18">
        <f t="shared" si="1"/>
        <v>28022</v>
      </c>
      <c r="F796" s="9">
        <v>2.0</v>
      </c>
      <c r="G796" s="19">
        <v>32485.46</v>
      </c>
      <c r="H796" s="9" t="s">
        <v>4723</v>
      </c>
      <c r="I796" s="9" t="s">
        <v>4718</v>
      </c>
      <c r="J796" s="9" t="s">
        <v>4719</v>
      </c>
      <c r="K796" s="20">
        <f t="shared" si="2"/>
        <v>1976</v>
      </c>
      <c r="L796" s="9" t="str">
        <f t="shared" si="3"/>
        <v>tier - 2</v>
      </c>
      <c r="M796" s="9" t="str">
        <f t="shared" si="4"/>
        <v>tier - 1</v>
      </c>
      <c r="N796" s="9" t="str">
        <f t="shared" si="5"/>
        <v>R1011</v>
      </c>
      <c r="O796" s="17">
        <f t="shared" si="6"/>
        <v>46</v>
      </c>
      <c r="P796" s="18">
        <v>28022.0</v>
      </c>
    </row>
    <row r="797" ht="15.75" customHeight="1">
      <c r="A797" s="9" t="s">
        <v>567</v>
      </c>
      <c r="B797" s="17">
        <v>2003.0</v>
      </c>
      <c r="C797" s="9" t="s">
        <v>4720</v>
      </c>
      <c r="D797" s="9">
        <v>8.0</v>
      </c>
      <c r="E797" s="18">
        <f t="shared" si="1"/>
        <v>37902</v>
      </c>
      <c r="F797" s="9">
        <v>0.0</v>
      </c>
      <c r="G797" s="19">
        <v>32548.34</v>
      </c>
      <c r="H797" s="9" t="s">
        <v>4718</v>
      </c>
      <c r="I797" s="9" t="s">
        <v>4723</v>
      </c>
      <c r="J797" s="9" t="s">
        <v>4743</v>
      </c>
      <c r="K797" s="20">
        <f t="shared" si="2"/>
        <v>2003</v>
      </c>
      <c r="L797" s="9" t="str">
        <f t="shared" si="3"/>
        <v>tier - 1</v>
      </c>
      <c r="M797" s="9" t="str">
        <f t="shared" si="4"/>
        <v>tier - 2</v>
      </c>
      <c r="N797" s="9" t="str">
        <f t="shared" si="5"/>
        <v>R1013</v>
      </c>
      <c r="O797" s="17">
        <f t="shared" si="6"/>
        <v>19</v>
      </c>
      <c r="P797" s="18">
        <v>37902.0</v>
      </c>
    </row>
    <row r="798" ht="15.75" customHeight="1">
      <c r="A798" s="9" t="s">
        <v>565</v>
      </c>
      <c r="B798" s="17">
        <v>1990.0</v>
      </c>
      <c r="C798" s="9" t="s">
        <v>4741</v>
      </c>
      <c r="D798" s="9">
        <v>13.0</v>
      </c>
      <c r="E798" s="18">
        <f t="shared" si="1"/>
        <v>33067</v>
      </c>
      <c r="F798" s="9">
        <v>3.0</v>
      </c>
      <c r="G798" s="19">
        <v>32672.11</v>
      </c>
      <c r="H798" s="9" t="s">
        <v>4718</v>
      </c>
      <c r="I798" s="9" t="s">
        <v>4718</v>
      </c>
      <c r="J798" s="9" t="s">
        <v>4719</v>
      </c>
      <c r="K798" s="20">
        <f t="shared" si="2"/>
        <v>1990</v>
      </c>
      <c r="L798" s="9" t="str">
        <f t="shared" si="3"/>
        <v>tier - 1</v>
      </c>
      <c r="M798" s="9" t="str">
        <f t="shared" si="4"/>
        <v>tier - 1</v>
      </c>
      <c r="N798" s="9" t="str">
        <f t="shared" si="5"/>
        <v>R1011</v>
      </c>
      <c r="O798" s="17">
        <f t="shared" si="6"/>
        <v>32</v>
      </c>
      <c r="P798" s="18">
        <v>33067.0</v>
      </c>
    </row>
    <row r="799" ht="15.75" customHeight="1">
      <c r="A799" s="9" t="s">
        <v>563</v>
      </c>
      <c r="B799" s="17">
        <v>1968.0</v>
      </c>
      <c r="C799" s="9" t="s">
        <v>4735</v>
      </c>
      <c r="D799" s="9">
        <v>1.0</v>
      </c>
      <c r="E799" s="18">
        <f t="shared" si="1"/>
        <v>25143</v>
      </c>
      <c r="F799" s="9">
        <v>0.0</v>
      </c>
      <c r="G799" s="19">
        <v>32686.08</v>
      </c>
      <c r="H799" s="9" t="s">
        <v>4723</v>
      </c>
      <c r="I799" s="9" t="s">
        <v>4717</v>
      </c>
      <c r="J799" s="9" t="s">
        <v>4719</v>
      </c>
      <c r="K799" s="20">
        <f t="shared" si="2"/>
        <v>1968</v>
      </c>
      <c r="L799" s="9" t="str">
        <f t="shared" si="3"/>
        <v>tier - 2</v>
      </c>
      <c r="M799" s="9" t="str">
        <f t="shared" si="4"/>
        <v>tier - 3</v>
      </c>
      <c r="N799" s="9" t="str">
        <f t="shared" si="5"/>
        <v>R1011</v>
      </c>
      <c r="O799" s="17">
        <f t="shared" si="6"/>
        <v>54</v>
      </c>
      <c r="P799" s="18">
        <v>25143.0</v>
      </c>
    </row>
    <row r="800" ht="15.75" customHeight="1">
      <c r="A800" s="9" t="s">
        <v>561</v>
      </c>
      <c r="B800" s="17">
        <v>1990.0</v>
      </c>
      <c r="C800" s="9" t="s">
        <v>4738</v>
      </c>
      <c r="D800" s="9">
        <v>30.0</v>
      </c>
      <c r="E800" s="18">
        <f t="shared" si="1"/>
        <v>33146</v>
      </c>
      <c r="F800" s="9">
        <v>3.0</v>
      </c>
      <c r="G800" s="19">
        <v>32716.2</v>
      </c>
      <c r="H800" s="9" t="s">
        <v>4718</v>
      </c>
      <c r="I800" s="9" t="s">
        <v>4723</v>
      </c>
      <c r="J800" s="9" t="s">
        <v>4719</v>
      </c>
      <c r="K800" s="20">
        <f t="shared" si="2"/>
        <v>1990</v>
      </c>
      <c r="L800" s="9" t="str">
        <f t="shared" si="3"/>
        <v>tier - 1</v>
      </c>
      <c r="M800" s="9" t="str">
        <f t="shared" si="4"/>
        <v>tier - 2</v>
      </c>
      <c r="N800" s="9" t="str">
        <f t="shared" si="5"/>
        <v>R1011</v>
      </c>
      <c r="O800" s="17">
        <f t="shared" si="6"/>
        <v>32</v>
      </c>
      <c r="P800" s="18">
        <v>33146.0</v>
      </c>
    </row>
    <row r="801" ht="15.75" customHeight="1">
      <c r="A801" s="9" t="s">
        <v>57</v>
      </c>
      <c r="B801" s="17">
        <v>1969.0</v>
      </c>
      <c r="C801" s="9" t="s">
        <v>4730</v>
      </c>
      <c r="D801" s="9">
        <v>23.0</v>
      </c>
      <c r="E801" s="18">
        <f t="shared" si="1"/>
        <v>25377</v>
      </c>
      <c r="F801" s="9">
        <v>3.0</v>
      </c>
      <c r="G801" s="19">
        <v>46661.44</v>
      </c>
      <c r="H801" s="9" t="s">
        <v>4718</v>
      </c>
      <c r="I801" s="9" t="s">
        <v>4717</v>
      </c>
      <c r="J801" s="9" t="s">
        <v>4733</v>
      </c>
      <c r="K801" s="20">
        <f t="shared" si="2"/>
        <v>1969</v>
      </c>
      <c r="L801" s="9" t="str">
        <f t="shared" si="3"/>
        <v>tier - 1</v>
      </c>
      <c r="M801" s="9" t="str">
        <f t="shared" si="4"/>
        <v>tier - 3</v>
      </c>
      <c r="N801" s="9" t="str">
        <f t="shared" si="5"/>
        <v>R1012</v>
      </c>
      <c r="O801" s="17">
        <f t="shared" si="6"/>
        <v>53</v>
      </c>
      <c r="P801" s="18">
        <v>25377.0</v>
      </c>
    </row>
    <row r="802" ht="15.75" customHeight="1">
      <c r="A802" s="9" t="s">
        <v>559</v>
      </c>
      <c r="B802" s="17">
        <v>1990.0</v>
      </c>
      <c r="C802" s="9" t="s">
        <v>4741</v>
      </c>
      <c r="D802" s="9">
        <v>9.0</v>
      </c>
      <c r="E802" s="18">
        <f t="shared" si="1"/>
        <v>33063</v>
      </c>
      <c r="F802" s="9">
        <v>2.0</v>
      </c>
      <c r="G802" s="19">
        <v>32734.19</v>
      </c>
      <c r="H802" s="9" t="s">
        <v>4723</v>
      </c>
      <c r="I802" s="9" t="s">
        <v>4718</v>
      </c>
      <c r="J802" s="9" t="s">
        <v>4733</v>
      </c>
      <c r="K802" s="20">
        <f t="shared" si="2"/>
        <v>1990</v>
      </c>
      <c r="L802" s="9" t="str">
        <f t="shared" si="3"/>
        <v>tier - 2</v>
      </c>
      <c r="M802" s="9" t="str">
        <f t="shared" si="4"/>
        <v>tier - 1</v>
      </c>
      <c r="N802" s="9" t="str">
        <f t="shared" si="5"/>
        <v>R1012</v>
      </c>
      <c r="O802" s="17">
        <f t="shared" si="6"/>
        <v>32</v>
      </c>
      <c r="P802" s="18">
        <v>33063.0</v>
      </c>
    </row>
    <row r="803" ht="15.75" customHeight="1">
      <c r="A803" s="9" t="s">
        <v>557</v>
      </c>
      <c r="B803" s="17">
        <v>1974.0</v>
      </c>
      <c r="C803" s="9" t="s">
        <v>4725</v>
      </c>
      <c r="D803" s="9">
        <v>6.0</v>
      </c>
      <c r="E803" s="18">
        <f t="shared" si="1"/>
        <v>27369</v>
      </c>
      <c r="F803" s="9">
        <v>0.0</v>
      </c>
      <c r="G803" s="19">
        <v>32760.48</v>
      </c>
      <c r="H803" s="9" t="s">
        <v>4718</v>
      </c>
      <c r="I803" s="9" t="s">
        <v>4718</v>
      </c>
      <c r="J803" s="9" t="s">
        <v>4719</v>
      </c>
      <c r="K803" s="20">
        <f t="shared" si="2"/>
        <v>1974</v>
      </c>
      <c r="L803" s="9" t="str">
        <f t="shared" si="3"/>
        <v>tier - 1</v>
      </c>
      <c r="M803" s="9" t="str">
        <f t="shared" si="4"/>
        <v>tier - 1</v>
      </c>
      <c r="N803" s="9" t="str">
        <f t="shared" si="5"/>
        <v>R1011</v>
      </c>
      <c r="O803" s="17">
        <f t="shared" si="6"/>
        <v>48</v>
      </c>
      <c r="P803" s="18">
        <v>27369.0</v>
      </c>
    </row>
    <row r="804" ht="15.75" customHeight="1">
      <c r="A804" s="9" t="s">
        <v>555</v>
      </c>
      <c r="B804" s="17">
        <v>1972.0</v>
      </c>
      <c r="C804" s="9" t="s">
        <v>4735</v>
      </c>
      <c r="D804" s="9">
        <v>7.0</v>
      </c>
      <c r="E804" s="18">
        <f t="shared" si="1"/>
        <v>26610</v>
      </c>
      <c r="F804" s="9">
        <v>0.0</v>
      </c>
      <c r="G804" s="19">
        <v>32765.33</v>
      </c>
      <c r="H804" s="9" t="s">
        <v>4723</v>
      </c>
      <c r="I804" s="9" t="s">
        <v>4723</v>
      </c>
      <c r="J804" s="9" t="s">
        <v>4733</v>
      </c>
      <c r="K804" s="20">
        <f t="shared" si="2"/>
        <v>1972</v>
      </c>
      <c r="L804" s="9" t="str">
        <f t="shared" si="3"/>
        <v>tier - 2</v>
      </c>
      <c r="M804" s="9" t="str">
        <f t="shared" si="4"/>
        <v>tier - 2</v>
      </c>
      <c r="N804" s="9" t="str">
        <f t="shared" si="5"/>
        <v>R1012</v>
      </c>
      <c r="O804" s="17">
        <f t="shared" si="6"/>
        <v>50</v>
      </c>
      <c r="P804" s="18">
        <v>26610.0</v>
      </c>
    </row>
    <row r="805" ht="15.75" customHeight="1">
      <c r="A805" s="9" t="s">
        <v>553</v>
      </c>
      <c r="B805" s="17">
        <v>1980.0</v>
      </c>
      <c r="C805" s="9" t="s">
        <v>4725</v>
      </c>
      <c r="D805" s="9">
        <v>12.0</v>
      </c>
      <c r="E805" s="18">
        <f t="shared" si="1"/>
        <v>29567</v>
      </c>
      <c r="F805" s="9">
        <v>3.0</v>
      </c>
      <c r="G805" s="19">
        <v>32787.46</v>
      </c>
      <c r="H805" s="9" t="s">
        <v>4718</v>
      </c>
      <c r="I805" s="9" t="s">
        <v>4717</v>
      </c>
      <c r="J805" s="9" t="s">
        <v>4733</v>
      </c>
      <c r="K805" s="20">
        <f t="shared" si="2"/>
        <v>1980</v>
      </c>
      <c r="L805" s="9" t="str">
        <f t="shared" si="3"/>
        <v>tier - 1</v>
      </c>
      <c r="M805" s="9" t="str">
        <f t="shared" si="4"/>
        <v>tier - 3</v>
      </c>
      <c r="N805" s="9" t="str">
        <f t="shared" si="5"/>
        <v>R1012</v>
      </c>
      <c r="O805" s="17">
        <f t="shared" si="6"/>
        <v>42</v>
      </c>
      <c r="P805" s="18">
        <v>29567.0</v>
      </c>
    </row>
    <row r="806" ht="15.75" customHeight="1">
      <c r="A806" s="9" t="s">
        <v>551</v>
      </c>
      <c r="B806" s="17">
        <v>1995.0</v>
      </c>
      <c r="C806" s="9" t="s">
        <v>4725</v>
      </c>
      <c r="D806" s="9">
        <v>4.0</v>
      </c>
      <c r="E806" s="18">
        <f t="shared" si="1"/>
        <v>35037</v>
      </c>
      <c r="F806" s="9">
        <v>0.0</v>
      </c>
      <c r="G806" s="19">
        <v>32827.51</v>
      </c>
      <c r="H806" s="9" t="s">
        <v>4718</v>
      </c>
      <c r="I806" s="9" t="s">
        <v>4723</v>
      </c>
      <c r="J806" s="9" t="s">
        <v>4719</v>
      </c>
      <c r="K806" s="20">
        <f t="shared" si="2"/>
        <v>1995</v>
      </c>
      <c r="L806" s="9" t="str">
        <f t="shared" si="3"/>
        <v>tier - 1</v>
      </c>
      <c r="M806" s="9" t="str">
        <f t="shared" si="4"/>
        <v>tier - 2</v>
      </c>
      <c r="N806" s="9" t="str">
        <f t="shared" si="5"/>
        <v>R1011</v>
      </c>
      <c r="O806" s="17">
        <f t="shared" si="6"/>
        <v>27</v>
      </c>
      <c r="P806" s="18">
        <v>35037.0</v>
      </c>
    </row>
    <row r="807" ht="15.75" customHeight="1">
      <c r="A807" s="9" t="s">
        <v>549</v>
      </c>
      <c r="B807" s="17">
        <v>1981.0</v>
      </c>
      <c r="C807" s="9" t="s">
        <v>4735</v>
      </c>
      <c r="D807" s="9">
        <v>17.0</v>
      </c>
      <c r="E807" s="18">
        <f t="shared" si="1"/>
        <v>29907</v>
      </c>
      <c r="F807" s="9">
        <v>1.0</v>
      </c>
      <c r="G807" s="19">
        <v>32906.69</v>
      </c>
      <c r="H807" s="9" t="s">
        <v>4723</v>
      </c>
      <c r="I807" s="9" t="s">
        <v>4717</v>
      </c>
      <c r="J807" s="9" t="s">
        <v>4719</v>
      </c>
      <c r="K807" s="20">
        <f t="shared" si="2"/>
        <v>1981</v>
      </c>
      <c r="L807" s="9" t="str">
        <f t="shared" si="3"/>
        <v>tier - 2</v>
      </c>
      <c r="M807" s="9" t="str">
        <f t="shared" si="4"/>
        <v>tier - 3</v>
      </c>
      <c r="N807" s="9" t="str">
        <f t="shared" si="5"/>
        <v>R1011</v>
      </c>
      <c r="O807" s="17">
        <f t="shared" si="6"/>
        <v>41</v>
      </c>
      <c r="P807" s="18">
        <v>29907.0</v>
      </c>
    </row>
    <row r="808" ht="15.75" customHeight="1">
      <c r="A808" s="9" t="s">
        <v>547</v>
      </c>
      <c r="B808" s="17">
        <v>1971.0</v>
      </c>
      <c r="C808" s="9" t="s">
        <v>4716</v>
      </c>
      <c r="D808" s="9">
        <v>24.0</v>
      </c>
      <c r="E808" s="18">
        <f t="shared" si="1"/>
        <v>26169</v>
      </c>
      <c r="F808" s="9">
        <v>0.0</v>
      </c>
      <c r="G808" s="19">
        <v>32947.63</v>
      </c>
      <c r="H808" s="9" t="s">
        <v>4723</v>
      </c>
      <c r="I808" s="9" t="s">
        <v>4718</v>
      </c>
      <c r="J808" s="9" t="s">
        <v>4719</v>
      </c>
      <c r="K808" s="20">
        <f t="shared" si="2"/>
        <v>1971</v>
      </c>
      <c r="L808" s="9" t="str">
        <f t="shared" si="3"/>
        <v>tier - 2</v>
      </c>
      <c r="M808" s="9" t="str">
        <f t="shared" si="4"/>
        <v>tier - 1</v>
      </c>
      <c r="N808" s="9" t="str">
        <f t="shared" si="5"/>
        <v>R1011</v>
      </c>
      <c r="O808" s="17">
        <f t="shared" si="6"/>
        <v>51</v>
      </c>
      <c r="P808" s="18">
        <v>26169.0</v>
      </c>
    </row>
    <row r="809" ht="15.75" customHeight="1">
      <c r="A809" s="9" t="s">
        <v>545</v>
      </c>
      <c r="B809" s="17">
        <v>1995.0</v>
      </c>
      <c r="C809" s="9" t="s">
        <v>4741</v>
      </c>
      <c r="D809" s="9">
        <v>8.0</v>
      </c>
      <c r="E809" s="18">
        <f t="shared" si="1"/>
        <v>34888</v>
      </c>
      <c r="F809" s="9">
        <v>0.0</v>
      </c>
      <c r="G809" s="19">
        <v>33017.46</v>
      </c>
      <c r="H809" s="9" t="s">
        <v>4718</v>
      </c>
      <c r="I809" s="9" t="s">
        <v>4718</v>
      </c>
      <c r="J809" s="9" t="s">
        <v>4719</v>
      </c>
      <c r="K809" s="20">
        <f t="shared" si="2"/>
        <v>1995</v>
      </c>
      <c r="L809" s="9" t="str">
        <f t="shared" si="3"/>
        <v>tier - 1</v>
      </c>
      <c r="M809" s="9" t="str">
        <f t="shared" si="4"/>
        <v>tier - 1</v>
      </c>
      <c r="N809" s="9" t="str">
        <f t="shared" si="5"/>
        <v>R1011</v>
      </c>
      <c r="O809" s="17">
        <f t="shared" si="6"/>
        <v>27</v>
      </c>
      <c r="P809" s="18">
        <v>34888.0</v>
      </c>
    </row>
    <row r="810" ht="15.75" customHeight="1">
      <c r="A810" s="9" t="s">
        <v>543</v>
      </c>
      <c r="B810" s="17">
        <v>1967.0</v>
      </c>
      <c r="C810" s="9" t="s">
        <v>4741</v>
      </c>
      <c r="D810" s="9">
        <v>10.0</v>
      </c>
      <c r="E810" s="18">
        <f t="shared" si="1"/>
        <v>24663</v>
      </c>
      <c r="F810" s="9">
        <v>0.0</v>
      </c>
      <c r="G810" s="19">
        <v>33025.32</v>
      </c>
      <c r="H810" s="9" t="s">
        <v>4723</v>
      </c>
      <c r="I810" s="9" t="s">
        <v>4717</v>
      </c>
      <c r="J810" s="9" t="s">
        <v>4719</v>
      </c>
      <c r="K810" s="20">
        <f t="shared" si="2"/>
        <v>1967</v>
      </c>
      <c r="L810" s="9" t="str">
        <f t="shared" si="3"/>
        <v>tier - 2</v>
      </c>
      <c r="M810" s="9" t="str">
        <f t="shared" si="4"/>
        <v>tier - 3</v>
      </c>
      <c r="N810" s="9" t="str">
        <f t="shared" si="5"/>
        <v>R1011</v>
      </c>
      <c r="O810" s="17">
        <f t="shared" si="6"/>
        <v>55</v>
      </c>
      <c r="P810" s="18">
        <v>24663.0</v>
      </c>
    </row>
    <row r="811" ht="15.75" customHeight="1">
      <c r="A811" s="9" t="s">
        <v>541</v>
      </c>
      <c r="B811" s="17">
        <v>1994.0</v>
      </c>
      <c r="C811" s="9" t="s">
        <v>4741</v>
      </c>
      <c r="D811" s="9">
        <v>28.0</v>
      </c>
      <c r="E811" s="18">
        <f t="shared" si="1"/>
        <v>34543</v>
      </c>
      <c r="F811" s="9">
        <v>0.0</v>
      </c>
      <c r="G811" s="19">
        <v>33057.23</v>
      </c>
      <c r="H811" s="9" t="s">
        <v>4718</v>
      </c>
      <c r="I811" s="9" t="s">
        <v>4723</v>
      </c>
      <c r="J811" s="9" t="s">
        <v>4719</v>
      </c>
      <c r="K811" s="20">
        <f t="shared" si="2"/>
        <v>1994</v>
      </c>
      <c r="L811" s="9" t="str">
        <f t="shared" si="3"/>
        <v>tier - 1</v>
      </c>
      <c r="M811" s="9" t="str">
        <f t="shared" si="4"/>
        <v>tier - 2</v>
      </c>
      <c r="N811" s="9" t="str">
        <f t="shared" si="5"/>
        <v>R1011</v>
      </c>
      <c r="O811" s="17">
        <f t="shared" si="6"/>
        <v>28</v>
      </c>
      <c r="P811" s="18">
        <v>34543.0</v>
      </c>
    </row>
    <row r="812" ht="15.75" customHeight="1">
      <c r="A812" s="9" t="s">
        <v>55</v>
      </c>
      <c r="B812" s="17">
        <v>1960.0</v>
      </c>
      <c r="C812" s="9" t="s">
        <v>4735</v>
      </c>
      <c r="D812" s="9">
        <v>17.0</v>
      </c>
      <c r="E812" s="18">
        <f t="shared" si="1"/>
        <v>22237</v>
      </c>
      <c r="F812" s="9">
        <v>3.0</v>
      </c>
      <c r="G812" s="19">
        <v>46718.16</v>
      </c>
      <c r="H812" s="9" t="s">
        <v>4718</v>
      </c>
      <c r="I812" s="9" t="s">
        <v>4718</v>
      </c>
      <c r="J812" s="9" t="s">
        <v>4733</v>
      </c>
      <c r="K812" s="20">
        <f t="shared" si="2"/>
        <v>1960</v>
      </c>
      <c r="L812" s="9" t="str">
        <f t="shared" si="3"/>
        <v>tier - 1</v>
      </c>
      <c r="M812" s="9" t="str">
        <f t="shared" si="4"/>
        <v>tier - 1</v>
      </c>
      <c r="N812" s="9" t="str">
        <f t="shared" si="5"/>
        <v>R1012</v>
      </c>
      <c r="O812" s="17">
        <f t="shared" si="6"/>
        <v>62</v>
      </c>
      <c r="P812" s="18">
        <v>22237.0</v>
      </c>
    </row>
    <row r="813" ht="15.75" customHeight="1">
      <c r="A813" s="9" t="s">
        <v>539</v>
      </c>
      <c r="B813" s="17">
        <v>1962.0</v>
      </c>
      <c r="C813" s="9" t="s">
        <v>4741</v>
      </c>
      <c r="D813" s="9">
        <v>1.0</v>
      </c>
      <c r="E813" s="18">
        <f t="shared" si="1"/>
        <v>22828</v>
      </c>
      <c r="F813" s="9">
        <v>0.0</v>
      </c>
      <c r="G813" s="19">
        <v>33074.94</v>
      </c>
      <c r="H813" s="9" t="s">
        <v>4718</v>
      </c>
      <c r="I813" s="9" t="s">
        <v>4723</v>
      </c>
      <c r="J813" s="9" t="s">
        <v>4719</v>
      </c>
      <c r="K813" s="20">
        <f t="shared" si="2"/>
        <v>1962</v>
      </c>
      <c r="L813" s="9" t="str">
        <f t="shared" si="3"/>
        <v>tier - 1</v>
      </c>
      <c r="M813" s="9" t="str">
        <f t="shared" si="4"/>
        <v>tier - 2</v>
      </c>
      <c r="N813" s="9" t="str">
        <f t="shared" si="5"/>
        <v>R1011</v>
      </c>
      <c r="O813" s="17">
        <f t="shared" si="6"/>
        <v>60</v>
      </c>
      <c r="P813" s="18">
        <v>22828.0</v>
      </c>
    </row>
    <row r="814" ht="15.75" customHeight="1">
      <c r="A814" s="9" t="s">
        <v>537</v>
      </c>
      <c r="B814" s="17">
        <v>1969.0</v>
      </c>
      <c r="C814" s="9" t="s">
        <v>4720</v>
      </c>
      <c r="D814" s="9">
        <v>30.0</v>
      </c>
      <c r="E814" s="18">
        <f t="shared" si="1"/>
        <v>25506</v>
      </c>
      <c r="F814" s="9">
        <v>0.0</v>
      </c>
      <c r="G814" s="19">
        <v>33090.66</v>
      </c>
      <c r="H814" s="9" t="s">
        <v>4723</v>
      </c>
      <c r="I814" s="9" t="s">
        <v>4723</v>
      </c>
      <c r="J814" s="9" t="s">
        <v>4719</v>
      </c>
      <c r="K814" s="20">
        <f t="shared" si="2"/>
        <v>1969</v>
      </c>
      <c r="L814" s="9" t="str">
        <f t="shared" si="3"/>
        <v>tier - 2</v>
      </c>
      <c r="M814" s="9" t="str">
        <f t="shared" si="4"/>
        <v>tier - 2</v>
      </c>
      <c r="N814" s="9" t="str">
        <f t="shared" si="5"/>
        <v>R1011</v>
      </c>
      <c r="O814" s="17">
        <f t="shared" si="6"/>
        <v>53</v>
      </c>
      <c r="P814" s="18">
        <v>25506.0</v>
      </c>
    </row>
    <row r="815" ht="15.75" customHeight="1">
      <c r="A815" s="9" t="s">
        <v>535</v>
      </c>
      <c r="B815" s="17">
        <v>1985.0</v>
      </c>
      <c r="C815" s="9" t="s">
        <v>4741</v>
      </c>
      <c r="D815" s="9">
        <v>15.0</v>
      </c>
      <c r="E815" s="18">
        <f t="shared" si="1"/>
        <v>31243</v>
      </c>
      <c r="F815" s="9">
        <v>3.0</v>
      </c>
      <c r="G815" s="19">
        <v>33121.0</v>
      </c>
      <c r="H815" s="9" t="s">
        <v>4723</v>
      </c>
      <c r="I815" s="9" t="s">
        <v>4718</v>
      </c>
      <c r="J815" s="9" t="s">
        <v>4719</v>
      </c>
      <c r="K815" s="20">
        <f t="shared" si="2"/>
        <v>1985</v>
      </c>
      <c r="L815" s="9" t="str">
        <f t="shared" si="3"/>
        <v>tier - 2</v>
      </c>
      <c r="M815" s="9" t="str">
        <f t="shared" si="4"/>
        <v>tier - 1</v>
      </c>
      <c r="N815" s="9" t="str">
        <f t="shared" si="5"/>
        <v>R1011</v>
      </c>
      <c r="O815" s="17">
        <f t="shared" si="6"/>
        <v>37</v>
      </c>
      <c r="P815" s="18">
        <v>31243.0</v>
      </c>
    </row>
    <row r="816" ht="15.75" customHeight="1">
      <c r="A816" s="9" t="s">
        <v>533</v>
      </c>
      <c r="B816" s="17">
        <v>1990.0</v>
      </c>
      <c r="C816" s="9" t="s">
        <v>4720</v>
      </c>
      <c r="D816" s="9">
        <v>12.0</v>
      </c>
      <c r="E816" s="18">
        <f t="shared" si="1"/>
        <v>33158</v>
      </c>
      <c r="F816" s="9">
        <v>3.0</v>
      </c>
      <c r="G816" s="19">
        <v>33292.83</v>
      </c>
      <c r="H816" s="9" t="s">
        <v>4723</v>
      </c>
      <c r="I816" s="9" t="s">
        <v>4718</v>
      </c>
      <c r="J816" s="9" t="s">
        <v>4719</v>
      </c>
      <c r="K816" s="20">
        <f t="shared" si="2"/>
        <v>1990</v>
      </c>
      <c r="L816" s="9" t="str">
        <f t="shared" si="3"/>
        <v>tier - 2</v>
      </c>
      <c r="M816" s="9" t="str">
        <f t="shared" si="4"/>
        <v>tier - 1</v>
      </c>
      <c r="N816" s="9" t="str">
        <f t="shared" si="5"/>
        <v>R1011</v>
      </c>
      <c r="O816" s="17">
        <f t="shared" si="6"/>
        <v>32</v>
      </c>
      <c r="P816" s="18">
        <v>33158.0</v>
      </c>
    </row>
    <row r="817" ht="15.75" customHeight="1">
      <c r="A817" s="9" t="s">
        <v>531</v>
      </c>
      <c r="B817" s="17">
        <v>2003.0</v>
      </c>
      <c r="C817" s="9" t="s">
        <v>4735</v>
      </c>
      <c r="D817" s="9">
        <v>28.0</v>
      </c>
      <c r="E817" s="18">
        <f t="shared" si="1"/>
        <v>37953</v>
      </c>
      <c r="F817" s="9">
        <v>0.0</v>
      </c>
      <c r="G817" s="19">
        <v>33307.55</v>
      </c>
      <c r="H817" s="9" t="s">
        <v>4723</v>
      </c>
      <c r="I817" s="9" t="s">
        <v>4717</v>
      </c>
      <c r="J817" s="9" t="s">
        <v>4733</v>
      </c>
      <c r="K817" s="20">
        <f t="shared" si="2"/>
        <v>2003</v>
      </c>
      <c r="L817" s="9" t="str">
        <f t="shared" si="3"/>
        <v>tier - 2</v>
      </c>
      <c r="M817" s="9" t="str">
        <f t="shared" si="4"/>
        <v>tier - 3</v>
      </c>
      <c r="N817" s="9" t="str">
        <f t="shared" si="5"/>
        <v>R1012</v>
      </c>
      <c r="O817" s="17">
        <f t="shared" si="6"/>
        <v>19</v>
      </c>
      <c r="P817" s="18">
        <v>37953.0</v>
      </c>
    </row>
    <row r="818" ht="15.75" customHeight="1">
      <c r="A818" s="9" t="s">
        <v>529</v>
      </c>
      <c r="B818" s="17">
        <v>1972.0</v>
      </c>
      <c r="C818" s="9" t="s">
        <v>4738</v>
      </c>
      <c r="D818" s="9">
        <v>5.0</v>
      </c>
      <c r="E818" s="18">
        <f t="shared" si="1"/>
        <v>26547</v>
      </c>
      <c r="F818" s="9">
        <v>0.0</v>
      </c>
      <c r="G818" s="19">
        <v>33344.45</v>
      </c>
      <c r="H818" s="9" t="s">
        <v>4723</v>
      </c>
      <c r="I818" s="9" t="s">
        <v>4717</v>
      </c>
      <c r="J818" s="9" t="s">
        <v>4719</v>
      </c>
      <c r="K818" s="20">
        <f t="shared" si="2"/>
        <v>1972</v>
      </c>
      <c r="L818" s="9" t="str">
        <f t="shared" si="3"/>
        <v>tier - 2</v>
      </c>
      <c r="M818" s="9" t="str">
        <f t="shared" si="4"/>
        <v>tier - 3</v>
      </c>
      <c r="N818" s="9" t="str">
        <f t="shared" si="5"/>
        <v>R1011</v>
      </c>
      <c r="O818" s="17">
        <f t="shared" si="6"/>
        <v>50</v>
      </c>
      <c r="P818" s="18">
        <v>26547.0</v>
      </c>
    </row>
    <row r="819" ht="15.75" customHeight="1">
      <c r="A819" s="9" t="s">
        <v>527</v>
      </c>
      <c r="B819" s="17">
        <v>1985.0</v>
      </c>
      <c r="C819" s="9" t="s">
        <v>4725</v>
      </c>
      <c r="D819" s="9">
        <v>7.0</v>
      </c>
      <c r="E819" s="18">
        <f t="shared" si="1"/>
        <v>31388</v>
      </c>
      <c r="F819" s="9">
        <v>3.0</v>
      </c>
      <c r="G819" s="19">
        <v>33450.99</v>
      </c>
      <c r="H819" s="9" t="s">
        <v>4723</v>
      </c>
      <c r="I819" s="9" t="s">
        <v>4723</v>
      </c>
      <c r="J819" s="9" t="s">
        <v>4719</v>
      </c>
      <c r="K819" s="20">
        <f t="shared" si="2"/>
        <v>1985</v>
      </c>
      <c r="L819" s="9" t="str">
        <f t="shared" si="3"/>
        <v>tier - 2</v>
      </c>
      <c r="M819" s="9" t="str">
        <f t="shared" si="4"/>
        <v>tier - 2</v>
      </c>
      <c r="N819" s="9" t="str">
        <f t="shared" si="5"/>
        <v>R1011</v>
      </c>
      <c r="O819" s="17">
        <f t="shared" si="6"/>
        <v>37</v>
      </c>
      <c r="P819" s="18">
        <v>31388.0</v>
      </c>
    </row>
    <row r="820" ht="15.75" customHeight="1">
      <c r="A820" s="9" t="s">
        <v>525</v>
      </c>
      <c r="B820" s="17">
        <v>1970.0</v>
      </c>
      <c r="C820" s="9" t="s">
        <v>4730</v>
      </c>
      <c r="D820" s="9">
        <v>18.0</v>
      </c>
      <c r="E820" s="18">
        <f t="shared" si="1"/>
        <v>25737</v>
      </c>
      <c r="F820" s="9">
        <v>2.0</v>
      </c>
      <c r="G820" s="19">
        <v>33471.97</v>
      </c>
      <c r="H820" s="9" t="s">
        <v>4723</v>
      </c>
      <c r="I820" s="9" t="s">
        <v>4723</v>
      </c>
      <c r="J820" s="9" t="s">
        <v>4733</v>
      </c>
      <c r="K820" s="20">
        <f t="shared" si="2"/>
        <v>1970</v>
      </c>
      <c r="L820" s="9" t="str">
        <f t="shared" si="3"/>
        <v>tier - 2</v>
      </c>
      <c r="M820" s="9" t="str">
        <f t="shared" si="4"/>
        <v>tier - 2</v>
      </c>
      <c r="N820" s="9" t="str">
        <f t="shared" si="5"/>
        <v>R1012</v>
      </c>
      <c r="O820" s="17">
        <f t="shared" si="6"/>
        <v>52</v>
      </c>
      <c r="P820" s="18">
        <v>25737.0</v>
      </c>
    </row>
    <row r="821" ht="15.75" customHeight="1">
      <c r="A821" s="9" t="s">
        <v>523</v>
      </c>
      <c r="B821" s="17">
        <v>2002.0</v>
      </c>
      <c r="C821" s="9" t="s">
        <v>4716</v>
      </c>
      <c r="D821" s="9">
        <v>25.0</v>
      </c>
      <c r="E821" s="18">
        <f t="shared" si="1"/>
        <v>37493</v>
      </c>
      <c r="F821" s="9">
        <v>0.0</v>
      </c>
      <c r="G821" s="19">
        <v>33475.82</v>
      </c>
      <c r="H821" s="9" t="s">
        <v>4718</v>
      </c>
      <c r="I821" s="9" t="s">
        <v>4718</v>
      </c>
      <c r="J821" s="9" t="s">
        <v>4750</v>
      </c>
      <c r="K821" s="20">
        <f t="shared" si="2"/>
        <v>2002</v>
      </c>
      <c r="L821" s="9" t="str">
        <f t="shared" si="3"/>
        <v>tier - 1</v>
      </c>
      <c r="M821" s="9" t="str">
        <f t="shared" si="4"/>
        <v>tier - 1</v>
      </c>
      <c r="N821" s="9" t="str">
        <f t="shared" si="5"/>
        <v>R1018</v>
      </c>
      <c r="O821" s="17">
        <f t="shared" si="6"/>
        <v>20</v>
      </c>
      <c r="P821" s="18">
        <v>37493.0</v>
      </c>
    </row>
    <row r="822" ht="15.75" customHeight="1">
      <c r="A822" s="9" t="s">
        <v>521</v>
      </c>
      <c r="B822" s="17">
        <v>1984.0</v>
      </c>
      <c r="C822" s="9" t="s">
        <v>4741</v>
      </c>
      <c r="D822" s="9">
        <v>22.0</v>
      </c>
      <c r="E822" s="18">
        <f t="shared" si="1"/>
        <v>30885</v>
      </c>
      <c r="F822" s="9">
        <v>3.0</v>
      </c>
      <c r="G822" s="19">
        <v>33527.1</v>
      </c>
      <c r="H822" s="9" t="s">
        <v>4723</v>
      </c>
      <c r="I822" s="9" t="s">
        <v>4717</v>
      </c>
      <c r="J822" s="9" t="s">
        <v>4719</v>
      </c>
      <c r="K822" s="20">
        <f t="shared" si="2"/>
        <v>1984</v>
      </c>
      <c r="L822" s="9" t="str">
        <f t="shared" si="3"/>
        <v>tier - 2</v>
      </c>
      <c r="M822" s="9" t="str">
        <f t="shared" si="4"/>
        <v>tier - 3</v>
      </c>
      <c r="N822" s="9" t="str">
        <f t="shared" si="5"/>
        <v>R1011</v>
      </c>
      <c r="O822" s="17">
        <f t="shared" si="6"/>
        <v>38</v>
      </c>
      <c r="P822" s="18">
        <v>30885.0</v>
      </c>
    </row>
    <row r="823" ht="15.75" customHeight="1">
      <c r="A823" s="9" t="s">
        <v>53</v>
      </c>
      <c r="B823" s="17">
        <v>1958.0</v>
      </c>
      <c r="C823" s="9" t="s">
        <v>4738</v>
      </c>
      <c r="D823" s="9">
        <v>15.0</v>
      </c>
      <c r="E823" s="18">
        <f t="shared" si="1"/>
        <v>21443</v>
      </c>
      <c r="F823" s="9">
        <v>0.0</v>
      </c>
      <c r="G823" s="19">
        <v>46889.26</v>
      </c>
      <c r="H823" s="9" t="s">
        <v>4723</v>
      </c>
      <c r="I823" s="9" t="s">
        <v>4717</v>
      </c>
      <c r="J823" s="9" t="s">
        <v>4743</v>
      </c>
      <c r="K823" s="20">
        <f t="shared" si="2"/>
        <v>1958</v>
      </c>
      <c r="L823" s="9" t="str">
        <f t="shared" si="3"/>
        <v>tier - 2</v>
      </c>
      <c r="M823" s="9" t="str">
        <f t="shared" si="4"/>
        <v>tier - 3</v>
      </c>
      <c r="N823" s="9" t="str">
        <f t="shared" si="5"/>
        <v>R1013</v>
      </c>
      <c r="O823" s="17">
        <f t="shared" si="6"/>
        <v>64</v>
      </c>
      <c r="P823" s="18">
        <v>21443.0</v>
      </c>
    </row>
    <row r="824" ht="15.75" customHeight="1">
      <c r="A824" s="9" t="s">
        <v>519</v>
      </c>
      <c r="B824" s="17">
        <v>2003.0</v>
      </c>
      <c r="C824" s="9" t="s">
        <v>4738</v>
      </c>
      <c r="D824" s="9">
        <v>9.0</v>
      </c>
      <c r="E824" s="18">
        <f t="shared" si="1"/>
        <v>37873</v>
      </c>
      <c r="F824" s="9">
        <v>0.0</v>
      </c>
      <c r="G824" s="19">
        <v>33611.71</v>
      </c>
      <c r="H824" s="9" t="s">
        <v>4718</v>
      </c>
      <c r="I824" s="9" t="s">
        <v>4723</v>
      </c>
      <c r="J824" s="9" t="s">
        <v>4719</v>
      </c>
      <c r="K824" s="20">
        <f t="shared" si="2"/>
        <v>2003</v>
      </c>
      <c r="L824" s="9" t="str">
        <f t="shared" si="3"/>
        <v>tier - 1</v>
      </c>
      <c r="M824" s="9" t="str">
        <f t="shared" si="4"/>
        <v>tier - 2</v>
      </c>
      <c r="N824" s="9" t="str">
        <f t="shared" si="5"/>
        <v>R1011</v>
      </c>
      <c r="O824" s="17">
        <f t="shared" si="6"/>
        <v>19</v>
      </c>
      <c r="P824" s="18">
        <v>37873.0</v>
      </c>
    </row>
    <row r="825" ht="15.75" customHeight="1">
      <c r="A825" s="9" t="s">
        <v>517</v>
      </c>
      <c r="B825" s="17">
        <v>1993.0</v>
      </c>
      <c r="C825" s="9" t="s">
        <v>4735</v>
      </c>
      <c r="D825" s="9">
        <v>28.0</v>
      </c>
      <c r="E825" s="18">
        <f t="shared" si="1"/>
        <v>34301</v>
      </c>
      <c r="F825" s="9">
        <v>0.0</v>
      </c>
      <c r="G825" s="19">
        <v>33707.55</v>
      </c>
      <c r="H825" s="9" t="s">
        <v>4723</v>
      </c>
      <c r="I825" s="9" t="s">
        <v>4723</v>
      </c>
      <c r="J825" s="9" t="s">
        <v>4719</v>
      </c>
      <c r="K825" s="20">
        <f t="shared" si="2"/>
        <v>1993</v>
      </c>
      <c r="L825" s="9" t="str">
        <f t="shared" si="3"/>
        <v>tier - 2</v>
      </c>
      <c r="M825" s="9" t="str">
        <f t="shared" si="4"/>
        <v>tier - 2</v>
      </c>
      <c r="N825" s="9" t="str">
        <f t="shared" si="5"/>
        <v>R1011</v>
      </c>
      <c r="O825" s="17">
        <f t="shared" si="6"/>
        <v>29</v>
      </c>
      <c r="P825" s="18">
        <v>34301.0</v>
      </c>
    </row>
    <row r="826" ht="15.75" customHeight="1">
      <c r="A826" s="9" t="s">
        <v>515</v>
      </c>
      <c r="B826" s="17">
        <v>2004.0</v>
      </c>
      <c r="C826" s="9" t="s">
        <v>4735</v>
      </c>
      <c r="D826" s="9">
        <v>1.0</v>
      </c>
      <c r="E826" s="18">
        <f t="shared" si="1"/>
        <v>38292</v>
      </c>
      <c r="F826" s="9">
        <v>0.0</v>
      </c>
      <c r="G826" s="19">
        <v>33732.69</v>
      </c>
      <c r="H826" s="9" t="s">
        <v>4718</v>
      </c>
      <c r="I826" s="9" t="s">
        <v>4718</v>
      </c>
      <c r="J826" s="9" t="s">
        <v>4753</v>
      </c>
      <c r="K826" s="20">
        <f t="shared" si="2"/>
        <v>2004</v>
      </c>
      <c r="L826" s="9" t="str">
        <f t="shared" si="3"/>
        <v>tier - 1</v>
      </c>
      <c r="M826" s="9" t="str">
        <f t="shared" si="4"/>
        <v>tier - 1</v>
      </c>
      <c r="N826" s="9" t="str">
        <f t="shared" si="5"/>
        <v>R1017</v>
      </c>
      <c r="O826" s="17">
        <f t="shared" si="6"/>
        <v>18</v>
      </c>
      <c r="P826" s="18">
        <v>38292.0</v>
      </c>
    </row>
    <row r="827" ht="15.75" customHeight="1">
      <c r="A827" s="9" t="s">
        <v>513</v>
      </c>
      <c r="B827" s="17">
        <v>2003.0</v>
      </c>
      <c r="C827" s="9" t="s">
        <v>4738</v>
      </c>
      <c r="D827" s="9">
        <v>12.0</v>
      </c>
      <c r="E827" s="18">
        <f t="shared" si="1"/>
        <v>37876</v>
      </c>
      <c r="F827" s="9">
        <v>0.0</v>
      </c>
      <c r="G827" s="19">
        <v>33750.29</v>
      </c>
      <c r="H827" s="9" t="s">
        <v>4718</v>
      </c>
      <c r="I827" s="9" t="s">
        <v>4717</v>
      </c>
      <c r="J827" s="9" t="s">
        <v>4733</v>
      </c>
      <c r="K827" s="20">
        <f t="shared" si="2"/>
        <v>2003</v>
      </c>
      <c r="L827" s="9" t="str">
        <f t="shared" si="3"/>
        <v>tier - 1</v>
      </c>
      <c r="M827" s="9" t="str">
        <f t="shared" si="4"/>
        <v>tier - 3</v>
      </c>
      <c r="N827" s="9" t="str">
        <f t="shared" si="5"/>
        <v>R1012</v>
      </c>
      <c r="O827" s="17">
        <f t="shared" si="6"/>
        <v>19</v>
      </c>
      <c r="P827" s="18">
        <v>37876.0</v>
      </c>
    </row>
    <row r="828" ht="15.75" customHeight="1">
      <c r="A828" s="9" t="s">
        <v>511</v>
      </c>
      <c r="B828" s="17">
        <v>1962.0</v>
      </c>
      <c r="C828" s="9" t="s">
        <v>4725</v>
      </c>
      <c r="D828" s="9">
        <v>11.0</v>
      </c>
      <c r="E828" s="18">
        <f t="shared" si="1"/>
        <v>22991</v>
      </c>
      <c r="F828" s="9">
        <v>0.0</v>
      </c>
      <c r="G828" s="19">
        <v>33753.32</v>
      </c>
      <c r="H828" s="9" t="s">
        <v>4718</v>
      </c>
      <c r="I828" s="9" t="s">
        <v>4717</v>
      </c>
      <c r="J828" s="9" t="s">
        <v>4719</v>
      </c>
      <c r="K828" s="20">
        <f t="shared" si="2"/>
        <v>1962</v>
      </c>
      <c r="L828" s="9" t="str">
        <f t="shared" si="3"/>
        <v>tier - 1</v>
      </c>
      <c r="M828" s="9" t="str">
        <f t="shared" si="4"/>
        <v>tier - 3</v>
      </c>
      <c r="N828" s="9" t="str">
        <f t="shared" si="5"/>
        <v>R1011</v>
      </c>
      <c r="O828" s="17">
        <f t="shared" si="6"/>
        <v>60</v>
      </c>
      <c r="P828" s="18">
        <v>22991.0</v>
      </c>
    </row>
    <row r="829" ht="15.75" customHeight="1">
      <c r="A829" s="9" t="s">
        <v>509</v>
      </c>
      <c r="B829" s="17">
        <v>2000.0</v>
      </c>
      <c r="C829" s="9" t="s">
        <v>4720</v>
      </c>
      <c r="D829" s="9">
        <v>26.0</v>
      </c>
      <c r="E829" s="18">
        <f t="shared" si="1"/>
        <v>36825</v>
      </c>
      <c r="F829" s="9">
        <v>0.0</v>
      </c>
      <c r="G829" s="19">
        <v>33829.39</v>
      </c>
      <c r="H829" s="9" t="s">
        <v>4723</v>
      </c>
      <c r="I829" s="9" t="s">
        <v>4717</v>
      </c>
      <c r="J829" s="9" t="s">
        <v>4719</v>
      </c>
      <c r="K829" s="20">
        <f t="shared" si="2"/>
        <v>2000</v>
      </c>
      <c r="L829" s="9" t="str">
        <f t="shared" si="3"/>
        <v>tier - 2</v>
      </c>
      <c r="M829" s="9" t="str">
        <f t="shared" si="4"/>
        <v>tier - 3</v>
      </c>
      <c r="N829" s="9" t="str">
        <f t="shared" si="5"/>
        <v>R1011</v>
      </c>
      <c r="O829" s="17">
        <f t="shared" si="6"/>
        <v>22</v>
      </c>
      <c r="P829" s="18">
        <v>36825.0</v>
      </c>
    </row>
    <row r="830" ht="15.75" customHeight="1">
      <c r="A830" s="9" t="s">
        <v>507</v>
      </c>
      <c r="B830" s="17">
        <v>1997.0</v>
      </c>
      <c r="C830" s="9" t="s">
        <v>4716</v>
      </c>
      <c r="D830" s="9">
        <v>9.0</v>
      </c>
      <c r="E830" s="18">
        <f t="shared" si="1"/>
        <v>35651</v>
      </c>
      <c r="F830" s="9">
        <v>0.0</v>
      </c>
      <c r="G830" s="19">
        <v>33900.65</v>
      </c>
      <c r="H830" s="9" t="s">
        <v>4723</v>
      </c>
      <c r="I830" s="9" t="s">
        <v>4717</v>
      </c>
      <c r="J830" s="9" t="s">
        <v>4719</v>
      </c>
      <c r="K830" s="20">
        <f t="shared" si="2"/>
        <v>1997</v>
      </c>
      <c r="L830" s="9" t="str">
        <f t="shared" si="3"/>
        <v>tier - 2</v>
      </c>
      <c r="M830" s="9" t="str">
        <f t="shared" si="4"/>
        <v>tier - 3</v>
      </c>
      <c r="N830" s="9" t="str">
        <f t="shared" si="5"/>
        <v>R1011</v>
      </c>
      <c r="O830" s="17">
        <f t="shared" si="6"/>
        <v>25</v>
      </c>
      <c r="P830" s="18">
        <v>35651.0</v>
      </c>
    </row>
    <row r="831" ht="15.75" customHeight="1">
      <c r="A831" s="9" t="s">
        <v>505</v>
      </c>
      <c r="B831" s="17">
        <v>2000.0</v>
      </c>
      <c r="C831" s="9" t="s">
        <v>4725</v>
      </c>
      <c r="D831" s="9">
        <v>27.0</v>
      </c>
      <c r="E831" s="18">
        <f t="shared" si="1"/>
        <v>36887</v>
      </c>
      <c r="F831" s="9">
        <v>0.0</v>
      </c>
      <c r="G831" s="19">
        <v>33907.55</v>
      </c>
      <c r="H831" s="9" t="s">
        <v>4723</v>
      </c>
      <c r="I831" s="9" t="s">
        <v>4723</v>
      </c>
      <c r="J831" s="9" t="s">
        <v>4733</v>
      </c>
      <c r="K831" s="20">
        <f t="shared" si="2"/>
        <v>2000</v>
      </c>
      <c r="L831" s="9" t="str">
        <f t="shared" si="3"/>
        <v>tier - 2</v>
      </c>
      <c r="M831" s="9" t="str">
        <f t="shared" si="4"/>
        <v>tier - 2</v>
      </c>
      <c r="N831" s="9" t="str">
        <f t="shared" si="5"/>
        <v>R1012</v>
      </c>
      <c r="O831" s="17">
        <f t="shared" si="6"/>
        <v>22</v>
      </c>
      <c r="P831" s="18">
        <v>36887.0</v>
      </c>
    </row>
    <row r="832" ht="15.75" customHeight="1">
      <c r="A832" s="9" t="s">
        <v>503</v>
      </c>
      <c r="B832" s="17">
        <v>1994.0</v>
      </c>
      <c r="C832" s="9" t="s">
        <v>4738</v>
      </c>
      <c r="D832" s="9">
        <v>25.0</v>
      </c>
      <c r="E832" s="18">
        <f t="shared" si="1"/>
        <v>34602</v>
      </c>
      <c r="F832" s="9">
        <v>0.0</v>
      </c>
      <c r="G832" s="19">
        <v>33975.47</v>
      </c>
      <c r="H832" s="9" t="s">
        <v>4723</v>
      </c>
      <c r="I832" s="9" t="s">
        <v>4723</v>
      </c>
      <c r="J832" s="9" t="s">
        <v>4719</v>
      </c>
      <c r="K832" s="20">
        <f t="shared" si="2"/>
        <v>1994</v>
      </c>
      <c r="L832" s="9" t="str">
        <f t="shared" si="3"/>
        <v>tier - 2</v>
      </c>
      <c r="M832" s="9" t="str">
        <f t="shared" si="4"/>
        <v>tier - 2</v>
      </c>
      <c r="N832" s="9" t="str">
        <f t="shared" si="5"/>
        <v>R1011</v>
      </c>
      <c r="O832" s="17">
        <f t="shared" si="6"/>
        <v>28</v>
      </c>
      <c r="P832" s="18">
        <v>34602.0</v>
      </c>
    </row>
    <row r="833" ht="15.75" customHeight="1">
      <c r="A833" s="9" t="s">
        <v>501</v>
      </c>
      <c r="B833" s="17">
        <v>1972.0</v>
      </c>
      <c r="C833" s="9" t="s">
        <v>4741</v>
      </c>
      <c r="D833" s="9">
        <v>26.0</v>
      </c>
      <c r="E833" s="18">
        <f t="shared" si="1"/>
        <v>26506</v>
      </c>
      <c r="F833" s="9">
        <v>0.0</v>
      </c>
      <c r="G833" s="19">
        <v>34053.36</v>
      </c>
      <c r="H833" s="9" t="s">
        <v>4723</v>
      </c>
      <c r="I833" s="9" t="s">
        <v>4723</v>
      </c>
      <c r="J833" s="9" t="s">
        <v>4719</v>
      </c>
      <c r="K833" s="20">
        <f t="shared" si="2"/>
        <v>1972</v>
      </c>
      <c r="L833" s="9" t="str">
        <f t="shared" si="3"/>
        <v>tier - 2</v>
      </c>
      <c r="M833" s="9" t="str">
        <f t="shared" si="4"/>
        <v>tier - 2</v>
      </c>
      <c r="N833" s="9" t="str">
        <f t="shared" si="5"/>
        <v>R1011</v>
      </c>
      <c r="O833" s="17">
        <f t="shared" si="6"/>
        <v>50</v>
      </c>
      <c r="P833" s="18">
        <v>26506.0</v>
      </c>
    </row>
    <row r="834" ht="15.75" customHeight="1">
      <c r="A834" s="9" t="s">
        <v>51</v>
      </c>
      <c r="B834" s="17">
        <v>1959.0</v>
      </c>
      <c r="C834" s="9" t="s">
        <v>4741</v>
      </c>
      <c r="D834" s="9">
        <v>14.0</v>
      </c>
      <c r="E834" s="18">
        <f t="shared" si="1"/>
        <v>21745</v>
      </c>
      <c r="F834" s="9">
        <v>0.0</v>
      </c>
      <c r="G834" s="19">
        <v>47055.53</v>
      </c>
      <c r="H834" s="9" t="s">
        <v>4723</v>
      </c>
      <c r="I834" s="9" t="s">
        <v>4718</v>
      </c>
      <c r="J834" s="9" t="s">
        <v>4743</v>
      </c>
      <c r="K834" s="20">
        <f t="shared" si="2"/>
        <v>1959</v>
      </c>
      <c r="L834" s="9" t="str">
        <f t="shared" si="3"/>
        <v>tier - 2</v>
      </c>
      <c r="M834" s="9" t="str">
        <f t="shared" si="4"/>
        <v>tier - 1</v>
      </c>
      <c r="N834" s="9" t="str">
        <f t="shared" si="5"/>
        <v>R1013</v>
      </c>
      <c r="O834" s="17">
        <f t="shared" si="6"/>
        <v>63</v>
      </c>
      <c r="P834" s="18">
        <v>21745.0</v>
      </c>
    </row>
    <row r="835" ht="15.75" customHeight="1">
      <c r="A835" s="9" t="s">
        <v>499</v>
      </c>
      <c r="B835" s="17">
        <v>2002.0</v>
      </c>
      <c r="C835" s="9" t="s">
        <v>4725</v>
      </c>
      <c r="D835" s="9">
        <v>26.0</v>
      </c>
      <c r="E835" s="18">
        <f t="shared" si="1"/>
        <v>37616</v>
      </c>
      <c r="F835" s="9">
        <v>0.0</v>
      </c>
      <c r="G835" s="19">
        <v>34084.68</v>
      </c>
      <c r="H835" s="9" t="s">
        <v>4723</v>
      </c>
      <c r="I835" s="9" t="s">
        <v>4717</v>
      </c>
      <c r="J835" s="9" t="s">
        <v>4719</v>
      </c>
      <c r="K835" s="20">
        <f t="shared" si="2"/>
        <v>2002</v>
      </c>
      <c r="L835" s="9" t="str">
        <f t="shared" si="3"/>
        <v>tier - 2</v>
      </c>
      <c r="M835" s="9" t="str">
        <f t="shared" si="4"/>
        <v>tier - 3</v>
      </c>
      <c r="N835" s="9" t="str">
        <f t="shared" si="5"/>
        <v>R1011</v>
      </c>
      <c r="O835" s="17">
        <f t="shared" si="6"/>
        <v>20</v>
      </c>
      <c r="P835" s="18">
        <v>37616.0</v>
      </c>
    </row>
    <row r="836" ht="15.75" customHeight="1">
      <c r="A836" s="9" t="s">
        <v>497</v>
      </c>
      <c r="B836" s="17">
        <v>1999.0</v>
      </c>
      <c r="C836" s="9" t="s">
        <v>4735</v>
      </c>
      <c r="D836" s="9">
        <v>6.0</v>
      </c>
      <c r="E836" s="18">
        <f t="shared" si="1"/>
        <v>36470</v>
      </c>
      <c r="F836" s="9">
        <v>0.0</v>
      </c>
      <c r="G836" s="19">
        <v>34166.27</v>
      </c>
      <c r="H836" s="9" t="s">
        <v>4723</v>
      </c>
      <c r="I836" s="9" t="s">
        <v>4717</v>
      </c>
      <c r="J836" s="9" t="s">
        <v>4719</v>
      </c>
      <c r="K836" s="20">
        <f t="shared" si="2"/>
        <v>1999</v>
      </c>
      <c r="L836" s="9" t="str">
        <f t="shared" si="3"/>
        <v>tier - 2</v>
      </c>
      <c r="M836" s="9" t="str">
        <f t="shared" si="4"/>
        <v>tier - 3</v>
      </c>
      <c r="N836" s="9" t="str">
        <f t="shared" si="5"/>
        <v>R1011</v>
      </c>
      <c r="O836" s="17">
        <f t="shared" si="6"/>
        <v>23</v>
      </c>
      <c r="P836" s="18">
        <v>36470.0</v>
      </c>
    </row>
    <row r="837" ht="15.75" customHeight="1">
      <c r="A837" s="9" t="s">
        <v>495</v>
      </c>
      <c r="B837" s="17">
        <v>1971.0</v>
      </c>
      <c r="C837" s="9" t="s">
        <v>4716</v>
      </c>
      <c r="D837" s="9">
        <v>25.0</v>
      </c>
      <c r="E837" s="18">
        <f t="shared" si="1"/>
        <v>26170</v>
      </c>
      <c r="F837" s="9">
        <v>0.0</v>
      </c>
      <c r="G837" s="19">
        <v>34205.07</v>
      </c>
      <c r="H837" s="9" t="s">
        <v>4723</v>
      </c>
      <c r="I837" s="9" t="s">
        <v>4723</v>
      </c>
      <c r="J837" s="9" t="s">
        <v>4719</v>
      </c>
      <c r="K837" s="20">
        <f t="shared" si="2"/>
        <v>1971</v>
      </c>
      <c r="L837" s="9" t="str">
        <f t="shared" si="3"/>
        <v>tier - 2</v>
      </c>
      <c r="M837" s="9" t="str">
        <f t="shared" si="4"/>
        <v>tier - 2</v>
      </c>
      <c r="N837" s="9" t="str">
        <f t="shared" si="5"/>
        <v>R1011</v>
      </c>
      <c r="O837" s="17">
        <f t="shared" si="6"/>
        <v>51</v>
      </c>
      <c r="P837" s="18">
        <v>26170.0</v>
      </c>
    </row>
    <row r="838" ht="15.75" customHeight="1">
      <c r="A838" s="9" t="s">
        <v>493</v>
      </c>
      <c r="B838" s="17">
        <v>1975.0</v>
      </c>
      <c r="C838" s="9" t="s">
        <v>4741</v>
      </c>
      <c r="D838" s="9">
        <v>21.0</v>
      </c>
      <c r="E838" s="18">
        <f t="shared" si="1"/>
        <v>27596</v>
      </c>
      <c r="F838" s="9">
        <v>1.0</v>
      </c>
      <c r="G838" s="19">
        <v>34210.33</v>
      </c>
      <c r="H838" s="9" t="s">
        <v>4723</v>
      </c>
      <c r="I838" s="9" t="s">
        <v>4718</v>
      </c>
      <c r="J838" s="9" t="s">
        <v>4733</v>
      </c>
      <c r="K838" s="20">
        <f t="shared" si="2"/>
        <v>1975</v>
      </c>
      <c r="L838" s="9" t="str">
        <f t="shared" si="3"/>
        <v>tier - 2</v>
      </c>
      <c r="M838" s="9" t="str">
        <f t="shared" si="4"/>
        <v>tier - 1</v>
      </c>
      <c r="N838" s="9" t="str">
        <f t="shared" si="5"/>
        <v>R1012</v>
      </c>
      <c r="O838" s="17">
        <f t="shared" si="6"/>
        <v>47</v>
      </c>
      <c r="P838" s="18">
        <v>27596.0</v>
      </c>
    </row>
    <row r="839" ht="15.75" customHeight="1">
      <c r="A839" s="9" t="s">
        <v>491</v>
      </c>
      <c r="B839" s="17">
        <v>1962.0</v>
      </c>
      <c r="C839" s="9" t="s">
        <v>4741</v>
      </c>
      <c r="D839" s="9">
        <v>5.0</v>
      </c>
      <c r="E839" s="18">
        <f t="shared" si="1"/>
        <v>22832</v>
      </c>
      <c r="F839" s="9">
        <v>0.0</v>
      </c>
      <c r="G839" s="19">
        <v>34218.02</v>
      </c>
      <c r="H839" s="9" t="s">
        <v>4718</v>
      </c>
      <c r="I839" s="9" t="s">
        <v>4718</v>
      </c>
      <c r="J839" s="9" t="s">
        <v>4719</v>
      </c>
      <c r="K839" s="20">
        <f t="shared" si="2"/>
        <v>1962</v>
      </c>
      <c r="L839" s="9" t="str">
        <f t="shared" si="3"/>
        <v>tier - 1</v>
      </c>
      <c r="M839" s="9" t="str">
        <f t="shared" si="4"/>
        <v>tier - 1</v>
      </c>
      <c r="N839" s="9" t="str">
        <f t="shared" si="5"/>
        <v>R1011</v>
      </c>
      <c r="O839" s="17">
        <f t="shared" si="6"/>
        <v>60</v>
      </c>
      <c r="P839" s="18">
        <v>22832.0</v>
      </c>
    </row>
    <row r="840" ht="15.75" customHeight="1">
      <c r="A840" s="9" t="s">
        <v>4759</v>
      </c>
      <c r="B840" s="17">
        <v>1987.0</v>
      </c>
      <c r="C840" s="9" t="s">
        <v>4735</v>
      </c>
      <c r="D840" s="9">
        <v>27.0</v>
      </c>
      <c r="E840" s="18">
        <f t="shared" si="1"/>
        <v>32108</v>
      </c>
      <c r="F840" s="9">
        <v>2.0</v>
      </c>
      <c r="G840" s="19">
        <v>20984.09</v>
      </c>
      <c r="H840" s="9" t="s">
        <v>4723</v>
      </c>
      <c r="I840" s="9" t="s">
        <v>4723</v>
      </c>
      <c r="J840" s="9" t="s">
        <v>4757</v>
      </c>
      <c r="K840" s="20">
        <f t="shared" si="2"/>
        <v>1987</v>
      </c>
      <c r="L840" s="9" t="str">
        <f t="shared" si="3"/>
        <v>tier - 2</v>
      </c>
      <c r="M840" s="9" t="str">
        <f t="shared" si="4"/>
        <v>tier - 2</v>
      </c>
      <c r="N840" s="9" t="str">
        <f t="shared" si="5"/>
        <v>R1015</v>
      </c>
      <c r="O840" s="17">
        <f t="shared" si="6"/>
        <v>35</v>
      </c>
      <c r="P840" s="18">
        <v>32108.0</v>
      </c>
    </row>
    <row r="841" ht="15.75" customHeight="1">
      <c r="A841" s="9" t="s">
        <v>489</v>
      </c>
      <c r="B841" s="17">
        <v>1998.0</v>
      </c>
      <c r="C841" s="9" t="s">
        <v>4730</v>
      </c>
      <c r="D841" s="9">
        <v>11.0</v>
      </c>
      <c r="E841" s="18">
        <f t="shared" si="1"/>
        <v>35957</v>
      </c>
      <c r="F841" s="9">
        <v>0.0</v>
      </c>
      <c r="G841" s="19">
        <v>34254.05</v>
      </c>
      <c r="H841" s="9" t="s">
        <v>4718</v>
      </c>
      <c r="I841" s="9" t="s">
        <v>4717</v>
      </c>
      <c r="J841" s="9" t="s">
        <v>4728</v>
      </c>
      <c r="K841" s="20">
        <f t="shared" si="2"/>
        <v>1998</v>
      </c>
      <c r="L841" s="9" t="str">
        <f t="shared" si="3"/>
        <v>tier - 1</v>
      </c>
      <c r="M841" s="9" t="str">
        <f t="shared" si="4"/>
        <v>tier - 3</v>
      </c>
      <c r="N841" s="9" t="str">
        <f t="shared" si="5"/>
        <v>R1019</v>
      </c>
      <c r="O841" s="17">
        <f t="shared" si="6"/>
        <v>24</v>
      </c>
      <c r="P841" s="18">
        <v>35957.0</v>
      </c>
    </row>
    <row r="842" ht="15.75" customHeight="1">
      <c r="A842" s="9" t="s">
        <v>487</v>
      </c>
      <c r="B842" s="17">
        <v>1995.0</v>
      </c>
      <c r="C842" s="9" t="s">
        <v>4720</v>
      </c>
      <c r="D842" s="9">
        <v>30.0</v>
      </c>
      <c r="E842" s="18">
        <f t="shared" si="1"/>
        <v>35002</v>
      </c>
      <c r="F842" s="9">
        <v>0.0</v>
      </c>
      <c r="G842" s="19">
        <v>34289.43</v>
      </c>
      <c r="H842" s="9" t="s">
        <v>4718</v>
      </c>
      <c r="I842" s="9" t="s">
        <v>4718</v>
      </c>
      <c r="J842" s="9" t="s">
        <v>4719</v>
      </c>
      <c r="K842" s="20">
        <f t="shared" si="2"/>
        <v>1995</v>
      </c>
      <c r="L842" s="9" t="str">
        <f t="shared" si="3"/>
        <v>tier - 1</v>
      </c>
      <c r="M842" s="9" t="str">
        <f t="shared" si="4"/>
        <v>tier - 1</v>
      </c>
      <c r="N842" s="9" t="str">
        <f t="shared" si="5"/>
        <v>R1011</v>
      </c>
      <c r="O842" s="17">
        <f t="shared" si="6"/>
        <v>27</v>
      </c>
      <c r="P842" s="18">
        <v>35002.0</v>
      </c>
    </row>
    <row r="843" ht="15.75" customHeight="1">
      <c r="A843" s="9" t="s">
        <v>485</v>
      </c>
      <c r="B843" s="17">
        <v>1986.0</v>
      </c>
      <c r="C843" s="9" t="s">
        <v>4720</v>
      </c>
      <c r="D843" s="9">
        <v>11.0</v>
      </c>
      <c r="E843" s="18">
        <f t="shared" si="1"/>
        <v>31696</v>
      </c>
      <c r="F843" s="9">
        <v>3.0</v>
      </c>
      <c r="G843" s="19">
        <v>34293.12</v>
      </c>
      <c r="H843" s="9" t="s">
        <v>4718</v>
      </c>
      <c r="I843" s="9" t="s">
        <v>4723</v>
      </c>
      <c r="J843" s="9" t="s">
        <v>4719</v>
      </c>
      <c r="K843" s="20">
        <f t="shared" si="2"/>
        <v>1986</v>
      </c>
      <c r="L843" s="9" t="str">
        <f t="shared" si="3"/>
        <v>tier - 1</v>
      </c>
      <c r="M843" s="9" t="str">
        <f t="shared" si="4"/>
        <v>tier - 2</v>
      </c>
      <c r="N843" s="9" t="str">
        <f t="shared" si="5"/>
        <v>R1011</v>
      </c>
      <c r="O843" s="17">
        <f t="shared" si="6"/>
        <v>36</v>
      </c>
      <c r="P843" s="18">
        <v>31696.0</v>
      </c>
    </row>
    <row r="844" ht="15.75" customHeight="1">
      <c r="A844" s="9" t="s">
        <v>483</v>
      </c>
      <c r="B844" s="17">
        <v>1983.0</v>
      </c>
      <c r="C844" s="9" t="s">
        <v>4720</v>
      </c>
      <c r="D844" s="9">
        <v>2.0</v>
      </c>
      <c r="E844" s="18">
        <f t="shared" si="1"/>
        <v>30591</v>
      </c>
      <c r="F844" s="9">
        <v>3.0</v>
      </c>
      <c r="G844" s="19">
        <v>34307.22</v>
      </c>
      <c r="H844" s="9" t="s">
        <v>4723</v>
      </c>
      <c r="I844" s="9" t="s">
        <v>4723</v>
      </c>
      <c r="J844" s="9" t="s">
        <v>4733</v>
      </c>
      <c r="K844" s="20">
        <f t="shared" si="2"/>
        <v>1983</v>
      </c>
      <c r="L844" s="9" t="str">
        <f t="shared" si="3"/>
        <v>tier - 2</v>
      </c>
      <c r="M844" s="9" t="str">
        <f t="shared" si="4"/>
        <v>tier - 2</v>
      </c>
      <c r="N844" s="9" t="str">
        <f t="shared" si="5"/>
        <v>R1012</v>
      </c>
      <c r="O844" s="17">
        <f t="shared" si="6"/>
        <v>39</v>
      </c>
      <c r="P844" s="18">
        <v>30591.0</v>
      </c>
    </row>
    <row r="845" ht="15.75" customHeight="1">
      <c r="A845" s="9" t="s">
        <v>481</v>
      </c>
      <c r="B845" s="17">
        <v>1984.0</v>
      </c>
      <c r="C845" s="9" t="s">
        <v>4720</v>
      </c>
      <c r="D845" s="9">
        <v>1.0</v>
      </c>
      <c r="E845" s="18">
        <f t="shared" si="1"/>
        <v>30956</v>
      </c>
      <c r="F845" s="9">
        <v>3.0</v>
      </c>
      <c r="G845" s="19">
        <v>34402.22</v>
      </c>
      <c r="H845" s="9" t="s">
        <v>4723</v>
      </c>
      <c r="I845" s="9" t="s">
        <v>4717</v>
      </c>
      <c r="J845" s="9" t="s">
        <v>4719</v>
      </c>
      <c r="K845" s="20">
        <f t="shared" si="2"/>
        <v>1984</v>
      </c>
      <c r="L845" s="9" t="str">
        <f t="shared" si="3"/>
        <v>tier - 2</v>
      </c>
      <c r="M845" s="9" t="str">
        <f t="shared" si="4"/>
        <v>tier - 3</v>
      </c>
      <c r="N845" s="9" t="str">
        <f t="shared" si="5"/>
        <v>R1011</v>
      </c>
      <c r="O845" s="17">
        <f t="shared" si="6"/>
        <v>38</v>
      </c>
      <c r="P845" s="18">
        <v>30956.0</v>
      </c>
    </row>
    <row r="846" ht="15.75" customHeight="1">
      <c r="A846" s="9" t="s">
        <v>49</v>
      </c>
      <c r="B846" s="17">
        <v>1970.0</v>
      </c>
      <c r="C846" s="9" t="s">
        <v>4725</v>
      </c>
      <c r="D846" s="9">
        <v>28.0</v>
      </c>
      <c r="E846" s="18">
        <f t="shared" si="1"/>
        <v>25930</v>
      </c>
      <c r="F846" s="9">
        <v>2.0</v>
      </c>
      <c r="G846" s="19">
        <v>47269.85</v>
      </c>
      <c r="H846" s="9" t="s">
        <v>4718</v>
      </c>
      <c r="I846" s="9" t="s">
        <v>4723</v>
      </c>
      <c r="J846" s="9" t="s">
        <v>4743</v>
      </c>
      <c r="K846" s="20">
        <f t="shared" si="2"/>
        <v>1970</v>
      </c>
      <c r="L846" s="9" t="str">
        <f t="shared" si="3"/>
        <v>tier - 1</v>
      </c>
      <c r="M846" s="9" t="str">
        <f t="shared" si="4"/>
        <v>tier - 2</v>
      </c>
      <c r="N846" s="9" t="str">
        <f t="shared" si="5"/>
        <v>R1013</v>
      </c>
      <c r="O846" s="17">
        <f t="shared" si="6"/>
        <v>52</v>
      </c>
      <c r="P846" s="18">
        <v>25930.0</v>
      </c>
    </row>
    <row r="847" ht="15.75" customHeight="1">
      <c r="A847" s="9" t="s">
        <v>479</v>
      </c>
      <c r="B847" s="17">
        <v>2003.0</v>
      </c>
      <c r="C847" s="9" t="s">
        <v>4720</v>
      </c>
      <c r="D847" s="9">
        <v>5.0</v>
      </c>
      <c r="E847" s="18">
        <f t="shared" si="1"/>
        <v>37899</v>
      </c>
      <c r="F847" s="9">
        <v>0.0</v>
      </c>
      <c r="G847" s="19">
        <v>34439.86</v>
      </c>
      <c r="H847" s="9" t="s">
        <v>4723</v>
      </c>
      <c r="I847" s="9" t="s">
        <v>4718</v>
      </c>
      <c r="J847" s="9" t="s">
        <v>4743</v>
      </c>
      <c r="K847" s="20">
        <f t="shared" si="2"/>
        <v>2003</v>
      </c>
      <c r="L847" s="9" t="str">
        <f t="shared" si="3"/>
        <v>tier - 2</v>
      </c>
      <c r="M847" s="9" t="str">
        <f t="shared" si="4"/>
        <v>tier - 1</v>
      </c>
      <c r="N847" s="9" t="str">
        <f t="shared" si="5"/>
        <v>R1013</v>
      </c>
      <c r="O847" s="17">
        <f t="shared" si="6"/>
        <v>19</v>
      </c>
      <c r="P847" s="18">
        <v>37899.0</v>
      </c>
    </row>
    <row r="848" ht="15.75" customHeight="1">
      <c r="A848" s="9" t="s">
        <v>477</v>
      </c>
      <c r="B848" s="17">
        <v>1990.0</v>
      </c>
      <c r="C848" s="9" t="s">
        <v>4738</v>
      </c>
      <c r="D848" s="9">
        <v>24.0</v>
      </c>
      <c r="E848" s="18">
        <f t="shared" si="1"/>
        <v>33140</v>
      </c>
      <c r="F848" s="9">
        <v>3.0</v>
      </c>
      <c r="G848" s="19">
        <v>34456.27</v>
      </c>
      <c r="H848" s="9" t="s">
        <v>4718</v>
      </c>
      <c r="I848" s="9" t="s">
        <v>4723</v>
      </c>
      <c r="J848" s="9" t="s">
        <v>4719</v>
      </c>
      <c r="K848" s="20">
        <f t="shared" si="2"/>
        <v>1990</v>
      </c>
      <c r="L848" s="9" t="str">
        <f t="shared" si="3"/>
        <v>tier - 1</v>
      </c>
      <c r="M848" s="9" t="str">
        <f t="shared" si="4"/>
        <v>tier - 2</v>
      </c>
      <c r="N848" s="9" t="str">
        <f t="shared" si="5"/>
        <v>R1011</v>
      </c>
      <c r="O848" s="17">
        <f t="shared" si="6"/>
        <v>32</v>
      </c>
      <c r="P848" s="18">
        <v>33140.0</v>
      </c>
    </row>
    <row r="849" ht="15.75" customHeight="1">
      <c r="A849" s="9" t="s">
        <v>475</v>
      </c>
      <c r="B849" s="17">
        <v>1998.0</v>
      </c>
      <c r="C849" s="9" t="s">
        <v>4730</v>
      </c>
      <c r="D849" s="9">
        <v>24.0</v>
      </c>
      <c r="E849" s="18">
        <f t="shared" si="1"/>
        <v>35970</v>
      </c>
      <c r="F849" s="9">
        <v>0.0</v>
      </c>
      <c r="G849" s="19">
        <v>34472.84</v>
      </c>
      <c r="H849" s="9" t="s">
        <v>4718</v>
      </c>
      <c r="I849" s="9" t="s">
        <v>4717</v>
      </c>
      <c r="J849" s="9" t="s">
        <v>4719</v>
      </c>
      <c r="K849" s="20">
        <f t="shared" si="2"/>
        <v>1998</v>
      </c>
      <c r="L849" s="9" t="str">
        <f t="shared" si="3"/>
        <v>tier - 1</v>
      </c>
      <c r="M849" s="9" t="str">
        <f t="shared" si="4"/>
        <v>tier - 3</v>
      </c>
      <c r="N849" s="9" t="str">
        <f t="shared" si="5"/>
        <v>R1011</v>
      </c>
      <c r="O849" s="17">
        <f t="shared" si="6"/>
        <v>24</v>
      </c>
      <c r="P849" s="18">
        <v>35970.0</v>
      </c>
    </row>
    <row r="850" ht="15.75" customHeight="1">
      <c r="A850" s="9" t="s">
        <v>473</v>
      </c>
      <c r="B850" s="17">
        <v>1976.0</v>
      </c>
      <c r="C850" s="9" t="s">
        <v>4735</v>
      </c>
      <c r="D850" s="9">
        <v>25.0</v>
      </c>
      <c r="E850" s="18">
        <f t="shared" si="1"/>
        <v>28089</v>
      </c>
      <c r="F850" s="9">
        <v>2.0</v>
      </c>
      <c r="G850" s="19">
        <v>34543.39</v>
      </c>
      <c r="H850" s="9" t="s">
        <v>4723</v>
      </c>
      <c r="I850" s="9" t="s">
        <v>4717</v>
      </c>
      <c r="J850" s="9" t="s">
        <v>4719</v>
      </c>
      <c r="K850" s="20">
        <f t="shared" si="2"/>
        <v>1976</v>
      </c>
      <c r="L850" s="9" t="str">
        <f t="shared" si="3"/>
        <v>tier - 2</v>
      </c>
      <c r="M850" s="9" t="str">
        <f t="shared" si="4"/>
        <v>tier - 3</v>
      </c>
      <c r="N850" s="9" t="str">
        <f t="shared" si="5"/>
        <v>R1011</v>
      </c>
      <c r="O850" s="17">
        <f t="shared" si="6"/>
        <v>46</v>
      </c>
      <c r="P850" s="18">
        <v>28089.0</v>
      </c>
    </row>
    <row r="851" ht="15.75" customHeight="1">
      <c r="A851" s="9" t="s">
        <v>471</v>
      </c>
      <c r="B851" s="17">
        <v>2004.0</v>
      </c>
      <c r="C851" s="9" t="s">
        <v>4720</v>
      </c>
      <c r="D851" s="9">
        <v>9.0</v>
      </c>
      <c r="E851" s="18">
        <f t="shared" si="1"/>
        <v>38269</v>
      </c>
      <c r="F851" s="9">
        <v>0.0</v>
      </c>
      <c r="G851" s="19">
        <v>34617.84</v>
      </c>
      <c r="H851" s="9" t="s">
        <v>4718</v>
      </c>
      <c r="I851" s="9" t="s">
        <v>4717</v>
      </c>
      <c r="J851" s="9" t="s">
        <v>4754</v>
      </c>
      <c r="K851" s="20">
        <f t="shared" si="2"/>
        <v>2004</v>
      </c>
      <c r="L851" s="9" t="str">
        <f t="shared" si="3"/>
        <v>tier - 1</v>
      </c>
      <c r="M851" s="9" t="str">
        <f t="shared" si="4"/>
        <v>tier - 3</v>
      </c>
      <c r="N851" s="9" t="str">
        <f t="shared" si="5"/>
        <v>R1016</v>
      </c>
      <c r="O851" s="17">
        <f t="shared" si="6"/>
        <v>18</v>
      </c>
      <c r="P851" s="18">
        <v>38269.0</v>
      </c>
    </row>
    <row r="852" ht="15.75" customHeight="1">
      <c r="A852" s="9" t="s">
        <v>469</v>
      </c>
      <c r="B852" s="17">
        <v>1994.0</v>
      </c>
      <c r="C852" s="9" t="s">
        <v>4741</v>
      </c>
      <c r="D852" s="9">
        <v>7.0</v>
      </c>
      <c r="E852" s="18">
        <f t="shared" si="1"/>
        <v>34522</v>
      </c>
      <c r="F852" s="9">
        <v>0.0</v>
      </c>
      <c r="G852" s="19">
        <v>34672.15</v>
      </c>
      <c r="H852" s="9" t="s">
        <v>4718</v>
      </c>
      <c r="I852" s="9" t="s">
        <v>4717</v>
      </c>
      <c r="J852" s="9" t="s">
        <v>4743</v>
      </c>
      <c r="K852" s="20">
        <f t="shared" si="2"/>
        <v>1994</v>
      </c>
      <c r="L852" s="9" t="str">
        <f t="shared" si="3"/>
        <v>tier - 1</v>
      </c>
      <c r="M852" s="9" t="str">
        <f t="shared" si="4"/>
        <v>tier - 3</v>
      </c>
      <c r="N852" s="9" t="str">
        <f t="shared" si="5"/>
        <v>R1013</v>
      </c>
      <c r="O852" s="17">
        <f t="shared" si="6"/>
        <v>28</v>
      </c>
      <c r="P852" s="18">
        <v>34522.0</v>
      </c>
    </row>
    <row r="853" ht="15.75" customHeight="1">
      <c r="A853" s="9" t="s">
        <v>4671</v>
      </c>
      <c r="B853" s="17">
        <v>1992.0</v>
      </c>
      <c r="C853" s="9" t="s">
        <v>4741</v>
      </c>
      <c r="D853" s="9">
        <v>9.0</v>
      </c>
      <c r="E853" s="18">
        <f t="shared" si="1"/>
        <v>33794</v>
      </c>
      <c r="F853" s="9">
        <v>0.0</v>
      </c>
      <c r="G853" s="19">
        <v>563.84</v>
      </c>
      <c r="H853" s="9" t="s">
        <v>4723</v>
      </c>
      <c r="I853" s="9" t="s">
        <v>4717</v>
      </c>
      <c r="J853" s="9" t="s">
        <v>4743</v>
      </c>
      <c r="K853" s="20">
        <f t="shared" si="2"/>
        <v>1992</v>
      </c>
      <c r="L853" s="9" t="str">
        <f t="shared" si="3"/>
        <v>tier - 2</v>
      </c>
      <c r="M853" s="9" t="str">
        <f t="shared" si="4"/>
        <v>tier - 3</v>
      </c>
      <c r="N853" s="9" t="str">
        <f t="shared" si="5"/>
        <v>R1013</v>
      </c>
      <c r="O853" s="17">
        <f t="shared" si="6"/>
        <v>30</v>
      </c>
      <c r="P853" s="18">
        <v>33794.0</v>
      </c>
    </row>
    <row r="854" ht="15.75" customHeight="1">
      <c r="A854" s="9" t="s">
        <v>4669</v>
      </c>
      <c r="B854" s="17">
        <v>1992.0</v>
      </c>
      <c r="C854" s="9" t="s">
        <v>4735</v>
      </c>
      <c r="D854" s="9">
        <v>30.0</v>
      </c>
      <c r="E854" s="18">
        <f t="shared" si="1"/>
        <v>33938</v>
      </c>
      <c r="F854" s="9">
        <v>0.0</v>
      </c>
      <c r="G854" s="19">
        <v>570.62</v>
      </c>
      <c r="H854" s="9" t="s">
        <v>4723</v>
      </c>
      <c r="I854" s="9" t="s">
        <v>4718</v>
      </c>
      <c r="J854" s="9" t="s">
        <v>4743</v>
      </c>
      <c r="K854" s="20">
        <f t="shared" si="2"/>
        <v>1992</v>
      </c>
      <c r="L854" s="9" t="str">
        <f t="shared" si="3"/>
        <v>tier - 2</v>
      </c>
      <c r="M854" s="9" t="str">
        <f t="shared" si="4"/>
        <v>tier - 1</v>
      </c>
      <c r="N854" s="9" t="str">
        <f t="shared" si="5"/>
        <v>R1013</v>
      </c>
      <c r="O854" s="17">
        <f t="shared" si="6"/>
        <v>30</v>
      </c>
      <c r="P854" s="18">
        <v>33938.0</v>
      </c>
    </row>
    <row r="855" ht="15.75" customHeight="1">
      <c r="A855" s="9" t="s">
        <v>4667</v>
      </c>
      <c r="B855" s="17">
        <v>1993.0</v>
      </c>
      <c r="C855" s="9" t="s">
        <v>4730</v>
      </c>
      <c r="D855" s="9">
        <v>30.0</v>
      </c>
      <c r="E855" s="18">
        <f t="shared" si="1"/>
        <v>34150</v>
      </c>
      <c r="F855" s="9">
        <v>0.0</v>
      </c>
      <c r="G855" s="19">
        <v>600.0</v>
      </c>
      <c r="H855" s="9" t="s">
        <v>4723</v>
      </c>
      <c r="I855" s="9" t="s">
        <v>4718</v>
      </c>
      <c r="J855" s="9" t="s">
        <v>4743</v>
      </c>
      <c r="K855" s="20">
        <f t="shared" si="2"/>
        <v>1993</v>
      </c>
      <c r="L855" s="9" t="str">
        <f t="shared" si="3"/>
        <v>tier - 2</v>
      </c>
      <c r="M855" s="9" t="str">
        <f t="shared" si="4"/>
        <v>tier - 1</v>
      </c>
      <c r="N855" s="9" t="str">
        <f t="shared" si="5"/>
        <v>R1013</v>
      </c>
      <c r="O855" s="17">
        <f t="shared" si="6"/>
        <v>29</v>
      </c>
      <c r="P855" s="18">
        <v>34150.0</v>
      </c>
    </row>
    <row r="856" ht="15.75" customHeight="1">
      <c r="A856" s="9" t="s">
        <v>4665</v>
      </c>
      <c r="B856" s="17">
        <v>1992.0</v>
      </c>
      <c r="C856" s="9" t="s">
        <v>4738</v>
      </c>
      <c r="D856" s="9">
        <v>13.0</v>
      </c>
      <c r="E856" s="18">
        <f t="shared" si="1"/>
        <v>33860</v>
      </c>
      <c r="F856" s="9">
        <v>0.0</v>
      </c>
      <c r="G856" s="19">
        <v>604.54</v>
      </c>
      <c r="H856" s="9" t="s">
        <v>4717</v>
      </c>
      <c r="I856" s="9" t="s">
        <v>4717</v>
      </c>
      <c r="J856" s="9" t="s">
        <v>4743</v>
      </c>
      <c r="K856" s="20">
        <f t="shared" si="2"/>
        <v>1992</v>
      </c>
      <c r="L856" s="9" t="str">
        <f t="shared" si="3"/>
        <v>tier - 3</v>
      </c>
      <c r="M856" s="9" t="str">
        <f t="shared" si="4"/>
        <v>tier - 3</v>
      </c>
      <c r="N856" s="9" t="str">
        <f t="shared" si="5"/>
        <v>R1013</v>
      </c>
      <c r="O856" s="17">
        <f t="shared" si="6"/>
        <v>30</v>
      </c>
      <c r="P856" s="18">
        <v>33860.0</v>
      </c>
    </row>
    <row r="857" ht="15.75" customHeight="1">
      <c r="A857" s="9" t="s">
        <v>4663</v>
      </c>
      <c r="B857" s="17">
        <v>1998.0</v>
      </c>
      <c r="C857" s="9" t="s">
        <v>4741</v>
      </c>
      <c r="D857" s="9">
        <v>27.0</v>
      </c>
      <c r="E857" s="18">
        <f t="shared" si="1"/>
        <v>36003</v>
      </c>
      <c r="F857" s="9">
        <v>0.0</v>
      </c>
      <c r="G857" s="19">
        <v>637.26</v>
      </c>
      <c r="H857" s="9" t="s">
        <v>4717</v>
      </c>
      <c r="I857" s="9" t="s">
        <v>4717</v>
      </c>
      <c r="J857" s="9" t="s">
        <v>4743</v>
      </c>
      <c r="K857" s="20">
        <f t="shared" si="2"/>
        <v>1998</v>
      </c>
      <c r="L857" s="9" t="str">
        <f t="shared" si="3"/>
        <v>tier - 3</v>
      </c>
      <c r="M857" s="9" t="str">
        <f t="shared" si="4"/>
        <v>tier - 3</v>
      </c>
      <c r="N857" s="9" t="str">
        <f t="shared" si="5"/>
        <v>R1013</v>
      </c>
      <c r="O857" s="17">
        <f t="shared" si="6"/>
        <v>24</v>
      </c>
      <c r="P857" s="18">
        <v>36003.0</v>
      </c>
    </row>
    <row r="858" ht="15.75" customHeight="1">
      <c r="A858" s="9" t="s">
        <v>4661</v>
      </c>
      <c r="B858" s="17">
        <v>2001.0</v>
      </c>
      <c r="C858" s="9" t="s">
        <v>4735</v>
      </c>
      <c r="D858" s="9">
        <v>20.0</v>
      </c>
      <c r="E858" s="18">
        <f t="shared" si="1"/>
        <v>37215</v>
      </c>
      <c r="F858" s="9">
        <v>0.0</v>
      </c>
      <c r="G858" s="19">
        <v>646.14</v>
      </c>
      <c r="H858" s="9" t="s">
        <v>4717</v>
      </c>
      <c r="I858" s="9" t="s">
        <v>4717</v>
      </c>
      <c r="J858" s="9" t="s">
        <v>4733</v>
      </c>
      <c r="K858" s="20">
        <f t="shared" si="2"/>
        <v>2001</v>
      </c>
      <c r="L858" s="9" t="str">
        <f t="shared" si="3"/>
        <v>tier - 3</v>
      </c>
      <c r="M858" s="9" t="str">
        <f t="shared" si="4"/>
        <v>tier - 3</v>
      </c>
      <c r="N858" s="9" t="str">
        <f t="shared" si="5"/>
        <v>R1012</v>
      </c>
      <c r="O858" s="17">
        <f t="shared" si="6"/>
        <v>21</v>
      </c>
      <c r="P858" s="18">
        <v>37215.0</v>
      </c>
    </row>
    <row r="859" ht="15.75" customHeight="1">
      <c r="A859" s="9" t="s">
        <v>467</v>
      </c>
      <c r="B859" s="17">
        <v>2003.0</v>
      </c>
      <c r="C859" s="9" t="s">
        <v>4741</v>
      </c>
      <c r="D859" s="9">
        <v>3.0</v>
      </c>
      <c r="E859" s="18">
        <f t="shared" si="1"/>
        <v>37805</v>
      </c>
      <c r="F859" s="9">
        <v>0.0</v>
      </c>
      <c r="G859" s="19">
        <v>34779.62</v>
      </c>
      <c r="H859" s="9" t="s">
        <v>4718</v>
      </c>
      <c r="I859" s="9" t="s">
        <v>4723</v>
      </c>
      <c r="J859" s="9" t="s">
        <v>4719</v>
      </c>
      <c r="K859" s="20">
        <f t="shared" si="2"/>
        <v>2003</v>
      </c>
      <c r="L859" s="9" t="str">
        <f t="shared" si="3"/>
        <v>tier - 1</v>
      </c>
      <c r="M859" s="9" t="str">
        <f t="shared" si="4"/>
        <v>tier - 2</v>
      </c>
      <c r="N859" s="9" t="str">
        <f t="shared" si="5"/>
        <v>R1011</v>
      </c>
      <c r="O859" s="17">
        <f t="shared" si="6"/>
        <v>19</v>
      </c>
      <c r="P859" s="18">
        <v>37805.0</v>
      </c>
    </row>
    <row r="860" ht="15.75" customHeight="1">
      <c r="A860" s="9" t="s">
        <v>4659</v>
      </c>
      <c r="B860" s="17">
        <v>1993.0</v>
      </c>
      <c r="C860" s="9" t="s">
        <v>4730</v>
      </c>
      <c r="D860" s="9">
        <v>1.0</v>
      </c>
      <c r="E860" s="18">
        <f t="shared" si="1"/>
        <v>34121</v>
      </c>
      <c r="F860" s="9">
        <v>0.0</v>
      </c>
      <c r="G860" s="19">
        <v>650.0</v>
      </c>
      <c r="H860" s="9" t="s">
        <v>4717</v>
      </c>
      <c r="I860" s="9" t="s">
        <v>4717</v>
      </c>
      <c r="J860" s="9" t="s">
        <v>4743</v>
      </c>
      <c r="K860" s="20">
        <f t="shared" si="2"/>
        <v>1993</v>
      </c>
      <c r="L860" s="9" t="str">
        <f t="shared" si="3"/>
        <v>tier - 3</v>
      </c>
      <c r="M860" s="9" t="str">
        <f t="shared" si="4"/>
        <v>tier - 3</v>
      </c>
      <c r="N860" s="9" t="str">
        <f t="shared" si="5"/>
        <v>R1013</v>
      </c>
      <c r="O860" s="17">
        <f t="shared" si="6"/>
        <v>30</v>
      </c>
      <c r="P860" s="18">
        <v>34121.0</v>
      </c>
    </row>
    <row r="861" ht="15.75" customHeight="1">
      <c r="A861" s="9" t="s">
        <v>4657</v>
      </c>
      <c r="B861" s="17">
        <v>1995.0</v>
      </c>
      <c r="C861" s="9" t="s">
        <v>4741</v>
      </c>
      <c r="D861" s="9">
        <v>4.0</v>
      </c>
      <c r="E861" s="18">
        <f t="shared" si="1"/>
        <v>34884</v>
      </c>
      <c r="F861" s="9">
        <v>0.0</v>
      </c>
      <c r="G861" s="19">
        <v>650.0</v>
      </c>
      <c r="H861" s="9" t="s">
        <v>4717</v>
      </c>
      <c r="I861" s="9" t="s">
        <v>4717</v>
      </c>
      <c r="J861" s="9" t="s">
        <v>4743</v>
      </c>
      <c r="K861" s="20">
        <f t="shared" si="2"/>
        <v>1995</v>
      </c>
      <c r="L861" s="9" t="str">
        <f t="shared" si="3"/>
        <v>tier - 3</v>
      </c>
      <c r="M861" s="9" t="str">
        <f t="shared" si="4"/>
        <v>tier - 3</v>
      </c>
      <c r="N861" s="9" t="str">
        <f t="shared" si="5"/>
        <v>R1013</v>
      </c>
      <c r="O861" s="17">
        <f t="shared" si="6"/>
        <v>27</v>
      </c>
      <c r="P861" s="18">
        <v>34884.0</v>
      </c>
    </row>
    <row r="862" ht="15.75" customHeight="1">
      <c r="A862" s="9" t="s">
        <v>4655</v>
      </c>
      <c r="B862" s="17">
        <v>2002.0</v>
      </c>
      <c r="C862" s="9" t="s">
        <v>4735</v>
      </c>
      <c r="D862" s="9">
        <v>29.0</v>
      </c>
      <c r="E862" s="18">
        <f t="shared" si="1"/>
        <v>37589</v>
      </c>
      <c r="F862" s="9">
        <v>0.0</v>
      </c>
      <c r="G862" s="19">
        <v>668.0</v>
      </c>
      <c r="H862" s="9" t="s">
        <v>4717</v>
      </c>
      <c r="I862" s="9" t="s">
        <v>4723</v>
      </c>
      <c r="J862" s="9" t="s">
        <v>4733</v>
      </c>
      <c r="K862" s="20">
        <f t="shared" si="2"/>
        <v>2002</v>
      </c>
      <c r="L862" s="9" t="str">
        <f t="shared" si="3"/>
        <v>tier - 3</v>
      </c>
      <c r="M862" s="9" t="str">
        <f t="shared" si="4"/>
        <v>tier - 2</v>
      </c>
      <c r="N862" s="9" t="str">
        <f t="shared" si="5"/>
        <v>R1012</v>
      </c>
      <c r="O862" s="17">
        <f t="shared" si="6"/>
        <v>20</v>
      </c>
      <c r="P862" s="18">
        <v>37589.0</v>
      </c>
    </row>
    <row r="863" ht="15.75" customHeight="1">
      <c r="A863" s="9" t="s">
        <v>4653</v>
      </c>
      <c r="B863" s="17">
        <v>1997.0</v>
      </c>
      <c r="C863" s="9" t="s">
        <v>4735</v>
      </c>
      <c r="D863" s="9">
        <v>9.0</v>
      </c>
      <c r="E863" s="18">
        <f t="shared" si="1"/>
        <v>35743</v>
      </c>
      <c r="F863" s="9">
        <v>0.0</v>
      </c>
      <c r="G863" s="19">
        <v>670.0</v>
      </c>
      <c r="H863" s="9" t="s">
        <v>4717</v>
      </c>
      <c r="I863" s="9" t="s">
        <v>4717</v>
      </c>
      <c r="J863" s="9" t="s">
        <v>4743</v>
      </c>
      <c r="K863" s="20">
        <f t="shared" si="2"/>
        <v>1997</v>
      </c>
      <c r="L863" s="9" t="str">
        <f t="shared" si="3"/>
        <v>tier - 3</v>
      </c>
      <c r="M863" s="9" t="str">
        <f t="shared" si="4"/>
        <v>tier - 3</v>
      </c>
      <c r="N863" s="9" t="str">
        <f t="shared" si="5"/>
        <v>R1013</v>
      </c>
      <c r="O863" s="17">
        <f t="shared" si="6"/>
        <v>25</v>
      </c>
      <c r="P863" s="18">
        <v>35743.0</v>
      </c>
    </row>
    <row r="864" ht="15.75" customHeight="1">
      <c r="A864" s="9" t="s">
        <v>4651</v>
      </c>
      <c r="B864" s="17">
        <v>2001.0</v>
      </c>
      <c r="C864" s="9" t="s">
        <v>4738</v>
      </c>
      <c r="D864" s="9">
        <v>12.0</v>
      </c>
      <c r="E864" s="18">
        <f t="shared" si="1"/>
        <v>37146</v>
      </c>
      <c r="F864" s="9">
        <v>0.0</v>
      </c>
      <c r="G864" s="19">
        <v>687.54</v>
      </c>
      <c r="H864" s="9" t="s">
        <v>4717</v>
      </c>
      <c r="I864" s="9" t="s">
        <v>4723</v>
      </c>
      <c r="J864" s="9" t="s">
        <v>4743</v>
      </c>
      <c r="K864" s="20">
        <f t="shared" si="2"/>
        <v>2001</v>
      </c>
      <c r="L864" s="9" t="str">
        <f t="shared" si="3"/>
        <v>tier - 3</v>
      </c>
      <c r="M864" s="9" t="str">
        <f t="shared" si="4"/>
        <v>tier - 2</v>
      </c>
      <c r="N864" s="9" t="str">
        <f t="shared" si="5"/>
        <v>R1013</v>
      </c>
      <c r="O864" s="17">
        <f t="shared" si="6"/>
        <v>21</v>
      </c>
      <c r="P864" s="18">
        <v>37146.0</v>
      </c>
    </row>
    <row r="865" ht="15.75" customHeight="1">
      <c r="A865" s="9" t="s">
        <v>4649</v>
      </c>
      <c r="B865" s="17">
        <v>1999.0</v>
      </c>
      <c r="C865" s="9" t="s">
        <v>4725</v>
      </c>
      <c r="D865" s="9">
        <v>26.0</v>
      </c>
      <c r="E865" s="18">
        <f t="shared" si="1"/>
        <v>36520</v>
      </c>
      <c r="F865" s="9">
        <v>0.0</v>
      </c>
      <c r="G865" s="19">
        <v>700.0</v>
      </c>
      <c r="H865" s="9" t="s">
        <v>4700</v>
      </c>
      <c r="I865" s="9" t="s">
        <v>4717</v>
      </c>
      <c r="J865" s="9" t="s">
        <v>4743</v>
      </c>
      <c r="K865" s="20">
        <f t="shared" si="2"/>
        <v>1999</v>
      </c>
      <c r="L865" s="9" t="str">
        <f t="shared" si="3"/>
        <v>tier - 3</v>
      </c>
      <c r="M865" s="9" t="str">
        <f t="shared" si="4"/>
        <v>tier - 3</v>
      </c>
      <c r="N865" s="9" t="str">
        <f t="shared" si="5"/>
        <v>R1013</v>
      </c>
      <c r="O865" s="17">
        <f t="shared" si="6"/>
        <v>23</v>
      </c>
      <c r="P865" s="18">
        <v>36520.0</v>
      </c>
    </row>
    <row r="866" ht="15.75" customHeight="1">
      <c r="A866" s="9" t="s">
        <v>4647</v>
      </c>
      <c r="B866" s="17">
        <v>1999.0</v>
      </c>
      <c r="C866" s="9" t="s">
        <v>4725</v>
      </c>
      <c r="D866" s="9">
        <v>14.0</v>
      </c>
      <c r="E866" s="18">
        <f t="shared" si="1"/>
        <v>36508</v>
      </c>
      <c r="F866" s="9">
        <v>0.0</v>
      </c>
      <c r="G866" s="19">
        <v>722.99</v>
      </c>
      <c r="H866" s="9" t="s">
        <v>4717</v>
      </c>
      <c r="I866" s="9" t="s">
        <v>4718</v>
      </c>
      <c r="J866" s="9" t="s">
        <v>4743</v>
      </c>
      <c r="K866" s="20">
        <f t="shared" si="2"/>
        <v>1999</v>
      </c>
      <c r="L866" s="9" t="str">
        <f t="shared" si="3"/>
        <v>tier - 3</v>
      </c>
      <c r="M866" s="9" t="str">
        <f t="shared" si="4"/>
        <v>tier - 1</v>
      </c>
      <c r="N866" s="9" t="str">
        <f t="shared" si="5"/>
        <v>R1013</v>
      </c>
      <c r="O866" s="17">
        <f t="shared" si="6"/>
        <v>23</v>
      </c>
      <c r="P866" s="18">
        <v>36508.0</v>
      </c>
    </row>
    <row r="867" ht="15.75" customHeight="1">
      <c r="A867" s="9" t="s">
        <v>4645</v>
      </c>
      <c r="B867" s="17">
        <v>2002.0</v>
      </c>
      <c r="C867" s="9" t="s">
        <v>4738</v>
      </c>
      <c r="D867" s="9">
        <v>19.0</v>
      </c>
      <c r="E867" s="18">
        <f t="shared" si="1"/>
        <v>37518</v>
      </c>
      <c r="F867" s="9">
        <v>0.0</v>
      </c>
      <c r="G867" s="19">
        <v>750.0</v>
      </c>
      <c r="H867" s="9" t="s">
        <v>4717</v>
      </c>
      <c r="I867" s="9" t="s">
        <v>4718</v>
      </c>
      <c r="J867" s="9" t="s">
        <v>4733</v>
      </c>
      <c r="K867" s="20">
        <f t="shared" si="2"/>
        <v>2002</v>
      </c>
      <c r="L867" s="9" t="str">
        <f t="shared" si="3"/>
        <v>tier - 3</v>
      </c>
      <c r="M867" s="9" t="str">
        <f t="shared" si="4"/>
        <v>tier - 1</v>
      </c>
      <c r="N867" s="9" t="str">
        <f t="shared" si="5"/>
        <v>R1012</v>
      </c>
      <c r="O867" s="17">
        <f t="shared" si="6"/>
        <v>20</v>
      </c>
      <c r="P867" s="18">
        <v>37518.0</v>
      </c>
    </row>
    <row r="868" ht="15.75" customHeight="1">
      <c r="A868" s="9" t="s">
        <v>4643</v>
      </c>
      <c r="B868" s="17">
        <v>1993.0</v>
      </c>
      <c r="C868" s="9" t="s">
        <v>4716</v>
      </c>
      <c r="E868" s="18">
        <f t="shared" si="1"/>
        <v>34181</v>
      </c>
      <c r="F868" s="9">
        <v>0.0</v>
      </c>
      <c r="G868" s="19">
        <v>760.0</v>
      </c>
      <c r="H868" s="9" t="s">
        <v>4717</v>
      </c>
      <c r="I868" s="9" t="s">
        <v>4718</v>
      </c>
      <c r="J868" s="9" t="s">
        <v>4743</v>
      </c>
      <c r="K868" s="20">
        <f t="shared" si="2"/>
        <v>1993</v>
      </c>
      <c r="L868" s="9" t="str">
        <f t="shared" si="3"/>
        <v>tier - 3</v>
      </c>
      <c r="M868" s="9" t="str">
        <f t="shared" si="4"/>
        <v>tier - 1</v>
      </c>
      <c r="N868" s="9" t="str">
        <f t="shared" si="5"/>
        <v>R1013</v>
      </c>
      <c r="O868" s="17">
        <f t="shared" si="6"/>
        <v>29</v>
      </c>
      <c r="P868" s="18">
        <v>34181.0</v>
      </c>
    </row>
    <row r="869" ht="15.75" customHeight="1">
      <c r="A869" s="9" t="s">
        <v>4641</v>
      </c>
      <c r="B869" s="17">
        <v>1996.0</v>
      </c>
      <c r="C869" s="9" t="s">
        <v>4720</v>
      </c>
      <c r="D869" s="9">
        <v>22.0</v>
      </c>
      <c r="E869" s="18">
        <f t="shared" si="1"/>
        <v>35360</v>
      </c>
      <c r="F869" s="9">
        <v>0.0</v>
      </c>
      <c r="G869" s="19">
        <v>760.0</v>
      </c>
      <c r="H869" s="9" t="s">
        <v>4717</v>
      </c>
      <c r="I869" s="9" t="s">
        <v>4717</v>
      </c>
      <c r="J869" s="9" t="s">
        <v>4743</v>
      </c>
      <c r="K869" s="20">
        <f t="shared" si="2"/>
        <v>1996</v>
      </c>
      <c r="L869" s="9" t="str">
        <f t="shared" si="3"/>
        <v>tier - 3</v>
      </c>
      <c r="M869" s="9" t="str">
        <f t="shared" si="4"/>
        <v>tier - 3</v>
      </c>
      <c r="N869" s="9" t="str">
        <f t="shared" si="5"/>
        <v>R1013</v>
      </c>
      <c r="O869" s="17">
        <f t="shared" si="6"/>
        <v>26</v>
      </c>
      <c r="P869" s="18">
        <v>35360.0</v>
      </c>
    </row>
    <row r="870" ht="15.75" customHeight="1">
      <c r="A870" s="9" t="s">
        <v>465</v>
      </c>
      <c r="B870" s="17">
        <v>1995.0</v>
      </c>
      <c r="C870" s="9" t="s">
        <v>4725</v>
      </c>
      <c r="D870" s="9">
        <v>27.0</v>
      </c>
      <c r="E870" s="18">
        <f t="shared" si="1"/>
        <v>35060</v>
      </c>
      <c r="F870" s="9">
        <v>1.0</v>
      </c>
      <c r="G870" s="19">
        <v>34806.47</v>
      </c>
      <c r="H870" s="9" t="s">
        <v>4718</v>
      </c>
      <c r="I870" s="9" t="s">
        <v>4723</v>
      </c>
      <c r="J870" s="9" t="s">
        <v>4743</v>
      </c>
      <c r="K870" s="20">
        <f t="shared" si="2"/>
        <v>1995</v>
      </c>
      <c r="L870" s="9" t="str">
        <f t="shared" si="3"/>
        <v>tier - 1</v>
      </c>
      <c r="M870" s="9" t="str">
        <f t="shared" si="4"/>
        <v>tier - 2</v>
      </c>
      <c r="N870" s="9" t="str">
        <f t="shared" si="5"/>
        <v>R1013</v>
      </c>
      <c r="O870" s="17">
        <f t="shared" si="6"/>
        <v>27</v>
      </c>
      <c r="P870" s="18">
        <v>35060.0</v>
      </c>
    </row>
    <row r="871" ht="15.75" customHeight="1">
      <c r="A871" s="9" t="s">
        <v>4639</v>
      </c>
      <c r="B871" s="17">
        <v>1993.0</v>
      </c>
      <c r="C871" s="9" t="s">
        <v>4730</v>
      </c>
      <c r="D871" s="9">
        <v>28.0</v>
      </c>
      <c r="E871" s="18">
        <f t="shared" si="1"/>
        <v>34148</v>
      </c>
      <c r="F871" s="9">
        <v>0.0</v>
      </c>
      <c r="G871" s="19">
        <v>770.0</v>
      </c>
      <c r="H871" s="9" t="s">
        <v>4717</v>
      </c>
      <c r="I871" s="9" t="s">
        <v>4717</v>
      </c>
      <c r="J871" s="9" t="s">
        <v>4743</v>
      </c>
      <c r="K871" s="20">
        <f t="shared" si="2"/>
        <v>1993</v>
      </c>
      <c r="L871" s="9" t="str">
        <f t="shared" si="3"/>
        <v>tier - 3</v>
      </c>
      <c r="M871" s="9" t="str">
        <f t="shared" si="4"/>
        <v>tier - 3</v>
      </c>
      <c r="N871" s="9" t="str">
        <f t="shared" si="5"/>
        <v>R1013</v>
      </c>
      <c r="O871" s="17">
        <f t="shared" si="6"/>
        <v>29</v>
      </c>
      <c r="P871" s="18">
        <v>34148.0</v>
      </c>
    </row>
    <row r="872" ht="15.75" customHeight="1">
      <c r="A872" s="9" t="s">
        <v>4637</v>
      </c>
      <c r="B872" s="17">
        <v>1996.0</v>
      </c>
      <c r="C872" s="9" t="s">
        <v>4738</v>
      </c>
      <c r="D872" s="9">
        <v>18.0</v>
      </c>
      <c r="E872" s="18">
        <f t="shared" si="1"/>
        <v>35326</v>
      </c>
      <c r="F872" s="9">
        <v>0.0</v>
      </c>
      <c r="G872" s="19">
        <v>770.38</v>
      </c>
      <c r="H872" s="9" t="s">
        <v>4717</v>
      </c>
      <c r="I872" s="9" t="s">
        <v>4700</v>
      </c>
      <c r="J872" s="9" t="s">
        <v>4733</v>
      </c>
      <c r="K872" s="20">
        <f t="shared" si="2"/>
        <v>1996</v>
      </c>
      <c r="L872" s="9" t="str">
        <f t="shared" si="3"/>
        <v>tier - 3</v>
      </c>
      <c r="M872" s="9" t="str">
        <f t="shared" si="4"/>
        <v>tier - 1</v>
      </c>
      <c r="N872" s="9" t="str">
        <f t="shared" si="5"/>
        <v>R1012</v>
      </c>
      <c r="O872" s="17">
        <f t="shared" si="6"/>
        <v>26</v>
      </c>
      <c r="P872" s="18">
        <v>35326.0</v>
      </c>
    </row>
    <row r="873" ht="15.75" customHeight="1">
      <c r="A873" s="9" t="s">
        <v>4635</v>
      </c>
      <c r="B873" s="17">
        <v>1995.0</v>
      </c>
      <c r="C873" s="9" t="s">
        <v>4725</v>
      </c>
      <c r="D873" s="9">
        <v>7.0</v>
      </c>
      <c r="E873" s="18">
        <f t="shared" si="1"/>
        <v>35040</v>
      </c>
      <c r="F873" s="9">
        <v>0.0</v>
      </c>
      <c r="G873" s="19">
        <v>773.54</v>
      </c>
      <c r="H873" s="9" t="s">
        <v>4717</v>
      </c>
      <c r="I873" s="9" t="s">
        <v>4723</v>
      </c>
      <c r="J873" s="9" t="s">
        <v>4743</v>
      </c>
      <c r="K873" s="20">
        <f t="shared" si="2"/>
        <v>1995</v>
      </c>
      <c r="L873" s="9" t="str">
        <f t="shared" si="3"/>
        <v>tier - 3</v>
      </c>
      <c r="M873" s="9" t="str">
        <f t="shared" si="4"/>
        <v>tier - 2</v>
      </c>
      <c r="N873" s="9" t="str">
        <f t="shared" si="5"/>
        <v>R1013</v>
      </c>
      <c r="O873" s="17">
        <f t="shared" si="6"/>
        <v>27</v>
      </c>
      <c r="P873" s="18">
        <v>35040.0</v>
      </c>
    </row>
    <row r="874" ht="15.75" customHeight="1">
      <c r="A874" s="9" t="s">
        <v>4633</v>
      </c>
      <c r="B874" s="17">
        <v>2004.0</v>
      </c>
      <c r="C874" s="9" t="s">
        <v>4720</v>
      </c>
      <c r="D874" s="9">
        <v>7.0</v>
      </c>
      <c r="E874" s="18">
        <f t="shared" si="1"/>
        <v>38267</v>
      </c>
      <c r="F874" s="9">
        <v>0.0</v>
      </c>
      <c r="G874" s="19">
        <v>830.52</v>
      </c>
      <c r="H874" s="9" t="s">
        <v>4717</v>
      </c>
      <c r="I874" s="9" t="s">
        <v>4723</v>
      </c>
      <c r="J874" s="9" t="s">
        <v>4719</v>
      </c>
      <c r="K874" s="20">
        <f t="shared" si="2"/>
        <v>2004</v>
      </c>
      <c r="L874" s="9" t="str">
        <f t="shared" si="3"/>
        <v>tier - 3</v>
      </c>
      <c r="M874" s="9" t="str">
        <f t="shared" si="4"/>
        <v>tier - 2</v>
      </c>
      <c r="N874" s="9" t="str">
        <f t="shared" si="5"/>
        <v>R1011</v>
      </c>
      <c r="O874" s="17">
        <f t="shared" si="6"/>
        <v>18</v>
      </c>
      <c r="P874" s="18">
        <v>38267.0</v>
      </c>
    </row>
    <row r="875" ht="15.75" customHeight="1">
      <c r="A875" s="9" t="s">
        <v>4631</v>
      </c>
      <c r="B875" s="17">
        <v>2000.0</v>
      </c>
      <c r="C875" s="9" t="s">
        <v>4735</v>
      </c>
      <c r="D875" s="9">
        <v>18.0</v>
      </c>
      <c r="E875" s="18">
        <f t="shared" si="1"/>
        <v>36848</v>
      </c>
      <c r="F875" s="9">
        <v>0.0</v>
      </c>
      <c r="G875" s="19">
        <v>865.41</v>
      </c>
      <c r="H875" s="9" t="s">
        <v>4717</v>
      </c>
      <c r="I875" s="9" t="s">
        <v>4718</v>
      </c>
      <c r="J875" s="9" t="s">
        <v>4743</v>
      </c>
      <c r="K875" s="20">
        <f t="shared" si="2"/>
        <v>2000</v>
      </c>
      <c r="L875" s="9" t="str">
        <f t="shared" si="3"/>
        <v>tier - 3</v>
      </c>
      <c r="M875" s="9" t="str">
        <f t="shared" si="4"/>
        <v>tier - 1</v>
      </c>
      <c r="N875" s="9" t="str">
        <f t="shared" si="5"/>
        <v>R1013</v>
      </c>
      <c r="O875" s="17">
        <f t="shared" si="6"/>
        <v>22</v>
      </c>
      <c r="P875" s="18">
        <v>36848.0</v>
      </c>
    </row>
    <row r="876" ht="15.75" customHeight="1">
      <c r="A876" s="9" t="s">
        <v>4629</v>
      </c>
      <c r="B876" s="17">
        <v>1993.0</v>
      </c>
      <c r="C876" s="9" t="s">
        <v>4735</v>
      </c>
      <c r="D876" s="9">
        <v>27.0</v>
      </c>
      <c r="E876" s="18">
        <f t="shared" si="1"/>
        <v>34300</v>
      </c>
      <c r="F876" s="9">
        <v>0.0</v>
      </c>
      <c r="G876" s="19">
        <v>896.21</v>
      </c>
      <c r="H876" s="9" t="s">
        <v>4717</v>
      </c>
      <c r="I876" s="9" t="s">
        <v>4718</v>
      </c>
      <c r="J876" s="9" t="s">
        <v>4743</v>
      </c>
      <c r="K876" s="20">
        <f t="shared" si="2"/>
        <v>1993</v>
      </c>
      <c r="L876" s="9" t="str">
        <f t="shared" si="3"/>
        <v>tier - 3</v>
      </c>
      <c r="M876" s="9" t="str">
        <f t="shared" si="4"/>
        <v>tier - 1</v>
      </c>
      <c r="N876" s="9" t="str">
        <f t="shared" si="5"/>
        <v>R1013</v>
      </c>
      <c r="O876" s="17">
        <f t="shared" si="6"/>
        <v>29</v>
      </c>
      <c r="P876" s="18">
        <v>34300.0</v>
      </c>
    </row>
    <row r="877" ht="15.75" customHeight="1">
      <c r="A877" s="9" t="s">
        <v>4627</v>
      </c>
      <c r="B877" s="17">
        <v>1994.0</v>
      </c>
      <c r="C877" s="9" t="s">
        <v>4720</v>
      </c>
      <c r="D877" s="9">
        <v>30.0</v>
      </c>
      <c r="E877" s="18">
        <f t="shared" si="1"/>
        <v>34637</v>
      </c>
      <c r="F877" s="9">
        <v>0.0</v>
      </c>
      <c r="G877" s="19">
        <v>915.07</v>
      </c>
      <c r="H877" s="9" t="s">
        <v>4717</v>
      </c>
      <c r="I877" s="9" t="s">
        <v>4718</v>
      </c>
      <c r="J877" s="9" t="s">
        <v>4743</v>
      </c>
      <c r="K877" s="20">
        <f t="shared" si="2"/>
        <v>1994</v>
      </c>
      <c r="L877" s="9" t="str">
        <f t="shared" si="3"/>
        <v>tier - 3</v>
      </c>
      <c r="M877" s="9" t="str">
        <f t="shared" si="4"/>
        <v>tier - 1</v>
      </c>
      <c r="N877" s="9" t="str">
        <f t="shared" si="5"/>
        <v>R1013</v>
      </c>
      <c r="O877" s="17">
        <f t="shared" si="6"/>
        <v>28</v>
      </c>
      <c r="P877" s="18">
        <v>34637.0</v>
      </c>
    </row>
    <row r="878" ht="15.75" customHeight="1">
      <c r="A878" s="9" t="s">
        <v>4625</v>
      </c>
      <c r="B878" s="17">
        <v>1995.0</v>
      </c>
      <c r="C878" s="9" t="s">
        <v>4720</v>
      </c>
      <c r="D878" s="9">
        <v>28.0</v>
      </c>
      <c r="E878" s="18">
        <f t="shared" si="1"/>
        <v>35000</v>
      </c>
      <c r="F878" s="9">
        <v>0.0</v>
      </c>
      <c r="G878" s="19">
        <v>928.59</v>
      </c>
      <c r="H878" s="9" t="s">
        <v>4717</v>
      </c>
      <c r="I878" s="9" t="s">
        <v>4718</v>
      </c>
      <c r="J878" s="9" t="s">
        <v>4743</v>
      </c>
      <c r="K878" s="20">
        <f t="shared" si="2"/>
        <v>1995</v>
      </c>
      <c r="L878" s="9" t="str">
        <f t="shared" si="3"/>
        <v>tier - 3</v>
      </c>
      <c r="M878" s="9" t="str">
        <f t="shared" si="4"/>
        <v>tier - 1</v>
      </c>
      <c r="N878" s="9" t="str">
        <f t="shared" si="5"/>
        <v>R1013</v>
      </c>
      <c r="O878" s="17">
        <f t="shared" si="6"/>
        <v>27</v>
      </c>
      <c r="P878" s="18">
        <v>35000.0</v>
      </c>
    </row>
    <row r="879" ht="15.75" customHeight="1">
      <c r="A879" s="9" t="s">
        <v>4623</v>
      </c>
      <c r="B879" s="17">
        <v>2001.0</v>
      </c>
      <c r="C879" s="9" t="s">
        <v>4716</v>
      </c>
      <c r="D879" s="9">
        <v>19.0</v>
      </c>
      <c r="E879" s="18">
        <f t="shared" si="1"/>
        <v>37122</v>
      </c>
      <c r="F879" s="9">
        <v>0.0</v>
      </c>
      <c r="G879" s="19">
        <v>964.71</v>
      </c>
      <c r="H879" s="9" t="s">
        <v>4717</v>
      </c>
      <c r="I879" s="9" t="s">
        <v>4723</v>
      </c>
      <c r="J879" s="9" t="s">
        <v>4743</v>
      </c>
      <c r="K879" s="20">
        <f t="shared" si="2"/>
        <v>2001</v>
      </c>
      <c r="L879" s="9" t="str">
        <f t="shared" si="3"/>
        <v>tier - 3</v>
      </c>
      <c r="M879" s="9" t="str">
        <f t="shared" si="4"/>
        <v>tier - 2</v>
      </c>
      <c r="N879" s="9" t="str">
        <f t="shared" si="5"/>
        <v>R1013</v>
      </c>
      <c r="O879" s="17">
        <f t="shared" si="6"/>
        <v>21</v>
      </c>
      <c r="P879" s="18">
        <v>37122.0</v>
      </c>
    </row>
    <row r="880" ht="15.75" customHeight="1">
      <c r="A880" s="9" t="s">
        <v>4621</v>
      </c>
      <c r="B880" s="17">
        <v>1994.0</v>
      </c>
      <c r="C880" s="9" t="s">
        <v>4735</v>
      </c>
      <c r="D880" s="9">
        <v>22.0</v>
      </c>
      <c r="E880" s="18">
        <f t="shared" si="1"/>
        <v>34660</v>
      </c>
      <c r="F880" s="9">
        <v>0.0</v>
      </c>
      <c r="G880" s="19">
        <v>1006.65</v>
      </c>
      <c r="H880" s="9" t="s">
        <v>4717</v>
      </c>
      <c r="I880" s="9" t="s">
        <v>4723</v>
      </c>
      <c r="J880" s="9" t="s">
        <v>4743</v>
      </c>
      <c r="K880" s="20">
        <f t="shared" si="2"/>
        <v>1994</v>
      </c>
      <c r="L880" s="9" t="str">
        <f t="shared" si="3"/>
        <v>tier - 3</v>
      </c>
      <c r="M880" s="9" t="str">
        <f t="shared" si="4"/>
        <v>tier - 2</v>
      </c>
      <c r="N880" s="9" t="str">
        <f t="shared" si="5"/>
        <v>R1013</v>
      </c>
      <c r="O880" s="17">
        <f t="shared" si="6"/>
        <v>28</v>
      </c>
      <c r="P880" s="18">
        <v>34660.0</v>
      </c>
    </row>
    <row r="881" ht="15.75" customHeight="1">
      <c r="A881" s="9" t="s">
        <v>463</v>
      </c>
      <c r="B881" s="17">
        <v>2003.0</v>
      </c>
      <c r="C881" s="9" t="s">
        <v>4738</v>
      </c>
      <c r="D881" s="9">
        <v>17.0</v>
      </c>
      <c r="E881" s="18">
        <f t="shared" si="1"/>
        <v>37881</v>
      </c>
      <c r="F881" s="9">
        <v>0.0</v>
      </c>
      <c r="G881" s="19">
        <v>34828.65</v>
      </c>
      <c r="H881" s="9" t="s">
        <v>4718</v>
      </c>
      <c r="I881" s="9" t="s">
        <v>4717</v>
      </c>
      <c r="J881" s="9" t="s">
        <v>4719</v>
      </c>
      <c r="K881" s="20">
        <f t="shared" si="2"/>
        <v>2003</v>
      </c>
      <c r="L881" s="9" t="str">
        <f t="shared" si="3"/>
        <v>tier - 1</v>
      </c>
      <c r="M881" s="9" t="str">
        <f t="shared" si="4"/>
        <v>tier - 3</v>
      </c>
      <c r="N881" s="9" t="str">
        <f t="shared" si="5"/>
        <v>R1011</v>
      </c>
      <c r="O881" s="17">
        <f t="shared" si="6"/>
        <v>19</v>
      </c>
      <c r="P881" s="18">
        <v>37881.0</v>
      </c>
    </row>
    <row r="882" ht="15.75" customHeight="1">
      <c r="A882" s="9" t="s">
        <v>4619</v>
      </c>
      <c r="B882" s="17">
        <v>2000.0</v>
      </c>
      <c r="C882" s="9" t="s">
        <v>4720</v>
      </c>
      <c r="D882" s="9">
        <v>9.0</v>
      </c>
      <c r="E882" s="18">
        <f t="shared" si="1"/>
        <v>36808</v>
      </c>
      <c r="F882" s="9">
        <v>0.0</v>
      </c>
      <c r="G882" s="19">
        <v>1012.0</v>
      </c>
      <c r="H882" s="9" t="s">
        <v>4717</v>
      </c>
      <c r="I882" s="9" t="s">
        <v>4723</v>
      </c>
      <c r="J882" s="9" t="s">
        <v>4743</v>
      </c>
      <c r="K882" s="20">
        <f t="shared" si="2"/>
        <v>2000</v>
      </c>
      <c r="L882" s="9" t="str">
        <f t="shared" si="3"/>
        <v>tier - 3</v>
      </c>
      <c r="M882" s="9" t="str">
        <f t="shared" si="4"/>
        <v>tier - 2</v>
      </c>
      <c r="N882" s="9" t="str">
        <f t="shared" si="5"/>
        <v>R1013</v>
      </c>
      <c r="O882" s="17">
        <f t="shared" si="6"/>
        <v>22</v>
      </c>
      <c r="P882" s="18">
        <v>36808.0</v>
      </c>
    </row>
    <row r="883" ht="15.75" customHeight="1">
      <c r="A883" s="9" t="s">
        <v>4617</v>
      </c>
      <c r="B883" s="17">
        <v>1999.0</v>
      </c>
      <c r="C883" s="9" t="s">
        <v>4716</v>
      </c>
      <c r="D883" s="9">
        <v>5.0</v>
      </c>
      <c r="E883" s="18">
        <f t="shared" si="1"/>
        <v>36377</v>
      </c>
      <c r="F883" s="9">
        <v>0.0</v>
      </c>
      <c r="G883" s="19">
        <v>1019.0</v>
      </c>
      <c r="H883" s="9" t="s">
        <v>4717</v>
      </c>
      <c r="I883" s="9" t="s">
        <v>4723</v>
      </c>
      <c r="J883" s="9" t="s">
        <v>4743</v>
      </c>
      <c r="K883" s="20">
        <f t="shared" si="2"/>
        <v>1999</v>
      </c>
      <c r="L883" s="9" t="str">
        <f t="shared" si="3"/>
        <v>tier - 3</v>
      </c>
      <c r="M883" s="9" t="str">
        <f t="shared" si="4"/>
        <v>tier - 2</v>
      </c>
      <c r="N883" s="9" t="str">
        <f t="shared" si="5"/>
        <v>R1013</v>
      </c>
      <c r="O883" s="17">
        <f t="shared" si="6"/>
        <v>23</v>
      </c>
      <c r="P883" s="18">
        <v>36377.0</v>
      </c>
    </row>
    <row r="884" ht="15.75" customHeight="1">
      <c r="A884" s="9" t="s">
        <v>4615</v>
      </c>
      <c r="B884" s="17">
        <v>1995.0</v>
      </c>
      <c r="C884" s="9" t="s">
        <v>4720</v>
      </c>
      <c r="D884" s="9">
        <v>5.0</v>
      </c>
      <c r="E884" s="18">
        <f t="shared" si="1"/>
        <v>34977</v>
      </c>
      <c r="F884" s="9">
        <v>0.0</v>
      </c>
      <c r="G884" s="19">
        <v>1033.74</v>
      </c>
      <c r="H884" s="9" t="s">
        <v>4717</v>
      </c>
      <c r="I884" s="9" t="s">
        <v>4718</v>
      </c>
      <c r="J884" s="9" t="s">
        <v>4743</v>
      </c>
      <c r="K884" s="20">
        <f t="shared" si="2"/>
        <v>1995</v>
      </c>
      <c r="L884" s="9" t="str">
        <f t="shared" si="3"/>
        <v>tier - 3</v>
      </c>
      <c r="M884" s="9" t="str">
        <f t="shared" si="4"/>
        <v>tier - 1</v>
      </c>
      <c r="N884" s="9" t="str">
        <f t="shared" si="5"/>
        <v>R1013</v>
      </c>
      <c r="O884" s="17">
        <f t="shared" si="6"/>
        <v>27</v>
      </c>
      <c r="P884" s="18">
        <v>34977.0</v>
      </c>
    </row>
    <row r="885" ht="15.75" customHeight="1">
      <c r="A885" s="9" t="s">
        <v>4613</v>
      </c>
      <c r="B885" s="17">
        <v>1994.0</v>
      </c>
      <c r="C885" s="9" t="s">
        <v>4735</v>
      </c>
      <c r="D885" s="9">
        <v>17.0</v>
      </c>
      <c r="E885" s="18">
        <f t="shared" si="1"/>
        <v>34655</v>
      </c>
      <c r="F885" s="9">
        <v>0.0</v>
      </c>
      <c r="G885" s="19">
        <v>1044.0</v>
      </c>
      <c r="H885" s="9" t="s">
        <v>4717</v>
      </c>
      <c r="I885" s="9" t="s">
        <v>4723</v>
      </c>
      <c r="J885" s="9" t="s">
        <v>4743</v>
      </c>
      <c r="K885" s="20">
        <f t="shared" si="2"/>
        <v>1994</v>
      </c>
      <c r="L885" s="9" t="str">
        <f t="shared" si="3"/>
        <v>tier - 3</v>
      </c>
      <c r="M885" s="9" t="str">
        <f t="shared" si="4"/>
        <v>tier - 2</v>
      </c>
      <c r="N885" s="9" t="str">
        <f t="shared" si="5"/>
        <v>R1013</v>
      </c>
      <c r="O885" s="17">
        <f t="shared" si="6"/>
        <v>28</v>
      </c>
      <c r="P885" s="18">
        <v>34655.0</v>
      </c>
    </row>
    <row r="886" ht="15.75" customHeight="1">
      <c r="A886" s="9" t="s">
        <v>4611</v>
      </c>
      <c r="B886" s="17">
        <v>2002.0</v>
      </c>
      <c r="C886" s="9" t="s">
        <v>4741</v>
      </c>
      <c r="D886" s="9">
        <v>20.0</v>
      </c>
      <c r="E886" s="18">
        <f t="shared" si="1"/>
        <v>37457</v>
      </c>
      <c r="F886" s="9">
        <v>0.0</v>
      </c>
      <c r="G886" s="19">
        <v>1047.0</v>
      </c>
      <c r="H886" s="9" t="s">
        <v>4717</v>
      </c>
      <c r="I886" s="9" t="s">
        <v>4718</v>
      </c>
      <c r="J886" s="9" t="s">
        <v>4743</v>
      </c>
      <c r="K886" s="20">
        <f t="shared" si="2"/>
        <v>2002</v>
      </c>
      <c r="L886" s="9" t="str">
        <f t="shared" si="3"/>
        <v>tier - 3</v>
      </c>
      <c r="M886" s="9" t="str">
        <f t="shared" si="4"/>
        <v>tier - 1</v>
      </c>
      <c r="N886" s="9" t="str">
        <f t="shared" si="5"/>
        <v>R1013</v>
      </c>
      <c r="O886" s="17">
        <f t="shared" si="6"/>
        <v>20</v>
      </c>
      <c r="P886" s="18">
        <v>37457.0</v>
      </c>
    </row>
    <row r="887" ht="15.75" customHeight="1">
      <c r="A887" s="9" t="s">
        <v>4609</v>
      </c>
      <c r="B887" s="17">
        <v>2002.0</v>
      </c>
      <c r="C887" s="9" t="s">
        <v>4741</v>
      </c>
      <c r="D887" s="9">
        <v>1.0</v>
      </c>
      <c r="E887" s="18">
        <f t="shared" si="1"/>
        <v>37438</v>
      </c>
      <c r="F887" s="9">
        <v>0.0</v>
      </c>
      <c r="G887" s="19">
        <v>1049.0</v>
      </c>
      <c r="H887" s="9" t="s">
        <v>4717</v>
      </c>
      <c r="I887" s="9" t="s">
        <v>4723</v>
      </c>
      <c r="J887" s="9" t="s">
        <v>4733</v>
      </c>
      <c r="K887" s="20">
        <f t="shared" si="2"/>
        <v>2002</v>
      </c>
      <c r="L887" s="9" t="str">
        <f t="shared" si="3"/>
        <v>tier - 3</v>
      </c>
      <c r="M887" s="9" t="str">
        <f t="shared" si="4"/>
        <v>tier - 2</v>
      </c>
      <c r="N887" s="9" t="str">
        <f t="shared" si="5"/>
        <v>R1012</v>
      </c>
      <c r="O887" s="17">
        <f t="shared" si="6"/>
        <v>20</v>
      </c>
      <c r="P887" s="18">
        <v>37438.0</v>
      </c>
    </row>
    <row r="888" ht="15.75" customHeight="1">
      <c r="A888" s="9" t="s">
        <v>4607</v>
      </c>
      <c r="B888" s="17">
        <v>1995.0</v>
      </c>
      <c r="C888" s="9" t="s">
        <v>4730</v>
      </c>
      <c r="D888" s="9">
        <v>1.0</v>
      </c>
      <c r="E888" s="18">
        <f t="shared" si="1"/>
        <v>34851</v>
      </c>
      <c r="F888" s="9">
        <v>0.0</v>
      </c>
      <c r="G888" s="19">
        <v>1056.0</v>
      </c>
      <c r="H888" s="9" t="s">
        <v>4717</v>
      </c>
      <c r="I888" s="9" t="s">
        <v>4723</v>
      </c>
      <c r="J888" s="9" t="s">
        <v>4743</v>
      </c>
      <c r="K888" s="20">
        <f t="shared" si="2"/>
        <v>1995</v>
      </c>
      <c r="L888" s="9" t="str">
        <f t="shared" si="3"/>
        <v>tier - 3</v>
      </c>
      <c r="M888" s="9" t="str">
        <f t="shared" si="4"/>
        <v>tier - 2</v>
      </c>
      <c r="N888" s="9" t="str">
        <f t="shared" si="5"/>
        <v>R1013</v>
      </c>
      <c r="O888" s="17">
        <f t="shared" si="6"/>
        <v>28</v>
      </c>
      <c r="P888" s="18">
        <v>34851.0</v>
      </c>
    </row>
    <row r="889" ht="15.75" customHeight="1">
      <c r="A889" s="9" t="s">
        <v>4605</v>
      </c>
      <c r="B889" s="17">
        <v>1993.0</v>
      </c>
      <c r="C889" s="9" t="s">
        <v>4738</v>
      </c>
      <c r="D889" s="9">
        <v>28.0</v>
      </c>
      <c r="E889" s="18">
        <f t="shared" si="1"/>
        <v>34240</v>
      </c>
      <c r="F889" s="9">
        <v>0.0</v>
      </c>
      <c r="G889" s="19">
        <v>1068.0</v>
      </c>
      <c r="H889" s="9" t="s">
        <v>4717</v>
      </c>
      <c r="I889" s="9" t="s">
        <v>4718</v>
      </c>
      <c r="J889" s="9" t="s">
        <v>4743</v>
      </c>
      <c r="K889" s="20">
        <f t="shared" si="2"/>
        <v>1993</v>
      </c>
      <c r="L889" s="9" t="str">
        <f t="shared" si="3"/>
        <v>tier - 3</v>
      </c>
      <c r="M889" s="9" t="str">
        <f t="shared" si="4"/>
        <v>tier - 1</v>
      </c>
      <c r="N889" s="9" t="str">
        <f t="shared" si="5"/>
        <v>R1013</v>
      </c>
      <c r="O889" s="17">
        <f t="shared" si="6"/>
        <v>29</v>
      </c>
      <c r="P889" s="18">
        <v>34240.0</v>
      </c>
    </row>
    <row r="890" ht="15.75" customHeight="1">
      <c r="A890" s="9" t="s">
        <v>4603</v>
      </c>
      <c r="B890" s="17">
        <v>2004.0</v>
      </c>
      <c r="C890" s="9" t="s">
        <v>4716</v>
      </c>
      <c r="D890" s="9">
        <v>24.0</v>
      </c>
      <c r="E890" s="18">
        <f t="shared" si="1"/>
        <v>38223</v>
      </c>
      <c r="F890" s="9">
        <v>0.0</v>
      </c>
      <c r="G890" s="19">
        <v>1070.0</v>
      </c>
      <c r="H890" s="9" t="s">
        <v>4717</v>
      </c>
      <c r="I890" s="9" t="s">
        <v>4717</v>
      </c>
      <c r="J890" s="9" t="s">
        <v>4743</v>
      </c>
      <c r="K890" s="20">
        <f t="shared" si="2"/>
        <v>2004</v>
      </c>
      <c r="L890" s="9" t="str">
        <f t="shared" si="3"/>
        <v>tier - 3</v>
      </c>
      <c r="M890" s="9" t="str">
        <f t="shared" si="4"/>
        <v>tier - 3</v>
      </c>
      <c r="N890" s="9" t="str">
        <f t="shared" si="5"/>
        <v>R1013</v>
      </c>
      <c r="O890" s="17">
        <f t="shared" si="6"/>
        <v>18</v>
      </c>
      <c r="P890" s="18">
        <v>38223.0</v>
      </c>
    </row>
    <row r="891" ht="15.75" customHeight="1">
      <c r="A891" s="9" t="s">
        <v>4601</v>
      </c>
      <c r="B891" s="17">
        <v>1997.0</v>
      </c>
      <c r="C891" s="9" t="s">
        <v>4716</v>
      </c>
      <c r="D891" s="9">
        <v>13.0</v>
      </c>
      <c r="E891" s="18">
        <f t="shared" si="1"/>
        <v>35655</v>
      </c>
      <c r="F891" s="9">
        <v>0.0</v>
      </c>
      <c r="G891" s="19">
        <v>1071.0</v>
      </c>
      <c r="H891" s="9" t="s">
        <v>4717</v>
      </c>
      <c r="I891" s="9" t="s">
        <v>4717</v>
      </c>
      <c r="J891" s="9" t="s">
        <v>4743</v>
      </c>
      <c r="K891" s="20">
        <f t="shared" si="2"/>
        <v>1997</v>
      </c>
      <c r="L891" s="9" t="str">
        <f t="shared" si="3"/>
        <v>tier - 3</v>
      </c>
      <c r="M891" s="9" t="str">
        <f t="shared" si="4"/>
        <v>tier - 3</v>
      </c>
      <c r="N891" s="9" t="str">
        <f t="shared" si="5"/>
        <v>R1013</v>
      </c>
      <c r="O891" s="17">
        <f t="shared" si="6"/>
        <v>25</v>
      </c>
      <c r="P891" s="18">
        <v>35655.0</v>
      </c>
    </row>
    <row r="892" ht="15.75" customHeight="1">
      <c r="A892" s="9" t="s">
        <v>461</v>
      </c>
      <c r="B892" s="17">
        <v>1995.0</v>
      </c>
      <c r="C892" s="9" t="s">
        <v>4720</v>
      </c>
      <c r="D892" s="9">
        <v>17.0</v>
      </c>
      <c r="E892" s="18">
        <f t="shared" si="1"/>
        <v>34989</v>
      </c>
      <c r="F892" s="9">
        <v>0.0</v>
      </c>
      <c r="G892" s="19">
        <v>34838.87</v>
      </c>
      <c r="H892" s="9" t="s">
        <v>4723</v>
      </c>
      <c r="I892" s="9" t="s">
        <v>4717</v>
      </c>
      <c r="J892" s="9" t="s">
        <v>4719</v>
      </c>
      <c r="K892" s="20">
        <f t="shared" si="2"/>
        <v>1995</v>
      </c>
      <c r="L892" s="9" t="str">
        <f t="shared" si="3"/>
        <v>tier - 2</v>
      </c>
      <c r="M892" s="9" t="str">
        <f t="shared" si="4"/>
        <v>tier - 3</v>
      </c>
      <c r="N892" s="9" t="str">
        <f t="shared" si="5"/>
        <v>R1011</v>
      </c>
      <c r="O892" s="17">
        <f t="shared" si="6"/>
        <v>27</v>
      </c>
      <c r="P892" s="18">
        <v>34989.0</v>
      </c>
    </row>
    <row r="893" ht="15.75" customHeight="1">
      <c r="A893" s="9" t="s">
        <v>47</v>
      </c>
      <c r="B893" s="17">
        <v>1958.0</v>
      </c>
      <c r="C893" s="9" t="s">
        <v>4738</v>
      </c>
      <c r="D893" s="9">
        <v>3.0</v>
      </c>
      <c r="E893" s="18">
        <f t="shared" si="1"/>
        <v>21431</v>
      </c>
      <c r="F893" s="9">
        <v>2.0</v>
      </c>
      <c r="G893" s="19">
        <v>47291.06</v>
      </c>
      <c r="H893" s="9" t="s">
        <v>4723</v>
      </c>
      <c r="I893" s="9" t="s">
        <v>4718</v>
      </c>
      <c r="J893" s="9" t="s">
        <v>4719</v>
      </c>
      <c r="K893" s="20">
        <f t="shared" si="2"/>
        <v>1958</v>
      </c>
      <c r="L893" s="9" t="str">
        <f t="shared" si="3"/>
        <v>tier - 2</v>
      </c>
      <c r="M893" s="9" t="str">
        <f t="shared" si="4"/>
        <v>tier - 1</v>
      </c>
      <c r="N893" s="9" t="str">
        <f t="shared" si="5"/>
        <v>R1011</v>
      </c>
      <c r="O893" s="17">
        <f t="shared" si="6"/>
        <v>64</v>
      </c>
      <c r="P893" s="18">
        <v>21431.0</v>
      </c>
    </row>
    <row r="894" ht="15.75" customHeight="1">
      <c r="A894" s="9" t="s">
        <v>4599</v>
      </c>
      <c r="B894" s="17">
        <v>1998.0</v>
      </c>
      <c r="C894" s="9" t="s">
        <v>4725</v>
      </c>
      <c r="D894" s="9">
        <v>26.0</v>
      </c>
      <c r="E894" s="18">
        <f t="shared" si="1"/>
        <v>36155</v>
      </c>
      <c r="F894" s="9">
        <v>0.0</v>
      </c>
      <c r="G894" s="19">
        <v>1082.0</v>
      </c>
      <c r="H894" s="9" t="s">
        <v>4717</v>
      </c>
      <c r="I894" s="9" t="s">
        <v>4723</v>
      </c>
      <c r="J894" s="9" t="s">
        <v>4743</v>
      </c>
      <c r="K894" s="20">
        <f t="shared" si="2"/>
        <v>1998</v>
      </c>
      <c r="L894" s="9" t="str">
        <f t="shared" si="3"/>
        <v>tier - 3</v>
      </c>
      <c r="M894" s="9" t="str">
        <f t="shared" si="4"/>
        <v>tier - 2</v>
      </c>
      <c r="N894" s="9" t="str">
        <f t="shared" si="5"/>
        <v>R1013</v>
      </c>
      <c r="O894" s="17">
        <f t="shared" si="6"/>
        <v>24</v>
      </c>
      <c r="P894" s="18">
        <v>36155.0</v>
      </c>
    </row>
    <row r="895" ht="15.75" customHeight="1">
      <c r="A895" s="9" t="s">
        <v>4597</v>
      </c>
      <c r="B895" s="17">
        <v>2002.0</v>
      </c>
      <c r="C895" s="9" t="s">
        <v>4716</v>
      </c>
      <c r="D895" s="9">
        <v>13.0</v>
      </c>
      <c r="E895" s="18">
        <f t="shared" si="1"/>
        <v>37481</v>
      </c>
      <c r="F895" s="9">
        <v>0.0</v>
      </c>
      <c r="G895" s="19">
        <v>1086.0</v>
      </c>
      <c r="H895" s="9" t="s">
        <v>4717</v>
      </c>
      <c r="I895" s="9" t="s">
        <v>4717</v>
      </c>
      <c r="J895" s="9" t="s">
        <v>4743</v>
      </c>
      <c r="K895" s="20">
        <f t="shared" si="2"/>
        <v>2002</v>
      </c>
      <c r="L895" s="9" t="str">
        <f t="shared" si="3"/>
        <v>tier - 3</v>
      </c>
      <c r="M895" s="9" t="str">
        <f t="shared" si="4"/>
        <v>tier - 3</v>
      </c>
      <c r="N895" s="9" t="str">
        <f t="shared" si="5"/>
        <v>R1013</v>
      </c>
      <c r="O895" s="17">
        <f t="shared" si="6"/>
        <v>20</v>
      </c>
      <c r="P895" s="18">
        <v>37481.0</v>
      </c>
    </row>
    <row r="896" ht="15.75" customHeight="1">
      <c r="A896" s="9" t="s">
        <v>4595</v>
      </c>
      <c r="B896" s="17">
        <v>2004.0</v>
      </c>
      <c r="C896" s="9" t="s">
        <v>4735</v>
      </c>
      <c r="D896" s="9">
        <v>12.0</v>
      </c>
      <c r="E896" s="18">
        <f t="shared" si="1"/>
        <v>38303</v>
      </c>
      <c r="F896" s="9">
        <v>0.0</v>
      </c>
      <c r="G896" s="19">
        <v>1121.87</v>
      </c>
      <c r="H896" s="9" t="s">
        <v>4717</v>
      </c>
      <c r="I896" s="9" t="s">
        <v>4718</v>
      </c>
      <c r="J896" s="9" t="s">
        <v>4743</v>
      </c>
      <c r="K896" s="20">
        <f t="shared" si="2"/>
        <v>2004</v>
      </c>
      <c r="L896" s="9" t="str">
        <f t="shared" si="3"/>
        <v>tier - 3</v>
      </c>
      <c r="M896" s="9" t="str">
        <f t="shared" si="4"/>
        <v>tier - 1</v>
      </c>
      <c r="N896" s="9" t="str">
        <f t="shared" si="5"/>
        <v>R1013</v>
      </c>
      <c r="O896" s="17">
        <f t="shared" si="6"/>
        <v>18</v>
      </c>
      <c r="P896" s="18">
        <v>38303.0</v>
      </c>
    </row>
    <row r="897" ht="15.75" customHeight="1">
      <c r="A897" s="9" t="s">
        <v>4593</v>
      </c>
      <c r="B897" s="17">
        <v>2004.0</v>
      </c>
      <c r="C897" s="9" t="s">
        <v>4730</v>
      </c>
      <c r="D897" s="9">
        <v>14.0</v>
      </c>
      <c r="E897" s="18">
        <f t="shared" si="1"/>
        <v>38152</v>
      </c>
      <c r="F897" s="9">
        <v>0.0</v>
      </c>
      <c r="G897" s="19">
        <v>1131.51</v>
      </c>
      <c r="H897" s="9" t="s">
        <v>4717</v>
      </c>
      <c r="I897" s="9" t="s">
        <v>4718</v>
      </c>
      <c r="J897" s="9" t="s">
        <v>4743</v>
      </c>
      <c r="K897" s="20">
        <f t="shared" si="2"/>
        <v>2004</v>
      </c>
      <c r="L897" s="9" t="str">
        <f t="shared" si="3"/>
        <v>tier - 3</v>
      </c>
      <c r="M897" s="9" t="str">
        <f t="shared" si="4"/>
        <v>tier - 1</v>
      </c>
      <c r="N897" s="9" t="str">
        <f t="shared" si="5"/>
        <v>R1013</v>
      </c>
      <c r="O897" s="17">
        <f t="shared" si="6"/>
        <v>18</v>
      </c>
      <c r="P897" s="18">
        <v>38152.0</v>
      </c>
    </row>
    <row r="898" ht="15.75" customHeight="1">
      <c r="A898" s="9" t="s">
        <v>4591</v>
      </c>
      <c r="B898" s="17">
        <v>2002.0</v>
      </c>
      <c r="C898" s="9" t="s">
        <v>4741</v>
      </c>
      <c r="D898" s="9">
        <v>19.0</v>
      </c>
      <c r="E898" s="18">
        <f t="shared" si="1"/>
        <v>37456</v>
      </c>
      <c r="F898" s="9">
        <v>0.0</v>
      </c>
      <c r="G898" s="19">
        <v>1132.0</v>
      </c>
      <c r="H898" s="9" t="s">
        <v>4717</v>
      </c>
      <c r="I898" s="9" t="s">
        <v>4718</v>
      </c>
      <c r="J898" s="9" t="s">
        <v>4743</v>
      </c>
      <c r="K898" s="20">
        <f t="shared" si="2"/>
        <v>2002</v>
      </c>
      <c r="L898" s="9" t="str">
        <f t="shared" si="3"/>
        <v>tier - 3</v>
      </c>
      <c r="M898" s="9" t="str">
        <f t="shared" si="4"/>
        <v>tier - 1</v>
      </c>
      <c r="N898" s="9" t="str">
        <f t="shared" si="5"/>
        <v>R1013</v>
      </c>
      <c r="O898" s="17">
        <f t="shared" si="6"/>
        <v>20</v>
      </c>
      <c r="P898" s="18">
        <v>37456.0</v>
      </c>
    </row>
    <row r="899" ht="15.75" customHeight="1">
      <c r="A899" s="9" t="s">
        <v>4589</v>
      </c>
      <c r="B899" s="17">
        <v>2004.0</v>
      </c>
      <c r="C899" s="9" t="s">
        <v>4720</v>
      </c>
      <c r="D899" s="9">
        <v>6.0</v>
      </c>
      <c r="E899" s="18">
        <f t="shared" si="1"/>
        <v>38266</v>
      </c>
      <c r="F899" s="9">
        <v>0.0</v>
      </c>
      <c r="G899" s="19">
        <v>1135.0</v>
      </c>
      <c r="H899" s="9" t="s">
        <v>4717</v>
      </c>
      <c r="I899" s="9" t="s">
        <v>4717</v>
      </c>
      <c r="J899" s="9" t="s">
        <v>4743</v>
      </c>
      <c r="K899" s="20">
        <f t="shared" si="2"/>
        <v>2004</v>
      </c>
      <c r="L899" s="9" t="str">
        <f t="shared" si="3"/>
        <v>tier - 3</v>
      </c>
      <c r="M899" s="9" t="str">
        <f t="shared" si="4"/>
        <v>tier - 3</v>
      </c>
      <c r="N899" s="9" t="str">
        <f t="shared" si="5"/>
        <v>R1013</v>
      </c>
      <c r="O899" s="17">
        <f t="shared" si="6"/>
        <v>18</v>
      </c>
      <c r="P899" s="18">
        <v>38266.0</v>
      </c>
    </row>
    <row r="900" ht="15.75" customHeight="1">
      <c r="A900" s="9" t="s">
        <v>4587</v>
      </c>
      <c r="B900" s="17">
        <v>2004.0</v>
      </c>
      <c r="C900" s="9" t="s">
        <v>4730</v>
      </c>
      <c r="D900" s="9">
        <v>11.0</v>
      </c>
      <c r="E900" s="18">
        <f t="shared" si="1"/>
        <v>38149</v>
      </c>
      <c r="F900" s="9">
        <v>0.0</v>
      </c>
      <c r="G900" s="19">
        <v>1135.94</v>
      </c>
      <c r="H900" s="9" t="s">
        <v>4717</v>
      </c>
      <c r="I900" s="9" t="s">
        <v>4717</v>
      </c>
      <c r="J900" s="9" t="s">
        <v>4743</v>
      </c>
      <c r="K900" s="20">
        <f t="shared" si="2"/>
        <v>2004</v>
      </c>
      <c r="L900" s="9" t="str">
        <f t="shared" si="3"/>
        <v>tier - 3</v>
      </c>
      <c r="M900" s="9" t="str">
        <f t="shared" si="4"/>
        <v>tier - 3</v>
      </c>
      <c r="N900" s="9" t="str">
        <f t="shared" si="5"/>
        <v>R1013</v>
      </c>
      <c r="O900" s="17">
        <f t="shared" si="6"/>
        <v>18</v>
      </c>
      <c r="P900" s="18">
        <v>38149.0</v>
      </c>
    </row>
    <row r="901" ht="15.75" customHeight="1">
      <c r="A901" s="9" t="s">
        <v>4585</v>
      </c>
      <c r="B901" s="17">
        <v>2004.0</v>
      </c>
      <c r="C901" s="9" t="s">
        <v>4735</v>
      </c>
      <c r="D901" s="9">
        <v>28.0</v>
      </c>
      <c r="E901" s="18">
        <f t="shared" si="1"/>
        <v>38319</v>
      </c>
      <c r="F901" s="9">
        <v>0.0</v>
      </c>
      <c r="G901" s="19">
        <v>1136.4</v>
      </c>
      <c r="H901" s="9" t="s">
        <v>4717</v>
      </c>
      <c r="I901" s="9" t="s">
        <v>4717</v>
      </c>
      <c r="J901" s="9" t="s">
        <v>4743</v>
      </c>
      <c r="K901" s="20">
        <f t="shared" si="2"/>
        <v>2004</v>
      </c>
      <c r="L901" s="9" t="str">
        <f t="shared" si="3"/>
        <v>tier - 3</v>
      </c>
      <c r="M901" s="9" t="str">
        <f t="shared" si="4"/>
        <v>tier - 3</v>
      </c>
      <c r="N901" s="9" t="str">
        <f t="shared" si="5"/>
        <v>R1013</v>
      </c>
      <c r="O901" s="17">
        <f t="shared" si="6"/>
        <v>18</v>
      </c>
      <c r="P901" s="18">
        <v>38319.0</v>
      </c>
    </row>
    <row r="902" ht="15.75" customHeight="1">
      <c r="A902" s="9" t="s">
        <v>4583</v>
      </c>
      <c r="B902" s="17">
        <v>2002.0</v>
      </c>
      <c r="C902" s="9" t="s">
        <v>4716</v>
      </c>
      <c r="D902" s="9">
        <v>11.0</v>
      </c>
      <c r="E902" s="18">
        <f t="shared" si="1"/>
        <v>37479</v>
      </c>
      <c r="F902" s="9">
        <v>0.0</v>
      </c>
      <c r="G902" s="19">
        <v>1137.0</v>
      </c>
      <c r="H902" s="9" t="s">
        <v>4717</v>
      </c>
      <c r="I902" s="9" t="s">
        <v>4718</v>
      </c>
      <c r="J902" s="9" t="s">
        <v>4743</v>
      </c>
      <c r="K902" s="20">
        <f t="shared" si="2"/>
        <v>2002</v>
      </c>
      <c r="L902" s="9" t="str">
        <f t="shared" si="3"/>
        <v>tier - 3</v>
      </c>
      <c r="M902" s="9" t="str">
        <f t="shared" si="4"/>
        <v>tier - 1</v>
      </c>
      <c r="N902" s="9" t="str">
        <f t="shared" si="5"/>
        <v>R1013</v>
      </c>
      <c r="O902" s="17">
        <f t="shared" si="6"/>
        <v>20</v>
      </c>
      <c r="P902" s="18">
        <v>37479.0</v>
      </c>
    </row>
    <row r="903" ht="15.75" customHeight="1">
      <c r="A903" s="9" t="s">
        <v>4581</v>
      </c>
      <c r="B903" s="17">
        <v>2004.0</v>
      </c>
      <c r="C903" s="9" t="s">
        <v>4720</v>
      </c>
      <c r="D903" s="9">
        <v>15.0</v>
      </c>
      <c r="E903" s="18">
        <f t="shared" si="1"/>
        <v>38275</v>
      </c>
      <c r="F903" s="9">
        <v>0.0</v>
      </c>
      <c r="G903" s="19">
        <v>1137.01</v>
      </c>
      <c r="H903" s="9" t="s">
        <v>4717</v>
      </c>
      <c r="I903" s="9" t="s">
        <v>4718</v>
      </c>
      <c r="J903" s="9" t="s">
        <v>4743</v>
      </c>
      <c r="K903" s="20">
        <f t="shared" si="2"/>
        <v>2004</v>
      </c>
      <c r="L903" s="9" t="str">
        <f t="shared" si="3"/>
        <v>tier - 3</v>
      </c>
      <c r="M903" s="9" t="str">
        <f t="shared" si="4"/>
        <v>tier - 1</v>
      </c>
      <c r="N903" s="9" t="str">
        <f t="shared" si="5"/>
        <v>R1013</v>
      </c>
      <c r="O903" s="17">
        <f t="shared" si="6"/>
        <v>18</v>
      </c>
      <c r="P903" s="18">
        <v>38275.0</v>
      </c>
    </row>
    <row r="904" ht="15.75" customHeight="1">
      <c r="A904" s="9" t="s">
        <v>459</v>
      </c>
      <c r="B904" s="17">
        <v>1983.0</v>
      </c>
      <c r="C904" s="9" t="s">
        <v>4741</v>
      </c>
      <c r="D904" s="9">
        <v>29.0</v>
      </c>
      <c r="E904" s="18">
        <f t="shared" si="1"/>
        <v>30526</v>
      </c>
      <c r="F904" s="9">
        <v>3.0</v>
      </c>
      <c r="G904" s="19">
        <v>34940.61</v>
      </c>
      <c r="H904" s="9" t="s">
        <v>4723</v>
      </c>
      <c r="I904" s="9" t="s">
        <v>4717</v>
      </c>
      <c r="J904" s="9" t="s">
        <v>4719</v>
      </c>
      <c r="K904" s="20">
        <f t="shared" si="2"/>
        <v>1983</v>
      </c>
      <c r="L904" s="9" t="str">
        <f t="shared" si="3"/>
        <v>tier - 2</v>
      </c>
      <c r="M904" s="9" t="str">
        <f t="shared" si="4"/>
        <v>tier - 3</v>
      </c>
      <c r="N904" s="9" t="str">
        <f t="shared" si="5"/>
        <v>R1011</v>
      </c>
      <c r="O904" s="17">
        <f t="shared" si="6"/>
        <v>39</v>
      </c>
      <c r="P904" s="18">
        <v>30526.0</v>
      </c>
    </row>
    <row r="905" ht="15.75" customHeight="1">
      <c r="A905" s="9" t="s">
        <v>4579</v>
      </c>
      <c r="B905" s="17">
        <v>2004.0</v>
      </c>
      <c r="C905" s="9" t="s">
        <v>4735</v>
      </c>
      <c r="D905" s="9">
        <v>27.0</v>
      </c>
      <c r="E905" s="18">
        <f t="shared" si="1"/>
        <v>38318</v>
      </c>
      <c r="F905" s="9">
        <v>0.0</v>
      </c>
      <c r="G905" s="19">
        <v>1137.47</v>
      </c>
      <c r="H905" s="9" t="s">
        <v>4717</v>
      </c>
      <c r="I905" s="9" t="s">
        <v>4723</v>
      </c>
      <c r="J905" s="9" t="s">
        <v>4743</v>
      </c>
      <c r="K905" s="20">
        <f t="shared" si="2"/>
        <v>2004</v>
      </c>
      <c r="L905" s="9" t="str">
        <f t="shared" si="3"/>
        <v>tier - 3</v>
      </c>
      <c r="M905" s="9" t="str">
        <f t="shared" si="4"/>
        <v>tier - 2</v>
      </c>
      <c r="N905" s="9" t="str">
        <f t="shared" si="5"/>
        <v>R1013</v>
      </c>
      <c r="O905" s="17">
        <f t="shared" si="6"/>
        <v>18</v>
      </c>
      <c r="P905" s="18">
        <v>38318.0</v>
      </c>
    </row>
    <row r="906" ht="15.75" customHeight="1">
      <c r="A906" s="9" t="s">
        <v>4577</v>
      </c>
      <c r="B906" s="17">
        <v>2001.0</v>
      </c>
      <c r="C906" s="9" t="s">
        <v>4720</v>
      </c>
      <c r="D906" s="9">
        <v>25.0</v>
      </c>
      <c r="E906" s="18">
        <f t="shared" si="1"/>
        <v>37189</v>
      </c>
      <c r="F906" s="9">
        <v>0.0</v>
      </c>
      <c r="G906" s="19">
        <v>1141.0</v>
      </c>
      <c r="H906" s="9" t="s">
        <v>4717</v>
      </c>
      <c r="I906" s="9" t="s">
        <v>4718</v>
      </c>
      <c r="J906" s="9" t="s">
        <v>4743</v>
      </c>
      <c r="K906" s="20">
        <f t="shared" si="2"/>
        <v>2001</v>
      </c>
      <c r="L906" s="9" t="str">
        <f t="shared" si="3"/>
        <v>tier - 3</v>
      </c>
      <c r="M906" s="9" t="str">
        <f t="shared" si="4"/>
        <v>tier - 1</v>
      </c>
      <c r="N906" s="9" t="str">
        <f t="shared" si="5"/>
        <v>R1013</v>
      </c>
      <c r="O906" s="17">
        <f t="shared" si="6"/>
        <v>21</v>
      </c>
      <c r="P906" s="18">
        <v>37189.0</v>
      </c>
    </row>
    <row r="907" ht="15.75" customHeight="1">
      <c r="A907" s="9" t="s">
        <v>4575</v>
      </c>
      <c r="B907" s="17">
        <v>2004.0</v>
      </c>
      <c r="C907" s="9" t="s">
        <v>4738</v>
      </c>
      <c r="D907" s="9">
        <v>12.0</v>
      </c>
      <c r="E907" s="18">
        <f t="shared" si="1"/>
        <v>38242</v>
      </c>
      <c r="F907" s="9">
        <v>0.0</v>
      </c>
      <c r="G907" s="19">
        <v>1141.45</v>
      </c>
      <c r="H907" s="9" t="s">
        <v>4717</v>
      </c>
      <c r="I907" s="9" t="s">
        <v>4717</v>
      </c>
      <c r="J907" s="9" t="s">
        <v>4743</v>
      </c>
      <c r="K907" s="20">
        <f t="shared" si="2"/>
        <v>2004</v>
      </c>
      <c r="L907" s="9" t="str">
        <f t="shared" si="3"/>
        <v>tier - 3</v>
      </c>
      <c r="M907" s="9" t="str">
        <f t="shared" si="4"/>
        <v>tier - 3</v>
      </c>
      <c r="N907" s="9" t="str">
        <f t="shared" si="5"/>
        <v>R1013</v>
      </c>
      <c r="O907" s="17">
        <f t="shared" si="6"/>
        <v>18</v>
      </c>
      <c r="P907" s="18">
        <v>38242.0</v>
      </c>
    </row>
    <row r="908" ht="15.75" customHeight="1">
      <c r="A908" s="9" t="s">
        <v>4573</v>
      </c>
      <c r="B908" s="17">
        <v>2002.0</v>
      </c>
      <c r="C908" s="9" t="s">
        <v>4720</v>
      </c>
      <c r="D908" s="9">
        <v>1.0</v>
      </c>
      <c r="E908" s="18">
        <f t="shared" si="1"/>
        <v>37530</v>
      </c>
      <c r="F908" s="9">
        <v>0.0</v>
      </c>
      <c r="G908" s="19">
        <v>1142.0</v>
      </c>
      <c r="H908" s="9" t="s">
        <v>4717</v>
      </c>
      <c r="I908" s="9" t="s">
        <v>4723</v>
      </c>
      <c r="J908" s="9" t="s">
        <v>4719</v>
      </c>
      <c r="K908" s="20">
        <f t="shared" si="2"/>
        <v>2002</v>
      </c>
      <c r="L908" s="9" t="str">
        <f t="shared" si="3"/>
        <v>tier - 3</v>
      </c>
      <c r="M908" s="9" t="str">
        <f t="shared" si="4"/>
        <v>tier - 2</v>
      </c>
      <c r="N908" s="9" t="str">
        <f t="shared" si="5"/>
        <v>R1011</v>
      </c>
      <c r="O908" s="17">
        <f t="shared" si="6"/>
        <v>20</v>
      </c>
      <c r="P908" s="18">
        <v>37530.0</v>
      </c>
    </row>
    <row r="909" ht="15.75" customHeight="1">
      <c r="A909" s="9" t="s">
        <v>4571</v>
      </c>
      <c r="B909" s="17">
        <v>2004.0</v>
      </c>
      <c r="C909" s="9" t="s">
        <v>4730</v>
      </c>
      <c r="D909" s="9">
        <v>10.0</v>
      </c>
      <c r="E909" s="18">
        <f t="shared" si="1"/>
        <v>38148</v>
      </c>
      <c r="F909" s="9">
        <v>0.0</v>
      </c>
      <c r="G909" s="19">
        <v>1146.8</v>
      </c>
      <c r="H909" s="9" t="s">
        <v>4723</v>
      </c>
      <c r="I909" s="9" t="s">
        <v>4723</v>
      </c>
      <c r="J909" s="9" t="s">
        <v>4743</v>
      </c>
      <c r="K909" s="20">
        <f t="shared" si="2"/>
        <v>2004</v>
      </c>
      <c r="L909" s="9" t="str">
        <f t="shared" si="3"/>
        <v>tier - 2</v>
      </c>
      <c r="M909" s="9" t="str">
        <f t="shared" si="4"/>
        <v>tier - 2</v>
      </c>
      <c r="N909" s="9" t="str">
        <f t="shared" si="5"/>
        <v>R1013</v>
      </c>
      <c r="O909" s="17">
        <f t="shared" si="6"/>
        <v>18</v>
      </c>
      <c r="P909" s="18">
        <v>38148.0</v>
      </c>
    </row>
    <row r="910" ht="15.75" customHeight="1">
      <c r="A910" s="9" t="s">
        <v>4569</v>
      </c>
      <c r="B910" s="17">
        <v>2003.0</v>
      </c>
      <c r="C910" s="9" t="s">
        <v>4730</v>
      </c>
      <c r="D910" s="9">
        <v>12.0</v>
      </c>
      <c r="E910" s="18">
        <f t="shared" si="1"/>
        <v>37784</v>
      </c>
      <c r="F910" s="9">
        <v>0.0</v>
      </c>
      <c r="G910" s="19">
        <v>1149.0</v>
      </c>
      <c r="H910" s="9" t="s">
        <v>4723</v>
      </c>
      <c r="I910" s="9" t="s">
        <v>4718</v>
      </c>
      <c r="J910" s="9" t="s">
        <v>4733</v>
      </c>
      <c r="K910" s="20">
        <f t="shared" si="2"/>
        <v>2003</v>
      </c>
      <c r="L910" s="9" t="str">
        <f t="shared" si="3"/>
        <v>tier - 2</v>
      </c>
      <c r="M910" s="9" t="str">
        <f t="shared" si="4"/>
        <v>tier - 1</v>
      </c>
      <c r="N910" s="9" t="str">
        <f t="shared" si="5"/>
        <v>R1012</v>
      </c>
      <c r="O910" s="17">
        <f t="shared" si="6"/>
        <v>19</v>
      </c>
      <c r="P910" s="18">
        <v>37784.0</v>
      </c>
    </row>
    <row r="911" ht="15.75" customHeight="1">
      <c r="A911" s="9" t="s">
        <v>4567</v>
      </c>
      <c r="B911" s="17">
        <v>2004.0</v>
      </c>
      <c r="C911" s="9" t="s">
        <v>4741</v>
      </c>
      <c r="D911" s="9">
        <v>18.0</v>
      </c>
      <c r="E911" s="18">
        <f t="shared" si="1"/>
        <v>38186</v>
      </c>
      <c r="F911" s="9">
        <v>0.0</v>
      </c>
      <c r="G911" s="19">
        <v>1149.4</v>
      </c>
      <c r="H911" s="9" t="s">
        <v>4723</v>
      </c>
      <c r="I911" s="9" t="s">
        <v>4723</v>
      </c>
      <c r="J911" s="9" t="s">
        <v>4743</v>
      </c>
      <c r="K911" s="20">
        <f t="shared" si="2"/>
        <v>2004</v>
      </c>
      <c r="L911" s="9" t="str">
        <f t="shared" si="3"/>
        <v>tier - 2</v>
      </c>
      <c r="M911" s="9" t="str">
        <f t="shared" si="4"/>
        <v>tier - 2</v>
      </c>
      <c r="N911" s="9" t="str">
        <f t="shared" si="5"/>
        <v>R1013</v>
      </c>
      <c r="O911" s="17">
        <f t="shared" si="6"/>
        <v>18</v>
      </c>
      <c r="P911" s="18">
        <v>38186.0</v>
      </c>
    </row>
    <row r="912" ht="15.75" customHeight="1">
      <c r="A912" s="9" t="s">
        <v>4565</v>
      </c>
      <c r="B912" s="17">
        <v>1994.0</v>
      </c>
      <c r="C912" s="9" t="s">
        <v>4741</v>
      </c>
      <c r="D912" s="9">
        <v>26.0</v>
      </c>
      <c r="E912" s="18">
        <f t="shared" si="1"/>
        <v>34541</v>
      </c>
      <c r="F912" s="9">
        <v>0.0</v>
      </c>
      <c r="G912" s="19">
        <v>1158.32</v>
      </c>
      <c r="H912" s="9" t="s">
        <v>4723</v>
      </c>
      <c r="I912" s="9" t="s">
        <v>4718</v>
      </c>
      <c r="J912" s="9" t="s">
        <v>4743</v>
      </c>
      <c r="K912" s="20">
        <f t="shared" si="2"/>
        <v>1994</v>
      </c>
      <c r="L912" s="9" t="str">
        <f t="shared" si="3"/>
        <v>tier - 2</v>
      </c>
      <c r="M912" s="9" t="str">
        <f t="shared" si="4"/>
        <v>tier - 1</v>
      </c>
      <c r="N912" s="9" t="str">
        <f t="shared" si="5"/>
        <v>R1013</v>
      </c>
      <c r="O912" s="17">
        <f t="shared" si="6"/>
        <v>28</v>
      </c>
      <c r="P912" s="18">
        <v>34541.0</v>
      </c>
    </row>
    <row r="913" ht="15.75" customHeight="1">
      <c r="A913" s="9" t="s">
        <v>4563</v>
      </c>
      <c r="B913" s="17">
        <v>2004.0</v>
      </c>
      <c r="C913" s="9" t="s">
        <v>4735</v>
      </c>
      <c r="D913" s="9">
        <v>11.0</v>
      </c>
      <c r="E913" s="18">
        <f t="shared" si="1"/>
        <v>38302</v>
      </c>
      <c r="F913" s="9">
        <v>0.0</v>
      </c>
      <c r="G913" s="19">
        <v>1163.46</v>
      </c>
      <c r="H913" s="9" t="s">
        <v>4723</v>
      </c>
      <c r="I913" s="9" t="s">
        <v>4717</v>
      </c>
      <c r="J913" s="9" t="s">
        <v>4743</v>
      </c>
      <c r="K913" s="20">
        <f t="shared" si="2"/>
        <v>2004</v>
      </c>
      <c r="L913" s="9" t="str">
        <f t="shared" si="3"/>
        <v>tier - 2</v>
      </c>
      <c r="M913" s="9" t="str">
        <f t="shared" si="4"/>
        <v>tier - 3</v>
      </c>
      <c r="N913" s="9" t="str">
        <f t="shared" si="5"/>
        <v>R1013</v>
      </c>
      <c r="O913" s="17">
        <f t="shared" si="6"/>
        <v>18</v>
      </c>
      <c r="P913" s="18">
        <v>38302.0</v>
      </c>
    </row>
    <row r="914" ht="15.75" customHeight="1">
      <c r="A914" s="9" t="s">
        <v>4561</v>
      </c>
      <c r="B914" s="17">
        <v>2002.0</v>
      </c>
      <c r="C914" s="9" t="s">
        <v>4730</v>
      </c>
      <c r="D914" s="9">
        <v>11.0</v>
      </c>
      <c r="E914" s="18">
        <f t="shared" si="1"/>
        <v>37418</v>
      </c>
      <c r="F914" s="9">
        <v>0.0</v>
      </c>
      <c r="G914" s="19">
        <v>1165.0</v>
      </c>
      <c r="H914" s="9" t="s">
        <v>4723</v>
      </c>
      <c r="I914" s="9" t="s">
        <v>4717</v>
      </c>
      <c r="J914" s="9" t="s">
        <v>4733</v>
      </c>
      <c r="K914" s="20">
        <f t="shared" si="2"/>
        <v>2002</v>
      </c>
      <c r="L914" s="9" t="str">
        <f t="shared" si="3"/>
        <v>tier - 2</v>
      </c>
      <c r="M914" s="9" t="str">
        <f t="shared" si="4"/>
        <v>tier - 3</v>
      </c>
      <c r="N914" s="9" t="str">
        <f t="shared" si="5"/>
        <v>R1012</v>
      </c>
      <c r="O914" s="17">
        <f t="shared" si="6"/>
        <v>20</v>
      </c>
      <c r="P914" s="18">
        <v>37418.0</v>
      </c>
    </row>
    <row r="915" ht="15.75" customHeight="1">
      <c r="A915" s="9" t="s">
        <v>457</v>
      </c>
      <c r="B915" s="17">
        <v>1967.0</v>
      </c>
      <c r="C915" s="9" t="s">
        <v>4720</v>
      </c>
      <c r="D915" s="9">
        <v>7.0</v>
      </c>
      <c r="E915" s="18">
        <f t="shared" si="1"/>
        <v>24752</v>
      </c>
      <c r="F915" s="9">
        <v>0.0</v>
      </c>
      <c r="G915" s="19">
        <v>34975.68</v>
      </c>
      <c r="H915" s="9" t="s">
        <v>4723</v>
      </c>
      <c r="I915" s="9" t="s">
        <v>4723</v>
      </c>
      <c r="J915" s="9" t="s">
        <v>4719</v>
      </c>
      <c r="K915" s="20">
        <f t="shared" si="2"/>
        <v>1967</v>
      </c>
      <c r="L915" s="9" t="str">
        <f t="shared" si="3"/>
        <v>tier - 2</v>
      </c>
      <c r="M915" s="9" t="str">
        <f t="shared" si="4"/>
        <v>tier - 2</v>
      </c>
      <c r="N915" s="9" t="str">
        <f t="shared" si="5"/>
        <v>R1011</v>
      </c>
      <c r="O915" s="17">
        <f t="shared" si="6"/>
        <v>55</v>
      </c>
      <c r="P915" s="18">
        <v>24752.0</v>
      </c>
    </row>
    <row r="916" ht="15.75" customHeight="1">
      <c r="A916" s="9" t="s">
        <v>4559</v>
      </c>
      <c r="B916" s="17">
        <v>2001.0</v>
      </c>
      <c r="C916" s="9" t="s">
        <v>4735</v>
      </c>
      <c r="D916" s="9">
        <v>12.0</v>
      </c>
      <c r="E916" s="18">
        <f t="shared" si="1"/>
        <v>37207</v>
      </c>
      <c r="F916" s="9">
        <v>0.0</v>
      </c>
      <c r="G916" s="19">
        <v>1167.0</v>
      </c>
      <c r="H916" s="9" t="s">
        <v>4723</v>
      </c>
      <c r="I916" s="9" t="s">
        <v>4718</v>
      </c>
      <c r="J916" s="9" t="s">
        <v>4743</v>
      </c>
      <c r="K916" s="20">
        <f t="shared" si="2"/>
        <v>2001</v>
      </c>
      <c r="L916" s="9" t="str">
        <f t="shared" si="3"/>
        <v>tier - 2</v>
      </c>
      <c r="M916" s="9" t="str">
        <f t="shared" si="4"/>
        <v>tier - 1</v>
      </c>
      <c r="N916" s="9" t="str">
        <f t="shared" si="5"/>
        <v>R1013</v>
      </c>
      <c r="O916" s="17">
        <f t="shared" si="6"/>
        <v>21</v>
      </c>
      <c r="P916" s="18">
        <v>37207.0</v>
      </c>
    </row>
    <row r="917" ht="15.75" customHeight="1">
      <c r="A917" s="9" t="s">
        <v>4557</v>
      </c>
      <c r="B917" s="17">
        <v>1996.0</v>
      </c>
      <c r="C917" s="9" t="s">
        <v>4716</v>
      </c>
      <c r="D917" s="9">
        <v>11.0</v>
      </c>
      <c r="E917" s="18">
        <f t="shared" si="1"/>
        <v>35288</v>
      </c>
      <c r="F917" s="9">
        <v>0.0</v>
      </c>
      <c r="G917" s="19">
        <v>1178.0</v>
      </c>
      <c r="H917" s="9" t="s">
        <v>4723</v>
      </c>
      <c r="I917" s="9" t="s">
        <v>4717</v>
      </c>
      <c r="J917" s="9" t="s">
        <v>4743</v>
      </c>
      <c r="K917" s="20">
        <f t="shared" si="2"/>
        <v>1996</v>
      </c>
      <c r="L917" s="9" t="str">
        <f t="shared" si="3"/>
        <v>tier - 2</v>
      </c>
      <c r="M917" s="9" t="str">
        <f t="shared" si="4"/>
        <v>tier - 3</v>
      </c>
      <c r="N917" s="9" t="str">
        <f t="shared" si="5"/>
        <v>R1013</v>
      </c>
      <c r="O917" s="17">
        <f t="shared" si="6"/>
        <v>26</v>
      </c>
      <c r="P917" s="18">
        <v>35288.0</v>
      </c>
    </row>
    <row r="918" ht="15.75" customHeight="1">
      <c r="A918" s="9" t="s">
        <v>4555</v>
      </c>
      <c r="B918" s="17">
        <v>1997.0</v>
      </c>
      <c r="C918" s="9" t="s">
        <v>4730</v>
      </c>
      <c r="D918" s="9">
        <v>28.0</v>
      </c>
      <c r="E918" s="18">
        <f t="shared" si="1"/>
        <v>35609</v>
      </c>
      <c r="F918" s="9">
        <v>0.0</v>
      </c>
      <c r="G918" s="19">
        <v>1178.07</v>
      </c>
      <c r="H918" s="9" t="s">
        <v>4723</v>
      </c>
      <c r="I918" s="9" t="s">
        <v>4723</v>
      </c>
      <c r="J918" s="9" t="s">
        <v>4743</v>
      </c>
      <c r="K918" s="20">
        <f t="shared" si="2"/>
        <v>1997</v>
      </c>
      <c r="L918" s="9" t="str">
        <f t="shared" si="3"/>
        <v>tier - 2</v>
      </c>
      <c r="M918" s="9" t="str">
        <f t="shared" si="4"/>
        <v>tier - 2</v>
      </c>
      <c r="N918" s="9" t="str">
        <f t="shared" si="5"/>
        <v>R1013</v>
      </c>
      <c r="O918" s="17">
        <f t="shared" si="6"/>
        <v>25</v>
      </c>
      <c r="P918" s="18">
        <v>35609.0</v>
      </c>
    </row>
    <row r="919" ht="15.75" customHeight="1">
      <c r="A919" s="9" t="s">
        <v>4553</v>
      </c>
      <c r="B919" s="17">
        <v>2002.0</v>
      </c>
      <c r="C919" s="9" t="s">
        <v>4716</v>
      </c>
      <c r="D919" s="9">
        <v>26.0</v>
      </c>
      <c r="E919" s="18">
        <f t="shared" si="1"/>
        <v>37494</v>
      </c>
      <c r="F919" s="9">
        <v>0.0</v>
      </c>
      <c r="G919" s="19">
        <v>1191.0</v>
      </c>
      <c r="H919" s="9" t="s">
        <v>4723</v>
      </c>
      <c r="I919" s="9" t="s">
        <v>4718</v>
      </c>
      <c r="J919" s="9" t="s">
        <v>4743</v>
      </c>
      <c r="K919" s="20">
        <f t="shared" si="2"/>
        <v>2002</v>
      </c>
      <c r="L919" s="9" t="str">
        <f t="shared" si="3"/>
        <v>tier - 2</v>
      </c>
      <c r="M919" s="9" t="str">
        <f t="shared" si="4"/>
        <v>tier - 1</v>
      </c>
      <c r="N919" s="9" t="str">
        <f t="shared" si="5"/>
        <v>R1013</v>
      </c>
      <c r="O919" s="17">
        <f t="shared" si="6"/>
        <v>20</v>
      </c>
      <c r="P919" s="18">
        <v>37494.0</v>
      </c>
    </row>
    <row r="920" ht="15.75" customHeight="1">
      <c r="A920" s="9" t="s">
        <v>4551</v>
      </c>
      <c r="B920" s="17">
        <v>1999.0</v>
      </c>
      <c r="C920" s="9" t="s">
        <v>4730</v>
      </c>
      <c r="D920" s="9">
        <v>28.0</v>
      </c>
      <c r="E920" s="18">
        <f t="shared" si="1"/>
        <v>36339</v>
      </c>
      <c r="F920" s="9">
        <v>0.0</v>
      </c>
      <c r="G920" s="19">
        <v>1200.0</v>
      </c>
      <c r="H920" s="9" t="s">
        <v>4723</v>
      </c>
      <c r="I920" s="9" t="s">
        <v>4717</v>
      </c>
      <c r="J920" s="9" t="s">
        <v>4733</v>
      </c>
      <c r="K920" s="20">
        <f t="shared" si="2"/>
        <v>1999</v>
      </c>
      <c r="L920" s="9" t="str">
        <f t="shared" si="3"/>
        <v>tier - 2</v>
      </c>
      <c r="M920" s="9" t="str">
        <f t="shared" si="4"/>
        <v>tier - 3</v>
      </c>
      <c r="N920" s="9" t="str">
        <f t="shared" si="5"/>
        <v>R1012</v>
      </c>
      <c r="O920" s="17">
        <f t="shared" si="6"/>
        <v>23</v>
      </c>
      <c r="P920" s="18">
        <v>36339.0</v>
      </c>
    </row>
    <row r="921" ht="15.75" customHeight="1">
      <c r="A921" s="9" t="s">
        <v>4549</v>
      </c>
      <c r="B921" s="17">
        <v>1992.0</v>
      </c>
      <c r="C921" s="9" t="s">
        <v>4720</v>
      </c>
      <c r="D921" s="9">
        <v>6.0</v>
      </c>
      <c r="E921" s="18">
        <f t="shared" si="1"/>
        <v>33883</v>
      </c>
      <c r="F921" s="9">
        <v>0.0</v>
      </c>
      <c r="G921" s="19">
        <v>1200.55</v>
      </c>
      <c r="H921" s="9" t="s">
        <v>4723</v>
      </c>
      <c r="I921" s="9" t="s">
        <v>4717</v>
      </c>
      <c r="J921" s="9" t="s">
        <v>4743</v>
      </c>
      <c r="K921" s="20">
        <f t="shared" si="2"/>
        <v>1992</v>
      </c>
      <c r="L921" s="9" t="str">
        <f t="shared" si="3"/>
        <v>tier - 2</v>
      </c>
      <c r="M921" s="9" t="str">
        <f t="shared" si="4"/>
        <v>tier - 3</v>
      </c>
      <c r="N921" s="9" t="str">
        <f t="shared" si="5"/>
        <v>R1013</v>
      </c>
      <c r="O921" s="17">
        <f t="shared" si="6"/>
        <v>30</v>
      </c>
      <c r="P921" s="18">
        <v>33883.0</v>
      </c>
    </row>
    <row r="922" ht="15.75" customHeight="1">
      <c r="A922" s="9" t="s">
        <v>4547</v>
      </c>
      <c r="B922" s="17">
        <v>2004.0</v>
      </c>
      <c r="C922" s="9" t="s">
        <v>4730</v>
      </c>
      <c r="D922" s="9">
        <v>2.0</v>
      </c>
      <c r="E922" s="18">
        <f t="shared" si="1"/>
        <v>38140</v>
      </c>
      <c r="F922" s="9">
        <v>0.0</v>
      </c>
      <c r="G922" s="19">
        <v>1210.0</v>
      </c>
      <c r="H922" s="9" t="s">
        <v>4723</v>
      </c>
      <c r="I922" s="9" t="s">
        <v>4718</v>
      </c>
      <c r="J922" s="9" t="s">
        <v>4743</v>
      </c>
      <c r="K922" s="20">
        <f t="shared" si="2"/>
        <v>2004</v>
      </c>
      <c r="L922" s="9" t="str">
        <f t="shared" si="3"/>
        <v>tier - 2</v>
      </c>
      <c r="M922" s="9" t="str">
        <f t="shared" si="4"/>
        <v>tier - 1</v>
      </c>
      <c r="N922" s="9" t="str">
        <f t="shared" si="5"/>
        <v>R1013</v>
      </c>
      <c r="O922" s="17">
        <f t="shared" si="6"/>
        <v>19</v>
      </c>
      <c r="P922" s="18">
        <v>38140.0</v>
      </c>
    </row>
    <row r="923" ht="15.75" customHeight="1">
      <c r="A923" s="9" t="s">
        <v>4545</v>
      </c>
      <c r="B923" s="17">
        <v>1996.0</v>
      </c>
      <c r="C923" s="9" t="s">
        <v>4735</v>
      </c>
      <c r="D923" s="9">
        <v>4.0</v>
      </c>
      <c r="E923" s="18">
        <f t="shared" si="1"/>
        <v>35373</v>
      </c>
      <c r="F923" s="9">
        <v>0.0</v>
      </c>
      <c r="G923" s="19">
        <v>1220.0</v>
      </c>
      <c r="H923" s="9" t="s">
        <v>4723</v>
      </c>
      <c r="I923" s="9" t="s">
        <v>4717</v>
      </c>
      <c r="J923" s="9" t="s">
        <v>4733</v>
      </c>
      <c r="K923" s="20">
        <f t="shared" si="2"/>
        <v>1996</v>
      </c>
      <c r="L923" s="9" t="str">
        <f t="shared" si="3"/>
        <v>tier - 2</v>
      </c>
      <c r="M923" s="9" t="str">
        <f t="shared" si="4"/>
        <v>tier - 3</v>
      </c>
      <c r="N923" s="9" t="str">
        <f t="shared" si="5"/>
        <v>R1012</v>
      </c>
      <c r="O923" s="17">
        <f t="shared" si="6"/>
        <v>26</v>
      </c>
      <c r="P923" s="18">
        <v>35373.0</v>
      </c>
    </row>
    <row r="924" ht="15.75" customHeight="1">
      <c r="A924" s="9" t="s">
        <v>4543</v>
      </c>
      <c r="B924" s="17">
        <v>2004.0</v>
      </c>
      <c r="C924" s="9" t="s">
        <v>4741</v>
      </c>
      <c r="D924" s="9">
        <v>9.0</v>
      </c>
      <c r="E924" s="18">
        <f t="shared" si="1"/>
        <v>38177</v>
      </c>
      <c r="F924" s="9">
        <v>0.0</v>
      </c>
      <c r="G924" s="19">
        <v>1224.0</v>
      </c>
      <c r="H924" s="9" t="s">
        <v>4723</v>
      </c>
      <c r="I924" s="9" t="s">
        <v>4718</v>
      </c>
      <c r="J924" s="9" t="s">
        <v>4743</v>
      </c>
      <c r="K924" s="20">
        <f t="shared" si="2"/>
        <v>2004</v>
      </c>
      <c r="L924" s="9" t="str">
        <f t="shared" si="3"/>
        <v>tier - 2</v>
      </c>
      <c r="M924" s="9" t="str">
        <f t="shared" si="4"/>
        <v>tier - 1</v>
      </c>
      <c r="N924" s="9" t="str">
        <f t="shared" si="5"/>
        <v>R1013</v>
      </c>
      <c r="O924" s="17">
        <f t="shared" si="6"/>
        <v>18</v>
      </c>
      <c r="P924" s="18">
        <v>38177.0</v>
      </c>
    </row>
    <row r="925" ht="15.75" customHeight="1">
      <c r="A925" s="9" t="s">
        <v>4541</v>
      </c>
      <c r="B925" s="17">
        <v>2004.0</v>
      </c>
      <c r="C925" s="9" t="s">
        <v>4720</v>
      </c>
      <c r="D925" s="9">
        <v>16.0</v>
      </c>
      <c r="E925" s="18">
        <f t="shared" si="1"/>
        <v>38276</v>
      </c>
      <c r="F925" s="9">
        <v>0.0</v>
      </c>
      <c r="G925" s="19">
        <v>1228.0</v>
      </c>
      <c r="H925" s="9" t="s">
        <v>4723</v>
      </c>
      <c r="I925" s="9" t="s">
        <v>4718</v>
      </c>
      <c r="J925" s="9" t="s">
        <v>4733</v>
      </c>
      <c r="K925" s="20">
        <f t="shared" si="2"/>
        <v>2004</v>
      </c>
      <c r="L925" s="9" t="str">
        <f t="shared" si="3"/>
        <v>tier - 2</v>
      </c>
      <c r="M925" s="9" t="str">
        <f t="shared" si="4"/>
        <v>tier - 1</v>
      </c>
      <c r="N925" s="9" t="str">
        <f t="shared" si="5"/>
        <v>R1012</v>
      </c>
      <c r="O925" s="17">
        <f t="shared" si="6"/>
        <v>18</v>
      </c>
      <c r="P925" s="18">
        <v>38276.0</v>
      </c>
    </row>
    <row r="926" ht="15.75" customHeight="1">
      <c r="A926" s="9" t="s">
        <v>455</v>
      </c>
      <c r="B926" s="17">
        <v>1998.0</v>
      </c>
      <c r="C926" s="9" t="s">
        <v>4716</v>
      </c>
      <c r="D926" s="9">
        <v>22.0</v>
      </c>
      <c r="E926" s="18">
        <f t="shared" si="1"/>
        <v>36029</v>
      </c>
      <c r="F926" s="9">
        <v>0.0</v>
      </c>
      <c r="G926" s="19">
        <v>34976.42</v>
      </c>
      <c r="H926" s="9" t="s">
        <v>4723</v>
      </c>
      <c r="I926" s="9" t="s">
        <v>4718</v>
      </c>
      <c r="J926" s="9" t="s">
        <v>4719</v>
      </c>
      <c r="K926" s="20">
        <f t="shared" si="2"/>
        <v>1998</v>
      </c>
      <c r="L926" s="9" t="str">
        <f t="shared" si="3"/>
        <v>tier - 2</v>
      </c>
      <c r="M926" s="9" t="str">
        <f t="shared" si="4"/>
        <v>tier - 1</v>
      </c>
      <c r="N926" s="9" t="str">
        <f t="shared" si="5"/>
        <v>R1011</v>
      </c>
      <c r="O926" s="17">
        <f t="shared" si="6"/>
        <v>24</v>
      </c>
      <c r="P926" s="18">
        <v>36029.0</v>
      </c>
    </row>
    <row r="927" ht="15.75" customHeight="1">
      <c r="A927" s="9" t="s">
        <v>4539</v>
      </c>
      <c r="B927" s="17">
        <v>1998.0</v>
      </c>
      <c r="C927" s="9" t="s">
        <v>4741</v>
      </c>
      <c r="D927" s="9">
        <v>13.0</v>
      </c>
      <c r="E927" s="18">
        <f t="shared" si="1"/>
        <v>35989</v>
      </c>
      <c r="F927" s="9">
        <v>0.0</v>
      </c>
      <c r="G927" s="19">
        <v>1234.0</v>
      </c>
      <c r="H927" s="9" t="s">
        <v>4723</v>
      </c>
      <c r="I927" s="9" t="s">
        <v>4718</v>
      </c>
      <c r="J927" s="9" t="s">
        <v>4743</v>
      </c>
      <c r="K927" s="20">
        <f t="shared" si="2"/>
        <v>1998</v>
      </c>
      <c r="L927" s="9" t="str">
        <f t="shared" si="3"/>
        <v>tier - 2</v>
      </c>
      <c r="M927" s="9" t="str">
        <f t="shared" si="4"/>
        <v>tier - 1</v>
      </c>
      <c r="N927" s="9" t="str">
        <f t="shared" si="5"/>
        <v>R1013</v>
      </c>
      <c r="O927" s="17">
        <f t="shared" si="6"/>
        <v>24</v>
      </c>
      <c r="P927" s="18">
        <v>35989.0</v>
      </c>
    </row>
    <row r="928" ht="15.75" customHeight="1">
      <c r="A928" s="9" t="s">
        <v>4537</v>
      </c>
      <c r="B928" s="17">
        <v>2002.0</v>
      </c>
      <c r="C928" s="9" t="s">
        <v>4725</v>
      </c>
      <c r="D928" s="9">
        <v>12.0</v>
      </c>
      <c r="E928" s="18">
        <f t="shared" si="1"/>
        <v>37602</v>
      </c>
      <c r="F928" s="9">
        <v>0.0</v>
      </c>
      <c r="G928" s="19">
        <v>1237.0</v>
      </c>
      <c r="H928" s="9" t="s">
        <v>4723</v>
      </c>
      <c r="I928" s="9" t="s">
        <v>4723</v>
      </c>
      <c r="J928" s="9" t="s">
        <v>4743</v>
      </c>
      <c r="K928" s="20">
        <f t="shared" si="2"/>
        <v>2002</v>
      </c>
      <c r="L928" s="9" t="str">
        <f t="shared" si="3"/>
        <v>tier - 2</v>
      </c>
      <c r="M928" s="9" t="str">
        <f t="shared" si="4"/>
        <v>tier - 2</v>
      </c>
      <c r="N928" s="9" t="str">
        <f t="shared" si="5"/>
        <v>R1013</v>
      </c>
      <c r="O928" s="17">
        <f t="shared" si="6"/>
        <v>20</v>
      </c>
      <c r="P928" s="18">
        <v>37602.0</v>
      </c>
    </row>
    <row r="929" ht="15.75" customHeight="1">
      <c r="A929" s="9" t="s">
        <v>4535</v>
      </c>
      <c r="B929" s="17">
        <v>1998.0</v>
      </c>
      <c r="C929" s="9" t="s">
        <v>4720</v>
      </c>
      <c r="D929" s="9">
        <v>11.0</v>
      </c>
      <c r="E929" s="18">
        <f t="shared" si="1"/>
        <v>36079</v>
      </c>
      <c r="F929" s="9">
        <v>0.0</v>
      </c>
      <c r="G929" s="19">
        <v>1240.0</v>
      </c>
      <c r="H929" s="9" t="s">
        <v>4723</v>
      </c>
      <c r="I929" s="9" t="s">
        <v>4718</v>
      </c>
      <c r="J929" s="9" t="s">
        <v>4733</v>
      </c>
      <c r="K929" s="20">
        <f t="shared" si="2"/>
        <v>1998</v>
      </c>
      <c r="L929" s="9" t="str">
        <f t="shared" si="3"/>
        <v>tier - 2</v>
      </c>
      <c r="M929" s="9" t="str">
        <f t="shared" si="4"/>
        <v>tier - 1</v>
      </c>
      <c r="N929" s="9" t="str">
        <f t="shared" si="5"/>
        <v>R1012</v>
      </c>
      <c r="O929" s="17">
        <f t="shared" si="6"/>
        <v>24</v>
      </c>
      <c r="P929" s="18">
        <v>36079.0</v>
      </c>
    </row>
    <row r="930" ht="15.75" customHeight="1">
      <c r="A930" s="9" t="s">
        <v>4533</v>
      </c>
      <c r="B930" s="17">
        <v>2002.0</v>
      </c>
      <c r="C930" s="9" t="s">
        <v>4741</v>
      </c>
      <c r="D930" s="9">
        <v>1.0</v>
      </c>
      <c r="E930" s="18">
        <f t="shared" si="1"/>
        <v>37438</v>
      </c>
      <c r="F930" s="9">
        <v>0.0</v>
      </c>
      <c r="G930" s="19">
        <v>1241.0</v>
      </c>
      <c r="H930" s="9" t="s">
        <v>4723</v>
      </c>
      <c r="I930" s="9" t="s">
        <v>4723</v>
      </c>
      <c r="J930" s="9" t="s">
        <v>4743</v>
      </c>
      <c r="K930" s="20">
        <f t="shared" si="2"/>
        <v>2002</v>
      </c>
      <c r="L930" s="9" t="str">
        <f t="shared" si="3"/>
        <v>tier - 2</v>
      </c>
      <c r="M930" s="9" t="str">
        <f t="shared" si="4"/>
        <v>tier - 2</v>
      </c>
      <c r="N930" s="9" t="str">
        <f t="shared" si="5"/>
        <v>R1013</v>
      </c>
      <c r="O930" s="17">
        <f t="shared" si="6"/>
        <v>20</v>
      </c>
      <c r="P930" s="18">
        <v>37438.0</v>
      </c>
    </row>
    <row r="931" ht="15.75" customHeight="1">
      <c r="A931" s="9" t="s">
        <v>4531</v>
      </c>
      <c r="B931" s="17">
        <v>2003.0</v>
      </c>
      <c r="C931" s="9" t="s">
        <v>4716</v>
      </c>
      <c r="D931" s="9">
        <v>2.0</v>
      </c>
      <c r="E931" s="18">
        <f t="shared" si="1"/>
        <v>37835</v>
      </c>
      <c r="F931" s="9">
        <v>0.0</v>
      </c>
      <c r="G931" s="19">
        <v>1241.57</v>
      </c>
      <c r="H931" s="9" t="s">
        <v>4723</v>
      </c>
      <c r="I931" s="9" t="s">
        <v>4723</v>
      </c>
      <c r="J931" s="9" t="s">
        <v>4719</v>
      </c>
      <c r="K931" s="20">
        <f t="shared" si="2"/>
        <v>2003</v>
      </c>
      <c r="L931" s="9" t="str">
        <f t="shared" si="3"/>
        <v>tier - 2</v>
      </c>
      <c r="M931" s="9" t="str">
        <f t="shared" si="4"/>
        <v>tier - 2</v>
      </c>
      <c r="N931" s="9" t="str">
        <f t="shared" si="5"/>
        <v>R1011</v>
      </c>
      <c r="O931" s="17">
        <f t="shared" si="6"/>
        <v>19</v>
      </c>
      <c r="P931" s="18">
        <v>37835.0</v>
      </c>
    </row>
    <row r="932" ht="15.75" customHeight="1">
      <c r="A932" s="9" t="s">
        <v>4529</v>
      </c>
      <c r="B932" s="17">
        <v>2003.0</v>
      </c>
      <c r="C932" s="9" t="s">
        <v>4738</v>
      </c>
      <c r="D932" s="9">
        <v>15.0</v>
      </c>
      <c r="E932" s="18">
        <f t="shared" si="1"/>
        <v>37879</v>
      </c>
      <c r="F932" s="9">
        <v>0.0</v>
      </c>
      <c r="G932" s="19">
        <v>1242.26</v>
      </c>
      <c r="H932" s="9" t="s">
        <v>4723</v>
      </c>
      <c r="I932" s="9" t="s">
        <v>4718</v>
      </c>
      <c r="J932" s="9" t="s">
        <v>4719</v>
      </c>
      <c r="K932" s="20">
        <f t="shared" si="2"/>
        <v>2003</v>
      </c>
      <c r="L932" s="9" t="str">
        <f t="shared" si="3"/>
        <v>tier - 2</v>
      </c>
      <c r="M932" s="9" t="str">
        <f t="shared" si="4"/>
        <v>tier - 1</v>
      </c>
      <c r="N932" s="9" t="str">
        <f t="shared" si="5"/>
        <v>R1011</v>
      </c>
      <c r="O932" s="17">
        <f t="shared" si="6"/>
        <v>19</v>
      </c>
      <c r="P932" s="18">
        <v>37879.0</v>
      </c>
    </row>
    <row r="933" ht="15.75" customHeight="1">
      <c r="A933" s="9" t="s">
        <v>4527</v>
      </c>
      <c r="B933" s="17">
        <v>2003.0</v>
      </c>
      <c r="C933" s="9" t="s">
        <v>4738</v>
      </c>
      <c r="D933" s="9">
        <v>8.0</v>
      </c>
      <c r="E933" s="18">
        <f t="shared" si="1"/>
        <v>37872</v>
      </c>
      <c r="F933" s="9">
        <v>0.0</v>
      </c>
      <c r="G933" s="19">
        <v>1242.82</v>
      </c>
      <c r="H933" s="9" t="s">
        <v>4723</v>
      </c>
      <c r="I933" s="9" t="s">
        <v>4718</v>
      </c>
      <c r="J933" s="9" t="s">
        <v>4719</v>
      </c>
      <c r="K933" s="20">
        <f t="shared" si="2"/>
        <v>2003</v>
      </c>
      <c r="L933" s="9" t="str">
        <f t="shared" si="3"/>
        <v>tier - 2</v>
      </c>
      <c r="M933" s="9" t="str">
        <f t="shared" si="4"/>
        <v>tier - 1</v>
      </c>
      <c r="N933" s="9" t="str">
        <f t="shared" si="5"/>
        <v>R1011</v>
      </c>
      <c r="O933" s="17">
        <f t="shared" si="6"/>
        <v>19</v>
      </c>
      <c r="P933" s="18">
        <v>37872.0</v>
      </c>
    </row>
    <row r="934" ht="15.75" customHeight="1">
      <c r="A934" s="9" t="s">
        <v>4525</v>
      </c>
      <c r="B934" s="17">
        <v>2003.0</v>
      </c>
      <c r="C934" s="9" t="s">
        <v>4738</v>
      </c>
      <c r="D934" s="9">
        <v>15.0</v>
      </c>
      <c r="E934" s="18">
        <f t="shared" si="1"/>
        <v>37879</v>
      </c>
      <c r="F934" s="9">
        <v>0.0</v>
      </c>
      <c r="G934" s="19">
        <v>1252.41</v>
      </c>
      <c r="H934" s="9" t="s">
        <v>4723</v>
      </c>
      <c r="I934" s="9" t="s">
        <v>4717</v>
      </c>
      <c r="J934" s="9" t="s">
        <v>4719</v>
      </c>
      <c r="K934" s="20">
        <f t="shared" si="2"/>
        <v>2003</v>
      </c>
      <c r="L934" s="9" t="str">
        <f t="shared" si="3"/>
        <v>tier - 2</v>
      </c>
      <c r="M934" s="9" t="str">
        <f t="shared" si="4"/>
        <v>tier - 3</v>
      </c>
      <c r="N934" s="9" t="str">
        <f t="shared" si="5"/>
        <v>R1011</v>
      </c>
      <c r="O934" s="17">
        <f t="shared" si="6"/>
        <v>19</v>
      </c>
      <c r="P934" s="18">
        <v>37879.0</v>
      </c>
    </row>
    <row r="935" ht="15.75" customHeight="1">
      <c r="A935" s="9" t="s">
        <v>4523</v>
      </c>
      <c r="B935" s="17">
        <v>1997.0</v>
      </c>
      <c r="C935" s="9" t="s">
        <v>4735</v>
      </c>
      <c r="D935" s="9">
        <v>4.0</v>
      </c>
      <c r="E935" s="18">
        <f t="shared" si="1"/>
        <v>35738</v>
      </c>
      <c r="F935" s="9">
        <v>0.0</v>
      </c>
      <c r="G935" s="19">
        <v>1253.0</v>
      </c>
      <c r="H935" s="9" t="s">
        <v>4723</v>
      </c>
      <c r="I935" s="9" t="s">
        <v>4723</v>
      </c>
      <c r="J935" s="9" t="s">
        <v>4743</v>
      </c>
      <c r="K935" s="20">
        <f t="shared" si="2"/>
        <v>1997</v>
      </c>
      <c r="L935" s="9" t="str">
        <f t="shared" si="3"/>
        <v>tier - 2</v>
      </c>
      <c r="M935" s="9" t="str">
        <f t="shared" si="4"/>
        <v>tier - 2</v>
      </c>
      <c r="N935" s="9" t="str">
        <f t="shared" si="5"/>
        <v>R1013</v>
      </c>
      <c r="O935" s="17">
        <f t="shared" si="6"/>
        <v>25</v>
      </c>
      <c r="P935" s="18">
        <v>35738.0</v>
      </c>
    </row>
    <row r="936" ht="15.75" customHeight="1">
      <c r="A936" s="9" t="s">
        <v>4521</v>
      </c>
      <c r="B936" s="17">
        <v>2003.0</v>
      </c>
      <c r="C936" s="9" t="s">
        <v>4725</v>
      </c>
      <c r="D936" s="9">
        <v>10.0</v>
      </c>
      <c r="E936" s="18">
        <f t="shared" si="1"/>
        <v>37965</v>
      </c>
      <c r="F936" s="9">
        <v>0.0</v>
      </c>
      <c r="G936" s="19">
        <v>1253.94</v>
      </c>
      <c r="H936" s="9" t="s">
        <v>4723</v>
      </c>
      <c r="I936" s="9" t="s">
        <v>4723</v>
      </c>
      <c r="J936" s="9" t="s">
        <v>4719</v>
      </c>
      <c r="K936" s="20">
        <f t="shared" si="2"/>
        <v>2003</v>
      </c>
      <c r="L936" s="9" t="str">
        <f t="shared" si="3"/>
        <v>tier - 2</v>
      </c>
      <c r="M936" s="9" t="str">
        <f t="shared" si="4"/>
        <v>tier - 2</v>
      </c>
      <c r="N936" s="9" t="str">
        <f t="shared" si="5"/>
        <v>R1011</v>
      </c>
      <c r="O936" s="17">
        <f t="shared" si="6"/>
        <v>19</v>
      </c>
      <c r="P936" s="18">
        <v>37965.0</v>
      </c>
    </row>
    <row r="937" ht="15.75" customHeight="1">
      <c r="A937" s="9" t="s">
        <v>453</v>
      </c>
      <c r="B937" s="17">
        <v>1997.0</v>
      </c>
      <c r="C937" s="9" t="s">
        <v>4716</v>
      </c>
      <c r="D937" s="9">
        <v>22.0</v>
      </c>
      <c r="E937" s="18">
        <f t="shared" si="1"/>
        <v>35664</v>
      </c>
      <c r="F937" s="9">
        <v>0.0</v>
      </c>
      <c r="G937" s="19">
        <v>34979.86</v>
      </c>
      <c r="H937" s="9" t="s">
        <v>4723</v>
      </c>
      <c r="I937" s="9" t="s">
        <v>4723</v>
      </c>
      <c r="J937" s="9" t="s">
        <v>4719</v>
      </c>
      <c r="K937" s="20">
        <f t="shared" si="2"/>
        <v>1997</v>
      </c>
      <c r="L937" s="9" t="str">
        <f t="shared" si="3"/>
        <v>tier - 2</v>
      </c>
      <c r="M937" s="9" t="str">
        <f t="shared" si="4"/>
        <v>tier - 2</v>
      </c>
      <c r="N937" s="9" t="str">
        <f t="shared" si="5"/>
        <v>R1011</v>
      </c>
      <c r="O937" s="17">
        <f t="shared" si="6"/>
        <v>25</v>
      </c>
      <c r="P937" s="18">
        <v>35664.0</v>
      </c>
    </row>
    <row r="938" ht="15.75" customHeight="1">
      <c r="A938" s="9" t="s">
        <v>4519</v>
      </c>
      <c r="B938" s="17">
        <v>2003.0</v>
      </c>
      <c r="C938" s="9" t="s">
        <v>4720</v>
      </c>
      <c r="D938" s="9">
        <v>13.0</v>
      </c>
      <c r="E938" s="18">
        <f t="shared" si="1"/>
        <v>37907</v>
      </c>
      <c r="F938" s="9">
        <v>0.0</v>
      </c>
      <c r="G938" s="19">
        <v>1256.3</v>
      </c>
      <c r="H938" s="9" t="s">
        <v>4723</v>
      </c>
      <c r="I938" s="9" t="s">
        <v>4717</v>
      </c>
      <c r="J938" s="9" t="s">
        <v>4719</v>
      </c>
      <c r="K938" s="20">
        <f t="shared" si="2"/>
        <v>2003</v>
      </c>
      <c r="L938" s="9" t="str">
        <f t="shared" si="3"/>
        <v>tier - 2</v>
      </c>
      <c r="M938" s="9" t="str">
        <f t="shared" si="4"/>
        <v>tier - 3</v>
      </c>
      <c r="N938" s="9" t="str">
        <f t="shared" si="5"/>
        <v>R1011</v>
      </c>
      <c r="O938" s="17">
        <f t="shared" si="6"/>
        <v>19</v>
      </c>
      <c r="P938" s="18">
        <v>37907.0</v>
      </c>
    </row>
    <row r="939" ht="15.75" customHeight="1">
      <c r="A939" s="9" t="s">
        <v>4517</v>
      </c>
      <c r="B939" s="17">
        <v>2003.0</v>
      </c>
      <c r="C939" s="9" t="s">
        <v>4720</v>
      </c>
      <c r="D939" s="9">
        <v>30.0</v>
      </c>
      <c r="E939" s="18">
        <f t="shared" si="1"/>
        <v>37924</v>
      </c>
      <c r="F939" s="9">
        <v>0.0</v>
      </c>
      <c r="G939" s="19">
        <v>1261.44</v>
      </c>
      <c r="H939" s="9" t="s">
        <v>4723</v>
      </c>
      <c r="I939" s="9" t="s">
        <v>4717</v>
      </c>
      <c r="J939" s="9" t="s">
        <v>4719</v>
      </c>
      <c r="K939" s="20">
        <f t="shared" si="2"/>
        <v>2003</v>
      </c>
      <c r="L939" s="9" t="str">
        <f t="shared" si="3"/>
        <v>tier - 2</v>
      </c>
      <c r="M939" s="9" t="str">
        <f t="shared" si="4"/>
        <v>tier - 3</v>
      </c>
      <c r="N939" s="9" t="str">
        <f t="shared" si="5"/>
        <v>R1011</v>
      </c>
      <c r="O939" s="17">
        <f t="shared" si="6"/>
        <v>19</v>
      </c>
      <c r="P939" s="18">
        <v>37924.0</v>
      </c>
    </row>
    <row r="940" ht="15.75" customHeight="1">
      <c r="A940" s="9" t="s">
        <v>4515</v>
      </c>
      <c r="B940" s="17">
        <v>2003.0</v>
      </c>
      <c r="C940" s="9" t="s">
        <v>4716</v>
      </c>
      <c r="D940" s="9">
        <v>15.0</v>
      </c>
      <c r="E940" s="18">
        <f t="shared" si="1"/>
        <v>37848</v>
      </c>
      <c r="F940" s="9">
        <v>0.0</v>
      </c>
      <c r="G940" s="19">
        <v>1261.86</v>
      </c>
      <c r="H940" s="9" t="s">
        <v>4723</v>
      </c>
      <c r="I940" s="9" t="s">
        <v>4717</v>
      </c>
      <c r="J940" s="9" t="s">
        <v>4719</v>
      </c>
      <c r="K940" s="20">
        <f t="shared" si="2"/>
        <v>2003</v>
      </c>
      <c r="L940" s="9" t="str">
        <f t="shared" si="3"/>
        <v>tier - 2</v>
      </c>
      <c r="M940" s="9" t="str">
        <f t="shared" si="4"/>
        <v>tier - 3</v>
      </c>
      <c r="N940" s="9" t="str">
        <f t="shared" si="5"/>
        <v>R1011</v>
      </c>
      <c r="O940" s="17">
        <f t="shared" si="6"/>
        <v>19</v>
      </c>
      <c r="P940" s="18">
        <v>37848.0</v>
      </c>
    </row>
    <row r="941" ht="15.75" customHeight="1">
      <c r="A941" s="9" t="s">
        <v>4513</v>
      </c>
      <c r="B941" s="17">
        <v>2003.0</v>
      </c>
      <c r="C941" s="9" t="s">
        <v>4735</v>
      </c>
      <c r="D941" s="9">
        <v>21.0</v>
      </c>
      <c r="E941" s="18">
        <f t="shared" si="1"/>
        <v>37946</v>
      </c>
      <c r="F941" s="9">
        <v>0.0</v>
      </c>
      <c r="G941" s="19">
        <v>1263.25</v>
      </c>
      <c r="H941" s="9" t="s">
        <v>4723</v>
      </c>
      <c r="I941" s="9" t="s">
        <v>4717</v>
      </c>
      <c r="J941" s="9" t="s">
        <v>4719</v>
      </c>
      <c r="K941" s="20">
        <f t="shared" si="2"/>
        <v>2003</v>
      </c>
      <c r="L941" s="9" t="str">
        <f t="shared" si="3"/>
        <v>tier - 2</v>
      </c>
      <c r="M941" s="9" t="str">
        <f t="shared" si="4"/>
        <v>tier - 3</v>
      </c>
      <c r="N941" s="9" t="str">
        <f t="shared" si="5"/>
        <v>R1011</v>
      </c>
      <c r="O941" s="17">
        <f t="shared" si="6"/>
        <v>19</v>
      </c>
      <c r="P941" s="18">
        <v>37946.0</v>
      </c>
    </row>
    <row r="942" ht="15.75" customHeight="1">
      <c r="A942" s="9" t="s">
        <v>4511</v>
      </c>
      <c r="B942" s="17">
        <v>2002.0</v>
      </c>
      <c r="C942" s="9" t="s">
        <v>4725</v>
      </c>
      <c r="D942" s="9">
        <v>4.0</v>
      </c>
      <c r="E942" s="18">
        <f t="shared" si="1"/>
        <v>37594</v>
      </c>
      <c r="F942" s="9">
        <v>0.0</v>
      </c>
      <c r="G942" s="19">
        <v>1267.0</v>
      </c>
      <c r="H942" s="9" t="s">
        <v>4723</v>
      </c>
      <c r="I942" s="9" t="s">
        <v>4718</v>
      </c>
      <c r="J942" s="9" t="s">
        <v>4743</v>
      </c>
      <c r="K942" s="20">
        <f t="shared" si="2"/>
        <v>2002</v>
      </c>
      <c r="L942" s="9" t="str">
        <f t="shared" si="3"/>
        <v>tier - 2</v>
      </c>
      <c r="M942" s="9" t="str">
        <f t="shared" si="4"/>
        <v>tier - 1</v>
      </c>
      <c r="N942" s="9" t="str">
        <f t="shared" si="5"/>
        <v>R1013</v>
      </c>
      <c r="O942" s="17">
        <f t="shared" si="6"/>
        <v>20</v>
      </c>
      <c r="P942" s="18">
        <v>37594.0</v>
      </c>
    </row>
    <row r="943" ht="15.75" customHeight="1">
      <c r="A943" s="9" t="s">
        <v>4509</v>
      </c>
      <c r="B943" s="17">
        <v>1997.0</v>
      </c>
      <c r="C943" s="9" t="s">
        <v>4720</v>
      </c>
      <c r="D943" s="9">
        <v>26.0</v>
      </c>
      <c r="E943" s="18">
        <f t="shared" si="1"/>
        <v>35729</v>
      </c>
      <c r="F943" s="9">
        <v>0.0</v>
      </c>
      <c r="G943" s="19">
        <v>1276.0</v>
      </c>
      <c r="H943" s="9" t="s">
        <v>4723</v>
      </c>
      <c r="I943" s="9" t="s">
        <v>4723</v>
      </c>
      <c r="J943" s="9" t="s">
        <v>4733</v>
      </c>
      <c r="K943" s="20">
        <f t="shared" si="2"/>
        <v>1997</v>
      </c>
      <c r="L943" s="9" t="str">
        <f t="shared" si="3"/>
        <v>tier - 2</v>
      </c>
      <c r="M943" s="9" t="str">
        <f t="shared" si="4"/>
        <v>tier - 2</v>
      </c>
      <c r="N943" s="9" t="str">
        <f t="shared" si="5"/>
        <v>R1012</v>
      </c>
      <c r="O943" s="17">
        <f t="shared" si="6"/>
        <v>25</v>
      </c>
      <c r="P943" s="18">
        <v>35729.0</v>
      </c>
    </row>
    <row r="944" ht="15.75" customHeight="1">
      <c r="A944" s="9" t="s">
        <v>4507</v>
      </c>
      <c r="B944" s="17">
        <v>2004.0</v>
      </c>
      <c r="C944" s="9" t="s">
        <v>4738</v>
      </c>
      <c r="D944" s="9">
        <v>30.0</v>
      </c>
      <c r="E944" s="18">
        <f t="shared" si="1"/>
        <v>38260</v>
      </c>
      <c r="F944" s="9">
        <v>0.0</v>
      </c>
      <c r="G944" s="19">
        <v>1283.0</v>
      </c>
      <c r="H944" s="9" t="s">
        <v>4723</v>
      </c>
      <c r="I944" s="9" t="s">
        <v>4718</v>
      </c>
      <c r="J944" s="9" t="s">
        <v>4743</v>
      </c>
      <c r="K944" s="20">
        <f t="shared" si="2"/>
        <v>2004</v>
      </c>
      <c r="L944" s="9" t="str">
        <f t="shared" si="3"/>
        <v>tier - 2</v>
      </c>
      <c r="M944" s="9" t="str">
        <f t="shared" si="4"/>
        <v>tier - 1</v>
      </c>
      <c r="N944" s="9" t="str">
        <f t="shared" si="5"/>
        <v>R1013</v>
      </c>
      <c r="O944" s="17">
        <f t="shared" si="6"/>
        <v>18</v>
      </c>
      <c r="P944" s="18">
        <v>38260.0</v>
      </c>
    </row>
    <row r="945" ht="15.75" customHeight="1">
      <c r="A945" s="9" t="s">
        <v>4505</v>
      </c>
      <c r="B945" s="17">
        <v>2004.0</v>
      </c>
      <c r="C945" s="9" t="s">
        <v>4741</v>
      </c>
      <c r="D945" s="9">
        <v>28.0</v>
      </c>
      <c r="E945" s="18">
        <f t="shared" si="1"/>
        <v>38196</v>
      </c>
      <c r="F945" s="9">
        <v>0.0</v>
      </c>
      <c r="G945" s="19">
        <v>1285.0</v>
      </c>
      <c r="H945" s="9" t="s">
        <v>4723</v>
      </c>
      <c r="I945" s="9" t="s">
        <v>4717</v>
      </c>
      <c r="J945" s="9" t="s">
        <v>4743</v>
      </c>
      <c r="K945" s="20">
        <f t="shared" si="2"/>
        <v>2004</v>
      </c>
      <c r="L945" s="9" t="str">
        <f t="shared" si="3"/>
        <v>tier - 2</v>
      </c>
      <c r="M945" s="9" t="str">
        <f t="shared" si="4"/>
        <v>tier - 3</v>
      </c>
      <c r="N945" s="9" t="str">
        <f t="shared" si="5"/>
        <v>R1013</v>
      </c>
      <c r="O945" s="17">
        <f t="shared" si="6"/>
        <v>18</v>
      </c>
      <c r="P945" s="18">
        <v>38196.0</v>
      </c>
    </row>
    <row r="946" ht="15.75" customHeight="1">
      <c r="A946" s="9" t="s">
        <v>4503</v>
      </c>
      <c r="B946" s="17">
        <v>2000.0</v>
      </c>
      <c r="C946" s="9" t="s">
        <v>4730</v>
      </c>
      <c r="D946" s="9">
        <v>26.0</v>
      </c>
      <c r="E946" s="18">
        <f t="shared" si="1"/>
        <v>36703</v>
      </c>
      <c r="F946" s="9">
        <v>0.0</v>
      </c>
      <c r="G946" s="19">
        <v>1286.0</v>
      </c>
      <c r="H946" s="9" t="s">
        <v>4723</v>
      </c>
      <c r="I946" s="9" t="s">
        <v>4723</v>
      </c>
      <c r="J946" s="9" t="s">
        <v>4743</v>
      </c>
      <c r="K946" s="20">
        <f t="shared" si="2"/>
        <v>2000</v>
      </c>
      <c r="L946" s="9" t="str">
        <f t="shared" si="3"/>
        <v>tier - 2</v>
      </c>
      <c r="M946" s="9" t="str">
        <f t="shared" si="4"/>
        <v>tier - 2</v>
      </c>
      <c r="N946" s="9" t="str">
        <f t="shared" si="5"/>
        <v>R1013</v>
      </c>
      <c r="O946" s="17">
        <f t="shared" si="6"/>
        <v>22</v>
      </c>
      <c r="P946" s="18">
        <v>36703.0</v>
      </c>
    </row>
    <row r="947" ht="15.75" customHeight="1">
      <c r="A947" s="9" t="s">
        <v>4501</v>
      </c>
      <c r="B947" s="17">
        <v>1998.0</v>
      </c>
      <c r="C947" s="9" t="s">
        <v>4730</v>
      </c>
      <c r="D947" s="9">
        <v>4.0</v>
      </c>
      <c r="E947" s="18">
        <f t="shared" si="1"/>
        <v>35950</v>
      </c>
      <c r="F947" s="9">
        <v>0.0</v>
      </c>
      <c r="G947" s="19">
        <v>1290.93</v>
      </c>
      <c r="H947" s="9" t="s">
        <v>4723</v>
      </c>
      <c r="I947" s="9" t="s">
        <v>4723</v>
      </c>
      <c r="J947" s="9" t="s">
        <v>4743</v>
      </c>
      <c r="K947" s="20">
        <f t="shared" si="2"/>
        <v>1998</v>
      </c>
      <c r="L947" s="9" t="str">
        <f t="shared" si="3"/>
        <v>tier - 2</v>
      </c>
      <c r="M947" s="9" t="str">
        <f t="shared" si="4"/>
        <v>tier - 2</v>
      </c>
      <c r="N947" s="9" t="str">
        <f t="shared" si="5"/>
        <v>R1013</v>
      </c>
      <c r="O947" s="17">
        <f t="shared" si="6"/>
        <v>25</v>
      </c>
      <c r="P947" s="18">
        <v>35950.0</v>
      </c>
    </row>
    <row r="948" ht="15.75" customHeight="1">
      <c r="A948" s="9" t="s">
        <v>451</v>
      </c>
      <c r="B948" s="17">
        <v>1982.0</v>
      </c>
      <c r="C948" s="9" t="s">
        <v>4741</v>
      </c>
      <c r="D948" s="9">
        <v>5.0</v>
      </c>
      <c r="E948" s="18">
        <f t="shared" si="1"/>
        <v>30137</v>
      </c>
      <c r="F948" s="9">
        <v>3.0</v>
      </c>
      <c r="G948" s="19">
        <v>35000.73</v>
      </c>
      <c r="H948" s="9" t="s">
        <v>4723</v>
      </c>
      <c r="I948" s="9" t="s">
        <v>4717</v>
      </c>
      <c r="J948" s="9" t="s">
        <v>4719</v>
      </c>
      <c r="K948" s="20">
        <f t="shared" si="2"/>
        <v>1982</v>
      </c>
      <c r="L948" s="9" t="str">
        <f t="shared" si="3"/>
        <v>tier - 2</v>
      </c>
      <c r="M948" s="9" t="str">
        <f t="shared" si="4"/>
        <v>tier - 3</v>
      </c>
      <c r="N948" s="9" t="str">
        <f t="shared" si="5"/>
        <v>R1011</v>
      </c>
      <c r="O948" s="17">
        <f t="shared" si="6"/>
        <v>40</v>
      </c>
      <c r="P948" s="18">
        <v>30137.0</v>
      </c>
    </row>
    <row r="949" ht="15.75" customHeight="1">
      <c r="A949" s="9" t="s">
        <v>4499</v>
      </c>
      <c r="B949" s="17">
        <v>2001.0</v>
      </c>
      <c r="C949" s="9" t="s">
        <v>4735</v>
      </c>
      <c r="D949" s="9">
        <v>29.0</v>
      </c>
      <c r="E949" s="18">
        <f t="shared" si="1"/>
        <v>37224</v>
      </c>
      <c r="F949" s="9">
        <v>0.0</v>
      </c>
      <c r="G949" s="19">
        <v>1293.0</v>
      </c>
      <c r="H949" s="9" t="s">
        <v>4723</v>
      </c>
      <c r="I949" s="9" t="s">
        <v>4717</v>
      </c>
      <c r="J949" s="9" t="s">
        <v>4733</v>
      </c>
      <c r="K949" s="20">
        <f t="shared" si="2"/>
        <v>2001</v>
      </c>
      <c r="L949" s="9" t="str">
        <f t="shared" si="3"/>
        <v>tier - 2</v>
      </c>
      <c r="M949" s="9" t="str">
        <f t="shared" si="4"/>
        <v>tier - 3</v>
      </c>
      <c r="N949" s="9" t="str">
        <f t="shared" si="5"/>
        <v>R1012</v>
      </c>
      <c r="O949" s="17">
        <f t="shared" si="6"/>
        <v>21</v>
      </c>
      <c r="P949" s="18">
        <v>37224.0</v>
      </c>
    </row>
    <row r="950" ht="15.75" customHeight="1">
      <c r="A950" s="9" t="s">
        <v>4497</v>
      </c>
      <c r="B950" s="17">
        <v>2002.0</v>
      </c>
      <c r="C950" s="9" t="s">
        <v>4725</v>
      </c>
      <c r="D950" s="9">
        <v>10.0</v>
      </c>
      <c r="E950" s="18">
        <f t="shared" si="1"/>
        <v>37600</v>
      </c>
      <c r="F950" s="9">
        <v>0.0</v>
      </c>
      <c r="G950" s="19">
        <v>1304.0</v>
      </c>
      <c r="H950" s="9" t="s">
        <v>4723</v>
      </c>
      <c r="I950" s="9" t="s">
        <v>4723</v>
      </c>
      <c r="J950" s="9" t="s">
        <v>4733</v>
      </c>
      <c r="K950" s="20">
        <f t="shared" si="2"/>
        <v>2002</v>
      </c>
      <c r="L950" s="9" t="str">
        <f t="shared" si="3"/>
        <v>tier - 2</v>
      </c>
      <c r="M950" s="9" t="str">
        <f t="shared" si="4"/>
        <v>tier - 2</v>
      </c>
      <c r="N950" s="9" t="str">
        <f t="shared" si="5"/>
        <v>R1012</v>
      </c>
      <c r="O950" s="17">
        <f t="shared" si="6"/>
        <v>20</v>
      </c>
      <c r="P950" s="18">
        <v>37600.0</v>
      </c>
    </row>
    <row r="951" ht="15.75" customHeight="1">
      <c r="A951" s="9" t="s">
        <v>4495</v>
      </c>
      <c r="B951" s="17">
        <v>1999.0</v>
      </c>
      <c r="C951" s="9" t="s">
        <v>4725</v>
      </c>
      <c r="D951" s="9">
        <v>2.0</v>
      </c>
      <c r="E951" s="18">
        <f t="shared" si="1"/>
        <v>36496</v>
      </c>
      <c r="F951" s="9">
        <v>0.0</v>
      </c>
      <c r="G951" s="19">
        <v>1304.0</v>
      </c>
      <c r="H951" s="9" t="s">
        <v>4723</v>
      </c>
      <c r="I951" s="9" t="s">
        <v>4723</v>
      </c>
      <c r="J951" s="9" t="s">
        <v>4743</v>
      </c>
      <c r="K951" s="20">
        <f t="shared" si="2"/>
        <v>1999</v>
      </c>
      <c r="L951" s="9" t="str">
        <f t="shared" si="3"/>
        <v>tier - 2</v>
      </c>
      <c r="M951" s="9" t="str">
        <f t="shared" si="4"/>
        <v>tier - 2</v>
      </c>
      <c r="N951" s="9" t="str">
        <f t="shared" si="5"/>
        <v>R1013</v>
      </c>
      <c r="O951" s="17">
        <f t="shared" si="6"/>
        <v>23</v>
      </c>
      <c r="P951" s="18">
        <v>36496.0</v>
      </c>
    </row>
    <row r="952" ht="15.75" customHeight="1">
      <c r="A952" s="9" t="s">
        <v>4493</v>
      </c>
      <c r="B952" s="17">
        <v>2002.0</v>
      </c>
      <c r="C952" s="9" t="s">
        <v>4720</v>
      </c>
      <c r="D952" s="9">
        <v>13.0</v>
      </c>
      <c r="E952" s="18">
        <f t="shared" si="1"/>
        <v>37542</v>
      </c>
      <c r="F952" s="9">
        <v>0.0</v>
      </c>
      <c r="G952" s="19">
        <v>1315.0</v>
      </c>
      <c r="H952" s="9" t="s">
        <v>4723</v>
      </c>
      <c r="I952" s="9" t="s">
        <v>4723</v>
      </c>
      <c r="J952" s="9" t="s">
        <v>4743</v>
      </c>
      <c r="K952" s="20">
        <f t="shared" si="2"/>
        <v>2002</v>
      </c>
      <c r="L952" s="9" t="str">
        <f t="shared" si="3"/>
        <v>tier - 2</v>
      </c>
      <c r="M952" s="9" t="str">
        <f t="shared" si="4"/>
        <v>tier - 2</v>
      </c>
      <c r="N952" s="9" t="str">
        <f t="shared" si="5"/>
        <v>R1013</v>
      </c>
      <c r="O952" s="17">
        <f t="shared" si="6"/>
        <v>20</v>
      </c>
      <c r="P952" s="18">
        <v>37542.0</v>
      </c>
    </row>
    <row r="953" ht="15.75" customHeight="1">
      <c r="A953" s="9" t="s">
        <v>4491</v>
      </c>
      <c r="B953" s="17">
        <v>1999.0</v>
      </c>
      <c r="C953" s="9" t="s">
        <v>4720</v>
      </c>
      <c r="D953" s="9">
        <v>14.0</v>
      </c>
      <c r="E953" s="18">
        <f t="shared" si="1"/>
        <v>36447</v>
      </c>
      <c r="F953" s="9">
        <v>0.0</v>
      </c>
      <c r="G953" s="19">
        <v>1329.17</v>
      </c>
      <c r="H953" s="9" t="s">
        <v>4723</v>
      </c>
      <c r="I953" s="9" t="s">
        <v>4717</v>
      </c>
      <c r="J953" s="9" t="s">
        <v>4743</v>
      </c>
      <c r="K953" s="20">
        <f t="shared" si="2"/>
        <v>1999</v>
      </c>
      <c r="L953" s="9" t="str">
        <f t="shared" si="3"/>
        <v>tier - 2</v>
      </c>
      <c r="M953" s="9" t="str">
        <f t="shared" si="4"/>
        <v>tier - 3</v>
      </c>
      <c r="N953" s="9" t="str">
        <f t="shared" si="5"/>
        <v>R1013</v>
      </c>
      <c r="O953" s="17">
        <f t="shared" si="6"/>
        <v>23</v>
      </c>
      <c r="P953" s="18">
        <v>36447.0</v>
      </c>
    </row>
    <row r="954" ht="15.75" customHeight="1">
      <c r="A954" s="9" t="s">
        <v>4489</v>
      </c>
      <c r="B954" s="17">
        <v>1998.0</v>
      </c>
      <c r="C954" s="9" t="s">
        <v>4741</v>
      </c>
      <c r="D954" s="9">
        <v>12.0</v>
      </c>
      <c r="E954" s="18">
        <f t="shared" si="1"/>
        <v>35988</v>
      </c>
      <c r="F954" s="9">
        <v>0.0</v>
      </c>
      <c r="G954" s="19">
        <v>1332.61</v>
      </c>
      <c r="H954" s="9" t="s">
        <v>4723</v>
      </c>
      <c r="I954" s="9" t="s">
        <v>4717</v>
      </c>
      <c r="J954" s="9" t="s">
        <v>4743</v>
      </c>
      <c r="K954" s="20">
        <f t="shared" si="2"/>
        <v>1998</v>
      </c>
      <c r="L954" s="9" t="str">
        <f t="shared" si="3"/>
        <v>tier - 2</v>
      </c>
      <c r="M954" s="9" t="str">
        <f t="shared" si="4"/>
        <v>tier - 3</v>
      </c>
      <c r="N954" s="9" t="str">
        <f t="shared" si="5"/>
        <v>R1013</v>
      </c>
      <c r="O954" s="17">
        <f t="shared" si="6"/>
        <v>24</v>
      </c>
      <c r="P954" s="18">
        <v>35988.0</v>
      </c>
    </row>
    <row r="955" ht="15.75" customHeight="1">
      <c r="A955" s="9" t="s">
        <v>4487</v>
      </c>
      <c r="B955" s="17">
        <v>1995.0</v>
      </c>
      <c r="C955" s="9" t="s">
        <v>4741</v>
      </c>
      <c r="D955" s="9">
        <v>30.0</v>
      </c>
      <c r="E955" s="18">
        <f t="shared" si="1"/>
        <v>34910</v>
      </c>
      <c r="F955" s="9">
        <v>0.0</v>
      </c>
      <c r="G955" s="19">
        <v>1338.0</v>
      </c>
      <c r="H955" s="9" t="s">
        <v>4723</v>
      </c>
      <c r="I955" s="9" t="s">
        <v>4717</v>
      </c>
      <c r="J955" s="9" t="s">
        <v>4733</v>
      </c>
      <c r="K955" s="20">
        <f t="shared" si="2"/>
        <v>1995</v>
      </c>
      <c r="L955" s="9" t="str">
        <f t="shared" si="3"/>
        <v>tier - 2</v>
      </c>
      <c r="M955" s="9" t="str">
        <f t="shared" si="4"/>
        <v>tier - 3</v>
      </c>
      <c r="N955" s="9" t="str">
        <f t="shared" si="5"/>
        <v>R1012</v>
      </c>
      <c r="O955" s="17">
        <f t="shared" si="6"/>
        <v>27</v>
      </c>
      <c r="P955" s="18">
        <v>34910.0</v>
      </c>
    </row>
    <row r="956" ht="15.75" customHeight="1">
      <c r="A956" s="9" t="s">
        <v>4485</v>
      </c>
      <c r="B956" s="17">
        <v>1997.0</v>
      </c>
      <c r="C956" s="9" t="s">
        <v>4735</v>
      </c>
      <c r="D956" s="9">
        <v>7.0</v>
      </c>
      <c r="E956" s="18">
        <f t="shared" si="1"/>
        <v>35741</v>
      </c>
      <c r="F956" s="9">
        <v>0.0</v>
      </c>
      <c r="G956" s="19">
        <v>1341.16</v>
      </c>
      <c r="H956" s="9" t="s">
        <v>4723</v>
      </c>
      <c r="I956" s="9" t="s">
        <v>4723</v>
      </c>
      <c r="J956" s="9" t="s">
        <v>4733</v>
      </c>
      <c r="K956" s="20">
        <f t="shared" si="2"/>
        <v>1997</v>
      </c>
      <c r="L956" s="9" t="str">
        <f t="shared" si="3"/>
        <v>tier - 2</v>
      </c>
      <c r="M956" s="9" t="str">
        <f t="shared" si="4"/>
        <v>tier - 2</v>
      </c>
      <c r="N956" s="9" t="str">
        <f t="shared" si="5"/>
        <v>R1012</v>
      </c>
      <c r="O956" s="17">
        <f t="shared" si="6"/>
        <v>25</v>
      </c>
      <c r="P956" s="18">
        <v>35741.0</v>
      </c>
    </row>
    <row r="957" ht="15.75" customHeight="1">
      <c r="A957" s="9" t="s">
        <v>4483</v>
      </c>
      <c r="B957" s="17">
        <v>1998.0</v>
      </c>
      <c r="C957" s="9" t="s">
        <v>4725</v>
      </c>
      <c r="D957" s="9">
        <v>3.0</v>
      </c>
      <c r="E957" s="18">
        <f t="shared" si="1"/>
        <v>36132</v>
      </c>
      <c r="F957" s="9">
        <v>0.0</v>
      </c>
      <c r="G957" s="19">
        <v>1359.0</v>
      </c>
      <c r="H957" s="9" t="s">
        <v>4723</v>
      </c>
      <c r="I957" s="9" t="s">
        <v>4718</v>
      </c>
      <c r="J957" s="9" t="s">
        <v>4743</v>
      </c>
      <c r="K957" s="20">
        <f t="shared" si="2"/>
        <v>1998</v>
      </c>
      <c r="L957" s="9" t="str">
        <f t="shared" si="3"/>
        <v>tier - 2</v>
      </c>
      <c r="M957" s="9" t="str">
        <f t="shared" si="4"/>
        <v>tier - 1</v>
      </c>
      <c r="N957" s="9" t="str">
        <f t="shared" si="5"/>
        <v>R1013</v>
      </c>
      <c r="O957" s="17">
        <f t="shared" si="6"/>
        <v>24</v>
      </c>
      <c r="P957" s="18">
        <v>36132.0</v>
      </c>
    </row>
    <row r="958" ht="15.75" customHeight="1">
      <c r="A958" s="9" t="s">
        <v>4481</v>
      </c>
      <c r="B958" s="17">
        <v>2002.0</v>
      </c>
      <c r="C958" s="9" t="s">
        <v>4716</v>
      </c>
      <c r="D958" s="9">
        <v>15.0</v>
      </c>
      <c r="E958" s="18">
        <f t="shared" si="1"/>
        <v>37483</v>
      </c>
      <c r="F958" s="9">
        <v>0.0</v>
      </c>
      <c r="G958" s="19">
        <v>1382.0</v>
      </c>
      <c r="H958" s="9" t="s">
        <v>4723</v>
      </c>
      <c r="I958" s="9" t="s">
        <v>4718</v>
      </c>
      <c r="J958" s="9" t="s">
        <v>4743</v>
      </c>
      <c r="K958" s="20">
        <f t="shared" si="2"/>
        <v>2002</v>
      </c>
      <c r="L958" s="9" t="str">
        <f t="shared" si="3"/>
        <v>tier - 2</v>
      </c>
      <c r="M958" s="9" t="str">
        <f t="shared" si="4"/>
        <v>tier - 1</v>
      </c>
      <c r="N958" s="9" t="str">
        <f t="shared" si="5"/>
        <v>R1013</v>
      </c>
      <c r="O958" s="17">
        <f t="shared" si="6"/>
        <v>20</v>
      </c>
      <c r="P958" s="18">
        <v>37483.0</v>
      </c>
    </row>
    <row r="959" ht="15.75" customHeight="1">
      <c r="A959" s="9" t="s">
        <v>449</v>
      </c>
      <c r="B959" s="17">
        <v>1975.0</v>
      </c>
      <c r="C959" s="9" t="s">
        <v>4716</v>
      </c>
      <c r="D959" s="9">
        <v>29.0</v>
      </c>
      <c r="E959" s="18">
        <f t="shared" si="1"/>
        <v>27635</v>
      </c>
      <c r="F959" s="9">
        <v>1.0</v>
      </c>
      <c r="G959" s="19">
        <v>35050.62</v>
      </c>
      <c r="H959" s="9" t="s">
        <v>4723</v>
      </c>
      <c r="I959" s="9" t="s">
        <v>4718</v>
      </c>
      <c r="J959" s="9" t="s">
        <v>4719</v>
      </c>
      <c r="K959" s="20">
        <f t="shared" si="2"/>
        <v>1975</v>
      </c>
      <c r="L959" s="9" t="str">
        <f t="shared" si="3"/>
        <v>tier - 2</v>
      </c>
      <c r="M959" s="9" t="str">
        <f t="shared" si="4"/>
        <v>tier - 1</v>
      </c>
      <c r="N959" s="9" t="str">
        <f t="shared" si="5"/>
        <v>R1011</v>
      </c>
      <c r="O959" s="17">
        <f t="shared" si="6"/>
        <v>47</v>
      </c>
      <c r="P959" s="18">
        <v>27635.0</v>
      </c>
    </row>
    <row r="960" ht="15.75" customHeight="1">
      <c r="A960" s="9" t="s">
        <v>4479</v>
      </c>
      <c r="B960" s="17">
        <v>1999.0</v>
      </c>
      <c r="C960" s="9" t="s">
        <v>4741</v>
      </c>
      <c r="D960" s="9">
        <v>6.0</v>
      </c>
      <c r="E960" s="18">
        <f t="shared" si="1"/>
        <v>36347</v>
      </c>
      <c r="F960" s="9">
        <v>0.0</v>
      </c>
      <c r="G960" s="19">
        <v>1389.0</v>
      </c>
      <c r="H960" s="9" t="s">
        <v>4723</v>
      </c>
      <c r="I960" s="9" t="s">
        <v>4723</v>
      </c>
      <c r="J960" s="9" t="s">
        <v>4743</v>
      </c>
      <c r="K960" s="20">
        <f t="shared" si="2"/>
        <v>1999</v>
      </c>
      <c r="L960" s="9" t="str">
        <f t="shared" si="3"/>
        <v>tier - 2</v>
      </c>
      <c r="M960" s="9" t="str">
        <f t="shared" si="4"/>
        <v>tier - 2</v>
      </c>
      <c r="N960" s="9" t="str">
        <f t="shared" si="5"/>
        <v>R1013</v>
      </c>
      <c r="O960" s="17">
        <f t="shared" si="6"/>
        <v>23</v>
      </c>
      <c r="P960" s="18">
        <v>36347.0</v>
      </c>
    </row>
    <row r="961" ht="15.75" customHeight="1">
      <c r="A961" s="9" t="s">
        <v>4477</v>
      </c>
      <c r="B961" s="17">
        <v>2002.0</v>
      </c>
      <c r="C961" s="9" t="s">
        <v>4735</v>
      </c>
      <c r="D961" s="9">
        <v>14.0</v>
      </c>
      <c r="E961" s="18">
        <f t="shared" si="1"/>
        <v>37574</v>
      </c>
      <c r="F961" s="9">
        <v>0.0</v>
      </c>
      <c r="G961" s="19">
        <v>1390.0</v>
      </c>
      <c r="H961" s="9" t="s">
        <v>4723</v>
      </c>
      <c r="I961" s="9" t="s">
        <v>4723</v>
      </c>
      <c r="J961" s="9" t="s">
        <v>4743</v>
      </c>
      <c r="K961" s="20">
        <f t="shared" si="2"/>
        <v>2002</v>
      </c>
      <c r="L961" s="9" t="str">
        <f t="shared" si="3"/>
        <v>tier - 2</v>
      </c>
      <c r="M961" s="9" t="str">
        <f t="shared" si="4"/>
        <v>tier - 2</v>
      </c>
      <c r="N961" s="9" t="str">
        <f t="shared" si="5"/>
        <v>R1013</v>
      </c>
      <c r="O961" s="17">
        <f t="shared" si="6"/>
        <v>20</v>
      </c>
      <c r="P961" s="18">
        <v>37574.0</v>
      </c>
    </row>
    <row r="962" ht="15.75" customHeight="1">
      <c r="A962" s="9" t="s">
        <v>4475</v>
      </c>
      <c r="B962" s="17">
        <v>2002.0</v>
      </c>
      <c r="C962" s="9" t="s">
        <v>4725</v>
      </c>
      <c r="D962" s="9">
        <v>22.0</v>
      </c>
      <c r="E962" s="18">
        <f t="shared" si="1"/>
        <v>37612</v>
      </c>
      <c r="F962" s="9">
        <v>0.0</v>
      </c>
      <c r="G962" s="19">
        <v>1391.53</v>
      </c>
      <c r="H962" s="9" t="s">
        <v>4723</v>
      </c>
      <c r="I962" s="9" t="s">
        <v>4718</v>
      </c>
      <c r="J962" s="9" t="s">
        <v>4743</v>
      </c>
      <c r="K962" s="20">
        <f t="shared" si="2"/>
        <v>2002</v>
      </c>
      <c r="L962" s="9" t="str">
        <f t="shared" si="3"/>
        <v>tier - 2</v>
      </c>
      <c r="M962" s="9" t="str">
        <f t="shared" si="4"/>
        <v>tier - 1</v>
      </c>
      <c r="N962" s="9" t="str">
        <f t="shared" si="5"/>
        <v>R1013</v>
      </c>
      <c r="O962" s="17">
        <f t="shared" si="6"/>
        <v>20</v>
      </c>
      <c r="P962" s="18">
        <v>37612.0</v>
      </c>
    </row>
    <row r="963" ht="15.75" customHeight="1">
      <c r="A963" s="9" t="s">
        <v>4473</v>
      </c>
      <c r="B963" s="17">
        <v>1998.0</v>
      </c>
      <c r="C963" s="9" t="s">
        <v>4738</v>
      </c>
      <c r="D963" s="9">
        <v>5.0</v>
      </c>
      <c r="E963" s="18">
        <f t="shared" si="1"/>
        <v>36043</v>
      </c>
      <c r="F963" s="9">
        <v>0.0</v>
      </c>
      <c r="G963" s="19">
        <v>1400.44</v>
      </c>
      <c r="H963" s="9" t="s">
        <v>4723</v>
      </c>
      <c r="I963" s="9" t="s">
        <v>4723</v>
      </c>
      <c r="J963" s="9" t="s">
        <v>4743</v>
      </c>
      <c r="K963" s="20">
        <f t="shared" si="2"/>
        <v>1998</v>
      </c>
      <c r="L963" s="9" t="str">
        <f t="shared" si="3"/>
        <v>tier - 2</v>
      </c>
      <c r="M963" s="9" t="str">
        <f t="shared" si="4"/>
        <v>tier - 2</v>
      </c>
      <c r="N963" s="9" t="str">
        <f t="shared" si="5"/>
        <v>R1013</v>
      </c>
      <c r="O963" s="17">
        <f t="shared" si="6"/>
        <v>24</v>
      </c>
      <c r="P963" s="18">
        <v>36043.0</v>
      </c>
    </row>
    <row r="964" ht="15.75" customHeight="1">
      <c r="A964" s="9" t="s">
        <v>4471</v>
      </c>
      <c r="B964" s="17">
        <v>1997.0</v>
      </c>
      <c r="C964" s="9" t="s">
        <v>4720</v>
      </c>
      <c r="D964" s="9">
        <v>27.0</v>
      </c>
      <c r="E964" s="18">
        <f t="shared" si="1"/>
        <v>35730</v>
      </c>
      <c r="F964" s="9">
        <v>0.0</v>
      </c>
      <c r="G964" s="19">
        <v>1402.0</v>
      </c>
      <c r="H964" s="9" t="s">
        <v>4723</v>
      </c>
      <c r="I964" s="9" t="s">
        <v>4717</v>
      </c>
      <c r="J964" s="9" t="s">
        <v>4719</v>
      </c>
      <c r="K964" s="20">
        <f t="shared" si="2"/>
        <v>1997</v>
      </c>
      <c r="L964" s="9" t="str">
        <f t="shared" si="3"/>
        <v>tier - 2</v>
      </c>
      <c r="M964" s="9" t="str">
        <f t="shared" si="4"/>
        <v>tier - 3</v>
      </c>
      <c r="N964" s="9" t="str">
        <f t="shared" si="5"/>
        <v>R1011</v>
      </c>
      <c r="O964" s="17">
        <f t="shared" si="6"/>
        <v>25</v>
      </c>
      <c r="P964" s="18">
        <v>35730.0</v>
      </c>
    </row>
    <row r="965" ht="15.75" customHeight="1">
      <c r="A965" s="9" t="s">
        <v>4469</v>
      </c>
      <c r="B965" s="17">
        <v>1996.0</v>
      </c>
      <c r="C965" s="9" t="s">
        <v>4730</v>
      </c>
      <c r="D965" s="9">
        <v>23.0</v>
      </c>
      <c r="E965" s="18">
        <f t="shared" si="1"/>
        <v>35239</v>
      </c>
      <c r="F965" s="9">
        <v>0.0</v>
      </c>
      <c r="G965" s="19">
        <v>1417.0</v>
      </c>
      <c r="H965" s="9" t="s">
        <v>4723</v>
      </c>
      <c r="I965" s="9" t="s">
        <v>4717</v>
      </c>
      <c r="J965" s="9" t="s">
        <v>4743</v>
      </c>
      <c r="K965" s="20">
        <f t="shared" si="2"/>
        <v>1996</v>
      </c>
      <c r="L965" s="9" t="str">
        <f t="shared" si="3"/>
        <v>tier - 2</v>
      </c>
      <c r="M965" s="9" t="str">
        <f t="shared" si="4"/>
        <v>tier - 3</v>
      </c>
      <c r="N965" s="9" t="str">
        <f t="shared" si="5"/>
        <v>R1013</v>
      </c>
      <c r="O965" s="17">
        <f t="shared" si="6"/>
        <v>26</v>
      </c>
      <c r="P965" s="18">
        <v>35239.0</v>
      </c>
    </row>
    <row r="966" ht="15.75" customHeight="1">
      <c r="A966" s="9" t="s">
        <v>4467</v>
      </c>
      <c r="B966" s="17">
        <v>2001.0</v>
      </c>
      <c r="C966" s="9" t="s">
        <v>4716</v>
      </c>
      <c r="D966" s="9">
        <v>23.0</v>
      </c>
      <c r="E966" s="18">
        <f t="shared" si="1"/>
        <v>37126</v>
      </c>
      <c r="F966" s="9">
        <v>0.0</v>
      </c>
      <c r="G966" s="19">
        <v>1421.0</v>
      </c>
      <c r="H966" s="9" t="s">
        <v>4723</v>
      </c>
      <c r="I966" s="9" t="s">
        <v>4723</v>
      </c>
      <c r="J966" s="9" t="s">
        <v>4743</v>
      </c>
      <c r="K966" s="20">
        <f t="shared" si="2"/>
        <v>2001</v>
      </c>
      <c r="L966" s="9" t="str">
        <f t="shared" si="3"/>
        <v>tier - 2</v>
      </c>
      <c r="M966" s="9" t="str">
        <f t="shared" si="4"/>
        <v>tier - 2</v>
      </c>
      <c r="N966" s="9" t="str">
        <f t="shared" si="5"/>
        <v>R1013</v>
      </c>
      <c r="O966" s="17">
        <f t="shared" si="6"/>
        <v>21</v>
      </c>
      <c r="P966" s="18">
        <v>37126.0</v>
      </c>
    </row>
    <row r="967" ht="15.75" customHeight="1">
      <c r="A967" s="9" t="s">
        <v>4465</v>
      </c>
      <c r="B967" s="17">
        <v>1997.0</v>
      </c>
      <c r="C967" s="9" t="s">
        <v>4725</v>
      </c>
      <c r="D967" s="9">
        <v>5.0</v>
      </c>
      <c r="E967" s="18">
        <f t="shared" si="1"/>
        <v>35769</v>
      </c>
      <c r="F967" s="9">
        <v>0.0</v>
      </c>
      <c r="G967" s="19">
        <v>1422.0</v>
      </c>
      <c r="H967" s="9" t="s">
        <v>4723</v>
      </c>
      <c r="I967" s="9" t="s">
        <v>4723</v>
      </c>
      <c r="J967" s="9" t="s">
        <v>4743</v>
      </c>
      <c r="K967" s="20">
        <f t="shared" si="2"/>
        <v>1997</v>
      </c>
      <c r="L967" s="9" t="str">
        <f t="shared" si="3"/>
        <v>tier - 2</v>
      </c>
      <c r="M967" s="9" t="str">
        <f t="shared" si="4"/>
        <v>tier - 2</v>
      </c>
      <c r="N967" s="9" t="str">
        <f t="shared" si="5"/>
        <v>R1013</v>
      </c>
      <c r="O967" s="17">
        <f t="shared" si="6"/>
        <v>25</v>
      </c>
      <c r="P967" s="18">
        <v>35769.0</v>
      </c>
    </row>
    <row r="968" ht="15.75" customHeight="1">
      <c r="A968" s="9" t="s">
        <v>4463</v>
      </c>
      <c r="B968" s="17">
        <v>2000.0</v>
      </c>
      <c r="C968" s="9" t="s">
        <v>4738</v>
      </c>
      <c r="D968" s="9">
        <v>1.0</v>
      </c>
      <c r="E968" s="18">
        <f t="shared" si="1"/>
        <v>36770</v>
      </c>
      <c r="F968" s="9">
        <v>0.0</v>
      </c>
      <c r="G968" s="19">
        <v>1438.0</v>
      </c>
      <c r="H968" s="9" t="s">
        <v>4723</v>
      </c>
      <c r="I968" s="9" t="s">
        <v>4723</v>
      </c>
      <c r="J968" s="9" t="s">
        <v>4743</v>
      </c>
      <c r="K968" s="20">
        <f t="shared" si="2"/>
        <v>2000</v>
      </c>
      <c r="L968" s="9" t="str">
        <f t="shared" si="3"/>
        <v>tier - 2</v>
      </c>
      <c r="M968" s="9" t="str">
        <f t="shared" si="4"/>
        <v>tier - 2</v>
      </c>
      <c r="N968" s="9" t="str">
        <f t="shared" si="5"/>
        <v>R1013</v>
      </c>
      <c r="O968" s="17">
        <f t="shared" si="6"/>
        <v>22</v>
      </c>
      <c r="P968" s="18">
        <v>36770.0</v>
      </c>
    </row>
    <row r="969" ht="15.75" customHeight="1">
      <c r="A969" s="9" t="s">
        <v>4461</v>
      </c>
      <c r="B969" s="17">
        <v>1997.0</v>
      </c>
      <c r="C969" s="9" t="s">
        <v>4730</v>
      </c>
      <c r="D969" s="9">
        <v>19.0</v>
      </c>
      <c r="E969" s="18">
        <f t="shared" si="1"/>
        <v>35600</v>
      </c>
      <c r="F969" s="9">
        <v>0.0</v>
      </c>
      <c r="G969" s="19">
        <v>1445.0</v>
      </c>
      <c r="H969" s="9" t="s">
        <v>4723</v>
      </c>
      <c r="I969" s="9" t="s">
        <v>4718</v>
      </c>
      <c r="J969" s="9" t="s">
        <v>4743</v>
      </c>
      <c r="K969" s="20">
        <f t="shared" si="2"/>
        <v>1997</v>
      </c>
      <c r="L969" s="9" t="str">
        <f t="shared" si="3"/>
        <v>tier - 2</v>
      </c>
      <c r="M969" s="9" t="str">
        <f t="shared" si="4"/>
        <v>tier - 1</v>
      </c>
      <c r="N969" s="9" t="str">
        <f t="shared" si="5"/>
        <v>R1013</v>
      </c>
      <c r="O969" s="17">
        <f t="shared" si="6"/>
        <v>25</v>
      </c>
      <c r="P969" s="18">
        <v>35600.0</v>
      </c>
    </row>
    <row r="970" ht="15.75" customHeight="1">
      <c r="A970" s="9" t="s">
        <v>447</v>
      </c>
      <c r="B970" s="17">
        <v>1977.0</v>
      </c>
      <c r="C970" s="9" t="s">
        <v>4730</v>
      </c>
      <c r="D970" s="9">
        <v>29.0</v>
      </c>
      <c r="E970" s="18">
        <f t="shared" si="1"/>
        <v>28305</v>
      </c>
      <c r="F970" s="9">
        <v>0.0</v>
      </c>
      <c r="G970" s="19">
        <v>35069.37</v>
      </c>
      <c r="H970" s="9" t="s">
        <v>4718</v>
      </c>
      <c r="I970" s="9" t="s">
        <v>4718</v>
      </c>
      <c r="J970" s="9" t="s">
        <v>4753</v>
      </c>
      <c r="K970" s="20">
        <f t="shared" si="2"/>
        <v>1977</v>
      </c>
      <c r="L970" s="9" t="str">
        <f t="shared" si="3"/>
        <v>tier - 1</v>
      </c>
      <c r="M970" s="9" t="str">
        <f t="shared" si="4"/>
        <v>tier - 1</v>
      </c>
      <c r="N970" s="9" t="str">
        <f t="shared" si="5"/>
        <v>R1017</v>
      </c>
      <c r="O970" s="17">
        <f t="shared" si="6"/>
        <v>45</v>
      </c>
      <c r="P970" s="18">
        <v>28305.0</v>
      </c>
    </row>
    <row r="971" ht="15.75" customHeight="1">
      <c r="A971" s="9" t="s">
        <v>4459</v>
      </c>
      <c r="B971" s="17">
        <v>2003.0</v>
      </c>
      <c r="C971" s="9" t="s">
        <v>4730</v>
      </c>
      <c r="D971" s="9">
        <v>20.0</v>
      </c>
      <c r="E971" s="18">
        <f t="shared" si="1"/>
        <v>37792</v>
      </c>
      <c r="F971" s="9">
        <v>0.0</v>
      </c>
      <c r="G971" s="19">
        <v>1467.0</v>
      </c>
      <c r="H971" s="9" t="s">
        <v>4723</v>
      </c>
      <c r="I971" s="9" t="s">
        <v>4723</v>
      </c>
      <c r="J971" s="9" t="s">
        <v>4743</v>
      </c>
      <c r="K971" s="20">
        <f t="shared" si="2"/>
        <v>2003</v>
      </c>
      <c r="L971" s="9" t="str">
        <f t="shared" si="3"/>
        <v>tier - 2</v>
      </c>
      <c r="M971" s="9" t="str">
        <f t="shared" si="4"/>
        <v>tier - 2</v>
      </c>
      <c r="N971" s="9" t="str">
        <f t="shared" si="5"/>
        <v>R1013</v>
      </c>
      <c r="O971" s="17">
        <f t="shared" si="6"/>
        <v>19</v>
      </c>
      <c r="P971" s="18">
        <v>37792.0</v>
      </c>
    </row>
    <row r="972" ht="15.75" customHeight="1">
      <c r="A972" s="9" t="s">
        <v>4457</v>
      </c>
      <c r="B972" s="17">
        <v>1998.0</v>
      </c>
      <c r="C972" s="9" t="s">
        <v>4725</v>
      </c>
      <c r="D972" s="9">
        <v>7.0</v>
      </c>
      <c r="E972" s="18">
        <f t="shared" si="1"/>
        <v>36136</v>
      </c>
      <c r="F972" s="9">
        <v>0.0</v>
      </c>
      <c r="G972" s="19">
        <v>1477.0</v>
      </c>
      <c r="H972" s="9" t="s">
        <v>4723</v>
      </c>
      <c r="I972" s="9" t="s">
        <v>4718</v>
      </c>
      <c r="J972" s="9" t="s">
        <v>4743</v>
      </c>
      <c r="K972" s="20">
        <f t="shared" si="2"/>
        <v>1998</v>
      </c>
      <c r="L972" s="9" t="str">
        <f t="shared" si="3"/>
        <v>tier - 2</v>
      </c>
      <c r="M972" s="9" t="str">
        <f t="shared" si="4"/>
        <v>tier - 1</v>
      </c>
      <c r="N972" s="9" t="str">
        <f t="shared" si="5"/>
        <v>R1013</v>
      </c>
      <c r="O972" s="17">
        <f t="shared" si="6"/>
        <v>24</v>
      </c>
      <c r="P972" s="18">
        <v>36136.0</v>
      </c>
    </row>
    <row r="973" ht="15.75" customHeight="1">
      <c r="A973" s="9" t="s">
        <v>4455</v>
      </c>
      <c r="B973" s="17">
        <v>1997.0</v>
      </c>
      <c r="C973" s="9" t="s">
        <v>4730</v>
      </c>
      <c r="D973" s="9">
        <v>9.0</v>
      </c>
      <c r="E973" s="18">
        <f t="shared" si="1"/>
        <v>35590</v>
      </c>
      <c r="F973" s="9">
        <v>0.0</v>
      </c>
      <c r="G973" s="19">
        <v>1481.0</v>
      </c>
      <c r="H973" s="9" t="s">
        <v>4723</v>
      </c>
      <c r="I973" s="9" t="s">
        <v>4718</v>
      </c>
      <c r="J973" s="9" t="s">
        <v>4733</v>
      </c>
      <c r="K973" s="20">
        <f t="shared" si="2"/>
        <v>1997</v>
      </c>
      <c r="L973" s="9" t="str">
        <f t="shared" si="3"/>
        <v>tier - 2</v>
      </c>
      <c r="M973" s="9" t="str">
        <f t="shared" si="4"/>
        <v>tier - 1</v>
      </c>
      <c r="N973" s="9" t="str">
        <f t="shared" si="5"/>
        <v>R1012</v>
      </c>
      <c r="O973" s="17">
        <f t="shared" si="6"/>
        <v>25</v>
      </c>
      <c r="P973" s="18">
        <v>35590.0</v>
      </c>
    </row>
    <row r="974" ht="15.75" customHeight="1">
      <c r="A974" s="9" t="s">
        <v>4453</v>
      </c>
      <c r="B974" s="17">
        <v>1995.0</v>
      </c>
      <c r="C974" s="9" t="s">
        <v>4720</v>
      </c>
      <c r="D974" s="9">
        <v>7.0</v>
      </c>
      <c r="E974" s="18">
        <f t="shared" si="1"/>
        <v>34979</v>
      </c>
      <c r="F974" s="9">
        <v>0.0</v>
      </c>
      <c r="G974" s="19">
        <v>1493.0</v>
      </c>
      <c r="H974" s="9" t="s">
        <v>4723</v>
      </c>
      <c r="I974" s="9" t="s">
        <v>4717</v>
      </c>
      <c r="J974" s="9" t="s">
        <v>4743</v>
      </c>
      <c r="K974" s="20">
        <f t="shared" si="2"/>
        <v>1995</v>
      </c>
      <c r="L974" s="9" t="str">
        <f t="shared" si="3"/>
        <v>tier - 2</v>
      </c>
      <c r="M974" s="9" t="str">
        <f t="shared" si="4"/>
        <v>tier - 3</v>
      </c>
      <c r="N974" s="9" t="str">
        <f t="shared" si="5"/>
        <v>R1013</v>
      </c>
      <c r="O974" s="17">
        <f t="shared" si="6"/>
        <v>27</v>
      </c>
      <c r="P974" s="18">
        <v>34979.0</v>
      </c>
    </row>
    <row r="975" ht="15.75" customHeight="1">
      <c r="A975" s="9" t="s">
        <v>4451</v>
      </c>
      <c r="B975" s="17">
        <v>1998.0</v>
      </c>
      <c r="C975" s="9" t="s">
        <v>4730</v>
      </c>
      <c r="D975" s="9">
        <v>19.0</v>
      </c>
      <c r="E975" s="18">
        <f t="shared" si="1"/>
        <v>35965</v>
      </c>
      <c r="F975" s="9">
        <v>0.0</v>
      </c>
      <c r="G975" s="19">
        <v>1497.0</v>
      </c>
      <c r="H975" s="9" t="s">
        <v>4723</v>
      </c>
      <c r="I975" s="9" t="s">
        <v>4723</v>
      </c>
      <c r="J975" s="9" t="s">
        <v>4743</v>
      </c>
      <c r="K975" s="20">
        <f t="shared" si="2"/>
        <v>1998</v>
      </c>
      <c r="L975" s="9" t="str">
        <f t="shared" si="3"/>
        <v>tier - 2</v>
      </c>
      <c r="M975" s="9" t="str">
        <f t="shared" si="4"/>
        <v>tier - 2</v>
      </c>
      <c r="N975" s="9" t="str">
        <f t="shared" si="5"/>
        <v>R1013</v>
      </c>
      <c r="O975" s="17">
        <f t="shared" si="6"/>
        <v>24</v>
      </c>
      <c r="P975" s="18">
        <v>35965.0</v>
      </c>
    </row>
    <row r="976" ht="15.75" customHeight="1">
      <c r="A976" s="9" t="s">
        <v>4449</v>
      </c>
      <c r="B976" s="17">
        <v>2001.0</v>
      </c>
      <c r="C976" s="9" t="s">
        <v>4716</v>
      </c>
      <c r="D976" s="9">
        <v>25.0</v>
      </c>
      <c r="E976" s="18">
        <f t="shared" si="1"/>
        <v>37128</v>
      </c>
      <c r="F976" s="9">
        <v>0.0</v>
      </c>
      <c r="G976" s="19">
        <v>1515.34</v>
      </c>
      <c r="H976" s="9" t="s">
        <v>4723</v>
      </c>
      <c r="I976" s="9" t="s">
        <v>4717</v>
      </c>
      <c r="J976" s="9" t="s">
        <v>4743</v>
      </c>
      <c r="K976" s="20">
        <f t="shared" si="2"/>
        <v>2001</v>
      </c>
      <c r="L976" s="9" t="str">
        <f t="shared" si="3"/>
        <v>tier - 2</v>
      </c>
      <c r="M976" s="9" t="str">
        <f t="shared" si="4"/>
        <v>tier - 3</v>
      </c>
      <c r="N976" s="9" t="str">
        <f t="shared" si="5"/>
        <v>R1013</v>
      </c>
      <c r="O976" s="17">
        <f t="shared" si="6"/>
        <v>21</v>
      </c>
      <c r="P976" s="18">
        <v>37128.0</v>
      </c>
    </row>
    <row r="977" ht="15.75" customHeight="1">
      <c r="A977" s="9" t="s">
        <v>4447</v>
      </c>
      <c r="B977" s="17">
        <v>2001.0</v>
      </c>
      <c r="C977" s="9" t="s">
        <v>4741</v>
      </c>
      <c r="D977" s="9">
        <v>7.0</v>
      </c>
      <c r="E977" s="18">
        <f t="shared" si="1"/>
        <v>37079</v>
      </c>
      <c r="F977" s="9">
        <v>0.0</v>
      </c>
      <c r="G977" s="19">
        <v>1526.31</v>
      </c>
      <c r="H977" s="9" t="s">
        <v>4723</v>
      </c>
      <c r="I977" s="9" t="s">
        <v>4717</v>
      </c>
      <c r="J977" s="9" t="s">
        <v>4719</v>
      </c>
      <c r="K977" s="20">
        <f t="shared" si="2"/>
        <v>2001</v>
      </c>
      <c r="L977" s="9" t="str">
        <f t="shared" si="3"/>
        <v>tier - 2</v>
      </c>
      <c r="M977" s="9" t="str">
        <f t="shared" si="4"/>
        <v>tier - 3</v>
      </c>
      <c r="N977" s="9" t="str">
        <f t="shared" si="5"/>
        <v>R1011</v>
      </c>
      <c r="O977" s="17">
        <f t="shared" si="6"/>
        <v>21</v>
      </c>
      <c r="P977" s="18">
        <v>37079.0</v>
      </c>
    </row>
    <row r="978" ht="15.75" customHeight="1">
      <c r="A978" s="9" t="s">
        <v>4445</v>
      </c>
      <c r="B978" s="17">
        <v>2001.0</v>
      </c>
      <c r="C978" s="9" t="s">
        <v>4730</v>
      </c>
      <c r="D978" s="9">
        <v>2.0</v>
      </c>
      <c r="E978" s="18">
        <f t="shared" si="1"/>
        <v>37044</v>
      </c>
      <c r="F978" s="9">
        <v>0.0</v>
      </c>
      <c r="G978" s="19">
        <v>1532.47</v>
      </c>
      <c r="H978" s="9" t="s">
        <v>4723</v>
      </c>
      <c r="I978" s="9" t="s">
        <v>4723</v>
      </c>
      <c r="J978" s="9" t="s">
        <v>4743</v>
      </c>
      <c r="K978" s="20">
        <f t="shared" si="2"/>
        <v>2001</v>
      </c>
      <c r="L978" s="9" t="str">
        <f t="shared" si="3"/>
        <v>tier - 2</v>
      </c>
      <c r="M978" s="9" t="str">
        <f t="shared" si="4"/>
        <v>tier - 2</v>
      </c>
      <c r="N978" s="9" t="str">
        <f t="shared" si="5"/>
        <v>R1013</v>
      </c>
      <c r="O978" s="17">
        <f t="shared" si="6"/>
        <v>22</v>
      </c>
      <c r="P978" s="18">
        <v>37044.0</v>
      </c>
    </row>
    <row r="979" ht="15.75" customHeight="1">
      <c r="A979" s="9" t="s">
        <v>4443</v>
      </c>
      <c r="B979" s="17">
        <v>2001.0</v>
      </c>
      <c r="C979" s="9" t="s">
        <v>4725</v>
      </c>
      <c r="D979" s="9">
        <v>5.0</v>
      </c>
      <c r="E979" s="18">
        <f t="shared" si="1"/>
        <v>37230</v>
      </c>
      <c r="F979" s="9">
        <v>0.0</v>
      </c>
      <c r="G979" s="19">
        <v>1534.3</v>
      </c>
      <c r="H979" s="9" t="s">
        <v>4723</v>
      </c>
      <c r="I979" s="9" t="s">
        <v>4723</v>
      </c>
      <c r="J979" s="9" t="s">
        <v>4743</v>
      </c>
      <c r="K979" s="20">
        <f t="shared" si="2"/>
        <v>2001</v>
      </c>
      <c r="L979" s="9" t="str">
        <f t="shared" si="3"/>
        <v>tier - 2</v>
      </c>
      <c r="M979" s="9" t="str">
        <f t="shared" si="4"/>
        <v>tier - 2</v>
      </c>
      <c r="N979" s="9" t="str">
        <f t="shared" si="5"/>
        <v>R1013</v>
      </c>
      <c r="O979" s="17">
        <f t="shared" si="6"/>
        <v>21</v>
      </c>
      <c r="P979" s="18">
        <v>37230.0</v>
      </c>
    </row>
    <row r="980" ht="15.75" customHeight="1">
      <c r="A980" s="9" t="s">
        <v>4441</v>
      </c>
      <c r="B980" s="17">
        <v>1992.0</v>
      </c>
      <c r="C980" s="9" t="s">
        <v>4738</v>
      </c>
      <c r="D980" s="9">
        <v>22.0</v>
      </c>
      <c r="E980" s="18">
        <f t="shared" si="1"/>
        <v>33869</v>
      </c>
      <c r="F980" s="9">
        <v>0.0</v>
      </c>
      <c r="G980" s="19">
        <v>1566.88</v>
      </c>
      <c r="H980" s="9" t="s">
        <v>4723</v>
      </c>
      <c r="I980" s="9" t="s">
        <v>4718</v>
      </c>
      <c r="J980" s="9" t="s">
        <v>4743</v>
      </c>
      <c r="K980" s="20">
        <f t="shared" si="2"/>
        <v>1992</v>
      </c>
      <c r="L980" s="9" t="str">
        <f t="shared" si="3"/>
        <v>tier - 2</v>
      </c>
      <c r="M980" s="9" t="str">
        <f t="shared" si="4"/>
        <v>tier - 1</v>
      </c>
      <c r="N980" s="9" t="str">
        <f t="shared" si="5"/>
        <v>R1013</v>
      </c>
      <c r="O980" s="17">
        <f t="shared" si="6"/>
        <v>30</v>
      </c>
      <c r="P980" s="18">
        <v>33869.0</v>
      </c>
    </row>
    <row r="981" ht="15.75" customHeight="1">
      <c r="A981" s="9" t="s">
        <v>445</v>
      </c>
      <c r="B981" s="17">
        <v>1998.0</v>
      </c>
      <c r="C981" s="9" t="s">
        <v>4725</v>
      </c>
      <c r="D981" s="9">
        <v>22.0</v>
      </c>
      <c r="E981" s="18">
        <f t="shared" si="1"/>
        <v>36151</v>
      </c>
      <c r="F981" s="9">
        <v>0.0</v>
      </c>
      <c r="G981" s="19">
        <v>35147.53</v>
      </c>
      <c r="H981" s="9" t="s">
        <v>4718</v>
      </c>
      <c r="I981" s="9" t="s">
        <v>4718</v>
      </c>
      <c r="J981" s="9" t="s">
        <v>4754</v>
      </c>
      <c r="K981" s="20">
        <f t="shared" si="2"/>
        <v>1998</v>
      </c>
      <c r="L981" s="9" t="str">
        <f t="shared" si="3"/>
        <v>tier - 1</v>
      </c>
      <c r="M981" s="9" t="str">
        <f t="shared" si="4"/>
        <v>tier - 1</v>
      </c>
      <c r="N981" s="9" t="str">
        <f t="shared" si="5"/>
        <v>R1016</v>
      </c>
      <c r="O981" s="17">
        <f t="shared" si="6"/>
        <v>24</v>
      </c>
      <c r="P981" s="18">
        <v>36151.0</v>
      </c>
    </row>
    <row r="982" ht="15.75" customHeight="1">
      <c r="A982" s="9" t="s">
        <v>4439</v>
      </c>
      <c r="B982" s="17">
        <v>2004.0</v>
      </c>
      <c r="C982" s="9" t="s">
        <v>4735</v>
      </c>
      <c r="D982" s="9">
        <v>19.0</v>
      </c>
      <c r="E982" s="18">
        <f t="shared" si="1"/>
        <v>38310</v>
      </c>
      <c r="F982" s="9">
        <v>0.0</v>
      </c>
      <c r="G982" s="19">
        <v>1607.51</v>
      </c>
      <c r="H982" s="9" t="s">
        <v>4723</v>
      </c>
      <c r="I982" s="9" t="s">
        <v>4717</v>
      </c>
      <c r="J982" s="9" t="s">
        <v>4743</v>
      </c>
      <c r="K982" s="20">
        <f t="shared" si="2"/>
        <v>2004</v>
      </c>
      <c r="L982" s="9" t="str">
        <f t="shared" si="3"/>
        <v>tier - 2</v>
      </c>
      <c r="M982" s="9" t="str">
        <f t="shared" si="4"/>
        <v>tier - 3</v>
      </c>
      <c r="N982" s="9" t="str">
        <f t="shared" si="5"/>
        <v>R1013</v>
      </c>
      <c r="O982" s="17">
        <f t="shared" si="6"/>
        <v>18</v>
      </c>
      <c r="P982" s="18">
        <v>38310.0</v>
      </c>
    </row>
    <row r="983" ht="15.75" customHeight="1">
      <c r="A983" s="9" t="s">
        <v>4437</v>
      </c>
      <c r="B983" s="17">
        <v>2004.0</v>
      </c>
      <c r="C983" s="9" t="s">
        <v>4741</v>
      </c>
      <c r="D983" s="9">
        <v>22.0</v>
      </c>
      <c r="E983" s="18">
        <f t="shared" si="1"/>
        <v>38190</v>
      </c>
      <c r="F983" s="9">
        <v>0.0</v>
      </c>
      <c r="G983" s="19">
        <v>1615.77</v>
      </c>
      <c r="H983" s="9" t="s">
        <v>4723</v>
      </c>
      <c r="I983" s="9" t="s">
        <v>4718</v>
      </c>
      <c r="J983" s="9" t="s">
        <v>4743</v>
      </c>
      <c r="K983" s="20">
        <f t="shared" si="2"/>
        <v>2004</v>
      </c>
      <c r="L983" s="9" t="str">
        <f t="shared" si="3"/>
        <v>tier - 2</v>
      </c>
      <c r="M983" s="9" t="str">
        <f t="shared" si="4"/>
        <v>tier - 1</v>
      </c>
      <c r="N983" s="9" t="str">
        <f t="shared" si="5"/>
        <v>R1013</v>
      </c>
      <c r="O983" s="17">
        <f t="shared" si="6"/>
        <v>18</v>
      </c>
      <c r="P983" s="18">
        <v>38190.0</v>
      </c>
    </row>
    <row r="984" ht="15.75" customHeight="1">
      <c r="A984" s="9" t="s">
        <v>4435</v>
      </c>
      <c r="B984" s="17">
        <v>1995.0</v>
      </c>
      <c r="C984" s="9" t="s">
        <v>4716</v>
      </c>
      <c r="D984" s="9">
        <v>5.0</v>
      </c>
      <c r="E984" s="18">
        <f t="shared" si="1"/>
        <v>34916</v>
      </c>
      <c r="F984" s="9">
        <v>0.0</v>
      </c>
      <c r="G984" s="19">
        <v>1617.16</v>
      </c>
      <c r="H984" s="9" t="s">
        <v>4723</v>
      </c>
      <c r="I984" s="9" t="s">
        <v>4718</v>
      </c>
      <c r="J984" s="9" t="s">
        <v>4743</v>
      </c>
      <c r="K984" s="20">
        <f t="shared" si="2"/>
        <v>1995</v>
      </c>
      <c r="L984" s="9" t="str">
        <f t="shared" si="3"/>
        <v>tier - 2</v>
      </c>
      <c r="M984" s="9" t="str">
        <f t="shared" si="4"/>
        <v>tier - 1</v>
      </c>
      <c r="N984" s="9" t="str">
        <f t="shared" si="5"/>
        <v>R1013</v>
      </c>
      <c r="O984" s="17">
        <f t="shared" si="6"/>
        <v>27</v>
      </c>
      <c r="P984" s="18">
        <v>34916.0</v>
      </c>
    </row>
    <row r="985" ht="15.75" customHeight="1">
      <c r="A985" s="9" t="s">
        <v>4433</v>
      </c>
      <c r="B985" s="17">
        <v>2003.0</v>
      </c>
      <c r="C985" s="9" t="s">
        <v>4738</v>
      </c>
      <c r="D985" s="9">
        <v>14.0</v>
      </c>
      <c r="E985" s="18">
        <f t="shared" si="1"/>
        <v>37878</v>
      </c>
      <c r="F985" s="9">
        <v>0.0</v>
      </c>
      <c r="G985" s="19">
        <v>1621.34</v>
      </c>
      <c r="H985" s="9" t="s">
        <v>4723</v>
      </c>
      <c r="I985" s="9" t="s">
        <v>4723</v>
      </c>
      <c r="J985" s="9" t="s">
        <v>4733</v>
      </c>
      <c r="K985" s="20">
        <f t="shared" si="2"/>
        <v>2003</v>
      </c>
      <c r="L985" s="9" t="str">
        <f t="shared" si="3"/>
        <v>tier - 2</v>
      </c>
      <c r="M985" s="9" t="str">
        <f t="shared" si="4"/>
        <v>tier - 2</v>
      </c>
      <c r="N985" s="9" t="str">
        <f t="shared" si="5"/>
        <v>R1012</v>
      </c>
      <c r="O985" s="17">
        <f t="shared" si="6"/>
        <v>19</v>
      </c>
      <c r="P985" s="18">
        <v>37878.0</v>
      </c>
    </row>
    <row r="986" ht="15.75" customHeight="1">
      <c r="A986" s="9" t="s">
        <v>4431</v>
      </c>
      <c r="B986" s="17">
        <v>2004.0</v>
      </c>
      <c r="C986" s="9" t="s">
        <v>4716</v>
      </c>
      <c r="D986" s="9">
        <v>21.0</v>
      </c>
      <c r="E986" s="18">
        <f t="shared" si="1"/>
        <v>38220</v>
      </c>
      <c r="F986" s="9">
        <v>0.0</v>
      </c>
      <c r="G986" s="19">
        <v>1621.88</v>
      </c>
      <c r="H986" s="9" t="s">
        <v>4723</v>
      </c>
      <c r="I986" s="9" t="s">
        <v>4723</v>
      </c>
      <c r="J986" s="9" t="s">
        <v>4743</v>
      </c>
      <c r="K986" s="20">
        <f t="shared" si="2"/>
        <v>2004</v>
      </c>
      <c r="L986" s="9" t="str">
        <f t="shared" si="3"/>
        <v>tier - 2</v>
      </c>
      <c r="M986" s="9" t="str">
        <f t="shared" si="4"/>
        <v>tier - 2</v>
      </c>
      <c r="N986" s="9" t="str">
        <f t="shared" si="5"/>
        <v>R1013</v>
      </c>
      <c r="O986" s="17">
        <f t="shared" si="6"/>
        <v>18</v>
      </c>
      <c r="P986" s="18">
        <v>38220.0</v>
      </c>
    </row>
    <row r="987" ht="15.75" customHeight="1">
      <c r="A987" s="9" t="s">
        <v>4429</v>
      </c>
      <c r="B987" s="17">
        <v>2004.0</v>
      </c>
      <c r="C987" s="9" t="s">
        <v>4741</v>
      </c>
      <c r="D987" s="9">
        <v>25.0</v>
      </c>
      <c r="E987" s="18">
        <f t="shared" si="1"/>
        <v>38193</v>
      </c>
      <c r="F987" s="9">
        <v>0.0</v>
      </c>
      <c r="G987" s="19">
        <v>1622.19</v>
      </c>
      <c r="H987" s="9" t="s">
        <v>4723</v>
      </c>
      <c r="I987" s="9" t="s">
        <v>4718</v>
      </c>
      <c r="J987" s="9" t="s">
        <v>4743</v>
      </c>
      <c r="K987" s="20">
        <f t="shared" si="2"/>
        <v>2004</v>
      </c>
      <c r="L987" s="9" t="str">
        <f t="shared" si="3"/>
        <v>tier - 2</v>
      </c>
      <c r="M987" s="9" t="str">
        <f t="shared" si="4"/>
        <v>tier - 1</v>
      </c>
      <c r="N987" s="9" t="str">
        <f t="shared" si="5"/>
        <v>R1013</v>
      </c>
      <c r="O987" s="17">
        <f t="shared" si="6"/>
        <v>18</v>
      </c>
      <c r="P987" s="18">
        <v>38193.0</v>
      </c>
    </row>
    <row r="988" ht="15.75" customHeight="1">
      <c r="A988" s="9" t="s">
        <v>4427</v>
      </c>
      <c r="B988" s="17">
        <v>2003.0</v>
      </c>
      <c r="C988" s="9" t="s">
        <v>4738</v>
      </c>
      <c r="D988" s="9">
        <v>9.0</v>
      </c>
      <c r="E988" s="18">
        <f t="shared" si="1"/>
        <v>37873</v>
      </c>
      <c r="F988" s="9">
        <v>0.0</v>
      </c>
      <c r="G988" s="19">
        <v>1625.43</v>
      </c>
      <c r="H988" s="9" t="s">
        <v>4723</v>
      </c>
      <c r="I988" s="9" t="s">
        <v>4717</v>
      </c>
      <c r="J988" s="9" t="s">
        <v>4733</v>
      </c>
      <c r="K988" s="20">
        <f t="shared" si="2"/>
        <v>2003</v>
      </c>
      <c r="L988" s="9" t="str">
        <f t="shared" si="3"/>
        <v>tier - 2</v>
      </c>
      <c r="M988" s="9" t="str">
        <f t="shared" si="4"/>
        <v>tier - 3</v>
      </c>
      <c r="N988" s="9" t="str">
        <f t="shared" si="5"/>
        <v>R1012</v>
      </c>
      <c r="O988" s="17">
        <f t="shared" si="6"/>
        <v>19</v>
      </c>
      <c r="P988" s="18">
        <v>37873.0</v>
      </c>
    </row>
    <row r="989" ht="15.75" customHeight="1">
      <c r="A989" s="9" t="s">
        <v>4425</v>
      </c>
      <c r="B989" s="17">
        <v>2003.0</v>
      </c>
      <c r="C989" s="9" t="s">
        <v>4725</v>
      </c>
      <c r="D989" s="9">
        <v>4.0</v>
      </c>
      <c r="E989" s="18">
        <f t="shared" si="1"/>
        <v>37959</v>
      </c>
      <c r="F989" s="9">
        <v>0.0</v>
      </c>
      <c r="G989" s="19">
        <v>1627.28</v>
      </c>
      <c r="H989" s="9" t="s">
        <v>4723</v>
      </c>
      <c r="I989" s="9" t="s">
        <v>4723</v>
      </c>
      <c r="J989" s="9" t="s">
        <v>4733</v>
      </c>
      <c r="K989" s="20">
        <f t="shared" si="2"/>
        <v>2003</v>
      </c>
      <c r="L989" s="9" t="str">
        <f t="shared" si="3"/>
        <v>tier - 2</v>
      </c>
      <c r="M989" s="9" t="str">
        <f t="shared" si="4"/>
        <v>tier - 2</v>
      </c>
      <c r="N989" s="9" t="str">
        <f t="shared" si="5"/>
        <v>R1012</v>
      </c>
      <c r="O989" s="17">
        <f t="shared" si="6"/>
        <v>19</v>
      </c>
      <c r="P989" s="18">
        <v>37959.0</v>
      </c>
    </row>
    <row r="990" ht="15.75" customHeight="1">
      <c r="A990" s="9" t="s">
        <v>4423</v>
      </c>
      <c r="B990" s="17">
        <v>2003.0</v>
      </c>
      <c r="C990" s="9" t="s">
        <v>4741</v>
      </c>
      <c r="D990" s="9">
        <v>17.0</v>
      </c>
      <c r="E990" s="18">
        <f t="shared" si="1"/>
        <v>37819</v>
      </c>
      <c r="F990" s="9">
        <v>0.0</v>
      </c>
      <c r="G990" s="19">
        <v>1628.47</v>
      </c>
      <c r="H990" s="9" t="s">
        <v>4723</v>
      </c>
      <c r="I990" s="9" t="s">
        <v>4718</v>
      </c>
      <c r="J990" s="9" t="s">
        <v>4733</v>
      </c>
      <c r="K990" s="20">
        <f t="shared" si="2"/>
        <v>2003</v>
      </c>
      <c r="L990" s="9" t="str">
        <f t="shared" si="3"/>
        <v>tier - 2</v>
      </c>
      <c r="M990" s="9" t="str">
        <f t="shared" si="4"/>
        <v>tier - 1</v>
      </c>
      <c r="N990" s="9" t="str">
        <f t="shared" si="5"/>
        <v>R1012</v>
      </c>
      <c r="O990" s="17">
        <f t="shared" si="6"/>
        <v>19</v>
      </c>
      <c r="P990" s="18">
        <v>37819.0</v>
      </c>
    </row>
    <row r="991" ht="15.75" customHeight="1">
      <c r="A991" s="9" t="s">
        <v>4421</v>
      </c>
      <c r="B991" s="17">
        <v>2004.0</v>
      </c>
      <c r="C991" s="9" t="s">
        <v>4720</v>
      </c>
      <c r="D991" s="9">
        <v>4.0</v>
      </c>
      <c r="E991" s="18">
        <f t="shared" si="1"/>
        <v>38264</v>
      </c>
      <c r="F991" s="9">
        <v>0.0</v>
      </c>
      <c r="G991" s="19">
        <v>1629.83</v>
      </c>
      <c r="H991" s="9" t="s">
        <v>4723</v>
      </c>
      <c r="I991" s="9" t="s">
        <v>4723</v>
      </c>
      <c r="J991" s="9" t="s">
        <v>4743</v>
      </c>
      <c r="K991" s="20">
        <f t="shared" si="2"/>
        <v>2004</v>
      </c>
      <c r="L991" s="9" t="str">
        <f t="shared" si="3"/>
        <v>tier - 2</v>
      </c>
      <c r="M991" s="9" t="str">
        <f t="shared" si="4"/>
        <v>tier - 2</v>
      </c>
      <c r="N991" s="9" t="str">
        <f t="shared" si="5"/>
        <v>R1013</v>
      </c>
      <c r="O991" s="17">
        <f t="shared" si="6"/>
        <v>18</v>
      </c>
      <c r="P991" s="18">
        <v>38264.0</v>
      </c>
    </row>
    <row r="992" ht="15.75" customHeight="1">
      <c r="A992" s="9" t="s">
        <v>443</v>
      </c>
      <c r="B992" s="17">
        <v>1967.0</v>
      </c>
      <c r="C992" s="9" t="s">
        <v>4725</v>
      </c>
      <c r="D992" s="9">
        <v>30.0</v>
      </c>
      <c r="E992" s="18">
        <f t="shared" si="1"/>
        <v>24836</v>
      </c>
      <c r="F992" s="9">
        <v>1.0</v>
      </c>
      <c r="G992" s="19">
        <v>35160.13</v>
      </c>
      <c r="H992" s="9" t="s">
        <v>4723</v>
      </c>
      <c r="I992" s="9" t="s">
        <v>4723</v>
      </c>
      <c r="J992" s="9" t="s">
        <v>4719</v>
      </c>
      <c r="K992" s="20">
        <f t="shared" si="2"/>
        <v>1967</v>
      </c>
      <c r="L992" s="9" t="str">
        <f t="shared" si="3"/>
        <v>tier - 2</v>
      </c>
      <c r="M992" s="9" t="str">
        <f t="shared" si="4"/>
        <v>tier - 2</v>
      </c>
      <c r="N992" s="9" t="str">
        <f t="shared" si="5"/>
        <v>R1011</v>
      </c>
      <c r="O992" s="17">
        <f t="shared" si="6"/>
        <v>55</v>
      </c>
      <c r="P992" s="18">
        <v>24836.0</v>
      </c>
    </row>
    <row r="993" ht="15.75" customHeight="1">
      <c r="A993" s="9" t="s">
        <v>4419</v>
      </c>
      <c r="B993" s="17">
        <v>2004.0</v>
      </c>
      <c r="C993" s="9" t="s">
        <v>4725</v>
      </c>
      <c r="D993" s="9">
        <v>5.0</v>
      </c>
      <c r="E993" s="18">
        <f t="shared" si="1"/>
        <v>38326</v>
      </c>
      <c r="F993" s="9">
        <v>0.0</v>
      </c>
      <c r="G993" s="19">
        <v>1631.67</v>
      </c>
      <c r="H993" s="9" t="s">
        <v>4723</v>
      </c>
      <c r="I993" s="9" t="s">
        <v>4717</v>
      </c>
      <c r="J993" s="9" t="s">
        <v>4743</v>
      </c>
      <c r="K993" s="20">
        <f t="shared" si="2"/>
        <v>2004</v>
      </c>
      <c r="L993" s="9" t="str">
        <f t="shared" si="3"/>
        <v>tier - 2</v>
      </c>
      <c r="M993" s="9" t="str">
        <f t="shared" si="4"/>
        <v>tier - 3</v>
      </c>
      <c r="N993" s="9" t="str">
        <f t="shared" si="5"/>
        <v>R1013</v>
      </c>
      <c r="O993" s="17">
        <f t="shared" si="6"/>
        <v>18</v>
      </c>
      <c r="P993" s="18">
        <v>38326.0</v>
      </c>
    </row>
    <row r="994" ht="15.75" customHeight="1">
      <c r="A994" s="9" t="s">
        <v>4417</v>
      </c>
      <c r="B994" s="17">
        <v>2004.0</v>
      </c>
      <c r="C994" s="9" t="s">
        <v>4741</v>
      </c>
      <c r="D994" s="9">
        <v>9.0</v>
      </c>
      <c r="E994" s="18">
        <f t="shared" si="1"/>
        <v>38177</v>
      </c>
      <c r="F994" s="9">
        <v>0.0</v>
      </c>
      <c r="G994" s="19">
        <v>1631.82</v>
      </c>
      <c r="H994" s="9" t="s">
        <v>4723</v>
      </c>
      <c r="I994" s="9" t="s">
        <v>4718</v>
      </c>
      <c r="J994" s="9" t="s">
        <v>4743</v>
      </c>
      <c r="K994" s="20">
        <f t="shared" si="2"/>
        <v>2004</v>
      </c>
      <c r="L994" s="9" t="str">
        <f t="shared" si="3"/>
        <v>tier - 2</v>
      </c>
      <c r="M994" s="9" t="str">
        <f t="shared" si="4"/>
        <v>tier - 1</v>
      </c>
      <c r="N994" s="9" t="str">
        <f t="shared" si="5"/>
        <v>R1013</v>
      </c>
      <c r="O994" s="17">
        <f t="shared" si="6"/>
        <v>18</v>
      </c>
      <c r="P994" s="18">
        <v>38177.0</v>
      </c>
    </row>
    <row r="995" ht="15.75" customHeight="1">
      <c r="A995" s="9" t="s">
        <v>4415</v>
      </c>
      <c r="B995" s="17">
        <v>2003.0</v>
      </c>
      <c r="C995" s="9" t="s">
        <v>4720</v>
      </c>
      <c r="D995" s="9">
        <v>3.0</v>
      </c>
      <c r="E995" s="18">
        <f t="shared" si="1"/>
        <v>37897</v>
      </c>
      <c r="F995" s="9">
        <v>0.0</v>
      </c>
      <c r="G995" s="19">
        <v>1632.04</v>
      </c>
      <c r="H995" s="9" t="s">
        <v>4723</v>
      </c>
      <c r="I995" s="9" t="s">
        <v>4723</v>
      </c>
      <c r="J995" s="9" t="s">
        <v>4733</v>
      </c>
      <c r="K995" s="20">
        <f t="shared" si="2"/>
        <v>2003</v>
      </c>
      <c r="L995" s="9" t="str">
        <f t="shared" si="3"/>
        <v>tier - 2</v>
      </c>
      <c r="M995" s="9" t="str">
        <f t="shared" si="4"/>
        <v>tier - 2</v>
      </c>
      <c r="N995" s="9" t="str">
        <f t="shared" si="5"/>
        <v>R1012</v>
      </c>
      <c r="O995" s="17">
        <f t="shared" si="6"/>
        <v>19</v>
      </c>
      <c r="P995" s="18">
        <v>37897.0</v>
      </c>
    </row>
    <row r="996" ht="15.75" customHeight="1">
      <c r="A996" s="9" t="s">
        <v>4413</v>
      </c>
      <c r="B996" s="17">
        <v>2003.0</v>
      </c>
      <c r="C996" s="9" t="s">
        <v>4738</v>
      </c>
      <c r="D996" s="9">
        <v>16.0</v>
      </c>
      <c r="E996" s="18">
        <f t="shared" si="1"/>
        <v>37880</v>
      </c>
      <c r="F996" s="9">
        <v>0.0</v>
      </c>
      <c r="G996" s="19">
        <v>1632.56</v>
      </c>
      <c r="H996" s="9" t="s">
        <v>4723</v>
      </c>
      <c r="I996" s="9" t="s">
        <v>4723</v>
      </c>
      <c r="J996" s="9" t="s">
        <v>4733</v>
      </c>
      <c r="K996" s="20">
        <f t="shared" si="2"/>
        <v>2003</v>
      </c>
      <c r="L996" s="9" t="str">
        <f t="shared" si="3"/>
        <v>tier - 2</v>
      </c>
      <c r="M996" s="9" t="str">
        <f t="shared" si="4"/>
        <v>tier - 2</v>
      </c>
      <c r="N996" s="9" t="str">
        <f t="shared" si="5"/>
        <v>R1012</v>
      </c>
      <c r="O996" s="17">
        <f t="shared" si="6"/>
        <v>19</v>
      </c>
      <c r="P996" s="18">
        <v>37880.0</v>
      </c>
    </row>
    <row r="997" ht="15.75" customHeight="1">
      <c r="A997" s="9" t="s">
        <v>4411</v>
      </c>
      <c r="B997" s="17">
        <v>2004.0</v>
      </c>
      <c r="C997" s="9" t="s">
        <v>4725</v>
      </c>
      <c r="D997" s="9">
        <v>13.0</v>
      </c>
      <c r="E997" s="18">
        <f t="shared" si="1"/>
        <v>38334</v>
      </c>
      <c r="F997" s="9">
        <v>0.0</v>
      </c>
      <c r="G997" s="19">
        <v>1633.04</v>
      </c>
      <c r="H997" s="9" t="s">
        <v>4723</v>
      </c>
      <c r="I997" s="9" t="s">
        <v>4723</v>
      </c>
      <c r="J997" s="9" t="s">
        <v>4743</v>
      </c>
      <c r="K997" s="20">
        <f t="shared" si="2"/>
        <v>2004</v>
      </c>
      <c r="L997" s="9" t="str">
        <f t="shared" si="3"/>
        <v>tier - 2</v>
      </c>
      <c r="M997" s="9" t="str">
        <f t="shared" si="4"/>
        <v>tier - 2</v>
      </c>
      <c r="N997" s="9" t="str">
        <f t="shared" si="5"/>
        <v>R1013</v>
      </c>
      <c r="O997" s="17">
        <f t="shared" si="6"/>
        <v>18</v>
      </c>
      <c r="P997" s="18">
        <v>38334.0</v>
      </c>
    </row>
    <row r="998" ht="15.75" customHeight="1">
      <c r="A998" s="9" t="s">
        <v>4409</v>
      </c>
      <c r="B998" s="17">
        <v>2004.0</v>
      </c>
      <c r="C998" s="9" t="s">
        <v>4716</v>
      </c>
      <c r="D998" s="9">
        <v>8.0</v>
      </c>
      <c r="E998" s="18">
        <f t="shared" si="1"/>
        <v>38207</v>
      </c>
      <c r="F998" s="9">
        <v>0.0</v>
      </c>
      <c r="G998" s="19">
        <v>1633.96</v>
      </c>
      <c r="H998" s="9" t="s">
        <v>4723</v>
      </c>
      <c r="I998" s="9" t="s">
        <v>4718</v>
      </c>
      <c r="J998" s="9" t="s">
        <v>4743</v>
      </c>
      <c r="K998" s="20">
        <f t="shared" si="2"/>
        <v>2004</v>
      </c>
      <c r="L998" s="9" t="str">
        <f t="shared" si="3"/>
        <v>tier - 2</v>
      </c>
      <c r="M998" s="9" t="str">
        <f t="shared" si="4"/>
        <v>tier - 1</v>
      </c>
      <c r="N998" s="9" t="str">
        <f t="shared" si="5"/>
        <v>R1013</v>
      </c>
      <c r="O998" s="17">
        <f t="shared" si="6"/>
        <v>18</v>
      </c>
      <c r="P998" s="18">
        <v>38207.0</v>
      </c>
    </row>
    <row r="999" ht="15.75" customHeight="1">
      <c r="A999" s="9" t="s">
        <v>4407</v>
      </c>
      <c r="B999" s="17">
        <v>2004.0</v>
      </c>
      <c r="C999" s="9" t="s">
        <v>4730</v>
      </c>
      <c r="D999" s="9">
        <v>13.0</v>
      </c>
      <c r="E999" s="18">
        <f t="shared" si="1"/>
        <v>38151</v>
      </c>
      <c r="F999" s="9">
        <v>0.0</v>
      </c>
      <c r="G999" s="19">
        <v>1634.57</v>
      </c>
      <c r="H999" s="9" t="s">
        <v>4723</v>
      </c>
      <c r="I999" s="9" t="s">
        <v>4723</v>
      </c>
      <c r="J999" s="9" t="s">
        <v>4743</v>
      </c>
      <c r="K999" s="20">
        <f t="shared" si="2"/>
        <v>2004</v>
      </c>
      <c r="L999" s="9" t="str">
        <f t="shared" si="3"/>
        <v>tier - 2</v>
      </c>
      <c r="M999" s="9" t="str">
        <f t="shared" si="4"/>
        <v>tier - 2</v>
      </c>
      <c r="N999" s="9" t="str">
        <f t="shared" si="5"/>
        <v>R1013</v>
      </c>
      <c r="O999" s="17">
        <f t="shared" si="6"/>
        <v>18</v>
      </c>
      <c r="P999" s="18">
        <v>38151.0</v>
      </c>
    </row>
    <row r="1000" ht="15.75" customHeight="1">
      <c r="A1000" s="9" t="s">
        <v>4405</v>
      </c>
      <c r="B1000" s="17">
        <v>2003.0</v>
      </c>
      <c r="C1000" s="9" t="s">
        <v>4725</v>
      </c>
      <c r="D1000" s="9">
        <v>30.0</v>
      </c>
      <c r="E1000" s="18">
        <f t="shared" si="1"/>
        <v>37985</v>
      </c>
      <c r="F1000" s="9">
        <v>0.0</v>
      </c>
      <c r="G1000" s="19">
        <v>1635.73</v>
      </c>
      <c r="H1000" s="9" t="s">
        <v>4723</v>
      </c>
      <c r="I1000" s="9" t="s">
        <v>4717</v>
      </c>
      <c r="J1000" s="9" t="s">
        <v>4733</v>
      </c>
      <c r="K1000" s="20">
        <f t="shared" si="2"/>
        <v>2003</v>
      </c>
      <c r="L1000" s="9" t="str">
        <f t="shared" si="3"/>
        <v>tier - 2</v>
      </c>
      <c r="M1000" s="9" t="str">
        <f t="shared" si="4"/>
        <v>tier - 3</v>
      </c>
      <c r="N1000" s="9" t="str">
        <f t="shared" si="5"/>
        <v>R1012</v>
      </c>
      <c r="O1000" s="17">
        <f t="shared" si="6"/>
        <v>19</v>
      </c>
      <c r="P1000" s="18">
        <v>37985.0</v>
      </c>
    </row>
    <row r="1001" ht="15.75" customHeight="1">
      <c r="A1001" s="9" t="s">
        <v>4403</v>
      </c>
      <c r="B1001" s="17">
        <v>2003.0</v>
      </c>
      <c r="C1001" s="9" t="s">
        <v>4738</v>
      </c>
      <c r="D1001" s="9">
        <v>16.0</v>
      </c>
      <c r="E1001" s="18">
        <f t="shared" si="1"/>
        <v>37880</v>
      </c>
      <c r="F1001" s="9">
        <v>0.0</v>
      </c>
      <c r="G1001" s="19">
        <v>1639.56</v>
      </c>
      <c r="H1001" s="9" t="s">
        <v>4723</v>
      </c>
      <c r="I1001" s="9" t="s">
        <v>4723</v>
      </c>
      <c r="J1001" s="9" t="s">
        <v>4733</v>
      </c>
      <c r="K1001" s="20">
        <f t="shared" si="2"/>
        <v>2003</v>
      </c>
      <c r="L1001" s="9" t="str">
        <f t="shared" si="3"/>
        <v>tier - 2</v>
      </c>
      <c r="M1001" s="9" t="str">
        <f t="shared" si="4"/>
        <v>tier - 2</v>
      </c>
      <c r="N1001" s="9" t="str">
        <f t="shared" si="5"/>
        <v>R1012</v>
      </c>
      <c r="O1001" s="17">
        <f t="shared" si="6"/>
        <v>19</v>
      </c>
      <c r="P1001" s="18">
        <v>37880.0</v>
      </c>
    </row>
    <row r="1002" ht="15.75" customHeight="1">
      <c r="A1002" s="9" t="s">
        <v>4401</v>
      </c>
      <c r="B1002" s="17">
        <v>2003.0</v>
      </c>
      <c r="C1002" s="9" t="s">
        <v>4716</v>
      </c>
      <c r="D1002" s="9">
        <v>21.0</v>
      </c>
      <c r="E1002" s="18">
        <f t="shared" si="1"/>
        <v>37854</v>
      </c>
      <c r="F1002" s="9">
        <v>0.0</v>
      </c>
      <c r="G1002" s="19">
        <v>1639.56</v>
      </c>
      <c r="H1002" s="9" t="s">
        <v>4723</v>
      </c>
      <c r="I1002" s="9" t="s">
        <v>4723</v>
      </c>
      <c r="J1002" s="9" t="s">
        <v>4733</v>
      </c>
      <c r="K1002" s="20">
        <f t="shared" si="2"/>
        <v>2003</v>
      </c>
      <c r="L1002" s="9" t="str">
        <f t="shared" si="3"/>
        <v>tier - 2</v>
      </c>
      <c r="M1002" s="9" t="str">
        <f t="shared" si="4"/>
        <v>tier - 2</v>
      </c>
      <c r="N1002" s="9" t="str">
        <f t="shared" si="5"/>
        <v>R1012</v>
      </c>
      <c r="O1002" s="17">
        <f t="shared" si="6"/>
        <v>19</v>
      </c>
      <c r="P1002" s="18">
        <v>37854.0</v>
      </c>
    </row>
    <row r="1003" ht="15.75" customHeight="1">
      <c r="A1003" s="9" t="s">
        <v>441</v>
      </c>
      <c r="B1003" s="17">
        <v>1997.0</v>
      </c>
      <c r="C1003" s="9" t="s">
        <v>4741</v>
      </c>
      <c r="D1003" s="9">
        <v>9.0</v>
      </c>
      <c r="E1003" s="18">
        <f t="shared" si="1"/>
        <v>35620</v>
      </c>
      <c r="F1003" s="9">
        <v>0.0</v>
      </c>
      <c r="G1003" s="19">
        <v>35302.09</v>
      </c>
      <c r="H1003" s="9" t="s">
        <v>4718</v>
      </c>
      <c r="I1003" s="9" t="s">
        <v>4723</v>
      </c>
      <c r="J1003" s="9" t="s">
        <v>4719</v>
      </c>
      <c r="K1003" s="20">
        <f t="shared" si="2"/>
        <v>1997</v>
      </c>
      <c r="L1003" s="9" t="str">
        <f t="shared" si="3"/>
        <v>tier - 1</v>
      </c>
      <c r="M1003" s="9" t="str">
        <f t="shared" si="4"/>
        <v>tier - 2</v>
      </c>
      <c r="N1003" s="9" t="str">
        <f t="shared" si="5"/>
        <v>R1011</v>
      </c>
      <c r="O1003" s="17">
        <f t="shared" si="6"/>
        <v>25</v>
      </c>
      <c r="P1003" s="18">
        <v>35620.0</v>
      </c>
    </row>
    <row r="1004" ht="15.75" customHeight="1">
      <c r="A1004" s="9" t="s">
        <v>45</v>
      </c>
      <c r="B1004" s="17">
        <v>1959.0</v>
      </c>
      <c r="C1004" s="9" t="s">
        <v>4720</v>
      </c>
      <c r="D1004" s="9">
        <v>4.0</v>
      </c>
      <c r="E1004" s="18">
        <f t="shared" si="1"/>
        <v>21827</v>
      </c>
      <c r="F1004" s="9">
        <v>2.0</v>
      </c>
      <c r="G1004" s="19">
        <v>47305.31</v>
      </c>
      <c r="H1004" s="9" t="s">
        <v>4723</v>
      </c>
      <c r="I1004" s="9" t="s">
        <v>4718</v>
      </c>
      <c r="J1004" s="9" t="s">
        <v>4719</v>
      </c>
      <c r="K1004" s="20">
        <f t="shared" si="2"/>
        <v>1959</v>
      </c>
      <c r="L1004" s="9" t="str">
        <f t="shared" si="3"/>
        <v>tier - 2</v>
      </c>
      <c r="M1004" s="9" t="str">
        <f t="shared" si="4"/>
        <v>tier - 1</v>
      </c>
      <c r="N1004" s="9" t="str">
        <f t="shared" si="5"/>
        <v>R1011</v>
      </c>
      <c r="O1004" s="17">
        <f t="shared" si="6"/>
        <v>63</v>
      </c>
      <c r="P1004" s="18">
        <v>21827.0</v>
      </c>
    </row>
    <row r="1005" ht="15.75" customHeight="1">
      <c r="A1005" s="9" t="s">
        <v>4399</v>
      </c>
      <c r="B1005" s="17">
        <v>2003.0</v>
      </c>
      <c r="C1005" s="9" t="s">
        <v>4725</v>
      </c>
      <c r="D1005" s="9">
        <v>30.0</v>
      </c>
      <c r="E1005" s="18">
        <f t="shared" si="1"/>
        <v>37985</v>
      </c>
      <c r="F1005" s="9">
        <v>0.0</v>
      </c>
      <c r="G1005" s="19">
        <v>1646.43</v>
      </c>
      <c r="H1005" s="9" t="s">
        <v>4723</v>
      </c>
      <c r="I1005" s="9" t="s">
        <v>4718</v>
      </c>
      <c r="J1005" s="9" t="s">
        <v>4733</v>
      </c>
      <c r="K1005" s="20">
        <f t="shared" si="2"/>
        <v>2003</v>
      </c>
      <c r="L1005" s="9" t="str">
        <f t="shared" si="3"/>
        <v>tier - 2</v>
      </c>
      <c r="M1005" s="9" t="str">
        <f t="shared" si="4"/>
        <v>tier - 1</v>
      </c>
      <c r="N1005" s="9" t="str">
        <f t="shared" si="5"/>
        <v>R1012</v>
      </c>
      <c r="O1005" s="17">
        <f t="shared" si="6"/>
        <v>19</v>
      </c>
      <c r="P1005" s="18">
        <v>37985.0</v>
      </c>
    </row>
    <row r="1006" ht="15.75" customHeight="1">
      <c r="A1006" s="9" t="s">
        <v>4397</v>
      </c>
      <c r="B1006" s="17">
        <v>2000.0</v>
      </c>
      <c r="C1006" s="9" t="s">
        <v>4720</v>
      </c>
      <c r="D1006" s="9">
        <v>23.0</v>
      </c>
      <c r="E1006" s="18">
        <f t="shared" si="1"/>
        <v>36822</v>
      </c>
      <c r="F1006" s="9">
        <v>0.0</v>
      </c>
      <c r="G1006" s="19">
        <v>1665.0</v>
      </c>
      <c r="H1006" s="9" t="s">
        <v>4723</v>
      </c>
      <c r="I1006" s="9" t="s">
        <v>4723</v>
      </c>
      <c r="J1006" s="9" t="s">
        <v>4743</v>
      </c>
      <c r="K1006" s="20">
        <f t="shared" si="2"/>
        <v>2000</v>
      </c>
      <c r="L1006" s="9" t="str">
        <f t="shared" si="3"/>
        <v>tier - 2</v>
      </c>
      <c r="M1006" s="9" t="str">
        <f t="shared" si="4"/>
        <v>tier - 2</v>
      </c>
      <c r="N1006" s="9" t="str">
        <f t="shared" si="5"/>
        <v>R1013</v>
      </c>
      <c r="O1006" s="17">
        <f t="shared" si="6"/>
        <v>22</v>
      </c>
      <c r="P1006" s="18">
        <v>36822.0</v>
      </c>
    </row>
    <row r="1007" ht="15.75" customHeight="1">
      <c r="A1007" s="9" t="s">
        <v>4395</v>
      </c>
      <c r="B1007" s="17">
        <v>2000.0</v>
      </c>
      <c r="C1007" s="9" t="s">
        <v>4730</v>
      </c>
      <c r="D1007" s="9">
        <v>10.0</v>
      </c>
      <c r="E1007" s="18">
        <f t="shared" si="1"/>
        <v>36687</v>
      </c>
      <c r="F1007" s="9">
        <v>0.0</v>
      </c>
      <c r="G1007" s="19">
        <v>1674.63</v>
      </c>
      <c r="H1007" s="9" t="s">
        <v>4723</v>
      </c>
      <c r="I1007" s="9" t="s">
        <v>4723</v>
      </c>
      <c r="J1007" s="9" t="s">
        <v>4743</v>
      </c>
      <c r="K1007" s="20">
        <f t="shared" si="2"/>
        <v>2000</v>
      </c>
      <c r="L1007" s="9" t="str">
        <f t="shared" si="3"/>
        <v>tier - 2</v>
      </c>
      <c r="M1007" s="9" t="str">
        <f t="shared" si="4"/>
        <v>tier - 2</v>
      </c>
      <c r="N1007" s="9" t="str">
        <f t="shared" si="5"/>
        <v>R1013</v>
      </c>
      <c r="O1007" s="17">
        <f t="shared" si="6"/>
        <v>22</v>
      </c>
      <c r="P1007" s="18">
        <v>36687.0</v>
      </c>
    </row>
    <row r="1008" ht="15.75" customHeight="1">
      <c r="A1008" s="9" t="s">
        <v>4393</v>
      </c>
      <c r="B1008" s="17">
        <v>2000.0</v>
      </c>
      <c r="C1008" s="9" t="s">
        <v>4720</v>
      </c>
      <c r="D1008" s="9">
        <v>21.0</v>
      </c>
      <c r="E1008" s="18">
        <f t="shared" si="1"/>
        <v>36820</v>
      </c>
      <c r="F1008" s="9">
        <v>0.0</v>
      </c>
      <c r="G1008" s="19">
        <v>1682.6</v>
      </c>
      <c r="H1008" s="9" t="s">
        <v>4723</v>
      </c>
      <c r="I1008" s="9" t="s">
        <v>4723</v>
      </c>
      <c r="J1008" s="9" t="s">
        <v>4719</v>
      </c>
      <c r="K1008" s="20">
        <f t="shared" si="2"/>
        <v>2000</v>
      </c>
      <c r="L1008" s="9" t="str">
        <f t="shared" si="3"/>
        <v>tier - 2</v>
      </c>
      <c r="M1008" s="9" t="str">
        <f t="shared" si="4"/>
        <v>tier - 2</v>
      </c>
      <c r="N1008" s="9" t="str">
        <f t="shared" si="5"/>
        <v>R1011</v>
      </c>
      <c r="O1008" s="17">
        <f t="shared" si="6"/>
        <v>22</v>
      </c>
      <c r="P1008" s="18">
        <v>36820.0</v>
      </c>
    </row>
    <row r="1009" ht="15.75" customHeight="1">
      <c r="A1009" s="9" t="s">
        <v>4391</v>
      </c>
      <c r="B1009" s="17">
        <v>2004.0</v>
      </c>
      <c r="C1009" s="9" t="s">
        <v>4735</v>
      </c>
      <c r="D1009" s="9">
        <v>17.0</v>
      </c>
      <c r="E1009" s="18">
        <f t="shared" si="1"/>
        <v>38308</v>
      </c>
      <c r="F1009" s="9">
        <v>0.0</v>
      </c>
      <c r="G1009" s="19">
        <v>1694.8</v>
      </c>
      <c r="H1009" s="9" t="s">
        <v>4723</v>
      </c>
      <c r="I1009" s="9" t="s">
        <v>4723</v>
      </c>
      <c r="J1009" s="9" t="s">
        <v>4757</v>
      </c>
      <c r="K1009" s="20">
        <f t="shared" si="2"/>
        <v>2004</v>
      </c>
      <c r="L1009" s="9" t="str">
        <f t="shared" si="3"/>
        <v>tier - 2</v>
      </c>
      <c r="M1009" s="9" t="str">
        <f t="shared" si="4"/>
        <v>tier - 2</v>
      </c>
      <c r="N1009" s="9" t="str">
        <f t="shared" si="5"/>
        <v>R1015</v>
      </c>
      <c r="O1009" s="17">
        <f t="shared" si="6"/>
        <v>18</v>
      </c>
      <c r="P1009" s="18">
        <v>38308.0</v>
      </c>
    </row>
    <row r="1010" ht="15.75" customHeight="1">
      <c r="A1010" s="9" t="s">
        <v>4389</v>
      </c>
      <c r="B1010" s="17">
        <v>2004.0</v>
      </c>
      <c r="C1010" s="9" t="s">
        <v>4725</v>
      </c>
      <c r="D1010" s="9">
        <v>10.0</v>
      </c>
      <c r="E1010" s="18">
        <f t="shared" si="1"/>
        <v>38331</v>
      </c>
      <c r="F1010" s="9">
        <v>0.0</v>
      </c>
      <c r="G1010" s="19">
        <v>1702.46</v>
      </c>
      <c r="H1010" s="9" t="s">
        <v>4723</v>
      </c>
      <c r="I1010" s="9" t="s">
        <v>4717</v>
      </c>
      <c r="J1010" s="9" t="s">
        <v>4728</v>
      </c>
      <c r="K1010" s="20">
        <f t="shared" si="2"/>
        <v>2004</v>
      </c>
      <c r="L1010" s="9" t="str">
        <f t="shared" si="3"/>
        <v>tier - 2</v>
      </c>
      <c r="M1010" s="9" t="str">
        <f t="shared" si="4"/>
        <v>tier - 3</v>
      </c>
      <c r="N1010" s="9" t="str">
        <f t="shared" si="5"/>
        <v>R1019</v>
      </c>
      <c r="O1010" s="17">
        <f t="shared" si="6"/>
        <v>18</v>
      </c>
      <c r="P1010" s="18">
        <v>38331.0</v>
      </c>
    </row>
    <row r="1011" ht="15.75" customHeight="1">
      <c r="A1011" s="9" t="s">
        <v>4387</v>
      </c>
      <c r="B1011" s="17">
        <v>2004.0</v>
      </c>
      <c r="C1011" s="9" t="s">
        <v>4735</v>
      </c>
      <c r="D1011" s="9">
        <v>7.0</v>
      </c>
      <c r="E1011" s="18">
        <f t="shared" si="1"/>
        <v>38298</v>
      </c>
      <c r="F1011" s="9">
        <v>0.0</v>
      </c>
      <c r="G1011" s="19">
        <v>1704.57</v>
      </c>
      <c r="H1011" s="9" t="s">
        <v>4723</v>
      </c>
      <c r="I1011" s="9" t="s">
        <v>4718</v>
      </c>
      <c r="J1011" s="9" t="s">
        <v>4754</v>
      </c>
      <c r="K1011" s="20">
        <f t="shared" si="2"/>
        <v>2004</v>
      </c>
      <c r="L1011" s="9" t="str">
        <f t="shared" si="3"/>
        <v>tier - 2</v>
      </c>
      <c r="M1011" s="9" t="str">
        <f t="shared" si="4"/>
        <v>tier - 1</v>
      </c>
      <c r="N1011" s="9" t="str">
        <f t="shared" si="5"/>
        <v>R1016</v>
      </c>
      <c r="O1011" s="17">
        <f t="shared" si="6"/>
        <v>18</v>
      </c>
      <c r="P1011" s="18">
        <v>38298.0</v>
      </c>
    </row>
    <row r="1012" ht="15.75" customHeight="1">
      <c r="A1012" s="9" t="s">
        <v>4385</v>
      </c>
      <c r="B1012" s="17">
        <v>2004.0</v>
      </c>
      <c r="C1012" s="9" t="s">
        <v>4725</v>
      </c>
      <c r="D1012" s="9">
        <v>14.0</v>
      </c>
      <c r="E1012" s="18">
        <f t="shared" si="1"/>
        <v>38335</v>
      </c>
      <c r="F1012" s="9">
        <v>0.0</v>
      </c>
      <c r="G1012" s="19">
        <v>1704.7</v>
      </c>
      <c r="H1012" s="9" t="s">
        <v>4723</v>
      </c>
      <c r="I1012" s="9" t="s">
        <v>4717</v>
      </c>
      <c r="J1012" s="9" t="s">
        <v>4750</v>
      </c>
      <c r="K1012" s="20">
        <f t="shared" si="2"/>
        <v>2004</v>
      </c>
      <c r="L1012" s="9" t="str">
        <f t="shared" si="3"/>
        <v>tier - 2</v>
      </c>
      <c r="M1012" s="9" t="str">
        <f t="shared" si="4"/>
        <v>tier - 3</v>
      </c>
      <c r="N1012" s="9" t="str">
        <f t="shared" si="5"/>
        <v>R1018</v>
      </c>
      <c r="O1012" s="17">
        <f t="shared" si="6"/>
        <v>18</v>
      </c>
      <c r="P1012" s="18">
        <v>38335.0</v>
      </c>
    </row>
    <row r="1013" ht="15.75" customHeight="1">
      <c r="A1013" s="9" t="s">
        <v>4383</v>
      </c>
      <c r="B1013" s="17">
        <v>2004.0</v>
      </c>
      <c r="C1013" s="9" t="s">
        <v>4725</v>
      </c>
      <c r="D1013" s="9">
        <v>6.0</v>
      </c>
      <c r="E1013" s="18">
        <f t="shared" si="1"/>
        <v>38327</v>
      </c>
      <c r="F1013" s="9">
        <v>0.0</v>
      </c>
      <c r="G1013" s="19">
        <v>1705.62</v>
      </c>
      <c r="H1013" s="9" t="s">
        <v>4723</v>
      </c>
      <c r="I1013" s="9" t="s">
        <v>4723</v>
      </c>
      <c r="J1013" s="9" t="s">
        <v>4757</v>
      </c>
      <c r="K1013" s="20">
        <f t="shared" si="2"/>
        <v>2004</v>
      </c>
      <c r="L1013" s="9" t="str">
        <f t="shared" si="3"/>
        <v>tier - 2</v>
      </c>
      <c r="M1013" s="9" t="str">
        <f t="shared" si="4"/>
        <v>tier - 2</v>
      </c>
      <c r="N1013" s="9" t="str">
        <f t="shared" si="5"/>
        <v>R1015</v>
      </c>
      <c r="O1013" s="17">
        <f t="shared" si="6"/>
        <v>18</v>
      </c>
      <c r="P1013" s="18">
        <v>38327.0</v>
      </c>
    </row>
    <row r="1014" ht="15.75" customHeight="1">
      <c r="A1014" s="9" t="s">
        <v>4381</v>
      </c>
      <c r="B1014" s="17">
        <v>2004.0</v>
      </c>
      <c r="C1014" s="9" t="s">
        <v>4720</v>
      </c>
      <c r="D1014" s="9">
        <v>17.0</v>
      </c>
      <c r="E1014" s="18">
        <f t="shared" si="1"/>
        <v>38277</v>
      </c>
      <c r="F1014" s="9">
        <v>0.0</v>
      </c>
      <c r="G1014" s="19">
        <v>1708.0</v>
      </c>
      <c r="H1014" s="9" t="s">
        <v>4717</v>
      </c>
      <c r="I1014" s="9" t="s">
        <v>4723</v>
      </c>
      <c r="J1014" s="9" t="s">
        <v>4754</v>
      </c>
      <c r="K1014" s="20">
        <f t="shared" si="2"/>
        <v>2004</v>
      </c>
      <c r="L1014" s="9" t="str">
        <f t="shared" si="3"/>
        <v>tier - 3</v>
      </c>
      <c r="M1014" s="9" t="str">
        <f t="shared" si="4"/>
        <v>tier - 2</v>
      </c>
      <c r="N1014" s="9" t="str">
        <f t="shared" si="5"/>
        <v>R1016</v>
      </c>
      <c r="O1014" s="17">
        <f t="shared" si="6"/>
        <v>18</v>
      </c>
      <c r="P1014" s="18">
        <v>38277.0</v>
      </c>
    </row>
    <row r="1015" ht="15.75" customHeight="1">
      <c r="A1015" s="9" t="s">
        <v>439</v>
      </c>
      <c r="B1015" s="17">
        <v>1988.0</v>
      </c>
      <c r="C1015" s="9" t="s">
        <v>4738</v>
      </c>
      <c r="D1015" s="9">
        <v>19.0</v>
      </c>
      <c r="E1015" s="18">
        <f t="shared" si="1"/>
        <v>32405</v>
      </c>
      <c r="F1015" s="9">
        <v>3.0</v>
      </c>
      <c r="G1015" s="19">
        <v>35315.96</v>
      </c>
      <c r="H1015" s="9" t="s">
        <v>4723</v>
      </c>
      <c r="I1015" s="9" t="s">
        <v>4718</v>
      </c>
      <c r="J1015" s="9" t="s">
        <v>4719</v>
      </c>
      <c r="K1015" s="20">
        <f t="shared" si="2"/>
        <v>1988</v>
      </c>
      <c r="L1015" s="9" t="str">
        <f t="shared" si="3"/>
        <v>tier - 2</v>
      </c>
      <c r="M1015" s="9" t="str">
        <f t="shared" si="4"/>
        <v>tier - 1</v>
      </c>
      <c r="N1015" s="9" t="str">
        <f t="shared" si="5"/>
        <v>R1011</v>
      </c>
      <c r="O1015" s="17">
        <f t="shared" si="6"/>
        <v>34</v>
      </c>
      <c r="P1015" s="18">
        <v>32405.0</v>
      </c>
    </row>
    <row r="1016" ht="15.75" customHeight="1">
      <c r="A1016" s="9" t="s">
        <v>4379</v>
      </c>
      <c r="B1016" s="17">
        <v>2004.0</v>
      </c>
      <c r="C1016" s="9" t="s">
        <v>4725</v>
      </c>
      <c r="D1016" s="9">
        <v>12.0</v>
      </c>
      <c r="E1016" s="18">
        <f t="shared" si="1"/>
        <v>38333</v>
      </c>
      <c r="F1016" s="9">
        <v>0.0</v>
      </c>
      <c r="G1016" s="19">
        <v>1708.93</v>
      </c>
      <c r="H1016" s="9" t="s">
        <v>4717</v>
      </c>
      <c r="I1016" s="9" t="s">
        <v>4718</v>
      </c>
      <c r="J1016" s="9" t="s">
        <v>4728</v>
      </c>
      <c r="K1016" s="20">
        <f t="shared" si="2"/>
        <v>2004</v>
      </c>
      <c r="L1016" s="9" t="str">
        <f t="shared" si="3"/>
        <v>tier - 3</v>
      </c>
      <c r="M1016" s="9" t="str">
        <f t="shared" si="4"/>
        <v>tier - 1</v>
      </c>
      <c r="N1016" s="9" t="str">
        <f t="shared" si="5"/>
        <v>R1019</v>
      </c>
      <c r="O1016" s="17">
        <f t="shared" si="6"/>
        <v>18</v>
      </c>
      <c r="P1016" s="18">
        <v>38333.0</v>
      </c>
    </row>
    <row r="1017" ht="15.75" customHeight="1">
      <c r="A1017" s="9" t="s">
        <v>4377</v>
      </c>
      <c r="B1017" s="17">
        <v>2004.0</v>
      </c>
      <c r="C1017" s="9" t="s">
        <v>4738</v>
      </c>
      <c r="D1017" s="9">
        <v>19.0</v>
      </c>
      <c r="E1017" s="18">
        <f t="shared" si="1"/>
        <v>38249</v>
      </c>
      <c r="F1017" s="9">
        <v>1.0</v>
      </c>
      <c r="G1017" s="19">
        <v>1711.03</v>
      </c>
      <c r="H1017" s="9" t="s">
        <v>4717</v>
      </c>
      <c r="I1017" s="9" t="s">
        <v>4717</v>
      </c>
      <c r="J1017" s="9" t="s">
        <v>4743</v>
      </c>
      <c r="K1017" s="20">
        <f t="shared" si="2"/>
        <v>2004</v>
      </c>
      <c r="L1017" s="9" t="str">
        <f t="shared" si="3"/>
        <v>tier - 3</v>
      </c>
      <c r="M1017" s="9" t="str">
        <f t="shared" si="4"/>
        <v>tier - 3</v>
      </c>
      <c r="N1017" s="9" t="str">
        <f t="shared" si="5"/>
        <v>R1013</v>
      </c>
      <c r="O1017" s="17">
        <f t="shared" si="6"/>
        <v>18</v>
      </c>
      <c r="P1017" s="18">
        <v>38249.0</v>
      </c>
    </row>
    <row r="1018" ht="15.75" customHeight="1">
      <c r="A1018" s="9" t="s">
        <v>4375</v>
      </c>
      <c r="B1018" s="17">
        <v>2004.0</v>
      </c>
      <c r="C1018" s="9" t="s">
        <v>4738</v>
      </c>
      <c r="D1018" s="9">
        <v>21.0</v>
      </c>
      <c r="E1018" s="18">
        <f t="shared" si="1"/>
        <v>38251</v>
      </c>
      <c r="F1018" s="9">
        <v>0.0</v>
      </c>
      <c r="G1018" s="19">
        <v>1712.23</v>
      </c>
      <c r="H1018" s="9" t="s">
        <v>4717</v>
      </c>
      <c r="I1018" s="9" t="s">
        <v>4718</v>
      </c>
      <c r="J1018" s="9" t="s">
        <v>4754</v>
      </c>
      <c r="K1018" s="20">
        <f t="shared" si="2"/>
        <v>2004</v>
      </c>
      <c r="L1018" s="9" t="str">
        <f t="shared" si="3"/>
        <v>tier - 3</v>
      </c>
      <c r="M1018" s="9" t="str">
        <f t="shared" si="4"/>
        <v>tier - 1</v>
      </c>
      <c r="N1018" s="9" t="str">
        <f t="shared" si="5"/>
        <v>R1016</v>
      </c>
      <c r="O1018" s="17">
        <f t="shared" si="6"/>
        <v>18</v>
      </c>
      <c r="P1018" s="18">
        <v>38251.0</v>
      </c>
    </row>
    <row r="1019" ht="15.75" customHeight="1">
      <c r="A1019" s="9" t="s">
        <v>4373</v>
      </c>
      <c r="B1019" s="17">
        <v>2004.0</v>
      </c>
      <c r="C1019" s="9" t="s">
        <v>4730</v>
      </c>
      <c r="D1019" s="9">
        <v>10.0</v>
      </c>
      <c r="E1019" s="18">
        <f t="shared" si="1"/>
        <v>38148</v>
      </c>
      <c r="F1019" s="9">
        <v>1.0</v>
      </c>
      <c r="G1019" s="19">
        <v>1719.44</v>
      </c>
      <c r="H1019" s="9" t="s">
        <v>4717</v>
      </c>
      <c r="I1019" s="9" t="s">
        <v>4717</v>
      </c>
      <c r="J1019" s="9" t="s">
        <v>4743</v>
      </c>
      <c r="K1019" s="20">
        <f t="shared" si="2"/>
        <v>2004</v>
      </c>
      <c r="L1019" s="9" t="str">
        <f t="shared" si="3"/>
        <v>tier - 3</v>
      </c>
      <c r="M1019" s="9" t="str">
        <f t="shared" si="4"/>
        <v>tier - 3</v>
      </c>
      <c r="N1019" s="9" t="str">
        <f t="shared" si="5"/>
        <v>R1013</v>
      </c>
      <c r="O1019" s="17">
        <f t="shared" si="6"/>
        <v>18</v>
      </c>
      <c r="P1019" s="18">
        <v>38148.0</v>
      </c>
    </row>
    <row r="1020" ht="15.75" customHeight="1">
      <c r="A1020" s="9" t="s">
        <v>4371</v>
      </c>
      <c r="B1020" s="17">
        <v>2004.0</v>
      </c>
      <c r="C1020" s="9" t="s">
        <v>4738</v>
      </c>
      <c r="D1020" s="9">
        <v>11.0</v>
      </c>
      <c r="E1020" s="18">
        <f t="shared" si="1"/>
        <v>38241</v>
      </c>
      <c r="F1020" s="9">
        <v>1.0</v>
      </c>
      <c r="G1020" s="19">
        <v>1720.35</v>
      </c>
      <c r="H1020" s="9" t="s">
        <v>4717</v>
      </c>
      <c r="I1020" s="9" t="s">
        <v>4717</v>
      </c>
      <c r="J1020" s="9" t="s">
        <v>4743</v>
      </c>
      <c r="K1020" s="20">
        <f t="shared" si="2"/>
        <v>2004</v>
      </c>
      <c r="L1020" s="9" t="str">
        <f t="shared" si="3"/>
        <v>tier - 3</v>
      </c>
      <c r="M1020" s="9" t="str">
        <f t="shared" si="4"/>
        <v>tier - 3</v>
      </c>
      <c r="N1020" s="9" t="str">
        <f t="shared" si="5"/>
        <v>R1013</v>
      </c>
      <c r="O1020" s="17">
        <f t="shared" si="6"/>
        <v>18</v>
      </c>
      <c r="P1020" s="18">
        <v>38241.0</v>
      </c>
    </row>
    <row r="1021" ht="15.75" customHeight="1">
      <c r="A1021" s="9" t="s">
        <v>4369</v>
      </c>
      <c r="B1021" s="17">
        <v>2004.0</v>
      </c>
      <c r="C1021" s="9" t="s">
        <v>4720</v>
      </c>
      <c r="D1021" s="9">
        <v>21.0</v>
      </c>
      <c r="E1021" s="18">
        <f t="shared" si="1"/>
        <v>38281</v>
      </c>
      <c r="F1021" s="9">
        <v>1.0</v>
      </c>
      <c r="G1021" s="19">
        <v>1725.55</v>
      </c>
      <c r="H1021" s="9" t="s">
        <v>4717</v>
      </c>
      <c r="I1021" s="9" t="s">
        <v>4723</v>
      </c>
      <c r="J1021" s="9" t="s">
        <v>4743</v>
      </c>
      <c r="K1021" s="20">
        <f t="shared" si="2"/>
        <v>2004</v>
      </c>
      <c r="L1021" s="9" t="str">
        <f t="shared" si="3"/>
        <v>tier - 3</v>
      </c>
      <c r="M1021" s="9" t="str">
        <f t="shared" si="4"/>
        <v>tier - 2</v>
      </c>
      <c r="N1021" s="9" t="str">
        <f t="shared" si="5"/>
        <v>R1013</v>
      </c>
      <c r="O1021" s="17">
        <f t="shared" si="6"/>
        <v>18</v>
      </c>
      <c r="P1021" s="18">
        <v>38281.0</v>
      </c>
    </row>
    <row r="1022" ht="15.75" customHeight="1">
      <c r="A1022" s="9" t="s">
        <v>4367</v>
      </c>
      <c r="B1022" s="17">
        <v>2004.0</v>
      </c>
      <c r="C1022" s="9" t="s">
        <v>4738</v>
      </c>
      <c r="D1022" s="9">
        <v>9.0</v>
      </c>
      <c r="E1022" s="18">
        <f t="shared" si="1"/>
        <v>38239</v>
      </c>
      <c r="F1022" s="9">
        <v>1.0</v>
      </c>
      <c r="G1022" s="19">
        <v>1727.54</v>
      </c>
      <c r="H1022" s="9" t="s">
        <v>4717</v>
      </c>
      <c r="I1022" s="9" t="s">
        <v>4718</v>
      </c>
      <c r="J1022" s="9" t="s">
        <v>4743</v>
      </c>
      <c r="K1022" s="20">
        <f t="shared" si="2"/>
        <v>2004</v>
      </c>
      <c r="L1022" s="9" t="str">
        <f t="shared" si="3"/>
        <v>tier - 3</v>
      </c>
      <c r="M1022" s="9" t="str">
        <f t="shared" si="4"/>
        <v>tier - 1</v>
      </c>
      <c r="N1022" s="9" t="str">
        <f t="shared" si="5"/>
        <v>R1013</v>
      </c>
      <c r="O1022" s="17">
        <f t="shared" si="6"/>
        <v>18</v>
      </c>
      <c r="P1022" s="18">
        <v>38239.0</v>
      </c>
    </row>
    <row r="1023" ht="15.75" customHeight="1">
      <c r="A1023" s="9" t="s">
        <v>4365</v>
      </c>
      <c r="B1023" s="17">
        <v>2003.0</v>
      </c>
      <c r="C1023" s="9" t="s">
        <v>4735</v>
      </c>
      <c r="D1023" s="9">
        <v>21.0</v>
      </c>
      <c r="E1023" s="18">
        <f t="shared" si="1"/>
        <v>37946</v>
      </c>
      <c r="F1023" s="9">
        <v>0.0</v>
      </c>
      <c r="G1023" s="19">
        <v>1727.79</v>
      </c>
      <c r="H1023" s="9" t="s">
        <v>4717</v>
      </c>
      <c r="I1023" s="9" t="s">
        <v>4717</v>
      </c>
      <c r="J1023" s="9" t="s">
        <v>4719</v>
      </c>
      <c r="K1023" s="20">
        <f t="shared" si="2"/>
        <v>2003</v>
      </c>
      <c r="L1023" s="9" t="str">
        <f t="shared" si="3"/>
        <v>tier - 3</v>
      </c>
      <c r="M1023" s="9" t="str">
        <f t="shared" si="4"/>
        <v>tier - 3</v>
      </c>
      <c r="N1023" s="9" t="str">
        <f t="shared" si="5"/>
        <v>R1011</v>
      </c>
      <c r="O1023" s="17">
        <f t="shared" si="6"/>
        <v>19</v>
      </c>
      <c r="P1023" s="18">
        <v>37946.0</v>
      </c>
    </row>
    <row r="1024" ht="15.75" customHeight="1">
      <c r="A1024" s="9" t="s">
        <v>4363</v>
      </c>
      <c r="B1024" s="17">
        <v>2003.0</v>
      </c>
      <c r="C1024" s="9" t="s">
        <v>4738</v>
      </c>
      <c r="D1024" s="9">
        <v>1.0</v>
      </c>
      <c r="E1024" s="18">
        <f t="shared" si="1"/>
        <v>37865</v>
      </c>
      <c r="F1024" s="9">
        <v>0.0</v>
      </c>
      <c r="G1024" s="19">
        <v>1728.9</v>
      </c>
      <c r="H1024" s="9" t="s">
        <v>4717</v>
      </c>
      <c r="I1024" s="9" t="s">
        <v>4723</v>
      </c>
      <c r="J1024" s="9" t="s">
        <v>4719</v>
      </c>
      <c r="K1024" s="20">
        <f t="shared" si="2"/>
        <v>2003</v>
      </c>
      <c r="L1024" s="9" t="str">
        <f t="shared" si="3"/>
        <v>tier - 3</v>
      </c>
      <c r="M1024" s="9" t="str">
        <f t="shared" si="4"/>
        <v>tier - 2</v>
      </c>
      <c r="N1024" s="9" t="str">
        <f t="shared" si="5"/>
        <v>R1011</v>
      </c>
      <c r="O1024" s="17">
        <f t="shared" si="6"/>
        <v>19</v>
      </c>
      <c r="P1024" s="18">
        <v>37865.0</v>
      </c>
    </row>
    <row r="1025" ht="15.75" customHeight="1">
      <c r="A1025" s="9" t="s">
        <v>4361</v>
      </c>
      <c r="B1025" s="17">
        <v>2003.0</v>
      </c>
      <c r="C1025" s="9" t="s">
        <v>4735</v>
      </c>
      <c r="D1025" s="9">
        <v>9.0</v>
      </c>
      <c r="E1025" s="18">
        <f t="shared" si="1"/>
        <v>37934</v>
      </c>
      <c r="F1025" s="9">
        <v>0.0</v>
      </c>
      <c r="G1025" s="19">
        <v>1731.68</v>
      </c>
      <c r="H1025" s="9" t="s">
        <v>4717</v>
      </c>
      <c r="I1025" s="9" t="s">
        <v>4723</v>
      </c>
      <c r="J1025" s="9" t="s">
        <v>4719</v>
      </c>
      <c r="K1025" s="20">
        <f t="shared" si="2"/>
        <v>2003</v>
      </c>
      <c r="L1025" s="9" t="str">
        <f t="shared" si="3"/>
        <v>tier - 3</v>
      </c>
      <c r="M1025" s="9" t="str">
        <f t="shared" si="4"/>
        <v>tier - 2</v>
      </c>
      <c r="N1025" s="9" t="str">
        <f t="shared" si="5"/>
        <v>R1011</v>
      </c>
      <c r="O1025" s="17">
        <f t="shared" si="6"/>
        <v>19</v>
      </c>
      <c r="P1025" s="18">
        <v>37934.0</v>
      </c>
    </row>
    <row r="1026" ht="15.75" customHeight="1">
      <c r="A1026" s="9" t="s">
        <v>437</v>
      </c>
      <c r="B1026" s="17">
        <v>1971.0</v>
      </c>
      <c r="C1026" s="9" t="s">
        <v>4738</v>
      </c>
      <c r="D1026" s="9">
        <v>22.0</v>
      </c>
      <c r="E1026" s="18">
        <f t="shared" si="1"/>
        <v>26198</v>
      </c>
      <c r="F1026" s="9">
        <v>0.0</v>
      </c>
      <c r="G1026" s="19">
        <v>35345.73</v>
      </c>
      <c r="H1026" s="9" t="s">
        <v>4723</v>
      </c>
      <c r="I1026" s="9" t="s">
        <v>4717</v>
      </c>
      <c r="J1026" s="9" t="s">
        <v>4719</v>
      </c>
      <c r="K1026" s="20">
        <f t="shared" si="2"/>
        <v>1971</v>
      </c>
      <c r="L1026" s="9" t="str">
        <f t="shared" si="3"/>
        <v>tier - 2</v>
      </c>
      <c r="M1026" s="9" t="str">
        <f t="shared" si="4"/>
        <v>tier - 3</v>
      </c>
      <c r="N1026" s="9" t="str">
        <f t="shared" si="5"/>
        <v>R1011</v>
      </c>
      <c r="O1026" s="17">
        <f t="shared" si="6"/>
        <v>51</v>
      </c>
      <c r="P1026" s="18">
        <v>26198.0</v>
      </c>
    </row>
    <row r="1027" ht="15.75" customHeight="1">
      <c r="A1027" s="9" t="s">
        <v>4359</v>
      </c>
      <c r="B1027" s="17">
        <v>2003.0</v>
      </c>
      <c r="C1027" s="9" t="s">
        <v>4735</v>
      </c>
      <c r="D1027" s="9">
        <v>14.0</v>
      </c>
      <c r="E1027" s="18">
        <f t="shared" si="1"/>
        <v>37939</v>
      </c>
      <c r="F1027" s="9">
        <v>0.0</v>
      </c>
      <c r="G1027" s="19">
        <v>1737.38</v>
      </c>
      <c r="H1027" s="9" t="s">
        <v>4717</v>
      </c>
      <c r="I1027" s="9" t="s">
        <v>4723</v>
      </c>
      <c r="J1027" s="9" t="s">
        <v>4719</v>
      </c>
      <c r="K1027" s="20">
        <f t="shared" si="2"/>
        <v>2003</v>
      </c>
      <c r="L1027" s="9" t="str">
        <f t="shared" si="3"/>
        <v>tier - 3</v>
      </c>
      <c r="M1027" s="9" t="str">
        <f t="shared" si="4"/>
        <v>tier - 2</v>
      </c>
      <c r="N1027" s="9" t="str">
        <f t="shared" si="5"/>
        <v>R1011</v>
      </c>
      <c r="O1027" s="17">
        <f t="shared" si="6"/>
        <v>19</v>
      </c>
      <c r="P1027" s="18">
        <v>37939.0</v>
      </c>
    </row>
    <row r="1028" ht="15.75" customHeight="1">
      <c r="A1028" s="9" t="s">
        <v>4357</v>
      </c>
      <c r="B1028" s="17">
        <v>2003.0</v>
      </c>
      <c r="C1028" s="9" t="s">
        <v>4741</v>
      </c>
      <c r="D1028" s="9">
        <v>25.0</v>
      </c>
      <c r="E1028" s="18">
        <f t="shared" si="1"/>
        <v>37827</v>
      </c>
      <c r="F1028" s="9">
        <v>0.0</v>
      </c>
      <c r="G1028" s="19">
        <v>1743.21</v>
      </c>
      <c r="H1028" s="9" t="s">
        <v>4717</v>
      </c>
      <c r="I1028" s="9" t="s">
        <v>4718</v>
      </c>
      <c r="J1028" s="9" t="s">
        <v>4719</v>
      </c>
      <c r="K1028" s="20">
        <f t="shared" si="2"/>
        <v>2003</v>
      </c>
      <c r="L1028" s="9" t="str">
        <f t="shared" si="3"/>
        <v>tier - 3</v>
      </c>
      <c r="M1028" s="9" t="str">
        <f t="shared" si="4"/>
        <v>tier - 1</v>
      </c>
      <c r="N1028" s="9" t="str">
        <f t="shared" si="5"/>
        <v>R1011</v>
      </c>
      <c r="O1028" s="17">
        <f t="shared" si="6"/>
        <v>19</v>
      </c>
      <c r="P1028" s="18">
        <v>37827.0</v>
      </c>
    </row>
    <row r="1029" ht="15.75" customHeight="1">
      <c r="A1029" s="9" t="s">
        <v>4355</v>
      </c>
      <c r="B1029" s="17">
        <v>2003.0</v>
      </c>
      <c r="C1029" s="9" t="s">
        <v>4741</v>
      </c>
      <c r="D1029" s="9">
        <v>28.0</v>
      </c>
      <c r="E1029" s="18">
        <f t="shared" si="1"/>
        <v>37830</v>
      </c>
      <c r="F1029" s="9">
        <v>0.0</v>
      </c>
      <c r="G1029" s="19">
        <v>1744.47</v>
      </c>
      <c r="H1029" s="9" t="s">
        <v>4717</v>
      </c>
      <c r="I1029" s="9" t="s">
        <v>4718</v>
      </c>
      <c r="J1029" s="9" t="s">
        <v>4719</v>
      </c>
      <c r="K1029" s="20">
        <f t="shared" si="2"/>
        <v>2003</v>
      </c>
      <c r="L1029" s="9" t="str">
        <f t="shared" si="3"/>
        <v>tier - 3</v>
      </c>
      <c r="M1029" s="9" t="str">
        <f t="shared" si="4"/>
        <v>tier - 1</v>
      </c>
      <c r="N1029" s="9" t="str">
        <f t="shared" si="5"/>
        <v>R1011</v>
      </c>
      <c r="O1029" s="17">
        <f t="shared" si="6"/>
        <v>19</v>
      </c>
      <c r="P1029" s="18">
        <v>37830.0</v>
      </c>
    </row>
    <row r="1030" ht="15.75" customHeight="1">
      <c r="A1030" s="9" t="s">
        <v>4353</v>
      </c>
      <c r="B1030" s="17">
        <v>2003.0</v>
      </c>
      <c r="C1030" s="9" t="s">
        <v>4738</v>
      </c>
      <c r="D1030" s="9">
        <v>26.0</v>
      </c>
      <c r="E1030" s="18">
        <f t="shared" si="1"/>
        <v>37890</v>
      </c>
      <c r="F1030" s="9">
        <v>0.0</v>
      </c>
      <c r="G1030" s="19">
        <v>1748.77</v>
      </c>
      <c r="H1030" s="9" t="s">
        <v>4717</v>
      </c>
      <c r="I1030" s="9" t="s">
        <v>4718</v>
      </c>
      <c r="J1030" s="9" t="s">
        <v>4719</v>
      </c>
      <c r="K1030" s="20">
        <f t="shared" si="2"/>
        <v>2003</v>
      </c>
      <c r="L1030" s="9" t="str">
        <f t="shared" si="3"/>
        <v>tier - 3</v>
      </c>
      <c r="M1030" s="9" t="str">
        <f t="shared" si="4"/>
        <v>tier - 1</v>
      </c>
      <c r="N1030" s="9" t="str">
        <f t="shared" si="5"/>
        <v>R1011</v>
      </c>
      <c r="O1030" s="17">
        <f t="shared" si="6"/>
        <v>19</v>
      </c>
      <c r="P1030" s="18">
        <v>37890.0</v>
      </c>
    </row>
    <row r="1031" ht="15.75" customHeight="1">
      <c r="A1031" s="9" t="s">
        <v>4351</v>
      </c>
      <c r="B1031" s="17">
        <v>1998.0</v>
      </c>
      <c r="C1031" s="9" t="s">
        <v>4720</v>
      </c>
      <c r="D1031" s="9">
        <v>7.0</v>
      </c>
      <c r="E1031" s="18">
        <f t="shared" si="1"/>
        <v>36075</v>
      </c>
      <c r="F1031" s="9">
        <v>0.0</v>
      </c>
      <c r="G1031" s="19">
        <v>1756.6</v>
      </c>
      <c r="H1031" s="9" t="s">
        <v>4717</v>
      </c>
      <c r="I1031" s="9" t="s">
        <v>4717</v>
      </c>
      <c r="J1031" s="9" t="s">
        <v>4743</v>
      </c>
      <c r="K1031" s="20">
        <f t="shared" si="2"/>
        <v>1998</v>
      </c>
      <c r="L1031" s="9" t="str">
        <f t="shared" si="3"/>
        <v>tier - 3</v>
      </c>
      <c r="M1031" s="9" t="str">
        <f t="shared" si="4"/>
        <v>tier - 3</v>
      </c>
      <c r="N1031" s="9" t="str">
        <f t="shared" si="5"/>
        <v>R1013</v>
      </c>
      <c r="O1031" s="17">
        <f t="shared" si="6"/>
        <v>24</v>
      </c>
      <c r="P1031" s="18">
        <v>36075.0</v>
      </c>
    </row>
    <row r="1032" ht="15.75" customHeight="1">
      <c r="A1032" s="9" t="s">
        <v>4349</v>
      </c>
      <c r="B1032" s="17">
        <v>2003.0</v>
      </c>
      <c r="C1032" s="9" t="s">
        <v>4735</v>
      </c>
      <c r="D1032" s="9">
        <v>19.0</v>
      </c>
      <c r="E1032" s="18">
        <f t="shared" si="1"/>
        <v>37944</v>
      </c>
      <c r="F1032" s="9">
        <v>0.0</v>
      </c>
      <c r="G1032" s="19">
        <v>1759.34</v>
      </c>
      <c r="H1032" s="9" t="s">
        <v>4717</v>
      </c>
      <c r="I1032" s="9" t="s">
        <v>4718</v>
      </c>
      <c r="J1032" s="9" t="s">
        <v>4719</v>
      </c>
      <c r="K1032" s="20">
        <f t="shared" si="2"/>
        <v>2003</v>
      </c>
      <c r="L1032" s="9" t="str">
        <f t="shared" si="3"/>
        <v>tier - 3</v>
      </c>
      <c r="M1032" s="9" t="str">
        <f t="shared" si="4"/>
        <v>tier - 1</v>
      </c>
      <c r="N1032" s="9" t="str">
        <f t="shared" si="5"/>
        <v>R1011</v>
      </c>
      <c r="O1032" s="17">
        <f t="shared" si="6"/>
        <v>19</v>
      </c>
      <c r="P1032" s="18">
        <v>37944.0</v>
      </c>
    </row>
    <row r="1033" ht="15.75" customHeight="1">
      <c r="A1033" s="9" t="s">
        <v>4347</v>
      </c>
      <c r="B1033" s="17">
        <v>2002.0</v>
      </c>
      <c r="C1033" s="9" t="s">
        <v>4725</v>
      </c>
      <c r="D1033" s="9">
        <v>13.0</v>
      </c>
      <c r="E1033" s="18">
        <f t="shared" si="1"/>
        <v>37603</v>
      </c>
      <c r="F1033" s="9">
        <v>0.0</v>
      </c>
      <c r="G1033" s="19">
        <v>1769.53</v>
      </c>
      <c r="H1033" s="9" t="s">
        <v>4717</v>
      </c>
      <c r="I1033" s="9" t="s">
        <v>4717</v>
      </c>
      <c r="J1033" s="9" t="s">
        <v>4733</v>
      </c>
      <c r="K1033" s="20">
        <f t="shared" si="2"/>
        <v>2002</v>
      </c>
      <c r="L1033" s="9" t="str">
        <f t="shared" si="3"/>
        <v>tier - 3</v>
      </c>
      <c r="M1033" s="9" t="str">
        <f t="shared" si="4"/>
        <v>tier - 3</v>
      </c>
      <c r="N1033" s="9" t="str">
        <f t="shared" si="5"/>
        <v>R1012</v>
      </c>
      <c r="O1033" s="17">
        <f t="shared" si="6"/>
        <v>20</v>
      </c>
      <c r="P1033" s="18">
        <v>37603.0</v>
      </c>
    </row>
    <row r="1034" ht="15.75" customHeight="1">
      <c r="A1034" s="9" t="s">
        <v>4345</v>
      </c>
      <c r="B1034" s="17">
        <v>1999.0</v>
      </c>
      <c r="C1034" s="9" t="s">
        <v>4738</v>
      </c>
      <c r="D1034" s="9">
        <v>25.0</v>
      </c>
      <c r="E1034" s="18">
        <f t="shared" si="1"/>
        <v>36428</v>
      </c>
      <c r="F1034" s="9">
        <v>0.0</v>
      </c>
      <c r="G1034" s="19">
        <v>1815.88</v>
      </c>
      <c r="H1034" s="9" t="s">
        <v>4717</v>
      </c>
      <c r="I1034" s="9" t="s">
        <v>4717</v>
      </c>
      <c r="J1034" s="9" t="s">
        <v>4743</v>
      </c>
      <c r="K1034" s="20">
        <f t="shared" si="2"/>
        <v>1999</v>
      </c>
      <c r="L1034" s="9" t="str">
        <f t="shared" si="3"/>
        <v>tier - 3</v>
      </c>
      <c r="M1034" s="9" t="str">
        <f t="shared" si="4"/>
        <v>tier - 3</v>
      </c>
      <c r="N1034" s="9" t="str">
        <f t="shared" si="5"/>
        <v>R1013</v>
      </c>
      <c r="O1034" s="17">
        <f t="shared" si="6"/>
        <v>23</v>
      </c>
      <c r="P1034" s="18">
        <v>36428.0</v>
      </c>
    </row>
    <row r="1035" ht="15.75" customHeight="1">
      <c r="A1035" s="9" t="s">
        <v>4343</v>
      </c>
      <c r="B1035" s="17">
        <v>2004.0</v>
      </c>
      <c r="C1035" s="9" t="s">
        <v>4716</v>
      </c>
      <c r="D1035" s="9">
        <v>19.0</v>
      </c>
      <c r="E1035" s="18">
        <f t="shared" si="1"/>
        <v>38218</v>
      </c>
      <c r="F1035" s="9">
        <v>0.0</v>
      </c>
      <c r="G1035" s="19">
        <v>1822.54</v>
      </c>
      <c r="H1035" s="9" t="s">
        <v>4717</v>
      </c>
      <c r="I1035" s="9" t="s">
        <v>4718</v>
      </c>
      <c r="J1035" s="9" t="s">
        <v>4733</v>
      </c>
      <c r="K1035" s="20">
        <f t="shared" si="2"/>
        <v>2004</v>
      </c>
      <c r="L1035" s="9" t="str">
        <f t="shared" si="3"/>
        <v>tier - 3</v>
      </c>
      <c r="M1035" s="9" t="str">
        <f t="shared" si="4"/>
        <v>tier - 1</v>
      </c>
      <c r="N1035" s="9" t="str">
        <f t="shared" si="5"/>
        <v>R1012</v>
      </c>
      <c r="O1035" s="17">
        <f t="shared" si="6"/>
        <v>18</v>
      </c>
      <c r="P1035" s="18">
        <v>38218.0</v>
      </c>
    </row>
    <row r="1036" ht="15.75" customHeight="1">
      <c r="A1036" s="9" t="s">
        <v>4341</v>
      </c>
      <c r="B1036" s="17">
        <v>1999.0</v>
      </c>
      <c r="C1036" s="9" t="s">
        <v>4735</v>
      </c>
      <c r="D1036" s="9">
        <v>17.0</v>
      </c>
      <c r="E1036" s="18">
        <f t="shared" si="1"/>
        <v>36481</v>
      </c>
      <c r="F1036" s="9">
        <v>0.0</v>
      </c>
      <c r="G1036" s="19">
        <v>1824.29</v>
      </c>
      <c r="H1036" s="9" t="s">
        <v>4717</v>
      </c>
      <c r="I1036" s="9" t="s">
        <v>4717</v>
      </c>
      <c r="J1036" s="9" t="s">
        <v>4743</v>
      </c>
      <c r="K1036" s="20">
        <f t="shared" si="2"/>
        <v>1999</v>
      </c>
      <c r="L1036" s="9" t="str">
        <f t="shared" si="3"/>
        <v>tier - 3</v>
      </c>
      <c r="M1036" s="9" t="str">
        <f t="shared" si="4"/>
        <v>tier - 3</v>
      </c>
      <c r="N1036" s="9" t="str">
        <f t="shared" si="5"/>
        <v>R1013</v>
      </c>
      <c r="O1036" s="17">
        <f t="shared" si="6"/>
        <v>23</v>
      </c>
      <c r="P1036" s="18">
        <v>36481.0</v>
      </c>
    </row>
    <row r="1037" ht="15.75" customHeight="1">
      <c r="A1037" s="9" t="s">
        <v>435</v>
      </c>
      <c r="B1037" s="17">
        <v>1988.0</v>
      </c>
      <c r="C1037" s="9" t="s">
        <v>4735</v>
      </c>
      <c r="D1037" s="9">
        <v>20.0</v>
      </c>
      <c r="E1037" s="18">
        <f t="shared" si="1"/>
        <v>32467</v>
      </c>
      <c r="F1037" s="9">
        <v>0.0</v>
      </c>
      <c r="G1037" s="19">
        <v>35491.64</v>
      </c>
      <c r="H1037" s="9" t="s">
        <v>4718</v>
      </c>
      <c r="I1037" s="9" t="s">
        <v>4723</v>
      </c>
      <c r="J1037" s="9" t="s">
        <v>4719</v>
      </c>
      <c r="K1037" s="20">
        <f t="shared" si="2"/>
        <v>1988</v>
      </c>
      <c r="L1037" s="9" t="str">
        <f t="shared" si="3"/>
        <v>tier - 1</v>
      </c>
      <c r="M1037" s="9" t="str">
        <f t="shared" si="4"/>
        <v>tier - 2</v>
      </c>
      <c r="N1037" s="9" t="str">
        <f t="shared" si="5"/>
        <v>R1011</v>
      </c>
      <c r="O1037" s="17">
        <f t="shared" si="6"/>
        <v>34</v>
      </c>
      <c r="P1037" s="18">
        <v>32467.0</v>
      </c>
    </row>
    <row r="1038" ht="15.75" customHeight="1">
      <c r="A1038" s="9" t="s">
        <v>4339</v>
      </c>
      <c r="B1038" s="17">
        <v>1999.0</v>
      </c>
      <c r="C1038" s="9" t="s">
        <v>4720</v>
      </c>
      <c r="D1038" s="9">
        <v>1.0</v>
      </c>
      <c r="E1038" s="18">
        <f t="shared" si="1"/>
        <v>36434</v>
      </c>
      <c r="F1038" s="9">
        <v>0.0</v>
      </c>
      <c r="G1038" s="19">
        <v>1826.84</v>
      </c>
      <c r="H1038" s="9" t="s">
        <v>4717</v>
      </c>
      <c r="I1038" s="9" t="s">
        <v>4723</v>
      </c>
      <c r="J1038" s="9" t="s">
        <v>4719</v>
      </c>
      <c r="K1038" s="20">
        <f t="shared" si="2"/>
        <v>1999</v>
      </c>
      <c r="L1038" s="9" t="str">
        <f t="shared" si="3"/>
        <v>tier - 3</v>
      </c>
      <c r="M1038" s="9" t="str">
        <f t="shared" si="4"/>
        <v>tier - 2</v>
      </c>
      <c r="N1038" s="9" t="str">
        <f t="shared" si="5"/>
        <v>R1011</v>
      </c>
      <c r="O1038" s="17">
        <f t="shared" si="6"/>
        <v>23</v>
      </c>
      <c r="P1038" s="18">
        <v>36434.0</v>
      </c>
    </row>
    <row r="1039" ht="15.75" customHeight="1">
      <c r="A1039" s="9" t="s">
        <v>4337</v>
      </c>
      <c r="B1039" s="17">
        <v>2003.0</v>
      </c>
      <c r="C1039" s="9" t="s">
        <v>4716</v>
      </c>
      <c r="D1039" s="9">
        <v>11.0</v>
      </c>
      <c r="E1039" s="18">
        <f t="shared" si="1"/>
        <v>37844</v>
      </c>
      <c r="F1039" s="9">
        <v>1.0</v>
      </c>
      <c r="G1039" s="19">
        <v>1832.09</v>
      </c>
      <c r="H1039" s="9" t="s">
        <v>4717</v>
      </c>
      <c r="I1039" s="9" t="s">
        <v>4717</v>
      </c>
      <c r="J1039" s="9" t="s">
        <v>4719</v>
      </c>
      <c r="K1039" s="20">
        <f t="shared" si="2"/>
        <v>2003</v>
      </c>
      <c r="L1039" s="9" t="str">
        <f t="shared" si="3"/>
        <v>tier - 3</v>
      </c>
      <c r="M1039" s="9" t="str">
        <f t="shared" si="4"/>
        <v>tier - 3</v>
      </c>
      <c r="N1039" s="9" t="str">
        <f t="shared" si="5"/>
        <v>R1011</v>
      </c>
      <c r="O1039" s="17">
        <f t="shared" si="6"/>
        <v>19</v>
      </c>
      <c r="P1039" s="18">
        <v>37844.0</v>
      </c>
    </row>
    <row r="1040" ht="15.75" customHeight="1">
      <c r="A1040" s="9" t="s">
        <v>4335</v>
      </c>
      <c r="B1040" s="17">
        <v>2003.0</v>
      </c>
      <c r="C1040" s="9" t="s">
        <v>4716</v>
      </c>
      <c r="D1040" s="9">
        <v>4.0</v>
      </c>
      <c r="E1040" s="18">
        <f t="shared" si="1"/>
        <v>37837</v>
      </c>
      <c r="F1040" s="9">
        <v>1.0</v>
      </c>
      <c r="G1040" s="19">
        <v>1837.24</v>
      </c>
      <c r="H1040" s="9" t="s">
        <v>4717</v>
      </c>
      <c r="I1040" s="9" t="s">
        <v>4723</v>
      </c>
      <c r="J1040" s="9" t="s">
        <v>4719</v>
      </c>
      <c r="K1040" s="20">
        <f t="shared" si="2"/>
        <v>2003</v>
      </c>
      <c r="L1040" s="9" t="str">
        <f t="shared" si="3"/>
        <v>tier - 3</v>
      </c>
      <c r="M1040" s="9" t="str">
        <f t="shared" si="4"/>
        <v>tier - 2</v>
      </c>
      <c r="N1040" s="9" t="str">
        <f t="shared" si="5"/>
        <v>R1011</v>
      </c>
      <c r="O1040" s="17">
        <f t="shared" si="6"/>
        <v>19</v>
      </c>
      <c r="P1040" s="18">
        <v>37837.0</v>
      </c>
    </row>
    <row r="1041" ht="15.75" customHeight="1">
      <c r="A1041" s="9" t="s">
        <v>4333</v>
      </c>
      <c r="B1041" s="17">
        <v>1999.0</v>
      </c>
      <c r="C1041" s="9" t="s">
        <v>4725</v>
      </c>
      <c r="D1041" s="9">
        <v>12.0</v>
      </c>
      <c r="E1041" s="18">
        <f t="shared" si="1"/>
        <v>36506</v>
      </c>
      <c r="F1041" s="9">
        <v>0.0</v>
      </c>
      <c r="G1041" s="19">
        <v>1837.28</v>
      </c>
      <c r="H1041" s="9" t="s">
        <v>4717</v>
      </c>
      <c r="I1041" s="9" t="s">
        <v>4723</v>
      </c>
      <c r="J1041" s="9" t="s">
        <v>4743</v>
      </c>
      <c r="K1041" s="20">
        <f t="shared" si="2"/>
        <v>1999</v>
      </c>
      <c r="L1041" s="9" t="str">
        <f t="shared" si="3"/>
        <v>tier - 3</v>
      </c>
      <c r="M1041" s="9" t="str">
        <f t="shared" si="4"/>
        <v>tier - 2</v>
      </c>
      <c r="N1041" s="9" t="str">
        <f t="shared" si="5"/>
        <v>R1013</v>
      </c>
      <c r="O1041" s="17">
        <f t="shared" si="6"/>
        <v>23</v>
      </c>
      <c r="P1041" s="18">
        <v>36506.0</v>
      </c>
    </row>
    <row r="1042" ht="15.75" customHeight="1">
      <c r="A1042" s="9" t="s">
        <v>4331</v>
      </c>
      <c r="B1042" s="17">
        <v>2003.0</v>
      </c>
      <c r="C1042" s="9" t="s">
        <v>4741</v>
      </c>
      <c r="D1042" s="9">
        <v>20.0</v>
      </c>
      <c r="E1042" s="18">
        <f t="shared" si="1"/>
        <v>37822</v>
      </c>
      <c r="F1042" s="9">
        <v>1.0</v>
      </c>
      <c r="G1042" s="19">
        <v>1842.52</v>
      </c>
      <c r="H1042" s="9" t="s">
        <v>4717</v>
      </c>
      <c r="I1042" s="9" t="s">
        <v>4723</v>
      </c>
      <c r="J1042" s="9" t="s">
        <v>4719</v>
      </c>
      <c r="K1042" s="20">
        <f t="shared" si="2"/>
        <v>2003</v>
      </c>
      <c r="L1042" s="9" t="str">
        <f t="shared" si="3"/>
        <v>tier - 3</v>
      </c>
      <c r="M1042" s="9" t="str">
        <f t="shared" si="4"/>
        <v>tier - 2</v>
      </c>
      <c r="N1042" s="9" t="str">
        <f t="shared" si="5"/>
        <v>R1011</v>
      </c>
      <c r="O1042" s="17">
        <f t="shared" si="6"/>
        <v>19</v>
      </c>
      <c r="P1042" s="18">
        <v>37822.0</v>
      </c>
    </row>
    <row r="1043" ht="15.75" customHeight="1">
      <c r="A1043" s="9" t="s">
        <v>4329</v>
      </c>
      <c r="B1043" s="17">
        <v>1994.0</v>
      </c>
      <c r="C1043" s="9" t="s">
        <v>4725</v>
      </c>
      <c r="D1043" s="9">
        <v>6.0</v>
      </c>
      <c r="E1043" s="18">
        <f t="shared" si="1"/>
        <v>34674</v>
      </c>
      <c r="F1043" s="9">
        <v>0.0</v>
      </c>
      <c r="G1043" s="19">
        <v>1850.55</v>
      </c>
      <c r="H1043" s="9" t="s">
        <v>4717</v>
      </c>
      <c r="I1043" s="9" t="s">
        <v>4723</v>
      </c>
      <c r="J1043" s="9" t="s">
        <v>4733</v>
      </c>
      <c r="K1043" s="20">
        <f t="shared" si="2"/>
        <v>1994</v>
      </c>
      <c r="L1043" s="9" t="str">
        <f t="shared" si="3"/>
        <v>tier - 3</v>
      </c>
      <c r="M1043" s="9" t="str">
        <f t="shared" si="4"/>
        <v>tier - 2</v>
      </c>
      <c r="N1043" s="9" t="str">
        <f t="shared" si="5"/>
        <v>R1012</v>
      </c>
      <c r="O1043" s="17">
        <f t="shared" si="6"/>
        <v>28</v>
      </c>
      <c r="P1043" s="18">
        <v>34674.0</v>
      </c>
    </row>
    <row r="1044" ht="15.75" customHeight="1">
      <c r="A1044" s="9" t="s">
        <v>4327</v>
      </c>
      <c r="B1044" s="17">
        <v>2004.0</v>
      </c>
      <c r="C1044" s="9" t="s">
        <v>4725</v>
      </c>
      <c r="D1044" s="9">
        <v>27.0</v>
      </c>
      <c r="E1044" s="18">
        <f t="shared" si="1"/>
        <v>38348</v>
      </c>
      <c r="F1044" s="9">
        <v>0.0</v>
      </c>
      <c r="G1044" s="19">
        <v>1863.45</v>
      </c>
      <c r="H1044" s="9" t="s">
        <v>4717</v>
      </c>
      <c r="I1044" s="9" t="s">
        <v>4718</v>
      </c>
      <c r="J1044" s="9" t="s">
        <v>4726</v>
      </c>
      <c r="K1044" s="20">
        <f t="shared" si="2"/>
        <v>2004</v>
      </c>
      <c r="L1044" s="9" t="str">
        <f t="shared" si="3"/>
        <v>tier - 3</v>
      </c>
      <c r="M1044" s="9" t="str">
        <f t="shared" si="4"/>
        <v>tier - 1</v>
      </c>
      <c r="N1044" s="9" t="str">
        <f t="shared" si="5"/>
        <v>R1025</v>
      </c>
      <c r="O1044" s="17">
        <f t="shared" si="6"/>
        <v>18</v>
      </c>
      <c r="P1044" s="18">
        <v>38348.0</v>
      </c>
    </row>
    <row r="1045" ht="15.75" customHeight="1">
      <c r="A1045" s="9" t="s">
        <v>4325</v>
      </c>
      <c r="B1045" s="17">
        <v>1996.0</v>
      </c>
      <c r="C1045" s="9" t="s">
        <v>4741</v>
      </c>
      <c r="D1045" s="9">
        <v>2.0</v>
      </c>
      <c r="E1045" s="18">
        <f t="shared" si="1"/>
        <v>35248</v>
      </c>
      <c r="F1045" s="9">
        <v>0.0</v>
      </c>
      <c r="G1045" s="19">
        <v>1865.98</v>
      </c>
      <c r="H1045" s="9" t="s">
        <v>4717</v>
      </c>
      <c r="I1045" s="9" t="s">
        <v>4717</v>
      </c>
      <c r="J1045" s="9" t="s">
        <v>4733</v>
      </c>
      <c r="K1045" s="20">
        <f t="shared" si="2"/>
        <v>1996</v>
      </c>
      <c r="L1045" s="9" t="str">
        <f t="shared" si="3"/>
        <v>tier - 3</v>
      </c>
      <c r="M1045" s="9" t="str">
        <f t="shared" si="4"/>
        <v>tier - 3</v>
      </c>
      <c r="N1045" s="9" t="str">
        <f t="shared" si="5"/>
        <v>R1012</v>
      </c>
      <c r="O1045" s="17">
        <f t="shared" si="6"/>
        <v>26</v>
      </c>
      <c r="P1045" s="18">
        <v>35248.0</v>
      </c>
    </row>
    <row r="1046" ht="15.75" customHeight="1">
      <c r="A1046" s="9" t="s">
        <v>4323</v>
      </c>
      <c r="B1046" s="17">
        <v>2002.0</v>
      </c>
      <c r="C1046" s="9" t="s">
        <v>4738</v>
      </c>
      <c r="D1046" s="9">
        <v>22.0</v>
      </c>
      <c r="E1046" s="18">
        <f t="shared" si="1"/>
        <v>37521</v>
      </c>
      <c r="F1046" s="9">
        <v>0.0</v>
      </c>
      <c r="G1046" s="19">
        <v>1875.34</v>
      </c>
      <c r="H1046" s="9" t="s">
        <v>4717</v>
      </c>
      <c r="I1046" s="9" t="s">
        <v>4723</v>
      </c>
      <c r="J1046" s="9" t="s">
        <v>4719</v>
      </c>
      <c r="K1046" s="20">
        <f t="shared" si="2"/>
        <v>2002</v>
      </c>
      <c r="L1046" s="9" t="str">
        <f t="shared" si="3"/>
        <v>tier - 3</v>
      </c>
      <c r="M1046" s="9" t="str">
        <f t="shared" si="4"/>
        <v>tier - 2</v>
      </c>
      <c r="N1046" s="9" t="str">
        <f t="shared" si="5"/>
        <v>R1011</v>
      </c>
      <c r="O1046" s="17">
        <f t="shared" si="6"/>
        <v>20</v>
      </c>
      <c r="P1046" s="18">
        <v>37521.0</v>
      </c>
    </row>
    <row r="1047" ht="15.75" customHeight="1">
      <c r="A1047" s="9" t="s">
        <v>4321</v>
      </c>
      <c r="B1047" s="17">
        <v>2002.0</v>
      </c>
      <c r="C1047" s="9" t="s">
        <v>4720</v>
      </c>
      <c r="D1047" s="9">
        <v>29.0</v>
      </c>
      <c r="E1047" s="18">
        <f t="shared" si="1"/>
        <v>37558</v>
      </c>
      <c r="F1047" s="9">
        <v>0.0</v>
      </c>
      <c r="G1047" s="19">
        <v>1877.93</v>
      </c>
      <c r="H1047" s="9" t="s">
        <v>4717</v>
      </c>
      <c r="I1047" s="9" t="s">
        <v>4718</v>
      </c>
      <c r="J1047" s="9" t="s">
        <v>4743</v>
      </c>
      <c r="K1047" s="20">
        <f t="shared" si="2"/>
        <v>2002</v>
      </c>
      <c r="L1047" s="9" t="str">
        <f t="shared" si="3"/>
        <v>tier - 3</v>
      </c>
      <c r="M1047" s="9" t="str">
        <f t="shared" si="4"/>
        <v>tier - 1</v>
      </c>
      <c r="N1047" s="9" t="str">
        <f t="shared" si="5"/>
        <v>R1013</v>
      </c>
      <c r="O1047" s="17">
        <f t="shared" si="6"/>
        <v>20</v>
      </c>
      <c r="P1047" s="18">
        <v>37558.0</v>
      </c>
    </row>
    <row r="1048" ht="15.75" customHeight="1">
      <c r="A1048" s="9" t="s">
        <v>433</v>
      </c>
      <c r="B1048" s="17">
        <v>1973.0</v>
      </c>
      <c r="C1048" s="9" t="s">
        <v>4725</v>
      </c>
      <c r="D1048" s="9">
        <v>16.0</v>
      </c>
      <c r="E1048" s="18">
        <f t="shared" si="1"/>
        <v>27014</v>
      </c>
      <c r="F1048" s="9">
        <v>0.0</v>
      </c>
      <c r="G1048" s="19">
        <v>35517.19</v>
      </c>
      <c r="H1048" s="9" t="s">
        <v>4723</v>
      </c>
      <c r="I1048" s="9" t="s">
        <v>4723</v>
      </c>
      <c r="J1048" s="9" t="s">
        <v>4719</v>
      </c>
      <c r="K1048" s="20">
        <f t="shared" si="2"/>
        <v>1973</v>
      </c>
      <c r="L1048" s="9" t="str">
        <f t="shared" si="3"/>
        <v>tier - 2</v>
      </c>
      <c r="M1048" s="9" t="str">
        <f t="shared" si="4"/>
        <v>tier - 2</v>
      </c>
      <c r="N1048" s="9" t="str">
        <f t="shared" si="5"/>
        <v>R1011</v>
      </c>
      <c r="O1048" s="17">
        <f t="shared" si="6"/>
        <v>49</v>
      </c>
      <c r="P1048" s="18">
        <v>27014.0</v>
      </c>
    </row>
    <row r="1049" ht="15.75" customHeight="1">
      <c r="A1049" s="9" t="s">
        <v>4319</v>
      </c>
      <c r="B1049" s="17">
        <v>2002.0</v>
      </c>
      <c r="C1049" s="9" t="s">
        <v>4716</v>
      </c>
      <c r="D1049" s="9">
        <v>29.0</v>
      </c>
      <c r="E1049" s="18">
        <f t="shared" si="1"/>
        <v>37497</v>
      </c>
      <c r="F1049" s="9">
        <v>0.0</v>
      </c>
      <c r="G1049" s="19">
        <v>1880.07</v>
      </c>
      <c r="H1049" s="9" t="s">
        <v>4717</v>
      </c>
      <c r="I1049" s="9" t="s">
        <v>4723</v>
      </c>
      <c r="J1049" s="9" t="s">
        <v>4743</v>
      </c>
      <c r="K1049" s="20">
        <f t="shared" si="2"/>
        <v>2002</v>
      </c>
      <c r="L1049" s="9" t="str">
        <f t="shared" si="3"/>
        <v>tier - 3</v>
      </c>
      <c r="M1049" s="9" t="str">
        <f t="shared" si="4"/>
        <v>tier - 2</v>
      </c>
      <c r="N1049" s="9" t="str">
        <f t="shared" si="5"/>
        <v>R1013</v>
      </c>
      <c r="O1049" s="17">
        <f t="shared" si="6"/>
        <v>20</v>
      </c>
      <c r="P1049" s="18">
        <v>37497.0</v>
      </c>
    </row>
    <row r="1050" ht="15.75" customHeight="1">
      <c r="A1050" s="9" t="s">
        <v>4317</v>
      </c>
      <c r="B1050" s="17">
        <v>2002.0</v>
      </c>
      <c r="C1050" s="9" t="s">
        <v>4716</v>
      </c>
      <c r="D1050" s="9">
        <v>21.0</v>
      </c>
      <c r="E1050" s="18">
        <f t="shared" si="1"/>
        <v>37489</v>
      </c>
      <c r="F1050" s="9">
        <v>0.0</v>
      </c>
      <c r="G1050" s="19">
        <v>1880.49</v>
      </c>
      <c r="H1050" s="9" t="s">
        <v>4717</v>
      </c>
      <c r="I1050" s="9" t="s">
        <v>4718</v>
      </c>
      <c r="J1050" s="9" t="s">
        <v>4719</v>
      </c>
      <c r="K1050" s="20">
        <f t="shared" si="2"/>
        <v>2002</v>
      </c>
      <c r="L1050" s="9" t="str">
        <f t="shared" si="3"/>
        <v>tier - 3</v>
      </c>
      <c r="M1050" s="9" t="str">
        <f t="shared" si="4"/>
        <v>tier - 1</v>
      </c>
      <c r="N1050" s="9" t="str">
        <f t="shared" si="5"/>
        <v>R1011</v>
      </c>
      <c r="O1050" s="17">
        <f t="shared" si="6"/>
        <v>20</v>
      </c>
      <c r="P1050" s="18">
        <v>37489.0</v>
      </c>
    </row>
    <row r="1051" ht="15.75" customHeight="1">
      <c r="A1051" s="9" t="s">
        <v>4315</v>
      </c>
      <c r="B1051" s="17">
        <v>2001.0</v>
      </c>
      <c r="C1051" s="9" t="s">
        <v>4716</v>
      </c>
      <c r="D1051" s="9">
        <v>10.0</v>
      </c>
      <c r="E1051" s="18">
        <f t="shared" si="1"/>
        <v>37113</v>
      </c>
      <c r="F1051" s="9">
        <v>0.0</v>
      </c>
      <c r="G1051" s="19">
        <v>1906.36</v>
      </c>
      <c r="H1051" s="9" t="s">
        <v>4717</v>
      </c>
      <c r="I1051" s="9" t="s">
        <v>4718</v>
      </c>
      <c r="J1051" s="9" t="s">
        <v>4733</v>
      </c>
      <c r="K1051" s="20">
        <f t="shared" si="2"/>
        <v>2001</v>
      </c>
      <c r="L1051" s="9" t="str">
        <f t="shared" si="3"/>
        <v>tier - 3</v>
      </c>
      <c r="M1051" s="9" t="str">
        <f t="shared" si="4"/>
        <v>tier - 1</v>
      </c>
      <c r="N1051" s="9" t="str">
        <f t="shared" si="5"/>
        <v>R1012</v>
      </c>
      <c r="O1051" s="17">
        <f t="shared" si="6"/>
        <v>21</v>
      </c>
      <c r="P1051" s="18">
        <v>37113.0</v>
      </c>
    </row>
    <row r="1052" ht="15.75" customHeight="1">
      <c r="A1052" s="9" t="s">
        <v>4313</v>
      </c>
      <c r="B1052" s="17">
        <v>1994.0</v>
      </c>
      <c r="C1052" s="9" t="s">
        <v>4720</v>
      </c>
      <c r="D1052" s="9">
        <v>6.0</v>
      </c>
      <c r="E1052" s="18">
        <f t="shared" si="1"/>
        <v>34613</v>
      </c>
      <c r="F1052" s="9">
        <v>0.0</v>
      </c>
      <c r="G1052" s="19">
        <v>1908.9</v>
      </c>
      <c r="H1052" s="9" t="s">
        <v>4717</v>
      </c>
      <c r="I1052" s="9" t="s">
        <v>4717</v>
      </c>
      <c r="J1052" s="9" t="s">
        <v>4743</v>
      </c>
      <c r="K1052" s="20">
        <f t="shared" si="2"/>
        <v>1994</v>
      </c>
      <c r="L1052" s="9" t="str">
        <f t="shared" si="3"/>
        <v>tier - 3</v>
      </c>
      <c r="M1052" s="9" t="str">
        <f t="shared" si="4"/>
        <v>tier - 3</v>
      </c>
      <c r="N1052" s="9" t="str">
        <f t="shared" si="5"/>
        <v>R1013</v>
      </c>
      <c r="O1052" s="17">
        <f t="shared" si="6"/>
        <v>28</v>
      </c>
      <c r="P1052" s="18">
        <v>34613.0</v>
      </c>
    </row>
    <row r="1053" ht="15.75" customHeight="1">
      <c r="A1053" s="9" t="s">
        <v>4311</v>
      </c>
      <c r="B1053" s="17">
        <v>2001.0</v>
      </c>
      <c r="C1053" s="9" t="s">
        <v>4716</v>
      </c>
      <c r="D1053" s="9">
        <v>3.0</v>
      </c>
      <c r="E1053" s="18">
        <f t="shared" si="1"/>
        <v>37106</v>
      </c>
      <c r="F1053" s="9">
        <v>0.0</v>
      </c>
      <c r="G1053" s="19">
        <v>1909.53</v>
      </c>
      <c r="H1053" s="9" t="s">
        <v>4717</v>
      </c>
      <c r="I1053" s="9" t="s">
        <v>4717</v>
      </c>
      <c r="J1053" s="9" t="s">
        <v>4733</v>
      </c>
      <c r="K1053" s="20">
        <f t="shared" si="2"/>
        <v>2001</v>
      </c>
      <c r="L1053" s="9" t="str">
        <f t="shared" si="3"/>
        <v>tier - 3</v>
      </c>
      <c r="M1053" s="9" t="str">
        <f t="shared" si="4"/>
        <v>tier - 3</v>
      </c>
      <c r="N1053" s="9" t="str">
        <f t="shared" si="5"/>
        <v>R1012</v>
      </c>
      <c r="O1053" s="17">
        <f t="shared" si="6"/>
        <v>21</v>
      </c>
      <c r="P1053" s="18">
        <v>37106.0</v>
      </c>
    </row>
    <row r="1054" ht="15.75" customHeight="1">
      <c r="A1054" s="9" t="s">
        <v>4309</v>
      </c>
      <c r="B1054" s="17">
        <v>2001.0</v>
      </c>
      <c r="C1054" s="9" t="s">
        <v>4725</v>
      </c>
      <c r="D1054" s="9">
        <v>9.0</v>
      </c>
      <c r="E1054" s="18">
        <f t="shared" si="1"/>
        <v>37234</v>
      </c>
      <c r="F1054" s="9">
        <v>0.0</v>
      </c>
      <c r="G1054" s="19">
        <v>1917.32</v>
      </c>
      <c r="H1054" s="9" t="s">
        <v>4717</v>
      </c>
      <c r="I1054" s="9" t="s">
        <v>4723</v>
      </c>
      <c r="J1054" s="9" t="s">
        <v>4733</v>
      </c>
      <c r="K1054" s="20">
        <f t="shared" si="2"/>
        <v>2001</v>
      </c>
      <c r="L1054" s="9" t="str">
        <f t="shared" si="3"/>
        <v>tier - 3</v>
      </c>
      <c r="M1054" s="9" t="str">
        <f t="shared" si="4"/>
        <v>tier - 2</v>
      </c>
      <c r="N1054" s="9" t="str">
        <f t="shared" si="5"/>
        <v>R1012</v>
      </c>
      <c r="O1054" s="17">
        <f t="shared" si="6"/>
        <v>21</v>
      </c>
      <c r="P1054" s="18">
        <v>37234.0</v>
      </c>
    </row>
    <row r="1055" ht="15.75" customHeight="1">
      <c r="A1055" s="9" t="s">
        <v>4307</v>
      </c>
      <c r="B1055" s="17">
        <v>2002.0</v>
      </c>
      <c r="C1055" s="9" t="s">
        <v>4738</v>
      </c>
      <c r="D1055" s="9">
        <v>7.0</v>
      </c>
      <c r="E1055" s="18">
        <f t="shared" si="1"/>
        <v>37506</v>
      </c>
      <c r="F1055" s="9">
        <v>1.0</v>
      </c>
      <c r="G1055" s="19">
        <v>1964.78</v>
      </c>
      <c r="H1055" s="9" t="s">
        <v>4717</v>
      </c>
      <c r="I1055" s="9" t="s">
        <v>4718</v>
      </c>
      <c r="J1055" s="9" t="s">
        <v>4719</v>
      </c>
      <c r="K1055" s="20">
        <f t="shared" si="2"/>
        <v>2002</v>
      </c>
      <c r="L1055" s="9" t="str">
        <f t="shared" si="3"/>
        <v>tier - 3</v>
      </c>
      <c r="M1055" s="9" t="str">
        <f t="shared" si="4"/>
        <v>tier - 1</v>
      </c>
      <c r="N1055" s="9" t="str">
        <f t="shared" si="5"/>
        <v>R1011</v>
      </c>
      <c r="O1055" s="17">
        <f t="shared" si="6"/>
        <v>20</v>
      </c>
      <c r="P1055" s="18">
        <v>37506.0</v>
      </c>
    </row>
    <row r="1056" ht="15.75" customHeight="1">
      <c r="A1056" s="9" t="s">
        <v>4305</v>
      </c>
      <c r="B1056" s="17">
        <v>2002.0</v>
      </c>
      <c r="C1056" s="9" t="s">
        <v>4741</v>
      </c>
      <c r="D1056" s="9">
        <v>29.0</v>
      </c>
      <c r="E1056" s="18">
        <f t="shared" si="1"/>
        <v>37466</v>
      </c>
      <c r="F1056" s="9">
        <v>0.0</v>
      </c>
      <c r="G1056" s="19">
        <v>1967.02</v>
      </c>
      <c r="H1056" s="9" t="s">
        <v>4717</v>
      </c>
      <c r="I1056" s="9" t="s">
        <v>4723</v>
      </c>
      <c r="J1056" s="9" t="s">
        <v>4754</v>
      </c>
      <c r="K1056" s="20">
        <f t="shared" si="2"/>
        <v>2002</v>
      </c>
      <c r="L1056" s="9" t="str">
        <f t="shared" si="3"/>
        <v>tier - 3</v>
      </c>
      <c r="M1056" s="9" t="str">
        <f t="shared" si="4"/>
        <v>tier - 2</v>
      </c>
      <c r="N1056" s="9" t="str">
        <f t="shared" si="5"/>
        <v>R1016</v>
      </c>
      <c r="O1056" s="17">
        <f t="shared" si="6"/>
        <v>20</v>
      </c>
      <c r="P1056" s="18">
        <v>37466.0</v>
      </c>
    </row>
    <row r="1057" ht="15.75" customHeight="1">
      <c r="A1057" s="9" t="s">
        <v>4303</v>
      </c>
      <c r="B1057" s="17">
        <v>1998.0</v>
      </c>
      <c r="C1057" s="9" t="s">
        <v>4738</v>
      </c>
      <c r="D1057" s="9">
        <v>28.0</v>
      </c>
      <c r="E1057" s="18">
        <f t="shared" si="1"/>
        <v>36066</v>
      </c>
      <c r="F1057" s="9">
        <v>0.0</v>
      </c>
      <c r="G1057" s="19">
        <v>1969.61</v>
      </c>
      <c r="H1057" s="9" t="s">
        <v>4717</v>
      </c>
      <c r="I1057" s="9" t="s">
        <v>4717</v>
      </c>
      <c r="J1057" s="9" t="s">
        <v>4719</v>
      </c>
      <c r="K1057" s="20">
        <f t="shared" si="2"/>
        <v>1998</v>
      </c>
      <c r="L1057" s="9" t="str">
        <f t="shared" si="3"/>
        <v>tier - 3</v>
      </c>
      <c r="M1057" s="9" t="str">
        <f t="shared" si="4"/>
        <v>tier - 3</v>
      </c>
      <c r="N1057" s="9" t="str">
        <f t="shared" si="5"/>
        <v>R1011</v>
      </c>
      <c r="O1057" s="17">
        <f t="shared" si="6"/>
        <v>24</v>
      </c>
      <c r="P1057" s="18">
        <v>36066.0</v>
      </c>
    </row>
    <row r="1058" ht="15.75" customHeight="1">
      <c r="A1058" s="9" t="s">
        <v>4301</v>
      </c>
      <c r="B1058" s="17">
        <v>1998.0</v>
      </c>
      <c r="C1058" s="9" t="s">
        <v>4720</v>
      </c>
      <c r="D1058" s="9">
        <v>5.0</v>
      </c>
      <c r="E1058" s="18">
        <f t="shared" si="1"/>
        <v>36073</v>
      </c>
      <c r="F1058" s="9">
        <v>0.0</v>
      </c>
      <c r="G1058" s="19">
        <v>1972.95</v>
      </c>
      <c r="H1058" s="9" t="s">
        <v>4717</v>
      </c>
      <c r="I1058" s="9" t="s">
        <v>4718</v>
      </c>
      <c r="J1058" s="9" t="s">
        <v>4719</v>
      </c>
      <c r="K1058" s="20">
        <f t="shared" si="2"/>
        <v>1998</v>
      </c>
      <c r="L1058" s="9" t="str">
        <f t="shared" si="3"/>
        <v>tier - 3</v>
      </c>
      <c r="M1058" s="9" t="str">
        <f t="shared" si="4"/>
        <v>tier - 1</v>
      </c>
      <c r="N1058" s="9" t="str">
        <f t="shared" si="5"/>
        <v>R1011</v>
      </c>
      <c r="O1058" s="17">
        <f t="shared" si="6"/>
        <v>24</v>
      </c>
      <c r="P1058" s="18">
        <v>36073.0</v>
      </c>
    </row>
    <row r="1059" ht="15.75" customHeight="1">
      <c r="A1059" s="9" t="s">
        <v>431</v>
      </c>
      <c r="B1059" s="17">
        <v>1992.0</v>
      </c>
      <c r="C1059" s="9" t="s">
        <v>4738</v>
      </c>
      <c r="D1059" s="9">
        <v>13.0</v>
      </c>
      <c r="E1059" s="18">
        <f t="shared" si="1"/>
        <v>33860</v>
      </c>
      <c r="F1059" s="9">
        <v>0.0</v>
      </c>
      <c r="G1059" s="19">
        <v>35547.47</v>
      </c>
      <c r="H1059" s="9" t="s">
        <v>4723</v>
      </c>
      <c r="I1059" s="9" t="s">
        <v>4717</v>
      </c>
      <c r="J1059" s="9" t="s">
        <v>4719</v>
      </c>
      <c r="K1059" s="20">
        <f t="shared" si="2"/>
        <v>1992</v>
      </c>
      <c r="L1059" s="9" t="str">
        <f t="shared" si="3"/>
        <v>tier - 2</v>
      </c>
      <c r="M1059" s="9" t="str">
        <f t="shared" si="4"/>
        <v>tier - 3</v>
      </c>
      <c r="N1059" s="9" t="str">
        <f t="shared" si="5"/>
        <v>R1011</v>
      </c>
      <c r="O1059" s="17">
        <f t="shared" si="6"/>
        <v>30</v>
      </c>
      <c r="P1059" s="18">
        <v>33860.0</v>
      </c>
    </row>
    <row r="1060" ht="15.75" customHeight="1">
      <c r="A1060" s="9" t="s">
        <v>4299</v>
      </c>
      <c r="B1060" s="17">
        <v>1998.0</v>
      </c>
      <c r="C1060" s="9" t="s">
        <v>4738</v>
      </c>
      <c r="D1060" s="9">
        <v>29.0</v>
      </c>
      <c r="E1060" s="18">
        <f t="shared" si="1"/>
        <v>36067</v>
      </c>
      <c r="F1060" s="9">
        <v>0.0</v>
      </c>
      <c r="G1060" s="19">
        <v>1977.82</v>
      </c>
      <c r="H1060" s="9" t="s">
        <v>4717</v>
      </c>
      <c r="I1060" s="9" t="s">
        <v>4718</v>
      </c>
      <c r="J1060" s="9" t="s">
        <v>4719</v>
      </c>
      <c r="K1060" s="20">
        <f t="shared" si="2"/>
        <v>1998</v>
      </c>
      <c r="L1060" s="9" t="str">
        <f t="shared" si="3"/>
        <v>tier - 3</v>
      </c>
      <c r="M1060" s="9" t="str">
        <f t="shared" si="4"/>
        <v>tier - 1</v>
      </c>
      <c r="N1060" s="9" t="str">
        <f t="shared" si="5"/>
        <v>R1011</v>
      </c>
      <c r="O1060" s="17">
        <f t="shared" si="6"/>
        <v>24</v>
      </c>
      <c r="P1060" s="18">
        <v>36067.0</v>
      </c>
    </row>
    <row r="1061" ht="15.75" customHeight="1">
      <c r="A1061" s="9" t="s">
        <v>4297</v>
      </c>
      <c r="B1061" s="17">
        <v>2002.0</v>
      </c>
      <c r="C1061" s="9" t="s">
        <v>4741</v>
      </c>
      <c r="D1061" s="9">
        <v>16.0</v>
      </c>
      <c r="E1061" s="18">
        <f t="shared" si="1"/>
        <v>37453</v>
      </c>
      <c r="F1061" s="9">
        <v>1.0</v>
      </c>
      <c r="G1061" s="19">
        <v>1980.07</v>
      </c>
      <c r="H1061" s="9" t="s">
        <v>4717</v>
      </c>
      <c r="I1061" s="9" t="s">
        <v>4717</v>
      </c>
      <c r="J1061" s="9" t="s">
        <v>4719</v>
      </c>
      <c r="K1061" s="20">
        <f t="shared" si="2"/>
        <v>2002</v>
      </c>
      <c r="L1061" s="9" t="str">
        <f t="shared" si="3"/>
        <v>tier - 3</v>
      </c>
      <c r="M1061" s="9" t="str">
        <f t="shared" si="4"/>
        <v>tier - 3</v>
      </c>
      <c r="N1061" s="9" t="str">
        <f t="shared" si="5"/>
        <v>R1011</v>
      </c>
      <c r="O1061" s="17">
        <f t="shared" si="6"/>
        <v>20</v>
      </c>
      <c r="P1061" s="18">
        <v>37453.0</v>
      </c>
    </row>
    <row r="1062" ht="15.75" customHeight="1">
      <c r="A1062" s="9" t="s">
        <v>4295</v>
      </c>
      <c r="B1062" s="17">
        <v>1998.0</v>
      </c>
      <c r="C1062" s="9" t="s">
        <v>4725</v>
      </c>
      <c r="D1062" s="9">
        <v>29.0</v>
      </c>
      <c r="E1062" s="18">
        <f t="shared" si="1"/>
        <v>36158</v>
      </c>
      <c r="F1062" s="9">
        <v>0.0</v>
      </c>
      <c r="G1062" s="19">
        <v>1981.58</v>
      </c>
      <c r="H1062" s="9" t="s">
        <v>4717</v>
      </c>
      <c r="I1062" s="9" t="s">
        <v>4718</v>
      </c>
      <c r="J1062" s="9" t="s">
        <v>4743</v>
      </c>
      <c r="K1062" s="20">
        <f t="shared" si="2"/>
        <v>1998</v>
      </c>
      <c r="L1062" s="9" t="str">
        <f t="shared" si="3"/>
        <v>tier - 3</v>
      </c>
      <c r="M1062" s="9" t="str">
        <f t="shared" si="4"/>
        <v>tier - 1</v>
      </c>
      <c r="N1062" s="9" t="str">
        <f t="shared" si="5"/>
        <v>R1013</v>
      </c>
      <c r="O1062" s="17">
        <f t="shared" si="6"/>
        <v>24</v>
      </c>
      <c r="P1062" s="18">
        <v>36158.0</v>
      </c>
    </row>
    <row r="1063" ht="15.75" customHeight="1">
      <c r="A1063" s="9" t="s">
        <v>4293</v>
      </c>
      <c r="B1063" s="17">
        <v>2002.0</v>
      </c>
      <c r="C1063" s="9" t="s">
        <v>4738</v>
      </c>
      <c r="D1063" s="9">
        <v>29.0</v>
      </c>
      <c r="E1063" s="18">
        <f t="shared" si="1"/>
        <v>37528</v>
      </c>
      <c r="F1063" s="9">
        <v>0.0</v>
      </c>
      <c r="G1063" s="19">
        <v>1984.45</v>
      </c>
      <c r="H1063" s="9" t="s">
        <v>4717</v>
      </c>
      <c r="I1063" s="9" t="s">
        <v>4717</v>
      </c>
      <c r="J1063" s="9" t="s">
        <v>4754</v>
      </c>
      <c r="K1063" s="20">
        <f t="shared" si="2"/>
        <v>2002</v>
      </c>
      <c r="L1063" s="9" t="str">
        <f t="shared" si="3"/>
        <v>tier - 3</v>
      </c>
      <c r="M1063" s="9" t="str">
        <f t="shared" si="4"/>
        <v>tier - 3</v>
      </c>
      <c r="N1063" s="9" t="str">
        <f t="shared" si="5"/>
        <v>R1016</v>
      </c>
      <c r="O1063" s="17">
        <f t="shared" si="6"/>
        <v>20</v>
      </c>
      <c r="P1063" s="18">
        <v>37528.0</v>
      </c>
    </row>
    <row r="1064" ht="15.75" customHeight="1">
      <c r="A1064" s="9" t="s">
        <v>4291</v>
      </c>
      <c r="B1064" s="17">
        <v>1998.0</v>
      </c>
      <c r="C1064" s="9" t="s">
        <v>4738</v>
      </c>
      <c r="D1064" s="9">
        <v>14.0</v>
      </c>
      <c r="E1064" s="18">
        <f t="shared" si="1"/>
        <v>36052</v>
      </c>
      <c r="F1064" s="9">
        <v>0.0</v>
      </c>
      <c r="G1064" s="19">
        <v>1986.93</v>
      </c>
      <c r="H1064" s="9" t="s">
        <v>4717</v>
      </c>
      <c r="I1064" s="9" t="s">
        <v>4723</v>
      </c>
      <c r="J1064" s="9" t="s">
        <v>4743</v>
      </c>
      <c r="K1064" s="20">
        <f t="shared" si="2"/>
        <v>1998</v>
      </c>
      <c r="L1064" s="9" t="str">
        <f t="shared" si="3"/>
        <v>tier - 3</v>
      </c>
      <c r="M1064" s="9" t="str">
        <f t="shared" si="4"/>
        <v>tier - 2</v>
      </c>
      <c r="N1064" s="9" t="str">
        <f t="shared" si="5"/>
        <v>R1013</v>
      </c>
      <c r="O1064" s="17">
        <f t="shared" si="6"/>
        <v>24</v>
      </c>
      <c r="P1064" s="18">
        <v>36052.0</v>
      </c>
    </row>
    <row r="1065" ht="15.75" customHeight="1">
      <c r="A1065" s="9" t="s">
        <v>4289</v>
      </c>
      <c r="B1065" s="17">
        <v>2001.0</v>
      </c>
      <c r="C1065" s="9" t="s">
        <v>4716</v>
      </c>
      <c r="D1065" s="9">
        <v>14.0</v>
      </c>
      <c r="E1065" s="18">
        <f t="shared" si="1"/>
        <v>37117</v>
      </c>
      <c r="F1065" s="9">
        <v>0.0</v>
      </c>
      <c r="G1065" s="19">
        <v>2007.95</v>
      </c>
      <c r="H1065" s="9" t="s">
        <v>4717</v>
      </c>
      <c r="I1065" s="9" t="s">
        <v>4723</v>
      </c>
      <c r="J1065" s="9" t="s">
        <v>4719</v>
      </c>
      <c r="K1065" s="20">
        <f t="shared" si="2"/>
        <v>2001</v>
      </c>
      <c r="L1065" s="9" t="str">
        <f t="shared" si="3"/>
        <v>tier - 3</v>
      </c>
      <c r="M1065" s="9" t="str">
        <f t="shared" si="4"/>
        <v>tier - 2</v>
      </c>
      <c r="N1065" s="9" t="str">
        <f t="shared" si="5"/>
        <v>R1011</v>
      </c>
      <c r="O1065" s="17">
        <f t="shared" si="6"/>
        <v>21</v>
      </c>
      <c r="P1065" s="18">
        <v>37117.0</v>
      </c>
    </row>
    <row r="1066" ht="15.75" customHeight="1">
      <c r="A1066" s="9" t="s">
        <v>4287</v>
      </c>
      <c r="B1066" s="17">
        <v>2001.0</v>
      </c>
      <c r="C1066" s="9" t="s">
        <v>4741</v>
      </c>
      <c r="D1066" s="9">
        <v>1.0</v>
      </c>
      <c r="E1066" s="18">
        <f t="shared" si="1"/>
        <v>37073</v>
      </c>
      <c r="F1066" s="9">
        <v>0.0</v>
      </c>
      <c r="G1066" s="19">
        <v>2020.18</v>
      </c>
      <c r="H1066" s="9" t="s">
        <v>4717</v>
      </c>
      <c r="I1066" s="9" t="s">
        <v>4718</v>
      </c>
      <c r="J1066" s="9" t="s">
        <v>4719</v>
      </c>
      <c r="K1066" s="20">
        <f t="shared" si="2"/>
        <v>2001</v>
      </c>
      <c r="L1066" s="9" t="str">
        <f t="shared" si="3"/>
        <v>tier - 3</v>
      </c>
      <c r="M1066" s="9" t="str">
        <f t="shared" si="4"/>
        <v>tier - 1</v>
      </c>
      <c r="N1066" s="9" t="str">
        <f t="shared" si="5"/>
        <v>R1011</v>
      </c>
      <c r="O1066" s="17">
        <f t="shared" si="6"/>
        <v>21</v>
      </c>
      <c r="P1066" s="18">
        <v>37073.0</v>
      </c>
    </row>
    <row r="1067" ht="15.75" customHeight="1">
      <c r="A1067" s="9" t="s">
        <v>4285</v>
      </c>
      <c r="B1067" s="17">
        <v>2001.0</v>
      </c>
      <c r="C1067" s="9" t="s">
        <v>4738</v>
      </c>
      <c r="D1067" s="9">
        <v>6.0</v>
      </c>
      <c r="E1067" s="18">
        <f t="shared" si="1"/>
        <v>37140</v>
      </c>
      <c r="F1067" s="9">
        <v>0.0</v>
      </c>
      <c r="G1067" s="19">
        <v>2020.55</v>
      </c>
      <c r="H1067" s="9" t="s">
        <v>4717</v>
      </c>
      <c r="I1067" s="9" t="s">
        <v>4723</v>
      </c>
      <c r="J1067" s="9" t="s">
        <v>4743</v>
      </c>
      <c r="K1067" s="20">
        <f t="shared" si="2"/>
        <v>2001</v>
      </c>
      <c r="L1067" s="9" t="str">
        <f t="shared" si="3"/>
        <v>tier - 3</v>
      </c>
      <c r="M1067" s="9" t="str">
        <f t="shared" si="4"/>
        <v>tier - 2</v>
      </c>
      <c r="N1067" s="9" t="str">
        <f t="shared" si="5"/>
        <v>R1013</v>
      </c>
      <c r="O1067" s="17">
        <f t="shared" si="6"/>
        <v>21</v>
      </c>
      <c r="P1067" s="18">
        <v>37140.0</v>
      </c>
    </row>
    <row r="1068" ht="15.75" customHeight="1">
      <c r="A1068" s="9" t="s">
        <v>4283</v>
      </c>
      <c r="B1068" s="17">
        <v>2001.0</v>
      </c>
      <c r="C1068" s="9" t="s">
        <v>4716</v>
      </c>
      <c r="D1068" s="9">
        <v>4.0</v>
      </c>
      <c r="E1068" s="18">
        <f t="shared" si="1"/>
        <v>37107</v>
      </c>
      <c r="F1068" s="9">
        <v>0.0</v>
      </c>
      <c r="G1068" s="19">
        <v>2026.97</v>
      </c>
      <c r="H1068" s="9" t="s">
        <v>4717</v>
      </c>
      <c r="I1068" s="9" t="s">
        <v>4723</v>
      </c>
      <c r="J1068" s="9" t="s">
        <v>4743</v>
      </c>
      <c r="K1068" s="20">
        <f t="shared" si="2"/>
        <v>2001</v>
      </c>
      <c r="L1068" s="9" t="str">
        <f t="shared" si="3"/>
        <v>tier - 3</v>
      </c>
      <c r="M1068" s="9" t="str">
        <f t="shared" si="4"/>
        <v>tier - 2</v>
      </c>
      <c r="N1068" s="9" t="str">
        <f t="shared" si="5"/>
        <v>R1013</v>
      </c>
      <c r="O1068" s="17">
        <f t="shared" si="6"/>
        <v>21</v>
      </c>
      <c r="P1068" s="18">
        <v>37107.0</v>
      </c>
    </row>
    <row r="1069" ht="15.75" customHeight="1">
      <c r="A1069" s="9" t="s">
        <v>4281</v>
      </c>
      <c r="B1069" s="17">
        <v>2000.0</v>
      </c>
      <c r="C1069" s="9" t="s">
        <v>4738</v>
      </c>
      <c r="D1069" s="9">
        <v>2.0</v>
      </c>
      <c r="E1069" s="18">
        <f t="shared" si="1"/>
        <v>36771</v>
      </c>
      <c r="F1069" s="9">
        <v>0.0</v>
      </c>
      <c r="G1069" s="19">
        <v>2045.69</v>
      </c>
      <c r="H1069" s="9" t="s">
        <v>4717</v>
      </c>
      <c r="I1069" s="9" t="s">
        <v>4717</v>
      </c>
      <c r="J1069" s="9" t="s">
        <v>4733</v>
      </c>
      <c r="K1069" s="20">
        <f t="shared" si="2"/>
        <v>2000</v>
      </c>
      <c r="L1069" s="9" t="str">
        <f t="shared" si="3"/>
        <v>tier - 3</v>
      </c>
      <c r="M1069" s="9" t="str">
        <f t="shared" si="4"/>
        <v>tier - 3</v>
      </c>
      <c r="N1069" s="9" t="str">
        <f t="shared" si="5"/>
        <v>R1012</v>
      </c>
      <c r="O1069" s="17">
        <f t="shared" si="6"/>
        <v>22</v>
      </c>
      <c r="P1069" s="18">
        <v>36771.0</v>
      </c>
    </row>
    <row r="1070" ht="15.75" customHeight="1">
      <c r="A1070" s="9" t="s">
        <v>429</v>
      </c>
      <c r="B1070" s="17">
        <v>1973.0</v>
      </c>
      <c r="C1070" s="9" t="s">
        <v>4720</v>
      </c>
      <c r="D1070" s="9">
        <v>27.0</v>
      </c>
      <c r="E1070" s="18">
        <f t="shared" si="1"/>
        <v>26964</v>
      </c>
      <c r="F1070" s="9">
        <v>0.0</v>
      </c>
      <c r="G1070" s="19">
        <v>35547.72</v>
      </c>
      <c r="H1070" s="9" t="s">
        <v>4718</v>
      </c>
      <c r="I1070" s="9" t="s">
        <v>4718</v>
      </c>
      <c r="J1070" s="9" t="s">
        <v>4719</v>
      </c>
      <c r="K1070" s="20">
        <f t="shared" si="2"/>
        <v>1973</v>
      </c>
      <c r="L1070" s="9" t="str">
        <f t="shared" si="3"/>
        <v>tier - 1</v>
      </c>
      <c r="M1070" s="9" t="str">
        <f t="shared" si="4"/>
        <v>tier - 1</v>
      </c>
      <c r="N1070" s="9" t="str">
        <f t="shared" si="5"/>
        <v>R1011</v>
      </c>
      <c r="O1070" s="17">
        <f t="shared" si="6"/>
        <v>49</v>
      </c>
      <c r="P1070" s="18">
        <v>26964.0</v>
      </c>
    </row>
    <row r="1071" ht="15.75" customHeight="1">
      <c r="A1071" s="9" t="s">
        <v>4279</v>
      </c>
      <c r="B1071" s="17">
        <v>2000.0</v>
      </c>
      <c r="C1071" s="9" t="s">
        <v>4741</v>
      </c>
      <c r="D1071" s="9">
        <v>26.0</v>
      </c>
      <c r="E1071" s="18">
        <f t="shared" si="1"/>
        <v>36733</v>
      </c>
      <c r="F1071" s="9">
        <v>0.0</v>
      </c>
      <c r="G1071" s="19">
        <v>2055.32</v>
      </c>
      <c r="H1071" s="9" t="s">
        <v>4717</v>
      </c>
      <c r="I1071" s="9" t="s">
        <v>4717</v>
      </c>
      <c r="J1071" s="9" t="s">
        <v>4733</v>
      </c>
      <c r="K1071" s="20">
        <f t="shared" si="2"/>
        <v>2000</v>
      </c>
      <c r="L1071" s="9" t="str">
        <f t="shared" si="3"/>
        <v>tier - 3</v>
      </c>
      <c r="M1071" s="9" t="str">
        <f t="shared" si="4"/>
        <v>tier - 3</v>
      </c>
      <c r="N1071" s="9" t="str">
        <f t="shared" si="5"/>
        <v>R1012</v>
      </c>
      <c r="O1071" s="17">
        <f t="shared" si="6"/>
        <v>22</v>
      </c>
      <c r="P1071" s="18">
        <v>36733.0</v>
      </c>
    </row>
    <row r="1072" ht="15.75" customHeight="1">
      <c r="A1072" s="9" t="s">
        <v>4277</v>
      </c>
      <c r="B1072" s="17">
        <v>2004.0</v>
      </c>
      <c r="C1072" s="9" t="s">
        <v>4730</v>
      </c>
      <c r="D1072" s="9">
        <v>12.0</v>
      </c>
      <c r="E1072" s="18">
        <f t="shared" si="1"/>
        <v>38150</v>
      </c>
      <c r="F1072" s="9">
        <v>0.0</v>
      </c>
      <c r="G1072" s="19">
        <v>2094.1</v>
      </c>
      <c r="H1072" s="9" t="s">
        <v>4717</v>
      </c>
      <c r="I1072" s="9" t="s">
        <v>4723</v>
      </c>
      <c r="J1072" s="9" t="s">
        <v>4726</v>
      </c>
      <c r="K1072" s="20">
        <f t="shared" si="2"/>
        <v>2004</v>
      </c>
      <c r="L1072" s="9" t="str">
        <f t="shared" si="3"/>
        <v>tier - 3</v>
      </c>
      <c r="M1072" s="9" t="str">
        <f t="shared" si="4"/>
        <v>tier - 2</v>
      </c>
      <c r="N1072" s="9" t="str">
        <f t="shared" si="5"/>
        <v>R1025</v>
      </c>
      <c r="O1072" s="17">
        <f t="shared" si="6"/>
        <v>18</v>
      </c>
      <c r="P1072" s="18">
        <v>38150.0</v>
      </c>
    </row>
    <row r="1073" ht="15.75" customHeight="1">
      <c r="A1073" s="9" t="s">
        <v>4275</v>
      </c>
      <c r="B1073" s="17">
        <v>2001.0</v>
      </c>
      <c r="C1073" s="9" t="s">
        <v>4716</v>
      </c>
      <c r="D1073" s="9">
        <v>14.0</v>
      </c>
      <c r="E1073" s="18">
        <f t="shared" si="1"/>
        <v>37117</v>
      </c>
      <c r="F1073" s="9">
        <v>0.0</v>
      </c>
      <c r="G1073" s="19">
        <v>2102.26</v>
      </c>
      <c r="H1073" s="9" t="s">
        <v>4717</v>
      </c>
      <c r="I1073" s="9" t="s">
        <v>4723</v>
      </c>
      <c r="J1073" s="9" t="s">
        <v>4728</v>
      </c>
      <c r="K1073" s="20">
        <f t="shared" si="2"/>
        <v>2001</v>
      </c>
      <c r="L1073" s="9" t="str">
        <f t="shared" si="3"/>
        <v>tier - 3</v>
      </c>
      <c r="M1073" s="9" t="str">
        <f t="shared" si="4"/>
        <v>tier - 2</v>
      </c>
      <c r="N1073" s="9" t="str">
        <f t="shared" si="5"/>
        <v>R1019</v>
      </c>
      <c r="O1073" s="17">
        <f t="shared" si="6"/>
        <v>21</v>
      </c>
      <c r="P1073" s="18">
        <v>37117.0</v>
      </c>
    </row>
    <row r="1074" ht="15.75" customHeight="1">
      <c r="A1074" s="9" t="s">
        <v>4273</v>
      </c>
      <c r="B1074" s="17">
        <v>2001.0</v>
      </c>
      <c r="C1074" s="9" t="s">
        <v>4730</v>
      </c>
      <c r="D1074" s="9">
        <v>22.0</v>
      </c>
      <c r="E1074" s="18">
        <f t="shared" si="1"/>
        <v>37064</v>
      </c>
      <c r="F1074" s="9">
        <v>1.0</v>
      </c>
      <c r="G1074" s="19">
        <v>2103.08</v>
      </c>
      <c r="H1074" s="9" t="s">
        <v>4717</v>
      </c>
      <c r="I1074" s="9" t="s">
        <v>4723</v>
      </c>
      <c r="J1074" s="9" t="s">
        <v>4719</v>
      </c>
      <c r="K1074" s="20">
        <f t="shared" si="2"/>
        <v>2001</v>
      </c>
      <c r="L1074" s="9" t="str">
        <f t="shared" si="3"/>
        <v>tier - 3</v>
      </c>
      <c r="M1074" s="9" t="str">
        <f t="shared" si="4"/>
        <v>tier - 2</v>
      </c>
      <c r="N1074" s="9" t="str">
        <f t="shared" si="5"/>
        <v>R1011</v>
      </c>
      <c r="O1074" s="17">
        <f t="shared" si="6"/>
        <v>21</v>
      </c>
      <c r="P1074" s="18">
        <v>37064.0</v>
      </c>
    </row>
    <row r="1075" ht="15.75" customHeight="1">
      <c r="A1075" s="9" t="s">
        <v>4271</v>
      </c>
      <c r="B1075" s="17">
        <v>2001.0</v>
      </c>
      <c r="C1075" s="9" t="s">
        <v>4735</v>
      </c>
      <c r="D1075" s="9">
        <v>28.0</v>
      </c>
      <c r="E1075" s="18">
        <f t="shared" si="1"/>
        <v>37223</v>
      </c>
      <c r="F1075" s="9">
        <v>0.0</v>
      </c>
      <c r="G1075" s="19">
        <v>2104.11</v>
      </c>
      <c r="H1075" s="9" t="s">
        <v>4723</v>
      </c>
      <c r="I1075" s="9" t="s">
        <v>4718</v>
      </c>
      <c r="J1075" s="9" t="s">
        <v>4754</v>
      </c>
      <c r="K1075" s="20">
        <f t="shared" si="2"/>
        <v>2001</v>
      </c>
      <c r="L1075" s="9" t="str">
        <f t="shared" si="3"/>
        <v>tier - 2</v>
      </c>
      <c r="M1075" s="9" t="str">
        <f t="shared" si="4"/>
        <v>tier - 1</v>
      </c>
      <c r="N1075" s="9" t="str">
        <f t="shared" si="5"/>
        <v>R1016</v>
      </c>
      <c r="O1075" s="17">
        <f t="shared" si="6"/>
        <v>21</v>
      </c>
      <c r="P1075" s="18">
        <v>37223.0</v>
      </c>
    </row>
    <row r="1076" ht="15.75" customHeight="1">
      <c r="A1076" s="9" t="s">
        <v>4269</v>
      </c>
      <c r="B1076" s="17">
        <v>1989.0</v>
      </c>
      <c r="C1076" s="9" t="s">
        <v>4741</v>
      </c>
      <c r="D1076" s="9">
        <v>21.0</v>
      </c>
      <c r="E1076" s="18">
        <f t="shared" si="1"/>
        <v>32710</v>
      </c>
      <c r="F1076" s="9">
        <v>3.0</v>
      </c>
      <c r="G1076" s="19">
        <v>2106.26</v>
      </c>
      <c r="H1076" s="9" t="s">
        <v>4723</v>
      </c>
      <c r="I1076" s="9" t="s">
        <v>4723</v>
      </c>
      <c r="J1076" s="9" t="s">
        <v>4743</v>
      </c>
      <c r="K1076" s="20">
        <f t="shared" si="2"/>
        <v>1989</v>
      </c>
      <c r="L1076" s="9" t="str">
        <f t="shared" si="3"/>
        <v>tier - 2</v>
      </c>
      <c r="M1076" s="9" t="str">
        <f t="shared" si="4"/>
        <v>tier - 2</v>
      </c>
      <c r="N1076" s="9" t="str">
        <f t="shared" si="5"/>
        <v>R1013</v>
      </c>
      <c r="O1076" s="17">
        <f t="shared" si="6"/>
        <v>33</v>
      </c>
      <c r="P1076" s="18">
        <v>32710.0</v>
      </c>
    </row>
    <row r="1077" ht="15.75" customHeight="1">
      <c r="A1077" s="9" t="s">
        <v>4267</v>
      </c>
      <c r="B1077" s="17">
        <v>2003.0</v>
      </c>
      <c r="C1077" s="9" t="s">
        <v>4738</v>
      </c>
      <c r="D1077" s="9">
        <v>30.0</v>
      </c>
      <c r="E1077" s="18">
        <f t="shared" si="1"/>
        <v>37894</v>
      </c>
      <c r="F1077" s="9">
        <v>0.0</v>
      </c>
      <c r="G1077" s="19">
        <v>2117.34</v>
      </c>
      <c r="H1077" s="9" t="s">
        <v>4723</v>
      </c>
      <c r="I1077" s="9" t="s">
        <v>4717</v>
      </c>
      <c r="J1077" s="9" t="s">
        <v>4733</v>
      </c>
      <c r="K1077" s="20">
        <f t="shared" si="2"/>
        <v>2003</v>
      </c>
      <c r="L1077" s="9" t="str">
        <f t="shared" si="3"/>
        <v>tier - 2</v>
      </c>
      <c r="M1077" s="9" t="str">
        <f t="shared" si="4"/>
        <v>tier - 3</v>
      </c>
      <c r="N1077" s="9" t="str">
        <f t="shared" si="5"/>
        <v>R1012</v>
      </c>
      <c r="O1077" s="17">
        <f t="shared" si="6"/>
        <v>19</v>
      </c>
      <c r="P1077" s="18">
        <v>37894.0</v>
      </c>
    </row>
    <row r="1078" ht="15.75" customHeight="1">
      <c r="A1078" s="9" t="s">
        <v>4265</v>
      </c>
      <c r="B1078" s="17">
        <v>2004.0</v>
      </c>
      <c r="C1078" s="9" t="s">
        <v>4735</v>
      </c>
      <c r="D1078" s="9">
        <v>4.0</v>
      </c>
      <c r="E1078" s="18">
        <f t="shared" si="1"/>
        <v>38295</v>
      </c>
      <c r="F1078" s="9">
        <v>0.0</v>
      </c>
      <c r="G1078" s="19">
        <v>2118.61</v>
      </c>
      <c r="H1078" s="9" t="s">
        <v>4723</v>
      </c>
      <c r="I1078" s="9" t="s">
        <v>4718</v>
      </c>
      <c r="J1078" s="9" t="s">
        <v>4733</v>
      </c>
      <c r="K1078" s="20">
        <f t="shared" si="2"/>
        <v>2004</v>
      </c>
      <c r="L1078" s="9" t="str">
        <f t="shared" si="3"/>
        <v>tier - 2</v>
      </c>
      <c r="M1078" s="9" t="str">
        <f t="shared" si="4"/>
        <v>tier - 1</v>
      </c>
      <c r="N1078" s="9" t="str">
        <f t="shared" si="5"/>
        <v>R1012</v>
      </c>
      <c r="O1078" s="17">
        <f t="shared" si="6"/>
        <v>18</v>
      </c>
      <c r="P1078" s="18">
        <v>38295.0</v>
      </c>
    </row>
    <row r="1079" ht="15.75" customHeight="1">
      <c r="A1079" s="9" t="s">
        <v>4263</v>
      </c>
      <c r="B1079" s="17">
        <v>2003.0</v>
      </c>
      <c r="C1079" s="9" t="s">
        <v>4716</v>
      </c>
      <c r="D1079" s="9">
        <v>30.0</v>
      </c>
      <c r="E1079" s="18">
        <f t="shared" si="1"/>
        <v>37863</v>
      </c>
      <c r="F1079" s="9">
        <v>0.0</v>
      </c>
      <c r="G1079" s="19">
        <v>2128.43</v>
      </c>
      <c r="H1079" s="9" t="s">
        <v>4723</v>
      </c>
      <c r="I1079" s="9" t="s">
        <v>4718</v>
      </c>
      <c r="J1079" s="9" t="s">
        <v>4733</v>
      </c>
      <c r="K1079" s="20">
        <f t="shared" si="2"/>
        <v>2003</v>
      </c>
      <c r="L1079" s="9" t="str">
        <f t="shared" si="3"/>
        <v>tier - 2</v>
      </c>
      <c r="M1079" s="9" t="str">
        <f t="shared" si="4"/>
        <v>tier - 1</v>
      </c>
      <c r="N1079" s="9" t="str">
        <f t="shared" si="5"/>
        <v>R1012</v>
      </c>
      <c r="O1079" s="17">
        <f t="shared" si="6"/>
        <v>19</v>
      </c>
      <c r="P1079" s="18">
        <v>37863.0</v>
      </c>
    </row>
    <row r="1080" ht="15.75" customHeight="1">
      <c r="A1080" s="9" t="s">
        <v>4261</v>
      </c>
      <c r="B1080" s="17">
        <v>2003.0</v>
      </c>
      <c r="C1080" s="9" t="s">
        <v>4725</v>
      </c>
      <c r="D1080" s="9">
        <v>22.0</v>
      </c>
      <c r="E1080" s="18">
        <f t="shared" si="1"/>
        <v>37977</v>
      </c>
      <c r="F1080" s="9">
        <v>0.0</v>
      </c>
      <c r="G1080" s="19">
        <v>2130.68</v>
      </c>
      <c r="H1080" s="9" t="s">
        <v>4723</v>
      </c>
      <c r="I1080" s="9" t="s">
        <v>4717</v>
      </c>
      <c r="J1080" s="9" t="s">
        <v>4733</v>
      </c>
      <c r="K1080" s="20">
        <f t="shared" si="2"/>
        <v>2003</v>
      </c>
      <c r="L1080" s="9" t="str">
        <f t="shared" si="3"/>
        <v>tier - 2</v>
      </c>
      <c r="M1080" s="9" t="str">
        <f t="shared" si="4"/>
        <v>tier - 3</v>
      </c>
      <c r="N1080" s="9" t="str">
        <f t="shared" si="5"/>
        <v>R1012</v>
      </c>
      <c r="O1080" s="17">
        <f t="shared" si="6"/>
        <v>19</v>
      </c>
      <c r="P1080" s="18">
        <v>37977.0</v>
      </c>
    </row>
    <row r="1081" ht="15.75" customHeight="1">
      <c r="A1081" s="9" t="s">
        <v>427</v>
      </c>
      <c r="B1081" s="17">
        <v>1964.0</v>
      </c>
      <c r="C1081" s="9" t="s">
        <v>4716</v>
      </c>
      <c r="D1081" s="9">
        <v>29.0</v>
      </c>
      <c r="E1081" s="18">
        <f t="shared" si="1"/>
        <v>23618</v>
      </c>
      <c r="F1081" s="9">
        <v>0.0</v>
      </c>
      <c r="G1081" s="19">
        <v>35573.26</v>
      </c>
      <c r="H1081" s="9" t="s">
        <v>4723</v>
      </c>
      <c r="I1081" s="9" t="s">
        <v>4718</v>
      </c>
      <c r="J1081" s="9" t="s">
        <v>4719</v>
      </c>
      <c r="K1081" s="20">
        <f t="shared" si="2"/>
        <v>1964</v>
      </c>
      <c r="L1081" s="9" t="str">
        <f t="shared" si="3"/>
        <v>tier - 2</v>
      </c>
      <c r="M1081" s="9" t="str">
        <f t="shared" si="4"/>
        <v>tier - 1</v>
      </c>
      <c r="N1081" s="9" t="str">
        <f t="shared" si="5"/>
        <v>R1011</v>
      </c>
      <c r="O1081" s="17">
        <f t="shared" si="6"/>
        <v>58</v>
      </c>
      <c r="P1081" s="18">
        <v>23618.0</v>
      </c>
    </row>
    <row r="1082" ht="15.75" customHeight="1">
      <c r="A1082" s="9" t="s">
        <v>4259</v>
      </c>
      <c r="B1082" s="17">
        <v>2003.0</v>
      </c>
      <c r="C1082" s="9" t="s">
        <v>4738</v>
      </c>
      <c r="D1082" s="9">
        <v>1.0</v>
      </c>
      <c r="E1082" s="18">
        <f t="shared" si="1"/>
        <v>37865</v>
      </c>
      <c r="F1082" s="9">
        <v>0.0</v>
      </c>
      <c r="G1082" s="19">
        <v>2134.9</v>
      </c>
      <c r="H1082" s="9" t="s">
        <v>4723</v>
      </c>
      <c r="I1082" s="9" t="s">
        <v>4717</v>
      </c>
      <c r="J1082" s="9" t="s">
        <v>4733</v>
      </c>
      <c r="K1082" s="20">
        <f t="shared" si="2"/>
        <v>2003</v>
      </c>
      <c r="L1082" s="9" t="str">
        <f t="shared" si="3"/>
        <v>tier - 2</v>
      </c>
      <c r="M1082" s="9" t="str">
        <f t="shared" si="4"/>
        <v>tier - 3</v>
      </c>
      <c r="N1082" s="9" t="str">
        <f t="shared" si="5"/>
        <v>R1012</v>
      </c>
      <c r="O1082" s="17">
        <f t="shared" si="6"/>
        <v>19</v>
      </c>
      <c r="P1082" s="18">
        <v>37865.0</v>
      </c>
    </row>
    <row r="1083" ht="15.75" customHeight="1">
      <c r="A1083" s="9" t="s">
        <v>4257</v>
      </c>
      <c r="B1083" s="17">
        <v>2003.0</v>
      </c>
      <c r="C1083" s="9" t="s">
        <v>4738</v>
      </c>
      <c r="D1083" s="9">
        <v>26.0</v>
      </c>
      <c r="E1083" s="18">
        <f t="shared" si="1"/>
        <v>37890</v>
      </c>
      <c r="F1083" s="9">
        <v>0.0</v>
      </c>
      <c r="G1083" s="19">
        <v>2136.88</v>
      </c>
      <c r="H1083" s="9" t="s">
        <v>4723</v>
      </c>
      <c r="I1083" s="9" t="s">
        <v>4723</v>
      </c>
      <c r="J1083" s="9" t="s">
        <v>4733</v>
      </c>
      <c r="K1083" s="20">
        <f t="shared" si="2"/>
        <v>2003</v>
      </c>
      <c r="L1083" s="9" t="str">
        <f t="shared" si="3"/>
        <v>tier - 2</v>
      </c>
      <c r="M1083" s="9" t="str">
        <f t="shared" si="4"/>
        <v>tier - 2</v>
      </c>
      <c r="N1083" s="9" t="str">
        <f t="shared" si="5"/>
        <v>R1012</v>
      </c>
      <c r="O1083" s="17">
        <f t="shared" si="6"/>
        <v>19</v>
      </c>
      <c r="P1083" s="18">
        <v>37890.0</v>
      </c>
    </row>
    <row r="1084" ht="15.75" customHeight="1">
      <c r="A1084" s="9" t="s">
        <v>4255</v>
      </c>
      <c r="B1084" s="17">
        <v>1997.0</v>
      </c>
      <c r="C1084" s="9" t="s">
        <v>4738</v>
      </c>
      <c r="D1084" s="9">
        <v>3.0</v>
      </c>
      <c r="E1084" s="18">
        <f t="shared" si="1"/>
        <v>35676</v>
      </c>
      <c r="F1084" s="9">
        <v>0.0</v>
      </c>
      <c r="G1084" s="19">
        <v>2137.65</v>
      </c>
      <c r="H1084" s="9" t="s">
        <v>4717</v>
      </c>
      <c r="I1084" s="9" t="s">
        <v>4718</v>
      </c>
      <c r="J1084" s="9" t="s">
        <v>4743</v>
      </c>
      <c r="K1084" s="20">
        <f t="shared" si="2"/>
        <v>1997</v>
      </c>
      <c r="L1084" s="9" t="str">
        <f t="shared" si="3"/>
        <v>tier - 3</v>
      </c>
      <c r="M1084" s="9" t="str">
        <f t="shared" si="4"/>
        <v>tier - 1</v>
      </c>
      <c r="N1084" s="9" t="str">
        <f t="shared" si="5"/>
        <v>R1013</v>
      </c>
      <c r="O1084" s="17">
        <f t="shared" si="6"/>
        <v>25</v>
      </c>
      <c r="P1084" s="18">
        <v>35676.0</v>
      </c>
    </row>
    <row r="1085" ht="15.75" customHeight="1">
      <c r="A1085" s="9" t="s">
        <v>4253</v>
      </c>
      <c r="B1085" s="17">
        <v>2003.0</v>
      </c>
      <c r="C1085" s="9" t="s">
        <v>4716</v>
      </c>
      <c r="D1085" s="9">
        <v>19.0</v>
      </c>
      <c r="E1085" s="18">
        <f t="shared" si="1"/>
        <v>37852</v>
      </c>
      <c r="F1085" s="9">
        <v>0.0</v>
      </c>
      <c r="G1085" s="19">
        <v>2138.07</v>
      </c>
      <c r="H1085" s="9" t="s">
        <v>4723</v>
      </c>
      <c r="I1085" s="9" t="s">
        <v>4718</v>
      </c>
      <c r="J1085" s="9" t="s">
        <v>4733</v>
      </c>
      <c r="K1085" s="20">
        <f t="shared" si="2"/>
        <v>2003</v>
      </c>
      <c r="L1085" s="9" t="str">
        <f t="shared" si="3"/>
        <v>tier - 2</v>
      </c>
      <c r="M1085" s="9" t="str">
        <f t="shared" si="4"/>
        <v>tier - 1</v>
      </c>
      <c r="N1085" s="9" t="str">
        <f t="shared" si="5"/>
        <v>R1012</v>
      </c>
      <c r="O1085" s="17">
        <f t="shared" si="6"/>
        <v>19</v>
      </c>
      <c r="P1085" s="18">
        <v>37852.0</v>
      </c>
    </row>
    <row r="1086" ht="15.75" customHeight="1">
      <c r="A1086" s="9" t="s">
        <v>4251</v>
      </c>
      <c r="B1086" s="17">
        <v>2004.0</v>
      </c>
      <c r="C1086" s="9" t="s">
        <v>4720</v>
      </c>
      <c r="D1086" s="9">
        <v>4.0</v>
      </c>
      <c r="E1086" s="18">
        <f t="shared" si="1"/>
        <v>38264</v>
      </c>
      <c r="F1086" s="9">
        <v>0.0</v>
      </c>
      <c r="G1086" s="19">
        <v>2144.85</v>
      </c>
      <c r="H1086" s="9" t="s">
        <v>4723</v>
      </c>
      <c r="I1086" s="9" t="s">
        <v>4718</v>
      </c>
      <c r="J1086" s="9" t="s">
        <v>4719</v>
      </c>
      <c r="K1086" s="20">
        <f t="shared" si="2"/>
        <v>2004</v>
      </c>
      <c r="L1086" s="9" t="str">
        <f t="shared" si="3"/>
        <v>tier - 2</v>
      </c>
      <c r="M1086" s="9" t="str">
        <f t="shared" si="4"/>
        <v>tier - 1</v>
      </c>
      <c r="N1086" s="9" t="str">
        <f t="shared" si="5"/>
        <v>R1011</v>
      </c>
      <c r="O1086" s="17">
        <f t="shared" si="6"/>
        <v>18</v>
      </c>
      <c r="P1086" s="18">
        <v>38264.0</v>
      </c>
    </row>
    <row r="1087" ht="15.75" customHeight="1">
      <c r="A1087" s="9" t="s">
        <v>4249</v>
      </c>
      <c r="B1087" s="17">
        <v>2000.0</v>
      </c>
      <c r="C1087" s="9" t="s">
        <v>4725</v>
      </c>
      <c r="D1087" s="9">
        <v>27.0</v>
      </c>
      <c r="E1087" s="18">
        <f t="shared" si="1"/>
        <v>36887</v>
      </c>
      <c r="F1087" s="9">
        <v>0.0</v>
      </c>
      <c r="G1087" s="19">
        <v>2150.47</v>
      </c>
      <c r="H1087" s="9" t="s">
        <v>4723</v>
      </c>
      <c r="I1087" s="9" t="s">
        <v>4717</v>
      </c>
      <c r="J1087" s="9" t="s">
        <v>4719</v>
      </c>
      <c r="K1087" s="20">
        <f t="shared" si="2"/>
        <v>2000</v>
      </c>
      <c r="L1087" s="9" t="str">
        <f t="shared" si="3"/>
        <v>tier - 2</v>
      </c>
      <c r="M1087" s="9" t="str">
        <f t="shared" si="4"/>
        <v>tier - 3</v>
      </c>
      <c r="N1087" s="9" t="str">
        <f t="shared" si="5"/>
        <v>R1011</v>
      </c>
      <c r="O1087" s="17">
        <f t="shared" si="6"/>
        <v>22</v>
      </c>
      <c r="P1087" s="18">
        <v>36887.0</v>
      </c>
    </row>
    <row r="1088" ht="15.75" customHeight="1">
      <c r="A1088" s="9" t="s">
        <v>4247</v>
      </c>
      <c r="B1088" s="17">
        <v>2000.0</v>
      </c>
      <c r="C1088" s="9" t="s">
        <v>4720</v>
      </c>
      <c r="D1088" s="9">
        <v>22.0</v>
      </c>
      <c r="E1088" s="18">
        <f t="shared" si="1"/>
        <v>36821</v>
      </c>
      <c r="F1088" s="9">
        <v>0.0</v>
      </c>
      <c r="G1088" s="19">
        <v>2154.36</v>
      </c>
      <c r="H1088" s="9" t="s">
        <v>4723</v>
      </c>
      <c r="I1088" s="9" t="s">
        <v>4723</v>
      </c>
      <c r="J1088" s="9" t="s">
        <v>4719</v>
      </c>
      <c r="K1088" s="20">
        <f t="shared" si="2"/>
        <v>2000</v>
      </c>
      <c r="L1088" s="9" t="str">
        <f t="shared" si="3"/>
        <v>tier - 2</v>
      </c>
      <c r="M1088" s="9" t="str">
        <f t="shared" si="4"/>
        <v>tier - 2</v>
      </c>
      <c r="N1088" s="9" t="str">
        <f t="shared" si="5"/>
        <v>R1011</v>
      </c>
      <c r="O1088" s="17">
        <f t="shared" si="6"/>
        <v>22</v>
      </c>
      <c r="P1088" s="18">
        <v>36821.0</v>
      </c>
    </row>
    <row r="1089" ht="15.75" customHeight="1">
      <c r="A1089" s="9" t="s">
        <v>4245</v>
      </c>
      <c r="B1089" s="17">
        <v>2000.0</v>
      </c>
      <c r="C1089" s="9" t="s">
        <v>4735</v>
      </c>
      <c r="D1089" s="9">
        <v>29.0</v>
      </c>
      <c r="E1089" s="18">
        <f t="shared" si="1"/>
        <v>36859</v>
      </c>
      <c r="F1089" s="9">
        <v>0.0</v>
      </c>
      <c r="G1089" s="19">
        <v>2155.68</v>
      </c>
      <c r="H1089" s="9" t="s">
        <v>4723</v>
      </c>
      <c r="I1089" s="9" t="s">
        <v>4717</v>
      </c>
      <c r="J1089" s="9" t="s">
        <v>4743</v>
      </c>
      <c r="K1089" s="20">
        <f t="shared" si="2"/>
        <v>2000</v>
      </c>
      <c r="L1089" s="9" t="str">
        <f t="shared" si="3"/>
        <v>tier - 2</v>
      </c>
      <c r="M1089" s="9" t="str">
        <f t="shared" si="4"/>
        <v>tier - 3</v>
      </c>
      <c r="N1089" s="9" t="str">
        <f t="shared" si="5"/>
        <v>R1013</v>
      </c>
      <c r="O1089" s="17">
        <f t="shared" si="6"/>
        <v>22</v>
      </c>
      <c r="P1089" s="18">
        <v>36859.0</v>
      </c>
    </row>
    <row r="1090" ht="15.75" customHeight="1">
      <c r="A1090" s="9" t="s">
        <v>4243</v>
      </c>
      <c r="B1090" s="17">
        <v>2000.0</v>
      </c>
      <c r="C1090" s="9" t="s">
        <v>4725</v>
      </c>
      <c r="D1090" s="9">
        <v>10.0</v>
      </c>
      <c r="E1090" s="18">
        <f t="shared" si="1"/>
        <v>36870</v>
      </c>
      <c r="F1090" s="9">
        <v>0.0</v>
      </c>
      <c r="G1090" s="19">
        <v>2156.75</v>
      </c>
      <c r="H1090" s="9" t="s">
        <v>4723</v>
      </c>
      <c r="I1090" s="9" t="s">
        <v>4723</v>
      </c>
      <c r="J1090" s="9" t="s">
        <v>4743</v>
      </c>
      <c r="K1090" s="20">
        <f t="shared" si="2"/>
        <v>2000</v>
      </c>
      <c r="L1090" s="9" t="str">
        <f t="shared" si="3"/>
        <v>tier - 2</v>
      </c>
      <c r="M1090" s="9" t="str">
        <f t="shared" si="4"/>
        <v>tier - 2</v>
      </c>
      <c r="N1090" s="9" t="str">
        <f t="shared" si="5"/>
        <v>R1013</v>
      </c>
      <c r="O1090" s="17">
        <f t="shared" si="6"/>
        <v>22</v>
      </c>
      <c r="P1090" s="18">
        <v>36870.0</v>
      </c>
    </row>
    <row r="1091" ht="15.75" customHeight="1">
      <c r="A1091" s="9" t="s">
        <v>4241</v>
      </c>
      <c r="B1091" s="17">
        <v>2000.0</v>
      </c>
      <c r="C1091" s="9" t="s">
        <v>4716</v>
      </c>
      <c r="D1091" s="9">
        <v>23.0</v>
      </c>
      <c r="E1091" s="18">
        <f t="shared" si="1"/>
        <v>36761</v>
      </c>
      <c r="F1091" s="9">
        <v>0.0</v>
      </c>
      <c r="G1091" s="19">
        <v>2166.73</v>
      </c>
      <c r="H1091" s="9" t="s">
        <v>4723</v>
      </c>
      <c r="I1091" s="9" t="s">
        <v>4723</v>
      </c>
      <c r="J1091" s="9" t="s">
        <v>4719</v>
      </c>
      <c r="K1091" s="20">
        <f t="shared" si="2"/>
        <v>2000</v>
      </c>
      <c r="L1091" s="9" t="str">
        <f t="shared" si="3"/>
        <v>tier - 2</v>
      </c>
      <c r="M1091" s="9" t="str">
        <f t="shared" si="4"/>
        <v>tier - 2</v>
      </c>
      <c r="N1091" s="9" t="str">
        <f t="shared" si="5"/>
        <v>R1011</v>
      </c>
      <c r="O1091" s="17">
        <f t="shared" si="6"/>
        <v>22</v>
      </c>
      <c r="P1091" s="18">
        <v>36761.0</v>
      </c>
    </row>
    <row r="1092" ht="15.75" customHeight="1">
      <c r="A1092" s="9" t="s">
        <v>425</v>
      </c>
      <c r="B1092" s="17">
        <v>1971.0</v>
      </c>
      <c r="C1092" s="9" t="s">
        <v>4716</v>
      </c>
      <c r="D1092" s="9">
        <v>10.0</v>
      </c>
      <c r="E1092" s="18">
        <f t="shared" si="1"/>
        <v>26155</v>
      </c>
      <c r="F1092" s="9">
        <v>0.0</v>
      </c>
      <c r="G1092" s="19">
        <v>35583.17</v>
      </c>
      <c r="H1092" s="9" t="s">
        <v>4718</v>
      </c>
      <c r="I1092" s="9" t="s">
        <v>4717</v>
      </c>
      <c r="J1092" s="9" t="s">
        <v>4719</v>
      </c>
      <c r="K1092" s="20">
        <f t="shared" si="2"/>
        <v>1971</v>
      </c>
      <c r="L1092" s="9" t="str">
        <f t="shared" si="3"/>
        <v>tier - 1</v>
      </c>
      <c r="M1092" s="9" t="str">
        <f t="shared" si="4"/>
        <v>tier - 3</v>
      </c>
      <c r="N1092" s="9" t="str">
        <f t="shared" si="5"/>
        <v>R1011</v>
      </c>
      <c r="O1092" s="17">
        <f t="shared" si="6"/>
        <v>51</v>
      </c>
      <c r="P1092" s="18">
        <v>26155.0</v>
      </c>
    </row>
    <row r="1093" ht="15.75" customHeight="1">
      <c r="A1093" s="9" t="s">
        <v>4239</v>
      </c>
      <c r="B1093" s="17">
        <v>1994.0</v>
      </c>
      <c r="C1093" s="9" t="s">
        <v>4738</v>
      </c>
      <c r="D1093" s="9">
        <v>27.0</v>
      </c>
      <c r="E1093" s="18">
        <f t="shared" si="1"/>
        <v>34604</v>
      </c>
      <c r="F1093" s="9">
        <v>0.0</v>
      </c>
      <c r="G1093" s="19">
        <v>2170.08</v>
      </c>
      <c r="H1093" s="9" t="s">
        <v>4723</v>
      </c>
      <c r="I1093" s="9" t="s">
        <v>4723</v>
      </c>
      <c r="J1093" s="9" t="s">
        <v>4743</v>
      </c>
      <c r="K1093" s="20">
        <f t="shared" si="2"/>
        <v>1994</v>
      </c>
      <c r="L1093" s="9" t="str">
        <f t="shared" si="3"/>
        <v>tier - 2</v>
      </c>
      <c r="M1093" s="9" t="str">
        <f t="shared" si="4"/>
        <v>tier - 2</v>
      </c>
      <c r="N1093" s="9" t="str">
        <f t="shared" si="5"/>
        <v>R1013</v>
      </c>
      <c r="O1093" s="17">
        <f t="shared" si="6"/>
        <v>28</v>
      </c>
      <c r="P1093" s="18">
        <v>34604.0</v>
      </c>
    </row>
    <row r="1094" ht="15.75" customHeight="1">
      <c r="A1094" s="9" t="s">
        <v>4237</v>
      </c>
      <c r="B1094" s="17">
        <v>1991.0</v>
      </c>
      <c r="C1094" s="9" t="s">
        <v>4725</v>
      </c>
      <c r="D1094" s="9">
        <v>16.0</v>
      </c>
      <c r="E1094" s="18">
        <f t="shared" si="1"/>
        <v>33588</v>
      </c>
      <c r="F1094" s="9">
        <v>3.0</v>
      </c>
      <c r="G1094" s="19">
        <v>2193.2</v>
      </c>
      <c r="H1094" s="9" t="s">
        <v>4723</v>
      </c>
      <c r="I1094" s="9" t="s">
        <v>4723</v>
      </c>
      <c r="J1094" s="9" t="s">
        <v>4733</v>
      </c>
      <c r="K1094" s="20">
        <f t="shared" si="2"/>
        <v>1991</v>
      </c>
      <c r="L1094" s="9" t="str">
        <f t="shared" si="3"/>
        <v>tier - 2</v>
      </c>
      <c r="M1094" s="9" t="str">
        <f t="shared" si="4"/>
        <v>tier - 2</v>
      </c>
      <c r="N1094" s="9" t="str">
        <f t="shared" si="5"/>
        <v>R1012</v>
      </c>
      <c r="O1094" s="17">
        <f t="shared" si="6"/>
        <v>31</v>
      </c>
      <c r="P1094" s="18">
        <v>33588.0</v>
      </c>
    </row>
    <row r="1095" ht="15.75" customHeight="1">
      <c r="A1095" s="9" t="s">
        <v>4235</v>
      </c>
      <c r="B1095" s="17">
        <v>2004.0</v>
      </c>
      <c r="C1095" s="9" t="s">
        <v>4725</v>
      </c>
      <c r="D1095" s="9">
        <v>7.0</v>
      </c>
      <c r="E1095" s="18">
        <f t="shared" si="1"/>
        <v>38328</v>
      </c>
      <c r="F1095" s="9">
        <v>0.0</v>
      </c>
      <c r="G1095" s="19">
        <v>2196.47</v>
      </c>
      <c r="H1095" s="9" t="s">
        <v>4723</v>
      </c>
      <c r="I1095" s="9" t="s">
        <v>4717</v>
      </c>
      <c r="J1095" s="9" t="s">
        <v>4731</v>
      </c>
      <c r="K1095" s="20">
        <f t="shared" si="2"/>
        <v>2004</v>
      </c>
      <c r="L1095" s="9" t="str">
        <f t="shared" si="3"/>
        <v>tier - 2</v>
      </c>
      <c r="M1095" s="9" t="str">
        <f t="shared" si="4"/>
        <v>tier - 3</v>
      </c>
      <c r="N1095" s="9" t="str">
        <f t="shared" si="5"/>
        <v>R1024</v>
      </c>
      <c r="O1095" s="17">
        <f t="shared" si="6"/>
        <v>18</v>
      </c>
      <c r="P1095" s="18">
        <v>38328.0</v>
      </c>
    </row>
    <row r="1096" ht="15.75" customHeight="1">
      <c r="A1096" s="9" t="s">
        <v>4233</v>
      </c>
      <c r="B1096" s="17">
        <v>2004.0</v>
      </c>
      <c r="C1096" s="9" t="s">
        <v>4738</v>
      </c>
      <c r="D1096" s="9">
        <v>3.0</v>
      </c>
      <c r="E1096" s="18">
        <f t="shared" si="1"/>
        <v>38233</v>
      </c>
      <c r="F1096" s="9">
        <v>0.0</v>
      </c>
      <c r="G1096" s="19">
        <v>2198.19</v>
      </c>
      <c r="H1096" s="9" t="s">
        <v>4723</v>
      </c>
      <c r="I1096" s="9" t="s">
        <v>4718</v>
      </c>
      <c r="J1096" s="9" t="s">
        <v>4756</v>
      </c>
      <c r="K1096" s="20">
        <f t="shared" si="2"/>
        <v>2004</v>
      </c>
      <c r="L1096" s="9" t="str">
        <f t="shared" si="3"/>
        <v>tier - 2</v>
      </c>
      <c r="M1096" s="9" t="str">
        <f t="shared" si="4"/>
        <v>tier - 1</v>
      </c>
      <c r="N1096" s="9" t="str">
        <f t="shared" si="5"/>
        <v>R1023</v>
      </c>
      <c r="O1096" s="17">
        <f t="shared" si="6"/>
        <v>18</v>
      </c>
      <c r="P1096" s="18">
        <v>38233.0</v>
      </c>
    </row>
    <row r="1097" ht="15.75" customHeight="1">
      <c r="A1097" s="9" t="s">
        <v>4231</v>
      </c>
      <c r="B1097" s="17">
        <v>2004.0</v>
      </c>
      <c r="C1097" s="9" t="s">
        <v>4738</v>
      </c>
      <c r="D1097" s="9">
        <v>12.0</v>
      </c>
      <c r="E1097" s="18">
        <f t="shared" si="1"/>
        <v>38242</v>
      </c>
      <c r="F1097" s="9">
        <v>0.0</v>
      </c>
      <c r="G1097" s="19">
        <v>2200.83</v>
      </c>
      <c r="H1097" s="9" t="s">
        <v>4723</v>
      </c>
      <c r="I1097" s="9" t="s">
        <v>4723</v>
      </c>
      <c r="J1097" s="9" t="s">
        <v>4731</v>
      </c>
      <c r="K1097" s="20">
        <f t="shared" si="2"/>
        <v>2004</v>
      </c>
      <c r="L1097" s="9" t="str">
        <f t="shared" si="3"/>
        <v>tier - 2</v>
      </c>
      <c r="M1097" s="9" t="str">
        <f t="shared" si="4"/>
        <v>tier - 2</v>
      </c>
      <c r="N1097" s="9" t="str">
        <f t="shared" si="5"/>
        <v>R1024</v>
      </c>
      <c r="O1097" s="17">
        <f t="shared" si="6"/>
        <v>18</v>
      </c>
      <c r="P1097" s="18">
        <v>38242.0</v>
      </c>
    </row>
    <row r="1098" ht="15.75" customHeight="1">
      <c r="A1098" s="9" t="s">
        <v>4229</v>
      </c>
      <c r="B1098" s="17">
        <v>2004.0</v>
      </c>
      <c r="C1098" s="9" t="s">
        <v>4741</v>
      </c>
      <c r="D1098" s="9">
        <v>27.0</v>
      </c>
      <c r="E1098" s="18">
        <f t="shared" si="1"/>
        <v>38195</v>
      </c>
      <c r="F1098" s="9">
        <v>1.0</v>
      </c>
      <c r="G1098" s="19">
        <v>2201.1</v>
      </c>
      <c r="H1098" s="9" t="s">
        <v>4723</v>
      </c>
      <c r="I1098" s="9" t="s">
        <v>4717</v>
      </c>
      <c r="J1098" s="9" t="s">
        <v>4743</v>
      </c>
      <c r="K1098" s="20">
        <f t="shared" si="2"/>
        <v>2004</v>
      </c>
      <c r="L1098" s="9" t="str">
        <f t="shared" si="3"/>
        <v>tier - 2</v>
      </c>
      <c r="M1098" s="9" t="str">
        <f t="shared" si="4"/>
        <v>tier - 3</v>
      </c>
      <c r="N1098" s="9" t="str">
        <f t="shared" si="5"/>
        <v>R1013</v>
      </c>
      <c r="O1098" s="17">
        <f t="shared" si="6"/>
        <v>18</v>
      </c>
      <c r="P1098" s="18">
        <v>38195.0</v>
      </c>
    </row>
    <row r="1099" ht="15.75" customHeight="1">
      <c r="A1099" s="9" t="s">
        <v>4227</v>
      </c>
      <c r="B1099" s="17">
        <v>2004.0</v>
      </c>
      <c r="C1099" s="9" t="s">
        <v>4716</v>
      </c>
      <c r="D1099" s="9">
        <v>6.0</v>
      </c>
      <c r="E1099" s="18">
        <f t="shared" si="1"/>
        <v>38205</v>
      </c>
      <c r="F1099" s="9">
        <v>0.0</v>
      </c>
      <c r="G1099" s="19">
        <v>2203.47</v>
      </c>
      <c r="H1099" s="9" t="s">
        <v>4723</v>
      </c>
      <c r="I1099" s="9" t="s">
        <v>4723</v>
      </c>
      <c r="J1099" s="9" t="s">
        <v>4731</v>
      </c>
      <c r="K1099" s="20">
        <f t="shared" si="2"/>
        <v>2004</v>
      </c>
      <c r="L1099" s="9" t="str">
        <f t="shared" si="3"/>
        <v>tier - 2</v>
      </c>
      <c r="M1099" s="9" t="str">
        <f t="shared" si="4"/>
        <v>tier - 2</v>
      </c>
      <c r="N1099" s="9" t="str">
        <f t="shared" si="5"/>
        <v>R1024</v>
      </c>
      <c r="O1099" s="17">
        <f t="shared" si="6"/>
        <v>18</v>
      </c>
      <c r="P1099" s="18">
        <v>38205.0</v>
      </c>
    </row>
    <row r="1100" ht="15.75" customHeight="1">
      <c r="A1100" s="9" t="s">
        <v>4225</v>
      </c>
      <c r="B1100" s="17">
        <v>2004.0</v>
      </c>
      <c r="C1100" s="9" t="s">
        <v>4720</v>
      </c>
      <c r="D1100" s="9">
        <v>28.0</v>
      </c>
      <c r="E1100" s="18">
        <f t="shared" si="1"/>
        <v>38288</v>
      </c>
      <c r="F1100" s="9">
        <v>0.0</v>
      </c>
      <c r="G1100" s="19">
        <v>2203.74</v>
      </c>
      <c r="H1100" s="9" t="s">
        <v>4723</v>
      </c>
      <c r="I1100" s="9" t="s">
        <v>4723</v>
      </c>
      <c r="J1100" s="9" t="s">
        <v>4731</v>
      </c>
      <c r="K1100" s="20">
        <f t="shared" si="2"/>
        <v>2004</v>
      </c>
      <c r="L1100" s="9" t="str">
        <f t="shared" si="3"/>
        <v>tier - 2</v>
      </c>
      <c r="M1100" s="9" t="str">
        <f t="shared" si="4"/>
        <v>tier - 2</v>
      </c>
      <c r="N1100" s="9" t="str">
        <f t="shared" si="5"/>
        <v>R1024</v>
      </c>
      <c r="O1100" s="17">
        <f t="shared" si="6"/>
        <v>18</v>
      </c>
      <c r="P1100" s="18">
        <v>38288.0</v>
      </c>
    </row>
    <row r="1101" ht="15.75" customHeight="1">
      <c r="A1101" s="9" t="s">
        <v>4223</v>
      </c>
      <c r="B1101" s="17">
        <v>2004.0</v>
      </c>
      <c r="C1101" s="9" t="s">
        <v>4735</v>
      </c>
      <c r="D1101" s="9">
        <v>13.0</v>
      </c>
      <c r="E1101" s="18">
        <f t="shared" si="1"/>
        <v>38304</v>
      </c>
      <c r="F1101" s="9">
        <v>0.0</v>
      </c>
      <c r="G1101" s="19">
        <v>2205.98</v>
      </c>
      <c r="H1101" s="9" t="s">
        <v>4723</v>
      </c>
      <c r="I1101" s="9" t="s">
        <v>4717</v>
      </c>
      <c r="J1101" s="9" t="s">
        <v>4731</v>
      </c>
      <c r="K1101" s="20">
        <f t="shared" si="2"/>
        <v>2004</v>
      </c>
      <c r="L1101" s="9" t="str">
        <f t="shared" si="3"/>
        <v>tier - 2</v>
      </c>
      <c r="M1101" s="9" t="str">
        <f t="shared" si="4"/>
        <v>tier - 3</v>
      </c>
      <c r="N1101" s="9" t="str">
        <f t="shared" si="5"/>
        <v>R1024</v>
      </c>
      <c r="O1101" s="17">
        <f t="shared" si="6"/>
        <v>18</v>
      </c>
      <c r="P1101" s="18">
        <v>38304.0</v>
      </c>
    </row>
    <row r="1102" ht="15.75" customHeight="1">
      <c r="A1102" s="9" t="s">
        <v>4221</v>
      </c>
      <c r="B1102" s="17">
        <v>2004.0</v>
      </c>
      <c r="C1102" s="9" t="s">
        <v>4716</v>
      </c>
      <c r="D1102" s="9">
        <v>6.0</v>
      </c>
      <c r="E1102" s="18">
        <f t="shared" si="1"/>
        <v>38205</v>
      </c>
      <c r="F1102" s="9">
        <v>0.0</v>
      </c>
      <c r="G1102" s="19">
        <v>2207.7</v>
      </c>
      <c r="H1102" s="9" t="s">
        <v>4723</v>
      </c>
      <c r="I1102" s="9" t="s">
        <v>4723</v>
      </c>
      <c r="J1102" s="9" t="s">
        <v>4731</v>
      </c>
      <c r="K1102" s="20">
        <f t="shared" si="2"/>
        <v>2004</v>
      </c>
      <c r="L1102" s="9" t="str">
        <f t="shared" si="3"/>
        <v>tier - 2</v>
      </c>
      <c r="M1102" s="9" t="str">
        <f t="shared" si="4"/>
        <v>tier - 2</v>
      </c>
      <c r="N1102" s="9" t="str">
        <f t="shared" si="5"/>
        <v>R1024</v>
      </c>
      <c r="O1102" s="17">
        <f t="shared" si="6"/>
        <v>18</v>
      </c>
      <c r="P1102" s="18">
        <v>38205.0</v>
      </c>
    </row>
    <row r="1103" ht="15.75" customHeight="1">
      <c r="A1103" s="9" t="s">
        <v>423</v>
      </c>
      <c r="B1103" s="17">
        <v>2000.0</v>
      </c>
      <c r="C1103" s="9" t="s">
        <v>4735</v>
      </c>
      <c r="D1103" s="9">
        <v>19.0</v>
      </c>
      <c r="E1103" s="18">
        <f t="shared" si="1"/>
        <v>36849</v>
      </c>
      <c r="F1103" s="9">
        <v>0.0</v>
      </c>
      <c r="G1103" s="19">
        <v>35585.58</v>
      </c>
      <c r="H1103" s="9" t="s">
        <v>4723</v>
      </c>
      <c r="I1103" s="9" t="s">
        <v>4717</v>
      </c>
      <c r="J1103" s="9" t="s">
        <v>4719</v>
      </c>
      <c r="K1103" s="20">
        <f t="shared" si="2"/>
        <v>2000</v>
      </c>
      <c r="L1103" s="9" t="str">
        <f t="shared" si="3"/>
        <v>tier - 2</v>
      </c>
      <c r="M1103" s="9" t="str">
        <f t="shared" si="4"/>
        <v>tier - 3</v>
      </c>
      <c r="N1103" s="9" t="str">
        <f t="shared" si="5"/>
        <v>R1011</v>
      </c>
      <c r="O1103" s="17">
        <f t="shared" si="6"/>
        <v>22</v>
      </c>
      <c r="P1103" s="18">
        <v>36849.0</v>
      </c>
    </row>
    <row r="1104" ht="15.75" customHeight="1">
      <c r="A1104" s="9" t="s">
        <v>4219</v>
      </c>
      <c r="B1104" s="17">
        <v>2004.0</v>
      </c>
      <c r="C1104" s="9" t="s">
        <v>4741</v>
      </c>
      <c r="D1104" s="9">
        <v>27.0</v>
      </c>
      <c r="E1104" s="18">
        <f t="shared" si="1"/>
        <v>38195</v>
      </c>
      <c r="F1104" s="9">
        <v>0.0</v>
      </c>
      <c r="G1104" s="19">
        <v>2211.13</v>
      </c>
      <c r="H1104" s="9" t="s">
        <v>4723</v>
      </c>
      <c r="I1104" s="9" t="s">
        <v>4723</v>
      </c>
      <c r="J1104" s="9" t="s">
        <v>4731</v>
      </c>
      <c r="K1104" s="20">
        <f t="shared" si="2"/>
        <v>2004</v>
      </c>
      <c r="L1104" s="9" t="str">
        <f t="shared" si="3"/>
        <v>tier - 2</v>
      </c>
      <c r="M1104" s="9" t="str">
        <f t="shared" si="4"/>
        <v>tier - 2</v>
      </c>
      <c r="N1104" s="9" t="str">
        <f t="shared" si="5"/>
        <v>R1024</v>
      </c>
      <c r="O1104" s="17">
        <f t="shared" si="6"/>
        <v>18</v>
      </c>
      <c r="P1104" s="18">
        <v>38195.0</v>
      </c>
    </row>
    <row r="1105" ht="15.75" customHeight="1">
      <c r="A1105" s="9" t="s">
        <v>4217</v>
      </c>
      <c r="B1105" s="17">
        <v>1994.0</v>
      </c>
      <c r="C1105" s="9" t="s">
        <v>4735</v>
      </c>
      <c r="D1105" s="9">
        <v>17.0</v>
      </c>
      <c r="E1105" s="18">
        <f t="shared" si="1"/>
        <v>34655</v>
      </c>
      <c r="F1105" s="9">
        <v>0.0</v>
      </c>
      <c r="G1105" s="19">
        <v>2213.21</v>
      </c>
      <c r="H1105" s="9" t="s">
        <v>4723</v>
      </c>
      <c r="I1105" s="9" t="s">
        <v>4723</v>
      </c>
      <c r="J1105" s="9" t="s">
        <v>4743</v>
      </c>
      <c r="K1105" s="20">
        <f t="shared" si="2"/>
        <v>1994</v>
      </c>
      <c r="L1105" s="9" t="str">
        <f t="shared" si="3"/>
        <v>tier - 2</v>
      </c>
      <c r="M1105" s="9" t="str">
        <f t="shared" si="4"/>
        <v>tier - 2</v>
      </c>
      <c r="N1105" s="9" t="str">
        <f t="shared" si="5"/>
        <v>R1013</v>
      </c>
      <c r="O1105" s="17">
        <f t="shared" si="6"/>
        <v>28</v>
      </c>
      <c r="P1105" s="18">
        <v>34655.0</v>
      </c>
    </row>
    <row r="1106" ht="15.75" customHeight="1">
      <c r="A1106" s="9" t="s">
        <v>4215</v>
      </c>
      <c r="B1106" s="17">
        <v>2004.0</v>
      </c>
      <c r="C1106" s="9" t="s">
        <v>4730</v>
      </c>
      <c r="D1106" s="9">
        <v>13.0</v>
      </c>
      <c r="E1106" s="18">
        <f t="shared" si="1"/>
        <v>38151</v>
      </c>
      <c r="F1106" s="9">
        <v>0.0</v>
      </c>
      <c r="G1106" s="19">
        <v>2217.47</v>
      </c>
      <c r="H1106" s="9" t="s">
        <v>4723</v>
      </c>
      <c r="I1106" s="9" t="s">
        <v>4718</v>
      </c>
      <c r="J1106" s="9" t="s">
        <v>4731</v>
      </c>
      <c r="K1106" s="20">
        <f t="shared" si="2"/>
        <v>2004</v>
      </c>
      <c r="L1106" s="9" t="str">
        <f t="shared" si="3"/>
        <v>tier - 2</v>
      </c>
      <c r="M1106" s="9" t="str">
        <f t="shared" si="4"/>
        <v>tier - 1</v>
      </c>
      <c r="N1106" s="9" t="str">
        <f t="shared" si="5"/>
        <v>R1024</v>
      </c>
      <c r="O1106" s="17">
        <f t="shared" si="6"/>
        <v>18</v>
      </c>
      <c r="P1106" s="18">
        <v>38151.0</v>
      </c>
    </row>
    <row r="1107" ht="15.75" customHeight="1">
      <c r="A1107" s="9" t="s">
        <v>4213</v>
      </c>
      <c r="B1107" s="17">
        <v>2004.0</v>
      </c>
      <c r="C1107" s="9" t="s">
        <v>4738</v>
      </c>
      <c r="D1107" s="9">
        <v>25.0</v>
      </c>
      <c r="E1107" s="18">
        <f t="shared" si="1"/>
        <v>38255</v>
      </c>
      <c r="F1107" s="9">
        <v>0.0</v>
      </c>
      <c r="G1107" s="19">
        <v>2217.6</v>
      </c>
      <c r="H1107" s="9" t="s">
        <v>4723</v>
      </c>
      <c r="I1107" s="9" t="s">
        <v>4718</v>
      </c>
      <c r="J1107" s="9" t="s">
        <v>4731</v>
      </c>
      <c r="K1107" s="20">
        <f t="shared" si="2"/>
        <v>2004</v>
      </c>
      <c r="L1107" s="9" t="str">
        <f t="shared" si="3"/>
        <v>tier - 2</v>
      </c>
      <c r="M1107" s="9" t="str">
        <f t="shared" si="4"/>
        <v>tier - 1</v>
      </c>
      <c r="N1107" s="9" t="str">
        <f t="shared" si="5"/>
        <v>R1024</v>
      </c>
      <c r="O1107" s="17">
        <f t="shared" si="6"/>
        <v>18</v>
      </c>
      <c r="P1107" s="18">
        <v>38255.0</v>
      </c>
    </row>
    <row r="1108" ht="15.75" customHeight="1">
      <c r="A1108" s="9" t="s">
        <v>4211</v>
      </c>
      <c r="B1108" s="17">
        <v>2004.0</v>
      </c>
      <c r="C1108" s="9" t="s">
        <v>4725</v>
      </c>
      <c r="D1108" s="9">
        <v>12.0</v>
      </c>
      <c r="E1108" s="18">
        <f t="shared" si="1"/>
        <v>38333</v>
      </c>
      <c r="F1108" s="9">
        <v>1.0</v>
      </c>
      <c r="G1108" s="19">
        <v>2219.45</v>
      </c>
      <c r="H1108" s="9" t="s">
        <v>4723</v>
      </c>
      <c r="I1108" s="9" t="s">
        <v>4718</v>
      </c>
      <c r="J1108" s="9" t="s">
        <v>4743</v>
      </c>
      <c r="K1108" s="20">
        <f t="shared" si="2"/>
        <v>2004</v>
      </c>
      <c r="L1108" s="9" t="str">
        <f t="shared" si="3"/>
        <v>tier - 2</v>
      </c>
      <c r="M1108" s="9" t="str">
        <f t="shared" si="4"/>
        <v>tier - 1</v>
      </c>
      <c r="N1108" s="9" t="str">
        <f t="shared" si="5"/>
        <v>R1013</v>
      </c>
      <c r="O1108" s="17">
        <f t="shared" si="6"/>
        <v>18</v>
      </c>
      <c r="P1108" s="18">
        <v>38333.0</v>
      </c>
    </row>
    <row r="1109" ht="15.75" customHeight="1">
      <c r="A1109" s="9" t="s">
        <v>4209</v>
      </c>
      <c r="B1109" s="17">
        <v>2003.0</v>
      </c>
      <c r="C1109" s="9" t="s">
        <v>4725</v>
      </c>
      <c r="D1109" s="9">
        <v>10.0</v>
      </c>
      <c r="E1109" s="18">
        <f t="shared" si="1"/>
        <v>37965</v>
      </c>
      <c r="F1109" s="9">
        <v>1.0</v>
      </c>
      <c r="G1109" s="19">
        <v>2221.56</v>
      </c>
      <c r="H1109" s="9" t="s">
        <v>4723</v>
      </c>
      <c r="I1109" s="9" t="s">
        <v>4717</v>
      </c>
      <c r="J1109" s="9" t="s">
        <v>4733</v>
      </c>
      <c r="K1109" s="20">
        <f t="shared" si="2"/>
        <v>2003</v>
      </c>
      <c r="L1109" s="9" t="str">
        <f t="shared" si="3"/>
        <v>tier - 2</v>
      </c>
      <c r="M1109" s="9" t="str">
        <f t="shared" si="4"/>
        <v>tier - 3</v>
      </c>
      <c r="N1109" s="9" t="str">
        <f t="shared" si="5"/>
        <v>R1012</v>
      </c>
      <c r="O1109" s="17">
        <f t="shared" si="6"/>
        <v>19</v>
      </c>
      <c r="P1109" s="18">
        <v>37965.0</v>
      </c>
    </row>
    <row r="1110" ht="15.75" customHeight="1">
      <c r="A1110" s="9" t="s">
        <v>4207</v>
      </c>
      <c r="B1110" s="17">
        <v>2000.0</v>
      </c>
      <c r="C1110" s="9" t="s">
        <v>4730</v>
      </c>
      <c r="D1110" s="9">
        <v>30.0</v>
      </c>
      <c r="E1110" s="18">
        <f t="shared" si="1"/>
        <v>36707</v>
      </c>
      <c r="F1110" s="9">
        <v>0.0</v>
      </c>
      <c r="G1110" s="19">
        <v>2250.84</v>
      </c>
      <c r="H1110" s="9" t="s">
        <v>4723</v>
      </c>
      <c r="I1110" s="9" t="s">
        <v>4723</v>
      </c>
      <c r="J1110" s="9" t="s">
        <v>4750</v>
      </c>
      <c r="K1110" s="20">
        <f t="shared" si="2"/>
        <v>2000</v>
      </c>
      <c r="L1110" s="9" t="str">
        <f t="shared" si="3"/>
        <v>tier - 2</v>
      </c>
      <c r="M1110" s="9" t="str">
        <f t="shared" si="4"/>
        <v>tier - 2</v>
      </c>
      <c r="N1110" s="9" t="str">
        <f t="shared" si="5"/>
        <v>R1018</v>
      </c>
      <c r="O1110" s="17">
        <f t="shared" si="6"/>
        <v>22</v>
      </c>
      <c r="P1110" s="18">
        <v>36707.0</v>
      </c>
    </row>
    <row r="1111" ht="15.75" customHeight="1">
      <c r="A1111" s="9" t="s">
        <v>4205</v>
      </c>
      <c r="B1111" s="17">
        <v>2000.0</v>
      </c>
      <c r="C1111" s="9" t="s">
        <v>4725</v>
      </c>
      <c r="D1111" s="9">
        <v>11.0</v>
      </c>
      <c r="E1111" s="18">
        <f t="shared" si="1"/>
        <v>36871</v>
      </c>
      <c r="F1111" s="9">
        <v>0.0</v>
      </c>
      <c r="G1111" s="19">
        <v>2254.8</v>
      </c>
      <c r="H1111" s="9" t="s">
        <v>4723</v>
      </c>
      <c r="I1111" s="9" t="s">
        <v>4717</v>
      </c>
      <c r="J1111" s="9" t="s">
        <v>4754</v>
      </c>
      <c r="K1111" s="20">
        <f t="shared" si="2"/>
        <v>2000</v>
      </c>
      <c r="L1111" s="9" t="str">
        <f t="shared" si="3"/>
        <v>tier - 2</v>
      </c>
      <c r="M1111" s="9" t="str">
        <f t="shared" si="4"/>
        <v>tier - 3</v>
      </c>
      <c r="N1111" s="9" t="str">
        <f t="shared" si="5"/>
        <v>R1016</v>
      </c>
      <c r="O1111" s="17">
        <f t="shared" si="6"/>
        <v>22</v>
      </c>
      <c r="P1111" s="18">
        <v>36871.0</v>
      </c>
    </row>
    <row r="1112" ht="15.75" customHeight="1">
      <c r="A1112" s="9" t="s">
        <v>4203</v>
      </c>
      <c r="B1112" s="17">
        <v>2002.0</v>
      </c>
      <c r="C1112" s="9" t="s">
        <v>4741</v>
      </c>
      <c r="D1112" s="9">
        <v>15.0</v>
      </c>
      <c r="E1112" s="18">
        <f t="shared" si="1"/>
        <v>37452</v>
      </c>
      <c r="F1112" s="9">
        <v>0.0</v>
      </c>
      <c r="G1112" s="19">
        <v>2257.48</v>
      </c>
      <c r="H1112" s="9" t="s">
        <v>4723</v>
      </c>
      <c r="I1112" s="9" t="s">
        <v>4718</v>
      </c>
      <c r="J1112" s="9" t="s">
        <v>4733</v>
      </c>
      <c r="K1112" s="20">
        <f t="shared" si="2"/>
        <v>2002</v>
      </c>
      <c r="L1112" s="9" t="str">
        <f t="shared" si="3"/>
        <v>tier - 2</v>
      </c>
      <c r="M1112" s="9" t="str">
        <f t="shared" si="4"/>
        <v>tier - 1</v>
      </c>
      <c r="N1112" s="9" t="str">
        <f t="shared" si="5"/>
        <v>R1012</v>
      </c>
      <c r="O1112" s="17">
        <f t="shared" si="6"/>
        <v>20</v>
      </c>
      <c r="P1112" s="18">
        <v>37452.0</v>
      </c>
    </row>
    <row r="1113" ht="15.75" customHeight="1">
      <c r="A1113" s="9" t="s">
        <v>4201</v>
      </c>
      <c r="B1113" s="17">
        <v>2002.0</v>
      </c>
      <c r="C1113" s="9" t="s">
        <v>4735</v>
      </c>
      <c r="D1113" s="9">
        <v>12.0</v>
      </c>
      <c r="E1113" s="18">
        <f t="shared" si="1"/>
        <v>37572</v>
      </c>
      <c r="F1113" s="9">
        <v>0.0</v>
      </c>
      <c r="G1113" s="19">
        <v>2261.57</v>
      </c>
      <c r="H1113" s="9" t="s">
        <v>4723</v>
      </c>
      <c r="I1113" s="9" t="s">
        <v>4718</v>
      </c>
      <c r="J1113" s="9" t="s">
        <v>4733</v>
      </c>
      <c r="K1113" s="20">
        <f t="shared" si="2"/>
        <v>2002</v>
      </c>
      <c r="L1113" s="9" t="str">
        <f t="shared" si="3"/>
        <v>tier - 2</v>
      </c>
      <c r="M1113" s="9" t="str">
        <f t="shared" si="4"/>
        <v>tier - 1</v>
      </c>
      <c r="N1113" s="9" t="str">
        <f t="shared" si="5"/>
        <v>R1012</v>
      </c>
      <c r="O1113" s="17">
        <f t="shared" si="6"/>
        <v>20</v>
      </c>
      <c r="P1113" s="18">
        <v>37572.0</v>
      </c>
    </row>
    <row r="1114" ht="15.75" customHeight="1">
      <c r="A1114" s="9" t="s">
        <v>421</v>
      </c>
      <c r="B1114" s="17">
        <v>2000.0</v>
      </c>
      <c r="C1114" s="9" t="s">
        <v>4725</v>
      </c>
      <c r="D1114" s="9">
        <v>17.0</v>
      </c>
      <c r="E1114" s="18">
        <f t="shared" si="1"/>
        <v>36877</v>
      </c>
      <c r="F1114" s="9">
        <v>3.0</v>
      </c>
      <c r="G1114" s="19">
        <v>35595.59</v>
      </c>
      <c r="H1114" s="9" t="s">
        <v>4723</v>
      </c>
      <c r="I1114" s="9" t="s">
        <v>4717</v>
      </c>
      <c r="J1114" s="9" t="s">
        <v>4743</v>
      </c>
      <c r="K1114" s="20">
        <f t="shared" si="2"/>
        <v>2000</v>
      </c>
      <c r="L1114" s="9" t="str">
        <f t="shared" si="3"/>
        <v>tier - 2</v>
      </c>
      <c r="M1114" s="9" t="str">
        <f t="shared" si="4"/>
        <v>tier - 3</v>
      </c>
      <c r="N1114" s="9" t="str">
        <f t="shared" si="5"/>
        <v>R1013</v>
      </c>
      <c r="O1114" s="17">
        <f t="shared" si="6"/>
        <v>22</v>
      </c>
      <c r="P1114" s="18">
        <v>36877.0</v>
      </c>
    </row>
    <row r="1115" ht="15.75" customHeight="1">
      <c r="A1115" s="9" t="s">
        <v>43</v>
      </c>
      <c r="B1115" s="17">
        <v>1961.0</v>
      </c>
      <c r="C1115" s="9" t="s">
        <v>4730</v>
      </c>
      <c r="D1115" s="9">
        <v>13.0</v>
      </c>
      <c r="E1115" s="18">
        <f t="shared" si="1"/>
        <v>22445</v>
      </c>
      <c r="F1115" s="9">
        <v>1.0</v>
      </c>
      <c r="G1115" s="19">
        <v>47403.88</v>
      </c>
      <c r="H1115" s="9" t="s">
        <v>4718</v>
      </c>
      <c r="I1115" s="9" t="s">
        <v>4717</v>
      </c>
      <c r="J1115" s="9" t="s">
        <v>4719</v>
      </c>
      <c r="K1115" s="20">
        <f t="shared" si="2"/>
        <v>1961</v>
      </c>
      <c r="L1115" s="9" t="str">
        <f t="shared" si="3"/>
        <v>tier - 1</v>
      </c>
      <c r="M1115" s="9" t="str">
        <f t="shared" si="4"/>
        <v>tier - 3</v>
      </c>
      <c r="N1115" s="9" t="str">
        <f t="shared" si="5"/>
        <v>R1011</v>
      </c>
      <c r="O1115" s="17">
        <f t="shared" si="6"/>
        <v>61</v>
      </c>
      <c r="P1115" s="18">
        <v>22445.0</v>
      </c>
    </row>
    <row r="1116" ht="15.75" customHeight="1">
      <c r="A1116" s="9" t="s">
        <v>4199</v>
      </c>
      <c r="B1116" s="17">
        <v>1991.0</v>
      </c>
      <c r="C1116" s="9" t="s">
        <v>4730</v>
      </c>
      <c r="D1116" s="9">
        <v>16.0</v>
      </c>
      <c r="E1116" s="18">
        <f t="shared" si="1"/>
        <v>33405</v>
      </c>
      <c r="F1116" s="9">
        <v>3.0</v>
      </c>
      <c r="G1116" s="19">
        <v>2277.72</v>
      </c>
      <c r="H1116" s="9" t="s">
        <v>4723</v>
      </c>
      <c r="I1116" s="9" t="s">
        <v>4718</v>
      </c>
      <c r="J1116" s="9" t="s">
        <v>4743</v>
      </c>
      <c r="K1116" s="20">
        <f t="shared" si="2"/>
        <v>1991</v>
      </c>
      <c r="L1116" s="9" t="str">
        <f t="shared" si="3"/>
        <v>tier - 2</v>
      </c>
      <c r="M1116" s="9" t="str">
        <f t="shared" si="4"/>
        <v>tier - 1</v>
      </c>
      <c r="N1116" s="9" t="str">
        <f t="shared" si="5"/>
        <v>R1013</v>
      </c>
      <c r="O1116" s="17">
        <f t="shared" si="6"/>
        <v>31</v>
      </c>
      <c r="P1116" s="18">
        <v>33405.0</v>
      </c>
    </row>
    <row r="1117" ht="15.75" customHeight="1">
      <c r="A1117" s="9" t="s">
        <v>4197</v>
      </c>
      <c r="B1117" s="17">
        <v>1989.0</v>
      </c>
      <c r="C1117" s="9" t="s">
        <v>4720</v>
      </c>
      <c r="D1117" s="9">
        <v>5.0</v>
      </c>
      <c r="E1117" s="18">
        <f t="shared" si="1"/>
        <v>32786</v>
      </c>
      <c r="F1117" s="9">
        <v>3.0</v>
      </c>
      <c r="G1117" s="19">
        <v>2295.24</v>
      </c>
      <c r="H1117" s="9" t="s">
        <v>4723</v>
      </c>
      <c r="I1117" s="9" t="s">
        <v>4718</v>
      </c>
      <c r="J1117" s="9" t="s">
        <v>4743</v>
      </c>
      <c r="K1117" s="20">
        <f t="shared" si="2"/>
        <v>1989</v>
      </c>
      <c r="L1117" s="9" t="str">
        <f t="shared" si="3"/>
        <v>tier - 2</v>
      </c>
      <c r="M1117" s="9" t="str">
        <f t="shared" si="4"/>
        <v>tier - 1</v>
      </c>
      <c r="N1117" s="9" t="str">
        <f t="shared" si="5"/>
        <v>R1013</v>
      </c>
      <c r="O1117" s="17">
        <f t="shared" si="6"/>
        <v>33</v>
      </c>
      <c r="P1117" s="18">
        <v>32786.0</v>
      </c>
    </row>
    <row r="1118" ht="15.75" customHeight="1">
      <c r="A1118" s="9" t="s">
        <v>4195</v>
      </c>
      <c r="B1118" s="17">
        <v>1996.0</v>
      </c>
      <c r="C1118" s="9" t="s">
        <v>4735</v>
      </c>
      <c r="D1118" s="9">
        <v>28.0</v>
      </c>
      <c r="E1118" s="18">
        <f t="shared" si="1"/>
        <v>35397</v>
      </c>
      <c r="F1118" s="9">
        <v>0.0</v>
      </c>
      <c r="G1118" s="19">
        <v>2302.3</v>
      </c>
      <c r="H1118" s="9" t="s">
        <v>4718</v>
      </c>
      <c r="I1118" s="9" t="s">
        <v>4723</v>
      </c>
      <c r="J1118" s="9" t="s">
        <v>4719</v>
      </c>
      <c r="K1118" s="20">
        <f t="shared" si="2"/>
        <v>1996</v>
      </c>
      <c r="L1118" s="9" t="str">
        <f t="shared" si="3"/>
        <v>tier - 1</v>
      </c>
      <c r="M1118" s="9" t="str">
        <f t="shared" si="4"/>
        <v>tier - 2</v>
      </c>
      <c r="N1118" s="9" t="str">
        <f t="shared" si="5"/>
        <v>R1011</v>
      </c>
      <c r="O1118" s="17">
        <f t="shared" si="6"/>
        <v>26</v>
      </c>
      <c r="P1118" s="18">
        <v>35397.0</v>
      </c>
    </row>
    <row r="1119" ht="15.75" customHeight="1">
      <c r="A1119" s="9" t="s">
        <v>4193</v>
      </c>
      <c r="B1119" s="17">
        <v>2004.0</v>
      </c>
      <c r="C1119" s="9" t="s">
        <v>4738</v>
      </c>
      <c r="D1119" s="9">
        <v>6.0</v>
      </c>
      <c r="E1119" s="18">
        <f t="shared" si="1"/>
        <v>38236</v>
      </c>
      <c r="F1119" s="9">
        <v>2.0</v>
      </c>
      <c r="G1119" s="19">
        <v>2304.0</v>
      </c>
      <c r="H1119" s="9" t="s">
        <v>4723</v>
      </c>
      <c r="I1119" s="9" t="s">
        <v>4717</v>
      </c>
      <c r="J1119" s="9" t="s">
        <v>4743</v>
      </c>
      <c r="K1119" s="20">
        <f t="shared" si="2"/>
        <v>2004</v>
      </c>
      <c r="L1119" s="9" t="str">
        <f t="shared" si="3"/>
        <v>tier - 2</v>
      </c>
      <c r="M1119" s="9" t="str">
        <f t="shared" si="4"/>
        <v>tier - 3</v>
      </c>
      <c r="N1119" s="9" t="str">
        <f t="shared" si="5"/>
        <v>R1013</v>
      </c>
      <c r="O1119" s="17">
        <f t="shared" si="6"/>
        <v>18</v>
      </c>
      <c r="P1119" s="18">
        <v>38236.0</v>
      </c>
    </row>
    <row r="1120" ht="15.75" customHeight="1">
      <c r="A1120" s="9" t="s">
        <v>4191</v>
      </c>
      <c r="B1120" s="17">
        <v>1996.0</v>
      </c>
      <c r="C1120" s="9" t="s">
        <v>4725</v>
      </c>
      <c r="D1120" s="9">
        <v>17.0</v>
      </c>
      <c r="E1120" s="18">
        <f t="shared" si="1"/>
        <v>35416</v>
      </c>
      <c r="F1120" s="9">
        <v>0.0</v>
      </c>
      <c r="G1120" s="19">
        <v>2322.62</v>
      </c>
      <c r="H1120" s="9" t="s">
        <v>4723</v>
      </c>
      <c r="I1120" s="9" t="s">
        <v>4718</v>
      </c>
      <c r="J1120" s="9" t="s">
        <v>4743</v>
      </c>
      <c r="K1120" s="20">
        <f t="shared" si="2"/>
        <v>1996</v>
      </c>
      <c r="L1120" s="9" t="str">
        <f t="shared" si="3"/>
        <v>tier - 2</v>
      </c>
      <c r="M1120" s="9" t="str">
        <f t="shared" si="4"/>
        <v>tier - 1</v>
      </c>
      <c r="N1120" s="9" t="str">
        <f t="shared" si="5"/>
        <v>R1013</v>
      </c>
      <c r="O1120" s="17">
        <f t="shared" si="6"/>
        <v>26</v>
      </c>
      <c r="P1120" s="18">
        <v>35416.0</v>
      </c>
    </row>
    <row r="1121" ht="15.75" customHeight="1">
      <c r="A1121" s="9" t="s">
        <v>4189</v>
      </c>
      <c r="B1121" s="17">
        <v>2003.0</v>
      </c>
      <c r="C1121" s="9" t="s">
        <v>4735</v>
      </c>
      <c r="D1121" s="9">
        <v>18.0</v>
      </c>
      <c r="E1121" s="18">
        <f t="shared" si="1"/>
        <v>37943</v>
      </c>
      <c r="F1121" s="9">
        <v>1.0</v>
      </c>
      <c r="G1121" s="19">
        <v>2331.52</v>
      </c>
      <c r="H1121" s="9" t="s">
        <v>4723</v>
      </c>
      <c r="I1121" s="9" t="s">
        <v>4717</v>
      </c>
      <c r="J1121" s="9" t="s">
        <v>4719</v>
      </c>
      <c r="K1121" s="20">
        <f t="shared" si="2"/>
        <v>2003</v>
      </c>
      <c r="L1121" s="9" t="str">
        <f t="shared" si="3"/>
        <v>tier - 2</v>
      </c>
      <c r="M1121" s="9" t="str">
        <f t="shared" si="4"/>
        <v>tier - 3</v>
      </c>
      <c r="N1121" s="9" t="str">
        <f t="shared" si="5"/>
        <v>R1011</v>
      </c>
      <c r="O1121" s="17">
        <f t="shared" si="6"/>
        <v>19</v>
      </c>
      <c r="P1121" s="18">
        <v>37943.0</v>
      </c>
    </row>
    <row r="1122" ht="15.75" customHeight="1">
      <c r="A1122" s="9" t="s">
        <v>4187</v>
      </c>
      <c r="B1122" s="17">
        <v>1998.0</v>
      </c>
      <c r="C1122" s="9" t="s">
        <v>4720</v>
      </c>
      <c r="D1122" s="9">
        <v>21.0</v>
      </c>
      <c r="E1122" s="18">
        <f t="shared" si="1"/>
        <v>36089</v>
      </c>
      <c r="F1122" s="9">
        <v>0.0</v>
      </c>
      <c r="G1122" s="19">
        <v>2352.97</v>
      </c>
      <c r="H1122" s="9" t="s">
        <v>4717</v>
      </c>
      <c r="I1122" s="9" t="s">
        <v>4717</v>
      </c>
      <c r="J1122" s="9" t="s">
        <v>4733</v>
      </c>
      <c r="K1122" s="20">
        <f t="shared" si="2"/>
        <v>1998</v>
      </c>
      <c r="L1122" s="9" t="str">
        <f t="shared" si="3"/>
        <v>tier - 3</v>
      </c>
      <c r="M1122" s="9" t="str">
        <f t="shared" si="4"/>
        <v>tier - 3</v>
      </c>
      <c r="N1122" s="9" t="str">
        <f t="shared" si="5"/>
        <v>R1012</v>
      </c>
      <c r="O1122" s="17">
        <f t="shared" si="6"/>
        <v>24</v>
      </c>
      <c r="P1122" s="18">
        <v>36089.0</v>
      </c>
    </row>
    <row r="1123" ht="15.75" customHeight="1">
      <c r="A1123" s="9" t="s">
        <v>4185</v>
      </c>
      <c r="B1123" s="17">
        <v>2002.0</v>
      </c>
      <c r="C1123" s="9" t="s">
        <v>4735</v>
      </c>
      <c r="D1123" s="9">
        <v>5.0</v>
      </c>
      <c r="E1123" s="18">
        <f t="shared" si="1"/>
        <v>37565</v>
      </c>
      <c r="F1123" s="9">
        <v>1.0</v>
      </c>
      <c r="G1123" s="19">
        <v>2362.23</v>
      </c>
      <c r="H1123" s="9" t="s">
        <v>4723</v>
      </c>
      <c r="I1123" s="9" t="s">
        <v>4718</v>
      </c>
      <c r="J1123" s="9" t="s">
        <v>4733</v>
      </c>
      <c r="K1123" s="20">
        <f t="shared" si="2"/>
        <v>2002</v>
      </c>
      <c r="L1123" s="9" t="str">
        <f t="shared" si="3"/>
        <v>tier - 2</v>
      </c>
      <c r="M1123" s="9" t="str">
        <f t="shared" si="4"/>
        <v>tier - 1</v>
      </c>
      <c r="N1123" s="9" t="str">
        <f t="shared" si="5"/>
        <v>R1012</v>
      </c>
      <c r="O1123" s="17">
        <f t="shared" si="6"/>
        <v>20</v>
      </c>
      <c r="P1123" s="18">
        <v>37565.0</v>
      </c>
    </row>
    <row r="1124" ht="15.75" customHeight="1">
      <c r="A1124" s="9" t="s">
        <v>4183</v>
      </c>
      <c r="B1124" s="17">
        <v>1988.0</v>
      </c>
      <c r="C1124" s="9" t="s">
        <v>4725</v>
      </c>
      <c r="D1124" s="9">
        <v>12.0</v>
      </c>
      <c r="E1124" s="18">
        <f t="shared" si="1"/>
        <v>32489</v>
      </c>
      <c r="F1124" s="9">
        <v>3.0</v>
      </c>
      <c r="G1124" s="19">
        <v>2373.3</v>
      </c>
      <c r="H1124" s="9" t="s">
        <v>4723</v>
      </c>
      <c r="I1124" s="9" t="s">
        <v>4723</v>
      </c>
      <c r="J1124" s="9" t="s">
        <v>4743</v>
      </c>
      <c r="K1124" s="20">
        <f t="shared" si="2"/>
        <v>1988</v>
      </c>
      <c r="L1124" s="9" t="str">
        <f t="shared" si="3"/>
        <v>tier - 2</v>
      </c>
      <c r="M1124" s="9" t="str">
        <f t="shared" si="4"/>
        <v>tier - 2</v>
      </c>
      <c r="N1124" s="9" t="str">
        <f t="shared" si="5"/>
        <v>R1013</v>
      </c>
      <c r="O1124" s="17">
        <f t="shared" si="6"/>
        <v>34</v>
      </c>
      <c r="P1124" s="18">
        <v>32489.0</v>
      </c>
    </row>
    <row r="1125" ht="15.75" customHeight="1">
      <c r="A1125" s="9" t="s">
        <v>4181</v>
      </c>
      <c r="B1125" s="17">
        <v>1999.0</v>
      </c>
      <c r="C1125" s="9" t="s">
        <v>4725</v>
      </c>
      <c r="D1125" s="9">
        <v>17.0</v>
      </c>
      <c r="E1125" s="18">
        <f t="shared" si="1"/>
        <v>36511</v>
      </c>
      <c r="F1125" s="9">
        <v>0.0</v>
      </c>
      <c r="G1125" s="19">
        <v>2395.17</v>
      </c>
      <c r="H1125" s="9" t="s">
        <v>4723</v>
      </c>
      <c r="I1125" s="9" t="s">
        <v>4718</v>
      </c>
      <c r="J1125" s="9" t="s">
        <v>4752</v>
      </c>
      <c r="K1125" s="20">
        <f t="shared" si="2"/>
        <v>1999</v>
      </c>
      <c r="L1125" s="9" t="str">
        <f t="shared" si="3"/>
        <v>tier - 2</v>
      </c>
      <c r="M1125" s="9" t="str">
        <f t="shared" si="4"/>
        <v>tier - 1</v>
      </c>
      <c r="N1125" s="9" t="str">
        <f t="shared" si="5"/>
        <v>R1014</v>
      </c>
      <c r="O1125" s="17">
        <f t="shared" si="6"/>
        <v>23</v>
      </c>
      <c r="P1125" s="18">
        <v>36511.0</v>
      </c>
    </row>
    <row r="1126" ht="15.75" customHeight="1">
      <c r="A1126" s="9" t="s">
        <v>419</v>
      </c>
      <c r="B1126" s="17">
        <v>1978.0</v>
      </c>
      <c r="C1126" s="9" t="s">
        <v>4725</v>
      </c>
      <c r="D1126" s="9">
        <v>19.0</v>
      </c>
      <c r="E1126" s="18">
        <f t="shared" si="1"/>
        <v>28843</v>
      </c>
      <c r="F1126" s="9">
        <v>2.0</v>
      </c>
      <c r="G1126" s="19">
        <v>35701.9</v>
      </c>
      <c r="H1126" s="9" t="s">
        <v>4723</v>
      </c>
      <c r="I1126" s="9" t="s">
        <v>4718</v>
      </c>
      <c r="J1126" s="9" t="s">
        <v>4719</v>
      </c>
      <c r="K1126" s="20">
        <f t="shared" si="2"/>
        <v>1978</v>
      </c>
      <c r="L1126" s="9" t="str">
        <f t="shared" si="3"/>
        <v>tier - 2</v>
      </c>
      <c r="M1126" s="9" t="str">
        <f t="shared" si="4"/>
        <v>tier - 1</v>
      </c>
      <c r="N1126" s="9" t="str">
        <f t="shared" si="5"/>
        <v>R1011</v>
      </c>
      <c r="O1126" s="17">
        <f t="shared" si="6"/>
        <v>44</v>
      </c>
      <c r="P1126" s="18">
        <v>28843.0</v>
      </c>
    </row>
    <row r="1127" ht="15.75" customHeight="1">
      <c r="A1127" s="9" t="s">
        <v>4179</v>
      </c>
      <c r="B1127" s="17">
        <v>1999.0</v>
      </c>
      <c r="C1127" s="9" t="s">
        <v>4716</v>
      </c>
      <c r="D1127" s="9">
        <v>10.0</v>
      </c>
      <c r="E1127" s="18">
        <f t="shared" si="1"/>
        <v>36382</v>
      </c>
      <c r="F1127" s="9">
        <v>0.0</v>
      </c>
      <c r="G1127" s="19">
        <v>2396.1</v>
      </c>
      <c r="H1127" s="9" t="s">
        <v>4723</v>
      </c>
      <c r="I1127" s="9" t="s">
        <v>4718</v>
      </c>
      <c r="J1127" s="9" t="s">
        <v>4728</v>
      </c>
      <c r="K1127" s="20">
        <f t="shared" si="2"/>
        <v>1999</v>
      </c>
      <c r="L1127" s="9" t="str">
        <f t="shared" si="3"/>
        <v>tier - 2</v>
      </c>
      <c r="M1127" s="9" t="str">
        <f t="shared" si="4"/>
        <v>tier - 1</v>
      </c>
      <c r="N1127" s="9" t="str">
        <f t="shared" si="5"/>
        <v>R1019</v>
      </c>
      <c r="O1127" s="17">
        <f t="shared" si="6"/>
        <v>23</v>
      </c>
      <c r="P1127" s="18">
        <v>36382.0</v>
      </c>
    </row>
    <row r="1128" ht="15.75" customHeight="1">
      <c r="A1128" s="9" t="s">
        <v>4177</v>
      </c>
      <c r="B1128" s="17">
        <v>2001.0</v>
      </c>
      <c r="C1128" s="9" t="s">
        <v>4730</v>
      </c>
      <c r="D1128" s="9">
        <v>3.0</v>
      </c>
      <c r="E1128" s="18">
        <f t="shared" si="1"/>
        <v>37045</v>
      </c>
      <c r="F1128" s="9">
        <v>0.0</v>
      </c>
      <c r="G1128" s="19">
        <v>2404.73</v>
      </c>
      <c r="H1128" s="9" t="s">
        <v>4723</v>
      </c>
      <c r="I1128" s="9" t="s">
        <v>4717</v>
      </c>
      <c r="J1128" s="9" t="s">
        <v>4733</v>
      </c>
      <c r="K1128" s="20">
        <f t="shared" si="2"/>
        <v>2001</v>
      </c>
      <c r="L1128" s="9" t="str">
        <f t="shared" si="3"/>
        <v>tier - 2</v>
      </c>
      <c r="M1128" s="9" t="str">
        <f t="shared" si="4"/>
        <v>tier - 3</v>
      </c>
      <c r="N1128" s="9" t="str">
        <f t="shared" si="5"/>
        <v>R1012</v>
      </c>
      <c r="O1128" s="17">
        <f t="shared" si="6"/>
        <v>22</v>
      </c>
      <c r="P1128" s="18">
        <v>37045.0</v>
      </c>
    </row>
    <row r="1129" ht="15.75" customHeight="1">
      <c r="A1129" s="9" t="s">
        <v>4175</v>
      </c>
      <c r="B1129" s="17">
        <v>1999.0</v>
      </c>
      <c r="C1129" s="9" t="s">
        <v>4735</v>
      </c>
      <c r="D1129" s="9">
        <v>12.0</v>
      </c>
      <c r="E1129" s="18">
        <f t="shared" si="1"/>
        <v>36476</v>
      </c>
      <c r="F1129" s="9">
        <v>1.0</v>
      </c>
      <c r="G1129" s="19">
        <v>2416.96</v>
      </c>
      <c r="H1129" s="9" t="s">
        <v>4723</v>
      </c>
      <c r="I1129" s="9" t="s">
        <v>4723</v>
      </c>
      <c r="J1129" s="9" t="s">
        <v>4719</v>
      </c>
      <c r="K1129" s="20">
        <f t="shared" si="2"/>
        <v>1999</v>
      </c>
      <c r="L1129" s="9" t="str">
        <f t="shared" si="3"/>
        <v>tier - 2</v>
      </c>
      <c r="M1129" s="9" t="str">
        <f t="shared" si="4"/>
        <v>tier - 2</v>
      </c>
      <c r="N1129" s="9" t="str">
        <f t="shared" si="5"/>
        <v>R1011</v>
      </c>
      <c r="O1129" s="17">
        <f t="shared" si="6"/>
        <v>23</v>
      </c>
      <c r="P1129" s="18">
        <v>36476.0</v>
      </c>
    </row>
    <row r="1130" ht="15.75" customHeight="1">
      <c r="A1130" s="9" t="s">
        <v>4173</v>
      </c>
      <c r="B1130" s="17">
        <v>1999.0</v>
      </c>
      <c r="C1130" s="9" t="s">
        <v>4735</v>
      </c>
      <c r="D1130" s="9">
        <v>21.0</v>
      </c>
      <c r="E1130" s="18">
        <f t="shared" si="1"/>
        <v>36485</v>
      </c>
      <c r="F1130" s="9">
        <v>1.0</v>
      </c>
      <c r="G1130" s="19">
        <v>2438.06</v>
      </c>
      <c r="H1130" s="9" t="s">
        <v>4723</v>
      </c>
      <c r="I1130" s="9" t="s">
        <v>4723</v>
      </c>
      <c r="J1130" s="9" t="s">
        <v>4743</v>
      </c>
      <c r="K1130" s="20">
        <f t="shared" si="2"/>
        <v>1999</v>
      </c>
      <c r="L1130" s="9" t="str">
        <f t="shared" si="3"/>
        <v>tier - 2</v>
      </c>
      <c r="M1130" s="9" t="str">
        <f t="shared" si="4"/>
        <v>tier - 2</v>
      </c>
      <c r="N1130" s="9" t="str">
        <f t="shared" si="5"/>
        <v>R1013</v>
      </c>
      <c r="O1130" s="17">
        <f t="shared" si="6"/>
        <v>23</v>
      </c>
      <c r="P1130" s="18">
        <v>36485.0</v>
      </c>
    </row>
    <row r="1131" ht="15.75" customHeight="1">
      <c r="A1131" s="9" t="s">
        <v>4171</v>
      </c>
      <c r="B1131" s="17">
        <v>2002.0</v>
      </c>
      <c r="C1131" s="9" t="s">
        <v>4741</v>
      </c>
      <c r="D1131" s="9">
        <v>29.0</v>
      </c>
      <c r="E1131" s="18">
        <f t="shared" si="1"/>
        <v>37466</v>
      </c>
      <c r="F1131" s="9">
        <v>0.0</v>
      </c>
      <c r="G1131" s="19">
        <v>2457.21</v>
      </c>
      <c r="H1131" s="9" t="s">
        <v>4723</v>
      </c>
      <c r="I1131" s="9" t="s">
        <v>4718</v>
      </c>
      <c r="J1131" s="9" t="s">
        <v>4731</v>
      </c>
      <c r="K1131" s="20">
        <f t="shared" si="2"/>
        <v>2002</v>
      </c>
      <c r="L1131" s="9" t="str">
        <f t="shared" si="3"/>
        <v>tier - 2</v>
      </c>
      <c r="M1131" s="9" t="str">
        <f t="shared" si="4"/>
        <v>tier - 1</v>
      </c>
      <c r="N1131" s="9" t="str">
        <f t="shared" si="5"/>
        <v>R1024</v>
      </c>
      <c r="O1131" s="17">
        <f t="shared" si="6"/>
        <v>20</v>
      </c>
      <c r="P1131" s="18">
        <v>37466.0</v>
      </c>
    </row>
    <row r="1132" ht="15.75" customHeight="1">
      <c r="A1132" s="9" t="s">
        <v>4169</v>
      </c>
      <c r="B1132" s="17">
        <v>1998.0</v>
      </c>
      <c r="C1132" s="9" t="s">
        <v>4735</v>
      </c>
      <c r="D1132" s="9">
        <v>19.0</v>
      </c>
      <c r="E1132" s="18">
        <f t="shared" si="1"/>
        <v>36118</v>
      </c>
      <c r="F1132" s="9">
        <v>0.0</v>
      </c>
      <c r="G1132" s="19">
        <v>2457.5</v>
      </c>
      <c r="H1132" s="9" t="s">
        <v>4723</v>
      </c>
      <c r="I1132" s="9" t="s">
        <v>4718</v>
      </c>
      <c r="J1132" s="9" t="s">
        <v>4719</v>
      </c>
      <c r="K1132" s="20">
        <f t="shared" si="2"/>
        <v>1998</v>
      </c>
      <c r="L1132" s="9" t="str">
        <f t="shared" si="3"/>
        <v>tier - 2</v>
      </c>
      <c r="M1132" s="9" t="str">
        <f t="shared" si="4"/>
        <v>tier - 1</v>
      </c>
      <c r="N1132" s="9" t="str">
        <f t="shared" si="5"/>
        <v>R1011</v>
      </c>
      <c r="O1132" s="17">
        <f t="shared" si="6"/>
        <v>24</v>
      </c>
      <c r="P1132" s="18">
        <v>36118.0</v>
      </c>
    </row>
    <row r="1133" ht="15.75" customHeight="1">
      <c r="A1133" s="9" t="s">
        <v>4167</v>
      </c>
      <c r="B1133" s="17">
        <v>2002.0</v>
      </c>
      <c r="C1133" s="9" t="s">
        <v>4741</v>
      </c>
      <c r="D1133" s="9">
        <v>11.0</v>
      </c>
      <c r="E1133" s="18">
        <f t="shared" si="1"/>
        <v>37448</v>
      </c>
      <c r="F1133" s="9">
        <v>0.0</v>
      </c>
      <c r="G1133" s="19">
        <v>2459.72</v>
      </c>
      <c r="H1133" s="9" t="s">
        <v>4723</v>
      </c>
      <c r="I1133" s="9" t="s">
        <v>4723</v>
      </c>
      <c r="J1133" s="9" t="s">
        <v>4731</v>
      </c>
      <c r="K1133" s="20">
        <f t="shared" si="2"/>
        <v>2002</v>
      </c>
      <c r="L1133" s="9" t="str">
        <f t="shared" si="3"/>
        <v>tier - 2</v>
      </c>
      <c r="M1133" s="9" t="str">
        <f t="shared" si="4"/>
        <v>tier - 2</v>
      </c>
      <c r="N1133" s="9" t="str">
        <f t="shared" si="5"/>
        <v>R1024</v>
      </c>
      <c r="O1133" s="17">
        <f t="shared" si="6"/>
        <v>20</v>
      </c>
      <c r="P1133" s="18">
        <v>37448.0</v>
      </c>
    </row>
    <row r="1134" ht="15.75" customHeight="1">
      <c r="A1134" s="9" t="s">
        <v>4165</v>
      </c>
      <c r="B1134" s="17">
        <v>1998.0</v>
      </c>
      <c r="C1134" s="9" t="s">
        <v>4716</v>
      </c>
      <c r="D1134" s="9">
        <v>17.0</v>
      </c>
      <c r="E1134" s="18">
        <f t="shared" si="1"/>
        <v>36024</v>
      </c>
      <c r="F1134" s="9">
        <v>0.0</v>
      </c>
      <c r="G1134" s="19">
        <v>2464.62</v>
      </c>
      <c r="H1134" s="9" t="s">
        <v>4723</v>
      </c>
      <c r="I1134" s="9" t="s">
        <v>4717</v>
      </c>
      <c r="J1134" s="9" t="s">
        <v>4743</v>
      </c>
      <c r="K1134" s="20">
        <f t="shared" si="2"/>
        <v>1998</v>
      </c>
      <c r="L1134" s="9" t="str">
        <f t="shared" si="3"/>
        <v>tier - 2</v>
      </c>
      <c r="M1134" s="9" t="str">
        <f t="shared" si="4"/>
        <v>tier - 3</v>
      </c>
      <c r="N1134" s="9" t="str">
        <f t="shared" si="5"/>
        <v>R1013</v>
      </c>
      <c r="O1134" s="17">
        <f t="shared" si="6"/>
        <v>24</v>
      </c>
      <c r="P1134" s="18">
        <v>36024.0</v>
      </c>
    </row>
    <row r="1135" ht="15.75" customHeight="1">
      <c r="A1135" s="9" t="s">
        <v>4163</v>
      </c>
      <c r="B1135" s="17">
        <v>1998.0</v>
      </c>
      <c r="C1135" s="9" t="s">
        <v>4741</v>
      </c>
      <c r="D1135" s="9">
        <v>2.0</v>
      </c>
      <c r="E1135" s="18">
        <f t="shared" si="1"/>
        <v>35978</v>
      </c>
      <c r="F1135" s="9">
        <v>0.0</v>
      </c>
      <c r="G1135" s="19">
        <v>2473.33</v>
      </c>
      <c r="H1135" s="9" t="s">
        <v>4723</v>
      </c>
      <c r="I1135" s="9" t="s">
        <v>4717</v>
      </c>
      <c r="J1135" s="9" t="s">
        <v>4743</v>
      </c>
      <c r="K1135" s="20">
        <f t="shared" si="2"/>
        <v>1998</v>
      </c>
      <c r="L1135" s="9" t="str">
        <f t="shared" si="3"/>
        <v>tier - 2</v>
      </c>
      <c r="M1135" s="9" t="str">
        <f t="shared" si="4"/>
        <v>tier - 3</v>
      </c>
      <c r="N1135" s="9" t="str">
        <f t="shared" si="5"/>
        <v>R1013</v>
      </c>
      <c r="O1135" s="17">
        <f t="shared" si="6"/>
        <v>24</v>
      </c>
      <c r="P1135" s="18">
        <v>35978.0</v>
      </c>
    </row>
    <row r="1136" ht="15.75" customHeight="1">
      <c r="A1136" s="9" t="s">
        <v>4161</v>
      </c>
      <c r="B1136" s="17">
        <v>1998.0</v>
      </c>
      <c r="C1136" s="9" t="s">
        <v>4730</v>
      </c>
      <c r="D1136" s="9">
        <v>20.0</v>
      </c>
      <c r="E1136" s="18">
        <f t="shared" si="1"/>
        <v>35966</v>
      </c>
      <c r="F1136" s="9">
        <v>0.0</v>
      </c>
      <c r="G1136" s="19">
        <v>2480.98</v>
      </c>
      <c r="H1136" s="9" t="s">
        <v>4723</v>
      </c>
      <c r="I1136" s="9" t="s">
        <v>4723</v>
      </c>
      <c r="J1136" s="9" t="s">
        <v>4743</v>
      </c>
      <c r="K1136" s="20">
        <f t="shared" si="2"/>
        <v>1998</v>
      </c>
      <c r="L1136" s="9" t="str">
        <f t="shared" si="3"/>
        <v>tier - 2</v>
      </c>
      <c r="M1136" s="9" t="str">
        <f t="shared" si="4"/>
        <v>tier - 2</v>
      </c>
      <c r="N1136" s="9" t="str">
        <f t="shared" si="5"/>
        <v>R1013</v>
      </c>
      <c r="O1136" s="17">
        <f t="shared" si="6"/>
        <v>24</v>
      </c>
      <c r="P1136" s="18">
        <v>35966.0</v>
      </c>
    </row>
    <row r="1137" ht="15.75" customHeight="1">
      <c r="A1137" s="9" t="s">
        <v>417</v>
      </c>
      <c r="B1137" s="17">
        <v>1974.0</v>
      </c>
      <c r="C1137" s="9" t="s">
        <v>4741</v>
      </c>
      <c r="D1137" s="9">
        <v>15.0</v>
      </c>
      <c r="E1137" s="18">
        <f t="shared" si="1"/>
        <v>27225</v>
      </c>
      <c r="F1137" s="9">
        <v>0.0</v>
      </c>
      <c r="G1137" s="19">
        <v>35711.39</v>
      </c>
      <c r="H1137" s="9" t="s">
        <v>4723</v>
      </c>
      <c r="I1137" s="9" t="s">
        <v>4717</v>
      </c>
      <c r="J1137" s="9" t="s">
        <v>4733</v>
      </c>
      <c r="K1137" s="20">
        <f t="shared" si="2"/>
        <v>1974</v>
      </c>
      <c r="L1137" s="9" t="str">
        <f t="shared" si="3"/>
        <v>tier - 2</v>
      </c>
      <c r="M1137" s="9" t="str">
        <f t="shared" si="4"/>
        <v>tier - 3</v>
      </c>
      <c r="N1137" s="9" t="str">
        <f t="shared" si="5"/>
        <v>R1012</v>
      </c>
      <c r="O1137" s="17">
        <f t="shared" si="6"/>
        <v>48</v>
      </c>
      <c r="P1137" s="18">
        <v>27225.0</v>
      </c>
    </row>
    <row r="1138" ht="15.75" customHeight="1">
      <c r="A1138" s="9" t="s">
        <v>4159</v>
      </c>
      <c r="B1138" s="17">
        <v>1995.0</v>
      </c>
      <c r="C1138" s="9" t="s">
        <v>4735</v>
      </c>
      <c r="D1138" s="9">
        <v>6.0</v>
      </c>
      <c r="E1138" s="18">
        <f t="shared" si="1"/>
        <v>35009</v>
      </c>
      <c r="F1138" s="9">
        <v>0.0</v>
      </c>
      <c r="G1138" s="19">
        <v>2483.74</v>
      </c>
      <c r="H1138" s="9" t="s">
        <v>4717</v>
      </c>
      <c r="I1138" s="9" t="s">
        <v>4723</v>
      </c>
      <c r="J1138" s="9" t="s">
        <v>4743</v>
      </c>
      <c r="K1138" s="20">
        <f t="shared" si="2"/>
        <v>1995</v>
      </c>
      <c r="L1138" s="9" t="str">
        <f t="shared" si="3"/>
        <v>tier - 3</v>
      </c>
      <c r="M1138" s="9" t="str">
        <f t="shared" si="4"/>
        <v>tier - 2</v>
      </c>
      <c r="N1138" s="9" t="str">
        <f t="shared" si="5"/>
        <v>R1013</v>
      </c>
      <c r="O1138" s="17">
        <f t="shared" si="6"/>
        <v>27</v>
      </c>
      <c r="P1138" s="18">
        <v>35009.0</v>
      </c>
    </row>
    <row r="1139" ht="15.75" customHeight="1">
      <c r="A1139" s="9" t="s">
        <v>4157</v>
      </c>
      <c r="B1139" s="17">
        <v>1995.0</v>
      </c>
      <c r="C1139" s="9" t="s">
        <v>4720</v>
      </c>
      <c r="D1139" s="9">
        <v>14.0</v>
      </c>
      <c r="E1139" s="18">
        <f t="shared" si="1"/>
        <v>34986</v>
      </c>
      <c r="F1139" s="9">
        <v>0.0</v>
      </c>
      <c r="G1139" s="19">
        <v>2494.02</v>
      </c>
      <c r="H1139" s="9" t="s">
        <v>4717</v>
      </c>
      <c r="I1139" s="9" t="s">
        <v>4718</v>
      </c>
      <c r="J1139" s="9" t="s">
        <v>4719</v>
      </c>
      <c r="K1139" s="20">
        <f t="shared" si="2"/>
        <v>1995</v>
      </c>
      <c r="L1139" s="9" t="str">
        <f t="shared" si="3"/>
        <v>tier - 3</v>
      </c>
      <c r="M1139" s="9" t="str">
        <f t="shared" si="4"/>
        <v>tier - 1</v>
      </c>
      <c r="N1139" s="9" t="str">
        <f t="shared" si="5"/>
        <v>R1011</v>
      </c>
      <c r="O1139" s="17">
        <f t="shared" si="6"/>
        <v>27</v>
      </c>
      <c r="P1139" s="18">
        <v>34986.0</v>
      </c>
    </row>
    <row r="1140" ht="15.75" customHeight="1">
      <c r="A1140" s="9" t="s">
        <v>4155</v>
      </c>
      <c r="B1140" s="17">
        <v>1995.0</v>
      </c>
      <c r="C1140" s="9" t="s">
        <v>4741</v>
      </c>
      <c r="D1140" s="9">
        <v>9.0</v>
      </c>
      <c r="E1140" s="18">
        <f t="shared" si="1"/>
        <v>34889</v>
      </c>
      <c r="F1140" s="9">
        <v>0.0</v>
      </c>
      <c r="G1140" s="19">
        <v>2497.04</v>
      </c>
      <c r="H1140" s="9" t="s">
        <v>4717</v>
      </c>
      <c r="I1140" s="9" t="s">
        <v>4717</v>
      </c>
      <c r="J1140" s="9" t="s">
        <v>4743</v>
      </c>
      <c r="K1140" s="20">
        <f t="shared" si="2"/>
        <v>1995</v>
      </c>
      <c r="L1140" s="9" t="str">
        <f t="shared" si="3"/>
        <v>tier - 3</v>
      </c>
      <c r="M1140" s="9" t="str">
        <f t="shared" si="4"/>
        <v>tier - 3</v>
      </c>
      <c r="N1140" s="9" t="str">
        <f t="shared" si="5"/>
        <v>R1013</v>
      </c>
      <c r="O1140" s="17">
        <f t="shared" si="6"/>
        <v>27</v>
      </c>
      <c r="P1140" s="18">
        <v>34889.0</v>
      </c>
    </row>
    <row r="1141" ht="15.75" customHeight="1">
      <c r="A1141" s="9" t="s">
        <v>4153</v>
      </c>
      <c r="B1141" s="17">
        <v>1995.0</v>
      </c>
      <c r="C1141" s="9" t="s">
        <v>4720</v>
      </c>
      <c r="D1141" s="9">
        <v>15.0</v>
      </c>
      <c r="E1141" s="18">
        <f t="shared" si="1"/>
        <v>34987</v>
      </c>
      <c r="F1141" s="9">
        <v>0.0</v>
      </c>
      <c r="G1141" s="19">
        <v>2498.41</v>
      </c>
      <c r="H1141" s="9" t="s">
        <v>4717</v>
      </c>
      <c r="I1141" s="9" t="s">
        <v>4717</v>
      </c>
      <c r="J1141" s="9" t="s">
        <v>4743</v>
      </c>
      <c r="K1141" s="20">
        <f t="shared" si="2"/>
        <v>1995</v>
      </c>
      <c r="L1141" s="9" t="str">
        <f t="shared" si="3"/>
        <v>tier - 3</v>
      </c>
      <c r="M1141" s="9" t="str">
        <f t="shared" si="4"/>
        <v>tier - 3</v>
      </c>
      <c r="N1141" s="9" t="str">
        <f t="shared" si="5"/>
        <v>R1013</v>
      </c>
      <c r="O1141" s="17">
        <f t="shared" si="6"/>
        <v>27</v>
      </c>
      <c r="P1141" s="18">
        <v>34987.0</v>
      </c>
    </row>
    <row r="1142" ht="15.75" customHeight="1">
      <c r="A1142" s="9" t="s">
        <v>4151</v>
      </c>
      <c r="B1142" s="17">
        <v>2004.0</v>
      </c>
      <c r="C1142" s="9" t="s">
        <v>4738</v>
      </c>
      <c r="D1142" s="9">
        <v>6.0</v>
      </c>
      <c r="E1142" s="18">
        <f t="shared" si="1"/>
        <v>38236</v>
      </c>
      <c r="F1142" s="9">
        <v>0.0</v>
      </c>
      <c r="G1142" s="19">
        <v>2500.93</v>
      </c>
      <c r="H1142" s="9" t="s">
        <v>4723</v>
      </c>
      <c r="I1142" s="9" t="s">
        <v>4723</v>
      </c>
      <c r="J1142" s="9" t="s">
        <v>4733</v>
      </c>
      <c r="K1142" s="20">
        <f t="shared" si="2"/>
        <v>2004</v>
      </c>
      <c r="L1142" s="9" t="str">
        <f t="shared" si="3"/>
        <v>tier - 2</v>
      </c>
      <c r="M1142" s="9" t="str">
        <f t="shared" si="4"/>
        <v>tier - 2</v>
      </c>
      <c r="N1142" s="9" t="str">
        <f t="shared" si="5"/>
        <v>R1012</v>
      </c>
      <c r="O1142" s="17">
        <f t="shared" si="6"/>
        <v>18</v>
      </c>
      <c r="P1142" s="18">
        <v>38236.0</v>
      </c>
    </row>
    <row r="1143" ht="15.75" customHeight="1">
      <c r="A1143" s="9" t="s">
        <v>4149</v>
      </c>
      <c r="B1143" s="17">
        <v>1991.0</v>
      </c>
      <c r="C1143" s="9" t="s">
        <v>4716</v>
      </c>
      <c r="D1143" s="9">
        <v>5.0</v>
      </c>
      <c r="E1143" s="18">
        <f t="shared" si="1"/>
        <v>33455</v>
      </c>
      <c r="F1143" s="9">
        <v>3.0</v>
      </c>
      <c r="G1143" s="19">
        <v>2510.79</v>
      </c>
      <c r="H1143" s="9" t="s">
        <v>4723</v>
      </c>
      <c r="I1143" s="9" t="s">
        <v>4718</v>
      </c>
      <c r="J1143" s="9" t="s">
        <v>4743</v>
      </c>
      <c r="K1143" s="20">
        <f t="shared" si="2"/>
        <v>1991</v>
      </c>
      <c r="L1143" s="9" t="str">
        <f t="shared" si="3"/>
        <v>tier - 2</v>
      </c>
      <c r="M1143" s="9" t="str">
        <f t="shared" si="4"/>
        <v>tier - 1</v>
      </c>
      <c r="N1143" s="9" t="str">
        <f t="shared" si="5"/>
        <v>R1013</v>
      </c>
      <c r="O1143" s="17">
        <f t="shared" si="6"/>
        <v>31</v>
      </c>
      <c r="P1143" s="18">
        <v>33455.0</v>
      </c>
    </row>
    <row r="1144" ht="15.75" customHeight="1">
      <c r="A1144" s="9" t="s">
        <v>4147</v>
      </c>
      <c r="B1144" s="17">
        <v>1997.0</v>
      </c>
      <c r="C1144" s="9" t="s">
        <v>4735</v>
      </c>
      <c r="D1144" s="9">
        <v>2.0</v>
      </c>
      <c r="E1144" s="18">
        <f t="shared" si="1"/>
        <v>35736</v>
      </c>
      <c r="F1144" s="9">
        <v>0.0</v>
      </c>
      <c r="G1144" s="19">
        <v>2523.17</v>
      </c>
      <c r="H1144" s="9" t="s">
        <v>4717</v>
      </c>
      <c r="I1144" s="9" t="s">
        <v>4718</v>
      </c>
      <c r="J1144" s="9" t="s">
        <v>4733</v>
      </c>
      <c r="K1144" s="20">
        <f t="shared" si="2"/>
        <v>1997</v>
      </c>
      <c r="L1144" s="9" t="str">
        <f t="shared" si="3"/>
        <v>tier - 3</v>
      </c>
      <c r="M1144" s="9" t="str">
        <f t="shared" si="4"/>
        <v>tier - 1</v>
      </c>
      <c r="N1144" s="9" t="str">
        <f t="shared" si="5"/>
        <v>R1012</v>
      </c>
      <c r="O1144" s="17">
        <f t="shared" si="6"/>
        <v>25</v>
      </c>
      <c r="P1144" s="18">
        <v>35736.0</v>
      </c>
    </row>
    <row r="1145" ht="15.75" customHeight="1">
      <c r="A1145" s="9" t="s">
        <v>4145</v>
      </c>
      <c r="B1145" s="17">
        <v>2000.0</v>
      </c>
      <c r="C1145" s="9" t="s">
        <v>4716</v>
      </c>
      <c r="D1145" s="9">
        <v>25.0</v>
      </c>
      <c r="E1145" s="18">
        <f t="shared" si="1"/>
        <v>36763</v>
      </c>
      <c r="F1145" s="9">
        <v>0.0</v>
      </c>
      <c r="G1145" s="19">
        <v>2527.82</v>
      </c>
      <c r="H1145" s="9" t="s">
        <v>4723</v>
      </c>
      <c r="I1145" s="9" t="s">
        <v>4717</v>
      </c>
      <c r="J1145" s="9" t="s">
        <v>4733</v>
      </c>
      <c r="K1145" s="20">
        <f t="shared" si="2"/>
        <v>2000</v>
      </c>
      <c r="L1145" s="9" t="str">
        <f t="shared" si="3"/>
        <v>tier - 2</v>
      </c>
      <c r="M1145" s="9" t="str">
        <f t="shared" si="4"/>
        <v>tier - 3</v>
      </c>
      <c r="N1145" s="9" t="str">
        <f t="shared" si="5"/>
        <v>R1012</v>
      </c>
      <c r="O1145" s="17">
        <f t="shared" si="6"/>
        <v>22</v>
      </c>
      <c r="P1145" s="18">
        <v>36763.0</v>
      </c>
    </row>
    <row r="1146" ht="15.75" customHeight="1">
      <c r="A1146" s="9" t="s">
        <v>4143</v>
      </c>
      <c r="B1146" s="17">
        <v>1997.0</v>
      </c>
      <c r="C1146" s="9" t="s">
        <v>4741</v>
      </c>
      <c r="D1146" s="9">
        <v>28.0</v>
      </c>
      <c r="E1146" s="18">
        <f t="shared" si="1"/>
        <v>35639</v>
      </c>
      <c r="F1146" s="9">
        <v>0.0</v>
      </c>
      <c r="G1146" s="19">
        <v>2534.39</v>
      </c>
      <c r="H1146" s="9" t="s">
        <v>4717</v>
      </c>
      <c r="I1146" s="9" t="s">
        <v>4717</v>
      </c>
      <c r="J1146" s="9" t="s">
        <v>4733</v>
      </c>
      <c r="K1146" s="20">
        <f t="shared" si="2"/>
        <v>1997</v>
      </c>
      <c r="L1146" s="9" t="str">
        <f t="shared" si="3"/>
        <v>tier - 3</v>
      </c>
      <c r="M1146" s="9" t="str">
        <f t="shared" si="4"/>
        <v>tier - 3</v>
      </c>
      <c r="N1146" s="9" t="str">
        <f t="shared" si="5"/>
        <v>R1012</v>
      </c>
      <c r="O1146" s="17">
        <f t="shared" si="6"/>
        <v>25</v>
      </c>
      <c r="P1146" s="18">
        <v>35639.0</v>
      </c>
    </row>
    <row r="1147" ht="15.75" customHeight="1">
      <c r="A1147" s="9" t="s">
        <v>4141</v>
      </c>
      <c r="B1147" s="17">
        <v>1990.0</v>
      </c>
      <c r="C1147" s="9" t="s">
        <v>4720</v>
      </c>
      <c r="D1147" s="9">
        <v>1.0</v>
      </c>
      <c r="E1147" s="18">
        <f t="shared" si="1"/>
        <v>33147</v>
      </c>
      <c r="F1147" s="9">
        <v>3.0</v>
      </c>
      <c r="G1147" s="19">
        <v>2540.39</v>
      </c>
      <c r="H1147" s="9" t="s">
        <v>4723</v>
      </c>
      <c r="I1147" s="9" t="s">
        <v>4723</v>
      </c>
      <c r="J1147" s="9" t="s">
        <v>4743</v>
      </c>
      <c r="K1147" s="20">
        <f t="shared" si="2"/>
        <v>1990</v>
      </c>
      <c r="L1147" s="9" t="str">
        <f t="shared" si="3"/>
        <v>tier - 2</v>
      </c>
      <c r="M1147" s="9" t="str">
        <f t="shared" si="4"/>
        <v>tier - 2</v>
      </c>
      <c r="N1147" s="9" t="str">
        <f t="shared" si="5"/>
        <v>R1013</v>
      </c>
      <c r="O1147" s="17">
        <f t="shared" si="6"/>
        <v>32</v>
      </c>
      <c r="P1147" s="18">
        <v>33147.0</v>
      </c>
    </row>
    <row r="1148" ht="15.75" customHeight="1">
      <c r="A1148" s="9" t="s">
        <v>415</v>
      </c>
      <c r="B1148" s="17">
        <v>1976.0</v>
      </c>
      <c r="C1148" s="9" t="s">
        <v>4720</v>
      </c>
      <c r="D1148" s="9">
        <v>4.0</v>
      </c>
      <c r="E1148" s="18">
        <f t="shared" si="1"/>
        <v>28037</v>
      </c>
      <c r="F1148" s="9">
        <v>2.0</v>
      </c>
      <c r="G1148" s="19">
        <v>35733.96</v>
      </c>
      <c r="H1148" s="9" t="s">
        <v>4723</v>
      </c>
      <c r="I1148" s="9" t="s">
        <v>4723</v>
      </c>
      <c r="J1148" s="9" t="s">
        <v>4719</v>
      </c>
      <c r="K1148" s="20">
        <f t="shared" si="2"/>
        <v>1976</v>
      </c>
      <c r="L1148" s="9" t="str">
        <f t="shared" si="3"/>
        <v>tier - 2</v>
      </c>
      <c r="M1148" s="9" t="str">
        <f t="shared" si="4"/>
        <v>tier - 2</v>
      </c>
      <c r="N1148" s="9" t="str">
        <f t="shared" si="5"/>
        <v>R1011</v>
      </c>
      <c r="O1148" s="17">
        <f t="shared" si="6"/>
        <v>46</v>
      </c>
      <c r="P1148" s="18">
        <v>28037.0</v>
      </c>
    </row>
    <row r="1149" ht="15.75" customHeight="1">
      <c r="A1149" s="9" t="s">
        <v>4139</v>
      </c>
      <c r="B1149" s="17">
        <v>1991.0</v>
      </c>
      <c r="C1149" s="9" t="s">
        <v>4735</v>
      </c>
      <c r="D1149" s="9">
        <v>17.0</v>
      </c>
      <c r="E1149" s="18">
        <f t="shared" si="1"/>
        <v>33559</v>
      </c>
      <c r="F1149" s="9">
        <v>3.0</v>
      </c>
      <c r="G1149" s="19">
        <v>2545.68</v>
      </c>
      <c r="H1149" s="9" t="s">
        <v>4723</v>
      </c>
      <c r="I1149" s="9" t="s">
        <v>4718</v>
      </c>
      <c r="J1149" s="9" t="s">
        <v>4743</v>
      </c>
      <c r="K1149" s="20">
        <f t="shared" si="2"/>
        <v>1991</v>
      </c>
      <c r="L1149" s="9" t="str">
        <f t="shared" si="3"/>
        <v>tier - 2</v>
      </c>
      <c r="M1149" s="9" t="str">
        <f t="shared" si="4"/>
        <v>tier - 1</v>
      </c>
      <c r="N1149" s="9" t="str">
        <f t="shared" si="5"/>
        <v>R1013</v>
      </c>
      <c r="O1149" s="17">
        <f t="shared" si="6"/>
        <v>31</v>
      </c>
      <c r="P1149" s="18">
        <v>33559.0</v>
      </c>
    </row>
    <row r="1150" ht="15.75" customHeight="1">
      <c r="A1150" s="9" t="s">
        <v>4137</v>
      </c>
      <c r="B1150" s="17">
        <v>2002.0</v>
      </c>
      <c r="C1150" s="9" t="s">
        <v>4720</v>
      </c>
      <c r="D1150" s="9">
        <v>11.0</v>
      </c>
      <c r="E1150" s="18">
        <f t="shared" si="1"/>
        <v>37540</v>
      </c>
      <c r="F1150" s="9">
        <v>2.0</v>
      </c>
      <c r="G1150" s="19">
        <v>2566.47</v>
      </c>
      <c r="H1150" s="9" t="s">
        <v>4723</v>
      </c>
      <c r="I1150" s="9" t="s">
        <v>4717</v>
      </c>
      <c r="J1150" s="9" t="s">
        <v>4743</v>
      </c>
      <c r="K1150" s="20">
        <f t="shared" si="2"/>
        <v>2002</v>
      </c>
      <c r="L1150" s="9" t="str">
        <f t="shared" si="3"/>
        <v>tier - 2</v>
      </c>
      <c r="M1150" s="9" t="str">
        <f t="shared" si="4"/>
        <v>tier - 3</v>
      </c>
      <c r="N1150" s="9" t="str">
        <f t="shared" si="5"/>
        <v>R1013</v>
      </c>
      <c r="O1150" s="17">
        <f t="shared" si="6"/>
        <v>20</v>
      </c>
      <c r="P1150" s="18">
        <v>37540.0</v>
      </c>
    </row>
    <row r="1151" ht="15.75" customHeight="1">
      <c r="A1151" s="9" t="s">
        <v>4135</v>
      </c>
      <c r="B1151" s="17">
        <v>2002.0</v>
      </c>
      <c r="C1151" s="9" t="s">
        <v>4741</v>
      </c>
      <c r="D1151" s="9">
        <v>20.0</v>
      </c>
      <c r="E1151" s="18">
        <f t="shared" si="1"/>
        <v>37457</v>
      </c>
      <c r="F1151" s="9">
        <v>0.0</v>
      </c>
      <c r="G1151" s="19">
        <v>2585.04</v>
      </c>
      <c r="H1151" s="9" t="s">
        <v>4723</v>
      </c>
      <c r="I1151" s="9" t="s">
        <v>4723</v>
      </c>
      <c r="J1151" s="9" t="s">
        <v>4751</v>
      </c>
      <c r="K1151" s="20">
        <f t="shared" si="2"/>
        <v>2002</v>
      </c>
      <c r="L1151" s="9" t="str">
        <f t="shared" si="3"/>
        <v>tier - 2</v>
      </c>
      <c r="M1151" s="9" t="str">
        <f t="shared" si="4"/>
        <v>tier - 2</v>
      </c>
      <c r="N1151" s="9" t="str">
        <f t="shared" si="5"/>
        <v>R1021</v>
      </c>
      <c r="O1151" s="17">
        <f t="shared" si="6"/>
        <v>20</v>
      </c>
      <c r="P1151" s="18">
        <v>37457.0</v>
      </c>
    </row>
    <row r="1152" ht="15.75" customHeight="1">
      <c r="A1152" s="9" t="s">
        <v>4133</v>
      </c>
      <c r="B1152" s="17">
        <v>2001.0</v>
      </c>
      <c r="C1152" s="9" t="s">
        <v>4720</v>
      </c>
      <c r="D1152" s="9">
        <v>15.0</v>
      </c>
      <c r="E1152" s="18">
        <f t="shared" si="1"/>
        <v>37179</v>
      </c>
      <c r="F1152" s="9">
        <v>1.0</v>
      </c>
      <c r="G1152" s="19">
        <v>2585.27</v>
      </c>
      <c r="H1152" s="9" t="s">
        <v>4723</v>
      </c>
      <c r="I1152" s="9" t="s">
        <v>4717</v>
      </c>
      <c r="J1152" s="9" t="s">
        <v>4719</v>
      </c>
      <c r="K1152" s="20">
        <f t="shared" si="2"/>
        <v>2001</v>
      </c>
      <c r="L1152" s="9" t="str">
        <f t="shared" si="3"/>
        <v>tier - 2</v>
      </c>
      <c r="M1152" s="9" t="str">
        <f t="shared" si="4"/>
        <v>tier - 3</v>
      </c>
      <c r="N1152" s="9" t="str">
        <f t="shared" si="5"/>
        <v>R1011</v>
      </c>
      <c r="O1152" s="17">
        <f t="shared" si="6"/>
        <v>21</v>
      </c>
      <c r="P1152" s="18">
        <v>37179.0</v>
      </c>
    </row>
    <row r="1153" ht="15.75" customHeight="1">
      <c r="A1153" s="9" t="s">
        <v>4131</v>
      </c>
      <c r="B1153" s="17">
        <v>2001.0</v>
      </c>
      <c r="C1153" s="9" t="s">
        <v>4741</v>
      </c>
      <c r="D1153" s="9">
        <v>28.0</v>
      </c>
      <c r="E1153" s="18">
        <f t="shared" si="1"/>
        <v>37100</v>
      </c>
      <c r="F1153" s="9">
        <v>0.0</v>
      </c>
      <c r="G1153" s="19">
        <v>2585.85</v>
      </c>
      <c r="H1153" s="9" t="s">
        <v>4723</v>
      </c>
      <c r="I1153" s="9" t="s">
        <v>4723</v>
      </c>
      <c r="J1153" s="9" t="s">
        <v>4731</v>
      </c>
      <c r="K1153" s="20">
        <f t="shared" si="2"/>
        <v>2001</v>
      </c>
      <c r="L1153" s="9" t="str">
        <f t="shared" si="3"/>
        <v>tier - 2</v>
      </c>
      <c r="M1153" s="9" t="str">
        <f t="shared" si="4"/>
        <v>tier - 2</v>
      </c>
      <c r="N1153" s="9" t="str">
        <f t="shared" si="5"/>
        <v>R1024</v>
      </c>
      <c r="O1153" s="17">
        <f t="shared" si="6"/>
        <v>21</v>
      </c>
      <c r="P1153" s="18">
        <v>37100.0</v>
      </c>
    </row>
    <row r="1154" ht="15.75" customHeight="1">
      <c r="A1154" s="9" t="s">
        <v>4129</v>
      </c>
      <c r="B1154" s="17">
        <v>2001.0</v>
      </c>
      <c r="C1154" s="9" t="s">
        <v>4716</v>
      </c>
      <c r="D1154" s="9">
        <v>26.0</v>
      </c>
      <c r="E1154" s="18">
        <f t="shared" si="1"/>
        <v>37129</v>
      </c>
      <c r="F1154" s="9">
        <v>1.0</v>
      </c>
      <c r="G1154" s="19">
        <v>2597.78</v>
      </c>
      <c r="H1154" s="9" t="s">
        <v>4723</v>
      </c>
      <c r="I1154" s="9" t="s">
        <v>4718</v>
      </c>
      <c r="J1154" s="9" t="s">
        <v>4719</v>
      </c>
      <c r="K1154" s="20">
        <f t="shared" si="2"/>
        <v>2001</v>
      </c>
      <c r="L1154" s="9" t="str">
        <f t="shared" si="3"/>
        <v>tier - 2</v>
      </c>
      <c r="M1154" s="9" t="str">
        <f t="shared" si="4"/>
        <v>tier - 1</v>
      </c>
      <c r="N1154" s="9" t="str">
        <f t="shared" si="5"/>
        <v>R1011</v>
      </c>
      <c r="O1154" s="17">
        <f t="shared" si="6"/>
        <v>21</v>
      </c>
      <c r="P1154" s="18">
        <v>37129.0</v>
      </c>
    </row>
    <row r="1155" ht="15.75" customHeight="1">
      <c r="A1155" s="9" t="s">
        <v>4127</v>
      </c>
      <c r="B1155" s="17">
        <v>1997.0</v>
      </c>
      <c r="C1155" s="9" t="s">
        <v>4716</v>
      </c>
      <c r="D1155" s="9">
        <v>26.0</v>
      </c>
      <c r="E1155" s="18">
        <f t="shared" si="1"/>
        <v>35668</v>
      </c>
      <c r="F1155" s="9">
        <v>0.0</v>
      </c>
      <c r="G1155" s="19">
        <v>2632.99</v>
      </c>
      <c r="H1155" s="9" t="s">
        <v>4723</v>
      </c>
      <c r="I1155" s="9" t="s">
        <v>4718</v>
      </c>
      <c r="J1155" s="9" t="s">
        <v>4719</v>
      </c>
      <c r="K1155" s="20">
        <f t="shared" si="2"/>
        <v>1997</v>
      </c>
      <c r="L1155" s="9" t="str">
        <f t="shared" si="3"/>
        <v>tier - 2</v>
      </c>
      <c r="M1155" s="9" t="str">
        <f t="shared" si="4"/>
        <v>tier - 1</v>
      </c>
      <c r="N1155" s="9" t="str">
        <f t="shared" si="5"/>
        <v>R1011</v>
      </c>
      <c r="O1155" s="17">
        <f t="shared" si="6"/>
        <v>25</v>
      </c>
      <c r="P1155" s="18">
        <v>35668.0</v>
      </c>
    </row>
    <row r="1156" ht="15.75" customHeight="1">
      <c r="A1156" s="9" t="s">
        <v>4125</v>
      </c>
      <c r="B1156" s="17">
        <v>2000.0</v>
      </c>
      <c r="C1156" s="9" t="s">
        <v>4730</v>
      </c>
      <c r="D1156" s="9">
        <v>24.0</v>
      </c>
      <c r="E1156" s="18">
        <f t="shared" si="1"/>
        <v>36701</v>
      </c>
      <c r="F1156" s="9">
        <v>1.0</v>
      </c>
      <c r="G1156" s="19">
        <v>2639.04</v>
      </c>
      <c r="H1156" s="9" t="s">
        <v>4723</v>
      </c>
      <c r="I1156" s="9" t="s">
        <v>4723</v>
      </c>
      <c r="J1156" s="9" t="s">
        <v>4733</v>
      </c>
      <c r="K1156" s="20">
        <f t="shared" si="2"/>
        <v>2000</v>
      </c>
      <c r="L1156" s="9" t="str">
        <f t="shared" si="3"/>
        <v>tier - 2</v>
      </c>
      <c r="M1156" s="9" t="str">
        <f t="shared" si="4"/>
        <v>tier - 2</v>
      </c>
      <c r="N1156" s="9" t="str">
        <f t="shared" si="5"/>
        <v>R1012</v>
      </c>
      <c r="O1156" s="17">
        <f t="shared" si="6"/>
        <v>22</v>
      </c>
      <c r="P1156" s="18">
        <v>36701.0</v>
      </c>
    </row>
    <row r="1157" ht="15.75" customHeight="1">
      <c r="A1157" s="9" t="s">
        <v>4123</v>
      </c>
      <c r="B1157" s="17">
        <v>2000.0</v>
      </c>
      <c r="C1157" s="9" t="s">
        <v>4725</v>
      </c>
      <c r="D1157" s="9">
        <v>9.0</v>
      </c>
      <c r="E1157" s="18">
        <f t="shared" si="1"/>
        <v>36869</v>
      </c>
      <c r="F1157" s="9">
        <v>1.0</v>
      </c>
      <c r="G1157" s="19">
        <v>2643.27</v>
      </c>
      <c r="H1157" s="9" t="s">
        <v>4723</v>
      </c>
      <c r="I1157" s="9" t="s">
        <v>4718</v>
      </c>
      <c r="J1157" s="9" t="s">
        <v>4733</v>
      </c>
      <c r="K1157" s="20">
        <f t="shared" si="2"/>
        <v>2000</v>
      </c>
      <c r="L1157" s="9" t="str">
        <f t="shared" si="3"/>
        <v>tier - 2</v>
      </c>
      <c r="M1157" s="9" t="str">
        <f t="shared" si="4"/>
        <v>tier - 1</v>
      </c>
      <c r="N1157" s="9" t="str">
        <f t="shared" si="5"/>
        <v>R1012</v>
      </c>
      <c r="O1157" s="17">
        <f t="shared" si="6"/>
        <v>22</v>
      </c>
      <c r="P1157" s="18">
        <v>36869.0</v>
      </c>
    </row>
    <row r="1158" ht="15.75" customHeight="1">
      <c r="A1158" s="9" t="s">
        <v>4121</v>
      </c>
      <c r="B1158" s="17">
        <v>1996.0</v>
      </c>
      <c r="C1158" s="9" t="s">
        <v>4716</v>
      </c>
      <c r="D1158" s="9">
        <v>5.0</v>
      </c>
      <c r="E1158" s="18">
        <f t="shared" si="1"/>
        <v>35282</v>
      </c>
      <c r="F1158" s="9">
        <v>0.0</v>
      </c>
      <c r="G1158" s="19">
        <v>2680.95</v>
      </c>
      <c r="H1158" s="9" t="s">
        <v>4717</v>
      </c>
      <c r="I1158" s="9" t="s">
        <v>4723</v>
      </c>
      <c r="J1158" s="9" t="s">
        <v>4733</v>
      </c>
      <c r="K1158" s="20">
        <f t="shared" si="2"/>
        <v>1996</v>
      </c>
      <c r="L1158" s="9" t="str">
        <f t="shared" si="3"/>
        <v>tier - 3</v>
      </c>
      <c r="M1158" s="9" t="str">
        <f t="shared" si="4"/>
        <v>tier - 2</v>
      </c>
      <c r="N1158" s="9" t="str">
        <f t="shared" si="5"/>
        <v>R1012</v>
      </c>
      <c r="O1158" s="17">
        <f t="shared" si="6"/>
        <v>26</v>
      </c>
      <c r="P1158" s="18">
        <v>35282.0</v>
      </c>
    </row>
    <row r="1159" ht="15.75" customHeight="1">
      <c r="A1159" s="9" t="s">
        <v>413</v>
      </c>
      <c r="B1159" s="17">
        <v>1992.0</v>
      </c>
      <c r="C1159" s="9" t="s">
        <v>4730</v>
      </c>
      <c r="D1159" s="9">
        <v>18.0</v>
      </c>
      <c r="E1159" s="18">
        <f t="shared" si="1"/>
        <v>33773</v>
      </c>
      <c r="F1159" s="9">
        <v>0.0</v>
      </c>
      <c r="G1159" s="19">
        <v>35883.27</v>
      </c>
      <c r="H1159" s="9" t="s">
        <v>4723</v>
      </c>
      <c r="I1159" s="9" t="s">
        <v>4718</v>
      </c>
      <c r="J1159" s="9" t="s">
        <v>4719</v>
      </c>
      <c r="K1159" s="20">
        <f t="shared" si="2"/>
        <v>1992</v>
      </c>
      <c r="L1159" s="9" t="str">
        <f t="shared" si="3"/>
        <v>tier - 2</v>
      </c>
      <c r="M1159" s="9" t="str">
        <f t="shared" si="4"/>
        <v>tier - 1</v>
      </c>
      <c r="N1159" s="9" t="str">
        <f t="shared" si="5"/>
        <v>R1011</v>
      </c>
      <c r="O1159" s="17">
        <f t="shared" si="6"/>
        <v>30</v>
      </c>
      <c r="P1159" s="18">
        <v>33773.0</v>
      </c>
    </row>
    <row r="1160" ht="15.75" customHeight="1">
      <c r="A1160" s="9" t="s">
        <v>4119</v>
      </c>
      <c r="B1160" s="17">
        <v>1994.0</v>
      </c>
      <c r="C1160" s="9" t="s">
        <v>4738</v>
      </c>
      <c r="D1160" s="9">
        <v>17.0</v>
      </c>
      <c r="E1160" s="18">
        <f t="shared" si="1"/>
        <v>34594</v>
      </c>
      <c r="F1160" s="9">
        <v>0.0</v>
      </c>
      <c r="G1160" s="19">
        <v>2684.69</v>
      </c>
      <c r="H1160" s="9" t="s">
        <v>4723</v>
      </c>
      <c r="I1160" s="9" t="s">
        <v>4723</v>
      </c>
      <c r="J1160" s="9" t="s">
        <v>4743</v>
      </c>
      <c r="K1160" s="20">
        <f t="shared" si="2"/>
        <v>1994</v>
      </c>
      <c r="L1160" s="9" t="str">
        <f t="shared" si="3"/>
        <v>tier - 2</v>
      </c>
      <c r="M1160" s="9" t="str">
        <f t="shared" si="4"/>
        <v>tier - 2</v>
      </c>
      <c r="N1160" s="9" t="str">
        <f t="shared" si="5"/>
        <v>R1013</v>
      </c>
      <c r="O1160" s="17">
        <f t="shared" si="6"/>
        <v>28</v>
      </c>
      <c r="P1160" s="18">
        <v>34594.0</v>
      </c>
    </row>
    <row r="1161" ht="15.75" customHeight="1">
      <c r="A1161" s="9" t="s">
        <v>4117</v>
      </c>
      <c r="B1161" s="17">
        <v>1994.0</v>
      </c>
      <c r="C1161" s="9" t="s">
        <v>4720</v>
      </c>
      <c r="D1161" s="9">
        <v>2.0</v>
      </c>
      <c r="E1161" s="18">
        <f t="shared" si="1"/>
        <v>34609</v>
      </c>
      <c r="F1161" s="9">
        <v>0.0</v>
      </c>
      <c r="G1161" s="19">
        <v>2689.5</v>
      </c>
      <c r="H1161" s="9" t="s">
        <v>4717</v>
      </c>
      <c r="I1161" s="9" t="s">
        <v>4723</v>
      </c>
      <c r="J1161" s="9" t="s">
        <v>4743</v>
      </c>
      <c r="K1161" s="20">
        <f t="shared" si="2"/>
        <v>1994</v>
      </c>
      <c r="L1161" s="9" t="str">
        <f t="shared" si="3"/>
        <v>tier - 3</v>
      </c>
      <c r="M1161" s="9" t="str">
        <f t="shared" si="4"/>
        <v>tier - 2</v>
      </c>
      <c r="N1161" s="9" t="str">
        <f t="shared" si="5"/>
        <v>R1013</v>
      </c>
      <c r="O1161" s="17">
        <f t="shared" si="6"/>
        <v>28</v>
      </c>
      <c r="P1161" s="18">
        <v>34609.0</v>
      </c>
    </row>
    <row r="1162" ht="15.75" customHeight="1">
      <c r="A1162" s="9" t="s">
        <v>4115</v>
      </c>
      <c r="B1162" s="17">
        <v>1999.0</v>
      </c>
      <c r="C1162" s="9" t="s">
        <v>4730</v>
      </c>
      <c r="D1162" s="9">
        <v>11.0</v>
      </c>
      <c r="E1162" s="18">
        <f t="shared" si="1"/>
        <v>36322</v>
      </c>
      <c r="F1162" s="9">
        <v>0.0</v>
      </c>
      <c r="G1162" s="19">
        <v>2690.11</v>
      </c>
      <c r="H1162" s="9" t="s">
        <v>4723</v>
      </c>
      <c r="I1162" s="9" t="s">
        <v>4723</v>
      </c>
      <c r="J1162" s="9" t="s">
        <v>4733</v>
      </c>
      <c r="K1162" s="20">
        <f t="shared" si="2"/>
        <v>1999</v>
      </c>
      <c r="L1162" s="9" t="str">
        <f t="shared" si="3"/>
        <v>tier - 2</v>
      </c>
      <c r="M1162" s="9" t="str">
        <f t="shared" si="4"/>
        <v>tier - 2</v>
      </c>
      <c r="N1162" s="9" t="str">
        <f t="shared" si="5"/>
        <v>R1012</v>
      </c>
      <c r="O1162" s="17">
        <f t="shared" si="6"/>
        <v>23</v>
      </c>
      <c r="P1162" s="18">
        <v>36322.0</v>
      </c>
    </row>
    <row r="1163" ht="15.75" customHeight="1">
      <c r="A1163" s="9" t="s">
        <v>4113</v>
      </c>
      <c r="B1163" s="17">
        <v>1996.0</v>
      </c>
      <c r="C1163" s="9" t="s">
        <v>4730</v>
      </c>
      <c r="D1163" s="9">
        <v>13.0</v>
      </c>
      <c r="E1163" s="18">
        <f t="shared" si="1"/>
        <v>35229</v>
      </c>
      <c r="F1163" s="9">
        <v>0.0</v>
      </c>
      <c r="G1163" s="19">
        <v>2699.57</v>
      </c>
      <c r="H1163" s="9" t="s">
        <v>4723</v>
      </c>
      <c r="I1163" s="9" t="s">
        <v>4718</v>
      </c>
      <c r="J1163" s="9" t="s">
        <v>4733</v>
      </c>
      <c r="K1163" s="20">
        <f t="shared" si="2"/>
        <v>1996</v>
      </c>
      <c r="L1163" s="9" t="str">
        <f t="shared" si="3"/>
        <v>tier - 2</v>
      </c>
      <c r="M1163" s="9" t="str">
        <f t="shared" si="4"/>
        <v>tier - 1</v>
      </c>
      <c r="N1163" s="9" t="str">
        <f t="shared" si="5"/>
        <v>R1012</v>
      </c>
      <c r="O1163" s="17">
        <f t="shared" si="6"/>
        <v>26</v>
      </c>
      <c r="P1163" s="18">
        <v>35229.0</v>
      </c>
    </row>
    <row r="1164" ht="15.75" customHeight="1">
      <c r="A1164" s="9" t="s">
        <v>4111</v>
      </c>
      <c r="B1164" s="17">
        <v>2003.0</v>
      </c>
      <c r="C1164" s="9" t="s">
        <v>4741</v>
      </c>
      <c r="D1164" s="9">
        <v>17.0</v>
      </c>
      <c r="E1164" s="18">
        <f t="shared" si="1"/>
        <v>37819</v>
      </c>
      <c r="F1164" s="9">
        <v>1.0</v>
      </c>
      <c r="G1164" s="19">
        <v>2709.11</v>
      </c>
      <c r="H1164" s="9" t="s">
        <v>4723</v>
      </c>
      <c r="I1164" s="9" t="s">
        <v>4723</v>
      </c>
      <c r="J1164" s="9" t="s">
        <v>4733</v>
      </c>
      <c r="K1164" s="20">
        <f t="shared" si="2"/>
        <v>2003</v>
      </c>
      <c r="L1164" s="9" t="str">
        <f t="shared" si="3"/>
        <v>tier - 2</v>
      </c>
      <c r="M1164" s="9" t="str">
        <f t="shared" si="4"/>
        <v>tier - 2</v>
      </c>
      <c r="N1164" s="9" t="str">
        <f t="shared" si="5"/>
        <v>R1012</v>
      </c>
      <c r="O1164" s="17">
        <f t="shared" si="6"/>
        <v>19</v>
      </c>
      <c r="P1164" s="18">
        <v>37819.0</v>
      </c>
    </row>
    <row r="1165" ht="15.75" customHeight="1">
      <c r="A1165" s="9" t="s">
        <v>4109</v>
      </c>
      <c r="B1165" s="17">
        <v>2003.0</v>
      </c>
      <c r="C1165" s="9" t="s">
        <v>4735</v>
      </c>
      <c r="D1165" s="9">
        <v>21.0</v>
      </c>
      <c r="E1165" s="18">
        <f t="shared" si="1"/>
        <v>37946</v>
      </c>
      <c r="F1165" s="9">
        <v>1.0</v>
      </c>
      <c r="G1165" s="19">
        <v>2709.24</v>
      </c>
      <c r="H1165" s="9" t="s">
        <v>4723</v>
      </c>
      <c r="I1165" s="9" t="s">
        <v>4723</v>
      </c>
      <c r="J1165" s="9" t="s">
        <v>4733</v>
      </c>
      <c r="K1165" s="20">
        <f t="shared" si="2"/>
        <v>2003</v>
      </c>
      <c r="L1165" s="9" t="str">
        <f t="shared" si="3"/>
        <v>tier - 2</v>
      </c>
      <c r="M1165" s="9" t="str">
        <f t="shared" si="4"/>
        <v>tier - 2</v>
      </c>
      <c r="N1165" s="9" t="str">
        <f t="shared" si="5"/>
        <v>R1012</v>
      </c>
      <c r="O1165" s="17">
        <f t="shared" si="6"/>
        <v>19</v>
      </c>
      <c r="P1165" s="18">
        <v>37946.0</v>
      </c>
    </row>
    <row r="1166" ht="15.75" customHeight="1">
      <c r="A1166" s="9" t="s">
        <v>4107</v>
      </c>
      <c r="B1166" s="17">
        <v>2003.0</v>
      </c>
      <c r="C1166" s="9" t="s">
        <v>4725</v>
      </c>
      <c r="D1166" s="9">
        <v>1.0</v>
      </c>
      <c r="E1166" s="18">
        <f t="shared" si="1"/>
        <v>37956</v>
      </c>
      <c r="F1166" s="9">
        <v>1.0</v>
      </c>
      <c r="G1166" s="19">
        <v>2710.83</v>
      </c>
      <c r="H1166" s="9" t="s">
        <v>4723</v>
      </c>
      <c r="I1166" s="9" t="s">
        <v>4717</v>
      </c>
      <c r="J1166" s="9" t="s">
        <v>4733</v>
      </c>
      <c r="K1166" s="20">
        <f t="shared" si="2"/>
        <v>2003</v>
      </c>
      <c r="L1166" s="9" t="str">
        <f t="shared" si="3"/>
        <v>tier - 2</v>
      </c>
      <c r="M1166" s="9" t="str">
        <f t="shared" si="4"/>
        <v>tier - 3</v>
      </c>
      <c r="N1166" s="9" t="str">
        <f t="shared" si="5"/>
        <v>R1012</v>
      </c>
      <c r="O1166" s="17">
        <f t="shared" si="6"/>
        <v>19</v>
      </c>
      <c r="P1166" s="18">
        <v>37956.0</v>
      </c>
    </row>
    <row r="1167" ht="15.75" customHeight="1">
      <c r="A1167" s="9" t="s">
        <v>4105</v>
      </c>
      <c r="B1167" s="17">
        <v>2003.0</v>
      </c>
      <c r="C1167" s="9" t="s">
        <v>4716</v>
      </c>
      <c r="D1167" s="9">
        <v>6.0</v>
      </c>
      <c r="E1167" s="18">
        <f t="shared" si="1"/>
        <v>37839</v>
      </c>
      <c r="F1167" s="9">
        <v>1.0</v>
      </c>
      <c r="G1167" s="19">
        <v>2719.28</v>
      </c>
      <c r="H1167" s="9" t="s">
        <v>4723</v>
      </c>
      <c r="I1167" s="9" t="s">
        <v>4723</v>
      </c>
      <c r="J1167" s="9" t="s">
        <v>4733</v>
      </c>
      <c r="K1167" s="20">
        <f t="shared" si="2"/>
        <v>2003</v>
      </c>
      <c r="L1167" s="9" t="str">
        <f t="shared" si="3"/>
        <v>tier - 2</v>
      </c>
      <c r="M1167" s="9" t="str">
        <f t="shared" si="4"/>
        <v>tier - 2</v>
      </c>
      <c r="N1167" s="9" t="str">
        <f t="shared" si="5"/>
        <v>R1012</v>
      </c>
      <c r="O1167" s="17">
        <f t="shared" si="6"/>
        <v>19</v>
      </c>
      <c r="P1167" s="18">
        <v>37839.0</v>
      </c>
    </row>
    <row r="1168" ht="15.75" customHeight="1">
      <c r="A1168" s="9" t="s">
        <v>4103</v>
      </c>
      <c r="B1168" s="17">
        <v>1997.0</v>
      </c>
      <c r="C1168" s="9" t="s">
        <v>4720</v>
      </c>
      <c r="D1168" s="9">
        <v>30.0</v>
      </c>
      <c r="E1168" s="18">
        <f t="shared" si="1"/>
        <v>35733</v>
      </c>
      <c r="F1168" s="9">
        <v>0.0</v>
      </c>
      <c r="G1168" s="19">
        <v>2721.32</v>
      </c>
      <c r="H1168" s="9" t="s">
        <v>4718</v>
      </c>
      <c r="I1168" s="9" t="s">
        <v>4717</v>
      </c>
      <c r="J1168" s="9" t="s">
        <v>4752</v>
      </c>
      <c r="K1168" s="20">
        <f t="shared" si="2"/>
        <v>1997</v>
      </c>
      <c r="L1168" s="9" t="str">
        <f t="shared" si="3"/>
        <v>tier - 1</v>
      </c>
      <c r="M1168" s="9" t="str">
        <f t="shared" si="4"/>
        <v>tier - 3</v>
      </c>
      <c r="N1168" s="9" t="str">
        <f t="shared" si="5"/>
        <v>R1014</v>
      </c>
      <c r="O1168" s="17">
        <f t="shared" si="6"/>
        <v>25</v>
      </c>
      <c r="P1168" s="18">
        <v>35733.0</v>
      </c>
    </row>
    <row r="1169" ht="15.75" customHeight="1">
      <c r="A1169" s="9" t="s">
        <v>4101</v>
      </c>
      <c r="B1169" s="17">
        <v>1988.0</v>
      </c>
      <c r="C1169" s="9" t="s">
        <v>4716</v>
      </c>
      <c r="D1169" s="9">
        <v>20.0</v>
      </c>
      <c r="E1169" s="18">
        <f t="shared" si="1"/>
        <v>32375</v>
      </c>
      <c r="F1169" s="9">
        <v>3.0</v>
      </c>
      <c r="G1169" s="19">
        <v>2726.06</v>
      </c>
      <c r="H1169" s="9" t="s">
        <v>4723</v>
      </c>
      <c r="I1169" s="9" t="s">
        <v>4723</v>
      </c>
      <c r="J1169" s="9" t="s">
        <v>4743</v>
      </c>
      <c r="K1169" s="20">
        <f t="shared" si="2"/>
        <v>1988</v>
      </c>
      <c r="L1169" s="9" t="str">
        <f t="shared" si="3"/>
        <v>tier - 2</v>
      </c>
      <c r="M1169" s="9" t="str">
        <f t="shared" si="4"/>
        <v>tier - 2</v>
      </c>
      <c r="N1169" s="9" t="str">
        <f t="shared" si="5"/>
        <v>R1013</v>
      </c>
      <c r="O1169" s="17">
        <f t="shared" si="6"/>
        <v>34</v>
      </c>
      <c r="P1169" s="18">
        <v>32375.0</v>
      </c>
    </row>
    <row r="1170" ht="15.75" customHeight="1">
      <c r="A1170" s="9" t="s">
        <v>411</v>
      </c>
      <c r="B1170" s="17">
        <v>1981.0</v>
      </c>
      <c r="C1170" s="9" t="s">
        <v>4735</v>
      </c>
      <c r="D1170" s="9">
        <v>22.0</v>
      </c>
      <c r="E1170" s="18">
        <f t="shared" si="1"/>
        <v>29912</v>
      </c>
      <c r="F1170" s="9">
        <v>1.0</v>
      </c>
      <c r="G1170" s="19">
        <v>35952.65</v>
      </c>
      <c r="H1170" s="9" t="s">
        <v>4718</v>
      </c>
      <c r="I1170" s="9" t="s">
        <v>4717</v>
      </c>
      <c r="J1170" s="9" t="s">
        <v>4719</v>
      </c>
      <c r="K1170" s="20">
        <f t="shared" si="2"/>
        <v>1981</v>
      </c>
      <c r="L1170" s="9" t="str">
        <f t="shared" si="3"/>
        <v>tier - 1</v>
      </c>
      <c r="M1170" s="9" t="str">
        <f t="shared" si="4"/>
        <v>tier - 3</v>
      </c>
      <c r="N1170" s="9" t="str">
        <f t="shared" si="5"/>
        <v>R1011</v>
      </c>
      <c r="O1170" s="17">
        <f t="shared" si="6"/>
        <v>41</v>
      </c>
      <c r="P1170" s="18">
        <v>29912.0</v>
      </c>
    </row>
    <row r="1171" ht="15.75" customHeight="1">
      <c r="A1171" s="9" t="s">
        <v>4099</v>
      </c>
      <c r="B1171" s="17">
        <v>1997.0</v>
      </c>
      <c r="C1171" s="9" t="s">
        <v>4720</v>
      </c>
      <c r="D1171" s="9">
        <v>6.0</v>
      </c>
      <c r="E1171" s="18">
        <f t="shared" si="1"/>
        <v>35709</v>
      </c>
      <c r="F1171" s="9">
        <v>0.0</v>
      </c>
      <c r="G1171" s="19">
        <v>2727.4</v>
      </c>
      <c r="H1171" s="9" t="s">
        <v>4717</v>
      </c>
      <c r="I1171" s="9" t="s">
        <v>4717</v>
      </c>
      <c r="J1171" s="9" t="s">
        <v>4754</v>
      </c>
      <c r="K1171" s="20">
        <f t="shared" si="2"/>
        <v>1997</v>
      </c>
      <c r="L1171" s="9" t="str">
        <f t="shared" si="3"/>
        <v>tier - 3</v>
      </c>
      <c r="M1171" s="9" t="str">
        <f t="shared" si="4"/>
        <v>tier - 3</v>
      </c>
      <c r="N1171" s="9" t="str">
        <f t="shared" si="5"/>
        <v>R1016</v>
      </c>
      <c r="O1171" s="17">
        <f t="shared" si="6"/>
        <v>25</v>
      </c>
      <c r="P1171" s="18">
        <v>35709.0</v>
      </c>
    </row>
    <row r="1172" ht="15.75" customHeight="1">
      <c r="A1172" s="9" t="s">
        <v>4097</v>
      </c>
      <c r="B1172" s="17">
        <v>2003.0</v>
      </c>
      <c r="C1172" s="9" t="s">
        <v>4725</v>
      </c>
      <c r="D1172" s="9">
        <v>3.0</v>
      </c>
      <c r="E1172" s="18">
        <f t="shared" si="1"/>
        <v>37958</v>
      </c>
      <c r="F1172" s="9">
        <v>1.0</v>
      </c>
      <c r="G1172" s="19">
        <v>2730.11</v>
      </c>
      <c r="H1172" s="9" t="s">
        <v>4723</v>
      </c>
      <c r="I1172" s="9" t="s">
        <v>4717</v>
      </c>
      <c r="J1172" s="9" t="s">
        <v>4733</v>
      </c>
      <c r="K1172" s="20">
        <f t="shared" si="2"/>
        <v>2003</v>
      </c>
      <c r="L1172" s="9" t="str">
        <f t="shared" si="3"/>
        <v>tier - 2</v>
      </c>
      <c r="M1172" s="9" t="str">
        <f t="shared" si="4"/>
        <v>tier - 3</v>
      </c>
      <c r="N1172" s="9" t="str">
        <f t="shared" si="5"/>
        <v>R1012</v>
      </c>
      <c r="O1172" s="17">
        <f t="shared" si="6"/>
        <v>19</v>
      </c>
      <c r="P1172" s="18">
        <v>37958.0</v>
      </c>
    </row>
    <row r="1173" ht="15.75" customHeight="1">
      <c r="A1173" s="9" t="s">
        <v>4095</v>
      </c>
      <c r="B1173" s="17">
        <v>2000.0</v>
      </c>
      <c r="C1173" s="9" t="s">
        <v>4725</v>
      </c>
      <c r="D1173" s="9">
        <v>17.0</v>
      </c>
      <c r="E1173" s="18">
        <f t="shared" si="1"/>
        <v>36877</v>
      </c>
      <c r="F1173" s="9">
        <v>0.0</v>
      </c>
      <c r="G1173" s="19">
        <v>2731.91</v>
      </c>
      <c r="H1173" s="9" t="s">
        <v>4723</v>
      </c>
      <c r="I1173" s="9" t="s">
        <v>4717</v>
      </c>
      <c r="J1173" s="9" t="s">
        <v>4731</v>
      </c>
      <c r="K1173" s="20">
        <f t="shared" si="2"/>
        <v>2000</v>
      </c>
      <c r="L1173" s="9" t="str">
        <f t="shared" si="3"/>
        <v>tier - 2</v>
      </c>
      <c r="M1173" s="9" t="str">
        <f t="shared" si="4"/>
        <v>tier - 3</v>
      </c>
      <c r="N1173" s="9" t="str">
        <f t="shared" si="5"/>
        <v>R1024</v>
      </c>
      <c r="O1173" s="17">
        <f t="shared" si="6"/>
        <v>22</v>
      </c>
      <c r="P1173" s="18">
        <v>36877.0</v>
      </c>
    </row>
    <row r="1174" ht="15.75" customHeight="1">
      <c r="A1174" s="9" t="s">
        <v>4093</v>
      </c>
      <c r="B1174" s="17">
        <v>2000.0</v>
      </c>
      <c r="C1174" s="9" t="s">
        <v>4720</v>
      </c>
      <c r="D1174" s="9">
        <v>3.0</v>
      </c>
      <c r="E1174" s="18">
        <f t="shared" si="1"/>
        <v>36802</v>
      </c>
      <c r="F1174" s="9">
        <v>0.0</v>
      </c>
      <c r="G1174" s="19">
        <v>2741.95</v>
      </c>
      <c r="H1174" s="9" t="s">
        <v>4723</v>
      </c>
      <c r="I1174" s="9" t="s">
        <v>4717</v>
      </c>
      <c r="J1174" s="9" t="s">
        <v>4731</v>
      </c>
      <c r="K1174" s="20">
        <f t="shared" si="2"/>
        <v>2000</v>
      </c>
      <c r="L1174" s="9" t="str">
        <f t="shared" si="3"/>
        <v>tier - 2</v>
      </c>
      <c r="M1174" s="9" t="str">
        <f t="shared" si="4"/>
        <v>tier - 3</v>
      </c>
      <c r="N1174" s="9" t="str">
        <f t="shared" si="5"/>
        <v>R1024</v>
      </c>
      <c r="O1174" s="17">
        <f t="shared" si="6"/>
        <v>22</v>
      </c>
      <c r="P1174" s="18">
        <v>36802.0</v>
      </c>
    </row>
    <row r="1175" ht="15.75" customHeight="1">
      <c r="A1175" s="9" t="s">
        <v>4091</v>
      </c>
      <c r="B1175" s="17">
        <v>2000.0</v>
      </c>
      <c r="C1175" s="9" t="s">
        <v>4720</v>
      </c>
      <c r="D1175" s="9">
        <v>11.0</v>
      </c>
      <c r="E1175" s="18">
        <f t="shared" si="1"/>
        <v>36810</v>
      </c>
      <c r="F1175" s="9">
        <v>0.0</v>
      </c>
      <c r="G1175" s="19">
        <v>2755.02</v>
      </c>
      <c r="H1175" s="9" t="s">
        <v>4723</v>
      </c>
      <c r="I1175" s="9" t="s">
        <v>4718</v>
      </c>
      <c r="J1175" s="9" t="s">
        <v>4731</v>
      </c>
      <c r="K1175" s="20">
        <f t="shared" si="2"/>
        <v>2000</v>
      </c>
      <c r="L1175" s="9" t="str">
        <f t="shared" si="3"/>
        <v>tier - 2</v>
      </c>
      <c r="M1175" s="9" t="str">
        <f t="shared" si="4"/>
        <v>tier - 1</v>
      </c>
      <c r="N1175" s="9" t="str">
        <f t="shared" si="5"/>
        <v>R1024</v>
      </c>
      <c r="O1175" s="17">
        <f t="shared" si="6"/>
        <v>22</v>
      </c>
      <c r="P1175" s="18">
        <v>36810.0</v>
      </c>
    </row>
    <row r="1176" ht="15.75" customHeight="1">
      <c r="A1176" s="9" t="s">
        <v>4089</v>
      </c>
      <c r="B1176" s="17">
        <v>1997.0</v>
      </c>
      <c r="C1176" s="9" t="s">
        <v>4716</v>
      </c>
      <c r="D1176" s="9">
        <v>10.0</v>
      </c>
      <c r="E1176" s="18">
        <f t="shared" si="1"/>
        <v>35652</v>
      </c>
      <c r="F1176" s="9">
        <v>0.0</v>
      </c>
      <c r="G1176" s="19">
        <v>2758.99</v>
      </c>
      <c r="H1176" s="9" t="s">
        <v>4723</v>
      </c>
      <c r="I1176" s="9" t="s">
        <v>4718</v>
      </c>
      <c r="J1176" s="9" t="s">
        <v>4733</v>
      </c>
      <c r="K1176" s="20">
        <f t="shared" si="2"/>
        <v>1997</v>
      </c>
      <c r="L1176" s="9" t="str">
        <f t="shared" si="3"/>
        <v>tier - 2</v>
      </c>
      <c r="M1176" s="9" t="str">
        <f t="shared" si="4"/>
        <v>tier - 1</v>
      </c>
      <c r="N1176" s="9" t="str">
        <f t="shared" si="5"/>
        <v>R1012</v>
      </c>
      <c r="O1176" s="17">
        <f t="shared" si="6"/>
        <v>25</v>
      </c>
      <c r="P1176" s="18">
        <v>35652.0</v>
      </c>
    </row>
    <row r="1177" ht="15.75" customHeight="1">
      <c r="A1177" s="9" t="s">
        <v>4087</v>
      </c>
      <c r="B1177" s="17">
        <v>2004.0</v>
      </c>
      <c r="C1177" s="9" t="s">
        <v>4735</v>
      </c>
      <c r="D1177" s="9">
        <v>14.0</v>
      </c>
      <c r="E1177" s="18">
        <f t="shared" si="1"/>
        <v>38305</v>
      </c>
      <c r="F1177" s="9">
        <v>0.0</v>
      </c>
      <c r="G1177" s="19">
        <v>2773.46</v>
      </c>
      <c r="H1177" s="9" t="s">
        <v>4723</v>
      </c>
      <c r="I1177" s="9" t="s">
        <v>4718</v>
      </c>
      <c r="J1177" s="9" t="s">
        <v>4751</v>
      </c>
      <c r="K1177" s="20">
        <f t="shared" si="2"/>
        <v>2004</v>
      </c>
      <c r="L1177" s="9" t="str">
        <f t="shared" si="3"/>
        <v>tier - 2</v>
      </c>
      <c r="M1177" s="9" t="str">
        <f t="shared" si="4"/>
        <v>tier - 1</v>
      </c>
      <c r="N1177" s="9" t="str">
        <f t="shared" si="5"/>
        <v>R1021</v>
      </c>
      <c r="O1177" s="17">
        <f t="shared" si="6"/>
        <v>18</v>
      </c>
      <c r="P1177" s="18">
        <v>38305.0</v>
      </c>
    </row>
    <row r="1178" ht="15.75" customHeight="1">
      <c r="A1178" s="9" t="s">
        <v>4085</v>
      </c>
      <c r="B1178" s="17">
        <v>1999.0</v>
      </c>
      <c r="C1178" s="9" t="s">
        <v>4716</v>
      </c>
      <c r="D1178" s="9">
        <v>29.0</v>
      </c>
      <c r="E1178" s="18">
        <f t="shared" si="1"/>
        <v>36401</v>
      </c>
      <c r="F1178" s="9">
        <v>1.0</v>
      </c>
      <c r="G1178" s="19">
        <v>2775.19</v>
      </c>
      <c r="H1178" s="9" t="s">
        <v>4723</v>
      </c>
      <c r="I1178" s="9" t="s">
        <v>4718</v>
      </c>
      <c r="J1178" s="9" t="s">
        <v>4733</v>
      </c>
      <c r="K1178" s="20">
        <f t="shared" si="2"/>
        <v>1999</v>
      </c>
      <c r="L1178" s="9" t="str">
        <f t="shared" si="3"/>
        <v>tier - 2</v>
      </c>
      <c r="M1178" s="9" t="str">
        <f t="shared" si="4"/>
        <v>tier - 1</v>
      </c>
      <c r="N1178" s="9" t="str">
        <f t="shared" si="5"/>
        <v>R1012</v>
      </c>
      <c r="O1178" s="17">
        <f t="shared" si="6"/>
        <v>23</v>
      </c>
      <c r="P1178" s="18">
        <v>36401.0</v>
      </c>
    </row>
    <row r="1179" ht="15.75" customHeight="1">
      <c r="A1179" s="9" t="s">
        <v>4083</v>
      </c>
      <c r="B1179" s="17">
        <v>1999.0</v>
      </c>
      <c r="C1179" s="9" t="s">
        <v>4725</v>
      </c>
      <c r="D1179" s="9">
        <v>24.0</v>
      </c>
      <c r="E1179" s="18">
        <f t="shared" si="1"/>
        <v>36518</v>
      </c>
      <c r="F1179" s="9">
        <v>1.0</v>
      </c>
      <c r="G1179" s="19">
        <v>2789.06</v>
      </c>
      <c r="H1179" s="9" t="s">
        <v>4723</v>
      </c>
      <c r="I1179" s="9" t="s">
        <v>4717</v>
      </c>
      <c r="J1179" s="9" t="s">
        <v>4733</v>
      </c>
      <c r="K1179" s="20">
        <f t="shared" si="2"/>
        <v>1999</v>
      </c>
      <c r="L1179" s="9" t="str">
        <f t="shared" si="3"/>
        <v>tier - 2</v>
      </c>
      <c r="M1179" s="9" t="str">
        <f t="shared" si="4"/>
        <v>tier - 3</v>
      </c>
      <c r="N1179" s="9" t="str">
        <f t="shared" si="5"/>
        <v>R1012</v>
      </c>
      <c r="O1179" s="17">
        <f t="shared" si="6"/>
        <v>23</v>
      </c>
      <c r="P1179" s="18">
        <v>36518.0</v>
      </c>
    </row>
    <row r="1180" ht="15.75" customHeight="1">
      <c r="A1180" s="9" t="s">
        <v>4081</v>
      </c>
      <c r="B1180" s="17">
        <v>2004.0</v>
      </c>
      <c r="C1180" s="9" t="s">
        <v>4716</v>
      </c>
      <c r="D1180" s="9">
        <v>4.0</v>
      </c>
      <c r="E1180" s="18">
        <f t="shared" si="1"/>
        <v>38203</v>
      </c>
      <c r="F1180" s="9">
        <v>2.0</v>
      </c>
      <c r="G1180" s="19">
        <v>2801.26</v>
      </c>
      <c r="H1180" s="9" t="s">
        <v>4723</v>
      </c>
      <c r="I1180" s="9" t="s">
        <v>4717</v>
      </c>
      <c r="J1180" s="9" t="s">
        <v>4743</v>
      </c>
      <c r="K1180" s="20">
        <f t="shared" si="2"/>
        <v>2004</v>
      </c>
      <c r="L1180" s="9" t="str">
        <f t="shared" si="3"/>
        <v>tier - 2</v>
      </c>
      <c r="M1180" s="9" t="str">
        <f t="shared" si="4"/>
        <v>tier - 3</v>
      </c>
      <c r="N1180" s="9" t="str">
        <f t="shared" si="5"/>
        <v>R1013</v>
      </c>
      <c r="O1180" s="17">
        <f t="shared" si="6"/>
        <v>18</v>
      </c>
      <c r="P1180" s="18">
        <v>38203.0</v>
      </c>
    </row>
    <row r="1181" ht="15.75" customHeight="1">
      <c r="A1181" s="9" t="s">
        <v>409</v>
      </c>
      <c r="B1181" s="17">
        <v>1999.0</v>
      </c>
      <c r="C1181" s="9" t="s">
        <v>4738</v>
      </c>
      <c r="D1181" s="9">
        <v>4.0</v>
      </c>
      <c r="E1181" s="18">
        <f t="shared" si="1"/>
        <v>36407</v>
      </c>
      <c r="F1181" s="9">
        <v>2.0</v>
      </c>
      <c r="G1181" s="19">
        <v>36021.01</v>
      </c>
      <c r="H1181" s="9" t="s">
        <v>4723</v>
      </c>
      <c r="I1181" s="9" t="s">
        <v>4717</v>
      </c>
      <c r="J1181" s="9" t="s">
        <v>4743</v>
      </c>
      <c r="K1181" s="20">
        <f t="shared" si="2"/>
        <v>1999</v>
      </c>
      <c r="L1181" s="9" t="str">
        <f t="shared" si="3"/>
        <v>tier - 2</v>
      </c>
      <c r="M1181" s="9" t="str">
        <f t="shared" si="4"/>
        <v>tier - 3</v>
      </c>
      <c r="N1181" s="9" t="str">
        <f t="shared" si="5"/>
        <v>R1013</v>
      </c>
      <c r="O1181" s="17">
        <f t="shared" si="6"/>
        <v>23</v>
      </c>
      <c r="P1181" s="18">
        <v>36407.0</v>
      </c>
    </row>
    <row r="1182" ht="15.75" customHeight="1">
      <c r="A1182" s="9" t="s">
        <v>4079</v>
      </c>
      <c r="B1182" s="17">
        <v>2003.0</v>
      </c>
      <c r="C1182" s="9" t="s">
        <v>4738</v>
      </c>
      <c r="D1182" s="9">
        <v>23.0</v>
      </c>
      <c r="E1182" s="18">
        <f t="shared" si="1"/>
        <v>37887</v>
      </c>
      <c r="F1182" s="9">
        <v>2.0</v>
      </c>
      <c r="G1182" s="19">
        <v>2803.7</v>
      </c>
      <c r="H1182" s="9" t="s">
        <v>4723</v>
      </c>
      <c r="I1182" s="9" t="s">
        <v>4718</v>
      </c>
      <c r="J1182" s="9" t="s">
        <v>4733</v>
      </c>
      <c r="K1182" s="20">
        <f t="shared" si="2"/>
        <v>2003</v>
      </c>
      <c r="L1182" s="9" t="str">
        <f t="shared" si="3"/>
        <v>tier - 2</v>
      </c>
      <c r="M1182" s="9" t="str">
        <f t="shared" si="4"/>
        <v>tier - 1</v>
      </c>
      <c r="N1182" s="9" t="str">
        <f t="shared" si="5"/>
        <v>R1012</v>
      </c>
      <c r="O1182" s="17">
        <f t="shared" si="6"/>
        <v>19</v>
      </c>
      <c r="P1182" s="18">
        <v>37887.0</v>
      </c>
    </row>
    <row r="1183" ht="15.75" customHeight="1">
      <c r="A1183" s="9" t="s">
        <v>4077</v>
      </c>
      <c r="B1183" s="17">
        <v>2000.0</v>
      </c>
      <c r="C1183" s="9" t="s">
        <v>4720</v>
      </c>
      <c r="D1183" s="9">
        <v>1.0</v>
      </c>
      <c r="E1183" s="18">
        <f t="shared" si="1"/>
        <v>36800</v>
      </c>
      <c r="F1183" s="9">
        <v>0.0</v>
      </c>
      <c r="G1183" s="19">
        <v>2819.51</v>
      </c>
      <c r="H1183" s="9" t="s">
        <v>4723</v>
      </c>
      <c r="I1183" s="9" t="s">
        <v>4717</v>
      </c>
      <c r="J1183" s="9" t="s">
        <v>4719</v>
      </c>
      <c r="K1183" s="20">
        <f t="shared" si="2"/>
        <v>2000</v>
      </c>
      <c r="L1183" s="9" t="str">
        <f t="shared" si="3"/>
        <v>tier - 2</v>
      </c>
      <c r="M1183" s="9" t="str">
        <f t="shared" si="4"/>
        <v>tier - 3</v>
      </c>
      <c r="N1183" s="9" t="str">
        <f t="shared" si="5"/>
        <v>R1011</v>
      </c>
      <c r="O1183" s="17">
        <f t="shared" si="6"/>
        <v>22</v>
      </c>
      <c r="P1183" s="18">
        <v>36800.0</v>
      </c>
    </row>
    <row r="1184" ht="15.75" customHeight="1">
      <c r="A1184" s="9" t="s">
        <v>4075</v>
      </c>
      <c r="B1184" s="17">
        <v>1998.0</v>
      </c>
      <c r="C1184" s="9" t="s">
        <v>4735</v>
      </c>
      <c r="D1184" s="9">
        <v>15.0</v>
      </c>
      <c r="E1184" s="18">
        <f t="shared" si="1"/>
        <v>36114</v>
      </c>
      <c r="F1184" s="9">
        <v>0.0</v>
      </c>
      <c r="G1184" s="19">
        <v>2842.76</v>
      </c>
      <c r="H1184" s="9" t="s">
        <v>4723</v>
      </c>
      <c r="I1184" s="9" t="s">
        <v>4717</v>
      </c>
      <c r="J1184" s="9" t="s">
        <v>4733</v>
      </c>
      <c r="K1184" s="20">
        <f t="shared" si="2"/>
        <v>1998</v>
      </c>
      <c r="L1184" s="9" t="str">
        <f t="shared" si="3"/>
        <v>tier - 2</v>
      </c>
      <c r="M1184" s="9" t="str">
        <f t="shared" si="4"/>
        <v>tier - 3</v>
      </c>
      <c r="N1184" s="9" t="str">
        <f t="shared" si="5"/>
        <v>R1012</v>
      </c>
      <c r="O1184" s="17">
        <f t="shared" si="6"/>
        <v>24</v>
      </c>
      <c r="P1184" s="18">
        <v>36114.0</v>
      </c>
    </row>
    <row r="1185" ht="15.75" customHeight="1">
      <c r="A1185" s="9" t="s">
        <v>4073</v>
      </c>
      <c r="B1185" s="17">
        <v>1998.0</v>
      </c>
      <c r="C1185" s="9" t="s">
        <v>4730</v>
      </c>
      <c r="D1185" s="9">
        <v>17.0</v>
      </c>
      <c r="E1185" s="18">
        <f t="shared" si="1"/>
        <v>35963</v>
      </c>
      <c r="F1185" s="9">
        <v>0.0</v>
      </c>
      <c r="G1185" s="19">
        <v>2850.68</v>
      </c>
      <c r="H1185" s="9" t="s">
        <v>4723</v>
      </c>
      <c r="I1185" s="9" t="s">
        <v>4717</v>
      </c>
      <c r="J1185" s="9" t="s">
        <v>4733</v>
      </c>
      <c r="K1185" s="20">
        <f t="shared" si="2"/>
        <v>1998</v>
      </c>
      <c r="L1185" s="9" t="str">
        <f t="shared" si="3"/>
        <v>tier - 2</v>
      </c>
      <c r="M1185" s="9" t="str">
        <f t="shared" si="4"/>
        <v>tier - 3</v>
      </c>
      <c r="N1185" s="9" t="str">
        <f t="shared" si="5"/>
        <v>R1012</v>
      </c>
      <c r="O1185" s="17">
        <f t="shared" si="6"/>
        <v>24</v>
      </c>
      <c r="P1185" s="18">
        <v>35963.0</v>
      </c>
    </row>
    <row r="1186" ht="15.75" customHeight="1">
      <c r="A1186" s="9" t="s">
        <v>4071</v>
      </c>
      <c r="B1186" s="17">
        <v>1998.0</v>
      </c>
      <c r="C1186" s="9" t="s">
        <v>4738</v>
      </c>
      <c r="D1186" s="9">
        <v>4.0</v>
      </c>
      <c r="E1186" s="18">
        <f t="shared" si="1"/>
        <v>36042</v>
      </c>
      <c r="F1186" s="9">
        <v>0.0</v>
      </c>
      <c r="G1186" s="19">
        <v>2855.44</v>
      </c>
      <c r="H1186" s="9" t="s">
        <v>4723</v>
      </c>
      <c r="I1186" s="9" t="s">
        <v>4717</v>
      </c>
      <c r="J1186" s="9" t="s">
        <v>4733</v>
      </c>
      <c r="K1186" s="20">
        <f t="shared" si="2"/>
        <v>1998</v>
      </c>
      <c r="L1186" s="9" t="str">
        <f t="shared" si="3"/>
        <v>tier - 2</v>
      </c>
      <c r="M1186" s="9" t="str">
        <f t="shared" si="4"/>
        <v>tier - 3</v>
      </c>
      <c r="N1186" s="9" t="str">
        <f t="shared" si="5"/>
        <v>R1012</v>
      </c>
      <c r="O1186" s="17">
        <f t="shared" si="6"/>
        <v>24</v>
      </c>
      <c r="P1186" s="18">
        <v>36042.0</v>
      </c>
    </row>
    <row r="1187" ht="15.75" customHeight="1">
      <c r="A1187" s="9" t="s">
        <v>4069</v>
      </c>
      <c r="B1187" s="17">
        <v>1993.0</v>
      </c>
      <c r="C1187" s="9" t="s">
        <v>4735</v>
      </c>
      <c r="D1187" s="9">
        <v>1.0</v>
      </c>
      <c r="E1187" s="18">
        <f t="shared" si="1"/>
        <v>34274</v>
      </c>
      <c r="F1187" s="9">
        <v>0.0</v>
      </c>
      <c r="G1187" s="19">
        <v>2866.09</v>
      </c>
      <c r="H1187" s="9" t="s">
        <v>4717</v>
      </c>
      <c r="I1187" s="9" t="s">
        <v>4717</v>
      </c>
      <c r="J1187" s="9" t="s">
        <v>4719</v>
      </c>
      <c r="K1187" s="20">
        <f t="shared" si="2"/>
        <v>1993</v>
      </c>
      <c r="L1187" s="9" t="str">
        <f t="shared" si="3"/>
        <v>tier - 3</v>
      </c>
      <c r="M1187" s="9" t="str">
        <f t="shared" si="4"/>
        <v>tier - 3</v>
      </c>
      <c r="N1187" s="9" t="str">
        <f t="shared" si="5"/>
        <v>R1011</v>
      </c>
      <c r="O1187" s="17">
        <f t="shared" si="6"/>
        <v>29</v>
      </c>
      <c r="P1187" s="18">
        <v>34274.0</v>
      </c>
    </row>
    <row r="1188" ht="15.75" customHeight="1">
      <c r="A1188" s="9" t="s">
        <v>4067</v>
      </c>
      <c r="B1188" s="17">
        <v>1993.0</v>
      </c>
      <c r="C1188" s="9" t="s">
        <v>4716</v>
      </c>
      <c r="D1188" s="9">
        <v>12.0</v>
      </c>
      <c r="E1188" s="18">
        <f t="shared" si="1"/>
        <v>34193</v>
      </c>
      <c r="F1188" s="9">
        <v>0.0</v>
      </c>
      <c r="G1188" s="19">
        <v>2867.12</v>
      </c>
      <c r="H1188" s="9" t="s">
        <v>4718</v>
      </c>
      <c r="I1188" s="9" t="s">
        <v>4717</v>
      </c>
      <c r="J1188" s="9" t="s">
        <v>4743</v>
      </c>
      <c r="K1188" s="20">
        <f t="shared" si="2"/>
        <v>1993</v>
      </c>
      <c r="L1188" s="9" t="str">
        <f t="shared" si="3"/>
        <v>tier - 1</v>
      </c>
      <c r="M1188" s="9" t="str">
        <f t="shared" si="4"/>
        <v>tier - 3</v>
      </c>
      <c r="N1188" s="9" t="str">
        <f t="shared" si="5"/>
        <v>R1013</v>
      </c>
      <c r="O1188" s="17">
        <f t="shared" si="6"/>
        <v>29</v>
      </c>
      <c r="P1188" s="18">
        <v>34193.0</v>
      </c>
    </row>
    <row r="1189" ht="15.75" customHeight="1">
      <c r="A1189" s="9" t="s">
        <v>4065</v>
      </c>
      <c r="B1189" s="17">
        <v>1996.0</v>
      </c>
      <c r="C1189" s="9" t="s">
        <v>4730</v>
      </c>
      <c r="D1189" s="9">
        <v>21.0</v>
      </c>
      <c r="E1189" s="18">
        <f t="shared" si="1"/>
        <v>35237</v>
      </c>
      <c r="F1189" s="9">
        <v>0.0</v>
      </c>
      <c r="G1189" s="19">
        <v>2897.32</v>
      </c>
      <c r="H1189" s="9" t="s">
        <v>4717</v>
      </c>
      <c r="I1189" s="9" t="s">
        <v>4717</v>
      </c>
      <c r="J1189" s="9" t="s">
        <v>4754</v>
      </c>
      <c r="K1189" s="20">
        <f t="shared" si="2"/>
        <v>1996</v>
      </c>
      <c r="L1189" s="9" t="str">
        <f t="shared" si="3"/>
        <v>tier - 3</v>
      </c>
      <c r="M1189" s="9" t="str">
        <f t="shared" si="4"/>
        <v>tier - 3</v>
      </c>
      <c r="N1189" s="9" t="str">
        <f t="shared" si="5"/>
        <v>R1016</v>
      </c>
      <c r="O1189" s="17">
        <f t="shared" si="6"/>
        <v>26</v>
      </c>
      <c r="P1189" s="18">
        <v>35237.0</v>
      </c>
    </row>
    <row r="1190" ht="15.75" customHeight="1">
      <c r="A1190" s="9" t="s">
        <v>4063</v>
      </c>
      <c r="B1190" s="17">
        <v>2000.0</v>
      </c>
      <c r="C1190" s="9" t="s">
        <v>4741</v>
      </c>
      <c r="D1190" s="9">
        <v>14.0</v>
      </c>
      <c r="E1190" s="18">
        <f t="shared" si="1"/>
        <v>36721</v>
      </c>
      <c r="F1190" s="9">
        <v>0.0</v>
      </c>
      <c r="G1190" s="19">
        <v>2897.46</v>
      </c>
      <c r="H1190" s="9" t="s">
        <v>4723</v>
      </c>
      <c r="I1190" s="9" t="s">
        <v>4718</v>
      </c>
      <c r="J1190" s="9" t="s">
        <v>4733</v>
      </c>
      <c r="K1190" s="20">
        <f t="shared" si="2"/>
        <v>2000</v>
      </c>
      <c r="L1190" s="9" t="str">
        <f t="shared" si="3"/>
        <v>tier - 2</v>
      </c>
      <c r="M1190" s="9" t="str">
        <f t="shared" si="4"/>
        <v>tier - 1</v>
      </c>
      <c r="N1190" s="9" t="str">
        <f t="shared" si="5"/>
        <v>R1012</v>
      </c>
      <c r="O1190" s="17">
        <f t="shared" si="6"/>
        <v>22</v>
      </c>
      <c r="P1190" s="18">
        <v>36721.0</v>
      </c>
    </row>
    <row r="1191" ht="15.75" customHeight="1">
      <c r="A1191" s="9" t="s">
        <v>4061</v>
      </c>
      <c r="B1191" s="17">
        <v>1999.0</v>
      </c>
      <c r="C1191" s="9" t="s">
        <v>4735</v>
      </c>
      <c r="D1191" s="9">
        <v>1.0</v>
      </c>
      <c r="E1191" s="18">
        <f t="shared" si="1"/>
        <v>36465</v>
      </c>
      <c r="F1191" s="9">
        <v>0.0</v>
      </c>
      <c r="G1191" s="19">
        <v>2899.49</v>
      </c>
      <c r="H1191" s="9" t="s">
        <v>4723</v>
      </c>
      <c r="I1191" s="9" t="s">
        <v>4723</v>
      </c>
      <c r="J1191" s="9" t="s">
        <v>4731</v>
      </c>
      <c r="K1191" s="20">
        <f t="shared" si="2"/>
        <v>1999</v>
      </c>
      <c r="L1191" s="9" t="str">
        <f t="shared" si="3"/>
        <v>tier - 2</v>
      </c>
      <c r="M1191" s="9" t="str">
        <f t="shared" si="4"/>
        <v>tier - 2</v>
      </c>
      <c r="N1191" s="9" t="str">
        <f t="shared" si="5"/>
        <v>R1024</v>
      </c>
      <c r="O1191" s="17">
        <f t="shared" si="6"/>
        <v>23</v>
      </c>
      <c r="P1191" s="18">
        <v>36465.0</v>
      </c>
    </row>
    <row r="1192" ht="15.75" customHeight="1">
      <c r="A1192" s="9" t="s">
        <v>407</v>
      </c>
      <c r="B1192" s="17">
        <v>1963.0</v>
      </c>
      <c r="C1192" s="9" t="s">
        <v>4741</v>
      </c>
      <c r="D1192" s="9">
        <v>22.0</v>
      </c>
      <c r="E1192" s="18">
        <f t="shared" si="1"/>
        <v>23214</v>
      </c>
      <c r="F1192" s="9">
        <v>0.0</v>
      </c>
      <c r="G1192" s="19">
        <v>36074.34</v>
      </c>
      <c r="H1192" s="9" t="s">
        <v>4723</v>
      </c>
      <c r="I1192" s="9" t="s">
        <v>4718</v>
      </c>
      <c r="J1192" s="9" t="s">
        <v>4719</v>
      </c>
      <c r="K1192" s="20">
        <f t="shared" si="2"/>
        <v>1963</v>
      </c>
      <c r="L1192" s="9" t="str">
        <f t="shared" si="3"/>
        <v>tier - 2</v>
      </c>
      <c r="M1192" s="9" t="str">
        <f t="shared" si="4"/>
        <v>tier - 1</v>
      </c>
      <c r="N1192" s="9" t="str">
        <f t="shared" si="5"/>
        <v>R1011</v>
      </c>
      <c r="O1192" s="17">
        <f t="shared" si="6"/>
        <v>59</v>
      </c>
      <c r="P1192" s="18">
        <v>23214.0</v>
      </c>
    </row>
    <row r="1193" ht="15.75" customHeight="1">
      <c r="A1193" s="9" t="s">
        <v>4059</v>
      </c>
      <c r="B1193" s="17">
        <v>1996.0</v>
      </c>
      <c r="C1193" s="9" t="s">
        <v>4720</v>
      </c>
      <c r="D1193" s="9">
        <v>24.0</v>
      </c>
      <c r="E1193" s="18">
        <f t="shared" si="1"/>
        <v>35362</v>
      </c>
      <c r="F1193" s="9">
        <v>1.0</v>
      </c>
      <c r="G1193" s="19">
        <v>2902.91</v>
      </c>
      <c r="H1193" s="9" t="s">
        <v>4723</v>
      </c>
      <c r="I1193" s="9" t="s">
        <v>4723</v>
      </c>
      <c r="J1193" s="9" t="s">
        <v>4743</v>
      </c>
      <c r="K1193" s="20">
        <f t="shared" si="2"/>
        <v>1996</v>
      </c>
      <c r="L1193" s="9" t="str">
        <f t="shared" si="3"/>
        <v>tier - 2</v>
      </c>
      <c r="M1193" s="9" t="str">
        <f t="shared" si="4"/>
        <v>tier - 2</v>
      </c>
      <c r="N1193" s="9" t="str">
        <f t="shared" si="5"/>
        <v>R1013</v>
      </c>
      <c r="O1193" s="17">
        <f t="shared" si="6"/>
        <v>26</v>
      </c>
      <c r="P1193" s="18">
        <v>35362.0</v>
      </c>
    </row>
    <row r="1194" ht="15.75" customHeight="1">
      <c r="A1194" s="9" t="s">
        <v>4057</v>
      </c>
      <c r="B1194" s="17">
        <v>1996.0</v>
      </c>
      <c r="C1194" s="9" t="s">
        <v>4730</v>
      </c>
      <c r="D1194" s="9">
        <v>13.0</v>
      </c>
      <c r="E1194" s="18">
        <f t="shared" si="1"/>
        <v>35229</v>
      </c>
      <c r="F1194" s="9">
        <v>1.0</v>
      </c>
      <c r="G1194" s="19">
        <v>2904.09</v>
      </c>
      <c r="H1194" s="9" t="s">
        <v>4723</v>
      </c>
      <c r="I1194" s="9" t="s">
        <v>4723</v>
      </c>
      <c r="J1194" s="9" t="s">
        <v>4719</v>
      </c>
      <c r="K1194" s="20">
        <f t="shared" si="2"/>
        <v>1996</v>
      </c>
      <c r="L1194" s="9" t="str">
        <f t="shared" si="3"/>
        <v>tier - 2</v>
      </c>
      <c r="M1194" s="9" t="str">
        <f t="shared" si="4"/>
        <v>tier - 2</v>
      </c>
      <c r="N1194" s="9" t="str">
        <f t="shared" si="5"/>
        <v>R1011</v>
      </c>
      <c r="O1194" s="17">
        <f t="shared" si="6"/>
        <v>26</v>
      </c>
      <c r="P1194" s="18">
        <v>35229.0</v>
      </c>
    </row>
    <row r="1195" ht="15.75" customHeight="1">
      <c r="A1195" s="9" t="s">
        <v>4055</v>
      </c>
      <c r="B1195" s="17">
        <v>2003.0</v>
      </c>
      <c r="C1195" s="9" t="s">
        <v>4730</v>
      </c>
      <c r="D1195" s="9">
        <v>5.0</v>
      </c>
      <c r="E1195" s="18">
        <f t="shared" si="1"/>
        <v>37777</v>
      </c>
      <c r="F1195" s="9">
        <v>2.0</v>
      </c>
      <c r="G1195" s="19">
        <v>2913.57</v>
      </c>
      <c r="H1195" s="9" t="s">
        <v>4723</v>
      </c>
      <c r="I1195" s="9" t="s">
        <v>4723</v>
      </c>
      <c r="J1195" s="9" t="s">
        <v>4719</v>
      </c>
      <c r="K1195" s="20">
        <f t="shared" si="2"/>
        <v>2003</v>
      </c>
      <c r="L1195" s="9" t="str">
        <f t="shared" si="3"/>
        <v>tier - 2</v>
      </c>
      <c r="M1195" s="9" t="str">
        <f t="shared" si="4"/>
        <v>tier - 2</v>
      </c>
      <c r="N1195" s="9" t="str">
        <f t="shared" si="5"/>
        <v>R1011</v>
      </c>
      <c r="O1195" s="17">
        <f t="shared" si="6"/>
        <v>20</v>
      </c>
      <c r="P1195" s="18">
        <v>37777.0</v>
      </c>
    </row>
    <row r="1196" ht="15.75" customHeight="1">
      <c r="A1196" s="9" t="s">
        <v>4053</v>
      </c>
      <c r="B1196" s="17">
        <v>1996.0</v>
      </c>
      <c r="C1196" s="9" t="s">
        <v>4730</v>
      </c>
      <c r="D1196" s="9">
        <v>30.0</v>
      </c>
      <c r="E1196" s="18">
        <f t="shared" si="1"/>
        <v>35246</v>
      </c>
      <c r="F1196" s="9">
        <v>1.0</v>
      </c>
      <c r="G1196" s="19">
        <v>2927.06</v>
      </c>
      <c r="H1196" s="9" t="s">
        <v>4723</v>
      </c>
      <c r="I1196" s="9" t="s">
        <v>4723</v>
      </c>
      <c r="J1196" s="9" t="s">
        <v>4743</v>
      </c>
      <c r="K1196" s="20">
        <f t="shared" si="2"/>
        <v>1996</v>
      </c>
      <c r="L1196" s="9" t="str">
        <f t="shared" si="3"/>
        <v>tier - 2</v>
      </c>
      <c r="M1196" s="9" t="str">
        <f t="shared" si="4"/>
        <v>tier - 2</v>
      </c>
      <c r="N1196" s="9" t="str">
        <f t="shared" si="5"/>
        <v>R1013</v>
      </c>
      <c r="O1196" s="17">
        <f t="shared" si="6"/>
        <v>26</v>
      </c>
      <c r="P1196" s="18">
        <v>35246.0</v>
      </c>
    </row>
    <row r="1197" ht="15.75" customHeight="1">
      <c r="A1197" s="9" t="s">
        <v>4051</v>
      </c>
      <c r="B1197" s="17">
        <v>2002.0</v>
      </c>
      <c r="C1197" s="9" t="s">
        <v>4738</v>
      </c>
      <c r="D1197" s="9">
        <v>30.0</v>
      </c>
      <c r="E1197" s="18">
        <f t="shared" si="1"/>
        <v>37529</v>
      </c>
      <c r="F1197" s="9">
        <v>0.0</v>
      </c>
      <c r="G1197" s="19">
        <v>2943.41</v>
      </c>
      <c r="H1197" s="9" t="s">
        <v>4723</v>
      </c>
      <c r="I1197" s="9" t="s">
        <v>4717</v>
      </c>
      <c r="J1197" s="9" t="s">
        <v>4733</v>
      </c>
      <c r="K1197" s="20">
        <f t="shared" si="2"/>
        <v>2002</v>
      </c>
      <c r="L1197" s="9" t="str">
        <f t="shared" si="3"/>
        <v>tier - 2</v>
      </c>
      <c r="M1197" s="9" t="str">
        <f t="shared" si="4"/>
        <v>tier - 3</v>
      </c>
      <c r="N1197" s="9" t="str">
        <f t="shared" si="5"/>
        <v>R1012</v>
      </c>
      <c r="O1197" s="17">
        <f t="shared" si="6"/>
        <v>20</v>
      </c>
      <c r="P1197" s="18">
        <v>37529.0</v>
      </c>
    </row>
    <row r="1198" ht="15.75" customHeight="1">
      <c r="A1198" s="9" t="s">
        <v>4049</v>
      </c>
      <c r="B1198" s="17">
        <v>1995.0</v>
      </c>
      <c r="C1198" s="9" t="s">
        <v>4738</v>
      </c>
      <c r="D1198" s="9">
        <v>24.0</v>
      </c>
      <c r="E1198" s="18">
        <f t="shared" si="1"/>
        <v>34966</v>
      </c>
      <c r="F1198" s="9">
        <v>0.0</v>
      </c>
      <c r="G1198" s="19">
        <v>2974.13</v>
      </c>
      <c r="H1198" s="9" t="s">
        <v>4723</v>
      </c>
      <c r="I1198" s="9" t="s">
        <v>4718</v>
      </c>
      <c r="J1198" s="9" t="s">
        <v>4719</v>
      </c>
      <c r="K1198" s="20">
        <f t="shared" si="2"/>
        <v>1995</v>
      </c>
      <c r="L1198" s="9" t="str">
        <f t="shared" si="3"/>
        <v>tier - 2</v>
      </c>
      <c r="M1198" s="9" t="str">
        <f t="shared" si="4"/>
        <v>tier - 1</v>
      </c>
      <c r="N1198" s="9" t="str">
        <f t="shared" si="5"/>
        <v>R1011</v>
      </c>
      <c r="O1198" s="17">
        <f t="shared" si="6"/>
        <v>27</v>
      </c>
      <c r="P1198" s="18">
        <v>34966.0</v>
      </c>
    </row>
    <row r="1199" ht="15.75" customHeight="1">
      <c r="A1199" s="9" t="s">
        <v>4047</v>
      </c>
      <c r="B1199" s="17">
        <v>1987.0</v>
      </c>
      <c r="C1199" s="9" t="s">
        <v>4730</v>
      </c>
      <c r="D1199" s="9">
        <v>18.0</v>
      </c>
      <c r="E1199" s="18">
        <f t="shared" si="1"/>
        <v>31946</v>
      </c>
      <c r="F1199" s="9">
        <v>3.0</v>
      </c>
      <c r="G1199" s="19">
        <v>2979.52</v>
      </c>
      <c r="H1199" s="9" t="s">
        <v>4723</v>
      </c>
      <c r="I1199" s="9" t="s">
        <v>4717</v>
      </c>
      <c r="J1199" s="9" t="s">
        <v>4743</v>
      </c>
      <c r="K1199" s="20">
        <f t="shared" si="2"/>
        <v>1987</v>
      </c>
      <c r="L1199" s="9" t="str">
        <f t="shared" si="3"/>
        <v>tier - 2</v>
      </c>
      <c r="M1199" s="9" t="str">
        <f t="shared" si="4"/>
        <v>tier - 3</v>
      </c>
      <c r="N1199" s="9" t="str">
        <f t="shared" si="5"/>
        <v>R1013</v>
      </c>
      <c r="O1199" s="17">
        <f t="shared" si="6"/>
        <v>35</v>
      </c>
      <c r="P1199" s="18">
        <v>31946.0</v>
      </c>
    </row>
    <row r="1200" ht="15.75" customHeight="1">
      <c r="A1200" s="9" t="s">
        <v>4045</v>
      </c>
      <c r="B1200" s="17">
        <v>1991.0</v>
      </c>
      <c r="C1200" s="9" t="s">
        <v>4735</v>
      </c>
      <c r="D1200" s="9">
        <v>20.0</v>
      </c>
      <c r="E1200" s="18">
        <f t="shared" si="1"/>
        <v>33562</v>
      </c>
      <c r="F1200" s="9">
        <v>3.0</v>
      </c>
      <c r="G1200" s="19">
        <v>2985.67</v>
      </c>
      <c r="H1200" s="9" t="s">
        <v>4723</v>
      </c>
      <c r="I1200" s="9" t="s">
        <v>4723</v>
      </c>
      <c r="J1200" s="9" t="s">
        <v>4743</v>
      </c>
      <c r="K1200" s="20">
        <f t="shared" si="2"/>
        <v>1991</v>
      </c>
      <c r="L1200" s="9" t="str">
        <f t="shared" si="3"/>
        <v>tier - 2</v>
      </c>
      <c r="M1200" s="9" t="str">
        <f t="shared" si="4"/>
        <v>tier - 2</v>
      </c>
      <c r="N1200" s="9" t="str">
        <f t="shared" si="5"/>
        <v>R1013</v>
      </c>
      <c r="O1200" s="17">
        <f t="shared" si="6"/>
        <v>31</v>
      </c>
      <c r="P1200" s="18">
        <v>33562.0</v>
      </c>
    </row>
    <row r="1201" ht="15.75" customHeight="1">
      <c r="A1201" s="9" t="s">
        <v>4043</v>
      </c>
      <c r="B1201" s="17">
        <v>2002.0</v>
      </c>
      <c r="C1201" s="9" t="s">
        <v>4725</v>
      </c>
      <c r="D1201" s="9">
        <v>15.0</v>
      </c>
      <c r="E1201" s="18">
        <f t="shared" si="1"/>
        <v>37605</v>
      </c>
      <c r="F1201" s="9">
        <v>0.0</v>
      </c>
      <c r="G1201" s="19">
        <v>3012.22</v>
      </c>
      <c r="H1201" s="9" t="s">
        <v>4723</v>
      </c>
      <c r="I1201" s="9" t="s">
        <v>4717</v>
      </c>
      <c r="J1201" s="9" t="s">
        <v>4733</v>
      </c>
      <c r="K1201" s="20">
        <f t="shared" si="2"/>
        <v>2002</v>
      </c>
      <c r="L1201" s="9" t="str">
        <f t="shared" si="3"/>
        <v>tier - 2</v>
      </c>
      <c r="M1201" s="9" t="str">
        <f t="shared" si="4"/>
        <v>tier - 3</v>
      </c>
      <c r="N1201" s="9" t="str">
        <f t="shared" si="5"/>
        <v>R1012</v>
      </c>
      <c r="O1201" s="17">
        <f t="shared" si="6"/>
        <v>20</v>
      </c>
      <c r="P1201" s="18">
        <v>37605.0</v>
      </c>
    </row>
    <row r="1202" ht="15.75" customHeight="1">
      <c r="A1202" s="9" t="s">
        <v>4041</v>
      </c>
      <c r="B1202" s="17">
        <v>1988.0</v>
      </c>
      <c r="C1202" s="9" t="s">
        <v>4738</v>
      </c>
      <c r="D1202" s="9">
        <v>28.0</v>
      </c>
      <c r="E1202" s="18">
        <f t="shared" si="1"/>
        <v>32414</v>
      </c>
      <c r="F1202" s="9">
        <v>3.0</v>
      </c>
      <c r="G1202" s="19">
        <v>3018.04</v>
      </c>
      <c r="H1202" s="9" t="s">
        <v>4723</v>
      </c>
      <c r="I1202" s="9" t="s">
        <v>4723</v>
      </c>
      <c r="J1202" s="9" t="s">
        <v>4733</v>
      </c>
      <c r="K1202" s="20">
        <f t="shared" si="2"/>
        <v>1988</v>
      </c>
      <c r="L1202" s="9" t="str">
        <f t="shared" si="3"/>
        <v>tier - 2</v>
      </c>
      <c r="M1202" s="9" t="str">
        <f t="shared" si="4"/>
        <v>tier - 2</v>
      </c>
      <c r="N1202" s="9" t="str">
        <f t="shared" si="5"/>
        <v>R1012</v>
      </c>
      <c r="O1202" s="17">
        <f t="shared" si="6"/>
        <v>34</v>
      </c>
      <c r="P1202" s="18">
        <v>32414.0</v>
      </c>
    </row>
    <row r="1203" ht="15.75" customHeight="1">
      <c r="A1203" s="9" t="s">
        <v>405</v>
      </c>
      <c r="B1203" s="17">
        <v>1996.0</v>
      </c>
      <c r="C1203" s="9" t="s">
        <v>4716</v>
      </c>
      <c r="D1203" s="9">
        <v>20.0</v>
      </c>
      <c r="E1203" s="18">
        <f t="shared" si="1"/>
        <v>35297</v>
      </c>
      <c r="F1203" s="9">
        <v>2.0</v>
      </c>
      <c r="G1203" s="19">
        <v>36085.22</v>
      </c>
      <c r="H1203" s="9" t="s">
        <v>4718</v>
      </c>
      <c r="I1203" s="9" t="s">
        <v>4718</v>
      </c>
      <c r="J1203" s="9" t="s">
        <v>4719</v>
      </c>
      <c r="K1203" s="20">
        <f t="shared" si="2"/>
        <v>1996</v>
      </c>
      <c r="L1203" s="9" t="str">
        <f t="shared" si="3"/>
        <v>tier - 1</v>
      </c>
      <c r="M1203" s="9" t="str">
        <f t="shared" si="4"/>
        <v>tier - 1</v>
      </c>
      <c r="N1203" s="9" t="str">
        <f t="shared" si="5"/>
        <v>R1011</v>
      </c>
      <c r="O1203" s="17">
        <f t="shared" si="6"/>
        <v>26</v>
      </c>
      <c r="P1203" s="18">
        <v>35297.0</v>
      </c>
    </row>
    <row r="1204" ht="15.75" customHeight="1">
      <c r="A1204" s="9" t="s">
        <v>4039</v>
      </c>
      <c r="B1204" s="17">
        <v>1997.0</v>
      </c>
      <c r="C1204" s="9" t="s">
        <v>4725</v>
      </c>
      <c r="D1204" s="9">
        <v>19.0</v>
      </c>
      <c r="E1204" s="18">
        <f t="shared" si="1"/>
        <v>35783</v>
      </c>
      <c r="F1204" s="9">
        <v>0.0</v>
      </c>
      <c r="G1204" s="19">
        <v>3021.81</v>
      </c>
      <c r="H1204" s="9" t="s">
        <v>4723</v>
      </c>
      <c r="I1204" s="9" t="s">
        <v>4717</v>
      </c>
      <c r="J1204" s="9" t="s">
        <v>4733</v>
      </c>
      <c r="K1204" s="20">
        <f t="shared" si="2"/>
        <v>1997</v>
      </c>
      <c r="L1204" s="9" t="str">
        <f t="shared" si="3"/>
        <v>tier - 2</v>
      </c>
      <c r="M1204" s="9" t="str">
        <f t="shared" si="4"/>
        <v>tier - 3</v>
      </c>
      <c r="N1204" s="9" t="str">
        <f t="shared" si="5"/>
        <v>R1012</v>
      </c>
      <c r="O1204" s="17">
        <f t="shared" si="6"/>
        <v>25</v>
      </c>
      <c r="P1204" s="18">
        <v>35783.0</v>
      </c>
    </row>
    <row r="1205" ht="15.75" customHeight="1">
      <c r="A1205" s="9" t="s">
        <v>4037</v>
      </c>
      <c r="B1205" s="17">
        <v>1998.0</v>
      </c>
      <c r="C1205" s="9" t="s">
        <v>4738</v>
      </c>
      <c r="D1205" s="9">
        <v>15.0</v>
      </c>
      <c r="E1205" s="18">
        <f t="shared" si="1"/>
        <v>36053</v>
      </c>
      <c r="F1205" s="9">
        <v>0.0</v>
      </c>
      <c r="G1205" s="19">
        <v>3044.21</v>
      </c>
      <c r="H1205" s="9" t="s">
        <v>4723</v>
      </c>
      <c r="I1205" s="9" t="s">
        <v>4717</v>
      </c>
      <c r="J1205" s="9" t="s">
        <v>4731</v>
      </c>
      <c r="K1205" s="20">
        <f t="shared" si="2"/>
        <v>1998</v>
      </c>
      <c r="L1205" s="9" t="str">
        <f t="shared" si="3"/>
        <v>tier - 2</v>
      </c>
      <c r="M1205" s="9" t="str">
        <f t="shared" si="4"/>
        <v>tier - 3</v>
      </c>
      <c r="N1205" s="9" t="str">
        <f t="shared" si="5"/>
        <v>R1024</v>
      </c>
      <c r="O1205" s="17">
        <f t="shared" si="6"/>
        <v>24</v>
      </c>
      <c r="P1205" s="18">
        <v>36053.0</v>
      </c>
    </row>
    <row r="1206" ht="15.75" customHeight="1">
      <c r="A1206" s="9" t="s">
        <v>4035</v>
      </c>
      <c r="B1206" s="17">
        <v>1998.0</v>
      </c>
      <c r="C1206" s="9" t="s">
        <v>4716</v>
      </c>
      <c r="D1206" s="9">
        <v>9.0</v>
      </c>
      <c r="E1206" s="18">
        <f t="shared" si="1"/>
        <v>36016</v>
      </c>
      <c r="F1206" s="9">
        <v>0.0</v>
      </c>
      <c r="G1206" s="19">
        <v>3046.06</v>
      </c>
      <c r="H1206" s="9" t="s">
        <v>4723</v>
      </c>
      <c r="I1206" s="9" t="s">
        <v>4718</v>
      </c>
      <c r="J1206" s="9" t="s">
        <v>4756</v>
      </c>
      <c r="K1206" s="20">
        <f t="shared" si="2"/>
        <v>1998</v>
      </c>
      <c r="L1206" s="9" t="str">
        <f t="shared" si="3"/>
        <v>tier - 2</v>
      </c>
      <c r="M1206" s="9" t="str">
        <f t="shared" si="4"/>
        <v>tier - 1</v>
      </c>
      <c r="N1206" s="9" t="str">
        <f t="shared" si="5"/>
        <v>R1023</v>
      </c>
      <c r="O1206" s="17">
        <f t="shared" si="6"/>
        <v>24</v>
      </c>
      <c r="P1206" s="18">
        <v>36016.0</v>
      </c>
    </row>
    <row r="1207" ht="15.75" customHeight="1">
      <c r="A1207" s="9" t="s">
        <v>4033</v>
      </c>
      <c r="B1207" s="17">
        <v>1997.0</v>
      </c>
      <c r="C1207" s="9" t="s">
        <v>4725</v>
      </c>
      <c r="D1207" s="9">
        <v>22.0</v>
      </c>
      <c r="E1207" s="18">
        <f t="shared" si="1"/>
        <v>35786</v>
      </c>
      <c r="F1207" s="9">
        <v>0.0</v>
      </c>
      <c r="G1207" s="19">
        <v>3051.73</v>
      </c>
      <c r="H1207" s="9" t="s">
        <v>4723</v>
      </c>
      <c r="I1207" s="9" t="s">
        <v>4723</v>
      </c>
      <c r="J1207" s="9" t="s">
        <v>4719</v>
      </c>
      <c r="K1207" s="20">
        <f t="shared" si="2"/>
        <v>1997</v>
      </c>
      <c r="L1207" s="9" t="str">
        <f t="shared" si="3"/>
        <v>tier - 2</v>
      </c>
      <c r="M1207" s="9" t="str">
        <f t="shared" si="4"/>
        <v>tier - 2</v>
      </c>
      <c r="N1207" s="9" t="str">
        <f t="shared" si="5"/>
        <v>R1011</v>
      </c>
      <c r="O1207" s="17">
        <f t="shared" si="6"/>
        <v>25</v>
      </c>
      <c r="P1207" s="18">
        <v>35786.0</v>
      </c>
    </row>
    <row r="1208" ht="15.75" customHeight="1">
      <c r="A1208" s="9" t="s">
        <v>4031</v>
      </c>
      <c r="B1208" s="17">
        <v>2002.0</v>
      </c>
      <c r="C1208" s="9" t="s">
        <v>4730</v>
      </c>
      <c r="D1208" s="9">
        <v>21.0</v>
      </c>
      <c r="E1208" s="18">
        <f t="shared" si="1"/>
        <v>37428</v>
      </c>
      <c r="F1208" s="9">
        <v>2.0</v>
      </c>
      <c r="G1208" s="19">
        <v>3056.39</v>
      </c>
      <c r="H1208" s="9" t="s">
        <v>4723</v>
      </c>
      <c r="I1208" s="9" t="s">
        <v>4717</v>
      </c>
      <c r="J1208" s="9" t="s">
        <v>4743</v>
      </c>
      <c r="K1208" s="20">
        <f t="shared" si="2"/>
        <v>2002</v>
      </c>
      <c r="L1208" s="9" t="str">
        <f t="shared" si="3"/>
        <v>tier - 2</v>
      </c>
      <c r="M1208" s="9" t="str">
        <f t="shared" si="4"/>
        <v>tier - 3</v>
      </c>
      <c r="N1208" s="9" t="str">
        <f t="shared" si="5"/>
        <v>R1013</v>
      </c>
      <c r="O1208" s="17">
        <f t="shared" si="6"/>
        <v>20</v>
      </c>
      <c r="P1208" s="18">
        <v>37428.0</v>
      </c>
    </row>
    <row r="1209" ht="15.75" customHeight="1">
      <c r="A1209" s="9" t="s">
        <v>4029</v>
      </c>
      <c r="B1209" s="17">
        <v>1994.0</v>
      </c>
      <c r="C1209" s="9" t="s">
        <v>4738</v>
      </c>
      <c r="D1209" s="9">
        <v>26.0</v>
      </c>
      <c r="E1209" s="18">
        <f t="shared" si="1"/>
        <v>34603</v>
      </c>
      <c r="F1209" s="9">
        <v>0.0</v>
      </c>
      <c r="G1209" s="19">
        <v>3062.51</v>
      </c>
      <c r="H1209" s="9" t="s">
        <v>4717</v>
      </c>
      <c r="I1209" s="9" t="s">
        <v>4718</v>
      </c>
      <c r="J1209" s="9" t="s">
        <v>4733</v>
      </c>
      <c r="K1209" s="20">
        <f t="shared" si="2"/>
        <v>1994</v>
      </c>
      <c r="L1209" s="9" t="str">
        <f t="shared" si="3"/>
        <v>tier - 3</v>
      </c>
      <c r="M1209" s="9" t="str">
        <f t="shared" si="4"/>
        <v>tier - 1</v>
      </c>
      <c r="N1209" s="9" t="str">
        <f t="shared" si="5"/>
        <v>R1012</v>
      </c>
      <c r="O1209" s="17">
        <f t="shared" si="6"/>
        <v>28</v>
      </c>
      <c r="P1209" s="18">
        <v>34603.0</v>
      </c>
    </row>
    <row r="1210" ht="15.75" customHeight="1">
      <c r="A1210" s="9" t="s">
        <v>4027</v>
      </c>
      <c r="B1210" s="17">
        <v>1989.0</v>
      </c>
      <c r="C1210" s="9" t="s">
        <v>4720</v>
      </c>
      <c r="D1210" s="9">
        <v>1.0</v>
      </c>
      <c r="E1210" s="18">
        <f t="shared" si="1"/>
        <v>32782</v>
      </c>
      <c r="F1210" s="9">
        <v>3.0</v>
      </c>
      <c r="G1210" s="19">
        <v>3065.49</v>
      </c>
      <c r="H1210" s="9" t="s">
        <v>4723</v>
      </c>
      <c r="I1210" s="9" t="s">
        <v>4718</v>
      </c>
      <c r="J1210" s="9" t="s">
        <v>4733</v>
      </c>
      <c r="K1210" s="20">
        <f t="shared" si="2"/>
        <v>1989</v>
      </c>
      <c r="L1210" s="9" t="str">
        <f t="shared" si="3"/>
        <v>tier - 2</v>
      </c>
      <c r="M1210" s="9" t="str">
        <f t="shared" si="4"/>
        <v>tier - 1</v>
      </c>
      <c r="N1210" s="9" t="str">
        <f t="shared" si="5"/>
        <v>R1012</v>
      </c>
      <c r="O1210" s="17">
        <f t="shared" si="6"/>
        <v>33</v>
      </c>
      <c r="P1210" s="18">
        <v>32782.0</v>
      </c>
    </row>
    <row r="1211" ht="15.75" customHeight="1">
      <c r="A1211" s="9" t="s">
        <v>4025</v>
      </c>
      <c r="B1211" s="17">
        <v>1995.0</v>
      </c>
      <c r="C1211" s="9" t="s">
        <v>4738</v>
      </c>
      <c r="D1211" s="9">
        <v>10.0</v>
      </c>
      <c r="E1211" s="18">
        <f t="shared" si="1"/>
        <v>34952</v>
      </c>
      <c r="F1211" s="9">
        <v>0.0</v>
      </c>
      <c r="G1211" s="19">
        <v>3070.81</v>
      </c>
      <c r="H1211" s="9" t="s">
        <v>4717</v>
      </c>
      <c r="I1211" s="9" t="s">
        <v>4718</v>
      </c>
      <c r="J1211" s="9" t="s">
        <v>4753</v>
      </c>
      <c r="K1211" s="20">
        <f t="shared" si="2"/>
        <v>1995</v>
      </c>
      <c r="L1211" s="9" t="str">
        <f t="shared" si="3"/>
        <v>tier - 3</v>
      </c>
      <c r="M1211" s="9" t="str">
        <f t="shared" si="4"/>
        <v>tier - 1</v>
      </c>
      <c r="N1211" s="9" t="str">
        <f t="shared" si="5"/>
        <v>R1017</v>
      </c>
      <c r="O1211" s="17">
        <f t="shared" si="6"/>
        <v>27</v>
      </c>
      <c r="P1211" s="18">
        <v>34952.0</v>
      </c>
    </row>
    <row r="1212" ht="15.75" customHeight="1">
      <c r="A1212" s="9" t="s">
        <v>4023</v>
      </c>
      <c r="B1212" s="17">
        <v>2001.0</v>
      </c>
      <c r="C1212" s="9" t="s">
        <v>4720</v>
      </c>
      <c r="D1212" s="9">
        <v>13.0</v>
      </c>
      <c r="E1212" s="18">
        <f t="shared" si="1"/>
        <v>37177</v>
      </c>
      <c r="F1212" s="9">
        <v>2.0</v>
      </c>
      <c r="G1212" s="19">
        <v>3077.1</v>
      </c>
      <c r="H1212" s="9" t="s">
        <v>4723</v>
      </c>
      <c r="I1212" s="9" t="s">
        <v>4718</v>
      </c>
      <c r="J1212" s="9" t="s">
        <v>4733</v>
      </c>
      <c r="K1212" s="20">
        <f t="shared" si="2"/>
        <v>2001</v>
      </c>
      <c r="L1212" s="9" t="str">
        <f t="shared" si="3"/>
        <v>tier - 2</v>
      </c>
      <c r="M1212" s="9" t="str">
        <f t="shared" si="4"/>
        <v>tier - 1</v>
      </c>
      <c r="N1212" s="9" t="str">
        <f t="shared" si="5"/>
        <v>R1012</v>
      </c>
      <c r="O1212" s="17">
        <f t="shared" si="6"/>
        <v>21</v>
      </c>
      <c r="P1212" s="18">
        <v>37177.0</v>
      </c>
    </row>
    <row r="1213" ht="15.75" customHeight="1">
      <c r="A1213" s="9" t="s">
        <v>4021</v>
      </c>
      <c r="B1213" s="17">
        <v>1987.0</v>
      </c>
      <c r="C1213" s="9" t="s">
        <v>4716</v>
      </c>
      <c r="D1213" s="9">
        <v>1.0</v>
      </c>
      <c r="E1213" s="18">
        <f t="shared" si="1"/>
        <v>31990</v>
      </c>
      <c r="F1213" s="9">
        <v>3.0</v>
      </c>
      <c r="G1213" s="19">
        <v>3088.06</v>
      </c>
      <c r="H1213" s="9" t="s">
        <v>4723</v>
      </c>
      <c r="I1213" s="9" t="s">
        <v>4723</v>
      </c>
      <c r="J1213" s="9" t="s">
        <v>4743</v>
      </c>
      <c r="K1213" s="20">
        <f t="shared" si="2"/>
        <v>1987</v>
      </c>
      <c r="L1213" s="9" t="str">
        <f t="shared" si="3"/>
        <v>tier - 2</v>
      </c>
      <c r="M1213" s="9" t="str">
        <f t="shared" si="4"/>
        <v>tier - 2</v>
      </c>
      <c r="N1213" s="9" t="str">
        <f t="shared" si="5"/>
        <v>R1013</v>
      </c>
      <c r="O1213" s="17">
        <f t="shared" si="6"/>
        <v>35</v>
      </c>
      <c r="P1213" s="18">
        <v>31990.0</v>
      </c>
    </row>
    <row r="1214" ht="15.75" customHeight="1">
      <c r="A1214" s="9" t="s">
        <v>403</v>
      </c>
      <c r="B1214" s="17">
        <v>1979.0</v>
      </c>
      <c r="C1214" s="9" t="s">
        <v>4735</v>
      </c>
      <c r="D1214" s="9">
        <v>4.0</v>
      </c>
      <c r="E1214" s="18">
        <f t="shared" si="1"/>
        <v>29163</v>
      </c>
      <c r="F1214" s="9">
        <v>2.0</v>
      </c>
      <c r="G1214" s="19">
        <v>36090.49</v>
      </c>
      <c r="H1214" s="9" t="s">
        <v>4723</v>
      </c>
      <c r="I1214" s="9" t="s">
        <v>4723</v>
      </c>
      <c r="J1214" s="9" t="s">
        <v>4719</v>
      </c>
      <c r="K1214" s="20">
        <f t="shared" si="2"/>
        <v>1979</v>
      </c>
      <c r="L1214" s="9" t="str">
        <f t="shared" si="3"/>
        <v>tier - 2</v>
      </c>
      <c r="M1214" s="9" t="str">
        <f t="shared" si="4"/>
        <v>tier - 2</v>
      </c>
      <c r="N1214" s="9" t="str">
        <f t="shared" si="5"/>
        <v>R1011</v>
      </c>
      <c r="O1214" s="17">
        <f t="shared" si="6"/>
        <v>43</v>
      </c>
      <c r="P1214" s="18">
        <v>29163.0</v>
      </c>
    </row>
    <row r="1215" ht="15.75" customHeight="1">
      <c r="A1215" s="9" t="s">
        <v>4019</v>
      </c>
      <c r="B1215" s="17">
        <v>1999.0</v>
      </c>
      <c r="C1215" s="9" t="s">
        <v>4730</v>
      </c>
      <c r="D1215" s="9">
        <v>25.0</v>
      </c>
      <c r="E1215" s="18">
        <f t="shared" si="1"/>
        <v>36336</v>
      </c>
      <c r="F1215" s="9">
        <v>0.0</v>
      </c>
      <c r="G1215" s="19">
        <v>3128.35</v>
      </c>
      <c r="H1215" s="9" t="s">
        <v>4723</v>
      </c>
      <c r="I1215" s="9" t="s">
        <v>4717</v>
      </c>
      <c r="J1215" s="9" t="s">
        <v>4751</v>
      </c>
      <c r="K1215" s="20">
        <f t="shared" si="2"/>
        <v>1999</v>
      </c>
      <c r="L1215" s="9" t="str">
        <f t="shared" si="3"/>
        <v>tier - 2</v>
      </c>
      <c r="M1215" s="9" t="str">
        <f t="shared" si="4"/>
        <v>tier - 3</v>
      </c>
      <c r="N1215" s="9" t="str">
        <f t="shared" si="5"/>
        <v>R1021</v>
      </c>
      <c r="O1215" s="17">
        <f t="shared" si="6"/>
        <v>23</v>
      </c>
      <c r="P1215" s="18">
        <v>36336.0</v>
      </c>
    </row>
    <row r="1216" ht="15.75" customHeight="1">
      <c r="A1216" s="9" t="s">
        <v>4017</v>
      </c>
      <c r="B1216" s="17">
        <v>1994.0</v>
      </c>
      <c r="C1216" s="9" t="s">
        <v>4741</v>
      </c>
      <c r="D1216" s="9">
        <v>10.0</v>
      </c>
      <c r="E1216" s="18">
        <f t="shared" si="1"/>
        <v>34525</v>
      </c>
      <c r="F1216" s="9">
        <v>0.0</v>
      </c>
      <c r="G1216" s="19">
        <v>3161.45</v>
      </c>
      <c r="H1216" s="9" t="s">
        <v>4723</v>
      </c>
      <c r="I1216" s="9" t="s">
        <v>4718</v>
      </c>
      <c r="J1216" s="9" t="s">
        <v>4719</v>
      </c>
      <c r="K1216" s="20">
        <f t="shared" si="2"/>
        <v>1994</v>
      </c>
      <c r="L1216" s="9" t="str">
        <f t="shared" si="3"/>
        <v>tier - 2</v>
      </c>
      <c r="M1216" s="9" t="str">
        <f t="shared" si="4"/>
        <v>tier - 1</v>
      </c>
      <c r="N1216" s="9" t="str">
        <f t="shared" si="5"/>
        <v>R1011</v>
      </c>
      <c r="O1216" s="17">
        <f t="shared" si="6"/>
        <v>28</v>
      </c>
      <c r="P1216" s="18">
        <v>34525.0</v>
      </c>
    </row>
    <row r="1217" ht="15.75" customHeight="1">
      <c r="A1217" s="9" t="s">
        <v>4015</v>
      </c>
      <c r="B1217" s="17">
        <v>1993.0</v>
      </c>
      <c r="C1217" s="9" t="s">
        <v>4738</v>
      </c>
      <c r="D1217" s="9">
        <v>25.0</v>
      </c>
      <c r="E1217" s="18">
        <f t="shared" si="1"/>
        <v>34237</v>
      </c>
      <c r="F1217" s="9">
        <v>0.0</v>
      </c>
      <c r="G1217" s="19">
        <v>3162.02</v>
      </c>
      <c r="H1217" s="9" t="s">
        <v>4723</v>
      </c>
      <c r="I1217" s="9" t="s">
        <v>4717</v>
      </c>
      <c r="J1217" s="9" t="s">
        <v>4743</v>
      </c>
      <c r="K1217" s="20">
        <f t="shared" si="2"/>
        <v>1993</v>
      </c>
      <c r="L1217" s="9" t="str">
        <f t="shared" si="3"/>
        <v>tier - 2</v>
      </c>
      <c r="M1217" s="9" t="str">
        <f t="shared" si="4"/>
        <v>tier - 3</v>
      </c>
      <c r="N1217" s="9" t="str">
        <f t="shared" si="5"/>
        <v>R1013</v>
      </c>
      <c r="O1217" s="17">
        <f t="shared" si="6"/>
        <v>29</v>
      </c>
      <c r="P1217" s="18">
        <v>34237.0</v>
      </c>
    </row>
    <row r="1218" ht="15.75" customHeight="1">
      <c r="A1218" s="9" t="s">
        <v>4013</v>
      </c>
      <c r="B1218" s="17">
        <v>2001.0</v>
      </c>
      <c r="C1218" s="9" t="s">
        <v>4716</v>
      </c>
      <c r="D1218" s="9">
        <v>29.0</v>
      </c>
      <c r="E1218" s="18">
        <f t="shared" si="1"/>
        <v>37132</v>
      </c>
      <c r="F1218" s="9">
        <v>1.0</v>
      </c>
      <c r="G1218" s="19">
        <v>3167.46</v>
      </c>
      <c r="H1218" s="9" t="s">
        <v>4723</v>
      </c>
      <c r="I1218" s="9" t="s">
        <v>4717</v>
      </c>
      <c r="J1218" s="9" t="s">
        <v>4731</v>
      </c>
      <c r="K1218" s="20">
        <f t="shared" si="2"/>
        <v>2001</v>
      </c>
      <c r="L1218" s="9" t="str">
        <f t="shared" si="3"/>
        <v>tier - 2</v>
      </c>
      <c r="M1218" s="9" t="str">
        <f t="shared" si="4"/>
        <v>tier - 3</v>
      </c>
      <c r="N1218" s="9" t="str">
        <f t="shared" si="5"/>
        <v>R1024</v>
      </c>
      <c r="O1218" s="17">
        <f t="shared" si="6"/>
        <v>21</v>
      </c>
      <c r="P1218" s="18">
        <v>37132.0</v>
      </c>
    </row>
    <row r="1219" ht="15.75" customHeight="1">
      <c r="A1219" s="9" t="s">
        <v>4011</v>
      </c>
      <c r="B1219" s="17">
        <v>1994.0</v>
      </c>
      <c r="C1219" s="9" t="s">
        <v>4720</v>
      </c>
      <c r="D1219" s="9">
        <v>25.0</v>
      </c>
      <c r="E1219" s="18">
        <f t="shared" si="1"/>
        <v>34632</v>
      </c>
      <c r="F1219" s="9">
        <v>0.0</v>
      </c>
      <c r="G1219" s="19">
        <v>3171.61</v>
      </c>
      <c r="H1219" s="9" t="s">
        <v>4723</v>
      </c>
      <c r="I1219" s="9" t="s">
        <v>4717</v>
      </c>
      <c r="J1219" s="9" t="s">
        <v>4743</v>
      </c>
      <c r="K1219" s="20">
        <f t="shared" si="2"/>
        <v>1994</v>
      </c>
      <c r="L1219" s="9" t="str">
        <f t="shared" si="3"/>
        <v>tier - 2</v>
      </c>
      <c r="M1219" s="9" t="str">
        <f t="shared" si="4"/>
        <v>tier - 3</v>
      </c>
      <c r="N1219" s="9" t="str">
        <f t="shared" si="5"/>
        <v>R1013</v>
      </c>
      <c r="O1219" s="17">
        <f t="shared" si="6"/>
        <v>28</v>
      </c>
      <c r="P1219" s="18">
        <v>34632.0</v>
      </c>
    </row>
    <row r="1220" ht="15.75" customHeight="1">
      <c r="A1220" s="9" t="s">
        <v>4009</v>
      </c>
      <c r="B1220" s="17">
        <v>1994.0</v>
      </c>
      <c r="C1220" s="9" t="s">
        <v>4741</v>
      </c>
      <c r="D1220" s="9">
        <v>6.0</v>
      </c>
      <c r="E1220" s="18">
        <f t="shared" si="1"/>
        <v>34521</v>
      </c>
      <c r="F1220" s="9">
        <v>0.0</v>
      </c>
      <c r="G1220" s="19">
        <v>3172.02</v>
      </c>
      <c r="H1220" s="9" t="s">
        <v>4723</v>
      </c>
      <c r="I1220" s="9" t="s">
        <v>4718</v>
      </c>
      <c r="J1220" s="9" t="s">
        <v>4719</v>
      </c>
      <c r="K1220" s="20">
        <f t="shared" si="2"/>
        <v>1994</v>
      </c>
      <c r="L1220" s="9" t="str">
        <f t="shared" si="3"/>
        <v>tier - 2</v>
      </c>
      <c r="M1220" s="9" t="str">
        <f t="shared" si="4"/>
        <v>tier - 1</v>
      </c>
      <c r="N1220" s="9" t="str">
        <f t="shared" si="5"/>
        <v>R1011</v>
      </c>
      <c r="O1220" s="17">
        <f t="shared" si="6"/>
        <v>28</v>
      </c>
      <c r="P1220" s="18">
        <v>34521.0</v>
      </c>
    </row>
    <row r="1221" ht="15.75" customHeight="1">
      <c r="A1221" s="9" t="s">
        <v>4007</v>
      </c>
      <c r="B1221" s="17">
        <v>1996.0</v>
      </c>
      <c r="C1221" s="9" t="s">
        <v>4716</v>
      </c>
      <c r="D1221" s="9">
        <v>14.0</v>
      </c>
      <c r="E1221" s="18">
        <f t="shared" si="1"/>
        <v>35291</v>
      </c>
      <c r="F1221" s="9">
        <v>0.0</v>
      </c>
      <c r="G1221" s="19">
        <v>3176.29</v>
      </c>
      <c r="H1221" s="9" t="s">
        <v>4723</v>
      </c>
      <c r="I1221" s="9" t="s">
        <v>4723</v>
      </c>
      <c r="J1221" s="9" t="s">
        <v>4733</v>
      </c>
      <c r="K1221" s="20">
        <f t="shared" si="2"/>
        <v>1996</v>
      </c>
      <c r="L1221" s="9" t="str">
        <f t="shared" si="3"/>
        <v>tier - 2</v>
      </c>
      <c r="M1221" s="9" t="str">
        <f t="shared" si="4"/>
        <v>tier - 2</v>
      </c>
      <c r="N1221" s="9" t="str">
        <f t="shared" si="5"/>
        <v>R1012</v>
      </c>
      <c r="O1221" s="17">
        <f t="shared" si="6"/>
        <v>26</v>
      </c>
      <c r="P1221" s="18">
        <v>35291.0</v>
      </c>
    </row>
    <row r="1222" ht="15.75" customHeight="1">
      <c r="A1222" s="9" t="s">
        <v>4005</v>
      </c>
      <c r="B1222" s="17">
        <v>1996.0</v>
      </c>
      <c r="C1222" s="9" t="s">
        <v>4741</v>
      </c>
      <c r="D1222" s="9">
        <v>3.0</v>
      </c>
      <c r="E1222" s="18">
        <f t="shared" si="1"/>
        <v>35249</v>
      </c>
      <c r="F1222" s="9">
        <v>0.0</v>
      </c>
      <c r="G1222" s="19">
        <v>3176.82</v>
      </c>
      <c r="H1222" s="9" t="s">
        <v>4723</v>
      </c>
      <c r="I1222" s="9" t="s">
        <v>4718</v>
      </c>
      <c r="J1222" s="9" t="s">
        <v>4733</v>
      </c>
      <c r="K1222" s="20">
        <f t="shared" si="2"/>
        <v>1996</v>
      </c>
      <c r="L1222" s="9" t="str">
        <f t="shared" si="3"/>
        <v>tier - 2</v>
      </c>
      <c r="M1222" s="9" t="str">
        <f t="shared" si="4"/>
        <v>tier - 1</v>
      </c>
      <c r="N1222" s="9" t="str">
        <f t="shared" si="5"/>
        <v>R1012</v>
      </c>
      <c r="O1222" s="17">
        <f t="shared" si="6"/>
        <v>26</v>
      </c>
      <c r="P1222" s="18">
        <v>35249.0</v>
      </c>
    </row>
    <row r="1223" ht="15.75" customHeight="1">
      <c r="A1223" s="9" t="s">
        <v>4003</v>
      </c>
      <c r="B1223" s="17">
        <v>2000.0</v>
      </c>
      <c r="C1223" s="9" t="s">
        <v>4738</v>
      </c>
      <c r="D1223" s="9">
        <v>23.0</v>
      </c>
      <c r="E1223" s="18">
        <f t="shared" si="1"/>
        <v>36792</v>
      </c>
      <c r="F1223" s="9">
        <v>0.0</v>
      </c>
      <c r="G1223" s="19">
        <v>3179.96</v>
      </c>
      <c r="H1223" s="9" t="s">
        <v>4723</v>
      </c>
      <c r="I1223" s="9" t="s">
        <v>4723</v>
      </c>
      <c r="J1223" s="9" t="s">
        <v>4733</v>
      </c>
      <c r="K1223" s="20">
        <f t="shared" si="2"/>
        <v>2000</v>
      </c>
      <c r="L1223" s="9" t="str">
        <f t="shared" si="3"/>
        <v>tier - 2</v>
      </c>
      <c r="M1223" s="9" t="str">
        <f t="shared" si="4"/>
        <v>tier - 2</v>
      </c>
      <c r="N1223" s="9" t="str">
        <f t="shared" si="5"/>
        <v>R1012</v>
      </c>
      <c r="O1223" s="17">
        <f t="shared" si="6"/>
        <v>22</v>
      </c>
      <c r="P1223" s="18">
        <v>36792.0</v>
      </c>
    </row>
    <row r="1224" ht="15.75" customHeight="1">
      <c r="A1224" s="9" t="s">
        <v>4001</v>
      </c>
      <c r="B1224" s="17">
        <v>2001.0</v>
      </c>
      <c r="C1224" s="9" t="s">
        <v>4738</v>
      </c>
      <c r="D1224" s="9">
        <v>2.0</v>
      </c>
      <c r="E1224" s="18">
        <f t="shared" si="1"/>
        <v>37136</v>
      </c>
      <c r="F1224" s="9">
        <v>2.0</v>
      </c>
      <c r="G1224" s="19">
        <v>3180.51</v>
      </c>
      <c r="H1224" s="9" t="s">
        <v>4723</v>
      </c>
      <c r="I1224" s="9" t="s">
        <v>4723</v>
      </c>
      <c r="J1224" s="9" t="s">
        <v>4743</v>
      </c>
      <c r="K1224" s="20">
        <f t="shared" si="2"/>
        <v>2001</v>
      </c>
      <c r="L1224" s="9" t="str">
        <f t="shared" si="3"/>
        <v>tier - 2</v>
      </c>
      <c r="M1224" s="9" t="str">
        <f t="shared" si="4"/>
        <v>tier - 2</v>
      </c>
      <c r="N1224" s="9" t="str">
        <f t="shared" si="5"/>
        <v>R1013</v>
      </c>
      <c r="O1224" s="17">
        <f t="shared" si="6"/>
        <v>21</v>
      </c>
      <c r="P1224" s="18">
        <v>37136.0</v>
      </c>
    </row>
    <row r="1225" ht="15.75" customHeight="1">
      <c r="A1225" s="9" t="s">
        <v>401</v>
      </c>
      <c r="B1225" s="17">
        <v>1997.0</v>
      </c>
      <c r="C1225" s="9" t="s">
        <v>4730</v>
      </c>
      <c r="D1225" s="9">
        <v>12.0</v>
      </c>
      <c r="E1225" s="18">
        <f t="shared" si="1"/>
        <v>35593</v>
      </c>
      <c r="F1225" s="9">
        <v>2.0</v>
      </c>
      <c r="G1225" s="19">
        <v>36124.57</v>
      </c>
      <c r="H1225" s="9" t="s">
        <v>4718</v>
      </c>
      <c r="I1225" s="9" t="s">
        <v>4717</v>
      </c>
      <c r="J1225" s="9" t="s">
        <v>4743</v>
      </c>
      <c r="K1225" s="20">
        <f t="shared" si="2"/>
        <v>1997</v>
      </c>
      <c r="L1225" s="9" t="str">
        <f t="shared" si="3"/>
        <v>tier - 1</v>
      </c>
      <c r="M1225" s="9" t="str">
        <f t="shared" si="4"/>
        <v>tier - 3</v>
      </c>
      <c r="N1225" s="9" t="str">
        <f t="shared" si="5"/>
        <v>R1013</v>
      </c>
      <c r="O1225" s="17">
        <f t="shared" si="6"/>
        <v>25</v>
      </c>
      <c r="P1225" s="18">
        <v>35593.0</v>
      </c>
    </row>
    <row r="1226" ht="15.75" customHeight="1">
      <c r="A1226" s="9" t="s">
        <v>41</v>
      </c>
      <c r="B1226" s="17">
        <v>1971.0</v>
      </c>
      <c r="C1226" s="9" t="s">
        <v>4738</v>
      </c>
      <c r="D1226" s="9">
        <v>27.0</v>
      </c>
      <c r="E1226" s="18">
        <f t="shared" si="1"/>
        <v>26203</v>
      </c>
      <c r="F1226" s="9">
        <v>2.0</v>
      </c>
      <c r="G1226" s="19">
        <v>47462.89</v>
      </c>
      <c r="H1226" s="9" t="s">
        <v>4718</v>
      </c>
      <c r="I1226" s="9" t="s">
        <v>4723</v>
      </c>
      <c r="J1226" s="9" t="s">
        <v>4743</v>
      </c>
      <c r="K1226" s="20">
        <f t="shared" si="2"/>
        <v>1971</v>
      </c>
      <c r="L1226" s="9" t="str">
        <f t="shared" si="3"/>
        <v>tier - 1</v>
      </c>
      <c r="M1226" s="9" t="str">
        <f t="shared" si="4"/>
        <v>tier - 2</v>
      </c>
      <c r="N1226" s="9" t="str">
        <f t="shared" si="5"/>
        <v>R1013</v>
      </c>
      <c r="O1226" s="17">
        <f t="shared" si="6"/>
        <v>51</v>
      </c>
      <c r="P1226" s="18">
        <v>26203.0</v>
      </c>
    </row>
    <row r="1227" ht="15.75" customHeight="1">
      <c r="A1227" s="9" t="s">
        <v>5</v>
      </c>
      <c r="B1227" s="17">
        <v>1977.0</v>
      </c>
      <c r="C1227" s="9" t="s">
        <v>4730</v>
      </c>
      <c r="D1227" s="9">
        <v>8.0</v>
      </c>
      <c r="E1227" s="18">
        <f t="shared" si="1"/>
        <v>28284</v>
      </c>
      <c r="F1227" s="9">
        <v>0.0</v>
      </c>
      <c r="G1227" s="19">
        <v>62592.87</v>
      </c>
      <c r="H1227" s="9" t="s">
        <v>4723</v>
      </c>
      <c r="I1227" s="9" t="s">
        <v>4717</v>
      </c>
      <c r="J1227" s="9" t="s">
        <v>4743</v>
      </c>
      <c r="K1227" s="20">
        <f t="shared" si="2"/>
        <v>1977</v>
      </c>
      <c r="L1227" s="9" t="str">
        <f t="shared" si="3"/>
        <v>tier - 2</v>
      </c>
      <c r="M1227" s="9" t="str">
        <f t="shared" si="4"/>
        <v>tier - 3</v>
      </c>
      <c r="N1227" s="9" t="str">
        <f t="shared" si="5"/>
        <v>R1013</v>
      </c>
      <c r="O1227" s="17">
        <f t="shared" si="6"/>
        <v>46</v>
      </c>
      <c r="P1227" s="18">
        <v>28284.0</v>
      </c>
    </row>
    <row r="1228" ht="15.75" customHeight="1">
      <c r="A1228" s="9" t="s">
        <v>3999</v>
      </c>
      <c r="B1228" s="17">
        <v>1996.0</v>
      </c>
      <c r="C1228" s="9" t="s">
        <v>4720</v>
      </c>
      <c r="D1228" s="9">
        <v>11.0</v>
      </c>
      <c r="E1228" s="18">
        <f t="shared" si="1"/>
        <v>35349</v>
      </c>
      <c r="F1228" s="9">
        <v>0.0</v>
      </c>
      <c r="G1228" s="19">
        <v>3201.25</v>
      </c>
      <c r="H1228" s="9" t="s">
        <v>4723</v>
      </c>
      <c r="I1228" s="9" t="s">
        <v>4717</v>
      </c>
      <c r="J1228" s="9" t="s">
        <v>4733</v>
      </c>
      <c r="K1228" s="20">
        <f t="shared" si="2"/>
        <v>1996</v>
      </c>
      <c r="L1228" s="9" t="str">
        <f t="shared" si="3"/>
        <v>tier - 2</v>
      </c>
      <c r="M1228" s="9" t="str">
        <f t="shared" si="4"/>
        <v>tier - 3</v>
      </c>
      <c r="N1228" s="9" t="str">
        <f t="shared" si="5"/>
        <v>R1012</v>
      </c>
      <c r="O1228" s="17">
        <f t="shared" si="6"/>
        <v>26</v>
      </c>
      <c r="P1228" s="18">
        <v>35349.0</v>
      </c>
    </row>
    <row r="1229" ht="15.75" customHeight="1">
      <c r="A1229" s="9" t="s">
        <v>3997</v>
      </c>
      <c r="B1229" s="17">
        <v>1997.0</v>
      </c>
      <c r="C1229" s="9" t="s">
        <v>4741</v>
      </c>
      <c r="D1229" s="9">
        <v>5.0</v>
      </c>
      <c r="E1229" s="18">
        <f t="shared" si="1"/>
        <v>35616</v>
      </c>
      <c r="F1229" s="9">
        <v>0.0</v>
      </c>
      <c r="G1229" s="19">
        <v>3206.49</v>
      </c>
      <c r="H1229" s="9" t="s">
        <v>4723</v>
      </c>
      <c r="I1229" s="9" t="s">
        <v>4717</v>
      </c>
      <c r="J1229" s="9" t="s">
        <v>4731</v>
      </c>
      <c r="K1229" s="20">
        <f t="shared" si="2"/>
        <v>1997</v>
      </c>
      <c r="L1229" s="9" t="str">
        <f t="shared" si="3"/>
        <v>tier - 2</v>
      </c>
      <c r="M1229" s="9" t="str">
        <f t="shared" si="4"/>
        <v>tier - 3</v>
      </c>
      <c r="N1229" s="9" t="str">
        <f t="shared" si="5"/>
        <v>R1024</v>
      </c>
      <c r="O1229" s="17">
        <f t="shared" si="6"/>
        <v>25</v>
      </c>
      <c r="P1229" s="18">
        <v>35616.0</v>
      </c>
    </row>
    <row r="1230" ht="15.75" customHeight="1">
      <c r="A1230" s="9" t="s">
        <v>3995</v>
      </c>
      <c r="B1230" s="17">
        <v>1997.0</v>
      </c>
      <c r="C1230" s="9" t="s">
        <v>4725</v>
      </c>
      <c r="D1230" s="9">
        <v>22.0</v>
      </c>
      <c r="E1230" s="18">
        <f t="shared" si="1"/>
        <v>35786</v>
      </c>
      <c r="F1230" s="9">
        <v>1.0</v>
      </c>
      <c r="G1230" s="19">
        <v>3208.79</v>
      </c>
      <c r="H1230" s="9" t="s">
        <v>4723</v>
      </c>
      <c r="I1230" s="9" t="s">
        <v>4717</v>
      </c>
      <c r="J1230" s="9" t="s">
        <v>4719</v>
      </c>
      <c r="K1230" s="20">
        <f t="shared" si="2"/>
        <v>1997</v>
      </c>
      <c r="L1230" s="9" t="str">
        <f t="shared" si="3"/>
        <v>tier - 2</v>
      </c>
      <c r="M1230" s="9" t="str">
        <f t="shared" si="4"/>
        <v>tier - 3</v>
      </c>
      <c r="N1230" s="9" t="str">
        <f t="shared" si="5"/>
        <v>R1011</v>
      </c>
      <c r="O1230" s="17">
        <f t="shared" si="6"/>
        <v>25</v>
      </c>
      <c r="P1230" s="18">
        <v>35786.0</v>
      </c>
    </row>
    <row r="1231" ht="15.75" customHeight="1">
      <c r="A1231" s="9" t="s">
        <v>3993</v>
      </c>
      <c r="B1231" s="17">
        <v>1997.0</v>
      </c>
      <c r="C1231" s="9" t="s">
        <v>4741</v>
      </c>
      <c r="D1231" s="9">
        <v>6.0</v>
      </c>
      <c r="E1231" s="18">
        <f t="shared" si="1"/>
        <v>35617</v>
      </c>
      <c r="F1231" s="9">
        <v>0.0</v>
      </c>
      <c r="G1231" s="19">
        <v>3213.62</v>
      </c>
      <c r="H1231" s="9" t="s">
        <v>4723</v>
      </c>
      <c r="I1231" s="9" t="s">
        <v>4723</v>
      </c>
      <c r="J1231" s="9" t="s">
        <v>4731</v>
      </c>
      <c r="K1231" s="20">
        <f t="shared" si="2"/>
        <v>1997</v>
      </c>
      <c r="L1231" s="9" t="str">
        <f t="shared" si="3"/>
        <v>tier - 2</v>
      </c>
      <c r="M1231" s="9" t="str">
        <f t="shared" si="4"/>
        <v>tier - 2</v>
      </c>
      <c r="N1231" s="9" t="str">
        <f t="shared" si="5"/>
        <v>R1024</v>
      </c>
      <c r="O1231" s="17">
        <f t="shared" si="6"/>
        <v>25</v>
      </c>
      <c r="P1231" s="18">
        <v>35617.0</v>
      </c>
    </row>
    <row r="1232" ht="15.75" customHeight="1">
      <c r="A1232" s="9" t="s">
        <v>3991</v>
      </c>
      <c r="B1232" s="17">
        <v>1997.0</v>
      </c>
      <c r="C1232" s="9" t="s">
        <v>4716</v>
      </c>
      <c r="D1232" s="9">
        <v>2.0</v>
      </c>
      <c r="E1232" s="18">
        <f t="shared" si="1"/>
        <v>35644</v>
      </c>
      <c r="F1232" s="9">
        <v>1.0</v>
      </c>
      <c r="G1232" s="19">
        <v>3227.12</v>
      </c>
      <c r="H1232" s="9" t="s">
        <v>4723</v>
      </c>
      <c r="I1232" s="9" t="s">
        <v>4717</v>
      </c>
      <c r="J1232" s="9" t="s">
        <v>4743</v>
      </c>
      <c r="K1232" s="20">
        <f t="shared" si="2"/>
        <v>1997</v>
      </c>
      <c r="L1232" s="9" t="str">
        <f t="shared" si="3"/>
        <v>tier - 2</v>
      </c>
      <c r="M1232" s="9" t="str">
        <f t="shared" si="4"/>
        <v>tier - 3</v>
      </c>
      <c r="N1232" s="9" t="str">
        <f t="shared" si="5"/>
        <v>R1013</v>
      </c>
      <c r="O1232" s="17">
        <f t="shared" si="6"/>
        <v>25</v>
      </c>
      <c r="P1232" s="18">
        <v>35644.0</v>
      </c>
    </row>
    <row r="1233" ht="15.75" customHeight="1">
      <c r="A1233" s="9" t="s">
        <v>3989</v>
      </c>
      <c r="B1233" s="17">
        <v>1997.0</v>
      </c>
      <c r="C1233" s="9" t="s">
        <v>4738</v>
      </c>
      <c r="D1233" s="9">
        <v>2.0</v>
      </c>
      <c r="E1233" s="18">
        <f t="shared" si="1"/>
        <v>35675</v>
      </c>
      <c r="F1233" s="9">
        <v>1.0</v>
      </c>
      <c r="G1233" s="19">
        <v>3238.44</v>
      </c>
      <c r="H1233" s="9" t="s">
        <v>4723</v>
      </c>
      <c r="I1233" s="9" t="s">
        <v>4717</v>
      </c>
      <c r="J1233" s="9" t="s">
        <v>4743</v>
      </c>
      <c r="K1233" s="20">
        <f t="shared" si="2"/>
        <v>1997</v>
      </c>
      <c r="L1233" s="9" t="str">
        <f t="shared" si="3"/>
        <v>tier - 2</v>
      </c>
      <c r="M1233" s="9" t="str">
        <f t="shared" si="4"/>
        <v>tier - 3</v>
      </c>
      <c r="N1233" s="9" t="str">
        <f t="shared" si="5"/>
        <v>R1013</v>
      </c>
      <c r="O1233" s="17">
        <f t="shared" si="6"/>
        <v>25</v>
      </c>
      <c r="P1233" s="18">
        <v>35675.0</v>
      </c>
    </row>
    <row r="1234" ht="15.75" customHeight="1">
      <c r="A1234" s="9" t="s">
        <v>3987</v>
      </c>
      <c r="B1234" s="17">
        <v>1991.0</v>
      </c>
      <c r="C1234" s="9" t="s">
        <v>4735</v>
      </c>
      <c r="D1234" s="9">
        <v>13.0</v>
      </c>
      <c r="E1234" s="18">
        <f t="shared" si="1"/>
        <v>33555</v>
      </c>
      <c r="F1234" s="9">
        <v>0.0</v>
      </c>
      <c r="G1234" s="19">
        <v>3260.2</v>
      </c>
      <c r="H1234" s="9" t="s">
        <v>4717</v>
      </c>
      <c r="I1234" s="9" t="s">
        <v>4723</v>
      </c>
      <c r="J1234" s="9" t="s">
        <v>4719</v>
      </c>
      <c r="K1234" s="20">
        <f t="shared" si="2"/>
        <v>1991</v>
      </c>
      <c r="L1234" s="9" t="str">
        <f t="shared" si="3"/>
        <v>tier - 3</v>
      </c>
      <c r="M1234" s="9" t="str">
        <f t="shared" si="4"/>
        <v>tier - 2</v>
      </c>
      <c r="N1234" s="9" t="str">
        <f t="shared" si="5"/>
        <v>R1011</v>
      </c>
      <c r="O1234" s="17">
        <f t="shared" si="6"/>
        <v>31</v>
      </c>
      <c r="P1234" s="18">
        <v>33555.0</v>
      </c>
    </row>
    <row r="1235" ht="15.75" customHeight="1">
      <c r="A1235" s="9" t="s">
        <v>3985</v>
      </c>
      <c r="B1235" s="17">
        <v>1994.0</v>
      </c>
      <c r="C1235" s="9" t="s">
        <v>4725</v>
      </c>
      <c r="D1235" s="9">
        <v>2.0</v>
      </c>
      <c r="E1235" s="18">
        <f t="shared" si="1"/>
        <v>34670</v>
      </c>
      <c r="F1235" s="9">
        <v>0.0</v>
      </c>
      <c r="G1235" s="19">
        <v>3268.85</v>
      </c>
      <c r="H1235" s="9" t="s">
        <v>4717</v>
      </c>
      <c r="I1235" s="9" t="s">
        <v>4718</v>
      </c>
      <c r="J1235" s="9" t="s">
        <v>4754</v>
      </c>
      <c r="K1235" s="20">
        <f t="shared" si="2"/>
        <v>1994</v>
      </c>
      <c r="L1235" s="9" t="str">
        <f t="shared" si="3"/>
        <v>tier - 3</v>
      </c>
      <c r="M1235" s="9" t="str">
        <f t="shared" si="4"/>
        <v>tier - 1</v>
      </c>
      <c r="N1235" s="9" t="str">
        <f t="shared" si="5"/>
        <v>R1016</v>
      </c>
      <c r="O1235" s="17">
        <f t="shared" si="6"/>
        <v>28</v>
      </c>
      <c r="P1235" s="18">
        <v>34670.0</v>
      </c>
    </row>
    <row r="1236" ht="15.75" customHeight="1">
      <c r="A1236" s="9" t="s">
        <v>3983</v>
      </c>
      <c r="B1236" s="17">
        <v>1994.0</v>
      </c>
      <c r="C1236" s="9" t="s">
        <v>4741</v>
      </c>
      <c r="D1236" s="9">
        <v>1.0</v>
      </c>
      <c r="E1236" s="18">
        <f t="shared" si="1"/>
        <v>34516</v>
      </c>
      <c r="F1236" s="9">
        <v>1.0</v>
      </c>
      <c r="G1236" s="19">
        <v>3277.16</v>
      </c>
      <c r="H1236" s="9" t="s">
        <v>4723</v>
      </c>
      <c r="I1236" s="9" t="s">
        <v>4717</v>
      </c>
      <c r="J1236" s="9" t="s">
        <v>4719</v>
      </c>
      <c r="K1236" s="20">
        <f t="shared" si="2"/>
        <v>1994</v>
      </c>
      <c r="L1236" s="9" t="str">
        <f t="shared" si="3"/>
        <v>tier - 2</v>
      </c>
      <c r="M1236" s="9" t="str">
        <f t="shared" si="4"/>
        <v>tier - 3</v>
      </c>
      <c r="N1236" s="9" t="str">
        <f t="shared" si="5"/>
        <v>R1011</v>
      </c>
      <c r="O1236" s="17">
        <f t="shared" si="6"/>
        <v>28</v>
      </c>
      <c r="P1236" s="18">
        <v>34516.0</v>
      </c>
    </row>
    <row r="1237" ht="15.75" customHeight="1">
      <c r="A1237" s="9" t="s">
        <v>3981</v>
      </c>
      <c r="B1237" s="17">
        <v>2001.0</v>
      </c>
      <c r="C1237" s="9" t="s">
        <v>4720</v>
      </c>
      <c r="D1237" s="9">
        <v>6.0</v>
      </c>
      <c r="E1237" s="18">
        <f t="shared" si="1"/>
        <v>37170</v>
      </c>
      <c r="F1237" s="9">
        <v>2.0</v>
      </c>
      <c r="G1237" s="19">
        <v>3279.87</v>
      </c>
      <c r="H1237" s="9" t="s">
        <v>4723</v>
      </c>
      <c r="I1237" s="9" t="s">
        <v>4718</v>
      </c>
      <c r="J1237" s="9" t="s">
        <v>4753</v>
      </c>
      <c r="K1237" s="20">
        <f t="shared" si="2"/>
        <v>2001</v>
      </c>
      <c r="L1237" s="9" t="str">
        <f t="shared" si="3"/>
        <v>tier - 2</v>
      </c>
      <c r="M1237" s="9" t="str">
        <f t="shared" si="4"/>
        <v>tier - 1</v>
      </c>
      <c r="N1237" s="9" t="str">
        <f t="shared" si="5"/>
        <v>R1017</v>
      </c>
      <c r="O1237" s="17">
        <f t="shared" si="6"/>
        <v>21</v>
      </c>
      <c r="P1237" s="18">
        <v>37170.0</v>
      </c>
    </row>
    <row r="1238" ht="15.75" customHeight="1">
      <c r="A1238" s="9" t="s">
        <v>399</v>
      </c>
      <c r="B1238" s="17">
        <v>2004.0</v>
      </c>
      <c r="C1238" s="9" t="s">
        <v>4716</v>
      </c>
      <c r="D1238" s="9">
        <v>30.0</v>
      </c>
      <c r="E1238" s="18">
        <f t="shared" si="1"/>
        <v>38229</v>
      </c>
      <c r="F1238" s="9">
        <v>0.0</v>
      </c>
      <c r="G1238" s="19">
        <v>36149.48</v>
      </c>
      <c r="H1238" s="9" t="s">
        <v>4723</v>
      </c>
      <c r="I1238" s="9" t="s">
        <v>4723</v>
      </c>
      <c r="J1238" s="9" t="s">
        <v>4743</v>
      </c>
      <c r="K1238" s="20">
        <f t="shared" si="2"/>
        <v>2004</v>
      </c>
      <c r="L1238" s="9" t="str">
        <f t="shared" si="3"/>
        <v>tier - 2</v>
      </c>
      <c r="M1238" s="9" t="str">
        <f t="shared" si="4"/>
        <v>tier - 2</v>
      </c>
      <c r="N1238" s="9" t="str">
        <f t="shared" si="5"/>
        <v>R1013</v>
      </c>
      <c r="O1238" s="17">
        <f t="shared" si="6"/>
        <v>18</v>
      </c>
      <c r="P1238" s="18">
        <v>38229.0</v>
      </c>
    </row>
    <row r="1239" ht="15.75" customHeight="1">
      <c r="A1239" s="9" t="s">
        <v>3979</v>
      </c>
      <c r="B1239" s="17">
        <v>2003.0</v>
      </c>
      <c r="C1239" s="9" t="s">
        <v>4741</v>
      </c>
      <c r="D1239" s="9">
        <v>3.0</v>
      </c>
      <c r="E1239" s="18">
        <f t="shared" si="1"/>
        <v>37805</v>
      </c>
      <c r="F1239" s="9">
        <v>0.0</v>
      </c>
      <c r="G1239" s="19">
        <v>3280.22</v>
      </c>
      <c r="H1239" s="9" t="s">
        <v>4723</v>
      </c>
      <c r="I1239" s="9" t="s">
        <v>4717</v>
      </c>
      <c r="J1239" s="9" t="s">
        <v>4719</v>
      </c>
      <c r="K1239" s="20">
        <f t="shared" si="2"/>
        <v>2003</v>
      </c>
      <c r="L1239" s="9" t="str">
        <f t="shared" si="3"/>
        <v>tier - 2</v>
      </c>
      <c r="M1239" s="9" t="str">
        <f t="shared" si="4"/>
        <v>tier - 3</v>
      </c>
      <c r="N1239" s="9" t="str">
        <f t="shared" si="5"/>
        <v>R1011</v>
      </c>
      <c r="O1239" s="17">
        <f t="shared" si="6"/>
        <v>19</v>
      </c>
      <c r="P1239" s="18">
        <v>37805.0</v>
      </c>
    </row>
    <row r="1240" ht="15.75" customHeight="1">
      <c r="A1240" s="9" t="s">
        <v>3977</v>
      </c>
      <c r="B1240" s="17">
        <v>1996.0</v>
      </c>
      <c r="C1240" s="9" t="s">
        <v>4735</v>
      </c>
      <c r="D1240" s="9">
        <v>17.0</v>
      </c>
      <c r="E1240" s="18">
        <f t="shared" si="1"/>
        <v>35386</v>
      </c>
      <c r="F1240" s="9">
        <v>1.0</v>
      </c>
      <c r="G1240" s="19">
        <v>3292.53</v>
      </c>
      <c r="H1240" s="9" t="s">
        <v>4723</v>
      </c>
      <c r="I1240" s="9" t="s">
        <v>4723</v>
      </c>
      <c r="J1240" s="9" t="s">
        <v>4733</v>
      </c>
      <c r="K1240" s="20">
        <f t="shared" si="2"/>
        <v>1996</v>
      </c>
      <c r="L1240" s="9" t="str">
        <f t="shared" si="3"/>
        <v>tier - 2</v>
      </c>
      <c r="M1240" s="9" t="str">
        <f t="shared" si="4"/>
        <v>tier - 2</v>
      </c>
      <c r="N1240" s="9" t="str">
        <f t="shared" si="5"/>
        <v>R1012</v>
      </c>
      <c r="O1240" s="17">
        <f t="shared" si="6"/>
        <v>26</v>
      </c>
      <c r="P1240" s="18">
        <v>35386.0</v>
      </c>
    </row>
    <row r="1241" ht="15.75" customHeight="1">
      <c r="A1241" s="9" t="s">
        <v>3975</v>
      </c>
      <c r="B1241" s="17">
        <v>2003.0</v>
      </c>
      <c r="C1241" s="9" t="s">
        <v>4725</v>
      </c>
      <c r="D1241" s="9">
        <v>5.0</v>
      </c>
      <c r="E1241" s="18">
        <f t="shared" si="1"/>
        <v>37960</v>
      </c>
      <c r="F1241" s="9">
        <v>0.0</v>
      </c>
      <c r="G1241" s="19">
        <v>3300.7</v>
      </c>
      <c r="H1241" s="9" t="s">
        <v>4723</v>
      </c>
      <c r="I1241" s="9" t="s">
        <v>4723</v>
      </c>
      <c r="J1241" s="9" t="s">
        <v>4726</v>
      </c>
      <c r="K1241" s="20">
        <f t="shared" si="2"/>
        <v>2003</v>
      </c>
      <c r="L1241" s="9" t="str">
        <f t="shared" si="3"/>
        <v>tier - 2</v>
      </c>
      <c r="M1241" s="9" t="str">
        <f t="shared" si="4"/>
        <v>tier - 2</v>
      </c>
      <c r="N1241" s="9" t="str">
        <f t="shared" si="5"/>
        <v>R1025</v>
      </c>
      <c r="O1241" s="17">
        <f t="shared" si="6"/>
        <v>19</v>
      </c>
      <c r="P1241" s="18">
        <v>37960.0</v>
      </c>
    </row>
    <row r="1242" ht="15.75" customHeight="1">
      <c r="A1242" s="9" t="s">
        <v>3973</v>
      </c>
      <c r="B1242" s="17">
        <v>2003.0</v>
      </c>
      <c r="C1242" s="9" t="s">
        <v>4735</v>
      </c>
      <c r="D1242" s="9">
        <v>18.0</v>
      </c>
      <c r="E1242" s="18">
        <f t="shared" si="1"/>
        <v>37943</v>
      </c>
      <c r="F1242" s="9">
        <v>0.0</v>
      </c>
      <c r="G1242" s="19">
        <v>3308.46</v>
      </c>
      <c r="H1242" s="9" t="s">
        <v>4723</v>
      </c>
      <c r="I1242" s="9" t="s">
        <v>4718</v>
      </c>
      <c r="J1242" s="9" t="s">
        <v>4751</v>
      </c>
      <c r="K1242" s="20">
        <f t="shared" si="2"/>
        <v>2003</v>
      </c>
      <c r="L1242" s="9" t="str">
        <f t="shared" si="3"/>
        <v>tier - 2</v>
      </c>
      <c r="M1242" s="9" t="str">
        <f t="shared" si="4"/>
        <v>tier - 1</v>
      </c>
      <c r="N1242" s="9" t="str">
        <f t="shared" si="5"/>
        <v>R1021</v>
      </c>
      <c r="O1242" s="17">
        <f t="shared" si="6"/>
        <v>19</v>
      </c>
      <c r="P1242" s="18">
        <v>37943.0</v>
      </c>
    </row>
    <row r="1243" ht="15.75" customHeight="1">
      <c r="A1243" s="9" t="s">
        <v>3971</v>
      </c>
      <c r="B1243" s="17">
        <v>1997.0</v>
      </c>
      <c r="C1243" s="9" t="s">
        <v>4730</v>
      </c>
      <c r="D1243" s="9">
        <v>20.0</v>
      </c>
      <c r="E1243" s="18">
        <f t="shared" si="1"/>
        <v>35601</v>
      </c>
      <c r="F1243" s="9">
        <v>1.0</v>
      </c>
      <c r="G1243" s="19">
        <v>3309.79</v>
      </c>
      <c r="H1243" s="9" t="s">
        <v>4717</v>
      </c>
      <c r="I1243" s="9" t="s">
        <v>4717</v>
      </c>
      <c r="J1243" s="9" t="s">
        <v>4753</v>
      </c>
      <c r="K1243" s="20">
        <f t="shared" si="2"/>
        <v>1997</v>
      </c>
      <c r="L1243" s="9" t="str">
        <f t="shared" si="3"/>
        <v>tier - 3</v>
      </c>
      <c r="M1243" s="9" t="str">
        <f t="shared" si="4"/>
        <v>tier - 3</v>
      </c>
      <c r="N1243" s="9" t="str">
        <f t="shared" si="5"/>
        <v>R1017</v>
      </c>
      <c r="O1243" s="17">
        <f t="shared" si="6"/>
        <v>25</v>
      </c>
      <c r="P1243" s="18">
        <v>35601.0</v>
      </c>
    </row>
    <row r="1244" ht="15.75" customHeight="1">
      <c r="A1244" s="9" t="s">
        <v>3969</v>
      </c>
      <c r="B1244" s="17">
        <v>1991.0</v>
      </c>
      <c r="C1244" s="9" t="s">
        <v>4738</v>
      </c>
      <c r="D1244" s="9">
        <v>1.0</v>
      </c>
      <c r="E1244" s="18">
        <f t="shared" si="1"/>
        <v>33482</v>
      </c>
      <c r="F1244" s="9">
        <v>3.0</v>
      </c>
      <c r="G1244" s="19">
        <v>3342.79</v>
      </c>
      <c r="H1244" s="9" t="s">
        <v>4723</v>
      </c>
      <c r="I1244" s="9" t="s">
        <v>4718</v>
      </c>
      <c r="J1244" s="9" t="s">
        <v>4743</v>
      </c>
      <c r="K1244" s="20">
        <f t="shared" si="2"/>
        <v>1991</v>
      </c>
      <c r="L1244" s="9" t="str">
        <f t="shared" si="3"/>
        <v>tier - 2</v>
      </c>
      <c r="M1244" s="9" t="str">
        <f t="shared" si="4"/>
        <v>tier - 1</v>
      </c>
      <c r="N1244" s="9" t="str">
        <f t="shared" si="5"/>
        <v>R1013</v>
      </c>
      <c r="O1244" s="17">
        <f t="shared" si="6"/>
        <v>31</v>
      </c>
      <c r="P1244" s="18">
        <v>33482.0</v>
      </c>
    </row>
    <row r="1245" ht="15.75" customHeight="1">
      <c r="A1245" s="9" t="s">
        <v>3967</v>
      </c>
      <c r="B1245" s="17">
        <v>1993.0</v>
      </c>
      <c r="C1245" s="9" t="s">
        <v>4720</v>
      </c>
      <c r="D1245" s="9">
        <v>28.0</v>
      </c>
      <c r="E1245" s="18">
        <f t="shared" si="1"/>
        <v>34270</v>
      </c>
      <c r="F1245" s="9">
        <v>0.0</v>
      </c>
      <c r="G1245" s="19">
        <v>3353.28</v>
      </c>
      <c r="H1245" s="9" t="s">
        <v>4723</v>
      </c>
      <c r="I1245" s="9" t="s">
        <v>4718</v>
      </c>
      <c r="J1245" s="9" t="s">
        <v>4719</v>
      </c>
      <c r="K1245" s="20">
        <f t="shared" si="2"/>
        <v>1993</v>
      </c>
      <c r="L1245" s="9" t="str">
        <f t="shared" si="3"/>
        <v>tier - 2</v>
      </c>
      <c r="M1245" s="9" t="str">
        <f t="shared" si="4"/>
        <v>tier - 1</v>
      </c>
      <c r="N1245" s="9" t="str">
        <f t="shared" si="5"/>
        <v>R1011</v>
      </c>
      <c r="O1245" s="17">
        <f t="shared" si="6"/>
        <v>29</v>
      </c>
      <c r="P1245" s="18">
        <v>34270.0</v>
      </c>
    </row>
    <row r="1246" ht="15.75" customHeight="1">
      <c r="A1246" s="9" t="s">
        <v>3965</v>
      </c>
      <c r="B1246" s="17">
        <v>1995.0</v>
      </c>
      <c r="C1246" s="9" t="s">
        <v>4730</v>
      </c>
      <c r="D1246" s="9">
        <v>23.0</v>
      </c>
      <c r="E1246" s="18">
        <f t="shared" si="1"/>
        <v>34873</v>
      </c>
      <c r="F1246" s="9">
        <v>0.0</v>
      </c>
      <c r="G1246" s="19">
        <v>3353.47</v>
      </c>
      <c r="H1246" s="9" t="s">
        <v>4723</v>
      </c>
      <c r="I1246" s="9" t="s">
        <v>4717</v>
      </c>
      <c r="J1246" s="9" t="s">
        <v>4733</v>
      </c>
      <c r="K1246" s="20">
        <f t="shared" si="2"/>
        <v>1995</v>
      </c>
      <c r="L1246" s="9" t="str">
        <f t="shared" si="3"/>
        <v>tier - 2</v>
      </c>
      <c r="M1246" s="9" t="str">
        <f t="shared" si="4"/>
        <v>tier - 3</v>
      </c>
      <c r="N1246" s="9" t="str">
        <f t="shared" si="5"/>
        <v>R1012</v>
      </c>
      <c r="O1246" s="17">
        <f t="shared" si="6"/>
        <v>27</v>
      </c>
      <c r="P1246" s="18">
        <v>34873.0</v>
      </c>
    </row>
    <row r="1247" ht="15.75" customHeight="1">
      <c r="A1247" s="9" t="s">
        <v>3963</v>
      </c>
      <c r="B1247" s="17">
        <v>1993.0</v>
      </c>
      <c r="C1247" s="9" t="s">
        <v>4720</v>
      </c>
      <c r="D1247" s="9">
        <v>7.0</v>
      </c>
      <c r="E1247" s="18">
        <f t="shared" si="1"/>
        <v>34249</v>
      </c>
      <c r="F1247" s="9">
        <v>0.0</v>
      </c>
      <c r="G1247" s="19">
        <v>3366.67</v>
      </c>
      <c r="H1247" s="9" t="s">
        <v>4723</v>
      </c>
      <c r="I1247" s="9" t="s">
        <v>4723</v>
      </c>
      <c r="J1247" s="9" t="s">
        <v>4743</v>
      </c>
      <c r="K1247" s="20">
        <f t="shared" si="2"/>
        <v>1993</v>
      </c>
      <c r="L1247" s="9" t="str">
        <f t="shared" si="3"/>
        <v>tier - 2</v>
      </c>
      <c r="M1247" s="9" t="str">
        <f t="shared" si="4"/>
        <v>tier - 2</v>
      </c>
      <c r="N1247" s="9" t="str">
        <f t="shared" si="5"/>
        <v>R1013</v>
      </c>
      <c r="O1247" s="17">
        <f t="shared" si="6"/>
        <v>29</v>
      </c>
      <c r="P1247" s="18">
        <v>34249.0</v>
      </c>
    </row>
    <row r="1248" ht="15.75" customHeight="1">
      <c r="A1248" s="9" t="s">
        <v>3961</v>
      </c>
      <c r="B1248" s="17">
        <v>1996.0</v>
      </c>
      <c r="C1248" s="9" t="s">
        <v>4725</v>
      </c>
      <c r="D1248" s="9">
        <v>14.0</v>
      </c>
      <c r="E1248" s="18">
        <f t="shared" si="1"/>
        <v>35413</v>
      </c>
      <c r="F1248" s="9">
        <v>1.0</v>
      </c>
      <c r="G1248" s="19">
        <v>3378.91</v>
      </c>
      <c r="H1248" s="9" t="s">
        <v>4723</v>
      </c>
      <c r="I1248" s="9" t="s">
        <v>4718</v>
      </c>
      <c r="J1248" s="9" t="s">
        <v>4719</v>
      </c>
      <c r="K1248" s="20">
        <f t="shared" si="2"/>
        <v>1996</v>
      </c>
      <c r="L1248" s="9" t="str">
        <f t="shared" si="3"/>
        <v>tier - 2</v>
      </c>
      <c r="M1248" s="9" t="str">
        <f t="shared" si="4"/>
        <v>tier - 1</v>
      </c>
      <c r="N1248" s="9" t="str">
        <f t="shared" si="5"/>
        <v>R1011</v>
      </c>
      <c r="O1248" s="17">
        <f t="shared" si="6"/>
        <v>26</v>
      </c>
      <c r="P1248" s="18">
        <v>35413.0</v>
      </c>
    </row>
    <row r="1249" ht="15.75" customHeight="1">
      <c r="A1249" s="9" t="s">
        <v>397</v>
      </c>
      <c r="B1249" s="17">
        <v>1974.0</v>
      </c>
      <c r="C1249" s="9" t="s">
        <v>4725</v>
      </c>
      <c r="D1249" s="9">
        <v>6.0</v>
      </c>
      <c r="E1249" s="18">
        <f t="shared" si="1"/>
        <v>27369</v>
      </c>
      <c r="F1249" s="9">
        <v>0.0</v>
      </c>
      <c r="G1249" s="19">
        <v>36182.87</v>
      </c>
      <c r="H1249" s="9" t="s">
        <v>4723</v>
      </c>
      <c r="I1249" s="9" t="s">
        <v>4717</v>
      </c>
      <c r="J1249" s="9" t="s">
        <v>4733</v>
      </c>
      <c r="K1249" s="20">
        <f t="shared" si="2"/>
        <v>1974</v>
      </c>
      <c r="L1249" s="9" t="str">
        <f t="shared" si="3"/>
        <v>tier - 2</v>
      </c>
      <c r="M1249" s="9" t="str">
        <f t="shared" si="4"/>
        <v>tier - 3</v>
      </c>
      <c r="N1249" s="9" t="str">
        <f t="shared" si="5"/>
        <v>R1012</v>
      </c>
      <c r="O1249" s="17">
        <f t="shared" si="6"/>
        <v>48</v>
      </c>
      <c r="P1249" s="18">
        <v>27369.0</v>
      </c>
    </row>
    <row r="1250" ht="15.75" customHeight="1">
      <c r="A1250" s="9" t="s">
        <v>3959</v>
      </c>
      <c r="B1250" s="17">
        <v>1996.0</v>
      </c>
      <c r="C1250" s="9" t="s">
        <v>4735</v>
      </c>
      <c r="D1250" s="9">
        <v>13.0</v>
      </c>
      <c r="E1250" s="18">
        <f t="shared" si="1"/>
        <v>35382</v>
      </c>
      <c r="F1250" s="9">
        <v>0.0</v>
      </c>
      <c r="G1250" s="19">
        <v>3385.4</v>
      </c>
      <c r="H1250" s="9" t="s">
        <v>4723</v>
      </c>
      <c r="I1250" s="9" t="s">
        <v>4723</v>
      </c>
      <c r="J1250" s="9" t="s">
        <v>4731</v>
      </c>
      <c r="K1250" s="20">
        <f t="shared" si="2"/>
        <v>1996</v>
      </c>
      <c r="L1250" s="9" t="str">
        <f t="shared" si="3"/>
        <v>tier - 2</v>
      </c>
      <c r="M1250" s="9" t="str">
        <f t="shared" si="4"/>
        <v>tier - 2</v>
      </c>
      <c r="N1250" s="9" t="str">
        <f t="shared" si="5"/>
        <v>R1024</v>
      </c>
      <c r="O1250" s="17">
        <f t="shared" si="6"/>
        <v>26</v>
      </c>
      <c r="P1250" s="18">
        <v>35382.0</v>
      </c>
    </row>
    <row r="1251" ht="15.75" customHeight="1">
      <c r="A1251" s="9" t="s">
        <v>3957</v>
      </c>
      <c r="B1251" s="17">
        <v>1996.0</v>
      </c>
      <c r="C1251" s="9" t="s">
        <v>4716</v>
      </c>
      <c r="D1251" s="9">
        <v>10.0</v>
      </c>
      <c r="E1251" s="18">
        <f t="shared" si="1"/>
        <v>35287</v>
      </c>
      <c r="F1251" s="9">
        <v>1.0</v>
      </c>
      <c r="G1251" s="19">
        <v>3392.37</v>
      </c>
      <c r="H1251" s="9" t="s">
        <v>4723</v>
      </c>
      <c r="I1251" s="9" t="s">
        <v>4717</v>
      </c>
      <c r="J1251" s="9" t="s">
        <v>4743</v>
      </c>
      <c r="K1251" s="20">
        <f t="shared" si="2"/>
        <v>1996</v>
      </c>
      <c r="L1251" s="9" t="str">
        <f t="shared" si="3"/>
        <v>tier - 2</v>
      </c>
      <c r="M1251" s="9" t="str">
        <f t="shared" si="4"/>
        <v>tier - 3</v>
      </c>
      <c r="N1251" s="9" t="str">
        <f t="shared" si="5"/>
        <v>R1013</v>
      </c>
      <c r="O1251" s="17">
        <f t="shared" si="6"/>
        <v>26</v>
      </c>
      <c r="P1251" s="18">
        <v>35287.0</v>
      </c>
    </row>
    <row r="1252" ht="15.75" customHeight="1">
      <c r="A1252" s="9" t="s">
        <v>3955</v>
      </c>
      <c r="B1252" s="17">
        <v>1996.0</v>
      </c>
      <c r="C1252" s="9" t="s">
        <v>4720</v>
      </c>
      <c r="D1252" s="9">
        <v>27.0</v>
      </c>
      <c r="E1252" s="18">
        <f t="shared" si="1"/>
        <v>35365</v>
      </c>
      <c r="F1252" s="9">
        <v>1.0</v>
      </c>
      <c r="G1252" s="19">
        <v>3392.98</v>
      </c>
      <c r="H1252" s="9" t="s">
        <v>4723</v>
      </c>
      <c r="I1252" s="9" t="s">
        <v>4717</v>
      </c>
      <c r="J1252" s="9" t="s">
        <v>4743</v>
      </c>
      <c r="K1252" s="20">
        <f t="shared" si="2"/>
        <v>1996</v>
      </c>
      <c r="L1252" s="9" t="str">
        <f t="shared" si="3"/>
        <v>tier - 2</v>
      </c>
      <c r="M1252" s="9" t="str">
        <f t="shared" si="4"/>
        <v>tier - 3</v>
      </c>
      <c r="N1252" s="9" t="str">
        <f t="shared" si="5"/>
        <v>R1013</v>
      </c>
      <c r="O1252" s="17">
        <f t="shared" si="6"/>
        <v>26</v>
      </c>
      <c r="P1252" s="18">
        <v>35365.0</v>
      </c>
    </row>
    <row r="1253" ht="15.75" customHeight="1">
      <c r="A1253" s="9" t="s">
        <v>3953</v>
      </c>
      <c r="B1253" s="17">
        <v>2004.0</v>
      </c>
      <c r="C1253" s="9" t="s">
        <v>4741</v>
      </c>
      <c r="D1253" s="9">
        <v>16.0</v>
      </c>
      <c r="E1253" s="18">
        <f t="shared" si="1"/>
        <v>38184</v>
      </c>
      <c r="F1253" s="9">
        <v>2.0</v>
      </c>
      <c r="G1253" s="19">
        <v>3393.36</v>
      </c>
      <c r="H1253" s="9" t="s">
        <v>4723</v>
      </c>
      <c r="I1253" s="9" t="s">
        <v>4723</v>
      </c>
      <c r="J1253" s="9" t="s">
        <v>4756</v>
      </c>
      <c r="K1253" s="20">
        <f t="shared" si="2"/>
        <v>2004</v>
      </c>
      <c r="L1253" s="9" t="str">
        <f t="shared" si="3"/>
        <v>tier - 2</v>
      </c>
      <c r="M1253" s="9" t="str">
        <f t="shared" si="4"/>
        <v>tier - 2</v>
      </c>
      <c r="N1253" s="9" t="str">
        <f t="shared" si="5"/>
        <v>R1023</v>
      </c>
      <c r="O1253" s="17">
        <f t="shared" si="6"/>
        <v>18</v>
      </c>
      <c r="P1253" s="18">
        <v>38184.0</v>
      </c>
    </row>
    <row r="1254" ht="15.75" customHeight="1">
      <c r="A1254" s="9" t="s">
        <v>3951</v>
      </c>
      <c r="B1254" s="17">
        <v>1996.0</v>
      </c>
      <c r="C1254" s="9" t="s">
        <v>4725</v>
      </c>
      <c r="D1254" s="9">
        <v>19.0</v>
      </c>
      <c r="E1254" s="18">
        <f t="shared" si="1"/>
        <v>35418</v>
      </c>
      <c r="F1254" s="9">
        <v>1.0</v>
      </c>
      <c r="G1254" s="19">
        <v>3410.32</v>
      </c>
      <c r="H1254" s="9" t="s">
        <v>4723</v>
      </c>
      <c r="I1254" s="9" t="s">
        <v>4723</v>
      </c>
      <c r="J1254" s="9" t="s">
        <v>4719</v>
      </c>
      <c r="K1254" s="20">
        <f t="shared" si="2"/>
        <v>1996</v>
      </c>
      <c r="L1254" s="9" t="str">
        <f t="shared" si="3"/>
        <v>tier - 2</v>
      </c>
      <c r="M1254" s="9" t="str">
        <f t="shared" si="4"/>
        <v>tier - 2</v>
      </c>
      <c r="N1254" s="9" t="str">
        <f t="shared" si="5"/>
        <v>R1011</v>
      </c>
      <c r="O1254" s="17">
        <f t="shared" si="6"/>
        <v>26</v>
      </c>
      <c r="P1254" s="18">
        <v>35418.0</v>
      </c>
    </row>
    <row r="1255" ht="15.75" customHeight="1">
      <c r="A1255" s="9" t="s">
        <v>3949</v>
      </c>
      <c r="B1255" s="17">
        <v>2001.0</v>
      </c>
      <c r="C1255" s="9" t="s">
        <v>4725</v>
      </c>
      <c r="D1255" s="9">
        <v>26.0</v>
      </c>
      <c r="E1255" s="18">
        <f t="shared" si="1"/>
        <v>37251</v>
      </c>
      <c r="F1255" s="9">
        <v>0.0</v>
      </c>
      <c r="G1255" s="19">
        <v>3434.38</v>
      </c>
      <c r="H1255" s="9" t="s">
        <v>4723</v>
      </c>
      <c r="I1255" s="9" t="s">
        <v>4723</v>
      </c>
      <c r="J1255" s="9" t="s">
        <v>4719</v>
      </c>
      <c r="K1255" s="20">
        <f t="shared" si="2"/>
        <v>2001</v>
      </c>
      <c r="L1255" s="9" t="str">
        <f t="shared" si="3"/>
        <v>tier - 2</v>
      </c>
      <c r="M1255" s="9" t="str">
        <f t="shared" si="4"/>
        <v>tier - 2</v>
      </c>
      <c r="N1255" s="9" t="str">
        <f t="shared" si="5"/>
        <v>R1011</v>
      </c>
      <c r="O1255" s="17">
        <f t="shared" si="6"/>
        <v>21</v>
      </c>
      <c r="P1255" s="18">
        <v>37251.0</v>
      </c>
    </row>
    <row r="1256" ht="15.75" customHeight="1">
      <c r="A1256" s="9" t="s">
        <v>3947</v>
      </c>
      <c r="B1256" s="17">
        <v>1986.0</v>
      </c>
      <c r="C1256" s="9" t="s">
        <v>4716</v>
      </c>
      <c r="D1256" s="9">
        <v>27.0</v>
      </c>
      <c r="E1256" s="18">
        <f t="shared" si="1"/>
        <v>31651</v>
      </c>
      <c r="F1256" s="9">
        <v>3.0</v>
      </c>
      <c r="G1256" s="19">
        <v>3436.5</v>
      </c>
      <c r="H1256" s="9" t="s">
        <v>4723</v>
      </c>
      <c r="I1256" s="9" t="s">
        <v>4718</v>
      </c>
      <c r="J1256" s="9" t="s">
        <v>4743</v>
      </c>
      <c r="K1256" s="20">
        <f t="shared" si="2"/>
        <v>1986</v>
      </c>
      <c r="L1256" s="9" t="str">
        <f t="shared" si="3"/>
        <v>tier - 2</v>
      </c>
      <c r="M1256" s="9" t="str">
        <f t="shared" si="4"/>
        <v>tier - 1</v>
      </c>
      <c r="N1256" s="9" t="str">
        <f t="shared" si="5"/>
        <v>R1013</v>
      </c>
      <c r="O1256" s="17">
        <f t="shared" si="6"/>
        <v>36</v>
      </c>
      <c r="P1256" s="18">
        <v>31651.0</v>
      </c>
    </row>
    <row r="1257" ht="15.75" customHeight="1">
      <c r="A1257" s="9" t="s">
        <v>3945</v>
      </c>
      <c r="B1257" s="17">
        <v>2000.0</v>
      </c>
      <c r="C1257" s="9" t="s">
        <v>4730</v>
      </c>
      <c r="D1257" s="9">
        <v>20.0</v>
      </c>
      <c r="E1257" s="18">
        <f t="shared" si="1"/>
        <v>36697</v>
      </c>
      <c r="F1257" s="9">
        <v>3.0</v>
      </c>
      <c r="G1257" s="19">
        <v>3443.06</v>
      </c>
      <c r="H1257" s="9" t="s">
        <v>4723</v>
      </c>
      <c r="I1257" s="9" t="s">
        <v>4718</v>
      </c>
      <c r="J1257" s="9" t="s">
        <v>4719</v>
      </c>
      <c r="K1257" s="20">
        <f t="shared" si="2"/>
        <v>2000</v>
      </c>
      <c r="L1257" s="9" t="str">
        <f t="shared" si="3"/>
        <v>tier - 2</v>
      </c>
      <c r="M1257" s="9" t="str">
        <f t="shared" si="4"/>
        <v>tier - 1</v>
      </c>
      <c r="N1257" s="9" t="str">
        <f t="shared" si="5"/>
        <v>R1011</v>
      </c>
      <c r="O1257" s="17">
        <f t="shared" si="6"/>
        <v>22</v>
      </c>
      <c r="P1257" s="18">
        <v>36697.0</v>
      </c>
    </row>
    <row r="1258" ht="15.75" customHeight="1">
      <c r="A1258" s="9" t="s">
        <v>3943</v>
      </c>
      <c r="B1258" s="17">
        <v>1987.0</v>
      </c>
      <c r="C1258" s="9" t="s">
        <v>4738</v>
      </c>
      <c r="D1258" s="9">
        <v>14.0</v>
      </c>
      <c r="E1258" s="18">
        <f t="shared" si="1"/>
        <v>32034</v>
      </c>
      <c r="F1258" s="9">
        <v>3.0</v>
      </c>
      <c r="G1258" s="19">
        <v>3453.77</v>
      </c>
      <c r="H1258" s="9" t="s">
        <v>4723</v>
      </c>
      <c r="I1258" s="9" t="s">
        <v>4718</v>
      </c>
      <c r="J1258" s="9" t="s">
        <v>4719</v>
      </c>
      <c r="K1258" s="20">
        <f t="shared" si="2"/>
        <v>1987</v>
      </c>
      <c r="L1258" s="9" t="str">
        <f t="shared" si="3"/>
        <v>tier - 2</v>
      </c>
      <c r="M1258" s="9" t="str">
        <f t="shared" si="4"/>
        <v>tier - 1</v>
      </c>
      <c r="N1258" s="9" t="str">
        <f t="shared" si="5"/>
        <v>R1011</v>
      </c>
      <c r="O1258" s="17">
        <f t="shared" si="6"/>
        <v>35</v>
      </c>
      <c r="P1258" s="18">
        <v>32034.0</v>
      </c>
    </row>
    <row r="1259" ht="15.75" customHeight="1">
      <c r="A1259" s="9" t="s">
        <v>3941</v>
      </c>
      <c r="B1259" s="17">
        <v>2003.0</v>
      </c>
      <c r="C1259" s="9" t="s">
        <v>4741</v>
      </c>
      <c r="D1259" s="9">
        <v>29.0</v>
      </c>
      <c r="E1259" s="18">
        <f t="shared" si="1"/>
        <v>37831</v>
      </c>
      <c r="F1259" s="9">
        <v>0.0</v>
      </c>
      <c r="G1259" s="19">
        <v>3463.51</v>
      </c>
      <c r="H1259" s="9" t="s">
        <v>4723</v>
      </c>
      <c r="I1259" s="9" t="s">
        <v>4718</v>
      </c>
      <c r="J1259" s="9" t="s">
        <v>4726</v>
      </c>
      <c r="K1259" s="20">
        <f t="shared" si="2"/>
        <v>2003</v>
      </c>
      <c r="L1259" s="9" t="str">
        <f t="shared" si="3"/>
        <v>tier - 2</v>
      </c>
      <c r="M1259" s="9" t="str">
        <f t="shared" si="4"/>
        <v>tier - 1</v>
      </c>
      <c r="N1259" s="9" t="str">
        <f t="shared" si="5"/>
        <v>R1025</v>
      </c>
      <c r="O1259" s="17">
        <f t="shared" si="6"/>
        <v>19</v>
      </c>
      <c r="P1259" s="18">
        <v>37831.0</v>
      </c>
    </row>
    <row r="1260" ht="15.75" customHeight="1">
      <c r="A1260" s="9" t="s">
        <v>395</v>
      </c>
      <c r="B1260" s="17">
        <v>1999.0</v>
      </c>
      <c r="C1260" s="9" t="s">
        <v>4720</v>
      </c>
      <c r="D1260" s="9">
        <v>1.0</v>
      </c>
      <c r="E1260" s="18">
        <f t="shared" si="1"/>
        <v>36434</v>
      </c>
      <c r="F1260" s="9">
        <v>3.0</v>
      </c>
      <c r="G1260" s="19">
        <v>36189.1</v>
      </c>
      <c r="H1260" s="9" t="s">
        <v>4718</v>
      </c>
      <c r="I1260" s="9" t="s">
        <v>4717</v>
      </c>
      <c r="J1260" s="9" t="s">
        <v>4754</v>
      </c>
      <c r="K1260" s="20">
        <f t="shared" si="2"/>
        <v>1999</v>
      </c>
      <c r="L1260" s="9" t="str">
        <f t="shared" si="3"/>
        <v>tier - 1</v>
      </c>
      <c r="M1260" s="9" t="str">
        <f t="shared" si="4"/>
        <v>tier - 3</v>
      </c>
      <c r="N1260" s="9" t="str">
        <f t="shared" si="5"/>
        <v>R1016</v>
      </c>
      <c r="O1260" s="17">
        <f t="shared" si="6"/>
        <v>23</v>
      </c>
      <c r="P1260" s="18">
        <v>36434.0</v>
      </c>
    </row>
    <row r="1261" ht="15.75" customHeight="1">
      <c r="A1261" s="9" t="s">
        <v>3939</v>
      </c>
      <c r="B1261" s="17">
        <v>1993.0</v>
      </c>
      <c r="C1261" s="9" t="s">
        <v>4720</v>
      </c>
      <c r="D1261" s="9">
        <v>12.0</v>
      </c>
      <c r="E1261" s="18">
        <f t="shared" si="1"/>
        <v>34254</v>
      </c>
      <c r="F1261" s="9">
        <v>1.0</v>
      </c>
      <c r="G1261" s="19">
        <v>3471.41</v>
      </c>
      <c r="H1261" s="9" t="s">
        <v>4723</v>
      </c>
      <c r="I1261" s="9" t="s">
        <v>4723</v>
      </c>
      <c r="J1261" s="9" t="s">
        <v>4743</v>
      </c>
      <c r="K1261" s="20">
        <f t="shared" si="2"/>
        <v>1993</v>
      </c>
      <c r="L1261" s="9" t="str">
        <f t="shared" si="3"/>
        <v>tier - 2</v>
      </c>
      <c r="M1261" s="9" t="str">
        <f t="shared" si="4"/>
        <v>tier - 2</v>
      </c>
      <c r="N1261" s="9" t="str">
        <f t="shared" si="5"/>
        <v>R1013</v>
      </c>
      <c r="O1261" s="17">
        <f t="shared" si="6"/>
        <v>29</v>
      </c>
      <c r="P1261" s="18">
        <v>34254.0</v>
      </c>
    </row>
    <row r="1262" ht="15.75" customHeight="1">
      <c r="A1262" s="9" t="s">
        <v>3937</v>
      </c>
      <c r="B1262" s="17">
        <v>2004.0</v>
      </c>
      <c r="C1262" s="9" t="s">
        <v>4730</v>
      </c>
      <c r="D1262" s="9">
        <v>26.0</v>
      </c>
      <c r="E1262" s="18">
        <f t="shared" si="1"/>
        <v>38164</v>
      </c>
      <c r="F1262" s="9">
        <v>3.0</v>
      </c>
      <c r="G1262" s="19">
        <v>3481.87</v>
      </c>
      <c r="H1262" s="9" t="s">
        <v>4723</v>
      </c>
      <c r="I1262" s="9" t="s">
        <v>4717</v>
      </c>
      <c r="J1262" s="9" t="s">
        <v>4754</v>
      </c>
      <c r="K1262" s="20">
        <f t="shared" si="2"/>
        <v>2004</v>
      </c>
      <c r="L1262" s="9" t="str">
        <f t="shared" si="3"/>
        <v>tier - 2</v>
      </c>
      <c r="M1262" s="9" t="str">
        <f t="shared" si="4"/>
        <v>tier - 3</v>
      </c>
      <c r="N1262" s="9" t="str">
        <f t="shared" si="5"/>
        <v>R1016</v>
      </c>
      <c r="O1262" s="17">
        <f t="shared" si="6"/>
        <v>18</v>
      </c>
      <c r="P1262" s="18">
        <v>38164.0</v>
      </c>
    </row>
    <row r="1263" ht="15.75" customHeight="1">
      <c r="A1263" s="9" t="s">
        <v>3935</v>
      </c>
      <c r="B1263" s="17">
        <v>1996.0</v>
      </c>
      <c r="C1263" s="9" t="s">
        <v>4738</v>
      </c>
      <c r="D1263" s="9">
        <v>19.0</v>
      </c>
      <c r="E1263" s="18">
        <f t="shared" si="1"/>
        <v>35327</v>
      </c>
      <c r="F1263" s="9">
        <v>2.0</v>
      </c>
      <c r="G1263" s="19">
        <v>3484.33</v>
      </c>
      <c r="H1263" s="9" t="s">
        <v>4717</v>
      </c>
      <c r="I1263" s="9" t="s">
        <v>4717</v>
      </c>
      <c r="J1263" s="9" t="s">
        <v>4719</v>
      </c>
      <c r="K1263" s="20">
        <f t="shared" si="2"/>
        <v>1996</v>
      </c>
      <c r="L1263" s="9" t="str">
        <f t="shared" si="3"/>
        <v>tier - 3</v>
      </c>
      <c r="M1263" s="9" t="str">
        <f t="shared" si="4"/>
        <v>tier - 3</v>
      </c>
      <c r="N1263" s="9" t="str">
        <f t="shared" si="5"/>
        <v>R1011</v>
      </c>
      <c r="O1263" s="17">
        <f t="shared" si="6"/>
        <v>26</v>
      </c>
      <c r="P1263" s="18">
        <v>35327.0</v>
      </c>
    </row>
    <row r="1264" ht="15.75" customHeight="1">
      <c r="A1264" s="9" t="s">
        <v>3933</v>
      </c>
      <c r="B1264" s="17">
        <v>1996.0</v>
      </c>
      <c r="C1264" s="9" t="s">
        <v>4738</v>
      </c>
      <c r="D1264" s="9">
        <v>18.0</v>
      </c>
      <c r="E1264" s="18">
        <f t="shared" si="1"/>
        <v>35326</v>
      </c>
      <c r="F1264" s="9">
        <v>1.0</v>
      </c>
      <c r="G1264" s="19">
        <v>3490.55</v>
      </c>
      <c r="H1264" s="9" t="s">
        <v>4718</v>
      </c>
      <c r="I1264" s="9" t="s">
        <v>4723</v>
      </c>
      <c r="J1264" s="9" t="s">
        <v>4757</v>
      </c>
      <c r="K1264" s="20">
        <f t="shared" si="2"/>
        <v>1996</v>
      </c>
      <c r="L1264" s="9" t="str">
        <f t="shared" si="3"/>
        <v>tier - 1</v>
      </c>
      <c r="M1264" s="9" t="str">
        <f t="shared" si="4"/>
        <v>tier - 2</v>
      </c>
      <c r="N1264" s="9" t="str">
        <f t="shared" si="5"/>
        <v>R1015</v>
      </c>
      <c r="O1264" s="17">
        <f t="shared" si="6"/>
        <v>26</v>
      </c>
      <c r="P1264" s="18">
        <v>35326.0</v>
      </c>
    </row>
    <row r="1265" ht="15.75" customHeight="1">
      <c r="A1265" s="9" t="s">
        <v>3931</v>
      </c>
      <c r="B1265" s="17">
        <v>1999.0</v>
      </c>
      <c r="C1265" s="9" t="s">
        <v>4738</v>
      </c>
      <c r="D1265" s="9">
        <v>22.0</v>
      </c>
      <c r="E1265" s="18">
        <f t="shared" si="1"/>
        <v>36425</v>
      </c>
      <c r="F1265" s="9">
        <v>2.0</v>
      </c>
      <c r="G1265" s="19">
        <v>3500.61</v>
      </c>
      <c r="H1265" s="9" t="s">
        <v>4723</v>
      </c>
      <c r="I1265" s="9" t="s">
        <v>4723</v>
      </c>
      <c r="J1265" s="9" t="s">
        <v>4743</v>
      </c>
      <c r="K1265" s="20">
        <f t="shared" si="2"/>
        <v>1999</v>
      </c>
      <c r="L1265" s="9" t="str">
        <f t="shared" si="3"/>
        <v>tier - 2</v>
      </c>
      <c r="M1265" s="9" t="str">
        <f t="shared" si="4"/>
        <v>tier - 2</v>
      </c>
      <c r="N1265" s="9" t="str">
        <f t="shared" si="5"/>
        <v>R1013</v>
      </c>
      <c r="O1265" s="17">
        <f t="shared" si="6"/>
        <v>23</v>
      </c>
      <c r="P1265" s="18">
        <v>36425.0</v>
      </c>
    </row>
    <row r="1266" ht="15.75" customHeight="1">
      <c r="A1266" s="9" t="s">
        <v>3929</v>
      </c>
      <c r="B1266" s="17">
        <v>1998.0</v>
      </c>
      <c r="C1266" s="9" t="s">
        <v>4738</v>
      </c>
      <c r="D1266" s="9">
        <v>16.0</v>
      </c>
      <c r="E1266" s="18">
        <f t="shared" si="1"/>
        <v>36054</v>
      </c>
      <c r="F1266" s="9">
        <v>2.0</v>
      </c>
      <c r="G1266" s="19">
        <v>3537.7</v>
      </c>
      <c r="H1266" s="9" t="s">
        <v>4717</v>
      </c>
      <c r="I1266" s="9" t="s">
        <v>4717</v>
      </c>
      <c r="J1266" s="9" t="s">
        <v>4733</v>
      </c>
      <c r="K1266" s="20">
        <f t="shared" si="2"/>
        <v>1998</v>
      </c>
      <c r="L1266" s="9" t="str">
        <f t="shared" si="3"/>
        <v>tier - 3</v>
      </c>
      <c r="M1266" s="9" t="str">
        <f t="shared" si="4"/>
        <v>tier - 3</v>
      </c>
      <c r="N1266" s="9" t="str">
        <f t="shared" si="5"/>
        <v>R1012</v>
      </c>
      <c r="O1266" s="17">
        <f t="shared" si="6"/>
        <v>24</v>
      </c>
      <c r="P1266" s="18">
        <v>36054.0</v>
      </c>
    </row>
    <row r="1267" ht="15.75" customHeight="1">
      <c r="A1267" s="9" t="s">
        <v>3927</v>
      </c>
      <c r="B1267" s="17">
        <v>2003.0</v>
      </c>
      <c r="C1267" s="9" t="s">
        <v>4716</v>
      </c>
      <c r="D1267" s="9">
        <v>24.0</v>
      </c>
      <c r="E1267" s="18">
        <f t="shared" si="1"/>
        <v>37857</v>
      </c>
      <c r="F1267" s="9">
        <v>0.0</v>
      </c>
      <c r="G1267" s="19">
        <v>3538.9</v>
      </c>
      <c r="H1267" s="9" t="s">
        <v>4723</v>
      </c>
      <c r="I1267" s="9" t="s">
        <v>4723</v>
      </c>
      <c r="J1267" s="9" t="s">
        <v>4733</v>
      </c>
      <c r="K1267" s="20">
        <f t="shared" si="2"/>
        <v>2003</v>
      </c>
      <c r="L1267" s="9" t="str">
        <f t="shared" si="3"/>
        <v>tier - 2</v>
      </c>
      <c r="M1267" s="9" t="str">
        <f t="shared" si="4"/>
        <v>tier - 2</v>
      </c>
      <c r="N1267" s="9" t="str">
        <f t="shared" si="5"/>
        <v>R1012</v>
      </c>
      <c r="O1267" s="17">
        <f t="shared" si="6"/>
        <v>19</v>
      </c>
      <c r="P1267" s="18">
        <v>37857.0</v>
      </c>
    </row>
    <row r="1268" ht="15.75" customHeight="1">
      <c r="A1268" s="9" t="s">
        <v>3925</v>
      </c>
      <c r="B1268" s="17">
        <v>1988.0</v>
      </c>
      <c r="C1268" s="9" t="s">
        <v>4720</v>
      </c>
      <c r="D1268" s="9">
        <v>15.0</v>
      </c>
      <c r="E1268" s="18">
        <f t="shared" si="1"/>
        <v>32431</v>
      </c>
      <c r="F1268" s="9">
        <v>3.0</v>
      </c>
      <c r="G1268" s="19">
        <v>3540.12</v>
      </c>
      <c r="H1268" s="9" t="s">
        <v>4723</v>
      </c>
      <c r="I1268" s="9" t="s">
        <v>4718</v>
      </c>
      <c r="J1268" s="9" t="s">
        <v>4743</v>
      </c>
      <c r="K1268" s="20">
        <f t="shared" si="2"/>
        <v>1988</v>
      </c>
      <c r="L1268" s="9" t="str">
        <f t="shared" si="3"/>
        <v>tier - 2</v>
      </c>
      <c r="M1268" s="9" t="str">
        <f t="shared" si="4"/>
        <v>tier - 1</v>
      </c>
      <c r="N1268" s="9" t="str">
        <f t="shared" si="5"/>
        <v>R1013</v>
      </c>
      <c r="O1268" s="17">
        <f t="shared" si="6"/>
        <v>34</v>
      </c>
      <c r="P1268" s="18">
        <v>32431.0</v>
      </c>
    </row>
    <row r="1269" ht="15.75" customHeight="1">
      <c r="A1269" s="9" t="s">
        <v>3923</v>
      </c>
      <c r="B1269" s="17">
        <v>1992.0</v>
      </c>
      <c r="C1269" s="9" t="s">
        <v>4725</v>
      </c>
      <c r="D1269" s="9">
        <v>22.0</v>
      </c>
      <c r="E1269" s="18">
        <f t="shared" si="1"/>
        <v>33960</v>
      </c>
      <c r="F1269" s="9">
        <v>0.0</v>
      </c>
      <c r="G1269" s="19">
        <v>3554.2</v>
      </c>
      <c r="H1269" s="9" t="s">
        <v>4723</v>
      </c>
      <c r="I1269" s="9" t="s">
        <v>4717</v>
      </c>
      <c r="J1269" s="9" t="s">
        <v>4719</v>
      </c>
      <c r="K1269" s="20">
        <f t="shared" si="2"/>
        <v>1992</v>
      </c>
      <c r="L1269" s="9" t="str">
        <f t="shared" si="3"/>
        <v>tier - 2</v>
      </c>
      <c r="M1269" s="9" t="str">
        <f t="shared" si="4"/>
        <v>tier - 3</v>
      </c>
      <c r="N1269" s="9" t="str">
        <f t="shared" si="5"/>
        <v>R1011</v>
      </c>
      <c r="O1269" s="17">
        <f t="shared" si="6"/>
        <v>30</v>
      </c>
      <c r="P1269" s="18">
        <v>33960.0</v>
      </c>
    </row>
    <row r="1270" ht="15.75" customHeight="1">
      <c r="A1270" s="9" t="s">
        <v>3921</v>
      </c>
      <c r="B1270" s="17">
        <v>1994.0</v>
      </c>
      <c r="C1270" s="9" t="s">
        <v>4738</v>
      </c>
      <c r="D1270" s="9">
        <v>24.0</v>
      </c>
      <c r="E1270" s="18">
        <f t="shared" si="1"/>
        <v>34601</v>
      </c>
      <c r="F1270" s="9">
        <v>0.0</v>
      </c>
      <c r="G1270" s="19">
        <v>3556.92</v>
      </c>
      <c r="H1270" s="9" t="s">
        <v>4723</v>
      </c>
      <c r="I1270" s="9" t="s">
        <v>4717</v>
      </c>
      <c r="J1270" s="9" t="s">
        <v>4733</v>
      </c>
      <c r="K1270" s="20">
        <f t="shared" si="2"/>
        <v>1994</v>
      </c>
      <c r="L1270" s="9" t="str">
        <f t="shared" si="3"/>
        <v>tier - 2</v>
      </c>
      <c r="M1270" s="9" t="str">
        <f t="shared" si="4"/>
        <v>tier - 3</v>
      </c>
      <c r="N1270" s="9" t="str">
        <f t="shared" si="5"/>
        <v>R1012</v>
      </c>
      <c r="O1270" s="17">
        <f t="shared" si="6"/>
        <v>28</v>
      </c>
      <c r="P1270" s="18">
        <v>34601.0</v>
      </c>
    </row>
    <row r="1271" ht="15.75" customHeight="1">
      <c r="A1271" s="9" t="s">
        <v>393</v>
      </c>
      <c r="B1271" s="17">
        <v>1993.0</v>
      </c>
      <c r="C1271" s="9" t="s">
        <v>4725</v>
      </c>
      <c r="D1271" s="9">
        <v>28.0</v>
      </c>
      <c r="E1271" s="18">
        <f t="shared" si="1"/>
        <v>34331</v>
      </c>
      <c r="F1271" s="9">
        <v>0.0</v>
      </c>
      <c r="G1271" s="19">
        <v>36197.7</v>
      </c>
      <c r="H1271" s="9" t="s">
        <v>4718</v>
      </c>
      <c r="I1271" s="9" t="s">
        <v>4717</v>
      </c>
      <c r="J1271" s="9" t="s">
        <v>4719</v>
      </c>
      <c r="K1271" s="20">
        <f t="shared" si="2"/>
        <v>1993</v>
      </c>
      <c r="L1271" s="9" t="str">
        <f t="shared" si="3"/>
        <v>tier - 1</v>
      </c>
      <c r="M1271" s="9" t="str">
        <f t="shared" si="4"/>
        <v>tier - 3</v>
      </c>
      <c r="N1271" s="9" t="str">
        <f t="shared" si="5"/>
        <v>R1011</v>
      </c>
      <c r="O1271" s="17">
        <f t="shared" si="6"/>
        <v>29</v>
      </c>
      <c r="P1271" s="18">
        <v>34331.0</v>
      </c>
    </row>
    <row r="1272" ht="15.75" customHeight="1">
      <c r="A1272" s="9" t="s">
        <v>3919</v>
      </c>
      <c r="B1272" s="17">
        <v>1995.0</v>
      </c>
      <c r="C1272" s="9" t="s">
        <v>4720</v>
      </c>
      <c r="D1272" s="9">
        <v>9.0</v>
      </c>
      <c r="E1272" s="18">
        <f t="shared" si="1"/>
        <v>34981</v>
      </c>
      <c r="F1272" s="9">
        <v>0.0</v>
      </c>
      <c r="G1272" s="19">
        <v>3558.62</v>
      </c>
      <c r="H1272" s="9" t="s">
        <v>4723</v>
      </c>
      <c r="I1272" s="9" t="s">
        <v>4717</v>
      </c>
      <c r="J1272" s="9" t="s">
        <v>4731</v>
      </c>
      <c r="K1272" s="20">
        <f t="shared" si="2"/>
        <v>1995</v>
      </c>
      <c r="L1272" s="9" t="str">
        <f t="shared" si="3"/>
        <v>tier - 2</v>
      </c>
      <c r="M1272" s="9" t="str">
        <f t="shared" si="4"/>
        <v>tier - 3</v>
      </c>
      <c r="N1272" s="9" t="str">
        <f t="shared" si="5"/>
        <v>R1024</v>
      </c>
      <c r="O1272" s="17">
        <f t="shared" si="6"/>
        <v>27</v>
      </c>
      <c r="P1272" s="18">
        <v>34981.0</v>
      </c>
    </row>
    <row r="1273" ht="15.75" customHeight="1">
      <c r="A1273" s="9" t="s">
        <v>3917</v>
      </c>
      <c r="B1273" s="17">
        <v>1995.0</v>
      </c>
      <c r="C1273" s="9" t="s">
        <v>4730</v>
      </c>
      <c r="D1273" s="9">
        <v>16.0</v>
      </c>
      <c r="E1273" s="18">
        <f t="shared" si="1"/>
        <v>34866</v>
      </c>
      <c r="F1273" s="9">
        <v>1.0</v>
      </c>
      <c r="G1273" s="19">
        <v>3561.89</v>
      </c>
      <c r="H1273" s="9" t="s">
        <v>4723</v>
      </c>
      <c r="I1273" s="9" t="s">
        <v>4718</v>
      </c>
      <c r="J1273" s="9" t="s">
        <v>4743</v>
      </c>
      <c r="K1273" s="20">
        <f t="shared" si="2"/>
        <v>1995</v>
      </c>
      <c r="L1273" s="9" t="str">
        <f t="shared" si="3"/>
        <v>tier - 2</v>
      </c>
      <c r="M1273" s="9" t="str">
        <f t="shared" si="4"/>
        <v>tier - 1</v>
      </c>
      <c r="N1273" s="9" t="str">
        <f t="shared" si="5"/>
        <v>R1013</v>
      </c>
      <c r="O1273" s="17">
        <f t="shared" si="6"/>
        <v>27</v>
      </c>
      <c r="P1273" s="18">
        <v>34866.0</v>
      </c>
    </row>
    <row r="1274" ht="15.75" customHeight="1">
      <c r="A1274" s="9" t="s">
        <v>3915</v>
      </c>
      <c r="B1274" s="17">
        <v>1981.0</v>
      </c>
      <c r="C1274" s="9" t="s">
        <v>4720</v>
      </c>
      <c r="D1274" s="9">
        <v>10.0</v>
      </c>
      <c r="E1274" s="18">
        <f t="shared" si="1"/>
        <v>29869</v>
      </c>
      <c r="F1274" s="9">
        <v>1.0</v>
      </c>
      <c r="G1274" s="19">
        <v>3562.87</v>
      </c>
      <c r="H1274" s="9" t="s">
        <v>4723</v>
      </c>
      <c r="I1274" s="9" t="s">
        <v>4718</v>
      </c>
      <c r="J1274" s="9" t="s">
        <v>4743</v>
      </c>
      <c r="K1274" s="20">
        <f t="shared" si="2"/>
        <v>1981</v>
      </c>
      <c r="L1274" s="9" t="str">
        <f t="shared" si="3"/>
        <v>tier - 2</v>
      </c>
      <c r="M1274" s="9" t="str">
        <f t="shared" si="4"/>
        <v>tier - 1</v>
      </c>
      <c r="N1274" s="9" t="str">
        <f t="shared" si="5"/>
        <v>R1013</v>
      </c>
      <c r="O1274" s="17">
        <f t="shared" si="6"/>
        <v>41</v>
      </c>
      <c r="P1274" s="18">
        <v>29869.0</v>
      </c>
    </row>
    <row r="1275" ht="15.75" customHeight="1">
      <c r="A1275" s="9" t="s">
        <v>3913</v>
      </c>
      <c r="B1275" s="17">
        <v>1988.0</v>
      </c>
      <c r="C1275" s="9" t="s">
        <v>4716</v>
      </c>
      <c r="D1275" s="9">
        <v>18.0</v>
      </c>
      <c r="E1275" s="18">
        <f t="shared" si="1"/>
        <v>32373</v>
      </c>
      <c r="F1275" s="9">
        <v>3.0</v>
      </c>
      <c r="G1275" s="19">
        <v>3569.96</v>
      </c>
      <c r="H1275" s="9" t="s">
        <v>4723</v>
      </c>
      <c r="I1275" s="9" t="s">
        <v>4718</v>
      </c>
      <c r="J1275" s="9" t="s">
        <v>4733</v>
      </c>
      <c r="K1275" s="20">
        <f t="shared" si="2"/>
        <v>1988</v>
      </c>
      <c r="L1275" s="9" t="str">
        <f t="shared" si="3"/>
        <v>tier - 2</v>
      </c>
      <c r="M1275" s="9" t="str">
        <f t="shared" si="4"/>
        <v>tier - 1</v>
      </c>
      <c r="N1275" s="9" t="str">
        <f t="shared" si="5"/>
        <v>R1012</v>
      </c>
      <c r="O1275" s="17">
        <f t="shared" si="6"/>
        <v>34</v>
      </c>
      <c r="P1275" s="18">
        <v>32373.0</v>
      </c>
    </row>
    <row r="1276" ht="15.75" customHeight="1">
      <c r="A1276" s="9" t="s">
        <v>3911</v>
      </c>
      <c r="B1276" s="17">
        <v>1995.0</v>
      </c>
      <c r="C1276" s="9" t="s">
        <v>4716</v>
      </c>
      <c r="D1276" s="9">
        <v>23.0</v>
      </c>
      <c r="E1276" s="18">
        <f t="shared" si="1"/>
        <v>34934</v>
      </c>
      <c r="F1276" s="9">
        <v>1.0</v>
      </c>
      <c r="G1276" s="19">
        <v>3578.0</v>
      </c>
      <c r="H1276" s="9" t="s">
        <v>4723</v>
      </c>
      <c r="I1276" s="9" t="s">
        <v>4717</v>
      </c>
      <c r="J1276" s="9" t="s">
        <v>4719</v>
      </c>
      <c r="K1276" s="20">
        <f t="shared" si="2"/>
        <v>1995</v>
      </c>
      <c r="L1276" s="9" t="str">
        <f t="shared" si="3"/>
        <v>tier - 2</v>
      </c>
      <c r="M1276" s="9" t="str">
        <f t="shared" si="4"/>
        <v>tier - 3</v>
      </c>
      <c r="N1276" s="9" t="str">
        <f t="shared" si="5"/>
        <v>R1011</v>
      </c>
      <c r="O1276" s="17">
        <f t="shared" si="6"/>
        <v>27</v>
      </c>
      <c r="P1276" s="18">
        <v>34934.0</v>
      </c>
    </row>
    <row r="1277" ht="15.75" customHeight="1">
      <c r="A1277" s="9" t="s">
        <v>3909</v>
      </c>
      <c r="B1277" s="17">
        <v>2001.0</v>
      </c>
      <c r="C1277" s="9" t="s">
        <v>4735</v>
      </c>
      <c r="D1277" s="9">
        <v>11.0</v>
      </c>
      <c r="E1277" s="18">
        <f t="shared" si="1"/>
        <v>37206</v>
      </c>
      <c r="F1277" s="9">
        <v>2.0</v>
      </c>
      <c r="G1277" s="19">
        <v>3579.83</v>
      </c>
      <c r="H1277" s="9" t="s">
        <v>4723</v>
      </c>
      <c r="I1277" s="9" t="s">
        <v>4723</v>
      </c>
      <c r="J1277" s="9" t="s">
        <v>4733</v>
      </c>
      <c r="K1277" s="20">
        <f t="shared" si="2"/>
        <v>2001</v>
      </c>
      <c r="L1277" s="9" t="str">
        <f t="shared" si="3"/>
        <v>tier - 2</v>
      </c>
      <c r="M1277" s="9" t="str">
        <f t="shared" si="4"/>
        <v>tier - 2</v>
      </c>
      <c r="N1277" s="9" t="str">
        <f t="shared" si="5"/>
        <v>R1012</v>
      </c>
      <c r="O1277" s="17">
        <f t="shared" si="6"/>
        <v>21</v>
      </c>
      <c r="P1277" s="18">
        <v>37206.0</v>
      </c>
    </row>
    <row r="1278" ht="15.75" customHeight="1">
      <c r="A1278" s="9" t="s">
        <v>3907</v>
      </c>
      <c r="B1278" s="17">
        <v>1986.0</v>
      </c>
      <c r="C1278" s="9" t="s">
        <v>4725</v>
      </c>
      <c r="D1278" s="9">
        <v>27.0</v>
      </c>
      <c r="E1278" s="18">
        <f t="shared" si="1"/>
        <v>31773</v>
      </c>
      <c r="F1278" s="9">
        <v>3.0</v>
      </c>
      <c r="G1278" s="19">
        <v>3589.14</v>
      </c>
      <c r="H1278" s="9" t="s">
        <v>4723</v>
      </c>
      <c r="I1278" s="9" t="s">
        <v>4723</v>
      </c>
      <c r="J1278" s="9" t="s">
        <v>4743</v>
      </c>
      <c r="K1278" s="20">
        <f t="shared" si="2"/>
        <v>1986</v>
      </c>
      <c r="L1278" s="9" t="str">
        <f t="shared" si="3"/>
        <v>tier - 2</v>
      </c>
      <c r="M1278" s="9" t="str">
        <f t="shared" si="4"/>
        <v>tier - 2</v>
      </c>
      <c r="N1278" s="9" t="str">
        <f t="shared" si="5"/>
        <v>R1013</v>
      </c>
      <c r="O1278" s="17">
        <f t="shared" si="6"/>
        <v>36</v>
      </c>
      <c r="P1278" s="18">
        <v>31773.0</v>
      </c>
    </row>
    <row r="1279" ht="15.75" customHeight="1">
      <c r="A1279" s="9" t="s">
        <v>3905</v>
      </c>
      <c r="B1279" s="17">
        <v>1999.0</v>
      </c>
      <c r="C1279" s="9" t="s">
        <v>4730</v>
      </c>
      <c r="D1279" s="9">
        <v>6.0</v>
      </c>
      <c r="E1279" s="18">
        <f t="shared" si="1"/>
        <v>36317</v>
      </c>
      <c r="F1279" s="9">
        <v>3.0</v>
      </c>
      <c r="G1279" s="19">
        <v>3591.48</v>
      </c>
      <c r="H1279" s="9" t="s">
        <v>4723</v>
      </c>
      <c r="I1279" s="9" t="s">
        <v>4717</v>
      </c>
      <c r="J1279" s="9" t="s">
        <v>4719</v>
      </c>
      <c r="K1279" s="20">
        <f t="shared" si="2"/>
        <v>1999</v>
      </c>
      <c r="L1279" s="9" t="str">
        <f t="shared" si="3"/>
        <v>tier - 2</v>
      </c>
      <c r="M1279" s="9" t="str">
        <f t="shared" si="4"/>
        <v>tier - 3</v>
      </c>
      <c r="N1279" s="9" t="str">
        <f t="shared" si="5"/>
        <v>R1011</v>
      </c>
      <c r="O1279" s="17">
        <f t="shared" si="6"/>
        <v>24</v>
      </c>
      <c r="P1279" s="18">
        <v>36317.0</v>
      </c>
    </row>
    <row r="1280" ht="15.75" customHeight="1">
      <c r="A1280" s="9" t="s">
        <v>3903</v>
      </c>
      <c r="B1280" s="17">
        <v>1997.0</v>
      </c>
      <c r="C1280" s="9" t="s">
        <v>4735</v>
      </c>
      <c r="D1280" s="9">
        <v>4.0</v>
      </c>
      <c r="E1280" s="18">
        <f t="shared" si="1"/>
        <v>35738</v>
      </c>
      <c r="F1280" s="9">
        <v>1.0</v>
      </c>
      <c r="G1280" s="19">
        <v>3594.17</v>
      </c>
      <c r="H1280" s="9" t="s">
        <v>4723</v>
      </c>
      <c r="I1280" s="9" t="s">
        <v>4723</v>
      </c>
      <c r="J1280" s="9" t="s">
        <v>4733</v>
      </c>
      <c r="K1280" s="20">
        <f t="shared" si="2"/>
        <v>1997</v>
      </c>
      <c r="L1280" s="9" t="str">
        <f t="shared" si="3"/>
        <v>tier - 2</v>
      </c>
      <c r="M1280" s="9" t="str">
        <f t="shared" si="4"/>
        <v>tier - 2</v>
      </c>
      <c r="N1280" s="9" t="str">
        <f t="shared" si="5"/>
        <v>R1012</v>
      </c>
      <c r="O1280" s="17">
        <f t="shared" si="6"/>
        <v>25</v>
      </c>
      <c r="P1280" s="18">
        <v>35738.0</v>
      </c>
    </row>
    <row r="1281" ht="15.75" customHeight="1">
      <c r="A1281" s="9" t="s">
        <v>3901</v>
      </c>
      <c r="B1281" s="17">
        <v>1999.0</v>
      </c>
      <c r="C1281" s="9" t="s">
        <v>4716</v>
      </c>
      <c r="D1281" s="9">
        <v>12.0</v>
      </c>
      <c r="E1281" s="18">
        <f t="shared" si="1"/>
        <v>36384</v>
      </c>
      <c r="F1281" s="9">
        <v>3.0</v>
      </c>
      <c r="G1281" s="19">
        <v>3597.6</v>
      </c>
      <c r="H1281" s="9" t="s">
        <v>4723</v>
      </c>
      <c r="I1281" s="9" t="s">
        <v>4723</v>
      </c>
      <c r="J1281" s="9" t="s">
        <v>4719</v>
      </c>
      <c r="K1281" s="20">
        <f t="shared" si="2"/>
        <v>1999</v>
      </c>
      <c r="L1281" s="9" t="str">
        <f t="shared" si="3"/>
        <v>tier - 2</v>
      </c>
      <c r="M1281" s="9" t="str">
        <f t="shared" si="4"/>
        <v>tier - 2</v>
      </c>
      <c r="N1281" s="9" t="str">
        <f t="shared" si="5"/>
        <v>R1011</v>
      </c>
      <c r="O1281" s="17">
        <f t="shared" si="6"/>
        <v>23</v>
      </c>
      <c r="P1281" s="18">
        <v>36384.0</v>
      </c>
    </row>
    <row r="1282" ht="15.75" customHeight="1">
      <c r="A1282" s="9" t="s">
        <v>391</v>
      </c>
      <c r="B1282" s="17">
        <v>2003.0</v>
      </c>
      <c r="C1282" s="9" t="s">
        <v>4738</v>
      </c>
      <c r="D1282" s="9">
        <v>5.0</v>
      </c>
      <c r="E1282" s="18">
        <f t="shared" si="1"/>
        <v>37869</v>
      </c>
      <c r="F1282" s="9">
        <v>0.0</v>
      </c>
      <c r="G1282" s="19">
        <v>36219.41</v>
      </c>
      <c r="H1282" s="9" t="s">
        <v>4718</v>
      </c>
      <c r="I1282" s="9" t="s">
        <v>4718</v>
      </c>
      <c r="J1282" s="9" t="s">
        <v>4733</v>
      </c>
      <c r="K1282" s="20">
        <f t="shared" si="2"/>
        <v>2003</v>
      </c>
      <c r="L1282" s="9" t="str">
        <f t="shared" si="3"/>
        <v>tier - 1</v>
      </c>
      <c r="M1282" s="9" t="str">
        <f t="shared" si="4"/>
        <v>tier - 1</v>
      </c>
      <c r="N1282" s="9" t="str">
        <f t="shared" si="5"/>
        <v>R1012</v>
      </c>
      <c r="O1282" s="17">
        <f t="shared" si="6"/>
        <v>19</v>
      </c>
      <c r="P1282" s="18">
        <v>37869.0</v>
      </c>
    </row>
    <row r="1283" ht="15.75" customHeight="1">
      <c r="A1283" s="9" t="s">
        <v>3899</v>
      </c>
      <c r="B1283" s="17">
        <v>1988.0</v>
      </c>
      <c r="C1283" s="9" t="s">
        <v>4735</v>
      </c>
      <c r="D1283" s="9">
        <v>4.0</v>
      </c>
      <c r="E1283" s="18">
        <f t="shared" si="1"/>
        <v>32451</v>
      </c>
      <c r="F1283" s="9">
        <v>3.0</v>
      </c>
      <c r="G1283" s="19">
        <v>3603.6</v>
      </c>
      <c r="H1283" s="9" t="s">
        <v>4723</v>
      </c>
      <c r="I1283" s="9" t="s">
        <v>4718</v>
      </c>
      <c r="J1283" s="9" t="s">
        <v>4743</v>
      </c>
      <c r="K1283" s="20">
        <f t="shared" si="2"/>
        <v>1988</v>
      </c>
      <c r="L1283" s="9" t="str">
        <f t="shared" si="3"/>
        <v>tier - 2</v>
      </c>
      <c r="M1283" s="9" t="str">
        <f t="shared" si="4"/>
        <v>tier - 1</v>
      </c>
      <c r="N1283" s="9" t="str">
        <f t="shared" si="5"/>
        <v>R1013</v>
      </c>
      <c r="O1283" s="17">
        <f t="shared" si="6"/>
        <v>34</v>
      </c>
      <c r="P1283" s="18">
        <v>32451.0</v>
      </c>
    </row>
    <row r="1284" ht="15.75" customHeight="1">
      <c r="A1284" s="9" t="s">
        <v>3897</v>
      </c>
      <c r="B1284" s="17">
        <v>1990.0</v>
      </c>
      <c r="C1284" s="9" t="s">
        <v>4720</v>
      </c>
      <c r="D1284" s="9">
        <v>11.0</v>
      </c>
      <c r="E1284" s="18">
        <f t="shared" si="1"/>
        <v>33157</v>
      </c>
      <c r="F1284" s="9">
        <v>3.0</v>
      </c>
      <c r="G1284" s="19">
        <v>3606.43</v>
      </c>
      <c r="H1284" s="9" t="s">
        <v>4723</v>
      </c>
      <c r="I1284" s="9" t="s">
        <v>4718</v>
      </c>
      <c r="J1284" s="9" t="s">
        <v>4743</v>
      </c>
      <c r="K1284" s="20">
        <f t="shared" si="2"/>
        <v>1990</v>
      </c>
      <c r="L1284" s="9" t="str">
        <f t="shared" si="3"/>
        <v>tier - 2</v>
      </c>
      <c r="M1284" s="9" t="str">
        <f t="shared" si="4"/>
        <v>tier - 1</v>
      </c>
      <c r="N1284" s="9" t="str">
        <f t="shared" si="5"/>
        <v>R1013</v>
      </c>
      <c r="O1284" s="17">
        <f t="shared" si="6"/>
        <v>32</v>
      </c>
      <c r="P1284" s="18">
        <v>33157.0</v>
      </c>
    </row>
    <row r="1285" ht="15.75" customHeight="1">
      <c r="A1285" s="9" t="s">
        <v>3895</v>
      </c>
      <c r="B1285" s="17">
        <v>1985.0</v>
      </c>
      <c r="C1285" s="9" t="s">
        <v>4730</v>
      </c>
      <c r="D1285" s="9">
        <v>14.0</v>
      </c>
      <c r="E1285" s="18">
        <f t="shared" si="1"/>
        <v>31212</v>
      </c>
      <c r="F1285" s="9">
        <v>3.0</v>
      </c>
      <c r="G1285" s="19">
        <v>3622.13</v>
      </c>
      <c r="H1285" s="9" t="s">
        <v>4723</v>
      </c>
      <c r="I1285" s="9" t="s">
        <v>4718</v>
      </c>
      <c r="J1285" s="9" t="s">
        <v>4743</v>
      </c>
      <c r="K1285" s="20">
        <f t="shared" si="2"/>
        <v>1985</v>
      </c>
      <c r="L1285" s="9" t="str">
        <f t="shared" si="3"/>
        <v>tier - 2</v>
      </c>
      <c r="M1285" s="9" t="str">
        <f t="shared" si="4"/>
        <v>tier - 1</v>
      </c>
      <c r="N1285" s="9" t="str">
        <f t="shared" si="5"/>
        <v>R1013</v>
      </c>
      <c r="O1285" s="17">
        <f t="shared" si="6"/>
        <v>37</v>
      </c>
      <c r="P1285" s="18">
        <v>31212.0</v>
      </c>
    </row>
    <row r="1286" ht="15.75" customHeight="1">
      <c r="A1286" s="9" t="s">
        <v>3893</v>
      </c>
      <c r="B1286" s="17">
        <v>1992.0</v>
      </c>
      <c r="C1286" s="9" t="s">
        <v>4735</v>
      </c>
      <c r="D1286" s="9">
        <v>17.0</v>
      </c>
      <c r="E1286" s="18">
        <f t="shared" si="1"/>
        <v>33925</v>
      </c>
      <c r="F1286" s="9">
        <v>0.0</v>
      </c>
      <c r="G1286" s="19">
        <v>3645.09</v>
      </c>
      <c r="H1286" s="9" t="s">
        <v>4718</v>
      </c>
      <c r="I1286" s="9" t="s">
        <v>4723</v>
      </c>
      <c r="J1286" s="9" t="s">
        <v>4752</v>
      </c>
      <c r="K1286" s="20">
        <f t="shared" si="2"/>
        <v>1992</v>
      </c>
      <c r="L1286" s="9" t="str">
        <f t="shared" si="3"/>
        <v>tier - 1</v>
      </c>
      <c r="M1286" s="9" t="str">
        <f t="shared" si="4"/>
        <v>tier - 2</v>
      </c>
      <c r="N1286" s="9" t="str">
        <f t="shared" si="5"/>
        <v>R1014</v>
      </c>
      <c r="O1286" s="17">
        <f t="shared" si="6"/>
        <v>30</v>
      </c>
      <c r="P1286" s="18">
        <v>33925.0</v>
      </c>
    </row>
    <row r="1287" ht="15.75" customHeight="1">
      <c r="A1287" s="9" t="s">
        <v>3891</v>
      </c>
      <c r="B1287" s="17">
        <v>1990.0</v>
      </c>
      <c r="C1287" s="9" t="s">
        <v>4735</v>
      </c>
      <c r="D1287" s="9">
        <v>8.0</v>
      </c>
      <c r="E1287" s="18">
        <f t="shared" si="1"/>
        <v>33185</v>
      </c>
      <c r="F1287" s="9">
        <v>3.0</v>
      </c>
      <c r="G1287" s="19">
        <v>3653.29</v>
      </c>
      <c r="H1287" s="9" t="s">
        <v>4723</v>
      </c>
      <c r="I1287" s="9" t="s">
        <v>4717</v>
      </c>
      <c r="J1287" s="9" t="s">
        <v>4719</v>
      </c>
      <c r="K1287" s="20">
        <f t="shared" si="2"/>
        <v>1990</v>
      </c>
      <c r="L1287" s="9" t="str">
        <f t="shared" si="3"/>
        <v>tier - 2</v>
      </c>
      <c r="M1287" s="9" t="str">
        <f t="shared" si="4"/>
        <v>tier - 3</v>
      </c>
      <c r="N1287" s="9" t="str">
        <f t="shared" si="5"/>
        <v>R1011</v>
      </c>
      <c r="O1287" s="17">
        <f t="shared" si="6"/>
        <v>32</v>
      </c>
      <c r="P1287" s="18">
        <v>33185.0</v>
      </c>
    </row>
    <row r="1288" ht="15.75" customHeight="1">
      <c r="A1288" s="9" t="s">
        <v>3889</v>
      </c>
      <c r="B1288" s="17">
        <v>1992.0</v>
      </c>
      <c r="C1288" s="9" t="s">
        <v>4738</v>
      </c>
      <c r="D1288" s="9">
        <v>14.0</v>
      </c>
      <c r="E1288" s="18">
        <f t="shared" si="1"/>
        <v>33861</v>
      </c>
      <c r="F1288" s="9">
        <v>1.0</v>
      </c>
      <c r="G1288" s="19">
        <v>3659.35</v>
      </c>
      <c r="H1288" s="9" t="s">
        <v>4717</v>
      </c>
      <c r="I1288" s="9" t="s">
        <v>4718</v>
      </c>
      <c r="J1288" s="9" t="s">
        <v>4719</v>
      </c>
      <c r="K1288" s="20">
        <f t="shared" si="2"/>
        <v>1992</v>
      </c>
      <c r="L1288" s="9" t="str">
        <f t="shared" si="3"/>
        <v>tier - 3</v>
      </c>
      <c r="M1288" s="9" t="str">
        <f t="shared" si="4"/>
        <v>tier - 1</v>
      </c>
      <c r="N1288" s="9" t="str">
        <f t="shared" si="5"/>
        <v>R1011</v>
      </c>
      <c r="O1288" s="17">
        <f t="shared" si="6"/>
        <v>30</v>
      </c>
      <c r="P1288" s="18">
        <v>33861.0</v>
      </c>
    </row>
    <row r="1289" ht="15.75" customHeight="1">
      <c r="A1289" s="9" t="s">
        <v>3887</v>
      </c>
      <c r="B1289" s="17">
        <v>1984.0</v>
      </c>
      <c r="C1289" s="9" t="s">
        <v>4741</v>
      </c>
      <c r="D1289" s="9">
        <v>6.0</v>
      </c>
      <c r="E1289" s="18">
        <f t="shared" si="1"/>
        <v>30869</v>
      </c>
      <c r="F1289" s="9">
        <v>3.0</v>
      </c>
      <c r="G1289" s="19">
        <v>3678.86</v>
      </c>
      <c r="H1289" s="9" t="s">
        <v>4723</v>
      </c>
      <c r="I1289" s="9" t="s">
        <v>4717</v>
      </c>
      <c r="J1289" s="9" t="s">
        <v>4743</v>
      </c>
      <c r="K1289" s="20">
        <f t="shared" si="2"/>
        <v>1984</v>
      </c>
      <c r="L1289" s="9" t="str">
        <f t="shared" si="3"/>
        <v>tier - 2</v>
      </c>
      <c r="M1289" s="9" t="str">
        <f t="shared" si="4"/>
        <v>tier - 3</v>
      </c>
      <c r="N1289" s="9" t="str">
        <f t="shared" si="5"/>
        <v>R1013</v>
      </c>
      <c r="O1289" s="17">
        <f t="shared" si="6"/>
        <v>38</v>
      </c>
      <c r="P1289" s="18">
        <v>30869.0</v>
      </c>
    </row>
    <row r="1290" ht="15.75" customHeight="1">
      <c r="A1290" s="9" t="s">
        <v>3885</v>
      </c>
      <c r="B1290" s="17">
        <v>2003.0</v>
      </c>
      <c r="C1290" s="9" t="s">
        <v>4741</v>
      </c>
      <c r="D1290" s="9">
        <v>10.0</v>
      </c>
      <c r="E1290" s="18">
        <f t="shared" si="1"/>
        <v>37812</v>
      </c>
      <c r="F1290" s="9">
        <v>0.0</v>
      </c>
      <c r="G1290" s="19">
        <v>3688.35</v>
      </c>
      <c r="H1290" s="9" t="s">
        <v>4723</v>
      </c>
      <c r="I1290" s="9" t="s">
        <v>4723</v>
      </c>
      <c r="J1290" s="9" t="s">
        <v>4751</v>
      </c>
      <c r="K1290" s="20">
        <f t="shared" si="2"/>
        <v>2003</v>
      </c>
      <c r="L1290" s="9" t="str">
        <f t="shared" si="3"/>
        <v>tier - 2</v>
      </c>
      <c r="M1290" s="9" t="str">
        <f t="shared" si="4"/>
        <v>tier - 2</v>
      </c>
      <c r="N1290" s="9" t="str">
        <f t="shared" si="5"/>
        <v>R1021</v>
      </c>
      <c r="O1290" s="17">
        <f t="shared" si="6"/>
        <v>19</v>
      </c>
      <c r="P1290" s="18">
        <v>37812.0</v>
      </c>
    </row>
    <row r="1291" ht="15.75" customHeight="1">
      <c r="A1291" s="9" t="s">
        <v>3883</v>
      </c>
      <c r="B1291" s="17">
        <v>1981.0</v>
      </c>
      <c r="C1291" s="9" t="s">
        <v>4725</v>
      </c>
      <c r="D1291" s="9">
        <v>14.0</v>
      </c>
      <c r="E1291" s="18">
        <f t="shared" si="1"/>
        <v>29934</v>
      </c>
      <c r="F1291" s="9">
        <v>1.0</v>
      </c>
      <c r="G1291" s="19">
        <v>3688.38</v>
      </c>
      <c r="H1291" s="9" t="s">
        <v>4723</v>
      </c>
      <c r="I1291" s="9" t="s">
        <v>4723</v>
      </c>
      <c r="J1291" s="9" t="s">
        <v>4743</v>
      </c>
      <c r="K1291" s="20">
        <f t="shared" si="2"/>
        <v>1981</v>
      </c>
      <c r="L1291" s="9" t="str">
        <f t="shared" si="3"/>
        <v>tier - 2</v>
      </c>
      <c r="M1291" s="9" t="str">
        <f t="shared" si="4"/>
        <v>tier - 2</v>
      </c>
      <c r="N1291" s="9" t="str">
        <f t="shared" si="5"/>
        <v>R1013</v>
      </c>
      <c r="O1291" s="17">
        <f t="shared" si="6"/>
        <v>41</v>
      </c>
      <c r="P1291" s="18">
        <v>29934.0</v>
      </c>
    </row>
    <row r="1292" ht="15.75" customHeight="1">
      <c r="A1292" s="9" t="s">
        <v>3881</v>
      </c>
      <c r="B1292" s="17">
        <v>1995.0</v>
      </c>
      <c r="C1292" s="9" t="s">
        <v>4720</v>
      </c>
      <c r="D1292" s="9">
        <v>21.0</v>
      </c>
      <c r="E1292" s="18">
        <f t="shared" si="1"/>
        <v>34993</v>
      </c>
      <c r="F1292" s="9">
        <v>2.0</v>
      </c>
      <c r="G1292" s="19">
        <v>3693.43</v>
      </c>
      <c r="H1292" s="9" t="s">
        <v>4723</v>
      </c>
      <c r="I1292" s="9" t="s">
        <v>4717</v>
      </c>
      <c r="J1292" s="9" t="s">
        <v>4719</v>
      </c>
      <c r="K1292" s="20">
        <f t="shared" si="2"/>
        <v>1995</v>
      </c>
      <c r="L1292" s="9" t="str">
        <f t="shared" si="3"/>
        <v>tier - 2</v>
      </c>
      <c r="M1292" s="9" t="str">
        <f t="shared" si="4"/>
        <v>tier - 3</v>
      </c>
      <c r="N1292" s="9" t="str">
        <f t="shared" si="5"/>
        <v>R1011</v>
      </c>
      <c r="O1292" s="17">
        <f t="shared" si="6"/>
        <v>27</v>
      </c>
      <c r="P1292" s="18">
        <v>34993.0</v>
      </c>
    </row>
    <row r="1293" ht="15.75" customHeight="1">
      <c r="A1293" s="9" t="s">
        <v>389</v>
      </c>
      <c r="B1293" s="17">
        <v>2004.0</v>
      </c>
      <c r="C1293" s="9" t="s">
        <v>4725</v>
      </c>
      <c r="D1293" s="9">
        <v>25.0</v>
      </c>
      <c r="E1293" s="18">
        <f t="shared" si="1"/>
        <v>38346</v>
      </c>
      <c r="F1293" s="9">
        <v>0.0</v>
      </c>
      <c r="G1293" s="19">
        <v>36307.8</v>
      </c>
      <c r="H1293" s="9" t="s">
        <v>4718</v>
      </c>
      <c r="I1293" s="9" t="s">
        <v>4723</v>
      </c>
      <c r="J1293" s="9" t="s">
        <v>4743</v>
      </c>
      <c r="K1293" s="20">
        <f t="shared" si="2"/>
        <v>2004</v>
      </c>
      <c r="L1293" s="9" t="str">
        <f t="shared" si="3"/>
        <v>tier - 1</v>
      </c>
      <c r="M1293" s="9" t="str">
        <f t="shared" si="4"/>
        <v>tier - 2</v>
      </c>
      <c r="N1293" s="9" t="str">
        <f t="shared" si="5"/>
        <v>R1013</v>
      </c>
      <c r="O1293" s="17">
        <f t="shared" si="6"/>
        <v>18</v>
      </c>
      <c r="P1293" s="18">
        <v>38346.0</v>
      </c>
    </row>
    <row r="1294" ht="15.75" customHeight="1">
      <c r="A1294" s="9" t="s">
        <v>3879</v>
      </c>
      <c r="B1294" s="17">
        <v>1988.0</v>
      </c>
      <c r="C1294" s="9" t="s">
        <v>4716</v>
      </c>
      <c r="D1294" s="9">
        <v>18.0</v>
      </c>
      <c r="E1294" s="18">
        <f t="shared" si="1"/>
        <v>32373</v>
      </c>
      <c r="F1294" s="9">
        <v>3.0</v>
      </c>
      <c r="G1294" s="19">
        <v>3699.54</v>
      </c>
      <c r="H1294" s="9" t="s">
        <v>4723</v>
      </c>
      <c r="I1294" s="9" t="s">
        <v>4717</v>
      </c>
      <c r="J1294" s="9" t="s">
        <v>4743</v>
      </c>
      <c r="K1294" s="20">
        <f t="shared" si="2"/>
        <v>1988</v>
      </c>
      <c r="L1294" s="9" t="str">
        <f t="shared" si="3"/>
        <v>tier - 2</v>
      </c>
      <c r="M1294" s="9" t="str">
        <f t="shared" si="4"/>
        <v>tier - 3</v>
      </c>
      <c r="N1294" s="9" t="str">
        <f t="shared" si="5"/>
        <v>R1013</v>
      </c>
      <c r="O1294" s="17">
        <f t="shared" si="6"/>
        <v>34</v>
      </c>
      <c r="P1294" s="18">
        <v>32373.0</v>
      </c>
    </row>
    <row r="1295" ht="15.75" customHeight="1">
      <c r="A1295" s="9" t="s">
        <v>3877</v>
      </c>
      <c r="B1295" s="17">
        <v>1989.0</v>
      </c>
      <c r="C1295" s="9" t="s">
        <v>4725</v>
      </c>
      <c r="D1295" s="9">
        <v>2.0</v>
      </c>
      <c r="E1295" s="18">
        <f t="shared" si="1"/>
        <v>32844</v>
      </c>
      <c r="F1295" s="9">
        <v>0.0</v>
      </c>
      <c r="G1295" s="19">
        <v>3704.35</v>
      </c>
      <c r="H1295" s="9" t="s">
        <v>4723</v>
      </c>
      <c r="I1295" s="9" t="s">
        <v>4723</v>
      </c>
      <c r="J1295" s="9" t="s">
        <v>4743</v>
      </c>
      <c r="K1295" s="20">
        <f t="shared" si="2"/>
        <v>1989</v>
      </c>
      <c r="L1295" s="9" t="str">
        <f t="shared" si="3"/>
        <v>tier - 2</v>
      </c>
      <c r="M1295" s="9" t="str">
        <f t="shared" si="4"/>
        <v>tier - 2</v>
      </c>
      <c r="N1295" s="9" t="str">
        <f t="shared" si="5"/>
        <v>R1013</v>
      </c>
      <c r="O1295" s="17">
        <f t="shared" si="6"/>
        <v>33</v>
      </c>
      <c r="P1295" s="18">
        <v>32844.0</v>
      </c>
    </row>
    <row r="1296" ht="15.75" customHeight="1">
      <c r="A1296" s="9" t="s">
        <v>3875</v>
      </c>
      <c r="B1296" s="17">
        <v>2004.0</v>
      </c>
      <c r="C1296" s="9" t="s">
        <v>4735</v>
      </c>
      <c r="D1296" s="9">
        <v>5.0</v>
      </c>
      <c r="E1296" s="18">
        <f t="shared" si="1"/>
        <v>38296</v>
      </c>
      <c r="F1296" s="9">
        <v>0.0</v>
      </c>
      <c r="G1296" s="19">
        <v>3722.23</v>
      </c>
      <c r="H1296" s="9" t="s">
        <v>4723</v>
      </c>
      <c r="I1296" s="9" t="s">
        <v>4723</v>
      </c>
      <c r="J1296" s="9" t="s">
        <v>4726</v>
      </c>
      <c r="K1296" s="20">
        <f t="shared" si="2"/>
        <v>2004</v>
      </c>
      <c r="L1296" s="9" t="str">
        <f t="shared" si="3"/>
        <v>tier - 2</v>
      </c>
      <c r="M1296" s="9" t="str">
        <f t="shared" si="4"/>
        <v>tier - 2</v>
      </c>
      <c r="N1296" s="9" t="str">
        <f t="shared" si="5"/>
        <v>R1025</v>
      </c>
      <c r="O1296" s="17">
        <f t="shared" si="6"/>
        <v>18</v>
      </c>
      <c r="P1296" s="18">
        <v>38296.0</v>
      </c>
    </row>
    <row r="1297" ht="15.75" customHeight="1">
      <c r="A1297" s="9" t="s">
        <v>3873</v>
      </c>
      <c r="B1297" s="17">
        <v>1986.0</v>
      </c>
      <c r="C1297" s="9" t="s">
        <v>4725</v>
      </c>
      <c r="D1297" s="9">
        <v>1.0</v>
      </c>
      <c r="E1297" s="18">
        <f t="shared" si="1"/>
        <v>31747</v>
      </c>
      <c r="F1297" s="9">
        <v>3.0</v>
      </c>
      <c r="G1297" s="19">
        <v>3731.6</v>
      </c>
      <c r="H1297" s="9" t="s">
        <v>4723</v>
      </c>
      <c r="I1297" s="9" t="s">
        <v>4723</v>
      </c>
      <c r="J1297" s="9" t="s">
        <v>4743</v>
      </c>
      <c r="K1297" s="20">
        <f t="shared" si="2"/>
        <v>1986</v>
      </c>
      <c r="L1297" s="9" t="str">
        <f t="shared" si="3"/>
        <v>tier - 2</v>
      </c>
      <c r="M1297" s="9" t="str">
        <f t="shared" si="4"/>
        <v>tier - 2</v>
      </c>
      <c r="N1297" s="9" t="str">
        <f t="shared" si="5"/>
        <v>R1013</v>
      </c>
      <c r="O1297" s="17">
        <f t="shared" si="6"/>
        <v>36</v>
      </c>
      <c r="P1297" s="18">
        <v>31747.0</v>
      </c>
    </row>
    <row r="1298" ht="15.75" customHeight="1">
      <c r="A1298" s="9" t="s">
        <v>3871</v>
      </c>
      <c r="B1298" s="17">
        <v>1994.0</v>
      </c>
      <c r="C1298" s="9" t="s">
        <v>4716</v>
      </c>
      <c r="D1298" s="9">
        <v>22.0</v>
      </c>
      <c r="E1298" s="18">
        <f t="shared" si="1"/>
        <v>34568</v>
      </c>
      <c r="F1298" s="9">
        <v>0.0</v>
      </c>
      <c r="G1298" s="19">
        <v>3732.63</v>
      </c>
      <c r="H1298" s="9" t="s">
        <v>4723</v>
      </c>
      <c r="I1298" s="9" t="s">
        <v>4717</v>
      </c>
      <c r="J1298" s="9" t="s">
        <v>4731</v>
      </c>
      <c r="K1298" s="20">
        <f t="shared" si="2"/>
        <v>1994</v>
      </c>
      <c r="L1298" s="9" t="str">
        <f t="shared" si="3"/>
        <v>tier - 2</v>
      </c>
      <c r="M1298" s="9" t="str">
        <f t="shared" si="4"/>
        <v>tier - 3</v>
      </c>
      <c r="N1298" s="9" t="str">
        <f t="shared" si="5"/>
        <v>R1024</v>
      </c>
      <c r="O1298" s="17">
        <f t="shared" si="6"/>
        <v>28</v>
      </c>
      <c r="P1298" s="18">
        <v>34568.0</v>
      </c>
    </row>
    <row r="1299" ht="15.75" customHeight="1">
      <c r="A1299" s="9" t="s">
        <v>3869</v>
      </c>
      <c r="B1299" s="17">
        <v>1993.0</v>
      </c>
      <c r="C1299" s="9" t="s">
        <v>4730</v>
      </c>
      <c r="D1299" s="9">
        <v>22.0</v>
      </c>
      <c r="E1299" s="18">
        <f t="shared" si="1"/>
        <v>34142</v>
      </c>
      <c r="F1299" s="9">
        <v>0.0</v>
      </c>
      <c r="G1299" s="19">
        <v>3736.46</v>
      </c>
      <c r="H1299" s="9" t="s">
        <v>4723</v>
      </c>
      <c r="I1299" s="9" t="s">
        <v>4723</v>
      </c>
      <c r="J1299" s="9" t="s">
        <v>4733</v>
      </c>
      <c r="K1299" s="20">
        <f t="shared" si="2"/>
        <v>1993</v>
      </c>
      <c r="L1299" s="9" t="str">
        <f t="shared" si="3"/>
        <v>tier - 2</v>
      </c>
      <c r="M1299" s="9" t="str">
        <f t="shared" si="4"/>
        <v>tier - 2</v>
      </c>
      <c r="N1299" s="9" t="str">
        <f t="shared" si="5"/>
        <v>R1012</v>
      </c>
      <c r="O1299" s="17">
        <f t="shared" si="6"/>
        <v>29</v>
      </c>
      <c r="P1299" s="18">
        <v>34142.0</v>
      </c>
    </row>
    <row r="1300" ht="15.75" customHeight="1">
      <c r="A1300" s="9" t="s">
        <v>3867</v>
      </c>
      <c r="B1300" s="17">
        <v>1986.0</v>
      </c>
      <c r="C1300" s="9" t="s">
        <v>4738</v>
      </c>
      <c r="D1300" s="9">
        <v>9.0</v>
      </c>
      <c r="E1300" s="18">
        <f t="shared" si="1"/>
        <v>31664</v>
      </c>
      <c r="F1300" s="9">
        <v>3.0</v>
      </c>
      <c r="G1300" s="19">
        <v>3748.56</v>
      </c>
      <c r="H1300" s="9" t="s">
        <v>4723</v>
      </c>
      <c r="I1300" s="9" t="s">
        <v>4723</v>
      </c>
      <c r="J1300" s="9" t="s">
        <v>4743</v>
      </c>
      <c r="K1300" s="20">
        <f t="shared" si="2"/>
        <v>1986</v>
      </c>
      <c r="L1300" s="9" t="str">
        <f t="shared" si="3"/>
        <v>tier - 2</v>
      </c>
      <c r="M1300" s="9" t="str">
        <f t="shared" si="4"/>
        <v>tier - 2</v>
      </c>
      <c r="N1300" s="9" t="str">
        <f t="shared" si="5"/>
        <v>R1013</v>
      </c>
      <c r="O1300" s="17">
        <f t="shared" si="6"/>
        <v>36</v>
      </c>
      <c r="P1300" s="18">
        <v>31664.0</v>
      </c>
    </row>
    <row r="1301" ht="15.75" customHeight="1">
      <c r="A1301" s="9" t="s">
        <v>3865</v>
      </c>
      <c r="B1301" s="17">
        <v>1991.0</v>
      </c>
      <c r="C1301" s="9" t="s">
        <v>4720</v>
      </c>
      <c r="D1301" s="9">
        <v>28.0</v>
      </c>
      <c r="E1301" s="18">
        <f t="shared" si="1"/>
        <v>33539</v>
      </c>
      <c r="F1301" s="9">
        <v>0.0</v>
      </c>
      <c r="G1301" s="19">
        <v>3756.62</v>
      </c>
      <c r="H1301" s="9" t="s">
        <v>4723</v>
      </c>
      <c r="I1301" s="9" t="s">
        <v>4723</v>
      </c>
      <c r="J1301" s="9" t="s">
        <v>4743</v>
      </c>
      <c r="K1301" s="20">
        <f t="shared" si="2"/>
        <v>1991</v>
      </c>
      <c r="L1301" s="9" t="str">
        <f t="shared" si="3"/>
        <v>tier - 2</v>
      </c>
      <c r="M1301" s="9" t="str">
        <f t="shared" si="4"/>
        <v>tier - 2</v>
      </c>
      <c r="N1301" s="9" t="str">
        <f t="shared" si="5"/>
        <v>R1013</v>
      </c>
      <c r="O1301" s="17">
        <f t="shared" si="6"/>
        <v>31</v>
      </c>
      <c r="P1301" s="18">
        <v>33539.0</v>
      </c>
    </row>
    <row r="1302" ht="15.75" customHeight="1">
      <c r="A1302" s="9" t="s">
        <v>3863</v>
      </c>
      <c r="B1302" s="17">
        <v>1991.0</v>
      </c>
      <c r="C1302" s="9" t="s">
        <v>4716</v>
      </c>
      <c r="D1302" s="9">
        <v>25.0</v>
      </c>
      <c r="E1302" s="18">
        <f t="shared" si="1"/>
        <v>33475</v>
      </c>
      <c r="F1302" s="9">
        <v>0.0</v>
      </c>
      <c r="G1302" s="19">
        <v>3757.84</v>
      </c>
      <c r="H1302" s="9" t="s">
        <v>4723</v>
      </c>
      <c r="I1302" s="9" t="s">
        <v>4718</v>
      </c>
      <c r="J1302" s="9" t="s">
        <v>4743</v>
      </c>
      <c r="K1302" s="20">
        <f t="shared" si="2"/>
        <v>1991</v>
      </c>
      <c r="L1302" s="9" t="str">
        <f t="shared" si="3"/>
        <v>tier - 2</v>
      </c>
      <c r="M1302" s="9" t="str">
        <f t="shared" si="4"/>
        <v>tier - 1</v>
      </c>
      <c r="N1302" s="9" t="str">
        <f t="shared" si="5"/>
        <v>R1013</v>
      </c>
      <c r="O1302" s="17">
        <f t="shared" si="6"/>
        <v>31</v>
      </c>
      <c r="P1302" s="18">
        <v>33475.0</v>
      </c>
    </row>
    <row r="1303" ht="15.75" customHeight="1">
      <c r="A1303" s="9" t="s">
        <v>3861</v>
      </c>
      <c r="B1303" s="17">
        <v>1991.0</v>
      </c>
      <c r="C1303" s="9" t="s">
        <v>4720</v>
      </c>
      <c r="D1303" s="9">
        <v>24.0</v>
      </c>
      <c r="E1303" s="18">
        <f t="shared" si="1"/>
        <v>33535</v>
      </c>
      <c r="F1303" s="9">
        <v>0.0</v>
      </c>
      <c r="G1303" s="19">
        <v>3761.29</v>
      </c>
      <c r="H1303" s="9" t="s">
        <v>4723</v>
      </c>
      <c r="I1303" s="9" t="s">
        <v>4717</v>
      </c>
      <c r="J1303" s="9" t="s">
        <v>4719</v>
      </c>
      <c r="K1303" s="20">
        <f t="shared" si="2"/>
        <v>1991</v>
      </c>
      <c r="L1303" s="9" t="str">
        <f t="shared" si="3"/>
        <v>tier - 2</v>
      </c>
      <c r="M1303" s="9" t="str">
        <f t="shared" si="4"/>
        <v>tier - 3</v>
      </c>
      <c r="N1303" s="9" t="str">
        <f t="shared" si="5"/>
        <v>R1011</v>
      </c>
      <c r="O1303" s="17">
        <f t="shared" si="6"/>
        <v>31</v>
      </c>
      <c r="P1303" s="18">
        <v>33535.0</v>
      </c>
    </row>
    <row r="1304" ht="15.75" customHeight="1">
      <c r="A1304" s="9" t="s">
        <v>387</v>
      </c>
      <c r="B1304" s="17">
        <v>1992.0</v>
      </c>
      <c r="C1304" s="9" t="s">
        <v>4730</v>
      </c>
      <c r="D1304" s="9">
        <v>16.0</v>
      </c>
      <c r="E1304" s="18">
        <f t="shared" si="1"/>
        <v>33771</v>
      </c>
      <c r="F1304" s="9">
        <v>0.0</v>
      </c>
      <c r="G1304" s="19">
        <v>36314.05</v>
      </c>
      <c r="H1304" s="9" t="s">
        <v>4723</v>
      </c>
      <c r="I1304" s="9" t="s">
        <v>4723</v>
      </c>
      <c r="J1304" s="9" t="s">
        <v>4719</v>
      </c>
      <c r="K1304" s="20">
        <f t="shared" si="2"/>
        <v>1992</v>
      </c>
      <c r="L1304" s="9" t="str">
        <f t="shared" si="3"/>
        <v>tier - 2</v>
      </c>
      <c r="M1304" s="9" t="str">
        <f t="shared" si="4"/>
        <v>tier - 2</v>
      </c>
      <c r="N1304" s="9" t="str">
        <f t="shared" si="5"/>
        <v>R1011</v>
      </c>
      <c r="O1304" s="17">
        <f t="shared" si="6"/>
        <v>30</v>
      </c>
      <c r="P1304" s="18">
        <v>33771.0</v>
      </c>
    </row>
    <row r="1305" ht="15.75" customHeight="1">
      <c r="A1305" s="9" t="s">
        <v>3859</v>
      </c>
      <c r="B1305" s="17">
        <v>1994.0</v>
      </c>
      <c r="C1305" s="9" t="s">
        <v>4735</v>
      </c>
      <c r="D1305" s="9">
        <v>21.0</v>
      </c>
      <c r="E1305" s="18">
        <f t="shared" si="1"/>
        <v>34659</v>
      </c>
      <c r="F1305" s="9">
        <v>1.0</v>
      </c>
      <c r="G1305" s="19">
        <v>3766.88</v>
      </c>
      <c r="H1305" s="9" t="s">
        <v>4723</v>
      </c>
      <c r="I1305" s="9" t="s">
        <v>4718</v>
      </c>
      <c r="J1305" s="9" t="s">
        <v>4743</v>
      </c>
      <c r="K1305" s="20">
        <f t="shared" si="2"/>
        <v>1994</v>
      </c>
      <c r="L1305" s="9" t="str">
        <f t="shared" si="3"/>
        <v>tier - 2</v>
      </c>
      <c r="M1305" s="9" t="str">
        <f t="shared" si="4"/>
        <v>tier - 1</v>
      </c>
      <c r="N1305" s="9" t="str">
        <f t="shared" si="5"/>
        <v>R1013</v>
      </c>
      <c r="O1305" s="17">
        <f t="shared" si="6"/>
        <v>28</v>
      </c>
      <c r="P1305" s="18">
        <v>34659.0</v>
      </c>
    </row>
    <row r="1306" ht="15.75" customHeight="1">
      <c r="A1306" s="9" t="s">
        <v>3857</v>
      </c>
      <c r="B1306" s="17">
        <v>1987.0</v>
      </c>
      <c r="C1306" s="9" t="s">
        <v>4720</v>
      </c>
      <c r="D1306" s="9">
        <v>24.0</v>
      </c>
      <c r="E1306" s="18">
        <f t="shared" si="1"/>
        <v>32074</v>
      </c>
      <c r="F1306" s="9">
        <v>3.0</v>
      </c>
      <c r="G1306" s="19">
        <v>3773.23</v>
      </c>
      <c r="H1306" s="9" t="s">
        <v>4723</v>
      </c>
      <c r="I1306" s="9" t="s">
        <v>4717</v>
      </c>
      <c r="J1306" s="9" t="s">
        <v>4743</v>
      </c>
      <c r="K1306" s="20">
        <f t="shared" si="2"/>
        <v>1987</v>
      </c>
      <c r="L1306" s="9" t="str">
        <f t="shared" si="3"/>
        <v>tier - 2</v>
      </c>
      <c r="M1306" s="9" t="str">
        <f t="shared" si="4"/>
        <v>tier - 3</v>
      </c>
      <c r="N1306" s="9" t="str">
        <f t="shared" si="5"/>
        <v>R1013</v>
      </c>
      <c r="O1306" s="17">
        <f t="shared" si="6"/>
        <v>35</v>
      </c>
      <c r="P1306" s="18">
        <v>32074.0</v>
      </c>
    </row>
    <row r="1307" ht="15.75" customHeight="1">
      <c r="A1307" s="9" t="s">
        <v>3855</v>
      </c>
      <c r="B1307" s="17">
        <v>1981.0</v>
      </c>
      <c r="C1307" s="9" t="s">
        <v>4725</v>
      </c>
      <c r="D1307" s="9">
        <v>13.0</v>
      </c>
      <c r="E1307" s="18">
        <f t="shared" si="1"/>
        <v>29933</v>
      </c>
      <c r="F1307" s="9">
        <v>1.0</v>
      </c>
      <c r="G1307" s="19">
        <v>3785.77</v>
      </c>
      <c r="H1307" s="9" t="s">
        <v>4723</v>
      </c>
      <c r="I1307" s="9" t="s">
        <v>4718</v>
      </c>
      <c r="J1307" s="9" t="s">
        <v>4743</v>
      </c>
      <c r="K1307" s="20">
        <f t="shared" si="2"/>
        <v>1981</v>
      </c>
      <c r="L1307" s="9" t="str">
        <f t="shared" si="3"/>
        <v>tier - 2</v>
      </c>
      <c r="M1307" s="9" t="str">
        <f t="shared" si="4"/>
        <v>tier - 1</v>
      </c>
      <c r="N1307" s="9" t="str">
        <f t="shared" si="5"/>
        <v>R1013</v>
      </c>
      <c r="O1307" s="17">
        <f t="shared" si="6"/>
        <v>41</v>
      </c>
      <c r="P1307" s="18">
        <v>29933.0</v>
      </c>
    </row>
    <row r="1308" ht="15.75" customHeight="1">
      <c r="A1308" s="9" t="s">
        <v>3853</v>
      </c>
      <c r="B1308" s="17">
        <v>1988.0</v>
      </c>
      <c r="C1308" s="9" t="s">
        <v>4716</v>
      </c>
      <c r="D1308" s="9">
        <v>28.0</v>
      </c>
      <c r="E1308" s="18">
        <f t="shared" si="1"/>
        <v>32383</v>
      </c>
      <c r="F1308" s="9">
        <v>3.0</v>
      </c>
      <c r="G1308" s="19">
        <v>3793.55</v>
      </c>
      <c r="H1308" s="9" t="s">
        <v>4723</v>
      </c>
      <c r="I1308" s="9" t="s">
        <v>4717</v>
      </c>
      <c r="J1308" s="9" t="s">
        <v>4743</v>
      </c>
      <c r="K1308" s="20">
        <f t="shared" si="2"/>
        <v>1988</v>
      </c>
      <c r="L1308" s="9" t="str">
        <f t="shared" si="3"/>
        <v>tier - 2</v>
      </c>
      <c r="M1308" s="9" t="str">
        <f t="shared" si="4"/>
        <v>tier - 3</v>
      </c>
      <c r="N1308" s="9" t="str">
        <f t="shared" si="5"/>
        <v>R1013</v>
      </c>
      <c r="O1308" s="17">
        <f t="shared" si="6"/>
        <v>34</v>
      </c>
      <c r="P1308" s="18">
        <v>32383.0</v>
      </c>
    </row>
    <row r="1309" ht="15.75" customHeight="1">
      <c r="A1309" s="9" t="s">
        <v>3851</v>
      </c>
      <c r="B1309" s="17">
        <v>1999.0</v>
      </c>
      <c r="C1309" s="9" t="s">
        <v>4730</v>
      </c>
      <c r="D1309" s="9">
        <v>24.0</v>
      </c>
      <c r="E1309" s="18">
        <f t="shared" si="1"/>
        <v>36335</v>
      </c>
      <c r="F1309" s="9">
        <v>0.0</v>
      </c>
      <c r="G1309" s="19">
        <v>3796.36</v>
      </c>
      <c r="H1309" s="9" t="s">
        <v>4723</v>
      </c>
      <c r="I1309" s="9" t="s">
        <v>4717</v>
      </c>
      <c r="J1309" s="9" t="s">
        <v>4733</v>
      </c>
      <c r="K1309" s="20">
        <f t="shared" si="2"/>
        <v>1999</v>
      </c>
      <c r="L1309" s="9" t="str">
        <f t="shared" si="3"/>
        <v>tier - 2</v>
      </c>
      <c r="M1309" s="9" t="str">
        <f t="shared" si="4"/>
        <v>tier - 3</v>
      </c>
      <c r="N1309" s="9" t="str">
        <f t="shared" si="5"/>
        <v>R1012</v>
      </c>
      <c r="O1309" s="17">
        <f t="shared" si="6"/>
        <v>23</v>
      </c>
      <c r="P1309" s="18">
        <v>36335.0</v>
      </c>
    </row>
    <row r="1310" ht="15.75" customHeight="1">
      <c r="A1310" s="9" t="s">
        <v>3849</v>
      </c>
      <c r="B1310" s="17">
        <v>1981.0</v>
      </c>
      <c r="C1310" s="9" t="s">
        <v>4738</v>
      </c>
      <c r="D1310" s="9">
        <v>29.0</v>
      </c>
      <c r="E1310" s="18">
        <f t="shared" si="1"/>
        <v>29858</v>
      </c>
      <c r="F1310" s="9">
        <v>1.0</v>
      </c>
      <c r="G1310" s="19">
        <v>3797.2</v>
      </c>
      <c r="H1310" s="9" t="s">
        <v>4723</v>
      </c>
      <c r="I1310" s="9" t="s">
        <v>4717</v>
      </c>
      <c r="J1310" s="9" t="s">
        <v>4733</v>
      </c>
      <c r="K1310" s="20">
        <f t="shared" si="2"/>
        <v>1981</v>
      </c>
      <c r="L1310" s="9" t="str">
        <f t="shared" si="3"/>
        <v>tier - 2</v>
      </c>
      <c r="M1310" s="9" t="str">
        <f t="shared" si="4"/>
        <v>tier - 3</v>
      </c>
      <c r="N1310" s="9" t="str">
        <f t="shared" si="5"/>
        <v>R1012</v>
      </c>
      <c r="O1310" s="17">
        <f t="shared" si="6"/>
        <v>41</v>
      </c>
      <c r="P1310" s="18">
        <v>29858.0</v>
      </c>
    </row>
    <row r="1311" ht="15.75" customHeight="1">
      <c r="A1311" s="9" t="s">
        <v>3847</v>
      </c>
      <c r="B1311" s="17">
        <v>1994.0</v>
      </c>
      <c r="C1311" s="9" t="s">
        <v>4716</v>
      </c>
      <c r="D1311" s="9">
        <v>12.0</v>
      </c>
      <c r="E1311" s="18">
        <f t="shared" si="1"/>
        <v>34558</v>
      </c>
      <c r="F1311" s="9">
        <v>2.0</v>
      </c>
      <c r="G1311" s="19">
        <v>3847.67</v>
      </c>
      <c r="H1311" s="9" t="s">
        <v>4717</v>
      </c>
      <c r="I1311" s="9" t="s">
        <v>4723</v>
      </c>
      <c r="J1311" s="9" t="s">
        <v>4719</v>
      </c>
      <c r="K1311" s="20">
        <f t="shared" si="2"/>
        <v>1994</v>
      </c>
      <c r="L1311" s="9" t="str">
        <f t="shared" si="3"/>
        <v>tier - 3</v>
      </c>
      <c r="M1311" s="9" t="str">
        <f t="shared" si="4"/>
        <v>tier - 2</v>
      </c>
      <c r="N1311" s="9" t="str">
        <f t="shared" si="5"/>
        <v>R1011</v>
      </c>
      <c r="O1311" s="17">
        <f t="shared" si="6"/>
        <v>28</v>
      </c>
      <c r="P1311" s="18">
        <v>34558.0</v>
      </c>
    </row>
    <row r="1312" ht="15.75" customHeight="1">
      <c r="A1312" s="9" t="s">
        <v>3845</v>
      </c>
      <c r="B1312" s="17">
        <v>1991.0</v>
      </c>
      <c r="C1312" s="9" t="s">
        <v>4716</v>
      </c>
      <c r="D1312" s="9">
        <v>19.0</v>
      </c>
      <c r="E1312" s="18">
        <f t="shared" si="1"/>
        <v>33469</v>
      </c>
      <c r="F1312" s="9">
        <v>0.0</v>
      </c>
      <c r="G1312" s="19">
        <v>3857.76</v>
      </c>
      <c r="H1312" s="9" t="s">
        <v>4717</v>
      </c>
      <c r="I1312" s="9" t="s">
        <v>4718</v>
      </c>
      <c r="J1312" s="9" t="s">
        <v>4754</v>
      </c>
      <c r="K1312" s="20">
        <f t="shared" si="2"/>
        <v>1991</v>
      </c>
      <c r="L1312" s="9" t="str">
        <f t="shared" si="3"/>
        <v>tier - 3</v>
      </c>
      <c r="M1312" s="9" t="str">
        <f t="shared" si="4"/>
        <v>tier - 1</v>
      </c>
      <c r="N1312" s="9" t="str">
        <f t="shared" si="5"/>
        <v>R1016</v>
      </c>
      <c r="O1312" s="17">
        <f t="shared" si="6"/>
        <v>31</v>
      </c>
      <c r="P1312" s="18">
        <v>33469.0</v>
      </c>
    </row>
    <row r="1313" ht="15.75" customHeight="1">
      <c r="A1313" s="9" t="s">
        <v>3843</v>
      </c>
      <c r="B1313" s="17">
        <v>2001.0</v>
      </c>
      <c r="C1313" s="9" t="s">
        <v>4730</v>
      </c>
      <c r="D1313" s="9">
        <v>6.0</v>
      </c>
      <c r="E1313" s="18">
        <f t="shared" si="1"/>
        <v>37048</v>
      </c>
      <c r="F1313" s="9">
        <v>0.0</v>
      </c>
      <c r="G1313" s="19">
        <v>3858.51</v>
      </c>
      <c r="H1313" s="9" t="s">
        <v>4723</v>
      </c>
      <c r="I1313" s="9" t="s">
        <v>4717</v>
      </c>
      <c r="J1313" s="9" t="s">
        <v>4726</v>
      </c>
      <c r="K1313" s="20">
        <f t="shared" si="2"/>
        <v>2001</v>
      </c>
      <c r="L1313" s="9" t="str">
        <f t="shared" si="3"/>
        <v>tier - 2</v>
      </c>
      <c r="M1313" s="9" t="str">
        <f t="shared" si="4"/>
        <v>tier - 3</v>
      </c>
      <c r="N1313" s="9" t="str">
        <f t="shared" si="5"/>
        <v>R1025</v>
      </c>
      <c r="O1313" s="17">
        <f t="shared" si="6"/>
        <v>22</v>
      </c>
      <c r="P1313" s="18">
        <v>37048.0</v>
      </c>
    </row>
    <row r="1314" ht="15.75" customHeight="1">
      <c r="A1314" s="9" t="s">
        <v>3841</v>
      </c>
      <c r="B1314" s="17">
        <v>2001.0</v>
      </c>
      <c r="C1314" s="9" t="s">
        <v>4720</v>
      </c>
      <c r="D1314" s="9">
        <v>18.0</v>
      </c>
      <c r="E1314" s="18">
        <f t="shared" si="1"/>
        <v>37182</v>
      </c>
      <c r="F1314" s="9">
        <v>3.0</v>
      </c>
      <c r="G1314" s="19">
        <v>3861.21</v>
      </c>
      <c r="H1314" s="9" t="s">
        <v>4723</v>
      </c>
      <c r="I1314" s="9" t="s">
        <v>4723</v>
      </c>
      <c r="J1314" s="9" t="s">
        <v>4754</v>
      </c>
      <c r="K1314" s="20">
        <f t="shared" si="2"/>
        <v>2001</v>
      </c>
      <c r="L1314" s="9" t="str">
        <f t="shared" si="3"/>
        <v>tier - 2</v>
      </c>
      <c r="M1314" s="9" t="str">
        <f t="shared" si="4"/>
        <v>tier - 2</v>
      </c>
      <c r="N1314" s="9" t="str">
        <f t="shared" si="5"/>
        <v>R1016</v>
      </c>
      <c r="O1314" s="17">
        <f t="shared" si="6"/>
        <v>21</v>
      </c>
      <c r="P1314" s="18">
        <v>37182.0</v>
      </c>
    </row>
    <row r="1315" ht="15.75" customHeight="1">
      <c r="A1315" s="9" t="s">
        <v>385</v>
      </c>
      <c r="B1315" s="17">
        <v>1967.0</v>
      </c>
      <c r="C1315" s="9" t="s">
        <v>4720</v>
      </c>
      <c r="D1315" s="9">
        <v>18.0</v>
      </c>
      <c r="E1315" s="18">
        <f t="shared" si="1"/>
        <v>24763</v>
      </c>
      <c r="F1315" s="9">
        <v>0.0</v>
      </c>
      <c r="G1315" s="19">
        <v>36332.45</v>
      </c>
      <c r="H1315" s="9" t="s">
        <v>4718</v>
      </c>
      <c r="I1315" s="9" t="s">
        <v>4717</v>
      </c>
      <c r="J1315" s="9" t="s">
        <v>4719</v>
      </c>
      <c r="K1315" s="20">
        <f t="shared" si="2"/>
        <v>1967</v>
      </c>
      <c r="L1315" s="9" t="str">
        <f t="shared" si="3"/>
        <v>tier - 1</v>
      </c>
      <c r="M1315" s="9" t="str">
        <f t="shared" si="4"/>
        <v>tier - 3</v>
      </c>
      <c r="N1315" s="9" t="str">
        <f t="shared" si="5"/>
        <v>R1011</v>
      </c>
      <c r="O1315" s="17">
        <f t="shared" si="6"/>
        <v>55</v>
      </c>
      <c r="P1315" s="18">
        <v>24763.0</v>
      </c>
    </row>
    <row r="1316" ht="15.75" customHeight="1">
      <c r="A1316" s="9" t="s">
        <v>3839</v>
      </c>
      <c r="B1316" s="17">
        <v>1990.0</v>
      </c>
      <c r="C1316" s="9" t="s">
        <v>4730</v>
      </c>
      <c r="D1316" s="9">
        <v>24.0</v>
      </c>
      <c r="E1316" s="18">
        <f t="shared" si="1"/>
        <v>33048</v>
      </c>
      <c r="F1316" s="9">
        <v>0.0</v>
      </c>
      <c r="G1316" s="19">
        <v>3866.86</v>
      </c>
      <c r="H1316" s="9" t="s">
        <v>4718</v>
      </c>
      <c r="I1316" s="9" t="s">
        <v>4718</v>
      </c>
      <c r="J1316" s="9" t="s">
        <v>4733</v>
      </c>
      <c r="K1316" s="20">
        <f t="shared" si="2"/>
        <v>1990</v>
      </c>
      <c r="L1316" s="9" t="str">
        <f t="shared" si="3"/>
        <v>tier - 1</v>
      </c>
      <c r="M1316" s="9" t="str">
        <f t="shared" si="4"/>
        <v>tier - 1</v>
      </c>
      <c r="N1316" s="9" t="str">
        <f t="shared" si="5"/>
        <v>R1012</v>
      </c>
      <c r="O1316" s="17">
        <f t="shared" si="6"/>
        <v>32</v>
      </c>
      <c r="P1316" s="18">
        <v>33048.0</v>
      </c>
    </row>
    <row r="1317" ht="15.75" customHeight="1">
      <c r="A1317" s="9" t="s">
        <v>3837</v>
      </c>
      <c r="B1317" s="17">
        <v>1991.0</v>
      </c>
      <c r="C1317" s="9" t="s">
        <v>4741</v>
      </c>
      <c r="D1317" s="9">
        <v>25.0</v>
      </c>
      <c r="E1317" s="18">
        <f t="shared" si="1"/>
        <v>33444</v>
      </c>
      <c r="F1317" s="9">
        <v>1.0</v>
      </c>
      <c r="G1317" s="19">
        <v>3875.73</v>
      </c>
      <c r="H1317" s="9" t="s">
        <v>4723</v>
      </c>
      <c r="I1317" s="9" t="s">
        <v>4717</v>
      </c>
      <c r="J1317" s="9" t="s">
        <v>4743</v>
      </c>
      <c r="K1317" s="20">
        <f t="shared" si="2"/>
        <v>1991</v>
      </c>
      <c r="L1317" s="9" t="str">
        <f t="shared" si="3"/>
        <v>tier - 2</v>
      </c>
      <c r="M1317" s="9" t="str">
        <f t="shared" si="4"/>
        <v>tier - 3</v>
      </c>
      <c r="N1317" s="9" t="str">
        <f t="shared" si="5"/>
        <v>R1013</v>
      </c>
      <c r="O1317" s="17">
        <f t="shared" si="6"/>
        <v>31</v>
      </c>
      <c r="P1317" s="18">
        <v>33444.0</v>
      </c>
    </row>
    <row r="1318" ht="15.75" customHeight="1">
      <c r="A1318" s="9" t="s">
        <v>3835</v>
      </c>
      <c r="B1318" s="17">
        <v>1996.0</v>
      </c>
      <c r="C1318" s="9" t="s">
        <v>4720</v>
      </c>
      <c r="D1318" s="9">
        <v>23.0</v>
      </c>
      <c r="E1318" s="18">
        <f t="shared" si="1"/>
        <v>35361</v>
      </c>
      <c r="F1318" s="9">
        <v>2.0</v>
      </c>
      <c r="G1318" s="19">
        <v>3877.3</v>
      </c>
      <c r="H1318" s="9" t="s">
        <v>4718</v>
      </c>
      <c r="I1318" s="9" t="s">
        <v>4717</v>
      </c>
      <c r="J1318" s="9" t="s">
        <v>4733</v>
      </c>
      <c r="K1318" s="20">
        <f t="shared" si="2"/>
        <v>1996</v>
      </c>
      <c r="L1318" s="9" t="str">
        <f t="shared" si="3"/>
        <v>tier - 1</v>
      </c>
      <c r="M1318" s="9" t="str">
        <f t="shared" si="4"/>
        <v>tier - 3</v>
      </c>
      <c r="N1318" s="9" t="str">
        <f t="shared" si="5"/>
        <v>R1012</v>
      </c>
      <c r="O1318" s="17">
        <f t="shared" si="6"/>
        <v>26</v>
      </c>
      <c r="P1318" s="18">
        <v>35361.0</v>
      </c>
    </row>
    <row r="1319" ht="15.75" customHeight="1">
      <c r="A1319" s="9" t="s">
        <v>3833</v>
      </c>
      <c r="B1319" s="17">
        <v>2004.0</v>
      </c>
      <c r="C1319" s="9" t="s">
        <v>4741</v>
      </c>
      <c r="D1319" s="9">
        <v>13.0</v>
      </c>
      <c r="E1319" s="18">
        <f t="shared" si="1"/>
        <v>38181</v>
      </c>
      <c r="F1319" s="9">
        <v>0.0</v>
      </c>
      <c r="G1319" s="19">
        <v>3889.2</v>
      </c>
      <c r="H1319" s="9" t="s">
        <v>4723</v>
      </c>
      <c r="I1319" s="9" t="s">
        <v>4723</v>
      </c>
      <c r="J1319" s="9" t="s">
        <v>4733</v>
      </c>
      <c r="K1319" s="20">
        <f t="shared" si="2"/>
        <v>2004</v>
      </c>
      <c r="L1319" s="9" t="str">
        <f t="shared" si="3"/>
        <v>tier - 2</v>
      </c>
      <c r="M1319" s="9" t="str">
        <f t="shared" si="4"/>
        <v>tier - 2</v>
      </c>
      <c r="N1319" s="9" t="str">
        <f t="shared" si="5"/>
        <v>R1012</v>
      </c>
      <c r="O1319" s="17">
        <f t="shared" si="6"/>
        <v>18</v>
      </c>
      <c r="P1319" s="18">
        <v>38181.0</v>
      </c>
    </row>
    <row r="1320" ht="15.75" customHeight="1">
      <c r="A1320" s="9" t="s">
        <v>3831</v>
      </c>
      <c r="B1320" s="17">
        <v>1993.0</v>
      </c>
      <c r="C1320" s="9" t="s">
        <v>4738</v>
      </c>
      <c r="D1320" s="9">
        <v>14.0</v>
      </c>
      <c r="E1320" s="18">
        <f t="shared" si="1"/>
        <v>34226</v>
      </c>
      <c r="F1320" s="9">
        <v>0.0</v>
      </c>
      <c r="G1320" s="19">
        <v>3898.35</v>
      </c>
      <c r="H1320" s="9" t="s">
        <v>4723</v>
      </c>
      <c r="I1320" s="9" t="s">
        <v>4723</v>
      </c>
      <c r="J1320" s="9" t="s">
        <v>4733</v>
      </c>
      <c r="K1320" s="20">
        <f t="shared" si="2"/>
        <v>1993</v>
      </c>
      <c r="L1320" s="9" t="str">
        <f t="shared" si="3"/>
        <v>tier - 2</v>
      </c>
      <c r="M1320" s="9" t="str">
        <f t="shared" si="4"/>
        <v>tier - 2</v>
      </c>
      <c r="N1320" s="9" t="str">
        <f t="shared" si="5"/>
        <v>R1012</v>
      </c>
      <c r="O1320" s="17">
        <f t="shared" si="6"/>
        <v>29</v>
      </c>
      <c r="P1320" s="18">
        <v>34226.0</v>
      </c>
    </row>
    <row r="1321" ht="15.75" customHeight="1">
      <c r="A1321" s="9" t="s">
        <v>3829</v>
      </c>
      <c r="B1321" s="17">
        <v>1981.0</v>
      </c>
      <c r="C1321" s="9" t="s">
        <v>4716</v>
      </c>
      <c r="D1321" s="9">
        <v>27.0</v>
      </c>
      <c r="E1321" s="18">
        <f t="shared" si="1"/>
        <v>29825</v>
      </c>
      <c r="F1321" s="9">
        <v>1.0</v>
      </c>
      <c r="G1321" s="19">
        <v>3902.07</v>
      </c>
      <c r="H1321" s="9" t="s">
        <v>4723</v>
      </c>
      <c r="I1321" s="9" t="s">
        <v>4723</v>
      </c>
      <c r="J1321" s="9" t="s">
        <v>4743</v>
      </c>
      <c r="K1321" s="20">
        <f t="shared" si="2"/>
        <v>1981</v>
      </c>
      <c r="L1321" s="9" t="str">
        <f t="shared" si="3"/>
        <v>tier - 2</v>
      </c>
      <c r="M1321" s="9" t="str">
        <f t="shared" si="4"/>
        <v>tier - 2</v>
      </c>
      <c r="N1321" s="9" t="str">
        <f t="shared" si="5"/>
        <v>R1013</v>
      </c>
      <c r="O1321" s="17">
        <f t="shared" si="6"/>
        <v>41</v>
      </c>
      <c r="P1321" s="18">
        <v>29825.0</v>
      </c>
    </row>
    <row r="1322" ht="15.75" customHeight="1">
      <c r="A1322" s="9" t="s">
        <v>3827</v>
      </c>
      <c r="B1322" s="17">
        <v>1997.0</v>
      </c>
      <c r="C1322" s="9" t="s">
        <v>4735</v>
      </c>
      <c r="D1322" s="9">
        <v>24.0</v>
      </c>
      <c r="E1322" s="18">
        <f t="shared" si="1"/>
        <v>35758</v>
      </c>
      <c r="F1322" s="9">
        <v>3.0</v>
      </c>
      <c r="G1322" s="19">
        <v>3906.13</v>
      </c>
      <c r="H1322" s="9" t="s">
        <v>4717</v>
      </c>
      <c r="I1322" s="9" t="s">
        <v>4717</v>
      </c>
      <c r="J1322" s="9" t="s">
        <v>4719</v>
      </c>
      <c r="K1322" s="20">
        <f t="shared" si="2"/>
        <v>1997</v>
      </c>
      <c r="L1322" s="9" t="str">
        <f t="shared" si="3"/>
        <v>tier - 3</v>
      </c>
      <c r="M1322" s="9" t="str">
        <f t="shared" si="4"/>
        <v>tier - 3</v>
      </c>
      <c r="N1322" s="9" t="str">
        <f t="shared" si="5"/>
        <v>R1011</v>
      </c>
      <c r="O1322" s="17">
        <f t="shared" si="6"/>
        <v>25</v>
      </c>
      <c r="P1322" s="18">
        <v>35758.0</v>
      </c>
    </row>
    <row r="1323" ht="15.75" customHeight="1">
      <c r="A1323" s="9" t="s">
        <v>3825</v>
      </c>
      <c r="B1323" s="17">
        <v>1985.0</v>
      </c>
      <c r="C1323" s="9" t="s">
        <v>4741</v>
      </c>
      <c r="D1323" s="9">
        <v>5.0</v>
      </c>
      <c r="E1323" s="18">
        <f t="shared" si="1"/>
        <v>31233</v>
      </c>
      <c r="F1323" s="9">
        <v>3.0</v>
      </c>
      <c r="G1323" s="19">
        <v>3910.44</v>
      </c>
      <c r="H1323" s="9" t="s">
        <v>4723</v>
      </c>
      <c r="I1323" s="9" t="s">
        <v>4723</v>
      </c>
      <c r="J1323" s="9" t="s">
        <v>4743</v>
      </c>
      <c r="K1323" s="20">
        <f t="shared" si="2"/>
        <v>1985</v>
      </c>
      <c r="L1323" s="9" t="str">
        <f t="shared" si="3"/>
        <v>tier - 2</v>
      </c>
      <c r="M1323" s="9" t="str">
        <f t="shared" si="4"/>
        <v>tier - 2</v>
      </c>
      <c r="N1323" s="9" t="str">
        <f t="shared" si="5"/>
        <v>R1013</v>
      </c>
      <c r="O1323" s="17">
        <f t="shared" si="6"/>
        <v>37</v>
      </c>
      <c r="P1323" s="18">
        <v>31233.0</v>
      </c>
    </row>
    <row r="1324" ht="15.75" customHeight="1">
      <c r="A1324" s="9" t="s">
        <v>3823</v>
      </c>
      <c r="B1324" s="17">
        <v>2000.0</v>
      </c>
      <c r="C1324" s="9" t="s">
        <v>4741</v>
      </c>
      <c r="D1324" s="9">
        <v>10.0</v>
      </c>
      <c r="E1324" s="18">
        <f t="shared" si="1"/>
        <v>36717</v>
      </c>
      <c r="F1324" s="9">
        <v>2.0</v>
      </c>
      <c r="G1324" s="19">
        <v>3925.76</v>
      </c>
      <c r="H1324" s="9" t="s">
        <v>4723</v>
      </c>
      <c r="I1324" s="9" t="s">
        <v>4723</v>
      </c>
      <c r="J1324" s="9" t="s">
        <v>4731</v>
      </c>
      <c r="K1324" s="20">
        <f t="shared" si="2"/>
        <v>2000</v>
      </c>
      <c r="L1324" s="9" t="str">
        <f t="shared" si="3"/>
        <v>tier - 2</v>
      </c>
      <c r="M1324" s="9" t="str">
        <f t="shared" si="4"/>
        <v>tier - 2</v>
      </c>
      <c r="N1324" s="9" t="str">
        <f t="shared" si="5"/>
        <v>R1024</v>
      </c>
      <c r="O1324" s="17">
        <f t="shared" si="6"/>
        <v>22</v>
      </c>
      <c r="P1324" s="18">
        <v>36717.0</v>
      </c>
    </row>
    <row r="1325" ht="15.75" customHeight="1">
      <c r="A1325" s="9" t="s">
        <v>3821</v>
      </c>
      <c r="B1325" s="17">
        <v>2002.0</v>
      </c>
      <c r="C1325" s="9" t="s">
        <v>4730</v>
      </c>
      <c r="D1325" s="9">
        <v>15.0</v>
      </c>
      <c r="E1325" s="18">
        <f t="shared" si="1"/>
        <v>37422</v>
      </c>
      <c r="F1325" s="9">
        <v>0.0</v>
      </c>
      <c r="G1325" s="19">
        <v>3931.51</v>
      </c>
      <c r="H1325" s="9" t="s">
        <v>4723</v>
      </c>
      <c r="I1325" s="9" t="s">
        <v>4717</v>
      </c>
      <c r="J1325" s="9" t="s">
        <v>4719</v>
      </c>
      <c r="K1325" s="20">
        <f t="shared" si="2"/>
        <v>2002</v>
      </c>
      <c r="L1325" s="9" t="str">
        <f t="shared" si="3"/>
        <v>tier - 2</v>
      </c>
      <c r="M1325" s="9" t="str">
        <f t="shared" si="4"/>
        <v>tier - 3</v>
      </c>
      <c r="N1325" s="9" t="str">
        <f t="shared" si="5"/>
        <v>R1011</v>
      </c>
      <c r="O1325" s="17">
        <f t="shared" si="6"/>
        <v>20</v>
      </c>
      <c r="P1325" s="18">
        <v>37422.0</v>
      </c>
    </row>
    <row r="1326" ht="15.75" customHeight="1">
      <c r="A1326" s="9" t="s">
        <v>383</v>
      </c>
      <c r="B1326" s="17">
        <v>1975.0</v>
      </c>
      <c r="C1326" s="9" t="s">
        <v>4730</v>
      </c>
      <c r="D1326" s="9">
        <v>5.0</v>
      </c>
      <c r="E1326" s="18">
        <f t="shared" si="1"/>
        <v>27550</v>
      </c>
      <c r="F1326" s="9">
        <v>1.0</v>
      </c>
      <c r="G1326" s="19">
        <v>36350.71</v>
      </c>
      <c r="H1326" s="9" t="s">
        <v>4718</v>
      </c>
      <c r="I1326" s="9" t="s">
        <v>4723</v>
      </c>
      <c r="J1326" s="9" t="s">
        <v>4719</v>
      </c>
      <c r="K1326" s="20">
        <f t="shared" si="2"/>
        <v>1975</v>
      </c>
      <c r="L1326" s="9" t="str">
        <f t="shared" si="3"/>
        <v>tier - 1</v>
      </c>
      <c r="M1326" s="9" t="str">
        <f t="shared" si="4"/>
        <v>tier - 2</v>
      </c>
      <c r="N1326" s="9" t="str">
        <f t="shared" si="5"/>
        <v>R1011</v>
      </c>
      <c r="O1326" s="17">
        <f t="shared" si="6"/>
        <v>48</v>
      </c>
      <c r="P1326" s="18">
        <v>27550.0</v>
      </c>
    </row>
    <row r="1327" ht="15.75" customHeight="1">
      <c r="A1327" s="9" t="s">
        <v>3819</v>
      </c>
      <c r="B1327" s="17">
        <v>1988.0</v>
      </c>
      <c r="C1327" s="9" t="s">
        <v>4720</v>
      </c>
      <c r="D1327" s="9">
        <v>24.0</v>
      </c>
      <c r="E1327" s="18">
        <f t="shared" si="1"/>
        <v>32440</v>
      </c>
      <c r="F1327" s="9">
        <v>0.0</v>
      </c>
      <c r="G1327" s="19">
        <v>3935.18</v>
      </c>
      <c r="H1327" s="9" t="s">
        <v>4717</v>
      </c>
      <c r="I1327" s="9" t="s">
        <v>4718</v>
      </c>
      <c r="J1327" s="9" t="s">
        <v>4743</v>
      </c>
      <c r="K1327" s="20">
        <f t="shared" si="2"/>
        <v>1988</v>
      </c>
      <c r="L1327" s="9" t="str">
        <f t="shared" si="3"/>
        <v>tier - 3</v>
      </c>
      <c r="M1327" s="9" t="str">
        <f t="shared" si="4"/>
        <v>tier - 1</v>
      </c>
      <c r="N1327" s="9" t="str">
        <f t="shared" si="5"/>
        <v>R1013</v>
      </c>
      <c r="O1327" s="17">
        <f t="shared" si="6"/>
        <v>34</v>
      </c>
      <c r="P1327" s="18">
        <v>32440.0</v>
      </c>
    </row>
    <row r="1328" ht="15.75" customHeight="1">
      <c r="A1328" s="9" t="s">
        <v>3817</v>
      </c>
      <c r="B1328" s="17">
        <v>1993.0</v>
      </c>
      <c r="C1328" s="9" t="s">
        <v>4738</v>
      </c>
      <c r="D1328" s="9">
        <v>29.0</v>
      </c>
      <c r="E1328" s="18">
        <f t="shared" si="1"/>
        <v>34241</v>
      </c>
      <c r="F1328" s="9">
        <v>0.0</v>
      </c>
      <c r="G1328" s="19">
        <v>3943.6</v>
      </c>
      <c r="H1328" s="9" t="s">
        <v>4723</v>
      </c>
      <c r="I1328" s="9" t="s">
        <v>4717</v>
      </c>
      <c r="J1328" s="9" t="s">
        <v>4731</v>
      </c>
      <c r="K1328" s="20">
        <f t="shared" si="2"/>
        <v>1993</v>
      </c>
      <c r="L1328" s="9" t="str">
        <f t="shared" si="3"/>
        <v>tier - 2</v>
      </c>
      <c r="M1328" s="9" t="str">
        <f t="shared" si="4"/>
        <v>tier - 3</v>
      </c>
      <c r="N1328" s="9" t="str">
        <f t="shared" si="5"/>
        <v>R1024</v>
      </c>
      <c r="O1328" s="17">
        <f t="shared" si="6"/>
        <v>29</v>
      </c>
      <c r="P1328" s="18">
        <v>34241.0</v>
      </c>
    </row>
    <row r="1329" ht="15.75" customHeight="1">
      <c r="A1329" s="9" t="s">
        <v>3815</v>
      </c>
      <c r="B1329" s="17">
        <v>1993.0</v>
      </c>
      <c r="C1329" s="9" t="s">
        <v>4735</v>
      </c>
      <c r="D1329" s="9">
        <v>11.0</v>
      </c>
      <c r="E1329" s="18">
        <f t="shared" si="1"/>
        <v>34284</v>
      </c>
      <c r="F1329" s="9">
        <v>1.0</v>
      </c>
      <c r="G1329" s="19">
        <v>3947.41</v>
      </c>
      <c r="H1329" s="9" t="s">
        <v>4723</v>
      </c>
      <c r="I1329" s="9" t="s">
        <v>4723</v>
      </c>
      <c r="J1329" s="9" t="s">
        <v>4743</v>
      </c>
      <c r="K1329" s="20">
        <f t="shared" si="2"/>
        <v>1993</v>
      </c>
      <c r="L1329" s="9" t="str">
        <f t="shared" si="3"/>
        <v>tier - 2</v>
      </c>
      <c r="M1329" s="9" t="str">
        <f t="shared" si="4"/>
        <v>tier - 2</v>
      </c>
      <c r="N1329" s="9" t="str">
        <f t="shared" si="5"/>
        <v>R1013</v>
      </c>
      <c r="O1329" s="17">
        <f t="shared" si="6"/>
        <v>29</v>
      </c>
      <c r="P1329" s="18">
        <v>34284.0</v>
      </c>
    </row>
    <row r="1330" ht="15.75" customHeight="1">
      <c r="A1330" s="9" t="s">
        <v>3813</v>
      </c>
      <c r="B1330" s="17">
        <v>1999.0</v>
      </c>
      <c r="C1330" s="9" t="s">
        <v>4741</v>
      </c>
      <c r="D1330" s="9">
        <v>10.0</v>
      </c>
      <c r="E1330" s="18">
        <f t="shared" si="1"/>
        <v>36351</v>
      </c>
      <c r="F1330" s="9">
        <v>0.0</v>
      </c>
      <c r="G1330" s="19">
        <v>3955.98</v>
      </c>
      <c r="H1330" s="9" t="s">
        <v>4723</v>
      </c>
      <c r="I1330" s="9" t="s">
        <v>4717</v>
      </c>
      <c r="J1330" s="9" t="s">
        <v>4751</v>
      </c>
      <c r="K1330" s="20">
        <f t="shared" si="2"/>
        <v>1999</v>
      </c>
      <c r="L1330" s="9" t="str">
        <f t="shared" si="3"/>
        <v>tier - 2</v>
      </c>
      <c r="M1330" s="9" t="str">
        <f t="shared" si="4"/>
        <v>tier - 3</v>
      </c>
      <c r="N1330" s="9" t="str">
        <f t="shared" si="5"/>
        <v>R1021</v>
      </c>
      <c r="O1330" s="17">
        <f t="shared" si="6"/>
        <v>23</v>
      </c>
      <c r="P1330" s="18">
        <v>36351.0</v>
      </c>
    </row>
    <row r="1331" ht="15.75" customHeight="1">
      <c r="A1331" s="9" t="s">
        <v>3811</v>
      </c>
      <c r="B1331" s="17">
        <v>1995.0</v>
      </c>
      <c r="C1331" s="9" t="s">
        <v>4741</v>
      </c>
      <c r="D1331" s="9">
        <v>11.0</v>
      </c>
      <c r="E1331" s="18">
        <f t="shared" si="1"/>
        <v>34891</v>
      </c>
      <c r="F1331" s="9">
        <v>1.0</v>
      </c>
      <c r="G1331" s="19">
        <v>3956.07</v>
      </c>
      <c r="H1331" s="9" t="s">
        <v>4723</v>
      </c>
      <c r="I1331" s="9" t="s">
        <v>4723</v>
      </c>
      <c r="J1331" s="9" t="s">
        <v>4733</v>
      </c>
      <c r="K1331" s="20">
        <f t="shared" si="2"/>
        <v>1995</v>
      </c>
      <c r="L1331" s="9" t="str">
        <f t="shared" si="3"/>
        <v>tier - 2</v>
      </c>
      <c r="M1331" s="9" t="str">
        <f t="shared" si="4"/>
        <v>tier - 2</v>
      </c>
      <c r="N1331" s="9" t="str">
        <f t="shared" si="5"/>
        <v>R1012</v>
      </c>
      <c r="O1331" s="17">
        <f t="shared" si="6"/>
        <v>27</v>
      </c>
      <c r="P1331" s="18">
        <v>34891.0</v>
      </c>
    </row>
    <row r="1332" ht="15.75" customHeight="1">
      <c r="A1332" s="9" t="s">
        <v>3809</v>
      </c>
      <c r="B1332" s="17">
        <v>1990.0</v>
      </c>
      <c r="C1332" s="9" t="s">
        <v>4741</v>
      </c>
      <c r="D1332" s="9">
        <v>29.0</v>
      </c>
      <c r="E1332" s="18">
        <f t="shared" si="1"/>
        <v>33083</v>
      </c>
      <c r="F1332" s="9">
        <v>0.0</v>
      </c>
      <c r="G1332" s="19">
        <v>3972.92</v>
      </c>
      <c r="H1332" s="9" t="s">
        <v>4723</v>
      </c>
      <c r="I1332" s="9" t="s">
        <v>4717</v>
      </c>
      <c r="J1332" s="9" t="s">
        <v>4743</v>
      </c>
      <c r="K1332" s="20">
        <f t="shared" si="2"/>
        <v>1990</v>
      </c>
      <c r="L1332" s="9" t="str">
        <f t="shared" si="3"/>
        <v>tier - 2</v>
      </c>
      <c r="M1332" s="9" t="str">
        <f t="shared" si="4"/>
        <v>tier - 3</v>
      </c>
      <c r="N1332" s="9" t="str">
        <f t="shared" si="5"/>
        <v>R1013</v>
      </c>
      <c r="O1332" s="17">
        <f t="shared" si="6"/>
        <v>32</v>
      </c>
      <c r="P1332" s="18">
        <v>33083.0</v>
      </c>
    </row>
    <row r="1333" ht="15.75" customHeight="1">
      <c r="A1333" s="9" t="s">
        <v>3807</v>
      </c>
      <c r="B1333" s="17">
        <v>1996.0</v>
      </c>
      <c r="C1333" s="9" t="s">
        <v>4716</v>
      </c>
      <c r="D1333" s="9">
        <v>17.0</v>
      </c>
      <c r="E1333" s="18">
        <f t="shared" si="1"/>
        <v>35294</v>
      </c>
      <c r="F1333" s="9">
        <v>2.0</v>
      </c>
      <c r="G1333" s="19">
        <v>3981.98</v>
      </c>
      <c r="H1333" s="9" t="s">
        <v>4723</v>
      </c>
      <c r="I1333" s="9" t="s">
        <v>4723</v>
      </c>
      <c r="J1333" s="9" t="s">
        <v>4743</v>
      </c>
      <c r="K1333" s="20">
        <f t="shared" si="2"/>
        <v>1996</v>
      </c>
      <c r="L1333" s="9" t="str">
        <f t="shared" si="3"/>
        <v>tier - 2</v>
      </c>
      <c r="M1333" s="9" t="str">
        <f t="shared" si="4"/>
        <v>tier - 2</v>
      </c>
      <c r="N1333" s="9" t="str">
        <f t="shared" si="5"/>
        <v>R1013</v>
      </c>
      <c r="O1333" s="17">
        <f t="shared" si="6"/>
        <v>26</v>
      </c>
      <c r="P1333" s="18">
        <v>35294.0</v>
      </c>
    </row>
    <row r="1334" ht="15.75" customHeight="1">
      <c r="A1334" s="9" t="s">
        <v>3805</v>
      </c>
      <c r="B1334" s="17">
        <v>1996.0</v>
      </c>
      <c r="C1334" s="9" t="s">
        <v>4738</v>
      </c>
      <c r="D1334" s="9">
        <v>8.0</v>
      </c>
      <c r="E1334" s="18">
        <f t="shared" si="1"/>
        <v>35316</v>
      </c>
      <c r="F1334" s="9">
        <v>2.0</v>
      </c>
      <c r="G1334" s="19">
        <v>3987.93</v>
      </c>
      <c r="H1334" s="9" t="s">
        <v>4723</v>
      </c>
      <c r="I1334" s="9" t="s">
        <v>4723</v>
      </c>
      <c r="J1334" s="9" t="s">
        <v>4719</v>
      </c>
      <c r="K1334" s="20">
        <f t="shared" si="2"/>
        <v>1996</v>
      </c>
      <c r="L1334" s="9" t="str">
        <f t="shared" si="3"/>
        <v>tier - 2</v>
      </c>
      <c r="M1334" s="9" t="str">
        <f t="shared" si="4"/>
        <v>tier - 2</v>
      </c>
      <c r="N1334" s="9" t="str">
        <f t="shared" si="5"/>
        <v>R1011</v>
      </c>
      <c r="O1334" s="17">
        <f t="shared" si="6"/>
        <v>26</v>
      </c>
      <c r="P1334" s="18">
        <v>35316.0</v>
      </c>
    </row>
    <row r="1335" ht="15.75" customHeight="1">
      <c r="A1335" s="9" t="s">
        <v>3803</v>
      </c>
      <c r="B1335" s="17">
        <v>1990.0</v>
      </c>
      <c r="C1335" s="9" t="s">
        <v>4735</v>
      </c>
      <c r="D1335" s="9">
        <v>22.0</v>
      </c>
      <c r="E1335" s="18">
        <f t="shared" si="1"/>
        <v>33199</v>
      </c>
      <c r="F1335" s="9">
        <v>0.0</v>
      </c>
      <c r="G1335" s="19">
        <v>3989.84</v>
      </c>
      <c r="H1335" s="9" t="s">
        <v>4723</v>
      </c>
      <c r="I1335" s="9" t="s">
        <v>4723</v>
      </c>
      <c r="J1335" s="9" t="s">
        <v>4719</v>
      </c>
      <c r="K1335" s="20">
        <f t="shared" si="2"/>
        <v>1990</v>
      </c>
      <c r="L1335" s="9" t="str">
        <f t="shared" si="3"/>
        <v>tier - 2</v>
      </c>
      <c r="M1335" s="9" t="str">
        <f t="shared" si="4"/>
        <v>tier - 2</v>
      </c>
      <c r="N1335" s="9" t="str">
        <f t="shared" si="5"/>
        <v>R1011</v>
      </c>
      <c r="O1335" s="17">
        <f t="shared" si="6"/>
        <v>32</v>
      </c>
      <c r="P1335" s="18">
        <v>33199.0</v>
      </c>
    </row>
    <row r="1336" ht="15.75" customHeight="1">
      <c r="A1336" s="9" t="s">
        <v>3801</v>
      </c>
      <c r="B1336" s="17">
        <v>1990.0</v>
      </c>
      <c r="C1336" s="9" t="s">
        <v>4735</v>
      </c>
      <c r="D1336" s="9">
        <v>1.0</v>
      </c>
      <c r="E1336" s="18">
        <f t="shared" si="1"/>
        <v>33178</v>
      </c>
      <c r="F1336" s="9">
        <v>0.0</v>
      </c>
      <c r="G1336" s="19">
        <v>3994.18</v>
      </c>
      <c r="H1336" s="9" t="s">
        <v>4723</v>
      </c>
      <c r="I1336" s="9" t="s">
        <v>4723</v>
      </c>
      <c r="J1336" s="9" t="s">
        <v>4743</v>
      </c>
      <c r="K1336" s="20">
        <f t="shared" si="2"/>
        <v>1990</v>
      </c>
      <c r="L1336" s="9" t="str">
        <f t="shared" si="3"/>
        <v>tier - 2</v>
      </c>
      <c r="M1336" s="9" t="str">
        <f t="shared" si="4"/>
        <v>tier - 2</v>
      </c>
      <c r="N1336" s="9" t="str">
        <f t="shared" si="5"/>
        <v>R1013</v>
      </c>
      <c r="O1336" s="17">
        <f t="shared" si="6"/>
        <v>32</v>
      </c>
      <c r="P1336" s="18">
        <v>33178.0</v>
      </c>
    </row>
    <row r="1337" ht="15.75" customHeight="1">
      <c r="A1337" s="9" t="s">
        <v>381</v>
      </c>
      <c r="B1337" s="17">
        <v>2003.0</v>
      </c>
      <c r="C1337" s="9" t="s">
        <v>4725</v>
      </c>
      <c r="D1337" s="9">
        <v>9.0</v>
      </c>
      <c r="E1337" s="18">
        <f t="shared" si="1"/>
        <v>37964</v>
      </c>
      <c r="F1337" s="9">
        <v>2.0</v>
      </c>
      <c r="G1337" s="19">
        <v>36397.58</v>
      </c>
      <c r="H1337" s="9" t="s">
        <v>4723</v>
      </c>
      <c r="I1337" s="9" t="s">
        <v>4717</v>
      </c>
      <c r="J1337" s="9" t="s">
        <v>4719</v>
      </c>
      <c r="K1337" s="20">
        <f t="shared" si="2"/>
        <v>2003</v>
      </c>
      <c r="L1337" s="9" t="str">
        <f t="shared" si="3"/>
        <v>tier - 2</v>
      </c>
      <c r="M1337" s="9" t="str">
        <f t="shared" si="4"/>
        <v>tier - 3</v>
      </c>
      <c r="N1337" s="9" t="str">
        <f t="shared" si="5"/>
        <v>R1011</v>
      </c>
      <c r="O1337" s="17">
        <f t="shared" si="6"/>
        <v>19</v>
      </c>
      <c r="P1337" s="18">
        <v>37964.0</v>
      </c>
    </row>
    <row r="1338" ht="15.75" customHeight="1">
      <c r="A1338" s="9" t="s">
        <v>39</v>
      </c>
      <c r="B1338" s="17">
        <v>1964.0</v>
      </c>
      <c r="C1338" s="9" t="s">
        <v>4735</v>
      </c>
      <c r="D1338" s="9">
        <v>7.0</v>
      </c>
      <c r="E1338" s="18">
        <f t="shared" si="1"/>
        <v>23688</v>
      </c>
      <c r="F1338" s="9">
        <v>2.0</v>
      </c>
      <c r="G1338" s="19">
        <v>47496.49</v>
      </c>
      <c r="H1338" s="9" t="s">
        <v>4718</v>
      </c>
      <c r="I1338" s="9" t="s">
        <v>4717</v>
      </c>
      <c r="J1338" s="9" t="s">
        <v>4733</v>
      </c>
      <c r="K1338" s="20">
        <f t="shared" si="2"/>
        <v>1964</v>
      </c>
      <c r="L1338" s="9" t="str">
        <f t="shared" si="3"/>
        <v>tier - 1</v>
      </c>
      <c r="M1338" s="9" t="str">
        <f t="shared" si="4"/>
        <v>tier - 3</v>
      </c>
      <c r="N1338" s="9" t="str">
        <f t="shared" si="5"/>
        <v>R1012</v>
      </c>
      <c r="O1338" s="17">
        <f t="shared" si="6"/>
        <v>58</v>
      </c>
      <c r="P1338" s="18">
        <v>23688.0</v>
      </c>
    </row>
    <row r="1339" ht="15.75" customHeight="1">
      <c r="A1339" s="9" t="s">
        <v>3799</v>
      </c>
      <c r="B1339" s="17">
        <v>1989.0</v>
      </c>
      <c r="C1339" s="9" t="s">
        <v>4741</v>
      </c>
      <c r="D1339" s="9">
        <v>10.0</v>
      </c>
      <c r="E1339" s="18">
        <f t="shared" si="1"/>
        <v>32699</v>
      </c>
      <c r="F1339" s="9">
        <v>3.0</v>
      </c>
      <c r="G1339" s="19">
        <v>4002.36</v>
      </c>
      <c r="H1339" s="9" t="s">
        <v>4723</v>
      </c>
      <c r="I1339" s="9" t="s">
        <v>4718</v>
      </c>
      <c r="J1339" s="9" t="s">
        <v>4743</v>
      </c>
      <c r="K1339" s="20">
        <f t="shared" si="2"/>
        <v>1989</v>
      </c>
      <c r="L1339" s="9" t="str">
        <f t="shared" si="3"/>
        <v>tier - 2</v>
      </c>
      <c r="M1339" s="9" t="str">
        <f t="shared" si="4"/>
        <v>tier - 1</v>
      </c>
      <c r="N1339" s="9" t="str">
        <f t="shared" si="5"/>
        <v>R1013</v>
      </c>
      <c r="O1339" s="17">
        <f t="shared" si="6"/>
        <v>33</v>
      </c>
      <c r="P1339" s="18">
        <v>32699.0</v>
      </c>
    </row>
    <row r="1340" ht="15.75" customHeight="1">
      <c r="A1340" s="9" t="s">
        <v>3797</v>
      </c>
      <c r="B1340" s="17">
        <v>2000.0</v>
      </c>
      <c r="C1340" s="9" t="s">
        <v>4738</v>
      </c>
      <c r="D1340" s="9">
        <v>13.0</v>
      </c>
      <c r="E1340" s="18">
        <f t="shared" si="1"/>
        <v>36782</v>
      </c>
      <c r="F1340" s="9">
        <v>3.0</v>
      </c>
      <c r="G1340" s="19">
        <v>4005.42</v>
      </c>
      <c r="H1340" s="9" t="s">
        <v>4723</v>
      </c>
      <c r="I1340" s="9" t="s">
        <v>4718</v>
      </c>
      <c r="J1340" s="9" t="s">
        <v>4757</v>
      </c>
      <c r="K1340" s="20">
        <f t="shared" si="2"/>
        <v>2000</v>
      </c>
      <c r="L1340" s="9" t="str">
        <f t="shared" si="3"/>
        <v>tier - 2</v>
      </c>
      <c r="M1340" s="9" t="str">
        <f t="shared" si="4"/>
        <v>tier - 1</v>
      </c>
      <c r="N1340" s="9" t="str">
        <f t="shared" si="5"/>
        <v>R1015</v>
      </c>
      <c r="O1340" s="17">
        <f t="shared" si="6"/>
        <v>22</v>
      </c>
      <c r="P1340" s="18">
        <v>36782.0</v>
      </c>
    </row>
    <row r="1341" ht="15.75" customHeight="1">
      <c r="A1341" s="9" t="s">
        <v>3795</v>
      </c>
      <c r="B1341" s="17">
        <v>1992.0</v>
      </c>
      <c r="C1341" s="9" t="s">
        <v>4720</v>
      </c>
      <c r="D1341" s="9">
        <v>11.0</v>
      </c>
      <c r="E1341" s="18">
        <f t="shared" si="1"/>
        <v>33888</v>
      </c>
      <c r="F1341" s="9">
        <v>1.0</v>
      </c>
      <c r="G1341" s="19">
        <v>4032.24</v>
      </c>
      <c r="H1341" s="9" t="s">
        <v>4717</v>
      </c>
      <c r="I1341" s="9" t="s">
        <v>4717</v>
      </c>
      <c r="J1341" s="9" t="s">
        <v>4733</v>
      </c>
      <c r="K1341" s="20">
        <f t="shared" si="2"/>
        <v>1992</v>
      </c>
      <c r="L1341" s="9" t="str">
        <f t="shared" si="3"/>
        <v>tier - 3</v>
      </c>
      <c r="M1341" s="9" t="str">
        <f t="shared" si="4"/>
        <v>tier - 3</v>
      </c>
      <c r="N1341" s="9" t="str">
        <f t="shared" si="5"/>
        <v>R1012</v>
      </c>
      <c r="O1341" s="17">
        <f t="shared" si="6"/>
        <v>30</v>
      </c>
      <c r="P1341" s="18">
        <v>33888.0</v>
      </c>
    </row>
    <row r="1342" ht="15.75" customHeight="1">
      <c r="A1342" s="9" t="s">
        <v>3793</v>
      </c>
      <c r="B1342" s="17">
        <v>1984.0</v>
      </c>
      <c r="C1342" s="9" t="s">
        <v>4741</v>
      </c>
      <c r="D1342" s="9">
        <v>7.0</v>
      </c>
      <c r="E1342" s="18">
        <f t="shared" si="1"/>
        <v>30870</v>
      </c>
      <c r="F1342" s="9">
        <v>3.0</v>
      </c>
      <c r="G1342" s="19">
        <v>4038.41</v>
      </c>
      <c r="H1342" s="9" t="s">
        <v>4723</v>
      </c>
      <c r="I1342" s="9" t="s">
        <v>4718</v>
      </c>
      <c r="J1342" s="9" t="s">
        <v>4743</v>
      </c>
      <c r="K1342" s="20">
        <f t="shared" si="2"/>
        <v>1984</v>
      </c>
      <c r="L1342" s="9" t="str">
        <f t="shared" si="3"/>
        <v>tier - 2</v>
      </c>
      <c r="M1342" s="9" t="str">
        <f t="shared" si="4"/>
        <v>tier - 1</v>
      </c>
      <c r="N1342" s="9" t="str">
        <f t="shared" si="5"/>
        <v>R1013</v>
      </c>
      <c r="O1342" s="17">
        <f t="shared" si="6"/>
        <v>38</v>
      </c>
      <c r="P1342" s="18">
        <v>30870.0</v>
      </c>
    </row>
    <row r="1343" ht="15.75" customHeight="1">
      <c r="A1343" s="9" t="s">
        <v>3791</v>
      </c>
      <c r="B1343" s="17">
        <v>1983.0</v>
      </c>
      <c r="C1343" s="9" t="s">
        <v>4735</v>
      </c>
      <c r="D1343" s="9">
        <v>10.0</v>
      </c>
      <c r="E1343" s="18">
        <f t="shared" si="1"/>
        <v>30630</v>
      </c>
      <c r="F1343" s="9">
        <v>3.0</v>
      </c>
      <c r="G1343" s="19">
        <v>4039.9</v>
      </c>
      <c r="H1343" s="9" t="s">
        <v>4723</v>
      </c>
      <c r="I1343" s="9" t="s">
        <v>4718</v>
      </c>
      <c r="J1343" s="9" t="s">
        <v>4743</v>
      </c>
      <c r="K1343" s="20">
        <f t="shared" si="2"/>
        <v>1983</v>
      </c>
      <c r="L1343" s="9" t="str">
        <f t="shared" si="3"/>
        <v>tier - 2</v>
      </c>
      <c r="M1343" s="9" t="str">
        <f t="shared" si="4"/>
        <v>tier - 1</v>
      </c>
      <c r="N1343" s="9" t="str">
        <f t="shared" si="5"/>
        <v>R1013</v>
      </c>
      <c r="O1343" s="17">
        <f t="shared" si="6"/>
        <v>39</v>
      </c>
      <c r="P1343" s="18">
        <v>30630.0</v>
      </c>
    </row>
    <row r="1344" ht="15.75" customHeight="1">
      <c r="A1344" s="9" t="s">
        <v>3789</v>
      </c>
      <c r="B1344" s="17">
        <v>1993.0</v>
      </c>
      <c r="C1344" s="9" t="s">
        <v>4725</v>
      </c>
      <c r="D1344" s="9">
        <v>26.0</v>
      </c>
      <c r="E1344" s="18">
        <f t="shared" si="1"/>
        <v>34329</v>
      </c>
      <c r="F1344" s="9">
        <v>1.0</v>
      </c>
      <c r="G1344" s="19">
        <v>4040.56</v>
      </c>
      <c r="H1344" s="9" t="s">
        <v>4717</v>
      </c>
      <c r="I1344" s="9" t="s">
        <v>4717</v>
      </c>
      <c r="J1344" s="9" t="s">
        <v>4757</v>
      </c>
      <c r="K1344" s="20">
        <f t="shared" si="2"/>
        <v>1993</v>
      </c>
      <c r="L1344" s="9" t="str">
        <f t="shared" si="3"/>
        <v>tier - 3</v>
      </c>
      <c r="M1344" s="9" t="str">
        <f t="shared" si="4"/>
        <v>tier - 3</v>
      </c>
      <c r="N1344" s="9" t="str">
        <f t="shared" si="5"/>
        <v>R1015</v>
      </c>
      <c r="O1344" s="17">
        <f t="shared" si="6"/>
        <v>29</v>
      </c>
      <c r="P1344" s="18">
        <v>34329.0</v>
      </c>
    </row>
    <row r="1345" ht="15.75" customHeight="1">
      <c r="A1345" s="9" t="s">
        <v>3787</v>
      </c>
      <c r="B1345" s="17">
        <v>1988.0</v>
      </c>
      <c r="C1345" s="9" t="s">
        <v>4735</v>
      </c>
      <c r="D1345" s="9">
        <v>30.0</v>
      </c>
      <c r="E1345" s="18">
        <f t="shared" si="1"/>
        <v>32477</v>
      </c>
      <c r="F1345" s="9">
        <v>3.0</v>
      </c>
      <c r="G1345" s="19">
        <v>4047.94</v>
      </c>
      <c r="H1345" s="9" t="s">
        <v>4723</v>
      </c>
      <c r="I1345" s="9" t="s">
        <v>4718</v>
      </c>
      <c r="J1345" s="9" t="s">
        <v>4743</v>
      </c>
      <c r="K1345" s="20">
        <f t="shared" si="2"/>
        <v>1988</v>
      </c>
      <c r="L1345" s="9" t="str">
        <f t="shared" si="3"/>
        <v>tier - 2</v>
      </c>
      <c r="M1345" s="9" t="str">
        <f t="shared" si="4"/>
        <v>tier - 1</v>
      </c>
      <c r="N1345" s="9" t="str">
        <f t="shared" si="5"/>
        <v>R1013</v>
      </c>
      <c r="O1345" s="17">
        <f t="shared" si="6"/>
        <v>34</v>
      </c>
      <c r="P1345" s="18">
        <v>32477.0</v>
      </c>
    </row>
    <row r="1346" ht="15.75" customHeight="1">
      <c r="A1346" s="9" t="s">
        <v>3785</v>
      </c>
      <c r="B1346" s="17">
        <v>1993.0</v>
      </c>
      <c r="C1346" s="9" t="s">
        <v>4716</v>
      </c>
      <c r="D1346" s="9">
        <v>13.0</v>
      </c>
      <c r="E1346" s="18">
        <f t="shared" si="1"/>
        <v>34194</v>
      </c>
      <c r="F1346" s="9">
        <v>2.0</v>
      </c>
      <c r="G1346" s="19">
        <v>4058.12</v>
      </c>
      <c r="H1346" s="9" t="s">
        <v>4723</v>
      </c>
      <c r="I1346" s="9" t="s">
        <v>4718</v>
      </c>
      <c r="J1346" s="9" t="s">
        <v>4743</v>
      </c>
      <c r="K1346" s="20">
        <f t="shared" si="2"/>
        <v>1993</v>
      </c>
      <c r="L1346" s="9" t="str">
        <f t="shared" si="3"/>
        <v>tier - 2</v>
      </c>
      <c r="M1346" s="9" t="str">
        <f t="shared" si="4"/>
        <v>tier - 1</v>
      </c>
      <c r="N1346" s="9" t="str">
        <f t="shared" si="5"/>
        <v>R1013</v>
      </c>
      <c r="O1346" s="17">
        <f t="shared" si="6"/>
        <v>29</v>
      </c>
      <c r="P1346" s="18">
        <v>34194.0</v>
      </c>
    </row>
    <row r="1347" ht="15.75" customHeight="1">
      <c r="A1347" s="9" t="s">
        <v>3783</v>
      </c>
      <c r="B1347" s="17">
        <v>1995.0</v>
      </c>
      <c r="C1347" s="9" t="s">
        <v>4738</v>
      </c>
      <c r="D1347" s="9">
        <v>14.0</v>
      </c>
      <c r="E1347" s="18">
        <f t="shared" si="1"/>
        <v>34956</v>
      </c>
      <c r="F1347" s="9">
        <v>2.0</v>
      </c>
      <c r="G1347" s="19">
        <v>4058.71</v>
      </c>
      <c r="H1347" s="9" t="s">
        <v>4717</v>
      </c>
      <c r="I1347" s="9" t="s">
        <v>4717</v>
      </c>
      <c r="J1347" s="9" t="s">
        <v>4733</v>
      </c>
      <c r="K1347" s="20">
        <f t="shared" si="2"/>
        <v>1995</v>
      </c>
      <c r="L1347" s="9" t="str">
        <f t="shared" si="3"/>
        <v>tier - 3</v>
      </c>
      <c r="M1347" s="9" t="str">
        <f t="shared" si="4"/>
        <v>tier - 3</v>
      </c>
      <c r="N1347" s="9" t="str">
        <f t="shared" si="5"/>
        <v>R1012</v>
      </c>
      <c r="O1347" s="17">
        <f t="shared" si="6"/>
        <v>27</v>
      </c>
      <c r="P1347" s="18">
        <v>34956.0</v>
      </c>
    </row>
    <row r="1348" ht="15.75" customHeight="1">
      <c r="A1348" s="9" t="s">
        <v>3781</v>
      </c>
      <c r="B1348" s="17">
        <v>1983.0</v>
      </c>
      <c r="C1348" s="9" t="s">
        <v>4738</v>
      </c>
      <c r="D1348" s="9">
        <v>16.0</v>
      </c>
      <c r="E1348" s="18">
        <f t="shared" si="1"/>
        <v>30575</v>
      </c>
      <c r="F1348" s="9">
        <v>3.0</v>
      </c>
      <c r="G1348" s="19">
        <v>4070.42</v>
      </c>
      <c r="H1348" s="9" t="s">
        <v>4723</v>
      </c>
      <c r="I1348" s="9" t="s">
        <v>4718</v>
      </c>
      <c r="J1348" s="9" t="s">
        <v>4743</v>
      </c>
      <c r="K1348" s="20">
        <f t="shared" si="2"/>
        <v>1983</v>
      </c>
      <c r="L1348" s="9" t="str">
        <f t="shared" si="3"/>
        <v>tier - 2</v>
      </c>
      <c r="M1348" s="9" t="str">
        <f t="shared" si="4"/>
        <v>tier - 1</v>
      </c>
      <c r="N1348" s="9" t="str">
        <f t="shared" si="5"/>
        <v>R1013</v>
      </c>
      <c r="O1348" s="17">
        <f t="shared" si="6"/>
        <v>39</v>
      </c>
      <c r="P1348" s="18">
        <v>30575.0</v>
      </c>
    </row>
    <row r="1349" ht="15.75" customHeight="1">
      <c r="A1349" s="9" t="s">
        <v>379</v>
      </c>
      <c r="B1349" s="17">
        <v>1962.0</v>
      </c>
      <c r="C1349" s="9" t="s">
        <v>4735</v>
      </c>
      <c r="D1349" s="9">
        <v>19.0</v>
      </c>
      <c r="E1349" s="18">
        <f t="shared" si="1"/>
        <v>22969</v>
      </c>
      <c r="F1349" s="9">
        <v>0.0</v>
      </c>
      <c r="G1349" s="19">
        <v>36445.55</v>
      </c>
      <c r="H1349" s="9" t="s">
        <v>4723</v>
      </c>
      <c r="I1349" s="9" t="s">
        <v>4723</v>
      </c>
      <c r="J1349" s="9" t="s">
        <v>4719</v>
      </c>
      <c r="K1349" s="20">
        <f t="shared" si="2"/>
        <v>1962</v>
      </c>
      <c r="L1349" s="9" t="str">
        <f t="shared" si="3"/>
        <v>tier - 2</v>
      </c>
      <c r="M1349" s="9" t="str">
        <f t="shared" si="4"/>
        <v>tier - 2</v>
      </c>
      <c r="N1349" s="9" t="str">
        <f t="shared" si="5"/>
        <v>R1011</v>
      </c>
      <c r="O1349" s="17">
        <f t="shared" si="6"/>
        <v>60</v>
      </c>
      <c r="P1349" s="18">
        <v>22969.0</v>
      </c>
    </row>
    <row r="1350" ht="15.75" customHeight="1">
      <c r="A1350" s="9" t="s">
        <v>3779</v>
      </c>
      <c r="B1350" s="17">
        <v>2002.0</v>
      </c>
      <c r="C1350" s="9" t="s">
        <v>4720</v>
      </c>
      <c r="D1350" s="9">
        <v>18.0</v>
      </c>
      <c r="E1350" s="18">
        <f t="shared" si="1"/>
        <v>37547</v>
      </c>
      <c r="F1350" s="9">
        <v>0.0</v>
      </c>
      <c r="G1350" s="19">
        <v>4070.51</v>
      </c>
      <c r="H1350" s="9" t="s">
        <v>4723</v>
      </c>
      <c r="I1350" s="9" t="s">
        <v>4718</v>
      </c>
      <c r="J1350" s="9" t="s">
        <v>4733</v>
      </c>
      <c r="K1350" s="20">
        <f t="shared" si="2"/>
        <v>2002</v>
      </c>
      <c r="L1350" s="9" t="str">
        <f t="shared" si="3"/>
        <v>tier - 2</v>
      </c>
      <c r="M1350" s="9" t="str">
        <f t="shared" si="4"/>
        <v>tier - 1</v>
      </c>
      <c r="N1350" s="9" t="str">
        <f t="shared" si="5"/>
        <v>R1012</v>
      </c>
      <c r="O1350" s="17">
        <f t="shared" si="6"/>
        <v>20</v>
      </c>
      <c r="P1350" s="18">
        <v>37547.0</v>
      </c>
    </row>
    <row r="1351" ht="15.75" customHeight="1">
      <c r="A1351" s="9" t="s">
        <v>3777</v>
      </c>
      <c r="B1351" s="17">
        <v>1990.0</v>
      </c>
      <c r="C1351" s="9" t="s">
        <v>4725</v>
      </c>
      <c r="D1351" s="9">
        <v>1.0</v>
      </c>
      <c r="E1351" s="18">
        <f t="shared" si="1"/>
        <v>33208</v>
      </c>
      <c r="F1351" s="9">
        <v>1.0</v>
      </c>
      <c r="G1351" s="19">
        <v>4074.45</v>
      </c>
      <c r="H1351" s="9" t="s">
        <v>4717</v>
      </c>
      <c r="I1351" s="9" t="s">
        <v>4723</v>
      </c>
      <c r="J1351" s="9" t="s">
        <v>4743</v>
      </c>
      <c r="K1351" s="20">
        <f t="shared" si="2"/>
        <v>1990</v>
      </c>
      <c r="L1351" s="9" t="str">
        <f t="shared" si="3"/>
        <v>tier - 3</v>
      </c>
      <c r="M1351" s="9" t="str">
        <f t="shared" si="4"/>
        <v>tier - 2</v>
      </c>
      <c r="N1351" s="9" t="str">
        <f t="shared" si="5"/>
        <v>R1013</v>
      </c>
      <c r="O1351" s="17">
        <f t="shared" si="6"/>
        <v>32</v>
      </c>
      <c r="P1351" s="18">
        <v>33208.0</v>
      </c>
    </row>
    <row r="1352" ht="15.75" customHeight="1">
      <c r="A1352" s="9" t="s">
        <v>3775</v>
      </c>
      <c r="B1352" s="17">
        <v>1990.0</v>
      </c>
      <c r="C1352" s="9" t="s">
        <v>4725</v>
      </c>
      <c r="D1352" s="9">
        <v>14.0</v>
      </c>
      <c r="E1352" s="18">
        <f t="shared" si="1"/>
        <v>33221</v>
      </c>
      <c r="F1352" s="9">
        <v>1.0</v>
      </c>
      <c r="G1352" s="19">
        <v>4076.5</v>
      </c>
      <c r="H1352" s="9" t="s">
        <v>4723</v>
      </c>
      <c r="I1352" s="9" t="s">
        <v>4717</v>
      </c>
      <c r="J1352" s="9" t="s">
        <v>4719</v>
      </c>
      <c r="K1352" s="20">
        <f t="shared" si="2"/>
        <v>1990</v>
      </c>
      <c r="L1352" s="9" t="str">
        <f t="shared" si="3"/>
        <v>tier - 2</v>
      </c>
      <c r="M1352" s="9" t="str">
        <f t="shared" si="4"/>
        <v>tier - 3</v>
      </c>
      <c r="N1352" s="9" t="str">
        <f t="shared" si="5"/>
        <v>R1011</v>
      </c>
      <c r="O1352" s="17">
        <f t="shared" si="6"/>
        <v>32</v>
      </c>
      <c r="P1352" s="18">
        <v>33221.0</v>
      </c>
    </row>
    <row r="1353" ht="15.75" customHeight="1">
      <c r="A1353" s="9" t="s">
        <v>3773</v>
      </c>
      <c r="B1353" s="17">
        <v>1994.0</v>
      </c>
      <c r="C1353" s="9" t="s">
        <v>4716</v>
      </c>
      <c r="D1353" s="9">
        <v>21.0</v>
      </c>
      <c r="E1353" s="18">
        <f t="shared" si="1"/>
        <v>34567</v>
      </c>
      <c r="F1353" s="9">
        <v>1.0</v>
      </c>
      <c r="G1353" s="19">
        <v>4133.64</v>
      </c>
      <c r="H1353" s="9" t="s">
        <v>4723</v>
      </c>
      <c r="I1353" s="9" t="s">
        <v>4717</v>
      </c>
      <c r="J1353" s="9" t="s">
        <v>4733</v>
      </c>
      <c r="K1353" s="20">
        <f t="shared" si="2"/>
        <v>1994</v>
      </c>
      <c r="L1353" s="9" t="str">
        <f t="shared" si="3"/>
        <v>tier - 2</v>
      </c>
      <c r="M1353" s="9" t="str">
        <f t="shared" si="4"/>
        <v>tier - 3</v>
      </c>
      <c r="N1353" s="9" t="str">
        <f t="shared" si="5"/>
        <v>R1012</v>
      </c>
      <c r="O1353" s="17">
        <f t="shared" si="6"/>
        <v>28</v>
      </c>
      <c r="P1353" s="18">
        <v>34567.0</v>
      </c>
    </row>
    <row r="1354" ht="15.75" customHeight="1">
      <c r="A1354" s="9" t="s">
        <v>3771</v>
      </c>
      <c r="B1354" s="17">
        <v>1991.0</v>
      </c>
      <c r="C1354" s="9" t="s">
        <v>4716</v>
      </c>
      <c r="D1354" s="9">
        <v>6.0</v>
      </c>
      <c r="E1354" s="18">
        <f t="shared" si="1"/>
        <v>33456</v>
      </c>
      <c r="F1354" s="9">
        <v>0.0</v>
      </c>
      <c r="G1354" s="19">
        <v>4134.08</v>
      </c>
      <c r="H1354" s="9" t="s">
        <v>4723</v>
      </c>
      <c r="I1354" s="9" t="s">
        <v>4718</v>
      </c>
      <c r="J1354" s="9" t="s">
        <v>4733</v>
      </c>
      <c r="K1354" s="20">
        <f t="shared" si="2"/>
        <v>1991</v>
      </c>
      <c r="L1354" s="9" t="str">
        <f t="shared" si="3"/>
        <v>tier - 2</v>
      </c>
      <c r="M1354" s="9" t="str">
        <f t="shared" si="4"/>
        <v>tier - 1</v>
      </c>
      <c r="N1354" s="9" t="str">
        <f t="shared" si="5"/>
        <v>R1012</v>
      </c>
      <c r="O1354" s="17">
        <f t="shared" si="6"/>
        <v>31</v>
      </c>
      <c r="P1354" s="18">
        <v>33456.0</v>
      </c>
    </row>
    <row r="1355" ht="15.75" customHeight="1">
      <c r="A1355" s="9" t="s">
        <v>3769</v>
      </c>
      <c r="B1355" s="17">
        <v>1992.0</v>
      </c>
      <c r="C1355" s="9" t="s">
        <v>4730</v>
      </c>
      <c r="D1355" s="9">
        <v>18.0</v>
      </c>
      <c r="E1355" s="18">
        <f t="shared" si="1"/>
        <v>33773</v>
      </c>
      <c r="F1355" s="9">
        <v>0.0</v>
      </c>
      <c r="G1355" s="19">
        <v>4137.52</v>
      </c>
      <c r="H1355" s="9" t="s">
        <v>4723</v>
      </c>
      <c r="I1355" s="9" t="s">
        <v>4717</v>
      </c>
      <c r="J1355" s="9" t="s">
        <v>4731</v>
      </c>
      <c r="K1355" s="20">
        <f t="shared" si="2"/>
        <v>1992</v>
      </c>
      <c r="L1355" s="9" t="str">
        <f t="shared" si="3"/>
        <v>tier - 2</v>
      </c>
      <c r="M1355" s="9" t="str">
        <f t="shared" si="4"/>
        <v>tier - 3</v>
      </c>
      <c r="N1355" s="9" t="str">
        <f t="shared" si="5"/>
        <v>R1024</v>
      </c>
      <c r="O1355" s="17">
        <f t="shared" si="6"/>
        <v>30</v>
      </c>
      <c r="P1355" s="18">
        <v>33773.0</v>
      </c>
    </row>
    <row r="1356" ht="15.75" customHeight="1">
      <c r="A1356" s="9" t="s">
        <v>3767</v>
      </c>
      <c r="B1356" s="17">
        <v>1992.0</v>
      </c>
      <c r="C1356" s="9" t="s">
        <v>4730</v>
      </c>
      <c r="D1356" s="9">
        <v>28.0</v>
      </c>
      <c r="E1356" s="18">
        <f t="shared" si="1"/>
        <v>33783</v>
      </c>
      <c r="F1356" s="9">
        <v>1.0</v>
      </c>
      <c r="G1356" s="19">
        <v>4149.74</v>
      </c>
      <c r="H1356" s="9" t="s">
        <v>4723</v>
      </c>
      <c r="I1356" s="9" t="s">
        <v>4718</v>
      </c>
      <c r="J1356" s="9" t="s">
        <v>4719</v>
      </c>
      <c r="K1356" s="20">
        <f t="shared" si="2"/>
        <v>1992</v>
      </c>
      <c r="L1356" s="9" t="str">
        <f t="shared" si="3"/>
        <v>tier - 2</v>
      </c>
      <c r="M1356" s="9" t="str">
        <f t="shared" si="4"/>
        <v>tier - 1</v>
      </c>
      <c r="N1356" s="9" t="str">
        <f t="shared" si="5"/>
        <v>R1011</v>
      </c>
      <c r="O1356" s="17">
        <f t="shared" si="6"/>
        <v>30</v>
      </c>
      <c r="P1356" s="18">
        <v>33783.0</v>
      </c>
    </row>
    <row r="1357" ht="15.75" customHeight="1">
      <c r="A1357" s="9" t="s">
        <v>3765</v>
      </c>
      <c r="B1357" s="17">
        <v>1992.0</v>
      </c>
      <c r="C1357" s="9" t="s">
        <v>4716</v>
      </c>
      <c r="D1357" s="9">
        <v>4.0</v>
      </c>
      <c r="E1357" s="18">
        <f t="shared" si="1"/>
        <v>33820</v>
      </c>
      <c r="F1357" s="9">
        <v>1.0</v>
      </c>
      <c r="G1357" s="19">
        <v>4151.03</v>
      </c>
      <c r="H1357" s="9" t="s">
        <v>4723</v>
      </c>
      <c r="I1357" s="9" t="s">
        <v>4723</v>
      </c>
      <c r="J1357" s="9" t="s">
        <v>4743</v>
      </c>
      <c r="K1357" s="20">
        <f t="shared" si="2"/>
        <v>1992</v>
      </c>
      <c r="L1357" s="9" t="str">
        <f t="shared" si="3"/>
        <v>tier - 2</v>
      </c>
      <c r="M1357" s="9" t="str">
        <f t="shared" si="4"/>
        <v>tier - 2</v>
      </c>
      <c r="N1357" s="9" t="str">
        <f t="shared" si="5"/>
        <v>R1013</v>
      </c>
      <c r="O1357" s="17">
        <f t="shared" si="6"/>
        <v>30</v>
      </c>
      <c r="P1357" s="18">
        <v>33820.0</v>
      </c>
    </row>
    <row r="1358" ht="15.75" customHeight="1">
      <c r="A1358" s="9" t="s">
        <v>3763</v>
      </c>
      <c r="B1358" s="17">
        <v>1998.0</v>
      </c>
      <c r="C1358" s="9" t="s">
        <v>4735</v>
      </c>
      <c r="D1358" s="9">
        <v>26.0</v>
      </c>
      <c r="E1358" s="18">
        <f t="shared" si="1"/>
        <v>36125</v>
      </c>
      <c r="F1358" s="9">
        <v>0.0</v>
      </c>
      <c r="G1358" s="19">
        <v>4154.97</v>
      </c>
      <c r="H1358" s="9" t="s">
        <v>4723</v>
      </c>
      <c r="I1358" s="9" t="s">
        <v>4718</v>
      </c>
      <c r="J1358" s="9" t="s">
        <v>4733</v>
      </c>
      <c r="K1358" s="20">
        <f t="shared" si="2"/>
        <v>1998</v>
      </c>
      <c r="L1358" s="9" t="str">
        <f t="shared" si="3"/>
        <v>tier - 2</v>
      </c>
      <c r="M1358" s="9" t="str">
        <f t="shared" si="4"/>
        <v>tier - 1</v>
      </c>
      <c r="N1358" s="9" t="str">
        <f t="shared" si="5"/>
        <v>R1012</v>
      </c>
      <c r="O1358" s="17">
        <f t="shared" si="6"/>
        <v>24</v>
      </c>
      <c r="P1358" s="18">
        <v>36125.0</v>
      </c>
    </row>
    <row r="1359" ht="15.75" customHeight="1">
      <c r="A1359" s="9" t="s">
        <v>3761</v>
      </c>
      <c r="B1359" s="17">
        <v>1984.0</v>
      </c>
      <c r="C1359" s="9" t="s">
        <v>4738</v>
      </c>
      <c r="D1359" s="9">
        <v>16.0</v>
      </c>
      <c r="E1359" s="18">
        <f t="shared" si="1"/>
        <v>30941</v>
      </c>
      <c r="F1359" s="9">
        <v>3.0</v>
      </c>
      <c r="G1359" s="19">
        <v>4163.21</v>
      </c>
      <c r="H1359" s="9" t="s">
        <v>4723</v>
      </c>
      <c r="I1359" s="9" t="s">
        <v>4723</v>
      </c>
      <c r="J1359" s="9" t="s">
        <v>4733</v>
      </c>
      <c r="K1359" s="20">
        <f t="shared" si="2"/>
        <v>1984</v>
      </c>
      <c r="L1359" s="9" t="str">
        <f t="shared" si="3"/>
        <v>tier - 2</v>
      </c>
      <c r="M1359" s="9" t="str">
        <f t="shared" si="4"/>
        <v>tier - 2</v>
      </c>
      <c r="N1359" s="9" t="str">
        <f t="shared" si="5"/>
        <v>R1012</v>
      </c>
      <c r="O1359" s="17">
        <f t="shared" si="6"/>
        <v>38</v>
      </c>
      <c r="P1359" s="18">
        <v>30941.0</v>
      </c>
    </row>
    <row r="1360" ht="15.75" customHeight="1">
      <c r="A1360" s="9" t="s">
        <v>377</v>
      </c>
      <c r="B1360" s="17">
        <v>1973.0</v>
      </c>
      <c r="C1360" s="9" t="s">
        <v>4716</v>
      </c>
      <c r="D1360" s="9">
        <v>9.0</v>
      </c>
      <c r="E1360" s="18">
        <f t="shared" si="1"/>
        <v>26885</v>
      </c>
      <c r="F1360" s="9">
        <v>0.0</v>
      </c>
      <c r="G1360" s="19">
        <v>36541.55</v>
      </c>
      <c r="H1360" s="9" t="s">
        <v>4723</v>
      </c>
      <c r="I1360" s="9" t="s">
        <v>4717</v>
      </c>
      <c r="J1360" s="9" t="s">
        <v>4719</v>
      </c>
      <c r="K1360" s="20">
        <f t="shared" si="2"/>
        <v>1973</v>
      </c>
      <c r="L1360" s="9" t="str">
        <f t="shared" si="3"/>
        <v>tier - 2</v>
      </c>
      <c r="M1360" s="9" t="str">
        <f t="shared" si="4"/>
        <v>tier - 3</v>
      </c>
      <c r="N1360" s="9" t="str">
        <f t="shared" si="5"/>
        <v>R1011</v>
      </c>
      <c r="O1360" s="17">
        <f t="shared" si="6"/>
        <v>49</v>
      </c>
      <c r="P1360" s="18">
        <v>26885.0</v>
      </c>
    </row>
    <row r="1361" ht="15.75" customHeight="1">
      <c r="A1361" s="9" t="s">
        <v>3759</v>
      </c>
      <c r="B1361" s="17">
        <v>1989.0</v>
      </c>
      <c r="C1361" s="9" t="s">
        <v>4730</v>
      </c>
      <c r="D1361" s="9">
        <v>25.0</v>
      </c>
      <c r="E1361" s="18">
        <f t="shared" si="1"/>
        <v>32684</v>
      </c>
      <c r="F1361" s="9">
        <v>0.0</v>
      </c>
      <c r="G1361" s="19">
        <v>4185.1</v>
      </c>
      <c r="H1361" s="9" t="s">
        <v>4723</v>
      </c>
      <c r="I1361" s="9" t="s">
        <v>4717</v>
      </c>
      <c r="J1361" s="9" t="s">
        <v>4743</v>
      </c>
      <c r="K1361" s="20">
        <f t="shared" si="2"/>
        <v>1989</v>
      </c>
      <c r="L1361" s="9" t="str">
        <f t="shared" si="3"/>
        <v>tier - 2</v>
      </c>
      <c r="M1361" s="9" t="str">
        <f t="shared" si="4"/>
        <v>tier - 3</v>
      </c>
      <c r="N1361" s="9" t="str">
        <f t="shared" si="5"/>
        <v>R1013</v>
      </c>
      <c r="O1361" s="17">
        <f t="shared" si="6"/>
        <v>33</v>
      </c>
      <c r="P1361" s="18">
        <v>32684.0</v>
      </c>
    </row>
    <row r="1362" ht="15.75" customHeight="1">
      <c r="A1362" s="9" t="s">
        <v>3757</v>
      </c>
      <c r="B1362" s="17">
        <v>1995.0</v>
      </c>
      <c r="C1362" s="9" t="s">
        <v>4720</v>
      </c>
      <c r="D1362" s="9">
        <v>3.0</v>
      </c>
      <c r="E1362" s="18">
        <f t="shared" si="1"/>
        <v>34975</v>
      </c>
      <c r="F1362" s="9">
        <v>0.0</v>
      </c>
      <c r="G1362" s="19">
        <v>4188.73</v>
      </c>
      <c r="H1362" s="9" t="s">
        <v>4723</v>
      </c>
      <c r="I1362" s="9" t="s">
        <v>4723</v>
      </c>
      <c r="J1362" s="9" t="s">
        <v>4726</v>
      </c>
      <c r="K1362" s="20">
        <f t="shared" si="2"/>
        <v>1995</v>
      </c>
      <c r="L1362" s="9" t="str">
        <f t="shared" si="3"/>
        <v>tier - 2</v>
      </c>
      <c r="M1362" s="9" t="str">
        <f t="shared" si="4"/>
        <v>tier - 2</v>
      </c>
      <c r="N1362" s="9" t="str">
        <f t="shared" si="5"/>
        <v>R1025</v>
      </c>
      <c r="O1362" s="17">
        <f t="shared" si="6"/>
        <v>27</v>
      </c>
      <c r="P1362" s="18">
        <v>34975.0</v>
      </c>
    </row>
    <row r="1363" ht="15.75" customHeight="1">
      <c r="A1363" s="9" t="s">
        <v>3755</v>
      </c>
      <c r="B1363" s="17">
        <v>1997.0</v>
      </c>
      <c r="C1363" s="9" t="s">
        <v>4738</v>
      </c>
      <c r="D1363" s="9">
        <v>6.0</v>
      </c>
      <c r="E1363" s="18">
        <f t="shared" si="1"/>
        <v>35679</v>
      </c>
      <c r="F1363" s="9">
        <v>2.0</v>
      </c>
      <c r="G1363" s="19">
        <v>4189.11</v>
      </c>
      <c r="H1363" s="9" t="s">
        <v>4723</v>
      </c>
      <c r="I1363" s="9" t="s">
        <v>4723</v>
      </c>
      <c r="J1363" s="9" t="s">
        <v>4733</v>
      </c>
      <c r="K1363" s="20">
        <f t="shared" si="2"/>
        <v>1997</v>
      </c>
      <c r="L1363" s="9" t="str">
        <f t="shared" si="3"/>
        <v>tier - 2</v>
      </c>
      <c r="M1363" s="9" t="str">
        <f t="shared" si="4"/>
        <v>tier - 2</v>
      </c>
      <c r="N1363" s="9" t="str">
        <f t="shared" si="5"/>
        <v>R1012</v>
      </c>
      <c r="O1363" s="17">
        <f t="shared" si="6"/>
        <v>25</v>
      </c>
      <c r="P1363" s="18">
        <v>35679.0</v>
      </c>
    </row>
    <row r="1364" ht="15.75" customHeight="1">
      <c r="A1364" s="9" t="s">
        <v>3753</v>
      </c>
      <c r="B1364" s="17">
        <v>1998.0</v>
      </c>
      <c r="C1364" s="9" t="s">
        <v>4725</v>
      </c>
      <c r="D1364" s="9">
        <v>14.0</v>
      </c>
      <c r="E1364" s="18">
        <f t="shared" si="1"/>
        <v>36143</v>
      </c>
      <c r="F1364" s="9">
        <v>3.0</v>
      </c>
      <c r="G1364" s="19">
        <v>4234.93</v>
      </c>
      <c r="H1364" s="9" t="s">
        <v>4723</v>
      </c>
      <c r="I1364" s="9" t="s">
        <v>4718</v>
      </c>
      <c r="J1364" s="9" t="s">
        <v>4719</v>
      </c>
      <c r="K1364" s="20">
        <f t="shared" si="2"/>
        <v>1998</v>
      </c>
      <c r="L1364" s="9" t="str">
        <f t="shared" si="3"/>
        <v>tier - 2</v>
      </c>
      <c r="M1364" s="9" t="str">
        <f t="shared" si="4"/>
        <v>tier - 1</v>
      </c>
      <c r="N1364" s="9" t="str">
        <f t="shared" si="5"/>
        <v>R1011</v>
      </c>
      <c r="O1364" s="17">
        <f t="shared" si="6"/>
        <v>24</v>
      </c>
      <c r="P1364" s="18">
        <v>36143.0</v>
      </c>
    </row>
    <row r="1365" ht="15.75" customHeight="1">
      <c r="A1365" s="9" t="s">
        <v>3751</v>
      </c>
      <c r="B1365" s="17">
        <v>1992.0</v>
      </c>
      <c r="C1365" s="9" t="s">
        <v>4730</v>
      </c>
      <c r="D1365" s="9">
        <v>27.0</v>
      </c>
      <c r="E1365" s="18">
        <f t="shared" si="1"/>
        <v>33782</v>
      </c>
      <c r="F1365" s="9">
        <v>1.0</v>
      </c>
      <c r="G1365" s="19">
        <v>4237.13</v>
      </c>
      <c r="H1365" s="9" t="s">
        <v>4717</v>
      </c>
      <c r="I1365" s="9" t="s">
        <v>4718</v>
      </c>
      <c r="J1365" s="9" t="s">
        <v>4754</v>
      </c>
      <c r="K1365" s="20">
        <f t="shared" si="2"/>
        <v>1992</v>
      </c>
      <c r="L1365" s="9" t="str">
        <f t="shared" si="3"/>
        <v>tier - 3</v>
      </c>
      <c r="M1365" s="9" t="str">
        <f t="shared" si="4"/>
        <v>tier - 1</v>
      </c>
      <c r="N1365" s="9" t="str">
        <f t="shared" si="5"/>
        <v>R1016</v>
      </c>
      <c r="O1365" s="17">
        <f t="shared" si="6"/>
        <v>30</v>
      </c>
      <c r="P1365" s="18">
        <v>33782.0</v>
      </c>
    </row>
    <row r="1366" ht="15.75" customHeight="1">
      <c r="A1366" s="9" t="s">
        <v>3749</v>
      </c>
      <c r="B1366" s="17">
        <v>1991.0</v>
      </c>
      <c r="C1366" s="9" t="s">
        <v>4735</v>
      </c>
      <c r="D1366" s="9">
        <v>3.0</v>
      </c>
      <c r="E1366" s="18">
        <f t="shared" si="1"/>
        <v>33545</v>
      </c>
      <c r="F1366" s="9">
        <v>1.0</v>
      </c>
      <c r="G1366" s="19">
        <v>4239.89</v>
      </c>
      <c r="H1366" s="9" t="s">
        <v>4723</v>
      </c>
      <c r="I1366" s="9" t="s">
        <v>4723</v>
      </c>
      <c r="J1366" s="9" t="s">
        <v>4733</v>
      </c>
      <c r="K1366" s="20">
        <f t="shared" si="2"/>
        <v>1991</v>
      </c>
      <c r="L1366" s="9" t="str">
        <f t="shared" si="3"/>
        <v>tier - 2</v>
      </c>
      <c r="M1366" s="9" t="str">
        <f t="shared" si="4"/>
        <v>tier - 2</v>
      </c>
      <c r="N1366" s="9" t="str">
        <f t="shared" si="5"/>
        <v>R1012</v>
      </c>
      <c r="O1366" s="17">
        <f t="shared" si="6"/>
        <v>31</v>
      </c>
      <c r="P1366" s="18">
        <v>33545.0</v>
      </c>
    </row>
    <row r="1367" ht="15.75" customHeight="1">
      <c r="A1367" s="9" t="s">
        <v>3747</v>
      </c>
      <c r="B1367" s="17">
        <v>1991.0</v>
      </c>
      <c r="C1367" s="9" t="s">
        <v>4725</v>
      </c>
      <c r="D1367" s="9">
        <v>1.0</v>
      </c>
      <c r="E1367" s="18">
        <f t="shared" si="1"/>
        <v>33573</v>
      </c>
      <c r="F1367" s="9">
        <v>1.0</v>
      </c>
      <c r="G1367" s="19">
        <v>4243.59</v>
      </c>
      <c r="H1367" s="9" t="s">
        <v>4717</v>
      </c>
      <c r="I1367" s="9" t="s">
        <v>4718</v>
      </c>
      <c r="J1367" s="9" t="s">
        <v>4733</v>
      </c>
      <c r="K1367" s="20">
        <f t="shared" si="2"/>
        <v>1991</v>
      </c>
      <c r="L1367" s="9" t="str">
        <f t="shared" si="3"/>
        <v>tier - 3</v>
      </c>
      <c r="M1367" s="9" t="str">
        <f t="shared" si="4"/>
        <v>tier - 1</v>
      </c>
      <c r="N1367" s="9" t="str">
        <f t="shared" si="5"/>
        <v>R1012</v>
      </c>
      <c r="O1367" s="17">
        <f t="shared" si="6"/>
        <v>31</v>
      </c>
      <c r="P1367" s="18">
        <v>33573.0</v>
      </c>
    </row>
    <row r="1368" ht="15.75" customHeight="1">
      <c r="A1368" s="9" t="s">
        <v>3745</v>
      </c>
      <c r="B1368" s="17">
        <v>1982.0</v>
      </c>
      <c r="C1368" s="9" t="s">
        <v>4730</v>
      </c>
      <c r="D1368" s="9">
        <v>16.0</v>
      </c>
      <c r="E1368" s="18">
        <f t="shared" si="1"/>
        <v>30118</v>
      </c>
      <c r="F1368" s="9">
        <v>3.0</v>
      </c>
      <c r="G1368" s="19">
        <v>4250.24</v>
      </c>
      <c r="H1368" s="9" t="s">
        <v>4723</v>
      </c>
      <c r="I1368" s="9" t="s">
        <v>4717</v>
      </c>
      <c r="J1368" s="9" t="s">
        <v>4743</v>
      </c>
      <c r="K1368" s="20">
        <f t="shared" si="2"/>
        <v>1982</v>
      </c>
      <c r="L1368" s="9" t="str">
        <f t="shared" si="3"/>
        <v>tier - 2</v>
      </c>
      <c r="M1368" s="9" t="str">
        <f t="shared" si="4"/>
        <v>tier - 3</v>
      </c>
      <c r="N1368" s="9" t="str">
        <f t="shared" si="5"/>
        <v>R1013</v>
      </c>
      <c r="O1368" s="17">
        <f t="shared" si="6"/>
        <v>40</v>
      </c>
      <c r="P1368" s="18">
        <v>30118.0</v>
      </c>
    </row>
    <row r="1369" ht="15.75" customHeight="1">
      <c r="A1369" s="9" t="s">
        <v>3743</v>
      </c>
      <c r="B1369" s="17">
        <v>1995.0</v>
      </c>
      <c r="C1369" s="9" t="s">
        <v>4720</v>
      </c>
      <c r="D1369" s="9">
        <v>14.0</v>
      </c>
      <c r="E1369" s="18">
        <f t="shared" si="1"/>
        <v>34986</v>
      </c>
      <c r="F1369" s="9">
        <v>3.0</v>
      </c>
      <c r="G1369" s="19">
        <v>4260.74</v>
      </c>
      <c r="H1369" s="9" t="s">
        <v>4717</v>
      </c>
      <c r="I1369" s="9" t="s">
        <v>4723</v>
      </c>
      <c r="J1369" s="9" t="s">
        <v>4719</v>
      </c>
      <c r="K1369" s="20">
        <f t="shared" si="2"/>
        <v>1995</v>
      </c>
      <c r="L1369" s="9" t="str">
        <f t="shared" si="3"/>
        <v>tier - 3</v>
      </c>
      <c r="M1369" s="9" t="str">
        <f t="shared" si="4"/>
        <v>tier - 2</v>
      </c>
      <c r="N1369" s="9" t="str">
        <f t="shared" si="5"/>
        <v>R1011</v>
      </c>
      <c r="O1369" s="17">
        <f t="shared" si="6"/>
        <v>27</v>
      </c>
      <c r="P1369" s="18">
        <v>34986.0</v>
      </c>
    </row>
    <row r="1370" ht="15.75" customHeight="1">
      <c r="A1370" s="9" t="s">
        <v>3741</v>
      </c>
      <c r="B1370" s="17">
        <v>1983.0</v>
      </c>
      <c r="C1370" s="9" t="s">
        <v>4735</v>
      </c>
      <c r="D1370" s="9">
        <v>20.0</v>
      </c>
      <c r="E1370" s="18">
        <f t="shared" si="1"/>
        <v>30640</v>
      </c>
      <c r="F1370" s="9">
        <v>3.0</v>
      </c>
      <c r="G1370" s="19">
        <v>4265.01</v>
      </c>
      <c r="H1370" s="9" t="s">
        <v>4723</v>
      </c>
      <c r="I1370" s="9" t="s">
        <v>4718</v>
      </c>
      <c r="J1370" s="9" t="s">
        <v>4733</v>
      </c>
      <c r="K1370" s="20">
        <f t="shared" si="2"/>
        <v>1983</v>
      </c>
      <c r="L1370" s="9" t="str">
        <f t="shared" si="3"/>
        <v>tier - 2</v>
      </c>
      <c r="M1370" s="9" t="str">
        <f t="shared" si="4"/>
        <v>tier - 1</v>
      </c>
      <c r="N1370" s="9" t="str">
        <f t="shared" si="5"/>
        <v>R1012</v>
      </c>
      <c r="O1370" s="17">
        <f t="shared" si="6"/>
        <v>39</v>
      </c>
      <c r="P1370" s="18">
        <v>30640.0</v>
      </c>
    </row>
    <row r="1371" ht="15.75" customHeight="1">
      <c r="A1371" s="9" t="s">
        <v>375</v>
      </c>
      <c r="B1371" s="17">
        <v>1992.0</v>
      </c>
      <c r="C1371" s="9" t="s">
        <v>4720</v>
      </c>
      <c r="D1371" s="9">
        <v>9.0</v>
      </c>
      <c r="E1371" s="18">
        <f t="shared" si="1"/>
        <v>33886</v>
      </c>
      <c r="F1371" s="9">
        <v>0.0</v>
      </c>
      <c r="G1371" s="19">
        <v>36572.8</v>
      </c>
      <c r="H1371" s="9" t="s">
        <v>4718</v>
      </c>
      <c r="I1371" s="9" t="s">
        <v>4723</v>
      </c>
      <c r="J1371" s="9" t="s">
        <v>4719</v>
      </c>
      <c r="K1371" s="20">
        <f t="shared" si="2"/>
        <v>1992</v>
      </c>
      <c r="L1371" s="9" t="str">
        <f t="shared" si="3"/>
        <v>tier - 1</v>
      </c>
      <c r="M1371" s="9" t="str">
        <f t="shared" si="4"/>
        <v>tier - 2</v>
      </c>
      <c r="N1371" s="9" t="str">
        <f t="shared" si="5"/>
        <v>R1011</v>
      </c>
      <c r="O1371" s="17">
        <f t="shared" si="6"/>
        <v>30</v>
      </c>
      <c r="P1371" s="18">
        <v>33886.0</v>
      </c>
    </row>
    <row r="1372" ht="15.75" customHeight="1">
      <c r="A1372" s="9" t="s">
        <v>3739</v>
      </c>
      <c r="B1372" s="17">
        <v>1992.0</v>
      </c>
      <c r="C1372" s="9" t="s">
        <v>4730</v>
      </c>
      <c r="D1372" s="9">
        <v>18.0</v>
      </c>
      <c r="E1372" s="18">
        <f t="shared" si="1"/>
        <v>33773</v>
      </c>
      <c r="F1372" s="9">
        <v>2.0</v>
      </c>
      <c r="G1372" s="19">
        <v>4266.17</v>
      </c>
      <c r="H1372" s="9" t="s">
        <v>4717</v>
      </c>
      <c r="I1372" s="9" t="s">
        <v>4723</v>
      </c>
      <c r="J1372" s="9" t="s">
        <v>4743</v>
      </c>
      <c r="K1372" s="20">
        <f t="shared" si="2"/>
        <v>1992</v>
      </c>
      <c r="L1372" s="9" t="str">
        <f t="shared" si="3"/>
        <v>tier - 3</v>
      </c>
      <c r="M1372" s="9" t="str">
        <f t="shared" si="4"/>
        <v>tier - 2</v>
      </c>
      <c r="N1372" s="9" t="str">
        <f t="shared" si="5"/>
        <v>R1013</v>
      </c>
      <c r="O1372" s="17">
        <f t="shared" si="6"/>
        <v>30</v>
      </c>
      <c r="P1372" s="18">
        <v>33773.0</v>
      </c>
    </row>
    <row r="1373" ht="15.75" customHeight="1">
      <c r="A1373" s="9" t="s">
        <v>3737</v>
      </c>
      <c r="B1373" s="17">
        <v>2003.0</v>
      </c>
      <c r="C1373" s="9" t="s">
        <v>4730</v>
      </c>
      <c r="D1373" s="9">
        <v>8.0</v>
      </c>
      <c r="E1373" s="18">
        <f t="shared" si="1"/>
        <v>37780</v>
      </c>
      <c r="F1373" s="9">
        <v>0.0</v>
      </c>
      <c r="G1373" s="19">
        <v>4278.55</v>
      </c>
      <c r="H1373" s="9" t="s">
        <v>4723</v>
      </c>
      <c r="I1373" s="9" t="s">
        <v>4718</v>
      </c>
      <c r="J1373" s="9" t="s">
        <v>4751</v>
      </c>
      <c r="K1373" s="20">
        <f t="shared" si="2"/>
        <v>2003</v>
      </c>
      <c r="L1373" s="9" t="str">
        <f t="shared" si="3"/>
        <v>tier - 2</v>
      </c>
      <c r="M1373" s="9" t="str">
        <f t="shared" si="4"/>
        <v>tier - 1</v>
      </c>
      <c r="N1373" s="9" t="str">
        <f t="shared" si="5"/>
        <v>R1021</v>
      </c>
      <c r="O1373" s="17">
        <f t="shared" si="6"/>
        <v>20</v>
      </c>
      <c r="P1373" s="18">
        <v>37780.0</v>
      </c>
    </row>
    <row r="1374" ht="15.75" customHeight="1">
      <c r="A1374" s="9" t="s">
        <v>3735</v>
      </c>
      <c r="B1374" s="17">
        <v>2000.0</v>
      </c>
      <c r="C1374" s="9" t="s">
        <v>4735</v>
      </c>
      <c r="D1374" s="9">
        <v>25.0</v>
      </c>
      <c r="E1374" s="18">
        <f t="shared" si="1"/>
        <v>36855</v>
      </c>
      <c r="F1374" s="9">
        <v>3.0</v>
      </c>
      <c r="G1374" s="19">
        <v>4296.27</v>
      </c>
      <c r="H1374" s="9" t="s">
        <v>4723</v>
      </c>
      <c r="I1374" s="9" t="s">
        <v>4717</v>
      </c>
      <c r="J1374" s="9" t="s">
        <v>4733</v>
      </c>
      <c r="K1374" s="20">
        <f t="shared" si="2"/>
        <v>2000</v>
      </c>
      <c r="L1374" s="9" t="str">
        <f t="shared" si="3"/>
        <v>tier - 2</v>
      </c>
      <c r="M1374" s="9" t="str">
        <f t="shared" si="4"/>
        <v>tier - 3</v>
      </c>
      <c r="N1374" s="9" t="str">
        <f t="shared" si="5"/>
        <v>R1012</v>
      </c>
      <c r="O1374" s="17">
        <f t="shared" si="6"/>
        <v>22</v>
      </c>
      <c r="P1374" s="18">
        <v>36855.0</v>
      </c>
    </row>
    <row r="1375" ht="15.75" customHeight="1">
      <c r="A1375" s="9" t="s">
        <v>3733</v>
      </c>
      <c r="B1375" s="17">
        <v>1988.0</v>
      </c>
      <c r="C1375" s="9" t="s">
        <v>4725</v>
      </c>
      <c r="D1375" s="9">
        <v>19.0</v>
      </c>
      <c r="E1375" s="18">
        <f t="shared" si="1"/>
        <v>32496</v>
      </c>
      <c r="F1375" s="9">
        <v>0.0</v>
      </c>
      <c r="G1375" s="19">
        <v>4320.41</v>
      </c>
      <c r="H1375" s="9" t="s">
        <v>4723</v>
      </c>
      <c r="I1375" s="9" t="s">
        <v>4718</v>
      </c>
      <c r="J1375" s="9" t="s">
        <v>4733</v>
      </c>
      <c r="K1375" s="20">
        <f t="shared" si="2"/>
        <v>1988</v>
      </c>
      <c r="L1375" s="9" t="str">
        <f t="shared" si="3"/>
        <v>tier - 2</v>
      </c>
      <c r="M1375" s="9" t="str">
        <f t="shared" si="4"/>
        <v>tier - 1</v>
      </c>
      <c r="N1375" s="9" t="str">
        <f t="shared" si="5"/>
        <v>R1012</v>
      </c>
      <c r="O1375" s="17">
        <f t="shared" si="6"/>
        <v>34</v>
      </c>
      <c r="P1375" s="18">
        <v>32496.0</v>
      </c>
    </row>
    <row r="1376" ht="15.75" customHeight="1">
      <c r="A1376" s="9" t="s">
        <v>3731</v>
      </c>
      <c r="B1376" s="17">
        <v>1994.0</v>
      </c>
      <c r="C1376" s="9" t="s">
        <v>4735</v>
      </c>
      <c r="D1376" s="9">
        <v>2.0</v>
      </c>
      <c r="E1376" s="18">
        <f t="shared" si="1"/>
        <v>34640</v>
      </c>
      <c r="F1376" s="9">
        <v>1.0</v>
      </c>
      <c r="G1376" s="19">
        <v>4337.74</v>
      </c>
      <c r="H1376" s="9" t="s">
        <v>4723</v>
      </c>
      <c r="I1376" s="9" t="s">
        <v>4718</v>
      </c>
      <c r="J1376" s="9" t="s">
        <v>4731</v>
      </c>
      <c r="K1376" s="20">
        <f t="shared" si="2"/>
        <v>1994</v>
      </c>
      <c r="L1376" s="9" t="str">
        <f t="shared" si="3"/>
        <v>tier - 2</v>
      </c>
      <c r="M1376" s="9" t="str">
        <f t="shared" si="4"/>
        <v>tier - 1</v>
      </c>
      <c r="N1376" s="9" t="str">
        <f t="shared" si="5"/>
        <v>R1024</v>
      </c>
      <c r="O1376" s="17">
        <f t="shared" si="6"/>
        <v>28</v>
      </c>
      <c r="P1376" s="18">
        <v>34640.0</v>
      </c>
    </row>
    <row r="1377" ht="15.75" customHeight="1">
      <c r="A1377" s="9" t="s">
        <v>3729</v>
      </c>
      <c r="B1377" s="17">
        <v>1994.0</v>
      </c>
      <c r="C1377" s="9" t="s">
        <v>4720</v>
      </c>
      <c r="D1377" s="9">
        <v>26.0</v>
      </c>
      <c r="E1377" s="18">
        <f t="shared" si="1"/>
        <v>34633</v>
      </c>
      <c r="F1377" s="9">
        <v>2.0</v>
      </c>
      <c r="G1377" s="19">
        <v>4340.44</v>
      </c>
      <c r="H1377" s="9" t="s">
        <v>4723</v>
      </c>
      <c r="I1377" s="9" t="s">
        <v>4718</v>
      </c>
      <c r="J1377" s="9" t="s">
        <v>4743</v>
      </c>
      <c r="K1377" s="20">
        <f t="shared" si="2"/>
        <v>1994</v>
      </c>
      <c r="L1377" s="9" t="str">
        <f t="shared" si="3"/>
        <v>tier - 2</v>
      </c>
      <c r="M1377" s="9" t="str">
        <f t="shared" si="4"/>
        <v>tier - 1</v>
      </c>
      <c r="N1377" s="9" t="str">
        <f t="shared" si="5"/>
        <v>R1013</v>
      </c>
      <c r="O1377" s="17">
        <f t="shared" si="6"/>
        <v>28</v>
      </c>
      <c r="P1377" s="18">
        <v>34633.0</v>
      </c>
    </row>
    <row r="1378" ht="15.75" customHeight="1">
      <c r="A1378" s="9" t="s">
        <v>3727</v>
      </c>
      <c r="B1378" s="17">
        <v>1991.0</v>
      </c>
      <c r="C1378" s="9" t="s">
        <v>4730</v>
      </c>
      <c r="D1378" s="9">
        <v>1.0</v>
      </c>
      <c r="E1378" s="18">
        <f t="shared" si="1"/>
        <v>33390</v>
      </c>
      <c r="F1378" s="9">
        <v>0.0</v>
      </c>
      <c r="G1378" s="19">
        <v>4347.02</v>
      </c>
      <c r="H1378" s="9" t="s">
        <v>4723</v>
      </c>
      <c r="I1378" s="9" t="s">
        <v>4718</v>
      </c>
      <c r="J1378" s="9" t="s">
        <v>4731</v>
      </c>
      <c r="K1378" s="20">
        <f t="shared" si="2"/>
        <v>1991</v>
      </c>
      <c r="L1378" s="9" t="str">
        <f t="shared" si="3"/>
        <v>tier - 2</v>
      </c>
      <c r="M1378" s="9" t="str">
        <f t="shared" si="4"/>
        <v>tier - 1</v>
      </c>
      <c r="N1378" s="9" t="str">
        <f t="shared" si="5"/>
        <v>R1024</v>
      </c>
      <c r="O1378" s="17">
        <f t="shared" si="6"/>
        <v>32</v>
      </c>
      <c r="P1378" s="18">
        <v>33390.0</v>
      </c>
    </row>
    <row r="1379" ht="15.75" customHeight="1">
      <c r="A1379" s="9" t="s">
        <v>3725</v>
      </c>
      <c r="B1379" s="17">
        <v>1994.0</v>
      </c>
      <c r="C1379" s="9" t="s">
        <v>4735</v>
      </c>
      <c r="D1379" s="9">
        <v>1.0</v>
      </c>
      <c r="E1379" s="18">
        <f t="shared" si="1"/>
        <v>34639</v>
      </c>
      <c r="F1379" s="9">
        <v>2.0</v>
      </c>
      <c r="G1379" s="19">
        <v>4349.46</v>
      </c>
      <c r="H1379" s="9" t="s">
        <v>4723</v>
      </c>
      <c r="I1379" s="9" t="s">
        <v>4723</v>
      </c>
      <c r="J1379" s="9" t="s">
        <v>4743</v>
      </c>
      <c r="K1379" s="20">
        <f t="shared" si="2"/>
        <v>1994</v>
      </c>
      <c r="L1379" s="9" t="str">
        <f t="shared" si="3"/>
        <v>tier - 2</v>
      </c>
      <c r="M1379" s="9" t="str">
        <f t="shared" si="4"/>
        <v>tier - 2</v>
      </c>
      <c r="N1379" s="9" t="str">
        <f t="shared" si="5"/>
        <v>R1013</v>
      </c>
      <c r="O1379" s="17">
        <f t="shared" si="6"/>
        <v>28</v>
      </c>
      <c r="P1379" s="18">
        <v>34639.0</v>
      </c>
    </row>
    <row r="1380" ht="15.75" customHeight="1">
      <c r="A1380" s="9" t="s">
        <v>3723</v>
      </c>
      <c r="B1380" s="17">
        <v>1991.0</v>
      </c>
      <c r="C1380" s="9" t="s">
        <v>4738</v>
      </c>
      <c r="D1380" s="9">
        <v>13.0</v>
      </c>
      <c r="E1380" s="18">
        <f t="shared" si="1"/>
        <v>33494</v>
      </c>
      <c r="F1380" s="9">
        <v>1.0</v>
      </c>
      <c r="G1380" s="19">
        <v>4350.51</v>
      </c>
      <c r="H1380" s="9" t="s">
        <v>4723</v>
      </c>
      <c r="I1380" s="9" t="s">
        <v>4723</v>
      </c>
      <c r="J1380" s="9" t="s">
        <v>4743</v>
      </c>
      <c r="K1380" s="20">
        <f t="shared" si="2"/>
        <v>1991</v>
      </c>
      <c r="L1380" s="9" t="str">
        <f t="shared" si="3"/>
        <v>tier - 2</v>
      </c>
      <c r="M1380" s="9" t="str">
        <f t="shared" si="4"/>
        <v>tier - 2</v>
      </c>
      <c r="N1380" s="9" t="str">
        <f t="shared" si="5"/>
        <v>R1013</v>
      </c>
      <c r="O1380" s="17">
        <f t="shared" si="6"/>
        <v>31</v>
      </c>
      <c r="P1380" s="18">
        <v>33494.0</v>
      </c>
    </row>
    <row r="1381" ht="15.75" customHeight="1">
      <c r="A1381" s="9" t="s">
        <v>3721</v>
      </c>
      <c r="B1381" s="17">
        <v>1990.0</v>
      </c>
      <c r="C1381" s="9" t="s">
        <v>4716</v>
      </c>
      <c r="D1381" s="9">
        <v>28.0</v>
      </c>
      <c r="E1381" s="18">
        <f t="shared" si="1"/>
        <v>33113</v>
      </c>
      <c r="F1381" s="9">
        <v>0.0</v>
      </c>
      <c r="G1381" s="19">
        <v>4357.04</v>
      </c>
      <c r="H1381" s="9" t="s">
        <v>4723</v>
      </c>
      <c r="I1381" s="9" t="s">
        <v>4717</v>
      </c>
      <c r="J1381" s="9" t="s">
        <v>4733</v>
      </c>
      <c r="K1381" s="20">
        <f t="shared" si="2"/>
        <v>1990</v>
      </c>
      <c r="L1381" s="9" t="str">
        <f t="shared" si="3"/>
        <v>tier - 2</v>
      </c>
      <c r="M1381" s="9" t="str">
        <f t="shared" si="4"/>
        <v>tier - 3</v>
      </c>
      <c r="N1381" s="9" t="str">
        <f t="shared" si="5"/>
        <v>R1012</v>
      </c>
      <c r="O1381" s="17">
        <f t="shared" si="6"/>
        <v>32</v>
      </c>
      <c r="P1381" s="18">
        <v>33113.0</v>
      </c>
    </row>
    <row r="1382" ht="15.75" customHeight="1">
      <c r="A1382" s="9" t="s">
        <v>373</v>
      </c>
      <c r="B1382" s="17">
        <v>1961.0</v>
      </c>
      <c r="C1382" s="9" t="s">
        <v>4741</v>
      </c>
      <c r="D1382" s="9">
        <v>29.0</v>
      </c>
      <c r="E1382" s="18">
        <f t="shared" si="1"/>
        <v>22491</v>
      </c>
      <c r="F1382" s="9">
        <v>4.0</v>
      </c>
      <c r="G1382" s="19">
        <v>36580.28</v>
      </c>
      <c r="H1382" s="9" t="s">
        <v>4723</v>
      </c>
      <c r="I1382" s="9" t="s">
        <v>4723</v>
      </c>
      <c r="J1382" s="9" t="s">
        <v>4743</v>
      </c>
      <c r="K1382" s="20">
        <f t="shared" si="2"/>
        <v>1961</v>
      </c>
      <c r="L1382" s="9" t="str">
        <f t="shared" si="3"/>
        <v>tier - 2</v>
      </c>
      <c r="M1382" s="9" t="str">
        <f t="shared" si="4"/>
        <v>tier - 2</v>
      </c>
      <c r="N1382" s="9" t="str">
        <f t="shared" si="5"/>
        <v>R1013</v>
      </c>
      <c r="O1382" s="17">
        <f t="shared" si="6"/>
        <v>61</v>
      </c>
      <c r="P1382" s="18">
        <v>22491.0</v>
      </c>
    </row>
    <row r="1383" ht="15.75" customHeight="1">
      <c r="A1383" s="9" t="s">
        <v>3719</v>
      </c>
      <c r="B1383" s="17">
        <v>1997.0</v>
      </c>
      <c r="C1383" s="9" t="s">
        <v>4735</v>
      </c>
      <c r="D1383" s="9">
        <v>29.0</v>
      </c>
      <c r="E1383" s="18">
        <f t="shared" si="1"/>
        <v>35763</v>
      </c>
      <c r="F1383" s="9">
        <v>3.0</v>
      </c>
      <c r="G1383" s="19">
        <v>4391.65</v>
      </c>
      <c r="H1383" s="9" t="s">
        <v>4723</v>
      </c>
      <c r="I1383" s="9" t="s">
        <v>4723</v>
      </c>
      <c r="J1383" s="9" t="s">
        <v>4719</v>
      </c>
      <c r="K1383" s="20">
        <f t="shared" si="2"/>
        <v>1997</v>
      </c>
      <c r="L1383" s="9" t="str">
        <f t="shared" si="3"/>
        <v>tier - 2</v>
      </c>
      <c r="M1383" s="9" t="str">
        <f t="shared" si="4"/>
        <v>tier - 2</v>
      </c>
      <c r="N1383" s="9" t="str">
        <f t="shared" si="5"/>
        <v>R1011</v>
      </c>
      <c r="O1383" s="17">
        <f t="shared" si="6"/>
        <v>25</v>
      </c>
      <c r="P1383" s="18">
        <v>35763.0</v>
      </c>
    </row>
    <row r="1384" ht="15.75" customHeight="1">
      <c r="A1384" s="9" t="s">
        <v>3717</v>
      </c>
      <c r="B1384" s="17">
        <v>1982.0</v>
      </c>
      <c r="C1384" s="9" t="s">
        <v>4730</v>
      </c>
      <c r="D1384" s="9">
        <v>29.0</v>
      </c>
      <c r="E1384" s="18">
        <f t="shared" si="1"/>
        <v>30131</v>
      </c>
      <c r="F1384" s="9">
        <v>3.0</v>
      </c>
      <c r="G1384" s="19">
        <v>4392.7</v>
      </c>
      <c r="H1384" s="9" t="s">
        <v>4723</v>
      </c>
      <c r="I1384" s="9" t="s">
        <v>4723</v>
      </c>
      <c r="J1384" s="9" t="s">
        <v>4743</v>
      </c>
      <c r="K1384" s="20">
        <f t="shared" si="2"/>
        <v>1982</v>
      </c>
      <c r="L1384" s="9" t="str">
        <f t="shared" si="3"/>
        <v>tier - 2</v>
      </c>
      <c r="M1384" s="9" t="str">
        <f t="shared" si="4"/>
        <v>tier - 2</v>
      </c>
      <c r="N1384" s="9" t="str">
        <f t="shared" si="5"/>
        <v>R1013</v>
      </c>
      <c r="O1384" s="17">
        <f t="shared" si="6"/>
        <v>40</v>
      </c>
      <c r="P1384" s="18">
        <v>30131.0</v>
      </c>
    </row>
    <row r="1385" ht="15.75" customHeight="1">
      <c r="A1385" s="9" t="s">
        <v>3715</v>
      </c>
      <c r="B1385" s="17">
        <v>1988.0</v>
      </c>
      <c r="C1385" s="9" t="s">
        <v>4741</v>
      </c>
      <c r="D1385" s="9">
        <v>18.0</v>
      </c>
      <c r="E1385" s="18">
        <f t="shared" si="1"/>
        <v>32342</v>
      </c>
      <c r="F1385" s="9">
        <v>3.0</v>
      </c>
      <c r="G1385" s="19">
        <v>4397.31</v>
      </c>
      <c r="H1385" s="9" t="s">
        <v>4723</v>
      </c>
      <c r="I1385" s="9" t="s">
        <v>4723</v>
      </c>
      <c r="J1385" s="9" t="s">
        <v>4743</v>
      </c>
      <c r="K1385" s="20">
        <f t="shared" si="2"/>
        <v>1988</v>
      </c>
      <c r="L1385" s="9" t="str">
        <f t="shared" si="3"/>
        <v>tier - 2</v>
      </c>
      <c r="M1385" s="9" t="str">
        <f t="shared" si="4"/>
        <v>tier - 2</v>
      </c>
      <c r="N1385" s="9" t="str">
        <f t="shared" si="5"/>
        <v>R1013</v>
      </c>
      <c r="O1385" s="17">
        <f t="shared" si="6"/>
        <v>34</v>
      </c>
      <c r="P1385" s="18">
        <v>32342.0</v>
      </c>
    </row>
    <row r="1386" ht="15.75" customHeight="1">
      <c r="A1386" s="9" t="s">
        <v>3713</v>
      </c>
      <c r="B1386" s="17">
        <v>1986.0</v>
      </c>
      <c r="C1386" s="9" t="s">
        <v>4716</v>
      </c>
      <c r="D1386" s="9">
        <v>11.0</v>
      </c>
      <c r="E1386" s="18">
        <f t="shared" si="1"/>
        <v>31635</v>
      </c>
      <c r="F1386" s="9">
        <v>0.0</v>
      </c>
      <c r="G1386" s="19">
        <v>4399.73</v>
      </c>
      <c r="H1386" s="9" t="s">
        <v>4717</v>
      </c>
      <c r="I1386" s="9" t="s">
        <v>4723</v>
      </c>
      <c r="J1386" s="9" t="s">
        <v>4743</v>
      </c>
      <c r="K1386" s="20">
        <f t="shared" si="2"/>
        <v>1986</v>
      </c>
      <c r="L1386" s="9" t="str">
        <f t="shared" si="3"/>
        <v>tier - 3</v>
      </c>
      <c r="M1386" s="9" t="str">
        <f t="shared" si="4"/>
        <v>tier - 2</v>
      </c>
      <c r="N1386" s="9" t="str">
        <f t="shared" si="5"/>
        <v>R1013</v>
      </c>
      <c r="O1386" s="17">
        <f t="shared" si="6"/>
        <v>36</v>
      </c>
      <c r="P1386" s="18">
        <v>31635.0</v>
      </c>
    </row>
    <row r="1387" ht="15.75" customHeight="1">
      <c r="A1387" s="9" t="s">
        <v>3711</v>
      </c>
      <c r="B1387" s="17">
        <v>1986.0</v>
      </c>
      <c r="C1387" s="9" t="s">
        <v>4741</v>
      </c>
      <c r="D1387" s="9">
        <v>13.0</v>
      </c>
      <c r="E1387" s="18">
        <f t="shared" si="1"/>
        <v>31606</v>
      </c>
      <c r="F1387" s="9">
        <v>0.0</v>
      </c>
      <c r="G1387" s="19">
        <v>4402.23</v>
      </c>
      <c r="H1387" s="9" t="s">
        <v>4723</v>
      </c>
      <c r="I1387" s="9" t="s">
        <v>4723</v>
      </c>
      <c r="J1387" s="9" t="s">
        <v>4719</v>
      </c>
      <c r="K1387" s="20">
        <f t="shared" si="2"/>
        <v>1986</v>
      </c>
      <c r="L1387" s="9" t="str">
        <f t="shared" si="3"/>
        <v>tier - 2</v>
      </c>
      <c r="M1387" s="9" t="str">
        <f t="shared" si="4"/>
        <v>tier - 2</v>
      </c>
      <c r="N1387" s="9" t="str">
        <f t="shared" si="5"/>
        <v>R1011</v>
      </c>
      <c r="O1387" s="17">
        <f t="shared" si="6"/>
        <v>36</v>
      </c>
      <c r="P1387" s="18">
        <v>31606.0</v>
      </c>
    </row>
    <row r="1388" ht="15.75" customHeight="1">
      <c r="A1388" s="9" t="s">
        <v>3709</v>
      </c>
      <c r="B1388" s="17">
        <v>1988.0</v>
      </c>
      <c r="C1388" s="9" t="s">
        <v>4738</v>
      </c>
      <c r="D1388" s="9">
        <v>16.0</v>
      </c>
      <c r="E1388" s="18">
        <f t="shared" si="1"/>
        <v>32402</v>
      </c>
      <c r="F1388" s="9">
        <v>0.0</v>
      </c>
      <c r="G1388" s="19">
        <v>4415.16</v>
      </c>
      <c r="H1388" s="9" t="s">
        <v>4723</v>
      </c>
      <c r="I1388" s="9" t="s">
        <v>4718</v>
      </c>
      <c r="J1388" s="9" t="s">
        <v>4743</v>
      </c>
      <c r="K1388" s="20">
        <f t="shared" si="2"/>
        <v>1988</v>
      </c>
      <c r="L1388" s="9" t="str">
        <f t="shared" si="3"/>
        <v>tier - 2</v>
      </c>
      <c r="M1388" s="9" t="str">
        <f t="shared" si="4"/>
        <v>tier - 1</v>
      </c>
      <c r="N1388" s="9" t="str">
        <f t="shared" si="5"/>
        <v>R1013</v>
      </c>
      <c r="O1388" s="17">
        <f t="shared" si="6"/>
        <v>34</v>
      </c>
      <c r="P1388" s="18">
        <v>32402.0</v>
      </c>
    </row>
    <row r="1389" ht="15.75" customHeight="1">
      <c r="A1389" s="9" t="s">
        <v>3707</v>
      </c>
      <c r="B1389" s="17">
        <v>1992.0</v>
      </c>
      <c r="C1389" s="9" t="s">
        <v>4716</v>
      </c>
      <c r="D1389" s="9">
        <v>15.0</v>
      </c>
      <c r="E1389" s="18">
        <f t="shared" si="1"/>
        <v>33831</v>
      </c>
      <c r="F1389" s="9">
        <v>0.0</v>
      </c>
      <c r="G1389" s="19">
        <v>4420.95</v>
      </c>
      <c r="H1389" s="9" t="s">
        <v>4723</v>
      </c>
      <c r="I1389" s="9" t="s">
        <v>4717</v>
      </c>
      <c r="J1389" s="9" t="s">
        <v>4755</v>
      </c>
      <c r="K1389" s="20">
        <f t="shared" si="2"/>
        <v>1992</v>
      </c>
      <c r="L1389" s="9" t="str">
        <f t="shared" si="3"/>
        <v>tier - 2</v>
      </c>
      <c r="M1389" s="9" t="str">
        <f t="shared" si="4"/>
        <v>tier - 3</v>
      </c>
      <c r="N1389" s="9" t="str">
        <f t="shared" si="5"/>
        <v>R1020</v>
      </c>
      <c r="O1389" s="17">
        <f t="shared" si="6"/>
        <v>30</v>
      </c>
      <c r="P1389" s="18">
        <v>33831.0</v>
      </c>
    </row>
    <row r="1390" ht="15.75" customHeight="1">
      <c r="A1390" s="9" t="s">
        <v>3705</v>
      </c>
      <c r="B1390" s="17">
        <v>1994.0</v>
      </c>
      <c r="C1390" s="9" t="s">
        <v>4725</v>
      </c>
      <c r="D1390" s="9">
        <v>29.0</v>
      </c>
      <c r="E1390" s="18">
        <f t="shared" si="1"/>
        <v>34697</v>
      </c>
      <c r="F1390" s="9">
        <v>2.0</v>
      </c>
      <c r="G1390" s="19">
        <v>4428.89</v>
      </c>
      <c r="H1390" s="9" t="s">
        <v>4717</v>
      </c>
      <c r="I1390" s="9" t="s">
        <v>4718</v>
      </c>
      <c r="J1390" s="9" t="s">
        <v>4753</v>
      </c>
      <c r="K1390" s="20">
        <f t="shared" si="2"/>
        <v>1994</v>
      </c>
      <c r="L1390" s="9" t="str">
        <f t="shared" si="3"/>
        <v>tier - 3</v>
      </c>
      <c r="M1390" s="9" t="str">
        <f t="shared" si="4"/>
        <v>tier - 1</v>
      </c>
      <c r="N1390" s="9" t="str">
        <f t="shared" si="5"/>
        <v>R1017</v>
      </c>
      <c r="O1390" s="17">
        <f t="shared" si="6"/>
        <v>28</v>
      </c>
      <c r="P1390" s="18">
        <v>34697.0</v>
      </c>
    </row>
    <row r="1391" ht="15.75" customHeight="1">
      <c r="A1391" s="9" t="s">
        <v>3703</v>
      </c>
      <c r="B1391" s="17">
        <v>1993.0</v>
      </c>
      <c r="C1391" s="9" t="s">
        <v>4738</v>
      </c>
      <c r="D1391" s="9">
        <v>4.0</v>
      </c>
      <c r="E1391" s="18">
        <f t="shared" si="1"/>
        <v>34216</v>
      </c>
      <c r="F1391" s="9">
        <v>2.0</v>
      </c>
      <c r="G1391" s="19">
        <v>4433.39</v>
      </c>
      <c r="H1391" s="9" t="s">
        <v>4723</v>
      </c>
      <c r="I1391" s="9" t="s">
        <v>4717</v>
      </c>
      <c r="J1391" s="9" t="s">
        <v>4733</v>
      </c>
      <c r="K1391" s="20">
        <f t="shared" si="2"/>
        <v>1993</v>
      </c>
      <c r="L1391" s="9" t="str">
        <f t="shared" si="3"/>
        <v>tier - 2</v>
      </c>
      <c r="M1391" s="9" t="str">
        <f t="shared" si="4"/>
        <v>tier - 3</v>
      </c>
      <c r="N1391" s="9" t="str">
        <f t="shared" si="5"/>
        <v>R1012</v>
      </c>
      <c r="O1391" s="17">
        <f t="shared" si="6"/>
        <v>29</v>
      </c>
      <c r="P1391" s="18">
        <v>34216.0</v>
      </c>
    </row>
    <row r="1392" ht="15.75" customHeight="1">
      <c r="A1392" s="9" t="s">
        <v>3701</v>
      </c>
      <c r="B1392" s="17">
        <v>1993.0</v>
      </c>
      <c r="C1392" s="9" t="s">
        <v>4725</v>
      </c>
      <c r="D1392" s="9">
        <v>23.0</v>
      </c>
      <c r="E1392" s="18">
        <f t="shared" si="1"/>
        <v>34326</v>
      </c>
      <c r="F1392" s="9">
        <v>2.0</v>
      </c>
      <c r="G1392" s="19">
        <v>4433.92</v>
      </c>
      <c r="H1392" s="9" t="s">
        <v>4723</v>
      </c>
      <c r="I1392" s="9" t="s">
        <v>4723</v>
      </c>
      <c r="J1392" s="9" t="s">
        <v>4733</v>
      </c>
      <c r="K1392" s="20">
        <f t="shared" si="2"/>
        <v>1993</v>
      </c>
      <c r="L1392" s="9" t="str">
        <f t="shared" si="3"/>
        <v>tier - 2</v>
      </c>
      <c r="M1392" s="9" t="str">
        <f t="shared" si="4"/>
        <v>tier - 2</v>
      </c>
      <c r="N1392" s="9" t="str">
        <f t="shared" si="5"/>
        <v>R1012</v>
      </c>
      <c r="O1392" s="17">
        <f t="shared" si="6"/>
        <v>29</v>
      </c>
      <c r="P1392" s="18">
        <v>34326.0</v>
      </c>
    </row>
    <row r="1393" ht="15.75" customHeight="1">
      <c r="A1393" s="9" t="s">
        <v>371</v>
      </c>
      <c r="B1393" s="17">
        <v>1970.0</v>
      </c>
      <c r="C1393" s="9" t="s">
        <v>4741</v>
      </c>
      <c r="D1393" s="9">
        <v>14.0</v>
      </c>
      <c r="E1393" s="18">
        <f t="shared" si="1"/>
        <v>25763</v>
      </c>
      <c r="F1393" s="9">
        <v>0.0</v>
      </c>
      <c r="G1393" s="19">
        <v>36786.37</v>
      </c>
      <c r="H1393" s="9" t="s">
        <v>4718</v>
      </c>
      <c r="I1393" s="9" t="s">
        <v>4718</v>
      </c>
      <c r="J1393" s="9" t="s">
        <v>4719</v>
      </c>
      <c r="K1393" s="20">
        <f t="shared" si="2"/>
        <v>1970</v>
      </c>
      <c r="L1393" s="9" t="str">
        <f t="shared" si="3"/>
        <v>tier - 1</v>
      </c>
      <c r="M1393" s="9" t="str">
        <f t="shared" si="4"/>
        <v>tier - 1</v>
      </c>
      <c r="N1393" s="9" t="str">
        <f t="shared" si="5"/>
        <v>R1011</v>
      </c>
      <c r="O1393" s="17">
        <f t="shared" si="6"/>
        <v>52</v>
      </c>
      <c r="P1393" s="18">
        <v>25763.0</v>
      </c>
    </row>
    <row r="1394" ht="15.75" customHeight="1">
      <c r="A1394" s="9" t="s">
        <v>3699</v>
      </c>
      <c r="B1394" s="17">
        <v>1994.0</v>
      </c>
      <c r="C1394" s="9" t="s">
        <v>4720</v>
      </c>
      <c r="D1394" s="9">
        <v>8.0</v>
      </c>
      <c r="E1394" s="18">
        <f t="shared" si="1"/>
        <v>34615</v>
      </c>
      <c r="F1394" s="9">
        <v>2.0</v>
      </c>
      <c r="G1394" s="19">
        <v>4435.09</v>
      </c>
      <c r="H1394" s="9" t="s">
        <v>4717</v>
      </c>
      <c r="I1394" s="9" t="s">
        <v>4723</v>
      </c>
      <c r="J1394" s="9" t="s">
        <v>4754</v>
      </c>
      <c r="K1394" s="20">
        <f t="shared" si="2"/>
        <v>1994</v>
      </c>
      <c r="L1394" s="9" t="str">
        <f t="shared" si="3"/>
        <v>tier - 3</v>
      </c>
      <c r="M1394" s="9" t="str">
        <f t="shared" si="4"/>
        <v>tier - 2</v>
      </c>
      <c r="N1394" s="9" t="str">
        <f t="shared" si="5"/>
        <v>R1016</v>
      </c>
      <c r="O1394" s="17">
        <f t="shared" si="6"/>
        <v>28</v>
      </c>
      <c r="P1394" s="18">
        <v>34615.0</v>
      </c>
    </row>
    <row r="1395" ht="15.75" customHeight="1">
      <c r="A1395" s="9" t="s">
        <v>3697</v>
      </c>
      <c r="B1395" s="17">
        <v>1994.0</v>
      </c>
      <c r="C1395" s="9" t="s">
        <v>4720</v>
      </c>
      <c r="D1395" s="9">
        <v>24.0</v>
      </c>
      <c r="E1395" s="18">
        <f t="shared" si="1"/>
        <v>34631</v>
      </c>
      <c r="F1395" s="9">
        <v>2.0</v>
      </c>
      <c r="G1395" s="19">
        <v>4438.26</v>
      </c>
      <c r="H1395" s="9" t="s">
        <v>4723</v>
      </c>
      <c r="I1395" s="9" t="s">
        <v>4717</v>
      </c>
      <c r="J1395" s="9" t="s">
        <v>4753</v>
      </c>
      <c r="K1395" s="20">
        <f t="shared" si="2"/>
        <v>1994</v>
      </c>
      <c r="L1395" s="9" t="str">
        <f t="shared" si="3"/>
        <v>tier - 2</v>
      </c>
      <c r="M1395" s="9" t="str">
        <f t="shared" si="4"/>
        <v>tier - 3</v>
      </c>
      <c r="N1395" s="9" t="str">
        <f t="shared" si="5"/>
        <v>R1017</v>
      </c>
      <c r="O1395" s="17">
        <f t="shared" si="6"/>
        <v>28</v>
      </c>
      <c r="P1395" s="18">
        <v>34631.0</v>
      </c>
    </row>
    <row r="1396" ht="15.75" customHeight="1">
      <c r="A1396" s="9" t="s">
        <v>3695</v>
      </c>
      <c r="B1396" s="17">
        <v>1991.0</v>
      </c>
      <c r="C1396" s="9" t="s">
        <v>4738</v>
      </c>
      <c r="D1396" s="9">
        <v>3.0</v>
      </c>
      <c r="E1396" s="18">
        <f t="shared" si="1"/>
        <v>33484</v>
      </c>
      <c r="F1396" s="9">
        <v>1.0</v>
      </c>
      <c r="G1396" s="19">
        <v>4441.21</v>
      </c>
      <c r="H1396" s="9" t="s">
        <v>4718</v>
      </c>
      <c r="I1396" s="9" t="s">
        <v>4723</v>
      </c>
      <c r="J1396" s="9" t="s">
        <v>4752</v>
      </c>
      <c r="K1396" s="20">
        <f t="shared" si="2"/>
        <v>1991</v>
      </c>
      <c r="L1396" s="9" t="str">
        <f t="shared" si="3"/>
        <v>tier - 1</v>
      </c>
      <c r="M1396" s="9" t="str">
        <f t="shared" si="4"/>
        <v>tier - 2</v>
      </c>
      <c r="N1396" s="9" t="str">
        <f t="shared" si="5"/>
        <v>R1014</v>
      </c>
      <c r="O1396" s="17">
        <f t="shared" si="6"/>
        <v>31</v>
      </c>
      <c r="P1396" s="18">
        <v>33484.0</v>
      </c>
    </row>
    <row r="1397" ht="15.75" customHeight="1">
      <c r="A1397" s="9" t="s">
        <v>3693</v>
      </c>
      <c r="B1397" s="17">
        <v>1994.0</v>
      </c>
      <c r="C1397" s="9" t="s">
        <v>4730</v>
      </c>
      <c r="D1397" s="9">
        <v>28.0</v>
      </c>
      <c r="E1397" s="18">
        <f t="shared" si="1"/>
        <v>34513</v>
      </c>
      <c r="F1397" s="9">
        <v>3.0</v>
      </c>
      <c r="G1397" s="19">
        <v>4449.46</v>
      </c>
      <c r="H1397" s="9" t="s">
        <v>4718</v>
      </c>
      <c r="I1397" s="9" t="s">
        <v>4723</v>
      </c>
      <c r="J1397" s="9" t="s">
        <v>4743</v>
      </c>
      <c r="K1397" s="20">
        <f t="shared" si="2"/>
        <v>1994</v>
      </c>
      <c r="L1397" s="9" t="str">
        <f t="shared" si="3"/>
        <v>tier - 1</v>
      </c>
      <c r="M1397" s="9" t="str">
        <f t="shared" si="4"/>
        <v>tier - 2</v>
      </c>
      <c r="N1397" s="9" t="str">
        <f t="shared" si="5"/>
        <v>R1013</v>
      </c>
      <c r="O1397" s="17">
        <f t="shared" si="6"/>
        <v>28</v>
      </c>
      <c r="P1397" s="18">
        <v>34513.0</v>
      </c>
    </row>
    <row r="1398" ht="15.75" customHeight="1">
      <c r="A1398" s="9" t="s">
        <v>3691</v>
      </c>
      <c r="B1398" s="17">
        <v>1990.0</v>
      </c>
      <c r="C1398" s="9" t="s">
        <v>4716</v>
      </c>
      <c r="D1398" s="9">
        <v>8.0</v>
      </c>
      <c r="E1398" s="18">
        <f t="shared" si="1"/>
        <v>33093</v>
      </c>
      <c r="F1398" s="9">
        <v>1.0</v>
      </c>
      <c r="G1398" s="19">
        <v>4454.4</v>
      </c>
      <c r="H1398" s="9" t="s">
        <v>4723</v>
      </c>
      <c r="I1398" s="9" t="s">
        <v>4717</v>
      </c>
      <c r="J1398" s="9" t="s">
        <v>4733</v>
      </c>
      <c r="K1398" s="20">
        <f t="shared" si="2"/>
        <v>1990</v>
      </c>
      <c r="L1398" s="9" t="str">
        <f t="shared" si="3"/>
        <v>tier - 2</v>
      </c>
      <c r="M1398" s="9" t="str">
        <f t="shared" si="4"/>
        <v>tier - 3</v>
      </c>
      <c r="N1398" s="9" t="str">
        <f t="shared" si="5"/>
        <v>R1012</v>
      </c>
      <c r="O1398" s="17">
        <f t="shared" si="6"/>
        <v>32</v>
      </c>
      <c r="P1398" s="18">
        <v>33093.0</v>
      </c>
    </row>
    <row r="1399" ht="15.75" customHeight="1">
      <c r="A1399" s="9" t="s">
        <v>3689</v>
      </c>
      <c r="B1399" s="17">
        <v>1990.0</v>
      </c>
      <c r="C1399" s="9" t="s">
        <v>4741</v>
      </c>
      <c r="D1399" s="9">
        <v>15.0</v>
      </c>
      <c r="E1399" s="18">
        <f t="shared" si="1"/>
        <v>33069</v>
      </c>
      <c r="F1399" s="9">
        <v>1.0</v>
      </c>
      <c r="G1399" s="19">
        <v>4462.72</v>
      </c>
      <c r="H1399" s="9" t="s">
        <v>4723</v>
      </c>
      <c r="I1399" s="9" t="s">
        <v>4717</v>
      </c>
      <c r="J1399" s="9" t="s">
        <v>4733</v>
      </c>
      <c r="K1399" s="20">
        <f t="shared" si="2"/>
        <v>1990</v>
      </c>
      <c r="L1399" s="9" t="str">
        <f t="shared" si="3"/>
        <v>tier - 2</v>
      </c>
      <c r="M1399" s="9" t="str">
        <f t="shared" si="4"/>
        <v>tier - 3</v>
      </c>
      <c r="N1399" s="9" t="str">
        <f t="shared" si="5"/>
        <v>R1012</v>
      </c>
      <c r="O1399" s="17">
        <f t="shared" si="6"/>
        <v>32</v>
      </c>
      <c r="P1399" s="18">
        <v>33069.0</v>
      </c>
    </row>
    <row r="1400" ht="15.75" customHeight="1">
      <c r="A1400" s="9" t="s">
        <v>3687</v>
      </c>
      <c r="B1400" s="17">
        <v>1991.0</v>
      </c>
      <c r="C1400" s="9" t="s">
        <v>4741</v>
      </c>
      <c r="D1400" s="9">
        <v>4.0</v>
      </c>
      <c r="E1400" s="18">
        <f t="shared" si="1"/>
        <v>33423</v>
      </c>
      <c r="F1400" s="9">
        <v>2.0</v>
      </c>
      <c r="G1400" s="19">
        <v>4463.21</v>
      </c>
      <c r="H1400" s="9" t="s">
        <v>4717</v>
      </c>
      <c r="I1400" s="9" t="s">
        <v>4717</v>
      </c>
      <c r="J1400" s="9" t="s">
        <v>4743</v>
      </c>
      <c r="K1400" s="20">
        <f t="shared" si="2"/>
        <v>1991</v>
      </c>
      <c r="L1400" s="9" t="str">
        <f t="shared" si="3"/>
        <v>tier - 3</v>
      </c>
      <c r="M1400" s="9" t="str">
        <f t="shared" si="4"/>
        <v>tier - 3</v>
      </c>
      <c r="N1400" s="9" t="str">
        <f t="shared" si="5"/>
        <v>R1013</v>
      </c>
      <c r="O1400" s="17">
        <f t="shared" si="6"/>
        <v>31</v>
      </c>
      <c r="P1400" s="18">
        <v>33423.0</v>
      </c>
    </row>
    <row r="1401" ht="15.75" customHeight="1">
      <c r="A1401" s="9" t="s">
        <v>3685</v>
      </c>
      <c r="B1401" s="17">
        <v>1999.0</v>
      </c>
      <c r="C1401" s="9" t="s">
        <v>4735</v>
      </c>
      <c r="D1401" s="9">
        <v>20.0</v>
      </c>
      <c r="E1401" s="18">
        <f t="shared" si="1"/>
        <v>36484</v>
      </c>
      <c r="F1401" s="9">
        <v>3.0</v>
      </c>
      <c r="G1401" s="19">
        <v>4466.62</v>
      </c>
      <c r="H1401" s="9" t="s">
        <v>4723</v>
      </c>
      <c r="I1401" s="9" t="s">
        <v>4723</v>
      </c>
      <c r="J1401" s="9" t="s">
        <v>4733</v>
      </c>
      <c r="K1401" s="20">
        <f t="shared" si="2"/>
        <v>1999</v>
      </c>
      <c r="L1401" s="9" t="str">
        <f t="shared" si="3"/>
        <v>tier - 2</v>
      </c>
      <c r="M1401" s="9" t="str">
        <f t="shared" si="4"/>
        <v>tier - 2</v>
      </c>
      <c r="N1401" s="9" t="str">
        <f t="shared" si="5"/>
        <v>R1012</v>
      </c>
      <c r="O1401" s="17">
        <f t="shared" si="6"/>
        <v>23</v>
      </c>
      <c r="P1401" s="18">
        <v>36484.0</v>
      </c>
    </row>
    <row r="1402" ht="15.75" customHeight="1">
      <c r="A1402" s="9" t="s">
        <v>3683</v>
      </c>
      <c r="B1402" s="17">
        <v>2004.0</v>
      </c>
      <c r="C1402" s="9" t="s">
        <v>4741</v>
      </c>
      <c r="D1402" s="9">
        <v>18.0</v>
      </c>
      <c r="E1402" s="18">
        <f t="shared" si="1"/>
        <v>38186</v>
      </c>
      <c r="F1402" s="9">
        <v>0.0</v>
      </c>
      <c r="G1402" s="19">
        <v>4468.25</v>
      </c>
      <c r="H1402" s="9" t="s">
        <v>4723</v>
      </c>
      <c r="I1402" s="9" t="s">
        <v>4723</v>
      </c>
      <c r="J1402" s="9" t="s">
        <v>4733</v>
      </c>
      <c r="K1402" s="20">
        <f t="shared" si="2"/>
        <v>2004</v>
      </c>
      <c r="L1402" s="9" t="str">
        <f t="shared" si="3"/>
        <v>tier - 2</v>
      </c>
      <c r="M1402" s="9" t="str">
        <f t="shared" si="4"/>
        <v>tier - 2</v>
      </c>
      <c r="N1402" s="9" t="str">
        <f t="shared" si="5"/>
        <v>R1012</v>
      </c>
      <c r="O1402" s="17">
        <f t="shared" si="6"/>
        <v>18</v>
      </c>
      <c r="P1402" s="18">
        <v>38186.0</v>
      </c>
    </row>
    <row r="1403" ht="15.75" customHeight="1">
      <c r="A1403" s="9" t="s">
        <v>3681</v>
      </c>
      <c r="B1403" s="17">
        <v>1992.0</v>
      </c>
      <c r="C1403" s="9" t="s">
        <v>4741</v>
      </c>
      <c r="D1403" s="9">
        <v>12.0</v>
      </c>
      <c r="E1403" s="18">
        <f t="shared" si="1"/>
        <v>33797</v>
      </c>
      <c r="F1403" s="9">
        <v>0.0</v>
      </c>
      <c r="G1403" s="19">
        <v>4488.58</v>
      </c>
      <c r="H1403" s="9" t="s">
        <v>4723</v>
      </c>
      <c r="I1403" s="9" t="s">
        <v>4717</v>
      </c>
      <c r="J1403" s="9" t="s">
        <v>4733</v>
      </c>
      <c r="K1403" s="20">
        <f t="shared" si="2"/>
        <v>1992</v>
      </c>
      <c r="L1403" s="9" t="str">
        <f t="shared" si="3"/>
        <v>tier - 2</v>
      </c>
      <c r="M1403" s="9" t="str">
        <f t="shared" si="4"/>
        <v>tier - 3</v>
      </c>
      <c r="N1403" s="9" t="str">
        <f t="shared" si="5"/>
        <v>R1012</v>
      </c>
      <c r="O1403" s="17">
        <f t="shared" si="6"/>
        <v>30</v>
      </c>
      <c r="P1403" s="18">
        <v>33797.0</v>
      </c>
    </row>
    <row r="1404" ht="15.75" customHeight="1">
      <c r="A1404" s="9" t="s">
        <v>369</v>
      </c>
      <c r="B1404" s="17">
        <v>1965.0</v>
      </c>
      <c r="C1404" s="9" t="s">
        <v>4725</v>
      </c>
      <c r="D1404" s="9">
        <v>28.0</v>
      </c>
      <c r="E1404" s="18">
        <f t="shared" si="1"/>
        <v>24104</v>
      </c>
      <c r="F1404" s="9">
        <v>0.0</v>
      </c>
      <c r="G1404" s="19">
        <v>36795.29</v>
      </c>
      <c r="H1404" s="9" t="s">
        <v>4723</v>
      </c>
      <c r="I1404" s="9" t="s">
        <v>4718</v>
      </c>
      <c r="J1404" s="9" t="s">
        <v>4719</v>
      </c>
      <c r="K1404" s="20">
        <f t="shared" si="2"/>
        <v>1965</v>
      </c>
      <c r="L1404" s="9" t="str">
        <f t="shared" si="3"/>
        <v>tier - 2</v>
      </c>
      <c r="M1404" s="9" t="str">
        <f t="shared" si="4"/>
        <v>tier - 1</v>
      </c>
      <c r="N1404" s="9" t="str">
        <f t="shared" si="5"/>
        <v>R1011</v>
      </c>
      <c r="O1404" s="17">
        <f t="shared" si="6"/>
        <v>57</v>
      </c>
      <c r="P1404" s="18">
        <v>24104.0</v>
      </c>
    </row>
    <row r="1405" ht="15.75" customHeight="1">
      <c r="A1405" s="9" t="s">
        <v>3679</v>
      </c>
      <c r="B1405" s="17">
        <v>1988.0</v>
      </c>
      <c r="C1405" s="9" t="s">
        <v>4730</v>
      </c>
      <c r="D1405" s="9">
        <v>26.0</v>
      </c>
      <c r="E1405" s="18">
        <f t="shared" si="1"/>
        <v>32320</v>
      </c>
      <c r="F1405" s="9">
        <v>0.0</v>
      </c>
      <c r="G1405" s="19">
        <v>4500.34</v>
      </c>
      <c r="H1405" s="9" t="s">
        <v>4723</v>
      </c>
      <c r="I1405" s="9" t="s">
        <v>4718</v>
      </c>
      <c r="J1405" s="9" t="s">
        <v>4753</v>
      </c>
      <c r="K1405" s="20">
        <f t="shared" si="2"/>
        <v>1988</v>
      </c>
      <c r="L1405" s="9" t="str">
        <f t="shared" si="3"/>
        <v>tier - 2</v>
      </c>
      <c r="M1405" s="9" t="str">
        <f t="shared" si="4"/>
        <v>tier - 1</v>
      </c>
      <c r="N1405" s="9" t="str">
        <f t="shared" si="5"/>
        <v>R1017</v>
      </c>
      <c r="O1405" s="17">
        <f t="shared" si="6"/>
        <v>34</v>
      </c>
      <c r="P1405" s="18">
        <v>32320.0</v>
      </c>
    </row>
    <row r="1406" ht="15.75" customHeight="1">
      <c r="A1406" s="9" t="s">
        <v>3677</v>
      </c>
      <c r="B1406" s="17">
        <v>1997.0</v>
      </c>
      <c r="C1406" s="9" t="s">
        <v>4720</v>
      </c>
      <c r="D1406" s="9">
        <v>13.0</v>
      </c>
      <c r="E1406" s="18">
        <f t="shared" si="1"/>
        <v>35716</v>
      </c>
      <c r="F1406" s="9">
        <v>4.0</v>
      </c>
      <c r="G1406" s="19">
        <v>4504.66</v>
      </c>
      <c r="H1406" s="9" t="s">
        <v>4718</v>
      </c>
      <c r="I1406" s="9" t="s">
        <v>4723</v>
      </c>
      <c r="J1406" s="9" t="s">
        <v>4743</v>
      </c>
      <c r="K1406" s="20">
        <f t="shared" si="2"/>
        <v>1997</v>
      </c>
      <c r="L1406" s="9" t="str">
        <f t="shared" si="3"/>
        <v>tier - 1</v>
      </c>
      <c r="M1406" s="9" t="str">
        <f t="shared" si="4"/>
        <v>tier - 2</v>
      </c>
      <c r="N1406" s="9" t="str">
        <f t="shared" si="5"/>
        <v>R1013</v>
      </c>
      <c r="O1406" s="17">
        <f t="shared" si="6"/>
        <v>25</v>
      </c>
      <c r="P1406" s="18">
        <v>35716.0</v>
      </c>
    </row>
    <row r="1407" ht="15.75" customHeight="1">
      <c r="A1407" s="9" t="s">
        <v>3675</v>
      </c>
      <c r="B1407" s="17">
        <v>1982.0</v>
      </c>
      <c r="C1407" s="9" t="s">
        <v>4738</v>
      </c>
      <c r="D1407" s="9">
        <v>27.0</v>
      </c>
      <c r="E1407" s="18">
        <f t="shared" si="1"/>
        <v>30221</v>
      </c>
      <c r="F1407" s="9">
        <v>3.0</v>
      </c>
      <c r="G1407" s="19">
        <v>4511.41</v>
      </c>
      <c r="H1407" s="9" t="s">
        <v>4723</v>
      </c>
      <c r="I1407" s="9" t="s">
        <v>4717</v>
      </c>
      <c r="J1407" s="9" t="s">
        <v>4743</v>
      </c>
      <c r="K1407" s="20">
        <f t="shared" si="2"/>
        <v>1982</v>
      </c>
      <c r="L1407" s="9" t="str">
        <f t="shared" si="3"/>
        <v>tier - 2</v>
      </c>
      <c r="M1407" s="9" t="str">
        <f t="shared" si="4"/>
        <v>tier - 3</v>
      </c>
      <c r="N1407" s="9" t="str">
        <f t="shared" si="5"/>
        <v>R1013</v>
      </c>
      <c r="O1407" s="17">
        <f t="shared" si="6"/>
        <v>40</v>
      </c>
      <c r="P1407" s="18">
        <v>30221.0</v>
      </c>
    </row>
    <row r="1408" ht="15.75" customHeight="1">
      <c r="A1408" s="9" t="s">
        <v>3673</v>
      </c>
      <c r="B1408" s="17">
        <v>1980.0</v>
      </c>
      <c r="C1408" s="9" t="s">
        <v>4730</v>
      </c>
      <c r="D1408" s="9">
        <v>16.0</v>
      </c>
      <c r="E1408" s="18">
        <f t="shared" si="1"/>
        <v>29388</v>
      </c>
      <c r="F1408" s="9">
        <v>2.0</v>
      </c>
      <c r="G1408" s="19">
        <v>4515.71</v>
      </c>
      <c r="H1408" s="9" t="s">
        <v>4723</v>
      </c>
      <c r="I1408" s="9" t="s">
        <v>4717</v>
      </c>
      <c r="J1408" s="9" t="s">
        <v>4743</v>
      </c>
      <c r="K1408" s="20">
        <f t="shared" si="2"/>
        <v>1980</v>
      </c>
      <c r="L1408" s="9" t="str">
        <f t="shared" si="3"/>
        <v>tier - 2</v>
      </c>
      <c r="M1408" s="9" t="str">
        <f t="shared" si="4"/>
        <v>tier - 3</v>
      </c>
      <c r="N1408" s="9" t="str">
        <f t="shared" si="5"/>
        <v>R1013</v>
      </c>
      <c r="O1408" s="17">
        <f t="shared" si="6"/>
        <v>42</v>
      </c>
      <c r="P1408" s="18">
        <v>29388.0</v>
      </c>
    </row>
    <row r="1409" ht="15.75" customHeight="1">
      <c r="A1409" s="9" t="s">
        <v>3671</v>
      </c>
      <c r="B1409" s="17">
        <v>2003.0</v>
      </c>
      <c r="C1409" s="9" t="s">
        <v>4720</v>
      </c>
      <c r="D1409" s="9">
        <v>2.0</v>
      </c>
      <c r="E1409" s="18">
        <f t="shared" si="1"/>
        <v>37896</v>
      </c>
      <c r="F1409" s="9">
        <v>0.0</v>
      </c>
      <c r="G1409" s="19">
        <v>4518.4</v>
      </c>
      <c r="H1409" s="9" t="s">
        <v>4723</v>
      </c>
      <c r="I1409" s="9" t="s">
        <v>4717</v>
      </c>
      <c r="J1409" s="9" t="s">
        <v>4721</v>
      </c>
      <c r="K1409" s="20">
        <f t="shared" si="2"/>
        <v>2003</v>
      </c>
      <c r="L1409" s="9" t="str">
        <f t="shared" si="3"/>
        <v>tier - 2</v>
      </c>
      <c r="M1409" s="9" t="str">
        <f t="shared" si="4"/>
        <v>tier - 3</v>
      </c>
      <c r="N1409" s="9" t="str">
        <f t="shared" si="5"/>
        <v>R1026</v>
      </c>
      <c r="O1409" s="17">
        <f t="shared" si="6"/>
        <v>19</v>
      </c>
      <c r="P1409" s="18">
        <v>37896.0</v>
      </c>
    </row>
    <row r="1410" ht="15.75" customHeight="1">
      <c r="A1410" s="9" t="s">
        <v>3669</v>
      </c>
      <c r="B1410" s="17">
        <v>1987.0</v>
      </c>
      <c r="C1410" s="9" t="s">
        <v>4725</v>
      </c>
      <c r="D1410" s="9">
        <v>5.0</v>
      </c>
      <c r="E1410" s="18">
        <f t="shared" si="1"/>
        <v>32116</v>
      </c>
      <c r="F1410" s="9">
        <v>3.0</v>
      </c>
      <c r="G1410" s="19">
        <v>4518.77</v>
      </c>
      <c r="H1410" s="9" t="s">
        <v>4723</v>
      </c>
      <c r="I1410" s="9" t="s">
        <v>4717</v>
      </c>
      <c r="J1410" s="9" t="s">
        <v>4733</v>
      </c>
      <c r="K1410" s="20">
        <f t="shared" si="2"/>
        <v>1987</v>
      </c>
      <c r="L1410" s="9" t="str">
        <f t="shared" si="3"/>
        <v>tier - 2</v>
      </c>
      <c r="M1410" s="9" t="str">
        <f t="shared" si="4"/>
        <v>tier - 3</v>
      </c>
      <c r="N1410" s="9" t="str">
        <f t="shared" si="5"/>
        <v>R1012</v>
      </c>
      <c r="O1410" s="17">
        <f t="shared" si="6"/>
        <v>35</v>
      </c>
      <c r="P1410" s="18">
        <v>32116.0</v>
      </c>
    </row>
    <row r="1411" ht="15.75" customHeight="1">
      <c r="A1411" s="9" t="s">
        <v>3667</v>
      </c>
      <c r="B1411" s="17">
        <v>1988.0</v>
      </c>
      <c r="C1411" s="9" t="s">
        <v>4725</v>
      </c>
      <c r="D1411" s="9">
        <v>21.0</v>
      </c>
      <c r="E1411" s="18">
        <f t="shared" si="1"/>
        <v>32498</v>
      </c>
      <c r="F1411" s="9">
        <v>0.0</v>
      </c>
      <c r="G1411" s="19">
        <v>4518.83</v>
      </c>
      <c r="H1411" s="9" t="s">
        <v>4723</v>
      </c>
      <c r="I1411" s="9" t="s">
        <v>4723</v>
      </c>
      <c r="J1411" s="9" t="s">
        <v>4753</v>
      </c>
      <c r="K1411" s="20">
        <f t="shared" si="2"/>
        <v>1988</v>
      </c>
      <c r="L1411" s="9" t="str">
        <f t="shared" si="3"/>
        <v>tier - 2</v>
      </c>
      <c r="M1411" s="9" t="str">
        <f t="shared" si="4"/>
        <v>tier - 2</v>
      </c>
      <c r="N1411" s="9" t="str">
        <f t="shared" si="5"/>
        <v>R1017</v>
      </c>
      <c r="O1411" s="17">
        <f t="shared" si="6"/>
        <v>34</v>
      </c>
      <c r="P1411" s="18">
        <v>32498.0</v>
      </c>
    </row>
    <row r="1412" ht="15.75" customHeight="1">
      <c r="A1412" s="9" t="s">
        <v>3665</v>
      </c>
      <c r="B1412" s="17">
        <v>1992.0</v>
      </c>
      <c r="C1412" s="9" t="s">
        <v>4716</v>
      </c>
      <c r="D1412" s="9">
        <v>13.0</v>
      </c>
      <c r="E1412" s="18">
        <f t="shared" si="1"/>
        <v>33829</v>
      </c>
      <c r="F1412" s="9">
        <v>1.0</v>
      </c>
      <c r="G1412" s="19">
        <v>4527.18</v>
      </c>
      <c r="H1412" s="9" t="s">
        <v>4723</v>
      </c>
      <c r="I1412" s="9" t="s">
        <v>4723</v>
      </c>
      <c r="J1412" s="9" t="s">
        <v>4733</v>
      </c>
      <c r="K1412" s="20">
        <f t="shared" si="2"/>
        <v>1992</v>
      </c>
      <c r="L1412" s="9" t="str">
        <f t="shared" si="3"/>
        <v>tier - 2</v>
      </c>
      <c r="M1412" s="9" t="str">
        <f t="shared" si="4"/>
        <v>tier - 2</v>
      </c>
      <c r="N1412" s="9" t="str">
        <f t="shared" si="5"/>
        <v>R1012</v>
      </c>
      <c r="O1412" s="17">
        <f t="shared" si="6"/>
        <v>30</v>
      </c>
      <c r="P1412" s="18">
        <v>33829.0</v>
      </c>
    </row>
    <row r="1413" ht="15.75" customHeight="1">
      <c r="A1413" s="9" t="s">
        <v>3663</v>
      </c>
      <c r="B1413" s="17">
        <v>1993.0</v>
      </c>
      <c r="C1413" s="9" t="s">
        <v>4730</v>
      </c>
      <c r="D1413" s="9">
        <v>29.0</v>
      </c>
      <c r="E1413" s="18">
        <f t="shared" si="1"/>
        <v>34149</v>
      </c>
      <c r="F1413" s="9">
        <v>2.0</v>
      </c>
      <c r="G1413" s="19">
        <v>4529.48</v>
      </c>
      <c r="H1413" s="9" t="s">
        <v>4723</v>
      </c>
      <c r="I1413" s="9" t="s">
        <v>4718</v>
      </c>
      <c r="J1413" s="9" t="s">
        <v>4719</v>
      </c>
      <c r="K1413" s="20">
        <f t="shared" si="2"/>
        <v>1993</v>
      </c>
      <c r="L1413" s="9" t="str">
        <f t="shared" si="3"/>
        <v>tier - 2</v>
      </c>
      <c r="M1413" s="9" t="str">
        <f t="shared" si="4"/>
        <v>tier - 1</v>
      </c>
      <c r="N1413" s="9" t="str">
        <f t="shared" si="5"/>
        <v>R1011</v>
      </c>
      <c r="O1413" s="17">
        <f t="shared" si="6"/>
        <v>29</v>
      </c>
      <c r="P1413" s="18">
        <v>34149.0</v>
      </c>
    </row>
    <row r="1414" ht="15.75" customHeight="1">
      <c r="A1414" s="9" t="s">
        <v>3661</v>
      </c>
      <c r="B1414" s="17">
        <v>1988.0</v>
      </c>
      <c r="C1414" s="9" t="s">
        <v>4730</v>
      </c>
      <c r="D1414" s="9">
        <v>13.0</v>
      </c>
      <c r="E1414" s="18">
        <f t="shared" si="1"/>
        <v>32307</v>
      </c>
      <c r="F1414" s="9">
        <v>1.0</v>
      </c>
      <c r="G1414" s="19">
        <v>4536.26</v>
      </c>
      <c r="H1414" s="9" t="s">
        <v>4723</v>
      </c>
      <c r="I1414" s="9" t="s">
        <v>4723</v>
      </c>
      <c r="J1414" s="9" t="s">
        <v>4719</v>
      </c>
      <c r="K1414" s="20">
        <f t="shared" si="2"/>
        <v>1988</v>
      </c>
      <c r="L1414" s="9" t="str">
        <f t="shared" si="3"/>
        <v>tier - 2</v>
      </c>
      <c r="M1414" s="9" t="str">
        <f t="shared" si="4"/>
        <v>tier - 2</v>
      </c>
      <c r="N1414" s="9" t="str">
        <f t="shared" si="5"/>
        <v>R1011</v>
      </c>
      <c r="O1414" s="17">
        <f t="shared" si="6"/>
        <v>34</v>
      </c>
      <c r="P1414" s="18">
        <v>32307.0</v>
      </c>
    </row>
    <row r="1415" ht="15.75" customHeight="1">
      <c r="A1415" s="9" t="s">
        <v>367</v>
      </c>
      <c r="B1415" s="17">
        <v>1992.0</v>
      </c>
      <c r="C1415" s="9" t="s">
        <v>4741</v>
      </c>
      <c r="D1415" s="9">
        <v>4.0</v>
      </c>
      <c r="E1415" s="18">
        <f t="shared" si="1"/>
        <v>33789</v>
      </c>
      <c r="F1415" s="9">
        <v>0.0</v>
      </c>
      <c r="G1415" s="19">
        <v>36837.47</v>
      </c>
      <c r="H1415" s="9" t="s">
        <v>4723</v>
      </c>
      <c r="I1415" s="9" t="s">
        <v>4717</v>
      </c>
      <c r="J1415" s="9" t="s">
        <v>4719</v>
      </c>
      <c r="K1415" s="20">
        <f t="shared" si="2"/>
        <v>1992</v>
      </c>
      <c r="L1415" s="9" t="str">
        <f t="shared" si="3"/>
        <v>tier - 2</v>
      </c>
      <c r="M1415" s="9" t="str">
        <f t="shared" si="4"/>
        <v>tier - 3</v>
      </c>
      <c r="N1415" s="9" t="str">
        <f t="shared" si="5"/>
        <v>R1011</v>
      </c>
      <c r="O1415" s="17">
        <f t="shared" si="6"/>
        <v>30</v>
      </c>
      <c r="P1415" s="18">
        <v>33789.0</v>
      </c>
    </row>
    <row r="1416" ht="15.75" customHeight="1">
      <c r="A1416" s="9" t="s">
        <v>3659</v>
      </c>
      <c r="B1416" s="17">
        <v>1990.0</v>
      </c>
      <c r="C1416" s="9" t="s">
        <v>4735</v>
      </c>
      <c r="D1416" s="9">
        <v>17.0</v>
      </c>
      <c r="E1416" s="18">
        <f t="shared" si="1"/>
        <v>33194</v>
      </c>
      <c r="F1416" s="9">
        <v>0.0</v>
      </c>
      <c r="G1416" s="19">
        <v>4544.23</v>
      </c>
      <c r="H1416" s="9" t="s">
        <v>4723</v>
      </c>
      <c r="I1416" s="9" t="s">
        <v>4718</v>
      </c>
      <c r="J1416" s="9" t="s">
        <v>4731</v>
      </c>
      <c r="K1416" s="20">
        <f t="shared" si="2"/>
        <v>1990</v>
      </c>
      <c r="L1416" s="9" t="str">
        <f t="shared" si="3"/>
        <v>tier - 2</v>
      </c>
      <c r="M1416" s="9" t="str">
        <f t="shared" si="4"/>
        <v>tier - 1</v>
      </c>
      <c r="N1416" s="9" t="str">
        <f t="shared" si="5"/>
        <v>R1024</v>
      </c>
      <c r="O1416" s="17">
        <f t="shared" si="6"/>
        <v>32</v>
      </c>
      <c r="P1416" s="18">
        <v>33194.0</v>
      </c>
    </row>
    <row r="1417" ht="15.75" customHeight="1">
      <c r="A1417" s="9" t="s">
        <v>3657</v>
      </c>
      <c r="B1417" s="17">
        <v>2004.0</v>
      </c>
      <c r="C1417" s="9" t="s">
        <v>4725</v>
      </c>
      <c r="D1417" s="9">
        <v>22.0</v>
      </c>
      <c r="E1417" s="18">
        <f t="shared" si="1"/>
        <v>38343</v>
      </c>
      <c r="F1417" s="9">
        <v>4.0</v>
      </c>
      <c r="G1417" s="19">
        <v>4561.19</v>
      </c>
      <c r="H1417" s="9" t="s">
        <v>4723</v>
      </c>
      <c r="I1417" s="9" t="s">
        <v>4723</v>
      </c>
      <c r="J1417" s="9" t="s">
        <v>4731</v>
      </c>
      <c r="K1417" s="20">
        <f t="shared" si="2"/>
        <v>2004</v>
      </c>
      <c r="L1417" s="9" t="str">
        <f t="shared" si="3"/>
        <v>tier - 2</v>
      </c>
      <c r="M1417" s="9" t="str">
        <f t="shared" si="4"/>
        <v>tier - 2</v>
      </c>
      <c r="N1417" s="9" t="str">
        <f t="shared" si="5"/>
        <v>R1024</v>
      </c>
      <c r="O1417" s="17">
        <f t="shared" si="6"/>
        <v>18</v>
      </c>
      <c r="P1417" s="18">
        <v>38343.0</v>
      </c>
    </row>
    <row r="1418" ht="15.75" customHeight="1">
      <c r="A1418" s="9" t="s">
        <v>3655</v>
      </c>
      <c r="B1418" s="17">
        <v>1990.0</v>
      </c>
      <c r="C1418" s="9" t="s">
        <v>4738</v>
      </c>
      <c r="D1418" s="9">
        <v>20.0</v>
      </c>
      <c r="E1418" s="18">
        <f t="shared" si="1"/>
        <v>33136</v>
      </c>
      <c r="F1418" s="9">
        <v>1.0</v>
      </c>
      <c r="G1418" s="19">
        <v>4562.84</v>
      </c>
      <c r="H1418" s="9" t="s">
        <v>4723</v>
      </c>
      <c r="I1418" s="9" t="s">
        <v>4723</v>
      </c>
      <c r="J1418" s="9" t="s">
        <v>4743</v>
      </c>
      <c r="K1418" s="20">
        <f t="shared" si="2"/>
        <v>1990</v>
      </c>
      <c r="L1418" s="9" t="str">
        <f t="shared" si="3"/>
        <v>tier - 2</v>
      </c>
      <c r="M1418" s="9" t="str">
        <f t="shared" si="4"/>
        <v>tier - 2</v>
      </c>
      <c r="N1418" s="9" t="str">
        <f t="shared" si="5"/>
        <v>R1013</v>
      </c>
      <c r="O1418" s="17">
        <f t="shared" si="6"/>
        <v>32</v>
      </c>
      <c r="P1418" s="18">
        <v>33136.0</v>
      </c>
    </row>
    <row r="1419" ht="15.75" customHeight="1">
      <c r="A1419" s="9" t="s">
        <v>3653</v>
      </c>
      <c r="B1419" s="17">
        <v>1996.0</v>
      </c>
      <c r="C1419" s="9" t="s">
        <v>4725</v>
      </c>
      <c r="D1419" s="9">
        <v>25.0</v>
      </c>
      <c r="E1419" s="18">
        <f t="shared" si="1"/>
        <v>35424</v>
      </c>
      <c r="F1419" s="9">
        <v>2.0</v>
      </c>
      <c r="G1419" s="19">
        <v>4564.19</v>
      </c>
      <c r="H1419" s="9" t="s">
        <v>4723</v>
      </c>
      <c r="I1419" s="9" t="s">
        <v>4723</v>
      </c>
      <c r="J1419" s="9" t="s">
        <v>4731</v>
      </c>
      <c r="K1419" s="20">
        <f t="shared" si="2"/>
        <v>1996</v>
      </c>
      <c r="L1419" s="9" t="str">
        <f t="shared" si="3"/>
        <v>tier - 2</v>
      </c>
      <c r="M1419" s="9" t="str">
        <f t="shared" si="4"/>
        <v>tier - 2</v>
      </c>
      <c r="N1419" s="9" t="str">
        <f t="shared" si="5"/>
        <v>R1024</v>
      </c>
      <c r="O1419" s="17">
        <f t="shared" si="6"/>
        <v>26</v>
      </c>
      <c r="P1419" s="18">
        <v>35424.0</v>
      </c>
    </row>
    <row r="1420" ht="15.75" customHeight="1">
      <c r="A1420" s="9" t="s">
        <v>3651</v>
      </c>
      <c r="B1420" s="17">
        <v>1989.0</v>
      </c>
      <c r="C1420" s="9" t="s">
        <v>4738</v>
      </c>
      <c r="D1420" s="9">
        <v>18.0</v>
      </c>
      <c r="E1420" s="18">
        <f t="shared" si="1"/>
        <v>32769</v>
      </c>
      <c r="F1420" s="9">
        <v>0.0</v>
      </c>
      <c r="G1420" s="19">
        <v>4571.41</v>
      </c>
      <c r="H1420" s="9" t="s">
        <v>4723</v>
      </c>
      <c r="I1420" s="9" t="s">
        <v>4723</v>
      </c>
      <c r="J1420" s="9" t="s">
        <v>4733</v>
      </c>
      <c r="K1420" s="20">
        <f t="shared" si="2"/>
        <v>1989</v>
      </c>
      <c r="L1420" s="9" t="str">
        <f t="shared" si="3"/>
        <v>tier - 2</v>
      </c>
      <c r="M1420" s="9" t="str">
        <f t="shared" si="4"/>
        <v>tier - 2</v>
      </c>
      <c r="N1420" s="9" t="str">
        <f t="shared" si="5"/>
        <v>R1012</v>
      </c>
      <c r="O1420" s="17">
        <f t="shared" si="6"/>
        <v>33</v>
      </c>
      <c r="P1420" s="18">
        <v>32769.0</v>
      </c>
    </row>
    <row r="1421" ht="15.75" customHeight="1">
      <c r="A1421" s="9" t="s">
        <v>3649</v>
      </c>
      <c r="B1421" s="17">
        <v>2000.0</v>
      </c>
      <c r="C1421" s="9" t="s">
        <v>4741</v>
      </c>
      <c r="D1421" s="9">
        <v>2.0</v>
      </c>
      <c r="E1421" s="18">
        <f t="shared" si="1"/>
        <v>36709</v>
      </c>
      <c r="F1421" s="9">
        <v>0.0</v>
      </c>
      <c r="G1421" s="19">
        <v>4608.03</v>
      </c>
      <c r="H1421" s="9" t="s">
        <v>4723</v>
      </c>
      <c r="I1421" s="9" t="s">
        <v>4717</v>
      </c>
      <c r="J1421" s="9" t="s">
        <v>4719</v>
      </c>
      <c r="K1421" s="20">
        <f t="shared" si="2"/>
        <v>2000</v>
      </c>
      <c r="L1421" s="9" t="str">
        <f t="shared" si="3"/>
        <v>tier - 2</v>
      </c>
      <c r="M1421" s="9" t="str">
        <f t="shared" si="4"/>
        <v>tier - 3</v>
      </c>
      <c r="N1421" s="9" t="str">
        <f t="shared" si="5"/>
        <v>R1011</v>
      </c>
      <c r="O1421" s="17">
        <f t="shared" si="6"/>
        <v>22</v>
      </c>
      <c r="P1421" s="18">
        <v>36709.0</v>
      </c>
    </row>
    <row r="1422" ht="15.75" customHeight="1">
      <c r="A1422" s="9" t="s">
        <v>3647</v>
      </c>
      <c r="B1422" s="17">
        <v>1998.0</v>
      </c>
      <c r="C1422" s="9" t="s">
        <v>4730</v>
      </c>
      <c r="D1422" s="9">
        <v>29.0</v>
      </c>
      <c r="E1422" s="18">
        <f t="shared" si="1"/>
        <v>35975</v>
      </c>
      <c r="F1422" s="9">
        <v>3.0</v>
      </c>
      <c r="G1422" s="19">
        <v>4618.08</v>
      </c>
      <c r="H1422" s="9" t="s">
        <v>4723</v>
      </c>
      <c r="I1422" s="9" t="s">
        <v>4718</v>
      </c>
      <c r="J1422" s="9" t="s">
        <v>4733</v>
      </c>
      <c r="K1422" s="20">
        <f t="shared" si="2"/>
        <v>1998</v>
      </c>
      <c r="L1422" s="9" t="str">
        <f t="shared" si="3"/>
        <v>tier - 2</v>
      </c>
      <c r="M1422" s="9" t="str">
        <f t="shared" si="4"/>
        <v>tier - 1</v>
      </c>
      <c r="N1422" s="9" t="str">
        <f t="shared" si="5"/>
        <v>R1012</v>
      </c>
      <c r="O1422" s="17">
        <f t="shared" si="6"/>
        <v>24</v>
      </c>
      <c r="P1422" s="18">
        <v>35975.0</v>
      </c>
    </row>
    <row r="1423" ht="15.75" customHeight="1">
      <c r="A1423" s="9" t="s">
        <v>3645</v>
      </c>
      <c r="B1423" s="17">
        <v>1985.0</v>
      </c>
      <c r="C1423" s="9" t="s">
        <v>4730</v>
      </c>
      <c r="D1423" s="9">
        <v>22.0</v>
      </c>
      <c r="E1423" s="18">
        <f t="shared" si="1"/>
        <v>31220</v>
      </c>
      <c r="F1423" s="9">
        <v>0.0</v>
      </c>
      <c r="G1423" s="19">
        <v>4646.76</v>
      </c>
      <c r="H1423" s="9" t="s">
        <v>4718</v>
      </c>
      <c r="I1423" s="9" t="s">
        <v>4718</v>
      </c>
      <c r="J1423" s="9" t="s">
        <v>4719</v>
      </c>
      <c r="K1423" s="20">
        <f t="shared" si="2"/>
        <v>1985</v>
      </c>
      <c r="L1423" s="9" t="str">
        <f t="shared" si="3"/>
        <v>tier - 1</v>
      </c>
      <c r="M1423" s="9" t="str">
        <f t="shared" si="4"/>
        <v>tier - 1</v>
      </c>
      <c r="N1423" s="9" t="str">
        <f t="shared" si="5"/>
        <v>R1011</v>
      </c>
      <c r="O1423" s="17">
        <f t="shared" si="6"/>
        <v>37</v>
      </c>
      <c r="P1423" s="18">
        <v>31220.0</v>
      </c>
    </row>
    <row r="1424" ht="15.75" customHeight="1">
      <c r="A1424" s="9" t="s">
        <v>3643</v>
      </c>
      <c r="B1424" s="17">
        <v>1996.0</v>
      </c>
      <c r="C1424" s="9" t="s">
        <v>4720</v>
      </c>
      <c r="D1424" s="9">
        <v>25.0</v>
      </c>
      <c r="E1424" s="18">
        <f t="shared" si="1"/>
        <v>35363</v>
      </c>
      <c r="F1424" s="9">
        <v>3.0</v>
      </c>
      <c r="G1424" s="19">
        <v>4661.29</v>
      </c>
      <c r="H1424" s="9" t="s">
        <v>4723</v>
      </c>
      <c r="I1424" s="9" t="s">
        <v>4718</v>
      </c>
      <c r="J1424" s="9" t="s">
        <v>4753</v>
      </c>
      <c r="K1424" s="20">
        <f t="shared" si="2"/>
        <v>1996</v>
      </c>
      <c r="L1424" s="9" t="str">
        <f t="shared" si="3"/>
        <v>tier - 2</v>
      </c>
      <c r="M1424" s="9" t="str">
        <f t="shared" si="4"/>
        <v>tier - 1</v>
      </c>
      <c r="N1424" s="9" t="str">
        <f t="shared" si="5"/>
        <v>R1017</v>
      </c>
      <c r="O1424" s="17">
        <f t="shared" si="6"/>
        <v>26</v>
      </c>
      <c r="P1424" s="18">
        <v>35363.0</v>
      </c>
    </row>
    <row r="1425" ht="15.75" customHeight="1">
      <c r="A1425" s="9" t="s">
        <v>3641</v>
      </c>
      <c r="B1425" s="17">
        <v>1990.0</v>
      </c>
      <c r="C1425" s="9" t="s">
        <v>4716</v>
      </c>
      <c r="D1425" s="9">
        <v>5.0</v>
      </c>
      <c r="E1425" s="18">
        <f t="shared" si="1"/>
        <v>33090</v>
      </c>
      <c r="F1425" s="9">
        <v>1.0</v>
      </c>
      <c r="G1425" s="19">
        <v>4667.61</v>
      </c>
      <c r="H1425" s="9" t="s">
        <v>4717</v>
      </c>
      <c r="I1425" s="9" t="s">
        <v>4717</v>
      </c>
      <c r="J1425" s="9" t="s">
        <v>4754</v>
      </c>
      <c r="K1425" s="20">
        <f t="shared" si="2"/>
        <v>1990</v>
      </c>
      <c r="L1425" s="9" t="str">
        <f t="shared" si="3"/>
        <v>tier - 3</v>
      </c>
      <c r="M1425" s="9" t="str">
        <f t="shared" si="4"/>
        <v>tier - 3</v>
      </c>
      <c r="N1425" s="9" t="str">
        <f t="shared" si="5"/>
        <v>R1016</v>
      </c>
      <c r="O1425" s="17">
        <f t="shared" si="6"/>
        <v>32</v>
      </c>
      <c r="P1425" s="18">
        <v>33090.0</v>
      </c>
    </row>
    <row r="1426" ht="15.75" customHeight="1">
      <c r="A1426" s="9" t="s">
        <v>365</v>
      </c>
      <c r="B1426" s="17">
        <v>1972.0</v>
      </c>
      <c r="C1426" s="9" t="s">
        <v>4725</v>
      </c>
      <c r="D1426" s="9">
        <v>5.0</v>
      </c>
      <c r="E1426" s="18">
        <f t="shared" si="1"/>
        <v>26638</v>
      </c>
      <c r="F1426" s="9">
        <v>0.0</v>
      </c>
      <c r="G1426" s="19">
        <v>36889.99</v>
      </c>
      <c r="H1426" s="9" t="s">
        <v>4718</v>
      </c>
      <c r="I1426" s="9" t="s">
        <v>4717</v>
      </c>
      <c r="J1426" s="9" t="s">
        <v>4719</v>
      </c>
      <c r="K1426" s="20">
        <f t="shared" si="2"/>
        <v>1972</v>
      </c>
      <c r="L1426" s="9" t="str">
        <f t="shared" si="3"/>
        <v>tier - 1</v>
      </c>
      <c r="M1426" s="9" t="str">
        <f t="shared" si="4"/>
        <v>tier - 3</v>
      </c>
      <c r="N1426" s="9" t="str">
        <f t="shared" si="5"/>
        <v>R1011</v>
      </c>
      <c r="O1426" s="17">
        <f t="shared" si="6"/>
        <v>50</v>
      </c>
      <c r="P1426" s="18">
        <v>26638.0</v>
      </c>
    </row>
    <row r="1427" ht="15.75" customHeight="1">
      <c r="A1427" s="9" t="s">
        <v>3639</v>
      </c>
      <c r="B1427" s="17">
        <v>1990.0</v>
      </c>
      <c r="C1427" s="9" t="s">
        <v>4738</v>
      </c>
      <c r="D1427" s="9">
        <v>26.0</v>
      </c>
      <c r="E1427" s="18">
        <f t="shared" si="1"/>
        <v>33142</v>
      </c>
      <c r="F1427" s="9">
        <v>2.0</v>
      </c>
      <c r="G1427" s="19">
        <v>4670.64</v>
      </c>
      <c r="H1427" s="9" t="s">
        <v>4723</v>
      </c>
      <c r="I1427" s="9" t="s">
        <v>4723</v>
      </c>
      <c r="J1427" s="9" t="s">
        <v>4719</v>
      </c>
      <c r="K1427" s="20">
        <f t="shared" si="2"/>
        <v>1990</v>
      </c>
      <c r="L1427" s="9" t="str">
        <f t="shared" si="3"/>
        <v>tier - 2</v>
      </c>
      <c r="M1427" s="9" t="str">
        <f t="shared" si="4"/>
        <v>tier - 2</v>
      </c>
      <c r="N1427" s="9" t="str">
        <f t="shared" si="5"/>
        <v>R1011</v>
      </c>
      <c r="O1427" s="17">
        <f t="shared" si="6"/>
        <v>32</v>
      </c>
      <c r="P1427" s="18">
        <v>33142.0</v>
      </c>
    </row>
    <row r="1428" ht="15.75" customHeight="1">
      <c r="A1428" s="9" t="s">
        <v>3637</v>
      </c>
      <c r="B1428" s="17">
        <v>1990.0</v>
      </c>
      <c r="C1428" s="9" t="s">
        <v>4741</v>
      </c>
      <c r="D1428" s="9">
        <v>13.0</v>
      </c>
      <c r="E1428" s="18">
        <f t="shared" si="1"/>
        <v>33067</v>
      </c>
      <c r="F1428" s="9">
        <v>2.0</v>
      </c>
      <c r="G1428" s="19">
        <v>4673.39</v>
      </c>
      <c r="H1428" s="9" t="s">
        <v>4723</v>
      </c>
      <c r="I1428" s="9" t="s">
        <v>4718</v>
      </c>
      <c r="J1428" s="9" t="s">
        <v>4743</v>
      </c>
      <c r="K1428" s="20">
        <f t="shared" si="2"/>
        <v>1990</v>
      </c>
      <c r="L1428" s="9" t="str">
        <f t="shared" si="3"/>
        <v>tier - 2</v>
      </c>
      <c r="M1428" s="9" t="str">
        <f t="shared" si="4"/>
        <v>tier - 1</v>
      </c>
      <c r="N1428" s="9" t="str">
        <f t="shared" si="5"/>
        <v>R1013</v>
      </c>
      <c r="O1428" s="17">
        <f t="shared" si="6"/>
        <v>32</v>
      </c>
      <c r="P1428" s="18">
        <v>33067.0</v>
      </c>
    </row>
    <row r="1429" ht="15.75" customHeight="1">
      <c r="A1429" s="9" t="s">
        <v>3635</v>
      </c>
      <c r="B1429" s="17">
        <v>1979.0</v>
      </c>
      <c r="C1429" s="9" t="s">
        <v>4720</v>
      </c>
      <c r="D1429" s="9">
        <v>18.0</v>
      </c>
      <c r="E1429" s="18">
        <f t="shared" si="1"/>
        <v>29146</v>
      </c>
      <c r="F1429" s="9">
        <v>2.0</v>
      </c>
      <c r="G1429" s="19">
        <v>4674.2</v>
      </c>
      <c r="H1429" s="9" t="s">
        <v>4723</v>
      </c>
      <c r="I1429" s="9" t="s">
        <v>4718</v>
      </c>
      <c r="J1429" s="9" t="s">
        <v>4743</v>
      </c>
      <c r="K1429" s="20">
        <f t="shared" si="2"/>
        <v>1979</v>
      </c>
      <c r="L1429" s="9" t="str">
        <f t="shared" si="3"/>
        <v>tier - 2</v>
      </c>
      <c r="M1429" s="9" t="str">
        <f t="shared" si="4"/>
        <v>tier - 1</v>
      </c>
      <c r="N1429" s="9" t="str">
        <f t="shared" si="5"/>
        <v>R1013</v>
      </c>
      <c r="O1429" s="17">
        <f t="shared" si="6"/>
        <v>43</v>
      </c>
      <c r="P1429" s="18">
        <v>29146.0</v>
      </c>
    </row>
    <row r="1430" ht="15.75" customHeight="1">
      <c r="A1430" s="9" t="s">
        <v>3633</v>
      </c>
      <c r="B1430" s="17">
        <v>2003.0</v>
      </c>
      <c r="C1430" s="9" t="s">
        <v>4720</v>
      </c>
      <c r="D1430" s="9">
        <v>4.0</v>
      </c>
      <c r="E1430" s="18">
        <f t="shared" si="1"/>
        <v>37898</v>
      </c>
      <c r="F1430" s="9">
        <v>0.0</v>
      </c>
      <c r="G1430" s="19">
        <v>4678.8</v>
      </c>
      <c r="H1430" s="9" t="s">
        <v>4723</v>
      </c>
      <c r="I1430" s="9" t="s">
        <v>4718</v>
      </c>
      <c r="J1430" s="9" t="s">
        <v>4751</v>
      </c>
      <c r="K1430" s="20">
        <f t="shared" si="2"/>
        <v>2003</v>
      </c>
      <c r="L1430" s="9" t="str">
        <f t="shared" si="3"/>
        <v>tier - 2</v>
      </c>
      <c r="M1430" s="9" t="str">
        <f t="shared" si="4"/>
        <v>tier - 1</v>
      </c>
      <c r="N1430" s="9" t="str">
        <f t="shared" si="5"/>
        <v>R1021</v>
      </c>
      <c r="O1430" s="17">
        <f t="shared" si="6"/>
        <v>19</v>
      </c>
      <c r="P1430" s="18">
        <v>37898.0</v>
      </c>
    </row>
    <row r="1431" ht="15.75" customHeight="1">
      <c r="A1431" s="9" t="s">
        <v>3631</v>
      </c>
      <c r="B1431" s="17">
        <v>1990.0</v>
      </c>
      <c r="C1431" s="9" t="s">
        <v>4738</v>
      </c>
      <c r="D1431" s="9">
        <v>4.0</v>
      </c>
      <c r="E1431" s="18">
        <f t="shared" si="1"/>
        <v>33120</v>
      </c>
      <c r="F1431" s="9">
        <v>2.0</v>
      </c>
      <c r="G1431" s="19">
        <v>4686.39</v>
      </c>
      <c r="H1431" s="9" t="s">
        <v>4717</v>
      </c>
      <c r="I1431" s="9" t="s">
        <v>4717</v>
      </c>
      <c r="J1431" s="9" t="s">
        <v>4743</v>
      </c>
      <c r="K1431" s="20">
        <f t="shared" si="2"/>
        <v>1990</v>
      </c>
      <c r="L1431" s="9" t="str">
        <f t="shared" si="3"/>
        <v>tier - 3</v>
      </c>
      <c r="M1431" s="9" t="str">
        <f t="shared" si="4"/>
        <v>tier - 3</v>
      </c>
      <c r="N1431" s="9" t="str">
        <f t="shared" si="5"/>
        <v>R1013</v>
      </c>
      <c r="O1431" s="17">
        <f t="shared" si="6"/>
        <v>32</v>
      </c>
      <c r="P1431" s="18">
        <v>33120.0</v>
      </c>
    </row>
    <row r="1432" ht="15.75" customHeight="1">
      <c r="A1432" s="9" t="s">
        <v>3629</v>
      </c>
      <c r="B1432" s="17">
        <v>2003.0</v>
      </c>
      <c r="C1432" s="9" t="s">
        <v>4730</v>
      </c>
      <c r="D1432" s="9">
        <v>22.0</v>
      </c>
      <c r="E1432" s="18">
        <f t="shared" si="1"/>
        <v>37794</v>
      </c>
      <c r="F1432" s="9">
        <v>5.0</v>
      </c>
      <c r="G1432" s="19">
        <v>4687.8</v>
      </c>
      <c r="H1432" s="9" t="s">
        <v>4723</v>
      </c>
      <c r="I1432" s="9" t="s">
        <v>4717</v>
      </c>
      <c r="J1432" s="9" t="s">
        <v>4719</v>
      </c>
      <c r="K1432" s="20">
        <f t="shared" si="2"/>
        <v>2003</v>
      </c>
      <c r="L1432" s="9" t="str">
        <f t="shared" si="3"/>
        <v>tier - 2</v>
      </c>
      <c r="M1432" s="9" t="str">
        <f t="shared" si="4"/>
        <v>tier - 3</v>
      </c>
      <c r="N1432" s="9" t="str">
        <f t="shared" si="5"/>
        <v>R1011</v>
      </c>
      <c r="O1432" s="17">
        <f t="shared" si="6"/>
        <v>19</v>
      </c>
      <c r="P1432" s="18">
        <v>37794.0</v>
      </c>
    </row>
    <row r="1433" ht="15.75" customHeight="1">
      <c r="A1433" s="9" t="s">
        <v>3627</v>
      </c>
      <c r="B1433" s="17">
        <v>1977.0</v>
      </c>
      <c r="C1433" s="9" t="s">
        <v>4725</v>
      </c>
      <c r="D1433" s="9">
        <v>4.0</v>
      </c>
      <c r="E1433" s="18">
        <f t="shared" si="1"/>
        <v>28463</v>
      </c>
      <c r="F1433" s="9">
        <v>2.0</v>
      </c>
      <c r="G1433" s="19">
        <v>4699.47</v>
      </c>
      <c r="H1433" s="9" t="s">
        <v>4723</v>
      </c>
      <c r="I1433" s="9" t="s">
        <v>4717</v>
      </c>
      <c r="J1433" s="9" t="s">
        <v>4743</v>
      </c>
      <c r="K1433" s="20">
        <f t="shared" si="2"/>
        <v>1977</v>
      </c>
      <c r="L1433" s="9" t="str">
        <f t="shared" si="3"/>
        <v>tier - 2</v>
      </c>
      <c r="M1433" s="9" t="str">
        <f t="shared" si="4"/>
        <v>tier - 3</v>
      </c>
      <c r="N1433" s="9" t="str">
        <f t="shared" si="5"/>
        <v>R1013</v>
      </c>
      <c r="O1433" s="17">
        <f t="shared" si="6"/>
        <v>45</v>
      </c>
      <c r="P1433" s="18">
        <v>28463.0</v>
      </c>
    </row>
    <row r="1434" ht="15.75" customHeight="1">
      <c r="A1434" s="9" t="s">
        <v>3625</v>
      </c>
      <c r="B1434" s="17">
        <v>1981.0</v>
      </c>
      <c r="C1434" s="9" t="s">
        <v>4716</v>
      </c>
      <c r="D1434" s="9">
        <v>12.0</v>
      </c>
      <c r="E1434" s="18">
        <f t="shared" si="1"/>
        <v>29810</v>
      </c>
      <c r="F1434" s="9">
        <v>1.0</v>
      </c>
      <c r="G1434" s="19">
        <v>4712.12</v>
      </c>
      <c r="H1434" s="9" t="s">
        <v>4723</v>
      </c>
      <c r="I1434" s="9" t="s">
        <v>4717</v>
      </c>
      <c r="J1434" s="9" t="s">
        <v>4719</v>
      </c>
      <c r="K1434" s="20">
        <f t="shared" si="2"/>
        <v>1981</v>
      </c>
      <c r="L1434" s="9" t="str">
        <f t="shared" si="3"/>
        <v>tier - 2</v>
      </c>
      <c r="M1434" s="9" t="str">
        <f t="shared" si="4"/>
        <v>tier - 3</v>
      </c>
      <c r="N1434" s="9" t="str">
        <f t="shared" si="5"/>
        <v>R1011</v>
      </c>
      <c r="O1434" s="17">
        <f t="shared" si="6"/>
        <v>41</v>
      </c>
      <c r="P1434" s="18">
        <v>29810.0</v>
      </c>
    </row>
    <row r="1435" ht="15.75" customHeight="1">
      <c r="A1435" s="9" t="s">
        <v>3623</v>
      </c>
      <c r="B1435" s="17">
        <v>1992.0</v>
      </c>
      <c r="C1435" s="9" t="s">
        <v>4720</v>
      </c>
      <c r="D1435" s="9">
        <v>9.0</v>
      </c>
      <c r="E1435" s="18">
        <f t="shared" si="1"/>
        <v>33886</v>
      </c>
      <c r="F1435" s="9">
        <v>1.0</v>
      </c>
      <c r="G1435" s="19">
        <v>4718.2</v>
      </c>
      <c r="H1435" s="9" t="s">
        <v>4723</v>
      </c>
      <c r="I1435" s="9" t="s">
        <v>4717</v>
      </c>
      <c r="J1435" s="9" t="s">
        <v>4731</v>
      </c>
      <c r="K1435" s="20">
        <f t="shared" si="2"/>
        <v>1992</v>
      </c>
      <c r="L1435" s="9" t="str">
        <f t="shared" si="3"/>
        <v>tier - 2</v>
      </c>
      <c r="M1435" s="9" t="str">
        <f t="shared" si="4"/>
        <v>tier - 3</v>
      </c>
      <c r="N1435" s="9" t="str">
        <f t="shared" si="5"/>
        <v>R1024</v>
      </c>
      <c r="O1435" s="17">
        <f t="shared" si="6"/>
        <v>30</v>
      </c>
      <c r="P1435" s="18">
        <v>33886.0</v>
      </c>
    </row>
    <row r="1436" ht="15.75" customHeight="1">
      <c r="A1436" s="9" t="s">
        <v>3621</v>
      </c>
      <c r="B1436" s="17">
        <v>1992.0</v>
      </c>
      <c r="C1436" s="9" t="s">
        <v>4738</v>
      </c>
      <c r="D1436" s="9">
        <v>28.0</v>
      </c>
      <c r="E1436" s="18">
        <f t="shared" si="1"/>
        <v>33875</v>
      </c>
      <c r="F1436" s="9">
        <v>1.0</v>
      </c>
      <c r="G1436" s="19">
        <v>4719.52</v>
      </c>
      <c r="H1436" s="9" t="s">
        <v>4723</v>
      </c>
      <c r="I1436" s="9" t="s">
        <v>4723</v>
      </c>
      <c r="J1436" s="9" t="s">
        <v>4731</v>
      </c>
      <c r="K1436" s="20">
        <f t="shared" si="2"/>
        <v>1992</v>
      </c>
      <c r="L1436" s="9" t="str">
        <f t="shared" si="3"/>
        <v>tier - 2</v>
      </c>
      <c r="M1436" s="9" t="str">
        <f t="shared" si="4"/>
        <v>tier - 2</v>
      </c>
      <c r="N1436" s="9" t="str">
        <f t="shared" si="5"/>
        <v>R1024</v>
      </c>
      <c r="O1436" s="17">
        <f t="shared" si="6"/>
        <v>30</v>
      </c>
      <c r="P1436" s="18">
        <v>33875.0</v>
      </c>
    </row>
    <row r="1437" ht="15.75" customHeight="1">
      <c r="A1437" s="9" t="s">
        <v>363</v>
      </c>
      <c r="B1437" s="17">
        <v>2003.0</v>
      </c>
      <c r="C1437" s="9" t="s">
        <v>4730</v>
      </c>
      <c r="D1437" s="9">
        <v>21.0</v>
      </c>
      <c r="E1437" s="18">
        <f t="shared" si="1"/>
        <v>37793</v>
      </c>
      <c r="F1437" s="9">
        <v>0.0</v>
      </c>
      <c r="G1437" s="19">
        <v>36898.73</v>
      </c>
      <c r="H1437" s="9" t="s">
        <v>4723</v>
      </c>
      <c r="I1437" s="9" t="s">
        <v>4718</v>
      </c>
      <c r="J1437" s="9" t="s">
        <v>4733</v>
      </c>
      <c r="K1437" s="20">
        <f t="shared" si="2"/>
        <v>2003</v>
      </c>
      <c r="L1437" s="9" t="str">
        <f t="shared" si="3"/>
        <v>tier - 2</v>
      </c>
      <c r="M1437" s="9" t="str">
        <f t="shared" si="4"/>
        <v>tier - 1</v>
      </c>
      <c r="N1437" s="9" t="str">
        <f t="shared" si="5"/>
        <v>R1012</v>
      </c>
      <c r="O1437" s="17">
        <f t="shared" si="6"/>
        <v>19</v>
      </c>
      <c r="P1437" s="18">
        <v>37793.0</v>
      </c>
    </row>
    <row r="1438" ht="15.75" customHeight="1">
      <c r="A1438" s="9" t="s">
        <v>3619</v>
      </c>
      <c r="B1438" s="17">
        <v>1994.0</v>
      </c>
      <c r="C1438" s="9" t="s">
        <v>4716</v>
      </c>
      <c r="D1438" s="9">
        <v>12.0</v>
      </c>
      <c r="E1438" s="18">
        <f t="shared" si="1"/>
        <v>34558</v>
      </c>
      <c r="F1438" s="9">
        <v>2.0</v>
      </c>
      <c r="G1438" s="19">
        <v>4719.74</v>
      </c>
      <c r="H1438" s="9" t="s">
        <v>4723</v>
      </c>
      <c r="I1438" s="9" t="s">
        <v>4718</v>
      </c>
      <c r="J1438" s="9" t="s">
        <v>4733</v>
      </c>
      <c r="K1438" s="20">
        <f t="shared" si="2"/>
        <v>1994</v>
      </c>
      <c r="L1438" s="9" t="str">
        <f t="shared" si="3"/>
        <v>tier - 2</v>
      </c>
      <c r="M1438" s="9" t="str">
        <f t="shared" si="4"/>
        <v>tier - 1</v>
      </c>
      <c r="N1438" s="9" t="str">
        <f t="shared" si="5"/>
        <v>R1012</v>
      </c>
      <c r="O1438" s="17">
        <f t="shared" si="6"/>
        <v>28</v>
      </c>
      <c r="P1438" s="18">
        <v>34558.0</v>
      </c>
    </row>
    <row r="1439" ht="15.75" customHeight="1">
      <c r="A1439" s="9" t="s">
        <v>3617</v>
      </c>
      <c r="B1439" s="17">
        <v>1980.0</v>
      </c>
      <c r="C1439" s="9" t="s">
        <v>4741</v>
      </c>
      <c r="D1439" s="9">
        <v>2.0</v>
      </c>
      <c r="E1439" s="18">
        <f t="shared" si="1"/>
        <v>29404</v>
      </c>
      <c r="F1439" s="9">
        <v>2.0</v>
      </c>
      <c r="G1439" s="19">
        <v>4728.71</v>
      </c>
      <c r="H1439" s="9" t="s">
        <v>4723</v>
      </c>
      <c r="I1439" s="9" t="s">
        <v>4717</v>
      </c>
      <c r="J1439" s="9" t="s">
        <v>4733</v>
      </c>
      <c r="K1439" s="20">
        <f t="shared" si="2"/>
        <v>1980</v>
      </c>
      <c r="L1439" s="9" t="str">
        <f t="shared" si="3"/>
        <v>tier - 2</v>
      </c>
      <c r="M1439" s="9" t="str">
        <f t="shared" si="4"/>
        <v>tier - 3</v>
      </c>
      <c r="N1439" s="9" t="str">
        <f t="shared" si="5"/>
        <v>R1012</v>
      </c>
      <c r="O1439" s="17">
        <f t="shared" si="6"/>
        <v>42</v>
      </c>
      <c r="P1439" s="18">
        <v>29404.0</v>
      </c>
    </row>
    <row r="1440" ht="15.75" customHeight="1">
      <c r="A1440" s="9" t="s">
        <v>3615</v>
      </c>
      <c r="B1440" s="17">
        <v>1986.0</v>
      </c>
      <c r="C1440" s="9" t="s">
        <v>4738</v>
      </c>
      <c r="D1440" s="9">
        <v>5.0</v>
      </c>
      <c r="E1440" s="18">
        <f t="shared" si="1"/>
        <v>31660</v>
      </c>
      <c r="F1440" s="9">
        <v>3.0</v>
      </c>
      <c r="G1440" s="19">
        <v>4734.64</v>
      </c>
      <c r="H1440" s="9" t="s">
        <v>4723</v>
      </c>
      <c r="I1440" s="9" t="s">
        <v>4718</v>
      </c>
      <c r="J1440" s="9" t="s">
        <v>4743</v>
      </c>
      <c r="K1440" s="20">
        <f t="shared" si="2"/>
        <v>1986</v>
      </c>
      <c r="L1440" s="9" t="str">
        <f t="shared" si="3"/>
        <v>tier - 2</v>
      </c>
      <c r="M1440" s="9" t="str">
        <f t="shared" si="4"/>
        <v>tier - 1</v>
      </c>
      <c r="N1440" s="9" t="str">
        <f t="shared" si="5"/>
        <v>R1013</v>
      </c>
      <c r="O1440" s="17">
        <f t="shared" si="6"/>
        <v>36</v>
      </c>
      <c r="P1440" s="18">
        <v>31660.0</v>
      </c>
    </row>
    <row r="1441" ht="15.75" customHeight="1">
      <c r="A1441" s="9" t="s">
        <v>3613</v>
      </c>
      <c r="B1441" s="17">
        <v>1991.0</v>
      </c>
      <c r="C1441" s="9" t="s">
        <v>4720</v>
      </c>
      <c r="D1441" s="9">
        <v>12.0</v>
      </c>
      <c r="E1441" s="18">
        <f t="shared" si="1"/>
        <v>33523</v>
      </c>
      <c r="F1441" s="9">
        <v>1.0</v>
      </c>
      <c r="G1441" s="19">
        <v>4738.27</v>
      </c>
      <c r="H1441" s="9" t="s">
        <v>4723</v>
      </c>
      <c r="I1441" s="9" t="s">
        <v>4717</v>
      </c>
      <c r="J1441" s="9" t="s">
        <v>4733</v>
      </c>
      <c r="K1441" s="20">
        <f t="shared" si="2"/>
        <v>1991</v>
      </c>
      <c r="L1441" s="9" t="str">
        <f t="shared" si="3"/>
        <v>tier - 2</v>
      </c>
      <c r="M1441" s="9" t="str">
        <f t="shared" si="4"/>
        <v>tier - 3</v>
      </c>
      <c r="N1441" s="9" t="str">
        <f t="shared" si="5"/>
        <v>R1012</v>
      </c>
      <c r="O1441" s="17">
        <f t="shared" si="6"/>
        <v>31</v>
      </c>
      <c r="P1441" s="18">
        <v>33523.0</v>
      </c>
    </row>
    <row r="1442" ht="15.75" customHeight="1">
      <c r="A1442" s="9" t="s">
        <v>3611</v>
      </c>
      <c r="B1442" s="17">
        <v>2004.0</v>
      </c>
      <c r="C1442" s="9" t="s">
        <v>4735</v>
      </c>
      <c r="D1442" s="9">
        <v>24.0</v>
      </c>
      <c r="E1442" s="18">
        <f t="shared" si="1"/>
        <v>38315</v>
      </c>
      <c r="F1442" s="9">
        <v>0.0</v>
      </c>
      <c r="G1442" s="19">
        <v>4740.78</v>
      </c>
      <c r="H1442" s="9" t="s">
        <v>4723</v>
      </c>
      <c r="I1442" s="9" t="s">
        <v>4717</v>
      </c>
      <c r="J1442" s="9" t="s">
        <v>4751</v>
      </c>
      <c r="K1442" s="20">
        <f t="shared" si="2"/>
        <v>2004</v>
      </c>
      <c r="L1442" s="9" t="str">
        <f t="shared" si="3"/>
        <v>tier - 2</v>
      </c>
      <c r="M1442" s="9" t="str">
        <f t="shared" si="4"/>
        <v>tier - 3</v>
      </c>
      <c r="N1442" s="9" t="str">
        <f t="shared" si="5"/>
        <v>R1021</v>
      </c>
      <c r="O1442" s="17">
        <f t="shared" si="6"/>
        <v>18</v>
      </c>
      <c r="P1442" s="18">
        <v>38315.0</v>
      </c>
    </row>
    <row r="1443" ht="15.75" customHeight="1">
      <c r="A1443" s="9" t="s">
        <v>3609</v>
      </c>
      <c r="B1443" s="17">
        <v>1987.0</v>
      </c>
      <c r="C1443" s="9" t="s">
        <v>4730</v>
      </c>
      <c r="D1443" s="9">
        <v>5.0</v>
      </c>
      <c r="E1443" s="18">
        <f t="shared" si="1"/>
        <v>31933</v>
      </c>
      <c r="F1443" s="9">
        <v>1.0</v>
      </c>
      <c r="G1443" s="19">
        <v>4746.34</v>
      </c>
      <c r="H1443" s="9" t="s">
        <v>4723</v>
      </c>
      <c r="I1443" s="9" t="s">
        <v>4723</v>
      </c>
      <c r="J1443" s="9" t="s">
        <v>4719</v>
      </c>
      <c r="K1443" s="20">
        <f t="shared" si="2"/>
        <v>1987</v>
      </c>
      <c r="L1443" s="9" t="str">
        <f t="shared" si="3"/>
        <v>tier - 2</v>
      </c>
      <c r="M1443" s="9" t="str">
        <f t="shared" si="4"/>
        <v>tier - 2</v>
      </c>
      <c r="N1443" s="9" t="str">
        <f t="shared" si="5"/>
        <v>R1011</v>
      </c>
      <c r="O1443" s="17">
        <f t="shared" si="6"/>
        <v>36</v>
      </c>
      <c r="P1443" s="18">
        <v>31933.0</v>
      </c>
    </row>
    <row r="1444" ht="15.75" customHeight="1">
      <c r="A1444" s="9" t="s">
        <v>3607</v>
      </c>
      <c r="B1444" s="17">
        <v>1987.0</v>
      </c>
      <c r="C1444" s="9" t="s">
        <v>4738</v>
      </c>
      <c r="D1444" s="9">
        <v>2.0</v>
      </c>
      <c r="E1444" s="18">
        <f t="shared" si="1"/>
        <v>32022</v>
      </c>
      <c r="F1444" s="9">
        <v>1.0</v>
      </c>
      <c r="G1444" s="19">
        <v>4747.05</v>
      </c>
      <c r="H1444" s="9" t="s">
        <v>4723</v>
      </c>
      <c r="I1444" s="9" t="s">
        <v>4723</v>
      </c>
      <c r="J1444" s="9" t="s">
        <v>4743</v>
      </c>
      <c r="K1444" s="20">
        <f t="shared" si="2"/>
        <v>1987</v>
      </c>
      <c r="L1444" s="9" t="str">
        <f t="shared" si="3"/>
        <v>tier - 2</v>
      </c>
      <c r="M1444" s="9" t="str">
        <f t="shared" si="4"/>
        <v>tier - 2</v>
      </c>
      <c r="N1444" s="9" t="str">
        <f t="shared" si="5"/>
        <v>R1013</v>
      </c>
      <c r="O1444" s="17">
        <f t="shared" si="6"/>
        <v>35</v>
      </c>
      <c r="P1444" s="18">
        <v>32022.0</v>
      </c>
    </row>
    <row r="1445" ht="15.75" customHeight="1">
      <c r="A1445" s="9" t="s">
        <v>3605</v>
      </c>
      <c r="B1445" s="17">
        <v>1987.0</v>
      </c>
      <c r="C1445" s="9" t="s">
        <v>4735</v>
      </c>
      <c r="D1445" s="9">
        <v>22.0</v>
      </c>
      <c r="E1445" s="18">
        <f t="shared" si="1"/>
        <v>32103</v>
      </c>
      <c r="F1445" s="9">
        <v>1.0</v>
      </c>
      <c r="G1445" s="19">
        <v>4751.07</v>
      </c>
      <c r="H1445" s="9" t="s">
        <v>4717</v>
      </c>
      <c r="I1445" s="9" t="s">
        <v>4718</v>
      </c>
      <c r="J1445" s="9" t="s">
        <v>4719</v>
      </c>
      <c r="K1445" s="20">
        <f t="shared" si="2"/>
        <v>1987</v>
      </c>
      <c r="L1445" s="9" t="str">
        <f t="shared" si="3"/>
        <v>tier - 3</v>
      </c>
      <c r="M1445" s="9" t="str">
        <f t="shared" si="4"/>
        <v>tier - 1</v>
      </c>
      <c r="N1445" s="9" t="str">
        <f t="shared" si="5"/>
        <v>R1011</v>
      </c>
      <c r="O1445" s="17">
        <f t="shared" si="6"/>
        <v>35</v>
      </c>
      <c r="P1445" s="18">
        <v>32103.0</v>
      </c>
    </row>
    <row r="1446" ht="15.75" customHeight="1">
      <c r="A1446" s="9" t="s">
        <v>3603</v>
      </c>
      <c r="B1446" s="17">
        <v>1992.0</v>
      </c>
      <c r="C1446" s="9" t="s">
        <v>4716</v>
      </c>
      <c r="D1446" s="9">
        <v>16.0</v>
      </c>
      <c r="E1446" s="18">
        <f t="shared" si="1"/>
        <v>33832</v>
      </c>
      <c r="F1446" s="9">
        <v>2.0</v>
      </c>
      <c r="G1446" s="19">
        <v>4753.64</v>
      </c>
      <c r="H1446" s="9" t="s">
        <v>4723</v>
      </c>
      <c r="I1446" s="9" t="s">
        <v>4717</v>
      </c>
      <c r="J1446" s="9" t="s">
        <v>4743</v>
      </c>
      <c r="K1446" s="20">
        <f t="shared" si="2"/>
        <v>1992</v>
      </c>
      <c r="L1446" s="9" t="str">
        <f t="shared" si="3"/>
        <v>tier - 2</v>
      </c>
      <c r="M1446" s="9" t="str">
        <f t="shared" si="4"/>
        <v>tier - 3</v>
      </c>
      <c r="N1446" s="9" t="str">
        <f t="shared" si="5"/>
        <v>R1013</v>
      </c>
      <c r="O1446" s="17">
        <f t="shared" si="6"/>
        <v>30</v>
      </c>
      <c r="P1446" s="18">
        <v>33832.0</v>
      </c>
    </row>
    <row r="1447" ht="15.75" customHeight="1">
      <c r="A1447" s="9" t="s">
        <v>3601</v>
      </c>
      <c r="B1447" s="17">
        <v>1987.0</v>
      </c>
      <c r="C1447" s="9" t="s">
        <v>4738</v>
      </c>
      <c r="D1447" s="9">
        <v>27.0</v>
      </c>
      <c r="E1447" s="18">
        <f t="shared" si="1"/>
        <v>32047</v>
      </c>
      <c r="F1447" s="9">
        <v>1.0</v>
      </c>
      <c r="G1447" s="19">
        <v>4762.33</v>
      </c>
      <c r="H1447" s="9" t="s">
        <v>4717</v>
      </c>
      <c r="I1447" s="9" t="s">
        <v>4717</v>
      </c>
      <c r="J1447" s="9" t="s">
        <v>4719</v>
      </c>
      <c r="K1447" s="20">
        <f t="shared" si="2"/>
        <v>1987</v>
      </c>
      <c r="L1447" s="9" t="str">
        <f t="shared" si="3"/>
        <v>tier - 3</v>
      </c>
      <c r="M1447" s="9" t="str">
        <f t="shared" si="4"/>
        <v>tier - 3</v>
      </c>
      <c r="N1447" s="9" t="str">
        <f t="shared" si="5"/>
        <v>R1011</v>
      </c>
      <c r="O1447" s="17">
        <f t="shared" si="6"/>
        <v>35</v>
      </c>
      <c r="P1447" s="18">
        <v>32047.0</v>
      </c>
    </row>
    <row r="1448" ht="15.75" customHeight="1">
      <c r="A1448" s="9" t="s">
        <v>361</v>
      </c>
      <c r="B1448" s="17">
        <v>1963.0</v>
      </c>
      <c r="C1448" s="9" t="s">
        <v>4741</v>
      </c>
      <c r="D1448" s="9">
        <v>24.0</v>
      </c>
      <c r="E1448" s="18">
        <f t="shared" si="1"/>
        <v>23216</v>
      </c>
      <c r="F1448" s="9">
        <v>2.0</v>
      </c>
      <c r="G1448" s="19">
        <v>36910.61</v>
      </c>
      <c r="H1448" s="9" t="s">
        <v>4723</v>
      </c>
      <c r="I1448" s="9" t="s">
        <v>4723</v>
      </c>
      <c r="J1448" s="9" t="s">
        <v>4719</v>
      </c>
      <c r="K1448" s="20">
        <f t="shared" si="2"/>
        <v>1963</v>
      </c>
      <c r="L1448" s="9" t="str">
        <f t="shared" si="3"/>
        <v>tier - 2</v>
      </c>
      <c r="M1448" s="9" t="str">
        <f t="shared" si="4"/>
        <v>tier - 2</v>
      </c>
      <c r="N1448" s="9" t="str">
        <f t="shared" si="5"/>
        <v>R1011</v>
      </c>
      <c r="O1448" s="17">
        <f t="shared" si="6"/>
        <v>59</v>
      </c>
      <c r="P1448" s="18">
        <v>23216.0</v>
      </c>
    </row>
    <row r="1449" ht="15.75" customHeight="1">
      <c r="A1449" s="9" t="s">
        <v>37</v>
      </c>
      <c r="B1449" s="17">
        <v>1963.0</v>
      </c>
      <c r="C1449" s="9" t="s">
        <v>4716</v>
      </c>
      <c r="D1449" s="9">
        <v>5.0</v>
      </c>
      <c r="E1449" s="18">
        <f t="shared" si="1"/>
        <v>23228</v>
      </c>
      <c r="F1449" s="9">
        <v>1.0</v>
      </c>
      <c r="G1449" s="19">
        <v>47896.79</v>
      </c>
      <c r="H1449" s="9" t="s">
        <v>4718</v>
      </c>
      <c r="I1449" s="9" t="s">
        <v>4717</v>
      </c>
      <c r="J1449" s="9" t="s">
        <v>4731</v>
      </c>
      <c r="K1449" s="20">
        <f t="shared" si="2"/>
        <v>1963</v>
      </c>
      <c r="L1449" s="9" t="str">
        <f t="shared" si="3"/>
        <v>tier - 1</v>
      </c>
      <c r="M1449" s="9" t="str">
        <f t="shared" si="4"/>
        <v>tier - 3</v>
      </c>
      <c r="N1449" s="9" t="str">
        <f t="shared" si="5"/>
        <v>R1024</v>
      </c>
      <c r="O1449" s="17">
        <f t="shared" si="6"/>
        <v>59</v>
      </c>
      <c r="P1449" s="18">
        <v>23228.0</v>
      </c>
    </row>
    <row r="1450" ht="15.75" customHeight="1">
      <c r="A1450" s="9" t="s">
        <v>3599</v>
      </c>
      <c r="B1450" s="17">
        <v>1989.0</v>
      </c>
      <c r="C1450" s="9" t="s">
        <v>4716</v>
      </c>
      <c r="D1450" s="9">
        <v>1.0</v>
      </c>
      <c r="E1450" s="18">
        <f t="shared" si="1"/>
        <v>32721</v>
      </c>
      <c r="F1450" s="9">
        <v>1.0</v>
      </c>
      <c r="G1450" s="19">
        <v>4766.02</v>
      </c>
      <c r="H1450" s="9" t="s">
        <v>4723</v>
      </c>
      <c r="I1450" s="9" t="s">
        <v>4717</v>
      </c>
      <c r="J1450" s="9" t="s">
        <v>4719</v>
      </c>
      <c r="K1450" s="20">
        <f t="shared" si="2"/>
        <v>1989</v>
      </c>
      <c r="L1450" s="9" t="str">
        <f t="shared" si="3"/>
        <v>tier - 2</v>
      </c>
      <c r="M1450" s="9" t="str">
        <f t="shared" si="4"/>
        <v>tier - 3</v>
      </c>
      <c r="N1450" s="9" t="str">
        <f t="shared" si="5"/>
        <v>R1011</v>
      </c>
      <c r="O1450" s="17">
        <f t="shared" si="6"/>
        <v>33</v>
      </c>
      <c r="P1450" s="18">
        <v>32721.0</v>
      </c>
    </row>
    <row r="1451" ht="15.75" customHeight="1">
      <c r="A1451" s="9" t="s">
        <v>3597</v>
      </c>
      <c r="B1451" s="17">
        <v>1989.0</v>
      </c>
      <c r="C1451" s="9" t="s">
        <v>4725</v>
      </c>
      <c r="D1451" s="9">
        <v>9.0</v>
      </c>
      <c r="E1451" s="18">
        <f t="shared" si="1"/>
        <v>32851</v>
      </c>
      <c r="F1451" s="9">
        <v>1.0</v>
      </c>
      <c r="G1451" s="19">
        <v>4779.6</v>
      </c>
      <c r="H1451" s="9" t="s">
        <v>4723</v>
      </c>
      <c r="I1451" s="9" t="s">
        <v>4717</v>
      </c>
      <c r="J1451" s="9" t="s">
        <v>4743</v>
      </c>
      <c r="K1451" s="20">
        <f t="shared" si="2"/>
        <v>1989</v>
      </c>
      <c r="L1451" s="9" t="str">
        <f t="shared" si="3"/>
        <v>tier - 2</v>
      </c>
      <c r="M1451" s="9" t="str">
        <f t="shared" si="4"/>
        <v>tier - 3</v>
      </c>
      <c r="N1451" s="9" t="str">
        <f t="shared" si="5"/>
        <v>R1013</v>
      </c>
      <c r="O1451" s="17">
        <f t="shared" si="6"/>
        <v>33</v>
      </c>
      <c r="P1451" s="18">
        <v>32851.0</v>
      </c>
    </row>
    <row r="1452" ht="15.75" customHeight="1">
      <c r="A1452" s="9" t="s">
        <v>3595</v>
      </c>
      <c r="B1452" s="17">
        <v>1987.0</v>
      </c>
      <c r="C1452" s="9" t="s">
        <v>4730</v>
      </c>
      <c r="D1452" s="9">
        <v>22.0</v>
      </c>
      <c r="E1452" s="18">
        <f t="shared" si="1"/>
        <v>31950</v>
      </c>
      <c r="F1452" s="9">
        <v>3.0</v>
      </c>
      <c r="G1452" s="19">
        <v>4787.42</v>
      </c>
      <c r="H1452" s="9" t="s">
        <v>4723</v>
      </c>
      <c r="I1452" s="9" t="s">
        <v>4717</v>
      </c>
      <c r="J1452" s="9" t="s">
        <v>4743</v>
      </c>
      <c r="K1452" s="20">
        <f t="shared" si="2"/>
        <v>1987</v>
      </c>
      <c r="L1452" s="9" t="str">
        <f t="shared" si="3"/>
        <v>tier - 2</v>
      </c>
      <c r="M1452" s="9" t="str">
        <f t="shared" si="4"/>
        <v>tier - 3</v>
      </c>
      <c r="N1452" s="9" t="str">
        <f t="shared" si="5"/>
        <v>R1013</v>
      </c>
      <c r="O1452" s="17">
        <f t="shared" si="6"/>
        <v>35</v>
      </c>
      <c r="P1452" s="18">
        <v>31950.0</v>
      </c>
    </row>
    <row r="1453" ht="15.75" customHeight="1">
      <c r="A1453" s="9" t="s">
        <v>3593</v>
      </c>
      <c r="B1453" s="17">
        <v>1989.0</v>
      </c>
      <c r="C1453" s="9" t="s">
        <v>4725</v>
      </c>
      <c r="D1453" s="9">
        <v>16.0</v>
      </c>
      <c r="E1453" s="18">
        <f t="shared" si="1"/>
        <v>32858</v>
      </c>
      <c r="F1453" s="9">
        <v>1.0</v>
      </c>
      <c r="G1453" s="19">
        <v>4795.66</v>
      </c>
      <c r="H1453" s="9" t="s">
        <v>4723</v>
      </c>
      <c r="I1453" s="9" t="s">
        <v>4718</v>
      </c>
      <c r="J1453" s="9" t="s">
        <v>4743</v>
      </c>
      <c r="K1453" s="20">
        <f t="shared" si="2"/>
        <v>1989</v>
      </c>
      <c r="L1453" s="9" t="str">
        <f t="shared" si="3"/>
        <v>tier - 2</v>
      </c>
      <c r="M1453" s="9" t="str">
        <f t="shared" si="4"/>
        <v>tier - 1</v>
      </c>
      <c r="N1453" s="9" t="str">
        <f t="shared" si="5"/>
        <v>R1013</v>
      </c>
      <c r="O1453" s="17">
        <f t="shared" si="6"/>
        <v>33</v>
      </c>
      <c r="P1453" s="18">
        <v>32858.0</v>
      </c>
    </row>
    <row r="1454" ht="15.75" customHeight="1">
      <c r="A1454" s="9" t="s">
        <v>3591</v>
      </c>
      <c r="B1454" s="17">
        <v>1978.0</v>
      </c>
      <c r="C1454" s="9" t="s">
        <v>4720</v>
      </c>
      <c r="D1454" s="9">
        <v>3.0</v>
      </c>
      <c r="E1454" s="18">
        <f t="shared" si="1"/>
        <v>28766</v>
      </c>
      <c r="F1454" s="9">
        <v>2.0</v>
      </c>
      <c r="G1454" s="19">
        <v>4812.34</v>
      </c>
      <c r="H1454" s="9" t="s">
        <v>4723</v>
      </c>
      <c r="I1454" s="9" t="s">
        <v>4717</v>
      </c>
      <c r="J1454" s="9" t="s">
        <v>4743</v>
      </c>
      <c r="K1454" s="20">
        <f t="shared" si="2"/>
        <v>1978</v>
      </c>
      <c r="L1454" s="9" t="str">
        <f t="shared" si="3"/>
        <v>tier - 2</v>
      </c>
      <c r="M1454" s="9" t="str">
        <f t="shared" si="4"/>
        <v>tier - 3</v>
      </c>
      <c r="N1454" s="9" t="str">
        <f t="shared" si="5"/>
        <v>R1013</v>
      </c>
      <c r="O1454" s="17">
        <f t="shared" si="6"/>
        <v>44</v>
      </c>
      <c r="P1454" s="18">
        <v>28766.0</v>
      </c>
    </row>
    <row r="1455" ht="15.75" customHeight="1">
      <c r="A1455" s="9" t="s">
        <v>3589</v>
      </c>
      <c r="B1455" s="17">
        <v>1981.0</v>
      </c>
      <c r="C1455" s="9" t="s">
        <v>4741</v>
      </c>
      <c r="D1455" s="9">
        <v>3.0</v>
      </c>
      <c r="E1455" s="18">
        <f t="shared" si="1"/>
        <v>29770</v>
      </c>
      <c r="F1455" s="9">
        <v>1.0</v>
      </c>
      <c r="G1455" s="19">
        <v>4827.1</v>
      </c>
      <c r="H1455" s="9" t="s">
        <v>4723</v>
      </c>
      <c r="I1455" s="9" t="s">
        <v>4718</v>
      </c>
      <c r="J1455" s="9" t="s">
        <v>4743</v>
      </c>
      <c r="K1455" s="20">
        <f t="shared" si="2"/>
        <v>1981</v>
      </c>
      <c r="L1455" s="9" t="str">
        <f t="shared" si="3"/>
        <v>tier - 2</v>
      </c>
      <c r="M1455" s="9" t="str">
        <f t="shared" si="4"/>
        <v>tier - 1</v>
      </c>
      <c r="N1455" s="9" t="str">
        <f t="shared" si="5"/>
        <v>R1013</v>
      </c>
      <c r="O1455" s="17">
        <f t="shared" si="6"/>
        <v>41</v>
      </c>
      <c r="P1455" s="18">
        <v>29770.0</v>
      </c>
    </row>
    <row r="1456" ht="15.75" customHeight="1">
      <c r="A1456" s="9" t="s">
        <v>3587</v>
      </c>
      <c r="B1456" s="17">
        <v>1995.0</v>
      </c>
      <c r="C1456" s="9" t="s">
        <v>4725</v>
      </c>
      <c r="D1456" s="9">
        <v>1.0</v>
      </c>
      <c r="E1456" s="18">
        <f t="shared" si="1"/>
        <v>35034</v>
      </c>
      <c r="F1456" s="9">
        <v>3.0</v>
      </c>
      <c r="G1456" s="19">
        <v>4827.9</v>
      </c>
      <c r="H1456" s="9" t="s">
        <v>4718</v>
      </c>
      <c r="I1456" s="9" t="s">
        <v>4723</v>
      </c>
      <c r="J1456" s="9" t="s">
        <v>4700</v>
      </c>
      <c r="K1456" s="20">
        <f t="shared" si="2"/>
        <v>1995</v>
      </c>
      <c r="L1456" s="9" t="str">
        <f t="shared" si="3"/>
        <v>tier - 1</v>
      </c>
      <c r="M1456" s="9" t="str">
        <f t="shared" si="4"/>
        <v>tier - 2</v>
      </c>
      <c r="N1456" s="9" t="str">
        <f t="shared" si="5"/>
        <v>UNKNOWN</v>
      </c>
      <c r="O1456" s="17">
        <f t="shared" si="6"/>
        <v>27</v>
      </c>
      <c r="P1456" s="18">
        <v>35034.0</v>
      </c>
    </row>
    <row r="1457" ht="15.75" customHeight="1">
      <c r="A1457" s="9" t="s">
        <v>3585</v>
      </c>
      <c r="B1457" s="17">
        <v>2002.0</v>
      </c>
      <c r="C1457" s="9" t="s">
        <v>4730</v>
      </c>
      <c r="D1457" s="9">
        <v>27.0</v>
      </c>
      <c r="E1457" s="18">
        <f t="shared" si="1"/>
        <v>37434</v>
      </c>
      <c r="F1457" s="9">
        <v>5.0</v>
      </c>
      <c r="G1457" s="19">
        <v>4830.63</v>
      </c>
      <c r="H1457" s="9" t="s">
        <v>4723</v>
      </c>
      <c r="I1457" s="9" t="s">
        <v>4718</v>
      </c>
      <c r="J1457" s="9" t="s">
        <v>4719</v>
      </c>
      <c r="K1457" s="20">
        <f t="shared" si="2"/>
        <v>2002</v>
      </c>
      <c r="L1457" s="9" t="str">
        <f t="shared" si="3"/>
        <v>tier - 2</v>
      </c>
      <c r="M1457" s="9" t="str">
        <f t="shared" si="4"/>
        <v>tier - 1</v>
      </c>
      <c r="N1457" s="9" t="str">
        <f t="shared" si="5"/>
        <v>R1011</v>
      </c>
      <c r="O1457" s="17">
        <f t="shared" si="6"/>
        <v>20</v>
      </c>
      <c r="P1457" s="18">
        <v>37434.0</v>
      </c>
    </row>
    <row r="1458" ht="15.75" customHeight="1">
      <c r="A1458" s="9" t="s">
        <v>3583</v>
      </c>
      <c r="B1458" s="17">
        <v>2000.0</v>
      </c>
      <c r="C1458" s="9" t="s">
        <v>4725</v>
      </c>
      <c r="D1458" s="9">
        <v>11.0</v>
      </c>
      <c r="E1458" s="18">
        <f t="shared" si="1"/>
        <v>36871</v>
      </c>
      <c r="F1458" s="9">
        <v>0.0</v>
      </c>
      <c r="G1458" s="19">
        <v>4835.43</v>
      </c>
      <c r="H1458" s="9" t="s">
        <v>4723</v>
      </c>
      <c r="I1458" s="9" t="s">
        <v>4723</v>
      </c>
      <c r="J1458" s="9" t="s">
        <v>4751</v>
      </c>
      <c r="K1458" s="20">
        <f t="shared" si="2"/>
        <v>2000</v>
      </c>
      <c r="L1458" s="9" t="str">
        <f t="shared" si="3"/>
        <v>tier - 2</v>
      </c>
      <c r="M1458" s="9" t="str">
        <f t="shared" si="4"/>
        <v>tier - 2</v>
      </c>
      <c r="N1458" s="9" t="str">
        <f t="shared" si="5"/>
        <v>R1021</v>
      </c>
      <c r="O1458" s="17">
        <f t="shared" si="6"/>
        <v>22</v>
      </c>
      <c r="P1458" s="18">
        <v>36871.0</v>
      </c>
    </row>
    <row r="1459" ht="15.75" customHeight="1">
      <c r="A1459" s="9" t="s">
        <v>3581</v>
      </c>
      <c r="B1459" s="17">
        <v>1992.0</v>
      </c>
      <c r="C1459" s="9" t="s">
        <v>4738</v>
      </c>
      <c r="D1459" s="9">
        <v>10.0</v>
      </c>
      <c r="E1459" s="18">
        <f t="shared" si="1"/>
        <v>33857</v>
      </c>
      <c r="F1459" s="9">
        <v>3.0</v>
      </c>
      <c r="G1459" s="19">
        <v>4837.58</v>
      </c>
      <c r="H1459" s="9" t="s">
        <v>4717</v>
      </c>
      <c r="I1459" s="9" t="s">
        <v>4723</v>
      </c>
      <c r="J1459" s="9" t="s">
        <v>4743</v>
      </c>
      <c r="K1459" s="20">
        <f t="shared" si="2"/>
        <v>1992</v>
      </c>
      <c r="L1459" s="9" t="str">
        <f t="shared" si="3"/>
        <v>tier - 3</v>
      </c>
      <c r="M1459" s="9" t="str">
        <f t="shared" si="4"/>
        <v>tier - 2</v>
      </c>
      <c r="N1459" s="9" t="str">
        <f t="shared" si="5"/>
        <v>R1013</v>
      </c>
      <c r="O1459" s="17">
        <f t="shared" si="6"/>
        <v>30</v>
      </c>
      <c r="P1459" s="18">
        <v>33857.0</v>
      </c>
    </row>
    <row r="1460" ht="15.75" customHeight="1">
      <c r="A1460" s="9" t="s">
        <v>359</v>
      </c>
      <c r="B1460" s="17">
        <v>1991.0</v>
      </c>
      <c r="C1460" s="9" t="s">
        <v>4730</v>
      </c>
      <c r="D1460" s="9">
        <v>10.0</v>
      </c>
      <c r="E1460" s="18">
        <f t="shared" si="1"/>
        <v>33399</v>
      </c>
      <c r="F1460" s="9">
        <v>3.0</v>
      </c>
      <c r="G1460" s="19">
        <v>36911.99</v>
      </c>
      <c r="H1460" s="9" t="s">
        <v>4723</v>
      </c>
      <c r="I1460" s="9" t="s">
        <v>4723</v>
      </c>
      <c r="J1460" s="9" t="s">
        <v>4719</v>
      </c>
      <c r="K1460" s="20">
        <f t="shared" si="2"/>
        <v>1991</v>
      </c>
      <c r="L1460" s="9" t="str">
        <f t="shared" si="3"/>
        <v>tier - 2</v>
      </c>
      <c r="M1460" s="9" t="str">
        <f t="shared" si="4"/>
        <v>tier - 2</v>
      </c>
      <c r="N1460" s="9" t="str">
        <f t="shared" si="5"/>
        <v>R1011</v>
      </c>
      <c r="O1460" s="17">
        <f t="shared" si="6"/>
        <v>31</v>
      </c>
      <c r="P1460" s="18">
        <v>33399.0</v>
      </c>
    </row>
    <row r="1461" ht="15.75" customHeight="1">
      <c r="A1461" s="9" t="s">
        <v>3579</v>
      </c>
      <c r="B1461" s="17">
        <v>1984.0</v>
      </c>
      <c r="C1461" s="9" t="s">
        <v>4720</v>
      </c>
      <c r="D1461" s="9">
        <v>15.0</v>
      </c>
      <c r="E1461" s="18">
        <f t="shared" si="1"/>
        <v>30970</v>
      </c>
      <c r="F1461" s="9">
        <v>3.0</v>
      </c>
      <c r="G1461" s="19">
        <v>4839.18</v>
      </c>
      <c r="H1461" s="9" t="s">
        <v>4723</v>
      </c>
      <c r="I1461" s="9" t="s">
        <v>4718</v>
      </c>
      <c r="J1461" s="9" t="s">
        <v>4733</v>
      </c>
      <c r="K1461" s="20">
        <f t="shared" si="2"/>
        <v>1984</v>
      </c>
      <c r="L1461" s="9" t="str">
        <f t="shared" si="3"/>
        <v>tier - 2</v>
      </c>
      <c r="M1461" s="9" t="str">
        <f t="shared" si="4"/>
        <v>tier - 1</v>
      </c>
      <c r="N1461" s="9" t="str">
        <f t="shared" si="5"/>
        <v>R1012</v>
      </c>
      <c r="O1461" s="17">
        <f t="shared" si="6"/>
        <v>38</v>
      </c>
      <c r="P1461" s="18">
        <v>30970.0</v>
      </c>
    </row>
    <row r="1462" ht="15.75" customHeight="1">
      <c r="A1462" s="9" t="s">
        <v>3577</v>
      </c>
      <c r="B1462" s="17">
        <v>1995.0</v>
      </c>
      <c r="C1462" s="9" t="s">
        <v>4738</v>
      </c>
      <c r="D1462" s="9">
        <v>29.0</v>
      </c>
      <c r="E1462" s="18">
        <f t="shared" si="1"/>
        <v>34971</v>
      </c>
      <c r="F1462" s="9">
        <v>0.0</v>
      </c>
      <c r="G1462" s="19">
        <v>4840.95</v>
      </c>
      <c r="H1462" s="9" t="s">
        <v>4723</v>
      </c>
      <c r="I1462" s="9" t="s">
        <v>4718</v>
      </c>
      <c r="J1462" s="9" t="s">
        <v>4751</v>
      </c>
      <c r="K1462" s="20">
        <f t="shared" si="2"/>
        <v>1995</v>
      </c>
      <c r="L1462" s="9" t="str">
        <f t="shared" si="3"/>
        <v>tier - 2</v>
      </c>
      <c r="M1462" s="9" t="str">
        <f t="shared" si="4"/>
        <v>tier - 1</v>
      </c>
      <c r="N1462" s="9" t="str">
        <f t="shared" si="5"/>
        <v>R1021</v>
      </c>
      <c r="O1462" s="17">
        <f t="shared" si="6"/>
        <v>27</v>
      </c>
      <c r="P1462" s="18">
        <v>34971.0</v>
      </c>
    </row>
    <row r="1463" ht="15.75" customHeight="1">
      <c r="A1463" s="9" t="s">
        <v>3575</v>
      </c>
      <c r="B1463" s="17">
        <v>1979.0</v>
      </c>
      <c r="C1463" s="9" t="s">
        <v>4725</v>
      </c>
      <c r="D1463" s="9">
        <v>13.0</v>
      </c>
      <c r="E1463" s="18">
        <f t="shared" si="1"/>
        <v>29202</v>
      </c>
      <c r="F1463" s="9">
        <v>2.0</v>
      </c>
      <c r="G1463" s="19">
        <v>4843.79</v>
      </c>
      <c r="H1463" s="9" t="s">
        <v>4723</v>
      </c>
      <c r="I1463" s="9" t="s">
        <v>4717</v>
      </c>
      <c r="J1463" s="9" t="s">
        <v>4743</v>
      </c>
      <c r="K1463" s="20">
        <f t="shared" si="2"/>
        <v>1979</v>
      </c>
      <c r="L1463" s="9" t="str">
        <f t="shared" si="3"/>
        <v>tier - 2</v>
      </c>
      <c r="M1463" s="9" t="str">
        <f t="shared" si="4"/>
        <v>tier - 3</v>
      </c>
      <c r="N1463" s="9" t="str">
        <f t="shared" si="5"/>
        <v>R1013</v>
      </c>
      <c r="O1463" s="17">
        <f t="shared" si="6"/>
        <v>43</v>
      </c>
      <c r="P1463" s="18">
        <v>29202.0</v>
      </c>
    </row>
    <row r="1464" ht="15.75" customHeight="1">
      <c r="A1464" s="9" t="s">
        <v>3573</v>
      </c>
      <c r="B1464" s="17">
        <v>1974.0</v>
      </c>
      <c r="C1464" s="9" t="s">
        <v>4738</v>
      </c>
      <c r="D1464" s="9">
        <v>11.0</v>
      </c>
      <c r="E1464" s="18">
        <f t="shared" si="1"/>
        <v>27283</v>
      </c>
      <c r="F1464" s="9">
        <v>0.0</v>
      </c>
      <c r="G1464" s="19">
        <v>4844.67</v>
      </c>
      <c r="H1464" s="9" t="s">
        <v>4723</v>
      </c>
      <c r="I1464" s="9" t="s">
        <v>4723</v>
      </c>
      <c r="J1464" s="9" t="s">
        <v>4743</v>
      </c>
      <c r="K1464" s="20">
        <f t="shared" si="2"/>
        <v>1974</v>
      </c>
      <c r="L1464" s="9" t="str">
        <f t="shared" si="3"/>
        <v>tier - 2</v>
      </c>
      <c r="M1464" s="9" t="str">
        <f t="shared" si="4"/>
        <v>tier - 2</v>
      </c>
      <c r="N1464" s="9" t="str">
        <f t="shared" si="5"/>
        <v>R1013</v>
      </c>
      <c r="O1464" s="17">
        <f t="shared" si="6"/>
        <v>48</v>
      </c>
      <c r="P1464" s="18">
        <v>27283.0</v>
      </c>
    </row>
    <row r="1465" ht="15.75" customHeight="1">
      <c r="A1465" s="9" t="s">
        <v>3571</v>
      </c>
      <c r="B1465" s="17">
        <v>2001.0</v>
      </c>
      <c r="C1465" s="9" t="s">
        <v>4730</v>
      </c>
      <c r="D1465" s="9">
        <v>7.0</v>
      </c>
      <c r="E1465" s="18">
        <f t="shared" si="1"/>
        <v>37049</v>
      </c>
      <c r="F1465" s="9">
        <v>0.0</v>
      </c>
      <c r="G1465" s="19">
        <v>4846.53</v>
      </c>
      <c r="H1465" s="9" t="s">
        <v>4723</v>
      </c>
      <c r="I1465" s="9" t="s">
        <v>4717</v>
      </c>
      <c r="J1465" s="9" t="s">
        <v>4751</v>
      </c>
      <c r="K1465" s="20">
        <f t="shared" si="2"/>
        <v>2001</v>
      </c>
      <c r="L1465" s="9" t="str">
        <f t="shared" si="3"/>
        <v>tier - 2</v>
      </c>
      <c r="M1465" s="9" t="str">
        <f t="shared" si="4"/>
        <v>tier - 3</v>
      </c>
      <c r="N1465" s="9" t="str">
        <f t="shared" si="5"/>
        <v>R1021</v>
      </c>
      <c r="O1465" s="17">
        <f t="shared" si="6"/>
        <v>22</v>
      </c>
      <c r="P1465" s="18">
        <v>37049.0</v>
      </c>
    </row>
    <row r="1466" ht="15.75" customHeight="1">
      <c r="A1466" s="9" t="s">
        <v>3569</v>
      </c>
      <c r="B1466" s="17">
        <v>1995.0</v>
      </c>
      <c r="C1466" s="9" t="s">
        <v>4725</v>
      </c>
      <c r="D1466" s="9">
        <v>27.0</v>
      </c>
      <c r="E1466" s="18">
        <f t="shared" si="1"/>
        <v>35060</v>
      </c>
      <c r="F1466" s="9">
        <v>3.0</v>
      </c>
      <c r="G1466" s="19">
        <v>4846.92</v>
      </c>
      <c r="H1466" s="9" t="s">
        <v>4723</v>
      </c>
      <c r="I1466" s="9" t="s">
        <v>4717</v>
      </c>
      <c r="J1466" s="9" t="s">
        <v>4753</v>
      </c>
      <c r="K1466" s="20">
        <f t="shared" si="2"/>
        <v>1995</v>
      </c>
      <c r="L1466" s="9" t="str">
        <f t="shared" si="3"/>
        <v>tier - 2</v>
      </c>
      <c r="M1466" s="9" t="str">
        <f t="shared" si="4"/>
        <v>tier - 3</v>
      </c>
      <c r="N1466" s="9" t="str">
        <f t="shared" si="5"/>
        <v>R1017</v>
      </c>
      <c r="O1466" s="17">
        <f t="shared" si="6"/>
        <v>27</v>
      </c>
      <c r="P1466" s="18">
        <v>35060.0</v>
      </c>
    </row>
    <row r="1467" ht="15.75" customHeight="1">
      <c r="A1467" s="9" t="s">
        <v>3567</v>
      </c>
      <c r="B1467" s="17">
        <v>1989.0</v>
      </c>
      <c r="C1467" s="9" t="s">
        <v>4738</v>
      </c>
      <c r="D1467" s="9">
        <v>1.0</v>
      </c>
      <c r="E1467" s="18">
        <f t="shared" si="1"/>
        <v>32752</v>
      </c>
      <c r="F1467" s="9">
        <v>3.0</v>
      </c>
      <c r="G1467" s="19">
        <v>4859.89</v>
      </c>
      <c r="H1467" s="9" t="s">
        <v>4723</v>
      </c>
      <c r="I1467" s="9" t="s">
        <v>4717</v>
      </c>
      <c r="J1467" s="9" t="s">
        <v>4719</v>
      </c>
      <c r="K1467" s="20">
        <f t="shared" si="2"/>
        <v>1989</v>
      </c>
      <c r="L1467" s="9" t="str">
        <f t="shared" si="3"/>
        <v>tier - 2</v>
      </c>
      <c r="M1467" s="9" t="str">
        <f t="shared" si="4"/>
        <v>tier - 3</v>
      </c>
      <c r="N1467" s="9" t="str">
        <f t="shared" si="5"/>
        <v>R1011</v>
      </c>
      <c r="O1467" s="17">
        <f t="shared" si="6"/>
        <v>33</v>
      </c>
      <c r="P1467" s="18">
        <v>32752.0</v>
      </c>
    </row>
    <row r="1468" ht="15.75" customHeight="1">
      <c r="A1468" s="9" t="s">
        <v>3565</v>
      </c>
      <c r="B1468" s="17">
        <v>1997.0</v>
      </c>
      <c r="C1468" s="9" t="s">
        <v>4738</v>
      </c>
      <c r="D1468" s="9">
        <v>29.0</v>
      </c>
      <c r="E1468" s="18">
        <f t="shared" si="1"/>
        <v>35702</v>
      </c>
      <c r="F1468" s="9">
        <v>4.0</v>
      </c>
      <c r="G1468" s="19">
        <v>4877.98</v>
      </c>
      <c r="H1468" s="9" t="s">
        <v>4723</v>
      </c>
      <c r="I1468" s="9" t="s">
        <v>4717</v>
      </c>
      <c r="J1468" s="9" t="s">
        <v>4733</v>
      </c>
      <c r="K1468" s="20">
        <f t="shared" si="2"/>
        <v>1997</v>
      </c>
      <c r="L1468" s="9" t="str">
        <f t="shared" si="3"/>
        <v>tier - 2</v>
      </c>
      <c r="M1468" s="9" t="str">
        <f t="shared" si="4"/>
        <v>tier - 3</v>
      </c>
      <c r="N1468" s="9" t="str">
        <f t="shared" si="5"/>
        <v>R1012</v>
      </c>
      <c r="O1468" s="17">
        <f t="shared" si="6"/>
        <v>25</v>
      </c>
      <c r="P1468" s="18">
        <v>35702.0</v>
      </c>
    </row>
    <row r="1469" ht="15.75" customHeight="1">
      <c r="A1469" s="9" t="s">
        <v>3563</v>
      </c>
      <c r="B1469" s="17">
        <v>1986.0</v>
      </c>
      <c r="C1469" s="9" t="s">
        <v>4725</v>
      </c>
      <c r="D1469" s="9">
        <v>23.0</v>
      </c>
      <c r="E1469" s="18">
        <f t="shared" si="1"/>
        <v>31769</v>
      </c>
      <c r="F1469" s="9">
        <v>0.0</v>
      </c>
      <c r="G1469" s="19">
        <v>4883.87</v>
      </c>
      <c r="H1469" s="9" t="s">
        <v>4723</v>
      </c>
      <c r="I1469" s="9" t="s">
        <v>4718</v>
      </c>
      <c r="J1469" s="9" t="s">
        <v>4719</v>
      </c>
      <c r="K1469" s="20">
        <f t="shared" si="2"/>
        <v>1986</v>
      </c>
      <c r="L1469" s="9" t="str">
        <f t="shared" si="3"/>
        <v>tier - 2</v>
      </c>
      <c r="M1469" s="9" t="str">
        <f t="shared" si="4"/>
        <v>tier - 1</v>
      </c>
      <c r="N1469" s="9" t="str">
        <f t="shared" si="5"/>
        <v>R1011</v>
      </c>
      <c r="O1469" s="17">
        <f t="shared" si="6"/>
        <v>36</v>
      </c>
      <c r="P1469" s="18">
        <v>31769.0</v>
      </c>
    </row>
    <row r="1470" ht="15.75" customHeight="1">
      <c r="A1470" s="9" t="s">
        <v>3561</v>
      </c>
      <c r="B1470" s="17">
        <v>1986.0</v>
      </c>
      <c r="C1470" s="9" t="s">
        <v>4720</v>
      </c>
      <c r="D1470" s="9">
        <v>27.0</v>
      </c>
      <c r="E1470" s="18">
        <f t="shared" si="1"/>
        <v>31712</v>
      </c>
      <c r="F1470" s="9">
        <v>0.0</v>
      </c>
      <c r="G1470" s="19">
        <v>4889.04</v>
      </c>
      <c r="H1470" s="9" t="s">
        <v>4723</v>
      </c>
      <c r="I1470" s="9" t="s">
        <v>4718</v>
      </c>
      <c r="J1470" s="9" t="s">
        <v>4743</v>
      </c>
      <c r="K1470" s="20">
        <f t="shared" si="2"/>
        <v>1986</v>
      </c>
      <c r="L1470" s="9" t="str">
        <f t="shared" si="3"/>
        <v>tier - 2</v>
      </c>
      <c r="M1470" s="9" t="str">
        <f t="shared" si="4"/>
        <v>tier - 1</v>
      </c>
      <c r="N1470" s="9" t="str">
        <f t="shared" si="5"/>
        <v>R1013</v>
      </c>
      <c r="O1470" s="17">
        <f t="shared" si="6"/>
        <v>36</v>
      </c>
      <c r="P1470" s="18">
        <v>31712.0</v>
      </c>
    </row>
    <row r="1471" ht="15.75" customHeight="1">
      <c r="A1471" s="9" t="s">
        <v>357</v>
      </c>
      <c r="B1471" s="17">
        <v>1968.0</v>
      </c>
      <c r="C1471" s="9" t="s">
        <v>4720</v>
      </c>
      <c r="D1471" s="9">
        <v>22.0</v>
      </c>
      <c r="E1471" s="18">
        <f t="shared" si="1"/>
        <v>25133</v>
      </c>
      <c r="F1471" s="9">
        <v>0.0</v>
      </c>
      <c r="G1471" s="19">
        <v>36922.61</v>
      </c>
      <c r="H1471" s="9" t="s">
        <v>4723</v>
      </c>
      <c r="I1471" s="9" t="s">
        <v>4718</v>
      </c>
      <c r="J1471" s="9" t="s">
        <v>4719</v>
      </c>
      <c r="K1471" s="20">
        <f t="shared" si="2"/>
        <v>1968</v>
      </c>
      <c r="L1471" s="9" t="str">
        <f t="shared" si="3"/>
        <v>tier - 2</v>
      </c>
      <c r="M1471" s="9" t="str">
        <f t="shared" si="4"/>
        <v>tier - 1</v>
      </c>
      <c r="N1471" s="9" t="str">
        <f t="shared" si="5"/>
        <v>R1011</v>
      </c>
      <c r="O1471" s="17">
        <f t="shared" si="6"/>
        <v>54</v>
      </c>
      <c r="P1471" s="18">
        <v>25133.0</v>
      </c>
    </row>
    <row r="1472" ht="15.75" customHeight="1">
      <c r="A1472" s="9" t="s">
        <v>3559</v>
      </c>
      <c r="B1472" s="17">
        <v>1989.0</v>
      </c>
      <c r="C1472" s="9" t="s">
        <v>4741</v>
      </c>
      <c r="D1472" s="9">
        <v>10.0</v>
      </c>
      <c r="E1472" s="18">
        <f t="shared" si="1"/>
        <v>32699</v>
      </c>
      <c r="F1472" s="9">
        <v>2.0</v>
      </c>
      <c r="G1472" s="19">
        <v>4890.0</v>
      </c>
      <c r="H1472" s="9" t="s">
        <v>4717</v>
      </c>
      <c r="I1472" s="9" t="s">
        <v>4723</v>
      </c>
      <c r="J1472" s="9" t="s">
        <v>4743</v>
      </c>
      <c r="K1472" s="20">
        <f t="shared" si="2"/>
        <v>1989</v>
      </c>
      <c r="L1472" s="9" t="str">
        <f t="shared" si="3"/>
        <v>tier - 3</v>
      </c>
      <c r="M1472" s="9" t="str">
        <f t="shared" si="4"/>
        <v>tier - 2</v>
      </c>
      <c r="N1472" s="9" t="str">
        <f t="shared" si="5"/>
        <v>R1013</v>
      </c>
      <c r="O1472" s="17">
        <f t="shared" si="6"/>
        <v>33</v>
      </c>
      <c r="P1472" s="18">
        <v>32699.0</v>
      </c>
    </row>
    <row r="1473" ht="15.75" customHeight="1">
      <c r="A1473" s="9" t="s">
        <v>3557</v>
      </c>
      <c r="B1473" s="17">
        <v>1990.0</v>
      </c>
      <c r="C1473" s="9" t="s">
        <v>4735</v>
      </c>
      <c r="D1473" s="9">
        <v>28.0</v>
      </c>
      <c r="E1473" s="18">
        <f t="shared" si="1"/>
        <v>33205</v>
      </c>
      <c r="F1473" s="9">
        <v>3.0</v>
      </c>
      <c r="G1473" s="19">
        <v>4894.39</v>
      </c>
      <c r="H1473" s="9" t="s">
        <v>4723</v>
      </c>
      <c r="I1473" s="9" t="s">
        <v>4717</v>
      </c>
      <c r="J1473" s="9" t="s">
        <v>4743</v>
      </c>
      <c r="K1473" s="20">
        <f t="shared" si="2"/>
        <v>1990</v>
      </c>
      <c r="L1473" s="9" t="str">
        <f t="shared" si="3"/>
        <v>tier - 2</v>
      </c>
      <c r="M1473" s="9" t="str">
        <f t="shared" si="4"/>
        <v>tier - 3</v>
      </c>
      <c r="N1473" s="9" t="str">
        <f t="shared" si="5"/>
        <v>R1013</v>
      </c>
      <c r="O1473" s="17">
        <f t="shared" si="6"/>
        <v>32</v>
      </c>
      <c r="P1473" s="18">
        <v>33205.0</v>
      </c>
    </row>
    <row r="1474" ht="15.75" customHeight="1">
      <c r="A1474" s="9" t="s">
        <v>3555</v>
      </c>
      <c r="B1474" s="17">
        <v>1988.0</v>
      </c>
      <c r="C1474" s="9" t="s">
        <v>4738</v>
      </c>
      <c r="D1474" s="9">
        <v>23.0</v>
      </c>
      <c r="E1474" s="18">
        <f t="shared" si="1"/>
        <v>32409</v>
      </c>
      <c r="F1474" s="9">
        <v>1.0</v>
      </c>
      <c r="G1474" s="19">
        <v>4894.75</v>
      </c>
      <c r="H1474" s="9" t="s">
        <v>4717</v>
      </c>
      <c r="I1474" s="9" t="s">
        <v>4717</v>
      </c>
      <c r="J1474" s="9" t="s">
        <v>4733</v>
      </c>
      <c r="K1474" s="20">
        <f t="shared" si="2"/>
        <v>1988</v>
      </c>
      <c r="L1474" s="9" t="str">
        <f t="shared" si="3"/>
        <v>tier - 3</v>
      </c>
      <c r="M1474" s="9" t="str">
        <f t="shared" si="4"/>
        <v>tier - 3</v>
      </c>
      <c r="N1474" s="9" t="str">
        <f t="shared" si="5"/>
        <v>R1012</v>
      </c>
      <c r="O1474" s="17">
        <f t="shared" si="6"/>
        <v>34</v>
      </c>
      <c r="P1474" s="18">
        <v>32409.0</v>
      </c>
    </row>
    <row r="1475" ht="15.75" customHeight="1">
      <c r="A1475" s="9" t="s">
        <v>3553</v>
      </c>
      <c r="B1475" s="17">
        <v>1993.0</v>
      </c>
      <c r="C1475" s="9" t="s">
        <v>4741</v>
      </c>
      <c r="D1475" s="9">
        <v>10.0</v>
      </c>
      <c r="E1475" s="18">
        <f t="shared" si="1"/>
        <v>34160</v>
      </c>
      <c r="F1475" s="9">
        <v>2.0</v>
      </c>
      <c r="G1475" s="19">
        <v>4906.41</v>
      </c>
      <c r="H1475" s="9" t="s">
        <v>4723</v>
      </c>
      <c r="I1475" s="9" t="s">
        <v>4718</v>
      </c>
      <c r="J1475" s="9" t="s">
        <v>4733</v>
      </c>
      <c r="K1475" s="20">
        <f t="shared" si="2"/>
        <v>1993</v>
      </c>
      <c r="L1475" s="9" t="str">
        <f t="shared" si="3"/>
        <v>tier - 2</v>
      </c>
      <c r="M1475" s="9" t="str">
        <f t="shared" si="4"/>
        <v>tier - 1</v>
      </c>
      <c r="N1475" s="9" t="str">
        <f t="shared" si="5"/>
        <v>R1012</v>
      </c>
      <c r="O1475" s="17">
        <f t="shared" si="6"/>
        <v>29</v>
      </c>
      <c r="P1475" s="18">
        <v>34160.0</v>
      </c>
    </row>
    <row r="1476" ht="15.75" customHeight="1">
      <c r="A1476" s="9" t="s">
        <v>3551</v>
      </c>
      <c r="B1476" s="17">
        <v>1981.0</v>
      </c>
      <c r="C1476" s="9" t="s">
        <v>4720</v>
      </c>
      <c r="D1476" s="9">
        <v>18.0</v>
      </c>
      <c r="E1476" s="18">
        <f t="shared" si="1"/>
        <v>29877</v>
      </c>
      <c r="F1476" s="9">
        <v>1.0</v>
      </c>
      <c r="G1476" s="19">
        <v>4911.89</v>
      </c>
      <c r="H1476" s="9" t="s">
        <v>4723</v>
      </c>
      <c r="I1476" s="9" t="s">
        <v>4717</v>
      </c>
      <c r="J1476" s="9" t="s">
        <v>4743</v>
      </c>
      <c r="K1476" s="20">
        <f t="shared" si="2"/>
        <v>1981</v>
      </c>
      <c r="L1476" s="9" t="str">
        <f t="shared" si="3"/>
        <v>tier - 2</v>
      </c>
      <c r="M1476" s="9" t="str">
        <f t="shared" si="4"/>
        <v>tier - 3</v>
      </c>
      <c r="N1476" s="9" t="str">
        <f t="shared" si="5"/>
        <v>R1013</v>
      </c>
      <c r="O1476" s="17">
        <f t="shared" si="6"/>
        <v>41</v>
      </c>
      <c r="P1476" s="18">
        <v>29877.0</v>
      </c>
    </row>
    <row r="1477" ht="15.75" customHeight="1">
      <c r="A1477" s="9" t="s">
        <v>3549</v>
      </c>
      <c r="B1477" s="17">
        <v>2002.0</v>
      </c>
      <c r="C1477" s="9" t="s">
        <v>4716</v>
      </c>
      <c r="D1477" s="9">
        <v>21.0</v>
      </c>
      <c r="E1477" s="18">
        <f t="shared" si="1"/>
        <v>37489</v>
      </c>
      <c r="F1477" s="9">
        <v>5.0</v>
      </c>
      <c r="G1477" s="19">
        <v>4915.06</v>
      </c>
      <c r="H1477" s="9" t="s">
        <v>4723</v>
      </c>
      <c r="I1477" s="9" t="s">
        <v>4718</v>
      </c>
      <c r="J1477" s="9" t="s">
        <v>4753</v>
      </c>
      <c r="K1477" s="20">
        <f t="shared" si="2"/>
        <v>2002</v>
      </c>
      <c r="L1477" s="9" t="str">
        <f t="shared" si="3"/>
        <v>tier - 2</v>
      </c>
      <c r="M1477" s="9" t="str">
        <f t="shared" si="4"/>
        <v>tier - 1</v>
      </c>
      <c r="N1477" s="9" t="str">
        <f t="shared" si="5"/>
        <v>R1017</v>
      </c>
      <c r="O1477" s="17">
        <f t="shared" si="6"/>
        <v>20</v>
      </c>
      <c r="P1477" s="18">
        <v>37489.0</v>
      </c>
    </row>
    <row r="1478" ht="15.75" customHeight="1">
      <c r="A1478" s="9" t="s">
        <v>3547</v>
      </c>
      <c r="B1478" s="17">
        <v>1993.0</v>
      </c>
      <c r="C1478" s="9" t="s">
        <v>4716</v>
      </c>
      <c r="D1478" s="9">
        <v>10.0</v>
      </c>
      <c r="E1478" s="18">
        <f t="shared" si="1"/>
        <v>34191</v>
      </c>
      <c r="F1478" s="9">
        <v>2.0</v>
      </c>
      <c r="G1478" s="19">
        <v>4922.92</v>
      </c>
      <c r="H1478" s="9" t="s">
        <v>4723</v>
      </c>
      <c r="I1478" s="9" t="s">
        <v>4723</v>
      </c>
      <c r="J1478" s="9" t="s">
        <v>4733</v>
      </c>
      <c r="K1478" s="20">
        <f t="shared" si="2"/>
        <v>1993</v>
      </c>
      <c r="L1478" s="9" t="str">
        <f t="shared" si="3"/>
        <v>tier - 2</v>
      </c>
      <c r="M1478" s="9" t="str">
        <f t="shared" si="4"/>
        <v>tier - 2</v>
      </c>
      <c r="N1478" s="9" t="str">
        <f t="shared" si="5"/>
        <v>R1012</v>
      </c>
      <c r="O1478" s="17">
        <f t="shared" si="6"/>
        <v>29</v>
      </c>
      <c r="P1478" s="18">
        <v>34191.0</v>
      </c>
    </row>
    <row r="1479" ht="15.75" customHeight="1">
      <c r="A1479" s="9" t="s">
        <v>3545</v>
      </c>
      <c r="B1479" s="17">
        <v>1991.0</v>
      </c>
      <c r="C1479" s="9" t="s">
        <v>4716</v>
      </c>
      <c r="D1479" s="9">
        <v>23.0</v>
      </c>
      <c r="E1479" s="18">
        <f t="shared" si="1"/>
        <v>33473</v>
      </c>
      <c r="F1479" s="9">
        <v>2.0</v>
      </c>
      <c r="G1479" s="19">
        <v>4931.65</v>
      </c>
      <c r="H1479" s="9" t="s">
        <v>4723</v>
      </c>
      <c r="I1479" s="9" t="s">
        <v>4717</v>
      </c>
      <c r="J1479" s="9" t="s">
        <v>4719</v>
      </c>
      <c r="K1479" s="20">
        <f t="shared" si="2"/>
        <v>1991</v>
      </c>
      <c r="L1479" s="9" t="str">
        <f t="shared" si="3"/>
        <v>tier - 2</v>
      </c>
      <c r="M1479" s="9" t="str">
        <f t="shared" si="4"/>
        <v>tier - 3</v>
      </c>
      <c r="N1479" s="9" t="str">
        <f t="shared" si="5"/>
        <v>R1011</v>
      </c>
      <c r="O1479" s="17">
        <f t="shared" si="6"/>
        <v>31</v>
      </c>
      <c r="P1479" s="18">
        <v>33473.0</v>
      </c>
    </row>
    <row r="1480" ht="15.75" customHeight="1">
      <c r="A1480" s="9" t="s">
        <v>3543</v>
      </c>
      <c r="B1480" s="17">
        <v>1991.0</v>
      </c>
      <c r="C1480" s="9" t="s">
        <v>4735</v>
      </c>
      <c r="D1480" s="9">
        <v>27.0</v>
      </c>
      <c r="E1480" s="18">
        <f t="shared" si="1"/>
        <v>33569</v>
      </c>
      <c r="F1480" s="9">
        <v>2.0</v>
      </c>
      <c r="G1480" s="19">
        <v>4934.71</v>
      </c>
      <c r="H1480" s="9" t="s">
        <v>4723</v>
      </c>
      <c r="I1480" s="9" t="s">
        <v>4717</v>
      </c>
      <c r="J1480" s="9" t="s">
        <v>4719</v>
      </c>
      <c r="K1480" s="20">
        <f t="shared" si="2"/>
        <v>1991</v>
      </c>
      <c r="L1480" s="9" t="str">
        <f t="shared" si="3"/>
        <v>tier - 2</v>
      </c>
      <c r="M1480" s="9" t="str">
        <f t="shared" si="4"/>
        <v>tier - 3</v>
      </c>
      <c r="N1480" s="9" t="str">
        <f t="shared" si="5"/>
        <v>R1011</v>
      </c>
      <c r="O1480" s="17">
        <f t="shared" si="6"/>
        <v>31</v>
      </c>
      <c r="P1480" s="18">
        <v>33569.0</v>
      </c>
    </row>
    <row r="1481" ht="15.75" customHeight="1">
      <c r="A1481" s="9" t="s">
        <v>3541</v>
      </c>
      <c r="B1481" s="17">
        <v>1974.0</v>
      </c>
      <c r="C1481" s="9" t="s">
        <v>4730</v>
      </c>
      <c r="D1481" s="9">
        <v>26.0</v>
      </c>
      <c r="E1481" s="18">
        <f t="shared" si="1"/>
        <v>27206</v>
      </c>
      <c r="F1481" s="9">
        <v>0.0</v>
      </c>
      <c r="G1481" s="19">
        <v>4942.06</v>
      </c>
      <c r="H1481" s="9" t="s">
        <v>4723</v>
      </c>
      <c r="I1481" s="9" t="s">
        <v>4723</v>
      </c>
      <c r="J1481" s="9" t="s">
        <v>4743</v>
      </c>
      <c r="K1481" s="20">
        <f t="shared" si="2"/>
        <v>1974</v>
      </c>
      <c r="L1481" s="9" t="str">
        <f t="shared" si="3"/>
        <v>tier - 2</v>
      </c>
      <c r="M1481" s="9" t="str">
        <f t="shared" si="4"/>
        <v>tier - 2</v>
      </c>
      <c r="N1481" s="9" t="str">
        <f t="shared" si="5"/>
        <v>R1013</v>
      </c>
      <c r="O1481" s="17">
        <f t="shared" si="6"/>
        <v>48</v>
      </c>
      <c r="P1481" s="18">
        <v>27206.0</v>
      </c>
    </row>
    <row r="1482" ht="15.75" customHeight="1">
      <c r="A1482" s="9" t="s">
        <v>355</v>
      </c>
      <c r="B1482" s="17">
        <v>1977.0</v>
      </c>
      <c r="C1482" s="9" t="s">
        <v>4716</v>
      </c>
      <c r="D1482" s="9">
        <v>13.0</v>
      </c>
      <c r="E1482" s="18">
        <f t="shared" si="1"/>
        <v>28350</v>
      </c>
      <c r="F1482" s="9">
        <v>2.0</v>
      </c>
      <c r="G1482" s="19">
        <v>36935.64</v>
      </c>
      <c r="H1482" s="9" t="s">
        <v>4723</v>
      </c>
      <c r="I1482" s="9" t="s">
        <v>4718</v>
      </c>
      <c r="J1482" s="9" t="s">
        <v>4719</v>
      </c>
      <c r="K1482" s="20">
        <f t="shared" si="2"/>
        <v>1977</v>
      </c>
      <c r="L1482" s="9" t="str">
        <f t="shared" si="3"/>
        <v>tier - 2</v>
      </c>
      <c r="M1482" s="9" t="str">
        <f t="shared" si="4"/>
        <v>tier - 1</v>
      </c>
      <c r="N1482" s="9" t="str">
        <f t="shared" si="5"/>
        <v>R1011</v>
      </c>
      <c r="O1482" s="17">
        <f t="shared" si="6"/>
        <v>45</v>
      </c>
      <c r="P1482" s="18">
        <v>28350.0</v>
      </c>
    </row>
    <row r="1483" ht="15.75" customHeight="1">
      <c r="A1483" s="9" t="s">
        <v>3539</v>
      </c>
      <c r="B1483" s="17">
        <v>1991.0</v>
      </c>
      <c r="C1483" s="9" t="s">
        <v>4716</v>
      </c>
      <c r="D1483" s="9">
        <v>30.0</v>
      </c>
      <c r="E1483" s="18">
        <f t="shared" si="1"/>
        <v>33480</v>
      </c>
      <c r="F1483" s="9">
        <v>2.0</v>
      </c>
      <c r="G1483" s="19">
        <v>4949.76</v>
      </c>
      <c r="H1483" s="9" t="s">
        <v>4723</v>
      </c>
      <c r="I1483" s="9" t="s">
        <v>4718</v>
      </c>
      <c r="J1483" s="9" t="s">
        <v>4743</v>
      </c>
      <c r="K1483" s="20">
        <f t="shared" si="2"/>
        <v>1991</v>
      </c>
      <c r="L1483" s="9" t="str">
        <f t="shared" si="3"/>
        <v>tier - 2</v>
      </c>
      <c r="M1483" s="9" t="str">
        <f t="shared" si="4"/>
        <v>tier - 1</v>
      </c>
      <c r="N1483" s="9" t="str">
        <f t="shared" si="5"/>
        <v>R1013</v>
      </c>
      <c r="O1483" s="17">
        <f t="shared" si="6"/>
        <v>31</v>
      </c>
      <c r="P1483" s="18">
        <v>33480.0</v>
      </c>
    </row>
    <row r="1484" ht="15.75" customHeight="1">
      <c r="A1484" s="9" t="s">
        <v>3537</v>
      </c>
      <c r="B1484" s="17">
        <v>1973.0</v>
      </c>
      <c r="C1484" s="9" t="s">
        <v>4735</v>
      </c>
      <c r="D1484" s="9">
        <v>7.0</v>
      </c>
      <c r="E1484" s="18">
        <f t="shared" si="1"/>
        <v>26975</v>
      </c>
      <c r="F1484" s="9">
        <v>0.0</v>
      </c>
      <c r="G1484" s="19">
        <v>4985.22</v>
      </c>
      <c r="H1484" s="9" t="s">
        <v>4723</v>
      </c>
      <c r="I1484" s="9" t="s">
        <v>4717</v>
      </c>
      <c r="J1484" s="9" t="s">
        <v>4743</v>
      </c>
      <c r="K1484" s="20">
        <f t="shared" si="2"/>
        <v>1973</v>
      </c>
      <c r="L1484" s="9" t="str">
        <f t="shared" si="3"/>
        <v>tier - 2</v>
      </c>
      <c r="M1484" s="9" t="str">
        <f t="shared" si="4"/>
        <v>tier - 3</v>
      </c>
      <c r="N1484" s="9" t="str">
        <f t="shared" si="5"/>
        <v>R1013</v>
      </c>
      <c r="O1484" s="17">
        <f t="shared" si="6"/>
        <v>49</v>
      </c>
      <c r="P1484" s="18">
        <v>26975.0</v>
      </c>
    </row>
    <row r="1485" ht="15.75" customHeight="1">
      <c r="A1485" s="9" t="s">
        <v>3535</v>
      </c>
      <c r="B1485" s="17">
        <v>1988.0</v>
      </c>
      <c r="C1485" s="9" t="s">
        <v>4730</v>
      </c>
      <c r="D1485" s="9">
        <v>24.0</v>
      </c>
      <c r="E1485" s="18">
        <f t="shared" si="1"/>
        <v>32318</v>
      </c>
      <c r="F1485" s="9">
        <v>0.0</v>
      </c>
      <c r="G1485" s="19">
        <v>4992.38</v>
      </c>
      <c r="H1485" s="9" t="s">
        <v>4723</v>
      </c>
      <c r="I1485" s="9" t="s">
        <v>4717</v>
      </c>
      <c r="J1485" s="9" t="s">
        <v>4731</v>
      </c>
      <c r="K1485" s="20">
        <f t="shared" si="2"/>
        <v>1988</v>
      </c>
      <c r="L1485" s="9" t="str">
        <f t="shared" si="3"/>
        <v>tier - 2</v>
      </c>
      <c r="M1485" s="9" t="str">
        <f t="shared" si="4"/>
        <v>tier - 3</v>
      </c>
      <c r="N1485" s="9" t="str">
        <f t="shared" si="5"/>
        <v>R1024</v>
      </c>
      <c r="O1485" s="17">
        <f t="shared" si="6"/>
        <v>34</v>
      </c>
      <c r="P1485" s="18">
        <v>32318.0</v>
      </c>
    </row>
    <row r="1486" ht="15.75" customHeight="1">
      <c r="A1486" s="9" t="s">
        <v>3533</v>
      </c>
      <c r="B1486" s="17">
        <v>2001.0</v>
      </c>
      <c r="C1486" s="9" t="s">
        <v>4720</v>
      </c>
      <c r="D1486" s="9">
        <v>5.0</v>
      </c>
      <c r="E1486" s="18">
        <f t="shared" si="1"/>
        <v>37169</v>
      </c>
      <c r="F1486" s="9">
        <v>0.0</v>
      </c>
      <c r="G1486" s="19">
        <v>4999.04</v>
      </c>
      <c r="H1486" s="9" t="s">
        <v>4723</v>
      </c>
      <c r="I1486" s="9" t="s">
        <v>4723</v>
      </c>
      <c r="J1486" s="9" t="s">
        <v>4719</v>
      </c>
      <c r="K1486" s="20">
        <f t="shared" si="2"/>
        <v>2001</v>
      </c>
      <c r="L1486" s="9" t="str">
        <f t="shared" si="3"/>
        <v>tier - 2</v>
      </c>
      <c r="M1486" s="9" t="str">
        <f t="shared" si="4"/>
        <v>tier - 2</v>
      </c>
      <c r="N1486" s="9" t="str">
        <f t="shared" si="5"/>
        <v>R1011</v>
      </c>
      <c r="O1486" s="17">
        <f t="shared" si="6"/>
        <v>21</v>
      </c>
      <c r="P1486" s="18">
        <v>37169.0</v>
      </c>
    </row>
    <row r="1487" ht="15.75" customHeight="1">
      <c r="A1487" s="9" t="s">
        <v>3531</v>
      </c>
      <c r="B1487" s="17">
        <v>1988.0</v>
      </c>
      <c r="C1487" s="9" t="s">
        <v>4738</v>
      </c>
      <c r="D1487" s="9">
        <v>4.0</v>
      </c>
      <c r="E1487" s="18">
        <f t="shared" si="1"/>
        <v>32390</v>
      </c>
      <c r="F1487" s="9">
        <v>1.0</v>
      </c>
      <c r="G1487" s="19">
        <v>5002.78</v>
      </c>
      <c r="H1487" s="9" t="s">
        <v>4723</v>
      </c>
      <c r="I1487" s="9" t="s">
        <v>4723</v>
      </c>
      <c r="J1487" s="9" t="s">
        <v>4743</v>
      </c>
      <c r="K1487" s="20">
        <f t="shared" si="2"/>
        <v>1988</v>
      </c>
      <c r="L1487" s="9" t="str">
        <f t="shared" si="3"/>
        <v>tier - 2</v>
      </c>
      <c r="M1487" s="9" t="str">
        <f t="shared" si="4"/>
        <v>tier - 2</v>
      </c>
      <c r="N1487" s="9" t="str">
        <f t="shared" si="5"/>
        <v>R1013</v>
      </c>
      <c r="O1487" s="17">
        <f t="shared" si="6"/>
        <v>34</v>
      </c>
      <c r="P1487" s="18">
        <v>32390.0</v>
      </c>
    </row>
    <row r="1488" ht="15.75" customHeight="1">
      <c r="A1488" s="9" t="s">
        <v>3529</v>
      </c>
      <c r="B1488" s="17">
        <v>1977.0</v>
      </c>
      <c r="C1488" s="9" t="s">
        <v>4730</v>
      </c>
      <c r="D1488" s="9">
        <v>9.0</v>
      </c>
      <c r="E1488" s="18">
        <f t="shared" si="1"/>
        <v>28285</v>
      </c>
      <c r="F1488" s="9">
        <v>2.0</v>
      </c>
      <c r="G1488" s="19">
        <v>5003.77</v>
      </c>
      <c r="H1488" s="9" t="s">
        <v>4723</v>
      </c>
      <c r="I1488" s="9" t="s">
        <v>4717</v>
      </c>
      <c r="J1488" s="9" t="s">
        <v>4743</v>
      </c>
      <c r="K1488" s="20">
        <f t="shared" si="2"/>
        <v>1977</v>
      </c>
      <c r="L1488" s="9" t="str">
        <f t="shared" si="3"/>
        <v>tier - 2</v>
      </c>
      <c r="M1488" s="9" t="str">
        <f t="shared" si="4"/>
        <v>tier - 3</v>
      </c>
      <c r="N1488" s="9" t="str">
        <f t="shared" si="5"/>
        <v>R1013</v>
      </c>
      <c r="O1488" s="17">
        <f t="shared" si="6"/>
        <v>45</v>
      </c>
      <c r="P1488" s="18">
        <v>28285.0</v>
      </c>
    </row>
    <row r="1489" ht="15.75" customHeight="1">
      <c r="A1489" s="9" t="s">
        <v>3527</v>
      </c>
      <c r="B1489" s="17">
        <v>1988.0</v>
      </c>
      <c r="C1489" s="9" t="s">
        <v>4741</v>
      </c>
      <c r="D1489" s="9">
        <v>8.0</v>
      </c>
      <c r="E1489" s="18">
        <f t="shared" si="1"/>
        <v>32332</v>
      </c>
      <c r="F1489" s="9">
        <v>1.0</v>
      </c>
      <c r="G1489" s="19">
        <v>5003.85</v>
      </c>
      <c r="H1489" s="9" t="s">
        <v>4723</v>
      </c>
      <c r="I1489" s="9" t="s">
        <v>4717</v>
      </c>
      <c r="J1489" s="9" t="s">
        <v>4719</v>
      </c>
      <c r="K1489" s="20">
        <f t="shared" si="2"/>
        <v>1988</v>
      </c>
      <c r="L1489" s="9" t="str">
        <f t="shared" si="3"/>
        <v>tier - 2</v>
      </c>
      <c r="M1489" s="9" t="str">
        <f t="shared" si="4"/>
        <v>tier - 3</v>
      </c>
      <c r="N1489" s="9" t="str">
        <f t="shared" si="5"/>
        <v>R1011</v>
      </c>
      <c r="O1489" s="17">
        <f t="shared" si="6"/>
        <v>34</v>
      </c>
      <c r="P1489" s="18">
        <v>32332.0</v>
      </c>
    </row>
    <row r="1490" ht="15.75" customHeight="1">
      <c r="A1490" s="9" t="s">
        <v>3525</v>
      </c>
      <c r="B1490" s="17">
        <v>1988.0</v>
      </c>
      <c r="C1490" s="9" t="s">
        <v>4735</v>
      </c>
      <c r="D1490" s="9">
        <v>9.0</v>
      </c>
      <c r="E1490" s="18">
        <f t="shared" si="1"/>
        <v>32456</v>
      </c>
      <c r="F1490" s="9">
        <v>1.0</v>
      </c>
      <c r="G1490" s="19">
        <v>5012.47</v>
      </c>
      <c r="H1490" s="9" t="s">
        <v>4723</v>
      </c>
      <c r="I1490" s="9" t="s">
        <v>4717</v>
      </c>
      <c r="J1490" s="9" t="s">
        <v>4719</v>
      </c>
      <c r="K1490" s="20">
        <f t="shared" si="2"/>
        <v>1988</v>
      </c>
      <c r="L1490" s="9" t="str">
        <f t="shared" si="3"/>
        <v>tier - 2</v>
      </c>
      <c r="M1490" s="9" t="str">
        <f t="shared" si="4"/>
        <v>tier - 3</v>
      </c>
      <c r="N1490" s="9" t="str">
        <f t="shared" si="5"/>
        <v>R1011</v>
      </c>
      <c r="O1490" s="17">
        <f t="shared" si="6"/>
        <v>34</v>
      </c>
      <c r="P1490" s="18">
        <v>32456.0</v>
      </c>
    </row>
    <row r="1491" ht="15.75" customHeight="1">
      <c r="A1491" s="9" t="s">
        <v>3523</v>
      </c>
      <c r="B1491" s="17">
        <v>1985.0</v>
      </c>
      <c r="C1491" s="9" t="s">
        <v>4725</v>
      </c>
      <c r="D1491" s="9">
        <v>28.0</v>
      </c>
      <c r="E1491" s="18">
        <f t="shared" si="1"/>
        <v>31409</v>
      </c>
      <c r="F1491" s="9">
        <v>0.0</v>
      </c>
      <c r="G1491" s="19">
        <v>5028.15</v>
      </c>
      <c r="H1491" s="9" t="s">
        <v>4718</v>
      </c>
      <c r="I1491" s="9" t="s">
        <v>4723</v>
      </c>
      <c r="J1491" s="9" t="s">
        <v>4733</v>
      </c>
      <c r="K1491" s="20">
        <f t="shared" si="2"/>
        <v>1985</v>
      </c>
      <c r="L1491" s="9" t="str">
        <f t="shared" si="3"/>
        <v>tier - 1</v>
      </c>
      <c r="M1491" s="9" t="str">
        <f t="shared" si="4"/>
        <v>tier - 2</v>
      </c>
      <c r="N1491" s="9" t="str">
        <f t="shared" si="5"/>
        <v>R1012</v>
      </c>
      <c r="O1491" s="17">
        <f t="shared" si="6"/>
        <v>37</v>
      </c>
      <c r="P1491" s="18">
        <v>31409.0</v>
      </c>
    </row>
    <row r="1492" ht="15.75" customHeight="1">
      <c r="A1492" s="9" t="s">
        <v>3521</v>
      </c>
      <c r="B1492" s="17">
        <v>1991.0</v>
      </c>
      <c r="C1492" s="9" t="s">
        <v>4738</v>
      </c>
      <c r="D1492" s="9">
        <v>10.0</v>
      </c>
      <c r="E1492" s="18">
        <f t="shared" si="1"/>
        <v>33491</v>
      </c>
      <c r="F1492" s="9">
        <v>2.0</v>
      </c>
      <c r="G1492" s="19">
        <v>5031.27</v>
      </c>
      <c r="H1492" s="9" t="s">
        <v>4717</v>
      </c>
      <c r="I1492" s="9" t="s">
        <v>4718</v>
      </c>
      <c r="J1492" s="9" t="s">
        <v>4754</v>
      </c>
      <c r="K1492" s="20">
        <f t="shared" si="2"/>
        <v>1991</v>
      </c>
      <c r="L1492" s="9" t="str">
        <f t="shared" si="3"/>
        <v>tier - 3</v>
      </c>
      <c r="M1492" s="9" t="str">
        <f t="shared" si="4"/>
        <v>tier - 1</v>
      </c>
      <c r="N1492" s="9" t="str">
        <f t="shared" si="5"/>
        <v>R1016</v>
      </c>
      <c r="O1492" s="17">
        <f t="shared" si="6"/>
        <v>31</v>
      </c>
      <c r="P1492" s="18">
        <v>33491.0</v>
      </c>
    </row>
    <row r="1493" ht="15.75" customHeight="1">
      <c r="A1493" s="9" t="s">
        <v>353</v>
      </c>
      <c r="B1493" s="17">
        <v>1992.0</v>
      </c>
      <c r="C1493" s="9" t="s">
        <v>4716</v>
      </c>
      <c r="D1493" s="9">
        <v>25.0</v>
      </c>
      <c r="E1493" s="18">
        <f t="shared" si="1"/>
        <v>33841</v>
      </c>
      <c r="F1493" s="9">
        <v>0.0</v>
      </c>
      <c r="G1493" s="19">
        <v>36950.26</v>
      </c>
      <c r="H1493" s="9" t="s">
        <v>4718</v>
      </c>
      <c r="I1493" s="9" t="s">
        <v>4718</v>
      </c>
      <c r="J1493" s="9" t="s">
        <v>4743</v>
      </c>
      <c r="K1493" s="20">
        <f t="shared" si="2"/>
        <v>1992</v>
      </c>
      <c r="L1493" s="9" t="str">
        <f t="shared" si="3"/>
        <v>tier - 1</v>
      </c>
      <c r="M1493" s="9" t="str">
        <f t="shared" si="4"/>
        <v>tier - 1</v>
      </c>
      <c r="N1493" s="9" t="str">
        <f t="shared" si="5"/>
        <v>R1013</v>
      </c>
      <c r="O1493" s="17">
        <f t="shared" si="6"/>
        <v>30</v>
      </c>
      <c r="P1493" s="18">
        <v>33841.0</v>
      </c>
    </row>
    <row r="1494" ht="15.75" customHeight="1">
      <c r="A1494" s="9" t="s">
        <v>3519</v>
      </c>
      <c r="B1494" s="17">
        <v>1986.0</v>
      </c>
      <c r="C1494" s="9" t="s">
        <v>4730</v>
      </c>
      <c r="D1494" s="9">
        <v>29.0</v>
      </c>
      <c r="E1494" s="18">
        <f t="shared" si="1"/>
        <v>31592</v>
      </c>
      <c r="F1494" s="9">
        <v>3.0</v>
      </c>
      <c r="G1494" s="19">
        <v>5034.1</v>
      </c>
      <c r="H1494" s="9" t="s">
        <v>4723</v>
      </c>
      <c r="I1494" s="9" t="s">
        <v>4723</v>
      </c>
      <c r="J1494" s="9" t="s">
        <v>4743</v>
      </c>
      <c r="K1494" s="20">
        <f t="shared" si="2"/>
        <v>1986</v>
      </c>
      <c r="L1494" s="9" t="str">
        <f t="shared" si="3"/>
        <v>tier - 2</v>
      </c>
      <c r="M1494" s="9" t="str">
        <f t="shared" si="4"/>
        <v>tier - 2</v>
      </c>
      <c r="N1494" s="9" t="str">
        <f t="shared" si="5"/>
        <v>R1013</v>
      </c>
      <c r="O1494" s="17">
        <f t="shared" si="6"/>
        <v>36</v>
      </c>
      <c r="P1494" s="18">
        <v>31592.0</v>
      </c>
    </row>
    <row r="1495" ht="15.75" customHeight="1">
      <c r="A1495" s="9" t="s">
        <v>3517</v>
      </c>
      <c r="B1495" s="17">
        <v>1997.0</v>
      </c>
      <c r="C1495" s="9" t="s">
        <v>4725</v>
      </c>
      <c r="D1495" s="9">
        <v>4.0</v>
      </c>
      <c r="E1495" s="18">
        <f t="shared" si="1"/>
        <v>35768</v>
      </c>
      <c r="F1495" s="9">
        <v>0.0</v>
      </c>
      <c r="G1495" s="19">
        <v>5038.57</v>
      </c>
      <c r="H1495" s="9" t="s">
        <v>4723</v>
      </c>
      <c r="I1495" s="9" t="s">
        <v>4723</v>
      </c>
      <c r="J1495" s="9" t="s">
        <v>4726</v>
      </c>
      <c r="K1495" s="20">
        <f t="shared" si="2"/>
        <v>1997</v>
      </c>
      <c r="L1495" s="9" t="str">
        <f t="shared" si="3"/>
        <v>tier - 2</v>
      </c>
      <c r="M1495" s="9" t="str">
        <f t="shared" si="4"/>
        <v>tier - 2</v>
      </c>
      <c r="N1495" s="9" t="str">
        <f t="shared" si="5"/>
        <v>R1025</v>
      </c>
      <c r="O1495" s="17">
        <f t="shared" si="6"/>
        <v>25</v>
      </c>
      <c r="P1495" s="18">
        <v>35768.0</v>
      </c>
    </row>
    <row r="1496" ht="15.75" customHeight="1">
      <c r="A1496" s="9" t="s">
        <v>3515</v>
      </c>
      <c r="B1496" s="17">
        <v>2001.0</v>
      </c>
      <c r="C1496" s="9" t="s">
        <v>4720</v>
      </c>
      <c r="D1496" s="9">
        <v>16.0</v>
      </c>
      <c r="E1496" s="18">
        <f t="shared" si="1"/>
        <v>37180</v>
      </c>
      <c r="F1496" s="9">
        <v>0.0</v>
      </c>
      <c r="G1496" s="19">
        <v>5043.13</v>
      </c>
      <c r="H1496" s="9" t="s">
        <v>4723</v>
      </c>
      <c r="I1496" s="9" t="s">
        <v>4717</v>
      </c>
      <c r="J1496" s="9" t="s">
        <v>4719</v>
      </c>
      <c r="K1496" s="20">
        <f t="shared" si="2"/>
        <v>2001</v>
      </c>
      <c r="L1496" s="9" t="str">
        <f t="shared" si="3"/>
        <v>tier - 2</v>
      </c>
      <c r="M1496" s="9" t="str">
        <f t="shared" si="4"/>
        <v>tier - 3</v>
      </c>
      <c r="N1496" s="9" t="str">
        <f t="shared" si="5"/>
        <v>R1011</v>
      </c>
      <c r="O1496" s="17">
        <f t="shared" si="6"/>
        <v>21</v>
      </c>
      <c r="P1496" s="18">
        <v>37180.0</v>
      </c>
    </row>
    <row r="1497" ht="15.75" customHeight="1">
      <c r="A1497" s="9" t="s">
        <v>3513</v>
      </c>
      <c r="B1497" s="17">
        <v>1997.0</v>
      </c>
      <c r="C1497" s="9" t="s">
        <v>4741</v>
      </c>
      <c r="D1497" s="9">
        <v>29.0</v>
      </c>
      <c r="E1497" s="18">
        <f t="shared" si="1"/>
        <v>35640</v>
      </c>
      <c r="F1497" s="9">
        <v>0.0</v>
      </c>
      <c r="G1497" s="19">
        <v>5045.15</v>
      </c>
      <c r="H1497" s="9" t="s">
        <v>4723</v>
      </c>
      <c r="I1497" s="9" t="s">
        <v>4723</v>
      </c>
      <c r="J1497" s="9" t="s">
        <v>4733</v>
      </c>
      <c r="K1497" s="20">
        <f t="shared" si="2"/>
        <v>1997</v>
      </c>
      <c r="L1497" s="9" t="str">
        <f t="shared" si="3"/>
        <v>tier - 2</v>
      </c>
      <c r="M1497" s="9" t="str">
        <f t="shared" si="4"/>
        <v>tier - 2</v>
      </c>
      <c r="N1497" s="9" t="str">
        <f t="shared" si="5"/>
        <v>R1012</v>
      </c>
      <c r="O1497" s="17">
        <f t="shared" si="6"/>
        <v>25</v>
      </c>
      <c r="P1497" s="18">
        <v>35640.0</v>
      </c>
    </row>
    <row r="1498" ht="15.75" customHeight="1">
      <c r="A1498" s="9" t="s">
        <v>3511</v>
      </c>
      <c r="B1498" s="17">
        <v>1980.0</v>
      </c>
      <c r="C1498" s="9" t="s">
        <v>4738</v>
      </c>
      <c r="D1498" s="9">
        <v>7.0</v>
      </c>
      <c r="E1498" s="18">
        <f t="shared" si="1"/>
        <v>29471</v>
      </c>
      <c r="F1498" s="9">
        <v>2.0</v>
      </c>
      <c r="G1498" s="19">
        <v>5054.05</v>
      </c>
      <c r="H1498" s="9" t="s">
        <v>4723</v>
      </c>
      <c r="I1498" s="9" t="s">
        <v>4723</v>
      </c>
      <c r="J1498" s="9" t="s">
        <v>4743</v>
      </c>
      <c r="K1498" s="20">
        <f t="shared" si="2"/>
        <v>1980</v>
      </c>
      <c r="L1498" s="9" t="str">
        <f t="shared" si="3"/>
        <v>tier - 2</v>
      </c>
      <c r="M1498" s="9" t="str">
        <f t="shared" si="4"/>
        <v>tier - 2</v>
      </c>
      <c r="N1498" s="9" t="str">
        <f t="shared" si="5"/>
        <v>R1013</v>
      </c>
      <c r="O1498" s="17">
        <f t="shared" si="6"/>
        <v>42</v>
      </c>
      <c r="P1498" s="18">
        <v>29471.0</v>
      </c>
    </row>
    <row r="1499" ht="15.75" customHeight="1">
      <c r="A1499" s="9" t="s">
        <v>3509</v>
      </c>
      <c r="B1499" s="17">
        <v>1993.0</v>
      </c>
      <c r="C1499" s="9" t="s">
        <v>4730</v>
      </c>
      <c r="D1499" s="9">
        <v>11.0</v>
      </c>
      <c r="E1499" s="18">
        <f t="shared" si="1"/>
        <v>34131</v>
      </c>
      <c r="F1499" s="9">
        <v>0.0</v>
      </c>
      <c r="G1499" s="19">
        <v>5059.56</v>
      </c>
      <c r="H1499" s="9" t="s">
        <v>4723</v>
      </c>
      <c r="I1499" s="9" t="s">
        <v>4718</v>
      </c>
      <c r="J1499" s="9" t="s">
        <v>4751</v>
      </c>
      <c r="K1499" s="20">
        <f t="shared" si="2"/>
        <v>1993</v>
      </c>
      <c r="L1499" s="9" t="str">
        <f t="shared" si="3"/>
        <v>tier - 2</v>
      </c>
      <c r="M1499" s="9" t="str">
        <f t="shared" si="4"/>
        <v>tier - 1</v>
      </c>
      <c r="N1499" s="9" t="str">
        <f t="shared" si="5"/>
        <v>R1021</v>
      </c>
      <c r="O1499" s="17">
        <f t="shared" si="6"/>
        <v>29</v>
      </c>
      <c r="P1499" s="18">
        <v>34131.0</v>
      </c>
    </row>
    <row r="1500" ht="15.75" customHeight="1">
      <c r="A1500" s="9" t="s">
        <v>3507</v>
      </c>
      <c r="B1500" s="17">
        <v>1978.0</v>
      </c>
      <c r="C1500" s="9" t="s">
        <v>4735</v>
      </c>
      <c r="D1500" s="9">
        <v>22.0</v>
      </c>
      <c r="E1500" s="18">
        <f t="shared" si="1"/>
        <v>28816</v>
      </c>
      <c r="F1500" s="9">
        <v>2.0</v>
      </c>
      <c r="G1500" s="19">
        <v>5077.19</v>
      </c>
      <c r="H1500" s="9" t="s">
        <v>4723</v>
      </c>
      <c r="I1500" s="9" t="s">
        <v>4717</v>
      </c>
      <c r="J1500" s="9" t="s">
        <v>4733</v>
      </c>
      <c r="K1500" s="20">
        <f t="shared" si="2"/>
        <v>1978</v>
      </c>
      <c r="L1500" s="9" t="str">
        <f t="shared" si="3"/>
        <v>tier - 2</v>
      </c>
      <c r="M1500" s="9" t="str">
        <f t="shared" si="4"/>
        <v>tier - 3</v>
      </c>
      <c r="N1500" s="9" t="str">
        <f t="shared" si="5"/>
        <v>R1012</v>
      </c>
      <c r="O1500" s="17">
        <f t="shared" si="6"/>
        <v>44</v>
      </c>
      <c r="P1500" s="18">
        <v>28816.0</v>
      </c>
    </row>
    <row r="1501" ht="15.75" customHeight="1">
      <c r="A1501" s="9" t="s">
        <v>3505</v>
      </c>
      <c r="B1501" s="17">
        <v>1997.0</v>
      </c>
      <c r="C1501" s="9" t="s">
        <v>4741</v>
      </c>
      <c r="D1501" s="9">
        <v>14.0</v>
      </c>
      <c r="E1501" s="18">
        <f t="shared" si="1"/>
        <v>35625</v>
      </c>
      <c r="F1501" s="9">
        <v>5.0</v>
      </c>
      <c r="G1501" s="19">
        <v>5080.1</v>
      </c>
      <c r="H1501" s="9" t="s">
        <v>4717</v>
      </c>
      <c r="I1501" s="9" t="s">
        <v>4723</v>
      </c>
      <c r="J1501" s="9" t="s">
        <v>4719</v>
      </c>
      <c r="K1501" s="20">
        <f t="shared" si="2"/>
        <v>1997</v>
      </c>
      <c r="L1501" s="9" t="str">
        <f t="shared" si="3"/>
        <v>tier - 3</v>
      </c>
      <c r="M1501" s="9" t="str">
        <f t="shared" si="4"/>
        <v>tier - 2</v>
      </c>
      <c r="N1501" s="9" t="str">
        <f t="shared" si="5"/>
        <v>R1011</v>
      </c>
      <c r="O1501" s="17">
        <f t="shared" si="6"/>
        <v>25</v>
      </c>
      <c r="P1501" s="18">
        <v>35625.0</v>
      </c>
    </row>
    <row r="1502" ht="15.75" customHeight="1">
      <c r="A1502" s="9" t="s">
        <v>3503</v>
      </c>
      <c r="B1502" s="17">
        <v>1999.0</v>
      </c>
      <c r="C1502" s="9" t="s">
        <v>4730</v>
      </c>
      <c r="D1502" s="9">
        <v>19.0</v>
      </c>
      <c r="E1502" s="18">
        <f t="shared" si="1"/>
        <v>36330</v>
      </c>
      <c r="F1502" s="9">
        <v>0.0</v>
      </c>
      <c r="G1502" s="19">
        <v>5087.92</v>
      </c>
      <c r="H1502" s="9" t="s">
        <v>4723</v>
      </c>
      <c r="I1502" s="9" t="s">
        <v>4723</v>
      </c>
      <c r="J1502" s="9" t="s">
        <v>4721</v>
      </c>
      <c r="K1502" s="20">
        <f t="shared" si="2"/>
        <v>1999</v>
      </c>
      <c r="L1502" s="9" t="str">
        <f t="shared" si="3"/>
        <v>tier - 2</v>
      </c>
      <c r="M1502" s="9" t="str">
        <f t="shared" si="4"/>
        <v>tier - 2</v>
      </c>
      <c r="N1502" s="9" t="str">
        <f t="shared" si="5"/>
        <v>R1026</v>
      </c>
      <c r="O1502" s="17">
        <f t="shared" si="6"/>
        <v>23</v>
      </c>
      <c r="P1502" s="18">
        <v>36330.0</v>
      </c>
    </row>
    <row r="1503" ht="15.75" customHeight="1">
      <c r="A1503" s="9" t="s">
        <v>3501</v>
      </c>
      <c r="B1503" s="17">
        <v>1987.0</v>
      </c>
      <c r="C1503" s="9" t="s">
        <v>4735</v>
      </c>
      <c r="D1503" s="9">
        <v>18.0</v>
      </c>
      <c r="E1503" s="18">
        <f t="shared" si="1"/>
        <v>32099</v>
      </c>
      <c r="F1503" s="9">
        <v>1.0</v>
      </c>
      <c r="G1503" s="19">
        <v>5116.5</v>
      </c>
      <c r="H1503" s="9" t="s">
        <v>4723</v>
      </c>
      <c r="I1503" s="9" t="s">
        <v>4723</v>
      </c>
      <c r="J1503" s="9" t="s">
        <v>4733</v>
      </c>
      <c r="K1503" s="20">
        <f t="shared" si="2"/>
        <v>1987</v>
      </c>
      <c r="L1503" s="9" t="str">
        <f t="shared" si="3"/>
        <v>tier - 2</v>
      </c>
      <c r="M1503" s="9" t="str">
        <f t="shared" si="4"/>
        <v>tier - 2</v>
      </c>
      <c r="N1503" s="9" t="str">
        <f t="shared" si="5"/>
        <v>R1012</v>
      </c>
      <c r="O1503" s="17">
        <f t="shared" si="6"/>
        <v>35</v>
      </c>
      <c r="P1503" s="18">
        <v>32099.0</v>
      </c>
    </row>
    <row r="1504" ht="15.75" customHeight="1">
      <c r="A1504" s="9" t="s">
        <v>351</v>
      </c>
      <c r="B1504" s="17">
        <v>1992.0</v>
      </c>
      <c r="C1504" s="9" t="s">
        <v>4738</v>
      </c>
      <c r="D1504" s="9">
        <v>13.0</v>
      </c>
      <c r="E1504" s="18">
        <f t="shared" si="1"/>
        <v>33860</v>
      </c>
      <c r="F1504" s="9">
        <v>0.0</v>
      </c>
      <c r="G1504" s="19">
        <v>36976.45</v>
      </c>
      <c r="H1504" s="9" t="s">
        <v>4723</v>
      </c>
      <c r="I1504" s="9" t="s">
        <v>4717</v>
      </c>
      <c r="J1504" s="9" t="s">
        <v>4719</v>
      </c>
      <c r="K1504" s="20">
        <f t="shared" si="2"/>
        <v>1992</v>
      </c>
      <c r="L1504" s="9" t="str">
        <f t="shared" si="3"/>
        <v>tier - 2</v>
      </c>
      <c r="M1504" s="9" t="str">
        <f t="shared" si="4"/>
        <v>tier - 3</v>
      </c>
      <c r="N1504" s="9" t="str">
        <f t="shared" si="5"/>
        <v>R1011</v>
      </c>
      <c r="O1504" s="17">
        <f t="shared" si="6"/>
        <v>30</v>
      </c>
      <c r="P1504" s="18">
        <v>33860.0</v>
      </c>
    </row>
    <row r="1505" ht="15.75" customHeight="1">
      <c r="A1505" s="9" t="s">
        <v>3499</v>
      </c>
      <c r="B1505" s="17">
        <v>1988.0</v>
      </c>
      <c r="C1505" s="9" t="s">
        <v>4735</v>
      </c>
      <c r="D1505" s="9">
        <v>1.0</v>
      </c>
      <c r="E1505" s="18">
        <f t="shared" si="1"/>
        <v>32448</v>
      </c>
      <c r="F1505" s="9">
        <v>2.0</v>
      </c>
      <c r="G1505" s="19">
        <v>5124.19</v>
      </c>
      <c r="H1505" s="9" t="s">
        <v>4723</v>
      </c>
      <c r="I1505" s="9" t="s">
        <v>4717</v>
      </c>
      <c r="J1505" s="9" t="s">
        <v>4743</v>
      </c>
      <c r="K1505" s="20">
        <f t="shared" si="2"/>
        <v>1988</v>
      </c>
      <c r="L1505" s="9" t="str">
        <f t="shared" si="3"/>
        <v>tier - 2</v>
      </c>
      <c r="M1505" s="9" t="str">
        <f t="shared" si="4"/>
        <v>tier - 3</v>
      </c>
      <c r="N1505" s="9" t="str">
        <f t="shared" si="5"/>
        <v>R1013</v>
      </c>
      <c r="O1505" s="17">
        <f t="shared" si="6"/>
        <v>34</v>
      </c>
      <c r="P1505" s="18">
        <v>32448.0</v>
      </c>
    </row>
    <row r="1506" ht="15.75" customHeight="1">
      <c r="A1506" s="9" t="s">
        <v>3497</v>
      </c>
      <c r="B1506" s="17">
        <v>1987.0</v>
      </c>
      <c r="C1506" s="9" t="s">
        <v>4738</v>
      </c>
      <c r="D1506" s="9">
        <v>13.0</v>
      </c>
      <c r="E1506" s="18">
        <f t="shared" si="1"/>
        <v>32033</v>
      </c>
      <c r="F1506" s="9">
        <v>1.0</v>
      </c>
      <c r="G1506" s="19">
        <v>5125.22</v>
      </c>
      <c r="H1506" s="9" t="s">
        <v>4718</v>
      </c>
      <c r="I1506" s="9" t="s">
        <v>4723</v>
      </c>
      <c r="J1506" s="9" t="s">
        <v>4733</v>
      </c>
      <c r="K1506" s="20">
        <f t="shared" si="2"/>
        <v>1987</v>
      </c>
      <c r="L1506" s="9" t="str">
        <f t="shared" si="3"/>
        <v>tier - 1</v>
      </c>
      <c r="M1506" s="9" t="str">
        <f t="shared" si="4"/>
        <v>tier - 2</v>
      </c>
      <c r="N1506" s="9" t="str">
        <f t="shared" si="5"/>
        <v>R1012</v>
      </c>
      <c r="O1506" s="17">
        <f t="shared" si="6"/>
        <v>35</v>
      </c>
      <c r="P1506" s="18">
        <v>32033.0</v>
      </c>
    </row>
    <row r="1507" ht="15.75" customHeight="1">
      <c r="A1507" s="9" t="s">
        <v>3495</v>
      </c>
      <c r="B1507" s="17">
        <v>1988.0</v>
      </c>
      <c r="C1507" s="9" t="s">
        <v>4738</v>
      </c>
      <c r="D1507" s="9">
        <v>15.0</v>
      </c>
      <c r="E1507" s="18">
        <f t="shared" si="1"/>
        <v>32401</v>
      </c>
      <c r="F1507" s="9">
        <v>3.0</v>
      </c>
      <c r="G1507" s="19">
        <v>5136.75</v>
      </c>
      <c r="H1507" s="9" t="s">
        <v>4723</v>
      </c>
      <c r="I1507" s="9" t="s">
        <v>4718</v>
      </c>
      <c r="J1507" s="9" t="s">
        <v>4743</v>
      </c>
      <c r="K1507" s="20">
        <f t="shared" si="2"/>
        <v>1988</v>
      </c>
      <c r="L1507" s="9" t="str">
        <f t="shared" si="3"/>
        <v>tier - 2</v>
      </c>
      <c r="M1507" s="9" t="str">
        <f t="shared" si="4"/>
        <v>tier - 1</v>
      </c>
      <c r="N1507" s="9" t="str">
        <f t="shared" si="5"/>
        <v>R1013</v>
      </c>
      <c r="O1507" s="17">
        <f t="shared" si="6"/>
        <v>34</v>
      </c>
      <c r="P1507" s="18">
        <v>32401.0</v>
      </c>
    </row>
    <row r="1508" ht="15.75" customHeight="1">
      <c r="A1508" s="9" t="s">
        <v>3493</v>
      </c>
      <c r="B1508" s="17">
        <v>1993.0</v>
      </c>
      <c r="C1508" s="9" t="s">
        <v>4725</v>
      </c>
      <c r="D1508" s="9">
        <v>10.0</v>
      </c>
      <c r="E1508" s="18">
        <f t="shared" si="1"/>
        <v>34313</v>
      </c>
      <c r="F1508" s="9">
        <v>3.0</v>
      </c>
      <c r="G1508" s="19">
        <v>5138.26</v>
      </c>
      <c r="H1508" s="9" t="s">
        <v>4723</v>
      </c>
      <c r="I1508" s="9" t="s">
        <v>4723</v>
      </c>
      <c r="J1508" s="9" t="s">
        <v>4743</v>
      </c>
      <c r="K1508" s="20">
        <f t="shared" si="2"/>
        <v>1993</v>
      </c>
      <c r="L1508" s="9" t="str">
        <f t="shared" si="3"/>
        <v>tier - 2</v>
      </c>
      <c r="M1508" s="9" t="str">
        <f t="shared" si="4"/>
        <v>tier - 2</v>
      </c>
      <c r="N1508" s="9" t="str">
        <f t="shared" si="5"/>
        <v>R1013</v>
      </c>
      <c r="O1508" s="17">
        <f t="shared" si="6"/>
        <v>29</v>
      </c>
      <c r="P1508" s="18">
        <v>34313.0</v>
      </c>
    </row>
    <row r="1509" ht="15.75" customHeight="1">
      <c r="A1509" s="9" t="s">
        <v>3491</v>
      </c>
      <c r="B1509" s="17">
        <v>1984.0</v>
      </c>
      <c r="C1509" s="9" t="s">
        <v>4716</v>
      </c>
      <c r="D1509" s="9">
        <v>22.0</v>
      </c>
      <c r="E1509" s="18">
        <f t="shared" si="1"/>
        <v>30916</v>
      </c>
      <c r="F1509" s="9">
        <v>3.0</v>
      </c>
      <c r="G1509" s="19">
        <v>5144.18</v>
      </c>
      <c r="H1509" s="9" t="s">
        <v>4723</v>
      </c>
      <c r="I1509" s="9" t="s">
        <v>4718</v>
      </c>
      <c r="J1509" s="9" t="s">
        <v>4743</v>
      </c>
      <c r="K1509" s="20">
        <f t="shared" si="2"/>
        <v>1984</v>
      </c>
      <c r="L1509" s="9" t="str">
        <f t="shared" si="3"/>
        <v>tier - 2</v>
      </c>
      <c r="M1509" s="9" t="str">
        <f t="shared" si="4"/>
        <v>tier - 1</v>
      </c>
      <c r="N1509" s="9" t="str">
        <f t="shared" si="5"/>
        <v>R1013</v>
      </c>
      <c r="O1509" s="17">
        <f t="shared" si="6"/>
        <v>38</v>
      </c>
      <c r="P1509" s="18">
        <v>30916.0</v>
      </c>
    </row>
    <row r="1510" ht="15.75" customHeight="1">
      <c r="A1510" s="9" t="s">
        <v>3489</v>
      </c>
      <c r="B1510" s="17">
        <v>1990.0</v>
      </c>
      <c r="C1510" s="9" t="s">
        <v>4716</v>
      </c>
      <c r="D1510" s="9">
        <v>22.0</v>
      </c>
      <c r="E1510" s="18">
        <f t="shared" si="1"/>
        <v>33107</v>
      </c>
      <c r="F1510" s="9">
        <v>1.0</v>
      </c>
      <c r="G1510" s="19">
        <v>5148.55</v>
      </c>
      <c r="H1510" s="9" t="s">
        <v>4723</v>
      </c>
      <c r="I1510" s="9" t="s">
        <v>4723</v>
      </c>
      <c r="J1510" s="9" t="s">
        <v>4731</v>
      </c>
      <c r="K1510" s="20">
        <f t="shared" si="2"/>
        <v>1990</v>
      </c>
      <c r="L1510" s="9" t="str">
        <f t="shared" si="3"/>
        <v>tier - 2</v>
      </c>
      <c r="M1510" s="9" t="str">
        <f t="shared" si="4"/>
        <v>tier - 2</v>
      </c>
      <c r="N1510" s="9" t="str">
        <f t="shared" si="5"/>
        <v>R1024</v>
      </c>
      <c r="O1510" s="17">
        <f t="shared" si="6"/>
        <v>32</v>
      </c>
      <c r="P1510" s="18">
        <v>33107.0</v>
      </c>
    </row>
    <row r="1511" ht="15.75" customHeight="1">
      <c r="A1511" s="9" t="s">
        <v>3487</v>
      </c>
      <c r="B1511" s="17">
        <v>1990.0</v>
      </c>
      <c r="C1511" s="9" t="s">
        <v>4720</v>
      </c>
      <c r="D1511" s="9">
        <v>9.0</v>
      </c>
      <c r="E1511" s="18">
        <f t="shared" si="1"/>
        <v>33155</v>
      </c>
      <c r="F1511" s="9">
        <v>2.0</v>
      </c>
      <c r="G1511" s="19">
        <v>5152.13</v>
      </c>
      <c r="H1511" s="9" t="s">
        <v>4723</v>
      </c>
      <c r="I1511" s="9" t="s">
        <v>4723</v>
      </c>
      <c r="J1511" s="9" t="s">
        <v>4719</v>
      </c>
      <c r="K1511" s="20">
        <f t="shared" si="2"/>
        <v>1990</v>
      </c>
      <c r="L1511" s="9" t="str">
        <f t="shared" si="3"/>
        <v>tier - 2</v>
      </c>
      <c r="M1511" s="9" t="str">
        <f t="shared" si="4"/>
        <v>tier - 2</v>
      </c>
      <c r="N1511" s="9" t="str">
        <f t="shared" si="5"/>
        <v>R1011</v>
      </c>
      <c r="O1511" s="17">
        <f t="shared" si="6"/>
        <v>32</v>
      </c>
      <c r="P1511" s="18">
        <v>33155.0</v>
      </c>
    </row>
    <row r="1512" ht="15.75" customHeight="1">
      <c r="A1512" s="9" t="s">
        <v>3485</v>
      </c>
      <c r="B1512" s="17">
        <v>1991.0</v>
      </c>
      <c r="C1512" s="9" t="s">
        <v>4716</v>
      </c>
      <c r="D1512" s="9">
        <v>29.0</v>
      </c>
      <c r="E1512" s="18">
        <f t="shared" si="1"/>
        <v>33479</v>
      </c>
      <c r="F1512" s="9">
        <v>3.0</v>
      </c>
      <c r="G1512" s="19">
        <v>5166.96</v>
      </c>
      <c r="H1512" s="9" t="s">
        <v>4723</v>
      </c>
      <c r="I1512" s="9" t="s">
        <v>4723</v>
      </c>
      <c r="J1512" s="9" t="s">
        <v>4733</v>
      </c>
      <c r="K1512" s="20">
        <f t="shared" si="2"/>
        <v>1991</v>
      </c>
      <c r="L1512" s="9" t="str">
        <f t="shared" si="3"/>
        <v>tier - 2</v>
      </c>
      <c r="M1512" s="9" t="str">
        <f t="shared" si="4"/>
        <v>tier - 2</v>
      </c>
      <c r="N1512" s="9" t="str">
        <f t="shared" si="5"/>
        <v>R1012</v>
      </c>
      <c r="O1512" s="17">
        <f t="shared" si="6"/>
        <v>31</v>
      </c>
      <c r="P1512" s="18">
        <v>33479.0</v>
      </c>
    </row>
    <row r="1513" ht="15.75" customHeight="1">
      <c r="A1513" s="9" t="s">
        <v>3483</v>
      </c>
      <c r="B1513" s="17">
        <v>1984.0</v>
      </c>
      <c r="C1513" s="9" t="s">
        <v>4720</v>
      </c>
      <c r="D1513" s="9">
        <v>16.0</v>
      </c>
      <c r="E1513" s="18">
        <f t="shared" si="1"/>
        <v>30971</v>
      </c>
      <c r="F1513" s="9">
        <v>3.0</v>
      </c>
      <c r="G1513" s="19">
        <v>5177.12</v>
      </c>
      <c r="H1513" s="9" t="s">
        <v>4723</v>
      </c>
      <c r="I1513" s="9" t="s">
        <v>4718</v>
      </c>
      <c r="J1513" s="9" t="s">
        <v>4743</v>
      </c>
      <c r="K1513" s="20">
        <f t="shared" si="2"/>
        <v>1984</v>
      </c>
      <c r="L1513" s="9" t="str">
        <f t="shared" si="3"/>
        <v>tier - 2</v>
      </c>
      <c r="M1513" s="9" t="str">
        <f t="shared" si="4"/>
        <v>tier - 1</v>
      </c>
      <c r="N1513" s="9" t="str">
        <f t="shared" si="5"/>
        <v>R1013</v>
      </c>
      <c r="O1513" s="17">
        <f t="shared" si="6"/>
        <v>38</v>
      </c>
      <c r="P1513" s="18">
        <v>30971.0</v>
      </c>
    </row>
    <row r="1514" ht="15.75" customHeight="1">
      <c r="A1514" s="9" t="s">
        <v>3481</v>
      </c>
      <c r="B1514" s="17">
        <v>1979.0</v>
      </c>
      <c r="C1514" s="9" t="s">
        <v>4738</v>
      </c>
      <c r="D1514" s="9">
        <v>12.0</v>
      </c>
      <c r="E1514" s="18">
        <f t="shared" si="1"/>
        <v>29110</v>
      </c>
      <c r="F1514" s="9">
        <v>2.0</v>
      </c>
      <c r="G1514" s="19">
        <v>5195.58</v>
      </c>
      <c r="H1514" s="9" t="s">
        <v>4723</v>
      </c>
      <c r="I1514" s="9" t="s">
        <v>4723</v>
      </c>
      <c r="J1514" s="9" t="s">
        <v>4743</v>
      </c>
      <c r="K1514" s="20">
        <f t="shared" si="2"/>
        <v>1979</v>
      </c>
      <c r="L1514" s="9" t="str">
        <f t="shared" si="3"/>
        <v>tier - 2</v>
      </c>
      <c r="M1514" s="9" t="str">
        <f t="shared" si="4"/>
        <v>tier - 2</v>
      </c>
      <c r="N1514" s="9" t="str">
        <f t="shared" si="5"/>
        <v>R1013</v>
      </c>
      <c r="O1514" s="17">
        <f t="shared" si="6"/>
        <v>43</v>
      </c>
      <c r="P1514" s="18">
        <v>29110.0</v>
      </c>
    </row>
    <row r="1515" ht="15.75" customHeight="1">
      <c r="A1515" s="9" t="s">
        <v>349</v>
      </c>
      <c r="B1515" s="17">
        <v>1991.0</v>
      </c>
      <c r="C1515" s="9" t="s">
        <v>4735</v>
      </c>
      <c r="D1515" s="9">
        <v>1.0</v>
      </c>
      <c r="E1515" s="18">
        <f t="shared" si="1"/>
        <v>33543</v>
      </c>
      <c r="F1515" s="9">
        <v>3.0</v>
      </c>
      <c r="G1515" s="19">
        <v>37040.88</v>
      </c>
      <c r="H1515" s="9" t="s">
        <v>4723</v>
      </c>
      <c r="I1515" s="9" t="s">
        <v>4723</v>
      </c>
      <c r="J1515" s="9" t="s">
        <v>4719</v>
      </c>
      <c r="K1515" s="20">
        <f t="shared" si="2"/>
        <v>1991</v>
      </c>
      <c r="L1515" s="9" t="str">
        <f t="shared" si="3"/>
        <v>tier - 2</v>
      </c>
      <c r="M1515" s="9" t="str">
        <f t="shared" si="4"/>
        <v>tier - 2</v>
      </c>
      <c r="N1515" s="9" t="str">
        <f t="shared" si="5"/>
        <v>R1011</v>
      </c>
      <c r="O1515" s="17">
        <f t="shared" si="6"/>
        <v>31</v>
      </c>
      <c r="P1515" s="18">
        <v>33543.0</v>
      </c>
    </row>
    <row r="1516" ht="15.75" customHeight="1">
      <c r="A1516" s="9" t="s">
        <v>3479</v>
      </c>
      <c r="B1516" s="17">
        <v>2004.0</v>
      </c>
      <c r="C1516" s="9" t="s">
        <v>4730</v>
      </c>
      <c r="D1516" s="9">
        <v>6.0</v>
      </c>
      <c r="E1516" s="18">
        <f t="shared" si="1"/>
        <v>38144</v>
      </c>
      <c r="F1516" s="9">
        <v>0.0</v>
      </c>
      <c r="G1516" s="19">
        <v>5198.69</v>
      </c>
      <c r="H1516" s="9" t="s">
        <v>4723</v>
      </c>
      <c r="I1516" s="9" t="s">
        <v>4723</v>
      </c>
      <c r="J1516" s="9" t="s">
        <v>4736</v>
      </c>
      <c r="K1516" s="20">
        <f t="shared" si="2"/>
        <v>2004</v>
      </c>
      <c r="L1516" s="9" t="str">
        <f t="shared" si="3"/>
        <v>tier - 2</v>
      </c>
      <c r="M1516" s="9" t="str">
        <f t="shared" si="4"/>
        <v>tier - 2</v>
      </c>
      <c r="N1516" s="9" t="str">
        <f t="shared" si="5"/>
        <v>R1022</v>
      </c>
      <c r="O1516" s="17">
        <f t="shared" si="6"/>
        <v>19</v>
      </c>
      <c r="P1516" s="18">
        <v>38144.0</v>
      </c>
    </row>
    <row r="1517" ht="15.75" customHeight="1">
      <c r="A1517" s="9" t="s">
        <v>3477</v>
      </c>
      <c r="B1517" s="17">
        <v>1983.0</v>
      </c>
      <c r="C1517" s="9" t="s">
        <v>4720</v>
      </c>
      <c r="D1517" s="9">
        <v>24.0</v>
      </c>
      <c r="E1517" s="18">
        <f t="shared" si="1"/>
        <v>30613</v>
      </c>
      <c r="F1517" s="9">
        <v>3.0</v>
      </c>
      <c r="G1517" s="19">
        <v>5207.97</v>
      </c>
      <c r="H1517" s="9" t="s">
        <v>4723</v>
      </c>
      <c r="I1517" s="9" t="s">
        <v>4723</v>
      </c>
      <c r="J1517" s="9" t="s">
        <v>4733</v>
      </c>
      <c r="K1517" s="20">
        <f t="shared" si="2"/>
        <v>1983</v>
      </c>
      <c r="L1517" s="9" t="str">
        <f t="shared" si="3"/>
        <v>tier - 2</v>
      </c>
      <c r="M1517" s="9" t="str">
        <f t="shared" si="4"/>
        <v>tier - 2</v>
      </c>
      <c r="N1517" s="9" t="str">
        <f t="shared" si="5"/>
        <v>R1012</v>
      </c>
      <c r="O1517" s="17">
        <f t="shared" si="6"/>
        <v>39</v>
      </c>
      <c r="P1517" s="18">
        <v>30613.0</v>
      </c>
    </row>
    <row r="1518" ht="15.75" customHeight="1">
      <c r="A1518" s="9" t="s">
        <v>3475</v>
      </c>
      <c r="B1518" s="17">
        <v>1993.0</v>
      </c>
      <c r="C1518" s="9" t="s">
        <v>4730</v>
      </c>
      <c r="D1518" s="9">
        <v>17.0</v>
      </c>
      <c r="E1518" s="18">
        <f t="shared" si="1"/>
        <v>34137</v>
      </c>
      <c r="F1518" s="9">
        <v>3.0</v>
      </c>
      <c r="G1518" s="19">
        <v>5209.58</v>
      </c>
      <c r="H1518" s="9" t="s">
        <v>4717</v>
      </c>
      <c r="I1518" s="9" t="s">
        <v>4717</v>
      </c>
      <c r="J1518" s="9" t="s">
        <v>4753</v>
      </c>
      <c r="K1518" s="20">
        <f t="shared" si="2"/>
        <v>1993</v>
      </c>
      <c r="L1518" s="9" t="str">
        <f t="shared" si="3"/>
        <v>tier - 3</v>
      </c>
      <c r="M1518" s="9" t="str">
        <f t="shared" si="4"/>
        <v>tier - 3</v>
      </c>
      <c r="N1518" s="9" t="str">
        <f t="shared" si="5"/>
        <v>R1017</v>
      </c>
      <c r="O1518" s="17">
        <f t="shared" si="6"/>
        <v>29</v>
      </c>
      <c r="P1518" s="18">
        <v>34137.0</v>
      </c>
    </row>
    <row r="1519" ht="15.75" customHeight="1">
      <c r="A1519" s="9" t="s">
        <v>3473</v>
      </c>
      <c r="B1519" s="17">
        <v>1999.0</v>
      </c>
      <c r="C1519" s="9" t="s">
        <v>4725</v>
      </c>
      <c r="D1519" s="9">
        <v>1.0</v>
      </c>
      <c r="E1519" s="18">
        <f t="shared" si="1"/>
        <v>36495</v>
      </c>
      <c r="F1519" s="9">
        <v>0.0</v>
      </c>
      <c r="G1519" s="19">
        <v>5213.22</v>
      </c>
      <c r="H1519" s="9" t="s">
        <v>4723</v>
      </c>
      <c r="I1519" s="9" t="s">
        <v>4718</v>
      </c>
      <c r="J1519" s="9" t="s">
        <v>4733</v>
      </c>
      <c r="K1519" s="20">
        <f t="shared" si="2"/>
        <v>1999</v>
      </c>
      <c r="L1519" s="9" t="str">
        <f t="shared" si="3"/>
        <v>tier - 2</v>
      </c>
      <c r="M1519" s="9" t="str">
        <f t="shared" si="4"/>
        <v>tier - 1</v>
      </c>
      <c r="N1519" s="9" t="str">
        <f t="shared" si="5"/>
        <v>R1012</v>
      </c>
      <c r="O1519" s="17">
        <f t="shared" si="6"/>
        <v>23</v>
      </c>
      <c r="P1519" s="18">
        <v>36495.0</v>
      </c>
    </row>
    <row r="1520" ht="15.75" customHeight="1">
      <c r="A1520" s="9" t="s">
        <v>3471</v>
      </c>
      <c r="B1520" s="17">
        <v>1995.0</v>
      </c>
      <c r="C1520" s="9" t="s">
        <v>4730</v>
      </c>
      <c r="D1520" s="9">
        <v>6.0</v>
      </c>
      <c r="E1520" s="18">
        <f t="shared" si="1"/>
        <v>34856</v>
      </c>
      <c r="F1520" s="9">
        <v>0.0</v>
      </c>
      <c r="G1520" s="19">
        <v>5216.48</v>
      </c>
      <c r="H1520" s="9" t="s">
        <v>4723</v>
      </c>
      <c r="I1520" s="9" t="s">
        <v>4723</v>
      </c>
      <c r="J1520" s="9" t="s">
        <v>4726</v>
      </c>
      <c r="K1520" s="20">
        <f t="shared" si="2"/>
        <v>1995</v>
      </c>
      <c r="L1520" s="9" t="str">
        <f t="shared" si="3"/>
        <v>tier - 2</v>
      </c>
      <c r="M1520" s="9" t="str">
        <f t="shared" si="4"/>
        <v>tier - 2</v>
      </c>
      <c r="N1520" s="9" t="str">
        <f t="shared" si="5"/>
        <v>R1025</v>
      </c>
      <c r="O1520" s="17">
        <f t="shared" si="6"/>
        <v>28</v>
      </c>
      <c r="P1520" s="18">
        <v>34856.0</v>
      </c>
    </row>
    <row r="1521" ht="15.75" customHeight="1">
      <c r="A1521" s="9" t="s">
        <v>3469</v>
      </c>
      <c r="B1521" s="17">
        <v>1987.0</v>
      </c>
      <c r="C1521" s="9" t="s">
        <v>4730</v>
      </c>
      <c r="D1521" s="9">
        <v>29.0</v>
      </c>
      <c r="E1521" s="18">
        <f t="shared" si="1"/>
        <v>31957</v>
      </c>
      <c r="F1521" s="9">
        <v>0.0</v>
      </c>
      <c r="G1521" s="19">
        <v>5227.99</v>
      </c>
      <c r="H1521" s="9" t="s">
        <v>4723</v>
      </c>
      <c r="I1521" s="9" t="s">
        <v>4718</v>
      </c>
      <c r="J1521" s="9" t="s">
        <v>4731</v>
      </c>
      <c r="K1521" s="20">
        <f t="shared" si="2"/>
        <v>1987</v>
      </c>
      <c r="L1521" s="9" t="str">
        <f t="shared" si="3"/>
        <v>tier - 2</v>
      </c>
      <c r="M1521" s="9" t="str">
        <f t="shared" si="4"/>
        <v>tier - 1</v>
      </c>
      <c r="N1521" s="9" t="str">
        <f t="shared" si="5"/>
        <v>R1024</v>
      </c>
      <c r="O1521" s="17">
        <f t="shared" si="6"/>
        <v>35</v>
      </c>
      <c r="P1521" s="18">
        <v>31957.0</v>
      </c>
    </row>
    <row r="1522" ht="15.75" customHeight="1">
      <c r="A1522" s="9" t="s">
        <v>3467</v>
      </c>
      <c r="B1522" s="17">
        <v>1987.0</v>
      </c>
      <c r="C1522" s="9" t="s">
        <v>4725</v>
      </c>
      <c r="D1522" s="9">
        <v>26.0</v>
      </c>
      <c r="E1522" s="18">
        <f t="shared" si="1"/>
        <v>32137</v>
      </c>
      <c r="F1522" s="9">
        <v>1.0</v>
      </c>
      <c r="G1522" s="19">
        <v>5240.77</v>
      </c>
      <c r="H1522" s="9" t="s">
        <v>4723</v>
      </c>
      <c r="I1522" s="9" t="s">
        <v>4723</v>
      </c>
      <c r="J1522" s="9" t="s">
        <v>4719</v>
      </c>
      <c r="K1522" s="20">
        <f t="shared" si="2"/>
        <v>1987</v>
      </c>
      <c r="L1522" s="9" t="str">
        <f t="shared" si="3"/>
        <v>tier - 2</v>
      </c>
      <c r="M1522" s="9" t="str">
        <f t="shared" si="4"/>
        <v>tier - 2</v>
      </c>
      <c r="N1522" s="9" t="str">
        <f t="shared" si="5"/>
        <v>R1011</v>
      </c>
      <c r="O1522" s="17">
        <f t="shared" si="6"/>
        <v>35</v>
      </c>
      <c r="P1522" s="18">
        <v>32137.0</v>
      </c>
    </row>
    <row r="1523" ht="15.75" customHeight="1">
      <c r="A1523" s="9" t="s">
        <v>3465</v>
      </c>
      <c r="B1523" s="17">
        <v>1987.0</v>
      </c>
      <c r="C1523" s="9" t="s">
        <v>4741</v>
      </c>
      <c r="D1523" s="9">
        <v>5.0</v>
      </c>
      <c r="E1523" s="18">
        <f t="shared" si="1"/>
        <v>31963</v>
      </c>
      <c r="F1523" s="9">
        <v>1.0</v>
      </c>
      <c r="G1523" s="19">
        <v>5245.23</v>
      </c>
      <c r="H1523" s="9" t="s">
        <v>4723</v>
      </c>
      <c r="I1523" s="9" t="s">
        <v>4723</v>
      </c>
      <c r="J1523" s="9" t="s">
        <v>4743</v>
      </c>
      <c r="K1523" s="20">
        <f t="shared" si="2"/>
        <v>1987</v>
      </c>
      <c r="L1523" s="9" t="str">
        <f t="shared" si="3"/>
        <v>tier - 2</v>
      </c>
      <c r="M1523" s="9" t="str">
        <f t="shared" si="4"/>
        <v>tier - 2</v>
      </c>
      <c r="N1523" s="9" t="str">
        <f t="shared" si="5"/>
        <v>R1013</v>
      </c>
      <c r="O1523" s="17">
        <f t="shared" si="6"/>
        <v>35</v>
      </c>
      <c r="P1523" s="18">
        <v>31963.0</v>
      </c>
    </row>
    <row r="1524" ht="15.75" customHeight="1">
      <c r="A1524" s="9" t="s">
        <v>3463</v>
      </c>
      <c r="B1524" s="17">
        <v>1987.0</v>
      </c>
      <c r="C1524" s="9" t="s">
        <v>4738</v>
      </c>
      <c r="D1524" s="9">
        <v>9.0</v>
      </c>
      <c r="E1524" s="18">
        <f t="shared" si="1"/>
        <v>32029</v>
      </c>
      <c r="F1524" s="9">
        <v>1.0</v>
      </c>
      <c r="G1524" s="19">
        <v>5246.05</v>
      </c>
      <c r="H1524" s="9" t="s">
        <v>4723</v>
      </c>
      <c r="I1524" s="9" t="s">
        <v>4717</v>
      </c>
      <c r="J1524" s="9" t="s">
        <v>4719</v>
      </c>
      <c r="K1524" s="20">
        <f t="shared" si="2"/>
        <v>1987</v>
      </c>
      <c r="L1524" s="9" t="str">
        <f t="shared" si="3"/>
        <v>tier - 2</v>
      </c>
      <c r="M1524" s="9" t="str">
        <f t="shared" si="4"/>
        <v>tier - 3</v>
      </c>
      <c r="N1524" s="9" t="str">
        <f t="shared" si="5"/>
        <v>R1011</v>
      </c>
      <c r="O1524" s="17">
        <f t="shared" si="6"/>
        <v>35</v>
      </c>
      <c r="P1524" s="18">
        <v>32029.0</v>
      </c>
    </row>
    <row r="1525" ht="15.75" customHeight="1">
      <c r="A1525" s="9" t="s">
        <v>3461</v>
      </c>
      <c r="B1525" s="17">
        <v>1990.0</v>
      </c>
      <c r="C1525" s="9" t="s">
        <v>4741</v>
      </c>
      <c r="D1525" s="9">
        <v>6.0</v>
      </c>
      <c r="E1525" s="18">
        <f t="shared" si="1"/>
        <v>33060</v>
      </c>
      <c r="F1525" s="9">
        <v>3.0</v>
      </c>
      <c r="G1525" s="19">
        <v>5253.52</v>
      </c>
      <c r="H1525" s="9" t="s">
        <v>4717</v>
      </c>
      <c r="I1525" s="9" t="s">
        <v>4717</v>
      </c>
      <c r="J1525" s="9" t="s">
        <v>4719</v>
      </c>
      <c r="K1525" s="20">
        <f t="shared" si="2"/>
        <v>1990</v>
      </c>
      <c r="L1525" s="9" t="str">
        <f t="shared" si="3"/>
        <v>tier - 3</v>
      </c>
      <c r="M1525" s="9" t="str">
        <f t="shared" si="4"/>
        <v>tier - 3</v>
      </c>
      <c r="N1525" s="9" t="str">
        <f t="shared" si="5"/>
        <v>R1011</v>
      </c>
      <c r="O1525" s="17">
        <f t="shared" si="6"/>
        <v>32</v>
      </c>
      <c r="P1525" s="18">
        <v>33060.0</v>
      </c>
    </row>
    <row r="1526" ht="15.75" customHeight="1">
      <c r="A1526" s="9" t="s">
        <v>347</v>
      </c>
      <c r="B1526" s="17">
        <v>1988.0</v>
      </c>
      <c r="C1526" s="9" t="s">
        <v>4725</v>
      </c>
      <c r="D1526" s="9">
        <v>17.0</v>
      </c>
      <c r="E1526" s="18">
        <f t="shared" si="1"/>
        <v>32494</v>
      </c>
      <c r="F1526" s="9">
        <v>3.0</v>
      </c>
      <c r="G1526" s="19">
        <v>37076.37</v>
      </c>
      <c r="H1526" s="9" t="s">
        <v>4723</v>
      </c>
      <c r="I1526" s="9" t="s">
        <v>4718</v>
      </c>
      <c r="J1526" s="9" t="s">
        <v>4719</v>
      </c>
      <c r="K1526" s="20">
        <f t="shared" si="2"/>
        <v>1988</v>
      </c>
      <c r="L1526" s="9" t="str">
        <f t="shared" si="3"/>
        <v>tier - 2</v>
      </c>
      <c r="M1526" s="9" t="str">
        <f t="shared" si="4"/>
        <v>tier - 1</v>
      </c>
      <c r="N1526" s="9" t="str">
        <f t="shared" si="5"/>
        <v>R1011</v>
      </c>
      <c r="O1526" s="17">
        <f t="shared" si="6"/>
        <v>34</v>
      </c>
      <c r="P1526" s="18">
        <v>32494.0</v>
      </c>
    </row>
    <row r="1527" ht="15.75" customHeight="1">
      <c r="A1527" s="9" t="s">
        <v>3459</v>
      </c>
      <c r="B1527" s="17">
        <v>1989.0</v>
      </c>
      <c r="C1527" s="9" t="s">
        <v>4735</v>
      </c>
      <c r="D1527" s="9">
        <v>25.0</v>
      </c>
      <c r="E1527" s="18">
        <f t="shared" si="1"/>
        <v>32837</v>
      </c>
      <c r="F1527" s="9">
        <v>2.0</v>
      </c>
      <c r="G1527" s="19">
        <v>5257.51</v>
      </c>
      <c r="H1527" s="9" t="s">
        <v>4723</v>
      </c>
      <c r="I1527" s="9" t="s">
        <v>4723</v>
      </c>
      <c r="J1527" s="9" t="s">
        <v>4733</v>
      </c>
      <c r="K1527" s="20">
        <f t="shared" si="2"/>
        <v>1989</v>
      </c>
      <c r="L1527" s="9" t="str">
        <f t="shared" si="3"/>
        <v>tier - 2</v>
      </c>
      <c r="M1527" s="9" t="str">
        <f t="shared" si="4"/>
        <v>tier - 2</v>
      </c>
      <c r="N1527" s="9" t="str">
        <f t="shared" si="5"/>
        <v>R1012</v>
      </c>
      <c r="O1527" s="17">
        <f t="shared" si="6"/>
        <v>33</v>
      </c>
      <c r="P1527" s="18">
        <v>32837.0</v>
      </c>
    </row>
    <row r="1528" ht="15.75" customHeight="1">
      <c r="A1528" s="9" t="s">
        <v>3457</v>
      </c>
      <c r="B1528" s="17">
        <v>1989.0</v>
      </c>
      <c r="C1528" s="9" t="s">
        <v>4741</v>
      </c>
      <c r="D1528" s="9">
        <v>19.0</v>
      </c>
      <c r="E1528" s="18">
        <f t="shared" si="1"/>
        <v>32708</v>
      </c>
      <c r="F1528" s="9">
        <v>2.0</v>
      </c>
      <c r="G1528" s="19">
        <v>5261.47</v>
      </c>
      <c r="H1528" s="9" t="s">
        <v>4723</v>
      </c>
      <c r="I1528" s="9" t="s">
        <v>4723</v>
      </c>
      <c r="J1528" s="9" t="s">
        <v>4733</v>
      </c>
      <c r="K1528" s="20">
        <f t="shared" si="2"/>
        <v>1989</v>
      </c>
      <c r="L1528" s="9" t="str">
        <f t="shared" si="3"/>
        <v>tier - 2</v>
      </c>
      <c r="M1528" s="9" t="str">
        <f t="shared" si="4"/>
        <v>tier - 2</v>
      </c>
      <c r="N1528" s="9" t="str">
        <f t="shared" si="5"/>
        <v>R1012</v>
      </c>
      <c r="O1528" s="17">
        <f t="shared" si="6"/>
        <v>33</v>
      </c>
      <c r="P1528" s="18">
        <v>32708.0</v>
      </c>
    </row>
    <row r="1529" ht="15.75" customHeight="1">
      <c r="A1529" s="9" t="s">
        <v>3455</v>
      </c>
      <c r="B1529" s="17">
        <v>1986.0</v>
      </c>
      <c r="C1529" s="9" t="s">
        <v>4720</v>
      </c>
      <c r="D1529" s="9">
        <v>25.0</v>
      </c>
      <c r="E1529" s="18">
        <f t="shared" si="1"/>
        <v>31710</v>
      </c>
      <c r="F1529" s="9">
        <v>0.0</v>
      </c>
      <c r="G1529" s="19">
        <v>5266.37</v>
      </c>
      <c r="H1529" s="9" t="s">
        <v>4723</v>
      </c>
      <c r="I1529" s="9" t="s">
        <v>4723</v>
      </c>
      <c r="J1529" s="9" t="s">
        <v>4733</v>
      </c>
      <c r="K1529" s="20">
        <f t="shared" si="2"/>
        <v>1986</v>
      </c>
      <c r="L1529" s="9" t="str">
        <f t="shared" si="3"/>
        <v>tier - 2</v>
      </c>
      <c r="M1529" s="9" t="str">
        <f t="shared" si="4"/>
        <v>tier - 2</v>
      </c>
      <c r="N1529" s="9" t="str">
        <f t="shared" si="5"/>
        <v>R1012</v>
      </c>
      <c r="O1529" s="17">
        <f t="shared" si="6"/>
        <v>36</v>
      </c>
      <c r="P1529" s="18">
        <v>31710.0</v>
      </c>
    </row>
    <row r="1530" ht="15.75" customHeight="1">
      <c r="A1530" s="9" t="s">
        <v>3453</v>
      </c>
      <c r="B1530" s="17">
        <v>1986.0</v>
      </c>
      <c r="C1530" s="9" t="s">
        <v>4738</v>
      </c>
      <c r="D1530" s="9">
        <v>20.0</v>
      </c>
      <c r="E1530" s="18">
        <f t="shared" si="1"/>
        <v>31675</v>
      </c>
      <c r="F1530" s="9">
        <v>0.0</v>
      </c>
      <c r="G1530" s="19">
        <v>5267.82</v>
      </c>
      <c r="H1530" s="9" t="s">
        <v>4723</v>
      </c>
      <c r="I1530" s="9" t="s">
        <v>4723</v>
      </c>
      <c r="J1530" s="9" t="s">
        <v>4733</v>
      </c>
      <c r="K1530" s="20">
        <f t="shared" si="2"/>
        <v>1986</v>
      </c>
      <c r="L1530" s="9" t="str">
        <f t="shared" si="3"/>
        <v>tier - 2</v>
      </c>
      <c r="M1530" s="9" t="str">
        <f t="shared" si="4"/>
        <v>tier - 2</v>
      </c>
      <c r="N1530" s="9" t="str">
        <f t="shared" si="5"/>
        <v>R1012</v>
      </c>
      <c r="O1530" s="17">
        <f t="shared" si="6"/>
        <v>36</v>
      </c>
      <c r="P1530" s="18">
        <v>31675.0</v>
      </c>
    </row>
    <row r="1531" ht="15.75" customHeight="1">
      <c r="A1531" s="9" t="s">
        <v>3451</v>
      </c>
      <c r="B1531" s="17">
        <v>1986.0</v>
      </c>
      <c r="C1531" s="9" t="s">
        <v>4720</v>
      </c>
      <c r="D1531" s="9">
        <v>20.0</v>
      </c>
      <c r="E1531" s="18">
        <f t="shared" si="1"/>
        <v>31705</v>
      </c>
      <c r="F1531" s="9">
        <v>0.0</v>
      </c>
      <c r="G1531" s="19">
        <v>5272.18</v>
      </c>
      <c r="H1531" s="9" t="s">
        <v>4723</v>
      </c>
      <c r="I1531" s="9" t="s">
        <v>4717</v>
      </c>
      <c r="J1531" s="9" t="s">
        <v>4733</v>
      </c>
      <c r="K1531" s="20">
        <f t="shared" si="2"/>
        <v>1986</v>
      </c>
      <c r="L1531" s="9" t="str">
        <f t="shared" si="3"/>
        <v>tier - 2</v>
      </c>
      <c r="M1531" s="9" t="str">
        <f t="shared" si="4"/>
        <v>tier - 3</v>
      </c>
      <c r="N1531" s="9" t="str">
        <f t="shared" si="5"/>
        <v>R1012</v>
      </c>
      <c r="O1531" s="17">
        <f t="shared" si="6"/>
        <v>36</v>
      </c>
      <c r="P1531" s="18">
        <v>31705.0</v>
      </c>
    </row>
    <row r="1532" ht="15.75" customHeight="1">
      <c r="A1532" s="9" t="s">
        <v>3449</v>
      </c>
      <c r="B1532" s="17">
        <v>1987.0</v>
      </c>
      <c r="C1532" s="9" t="s">
        <v>4738</v>
      </c>
      <c r="D1532" s="9">
        <v>1.0</v>
      </c>
      <c r="E1532" s="18">
        <f t="shared" si="1"/>
        <v>32021</v>
      </c>
      <c r="F1532" s="9">
        <v>3.0</v>
      </c>
      <c r="G1532" s="19">
        <v>5275.86</v>
      </c>
      <c r="H1532" s="9" t="s">
        <v>4723</v>
      </c>
      <c r="I1532" s="9" t="s">
        <v>4723</v>
      </c>
      <c r="J1532" s="9" t="s">
        <v>4743</v>
      </c>
      <c r="K1532" s="20">
        <f t="shared" si="2"/>
        <v>1987</v>
      </c>
      <c r="L1532" s="9" t="str">
        <f t="shared" si="3"/>
        <v>tier - 2</v>
      </c>
      <c r="M1532" s="9" t="str">
        <f t="shared" si="4"/>
        <v>tier - 2</v>
      </c>
      <c r="N1532" s="9" t="str">
        <f t="shared" si="5"/>
        <v>R1013</v>
      </c>
      <c r="O1532" s="17">
        <f t="shared" si="6"/>
        <v>35</v>
      </c>
      <c r="P1532" s="18">
        <v>32021.0</v>
      </c>
    </row>
    <row r="1533" ht="15.75" customHeight="1">
      <c r="A1533" s="9" t="s">
        <v>3447</v>
      </c>
      <c r="B1533" s="17">
        <v>1974.0</v>
      </c>
      <c r="C1533" s="9" t="s">
        <v>4735</v>
      </c>
      <c r="D1533" s="9">
        <v>12.0</v>
      </c>
      <c r="E1533" s="18">
        <f t="shared" si="1"/>
        <v>27345</v>
      </c>
      <c r="F1533" s="9">
        <v>0.0</v>
      </c>
      <c r="G1533" s="19">
        <v>5291.71</v>
      </c>
      <c r="H1533" s="9" t="s">
        <v>4723</v>
      </c>
      <c r="I1533" s="9" t="s">
        <v>4723</v>
      </c>
      <c r="J1533" s="9" t="s">
        <v>4733</v>
      </c>
      <c r="K1533" s="20">
        <f t="shared" si="2"/>
        <v>1974</v>
      </c>
      <c r="L1533" s="9" t="str">
        <f t="shared" si="3"/>
        <v>tier - 2</v>
      </c>
      <c r="M1533" s="9" t="str">
        <f t="shared" si="4"/>
        <v>tier - 2</v>
      </c>
      <c r="N1533" s="9" t="str">
        <f t="shared" si="5"/>
        <v>R1012</v>
      </c>
      <c r="O1533" s="17">
        <f t="shared" si="6"/>
        <v>48</v>
      </c>
      <c r="P1533" s="18">
        <v>27345.0</v>
      </c>
    </row>
    <row r="1534" ht="15.75" customHeight="1">
      <c r="A1534" s="9" t="s">
        <v>3445</v>
      </c>
      <c r="B1534" s="17">
        <v>2004.0</v>
      </c>
      <c r="C1534" s="9" t="s">
        <v>4716</v>
      </c>
      <c r="D1534" s="9">
        <v>22.0</v>
      </c>
      <c r="E1534" s="18">
        <f t="shared" si="1"/>
        <v>38221</v>
      </c>
      <c r="F1534" s="9">
        <v>0.0</v>
      </c>
      <c r="G1534" s="19">
        <v>5293.67</v>
      </c>
      <c r="H1534" s="9" t="s">
        <v>4723</v>
      </c>
      <c r="I1534" s="9" t="s">
        <v>4723</v>
      </c>
      <c r="J1534" s="9" t="s">
        <v>4736</v>
      </c>
      <c r="K1534" s="20">
        <f t="shared" si="2"/>
        <v>2004</v>
      </c>
      <c r="L1534" s="9" t="str">
        <f t="shared" si="3"/>
        <v>tier - 2</v>
      </c>
      <c r="M1534" s="9" t="str">
        <f t="shared" si="4"/>
        <v>tier - 2</v>
      </c>
      <c r="N1534" s="9" t="str">
        <f t="shared" si="5"/>
        <v>R1022</v>
      </c>
      <c r="O1534" s="17">
        <f t="shared" si="6"/>
        <v>18</v>
      </c>
      <c r="P1534" s="18">
        <v>38221.0</v>
      </c>
    </row>
    <row r="1535" ht="15.75" customHeight="1">
      <c r="A1535" s="9" t="s">
        <v>3443</v>
      </c>
      <c r="B1535" s="17">
        <v>2000.0</v>
      </c>
      <c r="C1535" s="9" t="s">
        <v>4738</v>
      </c>
      <c r="D1535" s="9">
        <v>9.0</v>
      </c>
      <c r="E1535" s="18">
        <f t="shared" si="1"/>
        <v>36778</v>
      </c>
      <c r="F1535" s="9">
        <v>0.0</v>
      </c>
      <c r="G1535" s="19">
        <v>5306.7</v>
      </c>
      <c r="H1535" s="9" t="s">
        <v>4723</v>
      </c>
      <c r="I1535" s="9" t="s">
        <v>4717</v>
      </c>
      <c r="J1535" s="9" t="s">
        <v>4733</v>
      </c>
      <c r="K1535" s="20">
        <f t="shared" si="2"/>
        <v>2000</v>
      </c>
      <c r="L1535" s="9" t="str">
        <f t="shared" si="3"/>
        <v>tier - 2</v>
      </c>
      <c r="M1535" s="9" t="str">
        <f t="shared" si="4"/>
        <v>tier - 3</v>
      </c>
      <c r="N1535" s="9" t="str">
        <f t="shared" si="5"/>
        <v>R1012</v>
      </c>
      <c r="O1535" s="17">
        <f t="shared" si="6"/>
        <v>22</v>
      </c>
      <c r="P1535" s="18">
        <v>36778.0</v>
      </c>
    </row>
    <row r="1536" ht="15.75" customHeight="1">
      <c r="A1536" s="9" t="s">
        <v>3441</v>
      </c>
      <c r="B1536" s="17">
        <v>1994.0</v>
      </c>
      <c r="C1536" s="9" t="s">
        <v>4735</v>
      </c>
      <c r="D1536" s="9">
        <v>13.0</v>
      </c>
      <c r="E1536" s="18">
        <f t="shared" si="1"/>
        <v>34651</v>
      </c>
      <c r="F1536" s="9">
        <v>3.0</v>
      </c>
      <c r="G1536" s="19">
        <v>5312.17</v>
      </c>
      <c r="H1536" s="9" t="s">
        <v>4723</v>
      </c>
      <c r="I1536" s="9" t="s">
        <v>4723</v>
      </c>
      <c r="J1536" s="9" t="s">
        <v>4733</v>
      </c>
      <c r="K1536" s="20">
        <f t="shared" si="2"/>
        <v>1994</v>
      </c>
      <c r="L1536" s="9" t="str">
        <f t="shared" si="3"/>
        <v>tier - 2</v>
      </c>
      <c r="M1536" s="9" t="str">
        <f t="shared" si="4"/>
        <v>tier - 2</v>
      </c>
      <c r="N1536" s="9" t="str">
        <f t="shared" si="5"/>
        <v>R1012</v>
      </c>
      <c r="O1536" s="17">
        <f t="shared" si="6"/>
        <v>28</v>
      </c>
      <c r="P1536" s="18">
        <v>34651.0</v>
      </c>
    </row>
    <row r="1537" ht="15.75" customHeight="1">
      <c r="A1537" s="9" t="s">
        <v>345</v>
      </c>
      <c r="B1537" s="17">
        <v>1989.0</v>
      </c>
      <c r="C1537" s="9" t="s">
        <v>4730</v>
      </c>
      <c r="D1537" s="9">
        <v>10.0</v>
      </c>
      <c r="E1537" s="18">
        <f t="shared" si="1"/>
        <v>32669</v>
      </c>
      <c r="F1537" s="9">
        <v>0.0</v>
      </c>
      <c r="G1537" s="19">
        <v>37079.37</v>
      </c>
      <c r="H1537" s="9" t="s">
        <v>4723</v>
      </c>
      <c r="I1537" s="9" t="s">
        <v>4717</v>
      </c>
      <c r="J1537" s="9" t="s">
        <v>4719</v>
      </c>
      <c r="K1537" s="20">
        <f t="shared" si="2"/>
        <v>1989</v>
      </c>
      <c r="L1537" s="9" t="str">
        <f t="shared" si="3"/>
        <v>tier - 2</v>
      </c>
      <c r="M1537" s="9" t="str">
        <f t="shared" si="4"/>
        <v>tier - 3</v>
      </c>
      <c r="N1537" s="9" t="str">
        <f t="shared" si="5"/>
        <v>R1011</v>
      </c>
      <c r="O1537" s="17">
        <f t="shared" si="6"/>
        <v>33</v>
      </c>
      <c r="P1537" s="18">
        <v>32669.0</v>
      </c>
    </row>
    <row r="1538" ht="15.75" customHeight="1">
      <c r="A1538" s="9" t="s">
        <v>3439</v>
      </c>
      <c r="B1538" s="17">
        <v>1974.0</v>
      </c>
      <c r="C1538" s="9" t="s">
        <v>4738</v>
      </c>
      <c r="D1538" s="9">
        <v>2.0</v>
      </c>
      <c r="E1538" s="18">
        <f t="shared" si="1"/>
        <v>27274</v>
      </c>
      <c r="F1538" s="9">
        <v>0.0</v>
      </c>
      <c r="G1538" s="19">
        <v>5322.24</v>
      </c>
      <c r="H1538" s="9" t="s">
        <v>4723</v>
      </c>
      <c r="I1538" s="9" t="s">
        <v>4718</v>
      </c>
      <c r="J1538" s="9" t="s">
        <v>4733</v>
      </c>
      <c r="K1538" s="20">
        <f t="shared" si="2"/>
        <v>1974</v>
      </c>
      <c r="L1538" s="9" t="str">
        <f t="shared" si="3"/>
        <v>tier - 2</v>
      </c>
      <c r="M1538" s="9" t="str">
        <f t="shared" si="4"/>
        <v>tier - 1</v>
      </c>
      <c r="N1538" s="9" t="str">
        <f t="shared" si="5"/>
        <v>R1012</v>
      </c>
      <c r="O1538" s="17">
        <f t="shared" si="6"/>
        <v>48</v>
      </c>
      <c r="P1538" s="18">
        <v>27274.0</v>
      </c>
    </row>
    <row r="1539" ht="15.75" customHeight="1">
      <c r="A1539" s="9" t="s">
        <v>3437</v>
      </c>
      <c r="B1539" s="17">
        <v>1992.0</v>
      </c>
      <c r="C1539" s="9" t="s">
        <v>4730</v>
      </c>
      <c r="D1539" s="9">
        <v>18.0</v>
      </c>
      <c r="E1539" s="18">
        <f t="shared" si="1"/>
        <v>33773</v>
      </c>
      <c r="F1539" s="9">
        <v>3.0</v>
      </c>
      <c r="G1539" s="19">
        <v>5325.65</v>
      </c>
      <c r="H1539" s="9" t="s">
        <v>4723</v>
      </c>
      <c r="I1539" s="9" t="s">
        <v>4718</v>
      </c>
      <c r="J1539" s="9" t="s">
        <v>4719</v>
      </c>
      <c r="K1539" s="20">
        <f t="shared" si="2"/>
        <v>1992</v>
      </c>
      <c r="L1539" s="9" t="str">
        <f t="shared" si="3"/>
        <v>tier - 2</v>
      </c>
      <c r="M1539" s="9" t="str">
        <f t="shared" si="4"/>
        <v>tier - 1</v>
      </c>
      <c r="N1539" s="9" t="str">
        <f t="shared" si="5"/>
        <v>R1011</v>
      </c>
      <c r="O1539" s="17">
        <f t="shared" si="6"/>
        <v>30</v>
      </c>
      <c r="P1539" s="18">
        <v>33773.0</v>
      </c>
    </row>
    <row r="1540" ht="15.75" customHeight="1">
      <c r="A1540" s="9" t="s">
        <v>3435</v>
      </c>
      <c r="B1540" s="17">
        <v>1991.0</v>
      </c>
      <c r="C1540" s="9" t="s">
        <v>4716</v>
      </c>
      <c r="D1540" s="9">
        <v>28.0</v>
      </c>
      <c r="E1540" s="18">
        <f t="shared" si="1"/>
        <v>33478</v>
      </c>
      <c r="F1540" s="9">
        <v>2.0</v>
      </c>
      <c r="G1540" s="19">
        <v>5327.4</v>
      </c>
      <c r="H1540" s="9" t="s">
        <v>4723</v>
      </c>
      <c r="I1540" s="9" t="s">
        <v>4718</v>
      </c>
      <c r="J1540" s="9" t="s">
        <v>4733</v>
      </c>
      <c r="K1540" s="20">
        <f t="shared" si="2"/>
        <v>1991</v>
      </c>
      <c r="L1540" s="9" t="str">
        <f t="shared" si="3"/>
        <v>tier - 2</v>
      </c>
      <c r="M1540" s="9" t="str">
        <f t="shared" si="4"/>
        <v>tier - 1</v>
      </c>
      <c r="N1540" s="9" t="str">
        <f t="shared" si="5"/>
        <v>R1012</v>
      </c>
      <c r="O1540" s="17">
        <f t="shared" si="6"/>
        <v>31</v>
      </c>
      <c r="P1540" s="18">
        <v>33478.0</v>
      </c>
    </row>
    <row r="1541" ht="15.75" customHeight="1">
      <c r="A1541" s="9" t="s">
        <v>3433</v>
      </c>
      <c r="B1541" s="17">
        <v>1972.0</v>
      </c>
      <c r="C1541" s="9" t="s">
        <v>4725</v>
      </c>
      <c r="D1541" s="9">
        <v>15.0</v>
      </c>
      <c r="E1541" s="18">
        <f t="shared" si="1"/>
        <v>26648</v>
      </c>
      <c r="F1541" s="9">
        <v>0.0</v>
      </c>
      <c r="G1541" s="19">
        <v>5344.81</v>
      </c>
      <c r="H1541" s="9" t="s">
        <v>4723</v>
      </c>
      <c r="I1541" s="9" t="s">
        <v>4717</v>
      </c>
      <c r="J1541" s="9" t="s">
        <v>4743</v>
      </c>
      <c r="K1541" s="20">
        <f t="shared" si="2"/>
        <v>1972</v>
      </c>
      <c r="L1541" s="9" t="str">
        <f t="shared" si="3"/>
        <v>tier - 2</v>
      </c>
      <c r="M1541" s="9" t="str">
        <f t="shared" si="4"/>
        <v>tier - 3</v>
      </c>
      <c r="N1541" s="9" t="str">
        <f t="shared" si="5"/>
        <v>R1013</v>
      </c>
      <c r="O1541" s="17">
        <f t="shared" si="6"/>
        <v>50</v>
      </c>
      <c r="P1541" s="18">
        <v>26648.0</v>
      </c>
    </row>
    <row r="1542" ht="15.75" customHeight="1">
      <c r="A1542" s="9" t="s">
        <v>3431</v>
      </c>
      <c r="B1542" s="17">
        <v>1989.0</v>
      </c>
      <c r="C1542" s="9" t="s">
        <v>4735</v>
      </c>
      <c r="D1542" s="9">
        <v>7.0</v>
      </c>
      <c r="E1542" s="18">
        <f t="shared" si="1"/>
        <v>32819</v>
      </c>
      <c r="F1542" s="9">
        <v>1.0</v>
      </c>
      <c r="G1542" s="19">
        <v>5354.07</v>
      </c>
      <c r="H1542" s="9" t="s">
        <v>4723</v>
      </c>
      <c r="I1542" s="9" t="s">
        <v>4717</v>
      </c>
      <c r="J1542" s="9" t="s">
        <v>4731</v>
      </c>
      <c r="K1542" s="20">
        <f t="shared" si="2"/>
        <v>1989</v>
      </c>
      <c r="L1542" s="9" t="str">
        <f t="shared" si="3"/>
        <v>tier - 2</v>
      </c>
      <c r="M1542" s="9" t="str">
        <f t="shared" si="4"/>
        <v>tier - 3</v>
      </c>
      <c r="N1542" s="9" t="str">
        <f t="shared" si="5"/>
        <v>R1024</v>
      </c>
      <c r="O1542" s="17">
        <f t="shared" si="6"/>
        <v>33</v>
      </c>
      <c r="P1542" s="18">
        <v>32819.0</v>
      </c>
    </row>
    <row r="1543" ht="15.75" customHeight="1">
      <c r="A1543" s="9" t="s">
        <v>3429</v>
      </c>
      <c r="B1543" s="17">
        <v>1994.0</v>
      </c>
      <c r="C1543" s="9" t="s">
        <v>4725</v>
      </c>
      <c r="D1543" s="9">
        <v>7.0</v>
      </c>
      <c r="E1543" s="18">
        <f t="shared" si="1"/>
        <v>34675</v>
      </c>
      <c r="F1543" s="9">
        <v>0.0</v>
      </c>
      <c r="G1543" s="19">
        <v>5364.66</v>
      </c>
      <c r="H1543" s="9" t="s">
        <v>4723</v>
      </c>
      <c r="I1543" s="9" t="s">
        <v>4718</v>
      </c>
      <c r="J1543" s="9" t="s">
        <v>4719</v>
      </c>
      <c r="K1543" s="20">
        <f t="shared" si="2"/>
        <v>1994</v>
      </c>
      <c r="L1543" s="9" t="str">
        <f t="shared" si="3"/>
        <v>tier - 2</v>
      </c>
      <c r="M1543" s="9" t="str">
        <f t="shared" si="4"/>
        <v>tier - 1</v>
      </c>
      <c r="N1543" s="9" t="str">
        <f t="shared" si="5"/>
        <v>R1011</v>
      </c>
      <c r="O1543" s="17">
        <f t="shared" si="6"/>
        <v>28</v>
      </c>
      <c r="P1543" s="18">
        <v>34675.0</v>
      </c>
    </row>
    <row r="1544" ht="15.75" customHeight="1">
      <c r="A1544" s="9" t="s">
        <v>3427</v>
      </c>
      <c r="B1544" s="17">
        <v>1986.0</v>
      </c>
      <c r="C1544" s="9" t="s">
        <v>4730</v>
      </c>
      <c r="D1544" s="9">
        <v>1.0</v>
      </c>
      <c r="E1544" s="18">
        <f t="shared" si="1"/>
        <v>31564</v>
      </c>
      <c r="F1544" s="9">
        <v>1.0</v>
      </c>
      <c r="G1544" s="19">
        <v>5373.36</v>
      </c>
      <c r="H1544" s="9" t="s">
        <v>4723</v>
      </c>
      <c r="I1544" s="9" t="s">
        <v>4723</v>
      </c>
      <c r="J1544" s="9" t="s">
        <v>4733</v>
      </c>
      <c r="K1544" s="20">
        <f t="shared" si="2"/>
        <v>1986</v>
      </c>
      <c r="L1544" s="9" t="str">
        <f t="shared" si="3"/>
        <v>tier - 2</v>
      </c>
      <c r="M1544" s="9" t="str">
        <f t="shared" si="4"/>
        <v>tier - 2</v>
      </c>
      <c r="N1544" s="9" t="str">
        <f t="shared" si="5"/>
        <v>R1012</v>
      </c>
      <c r="O1544" s="17">
        <f t="shared" si="6"/>
        <v>37</v>
      </c>
      <c r="P1544" s="18">
        <v>31564.0</v>
      </c>
    </row>
    <row r="1545" ht="15.75" customHeight="1">
      <c r="A1545" s="9" t="s">
        <v>3425</v>
      </c>
      <c r="B1545" s="17">
        <v>1989.0</v>
      </c>
      <c r="C1545" s="9" t="s">
        <v>4735</v>
      </c>
      <c r="D1545" s="9">
        <v>18.0</v>
      </c>
      <c r="E1545" s="18">
        <f t="shared" si="1"/>
        <v>32830</v>
      </c>
      <c r="F1545" s="9">
        <v>2.0</v>
      </c>
      <c r="G1545" s="19">
        <v>5375.04</v>
      </c>
      <c r="H1545" s="9" t="s">
        <v>4723</v>
      </c>
      <c r="I1545" s="9" t="s">
        <v>4718</v>
      </c>
      <c r="J1545" s="9" t="s">
        <v>4719</v>
      </c>
      <c r="K1545" s="20">
        <f t="shared" si="2"/>
        <v>1989</v>
      </c>
      <c r="L1545" s="9" t="str">
        <f t="shared" si="3"/>
        <v>tier - 2</v>
      </c>
      <c r="M1545" s="9" t="str">
        <f t="shared" si="4"/>
        <v>tier - 1</v>
      </c>
      <c r="N1545" s="9" t="str">
        <f t="shared" si="5"/>
        <v>R1011</v>
      </c>
      <c r="O1545" s="17">
        <f t="shared" si="6"/>
        <v>33</v>
      </c>
      <c r="P1545" s="18">
        <v>32830.0</v>
      </c>
    </row>
    <row r="1546" ht="15.75" customHeight="1">
      <c r="A1546" s="9" t="s">
        <v>3423</v>
      </c>
      <c r="B1546" s="17">
        <v>1986.0</v>
      </c>
      <c r="C1546" s="9" t="s">
        <v>4741</v>
      </c>
      <c r="D1546" s="9">
        <v>22.0</v>
      </c>
      <c r="E1546" s="18">
        <f t="shared" si="1"/>
        <v>31615</v>
      </c>
      <c r="F1546" s="9">
        <v>1.0</v>
      </c>
      <c r="G1546" s="19">
        <v>5377.46</v>
      </c>
      <c r="H1546" s="9" t="s">
        <v>4723</v>
      </c>
      <c r="I1546" s="9" t="s">
        <v>4717</v>
      </c>
      <c r="J1546" s="9" t="s">
        <v>4733</v>
      </c>
      <c r="K1546" s="20">
        <f t="shared" si="2"/>
        <v>1986</v>
      </c>
      <c r="L1546" s="9" t="str">
        <f t="shared" si="3"/>
        <v>tier - 2</v>
      </c>
      <c r="M1546" s="9" t="str">
        <f t="shared" si="4"/>
        <v>tier - 3</v>
      </c>
      <c r="N1546" s="9" t="str">
        <f t="shared" si="5"/>
        <v>R1012</v>
      </c>
      <c r="O1546" s="17">
        <f t="shared" si="6"/>
        <v>36</v>
      </c>
      <c r="P1546" s="18">
        <v>31615.0</v>
      </c>
    </row>
    <row r="1547" ht="15.75" customHeight="1">
      <c r="A1547" s="9" t="s">
        <v>3421</v>
      </c>
      <c r="B1547" s="17">
        <v>1984.0</v>
      </c>
      <c r="C1547" s="9" t="s">
        <v>4730</v>
      </c>
      <c r="D1547" s="9">
        <v>1.0</v>
      </c>
      <c r="E1547" s="18">
        <f t="shared" si="1"/>
        <v>30834</v>
      </c>
      <c r="F1547" s="9">
        <v>0.0</v>
      </c>
      <c r="G1547" s="19">
        <v>5383.54</v>
      </c>
      <c r="H1547" s="9" t="s">
        <v>4723</v>
      </c>
      <c r="I1547" s="9" t="s">
        <v>4717</v>
      </c>
      <c r="J1547" s="9" t="s">
        <v>4719</v>
      </c>
      <c r="K1547" s="20">
        <f t="shared" si="2"/>
        <v>1984</v>
      </c>
      <c r="L1547" s="9" t="str">
        <f t="shared" si="3"/>
        <v>tier - 2</v>
      </c>
      <c r="M1547" s="9" t="str">
        <f t="shared" si="4"/>
        <v>tier - 3</v>
      </c>
      <c r="N1547" s="9" t="str">
        <f t="shared" si="5"/>
        <v>R1011</v>
      </c>
      <c r="O1547" s="17">
        <f t="shared" si="6"/>
        <v>39</v>
      </c>
      <c r="P1547" s="18">
        <v>30834.0</v>
      </c>
    </row>
    <row r="1548" ht="15.75" customHeight="1">
      <c r="A1548" s="9" t="s">
        <v>343</v>
      </c>
      <c r="B1548" s="17">
        <v>1995.0</v>
      </c>
      <c r="C1548" s="9" t="s">
        <v>4720</v>
      </c>
      <c r="D1548" s="9">
        <v>30.0</v>
      </c>
      <c r="E1548" s="18">
        <f t="shared" si="1"/>
        <v>35002</v>
      </c>
      <c r="F1548" s="9">
        <v>0.0</v>
      </c>
      <c r="G1548" s="19">
        <v>37133.9</v>
      </c>
      <c r="H1548" s="9" t="s">
        <v>4723</v>
      </c>
      <c r="I1548" s="9" t="s">
        <v>4723</v>
      </c>
      <c r="J1548" s="9" t="s">
        <v>4743</v>
      </c>
      <c r="K1548" s="20">
        <f t="shared" si="2"/>
        <v>1995</v>
      </c>
      <c r="L1548" s="9" t="str">
        <f t="shared" si="3"/>
        <v>tier - 2</v>
      </c>
      <c r="M1548" s="9" t="str">
        <f t="shared" si="4"/>
        <v>tier - 2</v>
      </c>
      <c r="N1548" s="9" t="str">
        <f t="shared" si="5"/>
        <v>R1013</v>
      </c>
      <c r="O1548" s="17">
        <f t="shared" si="6"/>
        <v>27</v>
      </c>
      <c r="P1548" s="18">
        <v>35002.0</v>
      </c>
    </row>
    <row r="1549" ht="15.75" customHeight="1">
      <c r="A1549" s="9" t="s">
        <v>3419</v>
      </c>
      <c r="B1549" s="17">
        <v>1988.0</v>
      </c>
      <c r="C1549" s="9" t="s">
        <v>4716</v>
      </c>
      <c r="D1549" s="9">
        <v>8.0</v>
      </c>
      <c r="E1549" s="18">
        <f t="shared" si="1"/>
        <v>32363</v>
      </c>
      <c r="F1549" s="9">
        <v>1.0</v>
      </c>
      <c r="G1549" s="19">
        <v>5385.34</v>
      </c>
      <c r="H1549" s="9" t="s">
        <v>4723</v>
      </c>
      <c r="I1549" s="9" t="s">
        <v>4717</v>
      </c>
      <c r="J1549" s="9" t="s">
        <v>4733</v>
      </c>
      <c r="K1549" s="20">
        <f t="shared" si="2"/>
        <v>1988</v>
      </c>
      <c r="L1549" s="9" t="str">
        <f t="shared" si="3"/>
        <v>tier - 2</v>
      </c>
      <c r="M1549" s="9" t="str">
        <f t="shared" si="4"/>
        <v>tier - 3</v>
      </c>
      <c r="N1549" s="9" t="str">
        <f t="shared" si="5"/>
        <v>R1012</v>
      </c>
      <c r="O1549" s="17">
        <f t="shared" si="6"/>
        <v>34</v>
      </c>
      <c r="P1549" s="18">
        <v>32363.0</v>
      </c>
    </row>
    <row r="1550" ht="15.75" customHeight="1">
      <c r="A1550" s="9" t="s">
        <v>3417</v>
      </c>
      <c r="B1550" s="17">
        <v>1989.0</v>
      </c>
      <c r="C1550" s="9" t="s">
        <v>4735</v>
      </c>
      <c r="D1550" s="9">
        <v>6.0</v>
      </c>
      <c r="E1550" s="18">
        <f t="shared" si="1"/>
        <v>32818</v>
      </c>
      <c r="F1550" s="9">
        <v>3.0</v>
      </c>
      <c r="G1550" s="19">
        <v>5396.44</v>
      </c>
      <c r="H1550" s="9" t="s">
        <v>4723</v>
      </c>
      <c r="I1550" s="9" t="s">
        <v>4717</v>
      </c>
      <c r="J1550" s="9" t="s">
        <v>4743</v>
      </c>
      <c r="K1550" s="20">
        <f t="shared" si="2"/>
        <v>1989</v>
      </c>
      <c r="L1550" s="9" t="str">
        <f t="shared" si="3"/>
        <v>tier - 2</v>
      </c>
      <c r="M1550" s="9" t="str">
        <f t="shared" si="4"/>
        <v>tier - 3</v>
      </c>
      <c r="N1550" s="9" t="str">
        <f t="shared" si="5"/>
        <v>R1013</v>
      </c>
      <c r="O1550" s="17">
        <f t="shared" si="6"/>
        <v>33</v>
      </c>
      <c r="P1550" s="18">
        <v>32818.0</v>
      </c>
    </row>
    <row r="1551" ht="15.75" customHeight="1">
      <c r="A1551" s="9" t="s">
        <v>3415</v>
      </c>
      <c r="B1551" s="17">
        <v>1984.0</v>
      </c>
      <c r="C1551" s="9" t="s">
        <v>4738</v>
      </c>
      <c r="D1551" s="9">
        <v>3.0</v>
      </c>
      <c r="E1551" s="18">
        <f t="shared" si="1"/>
        <v>30928</v>
      </c>
      <c r="F1551" s="9">
        <v>0.0</v>
      </c>
      <c r="G1551" s="19">
        <v>5397.62</v>
      </c>
      <c r="H1551" s="9" t="s">
        <v>4723</v>
      </c>
      <c r="I1551" s="9" t="s">
        <v>4723</v>
      </c>
      <c r="J1551" s="9" t="s">
        <v>4743</v>
      </c>
      <c r="K1551" s="20">
        <f t="shared" si="2"/>
        <v>1984</v>
      </c>
      <c r="L1551" s="9" t="str">
        <f t="shared" si="3"/>
        <v>tier - 2</v>
      </c>
      <c r="M1551" s="9" t="str">
        <f t="shared" si="4"/>
        <v>tier - 2</v>
      </c>
      <c r="N1551" s="9" t="str">
        <f t="shared" si="5"/>
        <v>R1013</v>
      </c>
      <c r="O1551" s="17">
        <f t="shared" si="6"/>
        <v>38</v>
      </c>
      <c r="P1551" s="18">
        <v>30928.0</v>
      </c>
    </row>
    <row r="1552" ht="15.75" customHeight="1">
      <c r="A1552" s="9" t="s">
        <v>3413</v>
      </c>
      <c r="B1552" s="17">
        <v>1984.0</v>
      </c>
      <c r="C1552" s="9" t="s">
        <v>4716</v>
      </c>
      <c r="D1552" s="9">
        <v>1.0</v>
      </c>
      <c r="E1552" s="18">
        <f t="shared" si="1"/>
        <v>30895</v>
      </c>
      <c r="F1552" s="9">
        <v>0.0</v>
      </c>
      <c r="G1552" s="19">
        <v>5400.98</v>
      </c>
      <c r="H1552" s="9" t="s">
        <v>4723</v>
      </c>
      <c r="I1552" s="9" t="s">
        <v>4723</v>
      </c>
      <c r="J1552" s="9" t="s">
        <v>4743</v>
      </c>
      <c r="K1552" s="20">
        <f t="shared" si="2"/>
        <v>1984</v>
      </c>
      <c r="L1552" s="9" t="str">
        <f t="shared" si="3"/>
        <v>tier - 2</v>
      </c>
      <c r="M1552" s="9" t="str">
        <f t="shared" si="4"/>
        <v>tier - 2</v>
      </c>
      <c r="N1552" s="9" t="str">
        <f t="shared" si="5"/>
        <v>R1013</v>
      </c>
      <c r="O1552" s="17">
        <f t="shared" si="6"/>
        <v>38</v>
      </c>
      <c r="P1552" s="18">
        <v>30895.0</v>
      </c>
    </row>
    <row r="1553" ht="15.75" customHeight="1">
      <c r="A1553" s="9" t="s">
        <v>3411</v>
      </c>
      <c r="B1553" s="17">
        <v>1985.0</v>
      </c>
      <c r="C1553" s="9" t="s">
        <v>4725</v>
      </c>
      <c r="D1553" s="9">
        <v>23.0</v>
      </c>
      <c r="E1553" s="18">
        <f t="shared" si="1"/>
        <v>31404</v>
      </c>
      <c r="F1553" s="9">
        <v>3.0</v>
      </c>
      <c r="G1553" s="19">
        <v>5402.89</v>
      </c>
      <c r="H1553" s="9" t="s">
        <v>4723</v>
      </c>
      <c r="I1553" s="9" t="s">
        <v>4718</v>
      </c>
      <c r="J1553" s="9" t="s">
        <v>4743</v>
      </c>
      <c r="K1553" s="20">
        <f t="shared" si="2"/>
        <v>1985</v>
      </c>
      <c r="L1553" s="9" t="str">
        <f t="shared" si="3"/>
        <v>tier - 2</v>
      </c>
      <c r="M1553" s="9" t="str">
        <f t="shared" si="4"/>
        <v>tier - 1</v>
      </c>
      <c r="N1553" s="9" t="str">
        <f t="shared" si="5"/>
        <v>R1013</v>
      </c>
      <c r="O1553" s="17">
        <f t="shared" si="6"/>
        <v>37</v>
      </c>
      <c r="P1553" s="18">
        <v>31404.0</v>
      </c>
    </row>
    <row r="1554" ht="15.75" customHeight="1">
      <c r="A1554" s="9" t="s">
        <v>3409</v>
      </c>
      <c r="B1554" s="17">
        <v>1975.0</v>
      </c>
      <c r="C1554" s="9" t="s">
        <v>4738</v>
      </c>
      <c r="D1554" s="9">
        <v>27.0</v>
      </c>
      <c r="E1554" s="18">
        <f t="shared" si="1"/>
        <v>27664</v>
      </c>
      <c r="F1554" s="9">
        <v>1.0</v>
      </c>
      <c r="G1554" s="19">
        <v>5411.99</v>
      </c>
      <c r="H1554" s="9" t="s">
        <v>4723</v>
      </c>
      <c r="I1554" s="9" t="s">
        <v>4717</v>
      </c>
      <c r="J1554" s="9" t="s">
        <v>4733</v>
      </c>
      <c r="K1554" s="20">
        <f t="shared" si="2"/>
        <v>1975</v>
      </c>
      <c r="L1554" s="9" t="str">
        <f t="shared" si="3"/>
        <v>tier - 2</v>
      </c>
      <c r="M1554" s="9" t="str">
        <f t="shared" si="4"/>
        <v>tier - 3</v>
      </c>
      <c r="N1554" s="9" t="str">
        <f t="shared" si="5"/>
        <v>R1012</v>
      </c>
      <c r="O1554" s="17">
        <f t="shared" si="6"/>
        <v>47</v>
      </c>
      <c r="P1554" s="18">
        <v>27664.0</v>
      </c>
    </row>
    <row r="1555" ht="15.75" customHeight="1">
      <c r="A1555" s="9" t="s">
        <v>3407</v>
      </c>
      <c r="B1555" s="17">
        <v>1982.0</v>
      </c>
      <c r="C1555" s="9" t="s">
        <v>4738</v>
      </c>
      <c r="D1555" s="9">
        <v>27.0</v>
      </c>
      <c r="E1555" s="18">
        <f t="shared" si="1"/>
        <v>30221</v>
      </c>
      <c r="F1555" s="9">
        <v>0.0</v>
      </c>
      <c r="G1555" s="19">
        <v>5415.66</v>
      </c>
      <c r="H1555" s="9" t="s">
        <v>4723</v>
      </c>
      <c r="I1555" s="9" t="s">
        <v>4717</v>
      </c>
      <c r="J1555" s="9" t="s">
        <v>4743</v>
      </c>
      <c r="K1555" s="20">
        <f t="shared" si="2"/>
        <v>1982</v>
      </c>
      <c r="L1555" s="9" t="str">
        <f t="shared" si="3"/>
        <v>tier - 2</v>
      </c>
      <c r="M1555" s="9" t="str">
        <f t="shared" si="4"/>
        <v>tier - 3</v>
      </c>
      <c r="N1555" s="9" t="str">
        <f t="shared" si="5"/>
        <v>R1013</v>
      </c>
      <c r="O1555" s="17">
        <f t="shared" si="6"/>
        <v>40</v>
      </c>
      <c r="P1555" s="18">
        <v>30221.0</v>
      </c>
    </row>
    <row r="1556" ht="15.75" customHeight="1">
      <c r="A1556" s="9" t="s">
        <v>3405</v>
      </c>
      <c r="B1556" s="17">
        <v>1991.0</v>
      </c>
      <c r="C1556" s="9" t="s">
        <v>4741</v>
      </c>
      <c r="D1556" s="9">
        <v>6.0</v>
      </c>
      <c r="E1556" s="18">
        <f t="shared" si="1"/>
        <v>33425</v>
      </c>
      <c r="F1556" s="9">
        <v>3.0</v>
      </c>
      <c r="G1556" s="19">
        <v>5425.02</v>
      </c>
      <c r="H1556" s="9" t="s">
        <v>4723</v>
      </c>
      <c r="I1556" s="9" t="s">
        <v>4718</v>
      </c>
      <c r="J1556" s="9" t="s">
        <v>4733</v>
      </c>
      <c r="K1556" s="20">
        <f t="shared" si="2"/>
        <v>1991</v>
      </c>
      <c r="L1556" s="9" t="str">
        <f t="shared" si="3"/>
        <v>tier - 2</v>
      </c>
      <c r="M1556" s="9" t="str">
        <f t="shared" si="4"/>
        <v>tier - 1</v>
      </c>
      <c r="N1556" s="9" t="str">
        <f t="shared" si="5"/>
        <v>R1012</v>
      </c>
      <c r="O1556" s="17">
        <f t="shared" si="6"/>
        <v>31</v>
      </c>
      <c r="P1556" s="18">
        <v>33425.0</v>
      </c>
    </row>
    <row r="1557" ht="15.75" customHeight="1">
      <c r="A1557" s="9" t="s">
        <v>3403</v>
      </c>
      <c r="B1557" s="17">
        <v>1992.0</v>
      </c>
      <c r="C1557" s="9" t="s">
        <v>4738</v>
      </c>
      <c r="D1557" s="9">
        <v>17.0</v>
      </c>
      <c r="E1557" s="18">
        <f t="shared" si="1"/>
        <v>33864</v>
      </c>
      <c r="F1557" s="9">
        <v>3.0</v>
      </c>
      <c r="G1557" s="19">
        <v>5428.73</v>
      </c>
      <c r="H1557" s="9" t="s">
        <v>4717</v>
      </c>
      <c r="I1557" s="9" t="s">
        <v>4718</v>
      </c>
      <c r="J1557" s="9" t="s">
        <v>4753</v>
      </c>
      <c r="K1557" s="20">
        <f t="shared" si="2"/>
        <v>1992</v>
      </c>
      <c r="L1557" s="9" t="str">
        <f t="shared" si="3"/>
        <v>tier - 3</v>
      </c>
      <c r="M1557" s="9" t="str">
        <f t="shared" si="4"/>
        <v>tier - 1</v>
      </c>
      <c r="N1557" s="9" t="str">
        <f t="shared" si="5"/>
        <v>R1017</v>
      </c>
      <c r="O1557" s="17">
        <f t="shared" si="6"/>
        <v>30</v>
      </c>
      <c r="P1557" s="18">
        <v>33864.0</v>
      </c>
    </row>
    <row r="1558" ht="15.75" customHeight="1">
      <c r="A1558" s="9" t="s">
        <v>3401</v>
      </c>
      <c r="B1558" s="17">
        <v>1978.0</v>
      </c>
      <c r="C1558" s="9" t="s">
        <v>4730</v>
      </c>
      <c r="D1558" s="9">
        <v>8.0</v>
      </c>
      <c r="E1558" s="18">
        <f t="shared" si="1"/>
        <v>28649</v>
      </c>
      <c r="F1558" s="9">
        <v>2.0</v>
      </c>
      <c r="G1558" s="19">
        <v>5428.98</v>
      </c>
      <c r="H1558" s="9" t="s">
        <v>4723</v>
      </c>
      <c r="I1558" s="9" t="s">
        <v>4723</v>
      </c>
      <c r="J1558" s="9" t="s">
        <v>4733</v>
      </c>
      <c r="K1558" s="20">
        <f t="shared" si="2"/>
        <v>1978</v>
      </c>
      <c r="L1558" s="9" t="str">
        <f t="shared" si="3"/>
        <v>tier - 2</v>
      </c>
      <c r="M1558" s="9" t="str">
        <f t="shared" si="4"/>
        <v>tier - 2</v>
      </c>
      <c r="N1558" s="9" t="str">
        <f t="shared" si="5"/>
        <v>R1012</v>
      </c>
      <c r="O1558" s="17">
        <f t="shared" si="6"/>
        <v>45</v>
      </c>
      <c r="P1558" s="18">
        <v>28649.0</v>
      </c>
    </row>
    <row r="1559" ht="15.75" customHeight="1">
      <c r="A1559" s="9" t="s">
        <v>341</v>
      </c>
      <c r="B1559" s="17">
        <v>2000.0</v>
      </c>
      <c r="C1559" s="9" t="s">
        <v>4738</v>
      </c>
      <c r="D1559" s="9">
        <v>5.0</v>
      </c>
      <c r="E1559" s="18">
        <f t="shared" si="1"/>
        <v>36774</v>
      </c>
      <c r="F1559" s="9">
        <v>1.0</v>
      </c>
      <c r="G1559" s="19">
        <v>37165.16</v>
      </c>
      <c r="H1559" s="9" t="s">
        <v>4718</v>
      </c>
      <c r="I1559" s="9" t="s">
        <v>4717</v>
      </c>
      <c r="J1559" s="9" t="s">
        <v>4700</v>
      </c>
      <c r="K1559" s="20">
        <f t="shared" si="2"/>
        <v>2000</v>
      </c>
      <c r="L1559" s="9" t="str">
        <f t="shared" si="3"/>
        <v>tier - 1</v>
      </c>
      <c r="M1559" s="9" t="str">
        <f t="shared" si="4"/>
        <v>tier - 3</v>
      </c>
      <c r="N1559" s="9" t="str">
        <f t="shared" si="5"/>
        <v>UNKNOWN</v>
      </c>
      <c r="O1559" s="17">
        <f t="shared" si="6"/>
        <v>22</v>
      </c>
      <c r="P1559" s="18">
        <v>36774.0</v>
      </c>
    </row>
    <row r="1560" ht="15.75" customHeight="1">
      <c r="A1560" s="9" t="s">
        <v>35</v>
      </c>
      <c r="B1560" s="17">
        <v>1958.0</v>
      </c>
      <c r="C1560" s="9" t="s">
        <v>4735</v>
      </c>
      <c r="D1560" s="9">
        <v>16.0</v>
      </c>
      <c r="E1560" s="18">
        <f t="shared" si="1"/>
        <v>21505</v>
      </c>
      <c r="F1560" s="9">
        <v>1.0</v>
      </c>
      <c r="G1560" s="19">
        <v>47928.03</v>
      </c>
      <c r="H1560" s="9" t="s">
        <v>4723</v>
      </c>
      <c r="I1560" s="9" t="s">
        <v>4717</v>
      </c>
      <c r="J1560" s="9" t="s">
        <v>4719</v>
      </c>
      <c r="K1560" s="20">
        <f t="shared" si="2"/>
        <v>1958</v>
      </c>
      <c r="L1560" s="9" t="str">
        <f t="shared" si="3"/>
        <v>tier - 2</v>
      </c>
      <c r="M1560" s="9" t="str">
        <f t="shared" si="4"/>
        <v>tier - 3</v>
      </c>
      <c r="N1560" s="9" t="str">
        <f t="shared" si="5"/>
        <v>R1011</v>
      </c>
      <c r="O1560" s="17">
        <f t="shared" si="6"/>
        <v>64</v>
      </c>
      <c r="P1560" s="18">
        <v>21505.0</v>
      </c>
    </row>
    <row r="1561" ht="15.75" customHeight="1">
      <c r="A1561" s="9" t="s">
        <v>3399</v>
      </c>
      <c r="B1561" s="17">
        <v>1982.0</v>
      </c>
      <c r="C1561" s="9" t="s">
        <v>4716</v>
      </c>
      <c r="D1561" s="9">
        <v>25.0</v>
      </c>
      <c r="E1561" s="18">
        <f t="shared" si="1"/>
        <v>30188</v>
      </c>
      <c r="F1561" s="9">
        <v>0.0</v>
      </c>
      <c r="G1561" s="19">
        <v>5438.75</v>
      </c>
      <c r="H1561" s="9" t="s">
        <v>4717</v>
      </c>
      <c r="I1561" s="9" t="s">
        <v>4723</v>
      </c>
      <c r="J1561" s="9" t="s">
        <v>4743</v>
      </c>
      <c r="K1561" s="20">
        <f t="shared" si="2"/>
        <v>1982</v>
      </c>
      <c r="L1561" s="9" t="str">
        <f t="shared" si="3"/>
        <v>tier - 3</v>
      </c>
      <c r="M1561" s="9" t="str">
        <f t="shared" si="4"/>
        <v>tier - 2</v>
      </c>
      <c r="N1561" s="9" t="str">
        <f t="shared" si="5"/>
        <v>R1013</v>
      </c>
      <c r="O1561" s="17">
        <f t="shared" si="6"/>
        <v>40</v>
      </c>
      <c r="P1561" s="18">
        <v>30188.0</v>
      </c>
    </row>
    <row r="1562" ht="15.75" customHeight="1">
      <c r="A1562" s="9" t="s">
        <v>3397</v>
      </c>
      <c r="B1562" s="17">
        <v>1986.0</v>
      </c>
      <c r="C1562" s="9" t="s">
        <v>4725</v>
      </c>
      <c r="D1562" s="9">
        <v>25.0</v>
      </c>
      <c r="E1562" s="18">
        <f t="shared" si="1"/>
        <v>31771</v>
      </c>
      <c r="F1562" s="9">
        <v>0.0</v>
      </c>
      <c r="G1562" s="19">
        <v>5458.05</v>
      </c>
      <c r="H1562" s="9" t="s">
        <v>4723</v>
      </c>
      <c r="I1562" s="9" t="s">
        <v>4723</v>
      </c>
      <c r="J1562" s="9" t="s">
        <v>4731</v>
      </c>
      <c r="K1562" s="20">
        <f t="shared" si="2"/>
        <v>1986</v>
      </c>
      <c r="L1562" s="9" t="str">
        <f t="shared" si="3"/>
        <v>tier - 2</v>
      </c>
      <c r="M1562" s="9" t="str">
        <f t="shared" si="4"/>
        <v>tier - 2</v>
      </c>
      <c r="N1562" s="9" t="str">
        <f t="shared" si="5"/>
        <v>R1024</v>
      </c>
      <c r="O1562" s="17">
        <f t="shared" si="6"/>
        <v>36</v>
      </c>
      <c r="P1562" s="18">
        <v>31771.0</v>
      </c>
    </row>
    <row r="1563" ht="15.75" customHeight="1">
      <c r="A1563" s="9" t="s">
        <v>3395</v>
      </c>
      <c r="B1563" s="17">
        <v>1973.0</v>
      </c>
      <c r="C1563" s="9" t="s">
        <v>4720</v>
      </c>
      <c r="D1563" s="9">
        <v>24.0</v>
      </c>
      <c r="E1563" s="18">
        <f t="shared" si="1"/>
        <v>26961</v>
      </c>
      <c r="F1563" s="9">
        <v>0.0</v>
      </c>
      <c r="G1563" s="19">
        <v>5466.88</v>
      </c>
      <c r="H1563" s="9" t="s">
        <v>4723</v>
      </c>
      <c r="I1563" s="9" t="s">
        <v>4723</v>
      </c>
      <c r="J1563" s="9" t="s">
        <v>4743</v>
      </c>
      <c r="K1563" s="20">
        <f t="shared" si="2"/>
        <v>1973</v>
      </c>
      <c r="L1563" s="9" t="str">
        <f t="shared" si="3"/>
        <v>tier - 2</v>
      </c>
      <c r="M1563" s="9" t="str">
        <f t="shared" si="4"/>
        <v>tier - 2</v>
      </c>
      <c r="N1563" s="9" t="str">
        <f t="shared" si="5"/>
        <v>R1013</v>
      </c>
      <c r="O1563" s="17">
        <f t="shared" si="6"/>
        <v>49</v>
      </c>
      <c r="P1563" s="18">
        <v>26961.0</v>
      </c>
    </row>
    <row r="1564" ht="15.75" customHeight="1">
      <c r="A1564" s="9" t="s">
        <v>3393</v>
      </c>
      <c r="B1564" s="17">
        <v>1986.0</v>
      </c>
      <c r="C1564" s="9" t="s">
        <v>4725</v>
      </c>
      <c r="D1564" s="9">
        <v>2.0</v>
      </c>
      <c r="E1564" s="18">
        <f t="shared" si="1"/>
        <v>31748</v>
      </c>
      <c r="F1564" s="9">
        <v>0.0</v>
      </c>
      <c r="G1564" s="19">
        <v>5469.01</v>
      </c>
      <c r="H1564" s="9" t="s">
        <v>4723</v>
      </c>
      <c r="I1564" s="9" t="s">
        <v>4723</v>
      </c>
      <c r="J1564" s="9" t="s">
        <v>4731</v>
      </c>
      <c r="K1564" s="20">
        <f t="shared" si="2"/>
        <v>1986</v>
      </c>
      <c r="L1564" s="9" t="str">
        <f t="shared" si="3"/>
        <v>tier - 2</v>
      </c>
      <c r="M1564" s="9" t="str">
        <f t="shared" si="4"/>
        <v>tier - 2</v>
      </c>
      <c r="N1564" s="9" t="str">
        <f t="shared" si="5"/>
        <v>R1024</v>
      </c>
      <c r="O1564" s="17">
        <f t="shared" si="6"/>
        <v>36</v>
      </c>
      <c r="P1564" s="18">
        <v>31748.0</v>
      </c>
    </row>
    <row r="1565" ht="15.75" customHeight="1">
      <c r="A1565" s="9" t="s">
        <v>3391</v>
      </c>
      <c r="B1565" s="17">
        <v>1986.0</v>
      </c>
      <c r="C1565" s="9" t="s">
        <v>4741</v>
      </c>
      <c r="D1565" s="9">
        <v>12.0</v>
      </c>
      <c r="E1565" s="18">
        <f t="shared" si="1"/>
        <v>31605</v>
      </c>
      <c r="F1565" s="9">
        <v>1.0</v>
      </c>
      <c r="G1565" s="19">
        <v>5472.45</v>
      </c>
      <c r="H1565" s="9" t="s">
        <v>4723</v>
      </c>
      <c r="I1565" s="9" t="s">
        <v>4717</v>
      </c>
      <c r="J1565" s="9" t="s">
        <v>4719</v>
      </c>
      <c r="K1565" s="20">
        <f t="shared" si="2"/>
        <v>1986</v>
      </c>
      <c r="L1565" s="9" t="str">
        <f t="shared" si="3"/>
        <v>tier - 2</v>
      </c>
      <c r="M1565" s="9" t="str">
        <f t="shared" si="4"/>
        <v>tier - 3</v>
      </c>
      <c r="N1565" s="9" t="str">
        <f t="shared" si="5"/>
        <v>R1011</v>
      </c>
      <c r="O1565" s="17">
        <f t="shared" si="6"/>
        <v>36</v>
      </c>
      <c r="P1565" s="18">
        <v>31605.0</v>
      </c>
    </row>
    <row r="1566" ht="15.75" customHeight="1">
      <c r="A1566" s="9" t="s">
        <v>3389</v>
      </c>
      <c r="B1566" s="17">
        <v>1986.0</v>
      </c>
      <c r="C1566" s="9" t="s">
        <v>4738</v>
      </c>
      <c r="D1566" s="9">
        <v>30.0</v>
      </c>
      <c r="E1566" s="18">
        <f t="shared" si="1"/>
        <v>31685</v>
      </c>
      <c r="F1566" s="9">
        <v>1.0</v>
      </c>
      <c r="G1566" s="19">
        <v>5478.04</v>
      </c>
      <c r="H1566" s="9" t="s">
        <v>4723</v>
      </c>
      <c r="I1566" s="9" t="s">
        <v>4717</v>
      </c>
      <c r="J1566" s="9" t="s">
        <v>4743</v>
      </c>
      <c r="K1566" s="20">
        <f t="shared" si="2"/>
        <v>1986</v>
      </c>
      <c r="L1566" s="9" t="str">
        <f t="shared" si="3"/>
        <v>tier - 2</v>
      </c>
      <c r="M1566" s="9" t="str">
        <f t="shared" si="4"/>
        <v>tier - 3</v>
      </c>
      <c r="N1566" s="9" t="str">
        <f t="shared" si="5"/>
        <v>R1013</v>
      </c>
      <c r="O1566" s="17">
        <f t="shared" si="6"/>
        <v>36</v>
      </c>
      <c r="P1566" s="18">
        <v>31685.0</v>
      </c>
    </row>
    <row r="1567" ht="15.75" customHeight="1">
      <c r="A1567" s="9" t="s">
        <v>3387</v>
      </c>
      <c r="B1567" s="17">
        <v>1984.0</v>
      </c>
      <c r="C1567" s="9" t="s">
        <v>4716</v>
      </c>
      <c r="D1567" s="9">
        <v>26.0</v>
      </c>
      <c r="E1567" s="18">
        <f t="shared" si="1"/>
        <v>30920</v>
      </c>
      <c r="F1567" s="9">
        <v>1.0</v>
      </c>
      <c r="G1567" s="19">
        <v>5484.47</v>
      </c>
      <c r="H1567" s="9" t="s">
        <v>4723</v>
      </c>
      <c r="I1567" s="9" t="s">
        <v>4723</v>
      </c>
      <c r="J1567" s="9" t="s">
        <v>4743</v>
      </c>
      <c r="K1567" s="20">
        <f t="shared" si="2"/>
        <v>1984</v>
      </c>
      <c r="L1567" s="9" t="str">
        <f t="shared" si="3"/>
        <v>tier - 2</v>
      </c>
      <c r="M1567" s="9" t="str">
        <f t="shared" si="4"/>
        <v>tier - 2</v>
      </c>
      <c r="N1567" s="9" t="str">
        <f t="shared" si="5"/>
        <v>R1013</v>
      </c>
      <c r="O1567" s="17">
        <f t="shared" si="6"/>
        <v>38</v>
      </c>
      <c r="P1567" s="18">
        <v>30920.0</v>
      </c>
    </row>
    <row r="1568" ht="15.75" customHeight="1">
      <c r="A1568" s="9" t="s">
        <v>3385</v>
      </c>
      <c r="B1568" s="17">
        <v>1984.0</v>
      </c>
      <c r="C1568" s="9" t="s">
        <v>4716</v>
      </c>
      <c r="D1568" s="9">
        <v>17.0</v>
      </c>
      <c r="E1568" s="18">
        <f t="shared" si="1"/>
        <v>30911</v>
      </c>
      <c r="F1568" s="9">
        <v>1.0</v>
      </c>
      <c r="G1568" s="19">
        <v>5488.26</v>
      </c>
      <c r="H1568" s="9" t="s">
        <v>4723</v>
      </c>
      <c r="I1568" s="9" t="s">
        <v>4717</v>
      </c>
      <c r="J1568" s="9" t="s">
        <v>4719</v>
      </c>
      <c r="K1568" s="20">
        <f t="shared" si="2"/>
        <v>1984</v>
      </c>
      <c r="L1568" s="9" t="str">
        <f t="shared" si="3"/>
        <v>tier - 2</v>
      </c>
      <c r="M1568" s="9" t="str">
        <f t="shared" si="4"/>
        <v>tier - 3</v>
      </c>
      <c r="N1568" s="9" t="str">
        <f t="shared" si="5"/>
        <v>R1011</v>
      </c>
      <c r="O1568" s="17">
        <f t="shared" si="6"/>
        <v>38</v>
      </c>
      <c r="P1568" s="18">
        <v>30911.0</v>
      </c>
    </row>
    <row r="1569" ht="15.75" customHeight="1">
      <c r="A1569" s="9" t="s">
        <v>3383</v>
      </c>
      <c r="B1569" s="17">
        <v>1988.0</v>
      </c>
      <c r="C1569" s="9" t="s">
        <v>4741</v>
      </c>
      <c r="D1569" s="9">
        <v>29.0</v>
      </c>
      <c r="E1569" s="18">
        <f t="shared" si="1"/>
        <v>32353</v>
      </c>
      <c r="F1569" s="9">
        <v>3.0</v>
      </c>
      <c r="G1569" s="19">
        <v>5503.36</v>
      </c>
      <c r="H1569" s="9" t="s">
        <v>4723</v>
      </c>
      <c r="I1569" s="9" t="s">
        <v>4723</v>
      </c>
      <c r="J1569" s="9" t="s">
        <v>4733</v>
      </c>
      <c r="K1569" s="20">
        <f t="shared" si="2"/>
        <v>1988</v>
      </c>
      <c r="L1569" s="9" t="str">
        <f t="shared" si="3"/>
        <v>tier - 2</v>
      </c>
      <c r="M1569" s="9" t="str">
        <f t="shared" si="4"/>
        <v>tier - 2</v>
      </c>
      <c r="N1569" s="9" t="str">
        <f t="shared" si="5"/>
        <v>R1012</v>
      </c>
      <c r="O1569" s="17">
        <f t="shared" si="6"/>
        <v>34</v>
      </c>
      <c r="P1569" s="18">
        <v>32353.0</v>
      </c>
    </row>
    <row r="1570" ht="15.75" customHeight="1">
      <c r="A1570" s="9" t="s">
        <v>3381</v>
      </c>
      <c r="B1570" s="17">
        <v>1981.0</v>
      </c>
      <c r="C1570" s="9" t="s">
        <v>4735</v>
      </c>
      <c r="D1570" s="9">
        <v>7.0</v>
      </c>
      <c r="E1570" s="18">
        <f t="shared" si="1"/>
        <v>29897</v>
      </c>
      <c r="F1570" s="9">
        <v>1.0</v>
      </c>
      <c r="G1570" s="19">
        <v>5539.4</v>
      </c>
      <c r="H1570" s="9" t="s">
        <v>4723</v>
      </c>
      <c r="I1570" s="9" t="s">
        <v>4723</v>
      </c>
      <c r="J1570" s="9" t="s">
        <v>4743</v>
      </c>
      <c r="K1570" s="20">
        <f t="shared" si="2"/>
        <v>1981</v>
      </c>
      <c r="L1570" s="9" t="str">
        <f t="shared" si="3"/>
        <v>tier - 2</v>
      </c>
      <c r="M1570" s="9" t="str">
        <f t="shared" si="4"/>
        <v>tier - 2</v>
      </c>
      <c r="N1570" s="9" t="str">
        <f t="shared" si="5"/>
        <v>R1013</v>
      </c>
      <c r="O1570" s="17">
        <f t="shared" si="6"/>
        <v>41</v>
      </c>
      <c r="P1570" s="18">
        <v>29897.0</v>
      </c>
    </row>
    <row r="1571" ht="15.75" customHeight="1">
      <c r="A1571" s="9" t="s">
        <v>339</v>
      </c>
      <c r="B1571" s="17">
        <v>1990.0</v>
      </c>
      <c r="C1571" s="9" t="s">
        <v>4720</v>
      </c>
      <c r="D1571" s="9">
        <v>17.0</v>
      </c>
      <c r="E1571" s="18">
        <f t="shared" si="1"/>
        <v>33163</v>
      </c>
      <c r="F1571" s="9">
        <v>3.0</v>
      </c>
      <c r="G1571" s="19">
        <v>37251.22</v>
      </c>
      <c r="H1571" s="9" t="s">
        <v>4723</v>
      </c>
      <c r="I1571" s="9" t="s">
        <v>4723</v>
      </c>
      <c r="J1571" s="9" t="s">
        <v>4719</v>
      </c>
      <c r="K1571" s="20">
        <f t="shared" si="2"/>
        <v>1990</v>
      </c>
      <c r="L1571" s="9" t="str">
        <f t="shared" si="3"/>
        <v>tier - 2</v>
      </c>
      <c r="M1571" s="9" t="str">
        <f t="shared" si="4"/>
        <v>tier - 2</v>
      </c>
      <c r="N1571" s="9" t="str">
        <f t="shared" si="5"/>
        <v>R1011</v>
      </c>
      <c r="O1571" s="17">
        <f t="shared" si="6"/>
        <v>32</v>
      </c>
      <c r="P1571" s="18">
        <v>33163.0</v>
      </c>
    </row>
    <row r="1572" ht="15.75" customHeight="1">
      <c r="A1572" s="9" t="s">
        <v>3379</v>
      </c>
      <c r="B1572" s="17">
        <v>1980.0</v>
      </c>
      <c r="C1572" s="9" t="s">
        <v>4725</v>
      </c>
      <c r="D1572" s="9">
        <v>7.0</v>
      </c>
      <c r="E1572" s="18">
        <f t="shared" si="1"/>
        <v>29562</v>
      </c>
      <c r="F1572" s="9">
        <v>2.0</v>
      </c>
      <c r="G1572" s="19">
        <v>5540.35</v>
      </c>
      <c r="H1572" s="9" t="s">
        <v>4723</v>
      </c>
      <c r="I1572" s="9" t="s">
        <v>4723</v>
      </c>
      <c r="J1572" s="9" t="s">
        <v>4733</v>
      </c>
      <c r="K1572" s="20">
        <f t="shared" si="2"/>
        <v>1980</v>
      </c>
      <c r="L1572" s="9" t="str">
        <f t="shared" si="3"/>
        <v>tier - 2</v>
      </c>
      <c r="M1572" s="9" t="str">
        <f t="shared" si="4"/>
        <v>tier - 2</v>
      </c>
      <c r="N1572" s="9" t="str">
        <f t="shared" si="5"/>
        <v>R1012</v>
      </c>
      <c r="O1572" s="17">
        <f t="shared" si="6"/>
        <v>42</v>
      </c>
      <c r="P1572" s="18">
        <v>29562.0</v>
      </c>
    </row>
    <row r="1573" ht="15.75" customHeight="1">
      <c r="A1573" s="9" t="s">
        <v>3377</v>
      </c>
      <c r="B1573" s="17">
        <v>1999.0</v>
      </c>
      <c r="C1573" s="9" t="s">
        <v>4738</v>
      </c>
      <c r="D1573" s="9">
        <v>22.0</v>
      </c>
      <c r="E1573" s="18">
        <f t="shared" si="1"/>
        <v>36425</v>
      </c>
      <c r="F1573" s="9">
        <v>0.0</v>
      </c>
      <c r="G1573" s="19">
        <v>5552.61</v>
      </c>
      <c r="H1573" s="9" t="s">
        <v>4723</v>
      </c>
      <c r="I1573" s="9" t="s">
        <v>4717</v>
      </c>
      <c r="J1573" s="9" t="s">
        <v>4721</v>
      </c>
      <c r="K1573" s="20">
        <f t="shared" si="2"/>
        <v>1999</v>
      </c>
      <c r="L1573" s="9" t="str">
        <f t="shared" si="3"/>
        <v>tier - 2</v>
      </c>
      <c r="M1573" s="9" t="str">
        <f t="shared" si="4"/>
        <v>tier - 3</v>
      </c>
      <c r="N1573" s="9" t="str">
        <f t="shared" si="5"/>
        <v>R1026</v>
      </c>
      <c r="O1573" s="17">
        <f t="shared" si="6"/>
        <v>23</v>
      </c>
      <c r="P1573" s="18">
        <v>36425.0</v>
      </c>
    </row>
    <row r="1574" ht="15.75" customHeight="1">
      <c r="A1574" s="9" t="s">
        <v>3375</v>
      </c>
      <c r="B1574" s="17">
        <v>1974.0</v>
      </c>
      <c r="C1574" s="9" t="s">
        <v>4738</v>
      </c>
      <c r="D1574" s="9">
        <v>18.0</v>
      </c>
      <c r="E1574" s="18">
        <f t="shared" si="1"/>
        <v>27290</v>
      </c>
      <c r="F1574" s="9">
        <v>0.0</v>
      </c>
      <c r="G1574" s="19">
        <v>5576.35</v>
      </c>
      <c r="H1574" s="9" t="s">
        <v>4723</v>
      </c>
      <c r="I1574" s="9" t="s">
        <v>4717</v>
      </c>
      <c r="J1574" s="9" t="s">
        <v>4743</v>
      </c>
      <c r="K1574" s="20">
        <f t="shared" si="2"/>
        <v>1974</v>
      </c>
      <c r="L1574" s="9" t="str">
        <f t="shared" si="3"/>
        <v>tier - 2</v>
      </c>
      <c r="M1574" s="9" t="str">
        <f t="shared" si="4"/>
        <v>tier - 3</v>
      </c>
      <c r="N1574" s="9" t="str">
        <f t="shared" si="5"/>
        <v>R1013</v>
      </c>
      <c r="O1574" s="17">
        <f t="shared" si="6"/>
        <v>48</v>
      </c>
      <c r="P1574" s="18">
        <v>27290.0</v>
      </c>
    </row>
    <row r="1575" ht="15.75" customHeight="1">
      <c r="A1575" s="9" t="s">
        <v>3373</v>
      </c>
      <c r="B1575" s="17">
        <v>1985.0</v>
      </c>
      <c r="C1575" s="9" t="s">
        <v>4738</v>
      </c>
      <c r="D1575" s="9">
        <v>5.0</v>
      </c>
      <c r="E1575" s="18">
        <f t="shared" si="1"/>
        <v>31295</v>
      </c>
      <c r="F1575" s="9">
        <v>3.0</v>
      </c>
      <c r="G1575" s="19">
        <v>5582.95</v>
      </c>
      <c r="H1575" s="9" t="s">
        <v>4723</v>
      </c>
      <c r="I1575" s="9" t="s">
        <v>4718</v>
      </c>
      <c r="J1575" s="9" t="s">
        <v>4733</v>
      </c>
      <c r="K1575" s="20">
        <f t="shared" si="2"/>
        <v>1985</v>
      </c>
      <c r="L1575" s="9" t="str">
        <f t="shared" si="3"/>
        <v>tier - 2</v>
      </c>
      <c r="M1575" s="9" t="str">
        <f t="shared" si="4"/>
        <v>tier - 1</v>
      </c>
      <c r="N1575" s="9" t="str">
        <f t="shared" si="5"/>
        <v>R1012</v>
      </c>
      <c r="O1575" s="17">
        <f t="shared" si="6"/>
        <v>37</v>
      </c>
      <c r="P1575" s="18">
        <v>31295.0</v>
      </c>
    </row>
    <row r="1576" ht="15.75" customHeight="1">
      <c r="A1576" s="9" t="s">
        <v>3371</v>
      </c>
      <c r="B1576" s="17">
        <v>1986.0</v>
      </c>
      <c r="C1576" s="9" t="s">
        <v>4735</v>
      </c>
      <c r="D1576" s="9">
        <v>21.0</v>
      </c>
      <c r="E1576" s="18">
        <f t="shared" si="1"/>
        <v>31737</v>
      </c>
      <c r="F1576" s="9">
        <v>2.0</v>
      </c>
      <c r="G1576" s="19">
        <v>5584.31</v>
      </c>
      <c r="H1576" s="9" t="s">
        <v>4717</v>
      </c>
      <c r="I1576" s="9" t="s">
        <v>4718</v>
      </c>
      <c r="J1576" s="9" t="s">
        <v>4743</v>
      </c>
      <c r="K1576" s="20">
        <f t="shared" si="2"/>
        <v>1986</v>
      </c>
      <c r="L1576" s="9" t="str">
        <f t="shared" si="3"/>
        <v>tier - 3</v>
      </c>
      <c r="M1576" s="9" t="str">
        <f t="shared" si="4"/>
        <v>tier - 1</v>
      </c>
      <c r="N1576" s="9" t="str">
        <f t="shared" si="5"/>
        <v>R1013</v>
      </c>
      <c r="O1576" s="17">
        <f t="shared" si="6"/>
        <v>36</v>
      </c>
      <c r="P1576" s="18">
        <v>31737.0</v>
      </c>
    </row>
    <row r="1577" ht="15.75" customHeight="1">
      <c r="A1577" s="9" t="s">
        <v>3369</v>
      </c>
      <c r="B1577" s="17">
        <v>1983.0</v>
      </c>
      <c r="C1577" s="9" t="s">
        <v>4720</v>
      </c>
      <c r="D1577" s="9">
        <v>3.0</v>
      </c>
      <c r="E1577" s="18">
        <f t="shared" si="1"/>
        <v>30592</v>
      </c>
      <c r="F1577" s="9">
        <v>3.0</v>
      </c>
      <c r="G1577" s="19">
        <v>5587.59</v>
      </c>
      <c r="H1577" s="9" t="s">
        <v>4723</v>
      </c>
      <c r="I1577" s="9" t="s">
        <v>4718</v>
      </c>
      <c r="J1577" s="9" t="s">
        <v>4743</v>
      </c>
      <c r="K1577" s="20">
        <f t="shared" si="2"/>
        <v>1983</v>
      </c>
      <c r="L1577" s="9" t="str">
        <f t="shared" si="3"/>
        <v>tier - 2</v>
      </c>
      <c r="M1577" s="9" t="str">
        <f t="shared" si="4"/>
        <v>tier - 1</v>
      </c>
      <c r="N1577" s="9" t="str">
        <f t="shared" si="5"/>
        <v>R1013</v>
      </c>
      <c r="O1577" s="17">
        <f t="shared" si="6"/>
        <v>39</v>
      </c>
      <c r="P1577" s="18">
        <v>30592.0</v>
      </c>
    </row>
    <row r="1578" ht="15.75" customHeight="1">
      <c r="A1578" s="9" t="s">
        <v>3367</v>
      </c>
      <c r="B1578" s="17">
        <v>1988.0</v>
      </c>
      <c r="C1578" s="9" t="s">
        <v>4735</v>
      </c>
      <c r="D1578" s="9">
        <v>18.0</v>
      </c>
      <c r="E1578" s="18">
        <f t="shared" si="1"/>
        <v>32465</v>
      </c>
      <c r="F1578" s="9">
        <v>1.0</v>
      </c>
      <c r="G1578" s="19">
        <v>5594.85</v>
      </c>
      <c r="H1578" s="9" t="s">
        <v>4723</v>
      </c>
      <c r="I1578" s="9" t="s">
        <v>4717</v>
      </c>
      <c r="J1578" s="9" t="s">
        <v>4731</v>
      </c>
      <c r="K1578" s="20">
        <f t="shared" si="2"/>
        <v>1988</v>
      </c>
      <c r="L1578" s="9" t="str">
        <f t="shared" si="3"/>
        <v>tier - 2</v>
      </c>
      <c r="M1578" s="9" t="str">
        <f t="shared" si="4"/>
        <v>tier - 3</v>
      </c>
      <c r="N1578" s="9" t="str">
        <f t="shared" si="5"/>
        <v>R1024</v>
      </c>
      <c r="O1578" s="17">
        <f t="shared" si="6"/>
        <v>34</v>
      </c>
      <c r="P1578" s="18">
        <v>32465.0</v>
      </c>
    </row>
    <row r="1579" ht="15.75" customHeight="1">
      <c r="A1579" s="9" t="s">
        <v>3365</v>
      </c>
      <c r="B1579" s="17">
        <v>1978.0</v>
      </c>
      <c r="C1579" s="9" t="s">
        <v>4738</v>
      </c>
      <c r="D1579" s="9">
        <v>11.0</v>
      </c>
      <c r="E1579" s="18">
        <f t="shared" si="1"/>
        <v>28744</v>
      </c>
      <c r="F1579" s="9">
        <v>2.0</v>
      </c>
      <c r="G1579" s="19">
        <v>5612.83</v>
      </c>
      <c r="H1579" s="9" t="s">
        <v>4723</v>
      </c>
      <c r="I1579" s="9" t="s">
        <v>4717</v>
      </c>
      <c r="J1579" s="9" t="s">
        <v>4743</v>
      </c>
      <c r="K1579" s="20">
        <f t="shared" si="2"/>
        <v>1978</v>
      </c>
      <c r="L1579" s="9" t="str">
        <f t="shared" si="3"/>
        <v>tier - 2</v>
      </c>
      <c r="M1579" s="9" t="str">
        <f t="shared" si="4"/>
        <v>tier - 3</v>
      </c>
      <c r="N1579" s="9" t="str">
        <f t="shared" si="5"/>
        <v>R1013</v>
      </c>
      <c r="O1579" s="17">
        <f t="shared" si="6"/>
        <v>44</v>
      </c>
      <c r="P1579" s="18">
        <v>28744.0</v>
      </c>
    </row>
    <row r="1580" ht="15.75" customHeight="1">
      <c r="A1580" s="9" t="s">
        <v>3363</v>
      </c>
      <c r="B1580" s="17">
        <v>1994.0</v>
      </c>
      <c r="C1580" s="9" t="s">
        <v>4735</v>
      </c>
      <c r="D1580" s="9">
        <v>15.0</v>
      </c>
      <c r="E1580" s="18">
        <f t="shared" si="1"/>
        <v>34653</v>
      </c>
      <c r="F1580" s="9">
        <v>5.0</v>
      </c>
      <c r="G1580" s="19">
        <v>5615.37</v>
      </c>
      <c r="H1580" s="9" t="s">
        <v>4723</v>
      </c>
      <c r="I1580" s="9" t="s">
        <v>4717</v>
      </c>
      <c r="J1580" s="9" t="s">
        <v>4719</v>
      </c>
      <c r="K1580" s="20">
        <f t="shared" si="2"/>
        <v>1994</v>
      </c>
      <c r="L1580" s="9" t="str">
        <f t="shared" si="3"/>
        <v>tier - 2</v>
      </c>
      <c r="M1580" s="9" t="str">
        <f t="shared" si="4"/>
        <v>tier - 3</v>
      </c>
      <c r="N1580" s="9" t="str">
        <f t="shared" si="5"/>
        <v>R1011</v>
      </c>
      <c r="O1580" s="17">
        <f t="shared" si="6"/>
        <v>28</v>
      </c>
      <c r="P1580" s="18">
        <v>34653.0</v>
      </c>
    </row>
    <row r="1581" ht="15.75" customHeight="1">
      <c r="A1581" s="9" t="s">
        <v>3361</v>
      </c>
      <c r="B1581" s="17">
        <v>1987.0</v>
      </c>
      <c r="C1581" s="9" t="s">
        <v>4725</v>
      </c>
      <c r="D1581" s="9">
        <v>9.0</v>
      </c>
      <c r="E1581" s="18">
        <f t="shared" si="1"/>
        <v>32120</v>
      </c>
      <c r="F1581" s="9">
        <v>1.0</v>
      </c>
      <c r="G1581" s="19">
        <v>5630.46</v>
      </c>
      <c r="H1581" s="9" t="s">
        <v>4723</v>
      </c>
      <c r="I1581" s="9" t="s">
        <v>4717</v>
      </c>
      <c r="J1581" s="9" t="s">
        <v>4733</v>
      </c>
      <c r="K1581" s="20">
        <f t="shared" si="2"/>
        <v>1987</v>
      </c>
      <c r="L1581" s="9" t="str">
        <f t="shared" si="3"/>
        <v>tier - 2</v>
      </c>
      <c r="M1581" s="9" t="str">
        <f t="shared" si="4"/>
        <v>tier - 3</v>
      </c>
      <c r="N1581" s="9" t="str">
        <f t="shared" si="5"/>
        <v>R1012</v>
      </c>
      <c r="O1581" s="17">
        <f t="shared" si="6"/>
        <v>35</v>
      </c>
      <c r="P1581" s="18">
        <v>32120.0</v>
      </c>
    </row>
    <row r="1582" ht="15.75" customHeight="1">
      <c r="A1582" s="9" t="s">
        <v>337</v>
      </c>
      <c r="B1582" s="17">
        <v>1985.0</v>
      </c>
      <c r="C1582" s="9" t="s">
        <v>4735</v>
      </c>
      <c r="D1582" s="9">
        <v>17.0</v>
      </c>
      <c r="E1582" s="18">
        <f t="shared" si="1"/>
        <v>31368</v>
      </c>
      <c r="F1582" s="9">
        <v>0.0</v>
      </c>
      <c r="G1582" s="19">
        <v>37270.15</v>
      </c>
      <c r="H1582" s="9" t="s">
        <v>4723</v>
      </c>
      <c r="I1582" s="9" t="s">
        <v>4718</v>
      </c>
      <c r="J1582" s="9" t="s">
        <v>4731</v>
      </c>
      <c r="K1582" s="20">
        <f t="shared" si="2"/>
        <v>1985</v>
      </c>
      <c r="L1582" s="9" t="str">
        <f t="shared" si="3"/>
        <v>tier - 2</v>
      </c>
      <c r="M1582" s="9" t="str">
        <f t="shared" si="4"/>
        <v>tier - 1</v>
      </c>
      <c r="N1582" s="9" t="str">
        <f t="shared" si="5"/>
        <v>R1024</v>
      </c>
      <c r="O1582" s="17">
        <f t="shared" si="6"/>
        <v>37</v>
      </c>
      <c r="P1582" s="18">
        <v>31368.0</v>
      </c>
    </row>
    <row r="1583" ht="15.75" customHeight="1">
      <c r="A1583" s="9" t="s">
        <v>3359</v>
      </c>
      <c r="B1583" s="17">
        <v>1983.0</v>
      </c>
      <c r="C1583" s="9" t="s">
        <v>4730</v>
      </c>
      <c r="D1583" s="9">
        <v>8.0</v>
      </c>
      <c r="E1583" s="18">
        <f t="shared" si="1"/>
        <v>30475</v>
      </c>
      <c r="F1583" s="9">
        <v>0.0</v>
      </c>
      <c r="G1583" s="19">
        <v>5649.72</v>
      </c>
      <c r="H1583" s="9" t="s">
        <v>4723</v>
      </c>
      <c r="I1583" s="9" t="s">
        <v>4717</v>
      </c>
      <c r="J1583" s="9" t="s">
        <v>4719</v>
      </c>
      <c r="K1583" s="20">
        <f t="shared" si="2"/>
        <v>1983</v>
      </c>
      <c r="L1583" s="9" t="str">
        <f t="shared" si="3"/>
        <v>tier - 2</v>
      </c>
      <c r="M1583" s="9" t="str">
        <f t="shared" si="4"/>
        <v>tier - 3</v>
      </c>
      <c r="N1583" s="9" t="str">
        <f t="shared" si="5"/>
        <v>R1011</v>
      </c>
      <c r="O1583" s="17">
        <f t="shared" si="6"/>
        <v>40</v>
      </c>
      <c r="P1583" s="18">
        <v>30475.0</v>
      </c>
    </row>
    <row r="1584" ht="15.75" customHeight="1">
      <c r="A1584" s="9" t="s">
        <v>3357</v>
      </c>
      <c r="B1584" s="17">
        <v>1978.0</v>
      </c>
      <c r="C1584" s="9" t="s">
        <v>4738</v>
      </c>
      <c r="D1584" s="9">
        <v>27.0</v>
      </c>
      <c r="E1584" s="18">
        <f t="shared" si="1"/>
        <v>28760</v>
      </c>
      <c r="F1584" s="9">
        <v>2.0</v>
      </c>
      <c r="G1584" s="19">
        <v>5650.14</v>
      </c>
      <c r="H1584" s="9" t="s">
        <v>4723</v>
      </c>
      <c r="I1584" s="9" t="s">
        <v>4718</v>
      </c>
      <c r="J1584" s="9" t="s">
        <v>4743</v>
      </c>
      <c r="K1584" s="20">
        <f t="shared" si="2"/>
        <v>1978</v>
      </c>
      <c r="L1584" s="9" t="str">
        <f t="shared" si="3"/>
        <v>tier - 2</v>
      </c>
      <c r="M1584" s="9" t="str">
        <f t="shared" si="4"/>
        <v>tier - 1</v>
      </c>
      <c r="N1584" s="9" t="str">
        <f t="shared" si="5"/>
        <v>R1013</v>
      </c>
      <c r="O1584" s="17">
        <f t="shared" si="6"/>
        <v>44</v>
      </c>
      <c r="P1584" s="18">
        <v>28760.0</v>
      </c>
    </row>
    <row r="1585" ht="15.75" customHeight="1">
      <c r="A1585" s="9" t="s">
        <v>3355</v>
      </c>
      <c r="B1585" s="17">
        <v>1983.0</v>
      </c>
      <c r="C1585" s="9" t="s">
        <v>4738</v>
      </c>
      <c r="D1585" s="9">
        <v>3.0</v>
      </c>
      <c r="E1585" s="18">
        <f t="shared" si="1"/>
        <v>30562</v>
      </c>
      <c r="F1585" s="9">
        <v>0.0</v>
      </c>
      <c r="G1585" s="19">
        <v>5662.23</v>
      </c>
      <c r="H1585" s="9" t="s">
        <v>4723</v>
      </c>
      <c r="I1585" s="9" t="s">
        <v>4718</v>
      </c>
      <c r="J1585" s="9" t="s">
        <v>4743</v>
      </c>
      <c r="K1585" s="20">
        <f t="shared" si="2"/>
        <v>1983</v>
      </c>
      <c r="L1585" s="9" t="str">
        <f t="shared" si="3"/>
        <v>tier - 2</v>
      </c>
      <c r="M1585" s="9" t="str">
        <f t="shared" si="4"/>
        <v>tier - 1</v>
      </c>
      <c r="N1585" s="9" t="str">
        <f t="shared" si="5"/>
        <v>R1013</v>
      </c>
      <c r="O1585" s="17">
        <f t="shared" si="6"/>
        <v>39</v>
      </c>
      <c r="P1585" s="18">
        <v>30562.0</v>
      </c>
    </row>
    <row r="1586" ht="15.75" customHeight="1">
      <c r="A1586" s="9" t="s">
        <v>3353</v>
      </c>
      <c r="B1586" s="17">
        <v>1984.0</v>
      </c>
      <c r="C1586" s="9" t="s">
        <v>4716</v>
      </c>
      <c r="D1586" s="9">
        <v>12.0</v>
      </c>
      <c r="E1586" s="18">
        <f t="shared" si="1"/>
        <v>30906</v>
      </c>
      <c r="F1586" s="9">
        <v>3.0</v>
      </c>
      <c r="G1586" s="19">
        <v>5679.13</v>
      </c>
      <c r="H1586" s="9" t="s">
        <v>4723</v>
      </c>
      <c r="I1586" s="9" t="s">
        <v>4723</v>
      </c>
      <c r="J1586" s="9" t="s">
        <v>4743</v>
      </c>
      <c r="K1586" s="20">
        <f t="shared" si="2"/>
        <v>1984</v>
      </c>
      <c r="L1586" s="9" t="str">
        <f t="shared" si="3"/>
        <v>tier - 2</v>
      </c>
      <c r="M1586" s="9" t="str">
        <f t="shared" si="4"/>
        <v>tier - 2</v>
      </c>
      <c r="N1586" s="9" t="str">
        <f t="shared" si="5"/>
        <v>R1013</v>
      </c>
      <c r="O1586" s="17">
        <f t="shared" si="6"/>
        <v>38</v>
      </c>
      <c r="P1586" s="18">
        <v>30906.0</v>
      </c>
    </row>
    <row r="1587" ht="15.75" customHeight="1">
      <c r="A1587" s="9" t="s">
        <v>3351</v>
      </c>
      <c r="B1587" s="17">
        <v>1972.0</v>
      </c>
      <c r="C1587" s="9" t="s">
        <v>4720</v>
      </c>
      <c r="D1587" s="9">
        <v>28.0</v>
      </c>
      <c r="E1587" s="18">
        <f t="shared" si="1"/>
        <v>26600</v>
      </c>
      <c r="F1587" s="9">
        <v>0.0</v>
      </c>
      <c r="G1587" s="19">
        <v>5690.79</v>
      </c>
      <c r="H1587" s="9" t="s">
        <v>4723</v>
      </c>
      <c r="I1587" s="9" t="s">
        <v>4718</v>
      </c>
      <c r="J1587" s="9" t="s">
        <v>4743</v>
      </c>
      <c r="K1587" s="20">
        <f t="shared" si="2"/>
        <v>1972</v>
      </c>
      <c r="L1587" s="9" t="str">
        <f t="shared" si="3"/>
        <v>tier - 2</v>
      </c>
      <c r="M1587" s="9" t="str">
        <f t="shared" si="4"/>
        <v>tier - 1</v>
      </c>
      <c r="N1587" s="9" t="str">
        <f t="shared" si="5"/>
        <v>R1013</v>
      </c>
      <c r="O1587" s="17">
        <f t="shared" si="6"/>
        <v>50</v>
      </c>
      <c r="P1587" s="18">
        <v>26600.0</v>
      </c>
    </row>
    <row r="1588" ht="15.75" customHeight="1">
      <c r="A1588" s="9" t="s">
        <v>3349</v>
      </c>
      <c r="B1588" s="17">
        <v>1992.0</v>
      </c>
      <c r="C1588" s="9" t="s">
        <v>4735</v>
      </c>
      <c r="D1588" s="9">
        <v>3.0</v>
      </c>
      <c r="E1588" s="18">
        <f t="shared" si="1"/>
        <v>33911</v>
      </c>
      <c r="F1588" s="9">
        <v>3.0</v>
      </c>
      <c r="G1588" s="19">
        <v>5693.43</v>
      </c>
      <c r="H1588" s="9" t="s">
        <v>4723</v>
      </c>
      <c r="I1588" s="9" t="s">
        <v>4717</v>
      </c>
      <c r="J1588" s="9" t="s">
        <v>4733</v>
      </c>
      <c r="K1588" s="20">
        <f t="shared" si="2"/>
        <v>1992</v>
      </c>
      <c r="L1588" s="9" t="str">
        <f t="shared" si="3"/>
        <v>tier - 2</v>
      </c>
      <c r="M1588" s="9" t="str">
        <f t="shared" si="4"/>
        <v>tier - 3</v>
      </c>
      <c r="N1588" s="9" t="str">
        <f t="shared" si="5"/>
        <v>R1012</v>
      </c>
      <c r="O1588" s="17">
        <f t="shared" si="6"/>
        <v>30</v>
      </c>
      <c r="P1588" s="18">
        <v>33911.0</v>
      </c>
    </row>
    <row r="1589" ht="15.75" customHeight="1">
      <c r="A1589" s="9" t="s">
        <v>3347</v>
      </c>
      <c r="B1589" s="17">
        <v>1974.0</v>
      </c>
      <c r="C1589" s="9" t="s">
        <v>4741</v>
      </c>
      <c r="D1589" s="9">
        <v>6.0</v>
      </c>
      <c r="E1589" s="18">
        <f t="shared" si="1"/>
        <v>27216</v>
      </c>
      <c r="F1589" s="9">
        <v>0.0</v>
      </c>
      <c r="G1589" s="19">
        <v>5698.74</v>
      </c>
      <c r="H1589" s="9" t="s">
        <v>4723</v>
      </c>
      <c r="I1589" s="9" t="s">
        <v>4723</v>
      </c>
      <c r="J1589" s="9" t="s">
        <v>4733</v>
      </c>
      <c r="K1589" s="20">
        <f t="shared" si="2"/>
        <v>1974</v>
      </c>
      <c r="L1589" s="9" t="str">
        <f t="shared" si="3"/>
        <v>tier - 2</v>
      </c>
      <c r="M1589" s="9" t="str">
        <f t="shared" si="4"/>
        <v>tier - 2</v>
      </c>
      <c r="N1589" s="9" t="str">
        <f t="shared" si="5"/>
        <v>R1012</v>
      </c>
      <c r="O1589" s="17">
        <f t="shared" si="6"/>
        <v>48</v>
      </c>
      <c r="P1589" s="18">
        <v>27216.0</v>
      </c>
    </row>
    <row r="1590" ht="15.75" customHeight="1">
      <c r="A1590" s="9" t="s">
        <v>3345</v>
      </c>
      <c r="B1590" s="17">
        <v>1981.0</v>
      </c>
      <c r="C1590" s="9" t="s">
        <v>4730</v>
      </c>
      <c r="D1590" s="9">
        <v>15.0</v>
      </c>
      <c r="E1590" s="18">
        <f t="shared" si="1"/>
        <v>29752</v>
      </c>
      <c r="F1590" s="9">
        <v>0.0</v>
      </c>
      <c r="G1590" s="19">
        <v>5699.84</v>
      </c>
      <c r="H1590" s="9" t="s">
        <v>4723</v>
      </c>
      <c r="I1590" s="9" t="s">
        <v>4717</v>
      </c>
      <c r="J1590" s="9" t="s">
        <v>4743</v>
      </c>
      <c r="K1590" s="20">
        <f t="shared" si="2"/>
        <v>1981</v>
      </c>
      <c r="L1590" s="9" t="str">
        <f t="shared" si="3"/>
        <v>tier - 2</v>
      </c>
      <c r="M1590" s="9" t="str">
        <f t="shared" si="4"/>
        <v>tier - 3</v>
      </c>
      <c r="N1590" s="9" t="str">
        <f t="shared" si="5"/>
        <v>R1013</v>
      </c>
      <c r="O1590" s="17">
        <f t="shared" si="6"/>
        <v>41</v>
      </c>
      <c r="P1590" s="18">
        <v>29752.0</v>
      </c>
    </row>
    <row r="1591" ht="15.75" customHeight="1">
      <c r="A1591" s="9" t="s">
        <v>3343</v>
      </c>
      <c r="B1591" s="17">
        <v>1993.0</v>
      </c>
      <c r="C1591" s="9" t="s">
        <v>4735</v>
      </c>
      <c r="D1591" s="9">
        <v>3.0</v>
      </c>
      <c r="E1591" s="18">
        <f t="shared" si="1"/>
        <v>34276</v>
      </c>
      <c r="F1591" s="9">
        <v>4.0</v>
      </c>
      <c r="G1591" s="19">
        <v>5708.87</v>
      </c>
      <c r="H1591" s="9" t="s">
        <v>4723</v>
      </c>
      <c r="I1591" s="9" t="s">
        <v>4718</v>
      </c>
      <c r="J1591" s="9" t="s">
        <v>4719</v>
      </c>
      <c r="K1591" s="20">
        <f t="shared" si="2"/>
        <v>1993</v>
      </c>
      <c r="L1591" s="9" t="str">
        <f t="shared" si="3"/>
        <v>tier - 2</v>
      </c>
      <c r="M1591" s="9" t="str">
        <f t="shared" si="4"/>
        <v>tier - 1</v>
      </c>
      <c r="N1591" s="9" t="str">
        <f t="shared" si="5"/>
        <v>R1011</v>
      </c>
      <c r="O1591" s="17">
        <f t="shared" si="6"/>
        <v>29</v>
      </c>
      <c r="P1591" s="18">
        <v>34276.0</v>
      </c>
    </row>
    <row r="1592" ht="15.75" customHeight="1">
      <c r="A1592" s="9" t="s">
        <v>3341</v>
      </c>
      <c r="B1592" s="17">
        <v>1981.0</v>
      </c>
      <c r="C1592" s="9" t="s">
        <v>4716</v>
      </c>
      <c r="D1592" s="9">
        <v>30.0</v>
      </c>
      <c r="E1592" s="18">
        <f t="shared" si="1"/>
        <v>29828</v>
      </c>
      <c r="F1592" s="9">
        <v>0.0</v>
      </c>
      <c r="G1592" s="19">
        <v>5709.16</v>
      </c>
      <c r="H1592" s="9" t="s">
        <v>4717</v>
      </c>
      <c r="I1592" s="9" t="s">
        <v>4717</v>
      </c>
      <c r="J1592" s="9" t="s">
        <v>4743</v>
      </c>
      <c r="K1592" s="20">
        <f t="shared" si="2"/>
        <v>1981</v>
      </c>
      <c r="L1592" s="9" t="str">
        <f t="shared" si="3"/>
        <v>tier - 3</v>
      </c>
      <c r="M1592" s="9" t="str">
        <f t="shared" si="4"/>
        <v>tier - 3</v>
      </c>
      <c r="N1592" s="9" t="str">
        <f t="shared" si="5"/>
        <v>R1013</v>
      </c>
      <c r="O1592" s="17">
        <f t="shared" si="6"/>
        <v>41</v>
      </c>
      <c r="P1592" s="18">
        <v>29828.0</v>
      </c>
    </row>
    <row r="1593" ht="15.75" customHeight="1">
      <c r="A1593" s="9" t="s">
        <v>335</v>
      </c>
      <c r="B1593" s="17">
        <v>1975.0</v>
      </c>
      <c r="C1593" s="9" t="s">
        <v>4735</v>
      </c>
      <c r="D1593" s="9">
        <v>9.0</v>
      </c>
      <c r="E1593" s="18">
        <f t="shared" si="1"/>
        <v>27707</v>
      </c>
      <c r="F1593" s="9">
        <v>1.0</v>
      </c>
      <c r="G1593" s="19">
        <v>37272.34</v>
      </c>
      <c r="H1593" s="9" t="s">
        <v>4723</v>
      </c>
      <c r="I1593" s="9" t="s">
        <v>4717</v>
      </c>
      <c r="J1593" s="9" t="s">
        <v>4719</v>
      </c>
      <c r="K1593" s="20">
        <f t="shared" si="2"/>
        <v>1975</v>
      </c>
      <c r="L1593" s="9" t="str">
        <f t="shared" si="3"/>
        <v>tier - 2</v>
      </c>
      <c r="M1593" s="9" t="str">
        <f t="shared" si="4"/>
        <v>tier - 3</v>
      </c>
      <c r="N1593" s="9" t="str">
        <f t="shared" si="5"/>
        <v>R1011</v>
      </c>
      <c r="O1593" s="17">
        <f t="shared" si="6"/>
        <v>47</v>
      </c>
      <c r="P1593" s="18">
        <v>27707.0</v>
      </c>
    </row>
    <row r="1594" ht="15.75" customHeight="1">
      <c r="A1594" s="9" t="s">
        <v>3339</v>
      </c>
      <c r="B1594" s="17">
        <v>1971.0</v>
      </c>
      <c r="C1594" s="9" t="s">
        <v>4725</v>
      </c>
      <c r="D1594" s="9">
        <v>18.0</v>
      </c>
      <c r="E1594" s="18">
        <f t="shared" si="1"/>
        <v>26285</v>
      </c>
      <c r="F1594" s="9">
        <v>0.0</v>
      </c>
      <c r="G1594" s="19">
        <v>5720.38</v>
      </c>
      <c r="H1594" s="9" t="s">
        <v>4723</v>
      </c>
      <c r="I1594" s="9" t="s">
        <v>4718</v>
      </c>
      <c r="J1594" s="9" t="s">
        <v>4743</v>
      </c>
      <c r="K1594" s="20">
        <f t="shared" si="2"/>
        <v>1971</v>
      </c>
      <c r="L1594" s="9" t="str">
        <f t="shared" si="3"/>
        <v>tier - 2</v>
      </c>
      <c r="M1594" s="9" t="str">
        <f t="shared" si="4"/>
        <v>tier - 1</v>
      </c>
      <c r="N1594" s="9" t="str">
        <f t="shared" si="5"/>
        <v>R1013</v>
      </c>
      <c r="O1594" s="17">
        <f t="shared" si="6"/>
        <v>51</v>
      </c>
      <c r="P1594" s="18">
        <v>26285.0</v>
      </c>
    </row>
    <row r="1595" ht="15.75" customHeight="1">
      <c r="A1595" s="9" t="s">
        <v>3337</v>
      </c>
      <c r="B1595" s="17">
        <v>1987.0</v>
      </c>
      <c r="C1595" s="9" t="s">
        <v>4720</v>
      </c>
      <c r="D1595" s="9">
        <v>19.0</v>
      </c>
      <c r="E1595" s="18">
        <f t="shared" si="1"/>
        <v>32069</v>
      </c>
      <c r="F1595" s="9">
        <v>2.0</v>
      </c>
      <c r="G1595" s="19">
        <v>5729.01</v>
      </c>
      <c r="H1595" s="9" t="s">
        <v>4718</v>
      </c>
      <c r="I1595" s="9" t="s">
        <v>4723</v>
      </c>
      <c r="J1595" s="9" t="s">
        <v>4733</v>
      </c>
      <c r="K1595" s="20">
        <f t="shared" si="2"/>
        <v>1987</v>
      </c>
      <c r="L1595" s="9" t="str">
        <f t="shared" si="3"/>
        <v>tier - 1</v>
      </c>
      <c r="M1595" s="9" t="str">
        <f t="shared" si="4"/>
        <v>tier - 2</v>
      </c>
      <c r="N1595" s="9" t="str">
        <f t="shared" si="5"/>
        <v>R1012</v>
      </c>
      <c r="O1595" s="17">
        <f t="shared" si="6"/>
        <v>35</v>
      </c>
      <c r="P1595" s="18">
        <v>32069.0</v>
      </c>
    </row>
    <row r="1596" ht="15.75" customHeight="1">
      <c r="A1596" s="9" t="s">
        <v>3335</v>
      </c>
      <c r="B1596" s="17">
        <v>1972.0</v>
      </c>
      <c r="C1596" s="9" t="s">
        <v>4716</v>
      </c>
      <c r="D1596" s="9">
        <v>21.0</v>
      </c>
      <c r="E1596" s="18">
        <f t="shared" si="1"/>
        <v>26532</v>
      </c>
      <c r="F1596" s="9">
        <v>0.0</v>
      </c>
      <c r="G1596" s="19">
        <v>5741.67</v>
      </c>
      <c r="H1596" s="9" t="s">
        <v>4723</v>
      </c>
      <c r="I1596" s="9" t="s">
        <v>4717</v>
      </c>
      <c r="J1596" s="9" t="s">
        <v>4743</v>
      </c>
      <c r="K1596" s="20">
        <f t="shared" si="2"/>
        <v>1972</v>
      </c>
      <c r="L1596" s="9" t="str">
        <f t="shared" si="3"/>
        <v>tier - 2</v>
      </c>
      <c r="M1596" s="9" t="str">
        <f t="shared" si="4"/>
        <v>tier - 3</v>
      </c>
      <c r="N1596" s="9" t="str">
        <f t="shared" si="5"/>
        <v>R1013</v>
      </c>
      <c r="O1596" s="17">
        <f t="shared" si="6"/>
        <v>50</v>
      </c>
      <c r="P1596" s="18">
        <v>26532.0</v>
      </c>
    </row>
    <row r="1597" ht="15.75" customHeight="1">
      <c r="A1597" s="9" t="s">
        <v>3333</v>
      </c>
      <c r="B1597" s="17">
        <v>1993.0</v>
      </c>
      <c r="C1597" s="9" t="s">
        <v>4730</v>
      </c>
      <c r="D1597" s="9">
        <v>10.0</v>
      </c>
      <c r="E1597" s="18">
        <f t="shared" si="1"/>
        <v>34130</v>
      </c>
      <c r="F1597" s="9">
        <v>0.0</v>
      </c>
      <c r="G1597" s="19">
        <v>5748.13</v>
      </c>
      <c r="H1597" s="9" t="s">
        <v>4723</v>
      </c>
      <c r="I1597" s="9" t="s">
        <v>4718</v>
      </c>
      <c r="J1597" s="9" t="s">
        <v>4751</v>
      </c>
      <c r="K1597" s="20">
        <f t="shared" si="2"/>
        <v>1993</v>
      </c>
      <c r="L1597" s="9" t="str">
        <f t="shared" si="3"/>
        <v>tier - 2</v>
      </c>
      <c r="M1597" s="9" t="str">
        <f t="shared" si="4"/>
        <v>tier - 1</v>
      </c>
      <c r="N1597" s="9" t="str">
        <f t="shared" si="5"/>
        <v>R1021</v>
      </c>
      <c r="O1597" s="17">
        <f t="shared" si="6"/>
        <v>29</v>
      </c>
      <c r="P1597" s="18">
        <v>34130.0</v>
      </c>
    </row>
    <row r="1598" ht="15.75" customHeight="1">
      <c r="A1598" s="9" t="s">
        <v>3331</v>
      </c>
      <c r="B1598" s="17">
        <v>1983.0</v>
      </c>
      <c r="C1598" s="9" t="s">
        <v>4716</v>
      </c>
      <c r="D1598" s="9">
        <v>30.0</v>
      </c>
      <c r="E1598" s="18">
        <f t="shared" si="1"/>
        <v>30558</v>
      </c>
      <c r="F1598" s="9">
        <v>0.0</v>
      </c>
      <c r="G1598" s="19">
        <v>5757.41</v>
      </c>
      <c r="H1598" s="9" t="s">
        <v>4723</v>
      </c>
      <c r="I1598" s="9" t="s">
        <v>4717</v>
      </c>
      <c r="J1598" s="9" t="s">
        <v>4728</v>
      </c>
      <c r="K1598" s="20">
        <f t="shared" si="2"/>
        <v>1983</v>
      </c>
      <c r="L1598" s="9" t="str">
        <f t="shared" si="3"/>
        <v>tier - 2</v>
      </c>
      <c r="M1598" s="9" t="str">
        <f t="shared" si="4"/>
        <v>tier - 3</v>
      </c>
      <c r="N1598" s="9" t="str">
        <f t="shared" si="5"/>
        <v>R1019</v>
      </c>
      <c r="O1598" s="17">
        <f t="shared" si="6"/>
        <v>39</v>
      </c>
      <c r="P1598" s="18">
        <v>30558.0</v>
      </c>
    </row>
    <row r="1599" ht="15.75" customHeight="1">
      <c r="A1599" s="9" t="s">
        <v>3329</v>
      </c>
      <c r="B1599" s="17">
        <v>2004.0</v>
      </c>
      <c r="C1599" s="9" t="s">
        <v>4735</v>
      </c>
      <c r="D1599" s="9">
        <v>1.0</v>
      </c>
      <c r="E1599" s="18">
        <f t="shared" si="1"/>
        <v>38292</v>
      </c>
      <c r="F1599" s="9">
        <v>0.0</v>
      </c>
      <c r="G1599" s="19">
        <v>5778.71</v>
      </c>
      <c r="H1599" s="9" t="s">
        <v>4723</v>
      </c>
      <c r="I1599" s="9" t="s">
        <v>4717</v>
      </c>
      <c r="J1599" s="9" t="s">
        <v>4736</v>
      </c>
      <c r="K1599" s="20">
        <f t="shared" si="2"/>
        <v>2004</v>
      </c>
      <c r="L1599" s="9" t="str">
        <f t="shared" si="3"/>
        <v>tier - 2</v>
      </c>
      <c r="M1599" s="9" t="str">
        <f t="shared" si="4"/>
        <v>tier - 3</v>
      </c>
      <c r="N1599" s="9" t="str">
        <f t="shared" si="5"/>
        <v>R1022</v>
      </c>
      <c r="O1599" s="17">
        <f t="shared" si="6"/>
        <v>18</v>
      </c>
      <c r="P1599" s="18">
        <v>38292.0</v>
      </c>
    </row>
    <row r="1600" ht="15.75" customHeight="1">
      <c r="A1600" s="9" t="s">
        <v>3327</v>
      </c>
      <c r="B1600" s="17">
        <v>1980.0</v>
      </c>
      <c r="C1600" s="9" t="s">
        <v>4738</v>
      </c>
      <c r="D1600" s="9">
        <v>18.0</v>
      </c>
      <c r="E1600" s="18">
        <f t="shared" si="1"/>
        <v>29482</v>
      </c>
      <c r="F1600" s="9">
        <v>2.0</v>
      </c>
      <c r="G1600" s="19">
        <v>5807.06</v>
      </c>
      <c r="H1600" s="9" t="s">
        <v>4723</v>
      </c>
      <c r="I1600" s="9" t="s">
        <v>4717</v>
      </c>
      <c r="J1600" s="9" t="s">
        <v>4743</v>
      </c>
      <c r="K1600" s="20">
        <f t="shared" si="2"/>
        <v>1980</v>
      </c>
      <c r="L1600" s="9" t="str">
        <f t="shared" si="3"/>
        <v>tier - 2</v>
      </c>
      <c r="M1600" s="9" t="str">
        <f t="shared" si="4"/>
        <v>tier - 3</v>
      </c>
      <c r="N1600" s="9" t="str">
        <f t="shared" si="5"/>
        <v>R1013</v>
      </c>
      <c r="O1600" s="17">
        <f t="shared" si="6"/>
        <v>42</v>
      </c>
      <c r="P1600" s="18">
        <v>29482.0</v>
      </c>
    </row>
    <row r="1601" ht="15.75" customHeight="1">
      <c r="A1601" s="9" t="s">
        <v>3325</v>
      </c>
      <c r="B1601" s="17">
        <v>1972.0</v>
      </c>
      <c r="C1601" s="9" t="s">
        <v>4735</v>
      </c>
      <c r="D1601" s="9">
        <v>2.0</v>
      </c>
      <c r="E1601" s="18">
        <f t="shared" si="1"/>
        <v>26605</v>
      </c>
      <c r="F1601" s="9">
        <v>0.0</v>
      </c>
      <c r="G1601" s="19">
        <v>5812.9</v>
      </c>
      <c r="H1601" s="9" t="s">
        <v>4723</v>
      </c>
      <c r="I1601" s="9" t="s">
        <v>4723</v>
      </c>
      <c r="J1601" s="9" t="s">
        <v>4743</v>
      </c>
      <c r="K1601" s="20">
        <f t="shared" si="2"/>
        <v>1972</v>
      </c>
      <c r="L1601" s="9" t="str">
        <f t="shared" si="3"/>
        <v>tier - 2</v>
      </c>
      <c r="M1601" s="9" t="str">
        <f t="shared" si="4"/>
        <v>tier - 2</v>
      </c>
      <c r="N1601" s="9" t="str">
        <f t="shared" si="5"/>
        <v>R1013</v>
      </c>
      <c r="O1601" s="17">
        <f t="shared" si="6"/>
        <v>50</v>
      </c>
      <c r="P1601" s="18">
        <v>26605.0</v>
      </c>
    </row>
    <row r="1602" ht="15.75" customHeight="1">
      <c r="A1602" s="9" t="s">
        <v>3323</v>
      </c>
      <c r="B1602" s="17">
        <v>2002.0</v>
      </c>
      <c r="C1602" s="9" t="s">
        <v>4741</v>
      </c>
      <c r="D1602" s="9">
        <v>22.0</v>
      </c>
      <c r="E1602" s="18">
        <f t="shared" si="1"/>
        <v>37459</v>
      </c>
      <c r="F1602" s="9">
        <v>0.0</v>
      </c>
      <c r="G1602" s="19">
        <v>5816.58</v>
      </c>
      <c r="H1602" s="9" t="s">
        <v>4723</v>
      </c>
      <c r="I1602" s="9" t="s">
        <v>4723</v>
      </c>
      <c r="J1602" s="9" t="s">
        <v>4721</v>
      </c>
      <c r="K1602" s="20">
        <f t="shared" si="2"/>
        <v>2002</v>
      </c>
      <c r="L1602" s="9" t="str">
        <f t="shared" si="3"/>
        <v>tier - 2</v>
      </c>
      <c r="M1602" s="9" t="str">
        <f t="shared" si="4"/>
        <v>tier - 2</v>
      </c>
      <c r="N1602" s="9" t="str">
        <f t="shared" si="5"/>
        <v>R1026</v>
      </c>
      <c r="O1602" s="17">
        <f t="shared" si="6"/>
        <v>20</v>
      </c>
      <c r="P1602" s="18">
        <v>37459.0</v>
      </c>
    </row>
    <row r="1603" ht="15.75" customHeight="1">
      <c r="A1603" s="9" t="s">
        <v>3321</v>
      </c>
      <c r="B1603" s="17">
        <v>1971.0</v>
      </c>
      <c r="C1603" s="9" t="s">
        <v>4738</v>
      </c>
      <c r="D1603" s="9">
        <v>27.0</v>
      </c>
      <c r="E1603" s="18">
        <f t="shared" si="1"/>
        <v>26203</v>
      </c>
      <c r="F1603" s="9">
        <v>0.0</v>
      </c>
      <c r="G1603" s="19">
        <v>5832.6</v>
      </c>
      <c r="H1603" s="9" t="s">
        <v>4723</v>
      </c>
      <c r="I1603" s="9" t="s">
        <v>4717</v>
      </c>
      <c r="J1603" s="9" t="s">
        <v>4733</v>
      </c>
      <c r="K1603" s="20">
        <f t="shared" si="2"/>
        <v>1971</v>
      </c>
      <c r="L1603" s="9" t="str">
        <f t="shared" si="3"/>
        <v>tier - 2</v>
      </c>
      <c r="M1603" s="9" t="str">
        <f t="shared" si="4"/>
        <v>tier - 3</v>
      </c>
      <c r="N1603" s="9" t="str">
        <f t="shared" si="5"/>
        <v>R1012</v>
      </c>
      <c r="O1603" s="17">
        <f t="shared" si="6"/>
        <v>51</v>
      </c>
      <c r="P1603" s="18">
        <v>26203.0</v>
      </c>
    </row>
    <row r="1604" ht="15.75" customHeight="1">
      <c r="A1604" s="9" t="s">
        <v>333</v>
      </c>
      <c r="B1604" s="17">
        <v>1969.0</v>
      </c>
      <c r="C1604" s="9" t="s">
        <v>4720</v>
      </c>
      <c r="D1604" s="9">
        <v>30.0</v>
      </c>
      <c r="E1604" s="18">
        <f t="shared" si="1"/>
        <v>25506</v>
      </c>
      <c r="F1604" s="9">
        <v>0.0</v>
      </c>
      <c r="G1604" s="19">
        <v>37277.27</v>
      </c>
      <c r="H1604" s="9" t="s">
        <v>4718</v>
      </c>
      <c r="I1604" s="9" t="s">
        <v>4717</v>
      </c>
      <c r="J1604" s="9" t="s">
        <v>4719</v>
      </c>
      <c r="K1604" s="20">
        <f t="shared" si="2"/>
        <v>1969</v>
      </c>
      <c r="L1604" s="9" t="str">
        <f t="shared" si="3"/>
        <v>tier - 1</v>
      </c>
      <c r="M1604" s="9" t="str">
        <f t="shared" si="4"/>
        <v>tier - 3</v>
      </c>
      <c r="N1604" s="9" t="str">
        <f t="shared" si="5"/>
        <v>R1011</v>
      </c>
      <c r="O1604" s="17">
        <f t="shared" si="6"/>
        <v>53</v>
      </c>
      <c r="P1604" s="18">
        <v>25506.0</v>
      </c>
    </row>
    <row r="1605" ht="15.75" customHeight="1">
      <c r="A1605" s="9" t="s">
        <v>3319</v>
      </c>
      <c r="B1605" s="17">
        <v>1987.0</v>
      </c>
      <c r="C1605" s="9" t="s">
        <v>4741</v>
      </c>
      <c r="D1605" s="9">
        <v>27.0</v>
      </c>
      <c r="E1605" s="18">
        <f t="shared" si="1"/>
        <v>31985</v>
      </c>
      <c r="F1605" s="9">
        <v>2.0</v>
      </c>
      <c r="G1605" s="19">
        <v>5836.52</v>
      </c>
      <c r="H1605" s="9" t="s">
        <v>4723</v>
      </c>
      <c r="I1605" s="9" t="s">
        <v>4717</v>
      </c>
      <c r="J1605" s="9" t="s">
        <v>4743</v>
      </c>
      <c r="K1605" s="20">
        <f t="shared" si="2"/>
        <v>1987</v>
      </c>
      <c r="L1605" s="9" t="str">
        <f t="shared" si="3"/>
        <v>tier - 2</v>
      </c>
      <c r="M1605" s="9" t="str">
        <f t="shared" si="4"/>
        <v>tier - 3</v>
      </c>
      <c r="N1605" s="9" t="str">
        <f t="shared" si="5"/>
        <v>R1013</v>
      </c>
      <c r="O1605" s="17">
        <f t="shared" si="6"/>
        <v>35</v>
      </c>
      <c r="P1605" s="18">
        <v>31985.0</v>
      </c>
    </row>
    <row r="1606" ht="15.75" customHeight="1">
      <c r="A1606" s="9" t="s">
        <v>3317</v>
      </c>
      <c r="B1606" s="17">
        <v>1995.0</v>
      </c>
      <c r="C1606" s="9" t="s">
        <v>4716</v>
      </c>
      <c r="D1606" s="9">
        <v>20.0</v>
      </c>
      <c r="E1606" s="18">
        <f t="shared" si="1"/>
        <v>34931</v>
      </c>
      <c r="F1606" s="9">
        <v>0.0</v>
      </c>
      <c r="G1606" s="19">
        <v>5843.99</v>
      </c>
      <c r="H1606" s="9" t="s">
        <v>4723</v>
      </c>
      <c r="I1606" s="9" t="s">
        <v>4723</v>
      </c>
      <c r="J1606" s="9" t="s">
        <v>4726</v>
      </c>
      <c r="K1606" s="20">
        <f t="shared" si="2"/>
        <v>1995</v>
      </c>
      <c r="L1606" s="9" t="str">
        <f t="shared" si="3"/>
        <v>tier - 2</v>
      </c>
      <c r="M1606" s="9" t="str">
        <f t="shared" si="4"/>
        <v>tier - 2</v>
      </c>
      <c r="N1606" s="9" t="str">
        <f t="shared" si="5"/>
        <v>R1025</v>
      </c>
      <c r="O1606" s="17">
        <f t="shared" si="6"/>
        <v>27</v>
      </c>
      <c r="P1606" s="18">
        <v>34931.0</v>
      </c>
    </row>
    <row r="1607" ht="15.75" customHeight="1">
      <c r="A1607" s="9" t="s">
        <v>3315</v>
      </c>
      <c r="B1607" s="17">
        <v>1987.0</v>
      </c>
      <c r="C1607" s="9" t="s">
        <v>4738</v>
      </c>
      <c r="D1607" s="9">
        <v>30.0</v>
      </c>
      <c r="E1607" s="18">
        <f t="shared" si="1"/>
        <v>32050</v>
      </c>
      <c r="F1607" s="9">
        <v>2.0</v>
      </c>
      <c r="G1607" s="19">
        <v>5846.92</v>
      </c>
      <c r="H1607" s="9" t="s">
        <v>4723</v>
      </c>
      <c r="I1607" s="9" t="s">
        <v>4723</v>
      </c>
      <c r="J1607" s="9" t="s">
        <v>4743</v>
      </c>
      <c r="K1607" s="20">
        <f t="shared" si="2"/>
        <v>1987</v>
      </c>
      <c r="L1607" s="9" t="str">
        <f t="shared" si="3"/>
        <v>tier - 2</v>
      </c>
      <c r="M1607" s="9" t="str">
        <f t="shared" si="4"/>
        <v>tier - 2</v>
      </c>
      <c r="N1607" s="9" t="str">
        <f t="shared" si="5"/>
        <v>R1013</v>
      </c>
      <c r="O1607" s="17">
        <f t="shared" si="6"/>
        <v>35</v>
      </c>
      <c r="P1607" s="18">
        <v>32050.0</v>
      </c>
    </row>
    <row r="1608" ht="15.75" customHeight="1">
      <c r="A1608" s="9" t="s">
        <v>3313</v>
      </c>
      <c r="B1608" s="17">
        <v>1985.0</v>
      </c>
      <c r="C1608" s="9" t="s">
        <v>4730</v>
      </c>
      <c r="D1608" s="9">
        <v>18.0</v>
      </c>
      <c r="E1608" s="18">
        <f t="shared" si="1"/>
        <v>31216</v>
      </c>
      <c r="F1608" s="9">
        <v>3.0</v>
      </c>
      <c r="G1608" s="19">
        <v>5847.24</v>
      </c>
      <c r="H1608" s="9" t="s">
        <v>4723</v>
      </c>
      <c r="I1608" s="9" t="s">
        <v>4718</v>
      </c>
      <c r="J1608" s="9" t="s">
        <v>4743</v>
      </c>
      <c r="K1608" s="20">
        <f t="shared" si="2"/>
        <v>1985</v>
      </c>
      <c r="L1608" s="9" t="str">
        <f t="shared" si="3"/>
        <v>tier - 2</v>
      </c>
      <c r="M1608" s="9" t="str">
        <f t="shared" si="4"/>
        <v>tier - 1</v>
      </c>
      <c r="N1608" s="9" t="str">
        <f t="shared" si="5"/>
        <v>R1013</v>
      </c>
      <c r="O1608" s="17">
        <f t="shared" si="6"/>
        <v>37</v>
      </c>
      <c r="P1608" s="18">
        <v>31216.0</v>
      </c>
    </row>
    <row r="1609" ht="15.75" customHeight="1">
      <c r="A1609" s="9" t="s">
        <v>3311</v>
      </c>
      <c r="B1609" s="17">
        <v>1984.0</v>
      </c>
      <c r="C1609" s="9" t="s">
        <v>4735</v>
      </c>
      <c r="D1609" s="9">
        <v>22.0</v>
      </c>
      <c r="E1609" s="18">
        <f t="shared" si="1"/>
        <v>31008</v>
      </c>
      <c r="F1609" s="9">
        <v>1.0</v>
      </c>
      <c r="G1609" s="19">
        <v>5855.9</v>
      </c>
      <c r="H1609" s="9" t="s">
        <v>4723</v>
      </c>
      <c r="I1609" s="9" t="s">
        <v>4717</v>
      </c>
      <c r="J1609" s="9" t="s">
        <v>4733</v>
      </c>
      <c r="K1609" s="20">
        <f t="shared" si="2"/>
        <v>1984</v>
      </c>
      <c r="L1609" s="9" t="str">
        <f t="shared" si="3"/>
        <v>tier - 2</v>
      </c>
      <c r="M1609" s="9" t="str">
        <f t="shared" si="4"/>
        <v>tier - 3</v>
      </c>
      <c r="N1609" s="9" t="str">
        <f t="shared" si="5"/>
        <v>R1012</v>
      </c>
      <c r="O1609" s="17">
        <f t="shared" si="6"/>
        <v>38</v>
      </c>
      <c r="P1609" s="18">
        <v>31008.0</v>
      </c>
    </row>
    <row r="1610" ht="15.75" customHeight="1">
      <c r="A1610" s="9" t="s">
        <v>3309</v>
      </c>
      <c r="B1610" s="17">
        <v>1993.0</v>
      </c>
      <c r="C1610" s="9" t="s">
        <v>4720</v>
      </c>
      <c r="D1610" s="9">
        <v>19.0</v>
      </c>
      <c r="E1610" s="18">
        <f t="shared" si="1"/>
        <v>34261</v>
      </c>
      <c r="F1610" s="9">
        <v>0.0</v>
      </c>
      <c r="G1610" s="19">
        <v>5877.02</v>
      </c>
      <c r="H1610" s="9" t="s">
        <v>4723</v>
      </c>
      <c r="I1610" s="9" t="s">
        <v>4723</v>
      </c>
      <c r="J1610" s="9" t="s">
        <v>4751</v>
      </c>
      <c r="K1610" s="20">
        <f t="shared" si="2"/>
        <v>1993</v>
      </c>
      <c r="L1610" s="9" t="str">
        <f t="shared" si="3"/>
        <v>tier - 2</v>
      </c>
      <c r="M1610" s="9" t="str">
        <f t="shared" si="4"/>
        <v>tier - 2</v>
      </c>
      <c r="N1610" s="9" t="str">
        <f t="shared" si="5"/>
        <v>R1021</v>
      </c>
      <c r="O1610" s="17">
        <f t="shared" si="6"/>
        <v>29</v>
      </c>
      <c r="P1610" s="18">
        <v>34261.0</v>
      </c>
    </row>
    <row r="1611" ht="15.75" customHeight="1">
      <c r="A1611" s="9" t="s">
        <v>3307</v>
      </c>
      <c r="B1611" s="17">
        <v>1982.0</v>
      </c>
      <c r="C1611" s="9" t="s">
        <v>4741</v>
      </c>
      <c r="D1611" s="9">
        <v>8.0</v>
      </c>
      <c r="E1611" s="18">
        <f t="shared" si="1"/>
        <v>30140</v>
      </c>
      <c r="F1611" s="9">
        <v>0.0</v>
      </c>
      <c r="G1611" s="19">
        <v>5910.94</v>
      </c>
      <c r="H1611" s="9" t="s">
        <v>4723</v>
      </c>
      <c r="I1611" s="9" t="s">
        <v>4718</v>
      </c>
      <c r="J1611" s="9" t="s">
        <v>4719</v>
      </c>
      <c r="K1611" s="20">
        <f t="shared" si="2"/>
        <v>1982</v>
      </c>
      <c r="L1611" s="9" t="str">
        <f t="shared" si="3"/>
        <v>tier - 2</v>
      </c>
      <c r="M1611" s="9" t="str">
        <f t="shared" si="4"/>
        <v>tier - 1</v>
      </c>
      <c r="N1611" s="9" t="str">
        <f t="shared" si="5"/>
        <v>R1011</v>
      </c>
      <c r="O1611" s="17">
        <f t="shared" si="6"/>
        <v>40</v>
      </c>
      <c r="P1611" s="18">
        <v>30140.0</v>
      </c>
    </row>
    <row r="1612" ht="15.75" customHeight="1">
      <c r="A1612" s="9" t="s">
        <v>3305</v>
      </c>
      <c r="B1612" s="17">
        <v>1982.0</v>
      </c>
      <c r="C1612" s="9" t="s">
        <v>4725</v>
      </c>
      <c r="D1612" s="9">
        <v>21.0</v>
      </c>
      <c r="E1612" s="18">
        <f t="shared" si="1"/>
        <v>30306</v>
      </c>
      <c r="F1612" s="9">
        <v>0.0</v>
      </c>
      <c r="G1612" s="19">
        <v>5920.1</v>
      </c>
      <c r="H1612" s="9" t="s">
        <v>4723</v>
      </c>
      <c r="I1612" s="9" t="s">
        <v>4718</v>
      </c>
      <c r="J1612" s="9" t="s">
        <v>4743</v>
      </c>
      <c r="K1612" s="20">
        <f t="shared" si="2"/>
        <v>1982</v>
      </c>
      <c r="L1612" s="9" t="str">
        <f t="shared" si="3"/>
        <v>tier - 2</v>
      </c>
      <c r="M1612" s="9" t="str">
        <f t="shared" si="4"/>
        <v>tier - 1</v>
      </c>
      <c r="N1612" s="9" t="str">
        <f t="shared" si="5"/>
        <v>R1013</v>
      </c>
      <c r="O1612" s="17">
        <f t="shared" si="6"/>
        <v>40</v>
      </c>
      <c r="P1612" s="18">
        <v>30306.0</v>
      </c>
    </row>
    <row r="1613" ht="15.75" customHeight="1">
      <c r="A1613" s="9" t="s">
        <v>3303</v>
      </c>
      <c r="B1613" s="17">
        <v>1987.0</v>
      </c>
      <c r="C1613" s="9" t="s">
        <v>4741</v>
      </c>
      <c r="D1613" s="9">
        <v>29.0</v>
      </c>
      <c r="E1613" s="18">
        <f t="shared" si="1"/>
        <v>31987</v>
      </c>
      <c r="F1613" s="9">
        <v>3.0</v>
      </c>
      <c r="G1613" s="19">
        <v>5926.85</v>
      </c>
      <c r="H1613" s="9" t="s">
        <v>4717</v>
      </c>
      <c r="I1613" s="9" t="s">
        <v>4717</v>
      </c>
      <c r="J1613" s="9" t="s">
        <v>4719</v>
      </c>
      <c r="K1613" s="20">
        <f t="shared" si="2"/>
        <v>1987</v>
      </c>
      <c r="L1613" s="9" t="str">
        <f t="shared" si="3"/>
        <v>tier - 3</v>
      </c>
      <c r="M1613" s="9" t="str">
        <f t="shared" si="4"/>
        <v>tier - 3</v>
      </c>
      <c r="N1613" s="9" t="str">
        <f t="shared" si="5"/>
        <v>R1011</v>
      </c>
      <c r="O1613" s="17">
        <f t="shared" si="6"/>
        <v>35</v>
      </c>
      <c r="P1613" s="18">
        <v>31987.0</v>
      </c>
    </row>
    <row r="1614" ht="15.75" customHeight="1">
      <c r="A1614" s="9" t="s">
        <v>3301</v>
      </c>
      <c r="B1614" s="17">
        <v>1993.0</v>
      </c>
      <c r="C1614" s="9" t="s">
        <v>4716</v>
      </c>
      <c r="D1614" s="9">
        <v>13.0</v>
      </c>
      <c r="E1614" s="18">
        <f t="shared" si="1"/>
        <v>34194</v>
      </c>
      <c r="F1614" s="9">
        <v>0.0</v>
      </c>
      <c r="G1614" s="19">
        <v>5926.93</v>
      </c>
      <c r="H1614" s="9" t="s">
        <v>4723</v>
      </c>
      <c r="I1614" s="9" t="s">
        <v>4723</v>
      </c>
      <c r="J1614" s="9" t="s">
        <v>4726</v>
      </c>
      <c r="K1614" s="20">
        <f t="shared" si="2"/>
        <v>1993</v>
      </c>
      <c r="L1614" s="9" t="str">
        <f t="shared" si="3"/>
        <v>tier - 2</v>
      </c>
      <c r="M1614" s="9" t="str">
        <f t="shared" si="4"/>
        <v>tier - 2</v>
      </c>
      <c r="N1614" s="9" t="str">
        <f t="shared" si="5"/>
        <v>R1025</v>
      </c>
      <c r="O1614" s="17">
        <f t="shared" si="6"/>
        <v>29</v>
      </c>
      <c r="P1614" s="18">
        <v>34194.0</v>
      </c>
    </row>
    <row r="1615" ht="15.75" customHeight="1">
      <c r="A1615" s="9" t="s">
        <v>331</v>
      </c>
      <c r="B1615" s="17">
        <v>1979.0</v>
      </c>
      <c r="C1615" s="9" t="s">
        <v>4716</v>
      </c>
      <c r="D1615" s="9">
        <v>3.0</v>
      </c>
      <c r="E1615" s="18">
        <f t="shared" si="1"/>
        <v>29070</v>
      </c>
      <c r="F1615" s="9">
        <v>2.0</v>
      </c>
      <c r="G1615" s="19">
        <v>37425.94</v>
      </c>
      <c r="H1615" s="9" t="s">
        <v>4723</v>
      </c>
      <c r="I1615" s="9" t="s">
        <v>4718</v>
      </c>
      <c r="J1615" s="9" t="s">
        <v>4719</v>
      </c>
      <c r="K1615" s="20">
        <f t="shared" si="2"/>
        <v>1979</v>
      </c>
      <c r="L1615" s="9" t="str">
        <f t="shared" si="3"/>
        <v>tier - 2</v>
      </c>
      <c r="M1615" s="9" t="str">
        <f t="shared" si="4"/>
        <v>tier - 1</v>
      </c>
      <c r="N1615" s="9" t="str">
        <f t="shared" si="5"/>
        <v>R1011</v>
      </c>
      <c r="O1615" s="17">
        <f t="shared" si="6"/>
        <v>43</v>
      </c>
      <c r="P1615" s="18">
        <v>29070.0</v>
      </c>
    </row>
    <row r="1616" ht="15.75" customHeight="1">
      <c r="A1616" s="9" t="s">
        <v>3299</v>
      </c>
      <c r="B1616" s="17">
        <v>1994.0</v>
      </c>
      <c r="C1616" s="9" t="s">
        <v>4741</v>
      </c>
      <c r="D1616" s="9">
        <v>30.0</v>
      </c>
      <c r="E1616" s="18">
        <f t="shared" si="1"/>
        <v>34545</v>
      </c>
      <c r="F1616" s="9">
        <v>0.0</v>
      </c>
      <c r="G1616" s="19">
        <v>5927.65</v>
      </c>
      <c r="H1616" s="9" t="s">
        <v>4723</v>
      </c>
      <c r="I1616" s="9" t="s">
        <v>4718</v>
      </c>
      <c r="J1616" s="9" t="s">
        <v>4733</v>
      </c>
      <c r="K1616" s="20">
        <f t="shared" si="2"/>
        <v>1994</v>
      </c>
      <c r="L1616" s="9" t="str">
        <f t="shared" si="3"/>
        <v>tier - 2</v>
      </c>
      <c r="M1616" s="9" t="str">
        <f t="shared" si="4"/>
        <v>tier - 1</v>
      </c>
      <c r="N1616" s="9" t="str">
        <f t="shared" si="5"/>
        <v>R1012</v>
      </c>
      <c r="O1616" s="17">
        <f t="shared" si="6"/>
        <v>28</v>
      </c>
      <c r="P1616" s="18">
        <v>34545.0</v>
      </c>
    </row>
    <row r="1617" ht="15.75" customHeight="1">
      <c r="A1617" s="9" t="s">
        <v>3297</v>
      </c>
      <c r="B1617" s="17">
        <v>1987.0</v>
      </c>
      <c r="C1617" s="9" t="s">
        <v>4741</v>
      </c>
      <c r="D1617" s="9">
        <v>14.0</v>
      </c>
      <c r="E1617" s="18">
        <f t="shared" si="1"/>
        <v>31972</v>
      </c>
      <c r="F1617" s="9">
        <v>3.0</v>
      </c>
      <c r="G1617" s="19">
        <v>5934.38</v>
      </c>
      <c r="H1617" s="9" t="s">
        <v>4717</v>
      </c>
      <c r="I1617" s="9" t="s">
        <v>4723</v>
      </c>
      <c r="J1617" s="9" t="s">
        <v>4743</v>
      </c>
      <c r="K1617" s="20">
        <f t="shared" si="2"/>
        <v>1987</v>
      </c>
      <c r="L1617" s="9" t="str">
        <f t="shared" si="3"/>
        <v>tier - 3</v>
      </c>
      <c r="M1617" s="9" t="str">
        <f t="shared" si="4"/>
        <v>tier - 2</v>
      </c>
      <c r="N1617" s="9" t="str">
        <f t="shared" si="5"/>
        <v>R1013</v>
      </c>
      <c r="O1617" s="17">
        <f t="shared" si="6"/>
        <v>35</v>
      </c>
      <c r="P1617" s="18">
        <v>31972.0</v>
      </c>
    </row>
    <row r="1618" ht="15.75" customHeight="1">
      <c r="A1618" s="9" t="s">
        <v>3295</v>
      </c>
      <c r="B1618" s="17">
        <v>2003.0</v>
      </c>
      <c r="C1618" s="9" t="s">
        <v>4716</v>
      </c>
      <c r="D1618" s="9">
        <v>13.0</v>
      </c>
      <c r="E1618" s="18">
        <f t="shared" si="1"/>
        <v>37846</v>
      </c>
      <c r="F1618" s="9">
        <v>0.0</v>
      </c>
      <c r="G1618" s="19">
        <v>5957.35</v>
      </c>
      <c r="H1618" s="9" t="s">
        <v>4723</v>
      </c>
      <c r="I1618" s="9" t="s">
        <v>4723</v>
      </c>
      <c r="J1618" s="9" t="s">
        <v>4733</v>
      </c>
      <c r="K1618" s="20">
        <f t="shared" si="2"/>
        <v>2003</v>
      </c>
      <c r="L1618" s="9" t="str">
        <f t="shared" si="3"/>
        <v>tier - 2</v>
      </c>
      <c r="M1618" s="9" t="str">
        <f t="shared" si="4"/>
        <v>tier - 2</v>
      </c>
      <c r="N1618" s="9" t="str">
        <f t="shared" si="5"/>
        <v>R1012</v>
      </c>
      <c r="O1618" s="17">
        <f t="shared" si="6"/>
        <v>19</v>
      </c>
      <c r="P1618" s="18">
        <v>37846.0</v>
      </c>
    </row>
    <row r="1619" ht="15.75" customHeight="1">
      <c r="A1619" s="9" t="s">
        <v>3293</v>
      </c>
      <c r="B1619" s="17">
        <v>2004.0</v>
      </c>
      <c r="C1619" s="9" t="s">
        <v>4741</v>
      </c>
      <c r="D1619" s="9">
        <v>15.0</v>
      </c>
      <c r="E1619" s="18">
        <f t="shared" si="1"/>
        <v>38183</v>
      </c>
      <c r="F1619" s="9">
        <v>0.0</v>
      </c>
      <c r="G1619" s="19">
        <v>5960.91</v>
      </c>
      <c r="H1619" s="9" t="s">
        <v>4723</v>
      </c>
      <c r="I1619" s="9" t="s">
        <v>4718</v>
      </c>
      <c r="J1619" s="9" t="s">
        <v>4721</v>
      </c>
      <c r="K1619" s="20">
        <f t="shared" si="2"/>
        <v>2004</v>
      </c>
      <c r="L1619" s="9" t="str">
        <f t="shared" si="3"/>
        <v>tier - 2</v>
      </c>
      <c r="M1619" s="9" t="str">
        <f t="shared" si="4"/>
        <v>tier - 1</v>
      </c>
      <c r="N1619" s="9" t="str">
        <f t="shared" si="5"/>
        <v>R1026</v>
      </c>
      <c r="O1619" s="17">
        <f t="shared" si="6"/>
        <v>18</v>
      </c>
      <c r="P1619" s="18">
        <v>38183.0</v>
      </c>
    </row>
    <row r="1620" ht="15.75" customHeight="1">
      <c r="A1620" s="9" t="s">
        <v>3291</v>
      </c>
      <c r="B1620" s="17">
        <v>1980.0</v>
      </c>
      <c r="C1620" s="9" t="s">
        <v>4716</v>
      </c>
      <c r="D1620" s="9">
        <v>5.0</v>
      </c>
      <c r="E1620" s="18">
        <f t="shared" si="1"/>
        <v>29438</v>
      </c>
      <c r="F1620" s="9">
        <v>0.0</v>
      </c>
      <c r="G1620" s="19">
        <v>5966.89</v>
      </c>
      <c r="H1620" s="9" t="s">
        <v>4723</v>
      </c>
      <c r="I1620" s="9" t="s">
        <v>4717</v>
      </c>
      <c r="J1620" s="9" t="s">
        <v>4743</v>
      </c>
      <c r="K1620" s="20">
        <f t="shared" si="2"/>
        <v>1980</v>
      </c>
      <c r="L1620" s="9" t="str">
        <f t="shared" si="3"/>
        <v>tier - 2</v>
      </c>
      <c r="M1620" s="9" t="str">
        <f t="shared" si="4"/>
        <v>tier - 3</v>
      </c>
      <c r="N1620" s="9" t="str">
        <f t="shared" si="5"/>
        <v>R1013</v>
      </c>
      <c r="O1620" s="17">
        <f t="shared" si="6"/>
        <v>42</v>
      </c>
      <c r="P1620" s="18">
        <v>29438.0</v>
      </c>
    </row>
    <row r="1621" ht="15.75" customHeight="1">
      <c r="A1621" s="9" t="s">
        <v>3289</v>
      </c>
      <c r="B1621" s="17">
        <v>1980.0</v>
      </c>
      <c r="C1621" s="9" t="s">
        <v>4741</v>
      </c>
      <c r="D1621" s="9">
        <v>21.0</v>
      </c>
      <c r="E1621" s="18">
        <f t="shared" si="1"/>
        <v>29423</v>
      </c>
      <c r="F1621" s="9">
        <v>0.0</v>
      </c>
      <c r="G1621" s="19">
        <v>5969.72</v>
      </c>
      <c r="H1621" s="9" t="s">
        <v>4717</v>
      </c>
      <c r="I1621" s="9" t="s">
        <v>4717</v>
      </c>
      <c r="J1621" s="9" t="s">
        <v>4719</v>
      </c>
      <c r="K1621" s="20">
        <f t="shared" si="2"/>
        <v>1980</v>
      </c>
      <c r="L1621" s="9" t="str">
        <f t="shared" si="3"/>
        <v>tier - 3</v>
      </c>
      <c r="M1621" s="9" t="str">
        <f t="shared" si="4"/>
        <v>tier - 3</v>
      </c>
      <c r="N1621" s="9" t="str">
        <f t="shared" si="5"/>
        <v>R1011</v>
      </c>
      <c r="O1621" s="17">
        <f t="shared" si="6"/>
        <v>42</v>
      </c>
      <c r="P1621" s="18">
        <v>29423.0</v>
      </c>
    </row>
    <row r="1622" ht="15.75" customHeight="1">
      <c r="A1622" s="9" t="s">
        <v>3287</v>
      </c>
      <c r="B1622" s="17">
        <v>1989.0</v>
      </c>
      <c r="C1622" s="9" t="s">
        <v>4741</v>
      </c>
      <c r="D1622" s="9">
        <v>22.0</v>
      </c>
      <c r="E1622" s="18">
        <f t="shared" si="1"/>
        <v>32711</v>
      </c>
      <c r="F1622" s="9">
        <v>3.0</v>
      </c>
      <c r="G1622" s="19">
        <v>5972.38</v>
      </c>
      <c r="H1622" s="9" t="s">
        <v>4723</v>
      </c>
      <c r="I1622" s="9" t="s">
        <v>4723</v>
      </c>
      <c r="J1622" s="9" t="s">
        <v>4719</v>
      </c>
      <c r="K1622" s="20">
        <f t="shared" si="2"/>
        <v>1989</v>
      </c>
      <c r="L1622" s="9" t="str">
        <f t="shared" si="3"/>
        <v>tier - 2</v>
      </c>
      <c r="M1622" s="9" t="str">
        <f t="shared" si="4"/>
        <v>tier - 2</v>
      </c>
      <c r="N1622" s="9" t="str">
        <f t="shared" si="5"/>
        <v>R1011</v>
      </c>
      <c r="O1622" s="17">
        <f t="shared" si="6"/>
        <v>33</v>
      </c>
      <c r="P1622" s="18">
        <v>32711.0</v>
      </c>
    </row>
    <row r="1623" ht="15.75" customHeight="1">
      <c r="A1623" s="9" t="s">
        <v>3285</v>
      </c>
      <c r="B1623" s="17">
        <v>1984.0</v>
      </c>
      <c r="C1623" s="9" t="s">
        <v>4738</v>
      </c>
      <c r="D1623" s="9">
        <v>19.0</v>
      </c>
      <c r="E1623" s="18">
        <f t="shared" si="1"/>
        <v>30944</v>
      </c>
      <c r="F1623" s="9">
        <v>1.0</v>
      </c>
      <c r="G1623" s="19">
        <v>5974.38</v>
      </c>
      <c r="H1623" s="9" t="s">
        <v>4723</v>
      </c>
      <c r="I1623" s="9" t="s">
        <v>4717</v>
      </c>
      <c r="J1623" s="9" t="s">
        <v>4743</v>
      </c>
      <c r="K1623" s="20">
        <f t="shared" si="2"/>
        <v>1984</v>
      </c>
      <c r="L1623" s="9" t="str">
        <f t="shared" si="3"/>
        <v>tier - 2</v>
      </c>
      <c r="M1623" s="9" t="str">
        <f t="shared" si="4"/>
        <v>tier - 3</v>
      </c>
      <c r="N1623" s="9" t="str">
        <f t="shared" si="5"/>
        <v>R1013</v>
      </c>
      <c r="O1623" s="17">
        <f t="shared" si="6"/>
        <v>38</v>
      </c>
      <c r="P1623" s="18">
        <v>30944.0</v>
      </c>
    </row>
    <row r="1624" ht="15.75" customHeight="1">
      <c r="A1624" s="9" t="s">
        <v>3283</v>
      </c>
      <c r="B1624" s="17">
        <v>1984.0</v>
      </c>
      <c r="C1624" s="9" t="s">
        <v>4735</v>
      </c>
      <c r="D1624" s="9">
        <v>11.0</v>
      </c>
      <c r="E1624" s="18">
        <f t="shared" si="1"/>
        <v>30997</v>
      </c>
      <c r="F1624" s="9">
        <v>1.0</v>
      </c>
      <c r="G1624" s="19">
        <v>5976.83</v>
      </c>
      <c r="H1624" s="9" t="s">
        <v>4723</v>
      </c>
      <c r="I1624" s="9" t="s">
        <v>4723</v>
      </c>
      <c r="J1624" s="9" t="s">
        <v>4743</v>
      </c>
      <c r="K1624" s="20">
        <f t="shared" si="2"/>
        <v>1984</v>
      </c>
      <c r="L1624" s="9" t="str">
        <f t="shared" si="3"/>
        <v>tier - 2</v>
      </c>
      <c r="M1624" s="9" t="str">
        <f t="shared" si="4"/>
        <v>tier - 2</v>
      </c>
      <c r="N1624" s="9" t="str">
        <f t="shared" si="5"/>
        <v>R1013</v>
      </c>
      <c r="O1624" s="17">
        <f t="shared" si="6"/>
        <v>38</v>
      </c>
      <c r="P1624" s="18">
        <v>30997.0</v>
      </c>
    </row>
    <row r="1625" ht="15.75" customHeight="1">
      <c r="A1625" s="9" t="s">
        <v>3281</v>
      </c>
      <c r="B1625" s="17">
        <v>1970.0</v>
      </c>
      <c r="C1625" s="9" t="s">
        <v>4730</v>
      </c>
      <c r="D1625" s="9">
        <v>25.0</v>
      </c>
      <c r="E1625" s="18">
        <f t="shared" si="1"/>
        <v>25744</v>
      </c>
      <c r="F1625" s="9">
        <v>0.0</v>
      </c>
      <c r="G1625" s="19">
        <v>5979.66</v>
      </c>
      <c r="H1625" s="9" t="s">
        <v>4723</v>
      </c>
      <c r="I1625" s="9" t="s">
        <v>4717</v>
      </c>
      <c r="J1625" s="9" t="s">
        <v>4743</v>
      </c>
      <c r="K1625" s="20">
        <f t="shared" si="2"/>
        <v>1970</v>
      </c>
      <c r="L1625" s="9" t="str">
        <f t="shared" si="3"/>
        <v>tier - 2</v>
      </c>
      <c r="M1625" s="9" t="str">
        <f t="shared" si="4"/>
        <v>tier - 3</v>
      </c>
      <c r="N1625" s="9" t="str">
        <f t="shared" si="5"/>
        <v>R1013</v>
      </c>
      <c r="O1625" s="17">
        <f t="shared" si="6"/>
        <v>52</v>
      </c>
      <c r="P1625" s="18">
        <v>25744.0</v>
      </c>
    </row>
    <row r="1626" ht="15.75" customHeight="1">
      <c r="A1626" s="9" t="s">
        <v>329</v>
      </c>
      <c r="B1626" s="17">
        <v>2002.0</v>
      </c>
      <c r="C1626" s="9" t="s">
        <v>4738</v>
      </c>
      <c r="D1626" s="9">
        <v>27.0</v>
      </c>
      <c r="E1626" s="18">
        <f t="shared" si="1"/>
        <v>37526</v>
      </c>
      <c r="F1626" s="9">
        <v>3.0</v>
      </c>
      <c r="G1626" s="19">
        <v>37465.34</v>
      </c>
      <c r="H1626" s="9" t="s">
        <v>4718</v>
      </c>
      <c r="I1626" s="9" t="s">
        <v>4723</v>
      </c>
      <c r="J1626" s="9" t="s">
        <v>4733</v>
      </c>
      <c r="K1626" s="20">
        <f t="shared" si="2"/>
        <v>2002</v>
      </c>
      <c r="L1626" s="9" t="str">
        <f t="shared" si="3"/>
        <v>tier - 1</v>
      </c>
      <c r="M1626" s="9" t="str">
        <f t="shared" si="4"/>
        <v>tier - 2</v>
      </c>
      <c r="N1626" s="9" t="str">
        <f t="shared" si="5"/>
        <v>R1012</v>
      </c>
      <c r="O1626" s="17">
        <f t="shared" si="6"/>
        <v>20</v>
      </c>
      <c r="P1626" s="18">
        <v>37526.0</v>
      </c>
    </row>
    <row r="1627" ht="15.75" customHeight="1">
      <c r="A1627" s="9" t="s">
        <v>3279</v>
      </c>
      <c r="B1627" s="17">
        <v>1980.0</v>
      </c>
      <c r="C1627" s="9" t="s">
        <v>4720</v>
      </c>
      <c r="D1627" s="9">
        <v>10.0</v>
      </c>
      <c r="E1627" s="18">
        <f t="shared" si="1"/>
        <v>29504</v>
      </c>
      <c r="F1627" s="9">
        <v>0.0</v>
      </c>
      <c r="G1627" s="19">
        <v>5979.73</v>
      </c>
      <c r="H1627" s="9" t="s">
        <v>4723</v>
      </c>
      <c r="I1627" s="9" t="s">
        <v>4723</v>
      </c>
      <c r="J1627" s="9" t="s">
        <v>4719</v>
      </c>
      <c r="K1627" s="20">
        <f t="shared" si="2"/>
        <v>1980</v>
      </c>
      <c r="L1627" s="9" t="str">
        <f t="shared" si="3"/>
        <v>tier - 2</v>
      </c>
      <c r="M1627" s="9" t="str">
        <f t="shared" si="4"/>
        <v>tier - 2</v>
      </c>
      <c r="N1627" s="9" t="str">
        <f t="shared" si="5"/>
        <v>R1011</v>
      </c>
      <c r="O1627" s="17">
        <f t="shared" si="6"/>
        <v>42</v>
      </c>
      <c r="P1627" s="18">
        <v>29504.0</v>
      </c>
    </row>
    <row r="1628" ht="15.75" customHeight="1">
      <c r="A1628" s="9" t="s">
        <v>3277</v>
      </c>
      <c r="B1628" s="17">
        <v>1974.0</v>
      </c>
      <c r="C1628" s="9" t="s">
        <v>4720</v>
      </c>
      <c r="D1628" s="9">
        <v>11.0</v>
      </c>
      <c r="E1628" s="18">
        <f t="shared" si="1"/>
        <v>27313</v>
      </c>
      <c r="F1628" s="9">
        <v>0.0</v>
      </c>
      <c r="G1628" s="19">
        <v>5979.99</v>
      </c>
      <c r="H1628" s="9" t="s">
        <v>4723</v>
      </c>
      <c r="I1628" s="9" t="s">
        <v>4717</v>
      </c>
      <c r="J1628" s="9" t="s">
        <v>4743</v>
      </c>
      <c r="K1628" s="20">
        <f t="shared" si="2"/>
        <v>1974</v>
      </c>
      <c r="L1628" s="9" t="str">
        <f t="shared" si="3"/>
        <v>tier - 2</v>
      </c>
      <c r="M1628" s="9" t="str">
        <f t="shared" si="4"/>
        <v>tier - 3</v>
      </c>
      <c r="N1628" s="9" t="str">
        <f t="shared" si="5"/>
        <v>R1013</v>
      </c>
      <c r="O1628" s="17">
        <f t="shared" si="6"/>
        <v>48</v>
      </c>
      <c r="P1628" s="18">
        <v>27313.0</v>
      </c>
    </row>
    <row r="1629" ht="15.75" customHeight="1">
      <c r="A1629" s="9" t="s">
        <v>3275</v>
      </c>
      <c r="B1629" s="17">
        <v>1988.0</v>
      </c>
      <c r="C1629" s="9" t="s">
        <v>4730</v>
      </c>
      <c r="D1629" s="9">
        <v>10.0</v>
      </c>
      <c r="E1629" s="18">
        <f t="shared" si="1"/>
        <v>32304</v>
      </c>
      <c r="F1629" s="9">
        <v>2.0</v>
      </c>
      <c r="G1629" s="19">
        <v>5989.52</v>
      </c>
      <c r="H1629" s="9" t="s">
        <v>4723</v>
      </c>
      <c r="I1629" s="9" t="s">
        <v>4718</v>
      </c>
      <c r="J1629" s="9" t="s">
        <v>4733</v>
      </c>
      <c r="K1629" s="20">
        <f t="shared" si="2"/>
        <v>1988</v>
      </c>
      <c r="L1629" s="9" t="str">
        <f t="shared" si="3"/>
        <v>tier - 2</v>
      </c>
      <c r="M1629" s="9" t="str">
        <f t="shared" si="4"/>
        <v>tier - 1</v>
      </c>
      <c r="N1629" s="9" t="str">
        <f t="shared" si="5"/>
        <v>R1012</v>
      </c>
      <c r="O1629" s="17">
        <f t="shared" si="6"/>
        <v>34</v>
      </c>
      <c r="P1629" s="18">
        <v>32304.0</v>
      </c>
    </row>
    <row r="1630" ht="15.75" customHeight="1">
      <c r="A1630" s="9" t="s">
        <v>3273</v>
      </c>
      <c r="B1630" s="17">
        <v>1974.0</v>
      </c>
      <c r="C1630" s="9" t="s">
        <v>4716</v>
      </c>
      <c r="D1630" s="9">
        <v>17.0</v>
      </c>
      <c r="E1630" s="18">
        <f t="shared" si="1"/>
        <v>27258</v>
      </c>
      <c r="F1630" s="9">
        <v>0.0</v>
      </c>
      <c r="G1630" s="19">
        <v>5990.17</v>
      </c>
      <c r="H1630" s="9" t="s">
        <v>4723</v>
      </c>
      <c r="I1630" s="9" t="s">
        <v>4723</v>
      </c>
      <c r="J1630" s="9" t="s">
        <v>4743</v>
      </c>
      <c r="K1630" s="20">
        <f t="shared" si="2"/>
        <v>1974</v>
      </c>
      <c r="L1630" s="9" t="str">
        <f t="shared" si="3"/>
        <v>tier - 2</v>
      </c>
      <c r="M1630" s="9" t="str">
        <f t="shared" si="4"/>
        <v>tier - 2</v>
      </c>
      <c r="N1630" s="9" t="str">
        <f t="shared" si="5"/>
        <v>R1013</v>
      </c>
      <c r="O1630" s="17">
        <f t="shared" si="6"/>
        <v>48</v>
      </c>
      <c r="P1630" s="18">
        <v>27258.0</v>
      </c>
    </row>
    <row r="1631" ht="15.75" customHeight="1">
      <c r="A1631" s="9" t="s">
        <v>3271</v>
      </c>
      <c r="B1631" s="17">
        <v>1980.0</v>
      </c>
      <c r="C1631" s="9" t="s">
        <v>4716</v>
      </c>
      <c r="D1631" s="9">
        <v>8.0</v>
      </c>
      <c r="E1631" s="18">
        <f t="shared" si="1"/>
        <v>29441</v>
      </c>
      <c r="F1631" s="9">
        <v>2.0</v>
      </c>
      <c r="G1631" s="19">
        <v>5993.62</v>
      </c>
      <c r="H1631" s="9" t="s">
        <v>4723</v>
      </c>
      <c r="I1631" s="9" t="s">
        <v>4717</v>
      </c>
      <c r="J1631" s="9" t="s">
        <v>4743</v>
      </c>
      <c r="K1631" s="20">
        <f t="shared" si="2"/>
        <v>1980</v>
      </c>
      <c r="L1631" s="9" t="str">
        <f t="shared" si="3"/>
        <v>tier - 2</v>
      </c>
      <c r="M1631" s="9" t="str">
        <f t="shared" si="4"/>
        <v>tier - 3</v>
      </c>
      <c r="N1631" s="9" t="str">
        <f t="shared" si="5"/>
        <v>R1013</v>
      </c>
      <c r="O1631" s="17">
        <f t="shared" si="6"/>
        <v>42</v>
      </c>
      <c r="P1631" s="18">
        <v>29441.0</v>
      </c>
    </row>
    <row r="1632" ht="15.75" customHeight="1">
      <c r="A1632" s="9" t="s">
        <v>3269</v>
      </c>
      <c r="B1632" s="17">
        <v>1989.0</v>
      </c>
      <c r="C1632" s="9" t="s">
        <v>4716</v>
      </c>
      <c r="D1632" s="9">
        <v>16.0</v>
      </c>
      <c r="E1632" s="18">
        <f t="shared" si="1"/>
        <v>32736</v>
      </c>
      <c r="F1632" s="9">
        <v>4.0</v>
      </c>
      <c r="G1632" s="19">
        <v>6059.17</v>
      </c>
      <c r="H1632" s="9" t="s">
        <v>4723</v>
      </c>
      <c r="I1632" s="9" t="s">
        <v>4718</v>
      </c>
      <c r="J1632" s="9" t="s">
        <v>4719</v>
      </c>
      <c r="K1632" s="20">
        <f t="shared" si="2"/>
        <v>1989</v>
      </c>
      <c r="L1632" s="9" t="str">
        <f t="shared" si="3"/>
        <v>tier - 2</v>
      </c>
      <c r="M1632" s="9" t="str">
        <f t="shared" si="4"/>
        <v>tier - 1</v>
      </c>
      <c r="N1632" s="9" t="str">
        <f t="shared" si="5"/>
        <v>R1011</v>
      </c>
      <c r="O1632" s="17">
        <f t="shared" si="6"/>
        <v>33</v>
      </c>
      <c r="P1632" s="18">
        <v>32736.0</v>
      </c>
    </row>
    <row r="1633" ht="15.75" customHeight="1">
      <c r="A1633" s="9" t="s">
        <v>3267</v>
      </c>
      <c r="B1633" s="17">
        <v>1996.0</v>
      </c>
      <c r="C1633" s="9" t="s">
        <v>4741</v>
      </c>
      <c r="D1633" s="9">
        <v>28.0</v>
      </c>
      <c r="E1633" s="18">
        <f t="shared" si="1"/>
        <v>35274</v>
      </c>
      <c r="F1633" s="9">
        <v>0.0</v>
      </c>
      <c r="G1633" s="19">
        <v>6061.8</v>
      </c>
      <c r="H1633" s="9" t="s">
        <v>4723</v>
      </c>
      <c r="I1633" s="9" t="s">
        <v>4717</v>
      </c>
      <c r="J1633" s="9" t="s">
        <v>4733</v>
      </c>
      <c r="K1633" s="20">
        <f t="shared" si="2"/>
        <v>1996</v>
      </c>
      <c r="L1633" s="9" t="str">
        <f t="shared" si="3"/>
        <v>tier - 2</v>
      </c>
      <c r="M1633" s="9" t="str">
        <f t="shared" si="4"/>
        <v>tier - 3</v>
      </c>
      <c r="N1633" s="9" t="str">
        <f t="shared" si="5"/>
        <v>R1012</v>
      </c>
      <c r="O1633" s="17">
        <f t="shared" si="6"/>
        <v>26</v>
      </c>
      <c r="P1633" s="18">
        <v>35274.0</v>
      </c>
    </row>
    <row r="1634" ht="15.75" customHeight="1">
      <c r="A1634" s="9" t="s">
        <v>3265</v>
      </c>
      <c r="B1634" s="17">
        <v>1994.0</v>
      </c>
      <c r="C1634" s="9" t="s">
        <v>4735</v>
      </c>
      <c r="D1634" s="9">
        <v>8.0</v>
      </c>
      <c r="E1634" s="18">
        <f t="shared" si="1"/>
        <v>34646</v>
      </c>
      <c r="F1634" s="9">
        <v>0.0</v>
      </c>
      <c r="G1634" s="19">
        <v>6064.37</v>
      </c>
      <c r="H1634" s="9" t="s">
        <v>4723</v>
      </c>
      <c r="I1634" s="9" t="s">
        <v>4723</v>
      </c>
      <c r="J1634" s="9" t="s">
        <v>4719</v>
      </c>
      <c r="K1634" s="20">
        <f t="shared" si="2"/>
        <v>1994</v>
      </c>
      <c r="L1634" s="9" t="str">
        <f t="shared" si="3"/>
        <v>tier - 2</v>
      </c>
      <c r="M1634" s="9" t="str">
        <f t="shared" si="4"/>
        <v>tier - 2</v>
      </c>
      <c r="N1634" s="9" t="str">
        <f t="shared" si="5"/>
        <v>R1011</v>
      </c>
      <c r="O1634" s="17">
        <f t="shared" si="6"/>
        <v>28</v>
      </c>
      <c r="P1634" s="18">
        <v>34646.0</v>
      </c>
    </row>
    <row r="1635" ht="15.75" customHeight="1">
      <c r="A1635" s="9" t="s">
        <v>3263</v>
      </c>
      <c r="B1635" s="17">
        <v>1984.0</v>
      </c>
      <c r="C1635" s="9" t="s">
        <v>4738</v>
      </c>
      <c r="D1635" s="9">
        <v>21.0</v>
      </c>
      <c r="E1635" s="18">
        <f t="shared" si="1"/>
        <v>30946</v>
      </c>
      <c r="F1635" s="9">
        <v>1.0</v>
      </c>
      <c r="G1635" s="19">
        <v>6067.13</v>
      </c>
      <c r="H1635" s="9" t="s">
        <v>4717</v>
      </c>
      <c r="I1635" s="9" t="s">
        <v>4718</v>
      </c>
      <c r="J1635" s="9" t="s">
        <v>4754</v>
      </c>
      <c r="K1635" s="20">
        <f t="shared" si="2"/>
        <v>1984</v>
      </c>
      <c r="L1635" s="9" t="str">
        <f t="shared" si="3"/>
        <v>tier - 3</v>
      </c>
      <c r="M1635" s="9" t="str">
        <f t="shared" si="4"/>
        <v>tier - 1</v>
      </c>
      <c r="N1635" s="9" t="str">
        <f t="shared" si="5"/>
        <v>R1016</v>
      </c>
      <c r="O1635" s="17">
        <f t="shared" si="6"/>
        <v>38</v>
      </c>
      <c r="P1635" s="18">
        <v>30946.0</v>
      </c>
    </row>
    <row r="1636" ht="15.75" customHeight="1">
      <c r="A1636" s="9" t="s">
        <v>3261</v>
      </c>
      <c r="B1636" s="17">
        <v>1979.0</v>
      </c>
      <c r="C1636" s="9" t="s">
        <v>4716</v>
      </c>
      <c r="D1636" s="9">
        <v>8.0</v>
      </c>
      <c r="E1636" s="18">
        <f t="shared" si="1"/>
        <v>29075</v>
      </c>
      <c r="F1636" s="9">
        <v>2.0</v>
      </c>
      <c r="G1636" s="19">
        <v>6074.37</v>
      </c>
      <c r="H1636" s="9" t="s">
        <v>4723</v>
      </c>
      <c r="I1636" s="9" t="s">
        <v>4723</v>
      </c>
      <c r="J1636" s="9" t="s">
        <v>4733</v>
      </c>
      <c r="K1636" s="20">
        <f t="shared" si="2"/>
        <v>1979</v>
      </c>
      <c r="L1636" s="9" t="str">
        <f t="shared" si="3"/>
        <v>tier - 2</v>
      </c>
      <c r="M1636" s="9" t="str">
        <f t="shared" si="4"/>
        <v>tier - 2</v>
      </c>
      <c r="N1636" s="9" t="str">
        <f t="shared" si="5"/>
        <v>R1012</v>
      </c>
      <c r="O1636" s="17">
        <f t="shared" si="6"/>
        <v>43</v>
      </c>
      <c r="P1636" s="18">
        <v>29075.0</v>
      </c>
    </row>
    <row r="1637" ht="15.75" customHeight="1">
      <c r="A1637" s="9" t="s">
        <v>327</v>
      </c>
      <c r="B1637" s="17">
        <v>2000.0</v>
      </c>
      <c r="C1637" s="9" t="s">
        <v>4720</v>
      </c>
      <c r="D1637" s="9">
        <v>12.0</v>
      </c>
      <c r="E1637" s="18">
        <f t="shared" si="1"/>
        <v>36811</v>
      </c>
      <c r="F1637" s="9">
        <v>2.0</v>
      </c>
      <c r="G1637" s="19">
        <v>37484.45</v>
      </c>
      <c r="H1637" s="9" t="s">
        <v>4718</v>
      </c>
      <c r="I1637" s="9" t="s">
        <v>4718</v>
      </c>
      <c r="J1637" s="9" t="s">
        <v>4743</v>
      </c>
      <c r="K1637" s="20">
        <f t="shared" si="2"/>
        <v>2000</v>
      </c>
      <c r="L1637" s="9" t="str">
        <f t="shared" si="3"/>
        <v>tier - 1</v>
      </c>
      <c r="M1637" s="9" t="str">
        <f t="shared" si="4"/>
        <v>tier - 1</v>
      </c>
      <c r="N1637" s="9" t="str">
        <f t="shared" si="5"/>
        <v>R1013</v>
      </c>
      <c r="O1637" s="17">
        <f t="shared" si="6"/>
        <v>22</v>
      </c>
      <c r="P1637" s="18">
        <v>36811.0</v>
      </c>
    </row>
    <row r="1638" ht="15.75" customHeight="1">
      <c r="A1638" s="9" t="s">
        <v>3259</v>
      </c>
      <c r="B1638" s="17">
        <v>1984.0</v>
      </c>
      <c r="C1638" s="9" t="s">
        <v>4720</v>
      </c>
      <c r="D1638" s="9">
        <v>14.0</v>
      </c>
      <c r="E1638" s="18">
        <f t="shared" si="1"/>
        <v>30969</v>
      </c>
      <c r="F1638" s="9">
        <v>1.0</v>
      </c>
      <c r="G1638" s="19">
        <v>6079.67</v>
      </c>
      <c r="H1638" s="9" t="s">
        <v>4718</v>
      </c>
      <c r="I1638" s="9" t="s">
        <v>4718</v>
      </c>
      <c r="J1638" s="9" t="s">
        <v>4752</v>
      </c>
      <c r="K1638" s="20">
        <f t="shared" si="2"/>
        <v>1984</v>
      </c>
      <c r="L1638" s="9" t="str">
        <f t="shared" si="3"/>
        <v>tier - 1</v>
      </c>
      <c r="M1638" s="9" t="str">
        <f t="shared" si="4"/>
        <v>tier - 1</v>
      </c>
      <c r="N1638" s="9" t="str">
        <f t="shared" si="5"/>
        <v>R1014</v>
      </c>
      <c r="O1638" s="17">
        <f t="shared" si="6"/>
        <v>38</v>
      </c>
      <c r="P1638" s="18">
        <v>30969.0</v>
      </c>
    </row>
    <row r="1639" ht="15.75" customHeight="1">
      <c r="A1639" s="9" t="s">
        <v>3257</v>
      </c>
      <c r="B1639" s="17">
        <v>1984.0</v>
      </c>
      <c r="C1639" s="9" t="s">
        <v>4741</v>
      </c>
      <c r="D1639" s="9">
        <v>25.0</v>
      </c>
      <c r="E1639" s="18">
        <f t="shared" si="1"/>
        <v>30888</v>
      </c>
      <c r="F1639" s="9">
        <v>2.0</v>
      </c>
      <c r="G1639" s="19">
        <v>6082.41</v>
      </c>
      <c r="H1639" s="9" t="s">
        <v>4718</v>
      </c>
      <c r="I1639" s="9" t="s">
        <v>4723</v>
      </c>
      <c r="J1639" s="9" t="s">
        <v>4719</v>
      </c>
      <c r="K1639" s="20">
        <f t="shared" si="2"/>
        <v>1984</v>
      </c>
      <c r="L1639" s="9" t="str">
        <f t="shared" si="3"/>
        <v>tier - 1</v>
      </c>
      <c r="M1639" s="9" t="str">
        <f t="shared" si="4"/>
        <v>tier - 2</v>
      </c>
      <c r="N1639" s="9" t="str">
        <f t="shared" si="5"/>
        <v>R1011</v>
      </c>
      <c r="O1639" s="17">
        <f t="shared" si="6"/>
        <v>38</v>
      </c>
      <c r="P1639" s="18">
        <v>30888.0</v>
      </c>
    </row>
    <row r="1640" ht="15.75" customHeight="1">
      <c r="A1640" s="9" t="s">
        <v>3255</v>
      </c>
      <c r="B1640" s="17">
        <v>1970.0</v>
      </c>
      <c r="C1640" s="9" t="s">
        <v>4730</v>
      </c>
      <c r="D1640" s="9">
        <v>9.0</v>
      </c>
      <c r="E1640" s="18">
        <f t="shared" si="1"/>
        <v>25728</v>
      </c>
      <c r="F1640" s="9">
        <v>0.0</v>
      </c>
      <c r="G1640" s="19">
        <v>6098.38</v>
      </c>
      <c r="H1640" s="9" t="s">
        <v>4723</v>
      </c>
      <c r="I1640" s="9" t="s">
        <v>4723</v>
      </c>
      <c r="J1640" s="9" t="s">
        <v>4743</v>
      </c>
      <c r="K1640" s="20">
        <f t="shared" si="2"/>
        <v>1970</v>
      </c>
      <c r="L1640" s="9" t="str">
        <f t="shared" si="3"/>
        <v>tier - 2</v>
      </c>
      <c r="M1640" s="9" t="str">
        <f t="shared" si="4"/>
        <v>tier - 2</v>
      </c>
      <c r="N1640" s="9" t="str">
        <f t="shared" si="5"/>
        <v>R1013</v>
      </c>
      <c r="O1640" s="17">
        <f t="shared" si="6"/>
        <v>52</v>
      </c>
      <c r="P1640" s="18">
        <v>25728.0</v>
      </c>
    </row>
    <row r="1641" ht="15.75" customHeight="1">
      <c r="A1641" s="9" t="s">
        <v>3253</v>
      </c>
      <c r="B1641" s="17">
        <v>1995.0</v>
      </c>
      <c r="C1641" s="9" t="s">
        <v>4738</v>
      </c>
      <c r="D1641" s="9">
        <v>9.0</v>
      </c>
      <c r="E1641" s="18">
        <f t="shared" si="1"/>
        <v>34951</v>
      </c>
      <c r="F1641" s="9">
        <v>0.0</v>
      </c>
      <c r="G1641" s="19">
        <v>6111.95</v>
      </c>
      <c r="H1641" s="9" t="s">
        <v>4723</v>
      </c>
      <c r="I1641" s="9" t="s">
        <v>4717</v>
      </c>
      <c r="J1641" s="9" t="s">
        <v>4721</v>
      </c>
      <c r="K1641" s="20">
        <f t="shared" si="2"/>
        <v>1995</v>
      </c>
      <c r="L1641" s="9" t="str">
        <f t="shared" si="3"/>
        <v>tier - 2</v>
      </c>
      <c r="M1641" s="9" t="str">
        <f t="shared" si="4"/>
        <v>tier - 3</v>
      </c>
      <c r="N1641" s="9" t="str">
        <f t="shared" si="5"/>
        <v>R1026</v>
      </c>
      <c r="O1641" s="17">
        <f t="shared" si="6"/>
        <v>27</v>
      </c>
      <c r="P1641" s="18">
        <v>34951.0</v>
      </c>
    </row>
    <row r="1642" ht="15.75" customHeight="1">
      <c r="A1642" s="9" t="s">
        <v>3251</v>
      </c>
      <c r="B1642" s="17">
        <v>1985.0</v>
      </c>
      <c r="C1642" s="9" t="s">
        <v>4741</v>
      </c>
      <c r="D1642" s="9">
        <v>21.0</v>
      </c>
      <c r="E1642" s="18">
        <f t="shared" si="1"/>
        <v>31249</v>
      </c>
      <c r="F1642" s="9">
        <v>1.0</v>
      </c>
      <c r="G1642" s="19">
        <v>6112.35</v>
      </c>
      <c r="H1642" s="9" t="s">
        <v>4723</v>
      </c>
      <c r="I1642" s="9" t="s">
        <v>4718</v>
      </c>
      <c r="J1642" s="9" t="s">
        <v>4733</v>
      </c>
      <c r="K1642" s="20">
        <f t="shared" si="2"/>
        <v>1985</v>
      </c>
      <c r="L1642" s="9" t="str">
        <f t="shared" si="3"/>
        <v>tier - 2</v>
      </c>
      <c r="M1642" s="9" t="str">
        <f t="shared" si="4"/>
        <v>tier - 1</v>
      </c>
      <c r="N1642" s="9" t="str">
        <f t="shared" si="5"/>
        <v>R1012</v>
      </c>
      <c r="O1642" s="17">
        <f t="shared" si="6"/>
        <v>37</v>
      </c>
      <c r="P1642" s="18">
        <v>31249.0</v>
      </c>
    </row>
    <row r="1643" ht="15.75" customHeight="1">
      <c r="A1643" s="9" t="s">
        <v>3249</v>
      </c>
      <c r="B1643" s="17">
        <v>1991.0</v>
      </c>
      <c r="C1643" s="9" t="s">
        <v>4741</v>
      </c>
      <c r="D1643" s="9">
        <v>25.0</v>
      </c>
      <c r="E1643" s="18">
        <f t="shared" si="1"/>
        <v>33444</v>
      </c>
      <c r="F1643" s="9">
        <v>3.0</v>
      </c>
      <c r="G1643" s="19">
        <v>6113.23</v>
      </c>
      <c r="H1643" s="9" t="s">
        <v>4723</v>
      </c>
      <c r="I1643" s="9" t="s">
        <v>4723</v>
      </c>
      <c r="J1643" s="9" t="s">
        <v>4731</v>
      </c>
      <c r="K1643" s="20">
        <f t="shared" si="2"/>
        <v>1991</v>
      </c>
      <c r="L1643" s="9" t="str">
        <f t="shared" si="3"/>
        <v>tier - 2</v>
      </c>
      <c r="M1643" s="9" t="str">
        <f t="shared" si="4"/>
        <v>tier - 2</v>
      </c>
      <c r="N1643" s="9" t="str">
        <f t="shared" si="5"/>
        <v>R1024</v>
      </c>
      <c r="O1643" s="17">
        <f t="shared" si="6"/>
        <v>31</v>
      </c>
      <c r="P1643" s="18">
        <v>33444.0</v>
      </c>
    </row>
    <row r="1644" ht="15.75" customHeight="1">
      <c r="A1644" s="9" t="s">
        <v>3247</v>
      </c>
      <c r="B1644" s="17">
        <v>1983.0</v>
      </c>
      <c r="C1644" s="9" t="s">
        <v>4716</v>
      </c>
      <c r="D1644" s="9">
        <v>11.0</v>
      </c>
      <c r="E1644" s="18">
        <f t="shared" si="1"/>
        <v>30539</v>
      </c>
      <c r="F1644" s="9">
        <v>1.0</v>
      </c>
      <c r="G1644" s="19">
        <v>6117.49</v>
      </c>
      <c r="H1644" s="9" t="s">
        <v>4723</v>
      </c>
      <c r="I1644" s="9" t="s">
        <v>4717</v>
      </c>
      <c r="J1644" s="9" t="s">
        <v>4733</v>
      </c>
      <c r="K1644" s="20">
        <f t="shared" si="2"/>
        <v>1983</v>
      </c>
      <c r="L1644" s="9" t="str">
        <f t="shared" si="3"/>
        <v>tier - 2</v>
      </c>
      <c r="M1644" s="9" t="str">
        <f t="shared" si="4"/>
        <v>tier - 3</v>
      </c>
      <c r="N1644" s="9" t="str">
        <f t="shared" si="5"/>
        <v>R1012</v>
      </c>
      <c r="O1644" s="17">
        <f t="shared" si="6"/>
        <v>39</v>
      </c>
      <c r="P1644" s="18">
        <v>30539.0</v>
      </c>
    </row>
    <row r="1645" ht="15.75" customHeight="1">
      <c r="A1645" s="9" t="s">
        <v>3245</v>
      </c>
      <c r="B1645" s="17">
        <v>1983.0</v>
      </c>
      <c r="C1645" s="9" t="s">
        <v>4735</v>
      </c>
      <c r="D1645" s="9">
        <v>16.0</v>
      </c>
      <c r="E1645" s="18">
        <f t="shared" si="1"/>
        <v>30636</v>
      </c>
      <c r="F1645" s="9">
        <v>1.0</v>
      </c>
      <c r="G1645" s="19">
        <v>6123.57</v>
      </c>
      <c r="H1645" s="9" t="s">
        <v>4717</v>
      </c>
      <c r="I1645" s="9" t="s">
        <v>4723</v>
      </c>
      <c r="J1645" s="9" t="s">
        <v>4733</v>
      </c>
      <c r="K1645" s="20">
        <f t="shared" si="2"/>
        <v>1983</v>
      </c>
      <c r="L1645" s="9" t="str">
        <f t="shared" si="3"/>
        <v>tier - 3</v>
      </c>
      <c r="M1645" s="9" t="str">
        <f t="shared" si="4"/>
        <v>tier - 2</v>
      </c>
      <c r="N1645" s="9" t="str">
        <f t="shared" si="5"/>
        <v>R1012</v>
      </c>
      <c r="O1645" s="17">
        <f t="shared" si="6"/>
        <v>39</v>
      </c>
      <c r="P1645" s="18">
        <v>30636.0</v>
      </c>
    </row>
    <row r="1646" ht="15.75" customHeight="1">
      <c r="A1646" s="9" t="s">
        <v>3243</v>
      </c>
      <c r="B1646" s="17">
        <v>1990.0</v>
      </c>
      <c r="C1646" s="9" t="s">
        <v>4716</v>
      </c>
      <c r="D1646" s="9">
        <v>18.0</v>
      </c>
      <c r="E1646" s="18">
        <f t="shared" si="1"/>
        <v>33103</v>
      </c>
      <c r="F1646" s="9">
        <v>3.0</v>
      </c>
      <c r="G1646" s="19">
        <v>6128.8</v>
      </c>
      <c r="H1646" s="9" t="s">
        <v>4723</v>
      </c>
      <c r="I1646" s="9" t="s">
        <v>4717</v>
      </c>
      <c r="J1646" s="9" t="s">
        <v>4733</v>
      </c>
      <c r="K1646" s="20">
        <f t="shared" si="2"/>
        <v>1990</v>
      </c>
      <c r="L1646" s="9" t="str">
        <f t="shared" si="3"/>
        <v>tier - 2</v>
      </c>
      <c r="M1646" s="9" t="str">
        <f t="shared" si="4"/>
        <v>tier - 3</v>
      </c>
      <c r="N1646" s="9" t="str">
        <f t="shared" si="5"/>
        <v>R1012</v>
      </c>
      <c r="O1646" s="17">
        <f t="shared" si="6"/>
        <v>32</v>
      </c>
      <c r="P1646" s="18">
        <v>33103.0</v>
      </c>
    </row>
    <row r="1647" ht="15.75" customHeight="1">
      <c r="A1647" s="9" t="s">
        <v>3241</v>
      </c>
      <c r="B1647" s="17">
        <v>1969.0</v>
      </c>
      <c r="C1647" s="9" t="s">
        <v>4735</v>
      </c>
      <c r="D1647" s="9">
        <v>9.0</v>
      </c>
      <c r="E1647" s="18">
        <f t="shared" si="1"/>
        <v>25516</v>
      </c>
      <c r="F1647" s="9">
        <v>0.0</v>
      </c>
      <c r="G1647" s="19">
        <v>6138.5</v>
      </c>
      <c r="H1647" s="9" t="s">
        <v>4723</v>
      </c>
      <c r="I1647" s="9" t="s">
        <v>4723</v>
      </c>
      <c r="J1647" s="9" t="s">
        <v>4719</v>
      </c>
      <c r="K1647" s="20">
        <f t="shared" si="2"/>
        <v>1969</v>
      </c>
      <c r="L1647" s="9" t="str">
        <f t="shared" si="3"/>
        <v>tier - 2</v>
      </c>
      <c r="M1647" s="9" t="str">
        <f t="shared" si="4"/>
        <v>tier - 2</v>
      </c>
      <c r="N1647" s="9" t="str">
        <f t="shared" si="5"/>
        <v>R1011</v>
      </c>
      <c r="O1647" s="17">
        <f t="shared" si="6"/>
        <v>53</v>
      </c>
      <c r="P1647" s="18">
        <v>25516.0</v>
      </c>
    </row>
    <row r="1648" ht="15.75" customHeight="1">
      <c r="A1648" s="9" t="s">
        <v>325</v>
      </c>
      <c r="B1648" s="17">
        <v>1990.0</v>
      </c>
      <c r="C1648" s="9" t="s">
        <v>4735</v>
      </c>
      <c r="D1648" s="9">
        <v>16.0</v>
      </c>
      <c r="E1648" s="18">
        <f t="shared" si="1"/>
        <v>33193</v>
      </c>
      <c r="F1648" s="9">
        <v>1.0</v>
      </c>
      <c r="G1648" s="19">
        <v>37607.53</v>
      </c>
      <c r="H1648" s="9" t="s">
        <v>4718</v>
      </c>
      <c r="I1648" s="9" t="s">
        <v>4723</v>
      </c>
      <c r="J1648" s="9" t="s">
        <v>4728</v>
      </c>
      <c r="K1648" s="20">
        <f t="shared" si="2"/>
        <v>1990</v>
      </c>
      <c r="L1648" s="9" t="str">
        <f t="shared" si="3"/>
        <v>tier - 1</v>
      </c>
      <c r="M1648" s="9" t="str">
        <f t="shared" si="4"/>
        <v>tier - 2</v>
      </c>
      <c r="N1648" s="9" t="str">
        <f t="shared" si="5"/>
        <v>R1019</v>
      </c>
      <c r="O1648" s="17">
        <f t="shared" si="6"/>
        <v>32</v>
      </c>
      <c r="P1648" s="18">
        <v>33193.0</v>
      </c>
    </row>
    <row r="1649" ht="15.75" customHeight="1">
      <c r="A1649" s="9" t="s">
        <v>3239</v>
      </c>
      <c r="B1649" s="17">
        <v>1978.0</v>
      </c>
      <c r="C1649" s="9" t="s">
        <v>4738</v>
      </c>
      <c r="D1649" s="9">
        <v>5.0</v>
      </c>
      <c r="E1649" s="18">
        <f t="shared" si="1"/>
        <v>28738</v>
      </c>
      <c r="F1649" s="9">
        <v>2.0</v>
      </c>
      <c r="G1649" s="19">
        <v>6138.58</v>
      </c>
      <c r="H1649" s="9" t="s">
        <v>4723</v>
      </c>
      <c r="I1649" s="9" t="s">
        <v>4718</v>
      </c>
      <c r="J1649" s="9" t="s">
        <v>4743</v>
      </c>
      <c r="K1649" s="20">
        <f t="shared" si="2"/>
        <v>1978</v>
      </c>
      <c r="L1649" s="9" t="str">
        <f t="shared" si="3"/>
        <v>tier - 2</v>
      </c>
      <c r="M1649" s="9" t="str">
        <f t="shared" si="4"/>
        <v>tier - 1</v>
      </c>
      <c r="N1649" s="9" t="str">
        <f t="shared" si="5"/>
        <v>R1013</v>
      </c>
      <c r="O1649" s="17">
        <f t="shared" si="6"/>
        <v>44</v>
      </c>
      <c r="P1649" s="18">
        <v>28738.0</v>
      </c>
    </row>
    <row r="1650" ht="15.75" customHeight="1">
      <c r="A1650" s="9" t="s">
        <v>3237</v>
      </c>
      <c r="B1650" s="17">
        <v>1976.0</v>
      </c>
      <c r="C1650" s="9" t="s">
        <v>4725</v>
      </c>
      <c r="D1650" s="9">
        <v>12.0</v>
      </c>
      <c r="E1650" s="18">
        <f t="shared" si="1"/>
        <v>28106</v>
      </c>
      <c r="F1650" s="9">
        <v>2.0</v>
      </c>
      <c r="G1650" s="19">
        <v>6139.14</v>
      </c>
      <c r="H1650" s="9" t="s">
        <v>4723</v>
      </c>
      <c r="I1650" s="9" t="s">
        <v>4717</v>
      </c>
      <c r="J1650" s="9" t="s">
        <v>4743</v>
      </c>
      <c r="K1650" s="20">
        <f t="shared" si="2"/>
        <v>1976</v>
      </c>
      <c r="L1650" s="9" t="str">
        <f t="shared" si="3"/>
        <v>tier - 2</v>
      </c>
      <c r="M1650" s="9" t="str">
        <f t="shared" si="4"/>
        <v>tier - 3</v>
      </c>
      <c r="N1650" s="9" t="str">
        <f t="shared" si="5"/>
        <v>R1013</v>
      </c>
      <c r="O1650" s="17">
        <f t="shared" si="6"/>
        <v>46</v>
      </c>
      <c r="P1650" s="18">
        <v>28106.0</v>
      </c>
    </row>
    <row r="1651" ht="15.75" customHeight="1">
      <c r="A1651" s="9" t="s">
        <v>3235</v>
      </c>
      <c r="B1651" s="17">
        <v>1970.0</v>
      </c>
      <c r="C1651" s="9" t="s">
        <v>4720</v>
      </c>
      <c r="D1651" s="9">
        <v>14.0</v>
      </c>
      <c r="E1651" s="18">
        <f t="shared" si="1"/>
        <v>25855</v>
      </c>
      <c r="F1651" s="9">
        <v>0.0</v>
      </c>
      <c r="G1651" s="19">
        <v>6147.12</v>
      </c>
      <c r="H1651" s="9" t="s">
        <v>4723</v>
      </c>
      <c r="I1651" s="9" t="s">
        <v>4717</v>
      </c>
      <c r="J1651" s="9" t="s">
        <v>4733</v>
      </c>
      <c r="K1651" s="20">
        <f t="shared" si="2"/>
        <v>1970</v>
      </c>
      <c r="L1651" s="9" t="str">
        <f t="shared" si="3"/>
        <v>tier - 2</v>
      </c>
      <c r="M1651" s="9" t="str">
        <f t="shared" si="4"/>
        <v>tier - 3</v>
      </c>
      <c r="N1651" s="9" t="str">
        <f t="shared" si="5"/>
        <v>R1012</v>
      </c>
      <c r="O1651" s="17">
        <f t="shared" si="6"/>
        <v>52</v>
      </c>
      <c r="P1651" s="18">
        <v>25855.0</v>
      </c>
    </row>
    <row r="1652" ht="15.75" customHeight="1">
      <c r="A1652" s="9" t="s">
        <v>3233</v>
      </c>
      <c r="B1652" s="17">
        <v>1973.0</v>
      </c>
      <c r="C1652" s="9" t="s">
        <v>4735</v>
      </c>
      <c r="D1652" s="9">
        <v>6.0</v>
      </c>
      <c r="E1652" s="18">
        <f t="shared" si="1"/>
        <v>26974</v>
      </c>
      <c r="F1652" s="9">
        <v>0.0</v>
      </c>
      <c r="G1652" s="19">
        <v>6152.05</v>
      </c>
      <c r="H1652" s="9" t="s">
        <v>4723</v>
      </c>
      <c r="I1652" s="9" t="s">
        <v>4717</v>
      </c>
      <c r="J1652" s="9" t="s">
        <v>4743</v>
      </c>
      <c r="K1652" s="20">
        <f t="shared" si="2"/>
        <v>1973</v>
      </c>
      <c r="L1652" s="9" t="str">
        <f t="shared" si="3"/>
        <v>tier - 2</v>
      </c>
      <c r="M1652" s="9" t="str">
        <f t="shared" si="4"/>
        <v>tier - 3</v>
      </c>
      <c r="N1652" s="9" t="str">
        <f t="shared" si="5"/>
        <v>R1013</v>
      </c>
      <c r="O1652" s="17">
        <f t="shared" si="6"/>
        <v>49</v>
      </c>
      <c r="P1652" s="18">
        <v>26974.0</v>
      </c>
    </row>
    <row r="1653" ht="15.75" customHeight="1">
      <c r="A1653" s="9" t="s">
        <v>3231</v>
      </c>
      <c r="B1653" s="17">
        <v>1985.0</v>
      </c>
      <c r="C1653" s="9" t="s">
        <v>4720</v>
      </c>
      <c r="D1653" s="9">
        <v>15.0</v>
      </c>
      <c r="E1653" s="18">
        <f t="shared" si="1"/>
        <v>31335</v>
      </c>
      <c r="F1653" s="9">
        <v>3.0</v>
      </c>
      <c r="G1653" s="19">
        <v>6159.57</v>
      </c>
      <c r="H1653" s="9" t="s">
        <v>4723</v>
      </c>
      <c r="I1653" s="9" t="s">
        <v>4718</v>
      </c>
      <c r="J1653" s="9" t="s">
        <v>4733</v>
      </c>
      <c r="K1653" s="20">
        <f t="shared" si="2"/>
        <v>1985</v>
      </c>
      <c r="L1653" s="9" t="str">
        <f t="shared" si="3"/>
        <v>tier - 2</v>
      </c>
      <c r="M1653" s="9" t="str">
        <f t="shared" si="4"/>
        <v>tier - 1</v>
      </c>
      <c r="N1653" s="9" t="str">
        <f t="shared" si="5"/>
        <v>R1012</v>
      </c>
      <c r="O1653" s="17">
        <f t="shared" si="6"/>
        <v>37</v>
      </c>
      <c r="P1653" s="18">
        <v>31335.0</v>
      </c>
    </row>
    <row r="1654" ht="15.75" customHeight="1">
      <c r="A1654" s="9" t="s">
        <v>3229</v>
      </c>
      <c r="B1654" s="17">
        <v>1984.0</v>
      </c>
      <c r="C1654" s="9" t="s">
        <v>4720</v>
      </c>
      <c r="D1654" s="9">
        <v>6.0</v>
      </c>
      <c r="E1654" s="18">
        <f t="shared" si="1"/>
        <v>30961</v>
      </c>
      <c r="F1654" s="9">
        <v>3.0</v>
      </c>
      <c r="G1654" s="19">
        <v>6170.96</v>
      </c>
      <c r="H1654" s="9" t="s">
        <v>4723</v>
      </c>
      <c r="I1654" s="9" t="s">
        <v>4718</v>
      </c>
      <c r="J1654" s="9" t="s">
        <v>4743</v>
      </c>
      <c r="K1654" s="20">
        <f t="shared" si="2"/>
        <v>1984</v>
      </c>
      <c r="L1654" s="9" t="str">
        <f t="shared" si="3"/>
        <v>tier - 2</v>
      </c>
      <c r="M1654" s="9" t="str">
        <f t="shared" si="4"/>
        <v>tier - 1</v>
      </c>
      <c r="N1654" s="9" t="str">
        <f t="shared" si="5"/>
        <v>R1013</v>
      </c>
      <c r="O1654" s="17">
        <f t="shared" si="6"/>
        <v>38</v>
      </c>
      <c r="P1654" s="18">
        <v>30961.0</v>
      </c>
    </row>
    <row r="1655" ht="15.75" customHeight="1">
      <c r="A1655" s="9" t="s">
        <v>3227</v>
      </c>
      <c r="B1655" s="17">
        <v>1985.0</v>
      </c>
      <c r="C1655" s="9" t="s">
        <v>4716</v>
      </c>
      <c r="D1655" s="9">
        <v>9.0</v>
      </c>
      <c r="E1655" s="18">
        <f t="shared" si="1"/>
        <v>31268</v>
      </c>
      <c r="F1655" s="9">
        <v>3.0</v>
      </c>
      <c r="G1655" s="19">
        <v>6183.32</v>
      </c>
      <c r="H1655" s="9" t="s">
        <v>4723</v>
      </c>
      <c r="I1655" s="9" t="s">
        <v>4723</v>
      </c>
      <c r="J1655" s="9" t="s">
        <v>4733</v>
      </c>
      <c r="K1655" s="20">
        <f t="shared" si="2"/>
        <v>1985</v>
      </c>
      <c r="L1655" s="9" t="str">
        <f t="shared" si="3"/>
        <v>tier - 2</v>
      </c>
      <c r="M1655" s="9" t="str">
        <f t="shared" si="4"/>
        <v>tier - 2</v>
      </c>
      <c r="N1655" s="9" t="str">
        <f t="shared" si="5"/>
        <v>R1012</v>
      </c>
      <c r="O1655" s="17">
        <f t="shared" si="6"/>
        <v>37</v>
      </c>
      <c r="P1655" s="18">
        <v>31268.0</v>
      </c>
    </row>
    <row r="1656" ht="15.75" customHeight="1">
      <c r="A1656" s="9" t="s">
        <v>3225</v>
      </c>
      <c r="B1656" s="17">
        <v>1970.0</v>
      </c>
      <c r="C1656" s="9" t="s">
        <v>4720</v>
      </c>
      <c r="D1656" s="9">
        <v>5.0</v>
      </c>
      <c r="E1656" s="18">
        <f t="shared" si="1"/>
        <v>25846</v>
      </c>
      <c r="F1656" s="9">
        <v>0.0</v>
      </c>
      <c r="G1656" s="19">
        <v>6183.46</v>
      </c>
      <c r="H1656" s="9" t="s">
        <v>4723</v>
      </c>
      <c r="I1656" s="9" t="s">
        <v>4723</v>
      </c>
      <c r="J1656" s="9" t="s">
        <v>4733</v>
      </c>
      <c r="K1656" s="20">
        <f t="shared" si="2"/>
        <v>1970</v>
      </c>
      <c r="L1656" s="9" t="str">
        <f t="shared" si="3"/>
        <v>tier - 2</v>
      </c>
      <c r="M1656" s="9" t="str">
        <f t="shared" si="4"/>
        <v>tier - 2</v>
      </c>
      <c r="N1656" s="9" t="str">
        <f t="shared" si="5"/>
        <v>R1012</v>
      </c>
      <c r="O1656" s="17">
        <f t="shared" si="6"/>
        <v>52</v>
      </c>
      <c r="P1656" s="18">
        <v>25846.0</v>
      </c>
    </row>
    <row r="1657" ht="15.75" customHeight="1">
      <c r="A1657" s="9" t="s">
        <v>3223</v>
      </c>
      <c r="B1657" s="17">
        <v>1988.0</v>
      </c>
      <c r="C1657" s="9" t="s">
        <v>4735</v>
      </c>
      <c r="D1657" s="9">
        <v>1.0</v>
      </c>
      <c r="E1657" s="18">
        <f t="shared" si="1"/>
        <v>32448</v>
      </c>
      <c r="F1657" s="9">
        <v>3.0</v>
      </c>
      <c r="G1657" s="19">
        <v>6184.3</v>
      </c>
      <c r="H1657" s="9" t="s">
        <v>4723</v>
      </c>
      <c r="I1657" s="9" t="s">
        <v>4717</v>
      </c>
      <c r="J1657" s="9" t="s">
        <v>4743</v>
      </c>
      <c r="K1657" s="20">
        <f t="shared" si="2"/>
        <v>1988</v>
      </c>
      <c r="L1657" s="9" t="str">
        <f t="shared" si="3"/>
        <v>tier - 2</v>
      </c>
      <c r="M1657" s="9" t="str">
        <f t="shared" si="4"/>
        <v>tier - 3</v>
      </c>
      <c r="N1657" s="9" t="str">
        <f t="shared" si="5"/>
        <v>R1013</v>
      </c>
      <c r="O1657" s="17">
        <f t="shared" si="6"/>
        <v>34</v>
      </c>
      <c r="P1657" s="18">
        <v>32448.0</v>
      </c>
    </row>
    <row r="1658" ht="15.75" customHeight="1">
      <c r="A1658" s="9" t="s">
        <v>3221</v>
      </c>
      <c r="B1658" s="17">
        <v>1981.0</v>
      </c>
      <c r="C1658" s="9" t="s">
        <v>4735</v>
      </c>
      <c r="D1658" s="9">
        <v>22.0</v>
      </c>
      <c r="E1658" s="18">
        <f t="shared" si="1"/>
        <v>29912</v>
      </c>
      <c r="F1658" s="9">
        <v>0.0</v>
      </c>
      <c r="G1658" s="19">
        <v>6185.32</v>
      </c>
      <c r="H1658" s="9" t="s">
        <v>4723</v>
      </c>
      <c r="I1658" s="9" t="s">
        <v>4718</v>
      </c>
      <c r="J1658" s="9" t="s">
        <v>4743</v>
      </c>
      <c r="K1658" s="20">
        <f t="shared" si="2"/>
        <v>1981</v>
      </c>
      <c r="L1658" s="9" t="str">
        <f t="shared" si="3"/>
        <v>tier - 2</v>
      </c>
      <c r="M1658" s="9" t="str">
        <f t="shared" si="4"/>
        <v>tier - 1</v>
      </c>
      <c r="N1658" s="9" t="str">
        <f t="shared" si="5"/>
        <v>R1013</v>
      </c>
      <c r="O1658" s="17">
        <f t="shared" si="6"/>
        <v>41</v>
      </c>
      <c r="P1658" s="18">
        <v>29912.0</v>
      </c>
    </row>
    <row r="1659" ht="15.75" customHeight="1">
      <c r="A1659" s="9" t="s">
        <v>323</v>
      </c>
      <c r="B1659" s="17">
        <v>1982.0</v>
      </c>
      <c r="C1659" s="9" t="s">
        <v>4730</v>
      </c>
      <c r="D1659" s="9">
        <v>20.0</v>
      </c>
      <c r="E1659" s="18">
        <f t="shared" si="1"/>
        <v>30122</v>
      </c>
      <c r="F1659" s="9">
        <v>3.0</v>
      </c>
      <c r="G1659" s="19">
        <v>37650.74</v>
      </c>
      <c r="H1659" s="9" t="s">
        <v>4723</v>
      </c>
      <c r="I1659" s="9" t="s">
        <v>4723</v>
      </c>
      <c r="J1659" s="9" t="s">
        <v>4733</v>
      </c>
      <c r="K1659" s="20">
        <f t="shared" si="2"/>
        <v>1982</v>
      </c>
      <c r="L1659" s="9" t="str">
        <f t="shared" si="3"/>
        <v>tier - 2</v>
      </c>
      <c r="M1659" s="9" t="str">
        <f t="shared" si="4"/>
        <v>tier - 2</v>
      </c>
      <c r="N1659" s="9" t="str">
        <f t="shared" si="5"/>
        <v>R1012</v>
      </c>
      <c r="O1659" s="17">
        <f t="shared" si="6"/>
        <v>40</v>
      </c>
      <c r="P1659" s="18">
        <v>30122.0</v>
      </c>
    </row>
    <row r="1660" ht="15.75" customHeight="1">
      <c r="A1660" s="9" t="s">
        <v>3219</v>
      </c>
      <c r="B1660" s="17">
        <v>1981.0</v>
      </c>
      <c r="C1660" s="9" t="s">
        <v>4720</v>
      </c>
      <c r="D1660" s="9">
        <v>1.0</v>
      </c>
      <c r="E1660" s="18">
        <f t="shared" si="1"/>
        <v>29860</v>
      </c>
      <c r="F1660" s="9">
        <v>0.0</v>
      </c>
      <c r="G1660" s="19">
        <v>6186.13</v>
      </c>
      <c r="H1660" s="9" t="s">
        <v>4723</v>
      </c>
      <c r="I1660" s="9" t="s">
        <v>4717</v>
      </c>
      <c r="J1660" s="9" t="s">
        <v>4719</v>
      </c>
      <c r="K1660" s="20">
        <f t="shared" si="2"/>
        <v>1981</v>
      </c>
      <c r="L1660" s="9" t="str">
        <f t="shared" si="3"/>
        <v>tier - 2</v>
      </c>
      <c r="M1660" s="9" t="str">
        <f t="shared" si="4"/>
        <v>tier - 3</v>
      </c>
      <c r="N1660" s="9" t="str">
        <f t="shared" si="5"/>
        <v>R1011</v>
      </c>
      <c r="O1660" s="17">
        <f t="shared" si="6"/>
        <v>41</v>
      </c>
      <c r="P1660" s="18">
        <v>29860.0</v>
      </c>
    </row>
    <row r="1661" ht="15.75" customHeight="1">
      <c r="A1661" s="9" t="s">
        <v>3217</v>
      </c>
      <c r="B1661" s="17">
        <v>1988.0</v>
      </c>
      <c r="C1661" s="9" t="s">
        <v>4720</v>
      </c>
      <c r="D1661" s="9">
        <v>23.0</v>
      </c>
      <c r="E1661" s="18">
        <f t="shared" si="1"/>
        <v>32439</v>
      </c>
      <c r="F1661" s="9">
        <v>3.0</v>
      </c>
      <c r="G1661" s="19">
        <v>6196.45</v>
      </c>
      <c r="H1661" s="9" t="s">
        <v>4723</v>
      </c>
      <c r="I1661" s="9" t="s">
        <v>4718</v>
      </c>
      <c r="J1661" s="9" t="s">
        <v>4719</v>
      </c>
      <c r="K1661" s="20">
        <f t="shared" si="2"/>
        <v>1988</v>
      </c>
      <c r="L1661" s="9" t="str">
        <f t="shared" si="3"/>
        <v>tier - 2</v>
      </c>
      <c r="M1661" s="9" t="str">
        <f t="shared" si="4"/>
        <v>tier - 1</v>
      </c>
      <c r="N1661" s="9" t="str">
        <f t="shared" si="5"/>
        <v>R1011</v>
      </c>
      <c r="O1661" s="17">
        <f t="shared" si="6"/>
        <v>34</v>
      </c>
      <c r="P1661" s="18">
        <v>32439.0</v>
      </c>
    </row>
    <row r="1662" ht="15.75" customHeight="1">
      <c r="A1662" s="9" t="s">
        <v>3215</v>
      </c>
      <c r="B1662" s="17">
        <v>1985.0</v>
      </c>
      <c r="C1662" s="9" t="s">
        <v>4741</v>
      </c>
      <c r="D1662" s="9">
        <v>22.0</v>
      </c>
      <c r="E1662" s="18">
        <f t="shared" si="1"/>
        <v>31250</v>
      </c>
      <c r="F1662" s="9">
        <v>2.0</v>
      </c>
      <c r="G1662" s="19">
        <v>6198.75</v>
      </c>
      <c r="H1662" s="9" t="s">
        <v>4723</v>
      </c>
      <c r="I1662" s="9" t="s">
        <v>4718</v>
      </c>
      <c r="J1662" s="9" t="s">
        <v>4733</v>
      </c>
      <c r="K1662" s="20">
        <f t="shared" si="2"/>
        <v>1985</v>
      </c>
      <c r="L1662" s="9" t="str">
        <f t="shared" si="3"/>
        <v>tier - 2</v>
      </c>
      <c r="M1662" s="9" t="str">
        <f t="shared" si="4"/>
        <v>tier - 1</v>
      </c>
      <c r="N1662" s="9" t="str">
        <f t="shared" si="5"/>
        <v>R1012</v>
      </c>
      <c r="O1662" s="17">
        <f t="shared" si="6"/>
        <v>37</v>
      </c>
      <c r="P1662" s="18">
        <v>31250.0</v>
      </c>
    </row>
    <row r="1663" ht="15.75" customHeight="1">
      <c r="A1663" s="9" t="s">
        <v>3213</v>
      </c>
      <c r="B1663" s="17">
        <v>1985.0</v>
      </c>
      <c r="C1663" s="9" t="s">
        <v>4738</v>
      </c>
      <c r="D1663" s="9">
        <v>22.0</v>
      </c>
      <c r="E1663" s="18">
        <f t="shared" si="1"/>
        <v>31312</v>
      </c>
      <c r="F1663" s="9">
        <v>2.0</v>
      </c>
      <c r="G1663" s="19">
        <v>6203.9</v>
      </c>
      <c r="H1663" s="9" t="s">
        <v>4723</v>
      </c>
      <c r="I1663" s="9" t="s">
        <v>4723</v>
      </c>
      <c r="J1663" s="9" t="s">
        <v>4733</v>
      </c>
      <c r="K1663" s="20">
        <f t="shared" si="2"/>
        <v>1985</v>
      </c>
      <c r="L1663" s="9" t="str">
        <f t="shared" si="3"/>
        <v>tier - 2</v>
      </c>
      <c r="M1663" s="9" t="str">
        <f t="shared" si="4"/>
        <v>tier - 2</v>
      </c>
      <c r="N1663" s="9" t="str">
        <f t="shared" si="5"/>
        <v>R1012</v>
      </c>
      <c r="O1663" s="17">
        <f t="shared" si="6"/>
        <v>37</v>
      </c>
      <c r="P1663" s="18">
        <v>31312.0</v>
      </c>
    </row>
    <row r="1664" ht="15.75" customHeight="1">
      <c r="A1664" s="9" t="s">
        <v>3211</v>
      </c>
      <c r="B1664" s="17">
        <v>1999.0</v>
      </c>
      <c r="C1664" s="9" t="s">
        <v>4738</v>
      </c>
      <c r="D1664" s="9">
        <v>10.0</v>
      </c>
      <c r="E1664" s="18">
        <f t="shared" si="1"/>
        <v>36413</v>
      </c>
      <c r="F1664" s="9">
        <v>0.0</v>
      </c>
      <c r="G1664" s="19">
        <v>6207.26</v>
      </c>
      <c r="H1664" s="9" t="s">
        <v>4723</v>
      </c>
      <c r="I1664" s="9" t="s">
        <v>4723</v>
      </c>
      <c r="J1664" s="9" t="s">
        <v>4721</v>
      </c>
      <c r="K1664" s="20">
        <f t="shared" si="2"/>
        <v>1999</v>
      </c>
      <c r="L1664" s="9" t="str">
        <f t="shared" si="3"/>
        <v>tier - 2</v>
      </c>
      <c r="M1664" s="9" t="str">
        <f t="shared" si="4"/>
        <v>tier - 2</v>
      </c>
      <c r="N1664" s="9" t="str">
        <f t="shared" si="5"/>
        <v>R1026</v>
      </c>
      <c r="O1664" s="17">
        <f t="shared" si="6"/>
        <v>23</v>
      </c>
      <c r="P1664" s="18">
        <v>36413.0</v>
      </c>
    </row>
    <row r="1665" ht="15.75" customHeight="1">
      <c r="A1665" s="9" t="s">
        <v>3209</v>
      </c>
      <c r="B1665" s="17">
        <v>1992.0</v>
      </c>
      <c r="C1665" s="9" t="s">
        <v>4716</v>
      </c>
      <c r="D1665" s="9">
        <v>12.0</v>
      </c>
      <c r="E1665" s="18">
        <f t="shared" si="1"/>
        <v>33828</v>
      </c>
      <c r="F1665" s="9">
        <v>0.0</v>
      </c>
      <c r="G1665" s="19">
        <v>6208.5</v>
      </c>
      <c r="H1665" s="9" t="s">
        <v>4723</v>
      </c>
      <c r="I1665" s="9" t="s">
        <v>4718</v>
      </c>
      <c r="J1665" s="9" t="s">
        <v>4751</v>
      </c>
      <c r="K1665" s="20">
        <f t="shared" si="2"/>
        <v>1992</v>
      </c>
      <c r="L1665" s="9" t="str">
        <f t="shared" si="3"/>
        <v>tier - 2</v>
      </c>
      <c r="M1665" s="9" t="str">
        <f t="shared" si="4"/>
        <v>tier - 1</v>
      </c>
      <c r="N1665" s="9" t="str">
        <f t="shared" si="5"/>
        <v>R1021</v>
      </c>
      <c r="O1665" s="17">
        <f t="shared" si="6"/>
        <v>30</v>
      </c>
      <c r="P1665" s="18">
        <v>33828.0</v>
      </c>
    </row>
    <row r="1666" ht="15.75" customHeight="1">
      <c r="A1666" s="9" t="s">
        <v>3207</v>
      </c>
      <c r="B1666" s="17">
        <v>1972.0</v>
      </c>
      <c r="C1666" s="9" t="s">
        <v>4730</v>
      </c>
      <c r="D1666" s="9">
        <v>29.0</v>
      </c>
      <c r="E1666" s="18">
        <f t="shared" si="1"/>
        <v>26479</v>
      </c>
      <c r="F1666" s="9">
        <v>0.0</v>
      </c>
      <c r="G1666" s="19">
        <v>6219.93</v>
      </c>
      <c r="H1666" s="9" t="s">
        <v>4723</v>
      </c>
      <c r="I1666" s="9" t="s">
        <v>4723</v>
      </c>
      <c r="J1666" s="9" t="s">
        <v>4743</v>
      </c>
      <c r="K1666" s="20">
        <f t="shared" si="2"/>
        <v>1972</v>
      </c>
      <c r="L1666" s="9" t="str">
        <f t="shared" si="3"/>
        <v>tier - 2</v>
      </c>
      <c r="M1666" s="9" t="str">
        <f t="shared" si="4"/>
        <v>tier - 2</v>
      </c>
      <c r="N1666" s="9" t="str">
        <f t="shared" si="5"/>
        <v>R1013</v>
      </c>
      <c r="O1666" s="17">
        <f t="shared" si="6"/>
        <v>50</v>
      </c>
      <c r="P1666" s="18">
        <v>26479.0</v>
      </c>
    </row>
    <row r="1667" ht="15.75" customHeight="1">
      <c r="A1667" s="9" t="s">
        <v>3205</v>
      </c>
      <c r="B1667" s="17">
        <v>1978.0</v>
      </c>
      <c r="C1667" s="9" t="s">
        <v>4738</v>
      </c>
      <c r="D1667" s="9">
        <v>19.0</v>
      </c>
      <c r="E1667" s="18">
        <f t="shared" si="1"/>
        <v>28752</v>
      </c>
      <c r="F1667" s="9">
        <v>2.0</v>
      </c>
      <c r="G1667" s="19">
        <v>6236.95</v>
      </c>
      <c r="H1667" s="9" t="s">
        <v>4723</v>
      </c>
      <c r="I1667" s="9" t="s">
        <v>4723</v>
      </c>
      <c r="J1667" s="9" t="s">
        <v>4743</v>
      </c>
      <c r="K1667" s="20">
        <f t="shared" si="2"/>
        <v>1978</v>
      </c>
      <c r="L1667" s="9" t="str">
        <f t="shared" si="3"/>
        <v>tier - 2</v>
      </c>
      <c r="M1667" s="9" t="str">
        <f t="shared" si="4"/>
        <v>tier - 2</v>
      </c>
      <c r="N1667" s="9" t="str">
        <f t="shared" si="5"/>
        <v>R1013</v>
      </c>
      <c r="O1667" s="17">
        <f t="shared" si="6"/>
        <v>44</v>
      </c>
      <c r="P1667" s="18">
        <v>28752.0</v>
      </c>
    </row>
    <row r="1668" ht="15.75" customHeight="1">
      <c r="A1668" s="9" t="s">
        <v>3203</v>
      </c>
      <c r="B1668" s="17">
        <v>1983.0</v>
      </c>
      <c r="C1668" s="9" t="s">
        <v>4716</v>
      </c>
      <c r="D1668" s="9">
        <v>11.0</v>
      </c>
      <c r="E1668" s="18">
        <f t="shared" si="1"/>
        <v>30539</v>
      </c>
      <c r="F1668" s="9">
        <v>1.0</v>
      </c>
      <c r="G1668" s="19">
        <v>6238.3</v>
      </c>
      <c r="H1668" s="9" t="s">
        <v>4723</v>
      </c>
      <c r="I1668" s="9" t="s">
        <v>4718</v>
      </c>
      <c r="J1668" s="9" t="s">
        <v>4719</v>
      </c>
      <c r="K1668" s="20">
        <f t="shared" si="2"/>
        <v>1983</v>
      </c>
      <c r="L1668" s="9" t="str">
        <f t="shared" si="3"/>
        <v>tier - 2</v>
      </c>
      <c r="M1668" s="9" t="str">
        <f t="shared" si="4"/>
        <v>tier - 1</v>
      </c>
      <c r="N1668" s="9" t="str">
        <f t="shared" si="5"/>
        <v>R1011</v>
      </c>
      <c r="O1668" s="17">
        <f t="shared" si="6"/>
        <v>39</v>
      </c>
      <c r="P1668" s="18">
        <v>30539.0</v>
      </c>
    </row>
    <row r="1669" ht="15.75" customHeight="1">
      <c r="A1669" s="9" t="s">
        <v>3201</v>
      </c>
      <c r="B1669" s="17">
        <v>1979.0</v>
      </c>
      <c r="C1669" s="9" t="s">
        <v>4720</v>
      </c>
      <c r="D1669" s="9">
        <v>10.0</v>
      </c>
      <c r="E1669" s="18">
        <f t="shared" si="1"/>
        <v>29138</v>
      </c>
      <c r="F1669" s="9">
        <v>0.0</v>
      </c>
      <c r="G1669" s="19">
        <v>6250.44</v>
      </c>
      <c r="H1669" s="9" t="s">
        <v>4723</v>
      </c>
      <c r="I1669" s="9" t="s">
        <v>4718</v>
      </c>
      <c r="J1669" s="9" t="s">
        <v>4719</v>
      </c>
      <c r="K1669" s="20">
        <f t="shared" si="2"/>
        <v>1979</v>
      </c>
      <c r="L1669" s="9" t="str">
        <f t="shared" si="3"/>
        <v>tier - 2</v>
      </c>
      <c r="M1669" s="9" t="str">
        <f t="shared" si="4"/>
        <v>tier - 1</v>
      </c>
      <c r="N1669" s="9" t="str">
        <f t="shared" si="5"/>
        <v>R1011</v>
      </c>
      <c r="O1669" s="17">
        <f t="shared" si="6"/>
        <v>43</v>
      </c>
      <c r="P1669" s="18">
        <v>29138.0</v>
      </c>
    </row>
    <row r="1670" ht="15.75" customHeight="1">
      <c r="A1670" s="9" t="s">
        <v>321</v>
      </c>
      <c r="B1670" s="17">
        <v>1970.0</v>
      </c>
      <c r="C1670" s="9" t="s">
        <v>4720</v>
      </c>
      <c r="D1670" s="9">
        <v>28.0</v>
      </c>
      <c r="E1670" s="18">
        <f t="shared" si="1"/>
        <v>25869</v>
      </c>
      <c r="F1670" s="9">
        <v>0.0</v>
      </c>
      <c r="G1670" s="19">
        <v>37675.06</v>
      </c>
      <c r="H1670" s="9" t="s">
        <v>4723</v>
      </c>
      <c r="I1670" s="9" t="s">
        <v>4717</v>
      </c>
      <c r="J1670" s="9" t="s">
        <v>4719</v>
      </c>
      <c r="K1670" s="20">
        <f t="shared" si="2"/>
        <v>1970</v>
      </c>
      <c r="L1670" s="9" t="str">
        <f t="shared" si="3"/>
        <v>tier - 2</v>
      </c>
      <c r="M1670" s="9" t="str">
        <f t="shared" si="4"/>
        <v>tier - 3</v>
      </c>
      <c r="N1670" s="9" t="str">
        <f t="shared" si="5"/>
        <v>R1011</v>
      </c>
      <c r="O1670" s="17">
        <f t="shared" si="6"/>
        <v>52</v>
      </c>
      <c r="P1670" s="18">
        <v>25869.0</v>
      </c>
    </row>
    <row r="1671" ht="15.75" customHeight="1">
      <c r="A1671" s="9" t="s">
        <v>33</v>
      </c>
      <c r="B1671" s="17">
        <v>1962.0</v>
      </c>
      <c r="C1671" s="9" t="s">
        <v>4716</v>
      </c>
      <c r="D1671" s="9">
        <v>27.0</v>
      </c>
      <c r="E1671" s="18">
        <f t="shared" si="1"/>
        <v>22885</v>
      </c>
      <c r="F1671" s="9">
        <v>0.0</v>
      </c>
      <c r="G1671" s="19">
        <v>48173.36</v>
      </c>
      <c r="H1671" s="9" t="s">
        <v>4718</v>
      </c>
      <c r="I1671" s="9" t="s">
        <v>4717</v>
      </c>
      <c r="J1671" s="9" t="s">
        <v>4719</v>
      </c>
      <c r="K1671" s="20">
        <f t="shared" si="2"/>
        <v>1962</v>
      </c>
      <c r="L1671" s="9" t="str">
        <f t="shared" si="3"/>
        <v>tier - 1</v>
      </c>
      <c r="M1671" s="9" t="str">
        <f t="shared" si="4"/>
        <v>tier - 3</v>
      </c>
      <c r="N1671" s="9" t="str">
        <f t="shared" si="5"/>
        <v>R1011</v>
      </c>
      <c r="O1671" s="17">
        <f t="shared" si="6"/>
        <v>60</v>
      </c>
      <c r="P1671" s="18">
        <v>22885.0</v>
      </c>
    </row>
    <row r="1672" ht="15.75" customHeight="1">
      <c r="A1672" s="9" t="s">
        <v>3199</v>
      </c>
      <c r="B1672" s="17">
        <v>1972.0</v>
      </c>
      <c r="C1672" s="9" t="s">
        <v>4735</v>
      </c>
      <c r="D1672" s="9">
        <v>11.0</v>
      </c>
      <c r="E1672" s="18">
        <f t="shared" si="1"/>
        <v>26614</v>
      </c>
      <c r="F1672" s="9">
        <v>0.0</v>
      </c>
      <c r="G1672" s="19">
        <v>6253.85</v>
      </c>
      <c r="H1672" s="9" t="s">
        <v>4723</v>
      </c>
      <c r="I1672" s="9" t="s">
        <v>4723</v>
      </c>
      <c r="J1672" s="9" t="s">
        <v>4743</v>
      </c>
      <c r="K1672" s="20">
        <f t="shared" si="2"/>
        <v>1972</v>
      </c>
      <c r="L1672" s="9" t="str">
        <f t="shared" si="3"/>
        <v>tier - 2</v>
      </c>
      <c r="M1672" s="9" t="str">
        <f t="shared" si="4"/>
        <v>tier - 2</v>
      </c>
      <c r="N1672" s="9" t="str">
        <f t="shared" si="5"/>
        <v>R1013</v>
      </c>
      <c r="O1672" s="17">
        <f t="shared" si="6"/>
        <v>50</v>
      </c>
      <c r="P1672" s="18">
        <v>26614.0</v>
      </c>
    </row>
    <row r="1673" ht="15.75" customHeight="1">
      <c r="A1673" s="9" t="s">
        <v>3197</v>
      </c>
      <c r="B1673" s="17">
        <v>1972.0</v>
      </c>
      <c r="C1673" s="9" t="s">
        <v>4738</v>
      </c>
      <c r="D1673" s="9">
        <v>8.0</v>
      </c>
      <c r="E1673" s="18">
        <f t="shared" si="1"/>
        <v>26550</v>
      </c>
      <c r="F1673" s="9">
        <v>0.0</v>
      </c>
      <c r="G1673" s="19">
        <v>6254.13</v>
      </c>
      <c r="H1673" s="9" t="s">
        <v>4723</v>
      </c>
      <c r="I1673" s="9" t="s">
        <v>4723</v>
      </c>
      <c r="J1673" s="9" t="s">
        <v>4733</v>
      </c>
      <c r="K1673" s="20">
        <f t="shared" si="2"/>
        <v>1972</v>
      </c>
      <c r="L1673" s="9" t="str">
        <f t="shared" si="3"/>
        <v>tier - 2</v>
      </c>
      <c r="M1673" s="9" t="str">
        <f t="shared" si="4"/>
        <v>tier - 2</v>
      </c>
      <c r="N1673" s="9" t="str">
        <f t="shared" si="5"/>
        <v>R1012</v>
      </c>
      <c r="O1673" s="17">
        <f t="shared" si="6"/>
        <v>50</v>
      </c>
      <c r="P1673" s="18">
        <v>26550.0</v>
      </c>
    </row>
    <row r="1674" ht="15.75" customHeight="1">
      <c r="A1674" s="9" t="s">
        <v>3195</v>
      </c>
      <c r="B1674" s="17">
        <v>1970.0</v>
      </c>
      <c r="C1674" s="9" t="s">
        <v>4720</v>
      </c>
      <c r="D1674" s="9">
        <v>11.0</v>
      </c>
      <c r="E1674" s="18">
        <f t="shared" si="1"/>
        <v>25852</v>
      </c>
      <c r="F1674" s="9">
        <v>0.0</v>
      </c>
      <c r="G1674" s="19">
        <v>6255.38</v>
      </c>
      <c r="H1674" s="9" t="s">
        <v>4723</v>
      </c>
      <c r="I1674" s="9" t="s">
        <v>4723</v>
      </c>
      <c r="J1674" s="9" t="s">
        <v>4743</v>
      </c>
      <c r="K1674" s="20">
        <f t="shared" si="2"/>
        <v>1970</v>
      </c>
      <c r="L1674" s="9" t="str">
        <f t="shared" si="3"/>
        <v>tier - 2</v>
      </c>
      <c r="M1674" s="9" t="str">
        <f t="shared" si="4"/>
        <v>tier - 2</v>
      </c>
      <c r="N1674" s="9" t="str">
        <f t="shared" si="5"/>
        <v>R1013</v>
      </c>
      <c r="O1674" s="17">
        <f t="shared" si="6"/>
        <v>52</v>
      </c>
      <c r="P1674" s="18">
        <v>25852.0</v>
      </c>
    </row>
    <row r="1675" ht="15.75" customHeight="1">
      <c r="A1675" s="9" t="s">
        <v>3193</v>
      </c>
      <c r="B1675" s="17">
        <v>1995.0</v>
      </c>
      <c r="C1675" s="9" t="s">
        <v>4720</v>
      </c>
      <c r="D1675" s="9">
        <v>17.0</v>
      </c>
      <c r="E1675" s="18">
        <f t="shared" si="1"/>
        <v>34989</v>
      </c>
      <c r="F1675" s="9">
        <v>0.0</v>
      </c>
      <c r="G1675" s="19">
        <v>6261.2</v>
      </c>
      <c r="H1675" s="9" t="s">
        <v>4723</v>
      </c>
      <c r="I1675" s="9" t="s">
        <v>4718</v>
      </c>
      <c r="J1675" s="9" t="s">
        <v>4721</v>
      </c>
      <c r="K1675" s="20">
        <f t="shared" si="2"/>
        <v>1995</v>
      </c>
      <c r="L1675" s="9" t="str">
        <f t="shared" si="3"/>
        <v>tier - 2</v>
      </c>
      <c r="M1675" s="9" t="str">
        <f t="shared" si="4"/>
        <v>tier - 1</v>
      </c>
      <c r="N1675" s="9" t="str">
        <f t="shared" si="5"/>
        <v>R1026</v>
      </c>
      <c r="O1675" s="17">
        <f t="shared" si="6"/>
        <v>27</v>
      </c>
      <c r="P1675" s="18">
        <v>34989.0</v>
      </c>
    </row>
    <row r="1676" ht="15.75" customHeight="1">
      <c r="A1676" s="9" t="s">
        <v>3191</v>
      </c>
      <c r="B1676" s="17">
        <v>1984.0</v>
      </c>
      <c r="C1676" s="9" t="s">
        <v>4738</v>
      </c>
      <c r="D1676" s="9">
        <v>25.0</v>
      </c>
      <c r="E1676" s="18">
        <f t="shared" si="1"/>
        <v>30950</v>
      </c>
      <c r="F1676" s="9">
        <v>3.0</v>
      </c>
      <c r="G1676" s="19">
        <v>6269.33</v>
      </c>
      <c r="H1676" s="9" t="s">
        <v>4723</v>
      </c>
      <c r="I1676" s="9" t="s">
        <v>4718</v>
      </c>
      <c r="J1676" s="9" t="s">
        <v>4743</v>
      </c>
      <c r="K1676" s="20">
        <f t="shared" si="2"/>
        <v>1984</v>
      </c>
      <c r="L1676" s="9" t="str">
        <f t="shared" si="3"/>
        <v>tier - 2</v>
      </c>
      <c r="M1676" s="9" t="str">
        <f t="shared" si="4"/>
        <v>tier - 1</v>
      </c>
      <c r="N1676" s="9" t="str">
        <f t="shared" si="5"/>
        <v>R1013</v>
      </c>
      <c r="O1676" s="17">
        <f t="shared" si="6"/>
        <v>38</v>
      </c>
      <c r="P1676" s="18">
        <v>30950.0</v>
      </c>
    </row>
    <row r="1677" ht="15.75" customHeight="1">
      <c r="A1677" s="9" t="s">
        <v>3189</v>
      </c>
      <c r="B1677" s="17">
        <v>1981.0</v>
      </c>
      <c r="C1677" s="9" t="s">
        <v>4730</v>
      </c>
      <c r="D1677" s="9">
        <v>30.0</v>
      </c>
      <c r="E1677" s="18">
        <f t="shared" si="1"/>
        <v>29767</v>
      </c>
      <c r="F1677" s="9">
        <v>1.0</v>
      </c>
      <c r="G1677" s="19">
        <v>6272.48</v>
      </c>
      <c r="H1677" s="9" t="s">
        <v>4718</v>
      </c>
      <c r="I1677" s="9" t="s">
        <v>4717</v>
      </c>
      <c r="J1677" s="9" t="s">
        <v>4743</v>
      </c>
      <c r="K1677" s="20">
        <f t="shared" si="2"/>
        <v>1981</v>
      </c>
      <c r="L1677" s="9" t="str">
        <f t="shared" si="3"/>
        <v>tier - 1</v>
      </c>
      <c r="M1677" s="9" t="str">
        <f t="shared" si="4"/>
        <v>tier - 3</v>
      </c>
      <c r="N1677" s="9" t="str">
        <f t="shared" si="5"/>
        <v>R1013</v>
      </c>
      <c r="O1677" s="17">
        <f t="shared" si="6"/>
        <v>41</v>
      </c>
      <c r="P1677" s="18">
        <v>29767.0</v>
      </c>
    </row>
    <row r="1678" ht="15.75" customHeight="1">
      <c r="A1678" s="9" t="s">
        <v>3187</v>
      </c>
      <c r="B1678" s="17">
        <v>1993.0</v>
      </c>
      <c r="C1678" s="9" t="s">
        <v>4720</v>
      </c>
      <c r="D1678" s="9">
        <v>16.0</v>
      </c>
      <c r="E1678" s="18">
        <f t="shared" si="1"/>
        <v>34258</v>
      </c>
      <c r="F1678" s="9">
        <v>0.0</v>
      </c>
      <c r="G1678" s="19">
        <v>6276.3</v>
      </c>
      <c r="H1678" s="9" t="s">
        <v>4723</v>
      </c>
      <c r="I1678" s="9" t="s">
        <v>4718</v>
      </c>
      <c r="J1678" s="9" t="s">
        <v>4726</v>
      </c>
      <c r="K1678" s="20">
        <f t="shared" si="2"/>
        <v>1993</v>
      </c>
      <c r="L1678" s="9" t="str">
        <f t="shared" si="3"/>
        <v>tier - 2</v>
      </c>
      <c r="M1678" s="9" t="str">
        <f t="shared" si="4"/>
        <v>tier - 1</v>
      </c>
      <c r="N1678" s="9" t="str">
        <f t="shared" si="5"/>
        <v>R1025</v>
      </c>
      <c r="O1678" s="17">
        <f t="shared" si="6"/>
        <v>29</v>
      </c>
      <c r="P1678" s="18">
        <v>34258.0</v>
      </c>
    </row>
    <row r="1679" ht="15.75" customHeight="1">
      <c r="A1679" s="9" t="s">
        <v>3185</v>
      </c>
      <c r="B1679" s="17">
        <v>1981.0</v>
      </c>
      <c r="C1679" s="9" t="s">
        <v>4735</v>
      </c>
      <c r="D1679" s="9">
        <v>24.0</v>
      </c>
      <c r="E1679" s="18">
        <f t="shared" si="1"/>
        <v>29914</v>
      </c>
      <c r="F1679" s="9">
        <v>1.0</v>
      </c>
      <c r="G1679" s="19">
        <v>6282.24</v>
      </c>
      <c r="H1679" s="9" t="s">
        <v>4723</v>
      </c>
      <c r="I1679" s="9" t="s">
        <v>4718</v>
      </c>
      <c r="J1679" s="9" t="s">
        <v>4719</v>
      </c>
      <c r="K1679" s="20">
        <f t="shared" si="2"/>
        <v>1981</v>
      </c>
      <c r="L1679" s="9" t="str">
        <f t="shared" si="3"/>
        <v>tier - 2</v>
      </c>
      <c r="M1679" s="9" t="str">
        <f t="shared" si="4"/>
        <v>tier - 1</v>
      </c>
      <c r="N1679" s="9" t="str">
        <f t="shared" si="5"/>
        <v>R1011</v>
      </c>
      <c r="O1679" s="17">
        <f t="shared" si="6"/>
        <v>41</v>
      </c>
      <c r="P1679" s="18">
        <v>29914.0</v>
      </c>
    </row>
    <row r="1680" ht="15.75" customHeight="1">
      <c r="A1680" s="9" t="s">
        <v>3183</v>
      </c>
      <c r="B1680" s="17">
        <v>1981.0</v>
      </c>
      <c r="C1680" s="9" t="s">
        <v>4716</v>
      </c>
      <c r="D1680" s="9">
        <v>26.0</v>
      </c>
      <c r="E1680" s="18">
        <f t="shared" si="1"/>
        <v>29824</v>
      </c>
      <c r="F1680" s="9">
        <v>1.0</v>
      </c>
      <c r="G1680" s="19">
        <v>6289.75</v>
      </c>
      <c r="H1680" s="9" t="s">
        <v>4723</v>
      </c>
      <c r="I1680" s="9" t="s">
        <v>4717</v>
      </c>
      <c r="J1680" s="9" t="s">
        <v>4743</v>
      </c>
      <c r="K1680" s="20">
        <f t="shared" si="2"/>
        <v>1981</v>
      </c>
      <c r="L1680" s="9" t="str">
        <f t="shared" si="3"/>
        <v>tier - 2</v>
      </c>
      <c r="M1680" s="9" t="str">
        <f t="shared" si="4"/>
        <v>tier - 3</v>
      </c>
      <c r="N1680" s="9" t="str">
        <f t="shared" si="5"/>
        <v>R1013</v>
      </c>
      <c r="O1680" s="17">
        <f t="shared" si="6"/>
        <v>41</v>
      </c>
      <c r="P1680" s="18">
        <v>29824.0</v>
      </c>
    </row>
    <row r="1681" ht="15.75" customHeight="1">
      <c r="A1681" s="9" t="s">
        <v>3181</v>
      </c>
      <c r="B1681" s="17">
        <v>1996.0</v>
      </c>
      <c r="C1681" s="9" t="s">
        <v>4741</v>
      </c>
      <c r="D1681" s="9">
        <v>4.0</v>
      </c>
      <c r="E1681" s="18">
        <f t="shared" si="1"/>
        <v>35250</v>
      </c>
      <c r="F1681" s="9">
        <v>0.0</v>
      </c>
      <c r="G1681" s="19">
        <v>6293.63</v>
      </c>
      <c r="H1681" s="9" t="s">
        <v>4723</v>
      </c>
      <c r="I1681" s="9" t="s">
        <v>4717</v>
      </c>
      <c r="J1681" s="9" t="s">
        <v>4751</v>
      </c>
      <c r="K1681" s="20">
        <f t="shared" si="2"/>
        <v>1996</v>
      </c>
      <c r="L1681" s="9" t="str">
        <f t="shared" si="3"/>
        <v>tier - 2</v>
      </c>
      <c r="M1681" s="9" t="str">
        <f t="shared" si="4"/>
        <v>tier - 3</v>
      </c>
      <c r="N1681" s="9" t="str">
        <f t="shared" si="5"/>
        <v>R1021</v>
      </c>
      <c r="O1681" s="17">
        <f t="shared" si="6"/>
        <v>26</v>
      </c>
      <c r="P1681" s="18">
        <v>35250.0</v>
      </c>
    </row>
    <row r="1682" ht="15.75" customHeight="1">
      <c r="A1682" s="9" t="s">
        <v>319</v>
      </c>
      <c r="B1682" s="17">
        <v>1988.0</v>
      </c>
      <c r="C1682" s="9" t="s">
        <v>4720</v>
      </c>
      <c r="D1682" s="9">
        <v>10.0</v>
      </c>
      <c r="E1682" s="18">
        <f t="shared" si="1"/>
        <v>32426</v>
      </c>
      <c r="F1682" s="9">
        <v>1.0</v>
      </c>
      <c r="G1682" s="19">
        <v>37701.88</v>
      </c>
      <c r="H1682" s="9" t="s">
        <v>4723</v>
      </c>
      <c r="I1682" s="9" t="s">
        <v>4717</v>
      </c>
      <c r="J1682" s="9" t="s">
        <v>4756</v>
      </c>
      <c r="K1682" s="20">
        <f t="shared" si="2"/>
        <v>1988</v>
      </c>
      <c r="L1682" s="9" t="str">
        <f t="shared" si="3"/>
        <v>tier - 2</v>
      </c>
      <c r="M1682" s="9" t="str">
        <f t="shared" si="4"/>
        <v>tier - 3</v>
      </c>
      <c r="N1682" s="9" t="str">
        <f t="shared" si="5"/>
        <v>R1023</v>
      </c>
      <c r="O1682" s="17">
        <f t="shared" si="6"/>
        <v>34</v>
      </c>
      <c r="P1682" s="18">
        <v>32426.0</v>
      </c>
    </row>
    <row r="1683" ht="15.75" customHeight="1">
      <c r="A1683" s="9" t="s">
        <v>3179</v>
      </c>
      <c r="B1683" s="17">
        <v>1974.0</v>
      </c>
      <c r="C1683" s="9" t="s">
        <v>4738</v>
      </c>
      <c r="D1683" s="9">
        <v>17.0</v>
      </c>
      <c r="E1683" s="18">
        <f t="shared" si="1"/>
        <v>27289</v>
      </c>
      <c r="F1683" s="9">
        <v>0.0</v>
      </c>
      <c r="G1683" s="19">
        <v>6302.23</v>
      </c>
      <c r="H1683" s="9" t="s">
        <v>4723</v>
      </c>
      <c r="I1683" s="9" t="s">
        <v>4718</v>
      </c>
      <c r="J1683" s="9" t="s">
        <v>4743</v>
      </c>
      <c r="K1683" s="20">
        <f t="shared" si="2"/>
        <v>1974</v>
      </c>
      <c r="L1683" s="9" t="str">
        <f t="shared" si="3"/>
        <v>tier - 2</v>
      </c>
      <c r="M1683" s="9" t="str">
        <f t="shared" si="4"/>
        <v>tier - 1</v>
      </c>
      <c r="N1683" s="9" t="str">
        <f t="shared" si="5"/>
        <v>R1013</v>
      </c>
      <c r="O1683" s="17">
        <f t="shared" si="6"/>
        <v>48</v>
      </c>
      <c r="P1683" s="18">
        <v>27289.0</v>
      </c>
    </row>
    <row r="1684" ht="15.75" customHeight="1">
      <c r="A1684" s="9" t="s">
        <v>3177</v>
      </c>
      <c r="B1684" s="17">
        <v>1969.0</v>
      </c>
      <c r="C1684" s="9" t="s">
        <v>4738</v>
      </c>
      <c r="D1684" s="9">
        <v>4.0</v>
      </c>
      <c r="E1684" s="18">
        <f t="shared" si="1"/>
        <v>25450</v>
      </c>
      <c r="F1684" s="9">
        <v>0.0</v>
      </c>
      <c r="G1684" s="19">
        <v>6305.61</v>
      </c>
      <c r="H1684" s="9" t="s">
        <v>4723</v>
      </c>
      <c r="I1684" s="9" t="s">
        <v>4723</v>
      </c>
      <c r="J1684" s="9" t="s">
        <v>4733</v>
      </c>
      <c r="K1684" s="20">
        <f t="shared" si="2"/>
        <v>1969</v>
      </c>
      <c r="L1684" s="9" t="str">
        <f t="shared" si="3"/>
        <v>tier - 2</v>
      </c>
      <c r="M1684" s="9" t="str">
        <f t="shared" si="4"/>
        <v>tier - 2</v>
      </c>
      <c r="N1684" s="9" t="str">
        <f t="shared" si="5"/>
        <v>R1012</v>
      </c>
      <c r="O1684" s="17">
        <f t="shared" si="6"/>
        <v>53</v>
      </c>
      <c r="P1684" s="18">
        <v>25450.0</v>
      </c>
    </row>
    <row r="1685" ht="15.75" customHeight="1">
      <c r="A1685" s="9" t="s">
        <v>3175</v>
      </c>
      <c r="B1685" s="17">
        <v>2004.0</v>
      </c>
      <c r="C1685" s="9" t="s">
        <v>4741</v>
      </c>
      <c r="D1685" s="9">
        <v>27.0</v>
      </c>
      <c r="E1685" s="18">
        <f t="shared" si="1"/>
        <v>38195</v>
      </c>
      <c r="F1685" s="9">
        <v>0.0</v>
      </c>
      <c r="G1685" s="19">
        <v>6311.11</v>
      </c>
      <c r="H1685" s="9" t="s">
        <v>4723</v>
      </c>
      <c r="I1685" s="9" t="s">
        <v>4723</v>
      </c>
      <c r="J1685" s="9" t="s">
        <v>4719</v>
      </c>
      <c r="K1685" s="20">
        <f t="shared" si="2"/>
        <v>2004</v>
      </c>
      <c r="L1685" s="9" t="str">
        <f t="shared" si="3"/>
        <v>tier - 2</v>
      </c>
      <c r="M1685" s="9" t="str">
        <f t="shared" si="4"/>
        <v>tier - 2</v>
      </c>
      <c r="N1685" s="9" t="str">
        <f t="shared" si="5"/>
        <v>R1011</v>
      </c>
      <c r="O1685" s="17">
        <f t="shared" si="6"/>
        <v>18</v>
      </c>
      <c r="P1685" s="18">
        <v>38195.0</v>
      </c>
    </row>
    <row r="1686" ht="15.75" customHeight="1">
      <c r="A1686" s="9" t="s">
        <v>3173</v>
      </c>
      <c r="B1686" s="17">
        <v>1985.0</v>
      </c>
      <c r="C1686" s="9" t="s">
        <v>4735</v>
      </c>
      <c r="D1686" s="9">
        <v>19.0</v>
      </c>
      <c r="E1686" s="18">
        <f t="shared" si="1"/>
        <v>31370</v>
      </c>
      <c r="F1686" s="9">
        <v>2.0</v>
      </c>
      <c r="G1686" s="19">
        <v>6311.95</v>
      </c>
      <c r="H1686" s="9" t="s">
        <v>4723</v>
      </c>
      <c r="I1686" s="9" t="s">
        <v>4718</v>
      </c>
      <c r="J1686" s="9" t="s">
        <v>4719</v>
      </c>
      <c r="K1686" s="20">
        <f t="shared" si="2"/>
        <v>1985</v>
      </c>
      <c r="L1686" s="9" t="str">
        <f t="shared" si="3"/>
        <v>tier - 2</v>
      </c>
      <c r="M1686" s="9" t="str">
        <f t="shared" si="4"/>
        <v>tier - 1</v>
      </c>
      <c r="N1686" s="9" t="str">
        <f t="shared" si="5"/>
        <v>R1011</v>
      </c>
      <c r="O1686" s="17">
        <f t="shared" si="6"/>
        <v>37</v>
      </c>
      <c r="P1686" s="18">
        <v>31370.0</v>
      </c>
    </row>
    <row r="1687" ht="15.75" customHeight="1">
      <c r="A1687" s="9" t="s">
        <v>3171</v>
      </c>
      <c r="B1687" s="17">
        <v>1985.0</v>
      </c>
      <c r="C1687" s="9" t="s">
        <v>4725</v>
      </c>
      <c r="D1687" s="9">
        <v>15.0</v>
      </c>
      <c r="E1687" s="18">
        <f t="shared" si="1"/>
        <v>31396</v>
      </c>
      <c r="F1687" s="9">
        <v>2.0</v>
      </c>
      <c r="G1687" s="19">
        <v>6313.76</v>
      </c>
      <c r="H1687" s="9" t="s">
        <v>4723</v>
      </c>
      <c r="I1687" s="9" t="s">
        <v>4718</v>
      </c>
      <c r="J1687" s="9" t="s">
        <v>4743</v>
      </c>
      <c r="K1687" s="20">
        <f t="shared" si="2"/>
        <v>1985</v>
      </c>
      <c r="L1687" s="9" t="str">
        <f t="shared" si="3"/>
        <v>tier - 2</v>
      </c>
      <c r="M1687" s="9" t="str">
        <f t="shared" si="4"/>
        <v>tier - 1</v>
      </c>
      <c r="N1687" s="9" t="str">
        <f t="shared" si="5"/>
        <v>R1013</v>
      </c>
      <c r="O1687" s="17">
        <f t="shared" si="6"/>
        <v>37</v>
      </c>
      <c r="P1687" s="18">
        <v>31396.0</v>
      </c>
    </row>
    <row r="1688" ht="15.75" customHeight="1">
      <c r="A1688" s="9" t="s">
        <v>3169</v>
      </c>
      <c r="B1688" s="17">
        <v>1990.0</v>
      </c>
      <c r="C1688" s="9" t="s">
        <v>4716</v>
      </c>
      <c r="D1688" s="9">
        <v>13.0</v>
      </c>
      <c r="E1688" s="18">
        <f t="shared" si="1"/>
        <v>33098</v>
      </c>
      <c r="F1688" s="9">
        <v>3.0</v>
      </c>
      <c r="G1688" s="19">
        <v>6334.34</v>
      </c>
      <c r="H1688" s="9" t="s">
        <v>4723</v>
      </c>
      <c r="I1688" s="9" t="s">
        <v>4723</v>
      </c>
      <c r="J1688" s="9" t="s">
        <v>4731</v>
      </c>
      <c r="K1688" s="20">
        <f t="shared" si="2"/>
        <v>1990</v>
      </c>
      <c r="L1688" s="9" t="str">
        <f t="shared" si="3"/>
        <v>tier - 2</v>
      </c>
      <c r="M1688" s="9" t="str">
        <f t="shared" si="4"/>
        <v>tier - 2</v>
      </c>
      <c r="N1688" s="9" t="str">
        <f t="shared" si="5"/>
        <v>R1024</v>
      </c>
      <c r="O1688" s="17">
        <f t="shared" si="6"/>
        <v>32</v>
      </c>
      <c r="P1688" s="18">
        <v>33098.0</v>
      </c>
    </row>
    <row r="1689" ht="15.75" customHeight="1">
      <c r="A1689" s="9" t="s">
        <v>3167</v>
      </c>
      <c r="B1689" s="17">
        <v>1986.0</v>
      </c>
      <c r="C1689" s="9" t="s">
        <v>4738</v>
      </c>
      <c r="D1689" s="9">
        <v>25.0</v>
      </c>
      <c r="E1689" s="18">
        <f t="shared" si="1"/>
        <v>31680</v>
      </c>
      <c r="F1689" s="9">
        <v>3.0</v>
      </c>
      <c r="G1689" s="19">
        <v>6335.64</v>
      </c>
      <c r="H1689" s="9" t="s">
        <v>4723</v>
      </c>
      <c r="I1689" s="9" t="s">
        <v>4723</v>
      </c>
      <c r="J1689" s="9" t="s">
        <v>4743</v>
      </c>
      <c r="K1689" s="20">
        <f t="shared" si="2"/>
        <v>1986</v>
      </c>
      <c r="L1689" s="9" t="str">
        <f t="shared" si="3"/>
        <v>tier - 2</v>
      </c>
      <c r="M1689" s="9" t="str">
        <f t="shared" si="4"/>
        <v>tier - 2</v>
      </c>
      <c r="N1689" s="9" t="str">
        <f t="shared" si="5"/>
        <v>R1013</v>
      </c>
      <c r="O1689" s="17">
        <f t="shared" si="6"/>
        <v>36</v>
      </c>
      <c r="P1689" s="18">
        <v>31680.0</v>
      </c>
    </row>
    <row r="1690" ht="15.75" customHeight="1">
      <c r="A1690" s="9" t="s">
        <v>3165</v>
      </c>
      <c r="B1690" s="17">
        <v>1983.0</v>
      </c>
      <c r="C1690" s="9" t="s">
        <v>4720</v>
      </c>
      <c r="D1690" s="9">
        <v>21.0</v>
      </c>
      <c r="E1690" s="18">
        <f t="shared" si="1"/>
        <v>30610</v>
      </c>
      <c r="F1690" s="9">
        <v>2.0</v>
      </c>
      <c r="G1690" s="19">
        <v>6338.08</v>
      </c>
      <c r="H1690" s="9" t="s">
        <v>4723</v>
      </c>
      <c r="I1690" s="9" t="s">
        <v>4718</v>
      </c>
      <c r="J1690" s="9" t="s">
        <v>4743</v>
      </c>
      <c r="K1690" s="20">
        <f t="shared" si="2"/>
        <v>1983</v>
      </c>
      <c r="L1690" s="9" t="str">
        <f t="shared" si="3"/>
        <v>tier - 2</v>
      </c>
      <c r="M1690" s="9" t="str">
        <f t="shared" si="4"/>
        <v>tier - 1</v>
      </c>
      <c r="N1690" s="9" t="str">
        <f t="shared" si="5"/>
        <v>R1013</v>
      </c>
      <c r="O1690" s="17">
        <f t="shared" si="6"/>
        <v>39</v>
      </c>
      <c r="P1690" s="18">
        <v>30610.0</v>
      </c>
    </row>
    <row r="1691" ht="15.75" customHeight="1">
      <c r="A1691" s="9" t="s">
        <v>3163</v>
      </c>
      <c r="B1691" s="17">
        <v>1983.0</v>
      </c>
      <c r="C1691" s="9" t="s">
        <v>4716</v>
      </c>
      <c r="D1691" s="9">
        <v>19.0</v>
      </c>
      <c r="E1691" s="18">
        <f t="shared" si="1"/>
        <v>30547</v>
      </c>
      <c r="F1691" s="9">
        <v>2.0</v>
      </c>
      <c r="G1691" s="19">
        <v>6356.27</v>
      </c>
      <c r="H1691" s="9" t="s">
        <v>4717</v>
      </c>
      <c r="I1691" s="9" t="s">
        <v>4723</v>
      </c>
      <c r="J1691" s="9" t="s">
        <v>4743</v>
      </c>
      <c r="K1691" s="20">
        <f t="shared" si="2"/>
        <v>1983</v>
      </c>
      <c r="L1691" s="9" t="str">
        <f t="shared" si="3"/>
        <v>tier - 3</v>
      </c>
      <c r="M1691" s="9" t="str">
        <f t="shared" si="4"/>
        <v>tier - 2</v>
      </c>
      <c r="N1691" s="9" t="str">
        <f t="shared" si="5"/>
        <v>R1013</v>
      </c>
      <c r="O1691" s="17">
        <f t="shared" si="6"/>
        <v>39</v>
      </c>
      <c r="P1691" s="18">
        <v>30547.0</v>
      </c>
    </row>
    <row r="1692" ht="15.75" customHeight="1">
      <c r="A1692" s="9" t="s">
        <v>3161</v>
      </c>
      <c r="B1692" s="17">
        <v>1980.0</v>
      </c>
      <c r="C1692" s="9" t="s">
        <v>4720</v>
      </c>
      <c r="D1692" s="9">
        <v>30.0</v>
      </c>
      <c r="E1692" s="18">
        <f t="shared" si="1"/>
        <v>29524</v>
      </c>
      <c r="F1692" s="9">
        <v>0.0</v>
      </c>
      <c r="G1692" s="19">
        <v>6358.78</v>
      </c>
      <c r="H1692" s="9" t="s">
        <v>4723</v>
      </c>
      <c r="I1692" s="9" t="s">
        <v>4718</v>
      </c>
      <c r="J1692" s="9" t="s">
        <v>4733</v>
      </c>
      <c r="K1692" s="20">
        <f t="shared" si="2"/>
        <v>1980</v>
      </c>
      <c r="L1692" s="9" t="str">
        <f t="shared" si="3"/>
        <v>tier - 2</v>
      </c>
      <c r="M1692" s="9" t="str">
        <f t="shared" si="4"/>
        <v>tier - 1</v>
      </c>
      <c r="N1692" s="9" t="str">
        <f t="shared" si="5"/>
        <v>R1012</v>
      </c>
      <c r="O1692" s="17">
        <f t="shared" si="6"/>
        <v>42</v>
      </c>
      <c r="P1692" s="18">
        <v>29524.0</v>
      </c>
    </row>
    <row r="1693" ht="15.75" customHeight="1">
      <c r="A1693" s="9" t="s">
        <v>317</v>
      </c>
      <c r="B1693" s="17">
        <v>1976.0</v>
      </c>
      <c r="C1693" s="9" t="s">
        <v>4738</v>
      </c>
      <c r="D1693" s="9">
        <v>18.0</v>
      </c>
      <c r="E1693" s="18">
        <f t="shared" si="1"/>
        <v>28021</v>
      </c>
      <c r="F1693" s="9">
        <v>2.0</v>
      </c>
      <c r="G1693" s="19">
        <v>37735.2</v>
      </c>
      <c r="H1693" s="9" t="s">
        <v>4723</v>
      </c>
      <c r="I1693" s="9" t="s">
        <v>4723</v>
      </c>
      <c r="J1693" s="9" t="s">
        <v>4719</v>
      </c>
      <c r="K1693" s="20">
        <f t="shared" si="2"/>
        <v>1976</v>
      </c>
      <c r="L1693" s="9" t="str">
        <f t="shared" si="3"/>
        <v>tier - 2</v>
      </c>
      <c r="M1693" s="9" t="str">
        <f t="shared" si="4"/>
        <v>tier - 2</v>
      </c>
      <c r="N1693" s="9" t="str">
        <f t="shared" si="5"/>
        <v>R1011</v>
      </c>
      <c r="O1693" s="17">
        <f t="shared" si="6"/>
        <v>46</v>
      </c>
      <c r="P1693" s="18">
        <v>28021.0</v>
      </c>
    </row>
    <row r="1694" ht="15.75" customHeight="1">
      <c r="A1694" s="9" t="s">
        <v>3159</v>
      </c>
      <c r="B1694" s="17">
        <v>1989.0</v>
      </c>
      <c r="C1694" s="9" t="s">
        <v>4730</v>
      </c>
      <c r="D1694" s="9">
        <v>24.0</v>
      </c>
      <c r="E1694" s="18">
        <f t="shared" si="1"/>
        <v>32683</v>
      </c>
      <c r="F1694" s="9">
        <v>3.0</v>
      </c>
      <c r="G1694" s="19">
        <v>6360.99</v>
      </c>
      <c r="H1694" s="9" t="s">
        <v>4723</v>
      </c>
      <c r="I1694" s="9" t="s">
        <v>4723</v>
      </c>
      <c r="J1694" s="9" t="s">
        <v>4733</v>
      </c>
      <c r="K1694" s="20">
        <f t="shared" si="2"/>
        <v>1989</v>
      </c>
      <c r="L1694" s="9" t="str">
        <f t="shared" si="3"/>
        <v>tier - 2</v>
      </c>
      <c r="M1694" s="9" t="str">
        <f t="shared" si="4"/>
        <v>tier - 2</v>
      </c>
      <c r="N1694" s="9" t="str">
        <f t="shared" si="5"/>
        <v>R1012</v>
      </c>
      <c r="O1694" s="17">
        <f t="shared" si="6"/>
        <v>33</v>
      </c>
      <c r="P1694" s="18">
        <v>32683.0</v>
      </c>
    </row>
    <row r="1695" ht="15.75" customHeight="1">
      <c r="A1695" s="9" t="s">
        <v>3157</v>
      </c>
      <c r="B1695" s="17">
        <v>1996.0</v>
      </c>
      <c r="C1695" s="9" t="s">
        <v>4741</v>
      </c>
      <c r="D1695" s="9">
        <v>7.0</v>
      </c>
      <c r="E1695" s="18">
        <f t="shared" si="1"/>
        <v>35253</v>
      </c>
      <c r="F1695" s="9">
        <v>0.0</v>
      </c>
      <c r="G1695" s="19">
        <v>6361.47</v>
      </c>
      <c r="H1695" s="9" t="s">
        <v>4723</v>
      </c>
      <c r="I1695" s="9" t="s">
        <v>4717</v>
      </c>
      <c r="J1695" s="9" t="s">
        <v>4751</v>
      </c>
      <c r="K1695" s="20">
        <f t="shared" si="2"/>
        <v>1996</v>
      </c>
      <c r="L1695" s="9" t="str">
        <f t="shared" si="3"/>
        <v>tier - 2</v>
      </c>
      <c r="M1695" s="9" t="str">
        <f t="shared" si="4"/>
        <v>tier - 3</v>
      </c>
      <c r="N1695" s="9" t="str">
        <f t="shared" si="5"/>
        <v>R1021</v>
      </c>
      <c r="O1695" s="17">
        <f t="shared" si="6"/>
        <v>26</v>
      </c>
      <c r="P1695" s="18">
        <v>35253.0</v>
      </c>
    </row>
    <row r="1696" ht="15.75" customHeight="1">
      <c r="A1696" s="9" t="s">
        <v>3155</v>
      </c>
      <c r="B1696" s="17">
        <v>1970.0</v>
      </c>
      <c r="C1696" s="9" t="s">
        <v>4735</v>
      </c>
      <c r="D1696" s="9">
        <v>9.0</v>
      </c>
      <c r="E1696" s="18">
        <f t="shared" si="1"/>
        <v>25881</v>
      </c>
      <c r="F1696" s="9">
        <v>0.0</v>
      </c>
      <c r="G1696" s="19">
        <v>6367.31</v>
      </c>
      <c r="H1696" s="9" t="s">
        <v>4723</v>
      </c>
      <c r="I1696" s="9" t="s">
        <v>4718</v>
      </c>
      <c r="J1696" s="9" t="s">
        <v>4743</v>
      </c>
      <c r="K1696" s="20">
        <f t="shared" si="2"/>
        <v>1970</v>
      </c>
      <c r="L1696" s="9" t="str">
        <f t="shared" si="3"/>
        <v>tier - 2</v>
      </c>
      <c r="M1696" s="9" t="str">
        <f t="shared" si="4"/>
        <v>tier - 1</v>
      </c>
      <c r="N1696" s="9" t="str">
        <f t="shared" si="5"/>
        <v>R1013</v>
      </c>
      <c r="O1696" s="17">
        <f t="shared" si="6"/>
        <v>52</v>
      </c>
      <c r="P1696" s="18">
        <v>25881.0</v>
      </c>
    </row>
    <row r="1697" ht="15.75" customHeight="1">
      <c r="A1697" s="9" t="s">
        <v>3153</v>
      </c>
      <c r="B1697" s="17">
        <v>1984.0</v>
      </c>
      <c r="C1697" s="9" t="s">
        <v>4716</v>
      </c>
      <c r="D1697" s="9">
        <v>13.0</v>
      </c>
      <c r="E1697" s="18">
        <f t="shared" si="1"/>
        <v>30907</v>
      </c>
      <c r="F1697" s="9">
        <v>1.0</v>
      </c>
      <c r="G1697" s="19">
        <v>6373.56</v>
      </c>
      <c r="H1697" s="9" t="s">
        <v>4723</v>
      </c>
      <c r="I1697" s="9" t="s">
        <v>4718</v>
      </c>
      <c r="J1697" s="9" t="s">
        <v>4733</v>
      </c>
      <c r="K1697" s="20">
        <f t="shared" si="2"/>
        <v>1984</v>
      </c>
      <c r="L1697" s="9" t="str">
        <f t="shared" si="3"/>
        <v>tier - 2</v>
      </c>
      <c r="M1697" s="9" t="str">
        <f t="shared" si="4"/>
        <v>tier - 1</v>
      </c>
      <c r="N1697" s="9" t="str">
        <f t="shared" si="5"/>
        <v>R1012</v>
      </c>
      <c r="O1697" s="17">
        <f t="shared" si="6"/>
        <v>38</v>
      </c>
      <c r="P1697" s="18">
        <v>30907.0</v>
      </c>
    </row>
    <row r="1698" ht="15.75" customHeight="1">
      <c r="A1698" s="9" t="s">
        <v>3151</v>
      </c>
      <c r="B1698" s="17">
        <v>1976.0</v>
      </c>
      <c r="C1698" s="9" t="s">
        <v>4735</v>
      </c>
      <c r="D1698" s="9">
        <v>18.0</v>
      </c>
      <c r="E1698" s="18">
        <f t="shared" si="1"/>
        <v>28082</v>
      </c>
      <c r="F1698" s="9">
        <v>2.0</v>
      </c>
      <c r="G1698" s="19">
        <v>6374.16</v>
      </c>
      <c r="H1698" s="9" t="s">
        <v>4723</v>
      </c>
      <c r="I1698" s="9" t="s">
        <v>4723</v>
      </c>
      <c r="J1698" s="9" t="s">
        <v>4743</v>
      </c>
      <c r="K1698" s="20">
        <f t="shared" si="2"/>
        <v>1976</v>
      </c>
      <c r="L1698" s="9" t="str">
        <f t="shared" si="3"/>
        <v>tier - 2</v>
      </c>
      <c r="M1698" s="9" t="str">
        <f t="shared" si="4"/>
        <v>tier - 2</v>
      </c>
      <c r="N1698" s="9" t="str">
        <f t="shared" si="5"/>
        <v>R1013</v>
      </c>
      <c r="O1698" s="17">
        <f t="shared" si="6"/>
        <v>46</v>
      </c>
      <c r="P1698" s="18">
        <v>28082.0</v>
      </c>
    </row>
    <row r="1699" ht="15.75" customHeight="1">
      <c r="A1699" s="9" t="s">
        <v>3149</v>
      </c>
      <c r="B1699" s="17">
        <v>1982.0</v>
      </c>
      <c r="C1699" s="9" t="s">
        <v>4716</v>
      </c>
      <c r="D1699" s="9">
        <v>6.0</v>
      </c>
      <c r="E1699" s="18">
        <f t="shared" si="1"/>
        <v>30169</v>
      </c>
      <c r="F1699" s="9">
        <v>1.0</v>
      </c>
      <c r="G1699" s="19">
        <v>6389.38</v>
      </c>
      <c r="H1699" s="9" t="s">
        <v>4718</v>
      </c>
      <c r="I1699" s="9" t="s">
        <v>4723</v>
      </c>
      <c r="J1699" s="9" t="s">
        <v>4733</v>
      </c>
      <c r="K1699" s="20">
        <f t="shared" si="2"/>
        <v>1982</v>
      </c>
      <c r="L1699" s="9" t="str">
        <f t="shared" si="3"/>
        <v>tier - 1</v>
      </c>
      <c r="M1699" s="9" t="str">
        <f t="shared" si="4"/>
        <v>tier - 2</v>
      </c>
      <c r="N1699" s="9" t="str">
        <f t="shared" si="5"/>
        <v>R1012</v>
      </c>
      <c r="O1699" s="17">
        <f t="shared" si="6"/>
        <v>40</v>
      </c>
      <c r="P1699" s="18">
        <v>30169.0</v>
      </c>
    </row>
    <row r="1700" ht="15.75" customHeight="1">
      <c r="A1700" s="9" t="s">
        <v>3147</v>
      </c>
      <c r="B1700" s="17">
        <v>1997.0</v>
      </c>
      <c r="C1700" s="9" t="s">
        <v>4716</v>
      </c>
      <c r="D1700" s="9">
        <v>16.0</v>
      </c>
      <c r="E1700" s="18">
        <f t="shared" si="1"/>
        <v>35658</v>
      </c>
      <c r="F1700" s="9">
        <v>0.0</v>
      </c>
      <c r="G1700" s="19">
        <v>6389.53</v>
      </c>
      <c r="H1700" s="9" t="s">
        <v>4723</v>
      </c>
      <c r="I1700" s="9" t="s">
        <v>4723</v>
      </c>
      <c r="J1700" s="9" t="s">
        <v>4751</v>
      </c>
      <c r="K1700" s="20">
        <f t="shared" si="2"/>
        <v>1997</v>
      </c>
      <c r="L1700" s="9" t="str">
        <f t="shared" si="3"/>
        <v>tier - 2</v>
      </c>
      <c r="M1700" s="9" t="str">
        <f t="shared" si="4"/>
        <v>tier - 2</v>
      </c>
      <c r="N1700" s="9" t="str">
        <f t="shared" si="5"/>
        <v>R1021</v>
      </c>
      <c r="O1700" s="17">
        <f t="shared" si="6"/>
        <v>25</v>
      </c>
      <c r="P1700" s="18">
        <v>35658.0</v>
      </c>
    </row>
    <row r="1701" ht="15.75" customHeight="1">
      <c r="A1701" s="9" t="s">
        <v>3145</v>
      </c>
      <c r="B1701" s="17">
        <v>1982.0</v>
      </c>
      <c r="C1701" s="9" t="s">
        <v>4720</v>
      </c>
      <c r="D1701" s="9">
        <v>28.0</v>
      </c>
      <c r="E1701" s="18">
        <f t="shared" si="1"/>
        <v>30252</v>
      </c>
      <c r="F1701" s="9">
        <v>1.0</v>
      </c>
      <c r="G1701" s="19">
        <v>6393.6</v>
      </c>
      <c r="H1701" s="9" t="s">
        <v>4723</v>
      </c>
      <c r="I1701" s="9" t="s">
        <v>4718</v>
      </c>
      <c r="J1701" s="9" t="s">
        <v>4733</v>
      </c>
      <c r="K1701" s="20">
        <f t="shared" si="2"/>
        <v>1982</v>
      </c>
      <c r="L1701" s="9" t="str">
        <f t="shared" si="3"/>
        <v>tier - 2</v>
      </c>
      <c r="M1701" s="9" t="str">
        <f t="shared" si="4"/>
        <v>tier - 1</v>
      </c>
      <c r="N1701" s="9" t="str">
        <f t="shared" si="5"/>
        <v>R1012</v>
      </c>
      <c r="O1701" s="17">
        <f t="shared" si="6"/>
        <v>40</v>
      </c>
      <c r="P1701" s="18">
        <v>30252.0</v>
      </c>
    </row>
    <row r="1702" ht="15.75" customHeight="1">
      <c r="A1702" s="9" t="s">
        <v>3143</v>
      </c>
      <c r="B1702" s="17">
        <v>1987.0</v>
      </c>
      <c r="C1702" s="9" t="s">
        <v>4738</v>
      </c>
      <c r="D1702" s="9">
        <v>9.0</v>
      </c>
      <c r="E1702" s="18">
        <f t="shared" si="1"/>
        <v>32029</v>
      </c>
      <c r="F1702" s="9">
        <v>2.0</v>
      </c>
      <c r="G1702" s="19">
        <v>6402.29</v>
      </c>
      <c r="H1702" s="9" t="s">
        <v>4723</v>
      </c>
      <c r="I1702" s="9" t="s">
        <v>4717</v>
      </c>
      <c r="J1702" s="9" t="s">
        <v>4731</v>
      </c>
      <c r="K1702" s="20">
        <f t="shared" si="2"/>
        <v>1987</v>
      </c>
      <c r="L1702" s="9" t="str">
        <f t="shared" si="3"/>
        <v>tier - 2</v>
      </c>
      <c r="M1702" s="9" t="str">
        <f t="shared" si="4"/>
        <v>tier - 3</v>
      </c>
      <c r="N1702" s="9" t="str">
        <f t="shared" si="5"/>
        <v>R1024</v>
      </c>
      <c r="O1702" s="17">
        <f t="shared" si="6"/>
        <v>35</v>
      </c>
      <c r="P1702" s="18">
        <v>32029.0</v>
      </c>
    </row>
    <row r="1703" ht="15.75" customHeight="1">
      <c r="A1703" s="9" t="s">
        <v>3141</v>
      </c>
      <c r="B1703" s="17">
        <v>1985.0</v>
      </c>
      <c r="C1703" s="9" t="s">
        <v>4725</v>
      </c>
      <c r="D1703" s="9">
        <v>10.0</v>
      </c>
      <c r="E1703" s="18">
        <f t="shared" si="1"/>
        <v>31391</v>
      </c>
      <c r="F1703" s="9">
        <v>2.0</v>
      </c>
      <c r="G1703" s="19">
        <v>6406.41</v>
      </c>
      <c r="H1703" s="9" t="s">
        <v>4718</v>
      </c>
      <c r="I1703" s="9" t="s">
        <v>4717</v>
      </c>
      <c r="J1703" s="9" t="s">
        <v>4752</v>
      </c>
      <c r="K1703" s="20">
        <f t="shared" si="2"/>
        <v>1985</v>
      </c>
      <c r="L1703" s="9" t="str">
        <f t="shared" si="3"/>
        <v>tier - 1</v>
      </c>
      <c r="M1703" s="9" t="str">
        <f t="shared" si="4"/>
        <v>tier - 3</v>
      </c>
      <c r="N1703" s="9" t="str">
        <f t="shared" si="5"/>
        <v>R1014</v>
      </c>
      <c r="O1703" s="17">
        <f t="shared" si="6"/>
        <v>37</v>
      </c>
      <c r="P1703" s="18">
        <v>31391.0</v>
      </c>
    </row>
    <row r="1704" ht="15.75" customHeight="1">
      <c r="A1704" s="9" t="s">
        <v>315</v>
      </c>
      <c r="B1704" s="17">
        <v>1986.0</v>
      </c>
      <c r="C1704" s="9" t="s">
        <v>4716</v>
      </c>
      <c r="D1704" s="9">
        <v>15.0</v>
      </c>
      <c r="E1704" s="18">
        <f t="shared" si="1"/>
        <v>31639</v>
      </c>
      <c r="F1704" s="9">
        <v>0.0</v>
      </c>
      <c r="G1704" s="19">
        <v>37742.58</v>
      </c>
      <c r="H1704" s="9" t="s">
        <v>4718</v>
      </c>
      <c r="I1704" s="9" t="s">
        <v>4718</v>
      </c>
      <c r="J1704" s="9" t="s">
        <v>4743</v>
      </c>
      <c r="K1704" s="20">
        <f t="shared" si="2"/>
        <v>1986</v>
      </c>
      <c r="L1704" s="9" t="str">
        <f t="shared" si="3"/>
        <v>tier - 1</v>
      </c>
      <c r="M1704" s="9" t="str">
        <f t="shared" si="4"/>
        <v>tier - 1</v>
      </c>
      <c r="N1704" s="9" t="str">
        <f t="shared" si="5"/>
        <v>R1013</v>
      </c>
      <c r="O1704" s="17">
        <f t="shared" si="6"/>
        <v>36</v>
      </c>
      <c r="P1704" s="18">
        <v>31639.0</v>
      </c>
    </row>
    <row r="1705" ht="15.75" customHeight="1">
      <c r="A1705" s="9" t="s">
        <v>3139</v>
      </c>
      <c r="B1705" s="17">
        <v>1970.0</v>
      </c>
      <c r="C1705" s="9" t="s">
        <v>4716</v>
      </c>
      <c r="D1705" s="9">
        <v>20.0</v>
      </c>
      <c r="E1705" s="18">
        <f t="shared" si="1"/>
        <v>25800</v>
      </c>
      <c r="F1705" s="9">
        <v>0.0</v>
      </c>
      <c r="G1705" s="19">
        <v>6407.05</v>
      </c>
      <c r="H1705" s="9" t="s">
        <v>4723</v>
      </c>
      <c r="I1705" s="9" t="s">
        <v>4718</v>
      </c>
      <c r="J1705" s="9" t="s">
        <v>4743</v>
      </c>
      <c r="K1705" s="20">
        <f t="shared" si="2"/>
        <v>1970</v>
      </c>
      <c r="L1705" s="9" t="str">
        <f t="shared" si="3"/>
        <v>tier - 2</v>
      </c>
      <c r="M1705" s="9" t="str">
        <f t="shared" si="4"/>
        <v>tier - 1</v>
      </c>
      <c r="N1705" s="9" t="str">
        <f t="shared" si="5"/>
        <v>R1013</v>
      </c>
      <c r="O1705" s="17">
        <f t="shared" si="6"/>
        <v>52</v>
      </c>
      <c r="P1705" s="18">
        <v>25800.0</v>
      </c>
    </row>
    <row r="1706" ht="15.75" customHeight="1">
      <c r="A1706" s="9" t="s">
        <v>3137</v>
      </c>
      <c r="B1706" s="17">
        <v>1971.0</v>
      </c>
      <c r="C1706" s="9" t="s">
        <v>4716</v>
      </c>
      <c r="D1706" s="9">
        <v>22.0</v>
      </c>
      <c r="E1706" s="18">
        <f t="shared" si="1"/>
        <v>26167</v>
      </c>
      <c r="F1706" s="9">
        <v>0.0</v>
      </c>
      <c r="G1706" s="19">
        <v>6412.34</v>
      </c>
      <c r="H1706" s="9" t="s">
        <v>4723</v>
      </c>
      <c r="I1706" s="9" t="s">
        <v>4717</v>
      </c>
      <c r="J1706" s="9" t="s">
        <v>4743</v>
      </c>
      <c r="K1706" s="20">
        <f t="shared" si="2"/>
        <v>1971</v>
      </c>
      <c r="L1706" s="9" t="str">
        <f t="shared" si="3"/>
        <v>tier - 2</v>
      </c>
      <c r="M1706" s="9" t="str">
        <f t="shared" si="4"/>
        <v>tier - 3</v>
      </c>
      <c r="N1706" s="9" t="str">
        <f t="shared" si="5"/>
        <v>R1013</v>
      </c>
      <c r="O1706" s="17">
        <f t="shared" si="6"/>
        <v>51</v>
      </c>
      <c r="P1706" s="18">
        <v>26167.0</v>
      </c>
    </row>
    <row r="1707" ht="15.75" customHeight="1">
      <c r="A1707" s="9" t="s">
        <v>3135</v>
      </c>
      <c r="B1707" s="17">
        <v>1987.0</v>
      </c>
      <c r="C1707" s="9" t="s">
        <v>4738</v>
      </c>
      <c r="D1707" s="9">
        <v>4.0</v>
      </c>
      <c r="E1707" s="18">
        <f t="shared" si="1"/>
        <v>32024</v>
      </c>
      <c r="F1707" s="9">
        <v>3.0</v>
      </c>
      <c r="G1707" s="19">
        <v>6414.18</v>
      </c>
      <c r="H1707" s="9" t="s">
        <v>4723</v>
      </c>
      <c r="I1707" s="9" t="s">
        <v>4723</v>
      </c>
      <c r="J1707" s="9" t="s">
        <v>4719</v>
      </c>
      <c r="K1707" s="20">
        <f t="shared" si="2"/>
        <v>1987</v>
      </c>
      <c r="L1707" s="9" t="str">
        <f t="shared" si="3"/>
        <v>tier - 2</v>
      </c>
      <c r="M1707" s="9" t="str">
        <f t="shared" si="4"/>
        <v>tier - 2</v>
      </c>
      <c r="N1707" s="9" t="str">
        <f t="shared" si="5"/>
        <v>R1011</v>
      </c>
      <c r="O1707" s="17">
        <f t="shared" si="6"/>
        <v>35</v>
      </c>
      <c r="P1707" s="18">
        <v>32024.0</v>
      </c>
    </row>
    <row r="1708" ht="15.75" customHeight="1">
      <c r="A1708" s="9" t="s">
        <v>3133</v>
      </c>
      <c r="B1708" s="17">
        <v>1976.0</v>
      </c>
      <c r="C1708" s="9" t="s">
        <v>4725</v>
      </c>
      <c r="D1708" s="9">
        <v>30.0</v>
      </c>
      <c r="E1708" s="18">
        <f t="shared" si="1"/>
        <v>28124</v>
      </c>
      <c r="F1708" s="9">
        <v>2.0</v>
      </c>
      <c r="G1708" s="19">
        <v>6417.28</v>
      </c>
      <c r="H1708" s="9" t="s">
        <v>4723</v>
      </c>
      <c r="I1708" s="9" t="s">
        <v>4717</v>
      </c>
      <c r="J1708" s="9" t="s">
        <v>4743</v>
      </c>
      <c r="K1708" s="20">
        <f t="shared" si="2"/>
        <v>1976</v>
      </c>
      <c r="L1708" s="9" t="str">
        <f t="shared" si="3"/>
        <v>tier - 2</v>
      </c>
      <c r="M1708" s="9" t="str">
        <f t="shared" si="4"/>
        <v>tier - 3</v>
      </c>
      <c r="N1708" s="9" t="str">
        <f t="shared" si="5"/>
        <v>R1013</v>
      </c>
      <c r="O1708" s="17">
        <f t="shared" si="6"/>
        <v>46</v>
      </c>
      <c r="P1708" s="18">
        <v>28124.0</v>
      </c>
    </row>
    <row r="1709" ht="15.75" customHeight="1">
      <c r="A1709" s="9" t="s">
        <v>3131</v>
      </c>
      <c r="B1709" s="17">
        <v>1975.0</v>
      </c>
      <c r="C1709" s="9" t="s">
        <v>4716</v>
      </c>
      <c r="D1709" s="9">
        <v>5.0</v>
      </c>
      <c r="E1709" s="18">
        <f t="shared" si="1"/>
        <v>27611</v>
      </c>
      <c r="F1709" s="9">
        <v>1.0</v>
      </c>
      <c r="G1709" s="19">
        <v>6423.48</v>
      </c>
      <c r="H1709" s="9" t="s">
        <v>4723</v>
      </c>
      <c r="I1709" s="9" t="s">
        <v>4717</v>
      </c>
      <c r="J1709" s="9" t="s">
        <v>4743</v>
      </c>
      <c r="K1709" s="20">
        <f t="shared" si="2"/>
        <v>1975</v>
      </c>
      <c r="L1709" s="9" t="str">
        <f t="shared" si="3"/>
        <v>tier - 2</v>
      </c>
      <c r="M1709" s="9" t="str">
        <f t="shared" si="4"/>
        <v>tier - 3</v>
      </c>
      <c r="N1709" s="9" t="str">
        <f t="shared" si="5"/>
        <v>R1013</v>
      </c>
      <c r="O1709" s="17">
        <f t="shared" si="6"/>
        <v>47</v>
      </c>
      <c r="P1709" s="18">
        <v>27611.0</v>
      </c>
    </row>
    <row r="1710" ht="15.75" customHeight="1">
      <c r="A1710" s="9" t="s">
        <v>3129</v>
      </c>
      <c r="B1710" s="17">
        <v>1985.0</v>
      </c>
      <c r="C1710" s="9" t="s">
        <v>4741</v>
      </c>
      <c r="D1710" s="9">
        <v>22.0</v>
      </c>
      <c r="E1710" s="18">
        <f t="shared" si="1"/>
        <v>31250</v>
      </c>
      <c r="F1710" s="9">
        <v>3.0</v>
      </c>
      <c r="G1710" s="19">
        <v>6435.62</v>
      </c>
      <c r="H1710" s="9" t="s">
        <v>4717</v>
      </c>
      <c r="I1710" s="9" t="s">
        <v>4723</v>
      </c>
      <c r="J1710" s="9" t="s">
        <v>4743</v>
      </c>
      <c r="K1710" s="20">
        <f t="shared" si="2"/>
        <v>1985</v>
      </c>
      <c r="L1710" s="9" t="str">
        <f t="shared" si="3"/>
        <v>tier - 3</v>
      </c>
      <c r="M1710" s="9" t="str">
        <f t="shared" si="4"/>
        <v>tier - 2</v>
      </c>
      <c r="N1710" s="9" t="str">
        <f t="shared" si="5"/>
        <v>R1013</v>
      </c>
      <c r="O1710" s="17">
        <f t="shared" si="6"/>
        <v>37</v>
      </c>
      <c r="P1710" s="18">
        <v>31250.0</v>
      </c>
    </row>
    <row r="1711" ht="15.75" customHeight="1">
      <c r="A1711" s="9" t="s">
        <v>3127</v>
      </c>
      <c r="B1711" s="17">
        <v>1984.0</v>
      </c>
      <c r="C1711" s="9" t="s">
        <v>4716</v>
      </c>
      <c r="D1711" s="9">
        <v>26.0</v>
      </c>
      <c r="E1711" s="18">
        <f t="shared" si="1"/>
        <v>30920</v>
      </c>
      <c r="F1711" s="9">
        <v>2.0</v>
      </c>
      <c r="G1711" s="19">
        <v>6455.86</v>
      </c>
      <c r="H1711" s="9" t="s">
        <v>4717</v>
      </c>
      <c r="I1711" s="9" t="s">
        <v>4717</v>
      </c>
      <c r="J1711" s="9" t="s">
        <v>4733</v>
      </c>
      <c r="K1711" s="20">
        <f t="shared" si="2"/>
        <v>1984</v>
      </c>
      <c r="L1711" s="9" t="str">
        <f t="shared" si="3"/>
        <v>tier - 3</v>
      </c>
      <c r="M1711" s="9" t="str">
        <f t="shared" si="4"/>
        <v>tier - 3</v>
      </c>
      <c r="N1711" s="9" t="str">
        <f t="shared" si="5"/>
        <v>R1012</v>
      </c>
      <c r="O1711" s="17">
        <f t="shared" si="6"/>
        <v>38</v>
      </c>
      <c r="P1711" s="18">
        <v>30920.0</v>
      </c>
    </row>
    <row r="1712" ht="15.75" customHeight="1">
      <c r="A1712" s="9" t="s">
        <v>3125</v>
      </c>
      <c r="B1712" s="17">
        <v>1984.0</v>
      </c>
      <c r="C1712" s="9" t="s">
        <v>4735</v>
      </c>
      <c r="D1712" s="9">
        <v>1.0</v>
      </c>
      <c r="E1712" s="18">
        <f t="shared" si="1"/>
        <v>30987</v>
      </c>
      <c r="F1712" s="9">
        <v>2.0</v>
      </c>
      <c r="G1712" s="19">
        <v>6457.84</v>
      </c>
      <c r="H1712" s="9" t="s">
        <v>4723</v>
      </c>
      <c r="I1712" s="9" t="s">
        <v>4717</v>
      </c>
      <c r="J1712" s="9" t="s">
        <v>4733</v>
      </c>
      <c r="K1712" s="20">
        <f t="shared" si="2"/>
        <v>1984</v>
      </c>
      <c r="L1712" s="9" t="str">
        <f t="shared" si="3"/>
        <v>tier - 2</v>
      </c>
      <c r="M1712" s="9" t="str">
        <f t="shared" si="4"/>
        <v>tier - 3</v>
      </c>
      <c r="N1712" s="9" t="str">
        <f t="shared" si="5"/>
        <v>R1012</v>
      </c>
      <c r="O1712" s="17">
        <f t="shared" si="6"/>
        <v>38</v>
      </c>
      <c r="P1712" s="18">
        <v>30987.0</v>
      </c>
    </row>
    <row r="1713" ht="15.75" customHeight="1">
      <c r="A1713" s="9" t="s">
        <v>3123</v>
      </c>
      <c r="B1713" s="17">
        <v>1981.0</v>
      </c>
      <c r="C1713" s="9" t="s">
        <v>4741</v>
      </c>
      <c r="D1713" s="9">
        <v>27.0</v>
      </c>
      <c r="E1713" s="18">
        <f t="shared" si="1"/>
        <v>29794</v>
      </c>
      <c r="F1713" s="9">
        <v>1.0</v>
      </c>
      <c r="G1713" s="19">
        <v>6473.15</v>
      </c>
      <c r="H1713" s="9" t="s">
        <v>4723</v>
      </c>
      <c r="I1713" s="9" t="s">
        <v>4723</v>
      </c>
      <c r="J1713" s="9" t="s">
        <v>4743</v>
      </c>
      <c r="K1713" s="20">
        <f t="shared" si="2"/>
        <v>1981</v>
      </c>
      <c r="L1713" s="9" t="str">
        <f t="shared" si="3"/>
        <v>tier - 2</v>
      </c>
      <c r="M1713" s="9" t="str">
        <f t="shared" si="4"/>
        <v>tier - 2</v>
      </c>
      <c r="N1713" s="9" t="str">
        <f t="shared" si="5"/>
        <v>R1013</v>
      </c>
      <c r="O1713" s="17">
        <f t="shared" si="6"/>
        <v>41</v>
      </c>
      <c r="P1713" s="18">
        <v>29794.0</v>
      </c>
    </row>
    <row r="1714" ht="15.75" customHeight="1">
      <c r="A1714" s="9" t="s">
        <v>3121</v>
      </c>
      <c r="B1714" s="17">
        <v>1980.0</v>
      </c>
      <c r="C1714" s="9" t="s">
        <v>4730</v>
      </c>
      <c r="D1714" s="9">
        <v>8.0</v>
      </c>
      <c r="E1714" s="18">
        <f t="shared" si="1"/>
        <v>29380</v>
      </c>
      <c r="F1714" s="9">
        <v>0.0</v>
      </c>
      <c r="G1714" s="19">
        <v>6474.01</v>
      </c>
      <c r="H1714" s="9" t="s">
        <v>4723</v>
      </c>
      <c r="I1714" s="9" t="s">
        <v>4717</v>
      </c>
      <c r="J1714" s="9" t="s">
        <v>4719</v>
      </c>
      <c r="K1714" s="20">
        <f t="shared" si="2"/>
        <v>1980</v>
      </c>
      <c r="L1714" s="9" t="str">
        <f t="shared" si="3"/>
        <v>tier - 2</v>
      </c>
      <c r="M1714" s="9" t="str">
        <f t="shared" si="4"/>
        <v>tier - 3</v>
      </c>
      <c r="N1714" s="9" t="str">
        <f t="shared" si="5"/>
        <v>R1011</v>
      </c>
      <c r="O1714" s="17">
        <f t="shared" si="6"/>
        <v>43</v>
      </c>
      <c r="P1714" s="18">
        <v>29380.0</v>
      </c>
    </row>
    <row r="1715" ht="15.75" customHeight="1">
      <c r="A1715" s="9" t="s">
        <v>313</v>
      </c>
      <c r="B1715" s="17">
        <v>1983.0</v>
      </c>
      <c r="C1715" s="9" t="s">
        <v>4741</v>
      </c>
      <c r="D1715" s="9">
        <v>26.0</v>
      </c>
      <c r="E1715" s="18">
        <f t="shared" si="1"/>
        <v>30523</v>
      </c>
      <c r="F1715" s="9">
        <v>3.0</v>
      </c>
      <c r="G1715" s="19">
        <v>37800.98</v>
      </c>
      <c r="H1715" s="9" t="s">
        <v>4723</v>
      </c>
      <c r="I1715" s="9" t="s">
        <v>4723</v>
      </c>
      <c r="J1715" s="9" t="s">
        <v>4719</v>
      </c>
      <c r="K1715" s="20">
        <f t="shared" si="2"/>
        <v>1983</v>
      </c>
      <c r="L1715" s="9" t="str">
        <f t="shared" si="3"/>
        <v>tier - 2</v>
      </c>
      <c r="M1715" s="9" t="str">
        <f t="shared" si="4"/>
        <v>tier - 2</v>
      </c>
      <c r="N1715" s="9" t="str">
        <f t="shared" si="5"/>
        <v>R1011</v>
      </c>
      <c r="O1715" s="17">
        <f t="shared" si="6"/>
        <v>39</v>
      </c>
      <c r="P1715" s="18">
        <v>30523.0</v>
      </c>
    </row>
    <row r="1716" ht="15.75" customHeight="1">
      <c r="A1716" s="9" t="s">
        <v>3119</v>
      </c>
      <c r="B1716" s="17">
        <v>1970.0</v>
      </c>
      <c r="C1716" s="9" t="s">
        <v>4725</v>
      </c>
      <c r="D1716" s="9">
        <v>1.0</v>
      </c>
      <c r="E1716" s="18">
        <f t="shared" si="1"/>
        <v>25903</v>
      </c>
      <c r="F1716" s="9">
        <v>0.0</v>
      </c>
      <c r="G1716" s="19">
        <v>6481.67</v>
      </c>
      <c r="H1716" s="9" t="s">
        <v>4723</v>
      </c>
      <c r="I1716" s="9" t="s">
        <v>4723</v>
      </c>
      <c r="J1716" s="9" t="s">
        <v>4743</v>
      </c>
      <c r="K1716" s="20">
        <f t="shared" si="2"/>
        <v>1970</v>
      </c>
      <c r="L1716" s="9" t="str">
        <f t="shared" si="3"/>
        <v>tier - 2</v>
      </c>
      <c r="M1716" s="9" t="str">
        <f t="shared" si="4"/>
        <v>tier - 2</v>
      </c>
      <c r="N1716" s="9" t="str">
        <f t="shared" si="5"/>
        <v>R1013</v>
      </c>
      <c r="O1716" s="17">
        <f t="shared" si="6"/>
        <v>52</v>
      </c>
      <c r="P1716" s="18">
        <v>25903.0</v>
      </c>
    </row>
    <row r="1717" ht="15.75" customHeight="1">
      <c r="A1717" s="9" t="s">
        <v>3117</v>
      </c>
      <c r="B1717" s="17">
        <v>1982.0</v>
      </c>
      <c r="C1717" s="9" t="s">
        <v>4720</v>
      </c>
      <c r="D1717" s="9">
        <v>9.0</v>
      </c>
      <c r="E1717" s="18">
        <f t="shared" si="1"/>
        <v>30233</v>
      </c>
      <c r="F1717" s="9">
        <v>1.0</v>
      </c>
      <c r="G1717" s="19">
        <v>6496.89</v>
      </c>
      <c r="H1717" s="9" t="s">
        <v>4723</v>
      </c>
      <c r="I1717" s="9" t="s">
        <v>4717</v>
      </c>
      <c r="J1717" s="9" t="s">
        <v>4719</v>
      </c>
      <c r="K1717" s="20">
        <f t="shared" si="2"/>
        <v>1982</v>
      </c>
      <c r="L1717" s="9" t="str">
        <f t="shared" si="3"/>
        <v>tier - 2</v>
      </c>
      <c r="M1717" s="9" t="str">
        <f t="shared" si="4"/>
        <v>tier - 3</v>
      </c>
      <c r="N1717" s="9" t="str">
        <f t="shared" si="5"/>
        <v>R1011</v>
      </c>
      <c r="O1717" s="17">
        <f t="shared" si="6"/>
        <v>40</v>
      </c>
      <c r="P1717" s="18">
        <v>30233.0</v>
      </c>
    </row>
    <row r="1718" ht="15.75" customHeight="1">
      <c r="A1718" s="9" t="s">
        <v>3115</v>
      </c>
      <c r="B1718" s="17">
        <v>1982.0</v>
      </c>
      <c r="C1718" s="9" t="s">
        <v>4716</v>
      </c>
      <c r="D1718" s="9">
        <v>28.0</v>
      </c>
      <c r="E1718" s="18">
        <f t="shared" si="1"/>
        <v>30191</v>
      </c>
      <c r="F1718" s="9">
        <v>1.0</v>
      </c>
      <c r="G1718" s="19">
        <v>6500.24</v>
      </c>
      <c r="H1718" s="9" t="s">
        <v>4723</v>
      </c>
      <c r="I1718" s="9" t="s">
        <v>4723</v>
      </c>
      <c r="J1718" s="9" t="s">
        <v>4743</v>
      </c>
      <c r="K1718" s="20">
        <f t="shared" si="2"/>
        <v>1982</v>
      </c>
      <c r="L1718" s="9" t="str">
        <f t="shared" si="3"/>
        <v>tier - 2</v>
      </c>
      <c r="M1718" s="9" t="str">
        <f t="shared" si="4"/>
        <v>tier - 2</v>
      </c>
      <c r="N1718" s="9" t="str">
        <f t="shared" si="5"/>
        <v>R1013</v>
      </c>
      <c r="O1718" s="17">
        <f t="shared" si="6"/>
        <v>40</v>
      </c>
      <c r="P1718" s="18">
        <v>30191.0</v>
      </c>
    </row>
    <row r="1719" ht="15.75" customHeight="1">
      <c r="A1719" s="9" t="s">
        <v>3113</v>
      </c>
      <c r="B1719" s="17">
        <v>1994.0</v>
      </c>
      <c r="C1719" s="9" t="s">
        <v>4741</v>
      </c>
      <c r="D1719" s="9">
        <v>7.0</v>
      </c>
      <c r="E1719" s="18">
        <f t="shared" si="1"/>
        <v>34522</v>
      </c>
      <c r="F1719" s="9">
        <v>0.0</v>
      </c>
      <c r="G1719" s="19">
        <v>6512.24</v>
      </c>
      <c r="H1719" s="9" t="s">
        <v>4723</v>
      </c>
      <c r="I1719" s="9" t="s">
        <v>4718</v>
      </c>
      <c r="J1719" s="9" t="s">
        <v>4751</v>
      </c>
      <c r="K1719" s="20">
        <f t="shared" si="2"/>
        <v>1994</v>
      </c>
      <c r="L1719" s="9" t="str">
        <f t="shared" si="3"/>
        <v>tier - 2</v>
      </c>
      <c r="M1719" s="9" t="str">
        <f t="shared" si="4"/>
        <v>tier - 1</v>
      </c>
      <c r="N1719" s="9" t="str">
        <f t="shared" si="5"/>
        <v>R1021</v>
      </c>
      <c r="O1719" s="17">
        <f t="shared" si="6"/>
        <v>28</v>
      </c>
      <c r="P1719" s="18">
        <v>34522.0</v>
      </c>
    </row>
    <row r="1720" ht="15.75" customHeight="1">
      <c r="A1720" s="9" t="s">
        <v>3111</v>
      </c>
      <c r="B1720" s="17">
        <v>1976.0</v>
      </c>
      <c r="C1720" s="9" t="s">
        <v>4720</v>
      </c>
      <c r="D1720" s="9">
        <v>23.0</v>
      </c>
      <c r="E1720" s="18">
        <f t="shared" si="1"/>
        <v>28056</v>
      </c>
      <c r="F1720" s="9">
        <v>2.0</v>
      </c>
      <c r="G1720" s="19">
        <v>6529.21</v>
      </c>
      <c r="H1720" s="9" t="s">
        <v>4723</v>
      </c>
      <c r="I1720" s="9" t="s">
        <v>4718</v>
      </c>
      <c r="J1720" s="9" t="s">
        <v>4743</v>
      </c>
      <c r="K1720" s="20">
        <f t="shared" si="2"/>
        <v>1976</v>
      </c>
      <c r="L1720" s="9" t="str">
        <f t="shared" si="3"/>
        <v>tier - 2</v>
      </c>
      <c r="M1720" s="9" t="str">
        <f t="shared" si="4"/>
        <v>tier - 1</v>
      </c>
      <c r="N1720" s="9" t="str">
        <f t="shared" si="5"/>
        <v>R1013</v>
      </c>
      <c r="O1720" s="17">
        <f t="shared" si="6"/>
        <v>46</v>
      </c>
      <c r="P1720" s="18">
        <v>28056.0</v>
      </c>
    </row>
    <row r="1721" ht="15.75" customHeight="1">
      <c r="A1721" s="9" t="s">
        <v>3109</v>
      </c>
      <c r="B1721" s="17">
        <v>1982.0</v>
      </c>
      <c r="C1721" s="9" t="s">
        <v>4716</v>
      </c>
      <c r="D1721" s="9">
        <v>12.0</v>
      </c>
      <c r="E1721" s="18">
        <f t="shared" si="1"/>
        <v>30175</v>
      </c>
      <c r="F1721" s="9">
        <v>3.0</v>
      </c>
      <c r="G1721" s="19">
        <v>6532.04</v>
      </c>
      <c r="H1721" s="9" t="s">
        <v>4723</v>
      </c>
      <c r="I1721" s="9" t="s">
        <v>4718</v>
      </c>
      <c r="J1721" s="9" t="s">
        <v>4743</v>
      </c>
      <c r="K1721" s="20">
        <f t="shared" si="2"/>
        <v>1982</v>
      </c>
      <c r="L1721" s="9" t="str">
        <f t="shared" si="3"/>
        <v>tier - 2</v>
      </c>
      <c r="M1721" s="9" t="str">
        <f t="shared" si="4"/>
        <v>tier - 1</v>
      </c>
      <c r="N1721" s="9" t="str">
        <f t="shared" si="5"/>
        <v>R1013</v>
      </c>
      <c r="O1721" s="17">
        <f t="shared" si="6"/>
        <v>40</v>
      </c>
      <c r="P1721" s="18">
        <v>30175.0</v>
      </c>
    </row>
    <row r="1722" ht="15.75" customHeight="1">
      <c r="A1722" s="9" t="s">
        <v>3107</v>
      </c>
      <c r="B1722" s="17">
        <v>1982.0</v>
      </c>
      <c r="C1722" s="9" t="s">
        <v>4720</v>
      </c>
      <c r="D1722" s="9">
        <v>2.0</v>
      </c>
      <c r="E1722" s="18">
        <f t="shared" si="1"/>
        <v>30226</v>
      </c>
      <c r="F1722" s="9">
        <v>3.0</v>
      </c>
      <c r="G1722" s="19">
        <v>6536.68</v>
      </c>
      <c r="H1722" s="9" t="s">
        <v>4723</v>
      </c>
      <c r="I1722" s="9" t="s">
        <v>4723</v>
      </c>
      <c r="J1722" s="9" t="s">
        <v>4733</v>
      </c>
      <c r="K1722" s="20">
        <f t="shared" si="2"/>
        <v>1982</v>
      </c>
      <c r="L1722" s="9" t="str">
        <f t="shared" si="3"/>
        <v>tier - 2</v>
      </c>
      <c r="M1722" s="9" t="str">
        <f t="shared" si="4"/>
        <v>tier - 2</v>
      </c>
      <c r="N1722" s="9" t="str">
        <f t="shared" si="5"/>
        <v>R1012</v>
      </c>
      <c r="O1722" s="17">
        <f t="shared" si="6"/>
        <v>40</v>
      </c>
      <c r="P1722" s="18">
        <v>30226.0</v>
      </c>
    </row>
    <row r="1723" ht="15.75" customHeight="1">
      <c r="A1723" s="9" t="s">
        <v>3105</v>
      </c>
      <c r="B1723" s="17">
        <v>1969.0</v>
      </c>
      <c r="C1723" s="9" t="s">
        <v>4725</v>
      </c>
      <c r="D1723" s="9">
        <v>3.0</v>
      </c>
      <c r="E1723" s="18">
        <f t="shared" si="1"/>
        <v>25540</v>
      </c>
      <c r="F1723" s="9">
        <v>0.0</v>
      </c>
      <c r="G1723" s="19">
        <v>6546.16</v>
      </c>
      <c r="H1723" s="9" t="s">
        <v>4723</v>
      </c>
      <c r="I1723" s="9" t="s">
        <v>4717</v>
      </c>
      <c r="J1723" s="9" t="s">
        <v>4743</v>
      </c>
      <c r="K1723" s="20">
        <f t="shared" si="2"/>
        <v>1969</v>
      </c>
      <c r="L1723" s="9" t="str">
        <f t="shared" si="3"/>
        <v>tier - 2</v>
      </c>
      <c r="M1723" s="9" t="str">
        <f t="shared" si="4"/>
        <v>tier - 3</v>
      </c>
      <c r="N1723" s="9" t="str">
        <f t="shared" si="5"/>
        <v>R1013</v>
      </c>
      <c r="O1723" s="17">
        <f t="shared" si="6"/>
        <v>53</v>
      </c>
      <c r="P1723" s="18">
        <v>25540.0</v>
      </c>
    </row>
    <row r="1724" ht="15.75" customHeight="1">
      <c r="A1724" s="9" t="s">
        <v>3103</v>
      </c>
      <c r="B1724" s="17">
        <v>1986.0</v>
      </c>
      <c r="C1724" s="9" t="s">
        <v>4725</v>
      </c>
      <c r="D1724" s="9">
        <v>18.0</v>
      </c>
      <c r="E1724" s="18">
        <f t="shared" si="1"/>
        <v>31764</v>
      </c>
      <c r="F1724" s="9">
        <v>3.0</v>
      </c>
      <c r="G1724" s="19">
        <v>6548.2</v>
      </c>
      <c r="H1724" s="9" t="s">
        <v>4723</v>
      </c>
      <c r="I1724" s="9" t="s">
        <v>4717</v>
      </c>
      <c r="J1724" s="9" t="s">
        <v>4733</v>
      </c>
      <c r="K1724" s="20">
        <f t="shared" si="2"/>
        <v>1986</v>
      </c>
      <c r="L1724" s="9" t="str">
        <f t="shared" si="3"/>
        <v>tier - 2</v>
      </c>
      <c r="M1724" s="9" t="str">
        <f t="shared" si="4"/>
        <v>tier - 3</v>
      </c>
      <c r="N1724" s="9" t="str">
        <f t="shared" si="5"/>
        <v>R1012</v>
      </c>
      <c r="O1724" s="17">
        <f t="shared" si="6"/>
        <v>36</v>
      </c>
      <c r="P1724" s="18">
        <v>31764.0</v>
      </c>
    </row>
    <row r="1725" ht="15.75" customHeight="1">
      <c r="A1725" s="9" t="s">
        <v>3101</v>
      </c>
      <c r="B1725" s="17">
        <v>1989.0</v>
      </c>
      <c r="C1725" s="9" t="s">
        <v>4716</v>
      </c>
      <c r="D1725" s="9">
        <v>6.0</v>
      </c>
      <c r="E1725" s="18">
        <f t="shared" si="1"/>
        <v>32726</v>
      </c>
      <c r="F1725" s="9">
        <v>3.0</v>
      </c>
      <c r="G1725" s="19">
        <v>6551.75</v>
      </c>
      <c r="H1725" s="9" t="s">
        <v>4723</v>
      </c>
      <c r="I1725" s="9" t="s">
        <v>4723</v>
      </c>
      <c r="J1725" s="9" t="s">
        <v>4731</v>
      </c>
      <c r="K1725" s="20">
        <f t="shared" si="2"/>
        <v>1989</v>
      </c>
      <c r="L1725" s="9" t="str">
        <f t="shared" si="3"/>
        <v>tier - 2</v>
      </c>
      <c r="M1725" s="9" t="str">
        <f t="shared" si="4"/>
        <v>tier - 2</v>
      </c>
      <c r="N1725" s="9" t="str">
        <f t="shared" si="5"/>
        <v>R1024</v>
      </c>
      <c r="O1725" s="17">
        <f t="shared" si="6"/>
        <v>33</v>
      </c>
      <c r="P1725" s="18">
        <v>32726.0</v>
      </c>
    </row>
    <row r="1726" ht="15.75" customHeight="1">
      <c r="A1726" s="9" t="s">
        <v>311</v>
      </c>
      <c r="B1726" s="17">
        <v>1979.0</v>
      </c>
      <c r="C1726" s="9" t="s">
        <v>4738</v>
      </c>
      <c r="D1726" s="9">
        <v>9.0</v>
      </c>
      <c r="E1726" s="18">
        <f t="shared" si="1"/>
        <v>29107</v>
      </c>
      <c r="F1726" s="9">
        <v>0.0</v>
      </c>
      <c r="G1726" s="19">
        <v>37829.72</v>
      </c>
      <c r="H1726" s="9" t="s">
        <v>4718</v>
      </c>
      <c r="I1726" s="9" t="s">
        <v>4723</v>
      </c>
      <c r="J1726" s="9" t="s">
        <v>4719</v>
      </c>
      <c r="K1726" s="20">
        <f t="shared" si="2"/>
        <v>1979</v>
      </c>
      <c r="L1726" s="9" t="str">
        <f t="shared" si="3"/>
        <v>tier - 1</v>
      </c>
      <c r="M1726" s="9" t="str">
        <f t="shared" si="4"/>
        <v>tier - 2</v>
      </c>
      <c r="N1726" s="9" t="str">
        <f t="shared" si="5"/>
        <v>R1011</v>
      </c>
      <c r="O1726" s="17">
        <f t="shared" si="6"/>
        <v>43</v>
      </c>
      <c r="P1726" s="18">
        <v>29107.0</v>
      </c>
    </row>
    <row r="1727" ht="15.75" customHeight="1">
      <c r="A1727" s="9" t="s">
        <v>3099</v>
      </c>
      <c r="B1727" s="17">
        <v>1968.0</v>
      </c>
      <c r="C1727" s="9" t="s">
        <v>4725</v>
      </c>
      <c r="D1727" s="9">
        <v>11.0</v>
      </c>
      <c r="E1727" s="18">
        <f t="shared" si="1"/>
        <v>25183</v>
      </c>
      <c r="F1727" s="9">
        <v>0.0</v>
      </c>
      <c r="G1727" s="19">
        <v>6552.01</v>
      </c>
      <c r="H1727" s="9" t="s">
        <v>4717</v>
      </c>
      <c r="I1727" s="9" t="s">
        <v>4723</v>
      </c>
      <c r="J1727" s="9" t="s">
        <v>4743</v>
      </c>
      <c r="K1727" s="20">
        <f t="shared" si="2"/>
        <v>1968</v>
      </c>
      <c r="L1727" s="9" t="str">
        <f t="shared" si="3"/>
        <v>tier - 3</v>
      </c>
      <c r="M1727" s="9" t="str">
        <f t="shared" si="4"/>
        <v>tier - 2</v>
      </c>
      <c r="N1727" s="9" t="str">
        <f t="shared" si="5"/>
        <v>R1013</v>
      </c>
      <c r="O1727" s="17">
        <f t="shared" si="6"/>
        <v>54</v>
      </c>
      <c r="P1727" s="18">
        <v>25183.0</v>
      </c>
    </row>
    <row r="1728" ht="15.75" customHeight="1">
      <c r="A1728" s="9" t="s">
        <v>3097</v>
      </c>
      <c r="B1728" s="17">
        <v>1984.0</v>
      </c>
      <c r="C1728" s="9" t="s">
        <v>4738</v>
      </c>
      <c r="D1728" s="9">
        <v>20.0</v>
      </c>
      <c r="E1728" s="18">
        <f t="shared" si="1"/>
        <v>30945</v>
      </c>
      <c r="F1728" s="9">
        <v>1.0</v>
      </c>
      <c r="G1728" s="19">
        <v>6555.07</v>
      </c>
      <c r="H1728" s="9" t="s">
        <v>4723</v>
      </c>
      <c r="I1728" s="9" t="s">
        <v>4723</v>
      </c>
      <c r="J1728" s="9" t="s">
        <v>4731</v>
      </c>
      <c r="K1728" s="20">
        <f t="shared" si="2"/>
        <v>1984</v>
      </c>
      <c r="L1728" s="9" t="str">
        <f t="shared" si="3"/>
        <v>tier - 2</v>
      </c>
      <c r="M1728" s="9" t="str">
        <f t="shared" si="4"/>
        <v>tier - 2</v>
      </c>
      <c r="N1728" s="9" t="str">
        <f t="shared" si="5"/>
        <v>R1024</v>
      </c>
      <c r="O1728" s="17">
        <f t="shared" si="6"/>
        <v>38</v>
      </c>
      <c r="P1728" s="18">
        <v>30945.0</v>
      </c>
    </row>
    <row r="1729" ht="15.75" customHeight="1">
      <c r="A1729" s="9" t="s">
        <v>3095</v>
      </c>
      <c r="B1729" s="17">
        <v>1981.0</v>
      </c>
      <c r="C1729" s="9" t="s">
        <v>4741</v>
      </c>
      <c r="D1729" s="9">
        <v>20.0</v>
      </c>
      <c r="E1729" s="18">
        <f t="shared" si="1"/>
        <v>29787</v>
      </c>
      <c r="F1729" s="9">
        <v>0.0</v>
      </c>
      <c r="G1729" s="19">
        <v>6571.02</v>
      </c>
      <c r="H1729" s="9" t="s">
        <v>4723</v>
      </c>
      <c r="I1729" s="9" t="s">
        <v>4718</v>
      </c>
      <c r="J1729" s="9" t="s">
        <v>4733</v>
      </c>
      <c r="K1729" s="20">
        <f t="shared" si="2"/>
        <v>1981</v>
      </c>
      <c r="L1729" s="9" t="str">
        <f t="shared" si="3"/>
        <v>tier - 2</v>
      </c>
      <c r="M1729" s="9" t="str">
        <f t="shared" si="4"/>
        <v>tier - 1</v>
      </c>
      <c r="N1729" s="9" t="str">
        <f t="shared" si="5"/>
        <v>R1012</v>
      </c>
      <c r="O1729" s="17">
        <f t="shared" si="6"/>
        <v>41</v>
      </c>
      <c r="P1729" s="18">
        <v>29787.0</v>
      </c>
    </row>
    <row r="1730" ht="15.75" customHeight="1">
      <c r="A1730" s="9" t="s">
        <v>3093</v>
      </c>
      <c r="B1730" s="17">
        <v>1984.0</v>
      </c>
      <c r="C1730" s="9" t="s">
        <v>4720</v>
      </c>
      <c r="D1730" s="9">
        <v>5.0</v>
      </c>
      <c r="E1730" s="18">
        <f t="shared" si="1"/>
        <v>30960</v>
      </c>
      <c r="F1730" s="9">
        <v>2.0</v>
      </c>
      <c r="G1730" s="19">
        <v>6571.54</v>
      </c>
      <c r="H1730" s="9" t="s">
        <v>4723</v>
      </c>
      <c r="I1730" s="9" t="s">
        <v>4717</v>
      </c>
      <c r="J1730" s="9" t="s">
        <v>4719</v>
      </c>
      <c r="K1730" s="20">
        <f t="shared" si="2"/>
        <v>1984</v>
      </c>
      <c r="L1730" s="9" t="str">
        <f t="shared" si="3"/>
        <v>tier - 2</v>
      </c>
      <c r="M1730" s="9" t="str">
        <f t="shared" si="4"/>
        <v>tier - 3</v>
      </c>
      <c r="N1730" s="9" t="str">
        <f t="shared" si="5"/>
        <v>R1011</v>
      </c>
      <c r="O1730" s="17">
        <f t="shared" si="6"/>
        <v>38</v>
      </c>
      <c r="P1730" s="18">
        <v>30960.0</v>
      </c>
    </row>
    <row r="1731" ht="15.75" customHeight="1">
      <c r="A1731" s="9" t="s">
        <v>3091</v>
      </c>
      <c r="B1731" s="17">
        <v>1982.0</v>
      </c>
      <c r="C1731" s="9" t="s">
        <v>4735</v>
      </c>
      <c r="D1731" s="9">
        <v>22.0</v>
      </c>
      <c r="E1731" s="18">
        <f t="shared" si="1"/>
        <v>30277</v>
      </c>
      <c r="F1731" s="9">
        <v>2.0</v>
      </c>
      <c r="G1731" s="19">
        <v>6593.51</v>
      </c>
      <c r="H1731" s="9" t="s">
        <v>4723</v>
      </c>
      <c r="I1731" s="9" t="s">
        <v>4718</v>
      </c>
      <c r="J1731" s="9" t="s">
        <v>4743</v>
      </c>
      <c r="K1731" s="20">
        <f t="shared" si="2"/>
        <v>1982</v>
      </c>
      <c r="L1731" s="9" t="str">
        <f t="shared" si="3"/>
        <v>tier - 2</v>
      </c>
      <c r="M1731" s="9" t="str">
        <f t="shared" si="4"/>
        <v>tier - 1</v>
      </c>
      <c r="N1731" s="9" t="str">
        <f t="shared" si="5"/>
        <v>R1013</v>
      </c>
      <c r="O1731" s="17">
        <f t="shared" si="6"/>
        <v>40</v>
      </c>
      <c r="P1731" s="18">
        <v>30277.0</v>
      </c>
    </row>
    <row r="1732" ht="15.75" customHeight="1">
      <c r="A1732" s="9" t="s">
        <v>3089</v>
      </c>
      <c r="B1732" s="17">
        <v>1982.0</v>
      </c>
      <c r="C1732" s="9" t="s">
        <v>4725</v>
      </c>
      <c r="D1732" s="9">
        <v>29.0</v>
      </c>
      <c r="E1732" s="18">
        <f t="shared" si="1"/>
        <v>30314</v>
      </c>
      <c r="F1732" s="9">
        <v>1.0</v>
      </c>
      <c r="G1732" s="19">
        <v>6600.21</v>
      </c>
      <c r="H1732" s="9" t="s">
        <v>4717</v>
      </c>
      <c r="I1732" s="9" t="s">
        <v>4723</v>
      </c>
      <c r="J1732" s="9" t="s">
        <v>4754</v>
      </c>
      <c r="K1732" s="20">
        <f t="shared" si="2"/>
        <v>1982</v>
      </c>
      <c r="L1732" s="9" t="str">
        <f t="shared" si="3"/>
        <v>tier - 3</v>
      </c>
      <c r="M1732" s="9" t="str">
        <f t="shared" si="4"/>
        <v>tier - 2</v>
      </c>
      <c r="N1732" s="9" t="str">
        <f t="shared" si="5"/>
        <v>R1016</v>
      </c>
      <c r="O1732" s="17">
        <f t="shared" si="6"/>
        <v>40</v>
      </c>
      <c r="P1732" s="18">
        <v>30314.0</v>
      </c>
    </row>
    <row r="1733" ht="15.75" customHeight="1">
      <c r="A1733" s="9" t="s">
        <v>3087</v>
      </c>
      <c r="B1733" s="17">
        <v>1982.0</v>
      </c>
      <c r="C1733" s="9" t="s">
        <v>4735</v>
      </c>
      <c r="D1733" s="9">
        <v>7.0</v>
      </c>
      <c r="E1733" s="18">
        <f t="shared" si="1"/>
        <v>30262</v>
      </c>
      <c r="F1733" s="9">
        <v>2.0</v>
      </c>
      <c r="G1733" s="19">
        <v>6600.36</v>
      </c>
      <c r="H1733" s="9" t="s">
        <v>4723</v>
      </c>
      <c r="I1733" s="9" t="s">
        <v>4717</v>
      </c>
      <c r="J1733" s="9" t="s">
        <v>4719</v>
      </c>
      <c r="K1733" s="20">
        <f t="shared" si="2"/>
        <v>1982</v>
      </c>
      <c r="L1733" s="9" t="str">
        <f t="shared" si="3"/>
        <v>tier - 2</v>
      </c>
      <c r="M1733" s="9" t="str">
        <f t="shared" si="4"/>
        <v>tier - 3</v>
      </c>
      <c r="N1733" s="9" t="str">
        <f t="shared" si="5"/>
        <v>R1011</v>
      </c>
      <c r="O1733" s="17">
        <f t="shared" si="6"/>
        <v>40</v>
      </c>
      <c r="P1733" s="18">
        <v>30262.0</v>
      </c>
    </row>
    <row r="1734" ht="15.75" customHeight="1">
      <c r="A1734" s="9" t="s">
        <v>3085</v>
      </c>
      <c r="B1734" s="17">
        <v>1982.0</v>
      </c>
      <c r="C1734" s="9" t="s">
        <v>4716</v>
      </c>
      <c r="D1734" s="9">
        <v>28.0</v>
      </c>
      <c r="E1734" s="18">
        <f t="shared" si="1"/>
        <v>30191</v>
      </c>
      <c r="F1734" s="9">
        <v>1.0</v>
      </c>
      <c r="G1734" s="19">
        <v>6610.11</v>
      </c>
      <c r="H1734" s="9" t="s">
        <v>4717</v>
      </c>
      <c r="I1734" s="9" t="s">
        <v>4723</v>
      </c>
      <c r="J1734" s="9" t="s">
        <v>4757</v>
      </c>
      <c r="K1734" s="20">
        <f t="shared" si="2"/>
        <v>1982</v>
      </c>
      <c r="L1734" s="9" t="str">
        <f t="shared" si="3"/>
        <v>tier - 3</v>
      </c>
      <c r="M1734" s="9" t="str">
        <f t="shared" si="4"/>
        <v>tier - 2</v>
      </c>
      <c r="N1734" s="9" t="str">
        <f t="shared" si="5"/>
        <v>R1015</v>
      </c>
      <c r="O1734" s="17">
        <f t="shared" si="6"/>
        <v>40</v>
      </c>
      <c r="P1734" s="18">
        <v>30191.0</v>
      </c>
    </row>
    <row r="1735" ht="15.75" customHeight="1">
      <c r="A1735" s="9" t="s">
        <v>3083</v>
      </c>
      <c r="B1735" s="17">
        <v>1973.0</v>
      </c>
      <c r="C1735" s="9" t="s">
        <v>4716</v>
      </c>
      <c r="D1735" s="9">
        <v>29.0</v>
      </c>
      <c r="E1735" s="18">
        <f t="shared" si="1"/>
        <v>26905</v>
      </c>
      <c r="F1735" s="9">
        <v>0.0</v>
      </c>
      <c r="G1735" s="19">
        <v>6630.31</v>
      </c>
      <c r="H1735" s="9" t="s">
        <v>4723</v>
      </c>
      <c r="I1735" s="9" t="s">
        <v>4718</v>
      </c>
      <c r="J1735" s="9" t="s">
        <v>4743</v>
      </c>
      <c r="K1735" s="20">
        <f t="shared" si="2"/>
        <v>1973</v>
      </c>
      <c r="L1735" s="9" t="str">
        <f t="shared" si="3"/>
        <v>tier - 2</v>
      </c>
      <c r="M1735" s="9" t="str">
        <f t="shared" si="4"/>
        <v>tier - 1</v>
      </c>
      <c r="N1735" s="9" t="str">
        <f t="shared" si="5"/>
        <v>R1013</v>
      </c>
      <c r="O1735" s="17">
        <f t="shared" si="6"/>
        <v>49</v>
      </c>
      <c r="P1735" s="18">
        <v>26905.0</v>
      </c>
    </row>
    <row r="1736" ht="15.75" customHeight="1">
      <c r="A1736" s="9" t="s">
        <v>3081</v>
      </c>
      <c r="B1736" s="17">
        <v>2003.0</v>
      </c>
      <c r="C1736" s="9" t="s">
        <v>4738</v>
      </c>
      <c r="D1736" s="9">
        <v>4.0</v>
      </c>
      <c r="E1736" s="18">
        <f t="shared" si="1"/>
        <v>37868</v>
      </c>
      <c r="F1736" s="9">
        <v>0.0</v>
      </c>
      <c r="G1736" s="19">
        <v>6638.16</v>
      </c>
      <c r="H1736" s="9" t="s">
        <v>4723</v>
      </c>
      <c r="I1736" s="9" t="s">
        <v>4718</v>
      </c>
      <c r="J1736" s="9" t="s">
        <v>4733</v>
      </c>
      <c r="K1736" s="20">
        <f t="shared" si="2"/>
        <v>2003</v>
      </c>
      <c r="L1736" s="9" t="str">
        <f t="shared" si="3"/>
        <v>tier - 2</v>
      </c>
      <c r="M1736" s="9" t="str">
        <f t="shared" si="4"/>
        <v>tier - 1</v>
      </c>
      <c r="N1736" s="9" t="str">
        <f t="shared" si="5"/>
        <v>R1012</v>
      </c>
      <c r="O1736" s="17">
        <f t="shared" si="6"/>
        <v>19</v>
      </c>
      <c r="P1736" s="18">
        <v>37868.0</v>
      </c>
    </row>
    <row r="1737" ht="15.75" customHeight="1">
      <c r="A1737" s="9" t="s">
        <v>309</v>
      </c>
      <c r="B1737" s="17">
        <v>1998.0</v>
      </c>
      <c r="C1737" s="9" t="s">
        <v>4741</v>
      </c>
      <c r="D1737" s="9">
        <v>29.0</v>
      </c>
      <c r="E1737" s="18">
        <f t="shared" si="1"/>
        <v>36005</v>
      </c>
      <c r="F1737" s="9">
        <v>0.0</v>
      </c>
      <c r="G1737" s="19">
        <v>38126.25</v>
      </c>
      <c r="H1737" s="9" t="s">
        <v>4718</v>
      </c>
      <c r="I1737" s="9" t="s">
        <v>4717</v>
      </c>
      <c r="J1737" s="9" t="s">
        <v>4743</v>
      </c>
      <c r="K1737" s="20">
        <f t="shared" si="2"/>
        <v>1998</v>
      </c>
      <c r="L1737" s="9" t="str">
        <f t="shared" si="3"/>
        <v>tier - 1</v>
      </c>
      <c r="M1737" s="9" t="str">
        <f t="shared" si="4"/>
        <v>tier - 3</v>
      </c>
      <c r="N1737" s="9" t="str">
        <f t="shared" si="5"/>
        <v>R1013</v>
      </c>
      <c r="O1737" s="17">
        <f t="shared" si="6"/>
        <v>24</v>
      </c>
      <c r="P1737" s="18">
        <v>36005.0</v>
      </c>
    </row>
    <row r="1738" ht="15.75" customHeight="1">
      <c r="A1738" s="9" t="s">
        <v>3079</v>
      </c>
      <c r="B1738" s="17">
        <v>1990.0</v>
      </c>
      <c r="C1738" s="9" t="s">
        <v>4730</v>
      </c>
      <c r="D1738" s="9">
        <v>6.0</v>
      </c>
      <c r="E1738" s="18">
        <f t="shared" si="1"/>
        <v>33030</v>
      </c>
      <c r="F1738" s="9">
        <v>3.0</v>
      </c>
      <c r="G1738" s="19">
        <v>6639.3</v>
      </c>
      <c r="H1738" s="9" t="s">
        <v>4723</v>
      </c>
      <c r="I1738" s="9" t="s">
        <v>4723</v>
      </c>
      <c r="J1738" s="9" t="s">
        <v>4751</v>
      </c>
      <c r="K1738" s="20">
        <f t="shared" si="2"/>
        <v>1990</v>
      </c>
      <c r="L1738" s="9" t="str">
        <f t="shared" si="3"/>
        <v>tier - 2</v>
      </c>
      <c r="M1738" s="9" t="str">
        <f t="shared" si="4"/>
        <v>tier - 2</v>
      </c>
      <c r="N1738" s="9" t="str">
        <f t="shared" si="5"/>
        <v>R1021</v>
      </c>
      <c r="O1738" s="17">
        <f t="shared" si="6"/>
        <v>33</v>
      </c>
      <c r="P1738" s="18">
        <v>33030.0</v>
      </c>
    </row>
    <row r="1739" ht="15.75" customHeight="1">
      <c r="A1739" s="9" t="s">
        <v>3077</v>
      </c>
      <c r="B1739" s="17">
        <v>1984.0</v>
      </c>
      <c r="C1739" s="9" t="s">
        <v>4725</v>
      </c>
      <c r="D1739" s="9">
        <v>8.0</v>
      </c>
      <c r="E1739" s="18">
        <f t="shared" si="1"/>
        <v>31024</v>
      </c>
      <c r="F1739" s="9">
        <v>2.0</v>
      </c>
      <c r="G1739" s="19">
        <v>6640.54</v>
      </c>
      <c r="H1739" s="9" t="s">
        <v>4723</v>
      </c>
      <c r="I1739" s="9" t="s">
        <v>4717</v>
      </c>
      <c r="J1739" s="9" t="s">
        <v>4728</v>
      </c>
      <c r="K1739" s="20">
        <f t="shared" si="2"/>
        <v>1984</v>
      </c>
      <c r="L1739" s="9" t="str">
        <f t="shared" si="3"/>
        <v>tier - 2</v>
      </c>
      <c r="M1739" s="9" t="str">
        <f t="shared" si="4"/>
        <v>tier - 3</v>
      </c>
      <c r="N1739" s="9" t="str">
        <f t="shared" si="5"/>
        <v>R1019</v>
      </c>
      <c r="O1739" s="17">
        <f t="shared" si="6"/>
        <v>38</v>
      </c>
      <c r="P1739" s="18">
        <v>31024.0</v>
      </c>
    </row>
    <row r="1740" ht="15.75" customHeight="1">
      <c r="A1740" s="9" t="s">
        <v>3075</v>
      </c>
      <c r="B1740" s="17">
        <v>1970.0</v>
      </c>
      <c r="C1740" s="9" t="s">
        <v>4735</v>
      </c>
      <c r="D1740" s="9">
        <v>8.0</v>
      </c>
      <c r="E1740" s="18">
        <f t="shared" si="1"/>
        <v>25880</v>
      </c>
      <c r="F1740" s="9">
        <v>0.0</v>
      </c>
      <c r="G1740" s="19">
        <v>6651.26</v>
      </c>
      <c r="H1740" s="9" t="s">
        <v>4723</v>
      </c>
      <c r="I1740" s="9" t="s">
        <v>4717</v>
      </c>
      <c r="J1740" s="9" t="s">
        <v>4743</v>
      </c>
      <c r="K1740" s="20">
        <f t="shared" si="2"/>
        <v>1970</v>
      </c>
      <c r="L1740" s="9" t="str">
        <f t="shared" si="3"/>
        <v>tier - 2</v>
      </c>
      <c r="M1740" s="9" t="str">
        <f t="shared" si="4"/>
        <v>tier - 3</v>
      </c>
      <c r="N1740" s="9" t="str">
        <f t="shared" si="5"/>
        <v>R1013</v>
      </c>
      <c r="O1740" s="17">
        <f t="shared" si="6"/>
        <v>52</v>
      </c>
      <c r="P1740" s="18">
        <v>25880.0</v>
      </c>
    </row>
    <row r="1741" ht="15.75" customHeight="1">
      <c r="A1741" s="9" t="s">
        <v>3073</v>
      </c>
      <c r="B1741" s="17">
        <v>1984.0</v>
      </c>
      <c r="C1741" s="9" t="s">
        <v>4741</v>
      </c>
      <c r="D1741" s="9">
        <v>1.0</v>
      </c>
      <c r="E1741" s="18">
        <f t="shared" si="1"/>
        <v>30864</v>
      </c>
      <c r="F1741" s="9">
        <v>3.0</v>
      </c>
      <c r="G1741" s="19">
        <v>6652.53</v>
      </c>
      <c r="H1741" s="9" t="s">
        <v>4717</v>
      </c>
      <c r="I1741" s="9" t="s">
        <v>4723</v>
      </c>
      <c r="J1741" s="9" t="s">
        <v>4743</v>
      </c>
      <c r="K1741" s="20">
        <f t="shared" si="2"/>
        <v>1984</v>
      </c>
      <c r="L1741" s="9" t="str">
        <f t="shared" si="3"/>
        <v>tier - 3</v>
      </c>
      <c r="M1741" s="9" t="str">
        <f t="shared" si="4"/>
        <v>tier - 2</v>
      </c>
      <c r="N1741" s="9" t="str">
        <f t="shared" si="5"/>
        <v>R1013</v>
      </c>
      <c r="O1741" s="17">
        <f t="shared" si="6"/>
        <v>38</v>
      </c>
      <c r="P1741" s="18">
        <v>30864.0</v>
      </c>
    </row>
    <row r="1742" ht="15.75" customHeight="1">
      <c r="A1742" s="9" t="s">
        <v>3071</v>
      </c>
      <c r="B1742" s="17">
        <v>1989.0</v>
      </c>
      <c r="C1742" s="9" t="s">
        <v>4735</v>
      </c>
      <c r="D1742" s="9">
        <v>19.0</v>
      </c>
      <c r="E1742" s="18">
        <f t="shared" si="1"/>
        <v>32831</v>
      </c>
      <c r="F1742" s="9">
        <v>5.0</v>
      </c>
      <c r="G1742" s="19">
        <v>6653.79</v>
      </c>
      <c r="H1742" s="9" t="s">
        <v>4723</v>
      </c>
      <c r="I1742" s="9" t="s">
        <v>4718</v>
      </c>
      <c r="J1742" s="9" t="s">
        <v>4743</v>
      </c>
      <c r="K1742" s="20">
        <f t="shared" si="2"/>
        <v>1989</v>
      </c>
      <c r="L1742" s="9" t="str">
        <f t="shared" si="3"/>
        <v>tier - 2</v>
      </c>
      <c r="M1742" s="9" t="str">
        <f t="shared" si="4"/>
        <v>tier - 1</v>
      </c>
      <c r="N1742" s="9" t="str">
        <f t="shared" si="5"/>
        <v>R1013</v>
      </c>
      <c r="O1742" s="17">
        <f t="shared" si="6"/>
        <v>33</v>
      </c>
      <c r="P1742" s="18">
        <v>32831.0</v>
      </c>
    </row>
    <row r="1743" ht="15.75" customHeight="1">
      <c r="A1743" s="9" t="s">
        <v>3069</v>
      </c>
      <c r="B1743" s="17">
        <v>1982.0</v>
      </c>
      <c r="C1743" s="9" t="s">
        <v>4738</v>
      </c>
      <c r="D1743" s="9">
        <v>27.0</v>
      </c>
      <c r="E1743" s="18">
        <f t="shared" si="1"/>
        <v>30221</v>
      </c>
      <c r="F1743" s="9">
        <v>3.0</v>
      </c>
      <c r="G1743" s="19">
        <v>6664.32</v>
      </c>
      <c r="H1743" s="9" t="s">
        <v>4723</v>
      </c>
      <c r="I1743" s="9" t="s">
        <v>4723</v>
      </c>
      <c r="J1743" s="9" t="s">
        <v>4743</v>
      </c>
      <c r="K1743" s="20">
        <f t="shared" si="2"/>
        <v>1982</v>
      </c>
      <c r="L1743" s="9" t="str">
        <f t="shared" si="3"/>
        <v>tier - 2</v>
      </c>
      <c r="M1743" s="9" t="str">
        <f t="shared" si="4"/>
        <v>tier - 2</v>
      </c>
      <c r="N1743" s="9" t="str">
        <f t="shared" si="5"/>
        <v>R1013</v>
      </c>
      <c r="O1743" s="17">
        <f t="shared" si="6"/>
        <v>40</v>
      </c>
      <c r="P1743" s="18">
        <v>30221.0</v>
      </c>
    </row>
    <row r="1744" ht="15.75" customHeight="1">
      <c r="A1744" s="9" t="s">
        <v>3067</v>
      </c>
      <c r="B1744" s="17">
        <v>1981.0</v>
      </c>
      <c r="C1744" s="9" t="s">
        <v>4738</v>
      </c>
      <c r="D1744" s="9">
        <v>17.0</v>
      </c>
      <c r="E1744" s="18">
        <f t="shared" si="1"/>
        <v>29846</v>
      </c>
      <c r="F1744" s="9">
        <v>1.0</v>
      </c>
      <c r="G1744" s="19">
        <v>6664.69</v>
      </c>
      <c r="H1744" s="9" t="s">
        <v>4717</v>
      </c>
      <c r="I1744" s="9" t="s">
        <v>4718</v>
      </c>
      <c r="J1744" s="9" t="s">
        <v>4733</v>
      </c>
      <c r="K1744" s="20">
        <f t="shared" si="2"/>
        <v>1981</v>
      </c>
      <c r="L1744" s="9" t="str">
        <f t="shared" si="3"/>
        <v>tier - 3</v>
      </c>
      <c r="M1744" s="9" t="str">
        <f t="shared" si="4"/>
        <v>tier - 1</v>
      </c>
      <c r="N1744" s="9" t="str">
        <f t="shared" si="5"/>
        <v>R1012</v>
      </c>
      <c r="O1744" s="17">
        <f t="shared" si="6"/>
        <v>41</v>
      </c>
      <c r="P1744" s="18">
        <v>29846.0</v>
      </c>
    </row>
    <row r="1745" ht="15.75" customHeight="1">
      <c r="A1745" s="9" t="s">
        <v>3065</v>
      </c>
      <c r="B1745" s="17">
        <v>1989.0</v>
      </c>
      <c r="C1745" s="9" t="s">
        <v>4720</v>
      </c>
      <c r="D1745" s="9">
        <v>20.0</v>
      </c>
      <c r="E1745" s="18">
        <f t="shared" si="1"/>
        <v>32801</v>
      </c>
      <c r="F1745" s="9">
        <v>5.0</v>
      </c>
      <c r="G1745" s="19">
        <v>6666.24</v>
      </c>
      <c r="H1745" s="9" t="s">
        <v>4717</v>
      </c>
      <c r="I1745" s="9" t="s">
        <v>4718</v>
      </c>
      <c r="J1745" s="9" t="s">
        <v>4719</v>
      </c>
      <c r="K1745" s="20">
        <f t="shared" si="2"/>
        <v>1989</v>
      </c>
      <c r="L1745" s="9" t="str">
        <f t="shared" si="3"/>
        <v>tier - 3</v>
      </c>
      <c r="M1745" s="9" t="str">
        <f t="shared" si="4"/>
        <v>tier - 1</v>
      </c>
      <c r="N1745" s="9" t="str">
        <f t="shared" si="5"/>
        <v>R1011</v>
      </c>
      <c r="O1745" s="17">
        <f t="shared" si="6"/>
        <v>33</v>
      </c>
      <c r="P1745" s="18">
        <v>32801.0</v>
      </c>
    </row>
    <row r="1746" ht="15.75" customHeight="1">
      <c r="A1746" s="9" t="s">
        <v>3063</v>
      </c>
      <c r="B1746" s="17">
        <v>1985.0</v>
      </c>
      <c r="C1746" s="9" t="s">
        <v>4741</v>
      </c>
      <c r="D1746" s="9">
        <v>9.0</v>
      </c>
      <c r="E1746" s="18">
        <f t="shared" si="1"/>
        <v>31237</v>
      </c>
      <c r="F1746" s="9">
        <v>2.0</v>
      </c>
      <c r="G1746" s="19">
        <v>6686.43</v>
      </c>
      <c r="H1746" s="9" t="s">
        <v>4723</v>
      </c>
      <c r="I1746" s="9" t="s">
        <v>4717</v>
      </c>
      <c r="J1746" s="9" t="s">
        <v>4733</v>
      </c>
      <c r="K1746" s="20">
        <f t="shared" si="2"/>
        <v>1985</v>
      </c>
      <c r="L1746" s="9" t="str">
        <f t="shared" si="3"/>
        <v>tier - 2</v>
      </c>
      <c r="M1746" s="9" t="str">
        <f t="shared" si="4"/>
        <v>tier - 3</v>
      </c>
      <c r="N1746" s="9" t="str">
        <f t="shared" si="5"/>
        <v>R1012</v>
      </c>
      <c r="O1746" s="17">
        <f t="shared" si="6"/>
        <v>37</v>
      </c>
      <c r="P1746" s="18">
        <v>31237.0</v>
      </c>
    </row>
    <row r="1747" ht="15.75" customHeight="1">
      <c r="A1747" s="9" t="s">
        <v>3061</v>
      </c>
      <c r="B1747" s="17">
        <v>1968.0</v>
      </c>
      <c r="C1747" s="9" t="s">
        <v>4741</v>
      </c>
      <c r="D1747" s="9">
        <v>13.0</v>
      </c>
      <c r="E1747" s="18">
        <f t="shared" si="1"/>
        <v>25032</v>
      </c>
      <c r="F1747" s="9">
        <v>0.0</v>
      </c>
      <c r="G1747" s="19">
        <v>6700.56</v>
      </c>
      <c r="H1747" s="9" t="s">
        <v>4717</v>
      </c>
      <c r="I1747" s="9" t="s">
        <v>4718</v>
      </c>
      <c r="J1747" s="9" t="s">
        <v>4733</v>
      </c>
      <c r="K1747" s="20">
        <f t="shared" si="2"/>
        <v>1968</v>
      </c>
      <c r="L1747" s="9" t="str">
        <f t="shared" si="3"/>
        <v>tier - 3</v>
      </c>
      <c r="M1747" s="9" t="str">
        <f t="shared" si="4"/>
        <v>tier - 1</v>
      </c>
      <c r="N1747" s="9" t="str">
        <f t="shared" si="5"/>
        <v>R1012</v>
      </c>
      <c r="O1747" s="17">
        <f t="shared" si="6"/>
        <v>54</v>
      </c>
      <c r="P1747" s="18">
        <v>25032.0</v>
      </c>
    </row>
    <row r="1748" ht="15.75" customHeight="1">
      <c r="A1748" s="9" t="s">
        <v>307</v>
      </c>
      <c r="B1748" s="17">
        <v>1972.0</v>
      </c>
      <c r="C1748" s="9" t="s">
        <v>4735</v>
      </c>
      <c r="D1748" s="9">
        <v>19.0</v>
      </c>
      <c r="E1748" s="18">
        <f t="shared" si="1"/>
        <v>26622</v>
      </c>
      <c r="F1748" s="9">
        <v>0.0</v>
      </c>
      <c r="G1748" s="19">
        <v>38189.1</v>
      </c>
      <c r="H1748" s="9" t="s">
        <v>4723</v>
      </c>
      <c r="I1748" s="9" t="s">
        <v>4723</v>
      </c>
      <c r="J1748" s="9" t="s">
        <v>4719</v>
      </c>
      <c r="K1748" s="20">
        <f t="shared" si="2"/>
        <v>1972</v>
      </c>
      <c r="L1748" s="9" t="str">
        <f t="shared" si="3"/>
        <v>tier - 2</v>
      </c>
      <c r="M1748" s="9" t="str">
        <f t="shared" si="4"/>
        <v>tier - 2</v>
      </c>
      <c r="N1748" s="9" t="str">
        <f t="shared" si="5"/>
        <v>R1011</v>
      </c>
      <c r="O1748" s="17">
        <f t="shared" si="6"/>
        <v>50</v>
      </c>
      <c r="P1748" s="18">
        <v>26622.0</v>
      </c>
    </row>
    <row r="1749" ht="15.75" customHeight="1">
      <c r="A1749" s="9" t="s">
        <v>3059</v>
      </c>
      <c r="B1749" s="17">
        <v>1971.0</v>
      </c>
      <c r="C1749" s="9" t="s">
        <v>4725</v>
      </c>
      <c r="D1749" s="9">
        <v>12.0</v>
      </c>
      <c r="E1749" s="18">
        <f t="shared" si="1"/>
        <v>26279</v>
      </c>
      <c r="F1749" s="9">
        <v>0.0</v>
      </c>
      <c r="G1749" s="19">
        <v>6706.47</v>
      </c>
      <c r="H1749" s="9" t="s">
        <v>4723</v>
      </c>
      <c r="I1749" s="9" t="s">
        <v>4718</v>
      </c>
      <c r="J1749" s="9" t="s">
        <v>4743</v>
      </c>
      <c r="K1749" s="20">
        <f t="shared" si="2"/>
        <v>1971</v>
      </c>
      <c r="L1749" s="9" t="str">
        <f t="shared" si="3"/>
        <v>tier - 2</v>
      </c>
      <c r="M1749" s="9" t="str">
        <f t="shared" si="4"/>
        <v>tier - 1</v>
      </c>
      <c r="N1749" s="9" t="str">
        <f t="shared" si="5"/>
        <v>R1013</v>
      </c>
      <c r="O1749" s="17">
        <f t="shared" si="6"/>
        <v>51</v>
      </c>
      <c r="P1749" s="18">
        <v>26279.0</v>
      </c>
    </row>
    <row r="1750" ht="15.75" customHeight="1">
      <c r="A1750" s="9" t="s">
        <v>3057</v>
      </c>
      <c r="B1750" s="17">
        <v>1983.0</v>
      </c>
      <c r="C1750" s="9" t="s">
        <v>4730</v>
      </c>
      <c r="D1750" s="9">
        <v>12.0</v>
      </c>
      <c r="E1750" s="18">
        <f t="shared" si="1"/>
        <v>30479</v>
      </c>
      <c r="F1750" s="9">
        <v>2.0</v>
      </c>
      <c r="G1750" s="19">
        <v>6710.19</v>
      </c>
      <c r="H1750" s="9" t="s">
        <v>4717</v>
      </c>
      <c r="I1750" s="9" t="s">
        <v>4717</v>
      </c>
      <c r="J1750" s="9" t="s">
        <v>4733</v>
      </c>
      <c r="K1750" s="20">
        <f t="shared" si="2"/>
        <v>1983</v>
      </c>
      <c r="L1750" s="9" t="str">
        <f t="shared" si="3"/>
        <v>tier - 3</v>
      </c>
      <c r="M1750" s="9" t="str">
        <f t="shared" si="4"/>
        <v>tier - 3</v>
      </c>
      <c r="N1750" s="9" t="str">
        <f t="shared" si="5"/>
        <v>R1012</v>
      </c>
      <c r="O1750" s="17">
        <f t="shared" si="6"/>
        <v>39</v>
      </c>
      <c r="P1750" s="18">
        <v>30479.0</v>
      </c>
    </row>
    <row r="1751" ht="15.75" customHeight="1">
      <c r="A1751" s="9" t="s">
        <v>3055</v>
      </c>
      <c r="B1751" s="17">
        <v>1994.0</v>
      </c>
      <c r="C1751" s="9" t="s">
        <v>4730</v>
      </c>
      <c r="D1751" s="9">
        <v>13.0</v>
      </c>
      <c r="E1751" s="18">
        <f t="shared" si="1"/>
        <v>34498</v>
      </c>
      <c r="F1751" s="9">
        <v>0.0</v>
      </c>
      <c r="G1751" s="19">
        <v>6721.37</v>
      </c>
      <c r="H1751" s="9" t="s">
        <v>4723</v>
      </c>
      <c r="I1751" s="9" t="s">
        <v>4718</v>
      </c>
      <c r="J1751" s="9" t="s">
        <v>4733</v>
      </c>
      <c r="K1751" s="20">
        <f t="shared" si="2"/>
        <v>1994</v>
      </c>
      <c r="L1751" s="9" t="str">
        <f t="shared" si="3"/>
        <v>tier - 2</v>
      </c>
      <c r="M1751" s="9" t="str">
        <f t="shared" si="4"/>
        <v>tier - 1</v>
      </c>
      <c r="N1751" s="9" t="str">
        <f t="shared" si="5"/>
        <v>R1012</v>
      </c>
      <c r="O1751" s="17">
        <f t="shared" si="6"/>
        <v>28</v>
      </c>
      <c r="P1751" s="18">
        <v>34498.0</v>
      </c>
    </row>
    <row r="1752" ht="15.75" customHeight="1">
      <c r="A1752" s="9" t="s">
        <v>3053</v>
      </c>
      <c r="B1752" s="17">
        <v>1978.0</v>
      </c>
      <c r="C1752" s="9" t="s">
        <v>4720</v>
      </c>
      <c r="D1752" s="9">
        <v>21.0</v>
      </c>
      <c r="E1752" s="18">
        <f t="shared" si="1"/>
        <v>28784</v>
      </c>
      <c r="F1752" s="9">
        <v>2.0</v>
      </c>
      <c r="G1752" s="19">
        <v>6737.98</v>
      </c>
      <c r="H1752" s="9" t="s">
        <v>4723</v>
      </c>
      <c r="I1752" s="9" t="s">
        <v>4717</v>
      </c>
      <c r="J1752" s="9" t="s">
        <v>4743</v>
      </c>
      <c r="K1752" s="20">
        <f t="shared" si="2"/>
        <v>1978</v>
      </c>
      <c r="L1752" s="9" t="str">
        <f t="shared" si="3"/>
        <v>tier - 2</v>
      </c>
      <c r="M1752" s="9" t="str">
        <f t="shared" si="4"/>
        <v>tier - 3</v>
      </c>
      <c r="N1752" s="9" t="str">
        <f t="shared" si="5"/>
        <v>R1013</v>
      </c>
      <c r="O1752" s="17">
        <f t="shared" si="6"/>
        <v>44</v>
      </c>
      <c r="P1752" s="18">
        <v>28784.0</v>
      </c>
    </row>
    <row r="1753" ht="15.75" customHeight="1">
      <c r="A1753" s="9" t="s">
        <v>3051</v>
      </c>
      <c r="B1753" s="17">
        <v>1968.0</v>
      </c>
      <c r="C1753" s="9" t="s">
        <v>4741</v>
      </c>
      <c r="D1753" s="9">
        <v>18.0</v>
      </c>
      <c r="E1753" s="18">
        <f t="shared" si="1"/>
        <v>25037</v>
      </c>
      <c r="F1753" s="9">
        <v>0.0</v>
      </c>
      <c r="G1753" s="19">
        <v>6738.84</v>
      </c>
      <c r="H1753" s="9" t="s">
        <v>4717</v>
      </c>
      <c r="I1753" s="9" t="s">
        <v>4718</v>
      </c>
      <c r="J1753" s="9" t="s">
        <v>4733</v>
      </c>
      <c r="K1753" s="20">
        <f t="shared" si="2"/>
        <v>1968</v>
      </c>
      <c r="L1753" s="9" t="str">
        <f t="shared" si="3"/>
        <v>tier - 3</v>
      </c>
      <c r="M1753" s="9" t="str">
        <f t="shared" si="4"/>
        <v>tier - 1</v>
      </c>
      <c r="N1753" s="9" t="str">
        <f t="shared" si="5"/>
        <v>R1012</v>
      </c>
      <c r="O1753" s="17">
        <f t="shared" si="6"/>
        <v>54</v>
      </c>
      <c r="P1753" s="18">
        <v>25037.0</v>
      </c>
    </row>
    <row r="1754" ht="15.75" customHeight="1">
      <c r="A1754" s="9" t="s">
        <v>3049</v>
      </c>
      <c r="B1754" s="17">
        <v>1986.0</v>
      </c>
      <c r="C1754" s="9" t="s">
        <v>4716</v>
      </c>
      <c r="D1754" s="9">
        <v>7.0</v>
      </c>
      <c r="E1754" s="18">
        <f t="shared" si="1"/>
        <v>31631</v>
      </c>
      <c r="F1754" s="9">
        <v>3.0</v>
      </c>
      <c r="G1754" s="19">
        <v>6746.74</v>
      </c>
      <c r="H1754" s="9" t="s">
        <v>4717</v>
      </c>
      <c r="I1754" s="9" t="s">
        <v>4723</v>
      </c>
      <c r="J1754" s="9" t="s">
        <v>4754</v>
      </c>
      <c r="K1754" s="20">
        <f t="shared" si="2"/>
        <v>1986</v>
      </c>
      <c r="L1754" s="9" t="str">
        <f t="shared" si="3"/>
        <v>tier - 3</v>
      </c>
      <c r="M1754" s="9" t="str">
        <f t="shared" si="4"/>
        <v>tier - 2</v>
      </c>
      <c r="N1754" s="9" t="str">
        <f t="shared" si="5"/>
        <v>R1016</v>
      </c>
      <c r="O1754" s="17">
        <f t="shared" si="6"/>
        <v>36</v>
      </c>
      <c r="P1754" s="18">
        <v>31631.0</v>
      </c>
    </row>
    <row r="1755" ht="15.75" customHeight="1">
      <c r="A1755" s="9" t="s">
        <v>3047</v>
      </c>
      <c r="B1755" s="17">
        <v>1986.0</v>
      </c>
      <c r="C1755" s="9" t="s">
        <v>4730</v>
      </c>
      <c r="D1755" s="9">
        <v>5.0</v>
      </c>
      <c r="E1755" s="18">
        <f t="shared" si="1"/>
        <v>31568</v>
      </c>
      <c r="F1755" s="9">
        <v>3.0</v>
      </c>
      <c r="G1755" s="19">
        <v>6748.59</v>
      </c>
      <c r="H1755" s="9" t="s">
        <v>4717</v>
      </c>
      <c r="I1755" s="9" t="s">
        <v>4718</v>
      </c>
      <c r="J1755" s="9" t="s">
        <v>4754</v>
      </c>
      <c r="K1755" s="20">
        <f t="shared" si="2"/>
        <v>1986</v>
      </c>
      <c r="L1755" s="9" t="str">
        <f t="shared" si="3"/>
        <v>tier - 3</v>
      </c>
      <c r="M1755" s="9" t="str">
        <f t="shared" si="4"/>
        <v>tier - 1</v>
      </c>
      <c r="N1755" s="9" t="str">
        <f t="shared" si="5"/>
        <v>R1016</v>
      </c>
      <c r="O1755" s="17">
        <f t="shared" si="6"/>
        <v>37</v>
      </c>
      <c r="P1755" s="18">
        <v>31568.0</v>
      </c>
    </row>
    <row r="1756" ht="15.75" customHeight="1">
      <c r="A1756" s="9" t="s">
        <v>3045</v>
      </c>
      <c r="B1756" s="17">
        <v>1970.0</v>
      </c>
      <c r="C1756" s="9" t="s">
        <v>4730</v>
      </c>
      <c r="D1756" s="9">
        <v>17.0</v>
      </c>
      <c r="E1756" s="18">
        <f t="shared" si="1"/>
        <v>25736</v>
      </c>
      <c r="F1756" s="9">
        <v>0.0</v>
      </c>
      <c r="G1756" s="19">
        <v>6749.63</v>
      </c>
      <c r="H1756" s="9" t="s">
        <v>4723</v>
      </c>
      <c r="I1756" s="9" t="s">
        <v>4718</v>
      </c>
      <c r="J1756" s="9" t="s">
        <v>4743</v>
      </c>
      <c r="K1756" s="20">
        <f t="shared" si="2"/>
        <v>1970</v>
      </c>
      <c r="L1756" s="9" t="str">
        <f t="shared" si="3"/>
        <v>tier - 2</v>
      </c>
      <c r="M1756" s="9" t="str">
        <f t="shared" si="4"/>
        <v>tier - 1</v>
      </c>
      <c r="N1756" s="9" t="str">
        <f t="shared" si="5"/>
        <v>R1013</v>
      </c>
      <c r="O1756" s="17">
        <f t="shared" si="6"/>
        <v>52</v>
      </c>
      <c r="P1756" s="18">
        <v>25736.0</v>
      </c>
    </row>
    <row r="1757" ht="15.75" customHeight="1">
      <c r="A1757" s="9" t="s">
        <v>3043</v>
      </c>
      <c r="B1757" s="17">
        <v>1966.0</v>
      </c>
      <c r="C1757" s="9" t="s">
        <v>4725</v>
      </c>
      <c r="D1757" s="9">
        <v>9.0</v>
      </c>
      <c r="E1757" s="18">
        <f t="shared" si="1"/>
        <v>24450</v>
      </c>
      <c r="F1757" s="9">
        <v>0.0</v>
      </c>
      <c r="G1757" s="19">
        <v>6750.27</v>
      </c>
      <c r="H1757" s="9" t="s">
        <v>4717</v>
      </c>
      <c r="I1757" s="9" t="s">
        <v>4723</v>
      </c>
      <c r="J1757" s="9" t="s">
        <v>4743</v>
      </c>
      <c r="K1757" s="20">
        <f t="shared" si="2"/>
        <v>1966</v>
      </c>
      <c r="L1757" s="9" t="str">
        <f t="shared" si="3"/>
        <v>tier - 3</v>
      </c>
      <c r="M1757" s="9" t="str">
        <f t="shared" si="4"/>
        <v>tier - 2</v>
      </c>
      <c r="N1757" s="9" t="str">
        <f t="shared" si="5"/>
        <v>R1013</v>
      </c>
      <c r="O1757" s="17">
        <f t="shared" si="6"/>
        <v>56</v>
      </c>
      <c r="P1757" s="18">
        <v>24450.0</v>
      </c>
    </row>
    <row r="1758" ht="15.75" customHeight="1">
      <c r="A1758" s="9" t="s">
        <v>3041</v>
      </c>
      <c r="B1758" s="17">
        <v>1988.0</v>
      </c>
      <c r="C1758" s="9" t="s">
        <v>4720</v>
      </c>
      <c r="D1758" s="9">
        <v>10.0</v>
      </c>
      <c r="E1758" s="18">
        <f t="shared" si="1"/>
        <v>32426</v>
      </c>
      <c r="F1758" s="9">
        <v>3.0</v>
      </c>
      <c r="G1758" s="19">
        <v>6753.04</v>
      </c>
      <c r="H1758" s="9" t="s">
        <v>4723</v>
      </c>
      <c r="I1758" s="9" t="s">
        <v>4723</v>
      </c>
      <c r="J1758" s="9" t="s">
        <v>4731</v>
      </c>
      <c r="K1758" s="20">
        <f t="shared" si="2"/>
        <v>1988</v>
      </c>
      <c r="L1758" s="9" t="str">
        <f t="shared" si="3"/>
        <v>tier - 2</v>
      </c>
      <c r="M1758" s="9" t="str">
        <f t="shared" si="4"/>
        <v>tier - 2</v>
      </c>
      <c r="N1758" s="9" t="str">
        <f t="shared" si="5"/>
        <v>R1024</v>
      </c>
      <c r="O1758" s="17">
        <f t="shared" si="6"/>
        <v>34</v>
      </c>
      <c r="P1758" s="18">
        <v>32426.0</v>
      </c>
    </row>
    <row r="1759" ht="15.75" customHeight="1">
      <c r="A1759" s="9" t="s">
        <v>305</v>
      </c>
      <c r="B1759" s="17">
        <v>1989.0</v>
      </c>
      <c r="C1759" s="9" t="s">
        <v>4738</v>
      </c>
      <c r="D1759" s="9">
        <v>8.0</v>
      </c>
      <c r="E1759" s="18">
        <f t="shared" si="1"/>
        <v>32759</v>
      </c>
      <c r="F1759" s="9">
        <v>3.0</v>
      </c>
      <c r="G1759" s="19">
        <v>38237.34</v>
      </c>
      <c r="H1759" s="9" t="s">
        <v>4723</v>
      </c>
      <c r="I1759" s="9" t="s">
        <v>4717</v>
      </c>
      <c r="J1759" s="9" t="s">
        <v>4719</v>
      </c>
      <c r="K1759" s="20">
        <f t="shared" si="2"/>
        <v>1989</v>
      </c>
      <c r="L1759" s="9" t="str">
        <f t="shared" si="3"/>
        <v>tier - 2</v>
      </c>
      <c r="M1759" s="9" t="str">
        <f t="shared" si="4"/>
        <v>tier - 3</v>
      </c>
      <c r="N1759" s="9" t="str">
        <f t="shared" si="5"/>
        <v>R1011</v>
      </c>
      <c r="O1759" s="17">
        <f t="shared" si="6"/>
        <v>33</v>
      </c>
      <c r="P1759" s="18">
        <v>32759.0</v>
      </c>
    </row>
    <row r="1760" ht="15.75" customHeight="1">
      <c r="A1760" s="9" t="s">
        <v>3039</v>
      </c>
      <c r="B1760" s="17">
        <v>1981.0</v>
      </c>
      <c r="C1760" s="9" t="s">
        <v>4738</v>
      </c>
      <c r="D1760" s="9">
        <v>21.0</v>
      </c>
      <c r="E1760" s="18">
        <f t="shared" si="1"/>
        <v>29850</v>
      </c>
      <c r="F1760" s="9">
        <v>1.0</v>
      </c>
      <c r="G1760" s="19">
        <v>6770.19</v>
      </c>
      <c r="H1760" s="9" t="s">
        <v>4723</v>
      </c>
      <c r="I1760" s="9" t="s">
        <v>4717</v>
      </c>
      <c r="J1760" s="9" t="s">
        <v>4743</v>
      </c>
      <c r="K1760" s="20">
        <f t="shared" si="2"/>
        <v>1981</v>
      </c>
      <c r="L1760" s="9" t="str">
        <f t="shared" si="3"/>
        <v>tier - 2</v>
      </c>
      <c r="M1760" s="9" t="str">
        <f t="shared" si="4"/>
        <v>tier - 3</v>
      </c>
      <c r="N1760" s="9" t="str">
        <f t="shared" si="5"/>
        <v>R1013</v>
      </c>
      <c r="O1760" s="17">
        <f t="shared" si="6"/>
        <v>41</v>
      </c>
      <c r="P1760" s="18">
        <v>29850.0</v>
      </c>
    </row>
    <row r="1761" ht="15.75" customHeight="1">
      <c r="A1761" s="9" t="s">
        <v>3037</v>
      </c>
      <c r="B1761" s="17">
        <v>1981.0</v>
      </c>
      <c r="C1761" s="9" t="s">
        <v>4738</v>
      </c>
      <c r="D1761" s="9">
        <v>3.0</v>
      </c>
      <c r="E1761" s="18">
        <f t="shared" si="1"/>
        <v>29832</v>
      </c>
      <c r="F1761" s="9">
        <v>1.0</v>
      </c>
      <c r="G1761" s="19">
        <v>6775.96</v>
      </c>
      <c r="H1761" s="9" t="s">
        <v>4723</v>
      </c>
      <c r="I1761" s="9" t="s">
        <v>4717</v>
      </c>
      <c r="J1761" s="9" t="s">
        <v>4719</v>
      </c>
      <c r="K1761" s="20">
        <f t="shared" si="2"/>
        <v>1981</v>
      </c>
      <c r="L1761" s="9" t="str">
        <f t="shared" si="3"/>
        <v>tier - 2</v>
      </c>
      <c r="M1761" s="9" t="str">
        <f t="shared" si="4"/>
        <v>tier - 3</v>
      </c>
      <c r="N1761" s="9" t="str">
        <f t="shared" si="5"/>
        <v>R1011</v>
      </c>
      <c r="O1761" s="17">
        <f t="shared" si="6"/>
        <v>41</v>
      </c>
      <c r="P1761" s="18">
        <v>29832.0</v>
      </c>
    </row>
    <row r="1762" ht="15.75" customHeight="1">
      <c r="A1762" s="9" t="s">
        <v>3035</v>
      </c>
      <c r="B1762" s="17">
        <v>1981.0</v>
      </c>
      <c r="C1762" s="9" t="s">
        <v>4720</v>
      </c>
      <c r="D1762" s="9">
        <v>8.0</v>
      </c>
      <c r="E1762" s="18">
        <f t="shared" si="1"/>
        <v>29867</v>
      </c>
      <c r="F1762" s="9">
        <v>1.0</v>
      </c>
      <c r="G1762" s="19">
        <v>6781.35</v>
      </c>
      <c r="H1762" s="9" t="s">
        <v>4723</v>
      </c>
      <c r="I1762" s="9" t="s">
        <v>4718</v>
      </c>
      <c r="J1762" s="9" t="s">
        <v>4743</v>
      </c>
      <c r="K1762" s="20">
        <f t="shared" si="2"/>
        <v>1981</v>
      </c>
      <c r="L1762" s="9" t="str">
        <f t="shared" si="3"/>
        <v>tier - 2</v>
      </c>
      <c r="M1762" s="9" t="str">
        <f t="shared" si="4"/>
        <v>tier - 1</v>
      </c>
      <c r="N1762" s="9" t="str">
        <f t="shared" si="5"/>
        <v>R1013</v>
      </c>
      <c r="O1762" s="17">
        <f t="shared" si="6"/>
        <v>41</v>
      </c>
      <c r="P1762" s="18">
        <v>29867.0</v>
      </c>
    </row>
    <row r="1763" ht="15.75" customHeight="1">
      <c r="A1763" s="9" t="s">
        <v>3033</v>
      </c>
      <c r="B1763" s="17">
        <v>1980.0</v>
      </c>
      <c r="C1763" s="9" t="s">
        <v>4735</v>
      </c>
      <c r="D1763" s="9">
        <v>23.0</v>
      </c>
      <c r="E1763" s="18">
        <f t="shared" si="1"/>
        <v>29548</v>
      </c>
      <c r="F1763" s="9">
        <v>2.0</v>
      </c>
      <c r="G1763" s="19">
        <v>6781.52</v>
      </c>
      <c r="H1763" s="9" t="s">
        <v>4723</v>
      </c>
      <c r="I1763" s="9" t="s">
        <v>4723</v>
      </c>
      <c r="J1763" s="9" t="s">
        <v>4743</v>
      </c>
      <c r="K1763" s="20">
        <f t="shared" si="2"/>
        <v>1980</v>
      </c>
      <c r="L1763" s="9" t="str">
        <f t="shared" si="3"/>
        <v>tier - 2</v>
      </c>
      <c r="M1763" s="9" t="str">
        <f t="shared" si="4"/>
        <v>tier - 2</v>
      </c>
      <c r="N1763" s="9" t="str">
        <f t="shared" si="5"/>
        <v>R1013</v>
      </c>
      <c r="O1763" s="17">
        <f t="shared" si="6"/>
        <v>42</v>
      </c>
      <c r="P1763" s="18">
        <v>29548.0</v>
      </c>
    </row>
    <row r="1764" ht="15.75" customHeight="1">
      <c r="A1764" s="9" t="s">
        <v>3031</v>
      </c>
      <c r="B1764" s="17">
        <v>1985.0</v>
      </c>
      <c r="C1764" s="9" t="s">
        <v>4725</v>
      </c>
      <c r="D1764" s="9">
        <v>24.0</v>
      </c>
      <c r="E1764" s="18">
        <f t="shared" si="1"/>
        <v>31405</v>
      </c>
      <c r="F1764" s="9">
        <v>3.0</v>
      </c>
      <c r="G1764" s="19">
        <v>6796.86</v>
      </c>
      <c r="H1764" s="9" t="s">
        <v>4717</v>
      </c>
      <c r="I1764" s="9" t="s">
        <v>4717</v>
      </c>
      <c r="J1764" s="9" t="s">
        <v>4733</v>
      </c>
      <c r="K1764" s="20">
        <f t="shared" si="2"/>
        <v>1985</v>
      </c>
      <c r="L1764" s="9" t="str">
        <f t="shared" si="3"/>
        <v>tier - 3</v>
      </c>
      <c r="M1764" s="9" t="str">
        <f t="shared" si="4"/>
        <v>tier - 3</v>
      </c>
      <c r="N1764" s="9" t="str">
        <f t="shared" si="5"/>
        <v>R1012</v>
      </c>
      <c r="O1764" s="17">
        <f t="shared" si="6"/>
        <v>37</v>
      </c>
      <c r="P1764" s="18">
        <v>31405.0</v>
      </c>
    </row>
    <row r="1765" ht="15.75" customHeight="1">
      <c r="A1765" s="9" t="s">
        <v>3029</v>
      </c>
      <c r="B1765" s="17">
        <v>1991.0</v>
      </c>
      <c r="C1765" s="9" t="s">
        <v>4730</v>
      </c>
      <c r="D1765" s="9">
        <v>29.0</v>
      </c>
      <c r="E1765" s="18">
        <f t="shared" si="1"/>
        <v>33418</v>
      </c>
      <c r="F1765" s="9">
        <v>5.0</v>
      </c>
      <c r="G1765" s="19">
        <v>6799.46</v>
      </c>
      <c r="H1765" s="9" t="s">
        <v>4718</v>
      </c>
      <c r="I1765" s="9" t="s">
        <v>4723</v>
      </c>
      <c r="J1765" s="9" t="s">
        <v>4752</v>
      </c>
      <c r="K1765" s="20">
        <f t="shared" si="2"/>
        <v>1991</v>
      </c>
      <c r="L1765" s="9" t="str">
        <f t="shared" si="3"/>
        <v>tier - 1</v>
      </c>
      <c r="M1765" s="9" t="str">
        <f t="shared" si="4"/>
        <v>tier - 2</v>
      </c>
      <c r="N1765" s="9" t="str">
        <f t="shared" si="5"/>
        <v>R1014</v>
      </c>
      <c r="O1765" s="17">
        <f t="shared" si="6"/>
        <v>31</v>
      </c>
      <c r="P1765" s="18">
        <v>33418.0</v>
      </c>
    </row>
    <row r="1766" ht="15.75" customHeight="1">
      <c r="A1766" s="9" t="s">
        <v>3027</v>
      </c>
      <c r="B1766" s="17">
        <v>1975.0</v>
      </c>
      <c r="C1766" s="9" t="s">
        <v>4716</v>
      </c>
      <c r="D1766" s="9">
        <v>17.0</v>
      </c>
      <c r="E1766" s="18">
        <f t="shared" si="1"/>
        <v>27623</v>
      </c>
      <c r="F1766" s="9">
        <v>1.0</v>
      </c>
      <c r="G1766" s="19">
        <v>6809.46</v>
      </c>
      <c r="H1766" s="9" t="s">
        <v>4723</v>
      </c>
      <c r="I1766" s="9" t="s">
        <v>4718</v>
      </c>
      <c r="J1766" s="9" t="s">
        <v>4733</v>
      </c>
      <c r="K1766" s="20">
        <f t="shared" si="2"/>
        <v>1975</v>
      </c>
      <c r="L1766" s="9" t="str">
        <f t="shared" si="3"/>
        <v>tier - 2</v>
      </c>
      <c r="M1766" s="9" t="str">
        <f t="shared" si="4"/>
        <v>tier - 1</v>
      </c>
      <c r="N1766" s="9" t="str">
        <f t="shared" si="5"/>
        <v>R1012</v>
      </c>
      <c r="O1766" s="17">
        <f t="shared" si="6"/>
        <v>47</v>
      </c>
      <c r="P1766" s="18">
        <v>27623.0</v>
      </c>
    </row>
    <row r="1767" ht="15.75" customHeight="1">
      <c r="A1767" s="9" t="s">
        <v>3025</v>
      </c>
      <c r="B1767" s="17">
        <v>1994.0</v>
      </c>
      <c r="C1767" s="9" t="s">
        <v>4741</v>
      </c>
      <c r="D1767" s="9">
        <v>8.0</v>
      </c>
      <c r="E1767" s="18">
        <f t="shared" si="1"/>
        <v>34523</v>
      </c>
      <c r="F1767" s="9">
        <v>0.0</v>
      </c>
      <c r="G1767" s="19">
        <v>6827.69</v>
      </c>
      <c r="H1767" s="9" t="s">
        <v>4723</v>
      </c>
      <c r="I1767" s="9" t="s">
        <v>4723</v>
      </c>
      <c r="J1767" s="9" t="s">
        <v>4751</v>
      </c>
      <c r="K1767" s="20">
        <f t="shared" si="2"/>
        <v>1994</v>
      </c>
      <c r="L1767" s="9" t="str">
        <f t="shared" si="3"/>
        <v>tier - 2</v>
      </c>
      <c r="M1767" s="9" t="str">
        <f t="shared" si="4"/>
        <v>tier - 2</v>
      </c>
      <c r="N1767" s="9" t="str">
        <f t="shared" si="5"/>
        <v>R1021</v>
      </c>
      <c r="O1767" s="17">
        <f t="shared" si="6"/>
        <v>28</v>
      </c>
      <c r="P1767" s="18">
        <v>34523.0</v>
      </c>
    </row>
    <row r="1768" ht="15.75" customHeight="1">
      <c r="A1768" s="9" t="s">
        <v>3023</v>
      </c>
      <c r="B1768" s="17">
        <v>1979.0</v>
      </c>
      <c r="C1768" s="9" t="s">
        <v>4741</v>
      </c>
      <c r="D1768" s="9">
        <v>15.0</v>
      </c>
      <c r="E1768" s="18">
        <f t="shared" si="1"/>
        <v>29051</v>
      </c>
      <c r="F1768" s="9">
        <v>0.0</v>
      </c>
      <c r="G1768" s="19">
        <v>6837.37</v>
      </c>
      <c r="H1768" s="9" t="s">
        <v>4717</v>
      </c>
      <c r="I1768" s="9" t="s">
        <v>4718</v>
      </c>
      <c r="J1768" s="9" t="s">
        <v>4754</v>
      </c>
      <c r="K1768" s="20">
        <f t="shared" si="2"/>
        <v>1979</v>
      </c>
      <c r="L1768" s="9" t="str">
        <f t="shared" si="3"/>
        <v>tier - 3</v>
      </c>
      <c r="M1768" s="9" t="str">
        <f t="shared" si="4"/>
        <v>tier - 1</v>
      </c>
      <c r="N1768" s="9" t="str">
        <f t="shared" si="5"/>
        <v>R1016</v>
      </c>
      <c r="O1768" s="17">
        <f t="shared" si="6"/>
        <v>43</v>
      </c>
      <c r="P1768" s="18">
        <v>29051.0</v>
      </c>
    </row>
    <row r="1769" ht="15.75" customHeight="1">
      <c r="A1769" s="9" t="s">
        <v>3021</v>
      </c>
      <c r="B1769" s="17">
        <v>2000.0</v>
      </c>
      <c r="C1769" s="9" t="s">
        <v>4735</v>
      </c>
      <c r="D1769" s="9">
        <v>30.0</v>
      </c>
      <c r="E1769" s="18">
        <f t="shared" si="1"/>
        <v>36860</v>
      </c>
      <c r="F1769" s="9">
        <v>0.0</v>
      </c>
      <c r="G1769" s="19">
        <v>6842.28</v>
      </c>
      <c r="H1769" s="9" t="s">
        <v>4723</v>
      </c>
      <c r="I1769" s="9" t="s">
        <v>4718</v>
      </c>
      <c r="J1769" s="9" t="s">
        <v>4733</v>
      </c>
      <c r="K1769" s="20">
        <f t="shared" si="2"/>
        <v>2000</v>
      </c>
      <c r="L1769" s="9" t="str">
        <f t="shared" si="3"/>
        <v>tier - 2</v>
      </c>
      <c r="M1769" s="9" t="str">
        <f t="shared" si="4"/>
        <v>tier - 1</v>
      </c>
      <c r="N1769" s="9" t="str">
        <f t="shared" si="5"/>
        <v>R1012</v>
      </c>
      <c r="O1769" s="17">
        <f t="shared" si="6"/>
        <v>22</v>
      </c>
      <c r="P1769" s="18">
        <v>36860.0</v>
      </c>
    </row>
    <row r="1770" ht="15.75" customHeight="1">
      <c r="A1770" s="9" t="s">
        <v>303</v>
      </c>
      <c r="B1770" s="17">
        <v>1964.0</v>
      </c>
      <c r="C1770" s="9" t="s">
        <v>4730</v>
      </c>
      <c r="D1770" s="9">
        <v>16.0</v>
      </c>
      <c r="E1770" s="18">
        <f t="shared" si="1"/>
        <v>23544</v>
      </c>
      <c r="F1770" s="9">
        <v>0.0</v>
      </c>
      <c r="G1770" s="19">
        <v>38241.74</v>
      </c>
      <c r="H1770" s="9" t="s">
        <v>4723</v>
      </c>
      <c r="I1770" s="9" t="s">
        <v>4717</v>
      </c>
      <c r="J1770" s="9" t="s">
        <v>4719</v>
      </c>
      <c r="K1770" s="20">
        <f t="shared" si="2"/>
        <v>1964</v>
      </c>
      <c r="L1770" s="9" t="str">
        <f t="shared" si="3"/>
        <v>tier - 2</v>
      </c>
      <c r="M1770" s="9" t="str">
        <f t="shared" si="4"/>
        <v>tier - 3</v>
      </c>
      <c r="N1770" s="9" t="str">
        <f t="shared" si="5"/>
        <v>R1011</v>
      </c>
      <c r="O1770" s="17">
        <f t="shared" si="6"/>
        <v>58</v>
      </c>
      <c r="P1770" s="18">
        <v>23544.0</v>
      </c>
    </row>
    <row r="1771" ht="15.75" customHeight="1">
      <c r="A1771" s="9" t="s">
        <v>3019</v>
      </c>
      <c r="B1771" s="17">
        <v>1977.0</v>
      </c>
      <c r="C1771" s="9" t="s">
        <v>4730</v>
      </c>
      <c r="D1771" s="9">
        <v>15.0</v>
      </c>
      <c r="E1771" s="18">
        <f t="shared" si="1"/>
        <v>28291</v>
      </c>
      <c r="F1771" s="9">
        <v>2.0</v>
      </c>
      <c r="G1771" s="19">
        <v>6843.17</v>
      </c>
      <c r="H1771" s="9" t="s">
        <v>4723</v>
      </c>
      <c r="I1771" s="9" t="s">
        <v>4718</v>
      </c>
      <c r="J1771" s="9" t="s">
        <v>4743</v>
      </c>
      <c r="K1771" s="20">
        <f t="shared" si="2"/>
        <v>1977</v>
      </c>
      <c r="L1771" s="9" t="str">
        <f t="shared" si="3"/>
        <v>tier - 2</v>
      </c>
      <c r="M1771" s="9" t="str">
        <f t="shared" si="4"/>
        <v>tier - 1</v>
      </c>
      <c r="N1771" s="9" t="str">
        <f t="shared" si="5"/>
        <v>R1013</v>
      </c>
      <c r="O1771" s="17">
        <f t="shared" si="6"/>
        <v>45</v>
      </c>
      <c r="P1771" s="18">
        <v>28291.0</v>
      </c>
    </row>
    <row r="1772" ht="15.75" customHeight="1">
      <c r="A1772" s="9" t="s">
        <v>3017</v>
      </c>
      <c r="B1772" s="17">
        <v>1979.0</v>
      </c>
      <c r="C1772" s="9" t="s">
        <v>4735</v>
      </c>
      <c r="D1772" s="9">
        <v>4.0</v>
      </c>
      <c r="E1772" s="18">
        <f t="shared" si="1"/>
        <v>29163</v>
      </c>
      <c r="F1772" s="9">
        <v>1.0</v>
      </c>
      <c r="G1772" s="19">
        <v>6849.03</v>
      </c>
      <c r="H1772" s="9" t="s">
        <v>4723</v>
      </c>
      <c r="I1772" s="9" t="s">
        <v>4723</v>
      </c>
      <c r="J1772" s="9" t="s">
        <v>4719</v>
      </c>
      <c r="K1772" s="20">
        <f t="shared" si="2"/>
        <v>1979</v>
      </c>
      <c r="L1772" s="9" t="str">
        <f t="shared" si="3"/>
        <v>tier - 2</v>
      </c>
      <c r="M1772" s="9" t="str">
        <f t="shared" si="4"/>
        <v>tier - 2</v>
      </c>
      <c r="N1772" s="9" t="str">
        <f t="shared" si="5"/>
        <v>R1011</v>
      </c>
      <c r="O1772" s="17">
        <f t="shared" si="6"/>
        <v>43</v>
      </c>
      <c r="P1772" s="18">
        <v>29163.0</v>
      </c>
    </row>
    <row r="1773" ht="15.75" customHeight="1">
      <c r="A1773" s="9" t="s">
        <v>3015</v>
      </c>
      <c r="B1773" s="17">
        <v>1981.0</v>
      </c>
      <c r="C1773" s="9" t="s">
        <v>4730</v>
      </c>
      <c r="D1773" s="9">
        <v>19.0</v>
      </c>
      <c r="E1773" s="18">
        <f t="shared" si="1"/>
        <v>29756</v>
      </c>
      <c r="F1773" s="9">
        <v>1.0</v>
      </c>
      <c r="G1773" s="19">
        <v>6858.48</v>
      </c>
      <c r="H1773" s="9" t="s">
        <v>4723</v>
      </c>
      <c r="I1773" s="9" t="s">
        <v>4723</v>
      </c>
      <c r="J1773" s="9" t="s">
        <v>4728</v>
      </c>
      <c r="K1773" s="20">
        <f t="shared" si="2"/>
        <v>1981</v>
      </c>
      <c r="L1773" s="9" t="str">
        <f t="shared" si="3"/>
        <v>tier - 2</v>
      </c>
      <c r="M1773" s="9" t="str">
        <f t="shared" si="4"/>
        <v>tier - 2</v>
      </c>
      <c r="N1773" s="9" t="str">
        <f t="shared" si="5"/>
        <v>R1019</v>
      </c>
      <c r="O1773" s="17">
        <f t="shared" si="6"/>
        <v>41</v>
      </c>
      <c r="P1773" s="18">
        <v>29756.0</v>
      </c>
    </row>
    <row r="1774" ht="15.75" customHeight="1">
      <c r="A1774" s="9" t="s">
        <v>3013</v>
      </c>
      <c r="B1774" s="17">
        <v>1978.0</v>
      </c>
      <c r="C1774" s="9" t="s">
        <v>4716</v>
      </c>
      <c r="D1774" s="9">
        <v>5.0</v>
      </c>
      <c r="E1774" s="18">
        <f t="shared" si="1"/>
        <v>28707</v>
      </c>
      <c r="F1774" s="9">
        <v>2.0</v>
      </c>
      <c r="G1774" s="19">
        <v>6863.49</v>
      </c>
      <c r="H1774" s="9" t="s">
        <v>4723</v>
      </c>
      <c r="I1774" s="9" t="s">
        <v>4718</v>
      </c>
      <c r="J1774" s="9" t="s">
        <v>4743</v>
      </c>
      <c r="K1774" s="20">
        <f t="shared" si="2"/>
        <v>1978</v>
      </c>
      <c r="L1774" s="9" t="str">
        <f t="shared" si="3"/>
        <v>tier - 2</v>
      </c>
      <c r="M1774" s="9" t="str">
        <f t="shared" si="4"/>
        <v>tier - 1</v>
      </c>
      <c r="N1774" s="9" t="str">
        <f t="shared" si="5"/>
        <v>R1013</v>
      </c>
      <c r="O1774" s="17">
        <f t="shared" si="6"/>
        <v>44</v>
      </c>
      <c r="P1774" s="18">
        <v>28707.0</v>
      </c>
    </row>
    <row r="1775" ht="15.75" customHeight="1">
      <c r="A1775" s="9" t="s">
        <v>3011</v>
      </c>
      <c r="B1775" s="17">
        <v>1969.0</v>
      </c>
      <c r="C1775" s="9" t="s">
        <v>4720</v>
      </c>
      <c r="D1775" s="9">
        <v>23.0</v>
      </c>
      <c r="E1775" s="18">
        <f t="shared" si="1"/>
        <v>25499</v>
      </c>
      <c r="F1775" s="9">
        <v>0.0</v>
      </c>
      <c r="G1775" s="19">
        <v>6868.39</v>
      </c>
      <c r="H1775" s="9" t="s">
        <v>4723</v>
      </c>
      <c r="I1775" s="9" t="s">
        <v>4723</v>
      </c>
      <c r="J1775" s="9" t="s">
        <v>4743</v>
      </c>
      <c r="K1775" s="20">
        <f t="shared" si="2"/>
        <v>1969</v>
      </c>
      <c r="L1775" s="9" t="str">
        <f t="shared" si="3"/>
        <v>tier - 2</v>
      </c>
      <c r="M1775" s="9" t="str">
        <f t="shared" si="4"/>
        <v>tier - 2</v>
      </c>
      <c r="N1775" s="9" t="str">
        <f t="shared" si="5"/>
        <v>R1013</v>
      </c>
      <c r="O1775" s="17">
        <f t="shared" si="6"/>
        <v>53</v>
      </c>
      <c r="P1775" s="18">
        <v>25499.0</v>
      </c>
    </row>
    <row r="1776" ht="15.75" customHeight="1">
      <c r="A1776" s="9" t="s">
        <v>3009</v>
      </c>
      <c r="B1776" s="17">
        <v>1981.0</v>
      </c>
      <c r="C1776" s="9" t="s">
        <v>4730</v>
      </c>
      <c r="D1776" s="9">
        <v>23.0</v>
      </c>
      <c r="E1776" s="18">
        <f t="shared" si="1"/>
        <v>29760</v>
      </c>
      <c r="F1776" s="9">
        <v>2.0</v>
      </c>
      <c r="G1776" s="19">
        <v>6875.96</v>
      </c>
      <c r="H1776" s="9" t="s">
        <v>4723</v>
      </c>
      <c r="I1776" s="9" t="s">
        <v>4723</v>
      </c>
      <c r="J1776" s="9" t="s">
        <v>4719</v>
      </c>
      <c r="K1776" s="20">
        <f t="shared" si="2"/>
        <v>1981</v>
      </c>
      <c r="L1776" s="9" t="str">
        <f t="shared" si="3"/>
        <v>tier - 2</v>
      </c>
      <c r="M1776" s="9" t="str">
        <f t="shared" si="4"/>
        <v>tier - 2</v>
      </c>
      <c r="N1776" s="9" t="str">
        <f t="shared" si="5"/>
        <v>R1011</v>
      </c>
      <c r="O1776" s="17">
        <f t="shared" si="6"/>
        <v>41</v>
      </c>
      <c r="P1776" s="18">
        <v>29760.0</v>
      </c>
    </row>
    <row r="1777" ht="15.75" customHeight="1">
      <c r="A1777" s="9" t="s">
        <v>3007</v>
      </c>
      <c r="B1777" s="17">
        <v>2004.0</v>
      </c>
      <c r="C1777" s="9" t="s">
        <v>4725</v>
      </c>
      <c r="D1777" s="9">
        <v>24.0</v>
      </c>
      <c r="E1777" s="18">
        <f t="shared" si="1"/>
        <v>38345</v>
      </c>
      <c r="F1777" s="9">
        <v>0.0</v>
      </c>
      <c r="G1777" s="19">
        <v>6876.53</v>
      </c>
      <c r="H1777" s="9" t="s">
        <v>4723</v>
      </c>
      <c r="I1777" s="9" t="s">
        <v>4718</v>
      </c>
      <c r="J1777" s="9" t="s">
        <v>4733</v>
      </c>
      <c r="K1777" s="20">
        <f t="shared" si="2"/>
        <v>2004</v>
      </c>
      <c r="L1777" s="9" t="str">
        <f t="shared" si="3"/>
        <v>tier - 2</v>
      </c>
      <c r="M1777" s="9" t="str">
        <f t="shared" si="4"/>
        <v>tier - 1</v>
      </c>
      <c r="N1777" s="9" t="str">
        <f t="shared" si="5"/>
        <v>R1012</v>
      </c>
      <c r="O1777" s="17">
        <f t="shared" si="6"/>
        <v>18</v>
      </c>
      <c r="P1777" s="18">
        <v>38345.0</v>
      </c>
    </row>
    <row r="1778" ht="15.75" customHeight="1">
      <c r="A1778" s="9" t="s">
        <v>3005</v>
      </c>
      <c r="B1778" s="17">
        <v>1985.0</v>
      </c>
      <c r="C1778" s="9" t="s">
        <v>4738</v>
      </c>
      <c r="D1778" s="9">
        <v>10.0</v>
      </c>
      <c r="E1778" s="18">
        <f t="shared" si="1"/>
        <v>31300</v>
      </c>
      <c r="F1778" s="9">
        <v>2.0</v>
      </c>
      <c r="G1778" s="19">
        <v>6877.98</v>
      </c>
      <c r="H1778" s="9" t="s">
        <v>4723</v>
      </c>
      <c r="I1778" s="9" t="s">
        <v>4718</v>
      </c>
      <c r="J1778" s="9" t="s">
        <v>4731</v>
      </c>
      <c r="K1778" s="20">
        <f t="shared" si="2"/>
        <v>1985</v>
      </c>
      <c r="L1778" s="9" t="str">
        <f t="shared" si="3"/>
        <v>tier - 2</v>
      </c>
      <c r="M1778" s="9" t="str">
        <f t="shared" si="4"/>
        <v>tier - 1</v>
      </c>
      <c r="N1778" s="9" t="str">
        <f t="shared" si="5"/>
        <v>R1024</v>
      </c>
      <c r="O1778" s="17">
        <f t="shared" si="6"/>
        <v>37</v>
      </c>
      <c r="P1778" s="18">
        <v>31300.0</v>
      </c>
    </row>
    <row r="1779" ht="15.75" customHeight="1">
      <c r="A1779" s="9" t="s">
        <v>3003</v>
      </c>
      <c r="B1779" s="17">
        <v>1989.0</v>
      </c>
      <c r="C1779" s="9" t="s">
        <v>4725</v>
      </c>
      <c r="D1779" s="9">
        <v>21.0</v>
      </c>
      <c r="E1779" s="18">
        <f t="shared" si="1"/>
        <v>32863</v>
      </c>
      <c r="F1779" s="9">
        <v>3.0</v>
      </c>
      <c r="G1779" s="19">
        <v>6895.19</v>
      </c>
      <c r="H1779" s="9" t="s">
        <v>4723</v>
      </c>
      <c r="I1779" s="9" t="s">
        <v>4717</v>
      </c>
      <c r="J1779" s="9" t="s">
        <v>4731</v>
      </c>
      <c r="K1779" s="20">
        <f t="shared" si="2"/>
        <v>1989</v>
      </c>
      <c r="L1779" s="9" t="str">
        <f t="shared" si="3"/>
        <v>tier - 2</v>
      </c>
      <c r="M1779" s="9" t="str">
        <f t="shared" si="4"/>
        <v>tier - 3</v>
      </c>
      <c r="N1779" s="9" t="str">
        <f t="shared" si="5"/>
        <v>R1024</v>
      </c>
      <c r="O1779" s="17">
        <f t="shared" si="6"/>
        <v>33</v>
      </c>
      <c r="P1779" s="18">
        <v>32863.0</v>
      </c>
    </row>
    <row r="1780" ht="15.75" customHeight="1">
      <c r="A1780" s="9" t="s">
        <v>3001</v>
      </c>
      <c r="B1780" s="17">
        <v>1984.0</v>
      </c>
      <c r="C1780" s="9" t="s">
        <v>4738</v>
      </c>
      <c r="D1780" s="9">
        <v>5.0</v>
      </c>
      <c r="E1780" s="18">
        <f t="shared" si="1"/>
        <v>30930</v>
      </c>
      <c r="F1780" s="9">
        <v>2.0</v>
      </c>
      <c r="G1780" s="19">
        <v>6933.24</v>
      </c>
      <c r="H1780" s="9" t="s">
        <v>4723</v>
      </c>
      <c r="I1780" s="9" t="s">
        <v>4717</v>
      </c>
      <c r="J1780" s="9" t="s">
        <v>4733</v>
      </c>
      <c r="K1780" s="20">
        <f t="shared" si="2"/>
        <v>1984</v>
      </c>
      <c r="L1780" s="9" t="str">
        <f t="shared" si="3"/>
        <v>tier - 2</v>
      </c>
      <c r="M1780" s="9" t="str">
        <f t="shared" si="4"/>
        <v>tier - 3</v>
      </c>
      <c r="N1780" s="9" t="str">
        <f t="shared" si="5"/>
        <v>R1012</v>
      </c>
      <c r="O1780" s="17">
        <f t="shared" si="6"/>
        <v>38</v>
      </c>
      <c r="P1780" s="18">
        <v>30930.0</v>
      </c>
    </row>
    <row r="1781" ht="15.75" customHeight="1">
      <c r="A1781" s="9" t="s">
        <v>301</v>
      </c>
      <c r="B1781" s="17">
        <v>1980.0</v>
      </c>
      <c r="C1781" s="9" t="s">
        <v>4716</v>
      </c>
      <c r="D1781" s="9">
        <v>16.0</v>
      </c>
      <c r="E1781" s="18">
        <f t="shared" si="1"/>
        <v>29449</v>
      </c>
      <c r="F1781" s="9">
        <v>1.0</v>
      </c>
      <c r="G1781" s="19">
        <v>38245.59</v>
      </c>
      <c r="H1781" s="9" t="s">
        <v>4718</v>
      </c>
      <c r="I1781" s="9" t="s">
        <v>4723</v>
      </c>
      <c r="J1781" s="9" t="s">
        <v>4743</v>
      </c>
      <c r="K1781" s="20">
        <f t="shared" si="2"/>
        <v>1980</v>
      </c>
      <c r="L1781" s="9" t="str">
        <f t="shared" si="3"/>
        <v>tier - 1</v>
      </c>
      <c r="M1781" s="9" t="str">
        <f t="shared" si="4"/>
        <v>tier - 2</v>
      </c>
      <c r="N1781" s="9" t="str">
        <f t="shared" si="5"/>
        <v>R1013</v>
      </c>
      <c r="O1781" s="17">
        <f t="shared" si="6"/>
        <v>42</v>
      </c>
      <c r="P1781" s="18">
        <v>29449.0</v>
      </c>
    </row>
    <row r="1782" ht="15.75" customHeight="1">
      <c r="A1782" s="9" t="s">
        <v>31</v>
      </c>
      <c r="B1782" s="17">
        <v>1961.0</v>
      </c>
      <c r="C1782" s="9" t="s">
        <v>4725</v>
      </c>
      <c r="D1782" s="9">
        <v>21.0</v>
      </c>
      <c r="E1782" s="18">
        <f t="shared" si="1"/>
        <v>22636</v>
      </c>
      <c r="F1782" s="9">
        <v>1.0</v>
      </c>
      <c r="G1782" s="19">
        <v>48517.56</v>
      </c>
      <c r="H1782" s="9" t="s">
        <v>4718</v>
      </c>
      <c r="I1782" s="9" t="s">
        <v>4717</v>
      </c>
      <c r="J1782" s="9" t="s">
        <v>4731</v>
      </c>
      <c r="K1782" s="20">
        <f t="shared" si="2"/>
        <v>1961</v>
      </c>
      <c r="L1782" s="9" t="str">
        <f t="shared" si="3"/>
        <v>tier - 1</v>
      </c>
      <c r="M1782" s="9" t="str">
        <f t="shared" si="4"/>
        <v>tier - 3</v>
      </c>
      <c r="N1782" s="9" t="str">
        <f t="shared" si="5"/>
        <v>R1024</v>
      </c>
      <c r="O1782" s="17">
        <f t="shared" si="6"/>
        <v>61</v>
      </c>
      <c r="P1782" s="18">
        <v>22636.0</v>
      </c>
    </row>
    <row r="1783" ht="15.75" customHeight="1">
      <c r="A1783" s="9" t="s">
        <v>2999</v>
      </c>
      <c r="B1783" s="17">
        <v>1978.0</v>
      </c>
      <c r="C1783" s="9" t="s">
        <v>4735</v>
      </c>
      <c r="D1783" s="9">
        <v>29.0</v>
      </c>
      <c r="E1783" s="18">
        <f t="shared" si="1"/>
        <v>28823</v>
      </c>
      <c r="F1783" s="9">
        <v>2.0</v>
      </c>
      <c r="G1783" s="19">
        <v>6938.11</v>
      </c>
      <c r="H1783" s="9" t="s">
        <v>4723</v>
      </c>
      <c r="I1783" s="9" t="s">
        <v>4723</v>
      </c>
      <c r="J1783" s="9" t="s">
        <v>4743</v>
      </c>
      <c r="K1783" s="20">
        <f t="shared" si="2"/>
        <v>1978</v>
      </c>
      <c r="L1783" s="9" t="str">
        <f t="shared" si="3"/>
        <v>tier - 2</v>
      </c>
      <c r="M1783" s="9" t="str">
        <f t="shared" si="4"/>
        <v>tier - 2</v>
      </c>
      <c r="N1783" s="9" t="str">
        <f t="shared" si="5"/>
        <v>R1013</v>
      </c>
      <c r="O1783" s="17">
        <f t="shared" si="6"/>
        <v>44</v>
      </c>
      <c r="P1783" s="18">
        <v>28823.0</v>
      </c>
    </row>
    <row r="1784" ht="15.75" customHeight="1">
      <c r="A1784" s="9" t="s">
        <v>2997</v>
      </c>
      <c r="B1784" s="17">
        <v>1980.0</v>
      </c>
      <c r="C1784" s="9" t="s">
        <v>4716</v>
      </c>
      <c r="D1784" s="9">
        <v>30.0</v>
      </c>
      <c r="E1784" s="18">
        <f t="shared" si="1"/>
        <v>29463</v>
      </c>
      <c r="F1784" s="9">
        <v>1.0</v>
      </c>
      <c r="G1784" s="19">
        <v>6940.91</v>
      </c>
      <c r="H1784" s="9" t="s">
        <v>4723</v>
      </c>
      <c r="I1784" s="9" t="s">
        <v>4723</v>
      </c>
      <c r="J1784" s="9" t="s">
        <v>4733</v>
      </c>
      <c r="K1784" s="20">
        <f t="shared" si="2"/>
        <v>1980</v>
      </c>
      <c r="L1784" s="9" t="str">
        <f t="shared" si="3"/>
        <v>tier - 2</v>
      </c>
      <c r="M1784" s="9" t="str">
        <f t="shared" si="4"/>
        <v>tier - 2</v>
      </c>
      <c r="N1784" s="9" t="str">
        <f t="shared" si="5"/>
        <v>R1012</v>
      </c>
      <c r="O1784" s="17">
        <f t="shared" si="6"/>
        <v>42</v>
      </c>
      <c r="P1784" s="18">
        <v>29463.0</v>
      </c>
    </row>
    <row r="1785" ht="15.75" customHeight="1">
      <c r="A1785" s="9" t="s">
        <v>2995</v>
      </c>
      <c r="B1785" s="17">
        <v>1980.0</v>
      </c>
      <c r="C1785" s="9" t="s">
        <v>4720</v>
      </c>
      <c r="D1785" s="9">
        <v>5.0</v>
      </c>
      <c r="E1785" s="18">
        <f t="shared" si="1"/>
        <v>29499</v>
      </c>
      <c r="F1785" s="9">
        <v>2.0</v>
      </c>
      <c r="G1785" s="19">
        <v>6940.94</v>
      </c>
      <c r="H1785" s="9" t="s">
        <v>4723</v>
      </c>
      <c r="I1785" s="9" t="s">
        <v>4717</v>
      </c>
      <c r="J1785" s="9" t="s">
        <v>4743</v>
      </c>
      <c r="K1785" s="20">
        <f t="shared" si="2"/>
        <v>1980</v>
      </c>
      <c r="L1785" s="9" t="str">
        <f t="shared" si="3"/>
        <v>tier - 2</v>
      </c>
      <c r="M1785" s="9" t="str">
        <f t="shared" si="4"/>
        <v>tier - 3</v>
      </c>
      <c r="N1785" s="9" t="str">
        <f t="shared" si="5"/>
        <v>R1013</v>
      </c>
      <c r="O1785" s="17">
        <f t="shared" si="6"/>
        <v>42</v>
      </c>
      <c r="P1785" s="18">
        <v>29499.0</v>
      </c>
    </row>
    <row r="1786" ht="15.75" customHeight="1">
      <c r="A1786" s="9" t="s">
        <v>2993</v>
      </c>
      <c r="B1786" s="17">
        <v>1978.0</v>
      </c>
      <c r="C1786" s="9" t="s">
        <v>4725</v>
      </c>
      <c r="D1786" s="9">
        <v>15.0</v>
      </c>
      <c r="E1786" s="18">
        <f t="shared" si="1"/>
        <v>28839</v>
      </c>
      <c r="F1786" s="9">
        <v>0.0</v>
      </c>
      <c r="G1786" s="19">
        <v>6948.7</v>
      </c>
      <c r="H1786" s="9" t="s">
        <v>4718</v>
      </c>
      <c r="I1786" s="9" t="s">
        <v>4723</v>
      </c>
      <c r="J1786" s="9" t="s">
        <v>4733</v>
      </c>
      <c r="K1786" s="20">
        <f t="shared" si="2"/>
        <v>1978</v>
      </c>
      <c r="L1786" s="9" t="str">
        <f t="shared" si="3"/>
        <v>tier - 1</v>
      </c>
      <c r="M1786" s="9" t="str">
        <f t="shared" si="4"/>
        <v>tier - 2</v>
      </c>
      <c r="N1786" s="9" t="str">
        <f t="shared" si="5"/>
        <v>R1012</v>
      </c>
      <c r="O1786" s="17">
        <f t="shared" si="6"/>
        <v>44</v>
      </c>
      <c r="P1786" s="18">
        <v>28839.0</v>
      </c>
    </row>
    <row r="1787" ht="15.75" customHeight="1">
      <c r="A1787" s="9" t="s">
        <v>2991</v>
      </c>
      <c r="B1787" s="17">
        <v>1980.0</v>
      </c>
      <c r="C1787" s="9" t="s">
        <v>4716</v>
      </c>
      <c r="D1787" s="9">
        <v>18.0</v>
      </c>
      <c r="E1787" s="18">
        <f t="shared" si="1"/>
        <v>29451</v>
      </c>
      <c r="F1787" s="9">
        <v>2.0</v>
      </c>
      <c r="G1787" s="19">
        <v>6951.12</v>
      </c>
      <c r="H1787" s="9" t="s">
        <v>4723</v>
      </c>
      <c r="I1787" s="9" t="s">
        <v>4723</v>
      </c>
      <c r="J1787" s="9" t="s">
        <v>4743</v>
      </c>
      <c r="K1787" s="20">
        <f t="shared" si="2"/>
        <v>1980</v>
      </c>
      <c r="L1787" s="9" t="str">
        <f t="shared" si="3"/>
        <v>tier - 2</v>
      </c>
      <c r="M1787" s="9" t="str">
        <f t="shared" si="4"/>
        <v>tier - 2</v>
      </c>
      <c r="N1787" s="9" t="str">
        <f t="shared" si="5"/>
        <v>R1013</v>
      </c>
      <c r="O1787" s="17">
        <f t="shared" si="6"/>
        <v>42</v>
      </c>
      <c r="P1787" s="18">
        <v>29451.0</v>
      </c>
    </row>
    <row r="1788" ht="15.75" customHeight="1">
      <c r="A1788" s="9" t="s">
        <v>2989</v>
      </c>
      <c r="B1788" s="17">
        <v>1975.0</v>
      </c>
      <c r="C1788" s="9" t="s">
        <v>4730</v>
      </c>
      <c r="D1788" s="9">
        <v>3.0</v>
      </c>
      <c r="E1788" s="18">
        <f t="shared" si="1"/>
        <v>27548</v>
      </c>
      <c r="F1788" s="9">
        <v>1.0</v>
      </c>
      <c r="G1788" s="19">
        <v>6965.21</v>
      </c>
      <c r="H1788" s="9" t="s">
        <v>4723</v>
      </c>
      <c r="I1788" s="9" t="s">
        <v>4717</v>
      </c>
      <c r="J1788" s="9" t="s">
        <v>4743</v>
      </c>
      <c r="K1788" s="20">
        <f t="shared" si="2"/>
        <v>1975</v>
      </c>
      <c r="L1788" s="9" t="str">
        <f t="shared" si="3"/>
        <v>tier - 2</v>
      </c>
      <c r="M1788" s="9" t="str">
        <f t="shared" si="4"/>
        <v>tier - 3</v>
      </c>
      <c r="N1788" s="9" t="str">
        <f t="shared" si="5"/>
        <v>R1013</v>
      </c>
      <c r="O1788" s="17">
        <f t="shared" si="6"/>
        <v>48</v>
      </c>
      <c r="P1788" s="18">
        <v>27548.0</v>
      </c>
    </row>
    <row r="1789" ht="15.75" customHeight="1">
      <c r="A1789" s="9" t="s">
        <v>2987</v>
      </c>
      <c r="B1789" s="17">
        <v>1985.0</v>
      </c>
      <c r="C1789" s="9" t="s">
        <v>4725</v>
      </c>
      <c r="D1789" s="9">
        <v>10.0</v>
      </c>
      <c r="E1789" s="18">
        <f t="shared" si="1"/>
        <v>31391</v>
      </c>
      <c r="F1789" s="9">
        <v>3.0</v>
      </c>
      <c r="G1789" s="19">
        <v>6985.51</v>
      </c>
      <c r="H1789" s="9" t="s">
        <v>4723</v>
      </c>
      <c r="I1789" s="9" t="s">
        <v>4723</v>
      </c>
      <c r="J1789" s="9" t="s">
        <v>4728</v>
      </c>
      <c r="K1789" s="20">
        <f t="shared" si="2"/>
        <v>1985</v>
      </c>
      <c r="L1789" s="9" t="str">
        <f t="shared" si="3"/>
        <v>tier - 2</v>
      </c>
      <c r="M1789" s="9" t="str">
        <f t="shared" si="4"/>
        <v>tier - 2</v>
      </c>
      <c r="N1789" s="9" t="str">
        <f t="shared" si="5"/>
        <v>R1019</v>
      </c>
      <c r="O1789" s="17">
        <f t="shared" si="6"/>
        <v>37</v>
      </c>
      <c r="P1789" s="18">
        <v>31391.0</v>
      </c>
    </row>
    <row r="1790" ht="15.75" customHeight="1">
      <c r="A1790" s="9" t="s">
        <v>2985</v>
      </c>
      <c r="B1790" s="17">
        <v>1982.0</v>
      </c>
      <c r="C1790" s="9" t="s">
        <v>4720</v>
      </c>
      <c r="D1790" s="9">
        <v>18.0</v>
      </c>
      <c r="E1790" s="18">
        <f t="shared" si="1"/>
        <v>30242</v>
      </c>
      <c r="F1790" s="9">
        <v>2.0</v>
      </c>
      <c r="G1790" s="19">
        <v>6986.7</v>
      </c>
      <c r="H1790" s="9" t="s">
        <v>4717</v>
      </c>
      <c r="I1790" s="9" t="s">
        <v>4718</v>
      </c>
      <c r="J1790" s="9" t="s">
        <v>4733</v>
      </c>
      <c r="K1790" s="20">
        <f t="shared" si="2"/>
        <v>1982</v>
      </c>
      <c r="L1790" s="9" t="str">
        <f t="shared" si="3"/>
        <v>tier - 3</v>
      </c>
      <c r="M1790" s="9" t="str">
        <f t="shared" si="4"/>
        <v>tier - 1</v>
      </c>
      <c r="N1790" s="9" t="str">
        <f t="shared" si="5"/>
        <v>R1012</v>
      </c>
      <c r="O1790" s="17">
        <f t="shared" si="6"/>
        <v>40</v>
      </c>
      <c r="P1790" s="18">
        <v>30242.0</v>
      </c>
    </row>
    <row r="1791" ht="15.75" customHeight="1">
      <c r="A1791" s="9" t="s">
        <v>2983</v>
      </c>
      <c r="B1791" s="17">
        <v>1982.0</v>
      </c>
      <c r="C1791" s="9" t="s">
        <v>4738</v>
      </c>
      <c r="D1791" s="9">
        <v>1.0</v>
      </c>
      <c r="E1791" s="18">
        <f t="shared" si="1"/>
        <v>30195</v>
      </c>
      <c r="F1791" s="9">
        <v>3.0</v>
      </c>
      <c r="G1791" s="19">
        <v>6989.95</v>
      </c>
      <c r="H1791" s="9" t="s">
        <v>4723</v>
      </c>
      <c r="I1791" s="9" t="s">
        <v>4718</v>
      </c>
      <c r="J1791" s="9" t="s">
        <v>4743</v>
      </c>
      <c r="K1791" s="20">
        <f t="shared" si="2"/>
        <v>1982</v>
      </c>
      <c r="L1791" s="9" t="str">
        <f t="shared" si="3"/>
        <v>tier - 2</v>
      </c>
      <c r="M1791" s="9" t="str">
        <f t="shared" si="4"/>
        <v>tier - 1</v>
      </c>
      <c r="N1791" s="9" t="str">
        <f t="shared" si="5"/>
        <v>R1013</v>
      </c>
      <c r="O1791" s="17">
        <f t="shared" si="6"/>
        <v>40</v>
      </c>
      <c r="P1791" s="18">
        <v>30195.0</v>
      </c>
    </row>
    <row r="1792" ht="15.75" customHeight="1">
      <c r="A1792" s="9" t="s">
        <v>2981</v>
      </c>
      <c r="B1792" s="17">
        <v>1969.0</v>
      </c>
      <c r="C1792" s="9" t="s">
        <v>4741</v>
      </c>
      <c r="D1792" s="9">
        <v>6.0</v>
      </c>
      <c r="E1792" s="18">
        <f t="shared" si="1"/>
        <v>25390</v>
      </c>
      <c r="F1792" s="9">
        <v>0.0</v>
      </c>
      <c r="G1792" s="19">
        <v>7003.1</v>
      </c>
      <c r="H1792" s="9" t="s">
        <v>4723</v>
      </c>
      <c r="I1792" s="9" t="s">
        <v>4717</v>
      </c>
      <c r="J1792" s="9" t="s">
        <v>4743</v>
      </c>
      <c r="K1792" s="20">
        <f t="shared" si="2"/>
        <v>1969</v>
      </c>
      <c r="L1792" s="9" t="str">
        <f t="shared" si="3"/>
        <v>tier - 2</v>
      </c>
      <c r="M1792" s="9" t="str">
        <f t="shared" si="4"/>
        <v>tier - 3</v>
      </c>
      <c r="N1792" s="9" t="str">
        <f t="shared" si="5"/>
        <v>R1013</v>
      </c>
      <c r="O1792" s="17">
        <f t="shared" si="6"/>
        <v>53</v>
      </c>
      <c r="P1792" s="18">
        <v>25390.0</v>
      </c>
    </row>
    <row r="1793" ht="15.75" customHeight="1">
      <c r="A1793" s="9" t="s">
        <v>299</v>
      </c>
      <c r="B1793" s="17">
        <v>1989.0</v>
      </c>
      <c r="C1793" s="9" t="s">
        <v>4720</v>
      </c>
      <c r="D1793" s="9">
        <v>30.0</v>
      </c>
      <c r="E1793" s="18">
        <f t="shared" si="1"/>
        <v>32811</v>
      </c>
      <c r="F1793" s="9">
        <v>1.0</v>
      </c>
      <c r="G1793" s="19">
        <v>38282.75</v>
      </c>
      <c r="H1793" s="9" t="s">
        <v>4718</v>
      </c>
      <c r="I1793" s="9" t="s">
        <v>4723</v>
      </c>
      <c r="J1793" s="9" t="s">
        <v>4743</v>
      </c>
      <c r="K1793" s="20">
        <f t="shared" si="2"/>
        <v>1989</v>
      </c>
      <c r="L1793" s="9" t="str">
        <f t="shared" si="3"/>
        <v>tier - 1</v>
      </c>
      <c r="M1793" s="9" t="str">
        <f t="shared" si="4"/>
        <v>tier - 2</v>
      </c>
      <c r="N1793" s="9" t="str">
        <f t="shared" si="5"/>
        <v>R1013</v>
      </c>
      <c r="O1793" s="17">
        <f t="shared" si="6"/>
        <v>33</v>
      </c>
      <c r="P1793" s="18">
        <v>32811.0</v>
      </c>
    </row>
    <row r="1794" ht="15.75" customHeight="1">
      <c r="A1794" s="9" t="s">
        <v>2979</v>
      </c>
      <c r="B1794" s="17">
        <v>1978.0</v>
      </c>
      <c r="C1794" s="9" t="s">
        <v>4730</v>
      </c>
      <c r="D1794" s="9">
        <v>2.0</v>
      </c>
      <c r="E1794" s="18">
        <f t="shared" si="1"/>
        <v>28643</v>
      </c>
      <c r="F1794" s="9">
        <v>2.0</v>
      </c>
      <c r="G1794" s="19">
        <v>7033.08</v>
      </c>
      <c r="H1794" s="9" t="s">
        <v>4723</v>
      </c>
      <c r="I1794" s="9" t="s">
        <v>4723</v>
      </c>
      <c r="J1794" s="9" t="s">
        <v>4743</v>
      </c>
      <c r="K1794" s="20">
        <f t="shared" si="2"/>
        <v>1978</v>
      </c>
      <c r="L1794" s="9" t="str">
        <f t="shared" si="3"/>
        <v>tier - 2</v>
      </c>
      <c r="M1794" s="9" t="str">
        <f t="shared" si="4"/>
        <v>tier - 2</v>
      </c>
      <c r="N1794" s="9" t="str">
        <f t="shared" si="5"/>
        <v>R1013</v>
      </c>
      <c r="O1794" s="17">
        <f t="shared" si="6"/>
        <v>45</v>
      </c>
      <c r="P1794" s="18">
        <v>28643.0</v>
      </c>
    </row>
    <row r="1795" ht="15.75" customHeight="1">
      <c r="A1795" s="9" t="s">
        <v>2977</v>
      </c>
      <c r="B1795" s="17">
        <v>1995.0</v>
      </c>
      <c r="C1795" s="9" t="s">
        <v>4720</v>
      </c>
      <c r="D1795" s="9">
        <v>29.0</v>
      </c>
      <c r="E1795" s="18">
        <f t="shared" si="1"/>
        <v>35001</v>
      </c>
      <c r="F1795" s="9">
        <v>0.0</v>
      </c>
      <c r="G1795" s="19">
        <v>7042.11</v>
      </c>
      <c r="H1795" s="9" t="s">
        <v>4723</v>
      </c>
      <c r="I1795" s="9" t="s">
        <v>4717</v>
      </c>
      <c r="J1795" s="9" t="s">
        <v>4733</v>
      </c>
      <c r="K1795" s="20">
        <f t="shared" si="2"/>
        <v>1995</v>
      </c>
      <c r="L1795" s="9" t="str">
        <f t="shared" si="3"/>
        <v>tier - 2</v>
      </c>
      <c r="M1795" s="9" t="str">
        <f t="shared" si="4"/>
        <v>tier - 3</v>
      </c>
      <c r="N1795" s="9" t="str">
        <f t="shared" si="5"/>
        <v>R1012</v>
      </c>
      <c r="O1795" s="17">
        <f t="shared" si="6"/>
        <v>27</v>
      </c>
      <c r="P1795" s="18">
        <v>35001.0</v>
      </c>
    </row>
    <row r="1796" ht="15.75" customHeight="1">
      <c r="A1796" s="9" t="s">
        <v>2975</v>
      </c>
      <c r="B1796" s="17">
        <v>1980.0</v>
      </c>
      <c r="C1796" s="9" t="s">
        <v>4741</v>
      </c>
      <c r="D1796" s="9">
        <v>26.0</v>
      </c>
      <c r="E1796" s="18">
        <f t="shared" si="1"/>
        <v>29428</v>
      </c>
      <c r="F1796" s="9">
        <v>1.0</v>
      </c>
      <c r="G1796" s="19">
        <v>7045.5</v>
      </c>
      <c r="H1796" s="9" t="s">
        <v>4723</v>
      </c>
      <c r="I1796" s="9" t="s">
        <v>4718</v>
      </c>
      <c r="J1796" s="9" t="s">
        <v>4719</v>
      </c>
      <c r="K1796" s="20">
        <f t="shared" si="2"/>
        <v>1980</v>
      </c>
      <c r="L1796" s="9" t="str">
        <f t="shared" si="3"/>
        <v>tier - 2</v>
      </c>
      <c r="M1796" s="9" t="str">
        <f t="shared" si="4"/>
        <v>tier - 1</v>
      </c>
      <c r="N1796" s="9" t="str">
        <f t="shared" si="5"/>
        <v>R1011</v>
      </c>
      <c r="O1796" s="17">
        <f t="shared" si="6"/>
        <v>42</v>
      </c>
      <c r="P1796" s="18">
        <v>29428.0</v>
      </c>
    </row>
    <row r="1797" ht="15.75" customHeight="1">
      <c r="A1797" s="9" t="s">
        <v>2973</v>
      </c>
      <c r="B1797" s="17">
        <v>1980.0</v>
      </c>
      <c r="C1797" s="9" t="s">
        <v>4720</v>
      </c>
      <c r="D1797" s="9">
        <v>22.0</v>
      </c>
      <c r="E1797" s="18">
        <f t="shared" si="1"/>
        <v>29516</v>
      </c>
      <c r="F1797" s="9">
        <v>1.0</v>
      </c>
      <c r="G1797" s="19">
        <v>7046.72</v>
      </c>
      <c r="H1797" s="9" t="s">
        <v>4723</v>
      </c>
      <c r="I1797" s="9" t="s">
        <v>4717</v>
      </c>
      <c r="J1797" s="9" t="s">
        <v>4743</v>
      </c>
      <c r="K1797" s="20">
        <f t="shared" si="2"/>
        <v>1980</v>
      </c>
      <c r="L1797" s="9" t="str">
        <f t="shared" si="3"/>
        <v>tier - 2</v>
      </c>
      <c r="M1797" s="9" t="str">
        <f t="shared" si="4"/>
        <v>tier - 3</v>
      </c>
      <c r="N1797" s="9" t="str">
        <f t="shared" si="5"/>
        <v>R1013</v>
      </c>
      <c r="O1797" s="17">
        <f t="shared" si="6"/>
        <v>42</v>
      </c>
      <c r="P1797" s="18">
        <v>29516.0</v>
      </c>
    </row>
    <row r="1798" ht="15.75" customHeight="1">
      <c r="A1798" s="9" t="s">
        <v>2971</v>
      </c>
      <c r="B1798" s="17">
        <v>1980.0</v>
      </c>
      <c r="C1798" s="9" t="s">
        <v>4741</v>
      </c>
      <c r="D1798" s="9">
        <v>21.0</v>
      </c>
      <c r="E1798" s="18">
        <f t="shared" si="1"/>
        <v>29423</v>
      </c>
      <c r="F1798" s="9">
        <v>0.0</v>
      </c>
      <c r="G1798" s="19">
        <v>7050.02</v>
      </c>
      <c r="H1798" s="9" t="s">
        <v>4723</v>
      </c>
      <c r="I1798" s="9" t="s">
        <v>4718</v>
      </c>
      <c r="J1798" s="9" t="s">
        <v>4731</v>
      </c>
      <c r="K1798" s="20">
        <f t="shared" si="2"/>
        <v>1980</v>
      </c>
      <c r="L1798" s="9" t="str">
        <f t="shared" si="3"/>
        <v>tier - 2</v>
      </c>
      <c r="M1798" s="9" t="str">
        <f t="shared" si="4"/>
        <v>tier - 1</v>
      </c>
      <c r="N1798" s="9" t="str">
        <f t="shared" si="5"/>
        <v>R1024</v>
      </c>
      <c r="O1798" s="17">
        <f t="shared" si="6"/>
        <v>42</v>
      </c>
      <c r="P1798" s="18">
        <v>29423.0</v>
      </c>
    </row>
    <row r="1799" ht="15.75" customHeight="1">
      <c r="A1799" s="9" t="s">
        <v>2969</v>
      </c>
      <c r="B1799" s="17">
        <v>1980.0</v>
      </c>
      <c r="C1799" s="9" t="s">
        <v>4730</v>
      </c>
      <c r="D1799" s="9">
        <v>28.0</v>
      </c>
      <c r="E1799" s="18">
        <f t="shared" si="1"/>
        <v>29400</v>
      </c>
      <c r="F1799" s="9">
        <v>1.0</v>
      </c>
      <c r="G1799" s="19">
        <v>7050.64</v>
      </c>
      <c r="H1799" s="9" t="s">
        <v>4723</v>
      </c>
      <c r="I1799" s="9" t="s">
        <v>4717</v>
      </c>
      <c r="J1799" s="9" t="s">
        <v>4719</v>
      </c>
      <c r="K1799" s="20">
        <f t="shared" si="2"/>
        <v>1980</v>
      </c>
      <c r="L1799" s="9" t="str">
        <f t="shared" si="3"/>
        <v>tier - 2</v>
      </c>
      <c r="M1799" s="9" t="str">
        <f t="shared" si="4"/>
        <v>tier - 3</v>
      </c>
      <c r="N1799" s="9" t="str">
        <f t="shared" si="5"/>
        <v>R1011</v>
      </c>
      <c r="O1799" s="17">
        <f t="shared" si="6"/>
        <v>42</v>
      </c>
      <c r="P1799" s="18">
        <v>29400.0</v>
      </c>
    </row>
    <row r="1800" ht="15.75" customHeight="1">
      <c r="A1800" s="9" t="s">
        <v>2967</v>
      </c>
      <c r="B1800" s="17">
        <v>1978.0</v>
      </c>
      <c r="C1800" s="9" t="s">
        <v>4730</v>
      </c>
      <c r="D1800" s="9">
        <v>24.0</v>
      </c>
      <c r="E1800" s="18">
        <f t="shared" si="1"/>
        <v>28665</v>
      </c>
      <c r="F1800" s="9">
        <v>2.0</v>
      </c>
      <c r="G1800" s="19">
        <v>7054.41</v>
      </c>
      <c r="H1800" s="9" t="s">
        <v>4723</v>
      </c>
      <c r="I1800" s="9" t="s">
        <v>4723</v>
      </c>
      <c r="J1800" s="9" t="s">
        <v>4743</v>
      </c>
      <c r="K1800" s="20">
        <f t="shared" si="2"/>
        <v>1978</v>
      </c>
      <c r="L1800" s="9" t="str">
        <f t="shared" si="3"/>
        <v>tier - 2</v>
      </c>
      <c r="M1800" s="9" t="str">
        <f t="shared" si="4"/>
        <v>tier - 2</v>
      </c>
      <c r="N1800" s="9" t="str">
        <f t="shared" si="5"/>
        <v>R1013</v>
      </c>
      <c r="O1800" s="17">
        <f t="shared" si="6"/>
        <v>44</v>
      </c>
      <c r="P1800" s="18">
        <v>28665.0</v>
      </c>
    </row>
    <row r="1801" ht="15.75" customHeight="1">
      <c r="A1801" s="9" t="s">
        <v>2965</v>
      </c>
      <c r="B1801" s="17">
        <v>1982.0</v>
      </c>
      <c r="C1801" s="9" t="s">
        <v>4720</v>
      </c>
      <c r="D1801" s="9">
        <v>6.0</v>
      </c>
      <c r="E1801" s="18">
        <f t="shared" si="1"/>
        <v>30230</v>
      </c>
      <c r="F1801" s="9">
        <v>1.0</v>
      </c>
      <c r="G1801" s="19">
        <v>7077.19</v>
      </c>
      <c r="H1801" s="9" t="s">
        <v>4723</v>
      </c>
      <c r="I1801" s="9" t="s">
        <v>4717</v>
      </c>
      <c r="J1801" s="9" t="s">
        <v>4731</v>
      </c>
      <c r="K1801" s="20">
        <f t="shared" si="2"/>
        <v>1982</v>
      </c>
      <c r="L1801" s="9" t="str">
        <f t="shared" si="3"/>
        <v>tier - 2</v>
      </c>
      <c r="M1801" s="9" t="str">
        <f t="shared" si="4"/>
        <v>tier - 3</v>
      </c>
      <c r="N1801" s="9" t="str">
        <f t="shared" si="5"/>
        <v>R1024</v>
      </c>
      <c r="O1801" s="17">
        <f t="shared" si="6"/>
        <v>40</v>
      </c>
      <c r="P1801" s="18">
        <v>30230.0</v>
      </c>
    </row>
    <row r="1802" ht="15.75" customHeight="1">
      <c r="A1802" s="9" t="s">
        <v>2963</v>
      </c>
      <c r="B1802" s="17">
        <v>1992.0</v>
      </c>
      <c r="C1802" s="9" t="s">
        <v>4730</v>
      </c>
      <c r="D1802" s="9">
        <v>18.0</v>
      </c>
      <c r="E1802" s="18">
        <f t="shared" si="1"/>
        <v>33773</v>
      </c>
      <c r="F1802" s="9">
        <v>0.0</v>
      </c>
      <c r="G1802" s="19">
        <v>7096.98</v>
      </c>
      <c r="H1802" s="9" t="s">
        <v>4723</v>
      </c>
      <c r="I1802" s="9" t="s">
        <v>4723</v>
      </c>
      <c r="J1802" s="9" t="s">
        <v>4733</v>
      </c>
      <c r="K1802" s="20">
        <f t="shared" si="2"/>
        <v>1992</v>
      </c>
      <c r="L1802" s="9" t="str">
        <f t="shared" si="3"/>
        <v>tier - 2</v>
      </c>
      <c r="M1802" s="9" t="str">
        <f t="shared" si="4"/>
        <v>tier - 2</v>
      </c>
      <c r="N1802" s="9" t="str">
        <f t="shared" si="5"/>
        <v>R1012</v>
      </c>
      <c r="O1802" s="17">
        <f t="shared" si="6"/>
        <v>30</v>
      </c>
      <c r="P1802" s="18">
        <v>33773.0</v>
      </c>
    </row>
    <row r="1803" ht="15.75" customHeight="1">
      <c r="A1803" s="9" t="s">
        <v>2961</v>
      </c>
      <c r="B1803" s="17">
        <v>1987.0</v>
      </c>
      <c r="C1803" s="9" t="s">
        <v>4716</v>
      </c>
      <c r="D1803" s="9">
        <v>11.0</v>
      </c>
      <c r="E1803" s="18">
        <f t="shared" si="1"/>
        <v>32000</v>
      </c>
      <c r="F1803" s="9">
        <v>3.0</v>
      </c>
      <c r="G1803" s="19">
        <v>7106.81</v>
      </c>
      <c r="H1803" s="9" t="s">
        <v>4723</v>
      </c>
      <c r="I1803" s="9" t="s">
        <v>4718</v>
      </c>
      <c r="J1803" s="9" t="s">
        <v>4733</v>
      </c>
      <c r="K1803" s="20">
        <f t="shared" si="2"/>
        <v>1987</v>
      </c>
      <c r="L1803" s="9" t="str">
        <f t="shared" si="3"/>
        <v>tier - 2</v>
      </c>
      <c r="M1803" s="9" t="str">
        <f t="shared" si="4"/>
        <v>tier - 1</v>
      </c>
      <c r="N1803" s="9" t="str">
        <f t="shared" si="5"/>
        <v>R1012</v>
      </c>
      <c r="O1803" s="17">
        <f t="shared" si="6"/>
        <v>35</v>
      </c>
      <c r="P1803" s="18">
        <v>32000.0</v>
      </c>
    </row>
    <row r="1804" ht="15.75" customHeight="1">
      <c r="A1804" s="9" t="s">
        <v>297</v>
      </c>
      <c r="B1804" s="17">
        <v>1980.0</v>
      </c>
      <c r="C1804" s="9" t="s">
        <v>4730</v>
      </c>
      <c r="D1804" s="9">
        <v>12.0</v>
      </c>
      <c r="E1804" s="18">
        <f t="shared" si="1"/>
        <v>29384</v>
      </c>
      <c r="F1804" s="9">
        <v>2.0</v>
      </c>
      <c r="G1804" s="19">
        <v>38313.13</v>
      </c>
      <c r="H1804" s="9" t="s">
        <v>4718</v>
      </c>
      <c r="I1804" s="9" t="s">
        <v>4717</v>
      </c>
      <c r="J1804" s="9" t="s">
        <v>4719</v>
      </c>
      <c r="K1804" s="20">
        <f t="shared" si="2"/>
        <v>1980</v>
      </c>
      <c r="L1804" s="9" t="str">
        <f t="shared" si="3"/>
        <v>tier - 1</v>
      </c>
      <c r="M1804" s="9" t="str">
        <f t="shared" si="4"/>
        <v>tier - 3</v>
      </c>
      <c r="N1804" s="9" t="str">
        <f t="shared" si="5"/>
        <v>R1011</v>
      </c>
      <c r="O1804" s="17">
        <f t="shared" si="6"/>
        <v>42</v>
      </c>
      <c r="P1804" s="18">
        <v>29384.0</v>
      </c>
    </row>
    <row r="1805" ht="15.75" customHeight="1">
      <c r="A1805" s="9" t="s">
        <v>2959</v>
      </c>
      <c r="B1805" s="17">
        <v>1968.0</v>
      </c>
      <c r="C1805" s="9" t="s">
        <v>4730</v>
      </c>
      <c r="D1805" s="9">
        <v>29.0</v>
      </c>
      <c r="E1805" s="18">
        <f t="shared" si="1"/>
        <v>25018</v>
      </c>
      <c r="F1805" s="9">
        <v>0.0</v>
      </c>
      <c r="G1805" s="19">
        <v>7125.25</v>
      </c>
      <c r="H1805" s="9" t="s">
        <v>4717</v>
      </c>
      <c r="I1805" s="9" t="s">
        <v>4723</v>
      </c>
      <c r="J1805" s="9" t="s">
        <v>4743</v>
      </c>
      <c r="K1805" s="20">
        <f t="shared" si="2"/>
        <v>1968</v>
      </c>
      <c r="L1805" s="9" t="str">
        <f t="shared" si="3"/>
        <v>tier - 3</v>
      </c>
      <c r="M1805" s="9" t="str">
        <f t="shared" si="4"/>
        <v>tier - 2</v>
      </c>
      <c r="N1805" s="9" t="str">
        <f t="shared" si="5"/>
        <v>R1013</v>
      </c>
      <c r="O1805" s="17">
        <f t="shared" si="6"/>
        <v>54</v>
      </c>
      <c r="P1805" s="18">
        <v>25018.0</v>
      </c>
    </row>
    <row r="1806" ht="15.75" customHeight="1">
      <c r="A1806" s="9" t="s">
        <v>2957</v>
      </c>
      <c r="B1806" s="17">
        <v>1993.0</v>
      </c>
      <c r="C1806" s="9" t="s">
        <v>4716</v>
      </c>
      <c r="D1806" s="9">
        <v>1.0</v>
      </c>
      <c r="E1806" s="18">
        <f t="shared" si="1"/>
        <v>34182</v>
      </c>
      <c r="F1806" s="9">
        <v>0.0</v>
      </c>
      <c r="G1806" s="19">
        <v>7128.64</v>
      </c>
      <c r="H1806" s="9" t="s">
        <v>4723</v>
      </c>
      <c r="I1806" s="9" t="s">
        <v>4723</v>
      </c>
      <c r="J1806" s="9" t="s">
        <v>4751</v>
      </c>
      <c r="K1806" s="20">
        <f t="shared" si="2"/>
        <v>1993</v>
      </c>
      <c r="L1806" s="9" t="str">
        <f t="shared" si="3"/>
        <v>tier - 2</v>
      </c>
      <c r="M1806" s="9" t="str">
        <f t="shared" si="4"/>
        <v>tier - 2</v>
      </c>
      <c r="N1806" s="9" t="str">
        <f t="shared" si="5"/>
        <v>R1021</v>
      </c>
      <c r="O1806" s="17">
        <f t="shared" si="6"/>
        <v>29</v>
      </c>
      <c r="P1806" s="18">
        <v>34182.0</v>
      </c>
    </row>
    <row r="1807" ht="15.75" customHeight="1">
      <c r="A1807" s="9" t="s">
        <v>2955</v>
      </c>
      <c r="B1807" s="17">
        <v>1984.0</v>
      </c>
      <c r="C1807" s="9" t="s">
        <v>4741</v>
      </c>
      <c r="D1807" s="9">
        <v>7.0</v>
      </c>
      <c r="E1807" s="18">
        <f t="shared" si="1"/>
        <v>30870</v>
      </c>
      <c r="F1807" s="9">
        <v>2.0</v>
      </c>
      <c r="G1807" s="19">
        <v>7133.9</v>
      </c>
      <c r="H1807" s="9" t="s">
        <v>4723</v>
      </c>
      <c r="I1807" s="9" t="s">
        <v>4718</v>
      </c>
      <c r="J1807" s="9" t="s">
        <v>4731</v>
      </c>
      <c r="K1807" s="20">
        <f t="shared" si="2"/>
        <v>1984</v>
      </c>
      <c r="L1807" s="9" t="str">
        <f t="shared" si="3"/>
        <v>tier - 2</v>
      </c>
      <c r="M1807" s="9" t="str">
        <f t="shared" si="4"/>
        <v>tier - 1</v>
      </c>
      <c r="N1807" s="9" t="str">
        <f t="shared" si="5"/>
        <v>R1024</v>
      </c>
      <c r="O1807" s="17">
        <f t="shared" si="6"/>
        <v>38</v>
      </c>
      <c r="P1807" s="18">
        <v>30870.0</v>
      </c>
    </row>
    <row r="1808" ht="15.75" customHeight="1">
      <c r="A1808" s="9" t="s">
        <v>2953</v>
      </c>
      <c r="B1808" s="17">
        <v>1999.0</v>
      </c>
      <c r="C1808" s="9" t="s">
        <v>4716</v>
      </c>
      <c r="D1808" s="9">
        <v>8.0</v>
      </c>
      <c r="E1808" s="18">
        <f t="shared" si="1"/>
        <v>36380</v>
      </c>
      <c r="F1808" s="9">
        <v>0.0</v>
      </c>
      <c r="G1808" s="19">
        <v>7144.4</v>
      </c>
      <c r="H1808" s="9" t="s">
        <v>4723</v>
      </c>
      <c r="I1808" s="9" t="s">
        <v>4718</v>
      </c>
      <c r="J1808" s="9" t="s">
        <v>4736</v>
      </c>
      <c r="K1808" s="20">
        <f t="shared" si="2"/>
        <v>1999</v>
      </c>
      <c r="L1808" s="9" t="str">
        <f t="shared" si="3"/>
        <v>tier - 2</v>
      </c>
      <c r="M1808" s="9" t="str">
        <f t="shared" si="4"/>
        <v>tier - 1</v>
      </c>
      <c r="N1808" s="9" t="str">
        <f t="shared" si="5"/>
        <v>R1022</v>
      </c>
      <c r="O1808" s="17">
        <f t="shared" si="6"/>
        <v>23</v>
      </c>
      <c r="P1808" s="18">
        <v>36380.0</v>
      </c>
    </row>
    <row r="1809" ht="15.75" customHeight="1">
      <c r="A1809" s="9" t="s">
        <v>2951</v>
      </c>
      <c r="B1809" s="17">
        <v>1984.0</v>
      </c>
      <c r="C1809" s="9" t="s">
        <v>4735</v>
      </c>
      <c r="D1809" s="9">
        <v>21.0</v>
      </c>
      <c r="E1809" s="18">
        <f t="shared" si="1"/>
        <v>31007</v>
      </c>
      <c r="F1809" s="9">
        <v>2.0</v>
      </c>
      <c r="G1809" s="19">
        <v>7144.86</v>
      </c>
      <c r="H1809" s="9" t="s">
        <v>4723</v>
      </c>
      <c r="I1809" s="9" t="s">
        <v>4723</v>
      </c>
      <c r="J1809" s="9" t="s">
        <v>4731</v>
      </c>
      <c r="K1809" s="20">
        <f t="shared" si="2"/>
        <v>1984</v>
      </c>
      <c r="L1809" s="9" t="str">
        <f t="shared" si="3"/>
        <v>tier - 2</v>
      </c>
      <c r="M1809" s="9" t="str">
        <f t="shared" si="4"/>
        <v>tier - 2</v>
      </c>
      <c r="N1809" s="9" t="str">
        <f t="shared" si="5"/>
        <v>R1024</v>
      </c>
      <c r="O1809" s="17">
        <f t="shared" si="6"/>
        <v>38</v>
      </c>
      <c r="P1809" s="18">
        <v>31007.0</v>
      </c>
    </row>
    <row r="1810" ht="15.75" customHeight="1">
      <c r="A1810" s="9" t="s">
        <v>2949</v>
      </c>
      <c r="B1810" s="17">
        <v>1976.0</v>
      </c>
      <c r="C1810" s="9" t="s">
        <v>4730</v>
      </c>
      <c r="D1810" s="9">
        <v>24.0</v>
      </c>
      <c r="E1810" s="18">
        <f t="shared" si="1"/>
        <v>27935</v>
      </c>
      <c r="F1810" s="9">
        <v>0.0</v>
      </c>
      <c r="G1810" s="19">
        <v>7147.11</v>
      </c>
      <c r="H1810" s="9" t="s">
        <v>4717</v>
      </c>
      <c r="I1810" s="9" t="s">
        <v>4723</v>
      </c>
      <c r="J1810" s="9" t="s">
        <v>4719</v>
      </c>
      <c r="K1810" s="20">
        <f t="shared" si="2"/>
        <v>1976</v>
      </c>
      <c r="L1810" s="9" t="str">
        <f t="shared" si="3"/>
        <v>tier - 3</v>
      </c>
      <c r="M1810" s="9" t="str">
        <f t="shared" si="4"/>
        <v>tier - 2</v>
      </c>
      <c r="N1810" s="9" t="str">
        <f t="shared" si="5"/>
        <v>R1011</v>
      </c>
      <c r="O1810" s="17">
        <f t="shared" si="6"/>
        <v>46</v>
      </c>
      <c r="P1810" s="18">
        <v>27935.0</v>
      </c>
    </row>
    <row r="1811" ht="15.75" customHeight="1">
      <c r="A1811" s="9" t="s">
        <v>2947</v>
      </c>
      <c r="B1811" s="17">
        <v>1978.0</v>
      </c>
      <c r="C1811" s="9" t="s">
        <v>4741</v>
      </c>
      <c r="D1811" s="9">
        <v>30.0</v>
      </c>
      <c r="E1811" s="18">
        <f t="shared" si="1"/>
        <v>28701</v>
      </c>
      <c r="F1811" s="9">
        <v>1.0</v>
      </c>
      <c r="G1811" s="19">
        <v>7147.47</v>
      </c>
      <c r="H1811" s="9" t="s">
        <v>4723</v>
      </c>
      <c r="I1811" s="9" t="s">
        <v>4717</v>
      </c>
      <c r="J1811" s="9" t="s">
        <v>4743</v>
      </c>
      <c r="K1811" s="20">
        <f t="shared" si="2"/>
        <v>1978</v>
      </c>
      <c r="L1811" s="9" t="str">
        <f t="shared" si="3"/>
        <v>tier - 2</v>
      </c>
      <c r="M1811" s="9" t="str">
        <f t="shared" si="4"/>
        <v>tier - 3</v>
      </c>
      <c r="N1811" s="9" t="str">
        <f t="shared" si="5"/>
        <v>R1013</v>
      </c>
      <c r="O1811" s="17">
        <f t="shared" si="6"/>
        <v>44</v>
      </c>
      <c r="P1811" s="18">
        <v>28701.0</v>
      </c>
    </row>
    <row r="1812" ht="15.75" customHeight="1">
      <c r="A1812" s="9" t="s">
        <v>2945</v>
      </c>
      <c r="B1812" s="17">
        <v>1984.0</v>
      </c>
      <c r="C1812" s="9" t="s">
        <v>4730</v>
      </c>
      <c r="D1812" s="9">
        <v>29.0</v>
      </c>
      <c r="E1812" s="18">
        <f t="shared" si="1"/>
        <v>30862</v>
      </c>
      <c r="F1812" s="9">
        <v>3.0</v>
      </c>
      <c r="G1812" s="19">
        <v>7151.09</v>
      </c>
      <c r="H1812" s="9" t="s">
        <v>4723</v>
      </c>
      <c r="I1812" s="9" t="s">
        <v>4723</v>
      </c>
      <c r="J1812" s="9" t="s">
        <v>4719</v>
      </c>
      <c r="K1812" s="20">
        <f t="shared" si="2"/>
        <v>1984</v>
      </c>
      <c r="L1812" s="9" t="str">
        <f t="shared" si="3"/>
        <v>tier - 2</v>
      </c>
      <c r="M1812" s="9" t="str">
        <f t="shared" si="4"/>
        <v>tier - 2</v>
      </c>
      <c r="N1812" s="9" t="str">
        <f t="shared" si="5"/>
        <v>R1011</v>
      </c>
      <c r="O1812" s="17">
        <f t="shared" si="6"/>
        <v>38</v>
      </c>
      <c r="P1812" s="18">
        <v>30862.0</v>
      </c>
    </row>
    <row r="1813" ht="15.75" customHeight="1">
      <c r="A1813" s="9" t="s">
        <v>2943</v>
      </c>
      <c r="B1813" s="17">
        <v>1978.0</v>
      </c>
      <c r="C1813" s="9" t="s">
        <v>4738</v>
      </c>
      <c r="D1813" s="9">
        <v>6.0</v>
      </c>
      <c r="E1813" s="18">
        <f t="shared" si="1"/>
        <v>28739</v>
      </c>
      <c r="F1813" s="9">
        <v>1.0</v>
      </c>
      <c r="G1813" s="19">
        <v>7152.67</v>
      </c>
      <c r="H1813" s="9" t="s">
        <v>4717</v>
      </c>
      <c r="I1813" s="9" t="s">
        <v>4723</v>
      </c>
      <c r="J1813" s="9" t="s">
        <v>4743</v>
      </c>
      <c r="K1813" s="20">
        <f t="shared" si="2"/>
        <v>1978</v>
      </c>
      <c r="L1813" s="9" t="str">
        <f t="shared" si="3"/>
        <v>tier - 3</v>
      </c>
      <c r="M1813" s="9" t="str">
        <f t="shared" si="4"/>
        <v>tier - 2</v>
      </c>
      <c r="N1813" s="9" t="str">
        <f t="shared" si="5"/>
        <v>R1013</v>
      </c>
      <c r="O1813" s="17">
        <f t="shared" si="6"/>
        <v>44</v>
      </c>
      <c r="P1813" s="18">
        <v>28739.0</v>
      </c>
    </row>
    <row r="1814" ht="15.75" customHeight="1">
      <c r="A1814" s="9" t="s">
        <v>2941</v>
      </c>
      <c r="B1814" s="17">
        <v>1981.0</v>
      </c>
      <c r="C1814" s="9" t="s">
        <v>4741</v>
      </c>
      <c r="D1814" s="9">
        <v>17.0</v>
      </c>
      <c r="E1814" s="18">
        <f t="shared" si="1"/>
        <v>29784</v>
      </c>
      <c r="F1814" s="9">
        <v>1.0</v>
      </c>
      <c r="G1814" s="19">
        <v>7153.55</v>
      </c>
      <c r="H1814" s="9" t="s">
        <v>4723</v>
      </c>
      <c r="I1814" s="9" t="s">
        <v>4718</v>
      </c>
      <c r="J1814" s="9" t="s">
        <v>4733</v>
      </c>
      <c r="K1814" s="20">
        <f t="shared" si="2"/>
        <v>1981</v>
      </c>
      <c r="L1814" s="9" t="str">
        <f t="shared" si="3"/>
        <v>tier - 2</v>
      </c>
      <c r="M1814" s="9" t="str">
        <f t="shared" si="4"/>
        <v>tier - 1</v>
      </c>
      <c r="N1814" s="9" t="str">
        <f t="shared" si="5"/>
        <v>R1012</v>
      </c>
      <c r="O1814" s="17">
        <f t="shared" si="6"/>
        <v>41</v>
      </c>
      <c r="P1814" s="18">
        <v>29784.0</v>
      </c>
    </row>
    <row r="1815" ht="15.75" customHeight="1">
      <c r="A1815" s="9" t="s">
        <v>295</v>
      </c>
      <c r="B1815" s="17">
        <v>2002.0</v>
      </c>
      <c r="C1815" s="9" t="s">
        <v>4738</v>
      </c>
      <c r="D1815" s="9">
        <v>17.0</v>
      </c>
      <c r="E1815" s="18">
        <f t="shared" si="1"/>
        <v>37516</v>
      </c>
      <c r="F1815" s="9">
        <v>2.0</v>
      </c>
      <c r="G1815" s="19">
        <v>38344.57</v>
      </c>
      <c r="H1815" s="9" t="s">
        <v>4718</v>
      </c>
      <c r="I1815" s="9" t="s">
        <v>4717</v>
      </c>
      <c r="J1815" s="9" t="s">
        <v>4719</v>
      </c>
      <c r="K1815" s="20">
        <f t="shared" si="2"/>
        <v>2002</v>
      </c>
      <c r="L1815" s="9" t="str">
        <f t="shared" si="3"/>
        <v>tier - 1</v>
      </c>
      <c r="M1815" s="9" t="str">
        <f t="shared" si="4"/>
        <v>tier - 3</v>
      </c>
      <c r="N1815" s="9" t="str">
        <f t="shared" si="5"/>
        <v>R1011</v>
      </c>
      <c r="O1815" s="17">
        <f t="shared" si="6"/>
        <v>20</v>
      </c>
      <c r="P1815" s="18">
        <v>37516.0</v>
      </c>
    </row>
    <row r="1816" ht="15.75" customHeight="1">
      <c r="A1816" s="9" t="s">
        <v>2939</v>
      </c>
      <c r="B1816" s="17">
        <v>1980.0</v>
      </c>
      <c r="C1816" s="9" t="s">
        <v>4730</v>
      </c>
      <c r="D1816" s="9">
        <v>22.0</v>
      </c>
      <c r="E1816" s="18">
        <f t="shared" si="1"/>
        <v>29394</v>
      </c>
      <c r="F1816" s="9">
        <v>2.0</v>
      </c>
      <c r="G1816" s="19">
        <v>7160.09</v>
      </c>
      <c r="H1816" s="9" t="s">
        <v>4723</v>
      </c>
      <c r="I1816" s="9" t="s">
        <v>4723</v>
      </c>
      <c r="J1816" s="9" t="s">
        <v>4719</v>
      </c>
      <c r="K1816" s="20">
        <f t="shared" si="2"/>
        <v>1980</v>
      </c>
      <c r="L1816" s="9" t="str">
        <f t="shared" si="3"/>
        <v>tier - 2</v>
      </c>
      <c r="M1816" s="9" t="str">
        <f t="shared" si="4"/>
        <v>tier - 2</v>
      </c>
      <c r="N1816" s="9" t="str">
        <f t="shared" si="5"/>
        <v>R1011</v>
      </c>
      <c r="O1816" s="17">
        <f t="shared" si="6"/>
        <v>42</v>
      </c>
      <c r="P1816" s="18">
        <v>29394.0</v>
      </c>
    </row>
    <row r="1817" ht="15.75" customHeight="1">
      <c r="A1817" s="9" t="s">
        <v>2937</v>
      </c>
      <c r="B1817" s="17">
        <v>1980.0</v>
      </c>
      <c r="C1817" s="9" t="s">
        <v>4720</v>
      </c>
      <c r="D1817" s="9">
        <v>7.0</v>
      </c>
      <c r="E1817" s="18">
        <f t="shared" si="1"/>
        <v>29501</v>
      </c>
      <c r="F1817" s="9">
        <v>2.0</v>
      </c>
      <c r="G1817" s="19">
        <v>7160.33</v>
      </c>
      <c r="H1817" s="9" t="s">
        <v>4723</v>
      </c>
      <c r="I1817" s="9" t="s">
        <v>4718</v>
      </c>
      <c r="J1817" s="9" t="s">
        <v>4743</v>
      </c>
      <c r="K1817" s="20">
        <f t="shared" si="2"/>
        <v>1980</v>
      </c>
      <c r="L1817" s="9" t="str">
        <f t="shared" si="3"/>
        <v>tier - 2</v>
      </c>
      <c r="M1817" s="9" t="str">
        <f t="shared" si="4"/>
        <v>tier - 1</v>
      </c>
      <c r="N1817" s="9" t="str">
        <f t="shared" si="5"/>
        <v>R1013</v>
      </c>
      <c r="O1817" s="17">
        <f t="shared" si="6"/>
        <v>42</v>
      </c>
      <c r="P1817" s="18">
        <v>29501.0</v>
      </c>
    </row>
    <row r="1818" ht="15.75" customHeight="1">
      <c r="A1818" s="9" t="s">
        <v>2935</v>
      </c>
      <c r="B1818" s="17">
        <v>1980.0</v>
      </c>
      <c r="C1818" s="9" t="s">
        <v>4738</v>
      </c>
      <c r="D1818" s="9">
        <v>30.0</v>
      </c>
      <c r="E1818" s="18">
        <f t="shared" si="1"/>
        <v>29494</v>
      </c>
      <c r="F1818" s="9">
        <v>2.0</v>
      </c>
      <c r="G1818" s="19">
        <v>7162.01</v>
      </c>
      <c r="H1818" s="9" t="s">
        <v>4723</v>
      </c>
      <c r="I1818" s="9" t="s">
        <v>4717</v>
      </c>
      <c r="J1818" s="9" t="s">
        <v>4743</v>
      </c>
      <c r="K1818" s="20">
        <f t="shared" si="2"/>
        <v>1980</v>
      </c>
      <c r="L1818" s="9" t="str">
        <f t="shared" si="3"/>
        <v>tier - 2</v>
      </c>
      <c r="M1818" s="9" t="str">
        <f t="shared" si="4"/>
        <v>tier - 3</v>
      </c>
      <c r="N1818" s="9" t="str">
        <f t="shared" si="5"/>
        <v>R1013</v>
      </c>
      <c r="O1818" s="17">
        <f t="shared" si="6"/>
        <v>42</v>
      </c>
      <c r="P1818" s="18">
        <v>29494.0</v>
      </c>
    </row>
    <row r="1819" ht="15.75" customHeight="1">
      <c r="A1819" s="9" t="s">
        <v>2933</v>
      </c>
      <c r="B1819" s="17">
        <v>1982.0</v>
      </c>
      <c r="C1819" s="9" t="s">
        <v>4716</v>
      </c>
      <c r="D1819" s="9">
        <v>16.0</v>
      </c>
      <c r="E1819" s="18">
        <f t="shared" si="1"/>
        <v>30179</v>
      </c>
      <c r="F1819" s="9">
        <v>2.0</v>
      </c>
      <c r="G1819" s="19">
        <v>7173.36</v>
      </c>
      <c r="H1819" s="9" t="s">
        <v>4717</v>
      </c>
      <c r="I1819" s="9" t="s">
        <v>4723</v>
      </c>
      <c r="J1819" s="9" t="s">
        <v>4754</v>
      </c>
      <c r="K1819" s="20">
        <f t="shared" si="2"/>
        <v>1982</v>
      </c>
      <c r="L1819" s="9" t="str">
        <f t="shared" si="3"/>
        <v>tier - 3</v>
      </c>
      <c r="M1819" s="9" t="str">
        <f t="shared" si="4"/>
        <v>tier - 2</v>
      </c>
      <c r="N1819" s="9" t="str">
        <f t="shared" si="5"/>
        <v>R1016</v>
      </c>
      <c r="O1819" s="17">
        <f t="shared" si="6"/>
        <v>40</v>
      </c>
      <c r="P1819" s="18">
        <v>30179.0</v>
      </c>
    </row>
    <row r="1820" ht="15.75" customHeight="1">
      <c r="A1820" s="9" t="s">
        <v>2931</v>
      </c>
      <c r="B1820" s="17">
        <v>1975.0</v>
      </c>
      <c r="C1820" s="9" t="s">
        <v>4741</v>
      </c>
      <c r="D1820" s="9">
        <v>19.0</v>
      </c>
      <c r="E1820" s="18">
        <f t="shared" si="1"/>
        <v>27594</v>
      </c>
      <c r="F1820" s="9">
        <v>1.0</v>
      </c>
      <c r="G1820" s="19">
        <v>7175.51</v>
      </c>
      <c r="H1820" s="9" t="s">
        <v>4723</v>
      </c>
      <c r="I1820" s="9" t="s">
        <v>4717</v>
      </c>
      <c r="J1820" s="9" t="s">
        <v>4743</v>
      </c>
      <c r="K1820" s="20">
        <f t="shared" si="2"/>
        <v>1975</v>
      </c>
      <c r="L1820" s="9" t="str">
        <f t="shared" si="3"/>
        <v>tier - 2</v>
      </c>
      <c r="M1820" s="9" t="str">
        <f t="shared" si="4"/>
        <v>tier - 3</v>
      </c>
      <c r="N1820" s="9" t="str">
        <f t="shared" si="5"/>
        <v>R1013</v>
      </c>
      <c r="O1820" s="17">
        <f t="shared" si="6"/>
        <v>47</v>
      </c>
      <c r="P1820" s="18">
        <v>27594.0</v>
      </c>
    </row>
    <row r="1821" ht="15.75" customHeight="1">
      <c r="A1821" s="9" t="s">
        <v>2929</v>
      </c>
      <c r="B1821" s="17">
        <v>1968.0</v>
      </c>
      <c r="C1821" s="9" t="s">
        <v>4716</v>
      </c>
      <c r="D1821" s="9">
        <v>26.0</v>
      </c>
      <c r="E1821" s="18">
        <f t="shared" si="1"/>
        <v>25076</v>
      </c>
      <c r="F1821" s="9">
        <v>0.0</v>
      </c>
      <c r="G1821" s="19">
        <v>7179.52</v>
      </c>
      <c r="H1821" s="9" t="s">
        <v>4717</v>
      </c>
      <c r="I1821" s="9" t="s">
        <v>4717</v>
      </c>
      <c r="J1821" s="9" t="s">
        <v>4743</v>
      </c>
      <c r="K1821" s="20">
        <f t="shared" si="2"/>
        <v>1968</v>
      </c>
      <c r="L1821" s="9" t="str">
        <f t="shared" si="3"/>
        <v>tier - 3</v>
      </c>
      <c r="M1821" s="9" t="str">
        <f t="shared" si="4"/>
        <v>tier - 3</v>
      </c>
      <c r="N1821" s="9" t="str">
        <f t="shared" si="5"/>
        <v>R1013</v>
      </c>
      <c r="O1821" s="17">
        <f t="shared" si="6"/>
        <v>54</v>
      </c>
      <c r="P1821" s="18">
        <v>25076.0</v>
      </c>
    </row>
    <row r="1822" ht="15.75" customHeight="1">
      <c r="A1822" s="9" t="s">
        <v>2927</v>
      </c>
      <c r="B1822" s="17">
        <v>1982.0</v>
      </c>
      <c r="C1822" s="9" t="s">
        <v>4738</v>
      </c>
      <c r="D1822" s="9">
        <v>14.0</v>
      </c>
      <c r="E1822" s="18">
        <f t="shared" si="1"/>
        <v>30208</v>
      </c>
      <c r="F1822" s="9">
        <v>3.0</v>
      </c>
      <c r="G1822" s="19">
        <v>7196.87</v>
      </c>
      <c r="H1822" s="9" t="s">
        <v>4717</v>
      </c>
      <c r="I1822" s="9" t="s">
        <v>4723</v>
      </c>
      <c r="J1822" s="9" t="s">
        <v>4719</v>
      </c>
      <c r="K1822" s="20">
        <f t="shared" si="2"/>
        <v>1982</v>
      </c>
      <c r="L1822" s="9" t="str">
        <f t="shared" si="3"/>
        <v>tier - 3</v>
      </c>
      <c r="M1822" s="9" t="str">
        <f t="shared" si="4"/>
        <v>tier - 2</v>
      </c>
      <c r="N1822" s="9" t="str">
        <f t="shared" si="5"/>
        <v>R1011</v>
      </c>
      <c r="O1822" s="17">
        <f t="shared" si="6"/>
        <v>40</v>
      </c>
      <c r="P1822" s="18">
        <v>30208.0</v>
      </c>
    </row>
    <row r="1823" ht="15.75" customHeight="1">
      <c r="A1823" s="9" t="s">
        <v>2925</v>
      </c>
      <c r="B1823" s="17">
        <v>1983.0</v>
      </c>
      <c r="C1823" s="9" t="s">
        <v>4716</v>
      </c>
      <c r="D1823" s="9">
        <v>11.0</v>
      </c>
      <c r="E1823" s="18">
        <f t="shared" si="1"/>
        <v>30539</v>
      </c>
      <c r="F1823" s="9">
        <v>2.0</v>
      </c>
      <c r="G1823" s="19">
        <v>7201.7</v>
      </c>
      <c r="H1823" s="9" t="s">
        <v>4723</v>
      </c>
      <c r="I1823" s="9" t="s">
        <v>4717</v>
      </c>
      <c r="J1823" s="9" t="s">
        <v>4733</v>
      </c>
      <c r="K1823" s="20">
        <f t="shared" si="2"/>
        <v>1983</v>
      </c>
      <c r="L1823" s="9" t="str">
        <f t="shared" si="3"/>
        <v>tier - 2</v>
      </c>
      <c r="M1823" s="9" t="str">
        <f t="shared" si="4"/>
        <v>tier - 3</v>
      </c>
      <c r="N1823" s="9" t="str">
        <f t="shared" si="5"/>
        <v>R1012</v>
      </c>
      <c r="O1823" s="17">
        <f t="shared" si="6"/>
        <v>39</v>
      </c>
      <c r="P1823" s="18">
        <v>30539.0</v>
      </c>
    </row>
    <row r="1824" ht="15.75" customHeight="1">
      <c r="A1824" s="9" t="s">
        <v>2923</v>
      </c>
      <c r="B1824" s="17">
        <v>1983.0</v>
      </c>
      <c r="C1824" s="9" t="s">
        <v>4735</v>
      </c>
      <c r="D1824" s="9">
        <v>21.0</v>
      </c>
      <c r="E1824" s="18">
        <f t="shared" si="1"/>
        <v>30641</v>
      </c>
      <c r="F1824" s="9">
        <v>2.0</v>
      </c>
      <c r="G1824" s="19">
        <v>7209.49</v>
      </c>
      <c r="H1824" s="9" t="s">
        <v>4723</v>
      </c>
      <c r="I1824" s="9" t="s">
        <v>4717</v>
      </c>
      <c r="J1824" s="9" t="s">
        <v>4733</v>
      </c>
      <c r="K1824" s="20">
        <f t="shared" si="2"/>
        <v>1983</v>
      </c>
      <c r="L1824" s="9" t="str">
        <f t="shared" si="3"/>
        <v>tier - 2</v>
      </c>
      <c r="M1824" s="9" t="str">
        <f t="shared" si="4"/>
        <v>tier - 3</v>
      </c>
      <c r="N1824" s="9" t="str">
        <f t="shared" si="5"/>
        <v>R1012</v>
      </c>
      <c r="O1824" s="17">
        <f t="shared" si="6"/>
        <v>39</v>
      </c>
      <c r="P1824" s="18">
        <v>30641.0</v>
      </c>
    </row>
    <row r="1825" ht="15.75" customHeight="1">
      <c r="A1825" s="9" t="s">
        <v>2921</v>
      </c>
      <c r="B1825" s="17">
        <v>1991.0</v>
      </c>
      <c r="C1825" s="9" t="s">
        <v>4730</v>
      </c>
      <c r="D1825" s="9">
        <v>28.0</v>
      </c>
      <c r="E1825" s="18">
        <f t="shared" si="1"/>
        <v>33417</v>
      </c>
      <c r="F1825" s="9">
        <v>3.0</v>
      </c>
      <c r="G1825" s="19">
        <v>7220.25</v>
      </c>
      <c r="H1825" s="9" t="s">
        <v>4723</v>
      </c>
      <c r="I1825" s="9" t="s">
        <v>4723</v>
      </c>
      <c r="J1825" s="9" t="s">
        <v>4751</v>
      </c>
      <c r="K1825" s="20">
        <f t="shared" si="2"/>
        <v>1991</v>
      </c>
      <c r="L1825" s="9" t="str">
        <f t="shared" si="3"/>
        <v>tier - 2</v>
      </c>
      <c r="M1825" s="9" t="str">
        <f t="shared" si="4"/>
        <v>tier - 2</v>
      </c>
      <c r="N1825" s="9" t="str">
        <f t="shared" si="5"/>
        <v>R1021</v>
      </c>
      <c r="O1825" s="17">
        <f t="shared" si="6"/>
        <v>31</v>
      </c>
      <c r="P1825" s="18">
        <v>33417.0</v>
      </c>
    </row>
    <row r="1826" ht="15.75" customHeight="1">
      <c r="A1826" s="9" t="s">
        <v>293</v>
      </c>
      <c r="B1826" s="17">
        <v>1970.0</v>
      </c>
      <c r="C1826" s="9" t="s">
        <v>4716</v>
      </c>
      <c r="D1826" s="9">
        <v>22.0</v>
      </c>
      <c r="E1826" s="18">
        <f t="shared" si="1"/>
        <v>25802</v>
      </c>
      <c r="F1826" s="9">
        <v>0.0</v>
      </c>
      <c r="G1826" s="19">
        <v>38389.79</v>
      </c>
      <c r="H1826" s="9" t="s">
        <v>4723</v>
      </c>
      <c r="I1826" s="9" t="s">
        <v>4717</v>
      </c>
      <c r="J1826" s="9" t="s">
        <v>4719</v>
      </c>
      <c r="K1826" s="20">
        <f t="shared" si="2"/>
        <v>1970</v>
      </c>
      <c r="L1826" s="9" t="str">
        <f t="shared" si="3"/>
        <v>tier - 2</v>
      </c>
      <c r="M1826" s="9" t="str">
        <f t="shared" si="4"/>
        <v>tier - 3</v>
      </c>
      <c r="N1826" s="9" t="str">
        <f t="shared" si="5"/>
        <v>R1011</v>
      </c>
      <c r="O1826" s="17">
        <f t="shared" si="6"/>
        <v>52</v>
      </c>
      <c r="P1826" s="18">
        <v>25802.0</v>
      </c>
    </row>
    <row r="1827" ht="15.75" customHeight="1">
      <c r="A1827" s="9" t="s">
        <v>2919</v>
      </c>
      <c r="B1827" s="17">
        <v>1977.0</v>
      </c>
      <c r="C1827" s="9" t="s">
        <v>4738</v>
      </c>
      <c r="D1827" s="9">
        <v>15.0</v>
      </c>
      <c r="E1827" s="18">
        <f t="shared" si="1"/>
        <v>28383</v>
      </c>
      <c r="F1827" s="9">
        <v>0.0</v>
      </c>
      <c r="G1827" s="19">
        <v>7222.79</v>
      </c>
      <c r="H1827" s="9" t="s">
        <v>4717</v>
      </c>
      <c r="I1827" s="9" t="s">
        <v>4717</v>
      </c>
      <c r="J1827" s="9" t="s">
        <v>4733</v>
      </c>
      <c r="K1827" s="20">
        <f t="shared" si="2"/>
        <v>1977</v>
      </c>
      <c r="L1827" s="9" t="str">
        <f t="shared" si="3"/>
        <v>tier - 3</v>
      </c>
      <c r="M1827" s="9" t="str">
        <f t="shared" si="4"/>
        <v>tier - 3</v>
      </c>
      <c r="N1827" s="9" t="str">
        <f t="shared" si="5"/>
        <v>R1012</v>
      </c>
      <c r="O1827" s="17">
        <f t="shared" si="6"/>
        <v>45</v>
      </c>
      <c r="P1827" s="18">
        <v>28383.0</v>
      </c>
    </row>
    <row r="1828" ht="15.75" customHeight="1">
      <c r="A1828" s="9" t="s">
        <v>2917</v>
      </c>
      <c r="B1828" s="17">
        <v>1986.0</v>
      </c>
      <c r="C1828" s="9" t="s">
        <v>4741</v>
      </c>
      <c r="D1828" s="9">
        <v>13.0</v>
      </c>
      <c r="E1828" s="18">
        <f t="shared" si="1"/>
        <v>31606</v>
      </c>
      <c r="F1828" s="9">
        <v>3.0</v>
      </c>
      <c r="G1828" s="19">
        <v>7228.22</v>
      </c>
      <c r="H1828" s="9" t="s">
        <v>4723</v>
      </c>
      <c r="I1828" s="9" t="s">
        <v>4718</v>
      </c>
      <c r="J1828" s="9" t="s">
        <v>4731</v>
      </c>
      <c r="K1828" s="20">
        <f t="shared" si="2"/>
        <v>1986</v>
      </c>
      <c r="L1828" s="9" t="str">
        <f t="shared" si="3"/>
        <v>tier - 2</v>
      </c>
      <c r="M1828" s="9" t="str">
        <f t="shared" si="4"/>
        <v>tier - 1</v>
      </c>
      <c r="N1828" s="9" t="str">
        <f t="shared" si="5"/>
        <v>R1024</v>
      </c>
      <c r="O1828" s="17">
        <f t="shared" si="6"/>
        <v>36</v>
      </c>
      <c r="P1828" s="18">
        <v>31606.0</v>
      </c>
    </row>
    <row r="1829" ht="15.75" customHeight="1">
      <c r="A1829" s="9" t="s">
        <v>2915</v>
      </c>
      <c r="B1829" s="17">
        <v>1986.0</v>
      </c>
      <c r="C1829" s="9" t="s">
        <v>4738</v>
      </c>
      <c r="D1829" s="9">
        <v>2.0</v>
      </c>
      <c r="E1829" s="18">
        <f t="shared" si="1"/>
        <v>31657</v>
      </c>
      <c r="F1829" s="9">
        <v>4.0</v>
      </c>
      <c r="G1829" s="19">
        <v>7243.81</v>
      </c>
      <c r="H1829" s="9" t="s">
        <v>4723</v>
      </c>
      <c r="I1829" s="9" t="s">
        <v>4717</v>
      </c>
      <c r="J1829" s="9" t="s">
        <v>4743</v>
      </c>
      <c r="K1829" s="20">
        <f t="shared" si="2"/>
        <v>1986</v>
      </c>
      <c r="L1829" s="9" t="str">
        <f t="shared" si="3"/>
        <v>tier - 2</v>
      </c>
      <c r="M1829" s="9" t="str">
        <f t="shared" si="4"/>
        <v>tier - 3</v>
      </c>
      <c r="N1829" s="9" t="str">
        <f t="shared" si="5"/>
        <v>R1013</v>
      </c>
      <c r="O1829" s="17">
        <f t="shared" si="6"/>
        <v>36</v>
      </c>
      <c r="P1829" s="18">
        <v>31657.0</v>
      </c>
    </row>
    <row r="1830" ht="15.75" customHeight="1">
      <c r="A1830" s="9" t="s">
        <v>2913</v>
      </c>
      <c r="B1830" s="17">
        <v>1982.0</v>
      </c>
      <c r="C1830" s="9" t="s">
        <v>4741</v>
      </c>
      <c r="D1830" s="9">
        <v>24.0</v>
      </c>
      <c r="E1830" s="18">
        <f t="shared" si="1"/>
        <v>30156</v>
      </c>
      <c r="F1830" s="9">
        <v>3.0</v>
      </c>
      <c r="G1830" s="19">
        <v>7248.71</v>
      </c>
      <c r="H1830" s="9" t="s">
        <v>4723</v>
      </c>
      <c r="I1830" s="9" t="s">
        <v>4718</v>
      </c>
      <c r="J1830" s="9" t="s">
        <v>4743</v>
      </c>
      <c r="K1830" s="20">
        <f t="shared" si="2"/>
        <v>1982</v>
      </c>
      <c r="L1830" s="9" t="str">
        <f t="shared" si="3"/>
        <v>tier - 2</v>
      </c>
      <c r="M1830" s="9" t="str">
        <f t="shared" si="4"/>
        <v>tier - 1</v>
      </c>
      <c r="N1830" s="9" t="str">
        <f t="shared" si="5"/>
        <v>R1013</v>
      </c>
      <c r="O1830" s="17">
        <f t="shared" si="6"/>
        <v>40</v>
      </c>
      <c r="P1830" s="18">
        <v>30156.0</v>
      </c>
    </row>
    <row r="1831" ht="15.75" customHeight="1">
      <c r="A1831" s="9" t="s">
        <v>2911</v>
      </c>
      <c r="B1831" s="17">
        <v>1981.0</v>
      </c>
      <c r="C1831" s="9" t="s">
        <v>4716</v>
      </c>
      <c r="D1831" s="9">
        <v>14.0</v>
      </c>
      <c r="E1831" s="18">
        <f t="shared" si="1"/>
        <v>29812</v>
      </c>
      <c r="F1831" s="9">
        <v>2.0</v>
      </c>
      <c r="G1831" s="19">
        <v>7256.72</v>
      </c>
      <c r="H1831" s="9" t="s">
        <v>4717</v>
      </c>
      <c r="I1831" s="9" t="s">
        <v>4723</v>
      </c>
      <c r="J1831" s="9" t="s">
        <v>4733</v>
      </c>
      <c r="K1831" s="20">
        <f t="shared" si="2"/>
        <v>1981</v>
      </c>
      <c r="L1831" s="9" t="str">
        <f t="shared" si="3"/>
        <v>tier - 3</v>
      </c>
      <c r="M1831" s="9" t="str">
        <f t="shared" si="4"/>
        <v>tier - 2</v>
      </c>
      <c r="N1831" s="9" t="str">
        <f t="shared" si="5"/>
        <v>R1012</v>
      </c>
      <c r="O1831" s="17">
        <f t="shared" si="6"/>
        <v>41</v>
      </c>
      <c r="P1831" s="18">
        <v>29812.0</v>
      </c>
    </row>
    <row r="1832" ht="15.75" customHeight="1">
      <c r="A1832" s="9" t="s">
        <v>2909</v>
      </c>
      <c r="B1832" s="17">
        <v>1981.0</v>
      </c>
      <c r="C1832" s="9" t="s">
        <v>4730</v>
      </c>
      <c r="D1832" s="9">
        <v>13.0</v>
      </c>
      <c r="E1832" s="18">
        <f t="shared" si="1"/>
        <v>29750</v>
      </c>
      <c r="F1832" s="9">
        <v>2.0</v>
      </c>
      <c r="G1832" s="19">
        <v>7261.74</v>
      </c>
      <c r="H1832" s="9" t="s">
        <v>4717</v>
      </c>
      <c r="I1832" s="9" t="s">
        <v>4717</v>
      </c>
      <c r="J1832" s="9" t="s">
        <v>4733</v>
      </c>
      <c r="K1832" s="20">
        <f t="shared" si="2"/>
        <v>1981</v>
      </c>
      <c r="L1832" s="9" t="str">
        <f t="shared" si="3"/>
        <v>tier - 3</v>
      </c>
      <c r="M1832" s="9" t="str">
        <f t="shared" si="4"/>
        <v>tier - 3</v>
      </c>
      <c r="N1832" s="9" t="str">
        <f t="shared" si="5"/>
        <v>R1012</v>
      </c>
      <c r="O1832" s="17">
        <f t="shared" si="6"/>
        <v>41</v>
      </c>
      <c r="P1832" s="18">
        <v>29750.0</v>
      </c>
    </row>
    <row r="1833" ht="15.75" customHeight="1">
      <c r="A1833" s="9" t="s">
        <v>2907</v>
      </c>
      <c r="B1833" s="17">
        <v>1973.0</v>
      </c>
      <c r="C1833" s="9" t="s">
        <v>4720</v>
      </c>
      <c r="D1833" s="9">
        <v>25.0</v>
      </c>
      <c r="E1833" s="18">
        <f t="shared" si="1"/>
        <v>26962</v>
      </c>
      <c r="F1833" s="9">
        <v>0.0</v>
      </c>
      <c r="G1833" s="19">
        <v>7265.58</v>
      </c>
      <c r="H1833" s="9" t="s">
        <v>4723</v>
      </c>
      <c r="I1833" s="9" t="s">
        <v>4723</v>
      </c>
      <c r="J1833" s="9" t="s">
        <v>4743</v>
      </c>
      <c r="K1833" s="20">
        <f t="shared" si="2"/>
        <v>1973</v>
      </c>
      <c r="L1833" s="9" t="str">
        <f t="shared" si="3"/>
        <v>tier - 2</v>
      </c>
      <c r="M1833" s="9" t="str">
        <f t="shared" si="4"/>
        <v>tier - 2</v>
      </c>
      <c r="N1833" s="9" t="str">
        <f t="shared" si="5"/>
        <v>R1013</v>
      </c>
      <c r="O1833" s="17">
        <f t="shared" si="6"/>
        <v>49</v>
      </c>
      <c r="P1833" s="18">
        <v>26962.0</v>
      </c>
    </row>
    <row r="1834" ht="15.75" customHeight="1">
      <c r="A1834" s="9" t="s">
        <v>2905</v>
      </c>
      <c r="B1834" s="17">
        <v>1981.0</v>
      </c>
      <c r="C1834" s="9" t="s">
        <v>4716</v>
      </c>
      <c r="D1834" s="9">
        <v>4.0</v>
      </c>
      <c r="E1834" s="18">
        <f t="shared" si="1"/>
        <v>29802</v>
      </c>
      <c r="F1834" s="9">
        <v>2.0</v>
      </c>
      <c r="G1834" s="19">
        <v>7265.7</v>
      </c>
      <c r="H1834" s="9" t="s">
        <v>4717</v>
      </c>
      <c r="I1834" s="9" t="s">
        <v>4717</v>
      </c>
      <c r="J1834" s="9" t="s">
        <v>4733</v>
      </c>
      <c r="K1834" s="20">
        <f t="shared" si="2"/>
        <v>1981</v>
      </c>
      <c r="L1834" s="9" t="str">
        <f t="shared" si="3"/>
        <v>tier - 3</v>
      </c>
      <c r="M1834" s="9" t="str">
        <f t="shared" si="4"/>
        <v>tier - 3</v>
      </c>
      <c r="N1834" s="9" t="str">
        <f t="shared" si="5"/>
        <v>R1012</v>
      </c>
      <c r="O1834" s="17">
        <f t="shared" si="6"/>
        <v>41</v>
      </c>
      <c r="P1834" s="18">
        <v>29802.0</v>
      </c>
    </row>
    <row r="1835" ht="15.75" customHeight="1">
      <c r="A1835" s="9" t="s">
        <v>2903</v>
      </c>
      <c r="B1835" s="17">
        <v>1976.0</v>
      </c>
      <c r="C1835" s="9" t="s">
        <v>4725</v>
      </c>
      <c r="D1835" s="9">
        <v>18.0</v>
      </c>
      <c r="E1835" s="18">
        <f t="shared" si="1"/>
        <v>28112</v>
      </c>
      <c r="F1835" s="9">
        <v>2.0</v>
      </c>
      <c r="G1835" s="19">
        <v>7273.02</v>
      </c>
      <c r="H1835" s="9" t="s">
        <v>4723</v>
      </c>
      <c r="I1835" s="9" t="s">
        <v>4718</v>
      </c>
      <c r="J1835" s="9" t="s">
        <v>4743</v>
      </c>
      <c r="K1835" s="20">
        <f t="shared" si="2"/>
        <v>1976</v>
      </c>
      <c r="L1835" s="9" t="str">
        <f t="shared" si="3"/>
        <v>tier - 2</v>
      </c>
      <c r="M1835" s="9" t="str">
        <f t="shared" si="4"/>
        <v>tier - 1</v>
      </c>
      <c r="N1835" s="9" t="str">
        <f t="shared" si="5"/>
        <v>R1013</v>
      </c>
      <c r="O1835" s="17">
        <f t="shared" si="6"/>
        <v>46</v>
      </c>
      <c r="P1835" s="18">
        <v>28112.0</v>
      </c>
    </row>
    <row r="1836" ht="15.75" customHeight="1">
      <c r="A1836" s="9" t="s">
        <v>2901</v>
      </c>
      <c r="B1836" s="17">
        <v>1985.0</v>
      </c>
      <c r="C1836" s="9" t="s">
        <v>4735</v>
      </c>
      <c r="D1836" s="9">
        <v>2.0</v>
      </c>
      <c r="E1836" s="18">
        <f t="shared" si="1"/>
        <v>31353</v>
      </c>
      <c r="F1836" s="9">
        <v>3.0</v>
      </c>
      <c r="G1836" s="19">
        <v>7281.51</v>
      </c>
      <c r="H1836" s="9" t="s">
        <v>4723</v>
      </c>
      <c r="I1836" s="9" t="s">
        <v>4718</v>
      </c>
      <c r="J1836" s="9" t="s">
        <v>4733</v>
      </c>
      <c r="K1836" s="20">
        <f t="shared" si="2"/>
        <v>1985</v>
      </c>
      <c r="L1836" s="9" t="str">
        <f t="shared" si="3"/>
        <v>tier - 2</v>
      </c>
      <c r="M1836" s="9" t="str">
        <f t="shared" si="4"/>
        <v>tier - 1</v>
      </c>
      <c r="N1836" s="9" t="str">
        <f t="shared" si="5"/>
        <v>R1012</v>
      </c>
      <c r="O1836" s="17">
        <f t="shared" si="6"/>
        <v>37</v>
      </c>
      <c r="P1836" s="18">
        <v>31353.0</v>
      </c>
    </row>
    <row r="1837" ht="15.75" customHeight="1">
      <c r="A1837" s="9" t="s">
        <v>291</v>
      </c>
      <c r="B1837" s="17">
        <v>1971.0</v>
      </c>
      <c r="C1837" s="9" t="s">
        <v>4725</v>
      </c>
      <c r="D1837" s="9">
        <v>23.0</v>
      </c>
      <c r="E1837" s="18">
        <f t="shared" si="1"/>
        <v>26290</v>
      </c>
      <c r="F1837" s="9">
        <v>0.0</v>
      </c>
      <c r="G1837" s="19">
        <v>38405.26</v>
      </c>
      <c r="H1837" s="9" t="s">
        <v>4723</v>
      </c>
      <c r="I1837" s="9" t="s">
        <v>4718</v>
      </c>
      <c r="J1837" s="9" t="s">
        <v>4719</v>
      </c>
      <c r="K1837" s="20">
        <f t="shared" si="2"/>
        <v>1971</v>
      </c>
      <c r="L1837" s="9" t="str">
        <f t="shared" si="3"/>
        <v>tier - 2</v>
      </c>
      <c r="M1837" s="9" t="str">
        <f t="shared" si="4"/>
        <v>tier - 1</v>
      </c>
      <c r="N1837" s="9" t="str">
        <f t="shared" si="5"/>
        <v>R1011</v>
      </c>
      <c r="O1837" s="17">
        <f t="shared" si="6"/>
        <v>51</v>
      </c>
      <c r="P1837" s="18">
        <v>26290.0</v>
      </c>
    </row>
    <row r="1838" ht="15.75" customHeight="1">
      <c r="A1838" s="9" t="s">
        <v>2899</v>
      </c>
      <c r="B1838" s="17">
        <v>1966.0</v>
      </c>
      <c r="C1838" s="9" t="s">
        <v>4725</v>
      </c>
      <c r="D1838" s="9">
        <v>26.0</v>
      </c>
      <c r="E1838" s="18">
        <f t="shared" si="1"/>
        <v>24467</v>
      </c>
      <c r="F1838" s="9">
        <v>0.0</v>
      </c>
      <c r="G1838" s="19">
        <v>7302.46</v>
      </c>
      <c r="H1838" s="9" t="s">
        <v>4717</v>
      </c>
      <c r="I1838" s="9" t="s">
        <v>4718</v>
      </c>
      <c r="J1838" s="9" t="s">
        <v>4733</v>
      </c>
      <c r="K1838" s="20">
        <f t="shared" si="2"/>
        <v>1966</v>
      </c>
      <c r="L1838" s="9" t="str">
        <f t="shared" si="3"/>
        <v>tier - 3</v>
      </c>
      <c r="M1838" s="9" t="str">
        <f t="shared" si="4"/>
        <v>tier - 1</v>
      </c>
      <c r="N1838" s="9" t="str">
        <f t="shared" si="5"/>
        <v>R1012</v>
      </c>
      <c r="O1838" s="17">
        <f t="shared" si="6"/>
        <v>56</v>
      </c>
      <c r="P1838" s="18">
        <v>24467.0</v>
      </c>
    </row>
    <row r="1839" ht="15.75" customHeight="1">
      <c r="A1839" s="9" t="s">
        <v>2897</v>
      </c>
      <c r="B1839" s="17">
        <v>1965.0</v>
      </c>
      <c r="C1839" s="9" t="s">
        <v>4730</v>
      </c>
      <c r="D1839" s="9">
        <v>6.0</v>
      </c>
      <c r="E1839" s="18">
        <f t="shared" si="1"/>
        <v>23899</v>
      </c>
      <c r="F1839" s="9">
        <v>0.0</v>
      </c>
      <c r="G1839" s="19">
        <v>7304.65</v>
      </c>
      <c r="H1839" s="9" t="s">
        <v>4717</v>
      </c>
      <c r="I1839" s="9" t="s">
        <v>4717</v>
      </c>
      <c r="J1839" s="9" t="s">
        <v>4743</v>
      </c>
      <c r="K1839" s="20">
        <f t="shared" si="2"/>
        <v>1965</v>
      </c>
      <c r="L1839" s="9" t="str">
        <f t="shared" si="3"/>
        <v>tier - 3</v>
      </c>
      <c r="M1839" s="9" t="str">
        <f t="shared" si="4"/>
        <v>tier - 3</v>
      </c>
      <c r="N1839" s="9" t="str">
        <f t="shared" si="5"/>
        <v>R1013</v>
      </c>
      <c r="O1839" s="17">
        <f t="shared" si="6"/>
        <v>58</v>
      </c>
      <c r="P1839" s="18">
        <v>23899.0</v>
      </c>
    </row>
    <row r="1840" ht="15.75" customHeight="1">
      <c r="A1840" s="9" t="s">
        <v>2895</v>
      </c>
      <c r="B1840" s="17">
        <v>1965.0</v>
      </c>
      <c r="C1840" s="9" t="s">
        <v>4730</v>
      </c>
      <c r="D1840" s="9">
        <v>25.0</v>
      </c>
      <c r="E1840" s="18">
        <f t="shared" si="1"/>
        <v>23918</v>
      </c>
      <c r="F1840" s="9">
        <v>0.0</v>
      </c>
      <c r="G1840" s="19">
        <v>7318.21</v>
      </c>
      <c r="H1840" s="9" t="s">
        <v>4717</v>
      </c>
      <c r="I1840" s="9" t="s">
        <v>4718</v>
      </c>
      <c r="J1840" s="9" t="s">
        <v>4743</v>
      </c>
      <c r="K1840" s="20">
        <f t="shared" si="2"/>
        <v>1965</v>
      </c>
      <c r="L1840" s="9" t="str">
        <f t="shared" si="3"/>
        <v>tier - 3</v>
      </c>
      <c r="M1840" s="9" t="str">
        <f t="shared" si="4"/>
        <v>tier - 1</v>
      </c>
      <c r="N1840" s="9" t="str">
        <f t="shared" si="5"/>
        <v>R1013</v>
      </c>
      <c r="O1840" s="17">
        <f t="shared" si="6"/>
        <v>57</v>
      </c>
      <c r="P1840" s="18">
        <v>23918.0</v>
      </c>
    </row>
    <row r="1841" ht="15.75" customHeight="1">
      <c r="A1841" s="9" t="s">
        <v>2893</v>
      </c>
      <c r="B1841" s="17">
        <v>1972.0</v>
      </c>
      <c r="C1841" s="9" t="s">
        <v>4716</v>
      </c>
      <c r="D1841" s="9">
        <v>11.0</v>
      </c>
      <c r="E1841" s="18">
        <f t="shared" si="1"/>
        <v>26522</v>
      </c>
      <c r="F1841" s="9">
        <v>0.0</v>
      </c>
      <c r="G1841" s="19">
        <v>7318.22</v>
      </c>
      <c r="H1841" s="9" t="s">
        <v>4723</v>
      </c>
      <c r="I1841" s="9" t="s">
        <v>4717</v>
      </c>
      <c r="J1841" s="9" t="s">
        <v>4733</v>
      </c>
      <c r="K1841" s="20">
        <f t="shared" si="2"/>
        <v>1972</v>
      </c>
      <c r="L1841" s="9" t="str">
        <f t="shared" si="3"/>
        <v>tier - 2</v>
      </c>
      <c r="M1841" s="9" t="str">
        <f t="shared" si="4"/>
        <v>tier - 3</v>
      </c>
      <c r="N1841" s="9" t="str">
        <f t="shared" si="5"/>
        <v>R1012</v>
      </c>
      <c r="O1841" s="17">
        <f t="shared" si="6"/>
        <v>50</v>
      </c>
      <c r="P1841" s="18">
        <v>26522.0</v>
      </c>
    </row>
    <row r="1842" ht="15.75" customHeight="1">
      <c r="A1842" s="9" t="s">
        <v>2891</v>
      </c>
      <c r="B1842" s="17">
        <v>1965.0</v>
      </c>
      <c r="C1842" s="9" t="s">
        <v>4741</v>
      </c>
      <c r="D1842" s="9">
        <v>11.0</v>
      </c>
      <c r="E1842" s="18">
        <f t="shared" si="1"/>
        <v>23934</v>
      </c>
      <c r="F1842" s="9">
        <v>0.0</v>
      </c>
      <c r="G1842" s="19">
        <v>7322.86</v>
      </c>
      <c r="H1842" s="9" t="s">
        <v>4717</v>
      </c>
      <c r="I1842" s="9" t="s">
        <v>4717</v>
      </c>
      <c r="J1842" s="9" t="s">
        <v>4733</v>
      </c>
      <c r="K1842" s="20">
        <f t="shared" si="2"/>
        <v>1965</v>
      </c>
      <c r="L1842" s="9" t="str">
        <f t="shared" si="3"/>
        <v>tier - 3</v>
      </c>
      <c r="M1842" s="9" t="str">
        <f t="shared" si="4"/>
        <v>tier - 3</v>
      </c>
      <c r="N1842" s="9" t="str">
        <f t="shared" si="5"/>
        <v>R1012</v>
      </c>
      <c r="O1842" s="17">
        <f t="shared" si="6"/>
        <v>57</v>
      </c>
      <c r="P1842" s="18">
        <v>23934.0</v>
      </c>
    </row>
    <row r="1843" ht="15.75" customHeight="1">
      <c r="A1843" s="9" t="s">
        <v>2889</v>
      </c>
      <c r="B1843" s="17">
        <v>2004.0</v>
      </c>
      <c r="C1843" s="9" t="s">
        <v>4735</v>
      </c>
      <c r="D1843" s="9">
        <v>15.0</v>
      </c>
      <c r="E1843" s="18">
        <f t="shared" si="1"/>
        <v>38306</v>
      </c>
      <c r="F1843" s="9">
        <v>0.0</v>
      </c>
      <c r="G1843" s="19">
        <v>7323.73</v>
      </c>
      <c r="H1843" s="9" t="s">
        <v>4723</v>
      </c>
      <c r="I1843" s="9" t="s">
        <v>4723</v>
      </c>
      <c r="J1843" s="9" t="s">
        <v>4731</v>
      </c>
      <c r="K1843" s="20">
        <f t="shared" si="2"/>
        <v>2004</v>
      </c>
      <c r="L1843" s="9" t="str">
        <f t="shared" si="3"/>
        <v>tier - 2</v>
      </c>
      <c r="M1843" s="9" t="str">
        <f t="shared" si="4"/>
        <v>tier - 2</v>
      </c>
      <c r="N1843" s="9" t="str">
        <f t="shared" si="5"/>
        <v>R1024</v>
      </c>
      <c r="O1843" s="17">
        <f t="shared" si="6"/>
        <v>18</v>
      </c>
      <c r="P1843" s="18">
        <v>38306.0</v>
      </c>
    </row>
    <row r="1844" ht="15.75" customHeight="1">
      <c r="A1844" s="9" t="s">
        <v>2887</v>
      </c>
      <c r="B1844" s="17">
        <v>1979.0</v>
      </c>
      <c r="C1844" s="9" t="s">
        <v>4730</v>
      </c>
      <c r="D1844" s="9">
        <v>19.0</v>
      </c>
      <c r="E1844" s="18">
        <f t="shared" si="1"/>
        <v>29025</v>
      </c>
      <c r="F1844" s="9">
        <v>0.0</v>
      </c>
      <c r="G1844" s="19">
        <v>7325.05</v>
      </c>
      <c r="H1844" s="9" t="s">
        <v>4723</v>
      </c>
      <c r="I1844" s="9" t="s">
        <v>4717</v>
      </c>
      <c r="J1844" s="9" t="s">
        <v>4731</v>
      </c>
      <c r="K1844" s="20">
        <f t="shared" si="2"/>
        <v>1979</v>
      </c>
      <c r="L1844" s="9" t="str">
        <f t="shared" si="3"/>
        <v>tier - 2</v>
      </c>
      <c r="M1844" s="9" t="str">
        <f t="shared" si="4"/>
        <v>tier - 3</v>
      </c>
      <c r="N1844" s="9" t="str">
        <f t="shared" si="5"/>
        <v>R1024</v>
      </c>
      <c r="O1844" s="17">
        <f t="shared" si="6"/>
        <v>43</v>
      </c>
      <c r="P1844" s="18">
        <v>29025.0</v>
      </c>
    </row>
    <row r="1845" ht="15.75" customHeight="1">
      <c r="A1845" s="9" t="s">
        <v>2885</v>
      </c>
      <c r="B1845" s="17">
        <v>1984.0</v>
      </c>
      <c r="C1845" s="9" t="s">
        <v>4741</v>
      </c>
      <c r="D1845" s="9">
        <v>25.0</v>
      </c>
      <c r="E1845" s="18">
        <f t="shared" si="1"/>
        <v>30888</v>
      </c>
      <c r="F1845" s="9">
        <v>3.0</v>
      </c>
      <c r="G1845" s="19">
        <v>7325.47</v>
      </c>
      <c r="H1845" s="9" t="s">
        <v>4723</v>
      </c>
      <c r="I1845" s="9" t="s">
        <v>4718</v>
      </c>
      <c r="J1845" s="9" t="s">
        <v>4733</v>
      </c>
      <c r="K1845" s="20">
        <f t="shared" si="2"/>
        <v>1984</v>
      </c>
      <c r="L1845" s="9" t="str">
        <f t="shared" si="3"/>
        <v>tier - 2</v>
      </c>
      <c r="M1845" s="9" t="str">
        <f t="shared" si="4"/>
        <v>tier - 1</v>
      </c>
      <c r="N1845" s="9" t="str">
        <f t="shared" si="5"/>
        <v>R1012</v>
      </c>
      <c r="O1845" s="17">
        <f t="shared" si="6"/>
        <v>38</v>
      </c>
      <c r="P1845" s="18">
        <v>30888.0</v>
      </c>
    </row>
    <row r="1846" ht="15.75" customHeight="1">
      <c r="A1846" s="9" t="s">
        <v>2883</v>
      </c>
      <c r="B1846" s="17">
        <v>1979.0</v>
      </c>
      <c r="C1846" s="9" t="s">
        <v>4738</v>
      </c>
      <c r="D1846" s="9">
        <v>19.0</v>
      </c>
      <c r="E1846" s="18">
        <f t="shared" si="1"/>
        <v>29117</v>
      </c>
      <c r="F1846" s="9">
        <v>1.0</v>
      </c>
      <c r="G1846" s="19">
        <v>7337.75</v>
      </c>
      <c r="H1846" s="9" t="s">
        <v>4723</v>
      </c>
      <c r="I1846" s="9" t="s">
        <v>4717</v>
      </c>
      <c r="J1846" s="9" t="s">
        <v>4719</v>
      </c>
      <c r="K1846" s="20">
        <f t="shared" si="2"/>
        <v>1979</v>
      </c>
      <c r="L1846" s="9" t="str">
        <f t="shared" si="3"/>
        <v>tier - 2</v>
      </c>
      <c r="M1846" s="9" t="str">
        <f t="shared" si="4"/>
        <v>tier - 3</v>
      </c>
      <c r="N1846" s="9" t="str">
        <f t="shared" si="5"/>
        <v>R1011</v>
      </c>
      <c r="O1846" s="17">
        <f t="shared" si="6"/>
        <v>43</v>
      </c>
      <c r="P1846" s="18">
        <v>29117.0</v>
      </c>
    </row>
    <row r="1847" ht="15.75" customHeight="1">
      <c r="A1847" s="9" t="s">
        <v>2881</v>
      </c>
      <c r="B1847" s="17">
        <v>1986.0</v>
      </c>
      <c r="C1847" s="9" t="s">
        <v>4730</v>
      </c>
      <c r="D1847" s="9">
        <v>15.0</v>
      </c>
      <c r="E1847" s="18">
        <f t="shared" si="1"/>
        <v>31578</v>
      </c>
      <c r="F1847" s="9">
        <v>3.0</v>
      </c>
      <c r="G1847" s="19">
        <v>7339.93</v>
      </c>
      <c r="H1847" s="9" t="s">
        <v>4723</v>
      </c>
      <c r="I1847" s="9" t="s">
        <v>4723</v>
      </c>
      <c r="J1847" s="9" t="s">
        <v>4733</v>
      </c>
      <c r="K1847" s="20">
        <f t="shared" si="2"/>
        <v>1986</v>
      </c>
      <c r="L1847" s="9" t="str">
        <f t="shared" si="3"/>
        <v>tier - 2</v>
      </c>
      <c r="M1847" s="9" t="str">
        <f t="shared" si="4"/>
        <v>tier - 2</v>
      </c>
      <c r="N1847" s="9" t="str">
        <f t="shared" si="5"/>
        <v>R1012</v>
      </c>
      <c r="O1847" s="17">
        <f t="shared" si="6"/>
        <v>36</v>
      </c>
      <c r="P1847" s="18">
        <v>31578.0</v>
      </c>
    </row>
    <row r="1848" ht="15.75" customHeight="1">
      <c r="A1848" s="9" t="s">
        <v>289</v>
      </c>
      <c r="B1848" s="17">
        <v>1986.0</v>
      </c>
      <c r="C1848" s="9" t="s">
        <v>4730</v>
      </c>
      <c r="D1848" s="9">
        <v>21.0</v>
      </c>
      <c r="E1848" s="18">
        <f t="shared" si="1"/>
        <v>31584</v>
      </c>
      <c r="F1848" s="9">
        <v>2.0</v>
      </c>
      <c r="G1848" s="19">
        <v>38415.47</v>
      </c>
      <c r="H1848" s="9" t="s">
        <v>4718</v>
      </c>
      <c r="I1848" s="9" t="s">
        <v>4723</v>
      </c>
      <c r="J1848" s="9" t="s">
        <v>4719</v>
      </c>
      <c r="K1848" s="20">
        <f t="shared" si="2"/>
        <v>1986</v>
      </c>
      <c r="L1848" s="9" t="str">
        <f t="shared" si="3"/>
        <v>tier - 1</v>
      </c>
      <c r="M1848" s="9" t="str">
        <f t="shared" si="4"/>
        <v>tier - 2</v>
      </c>
      <c r="N1848" s="9" t="str">
        <f t="shared" si="5"/>
        <v>R1011</v>
      </c>
      <c r="O1848" s="17">
        <f t="shared" si="6"/>
        <v>36</v>
      </c>
      <c r="P1848" s="18">
        <v>31584.0</v>
      </c>
    </row>
    <row r="1849" ht="15.75" customHeight="1">
      <c r="A1849" s="9" t="s">
        <v>2879</v>
      </c>
      <c r="B1849" s="17">
        <v>1977.0</v>
      </c>
      <c r="C1849" s="9" t="s">
        <v>4725</v>
      </c>
      <c r="D1849" s="9">
        <v>18.0</v>
      </c>
      <c r="E1849" s="18">
        <f t="shared" si="1"/>
        <v>28477</v>
      </c>
      <c r="F1849" s="9">
        <v>0.0</v>
      </c>
      <c r="G1849" s="19">
        <v>7345.08</v>
      </c>
      <c r="H1849" s="9" t="s">
        <v>4723</v>
      </c>
      <c r="I1849" s="9" t="s">
        <v>4718</v>
      </c>
      <c r="J1849" s="9" t="s">
        <v>4719</v>
      </c>
      <c r="K1849" s="20">
        <f t="shared" si="2"/>
        <v>1977</v>
      </c>
      <c r="L1849" s="9" t="str">
        <f t="shared" si="3"/>
        <v>tier - 2</v>
      </c>
      <c r="M1849" s="9" t="str">
        <f t="shared" si="4"/>
        <v>tier - 1</v>
      </c>
      <c r="N1849" s="9" t="str">
        <f t="shared" si="5"/>
        <v>R1011</v>
      </c>
      <c r="O1849" s="17">
        <f t="shared" si="6"/>
        <v>45</v>
      </c>
      <c r="P1849" s="18">
        <v>28477.0</v>
      </c>
    </row>
    <row r="1850" ht="15.75" customHeight="1">
      <c r="A1850" s="9" t="s">
        <v>2877</v>
      </c>
      <c r="B1850" s="17">
        <v>1979.0</v>
      </c>
      <c r="C1850" s="9" t="s">
        <v>4730</v>
      </c>
      <c r="D1850" s="9">
        <v>26.0</v>
      </c>
      <c r="E1850" s="18">
        <f t="shared" si="1"/>
        <v>29032</v>
      </c>
      <c r="F1850" s="9">
        <v>1.0</v>
      </c>
      <c r="G1850" s="19">
        <v>7345.73</v>
      </c>
      <c r="H1850" s="9" t="s">
        <v>4723</v>
      </c>
      <c r="I1850" s="9" t="s">
        <v>4718</v>
      </c>
      <c r="J1850" s="9" t="s">
        <v>4743</v>
      </c>
      <c r="K1850" s="20">
        <f t="shared" si="2"/>
        <v>1979</v>
      </c>
      <c r="L1850" s="9" t="str">
        <f t="shared" si="3"/>
        <v>tier - 2</v>
      </c>
      <c r="M1850" s="9" t="str">
        <f t="shared" si="4"/>
        <v>tier - 1</v>
      </c>
      <c r="N1850" s="9" t="str">
        <f t="shared" si="5"/>
        <v>R1013</v>
      </c>
      <c r="O1850" s="17">
        <f t="shared" si="6"/>
        <v>43</v>
      </c>
      <c r="P1850" s="18">
        <v>29032.0</v>
      </c>
    </row>
    <row r="1851" ht="15.75" customHeight="1">
      <c r="A1851" s="9" t="s">
        <v>2875</v>
      </c>
      <c r="B1851" s="17">
        <v>1977.0</v>
      </c>
      <c r="C1851" s="9" t="s">
        <v>4725</v>
      </c>
      <c r="D1851" s="9">
        <v>1.0</v>
      </c>
      <c r="E1851" s="18">
        <f t="shared" si="1"/>
        <v>28460</v>
      </c>
      <c r="F1851" s="9">
        <v>0.0</v>
      </c>
      <c r="G1851" s="19">
        <v>7348.14</v>
      </c>
      <c r="H1851" s="9" t="s">
        <v>4723</v>
      </c>
      <c r="I1851" s="9" t="s">
        <v>4718</v>
      </c>
      <c r="J1851" s="9" t="s">
        <v>4719</v>
      </c>
      <c r="K1851" s="20">
        <f t="shared" si="2"/>
        <v>1977</v>
      </c>
      <c r="L1851" s="9" t="str">
        <f t="shared" si="3"/>
        <v>tier - 2</v>
      </c>
      <c r="M1851" s="9" t="str">
        <f t="shared" si="4"/>
        <v>tier - 1</v>
      </c>
      <c r="N1851" s="9" t="str">
        <f t="shared" si="5"/>
        <v>R1011</v>
      </c>
      <c r="O1851" s="17">
        <f t="shared" si="6"/>
        <v>45</v>
      </c>
      <c r="P1851" s="18">
        <v>28460.0</v>
      </c>
    </row>
    <row r="1852" ht="15.75" customHeight="1">
      <c r="A1852" s="9" t="s">
        <v>2873</v>
      </c>
      <c r="B1852" s="17">
        <v>1993.0</v>
      </c>
      <c r="C1852" s="9" t="s">
        <v>4720</v>
      </c>
      <c r="D1852" s="9">
        <v>5.0</v>
      </c>
      <c r="E1852" s="18">
        <f t="shared" si="1"/>
        <v>34247</v>
      </c>
      <c r="F1852" s="9">
        <v>0.0</v>
      </c>
      <c r="G1852" s="19">
        <v>7349.12</v>
      </c>
      <c r="H1852" s="9" t="s">
        <v>4723</v>
      </c>
      <c r="I1852" s="9" t="s">
        <v>4723</v>
      </c>
      <c r="J1852" s="9" t="s">
        <v>4751</v>
      </c>
      <c r="K1852" s="20">
        <f t="shared" si="2"/>
        <v>1993</v>
      </c>
      <c r="L1852" s="9" t="str">
        <f t="shared" si="3"/>
        <v>tier - 2</v>
      </c>
      <c r="M1852" s="9" t="str">
        <f t="shared" si="4"/>
        <v>tier - 2</v>
      </c>
      <c r="N1852" s="9" t="str">
        <f t="shared" si="5"/>
        <v>R1021</v>
      </c>
      <c r="O1852" s="17">
        <f t="shared" si="6"/>
        <v>29</v>
      </c>
      <c r="P1852" s="18">
        <v>34247.0</v>
      </c>
    </row>
    <row r="1853" ht="15.75" customHeight="1">
      <c r="A1853" s="9" t="s">
        <v>2871</v>
      </c>
      <c r="B1853" s="17">
        <v>1983.0</v>
      </c>
      <c r="C1853" s="9" t="s">
        <v>4730</v>
      </c>
      <c r="D1853" s="9">
        <v>21.0</v>
      </c>
      <c r="E1853" s="18">
        <f t="shared" si="1"/>
        <v>30488</v>
      </c>
      <c r="F1853" s="9">
        <v>3.0</v>
      </c>
      <c r="G1853" s="19">
        <v>7357.49</v>
      </c>
      <c r="H1853" s="9" t="s">
        <v>4723</v>
      </c>
      <c r="I1853" s="9" t="s">
        <v>4723</v>
      </c>
      <c r="J1853" s="9" t="s">
        <v>4733</v>
      </c>
      <c r="K1853" s="20">
        <f t="shared" si="2"/>
        <v>1983</v>
      </c>
      <c r="L1853" s="9" t="str">
        <f t="shared" si="3"/>
        <v>tier - 2</v>
      </c>
      <c r="M1853" s="9" t="str">
        <f t="shared" si="4"/>
        <v>tier - 2</v>
      </c>
      <c r="N1853" s="9" t="str">
        <f t="shared" si="5"/>
        <v>R1012</v>
      </c>
      <c r="O1853" s="17">
        <f t="shared" si="6"/>
        <v>39</v>
      </c>
      <c r="P1853" s="18">
        <v>30488.0</v>
      </c>
    </row>
    <row r="1854" ht="15.75" customHeight="1">
      <c r="A1854" s="9" t="s">
        <v>2869</v>
      </c>
      <c r="B1854" s="17">
        <v>1981.0</v>
      </c>
      <c r="C1854" s="9" t="s">
        <v>4741</v>
      </c>
      <c r="D1854" s="9">
        <v>16.0</v>
      </c>
      <c r="E1854" s="18">
        <f t="shared" si="1"/>
        <v>29783</v>
      </c>
      <c r="F1854" s="9">
        <v>1.0</v>
      </c>
      <c r="G1854" s="19">
        <v>7358.18</v>
      </c>
      <c r="H1854" s="9" t="s">
        <v>4723</v>
      </c>
      <c r="I1854" s="9" t="s">
        <v>4717</v>
      </c>
      <c r="J1854" s="9" t="s">
        <v>4731</v>
      </c>
      <c r="K1854" s="20">
        <f t="shared" si="2"/>
        <v>1981</v>
      </c>
      <c r="L1854" s="9" t="str">
        <f t="shared" si="3"/>
        <v>tier - 2</v>
      </c>
      <c r="M1854" s="9" t="str">
        <f t="shared" si="4"/>
        <v>tier - 3</v>
      </c>
      <c r="N1854" s="9" t="str">
        <f t="shared" si="5"/>
        <v>R1024</v>
      </c>
      <c r="O1854" s="17">
        <f t="shared" si="6"/>
        <v>41</v>
      </c>
      <c r="P1854" s="18">
        <v>29783.0</v>
      </c>
    </row>
    <row r="1855" ht="15.75" customHeight="1">
      <c r="A1855" s="9" t="s">
        <v>2867</v>
      </c>
      <c r="B1855" s="17">
        <v>1965.0</v>
      </c>
      <c r="C1855" s="9" t="s">
        <v>4725</v>
      </c>
      <c r="D1855" s="9">
        <v>9.0</v>
      </c>
      <c r="E1855" s="18">
        <f t="shared" si="1"/>
        <v>24085</v>
      </c>
      <c r="F1855" s="9">
        <v>0.0</v>
      </c>
      <c r="G1855" s="19">
        <v>7362.31</v>
      </c>
      <c r="H1855" s="9" t="s">
        <v>4717</v>
      </c>
      <c r="I1855" s="9" t="s">
        <v>4717</v>
      </c>
      <c r="J1855" s="9" t="s">
        <v>4743</v>
      </c>
      <c r="K1855" s="20">
        <f t="shared" si="2"/>
        <v>1965</v>
      </c>
      <c r="L1855" s="9" t="str">
        <f t="shared" si="3"/>
        <v>tier - 3</v>
      </c>
      <c r="M1855" s="9" t="str">
        <f t="shared" si="4"/>
        <v>tier - 3</v>
      </c>
      <c r="N1855" s="9" t="str">
        <f t="shared" si="5"/>
        <v>R1013</v>
      </c>
      <c r="O1855" s="17">
        <f t="shared" si="6"/>
        <v>57</v>
      </c>
      <c r="P1855" s="18">
        <v>24085.0</v>
      </c>
    </row>
    <row r="1856" ht="15.75" customHeight="1">
      <c r="A1856" s="9" t="s">
        <v>2865</v>
      </c>
      <c r="B1856" s="17">
        <v>1981.0</v>
      </c>
      <c r="C1856" s="9" t="s">
        <v>4735</v>
      </c>
      <c r="D1856" s="9">
        <v>24.0</v>
      </c>
      <c r="E1856" s="18">
        <f t="shared" si="1"/>
        <v>29914</v>
      </c>
      <c r="F1856" s="9">
        <v>2.0</v>
      </c>
      <c r="G1856" s="19">
        <v>7371.77</v>
      </c>
      <c r="H1856" s="9" t="s">
        <v>4723</v>
      </c>
      <c r="I1856" s="9" t="s">
        <v>4718</v>
      </c>
      <c r="J1856" s="9" t="s">
        <v>4719</v>
      </c>
      <c r="K1856" s="20">
        <f t="shared" si="2"/>
        <v>1981</v>
      </c>
      <c r="L1856" s="9" t="str">
        <f t="shared" si="3"/>
        <v>tier - 2</v>
      </c>
      <c r="M1856" s="9" t="str">
        <f t="shared" si="4"/>
        <v>tier - 1</v>
      </c>
      <c r="N1856" s="9" t="str">
        <f t="shared" si="5"/>
        <v>R1011</v>
      </c>
      <c r="O1856" s="17">
        <f t="shared" si="6"/>
        <v>41</v>
      </c>
      <c r="P1856" s="18">
        <v>29914.0</v>
      </c>
    </row>
    <row r="1857" ht="15.75" customHeight="1">
      <c r="A1857" s="9" t="s">
        <v>2863</v>
      </c>
      <c r="B1857" s="17">
        <v>1993.0</v>
      </c>
      <c r="C1857" s="9" t="s">
        <v>4741</v>
      </c>
      <c r="D1857" s="9">
        <v>22.0</v>
      </c>
      <c r="E1857" s="18">
        <f t="shared" si="1"/>
        <v>34172</v>
      </c>
      <c r="F1857" s="9">
        <v>0.0</v>
      </c>
      <c r="G1857" s="19">
        <v>7388.85</v>
      </c>
      <c r="H1857" s="9" t="s">
        <v>4723</v>
      </c>
      <c r="I1857" s="9" t="s">
        <v>4723</v>
      </c>
      <c r="J1857" s="9" t="s">
        <v>4721</v>
      </c>
      <c r="K1857" s="20">
        <f t="shared" si="2"/>
        <v>1993</v>
      </c>
      <c r="L1857" s="9" t="str">
        <f t="shared" si="3"/>
        <v>tier - 2</v>
      </c>
      <c r="M1857" s="9" t="str">
        <f t="shared" si="4"/>
        <v>tier - 2</v>
      </c>
      <c r="N1857" s="9" t="str">
        <f t="shared" si="5"/>
        <v>R1026</v>
      </c>
      <c r="O1857" s="17">
        <f t="shared" si="6"/>
        <v>29</v>
      </c>
      <c r="P1857" s="18">
        <v>34172.0</v>
      </c>
    </row>
    <row r="1858" ht="15.75" customHeight="1">
      <c r="A1858" s="9" t="s">
        <v>2861</v>
      </c>
      <c r="B1858" s="17">
        <v>1965.0</v>
      </c>
      <c r="C1858" s="9" t="s">
        <v>4725</v>
      </c>
      <c r="D1858" s="9">
        <v>5.0</v>
      </c>
      <c r="E1858" s="18">
        <f t="shared" si="1"/>
        <v>24081</v>
      </c>
      <c r="F1858" s="9">
        <v>0.0</v>
      </c>
      <c r="G1858" s="19">
        <v>7403.98</v>
      </c>
      <c r="H1858" s="9" t="s">
        <v>4717</v>
      </c>
      <c r="I1858" s="9" t="s">
        <v>4723</v>
      </c>
      <c r="J1858" s="9" t="s">
        <v>4743</v>
      </c>
      <c r="K1858" s="20">
        <f t="shared" si="2"/>
        <v>1965</v>
      </c>
      <c r="L1858" s="9" t="str">
        <f t="shared" si="3"/>
        <v>tier - 3</v>
      </c>
      <c r="M1858" s="9" t="str">
        <f t="shared" si="4"/>
        <v>tier - 2</v>
      </c>
      <c r="N1858" s="9" t="str">
        <f t="shared" si="5"/>
        <v>R1013</v>
      </c>
      <c r="O1858" s="17">
        <f t="shared" si="6"/>
        <v>57</v>
      </c>
      <c r="P1858" s="18">
        <v>24081.0</v>
      </c>
    </row>
    <row r="1859" ht="15.75" customHeight="1">
      <c r="A1859" s="9" t="s">
        <v>287</v>
      </c>
      <c r="B1859" s="17">
        <v>1999.0</v>
      </c>
      <c r="C1859" s="9" t="s">
        <v>4735</v>
      </c>
      <c r="D1859" s="9">
        <v>12.0</v>
      </c>
      <c r="E1859" s="18">
        <f t="shared" si="1"/>
        <v>36476</v>
      </c>
      <c r="F1859" s="9">
        <v>2.0</v>
      </c>
      <c r="G1859" s="19">
        <v>38511.63</v>
      </c>
      <c r="H1859" s="9" t="s">
        <v>4723</v>
      </c>
      <c r="I1859" s="9" t="s">
        <v>4723</v>
      </c>
      <c r="J1859" s="9" t="s">
        <v>4731</v>
      </c>
      <c r="K1859" s="20">
        <f t="shared" si="2"/>
        <v>1999</v>
      </c>
      <c r="L1859" s="9" t="str">
        <f t="shared" si="3"/>
        <v>tier - 2</v>
      </c>
      <c r="M1859" s="9" t="str">
        <f t="shared" si="4"/>
        <v>tier - 2</v>
      </c>
      <c r="N1859" s="9" t="str">
        <f t="shared" si="5"/>
        <v>R1024</v>
      </c>
      <c r="O1859" s="17">
        <f t="shared" si="6"/>
        <v>23</v>
      </c>
      <c r="P1859" s="18">
        <v>36476.0</v>
      </c>
    </row>
    <row r="1860" ht="15.75" customHeight="1">
      <c r="A1860" s="9" t="s">
        <v>2859</v>
      </c>
      <c r="B1860" s="17">
        <v>1983.0</v>
      </c>
      <c r="C1860" s="9" t="s">
        <v>4738</v>
      </c>
      <c r="D1860" s="9">
        <v>19.0</v>
      </c>
      <c r="E1860" s="18">
        <f t="shared" si="1"/>
        <v>30578</v>
      </c>
      <c r="F1860" s="9">
        <v>3.0</v>
      </c>
      <c r="G1860" s="19">
        <v>7418.52</v>
      </c>
      <c r="H1860" s="9" t="s">
        <v>4723</v>
      </c>
      <c r="I1860" s="9" t="s">
        <v>4723</v>
      </c>
      <c r="J1860" s="9" t="s">
        <v>4719</v>
      </c>
      <c r="K1860" s="20">
        <f t="shared" si="2"/>
        <v>1983</v>
      </c>
      <c r="L1860" s="9" t="str">
        <f t="shared" si="3"/>
        <v>tier - 2</v>
      </c>
      <c r="M1860" s="9" t="str">
        <f t="shared" si="4"/>
        <v>tier - 2</v>
      </c>
      <c r="N1860" s="9" t="str">
        <f t="shared" si="5"/>
        <v>R1011</v>
      </c>
      <c r="O1860" s="17">
        <f t="shared" si="6"/>
        <v>39</v>
      </c>
      <c r="P1860" s="18">
        <v>30578.0</v>
      </c>
    </row>
    <row r="1861" ht="15.75" customHeight="1">
      <c r="A1861" s="9" t="s">
        <v>2857</v>
      </c>
      <c r="B1861" s="17">
        <v>1978.0</v>
      </c>
      <c r="C1861" s="9" t="s">
        <v>4735</v>
      </c>
      <c r="D1861" s="9">
        <v>12.0</v>
      </c>
      <c r="E1861" s="18">
        <f t="shared" si="1"/>
        <v>28806</v>
      </c>
      <c r="F1861" s="9">
        <v>0.0</v>
      </c>
      <c r="G1861" s="19">
        <v>7419.48</v>
      </c>
      <c r="H1861" s="9" t="s">
        <v>4723</v>
      </c>
      <c r="I1861" s="9" t="s">
        <v>4723</v>
      </c>
      <c r="J1861" s="9" t="s">
        <v>4733</v>
      </c>
      <c r="K1861" s="20">
        <f t="shared" si="2"/>
        <v>1978</v>
      </c>
      <c r="L1861" s="9" t="str">
        <f t="shared" si="3"/>
        <v>tier - 2</v>
      </c>
      <c r="M1861" s="9" t="str">
        <f t="shared" si="4"/>
        <v>tier - 2</v>
      </c>
      <c r="N1861" s="9" t="str">
        <f t="shared" si="5"/>
        <v>R1012</v>
      </c>
      <c r="O1861" s="17">
        <f t="shared" si="6"/>
        <v>44</v>
      </c>
      <c r="P1861" s="18">
        <v>28806.0</v>
      </c>
    </row>
    <row r="1862" ht="15.75" customHeight="1">
      <c r="A1862" s="9" t="s">
        <v>2855</v>
      </c>
      <c r="B1862" s="17">
        <v>1978.0</v>
      </c>
      <c r="C1862" s="9" t="s">
        <v>4725</v>
      </c>
      <c r="D1862" s="9">
        <v>2.0</v>
      </c>
      <c r="E1862" s="18">
        <f t="shared" si="1"/>
        <v>28826</v>
      </c>
      <c r="F1862" s="9">
        <v>0.0</v>
      </c>
      <c r="G1862" s="19">
        <v>7421.19</v>
      </c>
      <c r="H1862" s="9" t="s">
        <v>4723</v>
      </c>
      <c r="I1862" s="9" t="s">
        <v>4717</v>
      </c>
      <c r="J1862" s="9" t="s">
        <v>4733</v>
      </c>
      <c r="K1862" s="20">
        <f t="shared" si="2"/>
        <v>1978</v>
      </c>
      <c r="L1862" s="9" t="str">
        <f t="shared" si="3"/>
        <v>tier - 2</v>
      </c>
      <c r="M1862" s="9" t="str">
        <f t="shared" si="4"/>
        <v>tier - 3</v>
      </c>
      <c r="N1862" s="9" t="str">
        <f t="shared" si="5"/>
        <v>R1012</v>
      </c>
      <c r="O1862" s="17">
        <f t="shared" si="6"/>
        <v>44</v>
      </c>
      <c r="P1862" s="18">
        <v>28826.0</v>
      </c>
    </row>
    <row r="1863" ht="15.75" customHeight="1">
      <c r="A1863" s="9" t="s">
        <v>2853</v>
      </c>
      <c r="B1863" s="17">
        <v>1977.0</v>
      </c>
      <c r="C1863" s="9" t="s">
        <v>4716</v>
      </c>
      <c r="D1863" s="9">
        <v>25.0</v>
      </c>
      <c r="E1863" s="18">
        <f t="shared" si="1"/>
        <v>28362</v>
      </c>
      <c r="F1863" s="9">
        <v>1.0</v>
      </c>
      <c r="G1863" s="19">
        <v>7441.05</v>
      </c>
      <c r="H1863" s="9" t="s">
        <v>4717</v>
      </c>
      <c r="I1863" s="9" t="s">
        <v>4723</v>
      </c>
      <c r="J1863" s="9" t="s">
        <v>4719</v>
      </c>
      <c r="K1863" s="20">
        <f t="shared" si="2"/>
        <v>1977</v>
      </c>
      <c r="L1863" s="9" t="str">
        <f t="shared" si="3"/>
        <v>tier - 3</v>
      </c>
      <c r="M1863" s="9" t="str">
        <f t="shared" si="4"/>
        <v>tier - 2</v>
      </c>
      <c r="N1863" s="9" t="str">
        <f t="shared" si="5"/>
        <v>R1011</v>
      </c>
      <c r="O1863" s="17">
        <f t="shared" si="6"/>
        <v>45</v>
      </c>
      <c r="P1863" s="18">
        <v>28362.0</v>
      </c>
    </row>
    <row r="1864" ht="15.75" customHeight="1">
      <c r="A1864" s="9" t="s">
        <v>2851</v>
      </c>
      <c r="B1864" s="17">
        <v>1979.0</v>
      </c>
      <c r="C1864" s="9" t="s">
        <v>4738</v>
      </c>
      <c r="D1864" s="9">
        <v>1.0</v>
      </c>
      <c r="E1864" s="18">
        <f t="shared" si="1"/>
        <v>29099</v>
      </c>
      <c r="F1864" s="9">
        <v>2.0</v>
      </c>
      <c r="G1864" s="19">
        <v>7441.5</v>
      </c>
      <c r="H1864" s="9" t="s">
        <v>4717</v>
      </c>
      <c r="I1864" s="9" t="s">
        <v>4723</v>
      </c>
      <c r="J1864" s="9" t="s">
        <v>4719</v>
      </c>
      <c r="K1864" s="20">
        <f t="shared" si="2"/>
        <v>1979</v>
      </c>
      <c r="L1864" s="9" t="str">
        <f t="shared" si="3"/>
        <v>tier - 3</v>
      </c>
      <c r="M1864" s="9" t="str">
        <f t="shared" si="4"/>
        <v>tier - 2</v>
      </c>
      <c r="N1864" s="9" t="str">
        <f t="shared" si="5"/>
        <v>R1011</v>
      </c>
      <c r="O1864" s="17">
        <f t="shared" si="6"/>
        <v>43</v>
      </c>
      <c r="P1864" s="18">
        <v>29099.0</v>
      </c>
    </row>
    <row r="1865" ht="15.75" customHeight="1">
      <c r="A1865" s="9" t="s">
        <v>2849</v>
      </c>
      <c r="B1865" s="17">
        <v>1980.0</v>
      </c>
      <c r="C1865" s="9" t="s">
        <v>4741</v>
      </c>
      <c r="D1865" s="9">
        <v>7.0</v>
      </c>
      <c r="E1865" s="18">
        <f t="shared" si="1"/>
        <v>29409</v>
      </c>
      <c r="F1865" s="9">
        <v>1.0</v>
      </c>
      <c r="G1865" s="19">
        <v>7443.64</v>
      </c>
      <c r="H1865" s="9" t="s">
        <v>4723</v>
      </c>
      <c r="I1865" s="9" t="s">
        <v>4717</v>
      </c>
      <c r="J1865" s="9" t="s">
        <v>4733</v>
      </c>
      <c r="K1865" s="20">
        <f t="shared" si="2"/>
        <v>1980</v>
      </c>
      <c r="L1865" s="9" t="str">
        <f t="shared" si="3"/>
        <v>tier - 2</v>
      </c>
      <c r="M1865" s="9" t="str">
        <f t="shared" si="4"/>
        <v>tier - 3</v>
      </c>
      <c r="N1865" s="9" t="str">
        <f t="shared" si="5"/>
        <v>R1012</v>
      </c>
      <c r="O1865" s="17">
        <f t="shared" si="6"/>
        <v>42</v>
      </c>
      <c r="P1865" s="18">
        <v>29409.0</v>
      </c>
    </row>
    <row r="1866" ht="15.75" customHeight="1">
      <c r="A1866" s="9" t="s">
        <v>2847</v>
      </c>
      <c r="B1866" s="17">
        <v>1977.0</v>
      </c>
      <c r="C1866" s="9" t="s">
        <v>4738</v>
      </c>
      <c r="D1866" s="9">
        <v>25.0</v>
      </c>
      <c r="E1866" s="18">
        <f t="shared" si="1"/>
        <v>28393</v>
      </c>
      <c r="F1866" s="9">
        <v>1.0</v>
      </c>
      <c r="G1866" s="19">
        <v>7445.92</v>
      </c>
      <c r="H1866" s="9" t="s">
        <v>4717</v>
      </c>
      <c r="I1866" s="9" t="s">
        <v>4718</v>
      </c>
      <c r="J1866" s="9" t="s">
        <v>4719</v>
      </c>
      <c r="K1866" s="20">
        <f t="shared" si="2"/>
        <v>1977</v>
      </c>
      <c r="L1866" s="9" t="str">
        <f t="shared" si="3"/>
        <v>tier - 3</v>
      </c>
      <c r="M1866" s="9" t="str">
        <f t="shared" si="4"/>
        <v>tier - 1</v>
      </c>
      <c r="N1866" s="9" t="str">
        <f t="shared" si="5"/>
        <v>R1011</v>
      </c>
      <c r="O1866" s="17">
        <f t="shared" si="6"/>
        <v>45</v>
      </c>
      <c r="P1866" s="18">
        <v>28393.0</v>
      </c>
    </row>
    <row r="1867" ht="15.75" customHeight="1">
      <c r="A1867" s="9" t="s">
        <v>2845</v>
      </c>
      <c r="B1867" s="17">
        <v>1977.0</v>
      </c>
      <c r="C1867" s="9" t="s">
        <v>4738</v>
      </c>
      <c r="D1867" s="9">
        <v>30.0</v>
      </c>
      <c r="E1867" s="18">
        <f t="shared" si="1"/>
        <v>28398</v>
      </c>
      <c r="F1867" s="9">
        <v>0.0</v>
      </c>
      <c r="G1867" s="19">
        <v>7448.4</v>
      </c>
      <c r="H1867" s="9" t="s">
        <v>4717</v>
      </c>
      <c r="I1867" s="9" t="s">
        <v>4717</v>
      </c>
      <c r="J1867" s="9" t="s">
        <v>4753</v>
      </c>
      <c r="K1867" s="20">
        <f t="shared" si="2"/>
        <v>1977</v>
      </c>
      <c r="L1867" s="9" t="str">
        <f t="shared" si="3"/>
        <v>tier - 3</v>
      </c>
      <c r="M1867" s="9" t="str">
        <f t="shared" si="4"/>
        <v>tier - 3</v>
      </c>
      <c r="N1867" s="9" t="str">
        <f t="shared" si="5"/>
        <v>R1017</v>
      </c>
      <c r="O1867" s="17">
        <f t="shared" si="6"/>
        <v>45</v>
      </c>
      <c r="P1867" s="18">
        <v>28398.0</v>
      </c>
    </row>
    <row r="1868" ht="15.75" customHeight="1">
      <c r="A1868" s="9" t="s">
        <v>2843</v>
      </c>
      <c r="B1868" s="17">
        <v>2001.0</v>
      </c>
      <c r="C1868" s="9" t="s">
        <v>4730</v>
      </c>
      <c r="D1868" s="9">
        <v>1.0</v>
      </c>
      <c r="E1868" s="18">
        <f t="shared" si="1"/>
        <v>37043</v>
      </c>
      <c r="F1868" s="9">
        <v>0.0</v>
      </c>
      <c r="G1868" s="19">
        <v>7450.36</v>
      </c>
      <c r="H1868" s="9" t="s">
        <v>4723</v>
      </c>
      <c r="I1868" s="9" t="s">
        <v>4723</v>
      </c>
      <c r="J1868" s="9" t="s">
        <v>4733</v>
      </c>
      <c r="K1868" s="20">
        <f t="shared" si="2"/>
        <v>2001</v>
      </c>
      <c r="L1868" s="9" t="str">
        <f t="shared" si="3"/>
        <v>tier - 2</v>
      </c>
      <c r="M1868" s="9" t="str">
        <f t="shared" si="4"/>
        <v>tier - 2</v>
      </c>
      <c r="N1868" s="9" t="str">
        <f t="shared" si="5"/>
        <v>R1012</v>
      </c>
      <c r="O1868" s="17">
        <f t="shared" si="6"/>
        <v>22</v>
      </c>
      <c r="P1868" s="18">
        <v>37043.0</v>
      </c>
    </row>
    <row r="1869" ht="15.75" customHeight="1">
      <c r="A1869" s="9" t="s">
        <v>2841</v>
      </c>
      <c r="B1869" s="17">
        <v>1967.0</v>
      </c>
      <c r="C1869" s="9" t="s">
        <v>4716</v>
      </c>
      <c r="D1869" s="9">
        <v>4.0</v>
      </c>
      <c r="E1869" s="18">
        <f t="shared" si="1"/>
        <v>24688</v>
      </c>
      <c r="F1869" s="9">
        <v>0.0</v>
      </c>
      <c r="G1869" s="19">
        <v>7463.51</v>
      </c>
      <c r="H1869" s="9" t="s">
        <v>4717</v>
      </c>
      <c r="I1869" s="9" t="s">
        <v>4717</v>
      </c>
      <c r="J1869" s="9" t="s">
        <v>4743</v>
      </c>
      <c r="K1869" s="20">
        <f t="shared" si="2"/>
        <v>1967</v>
      </c>
      <c r="L1869" s="9" t="str">
        <f t="shared" si="3"/>
        <v>tier - 3</v>
      </c>
      <c r="M1869" s="9" t="str">
        <f t="shared" si="4"/>
        <v>tier - 3</v>
      </c>
      <c r="N1869" s="9" t="str">
        <f t="shared" si="5"/>
        <v>R1013</v>
      </c>
      <c r="O1869" s="17">
        <f t="shared" si="6"/>
        <v>55</v>
      </c>
      <c r="P1869" s="18">
        <v>24688.0</v>
      </c>
    </row>
    <row r="1870" ht="15.75" customHeight="1">
      <c r="A1870" s="9" t="s">
        <v>285</v>
      </c>
      <c r="B1870" s="17">
        <v>1990.0</v>
      </c>
      <c r="C1870" s="9" t="s">
        <v>4741</v>
      </c>
      <c r="D1870" s="9">
        <v>13.0</v>
      </c>
      <c r="E1870" s="18">
        <f t="shared" si="1"/>
        <v>33067</v>
      </c>
      <c r="F1870" s="9">
        <v>3.0</v>
      </c>
      <c r="G1870" s="19">
        <v>38652.09</v>
      </c>
      <c r="H1870" s="9" t="s">
        <v>4723</v>
      </c>
      <c r="I1870" s="9" t="s">
        <v>4723</v>
      </c>
      <c r="J1870" s="9" t="s">
        <v>4719</v>
      </c>
      <c r="K1870" s="20">
        <f t="shared" si="2"/>
        <v>1990</v>
      </c>
      <c r="L1870" s="9" t="str">
        <f t="shared" si="3"/>
        <v>tier - 2</v>
      </c>
      <c r="M1870" s="9" t="str">
        <f t="shared" si="4"/>
        <v>tier - 2</v>
      </c>
      <c r="N1870" s="9" t="str">
        <f t="shared" si="5"/>
        <v>R1011</v>
      </c>
      <c r="O1870" s="17">
        <f t="shared" si="6"/>
        <v>32</v>
      </c>
      <c r="P1870" s="18">
        <v>33067.0</v>
      </c>
    </row>
    <row r="1871" ht="15.75" customHeight="1">
      <c r="A1871" s="9" t="s">
        <v>2839</v>
      </c>
      <c r="B1871" s="17">
        <v>1996.0</v>
      </c>
      <c r="C1871" s="9" t="s">
        <v>4730</v>
      </c>
      <c r="D1871" s="9">
        <v>14.0</v>
      </c>
      <c r="E1871" s="18">
        <f t="shared" si="1"/>
        <v>35230</v>
      </c>
      <c r="F1871" s="9">
        <v>0.0</v>
      </c>
      <c r="G1871" s="19">
        <v>7487.38</v>
      </c>
      <c r="H1871" s="9" t="s">
        <v>4723</v>
      </c>
      <c r="I1871" s="9" t="s">
        <v>4717</v>
      </c>
      <c r="J1871" s="9" t="s">
        <v>4733</v>
      </c>
      <c r="K1871" s="20">
        <f t="shared" si="2"/>
        <v>1996</v>
      </c>
      <c r="L1871" s="9" t="str">
        <f t="shared" si="3"/>
        <v>tier - 2</v>
      </c>
      <c r="M1871" s="9" t="str">
        <f t="shared" si="4"/>
        <v>tier - 3</v>
      </c>
      <c r="N1871" s="9" t="str">
        <f t="shared" si="5"/>
        <v>R1012</v>
      </c>
      <c r="O1871" s="17">
        <f t="shared" si="6"/>
        <v>26</v>
      </c>
      <c r="P1871" s="18">
        <v>35230.0</v>
      </c>
    </row>
    <row r="1872" ht="15.75" customHeight="1">
      <c r="A1872" s="9" t="s">
        <v>2837</v>
      </c>
      <c r="B1872" s="17">
        <v>1988.0</v>
      </c>
      <c r="C1872" s="9" t="s">
        <v>4725</v>
      </c>
      <c r="D1872" s="9">
        <v>15.0</v>
      </c>
      <c r="E1872" s="18">
        <f t="shared" si="1"/>
        <v>32492</v>
      </c>
      <c r="F1872" s="9">
        <v>3.0</v>
      </c>
      <c r="G1872" s="19">
        <v>7494.63</v>
      </c>
      <c r="H1872" s="9" t="s">
        <v>4723</v>
      </c>
      <c r="I1872" s="9" t="s">
        <v>4717</v>
      </c>
      <c r="J1872" s="9" t="s">
        <v>4726</v>
      </c>
      <c r="K1872" s="20">
        <f t="shared" si="2"/>
        <v>1988</v>
      </c>
      <c r="L1872" s="9" t="str">
        <f t="shared" si="3"/>
        <v>tier - 2</v>
      </c>
      <c r="M1872" s="9" t="str">
        <f t="shared" si="4"/>
        <v>tier - 3</v>
      </c>
      <c r="N1872" s="9" t="str">
        <f t="shared" si="5"/>
        <v>R1025</v>
      </c>
      <c r="O1872" s="17">
        <f t="shared" si="6"/>
        <v>34</v>
      </c>
      <c r="P1872" s="18">
        <v>32492.0</v>
      </c>
    </row>
    <row r="1873" ht="15.75" customHeight="1">
      <c r="A1873" s="9" t="s">
        <v>2835</v>
      </c>
      <c r="B1873" s="17">
        <v>1997.0</v>
      </c>
      <c r="C1873" s="9" t="s">
        <v>4720</v>
      </c>
      <c r="D1873" s="9">
        <v>28.0</v>
      </c>
      <c r="E1873" s="18">
        <f t="shared" si="1"/>
        <v>35731</v>
      </c>
      <c r="F1873" s="9">
        <v>0.0</v>
      </c>
      <c r="G1873" s="19">
        <v>7504.3</v>
      </c>
      <c r="H1873" s="9" t="s">
        <v>4723</v>
      </c>
      <c r="I1873" s="9" t="s">
        <v>4718</v>
      </c>
      <c r="J1873" s="9" t="s">
        <v>4733</v>
      </c>
      <c r="K1873" s="20">
        <f t="shared" si="2"/>
        <v>1997</v>
      </c>
      <c r="L1873" s="9" t="str">
        <f t="shared" si="3"/>
        <v>tier - 2</v>
      </c>
      <c r="M1873" s="9" t="str">
        <f t="shared" si="4"/>
        <v>tier - 1</v>
      </c>
      <c r="N1873" s="9" t="str">
        <f t="shared" si="5"/>
        <v>R1012</v>
      </c>
      <c r="O1873" s="17">
        <f t="shared" si="6"/>
        <v>25</v>
      </c>
      <c r="P1873" s="18">
        <v>35731.0</v>
      </c>
    </row>
    <row r="1874" ht="15.75" customHeight="1">
      <c r="A1874" s="9" t="s">
        <v>2833</v>
      </c>
      <c r="B1874" s="17">
        <v>1983.0</v>
      </c>
      <c r="C1874" s="9" t="s">
        <v>4741</v>
      </c>
      <c r="D1874" s="9">
        <v>10.0</v>
      </c>
      <c r="E1874" s="18">
        <f t="shared" si="1"/>
        <v>30507</v>
      </c>
      <c r="F1874" s="9">
        <v>4.0</v>
      </c>
      <c r="G1874" s="19">
        <v>7512.27</v>
      </c>
      <c r="H1874" s="9" t="s">
        <v>4717</v>
      </c>
      <c r="I1874" s="9" t="s">
        <v>4723</v>
      </c>
      <c r="J1874" s="9" t="s">
        <v>4719</v>
      </c>
      <c r="K1874" s="20">
        <f t="shared" si="2"/>
        <v>1983</v>
      </c>
      <c r="L1874" s="9" t="str">
        <f t="shared" si="3"/>
        <v>tier - 3</v>
      </c>
      <c r="M1874" s="9" t="str">
        <f t="shared" si="4"/>
        <v>tier - 2</v>
      </c>
      <c r="N1874" s="9" t="str">
        <f t="shared" si="5"/>
        <v>R1011</v>
      </c>
      <c r="O1874" s="17">
        <f t="shared" si="6"/>
        <v>39</v>
      </c>
      <c r="P1874" s="18">
        <v>30507.0</v>
      </c>
    </row>
    <row r="1875" ht="15.75" customHeight="1">
      <c r="A1875" s="9" t="s">
        <v>2831</v>
      </c>
      <c r="B1875" s="17">
        <v>1978.0</v>
      </c>
      <c r="C1875" s="9" t="s">
        <v>4720</v>
      </c>
      <c r="D1875" s="9">
        <v>18.0</v>
      </c>
      <c r="E1875" s="18">
        <f t="shared" si="1"/>
        <v>28781</v>
      </c>
      <c r="F1875" s="9">
        <v>1.0</v>
      </c>
      <c r="G1875" s="19">
        <v>7518.03</v>
      </c>
      <c r="H1875" s="9" t="s">
        <v>4723</v>
      </c>
      <c r="I1875" s="9" t="s">
        <v>4717</v>
      </c>
      <c r="J1875" s="9" t="s">
        <v>4733</v>
      </c>
      <c r="K1875" s="20">
        <f t="shared" si="2"/>
        <v>1978</v>
      </c>
      <c r="L1875" s="9" t="str">
        <f t="shared" si="3"/>
        <v>tier - 2</v>
      </c>
      <c r="M1875" s="9" t="str">
        <f t="shared" si="4"/>
        <v>tier - 3</v>
      </c>
      <c r="N1875" s="9" t="str">
        <f t="shared" si="5"/>
        <v>R1012</v>
      </c>
      <c r="O1875" s="17">
        <f t="shared" si="6"/>
        <v>44</v>
      </c>
      <c r="P1875" s="18">
        <v>28781.0</v>
      </c>
    </row>
    <row r="1876" ht="15.75" customHeight="1">
      <c r="A1876" s="9" t="s">
        <v>2829</v>
      </c>
      <c r="B1876" s="17">
        <v>1976.0</v>
      </c>
      <c r="C1876" s="9" t="s">
        <v>4720</v>
      </c>
      <c r="D1876" s="9">
        <v>10.0</v>
      </c>
      <c r="E1876" s="18">
        <f t="shared" si="1"/>
        <v>28043</v>
      </c>
      <c r="F1876" s="9">
        <v>0.0</v>
      </c>
      <c r="G1876" s="19">
        <v>7526.71</v>
      </c>
      <c r="H1876" s="9" t="s">
        <v>4717</v>
      </c>
      <c r="I1876" s="9" t="s">
        <v>4718</v>
      </c>
      <c r="J1876" s="9" t="s">
        <v>4733</v>
      </c>
      <c r="K1876" s="20">
        <f t="shared" si="2"/>
        <v>1976</v>
      </c>
      <c r="L1876" s="9" t="str">
        <f t="shared" si="3"/>
        <v>tier - 3</v>
      </c>
      <c r="M1876" s="9" t="str">
        <f t="shared" si="4"/>
        <v>tier - 1</v>
      </c>
      <c r="N1876" s="9" t="str">
        <f t="shared" si="5"/>
        <v>R1012</v>
      </c>
      <c r="O1876" s="17">
        <f t="shared" si="6"/>
        <v>46</v>
      </c>
      <c r="P1876" s="18">
        <v>28043.0</v>
      </c>
    </row>
    <row r="1877" ht="15.75" customHeight="1">
      <c r="A1877" s="9" t="s">
        <v>2827</v>
      </c>
      <c r="B1877" s="17">
        <v>1978.0</v>
      </c>
      <c r="C1877" s="9" t="s">
        <v>4725</v>
      </c>
      <c r="D1877" s="9">
        <v>14.0</v>
      </c>
      <c r="E1877" s="18">
        <f t="shared" si="1"/>
        <v>28838</v>
      </c>
      <c r="F1877" s="9">
        <v>2.0</v>
      </c>
      <c r="G1877" s="19">
        <v>7531.7</v>
      </c>
      <c r="H1877" s="9" t="s">
        <v>4723</v>
      </c>
      <c r="I1877" s="9" t="s">
        <v>4718</v>
      </c>
      <c r="J1877" s="9" t="s">
        <v>4743</v>
      </c>
      <c r="K1877" s="20">
        <f t="shared" si="2"/>
        <v>1978</v>
      </c>
      <c r="L1877" s="9" t="str">
        <f t="shared" si="3"/>
        <v>tier - 2</v>
      </c>
      <c r="M1877" s="9" t="str">
        <f t="shared" si="4"/>
        <v>tier - 1</v>
      </c>
      <c r="N1877" s="9" t="str">
        <f t="shared" si="5"/>
        <v>R1013</v>
      </c>
      <c r="O1877" s="17">
        <f t="shared" si="6"/>
        <v>44</v>
      </c>
      <c r="P1877" s="18">
        <v>28838.0</v>
      </c>
    </row>
    <row r="1878" ht="15.75" customHeight="1">
      <c r="A1878" s="9" t="s">
        <v>2825</v>
      </c>
      <c r="B1878" s="17">
        <v>1984.0</v>
      </c>
      <c r="C1878" s="9" t="s">
        <v>4716</v>
      </c>
      <c r="D1878" s="9">
        <v>22.0</v>
      </c>
      <c r="E1878" s="18">
        <f t="shared" si="1"/>
        <v>30916</v>
      </c>
      <c r="F1878" s="9">
        <v>3.0</v>
      </c>
      <c r="G1878" s="19">
        <v>7537.16</v>
      </c>
      <c r="H1878" s="9" t="s">
        <v>4723</v>
      </c>
      <c r="I1878" s="9" t="s">
        <v>4723</v>
      </c>
      <c r="J1878" s="9" t="s">
        <v>4733</v>
      </c>
      <c r="K1878" s="20">
        <f t="shared" si="2"/>
        <v>1984</v>
      </c>
      <c r="L1878" s="9" t="str">
        <f t="shared" si="3"/>
        <v>tier - 2</v>
      </c>
      <c r="M1878" s="9" t="str">
        <f t="shared" si="4"/>
        <v>tier - 2</v>
      </c>
      <c r="N1878" s="9" t="str">
        <f t="shared" si="5"/>
        <v>R1012</v>
      </c>
      <c r="O1878" s="17">
        <f t="shared" si="6"/>
        <v>38</v>
      </c>
      <c r="P1878" s="18">
        <v>30916.0</v>
      </c>
    </row>
    <row r="1879" ht="15.75" customHeight="1">
      <c r="A1879" s="9" t="s">
        <v>2823</v>
      </c>
      <c r="B1879" s="17">
        <v>1988.0</v>
      </c>
      <c r="C1879" s="9" t="s">
        <v>4725</v>
      </c>
      <c r="D1879" s="9">
        <v>15.0</v>
      </c>
      <c r="E1879" s="18">
        <f t="shared" si="1"/>
        <v>32492</v>
      </c>
      <c r="F1879" s="9">
        <v>3.0</v>
      </c>
      <c r="G1879" s="19">
        <v>7538.52</v>
      </c>
      <c r="H1879" s="9" t="s">
        <v>4723</v>
      </c>
      <c r="I1879" s="9" t="s">
        <v>4723</v>
      </c>
      <c r="J1879" s="9" t="s">
        <v>4733</v>
      </c>
      <c r="K1879" s="20">
        <f t="shared" si="2"/>
        <v>1988</v>
      </c>
      <c r="L1879" s="9" t="str">
        <f t="shared" si="3"/>
        <v>tier - 2</v>
      </c>
      <c r="M1879" s="9" t="str">
        <f t="shared" si="4"/>
        <v>tier - 2</v>
      </c>
      <c r="N1879" s="9" t="str">
        <f t="shared" si="5"/>
        <v>R1012</v>
      </c>
      <c r="O1879" s="17">
        <f t="shared" si="6"/>
        <v>34</v>
      </c>
      <c r="P1879" s="18">
        <v>32492.0</v>
      </c>
    </row>
    <row r="1880" ht="15.75" customHeight="1">
      <c r="A1880" s="9" t="s">
        <v>2821</v>
      </c>
      <c r="B1880" s="17">
        <v>1994.0</v>
      </c>
      <c r="C1880" s="9" t="s">
        <v>4716</v>
      </c>
      <c r="D1880" s="9">
        <v>14.0</v>
      </c>
      <c r="E1880" s="18">
        <f t="shared" si="1"/>
        <v>34560</v>
      </c>
      <c r="F1880" s="9">
        <v>0.0</v>
      </c>
      <c r="G1880" s="19">
        <v>7567.13</v>
      </c>
      <c r="H1880" s="9" t="s">
        <v>4723</v>
      </c>
      <c r="I1880" s="9" t="s">
        <v>4723</v>
      </c>
      <c r="J1880" s="9" t="s">
        <v>4751</v>
      </c>
      <c r="K1880" s="20">
        <f t="shared" si="2"/>
        <v>1994</v>
      </c>
      <c r="L1880" s="9" t="str">
        <f t="shared" si="3"/>
        <v>tier - 2</v>
      </c>
      <c r="M1880" s="9" t="str">
        <f t="shared" si="4"/>
        <v>tier - 2</v>
      </c>
      <c r="N1880" s="9" t="str">
        <f t="shared" si="5"/>
        <v>R1021</v>
      </c>
      <c r="O1880" s="17">
        <f t="shared" si="6"/>
        <v>28</v>
      </c>
      <c r="P1880" s="18">
        <v>34560.0</v>
      </c>
    </row>
    <row r="1881" ht="15.75" customHeight="1">
      <c r="A1881" s="9" t="s">
        <v>283</v>
      </c>
      <c r="B1881" s="17">
        <v>1986.0</v>
      </c>
      <c r="C1881" s="9" t="s">
        <v>4741</v>
      </c>
      <c r="D1881" s="9">
        <v>20.0</v>
      </c>
      <c r="E1881" s="18">
        <f t="shared" si="1"/>
        <v>31613</v>
      </c>
      <c r="F1881" s="9">
        <v>1.0</v>
      </c>
      <c r="G1881" s="19">
        <v>38709.18</v>
      </c>
      <c r="H1881" s="9" t="s">
        <v>4718</v>
      </c>
      <c r="I1881" s="9" t="s">
        <v>4717</v>
      </c>
      <c r="J1881" s="9" t="s">
        <v>4743</v>
      </c>
      <c r="K1881" s="20">
        <f t="shared" si="2"/>
        <v>1986</v>
      </c>
      <c r="L1881" s="9" t="str">
        <f t="shared" si="3"/>
        <v>tier - 1</v>
      </c>
      <c r="M1881" s="9" t="str">
        <f t="shared" si="4"/>
        <v>tier - 3</v>
      </c>
      <c r="N1881" s="9" t="str">
        <f t="shared" si="5"/>
        <v>R1013</v>
      </c>
      <c r="O1881" s="17">
        <f t="shared" si="6"/>
        <v>36</v>
      </c>
      <c r="P1881" s="18">
        <v>31613.0</v>
      </c>
    </row>
    <row r="1882" ht="15.75" customHeight="1">
      <c r="A1882" s="9" t="s">
        <v>2819</v>
      </c>
      <c r="B1882" s="17">
        <v>1967.0</v>
      </c>
      <c r="C1882" s="9" t="s">
        <v>4741</v>
      </c>
      <c r="D1882" s="9">
        <v>17.0</v>
      </c>
      <c r="E1882" s="18">
        <f t="shared" si="1"/>
        <v>24670</v>
      </c>
      <c r="F1882" s="9">
        <v>0.0</v>
      </c>
      <c r="G1882" s="19">
        <v>7585.62</v>
      </c>
      <c r="H1882" s="9" t="s">
        <v>4717</v>
      </c>
      <c r="I1882" s="9" t="s">
        <v>4723</v>
      </c>
      <c r="J1882" s="9" t="s">
        <v>4743</v>
      </c>
      <c r="K1882" s="20">
        <f t="shared" si="2"/>
        <v>1967</v>
      </c>
      <c r="L1882" s="9" t="str">
        <f t="shared" si="3"/>
        <v>tier - 3</v>
      </c>
      <c r="M1882" s="9" t="str">
        <f t="shared" si="4"/>
        <v>tier - 2</v>
      </c>
      <c r="N1882" s="9" t="str">
        <f t="shared" si="5"/>
        <v>R1013</v>
      </c>
      <c r="O1882" s="17">
        <f t="shared" si="6"/>
        <v>55</v>
      </c>
      <c r="P1882" s="18">
        <v>24670.0</v>
      </c>
    </row>
    <row r="1883" ht="15.75" customHeight="1">
      <c r="A1883" s="9" t="s">
        <v>2817</v>
      </c>
      <c r="B1883" s="17">
        <v>1997.0</v>
      </c>
      <c r="C1883" s="9" t="s">
        <v>4738</v>
      </c>
      <c r="D1883" s="9">
        <v>30.0</v>
      </c>
      <c r="E1883" s="18">
        <f t="shared" si="1"/>
        <v>35703</v>
      </c>
      <c r="F1883" s="9">
        <v>0.0</v>
      </c>
      <c r="G1883" s="19">
        <v>7607.03</v>
      </c>
      <c r="H1883" s="9" t="s">
        <v>4723</v>
      </c>
      <c r="I1883" s="9" t="s">
        <v>4723</v>
      </c>
      <c r="J1883" s="9" t="s">
        <v>4733</v>
      </c>
      <c r="K1883" s="20">
        <f t="shared" si="2"/>
        <v>1997</v>
      </c>
      <c r="L1883" s="9" t="str">
        <f t="shared" si="3"/>
        <v>tier - 2</v>
      </c>
      <c r="M1883" s="9" t="str">
        <f t="shared" si="4"/>
        <v>tier - 2</v>
      </c>
      <c r="N1883" s="9" t="str">
        <f t="shared" si="5"/>
        <v>R1012</v>
      </c>
      <c r="O1883" s="17">
        <f t="shared" si="6"/>
        <v>25</v>
      </c>
      <c r="P1883" s="18">
        <v>35703.0</v>
      </c>
    </row>
    <row r="1884" ht="15.75" customHeight="1">
      <c r="A1884" s="9" t="s">
        <v>2815</v>
      </c>
      <c r="B1884" s="17">
        <v>1968.0</v>
      </c>
      <c r="C1884" s="9" t="s">
        <v>4741</v>
      </c>
      <c r="D1884" s="9">
        <v>3.0</v>
      </c>
      <c r="E1884" s="18">
        <f t="shared" si="1"/>
        <v>25022</v>
      </c>
      <c r="F1884" s="9">
        <v>0.0</v>
      </c>
      <c r="G1884" s="19">
        <v>7609.6</v>
      </c>
      <c r="H1884" s="9" t="s">
        <v>4717</v>
      </c>
      <c r="I1884" s="9" t="s">
        <v>4723</v>
      </c>
      <c r="J1884" s="9" t="s">
        <v>4733</v>
      </c>
      <c r="K1884" s="20">
        <f t="shared" si="2"/>
        <v>1968</v>
      </c>
      <c r="L1884" s="9" t="str">
        <f t="shared" si="3"/>
        <v>tier - 3</v>
      </c>
      <c r="M1884" s="9" t="str">
        <f t="shared" si="4"/>
        <v>tier - 2</v>
      </c>
      <c r="N1884" s="9" t="str">
        <f t="shared" si="5"/>
        <v>R1012</v>
      </c>
      <c r="O1884" s="17">
        <f t="shared" si="6"/>
        <v>54</v>
      </c>
      <c r="P1884" s="18">
        <v>25022.0</v>
      </c>
    </row>
    <row r="1885" ht="15.75" customHeight="1">
      <c r="A1885" s="9" t="s">
        <v>2813</v>
      </c>
      <c r="B1885" s="17">
        <v>1996.0</v>
      </c>
      <c r="C1885" s="9" t="s">
        <v>4738</v>
      </c>
      <c r="D1885" s="9">
        <v>17.0</v>
      </c>
      <c r="E1885" s="18">
        <f t="shared" si="1"/>
        <v>35325</v>
      </c>
      <c r="F1885" s="9">
        <v>0.0</v>
      </c>
      <c r="G1885" s="19">
        <v>7623.13</v>
      </c>
      <c r="H1885" s="9" t="s">
        <v>4723</v>
      </c>
      <c r="I1885" s="9" t="s">
        <v>4717</v>
      </c>
      <c r="J1885" s="9" t="s">
        <v>4719</v>
      </c>
      <c r="K1885" s="20">
        <f t="shared" si="2"/>
        <v>1996</v>
      </c>
      <c r="L1885" s="9" t="str">
        <f t="shared" si="3"/>
        <v>tier - 2</v>
      </c>
      <c r="M1885" s="9" t="str">
        <f t="shared" si="4"/>
        <v>tier - 3</v>
      </c>
      <c r="N1885" s="9" t="str">
        <f t="shared" si="5"/>
        <v>R1011</v>
      </c>
      <c r="O1885" s="17">
        <f t="shared" si="6"/>
        <v>26</v>
      </c>
      <c r="P1885" s="18">
        <v>35325.0</v>
      </c>
    </row>
    <row r="1886" ht="15.75" customHeight="1">
      <c r="A1886" s="9" t="s">
        <v>2811</v>
      </c>
      <c r="B1886" s="17">
        <v>1978.0</v>
      </c>
      <c r="C1886" s="9" t="s">
        <v>4735</v>
      </c>
      <c r="D1886" s="9">
        <v>28.0</v>
      </c>
      <c r="E1886" s="18">
        <f t="shared" si="1"/>
        <v>28822</v>
      </c>
      <c r="F1886" s="9">
        <v>1.0</v>
      </c>
      <c r="G1886" s="19">
        <v>7623.52</v>
      </c>
      <c r="H1886" s="9" t="s">
        <v>4723</v>
      </c>
      <c r="I1886" s="9" t="s">
        <v>4718</v>
      </c>
      <c r="J1886" s="9" t="s">
        <v>4719</v>
      </c>
      <c r="K1886" s="20">
        <f t="shared" si="2"/>
        <v>1978</v>
      </c>
      <c r="L1886" s="9" t="str">
        <f t="shared" si="3"/>
        <v>tier - 2</v>
      </c>
      <c r="M1886" s="9" t="str">
        <f t="shared" si="4"/>
        <v>tier - 1</v>
      </c>
      <c r="N1886" s="9" t="str">
        <f t="shared" si="5"/>
        <v>R1011</v>
      </c>
      <c r="O1886" s="17">
        <f t="shared" si="6"/>
        <v>44</v>
      </c>
      <c r="P1886" s="18">
        <v>28822.0</v>
      </c>
    </row>
    <row r="1887" ht="15.75" customHeight="1">
      <c r="A1887" s="9" t="s">
        <v>2809</v>
      </c>
      <c r="B1887" s="17">
        <v>1978.0</v>
      </c>
      <c r="C1887" s="9" t="s">
        <v>4735</v>
      </c>
      <c r="D1887" s="9">
        <v>6.0</v>
      </c>
      <c r="E1887" s="18">
        <f t="shared" si="1"/>
        <v>28800</v>
      </c>
      <c r="F1887" s="9">
        <v>1.0</v>
      </c>
      <c r="G1887" s="19">
        <v>7624.63</v>
      </c>
      <c r="H1887" s="9" t="s">
        <v>4723</v>
      </c>
      <c r="I1887" s="9" t="s">
        <v>4718</v>
      </c>
      <c r="J1887" s="9" t="s">
        <v>4719</v>
      </c>
      <c r="K1887" s="20">
        <f t="shared" si="2"/>
        <v>1978</v>
      </c>
      <c r="L1887" s="9" t="str">
        <f t="shared" si="3"/>
        <v>tier - 2</v>
      </c>
      <c r="M1887" s="9" t="str">
        <f t="shared" si="4"/>
        <v>tier - 1</v>
      </c>
      <c r="N1887" s="9" t="str">
        <f t="shared" si="5"/>
        <v>R1011</v>
      </c>
      <c r="O1887" s="17">
        <f t="shared" si="6"/>
        <v>44</v>
      </c>
      <c r="P1887" s="18">
        <v>28800.0</v>
      </c>
    </row>
    <row r="1888" ht="15.75" customHeight="1">
      <c r="A1888" s="9" t="s">
        <v>2807</v>
      </c>
      <c r="B1888" s="17">
        <v>1978.0</v>
      </c>
      <c r="C1888" s="9" t="s">
        <v>4735</v>
      </c>
      <c r="D1888" s="9">
        <v>29.0</v>
      </c>
      <c r="E1888" s="18">
        <f t="shared" si="1"/>
        <v>28823</v>
      </c>
      <c r="F1888" s="9">
        <v>1.0</v>
      </c>
      <c r="G1888" s="19">
        <v>7626.99</v>
      </c>
      <c r="H1888" s="9" t="s">
        <v>4723</v>
      </c>
      <c r="I1888" s="9" t="s">
        <v>4723</v>
      </c>
      <c r="J1888" s="9" t="s">
        <v>4719</v>
      </c>
      <c r="K1888" s="20">
        <f t="shared" si="2"/>
        <v>1978</v>
      </c>
      <c r="L1888" s="9" t="str">
        <f t="shared" si="3"/>
        <v>tier - 2</v>
      </c>
      <c r="M1888" s="9" t="str">
        <f t="shared" si="4"/>
        <v>tier - 2</v>
      </c>
      <c r="N1888" s="9" t="str">
        <f t="shared" si="5"/>
        <v>R1011</v>
      </c>
      <c r="O1888" s="17">
        <f t="shared" si="6"/>
        <v>44</v>
      </c>
      <c r="P1888" s="18">
        <v>28823.0</v>
      </c>
    </row>
    <row r="1889" ht="15.75" customHeight="1">
      <c r="A1889" s="9" t="s">
        <v>2805</v>
      </c>
      <c r="B1889" s="17">
        <v>1978.0</v>
      </c>
      <c r="C1889" s="9" t="s">
        <v>4716</v>
      </c>
      <c r="D1889" s="9">
        <v>24.0</v>
      </c>
      <c r="E1889" s="18">
        <f t="shared" si="1"/>
        <v>28726</v>
      </c>
      <c r="F1889" s="9">
        <v>1.0</v>
      </c>
      <c r="G1889" s="19">
        <v>7633.72</v>
      </c>
      <c r="H1889" s="9" t="s">
        <v>4723</v>
      </c>
      <c r="I1889" s="9" t="s">
        <v>4718</v>
      </c>
      <c r="J1889" s="9" t="s">
        <v>4743</v>
      </c>
      <c r="K1889" s="20">
        <f t="shared" si="2"/>
        <v>1978</v>
      </c>
      <c r="L1889" s="9" t="str">
        <f t="shared" si="3"/>
        <v>tier - 2</v>
      </c>
      <c r="M1889" s="9" t="str">
        <f t="shared" si="4"/>
        <v>tier - 1</v>
      </c>
      <c r="N1889" s="9" t="str">
        <f t="shared" si="5"/>
        <v>R1013</v>
      </c>
      <c r="O1889" s="17">
        <f t="shared" si="6"/>
        <v>44</v>
      </c>
      <c r="P1889" s="18">
        <v>28726.0</v>
      </c>
    </row>
    <row r="1890" ht="15.75" customHeight="1">
      <c r="A1890" s="9" t="s">
        <v>2803</v>
      </c>
      <c r="B1890" s="17">
        <v>2001.0</v>
      </c>
      <c r="C1890" s="9" t="s">
        <v>4725</v>
      </c>
      <c r="D1890" s="9">
        <v>13.0</v>
      </c>
      <c r="E1890" s="18">
        <f t="shared" si="1"/>
        <v>37238</v>
      </c>
      <c r="F1890" s="9">
        <v>0.0</v>
      </c>
      <c r="G1890" s="19">
        <v>7636.92</v>
      </c>
      <c r="H1890" s="9" t="s">
        <v>4723</v>
      </c>
      <c r="I1890" s="9" t="s">
        <v>4717</v>
      </c>
      <c r="J1890" s="9" t="s">
        <v>4733</v>
      </c>
      <c r="K1890" s="20">
        <f t="shared" si="2"/>
        <v>2001</v>
      </c>
      <c r="L1890" s="9" t="str">
        <f t="shared" si="3"/>
        <v>tier - 2</v>
      </c>
      <c r="M1890" s="9" t="str">
        <f t="shared" si="4"/>
        <v>tier - 3</v>
      </c>
      <c r="N1890" s="9" t="str">
        <f t="shared" si="5"/>
        <v>R1012</v>
      </c>
      <c r="O1890" s="17">
        <f t="shared" si="6"/>
        <v>21</v>
      </c>
      <c r="P1890" s="18">
        <v>37238.0</v>
      </c>
    </row>
    <row r="1891" ht="15.75" customHeight="1">
      <c r="A1891" s="9" t="s">
        <v>2801</v>
      </c>
      <c r="B1891" s="17">
        <v>1980.0</v>
      </c>
      <c r="C1891" s="9" t="s">
        <v>4730</v>
      </c>
      <c r="D1891" s="9">
        <v>20.0</v>
      </c>
      <c r="E1891" s="18">
        <f t="shared" si="1"/>
        <v>29392</v>
      </c>
      <c r="F1891" s="9">
        <v>1.0</v>
      </c>
      <c r="G1891" s="19">
        <v>7639.42</v>
      </c>
      <c r="H1891" s="9" t="s">
        <v>4723</v>
      </c>
      <c r="I1891" s="9" t="s">
        <v>4723</v>
      </c>
      <c r="J1891" s="9" t="s">
        <v>4731</v>
      </c>
      <c r="K1891" s="20">
        <f t="shared" si="2"/>
        <v>1980</v>
      </c>
      <c r="L1891" s="9" t="str">
        <f t="shared" si="3"/>
        <v>tier - 2</v>
      </c>
      <c r="M1891" s="9" t="str">
        <f t="shared" si="4"/>
        <v>tier - 2</v>
      </c>
      <c r="N1891" s="9" t="str">
        <f t="shared" si="5"/>
        <v>R1024</v>
      </c>
      <c r="O1891" s="17">
        <f t="shared" si="6"/>
        <v>42</v>
      </c>
      <c r="P1891" s="18">
        <v>29392.0</v>
      </c>
    </row>
    <row r="1892" ht="15.75" customHeight="1">
      <c r="A1892" s="9" t="s">
        <v>281</v>
      </c>
      <c r="B1892" s="17">
        <v>1991.0</v>
      </c>
      <c r="C1892" s="9" t="s">
        <v>4735</v>
      </c>
      <c r="D1892" s="9">
        <v>2.0</v>
      </c>
      <c r="E1892" s="18">
        <f t="shared" si="1"/>
        <v>33544</v>
      </c>
      <c r="F1892" s="9">
        <v>2.0</v>
      </c>
      <c r="G1892" s="19">
        <v>38711.0</v>
      </c>
      <c r="H1892" s="9" t="s">
        <v>4723</v>
      </c>
      <c r="I1892" s="9" t="s">
        <v>4723</v>
      </c>
      <c r="J1892" s="9" t="s">
        <v>4719</v>
      </c>
      <c r="K1892" s="20">
        <f t="shared" si="2"/>
        <v>1991</v>
      </c>
      <c r="L1892" s="9" t="str">
        <f t="shared" si="3"/>
        <v>tier - 2</v>
      </c>
      <c r="M1892" s="9" t="str">
        <f t="shared" si="4"/>
        <v>tier - 2</v>
      </c>
      <c r="N1892" s="9" t="str">
        <f t="shared" si="5"/>
        <v>R1011</v>
      </c>
      <c r="O1892" s="17">
        <f t="shared" si="6"/>
        <v>31</v>
      </c>
      <c r="P1892" s="18">
        <v>33544.0</v>
      </c>
    </row>
    <row r="1893" ht="15.75" customHeight="1">
      <c r="A1893" s="9" t="s">
        <v>29</v>
      </c>
      <c r="B1893" s="17">
        <v>1968.0</v>
      </c>
      <c r="C1893" s="9" t="s">
        <v>4725</v>
      </c>
      <c r="D1893" s="9">
        <v>1.0</v>
      </c>
      <c r="E1893" s="18">
        <f t="shared" si="1"/>
        <v>25173</v>
      </c>
      <c r="F1893" s="9">
        <v>3.0</v>
      </c>
      <c r="G1893" s="19">
        <v>48549.18</v>
      </c>
      <c r="H1893" s="9" t="s">
        <v>4718</v>
      </c>
      <c r="I1893" s="9" t="s">
        <v>4717</v>
      </c>
      <c r="J1893" s="9" t="s">
        <v>4754</v>
      </c>
      <c r="K1893" s="20">
        <f t="shared" si="2"/>
        <v>1968</v>
      </c>
      <c r="L1893" s="9" t="str">
        <f t="shared" si="3"/>
        <v>tier - 1</v>
      </c>
      <c r="M1893" s="9" t="str">
        <f t="shared" si="4"/>
        <v>tier - 3</v>
      </c>
      <c r="N1893" s="9" t="str">
        <f t="shared" si="5"/>
        <v>R1016</v>
      </c>
      <c r="O1893" s="17">
        <f t="shared" si="6"/>
        <v>54</v>
      </c>
      <c r="P1893" s="18">
        <v>25173.0</v>
      </c>
    </row>
    <row r="1894" ht="15.75" customHeight="1">
      <c r="A1894" s="9" t="s">
        <v>2799</v>
      </c>
      <c r="B1894" s="17">
        <v>1980.0</v>
      </c>
      <c r="C1894" s="9" t="s">
        <v>4741</v>
      </c>
      <c r="D1894" s="9">
        <v>24.0</v>
      </c>
      <c r="E1894" s="18">
        <f t="shared" si="1"/>
        <v>29426</v>
      </c>
      <c r="F1894" s="9">
        <v>2.0</v>
      </c>
      <c r="G1894" s="19">
        <v>7640.31</v>
      </c>
      <c r="H1894" s="9" t="s">
        <v>4723</v>
      </c>
      <c r="I1894" s="9" t="s">
        <v>4718</v>
      </c>
      <c r="J1894" s="9" t="s">
        <v>4743</v>
      </c>
      <c r="K1894" s="20">
        <f t="shared" si="2"/>
        <v>1980</v>
      </c>
      <c r="L1894" s="9" t="str">
        <f t="shared" si="3"/>
        <v>tier - 2</v>
      </c>
      <c r="M1894" s="9" t="str">
        <f t="shared" si="4"/>
        <v>tier - 1</v>
      </c>
      <c r="N1894" s="9" t="str">
        <f t="shared" si="5"/>
        <v>R1013</v>
      </c>
      <c r="O1894" s="17">
        <f t="shared" si="6"/>
        <v>42</v>
      </c>
      <c r="P1894" s="18">
        <v>29426.0</v>
      </c>
    </row>
    <row r="1895" ht="15.75" customHeight="1">
      <c r="A1895" s="9" t="s">
        <v>2797</v>
      </c>
      <c r="B1895" s="17">
        <v>1999.0</v>
      </c>
      <c r="C1895" s="9" t="s">
        <v>4730</v>
      </c>
      <c r="D1895" s="9">
        <v>15.0</v>
      </c>
      <c r="E1895" s="18">
        <f t="shared" si="1"/>
        <v>36326</v>
      </c>
      <c r="F1895" s="9">
        <v>0.0</v>
      </c>
      <c r="G1895" s="19">
        <v>7642.05</v>
      </c>
      <c r="H1895" s="9" t="s">
        <v>4723</v>
      </c>
      <c r="I1895" s="9" t="s">
        <v>4723</v>
      </c>
      <c r="J1895" s="9" t="s">
        <v>4721</v>
      </c>
      <c r="K1895" s="20">
        <f t="shared" si="2"/>
        <v>1999</v>
      </c>
      <c r="L1895" s="9" t="str">
        <f t="shared" si="3"/>
        <v>tier - 2</v>
      </c>
      <c r="M1895" s="9" t="str">
        <f t="shared" si="4"/>
        <v>tier - 2</v>
      </c>
      <c r="N1895" s="9" t="str">
        <f t="shared" si="5"/>
        <v>R1026</v>
      </c>
      <c r="O1895" s="17">
        <f t="shared" si="6"/>
        <v>23</v>
      </c>
      <c r="P1895" s="18">
        <v>36326.0</v>
      </c>
    </row>
    <row r="1896" ht="15.75" customHeight="1">
      <c r="A1896" s="9" t="s">
        <v>2795</v>
      </c>
      <c r="B1896" s="17">
        <v>1980.0</v>
      </c>
      <c r="C1896" s="9" t="s">
        <v>4720</v>
      </c>
      <c r="D1896" s="9">
        <v>16.0</v>
      </c>
      <c r="E1896" s="18">
        <f t="shared" si="1"/>
        <v>29510</v>
      </c>
      <c r="F1896" s="9">
        <v>1.0</v>
      </c>
      <c r="G1896" s="19">
        <v>7650.77</v>
      </c>
      <c r="H1896" s="9" t="s">
        <v>4723</v>
      </c>
      <c r="I1896" s="9" t="s">
        <v>4723</v>
      </c>
      <c r="J1896" s="9" t="s">
        <v>4731</v>
      </c>
      <c r="K1896" s="20">
        <f t="shared" si="2"/>
        <v>1980</v>
      </c>
      <c r="L1896" s="9" t="str">
        <f t="shared" si="3"/>
        <v>tier - 2</v>
      </c>
      <c r="M1896" s="9" t="str">
        <f t="shared" si="4"/>
        <v>tier - 2</v>
      </c>
      <c r="N1896" s="9" t="str">
        <f t="shared" si="5"/>
        <v>R1024</v>
      </c>
      <c r="O1896" s="17">
        <f t="shared" si="6"/>
        <v>42</v>
      </c>
      <c r="P1896" s="18">
        <v>29510.0</v>
      </c>
    </row>
    <row r="1897" ht="15.75" customHeight="1">
      <c r="A1897" s="9" t="s">
        <v>2793</v>
      </c>
      <c r="B1897" s="17">
        <v>1993.0</v>
      </c>
      <c r="C1897" s="9" t="s">
        <v>4716</v>
      </c>
      <c r="D1897" s="9">
        <v>10.0</v>
      </c>
      <c r="E1897" s="18">
        <f t="shared" si="1"/>
        <v>34191</v>
      </c>
      <c r="F1897" s="9">
        <v>0.0</v>
      </c>
      <c r="G1897" s="19">
        <v>7650.8</v>
      </c>
      <c r="H1897" s="9" t="s">
        <v>4723</v>
      </c>
      <c r="I1897" s="9" t="s">
        <v>4723</v>
      </c>
      <c r="J1897" s="9" t="s">
        <v>4733</v>
      </c>
      <c r="K1897" s="20">
        <f t="shared" si="2"/>
        <v>1993</v>
      </c>
      <c r="L1897" s="9" t="str">
        <f t="shared" si="3"/>
        <v>tier - 2</v>
      </c>
      <c r="M1897" s="9" t="str">
        <f t="shared" si="4"/>
        <v>tier - 2</v>
      </c>
      <c r="N1897" s="9" t="str">
        <f t="shared" si="5"/>
        <v>R1012</v>
      </c>
      <c r="O1897" s="17">
        <f t="shared" si="6"/>
        <v>29</v>
      </c>
      <c r="P1897" s="18">
        <v>34191.0</v>
      </c>
    </row>
    <row r="1898" ht="15.75" customHeight="1">
      <c r="A1898" s="9" t="s">
        <v>2791</v>
      </c>
      <c r="B1898" s="17">
        <v>1998.0</v>
      </c>
      <c r="C1898" s="9" t="s">
        <v>4738</v>
      </c>
      <c r="D1898" s="9">
        <v>30.0</v>
      </c>
      <c r="E1898" s="18">
        <f t="shared" si="1"/>
        <v>36068</v>
      </c>
      <c r="F1898" s="9">
        <v>0.0</v>
      </c>
      <c r="G1898" s="19">
        <v>7652.26</v>
      </c>
      <c r="H1898" s="9" t="s">
        <v>4723</v>
      </c>
      <c r="I1898" s="9" t="s">
        <v>4717</v>
      </c>
      <c r="J1898" s="9" t="s">
        <v>4756</v>
      </c>
      <c r="K1898" s="20">
        <f t="shared" si="2"/>
        <v>1998</v>
      </c>
      <c r="L1898" s="9" t="str">
        <f t="shared" si="3"/>
        <v>tier - 2</v>
      </c>
      <c r="M1898" s="9" t="str">
        <f t="shared" si="4"/>
        <v>tier - 3</v>
      </c>
      <c r="N1898" s="9" t="str">
        <f t="shared" si="5"/>
        <v>R1023</v>
      </c>
      <c r="O1898" s="17">
        <f t="shared" si="6"/>
        <v>24</v>
      </c>
      <c r="P1898" s="18">
        <v>36068.0</v>
      </c>
    </row>
    <row r="1899" ht="15.75" customHeight="1">
      <c r="A1899" s="9" t="s">
        <v>2789</v>
      </c>
      <c r="B1899" s="17">
        <v>1965.0</v>
      </c>
      <c r="C1899" s="9" t="s">
        <v>4725</v>
      </c>
      <c r="D1899" s="9">
        <v>27.0</v>
      </c>
      <c r="E1899" s="18">
        <f t="shared" si="1"/>
        <v>24103</v>
      </c>
      <c r="F1899" s="9">
        <v>0.0</v>
      </c>
      <c r="G1899" s="19">
        <v>7657.69</v>
      </c>
      <c r="H1899" s="9" t="s">
        <v>4717</v>
      </c>
      <c r="I1899" s="9" t="s">
        <v>4717</v>
      </c>
      <c r="J1899" s="9" t="s">
        <v>4733</v>
      </c>
      <c r="K1899" s="20">
        <f t="shared" si="2"/>
        <v>1965</v>
      </c>
      <c r="L1899" s="9" t="str">
        <f t="shared" si="3"/>
        <v>tier - 3</v>
      </c>
      <c r="M1899" s="9" t="str">
        <f t="shared" si="4"/>
        <v>tier - 3</v>
      </c>
      <c r="N1899" s="9" t="str">
        <f t="shared" si="5"/>
        <v>R1012</v>
      </c>
      <c r="O1899" s="17">
        <f t="shared" si="6"/>
        <v>57</v>
      </c>
      <c r="P1899" s="18">
        <v>24103.0</v>
      </c>
    </row>
    <row r="1900" ht="15.75" customHeight="1">
      <c r="A1900" s="9" t="s">
        <v>2787</v>
      </c>
      <c r="B1900" s="17">
        <v>1976.0</v>
      </c>
      <c r="C1900" s="9" t="s">
        <v>4720</v>
      </c>
      <c r="D1900" s="9">
        <v>9.0</v>
      </c>
      <c r="E1900" s="18">
        <f t="shared" si="1"/>
        <v>28042</v>
      </c>
      <c r="F1900" s="9">
        <v>2.0</v>
      </c>
      <c r="G1900" s="19">
        <v>7662.47</v>
      </c>
      <c r="H1900" s="9" t="s">
        <v>4723</v>
      </c>
      <c r="I1900" s="9" t="s">
        <v>4718</v>
      </c>
      <c r="J1900" s="9" t="s">
        <v>4719</v>
      </c>
      <c r="K1900" s="20">
        <f t="shared" si="2"/>
        <v>1976</v>
      </c>
      <c r="L1900" s="9" t="str">
        <f t="shared" si="3"/>
        <v>tier - 2</v>
      </c>
      <c r="M1900" s="9" t="str">
        <f t="shared" si="4"/>
        <v>tier - 1</v>
      </c>
      <c r="N1900" s="9" t="str">
        <f t="shared" si="5"/>
        <v>R1011</v>
      </c>
      <c r="O1900" s="17">
        <f t="shared" si="6"/>
        <v>46</v>
      </c>
      <c r="P1900" s="18">
        <v>28042.0</v>
      </c>
    </row>
    <row r="1901" ht="15.75" customHeight="1">
      <c r="A1901" s="9" t="s">
        <v>2785</v>
      </c>
      <c r="B1901" s="17">
        <v>1996.0</v>
      </c>
      <c r="C1901" s="9" t="s">
        <v>4735</v>
      </c>
      <c r="D1901" s="9">
        <v>24.0</v>
      </c>
      <c r="E1901" s="18">
        <f t="shared" si="1"/>
        <v>35393</v>
      </c>
      <c r="F1901" s="9">
        <v>0.0</v>
      </c>
      <c r="G1901" s="19">
        <v>7670.75</v>
      </c>
      <c r="H1901" s="9" t="s">
        <v>4723</v>
      </c>
      <c r="I1901" s="9" t="s">
        <v>4723</v>
      </c>
      <c r="J1901" s="9" t="s">
        <v>4736</v>
      </c>
      <c r="K1901" s="20">
        <f t="shared" si="2"/>
        <v>1996</v>
      </c>
      <c r="L1901" s="9" t="str">
        <f t="shared" si="3"/>
        <v>tier - 2</v>
      </c>
      <c r="M1901" s="9" t="str">
        <f t="shared" si="4"/>
        <v>tier - 2</v>
      </c>
      <c r="N1901" s="9" t="str">
        <f t="shared" si="5"/>
        <v>R1022</v>
      </c>
      <c r="O1901" s="17">
        <f t="shared" si="6"/>
        <v>26</v>
      </c>
      <c r="P1901" s="18">
        <v>35393.0</v>
      </c>
    </row>
    <row r="1902" ht="15.75" customHeight="1">
      <c r="A1902" s="9" t="s">
        <v>2783</v>
      </c>
      <c r="B1902" s="17">
        <v>1995.0</v>
      </c>
      <c r="C1902" s="9" t="s">
        <v>4738</v>
      </c>
      <c r="D1902" s="9">
        <v>13.0</v>
      </c>
      <c r="E1902" s="18">
        <f t="shared" si="1"/>
        <v>34955</v>
      </c>
      <c r="F1902" s="9">
        <v>0.0</v>
      </c>
      <c r="G1902" s="19">
        <v>7676.4</v>
      </c>
      <c r="H1902" s="9" t="s">
        <v>4723</v>
      </c>
      <c r="I1902" s="9" t="s">
        <v>4718</v>
      </c>
      <c r="J1902" s="9" t="s">
        <v>4733</v>
      </c>
      <c r="K1902" s="20">
        <f t="shared" si="2"/>
        <v>1995</v>
      </c>
      <c r="L1902" s="9" t="str">
        <f t="shared" si="3"/>
        <v>tier - 2</v>
      </c>
      <c r="M1902" s="9" t="str">
        <f t="shared" si="4"/>
        <v>tier - 1</v>
      </c>
      <c r="N1902" s="9" t="str">
        <f t="shared" si="5"/>
        <v>R1012</v>
      </c>
      <c r="O1902" s="17">
        <f t="shared" si="6"/>
        <v>27</v>
      </c>
      <c r="P1902" s="18">
        <v>34955.0</v>
      </c>
    </row>
    <row r="1903" ht="15.75" customHeight="1">
      <c r="A1903" s="9" t="s">
        <v>2781</v>
      </c>
      <c r="B1903" s="17">
        <v>1971.0</v>
      </c>
      <c r="C1903" s="9" t="s">
        <v>4720</v>
      </c>
      <c r="D1903" s="9">
        <v>11.0</v>
      </c>
      <c r="E1903" s="18">
        <f t="shared" si="1"/>
        <v>26217</v>
      </c>
      <c r="F1903" s="9">
        <v>0.0</v>
      </c>
      <c r="G1903" s="19">
        <v>7680.92</v>
      </c>
      <c r="H1903" s="9" t="s">
        <v>4723</v>
      </c>
      <c r="I1903" s="9" t="s">
        <v>4718</v>
      </c>
      <c r="J1903" s="9" t="s">
        <v>4743</v>
      </c>
      <c r="K1903" s="20">
        <f t="shared" si="2"/>
        <v>1971</v>
      </c>
      <c r="L1903" s="9" t="str">
        <f t="shared" si="3"/>
        <v>tier - 2</v>
      </c>
      <c r="M1903" s="9" t="str">
        <f t="shared" si="4"/>
        <v>tier - 1</v>
      </c>
      <c r="N1903" s="9" t="str">
        <f t="shared" si="5"/>
        <v>R1013</v>
      </c>
      <c r="O1903" s="17">
        <f t="shared" si="6"/>
        <v>51</v>
      </c>
      <c r="P1903" s="18">
        <v>26217.0</v>
      </c>
    </row>
    <row r="1904" ht="15.75" customHeight="1">
      <c r="A1904" s="9" t="s">
        <v>279</v>
      </c>
      <c r="B1904" s="17">
        <v>1976.0</v>
      </c>
      <c r="C1904" s="9" t="s">
        <v>4730</v>
      </c>
      <c r="D1904" s="9">
        <v>15.0</v>
      </c>
      <c r="E1904" s="18">
        <f t="shared" si="1"/>
        <v>27926</v>
      </c>
      <c r="F1904" s="9">
        <v>2.0</v>
      </c>
      <c r="G1904" s="19">
        <v>38740.12</v>
      </c>
      <c r="H1904" s="9" t="s">
        <v>4723</v>
      </c>
      <c r="I1904" s="9" t="s">
        <v>4723</v>
      </c>
      <c r="J1904" s="9" t="s">
        <v>4733</v>
      </c>
      <c r="K1904" s="20">
        <f t="shared" si="2"/>
        <v>1976</v>
      </c>
      <c r="L1904" s="9" t="str">
        <f t="shared" si="3"/>
        <v>tier - 2</v>
      </c>
      <c r="M1904" s="9" t="str">
        <f t="shared" si="4"/>
        <v>tier - 2</v>
      </c>
      <c r="N1904" s="9" t="str">
        <f t="shared" si="5"/>
        <v>R1012</v>
      </c>
      <c r="O1904" s="17">
        <f t="shared" si="6"/>
        <v>46</v>
      </c>
      <c r="P1904" s="18">
        <v>27926.0</v>
      </c>
    </row>
    <row r="1905" ht="15.75" customHeight="1">
      <c r="A1905" s="9" t="s">
        <v>2779</v>
      </c>
      <c r="B1905" s="17">
        <v>1981.0</v>
      </c>
      <c r="C1905" s="9" t="s">
        <v>4725</v>
      </c>
      <c r="D1905" s="9">
        <v>19.0</v>
      </c>
      <c r="E1905" s="18">
        <f t="shared" si="1"/>
        <v>29939</v>
      </c>
      <c r="F1905" s="9">
        <v>1.0</v>
      </c>
      <c r="G1905" s="19">
        <v>7681.17</v>
      </c>
      <c r="H1905" s="9" t="s">
        <v>4723</v>
      </c>
      <c r="I1905" s="9" t="s">
        <v>4723</v>
      </c>
      <c r="J1905" s="9" t="s">
        <v>4755</v>
      </c>
      <c r="K1905" s="20">
        <f t="shared" si="2"/>
        <v>1981</v>
      </c>
      <c r="L1905" s="9" t="str">
        <f t="shared" si="3"/>
        <v>tier - 2</v>
      </c>
      <c r="M1905" s="9" t="str">
        <f t="shared" si="4"/>
        <v>tier - 2</v>
      </c>
      <c r="N1905" s="9" t="str">
        <f t="shared" si="5"/>
        <v>R1020</v>
      </c>
      <c r="O1905" s="17">
        <f t="shared" si="6"/>
        <v>41</v>
      </c>
      <c r="P1905" s="18">
        <v>29939.0</v>
      </c>
    </row>
    <row r="1906" ht="15.75" customHeight="1">
      <c r="A1906" s="9" t="s">
        <v>2777</v>
      </c>
      <c r="B1906" s="17">
        <v>1982.0</v>
      </c>
      <c r="C1906" s="9" t="s">
        <v>4725</v>
      </c>
      <c r="D1906" s="9">
        <v>18.0</v>
      </c>
      <c r="E1906" s="18">
        <f t="shared" si="1"/>
        <v>30303</v>
      </c>
      <c r="F1906" s="9">
        <v>3.0</v>
      </c>
      <c r="G1906" s="19">
        <v>7682.67</v>
      </c>
      <c r="H1906" s="9" t="s">
        <v>4723</v>
      </c>
      <c r="I1906" s="9" t="s">
        <v>4718</v>
      </c>
      <c r="J1906" s="9" t="s">
        <v>4743</v>
      </c>
      <c r="K1906" s="20">
        <f t="shared" si="2"/>
        <v>1982</v>
      </c>
      <c r="L1906" s="9" t="str">
        <f t="shared" si="3"/>
        <v>tier - 2</v>
      </c>
      <c r="M1906" s="9" t="str">
        <f t="shared" si="4"/>
        <v>tier - 1</v>
      </c>
      <c r="N1906" s="9" t="str">
        <f t="shared" si="5"/>
        <v>R1013</v>
      </c>
      <c r="O1906" s="17">
        <f t="shared" si="6"/>
        <v>40</v>
      </c>
      <c r="P1906" s="18">
        <v>30303.0</v>
      </c>
    </row>
    <row r="1907" ht="15.75" customHeight="1">
      <c r="A1907" s="9" t="s">
        <v>2775</v>
      </c>
      <c r="B1907" s="17">
        <v>1987.0</v>
      </c>
      <c r="C1907" s="9" t="s">
        <v>4741</v>
      </c>
      <c r="D1907" s="9">
        <v>12.0</v>
      </c>
      <c r="E1907" s="18">
        <f t="shared" si="1"/>
        <v>31970</v>
      </c>
      <c r="F1907" s="9">
        <v>3.0</v>
      </c>
      <c r="G1907" s="19">
        <v>7684.62</v>
      </c>
      <c r="H1907" s="9" t="s">
        <v>4723</v>
      </c>
      <c r="I1907" s="9" t="s">
        <v>4717</v>
      </c>
      <c r="J1907" s="9" t="s">
        <v>4751</v>
      </c>
      <c r="K1907" s="20">
        <f t="shared" si="2"/>
        <v>1987</v>
      </c>
      <c r="L1907" s="9" t="str">
        <f t="shared" si="3"/>
        <v>tier - 2</v>
      </c>
      <c r="M1907" s="9" t="str">
        <f t="shared" si="4"/>
        <v>tier - 3</v>
      </c>
      <c r="N1907" s="9" t="str">
        <f t="shared" si="5"/>
        <v>R1021</v>
      </c>
      <c r="O1907" s="17">
        <f t="shared" si="6"/>
        <v>35</v>
      </c>
      <c r="P1907" s="18">
        <v>31970.0</v>
      </c>
    </row>
    <row r="1908" ht="15.75" customHeight="1">
      <c r="A1908" s="9" t="s">
        <v>2773</v>
      </c>
      <c r="B1908" s="17">
        <v>1978.0</v>
      </c>
      <c r="C1908" s="9" t="s">
        <v>4725</v>
      </c>
      <c r="D1908" s="9">
        <v>29.0</v>
      </c>
      <c r="E1908" s="18">
        <f t="shared" si="1"/>
        <v>28853</v>
      </c>
      <c r="F1908" s="9">
        <v>2.0</v>
      </c>
      <c r="G1908" s="19">
        <v>7726.85</v>
      </c>
      <c r="H1908" s="9" t="s">
        <v>4718</v>
      </c>
      <c r="I1908" s="9" t="s">
        <v>4723</v>
      </c>
      <c r="J1908" s="9" t="s">
        <v>4719</v>
      </c>
      <c r="K1908" s="20">
        <f t="shared" si="2"/>
        <v>1978</v>
      </c>
      <c r="L1908" s="9" t="str">
        <f t="shared" si="3"/>
        <v>tier - 1</v>
      </c>
      <c r="M1908" s="9" t="str">
        <f t="shared" si="4"/>
        <v>tier - 2</v>
      </c>
      <c r="N1908" s="9" t="str">
        <f t="shared" si="5"/>
        <v>R1011</v>
      </c>
      <c r="O1908" s="17">
        <f t="shared" si="6"/>
        <v>44</v>
      </c>
      <c r="P1908" s="18">
        <v>28853.0</v>
      </c>
    </row>
    <row r="1909" ht="15.75" customHeight="1">
      <c r="A1909" s="9" t="s">
        <v>2771</v>
      </c>
      <c r="B1909" s="17">
        <v>1979.0</v>
      </c>
      <c r="C1909" s="9" t="s">
        <v>4730</v>
      </c>
      <c r="D1909" s="9">
        <v>2.0</v>
      </c>
      <c r="E1909" s="18">
        <f t="shared" si="1"/>
        <v>29008</v>
      </c>
      <c r="F1909" s="9">
        <v>1.0</v>
      </c>
      <c r="G1909" s="19">
        <v>7727.25</v>
      </c>
      <c r="H1909" s="9" t="s">
        <v>4723</v>
      </c>
      <c r="I1909" s="9" t="s">
        <v>4717</v>
      </c>
      <c r="J1909" s="9" t="s">
        <v>4733</v>
      </c>
      <c r="K1909" s="20">
        <f t="shared" si="2"/>
        <v>1979</v>
      </c>
      <c r="L1909" s="9" t="str">
        <f t="shared" si="3"/>
        <v>tier - 2</v>
      </c>
      <c r="M1909" s="9" t="str">
        <f t="shared" si="4"/>
        <v>tier - 3</v>
      </c>
      <c r="N1909" s="9" t="str">
        <f t="shared" si="5"/>
        <v>R1012</v>
      </c>
      <c r="O1909" s="17">
        <f t="shared" si="6"/>
        <v>44</v>
      </c>
      <c r="P1909" s="18">
        <v>29008.0</v>
      </c>
    </row>
    <row r="1910" ht="15.75" customHeight="1">
      <c r="A1910" s="9" t="s">
        <v>2769</v>
      </c>
      <c r="B1910" s="17">
        <v>1980.0</v>
      </c>
      <c r="C1910" s="9" t="s">
        <v>4738</v>
      </c>
      <c r="D1910" s="9">
        <v>10.0</v>
      </c>
      <c r="E1910" s="18">
        <f t="shared" si="1"/>
        <v>29474</v>
      </c>
      <c r="F1910" s="9">
        <v>2.0</v>
      </c>
      <c r="G1910" s="19">
        <v>7729.65</v>
      </c>
      <c r="H1910" s="9" t="s">
        <v>4717</v>
      </c>
      <c r="I1910" s="9" t="s">
        <v>4718</v>
      </c>
      <c r="J1910" s="9" t="s">
        <v>4754</v>
      </c>
      <c r="K1910" s="20">
        <f t="shared" si="2"/>
        <v>1980</v>
      </c>
      <c r="L1910" s="9" t="str">
        <f t="shared" si="3"/>
        <v>tier - 3</v>
      </c>
      <c r="M1910" s="9" t="str">
        <f t="shared" si="4"/>
        <v>tier - 1</v>
      </c>
      <c r="N1910" s="9" t="str">
        <f t="shared" si="5"/>
        <v>R1016</v>
      </c>
      <c r="O1910" s="17">
        <f t="shared" si="6"/>
        <v>42</v>
      </c>
      <c r="P1910" s="18">
        <v>29474.0</v>
      </c>
    </row>
    <row r="1911" ht="15.75" customHeight="1">
      <c r="A1911" s="9" t="s">
        <v>2767</v>
      </c>
      <c r="B1911" s="17">
        <v>1978.0</v>
      </c>
      <c r="C1911" s="9" t="s">
        <v>4725</v>
      </c>
      <c r="D1911" s="9">
        <v>4.0</v>
      </c>
      <c r="E1911" s="18">
        <f t="shared" si="1"/>
        <v>28828</v>
      </c>
      <c r="F1911" s="9">
        <v>2.0</v>
      </c>
      <c r="G1911" s="19">
        <v>7731.43</v>
      </c>
      <c r="H1911" s="9" t="s">
        <v>4717</v>
      </c>
      <c r="I1911" s="9" t="s">
        <v>4723</v>
      </c>
      <c r="J1911" s="9" t="s">
        <v>4743</v>
      </c>
      <c r="K1911" s="20">
        <f t="shared" si="2"/>
        <v>1978</v>
      </c>
      <c r="L1911" s="9" t="str">
        <f t="shared" si="3"/>
        <v>tier - 3</v>
      </c>
      <c r="M1911" s="9" t="str">
        <f t="shared" si="4"/>
        <v>tier - 2</v>
      </c>
      <c r="N1911" s="9" t="str">
        <f t="shared" si="5"/>
        <v>R1013</v>
      </c>
      <c r="O1911" s="17">
        <f t="shared" si="6"/>
        <v>44</v>
      </c>
      <c r="P1911" s="18">
        <v>28828.0</v>
      </c>
    </row>
    <row r="1912" ht="15.75" customHeight="1">
      <c r="A1912" s="9" t="s">
        <v>2765</v>
      </c>
      <c r="B1912" s="17">
        <v>1977.0</v>
      </c>
      <c r="C1912" s="9" t="s">
        <v>4716</v>
      </c>
      <c r="D1912" s="9">
        <v>29.0</v>
      </c>
      <c r="E1912" s="18">
        <f t="shared" si="1"/>
        <v>28366</v>
      </c>
      <c r="F1912" s="9">
        <v>0.0</v>
      </c>
      <c r="G1912" s="19">
        <v>7731.86</v>
      </c>
      <c r="H1912" s="9" t="s">
        <v>4723</v>
      </c>
      <c r="I1912" s="9" t="s">
        <v>4717</v>
      </c>
      <c r="J1912" s="9" t="s">
        <v>4733</v>
      </c>
      <c r="K1912" s="20">
        <f t="shared" si="2"/>
        <v>1977</v>
      </c>
      <c r="L1912" s="9" t="str">
        <f t="shared" si="3"/>
        <v>tier - 2</v>
      </c>
      <c r="M1912" s="9" t="str">
        <f t="shared" si="4"/>
        <v>tier - 3</v>
      </c>
      <c r="N1912" s="9" t="str">
        <f t="shared" si="5"/>
        <v>R1012</v>
      </c>
      <c r="O1912" s="17">
        <f t="shared" si="6"/>
        <v>45</v>
      </c>
      <c r="P1912" s="18">
        <v>28366.0</v>
      </c>
    </row>
    <row r="1913" ht="15.75" customHeight="1">
      <c r="A1913" s="9" t="s">
        <v>2763</v>
      </c>
      <c r="B1913" s="17">
        <v>1965.0</v>
      </c>
      <c r="C1913" s="9" t="s">
        <v>4741</v>
      </c>
      <c r="D1913" s="9">
        <v>18.0</v>
      </c>
      <c r="E1913" s="18">
        <f t="shared" si="1"/>
        <v>23941</v>
      </c>
      <c r="F1913" s="9">
        <v>0.0</v>
      </c>
      <c r="G1913" s="19">
        <v>7736.39</v>
      </c>
      <c r="H1913" s="9" t="s">
        <v>4717</v>
      </c>
      <c r="I1913" s="9" t="s">
        <v>4723</v>
      </c>
      <c r="J1913" s="9" t="s">
        <v>4743</v>
      </c>
      <c r="K1913" s="20">
        <f t="shared" si="2"/>
        <v>1965</v>
      </c>
      <c r="L1913" s="9" t="str">
        <f t="shared" si="3"/>
        <v>tier - 3</v>
      </c>
      <c r="M1913" s="9" t="str">
        <f t="shared" si="4"/>
        <v>tier - 2</v>
      </c>
      <c r="N1913" s="9" t="str">
        <f t="shared" si="5"/>
        <v>R1013</v>
      </c>
      <c r="O1913" s="17">
        <f t="shared" si="6"/>
        <v>57</v>
      </c>
      <c r="P1913" s="18">
        <v>23941.0</v>
      </c>
    </row>
    <row r="1914" ht="15.75" customHeight="1">
      <c r="A1914" s="9" t="s">
        <v>2761</v>
      </c>
      <c r="B1914" s="17">
        <v>1978.0</v>
      </c>
      <c r="C1914" s="9" t="s">
        <v>4738</v>
      </c>
      <c r="D1914" s="9">
        <v>4.0</v>
      </c>
      <c r="E1914" s="18">
        <f t="shared" si="1"/>
        <v>28737</v>
      </c>
      <c r="F1914" s="9">
        <v>2.0</v>
      </c>
      <c r="G1914" s="19">
        <v>7740.34</v>
      </c>
      <c r="H1914" s="9" t="s">
        <v>4718</v>
      </c>
      <c r="I1914" s="9" t="s">
        <v>4718</v>
      </c>
      <c r="J1914" s="9" t="s">
        <v>4719</v>
      </c>
      <c r="K1914" s="20">
        <f t="shared" si="2"/>
        <v>1978</v>
      </c>
      <c r="L1914" s="9" t="str">
        <f t="shared" si="3"/>
        <v>tier - 1</v>
      </c>
      <c r="M1914" s="9" t="str">
        <f t="shared" si="4"/>
        <v>tier - 1</v>
      </c>
      <c r="N1914" s="9" t="str">
        <f t="shared" si="5"/>
        <v>R1011</v>
      </c>
      <c r="O1914" s="17">
        <f t="shared" si="6"/>
        <v>44</v>
      </c>
      <c r="P1914" s="18">
        <v>28737.0</v>
      </c>
    </row>
    <row r="1915" ht="15.75" customHeight="1">
      <c r="A1915" s="9" t="s">
        <v>277</v>
      </c>
      <c r="B1915" s="17">
        <v>1991.0</v>
      </c>
      <c r="C1915" s="9" t="s">
        <v>4735</v>
      </c>
      <c r="D1915" s="9">
        <v>8.0</v>
      </c>
      <c r="E1915" s="18">
        <f t="shared" si="1"/>
        <v>33550</v>
      </c>
      <c r="F1915" s="9">
        <v>3.0</v>
      </c>
      <c r="G1915" s="19">
        <v>38746.36</v>
      </c>
      <c r="H1915" s="9" t="s">
        <v>4718</v>
      </c>
      <c r="I1915" s="9" t="s">
        <v>4723</v>
      </c>
      <c r="J1915" s="9" t="s">
        <v>4733</v>
      </c>
      <c r="K1915" s="20">
        <f t="shared" si="2"/>
        <v>1991</v>
      </c>
      <c r="L1915" s="9" t="str">
        <f t="shared" si="3"/>
        <v>tier - 1</v>
      </c>
      <c r="M1915" s="9" t="str">
        <f t="shared" si="4"/>
        <v>tier - 2</v>
      </c>
      <c r="N1915" s="9" t="str">
        <f t="shared" si="5"/>
        <v>R1012</v>
      </c>
      <c r="O1915" s="17">
        <f t="shared" si="6"/>
        <v>31</v>
      </c>
      <c r="P1915" s="18">
        <v>33550.0</v>
      </c>
    </row>
    <row r="1916" ht="15.75" customHeight="1">
      <c r="A1916" s="9" t="s">
        <v>2759</v>
      </c>
      <c r="B1916" s="17">
        <v>1976.0</v>
      </c>
      <c r="C1916" s="9" t="s">
        <v>4725</v>
      </c>
      <c r="D1916" s="9">
        <v>12.0</v>
      </c>
      <c r="E1916" s="18">
        <f t="shared" si="1"/>
        <v>28106</v>
      </c>
      <c r="F1916" s="9">
        <v>1.0</v>
      </c>
      <c r="G1916" s="19">
        <v>7742.11</v>
      </c>
      <c r="H1916" s="9" t="s">
        <v>4717</v>
      </c>
      <c r="I1916" s="9" t="s">
        <v>4723</v>
      </c>
      <c r="J1916" s="9" t="s">
        <v>4743</v>
      </c>
      <c r="K1916" s="20">
        <f t="shared" si="2"/>
        <v>1976</v>
      </c>
      <c r="L1916" s="9" t="str">
        <f t="shared" si="3"/>
        <v>tier - 3</v>
      </c>
      <c r="M1916" s="9" t="str">
        <f t="shared" si="4"/>
        <v>tier - 2</v>
      </c>
      <c r="N1916" s="9" t="str">
        <f t="shared" si="5"/>
        <v>R1013</v>
      </c>
      <c r="O1916" s="17">
        <f t="shared" si="6"/>
        <v>46</v>
      </c>
      <c r="P1916" s="18">
        <v>28106.0</v>
      </c>
    </row>
    <row r="1917" ht="15.75" customHeight="1">
      <c r="A1917" s="9" t="s">
        <v>2757</v>
      </c>
      <c r="B1917" s="17">
        <v>1981.0</v>
      </c>
      <c r="C1917" s="9" t="s">
        <v>4730</v>
      </c>
      <c r="D1917" s="9">
        <v>30.0</v>
      </c>
      <c r="E1917" s="18">
        <f t="shared" si="1"/>
        <v>29767</v>
      </c>
      <c r="F1917" s="9">
        <v>2.0</v>
      </c>
      <c r="G1917" s="19">
        <v>7749.16</v>
      </c>
      <c r="H1917" s="9" t="s">
        <v>4723</v>
      </c>
      <c r="I1917" s="9" t="s">
        <v>4718</v>
      </c>
      <c r="J1917" s="9" t="s">
        <v>4733</v>
      </c>
      <c r="K1917" s="20">
        <f t="shared" si="2"/>
        <v>1981</v>
      </c>
      <c r="L1917" s="9" t="str">
        <f t="shared" si="3"/>
        <v>tier - 2</v>
      </c>
      <c r="M1917" s="9" t="str">
        <f t="shared" si="4"/>
        <v>tier - 1</v>
      </c>
      <c r="N1917" s="9" t="str">
        <f t="shared" si="5"/>
        <v>R1012</v>
      </c>
      <c r="O1917" s="17">
        <f t="shared" si="6"/>
        <v>41</v>
      </c>
      <c r="P1917" s="18">
        <v>29767.0</v>
      </c>
    </row>
    <row r="1918" ht="15.75" customHeight="1">
      <c r="A1918" s="9" t="s">
        <v>2755</v>
      </c>
      <c r="B1918" s="17">
        <v>1997.0</v>
      </c>
      <c r="C1918" s="9" t="s">
        <v>4725</v>
      </c>
      <c r="D1918" s="9">
        <v>21.0</v>
      </c>
      <c r="E1918" s="18">
        <f t="shared" si="1"/>
        <v>35785</v>
      </c>
      <c r="F1918" s="9">
        <v>0.0</v>
      </c>
      <c r="G1918" s="19">
        <v>7763.06</v>
      </c>
      <c r="H1918" s="9" t="s">
        <v>4723</v>
      </c>
      <c r="I1918" s="9" t="s">
        <v>4718</v>
      </c>
      <c r="J1918" s="9" t="s">
        <v>4733</v>
      </c>
      <c r="K1918" s="20">
        <f t="shared" si="2"/>
        <v>1997</v>
      </c>
      <c r="L1918" s="9" t="str">
        <f t="shared" si="3"/>
        <v>tier - 2</v>
      </c>
      <c r="M1918" s="9" t="str">
        <f t="shared" si="4"/>
        <v>tier - 1</v>
      </c>
      <c r="N1918" s="9" t="str">
        <f t="shared" si="5"/>
        <v>R1012</v>
      </c>
      <c r="O1918" s="17">
        <f t="shared" si="6"/>
        <v>25</v>
      </c>
      <c r="P1918" s="18">
        <v>35785.0</v>
      </c>
    </row>
    <row r="1919" ht="15.75" customHeight="1">
      <c r="A1919" s="9" t="s">
        <v>2753</v>
      </c>
      <c r="B1919" s="17">
        <v>1974.0</v>
      </c>
      <c r="C1919" s="9" t="s">
        <v>4725</v>
      </c>
      <c r="D1919" s="9">
        <v>6.0</v>
      </c>
      <c r="E1919" s="18">
        <f t="shared" si="1"/>
        <v>27369</v>
      </c>
      <c r="F1919" s="9">
        <v>0.0</v>
      </c>
      <c r="G1919" s="19">
        <v>7789.64</v>
      </c>
      <c r="H1919" s="9" t="s">
        <v>4718</v>
      </c>
      <c r="I1919" s="9" t="s">
        <v>4717</v>
      </c>
      <c r="J1919" s="9" t="s">
        <v>4743</v>
      </c>
      <c r="K1919" s="20">
        <f t="shared" si="2"/>
        <v>1974</v>
      </c>
      <c r="L1919" s="9" t="str">
        <f t="shared" si="3"/>
        <v>tier - 1</v>
      </c>
      <c r="M1919" s="9" t="str">
        <f t="shared" si="4"/>
        <v>tier - 3</v>
      </c>
      <c r="N1919" s="9" t="str">
        <f t="shared" si="5"/>
        <v>R1013</v>
      </c>
      <c r="O1919" s="17">
        <f t="shared" si="6"/>
        <v>48</v>
      </c>
      <c r="P1919" s="18">
        <v>27369.0</v>
      </c>
    </row>
    <row r="1920" ht="15.75" customHeight="1">
      <c r="A1920" s="9" t="s">
        <v>2751</v>
      </c>
      <c r="B1920" s="17">
        <v>1999.0</v>
      </c>
      <c r="C1920" s="9" t="s">
        <v>4725</v>
      </c>
      <c r="D1920" s="9">
        <v>25.0</v>
      </c>
      <c r="E1920" s="18">
        <f t="shared" si="1"/>
        <v>36519</v>
      </c>
      <c r="F1920" s="9">
        <v>0.0</v>
      </c>
      <c r="G1920" s="19">
        <v>7794.68</v>
      </c>
      <c r="H1920" s="9" t="s">
        <v>4723</v>
      </c>
      <c r="I1920" s="9" t="s">
        <v>4723</v>
      </c>
      <c r="J1920" s="9" t="s">
        <v>4721</v>
      </c>
      <c r="K1920" s="20">
        <f t="shared" si="2"/>
        <v>1999</v>
      </c>
      <c r="L1920" s="9" t="str">
        <f t="shared" si="3"/>
        <v>tier - 2</v>
      </c>
      <c r="M1920" s="9" t="str">
        <f t="shared" si="4"/>
        <v>tier - 2</v>
      </c>
      <c r="N1920" s="9" t="str">
        <f t="shared" si="5"/>
        <v>R1026</v>
      </c>
      <c r="O1920" s="17">
        <f t="shared" si="6"/>
        <v>23</v>
      </c>
      <c r="P1920" s="18">
        <v>36519.0</v>
      </c>
    </row>
    <row r="1921" ht="15.75" customHeight="1">
      <c r="A1921" s="9" t="s">
        <v>2749</v>
      </c>
      <c r="B1921" s="17">
        <v>1997.0</v>
      </c>
      <c r="C1921" s="9" t="s">
        <v>4725</v>
      </c>
      <c r="D1921" s="9">
        <v>2.0</v>
      </c>
      <c r="E1921" s="18">
        <f t="shared" si="1"/>
        <v>35766</v>
      </c>
      <c r="F1921" s="9">
        <v>0.0</v>
      </c>
      <c r="G1921" s="19">
        <v>7803.77</v>
      </c>
      <c r="H1921" s="9" t="s">
        <v>4723</v>
      </c>
      <c r="I1921" s="9" t="s">
        <v>4717</v>
      </c>
      <c r="J1921" s="9" t="s">
        <v>4733</v>
      </c>
      <c r="K1921" s="20">
        <f t="shared" si="2"/>
        <v>1997</v>
      </c>
      <c r="L1921" s="9" t="str">
        <f t="shared" si="3"/>
        <v>tier - 2</v>
      </c>
      <c r="M1921" s="9" t="str">
        <f t="shared" si="4"/>
        <v>tier - 3</v>
      </c>
      <c r="N1921" s="9" t="str">
        <f t="shared" si="5"/>
        <v>R1012</v>
      </c>
      <c r="O1921" s="17">
        <f t="shared" si="6"/>
        <v>25</v>
      </c>
      <c r="P1921" s="18">
        <v>35766.0</v>
      </c>
    </row>
    <row r="1922" ht="15.75" customHeight="1">
      <c r="A1922" s="9" t="s">
        <v>2747</v>
      </c>
      <c r="B1922" s="17">
        <v>1974.0</v>
      </c>
      <c r="C1922" s="9" t="s">
        <v>4735</v>
      </c>
      <c r="D1922" s="9">
        <v>9.0</v>
      </c>
      <c r="E1922" s="18">
        <f t="shared" si="1"/>
        <v>27342</v>
      </c>
      <c r="F1922" s="9">
        <v>0.0</v>
      </c>
      <c r="G1922" s="19">
        <v>7804.16</v>
      </c>
      <c r="H1922" s="9" t="s">
        <v>4723</v>
      </c>
      <c r="I1922" s="9" t="s">
        <v>4717</v>
      </c>
      <c r="J1922" s="9" t="s">
        <v>4743</v>
      </c>
      <c r="K1922" s="20">
        <f t="shared" si="2"/>
        <v>1974</v>
      </c>
      <c r="L1922" s="9" t="str">
        <f t="shared" si="3"/>
        <v>tier - 2</v>
      </c>
      <c r="M1922" s="9" t="str">
        <f t="shared" si="4"/>
        <v>tier - 3</v>
      </c>
      <c r="N1922" s="9" t="str">
        <f t="shared" si="5"/>
        <v>R1013</v>
      </c>
      <c r="O1922" s="17">
        <f t="shared" si="6"/>
        <v>48</v>
      </c>
      <c r="P1922" s="18">
        <v>27342.0</v>
      </c>
    </row>
    <row r="1923" ht="15.75" customHeight="1">
      <c r="A1923" s="9" t="s">
        <v>2745</v>
      </c>
      <c r="B1923" s="17">
        <v>1991.0</v>
      </c>
      <c r="C1923" s="9" t="s">
        <v>4725</v>
      </c>
      <c r="D1923" s="9">
        <v>21.0</v>
      </c>
      <c r="E1923" s="18">
        <f t="shared" si="1"/>
        <v>33593</v>
      </c>
      <c r="F1923" s="9">
        <v>3.0</v>
      </c>
      <c r="G1923" s="19">
        <v>7812.67</v>
      </c>
      <c r="H1923" s="9" t="s">
        <v>4723</v>
      </c>
      <c r="I1923" s="9" t="s">
        <v>4718</v>
      </c>
      <c r="J1923" s="9" t="s">
        <v>4733</v>
      </c>
      <c r="K1923" s="20">
        <f t="shared" si="2"/>
        <v>1991</v>
      </c>
      <c r="L1923" s="9" t="str">
        <f t="shared" si="3"/>
        <v>tier - 2</v>
      </c>
      <c r="M1923" s="9" t="str">
        <f t="shared" si="4"/>
        <v>tier - 1</v>
      </c>
      <c r="N1923" s="9" t="str">
        <f t="shared" si="5"/>
        <v>R1012</v>
      </c>
      <c r="O1923" s="17">
        <f t="shared" si="6"/>
        <v>31</v>
      </c>
      <c r="P1923" s="18">
        <v>33593.0</v>
      </c>
    </row>
    <row r="1924" ht="15.75" customHeight="1">
      <c r="A1924" s="9" t="s">
        <v>2743</v>
      </c>
      <c r="B1924" s="17">
        <v>1989.0</v>
      </c>
      <c r="C1924" s="9" t="s">
        <v>4720</v>
      </c>
      <c r="D1924" s="9">
        <v>12.0</v>
      </c>
      <c r="E1924" s="18">
        <f t="shared" si="1"/>
        <v>32793</v>
      </c>
      <c r="F1924" s="9">
        <v>3.0</v>
      </c>
      <c r="G1924" s="19">
        <v>7824.37</v>
      </c>
      <c r="H1924" s="9" t="s">
        <v>4723</v>
      </c>
      <c r="I1924" s="9" t="s">
        <v>4723</v>
      </c>
      <c r="J1924" s="9" t="s">
        <v>4733</v>
      </c>
      <c r="K1924" s="20">
        <f t="shared" si="2"/>
        <v>1989</v>
      </c>
      <c r="L1924" s="9" t="str">
        <f t="shared" si="3"/>
        <v>tier - 2</v>
      </c>
      <c r="M1924" s="9" t="str">
        <f t="shared" si="4"/>
        <v>tier - 2</v>
      </c>
      <c r="N1924" s="9" t="str">
        <f t="shared" si="5"/>
        <v>R1012</v>
      </c>
      <c r="O1924" s="17">
        <f t="shared" si="6"/>
        <v>33</v>
      </c>
      <c r="P1924" s="18">
        <v>32793.0</v>
      </c>
    </row>
    <row r="1925" ht="15.75" customHeight="1">
      <c r="A1925" s="9" t="s">
        <v>2741</v>
      </c>
      <c r="B1925" s="17">
        <v>2001.0</v>
      </c>
      <c r="C1925" s="9" t="s">
        <v>4720</v>
      </c>
      <c r="D1925" s="9">
        <v>5.0</v>
      </c>
      <c r="E1925" s="18">
        <f t="shared" si="1"/>
        <v>37169</v>
      </c>
      <c r="F1925" s="9">
        <v>0.0</v>
      </c>
      <c r="G1925" s="19">
        <v>7844.8</v>
      </c>
      <c r="H1925" s="9" t="s">
        <v>4723</v>
      </c>
      <c r="I1925" s="9" t="s">
        <v>4723</v>
      </c>
      <c r="J1925" s="9" t="s">
        <v>4733</v>
      </c>
      <c r="K1925" s="20">
        <f t="shared" si="2"/>
        <v>2001</v>
      </c>
      <c r="L1925" s="9" t="str">
        <f t="shared" si="3"/>
        <v>tier - 2</v>
      </c>
      <c r="M1925" s="9" t="str">
        <f t="shared" si="4"/>
        <v>tier - 2</v>
      </c>
      <c r="N1925" s="9" t="str">
        <f t="shared" si="5"/>
        <v>R1012</v>
      </c>
      <c r="O1925" s="17">
        <f t="shared" si="6"/>
        <v>21</v>
      </c>
      <c r="P1925" s="18">
        <v>37169.0</v>
      </c>
    </row>
    <row r="1926" ht="15.75" customHeight="1">
      <c r="A1926" s="9" t="s">
        <v>275</v>
      </c>
      <c r="B1926" s="17">
        <v>2004.0</v>
      </c>
      <c r="C1926" s="9" t="s">
        <v>4725</v>
      </c>
      <c r="D1926" s="9">
        <v>5.0</v>
      </c>
      <c r="E1926" s="18">
        <f t="shared" si="1"/>
        <v>38326</v>
      </c>
      <c r="F1926" s="9">
        <v>0.0</v>
      </c>
      <c r="G1926" s="19">
        <v>38792.69</v>
      </c>
      <c r="H1926" s="9" t="s">
        <v>4723</v>
      </c>
      <c r="I1926" s="9" t="s">
        <v>4723</v>
      </c>
      <c r="J1926" s="9" t="s">
        <v>4743</v>
      </c>
      <c r="K1926" s="20">
        <f t="shared" si="2"/>
        <v>2004</v>
      </c>
      <c r="L1926" s="9" t="str">
        <f t="shared" si="3"/>
        <v>tier - 2</v>
      </c>
      <c r="M1926" s="9" t="str">
        <f t="shared" si="4"/>
        <v>tier - 2</v>
      </c>
      <c r="N1926" s="9" t="str">
        <f t="shared" si="5"/>
        <v>R1013</v>
      </c>
      <c r="O1926" s="17">
        <f t="shared" si="6"/>
        <v>18</v>
      </c>
      <c r="P1926" s="18">
        <v>38326.0</v>
      </c>
    </row>
    <row r="1927" ht="15.75" customHeight="1">
      <c r="A1927" s="9" t="s">
        <v>2739</v>
      </c>
      <c r="B1927" s="17">
        <v>1994.0</v>
      </c>
      <c r="C1927" s="9" t="s">
        <v>4735</v>
      </c>
      <c r="D1927" s="9">
        <v>17.0</v>
      </c>
      <c r="E1927" s="18">
        <f t="shared" si="1"/>
        <v>34655</v>
      </c>
      <c r="F1927" s="9">
        <v>0.0</v>
      </c>
      <c r="G1927" s="19">
        <v>7851.85</v>
      </c>
      <c r="H1927" s="9" t="s">
        <v>4723</v>
      </c>
      <c r="I1927" s="9" t="s">
        <v>4717</v>
      </c>
      <c r="J1927" s="9" t="s">
        <v>4733</v>
      </c>
      <c r="K1927" s="20">
        <f t="shared" si="2"/>
        <v>1994</v>
      </c>
      <c r="L1927" s="9" t="str">
        <f t="shared" si="3"/>
        <v>tier - 2</v>
      </c>
      <c r="M1927" s="9" t="str">
        <f t="shared" si="4"/>
        <v>tier - 3</v>
      </c>
      <c r="N1927" s="9" t="str">
        <f t="shared" si="5"/>
        <v>R1012</v>
      </c>
      <c r="O1927" s="17">
        <f t="shared" si="6"/>
        <v>28</v>
      </c>
      <c r="P1927" s="18">
        <v>34655.0</v>
      </c>
    </row>
    <row r="1928" ht="15.75" customHeight="1">
      <c r="A1928" s="9" t="s">
        <v>2737</v>
      </c>
      <c r="B1928" s="17">
        <v>1962.0</v>
      </c>
      <c r="C1928" s="9" t="s">
        <v>4720</v>
      </c>
      <c r="D1928" s="9">
        <v>10.0</v>
      </c>
      <c r="E1928" s="18">
        <f t="shared" si="1"/>
        <v>22929</v>
      </c>
      <c r="F1928" s="9">
        <v>0.0</v>
      </c>
      <c r="G1928" s="19">
        <v>7896.41</v>
      </c>
      <c r="H1928" s="9" t="s">
        <v>4717</v>
      </c>
      <c r="I1928" s="9" t="s">
        <v>4723</v>
      </c>
      <c r="J1928" s="9" t="s">
        <v>4743</v>
      </c>
      <c r="K1928" s="20">
        <f t="shared" si="2"/>
        <v>1962</v>
      </c>
      <c r="L1928" s="9" t="str">
        <f t="shared" si="3"/>
        <v>tier - 3</v>
      </c>
      <c r="M1928" s="9" t="str">
        <f t="shared" si="4"/>
        <v>tier - 2</v>
      </c>
      <c r="N1928" s="9" t="str">
        <f t="shared" si="5"/>
        <v>R1013</v>
      </c>
      <c r="O1928" s="17">
        <f t="shared" si="6"/>
        <v>60</v>
      </c>
      <c r="P1928" s="18">
        <v>22929.0</v>
      </c>
    </row>
    <row r="1929" ht="15.75" customHeight="1">
      <c r="A1929" s="9" t="s">
        <v>2735</v>
      </c>
      <c r="B1929" s="17">
        <v>1977.0</v>
      </c>
      <c r="C1929" s="9" t="s">
        <v>4741</v>
      </c>
      <c r="D1929" s="9">
        <v>20.0</v>
      </c>
      <c r="E1929" s="18">
        <f t="shared" si="1"/>
        <v>28326</v>
      </c>
      <c r="F1929" s="9">
        <v>0.0</v>
      </c>
      <c r="G1929" s="19">
        <v>7935.29</v>
      </c>
      <c r="H1929" s="9" t="s">
        <v>4723</v>
      </c>
      <c r="I1929" s="9" t="s">
        <v>4718</v>
      </c>
      <c r="J1929" s="9" t="s">
        <v>4731</v>
      </c>
      <c r="K1929" s="20">
        <f t="shared" si="2"/>
        <v>1977</v>
      </c>
      <c r="L1929" s="9" t="str">
        <f t="shared" si="3"/>
        <v>tier - 2</v>
      </c>
      <c r="M1929" s="9" t="str">
        <f t="shared" si="4"/>
        <v>tier - 1</v>
      </c>
      <c r="N1929" s="9" t="str">
        <f t="shared" si="5"/>
        <v>R1024</v>
      </c>
      <c r="O1929" s="17">
        <f t="shared" si="6"/>
        <v>45</v>
      </c>
      <c r="P1929" s="18">
        <v>28326.0</v>
      </c>
    </row>
    <row r="1930" ht="15.75" customHeight="1">
      <c r="A1930" s="9" t="s">
        <v>2733</v>
      </c>
      <c r="B1930" s="17">
        <v>1987.0</v>
      </c>
      <c r="C1930" s="9" t="s">
        <v>4720</v>
      </c>
      <c r="D1930" s="9">
        <v>29.0</v>
      </c>
      <c r="E1930" s="18">
        <f t="shared" si="1"/>
        <v>32079</v>
      </c>
      <c r="F1930" s="9">
        <v>3.0</v>
      </c>
      <c r="G1930" s="19">
        <v>7948.22</v>
      </c>
      <c r="H1930" s="9" t="s">
        <v>4723</v>
      </c>
      <c r="I1930" s="9" t="s">
        <v>4717</v>
      </c>
      <c r="J1930" s="9" t="s">
        <v>4726</v>
      </c>
      <c r="K1930" s="20">
        <f t="shared" si="2"/>
        <v>1987</v>
      </c>
      <c r="L1930" s="9" t="str">
        <f t="shared" si="3"/>
        <v>tier - 2</v>
      </c>
      <c r="M1930" s="9" t="str">
        <f t="shared" si="4"/>
        <v>tier - 3</v>
      </c>
      <c r="N1930" s="9" t="str">
        <f t="shared" si="5"/>
        <v>R1025</v>
      </c>
      <c r="O1930" s="17">
        <f t="shared" si="6"/>
        <v>35</v>
      </c>
      <c r="P1930" s="18">
        <v>32079.0</v>
      </c>
    </row>
    <row r="1931" ht="15.75" customHeight="1">
      <c r="A1931" s="9" t="s">
        <v>2731</v>
      </c>
      <c r="B1931" s="17">
        <v>1966.0</v>
      </c>
      <c r="C1931" s="9" t="s">
        <v>4741</v>
      </c>
      <c r="D1931" s="9">
        <v>9.0</v>
      </c>
      <c r="E1931" s="18">
        <f t="shared" si="1"/>
        <v>24297</v>
      </c>
      <c r="F1931" s="9">
        <v>0.0</v>
      </c>
      <c r="G1931" s="19">
        <v>7953.72</v>
      </c>
      <c r="H1931" s="9" t="s">
        <v>4717</v>
      </c>
      <c r="I1931" s="9" t="s">
        <v>4717</v>
      </c>
      <c r="J1931" s="9" t="s">
        <v>4733</v>
      </c>
      <c r="K1931" s="20">
        <f t="shared" si="2"/>
        <v>1966</v>
      </c>
      <c r="L1931" s="9" t="str">
        <f t="shared" si="3"/>
        <v>tier - 3</v>
      </c>
      <c r="M1931" s="9" t="str">
        <f t="shared" si="4"/>
        <v>tier - 3</v>
      </c>
      <c r="N1931" s="9" t="str">
        <f t="shared" si="5"/>
        <v>R1012</v>
      </c>
      <c r="O1931" s="17">
        <f t="shared" si="6"/>
        <v>56</v>
      </c>
      <c r="P1931" s="18">
        <v>24297.0</v>
      </c>
    </row>
    <row r="1932" ht="15.75" customHeight="1">
      <c r="A1932" s="9" t="s">
        <v>2729</v>
      </c>
      <c r="B1932" s="17">
        <v>1981.0</v>
      </c>
      <c r="C1932" s="9" t="s">
        <v>4725</v>
      </c>
      <c r="D1932" s="9">
        <v>28.0</v>
      </c>
      <c r="E1932" s="18">
        <f t="shared" si="1"/>
        <v>29948</v>
      </c>
      <c r="F1932" s="9">
        <v>3.0</v>
      </c>
      <c r="G1932" s="19">
        <v>7954.52</v>
      </c>
      <c r="H1932" s="9" t="s">
        <v>4723</v>
      </c>
      <c r="I1932" s="9" t="s">
        <v>4723</v>
      </c>
      <c r="J1932" s="9" t="s">
        <v>4719</v>
      </c>
      <c r="K1932" s="20">
        <f t="shared" si="2"/>
        <v>1981</v>
      </c>
      <c r="L1932" s="9" t="str">
        <f t="shared" si="3"/>
        <v>tier - 2</v>
      </c>
      <c r="M1932" s="9" t="str">
        <f t="shared" si="4"/>
        <v>tier - 2</v>
      </c>
      <c r="N1932" s="9" t="str">
        <f t="shared" si="5"/>
        <v>R1011</v>
      </c>
      <c r="O1932" s="17">
        <f t="shared" si="6"/>
        <v>41</v>
      </c>
      <c r="P1932" s="18">
        <v>29948.0</v>
      </c>
    </row>
    <row r="1933" ht="15.75" customHeight="1">
      <c r="A1933" s="9" t="s">
        <v>2727</v>
      </c>
      <c r="B1933" s="17">
        <v>1970.0</v>
      </c>
      <c r="C1933" s="9" t="s">
        <v>4730</v>
      </c>
      <c r="D1933" s="9">
        <v>19.0</v>
      </c>
      <c r="E1933" s="18">
        <f t="shared" si="1"/>
        <v>25738</v>
      </c>
      <c r="F1933" s="9">
        <v>0.0</v>
      </c>
      <c r="G1933" s="19">
        <v>7958.13</v>
      </c>
      <c r="H1933" s="9" t="s">
        <v>4723</v>
      </c>
      <c r="I1933" s="9" t="s">
        <v>4723</v>
      </c>
      <c r="J1933" s="9" t="s">
        <v>4743</v>
      </c>
      <c r="K1933" s="20">
        <f t="shared" si="2"/>
        <v>1970</v>
      </c>
      <c r="L1933" s="9" t="str">
        <f t="shared" si="3"/>
        <v>tier - 2</v>
      </c>
      <c r="M1933" s="9" t="str">
        <f t="shared" si="4"/>
        <v>tier - 2</v>
      </c>
      <c r="N1933" s="9" t="str">
        <f t="shared" si="5"/>
        <v>R1013</v>
      </c>
      <c r="O1933" s="17">
        <f t="shared" si="6"/>
        <v>52</v>
      </c>
      <c r="P1933" s="18">
        <v>25738.0</v>
      </c>
    </row>
    <row r="1934" ht="15.75" customHeight="1">
      <c r="A1934" s="9" t="s">
        <v>2725</v>
      </c>
      <c r="B1934" s="17">
        <v>1975.0</v>
      </c>
      <c r="C1934" s="9" t="s">
        <v>4716</v>
      </c>
      <c r="D1934" s="9">
        <v>10.0</v>
      </c>
      <c r="E1934" s="18">
        <f t="shared" si="1"/>
        <v>27616</v>
      </c>
      <c r="F1934" s="9">
        <v>1.0</v>
      </c>
      <c r="G1934" s="19">
        <v>7966.81</v>
      </c>
      <c r="H1934" s="9" t="s">
        <v>4723</v>
      </c>
      <c r="I1934" s="9" t="s">
        <v>4723</v>
      </c>
      <c r="J1934" s="9" t="s">
        <v>4743</v>
      </c>
      <c r="K1934" s="20">
        <f t="shared" si="2"/>
        <v>1975</v>
      </c>
      <c r="L1934" s="9" t="str">
        <f t="shared" si="3"/>
        <v>tier - 2</v>
      </c>
      <c r="M1934" s="9" t="str">
        <f t="shared" si="4"/>
        <v>tier - 2</v>
      </c>
      <c r="N1934" s="9" t="str">
        <f t="shared" si="5"/>
        <v>R1013</v>
      </c>
      <c r="O1934" s="17">
        <f t="shared" si="6"/>
        <v>47</v>
      </c>
      <c r="P1934" s="18">
        <v>27616.0</v>
      </c>
    </row>
    <row r="1935" ht="15.75" customHeight="1">
      <c r="A1935" s="9" t="s">
        <v>2723</v>
      </c>
      <c r="B1935" s="17">
        <v>1972.0</v>
      </c>
      <c r="C1935" s="9" t="s">
        <v>4735</v>
      </c>
      <c r="D1935" s="9">
        <v>23.0</v>
      </c>
      <c r="E1935" s="18">
        <f t="shared" si="1"/>
        <v>26626</v>
      </c>
      <c r="F1935" s="9">
        <v>0.0</v>
      </c>
      <c r="G1935" s="19">
        <v>7980.34</v>
      </c>
      <c r="H1935" s="9" t="s">
        <v>4723</v>
      </c>
      <c r="I1935" s="9" t="s">
        <v>4723</v>
      </c>
      <c r="J1935" s="9" t="s">
        <v>4743</v>
      </c>
      <c r="K1935" s="20">
        <f t="shared" si="2"/>
        <v>1972</v>
      </c>
      <c r="L1935" s="9" t="str">
        <f t="shared" si="3"/>
        <v>tier - 2</v>
      </c>
      <c r="M1935" s="9" t="str">
        <f t="shared" si="4"/>
        <v>tier - 2</v>
      </c>
      <c r="N1935" s="9" t="str">
        <f t="shared" si="5"/>
        <v>R1013</v>
      </c>
      <c r="O1935" s="17">
        <f t="shared" si="6"/>
        <v>50</v>
      </c>
      <c r="P1935" s="18">
        <v>26626.0</v>
      </c>
    </row>
    <row r="1936" ht="15.75" customHeight="1">
      <c r="A1936" s="9" t="s">
        <v>2721</v>
      </c>
      <c r="B1936" s="17">
        <v>1983.0</v>
      </c>
      <c r="C1936" s="9" t="s">
        <v>4716</v>
      </c>
      <c r="D1936" s="9">
        <v>28.0</v>
      </c>
      <c r="E1936" s="18">
        <f t="shared" si="1"/>
        <v>30556</v>
      </c>
      <c r="F1936" s="9">
        <v>3.0</v>
      </c>
      <c r="G1936" s="19">
        <v>7985.82</v>
      </c>
      <c r="H1936" s="9" t="s">
        <v>4723</v>
      </c>
      <c r="I1936" s="9" t="s">
        <v>4718</v>
      </c>
      <c r="J1936" s="9" t="s">
        <v>4731</v>
      </c>
      <c r="K1936" s="20">
        <f t="shared" si="2"/>
        <v>1983</v>
      </c>
      <c r="L1936" s="9" t="str">
        <f t="shared" si="3"/>
        <v>tier - 2</v>
      </c>
      <c r="M1936" s="9" t="str">
        <f t="shared" si="4"/>
        <v>tier - 1</v>
      </c>
      <c r="N1936" s="9" t="str">
        <f t="shared" si="5"/>
        <v>R1024</v>
      </c>
      <c r="O1936" s="17">
        <f t="shared" si="6"/>
        <v>39</v>
      </c>
      <c r="P1936" s="18">
        <v>30556.0</v>
      </c>
    </row>
    <row r="1937" ht="15.75" customHeight="1">
      <c r="A1937" s="9" t="s">
        <v>273</v>
      </c>
      <c r="B1937" s="17">
        <v>1979.0</v>
      </c>
      <c r="C1937" s="9" t="s">
        <v>4725</v>
      </c>
      <c r="D1937" s="9">
        <v>3.0</v>
      </c>
      <c r="E1937" s="18">
        <f t="shared" si="1"/>
        <v>29192</v>
      </c>
      <c r="F1937" s="9">
        <v>2.0</v>
      </c>
      <c r="G1937" s="19">
        <v>38836.98</v>
      </c>
      <c r="H1937" s="9" t="s">
        <v>4723</v>
      </c>
      <c r="I1937" s="9" t="s">
        <v>4718</v>
      </c>
      <c r="J1937" s="9" t="s">
        <v>4719</v>
      </c>
      <c r="K1937" s="20">
        <f t="shared" si="2"/>
        <v>1979</v>
      </c>
      <c r="L1937" s="9" t="str">
        <f t="shared" si="3"/>
        <v>tier - 2</v>
      </c>
      <c r="M1937" s="9" t="str">
        <f t="shared" si="4"/>
        <v>tier - 1</v>
      </c>
      <c r="N1937" s="9" t="str">
        <f t="shared" si="5"/>
        <v>R1011</v>
      </c>
      <c r="O1937" s="17">
        <f t="shared" si="6"/>
        <v>43</v>
      </c>
      <c r="P1937" s="18">
        <v>29192.0</v>
      </c>
    </row>
    <row r="1938" ht="15.75" customHeight="1">
      <c r="A1938" s="9" t="s">
        <v>2719</v>
      </c>
      <c r="B1938" s="17">
        <v>1983.0</v>
      </c>
      <c r="C1938" s="9" t="s">
        <v>4716</v>
      </c>
      <c r="D1938" s="9">
        <v>20.0</v>
      </c>
      <c r="E1938" s="18">
        <f t="shared" si="1"/>
        <v>30548</v>
      </c>
      <c r="F1938" s="9">
        <v>3.0</v>
      </c>
      <c r="G1938" s="19">
        <v>7986.48</v>
      </c>
      <c r="H1938" s="9" t="s">
        <v>4723</v>
      </c>
      <c r="I1938" s="9" t="s">
        <v>4717</v>
      </c>
      <c r="J1938" s="9" t="s">
        <v>4731</v>
      </c>
      <c r="K1938" s="20">
        <f t="shared" si="2"/>
        <v>1983</v>
      </c>
      <c r="L1938" s="9" t="str">
        <f t="shared" si="3"/>
        <v>tier - 2</v>
      </c>
      <c r="M1938" s="9" t="str">
        <f t="shared" si="4"/>
        <v>tier - 3</v>
      </c>
      <c r="N1938" s="9" t="str">
        <f t="shared" si="5"/>
        <v>R1024</v>
      </c>
      <c r="O1938" s="17">
        <f t="shared" si="6"/>
        <v>39</v>
      </c>
      <c r="P1938" s="18">
        <v>30548.0</v>
      </c>
    </row>
    <row r="1939" ht="15.75" customHeight="1">
      <c r="A1939" s="9" t="s">
        <v>2717</v>
      </c>
      <c r="B1939" s="17">
        <v>1962.0</v>
      </c>
      <c r="C1939" s="9" t="s">
        <v>4716</v>
      </c>
      <c r="D1939" s="9">
        <v>22.0</v>
      </c>
      <c r="E1939" s="18">
        <f t="shared" si="1"/>
        <v>22880</v>
      </c>
      <c r="F1939" s="9">
        <v>0.0</v>
      </c>
      <c r="G1939" s="19">
        <v>8004.96</v>
      </c>
      <c r="H1939" s="9" t="s">
        <v>4717</v>
      </c>
      <c r="I1939" s="9" t="s">
        <v>4718</v>
      </c>
      <c r="J1939" s="9" t="s">
        <v>4743</v>
      </c>
      <c r="K1939" s="20">
        <f t="shared" si="2"/>
        <v>1962</v>
      </c>
      <c r="L1939" s="9" t="str">
        <f t="shared" si="3"/>
        <v>tier - 3</v>
      </c>
      <c r="M1939" s="9" t="str">
        <f t="shared" si="4"/>
        <v>tier - 1</v>
      </c>
      <c r="N1939" s="9" t="str">
        <f t="shared" si="5"/>
        <v>R1013</v>
      </c>
      <c r="O1939" s="17">
        <f t="shared" si="6"/>
        <v>60</v>
      </c>
      <c r="P1939" s="18">
        <v>22880.0</v>
      </c>
    </row>
    <row r="1940" ht="15.75" customHeight="1">
      <c r="A1940" s="9" t="s">
        <v>2715</v>
      </c>
      <c r="B1940" s="17">
        <v>1995.0</v>
      </c>
      <c r="C1940" s="9" t="s">
        <v>4738</v>
      </c>
      <c r="D1940" s="9">
        <v>18.0</v>
      </c>
      <c r="E1940" s="18">
        <f t="shared" si="1"/>
        <v>34960</v>
      </c>
      <c r="F1940" s="9">
        <v>0.0</v>
      </c>
      <c r="G1940" s="19">
        <v>8014.62</v>
      </c>
      <c r="H1940" s="9" t="s">
        <v>4723</v>
      </c>
      <c r="I1940" s="9" t="s">
        <v>4717</v>
      </c>
      <c r="J1940" s="9" t="s">
        <v>4733</v>
      </c>
      <c r="K1940" s="20">
        <f t="shared" si="2"/>
        <v>1995</v>
      </c>
      <c r="L1940" s="9" t="str">
        <f t="shared" si="3"/>
        <v>tier - 2</v>
      </c>
      <c r="M1940" s="9" t="str">
        <f t="shared" si="4"/>
        <v>tier - 3</v>
      </c>
      <c r="N1940" s="9" t="str">
        <f t="shared" si="5"/>
        <v>R1012</v>
      </c>
      <c r="O1940" s="17">
        <f t="shared" si="6"/>
        <v>27</v>
      </c>
      <c r="P1940" s="18">
        <v>34960.0</v>
      </c>
    </row>
    <row r="1941" ht="15.75" customHeight="1">
      <c r="A1941" s="9" t="s">
        <v>2713</v>
      </c>
      <c r="B1941" s="17">
        <v>1980.0</v>
      </c>
      <c r="C1941" s="9" t="s">
        <v>4735</v>
      </c>
      <c r="D1941" s="9">
        <v>8.0</v>
      </c>
      <c r="E1941" s="18">
        <f t="shared" si="1"/>
        <v>29533</v>
      </c>
      <c r="F1941" s="9">
        <v>2.0</v>
      </c>
      <c r="G1941" s="19">
        <v>8017.06</v>
      </c>
      <c r="H1941" s="9" t="s">
        <v>4723</v>
      </c>
      <c r="I1941" s="9" t="s">
        <v>4723</v>
      </c>
      <c r="J1941" s="9" t="s">
        <v>4733</v>
      </c>
      <c r="K1941" s="20">
        <f t="shared" si="2"/>
        <v>1980</v>
      </c>
      <c r="L1941" s="9" t="str">
        <f t="shared" si="3"/>
        <v>tier - 2</v>
      </c>
      <c r="M1941" s="9" t="str">
        <f t="shared" si="4"/>
        <v>tier - 2</v>
      </c>
      <c r="N1941" s="9" t="str">
        <f t="shared" si="5"/>
        <v>R1012</v>
      </c>
      <c r="O1941" s="17">
        <f t="shared" si="6"/>
        <v>42</v>
      </c>
      <c r="P1941" s="18">
        <v>29533.0</v>
      </c>
    </row>
    <row r="1942" ht="15.75" customHeight="1">
      <c r="A1942" s="9" t="s">
        <v>2711</v>
      </c>
      <c r="B1942" s="17">
        <v>1989.0</v>
      </c>
      <c r="C1942" s="9" t="s">
        <v>4735</v>
      </c>
      <c r="D1942" s="9">
        <v>3.0</v>
      </c>
      <c r="E1942" s="18">
        <f t="shared" si="1"/>
        <v>32815</v>
      </c>
      <c r="F1942" s="9">
        <v>3.0</v>
      </c>
      <c r="G1942" s="19">
        <v>8021.11</v>
      </c>
      <c r="H1942" s="9" t="s">
        <v>4723</v>
      </c>
      <c r="I1942" s="9" t="s">
        <v>4718</v>
      </c>
      <c r="J1942" s="9" t="s">
        <v>4733</v>
      </c>
      <c r="K1942" s="20">
        <f t="shared" si="2"/>
        <v>1989</v>
      </c>
      <c r="L1942" s="9" t="str">
        <f t="shared" si="3"/>
        <v>tier - 2</v>
      </c>
      <c r="M1942" s="9" t="str">
        <f t="shared" si="4"/>
        <v>tier - 1</v>
      </c>
      <c r="N1942" s="9" t="str">
        <f t="shared" si="5"/>
        <v>R1012</v>
      </c>
      <c r="O1942" s="17">
        <f t="shared" si="6"/>
        <v>33</v>
      </c>
      <c r="P1942" s="18">
        <v>32815.0</v>
      </c>
    </row>
    <row r="1943" ht="15.75" customHeight="1">
      <c r="A1943" s="9" t="s">
        <v>2709</v>
      </c>
      <c r="B1943" s="17">
        <v>1978.0</v>
      </c>
      <c r="C1943" s="9" t="s">
        <v>4741</v>
      </c>
      <c r="D1943" s="9">
        <v>17.0</v>
      </c>
      <c r="E1943" s="18">
        <f t="shared" si="1"/>
        <v>28688</v>
      </c>
      <c r="F1943" s="9">
        <v>1.0</v>
      </c>
      <c r="G1943" s="19">
        <v>8023.14</v>
      </c>
      <c r="H1943" s="9" t="s">
        <v>4723</v>
      </c>
      <c r="I1943" s="9" t="s">
        <v>4717</v>
      </c>
      <c r="J1943" s="9" t="s">
        <v>4733</v>
      </c>
      <c r="K1943" s="20">
        <f t="shared" si="2"/>
        <v>1978</v>
      </c>
      <c r="L1943" s="9" t="str">
        <f t="shared" si="3"/>
        <v>tier - 2</v>
      </c>
      <c r="M1943" s="9" t="str">
        <f t="shared" si="4"/>
        <v>tier - 3</v>
      </c>
      <c r="N1943" s="9" t="str">
        <f t="shared" si="5"/>
        <v>R1012</v>
      </c>
      <c r="O1943" s="17">
        <f t="shared" si="6"/>
        <v>44</v>
      </c>
      <c r="P1943" s="18">
        <v>28688.0</v>
      </c>
    </row>
    <row r="1944" ht="15.75" customHeight="1">
      <c r="A1944" s="9" t="s">
        <v>2707</v>
      </c>
      <c r="B1944" s="17">
        <v>1976.0</v>
      </c>
      <c r="C1944" s="9" t="s">
        <v>4725</v>
      </c>
      <c r="D1944" s="9">
        <v>20.0</v>
      </c>
      <c r="E1944" s="18">
        <f t="shared" si="1"/>
        <v>28114</v>
      </c>
      <c r="F1944" s="9">
        <v>0.0</v>
      </c>
      <c r="G1944" s="19">
        <v>8026.67</v>
      </c>
      <c r="H1944" s="9" t="s">
        <v>4723</v>
      </c>
      <c r="I1944" s="9" t="s">
        <v>4723</v>
      </c>
      <c r="J1944" s="9" t="s">
        <v>4733</v>
      </c>
      <c r="K1944" s="20">
        <f t="shared" si="2"/>
        <v>1976</v>
      </c>
      <c r="L1944" s="9" t="str">
        <f t="shared" si="3"/>
        <v>tier - 2</v>
      </c>
      <c r="M1944" s="9" t="str">
        <f t="shared" si="4"/>
        <v>tier - 2</v>
      </c>
      <c r="N1944" s="9" t="str">
        <f t="shared" si="5"/>
        <v>R1012</v>
      </c>
      <c r="O1944" s="17">
        <f t="shared" si="6"/>
        <v>46</v>
      </c>
      <c r="P1944" s="18">
        <v>28114.0</v>
      </c>
    </row>
    <row r="1945" ht="15.75" customHeight="1">
      <c r="A1945" s="9" t="s">
        <v>2705</v>
      </c>
      <c r="B1945" s="17">
        <v>1977.0</v>
      </c>
      <c r="C1945" s="9" t="s">
        <v>4735</v>
      </c>
      <c r="D1945" s="9">
        <v>6.0</v>
      </c>
      <c r="E1945" s="18">
        <f t="shared" si="1"/>
        <v>28435</v>
      </c>
      <c r="F1945" s="9">
        <v>2.0</v>
      </c>
      <c r="G1945" s="19">
        <v>8027.97</v>
      </c>
      <c r="H1945" s="9" t="s">
        <v>4717</v>
      </c>
      <c r="I1945" s="9" t="s">
        <v>4723</v>
      </c>
      <c r="J1945" s="9" t="s">
        <v>4719</v>
      </c>
      <c r="K1945" s="20">
        <f t="shared" si="2"/>
        <v>1977</v>
      </c>
      <c r="L1945" s="9" t="str">
        <f t="shared" si="3"/>
        <v>tier - 3</v>
      </c>
      <c r="M1945" s="9" t="str">
        <f t="shared" si="4"/>
        <v>tier - 2</v>
      </c>
      <c r="N1945" s="9" t="str">
        <f t="shared" si="5"/>
        <v>R1011</v>
      </c>
      <c r="O1945" s="17">
        <f t="shared" si="6"/>
        <v>45</v>
      </c>
      <c r="P1945" s="18">
        <v>28435.0</v>
      </c>
    </row>
    <row r="1946" ht="15.75" customHeight="1">
      <c r="A1946" s="9" t="s">
        <v>2703</v>
      </c>
      <c r="B1946" s="17">
        <v>2003.0</v>
      </c>
      <c r="C1946" s="9" t="s">
        <v>4725</v>
      </c>
      <c r="D1946" s="9">
        <v>12.0</v>
      </c>
      <c r="E1946" s="18">
        <f t="shared" si="1"/>
        <v>37967</v>
      </c>
      <c r="F1946" s="9">
        <v>0.0</v>
      </c>
      <c r="G1946" s="19">
        <v>8035.64</v>
      </c>
      <c r="H1946" s="9" t="s">
        <v>4723</v>
      </c>
      <c r="I1946" s="9" t="s">
        <v>4723</v>
      </c>
      <c r="J1946" s="9" t="s">
        <v>4733</v>
      </c>
      <c r="K1946" s="20">
        <f t="shared" si="2"/>
        <v>2003</v>
      </c>
      <c r="L1946" s="9" t="str">
        <f t="shared" si="3"/>
        <v>tier - 2</v>
      </c>
      <c r="M1946" s="9" t="str">
        <f t="shared" si="4"/>
        <v>tier - 2</v>
      </c>
      <c r="N1946" s="9" t="str">
        <f t="shared" si="5"/>
        <v>R1012</v>
      </c>
      <c r="O1946" s="17">
        <f t="shared" si="6"/>
        <v>19</v>
      </c>
      <c r="P1946" s="18">
        <v>37967.0</v>
      </c>
    </row>
    <row r="1947" ht="15.75" customHeight="1">
      <c r="A1947" s="9" t="s">
        <v>2701</v>
      </c>
      <c r="B1947" s="17">
        <v>1985.0</v>
      </c>
      <c r="C1947" s="9" t="s">
        <v>4735</v>
      </c>
      <c r="D1947" s="9">
        <v>28.0</v>
      </c>
      <c r="E1947" s="18">
        <f t="shared" si="1"/>
        <v>31379</v>
      </c>
      <c r="F1947" s="9">
        <v>3.0</v>
      </c>
      <c r="G1947" s="19">
        <v>8059.06</v>
      </c>
      <c r="H1947" s="9" t="s">
        <v>4723</v>
      </c>
      <c r="I1947" s="9" t="s">
        <v>4717</v>
      </c>
      <c r="J1947" s="9" t="s">
        <v>4733</v>
      </c>
      <c r="K1947" s="20">
        <f t="shared" si="2"/>
        <v>1985</v>
      </c>
      <c r="L1947" s="9" t="str">
        <f t="shared" si="3"/>
        <v>tier - 2</v>
      </c>
      <c r="M1947" s="9" t="str">
        <f t="shared" si="4"/>
        <v>tier - 3</v>
      </c>
      <c r="N1947" s="9" t="str">
        <f t="shared" si="5"/>
        <v>R1012</v>
      </c>
      <c r="O1947" s="17">
        <f t="shared" si="6"/>
        <v>37</v>
      </c>
      <c r="P1947" s="18">
        <v>31379.0</v>
      </c>
    </row>
    <row r="1948" ht="15.75" customHeight="1">
      <c r="A1948" s="9" t="s">
        <v>271</v>
      </c>
      <c r="B1948" s="17">
        <v>1964.0</v>
      </c>
      <c r="C1948" s="9" t="s">
        <v>4730</v>
      </c>
      <c r="D1948" s="9">
        <v>6.0</v>
      </c>
      <c r="E1948" s="18">
        <f t="shared" si="1"/>
        <v>23534</v>
      </c>
      <c r="F1948" s="9">
        <v>0.0</v>
      </c>
      <c r="G1948" s="19">
        <v>38869.25</v>
      </c>
      <c r="H1948" s="9" t="s">
        <v>4723</v>
      </c>
      <c r="I1948" s="9" t="s">
        <v>4723</v>
      </c>
      <c r="J1948" s="9" t="s">
        <v>4719</v>
      </c>
      <c r="K1948" s="20">
        <f t="shared" si="2"/>
        <v>1964</v>
      </c>
      <c r="L1948" s="9" t="str">
        <f t="shared" si="3"/>
        <v>tier - 2</v>
      </c>
      <c r="M1948" s="9" t="str">
        <f t="shared" si="4"/>
        <v>tier - 2</v>
      </c>
      <c r="N1948" s="9" t="str">
        <f t="shared" si="5"/>
        <v>R1011</v>
      </c>
      <c r="O1948" s="17">
        <f t="shared" si="6"/>
        <v>59</v>
      </c>
      <c r="P1948" s="18">
        <v>23534.0</v>
      </c>
    </row>
    <row r="1949" ht="15.75" customHeight="1">
      <c r="A1949" s="9" t="s">
        <v>2699</v>
      </c>
      <c r="B1949" s="17">
        <v>1982.0</v>
      </c>
      <c r="C1949" s="9" t="s">
        <v>4725</v>
      </c>
      <c r="D1949" s="9">
        <v>27.0</v>
      </c>
      <c r="E1949" s="18">
        <f t="shared" si="1"/>
        <v>30312</v>
      </c>
      <c r="F1949" s="9">
        <v>3.0</v>
      </c>
      <c r="G1949" s="19">
        <v>8059.68</v>
      </c>
      <c r="H1949" s="9" t="s">
        <v>4723</v>
      </c>
      <c r="I1949" s="9" t="s">
        <v>4717</v>
      </c>
      <c r="J1949" s="9" t="s">
        <v>4733</v>
      </c>
      <c r="K1949" s="20">
        <f t="shared" si="2"/>
        <v>1982</v>
      </c>
      <c r="L1949" s="9" t="str">
        <f t="shared" si="3"/>
        <v>tier - 2</v>
      </c>
      <c r="M1949" s="9" t="str">
        <f t="shared" si="4"/>
        <v>tier - 3</v>
      </c>
      <c r="N1949" s="9" t="str">
        <f t="shared" si="5"/>
        <v>R1012</v>
      </c>
      <c r="O1949" s="17">
        <f t="shared" si="6"/>
        <v>40</v>
      </c>
      <c r="P1949" s="18">
        <v>30312.0</v>
      </c>
    </row>
    <row r="1950" ht="15.75" customHeight="1">
      <c r="A1950" s="9" t="s">
        <v>2697</v>
      </c>
      <c r="B1950" s="17">
        <v>1970.0</v>
      </c>
      <c r="C1950" s="9" t="s">
        <v>4725</v>
      </c>
      <c r="D1950" s="9">
        <v>12.0</v>
      </c>
      <c r="E1950" s="18">
        <f t="shared" si="1"/>
        <v>25914</v>
      </c>
      <c r="F1950" s="9">
        <v>0.0</v>
      </c>
      <c r="G1950" s="19">
        <v>8062.31</v>
      </c>
      <c r="H1950" s="9" t="s">
        <v>4723</v>
      </c>
      <c r="I1950" s="9" t="s">
        <v>4718</v>
      </c>
      <c r="J1950" s="9" t="s">
        <v>4743</v>
      </c>
      <c r="K1950" s="20">
        <f t="shared" si="2"/>
        <v>1970</v>
      </c>
      <c r="L1950" s="9" t="str">
        <f t="shared" si="3"/>
        <v>tier - 2</v>
      </c>
      <c r="M1950" s="9" t="str">
        <f t="shared" si="4"/>
        <v>tier - 1</v>
      </c>
      <c r="N1950" s="9" t="str">
        <f t="shared" si="5"/>
        <v>R1013</v>
      </c>
      <c r="O1950" s="17">
        <f t="shared" si="6"/>
        <v>52</v>
      </c>
      <c r="P1950" s="18">
        <v>25914.0</v>
      </c>
    </row>
    <row r="1951" ht="15.75" customHeight="1">
      <c r="A1951" s="9" t="s">
        <v>2695</v>
      </c>
      <c r="B1951" s="17">
        <v>1975.0</v>
      </c>
      <c r="C1951" s="9" t="s">
        <v>4730</v>
      </c>
      <c r="D1951" s="9">
        <v>28.0</v>
      </c>
      <c r="E1951" s="18">
        <f t="shared" si="1"/>
        <v>27573</v>
      </c>
      <c r="F1951" s="9">
        <v>1.0</v>
      </c>
      <c r="G1951" s="19">
        <v>8062.76</v>
      </c>
      <c r="H1951" s="9" t="s">
        <v>4717</v>
      </c>
      <c r="I1951" s="9" t="s">
        <v>4717</v>
      </c>
      <c r="J1951" s="9" t="s">
        <v>4719</v>
      </c>
      <c r="K1951" s="20">
        <f t="shared" si="2"/>
        <v>1975</v>
      </c>
      <c r="L1951" s="9" t="str">
        <f t="shared" si="3"/>
        <v>tier - 3</v>
      </c>
      <c r="M1951" s="9" t="str">
        <f t="shared" si="4"/>
        <v>tier - 3</v>
      </c>
      <c r="N1951" s="9" t="str">
        <f t="shared" si="5"/>
        <v>R1011</v>
      </c>
      <c r="O1951" s="17">
        <f t="shared" si="6"/>
        <v>47</v>
      </c>
      <c r="P1951" s="18">
        <v>27573.0</v>
      </c>
    </row>
    <row r="1952" ht="15.75" customHeight="1">
      <c r="A1952" s="9" t="s">
        <v>2693</v>
      </c>
      <c r="B1952" s="17">
        <v>1965.0</v>
      </c>
      <c r="C1952" s="9" t="s">
        <v>4716</v>
      </c>
      <c r="D1952" s="9">
        <v>11.0</v>
      </c>
      <c r="E1952" s="18">
        <f t="shared" si="1"/>
        <v>23965</v>
      </c>
      <c r="F1952" s="9">
        <v>0.0</v>
      </c>
      <c r="G1952" s="19">
        <v>8067.83</v>
      </c>
      <c r="H1952" s="9" t="s">
        <v>4717</v>
      </c>
      <c r="I1952" s="9" t="s">
        <v>4718</v>
      </c>
      <c r="J1952" s="9" t="s">
        <v>4743</v>
      </c>
      <c r="K1952" s="20">
        <f t="shared" si="2"/>
        <v>1965</v>
      </c>
      <c r="L1952" s="9" t="str">
        <f t="shared" si="3"/>
        <v>tier - 3</v>
      </c>
      <c r="M1952" s="9" t="str">
        <f t="shared" si="4"/>
        <v>tier - 1</v>
      </c>
      <c r="N1952" s="9" t="str">
        <f t="shared" si="5"/>
        <v>R1013</v>
      </c>
      <c r="O1952" s="17">
        <f t="shared" si="6"/>
        <v>57</v>
      </c>
      <c r="P1952" s="18">
        <v>23965.0</v>
      </c>
    </row>
    <row r="1953" ht="15.75" customHeight="1">
      <c r="A1953" s="9" t="s">
        <v>2691</v>
      </c>
      <c r="B1953" s="17">
        <v>1975.0</v>
      </c>
      <c r="C1953" s="9" t="s">
        <v>4725</v>
      </c>
      <c r="D1953" s="9">
        <v>15.0</v>
      </c>
      <c r="E1953" s="18">
        <f t="shared" si="1"/>
        <v>27743</v>
      </c>
      <c r="F1953" s="9">
        <v>1.0</v>
      </c>
      <c r="G1953" s="19">
        <v>8068.19</v>
      </c>
      <c r="H1953" s="9" t="s">
        <v>4717</v>
      </c>
      <c r="I1953" s="9" t="s">
        <v>4723</v>
      </c>
      <c r="J1953" s="9" t="s">
        <v>4719</v>
      </c>
      <c r="K1953" s="20">
        <f t="shared" si="2"/>
        <v>1975</v>
      </c>
      <c r="L1953" s="9" t="str">
        <f t="shared" si="3"/>
        <v>tier - 3</v>
      </c>
      <c r="M1953" s="9" t="str">
        <f t="shared" si="4"/>
        <v>tier - 2</v>
      </c>
      <c r="N1953" s="9" t="str">
        <f t="shared" si="5"/>
        <v>R1011</v>
      </c>
      <c r="O1953" s="17">
        <f t="shared" si="6"/>
        <v>47</v>
      </c>
      <c r="P1953" s="18">
        <v>27743.0</v>
      </c>
    </row>
    <row r="1954" ht="15.75" customHeight="1">
      <c r="A1954" s="9" t="s">
        <v>2689</v>
      </c>
      <c r="B1954" s="17">
        <v>1965.0</v>
      </c>
      <c r="C1954" s="9" t="s">
        <v>4720</v>
      </c>
      <c r="D1954" s="9">
        <v>21.0</v>
      </c>
      <c r="E1954" s="18">
        <f t="shared" si="1"/>
        <v>24036</v>
      </c>
      <c r="F1954" s="9">
        <v>0.0</v>
      </c>
      <c r="G1954" s="19">
        <v>8071.57</v>
      </c>
      <c r="H1954" s="9" t="s">
        <v>4717</v>
      </c>
      <c r="I1954" s="9" t="s">
        <v>4718</v>
      </c>
      <c r="J1954" s="9" t="s">
        <v>4719</v>
      </c>
      <c r="K1954" s="20">
        <f t="shared" si="2"/>
        <v>1965</v>
      </c>
      <c r="L1954" s="9" t="str">
        <f t="shared" si="3"/>
        <v>tier - 3</v>
      </c>
      <c r="M1954" s="9" t="str">
        <f t="shared" si="4"/>
        <v>tier - 1</v>
      </c>
      <c r="N1954" s="9" t="str">
        <f t="shared" si="5"/>
        <v>R1011</v>
      </c>
      <c r="O1954" s="17">
        <f t="shared" si="6"/>
        <v>57</v>
      </c>
      <c r="P1954" s="18">
        <v>24036.0</v>
      </c>
    </row>
    <row r="1955" ht="15.75" customHeight="1">
      <c r="A1955" s="9" t="s">
        <v>2687</v>
      </c>
      <c r="B1955" s="17">
        <v>1993.0</v>
      </c>
      <c r="C1955" s="9" t="s">
        <v>4735</v>
      </c>
      <c r="D1955" s="9">
        <v>7.0</v>
      </c>
      <c r="E1955" s="18">
        <f t="shared" si="1"/>
        <v>34280</v>
      </c>
      <c r="F1955" s="9">
        <v>0.0</v>
      </c>
      <c r="G1955" s="19">
        <v>8077.41</v>
      </c>
      <c r="H1955" s="9" t="s">
        <v>4723</v>
      </c>
      <c r="I1955" s="9" t="s">
        <v>4718</v>
      </c>
      <c r="J1955" s="9" t="s">
        <v>4721</v>
      </c>
      <c r="K1955" s="20">
        <f t="shared" si="2"/>
        <v>1993</v>
      </c>
      <c r="L1955" s="9" t="str">
        <f t="shared" si="3"/>
        <v>tier - 2</v>
      </c>
      <c r="M1955" s="9" t="str">
        <f t="shared" si="4"/>
        <v>tier - 1</v>
      </c>
      <c r="N1955" s="9" t="str">
        <f t="shared" si="5"/>
        <v>R1026</v>
      </c>
      <c r="O1955" s="17">
        <f t="shared" si="6"/>
        <v>29</v>
      </c>
      <c r="P1955" s="18">
        <v>34280.0</v>
      </c>
    </row>
    <row r="1956" ht="15.75" customHeight="1">
      <c r="A1956" s="9" t="s">
        <v>2685</v>
      </c>
      <c r="B1956" s="17">
        <v>2001.0</v>
      </c>
      <c r="C1956" s="9" t="s">
        <v>4716</v>
      </c>
      <c r="D1956" s="9">
        <v>28.0</v>
      </c>
      <c r="E1956" s="18">
        <f t="shared" si="1"/>
        <v>37131</v>
      </c>
      <c r="F1956" s="9">
        <v>0.0</v>
      </c>
      <c r="G1956" s="19">
        <v>8081.26</v>
      </c>
      <c r="H1956" s="9" t="s">
        <v>4723</v>
      </c>
      <c r="I1956" s="9" t="s">
        <v>4723</v>
      </c>
      <c r="J1956" s="9" t="s">
        <v>4733</v>
      </c>
      <c r="K1956" s="20">
        <f t="shared" si="2"/>
        <v>2001</v>
      </c>
      <c r="L1956" s="9" t="str">
        <f t="shared" si="3"/>
        <v>tier - 2</v>
      </c>
      <c r="M1956" s="9" t="str">
        <f t="shared" si="4"/>
        <v>tier - 2</v>
      </c>
      <c r="N1956" s="9" t="str">
        <f t="shared" si="5"/>
        <v>R1012</v>
      </c>
      <c r="O1956" s="17">
        <f t="shared" si="6"/>
        <v>21</v>
      </c>
      <c r="P1956" s="18">
        <v>37131.0</v>
      </c>
    </row>
    <row r="1957" ht="15.75" customHeight="1">
      <c r="A1957" s="9" t="s">
        <v>2683</v>
      </c>
      <c r="B1957" s="17">
        <v>1994.0</v>
      </c>
      <c r="C1957" s="9" t="s">
        <v>4720</v>
      </c>
      <c r="D1957" s="9">
        <v>12.0</v>
      </c>
      <c r="E1957" s="18">
        <f t="shared" si="1"/>
        <v>34619</v>
      </c>
      <c r="F1957" s="9">
        <v>0.0</v>
      </c>
      <c r="G1957" s="19">
        <v>8081.74</v>
      </c>
      <c r="H1957" s="9" t="s">
        <v>4723</v>
      </c>
      <c r="I1957" s="9" t="s">
        <v>4723</v>
      </c>
      <c r="J1957" s="9" t="s">
        <v>4721</v>
      </c>
      <c r="K1957" s="20">
        <f t="shared" si="2"/>
        <v>1994</v>
      </c>
      <c r="L1957" s="9" t="str">
        <f t="shared" si="3"/>
        <v>tier - 2</v>
      </c>
      <c r="M1957" s="9" t="str">
        <f t="shared" si="4"/>
        <v>tier - 2</v>
      </c>
      <c r="N1957" s="9" t="str">
        <f t="shared" si="5"/>
        <v>R1026</v>
      </c>
      <c r="O1957" s="17">
        <f t="shared" si="6"/>
        <v>28</v>
      </c>
      <c r="P1957" s="18">
        <v>34619.0</v>
      </c>
    </row>
    <row r="1958" ht="15.75" customHeight="1">
      <c r="A1958" s="9" t="s">
        <v>2681</v>
      </c>
      <c r="B1958" s="17">
        <v>1975.0</v>
      </c>
      <c r="C1958" s="9" t="s">
        <v>4725</v>
      </c>
      <c r="D1958" s="9">
        <v>21.0</v>
      </c>
      <c r="E1958" s="18">
        <f t="shared" si="1"/>
        <v>27749</v>
      </c>
      <c r="F1958" s="9">
        <v>1.0</v>
      </c>
      <c r="G1958" s="19">
        <v>8083.92</v>
      </c>
      <c r="H1958" s="9" t="s">
        <v>4717</v>
      </c>
      <c r="I1958" s="9" t="s">
        <v>4717</v>
      </c>
      <c r="J1958" s="9" t="s">
        <v>4743</v>
      </c>
      <c r="K1958" s="20">
        <f t="shared" si="2"/>
        <v>1975</v>
      </c>
      <c r="L1958" s="9" t="str">
        <f t="shared" si="3"/>
        <v>tier - 3</v>
      </c>
      <c r="M1958" s="9" t="str">
        <f t="shared" si="4"/>
        <v>tier - 3</v>
      </c>
      <c r="N1958" s="9" t="str">
        <f t="shared" si="5"/>
        <v>R1013</v>
      </c>
      <c r="O1958" s="17">
        <f t="shared" si="6"/>
        <v>47</v>
      </c>
      <c r="P1958" s="18">
        <v>27749.0</v>
      </c>
    </row>
    <row r="1959" ht="15.75" customHeight="1">
      <c r="A1959" s="9" t="s">
        <v>269</v>
      </c>
      <c r="B1959" s="17">
        <v>1967.0</v>
      </c>
      <c r="C1959" s="9" t="s">
        <v>4741</v>
      </c>
      <c r="D1959" s="9">
        <v>30.0</v>
      </c>
      <c r="E1959" s="18">
        <f t="shared" si="1"/>
        <v>24683</v>
      </c>
      <c r="F1959" s="9">
        <v>0.0</v>
      </c>
      <c r="G1959" s="19">
        <v>38893.36</v>
      </c>
      <c r="H1959" s="9" t="s">
        <v>4718</v>
      </c>
      <c r="I1959" s="9" t="s">
        <v>4723</v>
      </c>
      <c r="J1959" s="9" t="s">
        <v>4719</v>
      </c>
      <c r="K1959" s="20">
        <f t="shared" si="2"/>
        <v>1967</v>
      </c>
      <c r="L1959" s="9" t="str">
        <f t="shared" si="3"/>
        <v>tier - 1</v>
      </c>
      <c r="M1959" s="9" t="str">
        <f t="shared" si="4"/>
        <v>tier - 2</v>
      </c>
      <c r="N1959" s="9" t="str">
        <f t="shared" si="5"/>
        <v>R1011</v>
      </c>
      <c r="O1959" s="17">
        <f t="shared" si="6"/>
        <v>55</v>
      </c>
      <c r="P1959" s="18">
        <v>24683.0</v>
      </c>
    </row>
    <row r="1960" ht="15.75" customHeight="1">
      <c r="A1960" s="9" t="s">
        <v>2679</v>
      </c>
      <c r="B1960" s="17">
        <v>1967.0</v>
      </c>
      <c r="C1960" s="9" t="s">
        <v>4730</v>
      </c>
      <c r="D1960" s="9">
        <v>10.0</v>
      </c>
      <c r="E1960" s="18">
        <f t="shared" si="1"/>
        <v>24633</v>
      </c>
      <c r="F1960" s="9">
        <v>0.0</v>
      </c>
      <c r="G1960" s="19">
        <v>8091.3</v>
      </c>
      <c r="H1960" s="9" t="s">
        <v>4717</v>
      </c>
      <c r="I1960" s="9" t="s">
        <v>4718</v>
      </c>
      <c r="J1960" s="9" t="s">
        <v>4733</v>
      </c>
      <c r="K1960" s="20">
        <f t="shared" si="2"/>
        <v>1967</v>
      </c>
      <c r="L1960" s="9" t="str">
        <f t="shared" si="3"/>
        <v>tier - 3</v>
      </c>
      <c r="M1960" s="9" t="str">
        <f t="shared" si="4"/>
        <v>tier - 1</v>
      </c>
      <c r="N1960" s="9" t="str">
        <f t="shared" si="5"/>
        <v>R1012</v>
      </c>
      <c r="O1960" s="17">
        <f t="shared" si="6"/>
        <v>55</v>
      </c>
      <c r="P1960" s="18">
        <v>24633.0</v>
      </c>
    </row>
    <row r="1961" ht="15.75" customHeight="1">
      <c r="A1961" s="9" t="s">
        <v>2677</v>
      </c>
      <c r="B1961" s="17">
        <v>1973.0</v>
      </c>
      <c r="C1961" s="9" t="s">
        <v>4720</v>
      </c>
      <c r="D1961" s="9">
        <v>11.0</v>
      </c>
      <c r="E1961" s="18">
        <f t="shared" si="1"/>
        <v>26948</v>
      </c>
      <c r="F1961" s="9">
        <v>0.0</v>
      </c>
      <c r="G1961" s="19">
        <v>8112.59</v>
      </c>
      <c r="H1961" s="9" t="s">
        <v>4723</v>
      </c>
      <c r="I1961" s="9" t="s">
        <v>4723</v>
      </c>
      <c r="J1961" s="9" t="s">
        <v>4743</v>
      </c>
      <c r="K1961" s="20">
        <f t="shared" si="2"/>
        <v>1973</v>
      </c>
      <c r="L1961" s="9" t="str">
        <f t="shared" si="3"/>
        <v>tier - 2</v>
      </c>
      <c r="M1961" s="9" t="str">
        <f t="shared" si="4"/>
        <v>tier - 2</v>
      </c>
      <c r="N1961" s="9" t="str">
        <f t="shared" si="5"/>
        <v>R1013</v>
      </c>
      <c r="O1961" s="17">
        <f t="shared" si="6"/>
        <v>49</v>
      </c>
      <c r="P1961" s="18">
        <v>26948.0</v>
      </c>
    </row>
    <row r="1962" ht="15.75" customHeight="1">
      <c r="A1962" s="9" t="s">
        <v>2675</v>
      </c>
      <c r="B1962" s="17">
        <v>1978.0</v>
      </c>
      <c r="C1962" s="9" t="s">
        <v>4738</v>
      </c>
      <c r="D1962" s="9">
        <v>1.0</v>
      </c>
      <c r="E1962" s="18">
        <f t="shared" si="1"/>
        <v>28734</v>
      </c>
      <c r="F1962" s="9">
        <v>2.0</v>
      </c>
      <c r="G1962" s="19">
        <v>8116.27</v>
      </c>
      <c r="H1962" s="9" t="s">
        <v>4717</v>
      </c>
      <c r="I1962" s="9" t="s">
        <v>4718</v>
      </c>
      <c r="J1962" s="9" t="s">
        <v>4733</v>
      </c>
      <c r="K1962" s="20">
        <f t="shared" si="2"/>
        <v>1978</v>
      </c>
      <c r="L1962" s="9" t="str">
        <f t="shared" si="3"/>
        <v>tier - 3</v>
      </c>
      <c r="M1962" s="9" t="str">
        <f t="shared" si="4"/>
        <v>tier - 1</v>
      </c>
      <c r="N1962" s="9" t="str">
        <f t="shared" si="5"/>
        <v>R1012</v>
      </c>
      <c r="O1962" s="17">
        <f t="shared" si="6"/>
        <v>44</v>
      </c>
      <c r="P1962" s="18">
        <v>28734.0</v>
      </c>
    </row>
    <row r="1963" ht="15.75" customHeight="1">
      <c r="A1963" s="9" t="s">
        <v>2673</v>
      </c>
      <c r="B1963" s="17">
        <v>1973.0</v>
      </c>
      <c r="C1963" s="9" t="s">
        <v>4725</v>
      </c>
      <c r="D1963" s="9">
        <v>16.0</v>
      </c>
      <c r="E1963" s="18">
        <f t="shared" si="1"/>
        <v>27014</v>
      </c>
      <c r="F1963" s="9">
        <v>0.0</v>
      </c>
      <c r="G1963" s="19">
        <v>8116.68</v>
      </c>
      <c r="H1963" s="9" t="s">
        <v>4717</v>
      </c>
      <c r="I1963" s="9" t="s">
        <v>4718</v>
      </c>
      <c r="J1963" s="9" t="s">
        <v>4719</v>
      </c>
      <c r="K1963" s="20">
        <f t="shared" si="2"/>
        <v>1973</v>
      </c>
      <c r="L1963" s="9" t="str">
        <f t="shared" si="3"/>
        <v>tier - 3</v>
      </c>
      <c r="M1963" s="9" t="str">
        <f t="shared" si="4"/>
        <v>tier - 1</v>
      </c>
      <c r="N1963" s="9" t="str">
        <f t="shared" si="5"/>
        <v>R1011</v>
      </c>
      <c r="O1963" s="17">
        <f t="shared" si="6"/>
        <v>49</v>
      </c>
      <c r="P1963" s="18">
        <v>27014.0</v>
      </c>
    </row>
    <row r="1964" ht="15.75" customHeight="1">
      <c r="A1964" s="9" t="s">
        <v>2671</v>
      </c>
      <c r="B1964" s="17">
        <v>1973.0</v>
      </c>
      <c r="C1964" s="9" t="s">
        <v>4716</v>
      </c>
      <c r="D1964" s="9">
        <v>30.0</v>
      </c>
      <c r="E1964" s="18">
        <f t="shared" si="1"/>
        <v>26906</v>
      </c>
      <c r="F1964" s="9">
        <v>0.0</v>
      </c>
      <c r="G1964" s="19">
        <v>8124.41</v>
      </c>
      <c r="H1964" s="9" t="s">
        <v>4717</v>
      </c>
      <c r="I1964" s="9" t="s">
        <v>4718</v>
      </c>
      <c r="J1964" s="9" t="s">
        <v>4743</v>
      </c>
      <c r="K1964" s="20">
        <f t="shared" si="2"/>
        <v>1973</v>
      </c>
      <c r="L1964" s="9" t="str">
        <f t="shared" si="3"/>
        <v>tier - 3</v>
      </c>
      <c r="M1964" s="9" t="str">
        <f t="shared" si="4"/>
        <v>tier - 1</v>
      </c>
      <c r="N1964" s="9" t="str">
        <f t="shared" si="5"/>
        <v>R1013</v>
      </c>
      <c r="O1964" s="17">
        <f t="shared" si="6"/>
        <v>49</v>
      </c>
      <c r="P1964" s="18">
        <v>26906.0</v>
      </c>
    </row>
    <row r="1965" ht="15.75" customHeight="1">
      <c r="A1965" s="9" t="s">
        <v>2669</v>
      </c>
      <c r="B1965" s="17">
        <v>1973.0</v>
      </c>
      <c r="C1965" s="9" t="s">
        <v>4738</v>
      </c>
      <c r="D1965" s="9">
        <v>3.0</v>
      </c>
      <c r="E1965" s="18">
        <f t="shared" si="1"/>
        <v>26910</v>
      </c>
      <c r="F1965" s="9">
        <v>0.0</v>
      </c>
      <c r="G1965" s="19">
        <v>8125.78</v>
      </c>
      <c r="H1965" s="9" t="s">
        <v>4723</v>
      </c>
      <c r="I1965" s="9" t="s">
        <v>4723</v>
      </c>
      <c r="J1965" s="9" t="s">
        <v>4743</v>
      </c>
      <c r="K1965" s="20">
        <f t="shared" si="2"/>
        <v>1973</v>
      </c>
      <c r="L1965" s="9" t="str">
        <f t="shared" si="3"/>
        <v>tier - 2</v>
      </c>
      <c r="M1965" s="9" t="str">
        <f t="shared" si="4"/>
        <v>tier - 2</v>
      </c>
      <c r="N1965" s="9" t="str">
        <f t="shared" si="5"/>
        <v>R1013</v>
      </c>
      <c r="O1965" s="17">
        <f t="shared" si="6"/>
        <v>49</v>
      </c>
      <c r="P1965" s="18">
        <v>26910.0</v>
      </c>
    </row>
    <row r="1966" ht="15.75" customHeight="1">
      <c r="A1966" s="9" t="s">
        <v>2667</v>
      </c>
      <c r="B1966" s="17">
        <v>1990.0</v>
      </c>
      <c r="C1966" s="9" t="s">
        <v>4730</v>
      </c>
      <c r="D1966" s="9">
        <v>21.0</v>
      </c>
      <c r="E1966" s="18">
        <f t="shared" si="1"/>
        <v>33045</v>
      </c>
      <c r="F1966" s="9">
        <v>3.0</v>
      </c>
      <c r="G1966" s="19">
        <v>8157.92</v>
      </c>
      <c r="H1966" s="9" t="s">
        <v>4723</v>
      </c>
      <c r="I1966" s="9" t="s">
        <v>4717</v>
      </c>
      <c r="J1966" s="9" t="s">
        <v>4726</v>
      </c>
      <c r="K1966" s="20">
        <f t="shared" si="2"/>
        <v>1990</v>
      </c>
      <c r="L1966" s="9" t="str">
        <f t="shared" si="3"/>
        <v>tier - 2</v>
      </c>
      <c r="M1966" s="9" t="str">
        <f t="shared" si="4"/>
        <v>tier - 3</v>
      </c>
      <c r="N1966" s="9" t="str">
        <f t="shared" si="5"/>
        <v>R1025</v>
      </c>
      <c r="O1966" s="17">
        <f t="shared" si="6"/>
        <v>32</v>
      </c>
      <c r="P1966" s="18">
        <v>33045.0</v>
      </c>
    </row>
    <row r="1967" ht="15.75" customHeight="1">
      <c r="A1967" s="9" t="s">
        <v>2665</v>
      </c>
      <c r="B1967" s="17">
        <v>1982.0</v>
      </c>
      <c r="C1967" s="9" t="s">
        <v>4730</v>
      </c>
      <c r="D1967" s="9">
        <v>28.0</v>
      </c>
      <c r="E1967" s="18">
        <f t="shared" si="1"/>
        <v>30130</v>
      </c>
      <c r="F1967" s="9">
        <v>4.0</v>
      </c>
      <c r="G1967" s="19">
        <v>8162.72</v>
      </c>
      <c r="H1967" s="9" t="s">
        <v>4717</v>
      </c>
      <c r="I1967" s="9" t="s">
        <v>4717</v>
      </c>
      <c r="J1967" s="9" t="s">
        <v>4733</v>
      </c>
      <c r="K1967" s="20">
        <f t="shared" si="2"/>
        <v>1982</v>
      </c>
      <c r="L1967" s="9" t="str">
        <f t="shared" si="3"/>
        <v>tier - 3</v>
      </c>
      <c r="M1967" s="9" t="str">
        <f t="shared" si="4"/>
        <v>tier - 3</v>
      </c>
      <c r="N1967" s="9" t="str">
        <f t="shared" si="5"/>
        <v>R1012</v>
      </c>
      <c r="O1967" s="17">
        <f t="shared" si="6"/>
        <v>40</v>
      </c>
      <c r="P1967" s="18">
        <v>30130.0</v>
      </c>
    </row>
    <row r="1968" ht="15.75" customHeight="1">
      <c r="A1968" s="9" t="s">
        <v>2663</v>
      </c>
      <c r="B1968" s="17">
        <v>1963.0</v>
      </c>
      <c r="C1968" s="9" t="s">
        <v>4735</v>
      </c>
      <c r="D1968" s="9">
        <v>5.0</v>
      </c>
      <c r="E1968" s="18">
        <f t="shared" si="1"/>
        <v>23320</v>
      </c>
      <c r="F1968" s="9">
        <v>0.0</v>
      </c>
      <c r="G1968" s="19">
        <v>8177.9</v>
      </c>
      <c r="H1968" s="9" t="s">
        <v>4717</v>
      </c>
      <c r="I1968" s="9" t="s">
        <v>4718</v>
      </c>
      <c r="J1968" s="9" t="s">
        <v>4743</v>
      </c>
      <c r="K1968" s="20">
        <f t="shared" si="2"/>
        <v>1963</v>
      </c>
      <c r="L1968" s="9" t="str">
        <f t="shared" si="3"/>
        <v>tier - 3</v>
      </c>
      <c r="M1968" s="9" t="str">
        <f t="shared" si="4"/>
        <v>tier - 1</v>
      </c>
      <c r="N1968" s="9" t="str">
        <f t="shared" si="5"/>
        <v>R1013</v>
      </c>
      <c r="O1968" s="17">
        <f t="shared" si="6"/>
        <v>59</v>
      </c>
      <c r="P1968" s="18">
        <v>23320.0</v>
      </c>
    </row>
    <row r="1969" ht="15.75" customHeight="1">
      <c r="A1969" s="9" t="s">
        <v>2661</v>
      </c>
      <c r="B1969" s="17">
        <v>1983.0</v>
      </c>
      <c r="C1969" s="9" t="s">
        <v>4730</v>
      </c>
      <c r="D1969" s="9">
        <v>8.0</v>
      </c>
      <c r="E1969" s="18">
        <f t="shared" si="1"/>
        <v>30475</v>
      </c>
      <c r="F1969" s="9">
        <v>3.0</v>
      </c>
      <c r="G1969" s="19">
        <v>8179.51</v>
      </c>
      <c r="H1969" s="9" t="s">
        <v>4723</v>
      </c>
      <c r="I1969" s="9" t="s">
        <v>4723</v>
      </c>
      <c r="J1969" s="9" t="s">
        <v>4755</v>
      </c>
      <c r="K1969" s="20">
        <f t="shared" si="2"/>
        <v>1983</v>
      </c>
      <c r="L1969" s="9" t="str">
        <f t="shared" si="3"/>
        <v>tier - 2</v>
      </c>
      <c r="M1969" s="9" t="str">
        <f t="shared" si="4"/>
        <v>tier - 2</v>
      </c>
      <c r="N1969" s="9" t="str">
        <f t="shared" si="5"/>
        <v>R1020</v>
      </c>
      <c r="O1969" s="17">
        <f t="shared" si="6"/>
        <v>40</v>
      </c>
      <c r="P1969" s="18">
        <v>30475.0</v>
      </c>
    </row>
    <row r="1970" ht="15.75" customHeight="1">
      <c r="A1970" s="9" t="s">
        <v>267</v>
      </c>
      <c r="B1970" s="17">
        <v>1987.0</v>
      </c>
      <c r="C1970" s="9" t="s">
        <v>4730</v>
      </c>
      <c r="D1970" s="9">
        <v>16.0</v>
      </c>
      <c r="E1970" s="18">
        <f t="shared" si="1"/>
        <v>31944</v>
      </c>
      <c r="F1970" s="9">
        <v>3.0</v>
      </c>
      <c r="G1970" s="19">
        <v>38924.04</v>
      </c>
      <c r="H1970" s="9" t="s">
        <v>4723</v>
      </c>
      <c r="I1970" s="9" t="s">
        <v>4723</v>
      </c>
      <c r="J1970" s="9" t="s">
        <v>4719</v>
      </c>
      <c r="K1970" s="20">
        <f t="shared" si="2"/>
        <v>1987</v>
      </c>
      <c r="L1970" s="9" t="str">
        <f t="shared" si="3"/>
        <v>tier - 2</v>
      </c>
      <c r="M1970" s="9" t="str">
        <f t="shared" si="4"/>
        <v>tier - 2</v>
      </c>
      <c r="N1970" s="9" t="str">
        <f t="shared" si="5"/>
        <v>R1011</v>
      </c>
      <c r="O1970" s="17">
        <f t="shared" si="6"/>
        <v>35</v>
      </c>
      <c r="P1970" s="18">
        <v>31944.0</v>
      </c>
    </row>
    <row r="1971" ht="15.75" customHeight="1">
      <c r="A1971" s="9" t="s">
        <v>2659</v>
      </c>
      <c r="B1971" s="17">
        <v>1997.0</v>
      </c>
      <c r="C1971" s="9" t="s">
        <v>4720</v>
      </c>
      <c r="D1971" s="9">
        <v>21.0</v>
      </c>
      <c r="E1971" s="18">
        <f t="shared" si="1"/>
        <v>35724</v>
      </c>
      <c r="F1971" s="9">
        <v>0.0</v>
      </c>
      <c r="G1971" s="19">
        <v>8182.89</v>
      </c>
      <c r="H1971" s="9" t="s">
        <v>4723</v>
      </c>
      <c r="I1971" s="9" t="s">
        <v>4718</v>
      </c>
      <c r="J1971" s="9" t="s">
        <v>4721</v>
      </c>
      <c r="K1971" s="20">
        <f t="shared" si="2"/>
        <v>1997</v>
      </c>
      <c r="L1971" s="9" t="str">
        <f t="shared" si="3"/>
        <v>tier - 2</v>
      </c>
      <c r="M1971" s="9" t="str">
        <f t="shared" si="4"/>
        <v>tier - 1</v>
      </c>
      <c r="N1971" s="9" t="str">
        <f t="shared" si="5"/>
        <v>R1026</v>
      </c>
      <c r="O1971" s="17">
        <f t="shared" si="6"/>
        <v>25</v>
      </c>
      <c r="P1971" s="18">
        <v>35724.0</v>
      </c>
    </row>
    <row r="1972" ht="15.75" customHeight="1">
      <c r="A1972" s="9" t="s">
        <v>2657</v>
      </c>
      <c r="B1972" s="17">
        <v>1962.0</v>
      </c>
      <c r="C1972" s="9" t="s">
        <v>4735</v>
      </c>
      <c r="D1972" s="9">
        <v>23.0</v>
      </c>
      <c r="E1972" s="18">
        <f t="shared" si="1"/>
        <v>22973</v>
      </c>
      <c r="F1972" s="9">
        <v>0.0</v>
      </c>
      <c r="G1972" s="19">
        <v>8188.12</v>
      </c>
      <c r="H1972" s="9" t="s">
        <v>4717</v>
      </c>
      <c r="I1972" s="9" t="s">
        <v>4717</v>
      </c>
      <c r="J1972" s="9" t="s">
        <v>4743</v>
      </c>
      <c r="K1972" s="20">
        <f t="shared" si="2"/>
        <v>1962</v>
      </c>
      <c r="L1972" s="9" t="str">
        <f t="shared" si="3"/>
        <v>tier - 3</v>
      </c>
      <c r="M1972" s="9" t="str">
        <f t="shared" si="4"/>
        <v>tier - 3</v>
      </c>
      <c r="N1972" s="9" t="str">
        <f t="shared" si="5"/>
        <v>R1013</v>
      </c>
      <c r="O1972" s="17">
        <f t="shared" si="6"/>
        <v>60</v>
      </c>
      <c r="P1972" s="18">
        <v>22973.0</v>
      </c>
    </row>
    <row r="1973" ht="15.75" customHeight="1">
      <c r="A1973" s="9" t="s">
        <v>2655</v>
      </c>
      <c r="B1973" s="17">
        <v>1978.0</v>
      </c>
      <c r="C1973" s="9" t="s">
        <v>4720</v>
      </c>
      <c r="D1973" s="9">
        <v>24.0</v>
      </c>
      <c r="E1973" s="18">
        <f t="shared" si="1"/>
        <v>28787</v>
      </c>
      <c r="F1973" s="9">
        <v>2.0</v>
      </c>
      <c r="G1973" s="19">
        <v>8211.1</v>
      </c>
      <c r="H1973" s="9" t="s">
        <v>4723</v>
      </c>
      <c r="I1973" s="9" t="s">
        <v>4717</v>
      </c>
      <c r="J1973" s="9" t="s">
        <v>4743</v>
      </c>
      <c r="K1973" s="20">
        <f t="shared" si="2"/>
        <v>1978</v>
      </c>
      <c r="L1973" s="9" t="str">
        <f t="shared" si="3"/>
        <v>tier - 2</v>
      </c>
      <c r="M1973" s="9" t="str">
        <f t="shared" si="4"/>
        <v>tier - 3</v>
      </c>
      <c r="N1973" s="9" t="str">
        <f t="shared" si="5"/>
        <v>R1013</v>
      </c>
      <c r="O1973" s="17">
        <f t="shared" si="6"/>
        <v>44</v>
      </c>
      <c r="P1973" s="18">
        <v>28787.0</v>
      </c>
    </row>
    <row r="1974" ht="15.75" customHeight="1">
      <c r="A1974" s="9" t="s">
        <v>2653</v>
      </c>
      <c r="B1974" s="17">
        <v>1978.0</v>
      </c>
      <c r="C1974" s="9" t="s">
        <v>4730</v>
      </c>
      <c r="D1974" s="9">
        <v>30.0</v>
      </c>
      <c r="E1974" s="18">
        <f t="shared" si="1"/>
        <v>28671</v>
      </c>
      <c r="F1974" s="9">
        <v>2.0</v>
      </c>
      <c r="G1974" s="19">
        <v>8219.2</v>
      </c>
      <c r="H1974" s="9" t="s">
        <v>4723</v>
      </c>
      <c r="I1974" s="9" t="s">
        <v>4723</v>
      </c>
      <c r="J1974" s="9" t="s">
        <v>4743</v>
      </c>
      <c r="K1974" s="20">
        <f t="shared" si="2"/>
        <v>1978</v>
      </c>
      <c r="L1974" s="9" t="str">
        <f t="shared" si="3"/>
        <v>tier - 2</v>
      </c>
      <c r="M1974" s="9" t="str">
        <f t="shared" si="4"/>
        <v>tier - 2</v>
      </c>
      <c r="N1974" s="9" t="str">
        <f t="shared" si="5"/>
        <v>R1013</v>
      </c>
      <c r="O1974" s="17">
        <f t="shared" si="6"/>
        <v>44</v>
      </c>
      <c r="P1974" s="18">
        <v>28671.0</v>
      </c>
    </row>
    <row r="1975" ht="15.75" customHeight="1">
      <c r="A1975" s="9" t="s">
        <v>2651</v>
      </c>
      <c r="B1975" s="17">
        <v>1976.0</v>
      </c>
      <c r="C1975" s="9" t="s">
        <v>4738</v>
      </c>
      <c r="D1975" s="9">
        <v>3.0</v>
      </c>
      <c r="E1975" s="18">
        <f t="shared" si="1"/>
        <v>28006</v>
      </c>
      <c r="F1975" s="9">
        <v>1.0</v>
      </c>
      <c r="G1975" s="19">
        <v>8232.64</v>
      </c>
      <c r="H1975" s="9" t="s">
        <v>4723</v>
      </c>
      <c r="I1975" s="9" t="s">
        <v>4717</v>
      </c>
      <c r="J1975" s="9" t="s">
        <v>4743</v>
      </c>
      <c r="K1975" s="20">
        <f t="shared" si="2"/>
        <v>1976</v>
      </c>
      <c r="L1975" s="9" t="str">
        <f t="shared" si="3"/>
        <v>tier - 2</v>
      </c>
      <c r="M1975" s="9" t="str">
        <f t="shared" si="4"/>
        <v>tier - 3</v>
      </c>
      <c r="N1975" s="9" t="str">
        <f t="shared" si="5"/>
        <v>R1013</v>
      </c>
      <c r="O1975" s="17">
        <f t="shared" si="6"/>
        <v>46</v>
      </c>
      <c r="P1975" s="18">
        <v>28006.0</v>
      </c>
    </row>
    <row r="1976" ht="15.75" customHeight="1">
      <c r="A1976" s="9" t="s">
        <v>2649</v>
      </c>
      <c r="B1976" s="17">
        <v>1976.0</v>
      </c>
      <c r="C1976" s="9" t="s">
        <v>4730</v>
      </c>
      <c r="D1976" s="9">
        <v>30.0</v>
      </c>
      <c r="E1976" s="18">
        <f t="shared" si="1"/>
        <v>27941</v>
      </c>
      <c r="F1976" s="9">
        <v>1.0</v>
      </c>
      <c r="G1976" s="19">
        <v>8233.1</v>
      </c>
      <c r="H1976" s="9" t="s">
        <v>4723</v>
      </c>
      <c r="I1976" s="9" t="s">
        <v>4723</v>
      </c>
      <c r="J1976" s="9" t="s">
        <v>4743</v>
      </c>
      <c r="K1976" s="20">
        <f t="shared" si="2"/>
        <v>1976</v>
      </c>
      <c r="L1976" s="9" t="str">
        <f t="shared" si="3"/>
        <v>tier - 2</v>
      </c>
      <c r="M1976" s="9" t="str">
        <f t="shared" si="4"/>
        <v>tier - 2</v>
      </c>
      <c r="N1976" s="9" t="str">
        <f t="shared" si="5"/>
        <v>R1013</v>
      </c>
      <c r="O1976" s="17">
        <f t="shared" si="6"/>
        <v>46</v>
      </c>
      <c r="P1976" s="18">
        <v>27941.0</v>
      </c>
    </row>
    <row r="1977" ht="15.75" customHeight="1">
      <c r="A1977" s="9" t="s">
        <v>2647</v>
      </c>
      <c r="B1977" s="17">
        <v>1976.0</v>
      </c>
      <c r="C1977" s="9" t="s">
        <v>4738</v>
      </c>
      <c r="D1977" s="9">
        <v>2.0</v>
      </c>
      <c r="E1977" s="18">
        <f t="shared" si="1"/>
        <v>28005</v>
      </c>
      <c r="F1977" s="9">
        <v>1.0</v>
      </c>
      <c r="G1977" s="19">
        <v>8240.59</v>
      </c>
      <c r="H1977" s="9" t="s">
        <v>4723</v>
      </c>
      <c r="I1977" s="9" t="s">
        <v>4723</v>
      </c>
      <c r="J1977" s="9" t="s">
        <v>4743</v>
      </c>
      <c r="K1977" s="20">
        <f t="shared" si="2"/>
        <v>1976</v>
      </c>
      <c r="L1977" s="9" t="str">
        <f t="shared" si="3"/>
        <v>tier - 2</v>
      </c>
      <c r="M1977" s="9" t="str">
        <f t="shared" si="4"/>
        <v>tier - 2</v>
      </c>
      <c r="N1977" s="9" t="str">
        <f t="shared" si="5"/>
        <v>R1013</v>
      </c>
      <c r="O1977" s="17">
        <f t="shared" si="6"/>
        <v>46</v>
      </c>
      <c r="P1977" s="18">
        <v>28005.0</v>
      </c>
    </row>
    <row r="1978" ht="15.75" customHeight="1">
      <c r="A1978" s="9" t="s">
        <v>2645</v>
      </c>
      <c r="B1978" s="17">
        <v>1982.0</v>
      </c>
      <c r="C1978" s="9" t="s">
        <v>4738</v>
      </c>
      <c r="D1978" s="9">
        <v>27.0</v>
      </c>
      <c r="E1978" s="18">
        <f t="shared" si="1"/>
        <v>30221</v>
      </c>
      <c r="F1978" s="9">
        <v>3.0</v>
      </c>
      <c r="G1978" s="19">
        <v>8252.28</v>
      </c>
      <c r="H1978" s="9" t="s">
        <v>4723</v>
      </c>
      <c r="I1978" s="9" t="s">
        <v>4723</v>
      </c>
      <c r="J1978" s="9" t="s">
        <v>4731</v>
      </c>
      <c r="K1978" s="20">
        <f t="shared" si="2"/>
        <v>1982</v>
      </c>
      <c r="L1978" s="9" t="str">
        <f t="shared" si="3"/>
        <v>tier - 2</v>
      </c>
      <c r="M1978" s="9" t="str">
        <f t="shared" si="4"/>
        <v>tier - 2</v>
      </c>
      <c r="N1978" s="9" t="str">
        <f t="shared" si="5"/>
        <v>R1024</v>
      </c>
      <c r="O1978" s="17">
        <f t="shared" si="6"/>
        <v>40</v>
      </c>
      <c r="P1978" s="18">
        <v>30221.0</v>
      </c>
    </row>
    <row r="1979" ht="15.75" customHeight="1">
      <c r="A1979" s="9" t="s">
        <v>2643</v>
      </c>
      <c r="B1979" s="17">
        <v>1964.0</v>
      </c>
      <c r="C1979" s="9" t="s">
        <v>4738</v>
      </c>
      <c r="D1979" s="9">
        <v>5.0</v>
      </c>
      <c r="E1979" s="18">
        <f t="shared" si="1"/>
        <v>23625</v>
      </c>
      <c r="F1979" s="9">
        <v>0.0</v>
      </c>
      <c r="G1979" s="19">
        <v>8268.0</v>
      </c>
      <c r="H1979" s="9" t="s">
        <v>4717</v>
      </c>
      <c r="I1979" s="9" t="s">
        <v>4717</v>
      </c>
      <c r="J1979" s="9" t="s">
        <v>4743</v>
      </c>
      <c r="K1979" s="20">
        <f t="shared" si="2"/>
        <v>1964</v>
      </c>
      <c r="L1979" s="9" t="str">
        <f t="shared" si="3"/>
        <v>tier - 3</v>
      </c>
      <c r="M1979" s="9" t="str">
        <f t="shared" si="4"/>
        <v>tier - 3</v>
      </c>
      <c r="N1979" s="9" t="str">
        <f t="shared" si="5"/>
        <v>R1013</v>
      </c>
      <c r="O1979" s="17">
        <f t="shared" si="6"/>
        <v>58</v>
      </c>
      <c r="P1979" s="18">
        <v>23625.0</v>
      </c>
    </row>
    <row r="1980" ht="15.75" customHeight="1">
      <c r="A1980" s="9" t="s">
        <v>2641</v>
      </c>
      <c r="B1980" s="17">
        <v>1974.0</v>
      </c>
      <c r="C1980" s="9" t="s">
        <v>4716</v>
      </c>
      <c r="D1980" s="9">
        <v>5.0</v>
      </c>
      <c r="E1980" s="18">
        <f t="shared" si="1"/>
        <v>27246</v>
      </c>
      <c r="F1980" s="9">
        <v>0.0</v>
      </c>
      <c r="G1980" s="19">
        <v>8269.04</v>
      </c>
      <c r="H1980" s="9" t="s">
        <v>4723</v>
      </c>
      <c r="I1980" s="9" t="s">
        <v>4718</v>
      </c>
      <c r="J1980" s="9" t="s">
        <v>4719</v>
      </c>
      <c r="K1980" s="20">
        <f t="shared" si="2"/>
        <v>1974</v>
      </c>
      <c r="L1980" s="9" t="str">
        <f t="shared" si="3"/>
        <v>tier - 2</v>
      </c>
      <c r="M1980" s="9" t="str">
        <f t="shared" si="4"/>
        <v>tier - 1</v>
      </c>
      <c r="N1980" s="9" t="str">
        <f t="shared" si="5"/>
        <v>R1011</v>
      </c>
      <c r="O1980" s="17">
        <f t="shared" si="6"/>
        <v>48</v>
      </c>
      <c r="P1980" s="18">
        <v>27246.0</v>
      </c>
    </row>
    <row r="1981" ht="15.75" customHeight="1">
      <c r="A1981" s="9" t="s">
        <v>265</v>
      </c>
      <c r="B1981" s="17">
        <v>1976.0</v>
      </c>
      <c r="C1981" s="9" t="s">
        <v>4725</v>
      </c>
      <c r="D1981" s="9">
        <v>15.0</v>
      </c>
      <c r="E1981" s="18">
        <f t="shared" si="1"/>
        <v>28109</v>
      </c>
      <c r="F1981" s="9">
        <v>2.0</v>
      </c>
      <c r="G1981" s="19">
        <v>38932.56</v>
      </c>
      <c r="H1981" s="9" t="s">
        <v>4723</v>
      </c>
      <c r="I1981" s="9" t="s">
        <v>4717</v>
      </c>
      <c r="J1981" s="9" t="s">
        <v>4719</v>
      </c>
      <c r="K1981" s="20">
        <f t="shared" si="2"/>
        <v>1976</v>
      </c>
      <c r="L1981" s="9" t="str">
        <f t="shared" si="3"/>
        <v>tier - 2</v>
      </c>
      <c r="M1981" s="9" t="str">
        <f t="shared" si="4"/>
        <v>tier - 3</v>
      </c>
      <c r="N1981" s="9" t="str">
        <f t="shared" si="5"/>
        <v>R1011</v>
      </c>
      <c r="O1981" s="17">
        <f t="shared" si="6"/>
        <v>46</v>
      </c>
      <c r="P1981" s="18">
        <v>28109.0</v>
      </c>
    </row>
    <row r="1982" ht="15.75" customHeight="1">
      <c r="A1982" s="9" t="s">
        <v>2639</v>
      </c>
      <c r="B1982" s="17">
        <v>2000.0</v>
      </c>
      <c r="C1982" s="9" t="s">
        <v>4735</v>
      </c>
      <c r="D1982" s="9">
        <v>28.0</v>
      </c>
      <c r="E1982" s="18">
        <f t="shared" si="1"/>
        <v>36858</v>
      </c>
      <c r="F1982" s="9">
        <v>0.0</v>
      </c>
      <c r="G1982" s="19">
        <v>8271.46</v>
      </c>
      <c r="H1982" s="9" t="s">
        <v>4723</v>
      </c>
      <c r="I1982" s="9" t="s">
        <v>4718</v>
      </c>
      <c r="J1982" s="9" t="s">
        <v>4756</v>
      </c>
      <c r="K1982" s="20">
        <f t="shared" si="2"/>
        <v>2000</v>
      </c>
      <c r="L1982" s="9" t="str">
        <f t="shared" si="3"/>
        <v>tier - 2</v>
      </c>
      <c r="M1982" s="9" t="str">
        <f t="shared" si="4"/>
        <v>tier - 1</v>
      </c>
      <c r="N1982" s="9" t="str">
        <f t="shared" si="5"/>
        <v>R1023</v>
      </c>
      <c r="O1982" s="17">
        <f t="shared" si="6"/>
        <v>22</v>
      </c>
      <c r="P1982" s="18">
        <v>36858.0</v>
      </c>
    </row>
    <row r="1983" ht="15.75" customHeight="1">
      <c r="A1983" s="9" t="s">
        <v>2637</v>
      </c>
      <c r="B1983" s="17">
        <v>1974.0</v>
      </c>
      <c r="C1983" s="9" t="s">
        <v>4738</v>
      </c>
      <c r="D1983" s="9">
        <v>26.0</v>
      </c>
      <c r="E1983" s="18">
        <f t="shared" si="1"/>
        <v>27298</v>
      </c>
      <c r="F1983" s="9">
        <v>0.0</v>
      </c>
      <c r="G1983" s="19">
        <v>8277.52</v>
      </c>
      <c r="H1983" s="9" t="s">
        <v>4723</v>
      </c>
      <c r="I1983" s="9" t="s">
        <v>4723</v>
      </c>
      <c r="J1983" s="9" t="s">
        <v>4719</v>
      </c>
      <c r="K1983" s="20">
        <f t="shared" si="2"/>
        <v>1974</v>
      </c>
      <c r="L1983" s="9" t="str">
        <f t="shared" si="3"/>
        <v>tier - 2</v>
      </c>
      <c r="M1983" s="9" t="str">
        <f t="shared" si="4"/>
        <v>tier - 2</v>
      </c>
      <c r="N1983" s="9" t="str">
        <f t="shared" si="5"/>
        <v>R1011</v>
      </c>
      <c r="O1983" s="17">
        <f t="shared" si="6"/>
        <v>48</v>
      </c>
      <c r="P1983" s="18">
        <v>27298.0</v>
      </c>
    </row>
    <row r="1984" ht="15.75" customHeight="1">
      <c r="A1984" s="9" t="s">
        <v>2635</v>
      </c>
      <c r="B1984" s="17">
        <v>1974.0</v>
      </c>
      <c r="C1984" s="9" t="s">
        <v>4725</v>
      </c>
      <c r="D1984" s="9">
        <v>22.0</v>
      </c>
      <c r="E1984" s="18">
        <f t="shared" si="1"/>
        <v>27385</v>
      </c>
      <c r="F1984" s="9">
        <v>0.0</v>
      </c>
      <c r="G1984" s="19">
        <v>8280.62</v>
      </c>
      <c r="H1984" s="9" t="s">
        <v>4723</v>
      </c>
      <c r="I1984" s="9" t="s">
        <v>4723</v>
      </c>
      <c r="J1984" s="9" t="s">
        <v>4743</v>
      </c>
      <c r="K1984" s="20">
        <f t="shared" si="2"/>
        <v>1974</v>
      </c>
      <c r="L1984" s="9" t="str">
        <f t="shared" si="3"/>
        <v>tier - 2</v>
      </c>
      <c r="M1984" s="9" t="str">
        <f t="shared" si="4"/>
        <v>tier - 2</v>
      </c>
      <c r="N1984" s="9" t="str">
        <f t="shared" si="5"/>
        <v>R1013</v>
      </c>
      <c r="O1984" s="17">
        <f t="shared" si="6"/>
        <v>48</v>
      </c>
      <c r="P1984" s="18">
        <v>27385.0</v>
      </c>
    </row>
    <row r="1985" ht="15.75" customHeight="1">
      <c r="A1985" s="9" t="s">
        <v>2633</v>
      </c>
      <c r="B1985" s="17">
        <v>1974.0</v>
      </c>
      <c r="C1985" s="9" t="s">
        <v>4730</v>
      </c>
      <c r="D1985" s="9">
        <v>6.0</v>
      </c>
      <c r="E1985" s="18">
        <f t="shared" si="1"/>
        <v>27186</v>
      </c>
      <c r="F1985" s="9">
        <v>0.0</v>
      </c>
      <c r="G1985" s="19">
        <v>8283.68</v>
      </c>
      <c r="H1985" s="9" t="s">
        <v>4723</v>
      </c>
      <c r="I1985" s="9" t="s">
        <v>4717</v>
      </c>
      <c r="J1985" s="9" t="s">
        <v>4743</v>
      </c>
      <c r="K1985" s="20">
        <f t="shared" si="2"/>
        <v>1974</v>
      </c>
      <c r="L1985" s="9" t="str">
        <f t="shared" si="3"/>
        <v>tier - 2</v>
      </c>
      <c r="M1985" s="9" t="str">
        <f t="shared" si="4"/>
        <v>tier - 3</v>
      </c>
      <c r="N1985" s="9" t="str">
        <f t="shared" si="5"/>
        <v>R1013</v>
      </c>
      <c r="O1985" s="17">
        <f t="shared" si="6"/>
        <v>49</v>
      </c>
      <c r="P1985" s="18">
        <v>27186.0</v>
      </c>
    </row>
    <row r="1986" ht="15.75" customHeight="1">
      <c r="A1986" s="9" t="s">
        <v>2631</v>
      </c>
      <c r="B1986" s="17">
        <v>1978.0</v>
      </c>
      <c r="C1986" s="9" t="s">
        <v>4730</v>
      </c>
      <c r="D1986" s="9">
        <v>26.0</v>
      </c>
      <c r="E1986" s="18">
        <f t="shared" si="1"/>
        <v>28667</v>
      </c>
      <c r="F1986" s="9">
        <v>2.0</v>
      </c>
      <c r="G1986" s="19">
        <v>8302.54</v>
      </c>
      <c r="H1986" s="9" t="s">
        <v>4717</v>
      </c>
      <c r="I1986" s="9" t="s">
        <v>4717</v>
      </c>
      <c r="J1986" s="9" t="s">
        <v>4754</v>
      </c>
      <c r="K1986" s="20">
        <f t="shared" si="2"/>
        <v>1978</v>
      </c>
      <c r="L1986" s="9" t="str">
        <f t="shared" si="3"/>
        <v>tier - 3</v>
      </c>
      <c r="M1986" s="9" t="str">
        <f t="shared" si="4"/>
        <v>tier - 3</v>
      </c>
      <c r="N1986" s="9" t="str">
        <f t="shared" si="5"/>
        <v>R1016</v>
      </c>
      <c r="O1986" s="17">
        <f t="shared" si="6"/>
        <v>44</v>
      </c>
      <c r="P1986" s="18">
        <v>28667.0</v>
      </c>
    </row>
    <row r="1987" ht="15.75" customHeight="1">
      <c r="A1987" s="9" t="s">
        <v>2629</v>
      </c>
      <c r="B1987" s="17">
        <v>1979.0</v>
      </c>
      <c r="C1987" s="9" t="s">
        <v>4716</v>
      </c>
      <c r="D1987" s="9">
        <v>7.0</v>
      </c>
      <c r="E1987" s="18">
        <f t="shared" si="1"/>
        <v>29074</v>
      </c>
      <c r="F1987" s="9">
        <v>2.0</v>
      </c>
      <c r="G1987" s="19">
        <v>8310.84</v>
      </c>
      <c r="H1987" s="9" t="s">
        <v>4723</v>
      </c>
      <c r="I1987" s="9" t="s">
        <v>4723</v>
      </c>
      <c r="J1987" s="9" t="s">
        <v>4733</v>
      </c>
      <c r="K1987" s="20">
        <f t="shared" si="2"/>
        <v>1979</v>
      </c>
      <c r="L1987" s="9" t="str">
        <f t="shared" si="3"/>
        <v>tier - 2</v>
      </c>
      <c r="M1987" s="9" t="str">
        <f t="shared" si="4"/>
        <v>tier - 2</v>
      </c>
      <c r="N1987" s="9" t="str">
        <f t="shared" si="5"/>
        <v>R1012</v>
      </c>
      <c r="O1987" s="17">
        <f t="shared" si="6"/>
        <v>43</v>
      </c>
      <c r="P1987" s="18">
        <v>29074.0</v>
      </c>
    </row>
    <row r="1988" ht="15.75" customHeight="1">
      <c r="A1988" s="9" t="s">
        <v>2627</v>
      </c>
      <c r="B1988" s="17">
        <v>1993.0</v>
      </c>
      <c r="C1988" s="9" t="s">
        <v>4730</v>
      </c>
      <c r="D1988" s="9">
        <v>22.0</v>
      </c>
      <c r="E1988" s="18">
        <f t="shared" si="1"/>
        <v>34142</v>
      </c>
      <c r="F1988" s="9">
        <v>0.0</v>
      </c>
      <c r="G1988" s="19">
        <v>8314.65</v>
      </c>
      <c r="H1988" s="9" t="s">
        <v>4723</v>
      </c>
      <c r="I1988" s="9" t="s">
        <v>4718</v>
      </c>
      <c r="J1988" s="9" t="s">
        <v>4733</v>
      </c>
      <c r="K1988" s="20">
        <f t="shared" si="2"/>
        <v>1993</v>
      </c>
      <c r="L1988" s="9" t="str">
        <f t="shared" si="3"/>
        <v>tier - 2</v>
      </c>
      <c r="M1988" s="9" t="str">
        <f t="shared" si="4"/>
        <v>tier - 1</v>
      </c>
      <c r="N1988" s="9" t="str">
        <f t="shared" si="5"/>
        <v>R1012</v>
      </c>
      <c r="O1988" s="17">
        <f t="shared" si="6"/>
        <v>29</v>
      </c>
      <c r="P1988" s="18">
        <v>34142.0</v>
      </c>
    </row>
    <row r="1989" ht="15.75" customHeight="1">
      <c r="A1989" s="9" t="s">
        <v>2625</v>
      </c>
      <c r="B1989" s="17">
        <v>1976.0</v>
      </c>
      <c r="C1989" s="9" t="s">
        <v>4741</v>
      </c>
      <c r="D1989" s="9">
        <v>12.0</v>
      </c>
      <c r="E1989" s="18">
        <f t="shared" si="1"/>
        <v>27953</v>
      </c>
      <c r="F1989" s="9">
        <v>1.0</v>
      </c>
      <c r="G1989" s="19">
        <v>8334.46</v>
      </c>
      <c r="H1989" s="9" t="s">
        <v>4717</v>
      </c>
      <c r="I1989" s="9" t="s">
        <v>4723</v>
      </c>
      <c r="J1989" s="9" t="s">
        <v>4754</v>
      </c>
      <c r="K1989" s="20">
        <f t="shared" si="2"/>
        <v>1976</v>
      </c>
      <c r="L1989" s="9" t="str">
        <f t="shared" si="3"/>
        <v>tier - 3</v>
      </c>
      <c r="M1989" s="9" t="str">
        <f t="shared" si="4"/>
        <v>tier - 2</v>
      </c>
      <c r="N1989" s="9" t="str">
        <f t="shared" si="5"/>
        <v>R1016</v>
      </c>
      <c r="O1989" s="17">
        <f t="shared" si="6"/>
        <v>46</v>
      </c>
      <c r="P1989" s="18">
        <v>27953.0</v>
      </c>
    </row>
    <row r="1990" ht="15.75" customHeight="1">
      <c r="A1990" s="9" t="s">
        <v>2623</v>
      </c>
      <c r="B1990" s="17">
        <v>1976.0</v>
      </c>
      <c r="C1990" s="9" t="s">
        <v>4741</v>
      </c>
      <c r="D1990" s="9">
        <v>20.0</v>
      </c>
      <c r="E1990" s="18">
        <f t="shared" si="1"/>
        <v>27961</v>
      </c>
      <c r="F1990" s="9">
        <v>1.0</v>
      </c>
      <c r="G1990" s="19">
        <v>8334.59</v>
      </c>
      <c r="H1990" s="9" t="s">
        <v>4717</v>
      </c>
      <c r="I1990" s="9" t="s">
        <v>4723</v>
      </c>
      <c r="J1990" s="9" t="s">
        <v>4754</v>
      </c>
      <c r="K1990" s="20">
        <f t="shared" si="2"/>
        <v>1976</v>
      </c>
      <c r="L1990" s="9" t="str">
        <f t="shared" si="3"/>
        <v>tier - 3</v>
      </c>
      <c r="M1990" s="9" t="str">
        <f t="shared" si="4"/>
        <v>tier - 2</v>
      </c>
      <c r="N1990" s="9" t="str">
        <f t="shared" si="5"/>
        <v>R1016</v>
      </c>
      <c r="O1990" s="17">
        <f t="shared" si="6"/>
        <v>46</v>
      </c>
      <c r="P1990" s="18">
        <v>27961.0</v>
      </c>
    </row>
    <row r="1991" ht="15.75" customHeight="1">
      <c r="A1991" s="9" t="s">
        <v>2621</v>
      </c>
      <c r="B1991" s="17">
        <v>1976.0</v>
      </c>
      <c r="C1991" s="9" t="s">
        <v>4741</v>
      </c>
      <c r="D1991" s="9">
        <v>7.0</v>
      </c>
      <c r="E1991" s="18">
        <f t="shared" si="1"/>
        <v>27948</v>
      </c>
      <c r="F1991" s="9">
        <v>1.0</v>
      </c>
      <c r="G1991" s="19">
        <v>8342.91</v>
      </c>
      <c r="H1991" s="9" t="s">
        <v>4717</v>
      </c>
      <c r="I1991" s="9" t="s">
        <v>4718</v>
      </c>
      <c r="J1991" s="9" t="s">
        <v>4754</v>
      </c>
      <c r="K1991" s="20">
        <f t="shared" si="2"/>
        <v>1976</v>
      </c>
      <c r="L1991" s="9" t="str">
        <f t="shared" si="3"/>
        <v>tier - 3</v>
      </c>
      <c r="M1991" s="9" t="str">
        <f t="shared" si="4"/>
        <v>tier - 1</v>
      </c>
      <c r="N1991" s="9" t="str">
        <f t="shared" si="5"/>
        <v>R1016</v>
      </c>
      <c r="O1991" s="17">
        <f t="shared" si="6"/>
        <v>46</v>
      </c>
      <c r="P1991" s="18">
        <v>27948.0</v>
      </c>
    </row>
    <row r="1992" ht="15.75" customHeight="1">
      <c r="A1992" s="9" t="s">
        <v>263</v>
      </c>
      <c r="B1992" s="17">
        <v>1980.0</v>
      </c>
      <c r="C1992" s="9" t="s">
        <v>4738</v>
      </c>
      <c r="D1992" s="9">
        <v>24.0</v>
      </c>
      <c r="E1992" s="18">
        <f t="shared" si="1"/>
        <v>29488</v>
      </c>
      <c r="F1992" s="9">
        <v>2.0</v>
      </c>
      <c r="G1992" s="19">
        <v>38947.43</v>
      </c>
      <c r="H1992" s="9" t="s">
        <v>4723</v>
      </c>
      <c r="I1992" s="9" t="s">
        <v>4717</v>
      </c>
      <c r="J1992" s="9" t="s">
        <v>4719</v>
      </c>
      <c r="K1992" s="20">
        <f t="shared" si="2"/>
        <v>1980</v>
      </c>
      <c r="L1992" s="9" t="str">
        <f t="shared" si="3"/>
        <v>tier - 2</v>
      </c>
      <c r="M1992" s="9" t="str">
        <f t="shared" si="4"/>
        <v>tier - 3</v>
      </c>
      <c r="N1992" s="9" t="str">
        <f t="shared" si="5"/>
        <v>R1011</v>
      </c>
      <c r="O1992" s="17">
        <f t="shared" si="6"/>
        <v>42</v>
      </c>
      <c r="P1992" s="18">
        <v>29488.0</v>
      </c>
    </row>
    <row r="1993" ht="15.75" customHeight="1">
      <c r="A1993" s="9" t="s">
        <v>2619</v>
      </c>
      <c r="B1993" s="17">
        <v>1976.0</v>
      </c>
      <c r="C1993" s="9" t="s">
        <v>4730</v>
      </c>
      <c r="D1993" s="9">
        <v>12.0</v>
      </c>
      <c r="E1993" s="18">
        <f t="shared" si="1"/>
        <v>27923</v>
      </c>
      <c r="F1993" s="9">
        <v>2.0</v>
      </c>
      <c r="G1993" s="19">
        <v>8347.16</v>
      </c>
      <c r="H1993" s="9" t="s">
        <v>4723</v>
      </c>
      <c r="I1993" s="9" t="s">
        <v>4718</v>
      </c>
      <c r="J1993" s="9" t="s">
        <v>4743</v>
      </c>
      <c r="K1993" s="20">
        <f t="shared" si="2"/>
        <v>1976</v>
      </c>
      <c r="L1993" s="9" t="str">
        <f t="shared" si="3"/>
        <v>tier - 2</v>
      </c>
      <c r="M1993" s="9" t="str">
        <f t="shared" si="4"/>
        <v>tier - 1</v>
      </c>
      <c r="N1993" s="9" t="str">
        <f t="shared" si="5"/>
        <v>R1013</v>
      </c>
      <c r="O1993" s="17">
        <f t="shared" si="6"/>
        <v>46</v>
      </c>
      <c r="P1993" s="18">
        <v>27923.0</v>
      </c>
    </row>
    <row r="1994" ht="15.75" customHeight="1">
      <c r="A1994" s="9" t="s">
        <v>2617</v>
      </c>
      <c r="B1994" s="17">
        <v>1963.0</v>
      </c>
      <c r="C1994" s="9" t="s">
        <v>4738</v>
      </c>
      <c r="D1994" s="9">
        <v>21.0</v>
      </c>
      <c r="E1994" s="18">
        <f t="shared" si="1"/>
        <v>23275</v>
      </c>
      <c r="F1994" s="9">
        <v>0.0</v>
      </c>
      <c r="G1994" s="19">
        <v>8355.54</v>
      </c>
      <c r="H1994" s="9" t="s">
        <v>4717</v>
      </c>
      <c r="I1994" s="9" t="s">
        <v>4717</v>
      </c>
      <c r="J1994" s="9" t="s">
        <v>4733</v>
      </c>
      <c r="K1994" s="20">
        <f t="shared" si="2"/>
        <v>1963</v>
      </c>
      <c r="L1994" s="9" t="str">
        <f t="shared" si="3"/>
        <v>tier - 3</v>
      </c>
      <c r="M1994" s="9" t="str">
        <f t="shared" si="4"/>
        <v>tier - 3</v>
      </c>
      <c r="N1994" s="9" t="str">
        <f t="shared" si="5"/>
        <v>R1012</v>
      </c>
      <c r="O1994" s="17">
        <f t="shared" si="6"/>
        <v>59</v>
      </c>
      <c r="P1994" s="18">
        <v>23275.0</v>
      </c>
    </row>
    <row r="1995" ht="15.75" customHeight="1">
      <c r="A1995" s="9" t="s">
        <v>2615</v>
      </c>
      <c r="B1995" s="17">
        <v>1971.0</v>
      </c>
      <c r="C1995" s="9" t="s">
        <v>4738</v>
      </c>
      <c r="D1995" s="9">
        <v>4.0</v>
      </c>
      <c r="E1995" s="18">
        <f t="shared" si="1"/>
        <v>26180</v>
      </c>
      <c r="F1995" s="9">
        <v>0.0</v>
      </c>
      <c r="G1995" s="19">
        <v>8396.62</v>
      </c>
      <c r="H1995" s="9" t="s">
        <v>4723</v>
      </c>
      <c r="I1995" s="9" t="s">
        <v>4717</v>
      </c>
      <c r="J1995" s="9" t="s">
        <v>4743</v>
      </c>
      <c r="K1995" s="20">
        <f t="shared" si="2"/>
        <v>1971</v>
      </c>
      <c r="L1995" s="9" t="str">
        <f t="shared" si="3"/>
        <v>tier - 2</v>
      </c>
      <c r="M1995" s="9" t="str">
        <f t="shared" si="4"/>
        <v>tier - 3</v>
      </c>
      <c r="N1995" s="9" t="str">
        <f t="shared" si="5"/>
        <v>R1013</v>
      </c>
      <c r="O1995" s="17">
        <f t="shared" si="6"/>
        <v>51</v>
      </c>
      <c r="P1995" s="18">
        <v>26180.0</v>
      </c>
    </row>
    <row r="1996" ht="15.75" customHeight="1">
      <c r="A1996" s="9" t="s">
        <v>2613</v>
      </c>
      <c r="B1996" s="17">
        <v>1971.0</v>
      </c>
      <c r="C1996" s="9" t="s">
        <v>4738</v>
      </c>
      <c r="D1996" s="9">
        <v>18.0</v>
      </c>
      <c r="E1996" s="18">
        <f t="shared" si="1"/>
        <v>26194</v>
      </c>
      <c r="F1996" s="9">
        <v>0.0</v>
      </c>
      <c r="G1996" s="19">
        <v>8400.01</v>
      </c>
      <c r="H1996" s="9" t="s">
        <v>4723</v>
      </c>
      <c r="I1996" s="9" t="s">
        <v>4717</v>
      </c>
      <c r="J1996" s="9" t="s">
        <v>4743</v>
      </c>
      <c r="K1996" s="20">
        <f t="shared" si="2"/>
        <v>1971</v>
      </c>
      <c r="L1996" s="9" t="str">
        <f t="shared" si="3"/>
        <v>tier - 2</v>
      </c>
      <c r="M1996" s="9" t="str">
        <f t="shared" si="4"/>
        <v>tier - 3</v>
      </c>
      <c r="N1996" s="9" t="str">
        <f t="shared" si="5"/>
        <v>R1013</v>
      </c>
      <c r="O1996" s="17">
        <f t="shared" si="6"/>
        <v>51</v>
      </c>
      <c r="P1996" s="18">
        <v>26194.0</v>
      </c>
    </row>
    <row r="1997" ht="15.75" customHeight="1">
      <c r="A1997" s="9" t="s">
        <v>2611</v>
      </c>
      <c r="B1997" s="17">
        <v>1979.0</v>
      </c>
      <c r="C1997" s="9" t="s">
        <v>4730</v>
      </c>
      <c r="D1997" s="9">
        <v>11.0</v>
      </c>
      <c r="E1997" s="18">
        <f t="shared" si="1"/>
        <v>29017</v>
      </c>
      <c r="F1997" s="9">
        <v>3.0</v>
      </c>
      <c r="G1997" s="19">
        <v>8410.05</v>
      </c>
      <c r="H1997" s="9" t="s">
        <v>4723</v>
      </c>
      <c r="I1997" s="9" t="s">
        <v>4723</v>
      </c>
      <c r="J1997" s="9" t="s">
        <v>4733</v>
      </c>
      <c r="K1997" s="20">
        <f t="shared" si="2"/>
        <v>1979</v>
      </c>
      <c r="L1997" s="9" t="str">
        <f t="shared" si="3"/>
        <v>tier - 2</v>
      </c>
      <c r="M1997" s="9" t="str">
        <f t="shared" si="4"/>
        <v>tier - 2</v>
      </c>
      <c r="N1997" s="9" t="str">
        <f t="shared" si="5"/>
        <v>R1012</v>
      </c>
      <c r="O1997" s="17">
        <f t="shared" si="6"/>
        <v>43</v>
      </c>
      <c r="P1997" s="18">
        <v>29017.0</v>
      </c>
    </row>
    <row r="1998" ht="15.75" customHeight="1">
      <c r="A1998" s="9" t="s">
        <v>2609</v>
      </c>
      <c r="B1998" s="17">
        <v>1977.0</v>
      </c>
      <c r="C1998" s="9" t="s">
        <v>4738</v>
      </c>
      <c r="D1998" s="9">
        <v>4.0</v>
      </c>
      <c r="E1998" s="18">
        <f t="shared" si="1"/>
        <v>28372</v>
      </c>
      <c r="F1998" s="9">
        <v>2.0</v>
      </c>
      <c r="G1998" s="19">
        <v>8413.46</v>
      </c>
      <c r="H1998" s="9" t="s">
        <v>4717</v>
      </c>
      <c r="I1998" s="9" t="s">
        <v>4718</v>
      </c>
      <c r="J1998" s="9" t="s">
        <v>4733</v>
      </c>
      <c r="K1998" s="20">
        <f t="shared" si="2"/>
        <v>1977</v>
      </c>
      <c r="L1998" s="9" t="str">
        <f t="shared" si="3"/>
        <v>tier - 3</v>
      </c>
      <c r="M1998" s="9" t="str">
        <f t="shared" si="4"/>
        <v>tier - 1</v>
      </c>
      <c r="N1998" s="9" t="str">
        <f t="shared" si="5"/>
        <v>R1012</v>
      </c>
      <c r="O1998" s="17">
        <f t="shared" si="6"/>
        <v>45</v>
      </c>
      <c r="P1998" s="18">
        <v>28372.0</v>
      </c>
    </row>
    <row r="1999" ht="15.75" customHeight="1">
      <c r="A1999" s="9" t="s">
        <v>2607</v>
      </c>
      <c r="B1999" s="17">
        <v>1975.0</v>
      </c>
      <c r="C1999" s="9" t="s">
        <v>4738</v>
      </c>
      <c r="D1999" s="9">
        <v>28.0</v>
      </c>
      <c r="E1999" s="18">
        <f t="shared" si="1"/>
        <v>27665</v>
      </c>
      <c r="F1999" s="9">
        <v>1.0</v>
      </c>
      <c r="G1999" s="19">
        <v>8428.07</v>
      </c>
      <c r="H1999" s="9" t="s">
        <v>4717</v>
      </c>
      <c r="I1999" s="9" t="s">
        <v>4723</v>
      </c>
      <c r="J1999" s="9" t="s">
        <v>4733</v>
      </c>
      <c r="K1999" s="20">
        <f t="shared" si="2"/>
        <v>1975</v>
      </c>
      <c r="L1999" s="9" t="str">
        <f t="shared" si="3"/>
        <v>tier - 3</v>
      </c>
      <c r="M1999" s="9" t="str">
        <f t="shared" si="4"/>
        <v>tier - 2</v>
      </c>
      <c r="N1999" s="9" t="str">
        <f t="shared" si="5"/>
        <v>R1012</v>
      </c>
      <c r="O1999" s="17">
        <f t="shared" si="6"/>
        <v>47</v>
      </c>
      <c r="P1999" s="18">
        <v>27665.0</v>
      </c>
    </row>
    <row r="2000" ht="15.75" customHeight="1">
      <c r="A2000" s="9" t="s">
        <v>2605</v>
      </c>
      <c r="B2000" s="17">
        <v>1963.0</v>
      </c>
      <c r="C2000" s="9" t="s">
        <v>4738</v>
      </c>
      <c r="D2000" s="9">
        <v>24.0</v>
      </c>
      <c r="E2000" s="18">
        <f t="shared" si="1"/>
        <v>23278</v>
      </c>
      <c r="F2000" s="9">
        <v>0.0</v>
      </c>
      <c r="G2000" s="19">
        <v>8440.05</v>
      </c>
      <c r="H2000" s="9" t="s">
        <v>4717</v>
      </c>
      <c r="I2000" s="9" t="s">
        <v>4723</v>
      </c>
      <c r="J2000" s="9" t="s">
        <v>4743</v>
      </c>
      <c r="K2000" s="20">
        <f t="shared" si="2"/>
        <v>1963</v>
      </c>
      <c r="L2000" s="9" t="str">
        <f t="shared" si="3"/>
        <v>tier - 3</v>
      </c>
      <c r="M2000" s="9" t="str">
        <f t="shared" si="4"/>
        <v>tier - 2</v>
      </c>
      <c r="N2000" s="9" t="str">
        <f t="shared" si="5"/>
        <v>R1013</v>
      </c>
      <c r="O2000" s="17">
        <f t="shared" si="6"/>
        <v>59</v>
      </c>
      <c r="P2000" s="18">
        <v>23278.0</v>
      </c>
    </row>
    <row r="2001" ht="15.75" customHeight="1">
      <c r="A2001" s="9" t="s">
        <v>2603</v>
      </c>
      <c r="B2001" s="17">
        <v>1972.0</v>
      </c>
      <c r="C2001" s="9" t="s">
        <v>4738</v>
      </c>
      <c r="D2001" s="9">
        <v>9.0</v>
      </c>
      <c r="E2001" s="18">
        <f t="shared" si="1"/>
        <v>26551</v>
      </c>
      <c r="F2001" s="9">
        <v>0.0</v>
      </c>
      <c r="G2001" s="19">
        <v>8442.67</v>
      </c>
      <c r="H2001" s="9" t="s">
        <v>4723</v>
      </c>
      <c r="I2001" s="9" t="s">
        <v>4717</v>
      </c>
      <c r="J2001" s="9" t="s">
        <v>4743</v>
      </c>
      <c r="K2001" s="20">
        <f t="shared" si="2"/>
        <v>1972</v>
      </c>
      <c r="L2001" s="9" t="str">
        <f t="shared" si="3"/>
        <v>tier - 2</v>
      </c>
      <c r="M2001" s="9" t="str">
        <f t="shared" si="4"/>
        <v>tier - 3</v>
      </c>
      <c r="N2001" s="9" t="str">
        <f t="shared" si="5"/>
        <v>R1013</v>
      </c>
      <c r="O2001" s="17">
        <f t="shared" si="6"/>
        <v>50</v>
      </c>
      <c r="P2001" s="18">
        <v>26551.0</v>
      </c>
    </row>
    <row r="2002" ht="15.75" customHeight="1">
      <c r="A2002" s="9" t="s">
        <v>2601</v>
      </c>
      <c r="B2002" s="17">
        <v>1972.0</v>
      </c>
      <c r="C2002" s="9" t="s">
        <v>4738</v>
      </c>
      <c r="D2002" s="9">
        <v>4.0</v>
      </c>
      <c r="E2002" s="18">
        <f t="shared" si="1"/>
        <v>26546</v>
      </c>
      <c r="F2002" s="9">
        <v>0.0</v>
      </c>
      <c r="G2002" s="19">
        <v>8444.47</v>
      </c>
      <c r="H2002" s="9" t="s">
        <v>4717</v>
      </c>
      <c r="I2002" s="9" t="s">
        <v>4718</v>
      </c>
      <c r="J2002" s="9" t="s">
        <v>4719</v>
      </c>
      <c r="K2002" s="20">
        <f t="shared" si="2"/>
        <v>1972</v>
      </c>
      <c r="L2002" s="9" t="str">
        <f t="shared" si="3"/>
        <v>tier - 3</v>
      </c>
      <c r="M2002" s="9" t="str">
        <f t="shared" si="4"/>
        <v>tier - 1</v>
      </c>
      <c r="N2002" s="9" t="str">
        <f t="shared" si="5"/>
        <v>R1011</v>
      </c>
      <c r="O2002" s="17">
        <f t="shared" si="6"/>
        <v>50</v>
      </c>
      <c r="P2002" s="18">
        <v>26546.0</v>
      </c>
    </row>
    <row r="2003" ht="15.75" customHeight="1">
      <c r="A2003" s="9" t="s">
        <v>261</v>
      </c>
      <c r="B2003" s="17">
        <v>1978.0</v>
      </c>
      <c r="C2003" s="9" t="s">
        <v>4720</v>
      </c>
      <c r="D2003" s="9">
        <v>12.0</v>
      </c>
      <c r="E2003" s="18">
        <f t="shared" si="1"/>
        <v>28775</v>
      </c>
      <c r="F2003" s="9">
        <v>2.0</v>
      </c>
      <c r="G2003" s="19">
        <v>38998.55</v>
      </c>
      <c r="H2003" s="9" t="s">
        <v>4718</v>
      </c>
      <c r="I2003" s="9" t="s">
        <v>4718</v>
      </c>
      <c r="J2003" s="9" t="s">
        <v>4719</v>
      </c>
      <c r="K2003" s="20">
        <f t="shared" si="2"/>
        <v>1978</v>
      </c>
      <c r="L2003" s="9" t="str">
        <f t="shared" si="3"/>
        <v>tier - 1</v>
      </c>
      <c r="M2003" s="9" t="str">
        <f t="shared" si="4"/>
        <v>tier - 1</v>
      </c>
      <c r="N2003" s="9" t="str">
        <f t="shared" si="5"/>
        <v>R1011</v>
      </c>
      <c r="O2003" s="17">
        <f t="shared" si="6"/>
        <v>44</v>
      </c>
      <c r="P2003" s="18">
        <v>28775.0</v>
      </c>
    </row>
    <row r="2004" ht="15.75" customHeight="1">
      <c r="A2004" s="9" t="s">
        <v>27</v>
      </c>
      <c r="B2004" s="17">
        <v>1962.0</v>
      </c>
      <c r="C2004" s="9" t="s">
        <v>4720</v>
      </c>
      <c r="D2004" s="9">
        <v>11.0</v>
      </c>
      <c r="E2004" s="18">
        <f t="shared" si="1"/>
        <v>22930</v>
      </c>
      <c r="F2004" s="9">
        <v>0.0</v>
      </c>
      <c r="G2004" s="19">
        <v>48673.56</v>
      </c>
      <c r="H2004" s="9" t="s">
        <v>4718</v>
      </c>
      <c r="I2004" s="9" t="s">
        <v>4723</v>
      </c>
      <c r="J2004" s="9" t="s">
        <v>4743</v>
      </c>
      <c r="K2004" s="20">
        <f t="shared" si="2"/>
        <v>1962</v>
      </c>
      <c r="L2004" s="9" t="str">
        <f t="shared" si="3"/>
        <v>tier - 1</v>
      </c>
      <c r="M2004" s="9" t="str">
        <f t="shared" si="4"/>
        <v>tier - 2</v>
      </c>
      <c r="N2004" s="9" t="str">
        <f t="shared" si="5"/>
        <v>R1013</v>
      </c>
      <c r="O2004" s="17">
        <f t="shared" si="6"/>
        <v>60</v>
      </c>
      <c r="P2004" s="18">
        <v>22930.0</v>
      </c>
    </row>
    <row r="2005" ht="15.75" customHeight="1">
      <c r="A2005" s="9" t="s">
        <v>2599</v>
      </c>
      <c r="B2005" s="17">
        <v>1966.0</v>
      </c>
      <c r="C2005" s="9" t="s">
        <v>4730</v>
      </c>
      <c r="D2005" s="9">
        <v>12.0</v>
      </c>
      <c r="E2005" s="18">
        <f t="shared" si="1"/>
        <v>24270</v>
      </c>
      <c r="F2005" s="9">
        <v>0.0</v>
      </c>
      <c r="G2005" s="19">
        <v>8448.66</v>
      </c>
      <c r="H2005" s="9" t="s">
        <v>4717</v>
      </c>
      <c r="I2005" s="9" t="s">
        <v>4718</v>
      </c>
      <c r="J2005" s="9" t="s">
        <v>4743</v>
      </c>
      <c r="K2005" s="20">
        <f t="shared" si="2"/>
        <v>1966</v>
      </c>
      <c r="L2005" s="9" t="str">
        <f t="shared" si="3"/>
        <v>tier - 3</v>
      </c>
      <c r="M2005" s="9" t="str">
        <f t="shared" si="4"/>
        <v>tier - 1</v>
      </c>
      <c r="N2005" s="9" t="str">
        <f t="shared" si="5"/>
        <v>R1013</v>
      </c>
      <c r="O2005" s="17">
        <f t="shared" si="6"/>
        <v>56</v>
      </c>
      <c r="P2005" s="18">
        <v>24270.0</v>
      </c>
    </row>
    <row r="2006" ht="15.75" customHeight="1">
      <c r="A2006" s="9" t="s">
        <v>2597</v>
      </c>
      <c r="B2006" s="17">
        <v>1984.0</v>
      </c>
      <c r="C2006" s="9" t="s">
        <v>4730</v>
      </c>
      <c r="D2006" s="9">
        <v>19.0</v>
      </c>
      <c r="E2006" s="18">
        <f t="shared" si="1"/>
        <v>30852</v>
      </c>
      <c r="F2006" s="9">
        <v>3.0</v>
      </c>
      <c r="G2006" s="19">
        <v>8450.82</v>
      </c>
      <c r="H2006" s="9" t="s">
        <v>4723</v>
      </c>
      <c r="I2006" s="9" t="s">
        <v>4723</v>
      </c>
      <c r="J2006" s="9" t="s">
        <v>4726</v>
      </c>
      <c r="K2006" s="20">
        <f t="shared" si="2"/>
        <v>1984</v>
      </c>
      <c r="L2006" s="9" t="str">
        <f t="shared" si="3"/>
        <v>tier - 2</v>
      </c>
      <c r="M2006" s="9" t="str">
        <f t="shared" si="4"/>
        <v>tier - 2</v>
      </c>
      <c r="N2006" s="9" t="str">
        <f t="shared" si="5"/>
        <v>R1025</v>
      </c>
      <c r="O2006" s="17">
        <f t="shared" si="6"/>
        <v>38</v>
      </c>
      <c r="P2006" s="18">
        <v>30852.0</v>
      </c>
    </row>
    <row r="2007" ht="15.75" customHeight="1">
      <c r="A2007" s="9" t="s">
        <v>2595</v>
      </c>
      <c r="B2007" s="17">
        <v>1972.0</v>
      </c>
      <c r="C2007" s="9" t="s">
        <v>4725</v>
      </c>
      <c r="D2007" s="9">
        <v>26.0</v>
      </c>
      <c r="E2007" s="18">
        <f t="shared" si="1"/>
        <v>26659</v>
      </c>
      <c r="F2007" s="9">
        <v>0.0</v>
      </c>
      <c r="G2007" s="19">
        <v>8457.82</v>
      </c>
      <c r="H2007" s="9" t="s">
        <v>4723</v>
      </c>
      <c r="I2007" s="9" t="s">
        <v>4717</v>
      </c>
      <c r="J2007" s="9" t="s">
        <v>4719</v>
      </c>
      <c r="K2007" s="20">
        <f t="shared" si="2"/>
        <v>1972</v>
      </c>
      <c r="L2007" s="9" t="str">
        <f t="shared" si="3"/>
        <v>tier - 2</v>
      </c>
      <c r="M2007" s="9" t="str">
        <f t="shared" si="4"/>
        <v>tier - 3</v>
      </c>
      <c r="N2007" s="9" t="str">
        <f t="shared" si="5"/>
        <v>R1011</v>
      </c>
      <c r="O2007" s="17">
        <f t="shared" si="6"/>
        <v>50</v>
      </c>
      <c r="P2007" s="18">
        <v>26659.0</v>
      </c>
    </row>
    <row r="2008" ht="15.75" customHeight="1">
      <c r="A2008" s="9" t="s">
        <v>2593</v>
      </c>
      <c r="B2008" s="17">
        <v>1992.0</v>
      </c>
      <c r="C2008" s="9" t="s">
        <v>4738</v>
      </c>
      <c r="D2008" s="9">
        <v>9.0</v>
      </c>
      <c r="E2008" s="18">
        <f t="shared" si="1"/>
        <v>33856</v>
      </c>
      <c r="F2008" s="9">
        <v>0.0</v>
      </c>
      <c r="G2008" s="19">
        <v>8466.35</v>
      </c>
      <c r="H2008" s="9" t="s">
        <v>4723</v>
      </c>
      <c r="I2008" s="9" t="s">
        <v>4723</v>
      </c>
      <c r="J2008" s="9" t="s">
        <v>4733</v>
      </c>
      <c r="K2008" s="20">
        <f t="shared" si="2"/>
        <v>1992</v>
      </c>
      <c r="L2008" s="9" t="str">
        <f t="shared" si="3"/>
        <v>tier - 2</v>
      </c>
      <c r="M2008" s="9" t="str">
        <f t="shared" si="4"/>
        <v>tier - 2</v>
      </c>
      <c r="N2008" s="9" t="str">
        <f t="shared" si="5"/>
        <v>R1012</v>
      </c>
      <c r="O2008" s="17">
        <f t="shared" si="6"/>
        <v>30</v>
      </c>
      <c r="P2008" s="18">
        <v>33856.0</v>
      </c>
    </row>
    <row r="2009" ht="15.75" customHeight="1">
      <c r="A2009" s="9" t="s">
        <v>2591</v>
      </c>
      <c r="B2009" s="17">
        <v>1993.0</v>
      </c>
      <c r="C2009" s="9" t="s">
        <v>4735</v>
      </c>
      <c r="D2009" s="9">
        <v>10.0</v>
      </c>
      <c r="E2009" s="18">
        <f t="shared" si="1"/>
        <v>34283</v>
      </c>
      <c r="F2009" s="9">
        <v>0.0</v>
      </c>
      <c r="G2009" s="19">
        <v>8471.65</v>
      </c>
      <c r="H2009" s="9" t="s">
        <v>4723</v>
      </c>
      <c r="I2009" s="9" t="s">
        <v>4718</v>
      </c>
      <c r="J2009" s="9" t="s">
        <v>4733</v>
      </c>
      <c r="K2009" s="20">
        <f t="shared" si="2"/>
        <v>1993</v>
      </c>
      <c r="L2009" s="9" t="str">
        <f t="shared" si="3"/>
        <v>tier - 2</v>
      </c>
      <c r="M2009" s="9" t="str">
        <f t="shared" si="4"/>
        <v>tier - 1</v>
      </c>
      <c r="N2009" s="9" t="str">
        <f t="shared" si="5"/>
        <v>R1012</v>
      </c>
      <c r="O2009" s="17">
        <f t="shared" si="6"/>
        <v>29</v>
      </c>
      <c r="P2009" s="18">
        <v>34283.0</v>
      </c>
    </row>
    <row r="2010" ht="15.75" customHeight="1">
      <c r="A2010" s="9" t="s">
        <v>2589</v>
      </c>
      <c r="B2010" s="17">
        <v>1977.0</v>
      </c>
      <c r="C2010" s="9" t="s">
        <v>4725</v>
      </c>
      <c r="D2010" s="9">
        <v>26.0</v>
      </c>
      <c r="E2010" s="18">
        <f t="shared" si="1"/>
        <v>28485</v>
      </c>
      <c r="F2010" s="9">
        <v>2.0</v>
      </c>
      <c r="G2010" s="19">
        <v>8515.76</v>
      </c>
      <c r="H2010" s="9" t="s">
        <v>4723</v>
      </c>
      <c r="I2010" s="9" t="s">
        <v>4723</v>
      </c>
      <c r="J2010" s="9" t="s">
        <v>4743</v>
      </c>
      <c r="K2010" s="20">
        <f t="shared" si="2"/>
        <v>1977</v>
      </c>
      <c r="L2010" s="9" t="str">
        <f t="shared" si="3"/>
        <v>tier - 2</v>
      </c>
      <c r="M2010" s="9" t="str">
        <f t="shared" si="4"/>
        <v>tier - 2</v>
      </c>
      <c r="N2010" s="9" t="str">
        <f t="shared" si="5"/>
        <v>R1013</v>
      </c>
      <c r="O2010" s="17">
        <f t="shared" si="6"/>
        <v>45</v>
      </c>
      <c r="P2010" s="18">
        <v>28485.0</v>
      </c>
    </row>
    <row r="2011" ht="15.75" customHeight="1">
      <c r="A2011" s="9" t="s">
        <v>2587</v>
      </c>
      <c r="B2011" s="17">
        <v>1977.0</v>
      </c>
      <c r="C2011" s="9" t="s">
        <v>4730</v>
      </c>
      <c r="D2011" s="9">
        <v>21.0</v>
      </c>
      <c r="E2011" s="18">
        <f t="shared" si="1"/>
        <v>28297</v>
      </c>
      <c r="F2011" s="9">
        <v>2.0</v>
      </c>
      <c r="G2011" s="19">
        <v>8516.83</v>
      </c>
      <c r="H2011" s="9" t="s">
        <v>4723</v>
      </c>
      <c r="I2011" s="9" t="s">
        <v>4718</v>
      </c>
      <c r="J2011" s="9" t="s">
        <v>4743</v>
      </c>
      <c r="K2011" s="20">
        <f t="shared" si="2"/>
        <v>1977</v>
      </c>
      <c r="L2011" s="9" t="str">
        <f t="shared" si="3"/>
        <v>tier - 2</v>
      </c>
      <c r="M2011" s="9" t="str">
        <f t="shared" si="4"/>
        <v>tier - 1</v>
      </c>
      <c r="N2011" s="9" t="str">
        <f t="shared" si="5"/>
        <v>R1013</v>
      </c>
      <c r="O2011" s="17">
        <f t="shared" si="6"/>
        <v>45</v>
      </c>
      <c r="P2011" s="18">
        <v>28297.0</v>
      </c>
    </row>
    <row r="2012" ht="15.75" customHeight="1">
      <c r="A2012" s="9" t="s">
        <v>2585</v>
      </c>
      <c r="B2012" s="17">
        <v>1977.0</v>
      </c>
      <c r="C2012" s="9" t="s">
        <v>4725</v>
      </c>
      <c r="D2012" s="9">
        <v>29.0</v>
      </c>
      <c r="E2012" s="18">
        <f t="shared" si="1"/>
        <v>28488</v>
      </c>
      <c r="F2012" s="9">
        <v>2.0</v>
      </c>
      <c r="G2012" s="19">
        <v>8520.03</v>
      </c>
      <c r="H2012" s="9" t="s">
        <v>4723</v>
      </c>
      <c r="I2012" s="9" t="s">
        <v>4717</v>
      </c>
      <c r="J2012" s="9" t="s">
        <v>4719</v>
      </c>
      <c r="K2012" s="20">
        <f t="shared" si="2"/>
        <v>1977</v>
      </c>
      <c r="L2012" s="9" t="str">
        <f t="shared" si="3"/>
        <v>tier - 2</v>
      </c>
      <c r="M2012" s="9" t="str">
        <f t="shared" si="4"/>
        <v>tier - 3</v>
      </c>
      <c r="N2012" s="9" t="str">
        <f t="shared" si="5"/>
        <v>R1011</v>
      </c>
      <c r="O2012" s="17">
        <f t="shared" si="6"/>
        <v>45</v>
      </c>
      <c r="P2012" s="18">
        <v>28488.0</v>
      </c>
    </row>
    <row r="2013" ht="15.75" customHeight="1">
      <c r="A2013" s="9" t="s">
        <v>2583</v>
      </c>
      <c r="B2013" s="17">
        <v>1979.0</v>
      </c>
      <c r="C2013" s="9" t="s">
        <v>4716</v>
      </c>
      <c r="D2013" s="9">
        <v>13.0</v>
      </c>
      <c r="E2013" s="18">
        <f t="shared" si="1"/>
        <v>29080</v>
      </c>
      <c r="F2013" s="9">
        <v>3.0</v>
      </c>
      <c r="G2013" s="19">
        <v>8522.0</v>
      </c>
      <c r="H2013" s="9" t="s">
        <v>4723</v>
      </c>
      <c r="I2013" s="9" t="s">
        <v>4723</v>
      </c>
      <c r="J2013" s="9" t="s">
        <v>4719</v>
      </c>
      <c r="K2013" s="20">
        <f t="shared" si="2"/>
        <v>1979</v>
      </c>
      <c r="L2013" s="9" t="str">
        <f t="shared" si="3"/>
        <v>tier - 2</v>
      </c>
      <c r="M2013" s="9" t="str">
        <f t="shared" si="4"/>
        <v>tier - 2</v>
      </c>
      <c r="N2013" s="9" t="str">
        <f t="shared" si="5"/>
        <v>R1011</v>
      </c>
      <c r="O2013" s="17">
        <f t="shared" si="6"/>
        <v>43</v>
      </c>
      <c r="P2013" s="18">
        <v>29080.0</v>
      </c>
    </row>
    <row r="2014" ht="15.75" customHeight="1">
      <c r="A2014" s="9" t="s">
        <v>2581</v>
      </c>
      <c r="B2014" s="17">
        <v>1977.0</v>
      </c>
      <c r="C2014" s="9" t="s">
        <v>4741</v>
      </c>
      <c r="D2014" s="9">
        <v>26.0</v>
      </c>
      <c r="E2014" s="18">
        <f t="shared" si="1"/>
        <v>28332</v>
      </c>
      <c r="F2014" s="9">
        <v>2.0</v>
      </c>
      <c r="G2014" s="19">
        <v>8527.53</v>
      </c>
      <c r="H2014" s="9" t="s">
        <v>4723</v>
      </c>
      <c r="I2014" s="9" t="s">
        <v>4723</v>
      </c>
      <c r="J2014" s="9" t="s">
        <v>4743</v>
      </c>
      <c r="K2014" s="20">
        <f t="shared" si="2"/>
        <v>1977</v>
      </c>
      <c r="L2014" s="9" t="str">
        <f t="shared" si="3"/>
        <v>tier - 2</v>
      </c>
      <c r="M2014" s="9" t="str">
        <f t="shared" si="4"/>
        <v>tier - 2</v>
      </c>
      <c r="N2014" s="9" t="str">
        <f t="shared" si="5"/>
        <v>R1013</v>
      </c>
      <c r="O2014" s="17">
        <f t="shared" si="6"/>
        <v>45</v>
      </c>
      <c r="P2014" s="18">
        <v>28332.0</v>
      </c>
    </row>
    <row r="2015" ht="15.75" customHeight="1">
      <c r="A2015" s="9" t="s">
        <v>259</v>
      </c>
      <c r="B2015" s="17">
        <v>1985.0</v>
      </c>
      <c r="C2015" s="9" t="s">
        <v>4738</v>
      </c>
      <c r="D2015" s="9">
        <v>20.0</v>
      </c>
      <c r="E2015" s="18">
        <f t="shared" si="1"/>
        <v>31310</v>
      </c>
      <c r="F2015" s="9">
        <v>1.0</v>
      </c>
      <c r="G2015" s="19">
        <v>39047.29</v>
      </c>
      <c r="H2015" s="9" t="s">
        <v>4718</v>
      </c>
      <c r="I2015" s="9" t="s">
        <v>4717</v>
      </c>
      <c r="J2015" s="9" t="s">
        <v>4753</v>
      </c>
      <c r="K2015" s="20">
        <f t="shared" si="2"/>
        <v>1985</v>
      </c>
      <c r="L2015" s="9" t="str">
        <f t="shared" si="3"/>
        <v>tier - 1</v>
      </c>
      <c r="M2015" s="9" t="str">
        <f t="shared" si="4"/>
        <v>tier - 3</v>
      </c>
      <c r="N2015" s="9" t="str">
        <f t="shared" si="5"/>
        <v>R1017</v>
      </c>
      <c r="O2015" s="17">
        <f t="shared" si="6"/>
        <v>37</v>
      </c>
      <c r="P2015" s="18">
        <v>31310.0</v>
      </c>
    </row>
    <row r="2016" ht="15.75" customHeight="1">
      <c r="A2016" s="9" t="s">
        <v>2579</v>
      </c>
      <c r="B2016" s="17" t="s">
        <v>4700</v>
      </c>
      <c r="C2016" s="9" t="s">
        <v>4741</v>
      </c>
      <c r="D2016" s="9">
        <v>24.0</v>
      </c>
      <c r="E2016" s="18">
        <f t="shared" si="1"/>
        <v>30521</v>
      </c>
      <c r="F2016" s="9">
        <v>0.0</v>
      </c>
      <c r="G2016" s="19">
        <v>8534.67</v>
      </c>
      <c r="H2016" s="9" t="s">
        <v>4723</v>
      </c>
      <c r="I2016" s="9" t="s">
        <v>4717</v>
      </c>
      <c r="J2016" s="9" t="s">
        <v>4731</v>
      </c>
      <c r="K2016" s="20">
        <f t="shared" si="2"/>
        <v>1983</v>
      </c>
      <c r="L2016" s="9" t="str">
        <f t="shared" si="3"/>
        <v>tier - 2</v>
      </c>
      <c r="M2016" s="9" t="str">
        <f t="shared" si="4"/>
        <v>tier - 3</v>
      </c>
      <c r="N2016" s="9" t="str">
        <f t="shared" si="5"/>
        <v>R1024</v>
      </c>
      <c r="O2016" s="17">
        <f t="shared" si="6"/>
        <v>39</v>
      </c>
      <c r="P2016" s="18">
        <v>30521.0</v>
      </c>
    </row>
    <row r="2017" ht="15.75" customHeight="1">
      <c r="A2017" s="9" t="s">
        <v>2577</v>
      </c>
      <c r="B2017" s="17">
        <v>1981.0</v>
      </c>
      <c r="C2017" s="9" t="s">
        <v>4725</v>
      </c>
      <c r="D2017" s="9">
        <v>27.0</v>
      </c>
      <c r="E2017" s="18">
        <f t="shared" si="1"/>
        <v>29947</v>
      </c>
      <c r="F2017" s="9">
        <v>3.0</v>
      </c>
      <c r="G2017" s="19">
        <v>8538.29</v>
      </c>
      <c r="H2017" s="9" t="s">
        <v>4723</v>
      </c>
      <c r="I2017" s="9" t="s">
        <v>4717</v>
      </c>
      <c r="J2017" s="9" t="s">
        <v>4731</v>
      </c>
      <c r="K2017" s="20">
        <f t="shared" si="2"/>
        <v>1981</v>
      </c>
      <c r="L2017" s="9" t="str">
        <f t="shared" si="3"/>
        <v>tier - 2</v>
      </c>
      <c r="M2017" s="9" t="str">
        <f t="shared" si="4"/>
        <v>tier - 3</v>
      </c>
      <c r="N2017" s="9" t="str">
        <f t="shared" si="5"/>
        <v>R1024</v>
      </c>
      <c r="O2017" s="17">
        <f t="shared" si="6"/>
        <v>41</v>
      </c>
      <c r="P2017" s="18">
        <v>29947.0</v>
      </c>
    </row>
    <row r="2018" ht="15.75" customHeight="1">
      <c r="A2018" s="9" t="s">
        <v>2575</v>
      </c>
      <c r="B2018" s="17">
        <v>1975.0</v>
      </c>
      <c r="C2018" s="9" t="s">
        <v>4735</v>
      </c>
      <c r="D2018" s="9">
        <v>6.0</v>
      </c>
      <c r="E2018" s="18">
        <f t="shared" si="1"/>
        <v>27704</v>
      </c>
      <c r="F2018" s="9">
        <v>1.0</v>
      </c>
      <c r="G2018" s="19">
        <v>8539.67</v>
      </c>
      <c r="H2018" s="9" t="s">
        <v>4723</v>
      </c>
      <c r="I2018" s="9" t="s">
        <v>4717</v>
      </c>
      <c r="J2018" s="9" t="s">
        <v>4719</v>
      </c>
      <c r="K2018" s="20">
        <f t="shared" si="2"/>
        <v>1975</v>
      </c>
      <c r="L2018" s="9" t="str">
        <f t="shared" si="3"/>
        <v>tier - 2</v>
      </c>
      <c r="M2018" s="9" t="str">
        <f t="shared" si="4"/>
        <v>tier - 3</v>
      </c>
      <c r="N2018" s="9" t="str">
        <f t="shared" si="5"/>
        <v>R1011</v>
      </c>
      <c r="O2018" s="17">
        <f t="shared" si="6"/>
        <v>47</v>
      </c>
      <c r="P2018" s="18">
        <v>27704.0</v>
      </c>
    </row>
    <row r="2019" ht="15.75" customHeight="1">
      <c r="A2019" s="9" t="s">
        <v>2573</v>
      </c>
      <c r="B2019" s="17" t="s">
        <v>4700</v>
      </c>
      <c r="C2019" s="9" t="s">
        <v>4725</v>
      </c>
      <c r="D2019" s="9">
        <v>12.0</v>
      </c>
      <c r="E2019" s="18">
        <f t="shared" si="1"/>
        <v>30662</v>
      </c>
      <c r="F2019" s="9">
        <v>1.0</v>
      </c>
      <c r="G2019" s="19">
        <v>8547.69</v>
      </c>
      <c r="H2019" s="9" t="s">
        <v>4723</v>
      </c>
      <c r="I2019" s="9" t="s">
        <v>4718</v>
      </c>
      <c r="J2019" s="9" t="s">
        <v>4743</v>
      </c>
      <c r="K2019" s="20">
        <f t="shared" si="2"/>
        <v>1983</v>
      </c>
      <c r="L2019" s="9" t="str">
        <f t="shared" si="3"/>
        <v>tier - 2</v>
      </c>
      <c r="M2019" s="9" t="str">
        <f t="shared" si="4"/>
        <v>tier - 1</v>
      </c>
      <c r="N2019" s="9" t="str">
        <f t="shared" si="5"/>
        <v>R1013</v>
      </c>
      <c r="O2019" s="17">
        <f t="shared" si="6"/>
        <v>39</v>
      </c>
      <c r="P2019" s="18">
        <v>30662.0</v>
      </c>
    </row>
    <row r="2020" ht="15.75" customHeight="1">
      <c r="A2020" s="9" t="s">
        <v>2571</v>
      </c>
      <c r="B2020" s="17">
        <v>1975.0</v>
      </c>
      <c r="C2020" s="9" t="s">
        <v>4716</v>
      </c>
      <c r="D2020" s="9">
        <v>6.0</v>
      </c>
      <c r="E2020" s="18">
        <f t="shared" si="1"/>
        <v>27612</v>
      </c>
      <c r="F2020" s="9">
        <v>1.0</v>
      </c>
      <c r="G2020" s="19">
        <v>8551.35</v>
      </c>
      <c r="H2020" s="9" t="s">
        <v>4723</v>
      </c>
      <c r="I2020" s="9" t="s">
        <v>4723</v>
      </c>
      <c r="J2020" s="9" t="s">
        <v>4719</v>
      </c>
      <c r="K2020" s="20">
        <f t="shared" si="2"/>
        <v>1975</v>
      </c>
      <c r="L2020" s="9" t="str">
        <f t="shared" si="3"/>
        <v>tier - 2</v>
      </c>
      <c r="M2020" s="9" t="str">
        <f t="shared" si="4"/>
        <v>tier - 2</v>
      </c>
      <c r="N2020" s="9" t="str">
        <f t="shared" si="5"/>
        <v>R1011</v>
      </c>
      <c r="O2020" s="17">
        <f t="shared" si="6"/>
        <v>47</v>
      </c>
      <c r="P2020" s="18">
        <v>27612.0</v>
      </c>
    </row>
    <row r="2021" ht="15.75" customHeight="1">
      <c r="A2021" s="9" t="s">
        <v>2569</v>
      </c>
      <c r="B2021" s="17">
        <v>1975.0</v>
      </c>
      <c r="C2021" s="9" t="s">
        <v>4716</v>
      </c>
      <c r="D2021" s="9">
        <v>21.0</v>
      </c>
      <c r="E2021" s="18">
        <f t="shared" si="1"/>
        <v>27627</v>
      </c>
      <c r="F2021" s="9">
        <v>1.0</v>
      </c>
      <c r="G2021" s="19">
        <v>8556.91</v>
      </c>
      <c r="H2021" s="9" t="s">
        <v>4723</v>
      </c>
      <c r="I2021" s="9" t="s">
        <v>4718</v>
      </c>
      <c r="J2021" s="9" t="s">
        <v>4719</v>
      </c>
      <c r="K2021" s="20">
        <f t="shared" si="2"/>
        <v>1975</v>
      </c>
      <c r="L2021" s="9" t="str">
        <f t="shared" si="3"/>
        <v>tier - 2</v>
      </c>
      <c r="M2021" s="9" t="str">
        <f t="shared" si="4"/>
        <v>tier - 1</v>
      </c>
      <c r="N2021" s="9" t="str">
        <f t="shared" si="5"/>
        <v>R1011</v>
      </c>
      <c r="O2021" s="17">
        <f t="shared" si="6"/>
        <v>47</v>
      </c>
      <c r="P2021" s="18">
        <v>27627.0</v>
      </c>
    </row>
    <row r="2022" ht="15.75" customHeight="1">
      <c r="A2022" s="9" t="s">
        <v>2567</v>
      </c>
      <c r="B2022" s="17">
        <v>1988.0</v>
      </c>
      <c r="C2022" s="9" t="s">
        <v>4738</v>
      </c>
      <c r="D2022" s="9">
        <v>21.0</v>
      </c>
      <c r="E2022" s="18">
        <f t="shared" si="1"/>
        <v>32407</v>
      </c>
      <c r="F2022" s="9">
        <v>3.0</v>
      </c>
      <c r="G2022" s="19">
        <v>8567.25</v>
      </c>
      <c r="H2022" s="9" t="s">
        <v>4723</v>
      </c>
      <c r="I2022" s="9" t="s">
        <v>4718</v>
      </c>
      <c r="J2022" s="9" t="s">
        <v>4733</v>
      </c>
      <c r="K2022" s="20">
        <f t="shared" si="2"/>
        <v>1988</v>
      </c>
      <c r="L2022" s="9" t="str">
        <f t="shared" si="3"/>
        <v>tier - 2</v>
      </c>
      <c r="M2022" s="9" t="str">
        <f t="shared" si="4"/>
        <v>tier - 1</v>
      </c>
      <c r="N2022" s="9" t="str">
        <f t="shared" si="5"/>
        <v>R1012</v>
      </c>
      <c r="O2022" s="17">
        <f t="shared" si="6"/>
        <v>34</v>
      </c>
      <c r="P2022" s="18">
        <v>32407.0</v>
      </c>
    </row>
    <row r="2023" ht="15.75" customHeight="1">
      <c r="A2023" s="9" t="s">
        <v>2565</v>
      </c>
      <c r="B2023" s="17">
        <v>1975.0</v>
      </c>
      <c r="C2023" s="9" t="s">
        <v>4738</v>
      </c>
      <c r="D2023" s="9">
        <v>26.0</v>
      </c>
      <c r="E2023" s="18">
        <f t="shared" si="1"/>
        <v>27663</v>
      </c>
      <c r="F2023" s="9">
        <v>1.0</v>
      </c>
      <c r="G2023" s="19">
        <v>8569.86</v>
      </c>
      <c r="H2023" s="9" t="s">
        <v>4723</v>
      </c>
      <c r="I2023" s="9" t="s">
        <v>4717</v>
      </c>
      <c r="J2023" s="9" t="s">
        <v>4743</v>
      </c>
      <c r="K2023" s="20">
        <f t="shared" si="2"/>
        <v>1975</v>
      </c>
      <c r="L2023" s="9" t="str">
        <f t="shared" si="3"/>
        <v>tier - 2</v>
      </c>
      <c r="M2023" s="9" t="str">
        <f t="shared" si="4"/>
        <v>tier - 3</v>
      </c>
      <c r="N2023" s="9" t="str">
        <f t="shared" si="5"/>
        <v>R1013</v>
      </c>
      <c r="O2023" s="17">
        <f t="shared" si="6"/>
        <v>47</v>
      </c>
      <c r="P2023" s="18">
        <v>27663.0</v>
      </c>
    </row>
    <row r="2024" ht="15.75" customHeight="1">
      <c r="A2024" s="9" t="s">
        <v>2563</v>
      </c>
      <c r="B2024" s="17">
        <v>1982.0</v>
      </c>
      <c r="C2024" s="9" t="s">
        <v>4725</v>
      </c>
      <c r="D2024" s="9">
        <v>6.0</v>
      </c>
      <c r="E2024" s="18">
        <f t="shared" si="1"/>
        <v>30291</v>
      </c>
      <c r="F2024" s="9">
        <v>3.0</v>
      </c>
      <c r="G2024" s="19">
        <v>8572.04</v>
      </c>
      <c r="H2024" s="9" t="s">
        <v>4723</v>
      </c>
      <c r="I2024" s="9" t="s">
        <v>4723</v>
      </c>
      <c r="J2024" s="9" t="s">
        <v>4751</v>
      </c>
      <c r="K2024" s="20">
        <f t="shared" si="2"/>
        <v>1982</v>
      </c>
      <c r="L2024" s="9" t="str">
        <f t="shared" si="3"/>
        <v>tier - 2</v>
      </c>
      <c r="M2024" s="9" t="str">
        <f t="shared" si="4"/>
        <v>tier - 2</v>
      </c>
      <c r="N2024" s="9" t="str">
        <f t="shared" si="5"/>
        <v>R1021</v>
      </c>
      <c r="O2024" s="17">
        <f t="shared" si="6"/>
        <v>40</v>
      </c>
      <c r="P2024" s="18">
        <v>30291.0</v>
      </c>
    </row>
    <row r="2025" ht="15.75" customHeight="1">
      <c r="A2025" s="9" t="s">
        <v>2561</v>
      </c>
      <c r="B2025" s="17">
        <v>1987.0</v>
      </c>
      <c r="C2025" s="9" t="s">
        <v>4735</v>
      </c>
      <c r="D2025" s="9">
        <v>11.0</v>
      </c>
      <c r="E2025" s="18">
        <f t="shared" si="1"/>
        <v>32092</v>
      </c>
      <c r="F2025" s="9">
        <v>3.0</v>
      </c>
      <c r="G2025" s="19">
        <v>8573.3</v>
      </c>
      <c r="H2025" s="9" t="s">
        <v>4723</v>
      </c>
      <c r="I2025" s="9" t="s">
        <v>4723</v>
      </c>
      <c r="J2025" s="9" t="s">
        <v>4751</v>
      </c>
      <c r="K2025" s="20">
        <f t="shared" si="2"/>
        <v>1987</v>
      </c>
      <c r="L2025" s="9" t="str">
        <f t="shared" si="3"/>
        <v>tier - 2</v>
      </c>
      <c r="M2025" s="9" t="str">
        <f t="shared" si="4"/>
        <v>tier - 2</v>
      </c>
      <c r="N2025" s="9" t="str">
        <f t="shared" si="5"/>
        <v>R1021</v>
      </c>
      <c r="O2025" s="17">
        <f t="shared" si="6"/>
        <v>35</v>
      </c>
      <c r="P2025" s="18">
        <v>32092.0</v>
      </c>
    </row>
    <row r="2026" ht="15.75" customHeight="1">
      <c r="A2026" s="9" t="s">
        <v>257</v>
      </c>
      <c r="B2026" s="17">
        <v>1982.0</v>
      </c>
      <c r="C2026" s="9" t="s">
        <v>4716</v>
      </c>
      <c r="D2026" s="9">
        <v>4.0</v>
      </c>
      <c r="E2026" s="18">
        <f t="shared" si="1"/>
        <v>30167</v>
      </c>
      <c r="F2026" s="9">
        <v>1.0</v>
      </c>
      <c r="G2026" s="19">
        <v>39125.33</v>
      </c>
      <c r="H2026" s="9" t="s">
        <v>4718</v>
      </c>
      <c r="I2026" s="9" t="s">
        <v>4718</v>
      </c>
      <c r="J2026" s="9" t="s">
        <v>4754</v>
      </c>
      <c r="K2026" s="20">
        <f t="shared" si="2"/>
        <v>1982</v>
      </c>
      <c r="L2026" s="9" t="str">
        <f t="shared" si="3"/>
        <v>tier - 1</v>
      </c>
      <c r="M2026" s="9" t="str">
        <f t="shared" si="4"/>
        <v>tier - 1</v>
      </c>
      <c r="N2026" s="9" t="str">
        <f t="shared" si="5"/>
        <v>R1016</v>
      </c>
      <c r="O2026" s="17">
        <f t="shared" si="6"/>
        <v>40</v>
      </c>
      <c r="P2026" s="18">
        <v>30167.0</v>
      </c>
    </row>
    <row r="2027" ht="15.75" customHeight="1">
      <c r="A2027" s="9" t="s">
        <v>2559</v>
      </c>
      <c r="B2027" s="17">
        <v>1983.0</v>
      </c>
      <c r="C2027" s="9" t="s">
        <v>4725</v>
      </c>
      <c r="D2027" s="9">
        <v>30.0</v>
      </c>
      <c r="E2027" s="18">
        <f t="shared" si="1"/>
        <v>30680</v>
      </c>
      <c r="F2027" s="9">
        <v>5.0</v>
      </c>
      <c r="G2027" s="19">
        <v>8582.3</v>
      </c>
      <c r="H2027" s="9" t="s">
        <v>4723</v>
      </c>
      <c r="I2027" s="9" t="s">
        <v>4718</v>
      </c>
      <c r="J2027" s="9" t="s">
        <v>4743</v>
      </c>
      <c r="K2027" s="20">
        <f t="shared" si="2"/>
        <v>1983</v>
      </c>
      <c r="L2027" s="9" t="str">
        <f t="shared" si="3"/>
        <v>tier - 2</v>
      </c>
      <c r="M2027" s="9" t="str">
        <f t="shared" si="4"/>
        <v>tier - 1</v>
      </c>
      <c r="N2027" s="9" t="str">
        <f t="shared" si="5"/>
        <v>R1013</v>
      </c>
      <c r="O2027" s="17">
        <f t="shared" si="6"/>
        <v>39</v>
      </c>
      <c r="P2027" s="18">
        <v>30680.0</v>
      </c>
    </row>
    <row r="2028" ht="15.75" customHeight="1">
      <c r="A2028" s="9" t="s">
        <v>2557</v>
      </c>
      <c r="B2028" s="17">
        <v>1983.0</v>
      </c>
      <c r="C2028" s="9" t="s">
        <v>4741</v>
      </c>
      <c r="D2028" s="9">
        <v>25.0</v>
      </c>
      <c r="E2028" s="18">
        <f t="shared" si="1"/>
        <v>30522</v>
      </c>
      <c r="F2028" s="9">
        <v>5.0</v>
      </c>
      <c r="G2028" s="19">
        <v>8596.83</v>
      </c>
      <c r="H2028" s="9" t="s">
        <v>4723</v>
      </c>
      <c r="I2028" s="9" t="s">
        <v>4717</v>
      </c>
      <c r="J2028" s="9" t="s">
        <v>4743</v>
      </c>
      <c r="K2028" s="20">
        <f t="shared" si="2"/>
        <v>1983</v>
      </c>
      <c r="L2028" s="9" t="str">
        <f t="shared" si="3"/>
        <v>tier - 2</v>
      </c>
      <c r="M2028" s="9" t="str">
        <f t="shared" si="4"/>
        <v>tier - 3</v>
      </c>
      <c r="N2028" s="9" t="str">
        <f t="shared" si="5"/>
        <v>R1013</v>
      </c>
      <c r="O2028" s="17">
        <f t="shared" si="6"/>
        <v>39</v>
      </c>
      <c r="P2028" s="18">
        <v>30522.0</v>
      </c>
    </row>
    <row r="2029" ht="15.75" customHeight="1">
      <c r="A2029" s="9" t="s">
        <v>2555</v>
      </c>
      <c r="B2029" s="17">
        <v>1973.0</v>
      </c>
      <c r="C2029" s="9" t="s">
        <v>4741</v>
      </c>
      <c r="D2029" s="9">
        <v>11.0</v>
      </c>
      <c r="E2029" s="18">
        <f t="shared" si="1"/>
        <v>26856</v>
      </c>
      <c r="F2029" s="9">
        <v>0.0</v>
      </c>
      <c r="G2029" s="19">
        <v>8601.33</v>
      </c>
      <c r="H2029" s="9" t="s">
        <v>4723</v>
      </c>
      <c r="I2029" s="9" t="s">
        <v>4718</v>
      </c>
      <c r="J2029" s="9" t="s">
        <v>4743</v>
      </c>
      <c r="K2029" s="20">
        <f t="shared" si="2"/>
        <v>1973</v>
      </c>
      <c r="L2029" s="9" t="str">
        <f t="shared" si="3"/>
        <v>tier - 2</v>
      </c>
      <c r="M2029" s="9" t="str">
        <f t="shared" si="4"/>
        <v>tier - 1</v>
      </c>
      <c r="N2029" s="9" t="str">
        <f t="shared" si="5"/>
        <v>R1013</v>
      </c>
      <c r="O2029" s="17">
        <f t="shared" si="6"/>
        <v>49</v>
      </c>
      <c r="P2029" s="18">
        <v>26856.0</v>
      </c>
    </row>
    <row r="2030" ht="15.75" customHeight="1">
      <c r="A2030" s="9" t="s">
        <v>2553</v>
      </c>
      <c r="B2030" s="17">
        <v>1977.0</v>
      </c>
      <c r="C2030" s="9" t="s">
        <v>4738</v>
      </c>
      <c r="D2030" s="9">
        <v>24.0</v>
      </c>
      <c r="E2030" s="18">
        <f t="shared" si="1"/>
        <v>28392</v>
      </c>
      <c r="F2030" s="9">
        <v>2.0</v>
      </c>
      <c r="G2030" s="19">
        <v>8603.82</v>
      </c>
      <c r="H2030" s="9" t="s">
        <v>4723</v>
      </c>
      <c r="I2030" s="9" t="s">
        <v>4718</v>
      </c>
      <c r="J2030" s="9" t="s">
        <v>4728</v>
      </c>
      <c r="K2030" s="20">
        <f t="shared" si="2"/>
        <v>1977</v>
      </c>
      <c r="L2030" s="9" t="str">
        <f t="shared" si="3"/>
        <v>tier - 2</v>
      </c>
      <c r="M2030" s="9" t="str">
        <f t="shared" si="4"/>
        <v>tier - 1</v>
      </c>
      <c r="N2030" s="9" t="str">
        <f t="shared" si="5"/>
        <v>R1019</v>
      </c>
      <c r="O2030" s="17">
        <f t="shared" si="6"/>
        <v>45</v>
      </c>
      <c r="P2030" s="18">
        <v>28392.0</v>
      </c>
    </row>
    <row r="2031" ht="15.75" customHeight="1">
      <c r="A2031" s="9" t="s">
        <v>2551</v>
      </c>
      <c r="B2031" s="17">
        <v>1977.0</v>
      </c>
      <c r="C2031" s="9" t="s">
        <v>4735</v>
      </c>
      <c r="D2031" s="9">
        <v>12.0</v>
      </c>
      <c r="E2031" s="18">
        <f t="shared" si="1"/>
        <v>28441</v>
      </c>
      <c r="F2031" s="9">
        <v>2.0</v>
      </c>
      <c r="G2031" s="19">
        <v>8604.48</v>
      </c>
      <c r="H2031" s="9" t="s">
        <v>4717</v>
      </c>
      <c r="I2031" s="9" t="s">
        <v>4723</v>
      </c>
      <c r="J2031" s="9" t="s">
        <v>4754</v>
      </c>
      <c r="K2031" s="20">
        <f t="shared" si="2"/>
        <v>1977</v>
      </c>
      <c r="L2031" s="9" t="str">
        <f t="shared" si="3"/>
        <v>tier - 3</v>
      </c>
      <c r="M2031" s="9" t="str">
        <f t="shared" si="4"/>
        <v>tier - 2</v>
      </c>
      <c r="N2031" s="9" t="str">
        <f t="shared" si="5"/>
        <v>R1016</v>
      </c>
      <c r="O2031" s="17">
        <f t="shared" si="6"/>
        <v>45</v>
      </c>
      <c r="P2031" s="18">
        <v>28441.0</v>
      </c>
    </row>
    <row r="2032" ht="15.75" customHeight="1">
      <c r="A2032" s="9" t="s">
        <v>2549</v>
      </c>
      <c r="B2032" s="17">
        <v>1977.0</v>
      </c>
      <c r="C2032" s="9" t="s">
        <v>4720</v>
      </c>
      <c r="D2032" s="9">
        <v>15.0</v>
      </c>
      <c r="E2032" s="18">
        <f t="shared" si="1"/>
        <v>28413</v>
      </c>
      <c r="F2032" s="9">
        <v>3.0</v>
      </c>
      <c r="G2032" s="19">
        <v>8605.36</v>
      </c>
      <c r="H2032" s="9" t="s">
        <v>4723</v>
      </c>
      <c r="I2032" s="9" t="s">
        <v>4723</v>
      </c>
      <c r="J2032" s="9" t="s">
        <v>4743</v>
      </c>
      <c r="K2032" s="20">
        <f t="shared" si="2"/>
        <v>1977</v>
      </c>
      <c r="L2032" s="9" t="str">
        <f t="shared" si="3"/>
        <v>tier - 2</v>
      </c>
      <c r="M2032" s="9" t="str">
        <f t="shared" si="4"/>
        <v>tier - 2</v>
      </c>
      <c r="N2032" s="9" t="str">
        <f t="shared" si="5"/>
        <v>R1013</v>
      </c>
      <c r="O2032" s="17">
        <f t="shared" si="6"/>
        <v>45</v>
      </c>
      <c r="P2032" s="18">
        <v>28413.0</v>
      </c>
    </row>
    <row r="2033" ht="15.75" customHeight="1">
      <c r="A2033" s="9" t="s">
        <v>2547</v>
      </c>
      <c r="B2033" s="17">
        <v>1979.0</v>
      </c>
      <c r="C2033" s="9" t="s">
        <v>4741</v>
      </c>
      <c r="D2033" s="9">
        <v>17.0</v>
      </c>
      <c r="E2033" s="18">
        <f t="shared" si="1"/>
        <v>29053</v>
      </c>
      <c r="F2033" s="9">
        <v>3.0</v>
      </c>
      <c r="G2033" s="19">
        <v>8606.22</v>
      </c>
      <c r="H2033" s="9" t="s">
        <v>4718</v>
      </c>
      <c r="I2033" s="9" t="s">
        <v>4723</v>
      </c>
      <c r="J2033" s="9" t="s">
        <v>4752</v>
      </c>
      <c r="K2033" s="20">
        <f t="shared" si="2"/>
        <v>1979</v>
      </c>
      <c r="L2033" s="9" t="str">
        <f t="shared" si="3"/>
        <v>tier - 1</v>
      </c>
      <c r="M2033" s="9" t="str">
        <f t="shared" si="4"/>
        <v>tier - 2</v>
      </c>
      <c r="N2033" s="9" t="str">
        <f t="shared" si="5"/>
        <v>R1014</v>
      </c>
      <c r="O2033" s="17">
        <f t="shared" si="6"/>
        <v>43</v>
      </c>
      <c r="P2033" s="18">
        <v>29053.0</v>
      </c>
    </row>
    <row r="2034" ht="15.75" customHeight="1">
      <c r="A2034" s="9" t="s">
        <v>2545</v>
      </c>
      <c r="B2034" s="17">
        <v>1977.0</v>
      </c>
      <c r="C2034" s="9" t="s">
        <v>4738</v>
      </c>
      <c r="D2034" s="9">
        <v>2.0</v>
      </c>
      <c r="E2034" s="18">
        <f t="shared" si="1"/>
        <v>28370</v>
      </c>
      <c r="F2034" s="9">
        <v>3.0</v>
      </c>
      <c r="G2034" s="19">
        <v>8615.3</v>
      </c>
      <c r="H2034" s="9" t="s">
        <v>4723</v>
      </c>
      <c r="I2034" s="9" t="s">
        <v>4717</v>
      </c>
      <c r="J2034" s="9" t="s">
        <v>4719</v>
      </c>
      <c r="K2034" s="20">
        <f t="shared" si="2"/>
        <v>1977</v>
      </c>
      <c r="L2034" s="9" t="str">
        <f t="shared" si="3"/>
        <v>tier - 2</v>
      </c>
      <c r="M2034" s="9" t="str">
        <f t="shared" si="4"/>
        <v>tier - 3</v>
      </c>
      <c r="N2034" s="9" t="str">
        <f t="shared" si="5"/>
        <v>R1011</v>
      </c>
      <c r="O2034" s="17">
        <f t="shared" si="6"/>
        <v>45</v>
      </c>
      <c r="P2034" s="18">
        <v>28370.0</v>
      </c>
    </row>
    <row r="2035" ht="15.75" customHeight="1">
      <c r="A2035" s="9" t="s">
        <v>2543</v>
      </c>
      <c r="B2035" s="17">
        <v>1975.0</v>
      </c>
      <c r="C2035" s="9" t="s">
        <v>4716</v>
      </c>
      <c r="D2035" s="9">
        <v>3.0</v>
      </c>
      <c r="E2035" s="18">
        <f t="shared" si="1"/>
        <v>27609</v>
      </c>
      <c r="F2035" s="9">
        <v>1.0</v>
      </c>
      <c r="G2035" s="19">
        <v>8627.54</v>
      </c>
      <c r="H2035" s="9" t="s">
        <v>4723</v>
      </c>
      <c r="I2035" s="9" t="s">
        <v>4723</v>
      </c>
      <c r="J2035" s="9" t="s">
        <v>4753</v>
      </c>
      <c r="K2035" s="20">
        <f t="shared" si="2"/>
        <v>1975</v>
      </c>
      <c r="L2035" s="9" t="str">
        <f t="shared" si="3"/>
        <v>tier - 2</v>
      </c>
      <c r="M2035" s="9" t="str">
        <f t="shared" si="4"/>
        <v>tier - 2</v>
      </c>
      <c r="N2035" s="9" t="str">
        <f t="shared" si="5"/>
        <v>R1017</v>
      </c>
      <c r="O2035" s="17">
        <f t="shared" si="6"/>
        <v>47</v>
      </c>
      <c r="P2035" s="18">
        <v>27609.0</v>
      </c>
    </row>
    <row r="2036" ht="15.75" customHeight="1">
      <c r="A2036" s="9" t="s">
        <v>2541</v>
      </c>
      <c r="B2036" s="17">
        <v>1965.0</v>
      </c>
      <c r="C2036" s="9" t="s">
        <v>4720</v>
      </c>
      <c r="D2036" s="9">
        <v>21.0</v>
      </c>
      <c r="E2036" s="18">
        <f t="shared" si="1"/>
        <v>24036</v>
      </c>
      <c r="F2036" s="9">
        <v>0.0</v>
      </c>
      <c r="G2036" s="19">
        <v>8665.09</v>
      </c>
      <c r="H2036" s="9" t="s">
        <v>4717</v>
      </c>
      <c r="I2036" s="9" t="s">
        <v>4723</v>
      </c>
      <c r="J2036" s="9" t="s">
        <v>4733</v>
      </c>
      <c r="K2036" s="20">
        <f t="shared" si="2"/>
        <v>1965</v>
      </c>
      <c r="L2036" s="9" t="str">
        <f t="shared" si="3"/>
        <v>tier - 3</v>
      </c>
      <c r="M2036" s="9" t="str">
        <f t="shared" si="4"/>
        <v>tier - 2</v>
      </c>
      <c r="N2036" s="9" t="str">
        <f t="shared" si="5"/>
        <v>R1012</v>
      </c>
      <c r="O2036" s="17">
        <f t="shared" si="6"/>
        <v>57</v>
      </c>
      <c r="P2036" s="18">
        <v>24036.0</v>
      </c>
    </row>
    <row r="2037" ht="15.75" customHeight="1">
      <c r="A2037" s="9" t="s">
        <v>255</v>
      </c>
      <c r="B2037" s="17">
        <v>1962.0</v>
      </c>
      <c r="C2037" s="9" t="s">
        <v>4741</v>
      </c>
      <c r="D2037" s="9">
        <v>7.0</v>
      </c>
      <c r="E2037" s="18">
        <f t="shared" si="1"/>
        <v>22834</v>
      </c>
      <c r="F2037" s="9">
        <v>0.0</v>
      </c>
      <c r="G2037" s="19">
        <v>39221.12</v>
      </c>
      <c r="H2037" s="9" t="s">
        <v>4723</v>
      </c>
      <c r="I2037" s="9" t="s">
        <v>4718</v>
      </c>
      <c r="J2037" s="9" t="s">
        <v>4719</v>
      </c>
      <c r="K2037" s="20">
        <f t="shared" si="2"/>
        <v>1962</v>
      </c>
      <c r="L2037" s="9" t="str">
        <f t="shared" si="3"/>
        <v>tier - 2</v>
      </c>
      <c r="M2037" s="9" t="str">
        <f t="shared" si="4"/>
        <v>tier - 1</v>
      </c>
      <c r="N2037" s="9" t="str">
        <f t="shared" si="5"/>
        <v>R1011</v>
      </c>
      <c r="O2037" s="17">
        <f t="shared" si="6"/>
        <v>60</v>
      </c>
      <c r="P2037" s="18">
        <v>22834.0</v>
      </c>
    </row>
    <row r="2038" ht="15.75" customHeight="1">
      <c r="A2038" s="9" t="s">
        <v>2539</v>
      </c>
      <c r="B2038" s="17">
        <v>1969.0</v>
      </c>
      <c r="C2038" s="9" t="s">
        <v>4716</v>
      </c>
      <c r="D2038" s="9">
        <v>10.0</v>
      </c>
      <c r="E2038" s="18">
        <f t="shared" si="1"/>
        <v>25425</v>
      </c>
      <c r="F2038" s="9">
        <v>0.0</v>
      </c>
      <c r="G2038" s="19">
        <v>8665.14</v>
      </c>
      <c r="H2038" s="9" t="s">
        <v>4723</v>
      </c>
      <c r="I2038" s="9" t="s">
        <v>4717</v>
      </c>
      <c r="J2038" s="9" t="s">
        <v>4743</v>
      </c>
      <c r="K2038" s="20">
        <f t="shared" si="2"/>
        <v>1969</v>
      </c>
      <c r="L2038" s="9" t="str">
        <f t="shared" si="3"/>
        <v>tier - 2</v>
      </c>
      <c r="M2038" s="9" t="str">
        <f t="shared" si="4"/>
        <v>tier - 3</v>
      </c>
      <c r="N2038" s="9" t="str">
        <f t="shared" si="5"/>
        <v>R1013</v>
      </c>
      <c r="O2038" s="17">
        <f t="shared" si="6"/>
        <v>53</v>
      </c>
      <c r="P2038" s="18">
        <v>25425.0</v>
      </c>
    </row>
    <row r="2039" ht="15.75" customHeight="1">
      <c r="A2039" s="9" t="s">
        <v>2537</v>
      </c>
      <c r="B2039" s="17">
        <v>1974.0</v>
      </c>
      <c r="C2039" s="9" t="s">
        <v>4716</v>
      </c>
      <c r="D2039" s="9">
        <v>16.0</v>
      </c>
      <c r="E2039" s="18">
        <f t="shared" si="1"/>
        <v>27257</v>
      </c>
      <c r="F2039" s="9">
        <v>0.0</v>
      </c>
      <c r="G2039" s="19">
        <v>8671.19</v>
      </c>
      <c r="H2039" s="9" t="s">
        <v>4723</v>
      </c>
      <c r="I2039" s="9" t="s">
        <v>4718</v>
      </c>
      <c r="J2039" s="9" t="s">
        <v>4733</v>
      </c>
      <c r="K2039" s="20">
        <f t="shared" si="2"/>
        <v>1974</v>
      </c>
      <c r="L2039" s="9" t="str">
        <f t="shared" si="3"/>
        <v>tier - 2</v>
      </c>
      <c r="M2039" s="9" t="str">
        <f t="shared" si="4"/>
        <v>tier - 1</v>
      </c>
      <c r="N2039" s="9" t="str">
        <f t="shared" si="5"/>
        <v>R1012</v>
      </c>
      <c r="O2039" s="17">
        <f t="shared" si="6"/>
        <v>48</v>
      </c>
      <c r="P2039" s="18">
        <v>27257.0</v>
      </c>
    </row>
    <row r="2040" ht="15.75" customHeight="1">
      <c r="A2040" s="9" t="s">
        <v>2535</v>
      </c>
      <c r="B2040" s="17">
        <v>1973.0</v>
      </c>
      <c r="C2040" s="9" t="s">
        <v>4720</v>
      </c>
      <c r="D2040" s="9">
        <v>11.0</v>
      </c>
      <c r="E2040" s="18">
        <f t="shared" si="1"/>
        <v>26948</v>
      </c>
      <c r="F2040" s="9">
        <v>0.0</v>
      </c>
      <c r="G2040" s="19">
        <v>8688.86</v>
      </c>
      <c r="H2040" s="9" t="s">
        <v>4723</v>
      </c>
      <c r="I2040" s="9" t="s">
        <v>4718</v>
      </c>
      <c r="J2040" s="9" t="s">
        <v>4753</v>
      </c>
      <c r="K2040" s="20">
        <f t="shared" si="2"/>
        <v>1973</v>
      </c>
      <c r="L2040" s="9" t="str">
        <f t="shared" si="3"/>
        <v>tier - 2</v>
      </c>
      <c r="M2040" s="9" t="str">
        <f t="shared" si="4"/>
        <v>tier - 1</v>
      </c>
      <c r="N2040" s="9" t="str">
        <f t="shared" si="5"/>
        <v>R1017</v>
      </c>
      <c r="O2040" s="17">
        <f t="shared" si="6"/>
        <v>49</v>
      </c>
      <c r="P2040" s="18">
        <v>26948.0</v>
      </c>
    </row>
    <row r="2041" ht="15.75" customHeight="1">
      <c r="A2041" s="9" t="s">
        <v>2533</v>
      </c>
      <c r="B2041" s="17">
        <v>1980.0</v>
      </c>
      <c r="C2041" s="9" t="s">
        <v>4720</v>
      </c>
      <c r="D2041" s="9">
        <v>28.0</v>
      </c>
      <c r="E2041" s="18">
        <f t="shared" si="1"/>
        <v>29522</v>
      </c>
      <c r="F2041" s="9">
        <v>2.0</v>
      </c>
      <c r="G2041" s="19">
        <v>8701.84</v>
      </c>
      <c r="H2041" s="9" t="s">
        <v>4723</v>
      </c>
      <c r="I2041" s="9" t="s">
        <v>4717</v>
      </c>
      <c r="J2041" s="9" t="s">
        <v>4751</v>
      </c>
      <c r="K2041" s="20">
        <f t="shared" si="2"/>
        <v>1980</v>
      </c>
      <c r="L2041" s="9" t="str">
        <f t="shared" si="3"/>
        <v>tier - 2</v>
      </c>
      <c r="M2041" s="9" t="str">
        <f t="shared" si="4"/>
        <v>tier - 3</v>
      </c>
      <c r="N2041" s="9" t="str">
        <f t="shared" si="5"/>
        <v>R1021</v>
      </c>
      <c r="O2041" s="17">
        <f t="shared" si="6"/>
        <v>42</v>
      </c>
      <c r="P2041" s="18">
        <v>29522.0</v>
      </c>
    </row>
    <row r="2042" ht="15.75" customHeight="1">
      <c r="A2042" s="9" t="s">
        <v>2531</v>
      </c>
      <c r="B2042" s="17">
        <v>1973.0</v>
      </c>
      <c r="C2042" s="9" t="s">
        <v>4730</v>
      </c>
      <c r="D2042" s="9">
        <v>25.0</v>
      </c>
      <c r="E2042" s="18">
        <f t="shared" si="1"/>
        <v>26840</v>
      </c>
      <c r="F2042" s="9">
        <v>1.0</v>
      </c>
      <c r="G2042" s="19">
        <v>8703.46</v>
      </c>
      <c r="H2042" s="9" t="s">
        <v>4717</v>
      </c>
      <c r="I2042" s="9" t="s">
        <v>4717</v>
      </c>
      <c r="J2042" s="9" t="s">
        <v>4719</v>
      </c>
      <c r="K2042" s="20">
        <f t="shared" si="2"/>
        <v>1973</v>
      </c>
      <c r="L2042" s="9" t="str">
        <f t="shared" si="3"/>
        <v>tier - 3</v>
      </c>
      <c r="M2042" s="9" t="str">
        <f t="shared" si="4"/>
        <v>tier - 3</v>
      </c>
      <c r="N2042" s="9" t="str">
        <f t="shared" si="5"/>
        <v>R1011</v>
      </c>
      <c r="O2042" s="17">
        <f t="shared" si="6"/>
        <v>49</v>
      </c>
      <c r="P2042" s="18">
        <v>26840.0</v>
      </c>
    </row>
    <row r="2043" ht="15.75" customHeight="1">
      <c r="A2043" s="9" t="s">
        <v>2529</v>
      </c>
      <c r="B2043" s="17">
        <v>1976.0</v>
      </c>
      <c r="C2043" s="9" t="s">
        <v>4730</v>
      </c>
      <c r="D2043" s="9">
        <v>17.0</v>
      </c>
      <c r="E2043" s="18">
        <f t="shared" si="1"/>
        <v>27928</v>
      </c>
      <c r="F2043" s="9">
        <v>2.0</v>
      </c>
      <c r="G2043" s="19">
        <v>8733.23</v>
      </c>
      <c r="H2043" s="9" t="s">
        <v>4723</v>
      </c>
      <c r="I2043" s="9" t="s">
        <v>4717</v>
      </c>
      <c r="J2043" s="9" t="s">
        <v>4733</v>
      </c>
      <c r="K2043" s="20">
        <f t="shared" si="2"/>
        <v>1976</v>
      </c>
      <c r="L2043" s="9" t="str">
        <f t="shared" si="3"/>
        <v>tier - 2</v>
      </c>
      <c r="M2043" s="9" t="str">
        <f t="shared" si="4"/>
        <v>tier - 3</v>
      </c>
      <c r="N2043" s="9" t="str">
        <f t="shared" si="5"/>
        <v>R1012</v>
      </c>
      <c r="O2043" s="17">
        <f t="shared" si="6"/>
        <v>46</v>
      </c>
      <c r="P2043" s="18">
        <v>27928.0</v>
      </c>
    </row>
    <row r="2044" ht="15.75" customHeight="1">
      <c r="A2044" s="9" t="s">
        <v>2527</v>
      </c>
      <c r="B2044" s="17">
        <v>1999.0</v>
      </c>
      <c r="C2044" s="9" t="s">
        <v>4716</v>
      </c>
      <c r="D2044" s="9">
        <v>23.0</v>
      </c>
      <c r="E2044" s="18">
        <f t="shared" si="1"/>
        <v>36395</v>
      </c>
      <c r="F2044" s="9">
        <v>0.0</v>
      </c>
      <c r="G2044" s="19">
        <v>8747.68</v>
      </c>
      <c r="H2044" s="9" t="s">
        <v>4723</v>
      </c>
      <c r="I2044" s="9" t="s">
        <v>4717</v>
      </c>
      <c r="J2044" s="9" t="s">
        <v>4719</v>
      </c>
      <c r="K2044" s="20">
        <f t="shared" si="2"/>
        <v>1999</v>
      </c>
      <c r="L2044" s="9" t="str">
        <f t="shared" si="3"/>
        <v>tier - 2</v>
      </c>
      <c r="M2044" s="9" t="str">
        <f t="shared" si="4"/>
        <v>tier - 3</v>
      </c>
      <c r="N2044" s="9" t="str">
        <f t="shared" si="5"/>
        <v>R1011</v>
      </c>
      <c r="O2044" s="17">
        <f t="shared" si="6"/>
        <v>23</v>
      </c>
      <c r="P2044" s="18">
        <v>36395.0</v>
      </c>
    </row>
    <row r="2045" ht="15.75" customHeight="1">
      <c r="A2045" s="9" t="s">
        <v>2525</v>
      </c>
      <c r="B2045" s="17">
        <v>1969.0</v>
      </c>
      <c r="C2045" s="9" t="s">
        <v>4738</v>
      </c>
      <c r="D2045" s="9">
        <v>9.0</v>
      </c>
      <c r="E2045" s="18">
        <f t="shared" si="1"/>
        <v>25455</v>
      </c>
      <c r="F2045" s="9">
        <v>0.0</v>
      </c>
      <c r="G2045" s="19">
        <v>8760.12</v>
      </c>
      <c r="H2045" s="9" t="s">
        <v>4723</v>
      </c>
      <c r="I2045" s="9" t="s">
        <v>4718</v>
      </c>
      <c r="J2045" s="9" t="s">
        <v>4743</v>
      </c>
      <c r="K2045" s="20">
        <f t="shared" si="2"/>
        <v>1969</v>
      </c>
      <c r="L2045" s="9" t="str">
        <f t="shared" si="3"/>
        <v>tier - 2</v>
      </c>
      <c r="M2045" s="9" t="str">
        <f t="shared" si="4"/>
        <v>tier - 1</v>
      </c>
      <c r="N2045" s="9" t="str">
        <f t="shared" si="5"/>
        <v>R1013</v>
      </c>
      <c r="O2045" s="17">
        <f t="shared" si="6"/>
        <v>53</v>
      </c>
      <c r="P2045" s="18">
        <v>25455.0</v>
      </c>
    </row>
    <row r="2046" ht="15.75" customHeight="1">
      <c r="A2046" s="9" t="s">
        <v>2523</v>
      </c>
      <c r="B2046" s="17">
        <v>1974.0</v>
      </c>
      <c r="C2046" s="9" t="s">
        <v>4738</v>
      </c>
      <c r="D2046" s="9">
        <v>6.0</v>
      </c>
      <c r="E2046" s="18">
        <f t="shared" si="1"/>
        <v>27278</v>
      </c>
      <c r="F2046" s="9">
        <v>1.0</v>
      </c>
      <c r="G2046" s="19">
        <v>8765.25</v>
      </c>
      <c r="H2046" s="9" t="s">
        <v>4723</v>
      </c>
      <c r="I2046" s="9" t="s">
        <v>4717</v>
      </c>
      <c r="J2046" s="9" t="s">
        <v>4733</v>
      </c>
      <c r="K2046" s="20">
        <f t="shared" si="2"/>
        <v>1974</v>
      </c>
      <c r="L2046" s="9" t="str">
        <f t="shared" si="3"/>
        <v>tier - 2</v>
      </c>
      <c r="M2046" s="9" t="str">
        <f t="shared" si="4"/>
        <v>tier - 3</v>
      </c>
      <c r="N2046" s="9" t="str">
        <f t="shared" si="5"/>
        <v>R1012</v>
      </c>
      <c r="O2046" s="17">
        <f t="shared" si="6"/>
        <v>48</v>
      </c>
      <c r="P2046" s="18">
        <v>27278.0</v>
      </c>
    </row>
    <row r="2047" ht="15.75" customHeight="1">
      <c r="A2047" s="9" t="s">
        <v>2521</v>
      </c>
      <c r="B2047" s="17">
        <v>1971.0</v>
      </c>
      <c r="C2047" s="9" t="s">
        <v>4716</v>
      </c>
      <c r="D2047" s="9">
        <v>23.0</v>
      </c>
      <c r="E2047" s="18">
        <f t="shared" si="1"/>
        <v>26168</v>
      </c>
      <c r="F2047" s="9">
        <v>0.0</v>
      </c>
      <c r="G2047" s="19">
        <v>8782.47</v>
      </c>
      <c r="H2047" s="9" t="s">
        <v>4723</v>
      </c>
      <c r="I2047" s="9" t="s">
        <v>4717</v>
      </c>
      <c r="J2047" s="9" t="s">
        <v>4719</v>
      </c>
      <c r="K2047" s="20">
        <f t="shared" si="2"/>
        <v>1971</v>
      </c>
      <c r="L2047" s="9" t="str">
        <f t="shared" si="3"/>
        <v>tier - 2</v>
      </c>
      <c r="M2047" s="9" t="str">
        <f t="shared" si="4"/>
        <v>tier - 3</v>
      </c>
      <c r="N2047" s="9" t="str">
        <f t="shared" si="5"/>
        <v>R1011</v>
      </c>
      <c r="O2047" s="17">
        <f t="shared" si="6"/>
        <v>51</v>
      </c>
      <c r="P2047" s="18">
        <v>26168.0</v>
      </c>
    </row>
    <row r="2048" ht="15.75" customHeight="1">
      <c r="A2048" s="9" t="s">
        <v>253</v>
      </c>
      <c r="B2048" s="17">
        <v>1992.0</v>
      </c>
      <c r="C2048" s="9" t="s">
        <v>4735</v>
      </c>
      <c r="D2048" s="9">
        <v>30.0</v>
      </c>
      <c r="E2048" s="18">
        <f t="shared" si="1"/>
        <v>33938</v>
      </c>
      <c r="F2048" s="9">
        <v>2.0</v>
      </c>
      <c r="G2048" s="19">
        <v>39241.44</v>
      </c>
      <c r="H2048" s="9" t="s">
        <v>4718</v>
      </c>
      <c r="I2048" s="9" t="s">
        <v>4717</v>
      </c>
      <c r="J2048" s="9" t="s">
        <v>4719</v>
      </c>
      <c r="K2048" s="20">
        <f t="shared" si="2"/>
        <v>1992</v>
      </c>
      <c r="L2048" s="9" t="str">
        <f t="shared" si="3"/>
        <v>tier - 1</v>
      </c>
      <c r="M2048" s="9" t="str">
        <f t="shared" si="4"/>
        <v>tier - 3</v>
      </c>
      <c r="N2048" s="9" t="str">
        <f t="shared" si="5"/>
        <v>R1011</v>
      </c>
      <c r="O2048" s="17">
        <f t="shared" si="6"/>
        <v>30</v>
      </c>
      <c r="P2048" s="18">
        <v>33938.0</v>
      </c>
    </row>
    <row r="2049" ht="15.75" customHeight="1">
      <c r="A2049" s="9" t="s">
        <v>2519</v>
      </c>
      <c r="B2049" s="17">
        <v>1971.0</v>
      </c>
      <c r="C2049" s="9" t="s">
        <v>4730</v>
      </c>
      <c r="D2049" s="9">
        <v>18.0</v>
      </c>
      <c r="E2049" s="18">
        <f t="shared" si="1"/>
        <v>26102</v>
      </c>
      <c r="F2049" s="9">
        <v>0.0</v>
      </c>
      <c r="G2049" s="19">
        <v>8798.59</v>
      </c>
      <c r="H2049" s="9" t="s">
        <v>4723</v>
      </c>
      <c r="I2049" s="9" t="s">
        <v>4718</v>
      </c>
      <c r="J2049" s="9" t="s">
        <v>4719</v>
      </c>
      <c r="K2049" s="20">
        <f t="shared" si="2"/>
        <v>1971</v>
      </c>
      <c r="L2049" s="9" t="str">
        <f t="shared" si="3"/>
        <v>tier - 2</v>
      </c>
      <c r="M2049" s="9" t="str">
        <f t="shared" si="4"/>
        <v>tier - 1</v>
      </c>
      <c r="N2049" s="9" t="str">
        <f t="shared" si="5"/>
        <v>R1011</v>
      </c>
      <c r="O2049" s="17">
        <f t="shared" si="6"/>
        <v>51</v>
      </c>
      <c r="P2049" s="18">
        <v>26102.0</v>
      </c>
    </row>
    <row r="2050" ht="15.75" customHeight="1">
      <c r="A2050" s="9" t="s">
        <v>2517</v>
      </c>
      <c r="B2050" s="17">
        <v>1965.0</v>
      </c>
      <c r="C2050" s="9" t="s">
        <v>4716</v>
      </c>
      <c r="D2050" s="9">
        <v>29.0</v>
      </c>
      <c r="E2050" s="18">
        <f t="shared" si="1"/>
        <v>23983</v>
      </c>
      <c r="F2050" s="9">
        <v>0.0</v>
      </c>
      <c r="G2050" s="19">
        <v>8800.49</v>
      </c>
      <c r="H2050" s="9" t="s">
        <v>4717</v>
      </c>
      <c r="I2050" s="9" t="s">
        <v>4723</v>
      </c>
      <c r="J2050" s="9" t="s">
        <v>4743</v>
      </c>
      <c r="K2050" s="20">
        <f t="shared" si="2"/>
        <v>1965</v>
      </c>
      <c r="L2050" s="9" t="str">
        <f t="shared" si="3"/>
        <v>tier - 3</v>
      </c>
      <c r="M2050" s="9" t="str">
        <f t="shared" si="4"/>
        <v>tier - 2</v>
      </c>
      <c r="N2050" s="9" t="str">
        <f t="shared" si="5"/>
        <v>R1013</v>
      </c>
      <c r="O2050" s="17">
        <f t="shared" si="6"/>
        <v>57</v>
      </c>
      <c r="P2050" s="18">
        <v>23983.0</v>
      </c>
    </row>
    <row r="2051" ht="15.75" customHeight="1">
      <c r="A2051" s="9" t="s">
        <v>2515</v>
      </c>
      <c r="B2051" s="17">
        <v>2001.0</v>
      </c>
      <c r="C2051" s="9" t="s">
        <v>4735</v>
      </c>
      <c r="D2051" s="9">
        <v>7.0</v>
      </c>
      <c r="E2051" s="18">
        <f t="shared" si="1"/>
        <v>37202</v>
      </c>
      <c r="F2051" s="9">
        <v>0.0</v>
      </c>
      <c r="G2051" s="19">
        <v>8821.88</v>
      </c>
      <c r="H2051" s="9" t="s">
        <v>4723</v>
      </c>
      <c r="I2051" s="9" t="s">
        <v>4717</v>
      </c>
      <c r="J2051" s="9" t="s">
        <v>4756</v>
      </c>
      <c r="K2051" s="20">
        <f t="shared" si="2"/>
        <v>2001</v>
      </c>
      <c r="L2051" s="9" t="str">
        <f t="shared" si="3"/>
        <v>tier - 2</v>
      </c>
      <c r="M2051" s="9" t="str">
        <f t="shared" si="4"/>
        <v>tier - 3</v>
      </c>
      <c r="N2051" s="9" t="str">
        <f t="shared" si="5"/>
        <v>R1023</v>
      </c>
      <c r="O2051" s="17">
        <f t="shared" si="6"/>
        <v>21</v>
      </c>
      <c r="P2051" s="18">
        <v>37202.0</v>
      </c>
    </row>
    <row r="2052" ht="15.75" customHeight="1">
      <c r="A2052" s="9" t="s">
        <v>2513</v>
      </c>
      <c r="B2052" s="17">
        <v>1976.0</v>
      </c>
      <c r="C2052" s="9" t="s">
        <v>4730</v>
      </c>
      <c r="D2052" s="9">
        <v>14.0</v>
      </c>
      <c r="E2052" s="18">
        <f t="shared" si="1"/>
        <v>27925</v>
      </c>
      <c r="F2052" s="9">
        <v>2.0</v>
      </c>
      <c r="G2052" s="19">
        <v>8823.28</v>
      </c>
      <c r="H2052" s="9" t="s">
        <v>4723</v>
      </c>
      <c r="I2052" s="9" t="s">
        <v>4718</v>
      </c>
      <c r="J2052" s="9" t="s">
        <v>4719</v>
      </c>
      <c r="K2052" s="20">
        <f t="shared" si="2"/>
        <v>1976</v>
      </c>
      <c r="L2052" s="9" t="str">
        <f t="shared" si="3"/>
        <v>tier - 2</v>
      </c>
      <c r="M2052" s="9" t="str">
        <f t="shared" si="4"/>
        <v>tier - 1</v>
      </c>
      <c r="N2052" s="9" t="str">
        <f t="shared" si="5"/>
        <v>R1011</v>
      </c>
      <c r="O2052" s="17">
        <f t="shared" si="6"/>
        <v>46</v>
      </c>
      <c r="P2052" s="18">
        <v>27925.0</v>
      </c>
    </row>
    <row r="2053" ht="15.75" customHeight="1">
      <c r="A2053" s="9" t="s">
        <v>2511</v>
      </c>
      <c r="B2053" s="17">
        <v>1976.0</v>
      </c>
      <c r="C2053" s="9" t="s">
        <v>4720</v>
      </c>
      <c r="D2053" s="9">
        <v>19.0</v>
      </c>
      <c r="E2053" s="18">
        <f t="shared" si="1"/>
        <v>28052</v>
      </c>
      <c r="F2053" s="9">
        <v>1.0</v>
      </c>
      <c r="G2053" s="19">
        <v>8823.99</v>
      </c>
      <c r="H2053" s="9" t="s">
        <v>4723</v>
      </c>
      <c r="I2053" s="9" t="s">
        <v>4717</v>
      </c>
      <c r="J2053" s="9" t="s">
        <v>4731</v>
      </c>
      <c r="K2053" s="20">
        <f t="shared" si="2"/>
        <v>1976</v>
      </c>
      <c r="L2053" s="9" t="str">
        <f t="shared" si="3"/>
        <v>tier - 2</v>
      </c>
      <c r="M2053" s="9" t="str">
        <f t="shared" si="4"/>
        <v>tier - 3</v>
      </c>
      <c r="N2053" s="9" t="str">
        <f t="shared" si="5"/>
        <v>R1024</v>
      </c>
      <c r="O2053" s="17">
        <f t="shared" si="6"/>
        <v>46</v>
      </c>
      <c r="P2053" s="18">
        <v>28052.0</v>
      </c>
    </row>
    <row r="2054" ht="15.75" customHeight="1">
      <c r="A2054" s="9" t="s">
        <v>2509</v>
      </c>
      <c r="B2054" s="17">
        <v>1988.0</v>
      </c>
      <c r="C2054" s="9" t="s">
        <v>4716</v>
      </c>
      <c r="D2054" s="9">
        <v>22.0</v>
      </c>
      <c r="E2054" s="18">
        <f t="shared" si="1"/>
        <v>32377</v>
      </c>
      <c r="F2054" s="9">
        <v>3.0</v>
      </c>
      <c r="G2054" s="19">
        <v>8824.27</v>
      </c>
      <c r="H2054" s="9" t="s">
        <v>4723</v>
      </c>
      <c r="I2054" s="9" t="s">
        <v>4718</v>
      </c>
      <c r="J2054" s="9" t="s">
        <v>4726</v>
      </c>
      <c r="K2054" s="20">
        <f t="shared" si="2"/>
        <v>1988</v>
      </c>
      <c r="L2054" s="9" t="str">
        <f t="shared" si="3"/>
        <v>tier - 2</v>
      </c>
      <c r="M2054" s="9" t="str">
        <f t="shared" si="4"/>
        <v>tier - 1</v>
      </c>
      <c r="N2054" s="9" t="str">
        <f t="shared" si="5"/>
        <v>R1025</v>
      </c>
      <c r="O2054" s="17">
        <f t="shared" si="6"/>
        <v>34</v>
      </c>
      <c r="P2054" s="18">
        <v>32377.0</v>
      </c>
    </row>
    <row r="2055" ht="15.75" customHeight="1">
      <c r="A2055" s="9" t="s">
        <v>2507</v>
      </c>
      <c r="B2055" s="17">
        <v>1976.0</v>
      </c>
      <c r="C2055" s="9" t="s">
        <v>4741</v>
      </c>
      <c r="D2055" s="9">
        <v>14.0</v>
      </c>
      <c r="E2055" s="18">
        <f t="shared" si="1"/>
        <v>27955</v>
      </c>
      <c r="F2055" s="9">
        <v>2.0</v>
      </c>
      <c r="G2055" s="19">
        <v>8825.09</v>
      </c>
      <c r="H2055" s="9" t="s">
        <v>4723</v>
      </c>
      <c r="I2055" s="9" t="s">
        <v>4717</v>
      </c>
      <c r="J2055" s="9" t="s">
        <v>4719</v>
      </c>
      <c r="K2055" s="20">
        <f t="shared" si="2"/>
        <v>1976</v>
      </c>
      <c r="L2055" s="9" t="str">
        <f t="shared" si="3"/>
        <v>tier - 2</v>
      </c>
      <c r="M2055" s="9" t="str">
        <f t="shared" si="4"/>
        <v>tier - 3</v>
      </c>
      <c r="N2055" s="9" t="str">
        <f t="shared" si="5"/>
        <v>R1011</v>
      </c>
      <c r="O2055" s="17">
        <f t="shared" si="6"/>
        <v>46</v>
      </c>
      <c r="P2055" s="18">
        <v>27955.0</v>
      </c>
    </row>
    <row r="2056" ht="15.75" customHeight="1">
      <c r="A2056" s="9" t="s">
        <v>2505</v>
      </c>
      <c r="B2056" s="17">
        <v>1972.0</v>
      </c>
      <c r="C2056" s="9" t="s">
        <v>4735</v>
      </c>
      <c r="D2056" s="9">
        <v>14.0</v>
      </c>
      <c r="E2056" s="18">
        <f t="shared" si="1"/>
        <v>26617</v>
      </c>
      <c r="F2056" s="9">
        <v>0.0</v>
      </c>
      <c r="G2056" s="19">
        <v>8827.21</v>
      </c>
      <c r="H2056" s="9" t="s">
        <v>4717</v>
      </c>
      <c r="I2056" s="9" t="s">
        <v>4718</v>
      </c>
      <c r="J2056" s="9" t="s">
        <v>4733</v>
      </c>
      <c r="K2056" s="20">
        <f t="shared" si="2"/>
        <v>1972</v>
      </c>
      <c r="L2056" s="9" t="str">
        <f t="shared" si="3"/>
        <v>tier - 3</v>
      </c>
      <c r="M2056" s="9" t="str">
        <f t="shared" si="4"/>
        <v>tier - 1</v>
      </c>
      <c r="N2056" s="9" t="str">
        <f t="shared" si="5"/>
        <v>R1012</v>
      </c>
      <c r="O2056" s="17">
        <f t="shared" si="6"/>
        <v>50</v>
      </c>
      <c r="P2056" s="18">
        <v>26617.0</v>
      </c>
    </row>
    <row r="2057" ht="15.75" customHeight="1">
      <c r="A2057" s="9" t="s">
        <v>2503</v>
      </c>
      <c r="B2057" s="17">
        <v>1972.0</v>
      </c>
      <c r="C2057" s="9" t="s">
        <v>4735</v>
      </c>
      <c r="D2057" s="9">
        <v>22.0</v>
      </c>
      <c r="E2057" s="18">
        <f t="shared" si="1"/>
        <v>26625</v>
      </c>
      <c r="F2057" s="9">
        <v>0.0</v>
      </c>
      <c r="G2057" s="19">
        <v>8835.26</v>
      </c>
      <c r="H2057" s="9" t="s">
        <v>4717</v>
      </c>
      <c r="I2057" s="9" t="s">
        <v>4723</v>
      </c>
      <c r="J2057" s="9" t="s">
        <v>4733</v>
      </c>
      <c r="K2057" s="20">
        <f t="shared" si="2"/>
        <v>1972</v>
      </c>
      <c r="L2057" s="9" t="str">
        <f t="shared" si="3"/>
        <v>tier - 3</v>
      </c>
      <c r="M2057" s="9" t="str">
        <f t="shared" si="4"/>
        <v>tier - 2</v>
      </c>
      <c r="N2057" s="9" t="str">
        <f t="shared" si="5"/>
        <v>R1012</v>
      </c>
      <c r="O2057" s="17">
        <f t="shared" si="6"/>
        <v>50</v>
      </c>
      <c r="P2057" s="18">
        <v>26625.0</v>
      </c>
    </row>
    <row r="2058" ht="15.75" customHeight="1">
      <c r="A2058" s="9" t="s">
        <v>2501</v>
      </c>
      <c r="B2058" s="17">
        <v>1974.0</v>
      </c>
      <c r="C2058" s="9" t="s">
        <v>4730</v>
      </c>
      <c r="D2058" s="9">
        <v>18.0</v>
      </c>
      <c r="E2058" s="18">
        <f t="shared" si="1"/>
        <v>27198</v>
      </c>
      <c r="F2058" s="9">
        <v>1.0</v>
      </c>
      <c r="G2058" s="19">
        <v>8871.15</v>
      </c>
      <c r="H2058" s="9" t="s">
        <v>4723</v>
      </c>
      <c r="I2058" s="9" t="s">
        <v>4717</v>
      </c>
      <c r="J2058" s="9" t="s">
        <v>4743</v>
      </c>
      <c r="K2058" s="20">
        <f t="shared" si="2"/>
        <v>1974</v>
      </c>
      <c r="L2058" s="9" t="str">
        <f t="shared" si="3"/>
        <v>tier - 2</v>
      </c>
      <c r="M2058" s="9" t="str">
        <f t="shared" si="4"/>
        <v>tier - 3</v>
      </c>
      <c r="N2058" s="9" t="str">
        <f t="shared" si="5"/>
        <v>R1013</v>
      </c>
      <c r="O2058" s="17">
        <f t="shared" si="6"/>
        <v>48</v>
      </c>
      <c r="P2058" s="18">
        <v>27198.0</v>
      </c>
    </row>
    <row r="2059" ht="15.75" customHeight="1">
      <c r="A2059" s="9" t="s">
        <v>251</v>
      </c>
      <c r="B2059" s="17">
        <v>1982.0</v>
      </c>
      <c r="C2059" s="9" t="s">
        <v>4716</v>
      </c>
      <c r="D2059" s="9">
        <v>16.0</v>
      </c>
      <c r="E2059" s="18">
        <f t="shared" si="1"/>
        <v>30179</v>
      </c>
      <c r="F2059" s="9">
        <v>3.0</v>
      </c>
      <c r="G2059" s="19">
        <v>39315.28</v>
      </c>
      <c r="H2059" s="9" t="s">
        <v>4723</v>
      </c>
      <c r="I2059" s="9" t="s">
        <v>4717</v>
      </c>
      <c r="J2059" s="9" t="s">
        <v>4719</v>
      </c>
      <c r="K2059" s="20">
        <f t="shared" si="2"/>
        <v>1982</v>
      </c>
      <c r="L2059" s="9" t="str">
        <f t="shared" si="3"/>
        <v>tier - 2</v>
      </c>
      <c r="M2059" s="9" t="str">
        <f t="shared" si="4"/>
        <v>tier - 3</v>
      </c>
      <c r="N2059" s="9" t="str">
        <f t="shared" si="5"/>
        <v>R1011</v>
      </c>
      <c r="O2059" s="17">
        <f t="shared" si="6"/>
        <v>40</v>
      </c>
      <c r="P2059" s="18">
        <v>30179.0</v>
      </c>
    </row>
    <row r="2060" ht="15.75" customHeight="1">
      <c r="A2060" s="9" t="s">
        <v>2499</v>
      </c>
      <c r="B2060" s="17">
        <v>1973.0</v>
      </c>
      <c r="C2060" s="9" t="s">
        <v>4738</v>
      </c>
      <c r="D2060" s="9">
        <v>9.0</v>
      </c>
      <c r="E2060" s="18">
        <f t="shared" si="1"/>
        <v>26916</v>
      </c>
      <c r="F2060" s="9">
        <v>0.0</v>
      </c>
      <c r="G2060" s="19">
        <v>8890.59</v>
      </c>
      <c r="H2060" s="9" t="s">
        <v>4723</v>
      </c>
      <c r="I2060" s="9" t="s">
        <v>4717</v>
      </c>
      <c r="J2060" s="9" t="s">
        <v>4733</v>
      </c>
      <c r="K2060" s="20">
        <f t="shared" si="2"/>
        <v>1973</v>
      </c>
      <c r="L2060" s="9" t="str">
        <f t="shared" si="3"/>
        <v>tier - 2</v>
      </c>
      <c r="M2060" s="9" t="str">
        <f t="shared" si="4"/>
        <v>tier - 3</v>
      </c>
      <c r="N2060" s="9" t="str">
        <f t="shared" si="5"/>
        <v>R1012</v>
      </c>
      <c r="O2060" s="17">
        <f t="shared" si="6"/>
        <v>49</v>
      </c>
      <c r="P2060" s="18">
        <v>26916.0</v>
      </c>
    </row>
    <row r="2061" ht="15.75" customHeight="1">
      <c r="A2061" s="9" t="s">
        <v>2497</v>
      </c>
      <c r="B2061" s="17">
        <v>1978.0</v>
      </c>
      <c r="C2061" s="9" t="s">
        <v>4725</v>
      </c>
      <c r="D2061" s="9">
        <v>16.0</v>
      </c>
      <c r="E2061" s="18">
        <f t="shared" si="1"/>
        <v>28840</v>
      </c>
      <c r="F2061" s="9">
        <v>3.0</v>
      </c>
      <c r="G2061" s="19">
        <v>8891.14</v>
      </c>
      <c r="H2061" s="9" t="s">
        <v>4723</v>
      </c>
      <c r="I2061" s="9" t="s">
        <v>4717</v>
      </c>
      <c r="J2061" s="9" t="s">
        <v>4753</v>
      </c>
      <c r="K2061" s="20">
        <f t="shared" si="2"/>
        <v>1978</v>
      </c>
      <c r="L2061" s="9" t="str">
        <f t="shared" si="3"/>
        <v>tier - 2</v>
      </c>
      <c r="M2061" s="9" t="str">
        <f t="shared" si="4"/>
        <v>tier - 3</v>
      </c>
      <c r="N2061" s="9" t="str">
        <f t="shared" si="5"/>
        <v>R1017</v>
      </c>
      <c r="O2061" s="17">
        <f t="shared" si="6"/>
        <v>44</v>
      </c>
      <c r="P2061" s="18">
        <v>28840.0</v>
      </c>
    </row>
    <row r="2062" ht="15.75" customHeight="1">
      <c r="A2062" s="9" t="s">
        <v>2495</v>
      </c>
      <c r="B2062" s="17">
        <v>1997.0</v>
      </c>
      <c r="C2062" s="9" t="s">
        <v>4735</v>
      </c>
      <c r="D2062" s="9">
        <v>28.0</v>
      </c>
      <c r="E2062" s="18">
        <f t="shared" si="1"/>
        <v>35762</v>
      </c>
      <c r="F2062" s="9">
        <v>0.0</v>
      </c>
      <c r="G2062" s="19">
        <v>8906.14</v>
      </c>
      <c r="H2062" s="9" t="s">
        <v>4723</v>
      </c>
      <c r="I2062" s="9" t="s">
        <v>4723</v>
      </c>
      <c r="J2062" s="9" t="s">
        <v>4733</v>
      </c>
      <c r="K2062" s="20">
        <f t="shared" si="2"/>
        <v>1997</v>
      </c>
      <c r="L2062" s="9" t="str">
        <f t="shared" si="3"/>
        <v>tier - 2</v>
      </c>
      <c r="M2062" s="9" t="str">
        <f t="shared" si="4"/>
        <v>tier - 2</v>
      </c>
      <c r="N2062" s="9" t="str">
        <f t="shared" si="5"/>
        <v>R1012</v>
      </c>
      <c r="O2062" s="17">
        <f t="shared" si="6"/>
        <v>25</v>
      </c>
      <c r="P2062" s="18">
        <v>35762.0</v>
      </c>
    </row>
    <row r="2063" ht="15.75" customHeight="1">
      <c r="A2063" s="9" t="s">
        <v>2493</v>
      </c>
      <c r="B2063" s="17">
        <v>1967.0</v>
      </c>
      <c r="C2063" s="9" t="s">
        <v>4738</v>
      </c>
      <c r="D2063" s="9">
        <v>6.0</v>
      </c>
      <c r="E2063" s="18">
        <f t="shared" si="1"/>
        <v>24721</v>
      </c>
      <c r="F2063" s="9">
        <v>0.0</v>
      </c>
      <c r="G2063" s="19">
        <v>8908.47</v>
      </c>
      <c r="H2063" s="9" t="s">
        <v>4717</v>
      </c>
      <c r="I2063" s="9" t="s">
        <v>4723</v>
      </c>
      <c r="J2063" s="9" t="s">
        <v>4743</v>
      </c>
      <c r="K2063" s="20">
        <f t="shared" si="2"/>
        <v>1967</v>
      </c>
      <c r="L2063" s="9" t="str">
        <f t="shared" si="3"/>
        <v>tier - 3</v>
      </c>
      <c r="M2063" s="9" t="str">
        <f t="shared" si="4"/>
        <v>tier - 2</v>
      </c>
      <c r="N2063" s="9" t="str">
        <f t="shared" si="5"/>
        <v>R1013</v>
      </c>
      <c r="O2063" s="17">
        <f t="shared" si="6"/>
        <v>55</v>
      </c>
      <c r="P2063" s="18">
        <v>24721.0</v>
      </c>
    </row>
    <row r="2064" ht="15.75" customHeight="1">
      <c r="A2064" s="9" t="s">
        <v>2491</v>
      </c>
      <c r="B2064" s="17">
        <v>1975.0</v>
      </c>
      <c r="C2064" s="9" t="s">
        <v>4741</v>
      </c>
      <c r="D2064" s="9">
        <v>7.0</v>
      </c>
      <c r="E2064" s="18">
        <f t="shared" si="1"/>
        <v>27582</v>
      </c>
      <c r="F2064" s="9">
        <v>1.0</v>
      </c>
      <c r="G2064" s="19">
        <v>8930.93</v>
      </c>
      <c r="H2064" s="9" t="s">
        <v>4723</v>
      </c>
      <c r="I2064" s="9" t="s">
        <v>4723</v>
      </c>
      <c r="J2064" s="9" t="s">
        <v>4733</v>
      </c>
      <c r="K2064" s="20">
        <f t="shared" si="2"/>
        <v>1975</v>
      </c>
      <c r="L2064" s="9" t="str">
        <f t="shared" si="3"/>
        <v>tier - 2</v>
      </c>
      <c r="M2064" s="9" t="str">
        <f t="shared" si="4"/>
        <v>tier - 2</v>
      </c>
      <c r="N2064" s="9" t="str">
        <f t="shared" si="5"/>
        <v>R1012</v>
      </c>
      <c r="O2064" s="17">
        <f t="shared" si="6"/>
        <v>47</v>
      </c>
      <c r="P2064" s="18">
        <v>27582.0</v>
      </c>
    </row>
    <row r="2065" ht="15.75" customHeight="1">
      <c r="A2065" s="9" t="s">
        <v>2489</v>
      </c>
      <c r="B2065" s="17">
        <v>1972.0</v>
      </c>
      <c r="C2065" s="9" t="s">
        <v>4730</v>
      </c>
      <c r="D2065" s="9">
        <v>6.0</v>
      </c>
      <c r="E2065" s="18">
        <f t="shared" si="1"/>
        <v>26456</v>
      </c>
      <c r="F2065" s="9">
        <v>0.0</v>
      </c>
      <c r="G2065" s="19">
        <v>8932.08</v>
      </c>
      <c r="H2065" s="9" t="s">
        <v>4723</v>
      </c>
      <c r="I2065" s="9" t="s">
        <v>4718</v>
      </c>
      <c r="J2065" s="9" t="s">
        <v>4719</v>
      </c>
      <c r="K2065" s="20">
        <f t="shared" si="2"/>
        <v>1972</v>
      </c>
      <c r="L2065" s="9" t="str">
        <f t="shared" si="3"/>
        <v>tier - 2</v>
      </c>
      <c r="M2065" s="9" t="str">
        <f t="shared" si="4"/>
        <v>tier - 1</v>
      </c>
      <c r="N2065" s="9" t="str">
        <f t="shared" si="5"/>
        <v>R1011</v>
      </c>
      <c r="O2065" s="17">
        <f t="shared" si="6"/>
        <v>51</v>
      </c>
      <c r="P2065" s="18">
        <v>26456.0</v>
      </c>
    </row>
    <row r="2066" ht="15.75" customHeight="1">
      <c r="A2066" s="9" t="s">
        <v>2487</v>
      </c>
      <c r="B2066" s="17">
        <v>1976.0</v>
      </c>
      <c r="C2066" s="9" t="s">
        <v>4725</v>
      </c>
      <c r="D2066" s="9">
        <v>25.0</v>
      </c>
      <c r="E2066" s="18">
        <f t="shared" si="1"/>
        <v>28119</v>
      </c>
      <c r="F2066" s="9">
        <v>3.0</v>
      </c>
      <c r="G2066" s="19">
        <v>8944.12</v>
      </c>
      <c r="H2066" s="9" t="s">
        <v>4717</v>
      </c>
      <c r="I2066" s="9" t="s">
        <v>4723</v>
      </c>
      <c r="J2066" s="9" t="s">
        <v>4743</v>
      </c>
      <c r="K2066" s="20">
        <f t="shared" si="2"/>
        <v>1976</v>
      </c>
      <c r="L2066" s="9" t="str">
        <f t="shared" si="3"/>
        <v>tier - 3</v>
      </c>
      <c r="M2066" s="9" t="str">
        <f t="shared" si="4"/>
        <v>tier - 2</v>
      </c>
      <c r="N2066" s="9" t="str">
        <f t="shared" si="5"/>
        <v>R1013</v>
      </c>
      <c r="O2066" s="17">
        <f t="shared" si="6"/>
        <v>46</v>
      </c>
      <c r="P2066" s="18">
        <v>28119.0</v>
      </c>
    </row>
    <row r="2067" ht="15.75" customHeight="1">
      <c r="A2067" s="9" t="s">
        <v>2485</v>
      </c>
      <c r="B2067" s="17">
        <v>1992.0</v>
      </c>
      <c r="C2067" s="9" t="s">
        <v>4738</v>
      </c>
      <c r="D2067" s="9">
        <v>27.0</v>
      </c>
      <c r="E2067" s="18">
        <f t="shared" si="1"/>
        <v>33874</v>
      </c>
      <c r="F2067" s="9">
        <v>0.0</v>
      </c>
      <c r="G2067" s="19">
        <v>8954.99</v>
      </c>
      <c r="H2067" s="9" t="s">
        <v>4723</v>
      </c>
      <c r="I2067" s="9" t="s">
        <v>4717</v>
      </c>
      <c r="J2067" s="9" t="s">
        <v>4721</v>
      </c>
      <c r="K2067" s="20">
        <f t="shared" si="2"/>
        <v>1992</v>
      </c>
      <c r="L2067" s="9" t="str">
        <f t="shared" si="3"/>
        <v>tier - 2</v>
      </c>
      <c r="M2067" s="9" t="str">
        <f t="shared" si="4"/>
        <v>tier - 3</v>
      </c>
      <c r="N2067" s="9" t="str">
        <f t="shared" si="5"/>
        <v>R1026</v>
      </c>
      <c r="O2067" s="17">
        <f t="shared" si="6"/>
        <v>30</v>
      </c>
      <c r="P2067" s="18">
        <v>33874.0</v>
      </c>
    </row>
    <row r="2068" ht="15.75" customHeight="1">
      <c r="A2068" s="9" t="s">
        <v>2483</v>
      </c>
      <c r="B2068" s="17">
        <v>1974.0</v>
      </c>
      <c r="C2068" s="9" t="s">
        <v>4716</v>
      </c>
      <c r="D2068" s="9">
        <v>17.0</v>
      </c>
      <c r="E2068" s="18">
        <f t="shared" si="1"/>
        <v>27258</v>
      </c>
      <c r="F2068" s="9">
        <v>1.0</v>
      </c>
      <c r="G2068" s="19">
        <v>8964.06</v>
      </c>
      <c r="H2068" s="9" t="s">
        <v>4717</v>
      </c>
      <c r="I2068" s="9" t="s">
        <v>4723</v>
      </c>
      <c r="J2068" s="9" t="s">
        <v>4754</v>
      </c>
      <c r="K2068" s="20">
        <f t="shared" si="2"/>
        <v>1974</v>
      </c>
      <c r="L2068" s="9" t="str">
        <f t="shared" si="3"/>
        <v>tier - 3</v>
      </c>
      <c r="M2068" s="9" t="str">
        <f t="shared" si="4"/>
        <v>tier - 2</v>
      </c>
      <c r="N2068" s="9" t="str">
        <f t="shared" si="5"/>
        <v>R1016</v>
      </c>
      <c r="O2068" s="17">
        <f t="shared" si="6"/>
        <v>48</v>
      </c>
      <c r="P2068" s="18">
        <v>27258.0</v>
      </c>
    </row>
    <row r="2069" ht="15.75" customHeight="1">
      <c r="A2069" s="9" t="s">
        <v>2481</v>
      </c>
      <c r="B2069" s="17">
        <v>1983.0</v>
      </c>
      <c r="C2069" s="9" t="s">
        <v>4741</v>
      </c>
      <c r="D2069" s="9">
        <v>15.0</v>
      </c>
      <c r="E2069" s="18">
        <f t="shared" si="1"/>
        <v>30512</v>
      </c>
      <c r="F2069" s="9">
        <v>5.0</v>
      </c>
      <c r="G2069" s="19">
        <v>8965.8</v>
      </c>
      <c r="H2069" s="9" t="s">
        <v>4723</v>
      </c>
      <c r="I2069" s="9" t="s">
        <v>4717</v>
      </c>
      <c r="J2069" s="9" t="s">
        <v>4733</v>
      </c>
      <c r="K2069" s="20">
        <f t="shared" si="2"/>
        <v>1983</v>
      </c>
      <c r="L2069" s="9" t="str">
        <f t="shared" si="3"/>
        <v>tier - 2</v>
      </c>
      <c r="M2069" s="9" t="str">
        <f t="shared" si="4"/>
        <v>tier - 3</v>
      </c>
      <c r="N2069" s="9" t="str">
        <f t="shared" si="5"/>
        <v>R1012</v>
      </c>
      <c r="O2069" s="17">
        <f t="shared" si="6"/>
        <v>39</v>
      </c>
      <c r="P2069" s="18">
        <v>30512.0</v>
      </c>
    </row>
    <row r="2070" ht="15.75" customHeight="1">
      <c r="A2070" s="9" t="s">
        <v>249</v>
      </c>
      <c r="B2070" s="17">
        <v>1978.0</v>
      </c>
      <c r="C2070" s="9" t="s">
        <v>4716</v>
      </c>
      <c r="D2070" s="9">
        <v>5.0</v>
      </c>
      <c r="E2070" s="18">
        <f t="shared" si="1"/>
        <v>28707</v>
      </c>
      <c r="F2070" s="9">
        <v>2.0</v>
      </c>
      <c r="G2070" s="19">
        <v>39352.6</v>
      </c>
      <c r="H2070" s="9" t="s">
        <v>4723</v>
      </c>
      <c r="I2070" s="9" t="s">
        <v>4717</v>
      </c>
      <c r="J2070" s="9" t="s">
        <v>4719</v>
      </c>
      <c r="K2070" s="20">
        <f t="shared" si="2"/>
        <v>1978</v>
      </c>
      <c r="L2070" s="9" t="str">
        <f t="shared" si="3"/>
        <v>tier - 2</v>
      </c>
      <c r="M2070" s="9" t="str">
        <f t="shared" si="4"/>
        <v>tier - 3</v>
      </c>
      <c r="N2070" s="9" t="str">
        <f t="shared" si="5"/>
        <v>R1011</v>
      </c>
      <c r="O2070" s="17">
        <f t="shared" si="6"/>
        <v>44</v>
      </c>
      <c r="P2070" s="18">
        <v>28707.0</v>
      </c>
    </row>
    <row r="2071" ht="15.75" customHeight="1">
      <c r="A2071" s="9" t="s">
        <v>2479</v>
      </c>
      <c r="B2071" s="17">
        <v>1974.0</v>
      </c>
      <c r="C2071" s="9" t="s">
        <v>4738</v>
      </c>
      <c r="D2071" s="9">
        <v>8.0</v>
      </c>
      <c r="E2071" s="18">
        <f t="shared" si="1"/>
        <v>27280</v>
      </c>
      <c r="F2071" s="9">
        <v>2.0</v>
      </c>
      <c r="G2071" s="19">
        <v>8968.33</v>
      </c>
      <c r="H2071" s="9" t="s">
        <v>4717</v>
      </c>
      <c r="I2071" s="9" t="s">
        <v>4723</v>
      </c>
      <c r="J2071" s="9" t="s">
        <v>4719</v>
      </c>
      <c r="K2071" s="20">
        <f t="shared" si="2"/>
        <v>1974</v>
      </c>
      <c r="L2071" s="9" t="str">
        <f t="shared" si="3"/>
        <v>tier - 3</v>
      </c>
      <c r="M2071" s="9" t="str">
        <f t="shared" si="4"/>
        <v>tier - 2</v>
      </c>
      <c r="N2071" s="9" t="str">
        <f t="shared" si="5"/>
        <v>R1011</v>
      </c>
      <c r="O2071" s="17">
        <f t="shared" si="6"/>
        <v>48</v>
      </c>
      <c r="P2071" s="18">
        <v>27280.0</v>
      </c>
    </row>
    <row r="2072" ht="15.75" customHeight="1">
      <c r="A2072" s="9" t="s">
        <v>2477</v>
      </c>
      <c r="B2072" s="17">
        <v>1974.0</v>
      </c>
      <c r="C2072" s="9" t="s">
        <v>4741</v>
      </c>
      <c r="D2072" s="9">
        <v>21.0</v>
      </c>
      <c r="E2072" s="18">
        <f t="shared" si="1"/>
        <v>27231</v>
      </c>
      <c r="F2072" s="9">
        <v>2.0</v>
      </c>
      <c r="G2072" s="19">
        <v>8978.19</v>
      </c>
      <c r="H2072" s="9" t="s">
        <v>4723</v>
      </c>
      <c r="I2072" s="9" t="s">
        <v>4723</v>
      </c>
      <c r="J2072" s="9" t="s">
        <v>4743</v>
      </c>
      <c r="K2072" s="20">
        <f t="shared" si="2"/>
        <v>1974</v>
      </c>
      <c r="L2072" s="9" t="str">
        <f t="shared" si="3"/>
        <v>tier - 2</v>
      </c>
      <c r="M2072" s="9" t="str">
        <f t="shared" si="4"/>
        <v>tier - 2</v>
      </c>
      <c r="N2072" s="9" t="str">
        <f t="shared" si="5"/>
        <v>R1013</v>
      </c>
      <c r="O2072" s="17">
        <f t="shared" si="6"/>
        <v>48</v>
      </c>
      <c r="P2072" s="18">
        <v>27231.0</v>
      </c>
    </row>
    <row r="2073" ht="15.75" customHeight="1">
      <c r="A2073" s="9" t="s">
        <v>2475</v>
      </c>
      <c r="B2073" s="17">
        <v>1973.0</v>
      </c>
      <c r="C2073" s="9" t="s">
        <v>4720</v>
      </c>
      <c r="D2073" s="9">
        <v>11.0</v>
      </c>
      <c r="E2073" s="18">
        <f t="shared" si="1"/>
        <v>26948</v>
      </c>
      <c r="F2073" s="9">
        <v>0.0</v>
      </c>
      <c r="G2073" s="19">
        <v>8988.16</v>
      </c>
      <c r="H2073" s="9" t="s">
        <v>4723</v>
      </c>
      <c r="I2073" s="9" t="s">
        <v>4718</v>
      </c>
      <c r="J2073" s="9" t="s">
        <v>4733</v>
      </c>
      <c r="K2073" s="20">
        <f t="shared" si="2"/>
        <v>1973</v>
      </c>
      <c r="L2073" s="9" t="str">
        <f t="shared" si="3"/>
        <v>tier - 2</v>
      </c>
      <c r="M2073" s="9" t="str">
        <f t="shared" si="4"/>
        <v>tier - 1</v>
      </c>
      <c r="N2073" s="9" t="str">
        <f t="shared" si="5"/>
        <v>R1012</v>
      </c>
      <c r="O2073" s="17">
        <f t="shared" si="6"/>
        <v>49</v>
      </c>
      <c r="P2073" s="18">
        <v>26948.0</v>
      </c>
    </row>
    <row r="2074" ht="15.75" customHeight="1">
      <c r="A2074" s="9" t="s">
        <v>2473</v>
      </c>
      <c r="B2074" s="17">
        <v>1979.0</v>
      </c>
      <c r="C2074" s="9" t="s">
        <v>4725</v>
      </c>
      <c r="D2074" s="9">
        <v>16.0</v>
      </c>
      <c r="E2074" s="18">
        <f t="shared" si="1"/>
        <v>29205</v>
      </c>
      <c r="F2074" s="9">
        <v>2.0</v>
      </c>
      <c r="G2074" s="19">
        <v>8998.43</v>
      </c>
      <c r="H2074" s="9" t="s">
        <v>4723</v>
      </c>
      <c r="I2074" s="9" t="s">
        <v>4718</v>
      </c>
      <c r="J2074" s="9" t="s">
        <v>4726</v>
      </c>
      <c r="K2074" s="20">
        <f t="shared" si="2"/>
        <v>1979</v>
      </c>
      <c r="L2074" s="9" t="str">
        <f t="shared" si="3"/>
        <v>tier - 2</v>
      </c>
      <c r="M2074" s="9" t="str">
        <f t="shared" si="4"/>
        <v>tier - 1</v>
      </c>
      <c r="N2074" s="9" t="str">
        <f t="shared" si="5"/>
        <v>R1025</v>
      </c>
      <c r="O2074" s="17">
        <f t="shared" si="6"/>
        <v>43</v>
      </c>
      <c r="P2074" s="18">
        <v>29205.0</v>
      </c>
    </row>
    <row r="2075" ht="15.75" customHeight="1">
      <c r="A2075" s="9" t="s">
        <v>2471</v>
      </c>
      <c r="B2075" s="17">
        <v>1993.0</v>
      </c>
      <c r="C2075" s="9" t="s">
        <v>4725</v>
      </c>
      <c r="D2075" s="9">
        <v>1.0</v>
      </c>
      <c r="E2075" s="18">
        <f t="shared" si="1"/>
        <v>34304</v>
      </c>
      <c r="F2075" s="9">
        <v>0.0</v>
      </c>
      <c r="G2075" s="19">
        <v>9010.2</v>
      </c>
      <c r="H2075" s="9" t="s">
        <v>4723</v>
      </c>
      <c r="I2075" s="9" t="s">
        <v>4717</v>
      </c>
      <c r="J2075" s="9" t="s">
        <v>4721</v>
      </c>
      <c r="K2075" s="20">
        <f t="shared" si="2"/>
        <v>1993</v>
      </c>
      <c r="L2075" s="9" t="str">
        <f t="shared" si="3"/>
        <v>tier - 2</v>
      </c>
      <c r="M2075" s="9" t="str">
        <f t="shared" si="4"/>
        <v>tier - 3</v>
      </c>
      <c r="N2075" s="9" t="str">
        <f t="shared" si="5"/>
        <v>R1026</v>
      </c>
      <c r="O2075" s="17">
        <f t="shared" si="6"/>
        <v>29</v>
      </c>
      <c r="P2075" s="18">
        <v>34304.0</v>
      </c>
    </row>
    <row r="2076" ht="15.75" customHeight="1">
      <c r="A2076" s="9" t="s">
        <v>2469</v>
      </c>
      <c r="B2076" s="17">
        <v>1972.0</v>
      </c>
      <c r="C2076" s="9" t="s">
        <v>4725</v>
      </c>
      <c r="D2076" s="9">
        <v>7.0</v>
      </c>
      <c r="E2076" s="18">
        <f t="shared" si="1"/>
        <v>26640</v>
      </c>
      <c r="F2076" s="9">
        <v>1.0</v>
      </c>
      <c r="G2076" s="19">
        <v>9048.03</v>
      </c>
      <c r="H2076" s="9" t="s">
        <v>4723</v>
      </c>
      <c r="I2076" s="9" t="s">
        <v>4723</v>
      </c>
      <c r="J2076" s="9" t="s">
        <v>4743</v>
      </c>
      <c r="K2076" s="20">
        <f t="shared" si="2"/>
        <v>1972</v>
      </c>
      <c r="L2076" s="9" t="str">
        <f t="shared" si="3"/>
        <v>tier - 2</v>
      </c>
      <c r="M2076" s="9" t="str">
        <f t="shared" si="4"/>
        <v>tier - 2</v>
      </c>
      <c r="N2076" s="9" t="str">
        <f t="shared" si="5"/>
        <v>R1013</v>
      </c>
      <c r="O2076" s="17">
        <f t="shared" si="6"/>
        <v>50</v>
      </c>
      <c r="P2076" s="18">
        <v>26640.0</v>
      </c>
    </row>
    <row r="2077" ht="15.75" customHeight="1">
      <c r="A2077" s="9" t="s">
        <v>2467</v>
      </c>
      <c r="B2077" s="17">
        <v>1972.0</v>
      </c>
      <c r="C2077" s="9" t="s">
        <v>4725</v>
      </c>
      <c r="D2077" s="9">
        <v>2.0</v>
      </c>
      <c r="E2077" s="18">
        <f t="shared" si="1"/>
        <v>26635</v>
      </c>
      <c r="F2077" s="9">
        <v>1.0</v>
      </c>
      <c r="G2077" s="19">
        <v>9058.73</v>
      </c>
      <c r="H2077" s="9" t="s">
        <v>4717</v>
      </c>
      <c r="I2077" s="9" t="s">
        <v>4723</v>
      </c>
      <c r="J2077" s="9" t="s">
        <v>4743</v>
      </c>
      <c r="K2077" s="20">
        <f t="shared" si="2"/>
        <v>1972</v>
      </c>
      <c r="L2077" s="9" t="str">
        <f t="shared" si="3"/>
        <v>tier - 3</v>
      </c>
      <c r="M2077" s="9" t="str">
        <f t="shared" si="4"/>
        <v>tier - 2</v>
      </c>
      <c r="N2077" s="9" t="str">
        <f t="shared" si="5"/>
        <v>R1013</v>
      </c>
      <c r="O2077" s="17">
        <f t="shared" si="6"/>
        <v>50</v>
      </c>
      <c r="P2077" s="18">
        <v>26635.0</v>
      </c>
    </row>
    <row r="2078" ht="15.75" customHeight="1">
      <c r="A2078" s="9" t="s">
        <v>2465</v>
      </c>
      <c r="B2078" s="17">
        <v>1977.0</v>
      </c>
      <c r="C2078" s="9" t="s">
        <v>4735</v>
      </c>
      <c r="D2078" s="9">
        <v>4.0</v>
      </c>
      <c r="E2078" s="18">
        <f t="shared" si="1"/>
        <v>28433</v>
      </c>
      <c r="F2078" s="9">
        <v>2.0</v>
      </c>
      <c r="G2078" s="19">
        <v>9095.07</v>
      </c>
      <c r="H2078" s="9" t="s">
        <v>4723</v>
      </c>
      <c r="I2078" s="9" t="s">
        <v>4723</v>
      </c>
      <c r="J2078" s="9" t="s">
        <v>4731</v>
      </c>
      <c r="K2078" s="20">
        <f t="shared" si="2"/>
        <v>1977</v>
      </c>
      <c r="L2078" s="9" t="str">
        <f t="shared" si="3"/>
        <v>tier - 2</v>
      </c>
      <c r="M2078" s="9" t="str">
        <f t="shared" si="4"/>
        <v>tier - 2</v>
      </c>
      <c r="N2078" s="9" t="str">
        <f t="shared" si="5"/>
        <v>R1024</v>
      </c>
      <c r="O2078" s="17">
        <f t="shared" si="6"/>
        <v>45</v>
      </c>
      <c r="P2078" s="18">
        <v>28433.0</v>
      </c>
    </row>
    <row r="2079" ht="15.75" customHeight="1">
      <c r="A2079" s="9" t="s">
        <v>2463</v>
      </c>
      <c r="B2079" s="17">
        <v>1965.0</v>
      </c>
      <c r="C2079" s="9" t="s">
        <v>4735</v>
      </c>
      <c r="D2079" s="9">
        <v>9.0</v>
      </c>
      <c r="E2079" s="18">
        <f t="shared" si="1"/>
        <v>24055</v>
      </c>
      <c r="F2079" s="9">
        <v>0.0</v>
      </c>
      <c r="G2079" s="19">
        <v>9095.94</v>
      </c>
      <c r="H2079" s="9" t="s">
        <v>4717</v>
      </c>
      <c r="I2079" s="9" t="s">
        <v>4718</v>
      </c>
      <c r="J2079" s="9" t="s">
        <v>4719</v>
      </c>
      <c r="K2079" s="20">
        <f t="shared" si="2"/>
        <v>1965</v>
      </c>
      <c r="L2079" s="9" t="str">
        <f t="shared" si="3"/>
        <v>tier - 3</v>
      </c>
      <c r="M2079" s="9" t="str">
        <f t="shared" si="4"/>
        <v>tier - 1</v>
      </c>
      <c r="N2079" s="9" t="str">
        <f t="shared" si="5"/>
        <v>R1011</v>
      </c>
      <c r="O2079" s="17">
        <f t="shared" si="6"/>
        <v>57</v>
      </c>
      <c r="P2079" s="18">
        <v>24055.0</v>
      </c>
    </row>
    <row r="2080" ht="15.75" customHeight="1">
      <c r="A2080" s="9" t="s">
        <v>2461</v>
      </c>
      <c r="B2080" s="17">
        <v>1977.0</v>
      </c>
      <c r="C2080" s="9" t="s">
        <v>4725</v>
      </c>
      <c r="D2080" s="9">
        <v>2.0</v>
      </c>
      <c r="E2080" s="18">
        <f t="shared" si="1"/>
        <v>28461</v>
      </c>
      <c r="F2080" s="9">
        <v>3.0</v>
      </c>
      <c r="G2080" s="19">
        <v>9101.8</v>
      </c>
      <c r="H2080" s="9" t="s">
        <v>4723</v>
      </c>
      <c r="I2080" s="9" t="s">
        <v>4718</v>
      </c>
      <c r="J2080" s="9" t="s">
        <v>4719</v>
      </c>
      <c r="K2080" s="20">
        <f t="shared" si="2"/>
        <v>1977</v>
      </c>
      <c r="L2080" s="9" t="str">
        <f t="shared" si="3"/>
        <v>tier - 2</v>
      </c>
      <c r="M2080" s="9" t="str">
        <f t="shared" si="4"/>
        <v>tier - 1</v>
      </c>
      <c r="N2080" s="9" t="str">
        <f t="shared" si="5"/>
        <v>R1011</v>
      </c>
      <c r="O2080" s="17">
        <f t="shared" si="6"/>
        <v>45</v>
      </c>
      <c r="P2080" s="18">
        <v>28461.0</v>
      </c>
    </row>
    <row r="2081" ht="15.75" customHeight="1">
      <c r="A2081" s="9" t="s">
        <v>247</v>
      </c>
      <c r="B2081" s="17">
        <v>1966.0</v>
      </c>
      <c r="C2081" s="9" t="s">
        <v>4730</v>
      </c>
      <c r="D2081" s="9">
        <v>24.0</v>
      </c>
      <c r="E2081" s="18">
        <f t="shared" si="1"/>
        <v>24282</v>
      </c>
      <c r="F2081" s="9">
        <v>0.0</v>
      </c>
      <c r="G2081" s="19">
        <v>39396.86</v>
      </c>
      <c r="H2081" s="9" t="s">
        <v>4723</v>
      </c>
      <c r="I2081" s="9" t="s">
        <v>4723</v>
      </c>
      <c r="J2081" s="9" t="s">
        <v>4719</v>
      </c>
      <c r="K2081" s="20">
        <f t="shared" si="2"/>
        <v>1966</v>
      </c>
      <c r="L2081" s="9" t="str">
        <f t="shared" si="3"/>
        <v>tier - 2</v>
      </c>
      <c r="M2081" s="9" t="str">
        <f t="shared" si="4"/>
        <v>tier - 2</v>
      </c>
      <c r="N2081" s="9" t="str">
        <f t="shared" si="5"/>
        <v>R1011</v>
      </c>
      <c r="O2081" s="17">
        <f t="shared" si="6"/>
        <v>56</v>
      </c>
      <c r="P2081" s="18">
        <v>24282.0</v>
      </c>
    </row>
    <row r="2082" ht="15.75" customHeight="1">
      <c r="A2082" s="9" t="s">
        <v>2459</v>
      </c>
      <c r="B2082" s="17">
        <v>1970.0</v>
      </c>
      <c r="C2082" s="9" t="s">
        <v>4716</v>
      </c>
      <c r="D2082" s="9">
        <v>12.0</v>
      </c>
      <c r="E2082" s="18">
        <f t="shared" si="1"/>
        <v>25792</v>
      </c>
      <c r="F2082" s="9">
        <v>0.0</v>
      </c>
      <c r="G2082" s="19">
        <v>9140.95</v>
      </c>
      <c r="H2082" s="9" t="s">
        <v>4717</v>
      </c>
      <c r="I2082" s="9" t="s">
        <v>4717</v>
      </c>
      <c r="J2082" s="9" t="s">
        <v>4743</v>
      </c>
      <c r="K2082" s="20">
        <f t="shared" si="2"/>
        <v>1970</v>
      </c>
      <c r="L2082" s="9" t="str">
        <f t="shared" si="3"/>
        <v>tier - 3</v>
      </c>
      <c r="M2082" s="9" t="str">
        <f t="shared" si="4"/>
        <v>tier - 3</v>
      </c>
      <c r="N2082" s="9" t="str">
        <f t="shared" si="5"/>
        <v>R1013</v>
      </c>
      <c r="O2082" s="17">
        <f t="shared" si="6"/>
        <v>52</v>
      </c>
      <c r="P2082" s="18">
        <v>25792.0</v>
      </c>
    </row>
    <row r="2083" ht="15.75" customHeight="1">
      <c r="A2083" s="9" t="s">
        <v>2457</v>
      </c>
      <c r="B2083" s="17">
        <v>1970.0</v>
      </c>
      <c r="C2083" s="9" t="s">
        <v>4720</v>
      </c>
      <c r="D2083" s="9">
        <v>18.0</v>
      </c>
      <c r="E2083" s="18">
        <f t="shared" si="1"/>
        <v>25859</v>
      </c>
      <c r="F2083" s="9">
        <v>0.0</v>
      </c>
      <c r="G2083" s="19">
        <v>9144.57</v>
      </c>
      <c r="H2083" s="9" t="s">
        <v>4717</v>
      </c>
      <c r="I2083" s="9" t="s">
        <v>4723</v>
      </c>
      <c r="J2083" s="9" t="s">
        <v>4719</v>
      </c>
      <c r="K2083" s="20">
        <f t="shared" si="2"/>
        <v>1970</v>
      </c>
      <c r="L2083" s="9" t="str">
        <f t="shared" si="3"/>
        <v>tier - 3</v>
      </c>
      <c r="M2083" s="9" t="str">
        <f t="shared" si="4"/>
        <v>tier - 2</v>
      </c>
      <c r="N2083" s="9" t="str">
        <f t="shared" si="5"/>
        <v>R1011</v>
      </c>
      <c r="O2083" s="17">
        <f t="shared" si="6"/>
        <v>52</v>
      </c>
      <c r="P2083" s="18">
        <v>25859.0</v>
      </c>
    </row>
    <row r="2084" ht="15.75" customHeight="1">
      <c r="A2084" s="9" t="s">
        <v>2455</v>
      </c>
      <c r="B2084" s="17">
        <v>1982.0</v>
      </c>
      <c r="C2084" s="9" t="s">
        <v>4725</v>
      </c>
      <c r="D2084" s="9">
        <v>8.0</v>
      </c>
      <c r="E2084" s="18">
        <f t="shared" si="1"/>
        <v>30293</v>
      </c>
      <c r="F2084" s="9">
        <v>3.0</v>
      </c>
      <c r="G2084" s="19">
        <v>9147.5</v>
      </c>
      <c r="H2084" s="9" t="s">
        <v>4723</v>
      </c>
      <c r="I2084" s="9" t="s">
        <v>4718</v>
      </c>
      <c r="J2084" s="9" t="s">
        <v>4733</v>
      </c>
      <c r="K2084" s="20">
        <f t="shared" si="2"/>
        <v>1982</v>
      </c>
      <c r="L2084" s="9" t="str">
        <f t="shared" si="3"/>
        <v>tier - 2</v>
      </c>
      <c r="M2084" s="9" t="str">
        <f t="shared" si="4"/>
        <v>tier - 1</v>
      </c>
      <c r="N2084" s="9" t="str">
        <f t="shared" si="5"/>
        <v>R1012</v>
      </c>
      <c r="O2084" s="17">
        <f t="shared" si="6"/>
        <v>40</v>
      </c>
      <c r="P2084" s="18">
        <v>30293.0</v>
      </c>
    </row>
    <row r="2085" ht="15.75" customHeight="1">
      <c r="A2085" s="9" t="s">
        <v>2453</v>
      </c>
      <c r="B2085" s="17">
        <v>1990.0</v>
      </c>
      <c r="C2085" s="9" t="s">
        <v>4716</v>
      </c>
      <c r="D2085" s="9">
        <v>23.0</v>
      </c>
      <c r="E2085" s="18">
        <f t="shared" si="1"/>
        <v>33108</v>
      </c>
      <c r="F2085" s="9">
        <v>3.0</v>
      </c>
      <c r="G2085" s="19">
        <v>9159.51</v>
      </c>
      <c r="H2085" s="9" t="s">
        <v>4723</v>
      </c>
      <c r="I2085" s="9" t="s">
        <v>4723</v>
      </c>
      <c r="J2085" s="9" t="s">
        <v>4751</v>
      </c>
      <c r="K2085" s="20">
        <f t="shared" si="2"/>
        <v>1990</v>
      </c>
      <c r="L2085" s="9" t="str">
        <f t="shared" si="3"/>
        <v>tier - 2</v>
      </c>
      <c r="M2085" s="9" t="str">
        <f t="shared" si="4"/>
        <v>tier - 2</v>
      </c>
      <c r="N2085" s="9" t="str">
        <f t="shared" si="5"/>
        <v>R1021</v>
      </c>
      <c r="O2085" s="17">
        <f t="shared" si="6"/>
        <v>32</v>
      </c>
      <c r="P2085" s="18">
        <v>33108.0</v>
      </c>
    </row>
    <row r="2086" ht="15.75" customHeight="1">
      <c r="A2086" s="9" t="s">
        <v>2451</v>
      </c>
      <c r="B2086" s="17">
        <v>1970.0</v>
      </c>
      <c r="C2086" s="9" t="s">
        <v>4720</v>
      </c>
      <c r="D2086" s="9">
        <v>24.0</v>
      </c>
      <c r="E2086" s="18">
        <f t="shared" si="1"/>
        <v>25865</v>
      </c>
      <c r="F2086" s="9">
        <v>0.0</v>
      </c>
      <c r="G2086" s="19">
        <v>9171.75</v>
      </c>
      <c r="H2086" s="9" t="s">
        <v>4723</v>
      </c>
      <c r="I2086" s="9" t="s">
        <v>4723</v>
      </c>
      <c r="J2086" s="9" t="s">
        <v>4733</v>
      </c>
      <c r="K2086" s="20">
        <f t="shared" si="2"/>
        <v>1970</v>
      </c>
      <c r="L2086" s="9" t="str">
        <f t="shared" si="3"/>
        <v>tier - 2</v>
      </c>
      <c r="M2086" s="9" t="str">
        <f t="shared" si="4"/>
        <v>tier - 2</v>
      </c>
      <c r="N2086" s="9" t="str">
        <f t="shared" si="5"/>
        <v>R1012</v>
      </c>
      <c r="O2086" s="17">
        <f t="shared" si="6"/>
        <v>52</v>
      </c>
      <c r="P2086" s="18">
        <v>25865.0</v>
      </c>
    </row>
    <row r="2087" ht="15.75" customHeight="1">
      <c r="A2087" s="9" t="s">
        <v>2449</v>
      </c>
      <c r="B2087" s="17">
        <v>1971.0</v>
      </c>
      <c r="C2087" s="9" t="s">
        <v>4725</v>
      </c>
      <c r="D2087" s="9">
        <v>29.0</v>
      </c>
      <c r="E2087" s="18">
        <f t="shared" si="1"/>
        <v>26296</v>
      </c>
      <c r="F2087" s="9">
        <v>0.0</v>
      </c>
      <c r="G2087" s="19">
        <v>9174.14</v>
      </c>
      <c r="H2087" s="9" t="s">
        <v>4717</v>
      </c>
      <c r="I2087" s="9" t="s">
        <v>4718</v>
      </c>
      <c r="J2087" s="9" t="s">
        <v>4733</v>
      </c>
      <c r="K2087" s="20">
        <f t="shared" si="2"/>
        <v>1971</v>
      </c>
      <c r="L2087" s="9" t="str">
        <f t="shared" si="3"/>
        <v>tier - 3</v>
      </c>
      <c r="M2087" s="9" t="str">
        <f t="shared" si="4"/>
        <v>tier - 1</v>
      </c>
      <c r="N2087" s="9" t="str">
        <f t="shared" si="5"/>
        <v>R1012</v>
      </c>
      <c r="O2087" s="17">
        <f t="shared" si="6"/>
        <v>51</v>
      </c>
      <c r="P2087" s="18">
        <v>26296.0</v>
      </c>
    </row>
    <row r="2088" ht="15.75" customHeight="1">
      <c r="A2088" s="9" t="s">
        <v>2447</v>
      </c>
      <c r="B2088" s="17">
        <v>1973.0</v>
      </c>
      <c r="C2088" s="9" t="s">
        <v>4725</v>
      </c>
      <c r="D2088" s="9">
        <v>25.0</v>
      </c>
      <c r="E2088" s="18">
        <f t="shared" si="1"/>
        <v>27023</v>
      </c>
      <c r="F2088" s="9">
        <v>1.0</v>
      </c>
      <c r="G2088" s="19">
        <v>9182.17</v>
      </c>
      <c r="H2088" s="9" t="s">
        <v>4723</v>
      </c>
      <c r="I2088" s="9" t="s">
        <v>4717</v>
      </c>
      <c r="J2088" s="9" t="s">
        <v>4719</v>
      </c>
      <c r="K2088" s="20">
        <f t="shared" si="2"/>
        <v>1973</v>
      </c>
      <c r="L2088" s="9" t="str">
        <f t="shared" si="3"/>
        <v>tier - 2</v>
      </c>
      <c r="M2088" s="9" t="str">
        <f t="shared" si="4"/>
        <v>tier - 3</v>
      </c>
      <c r="N2088" s="9" t="str">
        <f t="shared" si="5"/>
        <v>R1011</v>
      </c>
      <c r="O2088" s="17">
        <f t="shared" si="6"/>
        <v>49</v>
      </c>
      <c r="P2088" s="18">
        <v>27023.0</v>
      </c>
    </row>
    <row r="2089" ht="15.75" customHeight="1">
      <c r="A2089" s="9" t="s">
        <v>2445</v>
      </c>
      <c r="B2089" s="17">
        <v>1976.0</v>
      </c>
      <c r="C2089" s="9" t="s">
        <v>4738</v>
      </c>
      <c r="D2089" s="9">
        <v>10.0</v>
      </c>
      <c r="E2089" s="18">
        <f t="shared" si="1"/>
        <v>28013</v>
      </c>
      <c r="F2089" s="9">
        <v>2.0</v>
      </c>
      <c r="G2089" s="19">
        <v>9193.84</v>
      </c>
      <c r="H2089" s="9" t="s">
        <v>4723</v>
      </c>
      <c r="I2089" s="9" t="s">
        <v>4718</v>
      </c>
      <c r="J2089" s="9" t="s">
        <v>4733</v>
      </c>
      <c r="K2089" s="20">
        <f t="shared" si="2"/>
        <v>1976</v>
      </c>
      <c r="L2089" s="9" t="str">
        <f t="shared" si="3"/>
        <v>tier - 2</v>
      </c>
      <c r="M2089" s="9" t="str">
        <f t="shared" si="4"/>
        <v>tier - 1</v>
      </c>
      <c r="N2089" s="9" t="str">
        <f t="shared" si="5"/>
        <v>R1012</v>
      </c>
      <c r="O2089" s="17">
        <f t="shared" si="6"/>
        <v>46</v>
      </c>
      <c r="P2089" s="18">
        <v>28013.0</v>
      </c>
    </row>
    <row r="2090" ht="15.75" customHeight="1">
      <c r="A2090" s="9" t="s">
        <v>2443</v>
      </c>
      <c r="B2090" s="17">
        <v>1986.0</v>
      </c>
      <c r="C2090" s="9" t="s">
        <v>4725</v>
      </c>
      <c r="D2090" s="9">
        <v>25.0</v>
      </c>
      <c r="E2090" s="18">
        <f t="shared" si="1"/>
        <v>31771</v>
      </c>
      <c r="F2090" s="9">
        <v>3.0</v>
      </c>
      <c r="G2090" s="19">
        <v>9210.06</v>
      </c>
      <c r="H2090" s="9" t="s">
        <v>4723</v>
      </c>
      <c r="I2090" s="9" t="s">
        <v>4717</v>
      </c>
      <c r="J2090" s="9" t="s">
        <v>4751</v>
      </c>
      <c r="K2090" s="20">
        <f t="shared" si="2"/>
        <v>1986</v>
      </c>
      <c r="L2090" s="9" t="str">
        <f t="shared" si="3"/>
        <v>tier - 2</v>
      </c>
      <c r="M2090" s="9" t="str">
        <f t="shared" si="4"/>
        <v>tier - 3</v>
      </c>
      <c r="N2090" s="9" t="str">
        <f t="shared" si="5"/>
        <v>R1021</v>
      </c>
      <c r="O2090" s="17">
        <f t="shared" si="6"/>
        <v>36</v>
      </c>
      <c r="P2090" s="18">
        <v>31771.0</v>
      </c>
    </row>
    <row r="2091" ht="15.75" customHeight="1">
      <c r="A2091" s="9" t="s">
        <v>2441</v>
      </c>
      <c r="B2091" s="17">
        <v>1981.0</v>
      </c>
      <c r="C2091" s="9" t="s">
        <v>4725</v>
      </c>
      <c r="D2091" s="9">
        <v>5.0</v>
      </c>
      <c r="E2091" s="18">
        <f t="shared" si="1"/>
        <v>29925</v>
      </c>
      <c r="F2091" s="9">
        <v>5.0</v>
      </c>
      <c r="G2091" s="19">
        <v>9222.4</v>
      </c>
      <c r="H2091" s="9" t="s">
        <v>4723</v>
      </c>
      <c r="I2091" s="9" t="s">
        <v>4717</v>
      </c>
      <c r="J2091" s="9" t="s">
        <v>4728</v>
      </c>
      <c r="K2091" s="20">
        <f t="shared" si="2"/>
        <v>1981</v>
      </c>
      <c r="L2091" s="9" t="str">
        <f t="shared" si="3"/>
        <v>tier - 2</v>
      </c>
      <c r="M2091" s="9" t="str">
        <f t="shared" si="4"/>
        <v>tier - 3</v>
      </c>
      <c r="N2091" s="9" t="str">
        <f t="shared" si="5"/>
        <v>R1019</v>
      </c>
      <c r="O2091" s="17">
        <f t="shared" si="6"/>
        <v>41</v>
      </c>
      <c r="P2091" s="18">
        <v>29925.0</v>
      </c>
    </row>
    <row r="2092" ht="15.75" customHeight="1">
      <c r="A2092" s="9" t="s">
        <v>245</v>
      </c>
      <c r="B2092" s="17">
        <v>1978.0</v>
      </c>
      <c r="C2092" s="9" t="s">
        <v>4741</v>
      </c>
      <c r="D2092" s="9">
        <v>12.0</v>
      </c>
      <c r="E2092" s="18">
        <f t="shared" si="1"/>
        <v>28683</v>
      </c>
      <c r="F2092" s="9">
        <v>1.0</v>
      </c>
      <c r="G2092" s="19">
        <v>39556.49</v>
      </c>
      <c r="H2092" s="9" t="s">
        <v>4718</v>
      </c>
      <c r="I2092" s="9" t="s">
        <v>4723</v>
      </c>
      <c r="J2092" s="9" t="s">
        <v>4757</v>
      </c>
      <c r="K2092" s="20">
        <f t="shared" si="2"/>
        <v>1978</v>
      </c>
      <c r="L2092" s="9" t="str">
        <f t="shared" si="3"/>
        <v>tier - 1</v>
      </c>
      <c r="M2092" s="9" t="str">
        <f t="shared" si="4"/>
        <v>tier - 2</v>
      </c>
      <c r="N2092" s="9" t="str">
        <f t="shared" si="5"/>
        <v>R1015</v>
      </c>
      <c r="O2092" s="17">
        <f t="shared" si="6"/>
        <v>44</v>
      </c>
      <c r="P2092" s="18">
        <v>28683.0</v>
      </c>
    </row>
    <row r="2093" ht="15.75" customHeight="1">
      <c r="A2093" s="9" t="s">
        <v>2439</v>
      </c>
      <c r="B2093" s="17">
        <v>1975.0</v>
      </c>
      <c r="C2093" s="9" t="s">
        <v>4725</v>
      </c>
      <c r="D2093" s="9">
        <v>6.0</v>
      </c>
      <c r="E2093" s="18">
        <f t="shared" si="1"/>
        <v>27734</v>
      </c>
      <c r="F2093" s="9">
        <v>2.0</v>
      </c>
      <c r="G2093" s="19">
        <v>9225.26</v>
      </c>
      <c r="H2093" s="9" t="s">
        <v>4717</v>
      </c>
      <c r="I2093" s="9" t="s">
        <v>4717</v>
      </c>
      <c r="J2093" s="9" t="s">
        <v>4757</v>
      </c>
      <c r="K2093" s="20">
        <f t="shared" si="2"/>
        <v>1975</v>
      </c>
      <c r="L2093" s="9" t="str">
        <f t="shared" si="3"/>
        <v>tier - 3</v>
      </c>
      <c r="M2093" s="9" t="str">
        <f t="shared" si="4"/>
        <v>tier - 3</v>
      </c>
      <c r="N2093" s="9" t="str">
        <f t="shared" si="5"/>
        <v>R1015</v>
      </c>
      <c r="O2093" s="17">
        <f t="shared" si="6"/>
        <v>47</v>
      </c>
      <c r="P2093" s="18">
        <v>27734.0</v>
      </c>
    </row>
    <row r="2094" ht="15.75" customHeight="1">
      <c r="A2094" s="9" t="s">
        <v>2437</v>
      </c>
      <c r="B2094" s="17">
        <v>1980.0</v>
      </c>
      <c r="C2094" s="9" t="s">
        <v>4720</v>
      </c>
      <c r="D2094" s="9">
        <v>5.0</v>
      </c>
      <c r="E2094" s="18">
        <f t="shared" si="1"/>
        <v>29499</v>
      </c>
      <c r="F2094" s="9">
        <v>2.0</v>
      </c>
      <c r="G2094" s="19">
        <v>9247.94</v>
      </c>
      <c r="H2094" s="9" t="s">
        <v>4723</v>
      </c>
      <c r="I2094" s="9" t="s">
        <v>4718</v>
      </c>
      <c r="J2094" s="9" t="s">
        <v>4751</v>
      </c>
      <c r="K2094" s="20">
        <f t="shared" si="2"/>
        <v>1980</v>
      </c>
      <c r="L2094" s="9" t="str">
        <f t="shared" si="3"/>
        <v>tier - 2</v>
      </c>
      <c r="M2094" s="9" t="str">
        <f t="shared" si="4"/>
        <v>tier - 1</v>
      </c>
      <c r="N2094" s="9" t="str">
        <f t="shared" si="5"/>
        <v>R1021</v>
      </c>
      <c r="O2094" s="17">
        <f t="shared" si="6"/>
        <v>42</v>
      </c>
      <c r="P2094" s="18">
        <v>29499.0</v>
      </c>
    </row>
    <row r="2095" ht="15.75" customHeight="1">
      <c r="A2095" s="9" t="s">
        <v>2435</v>
      </c>
      <c r="B2095" s="17">
        <v>1974.0</v>
      </c>
      <c r="C2095" s="9" t="s">
        <v>4716</v>
      </c>
      <c r="D2095" s="9">
        <v>21.0</v>
      </c>
      <c r="E2095" s="18">
        <f t="shared" si="1"/>
        <v>27262</v>
      </c>
      <c r="F2095" s="9">
        <v>1.0</v>
      </c>
      <c r="G2095" s="19">
        <v>9249.5</v>
      </c>
      <c r="H2095" s="9" t="s">
        <v>4723</v>
      </c>
      <c r="I2095" s="9" t="s">
        <v>4718</v>
      </c>
      <c r="J2095" s="9" t="s">
        <v>4733</v>
      </c>
      <c r="K2095" s="20">
        <f t="shared" si="2"/>
        <v>1974</v>
      </c>
      <c r="L2095" s="9" t="str">
        <f t="shared" si="3"/>
        <v>tier - 2</v>
      </c>
      <c r="M2095" s="9" t="str">
        <f t="shared" si="4"/>
        <v>tier - 1</v>
      </c>
      <c r="N2095" s="9" t="str">
        <f t="shared" si="5"/>
        <v>R1012</v>
      </c>
      <c r="O2095" s="17">
        <f t="shared" si="6"/>
        <v>48</v>
      </c>
      <c r="P2095" s="18">
        <v>27262.0</v>
      </c>
    </row>
    <row r="2096" ht="15.75" customHeight="1">
      <c r="A2096" s="9" t="s">
        <v>2433</v>
      </c>
      <c r="B2096" s="17">
        <v>1971.0</v>
      </c>
      <c r="C2096" s="9" t="s">
        <v>4716</v>
      </c>
      <c r="D2096" s="9">
        <v>6.0</v>
      </c>
      <c r="E2096" s="18">
        <f t="shared" si="1"/>
        <v>26151</v>
      </c>
      <c r="F2096" s="9">
        <v>0.0</v>
      </c>
      <c r="G2096" s="19">
        <v>9264.8</v>
      </c>
      <c r="H2096" s="9" t="s">
        <v>4723</v>
      </c>
      <c r="I2096" s="9" t="s">
        <v>4718</v>
      </c>
      <c r="J2096" s="9" t="s">
        <v>4719</v>
      </c>
      <c r="K2096" s="20">
        <f t="shared" si="2"/>
        <v>1971</v>
      </c>
      <c r="L2096" s="9" t="str">
        <f t="shared" si="3"/>
        <v>tier - 2</v>
      </c>
      <c r="M2096" s="9" t="str">
        <f t="shared" si="4"/>
        <v>tier - 1</v>
      </c>
      <c r="N2096" s="9" t="str">
        <f t="shared" si="5"/>
        <v>R1011</v>
      </c>
      <c r="O2096" s="17">
        <f t="shared" si="6"/>
        <v>51</v>
      </c>
      <c r="P2096" s="18">
        <v>26151.0</v>
      </c>
    </row>
    <row r="2097" ht="15.75" customHeight="1">
      <c r="A2097" s="9" t="s">
        <v>2431</v>
      </c>
      <c r="B2097" s="17">
        <v>1973.0</v>
      </c>
      <c r="C2097" s="9" t="s">
        <v>4720</v>
      </c>
      <c r="D2097" s="9">
        <v>27.0</v>
      </c>
      <c r="E2097" s="18">
        <f t="shared" si="1"/>
        <v>26964</v>
      </c>
      <c r="F2097" s="9">
        <v>1.0</v>
      </c>
      <c r="G2097" s="19">
        <v>9282.48</v>
      </c>
      <c r="H2097" s="9" t="s">
        <v>4717</v>
      </c>
      <c r="I2097" s="9" t="s">
        <v>4723</v>
      </c>
      <c r="J2097" s="9" t="s">
        <v>4754</v>
      </c>
      <c r="K2097" s="20">
        <f t="shared" si="2"/>
        <v>1973</v>
      </c>
      <c r="L2097" s="9" t="str">
        <f t="shared" si="3"/>
        <v>tier - 3</v>
      </c>
      <c r="M2097" s="9" t="str">
        <f t="shared" si="4"/>
        <v>tier - 2</v>
      </c>
      <c r="N2097" s="9" t="str">
        <f t="shared" si="5"/>
        <v>R1016</v>
      </c>
      <c r="O2097" s="17">
        <f t="shared" si="6"/>
        <v>49</v>
      </c>
      <c r="P2097" s="18">
        <v>26964.0</v>
      </c>
    </row>
    <row r="2098" ht="15.75" customHeight="1">
      <c r="A2098" s="9" t="s">
        <v>2429</v>
      </c>
      <c r="B2098" s="17">
        <v>1971.0</v>
      </c>
      <c r="C2098" s="9" t="s">
        <v>4741</v>
      </c>
      <c r="D2098" s="9">
        <v>2.0</v>
      </c>
      <c r="E2098" s="18">
        <f t="shared" si="1"/>
        <v>26116</v>
      </c>
      <c r="F2098" s="9">
        <v>0.0</v>
      </c>
      <c r="G2098" s="19">
        <v>9283.56</v>
      </c>
      <c r="H2098" s="9" t="s">
        <v>4723</v>
      </c>
      <c r="I2098" s="9" t="s">
        <v>4717</v>
      </c>
      <c r="J2098" s="9" t="s">
        <v>4743</v>
      </c>
      <c r="K2098" s="20">
        <f t="shared" si="2"/>
        <v>1971</v>
      </c>
      <c r="L2098" s="9" t="str">
        <f t="shared" si="3"/>
        <v>tier - 2</v>
      </c>
      <c r="M2098" s="9" t="str">
        <f t="shared" si="4"/>
        <v>tier - 3</v>
      </c>
      <c r="N2098" s="9" t="str">
        <f t="shared" si="5"/>
        <v>R1013</v>
      </c>
      <c r="O2098" s="17">
        <f t="shared" si="6"/>
        <v>51</v>
      </c>
      <c r="P2098" s="18">
        <v>26116.0</v>
      </c>
    </row>
    <row r="2099" ht="15.75" customHeight="1">
      <c r="A2099" s="9" t="s">
        <v>2427</v>
      </c>
      <c r="B2099" s="17">
        <v>1969.0</v>
      </c>
      <c r="C2099" s="9" t="s">
        <v>4735</v>
      </c>
      <c r="D2099" s="9">
        <v>26.0</v>
      </c>
      <c r="E2099" s="18">
        <f t="shared" si="1"/>
        <v>25533</v>
      </c>
      <c r="F2099" s="9">
        <v>0.0</v>
      </c>
      <c r="G2099" s="19">
        <v>9285.87</v>
      </c>
      <c r="H2099" s="9" t="s">
        <v>4723</v>
      </c>
      <c r="I2099" s="9" t="s">
        <v>4717</v>
      </c>
      <c r="J2099" s="9" t="s">
        <v>4743</v>
      </c>
      <c r="K2099" s="20">
        <f t="shared" si="2"/>
        <v>1969</v>
      </c>
      <c r="L2099" s="9" t="str">
        <f t="shared" si="3"/>
        <v>tier - 2</v>
      </c>
      <c r="M2099" s="9" t="str">
        <f t="shared" si="4"/>
        <v>tier - 3</v>
      </c>
      <c r="N2099" s="9" t="str">
        <f t="shared" si="5"/>
        <v>R1013</v>
      </c>
      <c r="O2099" s="17">
        <f t="shared" si="6"/>
        <v>53</v>
      </c>
      <c r="P2099" s="18">
        <v>25533.0</v>
      </c>
    </row>
    <row r="2100" ht="15.75" customHeight="1">
      <c r="A2100" s="9" t="s">
        <v>2425</v>
      </c>
      <c r="B2100" s="17">
        <v>1973.0</v>
      </c>
      <c r="C2100" s="9" t="s">
        <v>4720</v>
      </c>
      <c r="D2100" s="9">
        <v>16.0</v>
      </c>
      <c r="E2100" s="18">
        <f t="shared" si="1"/>
        <v>26953</v>
      </c>
      <c r="F2100" s="9">
        <v>1.0</v>
      </c>
      <c r="G2100" s="19">
        <v>9288.03</v>
      </c>
      <c r="H2100" s="9" t="s">
        <v>4723</v>
      </c>
      <c r="I2100" s="9" t="s">
        <v>4717</v>
      </c>
      <c r="J2100" s="9" t="s">
        <v>4750</v>
      </c>
      <c r="K2100" s="20">
        <f t="shared" si="2"/>
        <v>1973</v>
      </c>
      <c r="L2100" s="9" t="str">
        <f t="shared" si="3"/>
        <v>tier - 2</v>
      </c>
      <c r="M2100" s="9" t="str">
        <f t="shared" si="4"/>
        <v>tier - 3</v>
      </c>
      <c r="N2100" s="9" t="str">
        <f t="shared" si="5"/>
        <v>R1018</v>
      </c>
      <c r="O2100" s="17">
        <f t="shared" si="6"/>
        <v>49</v>
      </c>
      <c r="P2100" s="18">
        <v>26953.0</v>
      </c>
    </row>
    <row r="2101" ht="15.75" customHeight="1">
      <c r="A2101" s="9" t="s">
        <v>2423</v>
      </c>
      <c r="B2101" s="17">
        <v>1973.0</v>
      </c>
      <c r="C2101" s="9" t="s">
        <v>4738</v>
      </c>
      <c r="D2101" s="9">
        <v>18.0</v>
      </c>
      <c r="E2101" s="18">
        <f t="shared" si="1"/>
        <v>26925</v>
      </c>
      <c r="F2101" s="9">
        <v>1.0</v>
      </c>
      <c r="G2101" s="19">
        <v>9290.14</v>
      </c>
      <c r="H2101" s="9" t="s">
        <v>4717</v>
      </c>
      <c r="I2101" s="9" t="s">
        <v>4717</v>
      </c>
      <c r="J2101" s="9" t="s">
        <v>4754</v>
      </c>
      <c r="K2101" s="20">
        <f t="shared" si="2"/>
        <v>1973</v>
      </c>
      <c r="L2101" s="9" t="str">
        <f t="shared" si="3"/>
        <v>tier - 3</v>
      </c>
      <c r="M2101" s="9" t="str">
        <f t="shared" si="4"/>
        <v>tier - 3</v>
      </c>
      <c r="N2101" s="9" t="str">
        <f t="shared" si="5"/>
        <v>R1016</v>
      </c>
      <c r="O2101" s="17">
        <f t="shared" si="6"/>
        <v>49</v>
      </c>
      <c r="P2101" s="18">
        <v>26925.0</v>
      </c>
    </row>
    <row r="2102" ht="15.75" customHeight="1">
      <c r="A2102" s="9" t="s">
        <v>2421</v>
      </c>
      <c r="B2102" s="17">
        <v>1976.0</v>
      </c>
      <c r="C2102" s="9" t="s">
        <v>4735</v>
      </c>
      <c r="D2102" s="9">
        <v>3.0</v>
      </c>
      <c r="E2102" s="18">
        <f t="shared" si="1"/>
        <v>28067</v>
      </c>
      <c r="F2102" s="9">
        <v>3.0</v>
      </c>
      <c r="G2102" s="19">
        <v>9301.89</v>
      </c>
      <c r="H2102" s="9" t="s">
        <v>4723</v>
      </c>
      <c r="I2102" s="9" t="s">
        <v>4718</v>
      </c>
      <c r="J2102" s="9" t="s">
        <v>4733</v>
      </c>
      <c r="K2102" s="20">
        <f t="shared" si="2"/>
        <v>1976</v>
      </c>
      <c r="L2102" s="9" t="str">
        <f t="shared" si="3"/>
        <v>tier - 2</v>
      </c>
      <c r="M2102" s="9" t="str">
        <f t="shared" si="4"/>
        <v>tier - 1</v>
      </c>
      <c r="N2102" s="9" t="str">
        <f t="shared" si="5"/>
        <v>R1012</v>
      </c>
      <c r="O2102" s="17">
        <f t="shared" si="6"/>
        <v>46</v>
      </c>
      <c r="P2102" s="18">
        <v>28067.0</v>
      </c>
    </row>
    <row r="2103" ht="15.75" customHeight="1">
      <c r="A2103" s="9" t="s">
        <v>243</v>
      </c>
      <c r="B2103" s="17">
        <v>1981.0</v>
      </c>
      <c r="C2103" s="9" t="s">
        <v>4741</v>
      </c>
      <c r="D2103" s="9">
        <v>5.0</v>
      </c>
      <c r="E2103" s="18">
        <f t="shared" si="1"/>
        <v>29772</v>
      </c>
      <c r="F2103" s="9">
        <v>3.0</v>
      </c>
      <c r="G2103" s="19">
        <v>39597.41</v>
      </c>
      <c r="H2103" s="9" t="s">
        <v>4718</v>
      </c>
      <c r="I2103" s="9" t="s">
        <v>4723</v>
      </c>
      <c r="J2103" s="9" t="s">
        <v>4753</v>
      </c>
      <c r="K2103" s="20">
        <f t="shared" si="2"/>
        <v>1981</v>
      </c>
      <c r="L2103" s="9" t="str">
        <f t="shared" si="3"/>
        <v>tier - 1</v>
      </c>
      <c r="M2103" s="9" t="str">
        <f t="shared" si="4"/>
        <v>tier - 2</v>
      </c>
      <c r="N2103" s="9" t="str">
        <f t="shared" si="5"/>
        <v>R1017</v>
      </c>
      <c r="O2103" s="17">
        <f t="shared" si="6"/>
        <v>41</v>
      </c>
      <c r="P2103" s="18">
        <v>29772.0</v>
      </c>
    </row>
    <row r="2104" ht="15.75" customHeight="1">
      <c r="A2104" s="9" t="s">
        <v>2419</v>
      </c>
      <c r="B2104" s="17">
        <v>1973.0</v>
      </c>
      <c r="C2104" s="9" t="s">
        <v>4720</v>
      </c>
      <c r="D2104" s="9">
        <v>16.0</v>
      </c>
      <c r="E2104" s="18">
        <f t="shared" si="1"/>
        <v>26953</v>
      </c>
      <c r="F2104" s="9">
        <v>2.0</v>
      </c>
      <c r="G2104" s="19">
        <v>9304.7</v>
      </c>
      <c r="H2104" s="9" t="s">
        <v>4717</v>
      </c>
      <c r="I2104" s="9" t="s">
        <v>4717</v>
      </c>
      <c r="J2104" s="9" t="s">
        <v>4743</v>
      </c>
      <c r="K2104" s="20">
        <f t="shared" si="2"/>
        <v>1973</v>
      </c>
      <c r="L2104" s="9" t="str">
        <f t="shared" si="3"/>
        <v>tier - 3</v>
      </c>
      <c r="M2104" s="9" t="str">
        <f t="shared" si="4"/>
        <v>tier - 3</v>
      </c>
      <c r="N2104" s="9" t="str">
        <f t="shared" si="5"/>
        <v>R1013</v>
      </c>
      <c r="O2104" s="17">
        <f t="shared" si="6"/>
        <v>49</v>
      </c>
      <c r="P2104" s="18">
        <v>26953.0</v>
      </c>
    </row>
    <row r="2105" ht="15.75" customHeight="1">
      <c r="A2105" s="9" t="s">
        <v>2417</v>
      </c>
      <c r="B2105" s="17">
        <v>1963.0</v>
      </c>
      <c r="C2105" s="9" t="s">
        <v>4730</v>
      </c>
      <c r="D2105" s="9">
        <v>8.0</v>
      </c>
      <c r="E2105" s="18">
        <f t="shared" si="1"/>
        <v>23170</v>
      </c>
      <c r="F2105" s="9">
        <v>0.0</v>
      </c>
      <c r="G2105" s="19">
        <v>9310.81</v>
      </c>
      <c r="H2105" s="9" t="s">
        <v>4717</v>
      </c>
      <c r="I2105" s="9" t="s">
        <v>4718</v>
      </c>
      <c r="J2105" s="9" t="s">
        <v>4743</v>
      </c>
      <c r="K2105" s="20">
        <f t="shared" si="2"/>
        <v>1963</v>
      </c>
      <c r="L2105" s="9" t="str">
        <f t="shared" si="3"/>
        <v>tier - 3</v>
      </c>
      <c r="M2105" s="9" t="str">
        <f t="shared" si="4"/>
        <v>tier - 1</v>
      </c>
      <c r="N2105" s="9" t="str">
        <f t="shared" si="5"/>
        <v>R1013</v>
      </c>
      <c r="O2105" s="17">
        <f t="shared" si="6"/>
        <v>60</v>
      </c>
      <c r="P2105" s="18">
        <v>23170.0</v>
      </c>
    </row>
    <row r="2106" ht="15.75" customHeight="1">
      <c r="A2106" s="9" t="s">
        <v>2415</v>
      </c>
      <c r="B2106" s="17">
        <v>1977.0</v>
      </c>
      <c r="C2106" s="9" t="s">
        <v>4720</v>
      </c>
      <c r="D2106" s="9">
        <v>12.0</v>
      </c>
      <c r="E2106" s="18">
        <f t="shared" si="1"/>
        <v>28410</v>
      </c>
      <c r="F2106" s="9">
        <v>2.0</v>
      </c>
      <c r="G2106" s="19">
        <v>9315.41</v>
      </c>
      <c r="H2106" s="9" t="s">
        <v>4723</v>
      </c>
      <c r="I2106" s="9" t="s">
        <v>4718</v>
      </c>
      <c r="J2106" s="9" t="s">
        <v>4731</v>
      </c>
      <c r="K2106" s="20">
        <f t="shared" si="2"/>
        <v>1977</v>
      </c>
      <c r="L2106" s="9" t="str">
        <f t="shared" si="3"/>
        <v>tier - 2</v>
      </c>
      <c r="M2106" s="9" t="str">
        <f t="shared" si="4"/>
        <v>tier - 1</v>
      </c>
      <c r="N2106" s="9" t="str">
        <f t="shared" si="5"/>
        <v>R1024</v>
      </c>
      <c r="O2106" s="17">
        <f t="shared" si="6"/>
        <v>45</v>
      </c>
      <c r="P2106" s="18">
        <v>28410.0</v>
      </c>
    </row>
    <row r="2107" ht="15.75" customHeight="1">
      <c r="A2107" s="9" t="s">
        <v>2413</v>
      </c>
      <c r="B2107" s="17">
        <v>1988.0</v>
      </c>
      <c r="C2107" s="9" t="s">
        <v>4741</v>
      </c>
      <c r="D2107" s="9">
        <v>9.0</v>
      </c>
      <c r="E2107" s="18">
        <f t="shared" si="1"/>
        <v>32333</v>
      </c>
      <c r="F2107" s="9">
        <v>3.0</v>
      </c>
      <c r="G2107" s="19">
        <v>9320.26</v>
      </c>
      <c r="H2107" s="9" t="s">
        <v>4723</v>
      </c>
      <c r="I2107" s="9" t="s">
        <v>4718</v>
      </c>
      <c r="J2107" s="9" t="s">
        <v>4733</v>
      </c>
      <c r="K2107" s="20">
        <f t="shared" si="2"/>
        <v>1988</v>
      </c>
      <c r="L2107" s="9" t="str">
        <f t="shared" si="3"/>
        <v>tier - 2</v>
      </c>
      <c r="M2107" s="9" t="str">
        <f t="shared" si="4"/>
        <v>tier - 1</v>
      </c>
      <c r="N2107" s="9" t="str">
        <f t="shared" si="5"/>
        <v>R1012</v>
      </c>
      <c r="O2107" s="17">
        <f t="shared" si="6"/>
        <v>34</v>
      </c>
      <c r="P2107" s="18">
        <v>32333.0</v>
      </c>
    </row>
    <row r="2108" ht="15.75" customHeight="1">
      <c r="A2108" s="9" t="s">
        <v>2411</v>
      </c>
      <c r="B2108" s="17">
        <v>1996.0</v>
      </c>
      <c r="C2108" s="9" t="s">
        <v>4720</v>
      </c>
      <c r="D2108" s="9">
        <v>12.0</v>
      </c>
      <c r="E2108" s="18">
        <f t="shared" si="1"/>
        <v>35350</v>
      </c>
      <c r="F2108" s="9">
        <v>0.0</v>
      </c>
      <c r="G2108" s="19">
        <v>9338.61</v>
      </c>
      <c r="H2108" s="9" t="s">
        <v>4723</v>
      </c>
      <c r="I2108" s="9" t="s">
        <v>4718</v>
      </c>
      <c r="J2108" s="9" t="s">
        <v>4721</v>
      </c>
      <c r="K2108" s="20">
        <f t="shared" si="2"/>
        <v>1996</v>
      </c>
      <c r="L2108" s="9" t="str">
        <f t="shared" si="3"/>
        <v>tier - 2</v>
      </c>
      <c r="M2108" s="9" t="str">
        <f t="shared" si="4"/>
        <v>tier - 1</v>
      </c>
      <c r="N2108" s="9" t="str">
        <f t="shared" si="5"/>
        <v>R1026</v>
      </c>
      <c r="O2108" s="17">
        <f t="shared" si="6"/>
        <v>26</v>
      </c>
      <c r="P2108" s="18">
        <v>35350.0</v>
      </c>
    </row>
    <row r="2109" ht="15.75" customHeight="1">
      <c r="A2109" s="9" t="s">
        <v>2409</v>
      </c>
      <c r="B2109" s="17">
        <v>1988.0</v>
      </c>
      <c r="C2109" s="9" t="s">
        <v>4741</v>
      </c>
      <c r="D2109" s="9">
        <v>1.0</v>
      </c>
      <c r="E2109" s="18">
        <f t="shared" si="1"/>
        <v>32325</v>
      </c>
      <c r="F2109" s="9">
        <v>3.0</v>
      </c>
      <c r="G2109" s="19">
        <v>9344.2</v>
      </c>
      <c r="H2109" s="9" t="s">
        <v>4723</v>
      </c>
      <c r="I2109" s="9" t="s">
        <v>4718</v>
      </c>
      <c r="J2109" s="9" t="s">
        <v>4751</v>
      </c>
      <c r="K2109" s="20">
        <f t="shared" si="2"/>
        <v>1988</v>
      </c>
      <c r="L2109" s="9" t="str">
        <f t="shared" si="3"/>
        <v>tier - 2</v>
      </c>
      <c r="M2109" s="9" t="str">
        <f t="shared" si="4"/>
        <v>tier - 1</v>
      </c>
      <c r="N2109" s="9" t="str">
        <f t="shared" si="5"/>
        <v>R1021</v>
      </c>
      <c r="O2109" s="17">
        <f t="shared" si="6"/>
        <v>34</v>
      </c>
      <c r="P2109" s="18">
        <v>32325.0</v>
      </c>
    </row>
    <row r="2110" ht="15.75" customHeight="1">
      <c r="A2110" s="9" t="s">
        <v>2407</v>
      </c>
      <c r="B2110" s="17">
        <v>1971.0</v>
      </c>
      <c r="C2110" s="9" t="s">
        <v>4720</v>
      </c>
      <c r="D2110" s="9">
        <v>8.0</v>
      </c>
      <c r="E2110" s="18">
        <f t="shared" si="1"/>
        <v>26214</v>
      </c>
      <c r="F2110" s="9">
        <v>0.0</v>
      </c>
      <c r="G2110" s="19">
        <v>9361.33</v>
      </c>
      <c r="H2110" s="9" t="s">
        <v>4717</v>
      </c>
      <c r="I2110" s="9" t="s">
        <v>4718</v>
      </c>
      <c r="J2110" s="9" t="s">
        <v>4754</v>
      </c>
      <c r="K2110" s="20">
        <f t="shared" si="2"/>
        <v>1971</v>
      </c>
      <c r="L2110" s="9" t="str">
        <f t="shared" si="3"/>
        <v>tier - 3</v>
      </c>
      <c r="M2110" s="9" t="str">
        <f t="shared" si="4"/>
        <v>tier - 1</v>
      </c>
      <c r="N2110" s="9" t="str">
        <f t="shared" si="5"/>
        <v>R1016</v>
      </c>
      <c r="O2110" s="17">
        <f t="shared" si="6"/>
        <v>51</v>
      </c>
      <c r="P2110" s="18">
        <v>26214.0</v>
      </c>
    </row>
    <row r="2111" ht="15.75" customHeight="1">
      <c r="A2111" s="9" t="s">
        <v>2405</v>
      </c>
      <c r="B2111" s="17">
        <v>1969.0</v>
      </c>
      <c r="C2111" s="9" t="s">
        <v>4735</v>
      </c>
      <c r="D2111" s="9">
        <v>24.0</v>
      </c>
      <c r="E2111" s="18">
        <f t="shared" si="1"/>
        <v>25531</v>
      </c>
      <c r="F2111" s="9">
        <v>0.0</v>
      </c>
      <c r="G2111" s="19">
        <v>9377.45</v>
      </c>
      <c r="H2111" s="9" t="s">
        <v>4723</v>
      </c>
      <c r="I2111" s="9" t="s">
        <v>4717</v>
      </c>
      <c r="J2111" s="9" t="s">
        <v>4743</v>
      </c>
      <c r="K2111" s="20">
        <f t="shared" si="2"/>
        <v>1969</v>
      </c>
      <c r="L2111" s="9" t="str">
        <f t="shared" si="3"/>
        <v>tier - 2</v>
      </c>
      <c r="M2111" s="9" t="str">
        <f t="shared" si="4"/>
        <v>tier - 3</v>
      </c>
      <c r="N2111" s="9" t="str">
        <f t="shared" si="5"/>
        <v>R1013</v>
      </c>
      <c r="O2111" s="17">
        <f t="shared" si="6"/>
        <v>53</v>
      </c>
      <c r="P2111" s="18">
        <v>25531.0</v>
      </c>
    </row>
    <row r="2112" ht="15.75" customHeight="1">
      <c r="A2112" s="9" t="s">
        <v>2403</v>
      </c>
      <c r="B2112" s="17">
        <v>1971.0</v>
      </c>
      <c r="C2112" s="9" t="s">
        <v>4735</v>
      </c>
      <c r="D2112" s="9">
        <v>26.0</v>
      </c>
      <c r="E2112" s="18">
        <f t="shared" si="1"/>
        <v>26263</v>
      </c>
      <c r="F2112" s="9">
        <v>1.0</v>
      </c>
      <c r="G2112" s="19">
        <v>9377.9</v>
      </c>
      <c r="H2112" s="9" t="s">
        <v>4723</v>
      </c>
      <c r="I2112" s="9" t="s">
        <v>4718</v>
      </c>
      <c r="J2112" s="9" t="s">
        <v>4743</v>
      </c>
      <c r="K2112" s="20">
        <f t="shared" si="2"/>
        <v>1971</v>
      </c>
      <c r="L2112" s="9" t="str">
        <f t="shared" si="3"/>
        <v>tier - 2</v>
      </c>
      <c r="M2112" s="9" t="str">
        <f t="shared" si="4"/>
        <v>tier - 1</v>
      </c>
      <c r="N2112" s="9" t="str">
        <f t="shared" si="5"/>
        <v>R1013</v>
      </c>
      <c r="O2112" s="17">
        <f t="shared" si="6"/>
        <v>51</v>
      </c>
      <c r="P2112" s="18">
        <v>26263.0</v>
      </c>
    </row>
    <row r="2113" ht="15.75" customHeight="1">
      <c r="A2113" s="9" t="s">
        <v>2401</v>
      </c>
      <c r="B2113" s="17">
        <v>1975.0</v>
      </c>
      <c r="C2113" s="9" t="s">
        <v>4725</v>
      </c>
      <c r="D2113" s="9">
        <v>2.0</v>
      </c>
      <c r="E2113" s="18">
        <f t="shared" si="1"/>
        <v>27730</v>
      </c>
      <c r="F2113" s="9">
        <v>1.0</v>
      </c>
      <c r="G2113" s="19">
        <v>9380.75</v>
      </c>
      <c r="H2113" s="9" t="s">
        <v>4723</v>
      </c>
      <c r="I2113" s="9" t="s">
        <v>4723</v>
      </c>
      <c r="J2113" s="9" t="s">
        <v>4731</v>
      </c>
      <c r="K2113" s="20">
        <f t="shared" si="2"/>
        <v>1975</v>
      </c>
      <c r="L2113" s="9" t="str">
        <f t="shared" si="3"/>
        <v>tier - 2</v>
      </c>
      <c r="M2113" s="9" t="str">
        <f t="shared" si="4"/>
        <v>tier - 2</v>
      </c>
      <c r="N2113" s="9" t="str">
        <f t="shared" si="5"/>
        <v>R1024</v>
      </c>
      <c r="O2113" s="17">
        <f t="shared" si="6"/>
        <v>47</v>
      </c>
      <c r="P2113" s="18">
        <v>27730.0</v>
      </c>
    </row>
    <row r="2114" ht="15.75" customHeight="1">
      <c r="A2114" s="9" t="s">
        <v>241</v>
      </c>
      <c r="B2114" s="17">
        <v>1995.0</v>
      </c>
      <c r="C2114" s="9" t="s">
        <v>4716</v>
      </c>
      <c r="D2114" s="9">
        <v>7.0</v>
      </c>
      <c r="E2114" s="18">
        <f t="shared" si="1"/>
        <v>34918</v>
      </c>
      <c r="F2114" s="9">
        <v>0.0</v>
      </c>
      <c r="G2114" s="19">
        <v>39611.76</v>
      </c>
      <c r="H2114" s="9" t="s">
        <v>4718</v>
      </c>
      <c r="I2114" s="9" t="s">
        <v>4717</v>
      </c>
      <c r="J2114" s="9" t="s">
        <v>4743</v>
      </c>
      <c r="K2114" s="20">
        <f t="shared" si="2"/>
        <v>1995</v>
      </c>
      <c r="L2114" s="9" t="str">
        <f t="shared" si="3"/>
        <v>tier - 1</v>
      </c>
      <c r="M2114" s="9" t="str">
        <f t="shared" si="4"/>
        <v>tier - 3</v>
      </c>
      <c r="N2114" s="9" t="str">
        <f t="shared" si="5"/>
        <v>R1013</v>
      </c>
      <c r="O2114" s="17">
        <f t="shared" si="6"/>
        <v>27</v>
      </c>
      <c r="P2114" s="18">
        <v>34918.0</v>
      </c>
    </row>
    <row r="2115" ht="15.75" customHeight="1">
      <c r="A2115" s="9" t="s">
        <v>25</v>
      </c>
      <c r="B2115" s="17">
        <v>1965.0</v>
      </c>
      <c r="C2115" s="9" t="s">
        <v>4720</v>
      </c>
      <c r="D2115" s="9">
        <v>27.0</v>
      </c>
      <c r="E2115" s="18">
        <f t="shared" si="1"/>
        <v>24042</v>
      </c>
      <c r="F2115" s="9">
        <v>1.0</v>
      </c>
      <c r="G2115" s="19">
        <v>48675.52</v>
      </c>
      <c r="H2115" s="9" t="s">
        <v>4718</v>
      </c>
      <c r="I2115" s="9" t="s">
        <v>4723</v>
      </c>
      <c r="J2115" s="9" t="s">
        <v>4743</v>
      </c>
      <c r="K2115" s="20">
        <f t="shared" si="2"/>
        <v>1965</v>
      </c>
      <c r="L2115" s="9" t="str">
        <f t="shared" si="3"/>
        <v>tier - 1</v>
      </c>
      <c r="M2115" s="9" t="str">
        <f t="shared" si="4"/>
        <v>tier - 2</v>
      </c>
      <c r="N2115" s="9" t="str">
        <f t="shared" si="5"/>
        <v>R1013</v>
      </c>
      <c r="O2115" s="17">
        <f t="shared" si="6"/>
        <v>57</v>
      </c>
      <c r="P2115" s="18">
        <v>24042.0</v>
      </c>
    </row>
    <row r="2116" ht="15.75" customHeight="1">
      <c r="A2116" s="9" t="s">
        <v>2399</v>
      </c>
      <c r="B2116" s="17">
        <v>1971.0</v>
      </c>
      <c r="C2116" s="9" t="s">
        <v>4725</v>
      </c>
      <c r="D2116" s="9">
        <v>29.0</v>
      </c>
      <c r="E2116" s="18">
        <f t="shared" si="1"/>
        <v>26296</v>
      </c>
      <c r="F2116" s="9">
        <v>1.0</v>
      </c>
      <c r="G2116" s="19">
        <v>9386.16</v>
      </c>
      <c r="H2116" s="9" t="s">
        <v>4717</v>
      </c>
      <c r="I2116" s="9" t="s">
        <v>4723</v>
      </c>
      <c r="J2116" s="9" t="s">
        <v>4743</v>
      </c>
      <c r="K2116" s="20">
        <f t="shared" si="2"/>
        <v>1971</v>
      </c>
      <c r="L2116" s="9" t="str">
        <f t="shared" si="3"/>
        <v>tier - 3</v>
      </c>
      <c r="M2116" s="9" t="str">
        <f t="shared" si="4"/>
        <v>tier - 2</v>
      </c>
      <c r="N2116" s="9" t="str">
        <f t="shared" si="5"/>
        <v>R1013</v>
      </c>
      <c r="O2116" s="17">
        <f t="shared" si="6"/>
        <v>51</v>
      </c>
      <c r="P2116" s="18">
        <v>26296.0</v>
      </c>
    </row>
    <row r="2117" ht="15.75" customHeight="1">
      <c r="A2117" s="9" t="s">
        <v>2397</v>
      </c>
      <c r="B2117" s="17">
        <v>1971.0</v>
      </c>
      <c r="C2117" s="9" t="s">
        <v>4720</v>
      </c>
      <c r="D2117" s="9">
        <v>20.0</v>
      </c>
      <c r="E2117" s="18">
        <f t="shared" si="1"/>
        <v>26226</v>
      </c>
      <c r="F2117" s="9">
        <v>1.0</v>
      </c>
      <c r="G2117" s="19">
        <v>9391.35</v>
      </c>
      <c r="H2117" s="9" t="s">
        <v>4717</v>
      </c>
      <c r="I2117" s="9" t="s">
        <v>4717</v>
      </c>
      <c r="J2117" s="9" t="s">
        <v>4719</v>
      </c>
      <c r="K2117" s="20">
        <f t="shared" si="2"/>
        <v>1971</v>
      </c>
      <c r="L2117" s="9" t="str">
        <f t="shared" si="3"/>
        <v>tier - 3</v>
      </c>
      <c r="M2117" s="9" t="str">
        <f t="shared" si="4"/>
        <v>tier - 3</v>
      </c>
      <c r="N2117" s="9" t="str">
        <f t="shared" si="5"/>
        <v>R1011</v>
      </c>
      <c r="O2117" s="17">
        <f t="shared" si="6"/>
        <v>51</v>
      </c>
      <c r="P2117" s="18">
        <v>26226.0</v>
      </c>
    </row>
    <row r="2118" ht="15.75" customHeight="1">
      <c r="A2118" s="9" t="s">
        <v>2395</v>
      </c>
      <c r="B2118" s="17">
        <v>1976.0</v>
      </c>
      <c r="C2118" s="9" t="s">
        <v>4720</v>
      </c>
      <c r="D2118" s="9">
        <v>17.0</v>
      </c>
      <c r="E2118" s="18">
        <f t="shared" si="1"/>
        <v>28050</v>
      </c>
      <c r="F2118" s="9">
        <v>2.0</v>
      </c>
      <c r="G2118" s="19">
        <v>9411.01</v>
      </c>
      <c r="H2118" s="9" t="s">
        <v>4723</v>
      </c>
      <c r="I2118" s="9" t="s">
        <v>4717</v>
      </c>
      <c r="J2118" s="9" t="s">
        <v>4731</v>
      </c>
      <c r="K2118" s="20">
        <f t="shared" si="2"/>
        <v>1976</v>
      </c>
      <c r="L2118" s="9" t="str">
        <f t="shared" si="3"/>
        <v>tier - 2</v>
      </c>
      <c r="M2118" s="9" t="str">
        <f t="shared" si="4"/>
        <v>tier - 3</v>
      </c>
      <c r="N2118" s="9" t="str">
        <f t="shared" si="5"/>
        <v>R1024</v>
      </c>
      <c r="O2118" s="17">
        <f t="shared" si="6"/>
        <v>46</v>
      </c>
      <c r="P2118" s="18">
        <v>28050.0</v>
      </c>
    </row>
    <row r="2119" ht="15.75" customHeight="1">
      <c r="A2119" s="9" t="s">
        <v>2393</v>
      </c>
      <c r="B2119" s="17">
        <v>1976.0</v>
      </c>
      <c r="C2119" s="9" t="s">
        <v>4720</v>
      </c>
      <c r="D2119" s="9">
        <v>30.0</v>
      </c>
      <c r="E2119" s="18">
        <f t="shared" si="1"/>
        <v>28063</v>
      </c>
      <c r="F2119" s="9">
        <v>3.0</v>
      </c>
      <c r="G2119" s="19">
        <v>9414.92</v>
      </c>
      <c r="H2119" s="9" t="s">
        <v>4723</v>
      </c>
      <c r="I2119" s="9" t="s">
        <v>4723</v>
      </c>
      <c r="J2119" s="9" t="s">
        <v>4719</v>
      </c>
      <c r="K2119" s="20">
        <f t="shared" si="2"/>
        <v>1976</v>
      </c>
      <c r="L2119" s="9" t="str">
        <f t="shared" si="3"/>
        <v>tier - 2</v>
      </c>
      <c r="M2119" s="9" t="str">
        <f t="shared" si="4"/>
        <v>tier - 2</v>
      </c>
      <c r="N2119" s="9" t="str">
        <f t="shared" si="5"/>
        <v>R1011</v>
      </c>
      <c r="O2119" s="17">
        <f t="shared" si="6"/>
        <v>46</v>
      </c>
      <c r="P2119" s="18">
        <v>28063.0</v>
      </c>
    </row>
    <row r="2120" ht="15.75" customHeight="1">
      <c r="A2120" s="9" t="s">
        <v>2391</v>
      </c>
      <c r="B2120" s="17">
        <v>1976.0</v>
      </c>
      <c r="C2120" s="9" t="s">
        <v>4735</v>
      </c>
      <c r="D2120" s="9">
        <v>3.0</v>
      </c>
      <c r="E2120" s="18">
        <f t="shared" si="1"/>
        <v>28067</v>
      </c>
      <c r="F2120" s="9">
        <v>2.0</v>
      </c>
      <c r="G2120" s="19">
        <v>9432.93</v>
      </c>
      <c r="H2120" s="9" t="s">
        <v>4723</v>
      </c>
      <c r="I2120" s="9" t="s">
        <v>4718</v>
      </c>
      <c r="J2120" s="9" t="s">
        <v>4731</v>
      </c>
      <c r="K2120" s="20">
        <f t="shared" si="2"/>
        <v>1976</v>
      </c>
      <c r="L2120" s="9" t="str">
        <f t="shared" si="3"/>
        <v>tier - 2</v>
      </c>
      <c r="M2120" s="9" t="str">
        <f t="shared" si="4"/>
        <v>tier - 1</v>
      </c>
      <c r="N2120" s="9" t="str">
        <f t="shared" si="5"/>
        <v>R1024</v>
      </c>
      <c r="O2120" s="17">
        <f t="shared" si="6"/>
        <v>46</v>
      </c>
      <c r="P2120" s="18">
        <v>28067.0</v>
      </c>
    </row>
    <row r="2121" ht="15.75" customHeight="1">
      <c r="A2121" s="9" t="s">
        <v>2389</v>
      </c>
      <c r="B2121" s="17">
        <v>1974.0</v>
      </c>
      <c r="C2121" s="9" t="s">
        <v>4735</v>
      </c>
      <c r="D2121" s="9">
        <v>27.0</v>
      </c>
      <c r="E2121" s="18">
        <f t="shared" si="1"/>
        <v>27360</v>
      </c>
      <c r="F2121" s="9">
        <v>1.0</v>
      </c>
      <c r="G2121" s="19">
        <v>9447.25</v>
      </c>
      <c r="H2121" s="9" t="s">
        <v>4723</v>
      </c>
      <c r="I2121" s="9" t="s">
        <v>4718</v>
      </c>
      <c r="J2121" s="9" t="s">
        <v>4731</v>
      </c>
      <c r="K2121" s="20">
        <f t="shared" si="2"/>
        <v>1974</v>
      </c>
      <c r="L2121" s="9" t="str">
        <f t="shared" si="3"/>
        <v>tier - 2</v>
      </c>
      <c r="M2121" s="9" t="str">
        <f t="shared" si="4"/>
        <v>tier - 1</v>
      </c>
      <c r="N2121" s="9" t="str">
        <f t="shared" si="5"/>
        <v>R1024</v>
      </c>
      <c r="O2121" s="17">
        <f t="shared" si="6"/>
        <v>48</v>
      </c>
      <c r="P2121" s="18">
        <v>27360.0</v>
      </c>
    </row>
    <row r="2122" ht="15.75" customHeight="1">
      <c r="A2122" s="9" t="s">
        <v>2387</v>
      </c>
      <c r="B2122" s="17">
        <v>1974.0</v>
      </c>
      <c r="C2122" s="9" t="s">
        <v>4730</v>
      </c>
      <c r="D2122" s="9">
        <v>8.0</v>
      </c>
      <c r="E2122" s="18">
        <f t="shared" si="1"/>
        <v>27188</v>
      </c>
      <c r="F2122" s="9">
        <v>1.0</v>
      </c>
      <c r="G2122" s="19">
        <v>9447.38</v>
      </c>
      <c r="H2122" s="9" t="s">
        <v>4723</v>
      </c>
      <c r="I2122" s="9" t="s">
        <v>4717</v>
      </c>
      <c r="J2122" s="9" t="s">
        <v>4731</v>
      </c>
      <c r="K2122" s="20">
        <f t="shared" si="2"/>
        <v>1974</v>
      </c>
      <c r="L2122" s="9" t="str">
        <f t="shared" si="3"/>
        <v>tier - 2</v>
      </c>
      <c r="M2122" s="9" t="str">
        <f t="shared" si="4"/>
        <v>tier - 3</v>
      </c>
      <c r="N2122" s="9" t="str">
        <f t="shared" si="5"/>
        <v>R1024</v>
      </c>
      <c r="O2122" s="17">
        <f t="shared" si="6"/>
        <v>49</v>
      </c>
      <c r="P2122" s="18">
        <v>27188.0</v>
      </c>
    </row>
    <row r="2123" ht="15.75" customHeight="1">
      <c r="A2123" s="9" t="s">
        <v>2385</v>
      </c>
      <c r="B2123" s="17">
        <v>1987.0</v>
      </c>
      <c r="C2123" s="9" t="s">
        <v>4735</v>
      </c>
      <c r="D2123" s="9">
        <v>14.0</v>
      </c>
      <c r="E2123" s="18">
        <f t="shared" si="1"/>
        <v>32095</v>
      </c>
      <c r="F2123" s="9">
        <v>3.0</v>
      </c>
      <c r="G2123" s="19">
        <v>9448.42</v>
      </c>
      <c r="H2123" s="9" t="s">
        <v>4723</v>
      </c>
      <c r="I2123" s="9" t="s">
        <v>4717</v>
      </c>
      <c r="J2123" s="9" t="s">
        <v>4751</v>
      </c>
      <c r="K2123" s="20">
        <f t="shared" si="2"/>
        <v>1987</v>
      </c>
      <c r="L2123" s="9" t="str">
        <f t="shared" si="3"/>
        <v>tier - 2</v>
      </c>
      <c r="M2123" s="9" t="str">
        <f t="shared" si="4"/>
        <v>tier - 3</v>
      </c>
      <c r="N2123" s="9" t="str">
        <f t="shared" si="5"/>
        <v>R1021</v>
      </c>
      <c r="O2123" s="17">
        <f t="shared" si="6"/>
        <v>35</v>
      </c>
      <c r="P2123" s="18">
        <v>32095.0</v>
      </c>
    </row>
    <row r="2124" ht="15.75" customHeight="1">
      <c r="A2124" s="9" t="s">
        <v>2383</v>
      </c>
      <c r="B2124" s="17">
        <v>1979.0</v>
      </c>
      <c r="C2124" s="9" t="s">
        <v>4741</v>
      </c>
      <c r="D2124" s="9">
        <v>17.0</v>
      </c>
      <c r="E2124" s="18">
        <f t="shared" si="1"/>
        <v>29053</v>
      </c>
      <c r="F2124" s="9">
        <v>2.0</v>
      </c>
      <c r="G2124" s="19">
        <v>9453.92</v>
      </c>
      <c r="H2124" s="9" t="s">
        <v>4723</v>
      </c>
      <c r="I2124" s="9" t="s">
        <v>4723</v>
      </c>
      <c r="J2124" s="9" t="s">
        <v>4751</v>
      </c>
      <c r="K2124" s="20">
        <f t="shared" si="2"/>
        <v>1979</v>
      </c>
      <c r="L2124" s="9" t="str">
        <f t="shared" si="3"/>
        <v>tier - 2</v>
      </c>
      <c r="M2124" s="9" t="str">
        <f t="shared" si="4"/>
        <v>tier - 2</v>
      </c>
      <c r="N2124" s="9" t="str">
        <f t="shared" si="5"/>
        <v>R1021</v>
      </c>
      <c r="O2124" s="17">
        <f t="shared" si="6"/>
        <v>43</v>
      </c>
      <c r="P2124" s="18">
        <v>29053.0</v>
      </c>
    </row>
    <row r="2125" ht="15.75" customHeight="1">
      <c r="A2125" s="9" t="s">
        <v>2381</v>
      </c>
      <c r="B2125" s="17">
        <v>1969.0</v>
      </c>
      <c r="C2125" s="9" t="s">
        <v>4730</v>
      </c>
      <c r="D2125" s="9">
        <v>4.0</v>
      </c>
      <c r="E2125" s="18">
        <f t="shared" si="1"/>
        <v>25358</v>
      </c>
      <c r="F2125" s="9">
        <v>0.0</v>
      </c>
      <c r="G2125" s="19">
        <v>9487.64</v>
      </c>
      <c r="H2125" s="9" t="s">
        <v>4723</v>
      </c>
      <c r="I2125" s="9" t="s">
        <v>4723</v>
      </c>
      <c r="J2125" s="9" t="s">
        <v>4743</v>
      </c>
      <c r="K2125" s="20">
        <f t="shared" si="2"/>
        <v>1969</v>
      </c>
      <c r="L2125" s="9" t="str">
        <f t="shared" si="3"/>
        <v>tier - 2</v>
      </c>
      <c r="M2125" s="9" t="str">
        <f t="shared" si="4"/>
        <v>tier - 2</v>
      </c>
      <c r="N2125" s="9" t="str">
        <f t="shared" si="5"/>
        <v>R1013</v>
      </c>
      <c r="O2125" s="17">
        <f t="shared" si="6"/>
        <v>54</v>
      </c>
      <c r="P2125" s="18">
        <v>25358.0</v>
      </c>
    </row>
    <row r="2126" ht="15.75" customHeight="1">
      <c r="A2126" s="9" t="s">
        <v>239</v>
      </c>
      <c r="B2126" s="17">
        <v>1977.0</v>
      </c>
      <c r="C2126" s="9" t="s">
        <v>4725</v>
      </c>
      <c r="D2126" s="9">
        <v>17.0</v>
      </c>
      <c r="E2126" s="18">
        <f t="shared" si="1"/>
        <v>28476</v>
      </c>
      <c r="F2126" s="9">
        <v>2.0</v>
      </c>
      <c r="G2126" s="19">
        <v>39670.44</v>
      </c>
      <c r="H2126" s="9" t="s">
        <v>4723</v>
      </c>
      <c r="I2126" s="9" t="s">
        <v>4718</v>
      </c>
      <c r="J2126" s="9" t="s">
        <v>4733</v>
      </c>
      <c r="K2126" s="20">
        <f t="shared" si="2"/>
        <v>1977</v>
      </c>
      <c r="L2126" s="9" t="str">
        <f t="shared" si="3"/>
        <v>tier - 2</v>
      </c>
      <c r="M2126" s="9" t="str">
        <f t="shared" si="4"/>
        <v>tier - 1</v>
      </c>
      <c r="N2126" s="9" t="str">
        <f t="shared" si="5"/>
        <v>R1012</v>
      </c>
      <c r="O2126" s="17">
        <f t="shared" si="6"/>
        <v>45</v>
      </c>
      <c r="P2126" s="18">
        <v>28476.0</v>
      </c>
    </row>
    <row r="2127" ht="15.75" customHeight="1">
      <c r="A2127" s="9" t="s">
        <v>2379</v>
      </c>
      <c r="B2127" s="17">
        <v>1976.0</v>
      </c>
      <c r="C2127" s="9" t="s">
        <v>4735</v>
      </c>
      <c r="D2127" s="9">
        <v>28.0</v>
      </c>
      <c r="E2127" s="18">
        <f t="shared" si="1"/>
        <v>28092</v>
      </c>
      <c r="F2127" s="9">
        <v>3.0</v>
      </c>
      <c r="G2127" s="19">
        <v>9500.57</v>
      </c>
      <c r="H2127" s="9" t="s">
        <v>4723</v>
      </c>
      <c r="I2127" s="9" t="s">
        <v>4717</v>
      </c>
      <c r="J2127" s="9" t="s">
        <v>4753</v>
      </c>
      <c r="K2127" s="20">
        <f t="shared" si="2"/>
        <v>1976</v>
      </c>
      <c r="L2127" s="9" t="str">
        <f t="shared" si="3"/>
        <v>tier - 2</v>
      </c>
      <c r="M2127" s="9" t="str">
        <f t="shared" si="4"/>
        <v>tier - 3</v>
      </c>
      <c r="N2127" s="9" t="str">
        <f t="shared" si="5"/>
        <v>R1017</v>
      </c>
      <c r="O2127" s="17">
        <f t="shared" si="6"/>
        <v>46</v>
      </c>
      <c r="P2127" s="18">
        <v>28092.0</v>
      </c>
    </row>
    <row r="2128" ht="15.75" customHeight="1">
      <c r="A2128" s="9" t="s">
        <v>2377</v>
      </c>
      <c r="B2128" s="17">
        <v>1969.0</v>
      </c>
      <c r="C2128" s="9" t="s">
        <v>4716</v>
      </c>
      <c r="D2128" s="9">
        <v>24.0</v>
      </c>
      <c r="E2128" s="18">
        <f t="shared" si="1"/>
        <v>25439</v>
      </c>
      <c r="F2128" s="9">
        <v>0.0</v>
      </c>
      <c r="G2128" s="19">
        <v>9504.31</v>
      </c>
      <c r="H2128" s="9" t="s">
        <v>4717</v>
      </c>
      <c r="I2128" s="9" t="s">
        <v>4723</v>
      </c>
      <c r="J2128" s="9" t="s">
        <v>4743</v>
      </c>
      <c r="K2128" s="20">
        <f t="shared" si="2"/>
        <v>1969</v>
      </c>
      <c r="L2128" s="9" t="str">
        <f t="shared" si="3"/>
        <v>tier - 3</v>
      </c>
      <c r="M2128" s="9" t="str">
        <f t="shared" si="4"/>
        <v>tier - 2</v>
      </c>
      <c r="N2128" s="9" t="str">
        <f t="shared" si="5"/>
        <v>R1013</v>
      </c>
      <c r="O2128" s="17">
        <f t="shared" si="6"/>
        <v>53</v>
      </c>
      <c r="P2128" s="18">
        <v>25439.0</v>
      </c>
    </row>
    <row r="2129" ht="15.75" customHeight="1">
      <c r="A2129" s="9" t="s">
        <v>2375</v>
      </c>
      <c r="B2129" s="17">
        <v>1992.0</v>
      </c>
      <c r="C2129" s="9" t="s">
        <v>4716</v>
      </c>
      <c r="D2129" s="9">
        <v>22.0</v>
      </c>
      <c r="E2129" s="18">
        <f t="shared" si="1"/>
        <v>33838</v>
      </c>
      <c r="F2129" s="9">
        <v>0.0</v>
      </c>
      <c r="G2129" s="19">
        <v>9507.68</v>
      </c>
      <c r="H2129" s="9" t="s">
        <v>4723</v>
      </c>
      <c r="I2129" s="9" t="s">
        <v>4718</v>
      </c>
      <c r="J2129" s="9" t="s">
        <v>4733</v>
      </c>
      <c r="K2129" s="20">
        <f t="shared" si="2"/>
        <v>1992</v>
      </c>
      <c r="L2129" s="9" t="str">
        <f t="shared" si="3"/>
        <v>tier - 2</v>
      </c>
      <c r="M2129" s="9" t="str">
        <f t="shared" si="4"/>
        <v>tier - 1</v>
      </c>
      <c r="N2129" s="9" t="str">
        <f t="shared" si="5"/>
        <v>R1012</v>
      </c>
      <c r="O2129" s="17">
        <f t="shared" si="6"/>
        <v>30</v>
      </c>
      <c r="P2129" s="18">
        <v>33838.0</v>
      </c>
    </row>
    <row r="2130" ht="15.75" customHeight="1">
      <c r="A2130" s="9" t="s">
        <v>2373</v>
      </c>
      <c r="B2130" s="17">
        <v>1971.0</v>
      </c>
      <c r="C2130" s="9" t="s">
        <v>4735</v>
      </c>
      <c r="D2130" s="9">
        <v>29.0</v>
      </c>
      <c r="E2130" s="18">
        <f t="shared" si="1"/>
        <v>26266</v>
      </c>
      <c r="F2130" s="9">
        <v>0.0</v>
      </c>
      <c r="G2130" s="19">
        <v>9528.9</v>
      </c>
      <c r="H2130" s="9" t="s">
        <v>4723</v>
      </c>
      <c r="I2130" s="9" t="s">
        <v>4723</v>
      </c>
      <c r="J2130" s="9" t="s">
        <v>4719</v>
      </c>
      <c r="K2130" s="20">
        <f t="shared" si="2"/>
        <v>1971</v>
      </c>
      <c r="L2130" s="9" t="str">
        <f t="shared" si="3"/>
        <v>tier - 2</v>
      </c>
      <c r="M2130" s="9" t="str">
        <f t="shared" si="4"/>
        <v>tier - 2</v>
      </c>
      <c r="N2130" s="9" t="str">
        <f t="shared" si="5"/>
        <v>R1011</v>
      </c>
      <c r="O2130" s="17">
        <f t="shared" si="6"/>
        <v>51</v>
      </c>
      <c r="P2130" s="18">
        <v>26266.0</v>
      </c>
    </row>
    <row r="2131" ht="15.75" customHeight="1">
      <c r="A2131" s="9" t="s">
        <v>2371</v>
      </c>
      <c r="B2131" s="17">
        <v>1973.0</v>
      </c>
      <c r="C2131" s="9" t="s">
        <v>4725</v>
      </c>
      <c r="D2131" s="9">
        <v>21.0</v>
      </c>
      <c r="E2131" s="18">
        <f t="shared" si="1"/>
        <v>27019</v>
      </c>
      <c r="F2131" s="9">
        <v>0.0</v>
      </c>
      <c r="G2131" s="19">
        <v>9538.65</v>
      </c>
      <c r="H2131" s="9" t="s">
        <v>4723</v>
      </c>
      <c r="I2131" s="9" t="s">
        <v>4717</v>
      </c>
      <c r="J2131" s="9" t="s">
        <v>4751</v>
      </c>
      <c r="K2131" s="20">
        <f t="shared" si="2"/>
        <v>1973</v>
      </c>
      <c r="L2131" s="9" t="str">
        <f t="shared" si="3"/>
        <v>tier - 2</v>
      </c>
      <c r="M2131" s="9" t="str">
        <f t="shared" si="4"/>
        <v>tier - 3</v>
      </c>
      <c r="N2131" s="9" t="str">
        <f t="shared" si="5"/>
        <v>R1021</v>
      </c>
      <c r="O2131" s="17">
        <f t="shared" si="6"/>
        <v>49</v>
      </c>
      <c r="P2131" s="18">
        <v>27019.0</v>
      </c>
    </row>
    <row r="2132" ht="15.75" customHeight="1">
      <c r="A2132" s="9" t="s">
        <v>2369</v>
      </c>
      <c r="B2132" s="17">
        <v>1975.0</v>
      </c>
      <c r="C2132" s="9" t="s">
        <v>4741</v>
      </c>
      <c r="D2132" s="9">
        <v>28.0</v>
      </c>
      <c r="E2132" s="18">
        <f t="shared" si="1"/>
        <v>27603</v>
      </c>
      <c r="F2132" s="9">
        <v>1.0</v>
      </c>
      <c r="G2132" s="19">
        <v>9540.17</v>
      </c>
      <c r="H2132" s="9" t="s">
        <v>4723</v>
      </c>
      <c r="I2132" s="9" t="s">
        <v>4723</v>
      </c>
      <c r="J2132" s="9" t="s">
        <v>4731</v>
      </c>
      <c r="K2132" s="20">
        <f t="shared" si="2"/>
        <v>1975</v>
      </c>
      <c r="L2132" s="9" t="str">
        <f t="shared" si="3"/>
        <v>tier - 2</v>
      </c>
      <c r="M2132" s="9" t="str">
        <f t="shared" si="4"/>
        <v>tier - 2</v>
      </c>
      <c r="N2132" s="9" t="str">
        <f t="shared" si="5"/>
        <v>R1024</v>
      </c>
      <c r="O2132" s="17">
        <f t="shared" si="6"/>
        <v>47</v>
      </c>
      <c r="P2132" s="18">
        <v>27603.0</v>
      </c>
    </row>
    <row r="2133" ht="15.75" customHeight="1">
      <c r="A2133" s="9" t="s">
        <v>2367</v>
      </c>
      <c r="B2133" s="17">
        <v>1972.0</v>
      </c>
      <c r="C2133" s="9" t="s">
        <v>4738</v>
      </c>
      <c r="D2133" s="9">
        <v>22.0</v>
      </c>
      <c r="E2133" s="18">
        <f t="shared" si="1"/>
        <v>26564</v>
      </c>
      <c r="F2133" s="9">
        <v>0.0</v>
      </c>
      <c r="G2133" s="19">
        <v>9541.7</v>
      </c>
      <c r="H2133" s="9" t="s">
        <v>4723</v>
      </c>
      <c r="I2133" s="9" t="s">
        <v>4718</v>
      </c>
      <c r="J2133" s="9" t="s">
        <v>4731</v>
      </c>
      <c r="K2133" s="20">
        <f t="shared" si="2"/>
        <v>1972</v>
      </c>
      <c r="L2133" s="9" t="str">
        <f t="shared" si="3"/>
        <v>tier - 2</v>
      </c>
      <c r="M2133" s="9" t="str">
        <f t="shared" si="4"/>
        <v>tier - 1</v>
      </c>
      <c r="N2133" s="9" t="str">
        <f t="shared" si="5"/>
        <v>R1024</v>
      </c>
      <c r="O2133" s="17">
        <f t="shared" si="6"/>
        <v>50</v>
      </c>
      <c r="P2133" s="18">
        <v>26564.0</v>
      </c>
    </row>
    <row r="2134" ht="15.75" customHeight="1">
      <c r="A2134" s="9" t="s">
        <v>2365</v>
      </c>
      <c r="B2134" s="17">
        <v>1972.0</v>
      </c>
      <c r="C2134" s="9" t="s">
        <v>4738</v>
      </c>
      <c r="D2134" s="9">
        <v>22.0</v>
      </c>
      <c r="E2134" s="18">
        <f t="shared" si="1"/>
        <v>26564</v>
      </c>
      <c r="F2134" s="9">
        <v>1.0</v>
      </c>
      <c r="G2134" s="19">
        <v>9549.57</v>
      </c>
      <c r="H2134" s="9" t="s">
        <v>4723</v>
      </c>
      <c r="I2134" s="9" t="s">
        <v>4718</v>
      </c>
      <c r="J2134" s="9" t="s">
        <v>4743</v>
      </c>
      <c r="K2134" s="20">
        <f t="shared" si="2"/>
        <v>1972</v>
      </c>
      <c r="L2134" s="9" t="str">
        <f t="shared" si="3"/>
        <v>tier - 2</v>
      </c>
      <c r="M2134" s="9" t="str">
        <f t="shared" si="4"/>
        <v>tier - 1</v>
      </c>
      <c r="N2134" s="9" t="str">
        <f t="shared" si="5"/>
        <v>R1013</v>
      </c>
      <c r="O2134" s="17">
        <f t="shared" si="6"/>
        <v>50</v>
      </c>
      <c r="P2134" s="18">
        <v>26564.0</v>
      </c>
    </row>
    <row r="2135" ht="15.75" customHeight="1">
      <c r="A2135" s="9" t="s">
        <v>2363</v>
      </c>
      <c r="B2135" s="17">
        <v>1974.0</v>
      </c>
      <c r="C2135" s="9" t="s">
        <v>4716</v>
      </c>
      <c r="D2135" s="9">
        <v>14.0</v>
      </c>
      <c r="E2135" s="18">
        <f t="shared" si="1"/>
        <v>27255</v>
      </c>
      <c r="F2135" s="9">
        <v>3.0</v>
      </c>
      <c r="G2135" s="19">
        <v>9563.03</v>
      </c>
      <c r="H2135" s="9" t="s">
        <v>4717</v>
      </c>
      <c r="I2135" s="9" t="s">
        <v>4718</v>
      </c>
      <c r="J2135" s="9" t="s">
        <v>4719</v>
      </c>
      <c r="K2135" s="20">
        <f t="shared" si="2"/>
        <v>1974</v>
      </c>
      <c r="L2135" s="9" t="str">
        <f t="shared" si="3"/>
        <v>tier - 3</v>
      </c>
      <c r="M2135" s="9" t="str">
        <f t="shared" si="4"/>
        <v>tier - 1</v>
      </c>
      <c r="N2135" s="9" t="str">
        <f t="shared" si="5"/>
        <v>R1011</v>
      </c>
      <c r="O2135" s="17">
        <f t="shared" si="6"/>
        <v>48</v>
      </c>
      <c r="P2135" s="18">
        <v>27255.0</v>
      </c>
    </row>
    <row r="2136" ht="15.75" customHeight="1">
      <c r="A2136" s="9" t="s">
        <v>2361</v>
      </c>
      <c r="B2136" s="17">
        <v>1973.0</v>
      </c>
      <c r="C2136" s="9" t="s">
        <v>4725</v>
      </c>
      <c r="D2136" s="9">
        <v>1.0</v>
      </c>
      <c r="E2136" s="18">
        <f t="shared" si="1"/>
        <v>26999</v>
      </c>
      <c r="F2136" s="9">
        <v>1.0</v>
      </c>
      <c r="G2136" s="19">
        <v>9566.99</v>
      </c>
      <c r="H2136" s="9" t="s">
        <v>4723</v>
      </c>
      <c r="I2136" s="9" t="s">
        <v>4718</v>
      </c>
      <c r="J2136" s="9" t="s">
        <v>4733</v>
      </c>
      <c r="K2136" s="20">
        <f t="shared" si="2"/>
        <v>1973</v>
      </c>
      <c r="L2136" s="9" t="str">
        <f t="shared" si="3"/>
        <v>tier - 2</v>
      </c>
      <c r="M2136" s="9" t="str">
        <f t="shared" si="4"/>
        <v>tier - 1</v>
      </c>
      <c r="N2136" s="9" t="str">
        <f t="shared" si="5"/>
        <v>R1012</v>
      </c>
      <c r="O2136" s="17">
        <f t="shared" si="6"/>
        <v>49</v>
      </c>
      <c r="P2136" s="18">
        <v>26999.0</v>
      </c>
    </row>
    <row r="2137" ht="15.75" customHeight="1">
      <c r="A2137" s="9" t="s">
        <v>237</v>
      </c>
      <c r="B2137" s="17">
        <v>1968.0</v>
      </c>
      <c r="C2137" s="9" t="s">
        <v>4738</v>
      </c>
      <c r="D2137" s="9">
        <v>29.0</v>
      </c>
      <c r="E2137" s="18">
        <f t="shared" si="1"/>
        <v>25110</v>
      </c>
      <c r="F2137" s="9">
        <v>0.0</v>
      </c>
      <c r="G2137" s="19">
        <v>39721.93</v>
      </c>
      <c r="H2137" s="9" t="s">
        <v>4723</v>
      </c>
      <c r="I2137" s="9" t="s">
        <v>4723</v>
      </c>
      <c r="J2137" s="9" t="s">
        <v>4719</v>
      </c>
      <c r="K2137" s="20">
        <f t="shared" si="2"/>
        <v>1968</v>
      </c>
      <c r="L2137" s="9" t="str">
        <f t="shared" si="3"/>
        <v>tier - 2</v>
      </c>
      <c r="M2137" s="9" t="str">
        <f t="shared" si="4"/>
        <v>tier - 2</v>
      </c>
      <c r="N2137" s="9" t="str">
        <f t="shared" si="5"/>
        <v>R1011</v>
      </c>
      <c r="O2137" s="17">
        <f t="shared" si="6"/>
        <v>54</v>
      </c>
      <c r="P2137" s="18">
        <v>25110.0</v>
      </c>
    </row>
    <row r="2138" ht="15.75" customHeight="1">
      <c r="A2138" s="9" t="s">
        <v>2359</v>
      </c>
      <c r="B2138" s="17">
        <v>1966.0</v>
      </c>
      <c r="C2138" s="9" t="s">
        <v>4725</v>
      </c>
      <c r="D2138" s="9">
        <v>4.0</v>
      </c>
      <c r="E2138" s="18">
        <f t="shared" si="1"/>
        <v>24445</v>
      </c>
      <c r="F2138" s="9">
        <v>0.0</v>
      </c>
      <c r="G2138" s="19">
        <v>9582.54</v>
      </c>
      <c r="H2138" s="9" t="s">
        <v>4717</v>
      </c>
      <c r="I2138" s="9" t="s">
        <v>4723</v>
      </c>
      <c r="J2138" s="9" t="s">
        <v>4743</v>
      </c>
      <c r="K2138" s="20">
        <f t="shared" si="2"/>
        <v>1966</v>
      </c>
      <c r="L2138" s="9" t="str">
        <f t="shared" si="3"/>
        <v>tier - 3</v>
      </c>
      <c r="M2138" s="9" t="str">
        <f t="shared" si="4"/>
        <v>tier - 2</v>
      </c>
      <c r="N2138" s="9" t="str">
        <f t="shared" si="5"/>
        <v>R1013</v>
      </c>
      <c r="O2138" s="17">
        <f t="shared" si="6"/>
        <v>56</v>
      </c>
      <c r="P2138" s="18">
        <v>24445.0</v>
      </c>
    </row>
    <row r="2139" ht="15.75" customHeight="1">
      <c r="A2139" s="9" t="s">
        <v>2357</v>
      </c>
      <c r="B2139" s="17">
        <v>1973.0</v>
      </c>
      <c r="C2139" s="9" t="s">
        <v>4735</v>
      </c>
      <c r="D2139" s="9">
        <v>28.0</v>
      </c>
      <c r="E2139" s="18">
        <f t="shared" si="1"/>
        <v>26996</v>
      </c>
      <c r="F2139" s="9">
        <v>1.0</v>
      </c>
      <c r="G2139" s="19">
        <v>9583.89</v>
      </c>
      <c r="H2139" s="9" t="s">
        <v>4723</v>
      </c>
      <c r="I2139" s="9" t="s">
        <v>4717</v>
      </c>
      <c r="J2139" s="9" t="s">
        <v>4733</v>
      </c>
      <c r="K2139" s="20">
        <f t="shared" si="2"/>
        <v>1973</v>
      </c>
      <c r="L2139" s="9" t="str">
        <f t="shared" si="3"/>
        <v>tier - 2</v>
      </c>
      <c r="M2139" s="9" t="str">
        <f t="shared" si="4"/>
        <v>tier - 3</v>
      </c>
      <c r="N2139" s="9" t="str">
        <f t="shared" si="5"/>
        <v>R1012</v>
      </c>
      <c r="O2139" s="17">
        <f t="shared" si="6"/>
        <v>49</v>
      </c>
      <c r="P2139" s="18">
        <v>26996.0</v>
      </c>
    </row>
    <row r="2140" ht="15.75" customHeight="1">
      <c r="A2140" s="9" t="s">
        <v>2355</v>
      </c>
      <c r="B2140" s="17">
        <v>1981.0</v>
      </c>
      <c r="C2140" s="9" t="s">
        <v>4720</v>
      </c>
      <c r="D2140" s="9">
        <v>18.0</v>
      </c>
      <c r="E2140" s="18">
        <f t="shared" si="1"/>
        <v>29877</v>
      </c>
      <c r="F2140" s="9">
        <v>1.0</v>
      </c>
      <c r="G2140" s="19">
        <v>9584.04</v>
      </c>
      <c r="H2140" s="9" t="s">
        <v>4723</v>
      </c>
      <c r="I2140" s="9" t="s">
        <v>4718</v>
      </c>
      <c r="J2140" s="9" t="s">
        <v>4751</v>
      </c>
      <c r="K2140" s="20">
        <f t="shared" si="2"/>
        <v>1981</v>
      </c>
      <c r="L2140" s="9" t="str">
        <f t="shared" si="3"/>
        <v>tier - 2</v>
      </c>
      <c r="M2140" s="9" t="str">
        <f t="shared" si="4"/>
        <v>tier - 1</v>
      </c>
      <c r="N2140" s="9" t="str">
        <f t="shared" si="5"/>
        <v>R1021</v>
      </c>
      <c r="O2140" s="17">
        <f t="shared" si="6"/>
        <v>41</v>
      </c>
      <c r="P2140" s="18">
        <v>29877.0</v>
      </c>
    </row>
    <row r="2141" ht="15.75" customHeight="1">
      <c r="A2141" s="9" t="s">
        <v>2353</v>
      </c>
      <c r="B2141" s="17">
        <v>1964.0</v>
      </c>
      <c r="C2141" s="9" t="s">
        <v>4725</v>
      </c>
      <c r="D2141" s="9">
        <v>15.0</v>
      </c>
      <c r="E2141" s="18">
        <f t="shared" si="1"/>
        <v>23726</v>
      </c>
      <c r="F2141" s="9">
        <v>0.0</v>
      </c>
      <c r="G2141" s="19">
        <v>9597.63</v>
      </c>
      <c r="H2141" s="9" t="s">
        <v>4717</v>
      </c>
      <c r="I2141" s="9" t="s">
        <v>4717</v>
      </c>
      <c r="J2141" s="9" t="s">
        <v>4743</v>
      </c>
      <c r="K2141" s="20">
        <f t="shared" si="2"/>
        <v>1964</v>
      </c>
      <c r="L2141" s="9" t="str">
        <f t="shared" si="3"/>
        <v>tier - 3</v>
      </c>
      <c r="M2141" s="9" t="str">
        <f t="shared" si="4"/>
        <v>tier - 3</v>
      </c>
      <c r="N2141" s="9" t="str">
        <f t="shared" si="5"/>
        <v>R1013</v>
      </c>
      <c r="O2141" s="17">
        <f t="shared" si="6"/>
        <v>58</v>
      </c>
      <c r="P2141" s="18">
        <v>23726.0</v>
      </c>
    </row>
    <row r="2142" ht="15.75" customHeight="1">
      <c r="A2142" s="9" t="s">
        <v>2351</v>
      </c>
      <c r="B2142" s="17">
        <v>1972.0</v>
      </c>
      <c r="C2142" s="9" t="s">
        <v>4725</v>
      </c>
      <c r="D2142" s="9">
        <v>27.0</v>
      </c>
      <c r="E2142" s="18">
        <f t="shared" si="1"/>
        <v>26660</v>
      </c>
      <c r="F2142" s="9">
        <v>1.0</v>
      </c>
      <c r="G2142" s="19">
        <v>9617.66</v>
      </c>
      <c r="H2142" s="9" t="s">
        <v>4717</v>
      </c>
      <c r="I2142" s="9" t="s">
        <v>4717</v>
      </c>
      <c r="J2142" s="9" t="s">
        <v>4754</v>
      </c>
      <c r="K2142" s="20">
        <f t="shared" si="2"/>
        <v>1972</v>
      </c>
      <c r="L2142" s="9" t="str">
        <f t="shared" si="3"/>
        <v>tier - 3</v>
      </c>
      <c r="M2142" s="9" t="str">
        <f t="shared" si="4"/>
        <v>tier - 3</v>
      </c>
      <c r="N2142" s="9" t="str">
        <f t="shared" si="5"/>
        <v>R1016</v>
      </c>
      <c r="O2142" s="17">
        <f t="shared" si="6"/>
        <v>50</v>
      </c>
      <c r="P2142" s="18">
        <v>26660.0</v>
      </c>
    </row>
    <row r="2143" ht="15.75" customHeight="1">
      <c r="A2143" s="9" t="s">
        <v>2349</v>
      </c>
      <c r="B2143" s="17">
        <v>1982.0</v>
      </c>
      <c r="C2143" s="9" t="s">
        <v>4716</v>
      </c>
      <c r="D2143" s="9">
        <v>29.0</v>
      </c>
      <c r="E2143" s="18">
        <f t="shared" si="1"/>
        <v>30192</v>
      </c>
      <c r="F2143" s="9">
        <v>3.0</v>
      </c>
      <c r="G2143" s="19">
        <v>9619.18</v>
      </c>
      <c r="H2143" s="9" t="s">
        <v>4723</v>
      </c>
      <c r="I2143" s="9" t="s">
        <v>4718</v>
      </c>
      <c r="J2143" s="9" t="s">
        <v>4726</v>
      </c>
      <c r="K2143" s="20">
        <f t="shared" si="2"/>
        <v>1982</v>
      </c>
      <c r="L2143" s="9" t="str">
        <f t="shared" si="3"/>
        <v>tier - 2</v>
      </c>
      <c r="M2143" s="9" t="str">
        <f t="shared" si="4"/>
        <v>tier - 1</v>
      </c>
      <c r="N2143" s="9" t="str">
        <f t="shared" si="5"/>
        <v>R1025</v>
      </c>
      <c r="O2143" s="17">
        <f t="shared" si="6"/>
        <v>40</v>
      </c>
      <c r="P2143" s="18">
        <v>30192.0</v>
      </c>
    </row>
    <row r="2144" ht="15.75" customHeight="1">
      <c r="A2144" s="9" t="s">
        <v>2347</v>
      </c>
      <c r="B2144" s="17">
        <v>1975.0</v>
      </c>
      <c r="C2144" s="9" t="s">
        <v>4720</v>
      </c>
      <c r="D2144" s="9">
        <v>29.0</v>
      </c>
      <c r="E2144" s="18">
        <f t="shared" si="1"/>
        <v>27696</v>
      </c>
      <c r="F2144" s="9">
        <v>3.0</v>
      </c>
      <c r="G2144" s="19">
        <v>9620.33</v>
      </c>
      <c r="H2144" s="9" t="s">
        <v>4717</v>
      </c>
      <c r="I2144" s="9" t="s">
        <v>4717</v>
      </c>
      <c r="J2144" s="9" t="s">
        <v>4733</v>
      </c>
      <c r="K2144" s="20">
        <f t="shared" si="2"/>
        <v>1975</v>
      </c>
      <c r="L2144" s="9" t="str">
        <f t="shared" si="3"/>
        <v>tier - 3</v>
      </c>
      <c r="M2144" s="9" t="str">
        <f t="shared" si="4"/>
        <v>tier - 3</v>
      </c>
      <c r="N2144" s="9" t="str">
        <f t="shared" si="5"/>
        <v>R1012</v>
      </c>
      <c r="O2144" s="17">
        <f t="shared" si="6"/>
        <v>47</v>
      </c>
      <c r="P2144" s="18">
        <v>27696.0</v>
      </c>
    </row>
    <row r="2145" ht="15.75" customHeight="1">
      <c r="A2145" s="9" t="s">
        <v>2345</v>
      </c>
      <c r="B2145" s="17">
        <v>1970.0</v>
      </c>
      <c r="C2145" s="9" t="s">
        <v>4725</v>
      </c>
      <c r="D2145" s="9">
        <v>16.0</v>
      </c>
      <c r="E2145" s="18">
        <f t="shared" si="1"/>
        <v>25918</v>
      </c>
      <c r="F2145" s="9">
        <v>0.0</v>
      </c>
      <c r="G2145" s="19">
        <v>9625.92</v>
      </c>
      <c r="H2145" s="9" t="s">
        <v>4723</v>
      </c>
      <c r="I2145" s="9" t="s">
        <v>4717</v>
      </c>
      <c r="J2145" s="9" t="s">
        <v>4719</v>
      </c>
      <c r="K2145" s="20">
        <f t="shared" si="2"/>
        <v>1970</v>
      </c>
      <c r="L2145" s="9" t="str">
        <f t="shared" si="3"/>
        <v>tier - 2</v>
      </c>
      <c r="M2145" s="9" t="str">
        <f t="shared" si="4"/>
        <v>tier - 3</v>
      </c>
      <c r="N2145" s="9" t="str">
        <f t="shared" si="5"/>
        <v>R1011</v>
      </c>
      <c r="O2145" s="17">
        <f t="shared" si="6"/>
        <v>52</v>
      </c>
      <c r="P2145" s="18">
        <v>25918.0</v>
      </c>
    </row>
    <row r="2146" ht="15.75" customHeight="1">
      <c r="A2146" s="9" t="s">
        <v>2343</v>
      </c>
      <c r="B2146" s="17">
        <v>1998.0</v>
      </c>
      <c r="C2146" s="9" t="s">
        <v>4730</v>
      </c>
      <c r="D2146" s="9">
        <v>23.0</v>
      </c>
      <c r="E2146" s="18">
        <f t="shared" si="1"/>
        <v>35969</v>
      </c>
      <c r="F2146" s="9">
        <v>0.0</v>
      </c>
      <c r="G2146" s="19">
        <v>9628.79</v>
      </c>
      <c r="H2146" s="9" t="s">
        <v>4723</v>
      </c>
      <c r="I2146" s="9" t="s">
        <v>4723</v>
      </c>
      <c r="J2146" s="9" t="s">
        <v>4721</v>
      </c>
      <c r="K2146" s="20">
        <f t="shared" si="2"/>
        <v>1998</v>
      </c>
      <c r="L2146" s="9" t="str">
        <f t="shared" si="3"/>
        <v>tier - 2</v>
      </c>
      <c r="M2146" s="9" t="str">
        <f t="shared" si="4"/>
        <v>tier - 2</v>
      </c>
      <c r="N2146" s="9" t="str">
        <f t="shared" si="5"/>
        <v>R1026</v>
      </c>
      <c r="O2146" s="17">
        <f t="shared" si="6"/>
        <v>24</v>
      </c>
      <c r="P2146" s="18">
        <v>35969.0</v>
      </c>
    </row>
    <row r="2147" ht="15.75" customHeight="1">
      <c r="A2147" s="9" t="s">
        <v>2341</v>
      </c>
      <c r="B2147" s="17">
        <v>1979.0</v>
      </c>
      <c r="C2147" s="9" t="s">
        <v>4725</v>
      </c>
      <c r="D2147" s="9">
        <v>19.0</v>
      </c>
      <c r="E2147" s="18">
        <f t="shared" si="1"/>
        <v>29208</v>
      </c>
      <c r="F2147" s="9">
        <v>2.0</v>
      </c>
      <c r="G2147" s="19">
        <v>9630.3</v>
      </c>
      <c r="H2147" s="9" t="s">
        <v>4723</v>
      </c>
      <c r="I2147" s="9" t="s">
        <v>4723</v>
      </c>
      <c r="J2147" s="9" t="s">
        <v>4751</v>
      </c>
      <c r="K2147" s="20">
        <f t="shared" si="2"/>
        <v>1979</v>
      </c>
      <c r="L2147" s="9" t="str">
        <f t="shared" si="3"/>
        <v>tier - 2</v>
      </c>
      <c r="M2147" s="9" t="str">
        <f t="shared" si="4"/>
        <v>tier - 2</v>
      </c>
      <c r="N2147" s="9" t="str">
        <f t="shared" si="5"/>
        <v>R1021</v>
      </c>
      <c r="O2147" s="17">
        <f t="shared" si="6"/>
        <v>43</v>
      </c>
      <c r="P2147" s="18">
        <v>29208.0</v>
      </c>
    </row>
    <row r="2148" ht="15.75" customHeight="1">
      <c r="A2148" s="9" t="s">
        <v>235</v>
      </c>
      <c r="B2148" s="17">
        <v>2003.0</v>
      </c>
      <c r="C2148" s="9" t="s">
        <v>4741</v>
      </c>
      <c r="D2148" s="9">
        <v>16.0</v>
      </c>
      <c r="E2148" s="18">
        <f t="shared" si="1"/>
        <v>37818</v>
      </c>
      <c r="F2148" s="9">
        <v>0.0</v>
      </c>
      <c r="G2148" s="19">
        <v>39722.75</v>
      </c>
      <c r="H2148" s="9" t="s">
        <v>4718</v>
      </c>
      <c r="I2148" s="9" t="s">
        <v>4718</v>
      </c>
      <c r="J2148" s="9" t="s">
        <v>4743</v>
      </c>
      <c r="K2148" s="20">
        <f t="shared" si="2"/>
        <v>2003</v>
      </c>
      <c r="L2148" s="9" t="str">
        <f t="shared" si="3"/>
        <v>tier - 1</v>
      </c>
      <c r="M2148" s="9" t="str">
        <f t="shared" si="4"/>
        <v>tier - 1</v>
      </c>
      <c r="N2148" s="9" t="str">
        <f t="shared" si="5"/>
        <v>R1013</v>
      </c>
      <c r="O2148" s="17">
        <f t="shared" si="6"/>
        <v>19</v>
      </c>
      <c r="P2148" s="18">
        <v>37818.0</v>
      </c>
    </row>
    <row r="2149" ht="15.75" customHeight="1">
      <c r="A2149" s="9" t="s">
        <v>2339</v>
      </c>
      <c r="B2149" s="17">
        <v>1972.0</v>
      </c>
      <c r="C2149" s="9" t="s">
        <v>4720</v>
      </c>
      <c r="D2149" s="9">
        <v>23.0</v>
      </c>
      <c r="E2149" s="18">
        <f t="shared" si="1"/>
        <v>26595</v>
      </c>
      <c r="F2149" s="9">
        <v>2.0</v>
      </c>
      <c r="G2149" s="19">
        <v>9630.4</v>
      </c>
      <c r="H2149" s="9" t="s">
        <v>4723</v>
      </c>
      <c r="I2149" s="9" t="s">
        <v>4723</v>
      </c>
      <c r="J2149" s="9" t="s">
        <v>4719</v>
      </c>
      <c r="K2149" s="20">
        <f t="shared" si="2"/>
        <v>1972</v>
      </c>
      <c r="L2149" s="9" t="str">
        <f t="shared" si="3"/>
        <v>tier - 2</v>
      </c>
      <c r="M2149" s="9" t="str">
        <f t="shared" si="4"/>
        <v>tier - 2</v>
      </c>
      <c r="N2149" s="9" t="str">
        <f t="shared" si="5"/>
        <v>R1011</v>
      </c>
      <c r="O2149" s="17">
        <f t="shared" si="6"/>
        <v>50</v>
      </c>
      <c r="P2149" s="18">
        <v>26595.0</v>
      </c>
    </row>
    <row r="2150" ht="15.75" customHeight="1">
      <c r="A2150" s="9" t="s">
        <v>2337</v>
      </c>
      <c r="B2150" s="17">
        <v>1968.0</v>
      </c>
      <c r="C2150" s="9" t="s">
        <v>4730</v>
      </c>
      <c r="D2150" s="9">
        <v>22.0</v>
      </c>
      <c r="E2150" s="18">
        <f t="shared" si="1"/>
        <v>25011</v>
      </c>
      <c r="F2150" s="9">
        <v>0.0</v>
      </c>
      <c r="G2150" s="19">
        <v>9630.91</v>
      </c>
      <c r="H2150" s="9" t="s">
        <v>4717</v>
      </c>
      <c r="I2150" s="9" t="s">
        <v>4723</v>
      </c>
      <c r="J2150" s="9" t="s">
        <v>4743</v>
      </c>
      <c r="K2150" s="20">
        <f t="shared" si="2"/>
        <v>1968</v>
      </c>
      <c r="L2150" s="9" t="str">
        <f t="shared" si="3"/>
        <v>tier - 3</v>
      </c>
      <c r="M2150" s="9" t="str">
        <f t="shared" si="4"/>
        <v>tier - 2</v>
      </c>
      <c r="N2150" s="9" t="str">
        <f t="shared" si="5"/>
        <v>R1013</v>
      </c>
      <c r="O2150" s="17">
        <f t="shared" si="6"/>
        <v>54</v>
      </c>
      <c r="P2150" s="18">
        <v>25011.0</v>
      </c>
    </row>
    <row r="2151" ht="15.75" customHeight="1">
      <c r="A2151" s="9" t="s">
        <v>2335</v>
      </c>
      <c r="B2151" s="17">
        <v>1970.0</v>
      </c>
      <c r="C2151" s="9" t="s">
        <v>4738</v>
      </c>
      <c r="D2151" s="9">
        <v>30.0</v>
      </c>
      <c r="E2151" s="18">
        <f t="shared" si="1"/>
        <v>25841</v>
      </c>
      <c r="F2151" s="9">
        <v>0.0</v>
      </c>
      <c r="G2151" s="19">
        <v>9634.54</v>
      </c>
      <c r="H2151" s="9" t="s">
        <v>4723</v>
      </c>
      <c r="I2151" s="9" t="s">
        <v>4723</v>
      </c>
      <c r="J2151" s="9" t="s">
        <v>4719</v>
      </c>
      <c r="K2151" s="20">
        <f t="shared" si="2"/>
        <v>1970</v>
      </c>
      <c r="L2151" s="9" t="str">
        <f t="shared" si="3"/>
        <v>tier - 2</v>
      </c>
      <c r="M2151" s="9" t="str">
        <f t="shared" si="4"/>
        <v>tier - 2</v>
      </c>
      <c r="N2151" s="9" t="str">
        <f t="shared" si="5"/>
        <v>R1011</v>
      </c>
      <c r="O2151" s="17">
        <f t="shared" si="6"/>
        <v>52</v>
      </c>
      <c r="P2151" s="18">
        <v>25841.0</v>
      </c>
    </row>
    <row r="2152" ht="15.75" customHeight="1">
      <c r="A2152" s="9" t="s">
        <v>2333</v>
      </c>
      <c r="B2152" s="17">
        <v>1971.0</v>
      </c>
      <c r="C2152" s="9" t="s">
        <v>4741</v>
      </c>
      <c r="D2152" s="9">
        <v>19.0</v>
      </c>
      <c r="E2152" s="18">
        <f t="shared" si="1"/>
        <v>26133</v>
      </c>
      <c r="F2152" s="9">
        <v>0.0</v>
      </c>
      <c r="G2152" s="19">
        <v>9644.25</v>
      </c>
      <c r="H2152" s="9" t="s">
        <v>4723</v>
      </c>
      <c r="I2152" s="9" t="s">
        <v>4718</v>
      </c>
      <c r="J2152" s="9" t="s">
        <v>4733</v>
      </c>
      <c r="K2152" s="20">
        <f t="shared" si="2"/>
        <v>1971</v>
      </c>
      <c r="L2152" s="9" t="str">
        <f t="shared" si="3"/>
        <v>tier - 2</v>
      </c>
      <c r="M2152" s="9" t="str">
        <f t="shared" si="4"/>
        <v>tier - 1</v>
      </c>
      <c r="N2152" s="9" t="str">
        <f t="shared" si="5"/>
        <v>R1012</v>
      </c>
      <c r="O2152" s="17">
        <f t="shared" si="6"/>
        <v>51</v>
      </c>
      <c r="P2152" s="18">
        <v>26133.0</v>
      </c>
    </row>
    <row r="2153" ht="15.75" customHeight="1">
      <c r="A2153" s="9" t="s">
        <v>2331</v>
      </c>
      <c r="B2153" s="17">
        <v>1974.0</v>
      </c>
      <c r="C2153" s="9" t="s">
        <v>4741</v>
      </c>
      <c r="D2153" s="9">
        <v>8.0</v>
      </c>
      <c r="E2153" s="18">
        <f t="shared" si="1"/>
        <v>27218</v>
      </c>
      <c r="F2153" s="9">
        <v>0.0</v>
      </c>
      <c r="G2153" s="19">
        <v>9653.81</v>
      </c>
      <c r="H2153" s="9" t="s">
        <v>4723</v>
      </c>
      <c r="I2153" s="9" t="s">
        <v>4723</v>
      </c>
      <c r="J2153" s="9" t="s">
        <v>4719</v>
      </c>
      <c r="K2153" s="20">
        <f t="shared" si="2"/>
        <v>1974</v>
      </c>
      <c r="L2153" s="9" t="str">
        <f t="shared" si="3"/>
        <v>tier - 2</v>
      </c>
      <c r="M2153" s="9" t="str">
        <f t="shared" si="4"/>
        <v>tier - 2</v>
      </c>
      <c r="N2153" s="9" t="str">
        <f t="shared" si="5"/>
        <v>R1011</v>
      </c>
      <c r="O2153" s="17">
        <f t="shared" si="6"/>
        <v>48</v>
      </c>
      <c r="P2153" s="18">
        <v>27218.0</v>
      </c>
    </row>
    <row r="2154" ht="15.75" customHeight="1">
      <c r="A2154" s="9" t="s">
        <v>2329</v>
      </c>
      <c r="B2154" s="17">
        <v>1981.0</v>
      </c>
      <c r="C2154" s="9" t="s">
        <v>4716</v>
      </c>
      <c r="D2154" s="9">
        <v>8.0</v>
      </c>
      <c r="E2154" s="18">
        <f t="shared" si="1"/>
        <v>29806</v>
      </c>
      <c r="F2154" s="9">
        <v>1.0</v>
      </c>
      <c r="G2154" s="19">
        <v>9664.34</v>
      </c>
      <c r="H2154" s="9" t="s">
        <v>4723</v>
      </c>
      <c r="I2154" s="9" t="s">
        <v>4717</v>
      </c>
      <c r="J2154" s="9" t="s">
        <v>4719</v>
      </c>
      <c r="K2154" s="20">
        <f t="shared" si="2"/>
        <v>1981</v>
      </c>
      <c r="L2154" s="9" t="str">
        <f t="shared" si="3"/>
        <v>tier - 2</v>
      </c>
      <c r="M2154" s="9" t="str">
        <f t="shared" si="4"/>
        <v>tier - 3</v>
      </c>
      <c r="N2154" s="9" t="str">
        <f t="shared" si="5"/>
        <v>R1011</v>
      </c>
      <c r="O2154" s="17">
        <f t="shared" si="6"/>
        <v>41</v>
      </c>
      <c r="P2154" s="18">
        <v>29806.0</v>
      </c>
    </row>
    <row r="2155" ht="15.75" customHeight="1">
      <c r="A2155" s="9" t="s">
        <v>2327</v>
      </c>
      <c r="B2155" s="17">
        <v>1966.0</v>
      </c>
      <c r="C2155" s="9" t="s">
        <v>4738</v>
      </c>
      <c r="D2155" s="9">
        <v>16.0</v>
      </c>
      <c r="E2155" s="18">
        <f t="shared" si="1"/>
        <v>24366</v>
      </c>
      <c r="F2155" s="9">
        <v>0.0</v>
      </c>
      <c r="G2155" s="19">
        <v>9684.29</v>
      </c>
      <c r="H2155" s="9" t="s">
        <v>4717</v>
      </c>
      <c r="I2155" s="9" t="s">
        <v>4723</v>
      </c>
      <c r="J2155" s="9" t="s">
        <v>4743</v>
      </c>
      <c r="K2155" s="20">
        <f t="shared" si="2"/>
        <v>1966</v>
      </c>
      <c r="L2155" s="9" t="str">
        <f t="shared" si="3"/>
        <v>tier - 3</v>
      </c>
      <c r="M2155" s="9" t="str">
        <f t="shared" si="4"/>
        <v>tier - 2</v>
      </c>
      <c r="N2155" s="9" t="str">
        <f t="shared" si="5"/>
        <v>R1013</v>
      </c>
      <c r="O2155" s="17">
        <f t="shared" si="6"/>
        <v>56</v>
      </c>
      <c r="P2155" s="18">
        <v>24366.0</v>
      </c>
    </row>
    <row r="2156" ht="15.75" customHeight="1">
      <c r="A2156" s="9" t="s">
        <v>2325</v>
      </c>
      <c r="B2156" s="17">
        <v>1964.0</v>
      </c>
      <c r="C2156" s="9" t="s">
        <v>4735</v>
      </c>
      <c r="D2156" s="9">
        <v>7.0</v>
      </c>
      <c r="E2156" s="18">
        <f t="shared" si="1"/>
        <v>23688</v>
      </c>
      <c r="F2156" s="9">
        <v>0.0</v>
      </c>
      <c r="G2156" s="19">
        <v>9698.42</v>
      </c>
      <c r="H2156" s="9" t="s">
        <v>4717</v>
      </c>
      <c r="I2156" s="9" t="s">
        <v>4717</v>
      </c>
      <c r="J2156" s="9" t="s">
        <v>4743</v>
      </c>
      <c r="K2156" s="20">
        <f t="shared" si="2"/>
        <v>1964</v>
      </c>
      <c r="L2156" s="9" t="str">
        <f t="shared" si="3"/>
        <v>tier - 3</v>
      </c>
      <c r="M2156" s="9" t="str">
        <f t="shared" si="4"/>
        <v>tier - 3</v>
      </c>
      <c r="N2156" s="9" t="str">
        <f t="shared" si="5"/>
        <v>R1013</v>
      </c>
      <c r="O2156" s="17">
        <f t="shared" si="6"/>
        <v>58</v>
      </c>
      <c r="P2156" s="18">
        <v>23688.0</v>
      </c>
    </row>
    <row r="2157" ht="15.75" customHeight="1">
      <c r="A2157" s="9" t="s">
        <v>2323</v>
      </c>
      <c r="B2157" s="17">
        <v>1977.0</v>
      </c>
      <c r="C2157" s="9" t="s">
        <v>4738</v>
      </c>
      <c r="D2157" s="9">
        <v>19.0</v>
      </c>
      <c r="E2157" s="18">
        <f t="shared" si="1"/>
        <v>28387</v>
      </c>
      <c r="F2157" s="9">
        <v>3.0</v>
      </c>
      <c r="G2157" s="19">
        <v>9704.67</v>
      </c>
      <c r="H2157" s="9" t="s">
        <v>4723</v>
      </c>
      <c r="I2157" s="9" t="s">
        <v>4717</v>
      </c>
      <c r="J2157" s="9" t="s">
        <v>4731</v>
      </c>
      <c r="K2157" s="20">
        <f t="shared" si="2"/>
        <v>1977</v>
      </c>
      <c r="L2157" s="9" t="str">
        <f t="shared" si="3"/>
        <v>tier - 2</v>
      </c>
      <c r="M2157" s="9" t="str">
        <f t="shared" si="4"/>
        <v>tier - 3</v>
      </c>
      <c r="N2157" s="9" t="str">
        <f t="shared" si="5"/>
        <v>R1024</v>
      </c>
      <c r="O2157" s="17">
        <f t="shared" si="6"/>
        <v>45</v>
      </c>
      <c r="P2157" s="18">
        <v>28387.0</v>
      </c>
    </row>
    <row r="2158" ht="15.75" customHeight="1">
      <c r="A2158" s="9" t="s">
        <v>2321</v>
      </c>
      <c r="B2158" s="17">
        <v>1972.0</v>
      </c>
      <c r="C2158" s="9" t="s">
        <v>4741</v>
      </c>
      <c r="D2158" s="9">
        <v>10.0</v>
      </c>
      <c r="E2158" s="18">
        <f t="shared" si="1"/>
        <v>26490</v>
      </c>
      <c r="F2158" s="9">
        <v>0.0</v>
      </c>
      <c r="G2158" s="19">
        <v>9710.71</v>
      </c>
      <c r="H2158" s="9" t="s">
        <v>4723</v>
      </c>
      <c r="I2158" s="9" t="s">
        <v>4718</v>
      </c>
      <c r="J2158" s="9" t="s">
        <v>4751</v>
      </c>
      <c r="K2158" s="20">
        <f t="shared" si="2"/>
        <v>1972</v>
      </c>
      <c r="L2158" s="9" t="str">
        <f t="shared" si="3"/>
        <v>tier - 2</v>
      </c>
      <c r="M2158" s="9" t="str">
        <f t="shared" si="4"/>
        <v>tier - 1</v>
      </c>
      <c r="N2158" s="9" t="str">
        <f t="shared" si="5"/>
        <v>R1021</v>
      </c>
      <c r="O2158" s="17">
        <f t="shared" si="6"/>
        <v>50</v>
      </c>
      <c r="P2158" s="18">
        <v>26490.0</v>
      </c>
    </row>
    <row r="2159" ht="15.75" customHeight="1">
      <c r="A2159" s="9" t="s">
        <v>233</v>
      </c>
      <c r="B2159" s="17">
        <v>1977.0</v>
      </c>
      <c r="C2159" s="9" t="s">
        <v>4716</v>
      </c>
      <c r="D2159" s="9">
        <v>12.0</v>
      </c>
      <c r="E2159" s="18">
        <f t="shared" si="1"/>
        <v>28349</v>
      </c>
      <c r="F2159" s="9">
        <v>1.0</v>
      </c>
      <c r="G2159" s="19">
        <v>39725.52</v>
      </c>
      <c r="H2159" s="9" t="s">
        <v>4723</v>
      </c>
      <c r="I2159" s="9" t="s">
        <v>4718</v>
      </c>
      <c r="J2159" s="9" t="s">
        <v>4733</v>
      </c>
      <c r="K2159" s="20">
        <f t="shared" si="2"/>
        <v>1977</v>
      </c>
      <c r="L2159" s="9" t="str">
        <f t="shared" si="3"/>
        <v>tier - 2</v>
      </c>
      <c r="M2159" s="9" t="str">
        <f t="shared" si="4"/>
        <v>tier - 1</v>
      </c>
      <c r="N2159" s="9" t="str">
        <f t="shared" si="5"/>
        <v>R1012</v>
      </c>
      <c r="O2159" s="17">
        <f t="shared" si="6"/>
        <v>45</v>
      </c>
      <c r="P2159" s="18">
        <v>28349.0</v>
      </c>
    </row>
    <row r="2160" ht="15.75" customHeight="1">
      <c r="A2160" s="9" t="s">
        <v>2319</v>
      </c>
      <c r="B2160" s="17">
        <v>1975.0</v>
      </c>
      <c r="C2160" s="9" t="s">
        <v>4730</v>
      </c>
      <c r="D2160" s="9">
        <v>27.0</v>
      </c>
      <c r="E2160" s="18">
        <f t="shared" si="1"/>
        <v>27572</v>
      </c>
      <c r="F2160" s="9">
        <v>2.0</v>
      </c>
      <c r="G2160" s="19">
        <v>9715.84</v>
      </c>
      <c r="H2160" s="9" t="s">
        <v>4723</v>
      </c>
      <c r="I2160" s="9" t="s">
        <v>4718</v>
      </c>
      <c r="J2160" s="9" t="s">
        <v>4731</v>
      </c>
      <c r="K2160" s="20">
        <f t="shared" si="2"/>
        <v>1975</v>
      </c>
      <c r="L2160" s="9" t="str">
        <f t="shared" si="3"/>
        <v>tier - 2</v>
      </c>
      <c r="M2160" s="9" t="str">
        <f t="shared" si="4"/>
        <v>tier - 1</v>
      </c>
      <c r="N2160" s="9" t="str">
        <f t="shared" si="5"/>
        <v>R1024</v>
      </c>
      <c r="O2160" s="17">
        <f t="shared" si="6"/>
        <v>47</v>
      </c>
      <c r="P2160" s="18">
        <v>27572.0</v>
      </c>
    </row>
    <row r="2161" ht="15.75" customHeight="1">
      <c r="A2161" s="9" t="s">
        <v>2317</v>
      </c>
      <c r="B2161" s="17">
        <v>1970.0</v>
      </c>
      <c r="C2161" s="9" t="s">
        <v>4738</v>
      </c>
      <c r="D2161" s="9">
        <v>12.0</v>
      </c>
      <c r="E2161" s="18">
        <f t="shared" si="1"/>
        <v>25823</v>
      </c>
      <c r="F2161" s="9">
        <v>0.0</v>
      </c>
      <c r="G2161" s="19">
        <v>9722.77</v>
      </c>
      <c r="H2161" s="9" t="s">
        <v>4717</v>
      </c>
      <c r="I2161" s="9" t="s">
        <v>4718</v>
      </c>
      <c r="J2161" s="9" t="s">
        <v>4754</v>
      </c>
      <c r="K2161" s="20">
        <f t="shared" si="2"/>
        <v>1970</v>
      </c>
      <c r="L2161" s="9" t="str">
        <f t="shared" si="3"/>
        <v>tier - 3</v>
      </c>
      <c r="M2161" s="9" t="str">
        <f t="shared" si="4"/>
        <v>tier - 1</v>
      </c>
      <c r="N2161" s="9" t="str">
        <f t="shared" si="5"/>
        <v>R1016</v>
      </c>
      <c r="O2161" s="17">
        <f t="shared" si="6"/>
        <v>52</v>
      </c>
      <c r="P2161" s="18">
        <v>25823.0</v>
      </c>
    </row>
    <row r="2162" ht="15.75" customHeight="1">
      <c r="A2162" s="9" t="s">
        <v>2315</v>
      </c>
      <c r="B2162" s="17">
        <v>1970.0</v>
      </c>
      <c r="C2162" s="9" t="s">
        <v>4716</v>
      </c>
      <c r="D2162" s="9">
        <v>18.0</v>
      </c>
      <c r="E2162" s="18">
        <f t="shared" si="1"/>
        <v>25798</v>
      </c>
      <c r="F2162" s="9">
        <v>1.0</v>
      </c>
      <c r="G2162" s="19">
        <v>9724.53</v>
      </c>
      <c r="H2162" s="9" t="s">
        <v>4717</v>
      </c>
      <c r="I2162" s="9" t="s">
        <v>4718</v>
      </c>
      <c r="J2162" s="9" t="s">
        <v>4719</v>
      </c>
      <c r="K2162" s="20">
        <f t="shared" si="2"/>
        <v>1970</v>
      </c>
      <c r="L2162" s="9" t="str">
        <f t="shared" si="3"/>
        <v>tier - 3</v>
      </c>
      <c r="M2162" s="9" t="str">
        <f t="shared" si="4"/>
        <v>tier - 1</v>
      </c>
      <c r="N2162" s="9" t="str">
        <f t="shared" si="5"/>
        <v>R1011</v>
      </c>
      <c r="O2162" s="17">
        <f t="shared" si="6"/>
        <v>52</v>
      </c>
      <c r="P2162" s="18">
        <v>25798.0</v>
      </c>
    </row>
    <row r="2163" ht="15.75" customHeight="1">
      <c r="A2163" s="9" t="s">
        <v>2313</v>
      </c>
      <c r="B2163" s="17">
        <v>1970.0</v>
      </c>
      <c r="C2163" s="9" t="s">
        <v>4741</v>
      </c>
      <c r="D2163" s="9">
        <v>4.0</v>
      </c>
      <c r="E2163" s="18">
        <f t="shared" si="1"/>
        <v>25753</v>
      </c>
      <c r="F2163" s="9">
        <v>1.0</v>
      </c>
      <c r="G2163" s="19">
        <v>9748.91</v>
      </c>
      <c r="H2163" s="9" t="s">
        <v>4723</v>
      </c>
      <c r="I2163" s="9" t="s">
        <v>4718</v>
      </c>
      <c r="J2163" s="9" t="s">
        <v>4743</v>
      </c>
      <c r="K2163" s="20">
        <f t="shared" si="2"/>
        <v>1970</v>
      </c>
      <c r="L2163" s="9" t="str">
        <f t="shared" si="3"/>
        <v>tier - 2</v>
      </c>
      <c r="M2163" s="9" t="str">
        <f t="shared" si="4"/>
        <v>tier - 1</v>
      </c>
      <c r="N2163" s="9" t="str">
        <f t="shared" si="5"/>
        <v>R1013</v>
      </c>
      <c r="O2163" s="17">
        <f t="shared" si="6"/>
        <v>52</v>
      </c>
      <c r="P2163" s="18">
        <v>25753.0</v>
      </c>
    </row>
    <row r="2164" ht="15.75" customHeight="1">
      <c r="A2164" s="9" t="s">
        <v>2311</v>
      </c>
      <c r="B2164" s="17">
        <v>2001.0</v>
      </c>
      <c r="C2164" s="9" t="s">
        <v>4741</v>
      </c>
      <c r="D2164" s="9">
        <v>14.0</v>
      </c>
      <c r="E2164" s="18">
        <f t="shared" si="1"/>
        <v>37086</v>
      </c>
      <c r="F2164" s="9">
        <v>0.0</v>
      </c>
      <c r="G2164" s="19">
        <v>9753.49</v>
      </c>
      <c r="H2164" s="9" t="s">
        <v>4723</v>
      </c>
      <c r="I2164" s="9" t="s">
        <v>4723</v>
      </c>
      <c r="J2164" s="9" t="s">
        <v>4733</v>
      </c>
      <c r="K2164" s="20">
        <f t="shared" si="2"/>
        <v>2001</v>
      </c>
      <c r="L2164" s="9" t="str">
        <f t="shared" si="3"/>
        <v>tier - 2</v>
      </c>
      <c r="M2164" s="9" t="str">
        <f t="shared" si="4"/>
        <v>tier - 2</v>
      </c>
      <c r="N2164" s="9" t="str">
        <f t="shared" si="5"/>
        <v>R1012</v>
      </c>
      <c r="O2164" s="17">
        <f t="shared" si="6"/>
        <v>21</v>
      </c>
      <c r="P2164" s="18">
        <v>37086.0</v>
      </c>
    </row>
    <row r="2165" ht="15.75" customHeight="1">
      <c r="A2165" s="9" t="s">
        <v>2309</v>
      </c>
      <c r="B2165" s="17">
        <v>1965.0</v>
      </c>
      <c r="C2165" s="9" t="s">
        <v>4738</v>
      </c>
      <c r="D2165" s="9">
        <v>5.0</v>
      </c>
      <c r="E2165" s="18">
        <f t="shared" si="1"/>
        <v>23990</v>
      </c>
      <c r="F2165" s="9">
        <v>0.0</v>
      </c>
      <c r="G2165" s="19">
        <v>9764.08</v>
      </c>
      <c r="H2165" s="9" t="s">
        <v>4717</v>
      </c>
      <c r="I2165" s="9" t="s">
        <v>4718</v>
      </c>
      <c r="J2165" s="9" t="s">
        <v>4733</v>
      </c>
      <c r="K2165" s="20">
        <f t="shared" si="2"/>
        <v>1965</v>
      </c>
      <c r="L2165" s="9" t="str">
        <f t="shared" si="3"/>
        <v>tier - 3</v>
      </c>
      <c r="M2165" s="9" t="str">
        <f t="shared" si="4"/>
        <v>tier - 1</v>
      </c>
      <c r="N2165" s="9" t="str">
        <f t="shared" si="5"/>
        <v>R1012</v>
      </c>
      <c r="O2165" s="17">
        <f t="shared" si="6"/>
        <v>57</v>
      </c>
      <c r="P2165" s="18">
        <v>23990.0</v>
      </c>
    </row>
    <row r="2166" ht="15.75" customHeight="1">
      <c r="A2166" s="9" t="s">
        <v>2307</v>
      </c>
      <c r="B2166" s="17">
        <v>1973.0</v>
      </c>
      <c r="C2166" s="9" t="s">
        <v>4741</v>
      </c>
      <c r="D2166" s="9">
        <v>7.0</v>
      </c>
      <c r="E2166" s="18">
        <f t="shared" si="1"/>
        <v>26852</v>
      </c>
      <c r="F2166" s="9">
        <v>1.0</v>
      </c>
      <c r="G2166" s="19">
        <v>9778.35</v>
      </c>
      <c r="H2166" s="9" t="s">
        <v>4723</v>
      </c>
      <c r="I2166" s="9" t="s">
        <v>4723</v>
      </c>
      <c r="J2166" s="9" t="s">
        <v>4731</v>
      </c>
      <c r="K2166" s="20">
        <f t="shared" si="2"/>
        <v>1973</v>
      </c>
      <c r="L2166" s="9" t="str">
        <f t="shared" si="3"/>
        <v>tier - 2</v>
      </c>
      <c r="M2166" s="9" t="str">
        <f t="shared" si="4"/>
        <v>tier - 2</v>
      </c>
      <c r="N2166" s="9" t="str">
        <f t="shared" si="5"/>
        <v>R1024</v>
      </c>
      <c r="O2166" s="17">
        <f t="shared" si="6"/>
        <v>49</v>
      </c>
      <c r="P2166" s="18">
        <v>26852.0</v>
      </c>
    </row>
    <row r="2167" ht="15.75" customHeight="1">
      <c r="A2167" s="9" t="s">
        <v>2305</v>
      </c>
      <c r="B2167" s="17">
        <v>1996.0</v>
      </c>
      <c r="C2167" s="9" t="s">
        <v>4716</v>
      </c>
      <c r="D2167" s="9">
        <v>8.0</v>
      </c>
      <c r="E2167" s="18">
        <f t="shared" si="1"/>
        <v>35285</v>
      </c>
      <c r="F2167" s="9">
        <v>0.0</v>
      </c>
      <c r="G2167" s="19">
        <v>9787.32</v>
      </c>
      <c r="H2167" s="9" t="s">
        <v>4723</v>
      </c>
      <c r="I2167" s="9" t="s">
        <v>4717</v>
      </c>
      <c r="J2167" s="9" t="s">
        <v>4756</v>
      </c>
      <c r="K2167" s="20">
        <f t="shared" si="2"/>
        <v>1996</v>
      </c>
      <c r="L2167" s="9" t="str">
        <f t="shared" si="3"/>
        <v>tier - 2</v>
      </c>
      <c r="M2167" s="9" t="str">
        <f t="shared" si="4"/>
        <v>tier - 3</v>
      </c>
      <c r="N2167" s="9" t="str">
        <f t="shared" si="5"/>
        <v>R1023</v>
      </c>
      <c r="O2167" s="17">
        <f t="shared" si="6"/>
        <v>26</v>
      </c>
      <c r="P2167" s="18">
        <v>35285.0</v>
      </c>
    </row>
    <row r="2168" ht="15.75" customHeight="1">
      <c r="A2168" s="9" t="s">
        <v>2303</v>
      </c>
      <c r="B2168" s="17">
        <v>1977.0</v>
      </c>
      <c r="C2168" s="9" t="s">
        <v>4730</v>
      </c>
      <c r="D2168" s="9">
        <v>7.0</v>
      </c>
      <c r="E2168" s="18">
        <f t="shared" si="1"/>
        <v>28283</v>
      </c>
      <c r="F2168" s="9">
        <v>5.0</v>
      </c>
      <c r="G2168" s="19">
        <v>9788.87</v>
      </c>
      <c r="H2168" s="9" t="s">
        <v>4717</v>
      </c>
      <c r="I2168" s="9" t="s">
        <v>4723</v>
      </c>
      <c r="J2168" s="9" t="s">
        <v>4743</v>
      </c>
      <c r="K2168" s="20">
        <f t="shared" si="2"/>
        <v>1977</v>
      </c>
      <c r="L2168" s="9" t="str">
        <f t="shared" si="3"/>
        <v>tier - 3</v>
      </c>
      <c r="M2168" s="9" t="str">
        <f t="shared" si="4"/>
        <v>tier - 2</v>
      </c>
      <c r="N2168" s="9" t="str">
        <f t="shared" si="5"/>
        <v>R1013</v>
      </c>
      <c r="O2168" s="17">
        <f t="shared" si="6"/>
        <v>46</v>
      </c>
      <c r="P2168" s="18">
        <v>28283.0</v>
      </c>
    </row>
    <row r="2169" ht="15.75" customHeight="1">
      <c r="A2169" s="9" t="s">
        <v>2301</v>
      </c>
      <c r="B2169" s="17">
        <v>1973.0</v>
      </c>
      <c r="C2169" s="9" t="s">
        <v>4738</v>
      </c>
      <c r="D2169" s="9">
        <v>17.0</v>
      </c>
      <c r="E2169" s="18">
        <f t="shared" si="1"/>
        <v>26924</v>
      </c>
      <c r="F2169" s="9">
        <v>2.0</v>
      </c>
      <c r="G2169" s="19">
        <v>9800.89</v>
      </c>
      <c r="H2169" s="9" t="s">
        <v>4723</v>
      </c>
      <c r="I2169" s="9" t="s">
        <v>4718</v>
      </c>
      <c r="J2169" s="9" t="s">
        <v>4743</v>
      </c>
      <c r="K2169" s="20">
        <f t="shared" si="2"/>
        <v>1973</v>
      </c>
      <c r="L2169" s="9" t="str">
        <f t="shared" si="3"/>
        <v>tier - 2</v>
      </c>
      <c r="M2169" s="9" t="str">
        <f t="shared" si="4"/>
        <v>tier - 1</v>
      </c>
      <c r="N2169" s="9" t="str">
        <f t="shared" si="5"/>
        <v>R1013</v>
      </c>
      <c r="O2169" s="17">
        <f t="shared" si="6"/>
        <v>49</v>
      </c>
      <c r="P2169" s="18">
        <v>26924.0</v>
      </c>
    </row>
    <row r="2170" ht="15.75" customHeight="1">
      <c r="A2170" s="9" t="s">
        <v>231</v>
      </c>
      <c r="B2170" s="17">
        <v>1973.0</v>
      </c>
      <c r="C2170" s="9" t="s">
        <v>4725</v>
      </c>
      <c r="D2170" s="9">
        <v>17.0</v>
      </c>
      <c r="E2170" s="18">
        <f t="shared" si="1"/>
        <v>27015</v>
      </c>
      <c r="F2170" s="9">
        <v>0.0</v>
      </c>
      <c r="G2170" s="19">
        <v>39727.61</v>
      </c>
      <c r="H2170" s="9" t="s">
        <v>4718</v>
      </c>
      <c r="I2170" s="9" t="s">
        <v>4723</v>
      </c>
      <c r="J2170" s="9" t="s">
        <v>4719</v>
      </c>
      <c r="K2170" s="20">
        <f t="shared" si="2"/>
        <v>1973</v>
      </c>
      <c r="L2170" s="9" t="str">
        <f t="shared" si="3"/>
        <v>tier - 1</v>
      </c>
      <c r="M2170" s="9" t="str">
        <f t="shared" si="4"/>
        <v>tier - 2</v>
      </c>
      <c r="N2170" s="9" t="str">
        <f t="shared" si="5"/>
        <v>R1011</v>
      </c>
      <c r="O2170" s="17">
        <f t="shared" si="6"/>
        <v>49</v>
      </c>
      <c r="P2170" s="18">
        <v>27015.0</v>
      </c>
    </row>
    <row r="2171" ht="15.75" customHeight="1">
      <c r="A2171" s="9" t="s">
        <v>2299</v>
      </c>
      <c r="B2171" s="17">
        <v>1972.0</v>
      </c>
      <c r="C2171" s="9" t="s">
        <v>4730</v>
      </c>
      <c r="D2171" s="9">
        <v>28.0</v>
      </c>
      <c r="E2171" s="18">
        <f t="shared" si="1"/>
        <v>26478</v>
      </c>
      <c r="F2171" s="9">
        <v>0.0</v>
      </c>
      <c r="G2171" s="19">
        <v>9819.25</v>
      </c>
      <c r="H2171" s="9" t="s">
        <v>4723</v>
      </c>
      <c r="I2171" s="9" t="s">
        <v>4723</v>
      </c>
      <c r="J2171" s="9" t="s">
        <v>4751</v>
      </c>
      <c r="K2171" s="20">
        <f t="shared" si="2"/>
        <v>1972</v>
      </c>
      <c r="L2171" s="9" t="str">
        <f t="shared" si="3"/>
        <v>tier - 2</v>
      </c>
      <c r="M2171" s="9" t="str">
        <f t="shared" si="4"/>
        <v>tier - 2</v>
      </c>
      <c r="N2171" s="9" t="str">
        <f t="shared" si="5"/>
        <v>R1021</v>
      </c>
      <c r="O2171" s="17">
        <f t="shared" si="6"/>
        <v>50</v>
      </c>
      <c r="P2171" s="18">
        <v>26478.0</v>
      </c>
    </row>
    <row r="2172" ht="15.75" customHeight="1">
      <c r="A2172" s="9" t="s">
        <v>2297</v>
      </c>
      <c r="B2172" s="17">
        <v>1972.0</v>
      </c>
      <c r="C2172" s="9" t="s">
        <v>4738</v>
      </c>
      <c r="D2172" s="9">
        <v>26.0</v>
      </c>
      <c r="E2172" s="18">
        <f t="shared" si="1"/>
        <v>26568</v>
      </c>
      <c r="F2172" s="9">
        <v>0.0</v>
      </c>
      <c r="G2172" s="19">
        <v>9836.21</v>
      </c>
      <c r="H2172" s="9" t="s">
        <v>4723</v>
      </c>
      <c r="I2172" s="9" t="s">
        <v>4717</v>
      </c>
      <c r="J2172" s="9" t="s">
        <v>4751</v>
      </c>
      <c r="K2172" s="20">
        <f t="shared" si="2"/>
        <v>1972</v>
      </c>
      <c r="L2172" s="9" t="str">
        <f t="shared" si="3"/>
        <v>tier - 2</v>
      </c>
      <c r="M2172" s="9" t="str">
        <f t="shared" si="4"/>
        <v>tier - 3</v>
      </c>
      <c r="N2172" s="9" t="str">
        <f t="shared" si="5"/>
        <v>R1021</v>
      </c>
      <c r="O2172" s="17">
        <f t="shared" si="6"/>
        <v>50</v>
      </c>
      <c r="P2172" s="18">
        <v>26568.0</v>
      </c>
    </row>
    <row r="2173" ht="15.75" customHeight="1">
      <c r="A2173" s="9" t="s">
        <v>2295</v>
      </c>
      <c r="B2173" s="17">
        <v>1992.0</v>
      </c>
      <c r="C2173" s="9" t="s">
        <v>4716</v>
      </c>
      <c r="D2173" s="9">
        <v>13.0</v>
      </c>
      <c r="E2173" s="18">
        <f t="shared" si="1"/>
        <v>33829</v>
      </c>
      <c r="F2173" s="9">
        <v>0.0</v>
      </c>
      <c r="G2173" s="19">
        <v>9844.45</v>
      </c>
      <c r="H2173" s="9" t="s">
        <v>4723</v>
      </c>
      <c r="I2173" s="9" t="s">
        <v>4718</v>
      </c>
      <c r="J2173" s="9" t="s">
        <v>4733</v>
      </c>
      <c r="K2173" s="20">
        <f t="shared" si="2"/>
        <v>1992</v>
      </c>
      <c r="L2173" s="9" t="str">
        <f t="shared" si="3"/>
        <v>tier - 2</v>
      </c>
      <c r="M2173" s="9" t="str">
        <f t="shared" si="4"/>
        <v>tier - 1</v>
      </c>
      <c r="N2173" s="9" t="str">
        <f t="shared" si="5"/>
        <v>R1012</v>
      </c>
      <c r="O2173" s="17">
        <f t="shared" si="6"/>
        <v>30</v>
      </c>
      <c r="P2173" s="18">
        <v>33829.0</v>
      </c>
    </row>
    <row r="2174" ht="15.75" customHeight="1">
      <c r="A2174" s="9" t="s">
        <v>2293</v>
      </c>
      <c r="B2174" s="17">
        <v>1968.0</v>
      </c>
      <c r="C2174" s="9" t="s">
        <v>4735</v>
      </c>
      <c r="D2174" s="9">
        <v>4.0</v>
      </c>
      <c r="E2174" s="18">
        <f t="shared" si="1"/>
        <v>25146</v>
      </c>
      <c r="F2174" s="9">
        <v>0.0</v>
      </c>
      <c r="G2174" s="19">
        <v>9850.43</v>
      </c>
      <c r="H2174" s="9" t="s">
        <v>4717</v>
      </c>
      <c r="I2174" s="9" t="s">
        <v>4717</v>
      </c>
      <c r="J2174" s="9" t="s">
        <v>4719</v>
      </c>
      <c r="K2174" s="20">
        <f t="shared" si="2"/>
        <v>1968</v>
      </c>
      <c r="L2174" s="9" t="str">
        <f t="shared" si="3"/>
        <v>tier - 3</v>
      </c>
      <c r="M2174" s="9" t="str">
        <f t="shared" si="4"/>
        <v>tier - 3</v>
      </c>
      <c r="N2174" s="9" t="str">
        <f t="shared" si="5"/>
        <v>R1011</v>
      </c>
      <c r="O2174" s="17">
        <f t="shared" si="6"/>
        <v>54</v>
      </c>
      <c r="P2174" s="18">
        <v>25146.0</v>
      </c>
    </row>
    <row r="2175" ht="15.75" customHeight="1">
      <c r="A2175" s="9" t="s">
        <v>2291</v>
      </c>
      <c r="B2175" s="17">
        <v>1971.0</v>
      </c>
      <c r="C2175" s="9" t="s">
        <v>4720</v>
      </c>
      <c r="D2175" s="9">
        <v>23.0</v>
      </c>
      <c r="E2175" s="18">
        <f t="shared" si="1"/>
        <v>26229</v>
      </c>
      <c r="F2175" s="9">
        <v>1.0</v>
      </c>
      <c r="G2175" s="19">
        <v>9855.13</v>
      </c>
      <c r="H2175" s="9" t="s">
        <v>4723</v>
      </c>
      <c r="I2175" s="9" t="s">
        <v>4717</v>
      </c>
      <c r="J2175" s="9" t="s">
        <v>4743</v>
      </c>
      <c r="K2175" s="20">
        <f t="shared" si="2"/>
        <v>1971</v>
      </c>
      <c r="L2175" s="9" t="str">
        <f t="shared" si="3"/>
        <v>tier - 2</v>
      </c>
      <c r="M2175" s="9" t="str">
        <f t="shared" si="4"/>
        <v>tier - 3</v>
      </c>
      <c r="N2175" s="9" t="str">
        <f t="shared" si="5"/>
        <v>R1013</v>
      </c>
      <c r="O2175" s="17">
        <f t="shared" si="6"/>
        <v>51</v>
      </c>
      <c r="P2175" s="18">
        <v>26229.0</v>
      </c>
    </row>
    <row r="2176" ht="15.75" customHeight="1">
      <c r="A2176" s="9" t="s">
        <v>2289</v>
      </c>
      <c r="B2176" s="17">
        <v>1971.0</v>
      </c>
      <c r="C2176" s="9" t="s">
        <v>4741</v>
      </c>
      <c r="D2176" s="9">
        <v>17.0</v>
      </c>
      <c r="E2176" s="18">
        <f t="shared" si="1"/>
        <v>26131</v>
      </c>
      <c r="F2176" s="9">
        <v>1.0</v>
      </c>
      <c r="G2176" s="19">
        <v>9861.03</v>
      </c>
      <c r="H2176" s="9" t="s">
        <v>4723</v>
      </c>
      <c r="I2176" s="9" t="s">
        <v>4723</v>
      </c>
      <c r="J2176" s="9" t="s">
        <v>4719</v>
      </c>
      <c r="K2176" s="20">
        <f t="shared" si="2"/>
        <v>1971</v>
      </c>
      <c r="L2176" s="9" t="str">
        <f t="shared" si="3"/>
        <v>tier - 2</v>
      </c>
      <c r="M2176" s="9" t="str">
        <f t="shared" si="4"/>
        <v>tier - 2</v>
      </c>
      <c r="N2176" s="9" t="str">
        <f t="shared" si="5"/>
        <v>R1011</v>
      </c>
      <c r="O2176" s="17">
        <f t="shared" si="6"/>
        <v>51</v>
      </c>
      <c r="P2176" s="18">
        <v>26131.0</v>
      </c>
    </row>
    <row r="2177" ht="15.75" customHeight="1">
      <c r="A2177" s="9" t="s">
        <v>2287</v>
      </c>
      <c r="B2177" s="17">
        <v>1969.0</v>
      </c>
      <c r="C2177" s="9" t="s">
        <v>4720</v>
      </c>
      <c r="D2177" s="9">
        <v>20.0</v>
      </c>
      <c r="E2177" s="18">
        <f t="shared" si="1"/>
        <v>25496</v>
      </c>
      <c r="F2177" s="9">
        <v>0.0</v>
      </c>
      <c r="G2177" s="19">
        <v>9863.47</v>
      </c>
      <c r="H2177" s="9" t="s">
        <v>4717</v>
      </c>
      <c r="I2177" s="9" t="s">
        <v>4717</v>
      </c>
      <c r="J2177" s="9" t="s">
        <v>4733</v>
      </c>
      <c r="K2177" s="20">
        <f t="shared" si="2"/>
        <v>1969</v>
      </c>
      <c r="L2177" s="9" t="str">
        <f t="shared" si="3"/>
        <v>tier - 3</v>
      </c>
      <c r="M2177" s="9" t="str">
        <f t="shared" si="4"/>
        <v>tier - 3</v>
      </c>
      <c r="N2177" s="9" t="str">
        <f t="shared" si="5"/>
        <v>R1012</v>
      </c>
      <c r="O2177" s="17">
        <f t="shared" si="6"/>
        <v>53</v>
      </c>
      <c r="P2177" s="18">
        <v>25496.0</v>
      </c>
    </row>
    <row r="2178" ht="15.75" customHeight="1">
      <c r="A2178" s="9" t="s">
        <v>2285</v>
      </c>
      <c r="B2178" s="17">
        <v>1971.0</v>
      </c>
      <c r="C2178" s="9" t="s">
        <v>4735</v>
      </c>
      <c r="D2178" s="9">
        <v>9.0</v>
      </c>
      <c r="E2178" s="18">
        <f t="shared" si="1"/>
        <v>26246</v>
      </c>
      <c r="F2178" s="9">
        <v>0.0</v>
      </c>
      <c r="G2178" s="19">
        <v>9866.3</v>
      </c>
      <c r="H2178" s="9" t="s">
        <v>4723</v>
      </c>
      <c r="I2178" s="9" t="s">
        <v>4717</v>
      </c>
      <c r="J2178" s="9" t="s">
        <v>4731</v>
      </c>
      <c r="K2178" s="20">
        <f t="shared" si="2"/>
        <v>1971</v>
      </c>
      <c r="L2178" s="9" t="str">
        <f t="shared" si="3"/>
        <v>tier - 2</v>
      </c>
      <c r="M2178" s="9" t="str">
        <f t="shared" si="4"/>
        <v>tier - 3</v>
      </c>
      <c r="N2178" s="9" t="str">
        <f t="shared" si="5"/>
        <v>R1024</v>
      </c>
      <c r="O2178" s="17">
        <f t="shared" si="6"/>
        <v>51</v>
      </c>
      <c r="P2178" s="18">
        <v>26246.0</v>
      </c>
    </row>
    <row r="2179" ht="15.75" customHeight="1">
      <c r="A2179" s="9" t="s">
        <v>2283</v>
      </c>
      <c r="B2179" s="17">
        <v>1969.0</v>
      </c>
      <c r="C2179" s="9" t="s">
        <v>4716</v>
      </c>
      <c r="D2179" s="9">
        <v>13.0</v>
      </c>
      <c r="E2179" s="18">
        <f t="shared" si="1"/>
        <v>25428</v>
      </c>
      <c r="F2179" s="9">
        <v>0.0</v>
      </c>
      <c r="G2179" s="19">
        <v>9869.81</v>
      </c>
      <c r="H2179" s="9" t="s">
        <v>4717</v>
      </c>
      <c r="I2179" s="9" t="s">
        <v>4717</v>
      </c>
      <c r="J2179" s="9" t="s">
        <v>4733</v>
      </c>
      <c r="K2179" s="20">
        <f t="shared" si="2"/>
        <v>1969</v>
      </c>
      <c r="L2179" s="9" t="str">
        <f t="shared" si="3"/>
        <v>tier - 3</v>
      </c>
      <c r="M2179" s="9" t="str">
        <f t="shared" si="4"/>
        <v>tier - 3</v>
      </c>
      <c r="N2179" s="9" t="str">
        <f t="shared" si="5"/>
        <v>R1012</v>
      </c>
      <c r="O2179" s="17">
        <f t="shared" si="6"/>
        <v>53</v>
      </c>
      <c r="P2179" s="18">
        <v>25428.0</v>
      </c>
    </row>
    <row r="2180" ht="15.75" customHeight="1">
      <c r="A2180" s="9" t="s">
        <v>2281</v>
      </c>
      <c r="B2180" s="17">
        <v>1998.0</v>
      </c>
      <c r="C2180" s="9" t="s">
        <v>4741</v>
      </c>
      <c r="D2180" s="9">
        <v>6.0</v>
      </c>
      <c r="E2180" s="18">
        <f t="shared" si="1"/>
        <v>35982</v>
      </c>
      <c r="F2180" s="9">
        <v>0.0</v>
      </c>
      <c r="G2180" s="19">
        <v>9870.59</v>
      </c>
      <c r="H2180" s="9" t="s">
        <v>4723</v>
      </c>
      <c r="I2180" s="9" t="s">
        <v>4723</v>
      </c>
      <c r="J2180" s="9" t="s">
        <v>4756</v>
      </c>
      <c r="K2180" s="20">
        <f t="shared" si="2"/>
        <v>1998</v>
      </c>
      <c r="L2180" s="9" t="str">
        <f t="shared" si="3"/>
        <v>tier - 2</v>
      </c>
      <c r="M2180" s="9" t="str">
        <f t="shared" si="4"/>
        <v>tier - 2</v>
      </c>
      <c r="N2180" s="9" t="str">
        <f t="shared" si="5"/>
        <v>R1023</v>
      </c>
      <c r="O2180" s="17">
        <f t="shared" si="6"/>
        <v>24</v>
      </c>
      <c r="P2180" s="18">
        <v>35982.0</v>
      </c>
    </row>
    <row r="2181" ht="15.75" customHeight="1">
      <c r="A2181" s="9" t="s">
        <v>229</v>
      </c>
      <c r="B2181" s="17">
        <v>1987.0</v>
      </c>
      <c r="C2181" s="9" t="s">
        <v>4741</v>
      </c>
      <c r="D2181" s="9">
        <v>24.0</v>
      </c>
      <c r="E2181" s="18">
        <f t="shared" si="1"/>
        <v>31982</v>
      </c>
      <c r="F2181" s="9">
        <v>1.0</v>
      </c>
      <c r="G2181" s="19">
        <v>39774.28</v>
      </c>
      <c r="H2181" s="9" t="s">
        <v>4718</v>
      </c>
      <c r="I2181" s="9" t="s">
        <v>4718</v>
      </c>
      <c r="J2181" s="9" t="s">
        <v>4752</v>
      </c>
      <c r="K2181" s="20">
        <f t="shared" si="2"/>
        <v>1987</v>
      </c>
      <c r="L2181" s="9" t="str">
        <f t="shared" si="3"/>
        <v>tier - 1</v>
      </c>
      <c r="M2181" s="9" t="str">
        <f t="shared" si="4"/>
        <v>tier - 1</v>
      </c>
      <c r="N2181" s="9" t="str">
        <f t="shared" si="5"/>
        <v>R1014</v>
      </c>
      <c r="O2181" s="17">
        <f t="shared" si="6"/>
        <v>35</v>
      </c>
      <c r="P2181" s="18">
        <v>31982.0</v>
      </c>
    </row>
    <row r="2182" ht="15.75" customHeight="1">
      <c r="A2182" s="9" t="s">
        <v>2279</v>
      </c>
      <c r="B2182" s="17">
        <v>1971.0</v>
      </c>
      <c r="C2182" s="9" t="s">
        <v>4725</v>
      </c>
      <c r="D2182" s="9">
        <v>22.0</v>
      </c>
      <c r="E2182" s="18">
        <f t="shared" si="1"/>
        <v>26289</v>
      </c>
      <c r="F2182" s="9">
        <v>1.0</v>
      </c>
      <c r="G2182" s="19">
        <v>9872.7</v>
      </c>
      <c r="H2182" s="9" t="s">
        <v>4723</v>
      </c>
      <c r="I2182" s="9" t="s">
        <v>4723</v>
      </c>
      <c r="J2182" s="9" t="s">
        <v>4719</v>
      </c>
      <c r="K2182" s="20">
        <f t="shared" si="2"/>
        <v>1971</v>
      </c>
      <c r="L2182" s="9" t="str">
        <f t="shared" si="3"/>
        <v>tier - 2</v>
      </c>
      <c r="M2182" s="9" t="str">
        <f t="shared" si="4"/>
        <v>tier - 2</v>
      </c>
      <c r="N2182" s="9" t="str">
        <f t="shared" si="5"/>
        <v>R1011</v>
      </c>
      <c r="O2182" s="17">
        <f t="shared" si="6"/>
        <v>51</v>
      </c>
      <c r="P2182" s="18">
        <v>26289.0</v>
      </c>
    </row>
    <row r="2183" ht="15.75" customHeight="1">
      <c r="A2183" s="9" t="s">
        <v>2277</v>
      </c>
      <c r="B2183" s="17">
        <v>1971.0</v>
      </c>
      <c r="C2183" s="9" t="s">
        <v>4741</v>
      </c>
      <c r="D2183" s="9">
        <v>3.0</v>
      </c>
      <c r="E2183" s="18">
        <f t="shared" si="1"/>
        <v>26117</v>
      </c>
      <c r="F2183" s="9">
        <v>0.0</v>
      </c>
      <c r="G2183" s="19">
        <v>9875.68</v>
      </c>
      <c r="H2183" s="9" t="s">
        <v>4723</v>
      </c>
      <c r="I2183" s="9" t="s">
        <v>4717</v>
      </c>
      <c r="J2183" s="9" t="s">
        <v>4731</v>
      </c>
      <c r="K2183" s="20">
        <f t="shared" si="2"/>
        <v>1971</v>
      </c>
      <c r="L2183" s="9" t="str">
        <f t="shared" si="3"/>
        <v>tier - 2</v>
      </c>
      <c r="M2183" s="9" t="str">
        <f t="shared" si="4"/>
        <v>tier - 3</v>
      </c>
      <c r="N2183" s="9" t="str">
        <f t="shared" si="5"/>
        <v>R1024</v>
      </c>
      <c r="O2183" s="17">
        <f t="shared" si="6"/>
        <v>51</v>
      </c>
      <c r="P2183" s="18">
        <v>26117.0</v>
      </c>
    </row>
    <row r="2184" ht="15.75" customHeight="1">
      <c r="A2184" s="9" t="s">
        <v>2275</v>
      </c>
      <c r="B2184" s="17">
        <v>1971.0</v>
      </c>
      <c r="C2184" s="9" t="s">
        <v>4720</v>
      </c>
      <c r="D2184" s="9">
        <v>3.0</v>
      </c>
      <c r="E2184" s="18">
        <f t="shared" si="1"/>
        <v>26209</v>
      </c>
      <c r="F2184" s="9">
        <v>1.0</v>
      </c>
      <c r="G2184" s="19">
        <v>9877.61</v>
      </c>
      <c r="H2184" s="9" t="s">
        <v>4723</v>
      </c>
      <c r="I2184" s="9" t="s">
        <v>4718</v>
      </c>
      <c r="J2184" s="9" t="s">
        <v>4743</v>
      </c>
      <c r="K2184" s="20">
        <f t="shared" si="2"/>
        <v>1971</v>
      </c>
      <c r="L2184" s="9" t="str">
        <f t="shared" si="3"/>
        <v>tier - 2</v>
      </c>
      <c r="M2184" s="9" t="str">
        <f t="shared" si="4"/>
        <v>tier - 1</v>
      </c>
      <c r="N2184" s="9" t="str">
        <f t="shared" si="5"/>
        <v>R1013</v>
      </c>
      <c r="O2184" s="17">
        <f t="shared" si="6"/>
        <v>51</v>
      </c>
      <c r="P2184" s="18">
        <v>26209.0</v>
      </c>
    </row>
    <row r="2185" ht="15.75" customHeight="1">
      <c r="A2185" s="9" t="s">
        <v>2273</v>
      </c>
      <c r="B2185" s="17">
        <v>1971.0</v>
      </c>
      <c r="C2185" s="9" t="s">
        <v>4735</v>
      </c>
      <c r="D2185" s="9">
        <v>8.0</v>
      </c>
      <c r="E2185" s="18">
        <f t="shared" si="1"/>
        <v>26245</v>
      </c>
      <c r="F2185" s="9">
        <v>1.0</v>
      </c>
      <c r="G2185" s="19">
        <v>9880.07</v>
      </c>
      <c r="H2185" s="9" t="s">
        <v>4723</v>
      </c>
      <c r="I2185" s="9" t="s">
        <v>4717</v>
      </c>
      <c r="J2185" s="9" t="s">
        <v>4719</v>
      </c>
      <c r="K2185" s="20">
        <f t="shared" si="2"/>
        <v>1971</v>
      </c>
      <c r="L2185" s="9" t="str">
        <f t="shared" si="3"/>
        <v>tier - 2</v>
      </c>
      <c r="M2185" s="9" t="str">
        <f t="shared" si="4"/>
        <v>tier - 3</v>
      </c>
      <c r="N2185" s="9" t="str">
        <f t="shared" si="5"/>
        <v>R1011</v>
      </c>
      <c r="O2185" s="17">
        <f t="shared" si="6"/>
        <v>51</v>
      </c>
      <c r="P2185" s="18">
        <v>26245.0</v>
      </c>
    </row>
    <row r="2186" ht="15.75" customHeight="1">
      <c r="A2186" s="9" t="s">
        <v>2271</v>
      </c>
      <c r="B2186" s="17">
        <v>1966.0</v>
      </c>
      <c r="C2186" s="9" t="s">
        <v>4735</v>
      </c>
      <c r="D2186" s="9">
        <v>5.0</v>
      </c>
      <c r="E2186" s="18">
        <f t="shared" si="1"/>
        <v>24416</v>
      </c>
      <c r="F2186" s="9">
        <v>0.0</v>
      </c>
      <c r="G2186" s="19">
        <v>9890.23</v>
      </c>
      <c r="H2186" s="9" t="s">
        <v>4717</v>
      </c>
      <c r="I2186" s="9" t="s">
        <v>4717</v>
      </c>
      <c r="J2186" s="9" t="s">
        <v>4743</v>
      </c>
      <c r="K2186" s="20">
        <f t="shared" si="2"/>
        <v>1966</v>
      </c>
      <c r="L2186" s="9" t="str">
        <f t="shared" si="3"/>
        <v>tier - 3</v>
      </c>
      <c r="M2186" s="9" t="str">
        <f t="shared" si="4"/>
        <v>tier - 3</v>
      </c>
      <c r="N2186" s="9" t="str">
        <f t="shared" si="5"/>
        <v>R1013</v>
      </c>
      <c r="O2186" s="17">
        <f t="shared" si="6"/>
        <v>56</v>
      </c>
      <c r="P2186" s="18">
        <v>24416.0</v>
      </c>
    </row>
    <row r="2187" ht="15.75" customHeight="1">
      <c r="A2187" s="9" t="s">
        <v>2269</v>
      </c>
      <c r="B2187" s="17">
        <v>1996.0</v>
      </c>
      <c r="C2187" s="9" t="s">
        <v>4741</v>
      </c>
      <c r="D2187" s="9">
        <v>8.0</v>
      </c>
      <c r="E2187" s="18">
        <f t="shared" si="1"/>
        <v>35254</v>
      </c>
      <c r="F2187" s="9">
        <v>0.0</v>
      </c>
      <c r="G2187" s="19">
        <v>9894.69</v>
      </c>
      <c r="H2187" s="9" t="s">
        <v>4723</v>
      </c>
      <c r="I2187" s="9" t="s">
        <v>4717</v>
      </c>
      <c r="J2187" s="9" t="s">
        <v>4733</v>
      </c>
      <c r="K2187" s="20">
        <f t="shared" si="2"/>
        <v>1996</v>
      </c>
      <c r="L2187" s="9" t="str">
        <f t="shared" si="3"/>
        <v>tier - 2</v>
      </c>
      <c r="M2187" s="9" t="str">
        <f t="shared" si="4"/>
        <v>tier - 3</v>
      </c>
      <c r="N2187" s="9" t="str">
        <f t="shared" si="5"/>
        <v>R1012</v>
      </c>
      <c r="O2187" s="17">
        <f t="shared" si="6"/>
        <v>26</v>
      </c>
      <c r="P2187" s="18">
        <v>35254.0</v>
      </c>
    </row>
    <row r="2188" ht="15.75" customHeight="1">
      <c r="A2188" s="9" t="s">
        <v>2267</v>
      </c>
      <c r="B2188" s="17">
        <v>1962.0</v>
      </c>
      <c r="C2188" s="9" t="s">
        <v>4716</v>
      </c>
      <c r="D2188" s="9">
        <v>17.0</v>
      </c>
      <c r="E2188" s="18">
        <f t="shared" si="1"/>
        <v>22875</v>
      </c>
      <c r="F2188" s="9">
        <v>0.0</v>
      </c>
      <c r="G2188" s="19">
        <v>9907.83</v>
      </c>
      <c r="H2188" s="9" t="s">
        <v>4717</v>
      </c>
      <c r="I2188" s="9" t="s">
        <v>4723</v>
      </c>
      <c r="J2188" s="9" t="s">
        <v>4743</v>
      </c>
      <c r="K2188" s="20">
        <f t="shared" si="2"/>
        <v>1962</v>
      </c>
      <c r="L2188" s="9" t="str">
        <f t="shared" si="3"/>
        <v>tier - 3</v>
      </c>
      <c r="M2188" s="9" t="str">
        <f t="shared" si="4"/>
        <v>tier - 2</v>
      </c>
      <c r="N2188" s="9" t="str">
        <f t="shared" si="5"/>
        <v>R1013</v>
      </c>
      <c r="O2188" s="17">
        <f t="shared" si="6"/>
        <v>60</v>
      </c>
      <c r="P2188" s="18">
        <v>22875.0</v>
      </c>
    </row>
    <row r="2189" ht="15.75" customHeight="1">
      <c r="A2189" s="9" t="s">
        <v>2265</v>
      </c>
      <c r="B2189" s="17">
        <v>1972.0</v>
      </c>
      <c r="C2189" s="9" t="s">
        <v>4738</v>
      </c>
      <c r="D2189" s="9">
        <v>14.0</v>
      </c>
      <c r="E2189" s="18">
        <f t="shared" si="1"/>
        <v>26556</v>
      </c>
      <c r="F2189" s="9">
        <v>1.0</v>
      </c>
      <c r="G2189" s="19">
        <v>9910.36</v>
      </c>
      <c r="H2189" s="9" t="s">
        <v>4723</v>
      </c>
      <c r="I2189" s="9" t="s">
        <v>4717</v>
      </c>
      <c r="J2189" s="9" t="s">
        <v>4733</v>
      </c>
      <c r="K2189" s="20">
        <f t="shared" si="2"/>
        <v>1972</v>
      </c>
      <c r="L2189" s="9" t="str">
        <f t="shared" si="3"/>
        <v>tier - 2</v>
      </c>
      <c r="M2189" s="9" t="str">
        <f t="shared" si="4"/>
        <v>tier - 3</v>
      </c>
      <c r="N2189" s="9" t="str">
        <f t="shared" si="5"/>
        <v>R1012</v>
      </c>
      <c r="O2189" s="17">
        <f t="shared" si="6"/>
        <v>50</v>
      </c>
      <c r="P2189" s="18">
        <v>26556.0</v>
      </c>
    </row>
    <row r="2190" ht="15.75" customHeight="1">
      <c r="A2190" s="9" t="s">
        <v>2263</v>
      </c>
      <c r="B2190" s="17">
        <v>1985.0</v>
      </c>
      <c r="C2190" s="9" t="s">
        <v>4716</v>
      </c>
      <c r="D2190" s="9">
        <v>19.0</v>
      </c>
      <c r="E2190" s="18">
        <f t="shared" si="1"/>
        <v>31278</v>
      </c>
      <c r="F2190" s="9">
        <v>3.0</v>
      </c>
      <c r="G2190" s="19">
        <v>9930.64</v>
      </c>
      <c r="H2190" s="9" t="s">
        <v>4723</v>
      </c>
      <c r="I2190" s="9" t="s">
        <v>4717</v>
      </c>
      <c r="J2190" s="9" t="s">
        <v>4726</v>
      </c>
      <c r="K2190" s="20">
        <f t="shared" si="2"/>
        <v>1985</v>
      </c>
      <c r="L2190" s="9" t="str">
        <f t="shared" si="3"/>
        <v>tier - 2</v>
      </c>
      <c r="M2190" s="9" t="str">
        <f t="shared" si="4"/>
        <v>tier - 3</v>
      </c>
      <c r="N2190" s="9" t="str">
        <f t="shared" si="5"/>
        <v>R1025</v>
      </c>
      <c r="O2190" s="17">
        <f t="shared" si="6"/>
        <v>37</v>
      </c>
      <c r="P2190" s="18">
        <v>31278.0</v>
      </c>
    </row>
    <row r="2191" ht="15.75" customHeight="1">
      <c r="A2191" s="9" t="s">
        <v>2261</v>
      </c>
      <c r="B2191" s="17">
        <v>1983.0</v>
      </c>
      <c r="C2191" s="9" t="s">
        <v>4725</v>
      </c>
      <c r="D2191" s="9">
        <v>3.0</v>
      </c>
      <c r="E2191" s="18">
        <f t="shared" si="1"/>
        <v>30653</v>
      </c>
      <c r="F2191" s="9">
        <v>3.0</v>
      </c>
      <c r="G2191" s="19">
        <v>9931.96</v>
      </c>
      <c r="H2191" s="9" t="s">
        <v>4723</v>
      </c>
      <c r="I2191" s="9" t="s">
        <v>4723</v>
      </c>
      <c r="J2191" s="9" t="s">
        <v>4733</v>
      </c>
      <c r="K2191" s="20">
        <f t="shared" si="2"/>
        <v>1983</v>
      </c>
      <c r="L2191" s="9" t="str">
        <f t="shared" si="3"/>
        <v>tier - 2</v>
      </c>
      <c r="M2191" s="9" t="str">
        <f t="shared" si="4"/>
        <v>tier - 2</v>
      </c>
      <c r="N2191" s="9" t="str">
        <f t="shared" si="5"/>
        <v>R1012</v>
      </c>
      <c r="O2191" s="17">
        <f t="shared" si="6"/>
        <v>39</v>
      </c>
      <c r="P2191" s="18">
        <v>30653.0</v>
      </c>
    </row>
    <row r="2192" ht="15.75" customHeight="1">
      <c r="A2192" s="9" t="s">
        <v>227</v>
      </c>
      <c r="B2192" s="17">
        <v>1985.0</v>
      </c>
      <c r="C2192" s="9" t="s">
        <v>4741</v>
      </c>
      <c r="D2192" s="9">
        <v>17.0</v>
      </c>
      <c r="E2192" s="18">
        <f t="shared" si="1"/>
        <v>31245</v>
      </c>
      <c r="F2192" s="9">
        <v>2.0</v>
      </c>
      <c r="G2192" s="19">
        <v>39836.52</v>
      </c>
      <c r="H2192" s="9" t="s">
        <v>4723</v>
      </c>
      <c r="I2192" s="9" t="s">
        <v>4718</v>
      </c>
      <c r="J2192" s="9" t="s">
        <v>4719</v>
      </c>
      <c r="K2192" s="20">
        <f t="shared" si="2"/>
        <v>1985</v>
      </c>
      <c r="L2192" s="9" t="str">
        <f t="shared" si="3"/>
        <v>tier - 2</v>
      </c>
      <c r="M2192" s="9" t="str">
        <f t="shared" si="4"/>
        <v>tier - 1</v>
      </c>
      <c r="N2192" s="9" t="str">
        <f t="shared" si="5"/>
        <v>R1011</v>
      </c>
      <c r="O2192" s="17">
        <f t="shared" si="6"/>
        <v>37</v>
      </c>
      <c r="P2192" s="18">
        <v>31245.0</v>
      </c>
    </row>
    <row r="2193" ht="15.75" customHeight="1">
      <c r="A2193" s="9" t="s">
        <v>2259</v>
      </c>
      <c r="B2193" s="17">
        <v>1964.0</v>
      </c>
      <c r="C2193" s="9" t="s">
        <v>4738</v>
      </c>
      <c r="D2193" s="9">
        <v>11.0</v>
      </c>
      <c r="E2193" s="18">
        <f t="shared" si="1"/>
        <v>23631</v>
      </c>
      <c r="F2193" s="9">
        <v>0.0</v>
      </c>
      <c r="G2193" s="19">
        <v>9933.44</v>
      </c>
      <c r="H2193" s="9" t="s">
        <v>4717</v>
      </c>
      <c r="I2193" s="9" t="s">
        <v>4717</v>
      </c>
      <c r="J2193" s="9" t="s">
        <v>4743</v>
      </c>
      <c r="K2193" s="20">
        <f t="shared" si="2"/>
        <v>1964</v>
      </c>
      <c r="L2193" s="9" t="str">
        <f t="shared" si="3"/>
        <v>tier - 3</v>
      </c>
      <c r="M2193" s="9" t="str">
        <f t="shared" si="4"/>
        <v>tier - 3</v>
      </c>
      <c r="N2193" s="9" t="str">
        <f t="shared" si="5"/>
        <v>R1013</v>
      </c>
      <c r="O2193" s="17">
        <f t="shared" si="6"/>
        <v>58</v>
      </c>
      <c r="P2193" s="18">
        <v>23631.0</v>
      </c>
    </row>
    <row r="2194" ht="15.75" customHeight="1">
      <c r="A2194" s="9" t="s">
        <v>2257</v>
      </c>
      <c r="B2194" s="17">
        <v>1971.0</v>
      </c>
      <c r="C2194" s="9" t="s">
        <v>4725</v>
      </c>
      <c r="D2194" s="9">
        <v>26.0</v>
      </c>
      <c r="E2194" s="18">
        <f t="shared" si="1"/>
        <v>26293</v>
      </c>
      <c r="F2194" s="9">
        <v>1.0</v>
      </c>
      <c r="G2194" s="19">
        <v>9957.72</v>
      </c>
      <c r="H2194" s="9" t="s">
        <v>4723</v>
      </c>
      <c r="I2194" s="9" t="s">
        <v>4717</v>
      </c>
      <c r="J2194" s="9" t="s">
        <v>4750</v>
      </c>
      <c r="K2194" s="20">
        <f t="shared" si="2"/>
        <v>1971</v>
      </c>
      <c r="L2194" s="9" t="str">
        <f t="shared" si="3"/>
        <v>tier - 2</v>
      </c>
      <c r="M2194" s="9" t="str">
        <f t="shared" si="4"/>
        <v>tier - 3</v>
      </c>
      <c r="N2194" s="9" t="str">
        <f t="shared" si="5"/>
        <v>R1018</v>
      </c>
      <c r="O2194" s="17">
        <f t="shared" si="6"/>
        <v>51</v>
      </c>
      <c r="P2194" s="18">
        <v>26293.0</v>
      </c>
    </row>
    <row r="2195" ht="15.75" customHeight="1">
      <c r="A2195" s="9" t="s">
        <v>2255</v>
      </c>
      <c r="B2195" s="17">
        <v>1971.0</v>
      </c>
      <c r="C2195" s="9" t="s">
        <v>4720</v>
      </c>
      <c r="D2195" s="9">
        <v>6.0</v>
      </c>
      <c r="E2195" s="18">
        <f t="shared" si="1"/>
        <v>26212</v>
      </c>
      <c r="F2195" s="9">
        <v>1.0</v>
      </c>
      <c r="G2195" s="19">
        <v>9964.06</v>
      </c>
      <c r="H2195" s="9" t="s">
        <v>4723</v>
      </c>
      <c r="I2195" s="9" t="s">
        <v>4723</v>
      </c>
      <c r="J2195" s="9" t="s">
        <v>4728</v>
      </c>
      <c r="K2195" s="20">
        <f t="shared" si="2"/>
        <v>1971</v>
      </c>
      <c r="L2195" s="9" t="str">
        <f t="shared" si="3"/>
        <v>tier - 2</v>
      </c>
      <c r="M2195" s="9" t="str">
        <f t="shared" si="4"/>
        <v>tier - 2</v>
      </c>
      <c r="N2195" s="9" t="str">
        <f t="shared" si="5"/>
        <v>R1019</v>
      </c>
      <c r="O2195" s="17">
        <f t="shared" si="6"/>
        <v>51</v>
      </c>
      <c r="P2195" s="18">
        <v>26212.0</v>
      </c>
    </row>
    <row r="2196" ht="15.75" customHeight="1">
      <c r="A2196" s="9" t="s">
        <v>2253</v>
      </c>
      <c r="B2196" s="17">
        <v>1970.0</v>
      </c>
      <c r="C2196" s="9" t="s">
        <v>4716</v>
      </c>
      <c r="D2196" s="9">
        <v>11.0</v>
      </c>
      <c r="E2196" s="18">
        <f t="shared" si="1"/>
        <v>25791</v>
      </c>
      <c r="F2196" s="9">
        <v>0.0</v>
      </c>
      <c r="G2196" s="19">
        <v>9991.04</v>
      </c>
      <c r="H2196" s="9" t="s">
        <v>4723</v>
      </c>
      <c r="I2196" s="9" t="s">
        <v>4717</v>
      </c>
      <c r="J2196" s="9" t="s">
        <v>4733</v>
      </c>
      <c r="K2196" s="20">
        <f t="shared" si="2"/>
        <v>1970</v>
      </c>
      <c r="L2196" s="9" t="str">
        <f t="shared" si="3"/>
        <v>tier - 2</v>
      </c>
      <c r="M2196" s="9" t="str">
        <f t="shared" si="4"/>
        <v>tier - 3</v>
      </c>
      <c r="N2196" s="9" t="str">
        <f t="shared" si="5"/>
        <v>R1012</v>
      </c>
      <c r="O2196" s="17">
        <f t="shared" si="6"/>
        <v>52</v>
      </c>
      <c r="P2196" s="18">
        <v>25791.0</v>
      </c>
    </row>
    <row r="2197" ht="15.75" customHeight="1">
      <c r="A2197" s="9" t="s">
        <v>2251</v>
      </c>
      <c r="B2197" s="17">
        <v>1988.0</v>
      </c>
      <c r="C2197" s="9" t="s">
        <v>4741</v>
      </c>
      <c r="D2197" s="9">
        <v>3.0</v>
      </c>
      <c r="E2197" s="18">
        <f t="shared" si="1"/>
        <v>32327</v>
      </c>
      <c r="F2197" s="9">
        <v>3.0</v>
      </c>
      <c r="G2197" s="19">
        <v>10011.44</v>
      </c>
      <c r="H2197" s="9" t="s">
        <v>4717</v>
      </c>
      <c r="I2197" s="9" t="s">
        <v>4717</v>
      </c>
      <c r="J2197" s="9" t="s">
        <v>4721</v>
      </c>
      <c r="K2197" s="20">
        <f t="shared" si="2"/>
        <v>1988</v>
      </c>
      <c r="L2197" s="9" t="str">
        <f t="shared" si="3"/>
        <v>tier - 3</v>
      </c>
      <c r="M2197" s="9" t="str">
        <f t="shared" si="4"/>
        <v>tier - 3</v>
      </c>
      <c r="N2197" s="9" t="str">
        <f t="shared" si="5"/>
        <v>R1026</v>
      </c>
      <c r="O2197" s="17">
        <f t="shared" si="6"/>
        <v>34</v>
      </c>
      <c r="P2197" s="18">
        <v>32327.0</v>
      </c>
    </row>
    <row r="2198" ht="15.75" customHeight="1">
      <c r="A2198" s="9" t="s">
        <v>2249</v>
      </c>
      <c r="B2198" s="17">
        <v>1979.0</v>
      </c>
      <c r="C2198" s="9" t="s">
        <v>4725</v>
      </c>
      <c r="D2198" s="9">
        <v>28.0</v>
      </c>
      <c r="E2198" s="18">
        <f t="shared" si="1"/>
        <v>29217</v>
      </c>
      <c r="F2198" s="9">
        <v>2.0</v>
      </c>
      <c r="G2198" s="19">
        <v>10027.15</v>
      </c>
      <c r="H2198" s="9" t="s">
        <v>4717</v>
      </c>
      <c r="I2198" s="9" t="s">
        <v>4718</v>
      </c>
      <c r="J2198" s="9" t="s">
        <v>4751</v>
      </c>
      <c r="K2198" s="20">
        <f t="shared" si="2"/>
        <v>1979</v>
      </c>
      <c r="L2198" s="9" t="str">
        <f t="shared" si="3"/>
        <v>tier - 3</v>
      </c>
      <c r="M2198" s="9" t="str">
        <f t="shared" si="4"/>
        <v>tier - 1</v>
      </c>
      <c r="N2198" s="9" t="str">
        <f t="shared" si="5"/>
        <v>R1021</v>
      </c>
      <c r="O2198" s="17">
        <f t="shared" si="6"/>
        <v>43</v>
      </c>
      <c r="P2198" s="18">
        <v>29217.0</v>
      </c>
    </row>
    <row r="2199" ht="15.75" customHeight="1">
      <c r="A2199" s="9" t="s">
        <v>2247</v>
      </c>
      <c r="B2199" s="17">
        <v>1974.0</v>
      </c>
      <c r="C2199" s="9" t="s">
        <v>4716</v>
      </c>
      <c r="D2199" s="9">
        <v>30.0</v>
      </c>
      <c r="E2199" s="18">
        <f t="shared" si="1"/>
        <v>27271</v>
      </c>
      <c r="F2199" s="9">
        <v>2.0</v>
      </c>
      <c r="G2199" s="19">
        <v>10043.25</v>
      </c>
      <c r="H2199" s="9" t="s">
        <v>4717</v>
      </c>
      <c r="I2199" s="9" t="s">
        <v>4723</v>
      </c>
      <c r="J2199" s="9" t="s">
        <v>4731</v>
      </c>
      <c r="K2199" s="20">
        <f t="shared" si="2"/>
        <v>1974</v>
      </c>
      <c r="L2199" s="9" t="str">
        <f t="shared" si="3"/>
        <v>tier - 3</v>
      </c>
      <c r="M2199" s="9" t="str">
        <f t="shared" si="4"/>
        <v>tier - 2</v>
      </c>
      <c r="N2199" s="9" t="str">
        <f t="shared" si="5"/>
        <v>R1024</v>
      </c>
      <c r="O2199" s="17">
        <f t="shared" si="6"/>
        <v>48</v>
      </c>
      <c r="P2199" s="18">
        <v>27271.0</v>
      </c>
    </row>
    <row r="2200" ht="15.75" customHeight="1">
      <c r="A2200" s="9" t="s">
        <v>2245</v>
      </c>
      <c r="B2200" s="17">
        <v>1969.0</v>
      </c>
      <c r="C2200" s="9" t="s">
        <v>4716</v>
      </c>
      <c r="D2200" s="9">
        <v>22.0</v>
      </c>
      <c r="E2200" s="18">
        <f t="shared" si="1"/>
        <v>25437</v>
      </c>
      <c r="F2200" s="9">
        <v>1.0</v>
      </c>
      <c r="G2200" s="19">
        <v>10065.41</v>
      </c>
      <c r="H2200" s="9" t="s">
        <v>4717</v>
      </c>
      <c r="I2200" s="9" t="s">
        <v>4723</v>
      </c>
      <c r="J2200" s="9" t="s">
        <v>4719</v>
      </c>
      <c r="K2200" s="20">
        <f t="shared" si="2"/>
        <v>1969</v>
      </c>
      <c r="L2200" s="9" t="str">
        <f t="shared" si="3"/>
        <v>tier - 3</v>
      </c>
      <c r="M2200" s="9" t="str">
        <f t="shared" si="4"/>
        <v>tier - 2</v>
      </c>
      <c r="N2200" s="9" t="str">
        <f t="shared" si="5"/>
        <v>R1011</v>
      </c>
      <c r="O2200" s="17">
        <f t="shared" si="6"/>
        <v>53</v>
      </c>
      <c r="P2200" s="18">
        <v>25437.0</v>
      </c>
    </row>
    <row r="2201" ht="15.75" customHeight="1">
      <c r="A2201" s="9" t="s">
        <v>2243</v>
      </c>
      <c r="B2201" s="17">
        <v>1969.0</v>
      </c>
      <c r="C2201" s="9" t="s">
        <v>4720</v>
      </c>
      <c r="D2201" s="9">
        <v>27.0</v>
      </c>
      <c r="E2201" s="18">
        <f t="shared" si="1"/>
        <v>25503</v>
      </c>
      <c r="F2201" s="9">
        <v>0.0</v>
      </c>
      <c r="G2201" s="19">
        <v>10072.06</v>
      </c>
      <c r="H2201" s="9" t="s">
        <v>4717</v>
      </c>
      <c r="I2201" s="9" t="s">
        <v>4718</v>
      </c>
      <c r="J2201" s="9" t="s">
        <v>4753</v>
      </c>
      <c r="K2201" s="20">
        <f t="shared" si="2"/>
        <v>1969</v>
      </c>
      <c r="L2201" s="9" t="str">
        <f t="shared" si="3"/>
        <v>tier - 3</v>
      </c>
      <c r="M2201" s="9" t="str">
        <f t="shared" si="4"/>
        <v>tier - 1</v>
      </c>
      <c r="N2201" s="9" t="str">
        <f t="shared" si="5"/>
        <v>R1017</v>
      </c>
      <c r="O2201" s="17">
        <f t="shared" si="6"/>
        <v>53</v>
      </c>
      <c r="P2201" s="18">
        <v>25503.0</v>
      </c>
    </row>
    <row r="2202" ht="15.75" customHeight="1">
      <c r="A2202" s="9" t="s">
        <v>2241</v>
      </c>
      <c r="B2202" s="17">
        <v>1969.0</v>
      </c>
      <c r="C2202" s="9" t="s">
        <v>4741</v>
      </c>
      <c r="D2202" s="9">
        <v>3.0</v>
      </c>
      <c r="E2202" s="18">
        <f t="shared" si="1"/>
        <v>25387</v>
      </c>
      <c r="F2202" s="9">
        <v>1.0</v>
      </c>
      <c r="G2202" s="19">
        <v>10085.85</v>
      </c>
      <c r="H2202" s="9" t="s">
        <v>4717</v>
      </c>
      <c r="I2202" s="9" t="s">
        <v>4717</v>
      </c>
      <c r="J2202" s="9" t="s">
        <v>4719</v>
      </c>
      <c r="K2202" s="20">
        <f t="shared" si="2"/>
        <v>1969</v>
      </c>
      <c r="L2202" s="9" t="str">
        <f t="shared" si="3"/>
        <v>tier - 3</v>
      </c>
      <c r="M2202" s="9" t="str">
        <f t="shared" si="4"/>
        <v>tier - 3</v>
      </c>
      <c r="N2202" s="9" t="str">
        <f t="shared" si="5"/>
        <v>R1011</v>
      </c>
      <c r="O2202" s="17">
        <f t="shared" si="6"/>
        <v>53</v>
      </c>
      <c r="P2202" s="18">
        <v>25387.0</v>
      </c>
    </row>
    <row r="2203" ht="15.75" customHeight="1">
      <c r="A2203" s="9" t="s">
        <v>225</v>
      </c>
      <c r="B2203" s="17">
        <v>1983.0</v>
      </c>
      <c r="C2203" s="9" t="s">
        <v>4730</v>
      </c>
      <c r="D2203" s="9">
        <v>1.0</v>
      </c>
      <c r="E2203" s="18">
        <f t="shared" si="1"/>
        <v>30468</v>
      </c>
      <c r="F2203" s="9">
        <v>3.0</v>
      </c>
      <c r="G2203" s="19">
        <v>39865.7</v>
      </c>
      <c r="H2203" s="9" t="s">
        <v>4723</v>
      </c>
      <c r="I2203" s="9" t="s">
        <v>4723</v>
      </c>
      <c r="J2203" s="9" t="s">
        <v>4719</v>
      </c>
      <c r="K2203" s="20">
        <f t="shared" si="2"/>
        <v>1983</v>
      </c>
      <c r="L2203" s="9" t="str">
        <f t="shared" si="3"/>
        <v>tier - 2</v>
      </c>
      <c r="M2203" s="9" t="str">
        <f t="shared" si="4"/>
        <v>tier - 2</v>
      </c>
      <c r="N2203" s="9" t="str">
        <f t="shared" si="5"/>
        <v>R1011</v>
      </c>
      <c r="O2203" s="17">
        <f t="shared" si="6"/>
        <v>40</v>
      </c>
      <c r="P2203" s="18">
        <v>30468.0</v>
      </c>
    </row>
    <row r="2204" ht="15.75" customHeight="1">
      <c r="A2204" s="9" t="s">
        <v>2239</v>
      </c>
      <c r="B2204" s="17">
        <v>1976.0</v>
      </c>
      <c r="C2204" s="9" t="s">
        <v>4725</v>
      </c>
      <c r="D2204" s="9">
        <v>19.0</v>
      </c>
      <c r="E2204" s="18">
        <f t="shared" si="1"/>
        <v>28113</v>
      </c>
      <c r="F2204" s="9">
        <v>5.0</v>
      </c>
      <c r="G2204" s="19">
        <v>10096.97</v>
      </c>
      <c r="H2204" s="9" t="s">
        <v>4717</v>
      </c>
      <c r="I2204" s="9" t="s">
        <v>4723</v>
      </c>
      <c r="J2204" s="9" t="s">
        <v>4719</v>
      </c>
      <c r="K2204" s="20">
        <f t="shared" si="2"/>
        <v>1976</v>
      </c>
      <c r="L2204" s="9" t="str">
        <f t="shared" si="3"/>
        <v>tier - 3</v>
      </c>
      <c r="M2204" s="9" t="str">
        <f t="shared" si="4"/>
        <v>tier - 2</v>
      </c>
      <c r="N2204" s="9" t="str">
        <f t="shared" si="5"/>
        <v>R1011</v>
      </c>
      <c r="O2204" s="17">
        <f t="shared" si="6"/>
        <v>46</v>
      </c>
      <c r="P2204" s="18">
        <v>28113.0</v>
      </c>
    </row>
    <row r="2205" ht="15.75" customHeight="1">
      <c r="A2205" s="9" t="s">
        <v>2237</v>
      </c>
      <c r="B2205" s="17">
        <v>1972.0</v>
      </c>
      <c r="C2205" s="9" t="s">
        <v>4720</v>
      </c>
      <c r="D2205" s="9">
        <v>19.0</v>
      </c>
      <c r="E2205" s="18">
        <f t="shared" si="1"/>
        <v>26591</v>
      </c>
      <c r="F2205" s="9">
        <v>1.0</v>
      </c>
      <c r="G2205" s="19">
        <v>10106.13</v>
      </c>
      <c r="H2205" s="9" t="s">
        <v>4717</v>
      </c>
      <c r="I2205" s="9" t="s">
        <v>4718</v>
      </c>
      <c r="J2205" s="9" t="s">
        <v>4731</v>
      </c>
      <c r="K2205" s="20">
        <f t="shared" si="2"/>
        <v>1972</v>
      </c>
      <c r="L2205" s="9" t="str">
        <f t="shared" si="3"/>
        <v>tier - 3</v>
      </c>
      <c r="M2205" s="9" t="str">
        <f t="shared" si="4"/>
        <v>tier - 1</v>
      </c>
      <c r="N2205" s="9" t="str">
        <f t="shared" si="5"/>
        <v>R1024</v>
      </c>
      <c r="O2205" s="17">
        <f t="shared" si="6"/>
        <v>50</v>
      </c>
      <c r="P2205" s="18">
        <v>26591.0</v>
      </c>
    </row>
    <row r="2206" ht="15.75" customHeight="1">
      <c r="A2206" s="9" t="s">
        <v>2235</v>
      </c>
      <c r="B2206" s="17">
        <v>1972.0</v>
      </c>
      <c r="C2206" s="9" t="s">
        <v>4716</v>
      </c>
      <c r="D2206" s="9">
        <v>8.0</v>
      </c>
      <c r="E2206" s="18">
        <f t="shared" si="1"/>
        <v>26519</v>
      </c>
      <c r="F2206" s="9">
        <v>2.0</v>
      </c>
      <c r="G2206" s="19">
        <v>10107.22</v>
      </c>
      <c r="H2206" s="9" t="s">
        <v>4717</v>
      </c>
      <c r="I2206" s="9" t="s">
        <v>4718</v>
      </c>
      <c r="J2206" s="9" t="s">
        <v>4743</v>
      </c>
      <c r="K2206" s="20">
        <f t="shared" si="2"/>
        <v>1972</v>
      </c>
      <c r="L2206" s="9" t="str">
        <f t="shared" si="3"/>
        <v>tier - 3</v>
      </c>
      <c r="M2206" s="9" t="str">
        <f t="shared" si="4"/>
        <v>tier - 1</v>
      </c>
      <c r="N2206" s="9" t="str">
        <f t="shared" si="5"/>
        <v>R1013</v>
      </c>
      <c r="O2206" s="17">
        <f t="shared" si="6"/>
        <v>50</v>
      </c>
      <c r="P2206" s="18">
        <v>26519.0</v>
      </c>
    </row>
    <row r="2207" ht="15.75" customHeight="1">
      <c r="A2207" s="9" t="s">
        <v>2233</v>
      </c>
      <c r="B2207" s="17">
        <v>1975.0</v>
      </c>
      <c r="C2207" s="9" t="s">
        <v>4741</v>
      </c>
      <c r="D2207" s="9">
        <v>2.0</v>
      </c>
      <c r="E2207" s="18">
        <f t="shared" si="1"/>
        <v>27577</v>
      </c>
      <c r="F2207" s="9">
        <v>3.0</v>
      </c>
      <c r="G2207" s="19">
        <v>10115.01</v>
      </c>
      <c r="H2207" s="9" t="s">
        <v>4717</v>
      </c>
      <c r="I2207" s="9" t="s">
        <v>4717</v>
      </c>
      <c r="J2207" s="9" t="s">
        <v>4733</v>
      </c>
      <c r="K2207" s="20">
        <f t="shared" si="2"/>
        <v>1975</v>
      </c>
      <c r="L2207" s="9" t="str">
        <f t="shared" si="3"/>
        <v>tier - 3</v>
      </c>
      <c r="M2207" s="9" t="str">
        <f t="shared" si="4"/>
        <v>tier - 3</v>
      </c>
      <c r="N2207" s="9" t="str">
        <f t="shared" si="5"/>
        <v>R1012</v>
      </c>
      <c r="O2207" s="17">
        <f t="shared" si="6"/>
        <v>47</v>
      </c>
      <c r="P2207" s="18">
        <v>27577.0</v>
      </c>
    </row>
    <row r="2208" ht="15.75" customHeight="1">
      <c r="A2208" s="9" t="s">
        <v>2231</v>
      </c>
      <c r="B2208" s="17">
        <v>1972.0</v>
      </c>
      <c r="C2208" s="9" t="s">
        <v>4735</v>
      </c>
      <c r="D2208" s="9">
        <v>16.0</v>
      </c>
      <c r="E2208" s="18">
        <f t="shared" si="1"/>
        <v>26619</v>
      </c>
      <c r="F2208" s="9">
        <v>2.0</v>
      </c>
      <c r="G2208" s="19">
        <v>10118.42</v>
      </c>
      <c r="H2208" s="9" t="s">
        <v>4717</v>
      </c>
      <c r="I2208" s="9" t="s">
        <v>4717</v>
      </c>
      <c r="J2208" s="9" t="s">
        <v>4719</v>
      </c>
      <c r="K2208" s="20">
        <f t="shared" si="2"/>
        <v>1972</v>
      </c>
      <c r="L2208" s="9" t="str">
        <f t="shared" si="3"/>
        <v>tier - 3</v>
      </c>
      <c r="M2208" s="9" t="str">
        <f t="shared" si="4"/>
        <v>tier - 3</v>
      </c>
      <c r="N2208" s="9" t="str">
        <f t="shared" si="5"/>
        <v>R1011</v>
      </c>
      <c r="O2208" s="17">
        <f t="shared" si="6"/>
        <v>50</v>
      </c>
      <c r="P2208" s="18">
        <v>26619.0</v>
      </c>
    </row>
    <row r="2209" ht="15.75" customHeight="1">
      <c r="A2209" s="9" t="s">
        <v>2229</v>
      </c>
      <c r="B2209" s="17">
        <v>1997.0</v>
      </c>
      <c r="C2209" s="9" t="s">
        <v>4738</v>
      </c>
      <c r="D2209" s="9">
        <v>5.0</v>
      </c>
      <c r="E2209" s="18">
        <f t="shared" si="1"/>
        <v>35678</v>
      </c>
      <c r="F2209" s="9">
        <v>0.0</v>
      </c>
      <c r="G2209" s="19">
        <v>10139.84</v>
      </c>
      <c r="H2209" s="9" t="s">
        <v>4717</v>
      </c>
      <c r="I2209" s="9" t="s">
        <v>4723</v>
      </c>
      <c r="J2209" s="9" t="s">
        <v>4733</v>
      </c>
      <c r="K2209" s="20">
        <f t="shared" si="2"/>
        <v>1997</v>
      </c>
      <c r="L2209" s="9" t="str">
        <f t="shared" si="3"/>
        <v>tier - 3</v>
      </c>
      <c r="M2209" s="9" t="str">
        <f t="shared" si="4"/>
        <v>tier - 2</v>
      </c>
      <c r="N2209" s="9" t="str">
        <f t="shared" si="5"/>
        <v>R1012</v>
      </c>
      <c r="O2209" s="17">
        <f t="shared" si="6"/>
        <v>25</v>
      </c>
      <c r="P2209" s="18">
        <v>35678.0</v>
      </c>
    </row>
    <row r="2210" ht="15.75" customHeight="1">
      <c r="A2210" s="9" t="s">
        <v>2227</v>
      </c>
      <c r="B2210" s="17">
        <v>1974.0</v>
      </c>
      <c r="C2210" s="9" t="s">
        <v>4725</v>
      </c>
      <c r="D2210" s="9">
        <v>30.0</v>
      </c>
      <c r="E2210" s="18">
        <f t="shared" si="1"/>
        <v>27393</v>
      </c>
      <c r="F2210" s="9">
        <v>3.0</v>
      </c>
      <c r="G2210" s="19">
        <v>10141.14</v>
      </c>
      <c r="H2210" s="9" t="s">
        <v>4717</v>
      </c>
      <c r="I2210" s="9" t="s">
        <v>4718</v>
      </c>
      <c r="J2210" s="9" t="s">
        <v>4754</v>
      </c>
      <c r="K2210" s="20">
        <f t="shared" si="2"/>
        <v>1974</v>
      </c>
      <c r="L2210" s="9" t="str">
        <f t="shared" si="3"/>
        <v>tier - 3</v>
      </c>
      <c r="M2210" s="9" t="str">
        <f t="shared" si="4"/>
        <v>tier - 1</v>
      </c>
      <c r="N2210" s="9" t="str">
        <f t="shared" si="5"/>
        <v>R1016</v>
      </c>
      <c r="O2210" s="17">
        <f t="shared" si="6"/>
        <v>48</v>
      </c>
      <c r="P2210" s="18">
        <v>27393.0</v>
      </c>
    </row>
    <row r="2211" ht="15.75" customHeight="1">
      <c r="A2211" s="9" t="s">
        <v>2225</v>
      </c>
      <c r="B2211" s="17">
        <v>1981.0</v>
      </c>
      <c r="C2211" s="9" t="s">
        <v>4730</v>
      </c>
      <c r="D2211" s="9">
        <v>12.0</v>
      </c>
      <c r="E2211" s="18">
        <f t="shared" si="1"/>
        <v>29749</v>
      </c>
      <c r="F2211" s="9">
        <v>1.0</v>
      </c>
      <c r="G2211" s="19">
        <v>10146.13</v>
      </c>
      <c r="H2211" s="9" t="s">
        <v>4717</v>
      </c>
      <c r="I2211" s="9" t="s">
        <v>4718</v>
      </c>
      <c r="J2211" s="9" t="s">
        <v>4726</v>
      </c>
      <c r="K2211" s="20">
        <f t="shared" si="2"/>
        <v>1981</v>
      </c>
      <c r="L2211" s="9" t="str">
        <f t="shared" si="3"/>
        <v>tier - 3</v>
      </c>
      <c r="M2211" s="9" t="str">
        <f t="shared" si="4"/>
        <v>tier - 1</v>
      </c>
      <c r="N2211" s="9" t="str">
        <f t="shared" si="5"/>
        <v>R1025</v>
      </c>
      <c r="O2211" s="17">
        <f t="shared" si="6"/>
        <v>41</v>
      </c>
      <c r="P2211" s="18">
        <v>29749.0</v>
      </c>
    </row>
    <row r="2212" ht="15.75" customHeight="1">
      <c r="A2212" s="9" t="s">
        <v>2223</v>
      </c>
      <c r="B2212" s="17">
        <v>1973.0</v>
      </c>
      <c r="C2212" s="9" t="s">
        <v>4720</v>
      </c>
      <c r="D2212" s="9">
        <v>13.0</v>
      </c>
      <c r="E2212" s="18">
        <f t="shared" si="1"/>
        <v>26950</v>
      </c>
      <c r="F2212" s="9">
        <v>2.0</v>
      </c>
      <c r="G2212" s="19">
        <v>10156.78</v>
      </c>
      <c r="H2212" s="9" t="s">
        <v>4717</v>
      </c>
      <c r="I2212" s="9" t="s">
        <v>4723</v>
      </c>
      <c r="J2212" s="9" t="s">
        <v>4733</v>
      </c>
      <c r="K2212" s="20">
        <f t="shared" si="2"/>
        <v>1973</v>
      </c>
      <c r="L2212" s="9" t="str">
        <f t="shared" si="3"/>
        <v>tier - 3</v>
      </c>
      <c r="M2212" s="9" t="str">
        <f t="shared" si="4"/>
        <v>tier - 2</v>
      </c>
      <c r="N2212" s="9" t="str">
        <f t="shared" si="5"/>
        <v>R1012</v>
      </c>
      <c r="O2212" s="17">
        <f t="shared" si="6"/>
        <v>49</v>
      </c>
      <c r="P2212" s="18">
        <v>26950.0</v>
      </c>
    </row>
    <row r="2213" ht="15.75" customHeight="1">
      <c r="A2213" s="9" t="s">
        <v>2221</v>
      </c>
      <c r="B2213" s="17">
        <v>1972.0</v>
      </c>
      <c r="C2213" s="9" t="s">
        <v>4741</v>
      </c>
      <c r="D2213" s="9">
        <v>10.0</v>
      </c>
      <c r="E2213" s="18">
        <f t="shared" si="1"/>
        <v>26490</v>
      </c>
      <c r="F2213" s="9">
        <v>0.0</v>
      </c>
      <c r="G2213" s="19">
        <v>10160.87</v>
      </c>
      <c r="H2213" s="9" t="s">
        <v>4717</v>
      </c>
      <c r="I2213" s="9" t="s">
        <v>4717</v>
      </c>
      <c r="J2213" s="9" t="s">
        <v>4726</v>
      </c>
      <c r="K2213" s="20">
        <f t="shared" si="2"/>
        <v>1972</v>
      </c>
      <c r="L2213" s="9" t="str">
        <f t="shared" si="3"/>
        <v>tier - 3</v>
      </c>
      <c r="M2213" s="9" t="str">
        <f t="shared" si="4"/>
        <v>tier - 3</v>
      </c>
      <c r="N2213" s="9" t="str">
        <f t="shared" si="5"/>
        <v>R1025</v>
      </c>
      <c r="O2213" s="17">
        <f t="shared" si="6"/>
        <v>50</v>
      </c>
      <c r="P2213" s="18">
        <v>26490.0</v>
      </c>
    </row>
    <row r="2214" ht="15.75" customHeight="1">
      <c r="A2214" s="9" t="s">
        <v>223</v>
      </c>
      <c r="B2214" s="17">
        <v>1985.0</v>
      </c>
      <c r="C2214" s="9" t="s">
        <v>4716</v>
      </c>
      <c r="D2214" s="9">
        <v>22.0</v>
      </c>
      <c r="E2214" s="18">
        <f t="shared" si="1"/>
        <v>31281</v>
      </c>
      <c r="F2214" s="9">
        <v>1.0</v>
      </c>
      <c r="G2214" s="19">
        <v>39871.7</v>
      </c>
      <c r="H2214" s="9" t="s">
        <v>4718</v>
      </c>
      <c r="I2214" s="9" t="s">
        <v>4723</v>
      </c>
      <c r="J2214" s="9" t="s">
        <v>4743</v>
      </c>
      <c r="K2214" s="20">
        <f t="shared" si="2"/>
        <v>1985</v>
      </c>
      <c r="L2214" s="9" t="str">
        <f t="shared" si="3"/>
        <v>tier - 1</v>
      </c>
      <c r="M2214" s="9" t="str">
        <f t="shared" si="4"/>
        <v>tier - 2</v>
      </c>
      <c r="N2214" s="9" t="str">
        <f t="shared" si="5"/>
        <v>R1013</v>
      </c>
      <c r="O2214" s="17">
        <f t="shared" si="6"/>
        <v>37</v>
      </c>
      <c r="P2214" s="18">
        <v>31281.0</v>
      </c>
    </row>
    <row r="2215" ht="15.75" customHeight="1">
      <c r="A2215" s="9" t="s">
        <v>2219</v>
      </c>
      <c r="B2215" s="17">
        <v>1985.0</v>
      </c>
      <c r="C2215" s="9" t="s">
        <v>4720</v>
      </c>
      <c r="D2215" s="9">
        <v>16.0</v>
      </c>
      <c r="E2215" s="18">
        <f t="shared" si="1"/>
        <v>31336</v>
      </c>
      <c r="F2215" s="9">
        <v>3.0</v>
      </c>
      <c r="G2215" s="19">
        <v>10191.82</v>
      </c>
      <c r="H2215" s="9" t="s">
        <v>4717</v>
      </c>
      <c r="I2215" s="9" t="s">
        <v>4723</v>
      </c>
      <c r="J2215" s="9" t="s">
        <v>4721</v>
      </c>
      <c r="K2215" s="20">
        <f t="shared" si="2"/>
        <v>1985</v>
      </c>
      <c r="L2215" s="9" t="str">
        <f t="shared" si="3"/>
        <v>tier - 3</v>
      </c>
      <c r="M2215" s="9" t="str">
        <f t="shared" si="4"/>
        <v>tier - 2</v>
      </c>
      <c r="N2215" s="9" t="str">
        <f t="shared" si="5"/>
        <v>R1026</v>
      </c>
      <c r="O2215" s="17">
        <f t="shared" si="6"/>
        <v>37</v>
      </c>
      <c r="P2215" s="18">
        <v>31336.0</v>
      </c>
    </row>
    <row r="2216" ht="15.75" customHeight="1">
      <c r="A2216" s="9" t="s">
        <v>2217</v>
      </c>
      <c r="B2216" s="17">
        <v>1970.0</v>
      </c>
      <c r="C2216" s="9" t="s">
        <v>4725</v>
      </c>
      <c r="D2216" s="9">
        <v>24.0</v>
      </c>
      <c r="E2216" s="18">
        <f t="shared" si="1"/>
        <v>25926</v>
      </c>
      <c r="F2216" s="9">
        <v>0.0</v>
      </c>
      <c r="G2216" s="19">
        <v>10197.77</v>
      </c>
      <c r="H2216" s="9" t="s">
        <v>4717</v>
      </c>
      <c r="I2216" s="9" t="s">
        <v>4718</v>
      </c>
      <c r="J2216" s="9" t="s">
        <v>4731</v>
      </c>
      <c r="K2216" s="20">
        <f t="shared" si="2"/>
        <v>1970</v>
      </c>
      <c r="L2216" s="9" t="str">
        <f t="shared" si="3"/>
        <v>tier - 3</v>
      </c>
      <c r="M2216" s="9" t="str">
        <f t="shared" si="4"/>
        <v>tier - 1</v>
      </c>
      <c r="N2216" s="9" t="str">
        <f t="shared" si="5"/>
        <v>R1024</v>
      </c>
      <c r="O2216" s="17">
        <f t="shared" si="6"/>
        <v>52</v>
      </c>
      <c r="P2216" s="18">
        <v>25926.0</v>
      </c>
    </row>
    <row r="2217" ht="15.75" customHeight="1">
      <c r="A2217" s="9" t="s">
        <v>2215</v>
      </c>
      <c r="B2217" s="17">
        <v>1967.0</v>
      </c>
      <c r="C2217" s="9" t="s">
        <v>4738</v>
      </c>
      <c r="D2217" s="9">
        <v>26.0</v>
      </c>
      <c r="E2217" s="18">
        <f t="shared" si="1"/>
        <v>24741</v>
      </c>
      <c r="F2217" s="9">
        <v>0.0</v>
      </c>
      <c r="G2217" s="19">
        <v>10214.64</v>
      </c>
      <c r="H2217" s="9" t="s">
        <v>4717</v>
      </c>
      <c r="I2217" s="9" t="s">
        <v>4723</v>
      </c>
      <c r="J2217" s="9" t="s">
        <v>4719</v>
      </c>
      <c r="K2217" s="20">
        <f t="shared" si="2"/>
        <v>1967</v>
      </c>
      <c r="L2217" s="9" t="str">
        <f t="shared" si="3"/>
        <v>tier - 3</v>
      </c>
      <c r="M2217" s="9" t="str">
        <f t="shared" si="4"/>
        <v>tier - 2</v>
      </c>
      <c r="N2217" s="9" t="str">
        <f t="shared" si="5"/>
        <v>R1011</v>
      </c>
      <c r="O2217" s="17">
        <f t="shared" si="6"/>
        <v>55</v>
      </c>
      <c r="P2217" s="18">
        <v>24741.0</v>
      </c>
    </row>
    <row r="2218" ht="15.75" customHeight="1">
      <c r="A2218" s="9" t="s">
        <v>2213</v>
      </c>
      <c r="B2218" s="17">
        <v>1967.0</v>
      </c>
      <c r="C2218" s="9" t="s">
        <v>4730</v>
      </c>
      <c r="D2218" s="9">
        <v>28.0</v>
      </c>
      <c r="E2218" s="18">
        <f t="shared" si="1"/>
        <v>24651</v>
      </c>
      <c r="F2218" s="9">
        <v>0.0</v>
      </c>
      <c r="G2218" s="19">
        <v>10226.28</v>
      </c>
      <c r="H2218" s="9" t="s">
        <v>4717</v>
      </c>
      <c r="I2218" s="9" t="s">
        <v>4717</v>
      </c>
      <c r="J2218" s="9" t="s">
        <v>4743</v>
      </c>
      <c r="K2218" s="20">
        <f t="shared" si="2"/>
        <v>1967</v>
      </c>
      <c r="L2218" s="9" t="str">
        <f t="shared" si="3"/>
        <v>tier - 3</v>
      </c>
      <c r="M2218" s="9" t="str">
        <f t="shared" si="4"/>
        <v>tier - 3</v>
      </c>
      <c r="N2218" s="9" t="str">
        <f t="shared" si="5"/>
        <v>R1013</v>
      </c>
      <c r="O2218" s="17">
        <f t="shared" si="6"/>
        <v>55</v>
      </c>
      <c r="P2218" s="18">
        <v>24651.0</v>
      </c>
    </row>
    <row r="2219" ht="15.75" customHeight="1">
      <c r="A2219" s="9" t="s">
        <v>2211</v>
      </c>
      <c r="B2219" s="17">
        <v>1968.0</v>
      </c>
      <c r="C2219" s="9" t="s">
        <v>4738</v>
      </c>
      <c r="D2219" s="9">
        <v>23.0</v>
      </c>
      <c r="E2219" s="18">
        <f t="shared" si="1"/>
        <v>25104</v>
      </c>
      <c r="F2219" s="9">
        <v>0.0</v>
      </c>
      <c r="G2219" s="19">
        <v>10231.5</v>
      </c>
      <c r="H2219" s="9" t="s">
        <v>4717</v>
      </c>
      <c r="I2219" s="9" t="s">
        <v>4718</v>
      </c>
      <c r="J2219" s="9" t="s">
        <v>4733</v>
      </c>
      <c r="K2219" s="20">
        <f t="shared" si="2"/>
        <v>1968</v>
      </c>
      <c r="L2219" s="9" t="str">
        <f t="shared" si="3"/>
        <v>tier - 3</v>
      </c>
      <c r="M2219" s="9" t="str">
        <f t="shared" si="4"/>
        <v>tier - 1</v>
      </c>
      <c r="N2219" s="9" t="str">
        <f t="shared" si="5"/>
        <v>R1012</v>
      </c>
      <c r="O2219" s="17">
        <f t="shared" si="6"/>
        <v>54</v>
      </c>
      <c r="P2219" s="18">
        <v>25104.0</v>
      </c>
    </row>
    <row r="2220" ht="15.75" customHeight="1">
      <c r="A2220" s="9" t="s">
        <v>2209</v>
      </c>
      <c r="B2220" s="17">
        <v>1975.0</v>
      </c>
      <c r="C2220" s="9" t="s">
        <v>4716</v>
      </c>
      <c r="D2220" s="9">
        <v>15.0</v>
      </c>
      <c r="E2220" s="18">
        <f t="shared" si="1"/>
        <v>27621</v>
      </c>
      <c r="F2220" s="9">
        <v>1.0</v>
      </c>
      <c r="G2220" s="19">
        <v>10259.13</v>
      </c>
      <c r="H2220" s="9" t="s">
        <v>4717</v>
      </c>
      <c r="I2220" s="9" t="s">
        <v>4723</v>
      </c>
      <c r="J2220" s="9" t="s">
        <v>4719</v>
      </c>
      <c r="K2220" s="20">
        <f t="shared" si="2"/>
        <v>1975</v>
      </c>
      <c r="L2220" s="9" t="str">
        <f t="shared" si="3"/>
        <v>tier - 3</v>
      </c>
      <c r="M2220" s="9" t="str">
        <f t="shared" si="4"/>
        <v>tier - 2</v>
      </c>
      <c r="N2220" s="9" t="str">
        <f t="shared" si="5"/>
        <v>R1011</v>
      </c>
      <c r="O2220" s="17">
        <f t="shared" si="6"/>
        <v>47</v>
      </c>
      <c r="P2220" s="18">
        <v>27621.0</v>
      </c>
    </row>
    <row r="2221" ht="15.75" customHeight="1">
      <c r="A2221" s="9" t="s">
        <v>2207</v>
      </c>
      <c r="B2221" s="17">
        <v>1973.0</v>
      </c>
      <c r="C2221" s="9" t="s">
        <v>4738</v>
      </c>
      <c r="D2221" s="9">
        <v>5.0</v>
      </c>
      <c r="E2221" s="18">
        <f t="shared" si="1"/>
        <v>26912</v>
      </c>
      <c r="F2221" s="9">
        <v>3.0</v>
      </c>
      <c r="G2221" s="19">
        <v>10264.44</v>
      </c>
      <c r="H2221" s="9" t="s">
        <v>4717</v>
      </c>
      <c r="I2221" s="9" t="s">
        <v>4723</v>
      </c>
      <c r="J2221" s="9" t="s">
        <v>4733</v>
      </c>
      <c r="K2221" s="20">
        <f t="shared" si="2"/>
        <v>1973</v>
      </c>
      <c r="L2221" s="9" t="str">
        <f t="shared" si="3"/>
        <v>tier - 3</v>
      </c>
      <c r="M2221" s="9" t="str">
        <f t="shared" si="4"/>
        <v>tier - 2</v>
      </c>
      <c r="N2221" s="9" t="str">
        <f t="shared" si="5"/>
        <v>R1012</v>
      </c>
      <c r="O2221" s="17">
        <f t="shared" si="6"/>
        <v>49</v>
      </c>
      <c r="P2221" s="18">
        <v>26912.0</v>
      </c>
    </row>
    <row r="2222" ht="15.75" customHeight="1">
      <c r="A2222" s="9" t="s">
        <v>2205</v>
      </c>
      <c r="B2222" s="17">
        <v>1973.0</v>
      </c>
      <c r="C2222" s="9" t="s">
        <v>4735</v>
      </c>
      <c r="D2222" s="9">
        <v>27.0</v>
      </c>
      <c r="E2222" s="18">
        <f t="shared" si="1"/>
        <v>26995</v>
      </c>
      <c r="F2222" s="9">
        <v>3.0</v>
      </c>
      <c r="G2222" s="19">
        <v>10269.46</v>
      </c>
      <c r="H2222" s="9" t="s">
        <v>4717</v>
      </c>
      <c r="I2222" s="9" t="s">
        <v>4717</v>
      </c>
      <c r="J2222" s="9" t="s">
        <v>4733</v>
      </c>
      <c r="K2222" s="20">
        <f t="shared" si="2"/>
        <v>1973</v>
      </c>
      <c r="L2222" s="9" t="str">
        <f t="shared" si="3"/>
        <v>tier - 3</v>
      </c>
      <c r="M2222" s="9" t="str">
        <f t="shared" si="4"/>
        <v>tier - 3</v>
      </c>
      <c r="N2222" s="9" t="str">
        <f t="shared" si="5"/>
        <v>R1012</v>
      </c>
      <c r="O2222" s="17">
        <f t="shared" si="6"/>
        <v>49</v>
      </c>
      <c r="P2222" s="18">
        <v>26995.0</v>
      </c>
    </row>
    <row r="2223" ht="15.75" customHeight="1">
      <c r="A2223" s="9" t="s">
        <v>2203</v>
      </c>
      <c r="B2223" s="17">
        <v>1970.0</v>
      </c>
      <c r="C2223" s="9" t="s">
        <v>4730</v>
      </c>
      <c r="D2223" s="9">
        <v>21.0</v>
      </c>
      <c r="E2223" s="18">
        <f t="shared" si="1"/>
        <v>25740</v>
      </c>
      <c r="F2223" s="9">
        <v>0.0</v>
      </c>
      <c r="G2223" s="19">
        <v>10274.33</v>
      </c>
      <c r="H2223" s="9" t="s">
        <v>4717</v>
      </c>
      <c r="I2223" s="9" t="s">
        <v>4718</v>
      </c>
      <c r="J2223" s="9" t="s">
        <v>4731</v>
      </c>
      <c r="K2223" s="20">
        <f t="shared" si="2"/>
        <v>1970</v>
      </c>
      <c r="L2223" s="9" t="str">
        <f t="shared" si="3"/>
        <v>tier - 3</v>
      </c>
      <c r="M2223" s="9" t="str">
        <f t="shared" si="4"/>
        <v>tier - 1</v>
      </c>
      <c r="N2223" s="9" t="str">
        <f t="shared" si="5"/>
        <v>R1024</v>
      </c>
      <c r="O2223" s="17">
        <f t="shared" si="6"/>
        <v>52</v>
      </c>
      <c r="P2223" s="18">
        <v>25740.0</v>
      </c>
    </row>
    <row r="2224" ht="15.75" customHeight="1">
      <c r="A2224" s="9" t="s">
        <v>2201</v>
      </c>
      <c r="B2224" s="17">
        <v>1988.0</v>
      </c>
      <c r="C2224" s="9" t="s">
        <v>4738</v>
      </c>
      <c r="D2224" s="9">
        <v>14.0</v>
      </c>
      <c r="E2224" s="18">
        <f t="shared" si="1"/>
        <v>32400</v>
      </c>
      <c r="F2224" s="9">
        <v>3.0</v>
      </c>
      <c r="G2224" s="19">
        <v>10276.99</v>
      </c>
      <c r="H2224" s="9" t="s">
        <v>4717</v>
      </c>
      <c r="I2224" s="9" t="s">
        <v>4718</v>
      </c>
      <c r="J2224" s="9" t="s">
        <v>4751</v>
      </c>
      <c r="K2224" s="20">
        <f t="shared" si="2"/>
        <v>1988</v>
      </c>
      <c r="L2224" s="9" t="str">
        <f t="shared" si="3"/>
        <v>tier - 3</v>
      </c>
      <c r="M2224" s="9" t="str">
        <f t="shared" si="4"/>
        <v>tier - 1</v>
      </c>
      <c r="N2224" s="9" t="str">
        <f t="shared" si="5"/>
        <v>R1021</v>
      </c>
      <c r="O2224" s="17">
        <f t="shared" si="6"/>
        <v>34</v>
      </c>
      <c r="P2224" s="18">
        <v>32400.0</v>
      </c>
    </row>
    <row r="2225" ht="15.75" customHeight="1">
      <c r="A2225" s="9" t="s">
        <v>221</v>
      </c>
      <c r="B2225" s="17">
        <v>1975.0</v>
      </c>
      <c r="C2225" s="9" t="s">
        <v>4725</v>
      </c>
      <c r="D2225" s="9">
        <v>2.0</v>
      </c>
      <c r="E2225" s="18">
        <f t="shared" si="1"/>
        <v>27730</v>
      </c>
      <c r="F2225" s="9">
        <v>1.0</v>
      </c>
      <c r="G2225" s="19">
        <v>39963.12</v>
      </c>
      <c r="H2225" s="9" t="s">
        <v>4723</v>
      </c>
      <c r="I2225" s="9" t="s">
        <v>4723</v>
      </c>
      <c r="J2225" s="9" t="s">
        <v>4719</v>
      </c>
      <c r="K2225" s="20">
        <f t="shared" si="2"/>
        <v>1975</v>
      </c>
      <c r="L2225" s="9" t="str">
        <f t="shared" si="3"/>
        <v>tier - 2</v>
      </c>
      <c r="M2225" s="9" t="str">
        <f t="shared" si="4"/>
        <v>tier - 2</v>
      </c>
      <c r="N2225" s="9" t="str">
        <f t="shared" si="5"/>
        <v>R1011</v>
      </c>
      <c r="O2225" s="17">
        <f t="shared" si="6"/>
        <v>47</v>
      </c>
      <c r="P2225" s="18">
        <v>27730.0</v>
      </c>
    </row>
    <row r="2226" ht="15.75" customHeight="1">
      <c r="A2226" s="9" t="s">
        <v>23</v>
      </c>
      <c r="B2226" s="17">
        <v>1959.0</v>
      </c>
      <c r="C2226" s="9" t="s">
        <v>4741</v>
      </c>
      <c r="D2226" s="9">
        <v>22.0</v>
      </c>
      <c r="E2226" s="18">
        <f t="shared" si="1"/>
        <v>21753</v>
      </c>
      <c r="F2226" s="9">
        <v>0.0</v>
      </c>
      <c r="G2226" s="19">
        <v>48824.45</v>
      </c>
      <c r="H2226" s="9" t="s">
        <v>4723</v>
      </c>
      <c r="I2226" s="9" t="s">
        <v>4718</v>
      </c>
      <c r="J2226" s="9" t="s">
        <v>4719</v>
      </c>
      <c r="K2226" s="20">
        <f t="shared" si="2"/>
        <v>1959</v>
      </c>
      <c r="L2226" s="9" t="str">
        <f t="shared" si="3"/>
        <v>tier - 2</v>
      </c>
      <c r="M2226" s="9" t="str">
        <f t="shared" si="4"/>
        <v>tier - 1</v>
      </c>
      <c r="N2226" s="9" t="str">
        <f t="shared" si="5"/>
        <v>R1011</v>
      </c>
      <c r="O2226" s="17">
        <f t="shared" si="6"/>
        <v>63</v>
      </c>
      <c r="P2226" s="18">
        <v>21753.0</v>
      </c>
    </row>
    <row r="2227" ht="15.75" customHeight="1">
      <c r="A2227" s="9" t="s">
        <v>2199</v>
      </c>
      <c r="B2227" s="17">
        <v>1963.0</v>
      </c>
      <c r="C2227" s="9" t="s">
        <v>4738</v>
      </c>
      <c r="D2227" s="9">
        <v>24.0</v>
      </c>
      <c r="E2227" s="18">
        <f t="shared" si="1"/>
        <v>23278</v>
      </c>
      <c r="F2227" s="9">
        <v>0.0</v>
      </c>
      <c r="G2227" s="19">
        <v>10308.04</v>
      </c>
      <c r="H2227" s="9" t="s">
        <v>4717</v>
      </c>
      <c r="I2227" s="9" t="s">
        <v>4718</v>
      </c>
      <c r="J2227" s="9" t="s">
        <v>4743</v>
      </c>
      <c r="K2227" s="20">
        <f t="shared" si="2"/>
        <v>1963</v>
      </c>
      <c r="L2227" s="9" t="str">
        <f t="shared" si="3"/>
        <v>tier - 3</v>
      </c>
      <c r="M2227" s="9" t="str">
        <f t="shared" si="4"/>
        <v>tier - 1</v>
      </c>
      <c r="N2227" s="9" t="str">
        <f t="shared" si="5"/>
        <v>R1013</v>
      </c>
      <c r="O2227" s="17">
        <f t="shared" si="6"/>
        <v>59</v>
      </c>
      <c r="P2227" s="18">
        <v>23278.0</v>
      </c>
    </row>
    <row r="2228" ht="15.75" customHeight="1">
      <c r="A2228" s="9" t="s">
        <v>2197</v>
      </c>
      <c r="B2228" s="17">
        <v>1962.0</v>
      </c>
      <c r="C2228" s="9" t="s">
        <v>4741</v>
      </c>
      <c r="D2228" s="9">
        <v>12.0</v>
      </c>
      <c r="E2228" s="18">
        <f t="shared" si="1"/>
        <v>22839</v>
      </c>
      <c r="F2228" s="9">
        <v>0.0</v>
      </c>
      <c r="G2228" s="19">
        <v>10310.78</v>
      </c>
      <c r="H2228" s="9" t="s">
        <v>4717</v>
      </c>
      <c r="I2228" s="9" t="s">
        <v>4717</v>
      </c>
      <c r="J2228" s="9" t="s">
        <v>4733</v>
      </c>
      <c r="K2228" s="20">
        <f t="shared" si="2"/>
        <v>1962</v>
      </c>
      <c r="L2228" s="9" t="str">
        <f t="shared" si="3"/>
        <v>tier - 3</v>
      </c>
      <c r="M2228" s="9" t="str">
        <f t="shared" si="4"/>
        <v>tier - 3</v>
      </c>
      <c r="N2228" s="9" t="str">
        <f t="shared" si="5"/>
        <v>R1012</v>
      </c>
      <c r="O2228" s="17">
        <f t="shared" si="6"/>
        <v>60</v>
      </c>
      <c r="P2228" s="18">
        <v>22839.0</v>
      </c>
    </row>
    <row r="2229" ht="15.75" customHeight="1">
      <c r="A2229" s="9" t="s">
        <v>2195</v>
      </c>
      <c r="B2229" s="17">
        <v>1991.0</v>
      </c>
      <c r="C2229" s="9" t="s">
        <v>4735</v>
      </c>
      <c r="D2229" s="9">
        <v>17.0</v>
      </c>
      <c r="E2229" s="18">
        <f t="shared" si="1"/>
        <v>33559</v>
      </c>
      <c r="F2229" s="9">
        <v>3.0</v>
      </c>
      <c r="G2229" s="19">
        <v>10315.91</v>
      </c>
      <c r="H2229" s="9" t="s">
        <v>4717</v>
      </c>
      <c r="I2229" s="9" t="s">
        <v>4723</v>
      </c>
      <c r="J2229" s="9" t="s">
        <v>4733</v>
      </c>
      <c r="K2229" s="20">
        <f t="shared" si="2"/>
        <v>1991</v>
      </c>
      <c r="L2229" s="9" t="str">
        <f t="shared" si="3"/>
        <v>tier - 3</v>
      </c>
      <c r="M2229" s="9" t="str">
        <f t="shared" si="4"/>
        <v>tier - 2</v>
      </c>
      <c r="N2229" s="9" t="str">
        <f t="shared" si="5"/>
        <v>R1012</v>
      </c>
      <c r="O2229" s="17">
        <f t="shared" si="6"/>
        <v>31</v>
      </c>
      <c r="P2229" s="18">
        <v>33559.0</v>
      </c>
    </row>
    <row r="2230" ht="15.75" customHeight="1">
      <c r="A2230" s="9" t="s">
        <v>2193</v>
      </c>
      <c r="B2230" s="17">
        <v>1991.0</v>
      </c>
      <c r="C2230" s="9" t="s">
        <v>4716</v>
      </c>
      <c r="D2230" s="9">
        <v>21.0</v>
      </c>
      <c r="E2230" s="18">
        <f t="shared" si="1"/>
        <v>33471</v>
      </c>
      <c r="F2230" s="9">
        <v>3.0</v>
      </c>
      <c r="G2230" s="19">
        <v>10322.9</v>
      </c>
      <c r="H2230" s="9" t="s">
        <v>4717</v>
      </c>
      <c r="I2230" s="9" t="s">
        <v>4718</v>
      </c>
      <c r="J2230" s="9" t="s">
        <v>4721</v>
      </c>
      <c r="K2230" s="20">
        <f t="shared" si="2"/>
        <v>1991</v>
      </c>
      <c r="L2230" s="9" t="str">
        <f t="shared" si="3"/>
        <v>tier - 3</v>
      </c>
      <c r="M2230" s="9" t="str">
        <f t="shared" si="4"/>
        <v>tier - 1</v>
      </c>
      <c r="N2230" s="9" t="str">
        <f t="shared" si="5"/>
        <v>R1026</v>
      </c>
      <c r="O2230" s="17">
        <f t="shared" si="6"/>
        <v>31</v>
      </c>
      <c r="P2230" s="18">
        <v>33471.0</v>
      </c>
    </row>
    <row r="2231" ht="15.75" customHeight="1">
      <c r="A2231" s="9" t="s">
        <v>2191</v>
      </c>
      <c r="B2231" s="17">
        <v>1970.0</v>
      </c>
      <c r="C2231" s="9" t="s">
        <v>4725</v>
      </c>
      <c r="D2231" s="9">
        <v>1.0</v>
      </c>
      <c r="E2231" s="18">
        <f t="shared" si="1"/>
        <v>25903</v>
      </c>
      <c r="F2231" s="9">
        <v>2.0</v>
      </c>
      <c r="G2231" s="19">
        <v>10325.21</v>
      </c>
      <c r="H2231" s="9" t="s">
        <v>4717</v>
      </c>
      <c r="I2231" s="9" t="s">
        <v>4717</v>
      </c>
      <c r="J2231" s="9" t="s">
        <v>4719</v>
      </c>
      <c r="K2231" s="20">
        <f t="shared" si="2"/>
        <v>1970</v>
      </c>
      <c r="L2231" s="9" t="str">
        <f t="shared" si="3"/>
        <v>tier - 3</v>
      </c>
      <c r="M2231" s="9" t="str">
        <f t="shared" si="4"/>
        <v>tier - 3</v>
      </c>
      <c r="N2231" s="9" t="str">
        <f t="shared" si="5"/>
        <v>R1011</v>
      </c>
      <c r="O2231" s="17">
        <f t="shared" si="6"/>
        <v>52</v>
      </c>
      <c r="P2231" s="18">
        <v>25903.0</v>
      </c>
    </row>
    <row r="2232" ht="15.75" customHeight="1">
      <c r="A2232" s="9" t="s">
        <v>2189</v>
      </c>
      <c r="B2232" s="17">
        <v>1982.0</v>
      </c>
      <c r="C2232" s="9" t="s">
        <v>4741</v>
      </c>
      <c r="D2232" s="9">
        <v>21.0</v>
      </c>
      <c r="E2232" s="18">
        <f t="shared" si="1"/>
        <v>30153</v>
      </c>
      <c r="F2232" s="9">
        <v>3.0</v>
      </c>
      <c r="G2232" s="19">
        <v>10329.06</v>
      </c>
      <c r="H2232" s="9" t="s">
        <v>4717</v>
      </c>
      <c r="I2232" s="9" t="s">
        <v>4718</v>
      </c>
      <c r="J2232" s="9" t="s">
        <v>4751</v>
      </c>
      <c r="K2232" s="20">
        <f t="shared" si="2"/>
        <v>1982</v>
      </c>
      <c r="L2232" s="9" t="str">
        <f t="shared" si="3"/>
        <v>tier - 3</v>
      </c>
      <c r="M2232" s="9" t="str">
        <f t="shared" si="4"/>
        <v>tier - 1</v>
      </c>
      <c r="N2232" s="9" t="str">
        <f t="shared" si="5"/>
        <v>R1021</v>
      </c>
      <c r="O2232" s="17">
        <f t="shared" si="6"/>
        <v>40</v>
      </c>
      <c r="P2232" s="18">
        <v>30153.0</v>
      </c>
    </row>
    <row r="2233" ht="15.75" customHeight="1">
      <c r="A2233" s="9" t="s">
        <v>2187</v>
      </c>
      <c r="B2233" s="17">
        <v>1968.0</v>
      </c>
      <c r="C2233" s="9" t="s">
        <v>4741</v>
      </c>
      <c r="D2233" s="9">
        <v>19.0</v>
      </c>
      <c r="E2233" s="18">
        <f t="shared" si="1"/>
        <v>25038</v>
      </c>
      <c r="F2233" s="9">
        <v>0.0</v>
      </c>
      <c r="G2233" s="19">
        <v>10338.93</v>
      </c>
      <c r="H2233" s="9" t="s">
        <v>4717</v>
      </c>
      <c r="I2233" s="9" t="s">
        <v>4718</v>
      </c>
      <c r="J2233" s="9" t="s">
        <v>4743</v>
      </c>
      <c r="K2233" s="20">
        <f t="shared" si="2"/>
        <v>1968</v>
      </c>
      <c r="L2233" s="9" t="str">
        <f t="shared" si="3"/>
        <v>tier - 3</v>
      </c>
      <c r="M2233" s="9" t="str">
        <f t="shared" si="4"/>
        <v>tier - 1</v>
      </c>
      <c r="N2233" s="9" t="str">
        <f t="shared" si="5"/>
        <v>R1013</v>
      </c>
      <c r="O2233" s="17">
        <f t="shared" si="6"/>
        <v>54</v>
      </c>
      <c r="P2233" s="18">
        <v>25038.0</v>
      </c>
    </row>
    <row r="2234" ht="15.75" customHeight="1">
      <c r="A2234" s="9" t="s">
        <v>2185</v>
      </c>
      <c r="B2234" s="17">
        <v>1973.0</v>
      </c>
      <c r="C2234" s="9" t="s">
        <v>4716</v>
      </c>
      <c r="D2234" s="9">
        <v>8.0</v>
      </c>
      <c r="E2234" s="18">
        <f t="shared" si="1"/>
        <v>26884</v>
      </c>
      <c r="F2234" s="9">
        <v>0.0</v>
      </c>
      <c r="G2234" s="19">
        <v>10345.93</v>
      </c>
      <c r="H2234" s="9" t="s">
        <v>4717</v>
      </c>
      <c r="I2234" s="9" t="s">
        <v>4723</v>
      </c>
      <c r="J2234" s="9" t="s">
        <v>4751</v>
      </c>
      <c r="K2234" s="20">
        <f t="shared" si="2"/>
        <v>1973</v>
      </c>
      <c r="L2234" s="9" t="str">
        <f t="shared" si="3"/>
        <v>tier - 3</v>
      </c>
      <c r="M2234" s="9" t="str">
        <f t="shared" si="4"/>
        <v>tier - 2</v>
      </c>
      <c r="N2234" s="9" t="str">
        <f t="shared" si="5"/>
        <v>R1021</v>
      </c>
      <c r="O2234" s="17">
        <f t="shared" si="6"/>
        <v>49</v>
      </c>
      <c r="P2234" s="18">
        <v>26884.0</v>
      </c>
    </row>
    <row r="2235" ht="15.75" customHeight="1">
      <c r="A2235" s="9" t="s">
        <v>2183</v>
      </c>
      <c r="B2235" s="17">
        <v>1974.0</v>
      </c>
      <c r="C2235" s="9" t="s">
        <v>4738</v>
      </c>
      <c r="D2235" s="9">
        <v>29.0</v>
      </c>
      <c r="E2235" s="18">
        <f t="shared" si="1"/>
        <v>27301</v>
      </c>
      <c r="F2235" s="9">
        <v>0.0</v>
      </c>
      <c r="G2235" s="19">
        <v>10352.48</v>
      </c>
      <c r="H2235" s="9" t="s">
        <v>4717</v>
      </c>
      <c r="I2235" s="9" t="s">
        <v>4718</v>
      </c>
      <c r="J2235" s="9" t="s">
        <v>4733</v>
      </c>
      <c r="K2235" s="20">
        <f t="shared" si="2"/>
        <v>1974</v>
      </c>
      <c r="L2235" s="9" t="str">
        <f t="shared" si="3"/>
        <v>tier - 3</v>
      </c>
      <c r="M2235" s="9" t="str">
        <f t="shared" si="4"/>
        <v>tier - 1</v>
      </c>
      <c r="N2235" s="9" t="str">
        <f t="shared" si="5"/>
        <v>R1012</v>
      </c>
      <c r="O2235" s="17">
        <f t="shared" si="6"/>
        <v>48</v>
      </c>
      <c r="P2235" s="18">
        <v>27301.0</v>
      </c>
    </row>
    <row r="2236" ht="15.75" customHeight="1">
      <c r="A2236" s="9" t="s">
        <v>2181</v>
      </c>
      <c r="B2236" s="17">
        <v>1969.0</v>
      </c>
      <c r="C2236" s="9" t="s">
        <v>4730</v>
      </c>
      <c r="D2236" s="9">
        <v>17.0</v>
      </c>
      <c r="E2236" s="18">
        <f t="shared" si="1"/>
        <v>25371</v>
      </c>
      <c r="F2236" s="9">
        <v>0.0</v>
      </c>
      <c r="G2236" s="19">
        <v>10355.64</v>
      </c>
      <c r="H2236" s="9" t="s">
        <v>4717</v>
      </c>
      <c r="I2236" s="9" t="s">
        <v>4718</v>
      </c>
      <c r="J2236" s="9" t="s">
        <v>4733</v>
      </c>
      <c r="K2236" s="20">
        <f t="shared" si="2"/>
        <v>1969</v>
      </c>
      <c r="L2236" s="9" t="str">
        <f t="shared" si="3"/>
        <v>tier - 3</v>
      </c>
      <c r="M2236" s="9" t="str">
        <f t="shared" si="4"/>
        <v>tier - 1</v>
      </c>
      <c r="N2236" s="9" t="str">
        <f t="shared" si="5"/>
        <v>R1012</v>
      </c>
      <c r="O2236" s="17">
        <f t="shared" si="6"/>
        <v>53</v>
      </c>
      <c r="P2236" s="18">
        <v>25371.0</v>
      </c>
    </row>
    <row r="2237" ht="15.75" customHeight="1">
      <c r="A2237" s="9" t="s">
        <v>219</v>
      </c>
      <c r="B2237" s="17">
        <v>1987.0</v>
      </c>
      <c r="C2237" s="9" t="s">
        <v>4716</v>
      </c>
      <c r="D2237" s="9">
        <v>8.0</v>
      </c>
      <c r="E2237" s="18">
        <f t="shared" si="1"/>
        <v>31997</v>
      </c>
      <c r="F2237" s="9">
        <v>3.0</v>
      </c>
      <c r="G2237" s="19">
        <v>39983.43</v>
      </c>
      <c r="H2237" s="9" t="s">
        <v>4723</v>
      </c>
      <c r="I2237" s="9" t="s">
        <v>4717</v>
      </c>
      <c r="J2237" s="9" t="s">
        <v>4733</v>
      </c>
      <c r="K2237" s="20">
        <f t="shared" si="2"/>
        <v>1987</v>
      </c>
      <c r="L2237" s="9" t="str">
        <f t="shared" si="3"/>
        <v>tier - 2</v>
      </c>
      <c r="M2237" s="9" t="str">
        <f t="shared" si="4"/>
        <v>tier - 3</v>
      </c>
      <c r="N2237" s="9" t="str">
        <f t="shared" si="5"/>
        <v>R1012</v>
      </c>
      <c r="O2237" s="17">
        <f t="shared" si="6"/>
        <v>35</v>
      </c>
      <c r="P2237" s="18">
        <v>31997.0</v>
      </c>
    </row>
    <row r="2238" ht="15.75" customHeight="1">
      <c r="A2238" s="9" t="s">
        <v>2179</v>
      </c>
      <c r="B2238" s="17">
        <v>1971.0</v>
      </c>
      <c r="C2238" s="9" t="s">
        <v>4738</v>
      </c>
      <c r="D2238" s="9">
        <v>6.0</v>
      </c>
      <c r="E2238" s="18">
        <f t="shared" si="1"/>
        <v>26182</v>
      </c>
      <c r="F2238" s="9">
        <v>0.0</v>
      </c>
      <c r="G2238" s="19">
        <v>10356.67</v>
      </c>
      <c r="H2238" s="9" t="s">
        <v>4717</v>
      </c>
      <c r="I2238" s="9" t="s">
        <v>4718</v>
      </c>
      <c r="J2238" s="9" t="s">
        <v>4726</v>
      </c>
      <c r="K2238" s="20">
        <f t="shared" si="2"/>
        <v>1971</v>
      </c>
      <c r="L2238" s="9" t="str">
        <f t="shared" si="3"/>
        <v>tier - 3</v>
      </c>
      <c r="M2238" s="9" t="str">
        <f t="shared" si="4"/>
        <v>tier - 1</v>
      </c>
      <c r="N2238" s="9" t="str">
        <f t="shared" si="5"/>
        <v>R1025</v>
      </c>
      <c r="O2238" s="17">
        <f t="shared" si="6"/>
        <v>51</v>
      </c>
      <c r="P2238" s="18">
        <v>26182.0</v>
      </c>
    </row>
    <row r="2239" ht="15.75" customHeight="1">
      <c r="A2239" s="9" t="s">
        <v>2177</v>
      </c>
      <c r="B2239" s="17">
        <v>1973.0</v>
      </c>
      <c r="C2239" s="9" t="s">
        <v>4738</v>
      </c>
      <c r="D2239" s="9">
        <v>29.0</v>
      </c>
      <c r="E2239" s="18">
        <f t="shared" si="1"/>
        <v>26936</v>
      </c>
      <c r="F2239" s="9">
        <v>2.0</v>
      </c>
      <c r="G2239" s="19">
        <v>10370.91</v>
      </c>
      <c r="H2239" s="9" t="s">
        <v>4717</v>
      </c>
      <c r="I2239" s="9" t="s">
        <v>4717</v>
      </c>
      <c r="J2239" s="9" t="s">
        <v>4731</v>
      </c>
      <c r="K2239" s="20">
        <f t="shared" si="2"/>
        <v>1973</v>
      </c>
      <c r="L2239" s="9" t="str">
        <f t="shared" si="3"/>
        <v>tier - 3</v>
      </c>
      <c r="M2239" s="9" t="str">
        <f t="shared" si="4"/>
        <v>tier - 3</v>
      </c>
      <c r="N2239" s="9" t="str">
        <f t="shared" si="5"/>
        <v>R1024</v>
      </c>
      <c r="O2239" s="17">
        <f t="shared" si="6"/>
        <v>49</v>
      </c>
      <c r="P2239" s="18">
        <v>26936.0</v>
      </c>
    </row>
    <row r="2240" ht="15.75" customHeight="1">
      <c r="A2240" s="9" t="s">
        <v>2175</v>
      </c>
      <c r="B2240" s="17">
        <v>1973.0</v>
      </c>
      <c r="C2240" s="9" t="s">
        <v>4738</v>
      </c>
      <c r="D2240" s="9">
        <v>19.0</v>
      </c>
      <c r="E2240" s="18">
        <f t="shared" si="1"/>
        <v>26926</v>
      </c>
      <c r="F2240" s="9">
        <v>3.0</v>
      </c>
      <c r="G2240" s="19">
        <v>10381.48</v>
      </c>
      <c r="H2240" s="9" t="s">
        <v>4717</v>
      </c>
      <c r="I2240" s="9" t="s">
        <v>4717</v>
      </c>
      <c r="J2240" s="9" t="s">
        <v>4743</v>
      </c>
      <c r="K2240" s="20">
        <f t="shared" si="2"/>
        <v>1973</v>
      </c>
      <c r="L2240" s="9" t="str">
        <f t="shared" si="3"/>
        <v>tier - 3</v>
      </c>
      <c r="M2240" s="9" t="str">
        <f t="shared" si="4"/>
        <v>tier - 3</v>
      </c>
      <c r="N2240" s="9" t="str">
        <f t="shared" si="5"/>
        <v>R1013</v>
      </c>
      <c r="O2240" s="17">
        <f t="shared" si="6"/>
        <v>49</v>
      </c>
      <c r="P2240" s="18">
        <v>26926.0</v>
      </c>
    </row>
    <row r="2241" ht="15.75" customHeight="1">
      <c r="A2241" s="9" t="s">
        <v>2173</v>
      </c>
      <c r="B2241" s="17">
        <v>1969.0</v>
      </c>
      <c r="C2241" s="9" t="s">
        <v>4741</v>
      </c>
      <c r="D2241" s="9">
        <v>7.0</v>
      </c>
      <c r="E2241" s="18">
        <f t="shared" si="1"/>
        <v>25391</v>
      </c>
      <c r="F2241" s="9">
        <v>0.0</v>
      </c>
      <c r="G2241" s="19">
        <v>10403.27</v>
      </c>
      <c r="H2241" s="9" t="s">
        <v>4717</v>
      </c>
      <c r="I2241" s="9" t="s">
        <v>4723</v>
      </c>
      <c r="J2241" s="9" t="s">
        <v>4755</v>
      </c>
      <c r="K2241" s="20">
        <f t="shared" si="2"/>
        <v>1969</v>
      </c>
      <c r="L2241" s="9" t="str">
        <f t="shared" si="3"/>
        <v>tier - 3</v>
      </c>
      <c r="M2241" s="9" t="str">
        <f t="shared" si="4"/>
        <v>tier - 2</v>
      </c>
      <c r="N2241" s="9" t="str">
        <f t="shared" si="5"/>
        <v>R1020</v>
      </c>
      <c r="O2241" s="17">
        <f t="shared" si="6"/>
        <v>53</v>
      </c>
      <c r="P2241" s="18">
        <v>25391.0</v>
      </c>
    </row>
    <row r="2242" ht="15.75" customHeight="1">
      <c r="A2242" s="9" t="s">
        <v>2171</v>
      </c>
      <c r="B2242" s="17">
        <v>1975.0</v>
      </c>
      <c r="C2242" s="9" t="s">
        <v>4730</v>
      </c>
      <c r="D2242" s="9">
        <v>5.0</v>
      </c>
      <c r="E2242" s="18">
        <f t="shared" si="1"/>
        <v>27550</v>
      </c>
      <c r="F2242" s="9">
        <v>4.0</v>
      </c>
      <c r="G2242" s="19">
        <v>10407.09</v>
      </c>
      <c r="H2242" s="9" t="s">
        <v>4717</v>
      </c>
      <c r="I2242" s="9" t="s">
        <v>4718</v>
      </c>
      <c r="J2242" s="9" t="s">
        <v>4757</v>
      </c>
      <c r="K2242" s="20">
        <f t="shared" si="2"/>
        <v>1975</v>
      </c>
      <c r="L2242" s="9" t="str">
        <f t="shared" si="3"/>
        <v>tier - 3</v>
      </c>
      <c r="M2242" s="9" t="str">
        <f t="shared" si="4"/>
        <v>tier - 1</v>
      </c>
      <c r="N2242" s="9" t="str">
        <f t="shared" si="5"/>
        <v>R1015</v>
      </c>
      <c r="O2242" s="17">
        <f t="shared" si="6"/>
        <v>48</v>
      </c>
      <c r="P2242" s="18">
        <v>27550.0</v>
      </c>
    </row>
    <row r="2243" ht="15.75" customHeight="1">
      <c r="A2243" s="9" t="s">
        <v>2169</v>
      </c>
      <c r="B2243" s="17">
        <v>1980.0</v>
      </c>
      <c r="C2243" s="9" t="s">
        <v>4720</v>
      </c>
      <c r="D2243" s="9">
        <v>24.0</v>
      </c>
      <c r="E2243" s="18">
        <f t="shared" si="1"/>
        <v>29518</v>
      </c>
      <c r="F2243" s="9">
        <v>2.0</v>
      </c>
      <c r="G2243" s="19">
        <v>10407.98</v>
      </c>
      <c r="H2243" s="9" t="s">
        <v>4717</v>
      </c>
      <c r="I2243" s="9" t="s">
        <v>4718</v>
      </c>
      <c r="J2243" s="9" t="s">
        <v>4751</v>
      </c>
      <c r="K2243" s="20">
        <f t="shared" si="2"/>
        <v>1980</v>
      </c>
      <c r="L2243" s="9" t="str">
        <f t="shared" si="3"/>
        <v>tier - 3</v>
      </c>
      <c r="M2243" s="9" t="str">
        <f t="shared" si="4"/>
        <v>tier - 1</v>
      </c>
      <c r="N2243" s="9" t="str">
        <f t="shared" si="5"/>
        <v>R1021</v>
      </c>
      <c r="O2243" s="17">
        <f t="shared" si="6"/>
        <v>42</v>
      </c>
      <c r="P2243" s="18">
        <v>29518.0</v>
      </c>
    </row>
    <row r="2244" ht="15.75" customHeight="1">
      <c r="A2244" s="9" t="s">
        <v>2167</v>
      </c>
      <c r="B2244" s="17">
        <v>1973.0</v>
      </c>
      <c r="C2244" s="9" t="s">
        <v>4720</v>
      </c>
      <c r="D2244" s="9">
        <v>11.0</v>
      </c>
      <c r="E2244" s="18">
        <f t="shared" si="1"/>
        <v>26948</v>
      </c>
      <c r="F2244" s="9">
        <v>0.0</v>
      </c>
      <c r="G2244" s="19">
        <v>10419.59</v>
      </c>
      <c r="H2244" s="9" t="s">
        <v>4717</v>
      </c>
      <c r="I2244" s="9" t="s">
        <v>4723</v>
      </c>
      <c r="J2244" s="9" t="s">
        <v>4726</v>
      </c>
      <c r="K2244" s="20">
        <f t="shared" si="2"/>
        <v>1973</v>
      </c>
      <c r="L2244" s="9" t="str">
        <f t="shared" si="3"/>
        <v>tier - 3</v>
      </c>
      <c r="M2244" s="9" t="str">
        <f t="shared" si="4"/>
        <v>tier - 2</v>
      </c>
      <c r="N2244" s="9" t="str">
        <f t="shared" si="5"/>
        <v>R1025</v>
      </c>
      <c r="O2244" s="17">
        <f t="shared" si="6"/>
        <v>49</v>
      </c>
      <c r="P2244" s="18">
        <v>26948.0</v>
      </c>
    </row>
    <row r="2245" ht="15.75" customHeight="1">
      <c r="A2245" s="9" t="s">
        <v>2165</v>
      </c>
      <c r="B2245" s="17">
        <v>1979.0</v>
      </c>
      <c r="C2245" s="9" t="s">
        <v>4735</v>
      </c>
      <c r="D2245" s="9">
        <v>25.0</v>
      </c>
      <c r="E2245" s="18">
        <f t="shared" si="1"/>
        <v>29184</v>
      </c>
      <c r="F2245" s="9">
        <v>2.0</v>
      </c>
      <c r="G2245" s="19">
        <v>10419.65</v>
      </c>
      <c r="H2245" s="9" t="s">
        <v>4717</v>
      </c>
      <c r="I2245" s="9" t="s">
        <v>4723</v>
      </c>
      <c r="J2245" s="9" t="s">
        <v>4726</v>
      </c>
      <c r="K2245" s="20">
        <f t="shared" si="2"/>
        <v>1979</v>
      </c>
      <c r="L2245" s="9" t="str">
        <f t="shared" si="3"/>
        <v>tier - 3</v>
      </c>
      <c r="M2245" s="9" t="str">
        <f t="shared" si="4"/>
        <v>tier - 2</v>
      </c>
      <c r="N2245" s="9" t="str">
        <f t="shared" si="5"/>
        <v>R1025</v>
      </c>
      <c r="O2245" s="17">
        <f t="shared" si="6"/>
        <v>43</v>
      </c>
      <c r="P2245" s="18">
        <v>29184.0</v>
      </c>
    </row>
    <row r="2246" ht="15.75" customHeight="1">
      <c r="A2246" s="9" t="s">
        <v>2163</v>
      </c>
      <c r="B2246" s="17">
        <v>1968.0</v>
      </c>
      <c r="C2246" s="9" t="s">
        <v>4725</v>
      </c>
      <c r="D2246" s="9">
        <v>27.0</v>
      </c>
      <c r="E2246" s="18">
        <f t="shared" si="1"/>
        <v>25199</v>
      </c>
      <c r="F2246" s="9">
        <v>0.0</v>
      </c>
      <c r="G2246" s="19">
        <v>10422.92</v>
      </c>
      <c r="H2246" s="9" t="s">
        <v>4717</v>
      </c>
      <c r="I2246" s="9" t="s">
        <v>4718</v>
      </c>
      <c r="J2246" s="9" t="s">
        <v>4753</v>
      </c>
      <c r="K2246" s="20">
        <f t="shared" si="2"/>
        <v>1968</v>
      </c>
      <c r="L2246" s="9" t="str">
        <f t="shared" si="3"/>
        <v>tier - 3</v>
      </c>
      <c r="M2246" s="9" t="str">
        <f t="shared" si="4"/>
        <v>tier - 1</v>
      </c>
      <c r="N2246" s="9" t="str">
        <f t="shared" si="5"/>
        <v>R1017</v>
      </c>
      <c r="O2246" s="17">
        <f t="shared" si="6"/>
        <v>54</v>
      </c>
      <c r="P2246" s="18">
        <v>25199.0</v>
      </c>
    </row>
    <row r="2247" ht="15.75" customHeight="1">
      <c r="A2247" s="9" t="s">
        <v>2161</v>
      </c>
      <c r="B2247" s="17">
        <v>1968.0</v>
      </c>
      <c r="C2247" s="9" t="s">
        <v>4716</v>
      </c>
      <c r="D2247" s="9">
        <v>23.0</v>
      </c>
      <c r="E2247" s="18">
        <f t="shared" si="1"/>
        <v>25073</v>
      </c>
      <c r="F2247" s="9">
        <v>0.0</v>
      </c>
      <c r="G2247" s="19">
        <v>10435.07</v>
      </c>
      <c r="H2247" s="9" t="s">
        <v>4717</v>
      </c>
      <c r="I2247" s="9" t="s">
        <v>4718</v>
      </c>
      <c r="J2247" s="9" t="s">
        <v>4754</v>
      </c>
      <c r="K2247" s="20">
        <f t="shared" si="2"/>
        <v>1968</v>
      </c>
      <c r="L2247" s="9" t="str">
        <f t="shared" si="3"/>
        <v>tier - 3</v>
      </c>
      <c r="M2247" s="9" t="str">
        <f t="shared" si="4"/>
        <v>tier - 1</v>
      </c>
      <c r="N2247" s="9" t="str">
        <f t="shared" si="5"/>
        <v>R1016</v>
      </c>
      <c r="O2247" s="17">
        <f t="shared" si="6"/>
        <v>54</v>
      </c>
      <c r="P2247" s="18">
        <v>25073.0</v>
      </c>
    </row>
    <row r="2248" ht="15.75" customHeight="1">
      <c r="A2248" s="9" t="s">
        <v>217</v>
      </c>
      <c r="B2248" s="17">
        <v>1982.0</v>
      </c>
      <c r="C2248" s="9" t="s">
        <v>4725</v>
      </c>
      <c r="D2248" s="9">
        <v>25.0</v>
      </c>
      <c r="E2248" s="18">
        <f t="shared" si="1"/>
        <v>30310</v>
      </c>
      <c r="F2248" s="9">
        <v>2.0</v>
      </c>
      <c r="G2248" s="19">
        <v>40003.33</v>
      </c>
      <c r="H2248" s="9" t="s">
        <v>4718</v>
      </c>
      <c r="I2248" s="9" t="s">
        <v>4718</v>
      </c>
      <c r="J2248" s="9" t="s">
        <v>4733</v>
      </c>
      <c r="K2248" s="20">
        <f t="shared" si="2"/>
        <v>1982</v>
      </c>
      <c r="L2248" s="9" t="str">
        <f t="shared" si="3"/>
        <v>tier - 1</v>
      </c>
      <c r="M2248" s="9" t="str">
        <f t="shared" si="4"/>
        <v>tier - 1</v>
      </c>
      <c r="N2248" s="9" t="str">
        <f t="shared" si="5"/>
        <v>R1012</v>
      </c>
      <c r="O2248" s="17">
        <f t="shared" si="6"/>
        <v>40</v>
      </c>
      <c r="P2248" s="18">
        <v>30310.0</v>
      </c>
    </row>
    <row r="2249" ht="15.75" customHeight="1">
      <c r="A2249" s="9" t="s">
        <v>2159</v>
      </c>
      <c r="B2249" s="17">
        <v>1968.0</v>
      </c>
      <c r="C2249" s="9" t="s">
        <v>4716</v>
      </c>
      <c r="D2249" s="9">
        <v>29.0</v>
      </c>
      <c r="E2249" s="18">
        <f t="shared" si="1"/>
        <v>25079</v>
      </c>
      <c r="F2249" s="9">
        <v>1.0</v>
      </c>
      <c r="G2249" s="19">
        <v>10436.1</v>
      </c>
      <c r="H2249" s="9" t="s">
        <v>4717</v>
      </c>
      <c r="I2249" s="9" t="s">
        <v>4717</v>
      </c>
      <c r="J2249" s="9" t="s">
        <v>4719</v>
      </c>
      <c r="K2249" s="20">
        <f t="shared" si="2"/>
        <v>1968</v>
      </c>
      <c r="L2249" s="9" t="str">
        <f t="shared" si="3"/>
        <v>tier - 3</v>
      </c>
      <c r="M2249" s="9" t="str">
        <f t="shared" si="4"/>
        <v>tier - 3</v>
      </c>
      <c r="N2249" s="9" t="str">
        <f t="shared" si="5"/>
        <v>R1011</v>
      </c>
      <c r="O2249" s="17">
        <f t="shared" si="6"/>
        <v>54</v>
      </c>
      <c r="P2249" s="18">
        <v>25079.0</v>
      </c>
    </row>
    <row r="2250" ht="15.75" customHeight="1">
      <c r="A2250" s="9" t="s">
        <v>2157</v>
      </c>
      <c r="B2250" s="17">
        <v>1968.0</v>
      </c>
      <c r="C2250" s="9" t="s">
        <v>4735</v>
      </c>
      <c r="D2250" s="9">
        <v>8.0</v>
      </c>
      <c r="E2250" s="18">
        <f t="shared" si="1"/>
        <v>25150</v>
      </c>
      <c r="F2250" s="9">
        <v>1.0</v>
      </c>
      <c r="G2250" s="19">
        <v>10450.55</v>
      </c>
      <c r="H2250" s="9" t="s">
        <v>4717</v>
      </c>
      <c r="I2250" s="9" t="s">
        <v>4718</v>
      </c>
      <c r="J2250" s="9" t="s">
        <v>4719</v>
      </c>
      <c r="K2250" s="20">
        <f t="shared" si="2"/>
        <v>1968</v>
      </c>
      <c r="L2250" s="9" t="str">
        <f t="shared" si="3"/>
        <v>tier - 3</v>
      </c>
      <c r="M2250" s="9" t="str">
        <f t="shared" si="4"/>
        <v>tier - 1</v>
      </c>
      <c r="N2250" s="9" t="str">
        <f t="shared" si="5"/>
        <v>R1011</v>
      </c>
      <c r="O2250" s="17">
        <f t="shared" si="6"/>
        <v>54</v>
      </c>
      <c r="P2250" s="18">
        <v>25150.0</v>
      </c>
    </row>
    <row r="2251" ht="15.75" customHeight="1">
      <c r="A2251" s="9" t="s">
        <v>2155</v>
      </c>
      <c r="B2251" s="17">
        <v>1964.0</v>
      </c>
      <c r="C2251" s="9" t="s">
        <v>4720</v>
      </c>
      <c r="D2251" s="9">
        <v>14.0</v>
      </c>
      <c r="E2251" s="18">
        <f t="shared" si="1"/>
        <v>23664</v>
      </c>
      <c r="F2251" s="9">
        <v>0.0</v>
      </c>
      <c r="G2251" s="19">
        <v>10455.1</v>
      </c>
      <c r="H2251" s="9" t="s">
        <v>4717</v>
      </c>
      <c r="I2251" s="9" t="s">
        <v>4718</v>
      </c>
      <c r="J2251" s="9" t="s">
        <v>4733</v>
      </c>
      <c r="K2251" s="20">
        <f t="shared" si="2"/>
        <v>1964</v>
      </c>
      <c r="L2251" s="9" t="str">
        <f t="shared" si="3"/>
        <v>tier - 3</v>
      </c>
      <c r="M2251" s="9" t="str">
        <f t="shared" si="4"/>
        <v>tier - 1</v>
      </c>
      <c r="N2251" s="9" t="str">
        <f t="shared" si="5"/>
        <v>R1012</v>
      </c>
      <c r="O2251" s="17">
        <f t="shared" si="6"/>
        <v>58</v>
      </c>
      <c r="P2251" s="18">
        <v>23664.0</v>
      </c>
    </row>
    <row r="2252" ht="15.75" customHeight="1">
      <c r="A2252" s="9" t="s">
        <v>2153</v>
      </c>
      <c r="B2252" s="17">
        <v>1976.0</v>
      </c>
      <c r="C2252" s="9" t="s">
        <v>4716</v>
      </c>
      <c r="D2252" s="9">
        <v>3.0</v>
      </c>
      <c r="E2252" s="18">
        <f t="shared" si="1"/>
        <v>27975</v>
      </c>
      <c r="F2252" s="9">
        <v>2.0</v>
      </c>
      <c r="G2252" s="19">
        <v>10455.14</v>
      </c>
      <c r="H2252" s="9" t="s">
        <v>4717</v>
      </c>
      <c r="I2252" s="9" t="s">
        <v>4723</v>
      </c>
      <c r="J2252" s="9" t="s">
        <v>4751</v>
      </c>
      <c r="K2252" s="20">
        <f t="shared" si="2"/>
        <v>1976</v>
      </c>
      <c r="L2252" s="9" t="str">
        <f t="shared" si="3"/>
        <v>tier - 3</v>
      </c>
      <c r="M2252" s="9" t="str">
        <f t="shared" si="4"/>
        <v>tier - 2</v>
      </c>
      <c r="N2252" s="9" t="str">
        <f t="shared" si="5"/>
        <v>R1021</v>
      </c>
      <c r="O2252" s="17">
        <f t="shared" si="6"/>
        <v>46</v>
      </c>
      <c r="P2252" s="18">
        <v>27975.0</v>
      </c>
    </row>
    <row r="2253" ht="15.75" customHeight="1">
      <c r="A2253" s="9" t="s">
        <v>2151</v>
      </c>
      <c r="B2253" s="17">
        <v>1964.0</v>
      </c>
      <c r="C2253" s="9" t="s">
        <v>4741</v>
      </c>
      <c r="D2253" s="9">
        <v>27.0</v>
      </c>
      <c r="E2253" s="18">
        <f t="shared" si="1"/>
        <v>23585</v>
      </c>
      <c r="F2253" s="9">
        <v>0.0</v>
      </c>
      <c r="G2253" s="19">
        <v>10459.19</v>
      </c>
      <c r="H2253" s="9" t="s">
        <v>4717</v>
      </c>
      <c r="I2253" s="9" t="s">
        <v>4718</v>
      </c>
      <c r="J2253" s="9" t="s">
        <v>4743</v>
      </c>
      <c r="K2253" s="20">
        <f t="shared" si="2"/>
        <v>1964</v>
      </c>
      <c r="L2253" s="9" t="str">
        <f t="shared" si="3"/>
        <v>tier - 3</v>
      </c>
      <c r="M2253" s="9" t="str">
        <f t="shared" si="4"/>
        <v>tier - 1</v>
      </c>
      <c r="N2253" s="9" t="str">
        <f t="shared" si="5"/>
        <v>R1013</v>
      </c>
      <c r="O2253" s="17">
        <f t="shared" si="6"/>
        <v>58</v>
      </c>
      <c r="P2253" s="18">
        <v>23585.0</v>
      </c>
    </row>
    <row r="2254" ht="15.75" customHeight="1">
      <c r="A2254" s="9" t="s">
        <v>2149</v>
      </c>
      <c r="B2254" s="17">
        <v>1969.0</v>
      </c>
      <c r="C2254" s="9" t="s">
        <v>4738</v>
      </c>
      <c r="D2254" s="9">
        <v>22.0</v>
      </c>
      <c r="E2254" s="18">
        <f t="shared" si="1"/>
        <v>25468</v>
      </c>
      <c r="F2254" s="9">
        <v>1.0</v>
      </c>
      <c r="G2254" s="19">
        <v>10461.98</v>
      </c>
      <c r="H2254" s="9" t="s">
        <v>4717</v>
      </c>
      <c r="I2254" s="9" t="s">
        <v>4718</v>
      </c>
      <c r="J2254" s="9" t="s">
        <v>4733</v>
      </c>
      <c r="K2254" s="20">
        <f t="shared" si="2"/>
        <v>1969</v>
      </c>
      <c r="L2254" s="9" t="str">
        <f t="shared" si="3"/>
        <v>tier - 3</v>
      </c>
      <c r="M2254" s="9" t="str">
        <f t="shared" si="4"/>
        <v>tier - 1</v>
      </c>
      <c r="N2254" s="9" t="str">
        <f t="shared" si="5"/>
        <v>R1012</v>
      </c>
      <c r="O2254" s="17">
        <f t="shared" si="6"/>
        <v>53</v>
      </c>
      <c r="P2254" s="18">
        <v>25468.0</v>
      </c>
    </row>
    <row r="2255" ht="15.75" customHeight="1">
      <c r="A2255" s="9" t="s">
        <v>2147</v>
      </c>
      <c r="B2255" s="17">
        <v>1987.0</v>
      </c>
      <c r="C2255" s="9" t="s">
        <v>4730</v>
      </c>
      <c r="D2255" s="9">
        <v>28.0</v>
      </c>
      <c r="E2255" s="18">
        <f t="shared" si="1"/>
        <v>31956</v>
      </c>
      <c r="F2255" s="9">
        <v>3.0</v>
      </c>
      <c r="G2255" s="19">
        <v>10464.83</v>
      </c>
      <c r="H2255" s="9" t="s">
        <v>4717</v>
      </c>
      <c r="I2255" s="9" t="s">
        <v>4718</v>
      </c>
      <c r="J2255" s="9" t="s">
        <v>4733</v>
      </c>
      <c r="K2255" s="20">
        <f t="shared" si="2"/>
        <v>1987</v>
      </c>
      <c r="L2255" s="9" t="str">
        <f t="shared" si="3"/>
        <v>tier - 3</v>
      </c>
      <c r="M2255" s="9" t="str">
        <f t="shared" si="4"/>
        <v>tier - 1</v>
      </c>
      <c r="N2255" s="9" t="str">
        <f t="shared" si="5"/>
        <v>R1012</v>
      </c>
      <c r="O2255" s="17">
        <f t="shared" si="6"/>
        <v>35</v>
      </c>
      <c r="P2255" s="18">
        <v>31956.0</v>
      </c>
    </row>
    <row r="2256" ht="15.75" customHeight="1">
      <c r="A2256" s="9" t="s">
        <v>2145</v>
      </c>
      <c r="B2256" s="17">
        <v>1978.0</v>
      </c>
      <c r="C2256" s="9" t="s">
        <v>4716</v>
      </c>
      <c r="D2256" s="9">
        <v>21.0</v>
      </c>
      <c r="E2256" s="18">
        <f t="shared" si="1"/>
        <v>28723</v>
      </c>
      <c r="F2256" s="9">
        <v>2.0</v>
      </c>
      <c r="G2256" s="19">
        <v>10486.55</v>
      </c>
      <c r="H2256" s="9" t="s">
        <v>4717</v>
      </c>
      <c r="I2256" s="9" t="s">
        <v>4717</v>
      </c>
      <c r="J2256" s="9" t="s">
        <v>4726</v>
      </c>
      <c r="K2256" s="20">
        <f t="shared" si="2"/>
        <v>1978</v>
      </c>
      <c r="L2256" s="9" t="str">
        <f t="shared" si="3"/>
        <v>tier - 3</v>
      </c>
      <c r="M2256" s="9" t="str">
        <f t="shared" si="4"/>
        <v>tier - 3</v>
      </c>
      <c r="N2256" s="9" t="str">
        <f t="shared" si="5"/>
        <v>R1025</v>
      </c>
      <c r="O2256" s="17">
        <f t="shared" si="6"/>
        <v>44</v>
      </c>
      <c r="P2256" s="18">
        <v>28723.0</v>
      </c>
    </row>
    <row r="2257" ht="15.75" customHeight="1">
      <c r="A2257" s="9" t="s">
        <v>2143</v>
      </c>
      <c r="B2257" s="17">
        <v>1972.0</v>
      </c>
      <c r="C2257" s="9" t="s">
        <v>4720</v>
      </c>
      <c r="D2257" s="9">
        <v>19.0</v>
      </c>
      <c r="E2257" s="18">
        <f t="shared" si="1"/>
        <v>26591</v>
      </c>
      <c r="F2257" s="9">
        <v>2.0</v>
      </c>
      <c r="G2257" s="19">
        <v>10493.95</v>
      </c>
      <c r="H2257" s="9" t="s">
        <v>4717</v>
      </c>
      <c r="I2257" s="9" t="s">
        <v>4718</v>
      </c>
      <c r="J2257" s="9" t="s">
        <v>4733</v>
      </c>
      <c r="K2257" s="20">
        <f t="shared" si="2"/>
        <v>1972</v>
      </c>
      <c r="L2257" s="9" t="str">
        <f t="shared" si="3"/>
        <v>tier - 3</v>
      </c>
      <c r="M2257" s="9" t="str">
        <f t="shared" si="4"/>
        <v>tier - 1</v>
      </c>
      <c r="N2257" s="9" t="str">
        <f t="shared" si="5"/>
        <v>R1012</v>
      </c>
      <c r="O2257" s="17">
        <f t="shared" si="6"/>
        <v>50</v>
      </c>
      <c r="P2257" s="18">
        <v>26591.0</v>
      </c>
    </row>
    <row r="2258" ht="15.75" customHeight="1">
      <c r="A2258" s="9" t="s">
        <v>2141</v>
      </c>
      <c r="B2258" s="17">
        <v>1977.0</v>
      </c>
      <c r="C2258" s="9" t="s">
        <v>4720</v>
      </c>
      <c r="D2258" s="9">
        <v>25.0</v>
      </c>
      <c r="E2258" s="18">
        <f t="shared" si="1"/>
        <v>28423</v>
      </c>
      <c r="F2258" s="9">
        <v>2.0</v>
      </c>
      <c r="G2258" s="19">
        <v>10495.6</v>
      </c>
      <c r="H2258" s="9" t="s">
        <v>4717</v>
      </c>
      <c r="I2258" s="9" t="s">
        <v>4718</v>
      </c>
      <c r="J2258" s="9" t="s">
        <v>4733</v>
      </c>
      <c r="K2258" s="20">
        <f t="shared" si="2"/>
        <v>1977</v>
      </c>
      <c r="L2258" s="9" t="str">
        <f t="shared" si="3"/>
        <v>tier - 3</v>
      </c>
      <c r="M2258" s="9" t="str">
        <f t="shared" si="4"/>
        <v>tier - 1</v>
      </c>
      <c r="N2258" s="9" t="str">
        <f t="shared" si="5"/>
        <v>R1012</v>
      </c>
      <c r="O2258" s="17">
        <f t="shared" si="6"/>
        <v>45</v>
      </c>
      <c r="P2258" s="18">
        <v>28423.0</v>
      </c>
    </row>
    <row r="2259" ht="15.75" customHeight="1">
      <c r="A2259" s="9" t="s">
        <v>215</v>
      </c>
      <c r="B2259" s="17">
        <v>1978.0</v>
      </c>
      <c r="C2259" s="9" t="s">
        <v>4725</v>
      </c>
      <c r="D2259" s="9">
        <v>20.0</v>
      </c>
      <c r="E2259" s="18">
        <f t="shared" si="1"/>
        <v>28844</v>
      </c>
      <c r="F2259" s="9">
        <v>2.0</v>
      </c>
      <c r="G2259" s="19">
        <v>40054.73</v>
      </c>
      <c r="H2259" s="9" t="s">
        <v>4718</v>
      </c>
      <c r="I2259" s="9" t="s">
        <v>4717</v>
      </c>
      <c r="J2259" s="9" t="s">
        <v>4719</v>
      </c>
      <c r="K2259" s="20">
        <f t="shared" si="2"/>
        <v>1978</v>
      </c>
      <c r="L2259" s="9" t="str">
        <f t="shared" si="3"/>
        <v>tier - 1</v>
      </c>
      <c r="M2259" s="9" t="str">
        <f t="shared" si="4"/>
        <v>tier - 3</v>
      </c>
      <c r="N2259" s="9" t="str">
        <f t="shared" si="5"/>
        <v>R1011</v>
      </c>
      <c r="O2259" s="17">
        <f t="shared" si="6"/>
        <v>44</v>
      </c>
      <c r="P2259" s="18">
        <v>28844.0</v>
      </c>
    </row>
    <row r="2260" ht="15.75" customHeight="1">
      <c r="A2260" s="9" t="s">
        <v>2139</v>
      </c>
      <c r="B2260" s="17">
        <v>1971.0</v>
      </c>
      <c r="C2260" s="9" t="s">
        <v>4738</v>
      </c>
      <c r="D2260" s="9">
        <v>26.0</v>
      </c>
      <c r="E2260" s="18">
        <f t="shared" si="1"/>
        <v>26202</v>
      </c>
      <c r="F2260" s="9">
        <v>0.0</v>
      </c>
      <c r="G2260" s="19">
        <v>10546.48</v>
      </c>
      <c r="H2260" s="9" t="s">
        <v>4717</v>
      </c>
      <c r="I2260" s="9" t="s">
        <v>4717</v>
      </c>
      <c r="J2260" s="9" t="s">
        <v>4719</v>
      </c>
      <c r="K2260" s="20">
        <f t="shared" si="2"/>
        <v>1971</v>
      </c>
      <c r="L2260" s="9" t="str">
        <f t="shared" si="3"/>
        <v>tier - 3</v>
      </c>
      <c r="M2260" s="9" t="str">
        <f t="shared" si="4"/>
        <v>tier - 3</v>
      </c>
      <c r="N2260" s="9" t="str">
        <f t="shared" si="5"/>
        <v>R1011</v>
      </c>
      <c r="O2260" s="17">
        <f t="shared" si="6"/>
        <v>51</v>
      </c>
      <c r="P2260" s="18">
        <v>26202.0</v>
      </c>
    </row>
    <row r="2261" ht="15.75" customHeight="1">
      <c r="A2261" s="9" t="s">
        <v>2137</v>
      </c>
      <c r="B2261" s="17">
        <v>1971.0</v>
      </c>
      <c r="C2261" s="9" t="s">
        <v>4730</v>
      </c>
      <c r="D2261" s="9">
        <v>29.0</v>
      </c>
      <c r="E2261" s="18">
        <f t="shared" si="1"/>
        <v>26113</v>
      </c>
      <c r="F2261" s="9">
        <v>3.0</v>
      </c>
      <c r="G2261" s="19">
        <v>10560.49</v>
      </c>
      <c r="H2261" s="9" t="s">
        <v>4717</v>
      </c>
      <c r="I2261" s="9" t="s">
        <v>4723</v>
      </c>
      <c r="J2261" s="9" t="s">
        <v>4743</v>
      </c>
      <c r="K2261" s="20">
        <f t="shared" si="2"/>
        <v>1971</v>
      </c>
      <c r="L2261" s="9" t="str">
        <f t="shared" si="3"/>
        <v>tier - 3</v>
      </c>
      <c r="M2261" s="9" t="str">
        <f t="shared" si="4"/>
        <v>tier - 2</v>
      </c>
      <c r="N2261" s="9" t="str">
        <f t="shared" si="5"/>
        <v>R1013</v>
      </c>
      <c r="O2261" s="17">
        <f t="shared" si="6"/>
        <v>51</v>
      </c>
      <c r="P2261" s="18">
        <v>26113.0</v>
      </c>
    </row>
    <row r="2262" ht="15.75" customHeight="1">
      <c r="A2262" s="9" t="s">
        <v>2135</v>
      </c>
      <c r="B2262" s="17">
        <v>1969.0</v>
      </c>
      <c r="C2262" s="9" t="s">
        <v>4741</v>
      </c>
      <c r="D2262" s="9">
        <v>17.0</v>
      </c>
      <c r="E2262" s="18">
        <f t="shared" si="1"/>
        <v>25401</v>
      </c>
      <c r="F2262" s="9">
        <v>0.0</v>
      </c>
      <c r="G2262" s="19">
        <v>10564.88</v>
      </c>
      <c r="H2262" s="9" t="s">
        <v>4717</v>
      </c>
      <c r="I2262" s="9" t="s">
        <v>4718</v>
      </c>
      <c r="J2262" s="9" t="s">
        <v>4731</v>
      </c>
      <c r="K2262" s="20">
        <f t="shared" si="2"/>
        <v>1969</v>
      </c>
      <c r="L2262" s="9" t="str">
        <f t="shared" si="3"/>
        <v>tier - 3</v>
      </c>
      <c r="M2262" s="9" t="str">
        <f t="shared" si="4"/>
        <v>tier - 1</v>
      </c>
      <c r="N2262" s="9" t="str">
        <f t="shared" si="5"/>
        <v>R1024</v>
      </c>
      <c r="O2262" s="17">
        <f t="shared" si="6"/>
        <v>53</v>
      </c>
      <c r="P2262" s="18">
        <v>25401.0</v>
      </c>
    </row>
    <row r="2263" ht="15.75" customHeight="1">
      <c r="A2263" s="9" t="s">
        <v>2133</v>
      </c>
      <c r="B2263" s="17">
        <v>1966.0</v>
      </c>
      <c r="C2263" s="9" t="s">
        <v>4725</v>
      </c>
      <c r="D2263" s="9">
        <v>11.0</v>
      </c>
      <c r="E2263" s="18">
        <f t="shared" si="1"/>
        <v>24452</v>
      </c>
      <c r="F2263" s="9">
        <v>0.0</v>
      </c>
      <c r="G2263" s="19">
        <v>10577.09</v>
      </c>
      <c r="H2263" s="9" t="s">
        <v>4717</v>
      </c>
      <c r="I2263" s="9" t="s">
        <v>4717</v>
      </c>
      <c r="J2263" s="9" t="s">
        <v>4719</v>
      </c>
      <c r="K2263" s="20">
        <f t="shared" si="2"/>
        <v>1966</v>
      </c>
      <c r="L2263" s="9" t="str">
        <f t="shared" si="3"/>
        <v>tier - 3</v>
      </c>
      <c r="M2263" s="9" t="str">
        <f t="shared" si="4"/>
        <v>tier - 3</v>
      </c>
      <c r="N2263" s="9" t="str">
        <f t="shared" si="5"/>
        <v>R1011</v>
      </c>
      <c r="O2263" s="17">
        <f t="shared" si="6"/>
        <v>56</v>
      </c>
      <c r="P2263" s="18">
        <v>24452.0</v>
      </c>
    </row>
    <row r="2264" ht="15.75" customHeight="1">
      <c r="A2264" s="9" t="s">
        <v>2131</v>
      </c>
      <c r="B2264" s="17">
        <v>1969.0</v>
      </c>
      <c r="C2264" s="9" t="s">
        <v>4725</v>
      </c>
      <c r="D2264" s="9">
        <v>25.0</v>
      </c>
      <c r="E2264" s="18">
        <f t="shared" si="1"/>
        <v>25562</v>
      </c>
      <c r="F2264" s="9">
        <v>1.0</v>
      </c>
      <c r="G2264" s="19">
        <v>10579.71</v>
      </c>
      <c r="H2264" s="9" t="s">
        <v>4717</v>
      </c>
      <c r="I2264" s="9" t="s">
        <v>4717</v>
      </c>
      <c r="J2264" s="9" t="s">
        <v>4743</v>
      </c>
      <c r="K2264" s="20">
        <f t="shared" si="2"/>
        <v>1969</v>
      </c>
      <c r="L2264" s="9" t="str">
        <f t="shared" si="3"/>
        <v>tier - 3</v>
      </c>
      <c r="M2264" s="9" t="str">
        <f t="shared" si="4"/>
        <v>tier - 3</v>
      </c>
      <c r="N2264" s="9" t="str">
        <f t="shared" si="5"/>
        <v>R1013</v>
      </c>
      <c r="O2264" s="17">
        <f t="shared" si="6"/>
        <v>53</v>
      </c>
      <c r="P2264" s="18">
        <v>25562.0</v>
      </c>
    </row>
    <row r="2265" ht="15.75" customHeight="1">
      <c r="A2265" s="9" t="s">
        <v>2129</v>
      </c>
      <c r="B2265" s="17">
        <v>1966.0</v>
      </c>
      <c r="C2265" s="9" t="s">
        <v>4735</v>
      </c>
      <c r="D2265" s="9">
        <v>3.0</v>
      </c>
      <c r="E2265" s="18">
        <f t="shared" si="1"/>
        <v>24414</v>
      </c>
      <c r="F2265" s="9">
        <v>0.0</v>
      </c>
      <c r="G2265" s="19">
        <v>10594.23</v>
      </c>
      <c r="H2265" s="9" t="s">
        <v>4717</v>
      </c>
      <c r="I2265" s="9" t="s">
        <v>4717</v>
      </c>
      <c r="J2265" s="9" t="s">
        <v>4743</v>
      </c>
      <c r="K2265" s="20">
        <f t="shared" si="2"/>
        <v>1966</v>
      </c>
      <c r="L2265" s="9" t="str">
        <f t="shared" si="3"/>
        <v>tier - 3</v>
      </c>
      <c r="M2265" s="9" t="str">
        <f t="shared" si="4"/>
        <v>tier - 3</v>
      </c>
      <c r="N2265" s="9" t="str">
        <f t="shared" si="5"/>
        <v>R1013</v>
      </c>
      <c r="O2265" s="17">
        <f t="shared" si="6"/>
        <v>56</v>
      </c>
      <c r="P2265" s="18">
        <v>24414.0</v>
      </c>
    </row>
    <row r="2266" ht="15.75" customHeight="1">
      <c r="A2266" s="9" t="s">
        <v>2127</v>
      </c>
      <c r="B2266" s="17">
        <v>1967.0</v>
      </c>
      <c r="C2266" s="9" t="s">
        <v>4735</v>
      </c>
      <c r="D2266" s="9">
        <v>29.0</v>
      </c>
      <c r="E2266" s="18">
        <f t="shared" si="1"/>
        <v>24805</v>
      </c>
      <c r="F2266" s="9">
        <v>0.0</v>
      </c>
      <c r="G2266" s="19">
        <v>10594.5</v>
      </c>
      <c r="H2266" s="9" t="s">
        <v>4717</v>
      </c>
      <c r="I2266" s="9" t="s">
        <v>4718</v>
      </c>
      <c r="J2266" s="9" t="s">
        <v>4733</v>
      </c>
      <c r="K2266" s="20">
        <f t="shared" si="2"/>
        <v>1967</v>
      </c>
      <c r="L2266" s="9" t="str">
        <f t="shared" si="3"/>
        <v>tier - 3</v>
      </c>
      <c r="M2266" s="9" t="str">
        <f t="shared" si="4"/>
        <v>tier - 1</v>
      </c>
      <c r="N2266" s="9" t="str">
        <f t="shared" si="5"/>
        <v>R1012</v>
      </c>
      <c r="O2266" s="17">
        <f t="shared" si="6"/>
        <v>55</v>
      </c>
      <c r="P2266" s="18">
        <v>24805.0</v>
      </c>
    </row>
    <row r="2267" ht="15.75" customHeight="1">
      <c r="A2267" s="9" t="s">
        <v>2125</v>
      </c>
      <c r="B2267" s="17">
        <v>1972.0</v>
      </c>
      <c r="C2267" s="9" t="s">
        <v>4725</v>
      </c>
      <c r="D2267" s="9">
        <v>14.0</v>
      </c>
      <c r="E2267" s="18">
        <f t="shared" si="1"/>
        <v>26647</v>
      </c>
      <c r="F2267" s="9">
        <v>3.0</v>
      </c>
      <c r="G2267" s="19">
        <v>10600.55</v>
      </c>
      <c r="H2267" s="9" t="s">
        <v>4717</v>
      </c>
      <c r="I2267" s="9" t="s">
        <v>4718</v>
      </c>
      <c r="J2267" s="9" t="s">
        <v>4733</v>
      </c>
      <c r="K2267" s="20">
        <f t="shared" si="2"/>
        <v>1972</v>
      </c>
      <c r="L2267" s="9" t="str">
        <f t="shared" si="3"/>
        <v>tier - 3</v>
      </c>
      <c r="M2267" s="9" t="str">
        <f t="shared" si="4"/>
        <v>tier - 1</v>
      </c>
      <c r="N2267" s="9" t="str">
        <f t="shared" si="5"/>
        <v>R1012</v>
      </c>
      <c r="O2267" s="17">
        <f t="shared" si="6"/>
        <v>50</v>
      </c>
      <c r="P2267" s="18">
        <v>26647.0</v>
      </c>
    </row>
    <row r="2268" ht="15.75" customHeight="1">
      <c r="A2268" s="9" t="s">
        <v>2123</v>
      </c>
      <c r="B2268" s="17">
        <v>1966.0</v>
      </c>
      <c r="C2268" s="9" t="s">
        <v>4741</v>
      </c>
      <c r="D2268" s="9">
        <v>20.0</v>
      </c>
      <c r="E2268" s="18">
        <f t="shared" si="1"/>
        <v>24308</v>
      </c>
      <c r="F2268" s="9">
        <v>0.0</v>
      </c>
      <c r="G2268" s="19">
        <v>10601.41</v>
      </c>
      <c r="H2268" s="9" t="s">
        <v>4717</v>
      </c>
      <c r="I2268" s="9" t="s">
        <v>4723</v>
      </c>
      <c r="J2268" s="9" t="s">
        <v>4719</v>
      </c>
      <c r="K2268" s="20">
        <f t="shared" si="2"/>
        <v>1966</v>
      </c>
      <c r="L2268" s="9" t="str">
        <f t="shared" si="3"/>
        <v>tier - 3</v>
      </c>
      <c r="M2268" s="9" t="str">
        <f t="shared" si="4"/>
        <v>tier - 2</v>
      </c>
      <c r="N2268" s="9" t="str">
        <f t="shared" si="5"/>
        <v>R1011</v>
      </c>
      <c r="O2268" s="17">
        <f t="shared" si="6"/>
        <v>56</v>
      </c>
      <c r="P2268" s="18">
        <v>24308.0</v>
      </c>
    </row>
    <row r="2269" ht="15.75" customHeight="1">
      <c r="A2269" s="9" t="s">
        <v>2121</v>
      </c>
      <c r="B2269" s="17">
        <v>1967.0</v>
      </c>
      <c r="C2269" s="9" t="s">
        <v>4730</v>
      </c>
      <c r="D2269" s="9">
        <v>23.0</v>
      </c>
      <c r="E2269" s="18">
        <f t="shared" si="1"/>
        <v>24646</v>
      </c>
      <c r="F2269" s="9">
        <v>0.0</v>
      </c>
      <c r="G2269" s="19">
        <v>10601.63</v>
      </c>
      <c r="H2269" s="9" t="s">
        <v>4717</v>
      </c>
      <c r="I2269" s="9" t="s">
        <v>4723</v>
      </c>
      <c r="J2269" s="9" t="s">
        <v>4733</v>
      </c>
      <c r="K2269" s="20">
        <f t="shared" si="2"/>
        <v>1967</v>
      </c>
      <c r="L2269" s="9" t="str">
        <f t="shared" si="3"/>
        <v>tier - 3</v>
      </c>
      <c r="M2269" s="9" t="str">
        <f t="shared" si="4"/>
        <v>tier - 2</v>
      </c>
      <c r="N2269" s="9" t="str">
        <f t="shared" si="5"/>
        <v>R1012</v>
      </c>
      <c r="O2269" s="17">
        <f t="shared" si="6"/>
        <v>55</v>
      </c>
      <c r="P2269" s="18">
        <v>24646.0</v>
      </c>
    </row>
    <row r="2270" ht="15.75" customHeight="1">
      <c r="A2270" s="9" t="s">
        <v>213</v>
      </c>
      <c r="B2270" s="17">
        <v>1966.0</v>
      </c>
      <c r="C2270" s="9" t="s">
        <v>4716</v>
      </c>
      <c r="D2270" s="9">
        <v>12.0</v>
      </c>
      <c r="E2270" s="18">
        <f t="shared" si="1"/>
        <v>24331</v>
      </c>
      <c r="F2270" s="9">
        <v>0.0</v>
      </c>
      <c r="G2270" s="19">
        <v>40069.44</v>
      </c>
      <c r="H2270" s="9" t="s">
        <v>4718</v>
      </c>
      <c r="I2270" s="9" t="s">
        <v>4717</v>
      </c>
      <c r="J2270" s="9" t="s">
        <v>4719</v>
      </c>
      <c r="K2270" s="20">
        <f t="shared" si="2"/>
        <v>1966</v>
      </c>
      <c r="L2270" s="9" t="str">
        <f t="shared" si="3"/>
        <v>tier - 1</v>
      </c>
      <c r="M2270" s="9" t="str">
        <f t="shared" si="4"/>
        <v>tier - 3</v>
      </c>
      <c r="N2270" s="9" t="str">
        <f t="shared" si="5"/>
        <v>R1011</v>
      </c>
      <c r="O2270" s="17">
        <f t="shared" si="6"/>
        <v>56</v>
      </c>
      <c r="P2270" s="18">
        <v>24331.0</v>
      </c>
    </row>
    <row r="2271" ht="15.75" customHeight="1">
      <c r="A2271" s="9" t="s">
        <v>2119</v>
      </c>
      <c r="B2271" s="17">
        <v>1966.0</v>
      </c>
      <c r="C2271" s="9" t="s">
        <v>4741</v>
      </c>
      <c r="D2271" s="9">
        <v>2.0</v>
      </c>
      <c r="E2271" s="18">
        <f t="shared" si="1"/>
        <v>24290</v>
      </c>
      <c r="F2271" s="9">
        <v>0.0</v>
      </c>
      <c r="G2271" s="19">
        <v>10602.39</v>
      </c>
      <c r="H2271" s="9" t="s">
        <v>4717</v>
      </c>
      <c r="I2271" s="9" t="s">
        <v>4717</v>
      </c>
      <c r="J2271" s="9" t="s">
        <v>4719</v>
      </c>
      <c r="K2271" s="20">
        <f t="shared" si="2"/>
        <v>1966</v>
      </c>
      <c r="L2271" s="9" t="str">
        <f t="shared" si="3"/>
        <v>tier - 3</v>
      </c>
      <c r="M2271" s="9" t="str">
        <f t="shared" si="4"/>
        <v>tier - 3</v>
      </c>
      <c r="N2271" s="9" t="str">
        <f t="shared" si="5"/>
        <v>R1011</v>
      </c>
      <c r="O2271" s="17">
        <f t="shared" si="6"/>
        <v>56</v>
      </c>
      <c r="P2271" s="18">
        <v>24290.0</v>
      </c>
    </row>
    <row r="2272" ht="15.75" customHeight="1">
      <c r="A2272" s="9" t="s">
        <v>2117</v>
      </c>
      <c r="B2272" s="17">
        <v>1965.0</v>
      </c>
      <c r="C2272" s="9" t="s">
        <v>4730</v>
      </c>
      <c r="D2272" s="9">
        <v>27.0</v>
      </c>
      <c r="E2272" s="18">
        <f t="shared" si="1"/>
        <v>23920</v>
      </c>
      <c r="F2272" s="9">
        <v>0.0</v>
      </c>
      <c r="G2272" s="19">
        <v>10608.67</v>
      </c>
      <c r="H2272" s="9" t="s">
        <v>4717</v>
      </c>
      <c r="I2272" s="9" t="s">
        <v>4717</v>
      </c>
      <c r="J2272" s="9" t="s">
        <v>4733</v>
      </c>
      <c r="K2272" s="20">
        <f t="shared" si="2"/>
        <v>1965</v>
      </c>
      <c r="L2272" s="9" t="str">
        <f t="shared" si="3"/>
        <v>tier - 3</v>
      </c>
      <c r="M2272" s="9" t="str">
        <f t="shared" si="4"/>
        <v>tier - 3</v>
      </c>
      <c r="N2272" s="9" t="str">
        <f t="shared" si="5"/>
        <v>R1012</v>
      </c>
      <c r="O2272" s="17">
        <f t="shared" si="6"/>
        <v>57</v>
      </c>
      <c r="P2272" s="18">
        <v>23920.0</v>
      </c>
    </row>
    <row r="2273" ht="15.75" customHeight="1">
      <c r="A2273" s="9" t="s">
        <v>2115</v>
      </c>
      <c r="B2273" s="17">
        <v>1992.0</v>
      </c>
      <c r="C2273" s="9" t="s">
        <v>4741</v>
      </c>
      <c r="D2273" s="9">
        <v>23.0</v>
      </c>
      <c r="E2273" s="18">
        <f t="shared" si="1"/>
        <v>33808</v>
      </c>
      <c r="F2273" s="9">
        <v>0.0</v>
      </c>
      <c r="G2273" s="19">
        <v>10617.04</v>
      </c>
      <c r="H2273" s="9" t="s">
        <v>4717</v>
      </c>
      <c r="I2273" s="9" t="s">
        <v>4717</v>
      </c>
      <c r="J2273" s="9" t="s">
        <v>4721</v>
      </c>
      <c r="K2273" s="20">
        <f t="shared" si="2"/>
        <v>1992</v>
      </c>
      <c r="L2273" s="9" t="str">
        <f t="shared" si="3"/>
        <v>tier - 3</v>
      </c>
      <c r="M2273" s="9" t="str">
        <f t="shared" si="4"/>
        <v>tier - 3</v>
      </c>
      <c r="N2273" s="9" t="str">
        <f t="shared" si="5"/>
        <v>R1026</v>
      </c>
      <c r="O2273" s="17">
        <f t="shared" si="6"/>
        <v>30</v>
      </c>
      <c r="P2273" s="18">
        <v>33808.0</v>
      </c>
    </row>
    <row r="2274" ht="15.75" customHeight="1">
      <c r="A2274" s="9" t="s">
        <v>2113</v>
      </c>
      <c r="B2274" s="17">
        <v>1990.0</v>
      </c>
      <c r="C2274" s="9" t="s">
        <v>4741</v>
      </c>
      <c r="D2274" s="9">
        <v>6.0</v>
      </c>
      <c r="E2274" s="18">
        <f t="shared" si="1"/>
        <v>33060</v>
      </c>
      <c r="F2274" s="9">
        <v>3.0</v>
      </c>
      <c r="G2274" s="19">
        <v>10620.26</v>
      </c>
      <c r="H2274" s="9" t="s">
        <v>4717</v>
      </c>
      <c r="I2274" s="9" t="s">
        <v>4717</v>
      </c>
      <c r="J2274" s="9" t="s">
        <v>4733</v>
      </c>
      <c r="K2274" s="20">
        <f t="shared" si="2"/>
        <v>1990</v>
      </c>
      <c r="L2274" s="9" t="str">
        <f t="shared" si="3"/>
        <v>tier - 3</v>
      </c>
      <c r="M2274" s="9" t="str">
        <f t="shared" si="4"/>
        <v>tier - 3</v>
      </c>
      <c r="N2274" s="9" t="str">
        <f t="shared" si="5"/>
        <v>R1012</v>
      </c>
      <c r="O2274" s="17">
        <f t="shared" si="6"/>
        <v>32</v>
      </c>
      <c r="P2274" s="18">
        <v>33060.0</v>
      </c>
    </row>
    <row r="2275" ht="15.75" customHeight="1">
      <c r="A2275" s="9" t="s">
        <v>2111</v>
      </c>
      <c r="B2275" s="17">
        <v>1964.0</v>
      </c>
      <c r="C2275" s="9" t="s">
        <v>4716</v>
      </c>
      <c r="D2275" s="9">
        <v>8.0</v>
      </c>
      <c r="E2275" s="18">
        <f t="shared" si="1"/>
        <v>23597</v>
      </c>
      <c r="F2275" s="9">
        <v>0.0</v>
      </c>
      <c r="G2275" s="19">
        <v>10627.81</v>
      </c>
      <c r="H2275" s="9" t="s">
        <v>4717</v>
      </c>
      <c r="I2275" s="9" t="s">
        <v>4717</v>
      </c>
      <c r="J2275" s="9" t="s">
        <v>4743</v>
      </c>
      <c r="K2275" s="20">
        <f t="shared" si="2"/>
        <v>1964</v>
      </c>
      <c r="L2275" s="9" t="str">
        <f t="shared" si="3"/>
        <v>tier - 3</v>
      </c>
      <c r="M2275" s="9" t="str">
        <f t="shared" si="4"/>
        <v>tier - 3</v>
      </c>
      <c r="N2275" s="9" t="str">
        <f t="shared" si="5"/>
        <v>R1013</v>
      </c>
      <c r="O2275" s="17">
        <f t="shared" si="6"/>
        <v>58</v>
      </c>
      <c r="P2275" s="18">
        <v>23597.0</v>
      </c>
    </row>
    <row r="2276" ht="15.75" customHeight="1">
      <c r="A2276" s="9" t="s">
        <v>2109</v>
      </c>
      <c r="B2276" s="17">
        <v>1976.0</v>
      </c>
      <c r="C2276" s="9" t="s">
        <v>4735</v>
      </c>
      <c r="D2276" s="9">
        <v>22.0</v>
      </c>
      <c r="E2276" s="18">
        <f t="shared" si="1"/>
        <v>28086</v>
      </c>
      <c r="F2276" s="9">
        <v>2.0</v>
      </c>
      <c r="G2276" s="19">
        <v>10665.44</v>
      </c>
      <c r="H2276" s="9" t="s">
        <v>4717</v>
      </c>
      <c r="I2276" s="9" t="s">
        <v>4723</v>
      </c>
      <c r="J2276" s="9" t="s">
        <v>4751</v>
      </c>
      <c r="K2276" s="20">
        <f t="shared" si="2"/>
        <v>1976</v>
      </c>
      <c r="L2276" s="9" t="str">
        <f t="shared" si="3"/>
        <v>tier - 3</v>
      </c>
      <c r="M2276" s="9" t="str">
        <f t="shared" si="4"/>
        <v>tier - 2</v>
      </c>
      <c r="N2276" s="9" t="str">
        <f t="shared" si="5"/>
        <v>R1021</v>
      </c>
      <c r="O2276" s="17">
        <f t="shared" si="6"/>
        <v>46</v>
      </c>
      <c r="P2276" s="18">
        <v>28086.0</v>
      </c>
    </row>
    <row r="2277" ht="15.75" customHeight="1">
      <c r="A2277" s="9" t="s">
        <v>2107</v>
      </c>
      <c r="B2277" s="17">
        <v>1962.0</v>
      </c>
      <c r="C2277" s="9" t="s">
        <v>4738</v>
      </c>
      <c r="D2277" s="9">
        <v>7.0</v>
      </c>
      <c r="E2277" s="18">
        <f t="shared" si="1"/>
        <v>22896</v>
      </c>
      <c r="F2277" s="9">
        <v>0.0</v>
      </c>
      <c r="G2277" s="19">
        <v>10676.83</v>
      </c>
      <c r="H2277" s="9" t="s">
        <v>4717</v>
      </c>
      <c r="I2277" s="9" t="s">
        <v>4717</v>
      </c>
      <c r="J2277" s="9" t="s">
        <v>4743</v>
      </c>
      <c r="K2277" s="20">
        <f t="shared" si="2"/>
        <v>1962</v>
      </c>
      <c r="L2277" s="9" t="str">
        <f t="shared" si="3"/>
        <v>tier - 3</v>
      </c>
      <c r="M2277" s="9" t="str">
        <f t="shared" si="4"/>
        <v>tier - 3</v>
      </c>
      <c r="N2277" s="9" t="str">
        <f t="shared" si="5"/>
        <v>R1013</v>
      </c>
      <c r="O2277" s="17">
        <f t="shared" si="6"/>
        <v>60</v>
      </c>
      <c r="P2277" s="18">
        <v>22896.0</v>
      </c>
    </row>
    <row r="2278" ht="15.75" customHeight="1">
      <c r="A2278" s="9" t="s">
        <v>2105</v>
      </c>
      <c r="B2278" s="17">
        <v>1977.0</v>
      </c>
      <c r="C2278" s="9" t="s">
        <v>4716</v>
      </c>
      <c r="D2278" s="9">
        <v>2.0</v>
      </c>
      <c r="E2278" s="18">
        <f t="shared" si="1"/>
        <v>28339</v>
      </c>
      <c r="F2278" s="9">
        <v>2.0</v>
      </c>
      <c r="G2278" s="19">
        <v>10690.11</v>
      </c>
      <c r="H2278" s="9" t="s">
        <v>4717</v>
      </c>
      <c r="I2278" s="9" t="s">
        <v>4723</v>
      </c>
      <c r="J2278" s="9" t="s">
        <v>4751</v>
      </c>
      <c r="K2278" s="20">
        <f t="shared" si="2"/>
        <v>1977</v>
      </c>
      <c r="L2278" s="9" t="str">
        <f t="shared" si="3"/>
        <v>tier - 3</v>
      </c>
      <c r="M2278" s="9" t="str">
        <f t="shared" si="4"/>
        <v>tier - 2</v>
      </c>
      <c r="N2278" s="9" t="str">
        <f t="shared" si="5"/>
        <v>R1021</v>
      </c>
      <c r="O2278" s="17">
        <f t="shared" si="6"/>
        <v>45</v>
      </c>
      <c r="P2278" s="18">
        <v>28339.0</v>
      </c>
    </row>
    <row r="2279" ht="15.75" customHeight="1">
      <c r="A2279" s="9" t="s">
        <v>2103</v>
      </c>
      <c r="B2279" s="17">
        <v>1976.0</v>
      </c>
      <c r="C2279" s="9" t="s">
        <v>4738</v>
      </c>
      <c r="D2279" s="9">
        <v>30.0</v>
      </c>
      <c r="E2279" s="18">
        <f t="shared" si="1"/>
        <v>28033</v>
      </c>
      <c r="F2279" s="9">
        <v>2.0</v>
      </c>
      <c r="G2279" s="19">
        <v>10698.38</v>
      </c>
      <c r="H2279" s="9" t="s">
        <v>4717</v>
      </c>
      <c r="I2279" s="9" t="s">
        <v>4718</v>
      </c>
      <c r="J2279" s="9" t="s">
        <v>4726</v>
      </c>
      <c r="K2279" s="20">
        <f t="shared" si="2"/>
        <v>1976</v>
      </c>
      <c r="L2279" s="9" t="str">
        <f t="shared" si="3"/>
        <v>tier - 3</v>
      </c>
      <c r="M2279" s="9" t="str">
        <f t="shared" si="4"/>
        <v>tier - 1</v>
      </c>
      <c r="N2279" s="9" t="str">
        <f t="shared" si="5"/>
        <v>R1025</v>
      </c>
      <c r="O2279" s="17">
        <f t="shared" si="6"/>
        <v>46</v>
      </c>
      <c r="P2279" s="18">
        <v>28033.0</v>
      </c>
    </row>
    <row r="2280" ht="15.75" customHeight="1">
      <c r="A2280" s="9" t="s">
        <v>2101</v>
      </c>
      <c r="B2280" s="17">
        <v>1972.0</v>
      </c>
      <c r="C2280" s="9" t="s">
        <v>4720</v>
      </c>
      <c r="D2280" s="9">
        <v>24.0</v>
      </c>
      <c r="E2280" s="18">
        <f t="shared" si="1"/>
        <v>26596</v>
      </c>
      <c r="F2280" s="9">
        <v>3.0</v>
      </c>
      <c r="G2280" s="19">
        <v>10702.64</v>
      </c>
      <c r="H2280" s="9" t="s">
        <v>4717</v>
      </c>
      <c r="I2280" s="9" t="s">
        <v>4717</v>
      </c>
      <c r="J2280" s="9" t="s">
        <v>4743</v>
      </c>
      <c r="K2280" s="20">
        <f t="shared" si="2"/>
        <v>1972</v>
      </c>
      <c r="L2280" s="9" t="str">
        <f t="shared" si="3"/>
        <v>tier - 3</v>
      </c>
      <c r="M2280" s="9" t="str">
        <f t="shared" si="4"/>
        <v>tier - 3</v>
      </c>
      <c r="N2280" s="9" t="str">
        <f t="shared" si="5"/>
        <v>R1013</v>
      </c>
      <c r="O2280" s="17">
        <f t="shared" si="6"/>
        <v>50</v>
      </c>
      <c r="P2280" s="18">
        <v>26596.0</v>
      </c>
    </row>
    <row r="2281" ht="15.75" customHeight="1">
      <c r="A2281" s="9" t="s">
        <v>211</v>
      </c>
      <c r="B2281" s="17">
        <v>1983.0</v>
      </c>
      <c r="C2281" s="9" t="s">
        <v>4720</v>
      </c>
      <c r="D2281" s="9">
        <v>14.0</v>
      </c>
      <c r="E2281" s="18">
        <f t="shared" si="1"/>
        <v>30603</v>
      </c>
      <c r="F2281" s="9">
        <v>2.0</v>
      </c>
      <c r="G2281" s="19">
        <v>40103.89</v>
      </c>
      <c r="H2281" s="9" t="s">
        <v>4718</v>
      </c>
      <c r="I2281" s="9" t="s">
        <v>4723</v>
      </c>
      <c r="J2281" s="9" t="s">
        <v>4719</v>
      </c>
      <c r="K2281" s="20">
        <f t="shared" si="2"/>
        <v>1983</v>
      </c>
      <c r="L2281" s="9" t="str">
        <f t="shared" si="3"/>
        <v>tier - 1</v>
      </c>
      <c r="M2281" s="9" t="str">
        <f t="shared" si="4"/>
        <v>tier - 2</v>
      </c>
      <c r="N2281" s="9" t="str">
        <f t="shared" si="5"/>
        <v>R1011</v>
      </c>
      <c r="O2281" s="17">
        <f t="shared" si="6"/>
        <v>39</v>
      </c>
      <c r="P2281" s="18">
        <v>30603.0</v>
      </c>
    </row>
    <row r="2282" ht="15.75" customHeight="1">
      <c r="A2282" s="9" t="s">
        <v>2099</v>
      </c>
      <c r="B2282" s="17">
        <v>1967.0</v>
      </c>
      <c r="C2282" s="9" t="s">
        <v>4741</v>
      </c>
      <c r="D2282" s="9">
        <v>30.0</v>
      </c>
      <c r="E2282" s="18">
        <f t="shared" si="1"/>
        <v>24683</v>
      </c>
      <c r="F2282" s="9">
        <v>0.0</v>
      </c>
      <c r="G2282" s="19">
        <v>10704.47</v>
      </c>
      <c r="H2282" s="9" t="s">
        <v>4717</v>
      </c>
      <c r="I2282" s="9" t="s">
        <v>4723</v>
      </c>
      <c r="J2282" s="9" t="s">
        <v>4719</v>
      </c>
      <c r="K2282" s="20">
        <f t="shared" si="2"/>
        <v>1967</v>
      </c>
      <c r="L2282" s="9" t="str">
        <f t="shared" si="3"/>
        <v>tier - 3</v>
      </c>
      <c r="M2282" s="9" t="str">
        <f t="shared" si="4"/>
        <v>tier - 2</v>
      </c>
      <c r="N2282" s="9" t="str">
        <f t="shared" si="5"/>
        <v>R1011</v>
      </c>
      <c r="O2282" s="17">
        <f t="shared" si="6"/>
        <v>55</v>
      </c>
      <c r="P2282" s="18">
        <v>24683.0</v>
      </c>
    </row>
    <row r="2283" ht="15.75" customHeight="1">
      <c r="A2283" s="9" t="s">
        <v>2097</v>
      </c>
      <c r="B2283" s="17">
        <v>1967.0</v>
      </c>
      <c r="C2283" s="9" t="s">
        <v>4720</v>
      </c>
      <c r="D2283" s="9">
        <v>5.0</v>
      </c>
      <c r="E2283" s="18">
        <f t="shared" si="1"/>
        <v>24750</v>
      </c>
      <c r="F2283" s="9">
        <v>0.0</v>
      </c>
      <c r="G2283" s="19">
        <v>10713.64</v>
      </c>
      <c r="H2283" s="9" t="s">
        <v>4717</v>
      </c>
      <c r="I2283" s="9" t="s">
        <v>4717</v>
      </c>
      <c r="J2283" s="9" t="s">
        <v>4719</v>
      </c>
      <c r="K2283" s="20">
        <f t="shared" si="2"/>
        <v>1967</v>
      </c>
      <c r="L2283" s="9" t="str">
        <f t="shared" si="3"/>
        <v>tier - 3</v>
      </c>
      <c r="M2283" s="9" t="str">
        <f t="shared" si="4"/>
        <v>tier - 3</v>
      </c>
      <c r="N2283" s="9" t="str">
        <f t="shared" si="5"/>
        <v>R1011</v>
      </c>
      <c r="O2283" s="17">
        <f t="shared" si="6"/>
        <v>55</v>
      </c>
      <c r="P2283" s="18">
        <v>24750.0</v>
      </c>
    </row>
    <row r="2284" ht="15.75" customHeight="1">
      <c r="A2284" s="9" t="s">
        <v>2095</v>
      </c>
      <c r="B2284" s="17">
        <v>1992.0</v>
      </c>
      <c r="C2284" s="9" t="s">
        <v>4730</v>
      </c>
      <c r="D2284" s="9">
        <v>25.0</v>
      </c>
      <c r="E2284" s="18">
        <f t="shared" si="1"/>
        <v>33780</v>
      </c>
      <c r="F2284" s="9">
        <v>0.0</v>
      </c>
      <c r="G2284" s="19">
        <v>10719.57</v>
      </c>
      <c r="H2284" s="9" t="s">
        <v>4717</v>
      </c>
      <c r="I2284" s="9" t="s">
        <v>4718</v>
      </c>
      <c r="J2284" s="9" t="s">
        <v>4733</v>
      </c>
      <c r="K2284" s="20">
        <f t="shared" si="2"/>
        <v>1992</v>
      </c>
      <c r="L2284" s="9" t="str">
        <f t="shared" si="3"/>
        <v>tier - 3</v>
      </c>
      <c r="M2284" s="9" t="str">
        <f t="shared" si="4"/>
        <v>tier - 1</v>
      </c>
      <c r="N2284" s="9" t="str">
        <f t="shared" si="5"/>
        <v>R1012</v>
      </c>
      <c r="O2284" s="17">
        <f t="shared" si="6"/>
        <v>30</v>
      </c>
      <c r="P2284" s="18">
        <v>33780.0</v>
      </c>
    </row>
    <row r="2285" ht="15.75" customHeight="1">
      <c r="A2285" s="9" t="s">
        <v>2093</v>
      </c>
      <c r="B2285" s="17">
        <v>1974.0</v>
      </c>
      <c r="C2285" s="9" t="s">
        <v>4725</v>
      </c>
      <c r="D2285" s="9">
        <v>9.0</v>
      </c>
      <c r="E2285" s="18">
        <f t="shared" si="1"/>
        <v>27372</v>
      </c>
      <c r="F2285" s="9">
        <v>4.0</v>
      </c>
      <c r="G2285" s="19">
        <v>10736.87</v>
      </c>
      <c r="H2285" s="9" t="s">
        <v>4717</v>
      </c>
      <c r="I2285" s="9" t="s">
        <v>4718</v>
      </c>
      <c r="J2285" s="9" t="s">
        <v>4754</v>
      </c>
      <c r="K2285" s="20">
        <f t="shared" si="2"/>
        <v>1974</v>
      </c>
      <c r="L2285" s="9" t="str">
        <f t="shared" si="3"/>
        <v>tier - 3</v>
      </c>
      <c r="M2285" s="9" t="str">
        <f t="shared" si="4"/>
        <v>tier - 1</v>
      </c>
      <c r="N2285" s="9" t="str">
        <f t="shared" si="5"/>
        <v>R1016</v>
      </c>
      <c r="O2285" s="17">
        <f t="shared" si="6"/>
        <v>48</v>
      </c>
      <c r="P2285" s="18">
        <v>27372.0</v>
      </c>
    </row>
    <row r="2286" ht="15.75" customHeight="1">
      <c r="A2286" s="9" t="s">
        <v>2091</v>
      </c>
      <c r="B2286" s="17">
        <v>1986.0</v>
      </c>
      <c r="C2286" s="9" t="s">
        <v>4716</v>
      </c>
      <c r="D2286" s="9">
        <v>29.0</v>
      </c>
      <c r="E2286" s="18">
        <f t="shared" si="1"/>
        <v>31653</v>
      </c>
      <c r="F2286" s="9">
        <v>3.0</v>
      </c>
      <c r="G2286" s="19">
        <v>10749.02</v>
      </c>
      <c r="H2286" s="9" t="s">
        <v>4717</v>
      </c>
      <c r="I2286" s="9" t="s">
        <v>4718</v>
      </c>
      <c r="J2286" s="9" t="s">
        <v>4721</v>
      </c>
      <c r="K2286" s="20">
        <f t="shared" si="2"/>
        <v>1986</v>
      </c>
      <c r="L2286" s="9" t="str">
        <f t="shared" si="3"/>
        <v>tier - 3</v>
      </c>
      <c r="M2286" s="9" t="str">
        <f t="shared" si="4"/>
        <v>tier - 1</v>
      </c>
      <c r="N2286" s="9" t="str">
        <f t="shared" si="5"/>
        <v>R1026</v>
      </c>
      <c r="O2286" s="17">
        <f t="shared" si="6"/>
        <v>36</v>
      </c>
      <c r="P2286" s="18">
        <v>31653.0</v>
      </c>
    </row>
    <row r="2287" ht="15.75" customHeight="1">
      <c r="A2287" s="9" t="s">
        <v>2089</v>
      </c>
      <c r="B2287" s="17">
        <v>1989.0</v>
      </c>
      <c r="C2287" s="9" t="s">
        <v>4735</v>
      </c>
      <c r="D2287" s="9">
        <v>25.0</v>
      </c>
      <c r="E2287" s="18">
        <f t="shared" si="1"/>
        <v>32837</v>
      </c>
      <c r="F2287" s="9">
        <v>3.0</v>
      </c>
      <c r="G2287" s="19">
        <v>10769.75</v>
      </c>
      <c r="H2287" s="9" t="s">
        <v>4717</v>
      </c>
      <c r="I2287" s="9" t="s">
        <v>4723</v>
      </c>
      <c r="J2287" s="9" t="s">
        <v>4736</v>
      </c>
      <c r="K2287" s="20">
        <f t="shared" si="2"/>
        <v>1989</v>
      </c>
      <c r="L2287" s="9" t="str">
        <f t="shared" si="3"/>
        <v>tier - 3</v>
      </c>
      <c r="M2287" s="9" t="str">
        <f t="shared" si="4"/>
        <v>tier - 2</v>
      </c>
      <c r="N2287" s="9" t="str">
        <f t="shared" si="5"/>
        <v>R1022</v>
      </c>
      <c r="O2287" s="17">
        <f t="shared" si="6"/>
        <v>33</v>
      </c>
      <c r="P2287" s="18">
        <v>32837.0</v>
      </c>
    </row>
    <row r="2288" ht="15.75" customHeight="1">
      <c r="A2288" s="9" t="s">
        <v>2087</v>
      </c>
      <c r="B2288" s="17">
        <v>1967.0</v>
      </c>
      <c r="C2288" s="9" t="s">
        <v>4735</v>
      </c>
      <c r="D2288" s="9">
        <v>11.0</v>
      </c>
      <c r="E2288" s="18">
        <f t="shared" si="1"/>
        <v>24787</v>
      </c>
      <c r="F2288" s="9">
        <v>1.0</v>
      </c>
      <c r="G2288" s="19">
        <v>10791.96</v>
      </c>
      <c r="H2288" s="9" t="s">
        <v>4717</v>
      </c>
      <c r="I2288" s="9" t="s">
        <v>4723</v>
      </c>
      <c r="J2288" s="9" t="s">
        <v>4719</v>
      </c>
      <c r="K2288" s="20">
        <f t="shared" si="2"/>
        <v>1967</v>
      </c>
      <c r="L2288" s="9" t="str">
        <f t="shared" si="3"/>
        <v>tier - 3</v>
      </c>
      <c r="M2288" s="9" t="str">
        <f t="shared" si="4"/>
        <v>tier - 2</v>
      </c>
      <c r="N2288" s="9" t="str">
        <f t="shared" si="5"/>
        <v>R1011</v>
      </c>
      <c r="O2288" s="17">
        <f t="shared" si="6"/>
        <v>55</v>
      </c>
      <c r="P2288" s="18">
        <v>24787.0</v>
      </c>
    </row>
    <row r="2289" ht="15.75" customHeight="1">
      <c r="A2289" s="9" t="s">
        <v>2085</v>
      </c>
      <c r="B2289" s="17">
        <v>1999.0</v>
      </c>
      <c r="C2289" s="9" t="s">
        <v>4725</v>
      </c>
      <c r="D2289" s="9">
        <v>24.0</v>
      </c>
      <c r="E2289" s="18">
        <f t="shared" si="1"/>
        <v>36518</v>
      </c>
      <c r="F2289" s="9">
        <v>0.0</v>
      </c>
      <c r="G2289" s="19">
        <v>10795.94</v>
      </c>
      <c r="H2289" s="9" t="s">
        <v>4717</v>
      </c>
      <c r="I2289" s="9" t="s">
        <v>4718</v>
      </c>
      <c r="J2289" s="9" t="s">
        <v>4719</v>
      </c>
      <c r="K2289" s="20">
        <f t="shared" si="2"/>
        <v>1999</v>
      </c>
      <c r="L2289" s="9" t="str">
        <f t="shared" si="3"/>
        <v>tier - 3</v>
      </c>
      <c r="M2289" s="9" t="str">
        <f t="shared" si="4"/>
        <v>tier - 1</v>
      </c>
      <c r="N2289" s="9" t="str">
        <f t="shared" si="5"/>
        <v>R1011</v>
      </c>
      <c r="O2289" s="17">
        <f t="shared" si="6"/>
        <v>23</v>
      </c>
      <c r="P2289" s="18">
        <v>36518.0</v>
      </c>
    </row>
    <row r="2290" ht="15.75" customHeight="1">
      <c r="A2290" s="9" t="s">
        <v>2083</v>
      </c>
      <c r="B2290" s="17">
        <v>1967.0</v>
      </c>
      <c r="C2290" s="9" t="s">
        <v>4720</v>
      </c>
      <c r="D2290" s="9">
        <v>23.0</v>
      </c>
      <c r="E2290" s="18">
        <f t="shared" si="1"/>
        <v>24768</v>
      </c>
      <c r="F2290" s="9">
        <v>0.0</v>
      </c>
      <c r="G2290" s="19">
        <v>10796.35</v>
      </c>
      <c r="H2290" s="9" t="s">
        <v>4717</v>
      </c>
      <c r="I2290" s="9" t="s">
        <v>4718</v>
      </c>
      <c r="J2290" s="9" t="s">
        <v>4728</v>
      </c>
      <c r="K2290" s="20">
        <f t="shared" si="2"/>
        <v>1967</v>
      </c>
      <c r="L2290" s="9" t="str">
        <f t="shared" si="3"/>
        <v>tier - 3</v>
      </c>
      <c r="M2290" s="9" t="str">
        <f t="shared" si="4"/>
        <v>tier - 1</v>
      </c>
      <c r="N2290" s="9" t="str">
        <f t="shared" si="5"/>
        <v>R1019</v>
      </c>
      <c r="O2290" s="17">
        <f t="shared" si="6"/>
        <v>55</v>
      </c>
      <c r="P2290" s="18">
        <v>24768.0</v>
      </c>
    </row>
    <row r="2291" ht="15.75" customHeight="1">
      <c r="A2291" s="9" t="s">
        <v>2081</v>
      </c>
      <c r="B2291" s="17">
        <v>1970.0</v>
      </c>
      <c r="C2291" s="9" t="s">
        <v>4720</v>
      </c>
      <c r="D2291" s="9">
        <v>28.0</v>
      </c>
      <c r="E2291" s="18">
        <f t="shared" si="1"/>
        <v>25869</v>
      </c>
      <c r="F2291" s="9">
        <v>1.0</v>
      </c>
      <c r="G2291" s="19">
        <v>10797.34</v>
      </c>
      <c r="H2291" s="9" t="s">
        <v>4717</v>
      </c>
      <c r="I2291" s="9" t="s">
        <v>4723</v>
      </c>
      <c r="J2291" s="9" t="s">
        <v>4756</v>
      </c>
      <c r="K2291" s="20">
        <f t="shared" si="2"/>
        <v>1970</v>
      </c>
      <c r="L2291" s="9" t="str">
        <f t="shared" si="3"/>
        <v>tier - 3</v>
      </c>
      <c r="M2291" s="9" t="str">
        <f t="shared" si="4"/>
        <v>tier - 2</v>
      </c>
      <c r="N2291" s="9" t="str">
        <f t="shared" si="5"/>
        <v>R1023</v>
      </c>
      <c r="O2291" s="17">
        <f t="shared" si="6"/>
        <v>52</v>
      </c>
      <c r="P2291" s="18">
        <v>25869.0</v>
      </c>
    </row>
    <row r="2292" ht="15.75" customHeight="1">
      <c r="A2292" s="9" t="s">
        <v>209</v>
      </c>
      <c r="B2292" s="17">
        <v>1985.0</v>
      </c>
      <c r="C2292" s="9" t="s">
        <v>4720</v>
      </c>
      <c r="D2292" s="9">
        <v>21.0</v>
      </c>
      <c r="E2292" s="18">
        <f t="shared" si="1"/>
        <v>31341</v>
      </c>
      <c r="F2292" s="9">
        <v>4.0</v>
      </c>
      <c r="G2292" s="19">
        <v>40182.25</v>
      </c>
      <c r="H2292" s="9" t="s">
        <v>4718</v>
      </c>
      <c r="I2292" s="9" t="s">
        <v>4723</v>
      </c>
      <c r="J2292" s="9" t="s">
        <v>4719</v>
      </c>
      <c r="K2292" s="20">
        <f t="shared" si="2"/>
        <v>1985</v>
      </c>
      <c r="L2292" s="9" t="str">
        <f t="shared" si="3"/>
        <v>tier - 1</v>
      </c>
      <c r="M2292" s="9" t="str">
        <f t="shared" si="4"/>
        <v>tier - 2</v>
      </c>
      <c r="N2292" s="9" t="str">
        <f t="shared" si="5"/>
        <v>R1011</v>
      </c>
      <c r="O2292" s="17">
        <f t="shared" si="6"/>
        <v>37</v>
      </c>
      <c r="P2292" s="18">
        <v>31341.0</v>
      </c>
    </row>
    <row r="2293" ht="15.75" customHeight="1">
      <c r="A2293" s="9" t="s">
        <v>2079</v>
      </c>
      <c r="B2293" s="17">
        <v>1970.0</v>
      </c>
      <c r="C2293" s="9" t="s">
        <v>4725</v>
      </c>
      <c r="D2293" s="9">
        <v>18.0</v>
      </c>
      <c r="E2293" s="18">
        <f t="shared" si="1"/>
        <v>25920</v>
      </c>
      <c r="F2293" s="9">
        <v>2.0</v>
      </c>
      <c r="G2293" s="19">
        <v>10806.84</v>
      </c>
      <c r="H2293" s="9" t="s">
        <v>4717</v>
      </c>
      <c r="I2293" s="9" t="s">
        <v>4723</v>
      </c>
      <c r="J2293" s="9" t="s">
        <v>4719</v>
      </c>
      <c r="K2293" s="20">
        <f t="shared" si="2"/>
        <v>1970</v>
      </c>
      <c r="L2293" s="9" t="str">
        <f t="shared" si="3"/>
        <v>tier - 3</v>
      </c>
      <c r="M2293" s="9" t="str">
        <f t="shared" si="4"/>
        <v>tier - 2</v>
      </c>
      <c r="N2293" s="9" t="str">
        <f t="shared" si="5"/>
        <v>R1011</v>
      </c>
      <c r="O2293" s="17">
        <f t="shared" si="6"/>
        <v>52</v>
      </c>
      <c r="P2293" s="18">
        <v>25920.0</v>
      </c>
    </row>
    <row r="2294" ht="15.75" customHeight="1">
      <c r="A2294" s="9" t="s">
        <v>2077</v>
      </c>
      <c r="B2294" s="17">
        <v>1967.0</v>
      </c>
      <c r="C2294" s="9" t="s">
        <v>4720</v>
      </c>
      <c r="D2294" s="9">
        <v>2.0</v>
      </c>
      <c r="E2294" s="18">
        <f t="shared" si="1"/>
        <v>24747</v>
      </c>
      <c r="F2294" s="9">
        <v>1.0</v>
      </c>
      <c r="G2294" s="19">
        <v>10807.49</v>
      </c>
      <c r="H2294" s="9" t="s">
        <v>4717</v>
      </c>
      <c r="I2294" s="9" t="s">
        <v>4723</v>
      </c>
      <c r="J2294" s="9" t="s">
        <v>4743</v>
      </c>
      <c r="K2294" s="20">
        <f t="shared" si="2"/>
        <v>1967</v>
      </c>
      <c r="L2294" s="9" t="str">
        <f t="shared" si="3"/>
        <v>tier - 3</v>
      </c>
      <c r="M2294" s="9" t="str">
        <f t="shared" si="4"/>
        <v>tier - 2</v>
      </c>
      <c r="N2294" s="9" t="str">
        <f t="shared" si="5"/>
        <v>R1013</v>
      </c>
      <c r="O2294" s="17">
        <f t="shared" si="6"/>
        <v>55</v>
      </c>
      <c r="P2294" s="18">
        <v>24747.0</v>
      </c>
    </row>
    <row r="2295" ht="15.75" customHeight="1">
      <c r="A2295" s="9" t="s">
        <v>2075</v>
      </c>
      <c r="B2295" s="17">
        <v>1968.0</v>
      </c>
      <c r="C2295" s="9" t="s">
        <v>4741</v>
      </c>
      <c r="D2295" s="9">
        <v>28.0</v>
      </c>
      <c r="E2295" s="18">
        <f t="shared" si="1"/>
        <v>25047</v>
      </c>
      <c r="F2295" s="9">
        <v>1.0</v>
      </c>
      <c r="G2295" s="19">
        <v>10825.25</v>
      </c>
      <c r="H2295" s="9" t="s">
        <v>4717</v>
      </c>
      <c r="I2295" s="9" t="s">
        <v>4717</v>
      </c>
      <c r="J2295" s="9" t="s">
        <v>4733</v>
      </c>
      <c r="K2295" s="20">
        <f t="shared" si="2"/>
        <v>1968</v>
      </c>
      <c r="L2295" s="9" t="str">
        <f t="shared" si="3"/>
        <v>tier - 3</v>
      </c>
      <c r="M2295" s="9" t="str">
        <f t="shared" si="4"/>
        <v>tier - 3</v>
      </c>
      <c r="N2295" s="9" t="str">
        <f t="shared" si="5"/>
        <v>R1012</v>
      </c>
      <c r="O2295" s="17">
        <f t="shared" si="6"/>
        <v>54</v>
      </c>
      <c r="P2295" s="18">
        <v>25047.0</v>
      </c>
    </row>
    <row r="2296" ht="15.75" customHeight="1">
      <c r="A2296" s="9" t="s">
        <v>2073</v>
      </c>
      <c r="B2296" s="17">
        <v>1971.0</v>
      </c>
      <c r="C2296" s="9" t="s">
        <v>4725</v>
      </c>
      <c r="D2296" s="9">
        <v>20.0</v>
      </c>
      <c r="E2296" s="18">
        <f t="shared" si="1"/>
        <v>26287</v>
      </c>
      <c r="F2296" s="9">
        <v>2.0</v>
      </c>
      <c r="G2296" s="19">
        <v>10848.13</v>
      </c>
      <c r="H2296" s="9" t="s">
        <v>4717</v>
      </c>
      <c r="I2296" s="9" t="s">
        <v>4717</v>
      </c>
      <c r="J2296" s="9" t="s">
        <v>4733</v>
      </c>
      <c r="K2296" s="20">
        <f t="shared" si="2"/>
        <v>1971</v>
      </c>
      <c r="L2296" s="9" t="str">
        <f t="shared" si="3"/>
        <v>tier - 3</v>
      </c>
      <c r="M2296" s="9" t="str">
        <f t="shared" si="4"/>
        <v>tier - 3</v>
      </c>
      <c r="N2296" s="9" t="str">
        <f t="shared" si="5"/>
        <v>R1012</v>
      </c>
      <c r="O2296" s="17">
        <f t="shared" si="6"/>
        <v>51</v>
      </c>
      <c r="P2296" s="18">
        <v>26287.0</v>
      </c>
    </row>
    <row r="2297" ht="15.75" customHeight="1">
      <c r="A2297" s="9" t="s">
        <v>2071</v>
      </c>
      <c r="B2297" s="17">
        <v>1994.0</v>
      </c>
      <c r="C2297" s="9" t="s">
        <v>4738</v>
      </c>
      <c r="D2297" s="9">
        <v>6.0</v>
      </c>
      <c r="E2297" s="18">
        <f t="shared" si="1"/>
        <v>34583</v>
      </c>
      <c r="F2297" s="9">
        <v>0.0</v>
      </c>
      <c r="G2297" s="19">
        <v>10886.66</v>
      </c>
      <c r="H2297" s="9" t="s">
        <v>4717</v>
      </c>
      <c r="I2297" s="9" t="s">
        <v>4717</v>
      </c>
      <c r="J2297" s="9" t="s">
        <v>4733</v>
      </c>
      <c r="K2297" s="20">
        <f t="shared" si="2"/>
        <v>1994</v>
      </c>
      <c r="L2297" s="9" t="str">
        <f t="shared" si="3"/>
        <v>tier - 3</v>
      </c>
      <c r="M2297" s="9" t="str">
        <f t="shared" si="4"/>
        <v>tier - 3</v>
      </c>
      <c r="N2297" s="9" t="str">
        <f t="shared" si="5"/>
        <v>R1012</v>
      </c>
      <c r="O2297" s="17">
        <f t="shared" si="6"/>
        <v>28</v>
      </c>
      <c r="P2297" s="18">
        <v>34583.0</v>
      </c>
    </row>
    <row r="2298" ht="15.75" customHeight="1">
      <c r="A2298" s="9" t="s">
        <v>2069</v>
      </c>
      <c r="B2298" s="17">
        <v>1968.0</v>
      </c>
      <c r="C2298" s="9" t="s">
        <v>4735</v>
      </c>
      <c r="D2298" s="9">
        <v>13.0</v>
      </c>
      <c r="E2298" s="18">
        <f t="shared" si="1"/>
        <v>25155</v>
      </c>
      <c r="F2298" s="9">
        <v>0.0</v>
      </c>
      <c r="G2298" s="19">
        <v>10923.93</v>
      </c>
      <c r="H2298" s="9" t="s">
        <v>4717</v>
      </c>
      <c r="I2298" s="9" t="s">
        <v>4718</v>
      </c>
      <c r="J2298" s="9" t="s">
        <v>4731</v>
      </c>
      <c r="K2298" s="20">
        <f t="shared" si="2"/>
        <v>1968</v>
      </c>
      <c r="L2298" s="9" t="str">
        <f t="shared" si="3"/>
        <v>tier - 3</v>
      </c>
      <c r="M2298" s="9" t="str">
        <f t="shared" si="4"/>
        <v>tier - 1</v>
      </c>
      <c r="N2298" s="9" t="str">
        <f t="shared" si="5"/>
        <v>R1024</v>
      </c>
      <c r="O2298" s="17">
        <f t="shared" si="6"/>
        <v>54</v>
      </c>
      <c r="P2298" s="18">
        <v>25155.0</v>
      </c>
    </row>
    <row r="2299" ht="15.75" customHeight="1">
      <c r="A2299" s="9" t="s">
        <v>2067</v>
      </c>
      <c r="B2299" s="17">
        <v>1968.0</v>
      </c>
      <c r="C2299" s="9" t="s">
        <v>4735</v>
      </c>
      <c r="D2299" s="9">
        <v>12.0</v>
      </c>
      <c r="E2299" s="18">
        <f t="shared" si="1"/>
        <v>25154</v>
      </c>
      <c r="F2299" s="9">
        <v>1.0</v>
      </c>
      <c r="G2299" s="19">
        <v>10928.85</v>
      </c>
      <c r="H2299" s="9" t="s">
        <v>4717</v>
      </c>
      <c r="I2299" s="9" t="s">
        <v>4717</v>
      </c>
      <c r="J2299" s="9" t="s">
        <v>4743</v>
      </c>
      <c r="K2299" s="20">
        <f t="shared" si="2"/>
        <v>1968</v>
      </c>
      <c r="L2299" s="9" t="str">
        <f t="shared" si="3"/>
        <v>tier - 3</v>
      </c>
      <c r="M2299" s="9" t="str">
        <f t="shared" si="4"/>
        <v>tier - 3</v>
      </c>
      <c r="N2299" s="9" t="str">
        <f t="shared" si="5"/>
        <v>R1013</v>
      </c>
      <c r="O2299" s="17">
        <f t="shared" si="6"/>
        <v>54</v>
      </c>
      <c r="P2299" s="18">
        <v>25154.0</v>
      </c>
    </row>
    <row r="2300" ht="15.75" customHeight="1">
      <c r="A2300" s="9" t="s">
        <v>2065</v>
      </c>
      <c r="B2300" s="17">
        <v>1969.0</v>
      </c>
      <c r="C2300" s="9" t="s">
        <v>4735</v>
      </c>
      <c r="D2300" s="9">
        <v>10.0</v>
      </c>
      <c r="E2300" s="18">
        <f t="shared" si="1"/>
        <v>25517</v>
      </c>
      <c r="F2300" s="9">
        <v>1.0</v>
      </c>
      <c r="G2300" s="19">
        <v>10942.13</v>
      </c>
      <c r="H2300" s="9" t="s">
        <v>4717</v>
      </c>
      <c r="I2300" s="9" t="s">
        <v>4717</v>
      </c>
      <c r="J2300" s="9" t="s">
        <v>4733</v>
      </c>
      <c r="K2300" s="20">
        <f t="shared" si="2"/>
        <v>1969</v>
      </c>
      <c r="L2300" s="9" t="str">
        <f t="shared" si="3"/>
        <v>tier - 3</v>
      </c>
      <c r="M2300" s="9" t="str">
        <f t="shared" si="4"/>
        <v>tier - 3</v>
      </c>
      <c r="N2300" s="9" t="str">
        <f t="shared" si="5"/>
        <v>R1012</v>
      </c>
      <c r="O2300" s="17">
        <f t="shared" si="6"/>
        <v>53</v>
      </c>
      <c r="P2300" s="18">
        <v>25517.0</v>
      </c>
    </row>
    <row r="2301" ht="15.75" customHeight="1">
      <c r="A2301" s="9" t="s">
        <v>2063</v>
      </c>
      <c r="B2301" s="17">
        <v>1965.0</v>
      </c>
      <c r="C2301" s="9" t="s">
        <v>4725</v>
      </c>
      <c r="D2301" s="9">
        <v>4.0</v>
      </c>
      <c r="E2301" s="18">
        <f t="shared" si="1"/>
        <v>24080</v>
      </c>
      <c r="F2301" s="9">
        <v>0.0</v>
      </c>
      <c r="G2301" s="19">
        <v>10959.33</v>
      </c>
      <c r="H2301" s="9" t="s">
        <v>4717</v>
      </c>
      <c r="I2301" s="9" t="s">
        <v>4717</v>
      </c>
      <c r="J2301" s="9" t="s">
        <v>4719</v>
      </c>
      <c r="K2301" s="20">
        <f t="shared" si="2"/>
        <v>1965</v>
      </c>
      <c r="L2301" s="9" t="str">
        <f t="shared" si="3"/>
        <v>tier - 3</v>
      </c>
      <c r="M2301" s="9" t="str">
        <f t="shared" si="4"/>
        <v>tier - 3</v>
      </c>
      <c r="N2301" s="9" t="str">
        <f t="shared" si="5"/>
        <v>R1011</v>
      </c>
      <c r="O2301" s="17">
        <f t="shared" si="6"/>
        <v>57</v>
      </c>
      <c r="P2301" s="18">
        <v>24080.0</v>
      </c>
    </row>
    <row r="2302" ht="15.75" customHeight="1">
      <c r="A2302" s="9" t="s">
        <v>2061</v>
      </c>
      <c r="B2302" s="17">
        <v>1969.0</v>
      </c>
      <c r="C2302" s="9" t="s">
        <v>4716</v>
      </c>
      <c r="D2302" s="9">
        <v>14.0</v>
      </c>
      <c r="E2302" s="18">
        <f t="shared" si="1"/>
        <v>25429</v>
      </c>
      <c r="F2302" s="9">
        <v>1.0</v>
      </c>
      <c r="G2302" s="19">
        <v>10959.69</v>
      </c>
      <c r="H2302" s="9" t="s">
        <v>4717</v>
      </c>
      <c r="I2302" s="9" t="s">
        <v>4717</v>
      </c>
      <c r="J2302" s="9" t="s">
        <v>4733</v>
      </c>
      <c r="K2302" s="20">
        <f t="shared" si="2"/>
        <v>1969</v>
      </c>
      <c r="L2302" s="9" t="str">
        <f t="shared" si="3"/>
        <v>tier - 3</v>
      </c>
      <c r="M2302" s="9" t="str">
        <f t="shared" si="4"/>
        <v>tier - 3</v>
      </c>
      <c r="N2302" s="9" t="str">
        <f t="shared" si="5"/>
        <v>R1012</v>
      </c>
      <c r="O2302" s="17">
        <f t="shared" si="6"/>
        <v>53</v>
      </c>
      <c r="P2302" s="18">
        <v>25429.0</v>
      </c>
    </row>
    <row r="2303" ht="15.75" customHeight="1">
      <c r="A2303" s="9" t="s">
        <v>207</v>
      </c>
      <c r="B2303" s="17">
        <v>1979.0</v>
      </c>
      <c r="C2303" s="9" t="s">
        <v>4716</v>
      </c>
      <c r="D2303" s="9">
        <v>18.0</v>
      </c>
      <c r="E2303" s="18">
        <f t="shared" si="1"/>
        <v>29085</v>
      </c>
      <c r="F2303" s="9">
        <v>2.0</v>
      </c>
      <c r="G2303" s="19">
        <v>40204.83</v>
      </c>
      <c r="H2303" s="9" t="s">
        <v>4718</v>
      </c>
      <c r="I2303" s="9" t="s">
        <v>4717</v>
      </c>
      <c r="J2303" s="9" t="s">
        <v>4733</v>
      </c>
      <c r="K2303" s="20">
        <f t="shared" si="2"/>
        <v>1979</v>
      </c>
      <c r="L2303" s="9" t="str">
        <f t="shared" si="3"/>
        <v>tier - 1</v>
      </c>
      <c r="M2303" s="9" t="str">
        <f t="shared" si="4"/>
        <v>tier - 3</v>
      </c>
      <c r="N2303" s="9" t="str">
        <f t="shared" si="5"/>
        <v>R1012</v>
      </c>
      <c r="O2303" s="17">
        <f t="shared" si="6"/>
        <v>43</v>
      </c>
      <c r="P2303" s="18">
        <v>29085.0</v>
      </c>
    </row>
    <row r="2304" ht="15.75" customHeight="1">
      <c r="A2304" s="9" t="s">
        <v>2059</v>
      </c>
      <c r="B2304" s="17">
        <v>1965.0</v>
      </c>
      <c r="C2304" s="9" t="s">
        <v>4730</v>
      </c>
      <c r="D2304" s="9">
        <v>19.0</v>
      </c>
      <c r="E2304" s="18">
        <f t="shared" si="1"/>
        <v>23912</v>
      </c>
      <c r="F2304" s="9">
        <v>0.0</v>
      </c>
      <c r="G2304" s="19">
        <v>10965.45</v>
      </c>
      <c r="H2304" s="9" t="s">
        <v>4717</v>
      </c>
      <c r="I2304" s="9" t="s">
        <v>4723</v>
      </c>
      <c r="J2304" s="9" t="s">
        <v>4719</v>
      </c>
      <c r="K2304" s="20">
        <f t="shared" si="2"/>
        <v>1965</v>
      </c>
      <c r="L2304" s="9" t="str">
        <f t="shared" si="3"/>
        <v>tier - 3</v>
      </c>
      <c r="M2304" s="9" t="str">
        <f t="shared" si="4"/>
        <v>tier - 2</v>
      </c>
      <c r="N2304" s="9" t="str">
        <f t="shared" si="5"/>
        <v>R1011</v>
      </c>
      <c r="O2304" s="17">
        <f t="shared" si="6"/>
        <v>57</v>
      </c>
      <c r="P2304" s="18">
        <v>23912.0</v>
      </c>
    </row>
    <row r="2305" ht="15.75" customHeight="1">
      <c r="A2305" s="9" t="s">
        <v>2057</v>
      </c>
      <c r="B2305" s="17">
        <v>1966.0</v>
      </c>
      <c r="C2305" s="9" t="s">
        <v>4741</v>
      </c>
      <c r="D2305" s="9">
        <v>9.0</v>
      </c>
      <c r="E2305" s="18">
        <f t="shared" si="1"/>
        <v>24297</v>
      </c>
      <c r="F2305" s="9">
        <v>0.0</v>
      </c>
      <c r="G2305" s="19">
        <v>10976.25</v>
      </c>
      <c r="H2305" s="9" t="s">
        <v>4717</v>
      </c>
      <c r="I2305" s="9" t="s">
        <v>4723</v>
      </c>
      <c r="J2305" s="9" t="s">
        <v>4733</v>
      </c>
      <c r="K2305" s="20">
        <f t="shared" si="2"/>
        <v>1966</v>
      </c>
      <c r="L2305" s="9" t="str">
        <f t="shared" si="3"/>
        <v>tier - 3</v>
      </c>
      <c r="M2305" s="9" t="str">
        <f t="shared" si="4"/>
        <v>tier - 2</v>
      </c>
      <c r="N2305" s="9" t="str">
        <f t="shared" si="5"/>
        <v>R1012</v>
      </c>
      <c r="O2305" s="17">
        <f t="shared" si="6"/>
        <v>56</v>
      </c>
      <c r="P2305" s="18">
        <v>24297.0</v>
      </c>
    </row>
    <row r="2306" ht="15.75" customHeight="1">
      <c r="A2306" s="9" t="s">
        <v>2055</v>
      </c>
      <c r="B2306" s="17">
        <v>1973.0</v>
      </c>
      <c r="C2306" s="9" t="s">
        <v>4720</v>
      </c>
      <c r="D2306" s="9">
        <v>21.0</v>
      </c>
      <c r="E2306" s="18">
        <f t="shared" si="1"/>
        <v>26958</v>
      </c>
      <c r="F2306" s="9">
        <v>4.0</v>
      </c>
      <c r="G2306" s="19">
        <v>10977.21</v>
      </c>
      <c r="H2306" s="9" t="s">
        <v>4717</v>
      </c>
      <c r="I2306" s="9" t="s">
        <v>4718</v>
      </c>
      <c r="J2306" s="9" t="s">
        <v>4743</v>
      </c>
      <c r="K2306" s="20">
        <f t="shared" si="2"/>
        <v>1973</v>
      </c>
      <c r="L2306" s="9" t="str">
        <f t="shared" si="3"/>
        <v>tier - 3</v>
      </c>
      <c r="M2306" s="9" t="str">
        <f t="shared" si="4"/>
        <v>tier - 1</v>
      </c>
      <c r="N2306" s="9" t="str">
        <f t="shared" si="5"/>
        <v>R1013</v>
      </c>
      <c r="O2306" s="17">
        <f t="shared" si="6"/>
        <v>49</v>
      </c>
      <c r="P2306" s="18">
        <v>26958.0</v>
      </c>
    </row>
    <row r="2307" ht="15.75" customHeight="1">
      <c r="A2307" s="9" t="s">
        <v>2053</v>
      </c>
      <c r="B2307" s="17">
        <v>1965.0</v>
      </c>
      <c r="C2307" s="9" t="s">
        <v>4725</v>
      </c>
      <c r="D2307" s="9">
        <v>18.0</v>
      </c>
      <c r="E2307" s="18">
        <f t="shared" si="1"/>
        <v>24094</v>
      </c>
      <c r="F2307" s="9">
        <v>0.0</v>
      </c>
      <c r="G2307" s="19">
        <v>10982.5</v>
      </c>
      <c r="H2307" s="9" t="s">
        <v>4717</v>
      </c>
      <c r="I2307" s="9" t="s">
        <v>4717</v>
      </c>
      <c r="J2307" s="9" t="s">
        <v>4743</v>
      </c>
      <c r="K2307" s="20">
        <f t="shared" si="2"/>
        <v>1965</v>
      </c>
      <c r="L2307" s="9" t="str">
        <f t="shared" si="3"/>
        <v>tier - 3</v>
      </c>
      <c r="M2307" s="9" t="str">
        <f t="shared" si="4"/>
        <v>tier - 3</v>
      </c>
      <c r="N2307" s="9" t="str">
        <f t="shared" si="5"/>
        <v>R1013</v>
      </c>
      <c r="O2307" s="17">
        <f t="shared" si="6"/>
        <v>57</v>
      </c>
      <c r="P2307" s="18">
        <v>24094.0</v>
      </c>
    </row>
    <row r="2308" ht="15.75" customHeight="1">
      <c r="A2308" s="9" t="s">
        <v>2051</v>
      </c>
      <c r="B2308" s="17">
        <v>2000.0</v>
      </c>
      <c r="C2308" s="9" t="s">
        <v>4738</v>
      </c>
      <c r="D2308" s="9">
        <v>17.0</v>
      </c>
      <c r="E2308" s="18">
        <f t="shared" si="1"/>
        <v>36786</v>
      </c>
      <c r="F2308" s="9">
        <v>0.0</v>
      </c>
      <c r="G2308" s="19">
        <v>10991.58</v>
      </c>
      <c r="H2308" s="9" t="s">
        <v>4717</v>
      </c>
      <c r="I2308" s="9" t="s">
        <v>4717</v>
      </c>
      <c r="J2308" s="9" t="s">
        <v>4733</v>
      </c>
      <c r="K2308" s="20">
        <f t="shared" si="2"/>
        <v>2000</v>
      </c>
      <c r="L2308" s="9" t="str">
        <f t="shared" si="3"/>
        <v>tier - 3</v>
      </c>
      <c r="M2308" s="9" t="str">
        <f t="shared" si="4"/>
        <v>tier - 3</v>
      </c>
      <c r="N2308" s="9" t="str">
        <f t="shared" si="5"/>
        <v>R1012</v>
      </c>
      <c r="O2308" s="17">
        <f t="shared" si="6"/>
        <v>22</v>
      </c>
      <c r="P2308" s="18">
        <v>36786.0</v>
      </c>
    </row>
    <row r="2309" ht="15.75" customHeight="1">
      <c r="A2309" s="9" t="s">
        <v>2049</v>
      </c>
      <c r="B2309" s="17">
        <v>1968.0</v>
      </c>
      <c r="C2309" s="9" t="s">
        <v>4720</v>
      </c>
      <c r="D2309" s="9">
        <v>24.0</v>
      </c>
      <c r="E2309" s="18">
        <f t="shared" si="1"/>
        <v>25135</v>
      </c>
      <c r="F2309" s="9">
        <v>2.0</v>
      </c>
      <c r="G2309" s="19">
        <v>11013.71</v>
      </c>
      <c r="H2309" s="9" t="s">
        <v>4717</v>
      </c>
      <c r="I2309" s="9" t="s">
        <v>4718</v>
      </c>
      <c r="J2309" s="9" t="s">
        <v>4743</v>
      </c>
      <c r="K2309" s="20">
        <f t="shared" si="2"/>
        <v>1968</v>
      </c>
      <c r="L2309" s="9" t="str">
        <f t="shared" si="3"/>
        <v>tier - 3</v>
      </c>
      <c r="M2309" s="9" t="str">
        <f t="shared" si="4"/>
        <v>tier - 1</v>
      </c>
      <c r="N2309" s="9" t="str">
        <f t="shared" si="5"/>
        <v>R1013</v>
      </c>
      <c r="O2309" s="17">
        <f t="shared" si="6"/>
        <v>54</v>
      </c>
      <c r="P2309" s="18">
        <v>25135.0</v>
      </c>
    </row>
    <row r="2310" ht="15.75" customHeight="1">
      <c r="A2310" s="9" t="s">
        <v>2047</v>
      </c>
      <c r="B2310" s="17">
        <v>1974.0</v>
      </c>
      <c r="C2310" s="9" t="s">
        <v>4725</v>
      </c>
      <c r="D2310" s="9">
        <v>15.0</v>
      </c>
      <c r="E2310" s="18">
        <f t="shared" si="1"/>
        <v>27378</v>
      </c>
      <c r="F2310" s="9">
        <v>4.0</v>
      </c>
      <c r="G2310" s="19">
        <v>11015.17</v>
      </c>
      <c r="H2310" s="9" t="s">
        <v>4717</v>
      </c>
      <c r="I2310" s="9" t="s">
        <v>4718</v>
      </c>
      <c r="J2310" s="9" t="s">
        <v>4733</v>
      </c>
      <c r="K2310" s="20">
        <f t="shared" si="2"/>
        <v>1974</v>
      </c>
      <c r="L2310" s="9" t="str">
        <f t="shared" si="3"/>
        <v>tier - 3</v>
      </c>
      <c r="M2310" s="9" t="str">
        <f t="shared" si="4"/>
        <v>tier - 1</v>
      </c>
      <c r="N2310" s="9" t="str">
        <f t="shared" si="5"/>
        <v>R1012</v>
      </c>
      <c r="O2310" s="17">
        <f t="shared" si="6"/>
        <v>48</v>
      </c>
      <c r="P2310" s="18">
        <v>27378.0</v>
      </c>
    </row>
    <row r="2311" ht="15.75" customHeight="1">
      <c r="A2311" s="9" t="s">
        <v>2045</v>
      </c>
      <c r="B2311" s="17">
        <v>1991.0</v>
      </c>
      <c r="C2311" s="9" t="s">
        <v>4730</v>
      </c>
      <c r="D2311" s="9">
        <v>26.0</v>
      </c>
      <c r="E2311" s="18">
        <f t="shared" si="1"/>
        <v>33415</v>
      </c>
      <c r="F2311" s="9">
        <v>3.0</v>
      </c>
      <c r="G2311" s="19">
        <v>11018.05</v>
      </c>
      <c r="H2311" s="9" t="s">
        <v>4717</v>
      </c>
      <c r="I2311" s="9" t="s">
        <v>4723</v>
      </c>
      <c r="J2311" s="9" t="s">
        <v>4733</v>
      </c>
      <c r="K2311" s="20">
        <f t="shared" si="2"/>
        <v>1991</v>
      </c>
      <c r="L2311" s="9" t="str">
        <f t="shared" si="3"/>
        <v>tier - 3</v>
      </c>
      <c r="M2311" s="9" t="str">
        <f t="shared" si="4"/>
        <v>tier - 2</v>
      </c>
      <c r="N2311" s="9" t="str">
        <f t="shared" si="5"/>
        <v>R1012</v>
      </c>
      <c r="O2311" s="17">
        <f t="shared" si="6"/>
        <v>31</v>
      </c>
      <c r="P2311" s="18">
        <v>33415.0</v>
      </c>
    </row>
    <row r="2312" ht="15.75" customHeight="1">
      <c r="A2312" s="9" t="s">
        <v>2043</v>
      </c>
      <c r="B2312" s="17">
        <v>1996.0</v>
      </c>
      <c r="C2312" s="9" t="s">
        <v>4741</v>
      </c>
      <c r="D2312" s="9">
        <v>21.0</v>
      </c>
      <c r="E2312" s="18">
        <f t="shared" si="1"/>
        <v>35267</v>
      </c>
      <c r="F2312" s="9">
        <v>0.0</v>
      </c>
      <c r="G2312" s="19">
        <v>11028.56</v>
      </c>
      <c r="H2312" s="9" t="s">
        <v>4717</v>
      </c>
      <c r="I2312" s="9" t="s">
        <v>4717</v>
      </c>
      <c r="J2312" s="9" t="s">
        <v>4733</v>
      </c>
      <c r="K2312" s="20">
        <f t="shared" si="2"/>
        <v>1996</v>
      </c>
      <c r="L2312" s="9" t="str">
        <f t="shared" si="3"/>
        <v>tier - 3</v>
      </c>
      <c r="M2312" s="9" t="str">
        <f t="shared" si="4"/>
        <v>tier - 3</v>
      </c>
      <c r="N2312" s="9" t="str">
        <f t="shared" si="5"/>
        <v>R1012</v>
      </c>
      <c r="O2312" s="17">
        <f t="shared" si="6"/>
        <v>26</v>
      </c>
      <c r="P2312" s="18">
        <v>35267.0</v>
      </c>
    </row>
    <row r="2313" ht="15.75" customHeight="1">
      <c r="A2313" s="9" t="s">
        <v>2041</v>
      </c>
      <c r="B2313" s="17">
        <v>1974.0</v>
      </c>
      <c r="C2313" s="9" t="s">
        <v>4725</v>
      </c>
      <c r="D2313" s="9">
        <v>10.0</v>
      </c>
      <c r="E2313" s="18">
        <f t="shared" si="1"/>
        <v>27373</v>
      </c>
      <c r="F2313" s="9">
        <v>4.0</v>
      </c>
      <c r="G2313" s="19">
        <v>11033.66</v>
      </c>
      <c r="H2313" s="9" t="s">
        <v>4717</v>
      </c>
      <c r="I2313" s="9" t="s">
        <v>4717</v>
      </c>
      <c r="J2313" s="9" t="s">
        <v>4733</v>
      </c>
      <c r="K2313" s="20">
        <f t="shared" si="2"/>
        <v>1974</v>
      </c>
      <c r="L2313" s="9" t="str">
        <f t="shared" si="3"/>
        <v>tier - 3</v>
      </c>
      <c r="M2313" s="9" t="str">
        <f t="shared" si="4"/>
        <v>tier - 3</v>
      </c>
      <c r="N2313" s="9" t="str">
        <f t="shared" si="5"/>
        <v>R1012</v>
      </c>
      <c r="O2313" s="17">
        <f t="shared" si="6"/>
        <v>48</v>
      </c>
      <c r="P2313" s="18">
        <v>27373.0</v>
      </c>
    </row>
    <row r="2314" ht="15.75" customHeight="1">
      <c r="A2314" s="9" t="s">
        <v>205</v>
      </c>
      <c r="B2314" s="17">
        <v>1981.0</v>
      </c>
      <c r="C2314" s="9" t="s">
        <v>4741</v>
      </c>
      <c r="D2314" s="9">
        <v>28.0</v>
      </c>
      <c r="E2314" s="18">
        <f t="shared" si="1"/>
        <v>29795</v>
      </c>
      <c r="F2314" s="9">
        <v>1.0</v>
      </c>
      <c r="G2314" s="19">
        <v>40208.56</v>
      </c>
      <c r="H2314" s="9" t="s">
        <v>4718</v>
      </c>
      <c r="I2314" s="9" t="s">
        <v>4723</v>
      </c>
      <c r="J2314" s="9" t="s">
        <v>4719</v>
      </c>
      <c r="K2314" s="20">
        <f t="shared" si="2"/>
        <v>1981</v>
      </c>
      <c r="L2314" s="9" t="str">
        <f t="shared" si="3"/>
        <v>tier - 1</v>
      </c>
      <c r="M2314" s="9" t="str">
        <f t="shared" si="4"/>
        <v>tier - 2</v>
      </c>
      <c r="N2314" s="9" t="str">
        <f t="shared" si="5"/>
        <v>R1011</v>
      </c>
      <c r="O2314" s="17">
        <f t="shared" si="6"/>
        <v>41</v>
      </c>
      <c r="P2314" s="18">
        <v>29795.0</v>
      </c>
    </row>
    <row r="2315" ht="15.75" customHeight="1">
      <c r="A2315" s="9" t="s">
        <v>2039</v>
      </c>
      <c r="B2315" s="17">
        <v>1989.0</v>
      </c>
      <c r="C2315" s="9" t="s">
        <v>4720</v>
      </c>
      <c r="D2315" s="9">
        <v>25.0</v>
      </c>
      <c r="E2315" s="18">
        <f t="shared" si="1"/>
        <v>32806</v>
      </c>
      <c r="F2315" s="9">
        <v>3.0</v>
      </c>
      <c r="G2315" s="19">
        <v>11037.51</v>
      </c>
      <c r="H2315" s="9" t="s">
        <v>4717</v>
      </c>
      <c r="I2315" s="9" t="s">
        <v>4718</v>
      </c>
      <c r="J2315" s="9" t="s">
        <v>4733</v>
      </c>
      <c r="K2315" s="20">
        <f t="shared" si="2"/>
        <v>1989</v>
      </c>
      <c r="L2315" s="9" t="str">
        <f t="shared" si="3"/>
        <v>tier - 3</v>
      </c>
      <c r="M2315" s="9" t="str">
        <f t="shared" si="4"/>
        <v>tier - 1</v>
      </c>
      <c r="N2315" s="9" t="str">
        <f t="shared" si="5"/>
        <v>R1012</v>
      </c>
      <c r="O2315" s="17">
        <f t="shared" si="6"/>
        <v>33</v>
      </c>
      <c r="P2315" s="18">
        <v>32806.0</v>
      </c>
    </row>
    <row r="2316" ht="15.75" customHeight="1">
      <c r="A2316" s="9" t="s">
        <v>2037</v>
      </c>
      <c r="B2316" s="17">
        <v>1974.0</v>
      </c>
      <c r="C2316" s="9" t="s">
        <v>4716</v>
      </c>
      <c r="D2316" s="9">
        <v>30.0</v>
      </c>
      <c r="E2316" s="18">
        <f t="shared" si="1"/>
        <v>27271</v>
      </c>
      <c r="F2316" s="9">
        <v>0.0</v>
      </c>
      <c r="G2316" s="19">
        <v>11037.85</v>
      </c>
      <c r="H2316" s="9" t="s">
        <v>4717</v>
      </c>
      <c r="I2316" s="9" t="s">
        <v>4723</v>
      </c>
      <c r="J2316" s="9" t="s">
        <v>4726</v>
      </c>
      <c r="K2316" s="20">
        <f t="shared" si="2"/>
        <v>1974</v>
      </c>
      <c r="L2316" s="9" t="str">
        <f t="shared" si="3"/>
        <v>tier - 3</v>
      </c>
      <c r="M2316" s="9" t="str">
        <f t="shared" si="4"/>
        <v>tier - 2</v>
      </c>
      <c r="N2316" s="9" t="str">
        <f t="shared" si="5"/>
        <v>R1025</v>
      </c>
      <c r="O2316" s="17">
        <f t="shared" si="6"/>
        <v>48</v>
      </c>
      <c r="P2316" s="18">
        <v>27271.0</v>
      </c>
    </row>
    <row r="2317" ht="15.75" customHeight="1">
      <c r="A2317" s="9" t="s">
        <v>2035</v>
      </c>
      <c r="B2317" s="17">
        <v>2001.0</v>
      </c>
      <c r="C2317" s="9" t="s">
        <v>4725</v>
      </c>
      <c r="D2317" s="9">
        <v>17.0</v>
      </c>
      <c r="E2317" s="18">
        <f t="shared" si="1"/>
        <v>37242</v>
      </c>
      <c r="F2317" s="9">
        <v>0.0</v>
      </c>
      <c r="G2317" s="19">
        <v>11046.02</v>
      </c>
      <c r="H2317" s="9" t="s">
        <v>4717</v>
      </c>
      <c r="I2317" s="9" t="s">
        <v>4718</v>
      </c>
      <c r="J2317" s="9" t="s">
        <v>4721</v>
      </c>
      <c r="K2317" s="20">
        <f t="shared" si="2"/>
        <v>2001</v>
      </c>
      <c r="L2317" s="9" t="str">
        <f t="shared" si="3"/>
        <v>tier - 3</v>
      </c>
      <c r="M2317" s="9" t="str">
        <f t="shared" si="4"/>
        <v>tier - 1</v>
      </c>
      <c r="N2317" s="9" t="str">
        <f t="shared" si="5"/>
        <v>R1026</v>
      </c>
      <c r="O2317" s="17">
        <f t="shared" si="6"/>
        <v>21</v>
      </c>
      <c r="P2317" s="18">
        <v>37242.0</v>
      </c>
    </row>
    <row r="2318" ht="15.75" customHeight="1">
      <c r="A2318" s="9" t="s">
        <v>2033</v>
      </c>
      <c r="B2318" s="17">
        <v>2000.0</v>
      </c>
      <c r="C2318" s="9" t="s">
        <v>4738</v>
      </c>
      <c r="D2318" s="9">
        <v>18.0</v>
      </c>
      <c r="E2318" s="18">
        <f t="shared" si="1"/>
        <v>36787</v>
      </c>
      <c r="F2318" s="9">
        <v>0.0</v>
      </c>
      <c r="G2318" s="19">
        <v>11068.7</v>
      </c>
      <c r="H2318" s="9" t="s">
        <v>4717</v>
      </c>
      <c r="I2318" s="9" t="s">
        <v>4718</v>
      </c>
      <c r="J2318" s="9" t="s">
        <v>4719</v>
      </c>
      <c r="K2318" s="20">
        <f t="shared" si="2"/>
        <v>2000</v>
      </c>
      <c r="L2318" s="9" t="str">
        <f t="shared" si="3"/>
        <v>tier - 3</v>
      </c>
      <c r="M2318" s="9" t="str">
        <f t="shared" si="4"/>
        <v>tier - 1</v>
      </c>
      <c r="N2318" s="9" t="str">
        <f t="shared" si="5"/>
        <v>R1011</v>
      </c>
      <c r="O2318" s="17">
        <f t="shared" si="6"/>
        <v>22</v>
      </c>
      <c r="P2318" s="18">
        <v>36787.0</v>
      </c>
    </row>
    <row r="2319" ht="15.75" customHeight="1">
      <c r="A2319" s="9" t="s">
        <v>2031</v>
      </c>
      <c r="B2319" s="17">
        <v>1971.0</v>
      </c>
      <c r="C2319" s="9" t="s">
        <v>4735</v>
      </c>
      <c r="D2319" s="9">
        <v>9.0</v>
      </c>
      <c r="E2319" s="18">
        <f t="shared" si="1"/>
        <v>26246</v>
      </c>
      <c r="F2319" s="9">
        <v>0.0</v>
      </c>
      <c r="G2319" s="19">
        <v>11068.77</v>
      </c>
      <c r="H2319" s="9" t="s">
        <v>4717</v>
      </c>
      <c r="I2319" s="9" t="s">
        <v>4723</v>
      </c>
      <c r="J2319" s="9" t="s">
        <v>4733</v>
      </c>
      <c r="K2319" s="20">
        <f t="shared" si="2"/>
        <v>1971</v>
      </c>
      <c r="L2319" s="9" t="str">
        <f t="shared" si="3"/>
        <v>tier - 3</v>
      </c>
      <c r="M2319" s="9" t="str">
        <f t="shared" si="4"/>
        <v>tier - 2</v>
      </c>
      <c r="N2319" s="9" t="str">
        <f t="shared" si="5"/>
        <v>R1012</v>
      </c>
      <c r="O2319" s="17">
        <f t="shared" si="6"/>
        <v>51</v>
      </c>
      <c r="P2319" s="18">
        <v>26246.0</v>
      </c>
    </row>
    <row r="2320" ht="15.75" customHeight="1">
      <c r="A2320" s="9" t="s">
        <v>2029</v>
      </c>
      <c r="B2320" s="17">
        <v>1966.0</v>
      </c>
      <c r="C2320" s="9" t="s">
        <v>4735</v>
      </c>
      <c r="D2320" s="9">
        <v>7.0</v>
      </c>
      <c r="E2320" s="18">
        <f t="shared" si="1"/>
        <v>24418</v>
      </c>
      <c r="F2320" s="9">
        <v>0.0</v>
      </c>
      <c r="G2320" s="19">
        <v>11070.54</v>
      </c>
      <c r="H2320" s="9" t="s">
        <v>4717</v>
      </c>
      <c r="I2320" s="9" t="s">
        <v>4717</v>
      </c>
      <c r="J2320" s="9" t="s">
        <v>4719</v>
      </c>
      <c r="K2320" s="20">
        <f t="shared" si="2"/>
        <v>1966</v>
      </c>
      <c r="L2320" s="9" t="str">
        <f t="shared" si="3"/>
        <v>tier - 3</v>
      </c>
      <c r="M2320" s="9" t="str">
        <f t="shared" si="4"/>
        <v>tier - 3</v>
      </c>
      <c r="N2320" s="9" t="str">
        <f t="shared" si="5"/>
        <v>R1011</v>
      </c>
      <c r="O2320" s="17">
        <f t="shared" si="6"/>
        <v>56</v>
      </c>
      <c r="P2320" s="18">
        <v>24418.0</v>
      </c>
    </row>
    <row r="2321" ht="15.75" customHeight="1">
      <c r="A2321" s="9" t="s">
        <v>2027</v>
      </c>
      <c r="B2321" s="17">
        <v>1966.0</v>
      </c>
      <c r="C2321" s="9" t="s">
        <v>4735</v>
      </c>
      <c r="D2321" s="9">
        <v>20.0</v>
      </c>
      <c r="E2321" s="18">
        <f t="shared" si="1"/>
        <v>24431</v>
      </c>
      <c r="F2321" s="9">
        <v>0.0</v>
      </c>
      <c r="G2321" s="19">
        <v>11073.18</v>
      </c>
      <c r="H2321" s="9" t="s">
        <v>4717</v>
      </c>
      <c r="I2321" s="9" t="s">
        <v>4717</v>
      </c>
      <c r="J2321" s="9" t="s">
        <v>4719</v>
      </c>
      <c r="K2321" s="20">
        <f t="shared" si="2"/>
        <v>1966</v>
      </c>
      <c r="L2321" s="9" t="str">
        <f t="shared" si="3"/>
        <v>tier - 3</v>
      </c>
      <c r="M2321" s="9" t="str">
        <f t="shared" si="4"/>
        <v>tier - 3</v>
      </c>
      <c r="N2321" s="9" t="str">
        <f t="shared" si="5"/>
        <v>R1011</v>
      </c>
      <c r="O2321" s="17">
        <f t="shared" si="6"/>
        <v>56</v>
      </c>
      <c r="P2321" s="18">
        <v>24431.0</v>
      </c>
    </row>
    <row r="2322" ht="15.75" customHeight="1">
      <c r="A2322" s="9" t="s">
        <v>2025</v>
      </c>
      <c r="B2322" s="17">
        <v>1967.0</v>
      </c>
      <c r="C2322" s="9" t="s">
        <v>4738</v>
      </c>
      <c r="D2322" s="9">
        <v>4.0</v>
      </c>
      <c r="E2322" s="18">
        <f t="shared" si="1"/>
        <v>24719</v>
      </c>
      <c r="F2322" s="9">
        <v>0.0</v>
      </c>
      <c r="G2322" s="19">
        <v>11082.58</v>
      </c>
      <c r="H2322" s="9" t="s">
        <v>4717</v>
      </c>
      <c r="I2322" s="9" t="s">
        <v>4723</v>
      </c>
      <c r="J2322" s="9" t="s">
        <v>4733</v>
      </c>
      <c r="K2322" s="20">
        <f t="shared" si="2"/>
        <v>1967</v>
      </c>
      <c r="L2322" s="9" t="str">
        <f t="shared" si="3"/>
        <v>tier - 3</v>
      </c>
      <c r="M2322" s="9" t="str">
        <f t="shared" si="4"/>
        <v>tier - 2</v>
      </c>
      <c r="N2322" s="9" t="str">
        <f t="shared" si="5"/>
        <v>R1012</v>
      </c>
      <c r="O2322" s="17">
        <f t="shared" si="6"/>
        <v>55</v>
      </c>
      <c r="P2322" s="18">
        <v>24719.0</v>
      </c>
    </row>
    <row r="2323" ht="15.75" customHeight="1">
      <c r="A2323" s="9" t="s">
        <v>2023</v>
      </c>
      <c r="B2323" s="17">
        <v>1972.0</v>
      </c>
      <c r="C2323" s="9" t="s">
        <v>4720</v>
      </c>
      <c r="D2323" s="9">
        <v>7.0</v>
      </c>
      <c r="E2323" s="18">
        <f t="shared" si="1"/>
        <v>26579</v>
      </c>
      <c r="F2323" s="9">
        <v>3.0</v>
      </c>
      <c r="G2323" s="19">
        <v>11085.59</v>
      </c>
      <c r="H2323" s="9" t="s">
        <v>4717</v>
      </c>
      <c r="I2323" s="9" t="s">
        <v>4723</v>
      </c>
      <c r="J2323" s="9" t="s">
        <v>4733</v>
      </c>
      <c r="K2323" s="20">
        <f t="shared" si="2"/>
        <v>1972</v>
      </c>
      <c r="L2323" s="9" t="str">
        <f t="shared" si="3"/>
        <v>tier - 3</v>
      </c>
      <c r="M2323" s="9" t="str">
        <f t="shared" si="4"/>
        <v>tier - 2</v>
      </c>
      <c r="N2323" s="9" t="str">
        <f t="shared" si="5"/>
        <v>R1012</v>
      </c>
      <c r="O2323" s="17">
        <f t="shared" si="6"/>
        <v>50</v>
      </c>
      <c r="P2323" s="18">
        <v>26579.0</v>
      </c>
    </row>
    <row r="2324" ht="15.75" customHeight="1">
      <c r="A2324" s="9" t="s">
        <v>2021</v>
      </c>
      <c r="B2324" s="17">
        <v>1966.0</v>
      </c>
      <c r="C2324" s="9" t="s">
        <v>4738</v>
      </c>
      <c r="D2324" s="9">
        <v>9.0</v>
      </c>
      <c r="E2324" s="18">
        <f t="shared" si="1"/>
        <v>24359</v>
      </c>
      <c r="F2324" s="9">
        <v>0.0</v>
      </c>
      <c r="G2324" s="19">
        <v>11090.72</v>
      </c>
      <c r="H2324" s="9" t="s">
        <v>4717</v>
      </c>
      <c r="I2324" s="9" t="s">
        <v>4718</v>
      </c>
      <c r="J2324" s="9" t="s">
        <v>4743</v>
      </c>
      <c r="K2324" s="20">
        <f t="shared" si="2"/>
        <v>1966</v>
      </c>
      <c r="L2324" s="9" t="str">
        <f t="shared" si="3"/>
        <v>tier - 3</v>
      </c>
      <c r="M2324" s="9" t="str">
        <f t="shared" si="4"/>
        <v>tier - 1</v>
      </c>
      <c r="N2324" s="9" t="str">
        <f t="shared" si="5"/>
        <v>R1013</v>
      </c>
      <c r="O2324" s="17">
        <f t="shared" si="6"/>
        <v>56</v>
      </c>
      <c r="P2324" s="18">
        <v>24359.0</v>
      </c>
    </row>
    <row r="2325" ht="15.75" customHeight="1">
      <c r="A2325" s="9" t="s">
        <v>203</v>
      </c>
      <c r="B2325" s="17">
        <v>1981.0</v>
      </c>
      <c r="C2325" s="9" t="s">
        <v>4720</v>
      </c>
      <c r="D2325" s="9">
        <v>4.0</v>
      </c>
      <c r="E2325" s="18">
        <f t="shared" si="1"/>
        <v>29863</v>
      </c>
      <c r="F2325" s="9">
        <v>1.0</v>
      </c>
      <c r="G2325" s="19">
        <v>40273.65</v>
      </c>
      <c r="H2325" s="9" t="s">
        <v>4718</v>
      </c>
      <c r="I2325" s="9" t="s">
        <v>4717</v>
      </c>
      <c r="J2325" s="9" t="s">
        <v>4743</v>
      </c>
      <c r="K2325" s="20">
        <f t="shared" si="2"/>
        <v>1981</v>
      </c>
      <c r="L2325" s="9" t="str">
        <f t="shared" si="3"/>
        <v>tier - 1</v>
      </c>
      <c r="M2325" s="9" t="str">
        <f t="shared" si="4"/>
        <v>tier - 3</v>
      </c>
      <c r="N2325" s="9" t="str">
        <f t="shared" si="5"/>
        <v>R1013</v>
      </c>
      <c r="O2325" s="17">
        <f t="shared" si="6"/>
        <v>41</v>
      </c>
      <c r="P2325" s="18">
        <v>29863.0</v>
      </c>
    </row>
    <row r="2326" ht="15.75" customHeight="1">
      <c r="A2326" s="9" t="s">
        <v>2019</v>
      </c>
      <c r="B2326" s="17">
        <v>1966.0</v>
      </c>
      <c r="C2326" s="9" t="s">
        <v>4741</v>
      </c>
      <c r="D2326" s="9">
        <v>5.0</v>
      </c>
      <c r="E2326" s="18">
        <f t="shared" si="1"/>
        <v>24293</v>
      </c>
      <c r="F2326" s="9">
        <v>0.0</v>
      </c>
      <c r="G2326" s="19">
        <v>11093.62</v>
      </c>
      <c r="H2326" s="9" t="s">
        <v>4717</v>
      </c>
      <c r="I2326" s="9" t="s">
        <v>4718</v>
      </c>
      <c r="J2326" s="9" t="s">
        <v>4743</v>
      </c>
      <c r="K2326" s="20">
        <f t="shared" si="2"/>
        <v>1966</v>
      </c>
      <c r="L2326" s="9" t="str">
        <f t="shared" si="3"/>
        <v>tier - 3</v>
      </c>
      <c r="M2326" s="9" t="str">
        <f t="shared" si="4"/>
        <v>tier - 1</v>
      </c>
      <c r="N2326" s="9" t="str">
        <f t="shared" si="5"/>
        <v>R1013</v>
      </c>
      <c r="O2326" s="17">
        <f t="shared" si="6"/>
        <v>56</v>
      </c>
      <c r="P2326" s="18">
        <v>24293.0</v>
      </c>
    </row>
    <row r="2327" ht="15.75" customHeight="1">
      <c r="A2327" s="9" t="s">
        <v>2017</v>
      </c>
      <c r="B2327" s="17">
        <v>1980.0</v>
      </c>
      <c r="C2327" s="9" t="s">
        <v>4716</v>
      </c>
      <c r="D2327" s="9">
        <v>20.0</v>
      </c>
      <c r="E2327" s="18">
        <f t="shared" si="1"/>
        <v>29453</v>
      </c>
      <c r="F2327" s="9">
        <v>2.0</v>
      </c>
      <c r="G2327" s="19">
        <v>11103.33</v>
      </c>
      <c r="H2327" s="9" t="s">
        <v>4717</v>
      </c>
      <c r="I2327" s="9" t="s">
        <v>4718</v>
      </c>
      <c r="J2327" s="9" t="s">
        <v>4751</v>
      </c>
      <c r="K2327" s="20">
        <f t="shared" si="2"/>
        <v>1980</v>
      </c>
      <c r="L2327" s="9" t="str">
        <f t="shared" si="3"/>
        <v>tier - 3</v>
      </c>
      <c r="M2327" s="9" t="str">
        <f t="shared" si="4"/>
        <v>tier - 1</v>
      </c>
      <c r="N2327" s="9" t="str">
        <f t="shared" si="5"/>
        <v>R1021</v>
      </c>
      <c r="O2327" s="17">
        <f t="shared" si="6"/>
        <v>42</v>
      </c>
      <c r="P2327" s="18">
        <v>29453.0</v>
      </c>
    </row>
    <row r="2328" ht="15.75" customHeight="1">
      <c r="A2328" s="9" t="s">
        <v>2015</v>
      </c>
      <c r="B2328" s="17">
        <v>1969.0</v>
      </c>
      <c r="C2328" s="9" t="s">
        <v>4735</v>
      </c>
      <c r="D2328" s="9">
        <v>30.0</v>
      </c>
      <c r="E2328" s="18">
        <f t="shared" si="1"/>
        <v>25537</v>
      </c>
      <c r="F2328" s="9">
        <v>2.0</v>
      </c>
      <c r="G2328" s="19">
        <v>11150.78</v>
      </c>
      <c r="H2328" s="9" t="s">
        <v>4717</v>
      </c>
      <c r="I2328" s="9" t="s">
        <v>4723</v>
      </c>
      <c r="J2328" s="9" t="s">
        <v>4719</v>
      </c>
      <c r="K2328" s="20">
        <f t="shared" si="2"/>
        <v>1969</v>
      </c>
      <c r="L2328" s="9" t="str">
        <f t="shared" si="3"/>
        <v>tier - 3</v>
      </c>
      <c r="M2328" s="9" t="str">
        <f t="shared" si="4"/>
        <v>tier - 2</v>
      </c>
      <c r="N2328" s="9" t="str">
        <f t="shared" si="5"/>
        <v>R1011</v>
      </c>
      <c r="O2328" s="17">
        <f t="shared" si="6"/>
        <v>53</v>
      </c>
      <c r="P2328" s="18">
        <v>25537.0</v>
      </c>
    </row>
    <row r="2329" ht="15.75" customHeight="1">
      <c r="A2329" s="9" t="s">
        <v>2013</v>
      </c>
      <c r="B2329" s="17">
        <v>1969.0</v>
      </c>
      <c r="C2329" s="9" t="s">
        <v>4730</v>
      </c>
      <c r="D2329" s="9">
        <v>25.0</v>
      </c>
      <c r="E2329" s="18">
        <f t="shared" si="1"/>
        <v>25379</v>
      </c>
      <c r="F2329" s="9">
        <v>2.0</v>
      </c>
      <c r="G2329" s="19">
        <v>11163.57</v>
      </c>
      <c r="H2329" s="9" t="s">
        <v>4717</v>
      </c>
      <c r="I2329" s="9" t="s">
        <v>4723</v>
      </c>
      <c r="J2329" s="9" t="s">
        <v>4719</v>
      </c>
      <c r="K2329" s="20">
        <f t="shared" si="2"/>
        <v>1969</v>
      </c>
      <c r="L2329" s="9" t="str">
        <f t="shared" si="3"/>
        <v>tier - 3</v>
      </c>
      <c r="M2329" s="9" t="str">
        <f t="shared" si="4"/>
        <v>tier - 2</v>
      </c>
      <c r="N2329" s="9" t="str">
        <f t="shared" si="5"/>
        <v>R1011</v>
      </c>
      <c r="O2329" s="17">
        <f t="shared" si="6"/>
        <v>53</v>
      </c>
      <c r="P2329" s="18">
        <v>25379.0</v>
      </c>
    </row>
    <row r="2330" ht="15.75" customHeight="1">
      <c r="A2330" s="9" t="s">
        <v>2011</v>
      </c>
      <c r="B2330" s="17">
        <v>1966.0</v>
      </c>
      <c r="C2330" s="9" t="s">
        <v>4716</v>
      </c>
      <c r="D2330" s="9">
        <v>6.0</v>
      </c>
      <c r="E2330" s="18">
        <f t="shared" si="1"/>
        <v>24325</v>
      </c>
      <c r="F2330" s="9">
        <v>0.0</v>
      </c>
      <c r="G2330" s="19">
        <v>11165.42</v>
      </c>
      <c r="H2330" s="9" t="s">
        <v>4717</v>
      </c>
      <c r="I2330" s="9" t="s">
        <v>4718</v>
      </c>
      <c r="J2330" s="9" t="s">
        <v>4754</v>
      </c>
      <c r="K2330" s="20">
        <f t="shared" si="2"/>
        <v>1966</v>
      </c>
      <c r="L2330" s="9" t="str">
        <f t="shared" si="3"/>
        <v>tier - 3</v>
      </c>
      <c r="M2330" s="9" t="str">
        <f t="shared" si="4"/>
        <v>tier - 1</v>
      </c>
      <c r="N2330" s="9" t="str">
        <f t="shared" si="5"/>
        <v>R1016</v>
      </c>
      <c r="O2330" s="17">
        <f t="shared" si="6"/>
        <v>56</v>
      </c>
      <c r="P2330" s="18">
        <v>24325.0</v>
      </c>
    </row>
    <row r="2331" ht="15.75" customHeight="1">
      <c r="A2331" s="9" t="s">
        <v>2009</v>
      </c>
      <c r="B2331" s="17">
        <v>1972.0</v>
      </c>
      <c r="C2331" s="9" t="s">
        <v>4738</v>
      </c>
      <c r="D2331" s="9">
        <v>3.0</v>
      </c>
      <c r="E2331" s="18">
        <f t="shared" si="1"/>
        <v>26545</v>
      </c>
      <c r="F2331" s="9">
        <v>0.0</v>
      </c>
      <c r="G2331" s="19">
        <v>11186.2</v>
      </c>
      <c r="H2331" s="9" t="s">
        <v>4717</v>
      </c>
      <c r="I2331" s="9" t="s">
        <v>4723</v>
      </c>
      <c r="J2331" s="9" t="s">
        <v>4751</v>
      </c>
      <c r="K2331" s="20">
        <f t="shared" si="2"/>
        <v>1972</v>
      </c>
      <c r="L2331" s="9" t="str">
        <f t="shared" si="3"/>
        <v>tier - 3</v>
      </c>
      <c r="M2331" s="9" t="str">
        <f t="shared" si="4"/>
        <v>tier - 2</v>
      </c>
      <c r="N2331" s="9" t="str">
        <f t="shared" si="5"/>
        <v>R1021</v>
      </c>
      <c r="O2331" s="17">
        <f t="shared" si="6"/>
        <v>50</v>
      </c>
      <c r="P2331" s="18">
        <v>26545.0</v>
      </c>
    </row>
    <row r="2332" ht="15.75" customHeight="1">
      <c r="A2332" s="9" t="s">
        <v>2007</v>
      </c>
      <c r="B2332" s="17">
        <v>1970.0</v>
      </c>
      <c r="C2332" s="9" t="s">
        <v>4730</v>
      </c>
      <c r="D2332" s="9">
        <v>14.0</v>
      </c>
      <c r="E2332" s="18">
        <f t="shared" si="1"/>
        <v>25733</v>
      </c>
      <c r="F2332" s="9">
        <v>2.0</v>
      </c>
      <c r="G2332" s="19">
        <v>11187.66</v>
      </c>
      <c r="H2332" s="9" t="s">
        <v>4717</v>
      </c>
      <c r="I2332" s="9" t="s">
        <v>4723</v>
      </c>
      <c r="J2332" s="9" t="s">
        <v>4733</v>
      </c>
      <c r="K2332" s="20">
        <f t="shared" si="2"/>
        <v>1970</v>
      </c>
      <c r="L2332" s="9" t="str">
        <f t="shared" si="3"/>
        <v>tier - 3</v>
      </c>
      <c r="M2332" s="9" t="str">
        <f t="shared" si="4"/>
        <v>tier - 2</v>
      </c>
      <c r="N2332" s="9" t="str">
        <f t="shared" si="5"/>
        <v>R1012</v>
      </c>
      <c r="O2332" s="17">
        <f t="shared" si="6"/>
        <v>52</v>
      </c>
      <c r="P2332" s="18">
        <v>25733.0</v>
      </c>
    </row>
    <row r="2333" ht="15.75" customHeight="1">
      <c r="A2333" s="9" t="s">
        <v>2005</v>
      </c>
      <c r="B2333" s="17">
        <v>1976.0</v>
      </c>
      <c r="C2333" s="9" t="s">
        <v>4730</v>
      </c>
      <c r="D2333" s="9">
        <v>28.0</v>
      </c>
      <c r="E2333" s="18">
        <f t="shared" si="1"/>
        <v>27939</v>
      </c>
      <c r="F2333" s="9">
        <v>2.0</v>
      </c>
      <c r="G2333" s="19">
        <v>11217.35</v>
      </c>
      <c r="H2333" s="9" t="s">
        <v>4717</v>
      </c>
      <c r="I2333" s="9" t="s">
        <v>4723</v>
      </c>
      <c r="J2333" s="9" t="s">
        <v>4726</v>
      </c>
      <c r="K2333" s="20">
        <f t="shared" si="2"/>
        <v>1976</v>
      </c>
      <c r="L2333" s="9" t="str">
        <f t="shared" si="3"/>
        <v>tier - 3</v>
      </c>
      <c r="M2333" s="9" t="str">
        <f t="shared" si="4"/>
        <v>tier - 2</v>
      </c>
      <c r="N2333" s="9" t="str">
        <f t="shared" si="5"/>
        <v>R1025</v>
      </c>
      <c r="O2333" s="17">
        <f t="shared" si="6"/>
        <v>46</v>
      </c>
      <c r="P2333" s="18">
        <v>27939.0</v>
      </c>
    </row>
    <row r="2334" ht="15.75" customHeight="1">
      <c r="A2334" s="9" t="s">
        <v>2003</v>
      </c>
      <c r="B2334" s="17">
        <v>1969.0</v>
      </c>
      <c r="C2334" s="9" t="s">
        <v>4725</v>
      </c>
      <c r="D2334" s="9">
        <v>30.0</v>
      </c>
      <c r="E2334" s="18">
        <f t="shared" si="1"/>
        <v>25567</v>
      </c>
      <c r="F2334" s="9">
        <v>2.0</v>
      </c>
      <c r="G2334" s="19">
        <v>11244.38</v>
      </c>
      <c r="H2334" s="9" t="s">
        <v>4717</v>
      </c>
      <c r="I2334" s="9" t="s">
        <v>4718</v>
      </c>
      <c r="J2334" s="9" t="s">
        <v>4754</v>
      </c>
      <c r="K2334" s="20">
        <f t="shared" si="2"/>
        <v>1969</v>
      </c>
      <c r="L2334" s="9" t="str">
        <f t="shared" si="3"/>
        <v>tier - 3</v>
      </c>
      <c r="M2334" s="9" t="str">
        <f t="shared" si="4"/>
        <v>tier - 1</v>
      </c>
      <c r="N2334" s="9" t="str">
        <f t="shared" si="5"/>
        <v>R1016</v>
      </c>
      <c r="O2334" s="17">
        <f t="shared" si="6"/>
        <v>53</v>
      </c>
      <c r="P2334" s="18">
        <v>25567.0</v>
      </c>
    </row>
    <row r="2335" ht="15.75" customHeight="1">
      <c r="A2335" s="9" t="s">
        <v>2001</v>
      </c>
      <c r="B2335" s="17">
        <v>1989.0</v>
      </c>
      <c r="C2335" s="9" t="s">
        <v>4725</v>
      </c>
      <c r="D2335" s="9">
        <v>17.0</v>
      </c>
      <c r="E2335" s="18">
        <f t="shared" si="1"/>
        <v>32859</v>
      </c>
      <c r="F2335" s="9">
        <v>3.0</v>
      </c>
      <c r="G2335" s="19">
        <v>11250.43</v>
      </c>
      <c r="H2335" s="9" t="s">
        <v>4717</v>
      </c>
      <c r="I2335" s="9" t="s">
        <v>4723</v>
      </c>
      <c r="J2335" s="9" t="s">
        <v>4721</v>
      </c>
      <c r="K2335" s="20">
        <f t="shared" si="2"/>
        <v>1989</v>
      </c>
      <c r="L2335" s="9" t="str">
        <f t="shared" si="3"/>
        <v>tier - 3</v>
      </c>
      <c r="M2335" s="9" t="str">
        <f t="shared" si="4"/>
        <v>tier - 2</v>
      </c>
      <c r="N2335" s="9" t="str">
        <f t="shared" si="5"/>
        <v>R1026</v>
      </c>
      <c r="O2335" s="17">
        <f t="shared" si="6"/>
        <v>33</v>
      </c>
      <c r="P2335" s="18">
        <v>32859.0</v>
      </c>
    </row>
    <row r="2336" ht="15.75" customHeight="1">
      <c r="A2336" s="9" t="s">
        <v>201</v>
      </c>
      <c r="B2336" s="17">
        <v>1977.0</v>
      </c>
      <c r="C2336" s="9" t="s">
        <v>4730</v>
      </c>
      <c r="D2336" s="9">
        <v>27.0</v>
      </c>
      <c r="E2336" s="18">
        <f t="shared" si="1"/>
        <v>28303</v>
      </c>
      <c r="F2336" s="9">
        <v>2.0</v>
      </c>
      <c r="G2336" s="19">
        <v>40284.38</v>
      </c>
      <c r="H2336" s="9" t="s">
        <v>4718</v>
      </c>
      <c r="I2336" s="9" t="s">
        <v>4717</v>
      </c>
      <c r="J2336" s="9" t="s">
        <v>4733</v>
      </c>
      <c r="K2336" s="20">
        <f t="shared" si="2"/>
        <v>1977</v>
      </c>
      <c r="L2336" s="9" t="str">
        <f t="shared" si="3"/>
        <v>tier - 1</v>
      </c>
      <c r="M2336" s="9" t="str">
        <f t="shared" si="4"/>
        <v>tier - 3</v>
      </c>
      <c r="N2336" s="9" t="str">
        <f t="shared" si="5"/>
        <v>R1012</v>
      </c>
      <c r="O2336" s="17">
        <f t="shared" si="6"/>
        <v>45</v>
      </c>
      <c r="P2336" s="18">
        <v>28303.0</v>
      </c>
    </row>
    <row r="2337" ht="15.75" customHeight="1">
      <c r="A2337" s="9" t="s">
        <v>21</v>
      </c>
      <c r="B2337" s="17">
        <v>1978.0</v>
      </c>
      <c r="C2337" s="9" t="s">
        <v>4725</v>
      </c>
      <c r="D2337" s="9">
        <v>29.0</v>
      </c>
      <c r="E2337" s="18">
        <f t="shared" si="1"/>
        <v>28853</v>
      </c>
      <c r="F2337" s="9">
        <v>0.0</v>
      </c>
      <c r="G2337" s="19">
        <v>48885.14</v>
      </c>
      <c r="H2337" s="9" t="s">
        <v>4718</v>
      </c>
      <c r="I2337" s="9" t="s">
        <v>4723</v>
      </c>
      <c r="J2337" s="9" t="s">
        <v>4743</v>
      </c>
      <c r="K2337" s="20">
        <f t="shared" si="2"/>
        <v>1978</v>
      </c>
      <c r="L2337" s="9" t="str">
        <f t="shared" si="3"/>
        <v>tier - 1</v>
      </c>
      <c r="M2337" s="9" t="str">
        <f t="shared" si="4"/>
        <v>tier - 2</v>
      </c>
      <c r="N2337" s="9" t="str">
        <f t="shared" si="5"/>
        <v>R1013</v>
      </c>
      <c r="O2337" s="17">
        <f t="shared" si="6"/>
        <v>44</v>
      </c>
      <c r="P2337" s="18">
        <v>28853.0</v>
      </c>
    </row>
    <row r="2338" ht="15.75" customHeight="1">
      <c r="A2338" s="9" t="s">
        <v>3</v>
      </c>
      <c r="B2338" s="17">
        <v>1968.0</v>
      </c>
      <c r="C2338" s="9" t="s">
        <v>4720</v>
      </c>
      <c r="D2338" s="9">
        <v>12.0</v>
      </c>
      <c r="E2338" s="18">
        <f t="shared" si="1"/>
        <v>25123</v>
      </c>
      <c r="F2338" s="9">
        <v>0.0</v>
      </c>
      <c r="G2338" s="19">
        <v>63770.43</v>
      </c>
      <c r="H2338" s="9" t="s">
        <v>4718</v>
      </c>
      <c r="I2338" s="9" t="s">
        <v>4717</v>
      </c>
      <c r="J2338" s="9" t="s">
        <v>4743</v>
      </c>
      <c r="K2338" s="20">
        <f t="shared" si="2"/>
        <v>1968</v>
      </c>
      <c r="L2338" s="9" t="str">
        <f t="shared" si="3"/>
        <v>tier - 1</v>
      </c>
      <c r="M2338" s="9" t="str">
        <f t="shared" si="4"/>
        <v>tier - 3</v>
      </c>
      <c r="N2338" s="9" t="str">
        <f t="shared" si="5"/>
        <v>R1013</v>
      </c>
      <c r="O2338" s="17">
        <f t="shared" si="6"/>
        <v>54</v>
      </c>
      <c r="P2338" s="18">
        <v>25123.0</v>
      </c>
    </row>
    <row r="2339" ht="15.75" customHeight="1">
      <c r="A2339" s="9" t="s">
        <v>4700</v>
      </c>
      <c r="B2339" s="17">
        <v>1985.0</v>
      </c>
      <c r="C2339" s="9" t="s">
        <v>4725</v>
      </c>
      <c r="D2339" s="9">
        <v>20.0</v>
      </c>
      <c r="E2339" s="18">
        <f t="shared" si="1"/>
        <v>31401</v>
      </c>
      <c r="F2339" s="9">
        <v>2.0</v>
      </c>
      <c r="G2339" s="19">
        <v>6203.9</v>
      </c>
      <c r="H2339" s="9" t="s">
        <v>4718</v>
      </c>
      <c r="I2339" s="9" t="s">
        <v>4723</v>
      </c>
      <c r="J2339" s="9" t="s">
        <v>4733</v>
      </c>
      <c r="K2339" s="20">
        <f t="shared" si="2"/>
        <v>1985</v>
      </c>
      <c r="L2339" s="9" t="str">
        <f t="shared" si="3"/>
        <v>tier - 1</v>
      </c>
      <c r="M2339" s="9" t="str">
        <f t="shared" si="4"/>
        <v>tier - 2</v>
      </c>
      <c r="N2339" s="9" t="str">
        <f t="shared" si="5"/>
        <v>R1012</v>
      </c>
      <c r="O2339" s="17">
        <f t="shared" si="6"/>
        <v>37</v>
      </c>
      <c r="P2339" s="18">
        <v>31401.0</v>
      </c>
    </row>
    <row r="2340" ht="15.75" customHeight="1">
      <c r="A2340" s="9" t="s">
        <v>4700</v>
      </c>
      <c r="B2340" s="17">
        <v>1991.0</v>
      </c>
      <c r="C2340" s="9" t="s">
        <v>4735</v>
      </c>
      <c r="D2340" s="9">
        <v>22.0</v>
      </c>
      <c r="E2340" s="18">
        <f t="shared" si="1"/>
        <v>33564</v>
      </c>
      <c r="F2340" s="9">
        <v>2.0</v>
      </c>
      <c r="G2340" s="19">
        <v>38711.0</v>
      </c>
      <c r="H2340" s="9" t="s">
        <v>4718</v>
      </c>
      <c r="I2340" s="9" t="s">
        <v>4717</v>
      </c>
      <c r="J2340" s="9" t="s">
        <v>4719</v>
      </c>
      <c r="K2340" s="20">
        <f t="shared" si="2"/>
        <v>1991</v>
      </c>
      <c r="L2340" s="9" t="str">
        <f t="shared" si="3"/>
        <v>tier - 1</v>
      </c>
      <c r="M2340" s="9" t="str">
        <f t="shared" si="4"/>
        <v>tier - 3</v>
      </c>
      <c r="N2340" s="9" t="str">
        <f t="shared" si="5"/>
        <v>R1011</v>
      </c>
      <c r="O2340" s="17">
        <f t="shared" si="6"/>
        <v>31</v>
      </c>
      <c r="P2340" s="18">
        <v>33564.0</v>
      </c>
    </row>
    <row r="2341" ht="15.75" customHeight="1">
      <c r="A2341" s="9" t="s">
        <v>4700</v>
      </c>
      <c r="B2341" s="17">
        <v>1992.0</v>
      </c>
      <c r="C2341" s="9" t="s">
        <v>4720</v>
      </c>
      <c r="D2341" s="9">
        <v>6.0</v>
      </c>
      <c r="E2341" s="18">
        <f t="shared" si="1"/>
        <v>33883</v>
      </c>
      <c r="F2341" s="9">
        <v>0.0</v>
      </c>
      <c r="G2341" s="19">
        <v>36837.47</v>
      </c>
      <c r="H2341" s="9" t="s">
        <v>4718</v>
      </c>
      <c r="I2341" s="9" t="s">
        <v>4723</v>
      </c>
      <c r="J2341" s="9" t="s">
        <v>4719</v>
      </c>
      <c r="K2341" s="20">
        <f t="shared" si="2"/>
        <v>1992</v>
      </c>
      <c r="L2341" s="9" t="str">
        <f t="shared" si="3"/>
        <v>tier - 1</v>
      </c>
      <c r="M2341" s="9" t="str">
        <f t="shared" si="4"/>
        <v>tier - 2</v>
      </c>
      <c r="N2341" s="9" t="str">
        <f t="shared" si="5"/>
        <v>R1011</v>
      </c>
      <c r="O2341" s="17">
        <f t="shared" si="6"/>
        <v>30</v>
      </c>
      <c r="P2341" s="18">
        <v>33883.0</v>
      </c>
    </row>
    <row r="2342" ht="15.75" customHeight="1">
      <c r="A2342" s="9" t="s">
        <v>4700</v>
      </c>
      <c r="B2342" s="17">
        <v>1999.0</v>
      </c>
      <c r="C2342" s="9" t="s">
        <v>4730</v>
      </c>
      <c r="D2342" s="9">
        <v>9.0</v>
      </c>
      <c r="E2342" s="18">
        <f t="shared" si="1"/>
        <v>36320</v>
      </c>
      <c r="F2342" s="9">
        <v>1.0</v>
      </c>
      <c r="G2342" s="19">
        <v>2775.19</v>
      </c>
      <c r="H2342" s="9" t="s">
        <v>4723</v>
      </c>
      <c r="I2342" s="9" t="s">
        <v>4718</v>
      </c>
      <c r="J2342" s="9" t="s">
        <v>4733</v>
      </c>
      <c r="K2342" s="20">
        <f t="shared" si="2"/>
        <v>1999</v>
      </c>
      <c r="L2342" s="9" t="str">
        <f t="shared" si="3"/>
        <v>tier - 2</v>
      </c>
      <c r="M2342" s="9" t="str">
        <f t="shared" si="4"/>
        <v>tier - 1</v>
      </c>
      <c r="N2342" s="9" t="str">
        <f t="shared" si="5"/>
        <v>R1012</v>
      </c>
      <c r="O2342" s="17">
        <f t="shared" si="6"/>
        <v>23</v>
      </c>
      <c r="P2342" s="18">
        <v>36320.0</v>
      </c>
    </row>
    <row r="2343" ht="15.75" customHeight="1">
      <c r="A2343" s="9" t="s">
        <v>4700</v>
      </c>
      <c r="B2343" s="17">
        <v>2000.0</v>
      </c>
      <c r="C2343" s="9" t="s">
        <v>4720</v>
      </c>
      <c r="D2343" s="9">
        <v>13.0</v>
      </c>
      <c r="E2343" s="18">
        <f t="shared" si="1"/>
        <v>36812</v>
      </c>
      <c r="F2343" s="9">
        <v>0.0</v>
      </c>
      <c r="G2343" s="19">
        <v>35585.58</v>
      </c>
      <c r="H2343" s="9" t="s">
        <v>4718</v>
      </c>
      <c r="I2343" s="9" t="s">
        <v>4723</v>
      </c>
      <c r="J2343" s="9" t="s">
        <v>4719</v>
      </c>
      <c r="K2343" s="20">
        <f t="shared" si="2"/>
        <v>2000</v>
      </c>
      <c r="L2343" s="9" t="str">
        <f t="shared" si="3"/>
        <v>tier - 1</v>
      </c>
      <c r="M2343" s="9" t="str">
        <f t="shared" si="4"/>
        <v>tier - 2</v>
      </c>
      <c r="N2343" s="9" t="str">
        <f t="shared" si="5"/>
        <v>R1011</v>
      </c>
      <c r="O2343" s="17">
        <f t="shared" si="6"/>
        <v>22</v>
      </c>
      <c r="P2343" s="18">
        <v>36812.0</v>
      </c>
    </row>
    <row r="2344" ht="15.75" customHeight="1">
      <c r="A2344" s="9" t="s">
        <v>4700</v>
      </c>
      <c r="B2344" s="17">
        <v>2004.0</v>
      </c>
      <c r="C2344" s="9" t="s">
        <v>4735</v>
      </c>
      <c r="D2344" s="9">
        <v>6.0</v>
      </c>
      <c r="E2344" s="18">
        <f t="shared" si="1"/>
        <v>38297</v>
      </c>
      <c r="F2344" s="9">
        <v>0.0</v>
      </c>
      <c r="G2344" s="19">
        <v>1137.01</v>
      </c>
      <c r="H2344" s="9" t="s">
        <v>4717</v>
      </c>
      <c r="I2344" s="9" t="s">
        <v>4718</v>
      </c>
      <c r="J2344" s="9" t="s">
        <v>4743</v>
      </c>
      <c r="K2344" s="20">
        <f t="shared" si="2"/>
        <v>2004</v>
      </c>
      <c r="L2344" s="9" t="str">
        <f t="shared" si="3"/>
        <v>tier - 3</v>
      </c>
      <c r="M2344" s="9" t="str">
        <f t="shared" si="4"/>
        <v>tier - 1</v>
      </c>
      <c r="N2344" s="9" t="str">
        <f t="shared" si="5"/>
        <v>R1013</v>
      </c>
      <c r="O2344" s="17">
        <f t="shared" si="6"/>
        <v>18</v>
      </c>
      <c r="P2344" s="18">
        <v>38297.0</v>
      </c>
    </row>
  </sheetData>
  <autoFilter ref="$A$1:$P$2344">
    <sortState ref="A1:P2344">
      <sortCondition descending="1" ref="A1:A2344"/>
    </sortState>
  </autoFilter>
  <printOptions/>
  <pageMargins bottom="0.75" footer="0.0" header="0.0" left="0.7" right="0.7" top="0.75"/>
  <pageSetup orientation="portrait"/>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7.14"/>
    <col customWidth="1" min="3" max="3" width="25.57"/>
    <col customWidth="1" min="4" max="4" width="20.43"/>
    <col customWidth="1" min="5" max="5" width="7.14"/>
    <col customWidth="1" min="6" max="6" width="21.0"/>
    <col customWidth="1" min="7" max="7" width="14.71"/>
    <col customWidth="1" min="8" max="8" width="6.71"/>
    <col customWidth="1" min="9" max="9" width="32.0"/>
    <col customWidth="1" min="10" max="10" width="18.29"/>
    <col customWidth="1" min="11" max="26" width="8.71"/>
  </cols>
  <sheetData>
    <row r="2">
      <c r="A2" s="25" t="s">
        <v>4760</v>
      </c>
      <c r="C2" s="26" t="s">
        <v>4761</v>
      </c>
      <c r="D2" s="27"/>
      <c r="F2" s="26" t="s">
        <v>4762</v>
      </c>
      <c r="G2" s="27"/>
      <c r="I2" s="26" t="s">
        <v>4763</v>
      </c>
      <c r="J2" s="27"/>
    </row>
    <row r="3">
      <c r="A3" s="28" t="s">
        <v>4764</v>
      </c>
      <c r="C3" s="29" t="s">
        <v>4765</v>
      </c>
      <c r="D3" s="9" t="s">
        <v>4766</v>
      </c>
      <c r="F3" s="29" t="s">
        <v>4765</v>
      </c>
      <c r="G3" s="9" t="s">
        <v>4767</v>
      </c>
      <c r="I3" s="29" t="s">
        <v>4765</v>
      </c>
      <c r="J3" s="9" t="s">
        <v>4768</v>
      </c>
    </row>
    <row r="4">
      <c r="A4" s="28">
        <v>2335.0</v>
      </c>
      <c r="C4" s="30" t="s">
        <v>4718</v>
      </c>
      <c r="D4" s="29">
        <v>305.0</v>
      </c>
      <c r="F4" s="30" t="s">
        <v>4718</v>
      </c>
      <c r="G4" s="29">
        <v>9159976.370000012</v>
      </c>
      <c r="I4" s="30" t="s">
        <v>4718</v>
      </c>
      <c r="J4" s="29">
        <v>30032.709409836105</v>
      </c>
    </row>
    <row r="5">
      <c r="C5" s="30" t="s">
        <v>4723</v>
      </c>
      <c r="D5" s="29">
        <v>1336.0</v>
      </c>
      <c r="F5" s="30" t="s">
        <v>4723</v>
      </c>
      <c r="G5" s="29">
        <v>1.5874465770000005E7</v>
      </c>
      <c r="I5" s="30" t="s">
        <v>4723</v>
      </c>
      <c r="J5" s="29">
        <v>11882.085157185633</v>
      </c>
    </row>
    <row r="6">
      <c r="C6" s="30" t="s">
        <v>4717</v>
      </c>
      <c r="D6" s="29">
        <v>693.0</v>
      </c>
      <c r="F6" s="30" t="s">
        <v>4717</v>
      </c>
      <c r="G6" s="29">
        <v>6557352.629999999</v>
      </c>
      <c r="I6" s="30" t="s">
        <v>4717</v>
      </c>
      <c r="J6" s="29">
        <v>9462.269307359305</v>
      </c>
    </row>
    <row r="7">
      <c r="C7" s="30" t="s">
        <v>4769</v>
      </c>
      <c r="D7" s="29">
        <v>2334.0</v>
      </c>
      <c r="F7" s="30" t="s">
        <v>4769</v>
      </c>
      <c r="G7" s="29">
        <v>3.1591794770000014E7</v>
      </c>
      <c r="I7" s="30" t="s">
        <v>4769</v>
      </c>
      <c r="J7" s="29">
        <v>13535.473337617846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D2"/>
    <mergeCell ref="F2:G2"/>
    <mergeCell ref="I2:J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30.86"/>
    <col customWidth="1" min="3" max="5" width="11.0"/>
    <col customWidth="1" min="6" max="6" width="14.57"/>
    <col customWidth="1" min="7" max="7" width="13.57"/>
    <col customWidth="1" min="8" max="8" width="28.14"/>
    <col customWidth="1" min="9" max="9" width="8.57"/>
    <col customWidth="1" min="10" max="10" width="16.43"/>
    <col customWidth="1" min="11" max="11" width="13.86"/>
    <col customWidth="1" min="12" max="12" width="9.29"/>
    <col customWidth="1" min="13" max="13" width="12.0"/>
    <col customWidth="1" min="14" max="14" width="8.14"/>
    <col customWidth="1" min="15" max="15" width="11.0"/>
    <col customWidth="1" min="16" max="16" width="6.0"/>
    <col customWidth="1" min="17" max="17" width="8.71"/>
    <col customWidth="1" min="18" max="18" width="33.86"/>
    <col customWidth="1" min="19" max="19" width="12.0"/>
  </cols>
  <sheetData>
    <row r="1">
      <c r="A1" s="31" t="s">
        <v>4770</v>
      </c>
      <c r="B1" s="31" t="s">
        <v>1</v>
      </c>
      <c r="C1" s="31" t="s">
        <v>4674</v>
      </c>
      <c r="D1" s="31" t="s">
        <v>4675</v>
      </c>
      <c r="E1" s="31" t="s">
        <v>4676</v>
      </c>
      <c r="F1" s="31" t="s">
        <v>4677</v>
      </c>
      <c r="G1" s="31" t="s">
        <v>4771</v>
      </c>
      <c r="H1" s="31" t="s">
        <v>4772</v>
      </c>
      <c r="I1" s="32" t="s">
        <v>4773</v>
      </c>
      <c r="J1" s="32" t="s">
        <v>4774</v>
      </c>
      <c r="K1" s="32" t="s">
        <v>4775</v>
      </c>
      <c r="L1" s="31" t="s">
        <v>4707</v>
      </c>
      <c r="M1" s="31" t="s">
        <v>4776</v>
      </c>
      <c r="N1" s="31" t="s">
        <v>4777</v>
      </c>
      <c r="O1" s="31" t="s">
        <v>4710</v>
      </c>
      <c r="P1" s="31" t="s">
        <v>4778</v>
      </c>
      <c r="S1" s="9" t="s">
        <v>4697</v>
      </c>
    </row>
    <row r="2">
      <c r="A2" s="33" t="s">
        <v>3</v>
      </c>
      <c r="B2" s="22" t="str">
        <f>VLOOKUP($A2,'Customer Names'!$A:$D,3, FALSE)</f>
        <v>Hawks</v>
      </c>
      <c r="C2" s="22">
        <f>VLOOKUP($A2,'Medical Examinations'!$A:$D, 2, FALSE)</f>
        <v>47.41</v>
      </c>
      <c r="D2" s="22">
        <f>VLOOKUP($A2, 'Medical Examinations'!$A:$D,3, FALSE)</f>
        <v>7.47</v>
      </c>
      <c r="E2" s="22" t="str">
        <f>VLOOKUP($A2, 'Medical Examinations'!$A:$D, 4, FALSE)</f>
        <v>No</v>
      </c>
      <c r="F2" s="22" t="str">
        <f>VLOOKUP($A2, 'Medical Examinations'!$A:$J, 5, FALSE)</f>
        <v>No</v>
      </c>
      <c r="G2" s="22" t="str">
        <f>VLOOKUP($A2, 'Medical Examinations'!$A:$I, 6, FALSE)</f>
        <v>No</v>
      </c>
      <c r="H2" s="22">
        <f>VLOOKUP($A2,'Medical Examinations'!$A:$L,10, FALSE)</f>
        <v>0</v>
      </c>
      <c r="I2" s="22" t="str">
        <f>VLOOKUP($A2, 'Medical Examinations'!$A:$J, 9, FALSE)</f>
        <v>Yes</v>
      </c>
      <c r="J2" s="22" t="str">
        <f>VLOOKUP($A2, 'Medical Examinations'!$A:$P, 11, FALSE)</f>
        <v>OBESITY</v>
      </c>
      <c r="K2" s="34">
        <v>31401.0</v>
      </c>
      <c r="L2" s="35">
        <f>VLOOKUP($A2, 'Hospitalisation Details'!$A:$H, 7, FALSE)</f>
        <v>63770.43</v>
      </c>
      <c r="M2" s="22" t="str">
        <f>VLOOKUP($A2, 'Hospitalisation Details'!$A:$L, 12, FALSE)</f>
        <v>tier - 1</v>
      </c>
      <c r="N2" s="22" t="str">
        <f>VLOOKUP($A2, 'Hospitalisation Details'!$A:$M, 13, FALSE)</f>
        <v>tier - 3</v>
      </c>
      <c r="O2" s="22" t="str">
        <f>VLOOKUP($A2, 'Hospitalisation Details'!$A:$N, 14, FALSE)</f>
        <v>R1013</v>
      </c>
      <c r="P2" s="36">
        <f>VLOOKUP($A2, 'Hospitalisation Details'!$A:$O, 15, FALSE)</f>
        <v>54</v>
      </c>
      <c r="S2" s="9" t="s">
        <v>4697</v>
      </c>
    </row>
    <row r="3">
      <c r="A3" s="33" t="s">
        <v>5</v>
      </c>
      <c r="B3" s="22" t="str">
        <f>VLOOKUP($A3,'Customer Names'!$A:$D,3, FALSE)</f>
        <v>Lehner</v>
      </c>
      <c r="C3" s="22">
        <f>VLOOKUP($A3,'Medical Examinations'!$A:$D, 2, FALSE)</f>
        <v>30.36</v>
      </c>
      <c r="D3" s="22">
        <f>VLOOKUP($A3, 'Medical Examinations'!$A:$D,3, FALSE)</f>
        <v>5.77</v>
      </c>
      <c r="E3" s="22" t="str">
        <f>VLOOKUP($A3, 'Medical Examinations'!$A:$D, 4, FALSE)</f>
        <v>No</v>
      </c>
      <c r="F3" s="22" t="str">
        <f>VLOOKUP($A3, 'Medical Examinations'!$A:$J, 5, FALSE)</f>
        <v>No</v>
      </c>
      <c r="G3" s="22" t="str">
        <f>VLOOKUP($A3, 'Medical Examinations'!$A:$I, 6, FALSE)</f>
        <v>No</v>
      </c>
      <c r="H3" s="22">
        <f>VLOOKUP($A3,'Medical Examinations'!$A:$L,10, FALSE)</f>
        <v>0</v>
      </c>
      <c r="I3" s="22" t="str">
        <f>VLOOKUP($A3, 'Medical Examinations'!$A:$J, 9, FALSE)</f>
        <v>Yes</v>
      </c>
      <c r="J3" s="22" t="str">
        <f>VLOOKUP($A3, 'Medical Examinations'!$A:$P, 11, FALSE)</f>
        <v>OBESITY</v>
      </c>
      <c r="K3" s="34">
        <v>33564.0</v>
      </c>
      <c r="L3" s="35">
        <f>VLOOKUP($A3, 'Hospitalisation Details'!$A:$H, 7, FALSE)</f>
        <v>62592.87</v>
      </c>
      <c r="M3" s="22" t="str">
        <f>VLOOKUP($A3, 'Hospitalisation Details'!$A:$L, 12, FALSE)</f>
        <v>tier - 2</v>
      </c>
      <c r="N3" s="22" t="str">
        <f>VLOOKUP($A3, 'Hospitalisation Details'!$A:$M, 13, FALSE)</f>
        <v>tier - 3</v>
      </c>
      <c r="O3" s="22" t="str">
        <f>VLOOKUP($A3, 'Hospitalisation Details'!$A:$N, 14, FALSE)</f>
        <v>R1013</v>
      </c>
      <c r="P3" s="36">
        <f>VLOOKUP($A3, 'Hospitalisation Details'!$A:$O, 15, FALSE)</f>
        <v>46</v>
      </c>
      <c r="S3" s="9" t="s">
        <v>4697</v>
      </c>
    </row>
    <row r="4">
      <c r="A4" s="33" t="s">
        <v>7</v>
      </c>
      <c r="B4" s="22" t="str">
        <f>VLOOKUP($A4,'Customer Names'!$A:$D,3, FALSE)</f>
        <v>Lu</v>
      </c>
      <c r="C4" s="22">
        <f>VLOOKUP($A4,'Medical Examinations'!$A:$D, 2, FALSE)</f>
        <v>34.485</v>
      </c>
      <c r="D4" s="22">
        <f>VLOOKUP($A4, 'Medical Examinations'!$A:$D,3, FALSE)</f>
        <v>11.87</v>
      </c>
      <c r="E4" s="22" t="str">
        <f>VLOOKUP($A4, 'Medical Examinations'!$A:$D, 4, FALSE)</f>
        <v>Yes</v>
      </c>
      <c r="F4" s="22" t="str">
        <f>VLOOKUP($A4, 'Medical Examinations'!$A:$J, 5, FALSE)</f>
        <v>No</v>
      </c>
      <c r="G4" s="22" t="str">
        <f>VLOOKUP($A4, 'Medical Examinations'!$A:$I, 6, FALSE)</f>
        <v>No</v>
      </c>
      <c r="H4" s="22">
        <f>VLOOKUP($A4,'Medical Examinations'!$A:$L,10, FALSE)</f>
        <v>2</v>
      </c>
      <c r="I4" s="22" t="str">
        <f>VLOOKUP($A4, 'Medical Examinations'!$A:$J, 9, FALSE)</f>
        <v>Yes</v>
      </c>
      <c r="J4" s="22" t="str">
        <f>VLOOKUP($A4, 'Medical Examinations'!$A:$P, 11, FALSE)</f>
        <v>OBESITY</v>
      </c>
      <c r="K4" s="34">
        <v>33883.0</v>
      </c>
      <c r="L4" s="35">
        <f>VLOOKUP($A4, 'Hospitalisation Details'!$A:$H, 7, FALSE)</f>
        <v>60021.4</v>
      </c>
      <c r="M4" s="22" t="str">
        <f>VLOOKUP($A4, 'Hospitalisation Details'!$A:$L, 12, FALSE)</f>
        <v>tier - 1</v>
      </c>
      <c r="N4" s="22" t="str">
        <f>VLOOKUP($A4, 'Hospitalisation Details'!$A:$M, 13, FALSE)</f>
        <v>tier - 1</v>
      </c>
      <c r="O4" s="22" t="str">
        <f>VLOOKUP($A4, 'Hospitalisation Details'!$A:$N, 14, FALSE)</f>
        <v>R1012</v>
      </c>
      <c r="P4" s="36">
        <f>VLOOKUP($A4, 'Hospitalisation Details'!$A:$O, 15, FALSE)</f>
        <v>52</v>
      </c>
      <c r="R4" s="37" t="s">
        <v>4779</v>
      </c>
      <c r="S4" s="27"/>
    </row>
    <row r="5">
      <c r="A5" s="33" t="s">
        <v>9</v>
      </c>
      <c r="B5" s="22" t="str">
        <f>VLOOKUP($A5,'Customer Names'!$A:$D,3, FALSE)</f>
        <v>Osborne</v>
      </c>
      <c r="C5" s="22">
        <f>VLOOKUP($A5,'Medical Examinations'!$A:$D, 2, FALSE)</f>
        <v>38.095</v>
      </c>
      <c r="D5" s="22">
        <f>VLOOKUP($A5, 'Medical Examinations'!$A:$D,3, FALSE)</f>
        <v>6.05</v>
      </c>
      <c r="E5" s="22" t="str">
        <f>VLOOKUP($A5, 'Medical Examinations'!$A:$D, 4, FALSE)</f>
        <v>No</v>
      </c>
      <c r="F5" s="22" t="str">
        <f>VLOOKUP($A5, 'Medical Examinations'!$A:$J, 5, FALSE)</f>
        <v>No</v>
      </c>
      <c r="G5" s="22" t="str">
        <f>VLOOKUP($A5, 'Medical Examinations'!$A:$I, 6, FALSE)</f>
        <v>No</v>
      </c>
      <c r="H5" s="22">
        <f>VLOOKUP($A5,'Medical Examinations'!$A:$L,10, FALSE)</f>
        <v>0</v>
      </c>
      <c r="I5" s="22" t="str">
        <f>VLOOKUP($A5, 'Medical Examinations'!$A:$J, 9, FALSE)</f>
        <v>Yes</v>
      </c>
      <c r="J5" s="22" t="str">
        <f>VLOOKUP($A5, 'Medical Examinations'!$A:$P, 11, FALSE)</f>
        <v>OBESITY</v>
      </c>
      <c r="K5" s="34">
        <v>36320.0</v>
      </c>
      <c r="L5" s="35">
        <f>VLOOKUP($A5, 'Hospitalisation Details'!$A:$H, 7, FALSE)</f>
        <v>58571.07</v>
      </c>
      <c r="M5" s="22" t="str">
        <f>VLOOKUP($A5, 'Hospitalisation Details'!$A:$L, 12, FALSE)</f>
        <v>tier - 1</v>
      </c>
      <c r="N5" s="22" t="str">
        <f>VLOOKUP($A5, 'Hospitalisation Details'!$A:$M, 13, FALSE)</f>
        <v>tier - 3</v>
      </c>
      <c r="O5" s="22" t="str">
        <f>VLOOKUP($A5, 'Hospitalisation Details'!$A:$N, 14, FALSE)</f>
        <v>R1024</v>
      </c>
      <c r="P5" s="36">
        <f>VLOOKUP($A5, 'Hospitalisation Details'!$A:$O, 15, FALSE)</f>
        <v>32</v>
      </c>
      <c r="R5" s="38" t="s">
        <v>4780</v>
      </c>
      <c r="S5" s="39">
        <f>SUBTOTAL(103,Healthcare!$A$2:$A$2335)</f>
        <v>2334</v>
      </c>
    </row>
    <row r="6">
      <c r="A6" s="33" t="s">
        <v>11</v>
      </c>
      <c r="B6" s="22" t="str">
        <f>VLOOKUP($A6,'Customer Names'!$A:$D,3, FALSE)</f>
        <v>Kadala</v>
      </c>
      <c r="C6" s="22">
        <f>VLOOKUP($A6,'Medical Examinations'!$A:$D, 2, FALSE)</f>
        <v>35.53</v>
      </c>
      <c r="D6" s="22">
        <f>VLOOKUP($A6, 'Medical Examinations'!$A:$D,3, FALSE)</f>
        <v>5.45</v>
      </c>
      <c r="E6" s="22" t="str">
        <f>VLOOKUP($A6, 'Medical Examinations'!$A:$D, 4, FALSE)</f>
        <v>No</v>
      </c>
      <c r="F6" s="22" t="str">
        <f>VLOOKUP($A6, 'Medical Examinations'!$A:$J, 5, FALSE)</f>
        <v>No</v>
      </c>
      <c r="G6" s="22" t="str">
        <f>VLOOKUP($A6, 'Medical Examinations'!$A:$I, 6, FALSE)</f>
        <v>No</v>
      </c>
      <c r="H6" s="22">
        <f>VLOOKUP($A6,'Medical Examinations'!$A:$L,10, FALSE)</f>
        <v>0</v>
      </c>
      <c r="I6" s="22" t="str">
        <f>VLOOKUP($A6, 'Medical Examinations'!$A:$J, 9, FALSE)</f>
        <v>Yes</v>
      </c>
      <c r="J6" s="22" t="str">
        <f>VLOOKUP($A6, 'Medical Examinations'!$A:$P, 11, FALSE)</f>
        <v>OBESITY</v>
      </c>
      <c r="K6" s="34">
        <v>36812.0</v>
      </c>
      <c r="L6" s="35">
        <f>VLOOKUP($A6, 'Hospitalisation Details'!$A:$H, 7, FALSE)</f>
        <v>55135.4</v>
      </c>
      <c r="M6" s="22" t="str">
        <f>VLOOKUP($A6, 'Hospitalisation Details'!$A:$L, 12, FALSE)</f>
        <v>tier - 1</v>
      </c>
      <c r="N6" s="22" t="str">
        <f>VLOOKUP($A6, 'Hospitalisation Details'!$A:$M, 13, FALSE)</f>
        <v>tier - 2</v>
      </c>
      <c r="O6" s="22" t="str">
        <f>VLOOKUP($A6, 'Hospitalisation Details'!$A:$N, 14, FALSE)</f>
        <v>R1012</v>
      </c>
      <c r="P6" s="36">
        <f>VLOOKUP($A6, 'Hospitalisation Details'!$A:$O, 15, FALSE)</f>
        <v>33</v>
      </c>
      <c r="R6" s="38" t="s">
        <v>4781</v>
      </c>
      <c r="S6" s="40">
        <f>SUBTOTAL(103,Healthcare!$B$2:$B$2335)</f>
        <v>2334</v>
      </c>
    </row>
    <row r="7">
      <c r="A7" s="33" t="s">
        <v>13</v>
      </c>
      <c r="B7" s="22" t="str">
        <f>VLOOKUP($A7,'Customer Names'!$A:$D,3, FALSE)</f>
        <v>Baker</v>
      </c>
      <c r="C7" s="22">
        <f>VLOOKUP($A7,'Medical Examinations'!$A:$D, 2, FALSE)</f>
        <v>32.8</v>
      </c>
      <c r="D7" s="22">
        <f>VLOOKUP($A7, 'Medical Examinations'!$A:$D,3, FALSE)</f>
        <v>6.59</v>
      </c>
      <c r="E7" s="22" t="str">
        <f>VLOOKUP($A7, 'Medical Examinations'!$A:$D, 4, FALSE)</f>
        <v>No</v>
      </c>
      <c r="F7" s="22" t="str">
        <f>VLOOKUP($A7, 'Medical Examinations'!$A:$J, 5, FALSE)</f>
        <v>No</v>
      </c>
      <c r="G7" s="22" t="str">
        <f>VLOOKUP($A7, 'Medical Examinations'!$A:$I, 6, FALSE)</f>
        <v>No</v>
      </c>
      <c r="H7" s="22">
        <f>VLOOKUP($A7,'Medical Examinations'!$A:$L,10, FALSE)</f>
        <v>0</v>
      </c>
      <c r="I7" s="22" t="str">
        <f>VLOOKUP($A7, 'Medical Examinations'!$A:$J, 9, FALSE)</f>
        <v>Yes</v>
      </c>
      <c r="J7" s="22" t="str">
        <f>VLOOKUP($A7, 'Medical Examinations'!$A:$P, 11, FALSE)</f>
        <v>OBESITY</v>
      </c>
      <c r="K7" s="34">
        <v>38297.0</v>
      </c>
      <c r="L7" s="35">
        <f>VLOOKUP($A7, 'Hospitalisation Details'!$A:$H, 7, FALSE)</f>
        <v>52590.83</v>
      </c>
      <c r="M7" s="22" t="str">
        <f>VLOOKUP($A7, 'Hospitalisation Details'!$A:$L, 12, FALSE)</f>
        <v>tier - 1</v>
      </c>
      <c r="N7" s="22" t="str">
        <f>VLOOKUP($A7, 'Hospitalisation Details'!$A:$M, 13, FALSE)</f>
        <v>tier - 3</v>
      </c>
      <c r="O7" s="22" t="str">
        <f>VLOOKUP($A7, 'Hospitalisation Details'!$A:$N, 14, FALSE)</f>
        <v>R1011</v>
      </c>
      <c r="P7" s="36">
        <f>VLOOKUP($A7, 'Hospitalisation Details'!$A:$O, 15, FALSE)</f>
        <v>60</v>
      </c>
      <c r="R7" s="38" t="s">
        <v>4782</v>
      </c>
      <c r="S7" s="40">
        <f>SUBTOTAL(109,Healthcare!$L$2:$L$2335)</f>
        <v>31591794.77</v>
      </c>
    </row>
    <row r="8">
      <c r="A8" s="33" t="s">
        <v>15</v>
      </c>
      <c r="B8" s="22" t="str">
        <f>VLOOKUP($A8,'Customer Names'!$A:$D,3, FALSE)</f>
        <v>Macpherson</v>
      </c>
      <c r="C8" s="22">
        <f>VLOOKUP($A8,'Medical Examinations'!$A:$D, 2, FALSE)</f>
        <v>36.4</v>
      </c>
      <c r="D8" s="22">
        <f>VLOOKUP($A8, 'Medical Examinations'!$A:$D,3, FALSE)</f>
        <v>6.07</v>
      </c>
      <c r="E8" s="22" t="str">
        <f>VLOOKUP($A8, 'Medical Examinations'!$A:$D, 4, FALSE)</f>
        <v>No</v>
      </c>
      <c r="F8" s="22" t="str">
        <f>VLOOKUP($A8, 'Medical Examinations'!$A:$J, 5, FALSE)</f>
        <v>No</v>
      </c>
      <c r="G8" s="22" t="str">
        <f>VLOOKUP($A8, 'Medical Examinations'!$A:$I, 6, FALSE)</f>
        <v>No</v>
      </c>
      <c r="H8" s="22">
        <f>VLOOKUP($A8,'Medical Examinations'!$A:$L,10, FALSE)</f>
        <v>0</v>
      </c>
      <c r="I8" s="22" t="str">
        <f>VLOOKUP($A8, 'Medical Examinations'!$A:$J, 9, FALSE)</f>
        <v>Yes</v>
      </c>
      <c r="J8" s="22" t="str">
        <f>VLOOKUP($A8, 'Medical Examinations'!$A:$P, 11, FALSE)</f>
        <v>OBESITY</v>
      </c>
      <c r="K8" s="34">
        <v>25123.0</v>
      </c>
      <c r="L8" s="35">
        <f>VLOOKUP($A8, 'Hospitalisation Details'!$A:$H, 7, FALSE)</f>
        <v>51194.56</v>
      </c>
      <c r="M8" s="22" t="str">
        <f>VLOOKUP($A8, 'Hospitalisation Details'!$A:$L, 12, FALSE)</f>
        <v>tier - 1</v>
      </c>
      <c r="N8" s="22" t="str">
        <f>VLOOKUP($A8, 'Hospitalisation Details'!$A:$M, 13, FALSE)</f>
        <v>tier - 3</v>
      </c>
      <c r="O8" s="22" t="str">
        <f>VLOOKUP($A8, 'Hospitalisation Details'!$A:$N, 14, FALSE)</f>
        <v>R1011</v>
      </c>
      <c r="P8" s="36">
        <f>VLOOKUP($A8, 'Hospitalisation Details'!$A:$O, 15, FALSE)</f>
        <v>28</v>
      </c>
      <c r="R8" s="38" t="s">
        <v>4763</v>
      </c>
      <c r="S8" s="41">
        <f>SUBTOTAL(101,Healthcare!$L$2:$L$2335)</f>
        <v>13535.47334</v>
      </c>
    </row>
    <row r="9">
      <c r="A9" s="33" t="s">
        <v>17</v>
      </c>
      <c r="B9" s="22" t="str">
        <f>VLOOKUP($A9,'Customer Names'!$A:$D,3, FALSE)</f>
        <v>Hallman</v>
      </c>
      <c r="C9" s="22">
        <f>VLOOKUP($A9,'Medical Examinations'!$A:$D, 2, FALSE)</f>
        <v>36.96</v>
      </c>
      <c r="D9" s="22">
        <f>VLOOKUP($A9, 'Medical Examinations'!$A:$D,3, FALSE)</f>
        <v>7.93</v>
      </c>
      <c r="E9" s="22" t="str">
        <f>VLOOKUP($A9, 'Medical Examinations'!$A:$D, 4, FALSE)</f>
        <v>No</v>
      </c>
      <c r="F9" s="22" t="str">
        <f>VLOOKUP($A9, 'Medical Examinations'!$A:$J, 5, FALSE)</f>
        <v>No</v>
      </c>
      <c r="G9" s="22" t="str">
        <f>VLOOKUP($A9, 'Medical Examinations'!$A:$I, 6, FALSE)</f>
        <v>No</v>
      </c>
      <c r="H9" s="22">
        <f>VLOOKUP($A9,'Medical Examinations'!$A:$L,10, FALSE)</f>
        <v>3</v>
      </c>
      <c r="I9" s="22" t="str">
        <f>VLOOKUP($A9, 'Medical Examinations'!$A:$J, 9, FALSE)</f>
        <v>Yes</v>
      </c>
      <c r="J9" s="22" t="str">
        <f>VLOOKUP($A9, 'Medical Examinations'!$A:$P, 11, FALSE)</f>
        <v>OBESITY</v>
      </c>
      <c r="K9" s="34">
        <v>28853.0</v>
      </c>
      <c r="L9" s="35">
        <f>VLOOKUP($A9, 'Hospitalisation Details'!$A:$H, 7, FALSE)</f>
        <v>49577.66</v>
      </c>
      <c r="M9" s="22" t="str">
        <f>VLOOKUP($A9, 'Hospitalisation Details'!$A:$L, 12, FALSE)</f>
        <v>tier - 2</v>
      </c>
      <c r="N9" s="22" t="str">
        <f>VLOOKUP($A9, 'Hospitalisation Details'!$A:$M, 13, FALSE)</f>
        <v>tier - 2</v>
      </c>
      <c r="O9" s="22" t="str">
        <f>VLOOKUP($A9, 'Hospitalisation Details'!$A:$N, 14, FALSE)</f>
        <v>R1013</v>
      </c>
      <c r="P9" s="36">
        <f>VLOOKUP($A9, 'Hospitalisation Details'!$A:$O, 15, FALSE)</f>
        <v>64</v>
      </c>
    </row>
    <row r="10">
      <c r="A10" s="33" t="s">
        <v>19</v>
      </c>
      <c r="B10" s="22" t="str">
        <f>VLOOKUP($A10,'Customer Names'!$A:$D,3, FALSE)</f>
        <v>Moran</v>
      </c>
      <c r="C10" s="22">
        <f>VLOOKUP($A10,'Medical Examinations'!$A:$D, 2, FALSE)</f>
        <v>41.14</v>
      </c>
      <c r="D10" s="22">
        <f>VLOOKUP($A10, 'Medical Examinations'!$A:$D,3, FALSE)</f>
        <v>9.58</v>
      </c>
      <c r="E10" s="22" t="str">
        <f>VLOOKUP($A10, 'Medical Examinations'!$A:$D, 4, FALSE)</f>
        <v>Yes</v>
      </c>
      <c r="F10" s="22" t="str">
        <f>VLOOKUP($A10, 'Medical Examinations'!$A:$J, 5, FALSE)</f>
        <v>No</v>
      </c>
      <c r="G10" s="22" t="str">
        <f>VLOOKUP($A10, 'Medical Examinations'!$A:$I, 6, FALSE)</f>
        <v>Yes</v>
      </c>
      <c r="H10" s="22">
        <f>VLOOKUP($A10,'Medical Examinations'!$A:$L,10, FALSE)</f>
        <v>1</v>
      </c>
      <c r="I10" s="22" t="str">
        <f>VLOOKUP($A10, 'Medical Examinations'!$A:$J, 9, FALSE)</f>
        <v>Yes</v>
      </c>
      <c r="J10" s="22" t="str">
        <f>VLOOKUP($A10, 'Medical Examinations'!$A:$P, 11, FALSE)</f>
        <v>OBESITY</v>
      </c>
      <c r="K10" s="34">
        <v>28303.0</v>
      </c>
      <c r="L10" s="35">
        <f>VLOOKUP($A10, 'Hospitalisation Details'!$A:$H, 7, FALSE)</f>
        <v>48970.25</v>
      </c>
      <c r="M10" s="22" t="str">
        <f>VLOOKUP($A10, 'Hospitalisation Details'!$A:$L, 12, FALSE)</f>
        <v>tier - 1</v>
      </c>
      <c r="N10" s="22" t="str">
        <f>VLOOKUP($A10, 'Hospitalisation Details'!$A:$M, 13, FALSE)</f>
        <v>tier - 2</v>
      </c>
      <c r="O10" s="22" t="str">
        <f>VLOOKUP($A10, 'Hospitalisation Details'!$A:$N, 14, FALSE)</f>
        <v>R1013</v>
      </c>
      <c r="P10" s="36">
        <f>VLOOKUP($A10, 'Hospitalisation Details'!$A:$O, 15, FALSE)</f>
        <v>59</v>
      </c>
    </row>
    <row r="11">
      <c r="A11" s="33" t="s">
        <v>21</v>
      </c>
      <c r="B11" s="22" t="str">
        <f>VLOOKUP($A11,'Customer Names'!$A:$D,3, FALSE)</f>
        <v>Benner</v>
      </c>
      <c r="C11" s="22">
        <f>VLOOKUP($A11,'Medical Examinations'!$A:$D, 2, FALSE)</f>
        <v>38.06</v>
      </c>
      <c r="D11" s="22">
        <f>VLOOKUP($A11, 'Medical Examinations'!$A:$D,3, FALSE)</f>
        <v>10.79</v>
      </c>
      <c r="E11" s="22" t="str">
        <f>VLOOKUP($A11, 'Medical Examinations'!$A:$D, 4, FALSE)</f>
        <v>No</v>
      </c>
      <c r="F11" s="22" t="str">
        <f>VLOOKUP($A11, 'Medical Examinations'!$A:$J, 5, FALSE)</f>
        <v>No</v>
      </c>
      <c r="G11" s="22" t="str">
        <f>VLOOKUP($A11, 'Medical Examinations'!$A:$I, 6, FALSE)</f>
        <v>No</v>
      </c>
      <c r="H11" s="22">
        <f>VLOOKUP($A11,'Medical Examinations'!$A:$L,10, FALSE)</f>
        <v>0</v>
      </c>
      <c r="I11" s="22" t="str">
        <f>VLOOKUP($A11, 'Medical Examinations'!$A:$J, 9, FALSE)</f>
        <v>Yes</v>
      </c>
      <c r="J11" s="22" t="str">
        <f>VLOOKUP($A11, 'Medical Examinations'!$A:$P, 11, FALSE)</f>
        <v>OBESITY</v>
      </c>
      <c r="K11" s="34">
        <v>32859.0</v>
      </c>
      <c r="L11" s="35">
        <f>VLOOKUP($A11, 'Hospitalisation Details'!$A:$H, 7, FALSE)</f>
        <v>48885.14</v>
      </c>
      <c r="M11" s="22" t="str">
        <f>VLOOKUP($A11, 'Hospitalisation Details'!$A:$L, 12, FALSE)</f>
        <v>tier - 1</v>
      </c>
      <c r="N11" s="22" t="str">
        <f>VLOOKUP($A11, 'Hospitalisation Details'!$A:$M, 13, FALSE)</f>
        <v>tier - 2</v>
      </c>
      <c r="O11" s="22" t="str">
        <f>VLOOKUP($A11, 'Hospitalisation Details'!$A:$N, 14, FALSE)</f>
        <v>R1013</v>
      </c>
      <c r="P11" s="36">
        <f>VLOOKUP($A11, 'Hospitalisation Details'!$A:$O, 15, FALSE)</f>
        <v>44</v>
      </c>
    </row>
    <row r="12">
      <c r="A12" s="33" t="s">
        <v>23</v>
      </c>
      <c r="B12" s="22" t="str">
        <f>VLOOKUP($A12,'Customer Names'!$A:$D,3, FALSE)</f>
        <v>Fierr</v>
      </c>
      <c r="C12" s="22">
        <f>VLOOKUP($A12,'Medical Examinations'!$A:$D, 2, FALSE)</f>
        <v>37.7</v>
      </c>
      <c r="D12" s="22">
        <f>VLOOKUP($A12, 'Medical Examinations'!$A:$D,3, FALSE)</f>
        <v>5.96</v>
      </c>
      <c r="E12" s="22" t="str">
        <f>VLOOKUP($A12, 'Medical Examinations'!$A:$D, 4, FALSE)</f>
        <v>Yes</v>
      </c>
      <c r="F12" s="22" t="str">
        <f>VLOOKUP($A12, 'Medical Examinations'!$A:$J, 5, FALSE)</f>
        <v>No</v>
      </c>
      <c r="G12" s="22" t="str">
        <f>VLOOKUP($A12, 'Medical Examinations'!$A:$I, 6, FALSE)</f>
        <v>No</v>
      </c>
      <c r="H12" s="22">
        <f>VLOOKUP($A12,'Medical Examinations'!$A:$L,10, FALSE)</f>
        <v>2</v>
      </c>
      <c r="I12" s="22" t="str">
        <f>VLOOKUP($A12, 'Medical Examinations'!$A:$J, 9, FALSE)</f>
        <v>Yes</v>
      </c>
      <c r="J12" s="22" t="str">
        <f>VLOOKUP($A12, 'Medical Examinations'!$A:$P, 11, FALSE)</f>
        <v>OBESITY</v>
      </c>
      <c r="K12" s="34">
        <v>25567.0</v>
      </c>
      <c r="L12" s="35">
        <f>VLOOKUP($A12, 'Hospitalisation Details'!$A:$H, 7, FALSE)</f>
        <v>48824.45</v>
      </c>
      <c r="M12" s="22" t="str">
        <f>VLOOKUP($A12, 'Hospitalisation Details'!$A:$L, 12, FALSE)</f>
        <v>tier - 2</v>
      </c>
      <c r="N12" s="22" t="str">
        <f>VLOOKUP($A12, 'Hospitalisation Details'!$A:$M, 13, FALSE)</f>
        <v>tier - 1</v>
      </c>
      <c r="O12" s="22" t="str">
        <f>VLOOKUP($A12, 'Hospitalisation Details'!$A:$N, 14, FALSE)</f>
        <v>R1011</v>
      </c>
      <c r="P12" s="36">
        <f>VLOOKUP($A12, 'Hospitalisation Details'!$A:$O, 15, FALSE)</f>
        <v>63</v>
      </c>
    </row>
    <row r="13">
      <c r="A13" s="33" t="s">
        <v>25</v>
      </c>
      <c r="B13" s="22" t="str">
        <f>VLOOKUP($A13,'Customer Names'!$A:$D,3, FALSE)</f>
        <v>Franz</v>
      </c>
      <c r="C13" s="22">
        <f>VLOOKUP($A13,'Medical Examinations'!$A:$D, 2, FALSE)</f>
        <v>42.13</v>
      </c>
      <c r="D13" s="22">
        <f>VLOOKUP($A13, 'Medical Examinations'!$A:$D,3, FALSE)</f>
        <v>11.9</v>
      </c>
      <c r="E13" s="22" t="str">
        <f>VLOOKUP($A13, 'Medical Examinations'!$A:$D, 4, FALSE)</f>
        <v>No</v>
      </c>
      <c r="F13" s="22" t="str">
        <f>VLOOKUP($A13, 'Medical Examinations'!$A:$J, 5, FALSE)</f>
        <v>No</v>
      </c>
      <c r="G13" s="22" t="str">
        <f>VLOOKUP($A13, 'Medical Examinations'!$A:$I, 6, FALSE)</f>
        <v>No</v>
      </c>
      <c r="H13" s="22">
        <f>VLOOKUP($A13,'Medical Examinations'!$A:$L,10, FALSE)</f>
        <v>0</v>
      </c>
      <c r="I13" s="22" t="str">
        <f>VLOOKUP($A13, 'Medical Examinations'!$A:$J, 9, FALSE)</f>
        <v>Yes</v>
      </c>
      <c r="J13" s="22" t="str">
        <f>VLOOKUP($A13, 'Medical Examinations'!$A:$P, 11, FALSE)</f>
        <v>OBESITY</v>
      </c>
      <c r="K13" s="34">
        <v>27939.0</v>
      </c>
      <c r="L13" s="35">
        <f>VLOOKUP($A13, 'Hospitalisation Details'!$A:$H, 7, FALSE)</f>
        <v>48675.52</v>
      </c>
      <c r="M13" s="22" t="str">
        <f>VLOOKUP($A13, 'Hospitalisation Details'!$A:$L, 12, FALSE)</f>
        <v>tier - 1</v>
      </c>
      <c r="N13" s="22" t="str">
        <f>VLOOKUP($A13, 'Hospitalisation Details'!$A:$M, 13, FALSE)</f>
        <v>tier - 2</v>
      </c>
      <c r="O13" s="22" t="str">
        <f>VLOOKUP($A13, 'Hospitalisation Details'!$A:$N, 14, FALSE)</f>
        <v>R1013</v>
      </c>
      <c r="P13" s="36">
        <f>VLOOKUP($A13, 'Hospitalisation Details'!$A:$O, 15, FALSE)</f>
        <v>57</v>
      </c>
    </row>
    <row r="14">
      <c r="A14" s="33" t="s">
        <v>27</v>
      </c>
      <c r="B14" s="22" t="str">
        <f>VLOOKUP($A14,'Customer Names'!$A:$D,3, FALSE)</f>
        <v>Foster</v>
      </c>
      <c r="C14" s="22">
        <f>VLOOKUP($A14,'Medical Examinations'!$A:$D, 2, FALSE)</f>
        <v>40.92</v>
      </c>
      <c r="D14" s="22">
        <f>VLOOKUP($A14, 'Medical Examinations'!$A:$D,3, FALSE)</f>
        <v>8.41</v>
      </c>
      <c r="E14" s="22" t="str">
        <f>VLOOKUP($A14, 'Medical Examinations'!$A:$D, 4, FALSE)</f>
        <v>No</v>
      </c>
      <c r="F14" s="22" t="str">
        <f>VLOOKUP($A14, 'Medical Examinations'!$A:$J, 5, FALSE)</f>
        <v>No</v>
      </c>
      <c r="G14" s="22" t="str">
        <f>VLOOKUP($A14, 'Medical Examinations'!$A:$I, 6, FALSE)</f>
        <v>No</v>
      </c>
      <c r="H14" s="22">
        <f>VLOOKUP($A14,'Medical Examinations'!$A:$L,10, FALSE)</f>
        <v>0</v>
      </c>
      <c r="I14" s="22" t="str">
        <f>VLOOKUP($A14, 'Medical Examinations'!$A:$J, 9, FALSE)</f>
        <v>Yes</v>
      </c>
      <c r="J14" s="22" t="str">
        <f>VLOOKUP($A14, 'Medical Examinations'!$A:$P, 11, FALSE)</f>
        <v>OBESITY</v>
      </c>
      <c r="K14" s="34">
        <v>25733.0</v>
      </c>
      <c r="L14" s="35">
        <f>VLOOKUP($A14, 'Hospitalisation Details'!$A:$H, 7, FALSE)</f>
        <v>48673.56</v>
      </c>
      <c r="M14" s="22" t="str">
        <f>VLOOKUP($A14, 'Hospitalisation Details'!$A:$L, 12, FALSE)</f>
        <v>tier - 1</v>
      </c>
      <c r="N14" s="22" t="str">
        <f>VLOOKUP($A14, 'Hospitalisation Details'!$A:$M, 13, FALSE)</f>
        <v>tier - 2</v>
      </c>
      <c r="O14" s="22" t="str">
        <f>VLOOKUP($A14, 'Hospitalisation Details'!$A:$N, 14, FALSE)</f>
        <v>R1013</v>
      </c>
      <c r="P14" s="36">
        <f>VLOOKUP($A14, 'Hospitalisation Details'!$A:$O, 15, FALSE)</f>
        <v>60</v>
      </c>
    </row>
    <row r="15">
      <c r="A15" s="33" t="s">
        <v>29</v>
      </c>
      <c r="B15" s="22" t="str">
        <f>VLOOKUP($A15,'Customer Names'!$A:$D,3, FALSE)</f>
        <v>Tenorio</v>
      </c>
      <c r="C15" s="22">
        <f>VLOOKUP($A15,'Medical Examinations'!$A:$D, 2, FALSE)</f>
        <v>40.565</v>
      </c>
      <c r="D15" s="22">
        <f>VLOOKUP($A15, 'Medical Examinations'!$A:$D,3, FALSE)</f>
        <v>7.02</v>
      </c>
      <c r="E15" s="22" t="str">
        <f>VLOOKUP($A15, 'Medical Examinations'!$A:$D, 4, FALSE)</f>
        <v>No</v>
      </c>
      <c r="F15" s="22" t="str">
        <f>VLOOKUP($A15, 'Medical Examinations'!$A:$J, 5, FALSE)</f>
        <v>No</v>
      </c>
      <c r="G15" s="22" t="str">
        <f>VLOOKUP($A15, 'Medical Examinations'!$A:$I, 6, FALSE)</f>
        <v>No</v>
      </c>
      <c r="H15" s="22">
        <f>VLOOKUP($A15,'Medical Examinations'!$A:$L,10, FALSE)</f>
        <v>0</v>
      </c>
      <c r="I15" s="22" t="str">
        <f>VLOOKUP($A15, 'Medical Examinations'!$A:$J, 9, FALSE)</f>
        <v>Yes</v>
      </c>
      <c r="J15" s="22" t="str">
        <f>VLOOKUP($A15, 'Medical Examinations'!$A:$P, 11, FALSE)</f>
        <v>OBESITY</v>
      </c>
      <c r="K15" s="34">
        <v>26545.0</v>
      </c>
      <c r="L15" s="35">
        <f>VLOOKUP($A15, 'Hospitalisation Details'!$A:$H, 7, FALSE)</f>
        <v>48549.18</v>
      </c>
      <c r="M15" s="22" t="str">
        <f>VLOOKUP($A15, 'Hospitalisation Details'!$A:$L, 12, FALSE)</f>
        <v>tier - 1</v>
      </c>
      <c r="N15" s="22" t="str">
        <f>VLOOKUP($A15, 'Hospitalisation Details'!$A:$M, 13, FALSE)</f>
        <v>tier - 3</v>
      </c>
      <c r="O15" s="22" t="str">
        <f>VLOOKUP($A15, 'Hospitalisation Details'!$A:$N, 14, FALSE)</f>
        <v>R1016</v>
      </c>
      <c r="P15" s="36">
        <f>VLOOKUP($A15, 'Hospitalisation Details'!$A:$O, 15, FALSE)</f>
        <v>54</v>
      </c>
    </row>
    <row r="16">
      <c r="A16" s="33" t="s">
        <v>31</v>
      </c>
      <c r="B16" s="22" t="str">
        <f>VLOOKUP($A16,'Customer Names'!$A:$D,3, FALSE)</f>
        <v>Rios</v>
      </c>
      <c r="C16" s="22">
        <f>VLOOKUP($A16,'Medical Examinations'!$A:$D, 2, FALSE)</f>
        <v>36.385</v>
      </c>
      <c r="D16" s="22">
        <f>VLOOKUP($A16, 'Medical Examinations'!$A:$D,3, FALSE)</f>
        <v>7.59</v>
      </c>
      <c r="E16" s="22" t="str">
        <f>VLOOKUP($A16, 'Medical Examinations'!$A:$D, 4, FALSE)</f>
        <v>Yes</v>
      </c>
      <c r="F16" s="22" t="str">
        <f>VLOOKUP($A16, 'Medical Examinations'!$A:$J, 5, FALSE)</f>
        <v>No</v>
      </c>
      <c r="G16" s="22" t="str">
        <f>VLOOKUP($A16, 'Medical Examinations'!$A:$I, 6, FALSE)</f>
        <v>No</v>
      </c>
      <c r="H16" s="22">
        <f>VLOOKUP($A16,'Medical Examinations'!$A:$L,10, FALSE)</f>
        <v>2</v>
      </c>
      <c r="I16" s="22" t="str">
        <f>VLOOKUP($A16, 'Medical Examinations'!$A:$J, 9, FALSE)</f>
        <v>Yes</v>
      </c>
      <c r="J16" s="22" t="str">
        <f>VLOOKUP($A16, 'Medical Examinations'!$A:$P, 11, FALSE)</f>
        <v>OBESITY</v>
      </c>
      <c r="K16" s="34">
        <v>24325.0</v>
      </c>
      <c r="L16" s="35">
        <f>VLOOKUP($A16, 'Hospitalisation Details'!$A:$H, 7, FALSE)</f>
        <v>48517.56</v>
      </c>
      <c r="M16" s="22" t="str">
        <f>VLOOKUP($A16, 'Hospitalisation Details'!$A:$L, 12, FALSE)</f>
        <v>tier - 1</v>
      </c>
      <c r="N16" s="22" t="str">
        <f>VLOOKUP($A16, 'Hospitalisation Details'!$A:$M, 13, FALSE)</f>
        <v>tier - 3</v>
      </c>
      <c r="O16" s="22" t="str">
        <f>VLOOKUP($A16, 'Hospitalisation Details'!$A:$N, 14, FALSE)</f>
        <v>R1024</v>
      </c>
      <c r="P16" s="36">
        <f>VLOOKUP($A16, 'Hospitalisation Details'!$A:$O, 15, FALSE)</f>
        <v>61</v>
      </c>
    </row>
    <row r="17">
      <c r="A17" s="33" t="s">
        <v>33</v>
      </c>
      <c r="B17" s="22" t="str">
        <f>VLOOKUP($A17,'Customer Names'!$A:$D,3, FALSE)</f>
        <v>Viau-Dupuis</v>
      </c>
      <c r="C17" s="22">
        <f>VLOOKUP($A17,'Medical Examinations'!$A:$D, 2, FALSE)</f>
        <v>39.9</v>
      </c>
      <c r="D17" s="22">
        <f>VLOOKUP($A17, 'Medical Examinations'!$A:$D,3, FALSE)</f>
        <v>11.32</v>
      </c>
      <c r="E17" s="22" t="str">
        <f>VLOOKUP($A17, 'Medical Examinations'!$A:$D, 4, FALSE)</f>
        <v>No</v>
      </c>
      <c r="F17" s="22" t="str">
        <f>VLOOKUP($A17, 'Medical Examinations'!$A:$J, 5, FALSE)</f>
        <v>No</v>
      </c>
      <c r="G17" s="22" t="str">
        <f>VLOOKUP($A17, 'Medical Examinations'!$A:$I, 6, FALSE)</f>
        <v>No</v>
      </c>
      <c r="H17" s="22">
        <f>VLOOKUP($A17,'Medical Examinations'!$A:$L,10, FALSE)</f>
        <v>0</v>
      </c>
      <c r="I17" s="22" t="str">
        <f>VLOOKUP($A17, 'Medical Examinations'!$A:$J, 9, FALSE)</f>
        <v>Yes</v>
      </c>
      <c r="J17" s="22" t="str">
        <f>VLOOKUP($A17, 'Medical Examinations'!$A:$P, 11, FALSE)</f>
        <v>OBESITY</v>
      </c>
      <c r="K17" s="34">
        <v>25379.0</v>
      </c>
      <c r="L17" s="35">
        <f>VLOOKUP($A17, 'Hospitalisation Details'!$A:$H, 7, FALSE)</f>
        <v>48173.36</v>
      </c>
      <c r="M17" s="22" t="str">
        <f>VLOOKUP($A17, 'Hospitalisation Details'!$A:$L, 12, FALSE)</f>
        <v>tier - 1</v>
      </c>
      <c r="N17" s="22" t="str">
        <f>VLOOKUP($A17, 'Hospitalisation Details'!$A:$M, 13, FALSE)</f>
        <v>tier - 3</v>
      </c>
      <c r="O17" s="22" t="str">
        <f>VLOOKUP($A17, 'Hospitalisation Details'!$A:$N, 14, FALSE)</f>
        <v>R1011</v>
      </c>
      <c r="P17" s="36">
        <f>VLOOKUP($A17, 'Hospitalisation Details'!$A:$O, 15, FALSE)</f>
        <v>60</v>
      </c>
    </row>
    <row r="18">
      <c r="A18" s="33" t="s">
        <v>35</v>
      </c>
      <c r="B18" s="22" t="str">
        <f>VLOOKUP($A18,'Customer Names'!$A:$D,3, FALSE)</f>
        <v>Cronin</v>
      </c>
      <c r="C18" s="22">
        <f>VLOOKUP($A18,'Medical Examinations'!$A:$D, 2, FALSE)</f>
        <v>33.8</v>
      </c>
      <c r="D18" s="22">
        <f>VLOOKUP($A18, 'Medical Examinations'!$A:$D,3, FALSE)</f>
        <v>7.67</v>
      </c>
      <c r="E18" s="22" t="str">
        <f>VLOOKUP($A18, 'Medical Examinations'!$A:$D, 4, FALSE)</f>
        <v>No</v>
      </c>
      <c r="F18" s="22" t="str">
        <f>VLOOKUP($A18, 'Medical Examinations'!$A:$J, 5, FALSE)</f>
        <v>No</v>
      </c>
      <c r="G18" s="22" t="str">
        <f>VLOOKUP($A18, 'Medical Examinations'!$A:$I, 6, FALSE)</f>
        <v>No</v>
      </c>
      <c r="H18" s="22">
        <f>VLOOKUP($A18,'Medical Examinations'!$A:$L,10, FALSE)</f>
        <v>3</v>
      </c>
      <c r="I18" s="22" t="str">
        <f>VLOOKUP($A18, 'Medical Examinations'!$A:$J, 9, FALSE)</f>
        <v>Yes</v>
      </c>
      <c r="J18" s="22" t="str">
        <f>VLOOKUP($A18, 'Medical Examinations'!$A:$P, 11, FALSE)</f>
        <v>OBESITY</v>
      </c>
      <c r="K18" s="34">
        <v>25537.0</v>
      </c>
      <c r="L18" s="35">
        <f>VLOOKUP($A18, 'Hospitalisation Details'!$A:$H, 7, FALSE)</f>
        <v>47928.03</v>
      </c>
      <c r="M18" s="22" t="str">
        <f>VLOOKUP($A18, 'Hospitalisation Details'!$A:$L, 12, FALSE)</f>
        <v>tier - 2</v>
      </c>
      <c r="N18" s="22" t="str">
        <f>VLOOKUP($A18, 'Hospitalisation Details'!$A:$M, 13, FALSE)</f>
        <v>tier - 3</v>
      </c>
      <c r="O18" s="22" t="str">
        <f>VLOOKUP($A18, 'Hospitalisation Details'!$A:$N, 14, FALSE)</f>
        <v>R1011</v>
      </c>
      <c r="P18" s="36">
        <f>VLOOKUP($A18, 'Hospitalisation Details'!$A:$O, 15, FALSE)</f>
        <v>64</v>
      </c>
    </row>
    <row r="19">
      <c r="A19" s="33" t="s">
        <v>37</v>
      </c>
      <c r="B19" s="22" t="str">
        <f>VLOOKUP($A19,'Customer Names'!$A:$D,3, FALSE)</f>
        <v>Noordstar</v>
      </c>
      <c r="C19" s="22">
        <f>VLOOKUP($A19,'Medical Examinations'!$A:$D, 2, FALSE)</f>
        <v>36.765</v>
      </c>
      <c r="D19" s="22">
        <f>VLOOKUP($A19, 'Medical Examinations'!$A:$D,3, FALSE)</f>
        <v>7.29</v>
      </c>
      <c r="E19" s="22" t="str">
        <f>VLOOKUP($A19, 'Medical Examinations'!$A:$D, 4, FALSE)</f>
        <v>Yes</v>
      </c>
      <c r="F19" s="22" t="str">
        <f>VLOOKUP($A19, 'Medical Examinations'!$A:$J, 5, FALSE)</f>
        <v>No</v>
      </c>
      <c r="G19" s="22" t="str">
        <f>VLOOKUP($A19, 'Medical Examinations'!$A:$I, 6, FALSE)</f>
        <v>Yes</v>
      </c>
      <c r="H19" s="22">
        <f>VLOOKUP($A19,'Medical Examinations'!$A:$L,10, FALSE)</f>
        <v>1</v>
      </c>
      <c r="I19" s="22" t="str">
        <f>VLOOKUP($A19, 'Medical Examinations'!$A:$J, 9, FALSE)</f>
        <v>Yes</v>
      </c>
      <c r="J19" s="22" t="str">
        <f>VLOOKUP($A19, 'Medical Examinations'!$A:$P, 11, FALSE)</f>
        <v>OBESITY</v>
      </c>
      <c r="K19" s="34">
        <v>29453.0</v>
      </c>
      <c r="L19" s="35">
        <f>VLOOKUP($A19, 'Hospitalisation Details'!$A:$H, 7, FALSE)</f>
        <v>47896.79</v>
      </c>
      <c r="M19" s="22" t="str">
        <f>VLOOKUP($A19, 'Hospitalisation Details'!$A:$L, 12, FALSE)</f>
        <v>tier - 1</v>
      </c>
      <c r="N19" s="22" t="str">
        <f>VLOOKUP($A19, 'Hospitalisation Details'!$A:$M, 13, FALSE)</f>
        <v>tier - 3</v>
      </c>
      <c r="O19" s="22" t="str">
        <f>VLOOKUP($A19, 'Hospitalisation Details'!$A:$N, 14, FALSE)</f>
        <v>R1024</v>
      </c>
      <c r="P19" s="36">
        <f>VLOOKUP($A19, 'Hospitalisation Details'!$A:$O, 15, FALSE)</f>
        <v>59</v>
      </c>
    </row>
    <row r="20">
      <c r="A20" s="33" t="s">
        <v>39</v>
      </c>
      <c r="B20" s="22" t="str">
        <f>VLOOKUP($A20,'Customer Names'!$A:$D,3, FALSE)</f>
        <v>Boudalia</v>
      </c>
      <c r="C20" s="22">
        <f>VLOOKUP($A20,'Medical Examinations'!$A:$D, 2, FALSE)</f>
        <v>36.955</v>
      </c>
      <c r="D20" s="22">
        <f>VLOOKUP($A20, 'Medical Examinations'!$A:$D,3, FALSE)</f>
        <v>4.72</v>
      </c>
      <c r="E20" s="22" t="str">
        <f>VLOOKUP($A20, 'Medical Examinations'!$A:$D, 4, FALSE)</f>
        <v>Yes</v>
      </c>
      <c r="F20" s="22" t="str">
        <f>VLOOKUP($A20, 'Medical Examinations'!$A:$J, 5, FALSE)</f>
        <v>No</v>
      </c>
      <c r="G20" s="22" t="str">
        <f>VLOOKUP($A20, 'Medical Examinations'!$A:$I, 6, FALSE)</f>
        <v>No</v>
      </c>
      <c r="H20" s="22">
        <f>VLOOKUP($A20,'Medical Examinations'!$A:$L,10, FALSE)</f>
        <v>1</v>
      </c>
      <c r="I20" s="22" t="str">
        <f>VLOOKUP($A20, 'Medical Examinations'!$A:$J, 9, FALSE)</f>
        <v>Yes</v>
      </c>
      <c r="J20" s="22" t="str">
        <f>VLOOKUP($A20, 'Medical Examinations'!$A:$P, 11, FALSE)</f>
        <v>OBESITY</v>
      </c>
      <c r="K20" s="34">
        <v>24293.0</v>
      </c>
      <c r="L20" s="35">
        <f>VLOOKUP($A20, 'Hospitalisation Details'!$A:$H, 7, FALSE)</f>
        <v>47496.49</v>
      </c>
      <c r="M20" s="22" t="str">
        <f>VLOOKUP($A20, 'Hospitalisation Details'!$A:$L, 12, FALSE)</f>
        <v>tier - 1</v>
      </c>
      <c r="N20" s="22" t="str">
        <f>VLOOKUP($A20, 'Hospitalisation Details'!$A:$M, 13, FALSE)</f>
        <v>tier - 3</v>
      </c>
      <c r="O20" s="22" t="str">
        <f>VLOOKUP($A20, 'Hospitalisation Details'!$A:$N, 14, FALSE)</f>
        <v>R1012</v>
      </c>
      <c r="P20" s="36">
        <f>VLOOKUP($A20, 'Hospitalisation Details'!$A:$O, 15, FALSE)</f>
        <v>58</v>
      </c>
    </row>
    <row r="21" ht="15.75" customHeight="1">
      <c r="A21" s="33" t="s">
        <v>41</v>
      </c>
      <c r="B21" s="22" t="str">
        <f>VLOOKUP($A21,'Customer Names'!$A:$D,3, FALSE)</f>
        <v>Flor</v>
      </c>
      <c r="C21" s="22">
        <f>VLOOKUP($A21,'Medical Examinations'!$A:$D, 2, FALSE)</f>
        <v>42.9</v>
      </c>
      <c r="D21" s="22">
        <f>VLOOKUP($A21, 'Medical Examinations'!$A:$D,3, FALSE)</f>
        <v>11.41</v>
      </c>
      <c r="E21" s="22" t="str">
        <f>VLOOKUP($A21, 'Medical Examinations'!$A:$D, 4, FALSE)</f>
        <v>No</v>
      </c>
      <c r="F21" s="22" t="str">
        <f>VLOOKUP($A21, 'Medical Examinations'!$A:$J, 5, FALSE)</f>
        <v>No</v>
      </c>
      <c r="G21" s="22" t="str">
        <f>VLOOKUP($A21, 'Medical Examinations'!$A:$I, 6, FALSE)</f>
        <v>No</v>
      </c>
      <c r="H21" s="22">
        <f>VLOOKUP($A21,'Medical Examinations'!$A:$L,10, FALSE)</f>
        <v>0</v>
      </c>
      <c r="I21" s="22" t="str">
        <f>VLOOKUP($A21, 'Medical Examinations'!$A:$J, 9, FALSE)</f>
        <v>Yes</v>
      </c>
      <c r="J21" s="22" t="str">
        <f>VLOOKUP($A21, 'Medical Examinations'!$A:$P, 11, FALSE)</f>
        <v>OBESITY</v>
      </c>
      <c r="K21" s="34">
        <v>29863.0</v>
      </c>
      <c r="L21" s="35">
        <f>VLOOKUP($A21, 'Hospitalisation Details'!$A:$H, 7, FALSE)</f>
        <v>47462.89</v>
      </c>
      <c r="M21" s="22" t="str">
        <f>VLOOKUP($A21, 'Hospitalisation Details'!$A:$L, 12, FALSE)</f>
        <v>tier - 1</v>
      </c>
      <c r="N21" s="22" t="str">
        <f>VLOOKUP($A21, 'Hospitalisation Details'!$A:$M, 13, FALSE)</f>
        <v>tier - 2</v>
      </c>
      <c r="O21" s="22" t="str">
        <f>VLOOKUP($A21, 'Hospitalisation Details'!$A:$N, 14, FALSE)</f>
        <v>R1013</v>
      </c>
      <c r="P21" s="36">
        <f>VLOOKUP($A21, 'Hospitalisation Details'!$A:$O, 15, FALSE)</f>
        <v>51</v>
      </c>
    </row>
    <row r="22" ht="15.75" customHeight="1">
      <c r="A22" s="33" t="s">
        <v>43</v>
      </c>
      <c r="B22" s="22" t="str">
        <f>VLOOKUP($A22,'Customer Names'!$A:$D,3, FALSE)</f>
        <v>Fennon</v>
      </c>
      <c r="C22" s="22">
        <f>VLOOKUP($A22,'Medical Examinations'!$A:$D, 2, FALSE)</f>
        <v>36.3</v>
      </c>
      <c r="D22" s="22">
        <f>VLOOKUP($A22, 'Medical Examinations'!$A:$D,3, FALSE)</f>
        <v>11.5</v>
      </c>
      <c r="E22" s="22" t="str">
        <f>VLOOKUP($A22, 'Medical Examinations'!$A:$D, 4, FALSE)</f>
        <v>Yes</v>
      </c>
      <c r="F22" s="22" t="str">
        <f>VLOOKUP($A22, 'Medical Examinations'!$A:$J, 5, FALSE)</f>
        <v>No</v>
      </c>
      <c r="G22" s="22" t="str">
        <f>VLOOKUP($A22, 'Medical Examinations'!$A:$I, 6, FALSE)</f>
        <v>No</v>
      </c>
      <c r="H22" s="22">
        <f>VLOOKUP($A22,'Medical Examinations'!$A:$L,10, FALSE)</f>
        <v>2</v>
      </c>
      <c r="I22" s="22" t="str">
        <f>VLOOKUP($A22, 'Medical Examinations'!$A:$J, 9, FALSE)</f>
        <v>Yes</v>
      </c>
      <c r="J22" s="22" t="str">
        <f>VLOOKUP($A22, 'Medical Examinations'!$A:$P, 11, FALSE)</f>
        <v>OBESITY</v>
      </c>
      <c r="K22" s="34">
        <v>24359.0</v>
      </c>
      <c r="L22" s="35">
        <f>VLOOKUP($A22, 'Hospitalisation Details'!$A:$H, 7, FALSE)</f>
        <v>47403.88</v>
      </c>
      <c r="M22" s="22" t="str">
        <f>VLOOKUP($A22, 'Hospitalisation Details'!$A:$L, 12, FALSE)</f>
        <v>tier - 1</v>
      </c>
      <c r="N22" s="22" t="str">
        <f>VLOOKUP($A22, 'Hospitalisation Details'!$A:$M, 13, FALSE)</f>
        <v>tier - 3</v>
      </c>
      <c r="O22" s="22" t="str">
        <f>VLOOKUP($A22, 'Hospitalisation Details'!$A:$N, 14, FALSE)</f>
        <v>R1011</v>
      </c>
      <c r="P22" s="36">
        <f>VLOOKUP($A22, 'Hospitalisation Details'!$A:$O, 15, FALSE)</f>
        <v>61</v>
      </c>
    </row>
    <row r="23" ht="15.75" customHeight="1">
      <c r="A23" s="33" t="s">
        <v>45</v>
      </c>
      <c r="B23" s="22" t="str">
        <f>VLOOKUP($A23,'Customer Names'!$A:$D,3, FALSE)</f>
        <v>Hribar</v>
      </c>
      <c r="C23" s="22">
        <f>VLOOKUP($A23,'Medical Examinations'!$A:$D, 2, FALSE)</f>
        <v>32.2</v>
      </c>
      <c r="D23" s="22">
        <f>VLOOKUP($A23, 'Medical Examinations'!$A:$D,3, FALSE)</f>
        <v>6.22</v>
      </c>
      <c r="E23" s="22" t="str">
        <f>VLOOKUP($A23, 'Medical Examinations'!$A:$D, 4, FALSE)</f>
        <v>Yes</v>
      </c>
      <c r="F23" s="22" t="str">
        <f>VLOOKUP($A23, 'Medical Examinations'!$A:$J, 5, FALSE)</f>
        <v>No</v>
      </c>
      <c r="G23" s="22" t="str">
        <f>VLOOKUP($A23, 'Medical Examinations'!$A:$I, 6, FALSE)</f>
        <v>No</v>
      </c>
      <c r="H23" s="22">
        <f>VLOOKUP($A23,'Medical Examinations'!$A:$L,10, FALSE)</f>
        <v>2</v>
      </c>
      <c r="I23" s="22" t="str">
        <f>VLOOKUP($A23, 'Medical Examinations'!$A:$J, 9, FALSE)</f>
        <v>Yes</v>
      </c>
      <c r="J23" s="22" t="str">
        <f>VLOOKUP($A23, 'Medical Examinations'!$A:$P, 11, FALSE)</f>
        <v>OBESITY</v>
      </c>
      <c r="K23" s="34">
        <v>26579.0</v>
      </c>
      <c r="L23" s="35">
        <f>VLOOKUP($A23, 'Hospitalisation Details'!$A:$H, 7, FALSE)</f>
        <v>47305.31</v>
      </c>
      <c r="M23" s="22" t="str">
        <f>VLOOKUP($A23, 'Hospitalisation Details'!$A:$L, 12, FALSE)</f>
        <v>tier - 2</v>
      </c>
      <c r="N23" s="22" t="str">
        <f>VLOOKUP($A23, 'Hospitalisation Details'!$A:$M, 13, FALSE)</f>
        <v>tier - 1</v>
      </c>
      <c r="O23" s="22" t="str">
        <f>VLOOKUP($A23, 'Hospitalisation Details'!$A:$N, 14, FALSE)</f>
        <v>R1011</v>
      </c>
      <c r="P23" s="36">
        <f>VLOOKUP($A23, 'Hospitalisation Details'!$A:$O, 15, FALSE)</f>
        <v>63</v>
      </c>
    </row>
    <row r="24" ht="15.75" customHeight="1">
      <c r="A24" s="33" t="s">
        <v>47</v>
      </c>
      <c r="B24" s="22" t="str">
        <f>VLOOKUP($A24,'Customer Names'!$A:$D,3, FALSE)</f>
        <v>Tassello</v>
      </c>
      <c r="C24" s="22">
        <f>VLOOKUP($A24,'Medical Examinations'!$A:$D, 2, FALSE)</f>
        <v>31.3</v>
      </c>
      <c r="D24" s="22">
        <f>VLOOKUP($A24, 'Medical Examinations'!$A:$D,3, FALSE)</f>
        <v>11.38</v>
      </c>
      <c r="E24" s="22" t="str">
        <f>VLOOKUP($A24, 'Medical Examinations'!$A:$D, 4, FALSE)</f>
        <v>No</v>
      </c>
      <c r="F24" s="22" t="str">
        <f>VLOOKUP($A24, 'Medical Examinations'!$A:$J, 5, FALSE)</f>
        <v>No</v>
      </c>
      <c r="G24" s="22" t="str">
        <f>VLOOKUP($A24, 'Medical Examinations'!$A:$I, 6, FALSE)</f>
        <v>No</v>
      </c>
      <c r="H24" s="22">
        <f>VLOOKUP($A24,'Medical Examinations'!$A:$L,10, FALSE)</f>
        <v>3</v>
      </c>
      <c r="I24" s="22" t="str">
        <f>VLOOKUP($A24, 'Medical Examinations'!$A:$J, 9, FALSE)</f>
        <v>Yes</v>
      </c>
      <c r="J24" s="22" t="str">
        <f>VLOOKUP($A24, 'Medical Examinations'!$A:$P, 11, FALSE)</f>
        <v>OBESITY</v>
      </c>
      <c r="K24" s="34">
        <v>24719.0</v>
      </c>
      <c r="L24" s="35">
        <f>VLOOKUP($A24, 'Hospitalisation Details'!$A:$H, 7, FALSE)</f>
        <v>47291.06</v>
      </c>
      <c r="M24" s="22" t="str">
        <f>VLOOKUP($A24, 'Hospitalisation Details'!$A:$L, 12, FALSE)</f>
        <v>tier - 2</v>
      </c>
      <c r="N24" s="22" t="str">
        <f>VLOOKUP($A24, 'Hospitalisation Details'!$A:$M, 13, FALSE)</f>
        <v>tier - 1</v>
      </c>
      <c r="O24" s="22" t="str">
        <f>VLOOKUP($A24, 'Hospitalisation Details'!$A:$N, 14, FALSE)</f>
        <v>R1011</v>
      </c>
      <c r="P24" s="36">
        <f>VLOOKUP($A24, 'Hospitalisation Details'!$A:$O, 15, FALSE)</f>
        <v>64</v>
      </c>
    </row>
    <row r="25" ht="15.75" customHeight="1">
      <c r="A25" s="33" t="s">
        <v>49</v>
      </c>
      <c r="B25" s="22" t="str">
        <f>VLOOKUP($A25,'Customer Names'!$A:$D,3, FALSE)</f>
        <v>Mauricette</v>
      </c>
      <c r="C25" s="22">
        <f>VLOOKUP($A25,'Medical Examinations'!$A:$D, 2, FALSE)</f>
        <v>41.8</v>
      </c>
      <c r="D25" s="22">
        <f>VLOOKUP($A25, 'Medical Examinations'!$A:$D,3, FALSE)</f>
        <v>7.89</v>
      </c>
      <c r="E25" s="22" t="str">
        <f>VLOOKUP($A25, 'Medical Examinations'!$A:$D, 4, FALSE)</f>
        <v>Yes</v>
      </c>
      <c r="F25" s="22" t="str">
        <f>VLOOKUP($A25, 'Medical Examinations'!$A:$J, 5, FALSE)</f>
        <v>No</v>
      </c>
      <c r="G25" s="22" t="str">
        <f>VLOOKUP($A25, 'Medical Examinations'!$A:$I, 6, FALSE)</f>
        <v>No</v>
      </c>
      <c r="H25" s="22">
        <f>VLOOKUP($A25,'Medical Examinations'!$A:$L,10, FALSE)</f>
        <v>2</v>
      </c>
      <c r="I25" s="22" t="str">
        <f>VLOOKUP($A25, 'Medical Examinations'!$A:$J, 9, FALSE)</f>
        <v>Yes</v>
      </c>
      <c r="J25" s="22" t="str">
        <f>VLOOKUP($A25, 'Medical Examinations'!$A:$P, 11, FALSE)</f>
        <v>OBESITY</v>
      </c>
      <c r="K25" s="34">
        <v>24431.0</v>
      </c>
      <c r="L25" s="35">
        <f>VLOOKUP($A25, 'Hospitalisation Details'!$A:$H, 7, FALSE)</f>
        <v>47269.85</v>
      </c>
      <c r="M25" s="22" t="str">
        <f>VLOOKUP($A25, 'Hospitalisation Details'!$A:$L, 12, FALSE)</f>
        <v>tier - 1</v>
      </c>
      <c r="N25" s="22" t="str">
        <f>VLOOKUP($A25, 'Hospitalisation Details'!$A:$M, 13, FALSE)</f>
        <v>tier - 2</v>
      </c>
      <c r="O25" s="22" t="str">
        <f>VLOOKUP($A25, 'Hospitalisation Details'!$A:$N, 14, FALSE)</f>
        <v>R1013</v>
      </c>
      <c r="P25" s="36">
        <f>VLOOKUP($A25, 'Hospitalisation Details'!$A:$O, 15, FALSE)</f>
        <v>52</v>
      </c>
    </row>
    <row r="26" ht="15.75" customHeight="1">
      <c r="A26" s="33" t="s">
        <v>51</v>
      </c>
      <c r="B26" s="22" t="str">
        <f>VLOOKUP($A26,'Customer Names'!$A:$D,3, FALSE)</f>
        <v>Garcia</v>
      </c>
      <c r="C26" s="22">
        <f>VLOOKUP($A26,'Medical Examinations'!$A:$D, 2, FALSE)</f>
        <v>35.09</v>
      </c>
      <c r="D26" s="22">
        <f>VLOOKUP($A26, 'Medical Examinations'!$A:$D,3, FALSE)</f>
        <v>4.38</v>
      </c>
      <c r="E26" s="22" t="str">
        <f>VLOOKUP($A26, 'Medical Examinations'!$A:$D, 4, FALSE)</f>
        <v>Yes</v>
      </c>
      <c r="F26" s="22" t="str">
        <f>VLOOKUP($A26, 'Medical Examinations'!$A:$J, 5, FALSE)</f>
        <v>No</v>
      </c>
      <c r="G26" s="22" t="str">
        <f>VLOOKUP($A26, 'Medical Examinations'!$A:$I, 6, FALSE)</f>
        <v>No</v>
      </c>
      <c r="H26" s="22">
        <f>VLOOKUP($A26,'Medical Examinations'!$A:$L,10, FALSE)</f>
        <v>2</v>
      </c>
      <c r="I26" s="22" t="str">
        <f>VLOOKUP($A26, 'Medical Examinations'!$A:$J, 9, FALSE)</f>
        <v>Yes</v>
      </c>
      <c r="J26" s="22" t="str">
        <f>VLOOKUP($A26, 'Medical Examinations'!$A:$P, 11, FALSE)</f>
        <v>OBESITY</v>
      </c>
      <c r="K26" s="34">
        <v>24418.0</v>
      </c>
      <c r="L26" s="35">
        <f>VLOOKUP($A26, 'Hospitalisation Details'!$A:$H, 7, FALSE)</f>
        <v>47055.53</v>
      </c>
      <c r="M26" s="22" t="str">
        <f>VLOOKUP($A26, 'Hospitalisation Details'!$A:$L, 12, FALSE)</f>
        <v>tier - 2</v>
      </c>
      <c r="N26" s="22" t="str">
        <f>VLOOKUP($A26, 'Hospitalisation Details'!$A:$M, 13, FALSE)</f>
        <v>tier - 1</v>
      </c>
      <c r="O26" s="22" t="str">
        <f>VLOOKUP($A26, 'Hospitalisation Details'!$A:$N, 14, FALSE)</f>
        <v>R1013</v>
      </c>
      <c r="P26" s="36">
        <f>VLOOKUP($A26, 'Hospitalisation Details'!$A:$O, 15, FALSE)</f>
        <v>63</v>
      </c>
    </row>
    <row r="27" ht="15.75" customHeight="1">
      <c r="A27" s="33" t="s">
        <v>53</v>
      </c>
      <c r="B27" s="22" t="str">
        <f>VLOOKUP($A27,'Customer Names'!$A:$D,3, FALSE)</f>
        <v>Airoldi</v>
      </c>
      <c r="C27" s="22">
        <f>VLOOKUP($A27,'Medical Examinations'!$A:$D, 2, FALSE)</f>
        <v>33.88</v>
      </c>
      <c r="D27" s="22">
        <f>VLOOKUP($A27, 'Medical Examinations'!$A:$D,3, FALSE)</f>
        <v>7.01</v>
      </c>
      <c r="E27" s="22" t="str">
        <f>VLOOKUP($A27, 'Medical Examinations'!$A:$D, 4, FALSE)</f>
        <v>No</v>
      </c>
      <c r="F27" s="22" t="str">
        <f>VLOOKUP($A27, 'Medical Examinations'!$A:$J, 5, FALSE)</f>
        <v>No</v>
      </c>
      <c r="G27" s="22" t="str">
        <f>VLOOKUP($A27, 'Medical Examinations'!$A:$I, 6, FALSE)</f>
        <v>No</v>
      </c>
      <c r="H27" s="22">
        <f>VLOOKUP($A27,'Medical Examinations'!$A:$L,10, FALSE)</f>
        <v>3</v>
      </c>
      <c r="I27" s="22" t="str">
        <f>VLOOKUP($A27, 'Medical Examinations'!$A:$J, 9, FALSE)</f>
        <v>Yes</v>
      </c>
      <c r="J27" s="22" t="str">
        <f>VLOOKUP($A27, 'Medical Examinations'!$A:$P, 11, FALSE)</f>
        <v>OBESITY</v>
      </c>
      <c r="K27" s="34">
        <v>26246.0</v>
      </c>
      <c r="L27" s="35">
        <f>VLOOKUP($A27, 'Hospitalisation Details'!$A:$H, 7, FALSE)</f>
        <v>46889.26</v>
      </c>
      <c r="M27" s="22" t="str">
        <f>VLOOKUP($A27, 'Hospitalisation Details'!$A:$L, 12, FALSE)</f>
        <v>tier - 2</v>
      </c>
      <c r="N27" s="22" t="str">
        <f>VLOOKUP($A27, 'Hospitalisation Details'!$A:$M, 13, FALSE)</f>
        <v>tier - 3</v>
      </c>
      <c r="O27" s="22" t="str">
        <f>VLOOKUP($A27, 'Hospitalisation Details'!$A:$N, 14, FALSE)</f>
        <v>R1013</v>
      </c>
      <c r="P27" s="36">
        <f>VLOOKUP($A27, 'Hospitalisation Details'!$A:$O, 15, FALSE)</f>
        <v>64</v>
      </c>
    </row>
    <row r="28" ht="15.75" customHeight="1">
      <c r="A28" s="33" t="s">
        <v>55</v>
      </c>
      <c r="B28" s="22" t="str">
        <f>VLOOKUP($A28,'Customer Names'!$A:$D,3, FALSE)</f>
        <v>Cater-Cyker</v>
      </c>
      <c r="C28" s="22">
        <f>VLOOKUP($A28,'Medical Examinations'!$A:$D, 2, FALSE)</f>
        <v>30.875</v>
      </c>
      <c r="D28" s="22">
        <f>VLOOKUP($A28, 'Medical Examinations'!$A:$D,3, FALSE)</f>
        <v>11.88</v>
      </c>
      <c r="E28" s="22" t="str">
        <f>VLOOKUP($A28, 'Medical Examinations'!$A:$D, 4, FALSE)</f>
        <v>No</v>
      </c>
      <c r="F28" s="22" t="str">
        <f>VLOOKUP($A28, 'Medical Examinations'!$A:$J, 5, FALSE)</f>
        <v>No</v>
      </c>
      <c r="G28" s="22" t="str">
        <f>VLOOKUP($A28, 'Medical Examinations'!$A:$I, 6, FALSE)</f>
        <v>No</v>
      </c>
      <c r="H28" s="22">
        <f>VLOOKUP($A28,'Medical Examinations'!$A:$L,10, FALSE)</f>
        <v>0</v>
      </c>
      <c r="I28" s="22" t="str">
        <f>VLOOKUP($A28, 'Medical Examinations'!$A:$J, 9, FALSE)</f>
        <v>Yes</v>
      </c>
      <c r="J28" s="22" t="str">
        <f>VLOOKUP($A28, 'Medical Examinations'!$A:$P, 11, FALSE)</f>
        <v>OBESITY</v>
      </c>
      <c r="K28" s="34">
        <v>36787.0</v>
      </c>
      <c r="L28" s="35">
        <f>VLOOKUP($A28, 'Hospitalisation Details'!$A:$H, 7, FALSE)</f>
        <v>46718.16</v>
      </c>
      <c r="M28" s="22" t="str">
        <f>VLOOKUP($A28, 'Hospitalisation Details'!$A:$L, 12, FALSE)</f>
        <v>tier - 1</v>
      </c>
      <c r="N28" s="22" t="str">
        <f>VLOOKUP($A28, 'Hospitalisation Details'!$A:$M, 13, FALSE)</f>
        <v>tier - 1</v>
      </c>
      <c r="O28" s="22" t="str">
        <f>VLOOKUP($A28, 'Hospitalisation Details'!$A:$N, 14, FALSE)</f>
        <v>R1012</v>
      </c>
      <c r="P28" s="36">
        <f>VLOOKUP($A28, 'Hospitalisation Details'!$A:$O, 15, FALSE)</f>
        <v>62</v>
      </c>
    </row>
    <row r="29" ht="15.75" customHeight="1">
      <c r="A29" s="33" t="s">
        <v>57</v>
      </c>
      <c r="B29" s="22" t="str">
        <f>VLOOKUP($A29,'Customer Names'!$A:$D,3, FALSE)</f>
        <v>Hamm</v>
      </c>
      <c r="C29" s="22">
        <f>VLOOKUP($A29,'Medical Examinations'!$A:$D, 2, FALSE)</f>
        <v>36.86</v>
      </c>
      <c r="D29" s="22">
        <f>VLOOKUP($A29, 'Medical Examinations'!$A:$D,3, FALSE)</f>
        <v>5.19</v>
      </c>
      <c r="E29" s="22" t="str">
        <f>VLOOKUP($A29, 'Medical Examinations'!$A:$D, 4, FALSE)</f>
        <v>Yes</v>
      </c>
      <c r="F29" s="22" t="str">
        <f>VLOOKUP($A29, 'Medical Examinations'!$A:$J, 5, FALSE)</f>
        <v>No</v>
      </c>
      <c r="G29" s="22" t="str">
        <f>VLOOKUP($A29, 'Medical Examinations'!$A:$I, 6, FALSE)</f>
        <v>Yes</v>
      </c>
      <c r="H29" s="22">
        <f>VLOOKUP($A29,'Medical Examinations'!$A:$L,10, FALSE)</f>
        <v>1</v>
      </c>
      <c r="I29" s="22" t="str">
        <f>VLOOKUP($A29, 'Medical Examinations'!$A:$J, 9, FALSE)</f>
        <v>Yes</v>
      </c>
      <c r="J29" s="22" t="str">
        <f>VLOOKUP($A29, 'Medical Examinations'!$A:$P, 11, FALSE)</f>
        <v>OBESITY</v>
      </c>
      <c r="K29" s="34">
        <v>37242.0</v>
      </c>
      <c r="L29" s="35">
        <f>VLOOKUP($A29, 'Hospitalisation Details'!$A:$H, 7, FALSE)</f>
        <v>46661.44</v>
      </c>
      <c r="M29" s="22" t="str">
        <f>VLOOKUP($A29, 'Hospitalisation Details'!$A:$L, 12, FALSE)</f>
        <v>tier - 1</v>
      </c>
      <c r="N29" s="22" t="str">
        <f>VLOOKUP($A29, 'Hospitalisation Details'!$A:$M, 13, FALSE)</f>
        <v>tier - 3</v>
      </c>
      <c r="O29" s="22" t="str">
        <f>VLOOKUP($A29, 'Hospitalisation Details'!$A:$N, 14, FALSE)</f>
        <v>R1012</v>
      </c>
      <c r="P29" s="36">
        <f>VLOOKUP($A29, 'Hospitalisation Details'!$A:$O, 15, FALSE)</f>
        <v>53</v>
      </c>
    </row>
    <row r="30" ht="15.75" customHeight="1">
      <c r="A30" s="33" t="s">
        <v>59</v>
      </c>
      <c r="B30" s="22" t="str">
        <f>VLOOKUP($A30,'Customer Names'!$A:$D,3, FALSE)</f>
        <v>Cox</v>
      </c>
      <c r="C30" s="22">
        <f>VLOOKUP($A30,'Medical Examinations'!$A:$D, 2, FALSE)</f>
        <v>35.86</v>
      </c>
      <c r="D30" s="22">
        <f>VLOOKUP($A30, 'Medical Examinations'!$A:$D,3, FALSE)</f>
        <v>6.74</v>
      </c>
      <c r="E30" s="22" t="str">
        <f>VLOOKUP($A30, 'Medical Examinations'!$A:$D, 4, FALSE)</f>
        <v>Yes</v>
      </c>
      <c r="F30" s="22" t="str">
        <f>VLOOKUP($A30, 'Medical Examinations'!$A:$J, 5, FALSE)</f>
        <v>No</v>
      </c>
      <c r="G30" s="22" t="str">
        <f>VLOOKUP($A30, 'Medical Examinations'!$A:$I, 6, FALSE)</f>
        <v>No</v>
      </c>
      <c r="H30" s="22">
        <f>VLOOKUP($A30,'Medical Examinations'!$A:$L,10, FALSE)</f>
        <v>2</v>
      </c>
      <c r="I30" s="22" t="str">
        <f>VLOOKUP($A30, 'Medical Examinations'!$A:$J, 9, FALSE)</f>
        <v>Yes</v>
      </c>
      <c r="J30" s="22" t="str">
        <f>VLOOKUP($A30, 'Medical Examinations'!$A:$P, 11, FALSE)</f>
        <v>OBESITY</v>
      </c>
      <c r="K30" s="34">
        <v>27271.0</v>
      </c>
      <c r="L30" s="35">
        <f>VLOOKUP($A30, 'Hospitalisation Details'!$A:$H, 7, FALSE)</f>
        <v>46599.11</v>
      </c>
      <c r="M30" s="22" t="str">
        <f>VLOOKUP($A30, 'Hospitalisation Details'!$A:$L, 12, FALSE)</f>
        <v>tier - 1</v>
      </c>
      <c r="N30" s="22" t="str">
        <f>VLOOKUP($A30, 'Hospitalisation Details'!$A:$M, 13, FALSE)</f>
        <v>tier - 1</v>
      </c>
      <c r="O30" s="22" t="str">
        <f>VLOOKUP($A30, 'Hospitalisation Details'!$A:$N, 14, FALSE)</f>
        <v>R1013</v>
      </c>
      <c r="P30" s="36">
        <f>VLOOKUP($A30, 'Hospitalisation Details'!$A:$O, 15, FALSE)</f>
        <v>61</v>
      </c>
    </row>
    <row r="31" ht="15.75" customHeight="1">
      <c r="A31" s="33" t="s">
        <v>61</v>
      </c>
      <c r="B31" s="22" t="str">
        <f>VLOOKUP($A31,'Customer Names'!$A:$D,3, FALSE)</f>
        <v>Sachrajda</v>
      </c>
      <c r="C31" s="22">
        <f>VLOOKUP($A31,'Medical Examinations'!$A:$D, 2, FALSE)</f>
        <v>37.05</v>
      </c>
      <c r="D31" s="22">
        <f>VLOOKUP($A31, 'Medical Examinations'!$A:$D,3, FALSE)</f>
        <v>8.44</v>
      </c>
      <c r="E31" s="22" t="str">
        <f>VLOOKUP($A31, 'Medical Examinations'!$A:$D, 4, FALSE)</f>
        <v>No</v>
      </c>
      <c r="F31" s="22" t="str">
        <f>VLOOKUP($A31, 'Medical Examinations'!$A:$J, 5, FALSE)</f>
        <v>No</v>
      </c>
      <c r="G31" s="22" t="str">
        <f>VLOOKUP($A31, 'Medical Examinations'!$A:$I, 6, FALSE)</f>
        <v>No</v>
      </c>
      <c r="H31" s="22">
        <f>VLOOKUP($A31,'Medical Examinations'!$A:$L,10, FALSE)</f>
        <v>0</v>
      </c>
      <c r="I31" s="22" t="str">
        <f>VLOOKUP($A31, 'Medical Examinations'!$A:$J, 9, FALSE)</f>
        <v>Yes</v>
      </c>
      <c r="J31" s="22" t="str">
        <f>VLOOKUP($A31, 'Medical Examinations'!$A:$P, 11, FALSE)</f>
        <v>OBESITY</v>
      </c>
      <c r="K31" s="34">
        <v>32806.0</v>
      </c>
      <c r="L31" s="35">
        <f>VLOOKUP($A31, 'Hospitalisation Details'!$A:$H, 7, FALSE)</f>
        <v>46255.11</v>
      </c>
      <c r="M31" s="22" t="str">
        <f>VLOOKUP($A31, 'Hospitalisation Details'!$A:$L, 12, FALSE)</f>
        <v>tier - 1</v>
      </c>
      <c r="N31" s="22" t="str">
        <f>VLOOKUP($A31, 'Hospitalisation Details'!$A:$M, 13, FALSE)</f>
        <v>tier - 3</v>
      </c>
      <c r="O31" s="22" t="str">
        <f>VLOOKUP($A31, 'Hospitalisation Details'!$A:$N, 14, FALSE)</f>
        <v>R1024</v>
      </c>
      <c r="P31" s="36">
        <f>VLOOKUP($A31, 'Hospitalisation Details'!$A:$O, 15, FALSE)</f>
        <v>51</v>
      </c>
    </row>
    <row r="32" ht="15.75" customHeight="1">
      <c r="A32" s="33" t="s">
        <v>63</v>
      </c>
      <c r="B32" s="22" t="str">
        <f>VLOOKUP($A32,'Customer Names'!$A:$D,3, FALSE)</f>
        <v>Gareri</v>
      </c>
      <c r="C32" s="22">
        <f>VLOOKUP($A32,'Medical Examinations'!$A:$D, 2, FALSE)</f>
        <v>43.89</v>
      </c>
      <c r="D32" s="22">
        <f>VLOOKUP($A32, 'Medical Examinations'!$A:$D,3, FALSE)</f>
        <v>8.71</v>
      </c>
      <c r="E32" s="22" t="str">
        <f>VLOOKUP($A32, 'Medical Examinations'!$A:$D, 4, FALSE)</f>
        <v>No</v>
      </c>
      <c r="F32" s="22" t="str">
        <f>VLOOKUP($A32, 'Medical Examinations'!$A:$J, 5, FALSE)</f>
        <v>No</v>
      </c>
      <c r="G32" s="22" t="str">
        <f>VLOOKUP($A32, 'Medical Examinations'!$A:$I, 6, FALSE)</f>
        <v>No</v>
      </c>
      <c r="H32" s="22">
        <f>VLOOKUP($A32,'Medical Examinations'!$A:$L,10, FALSE)</f>
        <v>0</v>
      </c>
      <c r="I32" s="22" t="str">
        <f>VLOOKUP($A32, 'Medical Examinations'!$A:$J, 9, FALSE)</f>
        <v>Yes</v>
      </c>
      <c r="J32" s="22" t="str">
        <f>VLOOKUP($A32, 'Medical Examinations'!$A:$P, 11, FALSE)</f>
        <v>OBESITY</v>
      </c>
      <c r="K32" s="34">
        <v>29795.0</v>
      </c>
      <c r="L32" s="35">
        <f>VLOOKUP($A32, 'Hospitalisation Details'!$A:$H, 7, FALSE)</f>
        <v>46200.99</v>
      </c>
      <c r="M32" s="22" t="str">
        <f>VLOOKUP($A32, 'Hospitalisation Details'!$A:$L, 12, FALSE)</f>
        <v>tier - 1</v>
      </c>
      <c r="N32" s="22" t="str">
        <f>VLOOKUP($A32, 'Hospitalisation Details'!$A:$M, 13, FALSE)</f>
        <v>tier - 1</v>
      </c>
      <c r="O32" s="22" t="str">
        <f>VLOOKUP($A32, 'Hospitalisation Details'!$A:$N, 14, FALSE)</f>
        <v>R1013</v>
      </c>
      <c r="P32" s="36">
        <f>VLOOKUP($A32, 'Hospitalisation Details'!$A:$O, 15, FALSE)</f>
        <v>44</v>
      </c>
    </row>
    <row r="33" ht="15.75" customHeight="1">
      <c r="A33" s="33" t="s">
        <v>65</v>
      </c>
      <c r="B33" s="22" t="str">
        <f>VLOOKUP($A33,'Customer Names'!$A:$D,3, FALSE)</f>
        <v>Welch</v>
      </c>
      <c r="C33" s="22">
        <f>VLOOKUP($A33,'Medical Examinations'!$A:$D, 2, FALSE)</f>
        <v>42.35</v>
      </c>
      <c r="D33" s="22">
        <f>VLOOKUP($A33, 'Medical Examinations'!$A:$D,3, FALSE)</f>
        <v>5.08</v>
      </c>
      <c r="E33" s="22" t="str">
        <f>VLOOKUP($A33, 'Medical Examinations'!$A:$D, 4, FALSE)</f>
        <v>Yes</v>
      </c>
      <c r="F33" s="22" t="str">
        <f>VLOOKUP($A33, 'Medical Examinations'!$A:$J, 5, FALSE)</f>
        <v>No</v>
      </c>
      <c r="G33" s="22" t="str">
        <f>VLOOKUP($A33, 'Medical Examinations'!$A:$I, 6, FALSE)</f>
        <v>No</v>
      </c>
      <c r="H33" s="22">
        <f>VLOOKUP($A33,'Medical Examinations'!$A:$L,10, FALSE)</f>
        <v>0</v>
      </c>
      <c r="I33" s="22" t="str">
        <f>VLOOKUP($A33, 'Medical Examinations'!$A:$J, 9, FALSE)</f>
        <v>Yes</v>
      </c>
      <c r="J33" s="22" t="str">
        <f>VLOOKUP($A33, 'Medical Examinations'!$A:$P, 11, FALSE)</f>
        <v>OBESITY</v>
      </c>
      <c r="K33" s="34">
        <v>27373.0</v>
      </c>
      <c r="L33" s="35">
        <f>VLOOKUP($A33, 'Hospitalisation Details'!$A:$H, 7, FALSE)</f>
        <v>46151.12</v>
      </c>
      <c r="M33" s="22" t="str">
        <f>VLOOKUP($A33, 'Hospitalisation Details'!$A:$L, 12, FALSE)</f>
        <v>tier - 1</v>
      </c>
      <c r="N33" s="22" t="str">
        <f>VLOOKUP($A33, 'Hospitalisation Details'!$A:$M, 13, FALSE)</f>
        <v>tier - 3</v>
      </c>
      <c r="O33" s="22" t="str">
        <f>VLOOKUP($A33, 'Hospitalisation Details'!$A:$N, 14, FALSE)</f>
        <v>R1013</v>
      </c>
      <c r="P33" s="36">
        <f>VLOOKUP($A33, 'Hospitalisation Details'!$A:$O, 15, FALSE)</f>
        <v>46</v>
      </c>
    </row>
    <row r="34" ht="15.75" customHeight="1">
      <c r="A34" s="33" t="s">
        <v>67</v>
      </c>
      <c r="B34" s="22" t="str">
        <f>VLOOKUP($A34,'Customer Names'!$A:$D,3, FALSE)</f>
        <v>Prindiville</v>
      </c>
      <c r="C34" s="22">
        <f>VLOOKUP($A34,'Medical Examinations'!$A:$D, 2, FALSE)</f>
        <v>31.35</v>
      </c>
      <c r="D34" s="22">
        <f>VLOOKUP($A34, 'Medical Examinations'!$A:$D,3, FALSE)</f>
        <v>6.86</v>
      </c>
      <c r="E34" s="22" t="str">
        <f>VLOOKUP($A34, 'Medical Examinations'!$A:$D, 4, FALSE)</f>
        <v>No</v>
      </c>
      <c r="F34" s="22" t="str">
        <f>VLOOKUP($A34, 'Medical Examinations'!$A:$J, 5, FALSE)</f>
        <v>No</v>
      </c>
      <c r="G34" s="22" t="str">
        <f>VLOOKUP($A34, 'Medical Examinations'!$A:$I, 6, FALSE)</f>
        <v>No</v>
      </c>
      <c r="H34" s="22">
        <f>VLOOKUP($A34,'Medical Examinations'!$A:$L,10, FALSE)</f>
        <v>0</v>
      </c>
      <c r="I34" s="22" t="str">
        <f>VLOOKUP($A34, 'Medical Examinations'!$A:$J, 9, FALSE)</f>
        <v>Yes</v>
      </c>
      <c r="J34" s="22" t="str">
        <f>VLOOKUP($A34, 'Medical Examinations'!$A:$P, 11, FALSE)</f>
        <v>OBESITY</v>
      </c>
      <c r="K34" s="34">
        <v>35267.0</v>
      </c>
      <c r="L34" s="35">
        <f>VLOOKUP($A34, 'Hospitalisation Details'!$A:$H, 7, FALSE)</f>
        <v>46130.53</v>
      </c>
      <c r="M34" s="22" t="str">
        <f>VLOOKUP($A34, 'Hospitalisation Details'!$A:$L, 12, FALSE)</f>
        <v>tier - 1</v>
      </c>
      <c r="N34" s="22" t="str">
        <f>VLOOKUP($A34, 'Hospitalisation Details'!$A:$M, 13, FALSE)</f>
        <v>tier - 1</v>
      </c>
      <c r="O34" s="22" t="str">
        <f>VLOOKUP($A34, 'Hospitalisation Details'!$A:$N, 14, FALSE)</f>
        <v>R1012</v>
      </c>
      <c r="P34" s="36">
        <f>VLOOKUP($A34, 'Hospitalisation Details'!$A:$O, 15, FALSE)</f>
        <v>60</v>
      </c>
    </row>
    <row r="35" ht="15.75" customHeight="1">
      <c r="A35" s="33" t="s">
        <v>69</v>
      </c>
      <c r="B35" s="22" t="str">
        <f>VLOOKUP($A35,'Customer Names'!$A:$D,3, FALSE)</f>
        <v>Kincaid</v>
      </c>
      <c r="C35" s="22">
        <f>VLOOKUP($A35,'Medical Examinations'!$A:$D, 2, FALSE)</f>
        <v>47.6</v>
      </c>
      <c r="D35" s="22">
        <f>VLOOKUP($A35, 'Medical Examinations'!$A:$D,3, FALSE)</f>
        <v>5.95</v>
      </c>
      <c r="E35" s="22" t="str">
        <f>VLOOKUP($A35, 'Medical Examinations'!$A:$D, 4, FALSE)</f>
        <v>Yes</v>
      </c>
      <c r="F35" s="22" t="str">
        <f>VLOOKUP($A35, 'Medical Examinations'!$A:$J, 5, FALSE)</f>
        <v>No</v>
      </c>
      <c r="G35" s="22" t="str">
        <f>VLOOKUP($A35, 'Medical Examinations'!$A:$I, 6, FALSE)</f>
        <v>No</v>
      </c>
      <c r="H35" s="22">
        <f>VLOOKUP($A35,'Medical Examinations'!$A:$L,10, FALSE)</f>
        <v>0</v>
      </c>
      <c r="I35" s="22" t="str">
        <f>VLOOKUP($A35, 'Medical Examinations'!$A:$J, 9, FALSE)</f>
        <v>Yes</v>
      </c>
      <c r="J35" s="22" t="str">
        <f>VLOOKUP($A35, 'Medical Examinations'!$A:$P, 11, FALSE)</f>
        <v>OBESITY</v>
      </c>
      <c r="K35" s="34">
        <v>33415.0</v>
      </c>
      <c r="L35" s="35">
        <f>VLOOKUP($A35, 'Hospitalisation Details'!$A:$H, 7, FALSE)</f>
        <v>46113.51</v>
      </c>
      <c r="M35" s="22" t="str">
        <f>VLOOKUP($A35, 'Hospitalisation Details'!$A:$L, 12, FALSE)</f>
        <v>tier - 2</v>
      </c>
      <c r="N35" s="22" t="str">
        <f>VLOOKUP($A35, 'Hospitalisation Details'!$A:$M, 13, FALSE)</f>
        <v>tier - 3</v>
      </c>
      <c r="O35" s="22" t="str">
        <f>VLOOKUP($A35, 'Hospitalisation Details'!$A:$N, 14, FALSE)</f>
        <v>R1011</v>
      </c>
      <c r="P35" s="36">
        <f>VLOOKUP($A35, 'Hospitalisation Details'!$A:$O, 15, FALSE)</f>
        <v>37</v>
      </c>
    </row>
    <row r="36" ht="15.75" customHeight="1">
      <c r="A36" s="33" t="s">
        <v>71</v>
      </c>
      <c r="B36" s="22" t="str">
        <f>VLOOKUP($A36,'Customer Names'!$A:$D,3, FALSE)</f>
        <v>Bruestle</v>
      </c>
      <c r="C36" s="22">
        <f>VLOOKUP($A36,'Medical Examinations'!$A:$D, 2, FALSE)</f>
        <v>46.2</v>
      </c>
      <c r="D36" s="22">
        <f>VLOOKUP($A36, 'Medical Examinations'!$A:$D,3, FALSE)</f>
        <v>6.09</v>
      </c>
      <c r="E36" s="22" t="str">
        <f>VLOOKUP($A36, 'Medical Examinations'!$A:$D, 4, FALSE)</f>
        <v>No</v>
      </c>
      <c r="F36" s="22" t="str">
        <f>VLOOKUP($A36, 'Medical Examinations'!$A:$J, 5, FALSE)</f>
        <v>No</v>
      </c>
      <c r="G36" s="22" t="str">
        <f>VLOOKUP($A36, 'Medical Examinations'!$A:$I, 6, FALSE)</f>
        <v>Yes</v>
      </c>
      <c r="H36" s="22">
        <f>VLOOKUP($A36,'Medical Examinations'!$A:$L,10, FALSE)</f>
        <v>1</v>
      </c>
      <c r="I36" s="22" t="str">
        <f>VLOOKUP($A36, 'Medical Examinations'!$A:$J, 9, FALSE)</f>
        <v>Yes</v>
      </c>
      <c r="J36" s="22" t="str">
        <f>VLOOKUP($A36, 'Medical Examinations'!$A:$P, 11, FALSE)</f>
        <v>OBESITY</v>
      </c>
      <c r="K36" s="34">
        <v>27378.0</v>
      </c>
      <c r="L36" s="35">
        <f>VLOOKUP($A36, 'Hospitalisation Details'!$A:$H, 7, FALSE)</f>
        <v>45863.21</v>
      </c>
      <c r="M36" s="22" t="str">
        <f>VLOOKUP($A36, 'Hospitalisation Details'!$A:$L, 12, FALSE)</f>
        <v>tier - 2</v>
      </c>
      <c r="N36" s="22" t="str">
        <f>VLOOKUP($A36, 'Hospitalisation Details'!$A:$M, 13, FALSE)</f>
        <v>tier - 1</v>
      </c>
      <c r="O36" s="22" t="str">
        <f>VLOOKUP($A36, 'Hospitalisation Details'!$A:$N, 14, FALSE)</f>
        <v>R1013</v>
      </c>
      <c r="P36" s="36">
        <f>VLOOKUP($A36, 'Hospitalisation Details'!$A:$O, 15, FALSE)</f>
        <v>43</v>
      </c>
    </row>
    <row r="37" ht="15.75" customHeight="1">
      <c r="A37" s="33" t="s">
        <v>73</v>
      </c>
      <c r="B37" s="22" t="str">
        <f>VLOOKUP($A37,'Customer Names'!$A:$D,3, FALSE)</f>
        <v>Lachance</v>
      </c>
      <c r="C37" s="22">
        <f>VLOOKUP($A37,'Medical Examinations'!$A:$D, 2, FALSE)</f>
        <v>32.015</v>
      </c>
      <c r="D37" s="22">
        <f>VLOOKUP($A37, 'Medical Examinations'!$A:$D,3, FALSE)</f>
        <v>11.75</v>
      </c>
      <c r="E37" s="22" t="str">
        <f>VLOOKUP($A37, 'Medical Examinations'!$A:$D, 4, FALSE)</f>
        <v>No</v>
      </c>
      <c r="F37" s="22" t="str">
        <f>VLOOKUP($A37, 'Medical Examinations'!$A:$J, 5, FALSE)</f>
        <v>No</v>
      </c>
      <c r="G37" s="22" t="str">
        <f>VLOOKUP($A37, 'Medical Examinations'!$A:$I, 6, FALSE)</f>
        <v>No</v>
      </c>
      <c r="H37" s="22">
        <f>VLOOKUP($A37,'Medical Examinations'!$A:$L,10, FALSE)</f>
        <v>0</v>
      </c>
      <c r="I37" s="22" t="str">
        <f>VLOOKUP($A37, 'Medical Examinations'!$A:$J, 9, FALSE)</f>
        <v>Yes</v>
      </c>
      <c r="J37" s="22" t="str">
        <f>VLOOKUP($A37, 'Medical Examinations'!$A:$P, 11, FALSE)</f>
        <v>OBESITY</v>
      </c>
      <c r="K37" s="34">
        <v>25135.0</v>
      </c>
      <c r="L37" s="35">
        <f>VLOOKUP($A37, 'Hospitalisation Details'!$A:$H, 7, FALSE)</f>
        <v>45710.21</v>
      </c>
      <c r="M37" s="22" t="str">
        <f>VLOOKUP($A37, 'Hospitalisation Details'!$A:$L, 12, FALSE)</f>
        <v>tier - 2</v>
      </c>
      <c r="N37" s="22" t="str">
        <f>VLOOKUP($A37, 'Hospitalisation Details'!$A:$M, 13, FALSE)</f>
        <v>tier - 2</v>
      </c>
      <c r="O37" s="22" t="str">
        <f>VLOOKUP($A37, 'Hospitalisation Details'!$A:$N, 14, FALSE)</f>
        <v>R1016</v>
      </c>
      <c r="P37" s="36">
        <f>VLOOKUP($A37, 'Hospitalisation Details'!$A:$O, 15, FALSE)</f>
        <v>62</v>
      </c>
    </row>
    <row r="38" ht="15.75" customHeight="1">
      <c r="A38" s="33" t="s">
        <v>75</v>
      </c>
      <c r="B38" s="22" t="str">
        <f>VLOOKUP($A38,'Customer Names'!$A:$D,3, FALSE)</f>
        <v>Eason</v>
      </c>
      <c r="C38" s="22">
        <f>VLOOKUP($A38,'Medical Examinations'!$A:$D, 2, FALSE)</f>
        <v>40.565</v>
      </c>
      <c r="D38" s="22">
        <f>VLOOKUP($A38, 'Medical Examinations'!$A:$D,3, FALSE)</f>
        <v>7.37</v>
      </c>
      <c r="E38" s="22" t="str">
        <f>VLOOKUP($A38, 'Medical Examinations'!$A:$D, 4, FALSE)</f>
        <v>No</v>
      </c>
      <c r="F38" s="22" t="str">
        <f>VLOOKUP($A38, 'Medical Examinations'!$A:$J, 5, FALSE)</f>
        <v>No</v>
      </c>
      <c r="G38" s="22" t="str">
        <f>VLOOKUP($A38, 'Medical Examinations'!$A:$I, 6, FALSE)</f>
        <v>No</v>
      </c>
      <c r="H38" s="22">
        <f>VLOOKUP($A38,'Medical Examinations'!$A:$L,10, FALSE)</f>
        <v>0</v>
      </c>
      <c r="I38" s="22" t="str">
        <f>VLOOKUP($A38, 'Medical Examinations'!$A:$J, 9, FALSE)</f>
        <v>Yes</v>
      </c>
      <c r="J38" s="22" t="str">
        <f>VLOOKUP($A38, 'Medical Examinations'!$A:$P, 11, FALSE)</f>
        <v>OBESITY</v>
      </c>
      <c r="K38" s="34">
        <v>36786.0</v>
      </c>
      <c r="L38" s="35">
        <f>VLOOKUP($A38, 'Hospitalisation Details'!$A:$H, 7, FALSE)</f>
        <v>45702.02</v>
      </c>
      <c r="M38" s="22" t="str">
        <f>VLOOKUP($A38, 'Hospitalisation Details'!$A:$L, 12, FALSE)</f>
        <v>tier - 2</v>
      </c>
      <c r="N38" s="22" t="str">
        <f>VLOOKUP($A38, 'Hospitalisation Details'!$A:$M, 13, FALSE)</f>
        <v>tier - 2</v>
      </c>
      <c r="O38" s="22" t="str">
        <f>VLOOKUP($A38, 'Hospitalisation Details'!$A:$N, 14, FALSE)</f>
        <v>R1012</v>
      </c>
      <c r="P38" s="36">
        <f>VLOOKUP($A38, 'Hospitalisation Details'!$A:$O, 15, FALSE)</f>
        <v>48</v>
      </c>
    </row>
    <row r="39" ht="15.75" customHeight="1">
      <c r="A39" s="33" t="s">
        <v>77</v>
      </c>
      <c r="B39" s="22" t="str">
        <f>VLOOKUP($A39,'Customer Names'!$A:$D,3, FALSE)</f>
        <v>Grummon</v>
      </c>
      <c r="C39" s="22">
        <f>VLOOKUP($A39,'Medical Examinations'!$A:$D, 2, FALSE)</f>
        <v>32.45</v>
      </c>
      <c r="D39" s="22">
        <f>VLOOKUP($A39, 'Medical Examinations'!$A:$D,3, FALSE)</f>
        <v>11.91</v>
      </c>
      <c r="E39" s="22" t="str">
        <f>VLOOKUP($A39, 'Medical Examinations'!$A:$D, 4, FALSE)</f>
        <v>No</v>
      </c>
      <c r="F39" s="22" t="str">
        <f>VLOOKUP($A39, 'Medical Examinations'!$A:$J, 5, FALSE)</f>
        <v>No</v>
      </c>
      <c r="G39" s="22" t="str">
        <f>VLOOKUP($A39, 'Medical Examinations'!$A:$I, 6, FALSE)</f>
        <v>No</v>
      </c>
      <c r="H39" s="22">
        <f>VLOOKUP($A39,'Medical Examinations'!$A:$L,10, FALSE)</f>
        <v>0</v>
      </c>
      <c r="I39" s="22" t="str">
        <f>VLOOKUP($A39, 'Medical Examinations'!$A:$J, 9, FALSE)</f>
        <v>Yes</v>
      </c>
      <c r="J39" s="22" t="str">
        <f>VLOOKUP($A39, 'Medical Examinations'!$A:$P, 11, FALSE)</f>
        <v>OBESITY</v>
      </c>
      <c r="K39" s="34">
        <v>24094.0</v>
      </c>
      <c r="L39" s="35">
        <f>VLOOKUP($A39, 'Hospitalisation Details'!$A:$H, 7, FALSE)</f>
        <v>45008.96</v>
      </c>
      <c r="M39" s="22" t="str">
        <f>VLOOKUP($A39, 'Hospitalisation Details'!$A:$L, 12, FALSE)</f>
        <v>tier - 2</v>
      </c>
      <c r="N39" s="22" t="str">
        <f>VLOOKUP($A39, 'Hospitalisation Details'!$A:$M, 13, FALSE)</f>
        <v>tier - 2</v>
      </c>
      <c r="O39" s="22" t="str">
        <f>VLOOKUP($A39, 'Hospitalisation Details'!$A:$N, 14, FALSE)</f>
        <v>R1013</v>
      </c>
      <c r="P39" s="36">
        <f>VLOOKUP($A39, 'Hospitalisation Details'!$A:$O, 15, FALSE)</f>
        <v>60</v>
      </c>
    </row>
    <row r="40" ht="15.75" customHeight="1">
      <c r="A40" s="33" t="s">
        <v>79</v>
      </c>
      <c r="B40" s="22" t="str">
        <f>VLOOKUP($A40,'Customer Names'!$A:$D,3, FALSE)</f>
        <v>Vanwechel</v>
      </c>
      <c r="C40" s="22">
        <f>VLOOKUP($A40,'Medical Examinations'!$A:$D, 2, FALSE)</f>
        <v>34.96</v>
      </c>
      <c r="D40" s="22">
        <f>VLOOKUP($A40, 'Medical Examinations'!$A:$D,3, FALSE)</f>
        <v>6.52</v>
      </c>
      <c r="E40" s="22" t="str">
        <f>VLOOKUP($A40, 'Medical Examinations'!$A:$D, 4, FALSE)</f>
        <v>No</v>
      </c>
      <c r="F40" s="22" t="str">
        <f>VLOOKUP($A40, 'Medical Examinations'!$A:$J, 5, FALSE)</f>
        <v>No</v>
      </c>
      <c r="G40" s="22" t="str">
        <f>VLOOKUP($A40, 'Medical Examinations'!$A:$I, 6, FALSE)</f>
        <v>No</v>
      </c>
      <c r="H40" s="22">
        <f>VLOOKUP($A40,'Medical Examinations'!$A:$L,10, FALSE)</f>
        <v>0</v>
      </c>
      <c r="I40" s="22" t="str">
        <f>VLOOKUP($A40, 'Medical Examinations'!$A:$J, 9, FALSE)</f>
        <v>Yes</v>
      </c>
      <c r="J40" s="22" t="str">
        <f>VLOOKUP($A40, 'Medical Examinations'!$A:$P, 11, FALSE)</f>
        <v>OBESITY</v>
      </c>
      <c r="K40" s="34">
        <v>26958.0</v>
      </c>
      <c r="L40" s="35">
        <f>VLOOKUP($A40, 'Hospitalisation Details'!$A:$H, 7, FALSE)</f>
        <v>44641.2</v>
      </c>
      <c r="M40" s="22" t="str">
        <f>VLOOKUP($A40, 'Hospitalisation Details'!$A:$L, 12, FALSE)</f>
        <v>tier - 2</v>
      </c>
      <c r="N40" s="22" t="str">
        <f>VLOOKUP($A40, 'Hospitalisation Details'!$A:$M, 13, FALSE)</f>
        <v>tier - 3</v>
      </c>
      <c r="O40" s="22" t="str">
        <f>VLOOKUP($A40, 'Hospitalisation Details'!$A:$N, 14, FALSE)</f>
        <v>R1024</v>
      </c>
      <c r="P40" s="36">
        <f>VLOOKUP($A40, 'Hospitalisation Details'!$A:$O, 15, FALSE)</f>
        <v>51</v>
      </c>
    </row>
    <row r="41" ht="15.75" customHeight="1">
      <c r="A41" s="33" t="s">
        <v>81</v>
      </c>
      <c r="B41" s="22" t="str">
        <f>VLOOKUP($A41,'Customer Names'!$A:$D,3, FALSE)</f>
        <v>Fisher</v>
      </c>
      <c r="C41" s="22">
        <f>VLOOKUP($A41,'Medical Examinations'!$A:$D, 2, FALSE)</f>
        <v>35.5</v>
      </c>
      <c r="D41" s="22">
        <f>VLOOKUP($A41, 'Medical Examinations'!$A:$D,3, FALSE)</f>
        <v>5.14</v>
      </c>
      <c r="E41" s="22" t="str">
        <f>VLOOKUP($A41, 'Medical Examinations'!$A:$D, 4, FALSE)</f>
        <v>No</v>
      </c>
      <c r="F41" s="22" t="str">
        <f>VLOOKUP($A41, 'Medical Examinations'!$A:$J, 5, FALSE)</f>
        <v>No</v>
      </c>
      <c r="G41" s="22" t="str">
        <f>VLOOKUP($A41, 'Medical Examinations'!$A:$I, 6, FALSE)</f>
        <v>Yes</v>
      </c>
      <c r="H41" s="22">
        <f>VLOOKUP($A41,'Medical Examinations'!$A:$L,10, FALSE)</f>
        <v>1</v>
      </c>
      <c r="I41" s="22" t="str">
        <f>VLOOKUP($A41, 'Medical Examinations'!$A:$J, 9, FALSE)</f>
        <v>Yes</v>
      </c>
      <c r="J41" s="22" t="str">
        <f>VLOOKUP($A41, 'Medical Examinations'!$A:$P, 11, FALSE)</f>
        <v>OBESITY</v>
      </c>
      <c r="K41" s="34">
        <v>24297.0</v>
      </c>
      <c r="L41" s="35">
        <f>VLOOKUP($A41, 'Hospitalisation Details'!$A:$H, 7, FALSE)</f>
        <v>44585.46</v>
      </c>
      <c r="M41" s="22" t="str">
        <f>VLOOKUP($A41, 'Hospitalisation Details'!$A:$L, 12, FALSE)</f>
        <v>tier - 2</v>
      </c>
      <c r="N41" s="22" t="str">
        <f>VLOOKUP($A41, 'Hospitalisation Details'!$A:$M, 13, FALSE)</f>
        <v>tier - 2</v>
      </c>
      <c r="O41" s="22" t="str">
        <f>VLOOKUP($A41, 'Hospitalisation Details'!$A:$N, 14, FALSE)</f>
        <v>R1011</v>
      </c>
      <c r="P41" s="36">
        <f>VLOOKUP($A41, 'Hospitalisation Details'!$A:$O, 15, FALSE)</f>
        <v>29</v>
      </c>
    </row>
    <row r="42" ht="15.75" customHeight="1">
      <c r="A42" s="33" t="s">
        <v>83</v>
      </c>
      <c r="B42" s="22" t="str">
        <f>VLOOKUP($A42,'Customer Names'!$A:$D,3, FALSE)</f>
        <v>Jenkins</v>
      </c>
      <c r="C42" s="22">
        <f>VLOOKUP($A42,'Medical Examinations'!$A:$D, 2, FALSE)</f>
        <v>52.58</v>
      </c>
      <c r="D42" s="22">
        <f>VLOOKUP($A42, 'Medical Examinations'!$A:$D,3, FALSE)</f>
        <v>4.19</v>
      </c>
      <c r="E42" s="22" t="str">
        <f>VLOOKUP($A42, 'Medical Examinations'!$A:$D, 4, FALSE)</f>
        <v>No</v>
      </c>
      <c r="F42" s="22" t="str">
        <f>VLOOKUP($A42, 'Medical Examinations'!$A:$J, 5, FALSE)</f>
        <v>Yes</v>
      </c>
      <c r="G42" s="22" t="str">
        <f>VLOOKUP($A42, 'Medical Examinations'!$A:$I, 6, FALSE)</f>
        <v>No</v>
      </c>
      <c r="H42" s="22">
        <f>VLOOKUP($A42,'Medical Examinations'!$A:$L,10, FALSE)</f>
        <v>1</v>
      </c>
      <c r="I42" s="22" t="str">
        <f>VLOOKUP($A42, 'Medical Examinations'!$A:$J, 9, FALSE)</f>
        <v>Yes</v>
      </c>
      <c r="J42" s="22" t="str">
        <f>VLOOKUP($A42, 'Medical Examinations'!$A:$P, 11, FALSE)</f>
        <v>OBESITY</v>
      </c>
      <c r="K42" s="34">
        <v>23912.0</v>
      </c>
      <c r="L42" s="35">
        <f>VLOOKUP($A42, 'Hospitalisation Details'!$A:$H, 7, FALSE)</f>
        <v>44501.4</v>
      </c>
      <c r="M42" s="22" t="str">
        <f>VLOOKUP($A42, 'Hospitalisation Details'!$A:$L, 12, FALSE)</f>
        <v>tier - 2</v>
      </c>
      <c r="N42" s="22" t="str">
        <f>VLOOKUP($A42, 'Hospitalisation Details'!$A:$M, 13, FALSE)</f>
        <v>tier - 3</v>
      </c>
      <c r="O42" s="22" t="str">
        <f>VLOOKUP($A42, 'Hospitalisation Details'!$A:$N, 14, FALSE)</f>
        <v>R1013</v>
      </c>
      <c r="P42" s="36">
        <f>VLOOKUP($A42, 'Hospitalisation Details'!$A:$O, 15, FALSE)</f>
        <v>22</v>
      </c>
    </row>
    <row r="43" ht="15.75" customHeight="1">
      <c r="A43" s="33" t="s">
        <v>85</v>
      </c>
      <c r="B43" s="22" t="str">
        <f>VLOOKUP($A43,'Customer Names'!$A:$D,3, FALSE)</f>
        <v>Peters</v>
      </c>
      <c r="C43" s="22">
        <f>VLOOKUP($A43,'Medical Examinations'!$A:$D, 2, FALSE)</f>
        <v>35.2</v>
      </c>
      <c r="D43" s="22">
        <f>VLOOKUP($A43, 'Medical Examinations'!$A:$D,3, FALSE)</f>
        <v>11.68</v>
      </c>
      <c r="E43" s="22" t="str">
        <f>VLOOKUP($A43, 'Medical Examinations'!$A:$D, 4, FALSE)</f>
        <v>Yes</v>
      </c>
      <c r="F43" s="22" t="str">
        <f>VLOOKUP($A43, 'Medical Examinations'!$A:$J, 5, FALSE)</f>
        <v>No</v>
      </c>
      <c r="G43" s="22" t="str">
        <f>VLOOKUP($A43, 'Medical Examinations'!$A:$I, 6, FALSE)</f>
        <v>No</v>
      </c>
      <c r="H43" s="22">
        <f>VLOOKUP($A43,'Medical Examinations'!$A:$L,10, FALSE)</f>
        <v>0</v>
      </c>
      <c r="I43" s="22" t="str">
        <f>VLOOKUP($A43, 'Medical Examinations'!$A:$J, 9, FALSE)</f>
        <v>Yes</v>
      </c>
      <c r="J43" s="22" t="str">
        <f>VLOOKUP($A43, 'Medical Examinations'!$A:$P, 11, FALSE)</f>
        <v>OBESITY</v>
      </c>
      <c r="K43" s="34">
        <v>29085.0</v>
      </c>
      <c r="L43" s="35">
        <f>VLOOKUP($A43, 'Hospitalisation Details'!$A:$H, 7, FALSE)</f>
        <v>44423.8</v>
      </c>
      <c r="M43" s="22" t="str">
        <f>VLOOKUP($A43, 'Hospitalisation Details'!$A:$L, 12, FALSE)</f>
        <v>tier - 2</v>
      </c>
      <c r="N43" s="22" t="str">
        <f>VLOOKUP($A43, 'Hospitalisation Details'!$A:$M, 13, FALSE)</f>
        <v>tier - 3</v>
      </c>
      <c r="O43" s="22" t="str">
        <f>VLOOKUP($A43, 'Hospitalisation Details'!$A:$N, 14, FALSE)</f>
        <v>R1013</v>
      </c>
      <c r="P43" s="36">
        <f>VLOOKUP($A43, 'Hospitalisation Details'!$A:$O, 15, FALSE)</f>
        <v>55</v>
      </c>
    </row>
    <row r="44" ht="15.75" customHeight="1">
      <c r="A44" s="33" t="s">
        <v>87</v>
      </c>
      <c r="B44" s="22" t="str">
        <f>VLOOKUP($A44,'Customer Names'!$A:$D,3, FALSE)</f>
        <v>Aha</v>
      </c>
      <c r="C44" s="22">
        <f>VLOOKUP($A44,'Medical Examinations'!$A:$D, 2, FALSE)</f>
        <v>38.06</v>
      </c>
      <c r="D44" s="22">
        <f>VLOOKUP($A44, 'Medical Examinations'!$A:$D,3, FALSE)</f>
        <v>6.98</v>
      </c>
      <c r="E44" s="22" t="str">
        <f>VLOOKUP($A44, 'Medical Examinations'!$A:$D, 4, FALSE)</f>
        <v>No</v>
      </c>
      <c r="F44" s="22" t="str">
        <f>VLOOKUP($A44, 'Medical Examinations'!$A:$J, 5, FALSE)</f>
        <v>No</v>
      </c>
      <c r="G44" s="22" t="str">
        <f>VLOOKUP($A44, 'Medical Examinations'!$A:$I, 6, FALSE)</f>
        <v>No</v>
      </c>
      <c r="H44" s="22">
        <f>VLOOKUP($A44,'Medical Examinations'!$A:$L,10, FALSE)</f>
        <v>0</v>
      </c>
      <c r="I44" s="22" t="str">
        <f>VLOOKUP($A44, 'Medical Examinations'!$A:$J, 9, FALSE)</f>
        <v>Yes</v>
      </c>
      <c r="J44" s="22" t="str">
        <f>VLOOKUP($A44, 'Medical Examinations'!$A:$P, 11, FALSE)</f>
        <v>OBESITY</v>
      </c>
      <c r="K44" s="34">
        <v>25429.0</v>
      </c>
      <c r="L44" s="35">
        <f>VLOOKUP($A44, 'Hospitalisation Details'!$A:$H, 7, FALSE)</f>
        <v>44400.41</v>
      </c>
      <c r="M44" s="22" t="str">
        <f>VLOOKUP($A44, 'Hospitalisation Details'!$A:$L, 12, FALSE)</f>
        <v>tier - 2</v>
      </c>
      <c r="N44" s="22" t="str">
        <f>VLOOKUP($A44, 'Hospitalisation Details'!$A:$M, 13, FALSE)</f>
        <v>tier - 2</v>
      </c>
      <c r="O44" s="22" t="str">
        <f>VLOOKUP($A44, 'Hospitalisation Details'!$A:$N, 14, FALSE)</f>
        <v>R1013</v>
      </c>
      <c r="P44" s="36">
        <f>VLOOKUP($A44, 'Hospitalisation Details'!$A:$O, 15, FALSE)</f>
        <v>51</v>
      </c>
    </row>
    <row r="45" ht="15.75" customHeight="1">
      <c r="A45" s="33" t="s">
        <v>89</v>
      </c>
      <c r="B45" s="22" t="str">
        <f>VLOOKUP($A45,'Customer Names'!$A:$D,3, FALSE)</f>
        <v>McElwain</v>
      </c>
      <c r="C45" s="22">
        <f>VLOOKUP($A45,'Medical Examinations'!$A:$D, 2, FALSE)</f>
        <v>34.21</v>
      </c>
      <c r="D45" s="22">
        <f>VLOOKUP($A45, 'Medical Examinations'!$A:$D,3, FALSE)</f>
        <v>8.34</v>
      </c>
      <c r="E45" s="22" t="str">
        <f>VLOOKUP($A45, 'Medical Examinations'!$A:$D, 4, FALSE)</f>
        <v>No</v>
      </c>
      <c r="F45" s="22" t="str">
        <f>VLOOKUP($A45, 'Medical Examinations'!$A:$J, 5, FALSE)</f>
        <v>No</v>
      </c>
      <c r="G45" s="22" t="str">
        <f>VLOOKUP($A45, 'Medical Examinations'!$A:$I, 6, FALSE)</f>
        <v>No</v>
      </c>
      <c r="H45" s="22">
        <f>VLOOKUP($A45,'Medical Examinations'!$A:$L,10, FALSE)</f>
        <v>0</v>
      </c>
      <c r="I45" s="22" t="str">
        <f>VLOOKUP($A45, 'Medical Examinations'!$A:$J, 9, FALSE)</f>
        <v>Yes</v>
      </c>
      <c r="J45" s="22" t="str">
        <f>VLOOKUP($A45, 'Medical Examinations'!$A:$P, 11, FALSE)</f>
        <v>OBESITY</v>
      </c>
      <c r="K45" s="34">
        <v>24080.0</v>
      </c>
      <c r="L45" s="35">
        <f>VLOOKUP($A45, 'Hospitalisation Details'!$A:$H, 7, FALSE)</f>
        <v>44260.75</v>
      </c>
      <c r="M45" s="22" t="str">
        <f>VLOOKUP($A45, 'Hospitalisation Details'!$A:$L, 12, FALSE)</f>
        <v>tier - 2</v>
      </c>
      <c r="N45" s="22" t="str">
        <f>VLOOKUP($A45, 'Hospitalisation Details'!$A:$M, 13, FALSE)</f>
        <v>tier - 1</v>
      </c>
      <c r="O45" s="22" t="str">
        <f>VLOOKUP($A45, 'Hospitalisation Details'!$A:$N, 14, FALSE)</f>
        <v>R1013</v>
      </c>
      <c r="P45" s="36">
        <f>VLOOKUP($A45, 'Hospitalisation Details'!$A:$O, 15, FALSE)</f>
        <v>54</v>
      </c>
    </row>
    <row r="46" ht="15.75" customHeight="1">
      <c r="A46" s="33" t="s">
        <v>91</v>
      </c>
      <c r="B46" s="22" t="str">
        <f>VLOOKUP($A46,'Customer Names'!$A:$D,3, FALSE)</f>
        <v>Januszewski</v>
      </c>
      <c r="C46" s="22">
        <f>VLOOKUP($A46,'Medical Examinations'!$A:$D, 2, FALSE)</f>
        <v>38.94</v>
      </c>
      <c r="D46" s="22">
        <f>VLOOKUP($A46, 'Medical Examinations'!$A:$D,3, FALSE)</f>
        <v>8.49</v>
      </c>
      <c r="E46" s="22" t="str">
        <f>VLOOKUP($A46, 'Medical Examinations'!$A:$D, 4, FALSE)</f>
        <v>Yes</v>
      </c>
      <c r="F46" s="22" t="str">
        <f>VLOOKUP($A46, 'Medical Examinations'!$A:$J, 5, FALSE)</f>
        <v>No</v>
      </c>
      <c r="G46" s="22" t="str">
        <f>VLOOKUP($A46, 'Medical Examinations'!$A:$I, 6, FALSE)</f>
        <v>No</v>
      </c>
      <c r="H46" s="22">
        <f>VLOOKUP($A46,'Medical Examinations'!$A:$L,10, FALSE)</f>
        <v>1</v>
      </c>
      <c r="I46" s="22" t="str">
        <f>VLOOKUP($A46, 'Medical Examinations'!$A:$J, 9, FALSE)</f>
        <v>Yes</v>
      </c>
      <c r="J46" s="22" t="str">
        <f>VLOOKUP($A46, 'Medical Examinations'!$A:$P, 11, FALSE)</f>
        <v>OBESITY</v>
      </c>
      <c r="K46" s="34">
        <v>25517.0</v>
      </c>
      <c r="L46" s="35">
        <f>VLOOKUP($A46, 'Hospitalisation Details'!$A:$H, 7, FALSE)</f>
        <v>44202.65</v>
      </c>
      <c r="M46" s="22" t="str">
        <f>VLOOKUP($A46, 'Hospitalisation Details'!$A:$L, 12, FALSE)</f>
        <v>tier - 2</v>
      </c>
      <c r="N46" s="22" t="str">
        <f>VLOOKUP($A46, 'Hospitalisation Details'!$A:$M, 13, FALSE)</f>
        <v>tier - 2</v>
      </c>
      <c r="O46" s="22" t="str">
        <f>VLOOKUP($A46, 'Hospitalisation Details'!$A:$N, 14, FALSE)</f>
        <v>R1013</v>
      </c>
      <c r="P46" s="36">
        <f>VLOOKUP($A46, 'Hospitalisation Details'!$A:$O, 15, FALSE)</f>
        <v>48</v>
      </c>
    </row>
    <row r="47" ht="15.75" customHeight="1">
      <c r="A47" s="33" t="s">
        <v>93</v>
      </c>
      <c r="B47" s="22" t="str">
        <f>VLOOKUP($A47,'Customer Names'!$A:$D,3, FALSE)</f>
        <v>Rohne</v>
      </c>
      <c r="C47" s="22">
        <f>VLOOKUP($A47,'Medical Examinations'!$A:$D, 2, FALSE)</f>
        <v>30.21</v>
      </c>
      <c r="D47" s="22">
        <f>VLOOKUP($A47, 'Medical Examinations'!$A:$D,3, FALSE)</f>
        <v>5.34</v>
      </c>
      <c r="E47" s="22" t="str">
        <f>VLOOKUP($A47, 'Medical Examinations'!$A:$D, 4, FALSE)</f>
        <v>Yes</v>
      </c>
      <c r="F47" s="22" t="str">
        <f>VLOOKUP($A47, 'Medical Examinations'!$A:$J, 5, FALSE)</f>
        <v>No</v>
      </c>
      <c r="G47" s="22" t="str">
        <f>VLOOKUP($A47, 'Medical Examinations'!$A:$I, 6, FALSE)</f>
        <v>No</v>
      </c>
      <c r="H47" s="22">
        <f>VLOOKUP($A47,'Medical Examinations'!$A:$L,10, FALSE)</f>
        <v>1</v>
      </c>
      <c r="I47" s="22" t="str">
        <f>VLOOKUP($A47, 'Medical Examinations'!$A:$J, 9, FALSE)</f>
        <v>Yes</v>
      </c>
      <c r="J47" s="22" t="str">
        <f>VLOOKUP($A47, 'Medical Examinations'!$A:$P, 11, FALSE)</f>
        <v>OBESITY</v>
      </c>
      <c r="K47" s="34">
        <v>25154.0</v>
      </c>
      <c r="L47" s="35">
        <f>VLOOKUP($A47, 'Hospitalisation Details'!$A:$H, 7, FALSE)</f>
        <v>43943.88</v>
      </c>
      <c r="M47" s="22" t="str">
        <f>VLOOKUP($A47, 'Hospitalisation Details'!$A:$L, 12, FALSE)</f>
        <v>tier - 2</v>
      </c>
      <c r="N47" s="22" t="str">
        <f>VLOOKUP($A47, 'Hospitalisation Details'!$A:$M, 13, FALSE)</f>
        <v>tier - 1</v>
      </c>
      <c r="O47" s="22" t="str">
        <f>VLOOKUP($A47, 'Hospitalisation Details'!$A:$N, 14, FALSE)</f>
        <v>R1012</v>
      </c>
      <c r="P47" s="36">
        <f>VLOOKUP($A47, 'Hospitalisation Details'!$A:$O, 15, FALSE)</f>
        <v>34</v>
      </c>
    </row>
    <row r="48" ht="15.75" customHeight="1">
      <c r="A48" s="33" t="s">
        <v>95</v>
      </c>
      <c r="B48" s="22" t="str">
        <f>VLOOKUP($A48,'Customer Names'!$A:$D,3, FALSE)</f>
        <v>O'Grady</v>
      </c>
      <c r="C48" s="22">
        <f>VLOOKUP($A48,'Medical Examinations'!$A:$D, 2, FALSE)</f>
        <v>33.63</v>
      </c>
      <c r="D48" s="22">
        <f>VLOOKUP($A48, 'Medical Examinations'!$A:$D,3, FALSE)</f>
        <v>4.43</v>
      </c>
      <c r="E48" s="22" t="str">
        <f>VLOOKUP($A48, 'Medical Examinations'!$A:$D, 4, FALSE)</f>
        <v>Yes</v>
      </c>
      <c r="F48" s="22" t="str">
        <f>VLOOKUP($A48, 'Medical Examinations'!$A:$J, 5, FALSE)</f>
        <v>No</v>
      </c>
      <c r="G48" s="22" t="str">
        <f>VLOOKUP($A48, 'Medical Examinations'!$A:$I, 6, FALSE)</f>
        <v>No</v>
      </c>
      <c r="H48" s="22">
        <f>VLOOKUP($A48,'Medical Examinations'!$A:$L,10, FALSE)</f>
        <v>2</v>
      </c>
      <c r="I48" s="22" t="str">
        <f>VLOOKUP($A48, 'Medical Examinations'!$A:$J, 9, FALSE)</f>
        <v>Yes</v>
      </c>
      <c r="J48" s="22" t="str">
        <f>VLOOKUP($A48, 'Medical Examinations'!$A:$P, 11, FALSE)</f>
        <v>OBESITY</v>
      </c>
      <c r="K48" s="34">
        <v>25155.0</v>
      </c>
      <c r="L48" s="35">
        <f>VLOOKUP($A48, 'Hospitalisation Details'!$A:$H, 7, FALSE)</f>
        <v>43921.18</v>
      </c>
      <c r="M48" s="22" t="str">
        <f>VLOOKUP($A48, 'Hospitalisation Details'!$A:$L, 12, FALSE)</f>
        <v>tier - 2</v>
      </c>
      <c r="N48" s="22" t="str">
        <f>VLOOKUP($A48, 'Hospitalisation Details'!$A:$M, 13, FALSE)</f>
        <v>tier - 2</v>
      </c>
      <c r="O48" s="22" t="str">
        <f>VLOOKUP($A48, 'Hospitalisation Details'!$A:$N, 14, FALSE)</f>
        <v>R1012</v>
      </c>
      <c r="P48" s="36">
        <f>VLOOKUP($A48, 'Hospitalisation Details'!$A:$O, 15, FALSE)</f>
        <v>56</v>
      </c>
    </row>
    <row r="49" ht="15.75" customHeight="1">
      <c r="A49" s="33" t="s">
        <v>97</v>
      </c>
      <c r="B49" s="22" t="str">
        <f>VLOOKUP($A49,'Customer Names'!$A:$D,3, FALSE)</f>
        <v>Peters</v>
      </c>
      <c r="C49" s="22">
        <f>VLOOKUP($A49,'Medical Examinations'!$A:$D, 2, FALSE)</f>
        <v>40.37</v>
      </c>
      <c r="D49" s="22">
        <f>VLOOKUP($A49, 'Medical Examinations'!$A:$D,3, FALSE)</f>
        <v>4.47</v>
      </c>
      <c r="E49" s="22" t="str">
        <f>VLOOKUP($A49, 'Medical Examinations'!$A:$D, 4, FALSE)</f>
        <v>No</v>
      </c>
      <c r="F49" s="22" t="str">
        <f>VLOOKUP($A49, 'Medical Examinations'!$A:$J, 5, FALSE)</f>
        <v>No</v>
      </c>
      <c r="G49" s="22" t="str">
        <f>VLOOKUP($A49, 'Medical Examinations'!$A:$I, 6, FALSE)</f>
        <v>No</v>
      </c>
      <c r="H49" s="22">
        <f>VLOOKUP($A49,'Medical Examinations'!$A:$L,10, FALSE)</f>
        <v>0</v>
      </c>
      <c r="I49" s="22" t="str">
        <f>VLOOKUP($A49, 'Medical Examinations'!$A:$J, 9, FALSE)</f>
        <v>Yes</v>
      </c>
      <c r="J49" s="22" t="str">
        <f>VLOOKUP($A49, 'Medical Examinations'!$A:$P, 11, FALSE)</f>
        <v>OBESITY</v>
      </c>
      <c r="K49" s="34">
        <v>34583.0</v>
      </c>
      <c r="L49" s="35">
        <f>VLOOKUP($A49, 'Hospitalisation Details'!$A:$H, 7, FALSE)</f>
        <v>43896.38</v>
      </c>
      <c r="M49" s="22" t="str">
        <f>VLOOKUP($A49, 'Hospitalisation Details'!$A:$L, 12, FALSE)</f>
        <v>tier - 2</v>
      </c>
      <c r="N49" s="22" t="str">
        <f>VLOOKUP($A49, 'Hospitalisation Details'!$A:$M, 13, FALSE)</f>
        <v>tier - 1</v>
      </c>
      <c r="O49" s="22" t="str">
        <f>VLOOKUP($A49, 'Hospitalisation Details'!$A:$N, 14, FALSE)</f>
        <v>R1013</v>
      </c>
      <c r="P49" s="36">
        <f>VLOOKUP($A49, 'Hospitalisation Details'!$A:$O, 15, FALSE)</f>
        <v>42</v>
      </c>
    </row>
    <row r="50" ht="15.75" customHeight="1">
      <c r="A50" s="33" t="s">
        <v>99</v>
      </c>
      <c r="B50" s="22" t="str">
        <f>VLOOKUP($A50,'Customer Names'!$A:$D,3, FALSE)</f>
        <v>D</v>
      </c>
      <c r="C50" s="22">
        <f>VLOOKUP($A50,'Medical Examinations'!$A:$D, 2, FALSE)</f>
        <v>53.09</v>
      </c>
      <c r="D50" s="22">
        <f>VLOOKUP($A50, 'Medical Examinations'!$A:$D,3, FALSE)</f>
        <v>4.82</v>
      </c>
      <c r="E50" s="22" t="str">
        <f>VLOOKUP($A50, 'Medical Examinations'!$A:$D, 4, FALSE)</f>
        <v>Yes</v>
      </c>
      <c r="F50" s="22" t="str">
        <f>VLOOKUP($A50, 'Medical Examinations'!$A:$J, 5, FALSE)</f>
        <v>No</v>
      </c>
      <c r="G50" s="22" t="str">
        <f>VLOOKUP($A50, 'Medical Examinations'!$A:$I, 6, FALSE)</f>
        <v>No</v>
      </c>
      <c r="H50" s="22">
        <f>VLOOKUP($A50,'Medical Examinations'!$A:$L,10, FALSE)</f>
        <v>2</v>
      </c>
      <c r="I50" s="22" t="str">
        <f>VLOOKUP($A50, 'Medical Examinations'!$A:$J, 9, FALSE)</f>
        <v>Yes</v>
      </c>
      <c r="J50" s="22" t="str">
        <f>VLOOKUP($A50, 'Medical Examinations'!$A:$P, 11, FALSE)</f>
        <v>OBESITY</v>
      </c>
      <c r="K50" s="34">
        <v>26287.0</v>
      </c>
      <c r="L50" s="35">
        <f>VLOOKUP($A50, 'Hospitalisation Details'!$A:$H, 7, FALSE)</f>
        <v>43817.45</v>
      </c>
      <c r="M50" s="22" t="str">
        <f>VLOOKUP($A50, 'Hospitalisation Details'!$A:$L, 12, FALSE)</f>
        <v>tier - 2</v>
      </c>
      <c r="N50" s="22" t="str">
        <f>VLOOKUP($A50, 'Hospitalisation Details'!$A:$M, 13, FALSE)</f>
        <v>tier - 3</v>
      </c>
      <c r="O50" s="22" t="str">
        <f>VLOOKUP($A50, 'Hospitalisation Details'!$A:$N, 14, FALSE)</f>
        <v>R1012</v>
      </c>
      <c r="P50" s="36">
        <f>VLOOKUP($A50, 'Hospitalisation Details'!$A:$O, 15, FALSE)</f>
        <v>56</v>
      </c>
    </row>
    <row r="51" ht="15.75" customHeight="1">
      <c r="A51" s="33" t="s">
        <v>101</v>
      </c>
      <c r="B51" s="22" t="str">
        <f>VLOOKUP($A51,'Customer Names'!$A:$D,3, FALSE)</f>
        <v>Beckett</v>
      </c>
      <c r="C51" s="22">
        <f>VLOOKUP($A51,'Medical Examinations'!$A:$D, 2, FALSE)</f>
        <v>31.79</v>
      </c>
      <c r="D51" s="22">
        <f>VLOOKUP($A51, 'Medical Examinations'!$A:$D,3, FALSE)</f>
        <v>5.51</v>
      </c>
      <c r="E51" s="22" t="str">
        <f>VLOOKUP($A51, 'Medical Examinations'!$A:$D, 4, FALSE)</f>
        <v>Yes</v>
      </c>
      <c r="F51" s="22" t="str">
        <f>VLOOKUP($A51, 'Medical Examinations'!$A:$J, 5, FALSE)</f>
        <v>No</v>
      </c>
      <c r="G51" s="22" t="str">
        <f>VLOOKUP($A51, 'Medical Examinations'!$A:$I, 6, FALSE)</f>
        <v>No</v>
      </c>
      <c r="H51" s="22">
        <f>VLOOKUP($A51,'Medical Examinations'!$A:$L,10, FALSE)</f>
        <v>2</v>
      </c>
      <c r="I51" s="22" t="str">
        <f>VLOOKUP($A51, 'Medical Examinations'!$A:$J, 9, FALSE)</f>
        <v>Yes</v>
      </c>
      <c r="J51" s="22" t="str">
        <f>VLOOKUP($A51, 'Medical Examinations'!$A:$P, 11, FALSE)</f>
        <v>OBESITY</v>
      </c>
      <c r="K51" s="34">
        <v>25047.0</v>
      </c>
      <c r="L51" s="35">
        <f>VLOOKUP($A51, 'Hospitalisation Details'!$A:$H, 7, FALSE)</f>
        <v>43813.87</v>
      </c>
      <c r="M51" s="22" t="str">
        <f>VLOOKUP($A51, 'Hospitalisation Details'!$A:$L, 12, FALSE)</f>
        <v>tier - 2</v>
      </c>
      <c r="N51" s="22" t="str">
        <f>VLOOKUP($A51, 'Hospitalisation Details'!$A:$M, 13, FALSE)</f>
        <v>tier - 2</v>
      </c>
      <c r="O51" s="22" t="str">
        <f>VLOOKUP($A51, 'Hospitalisation Details'!$A:$N, 14, FALSE)</f>
        <v>R1013</v>
      </c>
      <c r="P51" s="36">
        <f>VLOOKUP($A51, 'Hospitalisation Details'!$A:$O, 15, FALSE)</f>
        <v>56</v>
      </c>
    </row>
    <row r="52" ht="15.75" customHeight="1">
      <c r="A52" s="33" t="s">
        <v>103</v>
      </c>
      <c r="B52" s="22" t="str">
        <f>VLOOKUP($A52,'Customer Names'!$A:$D,3, FALSE)</f>
        <v>Sobrilsky</v>
      </c>
      <c r="C52" s="22">
        <f>VLOOKUP($A52,'Medical Examinations'!$A:$D, 2, FALSE)</f>
        <v>41.895</v>
      </c>
      <c r="D52" s="22">
        <f>VLOOKUP($A52, 'Medical Examinations'!$A:$D,3, FALSE)</f>
        <v>10.87</v>
      </c>
      <c r="E52" s="22" t="str">
        <f>VLOOKUP($A52, 'Medical Examinations'!$A:$D, 4, FALSE)</f>
        <v>Yes</v>
      </c>
      <c r="F52" s="22" t="str">
        <f>VLOOKUP($A52, 'Medical Examinations'!$A:$J, 5, FALSE)</f>
        <v>No</v>
      </c>
      <c r="G52" s="22" t="str">
        <f>VLOOKUP($A52, 'Medical Examinations'!$A:$I, 6, FALSE)</f>
        <v>No</v>
      </c>
      <c r="H52" s="22">
        <f>VLOOKUP($A52,'Medical Examinations'!$A:$L,10, FALSE)</f>
        <v>1</v>
      </c>
      <c r="I52" s="22" t="str">
        <f>VLOOKUP($A52, 'Medical Examinations'!$A:$J, 9, FALSE)</f>
        <v>Yes</v>
      </c>
      <c r="J52" s="22" t="str">
        <f>VLOOKUP($A52, 'Medical Examinations'!$A:$P, 11, FALSE)</f>
        <v>OBESITY</v>
      </c>
      <c r="K52" s="34">
        <v>24747.0</v>
      </c>
      <c r="L52" s="35">
        <f>VLOOKUP($A52, 'Hospitalisation Details'!$A:$H, 7, FALSE)</f>
        <v>43753.34</v>
      </c>
      <c r="M52" s="22" t="str">
        <f>VLOOKUP($A52, 'Hospitalisation Details'!$A:$L, 12, FALSE)</f>
        <v>tier - 2</v>
      </c>
      <c r="N52" s="22" t="str">
        <f>VLOOKUP($A52, 'Hospitalisation Details'!$A:$M, 13, FALSE)</f>
        <v>tier - 1</v>
      </c>
      <c r="O52" s="22" t="str">
        <f>VLOOKUP($A52, 'Hospitalisation Details'!$A:$N, 14, FALSE)</f>
        <v>R1015</v>
      </c>
      <c r="P52" s="36">
        <f>VLOOKUP($A52, 'Hospitalisation Details'!$A:$O, 15, FALSE)</f>
        <v>36</v>
      </c>
    </row>
    <row r="53" ht="15.75" customHeight="1">
      <c r="A53" s="33" t="s">
        <v>105</v>
      </c>
      <c r="B53" s="22" t="str">
        <f>VLOOKUP($A53,'Customer Names'!$A:$D,3, FALSE)</f>
        <v>Wang</v>
      </c>
      <c r="C53" s="22">
        <f>VLOOKUP($A53,'Medical Examinations'!$A:$D, 2, FALSE)</f>
        <v>31.16</v>
      </c>
      <c r="D53" s="22">
        <f>VLOOKUP($A53, 'Medical Examinations'!$A:$D,3, FALSE)</f>
        <v>9.34</v>
      </c>
      <c r="E53" s="22" t="str">
        <f>VLOOKUP($A53, 'Medical Examinations'!$A:$D, 4, FALSE)</f>
        <v>No</v>
      </c>
      <c r="F53" s="22" t="str">
        <f>VLOOKUP($A53, 'Medical Examinations'!$A:$J, 5, FALSE)</f>
        <v>No</v>
      </c>
      <c r="G53" s="22" t="str">
        <f>VLOOKUP($A53, 'Medical Examinations'!$A:$I, 6, FALSE)</f>
        <v>No</v>
      </c>
      <c r="H53" s="22">
        <f>VLOOKUP($A53,'Medical Examinations'!$A:$L,10, FALSE)</f>
        <v>0</v>
      </c>
      <c r="I53" s="22" t="str">
        <f>VLOOKUP($A53, 'Medical Examinations'!$A:$J, 9, FALSE)</f>
        <v>Yes</v>
      </c>
      <c r="J53" s="22" t="str">
        <f>VLOOKUP($A53, 'Medical Examinations'!$A:$P, 11, FALSE)</f>
        <v>OBESITY</v>
      </c>
      <c r="K53" s="34">
        <v>25920.0</v>
      </c>
      <c r="L53" s="35">
        <f>VLOOKUP($A53, 'Hospitalisation Details'!$A:$H, 7, FALSE)</f>
        <v>43578.94</v>
      </c>
      <c r="M53" s="22" t="str">
        <f>VLOOKUP($A53, 'Hospitalisation Details'!$A:$L, 12, FALSE)</f>
        <v>tier - 2</v>
      </c>
      <c r="N53" s="22" t="str">
        <f>VLOOKUP($A53, 'Hospitalisation Details'!$A:$M, 13, FALSE)</f>
        <v>tier - 2</v>
      </c>
      <c r="O53" s="22" t="str">
        <f>VLOOKUP($A53, 'Hospitalisation Details'!$A:$N, 14, FALSE)</f>
        <v>R1012</v>
      </c>
      <c r="P53" s="36">
        <f>VLOOKUP($A53, 'Hospitalisation Details'!$A:$O, 15, FALSE)</f>
        <v>57</v>
      </c>
    </row>
    <row r="54" ht="15.75" customHeight="1">
      <c r="A54" s="33" t="s">
        <v>107</v>
      </c>
      <c r="B54" s="22" t="str">
        <f>VLOOKUP($A54,'Customer Names'!$A:$D,3, FALSE)</f>
        <v>Campa</v>
      </c>
      <c r="C54" s="22">
        <f>VLOOKUP($A54,'Medical Examinations'!$A:$D, 2, FALSE)</f>
        <v>34.105</v>
      </c>
      <c r="D54" s="22">
        <f>VLOOKUP($A54, 'Medical Examinations'!$A:$D,3, FALSE)</f>
        <v>5.03</v>
      </c>
      <c r="E54" s="22" t="str">
        <f>VLOOKUP($A54, 'Medical Examinations'!$A:$D, 4, FALSE)</f>
        <v>Yes</v>
      </c>
      <c r="F54" s="22" t="str">
        <f>VLOOKUP($A54, 'Medical Examinations'!$A:$J, 5, FALSE)</f>
        <v>No</v>
      </c>
      <c r="G54" s="22" t="str">
        <f>VLOOKUP($A54, 'Medical Examinations'!$A:$I, 6, FALSE)</f>
        <v>Yes</v>
      </c>
      <c r="H54" s="22">
        <f>VLOOKUP($A54,'Medical Examinations'!$A:$L,10, FALSE)</f>
        <v>1</v>
      </c>
      <c r="I54" s="22" t="str">
        <f>VLOOKUP($A54, 'Medical Examinations'!$A:$J, 9, FALSE)</f>
        <v>Yes</v>
      </c>
      <c r="J54" s="22" t="str">
        <f>VLOOKUP($A54, 'Medical Examinations'!$A:$P, 11, FALSE)</f>
        <v>OBESITY</v>
      </c>
      <c r="K54" s="34">
        <v>31341.0</v>
      </c>
      <c r="L54" s="35">
        <f>VLOOKUP($A54, 'Hospitalisation Details'!$A:$H, 7, FALSE)</f>
        <v>43254.42</v>
      </c>
      <c r="M54" s="22" t="str">
        <f>VLOOKUP($A54, 'Hospitalisation Details'!$A:$L, 12, FALSE)</f>
        <v>tier - 2</v>
      </c>
      <c r="N54" s="22" t="str">
        <f>VLOOKUP($A54, 'Hospitalisation Details'!$A:$M, 13, FALSE)</f>
        <v>tier - 2</v>
      </c>
      <c r="O54" s="22" t="str">
        <f>VLOOKUP($A54, 'Hospitalisation Details'!$A:$N, 14, FALSE)</f>
        <v>R1016</v>
      </c>
      <c r="P54" s="36">
        <f>VLOOKUP($A54, 'Hospitalisation Details'!$A:$O, 15, FALSE)</f>
        <v>53</v>
      </c>
    </row>
    <row r="55" ht="15.75" customHeight="1">
      <c r="A55" s="33" t="s">
        <v>109</v>
      </c>
      <c r="B55" s="22" t="str">
        <f>VLOOKUP($A55,'Customer Names'!$A:$D,3, FALSE)</f>
        <v>Clifford</v>
      </c>
      <c r="C55" s="22">
        <f>VLOOKUP($A55,'Medical Examinations'!$A:$D, 2, FALSE)</f>
        <v>51.93</v>
      </c>
      <c r="D55" s="22">
        <f>VLOOKUP($A55, 'Medical Examinations'!$A:$D,3, FALSE)</f>
        <v>11.05</v>
      </c>
      <c r="E55" s="22" t="str">
        <f>VLOOKUP($A55, 'Medical Examinations'!$A:$D, 4, FALSE)</f>
        <v>No</v>
      </c>
      <c r="F55" s="22" t="str">
        <f>VLOOKUP($A55, 'Medical Examinations'!$A:$J, 5, FALSE)</f>
        <v>No</v>
      </c>
      <c r="G55" s="22" t="str">
        <f>VLOOKUP($A55, 'Medical Examinations'!$A:$I, 6, FALSE)</f>
        <v>No</v>
      </c>
      <c r="H55" s="22">
        <f>VLOOKUP($A55,'Medical Examinations'!$A:$L,10, FALSE)</f>
        <v>0</v>
      </c>
      <c r="I55" s="22" t="str">
        <f>VLOOKUP($A55, 'Medical Examinations'!$A:$J, 9, FALSE)</f>
        <v>Yes</v>
      </c>
      <c r="J55" s="22" t="str">
        <f>VLOOKUP($A55, 'Medical Examinations'!$A:$P, 11, FALSE)</f>
        <v>OBESITY</v>
      </c>
      <c r="K55" s="34">
        <v>25869.0</v>
      </c>
      <c r="L55" s="35">
        <f>VLOOKUP($A55, 'Hospitalisation Details'!$A:$H, 7, FALSE)</f>
        <v>43073.76</v>
      </c>
      <c r="M55" s="22" t="str">
        <f>VLOOKUP($A55, 'Hospitalisation Details'!$A:$L, 12, FALSE)</f>
        <v>tier - 2</v>
      </c>
      <c r="N55" s="22" t="str">
        <f>VLOOKUP($A55, 'Hospitalisation Details'!$A:$M, 13, FALSE)</f>
        <v>tier - 2</v>
      </c>
      <c r="O55" s="22" t="str">
        <f>VLOOKUP($A55, 'Hospitalisation Details'!$A:$N, 14, FALSE)</f>
        <v>R1011</v>
      </c>
      <c r="P55" s="36">
        <f>VLOOKUP($A55, 'Hospitalisation Details'!$A:$O, 15, FALSE)</f>
        <v>57</v>
      </c>
    </row>
    <row r="56" ht="15.75" customHeight="1">
      <c r="A56" s="33" t="s">
        <v>111</v>
      </c>
      <c r="B56" s="22" t="str">
        <f>VLOOKUP($A56,'Customer Names'!$A:$D,3, FALSE)</f>
        <v>Dalmata</v>
      </c>
      <c r="C56" s="22">
        <f>VLOOKUP($A56,'Medical Examinations'!$A:$D, 2, FALSE)</f>
        <v>38.95</v>
      </c>
      <c r="D56" s="22">
        <f>VLOOKUP($A56, 'Medical Examinations'!$A:$D,3, FALSE)</f>
        <v>11.95</v>
      </c>
      <c r="E56" s="22" t="str">
        <f>VLOOKUP($A56, 'Medical Examinations'!$A:$D, 4, FALSE)</f>
        <v>No</v>
      </c>
      <c r="F56" s="22" t="str">
        <f>VLOOKUP($A56, 'Medical Examinations'!$A:$J, 5, FALSE)</f>
        <v>No</v>
      </c>
      <c r="G56" s="22" t="str">
        <f>VLOOKUP($A56, 'Medical Examinations'!$A:$I, 6, FALSE)</f>
        <v>No</v>
      </c>
      <c r="H56" s="22">
        <f>VLOOKUP($A56,'Medical Examinations'!$A:$L,10, FALSE)</f>
        <v>0</v>
      </c>
      <c r="I56" s="22" t="str">
        <f>VLOOKUP($A56, 'Medical Examinations'!$A:$J, 9, FALSE)</f>
        <v>Yes</v>
      </c>
      <c r="J56" s="22" t="str">
        <f>VLOOKUP($A56, 'Medical Examinations'!$A:$P, 11, FALSE)</f>
        <v>OBESITY</v>
      </c>
      <c r="K56" s="34">
        <v>24768.0</v>
      </c>
      <c r="L56" s="35">
        <f>VLOOKUP($A56, 'Hospitalisation Details'!$A:$H, 7, FALSE)</f>
        <v>42983.46</v>
      </c>
      <c r="M56" s="22" t="str">
        <f>VLOOKUP($A56, 'Hospitalisation Details'!$A:$L, 12, FALSE)</f>
        <v>tier - 1</v>
      </c>
      <c r="N56" s="22" t="str">
        <f>VLOOKUP($A56, 'Hospitalisation Details'!$A:$M, 13, FALSE)</f>
        <v>tier - 2</v>
      </c>
      <c r="O56" s="22" t="str">
        <f>VLOOKUP($A56, 'Hospitalisation Details'!$A:$N, 14, FALSE)</f>
        <v>R1012</v>
      </c>
      <c r="P56" s="36">
        <f>VLOOKUP($A56, 'Hospitalisation Details'!$A:$O, 15, FALSE)</f>
        <v>44</v>
      </c>
    </row>
    <row r="57" ht="15.75" customHeight="1">
      <c r="A57" s="33" t="s">
        <v>113</v>
      </c>
      <c r="B57" s="22" t="str">
        <f>VLOOKUP($A57,'Customer Names'!$A:$D,3, FALSE)</f>
        <v>Vishik</v>
      </c>
      <c r="C57" s="22">
        <f>VLOOKUP($A57,'Medical Examinations'!$A:$D, 2, FALSE)</f>
        <v>36.63</v>
      </c>
      <c r="D57" s="22">
        <f>VLOOKUP($A57, 'Medical Examinations'!$A:$D,3, FALSE)</f>
        <v>7.72</v>
      </c>
      <c r="E57" s="22" t="str">
        <f>VLOOKUP($A57, 'Medical Examinations'!$A:$D, 4, FALSE)</f>
        <v>Yes</v>
      </c>
      <c r="F57" s="22" t="str">
        <f>VLOOKUP($A57, 'Medical Examinations'!$A:$J, 5, FALSE)</f>
        <v>No</v>
      </c>
      <c r="G57" s="22" t="str">
        <f>VLOOKUP($A57, 'Medical Examinations'!$A:$I, 6, FALSE)</f>
        <v>No</v>
      </c>
      <c r="H57" s="22">
        <f>VLOOKUP($A57,'Medical Examinations'!$A:$L,10, FALSE)</f>
        <v>1</v>
      </c>
      <c r="I57" s="22" t="str">
        <f>VLOOKUP($A57, 'Medical Examinations'!$A:$J, 9, FALSE)</f>
        <v>Yes</v>
      </c>
      <c r="J57" s="22" t="str">
        <f>VLOOKUP($A57, 'Medical Examinations'!$A:$P, 11, FALSE)</f>
        <v>OBESITY</v>
      </c>
      <c r="K57" s="34">
        <v>36518.0</v>
      </c>
      <c r="L57" s="35">
        <f>VLOOKUP($A57, 'Hospitalisation Details'!$A:$H, 7, FALSE)</f>
        <v>42969.85</v>
      </c>
      <c r="M57" s="22" t="str">
        <f>VLOOKUP($A57, 'Hospitalisation Details'!$A:$L, 12, FALSE)</f>
        <v>tier - 1</v>
      </c>
      <c r="N57" s="22" t="str">
        <f>VLOOKUP($A57, 'Hospitalisation Details'!$A:$M, 13, FALSE)</f>
        <v>tier - 3</v>
      </c>
      <c r="O57" s="22" t="str">
        <f>VLOOKUP($A57, 'Hospitalisation Details'!$A:$N, 14, FALSE)</f>
        <v>R1013</v>
      </c>
      <c r="P57" s="36">
        <f>VLOOKUP($A57, 'Hospitalisation Details'!$A:$O, 15, FALSE)</f>
        <v>47</v>
      </c>
    </row>
    <row r="58" ht="15.75" customHeight="1">
      <c r="A58" s="33" t="s">
        <v>115</v>
      </c>
      <c r="B58" s="22" t="str">
        <f>VLOOKUP($A58,'Customer Names'!$A:$D,3, FALSE)</f>
        <v>Schorr</v>
      </c>
      <c r="C58" s="22">
        <f>VLOOKUP($A58,'Medical Examinations'!$A:$D, 2, FALSE)</f>
        <v>34.2</v>
      </c>
      <c r="D58" s="22">
        <f>VLOOKUP($A58, 'Medical Examinations'!$A:$D,3, FALSE)</f>
        <v>5.75</v>
      </c>
      <c r="E58" s="22" t="str">
        <f>VLOOKUP($A58, 'Medical Examinations'!$A:$D, 4, FALSE)</f>
        <v>No</v>
      </c>
      <c r="F58" s="22" t="str">
        <f>VLOOKUP($A58, 'Medical Examinations'!$A:$J, 5, FALSE)</f>
        <v>No</v>
      </c>
      <c r="G58" s="22" t="str">
        <f>VLOOKUP($A58, 'Medical Examinations'!$A:$I, 6, FALSE)</f>
        <v>No</v>
      </c>
      <c r="H58" s="22">
        <f>VLOOKUP($A58,'Medical Examinations'!$A:$L,10, FALSE)</f>
        <v>2</v>
      </c>
      <c r="I58" s="22" t="str">
        <f>VLOOKUP($A58, 'Medical Examinations'!$A:$J, 9, FALSE)</f>
        <v>Yes</v>
      </c>
      <c r="J58" s="22" t="str">
        <f>VLOOKUP($A58, 'Medical Examinations'!$A:$P, 11, FALSE)</f>
        <v>OBESITY</v>
      </c>
      <c r="K58" s="34">
        <v>24787.0</v>
      </c>
      <c r="L58" s="35">
        <f>VLOOKUP($A58, 'Hospitalisation Details'!$A:$H, 7, FALSE)</f>
        <v>42856.84</v>
      </c>
      <c r="M58" s="22" t="str">
        <f>VLOOKUP($A58, 'Hospitalisation Details'!$A:$L, 12, FALSE)</f>
        <v>tier - 1</v>
      </c>
      <c r="N58" s="22" t="str">
        <f>VLOOKUP($A58, 'Hospitalisation Details'!$A:$M, 13, FALSE)</f>
        <v>tier - 1</v>
      </c>
      <c r="O58" s="22" t="str">
        <f>VLOOKUP($A58, 'Hospitalisation Details'!$A:$N, 14, FALSE)</f>
        <v>R1011</v>
      </c>
      <c r="P58" s="36">
        <f>VLOOKUP($A58, 'Hospitalisation Details'!$A:$O, 15, FALSE)</f>
        <v>50</v>
      </c>
    </row>
    <row r="59" ht="15.75" customHeight="1">
      <c r="A59" s="33" t="s">
        <v>117</v>
      </c>
      <c r="B59" s="22" t="str">
        <f>VLOOKUP($A59,'Customer Names'!$A:$D,3, FALSE)</f>
        <v>Lusardi</v>
      </c>
      <c r="C59" s="22">
        <f>VLOOKUP($A59,'Medical Examinations'!$A:$D, 2, FALSE)</f>
        <v>50.63</v>
      </c>
      <c r="D59" s="22">
        <f>VLOOKUP($A59, 'Medical Examinations'!$A:$D,3, FALSE)</f>
        <v>11.89</v>
      </c>
      <c r="E59" s="22" t="str">
        <f>VLOOKUP($A59, 'Medical Examinations'!$A:$D, 4, FALSE)</f>
        <v>No</v>
      </c>
      <c r="F59" s="22" t="str">
        <f>VLOOKUP($A59, 'Medical Examinations'!$A:$J, 5, FALSE)</f>
        <v>No</v>
      </c>
      <c r="G59" s="22" t="str">
        <f>VLOOKUP($A59, 'Medical Examinations'!$A:$I, 6, FALSE)</f>
        <v>No</v>
      </c>
      <c r="H59" s="22">
        <f>VLOOKUP($A59,'Medical Examinations'!$A:$L,10, FALSE)</f>
        <v>0</v>
      </c>
      <c r="I59" s="22" t="str">
        <f>VLOOKUP($A59, 'Medical Examinations'!$A:$J, 9, FALSE)</f>
        <v>Yes</v>
      </c>
      <c r="J59" s="22" t="str">
        <f>VLOOKUP($A59, 'Medical Examinations'!$A:$P, 11, FALSE)</f>
        <v>OBESITY</v>
      </c>
      <c r="K59" s="34">
        <v>32837.0</v>
      </c>
      <c r="L59" s="35">
        <f>VLOOKUP($A59, 'Hospitalisation Details'!$A:$H, 7, FALSE)</f>
        <v>42764.12</v>
      </c>
      <c r="M59" s="22" t="str">
        <f>VLOOKUP($A59, 'Hospitalisation Details'!$A:$L, 12, FALSE)</f>
        <v>tier - 1</v>
      </c>
      <c r="N59" s="22" t="str">
        <f>VLOOKUP($A59, 'Hospitalisation Details'!$A:$M, 13, FALSE)</f>
        <v>tier - 2</v>
      </c>
      <c r="O59" s="22" t="str">
        <f>VLOOKUP($A59, 'Hospitalisation Details'!$A:$N, 14, FALSE)</f>
        <v>R1011</v>
      </c>
      <c r="P59" s="36">
        <f>VLOOKUP($A59, 'Hospitalisation Details'!$A:$O, 15, FALSE)</f>
        <v>57</v>
      </c>
    </row>
    <row r="60" ht="15.75" customHeight="1">
      <c r="A60" s="33" t="s">
        <v>119</v>
      </c>
      <c r="B60" s="22" t="str">
        <f>VLOOKUP($A60,'Customer Names'!$A:$D,3, FALSE)</f>
        <v>Rayner</v>
      </c>
      <c r="C60" s="22">
        <f>VLOOKUP($A60,'Medical Examinations'!$A:$D, 2, FALSE)</f>
        <v>36.48</v>
      </c>
      <c r="D60" s="22">
        <f>VLOOKUP($A60, 'Medical Examinations'!$A:$D,3, FALSE)</f>
        <v>6.2</v>
      </c>
      <c r="E60" s="22" t="str">
        <f>VLOOKUP($A60, 'Medical Examinations'!$A:$D, 4, FALSE)</f>
        <v>No</v>
      </c>
      <c r="F60" s="22" t="str">
        <f>VLOOKUP($A60, 'Medical Examinations'!$A:$J, 5, FALSE)</f>
        <v>No</v>
      </c>
      <c r="G60" s="22" t="str">
        <f>VLOOKUP($A60, 'Medical Examinations'!$A:$I, 6, FALSE)</f>
        <v>No</v>
      </c>
      <c r="H60" s="22">
        <f>VLOOKUP($A60,'Medical Examinations'!$A:$L,10, FALSE)</f>
        <v>0</v>
      </c>
      <c r="I60" s="22" t="str">
        <f>VLOOKUP($A60, 'Medical Examinations'!$A:$J, 9, FALSE)</f>
        <v>Yes</v>
      </c>
      <c r="J60" s="22" t="str">
        <f>VLOOKUP($A60, 'Medical Examinations'!$A:$P, 11, FALSE)</f>
        <v>OBESITY</v>
      </c>
      <c r="K60" s="34">
        <v>31653.0</v>
      </c>
      <c r="L60" s="35">
        <f>VLOOKUP($A60, 'Hospitalisation Details'!$A:$H, 7, FALSE)</f>
        <v>42760.5</v>
      </c>
      <c r="M60" s="22" t="str">
        <f>VLOOKUP($A60, 'Hospitalisation Details'!$A:$L, 12, FALSE)</f>
        <v>tier - 1</v>
      </c>
      <c r="N60" s="22" t="str">
        <f>VLOOKUP($A60, 'Hospitalisation Details'!$A:$M, 13, FALSE)</f>
        <v>tier - 2</v>
      </c>
      <c r="O60" s="22" t="str">
        <f>VLOOKUP($A60, 'Hospitalisation Details'!$A:$N, 14, FALSE)</f>
        <v>R1012</v>
      </c>
      <c r="P60" s="36">
        <f>VLOOKUP($A60, 'Hospitalisation Details'!$A:$O, 15, FALSE)</f>
        <v>45</v>
      </c>
    </row>
    <row r="61" ht="15.75" customHeight="1">
      <c r="A61" s="33" t="s">
        <v>121</v>
      </c>
      <c r="B61" s="22" t="str">
        <f>VLOOKUP($A61,'Customer Names'!$A:$D,3, FALSE)</f>
        <v>Voghel</v>
      </c>
      <c r="C61" s="22">
        <f>VLOOKUP($A61,'Medical Examinations'!$A:$D, 2, FALSE)</f>
        <v>54.82</v>
      </c>
      <c r="D61" s="22">
        <f>VLOOKUP($A61, 'Medical Examinations'!$A:$D,3, FALSE)</f>
        <v>10.61</v>
      </c>
      <c r="E61" s="22" t="str">
        <f>VLOOKUP($A61, 'Medical Examinations'!$A:$D, 4, FALSE)</f>
        <v>No</v>
      </c>
      <c r="F61" s="22" t="str">
        <f>VLOOKUP($A61, 'Medical Examinations'!$A:$J, 5, FALSE)</f>
        <v>No</v>
      </c>
      <c r="G61" s="22" t="str">
        <f>VLOOKUP($A61, 'Medical Examinations'!$A:$I, 6, FALSE)</f>
        <v>No</v>
      </c>
      <c r="H61" s="22">
        <f>VLOOKUP($A61,'Medical Examinations'!$A:$L,10, FALSE)</f>
        <v>0</v>
      </c>
      <c r="I61" s="22" t="str">
        <f>VLOOKUP($A61, 'Medical Examinations'!$A:$J, 9, FALSE)</f>
        <v>Yes</v>
      </c>
      <c r="J61" s="22" t="str">
        <f>VLOOKUP($A61, 'Medical Examinations'!$A:$P, 11, FALSE)</f>
        <v>OBESITY</v>
      </c>
      <c r="K61" s="34">
        <v>27372.0</v>
      </c>
      <c r="L61" s="35">
        <f>VLOOKUP($A61, 'Hospitalisation Details'!$A:$H, 7, FALSE)</f>
        <v>42644.2</v>
      </c>
      <c r="M61" s="22" t="str">
        <f>VLOOKUP($A61, 'Hospitalisation Details'!$A:$L, 12, FALSE)</f>
        <v>tier - 1</v>
      </c>
      <c r="N61" s="22" t="str">
        <f>VLOOKUP($A61, 'Hospitalisation Details'!$A:$M, 13, FALSE)</f>
        <v>tier - 3</v>
      </c>
      <c r="O61" s="22" t="str">
        <f>VLOOKUP($A61, 'Hospitalisation Details'!$A:$N, 14, FALSE)</f>
        <v>R1011</v>
      </c>
      <c r="P61" s="36">
        <f>VLOOKUP($A61, 'Hospitalisation Details'!$A:$O, 15, FALSE)</f>
        <v>51</v>
      </c>
    </row>
    <row r="62" ht="15.75" customHeight="1">
      <c r="A62" s="33" t="s">
        <v>123</v>
      </c>
      <c r="B62" s="22" t="str">
        <f>VLOOKUP($A62,'Customer Names'!$A:$D,3, FALSE)</f>
        <v>Rieth</v>
      </c>
      <c r="C62" s="22">
        <f>VLOOKUP($A62,'Medical Examinations'!$A:$D, 2, FALSE)</f>
        <v>38.06</v>
      </c>
      <c r="D62" s="22">
        <f>VLOOKUP($A62, 'Medical Examinations'!$A:$D,3, FALSE)</f>
        <v>6.04</v>
      </c>
      <c r="E62" s="22" t="str">
        <f>VLOOKUP($A62, 'Medical Examinations'!$A:$D, 4, FALSE)</f>
        <v>No</v>
      </c>
      <c r="F62" s="22" t="str">
        <f>VLOOKUP($A62, 'Medical Examinations'!$A:$J, 5, FALSE)</f>
        <v>No</v>
      </c>
      <c r="G62" s="22" t="str">
        <f>VLOOKUP($A62, 'Medical Examinations'!$A:$I, 6, FALSE)</f>
        <v>Yes</v>
      </c>
      <c r="H62" s="22">
        <f>VLOOKUP($A62,'Medical Examinations'!$A:$L,10, FALSE)</f>
        <v>1</v>
      </c>
      <c r="I62" s="22" t="str">
        <f>VLOOKUP($A62, 'Medical Examinations'!$A:$J, 9, FALSE)</f>
        <v>Yes</v>
      </c>
      <c r="J62" s="22" t="str">
        <f>VLOOKUP($A62, 'Medical Examinations'!$A:$P, 11, FALSE)</f>
        <v>OBESITY</v>
      </c>
      <c r="K62" s="34">
        <v>33780.0</v>
      </c>
      <c r="L62" s="35">
        <f>VLOOKUP($A62, 'Hospitalisation Details'!$A:$H, 7, FALSE)</f>
        <v>42560.43</v>
      </c>
      <c r="M62" s="22" t="str">
        <f>VLOOKUP($A62, 'Hospitalisation Details'!$A:$L, 12, FALSE)</f>
        <v>tier - 1</v>
      </c>
      <c r="N62" s="22" t="str">
        <f>VLOOKUP($A62, 'Hospitalisation Details'!$A:$M, 13, FALSE)</f>
        <v>tier - 3</v>
      </c>
      <c r="O62" s="22" t="str">
        <f>VLOOKUP($A62, 'Hospitalisation Details'!$A:$N, 14, FALSE)</f>
        <v>R1013</v>
      </c>
      <c r="P62" s="36">
        <f>VLOOKUP($A62, 'Hospitalisation Details'!$A:$O, 15, FALSE)</f>
        <v>43</v>
      </c>
    </row>
    <row r="63" ht="15.75" customHeight="1">
      <c r="A63" s="33" t="s">
        <v>125</v>
      </c>
      <c r="B63" s="22" t="str">
        <f>VLOOKUP($A63,'Customer Names'!$A:$D,3, FALSE)</f>
        <v>Gollotto</v>
      </c>
      <c r="C63" s="22">
        <f>VLOOKUP($A63,'Medical Examinations'!$A:$D, 2, FALSE)</f>
        <v>51.48</v>
      </c>
      <c r="D63" s="22">
        <f>VLOOKUP($A63, 'Medical Examinations'!$A:$D,3, FALSE)</f>
        <v>9.33</v>
      </c>
      <c r="E63" s="22" t="str">
        <f>VLOOKUP($A63, 'Medical Examinations'!$A:$D, 4, FALSE)</f>
        <v>Yes</v>
      </c>
      <c r="F63" s="22" t="str">
        <f>VLOOKUP($A63, 'Medical Examinations'!$A:$J, 5, FALSE)</f>
        <v>No</v>
      </c>
      <c r="G63" s="22" t="str">
        <f>VLOOKUP($A63, 'Medical Examinations'!$A:$I, 6, FALSE)</f>
        <v>No</v>
      </c>
      <c r="H63" s="22">
        <f>VLOOKUP($A63,'Medical Examinations'!$A:$L,10, FALSE)</f>
        <v>0</v>
      </c>
      <c r="I63" s="22" t="str">
        <f>VLOOKUP($A63, 'Medical Examinations'!$A:$J, 9, FALSE)</f>
        <v>Yes</v>
      </c>
      <c r="J63" s="22" t="str">
        <f>VLOOKUP($A63, 'Medical Examinations'!$A:$P, 11, FALSE)</f>
        <v>OBESITY</v>
      </c>
      <c r="K63" s="34">
        <v>24750.0</v>
      </c>
      <c r="L63" s="35">
        <f>VLOOKUP($A63, 'Hospitalisation Details'!$A:$H, 7, FALSE)</f>
        <v>42538.72</v>
      </c>
      <c r="M63" s="22" t="str">
        <f>VLOOKUP($A63, 'Hospitalisation Details'!$A:$L, 12, FALSE)</f>
        <v>tier - 1</v>
      </c>
      <c r="N63" s="22" t="str">
        <f>VLOOKUP($A63, 'Hospitalisation Details'!$A:$M, 13, FALSE)</f>
        <v>tier - 3</v>
      </c>
      <c r="O63" s="22" t="str">
        <f>VLOOKUP($A63, 'Hospitalisation Details'!$A:$N, 14, FALSE)</f>
        <v>R1011</v>
      </c>
      <c r="P63" s="36">
        <f>VLOOKUP($A63, 'Hospitalisation Details'!$A:$O, 15, FALSE)</f>
        <v>55</v>
      </c>
    </row>
    <row r="64" ht="15.75" customHeight="1">
      <c r="A64" s="33" t="s">
        <v>127</v>
      </c>
      <c r="B64" s="22" t="str">
        <f>VLOOKUP($A64,'Customer Names'!$A:$D,3, FALSE)</f>
        <v>Dunn</v>
      </c>
      <c r="C64" s="22">
        <f>VLOOKUP($A64,'Medical Examinations'!$A:$D, 2, FALSE)</f>
        <v>52.06</v>
      </c>
      <c r="D64" s="22">
        <f>VLOOKUP($A64, 'Medical Examinations'!$A:$D,3, FALSE)</f>
        <v>11.47</v>
      </c>
      <c r="E64" s="22" t="str">
        <f>VLOOKUP($A64, 'Medical Examinations'!$A:$D, 4, FALSE)</f>
        <v>No</v>
      </c>
      <c r="F64" s="22" t="str">
        <f>VLOOKUP($A64, 'Medical Examinations'!$A:$J, 5, FALSE)</f>
        <v>No</v>
      </c>
      <c r="G64" s="22" t="str">
        <f>VLOOKUP($A64, 'Medical Examinations'!$A:$I, 6, FALSE)</f>
        <v>No</v>
      </c>
      <c r="H64" s="22">
        <f>VLOOKUP($A64,'Medical Examinations'!$A:$L,10, FALSE)</f>
        <v>0</v>
      </c>
      <c r="I64" s="22" t="str">
        <f>VLOOKUP($A64, 'Medical Examinations'!$A:$J, 9, FALSE)</f>
        <v>Yes</v>
      </c>
      <c r="J64" s="22" t="str">
        <f>VLOOKUP($A64, 'Medical Examinations'!$A:$P, 11, FALSE)</f>
        <v>OBESITY</v>
      </c>
      <c r="K64" s="34">
        <v>24683.0</v>
      </c>
      <c r="L64" s="35">
        <f>VLOOKUP($A64, 'Hospitalisation Details'!$A:$H, 7, FALSE)</f>
        <v>42478.6</v>
      </c>
      <c r="M64" s="22" t="str">
        <f>VLOOKUP($A64, 'Hospitalisation Details'!$A:$L, 12, FALSE)</f>
        <v>tier - 1</v>
      </c>
      <c r="N64" s="22" t="str">
        <f>VLOOKUP($A64, 'Hospitalisation Details'!$A:$M, 13, FALSE)</f>
        <v>tier - 2</v>
      </c>
      <c r="O64" s="22" t="str">
        <f>VLOOKUP($A64, 'Hospitalisation Details'!$A:$N, 14, FALSE)</f>
        <v>R1011</v>
      </c>
      <c r="P64" s="36">
        <f>VLOOKUP($A64, 'Hospitalisation Details'!$A:$O, 15, FALSE)</f>
        <v>54</v>
      </c>
    </row>
    <row r="65" ht="15.75" customHeight="1">
      <c r="A65" s="33" t="s">
        <v>129</v>
      </c>
      <c r="B65" s="22" t="str">
        <f>VLOOKUP($A65,'Customer Names'!$A:$D,3, FALSE)</f>
        <v>Blitzer</v>
      </c>
      <c r="C65" s="22">
        <f>VLOOKUP($A65,'Medical Examinations'!$A:$D, 2, FALSE)</f>
        <v>30.685</v>
      </c>
      <c r="D65" s="22">
        <f>VLOOKUP($A65, 'Medical Examinations'!$A:$D,3, FALSE)</f>
        <v>7.02</v>
      </c>
      <c r="E65" s="22" t="str">
        <f>VLOOKUP($A65, 'Medical Examinations'!$A:$D, 4, FALSE)</f>
        <v>Yes</v>
      </c>
      <c r="F65" s="22" t="str">
        <f>VLOOKUP($A65, 'Medical Examinations'!$A:$J, 5, FALSE)</f>
        <v>No</v>
      </c>
      <c r="G65" s="22" t="str">
        <f>VLOOKUP($A65, 'Medical Examinations'!$A:$I, 6, FALSE)</f>
        <v>No</v>
      </c>
      <c r="H65" s="22">
        <f>VLOOKUP($A65,'Medical Examinations'!$A:$L,10, FALSE)</f>
        <v>0</v>
      </c>
      <c r="I65" s="22" t="str">
        <f>VLOOKUP($A65, 'Medical Examinations'!$A:$J, 9, FALSE)</f>
        <v>Yes</v>
      </c>
      <c r="J65" s="22" t="str">
        <f>VLOOKUP($A65, 'Medical Examinations'!$A:$P, 11, FALSE)</f>
        <v>OBESITY</v>
      </c>
      <c r="K65" s="34">
        <v>30603.0</v>
      </c>
      <c r="L65" s="35">
        <f>VLOOKUP($A65, 'Hospitalisation Details'!$A:$H, 7, FALSE)</f>
        <v>42303.69</v>
      </c>
      <c r="M65" s="22" t="str">
        <f>VLOOKUP($A65, 'Hospitalisation Details'!$A:$L, 12, FALSE)</f>
        <v>tier - 1</v>
      </c>
      <c r="N65" s="22" t="str">
        <f>VLOOKUP($A65, 'Hospitalisation Details'!$A:$M, 13, FALSE)</f>
        <v>tier - 2</v>
      </c>
      <c r="O65" s="22" t="str">
        <f>VLOOKUP($A65, 'Hospitalisation Details'!$A:$N, 14, FALSE)</f>
        <v>R1016</v>
      </c>
      <c r="P65" s="36">
        <f>VLOOKUP($A65, 'Hospitalisation Details'!$A:$O, 15, FALSE)</f>
        <v>55</v>
      </c>
    </row>
    <row r="66" ht="15.75" customHeight="1">
      <c r="A66" s="33" t="s">
        <v>131</v>
      </c>
      <c r="B66" s="22" t="str">
        <f>VLOOKUP($A66,'Customer Names'!$A:$D,3, FALSE)</f>
        <v>Smith</v>
      </c>
      <c r="C66" s="22">
        <f>VLOOKUP($A66,'Medical Examinations'!$A:$D, 2, FALSE)</f>
        <v>36.08</v>
      </c>
      <c r="D66" s="22">
        <f>VLOOKUP($A66, 'Medical Examinations'!$A:$D,3, FALSE)</f>
        <v>8.8</v>
      </c>
      <c r="E66" s="22" t="str">
        <f>VLOOKUP($A66, 'Medical Examinations'!$A:$D, 4, FALSE)</f>
        <v>Yes</v>
      </c>
      <c r="F66" s="22" t="str">
        <f>VLOOKUP($A66, 'Medical Examinations'!$A:$J, 5, FALSE)</f>
        <v>No</v>
      </c>
      <c r="G66" s="22" t="str">
        <f>VLOOKUP($A66, 'Medical Examinations'!$A:$I, 6, FALSE)</f>
        <v>No</v>
      </c>
      <c r="H66" s="22">
        <f>VLOOKUP($A66,'Medical Examinations'!$A:$L,10, FALSE)</f>
        <v>1</v>
      </c>
      <c r="I66" s="22" t="str">
        <f>VLOOKUP($A66, 'Medical Examinations'!$A:$J, 9, FALSE)</f>
        <v>Yes</v>
      </c>
      <c r="J66" s="22" t="str">
        <f>VLOOKUP($A66, 'Medical Examinations'!$A:$P, 11, FALSE)</f>
        <v>OBESITY</v>
      </c>
      <c r="K66" s="34">
        <v>26596.0</v>
      </c>
      <c r="L66" s="35">
        <f>VLOOKUP($A66, 'Hospitalisation Details'!$A:$H, 7, FALSE)</f>
        <v>42211.14</v>
      </c>
      <c r="M66" s="22" t="str">
        <f>VLOOKUP($A66, 'Hospitalisation Details'!$A:$L, 12, FALSE)</f>
        <v>tier - 1</v>
      </c>
      <c r="N66" s="22" t="str">
        <f>VLOOKUP($A66, 'Hospitalisation Details'!$A:$M, 13, FALSE)</f>
        <v>tier - 3</v>
      </c>
      <c r="O66" s="22" t="str">
        <f>VLOOKUP($A66, 'Hospitalisation Details'!$A:$N, 14, FALSE)</f>
        <v>R1013</v>
      </c>
      <c r="P66" s="36">
        <f>VLOOKUP($A66, 'Hospitalisation Details'!$A:$O, 15, FALSE)</f>
        <v>47</v>
      </c>
    </row>
    <row r="67" ht="15.75" customHeight="1">
      <c r="A67" s="33" t="s">
        <v>133</v>
      </c>
      <c r="B67" s="22" t="str">
        <f>VLOOKUP($A67,'Customer Names'!$A:$D,3, FALSE)</f>
        <v>Hyland</v>
      </c>
      <c r="C67" s="22">
        <f>VLOOKUP($A67,'Medical Examinations'!$A:$D, 2, FALSE)</f>
        <v>54.99</v>
      </c>
      <c r="D67" s="22">
        <f>VLOOKUP($A67, 'Medical Examinations'!$A:$D,3, FALSE)</f>
        <v>8.68</v>
      </c>
      <c r="E67" s="22" t="str">
        <f>VLOOKUP($A67, 'Medical Examinations'!$A:$D, 4, FALSE)</f>
        <v>No</v>
      </c>
      <c r="F67" s="22" t="str">
        <f>VLOOKUP($A67, 'Medical Examinations'!$A:$J, 5, FALSE)</f>
        <v>No</v>
      </c>
      <c r="G67" s="22" t="str">
        <f>VLOOKUP($A67, 'Medical Examinations'!$A:$I, 6, FALSE)</f>
        <v>No</v>
      </c>
      <c r="H67" s="22">
        <f>VLOOKUP($A67,'Medical Examinations'!$A:$L,10, FALSE)</f>
        <v>2</v>
      </c>
      <c r="I67" s="22" t="str">
        <f>VLOOKUP($A67, 'Medical Examinations'!$A:$J, 9, FALSE)</f>
        <v>Yes</v>
      </c>
      <c r="J67" s="22" t="str">
        <f>VLOOKUP($A67, 'Medical Examinations'!$A:$P, 11, FALSE)</f>
        <v>OBESITY</v>
      </c>
      <c r="K67" s="34">
        <v>28033.0</v>
      </c>
      <c r="L67" s="35">
        <f>VLOOKUP($A67, 'Hospitalisation Details'!$A:$H, 7, FALSE)</f>
        <v>42188.15</v>
      </c>
      <c r="M67" s="22" t="str">
        <f>VLOOKUP($A67, 'Hospitalisation Details'!$A:$L, 12, FALSE)</f>
        <v>tier - 1</v>
      </c>
      <c r="N67" s="22" t="str">
        <f>VLOOKUP($A67, 'Hospitalisation Details'!$A:$M, 13, FALSE)</f>
        <v>tier - 1</v>
      </c>
      <c r="O67" s="22" t="str">
        <f>VLOOKUP($A67, 'Hospitalisation Details'!$A:$N, 14, FALSE)</f>
        <v>R1011</v>
      </c>
      <c r="P67" s="36">
        <f>VLOOKUP($A67, 'Hospitalisation Details'!$A:$O, 15, FALSE)</f>
        <v>49</v>
      </c>
    </row>
    <row r="68" ht="15.75" customHeight="1">
      <c r="A68" s="33" t="s">
        <v>135</v>
      </c>
      <c r="B68" s="22" t="str">
        <f>VLOOKUP($A68,'Customer Names'!$A:$D,3, FALSE)</f>
        <v>Ducharme</v>
      </c>
      <c r="C68" s="22">
        <f>VLOOKUP($A68,'Medical Examinations'!$A:$D, 2, FALSE)</f>
        <v>35.97</v>
      </c>
      <c r="D68" s="22">
        <f>VLOOKUP($A68, 'Medical Examinations'!$A:$D,3, FALSE)</f>
        <v>6.12</v>
      </c>
      <c r="E68" s="22" t="str">
        <f>VLOOKUP($A68, 'Medical Examinations'!$A:$D, 4, FALSE)</f>
        <v>No</v>
      </c>
      <c r="F68" s="22" t="str">
        <f>VLOOKUP($A68, 'Medical Examinations'!$A:$J, 5, FALSE)</f>
        <v>No</v>
      </c>
      <c r="G68" s="22" t="str">
        <f>VLOOKUP($A68, 'Medical Examinations'!$A:$I, 6, FALSE)</f>
        <v>Yes</v>
      </c>
      <c r="H68" s="22">
        <f>VLOOKUP($A68,'Medical Examinations'!$A:$L,10, FALSE)</f>
        <v>1</v>
      </c>
      <c r="I68" s="22" t="str">
        <f>VLOOKUP($A68, 'Medical Examinations'!$A:$J, 9, FALSE)</f>
        <v>Yes</v>
      </c>
      <c r="J68" s="22" t="str">
        <f>VLOOKUP($A68, 'Medical Examinations'!$A:$P, 11, FALSE)</f>
        <v>OBESITY</v>
      </c>
      <c r="K68" s="34">
        <v>28339.0</v>
      </c>
      <c r="L68" s="35">
        <f>VLOOKUP($A68, 'Hospitalisation Details'!$A:$H, 7, FALSE)</f>
        <v>42124.52</v>
      </c>
      <c r="M68" s="22" t="str">
        <f>VLOOKUP($A68, 'Hospitalisation Details'!$A:$L, 12, FALSE)</f>
        <v>tier - 1</v>
      </c>
      <c r="N68" s="22" t="str">
        <f>VLOOKUP($A68, 'Hospitalisation Details'!$A:$M, 13, FALSE)</f>
        <v>tier - 1</v>
      </c>
      <c r="O68" s="22" t="str">
        <f>VLOOKUP($A68, 'Hospitalisation Details'!$A:$N, 14, FALSE)</f>
        <v>R1013</v>
      </c>
      <c r="P68" s="36">
        <f>VLOOKUP($A68, 'Hospitalisation Details'!$A:$O, 15, FALSE)</f>
        <v>43</v>
      </c>
    </row>
    <row r="69" ht="15.75" customHeight="1">
      <c r="A69" s="33" t="s">
        <v>137</v>
      </c>
      <c r="B69" s="22" t="str">
        <f>VLOOKUP($A69,'Customer Names'!$A:$D,3, FALSE)</f>
        <v>Johnson</v>
      </c>
      <c r="C69" s="22">
        <f>VLOOKUP($A69,'Medical Examinations'!$A:$D, 2, FALSE)</f>
        <v>45.54</v>
      </c>
      <c r="D69" s="22">
        <f>VLOOKUP($A69, 'Medical Examinations'!$A:$D,3, FALSE)</f>
        <v>5.4</v>
      </c>
      <c r="E69" s="22" t="str">
        <f>VLOOKUP($A69, 'Medical Examinations'!$A:$D, 4, FALSE)</f>
        <v>Yes</v>
      </c>
      <c r="F69" s="22" t="str">
        <f>VLOOKUP($A69, 'Medical Examinations'!$A:$J, 5, FALSE)</f>
        <v>No</v>
      </c>
      <c r="G69" s="22" t="str">
        <f>VLOOKUP($A69, 'Medical Examinations'!$A:$I, 6, FALSE)</f>
        <v>Yes</v>
      </c>
      <c r="H69" s="22">
        <f>VLOOKUP($A69,'Medical Examinations'!$A:$L,10, FALSE)</f>
        <v>1</v>
      </c>
      <c r="I69" s="22" t="str">
        <f>VLOOKUP($A69, 'Medical Examinations'!$A:$J, 9, FALSE)</f>
        <v>Yes</v>
      </c>
      <c r="J69" s="22" t="str">
        <f>VLOOKUP($A69, 'Medical Examinations'!$A:$P, 11, FALSE)</f>
        <v>OBESITY</v>
      </c>
      <c r="K69" s="34">
        <v>22896.0</v>
      </c>
      <c r="L69" s="35">
        <f>VLOOKUP($A69, 'Hospitalisation Details'!$A:$H, 7, FALSE)</f>
        <v>42112.24</v>
      </c>
      <c r="M69" s="22" t="str">
        <f>VLOOKUP($A69, 'Hospitalisation Details'!$A:$L, 12, FALSE)</f>
        <v>tier - 1</v>
      </c>
      <c r="N69" s="22" t="str">
        <f>VLOOKUP($A69, 'Hospitalisation Details'!$A:$M, 13, FALSE)</f>
        <v>tier - 3</v>
      </c>
      <c r="O69" s="22" t="str">
        <f>VLOOKUP($A69, 'Hospitalisation Details'!$A:$N, 14, FALSE)</f>
        <v>R1013</v>
      </c>
      <c r="P69" s="36">
        <f>VLOOKUP($A69, 'Hospitalisation Details'!$A:$O, 15, FALSE)</f>
        <v>25</v>
      </c>
    </row>
    <row r="70" ht="15.75" customHeight="1">
      <c r="A70" s="33" t="s">
        <v>139</v>
      </c>
      <c r="B70" s="22" t="str">
        <f>VLOOKUP($A70,'Customer Names'!$A:$D,3, FALSE)</f>
        <v>Mutz</v>
      </c>
      <c r="C70" s="22">
        <f>VLOOKUP($A70,'Medical Examinations'!$A:$D, 2, FALSE)</f>
        <v>35.53</v>
      </c>
      <c r="D70" s="22">
        <f>VLOOKUP($A70, 'Medical Examinations'!$A:$D,3, FALSE)</f>
        <v>4.36</v>
      </c>
      <c r="E70" s="22" t="str">
        <f>VLOOKUP($A70, 'Medical Examinations'!$A:$D, 4, FALSE)</f>
        <v>Yes</v>
      </c>
      <c r="F70" s="22" t="str">
        <f>VLOOKUP($A70, 'Medical Examinations'!$A:$J, 5, FALSE)</f>
        <v>No</v>
      </c>
      <c r="G70" s="22" t="str">
        <f>VLOOKUP($A70, 'Medical Examinations'!$A:$I, 6, FALSE)</f>
        <v>No</v>
      </c>
      <c r="H70" s="22">
        <f>VLOOKUP($A70,'Medical Examinations'!$A:$L,10, FALSE)</f>
        <v>0</v>
      </c>
      <c r="I70" s="22" t="str">
        <f>VLOOKUP($A70, 'Medical Examinations'!$A:$J, 9, FALSE)</f>
        <v>Yes</v>
      </c>
      <c r="J70" s="22" t="str">
        <f>VLOOKUP($A70, 'Medical Examinations'!$A:$P, 11, FALSE)</f>
        <v>OBESITY</v>
      </c>
      <c r="K70" s="34">
        <v>28086.0</v>
      </c>
      <c r="L70" s="35">
        <f>VLOOKUP($A70, 'Hospitalisation Details'!$A:$H, 7, FALSE)</f>
        <v>42111.66</v>
      </c>
      <c r="M70" s="22" t="str">
        <f>VLOOKUP($A70, 'Hospitalisation Details'!$A:$L, 12, FALSE)</f>
        <v>tier - 1</v>
      </c>
      <c r="N70" s="22" t="str">
        <f>VLOOKUP($A70, 'Hospitalisation Details'!$A:$M, 13, FALSE)</f>
        <v>tier - 1</v>
      </c>
      <c r="O70" s="22" t="str">
        <f>VLOOKUP($A70, 'Hospitalisation Details'!$A:$N, 14, FALSE)</f>
        <v>R1024</v>
      </c>
      <c r="P70" s="36">
        <f>VLOOKUP($A70, 'Hospitalisation Details'!$A:$O, 15, FALSE)</f>
        <v>46</v>
      </c>
    </row>
    <row r="71" ht="15.75" customHeight="1">
      <c r="A71" s="33" t="s">
        <v>141</v>
      </c>
      <c r="B71" s="22" t="str">
        <f>VLOOKUP($A71,'Customer Names'!$A:$D,3, FALSE)</f>
        <v>Lee</v>
      </c>
      <c r="C71" s="22">
        <f>VLOOKUP($A71,'Medical Examinations'!$A:$D, 2, FALSE)</f>
        <v>30.8</v>
      </c>
      <c r="D71" s="22">
        <f>VLOOKUP($A71, 'Medical Examinations'!$A:$D,3, FALSE)</f>
        <v>9.77</v>
      </c>
      <c r="E71" s="22" t="str">
        <f>VLOOKUP($A71, 'Medical Examinations'!$A:$D, 4, FALSE)</f>
        <v>No</v>
      </c>
      <c r="F71" s="22" t="str">
        <f>VLOOKUP($A71, 'Medical Examinations'!$A:$J, 5, FALSE)</f>
        <v>No</v>
      </c>
      <c r="G71" s="22" t="str">
        <f>VLOOKUP($A71, 'Medical Examinations'!$A:$I, 6, FALSE)</f>
        <v>No</v>
      </c>
      <c r="H71" s="22">
        <f>VLOOKUP($A71,'Medical Examinations'!$A:$L,10, FALSE)</f>
        <v>0</v>
      </c>
      <c r="I71" s="22" t="str">
        <f>VLOOKUP($A71, 'Medical Examinations'!$A:$J, 9, FALSE)</f>
        <v>Yes</v>
      </c>
      <c r="J71" s="22" t="str">
        <f>VLOOKUP($A71, 'Medical Examinations'!$A:$P, 11, FALSE)</f>
        <v>OBESITY</v>
      </c>
      <c r="K71" s="34">
        <v>23597.0</v>
      </c>
      <c r="L71" s="35">
        <f>VLOOKUP($A71, 'Hospitalisation Details'!$A:$H, 7, FALSE)</f>
        <v>41999.52</v>
      </c>
      <c r="M71" s="22" t="str">
        <f>VLOOKUP($A71, 'Hospitalisation Details'!$A:$L, 12, FALSE)</f>
        <v>tier - 1</v>
      </c>
      <c r="N71" s="22" t="str">
        <f>VLOOKUP($A71, 'Hospitalisation Details'!$A:$M, 13, FALSE)</f>
        <v>tier - 3</v>
      </c>
      <c r="O71" s="22" t="str">
        <f>VLOOKUP($A71, 'Hospitalisation Details'!$A:$N, 14, FALSE)</f>
        <v>R1013</v>
      </c>
      <c r="P71" s="36">
        <f>VLOOKUP($A71, 'Hospitalisation Details'!$A:$O, 15, FALSE)</f>
        <v>54</v>
      </c>
    </row>
    <row r="72" ht="15.75" customHeight="1">
      <c r="A72" s="33" t="s">
        <v>143</v>
      </c>
      <c r="B72" s="22" t="str">
        <f>VLOOKUP($A72,'Customer Names'!$A:$D,3, FALSE)</f>
        <v>Turner</v>
      </c>
      <c r="C72" s="22">
        <f>VLOOKUP($A72,'Medical Examinations'!$A:$D, 2, FALSE)</f>
        <v>38.39</v>
      </c>
      <c r="D72" s="22">
        <f>VLOOKUP($A72, 'Medical Examinations'!$A:$D,3, FALSE)</f>
        <v>4.25</v>
      </c>
      <c r="E72" s="22" t="str">
        <f>VLOOKUP($A72, 'Medical Examinations'!$A:$D, 4, FALSE)</f>
        <v>No</v>
      </c>
      <c r="F72" s="22" t="str">
        <f>VLOOKUP($A72, 'Medical Examinations'!$A:$J, 5, FALSE)</f>
        <v>No</v>
      </c>
      <c r="G72" s="22" t="str">
        <f>VLOOKUP($A72, 'Medical Examinations'!$A:$I, 6, FALSE)</f>
        <v>No</v>
      </c>
      <c r="H72" s="22">
        <f>VLOOKUP($A72,'Medical Examinations'!$A:$L,10, FALSE)</f>
        <v>1</v>
      </c>
      <c r="I72" s="22" t="str">
        <f>VLOOKUP($A72, 'Medical Examinations'!$A:$J, 9, FALSE)</f>
        <v>Yes</v>
      </c>
      <c r="J72" s="22" t="str">
        <f>VLOOKUP($A72, 'Medical Examinations'!$A:$P, 11, FALSE)</f>
        <v>OBESITY</v>
      </c>
      <c r="K72" s="34">
        <v>33060.0</v>
      </c>
      <c r="L72" s="35">
        <f>VLOOKUP($A72, 'Hospitalisation Details'!$A:$H, 7, FALSE)</f>
        <v>41949.24</v>
      </c>
      <c r="M72" s="22" t="str">
        <f>VLOOKUP($A72, 'Hospitalisation Details'!$A:$L, 12, FALSE)</f>
        <v>tier - 1</v>
      </c>
      <c r="N72" s="22" t="str">
        <f>VLOOKUP($A72, 'Hospitalisation Details'!$A:$M, 13, FALSE)</f>
        <v>tier - 1</v>
      </c>
      <c r="O72" s="22" t="str">
        <f>VLOOKUP($A72, 'Hospitalisation Details'!$A:$N, 14, FALSE)</f>
        <v>R1013</v>
      </c>
      <c r="P72" s="36">
        <f>VLOOKUP($A72, 'Hospitalisation Details'!$A:$O, 15, FALSE)</f>
        <v>38</v>
      </c>
    </row>
    <row r="73" ht="15.75" customHeight="1">
      <c r="A73" s="33" t="s">
        <v>145</v>
      </c>
      <c r="B73" s="22" t="str">
        <f>VLOOKUP($A73,'Customer Names'!$A:$D,3, FALSE)</f>
        <v>Rangel</v>
      </c>
      <c r="C73" s="22">
        <f>VLOOKUP($A73,'Medical Examinations'!$A:$D, 2, FALSE)</f>
        <v>32.3</v>
      </c>
      <c r="D73" s="22">
        <f>VLOOKUP($A73, 'Medical Examinations'!$A:$D,3, FALSE)</f>
        <v>4.76</v>
      </c>
      <c r="E73" s="22" t="str">
        <f>VLOOKUP($A73, 'Medical Examinations'!$A:$D, 4, FALSE)</f>
        <v>No</v>
      </c>
      <c r="F73" s="22" t="str">
        <f>VLOOKUP($A73, 'Medical Examinations'!$A:$J, 5, FALSE)</f>
        <v>No</v>
      </c>
      <c r="G73" s="22" t="str">
        <f>VLOOKUP($A73, 'Medical Examinations'!$A:$I, 6, FALSE)</f>
        <v>No</v>
      </c>
      <c r="H73" s="22">
        <f>VLOOKUP($A73,'Medical Examinations'!$A:$L,10, FALSE)</f>
        <v>2</v>
      </c>
      <c r="I73" s="22" t="str">
        <f>VLOOKUP($A73, 'Medical Examinations'!$A:$J, 9, FALSE)</f>
        <v>Yes</v>
      </c>
      <c r="J73" s="22" t="str">
        <f>VLOOKUP($A73, 'Medical Examinations'!$A:$P, 11, FALSE)</f>
        <v>OBESITY</v>
      </c>
      <c r="K73" s="34">
        <v>33808.0</v>
      </c>
      <c r="L73" s="35">
        <f>VLOOKUP($A73, 'Hospitalisation Details'!$A:$H, 7, FALSE)</f>
        <v>41919.1</v>
      </c>
      <c r="M73" s="22" t="str">
        <f>VLOOKUP($A73, 'Hospitalisation Details'!$A:$L, 12, FALSE)</f>
        <v>tier - 1</v>
      </c>
      <c r="N73" s="22" t="str">
        <f>VLOOKUP($A73, 'Hospitalisation Details'!$A:$M, 13, FALSE)</f>
        <v>tier - 1</v>
      </c>
      <c r="O73" s="22" t="str">
        <f>VLOOKUP($A73, 'Hospitalisation Details'!$A:$N, 14, FALSE)</f>
        <v>R1016</v>
      </c>
      <c r="P73" s="36">
        <f>VLOOKUP($A73, 'Hospitalisation Details'!$A:$O, 15, FALSE)</f>
        <v>51</v>
      </c>
    </row>
    <row r="74" ht="15.75" customHeight="1">
      <c r="A74" s="33" t="s">
        <v>147</v>
      </c>
      <c r="B74" s="22" t="str">
        <f>VLOOKUP($A74,'Customer Names'!$A:$D,3, FALSE)</f>
        <v>Lacey</v>
      </c>
      <c r="C74" s="22">
        <f>VLOOKUP($A74,'Medical Examinations'!$A:$D, 2, FALSE)</f>
        <v>48.8</v>
      </c>
      <c r="D74" s="22">
        <f>VLOOKUP($A74, 'Medical Examinations'!$A:$D,3, FALSE)</f>
        <v>6.22</v>
      </c>
      <c r="E74" s="22" t="str">
        <f>VLOOKUP($A74, 'Medical Examinations'!$A:$D, 4, FALSE)</f>
        <v>Yes</v>
      </c>
      <c r="F74" s="22" t="str">
        <f>VLOOKUP($A74, 'Medical Examinations'!$A:$J, 5, FALSE)</f>
        <v>No</v>
      </c>
      <c r="G74" s="22" t="str">
        <f>VLOOKUP($A74, 'Medical Examinations'!$A:$I, 6, FALSE)</f>
        <v>No</v>
      </c>
      <c r="H74" s="22">
        <f>VLOOKUP($A74,'Medical Examinations'!$A:$L,10, FALSE)</f>
        <v>2</v>
      </c>
      <c r="I74" s="22" t="str">
        <f>VLOOKUP($A74, 'Medical Examinations'!$A:$J, 9, FALSE)</f>
        <v>Yes</v>
      </c>
      <c r="J74" s="22" t="str">
        <f>VLOOKUP($A74, 'Medical Examinations'!$A:$P, 11, FALSE)</f>
        <v>OBESITY</v>
      </c>
      <c r="K74" s="34">
        <v>23920.0</v>
      </c>
      <c r="L74" s="35">
        <f>VLOOKUP($A74, 'Hospitalisation Details'!$A:$H, 7, FALSE)</f>
        <v>41886.54</v>
      </c>
      <c r="M74" s="22" t="str">
        <f>VLOOKUP($A74, 'Hospitalisation Details'!$A:$L, 12, FALSE)</f>
        <v>tier - 1</v>
      </c>
      <c r="N74" s="22" t="str">
        <f>VLOOKUP($A74, 'Hospitalisation Details'!$A:$M, 13, FALSE)</f>
        <v>tier - 3</v>
      </c>
      <c r="O74" s="22" t="str">
        <f>VLOOKUP($A74, 'Hospitalisation Details'!$A:$N, 14, FALSE)</f>
        <v>R1011</v>
      </c>
      <c r="P74" s="36">
        <f>VLOOKUP($A74, 'Hospitalisation Details'!$A:$O, 15, FALSE)</f>
        <v>56</v>
      </c>
    </row>
    <row r="75" ht="15.75" customHeight="1">
      <c r="A75" s="33" t="s">
        <v>149</v>
      </c>
      <c r="B75" s="22" t="str">
        <f>VLOOKUP($A75,'Customer Names'!$A:$D,3, FALSE)</f>
        <v>Stiger</v>
      </c>
      <c r="C75" s="22">
        <f>VLOOKUP($A75,'Medical Examinations'!$A:$D, 2, FALSE)</f>
        <v>45.5</v>
      </c>
      <c r="D75" s="22">
        <f>VLOOKUP($A75, 'Medical Examinations'!$A:$D,3, FALSE)</f>
        <v>7.96</v>
      </c>
      <c r="E75" s="22" t="str">
        <f>VLOOKUP($A75, 'Medical Examinations'!$A:$D, 4, FALSE)</f>
        <v>No</v>
      </c>
      <c r="F75" s="22" t="str">
        <f>VLOOKUP($A75, 'Medical Examinations'!$A:$J, 5, FALSE)</f>
        <v>No</v>
      </c>
      <c r="G75" s="22" t="str">
        <f>VLOOKUP($A75, 'Medical Examinations'!$A:$I, 6, FALSE)</f>
        <v>No</v>
      </c>
      <c r="H75" s="22">
        <f>VLOOKUP($A75,'Medical Examinations'!$A:$L,10, FALSE)</f>
        <v>0</v>
      </c>
      <c r="I75" s="22" t="str">
        <f>VLOOKUP($A75, 'Medical Examinations'!$A:$J, 9, FALSE)</f>
        <v>Yes</v>
      </c>
      <c r="J75" s="22" t="str">
        <f>VLOOKUP($A75, 'Medical Examinations'!$A:$P, 11, FALSE)</f>
        <v>OBESITY</v>
      </c>
      <c r="K75" s="34">
        <v>24290.0</v>
      </c>
      <c r="L75" s="35">
        <f>VLOOKUP($A75, 'Hospitalisation Details'!$A:$H, 7, FALSE)</f>
        <v>41794.63</v>
      </c>
      <c r="M75" s="22" t="str">
        <f>VLOOKUP($A75, 'Hospitalisation Details'!$A:$L, 12, FALSE)</f>
        <v>tier - 1</v>
      </c>
      <c r="N75" s="22" t="str">
        <f>VLOOKUP($A75, 'Hospitalisation Details'!$A:$M, 13, FALSE)</f>
        <v>tier - 3</v>
      </c>
      <c r="O75" s="22" t="str">
        <f>VLOOKUP($A75, 'Hospitalisation Details'!$A:$N, 14, FALSE)</f>
        <v>R1011</v>
      </c>
      <c r="P75" s="36">
        <f>VLOOKUP($A75, 'Hospitalisation Details'!$A:$O, 15, FALSE)</f>
        <v>60</v>
      </c>
    </row>
    <row r="76" ht="15.75" customHeight="1">
      <c r="A76" s="33" t="s">
        <v>151</v>
      </c>
      <c r="B76" s="22" t="str">
        <f>VLOOKUP($A76,'Customer Names'!$A:$D,3, FALSE)</f>
        <v>Caldwell</v>
      </c>
      <c r="C76" s="22">
        <f>VLOOKUP($A76,'Medical Examinations'!$A:$D, 2, FALSE)</f>
        <v>53.61</v>
      </c>
      <c r="D76" s="22">
        <f>VLOOKUP($A76, 'Medical Examinations'!$A:$D,3, FALSE)</f>
        <v>10.92</v>
      </c>
      <c r="E76" s="22" t="str">
        <f>VLOOKUP($A76, 'Medical Examinations'!$A:$D, 4, FALSE)</f>
        <v>Yes</v>
      </c>
      <c r="F76" s="22" t="str">
        <f>VLOOKUP($A76, 'Medical Examinations'!$A:$J, 5, FALSE)</f>
        <v>No</v>
      </c>
      <c r="G76" s="22" t="str">
        <f>VLOOKUP($A76, 'Medical Examinations'!$A:$I, 6, FALSE)</f>
        <v>No</v>
      </c>
      <c r="H76" s="22">
        <f>VLOOKUP($A76,'Medical Examinations'!$A:$L,10, FALSE)</f>
        <v>1</v>
      </c>
      <c r="I76" s="22" t="str">
        <f>VLOOKUP($A76, 'Medical Examinations'!$A:$J, 9, FALSE)</f>
        <v>Yes</v>
      </c>
      <c r="J76" s="22" t="str">
        <f>VLOOKUP($A76, 'Medical Examinations'!$A:$P, 11, FALSE)</f>
        <v>OBESITY</v>
      </c>
      <c r="K76" s="34">
        <v>24331.0</v>
      </c>
      <c r="L76" s="35">
        <f>VLOOKUP($A76, 'Hospitalisation Details'!$A:$H, 7, FALSE)</f>
        <v>41681.86</v>
      </c>
      <c r="M76" s="22" t="str">
        <f>VLOOKUP($A76, 'Hospitalisation Details'!$A:$L, 12, FALSE)</f>
        <v>tier - 1</v>
      </c>
      <c r="N76" s="22" t="str">
        <f>VLOOKUP($A76, 'Hospitalisation Details'!$A:$M, 13, FALSE)</f>
        <v>tier - 1</v>
      </c>
      <c r="O76" s="22" t="str">
        <f>VLOOKUP($A76, 'Hospitalisation Details'!$A:$N, 14, FALSE)</f>
        <v>R1011</v>
      </c>
      <c r="P76" s="36">
        <f>VLOOKUP($A76, 'Hospitalisation Details'!$A:$O, 15, FALSE)</f>
        <v>47</v>
      </c>
    </row>
    <row r="77" ht="15.75" customHeight="1">
      <c r="A77" s="33" t="s">
        <v>153</v>
      </c>
      <c r="B77" s="22" t="str">
        <f>VLOOKUP($A77,'Customer Names'!$A:$D,3, FALSE)</f>
        <v>Marmillod</v>
      </c>
      <c r="C77" s="22">
        <f>VLOOKUP($A77,'Medical Examinations'!$A:$D, 2, FALSE)</f>
        <v>36.19</v>
      </c>
      <c r="D77" s="22">
        <f>VLOOKUP($A77, 'Medical Examinations'!$A:$D,3, FALSE)</f>
        <v>11.51</v>
      </c>
      <c r="E77" s="22" t="str">
        <f>VLOOKUP($A77, 'Medical Examinations'!$A:$D, 4, FALSE)</f>
        <v>Yes</v>
      </c>
      <c r="F77" s="22" t="str">
        <f>VLOOKUP($A77, 'Medical Examinations'!$A:$J, 5, FALSE)</f>
        <v>No</v>
      </c>
      <c r="G77" s="22" t="str">
        <f>VLOOKUP($A77, 'Medical Examinations'!$A:$I, 6, FALSE)</f>
        <v>No</v>
      </c>
      <c r="H77" s="22">
        <f>VLOOKUP($A77,'Medical Examinations'!$A:$L,10, FALSE)</f>
        <v>1</v>
      </c>
      <c r="I77" s="22" t="str">
        <f>VLOOKUP($A77, 'Medical Examinations'!$A:$J, 9, FALSE)</f>
        <v>Yes</v>
      </c>
      <c r="J77" s="22" t="str">
        <f>VLOOKUP($A77, 'Medical Examinations'!$A:$P, 11, FALSE)</f>
        <v>OBESITY</v>
      </c>
      <c r="K77" s="34">
        <v>24646.0</v>
      </c>
      <c r="L77" s="35">
        <f>VLOOKUP($A77, 'Hospitalisation Details'!$A:$H, 7, FALSE)</f>
        <v>41676.08</v>
      </c>
      <c r="M77" s="22" t="str">
        <f>VLOOKUP($A77, 'Hospitalisation Details'!$A:$L, 12, FALSE)</f>
        <v>tier - 1</v>
      </c>
      <c r="N77" s="22" t="str">
        <f>VLOOKUP($A77, 'Hospitalisation Details'!$A:$M, 13, FALSE)</f>
        <v>tier - 2</v>
      </c>
      <c r="O77" s="22" t="str">
        <f>VLOOKUP($A77, 'Hospitalisation Details'!$A:$N, 14, FALSE)</f>
        <v>R1013</v>
      </c>
      <c r="P77" s="36">
        <f>VLOOKUP($A77, 'Hospitalisation Details'!$A:$O, 15, FALSE)</f>
        <v>47</v>
      </c>
    </row>
    <row r="78" ht="15.75" customHeight="1">
      <c r="A78" s="33" t="s">
        <v>155</v>
      </c>
      <c r="B78" s="22" t="str">
        <f>VLOOKUP($A78,'Customer Names'!$A:$D,3, FALSE)</f>
        <v>Cloutier-Simons</v>
      </c>
      <c r="C78" s="22">
        <f>VLOOKUP($A78,'Medical Examinations'!$A:$D, 2, FALSE)</f>
        <v>34.6</v>
      </c>
      <c r="D78" s="22">
        <f>VLOOKUP($A78, 'Medical Examinations'!$A:$D,3, FALSE)</f>
        <v>5.99</v>
      </c>
      <c r="E78" s="22" t="str">
        <f>VLOOKUP($A78, 'Medical Examinations'!$A:$D, 4, FALSE)</f>
        <v>Yes</v>
      </c>
      <c r="F78" s="22" t="str">
        <f>VLOOKUP($A78, 'Medical Examinations'!$A:$J, 5, FALSE)</f>
        <v>No</v>
      </c>
      <c r="G78" s="22" t="str">
        <f>VLOOKUP($A78, 'Medical Examinations'!$A:$I, 6, FALSE)</f>
        <v>No</v>
      </c>
      <c r="H78" s="22">
        <f>VLOOKUP($A78,'Medical Examinations'!$A:$L,10, FALSE)</f>
        <v>0</v>
      </c>
      <c r="I78" s="22" t="str">
        <f>VLOOKUP($A78, 'Medical Examinations'!$A:$J, 9, FALSE)</f>
        <v>Yes</v>
      </c>
      <c r="J78" s="22" t="str">
        <f>VLOOKUP($A78, 'Medical Examinations'!$A:$P, 11, FALSE)</f>
        <v>OBESITY</v>
      </c>
      <c r="K78" s="34">
        <v>24308.0</v>
      </c>
      <c r="L78" s="35">
        <f>VLOOKUP($A78, 'Hospitalisation Details'!$A:$H, 7, FALSE)</f>
        <v>41661.6</v>
      </c>
      <c r="M78" s="22" t="str">
        <f>VLOOKUP($A78, 'Hospitalisation Details'!$A:$L, 12, FALSE)</f>
        <v>tier - 1</v>
      </c>
      <c r="N78" s="22" t="str">
        <f>VLOOKUP($A78, 'Hospitalisation Details'!$A:$M, 13, FALSE)</f>
        <v>tier - 3</v>
      </c>
      <c r="O78" s="22" t="str">
        <f>VLOOKUP($A78, 'Hospitalisation Details'!$A:$N, 14, FALSE)</f>
        <v>R1011</v>
      </c>
      <c r="P78" s="36">
        <f>VLOOKUP($A78, 'Hospitalisation Details'!$A:$O, 15, FALSE)</f>
        <v>46</v>
      </c>
    </row>
    <row r="79" ht="15.75" customHeight="1">
      <c r="A79" s="33" t="s">
        <v>157</v>
      </c>
      <c r="B79" s="22" t="str">
        <f>VLOOKUP($A79,'Customer Names'!$A:$D,3, FALSE)</f>
        <v>Vegas</v>
      </c>
      <c r="C79" s="22">
        <f>VLOOKUP($A79,'Medical Examinations'!$A:$D, 2, FALSE)</f>
        <v>54.12</v>
      </c>
      <c r="D79" s="22">
        <f>VLOOKUP($A79, 'Medical Examinations'!$A:$D,3, FALSE)</f>
        <v>11.57</v>
      </c>
      <c r="E79" s="22" t="str">
        <f>VLOOKUP($A79, 'Medical Examinations'!$A:$D, 4, FALSE)</f>
        <v>No</v>
      </c>
      <c r="F79" s="22" t="str">
        <f>VLOOKUP($A79, 'Medical Examinations'!$A:$J, 5, FALSE)</f>
        <v>No</v>
      </c>
      <c r="G79" s="22" t="str">
        <f>VLOOKUP($A79, 'Medical Examinations'!$A:$I, 6, FALSE)</f>
        <v>No</v>
      </c>
      <c r="H79" s="22">
        <f>VLOOKUP($A79,'Medical Examinations'!$A:$L,10, FALSE)</f>
        <v>0</v>
      </c>
      <c r="I79" s="22" t="str">
        <f>VLOOKUP($A79, 'Medical Examinations'!$A:$J, 9, FALSE)</f>
        <v>Yes</v>
      </c>
      <c r="J79" s="22" t="str">
        <f>VLOOKUP($A79, 'Medical Examinations'!$A:$P, 11, FALSE)</f>
        <v>OBESITY</v>
      </c>
      <c r="K79" s="34">
        <v>26647.0</v>
      </c>
      <c r="L79" s="35">
        <f>VLOOKUP($A79, 'Hospitalisation Details'!$A:$H, 7, FALSE)</f>
        <v>41636.2</v>
      </c>
      <c r="M79" s="22" t="str">
        <f>VLOOKUP($A79, 'Hospitalisation Details'!$A:$L, 12, FALSE)</f>
        <v>tier - 1</v>
      </c>
      <c r="N79" s="22" t="str">
        <f>VLOOKUP($A79, 'Hospitalisation Details'!$A:$M, 13, FALSE)</f>
        <v>tier - 1</v>
      </c>
      <c r="O79" s="22" t="str">
        <f>VLOOKUP($A79, 'Hospitalisation Details'!$A:$N, 14, FALSE)</f>
        <v>R1011</v>
      </c>
      <c r="P79" s="36">
        <f>VLOOKUP($A79, 'Hospitalisation Details'!$A:$O, 15, FALSE)</f>
        <v>48</v>
      </c>
    </row>
    <row r="80" ht="15.75" customHeight="1">
      <c r="A80" s="33" t="s">
        <v>159</v>
      </c>
      <c r="B80" s="22" t="str">
        <f>VLOOKUP($A80,'Customer Names'!$A:$D,3, FALSE)</f>
        <v>Cochran</v>
      </c>
      <c r="C80" s="22">
        <f>VLOOKUP($A80,'Medical Examinations'!$A:$D, 2, FALSE)</f>
        <v>48.82</v>
      </c>
      <c r="D80" s="22">
        <f>VLOOKUP($A80, 'Medical Examinations'!$A:$D,3, FALSE)</f>
        <v>6.67</v>
      </c>
      <c r="E80" s="22" t="str">
        <f>VLOOKUP($A80, 'Medical Examinations'!$A:$D, 4, FALSE)</f>
        <v>Yes</v>
      </c>
      <c r="F80" s="22" t="str">
        <f>VLOOKUP($A80, 'Medical Examinations'!$A:$J, 5, FALSE)</f>
        <v>No</v>
      </c>
      <c r="G80" s="22" t="str">
        <f>VLOOKUP($A80, 'Medical Examinations'!$A:$I, 6, FALSE)</f>
        <v>No</v>
      </c>
      <c r="H80" s="22">
        <f>VLOOKUP($A80,'Medical Examinations'!$A:$L,10, FALSE)</f>
        <v>0</v>
      </c>
      <c r="I80" s="22" t="str">
        <f>VLOOKUP($A80, 'Medical Examinations'!$A:$J, 9, FALSE)</f>
        <v>Yes</v>
      </c>
      <c r="J80" s="22" t="str">
        <f>VLOOKUP($A80, 'Medical Examinations'!$A:$P, 11, FALSE)</f>
        <v>OBESITY</v>
      </c>
      <c r="K80" s="34">
        <v>24805.0</v>
      </c>
      <c r="L80" s="35">
        <f>VLOOKUP($A80, 'Hospitalisation Details'!$A:$H, 7, FALSE)</f>
        <v>41505.15</v>
      </c>
      <c r="M80" s="22" t="str">
        <f>VLOOKUP($A80, 'Hospitalisation Details'!$A:$L, 12, FALSE)</f>
        <v>tier - 1</v>
      </c>
      <c r="N80" s="22" t="str">
        <f>VLOOKUP($A80, 'Hospitalisation Details'!$A:$M, 13, FALSE)</f>
        <v>tier - 2</v>
      </c>
      <c r="O80" s="22" t="str">
        <f>VLOOKUP($A80, 'Hospitalisation Details'!$A:$N, 14, FALSE)</f>
        <v>R1011</v>
      </c>
      <c r="P80" s="36">
        <f>VLOOKUP($A80, 'Hospitalisation Details'!$A:$O, 15, FALSE)</f>
        <v>55</v>
      </c>
    </row>
    <row r="81" ht="15.75" customHeight="1">
      <c r="A81" s="33" t="s">
        <v>161</v>
      </c>
      <c r="B81" s="22" t="str">
        <f>VLOOKUP($A81,'Customer Names'!$A:$D,3, FALSE)</f>
        <v>Holtzapple</v>
      </c>
      <c r="C81" s="22">
        <f>VLOOKUP($A81,'Medical Examinations'!$A:$D, 2, FALSE)</f>
        <v>51.01</v>
      </c>
      <c r="D81" s="22">
        <f>VLOOKUP($A81, 'Medical Examinations'!$A:$D,3, FALSE)</f>
        <v>9.2</v>
      </c>
      <c r="E81" s="22" t="str">
        <f>VLOOKUP($A81, 'Medical Examinations'!$A:$D, 4, FALSE)</f>
        <v>No</v>
      </c>
      <c r="F81" s="22" t="str">
        <f>VLOOKUP($A81, 'Medical Examinations'!$A:$J, 5, FALSE)</f>
        <v>No</v>
      </c>
      <c r="G81" s="22" t="str">
        <f>VLOOKUP($A81, 'Medical Examinations'!$A:$I, 6, FALSE)</f>
        <v>No</v>
      </c>
      <c r="H81" s="22">
        <f>VLOOKUP($A81,'Medical Examinations'!$A:$L,10, FALSE)</f>
        <v>0</v>
      </c>
      <c r="I81" s="22" t="str">
        <f>VLOOKUP($A81, 'Medical Examinations'!$A:$J, 9, FALSE)</f>
        <v>Yes</v>
      </c>
      <c r="J81" s="22" t="str">
        <f>VLOOKUP($A81, 'Medical Examinations'!$A:$P, 11, FALSE)</f>
        <v>OBESITY</v>
      </c>
      <c r="K81" s="34">
        <v>24414.0</v>
      </c>
      <c r="L81" s="35">
        <f>VLOOKUP($A81, 'Hospitalisation Details'!$A:$H, 7, FALSE)</f>
        <v>41351.88</v>
      </c>
      <c r="M81" s="22" t="str">
        <f>VLOOKUP($A81, 'Hospitalisation Details'!$A:$L, 12, FALSE)</f>
        <v>tier - 1</v>
      </c>
      <c r="N81" s="22" t="str">
        <f>VLOOKUP($A81, 'Hospitalisation Details'!$A:$M, 13, FALSE)</f>
        <v>tier - 2</v>
      </c>
      <c r="O81" s="22" t="str">
        <f>VLOOKUP($A81, 'Hospitalisation Details'!$A:$N, 14, FALSE)</f>
        <v>R1011</v>
      </c>
      <c r="P81" s="36">
        <f>VLOOKUP($A81, 'Hospitalisation Details'!$A:$O, 15, FALSE)</f>
        <v>51</v>
      </c>
    </row>
    <row r="82" ht="15.75" customHeight="1">
      <c r="A82" s="33" t="s">
        <v>163</v>
      </c>
      <c r="B82" s="22" t="str">
        <f>VLOOKUP($A82,'Customer Names'!$A:$D,3, FALSE)</f>
        <v>Meyer</v>
      </c>
      <c r="C82" s="22">
        <f>VLOOKUP($A82,'Medical Examinations'!$A:$D, 2, FALSE)</f>
        <v>45.65</v>
      </c>
      <c r="D82" s="22">
        <f>VLOOKUP($A82, 'Medical Examinations'!$A:$D,3, FALSE)</f>
        <v>5.11</v>
      </c>
      <c r="E82" s="22" t="str">
        <f>VLOOKUP($A82, 'Medical Examinations'!$A:$D, 4, FALSE)</f>
        <v>Yes</v>
      </c>
      <c r="F82" s="22" t="str">
        <f>VLOOKUP($A82, 'Medical Examinations'!$A:$J, 5, FALSE)</f>
        <v>No</v>
      </c>
      <c r="G82" s="22" t="str">
        <f>VLOOKUP($A82, 'Medical Examinations'!$A:$I, 6, FALSE)</f>
        <v>No</v>
      </c>
      <c r="H82" s="22">
        <f>VLOOKUP($A82,'Medical Examinations'!$A:$L,10, FALSE)</f>
        <v>1</v>
      </c>
      <c r="I82" s="22" t="str">
        <f>VLOOKUP($A82, 'Medical Examinations'!$A:$J, 9, FALSE)</f>
        <v>Yes</v>
      </c>
      <c r="J82" s="22" t="str">
        <f>VLOOKUP($A82, 'Medical Examinations'!$A:$P, 11, FALSE)</f>
        <v>OBESITY</v>
      </c>
      <c r="K82" s="34">
        <v>25562.0</v>
      </c>
      <c r="L82" s="35">
        <f>VLOOKUP($A82, 'Hospitalisation Details'!$A:$H, 7, FALSE)</f>
        <v>41331.79</v>
      </c>
      <c r="M82" s="22" t="str">
        <f>VLOOKUP($A82, 'Hospitalisation Details'!$A:$L, 12, FALSE)</f>
        <v>tier - 1</v>
      </c>
      <c r="N82" s="22" t="str">
        <f>VLOOKUP($A82, 'Hospitalisation Details'!$A:$M, 13, FALSE)</f>
        <v>tier - 2</v>
      </c>
      <c r="O82" s="22" t="str">
        <f>VLOOKUP($A82, 'Hospitalisation Details'!$A:$N, 14, FALSE)</f>
        <v>R1011</v>
      </c>
      <c r="P82" s="36">
        <f>VLOOKUP($A82, 'Hospitalisation Details'!$A:$O, 15, FALSE)</f>
        <v>58</v>
      </c>
    </row>
    <row r="83" ht="15.75" customHeight="1">
      <c r="A83" s="33" t="s">
        <v>165</v>
      </c>
      <c r="B83" s="22" t="str">
        <f>VLOOKUP($A83,'Customer Names'!$A:$D,3, FALSE)</f>
        <v>Brickley</v>
      </c>
      <c r="C83" s="22">
        <f>VLOOKUP($A83,'Medical Examinations'!$A:$D, 2, FALSE)</f>
        <v>52.9</v>
      </c>
      <c r="D83" s="22">
        <f>VLOOKUP($A83, 'Medical Examinations'!$A:$D,3, FALSE)</f>
        <v>5.34</v>
      </c>
      <c r="E83" s="22" t="str">
        <f>VLOOKUP($A83, 'Medical Examinations'!$A:$D, 4, FALSE)</f>
        <v>No</v>
      </c>
      <c r="F83" s="22" t="str">
        <f>VLOOKUP($A83, 'Medical Examinations'!$A:$J, 5, FALSE)</f>
        <v>No</v>
      </c>
      <c r="G83" s="22" t="str">
        <f>VLOOKUP($A83, 'Medical Examinations'!$A:$I, 6, FALSE)</f>
        <v>No</v>
      </c>
      <c r="H83" s="22">
        <f>VLOOKUP($A83,'Medical Examinations'!$A:$L,10, FALSE)</f>
        <v>0</v>
      </c>
      <c r="I83" s="22" t="str">
        <f>VLOOKUP($A83, 'Medical Examinations'!$A:$J, 9, FALSE)</f>
        <v>Yes</v>
      </c>
      <c r="J83" s="22" t="str">
        <f>VLOOKUP($A83, 'Medical Examinations'!$A:$P, 11, FALSE)</f>
        <v>OBESITY</v>
      </c>
      <c r="K83" s="34">
        <v>24452.0</v>
      </c>
      <c r="L83" s="35">
        <f>VLOOKUP($A83, 'Hospitalisation Details'!$A:$H, 7, FALSE)</f>
        <v>41271.5</v>
      </c>
      <c r="M83" s="22" t="str">
        <f>VLOOKUP($A83, 'Hospitalisation Details'!$A:$L, 12, FALSE)</f>
        <v>tier - 1</v>
      </c>
      <c r="N83" s="22" t="str">
        <f>VLOOKUP($A83, 'Hospitalisation Details'!$A:$M, 13, FALSE)</f>
        <v>tier - 2</v>
      </c>
      <c r="O83" s="22" t="str">
        <f>VLOOKUP($A83, 'Hospitalisation Details'!$A:$N, 14, FALSE)</f>
        <v>R1011</v>
      </c>
      <c r="P83" s="36">
        <f>VLOOKUP($A83, 'Hospitalisation Details'!$A:$O, 15, FALSE)</f>
        <v>45</v>
      </c>
    </row>
    <row r="84" ht="15.75" customHeight="1">
      <c r="A84" s="33" t="s">
        <v>167</v>
      </c>
      <c r="B84" s="22" t="str">
        <f>VLOOKUP($A84,'Customer Names'!$A:$D,3, FALSE)</f>
        <v>Magee</v>
      </c>
      <c r="C84" s="22">
        <f>VLOOKUP($A84,'Medical Examinations'!$A:$D, 2, FALSE)</f>
        <v>45.41</v>
      </c>
      <c r="D84" s="22">
        <f>VLOOKUP($A84, 'Medical Examinations'!$A:$D,3, FALSE)</f>
        <v>4.03</v>
      </c>
      <c r="E84" s="22" t="str">
        <f>VLOOKUP($A84, 'Medical Examinations'!$A:$D, 4, FALSE)</f>
        <v>Yes</v>
      </c>
      <c r="F84" s="22" t="str">
        <f>VLOOKUP($A84, 'Medical Examinations'!$A:$J, 5, FALSE)</f>
        <v>No</v>
      </c>
      <c r="G84" s="22" t="str">
        <f>VLOOKUP($A84, 'Medical Examinations'!$A:$I, 6, FALSE)</f>
        <v>No</v>
      </c>
      <c r="H84" s="22">
        <f>VLOOKUP($A84,'Medical Examinations'!$A:$L,10, FALSE)</f>
        <v>1</v>
      </c>
      <c r="I84" s="22" t="str">
        <f>VLOOKUP($A84, 'Medical Examinations'!$A:$J, 9, FALSE)</f>
        <v>Yes</v>
      </c>
      <c r="J84" s="22" t="str">
        <f>VLOOKUP($A84, 'Medical Examinations'!$A:$P, 11, FALSE)</f>
        <v>OBESITY</v>
      </c>
      <c r="K84" s="34">
        <v>25401.0</v>
      </c>
      <c r="L84" s="35">
        <f>VLOOKUP($A84, 'Hospitalisation Details'!$A:$H, 7, FALSE)</f>
        <v>41250.39</v>
      </c>
      <c r="M84" s="22" t="str">
        <f>VLOOKUP($A84, 'Hospitalisation Details'!$A:$L, 12, FALSE)</f>
        <v>tier - 1</v>
      </c>
      <c r="N84" s="22" t="str">
        <f>VLOOKUP($A84, 'Hospitalisation Details'!$A:$M, 13, FALSE)</f>
        <v>tier - 3</v>
      </c>
      <c r="O84" s="22" t="str">
        <f>VLOOKUP($A84, 'Hospitalisation Details'!$A:$N, 14, FALSE)</f>
        <v>R1011</v>
      </c>
      <c r="P84" s="36">
        <f>VLOOKUP($A84, 'Hospitalisation Details'!$A:$O, 15, FALSE)</f>
        <v>59</v>
      </c>
    </row>
    <row r="85" ht="15.75" customHeight="1">
      <c r="A85" s="33" t="s">
        <v>169</v>
      </c>
      <c r="B85" s="22" t="str">
        <f>VLOOKUP($A85,'Customer Names'!$A:$D,3, FALSE)</f>
        <v>Thoma</v>
      </c>
      <c r="C85" s="22">
        <f>VLOOKUP($A85,'Medical Examinations'!$A:$D, 2, FALSE)</f>
        <v>49.41</v>
      </c>
      <c r="D85" s="22">
        <f>VLOOKUP($A85, 'Medical Examinations'!$A:$D,3, FALSE)</f>
        <v>4.23</v>
      </c>
      <c r="E85" s="22" t="str">
        <f>VLOOKUP($A85, 'Medical Examinations'!$A:$D, 4, FALSE)</f>
        <v>Yes</v>
      </c>
      <c r="F85" s="22" t="str">
        <f>VLOOKUP($A85, 'Medical Examinations'!$A:$J, 5, FALSE)</f>
        <v>No</v>
      </c>
      <c r="G85" s="22" t="str">
        <f>VLOOKUP($A85, 'Medical Examinations'!$A:$I, 6, FALSE)</f>
        <v>Yes</v>
      </c>
      <c r="H85" s="22">
        <f>VLOOKUP($A85,'Medical Examinations'!$A:$L,10, FALSE)</f>
        <v>1</v>
      </c>
      <c r="I85" s="22" t="str">
        <f>VLOOKUP($A85, 'Medical Examinations'!$A:$J, 9, FALSE)</f>
        <v>Yes</v>
      </c>
      <c r="J85" s="22" t="str">
        <f>VLOOKUP($A85, 'Medical Examinations'!$A:$P, 11, FALSE)</f>
        <v>OBESITY</v>
      </c>
      <c r="K85" s="34">
        <v>26113.0</v>
      </c>
      <c r="L85" s="35">
        <f>VLOOKUP($A85, 'Hospitalisation Details'!$A:$H, 7, FALSE)</f>
        <v>41191.57</v>
      </c>
      <c r="M85" s="22" t="str">
        <f>VLOOKUP($A85, 'Hospitalisation Details'!$A:$L, 12, FALSE)</f>
        <v>tier - 1</v>
      </c>
      <c r="N85" s="22" t="str">
        <f>VLOOKUP($A85, 'Hospitalisation Details'!$A:$M, 13, FALSE)</f>
        <v>tier - 2</v>
      </c>
      <c r="O85" s="22" t="str">
        <f>VLOOKUP($A85, 'Hospitalisation Details'!$A:$N, 14, FALSE)</f>
        <v>R1011</v>
      </c>
      <c r="P85" s="36">
        <f>VLOOKUP($A85, 'Hospitalisation Details'!$A:$O, 15, FALSE)</f>
        <v>53</v>
      </c>
    </row>
    <row r="86" ht="15.75" customHeight="1">
      <c r="A86" s="33" t="s">
        <v>171</v>
      </c>
      <c r="B86" s="22" t="str">
        <f>VLOOKUP($A86,'Customer Names'!$A:$D,3, FALSE)</f>
        <v>Heagy</v>
      </c>
      <c r="C86" s="22">
        <f>VLOOKUP($A86,'Medical Examinations'!$A:$D, 2, FALSE)</f>
        <v>31.825</v>
      </c>
      <c r="D86" s="22">
        <f>VLOOKUP($A86, 'Medical Examinations'!$A:$D,3, FALSE)</f>
        <v>4.06</v>
      </c>
      <c r="E86" s="22" t="str">
        <f>VLOOKUP($A86, 'Medical Examinations'!$A:$D, 4, FALSE)</f>
        <v>No</v>
      </c>
      <c r="F86" s="22" t="str">
        <f>VLOOKUP($A86, 'Medical Examinations'!$A:$J, 5, FALSE)</f>
        <v>No</v>
      </c>
      <c r="G86" s="22" t="str">
        <f>VLOOKUP($A86, 'Medical Examinations'!$A:$I, 6, FALSE)</f>
        <v>No</v>
      </c>
      <c r="H86" s="22">
        <f>VLOOKUP($A86,'Medical Examinations'!$A:$L,10, FALSE)</f>
        <v>2</v>
      </c>
      <c r="I86" s="22" t="str">
        <f>VLOOKUP($A86, 'Medical Examinations'!$A:$J, 9, FALSE)</f>
        <v>Yes</v>
      </c>
      <c r="J86" s="22" t="str">
        <f>VLOOKUP($A86, 'Medical Examinations'!$A:$P, 11, FALSE)</f>
        <v>OBESITY</v>
      </c>
      <c r="K86" s="34">
        <v>26202.0</v>
      </c>
      <c r="L86" s="35">
        <f>VLOOKUP($A86, 'Hospitalisation Details'!$A:$H, 7, FALSE)</f>
        <v>41097.16</v>
      </c>
      <c r="M86" s="22" t="str">
        <f>VLOOKUP($A86, 'Hospitalisation Details'!$A:$L, 12, FALSE)</f>
        <v>tier - 1</v>
      </c>
      <c r="N86" s="22" t="str">
        <f>VLOOKUP($A86, 'Hospitalisation Details'!$A:$M, 13, FALSE)</f>
        <v>tier - 3</v>
      </c>
      <c r="O86" s="22" t="str">
        <f>VLOOKUP($A86, 'Hospitalisation Details'!$A:$N, 14, FALSE)</f>
        <v>R1016</v>
      </c>
      <c r="P86" s="36">
        <f>VLOOKUP($A86, 'Hospitalisation Details'!$A:$O, 15, FALSE)</f>
        <v>50</v>
      </c>
    </row>
    <row r="87" ht="15.75" customHeight="1">
      <c r="A87" s="33" t="s">
        <v>173</v>
      </c>
      <c r="B87" s="22" t="str">
        <f>VLOOKUP($A87,'Customer Names'!$A:$D,3, FALSE)</f>
        <v>Regnier</v>
      </c>
      <c r="C87" s="22">
        <f>VLOOKUP($A87,'Medical Examinations'!$A:$D, 2, FALSE)</f>
        <v>51.28</v>
      </c>
      <c r="D87" s="22">
        <f>VLOOKUP($A87, 'Medical Examinations'!$A:$D,3, FALSE)</f>
        <v>4.68</v>
      </c>
      <c r="E87" s="22" t="str">
        <f>VLOOKUP($A87, 'Medical Examinations'!$A:$D, 4, FALSE)</f>
        <v>No</v>
      </c>
      <c r="F87" s="22" t="str">
        <f>VLOOKUP($A87, 'Medical Examinations'!$A:$J, 5, FALSE)</f>
        <v>No</v>
      </c>
      <c r="G87" s="22" t="str">
        <f>VLOOKUP($A87, 'Medical Examinations'!$A:$I, 6, FALSE)</f>
        <v>No</v>
      </c>
      <c r="H87" s="22">
        <f>VLOOKUP($A87,'Medical Examinations'!$A:$L,10, FALSE)</f>
        <v>2</v>
      </c>
      <c r="I87" s="22" t="str">
        <f>VLOOKUP($A87, 'Medical Examinations'!$A:$J, 9, FALSE)</f>
        <v>Yes</v>
      </c>
      <c r="J87" s="22" t="str">
        <f>VLOOKUP($A87, 'Medical Examinations'!$A:$P, 11, FALSE)</f>
        <v>OBESITY</v>
      </c>
      <c r="K87" s="34">
        <v>28844.0</v>
      </c>
      <c r="L87" s="35">
        <f>VLOOKUP($A87, 'Hospitalisation Details'!$A:$H, 7, FALSE)</f>
        <v>41055.29</v>
      </c>
      <c r="M87" s="22" t="str">
        <f>VLOOKUP($A87, 'Hospitalisation Details'!$A:$L, 12, FALSE)</f>
        <v>tier - 1</v>
      </c>
      <c r="N87" s="22" t="str">
        <f>VLOOKUP($A87, 'Hospitalisation Details'!$A:$M, 13, FALSE)</f>
        <v>tier - 2</v>
      </c>
      <c r="O87" s="22" t="str">
        <f>VLOOKUP($A87, 'Hospitalisation Details'!$A:$N, 14, FALSE)</f>
        <v>R1011</v>
      </c>
      <c r="P87" s="36">
        <f>VLOOKUP($A87, 'Hospitalisation Details'!$A:$O, 15, FALSE)</f>
        <v>50</v>
      </c>
    </row>
    <row r="88" ht="15.75" customHeight="1">
      <c r="A88" s="33" t="s">
        <v>175</v>
      </c>
      <c r="B88" s="22" t="str">
        <f>VLOOKUP($A88,'Customer Names'!$A:$D,3, FALSE)</f>
        <v>Parendo</v>
      </c>
      <c r="C88" s="22">
        <f>VLOOKUP($A88,'Medical Examinations'!$A:$D, 2, FALSE)</f>
        <v>34.96</v>
      </c>
      <c r="D88" s="22">
        <f>VLOOKUP($A88, 'Medical Examinations'!$A:$D,3, FALSE)</f>
        <v>4.34</v>
      </c>
      <c r="E88" s="22" t="str">
        <f>VLOOKUP($A88, 'Medical Examinations'!$A:$D, 4, FALSE)</f>
        <v>No</v>
      </c>
      <c r="F88" s="22" t="str">
        <f>VLOOKUP($A88, 'Medical Examinations'!$A:$J, 5, FALSE)</f>
        <v>No</v>
      </c>
      <c r="G88" s="22" t="str">
        <f>VLOOKUP($A88, 'Medical Examinations'!$A:$I, 6, FALSE)</f>
        <v>Yes</v>
      </c>
      <c r="H88" s="22">
        <f>VLOOKUP($A88,'Medical Examinations'!$A:$L,10, FALSE)</f>
        <v>1</v>
      </c>
      <c r="I88" s="22" t="str">
        <f>VLOOKUP($A88, 'Medical Examinations'!$A:$J, 9, FALSE)</f>
        <v>Yes</v>
      </c>
      <c r="J88" s="22" t="str">
        <f>VLOOKUP($A88, 'Medical Examinations'!$A:$P, 11, FALSE)</f>
        <v>OBESITY</v>
      </c>
      <c r="K88" s="34">
        <v>28423.0</v>
      </c>
      <c r="L88" s="35">
        <f>VLOOKUP($A88, 'Hospitalisation Details'!$A:$H, 7, FALSE)</f>
        <v>41034.22</v>
      </c>
      <c r="M88" s="22" t="str">
        <f>VLOOKUP($A88, 'Hospitalisation Details'!$A:$L, 12, FALSE)</f>
        <v>tier - 1</v>
      </c>
      <c r="N88" s="22" t="str">
        <f>VLOOKUP($A88, 'Hospitalisation Details'!$A:$M, 13, FALSE)</f>
        <v>tier - 3</v>
      </c>
      <c r="O88" s="22" t="str">
        <f>VLOOKUP($A88, 'Hospitalisation Details'!$A:$N, 14, FALSE)</f>
        <v>R1017</v>
      </c>
      <c r="P88" s="36">
        <f>VLOOKUP($A88, 'Hospitalisation Details'!$A:$O, 15, FALSE)</f>
        <v>43</v>
      </c>
    </row>
    <row r="89" ht="15.75" customHeight="1">
      <c r="A89" s="33" t="s">
        <v>177</v>
      </c>
      <c r="B89" s="22" t="str">
        <f>VLOOKUP($A89,'Customer Names'!$A:$D,3, FALSE)</f>
        <v>Schell</v>
      </c>
      <c r="C89" s="22">
        <f>VLOOKUP($A89,'Medical Examinations'!$A:$D, 2, FALSE)</f>
        <v>33.11</v>
      </c>
      <c r="D89" s="22">
        <f>VLOOKUP($A89, 'Medical Examinations'!$A:$D,3, FALSE)</f>
        <v>10.51</v>
      </c>
      <c r="E89" s="22" t="str">
        <f>VLOOKUP($A89, 'Medical Examinations'!$A:$D, 4, FALSE)</f>
        <v>No</v>
      </c>
      <c r="F89" s="22" t="str">
        <f>VLOOKUP($A89, 'Medical Examinations'!$A:$J, 5, FALSE)</f>
        <v>No</v>
      </c>
      <c r="G89" s="22" t="str">
        <f>VLOOKUP($A89, 'Medical Examinations'!$A:$I, 6, FALSE)</f>
        <v>No</v>
      </c>
      <c r="H89" s="22">
        <f>VLOOKUP($A89,'Medical Examinations'!$A:$L,10, FALSE)</f>
        <v>0</v>
      </c>
      <c r="I89" s="22" t="str">
        <f>VLOOKUP($A89, 'Medical Examinations'!$A:$J, 9, FALSE)</f>
        <v>Yes</v>
      </c>
      <c r="J89" s="22" t="str">
        <f>VLOOKUP($A89, 'Medical Examinations'!$A:$P, 11, FALSE)</f>
        <v>OBESITY</v>
      </c>
      <c r="K89" s="34">
        <v>26591.0</v>
      </c>
      <c r="L89" s="35">
        <f>VLOOKUP($A89, 'Hospitalisation Details'!$A:$H, 7, FALSE)</f>
        <v>40974.16</v>
      </c>
      <c r="M89" s="22" t="str">
        <f>VLOOKUP($A89, 'Hospitalisation Details'!$A:$L, 12, FALSE)</f>
        <v>tier - 1</v>
      </c>
      <c r="N89" s="22" t="str">
        <f>VLOOKUP($A89, 'Hospitalisation Details'!$A:$M, 13, FALSE)</f>
        <v>tier - 2</v>
      </c>
      <c r="O89" s="22" t="str">
        <f>VLOOKUP($A89, 'Hospitalisation Details'!$A:$N, 14, FALSE)</f>
        <v>R1013</v>
      </c>
      <c r="P89" s="36">
        <f>VLOOKUP($A89, 'Hospitalisation Details'!$A:$O, 15, FALSE)</f>
        <v>49</v>
      </c>
    </row>
    <row r="90" ht="15.75" customHeight="1">
      <c r="A90" s="33" t="s">
        <v>179</v>
      </c>
      <c r="B90" s="22" t="str">
        <f>VLOOKUP($A90,'Customer Names'!$A:$D,3, FALSE)</f>
        <v>Driscoll</v>
      </c>
      <c r="C90" s="22">
        <f>VLOOKUP($A90,'Medical Examinations'!$A:$D, 2, FALSE)</f>
        <v>54.74</v>
      </c>
      <c r="D90" s="22">
        <f>VLOOKUP($A90, 'Medical Examinations'!$A:$D,3, FALSE)</f>
        <v>5.84</v>
      </c>
      <c r="E90" s="22" t="str">
        <f>VLOOKUP($A90, 'Medical Examinations'!$A:$D, 4, FALSE)</f>
        <v>Yes</v>
      </c>
      <c r="F90" s="22" t="str">
        <f>VLOOKUP($A90, 'Medical Examinations'!$A:$J, 5, FALSE)</f>
        <v>No</v>
      </c>
      <c r="G90" s="22" t="str">
        <f>VLOOKUP($A90, 'Medical Examinations'!$A:$I, 6, FALSE)</f>
        <v>Yes</v>
      </c>
      <c r="H90" s="22">
        <f>VLOOKUP($A90,'Medical Examinations'!$A:$L,10, FALSE)</f>
        <v>1</v>
      </c>
      <c r="I90" s="22" t="str">
        <f>VLOOKUP($A90, 'Medical Examinations'!$A:$J, 9, FALSE)</f>
        <v>Yes</v>
      </c>
      <c r="J90" s="22" t="str">
        <f>VLOOKUP($A90, 'Medical Examinations'!$A:$P, 11, FALSE)</f>
        <v>OBESITY</v>
      </c>
      <c r="K90" s="34">
        <v>28723.0</v>
      </c>
      <c r="L90" s="35">
        <f>VLOOKUP($A90, 'Hospitalisation Details'!$A:$H, 7, FALSE)</f>
        <v>40961.29</v>
      </c>
      <c r="M90" s="22" t="str">
        <f>VLOOKUP($A90, 'Hospitalisation Details'!$A:$L, 12, FALSE)</f>
        <v>tier - 1</v>
      </c>
      <c r="N90" s="22" t="str">
        <f>VLOOKUP($A90, 'Hospitalisation Details'!$A:$M, 13, FALSE)</f>
        <v>tier - 2</v>
      </c>
      <c r="O90" s="22" t="str">
        <f>VLOOKUP($A90, 'Hospitalisation Details'!$A:$N, 14, FALSE)</f>
        <v>R1011</v>
      </c>
      <c r="P90" s="36">
        <f>VLOOKUP($A90, 'Hospitalisation Details'!$A:$O, 15, FALSE)</f>
        <v>39</v>
      </c>
    </row>
    <row r="91" ht="15.75" customHeight="1">
      <c r="A91" s="33" t="s">
        <v>181</v>
      </c>
      <c r="B91" s="22" t="str">
        <f>VLOOKUP($A91,'Customer Names'!$A:$D,3, FALSE)</f>
        <v>Mitchell</v>
      </c>
      <c r="C91" s="22">
        <f>VLOOKUP($A91,'Medical Examinations'!$A:$D, 2, FALSE)</f>
        <v>32.56</v>
      </c>
      <c r="D91" s="22">
        <f>VLOOKUP($A91, 'Medical Examinations'!$A:$D,3, FALSE)</f>
        <v>5.41</v>
      </c>
      <c r="E91" s="22" t="str">
        <f>VLOOKUP($A91, 'Medical Examinations'!$A:$D, 4, FALSE)</f>
        <v>No</v>
      </c>
      <c r="F91" s="22" t="str">
        <f>VLOOKUP($A91, 'Medical Examinations'!$A:$J, 5, FALSE)</f>
        <v>No</v>
      </c>
      <c r="G91" s="22" t="str">
        <f>VLOOKUP($A91, 'Medical Examinations'!$A:$I, 6, FALSE)</f>
        <v>Yes</v>
      </c>
      <c r="H91" s="22">
        <f>VLOOKUP($A91,'Medical Examinations'!$A:$L,10, FALSE)</f>
        <v>1</v>
      </c>
      <c r="I91" s="22" t="str">
        <f>VLOOKUP($A91, 'Medical Examinations'!$A:$J, 9, FALSE)</f>
        <v>Yes</v>
      </c>
      <c r="J91" s="22" t="str">
        <f>VLOOKUP($A91, 'Medical Examinations'!$A:$P, 11, FALSE)</f>
        <v>OBESITY</v>
      </c>
      <c r="K91" s="34">
        <v>31956.0</v>
      </c>
      <c r="L91" s="35">
        <f>VLOOKUP($A91, 'Hospitalisation Details'!$A:$H, 7, FALSE)</f>
        <v>40941.29</v>
      </c>
      <c r="M91" s="22" t="str">
        <f>VLOOKUP($A91, 'Hospitalisation Details'!$A:$L, 12, FALSE)</f>
        <v>tier - 1</v>
      </c>
      <c r="N91" s="22" t="str">
        <f>VLOOKUP($A91, 'Hospitalisation Details'!$A:$M, 13, FALSE)</f>
        <v>tier - 2</v>
      </c>
      <c r="O91" s="22" t="str">
        <f>VLOOKUP($A91, 'Hospitalisation Details'!$A:$N, 14, FALSE)</f>
        <v>R1013</v>
      </c>
      <c r="P91" s="36">
        <f>VLOOKUP($A91, 'Hospitalisation Details'!$A:$O, 15, FALSE)</f>
        <v>43</v>
      </c>
    </row>
    <row r="92" ht="15.75" customHeight="1">
      <c r="A92" s="33" t="s">
        <v>183</v>
      </c>
      <c r="B92" s="22" t="str">
        <f>VLOOKUP($A92,'Customer Names'!$A:$D,3, FALSE)</f>
        <v>Cutler</v>
      </c>
      <c r="C92" s="22">
        <f>VLOOKUP($A92,'Medical Examinations'!$A:$D, 2, FALSE)</f>
        <v>39.05</v>
      </c>
      <c r="D92" s="22">
        <f>VLOOKUP($A92, 'Medical Examinations'!$A:$D,3, FALSE)</f>
        <v>6.06</v>
      </c>
      <c r="E92" s="22" t="str">
        <f>VLOOKUP($A92, 'Medical Examinations'!$A:$D, 4, FALSE)</f>
        <v>No</v>
      </c>
      <c r="F92" s="22" t="str">
        <f>VLOOKUP($A92, 'Medical Examinations'!$A:$J, 5, FALSE)</f>
        <v>No</v>
      </c>
      <c r="G92" s="22" t="str">
        <f>VLOOKUP($A92, 'Medical Examinations'!$A:$I, 6, FALSE)</f>
        <v>No</v>
      </c>
      <c r="H92" s="22">
        <f>VLOOKUP($A92,'Medical Examinations'!$A:$L,10, FALSE)</f>
        <v>1</v>
      </c>
      <c r="I92" s="22" t="str">
        <f>VLOOKUP($A92, 'Medical Examinations'!$A:$J, 9, FALSE)</f>
        <v>Yes</v>
      </c>
      <c r="J92" s="22" t="str">
        <f>VLOOKUP($A92, 'Medical Examinations'!$A:$P, 11, FALSE)</f>
        <v>OBESITY</v>
      </c>
      <c r="K92" s="34">
        <v>25468.0</v>
      </c>
      <c r="L92" s="35">
        <f>VLOOKUP($A92, 'Hospitalisation Details'!$A:$H, 7, FALSE)</f>
        <v>40932.43</v>
      </c>
      <c r="M92" s="22" t="str">
        <f>VLOOKUP($A92, 'Hospitalisation Details'!$A:$L, 12, FALSE)</f>
        <v>tier - 1</v>
      </c>
      <c r="N92" s="22" t="str">
        <f>VLOOKUP($A92, 'Hospitalisation Details'!$A:$M, 13, FALSE)</f>
        <v>tier - 2</v>
      </c>
      <c r="O92" s="22" t="str">
        <f>VLOOKUP($A92, 'Hospitalisation Details'!$A:$N, 14, FALSE)</f>
        <v>R1013</v>
      </c>
      <c r="P92" s="36">
        <f>VLOOKUP($A92, 'Hospitalisation Details'!$A:$O, 15, FALSE)</f>
        <v>30</v>
      </c>
    </row>
    <row r="93" ht="15.75" customHeight="1">
      <c r="A93" s="33" t="s">
        <v>185</v>
      </c>
      <c r="B93" s="22" t="str">
        <f>VLOOKUP($A93,'Customer Names'!$A:$D,3, FALSE)</f>
        <v>Derian</v>
      </c>
      <c r="C93" s="22">
        <f>VLOOKUP($A93,'Medical Examinations'!$A:$D, 2, FALSE)</f>
        <v>42.75</v>
      </c>
      <c r="D93" s="22">
        <f>VLOOKUP($A93, 'Medical Examinations'!$A:$D,3, FALSE)</f>
        <v>4.22</v>
      </c>
      <c r="E93" s="22" t="str">
        <f>VLOOKUP($A93, 'Medical Examinations'!$A:$D, 4, FALSE)</f>
        <v>No</v>
      </c>
      <c r="F93" s="22" t="str">
        <f>VLOOKUP($A93, 'Medical Examinations'!$A:$J, 5, FALSE)</f>
        <v>No</v>
      </c>
      <c r="G93" s="22" t="str">
        <f>VLOOKUP($A93, 'Medical Examinations'!$A:$I, 6, FALSE)</f>
        <v>No</v>
      </c>
      <c r="H93" s="22">
        <f>VLOOKUP($A93,'Medical Examinations'!$A:$L,10, FALSE)</f>
        <v>0</v>
      </c>
      <c r="I93" s="22" t="str">
        <f>VLOOKUP($A93, 'Medical Examinations'!$A:$J, 9, FALSE)</f>
        <v>Yes</v>
      </c>
      <c r="J93" s="22" t="str">
        <f>VLOOKUP($A93, 'Medical Examinations'!$A:$P, 11, FALSE)</f>
        <v>OBESITY</v>
      </c>
      <c r="K93" s="34">
        <v>23585.0</v>
      </c>
      <c r="L93" s="35">
        <f>VLOOKUP($A93, 'Hospitalisation Details'!$A:$H, 7, FALSE)</f>
        <v>40904.2</v>
      </c>
      <c r="M93" s="22" t="str">
        <f>VLOOKUP($A93, 'Hospitalisation Details'!$A:$L, 12, FALSE)</f>
        <v>tier - 1</v>
      </c>
      <c r="N93" s="22" t="str">
        <f>VLOOKUP($A93, 'Hospitalisation Details'!$A:$M, 13, FALSE)</f>
        <v>tier - 1</v>
      </c>
      <c r="O93" s="22" t="str">
        <f>VLOOKUP($A93, 'Hospitalisation Details'!$A:$N, 14, FALSE)</f>
        <v>R1024</v>
      </c>
      <c r="P93" s="36">
        <f>VLOOKUP($A93, 'Hospitalisation Details'!$A:$O, 15, FALSE)</f>
        <v>23</v>
      </c>
    </row>
    <row r="94" ht="15.75" customHeight="1">
      <c r="A94" s="33" t="s">
        <v>187</v>
      </c>
      <c r="B94" s="22" t="str">
        <f>VLOOKUP($A94,'Customer Names'!$A:$D,3, FALSE)</f>
        <v>Farina</v>
      </c>
      <c r="C94" s="22">
        <f>VLOOKUP($A94,'Medical Examinations'!$A:$D, 2, FALSE)</f>
        <v>50.58</v>
      </c>
      <c r="D94" s="22">
        <f>VLOOKUP($A94, 'Medical Examinations'!$A:$D,3, FALSE)</f>
        <v>5.12</v>
      </c>
      <c r="E94" s="22" t="str">
        <f>VLOOKUP($A94, 'Medical Examinations'!$A:$D, 4, FALSE)</f>
        <v>No</v>
      </c>
      <c r="F94" s="22" t="str">
        <f>VLOOKUP($A94, 'Medical Examinations'!$A:$J, 5, FALSE)</f>
        <v>No</v>
      </c>
      <c r="G94" s="22" t="str">
        <f>VLOOKUP($A94, 'Medical Examinations'!$A:$I, 6, FALSE)</f>
        <v>No</v>
      </c>
      <c r="H94" s="22">
        <f>VLOOKUP($A94,'Medical Examinations'!$A:$L,10, FALSE)</f>
        <v>2</v>
      </c>
      <c r="I94" s="22" t="str">
        <f>VLOOKUP($A94, 'Medical Examinations'!$A:$J, 9, FALSE)</f>
        <v>Yes</v>
      </c>
      <c r="J94" s="22" t="str">
        <f>VLOOKUP($A94, 'Medical Examinations'!$A:$P, 11, FALSE)</f>
        <v>OBESITY</v>
      </c>
      <c r="K94" s="34">
        <v>27975.0</v>
      </c>
      <c r="L94" s="35">
        <f>VLOOKUP($A94, 'Hospitalisation Details'!$A:$H, 7, FALSE)</f>
        <v>40817.85</v>
      </c>
      <c r="M94" s="22" t="str">
        <f>VLOOKUP($A94, 'Hospitalisation Details'!$A:$L, 12, FALSE)</f>
        <v>tier - 1</v>
      </c>
      <c r="N94" s="22" t="str">
        <f>VLOOKUP($A94, 'Hospitalisation Details'!$A:$M, 13, FALSE)</f>
        <v>tier - 3</v>
      </c>
      <c r="O94" s="22" t="str">
        <f>VLOOKUP($A94, 'Hospitalisation Details'!$A:$N, 14, FALSE)</f>
        <v>R1011</v>
      </c>
      <c r="P94" s="36">
        <f>VLOOKUP($A94, 'Hospitalisation Details'!$A:$O, 15, FALSE)</f>
        <v>50</v>
      </c>
    </row>
    <row r="95" ht="15.75" customHeight="1">
      <c r="A95" s="33" t="s">
        <v>189</v>
      </c>
      <c r="B95" s="22" t="str">
        <f>VLOOKUP($A95,'Customer Names'!$A:$D,3, FALSE)</f>
        <v>Saunders</v>
      </c>
      <c r="C95" s="22">
        <f>VLOOKUP($A95,'Medical Examinations'!$A:$D, 2, FALSE)</f>
        <v>30.495</v>
      </c>
      <c r="D95" s="22">
        <f>VLOOKUP($A95, 'Medical Examinations'!$A:$D,3, FALSE)</f>
        <v>4.57</v>
      </c>
      <c r="E95" s="22" t="str">
        <f>VLOOKUP($A95, 'Medical Examinations'!$A:$D, 4, FALSE)</f>
        <v>Yes</v>
      </c>
      <c r="F95" s="22" t="str">
        <f>VLOOKUP($A95, 'Medical Examinations'!$A:$J, 5, FALSE)</f>
        <v>No</v>
      </c>
      <c r="G95" s="22" t="str">
        <f>VLOOKUP($A95, 'Medical Examinations'!$A:$I, 6, FALSE)</f>
        <v>No</v>
      </c>
      <c r="H95" s="22">
        <f>VLOOKUP($A95,'Medical Examinations'!$A:$L,10, FALSE)</f>
        <v>0</v>
      </c>
      <c r="I95" s="22" t="str">
        <f>VLOOKUP($A95, 'Medical Examinations'!$A:$J, 9, FALSE)</f>
        <v>Yes</v>
      </c>
      <c r="J95" s="22" t="str">
        <f>VLOOKUP($A95, 'Medical Examinations'!$A:$P, 11, FALSE)</f>
        <v>OBESITY</v>
      </c>
      <c r="K95" s="34">
        <v>23664.0</v>
      </c>
      <c r="L95" s="35">
        <f>VLOOKUP($A95, 'Hospitalisation Details'!$A:$H, 7, FALSE)</f>
        <v>40720.55</v>
      </c>
      <c r="M95" s="22" t="str">
        <f>VLOOKUP($A95, 'Hospitalisation Details'!$A:$L, 12, FALSE)</f>
        <v>tier - 1</v>
      </c>
      <c r="N95" s="22" t="str">
        <f>VLOOKUP($A95, 'Hospitalisation Details'!$A:$M, 13, FALSE)</f>
        <v>tier - 3</v>
      </c>
      <c r="O95" s="22" t="str">
        <f>VLOOKUP($A95, 'Hospitalisation Details'!$A:$N, 14, FALSE)</f>
        <v>R1012</v>
      </c>
      <c r="P95" s="36">
        <f>VLOOKUP($A95, 'Hospitalisation Details'!$A:$O, 15, FALSE)</f>
        <v>46</v>
      </c>
    </row>
    <row r="96" ht="15.75" customHeight="1">
      <c r="A96" s="33" t="s">
        <v>191</v>
      </c>
      <c r="B96" s="22" t="str">
        <f>VLOOKUP($A96,'Customer Names'!$A:$D,3, FALSE)</f>
        <v>Kratz</v>
      </c>
      <c r="C96" s="22">
        <f>VLOOKUP($A96,'Medical Examinations'!$A:$D, 2, FALSE)</f>
        <v>48.31</v>
      </c>
      <c r="D96" s="22">
        <f>VLOOKUP($A96, 'Medical Examinations'!$A:$D,3, FALSE)</f>
        <v>9.58</v>
      </c>
      <c r="E96" s="22" t="str">
        <f>VLOOKUP($A96, 'Medical Examinations'!$A:$D, 4, FALSE)</f>
        <v>Yes</v>
      </c>
      <c r="F96" s="22" t="str">
        <f>VLOOKUP($A96, 'Medical Examinations'!$A:$J, 5, FALSE)</f>
        <v>No</v>
      </c>
      <c r="G96" s="22" t="str">
        <f>VLOOKUP($A96, 'Medical Examinations'!$A:$I, 6, FALSE)</f>
        <v>No</v>
      </c>
      <c r="H96" s="22">
        <f>VLOOKUP($A96,'Medical Examinations'!$A:$L,10, FALSE)</f>
        <v>2</v>
      </c>
      <c r="I96" s="22" t="str">
        <f>VLOOKUP($A96, 'Medical Examinations'!$A:$J, 9, FALSE)</f>
        <v>Yes</v>
      </c>
      <c r="J96" s="22" t="str">
        <f>VLOOKUP($A96, 'Medical Examinations'!$A:$P, 11, FALSE)</f>
        <v>OBESITY</v>
      </c>
      <c r="K96" s="34">
        <v>25150.0</v>
      </c>
      <c r="L96" s="35">
        <f>VLOOKUP($A96, 'Hospitalisation Details'!$A:$H, 7, FALSE)</f>
        <v>40692.91</v>
      </c>
      <c r="M96" s="22" t="str">
        <f>VLOOKUP($A96, 'Hospitalisation Details'!$A:$L, 12, FALSE)</f>
        <v>tier - 1</v>
      </c>
      <c r="N96" s="22" t="str">
        <f>VLOOKUP($A96, 'Hospitalisation Details'!$A:$M, 13, FALSE)</f>
        <v>tier - 1</v>
      </c>
      <c r="O96" s="22" t="str">
        <f>VLOOKUP($A96, 'Hospitalisation Details'!$A:$N, 14, FALSE)</f>
        <v>R1011</v>
      </c>
      <c r="P96" s="36">
        <f>VLOOKUP($A96, 'Hospitalisation Details'!$A:$O, 15, FALSE)</f>
        <v>52</v>
      </c>
    </row>
    <row r="97" ht="15.75" customHeight="1">
      <c r="A97" s="33" t="s">
        <v>193</v>
      </c>
      <c r="B97" s="22" t="str">
        <f>VLOOKUP($A97,'Customer Names'!$A:$D,3, FALSE)</f>
        <v>Boland</v>
      </c>
      <c r="C97" s="22">
        <f>VLOOKUP($A97,'Medical Examinations'!$A:$D, 2, FALSE)</f>
        <v>48.99</v>
      </c>
      <c r="D97" s="22">
        <f>VLOOKUP($A97, 'Medical Examinations'!$A:$D,3, FALSE)</f>
        <v>9.78</v>
      </c>
      <c r="E97" s="22" t="str">
        <f>VLOOKUP($A97, 'Medical Examinations'!$A:$D, 4, FALSE)</f>
        <v>Yes</v>
      </c>
      <c r="F97" s="22" t="str">
        <f>VLOOKUP($A97, 'Medical Examinations'!$A:$J, 5, FALSE)</f>
        <v>No</v>
      </c>
      <c r="G97" s="22" t="str">
        <f>VLOOKUP($A97, 'Medical Examinations'!$A:$I, 6, FALSE)</f>
        <v>No</v>
      </c>
      <c r="H97" s="22">
        <f>VLOOKUP($A97,'Medical Examinations'!$A:$L,10, FALSE)</f>
        <v>1</v>
      </c>
      <c r="I97" s="22" t="str">
        <f>VLOOKUP($A97, 'Medical Examinations'!$A:$J, 9, FALSE)</f>
        <v>Yes</v>
      </c>
      <c r="J97" s="22" t="str">
        <f>VLOOKUP($A97, 'Medical Examinations'!$A:$P, 11, FALSE)</f>
        <v>OBESITY</v>
      </c>
      <c r="K97" s="34">
        <v>25079.0</v>
      </c>
      <c r="L97" s="35">
        <f>VLOOKUP($A97, 'Hospitalisation Details'!$A:$H, 7, FALSE)</f>
        <v>40590.55</v>
      </c>
      <c r="M97" s="22" t="str">
        <f>VLOOKUP($A97, 'Hospitalisation Details'!$A:$L, 12, FALSE)</f>
        <v>tier - 1</v>
      </c>
      <c r="N97" s="22" t="str">
        <f>VLOOKUP($A97, 'Hospitalisation Details'!$A:$M, 13, FALSE)</f>
        <v>tier - 3</v>
      </c>
      <c r="O97" s="22" t="str">
        <f>VLOOKUP($A97, 'Hospitalisation Details'!$A:$N, 14, FALSE)</f>
        <v>R1012</v>
      </c>
      <c r="P97" s="36">
        <f>VLOOKUP($A97, 'Hospitalisation Details'!$A:$O, 15, FALSE)</f>
        <v>47</v>
      </c>
    </row>
    <row r="98" ht="15.75" customHeight="1">
      <c r="A98" s="33" t="s">
        <v>195</v>
      </c>
      <c r="B98" s="22" t="str">
        <f>VLOOKUP($A98,'Customer Names'!$A:$D,3, FALSE)</f>
        <v>Va</v>
      </c>
      <c r="C98" s="22">
        <f>VLOOKUP($A98,'Medical Examinations'!$A:$D, 2, FALSE)</f>
        <v>38.39</v>
      </c>
      <c r="D98" s="22">
        <f>VLOOKUP($A98, 'Medical Examinations'!$A:$D,3, FALSE)</f>
        <v>4.11</v>
      </c>
      <c r="E98" s="22" t="str">
        <f>VLOOKUP($A98, 'Medical Examinations'!$A:$D, 4, FALSE)</f>
        <v>Yes</v>
      </c>
      <c r="F98" s="22" t="str">
        <f>VLOOKUP($A98, 'Medical Examinations'!$A:$J, 5, FALSE)</f>
        <v>No</v>
      </c>
      <c r="G98" s="22" t="str">
        <f>VLOOKUP($A98, 'Medical Examinations'!$A:$I, 6, FALSE)</f>
        <v>No</v>
      </c>
      <c r="H98" s="22">
        <f>VLOOKUP($A98,'Medical Examinations'!$A:$L,10, FALSE)</f>
        <v>0</v>
      </c>
      <c r="I98" s="22" t="str">
        <f>VLOOKUP($A98, 'Medical Examinations'!$A:$J, 9, FALSE)</f>
        <v>Yes</v>
      </c>
      <c r="J98" s="22" t="str">
        <f>VLOOKUP($A98, 'Medical Examinations'!$A:$P, 11, FALSE)</f>
        <v>OBESITY</v>
      </c>
      <c r="K98" s="34">
        <v>30310.0</v>
      </c>
      <c r="L98" s="35">
        <f>VLOOKUP($A98, 'Hospitalisation Details'!$A:$H, 7, FALSE)</f>
        <v>40419.02</v>
      </c>
      <c r="M98" s="22" t="str">
        <f>VLOOKUP($A98, 'Hospitalisation Details'!$A:$L, 12, FALSE)</f>
        <v>tier - 1</v>
      </c>
      <c r="N98" s="22" t="str">
        <f>VLOOKUP($A98, 'Hospitalisation Details'!$A:$M, 13, FALSE)</f>
        <v>tier - 2</v>
      </c>
      <c r="O98" s="22" t="str">
        <f>VLOOKUP($A98, 'Hospitalisation Details'!$A:$N, 14, FALSE)</f>
        <v>R1013</v>
      </c>
      <c r="P98" s="36">
        <f>VLOOKUP($A98, 'Hospitalisation Details'!$A:$O, 15, FALSE)</f>
        <v>37</v>
      </c>
    </row>
    <row r="99" ht="15.75" customHeight="1">
      <c r="A99" s="33" t="s">
        <v>197</v>
      </c>
      <c r="B99" s="22" t="str">
        <f>VLOOKUP($A99,'Customer Names'!$A:$D,3, FALSE)</f>
        <v>Ramsey</v>
      </c>
      <c r="C99" s="22">
        <f>VLOOKUP($A99,'Medical Examinations'!$A:$D, 2, FALSE)</f>
        <v>44.34</v>
      </c>
      <c r="D99" s="22">
        <f>VLOOKUP($A99, 'Medical Examinations'!$A:$D,3, FALSE)</f>
        <v>4.02</v>
      </c>
      <c r="E99" s="22" t="str">
        <f>VLOOKUP($A99, 'Medical Examinations'!$A:$D, 4, FALSE)</f>
        <v>Yes</v>
      </c>
      <c r="F99" s="22" t="str">
        <f>VLOOKUP($A99, 'Medical Examinations'!$A:$J, 5, FALSE)</f>
        <v>No</v>
      </c>
      <c r="G99" s="22" t="str">
        <f>VLOOKUP($A99, 'Medical Examinations'!$A:$I, 6, FALSE)</f>
        <v>No</v>
      </c>
      <c r="H99" s="22">
        <f>VLOOKUP($A99,'Medical Examinations'!$A:$L,10, FALSE)</f>
        <v>2</v>
      </c>
      <c r="I99" s="22" t="str">
        <f>VLOOKUP($A99, 'Medical Examinations'!$A:$J, 9, FALSE)</f>
        <v>Yes</v>
      </c>
      <c r="J99" s="22" t="str">
        <f>VLOOKUP($A99, 'Medical Examinations'!$A:$P, 11, FALSE)</f>
        <v>OBESITY</v>
      </c>
      <c r="K99" s="34">
        <v>25073.0</v>
      </c>
      <c r="L99" s="35">
        <f>VLOOKUP($A99, 'Hospitalisation Details'!$A:$H, 7, FALSE)</f>
        <v>40373.74</v>
      </c>
      <c r="M99" s="22" t="str">
        <f>VLOOKUP($A99, 'Hospitalisation Details'!$A:$L, 12, FALSE)</f>
        <v>tier - 1</v>
      </c>
      <c r="N99" s="22" t="str">
        <f>VLOOKUP($A99, 'Hospitalisation Details'!$A:$M, 13, FALSE)</f>
        <v>tier - 3</v>
      </c>
      <c r="O99" s="22" t="str">
        <f>VLOOKUP($A99, 'Hospitalisation Details'!$A:$N, 14, FALSE)</f>
        <v>R1011</v>
      </c>
      <c r="P99" s="36">
        <f>VLOOKUP($A99, 'Hospitalisation Details'!$A:$O, 15, FALSE)</f>
        <v>56</v>
      </c>
    </row>
    <row r="100" ht="15.75" customHeight="1">
      <c r="A100" s="33" t="s">
        <v>199</v>
      </c>
      <c r="B100" s="22" t="str">
        <f>VLOOKUP($A100,'Customer Names'!$A:$D,3, FALSE)</f>
        <v>Gage</v>
      </c>
      <c r="C100" s="22">
        <f>VLOOKUP($A100,'Medical Examinations'!$A:$D, 2, FALSE)</f>
        <v>41.51</v>
      </c>
      <c r="D100" s="22">
        <f>VLOOKUP($A100, 'Medical Examinations'!$A:$D,3, FALSE)</f>
        <v>6.92</v>
      </c>
      <c r="E100" s="22" t="str">
        <f>VLOOKUP($A100, 'Medical Examinations'!$A:$D, 4, FALSE)</f>
        <v>No</v>
      </c>
      <c r="F100" s="22" t="str">
        <f>VLOOKUP($A100, 'Medical Examinations'!$A:$J, 5, FALSE)</f>
        <v>No</v>
      </c>
      <c r="G100" s="22" t="str">
        <f>VLOOKUP($A100, 'Medical Examinations'!$A:$I, 6, FALSE)</f>
        <v>No</v>
      </c>
      <c r="H100" s="22">
        <f>VLOOKUP($A100,'Medical Examinations'!$A:$L,10, FALSE)</f>
        <v>0</v>
      </c>
      <c r="I100" s="22" t="str">
        <f>VLOOKUP($A100, 'Medical Examinations'!$A:$J, 9, FALSE)</f>
        <v>Yes</v>
      </c>
      <c r="J100" s="22" t="str">
        <f>VLOOKUP($A100, 'Medical Examinations'!$A:$P, 11, FALSE)</f>
        <v>OBESITY</v>
      </c>
      <c r="K100" s="34">
        <v>25199.0</v>
      </c>
      <c r="L100" s="35">
        <f>VLOOKUP($A100, 'Hospitalisation Details'!$A:$H, 7, FALSE)</f>
        <v>40309.93</v>
      </c>
      <c r="M100" s="22" t="str">
        <f>VLOOKUP($A100, 'Hospitalisation Details'!$A:$L, 12, FALSE)</f>
        <v>tier - 1</v>
      </c>
      <c r="N100" s="22" t="str">
        <f>VLOOKUP($A100, 'Hospitalisation Details'!$A:$M, 13, FALSE)</f>
        <v>tier - 3</v>
      </c>
      <c r="O100" s="22" t="str">
        <f>VLOOKUP($A100, 'Hospitalisation Details'!$A:$N, 14, FALSE)</f>
        <v>R1011</v>
      </c>
      <c r="P100" s="36">
        <f>VLOOKUP($A100, 'Hospitalisation Details'!$A:$O, 15, FALSE)</f>
        <v>60</v>
      </c>
    </row>
    <row r="101" ht="15.75" customHeight="1">
      <c r="A101" s="33" t="s">
        <v>201</v>
      </c>
      <c r="B101" s="22" t="str">
        <f>VLOOKUP($A101,'Customer Names'!$A:$D,3, FALSE)</f>
        <v>Gollins</v>
      </c>
      <c r="C101" s="22">
        <f>VLOOKUP($A101,'Medical Examinations'!$A:$D, 2, FALSE)</f>
        <v>48.2</v>
      </c>
      <c r="D101" s="22">
        <f>VLOOKUP($A101, 'Medical Examinations'!$A:$D,3, FALSE)</f>
        <v>4.84</v>
      </c>
      <c r="E101" s="22" t="str">
        <f>VLOOKUP($A101, 'Medical Examinations'!$A:$D, 4, FALSE)</f>
        <v>No</v>
      </c>
      <c r="F101" s="22" t="str">
        <f>VLOOKUP($A101, 'Medical Examinations'!$A:$J, 5, FALSE)</f>
        <v>No</v>
      </c>
      <c r="G101" s="22" t="str">
        <f>VLOOKUP($A101, 'Medical Examinations'!$A:$I, 6, FALSE)</f>
        <v>No</v>
      </c>
      <c r="H101" s="22">
        <f>VLOOKUP($A101,'Medical Examinations'!$A:$L,10, FALSE)</f>
        <v>0</v>
      </c>
      <c r="I101" s="22" t="str">
        <f>VLOOKUP($A101, 'Medical Examinations'!$A:$J, 9, FALSE)</f>
        <v>Yes</v>
      </c>
      <c r="J101" s="22" t="str">
        <f>VLOOKUP($A101, 'Medical Examinations'!$A:$P, 11, FALSE)</f>
        <v>OBESITY</v>
      </c>
      <c r="K101" s="34">
        <v>29184.0</v>
      </c>
      <c r="L101" s="35">
        <f>VLOOKUP($A101, 'Hospitalisation Details'!$A:$H, 7, FALSE)</f>
        <v>40284.38</v>
      </c>
      <c r="M101" s="22" t="str">
        <f>VLOOKUP($A101, 'Hospitalisation Details'!$A:$L, 12, FALSE)</f>
        <v>tier - 1</v>
      </c>
      <c r="N101" s="22" t="str">
        <f>VLOOKUP($A101, 'Hospitalisation Details'!$A:$M, 13, FALSE)</f>
        <v>tier - 3</v>
      </c>
      <c r="O101" s="22" t="str">
        <f>VLOOKUP($A101, 'Hospitalisation Details'!$A:$N, 14, FALSE)</f>
        <v>R1012</v>
      </c>
      <c r="P101" s="36">
        <f>VLOOKUP($A101, 'Hospitalisation Details'!$A:$O, 15, FALSE)</f>
        <v>45</v>
      </c>
    </row>
    <row r="102" ht="15.75" customHeight="1">
      <c r="A102" s="33" t="s">
        <v>203</v>
      </c>
      <c r="B102" s="22" t="str">
        <f>VLOOKUP($A102,'Customer Names'!$A:$D,3, FALSE)</f>
        <v>Benestad</v>
      </c>
      <c r="C102" s="22">
        <f>VLOOKUP($A102,'Medical Examinations'!$A:$D, 2, FALSE)</f>
        <v>35.75</v>
      </c>
      <c r="D102" s="22">
        <f>VLOOKUP($A102, 'Medical Examinations'!$A:$D,3, FALSE)</f>
        <v>8</v>
      </c>
      <c r="E102" s="22" t="str">
        <f>VLOOKUP($A102, 'Medical Examinations'!$A:$D, 4, FALSE)</f>
        <v>Yes</v>
      </c>
      <c r="F102" s="22" t="str">
        <f>VLOOKUP($A102, 'Medical Examinations'!$A:$J, 5, FALSE)</f>
        <v>No</v>
      </c>
      <c r="G102" s="22" t="str">
        <f>VLOOKUP($A102, 'Medical Examinations'!$A:$I, 6, FALSE)</f>
        <v>No</v>
      </c>
      <c r="H102" s="22">
        <f>VLOOKUP($A102,'Medical Examinations'!$A:$L,10, FALSE)</f>
        <v>0</v>
      </c>
      <c r="I102" s="22" t="str">
        <f>VLOOKUP($A102, 'Medical Examinations'!$A:$J, 9, FALSE)</f>
        <v>Yes</v>
      </c>
      <c r="J102" s="22" t="str">
        <f>VLOOKUP($A102, 'Medical Examinations'!$A:$P, 11, FALSE)</f>
        <v>OBESITY</v>
      </c>
      <c r="K102" s="34">
        <v>26948.0</v>
      </c>
      <c r="L102" s="35">
        <f>VLOOKUP($A102, 'Hospitalisation Details'!$A:$H, 7, FALSE)</f>
        <v>40273.65</v>
      </c>
      <c r="M102" s="22" t="str">
        <f>VLOOKUP($A102, 'Hospitalisation Details'!$A:$L, 12, FALSE)</f>
        <v>tier - 1</v>
      </c>
      <c r="N102" s="22" t="str">
        <f>VLOOKUP($A102, 'Hospitalisation Details'!$A:$M, 13, FALSE)</f>
        <v>tier - 3</v>
      </c>
      <c r="O102" s="22" t="str">
        <f>VLOOKUP($A102, 'Hospitalisation Details'!$A:$N, 14, FALSE)</f>
        <v>R1013</v>
      </c>
      <c r="P102" s="36">
        <f>VLOOKUP($A102, 'Hospitalisation Details'!$A:$O, 15, FALSE)</f>
        <v>41</v>
      </c>
    </row>
    <row r="103" ht="15.75" customHeight="1">
      <c r="A103" s="33" t="s">
        <v>205</v>
      </c>
      <c r="B103" s="22" t="str">
        <f>VLOOKUP($A103,'Customer Names'!$A:$D,3, FALSE)</f>
        <v>Aviv</v>
      </c>
      <c r="C103" s="22">
        <f>VLOOKUP($A103,'Medical Examinations'!$A:$D, 2, FALSE)</f>
        <v>53.81</v>
      </c>
      <c r="D103" s="22">
        <f>VLOOKUP($A103, 'Medical Examinations'!$A:$D,3, FALSE)</f>
        <v>8.77</v>
      </c>
      <c r="E103" s="22" t="str">
        <f>VLOOKUP($A103, 'Medical Examinations'!$A:$D, 4, FALSE)</f>
        <v>Yes</v>
      </c>
      <c r="F103" s="22" t="str">
        <f>VLOOKUP($A103, 'Medical Examinations'!$A:$J, 5, FALSE)</f>
        <v>No</v>
      </c>
      <c r="G103" s="22" t="str">
        <f>VLOOKUP($A103, 'Medical Examinations'!$A:$I, 6, FALSE)</f>
        <v>No</v>
      </c>
      <c r="H103" s="22">
        <f>VLOOKUP($A103,'Medical Examinations'!$A:$L,10, FALSE)</f>
        <v>0</v>
      </c>
      <c r="I103" s="22" t="str">
        <f>VLOOKUP($A103, 'Medical Examinations'!$A:$J, 9, FALSE)</f>
        <v>Yes</v>
      </c>
      <c r="J103" s="22" t="str">
        <f>VLOOKUP($A103, 'Medical Examinations'!$A:$P, 11, FALSE)</f>
        <v>OBESITY</v>
      </c>
      <c r="K103" s="34">
        <v>29518.0</v>
      </c>
      <c r="L103" s="35">
        <f>VLOOKUP($A103, 'Hospitalisation Details'!$A:$H, 7, FALSE)</f>
        <v>40208.56</v>
      </c>
      <c r="M103" s="22" t="str">
        <f>VLOOKUP($A103, 'Hospitalisation Details'!$A:$L, 12, FALSE)</f>
        <v>tier - 1</v>
      </c>
      <c r="N103" s="22" t="str">
        <f>VLOOKUP($A103, 'Hospitalisation Details'!$A:$M, 13, FALSE)</f>
        <v>tier - 2</v>
      </c>
      <c r="O103" s="22" t="str">
        <f>VLOOKUP($A103, 'Hospitalisation Details'!$A:$N, 14, FALSE)</f>
        <v>R1011</v>
      </c>
      <c r="P103" s="36">
        <f>VLOOKUP($A103, 'Hospitalisation Details'!$A:$O, 15, FALSE)</f>
        <v>41</v>
      </c>
    </row>
    <row r="104" ht="15.75" customHeight="1">
      <c r="A104" s="33" t="s">
        <v>207</v>
      </c>
      <c r="B104" s="22" t="str">
        <f>VLOOKUP($A104,'Customer Names'!$A:$D,3, FALSE)</f>
        <v>Burns</v>
      </c>
      <c r="C104" s="22">
        <f>VLOOKUP($A104,'Medical Examinations'!$A:$D, 2, FALSE)</f>
        <v>49.48</v>
      </c>
      <c r="D104" s="22">
        <f>VLOOKUP($A104, 'Medical Examinations'!$A:$D,3, FALSE)</f>
        <v>4.96</v>
      </c>
      <c r="E104" s="22" t="str">
        <f>VLOOKUP($A104, 'Medical Examinations'!$A:$D, 4, FALSE)</f>
        <v>No</v>
      </c>
      <c r="F104" s="22" t="str">
        <f>VLOOKUP($A104, 'Medical Examinations'!$A:$J, 5, FALSE)</f>
        <v>No</v>
      </c>
      <c r="G104" s="22" t="str">
        <f>VLOOKUP($A104, 'Medical Examinations'!$A:$I, 6, FALSE)</f>
        <v>Yes</v>
      </c>
      <c r="H104" s="22">
        <f>VLOOKUP($A104,'Medical Examinations'!$A:$L,10, FALSE)</f>
        <v>1</v>
      </c>
      <c r="I104" s="22" t="str">
        <f>VLOOKUP($A104, 'Medical Examinations'!$A:$J, 9, FALSE)</f>
        <v>Yes</v>
      </c>
      <c r="J104" s="22" t="str">
        <f>VLOOKUP($A104, 'Medical Examinations'!$A:$P, 11, FALSE)</f>
        <v>OBESITY</v>
      </c>
      <c r="K104" s="34">
        <v>27550.0</v>
      </c>
      <c r="L104" s="35">
        <f>VLOOKUP($A104, 'Hospitalisation Details'!$A:$H, 7, FALSE)</f>
        <v>40204.83</v>
      </c>
      <c r="M104" s="22" t="str">
        <f>VLOOKUP($A104, 'Hospitalisation Details'!$A:$L, 12, FALSE)</f>
        <v>tier - 1</v>
      </c>
      <c r="N104" s="22" t="str">
        <f>VLOOKUP($A104, 'Hospitalisation Details'!$A:$M, 13, FALSE)</f>
        <v>tier - 3</v>
      </c>
      <c r="O104" s="22" t="str">
        <f>VLOOKUP($A104, 'Hospitalisation Details'!$A:$N, 14, FALSE)</f>
        <v>R1012</v>
      </c>
      <c r="P104" s="36">
        <f>VLOOKUP($A104, 'Hospitalisation Details'!$A:$O, 15, FALSE)</f>
        <v>43</v>
      </c>
    </row>
    <row r="105" ht="15.75" customHeight="1">
      <c r="A105" s="33" t="s">
        <v>209</v>
      </c>
      <c r="B105" s="22" t="str">
        <f>VLOOKUP($A105,'Customer Names'!$A:$D,3, FALSE)</f>
        <v>Maldonado</v>
      </c>
      <c r="C105" s="22">
        <f>VLOOKUP($A105,'Medical Examinations'!$A:$D, 2, FALSE)</f>
        <v>34.1</v>
      </c>
      <c r="D105" s="22">
        <f>VLOOKUP($A105, 'Medical Examinations'!$A:$D,3, FALSE)</f>
        <v>4.43</v>
      </c>
      <c r="E105" s="22" t="str">
        <f>VLOOKUP($A105, 'Medical Examinations'!$A:$D, 4, FALSE)</f>
        <v>Yes</v>
      </c>
      <c r="F105" s="22" t="str">
        <f>VLOOKUP($A105, 'Medical Examinations'!$A:$J, 5, FALSE)</f>
        <v>No</v>
      </c>
      <c r="G105" s="22" t="str">
        <f>VLOOKUP($A105, 'Medical Examinations'!$A:$I, 6, FALSE)</f>
        <v>No</v>
      </c>
      <c r="H105" s="22">
        <f>VLOOKUP($A105,'Medical Examinations'!$A:$L,10, FALSE)</f>
        <v>0</v>
      </c>
      <c r="I105" s="22" t="str">
        <f>VLOOKUP($A105, 'Medical Examinations'!$A:$J, 9, FALSE)</f>
        <v>Yes</v>
      </c>
      <c r="J105" s="22" t="str">
        <f>VLOOKUP($A105, 'Medical Examinations'!$A:$P, 11, FALSE)</f>
        <v>OBESITY</v>
      </c>
      <c r="K105" s="34">
        <v>25391.0</v>
      </c>
      <c r="L105" s="35">
        <f>VLOOKUP($A105, 'Hospitalisation Details'!$A:$H, 7, FALSE)</f>
        <v>40182.25</v>
      </c>
      <c r="M105" s="22" t="str">
        <f>VLOOKUP($A105, 'Hospitalisation Details'!$A:$L, 12, FALSE)</f>
        <v>tier - 1</v>
      </c>
      <c r="N105" s="22" t="str">
        <f>VLOOKUP($A105, 'Hospitalisation Details'!$A:$M, 13, FALSE)</f>
        <v>tier - 2</v>
      </c>
      <c r="O105" s="22" t="str">
        <f>VLOOKUP($A105, 'Hospitalisation Details'!$A:$N, 14, FALSE)</f>
        <v>R1011</v>
      </c>
      <c r="P105" s="36">
        <f>VLOOKUP($A105, 'Hospitalisation Details'!$A:$O, 15, FALSE)</f>
        <v>37</v>
      </c>
    </row>
    <row r="106" ht="15.75" customHeight="1">
      <c r="A106" s="33" t="s">
        <v>211</v>
      </c>
      <c r="B106" s="22" t="str">
        <f>VLOOKUP($A106,'Customer Names'!$A:$D,3, FALSE)</f>
        <v>Yitref</v>
      </c>
      <c r="C106" s="22">
        <f>VLOOKUP($A106,'Medical Examinations'!$A:$D, 2, FALSE)</f>
        <v>35.3</v>
      </c>
      <c r="D106" s="22">
        <f>VLOOKUP($A106, 'Medical Examinations'!$A:$D,3, FALSE)</f>
        <v>5.82</v>
      </c>
      <c r="E106" s="22" t="str">
        <f>VLOOKUP($A106, 'Medical Examinations'!$A:$D, 4, FALSE)</f>
        <v>Yes</v>
      </c>
      <c r="F106" s="22" t="str">
        <f>VLOOKUP($A106, 'Medical Examinations'!$A:$J, 5, FALSE)</f>
        <v>No</v>
      </c>
      <c r="G106" s="22" t="str">
        <f>VLOOKUP($A106, 'Medical Examinations'!$A:$I, 6, FALSE)</f>
        <v>Yes</v>
      </c>
      <c r="H106" s="22">
        <f>VLOOKUP($A106,'Medical Examinations'!$A:$L,10, FALSE)</f>
        <v>1</v>
      </c>
      <c r="I106" s="22" t="str">
        <f>VLOOKUP($A106, 'Medical Examinations'!$A:$J, 9, FALSE)</f>
        <v>Yes</v>
      </c>
      <c r="J106" s="22" t="str">
        <f>VLOOKUP($A106, 'Medical Examinations'!$A:$P, 11, FALSE)</f>
        <v>OBESITY</v>
      </c>
      <c r="K106" s="34">
        <v>26926.0</v>
      </c>
      <c r="L106" s="35">
        <f>VLOOKUP($A106, 'Hospitalisation Details'!$A:$H, 7, FALSE)</f>
        <v>40103.89</v>
      </c>
      <c r="M106" s="22" t="str">
        <f>VLOOKUP($A106, 'Hospitalisation Details'!$A:$L, 12, FALSE)</f>
        <v>tier - 1</v>
      </c>
      <c r="N106" s="22" t="str">
        <f>VLOOKUP($A106, 'Hospitalisation Details'!$A:$M, 13, FALSE)</f>
        <v>tier - 2</v>
      </c>
      <c r="O106" s="22" t="str">
        <f>VLOOKUP($A106, 'Hospitalisation Details'!$A:$N, 14, FALSE)</f>
        <v>R1011</v>
      </c>
      <c r="P106" s="36">
        <f>VLOOKUP($A106, 'Hospitalisation Details'!$A:$O, 15, FALSE)</f>
        <v>39</v>
      </c>
    </row>
    <row r="107" ht="15.75" customHeight="1">
      <c r="A107" s="33" t="s">
        <v>213</v>
      </c>
      <c r="B107" s="22" t="str">
        <f>VLOOKUP($A107,'Customer Names'!$A:$D,3, FALSE)</f>
        <v>Loudon-Brown</v>
      </c>
      <c r="C107" s="22">
        <f>VLOOKUP($A107,'Medical Examinations'!$A:$D, 2, FALSE)</f>
        <v>43.83</v>
      </c>
      <c r="D107" s="22">
        <f>VLOOKUP($A107, 'Medical Examinations'!$A:$D,3, FALSE)</f>
        <v>6.03</v>
      </c>
      <c r="E107" s="22" t="str">
        <f>VLOOKUP($A107, 'Medical Examinations'!$A:$D, 4, FALSE)</f>
        <v>Yes</v>
      </c>
      <c r="F107" s="22" t="str">
        <f>VLOOKUP($A107, 'Medical Examinations'!$A:$J, 5, FALSE)</f>
        <v>No</v>
      </c>
      <c r="G107" s="22" t="str">
        <f>VLOOKUP($A107, 'Medical Examinations'!$A:$I, 6, FALSE)</f>
        <v>No</v>
      </c>
      <c r="H107" s="22">
        <f>VLOOKUP($A107,'Medical Examinations'!$A:$L,10, FALSE)</f>
        <v>2</v>
      </c>
      <c r="I107" s="22" t="str">
        <f>VLOOKUP($A107, 'Medical Examinations'!$A:$J, 9, FALSE)</f>
        <v>Yes</v>
      </c>
      <c r="J107" s="22" t="str">
        <f>VLOOKUP($A107, 'Medical Examinations'!$A:$P, 11, FALSE)</f>
        <v>OBESITY</v>
      </c>
      <c r="K107" s="34">
        <v>26936.0</v>
      </c>
      <c r="L107" s="35">
        <f>VLOOKUP($A107, 'Hospitalisation Details'!$A:$H, 7, FALSE)</f>
        <v>40069.44</v>
      </c>
      <c r="M107" s="22" t="str">
        <f>VLOOKUP($A107, 'Hospitalisation Details'!$A:$L, 12, FALSE)</f>
        <v>tier - 1</v>
      </c>
      <c r="N107" s="22" t="str">
        <f>VLOOKUP($A107, 'Hospitalisation Details'!$A:$M, 13, FALSE)</f>
        <v>tier - 3</v>
      </c>
      <c r="O107" s="22" t="str">
        <f>VLOOKUP($A107, 'Hospitalisation Details'!$A:$N, 14, FALSE)</f>
        <v>R1011</v>
      </c>
      <c r="P107" s="36">
        <f>VLOOKUP($A107, 'Hospitalisation Details'!$A:$O, 15, FALSE)</f>
        <v>56</v>
      </c>
    </row>
    <row r="108" ht="15.75" customHeight="1">
      <c r="A108" s="33" t="s">
        <v>215</v>
      </c>
      <c r="B108" s="22" t="str">
        <f>VLOOKUP($A108,'Customer Names'!$A:$D,3, FALSE)</f>
        <v>Sugathadasa</v>
      </c>
      <c r="C108" s="22">
        <f>VLOOKUP($A108,'Medical Examinations'!$A:$D, 2, FALSE)</f>
        <v>50.07</v>
      </c>
      <c r="D108" s="22">
        <f>VLOOKUP($A108, 'Medical Examinations'!$A:$D,3, FALSE)</f>
        <v>9.27</v>
      </c>
      <c r="E108" s="22" t="str">
        <f>VLOOKUP($A108, 'Medical Examinations'!$A:$D, 4, FALSE)</f>
        <v>No</v>
      </c>
      <c r="F108" s="22" t="str">
        <f>VLOOKUP($A108, 'Medical Examinations'!$A:$J, 5, FALSE)</f>
        <v>No</v>
      </c>
      <c r="G108" s="22" t="str">
        <f>VLOOKUP($A108, 'Medical Examinations'!$A:$I, 6, FALSE)</f>
        <v>No</v>
      </c>
      <c r="H108" s="22">
        <f>VLOOKUP($A108,'Medical Examinations'!$A:$L,10, FALSE)</f>
        <v>0</v>
      </c>
      <c r="I108" s="22" t="str">
        <f>VLOOKUP($A108, 'Medical Examinations'!$A:$J, 9, FALSE)</f>
        <v>Yes</v>
      </c>
      <c r="J108" s="22" t="str">
        <f>VLOOKUP($A108, 'Medical Examinations'!$A:$P, 11, FALSE)</f>
        <v>OBESITY</v>
      </c>
      <c r="K108" s="34">
        <v>26182.0</v>
      </c>
      <c r="L108" s="35">
        <f>VLOOKUP($A108, 'Hospitalisation Details'!$A:$H, 7, FALSE)</f>
        <v>40054.73</v>
      </c>
      <c r="M108" s="22" t="str">
        <f>VLOOKUP($A108, 'Hospitalisation Details'!$A:$L, 12, FALSE)</f>
        <v>tier - 1</v>
      </c>
      <c r="N108" s="22" t="str">
        <f>VLOOKUP($A108, 'Hospitalisation Details'!$A:$M, 13, FALSE)</f>
        <v>tier - 3</v>
      </c>
      <c r="O108" s="22" t="str">
        <f>VLOOKUP($A108, 'Hospitalisation Details'!$A:$N, 14, FALSE)</f>
        <v>R1011</v>
      </c>
      <c r="P108" s="36">
        <f>VLOOKUP($A108, 'Hospitalisation Details'!$A:$O, 15, FALSE)</f>
        <v>44</v>
      </c>
    </row>
    <row r="109" ht="15.75" customHeight="1">
      <c r="A109" s="33" t="s">
        <v>217</v>
      </c>
      <c r="B109" s="22" t="str">
        <f>VLOOKUP($A109,'Customer Names'!$A:$D,3, FALSE)</f>
        <v>Ganley</v>
      </c>
      <c r="C109" s="22">
        <f>VLOOKUP($A109,'Medical Examinations'!$A:$D, 2, FALSE)</f>
        <v>32.775</v>
      </c>
      <c r="D109" s="22">
        <f>VLOOKUP($A109, 'Medical Examinations'!$A:$D,3, FALSE)</f>
        <v>5.53</v>
      </c>
      <c r="E109" s="22" t="str">
        <f>VLOOKUP($A109, 'Medical Examinations'!$A:$D, 4, FALSE)</f>
        <v>No</v>
      </c>
      <c r="F109" s="22" t="str">
        <f>VLOOKUP($A109, 'Medical Examinations'!$A:$J, 5, FALSE)</f>
        <v>No</v>
      </c>
      <c r="G109" s="22" t="str">
        <f>VLOOKUP($A109, 'Medical Examinations'!$A:$I, 6, FALSE)</f>
        <v>No</v>
      </c>
      <c r="H109" s="22">
        <f>VLOOKUP($A109,'Medical Examinations'!$A:$L,10, FALSE)</f>
        <v>0</v>
      </c>
      <c r="I109" s="22" t="str">
        <f>VLOOKUP($A109, 'Medical Examinations'!$A:$J, 9, FALSE)</f>
        <v>Yes</v>
      </c>
      <c r="J109" s="22" t="str">
        <f>VLOOKUP($A109, 'Medical Examinations'!$A:$P, 11, FALSE)</f>
        <v>OBESITY</v>
      </c>
      <c r="K109" s="34">
        <v>31997.0</v>
      </c>
      <c r="L109" s="35">
        <f>VLOOKUP($A109, 'Hospitalisation Details'!$A:$H, 7, FALSE)</f>
        <v>40003.33</v>
      </c>
      <c r="M109" s="22" t="str">
        <f>VLOOKUP($A109, 'Hospitalisation Details'!$A:$L, 12, FALSE)</f>
        <v>tier - 1</v>
      </c>
      <c r="N109" s="22" t="str">
        <f>VLOOKUP($A109, 'Hospitalisation Details'!$A:$M, 13, FALSE)</f>
        <v>tier - 1</v>
      </c>
      <c r="O109" s="22" t="str">
        <f>VLOOKUP($A109, 'Hospitalisation Details'!$A:$N, 14, FALSE)</f>
        <v>R1012</v>
      </c>
      <c r="P109" s="36">
        <f>VLOOKUP($A109, 'Hospitalisation Details'!$A:$O, 15, FALSE)</f>
        <v>40</v>
      </c>
    </row>
    <row r="110" ht="15.75" customHeight="1">
      <c r="A110" s="33" t="s">
        <v>219</v>
      </c>
      <c r="B110" s="22" t="str">
        <f>VLOOKUP($A110,'Customer Names'!$A:$D,3, FALSE)</f>
        <v>Potter</v>
      </c>
      <c r="C110" s="22">
        <f>VLOOKUP($A110,'Medical Examinations'!$A:$D, 2, FALSE)</f>
        <v>34.105</v>
      </c>
      <c r="D110" s="22">
        <f>VLOOKUP($A110, 'Medical Examinations'!$A:$D,3, FALSE)</f>
        <v>5.07</v>
      </c>
      <c r="E110" s="22" t="str">
        <f>VLOOKUP($A110, 'Medical Examinations'!$A:$D, 4, FALSE)</f>
        <v>No</v>
      </c>
      <c r="F110" s="22" t="str">
        <f>VLOOKUP($A110, 'Medical Examinations'!$A:$J, 5, FALSE)</f>
        <v>No</v>
      </c>
      <c r="G110" s="22" t="str">
        <f>VLOOKUP($A110, 'Medical Examinations'!$A:$I, 6, FALSE)</f>
        <v>No</v>
      </c>
      <c r="H110" s="22">
        <f>VLOOKUP($A110,'Medical Examinations'!$A:$L,10, FALSE)</f>
        <v>1</v>
      </c>
      <c r="I110" s="22" t="str">
        <f>VLOOKUP($A110, 'Medical Examinations'!$A:$J, 9, FALSE)</f>
        <v>Yes</v>
      </c>
      <c r="J110" s="22" t="str">
        <f>VLOOKUP($A110, 'Medical Examinations'!$A:$P, 11, FALSE)</f>
        <v>OBESITY</v>
      </c>
      <c r="K110" s="34">
        <v>25371.0</v>
      </c>
      <c r="L110" s="35">
        <f>VLOOKUP($A110, 'Hospitalisation Details'!$A:$H, 7, FALSE)</f>
        <v>39983.43</v>
      </c>
      <c r="M110" s="22" t="str">
        <f>VLOOKUP($A110, 'Hospitalisation Details'!$A:$L, 12, FALSE)</f>
        <v>tier - 2</v>
      </c>
      <c r="N110" s="22" t="str">
        <f>VLOOKUP($A110, 'Hospitalisation Details'!$A:$M, 13, FALSE)</f>
        <v>tier - 3</v>
      </c>
      <c r="O110" s="22" t="str">
        <f>VLOOKUP($A110, 'Hospitalisation Details'!$A:$N, 14, FALSE)</f>
        <v>R1012</v>
      </c>
      <c r="P110" s="36">
        <f>VLOOKUP($A110, 'Hospitalisation Details'!$A:$O, 15, FALSE)</f>
        <v>35</v>
      </c>
    </row>
    <row r="111" ht="15.75" customHeight="1">
      <c r="A111" s="33" t="s">
        <v>221</v>
      </c>
      <c r="B111" s="22" t="str">
        <f>VLOOKUP($A111,'Customer Names'!$A:$D,3, FALSE)</f>
        <v>Rasmussen</v>
      </c>
      <c r="C111" s="22">
        <f>VLOOKUP($A111,'Medical Examinations'!$A:$D, 2, FALSE)</f>
        <v>48.93</v>
      </c>
      <c r="D111" s="22">
        <f>VLOOKUP($A111, 'Medical Examinations'!$A:$D,3, FALSE)</f>
        <v>11.17</v>
      </c>
      <c r="E111" s="22" t="str">
        <f>VLOOKUP($A111, 'Medical Examinations'!$A:$D, 4, FALSE)</f>
        <v>Yes</v>
      </c>
      <c r="F111" s="22" t="str">
        <f>VLOOKUP($A111, 'Medical Examinations'!$A:$J, 5, FALSE)</f>
        <v>No</v>
      </c>
      <c r="G111" s="22" t="str">
        <f>VLOOKUP($A111, 'Medical Examinations'!$A:$I, 6, FALSE)</f>
        <v>No</v>
      </c>
      <c r="H111" s="22">
        <f>VLOOKUP($A111,'Medical Examinations'!$A:$L,10, FALSE)</f>
        <v>1</v>
      </c>
      <c r="I111" s="22" t="str">
        <f>VLOOKUP($A111, 'Medical Examinations'!$A:$J, 9, FALSE)</f>
        <v>Yes</v>
      </c>
      <c r="J111" s="22" t="str">
        <f>VLOOKUP($A111, 'Medical Examinations'!$A:$P, 11, FALSE)</f>
        <v>OBESITY</v>
      </c>
      <c r="K111" s="34">
        <v>27301.0</v>
      </c>
      <c r="L111" s="35">
        <f>VLOOKUP($A111, 'Hospitalisation Details'!$A:$H, 7, FALSE)</f>
        <v>39963.12</v>
      </c>
      <c r="M111" s="22" t="str">
        <f>VLOOKUP($A111, 'Hospitalisation Details'!$A:$L, 12, FALSE)</f>
        <v>tier - 2</v>
      </c>
      <c r="N111" s="22" t="str">
        <f>VLOOKUP($A111, 'Hospitalisation Details'!$A:$M, 13, FALSE)</f>
        <v>tier - 2</v>
      </c>
      <c r="O111" s="22" t="str">
        <f>VLOOKUP($A111, 'Hospitalisation Details'!$A:$N, 14, FALSE)</f>
        <v>R1011</v>
      </c>
      <c r="P111" s="36">
        <f>VLOOKUP($A111, 'Hospitalisation Details'!$A:$O, 15, FALSE)</f>
        <v>47</v>
      </c>
    </row>
    <row r="112" ht="15.75" customHeight="1">
      <c r="A112" s="33" t="s">
        <v>223</v>
      </c>
      <c r="B112" s="22" t="str">
        <f>VLOOKUP($A112,'Customer Names'!$A:$D,3, FALSE)</f>
        <v>Robinson</v>
      </c>
      <c r="C112" s="22">
        <f>VLOOKUP($A112,'Medical Examinations'!$A:$D, 2, FALSE)</f>
        <v>37.07</v>
      </c>
      <c r="D112" s="22">
        <f>VLOOKUP($A112, 'Medical Examinations'!$A:$D,3, FALSE)</f>
        <v>6.14</v>
      </c>
      <c r="E112" s="22" t="str">
        <f>VLOOKUP($A112, 'Medical Examinations'!$A:$D, 4, FALSE)</f>
        <v>Yes</v>
      </c>
      <c r="F112" s="22" t="str">
        <f>VLOOKUP($A112, 'Medical Examinations'!$A:$J, 5, FALSE)</f>
        <v>No</v>
      </c>
      <c r="G112" s="22" t="str">
        <f>VLOOKUP($A112, 'Medical Examinations'!$A:$I, 6, FALSE)</f>
        <v>No</v>
      </c>
      <c r="H112" s="22">
        <f>VLOOKUP($A112,'Medical Examinations'!$A:$L,10, FALSE)</f>
        <v>0</v>
      </c>
      <c r="I112" s="22" t="str">
        <f>VLOOKUP($A112, 'Medical Examinations'!$A:$J, 9, FALSE)</f>
        <v>Yes</v>
      </c>
      <c r="J112" s="22" t="str">
        <f>VLOOKUP($A112, 'Medical Examinations'!$A:$P, 11, FALSE)</f>
        <v>OBESITY</v>
      </c>
      <c r="K112" s="34">
        <v>26884.0</v>
      </c>
      <c r="L112" s="35">
        <f>VLOOKUP($A112, 'Hospitalisation Details'!$A:$H, 7, FALSE)</f>
        <v>39871.7</v>
      </c>
      <c r="M112" s="22" t="str">
        <f>VLOOKUP($A112, 'Hospitalisation Details'!$A:$L, 12, FALSE)</f>
        <v>tier - 1</v>
      </c>
      <c r="N112" s="22" t="str">
        <f>VLOOKUP($A112, 'Hospitalisation Details'!$A:$M, 13, FALSE)</f>
        <v>tier - 2</v>
      </c>
      <c r="O112" s="22" t="str">
        <f>VLOOKUP($A112, 'Hospitalisation Details'!$A:$N, 14, FALSE)</f>
        <v>R1013</v>
      </c>
      <c r="P112" s="36">
        <f>VLOOKUP($A112, 'Hospitalisation Details'!$A:$O, 15, FALSE)</f>
        <v>37</v>
      </c>
    </row>
    <row r="113" ht="15.75" customHeight="1">
      <c r="A113" s="33" t="s">
        <v>225</v>
      </c>
      <c r="B113" s="22" t="str">
        <f>VLOOKUP($A113,'Customer Names'!$A:$D,3, FALSE)</f>
        <v>Antonopoulos</v>
      </c>
      <c r="C113" s="22">
        <f>VLOOKUP($A113,'Medical Examinations'!$A:$D, 2, FALSE)</f>
        <v>51.51</v>
      </c>
      <c r="D113" s="22">
        <f>VLOOKUP($A113, 'Medical Examinations'!$A:$D,3, FALSE)</f>
        <v>6.26</v>
      </c>
      <c r="E113" s="22" t="str">
        <f>VLOOKUP($A113, 'Medical Examinations'!$A:$D, 4, FALSE)</f>
        <v>Yes</v>
      </c>
      <c r="F113" s="22" t="str">
        <f>VLOOKUP($A113, 'Medical Examinations'!$A:$J, 5, FALSE)</f>
        <v>No</v>
      </c>
      <c r="G113" s="22" t="str">
        <f>VLOOKUP($A113, 'Medical Examinations'!$A:$I, 6, FALSE)</f>
        <v>Yes</v>
      </c>
      <c r="H113" s="22">
        <f>VLOOKUP($A113,'Medical Examinations'!$A:$L,10, FALSE)</f>
        <v>1</v>
      </c>
      <c r="I113" s="22" t="str">
        <f>VLOOKUP($A113, 'Medical Examinations'!$A:$J, 9, FALSE)</f>
        <v>Yes</v>
      </c>
      <c r="J113" s="22" t="str">
        <f>VLOOKUP($A113, 'Medical Examinations'!$A:$P, 11, FALSE)</f>
        <v>OBESITY</v>
      </c>
      <c r="K113" s="34">
        <v>25038.0</v>
      </c>
      <c r="L113" s="35">
        <f>VLOOKUP($A113, 'Hospitalisation Details'!$A:$H, 7, FALSE)</f>
        <v>39865.7</v>
      </c>
      <c r="M113" s="22" t="str">
        <f>VLOOKUP($A113, 'Hospitalisation Details'!$A:$L, 12, FALSE)</f>
        <v>tier - 2</v>
      </c>
      <c r="N113" s="22" t="str">
        <f>VLOOKUP($A113, 'Hospitalisation Details'!$A:$M, 13, FALSE)</f>
        <v>tier - 2</v>
      </c>
      <c r="O113" s="22" t="str">
        <f>VLOOKUP($A113, 'Hospitalisation Details'!$A:$N, 14, FALSE)</f>
        <v>R1011</v>
      </c>
      <c r="P113" s="36">
        <f>VLOOKUP($A113, 'Hospitalisation Details'!$A:$O, 15, FALSE)</f>
        <v>40</v>
      </c>
    </row>
    <row r="114" ht="15.75" customHeight="1">
      <c r="A114" s="33" t="s">
        <v>227</v>
      </c>
      <c r="B114" s="22" t="str">
        <f>VLOOKUP($A114,'Customer Names'!$A:$D,3, FALSE)</f>
        <v>Groner</v>
      </c>
      <c r="C114" s="22">
        <f>VLOOKUP($A114,'Medical Examinations'!$A:$D, 2, FALSE)</f>
        <v>34.8</v>
      </c>
      <c r="D114" s="22">
        <f>VLOOKUP($A114, 'Medical Examinations'!$A:$D,3, FALSE)</f>
        <v>4.72</v>
      </c>
      <c r="E114" s="22" t="str">
        <f>VLOOKUP($A114, 'Medical Examinations'!$A:$D, 4, FALSE)</f>
        <v>Yes</v>
      </c>
      <c r="F114" s="22" t="str">
        <f>VLOOKUP($A114, 'Medical Examinations'!$A:$J, 5, FALSE)</f>
        <v>No</v>
      </c>
      <c r="G114" s="22" t="str">
        <f>VLOOKUP($A114, 'Medical Examinations'!$A:$I, 6, FALSE)</f>
        <v>No</v>
      </c>
      <c r="H114" s="22">
        <f>VLOOKUP($A114,'Medical Examinations'!$A:$L,10, FALSE)</f>
        <v>0</v>
      </c>
      <c r="I114" s="22" t="str">
        <f>VLOOKUP($A114, 'Medical Examinations'!$A:$J, 9, FALSE)</f>
        <v>Yes</v>
      </c>
      <c r="J114" s="22" t="str">
        <f>VLOOKUP($A114, 'Medical Examinations'!$A:$P, 11, FALSE)</f>
        <v>OBESITY</v>
      </c>
      <c r="K114" s="34">
        <v>30153.0</v>
      </c>
      <c r="L114" s="35">
        <f>VLOOKUP($A114, 'Hospitalisation Details'!$A:$H, 7, FALSE)</f>
        <v>39836.52</v>
      </c>
      <c r="M114" s="22" t="str">
        <f>VLOOKUP($A114, 'Hospitalisation Details'!$A:$L, 12, FALSE)</f>
        <v>tier - 2</v>
      </c>
      <c r="N114" s="22" t="str">
        <f>VLOOKUP($A114, 'Hospitalisation Details'!$A:$M, 13, FALSE)</f>
        <v>tier - 1</v>
      </c>
      <c r="O114" s="22" t="str">
        <f>VLOOKUP($A114, 'Hospitalisation Details'!$A:$N, 14, FALSE)</f>
        <v>R1011</v>
      </c>
      <c r="P114" s="36">
        <f>VLOOKUP($A114, 'Hospitalisation Details'!$A:$O, 15, FALSE)</f>
        <v>37</v>
      </c>
    </row>
    <row r="115" ht="15.75" customHeight="1">
      <c r="A115" s="33" t="s">
        <v>229</v>
      </c>
      <c r="B115" s="22" t="str">
        <f>VLOOKUP($A115,'Customer Names'!$A:$D,3, FALSE)</f>
        <v>Zywicki</v>
      </c>
      <c r="C115" s="22">
        <f>VLOOKUP($A115,'Medical Examinations'!$A:$D, 2, FALSE)</f>
        <v>36.67</v>
      </c>
      <c r="D115" s="22">
        <f>VLOOKUP($A115, 'Medical Examinations'!$A:$D,3, FALSE)</f>
        <v>5.18</v>
      </c>
      <c r="E115" s="22" t="str">
        <f>VLOOKUP($A115, 'Medical Examinations'!$A:$D, 4, FALSE)</f>
        <v>No</v>
      </c>
      <c r="F115" s="22" t="str">
        <f>VLOOKUP($A115, 'Medical Examinations'!$A:$J, 5, FALSE)</f>
        <v>No</v>
      </c>
      <c r="G115" s="22" t="str">
        <f>VLOOKUP($A115, 'Medical Examinations'!$A:$I, 6, FALSE)</f>
        <v>No</v>
      </c>
      <c r="H115" s="22">
        <f>VLOOKUP($A115,'Medical Examinations'!$A:$L,10, FALSE)</f>
        <v>1</v>
      </c>
      <c r="I115" s="22" t="str">
        <f>VLOOKUP($A115, 'Medical Examinations'!$A:$J, 9, FALSE)</f>
        <v>Yes</v>
      </c>
      <c r="J115" s="22" t="str">
        <f>VLOOKUP($A115, 'Medical Examinations'!$A:$P, 11, FALSE)</f>
        <v>OBESITY</v>
      </c>
      <c r="K115" s="34">
        <v>25903.0</v>
      </c>
      <c r="L115" s="35">
        <f>VLOOKUP($A115, 'Hospitalisation Details'!$A:$H, 7, FALSE)</f>
        <v>39774.28</v>
      </c>
      <c r="M115" s="22" t="str">
        <f>VLOOKUP($A115, 'Hospitalisation Details'!$A:$L, 12, FALSE)</f>
        <v>tier - 1</v>
      </c>
      <c r="N115" s="22" t="str">
        <f>VLOOKUP($A115, 'Hospitalisation Details'!$A:$M, 13, FALSE)</f>
        <v>tier - 1</v>
      </c>
      <c r="O115" s="22" t="str">
        <f>VLOOKUP($A115, 'Hospitalisation Details'!$A:$N, 14, FALSE)</f>
        <v>R1014</v>
      </c>
      <c r="P115" s="36">
        <f>VLOOKUP($A115, 'Hospitalisation Details'!$A:$O, 15, FALSE)</f>
        <v>35</v>
      </c>
    </row>
    <row r="116" ht="15.75" customHeight="1">
      <c r="A116" s="33" t="s">
        <v>231</v>
      </c>
      <c r="B116" s="22" t="str">
        <f>VLOOKUP($A116,'Customer Names'!$A:$D,3, FALSE)</f>
        <v>Cardinal</v>
      </c>
      <c r="C116" s="22">
        <f>VLOOKUP($A116,'Medical Examinations'!$A:$D, 2, FALSE)</f>
        <v>30.9</v>
      </c>
      <c r="D116" s="22">
        <f>VLOOKUP($A116, 'Medical Examinations'!$A:$D,3, FALSE)</f>
        <v>9.4</v>
      </c>
      <c r="E116" s="22" t="str">
        <f>VLOOKUP($A116, 'Medical Examinations'!$A:$D, 4, FALSE)</f>
        <v>No</v>
      </c>
      <c r="F116" s="22" t="str">
        <f>VLOOKUP($A116, 'Medical Examinations'!$A:$J, 5, FALSE)</f>
        <v>No</v>
      </c>
      <c r="G116" s="22" t="str">
        <f>VLOOKUP($A116, 'Medical Examinations'!$A:$I, 6, FALSE)</f>
        <v>No</v>
      </c>
      <c r="H116" s="22">
        <f>VLOOKUP($A116,'Medical Examinations'!$A:$L,10, FALSE)</f>
        <v>2</v>
      </c>
      <c r="I116" s="22" t="str">
        <f>VLOOKUP($A116, 'Medical Examinations'!$A:$J, 9, FALSE)</f>
        <v>Yes</v>
      </c>
      <c r="J116" s="22" t="str">
        <f>VLOOKUP($A116, 'Medical Examinations'!$A:$P, 11, FALSE)</f>
        <v>OBESITY</v>
      </c>
      <c r="K116" s="34">
        <v>33471.0</v>
      </c>
      <c r="L116" s="35">
        <f>VLOOKUP($A116, 'Hospitalisation Details'!$A:$H, 7, FALSE)</f>
        <v>39727.61</v>
      </c>
      <c r="M116" s="22" t="str">
        <f>VLOOKUP($A116, 'Hospitalisation Details'!$A:$L, 12, FALSE)</f>
        <v>tier - 1</v>
      </c>
      <c r="N116" s="22" t="str">
        <f>VLOOKUP($A116, 'Hospitalisation Details'!$A:$M, 13, FALSE)</f>
        <v>tier - 2</v>
      </c>
      <c r="O116" s="22" t="str">
        <f>VLOOKUP($A116, 'Hospitalisation Details'!$A:$N, 14, FALSE)</f>
        <v>R1011</v>
      </c>
      <c r="P116" s="36">
        <f>VLOOKUP($A116, 'Hospitalisation Details'!$A:$O, 15, FALSE)</f>
        <v>49</v>
      </c>
    </row>
    <row r="117" ht="15.75" customHeight="1">
      <c r="A117" s="33" t="s">
        <v>233</v>
      </c>
      <c r="B117" s="22" t="str">
        <f>VLOOKUP($A117,'Customer Names'!$A:$D,3, FALSE)</f>
        <v>Alleman</v>
      </c>
      <c r="C117" s="22">
        <f>VLOOKUP($A117,'Medical Examinations'!$A:$D, 2, FALSE)</f>
        <v>30.495</v>
      </c>
      <c r="D117" s="22">
        <f>VLOOKUP($A117, 'Medical Examinations'!$A:$D,3, FALSE)</f>
        <v>6.29</v>
      </c>
      <c r="E117" s="22" t="str">
        <f>VLOOKUP($A117, 'Medical Examinations'!$A:$D, 4, FALSE)</f>
        <v>No</v>
      </c>
      <c r="F117" s="22" t="str">
        <f>VLOOKUP($A117, 'Medical Examinations'!$A:$J, 5, FALSE)</f>
        <v>No</v>
      </c>
      <c r="G117" s="22" t="str">
        <f>VLOOKUP($A117, 'Medical Examinations'!$A:$I, 6, FALSE)</f>
        <v>No</v>
      </c>
      <c r="H117" s="22">
        <f>VLOOKUP($A117,'Medical Examinations'!$A:$L,10, FALSE)</f>
        <v>0</v>
      </c>
      <c r="I117" s="22" t="str">
        <f>VLOOKUP($A117, 'Medical Examinations'!$A:$J, 9, FALSE)</f>
        <v>Yes</v>
      </c>
      <c r="J117" s="22" t="str">
        <f>VLOOKUP($A117, 'Medical Examinations'!$A:$P, 11, FALSE)</f>
        <v>OBESITY</v>
      </c>
      <c r="K117" s="34">
        <v>33559.0</v>
      </c>
      <c r="L117" s="35">
        <f>VLOOKUP($A117, 'Hospitalisation Details'!$A:$H, 7, FALSE)</f>
        <v>39725.52</v>
      </c>
      <c r="M117" s="22" t="str">
        <f>VLOOKUP($A117, 'Hospitalisation Details'!$A:$L, 12, FALSE)</f>
        <v>tier - 2</v>
      </c>
      <c r="N117" s="22" t="str">
        <f>VLOOKUP($A117, 'Hospitalisation Details'!$A:$M, 13, FALSE)</f>
        <v>tier - 1</v>
      </c>
      <c r="O117" s="22" t="str">
        <f>VLOOKUP($A117, 'Hospitalisation Details'!$A:$N, 14, FALSE)</f>
        <v>R1012</v>
      </c>
      <c r="P117" s="36">
        <f>VLOOKUP($A117, 'Hospitalisation Details'!$A:$O, 15, FALSE)</f>
        <v>45</v>
      </c>
    </row>
    <row r="118" ht="15.75" customHeight="1">
      <c r="A118" s="33" t="s">
        <v>235</v>
      </c>
      <c r="B118" s="22" t="str">
        <f>VLOOKUP($A118,'Customer Names'!$A:$D,3, FALSE)</f>
        <v>Stroffolino</v>
      </c>
      <c r="C118" s="22">
        <f>VLOOKUP($A118,'Medical Examinations'!$A:$D, 2, FALSE)</f>
        <v>44.88</v>
      </c>
      <c r="D118" s="22">
        <f>VLOOKUP($A118, 'Medical Examinations'!$A:$D,3, FALSE)</f>
        <v>6.04</v>
      </c>
      <c r="E118" s="22" t="str">
        <f>VLOOKUP($A118, 'Medical Examinations'!$A:$D, 4, FALSE)</f>
        <v>No</v>
      </c>
      <c r="F118" s="22" t="str">
        <f>VLOOKUP($A118, 'Medical Examinations'!$A:$J, 5, FALSE)</f>
        <v>No</v>
      </c>
      <c r="G118" s="22" t="str">
        <f>VLOOKUP($A118, 'Medical Examinations'!$A:$I, 6, FALSE)</f>
        <v>Yes</v>
      </c>
      <c r="H118" s="22">
        <f>VLOOKUP($A118,'Medical Examinations'!$A:$L,10, FALSE)</f>
        <v>1</v>
      </c>
      <c r="I118" s="22" t="str">
        <f>VLOOKUP($A118, 'Medical Examinations'!$A:$J, 9, FALSE)</f>
        <v>Yes</v>
      </c>
      <c r="J118" s="22" t="str">
        <f>VLOOKUP($A118, 'Medical Examinations'!$A:$P, 11, FALSE)</f>
        <v>OBESITY</v>
      </c>
      <c r="K118" s="34">
        <v>22839.0</v>
      </c>
      <c r="L118" s="35">
        <f>VLOOKUP($A118, 'Hospitalisation Details'!$A:$H, 7, FALSE)</f>
        <v>39722.75</v>
      </c>
      <c r="M118" s="22" t="str">
        <f>VLOOKUP($A118, 'Hospitalisation Details'!$A:$L, 12, FALSE)</f>
        <v>tier - 1</v>
      </c>
      <c r="N118" s="22" t="str">
        <f>VLOOKUP($A118, 'Hospitalisation Details'!$A:$M, 13, FALSE)</f>
        <v>tier - 1</v>
      </c>
      <c r="O118" s="22" t="str">
        <f>VLOOKUP($A118, 'Hospitalisation Details'!$A:$N, 14, FALSE)</f>
        <v>R1013</v>
      </c>
      <c r="P118" s="36">
        <f>VLOOKUP($A118, 'Hospitalisation Details'!$A:$O, 15, FALSE)</f>
        <v>19</v>
      </c>
    </row>
    <row r="119" ht="15.75" customHeight="1">
      <c r="A119" s="33" t="s">
        <v>237</v>
      </c>
      <c r="B119" s="22" t="str">
        <f>VLOOKUP($A119,'Customer Names'!$A:$D,3, FALSE)</f>
        <v>Clubb</v>
      </c>
      <c r="C119" s="22">
        <f>VLOOKUP($A119,'Medical Examinations'!$A:$D, 2, FALSE)</f>
        <v>44.32</v>
      </c>
      <c r="D119" s="22">
        <f>VLOOKUP($A119, 'Medical Examinations'!$A:$D,3, FALSE)</f>
        <v>10.55</v>
      </c>
      <c r="E119" s="22" t="str">
        <f>VLOOKUP($A119, 'Medical Examinations'!$A:$D, 4, FALSE)</f>
        <v>No</v>
      </c>
      <c r="F119" s="22" t="str">
        <f>VLOOKUP($A119, 'Medical Examinations'!$A:$J, 5, FALSE)</f>
        <v>No</v>
      </c>
      <c r="G119" s="22" t="str">
        <f>VLOOKUP($A119, 'Medical Examinations'!$A:$I, 6, FALSE)</f>
        <v>No</v>
      </c>
      <c r="H119" s="22">
        <f>VLOOKUP($A119,'Medical Examinations'!$A:$L,10, FALSE)</f>
        <v>0</v>
      </c>
      <c r="I119" s="22" t="str">
        <f>VLOOKUP($A119, 'Medical Examinations'!$A:$J, 9, FALSE)</f>
        <v>Yes</v>
      </c>
      <c r="J119" s="22" t="str">
        <f>VLOOKUP($A119, 'Medical Examinations'!$A:$P, 11, FALSE)</f>
        <v>OBESITY</v>
      </c>
      <c r="K119" s="34">
        <v>23278.0</v>
      </c>
      <c r="L119" s="35">
        <f>VLOOKUP($A119, 'Hospitalisation Details'!$A:$H, 7, FALSE)</f>
        <v>39721.93</v>
      </c>
      <c r="M119" s="22" t="str">
        <f>VLOOKUP($A119, 'Hospitalisation Details'!$A:$L, 12, FALSE)</f>
        <v>tier - 2</v>
      </c>
      <c r="N119" s="22" t="str">
        <f>VLOOKUP($A119, 'Hospitalisation Details'!$A:$M, 13, FALSE)</f>
        <v>tier - 2</v>
      </c>
      <c r="O119" s="22" t="str">
        <f>VLOOKUP($A119, 'Hospitalisation Details'!$A:$N, 14, FALSE)</f>
        <v>R1011</v>
      </c>
      <c r="P119" s="36">
        <f>VLOOKUP($A119, 'Hospitalisation Details'!$A:$O, 15, FALSE)</f>
        <v>54</v>
      </c>
    </row>
    <row r="120" ht="15.75" customHeight="1">
      <c r="A120" s="33" t="s">
        <v>239</v>
      </c>
      <c r="B120" s="22" t="str">
        <f>VLOOKUP($A120,'Customer Names'!$A:$D,3, FALSE)</f>
        <v>McGoogan</v>
      </c>
      <c r="C120" s="22">
        <f>VLOOKUP($A120,'Medical Examinations'!$A:$D, 2, FALSE)</f>
        <v>46.39</v>
      </c>
      <c r="D120" s="22">
        <f>VLOOKUP($A120, 'Medical Examinations'!$A:$D,3, FALSE)</f>
        <v>5.09</v>
      </c>
      <c r="E120" s="22" t="str">
        <f>VLOOKUP($A120, 'Medical Examinations'!$A:$D, 4, FALSE)</f>
        <v>No</v>
      </c>
      <c r="F120" s="22" t="str">
        <f>VLOOKUP($A120, 'Medical Examinations'!$A:$J, 5, FALSE)</f>
        <v>No</v>
      </c>
      <c r="G120" s="22" t="str">
        <f>VLOOKUP($A120, 'Medical Examinations'!$A:$I, 6, FALSE)</f>
        <v>No</v>
      </c>
      <c r="H120" s="22">
        <f>VLOOKUP($A120,'Medical Examinations'!$A:$L,10, FALSE)</f>
        <v>0</v>
      </c>
      <c r="I120" s="22" t="str">
        <f>VLOOKUP($A120, 'Medical Examinations'!$A:$J, 9, FALSE)</f>
        <v>Yes</v>
      </c>
      <c r="J120" s="22" t="str">
        <f>VLOOKUP($A120, 'Medical Examinations'!$A:$P, 11, FALSE)</f>
        <v>OBESITY</v>
      </c>
      <c r="K120" s="34">
        <v>21753.0</v>
      </c>
      <c r="L120" s="35">
        <f>VLOOKUP($A120, 'Hospitalisation Details'!$A:$H, 7, FALSE)</f>
        <v>39670.44</v>
      </c>
      <c r="M120" s="22" t="str">
        <f>VLOOKUP($A120, 'Hospitalisation Details'!$A:$L, 12, FALSE)</f>
        <v>tier - 2</v>
      </c>
      <c r="N120" s="22" t="str">
        <f>VLOOKUP($A120, 'Hospitalisation Details'!$A:$M, 13, FALSE)</f>
        <v>tier - 1</v>
      </c>
      <c r="O120" s="22" t="str">
        <f>VLOOKUP($A120, 'Hospitalisation Details'!$A:$N, 14, FALSE)</f>
        <v>R1012</v>
      </c>
      <c r="P120" s="36">
        <f>VLOOKUP($A120, 'Hospitalisation Details'!$A:$O, 15, FALSE)</f>
        <v>45</v>
      </c>
    </row>
    <row r="121" ht="15.75" customHeight="1">
      <c r="A121" s="33" t="s">
        <v>241</v>
      </c>
      <c r="B121" s="22" t="str">
        <f>VLOOKUP($A121,'Customer Names'!$A:$D,3, FALSE)</f>
        <v>Keflezighi</v>
      </c>
      <c r="C121" s="22">
        <f>VLOOKUP($A121,'Medical Examinations'!$A:$D, 2, FALSE)</f>
        <v>42.13</v>
      </c>
      <c r="D121" s="22">
        <f>VLOOKUP($A121, 'Medical Examinations'!$A:$D,3, FALSE)</f>
        <v>5.2</v>
      </c>
      <c r="E121" s="22" t="str">
        <f>VLOOKUP($A121, 'Medical Examinations'!$A:$D, 4, FALSE)</f>
        <v>Yes</v>
      </c>
      <c r="F121" s="22" t="str">
        <f>VLOOKUP($A121, 'Medical Examinations'!$A:$J, 5, FALSE)</f>
        <v>No</v>
      </c>
      <c r="G121" s="22" t="str">
        <f>VLOOKUP($A121, 'Medical Examinations'!$A:$I, 6, FALSE)</f>
        <v>No</v>
      </c>
      <c r="H121" s="22">
        <f>VLOOKUP($A121,'Medical Examinations'!$A:$L,10, FALSE)</f>
        <v>1</v>
      </c>
      <c r="I121" s="22" t="str">
        <f>VLOOKUP($A121, 'Medical Examinations'!$A:$J, 9, FALSE)</f>
        <v>Yes</v>
      </c>
      <c r="J121" s="22" t="str">
        <f>VLOOKUP($A121, 'Medical Examinations'!$A:$P, 11, FALSE)</f>
        <v>OBESITY</v>
      </c>
      <c r="K121" s="34">
        <v>27730.0</v>
      </c>
      <c r="L121" s="35">
        <f>VLOOKUP($A121, 'Hospitalisation Details'!$A:$H, 7, FALSE)</f>
        <v>39611.76</v>
      </c>
      <c r="M121" s="22" t="str">
        <f>VLOOKUP($A121, 'Hospitalisation Details'!$A:$L, 12, FALSE)</f>
        <v>tier - 1</v>
      </c>
      <c r="N121" s="22" t="str">
        <f>VLOOKUP($A121, 'Hospitalisation Details'!$A:$M, 13, FALSE)</f>
        <v>tier - 3</v>
      </c>
      <c r="O121" s="22" t="str">
        <f>VLOOKUP($A121, 'Hospitalisation Details'!$A:$N, 14, FALSE)</f>
        <v>R1013</v>
      </c>
      <c r="P121" s="36">
        <f>VLOOKUP($A121, 'Hospitalisation Details'!$A:$O, 15, FALSE)</f>
        <v>27</v>
      </c>
    </row>
    <row r="122" ht="15.75" customHeight="1">
      <c r="A122" s="33" t="s">
        <v>243</v>
      </c>
      <c r="B122" s="22" t="str">
        <f>VLOOKUP($A122,'Customer Names'!$A:$D,3, FALSE)</f>
        <v>Syed</v>
      </c>
      <c r="C122" s="22">
        <f>VLOOKUP($A122,'Medical Examinations'!$A:$D, 2, FALSE)</f>
        <v>30.78</v>
      </c>
      <c r="D122" s="22">
        <f>VLOOKUP($A122, 'Medical Examinations'!$A:$D,3, FALSE)</f>
        <v>8.45</v>
      </c>
      <c r="E122" s="22" t="str">
        <f>VLOOKUP($A122, 'Medical Examinations'!$A:$D, 4, FALSE)</f>
        <v>Yes</v>
      </c>
      <c r="F122" s="22" t="str">
        <f>VLOOKUP($A122, 'Medical Examinations'!$A:$J, 5, FALSE)</f>
        <v>No</v>
      </c>
      <c r="G122" s="22" t="str">
        <f>VLOOKUP($A122, 'Medical Examinations'!$A:$I, 6, FALSE)</f>
        <v>No</v>
      </c>
      <c r="H122" s="22">
        <f>VLOOKUP($A122,'Medical Examinations'!$A:$L,10, FALSE)</f>
        <v>0</v>
      </c>
      <c r="I122" s="22" t="str">
        <f>VLOOKUP($A122, 'Medical Examinations'!$A:$J, 9, FALSE)</f>
        <v>Yes</v>
      </c>
      <c r="J122" s="22" t="str">
        <f>VLOOKUP($A122, 'Medical Examinations'!$A:$P, 11, FALSE)</f>
        <v>OBESITY</v>
      </c>
      <c r="K122" s="34">
        <v>32400.0</v>
      </c>
      <c r="L122" s="35">
        <f>VLOOKUP($A122, 'Hospitalisation Details'!$A:$H, 7, FALSE)</f>
        <v>39597.41</v>
      </c>
      <c r="M122" s="22" t="str">
        <f>VLOOKUP($A122, 'Hospitalisation Details'!$A:$L, 12, FALSE)</f>
        <v>tier - 1</v>
      </c>
      <c r="N122" s="22" t="str">
        <f>VLOOKUP($A122, 'Hospitalisation Details'!$A:$M, 13, FALSE)</f>
        <v>tier - 2</v>
      </c>
      <c r="O122" s="22" t="str">
        <f>VLOOKUP($A122, 'Hospitalisation Details'!$A:$N, 14, FALSE)</f>
        <v>R1017</v>
      </c>
      <c r="P122" s="36">
        <f>VLOOKUP($A122, 'Hospitalisation Details'!$A:$O, 15, FALSE)</f>
        <v>41</v>
      </c>
    </row>
    <row r="123" ht="15.75" customHeight="1">
      <c r="A123" s="33" t="s">
        <v>245</v>
      </c>
      <c r="B123" s="22" t="str">
        <f>VLOOKUP($A123,'Customer Names'!$A:$D,3, FALSE)</f>
        <v>Segal</v>
      </c>
      <c r="C123" s="22">
        <f>VLOOKUP($A123,'Medical Examinations'!$A:$D, 2, FALSE)</f>
        <v>31.35</v>
      </c>
      <c r="D123" s="22">
        <f>VLOOKUP($A123, 'Medical Examinations'!$A:$D,3, FALSE)</f>
        <v>9.54</v>
      </c>
      <c r="E123" s="22" t="str">
        <f>VLOOKUP($A123, 'Medical Examinations'!$A:$D, 4, FALSE)</f>
        <v>No</v>
      </c>
      <c r="F123" s="22" t="str">
        <f>VLOOKUP($A123, 'Medical Examinations'!$A:$J, 5, FALSE)</f>
        <v>No</v>
      </c>
      <c r="G123" s="22" t="str">
        <f>VLOOKUP($A123, 'Medical Examinations'!$A:$I, 6, FALSE)</f>
        <v>No</v>
      </c>
      <c r="H123" s="22">
        <f>VLOOKUP($A123,'Medical Examinations'!$A:$L,10, FALSE)</f>
        <v>0</v>
      </c>
      <c r="I123" s="22" t="str">
        <f>VLOOKUP($A123, 'Medical Examinations'!$A:$J, 9, FALSE)</f>
        <v>Yes</v>
      </c>
      <c r="J123" s="22" t="str">
        <f>VLOOKUP($A123, 'Medical Examinations'!$A:$P, 11, FALSE)</f>
        <v>OBESITY</v>
      </c>
      <c r="K123" s="34">
        <v>25740.0</v>
      </c>
      <c r="L123" s="35">
        <f>VLOOKUP($A123, 'Hospitalisation Details'!$A:$H, 7, FALSE)</f>
        <v>39556.49</v>
      </c>
      <c r="M123" s="22" t="str">
        <f>VLOOKUP($A123, 'Hospitalisation Details'!$A:$L, 12, FALSE)</f>
        <v>tier - 1</v>
      </c>
      <c r="N123" s="22" t="str">
        <f>VLOOKUP($A123, 'Hospitalisation Details'!$A:$M, 13, FALSE)</f>
        <v>tier - 2</v>
      </c>
      <c r="O123" s="22" t="str">
        <f>VLOOKUP($A123, 'Hospitalisation Details'!$A:$N, 14, FALSE)</f>
        <v>R1015</v>
      </c>
      <c r="P123" s="36">
        <f>VLOOKUP($A123, 'Hospitalisation Details'!$A:$O, 15, FALSE)</f>
        <v>44</v>
      </c>
    </row>
    <row r="124" ht="15.75" customHeight="1">
      <c r="A124" s="33" t="s">
        <v>247</v>
      </c>
      <c r="B124" s="22" t="str">
        <f>VLOOKUP($A124,'Customer Names'!$A:$D,3, FALSE)</f>
        <v>Defranco</v>
      </c>
      <c r="C124" s="22">
        <f>VLOOKUP($A124,'Medical Examinations'!$A:$D, 2, FALSE)</f>
        <v>41.46</v>
      </c>
      <c r="D124" s="22">
        <f>VLOOKUP($A124, 'Medical Examinations'!$A:$D,3, FALSE)</f>
        <v>4.99</v>
      </c>
      <c r="E124" s="22" t="str">
        <f>VLOOKUP($A124, 'Medical Examinations'!$A:$D, 4, FALSE)</f>
        <v>Yes</v>
      </c>
      <c r="F124" s="22" t="str">
        <f>VLOOKUP($A124, 'Medical Examinations'!$A:$J, 5, FALSE)</f>
        <v>No</v>
      </c>
      <c r="G124" s="22" t="str">
        <f>VLOOKUP($A124, 'Medical Examinations'!$A:$I, 6, FALSE)</f>
        <v>No</v>
      </c>
      <c r="H124" s="22">
        <f>VLOOKUP($A124,'Medical Examinations'!$A:$L,10, FALSE)</f>
        <v>2</v>
      </c>
      <c r="I124" s="22" t="str">
        <f>VLOOKUP($A124, 'Medical Examinations'!$A:$J, 9, FALSE)</f>
        <v>Yes</v>
      </c>
      <c r="J124" s="22" t="str">
        <f>VLOOKUP($A124, 'Medical Examinations'!$A:$P, 11, FALSE)</f>
        <v>OBESITY</v>
      </c>
      <c r="K124" s="34">
        <v>26995.0</v>
      </c>
      <c r="L124" s="35">
        <f>VLOOKUP($A124, 'Hospitalisation Details'!$A:$H, 7, FALSE)</f>
        <v>39396.86</v>
      </c>
      <c r="M124" s="22" t="str">
        <f>VLOOKUP($A124, 'Hospitalisation Details'!$A:$L, 12, FALSE)</f>
        <v>tier - 2</v>
      </c>
      <c r="N124" s="22" t="str">
        <f>VLOOKUP($A124, 'Hospitalisation Details'!$A:$M, 13, FALSE)</f>
        <v>tier - 2</v>
      </c>
      <c r="O124" s="22" t="str">
        <f>VLOOKUP($A124, 'Hospitalisation Details'!$A:$N, 14, FALSE)</f>
        <v>R1011</v>
      </c>
      <c r="P124" s="36">
        <f>VLOOKUP($A124, 'Hospitalisation Details'!$A:$O, 15, FALSE)</f>
        <v>56</v>
      </c>
    </row>
    <row r="125" ht="15.75" customHeight="1">
      <c r="A125" s="33" t="s">
        <v>249</v>
      </c>
      <c r="B125" s="22" t="str">
        <f>VLOOKUP($A125,'Customer Names'!$A:$D,3, FALSE)</f>
        <v>Kells</v>
      </c>
      <c r="C125" s="22">
        <f>VLOOKUP($A125,'Medical Examinations'!$A:$D, 2, FALSE)</f>
        <v>48</v>
      </c>
      <c r="D125" s="22">
        <f>VLOOKUP($A125, 'Medical Examinations'!$A:$D,3, FALSE)</f>
        <v>10.54</v>
      </c>
      <c r="E125" s="22" t="str">
        <f>VLOOKUP($A125, 'Medical Examinations'!$A:$D, 4, FALSE)</f>
        <v>No</v>
      </c>
      <c r="F125" s="22" t="str">
        <f>VLOOKUP($A125, 'Medical Examinations'!$A:$J, 5, FALSE)</f>
        <v>No</v>
      </c>
      <c r="G125" s="22" t="str">
        <f>VLOOKUP($A125, 'Medical Examinations'!$A:$I, 6, FALSE)</f>
        <v>No</v>
      </c>
      <c r="H125" s="22">
        <f>VLOOKUP($A125,'Medical Examinations'!$A:$L,10, FALSE)</f>
        <v>0</v>
      </c>
      <c r="I125" s="22" t="str">
        <f>VLOOKUP($A125, 'Medical Examinations'!$A:$J, 9, FALSE)</f>
        <v>Yes</v>
      </c>
      <c r="J125" s="22" t="str">
        <f>VLOOKUP($A125, 'Medical Examinations'!$A:$P, 11, FALSE)</f>
        <v>OBESITY</v>
      </c>
      <c r="K125" s="34">
        <v>26912.0</v>
      </c>
      <c r="L125" s="35">
        <f>VLOOKUP($A125, 'Hospitalisation Details'!$A:$H, 7, FALSE)</f>
        <v>39352.6</v>
      </c>
      <c r="M125" s="22" t="str">
        <f>VLOOKUP($A125, 'Hospitalisation Details'!$A:$L, 12, FALSE)</f>
        <v>tier - 2</v>
      </c>
      <c r="N125" s="22" t="str">
        <f>VLOOKUP($A125, 'Hospitalisation Details'!$A:$M, 13, FALSE)</f>
        <v>tier - 3</v>
      </c>
      <c r="O125" s="22" t="str">
        <f>VLOOKUP($A125, 'Hospitalisation Details'!$A:$N, 14, FALSE)</f>
        <v>R1011</v>
      </c>
      <c r="P125" s="36">
        <f>VLOOKUP($A125, 'Hospitalisation Details'!$A:$O, 15, FALSE)</f>
        <v>44</v>
      </c>
    </row>
    <row r="126" ht="15.75" customHeight="1">
      <c r="A126" s="33" t="s">
        <v>251</v>
      </c>
      <c r="B126" s="22" t="str">
        <f>VLOOKUP($A126,'Customer Names'!$A:$D,3, FALSE)</f>
        <v>Lawton</v>
      </c>
      <c r="C126" s="22">
        <f>VLOOKUP($A126,'Medical Examinations'!$A:$D, 2, FALSE)</f>
        <v>49.13</v>
      </c>
      <c r="D126" s="22">
        <f>VLOOKUP($A126, 'Medical Examinations'!$A:$D,3, FALSE)</f>
        <v>4.54</v>
      </c>
      <c r="E126" s="22" t="str">
        <f>VLOOKUP($A126, 'Medical Examinations'!$A:$D, 4, FALSE)</f>
        <v>No</v>
      </c>
      <c r="F126" s="22" t="str">
        <f>VLOOKUP($A126, 'Medical Examinations'!$A:$J, 5, FALSE)</f>
        <v>No</v>
      </c>
      <c r="G126" s="22" t="str">
        <f>VLOOKUP($A126, 'Medical Examinations'!$A:$I, 6, FALSE)</f>
        <v>No</v>
      </c>
      <c r="H126" s="22">
        <f>VLOOKUP($A126,'Medical Examinations'!$A:$L,10, FALSE)</f>
        <v>0</v>
      </c>
      <c r="I126" s="22" t="str">
        <f>VLOOKUP($A126, 'Medical Examinations'!$A:$J, 9, FALSE)</f>
        <v>Yes</v>
      </c>
      <c r="J126" s="22" t="str">
        <f>VLOOKUP($A126, 'Medical Examinations'!$A:$P, 11, FALSE)</f>
        <v>OBESITY</v>
      </c>
      <c r="K126" s="34">
        <v>27621.0</v>
      </c>
      <c r="L126" s="35">
        <f>VLOOKUP($A126, 'Hospitalisation Details'!$A:$H, 7, FALSE)</f>
        <v>39315.28</v>
      </c>
      <c r="M126" s="22" t="str">
        <f>VLOOKUP($A126, 'Hospitalisation Details'!$A:$L, 12, FALSE)</f>
        <v>tier - 2</v>
      </c>
      <c r="N126" s="22" t="str">
        <f>VLOOKUP($A126, 'Hospitalisation Details'!$A:$M, 13, FALSE)</f>
        <v>tier - 3</v>
      </c>
      <c r="O126" s="22" t="str">
        <f>VLOOKUP($A126, 'Hospitalisation Details'!$A:$N, 14, FALSE)</f>
        <v>R1011</v>
      </c>
      <c r="P126" s="36">
        <f>VLOOKUP($A126, 'Hospitalisation Details'!$A:$O, 15, FALSE)</f>
        <v>40</v>
      </c>
    </row>
    <row r="127" ht="15.75" customHeight="1">
      <c r="A127" s="33" t="s">
        <v>253</v>
      </c>
      <c r="B127" s="22" t="str">
        <f>VLOOKUP($A127,'Customer Names'!$A:$D,3, FALSE)</f>
        <v>Bejar</v>
      </c>
      <c r="C127" s="22">
        <f>VLOOKUP($A127,'Medical Examinations'!$A:$D, 2, FALSE)</f>
        <v>37.8</v>
      </c>
      <c r="D127" s="22">
        <f>VLOOKUP($A127, 'Medical Examinations'!$A:$D,3, FALSE)</f>
        <v>6.29</v>
      </c>
      <c r="E127" s="22" t="str">
        <f>VLOOKUP($A127, 'Medical Examinations'!$A:$D, 4, FALSE)</f>
        <v>No</v>
      </c>
      <c r="F127" s="22" t="str">
        <f>VLOOKUP($A127, 'Medical Examinations'!$A:$J, 5, FALSE)</f>
        <v>No</v>
      </c>
      <c r="G127" s="22" t="str">
        <f>VLOOKUP($A127, 'Medical Examinations'!$A:$I, 6, FALSE)</f>
        <v>No</v>
      </c>
      <c r="H127" s="22">
        <f>VLOOKUP($A127,'Medical Examinations'!$A:$L,10, FALSE)</f>
        <v>1</v>
      </c>
      <c r="I127" s="22" t="str">
        <f>VLOOKUP($A127, 'Medical Examinations'!$A:$J, 9, FALSE)</f>
        <v>Yes</v>
      </c>
      <c r="J127" s="22" t="str">
        <f>VLOOKUP($A127, 'Medical Examinations'!$A:$P, 11, FALSE)</f>
        <v>OBESITY</v>
      </c>
      <c r="K127" s="34">
        <v>25104.0</v>
      </c>
      <c r="L127" s="35">
        <f>VLOOKUP($A127, 'Hospitalisation Details'!$A:$H, 7, FALSE)</f>
        <v>39241.44</v>
      </c>
      <c r="M127" s="22" t="str">
        <f>VLOOKUP($A127, 'Hospitalisation Details'!$A:$L, 12, FALSE)</f>
        <v>tier - 1</v>
      </c>
      <c r="N127" s="22" t="str">
        <f>VLOOKUP($A127, 'Hospitalisation Details'!$A:$M, 13, FALSE)</f>
        <v>tier - 3</v>
      </c>
      <c r="O127" s="22" t="str">
        <f>VLOOKUP($A127, 'Hospitalisation Details'!$A:$N, 14, FALSE)</f>
        <v>R1011</v>
      </c>
      <c r="P127" s="36">
        <f>VLOOKUP($A127, 'Hospitalisation Details'!$A:$O, 15, FALSE)</f>
        <v>30</v>
      </c>
    </row>
    <row r="128" ht="15.75" customHeight="1">
      <c r="A128" s="33" t="s">
        <v>255</v>
      </c>
      <c r="B128" s="22" t="str">
        <f>VLOOKUP($A128,'Customer Names'!$A:$D,3, FALSE)</f>
        <v>Navarr</v>
      </c>
      <c r="C128" s="22">
        <f>VLOOKUP($A128,'Medical Examinations'!$A:$D, 2, FALSE)</f>
        <v>38.3</v>
      </c>
      <c r="D128" s="22">
        <f>VLOOKUP($A128, 'Medical Examinations'!$A:$D,3, FALSE)</f>
        <v>9.51</v>
      </c>
      <c r="E128" s="22" t="str">
        <f>VLOOKUP($A128, 'Medical Examinations'!$A:$D, 4, FALSE)</f>
        <v>No</v>
      </c>
      <c r="F128" s="22" t="str">
        <f>VLOOKUP($A128, 'Medical Examinations'!$A:$J, 5, FALSE)</f>
        <v>No</v>
      </c>
      <c r="G128" s="22" t="str">
        <f>VLOOKUP($A128, 'Medical Examinations'!$A:$I, 6, FALSE)</f>
        <v>No</v>
      </c>
      <c r="H128" s="22">
        <f>VLOOKUP($A128,'Medical Examinations'!$A:$L,10, FALSE)</f>
        <v>0</v>
      </c>
      <c r="I128" s="22" t="str">
        <f>VLOOKUP($A128, 'Medical Examinations'!$A:$J, 9, FALSE)</f>
        <v>Yes</v>
      </c>
      <c r="J128" s="22" t="str">
        <f>VLOOKUP($A128, 'Medical Examinations'!$A:$P, 11, FALSE)</f>
        <v>OBESITY</v>
      </c>
      <c r="K128" s="34">
        <v>24651.0</v>
      </c>
      <c r="L128" s="35">
        <f>VLOOKUP($A128, 'Hospitalisation Details'!$A:$H, 7, FALSE)</f>
        <v>39221.12</v>
      </c>
      <c r="M128" s="22" t="str">
        <f>VLOOKUP($A128, 'Hospitalisation Details'!$A:$L, 12, FALSE)</f>
        <v>tier - 2</v>
      </c>
      <c r="N128" s="22" t="str">
        <f>VLOOKUP($A128, 'Hospitalisation Details'!$A:$M, 13, FALSE)</f>
        <v>tier - 1</v>
      </c>
      <c r="O128" s="22" t="str">
        <f>VLOOKUP($A128, 'Hospitalisation Details'!$A:$N, 14, FALSE)</f>
        <v>R1011</v>
      </c>
      <c r="P128" s="36">
        <f>VLOOKUP($A128, 'Hospitalisation Details'!$A:$O, 15, FALSE)</f>
        <v>60</v>
      </c>
    </row>
    <row r="129" ht="15.75" customHeight="1">
      <c r="A129" s="33" t="s">
        <v>257</v>
      </c>
      <c r="B129" s="22" t="str">
        <f>VLOOKUP($A129,'Customer Names'!$A:$D,3, FALSE)</f>
        <v>Tice</v>
      </c>
      <c r="C129" s="22">
        <f>VLOOKUP($A129,'Medical Examinations'!$A:$D, 2, FALSE)</f>
        <v>32.775</v>
      </c>
      <c r="D129" s="22">
        <f>VLOOKUP($A129, 'Medical Examinations'!$A:$D,3, FALSE)</f>
        <v>4.72</v>
      </c>
      <c r="E129" s="22" t="str">
        <f>VLOOKUP($A129, 'Medical Examinations'!$A:$D, 4, FALSE)</f>
        <v>No</v>
      </c>
      <c r="F129" s="22" t="str">
        <f>VLOOKUP($A129, 'Medical Examinations'!$A:$J, 5, FALSE)</f>
        <v>No</v>
      </c>
      <c r="G129" s="22" t="str">
        <f>VLOOKUP($A129, 'Medical Examinations'!$A:$I, 6, FALSE)</f>
        <v>No</v>
      </c>
      <c r="H129" s="22">
        <f>VLOOKUP($A129,'Medical Examinations'!$A:$L,10, FALSE)</f>
        <v>0</v>
      </c>
      <c r="I129" s="22" t="str">
        <f>VLOOKUP($A129, 'Medical Examinations'!$A:$J, 9, FALSE)</f>
        <v>Yes</v>
      </c>
      <c r="J129" s="22" t="str">
        <f>VLOOKUP($A129, 'Medical Examinations'!$A:$P, 11, FALSE)</f>
        <v>OBESITY</v>
      </c>
      <c r="K129" s="34">
        <v>24741.0</v>
      </c>
      <c r="L129" s="35">
        <f>VLOOKUP($A129, 'Hospitalisation Details'!$A:$H, 7, FALSE)</f>
        <v>39125.33</v>
      </c>
      <c r="M129" s="22" t="str">
        <f>VLOOKUP($A129, 'Hospitalisation Details'!$A:$L, 12, FALSE)</f>
        <v>tier - 1</v>
      </c>
      <c r="N129" s="22" t="str">
        <f>VLOOKUP($A129, 'Hospitalisation Details'!$A:$M, 13, FALSE)</f>
        <v>tier - 1</v>
      </c>
      <c r="O129" s="22" t="str">
        <f>VLOOKUP($A129, 'Hospitalisation Details'!$A:$N, 14, FALSE)</f>
        <v>R1016</v>
      </c>
      <c r="P129" s="36">
        <f>VLOOKUP($A129, 'Hospitalisation Details'!$A:$O, 15, FALSE)</f>
        <v>40</v>
      </c>
    </row>
    <row r="130" ht="15.75" customHeight="1">
      <c r="A130" s="33" t="s">
        <v>259</v>
      </c>
      <c r="B130" s="22" t="str">
        <f>VLOOKUP($A130,'Customer Names'!$A:$D,3, FALSE)</f>
        <v>Wolf</v>
      </c>
      <c r="C130" s="22">
        <f>VLOOKUP($A130,'Medical Examinations'!$A:$D, 2, FALSE)</f>
        <v>34.2</v>
      </c>
      <c r="D130" s="22">
        <f>VLOOKUP($A130, 'Medical Examinations'!$A:$D,3, FALSE)</f>
        <v>5.91</v>
      </c>
      <c r="E130" s="22" t="str">
        <f>VLOOKUP($A130, 'Medical Examinations'!$A:$D, 4, FALSE)</f>
        <v>Yes</v>
      </c>
      <c r="F130" s="22" t="str">
        <f>VLOOKUP($A130, 'Medical Examinations'!$A:$J, 5, FALSE)</f>
        <v>No</v>
      </c>
      <c r="G130" s="22" t="str">
        <f>VLOOKUP($A130, 'Medical Examinations'!$A:$I, 6, FALSE)</f>
        <v>No</v>
      </c>
      <c r="H130" s="22">
        <f>VLOOKUP($A130,'Medical Examinations'!$A:$L,10, FALSE)</f>
        <v>0</v>
      </c>
      <c r="I130" s="22" t="str">
        <f>VLOOKUP($A130, 'Medical Examinations'!$A:$J, 9, FALSE)</f>
        <v>Yes</v>
      </c>
      <c r="J130" s="22" t="str">
        <f>VLOOKUP($A130, 'Medical Examinations'!$A:$P, 11, FALSE)</f>
        <v>OBESITY</v>
      </c>
      <c r="K130" s="34">
        <v>25926.0</v>
      </c>
      <c r="L130" s="35">
        <f>VLOOKUP($A130, 'Hospitalisation Details'!$A:$H, 7, FALSE)</f>
        <v>39047.29</v>
      </c>
      <c r="M130" s="22" t="str">
        <f>VLOOKUP($A130, 'Hospitalisation Details'!$A:$L, 12, FALSE)</f>
        <v>tier - 1</v>
      </c>
      <c r="N130" s="22" t="str">
        <f>VLOOKUP($A130, 'Hospitalisation Details'!$A:$M, 13, FALSE)</f>
        <v>tier - 3</v>
      </c>
      <c r="O130" s="22" t="str">
        <f>VLOOKUP($A130, 'Hospitalisation Details'!$A:$N, 14, FALSE)</f>
        <v>R1017</v>
      </c>
      <c r="P130" s="36">
        <f>VLOOKUP($A130, 'Hospitalisation Details'!$A:$O, 15, FALSE)</f>
        <v>37</v>
      </c>
    </row>
    <row r="131" ht="15.75" customHeight="1">
      <c r="A131" s="33" t="s">
        <v>261</v>
      </c>
      <c r="B131" s="22" t="str">
        <f>VLOOKUP($A131,'Customer Names'!$A:$D,3, FALSE)</f>
        <v>Oppedal</v>
      </c>
      <c r="C131" s="22">
        <f>VLOOKUP($A131,'Medical Examinations'!$A:$D, 2, FALSE)</f>
        <v>30.2</v>
      </c>
      <c r="D131" s="22">
        <f>VLOOKUP($A131, 'Medical Examinations'!$A:$D,3, FALSE)</f>
        <v>9.58</v>
      </c>
      <c r="E131" s="22" t="str">
        <f>VLOOKUP($A131, 'Medical Examinations'!$A:$D, 4, FALSE)</f>
        <v>No</v>
      </c>
      <c r="F131" s="22" t="str">
        <f>VLOOKUP($A131, 'Medical Examinations'!$A:$J, 5, FALSE)</f>
        <v>No</v>
      </c>
      <c r="G131" s="22" t="str">
        <f>VLOOKUP($A131, 'Medical Examinations'!$A:$I, 6, FALSE)</f>
        <v>No</v>
      </c>
      <c r="H131" s="22">
        <f>VLOOKUP($A131,'Medical Examinations'!$A:$L,10, FALSE)</f>
        <v>0</v>
      </c>
      <c r="I131" s="22" t="str">
        <f>VLOOKUP($A131, 'Medical Examinations'!$A:$J, 9, FALSE)</f>
        <v>Yes</v>
      </c>
      <c r="J131" s="22" t="str">
        <f>VLOOKUP($A131, 'Medical Examinations'!$A:$P, 11, FALSE)</f>
        <v>OBESITY</v>
      </c>
      <c r="K131" s="34">
        <v>31336.0</v>
      </c>
      <c r="L131" s="35">
        <f>VLOOKUP($A131, 'Hospitalisation Details'!$A:$H, 7, FALSE)</f>
        <v>38998.55</v>
      </c>
      <c r="M131" s="22" t="str">
        <f>VLOOKUP($A131, 'Hospitalisation Details'!$A:$L, 12, FALSE)</f>
        <v>tier - 1</v>
      </c>
      <c r="N131" s="22" t="str">
        <f>VLOOKUP($A131, 'Hospitalisation Details'!$A:$M, 13, FALSE)</f>
        <v>tier - 1</v>
      </c>
      <c r="O131" s="22" t="str">
        <f>VLOOKUP($A131, 'Hospitalisation Details'!$A:$N, 14, FALSE)</f>
        <v>R1011</v>
      </c>
      <c r="P131" s="36">
        <f>VLOOKUP($A131, 'Hospitalisation Details'!$A:$O, 15, FALSE)</f>
        <v>44</v>
      </c>
    </row>
    <row r="132" ht="15.75" customHeight="1">
      <c r="A132" s="33" t="s">
        <v>263</v>
      </c>
      <c r="B132" s="22" t="str">
        <f>VLOOKUP($A132,'Customer Names'!$A:$D,3, FALSE)</f>
        <v>Wright</v>
      </c>
      <c r="C132" s="22">
        <f>VLOOKUP($A132,'Medical Examinations'!$A:$D, 2, FALSE)</f>
        <v>48.32</v>
      </c>
      <c r="D132" s="22">
        <f>VLOOKUP($A132, 'Medical Examinations'!$A:$D,3, FALSE)</f>
        <v>5.77</v>
      </c>
      <c r="E132" s="22" t="str">
        <f>VLOOKUP($A132, 'Medical Examinations'!$A:$D, 4, FALSE)</f>
        <v>No</v>
      </c>
      <c r="F132" s="22" t="str">
        <f>VLOOKUP($A132, 'Medical Examinations'!$A:$J, 5, FALSE)</f>
        <v>No</v>
      </c>
      <c r="G132" s="22" t="str">
        <f>VLOOKUP($A132, 'Medical Examinations'!$A:$I, 6, FALSE)</f>
        <v>No</v>
      </c>
      <c r="H132" s="22">
        <f>VLOOKUP($A132,'Medical Examinations'!$A:$L,10, FALSE)</f>
        <v>0</v>
      </c>
      <c r="I132" s="22" t="str">
        <f>VLOOKUP($A132, 'Medical Examinations'!$A:$J, 9, FALSE)</f>
        <v>Yes</v>
      </c>
      <c r="J132" s="22" t="str">
        <f>VLOOKUP($A132, 'Medical Examinations'!$A:$P, 11, FALSE)</f>
        <v>OBESITY</v>
      </c>
      <c r="K132" s="34">
        <v>31281.0</v>
      </c>
      <c r="L132" s="35">
        <f>VLOOKUP($A132, 'Hospitalisation Details'!$A:$H, 7, FALSE)</f>
        <v>38947.43</v>
      </c>
      <c r="M132" s="22" t="str">
        <f>VLOOKUP($A132, 'Hospitalisation Details'!$A:$L, 12, FALSE)</f>
        <v>tier - 2</v>
      </c>
      <c r="N132" s="22" t="str">
        <f>VLOOKUP($A132, 'Hospitalisation Details'!$A:$M, 13, FALSE)</f>
        <v>tier - 3</v>
      </c>
      <c r="O132" s="22" t="str">
        <f>VLOOKUP($A132, 'Hospitalisation Details'!$A:$N, 14, FALSE)</f>
        <v>R1011</v>
      </c>
      <c r="P132" s="36">
        <f>VLOOKUP($A132, 'Hospitalisation Details'!$A:$O, 15, FALSE)</f>
        <v>42</v>
      </c>
    </row>
    <row r="133" ht="15.75" customHeight="1">
      <c r="A133" s="33" t="s">
        <v>265</v>
      </c>
      <c r="B133" s="22" t="str">
        <f>VLOOKUP($A133,'Customer Names'!$A:$D,3, FALSE)</f>
        <v>Ellis</v>
      </c>
      <c r="C133" s="22">
        <f>VLOOKUP($A133,'Medical Examinations'!$A:$D, 2, FALSE)</f>
        <v>44.86</v>
      </c>
      <c r="D133" s="22">
        <f>VLOOKUP($A133, 'Medical Examinations'!$A:$D,3, FALSE)</f>
        <v>4.38</v>
      </c>
      <c r="E133" s="22" t="str">
        <f>VLOOKUP($A133, 'Medical Examinations'!$A:$D, 4, FALSE)</f>
        <v>Yes</v>
      </c>
      <c r="F133" s="22" t="str">
        <f>VLOOKUP($A133, 'Medical Examinations'!$A:$J, 5, FALSE)</f>
        <v>No</v>
      </c>
      <c r="G133" s="22" t="str">
        <f>VLOOKUP($A133, 'Medical Examinations'!$A:$I, 6, FALSE)</f>
        <v>No</v>
      </c>
      <c r="H133" s="22">
        <f>VLOOKUP($A133,'Medical Examinations'!$A:$L,10, FALSE)</f>
        <v>0</v>
      </c>
      <c r="I133" s="22" t="str">
        <f>VLOOKUP($A133, 'Medical Examinations'!$A:$J, 9, FALSE)</f>
        <v>Yes</v>
      </c>
      <c r="J133" s="22" t="str">
        <f>VLOOKUP($A133, 'Medical Examinations'!$A:$P, 11, FALSE)</f>
        <v>OBESITY</v>
      </c>
      <c r="K133" s="34">
        <v>26490.0</v>
      </c>
      <c r="L133" s="35">
        <f>VLOOKUP($A133, 'Hospitalisation Details'!$A:$H, 7, FALSE)</f>
        <v>38932.56</v>
      </c>
      <c r="M133" s="22" t="str">
        <f>VLOOKUP($A133, 'Hospitalisation Details'!$A:$L, 12, FALSE)</f>
        <v>tier - 2</v>
      </c>
      <c r="N133" s="22" t="str">
        <f>VLOOKUP($A133, 'Hospitalisation Details'!$A:$M, 13, FALSE)</f>
        <v>tier - 3</v>
      </c>
      <c r="O133" s="22" t="str">
        <f>VLOOKUP($A133, 'Hospitalisation Details'!$A:$N, 14, FALSE)</f>
        <v>R1011</v>
      </c>
      <c r="P133" s="36">
        <f>VLOOKUP($A133, 'Hospitalisation Details'!$A:$O, 15, FALSE)</f>
        <v>46</v>
      </c>
    </row>
    <row r="134" ht="15.75" customHeight="1">
      <c r="A134" s="33" t="s">
        <v>267</v>
      </c>
      <c r="B134" s="22" t="str">
        <f>VLOOKUP($A134,'Customer Names'!$A:$D,3, FALSE)</f>
        <v>Taormina</v>
      </c>
      <c r="C134" s="22">
        <f>VLOOKUP($A134,'Medical Examinations'!$A:$D, 2, FALSE)</f>
        <v>52.15</v>
      </c>
      <c r="D134" s="22">
        <f>VLOOKUP($A134, 'Medical Examinations'!$A:$D,3, FALSE)</f>
        <v>5.65</v>
      </c>
      <c r="E134" s="22" t="str">
        <f>VLOOKUP($A134, 'Medical Examinations'!$A:$D, 4, FALSE)</f>
        <v>No</v>
      </c>
      <c r="F134" s="22" t="str">
        <f>VLOOKUP($A134, 'Medical Examinations'!$A:$J, 5, FALSE)</f>
        <v>No</v>
      </c>
      <c r="G134" s="22" t="str">
        <f>VLOOKUP($A134, 'Medical Examinations'!$A:$I, 6, FALSE)</f>
        <v>No</v>
      </c>
      <c r="H134" s="22">
        <f>VLOOKUP($A134,'Medical Examinations'!$A:$L,10, FALSE)</f>
        <v>1</v>
      </c>
      <c r="I134" s="22" t="str">
        <f>VLOOKUP($A134, 'Medical Examinations'!$A:$J, 9, FALSE)</f>
        <v>Yes</v>
      </c>
      <c r="J134" s="22" t="str">
        <f>VLOOKUP($A134, 'Medical Examinations'!$A:$P, 11, FALSE)</f>
        <v>OBESITY</v>
      </c>
      <c r="K134" s="34">
        <v>26950.0</v>
      </c>
      <c r="L134" s="35">
        <f>VLOOKUP($A134, 'Hospitalisation Details'!$A:$H, 7, FALSE)</f>
        <v>38924.04</v>
      </c>
      <c r="M134" s="22" t="str">
        <f>VLOOKUP($A134, 'Hospitalisation Details'!$A:$L, 12, FALSE)</f>
        <v>tier - 2</v>
      </c>
      <c r="N134" s="22" t="str">
        <f>VLOOKUP($A134, 'Hospitalisation Details'!$A:$M, 13, FALSE)</f>
        <v>tier - 2</v>
      </c>
      <c r="O134" s="22" t="str">
        <f>VLOOKUP($A134, 'Hospitalisation Details'!$A:$N, 14, FALSE)</f>
        <v>R1011</v>
      </c>
      <c r="P134" s="36">
        <f>VLOOKUP($A134, 'Hospitalisation Details'!$A:$O, 15, FALSE)</f>
        <v>35</v>
      </c>
    </row>
    <row r="135" ht="15.75" customHeight="1">
      <c r="A135" s="33" t="s">
        <v>269</v>
      </c>
      <c r="B135" s="22" t="str">
        <f>VLOOKUP($A135,'Customer Names'!$A:$D,3, FALSE)</f>
        <v>Lynch</v>
      </c>
      <c r="C135" s="22">
        <f>VLOOKUP($A135,'Medical Examinations'!$A:$D, 2, FALSE)</f>
        <v>41.12</v>
      </c>
      <c r="D135" s="22">
        <f>VLOOKUP($A135, 'Medical Examinations'!$A:$D,3, FALSE)</f>
        <v>7.54</v>
      </c>
      <c r="E135" s="22" t="str">
        <f>VLOOKUP($A135, 'Medical Examinations'!$A:$D, 4, FALSE)</f>
        <v>Yes</v>
      </c>
      <c r="F135" s="22" t="str">
        <f>VLOOKUP($A135, 'Medical Examinations'!$A:$J, 5, FALSE)</f>
        <v>No</v>
      </c>
      <c r="G135" s="22" t="str">
        <f>VLOOKUP($A135, 'Medical Examinations'!$A:$I, 6, FALSE)</f>
        <v>No</v>
      </c>
      <c r="H135" s="22">
        <f>VLOOKUP($A135,'Medical Examinations'!$A:$L,10, FALSE)</f>
        <v>0</v>
      </c>
      <c r="I135" s="22" t="str">
        <f>VLOOKUP($A135, 'Medical Examinations'!$A:$J, 9, FALSE)</f>
        <v>Yes</v>
      </c>
      <c r="J135" s="22" t="str">
        <f>VLOOKUP($A135, 'Medical Examinations'!$A:$P, 11, FALSE)</f>
        <v>OBESITY</v>
      </c>
      <c r="K135" s="34">
        <v>29749.0</v>
      </c>
      <c r="L135" s="35">
        <f>VLOOKUP($A135, 'Hospitalisation Details'!$A:$H, 7, FALSE)</f>
        <v>38893.36</v>
      </c>
      <c r="M135" s="22" t="str">
        <f>VLOOKUP($A135, 'Hospitalisation Details'!$A:$L, 12, FALSE)</f>
        <v>tier - 1</v>
      </c>
      <c r="N135" s="22" t="str">
        <f>VLOOKUP($A135, 'Hospitalisation Details'!$A:$M, 13, FALSE)</f>
        <v>tier - 2</v>
      </c>
      <c r="O135" s="22" t="str">
        <f>VLOOKUP($A135, 'Hospitalisation Details'!$A:$N, 14, FALSE)</f>
        <v>R1011</v>
      </c>
      <c r="P135" s="36">
        <f>VLOOKUP($A135, 'Hospitalisation Details'!$A:$O, 15, FALSE)</f>
        <v>55</v>
      </c>
    </row>
    <row r="136" ht="15.75" customHeight="1">
      <c r="A136" s="33" t="s">
        <v>271</v>
      </c>
      <c r="B136" s="22" t="str">
        <f>VLOOKUP($A136,'Customer Names'!$A:$D,3, FALSE)</f>
        <v>Tavella</v>
      </c>
      <c r="C136" s="22">
        <f>VLOOKUP($A136,'Medical Examinations'!$A:$D, 2, FALSE)</f>
        <v>38.39</v>
      </c>
      <c r="D136" s="22">
        <f>VLOOKUP($A136, 'Medical Examinations'!$A:$D,3, FALSE)</f>
        <v>5.11</v>
      </c>
      <c r="E136" s="22" t="str">
        <f>VLOOKUP($A136, 'Medical Examinations'!$A:$D, 4, FALSE)</f>
        <v>Yes</v>
      </c>
      <c r="F136" s="22" t="str">
        <f>VLOOKUP($A136, 'Medical Examinations'!$A:$J, 5, FALSE)</f>
        <v>No</v>
      </c>
      <c r="G136" s="22" t="str">
        <f>VLOOKUP($A136, 'Medical Examinations'!$A:$I, 6, FALSE)</f>
        <v>No</v>
      </c>
      <c r="H136" s="22">
        <f>VLOOKUP($A136,'Medical Examinations'!$A:$L,10, FALSE)</f>
        <v>1</v>
      </c>
      <c r="I136" s="22" t="str">
        <f>VLOOKUP($A136, 'Medical Examinations'!$A:$J, 9, FALSE)</f>
        <v>Yes</v>
      </c>
      <c r="J136" s="22" t="str">
        <f>VLOOKUP($A136, 'Medical Examinations'!$A:$P, 11, FALSE)</f>
        <v>OBESITY</v>
      </c>
      <c r="K136" s="34">
        <v>27393.0</v>
      </c>
      <c r="L136" s="35">
        <f>VLOOKUP($A136, 'Hospitalisation Details'!$A:$H, 7, FALSE)</f>
        <v>38869.25</v>
      </c>
      <c r="M136" s="22" t="str">
        <f>VLOOKUP($A136, 'Hospitalisation Details'!$A:$L, 12, FALSE)</f>
        <v>tier - 2</v>
      </c>
      <c r="N136" s="22" t="str">
        <f>VLOOKUP($A136, 'Hospitalisation Details'!$A:$M, 13, FALSE)</f>
        <v>tier - 2</v>
      </c>
      <c r="O136" s="22" t="str">
        <f>VLOOKUP($A136, 'Hospitalisation Details'!$A:$N, 14, FALSE)</f>
        <v>R1011</v>
      </c>
      <c r="P136" s="36">
        <f>VLOOKUP($A136, 'Hospitalisation Details'!$A:$O, 15, FALSE)</f>
        <v>59</v>
      </c>
    </row>
    <row r="137" ht="15.75" customHeight="1">
      <c r="A137" s="33" t="s">
        <v>273</v>
      </c>
      <c r="B137" s="22" t="str">
        <f>VLOOKUP($A137,'Customer Names'!$A:$D,3, FALSE)</f>
        <v>Neufeld</v>
      </c>
      <c r="C137" s="22">
        <f>VLOOKUP($A137,'Medical Examinations'!$A:$D, 2, FALSE)</f>
        <v>46.85</v>
      </c>
      <c r="D137" s="22">
        <f>VLOOKUP($A137, 'Medical Examinations'!$A:$D,3, FALSE)</f>
        <v>4.25</v>
      </c>
      <c r="E137" s="22" t="str">
        <f>VLOOKUP($A137, 'Medical Examinations'!$A:$D, 4, FALSE)</f>
        <v>No</v>
      </c>
      <c r="F137" s="22" t="str">
        <f>VLOOKUP($A137, 'Medical Examinations'!$A:$J, 5, FALSE)</f>
        <v>No</v>
      </c>
      <c r="G137" s="22" t="str">
        <f>VLOOKUP($A137, 'Medical Examinations'!$A:$I, 6, FALSE)</f>
        <v>Yes</v>
      </c>
      <c r="H137" s="22">
        <f>VLOOKUP($A137,'Medical Examinations'!$A:$L,10, FALSE)</f>
        <v>1</v>
      </c>
      <c r="I137" s="22" t="str">
        <f>VLOOKUP($A137, 'Medical Examinations'!$A:$J, 9, FALSE)</f>
        <v>Yes</v>
      </c>
      <c r="J137" s="22" t="str">
        <f>VLOOKUP($A137, 'Medical Examinations'!$A:$P, 11, FALSE)</f>
        <v>OBESITY</v>
      </c>
      <c r="K137" s="34">
        <v>35678.0</v>
      </c>
      <c r="L137" s="35">
        <f>VLOOKUP($A137, 'Hospitalisation Details'!$A:$H, 7, FALSE)</f>
        <v>38836.98</v>
      </c>
      <c r="M137" s="22" t="str">
        <f>VLOOKUP($A137, 'Hospitalisation Details'!$A:$L, 12, FALSE)</f>
        <v>tier - 2</v>
      </c>
      <c r="N137" s="22" t="str">
        <f>VLOOKUP($A137, 'Hospitalisation Details'!$A:$M, 13, FALSE)</f>
        <v>tier - 1</v>
      </c>
      <c r="O137" s="22" t="str">
        <f>VLOOKUP($A137, 'Hospitalisation Details'!$A:$N, 14, FALSE)</f>
        <v>R1011</v>
      </c>
      <c r="P137" s="36">
        <f>VLOOKUP($A137, 'Hospitalisation Details'!$A:$O, 15, FALSE)</f>
        <v>43</v>
      </c>
    </row>
    <row r="138" ht="15.75" customHeight="1">
      <c r="A138" s="33" t="s">
        <v>275</v>
      </c>
      <c r="B138" s="22" t="str">
        <f>VLOOKUP($A138,'Customer Names'!$A:$D,3, FALSE)</f>
        <v>Walhovd</v>
      </c>
      <c r="C138" s="22">
        <f>VLOOKUP($A138,'Medical Examinations'!$A:$D, 2, FALSE)</f>
        <v>42.24</v>
      </c>
      <c r="D138" s="22">
        <f>VLOOKUP($A138, 'Medical Examinations'!$A:$D,3, FALSE)</f>
        <v>5.55</v>
      </c>
      <c r="E138" s="22" t="str">
        <f>VLOOKUP($A138, 'Medical Examinations'!$A:$D, 4, FALSE)</f>
        <v>No</v>
      </c>
      <c r="F138" s="22" t="str">
        <f>VLOOKUP($A138, 'Medical Examinations'!$A:$J, 5, FALSE)</f>
        <v>Yes</v>
      </c>
      <c r="G138" s="22" t="str">
        <f>VLOOKUP($A138, 'Medical Examinations'!$A:$I, 6, FALSE)</f>
        <v>No</v>
      </c>
      <c r="H138" s="22">
        <f>VLOOKUP($A138,'Medical Examinations'!$A:$L,10, FALSE)</f>
        <v>1</v>
      </c>
      <c r="I138" s="22" t="str">
        <f>VLOOKUP($A138, 'Medical Examinations'!$A:$J, 9, FALSE)</f>
        <v>Yes</v>
      </c>
      <c r="J138" s="22" t="str">
        <f>VLOOKUP($A138, 'Medical Examinations'!$A:$P, 11, FALSE)</f>
        <v>OBESITY</v>
      </c>
      <c r="K138" s="34">
        <v>26619.0</v>
      </c>
      <c r="L138" s="35">
        <f>VLOOKUP($A138, 'Hospitalisation Details'!$A:$H, 7, FALSE)</f>
        <v>38792.69</v>
      </c>
      <c r="M138" s="22" t="str">
        <f>VLOOKUP($A138, 'Hospitalisation Details'!$A:$L, 12, FALSE)</f>
        <v>tier - 2</v>
      </c>
      <c r="N138" s="22" t="str">
        <f>VLOOKUP($A138, 'Hospitalisation Details'!$A:$M, 13, FALSE)</f>
        <v>tier - 2</v>
      </c>
      <c r="O138" s="22" t="str">
        <f>VLOOKUP($A138, 'Hospitalisation Details'!$A:$N, 14, FALSE)</f>
        <v>R1013</v>
      </c>
      <c r="P138" s="36">
        <f>VLOOKUP($A138, 'Hospitalisation Details'!$A:$O, 15, FALSE)</f>
        <v>18</v>
      </c>
    </row>
    <row r="139" ht="15.75" customHeight="1">
      <c r="A139" s="33" t="s">
        <v>277</v>
      </c>
      <c r="B139" s="22" t="str">
        <f>VLOOKUP($A139,'Customer Names'!$A:$D,3, FALSE)</f>
        <v>Washburn</v>
      </c>
      <c r="C139" s="22">
        <f>VLOOKUP($A139,'Medical Examinations'!$A:$D, 2, FALSE)</f>
        <v>34.39</v>
      </c>
      <c r="D139" s="22">
        <f>VLOOKUP($A139, 'Medical Examinations'!$A:$D,3, FALSE)</f>
        <v>5.78</v>
      </c>
      <c r="E139" s="22" t="str">
        <f>VLOOKUP($A139, 'Medical Examinations'!$A:$D, 4, FALSE)</f>
        <v>No</v>
      </c>
      <c r="F139" s="22" t="str">
        <f>VLOOKUP($A139, 'Medical Examinations'!$A:$J, 5, FALSE)</f>
        <v>No</v>
      </c>
      <c r="G139" s="22" t="str">
        <f>VLOOKUP($A139, 'Medical Examinations'!$A:$I, 6, FALSE)</f>
        <v>No</v>
      </c>
      <c r="H139" s="22">
        <f>VLOOKUP($A139,'Medical Examinations'!$A:$L,10, FALSE)</f>
        <v>0</v>
      </c>
      <c r="I139" s="22" t="str">
        <f>VLOOKUP($A139, 'Medical Examinations'!$A:$J, 9, FALSE)</f>
        <v>Yes</v>
      </c>
      <c r="J139" s="22" t="str">
        <f>VLOOKUP($A139, 'Medical Examinations'!$A:$P, 11, FALSE)</f>
        <v>OBESITY</v>
      </c>
      <c r="K139" s="34">
        <v>27577.0</v>
      </c>
      <c r="L139" s="35">
        <f>VLOOKUP($A139, 'Hospitalisation Details'!$A:$H, 7, FALSE)</f>
        <v>38746.36</v>
      </c>
      <c r="M139" s="22" t="str">
        <f>VLOOKUP($A139, 'Hospitalisation Details'!$A:$L, 12, FALSE)</f>
        <v>tier - 1</v>
      </c>
      <c r="N139" s="22" t="str">
        <f>VLOOKUP($A139, 'Hospitalisation Details'!$A:$M, 13, FALSE)</f>
        <v>tier - 2</v>
      </c>
      <c r="O139" s="22" t="str">
        <f>VLOOKUP($A139, 'Hospitalisation Details'!$A:$N, 14, FALSE)</f>
        <v>R1012</v>
      </c>
      <c r="P139" s="36">
        <f>VLOOKUP($A139, 'Hospitalisation Details'!$A:$O, 15, FALSE)</f>
        <v>31</v>
      </c>
    </row>
    <row r="140" ht="15.75" customHeight="1">
      <c r="A140" s="33" t="s">
        <v>279</v>
      </c>
      <c r="B140" s="22" t="str">
        <f>VLOOKUP($A140,'Customer Names'!$A:$D,3, FALSE)</f>
        <v>Mroz</v>
      </c>
      <c r="C140" s="22">
        <f>VLOOKUP($A140,'Medical Examinations'!$A:$D, 2, FALSE)</f>
        <v>42.89</v>
      </c>
      <c r="D140" s="22">
        <f>VLOOKUP($A140, 'Medical Examinations'!$A:$D,3, FALSE)</f>
        <v>5.28</v>
      </c>
      <c r="E140" s="22" t="str">
        <f>VLOOKUP($A140, 'Medical Examinations'!$A:$D, 4, FALSE)</f>
        <v>Yes</v>
      </c>
      <c r="F140" s="22" t="str">
        <f>VLOOKUP($A140, 'Medical Examinations'!$A:$J, 5, FALSE)</f>
        <v>No</v>
      </c>
      <c r="G140" s="22" t="str">
        <f>VLOOKUP($A140, 'Medical Examinations'!$A:$I, 6, FALSE)</f>
        <v>No</v>
      </c>
      <c r="H140" s="22">
        <f>VLOOKUP($A140,'Medical Examinations'!$A:$L,10, FALSE)</f>
        <v>0</v>
      </c>
      <c r="I140" s="22" t="str">
        <f>VLOOKUP($A140, 'Medical Examinations'!$A:$J, 9, FALSE)</f>
        <v>Yes</v>
      </c>
      <c r="J140" s="22" t="str">
        <f>VLOOKUP($A140, 'Medical Examinations'!$A:$P, 11, FALSE)</f>
        <v>OBESITY</v>
      </c>
      <c r="K140" s="34">
        <v>26519.0</v>
      </c>
      <c r="L140" s="35">
        <f>VLOOKUP($A140, 'Hospitalisation Details'!$A:$H, 7, FALSE)</f>
        <v>38740.12</v>
      </c>
      <c r="M140" s="22" t="str">
        <f>VLOOKUP($A140, 'Hospitalisation Details'!$A:$L, 12, FALSE)</f>
        <v>tier - 2</v>
      </c>
      <c r="N140" s="22" t="str">
        <f>VLOOKUP($A140, 'Hospitalisation Details'!$A:$M, 13, FALSE)</f>
        <v>tier - 2</v>
      </c>
      <c r="O140" s="22" t="str">
        <f>VLOOKUP($A140, 'Hospitalisation Details'!$A:$N, 14, FALSE)</f>
        <v>R1012</v>
      </c>
      <c r="P140" s="36">
        <f>VLOOKUP($A140, 'Hospitalisation Details'!$A:$O, 15, FALSE)</f>
        <v>46</v>
      </c>
    </row>
    <row r="141" ht="15.75" customHeight="1">
      <c r="A141" s="33" t="s">
        <v>281</v>
      </c>
      <c r="B141" s="22" t="str">
        <f>VLOOKUP($A141,'Customer Names'!$A:$D,3, FALSE)</f>
        <v>Canaday</v>
      </c>
      <c r="C141" s="22">
        <f>VLOOKUP($A141,'Medical Examinations'!$A:$D, 2, FALSE)</f>
        <v>36.3</v>
      </c>
      <c r="D141" s="22">
        <f>VLOOKUP($A141, 'Medical Examinations'!$A:$D,3, FALSE)</f>
        <v>5.39</v>
      </c>
      <c r="E141" s="22" t="str">
        <f>VLOOKUP($A141, 'Medical Examinations'!$A:$D, 4, FALSE)</f>
        <v>No</v>
      </c>
      <c r="F141" s="22" t="str">
        <f>VLOOKUP($A141, 'Medical Examinations'!$A:$J, 5, FALSE)</f>
        <v>No</v>
      </c>
      <c r="G141" s="22" t="str">
        <f>VLOOKUP($A141, 'Medical Examinations'!$A:$I, 6, FALSE)</f>
        <v>No</v>
      </c>
      <c r="H141" s="22">
        <f>VLOOKUP($A141,'Medical Examinations'!$A:$L,10, FALSE)</f>
        <v>0</v>
      </c>
      <c r="I141" s="22" t="str">
        <f>VLOOKUP($A141, 'Medical Examinations'!$A:$J, 9, FALSE)</f>
        <v>Yes</v>
      </c>
      <c r="J141" s="22" t="str">
        <f>VLOOKUP($A141, 'Medical Examinations'!$A:$P, 11, FALSE)</f>
        <v>OBESITY</v>
      </c>
      <c r="K141" s="34">
        <v>26591.0</v>
      </c>
      <c r="L141" s="35">
        <f>VLOOKUP($A141, 'Hospitalisation Details'!$A:$H, 7, FALSE)</f>
        <v>38711</v>
      </c>
      <c r="M141" s="22" t="str">
        <f>VLOOKUP($A141, 'Hospitalisation Details'!$A:$L, 12, FALSE)</f>
        <v>tier - 2</v>
      </c>
      <c r="N141" s="22" t="str">
        <f>VLOOKUP($A141, 'Hospitalisation Details'!$A:$M, 13, FALSE)</f>
        <v>tier - 2</v>
      </c>
      <c r="O141" s="22" t="str">
        <f>VLOOKUP($A141, 'Hospitalisation Details'!$A:$N, 14, FALSE)</f>
        <v>R1011</v>
      </c>
      <c r="P141" s="36">
        <f>VLOOKUP($A141, 'Hospitalisation Details'!$A:$O, 15, FALSE)</f>
        <v>31</v>
      </c>
    </row>
    <row r="142" ht="15.75" customHeight="1">
      <c r="A142" s="33" t="s">
        <v>283</v>
      </c>
      <c r="B142" s="22" t="str">
        <f>VLOOKUP($A142,'Customer Names'!$A:$D,3, FALSE)</f>
        <v>Atkins</v>
      </c>
      <c r="C142" s="22">
        <f>VLOOKUP($A142,'Medical Examinations'!$A:$D, 2, FALSE)</f>
        <v>35.2</v>
      </c>
      <c r="D142" s="22">
        <f>VLOOKUP($A142, 'Medical Examinations'!$A:$D,3, FALSE)</f>
        <v>8.01</v>
      </c>
      <c r="E142" s="22" t="str">
        <f>VLOOKUP($A142, 'Medical Examinations'!$A:$D, 4, FALSE)</f>
        <v>Yes</v>
      </c>
      <c r="F142" s="22" t="str">
        <f>VLOOKUP($A142, 'Medical Examinations'!$A:$J, 5, FALSE)</f>
        <v>No</v>
      </c>
      <c r="G142" s="22" t="str">
        <f>VLOOKUP($A142, 'Medical Examinations'!$A:$I, 6, FALSE)</f>
        <v>No</v>
      </c>
      <c r="H142" s="22">
        <f>VLOOKUP($A142,'Medical Examinations'!$A:$L,10, FALSE)</f>
        <v>1</v>
      </c>
      <c r="I142" s="22" t="str">
        <f>VLOOKUP($A142, 'Medical Examinations'!$A:$J, 9, FALSE)</f>
        <v>Yes</v>
      </c>
      <c r="J142" s="22" t="str">
        <f>VLOOKUP($A142, 'Medical Examinations'!$A:$P, 11, FALSE)</f>
        <v>OBESITY</v>
      </c>
      <c r="K142" s="34">
        <v>28113.0</v>
      </c>
      <c r="L142" s="35">
        <f>VLOOKUP($A142, 'Hospitalisation Details'!$A:$H, 7, FALSE)</f>
        <v>38709.18</v>
      </c>
      <c r="M142" s="22" t="str">
        <f>VLOOKUP($A142, 'Hospitalisation Details'!$A:$L, 12, FALSE)</f>
        <v>tier - 1</v>
      </c>
      <c r="N142" s="22" t="str">
        <f>VLOOKUP($A142, 'Hospitalisation Details'!$A:$M, 13, FALSE)</f>
        <v>tier - 3</v>
      </c>
      <c r="O142" s="22" t="str">
        <f>VLOOKUP($A142, 'Hospitalisation Details'!$A:$N, 14, FALSE)</f>
        <v>R1013</v>
      </c>
      <c r="P142" s="36">
        <f>VLOOKUP($A142, 'Hospitalisation Details'!$A:$O, 15, FALSE)</f>
        <v>36</v>
      </c>
    </row>
    <row r="143" ht="15.75" customHeight="1">
      <c r="A143" s="33" t="s">
        <v>285</v>
      </c>
      <c r="B143" s="22" t="str">
        <f>VLOOKUP($A143,'Customer Names'!$A:$D,3, FALSE)</f>
        <v>Kropelnicki</v>
      </c>
      <c r="C143" s="22">
        <f>VLOOKUP($A143,'Medical Examinations'!$A:$D, 2, FALSE)</f>
        <v>53.62</v>
      </c>
      <c r="D143" s="22">
        <f>VLOOKUP($A143, 'Medical Examinations'!$A:$D,3, FALSE)</f>
        <v>5.21</v>
      </c>
      <c r="E143" s="22" t="str">
        <f>VLOOKUP($A143, 'Medical Examinations'!$A:$D, 4, FALSE)</f>
        <v>No</v>
      </c>
      <c r="F143" s="22" t="str">
        <f>VLOOKUP($A143, 'Medical Examinations'!$A:$J, 5, FALSE)</f>
        <v>No</v>
      </c>
      <c r="G143" s="22" t="str">
        <f>VLOOKUP($A143, 'Medical Examinations'!$A:$I, 6, FALSE)</f>
        <v>No</v>
      </c>
      <c r="H143" s="22">
        <f>VLOOKUP($A143,'Medical Examinations'!$A:$L,10, FALSE)</f>
        <v>0</v>
      </c>
      <c r="I143" s="22" t="str">
        <f>VLOOKUP($A143, 'Medical Examinations'!$A:$J, 9, FALSE)</f>
        <v>Yes</v>
      </c>
      <c r="J143" s="22" t="str">
        <f>VLOOKUP($A143, 'Medical Examinations'!$A:$P, 11, FALSE)</f>
        <v>OBESITY</v>
      </c>
      <c r="K143" s="34">
        <v>30468.0</v>
      </c>
      <c r="L143" s="35">
        <f>VLOOKUP($A143, 'Hospitalisation Details'!$A:$H, 7, FALSE)</f>
        <v>38652.09</v>
      </c>
      <c r="M143" s="22" t="str">
        <f>VLOOKUP($A143, 'Hospitalisation Details'!$A:$L, 12, FALSE)</f>
        <v>tier - 2</v>
      </c>
      <c r="N143" s="22" t="str">
        <f>VLOOKUP($A143, 'Hospitalisation Details'!$A:$M, 13, FALSE)</f>
        <v>tier - 2</v>
      </c>
      <c r="O143" s="22" t="str">
        <f>VLOOKUP($A143, 'Hospitalisation Details'!$A:$N, 14, FALSE)</f>
        <v>R1011</v>
      </c>
      <c r="P143" s="36">
        <f>VLOOKUP($A143, 'Hospitalisation Details'!$A:$O, 15, FALSE)</f>
        <v>32</v>
      </c>
    </row>
    <row r="144" ht="15.75" customHeight="1">
      <c r="A144" s="33" t="s">
        <v>287</v>
      </c>
      <c r="B144" s="22" t="str">
        <f>VLOOKUP($A144,'Customer Names'!$A:$D,3, FALSE)</f>
        <v>Braund</v>
      </c>
      <c r="C144" s="22">
        <f>VLOOKUP($A144,'Medical Examinations'!$A:$D, 2, FALSE)</f>
        <v>36.67</v>
      </c>
      <c r="D144" s="22">
        <f>VLOOKUP($A144, 'Medical Examinations'!$A:$D,3, FALSE)</f>
        <v>6.27</v>
      </c>
      <c r="E144" s="22" t="str">
        <f>VLOOKUP($A144, 'Medical Examinations'!$A:$D, 4, FALSE)</f>
        <v>No</v>
      </c>
      <c r="F144" s="22" t="str">
        <f>VLOOKUP($A144, 'Medical Examinations'!$A:$J, 5, FALSE)</f>
        <v>No</v>
      </c>
      <c r="G144" s="22" t="str">
        <f>VLOOKUP($A144, 'Medical Examinations'!$A:$I, 6, FALSE)</f>
        <v>No</v>
      </c>
      <c r="H144" s="22">
        <f>VLOOKUP($A144,'Medical Examinations'!$A:$L,10, FALSE)</f>
        <v>0</v>
      </c>
      <c r="I144" s="22" t="str">
        <f>VLOOKUP($A144, 'Medical Examinations'!$A:$J, 9, FALSE)</f>
        <v>Yes</v>
      </c>
      <c r="J144" s="22" t="str">
        <f>VLOOKUP($A144, 'Medical Examinations'!$A:$P, 11, FALSE)</f>
        <v>OBESITY</v>
      </c>
      <c r="K144" s="34">
        <v>25387.0</v>
      </c>
      <c r="L144" s="35">
        <f>VLOOKUP($A144, 'Hospitalisation Details'!$A:$H, 7, FALSE)</f>
        <v>38511.63</v>
      </c>
      <c r="M144" s="22" t="str">
        <f>VLOOKUP($A144, 'Hospitalisation Details'!$A:$L, 12, FALSE)</f>
        <v>tier - 2</v>
      </c>
      <c r="N144" s="22" t="str">
        <f>VLOOKUP($A144, 'Hospitalisation Details'!$A:$M, 13, FALSE)</f>
        <v>tier - 2</v>
      </c>
      <c r="O144" s="22" t="str">
        <f>VLOOKUP($A144, 'Hospitalisation Details'!$A:$N, 14, FALSE)</f>
        <v>R1024</v>
      </c>
      <c r="P144" s="36">
        <f>VLOOKUP($A144, 'Hospitalisation Details'!$A:$O, 15, FALSE)</f>
        <v>23</v>
      </c>
    </row>
    <row r="145" ht="15.75" customHeight="1">
      <c r="A145" s="33" t="s">
        <v>289</v>
      </c>
      <c r="B145" s="22" t="str">
        <f>VLOOKUP($A145,'Customer Names'!$A:$D,3, FALSE)</f>
        <v>Anderson</v>
      </c>
      <c r="C145" s="22">
        <f>VLOOKUP($A145,'Medical Examinations'!$A:$D, 2, FALSE)</f>
        <v>33.4</v>
      </c>
      <c r="D145" s="22">
        <f>VLOOKUP($A145, 'Medical Examinations'!$A:$D,3, FALSE)</f>
        <v>10.73</v>
      </c>
      <c r="E145" s="22" t="str">
        <f>VLOOKUP($A145, 'Medical Examinations'!$A:$D, 4, FALSE)</f>
        <v>Yes</v>
      </c>
      <c r="F145" s="22" t="str">
        <f>VLOOKUP($A145, 'Medical Examinations'!$A:$J, 5, FALSE)</f>
        <v>No</v>
      </c>
      <c r="G145" s="22" t="str">
        <f>VLOOKUP($A145, 'Medical Examinations'!$A:$I, 6, FALSE)</f>
        <v>No</v>
      </c>
      <c r="H145" s="22">
        <f>VLOOKUP($A145,'Medical Examinations'!$A:$L,10, FALSE)</f>
        <v>1</v>
      </c>
      <c r="I145" s="22" t="str">
        <f>VLOOKUP($A145, 'Medical Examinations'!$A:$J, 9, FALSE)</f>
        <v>Yes</v>
      </c>
      <c r="J145" s="22" t="str">
        <f>VLOOKUP($A145, 'Medical Examinations'!$A:$P, 11, FALSE)</f>
        <v>OBESITY</v>
      </c>
      <c r="K145" s="34">
        <v>25503.0</v>
      </c>
      <c r="L145" s="35">
        <f>VLOOKUP($A145, 'Hospitalisation Details'!$A:$H, 7, FALSE)</f>
        <v>38415.47</v>
      </c>
      <c r="M145" s="22" t="str">
        <f>VLOOKUP($A145, 'Hospitalisation Details'!$A:$L, 12, FALSE)</f>
        <v>tier - 1</v>
      </c>
      <c r="N145" s="22" t="str">
        <f>VLOOKUP($A145, 'Hospitalisation Details'!$A:$M, 13, FALSE)</f>
        <v>tier - 2</v>
      </c>
      <c r="O145" s="22" t="str">
        <f>VLOOKUP($A145, 'Hospitalisation Details'!$A:$N, 14, FALSE)</f>
        <v>R1011</v>
      </c>
      <c r="P145" s="36">
        <f>VLOOKUP($A145, 'Hospitalisation Details'!$A:$O, 15, FALSE)</f>
        <v>36</v>
      </c>
    </row>
    <row r="146" ht="15.75" customHeight="1">
      <c r="A146" s="33" t="s">
        <v>291</v>
      </c>
      <c r="B146" s="22" t="str">
        <f>VLOOKUP($A146,'Customer Names'!$A:$D,3, FALSE)</f>
        <v>Bilbrey</v>
      </c>
      <c r="C146" s="22">
        <f>VLOOKUP($A146,'Medical Examinations'!$A:$D, 2, FALSE)</f>
        <v>42.71</v>
      </c>
      <c r="D146" s="22">
        <f>VLOOKUP($A146, 'Medical Examinations'!$A:$D,3, FALSE)</f>
        <v>10.52</v>
      </c>
      <c r="E146" s="22" t="str">
        <f>VLOOKUP($A146, 'Medical Examinations'!$A:$D, 4, FALSE)</f>
        <v>No</v>
      </c>
      <c r="F146" s="22" t="str">
        <f>VLOOKUP($A146, 'Medical Examinations'!$A:$J, 5, FALSE)</f>
        <v>No</v>
      </c>
      <c r="G146" s="22" t="str">
        <f>VLOOKUP($A146, 'Medical Examinations'!$A:$I, 6, FALSE)</f>
        <v>No</v>
      </c>
      <c r="H146" s="22">
        <f>VLOOKUP($A146,'Medical Examinations'!$A:$L,10, FALSE)</f>
        <v>0</v>
      </c>
      <c r="I146" s="22" t="str">
        <f>VLOOKUP($A146, 'Medical Examinations'!$A:$J, 9, FALSE)</f>
        <v>Yes</v>
      </c>
      <c r="J146" s="22" t="str">
        <f>VLOOKUP($A146, 'Medical Examinations'!$A:$P, 11, FALSE)</f>
        <v>OBESITY</v>
      </c>
      <c r="K146" s="34">
        <v>25437.0</v>
      </c>
      <c r="L146" s="35">
        <f>VLOOKUP($A146, 'Hospitalisation Details'!$A:$H, 7, FALSE)</f>
        <v>38405.26</v>
      </c>
      <c r="M146" s="22" t="str">
        <f>VLOOKUP($A146, 'Hospitalisation Details'!$A:$L, 12, FALSE)</f>
        <v>tier - 2</v>
      </c>
      <c r="N146" s="22" t="str">
        <f>VLOOKUP($A146, 'Hospitalisation Details'!$A:$M, 13, FALSE)</f>
        <v>tier - 1</v>
      </c>
      <c r="O146" s="22" t="str">
        <f>VLOOKUP($A146, 'Hospitalisation Details'!$A:$N, 14, FALSE)</f>
        <v>R1011</v>
      </c>
      <c r="P146" s="36">
        <f>VLOOKUP($A146, 'Hospitalisation Details'!$A:$O, 15, FALSE)</f>
        <v>51</v>
      </c>
    </row>
    <row r="147" ht="15.75" customHeight="1">
      <c r="A147" s="33" t="s">
        <v>293</v>
      </c>
      <c r="B147" s="22" t="str">
        <f>VLOOKUP($A147,'Customer Names'!$A:$D,3, FALSE)</f>
        <v>Curtis</v>
      </c>
      <c r="C147" s="22">
        <f>VLOOKUP($A147,'Medical Examinations'!$A:$D, 2, FALSE)</f>
        <v>41.52</v>
      </c>
      <c r="D147" s="22">
        <f>VLOOKUP($A147, 'Medical Examinations'!$A:$D,3, FALSE)</f>
        <v>11.82</v>
      </c>
      <c r="E147" s="22" t="str">
        <f>VLOOKUP($A147, 'Medical Examinations'!$A:$D, 4, FALSE)</f>
        <v>Yes</v>
      </c>
      <c r="F147" s="22" t="str">
        <f>VLOOKUP($A147, 'Medical Examinations'!$A:$J, 5, FALSE)</f>
        <v>No</v>
      </c>
      <c r="G147" s="22" t="str">
        <f>VLOOKUP($A147, 'Medical Examinations'!$A:$I, 6, FALSE)</f>
        <v>No</v>
      </c>
      <c r="H147" s="22">
        <f>VLOOKUP($A147,'Medical Examinations'!$A:$L,10, FALSE)</f>
        <v>2</v>
      </c>
      <c r="I147" s="22" t="str">
        <f>VLOOKUP($A147, 'Medical Examinations'!$A:$J, 9, FALSE)</f>
        <v>Yes</v>
      </c>
      <c r="J147" s="22" t="str">
        <f>VLOOKUP($A147, 'Medical Examinations'!$A:$P, 11, FALSE)</f>
        <v>OBESITY</v>
      </c>
      <c r="K147" s="34">
        <v>27271.0</v>
      </c>
      <c r="L147" s="35">
        <f>VLOOKUP($A147, 'Hospitalisation Details'!$A:$H, 7, FALSE)</f>
        <v>38389.79</v>
      </c>
      <c r="M147" s="22" t="str">
        <f>VLOOKUP($A147, 'Hospitalisation Details'!$A:$L, 12, FALSE)</f>
        <v>tier - 2</v>
      </c>
      <c r="N147" s="22" t="str">
        <f>VLOOKUP($A147, 'Hospitalisation Details'!$A:$M, 13, FALSE)</f>
        <v>tier - 3</v>
      </c>
      <c r="O147" s="22" t="str">
        <f>VLOOKUP($A147, 'Hospitalisation Details'!$A:$N, 14, FALSE)</f>
        <v>R1011</v>
      </c>
      <c r="P147" s="36">
        <f>VLOOKUP($A147, 'Hospitalisation Details'!$A:$O, 15, FALSE)</f>
        <v>52</v>
      </c>
    </row>
    <row r="148" ht="15.75" customHeight="1">
      <c r="A148" s="33" t="s">
        <v>295</v>
      </c>
      <c r="B148" s="22" t="str">
        <f>VLOOKUP($A148,'Customer Names'!$A:$D,3, FALSE)</f>
        <v>Meyer</v>
      </c>
      <c r="C148" s="22">
        <f>VLOOKUP($A148,'Medical Examinations'!$A:$D, 2, FALSE)</f>
        <v>39.4</v>
      </c>
      <c r="D148" s="22">
        <f>VLOOKUP($A148, 'Medical Examinations'!$A:$D,3, FALSE)</f>
        <v>6.76</v>
      </c>
      <c r="E148" s="22" t="str">
        <f>VLOOKUP($A148, 'Medical Examinations'!$A:$D, 4, FALSE)</f>
        <v>No</v>
      </c>
      <c r="F148" s="22" t="str">
        <f>VLOOKUP($A148, 'Medical Examinations'!$A:$J, 5, FALSE)</f>
        <v>No</v>
      </c>
      <c r="G148" s="22" t="str">
        <f>VLOOKUP($A148, 'Medical Examinations'!$A:$I, 6, FALSE)</f>
        <v>No</v>
      </c>
      <c r="H148" s="22">
        <f>VLOOKUP($A148,'Medical Examinations'!$A:$L,10, FALSE)</f>
        <v>0</v>
      </c>
      <c r="I148" s="22" t="str">
        <f>VLOOKUP($A148, 'Medical Examinations'!$A:$J, 9, FALSE)</f>
        <v>Yes</v>
      </c>
      <c r="J148" s="22" t="str">
        <f>VLOOKUP($A148, 'Medical Examinations'!$A:$P, 11, FALSE)</f>
        <v>OBESITY</v>
      </c>
      <c r="K148" s="34">
        <v>29217.0</v>
      </c>
      <c r="L148" s="35">
        <f>VLOOKUP($A148, 'Hospitalisation Details'!$A:$H, 7, FALSE)</f>
        <v>38344.57</v>
      </c>
      <c r="M148" s="22" t="str">
        <f>VLOOKUP($A148, 'Hospitalisation Details'!$A:$L, 12, FALSE)</f>
        <v>tier - 1</v>
      </c>
      <c r="N148" s="22" t="str">
        <f>VLOOKUP($A148, 'Hospitalisation Details'!$A:$M, 13, FALSE)</f>
        <v>tier - 3</v>
      </c>
      <c r="O148" s="22" t="str">
        <f>VLOOKUP($A148, 'Hospitalisation Details'!$A:$N, 14, FALSE)</f>
        <v>R1011</v>
      </c>
      <c r="P148" s="36">
        <f>VLOOKUP($A148, 'Hospitalisation Details'!$A:$O, 15, FALSE)</f>
        <v>20</v>
      </c>
    </row>
    <row r="149" ht="15.75" customHeight="1">
      <c r="A149" s="33" t="s">
        <v>297</v>
      </c>
      <c r="B149" s="22" t="str">
        <f>VLOOKUP($A149,'Customer Names'!$A:$D,3, FALSE)</f>
        <v>Bardeesy</v>
      </c>
      <c r="C149" s="22">
        <f>VLOOKUP($A149,'Medical Examinations'!$A:$D, 2, FALSE)</f>
        <v>46.45</v>
      </c>
      <c r="D149" s="22">
        <f>VLOOKUP($A149, 'Medical Examinations'!$A:$D,3, FALSE)</f>
        <v>5.62</v>
      </c>
      <c r="E149" s="22" t="str">
        <f>VLOOKUP($A149, 'Medical Examinations'!$A:$D, 4, FALSE)</f>
        <v>No</v>
      </c>
      <c r="F149" s="22" t="str">
        <f>VLOOKUP($A149, 'Medical Examinations'!$A:$J, 5, FALSE)</f>
        <v>No</v>
      </c>
      <c r="G149" s="22" t="str">
        <f>VLOOKUP($A149, 'Medical Examinations'!$A:$I, 6, FALSE)</f>
        <v>No</v>
      </c>
      <c r="H149" s="22">
        <f>VLOOKUP($A149,'Medical Examinations'!$A:$L,10, FALSE)</f>
        <v>0</v>
      </c>
      <c r="I149" s="22" t="str">
        <f>VLOOKUP($A149, 'Medical Examinations'!$A:$J, 9, FALSE)</f>
        <v>Yes</v>
      </c>
      <c r="J149" s="22" t="str">
        <f>VLOOKUP($A149, 'Medical Examinations'!$A:$P, 11, FALSE)</f>
        <v>OBESITY</v>
      </c>
      <c r="K149" s="34">
        <v>32327.0</v>
      </c>
      <c r="L149" s="35">
        <f>VLOOKUP($A149, 'Hospitalisation Details'!$A:$H, 7, FALSE)</f>
        <v>38313.13</v>
      </c>
      <c r="M149" s="22" t="str">
        <f>VLOOKUP($A149, 'Hospitalisation Details'!$A:$L, 12, FALSE)</f>
        <v>tier - 1</v>
      </c>
      <c r="N149" s="22" t="str">
        <f>VLOOKUP($A149, 'Hospitalisation Details'!$A:$M, 13, FALSE)</f>
        <v>tier - 3</v>
      </c>
      <c r="O149" s="22" t="str">
        <f>VLOOKUP($A149, 'Hospitalisation Details'!$A:$N, 14, FALSE)</f>
        <v>R1011</v>
      </c>
      <c r="P149" s="36">
        <f>VLOOKUP($A149, 'Hospitalisation Details'!$A:$O, 15, FALSE)</f>
        <v>42</v>
      </c>
    </row>
    <row r="150" ht="15.75" customHeight="1">
      <c r="A150" s="33" t="s">
        <v>299</v>
      </c>
      <c r="B150" s="22" t="str">
        <f>VLOOKUP($A150,'Customer Names'!$A:$D,3, FALSE)</f>
        <v>Shanahan</v>
      </c>
      <c r="C150" s="22">
        <f>VLOOKUP($A150,'Medical Examinations'!$A:$D, 2, FALSE)</f>
        <v>35.75</v>
      </c>
      <c r="D150" s="22">
        <f>VLOOKUP($A150, 'Medical Examinations'!$A:$D,3, FALSE)</f>
        <v>4.19</v>
      </c>
      <c r="E150" s="22" t="str">
        <f>VLOOKUP($A150, 'Medical Examinations'!$A:$D, 4, FALSE)</f>
        <v>No</v>
      </c>
      <c r="F150" s="22" t="str">
        <f>VLOOKUP($A150, 'Medical Examinations'!$A:$J, 5, FALSE)</f>
        <v>No</v>
      </c>
      <c r="G150" s="22" t="str">
        <f>VLOOKUP($A150, 'Medical Examinations'!$A:$I, 6, FALSE)</f>
        <v>No</v>
      </c>
      <c r="H150" s="22">
        <f>VLOOKUP($A150,'Medical Examinations'!$A:$L,10, FALSE)</f>
        <v>0</v>
      </c>
      <c r="I150" s="22" t="str">
        <f>VLOOKUP($A150, 'Medical Examinations'!$A:$J, 9, FALSE)</f>
        <v>Yes</v>
      </c>
      <c r="J150" s="22" t="str">
        <f>VLOOKUP($A150, 'Medical Examinations'!$A:$P, 11, FALSE)</f>
        <v>OBESITY</v>
      </c>
      <c r="K150" s="34">
        <v>25791.0</v>
      </c>
      <c r="L150" s="35">
        <f>VLOOKUP($A150, 'Hospitalisation Details'!$A:$H, 7, FALSE)</f>
        <v>38282.75</v>
      </c>
      <c r="M150" s="22" t="str">
        <f>VLOOKUP($A150, 'Hospitalisation Details'!$A:$L, 12, FALSE)</f>
        <v>tier - 1</v>
      </c>
      <c r="N150" s="22" t="str">
        <f>VLOOKUP($A150, 'Hospitalisation Details'!$A:$M, 13, FALSE)</f>
        <v>tier - 2</v>
      </c>
      <c r="O150" s="22" t="str">
        <f>VLOOKUP($A150, 'Hospitalisation Details'!$A:$N, 14, FALSE)</f>
        <v>R1013</v>
      </c>
      <c r="P150" s="36">
        <f>VLOOKUP($A150, 'Hospitalisation Details'!$A:$O, 15, FALSE)</f>
        <v>33</v>
      </c>
    </row>
    <row r="151" ht="15.75" customHeight="1">
      <c r="A151" s="33" t="s">
        <v>301</v>
      </c>
      <c r="B151" s="22" t="str">
        <f>VLOOKUP($A151,'Customer Names'!$A:$D,3, FALSE)</f>
        <v>Sutter</v>
      </c>
      <c r="C151" s="22">
        <f>VLOOKUP($A151,'Medical Examinations'!$A:$D, 2, FALSE)</f>
        <v>26.07</v>
      </c>
      <c r="D151" s="22">
        <f>VLOOKUP($A151, 'Medical Examinations'!$A:$D,3, FALSE)</f>
        <v>5.32</v>
      </c>
      <c r="E151" s="22" t="str">
        <f>VLOOKUP($A151, 'Medical Examinations'!$A:$D, 4, FALSE)</f>
        <v>No</v>
      </c>
      <c r="F151" s="22" t="str">
        <f>VLOOKUP($A151, 'Medical Examinations'!$A:$J, 5, FALSE)</f>
        <v>No</v>
      </c>
      <c r="G151" s="22" t="str">
        <f>VLOOKUP($A151, 'Medical Examinations'!$A:$I, 6, FALSE)</f>
        <v>No</v>
      </c>
      <c r="H151" s="22">
        <f>VLOOKUP($A151,'Medical Examinations'!$A:$L,10, FALSE)</f>
        <v>0</v>
      </c>
      <c r="I151" s="22" t="str">
        <f>VLOOKUP($A151, 'Medical Examinations'!$A:$J, 9, FALSE)</f>
        <v>Yes</v>
      </c>
      <c r="J151" s="22" t="str">
        <f>VLOOKUP($A151, 'Medical Examinations'!$A:$P, 11, FALSE)</f>
        <v>OVERWEIGHT</v>
      </c>
      <c r="K151" s="34">
        <v>26212.0</v>
      </c>
      <c r="L151" s="35">
        <f>VLOOKUP($A151, 'Hospitalisation Details'!$A:$H, 7, FALSE)</f>
        <v>38245.59</v>
      </c>
      <c r="M151" s="22" t="str">
        <f>VLOOKUP($A151, 'Hospitalisation Details'!$A:$L, 12, FALSE)</f>
        <v>tier - 1</v>
      </c>
      <c r="N151" s="22" t="str">
        <f>VLOOKUP($A151, 'Hospitalisation Details'!$A:$M, 13, FALSE)</f>
        <v>tier - 2</v>
      </c>
      <c r="O151" s="22" t="str">
        <f>VLOOKUP($A151, 'Hospitalisation Details'!$A:$N, 14, FALSE)</f>
        <v>R1013</v>
      </c>
      <c r="P151" s="36">
        <f>VLOOKUP($A151, 'Hospitalisation Details'!$A:$O, 15, FALSE)</f>
        <v>42</v>
      </c>
    </row>
    <row r="152" ht="15.75" customHeight="1">
      <c r="A152" s="33" t="s">
        <v>303</v>
      </c>
      <c r="B152" s="22" t="str">
        <f>VLOOKUP($A152,'Customer Names'!$A:$D,3, FALSE)</f>
        <v>Yesian</v>
      </c>
      <c r="C152" s="22">
        <f>VLOOKUP($A152,'Medical Examinations'!$A:$D, 2, FALSE)</f>
        <v>36.54</v>
      </c>
      <c r="D152" s="22">
        <f>VLOOKUP($A152, 'Medical Examinations'!$A:$D,3, FALSE)</f>
        <v>4.46</v>
      </c>
      <c r="E152" s="22" t="str">
        <f>VLOOKUP($A152, 'Medical Examinations'!$A:$D, 4, FALSE)</f>
        <v>Yes</v>
      </c>
      <c r="F152" s="22" t="str">
        <f>VLOOKUP($A152, 'Medical Examinations'!$A:$J, 5, FALSE)</f>
        <v>No</v>
      </c>
      <c r="G152" s="22" t="str">
        <f>VLOOKUP($A152, 'Medical Examinations'!$A:$I, 6, FALSE)</f>
        <v>No</v>
      </c>
      <c r="H152" s="22">
        <f>VLOOKUP($A152,'Medical Examinations'!$A:$L,10, FALSE)</f>
        <v>1</v>
      </c>
      <c r="I152" s="22" t="str">
        <f>VLOOKUP($A152, 'Medical Examinations'!$A:$J, 9, FALSE)</f>
        <v>Yes</v>
      </c>
      <c r="J152" s="22" t="str">
        <f>VLOOKUP($A152, 'Medical Examinations'!$A:$P, 11, FALSE)</f>
        <v>OBESITY</v>
      </c>
      <c r="K152" s="34">
        <v>26293.0</v>
      </c>
      <c r="L152" s="35">
        <f>VLOOKUP($A152, 'Hospitalisation Details'!$A:$H, 7, FALSE)</f>
        <v>38241.74</v>
      </c>
      <c r="M152" s="22" t="str">
        <f>VLOOKUP($A152, 'Hospitalisation Details'!$A:$L, 12, FALSE)</f>
        <v>tier - 2</v>
      </c>
      <c r="N152" s="22" t="str">
        <f>VLOOKUP($A152, 'Hospitalisation Details'!$A:$M, 13, FALSE)</f>
        <v>tier - 3</v>
      </c>
      <c r="O152" s="22" t="str">
        <f>VLOOKUP($A152, 'Hospitalisation Details'!$A:$N, 14, FALSE)</f>
        <v>R1011</v>
      </c>
      <c r="P152" s="36">
        <f>VLOOKUP($A152, 'Hospitalisation Details'!$A:$O, 15, FALSE)</f>
        <v>58</v>
      </c>
    </row>
    <row r="153" ht="15.75" customHeight="1">
      <c r="A153" s="33" t="s">
        <v>305</v>
      </c>
      <c r="B153" s="22" t="str">
        <f>VLOOKUP($A153,'Customer Names'!$A:$D,3, FALSE)</f>
        <v>Meers</v>
      </c>
      <c r="C153" s="22">
        <f>VLOOKUP($A153,'Medical Examinations'!$A:$D, 2, FALSE)</f>
        <v>51.64</v>
      </c>
      <c r="D153" s="22">
        <f>VLOOKUP($A153, 'Medical Examinations'!$A:$D,3, FALSE)</f>
        <v>5.65</v>
      </c>
      <c r="E153" s="22" t="str">
        <f>VLOOKUP($A153, 'Medical Examinations'!$A:$D, 4, FALSE)</f>
        <v>No</v>
      </c>
      <c r="F153" s="22" t="str">
        <f>VLOOKUP($A153, 'Medical Examinations'!$A:$J, 5, FALSE)</f>
        <v>No</v>
      </c>
      <c r="G153" s="22" t="str">
        <f>VLOOKUP($A153, 'Medical Examinations'!$A:$I, 6, FALSE)</f>
        <v>No</v>
      </c>
      <c r="H153" s="22">
        <f>VLOOKUP($A153,'Medical Examinations'!$A:$L,10, FALSE)</f>
        <v>0</v>
      </c>
      <c r="I153" s="22" t="str">
        <f>VLOOKUP($A153, 'Medical Examinations'!$A:$J, 9, FALSE)</f>
        <v>Yes</v>
      </c>
      <c r="J153" s="22" t="str">
        <f>VLOOKUP($A153, 'Medical Examinations'!$A:$P, 11, FALSE)</f>
        <v>OBESITY</v>
      </c>
      <c r="K153" s="34">
        <v>23631.0</v>
      </c>
      <c r="L153" s="35">
        <f>VLOOKUP($A153, 'Hospitalisation Details'!$A:$H, 7, FALSE)</f>
        <v>38237.34</v>
      </c>
      <c r="M153" s="22" t="str">
        <f>VLOOKUP($A153, 'Hospitalisation Details'!$A:$L, 12, FALSE)</f>
        <v>tier - 2</v>
      </c>
      <c r="N153" s="22" t="str">
        <f>VLOOKUP($A153, 'Hospitalisation Details'!$A:$M, 13, FALSE)</f>
        <v>tier - 3</v>
      </c>
      <c r="O153" s="22" t="str">
        <f>VLOOKUP($A153, 'Hospitalisation Details'!$A:$N, 14, FALSE)</f>
        <v>R1011</v>
      </c>
      <c r="P153" s="36">
        <f>VLOOKUP($A153, 'Hospitalisation Details'!$A:$O, 15, FALSE)</f>
        <v>33</v>
      </c>
    </row>
    <row r="154" ht="15.75" customHeight="1">
      <c r="A154" s="33" t="s">
        <v>307</v>
      </c>
      <c r="B154" s="22" t="str">
        <f>VLOOKUP($A154,'Customer Names'!$A:$D,3, FALSE)</f>
        <v>Conlon</v>
      </c>
      <c r="C154" s="22">
        <f>VLOOKUP($A154,'Medical Examinations'!$A:$D, 2, FALSE)</f>
        <v>42.83</v>
      </c>
      <c r="D154" s="22">
        <f>VLOOKUP($A154, 'Medical Examinations'!$A:$D,3, FALSE)</f>
        <v>6.04</v>
      </c>
      <c r="E154" s="22" t="str">
        <f>VLOOKUP($A154, 'Medical Examinations'!$A:$D, 4, FALSE)</f>
        <v>No</v>
      </c>
      <c r="F154" s="22" t="str">
        <f>VLOOKUP($A154, 'Medical Examinations'!$A:$J, 5, FALSE)</f>
        <v>No</v>
      </c>
      <c r="G154" s="22" t="str">
        <f>VLOOKUP($A154, 'Medical Examinations'!$A:$I, 6, FALSE)</f>
        <v>No</v>
      </c>
      <c r="H154" s="22">
        <f>VLOOKUP($A154,'Medical Examinations'!$A:$L,10, FALSE)</f>
        <v>2</v>
      </c>
      <c r="I154" s="22" t="str">
        <f>VLOOKUP($A154, 'Medical Examinations'!$A:$J, 9, FALSE)</f>
        <v>Yes</v>
      </c>
      <c r="J154" s="22" t="str">
        <f>VLOOKUP($A154, 'Medical Examinations'!$A:$P, 11, FALSE)</f>
        <v>OBESITY</v>
      </c>
      <c r="K154" s="34">
        <v>31245.0</v>
      </c>
      <c r="L154" s="35">
        <f>VLOOKUP($A154, 'Hospitalisation Details'!$A:$H, 7, FALSE)</f>
        <v>38189.1</v>
      </c>
      <c r="M154" s="22" t="str">
        <f>VLOOKUP($A154, 'Hospitalisation Details'!$A:$L, 12, FALSE)</f>
        <v>tier - 2</v>
      </c>
      <c r="N154" s="22" t="str">
        <f>VLOOKUP($A154, 'Hospitalisation Details'!$A:$M, 13, FALSE)</f>
        <v>tier - 2</v>
      </c>
      <c r="O154" s="22" t="str">
        <f>VLOOKUP($A154, 'Hospitalisation Details'!$A:$N, 14, FALSE)</f>
        <v>R1011</v>
      </c>
      <c r="P154" s="36">
        <f>VLOOKUP($A154, 'Hospitalisation Details'!$A:$O, 15, FALSE)</f>
        <v>50</v>
      </c>
    </row>
    <row r="155" ht="15.75" customHeight="1">
      <c r="A155" s="33" t="s">
        <v>309</v>
      </c>
      <c r="B155" s="22" t="str">
        <f>VLOOKUP($A155,'Customer Names'!$A:$D,3, FALSE)</f>
        <v>Arnstein</v>
      </c>
      <c r="C155" s="22">
        <f>VLOOKUP($A155,'Medical Examinations'!$A:$D, 2, FALSE)</f>
        <v>40.15</v>
      </c>
      <c r="D155" s="22">
        <f>VLOOKUP($A155, 'Medical Examinations'!$A:$D,3, FALSE)</f>
        <v>5.76</v>
      </c>
      <c r="E155" s="22" t="str">
        <f>VLOOKUP($A155, 'Medical Examinations'!$A:$D, 4, FALSE)</f>
        <v>No</v>
      </c>
      <c r="F155" s="22" t="str">
        <f>VLOOKUP($A155, 'Medical Examinations'!$A:$J, 5, FALSE)</f>
        <v>No</v>
      </c>
      <c r="G155" s="22" t="str">
        <f>VLOOKUP($A155, 'Medical Examinations'!$A:$I, 6, FALSE)</f>
        <v>No</v>
      </c>
      <c r="H155" s="22">
        <f>VLOOKUP($A155,'Medical Examinations'!$A:$L,10, FALSE)</f>
        <v>1</v>
      </c>
      <c r="I155" s="22" t="str">
        <f>VLOOKUP($A155, 'Medical Examinations'!$A:$J, 9, FALSE)</f>
        <v>Yes</v>
      </c>
      <c r="J155" s="22" t="str">
        <f>VLOOKUP($A155, 'Medical Examinations'!$A:$P, 11, FALSE)</f>
        <v>OBESITY</v>
      </c>
      <c r="K155" s="34">
        <v>30653.0</v>
      </c>
      <c r="L155" s="35">
        <f>VLOOKUP($A155, 'Hospitalisation Details'!$A:$H, 7, FALSE)</f>
        <v>38126.25</v>
      </c>
      <c r="M155" s="22" t="str">
        <f>VLOOKUP($A155, 'Hospitalisation Details'!$A:$L, 12, FALSE)</f>
        <v>tier - 1</v>
      </c>
      <c r="N155" s="22" t="str">
        <f>VLOOKUP($A155, 'Hospitalisation Details'!$A:$M, 13, FALSE)</f>
        <v>tier - 3</v>
      </c>
      <c r="O155" s="22" t="str">
        <f>VLOOKUP($A155, 'Hospitalisation Details'!$A:$N, 14, FALSE)</f>
        <v>R1013</v>
      </c>
      <c r="P155" s="36">
        <f>VLOOKUP($A155, 'Hospitalisation Details'!$A:$O, 15, FALSE)</f>
        <v>24</v>
      </c>
    </row>
    <row r="156" ht="15.75" customHeight="1">
      <c r="A156" s="33" t="s">
        <v>311</v>
      </c>
      <c r="B156" s="22" t="str">
        <f>VLOOKUP($A156,'Customer Names'!$A:$D,3, FALSE)</f>
        <v>Jurek</v>
      </c>
      <c r="C156" s="22">
        <f>VLOOKUP($A156,'Medical Examinations'!$A:$D, 2, FALSE)</f>
        <v>27.8</v>
      </c>
      <c r="D156" s="22">
        <f>VLOOKUP($A156, 'Medical Examinations'!$A:$D,3, FALSE)</f>
        <v>4.36</v>
      </c>
      <c r="E156" s="22" t="str">
        <f>VLOOKUP($A156, 'Medical Examinations'!$A:$D, 4, FALSE)</f>
        <v>No</v>
      </c>
      <c r="F156" s="22" t="str">
        <f>VLOOKUP($A156, 'Medical Examinations'!$A:$J, 5, FALSE)</f>
        <v>No</v>
      </c>
      <c r="G156" s="22" t="str">
        <f>VLOOKUP($A156, 'Medical Examinations'!$A:$I, 6, FALSE)</f>
        <v>Yes</v>
      </c>
      <c r="H156" s="22">
        <f>VLOOKUP($A156,'Medical Examinations'!$A:$L,10, FALSE)</f>
        <v>1</v>
      </c>
      <c r="I156" s="22" t="str">
        <f>VLOOKUP($A156, 'Medical Examinations'!$A:$J, 9, FALSE)</f>
        <v>Yes</v>
      </c>
      <c r="J156" s="22" t="str">
        <f>VLOOKUP($A156, 'Medical Examinations'!$A:$P, 11, FALSE)</f>
        <v>OVERWEIGHT</v>
      </c>
      <c r="K156" s="34">
        <v>31278.0</v>
      </c>
      <c r="L156" s="35">
        <f>VLOOKUP($A156, 'Hospitalisation Details'!$A:$H, 7, FALSE)</f>
        <v>37829.72</v>
      </c>
      <c r="M156" s="22" t="str">
        <f>VLOOKUP($A156, 'Hospitalisation Details'!$A:$L, 12, FALSE)</f>
        <v>tier - 1</v>
      </c>
      <c r="N156" s="22" t="str">
        <f>VLOOKUP($A156, 'Hospitalisation Details'!$A:$M, 13, FALSE)</f>
        <v>tier - 2</v>
      </c>
      <c r="O156" s="22" t="str">
        <f>VLOOKUP($A156, 'Hospitalisation Details'!$A:$N, 14, FALSE)</f>
        <v>R1011</v>
      </c>
      <c r="P156" s="36">
        <f>VLOOKUP($A156, 'Hospitalisation Details'!$A:$O, 15, FALSE)</f>
        <v>43</v>
      </c>
    </row>
    <row r="157" ht="15.75" customHeight="1">
      <c r="A157" s="33" t="s">
        <v>313</v>
      </c>
      <c r="B157" s="22" t="str">
        <f>VLOOKUP($A157,'Customer Names'!$A:$D,3, FALSE)</f>
        <v>Thill</v>
      </c>
      <c r="C157" s="22">
        <f>VLOOKUP($A157,'Medical Examinations'!$A:$D, 2, FALSE)</f>
        <v>45.81</v>
      </c>
      <c r="D157" s="22">
        <f>VLOOKUP($A157, 'Medical Examinations'!$A:$D,3, FALSE)</f>
        <v>4.76</v>
      </c>
      <c r="E157" s="22" t="str">
        <f>VLOOKUP($A157, 'Medical Examinations'!$A:$D, 4, FALSE)</f>
        <v>Yes</v>
      </c>
      <c r="F157" s="22" t="str">
        <f>VLOOKUP($A157, 'Medical Examinations'!$A:$J, 5, FALSE)</f>
        <v>No</v>
      </c>
      <c r="G157" s="22" t="str">
        <f>VLOOKUP($A157, 'Medical Examinations'!$A:$I, 6, FALSE)</f>
        <v>Yes</v>
      </c>
      <c r="H157" s="22">
        <f>VLOOKUP($A157,'Medical Examinations'!$A:$L,10, FALSE)</f>
        <v>1</v>
      </c>
      <c r="I157" s="22" t="str">
        <f>VLOOKUP($A157, 'Medical Examinations'!$A:$J, 9, FALSE)</f>
        <v>Yes</v>
      </c>
      <c r="J157" s="22" t="str">
        <f>VLOOKUP($A157, 'Medical Examinations'!$A:$P, 11, FALSE)</f>
        <v>OBESITY</v>
      </c>
      <c r="K157" s="34">
        <v>26556.0</v>
      </c>
      <c r="L157" s="35">
        <f>VLOOKUP($A157, 'Hospitalisation Details'!$A:$H, 7, FALSE)</f>
        <v>37800.98</v>
      </c>
      <c r="M157" s="22" t="str">
        <f>VLOOKUP($A157, 'Hospitalisation Details'!$A:$L, 12, FALSE)</f>
        <v>tier - 2</v>
      </c>
      <c r="N157" s="22" t="str">
        <f>VLOOKUP($A157, 'Hospitalisation Details'!$A:$M, 13, FALSE)</f>
        <v>tier - 2</v>
      </c>
      <c r="O157" s="22" t="str">
        <f>VLOOKUP($A157, 'Hospitalisation Details'!$A:$N, 14, FALSE)</f>
        <v>R1011</v>
      </c>
      <c r="P157" s="36">
        <f>VLOOKUP($A157, 'Hospitalisation Details'!$A:$O, 15, FALSE)</f>
        <v>39</v>
      </c>
    </row>
    <row r="158" ht="15.75" customHeight="1">
      <c r="A158" s="33" t="s">
        <v>315</v>
      </c>
      <c r="B158" s="22" t="str">
        <f>VLOOKUP($A158,'Customer Names'!$A:$D,3, FALSE)</f>
        <v>Glaz</v>
      </c>
      <c r="C158" s="22">
        <f>VLOOKUP($A158,'Medical Examinations'!$A:$D, 2, FALSE)</f>
        <v>34.43</v>
      </c>
      <c r="D158" s="22">
        <f>VLOOKUP($A158, 'Medical Examinations'!$A:$D,3, FALSE)</f>
        <v>10.82</v>
      </c>
      <c r="E158" s="22" t="str">
        <f>VLOOKUP($A158, 'Medical Examinations'!$A:$D, 4, FALSE)</f>
        <v>Yes</v>
      </c>
      <c r="F158" s="22" t="str">
        <f>VLOOKUP($A158, 'Medical Examinations'!$A:$J, 5, FALSE)</f>
        <v>No</v>
      </c>
      <c r="G158" s="22" t="str">
        <f>VLOOKUP($A158, 'Medical Examinations'!$A:$I, 6, FALSE)</f>
        <v>No</v>
      </c>
      <c r="H158" s="22">
        <f>VLOOKUP($A158,'Medical Examinations'!$A:$L,10, FALSE)</f>
        <v>1</v>
      </c>
      <c r="I158" s="22" t="str">
        <f>VLOOKUP($A158, 'Medical Examinations'!$A:$J, 9, FALSE)</f>
        <v>Yes</v>
      </c>
      <c r="J158" s="22" t="str">
        <f>VLOOKUP($A158, 'Medical Examinations'!$A:$P, 11, FALSE)</f>
        <v>OBESITY</v>
      </c>
      <c r="K158" s="34">
        <v>22875.0</v>
      </c>
      <c r="L158" s="35">
        <f>VLOOKUP($A158, 'Hospitalisation Details'!$A:$H, 7, FALSE)</f>
        <v>37742.58</v>
      </c>
      <c r="M158" s="22" t="str">
        <f>VLOOKUP($A158, 'Hospitalisation Details'!$A:$L, 12, FALSE)</f>
        <v>tier - 1</v>
      </c>
      <c r="N158" s="22" t="str">
        <f>VLOOKUP($A158, 'Hospitalisation Details'!$A:$M, 13, FALSE)</f>
        <v>tier - 1</v>
      </c>
      <c r="O158" s="22" t="str">
        <f>VLOOKUP($A158, 'Hospitalisation Details'!$A:$N, 14, FALSE)</f>
        <v>R1013</v>
      </c>
      <c r="P158" s="36">
        <f>VLOOKUP($A158, 'Hospitalisation Details'!$A:$O, 15, FALSE)</f>
        <v>36</v>
      </c>
    </row>
    <row r="159" ht="15.75" customHeight="1">
      <c r="A159" s="33" t="s">
        <v>317</v>
      </c>
      <c r="B159" s="22" t="str">
        <f>VLOOKUP($A159,'Customer Names'!$A:$D,3, FALSE)</f>
        <v>Sampson</v>
      </c>
      <c r="C159" s="22">
        <f>VLOOKUP($A159,'Medical Examinations'!$A:$D, 2, FALSE)</f>
        <v>41.33</v>
      </c>
      <c r="D159" s="22">
        <f>VLOOKUP($A159, 'Medical Examinations'!$A:$D,3, FALSE)</f>
        <v>4.01</v>
      </c>
      <c r="E159" s="22" t="str">
        <f>VLOOKUP($A159, 'Medical Examinations'!$A:$D, 4, FALSE)</f>
        <v>Yes</v>
      </c>
      <c r="F159" s="22" t="str">
        <f>VLOOKUP($A159, 'Medical Examinations'!$A:$J, 5, FALSE)</f>
        <v>No</v>
      </c>
      <c r="G159" s="22" t="str">
        <f>VLOOKUP($A159, 'Medical Examinations'!$A:$I, 6, FALSE)</f>
        <v>No</v>
      </c>
      <c r="H159" s="22">
        <f>VLOOKUP($A159,'Medical Examinations'!$A:$L,10, FALSE)</f>
        <v>0</v>
      </c>
      <c r="I159" s="22" t="str">
        <f>VLOOKUP($A159, 'Medical Examinations'!$A:$J, 9, FALSE)</f>
        <v>Yes</v>
      </c>
      <c r="J159" s="22" t="str">
        <f>VLOOKUP($A159, 'Medical Examinations'!$A:$P, 11, FALSE)</f>
        <v>OBESITY</v>
      </c>
      <c r="K159" s="34">
        <v>35254.0</v>
      </c>
      <c r="L159" s="35">
        <f>VLOOKUP($A159, 'Hospitalisation Details'!$A:$H, 7, FALSE)</f>
        <v>37735.2</v>
      </c>
      <c r="M159" s="22" t="str">
        <f>VLOOKUP($A159, 'Hospitalisation Details'!$A:$L, 12, FALSE)</f>
        <v>tier - 2</v>
      </c>
      <c r="N159" s="22" t="str">
        <f>VLOOKUP($A159, 'Hospitalisation Details'!$A:$M, 13, FALSE)</f>
        <v>tier - 2</v>
      </c>
      <c r="O159" s="22" t="str">
        <f>VLOOKUP($A159, 'Hospitalisation Details'!$A:$N, 14, FALSE)</f>
        <v>R1011</v>
      </c>
      <c r="P159" s="36">
        <f>VLOOKUP($A159, 'Hospitalisation Details'!$A:$O, 15, FALSE)</f>
        <v>46</v>
      </c>
    </row>
    <row r="160" ht="15.75" customHeight="1">
      <c r="A160" s="33" t="s">
        <v>319</v>
      </c>
      <c r="B160" s="22" t="str">
        <f>VLOOKUP($A160,'Customer Names'!$A:$D,3, FALSE)</f>
        <v>Duliba</v>
      </c>
      <c r="C160" s="22">
        <f>VLOOKUP($A160,'Medical Examinations'!$A:$D, 2, FALSE)</f>
        <v>31.92</v>
      </c>
      <c r="D160" s="22">
        <f>VLOOKUP($A160, 'Medical Examinations'!$A:$D,3, FALSE)</f>
        <v>5.12</v>
      </c>
      <c r="E160" s="22" t="str">
        <f>VLOOKUP($A160, 'Medical Examinations'!$A:$D, 4, FALSE)</f>
        <v>Yes</v>
      </c>
      <c r="F160" s="22" t="str">
        <f>VLOOKUP($A160, 'Medical Examinations'!$A:$J, 5, FALSE)</f>
        <v>No</v>
      </c>
      <c r="G160" s="22" t="str">
        <f>VLOOKUP($A160, 'Medical Examinations'!$A:$I, 6, FALSE)</f>
        <v>No</v>
      </c>
      <c r="H160" s="22">
        <f>VLOOKUP($A160,'Medical Examinations'!$A:$L,10, FALSE)</f>
        <v>1</v>
      </c>
      <c r="I160" s="22" t="str">
        <f>VLOOKUP($A160, 'Medical Examinations'!$A:$J, 9, FALSE)</f>
        <v>Yes</v>
      </c>
      <c r="J160" s="22" t="str">
        <f>VLOOKUP($A160, 'Medical Examinations'!$A:$P, 11, FALSE)</f>
        <v>OBESITY</v>
      </c>
      <c r="K160" s="34">
        <v>24416.0</v>
      </c>
      <c r="L160" s="35">
        <f>VLOOKUP($A160, 'Hospitalisation Details'!$A:$H, 7, FALSE)</f>
        <v>37701.88</v>
      </c>
      <c r="M160" s="22" t="str">
        <f>VLOOKUP($A160, 'Hospitalisation Details'!$A:$L, 12, FALSE)</f>
        <v>tier - 2</v>
      </c>
      <c r="N160" s="22" t="str">
        <f>VLOOKUP($A160, 'Hospitalisation Details'!$A:$M, 13, FALSE)</f>
        <v>tier - 3</v>
      </c>
      <c r="O160" s="22" t="str">
        <f>VLOOKUP($A160, 'Hospitalisation Details'!$A:$N, 14, FALSE)</f>
        <v>R1023</v>
      </c>
      <c r="P160" s="36">
        <f>VLOOKUP($A160, 'Hospitalisation Details'!$A:$O, 15, FALSE)</f>
        <v>34</v>
      </c>
    </row>
    <row r="161" ht="15.75" customHeight="1">
      <c r="A161" s="33" t="s">
        <v>321</v>
      </c>
      <c r="B161" s="22" t="str">
        <f>VLOOKUP($A161,'Customer Names'!$A:$D,3, FALSE)</f>
        <v>Tanguay</v>
      </c>
      <c r="C161" s="22">
        <f>VLOOKUP($A161,'Medical Examinations'!$A:$D, 2, FALSE)</f>
        <v>39.8</v>
      </c>
      <c r="D161" s="22">
        <f>VLOOKUP($A161, 'Medical Examinations'!$A:$D,3, FALSE)</f>
        <v>10.54</v>
      </c>
      <c r="E161" s="22" t="str">
        <f>VLOOKUP($A161, 'Medical Examinations'!$A:$D, 4, FALSE)</f>
        <v>Yes</v>
      </c>
      <c r="F161" s="22" t="str">
        <f>VLOOKUP($A161, 'Medical Examinations'!$A:$J, 5, FALSE)</f>
        <v>No</v>
      </c>
      <c r="G161" s="22" t="str">
        <f>VLOOKUP($A161, 'Medical Examinations'!$A:$I, 6, FALSE)</f>
        <v>No</v>
      </c>
      <c r="H161" s="22">
        <f>VLOOKUP($A161,'Medical Examinations'!$A:$L,10, FALSE)</f>
        <v>2</v>
      </c>
      <c r="I161" s="22" t="str">
        <f>VLOOKUP($A161, 'Medical Examinations'!$A:$J, 9, FALSE)</f>
        <v>Yes</v>
      </c>
      <c r="J161" s="22" t="str">
        <f>VLOOKUP($A161, 'Medical Examinations'!$A:$P, 11, FALSE)</f>
        <v>OBESITY</v>
      </c>
      <c r="K161" s="34">
        <v>26245.0</v>
      </c>
      <c r="L161" s="35">
        <f>VLOOKUP($A161, 'Hospitalisation Details'!$A:$H, 7, FALSE)</f>
        <v>37675.06</v>
      </c>
      <c r="M161" s="22" t="str">
        <f>VLOOKUP($A161, 'Hospitalisation Details'!$A:$L, 12, FALSE)</f>
        <v>tier - 2</v>
      </c>
      <c r="N161" s="22" t="str">
        <f>VLOOKUP($A161, 'Hospitalisation Details'!$A:$M, 13, FALSE)</f>
        <v>tier - 3</v>
      </c>
      <c r="O161" s="22" t="str">
        <f>VLOOKUP($A161, 'Hospitalisation Details'!$A:$N, 14, FALSE)</f>
        <v>R1011</v>
      </c>
      <c r="P161" s="36">
        <f>VLOOKUP($A161, 'Hospitalisation Details'!$A:$O, 15, FALSE)</f>
        <v>52</v>
      </c>
    </row>
    <row r="162" ht="15.75" customHeight="1">
      <c r="A162" s="33" t="s">
        <v>323</v>
      </c>
      <c r="B162" s="22" t="str">
        <f>VLOOKUP($A162,'Customer Names'!$A:$D,3, FALSE)</f>
        <v>McClelland</v>
      </c>
      <c r="C162" s="22">
        <f>VLOOKUP($A162,'Medical Examinations'!$A:$D, 2, FALSE)</f>
        <v>42.82</v>
      </c>
      <c r="D162" s="22">
        <f>VLOOKUP($A162, 'Medical Examinations'!$A:$D,3, FALSE)</f>
        <v>4.21</v>
      </c>
      <c r="E162" s="22" t="str">
        <f>VLOOKUP($A162, 'Medical Examinations'!$A:$D, 4, FALSE)</f>
        <v>No</v>
      </c>
      <c r="F162" s="22" t="str">
        <f>VLOOKUP($A162, 'Medical Examinations'!$A:$J, 5, FALSE)</f>
        <v>No</v>
      </c>
      <c r="G162" s="22" t="str">
        <f>VLOOKUP($A162, 'Medical Examinations'!$A:$I, 6, FALSE)</f>
        <v>No</v>
      </c>
      <c r="H162" s="22">
        <f>VLOOKUP($A162,'Medical Examinations'!$A:$L,10, FALSE)</f>
        <v>0</v>
      </c>
      <c r="I162" s="22" t="str">
        <f>VLOOKUP($A162, 'Medical Examinations'!$A:$J, 9, FALSE)</f>
        <v>Yes</v>
      </c>
      <c r="J162" s="22" t="str">
        <f>VLOOKUP($A162, 'Medical Examinations'!$A:$P, 11, FALSE)</f>
        <v>OBESITY</v>
      </c>
      <c r="K162" s="34">
        <v>26209.0</v>
      </c>
      <c r="L162" s="35">
        <f>VLOOKUP($A162, 'Hospitalisation Details'!$A:$H, 7, FALSE)</f>
        <v>37650.74</v>
      </c>
      <c r="M162" s="22" t="str">
        <f>VLOOKUP($A162, 'Hospitalisation Details'!$A:$L, 12, FALSE)</f>
        <v>tier - 2</v>
      </c>
      <c r="N162" s="22" t="str">
        <f>VLOOKUP($A162, 'Hospitalisation Details'!$A:$M, 13, FALSE)</f>
        <v>tier - 2</v>
      </c>
      <c r="O162" s="22" t="str">
        <f>VLOOKUP($A162, 'Hospitalisation Details'!$A:$N, 14, FALSE)</f>
        <v>R1012</v>
      </c>
      <c r="P162" s="36">
        <f>VLOOKUP($A162, 'Hospitalisation Details'!$A:$O, 15, FALSE)</f>
        <v>40</v>
      </c>
    </row>
    <row r="163" ht="15.75" customHeight="1">
      <c r="A163" s="33" t="s">
        <v>325</v>
      </c>
      <c r="B163" s="22" t="str">
        <f>VLOOKUP($A163,'Customer Names'!$A:$D,3, FALSE)</f>
        <v>Gorman</v>
      </c>
      <c r="C163" s="22">
        <f>VLOOKUP($A163,'Medical Examinations'!$A:$D, 2, FALSE)</f>
        <v>33.63</v>
      </c>
      <c r="D163" s="22">
        <f>VLOOKUP($A163, 'Medical Examinations'!$A:$D,3, FALSE)</f>
        <v>5.42</v>
      </c>
      <c r="E163" s="22" t="str">
        <f>VLOOKUP($A163, 'Medical Examinations'!$A:$D, 4, FALSE)</f>
        <v>No</v>
      </c>
      <c r="F163" s="22" t="str">
        <f>VLOOKUP($A163, 'Medical Examinations'!$A:$J, 5, FALSE)</f>
        <v>No</v>
      </c>
      <c r="G163" s="22" t="str">
        <f>VLOOKUP($A163, 'Medical Examinations'!$A:$I, 6, FALSE)</f>
        <v>No</v>
      </c>
      <c r="H163" s="22">
        <f>VLOOKUP($A163,'Medical Examinations'!$A:$L,10, FALSE)</f>
        <v>0</v>
      </c>
      <c r="I163" s="22" t="str">
        <f>VLOOKUP($A163, 'Medical Examinations'!$A:$J, 9, FALSE)</f>
        <v>Yes</v>
      </c>
      <c r="J163" s="22" t="str">
        <f>VLOOKUP($A163, 'Medical Examinations'!$A:$P, 11, FALSE)</f>
        <v>OBESITY</v>
      </c>
      <c r="K163" s="34">
        <v>26117.0</v>
      </c>
      <c r="L163" s="35">
        <f>VLOOKUP($A163, 'Hospitalisation Details'!$A:$H, 7, FALSE)</f>
        <v>37607.53</v>
      </c>
      <c r="M163" s="22" t="str">
        <f>VLOOKUP($A163, 'Hospitalisation Details'!$A:$L, 12, FALSE)</f>
        <v>tier - 1</v>
      </c>
      <c r="N163" s="22" t="str">
        <f>VLOOKUP($A163, 'Hospitalisation Details'!$A:$M, 13, FALSE)</f>
        <v>tier - 2</v>
      </c>
      <c r="O163" s="22" t="str">
        <f>VLOOKUP($A163, 'Hospitalisation Details'!$A:$N, 14, FALSE)</f>
        <v>R1019</v>
      </c>
      <c r="P163" s="36">
        <f>VLOOKUP($A163, 'Hospitalisation Details'!$A:$O, 15, FALSE)</f>
        <v>32</v>
      </c>
    </row>
    <row r="164" ht="15.75" customHeight="1">
      <c r="A164" s="33" t="s">
        <v>327</v>
      </c>
      <c r="B164" s="22" t="str">
        <f>VLOOKUP($A164,'Customer Names'!$A:$D,3, FALSE)</f>
        <v>Nishimura</v>
      </c>
      <c r="C164" s="22">
        <f>VLOOKUP($A164,'Medical Examinations'!$A:$D, 2, FALSE)</f>
        <v>37.07</v>
      </c>
      <c r="D164" s="22">
        <f>VLOOKUP($A164, 'Medical Examinations'!$A:$D,3, FALSE)</f>
        <v>4.28</v>
      </c>
      <c r="E164" s="22" t="str">
        <f>VLOOKUP($A164, 'Medical Examinations'!$A:$D, 4, FALSE)</f>
        <v>No</v>
      </c>
      <c r="F164" s="22" t="str">
        <f>VLOOKUP($A164, 'Medical Examinations'!$A:$J, 5, FALSE)</f>
        <v>Yes</v>
      </c>
      <c r="G164" s="22" t="str">
        <f>VLOOKUP($A164, 'Medical Examinations'!$A:$I, 6, FALSE)</f>
        <v>No</v>
      </c>
      <c r="H164" s="22">
        <f>VLOOKUP($A164,'Medical Examinations'!$A:$L,10, FALSE)</f>
        <v>1</v>
      </c>
      <c r="I164" s="22" t="str">
        <f>VLOOKUP($A164, 'Medical Examinations'!$A:$J, 9, FALSE)</f>
        <v>Yes</v>
      </c>
      <c r="J164" s="22" t="str">
        <f>VLOOKUP($A164, 'Medical Examinations'!$A:$P, 11, FALSE)</f>
        <v>OBESITY</v>
      </c>
      <c r="K164" s="34">
        <v>26289.0</v>
      </c>
      <c r="L164" s="35">
        <f>VLOOKUP($A164, 'Hospitalisation Details'!$A:$H, 7, FALSE)</f>
        <v>37484.45</v>
      </c>
      <c r="M164" s="22" t="str">
        <f>VLOOKUP($A164, 'Hospitalisation Details'!$A:$L, 12, FALSE)</f>
        <v>tier - 1</v>
      </c>
      <c r="N164" s="22" t="str">
        <f>VLOOKUP($A164, 'Hospitalisation Details'!$A:$M, 13, FALSE)</f>
        <v>tier - 1</v>
      </c>
      <c r="O164" s="22" t="str">
        <f>VLOOKUP($A164, 'Hospitalisation Details'!$A:$N, 14, FALSE)</f>
        <v>R1013</v>
      </c>
      <c r="P164" s="36">
        <f>VLOOKUP($A164, 'Hospitalisation Details'!$A:$O, 15, FALSE)</f>
        <v>22</v>
      </c>
    </row>
    <row r="165" ht="15.75" customHeight="1">
      <c r="A165" s="33" t="s">
        <v>329</v>
      </c>
      <c r="B165" s="22" t="str">
        <f>VLOOKUP($A165,'Customer Names'!$A:$D,3, FALSE)</f>
        <v>Brimble</v>
      </c>
      <c r="C165" s="22">
        <f>VLOOKUP($A165,'Medical Examinations'!$A:$D, 2, FALSE)</f>
        <v>35.625</v>
      </c>
      <c r="D165" s="22">
        <f>VLOOKUP($A165, 'Medical Examinations'!$A:$D,3, FALSE)</f>
        <v>8.9</v>
      </c>
      <c r="E165" s="22" t="str">
        <f>VLOOKUP($A165, 'Medical Examinations'!$A:$D, 4, FALSE)</f>
        <v>No</v>
      </c>
      <c r="F165" s="22" t="str">
        <f>VLOOKUP($A165, 'Medical Examinations'!$A:$J, 5, FALSE)</f>
        <v>No</v>
      </c>
      <c r="G165" s="22" t="str">
        <f>VLOOKUP($A165, 'Medical Examinations'!$A:$I, 6, FALSE)</f>
        <v>No</v>
      </c>
      <c r="H165" s="22">
        <f>VLOOKUP($A165,'Medical Examinations'!$A:$L,10, FALSE)</f>
        <v>0</v>
      </c>
      <c r="I165" s="22" t="str">
        <f>VLOOKUP($A165, 'Medical Examinations'!$A:$J, 9, FALSE)</f>
        <v>Yes</v>
      </c>
      <c r="J165" s="22" t="str">
        <f>VLOOKUP($A165, 'Medical Examinations'!$A:$P, 11, FALSE)</f>
        <v>OBESITY</v>
      </c>
      <c r="K165" s="34">
        <v>31982.0</v>
      </c>
      <c r="L165" s="35">
        <f>VLOOKUP($A165, 'Hospitalisation Details'!$A:$H, 7, FALSE)</f>
        <v>37465.34</v>
      </c>
      <c r="M165" s="22" t="str">
        <f>VLOOKUP($A165, 'Hospitalisation Details'!$A:$L, 12, FALSE)</f>
        <v>tier - 1</v>
      </c>
      <c r="N165" s="22" t="str">
        <f>VLOOKUP($A165, 'Hospitalisation Details'!$A:$M, 13, FALSE)</f>
        <v>tier - 2</v>
      </c>
      <c r="O165" s="22" t="str">
        <f>VLOOKUP($A165, 'Hospitalisation Details'!$A:$N, 14, FALSE)</f>
        <v>R1012</v>
      </c>
      <c r="P165" s="36">
        <f>VLOOKUP($A165, 'Hospitalisation Details'!$A:$O, 15, FALSE)</f>
        <v>20</v>
      </c>
    </row>
    <row r="166" ht="15.75" customHeight="1">
      <c r="A166" s="33" t="s">
        <v>331</v>
      </c>
      <c r="B166" s="22" t="str">
        <f>VLOOKUP($A166,'Customer Names'!$A:$D,3, FALSE)</f>
        <v>Trenk</v>
      </c>
      <c r="C166" s="22">
        <f>VLOOKUP($A166,'Medical Examinations'!$A:$D, 2, FALSE)</f>
        <v>42.69</v>
      </c>
      <c r="D166" s="22">
        <f>VLOOKUP($A166, 'Medical Examinations'!$A:$D,3, FALSE)</f>
        <v>4.89</v>
      </c>
      <c r="E166" s="22" t="str">
        <f>VLOOKUP($A166, 'Medical Examinations'!$A:$D, 4, FALSE)</f>
        <v>No</v>
      </c>
      <c r="F166" s="22" t="str">
        <f>VLOOKUP($A166, 'Medical Examinations'!$A:$J, 5, FALSE)</f>
        <v>No</v>
      </c>
      <c r="G166" s="22" t="str">
        <f>VLOOKUP($A166, 'Medical Examinations'!$A:$I, 6, FALSE)</f>
        <v>Yes</v>
      </c>
      <c r="H166" s="22">
        <f>VLOOKUP($A166,'Medical Examinations'!$A:$L,10, FALSE)</f>
        <v>1</v>
      </c>
      <c r="I166" s="22" t="str">
        <f>VLOOKUP($A166, 'Medical Examinations'!$A:$J, 9, FALSE)</f>
        <v>Yes</v>
      </c>
      <c r="J166" s="22" t="str">
        <f>VLOOKUP($A166, 'Medical Examinations'!$A:$P, 11, FALSE)</f>
        <v>OBESITY</v>
      </c>
      <c r="K166" s="34">
        <v>35982.0</v>
      </c>
      <c r="L166" s="35">
        <f>VLOOKUP($A166, 'Hospitalisation Details'!$A:$H, 7, FALSE)</f>
        <v>37425.94</v>
      </c>
      <c r="M166" s="22" t="str">
        <f>VLOOKUP($A166, 'Hospitalisation Details'!$A:$L, 12, FALSE)</f>
        <v>tier - 2</v>
      </c>
      <c r="N166" s="22" t="str">
        <f>VLOOKUP($A166, 'Hospitalisation Details'!$A:$M, 13, FALSE)</f>
        <v>tier - 1</v>
      </c>
      <c r="O166" s="22" t="str">
        <f>VLOOKUP($A166, 'Hospitalisation Details'!$A:$N, 14, FALSE)</f>
        <v>R1011</v>
      </c>
      <c r="P166" s="36">
        <f>VLOOKUP($A166, 'Hospitalisation Details'!$A:$O, 15, FALSE)</f>
        <v>43</v>
      </c>
    </row>
    <row r="167" ht="15.75" customHeight="1">
      <c r="A167" s="33" t="s">
        <v>333</v>
      </c>
      <c r="B167" s="22" t="str">
        <f>VLOOKUP($A167,'Customer Names'!$A:$D,3, FALSE)</f>
        <v>Wittmann</v>
      </c>
      <c r="C167" s="22">
        <f>VLOOKUP($A167,'Medical Examinations'!$A:$D, 2, FALSE)</f>
        <v>37.87</v>
      </c>
      <c r="D167" s="22">
        <f>VLOOKUP($A167, 'Medical Examinations'!$A:$D,3, FALSE)</f>
        <v>4.29</v>
      </c>
      <c r="E167" s="22" t="str">
        <f>VLOOKUP($A167, 'Medical Examinations'!$A:$D, 4, FALSE)</f>
        <v>Yes</v>
      </c>
      <c r="F167" s="22" t="str">
        <f>VLOOKUP($A167, 'Medical Examinations'!$A:$J, 5, FALSE)</f>
        <v>No</v>
      </c>
      <c r="G167" s="22" t="str">
        <f>VLOOKUP($A167, 'Medical Examinations'!$A:$I, 6, FALSE)</f>
        <v>Yes</v>
      </c>
      <c r="H167" s="22">
        <f>VLOOKUP($A167,'Medical Examinations'!$A:$L,10, FALSE)</f>
        <v>1</v>
      </c>
      <c r="I167" s="22" t="str">
        <f>VLOOKUP($A167, 'Medical Examinations'!$A:$J, 9, FALSE)</f>
        <v>Yes</v>
      </c>
      <c r="J167" s="22" t="str">
        <f>VLOOKUP($A167, 'Medical Examinations'!$A:$P, 11, FALSE)</f>
        <v>OBESITY</v>
      </c>
      <c r="K167" s="34">
        <v>25428.0</v>
      </c>
      <c r="L167" s="35">
        <f>VLOOKUP($A167, 'Hospitalisation Details'!$A:$H, 7, FALSE)</f>
        <v>37277.27</v>
      </c>
      <c r="M167" s="22" t="str">
        <f>VLOOKUP($A167, 'Hospitalisation Details'!$A:$L, 12, FALSE)</f>
        <v>tier - 1</v>
      </c>
      <c r="N167" s="22" t="str">
        <f>VLOOKUP($A167, 'Hospitalisation Details'!$A:$M, 13, FALSE)</f>
        <v>tier - 3</v>
      </c>
      <c r="O167" s="22" t="str">
        <f>VLOOKUP($A167, 'Hospitalisation Details'!$A:$N, 14, FALSE)</f>
        <v>R1011</v>
      </c>
      <c r="P167" s="36">
        <f>VLOOKUP($A167, 'Hospitalisation Details'!$A:$O, 15, FALSE)</f>
        <v>53</v>
      </c>
    </row>
    <row r="168" ht="15.75" customHeight="1">
      <c r="A168" s="33" t="s">
        <v>335</v>
      </c>
      <c r="B168" s="22" t="str">
        <f>VLOOKUP($A168,'Customer Names'!$A:$D,3, FALSE)</f>
        <v>Tremblay</v>
      </c>
      <c r="C168" s="22">
        <f>VLOOKUP($A168,'Medical Examinations'!$A:$D, 2, FALSE)</f>
        <v>40.61</v>
      </c>
      <c r="D168" s="22">
        <f>VLOOKUP($A168, 'Medical Examinations'!$A:$D,3, FALSE)</f>
        <v>8</v>
      </c>
      <c r="E168" s="22" t="str">
        <f>VLOOKUP($A168, 'Medical Examinations'!$A:$D, 4, FALSE)</f>
        <v>Yes</v>
      </c>
      <c r="F168" s="22" t="str">
        <f>VLOOKUP($A168, 'Medical Examinations'!$A:$J, 5, FALSE)</f>
        <v>No</v>
      </c>
      <c r="G168" s="22" t="str">
        <f>VLOOKUP($A168, 'Medical Examinations'!$A:$I, 6, FALSE)</f>
        <v>No</v>
      </c>
      <c r="H168" s="22">
        <f>VLOOKUP($A168,'Medical Examinations'!$A:$L,10, FALSE)</f>
        <v>1</v>
      </c>
      <c r="I168" s="22" t="str">
        <f>VLOOKUP($A168, 'Medical Examinations'!$A:$J, 9, FALSE)</f>
        <v>Yes</v>
      </c>
      <c r="J168" s="22" t="str">
        <f>VLOOKUP($A168, 'Medical Examinations'!$A:$P, 11, FALSE)</f>
        <v>OBESITY</v>
      </c>
      <c r="K168" s="34">
        <v>26246.0</v>
      </c>
      <c r="L168" s="35">
        <f>VLOOKUP($A168, 'Hospitalisation Details'!$A:$H, 7, FALSE)</f>
        <v>37272.34</v>
      </c>
      <c r="M168" s="22" t="str">
        <f>VLOOKUP($A168, 'Hospitalisation Details'!$A:$L, 12, FALSE)</f>
        <v>tier - 2</v>
      </c>
      <c r="N168" s="22" t="str">
        <f>VLOOKUP($A168, 'Hospitalisation Details'!$A:$M, 13, FALSE)</f>
        <v>tier - 3</v>
      </c>
      <c r="O168" s="22" t="str">
        <f>VLOOKUP($A168, 'Hospitalisation Details'!$A:$N, 14, FALSE)</f>
        <v>R1011</v>
      </c>
      <c r="P168" s="36">
        <f>VLOOKUP($A168, 'Hospitalisation Details'!$A:$O, 15, FALSE)</f>
        <v>47</v>
      </c>
    </row>
    <row r="169" ht="15.75" customHeight="1">
      <c r="A169" s="33" t="s">
        <v>337</v>
      </c>
      <c r="B169" s="22" t="str">
        <f>VLOOKUP($A169,'Customer Names'!$A:$D,3, FALSE)</f>
        <v>Scofield</v>
      </c>
      <c r="C169" s="22">
        <f>VLOOKUP($A169,'Medical Examinations'!$A:$D, 2, FALSE)</f>
        <v>30.78</v>
      </c>
      <c r="D169" s="22">
        <f>VLOOKUP($A169, 'Medical Examinations'!$A:$D,3, FALSE)</f>
        <v>4.67</v>
      </c>
      <c r="E169" s="22" t="str">
        <f>VLOOKUP($A169, 'Medical Examinations'!$A:$D, 4, FALSE)</f>
        <v>Yes</v>
      </c>
      <c r="F169" s="22" t="str">
        <f>VLOOKUP($A169, 'Medical Examinations'!$A:$J, 5, FALSE)</f>
        <v>No</v>
      </c>
      <c r="G169" s="22" t="str">
        <f>VLOOKUP($A169, 'Medical Examinations'!$A:$I, 6, FALSE)</f>
        <v>No</v>
      </c>
      <c r="H169" s="22">
        <f>VLOOKUP($A169,'Medical Examinations'!$A:$L,10, FALSE)</f>
        <v>0</v>
      </c>
      <c r="I169" s="22" t="str">
        <f>VLOOKUP($A169, 'Medical Examinations'!$A:$J, 9, FALSE)</f>
        <v>Yes</v>
      </c>
      <c r="J169" s="22" t="str">
        <f>VLOOKUP($A169, 'Medical Examinations'!$A:$P, 11, FALSE)</f>
        <v>OBESITY</v>
      </c>
      <c r="K169" s="34">
        <v>25496.0</v>
      </c>
      <c r="L169" s="35">
        <f>VLOOKUP($A169, 'Hospitalisation Details'!$A:$H, 7, FALSE)</f>
        <v>37270.15</v>
      </c>
      <c r="M169" s="22" t="str">
        <f>VLOOKUP($A169, 'Hospitalisation Details'!$A:$L, 12, FALSE)</f>
        <v>tier - 2</v>
      </c>
      <c r="N169" s="22" t="str">
        <f>VLOOKUP($A169, 'Hospitalisation Details'!$A:$M, 13, FALSE)</f>
        <v>tier - 1</v>
      </c>
      <c r="O169" s="22" t="str">
        <f>VLOOKUP($A169, 'Hospitalisation Details'!$A:$N, 14, FALSE)</f>
        <v>R1024</v>
      </c>
      <c r="P169" s="36">
        <f>VLOOKUP($A169, 'Hospitalisation Details'!$A:$O, 15, FALSE)</f>
        <v>37</v>
      </c>
    </row>
    <row r="170" ht="15.75" customHeight="1">
      <c r="A170" s="33" t="s">
        <v>339</v>
      </c>
      <c r="B170" s="22" t="str">
        <f>VLOOKUP($A170,'Customer Names'!$A:$D,3, FALSE)</f>
        <v>Yost</v>
      </c>
      <c r="C170" s="22">
        <f>VLOOKUP($A170,'Medical Examinations'!$A:$D, 2, FALSE)</f>
        <v>49.49</v>
      </c>
      <c r="D170" s="22">
        <f>VLOOKUP($A170, 'Medical Examinations'!$A:$D,3, FALSE)</f>
        <v>4.5</v>
      </c>
      <c r="E170" s="22" t="str">
        <f>VLOOKUP($A170, 'Medical Examinations'!$A:$D, 4, FALSE)</f>
        <v>No</v>
      </c>
      <c r="F170" s="22" t="str">
        <f>VLOOKUP($A170, 'Medical Examinations'!$A:$J, 5, FALSE)</f>
        <v>No</v>
      </c>
      <c r="G170" s="22" t="str">
        <f>VLOOKUP($A170, 'Medical Examinations'!$A:$I, 6, FALSE)</f>
        <v>No</v>
      </c>
      <c r="H170" s="22">
        <f>VLOOKUP($A170,'Medical Examinations'!$A:$L,10, FALSE)</f>
        <v>0</v>
      </c>
      <c r="I170" s="22" t="str">
        <f>VLOOKUP($A170, 'Medical Examinations'!$A:$J, 9, FALSE)</f>
        <v>Yes</v>
      </c>
      <c r="J170" s="22" t="str">
        <f>VLOOKUP($A170, 'Medical Examinations'!$A:$P, 11, FALSE)</f>
        <v>OBESITY</v>
      </c>
      <c r="K170" s="34">
        <v>26131.0</v>
      </c>
      <c r="L170" s="35">
        <f>VLOOKUP($A170, 'Hospitalisation Details'!$A:$H, 7, FALSE)</f>
        <v>37251.22</v>
      </c>
      <c r="M170" s="22" t="str">
        <f>VLOOKUP($A170, 'Hospitalisation Details'!$A:$L, 12, FALSE)</f>
        <v>tier - 2</v>
      </c>
      <c r="N170" s="22" t="str">
        <f>VLOOKUP($A170, 'Hospitalisation Details'!$A:$M, 13, FALSE)</f>
        <v>tier - 2</v>
      </c>
      <c r="O170" s="22" t="str">
        <f>VLOOKUP($A170, 'Hospitalisation Details'!$A:$N, 14, FALSE)</f>
        <v>R1011</v>
      </c>
      <c r="P170" s="36">
        <f>VLOOKUP($A170, 'Hospitalisation Details'!$A:$O, 15, FALSE)</f>
        <v>32</v>
      </c>
    </row>
    <row r="171" ht="15.75" customHeight="1">
      <c r="A171" s="33" t="s">
        <v>341</v>
      </c>
      <c r="B171" s="22" t="str">
        <f>VLOOKUP($A171,'Customer Names'!$A:$D,3, FALSE)</f>
        <v>Torphy</v>
      </c>
      <c r="C171" s="22">
        <f>VLOOKUP($A171,'Medical Examinations'!$A:$D, 2, FALSE)</f>
        <v>37.62</v>
      </c>
      <c r="D171" s="22">
        <f>VLOOKUP($A171, 'Medical Examinations'!$A:$D,3, FALSE)</f>
        <v>6.32</v>
      </c>
      <c r="E171" s="22" t="str">
        <f>VLOOKUP($A171, 'Medical Examinations'!$A:$D, 4, FALSE)</f>
        <v>Yes</v>
      </c>
      <c r="F171" s="22" t="str">
        <f>VLOOKUP($A171, 'Medical Examinations'!$A:$J, 5, FALSE)</f>
        <v>Yes</v>
      </c>
      <c r="G171" s="22" t="str">
        <f>VLOOKUP($A171, 'Medical Examinations'!$A:$I, 6, FALSE)</f>
        <v>No</v>
      </c>
      <c r="H171" s="22">
        <f>VLOOKUP($A171,'Medical Examinations'!$A:$L,10, FALSE)</f>
        <v>2</v>
      </c>
      <c r="I171" s="22" t="str">
        <f>VLOOKUP($A171, 'Medical Examinations'!$A:$J, 9, FALSE)</f>
        <v>Yes</v>
      </c>
      <c r="J171" s="22" t="str">
        <f>VLOOKUP($A171, 'Medical Examinations'!$A:$P, 11, FALSE)</f>
        <v>OBESITY</v>
      </c>
      <c r="K171" s="34">
        <v>26229.0</v>
      </c>
      <c r="L171" s="35">
        <f>VLOOKUP($A171, 'Hospitalisation Details'!$A:$H, 7, FALSE)</f>
        <v>37165.16</v>
      </c>
      <c r="M171" s="22" t="str">
        <f>VLOOKUP($A171, 'Hospitalisation Details'!$A:$L, 12, FALSE)</f>
        <v>tier - 1</v>
      </c>
      <c r="N171" s="22" t="str">
        <f>VLOOKUP($A171, 'Hospitalisation Details'!$A:$M, 13, FALSE)</f>
        <v>tier - 3</v>
      </c>
      <c r="O171" s="22" t="str">
        <f>VLOOKUP($A171, 'Hospitalisation Details'!$A:$N, 14, FALSE)</f>
        <v>UNKNOWN</v>
      </c>
      <c r="P171" s="36">
        <f>VLOOKUP($A171, 'Hospitalisation Details'!$A:$O, 15, FALSE)</f>
        <v>22</v>
      </c>
    </row>
    <row r="172" ht="15.75" customHeight="1">
      <c r="A172" s="33" t="s">
        <v>343</v>
      </c>
      <c r="B172" s="22" t="str">
        <f>VLOOKUP($A172,'Customer Names'!$A:$D,3, FALSE)</f>
        <v>Busby</v>
      </c>
      <c r="C172" s="22">
        <f>VLOOKUP($A172,'Medical Examinations'!$A:$D, 2, FALSE)</f>
        <v>36.08</v>
      </c>
      <c r="D172" s="22">
        <f>VLOOKUP($A172, 'Medical Examinations'!$A:$D,3, FALSE)</f>
        <v>6.1</v>
      </c>
      <c r="E172" s="22" t="str">
        <f>VLOOKUP($A172, 'Medical Examinations'!$A:$D, 4, FALSE)</f>
        <v>Yes</v>
      </c>
      <c r="F172" s="22" t="str">
        <f>VLOOKUP($A172, 'Medical Examinations'!$A:$J, 5, FALSE)</f>
        <v>No</v>
      </c>
      <c r="G172" s="22" t="str">
        <f>VLOOKUP($A172, 'Medical Examinations'!$A:$I, 6, FALSE)</f>
        <v>No</v>
      </c>
      <c r="H172" s="22">
        <f>VLOOKUP($A172,'Medical Examinations'!$A:$L,10, FALSE)</f>
        <v>1</v>
      </c>
      <c r="I172" s="22" t="str">
        <f>VLOOKUP($A172, 'Medical Examinations'!$A:$J, 9, FALSE)</f>
        <v>Yes</v>
      </c>
      <c r="J172" s="22" t="str">
        <f>VLOOKUP($A172, 'Medical Examinations'!$A:$P, 11, FALSE)</f>
        <v>OBESITY</v>
      </c>
      <c r="K172" s="34">
        <v>25146.0</v>
      </c>
      <c r="L172" s="35">
        <f>VLOOKUP($A172, 'Hospitalisation Details'!$A:$H, 7, FALSE)</f>
        <v>37133.9</v>
      </c>
      <c r="M172" s="22" t="str">
        <f>VLOOKUP($A172, 'Hospitalisation Details'!$A:$L, 12, FALSE)</f>
        <v>tier - 2</v>
      </c>
      <c r="N172" s="22" t="str">
        <f>VLOOKUP($A172, 'Hospitalisation Details'!$A:$M, 13, FALSE)</f>
        <v>tier - 2</v>
      </c>
      <c r="O172" s="22" t="str">
        <f>VLOOKUP($A172, 'Hospitalisation Details'!$A:$N, 14, FALSE)</f>
        <v>R1013</v>
      </c>
      <c r="P172" s="36">
        <f>VLOOKUP($A172, 'Hospitalisation Details'!$A:$O, 15, FALSE)</f>
        <v>27</v>
      </c>
    </row>
    <row r="173" ht="15.75" customHeight="1">
      <c r="A173" s="33" t="s">
        <v>345</v>
      </c>
      <c r="B173" s="22" t="str">
        <f>VLOOKUP($A173,'Customer Names'!$A:$D,3, FALSE)</f>
        <v>Nguyen</v>
      </c>
      <c r="C173" s="22">
        <f>VLOOKUP($A173,'Medical Examinations'!$A:$D, 2, FALSE)</f>
        <v>33.5</v>
      </c>
      <c r="D173" s="22">
        <f>VLOOKUP($A173, 'Medical Examinations'!$A:$D,3, FALSE)</f>
        <v>5.4</v>
      </c>
      <c r="E173" s="22" t="str">
        <f>VLOOKUP($A173, 'Medical Examinations'!$A:$D, 4, FALSE)</f>
        <v>No</v>
      </c>
      <c r="F173" s="22" t="str">
        <f>VLOOKUP($A173, 'Medical Examinations'!$A:$J, 5, FALSE)</f>
        <v>No</v>
      </c>
      <c r="G173" s="22" t="str">
        <f>VLOOKUP($A173, 'Medical Examinations'!$A:$I, 6, FALSE)</f>
        <v>No</v>
      </c>
      <c r="H173" s="22">
        <f>VLOOKUP($A173,'Medical Examinations'!$A:$L,10, FALSE)</f>
        <v>0</v>
      </c>
      <c r="I173" s="22" t="str">
        <f>VLOOKUP($A173, 'Medical Examinations'!$A:$J, 9, FALSE)</f>
        <v>Yes</v>
      </c>
      <c r="J173" s="22" t="str">
        <f>VLOOKUP($A173, 'Medical Examinations'!$A:$P, 11, FALSE)</f>
        <v>OBESITY</v>
      </c>
      <c r="K173" s="34">
        <v>33829.0</v>
      </c>
      <c r="L173" s="35">
        <f>VLOOKUP($A173, 'Hospitalisation Details'!$A:$H, 7, FALSE)</f>
        <v>37079.37</v>
      </c>
      <c r="M173" s="22" t="str">
        <f>VLOOKUP($A173, 'Hospitalisation Details'!$A:$L, 12, FALSE)</f>
        <v>tier - 2</v>
      </c>
      <c r="N173" s="22" t="str">
        <f>VLOOKUP($A173, 'Hospitalisation Details'!$A:$M, 13, FALSE)</f>
        <v>tier - 3</v>
      </c>
      <c r="O173" s="22" t="str">
        <f>VLOOKUP($A173, 'Hospitalisation Details'!$A:$N, 14, FALSE)</f>
        <v>R1011</v>
      </c>
      <c r="P173" s="36">
        <f>VLOOKUP($A173, 'Hospitalisation Details'!$A:$O, 15, FALSE)</f>
        <v>33</v>
      </c>
    </row>
    <row r="174" ht="15.75" customHeight="1">
      <c r="A174" s="33" t="s">
        <v>347</v>
      </c>
      <c r="B174" s="22" t="str">
        <f>VLOOKUP($A174,'Customer Names'!$A:$D,3, FALSE)</f>
        <v>Hanley</v>
      </c>
      <c r="C174" s="22">
        <f>VLOOKUP($A174,'Medical Examinations'!$A:$D, 2, FALSE)</f>
        <v>47.46</v>
      </c>
      <c r="D174" s="22">
        <f>VLOOKUP($A174, 'Medical Examinations'!$A:$D,3, FALSE)</f>
        <v>6.24</v>
      </c>
      <c r="E174" s="22" t="str">
        <f>VLOOKUP($A174, 'Medical Examinations'!$A:$D, 4, FALSE)</f>
        <v>Yes</v>
      </c>
      <c r="F174" s="22" t="str">
        <f>VLOOKUP($A174, 'Medical Examinations'!$A:$J, 5, FALSE)</f>
        <v>No</v>
      </c>
      <c r="G174" s="22" t="str">
        <f>VLOOKUP($A174, 'Medical Examinations'!$A:$I, 6, FALSE)</f>
        <v>No</v>
      </c>
      <c r="H174" s="22">
        <f>VLOOKUP($A174,'Medical Examinations'!$A:$L,10, FALSE)</f>
        <v>1</v>
      </c>
      <c r="I174" s="22" t="str">
        <f>VLOOKUP($A174, 'Medical Examinations'!$A:$J, 9, FALSE)</f>
        <v>Yes</v>
      </c>
      <c r="J174" s="22" t="str">
        <f>VLOOKUP($A174, 'Medical Examinations'!$A:$P, 11, FALSE)</f>
        <v>OBESITY</v>
      </c>
      <c r="K174" s="34">
        <v>26568.0</v>
      </c>
      <c r="L174" s="35">
        <f>VLOOKUP($A174, 'Hospitalisation Details'!$A:$H, 7, FALSE)</f>
        <v>37076.37</v>
      </c>
      <c r="M174" s="22" t="str">
        <f>VLOOKUP($A174, 'Hospitalisation Details'!$A:$L, 12, FALSE)</f>
        <v>tier - 2</v>
      </c>
      <c r="N174" s="22" t="str">
        <f>VLOOKUP($A174, 'Hospitalisation Details'!$A:$M, 13, FALSE)</f>
        <v>tier - 1</v>
      </c>
      <c r="O174" s="22" t="str">
        <f>VLOOKUP($A174, 'Hospitalisation Details'!$A:$N, 14, FALSE)</f>
        <v>R1011</v>
      </c>
      <c r="P174" s="36">
        <f>VLOOKUP($A174, 'Hospitalisation Details'!$A:$O, 15, FALSE)</f>
        <v>34</v>
      </c>
    </row>
    <row r="175" ht="15.75" customHeight="1">
      <c r="A175" s="33" t="s">
        <v>349</v>
      </c>
      <c r="B175" s="22" t="str">
        <f>VLOOKUP($A175,'Customer Names'!$A:$D,3, FALSE)</f>
        <v>Scheer</v>
      </c>
      <c r="C175" s="22">
        <f>VLOOKUP($A175,'Medical Examinations'!$A:$D, 2, FALSE)</f>
        <v>49.24</v>
      </c>
      <c r="D175" s="22">
        <f>VLOOKUP($A175, 'Medical Examinations'!$A:$D,3, FALSE)</f>
        <v>4.45</v>
      </c>
      <c r="E175" s="22" t="str">
        <f>VLOOKUP($A175, 'Medical Examinations'!$A:$D, 4, FALSE)</f>
        <v>No</v>
      </c>
      <c r="F175" s="22" t="str">
        <f>VLOOKUP($A175, 'Medical Examinations'!$A:$J, 5, FALSE)</f>
        <v>No</v>
      </c>
      <c r="G175" s="22" t="str">
        <f>VLOOKUP($A175, 'Medical Examinations'!$A:$I, 6, FALSE)</f>
        <v>No</v>
      </c>
      <c r="H175" s="22">
        <f>VLOOKUP($A175,'Medical Examinations'!$A:$L,10, FALSE)</f>
        <v>0</v>
      </c>
      <c r="I175" s="22" t="str">
        <f>VLOOKUP($A175, 'Medical Examinations'!$A:$J, 9, FALSE)</f>
        <v>Yes</v>
      </c>
      <c r="J175" s="22" t="str">
        <f>VLOOKUP($A175, 'Medical Examinations'!$A:$P, 11, FALSE)</f>
        <v>OBESITY</v>
      </c>
      <c r="K175" s="34">
        <v>26478.0</v>
      </c>
      <c r="L175" s="35">
        <f>VLOOKUP($A175, 'Hospitalisation Details'!$A:$H, 7, FALSE)</f>
        <v>37040.88</v>
      </c>
      <c r="M175" s="22" t="str">
        <f>VLOOKUP($A175, 'Hospitalisation Details'!$A:$L, 12, FALSE)</f>
        <v>tier - 2</v>
      </c>
      <c r="N175" s="22" t="str">
        <f>VLOOKUP($A175, 'Hospitalisation Details'!$A:$M, 13, FALSE)</f>
        <v>tier - 2</v>
      </c>
      <c r="O175" s="22" t="str">
        <f>VLOOKUP($A175, 'Hospitalisation Details'!$A:$N, 14, FALSE)</f>
        <v>R1011</v>
      </c>
      <c r="P175" s="36">
        <f>VLOOKUP($A175, 'Hospitalisation Details'!$A:$O, 15, FALSE)</f>
        <v>31</v>
      </c>
    </row>
    <row r="176" ht="15.75" customHeight="1">
      <c r="A176" s="33" t="s">
        <v>351</v>
      </c>
      <c r="B176" s="22" t="str">
        <f>VLOOKUP($A176,'Customer Names'!$A:$D,3, FALSE)</f>
        <v>Rankin</v>
      </c>
      <c r="C176" s="22">
        <f>VLOOKUP($A176,'Medical Examinations'!$A:$D, 2, FALSE)</f>
        <v>54.4</v>
      </c>
      <c r="D176" s="22">
        <f>VLOOKUP($A176, 'Medical Examinations'!$A:$D,3, FALSE)</f>
        <v>5.22</v>
      </c>
      <c r="E176" s="22" t="str">
        <f>VLOOKUP($A176, 'Medical Examinations'!$A:$D, 4, FALSE)</f>
        <v>No</v>
      </c>
      <c r="F176" s="22" t="str">
        <f>VLOOKUP($A176, 'Medical Examinations'!$A:$J, 5, FALSE)</f>
        <v>No</v>
      </c>
      <c r="G176" s="22" t="str">
        <f>VLOOKUP($A176, 'Medical Examinations'!$A:$I, 6, FALSE)</f>
        <v>No</v>
      </c>
      <c r="H176" s="22">
        <f>VLOOKUP($A176,'Medical Examinations'!$A:$L,10, FALSE)</f>
        <v>1</v>
      </c>
      <c r="I176" s="22" t="str">
        <f>VLOOKUP($A176, 'Medical Examinations'!$A:$J, 9, FALSE)</f>
        <v>Yes</v>
      </c>
      <c r="J176" s="22" t="str">
        <f>VLOOKUP($A176, 'Medical Examinations'!$A:$P, 11, FALSE)</f>
        <v>OBESITY</v>
      </c>
      <c r="K176" s="34">
        <v>27015.0</v>
      </c>
      <c r="L176" s="35">
        <f>VLOOKUP($A176, 'Hospitalisation Details'!$A:$H, 7, FALSE)</f>
        <v>36976.45</v>
      </c>
      <c r="M176" s="22" t="str">
        <f>VLOOKUP($A176, 'Hospitalisation Details'!$A:$L, 12, FALSE)</f>
        <v>tier - 2</v>
      </c>
      <c r="N176" s="22" t="str">
        <f>VLOOKUP($A176, 'Hospitalisation Details'!$A:$M, 13, FALSE)</f>
        <v>tier - 3</v>
      </c>
      <c r="O176" s="22" t="str">
        <f>VLOOKUP($A176, 'Hospitalisation Details'!$A:$N, 14, FALSE)</f>
        <v>R1011</v>
      </c>
      <c r="P176" s="36">
        <f>VLOOKUP($A176, 'Hospitalisation Details'!$A:$O, 15, FALSE)</f>
        <v>30</v>
      </c>
    </row>
    <row r="177" ht="15.75" customHeight="1">
      <c r="A177" s="33" t="s">
        <v>353</v>
      </c>
      <c r="B177" s="22" t="str">
        <f>VLOOKUP($A177,'Customer Names'!$A:$D,3, FALSE)</f>
        <v>Ricardi</v>
      </c>
      <c r="C177" s="22">
        <f>VLOOKUP($A177,'Medical Examinations'!$A:$D, 2, FALSE)</f>
        <v>35.53</v>
      </c>
      <c r="D177" s="22">
        <f>VLOOKUP($A177, 'Medical Examinations'!$A:$D,3, FALSE)</f>
        <v>4.61</v>
      </c>
      <c r="E177" s="22" t="str">
        <f>VLOOKUP($A177, 'Medical Examinations'!$A:$D, 4, FALSE)</f>
        <v>No</v>
      </c>
      <c r="F177" s="22" t="str">
        <f>VLOOKUP($A177, 'Medical Examinations'!$A:$J, 5, FALSE)</f>
        <v>No</v>
      </c>
      <c r="G177" s="22" t="str">
        <f>VLOOKUP($A177, 'Medical Examinations'!$A:$I, 6, FALSE)</f>
        <v>No</v>
      </c>
      <c r="H177" s="22">
        <f>VLOOKUP($A177,'Medical Examinations'!$A:$L,10, FALSE)</f>
        <v>1</v>
      </c>
      <c r="I177" s="22" t="str">
        <f>VLOOKUP($A177, 'Medical Examinations'!$A:$J, 9, FALSE)</f>
        <v>Yes</v>
      </c>
      <c r="J177" s="22" t="str">
        <f>VLOOKUP($A177, 'Medical Examinations'!$A:$P, 11, FALSE)</f>
        <v>OBESITY</v>
      </c>
      <c r="K177" s="34">
        <v>26924.0</v>
      </c>
      <c r="L177" s="35">
        <f>VLOOKUP($A177, 'Hospitalisation Details'!$A:$H, 7, FALSE)</f>
        <v>36950.26</v>
      </c>
      <c r="M177" s="22" t="str">
        <f>VLOOKUP($A177, 'Hospitalisation Details'!$A:$L, 12, FALSE)</f>
        <v>tier - 1</v>
      </c>
      <c r="N177" s="22" t="str">
        <f>VLOOKUP($A177, 'Hospitalisation Details'!$A:$M, 13, FALSE)</f>
        <v>tier - 1</v>
      </c>
      <c r="O177" s="22" t="str">
        <f>VLOOKUP($A177, 'Hospitalisation Details'!$A:$N, 14, FALSE)</f>
        <v>R1013</v>
      </c>
      <c r="P177" s="36">
        <f>VLOOKUP($A177, 'Hospitalisation Details'!$A:$O, 15, FALSE)</f>
        <v>30</v>
      </c>
    </row>
    <row r="178" ht="15.75" customHeight="1">
      <c r="A178" s="33" t="s">
        <v>355</v>
      </c>
      <c r="B178" s="22" t="str">
        <f>VLOOKUP($A178,'Customer Names'!$A:$D,3, FALSE)</f>
        <v>Karkos</v>
      </c>
      <c r="C178" s="22">
        <f>VLOOKUP($A178,'Medical Examinations'!$A:$D, 2, FALSE)</f>
        <v>39.73</v>
      </c>
      <c r="D178" s="22">
        <f>VLOOKUP($A178, 'Medical Examinations'!$A:$D,3, FALSE)</f>
        <v>6.24</v>
      </c>
      <c r="E178" s="22" t="str">
        <f>VLOOKUP($A178, 'Medical Examinations'!$A:$D, 4, FALSE)</f>
        <v>No</v>
      </c>
      <c r="F178" s="22" t="str">
        <f>VLOOKUP($A178, 'Medical Examinations'!$A:$J, 5, FALSE)</f>
        <v>No</v>
      </c>
      <c r="G178" s="22" t="str">
        <f>VLOOKUP($A178, 'Medical Examinations'!$A:$I, 6, FALSE)</f>
        <v>No</v>
      </c>
      <c r="H178" s="22">
        <f>VLOOKUP($A178,'Medical Examinations'!$A:$L,10, FALSE)</f>
        <v>0</v>
      </c>
      <c r="I178" s="22" t="str">
        <f>VLOOKUP($A178, 'Medical Examinations'!$A:$J, 9, FALSE)</f>
        <v>Yes</v>
      </c>
      <c r="J178" s="22" t="str">
        <f>VLOOKUP($A178, 'Medical Examinations'!$A:$P, 11, FALSE)</f>
        <v>OBESITY</v>
      </c>
      <c r="K178" s="34">
        <v>28283.0</v>
      </c>
      <c r="L178" s="35">
        <f>VLOOKUP($A178, 'Hospitalisation Details'!$A:$H, 7, FALSE)</f>
        <v>36935.64</v>
      </c>
      <c r="M178" s="22" t="str">
        <f>VLOOKUP($A178, 'Hospitalisation Details'!$A:$L, 12, FALSE)</f>
        <v>tier - 2</v>
      </c>
      <c r="N178" s="22" t="str">
        <f>VLOOKUP($A178, 'Hospitalisation Details'!$A:$M, 13, FALSE)</f>
        <v>tier - 1</v>
      </c>
      <c r="O178" s="22" t="str">
        <f>VLOOKUP($A178, 'Hospitalisation Details'!$A:$N, 14, FALSE)</f>
        <v>R1011</v>
      </c>
      <c r="P178" s="36">
        <f>VLOOKUP($A178, 'Hospitalisation Details'!$A:$O, 15, FALSE)</f>
        <v>45</v>
      </c>
    </row>
    <row r="179" ht="15.75" customHeight="1">
      <c r="A179" s="33" t="s">
        <v>357</v>
      </c>
      <c r="B179" s="22" t="str">
        <f>VLOOKUP($A179,'Customer Names'!$A:$D,3, FALSE)</f>
        <v>Price-Dierksen</v>
      </c>
      <c r="C179" s="22">
        <f>VLOOKUP($A179,'Medical Examinations'!$A:$D, 2, FALSE)</f>
        <v>35.68</v>
      </c>
      <c r="D179" s="22">
        <f>VLOOKUP($A179, 'Medical Examinations'!$A:$D,3, FALSE)</f>
        <v>10.04</v>
      </c>
      <c r="E179" s="22" t="str">
        <f>VLOOKUP($A179, 'Medical Examinations'!$A:$D, 4, FALSE)</f>
        <v>No</v>
      </c>
      <c r="F179" s="22" t="str">
        <f>VLOOKUP($A179, 'Medical Examinations'!$A:$J, 5, FALSE)</f>
        <v>No</v>
      </c>
      <c r="G179" s="22" t="str">
        <f>VLOOKUP($A179, 'Medical Examinations'!$A:$I, 6, FALSE)</f>
        <v>No</v>
      </c>
      <c r="H179" s="22">
        <f>VLOOKUP($A179,'Medical Examinations'!$A:$L,10, FALSE)</f>
        <v>0</v>
      </c>
      <c r="I179" s="22" t="str">
        <f>VLOOKUP($A179, 'Medical Examinations'!$A:$J, 9, FALSE)</f>
        <v>Yes</v>
      </c>
      <c r="J179" s="22" t="str">
        <f>VLOOKUP($A179, 'Medical Examinations'!$A:$P, 11, FALSE)</f>
        <v>OBESITY</v>
      </c>
      <c r="K179" s="34">
        <v>35285.0</v>
      </c>
      <c r="L179" s="35">
        <f>VLOOKUP($A179, 'Hospitalisation Details'!$A:$H, 7, FALSE)</f>
        <v>36922.61</v>
      </c>
      <c r="M179" s="22" t="str">
        <f>VLOOKUP($A179, 'Hospitalisation Details'!$A:$L, 12, FALSE)</f>
        <v>tier - 2</v>
      </c>
      <c r="N179" s="22" t="str">
        <f>VLOOKUP($A179, 'Hospitalisation Details'!$A:$M, 13, FALSE)</f>
        <v>tier - 1</v>
      </c>
      <c r="O179" s="22" t="str">
        <f>VLOOKUP($A179, 'Hospitalisation Details'!$A:$N, 14, FALSE)</f>
        <v>R1011</v>
      </c>
      <c r="P179" s="36">
        <f>VLOOKUP($A179, 'Hospitalisation Details'!$A:$O, 15, FALSE)</f>
        <v>54</v>
      </c>
    </row>
    <row r="180" ht="15.75" customHeight="1">
      <c r="A180" s="33" t="s">
        <v>359</v>
      </c>
      <c r="B180" s="22" t="str">
        <f>VLOOKUP($A180,'Customer Names'!$A:$D,3, FALSE)</f>
        <v>Knispel</v>
      </c>
      <c r="C180" s="22">
        <f>VLOOKUP($A180,'Medical Examinations'!$A:$D, 2, FALSE)</f>
        <v>48.86</v>
      </c>
      <c r="D180" s="22">
        <f>VLOOKUP($A180, 'Medical Examinations'!$A:$D,3, FALSE)</f>
        <v>6.09</v>
      </c>
      <c r="E180" s="22" t="str">
        <f>VLOOKUP($A180, 'Medical Examinations'!$A:$D, 4, FALSE)</f>
        <v>No</v>
      </c>
      <c r="F180" s="22" t="str">
        <f>VLOOKUP($A180, 'Medical Examinations'!$A:$J, 5, FALSE)</f>
        <v>No</v>
      </c>
      <c r="G180" s="22" t="str">
        <f>VLOOKUP($A180, 'Medical Examinations'!$A:$I, 6, FALSE)</f>
        <v>No</v>
      </c>
      <c r="H180" s="22">
        <f>VLOOKUP($A180,'Medical Examinations'!$A:$L,10, FALSE)</f>
        <v>0</v>
      </c>
      <c r="I180" s="22" t="str">
        <f>VLOOKUP($A180, 'Medical Examinations'!$A:$J, 9, FALSE)</f>
        <v>Yes</v>
      </c>
      <c r="J180" s="22" t="str">
        <f>VLOOKUP($A180, 'Medical Examinations'!$A:$P, 11, FALSE)</f>
        <v>OBESITY</v>
      </c>
      <c r="K180" s="34">
        <v>26852.0</v>
      </c>
      <c r="L180" s="35">
        <f>VLOOKUP($A180, 'Hospitalisation Details'!$A:$H, 7, FALSE)</f>
        <v>36911.99</v>
      </c>
      <c r="M180" s="22" t="str">
        <f>VLOOKUP($A180, 'Hospitalisation Details'!$A:$L, 12, FALSE)</f>
        <v>tier - 2</v>
      </c>
      <c r="N180" s="22" t="str">
        <f>VLOOKUP($A180, 'Hospitalisation Details'!$A:$M, 13, FALSE)</f>
        <v>tier - 2</v>
      </c>
      <c r="O180" s="22" t="str">
        <f>VLOOKUP($A180, 'Hospitalisation Details'!$A:$N, 14, FALSE)</f>
        <v>R1011</v>
      </c>
      <c r="P180" s="36">
        <f>VLOOKUP($A180, 'Hospitalisation Details'!$A:$O, 15, FALSE)</f>
        <v>31</v>
      </c>
    </row>
    <row r="181" ht="15.75" customHeight="1">
      <c r="A181" s="33" t="s">
        <v>361</v>
      </c>
      <c r="B181" s="22" t="str">
        <f>VLOOKUP($A181,'Customer Names'!$A:$D,3, FALSE)</f>
        <v>King</v>
      </c>
      <c r="C181" s="22">
        <f>VLOOKUP($A181,'Medical Examinations'!$A:$D, 2, FALSE)</f>
        <v>34.8</v>
      </c>
      <c r="D181" s="22">
        <f>VLOOKUP($A181, 'Medical Examinations'!$A:$D,3, FALSE)</f>
        <v>11.4</v>
      </c>
      <c r="E181" s="22" t="str">
        <f>VLOOKUP($A181, 'Medical Examinations'!$A:$D, 4, FALSE)</f>
        <v>Yes</v>
      </c>
      <c r="F181" s="22" t="str">
        <f>VLOOKUP($A181, 'Medical Examinations'!$A:$J, 5, FALSE)</f>
        <v>No</v>
      </c>
      <c r="G181" s="22" t="str">
        <f>VLOOKUP($A181, 'Medical Examinations'!$A:$I, 6, FALSE)</f>
        <v>Yes</v>
      </c>
      <c r="H181" s="22">
        <f>VLOOKUP($A181,'Medical Examinations'!$A:$L,10, FALSE)</f>
        <v>1</v>
      </c>
      <c r="I181" s="22" t="str">
        <f>VLOOKUP($A181, 'Medical Examinations'!$A:$J, 9, FALSE)</f>
        <v>No</v>
      </c>
      <c r="J181" s="22" t="str">
        <f>VLOOKUP($A181, 'Medical Examinations'!$A:$P, 11, FALSE)</f>
        <v>OBESITY</v>
      </c>
      <c r="K181" s="34">
        <v>23990.0</v>
      </c>
      <c r="L181" s="35">
        <f>VLOOKUP($A181, 'Hospitalisation Details'!$A:$H, 7, FALSE)</f>
        <v>36910.61</v>
      </c>
      <c r="M181" s="22" t="str">
        <f>VLOOKUP($A181, 'Hospitalisation Details'!$A:$L, 12, FALSE)</f>
        <v>tier - 2</v>
      </c>
      <c r="N181" s="22" t="str">
        <f>VLOOKUP($A181, 'Hospitalisation Details'!$A:$M, 13, FALSE)</f>
        <v>tier - 2</v>
      </c>
      <c r="O181" s="22" t="str">
        <f>VLOOKUP($A181, 'Hospitalisation Details'!$A:$N, 14, FALSE)</f>
        <v>R1011</v>
      </c>
      <c r="P181" s="36">
        <f>VLOOKUP($A181, 'Hospitalisation Details'!$A:$O, 15, FALSE)</f>
        <v>59</v>
      </c>
    </row>
    <row r="182" ht="15.75" customHeight="1">
      <c r="A182" s="33" t="s">
        <v>363</v>
      </c>
      <c r="B182" s="22" t="str">
        <f>VLOOKUP($A182,'Customer Names'!$A:$D,3, FALSE)</f>
        <v>Samuelson</v>
      </c>
      <c r="C182" s="22">
        <f>VLOOKUP($A182,'Medical Examinations'!$A:$D, 2, FALSE)</f>
        <v>32.49</v>
      </c>
      <c r="D182" s="22">
        <f>VLOOKUP($A182, 'Medical Examinations'!$A:$D,3, FALSE)</f>
        <v>4.29</v>
      </c>
      <c r="E182" s="22" t="str">
        <f>VLOOKUP($A182, 'Medical Examinations'!$A:$D, 4, FALSE)</f>
        <v>No</v>
      </c>
      <c r="F182" s="22" t="str">
        <f>VLOOKUP($A182, 'Medical Examinations'!$A:$J, 5, FALSE)</f>
        <v>No</v>
      </c>
      <c r="G182" s="22" t="str">
        <f>VLOOKUP($A182, 'Medical Examinations'!$A:$I, 6, FALSE)</f>
        <v>Yes</v>
      </c>
      <c r="H182" s="22">
        <f>VLOOKUP($A182,'Medical Examinations'!$A:$L,10, FALSE)</f>
        <v>1</v>
      </c>
      <c r="I182" s="22" t="str">
        <f>VLOOKUP($A182, 'Medical Examinations'!$A:$J, 9, FALSE)</f>
        <v>Yes</v>
      </c>
      <c r="J182" s="22" t="str">
        <f>VLOOKUP($A182, 'Medical Examinations'!$A:$P, 11, FALSE)</f>
        <v>OBESITY</v>
      </c>
      <c r="K182" s="34">
        <v>37086.0</v>
      </c>
      <c r="L182" s="35">
        <f>VLOOKUP($A182, 'Hospitalisation Details'!$A:$H, 7, FALSE)</f>
        <v>36898.73</v>
      </c>
      <c r="M182" s="22" t="str">
        <f>VLOOKUP($A182, 'Hospitalisation Details'!$A:$L, 12, FALSE)</f>
        <v>tier - 2</v>
      </c>
      <c r="N182" s="22" t="str">
        <f>VLOOKUP($A182, 'Hospitalisation Details'!$A:$M, 13, FALSE)</f>
        <v>tier - 1</v>
      </c>
      <c r="O182" s="22" t="str">
        <f>VLOOKUP($A182, 'Hospitalisation Details'!$A:$N, 14, FALSE)</f>
        <v>R1012</v>
      </c>
      <c r="P182" s="36">
        <f>VLOOKUP($A182, 'Hospitalisation Details'!$A:$O, 15, FALSE)</f>
        <v>19</v>
      </c>
    </row>
    <row r="183" ht="15.75" customHeight="1">
      <c r="A183" s="33" t="s">
        <v>365</v>
      </c>
      <c r="B183" s="22" t="str">
        <f>VLOOKUP($A183,'Customer Names'!$A:$D,3, FALSE)</f>
        <v>Fredsall</v>
      </c>
      <c r="C183" s="22">
        <f>VLOOKUP($A183,'Medical Examinations'!$A:$D, 2, FALSE)</f>
        <v>39</v>
      </c>
      <c r="D183" s="22">
        <f>VLOOKUP($A183, 'Medical Examinations'!$A:$D,3, FALSE)</f>
        <v>5.7</v>
      </c>
      <c r="E183" s="22" t="str">
        <f>VLOOKUP($A183, 'Medical Examinations'!$A:$D, 4, FALSE)</f>
        <v>No</v>
      </c>
      <c r="F183" s="22" t="str">
        <f>VLOOKUP($A183, 'Medical Examinations'!$A:$J, 5, FALSE)</f>
        <v>No</v>
      </c>
      <c r="G183" s="22" t="str">
        <f>VLOOKUP($A183, 'Medical Examinations'!$A:$I, 6, FALSE)</f>
        <v>No</v>
      </c>
      <c r="H183" s="22">
        <f>VLOOKUP($A183,'Medical Examinations'!$A:$L,10, FALSE)</f>
        <v>2</v>
      </c>
      <c r="I183" s="22" t="str">
        <f>VLOOKUP($A183, 'Medical Examinations'!$A:$J, 9, FALSE)</f>
        <v>Yes</v>
      </c>
      <c r="J183" s="22" t="str">
        <f>VLOOKUP($A183, 'Medical Examinations'!$A:$P, 11, FALSE)</f>
        <v>OBESITY</v>
      </c>
      <c r="K183" s="34">
        <v>25753.0</v>
      </c>
      <c r="L183" s="35">
        <f>VLOOKUP($A183, 'Hospitalisation Details'!$A:$H, 7, FALSE)</f>
        <v>36889.99</v>
      </c>
      <c r="M183" s="22" t="str">
        <f>VLOOKUP($A183, 'Hospitalisation Details'!$A:$L, 12, FALSE)</f>
        <v>tier - 1</v>
      </c>
      <c r="N183" s="22" t="str">
        <f>VLOOKUP($A183, 'Hospitalisation Details'!$A:$M, 13, FALSE)</f>
        <v>tier - 3</v>
      </c>
      <c r="O183" s="22" t="str">
        <f>VLOOKUP($A183, 'Hospitalisation Details'!$A:$N, 14, FALSE)</f>
        <v>R1011</v>
      </c>
      <c r="P183" s="36">
        <f>VLOOKUP($A183, 'Hospitalisation Details'!$A:$O, 15, FALSE)</f>
        <v>50</v>
      </c>
    </row>
    <row r="184" ht="15.75" customHeight="1">
      <c r="A184" s="33" t="s">
        <v>367</v>
      </c>
      <c r="B184" s="22" t="str">
        <f>VLOOKUP($A184,'Customer Names'!$A:$D,3, FALSE)</f>
        <v>Eggleston</v>
      </c>
      <c r="C184" s="22">
        <f>VLOOKUP($A184,'Medical Examinations'!$A:$D, 2, FALSE)</f>
        <v>35.3</v>
      </c>
      <c r="D184" s="22">
        <f>VLOOKUP($A184, 'Medical Examinations'!$A:$D,3, FALSE)</f>
        <v>6.09</v>
      </c>
      <c r="E184" s="22" t="str">
        <f>VLOOKUP($A184, 'Medical Examinations'!$A:$D, 4, FALSE)</f>
        <v>No</v>
      </c>
      <c r="F184" s="22" t="str">
        <f>VLOOKUP($A184, 'Medical Examinations'!$A:$J, 5, FALSE)</f>
        <v>No</v>
      </c>
      <c r="G184" s="22" t="str">
        <f>VLOOKUP($A184, 'Medical Examinations'!$A:$I, 6, FALSE)</f>
        <v>No</v>
      </c>
      <c r="H184" s="22">
        <f>VLOOKUP($A184,'Medical Examinations'!$A:$L,10, FALSE)</f>
        <v>1</v>
      </c>
      <c r="I184" s="22" t="str">
        <f>VLOOKUP($A184, 'Medical Examinations'!$A:$J, 9, FALSE)</f>
        <v>Yes</v>
      </c>
      <c r="J184" s="22" t="str">
        <f>VLOOKUP($A184, 'Medical Examinations'!$A:$P, 11, FALSE)</f>
        <v>OBESITY</v>
      </c>
      <c r="K184" s="34">
        <v>25798.0</v>
      </c>
      <c r="L184" s="35">
        <f>VLOOKUP($A184, 'Hospitalisation Details'!$A:$H, 7, FALSE)</f>
        <v>36837.47</v>
      </c>
      <c r="M184" s="22" t="str">
        <f>VLOOKUP($A184, 'Hospitalisation Details'!$A:$L, 12, FALSE)</f>
        <v>tier - 2</v>
      </c>
      <c r="N184" s="22" t="str">
        <f>VLOOKUP($A184, 'Hospitalisation Details'!$A:$M, 13, FALSE)</f>
        <v>tier - 3</v>
      </c>
      <c r="O184" s="22" t="str">
        <f>VLOOKUP($A184, 'Hospitalisation Details'!$A:$N, 14, FALSE)</f>
        <v>R1011</v>
      </c>
      <c r="P184" s="36">
        <f>VLOOKUP($A184, 'Hospitalisation Details'!$A:$O, 15, FALSE)</f>
        <v>30</v>
      </c>
    </row>
    <row r="185" ht="15.75" customHeight="1">
      <c r="A185" s="33" t="s">
        <v>369</v>
      </c>
      <c r="B185" s="22" t="str">
        <f>VLOOKUP($A185,'Customer Names'!$A:$D,3, FALSE)</f>
        <v>Palombaro</v>
      </c>
      <c r="C185" s="22">
        <f>VLOOKUP($A185,'Medical Examinations'!$A:$D, 2, FALSE)</f>
        <v>33.42</v>
      </c>
      <c r="D185" s="22">
        <f>VLOOKUP($A185, 'Medical Examinations'!$A:$D,3, FALSE)</f>
        <v>10.67</v>
      </c>
      <c r="E185" s="22" t="str">
        <f>VLOOKUP($A185, 'Medical Examinations'!$A:$D, 4, FALSE)</f>
        <v>No</v>
      </c>
      <c r="F185" s="22" t="str">
        <f>VLOOKUP($A185, 'Medical Examinations'!$A:$J, 5, FALSE)</f>
        <v>No</v>
      </c>
      <c r="G185" s="22" t="str">
        <f>VLOOKUP($A185, 'Medical Examinations'!$A:$I, 6, FALSE)</f>
        <v>No</v>
      </c>
      <c r="H185" s="22">
        <f>VLOOKUP($A185,'Medical Examinations'!$A:$L,10, FALSE)</f>
        <v>0</v>
      </c>
      <c r="I185" s="22" t="str">
        <f>VLOOKUP($A185, 'Medical Examinations'!$A:$J, 9, FALSE)</f>
        <v>Yes</v>
      </c>
      <c r="J185" s="22" t="str">
        <f>VLOOKUP($A185, 'Medical Examinations'!$A:$P, 11, FALSE)</f>
        <v>OBESITY</v>
      </c>
      <c r="K185" s="34">
        <v>25823.0</v>
      </c>
      <c r="L185" s="35">
        <f>VLOOKUP($A185, 'Hospitalisation Details'!$A:$H, 7, FALSE)</f>
        <v>36795.29</v>
      </c>
      <c r="M185" s="22" t="str">
        <f>VLOOKUP($A185, 'Hospitalisation Details'!$A:$L, 12, FALSE)</f>
        <v>tier - 2</v>
      </c>
      <c r="N185" s="22" t="str">
        <f>VLOOKUP($A185, 'Hospitalisation Details'!$A:$M, 13, FALSE)</f>
        <v>tier - 1</v>
      </c>
      <c r="O185" s="22" t="str">
        <f>VLOOKUP($A185, 'Hospitalisation Details'!$A:$N, 14, FALSE)</f>
        <v>R1011</v>
      </c>
      <c r="P185" s="36">
        <f>VLOOKUP($A185, 'Hospitalisation Details'!$A:$O, 15, FALSE)</f>
        <v>57</v>
      </c>
    </row>
    <row r="186" ht="15.75" customHeight="1">
      <c r="A186" s="33" t="s">
        <v>371</v>
      </c>
      <c r="B186" s="22" t="str">
        <f>VLOOKUP($A186,'Customer Names'!$A:$D,3, FALSE)</f>
        <v>Silva</v>
      </c>
      <c r="C186" s="22">
        <f>VLOOKUP($A186,'Medical Examinations'!$A:$D, 2, FALSE)</f>
        <v>37.18</v>
      </c>
      <c r="D186" s="22">
        <f>VLOOKUP($A186, 'Medical Examinations'!$A:$D,3, FALSE)</f>
        <v>6.75</v>
      </c>
      <c r="E186" s="22" t="str">
        <f>VLOOKUP($A186, 'Medical Examinations'!$A:$D, 4, FALSE)</f>
        <v>Yes</v>
      </c>
      <c r="F186" s="22" t="str">
        <f>VLOOKUP($A186, 'Medical Examinations'!$A:$J, 5, FALSE)</f>
        <v>No</v>
      </c>
      <c r="G186" s="22" t="str">
        <f>VLOOKUP($A186, 'Medical Examinations'!$A:$I, 6, FALSE)</f>
        <v>No</v>
      </c>
      <c r="H186" s="22">
        <f>VLOOKUP($A186,'Medical Examinations'!$A:$L,10, FALSE)</f>
        <v>2</v>
      </c>
      <c r="I186" s="22" t="str">
        <f>VLOOKUP($A186, 'Medical Examinations'!$A:$J, 9, FALSE)</f>
        <v>Yes</v>
      </c>
      <c r="J186" s="22" t="str">
        <f>VLOOKUP($A186, 'Medical Examinations'!$A:$P, 11, FALSE)</f>
        <v>OBESITY</v>
      </c>
      <c r="K186" s="34">
        <v>27572.0</v>
      </c>
      <c r="L186" s="35">
        <f>VLOOKUP($A186, 'Hospitalisation Details'!$A:$H, 7, FALSE)</f>
        <v>36786.37</v>
      </c>
      <c r="M186" s="22" t="str">
        <f>VLOOKUP($A186, 'Hospitalisation Details'!$A:$L, 12, FALSE)</f>
        <v>tier - 1</v>
      </c>
      <c r="N186" s="22" t="str">
        <f>VLOOKUP($A186, 'Hospitalisation Details'!$A:$M, 13, FALSE)</f>
        <v>tier - 1</v>
      </c>
      <c r="O186" s="22" t="str">
        <f>VLOOKUP($A186, 'Hospitalisation Details'!$A:$N, 14, FALSE)</f>
        <v>R1011</v>
      </c>
      <c r="P186" s="36">
        <f>VLOOKUP($A186, 'Hospitalisation Details'!$A:$O, 15, FALSE)</f>
        <v>52</v>
      </c>
    </row>
    <row r="187" ht="15.75" customHeight="1">
      <c r="A187" s="33" t="s">
        <v>373</v>
      </c>
      <c r="B187" s="22" t="str">
        <f>VLOOKUP($A187,'Customer Names'!$A:$D,3, FALSE)</f>
        <v>Bugala</v>
      </c>
      <c r="C187" s="22">
        <f>VLOOKUP($A187,'Medical Examinations'!$A:$D, 2, FALSE)</f>
        <v>33.33</v>
      </c>
      <c r="D187" s="22">
        <f>VLOOKUP($A187, 'Medical Examinations'!$A:$D,3, FALSE)</f>
        <v>9.26</v>
      </c>
      <c r="E187" s="22" t="str">
        <f>VLOOKUP($A187, 'Medical Examinations'!$A:$D, 4, FALSE)</f>
        <v>Yes</v>
      </c>
      <c r="F187" s="22" t="str">
        <f>VLOOKUP($A187, 'Medical Examinations'!$A:$J, 5, FALSE)</f>
        <v>No</v>
      </c>
      <c r="G187" s="22" t="str">
        <f>VLOOKUP($A187, 'Medical Examinations'!$A:$I, 6, FALSE)</f>
        <v>No</v>
      </c>
      <c r="H187" s="22">
        <f>VLOOKUP($A187,'Medical Examinations'!$A:$L,10, FALSE)</f>
        <v>2</v>
      </c>
      <c r="I187" s="22" t="str">
        <f>VLOOKUP($A187, 'Medical Examinations'!$A:$J, 9, FALSE)</f>
        <v>No</v>
      </c>
      <c r="J187" s="22" t="str">
        <f>VLOOKUP($A187, 'Medical Examinations'!$A:$P, 11, FALSE)</f>
        <v>OBESITY</v>
      </c>
      <c r="K187" s="34">
        <v>28349.0</v>
      </c>
      <c r="L187" s="35">
        <f>VLOOKUP($A187, 'Hospitalisation Details'!$A:$H, 7, FALSE)</f>
        <v>36580.28</v>
      </c>
      <c r="M187" s="22" t="str">
        <f>VLOOKUP($A187, 'Hospitalisation Details'!$A:$L, 12, FALSE)</f>
        <v>tier - 2</v>
      </c>
      <c r="N187" s="22" t="str">
        <f>VLOOKUP($A187, 'Hospitalisation Details'!$A:$M, 13, FALSE)</f>
        <v>tier - 2</v>
      </c>
      <c r="O187" s="22" t="str">
        <f>VLOOKUP($A187, 'Hospitalisation Details'!$A:$N, 14, FALSE)</f>
        <v>R1013</v>
      </c>
      <c r="P187" s="36">
        <f>VLOOKUP($A187, 'Hospitalisation Details'!$A:$O, 15, FALSE)</f>
        <v>61</v>
      </c>
    </row>
    <row r="188" ht="15.75" customHeight="1">
      <c r="A188" s="33" t="s">
        <v>375</v>
      </c>
      <c r="B188" s="22" t="str">
        <f>VLOOKUP($A188,'Customer Names'!$A:$D,3, FALSE)</f>
        <v>Dublin</v>
      </c>
      <c r="C188" s="22">
        <f>VLOOKUP($A188,'Medical Examinations'!$A:$D, 2, FALSE)</f>
        <v>53.21</v>
      </c>
      <c r="D188" s="22">
        <f>VLOOKUP($A188, 'Medical Examinations'!$A:$D,3, FALSE)</f>
        <v>4.27</v>
      </c>
      <c r="E188" s="22" t="str">
        <f>VLOOKUP($A188, 'Medical Examinations'!$A:$D, 4, FALSE)</f>
        <v>No</v>
      </c>
      <c r="F188" s="22" t="str">
        <f>VLOOKUP($A188, 'Medical Examinations'!$A:$J, 5, FALSE)</f>
        <v>No</v>
      </c>
      <c r="G188" s="22" t="str">
        <f>VLOOKUP($A188, 'Medical Examinations'!$A:$I, 6, FALSE)</f>
        <v>No</v>
      </c>
      <c r="H188" s="22">
        <f>VLOOKUP($A188,'Medical Examinations'!$A:$L,10, FALSE)</f>
        <v>1</v>
      </c>
      <c r="I188" s="22" t="str">
        <f>VLOOKUP($A188, 'Medical Examinations'!$A:$J, 9, FALSE)</f>
        <v>Yes</v>
      </c>
      <c r="J188" s="22" t="str">
        <f>VLOOKUP($A188, 'Medical Examinations'!$A:$P, 11, FALSE)</f>
        <v>OBESITY</v>
      </c>
      <c r="K188" s="34">
        <v>26490.0</v>
      </c>
      <c r="L188" s="35">
        <f>VLOOKUP($A188, 'Hospitalisation Details'!$A:$H, 7, FALSE)</f>
        <v>36572.8</v>
      </c>
      <c r="M188" s="22" t="str">
        <f>VLOOKUP($A188, 'Hospitalisation Details'!$A:$L, 12, FALSE)</f>
        <v>tier - 1</v>
      </c>
      <c r="N188" s="22" t="str">
        <f>VLOOKUP($A188, 'Hospitalisation Details'!$A:$M, 13, FALSE)</f>
        <v>tier - 2</v>
      </c>
      <c r="O188" s="22" t="str">
        <f>VLOOKUP($A188, 'Hospitalisation Details'!$A:$N, 14, FALSE)</f>
        <v>R1011</v>
      </c>
      <c r="P188" s="36">
        <f>VLOOKUP($A188, 'Hospitalisation Details'!$A:$O, 15, FALSE)</f>
        <v>30</v>
      </c>
    </row>
    <row r="189" ht="15.75" customHeight="1">
      <c r="A189" s="33" t="s">
        <v>377</v>
      </c>
      <c r="B189" s="22" t="str">
        <f>VLOOKUP($A189,'Customer Names'!$A:$D,3, FALSE)</f>
        <v>Cleland</v>
      </c>
      <c r="C189" s="22">
        <f>VLOOKUP($A189,'Medical Examinations'!$A:$D, 2, FALSE)</f>
        <v>38.73</v>
      </c>
      <c r="D189" s="22">
        <f>VLOOKUP($A189, 'Medical Examinations'!$A:$D,3, FALSE)</f>
        <v>11.51</v>
      </c>
      <c r="E189" s="22" t="str">
        <f>VLOOKUP($A189, 'Medical Examinations'!$A:$D, 4, FALSE)</f>
        <v>No</v>
      </c>
      <c r="F189" s="22" t="str">
        <f>VLOOKUP($A189, 'Medical Examinations'!$A:$J, 5, FALSE)</f>
        <v>No</v>
      </c>
      <c r="G189" s="22" t="str">
        <f>VLOOKUP($A189, 'Medical Examinations'!$A:$I, 6, FALSE)</f>
        <v>No</v>
      </c>
      <c r="H189" s="22">
        <f>VLOOKUP($A189,'Medical Examinations'!$A:$L,10, FALSE)</f>
        <v>2</v>
      </c>
      <c r="I189" s="22" t="str">
        <f>VLOOKUP($A189, 'Medical Examinations'!$A:$J, 9, FALSE)</f>
        <v>Yes</v>
      </c>
      <c r="J189" s="22" t="str">
        <f>VLOOKUP($A189, 'Medical Examinations'!$A:$P, 11, FALSE)</f>
        <v>OBESITY</v>
      </c>
      <c r="K189" s="34">
        <v>28387.0</v>
      </c>
      <c r="L189" s="35">
        <f>VLOOKUP($A189, 'Hospitalisation Details'!$A:$H, 7, FALSE)</f>
        <v>36541.55</v>
      </c>
      <c r="M189" s="22" t="str">
        <f>VLOOKUP($A189, 'Hospitalisation Details'!$A:$L, 12, FALSE)</f>
        <v>tier - 2</v>
      </c>
      <c r="N189" s="22" t="str">
        <f>VLOOKUP($A189, 'Hospitalisation Details'!$A:$M, 13, FALSE)</f>
        <v>tier - 3</v>
      </c>
      <c r="O189" s="22" t="str">
        <f>VLOOKUP($A189, 'Hospitalisation Details'!$A:$N, 14, FALSE)</f>
        <v>R1011</v>
      </c>
      <c r="P189" s="36">
        <f>VLOOKUP($A189, 'Hospitalisation Details'!$A:$O, 15, FALSE)</f>
        <v>49</v>
      </c>
    </row>
    <row r="190" ht="15.75" customHeight="1">
      <c r="A190" s="33" t="s">
        <v>379</v>
      </c>
      <c r="B190" s="22" t="str">
        <f>VLOOKUP($A190,'Customer Names'!$A:$D,3, FALSE)</f>
        <v>Evans</v>
      </c>
      <c r="C190" s="22">
        <f>VLOOKUP($A190,'Medical Examinations'!$A:$D, 2, FALSE)</f>
        <v>29.73</v>
      </c>
      <c r="D190" s="22">
        <f>VLOOKUP($A190, 'Medical Examinations'!$A:$D,3, FALSE)</f>
        <v>7.22</v>
      </c>
      <c r="E190" s="22" t="str">
        <f>VLOOKUP($A190, 'Medical Examinations'!$A:$D, 4, FALSE)</f>
        <v>No</v>
      </c>
      <c r="F190" s="22" t="str">
        <f>VLOOKUP($A190, 'Medical Examinations'!$A:$J, 5, FALSE)</f>
        <v>No</v>
      </c>
      <c r="G190" s="22" t="str">
        <f>VLOOKUP($A190, 'Medical Examinations'!$A:$I, 6, FALSE)</f>
        <v>No</v>
      </c>
      <c r="H190" s="22">
        <f>VLOOKUP($A190,'Medical Examinations'!$A:$L,10, FALSE)</f>
        <v>0</v>
      </c>
      <c r="I190" s="22" t="str">
        <f>VLOOKUP($A190, 'Medical Examinations'!$A:$J, 9, FALSE)</f>
        <v>Yes</v>
      </c>
      <c r="J190" s="22" t="str">
        <f>VLOOKUP($A190, 'Medical Examinations'!$A:$P, 11, FALSE)</f>
        <v>OVERWEIGHT</v>
      </c>
      <c r="K190" s="34">
        <v>23688.0</v>
      </c>
      <c r="L190" s="35">
        <f>VLOOKUP($A190, 'Hospitalisation Details'!$A:$H, 7, FALSE)</f>
        <v>36445.55</v>
      </c>
      <c r="M190" s="22" t="str">
        <f>VLOOKUP($A190, 'Hospitalisation Details'!$A:$L, 12, FALSE)</f>
        <v>tier - 2</v>
      </c>
      <c r="N190" s="22" t="str">
        <f>VLOOKUP($A190, 'Hospitalisation Details'!$A:$M, 13, FALSE)</f>
        <v>tier - 2</v>
      </c>
      <c r="O190" s="22" t="str">
        <f>VLOOKUP($A190, 'Hospitalisation Details'!$A:$N, 14, FALSE)</f>
        <v>R1011</v>
      </c>
      <c r="P190" s="36">
        <f>VLOOKUP($A190, 'Hospitalisation Details'!$A:$O, 15, FALSE)</f>
        <v>60</v>
      </c>
    </row>
    <row r="191" ht="15.75" customHeight="1">
      <c r="A191" s="33" t="s">
        <v>381</v>
      </c>
      <c r="B191" s="22" t="str">
        <f>VLOOKUP($A191,'Customer Names'!$A:$D,3, FALSE)</f>
        <v>Boyd</v>
      </c>
      <c r="C191" s="22">
        <f>VLOOKUP($A191,'Medical Examinations'!$A:$D, 2, FALSE)</f>
        <v>34.7</v>
      </c>
      <c r="D191" s="22">
        <f>VLOOKUP($A191, 'Medical Examinations'!$A:$D,3, FALSE)</f>
        <v>4.37</v>
      </c>
      <c r="E191" s="22" t="str">
        <f>VLOOKUP($A191, 'Medical Examinations'!$A:$D, 4, FALSE)</f>
        <v>No</v>
      </c>
      <c r="F191" s="22" t="str">
        <f>VLOOKUP($A191, 'Medical Examinations'!$A:$J, 5, FALSE)</f>
        <v>No</v>
      </c>
      <c r="G191" s="22" t="str">
        <f>VLOOKUP($A191, 'Medical Examinations'!$A:$I, 6, FALSE)</f>
        <v>Yes</v>
      </c>
      <c r="H191" s="22">
        <f>VLOOKUP($A191,'Medical Examinations'!$A:$L,10, FALSE)</f>
        <v>1</v>
      </c>
      <c r="I191" s="22" t="str">
        <f>VLOOKUP($A191, 'Medical Examinations'!$A:$J, 9, FALSE)</f>
        <v>Yes</v>
      </c>
      <c r="J191" s="22" t="str">
        <f>VLOOKUP($A191, 'Medical Examinations'!$A:$P, 11, FALSE)</f>
        <v>OBESITY</v>
      </c>
      <c r="K191" s="34">
        <v>24366.0</v>
      </c>
      <c r="L191" s="35">
        <f>VLOOKUP($A191, 'Hospitalisation Details'!$A:$H, 7, FALSE)</f>
        <v>36397.58</v>
      </c>
      <c r="M191" s="22" t="str">
        <f>VLOOKUP($A191, 'Hospitalisation Details'!$A:$L, 12, FALSE)</f>
        <v>tier - 2</v>
      </c>
      <c r="N191" s="22" t="str">
        <f>VLOOKUP($A191, 'Hospitalisation Details'!$A:$M, 13, FALSE)</f>
        <v>tier - 3</v>
      </c>
      <c r="O191" s="22" t="str">
        <f>VLOOKUP($A191, 'Hospitalisation Details'!$A:$N, 14, FALSE)</f>
        <v>R1011</v>
      </c>
      <c r="P191" s="36">
        <f>VLOOKUP($A191, 'Hospitalisation Details'!$A:$O, 15, FALSE)</f>
        <v>19</v>
      </c>
    </row>
    <row r="192" ht="15.75" customHeight="1">
      <c r="A192" s="33" t="s">
        <v>383</v>
      </c>
      <c r="B192" s="22" t="str">
        <f>VLOOKUP($A192,'Customer Names'!$A:$D,3, FALSE)</f>
        <v>Roulier</v>
      </c>
      <c r="C192" s="22">
        <f>VLOOKUP($A192,'Medical Examinations'!$A:$D, 2, FALSE)</f>
        <v>38.28</v>
      </c>
      <c r="D192" s="22">
        <f>VLOOKUP($A192, 'Medical Examinations'!$A:$D,3, FALSE)</f>
        <v>11.56</v>
      </c>
      <c r="E192" s="22" t="str">
        <f>VLOOKUP($A192, 'Medical Examinations'!$A:$D, 4, FALSE)</f>
        <v>Yes</v>
      </c>
      <c r="F192" s="22" t="str">
        <f>VLOOKUP($A192, 'Medical Examinations'!$A:$J, 5, FALSE)</f>
        <v>No</v>
      </c>
      <c r="G192" s="22" t="str">
        <f>VLOOKUP($A192, 'Medical Examinations'!$A:$I, 6, FALSE)</f>
        <v>No</v>
      </c>
      <c r="H192" s="22">
        <f>VLOOKUP($A192,'Medical Examinations'!$A:$L,10, FALSE)</f>
        <v>1</v>
      </c>
      <c r="I192" s="22" t="str">
        <f>VLOOKUP($A192, 'Medical Examinations'!$A:$J, 9, FALSE)</f>
        <v>Yes</v>
      </c>
      <c r="J192" s="22" t="str">
        <f>VLOOKUP($A192, 'Medical Examinations'!$A:$P, 11, FALSE)</f>
        <v>OBESITY</v>
      </c>
      <c r="K192" s="34">
        <v>29806.0</v>
      </c>
      <c r="L192" s="35">
        <f>VLOOKUP($A192, 'Hospitalisation Details'!$A:$H, 7, FALSE)</f>
        <v>36350.71</v>
      </c>
      <c r="M192" s="22" t="str">
        <f>VLOOKUP($A192, 'Hospitalisation Details'!$A:$L, 12, FALSE)</f>
        <v>tier - 1</v>
      </c>
      <c r="N192" s="22" t="str">
        <f>VLOOKUP($A192, 'Hospitalisation Details'!$A:$M, 13, FALSE)</f>
        <v>tier - 2</v>
      </c>
      <c r="O192" s="22" t="str">
        <f>VLOOKUP($A192, 'Hospitalisation Details'!$A:$N, 14, FALSE)</f>
        <v>R1011</v>
      </c>
      <c r="P192" s="36">
        <f>VLOOKUP($A192, 'Hospitalisation Details'!$A:$O, 15, FALSE)</f>
        <v>48</v>
      </c>
    </row>
    <row r="193" ht="15.75" customHeight="1">
      <c r="A193" s="33" t="s">
        <v>385</v>
      </c>
      <c r="B193" s="22" t="str">
        <f>VLOOKUP($A193,'Customer Names'!$A:$D,3, FALSE)</f>
        <v>Mullins</v>
      </c>
      <c r="C193" s="22">
        <f>VLOOKUP($A193,'Medical Examinations'!$A:$D, 2, FALSE)</f>
        <v>33.57</v>
      </c>
      <c r="D193" s="22">
        <f>VLOOKUP($A193, 'Medical Examinations'!$A:$D,3, FALSE)</f>
        <v>8.82</v>
      </c>
      <c r="E193" s="22" t="str">
        <f>VLOOKUP($A193, 'Medical Examinations'!$A:$D, 4, FALSE)</f>
        <v>Yes</v>
      </c>
      <c r="F193" s="22" t="str">
        <f>VLOOKUP($A193, 'Medical Examinations'!$A:$J, 5, FALSE)</f>
        <v>No</v>
      </c>
      <c r="G193" s="22" t="str">
        <f>VLOOKUP($A193, 'Medical Examinations'!$A:$I, 6, FALSE)</f>
        <v>No</v>
      </c>
      <c r="H193" s="22">
        <f>VLOOKUP($A193,'Medical Examinations'!$A:$L,10, FALSE)</f>
        <v>0</v>
      </c>
      <c r="I193" s="22" t="str">
        <f>VLOOKUP($A193, 'Medical Examinations'!$A:$J, 9, FALSE)</f>
        <v>Yes</v>
      </c>
      <c r="J193" s="22" t="str">
        <f>VLOOKUP($A193, 'Medical Examinations'!$A:$P, 11, FALSE)</f>
        <v>OBESITY</v>
      </c>
      <c r="K193" s="34">
        <v>27218.0</v>
      </c>
      <c r="L193" s="35">
        <f>VLOOKUP($A193, 'Hospitalisation Details'!$A:$H, 7, FALSE)</f>
        <v>36332.45</v>
      </c>
      <c r="M193" s="22" t="str">
        <f>VLOOKUP($A193, 'Hospitalisation Details'!$A:$L, 12, FALSE)</f>
        <v>tier - 1</v>
      </c>
      <c r="N193" s="22" t="str">
        <f>VLOOKUP($A193, 'Hospitalisation Details'!$A:$M, 13, FALSE)</f>
        <v>tier - 3</v>
      </c>
      <c r="O193" s="22" t="str">
        <f>VLOOKUP($A193, 'Hospitalisation Details'!$A:$N, 14, FALSE)</f>
        <v>R1011</v>
      </c>
      <c r="P193" s="36">
        <f>VLOOKUP($A193, 'Hospitalisation Details'!$A:$O, 15, FALSE)</f>
        <v>55</v>
      </c>
    </row>
    <row r="194" ht="15.75" customHeight="1">
      <c r="A194" s="33" t="s">
        <v>387</v>
      </c>
      <c r="B194" s="22" t="str">
        <f>VLOOKUP($A194,'Customer Names'!$A:$D,3, FALSE)</f>
        <v>Hofmann</v>
      </c>
      <c r="C194" s="22">
        <f>VLOOKUP($A194,'Medical Examinations'!$A:$D, 2, FALSE)</f>
        <v>52.06</v>
      </c>
      <c r="D194" s="22">
        <f>VLOOKUP($A194, 'Medical Examinations'!$A:$D,3, FALSE)</f>
        <v>4.69</v>
      </c>
      <c r="E194" s="22" t="str">
        <f>VLOOKUP($A194, 'Medical Examinations'!$A:$D, 4, FALSE)</f>
        <v>No</v>
      </c>
      <c r="F194" s="22" t="str">
        <f>VLOOKUP($A194, 'Medical Examinations'!$A:$J, 5, FALSE)</f>
        <v>No</v>
      </c>
      <c r="G194" s="22" t="str">
        <f>VLOOKUP($A194, 'Medical Examinations'!$A:$I, 6, FALSE)</f>
        <v>No</v>
      </c>
      <c r="H194" s="22">
        <f>VLOOKUP($A194,'Medical Examinations'!$A:$L,10, FALSE)</f>
        <v>1</v>
      </c>
      <c r="I194" s="22" t="str">
        <f>VLOOKUP($A194, 'Medical Examinations'!$A:$J, 9, FALSE)</f>
        <v>Yes</v>
      </c>
      <c r="J194" s="22" t="str">
        <f>VLOOKUP($A194, 'Medical Examinations'!$A:$P, 11, FALSE)</f>
        <v>OBESITY</v>
      </c>
      <c r="K194" s="34">
        <v>26133.0</v>
      </c>
      <c r="L194" s="35">
        <f>VLOOKUP($A194, 'Hospitalisation Details'!$A:$H, 7, FALSE)</f>
        <v>36314.05</v>
      </c>
      <c r="M194" s="22" t="str">
        <f>VLOOKUP($A194, 'Hospitalisation Details'!$A:$L, 12, FALSE)</f>
        <v>tier - 2</v>
      </c>
      <c r="N194" s="22" t="str">
        <f>VLOOKUP($A194, 'Hospitalisation Details'!$A:$M, 13, FALSE)</f>
        <v>tier - 2</v>
      </c>
      <c r="O194" s="22" t="str">
        <f>VLOOKUP($A194, 'Hospitalisation Details'!$A:$N, 14, FALSE)</f>
        <v>R1011</v>
      </c>
      <c r="P194" s="36">
        <f>VLOOKUP($A194, 'Hospitalisation Details'!$A:$O, 15, FALSE)</f>
        <v>30</v>
      </c>
    </row>
    <row r="195" ht="15.75" customHeight="1">
      <c r="A195" s="33" t="s">
        <v>389</v>
      </c>
      <c r="B195" s="22" t="str">
        <f>VLOOKUP($A195,'Customer Names'!$A:$D,3, FALSE)</f>
        <v>Garci</v>
      </c>
      <c r="C195" s="22">
        <f>VLOOKUP($A195,'Medical Examinations'!$A:$D, 2, FALSE)</f>
        <v>38.17</v>
      </c>
      <c r="D195" s="22">
        <f>VLOOKUP($A195, 'Medical Examinations'!$A:$D,3, FALSE)</f>
        <v>4.53</v>
      </c>
      <c r="E195" s="22" t="str">
        <f>VLOOKUP($A195, 'Medical Examinations'!$A:$D, 4, FALSE)</f>
        <v>No</v>
      </c>
      <c r="F195" s="22" t="str">
        <f>VLOOKUP($A195, 'Medical Examinations'!$A:$J, 5, FALSE)</f>
        <v>Yes</v>
      </c>
      <c r="G195" s="22" t="str">
        <f>VLOOKUP($A195, 'Medical Examinations'!$A:$I, 6, FALSE)</f>
        <v>No</v>
      </c>
      <c r="H195" s="22">
        <f>VLOOKUP($A195,'Medical Examinations'!$A:$L,10, FALSE)</f>
        <v>1</v>
      </c>
      <c r="I195" s="22" t="str">
        <f>VLOOKUP($A195, 'Medical Examinations'!$A:$J, 9, FALSE)</f>
        <v>Yes</v>
      </c>
      <c r="J195" s="22" t="str">
        <f>VLOOKUP($A195, 'Medical Examinations'!$A:$P, 11, FALSE)</f>
        <v>OBESITY</v>
      </c>
      <c r="K195" s="34">
        <v>25841.0</v>
      </c>
      <c r="L195" s="35">
        <f>VLOOKUP($A195, 'Hospitalisation Details'!$A:$H, 7, FALSE)</f>
        <v>36307.8</v>
      </c>
      <c r="M195" s="22" t="str">
        <f>VLOOKUP($A195, 'Hospitalisation Details'!$A:$L, 12, FALSE)</f>
        <v>tier - 1</v>
      </c>
      <c r="N195" s="22" t="str">
        <f>VLOOKUP($A195, 'Hospitalisation Details'!$A:$M, 13, FALSE)</f>
        <v>tier - 2</v>
      </c>
      <c r="O195" s="22" t="str">
        <f>VLOOKUP($A195, 'Hospitalisation Details'!$A:$N, 14, FALSE)</f>
        <v>R1013</v>
      </c>
      <c r="P195" s="36">
        <f>VLOOKUP($A195, 'Hospitalisation Details'!$A:$O, 15, FALSE)</f>
        <v>18</v>
      </c>
    </row>
    <row r="196" ht="15.75" customHeight="1">
      <c r="A196" s="33" t="s">
        <v>391</v>
      </c>
      <c r="B196" s="22" t="str">
        <f>VLOOKUP($A196,'Customer Names'!$A:$D,3, FALSE)</f>
        <v>Klecker</v>
      </c>
      <c r="C196" s="22">
        <f>VLOOKUP($A196,'Medical Examinations'!$A:$D, 2, FALSE)</f>
        <v>36.955</v>
      </c>
      <c r="D196" s="22">
        <f>VLOOKUP($A196, 'Medical Examinations'!$A:$D,3, FALSE)</f>
        <v>5.84</v>
      </c>
      <c r="E196" s="22" t="str">
        <f>VLOOKUP($A196, 'Medical Examinations'!$A:$D, 4, FALSE)</f>
        <v>No</v>
      </c>
      <c r="F196" s="22" t="str">
        <f>VLOOKUP($A196, 'Medical Examinations'!$A:$J, 5, FALSE)</f>
        <v>No</v>
      </c>
      <c r="G196" s="22" t="str">
        <f>VLOOKUP($A196, 'Medical Examinations'!$A:$I, 6, FALSE)</f>
        <v>Yes</v>
      </c>
      <c r="H196" s="22">
        <f>VLOOKUP($A196,'Medical Examinations'!$A:$L,10, FALSE)</f>
        <v>1</v>
      </c>
      <c r="I196" s="22" t="str">
        <f>VLOOKUP($A196, 'Medical Examinations'!$A:$J, 9, FALSE)</f>
        <v>Yes</v>
      </c>
      <c r="J196" s="22" t="str">
        <f>VLOOKUP($A196, 'Medical Examinations'!$A:$P, 11, FALSE)</f>
        <v>OBESITY</v>
      </c>
      <c r="K196" s="34">
        <v>25011.0</v>
      </c>
      <c r="L196" s="35">
        <f>VLOOKUP($A196, 'Hospitalisation Details'!$A:$H, 7, FALSE)</f>
        <v>36219.41</v>
      </c>
      <c r="M196" s="22" t="str">
        <f>VLOOKUP($A196, 'Hospitalisation Details'!$A:$L, 12, FALSE)</f>
        <v>tier - 1</v>
      </c>
      <c r="N196" s="22" t="str">
        <f>VLOOKUP($A196, 'Hospitalisation Details'!$A:$M, 13, FALSE)</f>
        <v>tier - 1</v>
      </c>
      <c r="O196" s="22" t="str">
        <f>VLOOKUP($A196, 'Hospitalisation Details'!$A:$N, 14, FALSE)</f>
        <v>R1012</v>
      </c>
      <c r="P196" s="36">
        <f>VLOOKUP($A196, 'Hospitalisation Details'!$A:$O, 15, FALSE)</f>
        <v>19</v>
      </c>
    </row>
    <row r="197" ht="15.75" customHeight="1">
      <c r="A197" s="33" t="s">
        <v>393</v>
      </c>
      <c r="B197" s="22" t="str">
        <f>VLOOKUP($A197,'Customer Names'!$A:$D,3, FALSE)</f>
        <v>Cancre</v>
      </c>
      <c r="C197" s="22">
        <f>VLOOKUP($A197,'Medical Examinations'!$A:$D, 2, FALSE)</f>
        <v>34.4</v>
      </c>
      <c r="D197" s="22">
        <f>VLOOKUP($A197, 'Medical Examinations'!$A:$D,3, FALSE)</f>
        <v>4.9</v>
      </c>
      <c r="E197" s="22" t="str">
        <f>VLOOKUP($A197, 'Medical Examinations'!$A:$D, 4, FALSE)</f>
        <v>No</v>
      </c>
      <c r="F197" s="22" t="str">
        <f>VLOOKUP($A197, 'Medical Examinations'!$A:$J, 5, FALSE)</f>
        <v>No</v>
      </c>
      <c r="G197" s="22" t="str">
        <f>VLOOKUP($A197, 'Medical Examinations'!$A:$I, 6, FALSE)</f>
        <v>Yes</v>
      </c>
      <c r="H197" s="22">
        <f>VLOOKUP($A197,'Medical Examinations'!$A:$L,10, FALSE)</f>
        <v>1</v>
      </c>
      <c r="I197" s="22" t="str">
        <f>VLOOKUP($A197, 'Medical Examinations'!$A:$J, 9, FALSE)</f>
        <v>Yes</v>
      </c>
      <c r="J197" s="22" t="str">
        <f>VLOOKUP($A197, 'Medical Examinations'!$A:$P, 11, FALSE)</f>
        <v>OBESITY</v>
      </c>
      <c r="K197" s="34">
        <v>26595.0</v>
      </c>
      <c r="L197" s="35">
        <f>VLOOKUP($A197, 'Hospitalisation Details'!$A:$H, 7, FALSE)</f>
        <v>36197.7</v>
      </c>
      <c r="M197" s="22" t="str">
        <f>VLOOKUP($A197, 'Hospitalisation Details'!$A:$L, 12, FALSE)</f>
        <v>tier - 1</v>
      </c>
      <c r="N197" s="22" t="str">
        <f>VLOOKUP($A197, 'Hospitalisation Details'!$A:$M, 13, FALSE)</f>
        <v>tier - 3</v>
      </c>
      <c r="O197" s="22" t="str">
        <f>VLOOKUP($A197, 'Hospitalisation Details'!$A:$N, 14, FALSE)</f>
        <v>R1011</v>
      </c>
      <c r="P197" s="36">
        <f>VLOOKUP($A197, 'Hospitalisation Details'!$A:$O, 15, FALSE)</f>
        <v>29</v>
      </c>
    </row>
    <row r="198" ht="15.75" customHeight="1">
      <c r="A198" s="33" t="s">
        <v>395</v>
      </c>
      <c r="B198" s="22" t="str">
        <f>VLOOKUP($A198,'Customer Names'!$A:$D,3, FALSE)</f>
        <v>Denucci</v>
      </c>
      <c r="C198" s="22">
        <f>VLOOKUP($A198,'Medical Examinations'!$A:$D, 2, FALSE)</f>
        <v>31.73</v>
      </c>
      <c r="D198" s="22">
        <f>VLOOKUP($A198, 'Medical Examinations'!$A:$D,3, FALSE)</f>
        <v>4.3</v>
      </c>
      <c r="E198" s="22" t="str">
        <f>VLOOKUP($A198, 'Medical Examinations'!$A:$D, 4, FALSE)</f>
        <v>No</v>
      </c>
      <c r="F198" s="22" t="str">
        <f>VLOOKUP($A198, 'Medical Examinations'!$A:$J, 5, FALSE)</f>
        <v>No</v>
      </c>
      <c r="G198" s="22" t="str">
        <f>VLOOKUP($A198, 'Medical Examinations'!$A:$I, 6, FALSE)</f>
        <v>No</v>
      </c>
      <c r="H198" s="22">
        <f>VLOOKUP($A198,'Medical Examinations'!$A:$L,10, FALSE)</f>
        <v>0</v>
      </c>
      <c r="I198" s="22" t="str">
        <f>VLOOKUP($A198, 'Medical Examinations'!$A:$J, 9, FALSE)</f>
        <v>Yes</v>
      </c>
      <c r="J198" s="22" t="str">
        <f>VLOOKUP($A198, 'Medical Examinations'!$A:$P, 11, FALSE)</f>
        <v>OBESITY</v>
      </c>
      <c r="K198" s="34">
        <v>37818.0</v>
      </c>
      <c r="L198" s="35">
        <f>VLOOKUP($A198, 'Hospitalisation Details'!$A:$H, 7, FALSE)</f>
        <v>36189.1</v>
      </c>
      <c r="M198" s="22" t="str">
        <f>VLOOKUP($A198, 'Hospitalisation Details'!$A:$L, 12, FALSE)</f>
        <v>tier - 1</v>
      </c>
      <c r="N198" s="22" t="str">
        <f>VLOOKUP($A198, 'Hospitalisation Details'!$A:$M, 13, FALSE)</f>
        <v>tier - 3</v>
      </c>
      <c r="O198" s="22" t="str">
        <f>VLOOKUP($A198, 'Hospitalisation Details'!$A:$N, 14, FALSE)</f>
        <v>R1016</v>
      </c>
      <c r="P198" s="36">
        <f>VLOOKUP($A198, 'Hospitalisation Details'!$A:$O, 15, FALSE)</f>
        <v>23</v>
      </c>
    </row>
    <row r="199" ht="15.75" customHeight="1">
      <c r="A199" s="33" t="s">
        <v>397</v>
      </c>
      <c r="B199" s="22" t="str">
        <f>VLOOKUP($A199,'Customer Names'!$A:$D,3, FALSE)</f>
        <v>Saldana</v>
      </c>
      <c r="C199" s="22">
        <f>VLOOKUP($A199,'Medical Examinations'!$A:$D, 2, FALSE)</f>
        <v>36.64</v>
      </c>
      <c r="D199" s="22">
        <f>VLOOKUP($A199, 'Medical Examinations'!$A:$D,3, FALSE)</f>
        <v>11.34</v>
      </c>
      <c r="E199" s="22" t="str">
        <f>VLOOKUP($A199, 'Medical Examinations'!$A:$D, 4, FALSE)</f>
        <v>No</v>
      </c>
      <c r="F199" s="22" t="str">
        <f>VLOOKUP($A199, 'Medical Examinations'!$A:$J, 5, FALSE)</f>
        <v>No</v>
      </c>
      <c r="G199" s="22" t="str">
        <f>VLOOKUP($A199, 'Medical Examinations'!$A:$I, 6, FALSE)</f>
        <v>No</v>
      </c>
      <c r="H199" s="22">
        <f>VLOOKUP($A199,'Medical Examinations'!$A:$L,10, FALSE)</f>
        <v>0</v>
      </c>
      <c r="I199" s="22" t="str">
        <f>VLOOKUP($A199, 'Medical Examinations'!$A:$J, 9, FALSE)</f>
        <v>Yes</v>
      </c>
      <c r="J199" s="22" t="str">
        <f>VLOOKUP($A199, 'Medical Examinations'!$A:$P, 11, FALSE)</f>
        <v>OBESITY</v>
      </c>
      <c r="K199" s="34">
        <v>29208.0</v>
      </c>
      <c r="L199" s="35">
        <f>VLOOKUP($A199, 'Hospitalisation Details'!$A:$H, 7, FALSE)</f>
        <v>36182.87</v>
      </c>
      <c r="M199" s="22" t="str">
        <f>VLOOKUP($A199, 'Hospitalisation Details'!$A:$L, 12, FALSE)</f>
        <v>tier - 2</v>
      </c>
      <c r="N199" s="22" t="str">
        <f>VLOOKUP($A199, 'Hospitalisation Details'!$A:$M, 13, FALSE)</f>
        <v>tier - 3</v>
      </c>
      <c r="O199" s="22" t="str">
        <f>VLOOKUP($A199, 'Hospitalisation Details'!$A:$N, 14, FALSE)</f>
        <v>R1012</v>
      </c>
      <c r="P199" s="36">
        <f>VLOOKUP($A199, 'Hospitalisation Details'!$A:$O, 15, FALSE)</f>
        <v>48</v>
      </c>
    </row>
    <row r="200" ht="15.75" customHeight="1">
      <c r="A200" s="33" t="s">
        <v>399</v>
      </c>
      <c r="B200" s="22" t="str">
        <f>VLOOKUP($A200,'Customer Names'!$A:$D,3, FALSE)</f>
        <v>Weinberg</v>
      </c>
      <c r="C200" s="22">
        <f>VLOOKUP($A200,'Medical Examinations'!$A:$D, 2, FALSE)</f>
        <v>36.85</v>
      </c>
      <c r="D200" s="22">
        <f>VLOOKUP($A200, 'Medical Examinations'!$A:$D,3, FALSE)</f>
        <v>5.88</v>
      </c>
      <c r="E200" s="22" t="str">
        <f>VLOOKUP($A200, 'Medical Examinations'!$A:$D, 4, FALSE)</f>
        <v>No</v>
      </c>
      <c r="F200" s="22" t="str">
        <f>VLOOKUP($A200, 'Medical Examinations'!$A:$J, 5, FALSE)</f>
        <v>Yes</v>
      </c>
      <c r="G200" s="22" t="str">
        <f>VLOOKUP($A200, 'Medical Examinations'!$A:$I, 6, FALSE)</f>
        <v>No</v>
      </c>
      <c r="H200" s="22">
        <f>VLOOKUP($A200,'Medical Examinations'!$A:$L,10, FALSE)</f>
        <v>1</v>
      </c>
      <c r="I200" s="22" t="str">
        <f>VLOOKUP($A200, 'Medical Examinations'!$A:$J, 9, FALSE)</f>
        <v>Yes</v>
      </c>
      <c r="J200" s="22" t="str">
        <f>VLOOKUP($A200, 'Medical Examinations'!$A:$P, 11, FALSE)</f>
        <v>OBESITY</v>
      </c>
      <c r="K200" s="34">
        <v>35969.0</v>
      </c>
      <c r="L200" s="35">
        <f>VLOOKUP($A200, 'Hospitalisation Details'!$A:$H, 7, FALSE)</f>
        <v>36149.48</v>
      </c>
      <c r="M200" s="22" t="str">
        <f>VLOOKUP($A200, 'Hospitalisation Details'!$A:$L, 12, FALSE)</f>
        <v>tier - 2</v>
      </c>
      <c r="N200" s="22" t="str">
        <f>VLOOKUP($A200, 'Hospitalisation Details'!$A:$M, 13, FALSE)</f>
        <v>tier - 2</v>
      </c>
      <c r="O200" s="22" t="str">
        <f>VLOOKUP($A200, 'Hospitalisation Details'!$A:$N, 14, FALSE)</f>
        <v>R1013</v>
      </c>
      <c r="P200" s="36">
        <f>VLOOKUP($A200, 'Hospitalisation Details'!$A:$O, 15, FALSE)</f>
        <v>18</v>
      </c>
    </row>
    <row r="201" ht="15.75" customHeight="1">
      <c r="A201" s="33" t="s">
        <v>401</v>
      </c>
      <c r="B201" s="22" t="str">
        <f>VLOOKUP($A201,'Customer Names'!$A:$D,3, FALSE)</f>
        <v>Walsh</v>
      </c>
      <c r="C201" s="22">
        <f>VLOOKUP($A201,'Medical Examinations'!$A:$D, 2, FALSE)</f>
        <v>33.33</v>
      </c>
      <c r="D201" s="22">
        <f>VLOOKUP($A201, 'Medical Examinations'!$A:$D,3, FALSE)</f>
        <v>5.01</v>
      </c>
      <c r="E201" s="22" t="str">
        <f>VLOOKUP($A201, 'Medical Examinations'!$A:$D, 4, FALSE)</f>
        <v>Yes</v>
      </c>
      <c r="F201" s="22" t="str">
        <f>VLOOKUP($A201, 'Medical Examinations'!$A:$J, 5, FALSE)</f>
        <v>No</v>
      </c>
      <c r="G201" s="22" t="str">
        <f>VLOOKUP($A201, 'Medical Examinations'!$A:$I, 6, FALSE)</f>
        <v>Yes</v>
      </c>
      <c r="H201" s="22">
        <f>VLOOKUP($A201,'Medical Examinations'!$A:$L,10, FALSE)</f>
        <v>1</v>
      </c>
      <c r="I201" s="22" t="str">
        <f>VLOOKUP($A201, 'Medical Examinations'!$A:$J, 9, FALSE)</f>
        <v>Yes</v>
      </c>
      <c r="J201" s="22" t="str">
        <f>VLOOKUP($A201, 'Medical Examinations'!$A:$P, 11, FALSE)</f>
        <v>OBESITY</v>
      </c>
      <c r="K201" s="34">
        <v>25918.0</v>
      </c>
      <c r="L201" s="35">
        <f>VLOOKUP($A201, 'Hospitalisation Details'!$A:$H, 7, FALSE)</f>
        <v>36124.57</v>
      </c>
      <c r="M201" s="22" t="str">
        <f>VLOOKUP($A201, 'Hospitalisation Details'!$A:$L, 12, FALSE)</f>
        <v>tier - 1</v>
      </c>
      <c r="N201" s="22" t="str">
        <f>VLOOKUP($A201, 'Hospitalisation Details'!$A:$M, 13, FALSE)</f>
        <v>tier - 3</v>
      </c>
      <c r="O201" s="22" t="str">
        <f>VLOOKUP($A201, 'Hospitalisation Details'!$A:$N, 14, FALSE)</f>
        <v>R1013</v>
      </c>
      <c r="P201" s="36">
        <f>VLOOKUP($A201, 'Hospitalisation Details'!$A:$O, 15, FALSE)</f>
        <v>25</v>
      </c>
    </row>
    <row r="202" ht="15.75" customHeight="1">
      <c r="A202" s="33" t="s">
        <v>403</v>
      </c>
      <c r="B202" s="22" t="str">
        <f>VLOOKUP($A202,'Customer Names'!$A:$D,3, FALSE)</f>
        <v>Pasten</v>
      </c>
      <c r="C202" s="22">
        <f>VLOOKUP($A202,'Medical Examinations'!$A:$D, 2, FALSE)</f>
        <v>39.14</v>
      </c>
      <c r="D202" s="22">
        <f>VLOOKUP($A202, 'Medical Examinations'!$A:$D,3, FALSE)</f>
        <v>4.4</v>
      </c>
      <c r="E202" s="22" t="str">
        <f>VLOOKUP($A202, 'Medical Examinations'!$A:$D, 4, FALSE)</f>
        <v>No</v>
      </c>
      <c r="F202" s="22" t="str">
        <f>VLOOKUP($A202, 'Medical Examinations'!$A:$J, 5, FALSE)</f>
        <v>No</v>
      </c>
      <c r="G202" s="22" t="str">
        <f>VLOOKUP($A202, 'Medical Examinations'!$A:$I, 6, FALSE)</f>
        <v>Yes</v>
      </c>
      <c r="H202" s="22">
        <f>VLOOKUP($A202,'Medical Examinations'!$A:$L,10, FALSE)</f>
        <v>1</v>
      </c>
      <c r="I202" s="22" t="str">
        <f>VLOOKUP($A202, 'Medical Examinations'!$A:$J, 9, FALSE)</f>
        <v>Yes</v>
      </c>
      <c r="J202" s="22" t="str">
        <f>VLOOKUP($A202, 'Medical Examinations'!$A:$P, 11, FALSE)</f>
        <v>OBESITY</v>
      </c>
      <c r="K202" s="34">
        <v>27696.0</v>
      </c>
      <c r="L202" s="35">
        <f>VLOOKUP($A202, 'Hospitalisation Details'!$A:$H, 7, FALSE)</f>
        <v>36090.49</v>
      </c>
      <c r="M202" s="22" t="str">
        <f>VLOOKUP($A202, 'Hospitalisation Details'!$A:$L, 12, FALSE)</f>
        <v>tier - 2</v>
      </c>
      <c r="N202" s="22" t="str">
        <f>VLOOKUP($A202, 'Hospitalisation Details'!$A:$M, 13, FALSE)</f>
        <v>tier - 2</v>
      </c>
      <c r="O202" s="22" t="str">
        <f>VLOOKUP($A202, 'Hospitalisation Details'!$A:$N, 14, FALSE)</f>
        <v>R1011</v>
      </c>
      <c r="P202" s="36">
        <f>VLOOKUP($A202, 'Hospitalisation Details'!$A:$O, 15, FALSE)</f>
        <v>43</v>
      </c>
    </row>
    <row r="203" ht="15.75" customHeight="1">
      <c r="A203" s="33" t="s">
        <v>405</v>
      </c>
      <c r="B203" s="22" t="str">
        <f>VLOOKUP($A203,'Customer Names'!$A:$D,3, FALSE)</f>
        <v>LaBelle</v>
      </c>
      <c r="C203" s="22">
        <f>VLOOKUP($A203,'Medical Examinations'!$A:$D, 2, FALSE)</f>
        <v>32.9</v>
      </c>
      <c r="D203" s="22">
        <f>VLOOKUP($A203, 'Medical Examinations'!$A:$D,3, FALSE)</f>
        <v>6.26</v>
      </c>
      <c r="E203" s="22" t="str">
        <f>VLOOKUP($A203, 'Medical Examinations'!$A:$D, 4, FALSE)</f>
        <v>Yes</v>
      </c>
      <c r="F203" s="22" t="str">
        <f>VLOOKUP($A203, 'Medical Examinations'!$A:$J, 5, FALSE)</f>
        <v>No</v>
      </c>
      <c r="G203" s="22" t="str">
        <f>VLOOKUP($A203, 'Medical Examinations'!$A:$I, 6, FALSE)</f>
        <v>No</v>
      </c>
      <c r="H203" s="22">
        <f>VLOOKUP($A203,'Medical Examinations'!$A:$L,10, FALSE)</f>
        <v>0</v>
      </c>
      <c r="I203" s="22" t="str">
        <f>VLOOKUP($A203, 'Medical Examinations'!$A:$J, 9, FALSE)</f>
        <v>Yes</v>
      </c>
      <c r="J203" s="22" t="str">
        <f>VLOOKUP($A203, 'Medical Examinations'!$A:$P, 11, FALSE)</f>
        <v>OBESITY</v>
      </c>
      <c r="K203" s="34">
        <v>30192.0</v>
      </c>
      <c r="L203" s="35">
        <f>VLOOKUP($A203, 'Hospitalisation Details'!$A:$H, 7, FALSE)</f>
        <v>36085.22</v>
      </c>
      <c r="M203" s="22" t="str">
        <f>VLOOKUP($A203, 'Hospitalisation Details'!$A:$L, 12, FALSE)</f>
        <v>tier - 1</v>
      </c>
      <c r="N203" s="22" t="str">
        <f>VLOOKUP($A203, 'Hospitalisation Details'!$A:$M, 13, FALSE)</f>
        <v>tier - 1</v>
      </c>
      <c r="O203" s="22" t="str">
        <f>VLOOKUP($A203, 'Hospitalisation Details'!$A:$N, 14, FALSE)</f>
        <v>R1011</v>
      </c>
      <c r="P203" s="36">
        <f>VLOOKUP($A203, 'Hospitalisation Details'!$A:$O, 15, FALSE)</f>
        <v>26</v>
      </c>
    </row>
    <row r="204" ht="15.75" customHeight="1">
      <c r="A204" s="33" t="s">
        <v>407</v>
      </c>
      <c r="B204" s="22" t="str">
        <f>VLOOKUP($A204,'Customer Names'!$A:$D,3, FALSE)</f>
        <v>Guzman</v>
      </c>
      <c r="C204" s="22">
        <f>VLOOKUP($A204,'Medical Examinations'!$A:$D, 2, FALSE)</f>
        <v>29.78</v>
      </c>
      <c r="D204" s="22">
        <f>VLOOKUP($A204, 'Medical Examinations'!$A:$D,3, FALSE)</f>
        <v>10.27</v>
      </c>
      <c r="E204" s="22" t="str">
        <f>VLOOKUP($A204, 'Medical Examinations'!$A:$D, 4, FALSE)</f>
        <v>Yes</v>
      </c>
      <c r="F204" s="22" t="str">
        <f>VLOOKUP($A204, 'Medical Examinations'!$A:$J, 5, FALSE)</f>
        <v>No</v>
      </c>
      <c r="G204" s="22" t="str">
        <f>VLOOKUP($A204, 'Medical Examinations'!$A:$I, 6, FALSE)</f>
        <v>Yes</v>
      </c>
      <c r="H204" s="22">
        <f>VLOOKUP($A204,'Medical Examinations'!$A:$L,10, FALSE)</f>
        <v>1</v>
      </c>
      <c r="I204" s="22" t="str">
        <f>VLOOKUP($A204, 'Medical Examinations'!$A:$J, 9, FALSE)</f>
        <v>Yes</v>
      </c>
      <c r="J204" s="22" t="str">
        <f>VLOOKUP($A204, 'Medical Examinations'!$A:$P, 11, FALSE)</f>
        <v>OVERWEIGHT</v>
      </c>
      <c r="K204" s="34">
        <v>26660.0</v>
      </c>
      <c r="L204" s="35">
        <f>VLOOKUP($A204, 'Hospitalisation Details'!$A:$H, 7, FALSE)</f>
        <v>36074.34</v>
      </c>
      <c r="M204" s="22" t="str">
        <f>VLOOKUP($A204, 'Hospitalisation Details'!$A:$L, 12, FALSE)</f>
        <v>tier - 2</v>
      </c>
      <c r="N204" s="22" t="str">
        <f>VLOOKUP($A204, 'Hospitalisation Details'!$A:$M, 13, FALSE)</f>
        <v>tier - 1</v>
      </c>
      <c r="O204" s="22" t="str">
        <f>VLOOKUP($A204, 'Hospitalisation Details'!$A:$N, 14, FALSE)</f>
        <v>R1011</v>
      </c>
      <c r="P204" s="36">
        <f>VLOOKUP($A204, 'Hospitalisation Details'!$A:$O, 15, FALSE)</f>
        <v>59</v>
      </c>
    </row>
    <row r="205" ht="15.75" customHeight="1">
      <c r="A205" s="33" t="s">
        <v>409</v>
      </c>
      <c r="B205" s="22" t="str">
        <f>VLOOKUP($A205,'Customer Names'!$A:$D,3, FALSE)</f>
        <v>Turnbull</v>
      </c>
      <c r="C205" s="22">
        <f>VLOOKUP($A205,'Medical Examinations'!$A:$D, 2, FALSE)</f>
        <v>32.78</v>
      </c>
      <c r="D205" s="22">
        <f>VLOOKUP($A205, 'Medical Examinations'!$A:$D,3, FALSE)</f>
        <v>5.27</v>
      </c>
      <c r="E205" s="22" t="str">
        <f>VLOOKUP($A205, 'Medical Examinations'!$A:$D, 4, FALSE)</f>
        <v>No</v>
      </c>
      <c r="F205" s="22" t="str">
        <f>VLOOKUP($A205, 'Medical Examinations'!$A:$J, 5, FALSE)</f>
        <v>No</v>
      </c>
      <c r="G205" s="22" t="str">
        <f>VLOOKUP($A205, 'Medical Examinations'!$A:$I, 6, FALSE)</f>
        <v>No</v>
      </c>
      <c r="H205" s="22">
        <f>VLOOKUP($A205,'Medical Examinations'!$A:$L,10, FALSE)</f>
        <v>0</v>
      </c>
      <c r="I205" s="22" t="str">
        <f>VLOOKUP($A205, 'Medical Examinations'!$A:$J, 9, FALSE)</f>
        <v>Yes</v>
      </c>
      <c r="J205" s="22" t="str">
        <f>VLOOKUP($A205, 'Medical Examinations'!$A:$P, 11, FALSE)</f>
        <v>OBESITY</v>
      </c>
      <c r="K205" s="34">
        <v>23726.0</v>
      </c>
      <c r="L205" s="35">
        <f>VLOOKUP($A205, 'Hospitalisation Details'!$A:$H, 7, FALSE)</f>
        <v>36021.01</v>
      </c>
      <c r="M205" s="22" t="str">
        <f>VLOOKUP($A205, 'Hospitalisation Details'!$A:$L, 12, FALSE)</f>
        <v>tier - 2</v>
      </c>
      <c r="N205" s="22" t="str">
        <f>VLOOKUP($A205, 'Hospitalisation Details'!$A:$M, 13, FALSE)</f>
        <v>tier - 3</v>
      </c>
      <c r="O205" s="22" t="str">
        <f>VLOOKUP($A205, 'Hospitalisation Details'!$A:$N, 14, FALSE)</f>
        <v>R1013</v>
      </c>
      <c r="P205" s="36">
        <f>VLOOKUP($A205, 'Hospitalisation Details'!$A:$O, 15, FALSE)</f>
        <v>23</v>
      </c>
    </row>
    <row r="206" ht="15.75" customHeight="1">
      <c r="A206" s="33" t="s">
        <v>411</v>
      </c>
      <c r="B206" s="22" t="str">
        <f>VLOOKUP($A206,'Customer Names'!$A:$D,3, FALSE)</f>
        <v>Aguero</v>
      </c>
      <c r="C206" s="22">
        <f>VLOOKUP($A206,'Medical Examinations'!$A:$D, 2, FALSE)</f>
        <v>41.65</v>
      </c>
      <c r="D206" s="22">
        <f>VLOOKUP($A206, 'Medical Examinations'!$A:$D,3, FALSE)</f>
        <v>10.73</v>
      </c>
      <c r="E206" s="22" t="str">
        <f>VLOOKUP($A206, 'Medical Examinations'!$A:$D, 4, FALSE)</f>
        <v>Yes</v>
      </c>
      <c r="F206" s="22" t="str">
        <f>VLOOKUP($A206, 'Medical Examinations'!$A:$J, 5, FALSE)</f>
        <v>No</v>
      </c>
      <c r="G206" s="22" t="str">
        <f>VLOOKUP($A206, 'Medical Examinations'!$A:$I, 6, FALSE)</f>
        <v>No</v>
      </c>
      <c r="H206" s="22">
        <f>VLOOKUP($A206,'Medical Examinations'!$A:$L,10, FALSE)</f>
        <v>0</v>
      </c>
      <c r="I206" s="22" t="str">
        <f>VLOOKUP($A206, 'Medical Examinations'!$A:$J, 9, FALSE)</f>
        <v>Yes</v>
      </c>
      <c r="J206" s="22" t="str">
        <f>VLOOKUP($A206, 'Medical Examinations'!$A:$P, 11, FALSE)</f>
        <v>OBESITY</v>
      </c>
      <c r="K206" s="34">
        <v>29877.0</v>
      </c>
      <c r="L206" s="35">
        <f>VLOOKUP($A206, 'Hospitalisation Details'!$A:$H, 7, FALSE)</f>
        <v>35952.65</v>
      </c>
      <c r="M206" s="22" t="str">
        <f>VLOOKUP($A206, 'Hospitalisation Details'!$A:$L, 12, FALSE)</f>
        <v>tier - 1</v>
      </c>
      <c r="N206" s="22" t="str">
        <f>VLOOKUP($A206, 'Hospitalisation Details'!$A:$M, 13, FALSE)</f>
        <v>tier - 3</v>
      </c>
      <c r="O206" s="22" t="str">
        <f>VLOOKUP($A206, 'Hospitalisation Details'!$A:$N, 14, FALSE)</f>
        <v>R1011</v>
      </c>
      <c r="P206" s="36">
        <f>VLOOKUP($A206, 'Hospitalisation Details'!$A:$O, 15, FALSE)</f>
        <v>41</v>
      </c>
    </row>
    <row r="207" ht="15.75" customHeight="1">
      <c r="A207" s="33" t="s">
        <v>413</v>
      </c>
      <c r="B207" s="22" t="str">
        <f>VLOOKUP($A207,'Customer Names'!$A:$D,3, FALSE)</f>
        <v>Woodward</v>
      </c>
      <c r="C207" s="22">
        <f>VLOOKUP($A207,'Medical Examinations'!$A:$D, 2, FALSE)</f>
        <v>50.79</v>
      </c>
      <c r="D207" s="22">
        <f>VLOOKUP($A207, 'Medical Examinations'!$A:$D,3, FALSE)</f>
        <v>4.45</v>
      </c>
      <c r="E207" s="22" t="str">
        <f>VLOOKUP($A207, 'Medical Examinations'!$A:$D, 4, FALSE)</f>
        <v>No</v>
      </c>
      <c r="F207" s="22" t="str">
        <f>VLOOKUP($A207, 'Medical Examinations'!$A:$J, 5, FALSE)</f>
        <v>No</v>
      </c>
      <c r="G207" s="22" t="str">
        <f>VLOOKUP($A207, 'Medical Examinations'!$A:$I, 6, FALSE)</f>
        <v>No</v>
      </c>
      <c r="H207" s="22">
        <f>VLOOKUP($A207,'Medical Examinations'!$A:$L,10, FALSE)</f>
        <v>1</v>
      </c>
      <c r="I207" s="22" t="str">
        <f>VLOOKUP($A207, 'Medical Examinations'!$A:$J, 9, FALSE)</f>
        <v>Yes</v>
      </c>
      <c r="J207" s="22" t="str">
        <f>VLOOKUP($A207, 'Medical Examinations'!$A:$P, 11, FALSE)</f>
        <v>OBESITY</v>
      </c>
      <c r="K207" s="34">
        <v>26996.0</v>
      </c>
      <c r="L207" s="35">
        <f>VLOOKUP($A207, 'Hospitalisation Details'!$A:$H, 7, FALSE)</f>
        <v>35883.27</v>
      </c>
      <c r="M207" s="22" t="str">
        <f>VLOOKUP($A207, 'Hospitalisation Details'!$A:$L, 12, FALSE)</f>
        <v>tier - 2</v>
      </c>
      <c r="N207" s="22" t="str">
        <f>VLOOKUP($A207, 'Hospitalisation Details'!$A:$M, 13, FALSE)</f>
        <v>tier - 1</v>
      </c>
      <c r="O207" s="22" t="str">
        <f>VLOOKUP($A207, 'Hospitalisation Details'!$A:$N, 14, FALSE)</f>
        <v>R1011</v>
      </c>
      <c r="P207" s="36">
        <f>VLOOKUP($A207, 'Hospitalisation Details'!$A:$O, 15, FALSE)</f>
        <v>30</v>
      </c>
    </row>
    <row r="208" ht="15.75" customHeight="1">
      <c r="A208" s="33" t="s">
        <v>415</v>
      </c>
      <c r="B208" s="22" t="str">
        <f>VLOOKUP($A208,'Customer Names'!$A:$D,3, FALSE)</f>
        <v>McElroy</v>
      </c>
      <c r="C208" s="22">
        <f>VLOOKUP($A208,'Medical Examinations'!$A:$D, 2, FALSE)</f>
        <v>35.43</v>
      </c>
      <c r="D208" s="22">
        <f>VLOOKUP($A208, 'Medical Examinations'!$A:$D,3, FALSE)</f>
        <v>5.25</v>
      </c>
      <c r="E208" s="22" t="str">
        <f>VLOOKUP($A208, 'Medical Examinations'!$A:$D, 4, FALSE)</f>
        <v>Yes</v>
      </c>
      <c r="F208" s="22" t="str">
        <f>VLOOKUP($A208, 'Medical Examinations'!$A:$J, 5, FALSE)</f>
        <v>No</v>
      </c>
      <c r="G208" s="22" t="str">
        <f>VLOOKUP($A208, 'Medical Examinations'!$A:$I, 6, FALSE)</f>
        <v>No</v>
      </c>
      <c r="H208" s="22">
        <f>VLOOKUP($A208,'Medical Examinations'!$A:$L,10, FALSE)</f>
        <v>0</v>
      </c>
      <c r="I208" s="22" t="str">
        <f>VLOOKUP($A208, 'Medical Examinations'!$A:$J, 9, FALSE)</f>
        <v>Yes</v>
      </c>
      <c r="J208" s="22" t="str">
        <f>VLOOKUP($A208, 'Medical Examinations'!$A:$P, 11, FALSE)</f>
        <v>OBESITY</v>
      </c>
      <c r="K208" s="34">
        <v>24445.0</v>
      </c>
      <c r="L208" s="35">
        <f>VLOOKUP($A208, 'Hospitalisation Details'!$A:$H, 7, FALSE)</f>
        <v>35733.96</v>
      </c>
      <c r="M208" s="22" t="str">
        <f>VLOOKUP($A208, 'Hospitalisation Details'!$A:$L, 12, FALSE)</f>
        <v>tier - 2</v>
      </c>
      <c r="N208" s="22" t="str">
        <f>VLOOKUP($A208, 'Hospitalisation Details'!$A:$M, 13, FALSE)</f>
        <v>tier - 2</v>
      </c>
      <c r="O208" s="22" t="str">
        <f>VLOOKUP($A208, 'Hospitalisation Details'!$A:$N, 14, FALSE)</f>
        <v>R1011</v>
      </c>
      <c r="P208" s="36">
        <f>VLOOKUP($A208, 'Hospitalisation Details'!$A:$O, 15, FALSE)</f>
        <v>46</v>
      </c>
    </row>
    <row r="209" ht="15.75" customHeight="1">
      <c r="A209" s="33" t="s">
        <v>417</v>
      </c>
      <c r="B209" s="22" t="str">
        <f>VLOOKUP($A209,'Customer Names'!$A:$D,3, FALSE)</f>
        <v>Lopez</v>
      </c>
      <c r="C209" s="22">
        <f>VLOOKUP($A209,'Medical Examinations'!$A:$D, 2, FALSE)</f>
        <v>35.25</v>
      </c>
      <c r="D209" s="22">
        <f>VLOOKUP($A209, 'Medical Examinations'!$A:$D,3, FALSE)</f>
        <v>9.51</v>
      </c>
      <c r="E209" s="22" t="str">
        <f>VLOOKUP($A209, 'Medical Examinations'!$A:$D, 4, FALSE)</f>
        <v>No</v>
      </c>
      <c r="F209" s="22" t="str">
        <f>VLOOKUP($A209, 'Medical Examinations'!$A:$J, 5, FALSE)</f>
        <v>No</v>
      </c>
      <c r="G209" s="22" t="str">
        <f>VLOOKUP($A209, 'Medical Examinations'!$A:$I, 6, FALSE)</f>
        <v>No</v>
      </c>
      <c r="H209" s="22">
        <f>VLOOKUP($A209,'Medical Examinations'!$A:$L,10, FALSE)</f>
        <v>0</v>
      </c>
      <c r="I209" s="22" t="str">
        <f>VLOOKUP($A209, 'Medical Examinations'!$A:$J, 9, FALSE)</f>
        <v>Yes</v>
      </c>
      <c r="J209" s="22" t="str">
        <f>VLOOKUP($A209, 'Medical Examinations'!$A:$P, 11, FALSE)</f>
        <v>OBESITY</v>
      </c>
      <c r="K209" s="34">
        <v>25110.0</v>
      </c>
      <c r="L209" s="35">
        <f>VLOOKUP($A209, 'Hospitalisation Details'!$A:$H, 7, FALSE)</f>
        <v>35711.39</v>
      </c>
      <c r="M209" s="22" t="str">
        <f>VLOOKUP($A209, 'Hospitalisation Details'!$A:$L, 12, FALSE)</f>
        <v>tier - 2</v>
      </c>
      <c r="N209" s="22" t="str">
        <f>VLOOKUP($A209, 'Hospitalisation Details'!$A:$M, 13, FALSE)</f>
        <v>tier - 3</v>
      </c>
      <c r="O209" s="22" t="str">
        <f>VLOOKUP($A209, 'Hospitalisation Details'!$A:$N, 14, FALSE)</f>
        <v>R1012</v>
      </c>
      <c r="P209" s="36">
        <f>VLOOKUP($A209, 'Hospitalisation Details'!$A:$O, 15, FALSE)</f>
        <v>48</v>
      </c>
    </row>
    <row r="210" ht="15.75" customHeight="1">
      <c r="A210" s="33" t="s">
        <v>419</v>
      </c>
      <c r="B210" s="22" t="str">
        <f>VLOOKUP($A210,'Customer Names'!$A:$D,3, FALSE)</f>
        <v>Cardosi</v>
      </c>
      <c r="C210" s="22">
        <f>VLOOKUP($A210,'Medical Examinations'!$A:$D, 2, FALSE)</f>
        <v>36.85</v>
      </c>
      <c r="D210" s="22">
        <f>VLOOKUP($A210, 'Medical Examinations'!$A:$D,3, FALSE)</f>
        <v>11.12</v>
      </c>
      <c r="E210" s="22" t="str">
        <f>VLOOKUP($A210, 'Medical Examinations'!$A:$D, 4, FALSE)</f>
        <v>No</v>
      </c>
      <c r="F210" s="22" t="str">
        <f>VLOOKUP($A210, 'Medical Examinations'!$A:$J, 5, FALSE)</f>
        <v>No</v>
      </c>
      <c r="G210" s="22" t="str">
        <f>VLOOKUP($A210, 'Medical Examinations'!$A:$I, 6, FALSE)</f>
        <v>No</v>
      </c>
      <c r="H210" s="22">
        <f>VLOOKUP($A210,'Medical Examinations'!$A:$L,10, FALSE)</f>
        <v>0</v>
      </c>
      <c r="I210" s="22" t="str">
        <f>VLOOKUP($A210, 'Medical Examinations'!$A:$J, 9, FALSE)</f>
        <v>Yes</v>
      </c>
      <c r="J210" s="22" t="str">
        <f>VLOOKUP($A210, 'Medical Examinations'!$A:$P, 11, FALSE)</f>
        <v>OBESITY</v>
      </c>
      <c r="K210" s="34">
        <v>26999.0</v>
      </c>
      <c r="L210" s="35">
        <f>VLOOKUP($A210, 'Hospitalisation Details'!$A:$H, 7, FALSE)</f>
        <v>35701.9</v>
      </c>
      <c r="M210" s="22" t="str">
        <f>VLOOKUP($A210, 'Hospitalisation Details'!$A:$L, 12, FALSE)</f>
        <v>tier - 2</v>
      </c>
      <c r="N210" s="22" t="str">
        <f>VLOOKUP($A210, 'Hospitalisation Details'!$A:$M, 13, FALSE)</f>
        <v>tier - 1</v>
      </c>
      <c r="O210" s="22" t="str">
        <f>VLOOKUP($A210, 'Hospitalisation Details'!$A:$N, 14, FALSE)</f>
        <v>R1011</v>
      </c>
      <c r="P210" s="36">
        <f>VLOOKUP($A210, 'Hospitalisation Details'!$A:$O, 15, FALSE)</f>
        <v>44</v>
      </c>
    </row>
    <row r="211" ht="15.75" customHeight="1">
      <c r="A211" s="33" t="s">
        <v>421</v>
      </c>
      <c r="B211" s="22" t="str">
        <f>VLOOKUP($A211,'Customer Names'!$A:$D,3, FALSE)</f>
        <v>Looney</v>
      </c>
      <c r="C211" s="22">
        <f>VLOOKUP($A211,'Medical Examinations'!$A:$D, 2, FALSE)</f>
        <v>31.02</v>
      </c>
      <c r="D211" s="22">
        <f>VLOOKUP($A211, 'Medical Examinations'!$A:$D,3, FALSE)</f>
        <v>4.56</v>
      </c>
      <c r="E211" s="22" t="str">
        <f>VLOOKUP($A211, 'Medical Examinations'!$A:$D, 4, FALSE)</f>
        <v>No</v>
      </c>
      <c r="F211" s="22" t="str">
        <f>VLOOKUP($A211, 'Medical Examinations'!$A:$J, 5, FALSE)</f>
        <v>Yes</v>
      </c>
      <c r="G211" s="22" t="str">
        <f>VLOOKUP($A211, 'Medical Examinations'!$A:$I, 6, FALSE)</f>
        <v>No</v>
      </c>
      <c r="H211" s="22">
        <f>VLOOKUP($A211,'Medical Examinations'!$A:$L,10, FALSE)</f>
        <v>1</v>
      </c>
      <c r="I211" s="22" t="str">
        <f>VLOOKUP($A211, 'Medical Examinations'!$A:$J, 9, FALSE)</f>
        <v>Yes</v>
      </c>
      <c r="J211" s="22" t="str">
        <f>VLOOKUP($A211, 'Medical Examinations'!$A:$P, 11, FALSE)</f>
        <v>OBESITY</v>
      </c>
      <c r="K211" s="34">
        <v>27255.0</v>
      </c>
      <c r="L211" s="35">
        <f>VLOOKUP($A211, 'Hospitalisation Details'!$A:$H, 7, FALSE)</f>
        <v>35595.59</v>
      </c>
      <c r="M211" s="22" t="str">
        <f>VLOOKUP($A211, 'Hospitalisation Details'!$A:$L, 12, FALSE)</f>
        <v>tier - 2</v>
      </c>
      <c r="N211" s="22" t="str">
        <f>VLOOKUP($A211, 'Hospitalisation Details'!$A:$M, 13, FALSE)</f>
        <v>tier - 3</v>
      </c>
      <c r="O211" s="22" t="str">
        <f>VLOOKUP($A211, 'Hospitalisation Details'!$A:$N, 14, FALSE)</f>
        <v>R1013</v>
      </c>
      <c r="P211" s="36">
        <f>VLOOKUP($A211, 'Hospitalisation Details'!$A:$O, 15, FALSE)</f>
        <v>22</v>
      </c>
    </row>
    <row r="212" ht="15.75" customHeight="1">
      <c r="A212" s="33" t="s">
        <v>423</v>
      </c>
      <c r="B212" s="22" t="str">
        <f>VLOOKUP($A212,'Customer Names'!$A:$D,3, FALSE)</f>
        <v>Zyryanov</v>
      </c>
      <c r="C212" s="22">
        <f>VLOOKUP($A212,'Medical Examinations'!$A:$D, 2, FALSE)</f>
        <v>35.6</v>
      </c>
      <c r="D212" s="22">
        <f>VLOOKUP($A212, 'Medical Examinations'!$A:$D,3, FALSE)</f>
        <v>4.02</v>
      </c>
      <c r="E212" s="22" t="str">
        <f>VLOOKUP($A212, 'Medical Examinations'!$A:$D, 4, FALSE)</f>
        <v>Yes</v>
      </c>
      <c r="F212" s="22" t="str">
        <f>VLOOKUP($A212, 'Medical Examinations'!$A:$J, 5, FALSE)</f>
        <v>Yes</v>
      </c>
      <c r="G212" s="22" t="str">
        <f>VLOOKUP($A212, 'Medical Examinations'!$A:$I, 6, FALSE)</f>
        <v>No</v>
      </c>
      <c r="H212" s="22">
        <f>VLOOKUP($A212,'Medical Examinations'!$A:$L,10, FALSE)</f>
        <v>2</v>
      </c>
      <c r="I212" s="22" t="str">
        <f>VLOOKUP($A212, 'Medical Examinations'!$A:$J, 9, FALSE)</f>
        <v>Yes</v>
      </c>
      <c r="J212" s="22" t="str">
        <f>VLOOKUP($A212, 'Medical Examinations'!$A:$P, 11, FALSE)</f>
        <v>OBESITY</v>
      </c>
      <c r="K212" s="34">
        <v>26564.0</v>
      </c>
      <c r="L212" s="35">
        <f>VLOOKUP($A212, 'Hospitalisation Details'!$A:$H, 7, FALSE)</f>
        <v>35585.58</v>
      </c>
      <c r="M212" s="22" t="str">
        <f>VLOOKUP($A212, 'Hospitalisation Details'!$A:$L, 12, FALSE)</f>
        <v>tier - 2</v>
      </c>
      <c r="N212" s="22" t="str">
        <f>VLOOKUP($A212, 'Hospitalisation Details'!$A:$M, 13, FALSE)</f>
        <v>tier - 3</v>
      </c>
      <c r="O212" s="22" t="str">
        <f>VLOOKUP($A212, 'Hospitalisation Details'!$A:$N, 14, FALSE)</f>
        <v>R1011</v>
      </c>
      <c r="P212" s="36">
        <f>VLOOKUP($A212, 'Hospitalisation Details'!$A:$O, 15, FALSE)</f>
        <v>22</v>
      </c>
    </row>
    <row r="213" ht="15.75" customHeight="1">
      <c r="A213" s="33" t="s">
        <v>425</v>
      </c>
      <c r="B213" s="22" t="str">
        <f>VLOOKUP($A213,'Customer Names'!$A:$D,3, FALSE)</f>
        <v>Gavin</v>
      </c>
      <c r="C213" s="22">
        <f>VLOOKUP($A213,'Medical Examinations'!$A:$D, 2, FALSE)</f>
        <v>34.39</v>
      </c>
      <c r="D213" s="22">
        <f>VLOOKUP($A213, 'Medical Examinations'!$A:$D,3, FALSE)</f>
        <v>8.72</v>
      </c>
      <c r="E213" s="22" t="str">
        <f>VLOOKUP($A213, 'Medical Examinations'!$A:$D, 4, FALSE)</f>
        <v>No</v>
      </c>
      <c r="F213" s="22" t="str">
        <f>VLOOKUP($A213, 'Medical Examinations'!$A:$J, 5, FALSE)</f>
        <v>No</v>
      </c>
      <c r="G213" s="22" t="str">
        <f>VLOOKUP($A213, 'Medical Examinations'!$A:$I, 6, FALSE)</f>
        <v>No</v>
      </c>
      <c r="H213" s="22">
        <f>VLOOKUP($A213,'Medical Examinations'!$A:$L,10, FALSE)</f>
        <v>0</v>
      </c>
      <c r="I213" s="22" t="str">
        <f>VLOOKUP($A213, 'Medical Examinations'!$A:$J, 9, FALSE)</f>
        <v>Yes</v>
      </c>
      <c r="J213" s="22" t="str">
        <f>VLOOKUP($A213, 'Medical Examinations'!$A:$P, 11, FALSE)</f>
        <v>OBESITY</v>
      </c>
      <c r="K213" s="34">
        <v>26564.0</v>
      </c>
      <c r="L213" s="35">
        <f>VLOOKUP($A213, 'Hospitalisation Details'!$A:$H, 7, FALSE)</f>
        <v>35583.17</v>
      </c>
      <c r="M213" s="22" t="str">
        <f>VLOOKUP($A213, 'Hospitalisation Details'!$A:$L, 12, FALSE)</f>
        <v>tier - 1</v>
      </c>
      <c r="N213" s="22" t="str">
        <f>VLOOKUP($A213, 'Hospitalisation Details'!$A:$M, 13, FALSE)</f>
        <v>tier - 3</v>
      </c>
      <c r="O213" s="22" t="str">
        <f>VLOOKUP($A213, 'Hospitalisation Details'!$A:$N, 14, FALSE)</f>
        <v>R1011</v>
      </c>
      <c r="P213" s="36">
        <f>VLOOKUP($A213, 'Hospitalisation Details'!$A:$O, 15, FALSE)</f>
        <v>51</v>
      </c>
    </row>
    <row r="214" ht="15.75" customHeight="1">
      <c r="A214" s="33" t="s">
        <v>427</v>
      </c>
      <c r="B214" s="22" t="str">
        <f>VLOOKUP($A214,'Customer Names'!$A:$D,3, FALSE)</f>
        <v>Littlefield</v>
      </c>
      <c r="C214" s="22">
        <f>VLOOKUP($A214,'Medical Examinations'!$A:$D, 2, FALSE)</f>
        <v>29.06</v>
      </c>
      <c r="D214" s="22">
        <f>VLOOKUP($A214, 'Medical Examinations'!$A:$D,3, FALSE)</f>
        <v>6.25</v>
      </c>
      <c r="E214" s="22" t="str">
        <f>VLOOKUP($A214, 'Medical Examinations'!$A:$D, 4, FALSE)</f>
        <v>Yes</v>
      </c>
      <c r="F214" s="22" t="str">
        <f>VLOOKUP($A214, 'Medical Examinations'!$A:$J, 5, FALSE)</f>
        <v>No</v>
      </c>
      <c r="G214" s="22" t="str">
        <f>VLOOKUP($A214, 'Medical Examinations'!$A:$I, 6, FALSE)</f>
        <v>No</v>
      </c>
      <c r="H214" s="22">
        <f>VLOOKUP($A214,'Medical Examinations'!$A:$L,10, FALSE)</f>
        <v>1</v>
      </c>
      <c r="I214" s="22" t="str">
        <f>VLOOKUP($A214, 'Medical Examinations'!$A:$J, 9, FALSE)</f>
        <v>Yes</v>
      </c>
      <c r="J214" s="22" t="str">
        <f>VLOOKUP($A214, 'Medical Examinations'!$A:$P, 11, FALSE)</f>
        <v>OVERWEIGHT</v>
      </c>
      <c r="K214" s="34">
        <v>27603.0</v>
      </c>
      <c r="L214" s="35">
        <f>VLOOKUP($A214, 'Hospitalisation Details'!$A:$H, 7, FALSE)</f>
        <v>35573.26</v>
      </c>
      <c r="M214" s="22" t="str">
        <f>VLOOKUP($A214, 'Hospitalisation Details'!$A:$L, 12, FALSE)</f>
        <v>tier - 2</v>
      </c>
      <c r="N214" s="22" t="str">
        <f>VLOOKUP($A214, 'Hospitalisation Details'!$A:$M, 13, FALSE)</f>
        <v>tier - 1</v>
      </c>
      <c r="O214" s="22" t="str">
        <f>VLOOKUP($A214, 'Hospitalisation Details'!$A:$N, 14, FALSE)</f>
        <v>R1011</v>
      </c>
      <c r="P214" s="36">
        <f>VLOOKUP($A214, 'Hospitalisation Details'!$A:$O, 15, FALSE)</f>
        <v>58</v>
      </c>
    </row>
    <row r="215" ht="15.75" customHeight="1">
      <c r="A215" s="33" t="s">
        <v>429</v>
      </c>
      <c r="B215" s="22" t="str">
        <f>VLOOKUP($A215,'Customer Names'!$A:$D,3, FALSE)</f>
        <v>Shearer</v>
      </c>
      <c r="C215" s="22">
        <f>VLOOKUP($A215,'Medical Examinations'!$A:$D, 2, FALSE)</f>
        <v>35.8</v>
      </c>
      <c r="D215" s="22">
        <f>VLOOKUP($A215, 'Medical Examinations'!$A:$D,3, FALSE)</f>
        <v>7.32</v>
      </c>
      <c r="E215" s="22" t="str">
        <f>VLOOKUP($A215, 'Medical Examinations'!$A:$D, 4, FALSE)</f>
        <v>No</v>
      </c>
      <c r="F215" s="22" t="str">
        <f>VLOOKUP($A215, 'Medical Examinations'!$A:$J, 5, FALSE)</f>
        <v>No</v>
      </c>
      <c r="G215" s="22" t="str">
        <f>VLOOKUP($A215, 'Medical Examinations'!$A:$I, 6, FALSE)</f>
        <v>No</v>
      </c>
      <c r="H215" s="22">
        <f>VLOOKUP($A215,'Medical Examinations'!$A:$L,10, FALSE)</f>
        <v>2</v>
      </c>
      <c r="I215" s="22" t="str">
        <f>VLOOKUP($A215, 'Medical Examinations'!$A:$J, 9, FALSE)</f>
        <v>Yes</v>
      </c>
      <c r="J215" s="22" t="str">
        <f>VLOOKUP($A215, 'Medical Examinations'!$A:$P, 11, FALSE)</f>
        <v>OBESITY</v>
      </c>
      <c r="K215" s="34">
        <v>27019.0</v>
      </c>
      <c r="L215" s="35">
        <f>VLOOKUP($A215, 'Hospitalisation Details'!$A:$H, 7, FALSE)</f>
        <v>35547.72</v>
      </c>
      <c r="M215" s="22" t="str">
        <f>VLOOKUP($A215, 'Hospitalisation Details'!$A:$L, 12, FALSE)</f>
        <v>tier - 1</v>
      </c>
      <c r="N215" s="22" t="str">
        <f>VLOOKUP($A215, 'Hospitalisation Details'!$A:$M, 13, FALSE)</f>
        <v>tier - 1</v>
      </c>
      <c r="O215" s="22" t="str">
        <f>VLOOKUP($A215, 'Hospitalisation Details'!$A:$N, 14, FALSE)</f>
        <v>R1011</v>
      </c>
      <c r="P215" s="36">
        <f>VLOOKUP($A215, 'Hospitalisation Details'!$A:$O, 15, FALSE)</f>
        <v>49</v>
      </c>
    </row>
    <row r="216" ht="15.75" customHeight="1">
      <c r="A216" s="33" t="s">
        <v>431</v>
      </c>
      <c r="B216" s="22" t="str">
        <f>VLOOKUP($A216,'Customer Names'!$A:$D,3, FALSE)</f>
        <v>Armstrong</v>
      </c>
      <c r="C216" s="22">
        <f>VLOOKUP($A216,'Medical Examinations'!$A:$D, 2, FALSE)</f>
        <v>49.8</v>
      </c>
      <c r="D216" s="22">
        <f>VLOOKUP($A216, 'Medical Examinations'!$A:$D,3, FALSE)</f>
        <v>4.24</v>
      </c>
      <c r="E216" s="22" t="str">
        <f>VLOOKUP($A216, 'Medical Examinations'!$A:$D, 4, FALSE)</f>
        <v>No</v>
      </c>
      <c r="F216" s="22" t="str">
        <f>VLOOKUP($A216, 'Medical Examinations'!$A:$J, 5, FALSE)</f>
        <v>No</v>
      </c>
      <c r="G216" s="22" t="str">
        <f>VLOOKUP($A216, 'Medical Examinations'!$A:$I, 6, FALSE)</f>
        <v>No</v>
      </c>
      <c r="H216" s="22">
        <f>VLOOKUP($A216,'Medical Examinations'!$A:$L,10, FALSE)</f>
        <v>1</v>
      </c>
      <c r="I216" s="22" t="str">
        <f>VLOOKUP($A216, 'Medical Examinations'!$A:$J, 9, FALSE)</f>
        <v>Yes</v>
      </c>
      <c r="J216" s="22" t="str">
        <f>VLOOKUP($A216, 'Medical Examinations'!$A:$P, 11, FALSE)</f>
        <v>OBESITY</v>
      </c>
      <c r="K216" s="34">
        <v>26266.0</v>
      </c>
      <c r="L216" s="35">
        <f>VLOOKUP($A216, 'Hospitalisation Details'!$A:$H, 7, FALSE)</f>
        <v>35547.47</v>
      </c>
      <c r="M216" s="22" t="str">
        <f>VLOOKUP($A216, 'Hospitalisation Details'!$A:$L, 12, FALSE)</f>
        <v>tier - 2</v>
      </c>
      <c r="N216" s="22" t="str">
        <f>VLOOKUP($A216, 'Hospitalisation Details'!$A:$M, 13, FALSE)</f>
        <v>tier - 3</v>
      </c>
      <c r="O216" s="22" t="str">
        <f>VLOOKUP($A216, 'Hospitalisation Details'!$A:$N, 14, FALSE)</f>
        <v>R1011</v>
      </c>
      <c r="P216" s="36">
        <f>VLOOKUP($A216, 'Hospitalisation Details'!$A:$O, 15, FALSE)</f>
        <v>30</v>
      </c>
    </row>
    <row r="217" ht="15.75" customHeight="1">
      <c r="A217" s="33" t="s">
        <v>433</v>
      </c>
      <c r="B217" s="22" t="str">
        <f>VLOOKUP($A217,'Customer Names'!$A:$D,3, FALSE)</f>
        <v>Warriner</v>
      </c>
      <c r="C217" s="22">
        <f>VLOOKUP($A217,'Medical Examinations'!$A:$D, 2, FALSE)</f>
        <v>35.71</v>
      </c>
      <c r="D217" s="22">
        <f>VLOOKUP($A217, 'Medical Examinations'!$A:$D,3, FALSE)</f>
        <v>6.84</v>
      </c>
      <c r="E217" s="22" t="str">
        <f>VLOOKUP($A217, 'Medical Examinations'!$A:$D, 4, FALSE)</f>
        <v>No</v>
      </c>
      <c r="F217" s="22" t="str">
        <f>VLOOKUP($A217, 'Medical Examinations'!$A:$J, 5, FALSE)</f>
        <v>No</v>
      </c>
      <c r="G217" s="22" t="str">
        <f>VLOOKUP($A217, 'Medical Examinations'!$A:$I, 6, FALSE)</f>
        <v>No</v>
      </c>
      <c r="H217" s="22">
        <f>VLOOKUP($A217,'Medical Examinations'!$A:$L,10, FALSE)</f>
        <v>2</v>
      </c>
      <c r="I217" s="22" t="str">
        <f>VLOOKUP($A217, 'Medical Examinations'!$A:$J, 9, FALSE)</f>
        <v>Yes</v>
      </c>
      <c r="J217" s="22" t="str">
        <f>VLOOKUP($A217, 'Medical Examinations'!$A:$P, 11, FALSE)</f>
        <v>OBESITY</v>
      </c>
      <c r="K217" s="34">
        <v>33838.0</v>
      </c>
      <c r="L217" s="35">
        <f>VLOOKUP($A217, 'Hospitalisation Details'!$A:$H, 7, FALSE)</f>
        <v>35517.19</v>
      </c>
      <c r="M217" s="22" t="str">
        <f>VLOOKUP($A217, 'Hospitalisation Details'!$A:$L, 12, FALSE)</f>
        <v>tier - 2</v>
      </c>
      <c r="N217" s="22" t="str">
        <f>VLOOKUP($A217, 'Hospitalisation Details'!$A:$M, 13, FALSE)</f>
        <v>tier - 2</v>
      </c>
      <c r="O217" s="22" t="str">
        <f>VLOOKUP($A217, 'Hospitalisation Details'!$A:$N, 14, FALSE)</f>
        <v>R1011</v>
      </c>
      <c r="P217" s="36">
        <f>VLOOKUP($A217, 'Hospitalisation Details'!$A:$O, 15, FALSE)</f>
        <v>49</v>
      </c>
    </row>
    <row r="218" ht="15.75" customHeight="1">
      <c r="A218" s="33" t="s">
        <v>435</v>
      </c>
      <c r="B218" s="22" t="str">
        <f>VLOOKUP($A218,'Customer Names'!$A:$D,3, FALSE)</f>
        <v>White</v>
      </c>
      <c r="C218" s="22">
        <f>VLOOKUP($A218,'Medical Examinations'!$A:$D, 2, FALSE)</f>
        <v>30.8</v>
      </c>
      <c r="D218" s="22">
        <f>VLOOKUP($A218, 'Medical Examinations'!$A:$D,3, FALSE)</f>
        <v>5.23</v>
      </c>
      <c r="E218" s="22" t="str">
        <f>VLOOKUP($A218, 'Medical Examinations'!$A:$D, 4, FALSE)</f>
        <v>Yes</v>
      </c>
      <c r="F218" s="22" t="str">
        <f>VLOOKUP($A218, 'Medical Examinations'!$A:$J, 5, FALSE)</f>
        <v>No</v>
      </c>
      <c r="G218" s="22" t="str">
        <f>VLOOKUP($A218, 'Medical Examinations'!$A:$I, 6, FALSE)</f>
        <v>No</v>
      </c>
      <c r="H218" s="22">
        <f>VLOOKUP($A218,'Medical Examinations'!$A:$L,10, FALSE)</f>
        <v>1</v>
      </c>
      <c r="I218" s="22" t="str">
        <f>VLOOKUP($A218, 'Medical Examinations'!$A:$J, 9, FALSE)</f>
        <v>Yes</v>
      </c>
      <c r="J218" s="22" t="str">
        <f>VLOOKUP($A218, 'Medical Examinations'!$A:$P, 11, FALSE)</f>
        <v>OBESITY</v>
      </c>
      <c r="K218" s="34">
        <v>25439.0</v>
      </c>
      <c r="L218" s="35">
        <f>VLOOKUP($A218, 'Hospitalisation Details'!$A:$H, 7, FALSE)</f>
        <v>35491.64</v>
      </c>
      <c r="M218" s="22" t="str">
        <f>VLOOKUP($A218, 'Hospitalisation Details'!$A:$L, 12, FALSE)</f>
        <v>tier - 1</v>
      </c>
      <c r="N218" s="22" t="str">
        <f>VLOOKUP($A218, 'Hospitalisation Details'!$A:$M, 13, FALSE)</f>
        <v>tier - 2</v>
      </c>
      <c r="O218" s="22" t="str">
        <f>VLOOKUP($A218, 'Hospitalisation Details'!$A:$N, 14, FALSE)</f>
        <v>R1011</v>
      </c>
      <c r="P218" s="36">
        <f>VLOOKUP($A218, 'Hospitalisation Details'!$A:$O, 15, FALSE)</f>
        <v>34</v>
      </c>
    </row>
    <row r="219" ht="15.75" customHeight="1">
      <c r="A219" s="33" t="s">
        <v>437</v>
      </c>
      <c r="B219" s="22" t="str">
        <f>VLOOKUP($A219,'Customer Names'!$A:$D,3, FALSE)</f>
        <v>Cordaro</v>
      </c>
      <c r="C219" s="22">
        <f>VLOOKUP($A219,'Medical Examinations'!$A:$D, 2, FALSE)</f>
        <v>33.69</v>
      </c>
      <c r="D219" s="22">
        <f>VLOOKUP($A219, 'Medical Examinations'!$A:$D,3, FALSE)</f>
        <v>9.68</v>
      </c>
      <c r="E219" s="22" t="str">
        <f>VLOOKUP($A219, 'Medical Examinations'!$A:$D, 4, FALSE)</f>
        <v>No</v>
      </c>
      <c r="F219" s="22" t="str">
        <f>VLOOKUP($A219, 'Medical Examinations'!$A:$J, 5, FALSE)</f>
        <v>No</v>
      </c>
      <c r="G219" s="22" t="str">
        <f>VLOOKUP($A219, 'Medical Examinations'!$A:$I, 6, FALSE)</f>
        <v>No</v>
      </c>
      <c r="H219" s="22">
        <f>VLOOKUP($A219,'Medical Examinations'!$A:$L,10, FALSE)</f>
        <v>0</v>
      </c>
      <c r="I219" s="22" t="str">
        <f>VLOOKUP($A219, 'Medical Examinations'!$A:$J, 9, FALSE)</f>
        <v>Yes</v>
      </c>
      <c r="J219" s="22" t="str">
        <f>VLOOKUP($A219, 'Medical Examinations'!$A:$P, 11, FALSE)</f>
        <v>OBESITY</v>
      </c>
      <c r="K219" s="34">
        <v>28092.0</v>
      </c>
      <c r="L219" s="35">
        <f>VLOOKUP($A219, 'Hospitalisation Details'!$A:$H, 7, FALSE)</f>
        <v>35345.73</v>
      </c>
      <c r="M219" s="22" t="str">
        <f>VLOOKUP($A219, 'Hospitalisation Details'!$A:$L, 12, FALSE)</f>
        <v>tier - 2</v>
      </c>
      <c r="N219" s="22" t="str">
        <f>VLOOKUP($A219, 'Hospitalisation Details'!$A:$M, 13, FALSE)</f>
        <v>tier - 3</v>
      </c>
      <c r="O219" s="22" t="str">
        <f>VLOOKUP($A219, 'Hospitalisation Details'!$A:$N, 14, FALSE)</f>
        <v>R1011</v>
      </c>
      <c r="P219" s="36">
        <f>VLOOKUP($A219, 'Hospitalisation Details'!$A:$O, 15, FALSE)</f>
        <v>51</v>
      </c>
    </row>
    <row r="220" ht="15.75" customHeight="1">
      <c r="A220" s="33" t="s">
        <v>439</v>
      </c>
      <c r="B220" s="22" t="str">
        <f>VLOOKUP($A220,'Customer Names'!$A:$D,3, FALSE)</f>
        <v>Hamilton</v>
      </c>
      <c r="C220" s="22">
        <f>VLOOKUP($A220,'Medical Examinations'!$A:$D, 2, FALSE)</f>
        <v>42.27</v>
      </c>
      <c r="D220" s="22">
        <f>VLOOKUP($A220, 'Medical Examinations'!$A:$D,3, FALSE)</f>
        <v>6.05</v>
      </c>
      <c r="E220" s="22" t="str">
        <f>VLOOKUP($A220, 'Medical Examinations'!$A:$D, 4, FALSE)</f>
        <v>Yes</v>
      </c>
      <c r="F220" s="22" t="str">
        <f>VLOOKUP($A220, 'Medical Examinations'!$A:$J, 5, FALSE)</f>
        <v>No</v>
      </c>
      <c r="G220" s="22" t="str">
        <f>VLOOKUP($A220, 'Medical Examinations'!$A:$I, 6, FALSE)</f>
        <v>No</v>
      </c>
      <c r="H220" s="22">
        <f>VLOOKUP($A220,'Medical Examinations'!$A:$L,10, FALSE)</f>
        <v>1</v>
      </c>
      <c r="I220" s="22" t="str">
        <f>VLOOKUP($A220, 'Medical Examinations'!$A:$J, 9, FALSE)</f>
        <v>Yes</v>
      </c>
      <c r="J220" s="22" t="str">
        <f>VLOOKUP($A220, 'Medical Examinations'!$A:$P, 11, FALSE)</f>
        <v>OBESITY</v>
      </c>
      <c r="K220" s="34">
        <v>28476.0</v>
      </c>
      <c r="L220" s="35">
        <f>VLOOKUP($A220, 'Hospitalisation Details'!$A:$H, 7, FALSE)</f>
        <v>35315.96</v>
      </c>
      <c r="M220" s="22" t="str">
        <f>VLOOKUP($A220, 'Hospitalisation Details'!$A:$L, 12, FALSE)</f>
        <v>tier - 2</v>
      </c>
      <c r="N220" s="22" t="str">
        <f>VLOOKUP($A220, 'Hospitalisation Details'!$A:$M, 13, FALSE)</f>
        <v>tier - 1</v>
      </c>
      <c r="O220" s="22" t="str">
        <f>VLOOKUP($A220, 'Hospitalisation Details'!$A:$N, 14, FALSE)</f>
        <v>R1011</v>
      </c>
      <c r="P220" s="36">
        <f>VLOOKUP($A220, 'Hospitalisation Details'!$A:$O, 15, FALSE)</f>
        <v>34</v>
      </c>
    </row>
    <row r="221" ht="15.75" customHeight="1">
      <c r="A221" s="33" t="s">
        <v>441</v>
      </c>
      <c r="B221" s="22" t="str">
        <f>VLOOKUP($A221,'Customer Names'!$A:$D,3, FALSE)</f>
        <v>Meyer</v>
      </c>
      <c r="C221" s="22">
        <f>VLOOKUP($A221,'Medical Examinations'!$A:$D, 2, FALSE)</f>
        <v>53.25</v>
      </c>
      <c r="D221" s="22">
        <f>VLOOKUP($A221, 'Medical Examinations'!$A:$D,3, FALSE)</f>
        <v>6.11</v>
      </c>
      <c r="E221" s="22" t="str">
        <f>VLOOKUP($A221, 'Medical Examinations'!$A:$D, 4, FALSE)</f>
        <v>Yes</v>
      </c>
      <c r="F221" s="22" t="str">
        <f>VLOOKUP($A221, 'Medical Examinations'!$A:$J, 5, FALSE)</f>
        <v>No</v>
      </c>
      <c r="G221" s="22" t="str">
        <f>VLOOKUP($A221, 'Medical Examinations'!$A:$I, 6, FALSE)</f>
        <v>Yes</v>
      </c>
      <c r="H221" s="22">
        <f>VLOOKUP($A221,'Medical Examinations'!$A:$L,10, FALSE)</f>
        <v>1</v>
      </c>
      <c r="I221" s="22" t="str">
        <f>VLOOKUP($A221, 'Medical Examinations'!$A:$J, 9, FALSE)</f>
        <v>Yes</v>
      </c>
      <c r="J221" s="22" t="str">
        <f>VLOOKUP($A221, 'Medical Examinations'!$A:$P, 11, FALSE)</f>
        <v>OBESITY</v>
      </c>
      <c r="K221" s="34">
        <v>25358.0</v>
      </c>
      <c r="L221" s="35">
        <f>VLOOKUP($A221, 'Hospitalisation Details'!$A:$H, 7, FALSE)</f>
        <v>35302.09</v>
      </c>
      <c r="M221" s="22" t="str">
        <f>VLOOKUP($A221, 'Hospitalisation Details'!$A:$L, 12, FALSE)</f>
        <v>tier - 1</v>
      </c>
      <c r="N221" s="22" t="str">
        <f>VLOOKUP($A221, 'Hospitalisation Details'!$A:$M, 13, FALSE)</f>
        <v>tier - 2</v>
      </c>
      <c r="O221" s="22" t="str">
        <f>VLOOKUP($A221, 'Hospitalisation Details'!$A:$N, 14, FALSE)</f>
        <v>R1011</v>
      </c>
      <c r="P221" s="36">
        <f>VLOOKUP($A221, 'Hospitalisation Details'!$A:$O, 15, FALSE)</f>
        <v>25</v>
      </c>
    </row>
    <row r="222" ht="15.75" customHeight="1">
      <c r="A222" s="33" t="s">
        <v>443</v>
      </c>
      <c r="B222" s="22" t="str">
        <f>VLOOKUP($A222,'Customer Names'!$A:$D,3, FALSE)</f>
        <v>Duke</v>
      </c>
      <c r="C222" s="22">
        <f>VLOOKUP($A222,'Medical Examinations'!$A:$D, 2, FALSE)</f>
        <v>26.8</v>
      </c>
      <c r="D222" s="22">
        <f>VLOOKUP($A222, 'Medical Examinations'!$A:$D,3, FALSE)</f>
        <v>10.93</v>
      </c>
      <c r="E222" s="22" t="str">
        <f>VLOOKUP($A222, 'Medical Examinations'!$A:$D, 4, FALSE)</f>
        <v>Yes</v>
      </c>
      <c r="F222" s="22" t="str">
        <f>VLOOKUP($A222, 'Medical Examinations'!$A:$J, 5, FALSE)</f>
        <v>No</v>
      </c>
      <c r="G222" s="22" t="str">
        <f>VLOOKUP($A222, 'Medical Examinations'!$A:$I, 6, FALSE)</f>
        <v>No</v>
      </c>
      <c r="H222" s="22">
        <f>VLOOKUP($A222,'Medical Examinations'!$A:$L,10, FALSE)</f>
        <v>0</v>
      </c>
      <c r="I222" s="22" t="str">
        <f>VLOOKUP($A222, 'Medical Examinations'!$A:$J, 9, FALSE)</f>
        <v>No</v>
      </c>
      <c r="J222" s="22" t="str">
        <f>VLOOKUP($A222, 'Medical Examinations'!$A:$P, 11, FALSE)</f>
        <v>OVERWEIGHT</v>
      </c>
      <c r="K222" s="34">
        <v>29053.0</v>
      </c>
      <c r="L222" s="35">
        <f>VLOOKUP($A222, 'Hospitalisation Details'!$A:$H, 7, FALSE)</f>
        <v>35160.13</v>
      </c>
      <c r="M222" s="22" t="str">
        <f>VLOOKUP($A222, 'Hospitalisation Details'!$A:$L, 12, FALSE)</f>
        <v>tier - 2</v>
      </c>
      <c r="N222" s="22" t="str">
        <f>VLOOKUP($A222, 'Hospitalisation Details'!$A:$M, 13, FALSE)</f>
        <v>tier - 2</v>
      </c>
      <c r="O222" s="22" t="str">
        <f>VLOOKUP($A222, 'Hospitalisation Details'!$A:$N, 14, FALSE)</f>
        <v>R1011</v>
      </c>
      <c r="P222" s="36">
        <f>VLOOKUP($A222, 'Hospitalisation Details'!$A:$O, 15, FALSE)</f>
        <v>55</v>
      </c>
    </row>
    <row r="223" ht="15.75" customHeight="1">
      <c r="A223" s="33" t="s">
        <v>445</v>
      </c>
      <c r="B223" s="22" t="str">
        <f>VLOOKUP($A223,'Customer Names'!$A:$D,3, FALSE)</f>
        <v>Malatesta</v>
      </c>
      <c r="C223" s="22">
        <f>VLOOKUP($A223,'Medical Examinations'!$A:$D, 2, FALSE)</f>
        <v>28.5</v>
      </c>
      <c r="D223" s="22">
        <f>VLOOKUP($A223, 'Medical Examinations'!$A:$D,3, FALSE)</f>
        <v>5.12</v>
      </c>
      <c r="E223" s="22" t="str">
        <f>VLOOKUP($A223, 'Medical Examinations'!$A:$D, 4, FALSE)</f>
        <v>No</v>
      </c>
      <c r="F223" s="22" t="str">
        <f>VLOOKUP($A223, 'Medical Examinations'!$A:$J, 5, FALSE)</f>
        <v>No</v>
      </c>
      <c r="G223" s="22" t="str">
        <f>VLOOKUP($A223, 'Medical Examinations'!$A:$I, 6, FALSE)</f>
        <v>No</v>
      </c>
      <c r="H223" s="22">
        <f>VLOOKUP($A223,'Medical Examinations'!$A:$L,10, FALSE)</f>
        <v>1</v>
      </c>
      <c r="I223" s="22" t="str">
        <f>VLOOKUP($A223, 'Medical Examinations'!$A:$J, 9, FALSE)</f>
        <v>Yes</v>
      </c>
      <c r="J223" s="22" t="str">
        <f>VLOOKUP($A223, 'Medical Examinations'!$A:$P, 11, FALSE)</f>
        <v>OVERWEIGHT</v>
      </c>
      <c r="K223" s="34">
        <v>32095.0</v>
      </c>
      <c r="L223" s="35">
        <f>VLOOKUP($A223, 'Hospitalisation Details'!$A:$H, 7, FALSE)</f>
        <v>35147.53</v>
      </c>
      <c r="M223" s="22" t="str">
        <f>VLOOKUP($A223, 'Hospitalisation Details'!$A:$L, 12, FALSE)</f>
        <v>tier - 1</v>
      </c>
      <c r="N223" s="22" t="str">
        <f>VLOOKUP($A223, 'Hospitalisation Details'!$A:$M, 13, FALSE)</f>
        <v>tier - 1</v>
      </c>
      <c r="O223" s="22" t="str">
        <f>VLOOKUP($A223, 'Hospitalisation Details'!$A:$N, 14, FALSE)</f>
        <v>R1016</v>
      </c>
      <c r="P223" s="36">
        <f>VLOOKUP($A223, 'Hospitalisation Details'!$A:$O, 15, FALSE)</f>
        <v>24</v>
      </c>
    </row>
    <row r="224" ht="15.75" customHeight="1">
      <c r="A224" s="33" t="s">
        <v>447</v>
      </c>
      <c r="B224" s="22" t="str">
        <f>VLOOKUP($A224,'Customer Names'!$A:$D,3, FALSE)</f>
        <v>Hinrichsen</v>
      </c>
      <c r="C224" s="22">
        <f>VLOOKUP($A224,'Medical Examinations'!$A:$D, 2, FALSE)</f>
        <v>22.895</v>
      </c>
      <c r="D224" s="22">
        <f>VLOOKUP($A224, 'Medical Examinations'!$A:$D,3, FALSE)</f>
        <v>5.72</v>
      </c>
      <c r="E224" s="22" t="str">
        <f>VLOOKUP($A224, 'Medical Examinations'!$A:$D, 4, FALSE)</f>
        <v>No</v>
      </c>
      <c r="F224" s="22" t="str">
        <f>VLOOKUP($A224, 'Medical Examinations'!$A:$J, 5, FALSE)</f>
        <v>No</v>
      </c>
      <c r="G224" s="22" t="str">
        <f>VLOOKUP($A224, 'Medical Examinations'!$A:$I, 6, FALSE)</f>
        <v>No</v>
      </c>
      <c r="H224" s="22">
        <f>VLOOKUP($A224,'Medical Examinations'!$A:$L,10, FALSE)</f>
        <v>0</v>
      </c>
      <c r="I224" s="22" t="str">
        <f>VLOOKUP($A224, 'Medical Examinations'!$A:$J, 9, FALSE)</f>
        <v>Yes</v>
      </c>
      <c r="J224" s="22" t="str">
        <f>VLOOKUP($A224, 'Medical Examinations'!$A:$P, 11, FALSE)</f>
        <v>NORMAL WEIGHT</v>
      </c>
      <c r="K224" s="34">
        <v>27188.0</v>
      </c>
      <c r="L224" s="35">
        <f>VLOOKUP($A224, 'Hospitalisation Details'!$A:$H, 7, FALSE)</f>
        <v>35069.37</v>
      </c>
      <c r="M224" s="22" t="str">
        <f>VLOOKUP($A224, 'Hospitalisation Details'!$A:$L, 12, FALSE)</f>
        <v>tier - 1</v>
      </c>
      <c r="N224" s="22" t="str">
        <f>VLOOKUP($A224, 'Hospitalisation Details'!$A:$M, 13, FALSE)</f>
        <v>tier - 1</v>
      </c>
      <c r="O224" s="22" t="str">
        <f>VLOOKUP($A224, 'Hospitalisation Details'!$A:$N, 14, FALSE)</f>
        <v>R1017</v>
      </c>
      <c r="P224" s="36">
        <f>VLOOKUP($A224, 'Hospitalisation Details'!$A:$O, 15, FALSE)</f>
        <v>45</v>
      </c>
    </row>
    <row r="225" ht="15.75" customHeight="1">
      <c r="A225" s="33" t="s">
        <v>449</v>
      </c>
      <c r="B225" s="22" t="str">
        <f>VLOOKUP($A225,'Customer Names'!$A:$D,3, FALSE)</f>
        <v>Lucan</v>
      </c>
      <c r="C225" s="22">
        <f>VLOOKUP($A225,'Medical Examinations'!$A:$D, 2, FALSE)</f>
        <v>34.06</v>
      </c>
      <c r="D225" s="22">
        <f>VLOOKUP($A225, 'Medical Examinations'!$A:$D,3, FALSE)</f>
        <v>11.83</v>
      </c>
      <c r="E225" s="22" t="str">
        <f>VLOOKUP($A225, 'Medical Examinations'!$A:$D, 4, FALSE)</f>
        <v>Yes</v>
      </c>
      <c r="F225" s="22" t="str">
        <f>VLOOKUP($A225, 'Medical Examinations'!$A:$J, 5, FALSE)</f>
        <v>No</v>
      </c>
      <c r="G225" s="22" t="str">
        <f>VLOOKUP($A225, 'Medical Examinations'!$A:$I, 6, FALSE)</f>
        <v>No</v>
      </c>
      <c r="H225" s="22">
        <f>VLOOKUP($A225,'Medical Examinations'!$A:$L,10, FALSE)</f>
        <v>1</v>
      </c>
      <c r="I225" s="22" t="str">
        <f>VLOOKUP($A225, 'Medical Examinations'!$A:$J, 9, FALSE)</f>
        <v>Yes</v>
      </c>
      <c r="J225" s="22" t="str">
        <f>VLOOKUP($A225, 'Medical Examinations'!$A:$P, 11, FALSE)</f>
        <v>OBESITY</v>
      </c>
      <c r="K225" s="34">
        <v>27360.0</v>
      </c>
      <c r="L225" s="35">
        <f>VLOOKUP($A225, 'Hospitalisation Details'!$A:$H, 7, FALSE)</f>
        <v>35050.62</v>
      </c>
      <c r="M225" s="22" t="str">
        <f>VLOOKUP($A225, 'Hospitalisation Details'!$A:$L, 12, FALSE)</f>
        <v>tier - 2</v>
      </c>
      <c r="N225" s="22" t="str">
        <f>VLOOKUP($A225, 'Hospitalisation Details'!$A:$M, 13, FALSE)</f>
        <v>tier - 1</v>
      </c>
      <c r="O225" s="22" t="str">
        <f>VLOOKUP($A225, 'Hospitalisation Details'!$A:$N, 14, FALSE)</f>
        <v>R1011</v>
      </c>
      <c r="P225" s="36">
        <f>VLOOKUP($A225, 'Hospitalisation Details'!$A:$O, 15, FALSE)</f>
        <v>47</v>
      </c>
    </row>
    <row r="226" ht="15.75" customHeight="1">
      <c r="A226" s="33" t="s">
        <v>451</v>
      </c>
      <c r="B226" s="22" t="str">
        <f>VLOOKUP($A226,'Customer Names'!$A:$D,3, FALSE)</f>
        <v>Koch</v>
      </c>
      <c r="C226" s="22">
        <f>VLOOKUP($A226,'Medical Examinations'!$A:$D, 2, FALSE)</f>
        <v>36.41</v>
      </c>
      <c r="D226" s="22">
        <f>VLOOKUP($A226, 'Medical Examinations'!$A:$D,3, FALSE)</f>
        <v>4.55</v>
      </c>
      <c r="E226" s="22" t="str">
        <f>VLOOKUP($A226, 'Medical Examinations'!$A:$D, 4, FALSE)</f>
        <v>No</v>
      </c>
      <c r="F226" s="22" t="str">
        <f>VLOOKUP($A226, 'Medical Examinations'!$A:$J, 5, FALSE)</f>
        <v>No</v>
      </c>
      <c r="G226" s="22" t="str">
        <f>VLOOKUP($A226, 'Medical Examinations'!$A:$I, 6, FALSE)</f>
        <v>No</v>
      </c>
      <c r="H226" s="22">
        <f>VLOOKUP($A226,'Medical Examinations'!$A:$L,10, FALSE)</f>
        <v>0</v>
      </c>
      <c r="I226" s="22" t="str">
        <f>VLOOKUP($A226, 'Medical Examinations'!$A:$J, 9, FALSE)</f>
        <v>Yes</v>
      </c>
      <c r="J226" s="22" t="str">
        <f>VLOOKUP($A226, 'Medical Examinations'!$A:$P, 11, FALSE)</f>
        <v>OBESITY</v>
      </c>
      <c r="K226" s="34">
        <v>28067.0</v>
      </c>
      <c r="L226" s="35">
        <f>VLOOKUP($A226, 'Hospitalisation Details'!$A:$H, 7, FALSE)</f>
        <v>35000.73</v>
      </c>
      <c r="M226" s="22" t="str">
        <f>VLOOKUP($A226, 'Hospitalisation Details'!$A:$L, 12, FALSE)</f>
        <v>tier - 2</v>
      </c>
      <c r="N226" s="22" t="str">
        <f>VLOOKUP($A226, 'Hospitalisation Details'!$A:$M, 13, FALSE)</f>
        <v>tier - 3</v>
      </c>
      <c r="O226" s="22" t="str">
        <f>VLOOKUP($A226, 'Hospitalisation Details'!$A:$N, 14, FALSE)</f>
        <v>R1011</v>
      </c>
      <c r="P226" s="36">
        <f>VLOOKUP($A226, 'Hospitalisation Details'!$A:$O, 15, FALSE)</f>
        <v>40</v>
      </c>
    </row>
    <row r="227" ht="15.75" customHeight="1">
      <c r="A227" s="33" t="s">
        <v>453</v>
      </c>
      <c r="B227" s="22" t="str">
        <f>VLOOKUP($A227,'Customer Names'!$A:$D,3, FALSE)</f>
        <v>Smith</v>
      </c>
      <c r="C227" s="22">
        <f>VLOOKUP($A227,'Medical Examinations'!$A:$D, 2, FALSE)</f>
        <v>52.3</v>
      </c>
      <c r="D227" s="22">
        <f>VLOOKUP($A227, 'Medical Examinations'!$A:$D,3, FALSE)</f>
        <v>4.87</v>
      </c>
      <c r="E227" s="22" t="str">
        <f>VLOOKUP($A227, 'Medical Examinations'!$A:$D, 4, FALSE)</f>
        <v>Yes</v>
      </c>
      <c r="F227" s="22" t="str">
        <f>VLOOKUP($A227, 'Medical Examinations'!$A:$J, 5, FALSE)</f>
        <v>No</v>
      </c>
      <c r="G227" s="22" t="str">
        <f>VLOOKUP($A227, 'Medical Examinations'!$A:$I, 6, FALSE)</f>
        <v>Yes</v>
      </c>
      <c r="H227" s="22">
        <f>VLOOKUP($A227,'Medical Examinations'!$A:$L,10, FALSE)</f>
        <v>1</v>
      </c>
      <c r="I227" s="22" t="str">
        <f>VLOOKUP($A227, 'Medical Examinations'!$A:$J, 9, FALSE)</f>
        <v>Yes</v>
      </c>
      <c r="J227" s="22" t="str">
        <f>VLOOKUP($A227, 'Medical Examinations'!$A:$P, 11, FALSE)</f>
        <v>OBESITY</v>
      </c>
      <c r="K227" s="34">
        <v>28063.0</v>
      </c>
      <c r="L227" s="35">
        <f>VLOOKUP($A227, 'Hospitalisation Details'!$A:$H, 7, FALSE)</f>
        <v>34979.86</v>
      </c>
      <c r="M227" s="22" t="str">
        <f>VLOOKUP($A227, 'Hospitalisation Details'!$A:$L, 12, FALSE)</f>
        <v>tier - 2</v>
      </c>
      <c r="N227" s="22" t="str">
        <f>VLOOKUP($A227, 'Hospitalisation Details'!$A:$M, 13, FALSE)</f>
        <v>tier - 2</v>
      </c>
      <c r="O227" s="22" t="str">
        <f>VLOOKUP($A227, 'Hospitalisation Details'!$A:$N, 14, FALSE)</f>
        <v>R1011</v>
      </c>
      <c r="P227" s="36">
        <f>VLOOKUP($A227, 'Hospitalisation Details'!$A:$O, 15, FALSE)</f>
        <v>25</v>
      </c>
    </row>
    <row r="228" ht="15.75" customHeight="1">
      <c r="A228" s="33" t="s">
        <v>455</v>
      </c>
      <c r="B228" s="22" t="str">
        <f>VLOOKUP($A228,'Customer Names'!$A:$D,3, FALSE)</f>
        <v>O'Connor</v>
      </c>
      <c r="C228" s="22">
        <f>VLOOKUP($A228,'Medical Examinations'!$A:$D, 2, FALSE)</f>
        <v>52.66</v>
      </c>
      <c r="D228" s="22">
        <f>VLOOKUP($A228, 'Medical Examinations'!$A:$D,3, FALSE)</f>
        <v>4.45</v>
      </c>
      <c r="E228" s="22" t="str">
        <f>VLOOKUP($A228, 'Medical Examinations'!$A:$D, 4, FALSE)</f>
        <v>No</v>
      </c>
      <c r="F228" s="22" t="str">
        <f>VLOOKUP($A228, 'Medical Examinations'!$A:$J, 5, FALSE)</f>
        <v>No</v>
      </c>
      <c r="G228" s="22" t="str">
        <f>VLOOKUP($A228, 'Medical Examinations'!$A:$I, 6, FALSE)</f>
        <v>No</v>
      </c>
      <c r="H228" s="22">
        <f>VLOOKUP($A228,'Medical Examinations'!$A:$L,10, FALSE)</f>
        <v>1</v>
      </c>
      <c r="I228" s="22" t="str">
        <f>VLOOKUP($A228, 'Medical Examinations'!$A:$J, 9, FALSE)</f>
        <v>Yes</v>
      </c>
      <c r="J228" s="22" t="str">
        <f>VLOOKUP($A228, 'Medical Examinations'!$A:$P, 11, FALSE)</f>
        <v>OBESITY</v>
      </c>
      <c r="K228" s="34">
        <v>28050.0</v>
      </c>
      <c r="L228" s="35">
        <f>VLOOKUP($A228, 'Hospitalisation Details'!$A:$H, 7, FALSE)</f>
        <v>34976.42</v>
      </c>
      <c r="M228" s="22" t="str">
        <f>VLOOKUP($A228, 'Hospitalisation Details'!$A:$L, 12, FALSE)</f>
        <v>tier - 2</v>
      </c>
      <c r="N228" s="22" t="str">
        <f>VLOOKUP($A228, 'Hospitalisation Details'!$A:$M, 13, FALSE)</f>
        <v>tier - 1</v>
      </c>
      <c r="O228" s="22" t="str">
        <f>VLOOKUP($A228, 'Hospitalisation Details'!$A:$N, 14, FALSE)</f>
        <v>R1011</v>
      </c>
      <c r="P228" s="36">
        <f>VLOOKUP($A228, 'Hospitalisation Details'!$A:$O, 15, FALSE)</f>
        <v>24</v>
      </c>
    </row>
    <row r="229" ht="15.75" customHeight="1">
      <c r="A229" s="33" t="s">
        <v>457</v>
      </c>
      <c r="B229" s="22" t="str">
        <f>VLOOKUP($A229,'Customer Names'!$A:$D,3, FALSE)</f>
        <v>Kampwerth</v>
      </c>
      <c r="C229" s="22">
        <f>VLOOKUP($A229,'Medical Examinations'!$A:$D, 2, FALSE)</f>
        <v>29.57</v>
      </c>
      <c r="D229" s="22">
        <f>VLOOKUP($A229, 'Medical Examinations'!$A:$D,3, FALSE)</f>
        <v>9.42</v>
      </c>
      <c r="E229" s="22" t="str">
        <f>VLOOKUP($A229, 'Medical Examinations'!$A:$D, 4, FALSE)</f>
        <v>Yes</v>
      </c>
      <c r="F229" s="22" t="str">
        <f>VLOOKUP($A229, 'Medical Examinations'!$A:$J, 5, FALSE)</f>
        <v>No</v>
      </c>
      <c r="G229" s="22" t="str">
        <f>VLOOKUP($A229, 'Medical Examinations'!$A:$I, 6, FALSE)</f>
        <v>No</v>
      </c>
      <c r="H229" s="22">
        <f>VLOOKUP($A229,'Medical Examinations'!$A:$L,10, FALSE)</f>
        <v>0</v>
      </c>
      <c r="I229" s="22" t="str">
        <f>VLOOKUP($A229, 'Medical Examinations'!$A:$J, 9, FALSE)</f>
        <v>Yes</v>
      </c>
      <c r="J229" s="22" t="str">
        <f>VLOOKUP($A229, 'Medical Examinations'!$A:$P, 11, FALSE)</f>
        <v>OVERWEIGHT</v>
      </c>
      <c r="K229" s="34">
        <v>26226.0</v>
      </c>
      <c r="L229" s="35">
        <f>VLOOKUP($A229, 'Hospitalisation Details'!$A:$H, 7, FALSE)</f>
        <v>34975.68</v>
      </c>
      <c r="M229" s="22" t="str">
        <f>VLOOKUP($A229, 'Hospitalisation Details'!$A:$L, 12, FALSE)</f>
        <v>tier - 2</v>
      </c>
      <c r="N229" s="22" t="str">
        <f>VLOOKUP($A229, 'Hospitalisation Details'!$A:$M, 13, FALSE)</f>
        <v>tier - 2</v>
      </c>
      <c r="O229" s="22" t="str">
        <f>VLOOKUP($A229, 'Hospitalisation Details'!$A:$N, 14, FALSE)</f>
        <v>R1011</v>
      </c>
      <c r="P229" s="36">
        <f>VLOOKUP($A229, 'Hospitalisation Details'!$A:$O, 15, FALSE)</f>
        <v>55</v>
      </c>
    </row>
    <row r="230" ht="15.75" customHeight="1">
      <c r="A230" s="33" t="s">
        <v>459</v>
      </c>
      <c r="B230" s="22" t="str">
        <f>VLOOKUP($A230,'Customer Names'!$A:$D,3, FALSE)</f>
        <v>Federoff</v>
      </c>
      <c r="C230" s="22">
        <f>VLOOKUP($A230,'Medical Examinations'!$A:$D, 2, FALSE)</f>
        <v>36.99</v>
      </c>
      <c r="D230" s="22">
        <f>VLOOKUP($A230, 'Medical Examinations'!$A:$D,3, FALSE)</f>
        <v>5.37</v>
      </c>
      <c r="E230" s="22" t="str">
        <f>VLOOKUP($A230, 'Medical Examinations'!$A:$D, 4, FALSE)</f>
        <v>Yes</v>
      </c>
      <c r="F230" s="22" t="str">
        <f>VLOOKUP($A230, 'Medical Examinations'!$A:$J, 5, FALSE)</f>
        <v>No</v>
      </c>
      <c r="G230" s="22" t="str">
        <f>VLOOKUP($A230, 'Medical Examinations'!$A:$I, 6, FALSE)</f>
        <v>Yes</v>
      </c>
      <c r="H230" s="22">
        <f>VLOOKUP($A230,'Medical Examinations'!$A:$L,10, FALSE)</f>
        <v>1</v>
      </c>
      <c r="I230" s="22" t="str">
        <f>VLOOKUP($A230, 'Medical Examinations'!$A:$J, 9, FALSE)</f>
        <v>Yes</v>
      </c>
      <c r="J230" s="22" t="str">
        <f>VLOOKUP($A230, 'Medical Examinations'!$A:$P, 11, FALSE)</f>
        <v>OBESITY</v>
      </c>
      <c r="K230" s="34">
        <v>26296.0</v>
      </c>
      <c r="L230" s="35">
        <f>VLOOKUP($A230, 'Hospitalisation Details'!$A:$H, 7, FALSE)</f>
        <v>34940.61</v>
      </c>
      <c r="M230" s="22" t="str">
        <f>VLOOKUP($A230, 'Hospitalisation Details'!$A:$L, 12, FALSE)</f>
        <v>tier - 2</v>
      </c>
      <c r="N230" s="22" t="str">
        <f>VLOOKUP($A230, 'Hospitalisation Details'!$A:$M, 13, FALSE)</f>
        <v>tier - 3</v>
      </c>
      <c r="O230" s="22" t="str">
        <f>VLOOKUP($A230, 'Hospitalisation Details'!$A:$N, 14, FALSE)</f>
        <v>R1011</v>
      </c>
      <c r="P230" s="36">
        <f>VLOOKUP($A230, 'Hospitalisation Details'!$A:$O, 15, FALSE)</f>
        <v>39</v>
      </c>
    </row>
    <row r="231" ht="15.75" customHeight="1">
      <c r="A231" s="33" t="s">
        <v>461</v>
      </c>
      <c r="B231" s="22" t="str">
        <f>VLOOKUP($A231,'Customer Names'!$A:$D,3, FALSE)</f>
        <v>Goya</v>
      </c>
      <c r="C231" s="22">
        <f>VLOOKUP($A231,'Medical Examinations'!$A:$D, 2, FALSE)</f>
        <v>31.4</v>
      </c>
      <c r="D231" s="22">
        <f>VLOOKUP($A231, 'Medical Examinations'!$A:$D,3, FALSE)</f>
        <v>4.6</v>
      </c>
      <c r="E231" s="22" t="str">
        <f>VLOOKUP($A231, 'Medical Examinations'!$A:$D, 4, FALSE)</f>
        <v>Yes</v>
      </c>
      <c r="F231" s="22" t="str">
        <f>VLOOKUP($A231, 'Medical Examinations'!$A:$J, 5, FALSE)</f>
        <v>No</v>
      </c>
      <c r="G231" s="22" t="str">
        <f>VLOOKUP($A231, 'Medical Examinations'!$A:$I, 6, FALSE)</f>
        <v>No</v>
      </c>
      <c r="H231" s="22">
        <f>VLOOKUP($A231,'Medical Examinations'!$A:$L,10, FALSE)</f>
        <v>1</v>
      </c>
      <c r="I231" s="22" t="str">
        <f>VLOOKUP($A231, 'Medical Examinations'!$A:$J, 9, FALSE)</f>
        <v>Yes</v>
      </c>
      <c r="J231" s="22" t="str">
        <f>VLOOKUP($A231, 'Medical Examinations'!$A:$P, 11, FALSE)</f>
        <v>OBESITY</v>
      </c>
      <c r="K231" s="34">
        <v>24042.0</v>
      </c>
      <c r="L231" s="35">
        <f>VLOOKUP($A231, 'Hospitalisation Details'!$A:$H, 7, FALSE)</f>
        <v>34838.87</v>
      </c>
      <c r="M231" s="22" t="str">
        <f>VLOOKUP($A231, 'Hospitalisation Details'!$A:$L, 12, FALSE)</f>
        <v>tier - 2</v>
      </c>
      <c r="N231" s="22" t="str">
        <f>VLOOKUP($A231, 'Hospitalisation Details'!$A:$M, 13, FALSE)</f>
        <v>tier - 3</v>
      </c>
      <c r="O231" s="22" t="str">
        <f>VLOOKUP($A231, 'Hospitalisation Details'!$A:$N, 14, FALSE)</f>
        <v>R1011</v>
      </c>
      <c r="P231" s="36">
        <f>VLOOKUP($A231, 'Hospitalisation Details'!$A:$O, 15, FALSE)</f>
        <v>27</v>
      </c>
    </row>
    <row r="232" ht="15.75" customHeight="1">
      <c r="A232" s="33" t="s">
        <v>463</v>
      </c>
      <c r="B232" s="22" t="str">
        <f>VLOOKUP($A232,'Customer Names'!$A:$D,3, FALSE)</f>
        <v>Hodges</v>
      </c>
      <c r="C232" s="22">
        <f>VLOOKUP($A232,'Medical Examinations'!$A:$D, 2, FALSE)</f>
        <v>34.9</v>
      </c>
      <c r="D232" s="22">
        <f>VLOOKUP($A232, 'Medical Examinations'!$A:$D,3, FALSE)</f>
        <v>6.22</v>
      </c>
      <c r="E232" s="22" t="str">
        <f>VLOOKUP($A232, 'Medical Examinations'!$A:$D, 4, FALSE)</f>
        <v>No</v>
      </c>
      <c r="F232" s="22" t="str">
        <f>VLOOKUP($A232, 'Medical Examinations'!$A:$J, 5, FALSE)</f>
        <v>No</v>
      </c>
      <c r="G232" s="22" t="str">
        <f>VLOOKUP($A232, 'Medical Examinations'!$A:$I, 6, FALSE)</f>
        <v>Yes</v>
      </c>
      <c r="H232" s="22">
        <f>VLOOKUP($A232,'Medical Examinations'!$A:$L,10, FALSE)</f>
        <v>1</v>
      </c>
      <c r="I232" s="22" t="str">
        <f>VLOOKUP($A232, 'Medical Examinations'!$A:$J, 9, FALSE)</f>
        <v>Yes</v>
      </c>
      <c r="J232" s="22" t="str">
        <f>VLOOKUP($A232, 'Medical Examinations'!$A:$P, 11, FALSE)</f>
        <v>OBESITY</v>
      </c>
      <c r="K232" s="34">
        <v>34918.0</v>
      </c>
      <c r="L232" s="35">
        <f>VLOOKUP($A232, 'Hospitalisation Details'!$A:$H, 7, FALSE)</f>
        <v>34828.65</v>
      </c>
      <c r="M232" s="22" t="str">
        <f>VLOOKUP($A232, 'Hospitalisation Details'!$A:$L, 12, FALSE)</f>
        <v>tier - 1</v>
      </c>
      <c r="N232" s="22" t="str">
        <f>VLOOKUP($A232, 'Hospitalisation Details'!$A:$M, 13, FALSE)</f>
        <v>tier - 3</v>
      </c>
      <c r="O232" s="22" t="str">
        <f>VLOOKUP($A232, 'Hospitalisation Details'!$A:$N, 14, FALSE)</f>
        <v>R1011</v>
      </c>
      <c r="P232" s="36">
        <f>VLOOKUP($A232, 'Hospitalisation Details'!$A:$O, 15, FALSE)</f>
        <v>19</v>
      </c>
    </row>
    <row r="233" ht="15.75" customHeight="1">
      <c r="A233" s="33" t="s">
        <v>465</v>
      </c>
      <c r="B233" s="22" t="str">
        <f>VLOOKUP($A233,'Customer Names'!$A:$D,3, FALSE)</f>
        <v>Erickson</v>
      </c>
      <c r="C233" s="22">
        <f>VLOOKUP($A233,'Medical Examinations'!$A:$D, 2, FALSE)</f>
        <v>31.13</v>
      </c>
      <c r="D233" s="22">
        <f>VLOOKUP($A233, 'Medical Examinations'!$A:$D,3, FALSE)</f>
        <v>4.52</v>
      </c>
      <c r="E233" s="22" t="str">
        <f>VLOOKUP($A233, 'Medical Examinations'!$A:$D, 4, FALSE)</f>
        <v>Yes</v>
      </c>
      <c r="F233" s="22" t="str">
        <f>VLOOKUP($A233, 'Medical Examinations'!$A:$J, 5, FALSE)</f>
        <v>No</v>
      </c>
      <c r="G233" s="22" t="str">
        <f>VLOOKUP($A233, 'Medical Examinations'!$A:$I, 6, FALSE)</f>
        <v>No</v>
      </c>
      <c r="H233" s="22">
        <f>VLOOKUP($A233,'Medical Examinations'!$A:$L,10, FALSE)</f>
        <v>1</v>
      </c>
      <c r="I233" s="22" t="str">
        <f>VLOOKUP($A233, 'Medical Examinations'!$A:$J, 9, FALSE)</f>
        <v>Yes</v>
      </c>
      <c r="J233" s="22" t="str">
        <f>VLOOKUP($A233, 'Medical Examinations'!$A:$P, 11, FALSE)</f>
        <v>OBESITY</v>
      </c>
      <c r="K233" s="34">
        <v>27730.0</v>
      </c>
      <c r="L233" s="35">
        <f>VLOOKUP($A233, 'Hospitalisation Details'!$A:$H, 7, FALSE)</f>
        <v>34806.47</v>
      </c>
      <c r="M233" s="22" t="str">
        <f>VLOOKUP($A233, 'Hospitalisation Details'!$A:$L, 12, FALSE)</f>
        <v>tier - 1</v>
      </c>
      <c r="N233" s="22" t="str">
        <f>VLOOKUP($A233, 'Hospitalisation Details'!$A:$M, 13, FALSE)</f>
        <v>tier - 2</v>
      </c>
      <c r="O233" s="22" t="str">
        <f>VLOOKUP($A233, 'Hospitalisation Details'!$A:$N, 14, FALSE)</f>
        <v>R1013</v>
      </c>
      <c r="P233" s="36">
        <f>VLOOKUP($A233, 'Hospitalisation Details'!$A:$O, 15, FALSE)</f>
        <v>27</v>
      </c>
    </row>
    <row r="234" ht="15.75" customHeight="1">
      <c r="A234" s="33" t="s">
        <v>467</v>
      </c>
      <c r="B234" s="22" t="str">
        <f>VLOOKUP($A234,'Customer Names'!$A:$D,3, FALSE)</f>
        <v>Welleck</v>
      </c>
      <c r="C234" s="22">
        <f>VLOOKUP($A234,'Medical Examinations'!$A:$D, 2, FALSE)</f>
        <v>34.8</v>
      </c>
      <c r="D234" s="22">
        <f>VLOOKUP($A234, 'Medical Examinations'!$A:$D,3, FALSE)</f>
        <v>6.18</v>
      </c>
      <c r="E234" s="22" t="str">
        <f>VLOOKUP($A234, 'Medical Examinations'!$A:$D, 4, FALSE)</f>
        <v>No</v>
      </c>
      <c r="F234" s="22" t="str">
        <f>VLOOKUP($A234, 'Medical Examinations'!$A:$J, 5, FALSE)</f>
        <v>No</v>
      </c>
      <c r="G234" s="22" t="str">
        <f>VLOOKUP($A234, 'Medical Examinations'!$A:$I, 6, FALSE)</f>
        <v>Yes</v>
      </c>
      <c r="H234" s="22">
        <f>VLOOKUP($A234,'Medical Examinations'!$A:$L,10, FALSE)</f>
        <v>1</v>
      </c>
      <c r="I234" s="22" t="str">
        <f>VLOOKUP($A234, 'Medical Examinations'!$A:$J, 9, FALSE)</f>
        <v>Yes</v>
      </c>
      <c r="J234" s="22" t="str">
        <f>VLOOKUP($A234, 'Medical Examinations'!$A:$P, 11, FALSE)</f>
        <v>OBESITY</v>
      </c>
      <c r="K234" s="34">
        <v>26263.0</v>
      </c>
      <c r="L234" s="35">
        <f>VLOOKUP($A234, 'Hospitalisation Details'!$A:$H, 7, FALSE)</f>
        <v>34779.62</v>
      </c>
      <c r="M234" s="22" t="str">
        <f>VLOOKUP($A234, 'Hospitalisation Details'!$A:$L, 12, FALSE)</f>
        <v>tier - 1</v>
      </c>
      <c r="N234" s="22" t="str">
        <f>VLOOKUP($A234, 'Hospitalisation Details'!$A:$M, 13, FALSE)</f>
        <v>tier - 2</v>
      </c>
      <c r="O234" s="22" t="str">
        <f>VLOOKUP($A234, 'Hospitalisation Details'!$A:$N, 14, FALSE)</f>
        <v>R1011</v>
      </c>
      <c r="P234" s="36">
        <f>VLOOKUP($A234, 'Hospitalisation Details'!$A:$O, 15, FALSE)</f>
        <v>19</v>
      </c>
    </row>
    <row r="235" ht="15.75" customHeight="1">
      <c r="A235" s="33" t="s">
        <v>469</v>
      </c>
      <c r="B235" s="22" t="str">
        <f>VLOOKUP($A235,'Customer Names'!$A:$D,3, FALSE)</f>
        <v>Polen</v>
      </c>
      <c r="C235" s="22">
        <f>VLOOKUP($A235,'Medical Examinations'!$A:$D, 2, FALSE)</f>
        <v>31.68</v>
      </c>
      <c r="D235" s="22">
        <f>VLOOKUP($A235, 'Medical Examinations'!$A:$D,3, FALSE)</f>
        <v>4.4</v>
      </c>
      <c r="E235" s="22" t="str">
        <f>VLOOKUP($A235, 'Medical Examinations'!$A:$D, 4, FALSE)</f>
        <v>No</v>
      </c>
      <c r="F235" s="22" t="str">
        <f>VLOOKUP($A235, 'Medical Examinations'!$A:$J, 5, FALSE)</f>
        <v>No</v>
      </c>
      <c r="G235" s="22" t="str">
        <f>VLOOKUP($A235, 'Medical Examinations'!$A:$I, 6, FALSE)</f>
        <v>No</v>
      </c>
      <c r="H235" s="22">
        <f>VLOOKUP($A235,'Medical Examinations'!$A:$L,10, FALSE)</f>
        <v>0</v>
      </c>
      <c r="I235" s="22" t="str">
        <f>VLOOKUP($A235, 'Medical Examinations'!$A:$J, 9, FALSE)</f>
        <v>Yes</v>
      </c>
      <c r="J235" s="22" t="str">
        <f>VLOOKUP($A235, 'Medical Examinations'!$A:$P, 11, FALSE)</f>
        <v>OBESITY</v>
      </c>
      <c r="K235" s="34">
        <v>25531.0</v>
      </c>
      <c r="L235" s="35">
        <f>VLOOKUP($A235, 'Hospitalisation Details'!$A:$H, 7, FALSE)</f>
        <v>34672.15</v>
      </c>
      <c r="M235" s="22" t="str">
        <f>VLOOKUP($A235, 'Hospitalisation Details'!$A:$L, 12, FALSE)</f>
        <v>tier - 1</v>
      </c>
      <c r="N235" s="22" t="str">
        <f>VLOOKUP($A235, 'Hospitalisation Details'!$A:$M, 13, FALSE)</f>
        <v>tier - 3</v>
      </c>
      <c r="O235" s="22" t="str">
        <f>VLOOKUP($A235, 'Hospitalisation Details'!$A:$N, 14, FALSE)</f>
        <v>R1013</v>
      </c>
      <c r="P235" s="36">
        <f>VLOOKUP($A235, 'Hospitalisation Details'!$A:$O, 15, FALSE)</f>
        <v>28</v>
      </c>
    </row>
    <row r="236" ht="15.75" customHeight="1">
      <c r="A236" s="33" t="s">
        <v>471</v>
      </c>
      <c r="B236" s="22" t="str">
        <f>VLOOKUP($A236,'Customer Names'!$A:$D,3, FALSE)</f>
        <v>Lynch</v>
      </c>
      <c r="C236" s="22">
        <f>VLOOKUP($A236,'Medical Examinations'!$A:$D, 2, FALSE)</f>
        <v>33.535</v>
      </c>
      <c r="D236" s="22">
        <f>VLOOKUP($A236, 'Medical Examinations'!$A:$D,3, FALSE)</f>
        <v>6.23</v>
      </c>
      <c r="E236" s="22" t="str">
        <f>VLOOKUP($A236, 'Medical Examinations'!$A:$D, 4, FALSE)</f>
        <v>No</v>
      </c>
      <c r="F236" s="22" t="str">
        <f>VLOOKUP($A236, 'Medical Examinations'!$A:$J, 5, FALSE)</f>
        <v>Yes</v>
      </c>
      <c r="G236" s="22" t="str">
        <f>VLOOKUP($A236, 'Medical Examinations'!$A:$I, 6, FALSE)</f>
        <v>No</v>
      </c>
      <c r="H236" s="22">
        <f>VLOOKUP($A236,'Medical Examinations'!$A:$L,10, FALSE)</f>
        <v>1</v>
      </c>
      <c r="I236" s="22" t="str">
        <f>VLOOKUP($A236, 'Medical Examinations'!$A:$J, 9, FALSE)</f>
        <v>Yes</v>
      </c>
      <c r="J236" s="22" t="str">
        <f>VLOOKUP($A236, 'Medical Examinations'!$A:$P, 11, FALSE)</f>
        <v>OBESITY</v>
      </c>
      <c r="K236" s="34">
        <v>26214.0</v>
      </c>
      <c r="L236" s="35">
        <f>VLOOKUP($A236, 'Hospitalisation Details'!$A:$H, 7, FALSE)</f>
        <v>34617.84</v>
      </c>
      <c r="M236" s="22" t="str">
        <f>VLOOKUP($A236, 'Hospitalisation Details'!$A:$L, 12, FALSE)</f>
        <v>tier - 1</v>
      </c>
      <c r="N236" s="22" t="str">
        <f>VLOOKUP($A236, 'Hospitalisation Details'!$A:$M, 13, FALSE)</f>
        <v>tier - 3</v>
      </c>
      <c r="O236" s="22" t="str">
        <f>VLOOKUP($A236, 'Hospitalisation Details'!$A:$N, 14, FALSE)</f>
        <v>R1016</v>
      </c>
      <c r="P236" s="36">
        <f>VLOOKUP($A236, 'Hospitalisation Details'!$A:$O, 15, FALSE)</f>
        <v>18</v>
      </c>
    </row>
    <row r="237" ht="15.75" customHeight="1">
      <c r="A237" s="33" t="s">
        <v>473</v>
      </c>
      <c r="B237" s="22" t="str">
        <f>VLOOKUP($A237,'Customer Names'!$A:$D,3, FALSE)</f>
        <v>Hufstader</v>
      </c>
      <c r="C237" s="22">
        <f>VLOOKUP($A237,'Medical Examinations'!$A:$D, 2, FALSE)</f>
        <v>31.92</v>
      </c>
      <c r="D237" s="22">
        <f>VLOOKUP($A237, 'Medical Examinations'!$A:$D,3, FALSE)</f>
        <v>5.33</v>
      </c>
      <c r="E237" s="22" t="str">
        <f>VLOOKUP($A237, 'Medical Examinations'!$A:$D, 4, FALSE)</f>
        <v>Yes</v>
      </c>
      <c r="F237" s="22" t="str">
        <f>VLOOKUP($A237, 'Medical Examinations'!$A:$J, 5, FALSE)</f>
        <v>No</v>
      </c>
      <c r="G237" s="22" t="str">
        <f>VLOOKUP($A237, 'Medical Examinations'!$A:$I, 6, FALSE)</f>
        <v>No</v>
      </c>
      <c r="H237" s="22">
        <f>VLOOKUP($A237,'Medical Examinations'!$A:$L,10, FALSE)</f>
        <v>0</v>
      </c>
      <c r="I237" s="22" t="str">
        <f>VLOOKUP($A237, 'Medical Examinations'!$A:$J, 9, FALSE)</f>
        <v>Yes</v>
      </c>
      <c r="J237" s="22" t="str">
        <f>VLOOKUP($A237, 'Medical Examinations'!$A:$P, 11, FALSE)</f>
        <v>OBESITY</v>
      </c>
      <c r="K237" s="34">
        <v>32325.0</v>
      </c>
      <c r="L237" s="35">
        <f>VLOOKUP($A237, 'Hospitalisation Details'!$A:$H, 7, FALSE)</f>
        <v>34543.39</v>
      </c>
      <c r="M237" s="22" t="str">
        <f>VLOOKUP($A237, 'Hospitalisation Details'!$A:$L, 12, FALSE)</f>
        <v>tier - 2</v>
      </c>
      <c r="N237" s="22" t="str">
        <f>VLOOKUP($A237, 'Hospitalisation Details'!$A:$M, 13, FALSE)</f>
        <v>tier - 3</v>
      </c>
      <c r="O237" s="22" t="str">
        <f>VLOOKUP($A237, 'Hospitalisation Details'!$A:$N, 14, FALSE)</f>
        <v>R1011</v>
      </c>
      <c r="P237" s="36">
        <f>VLOOKUP($A237, 'Hospitalisation Details'!$A:$O, 15, FALSE)</f>
        <v>46</v>
      </c>
    </row>
    <row r="238" ht="15.75" customHeight="1">
      <c r="A238" s="33" t="s">
        <v>475</v>
      </c>
      <c r="B238" s="22" t="str">
        <f>VLOOKUP($A238,'Customer Names'!$A:$D,3, FALSE)</f>
        <v>Doak</v>
      </c>
      <c r="C238" s="22">
        <f>VLOOKUP($A238,'Medical Examinations'!$A:$D, 2, FALSE)</f>
        <v>32.7</v>
      </c>
      <c r="D238" s="22">
        <f>VLOOKUP($A238, 'Medical Examinations'!$A:$D,3, FALSE)</f>
        <v>4.09</v>
      </c>
      <c r="E238" s="22" t="str">
        <f>VLOOKUP($A238, 'Medical Examinations'!$A:$D, 4, FALSE)</f>
        <v>No</v>
      </c>
      <c r="F238" s="22" t="str">
        <f>VLOOKUP($A238, 'Medical Examinations'!$A:$J, 5, FALSE)</f>
        <v>No</v>
      </c>
      <c r="G238" s="22" t="str">
        <f>VLOOKUP($A238, 'Medical Examinations'!$A:$I, 6, FALSE)</f>
        <v>No</v>
      </c>
      <c r="H238" s="22">
        <f>VLOOKUP($A238,'Medical Examinations'!$A:$L,10, FALSE)</f>
        <v>1</v>
      </c>
      <c r="I238" s="22" t="str">
        <f>VLOOKUP($A238, 'Medical Examinations'!$A:$J, 9, FALSE)</f>
        <v>Yes</v>
      </c>
      <c r="J238" s="22" t="str">
        <f>VLOOKUP($A238, 'Medical Examinations'!$A:$P, 11, FALSE)</f>
        <v>OBESITY</v>
      </c>
      <c r="K238" s="34">
        <v>35350.0</v>
      </c>
      <c r="L238" s="35">
        <f>VLOOKUP($A238, 'Hospitalisation Details'!$A:$H, 7, FALSE)</f>
        <v>34472.84</v>
      </c>
      <c r="M238" s="22" t="str">
        <f>VLOOKUP($A238, 'Hospitalisation Details'!$A:$L, 12, FALSE)</f>
        <v>tier - 1</v>
      </c>
      <c r="N238" s="22" t="str">
        <f>VLOOKUP($A238, 'Hospitalisation Details'!$A:$M, 13, FALSE)</f>
        <v>tier - 3</v>
      </c>
      <c r="O238" s="22" t="str">
        <f>VLOOKUP($A238, 'Hospitalisation Details'!$A:$N, 14, FALSE)</f>
        <v>R1011</v>
      </c>
      <c r="P238" s="36">
        <f>VLOOKUP($A238, 'Hospitalisation Details'!$A:$O, 15, FALSE)</f>
        <v>24</v>
      </c>
    </row>
    <row r="239" ht="15.75" customHeight="1">
      <c r="A239" s="33" t="s">
        <v>477</v>
      </c>
      <c r="B239" s="22" t="str">
        <f>VLOOKUP($A239,'Customer Names'!$A:$D,3, FALSE)</f>
        <v>Noya</v>
      </c>
      <c r="C239" s="22">
        <f>VLOOKUP($A239,'Medical Examinations'!$A:$D, 2, FALSE)</f>
        <v>41.25</v>
      </c>
      <c r="D239" s="22">
        <f>VLOOKUP($A239, 'Medical Examinations'!$A:$D,3, FALSE)</f>
        <v>5.19</v>
      </c>
      <c r="E239" s="22" t="str">
        <f>VLOOKUP($A239, 'Medical Examinations'!$A:$D, 4, FALSE)</f>
        <v>No</v>
      </c>
      <c r="F239" s="22" t="str">
        <f>VLOOKUP($A239, 'Medical Examinations'!$A:$J, 5, FALSE)</f>
        <v>No</v>
      </c>
      <c r="G239" s="22" t="str">
        <f>VLOOKUP($A239, 'Medical Examinations'!$A:$I, 6, FALSE)</f>
        <v>No</v>
      </c>
      <c r="H239" s="22">
        <f>VLOOKUP($A239,'Medical Examinations'!$A:$L,10, FALSE)</f>
        <v>0</v>
      </c>
      <c r="I239" s="22" t="str">
        <f>VLOOKUP($A239, 'Medical Examinations'!$A:$J, 9, FALSE)</f>
        <v>Yes</v>
      </c>
      <c r="J239" s="22" t="str">
        <f>VLOOKUP($A239, 'Medical Examinations'!$A:$P, 11, FALSE)</f>
        <v>OBESITY</v>
      </c>
      <c r="K239" s="34">
        <v>32333.0</v>
      </c>
      <c r="L239" s="35">
        <f>VLOOKUP($A239, 'Hospitalisation Details'!$A:$H, 7, FALSE)</f>
        <v>34456.27</v>
      </c>
      <c r="M239" s="22" t="str">
        <f>VLOOKUP($A239, 'Hospitalisation Details'!$A:$L, 12, FALSE)</f>
        <v>tier - 1</v>
      </c>
      <c r="N239" s="22" t="str">
        <f>VLOOKUP($A239, 'Hospitalisation Details'!$A:$M, 13, FALSE)</f>
        <v>tier - 2</v>
      </c>
      <c r="O239" s="22" t="str">
        <f>VLOOKUP($A239, 'Hospitalisation Details'!$A:$N, 14, FALSE)</f>
        <v>R1011</v>
      </c>
      <c r="P239" s="36">
        <f>VLOOKUP($A239, 'Hospitalisation Details'!$A:$O, 15, FALSE)</f>
        <v>32</v>
      </c>
    </row>
    <row r="240" ht="15.75" customHeight="1">
      <c r="A240" s="33" t="s">
        <v>479</v>
      </c>
      <c r="B240" s="22" t="str">
        <f>VLOOKUP($A240,'Customer Names'!$A:$D,3, FALSE)</f>
        <v>Heninger</v>
      </c>
      <c r="C240" s="22">
        <f>VLOOKUP($A240,'Medical Examinations'!$A:$D, 2, FALSE)</f>
        <v>33.11</v>
      </c>
      <c r="D240" s="22">
        <f>VLOOKUP($A240, 'Medical Examinations'!$A:$D,3, FALSE)</f>
        <v>4.12</v>
      </c>
      <c r="E240" s="22" t="str">
        <f>VLOOKUP($A240, 'Medical Examinations'!$A:$D, 4, FALSE)</f>
        <v>No</v>
      </c>
      <c r="F240" s="22" t="str">
        <f>VLOOKUP($A240, 'Medical Examinations'!$A:$J, 5, FALSE)</f>
        <v>No</v>
      </c>
      <c r="G240" s="22" t="str">
        <f>VLOOKUP($A240, 'Medical Examinations'!$A:$I, 6, FALSE)</f>
        <v>Yes</v>
      </c>
      <c r="H240" s="22">
        <f>VLOOKUP($A240,'Medical Examinations'!$A:$L,10, FALSE)</f>
        <v>1</v>
      </c>
      <c r="I240" s="22" t="str">
        <f>VLOOKUP($A240, 'Medical Examinations'!$A:$J, 9, FALSE)</f>
        <v>Yes</v>
      </c>
      <c r="J240" s="22" t="str">
        <f>VLOOKUP($A240, 'Medical Examinations'!$A:$P, 11, FALSE)</f>
        <v>OBESITY</v>
      </c>
      <c r="K240" s="34">
        <v>28410.0</v>
      </c>
      <c r="L240" s="35">
        <f>VLOOKUP($A240, 'Hospitalisation Details'!$A:$H, 7, FALSE)</f>
        <v>34439.86</v>
      </c>
      <c r="M240" s="22" t="str">
        <f>VLOOKUP($A240, 'Hospitalisation Details'!$A:$L, 12, FALSE)</f>
        <v>tier - 2</v>
      </c>
      <c r="N240" s="22" t="str">
        <f>VLOOKUP($A240, 'Hospitalisation Details'!$A:$M, 13, FALSE)</f>
        <v>tier - 1</v>
      </c>
      <c r="O240" s="22" t="str">
        <f>VLOOKUP($A240, 'Hospitalisation Details'!$A:$N, 14, FALSE)</f>
        <v>R1013</v>
      </c>
      <c r="P240" s="36">
        <f>VLOOKUP($A240, 'Hospitalisation Details'!$A:$O, 15, FALSE)</f>
        <v>19</v>
      </c>
    </row>
    <row r="241" ht="15.75" customHeight="1">
      <c r="A241" s="33" t="s">
        <v>481</v>
      </c>
      <c r="B241" s="22" t="str">
        <f>VLOOKUP($A241,'Customer Names'!$A:$D,3, FALSE)</f>
        <v>Richardson</v>
      </c>
      <c r="C241" s="22">
        <f>VLOOKUP($A241,'Medical Examinations'!$A:$D, 2, FALSE)</f>
        <v>36.16</v>
      </c>
      <c r="D241" s="22">
        <f>VLOOKUP($A241, 'Medical Examinations'!$A:$D,3, FALSE)</f>
        <v>5.1</v>
      </c>
      <c r="E241" s="22" t="str">
        <f>VLOOKUP($A241, 'Medical Examinations'!$A:$D, 4, FALSE)</f>
        <v>No</v>
      </c>
      <c r="F241" s="22" t="str">
        <f>VLOOKUP($A241, 'Medical Examinations'!$A:$J, 5, FALSE)</f>
        <v>No</v>
      </c>
      <c r="G241" s="22" t="str">
        <f>VLOOKUP($A241, 'Medical Examinations'!$A:$I, 6, FALSE)</f>
        <v>No</v>
      </c>
      <c r="H241" s="22">
        <f>VLOOKUP($A241,'Medical Examinations'!$A:$L,10, FALSE)</f>
        <v>1</v>
      </c>
      <c r="I241" s="22" t="str">
        <f>VLOOKUP($A241, 'Medical Examinations'!$A:$J, 9, FALSE)</f>
        <v>Yes</v>
      </c>
      <c r="J241" s="22" t="str">
        <f>VLOOKUP($A241, 'Medical Examinations'!$A:$P, 11, FALSE)</f>
        <v>OBESITY</v>
      </c>
      <c r="K241" s="34">
        <v>23170.0</v>
      </c>
      <c r="L241" s="35">
        <f>VLOOKUP($A241, 'Hospitalisation Details'!$A:$H, 7, FALSE)</f>
        <v>34402.22</v>
      </c>
      <c r="M241" s="22" t="str">
        <f>VLOOKUP($A241, 'Hospitalisation Details'!$A:$L, 12, FALSE)</f>
        <v>tier - 2</v>
      </c>
      <c r="N241" s="22" t="str">
        <f>VLOOKUP($A241, 'Hospitalisation Details'!$A:$M, 13, FALSE)</f>
        <v>tier - 3</v>
      </c>
      <c r="O241" s="22" t="str">
        <f>VLOOKUP($A241, 'Hospitalisation Details'!$A:$N, 14, FALSE)</f>
        <v>R1011</v>
      </c>
      <c r="P241" s="36">
        <f>VLOOKUP($A241, 'Hospitalisation Details'!$A:$O, 15, FALSE)</f>
        <v>38</v>
      </c>
    </row>
    <row r="242" ht="15.75" customHeight="1">
      <c r="A242" s="33" t="s">
        <v>483</v>
      </c>
      <c r="B242" s="22" t="str">
        <f>VLOOKUP($A242,'Customer Names'!$A:$D,3, FALSE)</f>
        <v>Deucher</v>
      </c>
      <c r="C242" s="22">
        <f>VLOOKUP($A242,'Medical Examinations'!$A:$D, 2, FALSE)</f>
        <v>33.72</v>
      </c>
      <c r="D242" s="22">
        <f>VLOOKUP($A242, 'Medical Examinations'!$A:$D,3, FALSE)</f>
        <v>6.21</v>
      </c>
      <c r="E242" s="22" t="str">
        <f>VLOOKUP($A242, 'Medical Examinations'!$A:$D, 4, FALSE)</f>
        <v>Yes</v>
      </c>
      <c r="F242" s="22" t="str">
        <f>VLOOKUP($A242, 'Medical Examinations'!$A:$J, 5, FALSE)</f>
        <v>No</v>
      </c>
      <c r="G242" s="22" t="str">
        <f>VLOOKUP($A242, 'Medical Examinations'!$A:$I, 6, FALSE)</f>
        <v>Yes</v>
      </c>
      <c r="H242" s="22">
        <f>VLOOKUP($A242,'Medical Examinations'!$A:$L,10, FALSE)</f>
        <v>1</v>
      </c>
      <c r="I242" s="22" t="str">
        <f>VLOOKUP($A242, 'Medical Examinations'!$A:$J, 9, FALSE)</f>
        <v>Yes</v>
      </c>
      <c r="J242" s="22" t="str">
        <f>VLOOKUP($A242, 'Medical Examinations'!$A:$P, 11, FALSE)</f>
        <v>OBESITY</v>
      </c>
      <c r="K242" s="34">
        <v>26953.0</v>
      </c>
      <c r="L242" s="35">
        <f>VLOOKUP($A242, 'Hospitalisation Details'!$A:$H, 7, FALSE)</f>
        <v>34307.22</v>
      </c>
      <c r="M242" s="22" t="str">
        <f>VLOOKUP($A242, 'Hospitalisation Details'!$A:$L, 12, FALSE)</f>
        <v>tier - 2</v>
      </c>
      <c r="N242" s="22" t="str">
        <f>VLOOKUP($A242, 'Hospitalisation Details'!$A:$M, 13, FALSE)</f>
        <v>tier - 2</v>
      </c>
      <c r="O242" s="22" t="str">
        <f>VLOOKUP($A242, 'Hospitalisation Details'!$A:$N, 14, FALSE)</f>
        <v>R1012</v>
      </c>
      <c r="P242" s="36">
        <f>VLOOKUP($A242, 'Hospitalisation Details'!$A:$O, 15, FALSE)</f>
        <v>39</v>
      </c>
    </row>
    <row r="243" ht="15.75" customHeight="1">
      <c r="A243" s="33" t="s">
        <v>485</v>
      </c>
      <c r="B243" s="22" t="str">
        <f>VLOOKUP($A243,'Customer Names'!$A:$D,3, FALSE)</f>
        <v>Wilson</v>
      </c>
      <c r="C243" s="22">
        <f>VLOOKUP($A243,'Medical Examinations'!$A:$D, 2, FALSE)</f>
        <v>37.74</v>
      </c>
      <c r="D243" s="22">
        <f>VLOOKUP($A243, 'Medical Examinations'!$A:$D,3, FALSE)</f>
        <v>9.53</v>
      </c>
      <c r="E243" s="22" t="str">
        <f>VLOOKUP($A243, 'Medical Examinations'!$A:$D, 4, FALSE)</f>
        <v>Yes</v>
      </c>
      <c r="F243" s="22" t="str">
        <f>VLOOKUP($A243, 'Medical Examinations'!$A:$J, 5, FALSE)</f>
        <v>No</v>
      </c>
      <c r="G243" s="22" t="str">
        <f>VLOOKUP($A243, 'Medical Examinations'!$A:$I, 6, FALSE)</f>
        <v>No</v>
      </c>
      <c r="H243" s="22">
        <f>VLOOKUP($A243,'Medical Examinations'!$A:$L,10, FALSE)</f>
        <v>1</v>
      </c>
      <c r="I243" s="22" t="str">
        <f>VLOOKUP($A243, 'Medical Examinations'!$A:$J, 9, FALSE)</f>
        <v>Yes</v>
      </c>
      <c r="J243" s="22" t="str">
        <f>VLOOKUP($A243, 'Medical Examinations'!$A:$P, 11, FALSE)</f>
        <v>OBESITY</v>
      </c>
      <c r="K243" s="34">
        <v>29772.0</v>
      </c>
      <c r="L243" s="35">
        <f>VLOOKUP($A243, 'Hospitalisation Details'!$A:$H, 7, FALSE)</f>
        <v>34293.12</v>
      </c>
      <c r="M243" s="22" t="str">
        <f>VLOOKUP($A243, 'Hospitalisation Details'!$A:$L, 12, FALSE)</f>
        <v>tier - 1</v>
      </c>
      <c r="N243" s="22" t="str">
        <f>VLOOKUP($A243, 'Hospitalisation Details'!$A:$M, 13, FALSE)</f>
        <v>tier - 2</v>
      </c>
      <c r="O243" s="22" t="str">
        <f>VLOOKUP($A243, 'Hospitalisation Details'!$A:$N, 14, FALSE)</f>
        <v>R1011</v>
      </c>
      <c r="P243" s="36">
        <f>VLOOKUP($A243, 'Hospitalisation Details'!$A:$O, 15, FALSE)</f>
        <v>36</v>
      </c>
    </row>
    <row r="244" ht="15.75" customHeight="1">
      <c r="A244" s="33" t="s">
        <v>487</v>
      </c>
      <c r="B244" s="22" t="str">
        <f>VLOOKUP($A244,'Customer Names'!$A:$D,3, FALSE)</f>
        <v>Hall</v>
      </c>
      <c r="C244" s="22">
        <f>VLOOKUP($A244,'Medical Examinations'!$A:$D, 2, FALSE)</f>
        <v>48.75</v>
      </c>
      <c r="D244" s="22">
        <f>VLOOKUP($A244, 'Medical Examinations'!$A:$D,3, FALSE)</f>
        <v>4.64</v>
      </c>
      <c r="E244" s="22" t="str">
        <f>VLOOKUP($A244, 'Medical Examinations'!$A:$D, 4, FALSE)</f>
        <v>Yes</v>
      </c>
      <c r="F244" s="22" t="str">
        <f>VLOOKUP($A244, 'Medical Examinations'!$A:$J, 5, FALSE)</f>
        <v>No</v>
      </c>
      <c r="G244" s="22" t="str">
        <f>VLOOKUP($A244, 'Medical Examinations'!$A:$I, 6, FALSE)</f>
        <v>No</v>
      </c>
      <c r="H244" s="22">
        <f>VLOOKUP($A244,'Medical Examinations'!$A:$L,10, FALSE)</f>
        <v>1</v>
      </c>
      <c r="I244" s="22" t="str">
        <f>VLOOKUP($A244, 'Medical Examinations'!$A:$J, 9, FALSE)</f>
        <v>Yes</v>
      </c>
      <c r="J244" s="22" t="str">
        <f>VLOOKUP($A244, 'Medical Examinations'!$A:$P, 11, FALSE)</f>
        <v>OBESITY</v>
      </c>
      <c r="K244" s="34">
        <v>28067.0</v>
      </c>
      <c r="L244" s="35">
        <f>VLOOKUP($A244, 'Hospitalisation Details'!$A:$H, 7, FALSE)</f>
        <v>34289.43</v>
      </c>
      <c r="M244" s="22" t="str">
        <f>VLOOKUP($A244, 'Hospitalisation Details'!$A:$L, 12, FALSE)</f>
        <v>tier - 1</v>
      </c>
      <c r="N244" s="22" t="str">
        <f>VLOOKUP($A244, 'Hospitalisation Details'!$A:$M, 13, FALSE)</f>
        <v>tier - 1</v>
      </c>
      <c r="O244" s="22" t="str">
        <f>VLOOKUP($A244, 'Hospitalisation Details'!$A:$N, 14, FALSE)</f>
        <v>R1011</v>
      </c>
      <c r="P244" s="36">
        <f>VLOOKUP($A244, 'Hospitalisation Details'!$A:$O, 15, FALSE)</f>
        <v>27</v>
      </c>
    </row>
    <row r="245" ht="15.75" customHeight="1">
      <c r="A245" s="33" t="s">
        <v>489</v>
      </c>
      <c r="B245" s="22" t="str">
        <f>VLOOKUP($A245,'Customer Names'!$A:$D,3, FALSE)</f>
        <v>Reed</v>
      </c>
      <c r="C245" s="22">
        <f>VLOOKUP($A245,'Medical Examinations'!$A:$D, 2, FALSE)</f>
        <v>31.065</v>
      </c>
      <c r="D245" s="22">
        <f>VLOOKUP($A245, 'Medical Examinations'!$A:$D,3, FALSE)</f>
        <v>5.05</v>
      </c>
      <c r="E245" s="22" t="str">
        <f>VLOOKUP($A245, 'Medical Examinations'!$A:$D, 4, FALSE)</f>
        <v>No</v>
      </c>
      <c r="F245" s="22" t="str">
        <f>VLOOKUP($A245, 'Medical Examinations'!$A:$J, 5, FALSE)</f>
        <v>No</v>
      </c>
      <c r="G245" s="22" t="str">
        <f>VLOOKUP($A245, 'Medical Examinations'!$A:$I, 6, FALSE)</f>
        <v>No</v>
      </c>
      <c r="H245" s="22">
        <f>VLOOKUP($A245,'Medical Examinations'!$A:$L,10, FALSE)</f>
        <v>1</v>
      </c>
      <c r="I245" s="22" t="str">
        <f>VLOOKUP($A245, 'Medical Examinations'!$A:$J, 9, FALSE)</f>
        <v>Yes</v>
      </c>
      <c r="J245" s="22" t="str">
        <f>VLOOKUP($A245, 'Medical Examinations'!$A:$P, 11, FALSE)</f>
        <v>OBESITY</v>
      </c>
      <c r="K245" s="34">
        <v>26925.0</v>
      </c>
      <c r="L245" s="35">
        <f>VLOOKUP($A245, 'Hospitalisation Details'!$A:$H, 7, FALSE)</f>
        <v>34254.05</v>
      </c>
      <c r="M245" s="22" t="str">
        <f>VLOOKUP($A245, 'Hospitalisation Details'!$A:$L, 12, FALSE)</f>
        <v>tier - 1</v>
      </c>
      <c r="N245" s="22" t="str">
        <f>VLOOKUP($A245, 'Hospitalisation Details'!$A:$M, 13, FALSE)</f>
        <v>tier - 3</v>
      </c>
      <c r="O245" s="22" t="str">
        <f>VLOOKUP($A245, 'Hospitalisation Details'!$A:$N, 14, FALSE)</f>
        <v>R1019</v>
      </c>
      <c r="P245" s="36">
        <f>VLOOKUP($A245, 'Hospitalisation Details'!$A:$O, 15, FALSE)</f>
        <v>24</v>
      </c>
    </row>
    <row r="246" ht="15.75" customHeight="1">
      <c r="A246" s="33" t="s">
        <v>491</v>
      </c>
      <c r="B246" s="22" t="str">
        <f>VLOOKUP($A246,'Customer Names'!$A:$D,3, FALSE)</f>
        <v>Frome</v>
      </c>
      <c r="C246" s="22">
        <f>VLOOKUP($A246,'Medical Examinations'!$A:$D, 2, FALSE)</f>
        <v>23.55</v>
      </c>
      <c r="D246" s="22">
        <f>VLOOKUP($A246, 'Medical Examinations'!$A:$D,3, FALSE)</f>
        <v>10.38</v>
      </c>
      <c r="E246" s="22" t="str">
        <f>VLOOKUP($A246, 'Medical Examinations'!$A:$D, 4, FALSE)</f>
        <v>No</v>
      </c>
      <c r="F246" s="22" t="str">
        <f>VLOOKUP($A246, 'Medical Examinations'!$A:$J, 5, FALSE)</f>
        <v>No</v>
      </c>
      <c r="G246" s="22" t="str">
        <f>VLOOKUP($A246, 'Medical Examinations'!$A:$I, 6, FALSE)</f>
        <v>No</v>
      </c>
      <c r="H246" s="22">
        <f>VLOOKUP($A246,'Medical Examinations'!$A:$L,10, FALSE)</f>
        <v>0</v>
      </c>
      <c r="I246" s="22" t="str">
        <f>VLOOKUP($A246, 'Medical Examinations'!$A:$J, 9, FALSE)</f>
        <v>Yes</v>
      </c>
      <c r="J246" s="22" t="str">
        <f>VLOOKUP($A246, 'Medical Examinations'!$A:$P, 11, FALSE)</f>
        <v>NORMAL WEIGHT</v>
      </c>
      <c r="K246" s="34">
        <v>26953.0</v>
      </c>
      <c r="L246" s="35">
        <f>VLOOKUP($A246, 'Hospitalisation Details'!$A:$H, 7, FALSE)</f>
        <v>34218.02</v>
      </c>
      <c r="M246" s="22" t="str">
        <f>VLOOKUP($A246, 'Hospitalisation Details'!$A:$L, 12, FALSE)</f>
        <v>tier - 1</v>
      </c>
      <c r="N246" s="22" t="str">
        <f>VLOOKUP($A246, 'Hospitalisation Details'!$A:$M, 13, FALSE)</f>
        <v>tier - 1</v>
      </c>
      <c r="O246" s="22" t="str">
        <f>VLOOKUP($A246, 'Hospitalisation Details'!$A:$N, 14, FALSE)</f>
        <v>R1011</v>
      </c>
      <c r="P246" s="36">
        <f>VLOOKUP($A246, 'Hospitalisation Details'!$A:$O, 15, FALSE)</f>
        <v>60</v>
      </c>
    </row>
    <row r="247" ht="15.75" customHeight="1">
      <c r="A247" s="33" t="s">
        <v>493</v>
      </c>
      <c r="B247" s="22" t="str">
        <f>VLOOKUP($A247,'Customer Names'!$A:$D,3, FALSE)</f>
        <v>Creasy</v>
      </c>
      <c r="C247" s="22">
        <f>VLOOKUP($A247,'Medical Examinations'!$A:$D, 2, FALSE)</f>
        <v>30.18</v>
      </c>
      <c r="D247" s="22">
        <f>VLOOKUP($A247, 'Medical Examinations'!$A:$D,3, FALSE)</f>
        <v>8.31</v>
      </c>
      <c r="E247" s="22" t="str">
        <f>VLOOKUP($A247, 'Medical Examinations'!$A:$D, 4, FALSE)</f>
        <v>Yes</v>
      </c>
      <c r="F247" s="22" t="str">
        <f>VLOOKUP($A247, 'Medical Examinations'!$A:$J, 5, FALSE)</f>
        <v>No</v>
      </c>
      <c r="G247" s="22" t="str">
        <f>VLOOKUP($A247, 'Medical Examinations'!$A:$I, 6, FALSE)</f>
        <v>No</v>
      </c>
      <c r="H247" s="22">
        <f>VLOOKUP($A247,'Medical Examinations'!$A:$L,10, FALSE)</f>
        <v>1</v>
      </c>
      <c r="I247" s="22" t="str">
        <f>VLOOKUP($A247, 'Medical Examinations'!$A:$J, 9, FALSE)</f>
        <v>Yes</v>
      </c>
      <c r="J247" s="22" t="str">
        <f>VLOOKUP($A247, 'Medical Examinations'!$A:$P, 11, FALSE)</f>
        <v>OBESITY</v>
      </c>
      <c r="K247" s="34">
        <v>25533.0</v>
      </c>
      <c r="L247" s="35">
        <f>VLOOKUP($A247, 'Hospitalisation Details'!$A:$H, 7, FALSE)</f>
        <v>34210.33</v>
      </c>
      <c r="M247" s="22" t="str">
        <f>VLOOKUP($A247, 'Hospitalisation Details'!$A:$L, 12, FALSE)</f>
        <v>tier - 2</v>
      </c>
      <c r="N247" s="22" t="str">
        <f>VLOOKUP($A247, 'Hospitalisation Details'!$A:$M, 13, FALSE)</f>
        <v>tier - 1</v>
      </c>
      <c r="O247" s="22" t="str">
        <f>VLOOKUP($A247, 'Hospitalisation Details'!$A:$N, 14, FALSE)</f>
        <v>R1012</v>
      </c>
      <c r="P247" s="36">
        <f>VLOOKUP($A247, 'Hospitalisation Details'!$A:$O, 15, FALSE)</f>
        <v>47</v>
      </c>
    </row>
    <row r="248" ht="15.75" customHeight="1">
      <c r="A248" s="33" t="s">
        <v>495</v>
      </c>
      <c r="B248" s="22" t="str">
        <f>VLOOKUP($A248,'Customer Names'!$A:$D,3, FALSE)</f>
        <v>Latimer</v>
      </c>
      <c r="C248" s="22">
        <f>VLOOKUP($A248,'Medical Examinations'!$A:$D, 2, FALSE)</f>
        <v>29.94</v>
      </c>
      <c r="D248" s="22">
        <f>VLOOKUP($A248, 'Medical Examinations'!$A:$D,3, FALSE)</f>
        <v>7.59</v>
      </c>
      <c r="E248" s="22" t="str">
        <f>VLOOKUP($A248, 'Medical Examinations'!$A:$D, 4, FALSE)</f>
        <v>No</v>
      </c>
      <c r="F248" s="22" t="str">
        <f>VLOOKUP($A248, 'Medical Examinations'!$A:$J, 5, FALSE)</f>
        <v>No</v>
      </c>
      <c r="G248" s="22" t="str">
        <f>VLOOKUP($A248, 'Medical Examinations'!$A:$I, 6, FALSE)</f>
        <v>No</v>
      </c>
      <c r="H248" s="22">
        <f>VLOOKUP($A248,'Medical Examinations'!$A:$L,10, FALSE)</f>
        <v>0</v>
      </c>
      <c r="I248" s="22" t="str">
        <f>VLOOKUP($A248, 'Medical Examinations'!$A:$J, 9, FALSE)</f>
        <v>Yes</v>
      </c>
      <c r="J248" s="22" t="str">
        <f>VLOOKUP($A248, 'Medical Examinations'!$A:$P, 11, FALSE)</f>
        <v>OBESITY</v>
      </c>
      <c r="K248" s="34">
        <v>26116.0</v>
      </c>
      <c r="L248" s="35">
        <f>VLOOKUP($A248, 'Hospitalisation Details'!$A:$H, 7, FALSE)</f>
        <v>34205.07</v>
      </c>
      <c r="M248" s="22" t="str">
        <f>VLOOKUP($A248, 'Hospitalisation Details'!$A:$L, 12, FALSE)</f>
        <v>tier - 2</v>
      </c>
      <c r="N248" s="22" t="str">
        <f>VLOOKUP($A248, 'Hospitalisation Details'!$A:$M, 13, FALSE)</f>
        <v>tier - 2</v>
      </c>
      <c r="O248" s="22" t="str">
        <f>VLOOKUP($A248, 'Hospitalisation Details'!$A:$N, 14, FALSE)</f>
        <v>R1011</v>
      </c>
      <c r="P248" s="36">
        <f>VLOOKUP($A248, 'Hospitalisation Details'!$A:$O, 15, FALSE)</f>
        <v>51</v>
      </c>
    </row>
    <row r="249" ht="15.75" customHeight="1">
      <c r="A249" s="33" t="s">
        <v>497</v>
      </c>
      <c r="B249" s="22" t="str">
        <f>VLOOKUP($A249,'Customer Names'!$A:$D,3, FALSE)</f>
        <v>Wei</v>
      </c>
      <c r="C249" s="22">
        <f>VLOOKUP($A249,'Medical Examinations'!$A:$D, 2, FALSE)</f>
        <v>31.4</v>
      </c>
      <c r="D249" s="22">
        <f>VLOOKUP($A249, 'Medical Examinations'!$A:$D,3, FALSE)</f>
        <v>5.49</v>
      </c>
      <c r="E249" s="22" t="str">
        <f>VLOOKUP($A249, 'Medical Examinations'!$A:$D, 4, FALSE)</f>
        <v>No</v>
      </c>
      <c r="F249" s="22" t="str">
        <f>VLOOKUP($A249, 'Medical Examinations'!$A:$J, 5, FALSE)</f>
        <v>No</v>
      </c>
      <c r="G249" s="22" t="str">
        <f>VLOOKUP($A249, 'Medical Examinations'!$A:$I, 6, FALSE)</f>
        <v>No</v>
      </c>
      <c r="H249" s="22">
        <f>VLOOKUP($A249,'Medical Examinations'!$A:$L,10, FALSE)</f>
        <v>0</v>
      </c>
      <c r="I249" s="22" t="str">
        <f>VLOOKUP($A249, 'Medical Examinations'!$A:$J, 9, FALSE)</f>
        <v>Yes</v>
      </c>
      <c r="J249" s="22" t="str">
        <f>VLOOKUP($A249, 'Medical Examinations'!$A:$P, 11, FALSE)</f>
        <v>OBESITY</v>
      </c>
      <c r="K249" s="34">
        <v>26964.0</v>
      </c>
      <c r="L249" s="35">
        <f>VLOOKUP($A249, 'Hospitalisation Details'!$A:$H, 7, FALSE)</f>
        <v>34166.27</v>
      </c>
      <c r="M249" s="22" t="str">
        <f>VLOOKUP($A249, 'Hospitalisation Details'!$A:$L, 12, FALSE)</f>
        <v>tier - 2</v>
      </c>
      <c r="N249" s="22" t="str">
        <f>VLOOKUP($A249, 'Hospitalisation Details'!$A:$M, 13, FALSE)</f>
        <v>tier - 3</v>
      </c>
      <c r="O249" s="22" t="str">
        <f>VLOOKUP($A249, 'Hospitalisation Details'!$A:$N, 14, FALSE)</f>
        <v>R1011</v>
      </c>
      <c r="P249" s="36">
        <f>VLOOKUP($A249, 'Hospitalisation Details'!$A:$O, 15, FALSE)</f>
        <v>23</v>
      </c>
    </row>
    <row r="250" ht="15.75" customHeight="1">
      <c r="A250" s="33" t="s">
        <v>499</v>
      </c>
      <c r="B250" s="22" t="str">
        <f>VLOOKUP($A250,'Customer Names'!$A:$D,3, FALSE)</f>
        <v>Hayes</v>
      </c>
      <c r="C250" s="22">
        <f>VLOOKUP($A250,'Medical Examinations'!$A:$D, 2, FALSE)</f>
        <v>53.06</v>
      </c>
      <c r="D250" s="22">
        <f>VLOOKUP($A250, 'Medical Examinations'!$A:$D,3, FALSE)</f>
        <v>11.68</v>
      </c>
      <c r="E250" s="22" t="str">
        <f>VLOOKUP($A250, 'Medical Examinations'!$A:$D, 4, FALSE)</f>
        <v>No</v>
      </c>
      <c r="F250" s="22" t="str">
        <f>VLOOKUP($A250, 'Medical Examinations'!$A:$J, 5, FALSE)</f>
        <v>No</v>
      </c>
      <c r="G250" s="22" t="str">
        <f>VLOOKUP($A250, 'Medical Examinations'!$A:$I, 6, FALSE)</f>
        <v>No</v>
      </c>
      <c r="H250" s="22">
        <f>VLOOKUP($A250,'Medical Examinations'!$A:$L,10, FALSE)</f>
        <v>0</v>
      </c>
      <c r="I250" s="22" t="str">
        <f>VLOOKUP($A250, 'Medical Examinations'!$A:$J, 9, FALSE)</f>
        <v>Yes</v>
      </c>
      <c r="J250" s="22" t="str">
        <f>VLOOKUP($A250, 'Medical Examinations'!$A:$P, 11, FALSE)</f>
        <v>OBESITY</v>
      </c>
      <c r="K250" s="34">
        <v>26151.0</v>
      </c>
      <c r="L250" s="35">
        <f>VLOOKUP($A250, 'Hospitalisation Details'!$A:$H, 7, FALSE)</f>
        <v>34084.68</v>
      </c>
      <c r="M250" s="22" t="str">
        <f>VLOOKUP($A250, 'Hospitalisation Details'!$A:$L, 12, FALSE)</f>
        <v>tier - 2</v>
      </c>
      <c r="N250" s="22" t="str">
        <f>VLOOKUP($A250, 'Hospitalisation Details'!$A:$M, 13, FALSE)</f>
        <v>tier - 3</v>
      </c>
      <c r="O250" s="22" t="str">
        <f>VLOOKUP($A250, 'Hospitalisation Details'!$A:$N, 14, FALSE)</f>
        <v>R1011</v>
      </c>
      <c r="P250" s="36">
        <f>VLOOKUP($A250, 'Hospitalisation Details'!$A:$O, 15, FALSE)</f>
        <v>20</v>
      </c>
    </row>
    <row r="251" ht="15.75" customHeight="1">
      <c r="A251" s="33" t="s">
        <v>501</v>
      </c>
      <c r="B251" s="22" t="str">
        <f>VLOOKUP($A251,'Customer Names'!$A:$D,3, FALSE)</f>
        <v>Velardo</v>
      </c>
      <c r="C251" s="22">
        <f>VLOOKUP($A251,'Medical Examinations'!$A:$D, 2, FALSE)</f>
        <v>30.25</v>
      </c>
      <c r="D251" s="22">
        <f>VLOOKUP($A251, 'Medical Examinations'!$A:$D,3, FALSE)</f>
        <v>4.19</v>
      </c>
      <c r="E251" s="22" t="str">
        <f>VLOOKUP($A251, 'Medical Examinations'!$A:$D, 4, FALSE)</f>
        <v>No</v>
      </c>
      <c r="F251" s="22" t="str">
        <f>VLOOKUP($A251, 'Medical Examinations'!$A:$J, 5, FALSE)</f>
        <v>No</v>
      </c>
      <c r="G251" s="22" t="str">
        <f>VLOOKUP($A251, 'Medical Examinations'!$A:$I, 6, FALSE)</f>
        <v>No</v>
      </c>
      <c r="H251" s="22">
        <f>VLOOKUP($A251,'Medical Examinations'!$A:$L,10, FALSE)</f>
        <v>2</v>
      </c>
      <c r="I251" s="22" t="str">
        <f>VLOOKUP($A251, 'Medical Examinations'!$A:$J, 9, FALSE)</f>
        <v>Yes</v>
      </c>
      <c r="J251" s="22" t="str">
        <f>VLOOKUP($A251, 'Medical Examinations'!$A:$P, 11, FALSE)</f>
        <v>OBESITY</v>
      </c>
      <c r="K251" s="34">
        <v>27262.0</v>
      </c>
      <c r="L251" s="35">
        <f>VLOOKUP($A251, 'Hospitalisation Details'!$A:$H, 7, FALSE)</f>
        <v>34053.36</v>
      </c>
      <c r="M251" s="22" t="str">
        <f>VLOOKUP($A251, 'Hospitalisation Details'!$A:$L, 12, FALSE)</f>
        <v>tier - 2</v>
      </c>
      <c r="N251" s="22" t="str">
        <f>VLOOKUP($A251, 'Hospitalisation Details'!$A:$M, 13, FALSE)</f>
        <v>tier - 2</v>
      </c>
      <c r="O251" s="22" t="str">
        <f>VLOOKUP($A251, 'Hospitalisation Details'!$A:$N, 14, FALSE)</f>
        <v>R1011</v>
      </c>
      <c r="P251" s="36">
        <f>VLOOKUP($A251, 'Hospitalisation Details'!$A:$O, 15, FALSE)</f>
        <v>50</v>
      </c>
    </row>
    <row r="252" ht="15.75" customHeight="1">
      <c r="A252" s="33" t="s">
        <v>503</v>
      </c>
      <c r="B252" s="22" t="str">
        <f>VLOOKUP($A252,'Customer Names'!$A:$D,3, FALSE)</f>
        <v>Kastes</v>
      </c>
      <c r="C252" s="22">
        <f>VLOOKUP($A252,'Medical Examinations'!$A:$D, 2, FALSE)</f>
        <v>46.68</v>
      </c>
      <c r="D252" s="22">
        <f>VLOOKUP($A252, 'Medical Examinations'!$A:$D,3, FALSE)</f>
        <v>4.01</v>
      </c>
      <c r="E252" s="22" t="str">
        <f>VLOOKUP($A252, 'Medical Examinations'!$A:$D, 4, FALSE)</f>
        <v>No</v>
      </c>
      <c r="F252" s="22" t="str">
        <f>VLOOKUP($A252, 'Medical Examinations'!$A:$J, 5, FALSE)</f>
        <v>No</v>
      </c>
      <c r="G252" s="22" t="str">
        <f>VLOOKUP($A252, 'Medical Examinations'!$A:$I, 6, FALSE)</f>
        <v>No</v>
      </c>
      <c r="H252" s="22">
        <f>VLOOKUP($A252,'Medical Examinations'!$A:$L,10, FALSE)</f>
        <v>0</v>
      </c>
      <c r="I252" s="22" t="str">
        <f>VLOOKUP($A252, 'Medical Examinations'!$A:$J, 9, FALSE)</f>
        <v>Yes</v>
      </c>
      <c r="J252" s="22" t="str">
        <f>VLOOKUP($A252, 'Medical Examinations'!$A:$P, 11, FALSE)</f>
        <v>OBESITY</v>
      </c>
      <c r="K252" s="34">
        <v>29499.0</v>
      </c>
      <c r="L252" s="35">
        <f>VLOOKUP($A252, 'Hospitalisation Details'!$A:$H, 7, FALSE)</f>
        <v>33975.47</v>
      </c>
      <c r="M252" s="22" t="str">
        <f>VLOOKUP($A252, 'Hospitalisation Details'!$A:$L, 12, FALSE)</f>
        <v>tier - 2</v>
      </c>
      <c r="N252" s="22" t="str">
        <f>VLOOKUP($A252, 'Hospitalisation Details'!$A:$M, 13, FALSE)</f>
        <v>tier - 2</v>
      </c>
      <c r="O252" s="22" t="str">
        <f>VLOOKUP($A252, 'Hospitalisation Details'!$A:$N, 14, FALSE)</f>
        <v>R1011</v>
      </c>
      <c r="P252" s="36">
        <f>VLOOKUP($A252, 'Hospitalisation Details'!$A:$O, 15, FALSE)</f>
        <v>28</v>
      </c>
    </row>
    <row r="253" ht="15.75" customHeight="1">
      <c r="A253" s="33" t="s">
        <v>505</v>
      </c>
      <c r="B253" s="22" t="str">
        <f>VLOOKUP($A253,'Customer Names'!$A:$D,3, FALSE)</f>
        <v>Escorcia</v>
      </c>
      <c r="C253" s="22">
        <f>VLOOKUP($A253,'Medical Examinations'!$A:$D, 2, FALSE)</f>
        <v>30.4</v>
      </c>
      <c r="D253" s="22">
        <f>VLOOKUP($A253, 'Medical Examinations'!$A:$D,3, FALSE)</f>
        <v>5.91</v>
      </c>
      <c r="E253" s="22" t="str">
        <f>VLOOKUP($A253, 'Medical Examinations'!$A:$D, 4, FALSE)</f>
        <v>No</v>
      </c>
      <c r="F253" s="22" t="str">
        <f>VLOOKUP($A253, 'Medical Examinations'!$A:$J, 5, FALSE)</f>
        <v>Yes</v>
      </c>
      <c r="G253" s="22" t="str">
        <f>VLOOKUP($A253, 'Medical Examinations'!$A:$I, 6, FALSE)</f>
        <v>No</v>
      </c>
      <c r="H253" s="22">
        <f>VLOOKUP($A253,'Medical Examinations'!$A:$L,10, FALSE)</f>
        <v>2</v>
      </c>
      <c r="I253" s="22" t="str">
        <f>VLOOKUP($A253, 'Medical Examinations'!$A:$J, 9, FALSE)</f>
        <v>Yes</v>
      </c>
      <c r="J253" s="22" t="str">
        <f>VLOOKUP($A253, 'Medical Examinations'!$A:$P, 11, FALSE)</f>
        <v>OBESITY</v>
      </c>
      <c r="K253" s="34">
        <v>27734.0</v>
      </c>
      <c r="L253" s="35">
        <f>VLOOKUP($A253, 'Hospitalisation Details'!$A:$H, 7, FALSE)</f>
        <v>33907.55</v>
      </c>
      <c r="M253" s="22" t="str">
        <f>VLOOKUP($A253, 'Hospitalisation Details'!$A:$L, 12, FALSE)</f>
        <v>tier - 2</v>
      </c>
      <c r="N253" s="22" t="str">
        <f>VLOOKUP($A253, 'Hospitalisation Details'!$A:$M, 13, FALSE)</f>
        <v>tier - 2</v>
      </c>
      <c r="O253" s="22" t="str">
        <f>VLOOKUP($A253, 'Hospitalisation Details'!$A:$N, 14, FALSE)</f>
        <v>R1012</v>
      </c>
      <c r="P253" s="36">
        <f>VLOOKUP($A253, 'Hospitalisation Details'!$A:$O, 15, FALSE)</f>
        <v>22</v>
      </c>
    </row>
    <row r="254" ht="15.75" customHeight="1">
      <c r="A254" s="33" t="s">
        <v>507</v>
      </c>
      <c r="B254" s="22" t="str">
        <f>VLOOKUP($A254,'Customer Names'!$A:$D,3, FALSE)</f>
        <v>Larscheid</v>
      </c>
      <c r="C254" s="22">
        <f>VLOOKUP($A254,'Medical Examinations'!$A:$D, 2, FALSE)</f>
        <v>30.2</v>
      </c>
      <c r="D254" s="22">
        <f>VLOOKUP($A254, 'Medical Examinations'!$A:$D,3, FALSE)</f>
        <v>4.47</v>
      </c>
      <c r="E254" s="22" t="str">
        <f>VLOOKUP($A254, 'Medical Examinations'!$A:$D, 4, FALSE)</f>
        <v>Yes</v>
      </c>
      <c r="F254" s="22" t="str">
        <f>VLOOKUP($A254, 'Medical Examinations'!$A:$J, 5, FALSE)</f>
        <v>No</v>
      </c>
      <c r="G254" s="22" t="str">
        <f>VLOOKUP($A254, 'Medical Examinations'!$A:$I, 6, FALSE)</f>
        <v>Yes</v>
      </c>
      <c r="H254" s="22">
        <f>VLOOKUP($A254,'Medical Examinations'!$A:$L,10, FALSE)</f>
        <v>1</v>
      </c>
      <c r="I254" s="22" t="str">
        <f>VLOOKUP($A254, 'Medical Examinations'!$A:$J, 9, FALSE)</f>
        <v>Yes</v>
      </c>
      <c r="J254" s="22" t="str">
        <f>VLOOKUP($A254, 'Medical Examinations'!$A:$P, 11, FALSE)</f>
        <v>OBESITY</v>
      </c>
      <c r="K254" s="34">
        <v>28683.0</v>
      </c>
      <c r="L254" s="35">
        <f>VLOOKUP($A254, 'Hospitalisation Details'!$A:$H, 7, FALSE)</f>
        <v>33900.65</v>
      </c>
      <c r="M254" s="22" t="str">
        <f>VLOOKUP($A254, 'Hospitalisation Details'!$A:$L, 12, FALSE)</f>
        <v>tier - 2</v>
      </c>
      <c r="N254" s="22" t="str">
        <f>VLOOKUP($A254, 'Hospitalisation Details'!$A:$M, 13, FALSE)</f>
        <v>tier - 3</v>
      </c>
      <c r="O254" s="22" t="str">
        <f>VLOOKUP($A254, 'Hospitalisation Details'!$A:$N, 14, FALSE)</f>
        <v>R1011</v>
      </c>
      <c r="P254" s="36">
        <f>VLOOKUP($A254, 'Hospitalisation Details'!$A:$O, 15, FALSE)</f>
        <v>25</v>
      </c>
    </row>
    <row r="255" ht="15.75" customHeight="1">
      <c r="A255" s="33" t="s">
        <v>509</v>
      </c>
      <c r="B255" s="22" t="str">
        <f>VLOOKUP($A255,'Customer Names'!$A:$D,3, FALSE)</f>
        <v>O'Bannon</v>
      </c>
      <c r="C255" s="22">
        <f>VLOOKUP($A255,'Medical Examinations'!$A:$D, 2, FALSE)</f>
        <v>51.18</v>
      </c>
      <c r="D255" s="22">
        <f>VLOOKUP($A255, 'Medical Examinations'!$A:$D,3, FALSE)</f>
        <v>4.56</v>
      </c>
      <c r="E255" s="22" t="str">
        <f>VLOOKUP($A255, 'Medical Examinations'!$A:$D, 4, FALSE)</f>
        <v>Yes</v>
      </c>
      <c r="F255" s="22" t="str">
        <f>VLOOKUP($A255, 'Medical Examinations'!$A:$J, 5, FALSE)</f>
        <v>Yes</v>
      </c>
      <c r="G255" s="22" t="str">
        <f>VLOOKUP($A255, 'Medical Examinations'!$A:$I, 6, FALSE)</f>
        <v>No</v>
      </c>
      <c r="H255" s="22">
        <f>VLOOKUP($A255,'Medical Examinations'!$A:$L,10, FALSE)</f>
        <v>2</v>
      </c>
      <c r="I255" s="22" t="str">
        <f>VLOOKUP($A255, 'Medical Examinations'!$A:$J, 9, FALSE)</f>
        <v>Yes</v>
      </c>
      <c r="J255" s="22" t="str">
        <f>VLOOKUP($A255, 'Medical Examinations'!$A:$P, 11, FALSE)</f>
        <v>OBESITY</v>
      </c>
      <c r="K255" s="34">
        <v>29925.0</v>
      </c>
      <c r="L255" s="35">
        <f>VLOOKUP($A255, 'Hospitalisation Details'!$A:$H, 7, FALSE)</f>
        <v>33829.39</v>
      </c>
      <c r="M255" s="22" t="str">
        <f>VLOOKUP($A255, 'Hospitalisation Details'!$A:$L, 12, FALSE)</f>
        <v>tier - 2</v>
      </c>
      <c r="N255" s="22" t="str">
        <f>VLOOKUP($A255, 'Hospitalisation Details'!$A:$M, 13, FALSE)</f>
        <v>tier - 3</v>
      </c>
      <c r="O255" s="22" t="str">
        <f>VLOOKUP($A255, 'Hospitalisation Details'!$A:$N, 14, FALSE)</f>
        <v>R1011</v>
      </c>
      <c r="P255" s="36">
        <f>VLOOKUP($A255, 'Hospitalisation Details'!$A:$O, 15, FALSE)</f>
        <v>22</v>
      </c>
    </row>
    <row r="256" ht="15.75" customHeight="1">
      <c r="A256" s="33" t="s">
        <v>511</v>
      </c>
      <c r="B256" s="22" t="str">
        <f>VLOOKUP($A256,'Customer Names'!$A:$D,3, FALSE)</f>
        <v>Ridgway</v>
      </c>
      <c r="C256" s="22">
        <f>VLOOKUP($A256,'Medical Examinations'!$A:$D, 2, FALSE)</f>
        <v>22.18</v>
      </c>
      <c r="D256" s="22">
        <f>VLOOKUP($A256, 'Medical Examinations'!$A:$D,3, FALSE)</f>
        <v>9.9</v>
      </c>
      <c r="E256" s="22" t="str">
        <f>VLOOKUP($A256, 'Medical Examinations'!$A:$D, 4, FALSE)</f>
        <v>No</v>
      </c>
      <c r="F256" s="22" t="str">
        <f>VLOOKUP($A256, 'Medical Examinations'!$A:$J, 5, FALSE)</f>
        <v>No</v>
      </c>
      <c r="G256" s="22" t="str">
        <f>VLOOKUP($A256, 'Medical Examinations'!$A:$I, 6, FALSE)</f>
        <v>No</v>
      </c>
      <c r="H256" s="22">
        <f>VLOOKUP($A256,'Medical Examinations'!$A:$L,10, FALSE)</f>
        <v>0</v>
      </c>
      <c r="I256" s="22" t="str">
        <f>VLOOKUP($A256, 'Medical Examinations'!$A:$J, 9, FALSE)</f>
        <v>Yes</v>
      </c>
      <c r="J256" s="22" t="str">
        <f>VLOOKUP($A256, 'Medical Examinations'!$A:$P, 11, FALSE)</f>
        <v>NORMAL WEIGHT</v>
      </c>
      <c r="K256" s="34">
        <v>31771.0</v>
      </c>
      <c r="L256" s="35">
        <f>VLOOKUP($A256, 'Hospitalisation Details'!$A:$H, 7, FALSE)</f>
        <v>33753.32</v>
      </c>
      <c r="M256" s="22" t="str">
        <f>VLOOKUP($A256, 'Hospitalisation Details'!$A:$L, 12, FALSE)</f>
        <v>tier - 1</v>
      </c>
      <c r="N256" s="22" t="str">
        <f>VLOOKUP($A256, 'Hospitalisation Details'!$A:$M, 13, FALSE)</f>
        <v>tier - 3</v>
      </c>
      <c r="O256" s="22" t="str">
        <f>VLOOKUP($A256, 'Hospitalisation Details'!$A:$N, 14, FALSE)</f>
        <v>R1011</v>
      </c>
      <c r="P256" s="36">
        <f>VLOOKUP($A256, 'Hospitalisation Details'!$A:$O, 15, FALSE)</f>
        <v>60</v>
      </c>
    </row>
    <row r="257" ht="15.75" customHeight="1">
      <c r="A257" s="33" t="s">
        <v>513</v>
      </c>
      <c r="B257" s="22" t="str">
        <f>VLOOKUP($A257,'Customer Names'!$A:$D,3, FALSE)</f>
        <v>Black</v>
      </c>
      <c r="C257" s="22">
        <f>VLOOKUP($A257,'Medical Examinations'!$A:$D, 2, FALSE)</f>
        <v>31.92</v>
      </c>
      <c r="D257" s="22">
        <f>VLOOKUP($A257, 'Medical Examinations'!$A:$D,3, FALSE)</f>
        <v>5.11</v>
      </c>
      <c r="E257" s="22" t="str">
        <f>VLOOKUP($A257, 'Medical Examinations'!$A:$D, 4, FALSE)</f>
        <v>No</v>
      </c>
      <c r="F257" s="22" t="str">
        <f>VLOOKUP($A257, 'Medical Examinations'!$A:$J, 5, FALSE)</f>
        <v>No</v>
      </c>
      <c r="G257" s="22" t="str">
        <f>VLOOKUP($A257, 'Medical Examinations'!$A:$I, 6, FALSE)</f>
        <v>Yes</v>
      </c>
      <c r="H257" s="22">
        <f>VLOOKUP($A257,'Medical Examinations'!$A:$L,10, FALSE)</f>
        <v>1</v>
      </c>
      <c r="I257" s="22" t="str">
        <f>VLOOKUP($A257, 'Medical Examinations'!$A:$J, 9, FALSE)</f>
        <v>Yes</v>
      </c>
      <c r="J257" s="22" t="str">
        <f>VLOOKUP($A257, 'Medical Examinations'!$A:$P, 11, FALSE)</f>
        <v>OBESITY</v>
      </c>
      <c r="K257" s="34">
        <v>28013.0</v>
      </c>
      <c r="L257" s="35">
        <f>VLOOKUP($A257, 'Hospitalisation Details'!$A:$H, 7, FALSE)</f>
        <v>33750.29</v>
      </c>
      <c r="M257" s="22" t="str">
        <f>VLOOKUP($A257, 'Hospitalisation Details'!$A:$L, 12, FALSE)</f>
        <v>tier - 1</v>
      </c>
      <c r="N257" s="22" t="str">
        <f>VLOOKUP($A257, 'Hospitalisation Details'!$A:$M, 13, FALSE)</f>
        <v>tier - 3</v>
      </c>
      <c r="O257" s="22" t="str">
        <f>VLOOKUP($A257, 'Hospitalisation Details'!$A:$N, 14, FALSE)</f>
        <v>R1012</v>
      </c>
      <c r="P257" s="36">
        <f>VLOOKUP($A257, 'Hospitalisation Details'!$A:$O, 15, FALSE)</f>
        <v>19</v>
      </c>
    </row>
    <row r="258" ht="15.75" customHeight="1">
      <c r="A258" s="33" t="s">
        <v>515</v>
      </c>
      <c r="B258" s="22" t="str">
        <f>VLOOKUP($A258,'Customer Names'!$A:$D,3, FALSE)</f>
        <v>Canton</v>
      </c>
      <c r="C258" s="22">
        <f>VLOOKUP($A258,'Medical Examinations'!$A:$D, 2, FALSE)</f>
        <v>31.73</v>
      </c>
      <c r="D258" s="22">
        <f>VLOOKUP($A258, 'Medical Examinations'!$A:$D,3, FALSE)</f>
        <v>5.73</v>
      </c>
      <c r="E258" s="22" t="str">
        <f>VLOOKUP($A258, 'Medical Examinations'!$A:$D, 4, FALSE)</f>
        <v>No</v>
      </c>
      <c r="F258" s="22" t="str">
        <f>VLOOKUP($A258, 'Medical Examinations'!$A:$J, 5, FALSE)</f>
        <v>Yes</v>
      </c>
      <c r="G258" s="22" t="str">
        <f>VLOOKUP($A258, 'Medical Examinations'!$A:$I, 6, FALSE)</f>
        <v>No</v>
      </c>
      <c r="H258" s="22">
        <f>VLOOKUP($A258,'Medical Examinations'!$A:$L,10, FALSE)</f>
        <v>1</v>
      </c>
      <c r="I258" s="22" t="str">
        <f>VLOOKUP($A258, 'Medical Examinations'!$A:$J, 9, FALSE)</f>
        <v>Yes</v>
      </c>
      <c r="J258" s="22" t="str">
        <f>VLOOKUP($A258, 'Medical Examinations'!$A:$P, 11, FALSE)</f>
        <v>OBESITY</v>
      </c>
      <c r="K258" s="34">
        <v>27023.0</v>
      </c>
      <c r="L258" s="35">
        <f>VLOOKUP($A258, 'Hospitalisation Details'!$A:$H, 7, FALSE)</f>
        <v>33732.69</v>
      </c>
      <c r="M258" s="22" t="str">
        <f>VLOOKUP($A258, 'Hospitalisation Details'!$A:$L, 12, FALSE)</f>
        <v>tier - 1</v>
      </c>
      <c r="N258" s="22" t="str">
        <f>VLOOKUP($A258, 'Hospitalisation Details'!$A:$M, 13, FALSE)</f>
        <v>tier - 1</v>
      </c>
      <c r="O258" s="22" t="str">
        <f>VLOOKUP($A258, 'Hospitalisation Details'!$A:$N, 14, FALSE)</f>
        <v>R1017</v>
      </c>
      <c r="P258" s="36">
        <f>VLOOKUP($A258, 'Hospitalisation Details'!$A:$O, 15, FALSE)</f>
        <v>18</v>
      </c>
    </row>
    <row r="259" ht="15.75" customHeight="1">
      <c r="A259" s="33" t="s">
        <v>517</v>
      </c>
      <c r="B259" s="22" t="str">
        <f>VLOOKUP($A259,'Customer Names'!$A:$D,3, FALSE)</f>
        <v>Fine</v>
      </c>
      <c r="C259" s="22">
        <f>VLOOKUP($A259,'Medical Examinations'!$A:$D, 2, FALSE)</f>
        <v>45.52</v>
      </c>
      <c r="D259" s="22">
        <f>VLOOKUP($A259, 'Medical Examinations'!$A:$D,3, FALSE)</f>
        <v>6.04</v>
      </c>
      <c r="E259" s="22" t="str">
        <f>VLOOKUP($A259, 'Medical Examinations'!$A:$D, 4, FALSE)</f>
        <v>No</v>
      </c>
      <c r="F259" s="22" t="str">
        <f>VLOOKUP($A259, 'Medical Examinations'!$A:$J, 5, FALSE)</f>
        <v>No</v>
      </c>
      <c r="G259" s="22" t="str">
        <f>VLOOKUP($A259, 'Medical Examinations'!$A:$I, 6, FALSE)</f>
        <v>Yes</v>
      </c>
      <c r="H259" s="22">
        <f>VLOOKUP($A259,'Medical Examinations'!$A:$L,10, FALSE)</f>
        <v>1</v>
      </c>
      <c r="I259" s="22" t="str">
        <f>VLOOKUP($A259, 'Medical Examinations'!$A:$J, 9, FALSE)</f>
        <v>Yes</v>
      </c>
      <c r="J259" s="22" t="str">
        <f>VLOOKUP($A259, 'Medical Examinations'!$A:$P, 11, FALSE)</f>
        <v>OBESITY</v>
      </c>
      <c r="K259" s="34">
        <v>26296.0</v>
      </c>
      <c r="L259" s="35">
        <f>VLOOKUP($A259, 'Hospitalisation Details'!$A:$H, 7, FALSE)</f>
        <v>33707.55</v>
      </c>
      <c r="M259" s="22" t="str">
        <f>VLOOKUP($A259, 'Hospitalisation Details'!$A:$L, 12, FALSE)</f>
        <v>tier - 2</v>
      </c>
      <c r="N259" s="22" t="str">
        <f>VLOOKUP($A259, 'Hospitalisation Details'!$A:$M, 13, FALSE)</f>
        <v>tier - 2</v>
      </c>
      <c r="O259" s="22" t="str">
        <f>VLOOKUP($A259, 'Hospitalisation Details'!$A:$N, 14, FALSE)</f>
        <v>R1011</v>
      </c>
      <c r="P259" s="36">
        <f>VLOOKUP($A259, 'Hospitalisation Details'!$A:$O, 15, FALSE)</f>
        <v>29</v>
      </c>
    </row>
    <row r="260" ht="15.75" customHeight="1">
      <c r="A260" s="33" t="s">
        <v>519</v>
      </c>
      <c r="B260" s="22" t="str">
        <f>VLOOKUP($A260,'Customer Names'!$A:$D,3, FALSE)</f>
        <v>Bui</v>
      </c>
      <c r="C260" s="22">
        <f>VLOOKUP($A260,'Medical Examinations'!$A:$D, 2, FALSE)</f>
        <v>52.81</v>
      </c>
      <c r="D260" s="22">
        <f>VLOOKUP($A260, 'Medical Examinations'!$A:$D,3, FALSE)</f>
        <v>5.19</v>
      </c>
      <c r="E260" s="22" t="str">
        <f>VLOOKUP($A260, 'Medical Examinations'!$A:$D, 4, FALSE)</f>
        <v>No</v>
      </c>
      <c r="F260" s="22" t="str">
        <f>VLOOKUP($A260, 'Medical Examinations'!$A:$J, 5, FALSE)</f>
        <v>No</v>
      </c>
      <c r="G260" s="22" t="str">
        <f>VLOOKUP($A260, 'Medical Examinations'!$A:$I, 6, FALSE)</f>
        <v>Yes</v>
      </c>
      <c r="H260" s="22">
        <f>VLOOKUP($A260,'Medical Examinations'!$A:$L,10, FALSE)</f>
        <v>1</v>
      </c>
      <c r="I260" s="22" t="str">
        <f>VLOOKUP($A260, 'Medical Examinations'!$A:$J, 9, FALSE)</f>
        <v>Yes</v>
      </c>
      <c r="J260" s="22" t="str">
        <f>VLOOKUP($A260, 'Medical Examinations'!$A:$P, 11, FALSE)</f>
        <v>OBESITY</v>
      </c>
      <c r="K260" s="34">
        <v>25865.0</v>
      </c>
      <c r="L260" s="35">
        <f>VLOOKUP($A260, 'Hospitalisation Details'!$A:$H, 7, FALSE)</f>
        <v>33611.71</v>
      </c>
      <c r="M260" s="22" t="str">
        <f>VLOOKUP($A260, 'Hospitalisation Details'!$A:$L, 12, FALSE)</f>
        <v>tier - 1</v>
      </c>
      <c r="N260" s="22" t="str">
        <f>VLOOKUP($A260, 'Hospitalisation Details'!$A:$M, 13, FALSE)</f>
        <v>tier - 2</v>
      </c>
      <c r="O260" s="22" t="str">
        <f>VLOOKUP($A260, 'Hospitalisation Details'!$A:$N, 14, FALSE)</f>
        <v>R1011</v>
      </c>
      <c r="P260" s="36">
        <f>VLOOKUP($A260, 'Hospitalisation Details'!$A:$O, 15, FALSE)</f>
        <v>19</v>
      </c>
    </row>
    <row r="261" ht="15.75" customHeight="1">
      <c r="A261" s="33" t="s">
        <v>521</v>
      </c>
      <c r="B261" s="22" t="str">
        <f>VLOOKUP($A261,'Customer Names'!$A:$D,3, FALSE)</f>
        <v>Riepma</v>
      </c>
      <c r="C261" s="22">
        <f>VLOOKUP($A261,'Medical Examinations'!$A:$D, 2, FALSE)</f>
        <v>33.58</v>
      </c>
      <c r="D261" s="22">
        <f>VLOOKUP($A261, 'Medical Examinations'!$A:$D,3, FALSE)</f>
        <v>5.56</v>
      </c>
      <c r="E261" s="22" t="str">
        <f>VLOOKUP($A261, 'Medical Examinations'!$A:$D, 4, FALSE)</f>
        <v>No</v>
      </c>
      <c r="F261" s="22" t="str">
        <f>VLOOKUP($A261, 'Medical Examinations'!$A:$J, 5, FALSE)</f>
        <v>No</v>
      </c>
      <c r="G261" s="22" t="str">
        <f>VLOOKUP($A261, 'Medical Examinations'!$A:$I, 6, FALSE)</f>
        <v>No</v>
      </c>
      <c r="H261" s="22">
        <f>VLOOKUP($A261,'Medical Examinations'!$A:$L,10, FALSE)</f>
        <v>1</v>
      </c>
      <c r="I261" s="22" t="str">
        <f>VLOOKUP($A261, 'Medical Examinations'!$A:$J, 9, FALSE)</f>
        <v>Yes</v>
      </c>
      <c r="J261" s="22" t="str">
        <f>VLOOKUP($A261, 'Medical Examinations'!$A:$P, 11, FALSE)</f>
        <v>OBESITY</v>
      </c>
      <c r="K261" s="34">
        <v>33108.0</v>
      </c>
      <c r="L261" s="35">
        <f>VLOOKUP($A261, 'Hospitalisation Details'!$A:$H, 7, FALSE)</f>
        <v>33527.1</v>
      </c>
      <c r="M261" s="22" t="str">
        <f>VLOOKUP($A261, 'Hospitalisation Details'!$A:$L, 12, FALSE)</f>
        <v>tier - 2</v>
      </c>
      <c r="N261" s="22" t="str">
        <f>VLOOKUP($A261, 'Hospitalisation Details'!$A:$M, 13, FALSE)</f>
        <v>tier - 3</v>
      </c>
      <c r="O261" s="22" t="str">
        <f>VLOOKUP($A261, 'Hospitalisation Details'!$A:$N, 14, FALSE)</f>
        <v>R1011</v>
      </c>
      <c r="P261" s="36">
        <f>VLOOKUP($A261, 'Hospitalisation Details'!$A:$O, 15, FALSE)</f>
        <v>38</v>
      </c>
    </row>
    <row r="262" ht="15.75" customHeight="1">
      <c r="A262" s="33" t="s">
        <v>523</v>
      </c>
      <c r="B262" s="22" t="str">
        <f>VLOOKUP($A262,'Customer Names'!$A:$D,3, FALSE)</f>
        <v>Inman</v>
      </c>
      <c r="C262" s="22">
        <f>VLOOKUP($A262,'Medical Examinations'!$A:$D, 2, FALSE)</f>
        <v>30.685</v>
      </c>
      <c r="D262" s="22">
        <f>VLOOKUP($A262, 'Medical Examinations'!$A:$D,3, FALSE)</f>
        <v>8.23</v>
      </c>
      <c r="E262" s="22" t="str">
        <f>VLOOKUP($A262, 'Medical Examinations'!$A:$D, 4, FALSE)</f>
        <v>No</v>
      </c>
      <c r="F262" s="22" t="str">
        <f>VLOOKUP($A262, 'Medical Examinations'!$A:$J, 5, FALSE)</f>
        <v>No</v>
      </c>
      <c r="G262" s="22" t="str">
        <f>VLOOKUP($A262, 'Medical Examinations'!$A:$I, 6, FALSE)</f>
        <v>No</v>
      </c>
      <c r="H262" s="22">
        <f>VLOOKUP($A262,'Medical Examinations'!$A:$L,10, FALSE)</f>
        <v>0</v>
      </c>
      <c r="I262" s="22" t="str">
        <f>VLOOKUP($A262, 'Medical Examinations'!$A:$J, 9, FALSE)</f>
        <v>Yes</v>
      </c>
      <c r="J262" s="22" t="str">
        <f>VLOOKUP($A262, 'Medical Examinations'!$A:$P, 11, FALSE)</f>
        <v>OBESITY</v>
      </c>
      <c r="K262" s="34">
        <v>30293.0</v>
      </c>
      <c r="L262" s="35">
        <f>VLOOKUP($A262, 'Hospitalisation Details'!$A:$H, 7, FALSE)</f>
        <v>33475.82</v>
      </c>
      <c r="M262" s="22" t="str">
        <f>VLOOKUP($A262, 'Hospitalisation Details'!$A:$L, 12, FALSE)</f>
        <v>tier - 1</v>
      </c>
      <c r="N262" s="22" t="str">
        <f>VLOOKUP($A262, 'Hospitalisation Details'!$A:$M, 13, FALSE)</f>
        <v>tier - 1</v>
      </c>
      <c r="O262" s="22" t="str">
        <f>VLOOKUP($A262, 'Hospitalisation Details'!$A:$N, 14, FALSE)</f>
        <v>R1018</v>
      </c>
      <c r="P262" s="36">
        <f>VLOOKUP($A262, 'Hospitalisation Details'!$A:$O, 15, FALSE)</f>
        <v>20</v>
      </c>
    </row>
    <row r="263" ht="15.75" customHeight="1">
      <c r="A263" s="33" t="s">
        <v>525</v>
      </c>
      <c r="B263" s="22" t="str">
        <f>VLOOKUP($A263,'Customer Names'!$A:$D,3, FALSE)</f>
        <v>Kruzel</v>
      </c>
      <c r="C263" s="22">
        <f>VLOOKUP($A263,'Medical Examinations'!$A:$D, 2, FALSE)</f>
        <v>37.525</v>
      </c>
      <c r="D263" s="22">
        <f>VLOOKUP($A263, 'Medical Examinations'!$A:$D,3, FALSE)</f>
        <v>9.03</v>
      </c>
      <c r="E263" s="22" t="str">
        <f>VLOOKUP($A263, 'Medical Examinations'!$A:$D, 4, FALSE)</f>
        <v>Yes</v>
      </c>
      <c r="F263" s="22" t="str">
        <f>VLOOKUP($A263, 'Medical Examinations'!$A:$J, 5, FALSE)</f>
        <v>No</v>
      </c>
      <c r="G263" s="22" t="str">
        <f>VLOOKUP($A263, 'Medical Examinations'!$A:$I, 6, FALSE)</f>
        <v>No</v>
      </c>
      <c r="H263" s="22">
        <f>VLOOKUP($A263,'Medical Examinations'!$A:$L,10, FALSE)</f>
        <v>2</v>
      </c>
      <c r="I263" s="22" t="str">
        <f>VLOOKUP($A263, 'Medical Examinations'!$A:$J, 9, FALSE)</f>
        <v>No</v>
      </c>
      <c r="J263" s="22" t="str">
        <f>VLOOKUP($A263, 'Medical Examinations'!$A:$P, 11, FALSE)</f>
        <v>OBESITY</v>
      </c>
      <c r="K263" s="34">
        <v>25859.0</v>
      </c>
      <c r="L263" s="35">
        <f>VLOOKUP($A263, 'Hospitalisation Details'!$A:$H, 7, FALSE)</f>
        <v>33471.97</v>
      </c>
      <c r="M263" s="22" t="str">
        <f>VLOOKUP($A263, 'Hospitalisation Details'!$A:$L, 12, FALSE)</f>
        <v>tier - 2</v>
      </c>
      <c r="N263" s="22" t="str">
        <f>VLOOKUP($A263, 'Hospitalisation Details'!$A:$M, 13, FALSE)</f>
        <v>tier - 2</v>
      </c>
      <c r="O263" s="22" t="str">
        <f>VLOOKUP($A263, 'Hospitalisation Details'!$A:$N, 14, FALSE)</f>
        <v>R1012</v>
      </c>
      <c r="P263" s="36">
        <f>VLOOKUP($A263, 'Hospitalisation Details'!$A:$O, 15, FALSE)</f>
        <v>52</v>
      </c>
    </row>
    <row r="264" ht="15.75" customHeight="1">
      <c r="A264" s="33" t="s">
        <v>527</v>
      </c>
      <c r="B264" s="22" t="str">
        <f>VLOOKUP($A264,'Customer Names'!$A:$D,3, FALSE)</f>
        <v>Lindsay</v>
      </c>
      <c r="C264" s="22">
        <f>VLOOKUP($A264,'Medical Examinations'!$A:$D, 2, FALSE)</f>
        <v>34.5</v>
      </c>
      <c r="D264" s="22">
        <f>VLOOKUP($A264, 'Medical Examinations'!$A:$D,3, FALSE)</f>
        <v>4.07</v>
      </c>
      <c r="E264" s="22" t="str">
        <f>VLOOKUP($A264, 'Medical Examinations'!$A:$D, 4, FALSE)</f>
        <v>Yes</v>
      </c>
      <c r="F264" s="22" t="str">
        <f>VLOOKUP($A264, 'Medical Examinations'!$A:$J, 5, FALSE)</f>
        <v>No</v>
      </c>
      <c r="G264" s="22" t="str">
        <f>VLOOKUP($A264, 'Medical Examinations'!$A:$I, 6, FALSE)</f>
        <v>No</v>
      </c>
      <c r="H264" s="22">
        <f>VLOOKUP($A264,'Medical Examinations'!$A:$L,10, FALSE)</f>
        <v>0</v>
      </c>
      <c r="I264" s="22" t="str">
        <f>VLOOKUP($A264, 'Medical Examinations'!$A:$J, 9, FALSE)</f>
        <v>Yes</v>
      </c>
      <c r="J264" s="22" t="str">
        <f>VLOOKUP($A264, 'Medical Examinations'!$A:$P, 11, FALSE)</f>
        <v>OBESITY</v>
      </c>
      <c r="K264" s="34">
        <v>25792.0</v>
      </c>
      <c r="L264" s="35">
        <f>VLOOKUP($A264, 'Hospitalisation Details'!$A:$H, 7, FALSE)</f>
        <v>33450.99</v>
      </c>
      <c r="M264" s="22" t="str">
        <f>VLOOKUP($A264, 'Hospitalisation Details'!$A:$L, 12, FALSE)</f>
        <v>tier - 2</v>
      </c>
      <c r="N264" s="22" t="str">
        <f>VLOOKUP($A264, 'Hospitalisation Details'!$A:$M, 13, FALSE)</f>
        <v>tier - 2</v>
      </c>
      <c r="O264" s="22" t="str">
        <f>VLOOKUP($A264, 'Hospitalisation Details'!$A:$N, 14, FALSE)</f>
        <v>R1011</v>
      </c>
      <c r="P264" s="36">
        <f>VLOOKUP($A264, 'Hospitalisation Details'!$A:$O, 15, FALSE)</f>
        <v>37</v>
      </c>
    </row>
    <row r="265" ht="15.75" customHeight="1">
      <c r="A265" s="33" t="s">
        <v>529</v>
      </c>
      <c r="B265" s="22" t="str">
        <f>VLOOKUP($A265,'Customer Names'!$A:$D,3, FALSE)</f>
        <v>Land</v>
      </c>
      <c r="C265" s="22">
        <f>VLOOKUP($A265,'Medical Examinations'!$A:$D, 2, FALSE)</f>
        <v>28.16</v>
      </c>
      <c r="D265" s="22">
        <f>VLOOKUP($A265, 'Medical Examinations'!$A:$D,3, FALSE)</f>
        <v>5.77</v>
      </c>
      <c r="E265" s="22" t="str">
        <f>VLOOKUP($A265, 'Medical Examinations'!$A:$D, 4, FALSE)</f>
        <v>No</v>
      </c>
      <c r="F265" s="22" t="str">
        <f>VLOOKUP($A265, 'Medical Examinations'!$A:$J, 5, FALSE)</f>
        <v>No</v>
      </c>
      <c r="G265" s="22" t="str">
        <f>VLOOKUP($A265, 'Medical Examinations'!$A:$I, 6, FALSE)</f>
        <v>No</v>
      </c>
      <c r="H265" s="22">
        <f>VLOOKUP($A265,'Medical Examinations'!$A:$L,10, FALSE)</f>
        <v>2</v>
      </c>
      <c r="I265" s="22" t="str">
        <f>VLOOKUP($A265, 'Medical Examinations'!$A:$J, 9, FALSE)</f>
        <v>Yes</v>
      </c>
      <c r="J265" s="22" t="str">
        <f>VLOOKUP($A265, 'Medical Examinations'!$A:$P, 11, FALSE)</f>
        <v>OVERWEIGHT</v>
      </c>
      <c r="K265" s="34">
        <v>24282.0</v>
      </c>
      <c r="L265" s="35">
        <f>VLOOKUP($A265, 'Hospitalisation Details'!$A:$H, 7, FALSE)</f>
        <v>33344.45</v>
      </c>
      <c r="M265" s="22" t="str">
        <f>VLOOKUP($A265, 'Hospitalisation Details'!$A:$L, 12, FALSE)</f>
        <v>tier - 2</v>
      </c>
      <c r="N265" s="22" t="str">
        <f>VLOOKUP($A265, 'Hospitalisation Details'!$A:$M, 13, FALSE)</f>
        <v>tier - 3</v>
      </c>
      <c r="O265" s="22" t="str">
        <f>VLOOKUP($A265, 'Hospitalisation Details'!$A:$N, 14, FALSE)</f>
        <v>R1011</v>
      </c>
      <c r="P265" s="36">
        <f>VLOOKUP($A265, 'Hospitalisation Details'!$A:$O, 15, FALSE)</f>
        <v>50</v>
      </c>
    </row>
    <row r="266" ht="15.75" customHeight="1">
      <c r="A266" s="33" t="s">
        <v>531</v>
      </c>
      <c r="B266" s="22" t="str">
        <f>VLOOKUP($A266,'Customer Names'!$A:$D,3, FALSE)</f>
        <v>Brecher</v>
      </c>
      <c r="C266" s="22">
        <f>VLOOKUP($A266,'Medical Examinations'!$A:$D, 2, FALSE)</f>
        <v>30.02</v>
      </c>
      <c r="D266" s="22">
        <f>VLOOKUP($A266, 'Medical Examinations'!$A:$D,3, FALSE)</f>
        <v>5.98</v>
      </c>
      <c r="E266" s="22" t="str">
        <f>VLOOKUP($A266, 'Medical Examinations'!$A:$D, 4, FALSE)</f>
        <v>No</v>
      </c>
      <c r="F266" s="22" t="str">
        <f>VLOOKUP($A266, 'Medical Examinations'!$A:$J, 5, FALSE)</f>
        <v>No</v>
      </c>
      <c r="G266" s="22" t="str">
        <f>VLOOKUP($A266, 'Medical Examinations'!$A:$I, 6, FALSE)</f>
        <v>Yes</v>
      </c>
      <c r="H266" s="22">
        <f>VLOOKUP($A266,'Medical Examinations'!$A:$L,10, FALSE)</f>
        <v>1</v>
      </c>
      <c r="I266" s="22" t="str">
        <f>VLOOKUP($A266, 'Medical Examinations'!$A:$J, 9, FALSE)</f>
        <v>Yes</v>
      </c>
      <c r="J266" s="22" t="str">
        <f>VLOOKUP($A266, 'Medical Examinations'!$A:$P, 11, FALSE)</f>
        <v>OBESITY</v>
      </c>
      <c r="K266" s="34">
        <v>28461.0</v>
      </c>
      <c r="L266" s="35">
        <f>VLOOKUP($A266, 'Hospitalisation Details'!$A:$H, 7, FALSE)</f>
        <v>33307.55</v>
      </c>
      <c r="M266" s="22" t="str">
        <f>VLOOKUP($A266, 'Hospitalisation Details'!$A:$L, 12, FALSE)</f>
        <v>tier - 2</v>
      </c>
      <c r="N266" s="22" t="str">
        <f>VLOOKUP($A266, 'Hospitalisation Details'!$A:$M, 13, FALSE)</f>
        <v>tier - 3</v>
      </c>
      <c r="O266" s="22" t="str">
        <f>VLOOKUP($A266, 'Hospitalisation Details'!$A:$N, 14, FALSE)</f>
        <v>R1012</v>
      </c>
      <c r="P266" s="36">
        <f>VLOOKUP($A266, 'Hospitalisation Details'!$A:$O, 15, FALSE)</f>
        <v>19</v>
      </c>
    </row>
    <row r="267" ht="15.75" customHeight="1">
      <c r="A267" s="33" t="s">
        <v>533</v>
      </c>
      <c r="B267" s="22" t="str">
        <f>VLOOKUP($A267,'Customer Names'!$A:$D,3, FALSE)</f>
        <v>Debolt</v>
      </c>
      <c r="C267" s="22">
        <f>VLOOKUP($A267,'Medical Examinations'!$A:$D, 2, FALSE)</f>
        <v>37.82</v>
      </c>
      <c r="D267" s="22">
        <f>VLOOKUP($A267, 'Medical Examinations'!$A:$D,3, FALSE)</f>
        <v>6.01</v>
      </c>
      <c r="E267" s="22" t="str">
        <f>VLOOKUP($A267, 'Medical Examinations'!$A:$D, 4, FALSE)</f>
        <v>No</v>
      </c>
      <c r="F267" s="22" t="str">
        <f>VLOOKUP($A267, 'Medical Examinations'!$A:$J, 5, FALSE)</f>
        <v>No</v>
      </c>
      <c r="G267" s="22" t="str">
        <f>VLOOKUP($A267, 'Medical Examinations'!$A:$I, 6, FALSE)</f>
        <v>No</v>
      </c>
      <c r="H267" s="22">
        <f>VLOOKUP($A267,'Medical Examinations'!$A:$L,10, FALSE)</f>
        <v>0</v>
      </c>
      <c r="I267" s="22" t="str">
        <f>VLOOKUP($A267, 'Medical Examinations'!$A:$J, 9, FALSE)</f>
        <v>Yes</v>
      </c>
      <c r="J267" s="22" t="str">
        <f>VLOOKUP($A267, 'Medical Examinations'!$A:$P, 11, FALSE)</f>
        <v>OBESITY</v>
      </c>
      <c r="K267" s="34">
        <v>24055.0</v>
      </c>
      <c r="L267" s="35">
        <f>VLOOKUP($A267, 'Hospitalisation Details'!$A:$H, 7, FALSE)</f>
        <v>33292.83</v>
      </c>
      <c r="M267" s="22" t="str">
        <f>VLOOKUP($A267, 'Hospitalisation Details'!$A:$L, 12, FALSE)</f>
        <v>tier - 2</v>
      </c>
      <c r="N267" s="22" t="str">
        <f>VLOOKUP($A267, 'Hospitalisation Details'!$A:$M, 13, FALSE)</f>
        <v>tier - 1</v>
      </c>
      <c r="O267" s="22" t="str">
        <f>VLOOKUP($A267, 'Hospitalisation Details'!$A:$N, 14, FALSE)</f>
        <v>R1011</v>
      </c>
      <c r="P267" s="36">
        <f>VLOOKUP($A267, 'Hospitalisation Details'!$A:$O, 15, FALSE)</f>
        <v>32</v>
      </c>
    </row>
    <row r="268" ht="15.75" customHeight="1">
      <c r="A268" s="33" t="s">
        <v>535</v>
      </c>
      <c r="B268" s="22" t="str">
        <f>VLOOKUP($A268,'Customer Names'!$A:$D,3, FALSE)</f>
        <v>Oswalt</v>
      </c>
      <c r="C268" s="22">
        <f>VLOOKUP($A268,'Medical Examinations'!$A:$D, 2, FALSE)</f>
        <v>33.14</v>
      </c>
      <c r="D268" s="22">
        <f>VLOOKUP($A268, 'Medical Examinations'!$A:$D,3, FALSE)</f>
        <v>5.67</v>
      </c>
      <c r="E268" s="22" t="str">
        <f>VLOOKUP($A268, 'Medical Examinations'!$A:$D, 4, FALSE)</f>
        <v>Yes</v>
      </c>
      <c r="F268" s="22" t="str">
        <f>VLOOKUP($A268, 'Medical Examinations'!$A:$J, 5, FALSE)</f>
        <v>No</v>
      </c>
      <c r="G268" s="22" t="str">
        <f>VLOOKUP($A268, 'Medical Examinations'!$A:$I, 6, FALSE)</f>
        <v>No</v>
      </c>
      <c r="H268" s="22">
        <f>VLOOKUP($A268,'Medical Examinations'!$A:$L,10, FALSE)</f>
        <v>0</v>
      </c>
      <c r="I268" s="22" t="str">
        <f>VLOOKUP($A268, 'Medical Examinations'!$A:$J, 9, FALSE)</f>
        <v>Yes</v>
      </c>
      <c r="J268" s="22" t="str">
        <f>VLOOKUP($A268, 'Medical Examinations'!$A:$P, 11, FALSE)</f>
        <v>OBESITY</v>
      </c>
      <c r="K268" s="34">
        <v>28433.0</v>
      </c>
      <c r="L268" s="35">
        <f>VLOOKUP($A268, 'Hospitalisation Details'!$A:$H, 7, FALSE)</f>
        <v>33121</v>
      </c>
      <c r="M268" s="22" t="str">
        <f>VLOOKUP($A268, 'Hospitalisation Details'!$A:$L, 12, FALSE)</f>
        <v>tier - 2</v>
      </c>
      <c r="N268" s="22" t="str">
        <f>VLOOKUP($A268, 'Hospitalisation Details'!$A:$M, 13, FALSE)</f>
        <v>tier - 1</v>
      </c>
      <c r="O268" s="22" t="str">
        <f>VLOOKUP($A268, 'Hospitalisation Details'!$A:$N, 14, FALSE)</f>
        <v>R1011</v>
      </c>
      <c r="P268" s="36">
        <f>VLOOKUP($A268, 'Hospitalisation Details'!$A:$O, 15, FALSE)</f>
        <v>37</v>
      </c>
    </row>
    <row r="269" ht="15.75" customHeight="1">
      <c r="A269" s="33" t="s">
        <v>537</v>
      </c>
      <c r="B269" s="22" t="str">
        <f>VLOOKUP($A269,'Customer Names'!$A:$D,3, FALSE)</f>
        <v>Boyd</v>
      </c>
      <c r="C269" s="22">
        <f>VLOOKUP($A269,'Medical Examinations'!$A:$D, 2, FALSE)</f>
        <v>25.14</v>
      </c>
      <c r="D269" s="22">
        <f>VLOOKUP($A269, 'Medical Examinations'!$A:$D,3, FALSE)</f>
        <v>6.02</v>
      </c>
      <c r="E269" s="22" t="str">
        <f>VLOOKUP($A269, 'Medical Examinations'!$A:$D, 4, FALSE)</f>
        <v>Yes</v>
      </c>
      <c r="F269" s="22" t="str">
        <f>VLOOKUP($A269, 'Medical Examinations'!$A:$J, 5, FALSE)</f>
        <v>No</v>
      </c>
      <c r="G269" s="22" t="str">
        <f>VLOOKUP($A269, 'Medical Examinations'!$A:$I, 6, FALSE)</f>
        <v>Yes</v>
      </c>
      <c r="H269" s="22">
        <f>VLOOKUP($A269,'Medical Examinations'!$A:$L,10, FALSE)</f>
        <v>1</v>
      </c>
      <c r="I269" s="22" t="str">
        <f>VLOOKUP($A269, 'Medical Examinations'!$A:$J, 9, FALSE)</f>
        <v>Yes</v>
      </c>
      <c r="J269" s="22" t="str">
        <f>VLOOKUP($A269, 'Medical Examinations'!$A:$P, 11, FALSE)</f>
        <v>OVERWEIGHT</v>
      </c>
      <c r="K269" s="34">
        <v>26635.0</v>
      </c>
      <c r="L269" s="35">
        <f>VLOOKUP($A269, 'Hospitalisation Details'!$A:$H, 7, FALSE)</f>
        <v>33090.66</v>
      </c>
      <c r="M269" s="22" t="str">
        <f>VLOOKUP($A269, 'Hospitalisation Details'!$A:$L, 12, FALSE)</f>
        <v>tier - 2</v>
      </c>
      <c r="N269" s="22" t="str">
        <f>VLOOKUP($A269, 'Hospitalisation Details'!$A:$M, 13, FALSE)</f>
        <v>tier - 2</v>
      </c>
      <c r="O269" s="22" t="str">
        <f>VLOOKUP($A269, 'Hospitalisation Details'!$A:$N, 14, FALSE)</f>
        <v>R1011</v>
      </c>
      <c r="P269" s="36">
        <f>VLOOKUP($A269, 'Hospitalisation Details'!$A:$O, 15, FALSE)</f>
        <v>53</v>
      </c>
    </row>
    <row r="270" ht="15.75" customHeight="1">
      <c r="A270" s="33" t="s">
        <v>539</v>
      </c>
      <c r="B270" s="22" t="str">
        <f>VLOOKUP($A270,'Customer Names'!$A:$D,3, FALSE)</f>
        <v>Bulewich</v>
      </c>
      <c r="C270" s="22">
        <f>VLOOKUP($A270,'Medical Examinations'!$A:$D, 2, FALSE)</f>
        <v>20.18</v>
      </c>
      <c r="D270" s="22">
        <f>VLOOKUP($A270, 'Medical Examinations'!$A:$D,3, FALSE)</f>
        <v>11.19</v>
      </c>
      <c r="E270" s="22" t="str">
        <f>VLOOKUP($A270, 'Medical Examinations'!$A:$D, 4, FALSE)</f>
        <v>No</v>
      </c>
      <c r="F270" s="22" t="str">
        <f>VLOOKUP($A270, 'Medical Examinations'!$A:$J, 5, FALSE)</f>
        <v>No</v>
      </c>
      <c r="G270" s="22" t="str">
        <f>VLOOKUP($A270, 'Medical Examinations'!$A:$I, 6, FALSE)</f>
        <v>No</v>
      </c>
      <c r="H270" s="22">
        <f>VLOOKUP($A270,'Medical Examinations'!$A:$L,10, FALSE)</f>
        <v>0</v>
      </c>
      <c r="I270" s="22" t="str">
        <f>VLOOKUP($A270, 'Medical Examinations'!$A:$J, 9, FALSE)</f>
        <v>Yes</v>
      </c>
      <c r="J270" s="22" t="str">
        <f>VLOOKUP($A270, 'Medical Examinations'!$A:$P, 11, FALSE)</f>
        <v>NORMAL WEIGHT</v>
      </c>
      <c r="K270" s="34">
        <v>26640.0</v>
      </c>
      <c r="L270" s="35">
        <f>VLOOKUP($A270, 'Hospitalisation Details'!$A:$H, 7, FALSE)</f>
        <v>33074.94</v>
      </c>
      <c r="M270" s="22" t="str">
        <f>VLOOKUP($A270, 'Hospitalisation Details'!$A:$L, 12, FALSE)</f>
        <v>tier - 1</v>
      </c>
      <c r="N270" s="22" t="str">
        <f>VLOOKUP($A270, 'Hospitalisation Details'!$A:$M, 13, FALSE)</f>
        <v>tier - 2</v>
      </c>
      <c r="O270" s="22" t="str">
        <f>VLOOKUP($A270, 'Hospitalisation Details'!$A:$N, 14, FALSE)</f>
        <v>R1011</v>
      </c>
      <c r="P270" s="36">
        <f>VLOOKUP($A270, 'Hospitalisation Details'!$A:$O, 15, FALSE)</f>
        <v>60</v>
      </c>
    </row>
    <row r="271" ht="15.75" customHeight="1">
      <c r="A271" s="33" t="s">
        <v>541</v>
      </c>
      <c r="B271" s="22" t="str">
        <f>VLOOKUP($A271,'Customer Names'!$A:$D,3, FALSE)</f>
        <v>Fukuda</v>
      </c>
      <c r="C271" s="22">
        <f>VLOOKUP($A271,'Medical Examinations'!$A:$D, 2, FALSE)</f>
        <v>44.36</v>
      </c>
      <c r="D271" s="22">
        <f>VLOOKUP($A271, 'Medical Examinations'!$A:$D,3, FALSE)</f>
        <v>5.11</v>
      </c>
      <c r="E271" s="22" t="str">
        <f>VLOOKUP($A271, 'Medical Examinations'!$A:$D, 4, FALSE)</f>
        <v>No</v>
      </c>
      <c r="F271" s="22" t="str">
        <f>VLOOKUP($A271, 'Medical Examinations'!$A:$J, 5, FALSE)</f>
        <v>No</v>
      </c>
      <c r="G271" s="22" t="str">
        <f>VLOOKUP($A271, 'Medical Examinations'!$A:$I, 6, FALSE)</f>
        <v>No</v>
      </c>
      <c r="H271" s="22">
        <f>VLOOKUP($A271,'Medical Examinations'!$A:$L,10, FALSE)</f>
        <v>0</v>
      </c>
      <c r="I271" s="22" t="str">
        <f>VLOOKUP($A271, 'Medical Examinations'!$A:$J, 9, FALSE)</f>
        <v>Yes</v>
      </c>
      <c r="J271" s="22" t="str">
        <f>VLOOKUP($A271, 'Medical Examinations'!$A:$P, 11, FALSE)</f>
        <v>OBESITY</v>
      </c>
      <c r="K271" s="34">
        <v>34304.0</v>
      </c>
      <c r="L271" s="35">
        <f>VLOOKUP($A271, 'Hospitalisation Details'!$A:$H, 7, FALSE)</f>
        <v>33057.23</v>
      </c>
      <c r="M271" s="22" t="str">
        <f>VLOOKUP($A271, 'Hospitalisation Details'!$A:$L, 12, FALSE)</f>
        <v>tier - 1</v>
      </c>
      <c r="N271" s="22" t="str">
        <f>VLOOKUP($A271, 'Hospitalisation Details'!$A:$M, 13, FALSE)</f>
        <v>tier - 2</v>
      </c>
      <c r="O271" s="22" t="str">
        <f>VLOOKUP($A271, 'Hospitalisation Details'!$A:$N, 14, FALSE)</f>
        <v>R1011</v>
      </c>
      <c r="P271" s="36">
        <f>VLOOKUP($A271, 'Hospitalisation Details'!$A:$O, 15, FALSE)</f>
        <v>28</v>
      </c>
    </row>
    <row r="272" ht="15.75" customHeight="1">
      <c r="A272" s="33" t="s">
        <v>543</v>
      </c>
      <c r="B272" s="22" t="str">
        <f>VLOOKUP($A272,'Customer Names'!$A:$D,3, FALSE)</f>
        <v>Phillips</v>
      </c>
      <c r="C272" s="22">
        <f>VLOOKUP($A272,'Medical Examinations'!$A:$D, 2, FALSE)</f>
        <v>23.82</v>
      </c>
      <c r="D272" s="22">
        <f>VLOOKUP($A272, 'Medical Examinations'!$A:$D,3, FALSE)</f>
        <v>10.85</v>
      </c>
      <c r="E272" s="22" t="str">
        <f>VLOOKUP($A272, 'Medical Examinations'!$A:$D, 4, FALSE)</f>
        <v>Yes</v>
      </c>
      <c r="F272" s="22" t="str">
        <f>VLOOKUP($A272, 'Medical Examinations'!$A:$J, 5, FALSE)</f>
        <v>No</v>
      </c>
      <c r="G272" s="22" t="str">
        <f>VLOOKUP($A272, 'Medical Examinations'!$A:$I, 6, FALSE)</f>
        <v>No</v>
      </c>
      <c r="H272" s="22">
        <f>VLOOKUP($A272,'Medical Examinations'!$A:$L,10, FALSE)</f>
        <v>0</v>
      </c>
      <c r="I272" s="22" t="str">
        <f>VLOOKUP($A272, 'Medical Examinations'!$A:$J, 9, FALSE)</f>
        <v>Yes</v>
      </c>
      <c r="J272" s="22" t="str">
        <f>VLOOKUP($A272, 'Medical Examinations'!$A:$P, 11, FALSE)</f>
        <v>NORMAL WEIGHT</v>
      </c>
      <c r="K272" s="34">
        <v>29205.0</v>
      </c>
      <c r="L272" s="35">
        <f>VLOOKUP($A272, 'Hospitalisation Details'!$A:$H, 7, FALSE)</f>
        <v>33025.32</v>
      </c>
      <c r="M272" s="22" t="str">
        <f>VLOOKUP($A272, 'Hospitalisation Details'!$A:$L, 12, FALSE)</f>
        <v>tier - 2</v>
      </c>
      <c r="N272" s="22" t="str">
        <f>VLOOKUP($A272, 'Hospitalisation Details'!$A:$M, 13, FALSE)</f>
        <v>tier - 3</v>
      </c>
      <c r="O272" s="22" t="str">
        <f>VLOOKUP($A272, 'Hospitalisation Details'!$A:$N, 14, FALSE)</f>
        <v>R1011</v>
      </c>
      <c r="P272" s="36">
        <f>VLOOKUP($A272, 'Hospitalisation Details'!$A:$O, 15, FALSE)</f>
        <v>55</v>
      </c>
    </row>
    <row r="273" ht="15.75" customHeight="1">
      <c r="A273" s="33" t="s">
        <v>545</v>
      </c>
      <c r="B273" s="22" t="str">
        <f>VLOOKUP($A273,'Customer Names'!$A:$D,3, FALSE)</f>
        <v>Maddison</v>
      </c>
      <c r="C273" s="22">
        <f>VLOOKUP($A273,'Medical Examinations'!$A:$D, 2, FALSE)</f>
        <v>45</v>
      </c>
      <c r="D273" s="22">
        <f>VLOOKUP($A273, 'Medical Examinations'!$A:$D,3, FALSE)</f>
        <v>5.24</v>
      </c>
      <c r="E273" s="22" t="str">
        <f>VLOOKUP($A273, 'Medical Examinations'!$A:$D, 4, FALSE)</f>
        <v>Yes</v>
      </c>
      <c r="F273" s="22" t="str">
        <f>VLOOKUP($A273, 'Medical Examinations'!$A:$J, 5, FALSE)</f>
        <v>No</v>
      </c>
      <c r="G273" s="22" t="str">
        <f>VLOOKUP($A273, 'Medical Examinations'!$A:$I, 6, FALSE)</f>
        <v>No</v>
      </c>
      <c r="H273" s="22">
        <f>VLOOKUP($A273,'Medical Examinations'!$A:$L,10, FALSE)</f>
        <v>1</v>
      </c>
      <c r="I273" s="22" t="str">
        <f>VLOOKUP($A273, 'Medical Examinations'!$A:$J, 9, FALSE)</f>
        <v>Yes</v>
      </c>
      <c r="J273" s="22" t="str">
        <f>VLOOKUP($A273, 'Medical Examinations'!$A:$P, 11, FALSE)</f>
        <v>OBESITY</v>
      </c>
      <c r="K273" s="34">
        <v>26948.0</v>
      </c>
      <c r="L273" s="35">
        <f>VLOOKUP($A273, 'Hospitalisation Details'!$A:$H, 7, FALSE)</f>
        <v>33017.46</v>
      </c>
      <c r="M273" s="22" t="str">
        <f>VLOOKUP($A273, 'Hospitalisation Details'!$A:$L, 12, FALSE)</f>
        <v>tier - 1</v>
      </c>
      <c r="N273" s="22" t="str">
        <f>VLOOKUP($A273, 'Hospitalisation Details'!$A:$M, 13, FALSE)</f>
        <v>tier - 1</v>
      </c>
      <c r="O273" s="22" t="str">
        <f>VLOOKUP($A273, 'Hospitalisation Details'!$A:$N, 14, FALSE)</f>
        <v>R1011</v>
      </c>
      <c r="P273" s="36">
        <f>VLOOKUP($A273, 'Hospitalisation Details'!$A:$O, 15, FALSE)</f>
        <v>27</v>
      </c>
    </row>
    <row r="274" ht="15.75" customHeight="1">
      <c r="A274" s="33" t="s">
        <v>547</v>
      </c>
      <c r="B274" s="22" t="str">
        <f>VLOOKUP($A274,'Customer Names'!$A:$D,3, FALSE)</f>
        <v>Lockwood</v>
      </c>
      <c r="C274" s="22">
        <f>VLOOKUP($A274,'Medical Examinations'!$A:$D, 2, FALSE)</f>
        <v>26.62</v>
      </c>
      <c r="D274" s="22">
        <f>VLOOKUP($A274, 'Medical Examinations'!$A:$D,3, FALSE)</f>
        <v>10.08</v>
      </c>
      <c r="E274" s="22" t="str">
        <f>VLOOKUP($A274, 'Medical Examinations'!$A:$D, 4, FALSE)</f>
        <v>No</v>
      </c>
      <c r="F274" s="22" t="str">
        <f>VLOOKUP($A274, 'Medical Examinations'!$A:$J, 5, FALSE)</f>
        <v>No</v>
      </c>
      <c r="G274" s="22" t="str">
        <f>VLOOKUP($A274, 'Medical Examinations'!$A:$I, 6, FALSE)</f>
        <v>No</v>
      </c>
      <c r="H274" s="22">
        <f>VLOOKUP($A274,'Medical Examinations'!$A:$L,10, FALSE)</f>
        <v>0</v>
      </c>
      <c r="I274" s="22" t="str">
        <f>VLOOKUP($A274, 'Medical Examinations'!$A:$J, 9, FALSE)</f>
        <v>Yes</v>
      </c>
      <c r="J274" s="22" t="str">
        <f>VLOOKUP($A274, 'Medical Examinations'!$A:$P, 11, FALSE)</f>
        <v>OVERWEIGHT</v>
      </c>
      <c r="K274" s="34">
        <v>27231.0</v>
      </c>
      <c r="L274" s="35">
        <f>VLOOKUP($A274, 'Hospitalisation Details'!$A:$H, 7, FALSE)</f>
        <v>32947.63</v>
      </c>
      <c r="M274" s="22" t="str">
        <f>VLOOKUP($A274, 'Hospitalisation Details'!$A:$L, 12, FALSE)</f>
        <v>tier - 2</v>
      </c>
      <c r="N274" s="22" t="str">
        <f>VLOOKUP($A274, 'Hospitalisation Details'!$A:$M, 13, FALSE)</f>
        <v>tier - 1</v>
      </c>
      <c r="O274" s="22" t="str">
        <f>VLOOKUP($A274, 'Hospitalisation Details'!$A:$N, 14, FALSE)</f>
        <v>R1011</v>
      </c>
      <c r="P274" s="36">
        <f>VLOOKUP($A274, 'Hospitalisation Details'!$A:$O, 15, FALSE)</f>
        <v>51</v>
      </c>
    </row>
    <row r="275" ht="15.75" customHeight="1">
      <c r="A275" s="33" t="s">
        <v>549</v>
      </c>
      <c r="B275" s="22" t="str">
        <f>VLOOKUP($A275,'Customer Names'!$A:$D,3, FALSE)</f>
        <v>Defilippi</v>
      </c>
      <c r="C275" s="22">
        <f>VLOOKUP($A275,'Medical Examinations'!$A:$D, 2, FALSE)</f>
        <v>32.67</v>
      </c>
      <c r="D275" s="22">
        <f>VLOOKUP($A275, 'Medical Examinations'!$A:$D,3, FALSE)</f>
        <v>10.97</v>
      </c>
      <c r="E275" s="22" t="str">
        <f>VLOOKUP($A275, 'Medical Examinations'!$A:$D, 4, FALSE)</f>
        <v>Yes</v>
      </c>
      <c r="F275" s="22" t="str">
        <f>VLOOKUP($A275, 'Medical Examinations'!$A:$J, 5, FALSE)</f>
        <v>No</v>
      </c>
      <c r="G275" s="22" t="str">
        <f>VLOOKUP($A275, 'Medical Examinations'!$A:$I, 6, FALSE)</f>
        <v>No</v>
      </c>
      <c r="H275" s="22">
        <f>VLOOKUP($A275,'Medical Examinations'!$A:$L,10, FALSE)</f>
        <v>0</v>
      </c>
      <c r="I275" s="22" t="str">
        <f>VLOOKUP($A275, 'Medical Examinations'!$A:$J, 9, FALSE)</f>
        <v>Yes</v>
      </c>
      <c r="J275" s="22" t="str">
        <f>VLOOKUP($A275, 'Medical Examinations'!$A:$P, 11, FALSE)</f>
        <v>OBESITY</v>
      </c>
      <c r="K275" s="34">
        <v>27280.0</v>
      </c>
      <c r="L275" s="35">
        <f>VLOOKUP($A275, 'Hospitalisation Details'!$A:$H, 7, FALSE)</f>
        <v>32906.69</v>
      </c>
      <c r="M275" s="22" t="str">
        <f>VLOOKUP($A275, 'Hospitalisation Details'!$A:$L, 12, FALSE)</f>
        <v>tier - 2</v>
      </c>
      <c r="N275" s="22" t="str">
        <f>VLOOKUP($A275, 'Hospitalisation Details'!$A:$M, 13, FALSE)</f>
        <v>tier - 3</v>
      </c>
      <c r="O275" s="22" t="str">
        <f>VLOOKUP($A275, 'Hospitalisation Details'!$A:$N, 14, FALSE)</f>
        <v>R1011</v>
      </c>
      <c r="P275" s="36">
        <f>VLOOKUP($A275, 'Hospitalisation Details'!$A:$O, 15, FALSE)</f>
        <v>41</v>
      </c>
    </row>
    <row r="276" ht="15.75" customHeight="1">
      <c r="A276" s="33" t="s">
        <v>551</v>
      </c>
      <c r="B276" s="22" t="str">
        <f>VLOOKUP($A276,'Customer Names'!$A:$D,3, FALSE)</f>
        <v>Jackson</v>
      </c>
      <c r="C276" s="22">
        <f>VLOOKUP($A276,'Medical Examinations'!$A:$D, 2, FALSE)</f>
        <v>44.44</v>
      </c>
      <c r="D276" s="22">
        <f>VLOOKUP($A276, 'Medical Examinations'!$A:$D,3, FALSE)</f>
        <v>4.9</v>
      </c>
      <c r="E276" s="22" t="str">
        <f>VLOOKUP($A276, 'Medical Examinations'!$A:$D, 4, FALSE)</f>
        <v>Yes</v>
      </c>
      <c r="F276" s="22" t="str">
        <f>VLOOKUP($A276, 'Medical Examinations'!$A:$J, 5, FALSE)</f>
        <v>No</v>
      </c>
      <c r="G276" s="22" t="str">
        <f>VLOOKUP($A276, 'Medical Examinations'!$A:$I, 6, FALSE)</f>
        <v>No</v>
      </c>
      <c r="H276" s="22">
        <f>VLOOKUP($A276,'Medical Examinations'!$A:$L,10, FALSE)</f>
        <v>1</v>
      </c>
      <c r="I276" s="22" t="str">
        <f>VLOOKUP($A276, 'Medical Examinations'!$A:$J, 9, FALSE)</f>
        <v>Yes</v>
      </c>
      <c r="J276" s="22" t="str">
        <f>VLOOKUP($A276, 'Medical Examinations'!$A:$P, 11, FALSE)</f>
        <v>OBESITY</v>
      </c>
      <c r="K276" s="34">
        <v>28707.0</v>
      </c>
      <c r="L276" s="35">
        <f>VLOOKUP($A276, 'Hospitalisation Details'!$A:$H, 7, FALSE)</f>
        <v>32827.51</v>
      </c>
      <c r="M276" s="22" t="str">
        <f>VLOOKUP($A276, 'Hospitalisation Details'!$A:$L, 12, FALSE)</f>
        <v>tier - 1</v>
      </c>
      <c r="N276" s="22" t="str">
        <f>VLOOKUP($A276, 'Hospitalisation Details'!$A:$M, 13, FALSE)</f>
        <v>tier - 2</v>
      </c>
      <c r="O276" s="22" t="str">
        <f>VLOOKUP($A276, 'Hospitalisation Details'!$A:$N, 14, FALSE)</f>
        <v>R1011</v>
      </c>
      <c r="P276" s="36">
        <f>VLOOKUP($A276, 'Hospitalisation Details'!$A:$O, 15, FALSE)</f>
        <v>27</v>
      </c>
    </row>
    <row r="277" ht="15.75" customHeight="1">
      <c r="A277" s="33" t="s">
        <v>553</v>
      </c>
      <c r="B277" s="22" t="str">
        <f>VLOOKUP($A277,'Customer Names'!$A:$D,3, FALSE)</f>
        <v>Ozahowski</v>
      </c>
      <c r="C277" s="22">
        <f>VLOOKUP($A277,'Medical Examinations'!$A:$D, 2, FALSE)</f>
        <v>28.31</v>
      </c>
      <c r="D277" s="22">
        <f>VLOOKUP($A277, 'Medical Examinations'!$A:$D,3, FALSE)</f>
        <v>5.33</v>
      </c>
      <c r="E277" s="22" t="str">
        <f>VLOOKUP($A277, 'Medical Examinations'!$A:$D, 4, FALSE)</f>
        <v>No</v>
      </c>
      <c r="F277" s="22" t="str">
        <f>VLOOKUP($A277, 'Medical Examinations'!$A:$J, 5, FALSE)</f>
        <v>No</v>
      </c>
      <c r="G277" s="22" t="str">
        <f>VLOOKUP($A277, 'Medical Examinations'!$A:$I, 6, FALSE)</f>
        <v>No</v>
      </c>
      <c r="H277" s="22">
        <f>VLOOKUP($A277,'Medical Examinations'!$A:$L,10, FALSE)</f>
        <v>0</v>
      </c>
      <c r="I277" s="22" t="str">
        <f>VLOOKUP($A277, 'Medical Examinations'!$A:$J, 9, FALSE)</f>
        <v>Yes</v>
      </c>
      <c r="J277" s="22" t="str">
        <f>VLOOKUP($A277, 'Medical Examinations'!$A:$P, 11, FALSE)</f>
        <v>OVERWEIGHT</v>
      </c>
      <c r="K277" s="34">
        <v>30512.0</v>
      </c>
      <c r="L277" s="35">
        <f>VLOOKUP($A277, 'Hospitalisation Details'!$A:$H, 7, FALSE)</f>
        <v>32787.46</v>
      </c>
      <c r="M277" s="22" t="str">
        <f>VLOOKUP($A277, 'Hospitalisation Details'!$A:$L, 12, FALSE)</f>
        <v>tier - 1</v>
      </c>
      <c r="N277" s="22" t="str">
        <f>VLOOKUP($A277, 'Hospitalisation Details'!$A:$M, 13, FALSE)</f>
        <v>tier - 3</v>
      </c>
      <c r="O277" s="22" t="str">
        <f>VLOOKUP($A277, 'Hospitalisation Details'!$A:$N, 14, FALSE)</f>
        <v>R1012</v>
      </c>
      <c r="P277" s="36">
        <f>VLOOKUP($A277, 'Hospitalisation Details'!$A:$O, 15, FALSE)</f>
        <v>42</v>
      </c>
    </row>
    <row r="278" ht="15.75" customHeight="1">
      <c r="A278" s="33" t="s">
        <v>555</v>
      </c>
      <c r="B278" s="22" t="str">
        <f>VLOOKUP($A278,'Customer Names'!$A:$D,3, FALSE)</f>
        <v>Guthals</v>
      </c>
      <c r="C278" s="22">
        <f>VLOOKUP($A278,'Medical Examinations'!$A:$D, 2, FALSE)</f>
        <v>25.05</v>
      </c>
      <c r="D278" s="22">
        <f>VLOOKUP($A278, 'Medical Examinations'!$A:$D,3, FALSE)</f>
        <v>4.61</v>
      </c>
      <c r="E278" s="22" t="str">
        <f>VLOOKUP($A278, 'Medical Examinations'!$A:$D, 4, FALSE)</f>
        <v>No</v>
      </c>
      <c r="F278" s="22" t="str">
        <f>VLOOKUP($A278, 'Medical Examinations'!$A:$J, 5, FALSE)</f>
        <v>No</v>
      </c>
      <c r="G278" s="22" t="str">
        <f>VLOOKUP($A278, 'Medical Examinations'!$A:$I, 6, FALSE)</f>
        <v>No</v>
      </c>
      <c r="H278" s="22">
        <f>VLOOKUP($A278,'Medical Examinations'!$A:$L,10, FALSE)</f>
        <v>2</v>
      </c>
      <c r="I278" s="22" t="str">
        <f>VLOOKUP($A278, 'Medical Examinations'!$A:$J, 9, FALSE)</f>
        <v>Yes</v>
      </c>
      <c r="J278" s="22" t="str">
        <f>VLOOKUP($A278, 'Medical Examinations'!$A:$P, 11, FALSE)</f>
        <v>OVERWEIGHT</v>
      </c>
      <c r="K278" s="34">
        <v>27258.0</v>
      </c>
      <c r="L278" s="35">
        <f>VLOOKUP($A278, 'Hospitalisation Details'!$A:$H, 7, FALSE)</f>
        <v>32765.33</v>
      </c>
      <c r="M278" s="22" t="str">
        <f>VLOOKUP($A278, 'Hospitalisation Details'!$A:$L, 12, FALSE)</f>
        <v>tier - 2</v>
      </c>
      <c r="N278" s="22" t="str">
        <f>VLOOKUP($A278, 'Hospitalisation Details'!$A:$M, 13, FALSE)</f>
        <v>tier - 2</v>
      </c>
      <c r="O278" s="22" t="str">
        <f>VLOOKUP($A278, 'Hospitalisation Details'!$A:$N, 14, FALSE)</f>
        <v>R1012</v>
      </c>
      <c r="P278" s="36">
        <f>VLOOKUP($A278, 'Hospitalisation Details'!$A:$O, 15, FALSE)</f>
        <v>50</v>
      </c>
    </row>
    <row r="279" ht="15.75" customHeight="1">
      <c r="A279" s="33" t="s">
        <v>557</v>
      </c>
      <c r="B279" s="22" t="str">
        <f>VLOOKUP($A279,'Customer Names'!$A:$D,3, FALSE)</f>
        <v>Yates</v>
      </c>
      <c r="C279" s="22">
        <f>VLOOKUP($A279,'Medical Examinations'!$A:$D, 2, FALSE)</f>
        <v>28.34</v>
      </c>
      <c r="D279" s="22">
        <f>VLOOKUP($A279, 'Medical Examinations'!$A:$D,3, FALSE)</f>
        <v>8.18</v>
      </c>
      <c r="E279" s="22" t="str">
        <f>VLOOKUP($A279, 'Medical Examinations'!$A:$D, 4, FALSE)</f>
        <v>No</v>
      </c>
      <c r="F279" s="22" t="str">
        <f>VLOOKUP($A279, 'Medical Examinations'!$A:$J, 5, FALSE)</f>
        <v>No</v>
      </c>
      <c r="G279" s="22" t="str">
        <f>VLOOKUP($A279, 'Medical Examinations'!$A:$I, 6, FALSE)</f>
        <v>No</v>
      </c>
      <c r="H279" s="22">
        <f>VLOOKUP($A279,'Medical Examinations'!$A:$L,10, FALSE)</f>
        <v>0</v>
      </c>
      <c r="I279" s="22" t="str">
        <f>VLOOKUP($A279, 'Medical Examinations'!$A:$J, 9, FALSE)</f>
        <v>Yes</v>
      </c>
      <c r="J279" s="22" t="str">
        <f>VLOOKUP($A279, 'Medical Examinations'!$A:$P, 11, FALSE)</f>
        <v>OVERWEIGHT</v>
      </c>
      <c r="K279" s="34">
        <v>33874.0</v>
      </c>
      <c r="L279" s="35">
        <f>VLOOKUP($A279, 'Hospitalisation Details'!$A:$H, 7, FALSE)</f>
        <v>32760.48</v>
      </c>
      <c r="M279" s="22" t="str">
        <f>VLOOKUP($A279, 'Hospitalisation Details'!$A:$L, 12, FALSE)</f>
        <v>tier - 1</v>
      </c>
      <c r="N279" s="22" t="str">
        <f>VLOOKUP($A279, 'Hospitalisation Details'!$A:$M, 13, FALSE)</f>
        <v>tier - 1</v>
      </c>
      <c r="O279" s="22" t="str">
        <f>VLOOKUP($A279, 'Hospitalisation Details'!$A:$N, 14, FALSE)</f>
        <v>R1011</v>
      </c>
      <c r="P279" s="36">
        <f>VLOOKUP($A279, 'Hospitalisation Details'!$A:$O, 15, FALSE)</f>
        <v>48</v>
      </c>
    </row>
    <row r="280" ht="15.75" customHeight="1">
      <c r="A280" s="33" t="s">
        <v>559</v>
      </c>
      <c r="B280" s="22" t="str">
        <f>VLOOKUP($A280,'Customer Names'!$A:$D,3, FALSE)</f>
        <v>Samuelson</v>
      </c>
      <c r="C280" s="22">
        <f>VLOOKUP($A280,'Medical Examinations'!$A:$D, 2, FALSE)</f>
        <v>17.765</v>
      </c>
      <c r="D280" s="22">
        <f>VLOOKUP($A280, 'Medical Examinations'!$A:$D,3, FALSE)</f>
        <v>5.62</v>
      </c>
      <c r="E280" s="22" t="str">
        <f>VLOOKUP($A280, 'Medical Examinations'!$A:$D, 4, FALSE)</f>
        <v>No</v>
      </c>
      <c r="F280" s="22" t="str">
        <f>VLOOKUP($A280, 'Medical Examinations'!$A:$J, 5, FALSE)</f>
        <v>No</v>
      </c>
      <c r="G280" s="22" t="str">
        <f>VLOOKUP($A280, 'Medical Examinations'!$A:$I, 6, FALSE)</f>
        <v>No</v>
      </c>
      <c r="H280" s="22">
        <f>VLOOKUP($A280,'Medical Examinations'!$A:$L,10, FALSE)</f>
        <v>0</v>
      </c>
      <c r="I280" s="22" t="str">
        <f>VLOOKUP($A280, 'Medical Examinations'!$A:$J, 9, FALSE)</f>
        <v>Yes</v>
      </c>
      <c r="J280" s="22" t="str">
        <f>VLOOKUP($A280, 'Medical Examinations'!$A:$P, 11, FALSE)</f>
        <v>UNDERWEIGHT</v>
      </c>
      <c r="K280" s="34">
        <v>28119.0</v>
      </c>
      <c r="L280" s="35">
        <f>VLOOKUP($A280, 'Hospitalisation Details'!$A:$H, 7, FALSE)</f>
        <v>32734.19</v>
      </c>
      <c r="M280" s="22" t="str">
        <f>VLOOKUP($A280, 'Hospitalisation Details'!$A:$L, 12, FALSE)</f>
        <v>tier - 2</v>
      </c>
      <c r="N280" s="22" t="str">
        <f>VLOOKUP($A280, 'Hospitalisation Details'!$A:$M, 13, FALSE)</f>
        <v>tier - 1</v>
      </c>
      <c r="O280" s="22" t="str">
        <f>VLOOKUP($A280, 'Hospitalisation Details'!$A:$N, 14, FALSE)</f>
        <v>R1012</v>
      </c>
      <c r="P280" s="36">
        <f>VLOOKUP($A280, 'Hospitalisation Details'!$A:$O, 15, FALSE)</f>
        <v>32</v>
      </c>
    </row>
    <row r="281" ht="15.75" customHeight="1">
      <c r="A281" s="33" t="s">
        <v>561</v>
      </c>
      <c r="B281" s="22" t="str">
        <f>VLOOKUP($A281,'Customer Names'!$A:$D,3, FALSE)</f>
        <v>Lemos</v>
      </c>
      <c r="C281" s="22">
        <f>VLOOKUP($A281,'Medical Examinations'!$A:$D, 2, FALSE)</f>
        <v>36.12</v>
      </c>
      <c r="D281" s="22">
        <f>VLOOKUP($A281, 'Medical Examinations'!$A:$D,3, FALSE)</f>
        <v>5.82</v>
      </c>
      <c r="E281" s="22" t="str">
        <f>VLOOKUP($A281, 'Medical Examinations'!$A:$D, 4, FALSE)</f>
        <v>No</v>
      </c>
      <c r="F281" s="22" t="str">
        <f>VLOOKUP($A281, 'Medical Examinations'!$A:$J, 5, FALSE)</f>
        <v>No</v>
      </c>
      <c r="G281" s="22" t="str">
        <f>VLOOKUP($A281, 'Medical Examinations'!$A:$I, 6, FALSE)</f>
        <v>No</v>
      </c>
      <c r="H281" s="22">
        <f>VLOOKUP($A281,'Medical Examinations'!$A:$L,10, FALSE)</f>
        <v>0</v>
      </c>
      <c r="I281" s="22" t="str">
        <f>VLOOKUP($A281, 'Medical Examinations'!$A:$J, 9, FALSE)</f>
        <v>Yes</v>
      </c>
      <c r="J281" s="22" t="str">
        <f>VLOOKUP($A281, 'Medical Examinations'!$A:$P, 11, FALSE)</f>
        <v>OBESITY</v>
      </c>
      <c r="K281" s="34">
        <v>26456.0</v>
      </c>
      <c r="L281" s="35">
        <f>VLOOKUP($A281, 'Hospitalisation Details'!$A:$H, 7, FALSE)</f>
        <v>32716.2</v>
      </c>
      <c r="M281" s="22" t="str">
        <f>VLOOKUP($A281, 'Hospitalisation Details'!$A:$L, 12, FALSE)</f>
        <v>tier - 1</v>
      </c>
      <c r="N281" s="22" t="str">
        <f>VLOOKUP($A281, 'Hospitalisation Details'!$A:$M, 13, FALSE)</f>
        <v>tier - 2</v>
      </c>
      <c r="O281" s="22" t="str">
        <f>VLOOKUP($A281, 'Hospitalisation Details'!$A:$N, 14, FALSE)</f>
        <v>R1011</v>
      </c>
      <c r="P281" s="36">
        <f>VLOOKUP($A281, 'Hospitalisation Details'!$A:$O, 15, FALSE)</f>
        <v>32</v>
      </c>
    </row>
    <row r="282" ht="15.75" customHeight="1">
      <c r="A282" s="33" t="s">
        <v>563</v>
      </c>
      <c r="B282" s="22" t="str">
        <f>VLOOKUP($A282,'Customer Names'!$A:$D,3, FALSE)</f>
        <v>Seynders</v>
      </c>
      <c r="C282" s="22">
        <f>VLOOKUP($A282,'Medical Examinations'!$A:$D, 2, FALSE)</f>
        <v>23.19</v>
      </c>
      <c r="D282" s="22">
        <f>VLOOKUP($A282, 'Medical Examinations'!$A:$D,3, FALSE)</f>
        <v>7.66</v>
      </c>
      <c r="E282" s="22" t="str">
        <f>VLOOKUP($A282, 'Medical Examinations'!$A:$D, 4, FALSE)</f>
        <v>No</v>
      </c>
      <c r="F282" s="22" t="str">
        <f>VLOOKUP($A282, 'Medical Examinations'!$A:$J, 5, FALSE)</f>
        <v>No</v>
      </c>
      <c r="G282" s="22" t="str">
        <f>VLOOKUP($A282, 'Medical Examinations'!$A:$I, 6, FALSE)</f>
        <v>No</v>
      </c>
      <c r="H282" s="22">
        <f>VLOOKUP($A282,'Medical Examinations'!$A:$L,10, FALSE)</f>
        <v>0</v>
      </c>
      <c r="I282" s="22" t="str">
        <f>VLOOKUP($A282, 'Medical Examinations'!$A:$J, 9, FALSE)</f>
        <v>Yes</v>
      </c>
      <c r="J282" s="22" t="str">
        <f>VLOOKUP($A282, 'Medical Examinations'!$A:$P, 11, FALSE)</f>
        <v>NORMAL WEIGHT</v>
      </c>
      <c r="K282" s="34">
        <v>27582.0</v>
      </c>
      <c r="L282" s="35">
        <f>VLOOKUP($A282, 'Hospitalisation Details'!$A:$H, 7, FALSE)</f>
        <v>32686.08</v>
      </c>
      <c r="M282" s="22" t="str">
        <f>VLOOKUP($A282, 'Hospitalisation Details'!$A:$L, 12, FALSE)</f>
        <v>tier - 2</v>
      </c>
      <c r="N282" s="22" t="str">
        <f>VLOOKUP($A282, 'Hospitalisation Details'!$A:$M, 13, FALSE)</f>
        <v>tier - 3</v>
      </c>
      <c r="O282" s="22" t="str">
        <f>VLOOKUP($A282, 'Hospitalisation Details'!$A:$N, 14, FALSE)</f>
        <v>R1011</v>
      </c>
      <c r="P282" s="36">
        <f>VLOOKUP($A282, 'Hospitalisation Details'!$A:$O, 15, FALSE)</f>
        <v>54</v>
      </c>
    </row>
    <row r="283" ht="15.75" customHeight="1">
      <c r="A283" s="33" t="s">
        <v>565</v>
      </c>
      <c r="B283" s="22" t="str">
        <f>VLOOKUP($A283,'Customer Names'!$A:$D,3, FALSE)</f>
        <v>Saunders</v>
      </c>
      <c r="C283" s="22">
        <f>VLOOKUP($A283,'Medical Examinations'!$A:$D, 2, FALSE)</f>
        <v>35.99</v>
      </c>
      <c r="D283" s="22">
        <f>VLOOKUP($A283, 'Medical Examinations'!$A:$D,3, FALSE)</f>
        <v>4.23</v>
      </c>
      <c r="E283" s="22" t="str">
        <f>VLOOKUP($A283, 'Medical Examinations'!$A:$D, 4, FALSE)</f>
        <v>No</v>
      </c>
      <c r="F283" s="22" t="str">
        <f>VLOOKUP($A283, 'Medical Examinations'!$A:$J, 5, FALSE)</f>
        <v>No</v>
      </c>
      <c r="G283" s="22" t="str">
        <f>VLOOKUP($A283, 'Medical Examinations'!$A:$I, 6, FALSE)</f>
        <v>No</v>
      </c>
      <c r="H283" s="22">
        <f>VLOOKUP($A283,'Medical Examinations'!$A:$L,10, FALSE)</f>
        <v>0</v>
      </c>
      <c r="I283" s="22" t="str">
        <f>VLOOKUP($A283, 'Medical Examinations'!$A:$J, 9, FALSE)</f>
        <v>Yes</v>
      </c>
      <c r="J283" s="22" t="str">
        <f>VLOOKUP($A283, 'Medical Examinations'!$A:$P, 11, FALSE)</f>
        <v>OBESITY</v>
      </c>
      <c r="K283" s="34">
        <v>24721.0</v>
      </c>
      <c r="L283" s="35">
        <f>VLOOKUP($A283, 'Hospitalisation Details'!$A:$H, 7, FALSE)</f>
        <v>32672.11</v>
      </c>
      <c r="M283" s="22" t="str">
        <f>VLOOKUP($A283, 'Hospitalisation Details'!$A:$L, 12, FALSE)</f>
        <v>tier - 1</v>
      </c>
      <c r="N283" s="22" t="str">
        <f>VLOOKUP($A283, 'Hospitalisation Details'!$A:$M, 13, FALSE)</f>
        <v>tier - 1</v>
      </c>
      <c r="O283" s="22" t="str">
        <f>VLOOKUP($A283, 'Hospitalisation Details'!$A:$N, 14, FALSE)</f>
        <v>R1011</v>
      </c>
      <c r="P283" s="36">
        <f>VLOOKUP($A283, 'Hospitalisation Details'!$A:$O, 15, FALSE)</f>
        <v>32</v>
      </c>
    </row>
    <row r="284" ht="15.75" customHeight="1">
      <c r="A284" s="33" t="s">
        <v>567</v>
      </c>
      <c r="B284" s="22" t="str">
        <f>VLOOKUP($A284,'Customer Names'!$A:$D,3, FALSE)</f>
        <v>Walker</v>
      </c>
      <c r="C284" s="22">
        <f>VLOOKUP($A284,'Medical Examinations'!$A:$D, 2, FALSE)</f>
        <v>30.25</v>
      </c>
      <c r="D284" s="22">
        <f>VLOOKUP($A284, 'Medical Examinations'!$A:$D,3, FALSE)</f>
        <v>5.58</v>
      </c>
      <c r="E284" s="22" t="str">
        <f>VLOOKUP($A284, 'Medical Examinations'!$A:$D, 4, FALSE)</f>
        <v>No</v>
      </c>
      <c r="F284" s="22" t="str">
        <f>VLOOKUP($A284, 'Medical Examinations'!$A:$J, 5, FALSE)</f>
        <v>No</v>
      </c>
      <c r="G284" s="22" t="str">
        <f>VLOOKUP($A284, 'Medical Examinations'!$A:$I, 6, FALSE)</f>
        <v>Yes</v>
      </c>
      <c r="H284" s="22">
        <f>VLOOKUP($A284,'Medical Examinations'!$A:$L,10, FALSE)</f>
        <v>1</v>
      </c>
      <c r="I284" s="22" t="str">
        <f>VLOOKUP($A284, 'Medical Examinations'!$A:$J, 9, FALSE)</f>
        <v>Yes</v>
      </c>
      <c r="J284" s="22" t="str">
        <f>VLOOKUP($A284, 'Medical Examinations'!$A:$P, 11, FALSE)</f>
        <v>OBESITY</v>
      </c>
      <c r="K284" s="34">
        <v>35762.0</v>
      </c>
      <c r="L284" s="35">
        <f>VLOOKUP($A284, 'Hospitalisation Details'!$A:$H, 7, FALSE)</f>
        <v>32548.34</v>
      </c>
      <c r="M284" s="22" t="str">
        <f>VLOOKUP($A284, 'Hospitalisation Details'!$A:$L, 12, FALSE)</f>
        <v>tier - 1</v>
      </c>
      <c r="N284" s="22" t="str">
        <f>VLOOKUP($A284, 'Hospitalisation Details'!$A:$M, 13, FALSE)</f>
        <v>tier - 2</v>
      </c>
      <c r="O284" s="22" t="str">
        <f>VLOOKUP($A284, 'Hospitalisation Details'!$A:$N, 14, FALSE)</f>
        <v>R1013</v>
      </c>
      <c r="P284" s="36">
        <f>VLOOKUP($A284, 'Hospitalisation Details'!$A:$O, 15, FALSE)</f>
        <v>19</v>
      </c>
    </row>
    <row r="285" ht="15.75" customHeight="1">
      <c r="A285" s="33" t="s">
        <v>569</v>
      </c>
      <c r="B285" s="22" t="str">
        <f>VLOOKUP($A285,'Customer Names'!$A:$D,3, FALSE)</f>
        <v>Lam</v>
      </c>
      <c r="C285" s="22">
        <f>VLOOKUP($A285,'Medical Examinations'!$A:$D, 2, FALSE)</f>
        <v>26.24</v>
      </c>
      <c r="D285" s="22">
        <f>VLOOKUP($A285, 'Medical Examinations'!$A:$D,3, FALSE)</f>
        <v>6.26</v>
      </c>
      <c r="E285" s="22" t="str">
        <f>VLOOKUP($A285, 'Medical Examinations'!$A:$D, 4, FALSE)</f>
        <v>Yes</v>
      </c>
      <c r="F285" s="22" t="str">
        <f>VLOOKUP($A285, 'Medical Examinations'!$A:$J, 5, FALSE)</f>
        <v>No</v>
      </c>
      <c r="G285" s="22" t="str">
        <f>VLOOKUP($A285, 'Medical Examinations'!$A:$I, 6, FALSE)</f>
        <v>No</v>
      </c>
      <c r="H285" s="22">
        <f>VLOOKUP($A285,'Medical Examinations'!$A:$L,10, FALSE)</f>
        <v>0</v>
      </c>
      <c r="I285" s="22" t="str">
        <f>VLOOKUP($A285, 'Medical Examinations'!$A:$J, 9, FALSE)</f>
        <v>Yes</v>
      </c>
      <c r="J285" s="22" t="str">
        <f>VLOOKUP($A285, 'Medical Examinations'!$A:$P, 11, FALSE)</f>
        <v>OVERWEIGHT</v>
      </c>
      <c r="K285" s="34">
        <v>28840.0</v>
      </c>
      <c r="L285" s="35">
        <f>VLOOKUP($A285, 'Hospitalisation Details'!$A:$H, 7, FALSE)</f>
        <v>32485.46</v>
      </c>
      <c r="M285" s="22" t="str">
        <f>VLOOKUP($A285, 'Hospitalisation Details'!$A:$L, 12, FALSE)</f>
        <v>tier - 2</v>
      </c>
      <c r="N285" s="22" t="str">
        <f>VLOOKUP($A285, 'Hospitalisation Details'!$A:$M, 13, FALSE)</f>
        <v>tier - 1</v>
      </c>
      <c r="O285" s="22" t="str">
        <f>VLOOKUP($A285, 'Hospitalisation Details'!$A:$N, 14, FALSE)</f>
        <v>R1011</v>
      </c>
      <c r="P285" s="36">
        <f>VLOOKUP($A285, 'Hospitalisation Details'!$A:$O, 15, FALSE)</f>
        <v>46</v>
      </c>
    </row>
    <row r="286" ht="15.75" customHeight="1">
      <c r="A286" s="33" t="s">
        <v>571</v>
      </c>
      <c r="B286" s="22" t="str">
        <f>VLOOKUP($A286,'Customer Names'!$A:$D,3, FALSE)</f>
        <v>Sweigart</v>
      </c>
      <c r="C286" s="22">
        <f>VLOOKUP($A286,'Medical Examinations'!$A:$D, 2, FALSE)</f>
        <v>31.36</v>
      </c>
      <c r="D286" s="22">
        <f>VLOOKUP($A286, 'Medical Examinations'!$A:$D,3, FALSE)</f>
        <v>10.6</v>
      </c>
      <c r="E286" s="22" t="str">
        <f>VLOOKUP($A286, 'Medical Examinations'!$A:$D, 4, FALSE)</f>
        <v>Yes</v>
      </c>
      <c r="F286" s="22" t="str">
        <f>VLOOKUP($A286, 'Medical Examinations'!$A:$J, 5, FALSE)</f>
        <v>No</v>
      </c>
      <c r="G286" s="22" t="str">
        <f>VLOOKUP($A286, 'Medical Examinations'!$A:$I, 6, FALSE)</f>
        <v>No</v>
      </c>
      <c r="H286" s="22">
        <f>VLOOKUP($A286,'Medical Examinations'!$A:$L,10, FALSE)</f>
        <v>0</v>
      </c>
      <c r="I286" s="22" t="str">
        <f>VLOOKUP($A286, 'Medical Examinations'!$A:$J, 9, FALSE)</f>
        <v>Yes</v>
      </c>
      <c r="J286" s="22" t="str">
        <f>VLOOKUP($A286, 'Medical Examinations'!$A:$P, 11, FALSE)</f>
        <v>OBESITY</v>
      </c>
      <c r="K286" s="34">
        <v>26916.0</v>
      </c>
      <c r="L286" s="35">
        <f>VLOOKUP($A286, 'Hospitalisation Details'!$A:$H, 7, FALSE)</f>
        <v>32462.35</v>
      </c>
      <c r="M286" s="22" t="str">
        <f>VLOOKUP($A286, 'Hospitalisation Details'!$A:$L, 12, FALSE)</f>
        <v>tier - 2</v>
      </c>
      <c r="N286" s="22" t="str">
        <f>VLOOKUP($A286, 'Hospitalisation Details'!$A:$M, 13, FALSE)</f>
        <v>tier - 2</v>
      </c>
      <c r="O286" s="22" t="str">
        <f>VLOOKUP($A286, 'Hospitalisation Details'!$A:$N, 14, FALSE)</f>
        <v>R1011</v>
      </c>
      <c r="P286" s="36">
        <f>VLOOKUP($A286, 'Hospitalisation Details'!$A:$O, 15, FALSE)</f>
        <v>41</v>
      </c>
    </row>
    <row r="287" ht="15.75" customHeight="1">
      <c r="A287" s="33" t="s">
        <v>573</v>
      </c>
      <c r="B287" s="22" t="str">
        <f>VLOOKUP($A287,'Customer Names'!$A:$D,3, FALSE)</f>
        <v>Sieczkowski</v>
      </c>
      <c r="C287" s="22">
        <f>VLOOKUP($A287,'Medical Examinations'!$A:$D, 2, FALSE)</f>
        <v>25.69</v>
      </c>
      <c r="D287" s="22">
        <f>VLOOKUP($A287, 'Medical Examinations'!$A:$D,3, FALSE)</f>
        <v>4.78</v>
      </c>
      <c r="E287" s="22" t="str">
        <f>VLOOKUP($A287, 'Medical Examinations'!$A:$D, 4, FALSE)</f>
        <v>Yes</v>
      </c>
      <c r="F287" s="22" t="str">
        <f>VLOOKUP($A287, 'Medical Examinations'!$A:$J, 5, FALSE)</f>
        <v>No</v>
      </c>
      <c r="G287" s="22" t="str">
        <f>VLOOKUP($A287, 'Medical Examinations'!$A:$I, 6, FALSE)</f>
        <v>No</v>
      </c>
      <c r="H287" s="22">
        <f>VLOOKUP($A287,'Medical Examinations'!$A:$L,10, FALSE)</f>
        <v>0</v>
      </c>
      <c r="I287" s="22" t="str">
        <f>VLOOKUP($A287, 'Medical Examinations'!$A:$J, 9, FALSE)</f>
        <v>Yes</v>
      </c>
      <c r="J287" s="22" t="str">
        <f>VLOOKUP($A287, 'Medical Examinations'!$A:$P, 11, FALSE)</f>
        <v>OVERWEIGHT</v>
      </c>
      <c r="K287" s="34">
        <v>30179.0</v>
      </c>
      <c r="L287" s="35">
        <f>VLOOKUP($A287, 'Hospitalisation Details'!$A:$H, 7, FALSE)</f>
        <v>32430.22</v>
      </c>
      <c r="M287" s="22" t="str">
        <f>VLOOKUP($A287, 'Hospitalisation Details'!$A:$L, 12, FALSE)</f>
        <v>tier - 2</v>
      </c>
      <c r="N287" s="22" t="str">
        <f>VLOOKUP($A287, 'Hospitalisation Details'!$A:$M, 13, FALSE)</f>
        <v>tier - 3</v>
      </c>
      <c r="O287" s="22" t="str">
        <f>VLOOKUP($A287, 'Hospitalisation Details'!$A:$N, 14, FALSE)</f>
        <v>R1011</v>
      </c>
      <c r="P287" s="36">
        <f>VLOOKUP($A287, 'Hospitalisation Details'!$A:$O, 15, FALSE)</f>
        <v>46</v>
      </c>
    </row>
    <row r="288" ht="15.75" customHeight="1">
      <c r="A288" s="33" t="s">
        <v>575</v>
      </c>
      <c r="B288" s="22" t="str">
        <f>VLOOKUP($A288,'Customer Names'!$A:$D,3, FALSE)</f>
        <v>Jurgens</v>
      </c>
      <c r="C288" s="22">
        <f>VLOOKUP($A288,'Medical Examinations'!$A:$D, 2, FALSE)</f>
        <v>25.46</v>
      </c>
      <c r="D288" s="22">
        <f>VLOOKUP($A288, 'Medical Examinations'!$A:$D,3, FALSE)</f>
        <v>6.03</v>
      </c>
      <c r="E288" s="22" t="str">
        <f>VLOOKUP($A288, 'Medical Examinations'!$A:$D, 4, FALSE)</f>
        <v>No</v>
      </c>
      <c r="F288" s="22" t="str">
        <f>VLOOKUP($A288, 'Medical Examinations'!$A:$J, 5, FALSE)</f>
        <v>No</v>
      </c>
      <c r="G288" s="22" t="str">
        <f>VLOOKUP($A288, 'Medical Examinations'!$A:$I, 6, FALSE)</f>
        <v>No</v>
      </c>
      <c r="H288" s="22">
        <f>VLOOKUP($A288,'Medical Examinations'!$A:$L,10, FALSE)</f>
        <v>2</v>
      </c>
      <c r="I288" s="22" t="str">
        <f>VLOOKUP($A288, 'Medical Examinations'!$A:$J, 9, FALSE)</f>
        <v>Yes</v>
      </c>
      <c r="J288" s="22" t="str">
        <f>VLOOKUP($A288, 'Medical Examinations'!$A:$P, 11, FALSE)</f>
        <v>OVERWEIGHT</v>
      </c>
      <c r="K288" s="34">
        <v>27198.0</v>
      </c>
      <c r="L288" s="35">
        <f>VLOOKUP($A288, 'Hospitalisation Details'!$A:$H, 7, FALSE)</f>
        <v>32428.63</v>
      </c>
      <c r="M288" s="22" t="str">
        <f>VLOOKUP($A288, 'Hospitalisation Details'!$A:$L, 12, FALSE)</f>
        <v>tier - 2</v>
      </c>
      <c r="N288" s="22" t="str">
        <f>VLOOKUP($A288, 'Hospitalisation Details'!$A:$M, 13, FALSE)</f>
        <v>tier - 2</v>
      </c>
      <c r="O288" s="22" t="str">
        <f>VLOOKUP($A288, 'Hospitalisation Details'!$A:$N, 14, FALSE)</f>
        <v>R1011</v>
      </c>
      <c r="P288" s="36">
        <f>VLOOKUP($A288, 'Hospitalisation Details'!$A:$O, 15, FALSE)</f>
        <v>50</v>
      </c>
    </row>
    <row r="289" ht="15.75" customHeight="1">
      <c r="A289" s="33" t="s">
        <v>577</v>
      </c>
      <c r="B289" s="22" t="str">
        <f>VLOOKUP($A289,'Customer Names'!$A:$D,3, FALSE)</f>
        <v>Hackman</v>
      </c>
      <c r="C289" s="22">
        <f>VLOOKUP($A289,'Medical Examinations'!$A:$D, 2, FALSE)</f>
        <v>31.83</v>
      </c>
      <c r="D289" s="22">
        <f>VLOOKUP($A289, 'Medical Examinations'!$A:$D,3, FALSE)</f>
        <v>11.55</v>
      </c>
      <c r="E289" s="22" t="str">
        <f>VLOOKUP($A289, 'Medical Examinations'!$A:$D, 4, FALSE)</f>
        <v>Yes</v>
      </c>
      <c r="F289" s="22" t="str">
        <f>VLOOKUP($A289, 'Medical Examinations'!$A:$J, 5, FALSE)</f>
        <v>No</v>
      </c>
      <c r="G289" s="22" t="str">
        <f>VLOOKUP($A289, 'Medical Examinations'!$A:$I, 6, FALSE)</f>
        <v>No</v>
      </c>
      <c r="H289" s="22">
        <f>VLOOKUP($A289,'Medical Examinations'!$A:$L,10, FALSE)</f>
        <v>1</v>
      </c>
      <c r="I289" s="22" t="str">
        <f>VLOOKUP($A289, 'Medical Examinations'!$A:$J, 9, FALSE)</f>
        <v>Yes</v>
      </c>
      <c r="J289" s="22" t="str">
        <f>VLOOKUP($A289, 'Medical Examinations'!$A:$P, 11, FALSE)</f>
        <v>OBESITY</v>
      </c>
      <c r="K289" s="34">
        <v>26625.0</v>
      </c>
      <c r="L289" s="35">
        <f>VLOOKUP($A289, 'Hospitalisation Details'!$A:$H, 7, FALSE)</f>
        <v>32288.49</v>
      </c>
      <c r="M289" s="22" t="str">
        <f>VLOOKUP($A289, 'Hospitalisation Details'!$A:$L, 12, FALSE)</f>
        <v>tier - 2</v>
      </c>
      <c r="N289" s="22" t="str">
        <f>VLOOKUP($A289, 'Hospitalisation Details'!$A:$M, 13, FALSE)</f>
        <v>tier - 2</v>
      </c>
      <c r="O289" s="22" t="str">
        <f>VLOOKUP($A289, 'Hospitalisation Details'!$A:$N, 14, FALSE)</f>
        <v>R1011</v>
      </c>
      <c r="P289" s="36">
        <f>VLOOKUP($A289, 'Hospitalisation Details'!$A:$O, 15, FALSE)</f>
        <v>36</v>
      </c>
    </row>
    <row r="290" ht="15.75" customHeight="1">
      <c r="A290" s="33" t="s">
        <v>579</v>
      </c>
      <c r="B290" s="22" t="str">
        <f>VLOOKUP($A290,'Customer Names'!$A:$D,3, FALSE)</f>
        <v>Klarich</v>
      </c>
      <c r="C290" s="22">
        <f>VLOOKUP($A290,'Medical Examinations'!$A:$D, 2, FALSE)</f>
        <v>24.43</v>
      </c>
      <c r="D290" s="22">
        <f>VLOOKUP($A290, 'Medical Examinations'!$A:$D,3, FALSE)</f>
        <v>7.59</v>
      </c>
      <c r="E290" s="22" t="str">
        <f>VLOOKUP($A290, 'Medical Examinations'!$A:$D, 4, FALSE)</f>
        <v>Yes</v>
      </c>
      <c r="F290" s="22" t="str">
        <f>VLOOKUP($A290, 'Medical Examinations'!$A:$J, 5, FALSE)</f>
        <v>No</v>
      </c>
      <c r="G290" s="22" t="str">
        <f>VLOOKUP($A290, 'Medical Examinations'!$A:$I, 6, FALSE)</f>
        <v>No</v>
      </c>
      <c r="H290" s="22">
        <f>VLOOKUP($A290,'Medical Examinations'!$A:$L,10, FALSE)</f>
        <v>1</v>
      </c>
      <c r="I290" s="22" t="str">
        <f>VLOOKUP($A290, 'Medical Examinations'!$A:$J, 9, FALSE)</f>
        <v>Yes</v>
      </c>
      <c r="J290" s="22" t="str">
        <f>VLOOKUP($A290, 'Medical Examinations'!$A:$P, 11, FALSE)</f>
        <v>NORMAL WEIGHT</v>
      </c>
      <c r="K290" s="34">
        <v>26617.0</v>
      </c>
      <c r="L290" s="35">
        <f>VLOOKUP($A290, 'Hospitalisation Details'!$A:$H, 7, FALSE)</f>
        <v>32259.96</v>
      </c>
      <c r="M290" s="22" t="str">
        <f>VLOOKUP($A290, 'Hospitalisation Details'!$A:$L, 12, FALSE)</f>
        <v>tier - 2</v>
      </c>
      <c r="N290" s="22" t="str">
        <f>VLOOKUP($A290, 'Hospitalisation Details'!$A:$M, 13, FALSE)</f>
        <v>tier - 3</v>
      </c>
      <c r="O290" s="22" t="str">
        <f>VLOOKUP($A290, 'Hospitalisation Details'!$A:$N, 14, FALSE)</f>
        <v>R1012</v>
      </c>
      <c r="P290" s="36">
        <f>VLOOKUP($A290, 'Hospitalisation Details'!$A:$O, 15, FALSE)</f>
        <v>47</v>
      </c>
    </row>
    <row r="291" ht="15.75" customHeight="1">
      <c r="A291" s="33" t="s">
        <v>581</v>
      </c>
      <c r="B291" s="22" t="str">
        <f>VLOOKUP($A291,'Customer Names'!$A:$D,3, FALSE)</f>
        <v>Schulten</v>
      </c>
      <c r="C291" s="22">
        <f>VLOOKUP($A291,'Medical Examinations'!$A:$D, 2, FALSE)</f>
        <v>41.9</v>
      </c>
      <c r="D291" s="22">
        <f>VLOOKUP($A291, 'Medical Examinations'!$A:$D,3, FALSE)</f>
        <v>4.26</v>
      </c>
      <c r="E291" s="22" t="str">
        <f>VLOOKUP($A291, 'Medical Examinations'!$A:$D, 4, FALSE)</f>
        <v>No</v>
      </c>
      <c r="F291" s="22" t="str">
        <f>VLOOKUP($A291, 'Medical Examinations'!$A:$J, 5, FALSE)</f>
        <v>No</v>
      </c>
      <c r="G291" s="22" t="str">
        <f>VLOOKUP($A291, 'Medical Examinations'!$A:$I, 6, FALSE)</f>
        <v>No</v>
      </c>
      <c r="H291" s="22">
        <f>VLOOKUP($A291,'Medical Examinations'!$A:$L,10, FALSE)</f>
        <v>0</v>
      </c>
      <c r="I291" s="22" t="str">
        <f>VLOOKUP($A291, 'Medical Examinations'!$A:$J, 9, FALSE)</f>
        <v>Yes</v>
      </c>
      <c r="J291" s="22" t="str">
        <f>VLOOKUP($A291, 'Medical Examinations'!$A:$P, 11, FALSE)</f>
        <v>OBESITY</v>
      </c>
      <c r="K291" s="34">
        <v>27955.0</v>
      </c>
      <c r="L291" s="35">
        <f>VLOOKUP($A291, 'Hospitalisation Details'!$A:$H, 7, FALSE)</f>
        <v>32222.81</v>
      </c>
      <c r="M291" s="22" t="str">
        <f>VLOOKUP($A291, 'Hospitalisation Details'!$A:$L, 12, FALSE)</f>
        <v>tier - 2</v>
      </c>
      <c r="N291" s="22" t="str">
        <f>VLOOKUP($A291, 'Hospitalisation Details'!$A:$M, 13, FALSE)</f>
        <v>tier - 1</v>
      </c>
      <c r="O291" s="22" t="str">
        <f>VLOOKUP($A291, 'Hospitalisation Details'!$A:$N, 14, FALSE)</f>
        <v>R1011</v>
      </c>
      <c r="P291" s="36">
        <f>VLOOKUP($A291, 'Hospitalisation Details'!$A:$O, 15, FALSE)</f>
        <v>28</v>
      </c>
    </row>
    <row r="292" ht="15.75" customHeight="1">
      <c r="A292" s="33" t="s">
        <v>583</v>
      </c>
      <c r="B292" s="22" t="str">
        <f>VLOOKUP($A292,'Customer Names'!$A:$D,3, FALSE)</f>
        <v>Fagerstrom</v>
      </c>
      <c r="C292" s="22">
        <f>VLOOKUP($A292,'Medical Examinations'!$A:$D, 2, FALSE)</f>
        <v>22.88</v>
      </c>
      <c r="D292" s="22">
        <f>VLOOKUP($A292, 'Medical Examinations'!$A:$D,3, FALSE)</f>
        <v>5.9</v>
      </c>
      <c r="E292" s="22" t="str">
        <f>VLOOKUP($A292, 'Medical Examinations'!$A:$D, 4, FALSE)</f>
        <v>Yes</v>
      </c>
      <c r="F292" s="22" t="str">
        <f>VLOOKUP($A292, 'Medical Examinations'!$A:$J, 5, FALSE)</f>
        <v>No</v>
      </c>
      <c r="G292" s="22" t="str">
        <f>VLOOKUP($A292, 'Medical Examinations'!$A:$I, 6, FALSE)</f>
        <v>Yes</v>
      </c>
      <c r="H292" s="22">
        <f>VLOOKUP($A292,'Medical Examinations'!$A:$L,10, FALSE)</f>
        <v>1</v>
      </c>
      <c r="I292" s="22" t="str">
        <f>VLOOKUP($A292, 'Medical Examinations'!$A:$J, 9, FALSE)</f>
        <v>Yes</v>
      </c>
      <c r="J292" s="22" t="str">
        <f>VLOOKUP($A292, 'Medical Examinations'!$A:$P, 11, FALSE)</f>
        <v>NORMAL WEIGHT</v>
      </c>
      <c r="K292" s="34">
        <v>32377.0</v>
      </c>
      <c r="L292" s="35">
        <f>VLOOKUP($A292, 'Hospitalisation Details'!$A:$H, 7, FALSE)</f>
        <v>32192.76</v>
      </c>
      <c r="M292" s="22" t="str">
        <f>VLOOKUP($A292, 'Hospitalisation Details'!$A:$L, 12, FALSE)</f>
        <v>tier - 1</v>
      </c>
      <c r="N292" s="22" t="str">
        <f>VLOOKUP($A292, 'Hospitalisation Details'!$A:$M, 13, FALSE)</f>
        <v>tier - 2</v>
      </c>
      <c r="O292" s="22" t="str">
        <f>VLOOKUP($A292, 'Hospitalisation Details'!$A:$N, 14, FALSE)</f>
        <v>R1011</v>
      </c>
      <c r="P292" s="36">
        <f>VLOOKUP($A292, 'Hospitalisation Details'!$A:$O, 15, FALSE)</f>
        <v>53</v>
      </c>
    </row>
    <row r="293" ht="15.75" customHeight="1">
      <c r="A293" s="33" t="s">
        <v>585</v>
      </c>
      <c r="B293" s="22" t="str">
        <f>VLOOKUP($A293,'Customer Names'!$A:$D,3, FALSE)</f>
        <v>Bien</v>
      </c>
      <c r="C293" s="22">
        <f>VLOOKUP($A293,'Medical Examinations'!$A:$D, 2, FALSE)</f>
        <v>29.735</v>
      </c>
      <c r="D293" s="22">
        <f>VLOOKUP($A293, 'Medical Examinations'!$A:$D,3, FALSE)</f>
        <v>7.79</v>
      </c>
      <c r="E293" s="22" t="str">
        <f>VLOOKUP($A293, 'Medical Examinations'!$A:$D, 4, FALSE)</f>
        <v>No</v>
      </c>
      <c r="F293" s="22" t="str">
        <f>VLOOKUP($A293, 'Medical Examinations'!$A:$J, 5, FALSE)</f>
        <v>No</v>
      </c>
      <c r="G293" s="22" t="str">
        <f>VLOOKUP($A293, 'Medical Examinations'!$A:$I, 6, FALSE)</f>
        <v>No</v>
      </c>
      <c r="H293" s="22">
        <f>VLOOKUP($A293,'Medical Examinations'!$A:$L,10, FALSE)</f>
        <v>0</v>
      </c>
      <c r="I293" s="22" t="str">
        <f>VLOOKUP($A293, 'Medical Examinations'!$A:$J, 9, FALSE)</f>
        <v>No</v>
      </c>
      <c r="J293" s="22" t="str">
        <f>VLOOKUP($A293, 'Medical Examinations'!$A:$P, 11, FALSE)</f>
        <v>OVERWEIGHT</v>
      </c>
      <c r="K293" s="34">
        <v>28052.0</v>
      </c>
      <c r="L293" s="35">
        <f>VLOOKUP($A293, 'Hospitalisation Details'!$A:$H, 7, FALSE)</f>
        <v>32108.66</v>
      </c>
      <c r="M293" s="22" t="str">
        <f>VLOOKUP($A293, 'Hospitalisation Details'!$A:$L, 12, FALSE)</f>
        <v>tier - 1</v>
      </c>
      <c r="N293" s="22" t="str">
        <f>VLOOKUP($A293, 'Hospitalisation Details'!$A:$M, 13, FALSE)</f>
        <v>tier - 3</v>
      </c>
      <c r="O293" s="22" t="str">
        <f>VLOOKUP($A293, 'Hospitalisation Details'!$A:$N, 14, FALSE)</f>
        <v>R1017</v>
      </c>
      <c r="P293" s="36">
        <f>VLOOKUP($A293, 'Hospitalisation Details'!$A:$O, 15, FALSE)</f>
        <v>44</v>
      </c>
    </row>
    <row r="294" ht="15.75" customHeight="1">
      <c r="A294" s="33" t="s">
        <v>587</v>
      </c>
      <c r="B294" s="22" t="str">
        <f>VLOOKUP($A294,'Customer Names'!$A:$D,3, FALSE)</f>
        <v>Hess</v>
      </c>
      <c r="C294" s="22">
        <f>VLOOKUP($A294,'Medical Examinations'!$A:$D, 2, FALSE)</f>
        <v>40.74</v>
      </c>
      <c r="D294" s="22">
        <f>VLOOKUP($A294, 'Medical Examinations'!$A:$D,3, FALSE)</f>
        <v>5.28</v>
      </c>
      <c r="E294" s="22" t="str">
        <f>VLOOKUP($A294, 'Medical Examinations'!$A:$D, 4, FALSE)</f>
        <v>No</v>
      </c>
      <c r="F294" s="22" t="str">
        <f>VLOOKUP($A294, 'Medical Examinations'!$A:$J, 5, FALSE)</f>
        <v>No</v>
      </c>
      <c r="G294" s="22" t="str">
        <f>VLOOKUP($A294, 'Medical Examinations'!$A:$I, 6, FALSE)</f>
        <v>Yes</v>
      </c>
      <c r="H294" s="22">
        <f>VLOOKUP($A294,'Medical Examinations'!$A:$L,10, FALSE)</f>
        <v>1</v>
      </c>
      <c r="I294" s="22" t="str">
        <f>VLOOKUP($A294, 'Medical Examinations'!$A:$J, 9, FALSE)</f>
        <v>Yes</v>
      </c>
      <c r="J294" s="22" t="str">
        <f>VLOOKUP($A294, 'Medical Examinations'!$A:$P, 11, FALSE)</f>
        <v>OBESITY</v>
      </c>
      <c r="K294" s="34">
        <v>27925.0</v>
      </c>
      <c r="L294" s="35">
        <f>VLOOKUP($A294, 'Hospitalisation Details'!$A:$H, 7, FALSE)</f>
        <v>32086.21</v>
      </c>
      <c r="M294" s="22" t="str">
        <f>VLOOKUP($A294, 'Hospitalisation Details'!$A:$L, 12, FALSE)</f>
        <v>tier - 1</v>
      </c>
      <c r="N294" s="22" t="str">
        <f>VLOOKUP($A294, 'Hospitalisation Details'!$A:$M, 13, FALSE)</f>
        <v>tier - 3</v>
      </c>
      <c r="O294" s="22" t="str">
        <f>VLOOKUP($A294, 'Hospitalisation Details'!$A:$N, 14, FALSE)</f>
        <v>R1011</v>
      </c>
      <c r="P294" s="36">
        <f>VLOOKUP($A294, 'Hospitalisation Details'!$A:$O, 15, FALSE)</f>
        <v>29</v>
      </c>
    </row>
    <row r="295" ht="15.75" customHeight="1">
      <c r="A295" s="33" t="s">
        <v>589</v>
      </c>
      <c r="B295" s="22" t="str">
        <f>VLOOKUP($A295,'Customer Names'!$A:$D,3, FALSE)</f>
        <v>Shaw</v>
      </c>
      <c r="C295" s="22">
        <f>VLOOKUP($A295,'Medical Examinations'!$A:$D, 2, FALSE)</f>
        <v>24.14</v>
      </c>
      <c r="D295" s="22">
        <f>VLOOKUP($A295, 'Medical Examinations'!$A:$D,3, FALSE)</f>
        <v>5.87</v>
      </c>
      <c r="E295" s="22" t="str">
        <f>VLOOKUP($A295, 'Medical Examinations'!$A:$D, 4, FALSE)</f>
        <v>No</v>
      </c>
      <c r="F295" s="22" t="str">
        <f>VLOOKUP($A295, 'Medical Examinations'!$A:$J, 5, FALSE)</f>
        <v>No</v>
      </c>
      <c r="G295" s="22" t="str">
        <f>VLOOKUP($A295, 'Medical Examinations'!$A:$I, 6, FALSE)</f>
        <v>No</v>
      </c>
      <c r="H295" s="22">
        <f>VLOOKUP($A295,'Medical Examinations'!$A:$L,10, FALSE)</f>
        <v>2</v>
      </c>
      <c r="I295" s="22" t="str">
        <f>VLOOKUP($A295, 'Medical Examinations'!$A:$J, 9, FALSE)</f>
        <v>Yes</v>
      </c>
      <c r="J295" s="22" t="str">
        <f>VLOOKUP($A295, 'Medical Examinations'!$A:$P, 11, FALSE)</f>
        <v>NORMAL WEIGHT</v>
      </c>
      <c r="K295" s="34">
        <v>37202.0</v>
      </c>
      <c r="L295" s="35">
        <f>VLOOKUP($A295, 'Hospitalisation Details'!$A:$H, 7, FALSE)</f>
        <v>31980.89</v>
      </c>
      <c r="M295" s="22" t="str">
        <f>VLOOKUP($A295, 'Hospitalisation Details'!$A:$L, 12, FALSE)</f>
        <v>tier - 2</v>
      </c>
      <c r="N295" s="22" t="str">
        <f>VLOOKUP($A295, 'Hospitalisation Details'!$A:$M, 13, FALSE)</f>
        <v>tier - 1</v>
      </c>
      <c r="O295" s="22" t="str">
        <f>VLOOKUP($A295, 'Hospitalisation Details'!$A:$N, 14, FALSE)</f>
        <v>R1011</v>
      </c>
      <c r="P295" s="36">
        <f>VLOOKUP($A295, 'Hospitalisation Details'!$A:$O, 15, FALSE)</f>
        <v>50</v>
      </c>
    </row>
    <row r="296" ht="15.75" customHeight="1">
      <c r="A296" s="33" t="s">
        <v>591</v>
      </c>
      <c r="B296" s="22" t="str">
        <f>VLOOKUP($A296,'Customer Names'!$A:$D,3, FALSE)</f>
        <v>Williams</v>
      </c>
      <c r="C296" s="22">
        <f>VLOOKUP($A296,'Medical Examinations'!$A:$D, 2, FALSE)</f>
        <v>25.15</v>
      </c>
      <c r="D296" s="22">
        <f>VLOOKUP($A296, 'Medical Examinations'!$A:$D,3, FALSE)</f>
        <v>9.08</v>
      </c>
      <c r="E296" s="22" t="str">
        <f>VLOOKUP($A296, 'Medical Examinations'!$A:$D, 4, FALSE)</f>
        <v>Yes</v>
      </c>
      <c r="F296" s="22" t="str">
        <f>VLOOKUP($A296, 'Medical Examinations'!$A:$J, 5, FALSE)</f>
        <v>No</v>
      </c>
      <c r="G296" s="22" t="str">
        <f>VLOOKUP($A296, 'Medical Examinations'!$A:$I, 6, FALSE)</f>
        <v>No</v>
      </c>
      <c r="H296" s="22">
        <f>VLOOKUP($A296,'Medical Examinations'!$A:$L,10, FALSE)</f>
        <v>1</v>
      </c>
      <c r="I296" s="22" t="str">
        <f>VLOOKUP($A296, 'Medical Examinations'!$A:$J, 9, FALSE)</f>
        <v>Yes</v>
      </c>
      <c r="J296" s="22" t="str">
        <f>VLOOKUP($A296, 'Medical Examinations'!$A:$P, 11, FALSE)</f>
        <v>OVERWEIGHT</v>
      </c>
      <c r="K296" s="34">
        <v>23983.0</v>
      </c>
      <c r="L296" s="35">
        <f>VLOOKUP($A296, 'Hospitalisation Details'!$A:$H, 7, FALSE)</f>
        <v>31897.1</v>
      </c>
      <c r="M296" s="22" t="str">
        <f>VLOOKUP($A296, 'Hospitalisation Details'!$A:$L, 12, FALSE)</f>
        <v>tier - 2</v>
      </c>
      <c r="N296" s="22" t="str">
        <f>VLOOKUP($A296, 'Hospitalisation Details'!$A:$M, 13, FALSE)</f>
        <v>tier - 3</v>
      </c>
      <c r="O296" s="22" t="str">
        <f>VLOOKUP($A296, 'Hospitalisation Details'!$A:$N, 14, FALSE)</f>
        <v>R1011</v>
      </c>
      <c r="P296" s="36">
        <f>VLOOKUP($A296, 'Hospitalisation Details'!$A:$O, 15, FALSE)</f>
        <v>47</v>
      </c>
    </row>
    <row r="297" ht="15.75" customHeight="1">
      <c r="A297" s="33" t="s">
        <v>593</v>
      </c>
      <c r="B297" s="22" t="str">
        <f>VLOOKUP($A297,'Customer Names'!$A:$D,3, FALSE)</f>
        <v>Menzies</v>
      </c>
      <c r="C297" s="22">
        <f>VLOOKUP($A297,'Medical Examinations'!$A:$D, 2, FALSE)</f>
        <v>28.71</v>
      </c>
      <c r="D297" s="22">
        <f>VLOOKUP($A297, 'Medical Examinations'!$A:$D,3, FALSE)</f>
        <v>5.2</v>
      </c>
      <c r="E297" s="22" t="str">
        <f>VLOOKUP($A297, 'Medical Examinations'!$A:$D, 4, FALSE)</f>
        <v>No</v>
      </c>
      <c r="F297" s="22" t="str">
        <f>VLOOKUP($A297, 'Medical Examinations'!$A:$J, 5, FALSE)</f>
        <v>No</v>
      </c>
      <c r="G297" s="22" t="str">
        <f>VLOOKUP($A297, 'Medical Examinations'!$A:$I, 6, FALSE)</f>
        <v>No</v>
      </c>
      <c r="H297" s="22">
        <f>VLOOKUP($A297,'Medical Examinations'!$A:$L,10, FALSE)</f>
        <v>1</v>
      </c>
      <c r="I297" s="22" t="str">
        <f>VLOOKUP($A297, 'Medical Examinations'!$A:$J, 9, FALSE)</f>
        <v>Yes</v>
      </c>
      <c r="J297" s="22" t="str">
        <f>VLOOKUP($A297, 'Medical Examinations'!$A:$P, 11, FALSE)</f>
        <v>OVERWEIGHT</v>
      </c>
      <c r="K297" s="34">
        <v>26102.0</v>
      </c>
      <c r="L297" s="35">
        <f>VLOOKUP($A297, 'Hospitalisation Details'!$A:$H, 7, FALSE)</f>
        <v>31743.92</v>
      </c>
      <c r="M297" s="22" t="str">
        <f>VLOOKUP($A297, 'Hospitalisation Details'!$A:$L, 12, FALSE)</f>
        <v>tier - 2</v>
      </c>
      <c r="N297" s="22" t="str">
        <f>VLOOKUP($A297, 'Hospitalisation Details'!$A:$M, 13, FALSE)</f>
        <v>tier - 1</v>
      </c>
      <c r="O297" s="22" t="str">
        <f>VLOOKUP($A297, 'Hospitalisation Details'!$A:$N, 14, FALSE)</f>
        <v>R1011</v>
      </c>
      <c r="P297" s="36">
        <f>VLOOKUP($A297, 'Hospitalisation Details'!$A:$O, 15, FALSE)</f>
        <v>38</v>
      </c>
    </row>
    <row r="298" ht="15.75" customHeight="1">
      <c r="A298" s="33" t="s">
        <v>595</v>
      </c>
      <c r="B298" s="22" t="str">
        <f>VLOOKUP($A298,'Customer Names'!$A:$D,3, FALSE)</f>
        <v>Buehler</v>
      </c>
      <c r="C298" s="22">
        <f>VLOOKUP($A298,'Medical Examinations'!$A:$D, 2, FALSE)</f>
        <v>23</v>
      </c>
      <c r="D298" s="22">
        <f>VLOOKUP($A298, 'Medical Examinations'!$A:$D,3, FALSE)</f>
        <v>5.48</v>
      </c>
      <c r="E298" s="22" t="str">
        <f>VLOOKUP($A298, 'Medical Examinations'!$A:$D, 4, FALSE)</f>
        <v>No</v>
      </c>
      <c r="F298" s="22" t="str">
        <f>VLOOKUP($A298, 'Medical Examinations'!$A:$J, 5, FALSE)</f>
        <v>No</v>
      </c>
      <c r="G298" s="22" t="str">
        <f>VLOOKUP($A298, 'Medical Examinations'!$A:$I, 6, FALSE)</f>
        <v>No</v>
      </c>
      <c r="H298" s="22">
        <f>VLOOKUP($A298,'Medical Examinations'!$A:$L,10, FALSE)</f>
        <v>0</v>
      </c>
      <c r="I298" s="22" t="str">
        <f>VLOOKUP($A298, 'Medical Examinations'!$A:$J, 9, FALSE)</f>
        <v>Yes</v>
      </c>
      <c r="J298" s="22" t="str">
        <f>VLOOKUP($A298, 'Medical Examinations'!$A:$P, 11, FALSE)</f>
        <v>NORMAL WEIGHT</v>
      </c>
      <c r="K298" s="34">
        <v>33938.0</v>
      </c>
      <c r="L298" s="35">
        <f>VLOOKUP($A298, 'Hospitalisation Details'!$A:$H, 7, FALSE)</f>
        <v>31736.7</v>
      </c>
      <c r="M298" s="22" t="str">
        <f>VLOOKUP($A298, 'Hospitalisation Details'!$A:$L, 12, FALSE)</f>
        <v>tier - 2</v>
      </c>
      <c r="N298" s="22" t="str">
        <f>VLOOKUP($A298, 'Hospitalisation Details'!$A:$M, 13, FALSE)</f>
        <v>tier - 2</v>
      </c>
      <c r="O298" s="22" t="str">
        <f>VLOOKUP($A298, 'Hospitalisation Details'!$A:$N, 14, FALSE)</f>
        <v>R1012</v>
      </c>
      <c r="P298" s="36">
        <f>VLOOKUP($A298, 'Hospitalisation Details'!$A:$O, 15, FALSE)</f>
        <v>45</v>
      </c>
    </row>
    <row r="299" ht="15.75" customHeight="1">
      <c r="A299" s="33" t="s">
        <v>597</v>
      </c>
      <c r="B299" s="22" t="str">
        <f>VLOOKUP($A299,'Customer Names'!$A:$D,3, FALSE)</f>
        <v>Degen</v>
      </c>
      <c r="C299" s="22">
        <f>VLOOKUP($A299,'Medical Examinations'!$A:$D, 2, FALSE)</f>
        <v>36.86</v>
      </c>
      <c r="D299" s="22">
        <f>VLOOKUP($A299, 'Medical Examinations'!$A:$D,3, FALSE)</f>
        <v>11.95</v>
      </c>
      <c r="E299" s="22" t="str">
        <f>VLOOKUP($A299, 'Medical Examinations'!$A:$D, 4, FALSE)</f>
        <v>No</v>
      </c>
      <c r="F299" s="22" t="str">
        <f>VLOOKUP($A299, 'Medical Examinations'!$A:$J, 5, FALSE)</f>
        <v>No</v>
      </c>
      <c r="G299" s="22" t="str">
        <f>VLOOKUP($A299, 'Medical Examinations'!$A:$I, 6, FALSE)</f>
        <v>No</v>
      </c>
      <c r="H299" s="22">
        <f>VLOOKUP($A299,'Medical Examinations'!$A:$L,10, FALSE)</f>
        <v>0</v>
      </c>
      <c r="I299" s="22" t="str">
        <f>VLOOKUP($A299, 'Medical Examinations'!$A:$J, 9, FALSE)</f>
        <v>No</v>
      </c>
      <c r="J299" s="22" t="str">
        <f>VLOOKUP($A299, 'Medical Examinations'!$A:$P, 11, FALSE)</f>
        <v>OBESITY</v>
      </c>
      <c r="K299" s="34">
        <v>26168.0</v>
      </c>
      <c r="L299" s="35">
        <f>VLOOKUP($A299, 'Hospitalisation Details'!$A:$H, 7, FALSE)</f>
        <v>31620</v>
      </c>
      <c r="M299" s="22" t="str">
        <f>VLOOKUP($A299, 'Hospitalisation Details'!$A:$L, 12, FALSE)</f>
        <v>tier - 2</v>
      </c>
      <c r="N299" s="22" t="str">
        <f>VLOOKUP($A299, 'Hospitalisation Details'!$A:$M, 13, FALSE)</f>
        <v>tier - 1</v>
      </c>
      <c r="O299" s="22" t="str">
        <f>VLOOKUP($A299, 'Hospitalisation Details'!$A:$N, 14, FALSE)</f>
        <v>R1024</v>
      </c>
      <c r="P299" s="36">
        <f>VLOOKUP($A299, 'Hospitalisation Details'!$A:$O, 15, FALSE)</f>
        <v>62</v>
      </c>
    </row>
    <row r="300" ht="15.75" customHeight="1">
      <c r="A300" s="33" t="s">
        <v>599</v>
      </c>
      <c r="B300" s="22" t="str">
        <f>VLOOKUP($A300,'Customer Names'!$A:$D,3, FALSE)</f>
        <v>Arsenault</v>
      </c>
      <c r="C300" s="22">
        <f>VLOOKUP($A300,'Medical Examinations'!$A:$D, 2, FALSE)</f>
        <v>24.25</v>
      </c>
      <c r="D300" s="22">
        <f>VLOOKUP($A300, 'Medical Examinations'!$A:$D,3, FALSE)</f>
        <v>8.7</v>
      </c>
      <c r="E300" s="22" t="str">
        <f>VLOOKUP($A300, 'Medical Examinations'!$A:$D, 4, FALSE)</f>
        <v>Yes</v>
      </c>
      <c r="F300" s="22" t="str">
        <f>VLOOKUP($A300, 'Medical Examinations'!$A:$J, 5, FALSE)</f>
        <v>No</v>
      </c>
      <c r="G300" s="22" t="str">
        <f>VLOOKUP($A300, 'Medical Examinations'!$A:$I, 6, FALSE)</f>
        <v>No</v>
      </c>
      <c r="H300" s="22">
        <f>VLOOKUP($A300,'Medical Examinations'!$A:$L,10, FALSE)</f>
        <v>1</v>
      </c>
      <c r="I300" s="22" t="str">
        <f>VLOOKUP($A300, 'Medical Examinations'!$A:$J, 9, FALSE)</f>
        <v>Yes</v>
      </c>
      <c r="J300" s="22" t="str">
        <f>VLOOKUP($A300, 'Medical Examinations'!$A:$P, 11, FALSE)</f>
        <v>NORMAL WEIGHT</v>
      </c>
      <c r="K300" s="34">
        <v>27278.0</v>
      </c>
      <c r="L300" s="35">
        <f>VLOOKUP($A300, 'Hospitalisation Details'!$A:$H, 7, FALSE)</f>
        <v>31591.82</v>
      </c>
      <c r="M300" s="22" t="str">
        <f>VLOOKUP($A300, 'Hospitalisation Details'!$A:$L, 12, FALSE)</f>
        <v>tier - 2</v>
      </c>
      <c r="N300" s="22" t="str">
        <f>VLOOKUP($A300, 'Hospitalisation Details'!$A:$M, 13, FALSE)</f>
        <v>tier - 1</v>
      </c>
      <c r="O300" s="22" t="str">
        <f>VLOOKUP($A300, 'Hospitalisation Details'!$A:$N, 14, FALSE)</f>
        <v>R1011</v>
      </c>
      <c r="P300" s="36">
        <f>VLOOKUP($A300, 'Hospitalisation Details'!$A:$O, 15, FALSE)</f>
        <v>47</v>
      </c>
    </row>
    <row r="301" ht="15.75" customHeight="1">
      <c r="A301" s="33" t="s">
        <v>601</v>
      </c>
      <c r="B301" s="22" t="str">
        <f>VLOOKUP($A301,'Customer Names'!$A:$D,3, FALSE)</f>
        <v>Hoff</v>
      </c>
      <c r="C301" s="22">
        <f>VLOOKUP($A301,'Medical Examinations'!$A:$D, 2, FALSE)</f>
        <v>23.85</v>
      </c>
      <c r="D301" s="22">
        <f>VLOOKUP($A301, 'Medical Examinations'!$A:$D,3, FALSE)</f>
        <v>7.84</v>
      </c>
      <c r="E301" s="22" t="str">
        <f>VLOOKUP($A301, 'Medical Examinations'!$A:$D, 4, FALSE)</f>
        <v>No</v>
      </c>
      <c r="F301" s="22" t="str">
        <f>VLOOKUP($A301, 'Medical Examinations'!$A:$J, 5, FALSE)</f>
        <v>No</v>
      </c>
      <c r="G301" s="22" t="str">
        <f>VLOOKUP($A301, 'Medical Examinations'!$A:$I, 6, FALSE)</f>
        <v>No</v>
      </c>
      <c r="H301" s="22">
        <f>VLOOKUP($A301,'Medical Examinations'!$A:$L,10, FALSE)</f>
        <v>0</v>
      </c>
      <c r="I301" s="22" t="str">
        <f>VLOOKUP($A301, 'Medical Examinations'!$A:$J, 9, FALSE)</f>
        <v>Yes</v>
      </c>
      <c r="J301" s="22" t="str">
        <f>VLOOKUP($A301, 'Medical Examinations'!$A:$P, 11, FALSE)</f>
        <v>NORMAL WEIGHT</v>
      </c>
      <c r="K301" s="34">
        <v>25455.0</v>
      </c>
      <c r="L301" s="35">
        <f>VLOOKUP($A301, 'Hospitalisation Details'!$A:$H, 7, FALSE)</f>
        <v>31368.81</v>
      </c>
      <c r="M301" s="22" t="str">
        <f>VLOOKUP($A301, 'Hospitalisation Details'!$A:$L, 12, FALSE)</f>
        <v>tier - 2</v>
      </c>
      <c r="N301" s="22" t="str">
        <f>VLOOKUP($A301, 'Hospitalisation Details'!$A:$M, 13, FALSE)</f>
        <v>tier - 3</v>
      </c>
      <c r="O301" s="22" t="str">
        <f>VLOOKUP($A301, 'Hospitalisation Details'!$A:$N, 14, FALSE)</f>
        <v>R1011</v>
      </c>
      <c r="P301" s="36">
        <f>VLOOKUP($A301, 'Hospitalisation Details'!$A:$O, 15, FALSE)</f>
        <v>48</v>
      </c>
    </row>
    <row r="302" ht="15.75" customHeight="1">
      <c r="A302" s="33" t="s">
        <v>603</v>
      </c>
      <c r="B302" s="22" t="str">
        <f>VLOOKUP($A302,'Customer Names'!$A:$D,3, FALSE)</f>
        <v>Hall</v>
      </c>
      <c r="C302" s="22">
        <f>VLOOKUP($A302,'Medical Examinations'!$A:$D, 2, FALSE)</f>
        <v>40.02</v>
      </c>
      <c r="D302" s="22">
        <f>VLOOKUP($A302, 'Medical Examinations'!$A:$D,3, FALSE)</f>
        <v>5.19</v>
      </c>
      <c r="E302" s="22" t="str">
        <f>VLOOKUP($A302, 'Medical Examinations'!$A:$D, 4, FALSE)</f>
        <v>Yes</v>
      </c>
      <c r="F302" s="22" t="str">
        <f>VLOOKUP($A302, 'Medical Examinations'!$A:$J, 5, FALSE)</f>
        <v>No</v>
      </c>
      <c r="G302" s="22" t="str">
        <f>VLOOKUP($A302, 'Medical Examinations'!$A:$I, 6, FALSE)</f>
        <v>No</v>
      </c>
      <c r="H302" s="22">
        <f>VLOOKUP($A302,'Medical Examinations'!$A:$L,10, FALSE)</f>
        <v>1</v>
      </c>
      <c r="I302" s="22" t="str">
        <f>VLOOKUP($A302, 'Medical Examinations'!$A:$J, 9, FALSE)</f>
        <v>Yes</v>
      </c>
      <c r="J302" s="22" t="str">
        <f>VLOOKUP($A302, 'Medical Examinations'!$A:$P, 11, FALSE)</f>
        <v>OBESITY</v>
      </c>
      <c r="K302" s="34">
        <v>36395.0</v>
      </c>
      <c r="L302" s="35">
        <f>VLOOKUP($A302, 'Hospitalisation Details'!$A:$H, 7, FALSE)</f>
        <v>31328.27</v>
      </c>
      <c r="M302" s="22" t="str">
        <f>VLOOKUP($A302, 'Hospitalisation Details'!$A:$L, 12, FALSE)</f>
        <v>tier - 2</v>
      </c>
      <c r="N302" s="22" t="str">
        <f>VLOOKUP($A302, 'Hospitalisation Details'!$A:$M, 13, FALSE)</f>
        <v>tier - 2</v>
      </c>
      <c r="O302" s="22" t="str">
        <f>VLOOKUP($A302, 'Hospitalisation Details'!$A:$N, 14, FALSE)</f>
        <v>R1011</v>
      </c>
      <c r="P302" s="36">
        <f>VLOOKUP($A302, 'Hospitalisation Details'!$A:$O, 15, FALSE)</f>
        <v>27</v>
      </c>
    </row>
    <row r="303" ht="15.75" customHeight="1">
      <c r="A303" s="33" t="s">
        <v>605</v>
      </c>
      <c r="B303" s="22" t="str">
        <f>VLOOKUP($A303,'Customer Names'!$A:$D,3, FALSE)</f>
        <v>Ashley</v>
      </c>
      <c r="C303" s="22">
        <f>VLOOKUP($A303,'Medical Examinations'!$A:$D, 2, FALSE)</f>
        <v>19.17</v>
      </c>
      <c r="D303" s="22">
        <f>VLOOKUP($A303, 'Medical Examinations'!$A:$D,3, FALSE)</f>
        <v>8.41</v>
      </c>
      <c r="E303" s="22" t="str">
        <f>VLOOKUP($A303, 'Medical Examinations'!$A:$D, 4, FALSE)</f>
        <v>No</v>
      </c>
      <c r="F303" s="22" t="str">
        <f>VLOOKUP($A303, 'Medical Examinations'!$A:$J, 5, FALSE)</f>
        <v>No</v>
      </c>
      <c r="G303" s="22" t="str">
        <f>VLOOKUP($A303, 'Medical Examinations'!$A:$I, 6, FALSE)</f>
        <v>No</v>
      </c>
      <c r="H303" s="22">
        <f>VLOOKUP($A303,'Medical Examinations'!$A:$L,10, FALSE)</f>
        <v>0</v>
      </c>
      <c r="I303" s="22" t="str">
        <f>VLOOKUP($A303, 'Medical Examinations'!$A:$J, 9, FALSE)</f>
        <v>Yes</v>
      </c>
      <c r="J303" s="22" t="str">
        <f>VLOOKUP($A303, 'Medical Examinations'!$A:$P, 11, FALSE)</f>
        <v>NORMAL WEIGHT</v>
      </c>
      <c r="K303" s="34">
        <v>27928.0</v>
      </c>
      <c r="L303" s="35">
        <f>VLOOKUP($A303, 'Hospitalisation Details'!$A:$H, 7, FALSE)</f>
        <v>31322.53</v>
      </c>
      <c r="M303" s="22" t="str">
        <f>VLOOKUP($A303, 'Hospitalisation Details'!$A:$L, 12, FALSE)</f>
        <v>tier - 2</v>
      </c>
      <c r="N303" s="22" t="str">
        <f>VLOOKUP($A303, 'Hospitalisation Details'!$A:$M, 13, FALSE)</f>
        <v>tier - 1</v>
      </c>
      <c r="O303" s="22" t="str">
        <f>VLOOKUP($A303, 'Hospitalisation Details'!$A:$N, 14, FALSE)</f>
        <v>R1011</v>
      </c>
      <c r="P303" s="36">
        <f>VLOOKUP($A303, 'Hospitalisation Details'!$A:$O, 15, FALSE)</f>
        <v>54</v>
      </c>
    </row>
    <row r="304" ht="15.75" customHeight="1">
      <c r="A304" s="33" t="s">
        <v>607</v>
      </c>
      <c r="B304" s="22" t="str">
        <f>VLOOKUP($A304,'Customer Names'!$A:$D,3, FALSE)</f>
        <v>Rindahl</v>
      </c>
      <c r="C304" s="22">
        <f>VLOOKUP($A304,'Medical Examinations'!$A:$D, 2, FALSE)</f>
        <v>43.53</v>
      </c>
      <c r="D304" s="22">
        <f>VLOOKUP($A304, 'Medical Examinations'!$A:$D,3, FALSE)</f>
        <v>5.86</v>
      </c>
      <c r="E304" s="22" t="str">
        <f>VLOOKUP($A304, 'Medical Examinations'!$A:$D, 4, FALSE)</f>
        <v>Yes</v>
      </c>
      <c r="F304" s="22" t="str">
        <f>VLOOKUP($A304, 'Medical Examinations'!$A:$J, 5, FALSE)</f>
        <v>Yes</v>
      </c>
      <c r="G304" s="22" t="str">
        <f>VLOOKUP($A304, 'Medical Examinations'!$A:$I, 6, FALSE)</f>
        <v>No</v>
      </c>
      <c r="H304" s="22">
        <f>VLOOKUP($A304,'Medical Examinations'!$A:$L,10, FALSE)</f>
        <v>2</v>
      </c>
      <c r="I304" s="22" t="str">
        <f>VLOOKUP($A304, 'Medical Examinations'!$A:$J, 9, FALSE)</f>
        <v>Yes</v>
      </c>
      <c r="J304" s="22" t="str">
        <f>VLOOKUP($A304, 'Medical Examinations'!$A:$P, 11, FALSE)</f>
        <v>OBESITY</v>
      </c>
      <c r="K304" s="34">
        <v>26840.0</v>
      </c>
      <c r="L304" s="35">
        <f>VLOOKUP($A304, 'Hospitalisation Details'!$A:$H, 7, FALSE)</f>
        <v>31234.56</v>
      </c>
      <c r="M304" s="22" t="str">
        <f>VLOOKUP($A304, 'Hospitalisation Details'!$A:$L, 12, FALSE)</f>
        <v>tier - 1</v>
      </c>
      <c r="N304" s="22" t="str">
        <f>VLOOKUP($A304, 'Hospitalisation Details'!$A:$M, 13, FALSE)</f>
        <v>tier - 1</v>
      </c>
      <c r="O304" s="22" t="str">
        <f>VLOOKUP($A304, 'Hospitalisation Details'!$A:$N, 14, FALSE)</f>
        <v>R1011</v>
      </c>
      <c r="P304" s="36">
        <f>VLOOKUP($A304, 'Hospitalisation Details'!$A:$O, 15, FALSE)</f>
        <v>22</v>
      </c>
    </row>
    <row r="305" ht="15.75" customHeight="1">
      <c r="A305" s="33" t="s">
        <v>609</v>
      </c>
      <c r="B305" s="22" t="str">
        <f>VLOOKUP($A305,'Customer Names'!$A:$D,3, FALSE)</f>
        <v>Clark</v>
      </c>
      <c r="C305" s="22">
        <f>VLOOKUP($A305,'Medical Examinations'!$A:$D, 2, FALSE)</f>
        <v>46.06</v>
      </c>
      <c r="D305" s="22">
        <f>VLOOKUP($A305, 'Medical Examinations'!$A:$D,3, FALSE)</f>
        <v>4.18</v>
      </c>
      <c r="E305" s="22" t="str">
        <f>VLOOKUP($A305, 'Medical Examinations'!$A:$D, 4, FALSE)</f>
        <v>No</v>
      </c>
      <c r="F305" s="22" t="str">
        <f>VLOOKUP($A305, 'Medical Examinations'!$A:$J, 5, FALSE)</f>
        <v>Yes</v>
      </c>
      <c r="G305" s="22" t="str">
        <f>VLOOKUP($A305, 'Medical Examinations'!$A:$I, 6, FALSE)</f>
        <v>No</v>
      </c>
      <c r="H305" s="22">
        <f>VLOOKUP($A305,'Medical Examinations'!$A:$L,10, FALSE)</f>
        <v>1</v>
      </c>
      <c r="I305" s="22" t="str">
        <f>VLOOKUP($A305, 'Medical Examinations'!$A:$J, 9, FALSE)</f>
        <v>Yes</v>
      </c>
      <c r="J305" s="22" t="str">
        <f>VLOOKUP($A305, 'Medical Examinations'!$A:$P, 11, FALSE)</f>
        <v>OBESITY</v>
      </c>
      <c r="K305" s="34">
        <v>29522.0</v>
      </c>
      <c r="L305" s="35">
        <f>VLOOKUP($A305, 'Hospitalisation Details'!$A:$H, 7, FALSE)</f>
        <v>31196.61</v>
      </c>
      <c r="M305" s="22" t="str">
        <f>VLOOKUP($A305, 'Hospitalisation Details'!$A:$L, 12, FALSE)</f>
        <v>tier - 2</v>
      </c>
      <c r="N305" s="22" t="str">
        <f>VLOOKUP($A305, 'Hospitalisation Details'!$A:$M, 13, FALSE)</f>
        <v>tier - 1</v>
      </c>
      <c r="O305" s="22" t="str">
        <f>VLOOKUP($A305, 'Hospitalisation Details'!$A:$N, 14, FALSE)</f>
        <v>R1011</v>
      </c>
      <c r="P305" s="36">
        <f>VLOOKUP($A305, 'Hospitalisation Details'!$A:$O, 15, FALSE)</f>
        <v>18</v>
      </c>
    </row>
    <row r="306" ht="15.75" customHeight="1">
      <c r="A306" s="33" t="s">
        <v>611</v>
      </c>
      <c r="B306" s="22" t="str">
        <f>VLOOKUP($A306,'Customer Names'!$A:$D,3, FALSE)</f>
        <v>Irish</v>
      </c>
      <c r="C306" s="22">
        <f>VLOOKUP($A306,'Medical Examinations'!$A:$D, 2, FALSE)</f>
        <v>29.92</v>
      </c>
      <c r="D306" s="22">
        <f>VLOOKUP($A306, 'Medical Examinations'!$A:$D,3, FALSE)</f>
        <v>11.99</v>
      </c>
      <c r="E306" s="22" t="str">
        <f>VLOOKUP($A306, 'Medical Examinations'!$A:$D, 4, FALSE)</f>
        <v>Yes</v>
      </c>
      <c r="F306" s="22" t="str">
        <f>VLOOKUP($A306, 'Medical Examinations'!$A:$J, 5, FALSE)</f>
        <v>No</v>
      </c>
      <c r="G306" s="22" t="str">
        <f>VLOOKUP($A306, 'Medical Examinations'!$A:$I, 6, FALSE)</f>
        <v>No</v>
      </c>
      <c r="H306" s="22">
        <f>VLOOKUP($A306,'Medical Examinations'!$A:$L,10, FALSE)</f>
        <v>2</v>
      </c>
      <c r="I306" s="22" t="str">
        <f>VLOOKUP($A306, 'Medical Examinations'!$A:$J, 9, FALSE)</f>
        <v>Yes</v>
      </c>
      <c r="J306" s="22" t="str">
        <f>VLOOKUP($A306, 'Medical Examinations'!$A:$P, 11, FALSE)</f>
        <v>OBESITY</v>
      </c>
      <c r="K306" s="34">
        <v>26948.0</v>
      </c>
      <c r="L306" s="35">
        <f>VLOOKUP($A306, 'Hospitalisation Details'!$A:$H, 7, FALSE)</f>
        <v>30942.19</v>
      </c>
      <c r="M306" s="22" t="str">
        <f>VLOOKUP($A306, 'Hospitalisation Details'!$A:$L, 12, FALSE)</f>
        <v>tier - 2</v>
      </c>
      <c r="N306" s="22" t="str">
        <f>VLOOKUP($A306, 'Hospitalisation Details'!$A:$M, 13, FALSE)</f>
        <v>tier - 2</v>
      </c>
      <c r="O306" s="22" t="str">
        <f>VLOOKUP($A306, 'Hospitalisation Details'!$A:$N, 14, FALSE)</f>
        <v>R1013</v>
      </c>
      <c r="P306" s="36">
        <f>VLOOKUP($A306, 'Hospitalisation Details'!$A:$O, 15, FALSE)</f>
        <v>61</v>
      </c>
    </row>
    <row r="307" ht="15.75" customHeight="1">
      <c r="A307" s="33" t="s">
        <v>613</v>
      </c>
      <c r="B307" s="22" t="str">
        <f>VLOOKUP($A307,'Customer Names'!$A:$D,3, FALSE)</f>
        <v>Richardson</v>
      </c>
      <c r="C307" s="22">
        <f>VLOOKUP($A307,'Medical Examinations'!$A:$D, 2, FALSE)</f>
        <v>28.46</v>
      </c>
      <c r="D307" s="22">
        <f>VLOOKUP($A307, 'Medical Examinations'!$A:$D,3, FALSE)</f>
        <v>4.85</v>
      </c>
      <c r="E307" s="22" t="str">
        <f>VLOOKUP($A307, 'Medical Examinations'!$A:$D, 4, FALSE)</f>
        <v>Yes</v>
      </c>
      <c r="F307" s="22" t="str">
        <f>VLOOKUP($A307, 'Medical Examinations'!$A:$J, 5, FALSE)</f>
        <v>No</v>
      </c>
      <c r="G307" s="22" t="str">
        <f>VLOOKUP($A307, 'Medical Examinations'!$A:$I, 6, FALSE)</f>
        <v>No</v>
      </c>
      <c r="H307" s="22">
        <f>VLOOKUP($A307,'Medical Examinations'!$A:$L,10, FALSE)</f>
        <v>1</v>
      </c>
      <c r="I307" s="22" t="str">
        <f>VLOOKUP($A307, 'Medical Examinations'!$A:$J, 9, FALSE)</f>
        <v>Yes</v>
      </c>
      <c r="J307" s="22" t="str">
        <f>VLOOKUP($A307, 'Medical Examinations'!$A:$P, 11, FALSE)</f>
        <v>OVERWEIGHT</v>
      </c>
      <c r="K307" s="34">
        <v>27257.0</v>
      </c>
      <c r="L307" s="35">
        <f>VLOOKUP($A307, 'Hospitalisation Details'!$A:$H, 7, FALSE)</f>
        <v>30763.01</v>
      </c>
      <c r="M307" s="22" t="str">
        <f>VLOOKUP($A307, 'Hospitalisation Details'!$A:$L, 12, FALSE)</f>
        <v>tier - 2</v>
      </c>
      <c r="N307" s="22" t="str">
        <f>VLOOKUP($A307, 'Hospitalisation Details'!$A:$M, 13, FALSE)</f>
        <v>tier - 1</v>
      </c>
      <c r="O307" s="22" t="str">
        <f>VLOOKUP($A307, 'Hospitalisation Details'!$A:$N, 14, FALSE)</f>
        <v>R1011</v>
      </c>
      <c r="P307" s="36">
        <f>VLOOKUP($A307, 'Hospitalisation Details'!$A:$O, 15, FALSE)</f>
        <v>34</v>
      </c>
    </row>
    <row r="308" ht="15.75" customHeight="1">
      <c r="A308" s="33" t="s">
        <v>615</v>
      </c>
      <c r="B308" s="22" t="str">
        <f>VLOOKUP($A308,'Customer Names'!$A:$D,3, FALSE)</f>
        <v>Dewitt</v>
      </c>
      <c r="C308" s="22">
        <f>VLOOKUP($A308,'Medical Examinations'!$A:$D, 2, FALSE)</f>
        <v>24.56</v>
      </c>
      <c r="D308" s="22">
        <f>VLOOKUP($A308, 'Medical Examinations'!$A:$D,3, FALSE)</f>
        <v>6.18</v>
      </c>
      <c r="E308" s="22" t="str">
        <f>VLOOKUP($A308, 'Medical Examinations'!$A:$D, 4, FALSE)</f>
        <v>Yes</v>
      </c>
      <c r="F308" s="22" t="str">
        <f>VLOOKUP($A308, 'Medical Examinations'!$A:$J, 5, FALSE)</f>
        <v>No</v>
      </c>
      <c r="G308" s="22" t="str">
        <f>VLOOKUP($A308, 'Medical Examinations'!$A:$I, 6, FALSE)</f>
        <v>Yes</v>
      </c>
      <c r="H308" s="22">
        <f>VLOOKUP($A308,'Medical Examinations'!$A:$L,10, FALSE)</f>
        <v>1</v>
      </c>
      <c r="I308" s="22" t="str">
        <f>VLOOKUP($A308, 'Medical Examinations'!$A:$J, 9, FALSE)</f>
        <v>Yes</v>
      </c>
      <c r="J308" s="22" t="str">
        <f>VLOOKUP($A308, 'Medical Examinations'!$A:$P, 11, FALSE)</f>
        <v>NORMAL WEIGHT</v>
      </c>
      <c r="K308" s="34">
        <v>25425.0</v>
      </c>
      <c r="L308" s="35">
        <f>VLOOKUP($A308, 'Hospitalisation Details'!$A:$H, 7, FALSE)</f>
        <v>30724.44</v>
      </c>
      <c r="M308" s="22" t="str">
        <f>VLOOKUP($A308, 'Hospitalisation Details'!$A:$L, 12, FALSE)</f>
        <v>tier - 2</v>
      </c>
      <c r="N308" s="22" t="str">
        <f>VLOOKUP($A308, 'Hospitalisation Details'!$A:$M, 13, FALSE)</f>
        <v>tier - 3</v>
      </c>
      <c r="O308" s="22" t="str">
        <f>VLOOKUP($A308, 'Hospitalisation Details'!$A:$N, 14, FALSE)</f>
        <v>R1011</v>
      </c>
      <c r="P308" s="36">
        <f>VLOOKUP($A308, 'Hospitalisation Details'!$A:$O, 15, FALSE)</f>
        <v>39</v>
      </c>
    </row>
    <row r="309" ht="15.75" customHeight="1">
      <c r="A309" s="33" t="s">
        <v>617</v>
      </c>
      <c r="B309" s="22" t="str">
        <f>VLOOKUP($A309,'Customer Names'!$A:$D,3, FALSE)</f>
        <v>Hickman</v>
      </c>
      <c r="C309" s="22">
        <f>VLOOKUP($A309,'Medical Examinations'!$A:$D, 2, FALSE)</f>
        <v>41.19</v>
      </c>
      <c r="D309" s="22">
        <f>VLOOKUP($A309, 'Medical Examinations'!$A:$D,3, FALSE)</f>
        <v>6.37</v>
      </c>
      <c r="E309" s="22" t="str">
        <f>VLOOKUP($A309, 'Medical Examinations'!$A:$D, 4, FALSE)</f>
        <v>No</v>
      </c>
      <c r="F309" s="22" t="str">
        <f>VLOOKUP($A309, 'Medical Examinations'!$A:$J, 5, FALSE)</f>
        <v>No</v>
      </c>
      <c r="G309" s="22" t="str">
        <f>VLOOKUP($A309, 'Medical Examinations'!$A:$I, 6, FALSE)</f>
        <v>No</v>
      </c>
      <c r="H309" s="22">
        <f>VLOOKUP($A309,'Medical Examinations'!$A:$L,10, FALSE)</f>
        <v>0</v>
      </c>
      <c r="I309" s="22" t="str">
        <f>VLOOKUP($A309, 'Medical Examinations'!$A:$J, 9, FALSE)</f>
        <v>Yes</v>
      </c>
      <c r="J309" s="22" t="str">
        <f>VLOOKUP($A309, 'Medical Examinations'!$A:$P, 11, FALSE)</f>
        <v>OBESITY</v>
      </c>
      <c r="K309" s="34">
        <v>22834.0</v>
      </c>
      <c r="L309" s="35">
        <f>VLOOKUP($A309, 'Hospitalisation Details'!$A:$H, 7, FALSE)</f>
        <v>30697.71</v>
      </c>
      <c r="M309" s="22" t="str">
        <f>VLOOKUP($A309, 'Hospitalisation Details'!$A:$L, 12, FALSE)</f>
        <v>tier - 1</v>
      </c>
      <c r="N309" s="22" t="str">
        <f>VLOOKUP($A309, 'Hospitalisation Details'!$A:$M, 13, FALSE)</f>
        <v>tier - 2</v>
      </c>
      <c r="O309" s="22" t="str">
        <f>VLOOKUP($A309, 'Hospitalisation Details'!$A:$N, 14, FALSE)</f>
        <v>R1011</v>
      </c>
      <c r="P309" s="36">
        <f>VLOOKUP($A309, 'Hospitalisation Details'!$A:$O, 15, FALSE)</f>
        <v>23</v>
      </c>
    </row>
    <row r="310" ht="15.75" customHeight="1">
      <c r="A310" s="33" t="s">
        <v>619</v>
      </c>
      <c r="B310" s="22" t="str">
        <f>VLOOKUP($A310,'Customer Names'!$A:$D,3, FALSE)</f>
        <v>Gonzalez</v>
      </c>
      <c r="C310" s="22">
        <f>VLOOKUP($A310,'Medical Examinations'!$A:$D, 2, FALSE)</f>
        <v>18.63</v>
      </c>
      <c r="D310" s="22">
        <f>VLOOKUP($A310, 'Medical Examinations'!$A:$D,3, FALSE)</f>
        <v>9.81</v>
      </c>
      <c r="E310" s="22" t="str">
        <f>VLOOKUP($A310, 'Medical Examinations'!$A:$D, 4, FALSE)</f>
        <v>Yes</v>
      </c>
      <c r="F310" s="22" t="str">
        <f>VLOOKUP($A310, 'Medical Examinations'!$A:$J, 5, FALSE)</f>
        <v>No</v>
      </c>
      <c r="G310" s="22" t="str">
        <f>VLOOKUP($A310, 'Medical Examinations'!$A:$I, 6, FALSE)</f>
        <v>No</v>
      </c>
      <c r="H310" s="22">
        <f>VLOOKUP($A310,'Medical Examinations'!$A:$L,10, FALSE)</f>
        <v>2</v>
      </c>
      <c r="I310" s="22" t="str">
        <f>VLOOKUP($A310, 'Medical Examinations'!$A:$J, 9, FALSE)</f>
        <v>Yes</v>
      </c>
      <c r="J310" s="22" t="str">
        <f>VLOOKUP($A310, 'Medical Examinations'!$A:$P, 11, FALSE)</f>
        <v>NORMAL WEIGHT</v>
      </c>
      <c r="K310" s="34">
        <v>24036.0</v>
      </c>
      <c r="L310" s="35">
        <f>VLOOKUP($A310, 'Hospitalisation Details'!$A:$H, 7, FALSE)</f>
        <v>30625.65</v>
      </c>
      <c r="M310" s="22" t="str">
        <f>VLOOKUP($A310, 'Hospitalisation Details'!$A:$L, 12, FALSE)</f>
        <v>tier - 2</v>
      </c>
      <c r="N310" s="22" t="str">
        <f>VLOOKUP($A310, 'Hospitalisation Details'!$A:$M, 13, FALSE)</f>
        <v>tier - 3</v>
      </c>
      <c r="O310" s="22" t="str">
        <f>VLOOKUP($A310, 'Hospitalisation Details'!$A:$N, 14, FALSE)</f>
        <v>R1011</v>
      </c>
      <c r="P310" s="36">
        <f>VLOOKUP($A310, 'Hospitalisation Details'!$A:$O, 15, FALSE)</f>
        <v>52</v>
      </c>
    </row>
    <row r="311" ht="15.75" customHeight="1">
      <c r="A311" s="33" t="s">
        <v>621</v>
      </c>
      <c r="B311" s="22" t="str">
        <f>VLOOKUP($A311,'Customer Names'!$A:$D,3, FALSE)</f>
        <v>Difani</v>
      </c>
      <c r="C311" s="22">
        <f>VLOOKUP($A311,'Medical Examinations'!$A:$D, 2, FALSE)</f>
        <v>26.26</v>
      </c>
      <c r="D311" s="22">
        <f>VLOOKUP($A311, 'Medical Examinations'!$A:$D,3, FALSE)</f>
        <v>11.8</v>
      </c>
      <c r="E311" s="22" t="str">
        <f>VLOOKUP($A311, 'Medical Examinations'!$A:$D, 4, FALSE)</f>
        <v>Yes</v>
      </c>
      <c r="F311" s="22" t="str">
        <f>VLOOKUP($A311, 'Medical Examinations'!$A:$J, 5, FALSE)</f>
        <v>No</v>
      </c>
      <c r="G311" s="22" t="str">
        <f>VLOOKUP($A311, 'Medical Examinations'!$A:$I, 6, FALSE)</f>
        <v>No</v>
      </c>
      <c r="H311" s="22">
        <f>VLOOKUP($A311,'Medical Examinations'!$A:$L,10, FALSE)</f>
        <v>1</v>
      </c>
      <c r="I311" s="22" t="str">
        <f>VLOOKUP($A311, 'Medical Examinations'!$A:$J, 9, FALSE)</f>
        <v>Yes</v>
      </c>
      <c r="J311" s="22" t="str">
        <f>VLOOKUP($A311, 'Medical Examinations'!$A:$P, 11, FALSE)</f>
        <v>OVERWEIGHT</v>
      </c>
      <c r="K311" s="34">
        <v>27609.0</v>
      </c>
      <c r="L311" s="35">
        <f>VLOOKUP($A311, 'Hospitalisation Details'!$A:$H, 7, FALSE)</f>
        <v>30530.5</v>
      </c>
      <c r="M311" s="22" t="str">
        <f>VLOOKUP($A311, 'Hospitalisation Details'!$A:$L, 12, FALSE)</f>
        <v>tier - 2</v>
      </c>
      <c r="N311" s="22" t="str">
        <f>VLOOKUP($A311, 'Hospitalisation Details'!$A:$M, 13, FALSE)</f>
        <v>tier - 1</v>
      </c>
      <c r="O311" s="22" t="str">
        <f>VLOOKUP($A311, 'Hospitalisation Details'!$A:$N, 14, FALSE)</f>
        <v>R1011</v>
      </c>
      <c r="P311" s="36">
        <f>VLOOKUP($A311, 'Hospitalisation Details'!$A:$O, 15, FALSE)</f>
        <v>36</v>
      </c>
    </row>
    <row r="312" ht="15.75" customHeight="1">
      <c r="A312" s="33" t="s">
        <v>623</v>
      </c>
      <c r="B312" s="22" t="str">
        <f>VLOOKUP($A312,'Customer Names'!$A:$D,3, FALSE)</f>
        <v>Turner</v>
      </c>
      <c r="C312" s="22">
        <f>VLOOKUP($A312,'Medical Examinations'!$A:$D, 2, FALSE)</f>
        <v>22.37</v>
      </c>
      <c r="D312" s="22">
        <f>VLOOKUP($A312, 'Medical Examinations'!$A:$D,3, FALSE)</f>
        <v>5.86</v>
      </c>
      <c r="E312" s="22" t="str">
        <f>VLOOKUP($A312, 'Medical Examinations'!$A:$D, 4, FALSE)</f>
        <v>Yes</v>
      </c>
      <c r="F312" s="22" t="str">
        <f>VLOOKUP($A312, 'Medical Examinations'!$A:$J, 5, FALSE)</f>
        <v>No</v>
      </c>
      <c r="G312" s="22" t="str">
        <f>VLOOKUP($A312, 'Medical Examinations'!$A:$I, 6, FALSE)</f>
        <v>Yes</v>
      </c>
      <c r="H312" s="22">
        <f>VLOOKUP($A312,'Medical Examinations'!$A:$L,10, FALSE)</f>
        <v>1</v>
      </c>
      <c r="I312" s="22" t="str">
        <f>VLOOKUP($A312, 'Medical Examinations'!$A:$J, 9, FALSE)</f>
        <v>Yes</v>
      </c>
      <c r="J312" s="22" t="str">
        <f>VLOOKUP($A312, 'Medical Examinations'!$A:$P, 11, FALSE)</f>
        <v>NORMAL WEIGHT</v>
      </c>
      <c r="K312" s="34">
        <v>28370.0</v>
      </c>
      <c r="L312" s="35">
        <f>VLOOKUP($A312, 'Hospitalisation Details'!$A:$H, 7, FALSE)</f>
        <v>30457.37</v>
      </c>
      <c r="M312" s="22" t="str">
        <f>VLOOKUP($A312, 'Hospitalisation Details'!$A:$L, 12, FALSE)</f>
        <v>tier - 2</v>
      </c>
      <c r="N312" s="22" t="str">
        <f>VLOOKUP($A312, 'Hospitalisation Details'!$A:$M, 13, FALSE)</f>
        <v>tier - 1</v>
      </c>
      <c r="O312" s="22" t="str">
        <f>VLOOKUP($A312, 'Hospitalisation Details'!$A:$N, 14, FALSE)</f>
        <v>R1012</v>
      </c>
      <c r="P312" s="36">
        <f>VLOOKUP($A312, 'Hospitalisation Details'!$A:$O, 15, FALSE)</f>
        <v>39</v>
      </c>
    </row>
    <row r="313" ht="15.75" customHeight="1">
      <c r="A313" s="33" t="s">
        <v>625</v>
      </c>
      <c r="B313" s="22" t="str">
        <f>VLOOKUP($A313,'Customer Names'!$A:$D,3, FALSE)</f>
        <v>Widmann</v>
      </c>
      <c r="C313" s="22">
        <f>VLOOKUP($A313,'Medical Examinations'!$A:$D, 2, FALSE)</f>
        <v>39.62</v>
      </c>
      <c r="D313" s="22">
        <f>VLOOKUP($A313, 'Medical Examinations'!$A:$D,3, FALSE)</f>
        <v>4.28</v>
      </c>
      <c r="E313" s="22" t="str">
        <f>VLOOKUP($A313, 'Medical Examinations'!$A:$D, 4, FALSE)</f>
        <v>No</v>
      </c>
      <c r="F313" s="22" t="str">
        <f>VLOOKUP($A313, 'Medical Examinations'!$A:$J, 5, FALSE)</f>
        <v>No</v>
      </c>
      <c r="G313" s="22" t="str">
        <f>VLOOKUP($A313, 'Medical Examinations'!$A:$I, 6, FALSE)</f>
        <v>No</v>
      </c>
      <c r="H313" s="22">
        <f>VLOOKUP($A313,'Medical Examinations'!$A:$L,10, FALSE)</f>
        <v>1</v>
      </c>
      <c r="I313" s="22" t="str">
        <f>VLOOKUP($A313, 'Medical Examinations'!$A:$J, 9, FALSE)</f>
        <v>Yes</v>
      </c>
      <c r="J313" s="22" t="str">
        <f>VLOOKUP($A313, 'Medical Examinations'!$A:$P, 11, FALSE)</f>
        <v>OBESITY</v>
      </c>
      <c r="K313" s="34">
        <v>29053.0</v>
      </c>
      <c r="L313" s="35">
        <f>VLOOKUP($A313, 'Hospitalisation Details'!$A:$H, 7, FALSE)</f>
        <v>30422.03</v>
      </c>
      <c r="M313" s="22" t="str">
        <f>VLOOKUP($A313, 'Hospitalisation Details'!$A:$L, 12, FALSE)</f>
        <v>tier - 2</v>
      </c>
      <c r="N313" s="22" t="str">
        <f>VLOOKUP($A313, 'Hospitalisation Details'!$A:$M, 13, FALSE)</f>
        <v>tier - 3</v>
      </c>
      <c r="O313" s="22" t="str">
        <f>VLOOKUP($A313, 'Hospitalisation Details'!$A:$N, 14, FALSE)</f>
        <v>R1011</v>
      </c>
      <c r="P313" s="36">
        <f>VLOOKUP($A313, 'Hospitalisation Details'!$A:$O, 15, FALSE)</f>
        <v>24</v>
      </c>
    </row>
    <row r="314" ht="15.75" customHeight="1">
      <c r="A314" s="33" t="s">
        <v>627</v>
      </c>
      <c r="B314" s="22" t="str">
        <f>VLOOKUP($A314,'Customer Names'!$A:$D,3, FALSE)</f>
        <v>Tunney</v>
      </c>
      <c r="C314" s="22">
        <f>VLOOKUP($A314,'Medical Examinations'!$A:$D, 2, FALSE)</f>
        <v>18.33</v>
      </c>
      <c r="D314" s="22">
        <f>VLOOKUP($A314, 'Medical Examinations'!$A:$D,3, FALSE)</f>
        <v>4.16</v>
      </c>
      <c r="E314" s="22" t="str">
        <f>VLOOKUP($A314, 'Medical Examinations'!$A:$D, 4, FALSE)</f>
        <v>Yes</v>
      </c>
      <c r="F314" s="22" t="str">
        <f>VLOOKUP($A314, 'Medical Examinations'!$A:$J, 5, FALSE)</f>
        <v>No</v>
      </c>
      <c r="G314" s="22" t="str">
        <f>VLOOKUP($A314, 'Medical Examinations'!$A:$I, 6, FALSE)</f>
        <v>No</v>
      </c>
      <c r="H314" s="22">
        <f>VLOOKUP($A314,'Medical Examinations'!$A:$L,10, FALSE)</f>
        <v>0</v>
      </c>
      <c r="I314" s="22" t="str">
        <f>VLOOKUP($A314, 'Medical Examinations'!$A:$J, 9, FALSE)</f>
        <v>Yes</v>
      </c>
      <c r="J314" s="22" t="str">
        <f>VLOOKUP($A314, 'Medical Examinations'!$A:$P, 11, FALSE)</f>
        <v>UNDERWEIGHT</v>
      </c>
      <c r="K314" s="34">
        <v>28413.0</v>
      </c>
      <c r="L314" s="35">
        <f>VLOOKUP($A314, 'Hospitalisation Details'!$A:$H, 7, FALSE)</f>
        <v>30409.53</v>
      </c>
      <c r="M314" s="22" t="str">
        <f>VLOOKUP($A314, 'Hospitalisation Details'!$A:$L, 12, FALSE)</f>
        <v>tier - 2</v>
      </c>
      <c r="N314" s="22" t="str">
        <f>VLOOKUP($A314, 'Hospitalisation Details'!$A:$M, 13, FALSE)</f>
        <v>tier - 3</v>
      </c>
      <c r="O314" s="22" t="str">
        <f>VLOOKUP($A314, 'Hospitalisation Details'!$A:$N, 14, FALSE)</f>
        <v>R1012</v>
      </c>
      <c r="P314" s="36">
        <f>VLOOKUP($A314, 'Hospitalisation Details'!$A:$O, 15, FALSE)</f>
        <v>46</v>
      </c>
    </row>
    <row r="315" ht="15.75" customHeight="1">
      <c r="A315" s="33" t="s">
        <v>629</v>
      </c>
      <c r="B315" s="22" t="str">
        <f>VLOOKUP($A315,'Customer Names'!$A:$D,3, FALSE)</f>
        <v>Sa</v>
      </c>
      <c r="C315" s="22">
        <f>VLOOKUP($A315,'Medical Examinations'!$A:$D, 2, FALSE)</f>
        <v>17.11</v>
      </c>
      <c r="D315" s="22">
        <f>VLOOKUP($A315, 'Medical Examinations'!$A:$D,3, FALSE)</f>
        <v>4.98</v>
      </c>
      <c r="E315" s="22" t="str">
        <f>VLOOKUP($A315, 'Medical Examinations'!$A:$D, 4, FALSE)</f>
        <v>Yes</v>
      </c>
      <c r="F315" s="22" t="str">
        <f>VLOOKUP($A315, 'Medical Examinations'!$A:$J, 5, FALSE)</f>
        <v>No</v>
      </c>
      <c r="G315" s="22" t="str">
        <f>VLOOKUP($A315, 'Medical Examinations'!$A:$I, 6, FALSE)</f>
        <v>Yes</v>
      </c>
      <c r="H315" s="22">
        <f>VLOOKUP($A315,'Medical Examinations'!$A:$L,10, FALSE)</f>
        <v>1</v>
      </c>
      <c r="I315" s="22" t="str">
        <f>VLOOKUP($A315, 'Medical Examinations'!$A:$J, 9, FALSE)</f>
        <v>Yes</v>
      </c>
      <c r="J315" s="22" t="str">
        <f>VLOOKUP($A315, 'Medical Examinations'!$A:$P, 11, FALSE)</f>
        <v>UNDERWEIGHT</v>
      </c>
      <c r="K315" s="34">
        <v>28441.0</v>
      </c>
      <c r="L315" s="35">
        <f>VLOOKUP($A315, 'Hospitalisation Details'!$A:$H, 7, FALSE)</f>
        <v>30366.93</v>
      </c>
      <c r="M315" s="22" t="str">
        <f>VLOOKUP($A315, 'Hospitalisation Details'!$A:$L, 12, FALSE)</f>
        <v>tier - 2</v>
      </c>
      <c r="N315" s="22" t="str">
        <f>VLOOKUP($A315, 'Hospitalisation Details'!$A:$M, 13, FALSE)</f>
        <v>tier - 2</v>
      </c>
      <c r="O315" s="22" t="str">
        <f>VLOOKUP($A315, 'Hospitalisation Details'!$A:$N, 14, FALSE)</f>
        <v>R1011</v>
      </c>
      <c r="P315" s="36">
        <f>VLOOKUP($A315, 'Hospitalisation Details'!$A:$O, 15, FALSE)</f>
        <v>53</v>
      </c>
    </row>
    <row r="316" ht="15.75" customHeight="1">
      <c r="A316" s="33" t="s">
        <v>631</v>
      </c>
      <c r="B316" s="22" t="str">
        <f>VLOOKUP($A316,'Customer Names'!$A:$D,3, FALSE)</f>
        <v>Croll</v>
      </c>
      <c r="C316" s="22">
        <f>VLOOKUP($A316,'Medical Examinations'!$A:$D, 2, FALSE)</f>
        <v>43.5</v>
      </c>
      <c r="D316" s="22">
        <f>VLOOKUP($A316, 'Medical Examinations'!$A:$D,3, FALSE)</f>
        <v>6.38</v>
      </c>
      <c r="E316" s="22" t="str">
        <f>VLOOKUP($A316, 'Medical Examinations'!$A:$D, 4, FALSE)</f>
        <v>No</v>
      </c>
      <c r="F316" s="22" t="str">
        <f>VLOOKUP($A316, 'Medical Examinations'!$A:$J, 5, FALSE)</f>
        <v>Yes</v>
      </c>
      <c r="G316" s="22" t="str">
        <f>VLOOKUP($A316, 'Medical Examinations'!$A:$I, 6, FALSE)</f>
        <v>No</v>
      </c>
      <c r="H316" s="22">
        <f>VLOOKUP($A316,'Medical Examinations'!$A:$L,10, FALSE)</f>
        <v>1</v>
      </c>
      <c r="I316" s="22" t="str">
        <f>VLOOKUP($A316, 'Medical Examinations'!$A:$J, 9, FALSE)</f>
        <v>Yes</v>
      </c>
      <c r="J316" s="22" t="str">
        <f>VLOOKUP($A316, 'Medical Examinations'!$A:$P, 11, FALSE)</f>
        <v>OBESITY</v>
      </c>
      <c r="K316" s="34">
        <v>28392.0</v>
      </c>
      <c r="L316" s="35">
        <f>VLOOKUP($A316, 'Hospitalisation Details'!$A:$H, 7, FALSE)</f>
        <v>30328.27</v>
      </c>
      <c r="M316" s="22" t="str">
        <f>VLOOKUP($A316, 'Hospitalisation Details'!$A:$L, 12, FALSE)</f>
        <v>tier - 2</v>
      </c>
      <c r="N316" s="22" t="str">
        <f>VLOOKUP($A316, 'Hospitalisation Details'!$A:$M, 13, FALSE)</f>
        <v>tier - 2</v>
      </c>
      <c r="O316" s="22" t="str">
        <f>VLOOKUP($A316, 'Hospitalisation Details'!$A:$N, 14, FALSE)</f>
        <v>R1011</v>
      </c>
      <c r="P316" s="36">
        <f>VLOOKUP($A316, 'Hospitalisation Details'!$A:$O, 15, FALSE)</f>
        <v>19</v>
      </c>
    </row>
    <row r="317" ht="15.75" customHeight="1">
      <c r="A317" s="33" t="s">
        <v>633</v>
      </c>
      <c r="B317" s="22" t="str">
        <f>VLOOKUP($A317,'Customer Names'!$A:$D,3, FALSE)</f>
        <v>Rolfes</v>
      </c>
      <c r="C317" s="22">
        <f>VLOOKUP($A317,'Medical Examinations'!$A:$D, 2, FALSE)</f>
        <v>25.365</v>
      </c>
      <c r="D317" s="22">
        <f>VLOOKUP($A317, 'Medical Examinations'!$A:$D,3, FALSE)</f>
        <v>5.19</v>
      </c>
      <c r="E317" s="22" t="str">
        <f>VLOOKUP($A317, 'Medical Examinations'!$A:$D, 4, FALSE)</f>
        <v>No</v>
      </c>
      <c r="F317" s="22" t="str">
        <f>VLOOKUP($A317, 'Medical Examinations'!$A:$J, 5, FALSE)</f>
        <v>No</v>
      </c>
      <c r="G317" s="22" t="str">
        <f>VLOOKUP($A317, 'Medical Examinations'!$A:$I, 6, FALSE)</f>
        <v>No</v>
      </c>
      <c r="H317" s="22">
        <f>VLOOKUP($A317,'Medical Examinations'!$A:$L,10, FALSE)</f>
        <v>2</v>
      </c>
      <c r="I317" s="22" t="str">
        <f>VLOOKUP($A317, 'Medical Examinations'!$A:$J, 9, FALSE)</f>
        <v>No</v>
      </c>
      <c r="J317" s="22" t="str">
        <f>VLOOKUP($A317, 'Medical Examinations'!$A:$P, 11, FALSE)</f>
        <v>OVERWEIGHT</v>
      </c>
      <c r="K317" s="34">
        <v>26856.0</v>
      </c>
      <c r="L317" s="35">
        <f>VLOOKUP($A317, 'Hospitalisation Details'!$A:$H, 7, FALSE)</f>
        <v>30284.64</v>
      </c>
      <c r="M317" s="22" t="str">
        <f>VLOOKUP($A317, 'Hospitalisation Details'!$A:$L, 12, FALSE)</f>
        <v>tier - 1</v>
      </c>
      <c r="N317" s="22" t="str">
        <f>VLOOKUP($A317, 'Hospitalisation Details'!$A:$M, 13, FALSE)</f>
        <v>tier - 1</v>
      </c>
      <c r="O317" s="22" t="str">
        <f>VLOOKUP($A317, 'Hospitalisation Details'!$A:$N, 14, FALSE)</f>
        <v>R1012</v>
      </c>
      <c r="P317" s="36">
        <f>VLOOKUP($A317, 'Hospitalisation Details'!$A:$O, 15, FALSE)</f>
        <v>50</v>
      </c>
    </row>
    <row r="318" ht="15.75" customHeight="1">
      <c r="A318" s="33" t="s">
        <v>635</v>
      </c>
      <c r="B318" s="22" t="str">
        <f>VLOOKUP($A318,'Customer Names'!$A:$D,3, FALSE)</f>
        <v>Hinkle</v>
      </c>
      <c r="C318" s="22">
        <f>VLOOKUP($A318,'Medical Examinations'!$A:$D, 2, FALSE)</f>
        <v>28.595</v>
      </c>
      <c r="D318" s="22">
        <f>VLOOKUP($A318, 'Medical Examinations'!$A:$D,3, FALSE)</f>
        <v>10.21</v>
      </c>
      <c r="E318" s="22" t="str">
        <f>VLOOKUP($A318, 'Medical Examinations'!$A:$D, 4, FALSE)</f>
        <v>No</v>
      </c>
      <c r="F318" s="22" t="str">
        <f>VLOOKUP($A318, 'Medical Examinations'!$A:$J, 5, FALSE)</f>
        <v>No</v>
      </c>
      <c r="G318" s="22" t="str">
        <f>VLOOKUP($A318, 'Medical Examinations'!$A:$I, 6, FALSE)</f>
        <v>No</v>
      </c>
      <c r="H318" s="22">
        <f>VLOOKUP($A318,'Medical Examinations'!$A:$L,10, FALSE)</f>
        <v>0</v>
      </c>
      <c r="I318" s="22" t="str">
        <f>VLOOKUP($A318, 'Medical Examinations'!$A:$J, 9, FALSE)</f>
        <v>No</v>
      </c>
      <c r="J318" s="22" t="str">
        <f>VLOOKUP($A318, 'Medical Examinations'!$A:$P, 11, FALSE)</f>
        <v>OVERWEIGHT</v>
      </c>
      <c r="K318" s="34">
        <v>30522.0</v>
      </c>
      <c r="L318" s="35">
        <f>VLOOKUP($A318, 'Hospitalisation Details'!$A:$H, 7, FALSE)</f>
        <v>30260</v>
      </c>
      <c r="M318" s="22" t="str">
        <f>VLOOKUP($A318, 'Hospitalisation Details'!$A:$L, 12, FALSE)</f>
        <v>tier - 1</v>
      </c>
      <c r="N318" s="22" t="str">
        <f>VLOOKUP($A318, 'Hospitalisation Details'!$A:$M, 13, FALSE)</f>
        <v>tier - 1</v>
      </c>
      <c r="O318" s="22" t="str">
        <f>VLOOKUP($A318, 'Hospitalisation Details'!$A:$N, 14, FALSE)</f>
        <v>R1014</v>
      </c>
      <c r="P318" s="36">
        <f>VLOOKUP($A318, 'Hospitalisation Details'!$A:$O, 15, FALSE)</f>
        <v>60</v>
      </c>
    </row>
    <row r="319" ht="15.75" customHeight="1">
      <c r="A319" s="33" t="s">
        <v>637</v>
      </c>
      <c r="B319" s="22" t="str">
        <f>VLOOKUP($A319,'Customer Names'!$A:$D,3, FALSE)</f>
        <v>Leuchanka</v>
      </c>
      <c r="C319" s="22">
        <f>VLOOKUP($A319,'Medical Examinations'!$A:$D, 2, FALSE)</f>
        <v>29.83</v>
      </c>
      <c r="D319" s="22">
        <f>VLOOKUP($A319, 'Medical Examinations'!$A:$D,3, FALSE)</f>
        <v>9.7</v>
      </c>
      <c r="E319" s="22" t="str">
        <f>VLOOKUP($A319, 'Medical Examinations'!$A:$D, 4, FALSE)</f>
        <v>Yes</v>
      </c>
      <c r="F319" s="22" t="str">
        <f>VLOOKUP($A319, 'Medical Examinations'!$A:$J, 5, FALSE)</f>
        <v>No</v>
      </c>
      <c r="G319" s="22" t="str">
        <f>VLOOKUP($A319, 'Medical Examinations'!$A:$I, 6, FALSE)</f>
        <v>Yes</v>
      </c>
      <c r="H319" s="22">
        <f>VLOOKUP($A319,'Medical Examinations'!$A:$L,10, FALSE)</f>
        <v>1</v>
      </c>
      <c r="I319" s="22" t="str">
        <f>VLOOKUP($A319, 'Medical Examinations'!$A:$J, 9, FALSE)</f>
        <v>Yes</v>
      </c>
      <c r="J319" s="22" t="str">
        <f>VLOOKUP($A319, 'Medical Examinations'!$A:$P, 11, FALSE)</f>
        <v>OVERWEIGHT</v>
      </c>
      <c r="K319" s="34">
        <v>30680.0</v>
      </c>
      <c r="L319" s="35">
        <f>VLOOKUP($A319, 'Hospitalisation Details'!$A:$H, 7, FALSE)</f>
        <v>30184.94</v>
      </c>
      <c r="M319" s="22" t="str">
        <f>VLOOKUP($A319, 'Hospitalisation Details'!$A:$L, 12, FALSE)</f>
        <v>tier - 1</v>
      </c>
      <c r="N319" s="22" t="str">
        <f>VLOOKUP($A319, 'Hospitalisation Details'!$A:$M, 13, FALSE)</f>
        <v>tier - 1</v>
      </c>
      <c r="O319" s="22" t="str">
        <f>VLOOKUP($A319, 'Hospitalisation Details'!$A:$N, 14, FALSE)</f>
        <v>R1014</v>
      </c>
      <c r="P319" s="36">
        <f>VLOOKUP($A319, 'Hospitalisation Details'!$A:$O, 15, FALSE)</f>
        <v>59</v>
      </c>
    </row>
    <row r="320" ht="15.75" customHeight="1">
      <c r="A320" s="33" t="s">
        <v>639</v>
      </c>
      <c r="B320" s="22" t="str">
        <f>VLOOKUP($A320,'Customer Names'!$A:$D,3, FALSE)</f>
        <v>Ayr</v>
      </c>
      <c r="C320" s="22">
        <f>VLOOKUP($A320,'Medical Examinations'!$A:$D, 2, FALSE)</f>
        <v>24.7</v>
      </c>
      <c r="D320" s="22">
        <f>VLOOKUP($A320, 'Medical Examinations'!$A:$D,3, FALSE)</f>
        <v>10.25</v>
      </c>
      <c r="E320" s="22" t="str">
        <f>VLOOKUP($A320, 'Medical Examinations'!$A:$D, 4, FALSE)</f>
        <v>No</v>
      </c>
      <c r="F320" s="22" t="str">
        <f>VLOOKUP($A320, 'Medical Examinations'!$A:$J, 5, FALSE)</f>
        <v>No</v>
      </c>
      <c r="G320" s="22" t="str">
        <f>VLOOKUP($A320, 'Medical Examinations'!$A:$I, 6, FALSE)</f>
        <v>No</v>
      </c>
      <c r="H320" s="22">
        <f>VLOOKUP($A320,'Medical Examinations'!$A:$L,10, FALSE)</f>
        <v>3</v>
      </c>
      <c r="I320" s="22" t="str">
        <f>VLOOKUP($A320, 'Medical Examinations'!$A:$J, 9, FALSE)</f>
        <v>No</v>
      </c>
      <c r="J320" s="22" t="str">
        <f>VLOOKUP($A320, 'Medical Examinations'!$A:$P, 11, FALSE)</f>
        <v>NORMAL WEIGHT</v>
      </c>
      <c r="K320" s="34">
        <v>30167.0</v>
      </c>
      <c r="L320" s="35">
        <f>VLOOKUP($A320, 'Hospitalisation Details'!$A:$H, 7, FALSE)</f>
        <v>30166.62</v>
      </c>
      <c r="M320" s="22" t="str">
        <f>VLOOKUP($A320, 'Hospitalisation Details'!$A:$L, 12, FALSE)</f>
        <v>tier - 1</v>
      </c>
      <c r="N320" s="22" t="str">
        <f>VLOOKUP($A320, 'Hospitalisation Details'!$A:$M, 13, FALSE)</f>
        <v>tier - 3</v>
      </c>
      <c r="O320" s="22" t="str">
        <f>VLOOKUP($A320, 'Hospitalisation Details'!$A:$N, 14, FALSE)</f>
        <v>R1012</v>
      </c>
      <c r="P320" s="36">
        <f>VLOOKUP($A320, 'Hospitalisation Details'!$A:$O, 15, FALSE)</f>
        <v>64</v>
      </c>
    </row>
    <row r="321" ht="15.75" customHeight="1">
      <c r="A321" s="33" t="s">
        <v>641</v>
      </c>
      <c r="B321" s="22" t="str">
        <f>VLOOKUP($A321,'Customer Names'!$A:$D,3, FALSE)</f>
        <v>Siegel</v>
      </c>
      <c r="C321" s="22">
        <f>VLOOKUP($A321,'Medical Examinations'!$A:$D, 2, FALSE)</f>
        <v>17.94</v>
      </c>
      <c r="D321" s="22">
        <f>VLOOKUP($A321, 'Medical Examinations'!$A:$D,3, FALSE)</f>
        <v>9.77</v>
      </c>
      <c r="E321" s="22" t="str">
        <f>VLOOKUP($A321, 'Medical Examinations'!$A:$D, 4, FALSE)</f>
        <v>No</v>
      </c>
      <c r="F321" s="22" t="str">
        <f>VLOOKUP($A321, 'Medical Examinations'!$A:$J, 5, FALSE)</f>
        <v>No</v>
      </c>
      <c r="G321" s="22" t="str">
        <f>VLOOKUP($A321, 'Medical Examinations'!$A:$I, 6, FALSE)</f>
        <v>No</v>
      </c>
      <c r="H321" s="22">
        <f>VLOOKUP($A321,'Medical Examinations'!$A:$L,10, FALSE)</f>
        <v>0</v>
      </c>
      <c r="I321" s="22" t="str">
        <f>VLOOKUP($A321, 'Medical Examinations'!$A:$J, 9, FALSE)</f>
        <v>Yes</v>
      </c>
      <c r="J321" s="22" t="str">
        <f>VLOOKUP($A321, 'Medical Examinations'!$A:$P, 11, FALSE)</f>
        <v>UNDERWEIGHT</v>
      </c>
      <c r="K321" s="34">
        <v>32092.0</v>
      </c>
      <c r="L321" s="35">
        <f>VLOOKUP($A321, 'Hospitalisation Details'!$A:$H, 7, FALSE)</f>
        <v>30134.75</v>
      </c>
      <c r="M321" s="22" t="str">
        <f>VLOOKUP($A321, 'Hospitalisation Details'!$A:$L, 12, FALSE)</f>
        <v>tier - 2</v>
      </c>
      <c r="N321" s="22" t="str">
        <f>VLOOKUP($A321, 'Hospitalisation Details'!$A:$M, 13, FALSE)</f>
        <v>tier - 3</v>
      </c>
      <c r="O321" s="22" t="str">
        <f>VLOOKUP($A321, 'Hospitalisation Details'!$A:$N, 14, FALSE)</f>
        <v>R1011</v>
      </c>
      <c r="P321" s="36">
        <f>VLOOKUP($A321, 'Hospitalisation Details'!$A:$O, 15, FALSE)</f>
        <v>51</v>
      </c>
    </row>
    <row r="322" ht="15.75" customHeight="1">
      <c r="A322" s="33" t="s">
        <v>643</v>
      </c>
      <c r="B322" s="22" t="str">
        <f>VLOOKUP($A322,'Customer Names'!$A:$D,3, FALSE)</f>
        <v>Penrose</v>
      </c>
      <c r="C322" s="22">
        <f>VLOOKUP($A322,'Medical Examinations'!$A:$D, 2, FALSE)</f>
        <v>21.08</v>
      </c>
      <c r="D322" s="22">
        <f>VLOOKUP($A322, 'Medical Examinations'!$A:$D,3, FALSE)</f>
        <v>4.83</v>
      </c>
      <c r="E322" s="22" t="str">
        <f>VLOOKUP($A322, 'Medical Examinations'!$A:$D, 4, FALSE)</f>
        <v>No</v>
      </c>
      <c r="F322" s="22" t="str">
        <f>VLOOKUP($A322, 'Medical Examinations'!$A:$J, 5, FALSE)</f>
        <v>No</v>
      </c>
      <c r="G322" s="22" t="str">
        <f>VLOOKUP($A322, 'Medical Examinations'!$A:$I, 6, FALSE)</f>
        <v>Yes</v>
      </c>
      <c r="H322" s="22">
        <f>VLOOKUP($A322,'Medical Examinations'!$A:$L,10, FALSE)</f>
        <v>1</v>
      </c>
      <c r="I322" s="22" t="str">
        <f>VLOOKUP($A322, 'Medical Examinations'!$A:$J, 9, FALSE)</f>
        <v>Yes</v>
      </c>
      <c r="J322" s="22" t="str">
        <f>VLOOKUP($A322, 'Medical Examinations'!$A:$P, 11, FALSE)</f>
        <v>NORMAL WEIGHT</v>
      </c>
      <c r="K322" s="34">
        <v>30291.0</v>
      </c>
      <c r="L322" s="35">
        <f>VLOOKUP($A322, 'Hospitalisation Details'!$A:$H, 7, FALSE)</f>
        <v>30095.97</v>
      </c>
      <c r="M322" s="22" t="str">
        <f>VLOOKUP($A322, 'Hospitalisation Details'!$A:$L, 12, FALSE)</f>
        <v>tier - 2</v>
      </c>
      <c r="N322" s="22" t="str">
        <f>VLOOKUP($A322, 'Hospitalisation Details'!$A:$M, 13, FALSE)</f>
        <v>tier - 3</v>
      </c>
      <c r="O322" s="22" t="str">
        <f>VLOOKUP($A322, 'Hospitalisation Details'!$A:$N, 14, FALSE)</f>
        <v>R1011</v>
      </c>
      <c r="P322" s="36">
        <f>VLOOKUP($A322, 'Hospitalisation Details'!$A:$O, 15, FALSE)</f>
        <v>43</v>
      </c>
    </row>
    <row r="323" ht="15.75" customHeight="1">
      <c r="A323" s="33" t="s">
        <v>645</v>
      </c>
      <c r="B323" s="22" t="str">
        <f>VLOOKUP($A323,'Customer Names'!$A:$D,3, FALSE)</f>
        <v>Schuler</v>
      </c>
      <c r="C323" s="22">
        <f>VLOOKUP($A323,'Medical Examinations'!$A:$D, 2, FALSE)</f>
        <v>37.715</v>
      </c>
      <c r="D323" s="22">
        <f>VLOOKUP($A323, 'Medical Examinations'!$A:$D,3, FALSE)</f>
        <v>10.86</v>
      </c>
      <c r="E323" s="22" t="str">
        <f>VLOOKUP($A323, 'Medical Examinations'!$A:$D, 4, FALSE)</f>
        <v>Yes</v>
      </c>
      <c r="F323" s="22" t="str">
        <f>VLOOKUP($A323, 'Medical Examinations'!$A:$J, 5, FALSE)</f>
        <v>No</v>
      </c>
      <c r="G323" s="22" t="str">
        <f>VLOOKUP($A323, 'Medical Examinations'!$A:$I, 6, FALSE)</f>
        <v>No</v>
      </c>
      <c r="H323" s="22">
        <f>VLOOKUP($A323,'Medical Examinations'!$A:$L,10, FALSE)</f>
        <v>0</v>
      </c>
      <c r="I323" s="22" t="str">
        <f>VLOOKUP($A323, 'Medical Examinations'!$A:$J, 9, FALSE)</f>
        <v>No</v>
      </c>
      <c r="J323" s="22" t="str">
        <f>VLOOKUP($A323, 'Medical Examinations'!$A:$P, 11, FALSE)</f>
        <v>OBESITY</v>
      </c>
      <c r="K323" s="34">
        <v>27663.0</v>
      </c>
      <c r="L323" s="35">
        <f>VLOOKUP($A323, 'Hospitalisation Details'!$A:$H, 7, FALSE)</f>
        <v>30063.58</v>
      </c>
      <c r="M323" s="22" t="str">
        <f>VLOOKUP($A323, 'Hospitalisation Details'!$A:$L, 12, FALSE)</f>
        <v>tier - 1</v>
      </c>
      <c r="N323" s="22" t="str">
        <f>VLOOKUP($A323, 'Hospitalisation Details'!$A:$M, 13, FALSE)</f>
        <v>tier - 1</v>
      </c>
      <c r="O323" s="22" t="str">
        <f>VLOOKUP($A323, 'Hospitalisation Details'!$A:$N, 14, FALSE)</f>
        <v>R1012</v>
      </c>
      <c r="P323" s="36">
        <f>VLOOKUP($A323, 'Hospitalisation Details'!$A:$O, 15, FALSE)</f>
        <v>55</v>
      </c>
    </row>
    <row r="324" ht="15.75" customHeight="1">
      <c r="A324" s="33" t="s">
        <v>647</v>
      </c>
      <c r="B324" s="22" t="str">
        <f>VLOOKUP($A324,'Customer Names'!$A:$D,3, FALSE)</f>
        <v>Walker</v>
      </c>
      <c r="C324" s="22">
        <f>VLOOKUP($A324,'Medical Examinations'!$A:$D, 2, FALSE)</f>
        <v>22.39</v>
      </c>
      <c r="D324" s="22">
        <f>VLOOKUP($A324, 'Medical Examinations'!$A:$D,3, FALSE)</f>
        <v>9.53</v>
      </c>
      <c r="E324" s="22" t="str">
        <f>VLOOKUP($A324, 'Medical Examinations'!$A:$D, 4, FALSE)</f>
        <v>Yes</v>
      </c>
      <c r="F324" s="22" t="str">
        <f>VLOOKUP($A324, 'Medical Examinations'!$A:$J, 5, FALSE)</f>
        <v>No</v>
      </c>
      <c r="G324" s="22" t="str">
        <f>VLOOKUP($A324, 'Medical Examinations'!$A:$I, 6, FALSE)</f>
        <v>No</v>
      </c>
      <c r="H324" s="22">
        <f>VLOOKUP($A324,'Medical Examinations'!$A:$L,10, FALSE)</f>
        <v>0</v>
      </c>
      <c r="I324" s="22" t="str">
        <f>VLOOKUP($A324, 'Medical Examinations'!$A:$J, 9, FALSE)</f>
        <v>Yes</v>
      </c>
      <c r="J324" s="22" t="str">
        <f>VLOOKUP($A324, 'Medical Examinations'!$A:$P, 11, FALSE)</f>
        <v>NORMAL WEIGHT</v>
      </c>
      <c r="K324" s="34">
        <v>32407.0</v>
      </c>
      <c r="L324" s="35">
        <f>VLOOKUP($A324, 'Hospitalisation Details'!$A:$H, 7, FALSE)</f>
        <v>30026.87</v>
      </c>
      <c r="M324" s="22" t="str">
        <f>VLOOKUP($A324, 'Hospitalisation Details'!$A:$L, 12, FALSE)</f>
        <v>tier - 2</v>
      </c>
      <c r="N324" s="22" t="str">
        <f>VLOOKUP($A324, 'Hospitalisation Details'!$A:$M, 13, FALSE)</f>
        <v>tier - 3</v>
      </c>
      <c r="O324" s="22" t="str">
        <f>VLOOKUP($A324, 'Hospitalisation Details'!$A:$N, 14, FALSE)</f>
        <v>R1012</v>
      </c>
      <c r="P324" s="36">
        <f>VLOOKUP($A324, 'Hospitalisation Details'!$A:$O, 15, FALSE)</f>
        <v>41</v>
      </c>
    </row>
    <row r="325" ht="15.75" customHeight="1">
      <c r="A325" s="33" t="s">
        <v>649</v>
      </c>
      <c r="B325" s="22" t="str">
        <f>VLOOKUP($A325,'Customer Names'!$A:$D,3, FALSE)</f>
        <v>Stange</v>
      </c>
      <c r="C325" s="22">
        <f>VLOOKUP($A325,'Medical Examinations'!$A:$D, 2, FALSE)</f>
        <v>28.78</v>
      </c>
      <c r="D325" s="22">
        <f>VLOOKUP($A325, 'Medical Examinations'!$A:$D,3, FALSE)</f>
        <v>5.68</v>
      </c>
      <c r="E325" s="22" t="str">
        <f>VLOOKUP($A325, 'Medical Examinations'!$A:$D, 4, FALSE)</f>
        <v>No</v>
      </c>
      <c r="F325" s="22" t="str">
        <f>VLOOKUP($A325, 'Medical Examinations'!$A:$J, 5, FALSE)</f>
        <v>No</v>
      </c>
      <c r="G325" s="22" t="str">
        <f>VLOOKUP($A325, 'Medical Examinations'!$A:$I, 6, FALSE)</f>
        <v>No</v>
      </c>
      <c r="H325" s="22">
        <f>VLOOKUP($A325,'Medical Examinations'!$A:$L,10, FALSE)</f>
        <v>0</v>
      </c>
      <c r="I325" s="22" t="str">
        <f>VLOOKUP($A325, 'Medical Examinations'!$A:$J, 9, FALSE)</f>
        <v>Yes</v>
      </c>
      <c r="J325" s="22" t="str">
        <f>VLOOKUP($A325, 'Medical Examinations'!$A:$P, 11, FALSE)</f>
        <v>OVERWEIGHT</v>
      </c>
      <c r="K325" s="34">
        <v>27627.0</v>
      </c>
      <c r="L325" s="35">
        <f>VLOOKUP($A325, 'Hospitalisation Details'!$A:$H, 7, FALSE)</f>
        <v>29969.67</v>
      </c>
      <c r="M325" s="22" t="str">
        <f>VLOOKUP($A325, 'Hospitalisation Details'!$A:$L, 12, FALSE)</f>
        <v>tier - 1</v>
      </c>
      <c r="N325" s="22" t="str">
        <f>VLOOKUP($A325, 'Hospitalisation Details'!$A:$M, 13, FALSE)</f>
        <v>tier - 1</v>
      </c>
      <c r="O325" s="22" t="str">
        <f>VLOOKUP($A325, 'Hospitalisation Details'!$A:$N, 14, FALSE)</f>
        <v>R1011</v>
      </c>
      <c r="P325" s="36">
        <f>VLOOKUP($A325, 'Hospitalisation Details'!$A:$O, 15, FALSE)</f>
        <v>31</v>
      </c>
    </row>
    <row r="326" ht="15.75" customHeight="1">
      <c r="A326" s="33" t="s">
        <v>651</v>
      </c>
      <c r="B326" s="22" t="str">
        <f>VLOOKUP($A326,'Customer Names'!$A:$D,3, FALSE)</f>
        <v>Roy</v>
      </c>
      <c r="C326" s="22">
        <f>VLOOKUP($A326,'Medical Examinations'!$A:$D, 2, FALSE)</f>
        <v>18.33</v>
      </c>
      <c r="D326" s="22">
        <f>VLOOKUP($A326, 'Medical Examinations'!$A:$D,3, FALSE)</f>
        <v>5.57</v>
      </c>
      <c r="E326" s="22" t="str">
        <f>VLOOKUP($A326, 'Medical Examinations'!$A:$D, 4, FALSE)</f>
        <v>Yes</v>
      </c>
      <c r="F326" s="22" t="str">
        <f>VLOOKUP($A326, 'Medical Examinations'!$A:$J, 5, FALSE)</f>
        <v>No</v>
      </c>
      <c r="G326" s="22" t="str">
        <f>VLOOKUP($A326, 'Medical Examinations'!$A:$I, 6, FALSE)</f>
        <v>No</v>
      </c>
      <c r="H326" s="22">
        <f>VLOOKUP($A326,'Medical Examinations'!$A:$L,10, FALSE)</f>
        <v>0</v>
      </c>
      <c r="I326" s="22" t="str">
        <f>VLOOKUP($A326, 'Medical Examinations'!$A:$J, 9, FALSE)</f>
        <v>Yes</v>
      </c>
      <c r="J326" s="22" t="str">
        <f>VLOOKUP($A326, 'Medical Examinations'!$A:$P, 11, FALSE)</f>
        <v>UNDERWEIGHT</v>
      </c>
      <c r="K326" s="34">
        <v>27612.0</v>
      </c>
      <c r="L326" s="35">
        <f>VLOOKUP($A326, 'Hospitalisation Details'!$A:$H, 7, FALSE)</f>
        <v>29933.75</v>
      </c>
      <c r="M326" s="22" t="str">
        <f>VLOOKUP($A326, 'Hospitalisation Details'!$A:$L, 12, FALSE)</f>
        <v>tier - 1</v>
      </c>
      <c r="N326" s="22" t="str">
        <f>VLOOKUP($A326, 'Hospitalisation Details'!$A:$M, 13, FALSE)</f>
        <v>tier - 1</v>
      </c>
      <c r="O326" s="22" t="str">
        <f>VLOOKUP($A326, 'Hospitalisation Details'!$A:$N, 14, FALSE)</f>
        <v>R1011</v>
      </c>
      <c r="P326" s="36">
        <f>VLOOKUP($A326, 'Hospitalisation Details'!$A:$O, 15, FALSE)</f>
        <v>46</v>
      </c>
    </row>
    <row r="327" ht="15.75" customHeight="1">
      <c r="A327" s="33" t="s">
        <v>653</v>
      </c>
      <c r="B327" s="22" t="str">
        <f>VLOOKUP($A327,'Customer Names'!$A:$D,3, FALSE)</f>
        <v>Potere</v>
      </c>
      <c r="C327" s="22">
        <f>VLOOKUP($A327,'Medical Examinations'!$A:$D, 2, FALSE)</f>
        <v>26.39</v>
      </c>
      <c r="D327" s="22">
        <f>VLOOKUP($A327, 'Medical Examinations'!$A:$D,3, FALSE)</f>
        <v>4.58</v>
      </c>
      <c r="E327" s="22" t="str">
        <f>VLOOKUP($A327, 'Medical Examinations'!$A:$D, 4, FALSE)</f>
        <v>Yes</v>
      </c>
      <c r="F327" s="22" t="str">
        <f>VLOOKUP($A327, 'Medical Examinations'!$A:$J, 5, FALSE)</f>
        <v>No</v>
      </c>
      <c r="G327" s="22" t="str">
        <f>VLOOKUP($A327, 'Medical Examinations'!$A:$I, 6, FALSE)</f>
        <v>No</v>
      </c>
      <c r="H327" s="22">
        <f>VLOOKUP($A327,'Medical Examinations'!$A:$L,10, FALSE)</f>
        <v>1</v>
      </c>
      <c r="I327" s="22" t="str">
        <f>VLOOKUP($A327, 'Medical Examinations'!$A:$J, 9, FALSE)</f>
        <v>Yes</v>
      </c>
      <c r="J327" s="22" t="str">
        <f>VLOOKUP($A327, 'Medical Examinations'!$A:$P, 11, FALSE)</f>
        <v>OVERWEIGHT</v>
      </c>
      <c r="K327" s="34">
        <v>30662.0</v>
      </c>
      <c r="L327" s="35">
        <f>VLOOKUP($A327, 'Hospitalisation Details'!$A:$H, 7, FALSE)</f>
        <v>29929.56</v>
      </c>
      <c r="M327" s="22" t="str">
        <f>VLOOKUP($A327, 'Hospitalisation Details'!$A:$L, 12, FALSE)</f>
        <v>tier - 1</v>
      </c>
      <c r="N327" s="22" t="str">
        <f>VLOOKUP($A327, 'Hospitalisation Details'!$A:$M, 13, FALSE)</f>
        <v>tier - 1</v>
      </c>
      <c r="O327" s="22" t="str">
        <f>VLOOKUP($A327, 'Hospitalisation Details'!$A:$N, 14, FALSE)</f>
        <v>R1011</v>
      </c>
      <c r="P327" s="36">
        <f>VLOOKUP($A327, 'Hospitalisation Details'!$A:$O, 15, FALSE)</f>
        <v>34</v>
      </c>
    </row>
    <row r="328" ht="15.75" customHeight="1">
      <c r="A328" s="33" t="s">
        <v>655</v>
      </c>
      <c r="B328" s="22" t="str">
        <f>VLOOKUP($A328,'Customer Names'!$A:$D,3, FALSE)</f>
        <v>Podgurski</v>
      </c>
      <c r="C328" s="22">
        <f>VLOOKUP($A328,'Medical Examinations'!$A:$D, 2, FALSE)</f>
        <v>19.26</v>
      </c>
      <c r="D328" s="22">
        <f>VLOOKUP($A328, 'Medical Examinations'!$A:$D,3, FALSE)</f>
        <v>8.96</v>
      </c>
      <c r="E328" s="22" t="str">
        <f>VLOOKUP($A328, 'Medical Examinations'!$A:$D, 4, FALSE)</f>
        <v>Yes</v>
      </c>
      <c r="F328" s="22" t="str">
        <f>VLOOKUP($A328, 'Medical Examinations'!$A:$J, 5, FALSE)</f>
        <v>No</v>
      </c>
      <c r="G328" s="22" t="str">
        <f>VLOOKUP($A328, 'Medical Examinations'!$A:$I, 6, FALSE)</f>
        <v>No</v>
      </c>
      <c r="H328" s="22">
        <f>VLOOKUP($A328,'Medical Examinations'!$A:$L,10, FALSE)</f>
        <v>1</v>
      </c>
      <c r="I328" s="22" t="str">
        <f>VLOOKUP($A328, 'Medical Examinations'!$A:$J, 9, FALSE)</f>
        <v>Yes</v>
      </c>
      <c r="J328" s="22" t="str">
        <f>VLOOKUP($A328, 'Medical Examinations'!$A:$P, 11, FALSE)</f>
        <v>NORMAL WEIGHT</v>
      </c>
      <c r="K328" s="34">
        <v>27704.0</v>
      </c>
      <c r="L328" s="35">
        <f>VLOOKUP($A328, 'Hospitalisation Details'!$A:$H, 7, FALSE)</f>
        <v>29899.25</v>
      </c>
      <c r="M328" s="22" t="str">
        <f>VLOOKUP($A328, 'Hospitalisation Details'!$A:$L, 12, FALSE)</f>
        <v>tier - 1</v>
      </c>
      <c r="N328" s="22" t="str">
        <f>VLOOKUP($A328, 'Hospitalisation Details'!$A:$M, 13, FALSE)</f>
        <v>tier - 3</v>
      </c>
      <c r="O328" s="22" t="str">
        <f>VLOOKUP($A328, 'Hospitalisation Details'!$A:$N, 14, FALSE)</f>
        <v>R1011</v>
      </c>
      <c r="P328" s="36">
        <f>VLOOKUP($A328, 'Hospitalisation Details'!$A:$O, 15, FALSE)</f>
        <v>47</v>
      </c>
    </row>
    <row r="329" ht="15.75" customHeight="1">
      <c r="A329" s="33" t="s">
        <v>657</v>
      </c>
      <c r="B329" s="22" t="str">
        <f>VLOOKUP($A329,'Customer Names'!$A:$D,3, FALSE)</f>
        <v>Diamond</v>
      </c>
      <c r="C329" s="22">
        <f>VLOOKUP($A329,'Medical Examinations'!$A:$D, 2, FALSE)</f>
        <v>26.92</v>
      </c>
      <c r="D329" s="22">
        <f>VLOOKUP($A329, 'Medical Examinations'!$A:$D,3, FALSE)</f>
        <v>6.09</v>
      </c>
      <c r="E329" s="22" t="str">
        <f>VLOOKUP($A329, 'Medical Examinations'!$A:$D, 4, FALSE)</f>
        <v>No</v>
      </c>
      <c r="F329" s="22" t="str">
        <f>VLOOKUP($A329, 'Medical Examinations'!$A:$J, 5, FALSE)</f>
        <v>No</v>
      </c>
      <c r="G329" s="22" t="str">
        <f>VLOOKUP($A329, 'Medical Examinations'!$A:$I, 6, FALSE)</f>
        <v>No</v>
      </c>
      <c r="H329" s="22">
        <f>VLOOKUP($A329,'Medical Examinations'!$A:$L,10, FALSE)</f>
        <v>0</v>
      </c>
      <c r="I329" s="22" t="str">
        <f>VLOOKUP($A329, 'Medical Examinations'!$A:$J, 9, FALSE)</f>
        <v>Yes</v>
      </c>
      <c r="J329" s="22" t="str">
        <f>VLOOKUP($A329, 'Medical Examinations'!$A:$P, 11, FALSE)</f>
        <v>OVERWEIGHT</v>
      </c>
      <c r="K329" s="34">
        <v>29947.0</v>
      </c>
      <c r="L329" s="35">
        <f>VLOOKUP($A329, 'Hospitalisation Details'!$A:$H, 7, FALSE)</f>
        <v>29852.48</v>
      </c>
      <c r="M329" s="22" t="str">
        <f>VLOOKUP($A329, 'Hospitalisation Details'!$A:$L, 12, FALSE)</f>
        <v>tier - 1</v>
      </c>
      <c r="N329" s="22" t="str">
        <f>VLOOKUP($A329, 'Hospitalisation Details'!$A:$M, 13, FALSE)</f>
        <v>tier - 3</v>
      </c>
      <c r="O329" s="22" t="str">
        <f>VLOOKUP($A329, 'Hospitalisation Details'!$A:$N, 14, FALSE)</f>
        <v>R1011</v>
      </c>
      <c r="P329" s="36">
        <f>VLOOKUP($A329, 'Hospitalisation Details'!$A:$O, 15, FALSE)</f>
        <v>33</v>
      </c>
    </row>
    <row r="330" ht="15.75" customHeight="1">
      <c r="A330" s="33" t="s">
        <v>659</v>
      </c>
      <c r="B330" s="22" t="str">
        <f>VLOOKUP($A330,'Customer Names'!$A:$D,3, FALSE)</f>
        <v>Sallade</v>
      </c>
      <c r="C330" s="22">
        <f>VLOOKUP($A330,'Medical Examinations'!$A:$D, 2, FALSE)</f>
        <v>19.73</v>
      </c>
      <c r="D330" s="22">
        <f>VLOOKUP($A330, 'Medical Examinations'!$A:$D,3, FALSE)</f>
        <v>4.36</v>
      </c>
      <c r="E330" s="22" t="str">
        <f>VLOOKUP($A330, 'Medical Examinations'!$A:$D, 4, FALSE)</f>
        <v>No</v>
      </c>
      <c r="F330" s="22" t="str">
        <f>VLOOKUP($A330, 'Medical Examinations'!$A:$J, 5, FALSE)</f>
        <v>No</v>
      </c>
      <c r="G330" s="22" t="str">
        <f>VLOOKUP($A330, 'Medical Examinations'!$A:$I, 6, FALSE)</f>
        <v>No</v>
      </c>
      <c r="H330" s="22">
        <f>VLOOKUP($A330,'Medical Examinations'!$A:$L,10, FALSE)</f>
        <v>0</v>
      </c>
      <c r="I330" s="22" t="str">
        <f>VLOOKUP($A330, 'Medical Examinations'!$A:$J, 9, FALSE)</f>
        <v>Yes</v>
      </c>
      <c r="J330" s="22" t="str">
        <f>VLOOKUP($A330, 'Medical Examinations'!$A:$P, 11, FALSE)</f>
        <v>NORMAL WEIGHT</v>
      </c>
      <c r="K330" s="34">
        <v>30521.0</v>
      </c>
      <c r="L330" s="35">
        <f>VLOOKUP($A330, 'Hospitalisation Details'!$A:$H, 7, FALSE)</f>
        <v>29818.76</v>
      </c>
      <c r="M330" s="22" t="str">
        <f>VLOOKUP($A330, 'Hospitalisation Details'!$A:$L, 12, FALSE)</f>
        <v>tier - 1</v>
      </c>
      <c r="N330" s="22" t="str">
        <f>VLOOKUP($A330, 'Hospitalisation Details'!$A:$M, 13, FALSE)</f>
        <v>tier - 1</v>
      </c>
      <c r="O330" s="22" t="str">
        <f>VLOOKUP($A330, 'Hospitalisation Details'!$A:$N, 14, FALSE)</f>
        <v>R1012</v>
      </c>
      <c r="P330" s="36">
        <f>VLOOKUP($A330, 'Hospitalisation Details'!$A:$O, 15, FALSE)</f>
        <v>40</v>
      </c>
    </row>
    <row r="331" ht="15.75" customHeight="1">
      <c r="A331" s="33" t="s">
        <v>661</v>
      </c>
      <c r="B331" s="22" t="str">
        <f>VLOOKUP($A331,'Customer Names'!$A:$D,3, FALSE)</f>
        <v>Zhang</v>
      </c>
      <c r="C331" s="22">
        <f>VLOOKUP($A331,'Medical Examinations'!$A:$D, 2, FALSE)</f>
        <v>23.56</v>
      </c>
      <c r="D331" s="22">
        <f>VLOOKUP($A331, 'Medical Examinations'!$A:$D,3, FALSE)</f>
        <v>11.74</v>
      </c>
      <c r="E331" s="22" t="str">
        <f>VLOOKUP($A331, 'Medical Examinations'!$A:$D, 4, FALSE)</f>
        <v>Yes</v>
      </c>
      <c r="F331" s="22" t="str">
        <f>VLOOKUP($A331, 'Medical Examinations'!$A:$J, 5, FALSE)</f>
        <v>No</v>
      </c>
      <c r="G331" s="22" t="str">
        <f>VLOOKUP($A331, 'Medical Examinations'!$A:$I, 6, FALSE)</f>
        <v>No</v>
      </c>
      <c r="H331" s="22">
        <f>VLOOKUP($A331,'Medical Examinations'!$A:$L,10, FALSE)</f>
        <v>0</v>
      </c>
      <c r="I331" s="22" t="str">
        <f>VLOOKUP($A331, 'Medical Examinations'!$A:$J, 9, FALSE)</f>
        <v>Yes</v>
      </c>
      <c r="J331" s="22" t="str">
        <f>VLOOKUP($A331, 'Medical Examinations'!$A:$P, 11, FALSE)</f>
        <v>NORMAL WEIGHT</v>
      </c>
      <c r="K331" s="34">
        <v>31310.0</v>
      </c>
      <c r="L331" s="35">
        <f>VLOOKUP($A331, 'Hospitalisation Details'!$A:$H, 7, FALSE)</f>
        <v>29816.64</v>
      </c>
      <c r="M331" s="22" t="str">
        <f>VLOOKUP($A331, 'Hospitalisation Details'!$A:$L, 12, FALSE)</f>
        <v>tier - 1</v>
      </c>
      <c r="N331" s="22" t="str">
        <f>VLOOKUP($A331, 'Hospitalisation Details'!$A:$M, 13, FALSE)</f>
        <v>tier - 2</v>
      </c>
      <c r="O331" s="22" t="str">
        <f>VLOOKUP($A331, 'Hospitalisation Details'!$A:$N, 14, FALSE)</f>
        <v>R1011</v>
      </c>
      <c r="P331" s="36">
        <f>VLOOKUP($A331, 'Hospitalisation Details'!$A:$O, 15, FALSE)</f>
        <v>41</v>
      </c>
    </row>
    <row r="332" ht="15.75" customHeight="1">
      <c r="A332" s="33" t="s">
        <v>663</v>
      </c>
      <c r="B332" s="22" t="str">
        <f>VLOOKUP($A332,'Customer Names'!$A:$D,3, FALSE)</f>
        <v>Chatfield</v>
      </c>
      <c r="C332" s="22">
        <f>VLOOKUP($A332,'Medical Examinations'!$A:$D, 2, FALSE)</f>
        <v>37.67</v>
      </c>
      <c r="D332" s="22">
        <f>VLOOKUP($A332, 'Medical Examinations'!$A:$D,3, FALSE)</f>
        <v>5.89</v>
      </c>
      <c r="E332" s="22" t="str">
        <f>VLOOKUP($A332, 'Medical Examinations'!$A:$D, 4, FALSE)</f>
        <v>No</v>
      </c>
      <c r="F332" s="22" t="str">
        <f>VLOOKUP($A332, 'Medical Examinations'!$A:$J, 5, FALSE)</f>
        <v>No</v>
      </c>
      <c r="G332" s="22" t="str">
        <f>VLOOKUP($A332, 'Medical Examinations'!$A:$I, 6, FALSE)</f>
        <v>No</v>
      </c>
      <c r="H332" s="22">
        <f>VLOOKUP($A332,'Medical Examinations'!$A:$L,10, FALSE)</f>
        <v>1</v>
      </c>
      <c r="I332" s="22" t="str">
        <f>VLOOKUP($A332, 'Medical Examinations'!$A:$J, 9, FALSE)</f>
        <v>Yes</v>
      </c>
      <c r="J332" s="22" t="str">
        <f>VLOOKUP($A332, 'Medical Examinations'!$A:$P, 11, FALSE)</f>
        <v>OBESITY</v>
      </c>
      <c r="K332" s="34">
        <v>28332.0</v>
      </c>
      <c r="L332" s="35">
        <f>VLOOKUP($A332, 'Hospitalisation Details'!$A:$H, 7, FALSE)</f>
        <v>29760.6</v>
      </c>
      <c r="M332" s="22" t="str">
        <f>VLOOKUP($A332, 'Hospitalisation Details'!$A:$L, 12, FALSE)</f>
        <v>tier - 1</v>
      </c>
      <c r="N332" s="22" t="str">
        <f>VLOOKUP($A332, 'Hospitalisation Details'!$A:$M, 13, FALSE)</f>
        <v>tier - 2</v>
      </c>
      <c r="O332" s="22" t="str">
        <f>VLOOKUP($A332, 'Hospitalisation Details'!$A:$N, 14, FALSE)</f>
        <v>R1011</v>
      </c>
      <c r="P332" s="36">
        <f>VLOOKUP($A332, 'Hospitalisation Details'!$A:$O, 15, FALSE)</f>
        <v>24</v>
      </c>
    </row>
    <row r="333" ht="15.75" customHeight="1">
      <c r="A333" s="33" t="s">
        <v>665</v>
      </c>
      <c r="B333" s="22" t="str">
        <f>VLOOKUP($A333,'Customer Names'!$A:$D,3, FALSE)</f>
        <v>Bruns</v>
      </c>
      <c r="C333" s="22">
        <f>VLOOKUP($A333,'Medical Examinations'!$A:$D, 2, FALSE)</f>
        <v>18.73</v>
      </c>
      <c r="D333" s="22">
        <f>VLOOKUP($A333, 'Medical Examinations'!$A:$D,3, FALSE)</f>
        <v>10.64</v>
      </c>
      <c r="E333" s="22" t="str">
        <f>VLOOKUP($A333, 'Medical Examinations'!$A:$D, 4, FALSE)</f>
        <v>No</v>
      </c>
      <c r="F333" s="22" t="str">
        <f>VLOOKUP($A333, 'Medical Examinations'!$A:$J, 5, FALSE)</f>
        <v>No</v>
      </c>
      <c r="G333" s="22" t="str">
        <f>VLOOKUP($A333, 'Medical Examinations'!$A:$I, 6, FALSE)</f>
        <v>No</v>
      </c>
      <c r="H333" s="22">
        <f>VLOOKUP($A333,'Medical Examinations'!$A:$L,10, FALSE)</f>
        <v>2</v>
      </c>
      <c r="I333" s="22" t="str">
        <f>VLOOKUP($A333, 'Medical Examinations'!$A:$J, 9, FALSE)</f>
        <v>Yes</v>
      </c>
      <c r="J333" s="22" t="str">
        <f>VLOOKUP($A333, 'Medical Examinations'!$A:$P, 11, FALSE)</f>
        <v>NORMAL WEIGHT</v>
      </c>
      <c r="K333" s="34">
        <v>29080.0</v>
      </c>
      <c r="L333" s="35">
        <f>VLOOKUP($A333, 'Hospitalisation Details'!$A:$H, 7, FALSE)</f>
        <v>29757.69</v>
      </c>
      <c r="M333" s="22" t="str">
        <f>VLOOKUP($A333, 'Hospitalisation Details'!$A:$L, 12, FALSE)</f>
        <v>tier - 1</v>
      </c>
      <c r="N333" s="22" t="str">
        <f>VLOOKUP($A333, 'Hospitalisation Details'!$A:$M, 13, FALSE)</f>
        <v>tier - 3</v>
      </c>
      <c r="O333" s="22" t="str">
        <f>VLOOKUP($A333, 'Hospitalisation Details'!$A:$N, 14, FALSE)</f>
        <v>R1011</v>
      </c>
      <c r="P333" s="36">
        <f>VLOOKUP($A333, 'Hospitalisation Details'!$A:$O, 15, FALSE)</f>
        <v>49</v>
      </c>
    </row>
    <row r="334" ht="15.75" customHeight="1">
      <c r="A334" s="33" t="s">
        <v>667</v>
      </c>
      <c r="B334" s="22" t="str">
        <f>VLOOKUP($A334,'Customer Names'!$A:$D,3, FALSE)</f>
        <v>Yochum</v>
      </c>
      <c r="C334" s="22">
        <f>VLOOKUP($A334,'Medical Examinations'!$A:$D, 2, FALSE)</f>
        <v>33.09</v>
      </c>
      <c r="D334" s="22">
        <f>VLOOKUP($A334, 'Medical Examinations'!$A:$D,3, FALSE)</f>
        <v>6.06</v>
      </c>
      <c r="E334" s="22" t="str">
        <f>VLOOKUP($A334, 'Medical Examinations'!$A:$D, 4, FALSE)</f>
        <v>No</v>
      </c>
      <c r="F334" s="22" t="str">
        <f>VLOOKUP($A334, 'Medical Examinations'!$A:$J, 5, FALSE)</f>
        <v>No</v>
      </c>
      <c r="G334" s="22" t="str">
        <f>VLOOKUP($A334, 'Medical Examinations'!$A:$I, 6, FALSE)</f>
        <v>Yes</v>
      </c>
      <c r="H334" s="22">
        <f>VLOOKUP($A334,'Medical Examinations'!$A:$L,10, FALSE)</f>
        <v>1</v>
      </c>
      <c r="I334" s="22" t="str">
        <f>VLOOKUP($A334, 'Medical Examinations'!$A:$J, 9, FALSE)</f>
        <v>Yes</v>
      </c>
      <c r="J334" s="22" t="str">
        <f>VLOOKUP($A334, 'Medical Examinations'!$A:$P, 11, FALSE)</f>
        <v>OBESITY</v>
      </c>
      <c r="K334" s="34">
        <v>28488.0</v>
      </c>
      <c r="L334" s="35">
        <f>VLOOKUP($A334, 'Hospitalisation Details'!$A:$H, 7, FALSE)</f>
        <v>29622.69</v>
      </c>
      <c r="M334" s="22" t="str">
        <f>VLOOKUP($A334, 'Hospitalisation Details'!$A:$L, 12, FALSE)</f>
        <v>tier - 1</v>
      </c>
      <c r="N334" s="22" t="str">
        <f>VLOOKUP($A334, 'Hospitalisation Details'!$A:$M, 13, FALSE)</f>
        <v>tier - 1</v>
      </c>
      <c r="O334" s="22" t="str">
        <f>VLOOKUP($A334, 'Hospitalisation Details'!$A:$N, 14, FALSE)</f>
        <v>R1011</v>
      </c>
      <c r="P334" s="36">
        <f>VLOOKUP($A334, 'Hospitalisation Details'!$A:$O, 15, FALSE)</f>
        <v>29</v>
      </c>
    </row>
    <row r="335" ht="15.75" customHeight="1">
      <c r="A335" s="33" t="s">
        <v>669</v>
      </c>
      <c r="B335" s="22" t="str">
        <f>VLOOKUP($A335,'Customer Names'!$A:$D,3, FALSE)</f>
        <v>Freeburn</v>
      </c>
      <c r="C335" s="22">
        <f>VLOOKUP($A335,'Medical Examinations'!$A:$D, 2, FALSE)</f>
        <v>18.33</v>
      </c>
      <c r="D335" s="22">
        <f>VLOOKUP($A335, 'Medical Examinations'!$A:$D,3, FALSE)</f>
        <v>7.46</v>
      </c>
      <c r="E335" s="22" t="str">
        <f>VLOOKUP($A335, 'Medical Examinations'!$A:$D, 4, FALSE)</f>
        <v>Yes</v>
      </c>
      <c r="F335" s="22" t="str">
        <f>VLOOKUP($A335, 'Medical Examinations'!$A:$J, 5, FALSE)</f>
        <v>No</v>
      </c>
      <c r="G335" s="22" t="str">
        <f>VLOOKUP($A335, 'Medical Examinations'!$A:$I, 6, FALSE)</f>
        <v>No</v>
      </c>
      <c r="H335" s="22">
        <f>VLOOKUP($A335,'Medical Examinations'!$A:$L,10, FALSE)</f>
        <v>1</v>
      </c>
      <c r="I335" s="22" t="str">
        <f>VLOOKUP($A335, 'Medical Examinations'!$A:$J, 9, FALSE)</f>
        <v>Yes</v>
      </c>
      <c r="J335" s="22" t="str">
        <f>VLOOKUP($A335, 'Medical Examinations'!$A:$P, 11, FALSE)</f>
        <v>UNDERWEIGHT</v>
      </c>
      <c r="K335" s="34">
        <v>28297.0</v>
      </c>
      <c r="L335" s="35">
        <f>VLOOKUP($A335, 'Hospitalisation Details'!$A:$H, 7, FALSE)</f>
        <v>29583.8</v>
      </c>
      <c r="M335" s="22" t="str">
        <f>VLOOKUP($A335, 'Hospitalisation Details'!$A:$L, 12, FALSE)</f>
        <v>tier - 1</v>
      </c>
      <c r="N335" s="22" t="str">
        <f>VLOOKUP($A335, 'Hospitalisation Details'!$A:$M, 13, FALSE)</f>
        <v>tier - 1</v>
      </c>
      <c r="O335" s="22" t="str">
        <f>VLOOKUP($A335, 'Hospitalisation Details'!$A:$N, 14, FALSE)</f>
        <v>R1011</v>
      </c>
      <c r="P335" s="36">
        <f>VLOOKUP($A335, 'Hospitalisation Details'!$A:$O, 15, FALSE)</f>
        <v>47</v>
      </c>
    </row>
    <row r="336" ht="15.75" customHeight="1">
      <c r="A336" s="33" t="s">
        <v>671</v>
      </c>
      <c r="B336" s="22" t="str">
        <f>VLOOKUP($A336,'Customer Names'!$A:$D,3, FALSE)</f>
        <v>Spencer</v>
      </c>
      <c r="C336" s="22">
        <f>VLOOKUP($A336,'Medical Examinations'!$A:$D, 2, FALSE)</f>
        <v>27.74</v>
      </c>
      <c r="D336" s="22">
        <f>VLOOKUP($A336, 'Medical Examinations'!$A:$D,3, FALSE)</f>
        <v>4.68</v>
      </c>
      <c r="E336" s="22" t="str">
        <f>VLOOKUP($A336, 'Medical Examinations'!$A:$D, 4, FALSE)</f>
        <v>Yes</v>
      </c>
      <c r="F336" s="22" t="str">
        <f>VLOOKUP($A336, 'Medical Examinations'!$A:$J, 5, FALSE)</f>
        <v>No</v>
      </c>
      <c r="G336" s="22" t="str">
        <f>VLOOKUP($A336, 'Medical Examinations'!$A:$I, 6, FALSE)</f>
        <v>No</v>
      </c>
      <c r="H336" s="22">
        <f>VLOOKUP($A336,'Medical Examinations'!$A:$L,10, FALSE)</f>
        <v>2</v>
      </c>
      <c r="I336" s="22" t="str">
        <f>VLOOKUP($A336, 'Medical Examinations'!$A:$J, 9, FALSE)</f>
        <v>Yes</v>
      </c>
      <c r="J336" s="22" t="str">
        <f>VLOOKUP($A336, 'Medical Examinations'!$A:$P, 11, FALSE)</f>
        <v>OVERWEIGHT</v>
      </c>
      <c r="K336" s="34">
        <v>28485.0</v>
      </c>
      <c r="L336" s="35">
        <f>VLOOKUP($A336, 'Hospitalisation Details'!$A:$H, 7, FALSE)</f>
        <v>29523.17</v>
      </c>
      <c r="M336" s="22" t="str">
        <f>VLOOKUP($A336, 'Hospitalisation Details'!$A:$L, 12, FALSE)</f>
        <v>tier - 1</v>
      </c>
      <c r="N336" s="22" t="str">
        <f>VLOOKUP($A336, 'Hospitalisation Details'!$A:$M, 13, FALSE)</f>
        <v>tier - 2</v>
      </c>
      <c r="O336" s="22" t="str">
        <f>VLOOKUP($A336, 'Hospitalisation Details'!$A:$N, 14, FALSE)</f>
        <v>R1024</v>
      </c>
      <c r="P336" s="36">
        <f>VLOOKUP($A336, 'Hospitalisation Details'!$A:$O, 15, FALSE)</f>
        <v>63</v>
      </c>
    </row>
    <row r="337" ht="15.75" customHeight="1">
      <c r="A337" s="33" t="s">
        <v>673</v>
      </c>
      <c r="B337" s="22" t="str">
        <f>VLOOKUP($A337,'Customer Names'!$A:$D,3, FALSE)</f>
        <v>Jarosik</v>
      </c>
      <c r="C337" s="22">
        <f>VLOOKUP($A337,'Medical Examinations'!$A:$D, 2, FALSE)</f>
        <v>24.2</v>
      </c>
      <c r="D337" s="22">
        <f>VLOOKUP($A337, 'Medical Examinations'!$A:$D,3, FALSE)</f>
        <v>6.15</v>
      </c>
      <c r="E337" s="22" t="str">
        <f>VLOOKUP($A337, 'Medical Examinations'!$A:$D, 4, FALSE)</f>
        <v>No</v>
      </c>
      <c r="F337" s="22" t="str">
        <f>VLOOKUP($A337, 'Medical Examinations'!$A:$J, 5, FALSE)</f>
        <v>No</v>
      </c>
      <c r="G337" s="22" t="str">
        <f>VLOOKUP($A337, 'Medical Examinations'!$A:$I, 6, FALSE)</f>
        <v>No</v>
      </c>
      <c r="H337" s="22">
        <f>VLOOKUP($A337,'Medical Examinations'!$A:$L,10, FALSE)</f>
        <v>1</v>
      </c>
      <c r="I337" s="22" t="str">
        <f>VLOOKUP($A337, 'Medical Examinations'!$A:$J, 9, FALSE)</f>
        <v>Yes</v>
      </c>
      <c r="J337" s="22" t="str">
        <f>VLOOKUP($A337, 'Medical Examinations'!$A:$P, 11, FALSE)</f>
        <v>NORMAL WEIGHT</v>
      </c>
      <c r="K337" s="34">
        <v>34283.0</v>
      </c>
      <c r="L337" s="35">
        <f>VLOOKUP($A337, 'Hospitalisation Details'!$A:$H, 7, FALSE)</f>
        <v>29443.59</v>
      </c>
      <c r="M337" s="22" t="str">
        <f>VLOOKUP($A337, 'Hospitalisation Details'!$A:$L, 12, FALSE)</f>
        <v>tier - 1</v>
      </c>
      <c r="N337" s="22" t="str">
        <f>VLOOKUP($A337, 'Hospitalisation Details'!$A:$M, 13, FALSE)</f>
        <v>tier - 1</v>
      </c>
      <c r="O337" s="22" t="str">
        <f>VLOOKUP($A337, 'Hospitalisation Details'!$A:$N, 14, FALSE)</f>
        <v>R1011</v>
      </c>
      <c r="P337" s="36">
        <f>VLOOKUP($A337, 'Hospitalisation Details'!$A:$O, 15, FALSE)</f>
        <v>35</v>
      </c>
    </row>
    <row r="338" ht="15.75" customHeight="1">
      <c r="A338" s="33" t="s">
        <v>675</v>
      </c>
      <c r="B338" s="22" t="str">
        <f>VLOOKUP($A338,'Customer Names'!$A:$D,3, FALSE)</f>
        <v>Heinzen</v>
      </c>
      <c r="C338" s="22">
        <f>VLOOKUP($A338,'Medical Examinations'!$A:$D, 2, FALSE)</f>
        <v>22.03</v>
      </c>
      <c r="D338" s="22">
        <f>VLOOKUP($A338, 'Medical Examinations'!$A:$D,3, FALSE)</f>
        <v>4.28</v>
      </c>
      <c r="E338" s="22" t="str">
        <f>VLOOKUP($A338, 'Medical Examinations'!$A:$D, 4, FALSE)</f>
        <v>Yes</v>
      </c>
      <c r="F338" s="22" t="str">
        <f>VLOOKUP($A338, 'Medical Examinations'!$A:$J, 5, FALSE)</f>
        <v>No</v>
      </c>
      <c r="G338" s="22" t="str">
        <f>VLOOKUP($A338, 'Medical Examinations'!$A:$I, 6, FALSE)</f>
        <v>No</v>
      </c>
      <c r="H338" s="22">
        <f>VLOOKUP($A338,'Medical Examinations'!$A:$L,10, FALSE)</f>
        <v>0</v>
      </c>
      <c r="I338" s="22" t="str">
        <f>VLOOKUP($A338, 'Medical Examinations'!$A:$J, 9, FALSE)</f>
        <v>Yes</v>
      </c>
      <c r="J338" s="22" t="str">
        <f>VLOOKUP($A338, 'Medical Examinations'!$A:$P, 11, FALSE)</f>
        <v>NORMAL WEIGHT</v>
      </c>
      <c r="K338" s="34">
        <v>33856.0</v>
      </c>
      <c r="L338" s="35">
        <f>VLOOKUP($A338, 'Hospitalisation Details'!$A:$H, 7, FALSE)</f>
        <v>29352.56</v>
      </c>
      <c r="M338" s="22" t="str">
        <f>VLOOKUP($A338, 'Hospitalisation Details'!$A:$L, 12, FALSE)</f>
        <v>tier - 1</v>
      </c>
      <c r="N338" s="22" t="str">
        <f>VLOOKUP($A338, 'Hospitalisation Details'!$A:$M, 13, FALSE)</f>
        <v>tier - 1</v>
      </c>
      <c r="O338" s="22" t="str">
        <f>VLOOKUP($A338, 'Hospitalisation Details'!$A:$N, 14, FALSE)</f>
        <v>R1011</v>
      </c>
      <c r="P338" s="36">
        <f>VLOOKUP($A338, 'Hospitalisation Details'!$A:$O, 15, FALSE)</f>
        <v>37</v>
      </c>
    </row>
    <row r="339" ht="15.75" customHeight="1">
      <c r="A339" s="33" t="s">
        <v>677</v>
      </c>
      <c r="B339" s="22" t="str">
        <f>VLOOKUP($A339,'Customer Names'!$A:$D,3, FALSE)</f>
        <v>Kelley</v>
      </c>
      <c r="C339" s="22">
        <f>VLOOKUP($A339,'Medical Examinations'!$A:$D, 2, FALSE)</f>
        <v>26.885</v>
      </c>
      <c r="D339" s="22">
        <f>VLOOKUP($A339, 'Medical Examinations'!$A:$D,3, FALSE)</f>
        <v>9.86</v>
      </c>
      <c r="E339" s="22" t="str">
        <f>VLOOKUP($A339, 'Medical Examinations'!$A:$D, 4, FALSE)</f>
        <v>No</v>
      </c>
      <c r="F339" s="22" t="str">
        <f>VLOOKUP($A339, 'Medical Examinations'!$A:$J, 5, FALSE)</f>
        <v>No</v>
      </c>
      <c r="G339" s="22" t="str">
        <f>VLOOKUP($A339, 'Medical Examinations'!$A:$I, 6, FALSE)</f>
        <v>No</v>
      </c>
      <c r="H339" s="22">
        <f>VLOOKUP($A339,'Medical Examinations'!$A:$L,10, FALSE)</f>
        <v>3</v>
      </c>
      <c r="I339" s="22" t="str">
        <f>VLOOKUP($A339, 'Medical Examinations'!$A:$J, 9, FALSE)</f>
        <v>Yes</v>
      </c>
      <c r="J339" s="22" t="str">
        <f>VLOOKUP($A339, 'Medical Examinations'!$A:$P, 11, FALSE)</f>
        <v>OVERWEIGHT</v>
      </c>
      <c r="K339" s="34">
        <v>26659.0</v>
      </c>
      <c r="L339" s="35">
        <f>VLOOKUP($A339, 'Hospitalisation Details'!$A:$H, 7, FALSE)</f>
        <v>29330.98</v>
      </c>
      <c r="M339" s="22" t="str">
        <f>VLOOKUP($A339, 'Hospitalisation Details'!$A:$L, 12, FALSE)</f>
        <v>tier - 1</v>
      </c>
      <c r="N339" s="22" t="str">
        <f>VLOOKUP($A339, 'Hospitalisation Details'!$A:$M, 13, FALSE)</f>
        <v>tier - 2</v>
      </c>
      <c r="O339" s="22" t="str">
        <f>VLOOKUP($A339, 'Hospitalisation Details'!$A:$N, 14, FALSE)</f>
        <v>R1012</v>
      </c>
      <c r="P339" s="36">
        <f>VLOOKUP($A339, 'Hospitalisation Details'!$A:$O, 15, FALSE)</f>
        <v>65</v>
      </c>
    </row>
    <row r="340" ht="15.75" customHeight="1">
      <c r="A340" s="33" t="s">
        <v>679</v>
      </c>
      <c r="B340" s="22" t="str">
        <f>VLOOKUP($A340,'Customer Names'!$A:$D,3, FALSE)</f>
        <v>Thacker</v>
      </c>
      <c r="C340" s="22">
        <f>VLOOKUP($A340,'Medical Examinations'!$A:$D, 2, FALSE)</f>
        <v>16.36</v>
      </c>
      <c r="D340" s="22">
        <f>VLOOKUP($A340, 'Medical Examinations'!$A:$D,3, FALSE)</f>
        <v>11.19</v>
      </c>
      <c r="E340" s="22" t="str">
        <f>VLOOKUP($A340, 'Medical Examinations'!$A:$D, 4, FALSE)</f>
        <v>No</v>
      </c>
      <c r="F340" s="22" t="str">
        <f>VLOOKUP($A340, 'Medical Examinations'!$A:$J, 5, FALSE)</f>
        <v>No</v>
      </c>
      <c r="G340" s="22" t="str">
        <f>VLOOKUP($A340, 'Medical Examinations'!$A:$I, 6, FALSE)</f>
        <v>No</v>
      </c>
      <c r="H340" s="22">
        <f>VLOOKUP($A340,'Medical Examinations'!$A:$L,10, FALSE)</f>
        <v>0</v>
      </c>
      <c r="I340" s="22" t="str">
        <f>VLOOKUP($A340, 'Medical Examinations'!$A:$J, 9, FALSE)</f>
        <v>Yes</v>
      </c>
      <c r="J340" s="22" t="str">
        <f>VLOOKUP($A340, 'Medical Examinations'!$A:$P, 11, FALSE)</f>
        <v>UNDERWEIGHT</v>
      </c>
      <c r="K340" s="34">
        <v>30852.0</v>
      </c>
      <c r="L340" s="35">
        <f>VLOOKUP($A340, 'Hospitalisation Details'!$A:$H, 7, FALSE)</f>
        <v>29227.6</v>
      </c>
      <c r="M340" s="22" t="str">
        <f>VLOOKUP($A340, 'Hospitalisation Details'!$A:$L, 12, FALSE)</f>
        <v>tier - 1</v>
      </c>
      <c r="N340" s="22" t="str">
        <f>VLOOKUP($A340, 'Hospitalisation Details'!$A:$M, 13, FALSE)</f>
        <v>tier - 3</v>
      </c>
      <c r="O340" s="22" t="str">
        <f>VLOOKUP($A340, 'Hospitalisation Details'!$A:$N, 14, FALSE)</f>
        <v>R1012</v>
      </c>
      <c r="P340" s="36">
        <f>VLOOKUP($A340, 'Hospitalisation Details'!$A:$O, 15, FALSE)</f>
        <v>44</v>
      </c>
    </row>
    <row r="341" ht="15.75" customHeight="1">
      <c r="A341" s="33" t="s">
        <v>681</v>
      </c>
      <c r="B341" s="22" t="str">
        <f>VLOOKUP($A341,'Customer Names'!$A:$D,3, FALSE)</f>
        <v>Jeseritz</v>
      </c>
      <c r="C341" s="22">
        <f>VLOOKUP($A341,'Medical Examinations'!$A:$D, 2, FALSE)</f>
        <v>32.3</v>
      </c>
      <c r="D341" s="22">
        <f>VLOOKUP($A341, 'Medical Examinations'!$A:$D,3, FALSE)</f>
        <v>4.89</v>
      </c>
      <c r="E341" s="22" t="str">
        <f>VLOOKUP($A341, 'Medical Examinations'!$A:$D, 4, FALSE)</f>
        <v>Yes</v>
      </c>
      <c r="F341" s="22" t="str">
        <f>VLOOKUP($A341, 'Medical Examinations'!$A:$J, 5, FALSE)</f>
        <v>No</v>
      </c>
      <c r="G341" s="22" t="str">
        <f>VLOOKUP($A341, 'Medical Examinations'!$A:$I, 6, FALSE)</f>
        <v>Yes</v>
      </c>
      <c r="H341" s="22">
        <f>VLOOKUP($A341,'Medical Examinations'!$A:$L,10, FALSE)</f>
        <v>1</v>
      </c>
      <c r="I341" s="22" t="str">
        <f>VLOOKUP($A341, 'Medical Examinations'!$A:$J, 9, FALSE)</f>
        <v>No</v>
      </c>
      <c r="J341" s="22" t="str">
        <f>VLOOKUP($A341, 'Medical Examinations'!$A:$P, 11, FALSE)</f>
        <v>OBESITY</v>
      </c>
      <c r="K341" s="34">
        <v>24270.0</v>
      </c>
      <c r="L341" s="35">
        <f>VLOOKUP($A341, 'Hospitalisation Details'!$A:$H, 7, FALSE)</f>
        <v>29186.48</v>
      </c>
      <c r="M341" s="22" t="str">
        <f>VLOOKUP($A341, 'Hospitalisation Details'!$A:$L, 12, FALSE)</f>
        <v>tier - 1</v>
      </c>
      <c r="N341" s="22" t="str">
        <f>VLOOKUP($A341, 'Hospitalisation Details'!$A:$M, 13, FALSE)</f>
        <v>tier - 3</v>
      </c>
      <c r="O341" s="22" t="str">
        <f>VLOOKUP($A341, 'Hospitalisation Details'!$A:$N, 14, FALSE)</f>
        <v>R1024</v>
      </c>
      <c r="P341" s="36">
        <f>VLOOKUP($A341, 'Hospitalisation Details'!$A:$O, 15, FALSE)</f>
        <v>53</v>
      </c>
    </row>
    <row r="342" ht="15.75" customHeight="1">
      <c r="A342" s="33" t="s">
        <v>683</v>
      </c>
      <c r="B342" s="22" t="str">
        <f>VLOOKUP($A342,'Customer Names'!$A:$D,3, FALSE)</f>
        <v>Hohman</v>
      </c>
      <c r="C342" s="22">
        <f>VLOOKUP($A342,'Medical Examinations'!$A:$D, 2, FALSE)</f>
        <v>16.05</v>
      </c>
      <c r="D342" s="22">
        <f>VLOOKUP($A342, 'Medical Examinations'!$A:$D,3, FALSE)</f>
        <v>4.35</v>
      </c>
      <c r="E342" s="22" t="str">
        <f>VLOOKUP($A342, 'Medical Examinations'!$A:$D, 4, FALSE)</f>
        <v>Yes</v>
      </c>
      <c r="F342" s="22" t="str">
        <f>VLOOKUP($A342, 'Medical Examinations'!$A:$J, 5, FALSE)</f>
        <v>No</v>
      </c>
      <c r="G342" s="22" t="str">
        <f>VLOOKUP($A342, 'Medical Examinations'!$A:$I, 6, FALSE)</f>
        <v>No</v>
      </c>
      <c r="H342" s="22">
        <f>VLOOKUP($A342,'Medical Examinations'!$A:$L,10, FALSE)</f>
        <v>0</v>
      </c>
      <c r="I342" s="22" t="str">
        <f>VLOOKUP($A342, 'Medical Examinations'!$A:$J, 9, FALSE)</f>
        <v>Yes</v>
      </c>
      <c r="J342" s="22" t="str">
        <f>VLOOKUP($A342, 'Medical Examinations'!$A:$P, 11, FALSE)</f>
        <v>UNDERWEIGHT</v>
      </c>
      <c r="K342" s="34">
        <v>22930.0</v>
      </c>
      <c r="L342" s="35">
        <f>VLOOKUP($A342, 'Hospitalisation Details'!$A:$H, 7, FALSE)</f>
        <v>29160.39</v>
      </c>
      <c r="M342" s="22" t="str">
        <f>VLOOKUP($A342, 'Hospitalisation Details'!$A:$L, 12, FALSE)</f>
        <v>tier - 1</v>
      </c>
      <c r="N342" s="22" t="str">
        <f>VLOOKUP($A342, 'Hospitalisation Details'!$A:$M, 13, FALSE)</f>
        <v>tier - 2</v>
      </c>
      <c r="O342" s="22" t="str">
        <f>VLOOKUP($A342, 'Hospitalisation Details'!$A:$N, 14, FALSE)</f>
        <v>R1011</v>
      </c>
      <c r="P342" s="36">
        <f>VLOOKUP($A342, 'Hospitalisation Details'!$A:$O, 15, FALSE)</f>
        <v>46</v>
      </c>
    </row>
    <row r="343" ht="15.75" customHeight="1">
      <c r="A343" s="33" t="s">
        <v>685</v>
      </c>
      <c r="B343" s="22" t="str">
        <f>VLOOKUP($A343,'Customer Names'!$A:$D,3, FALSE)</f>
        <v>Hill</v>
      </c>
      <c r="C343" s="22">
        <f>VLOOKUP($A343,'Medical Examinations'!$A:$D, 2, FALSE)</f>
        <v>29.07</v>
      </c>
      <c r="D343" s="22">
        <f>VLOOKUP($A343, 'Medical Examinations'!$A:$D,3, FALSE)</f>
        <v>8.66</v>
      </c>
      <c r="E343" s="22" t="str">
        <f>VLOOKUP($A343, 'Medical Examinations'!$A:$D, 4, FALSE)</f>
        <v>Yes</v>
      </c>
      <c r="F343" s="22" t="str">
        <f>VLOOKUP($A343, 'Medical Examinations'!$A:$J, 5, FALSE)</f>
        <v>No</v>
      </c>
      <c r="G343" s="22" t="str">
        <f>VLOOKUP($A343, 'Medical Examinations'!$A:$I, 6, FALSE)</f>
        <v>No</v>
      </c>
      <c r="H343" s="22">
        <f>VLOOKUP($A343,'Medical Examinations'!$A:$L,10, FALSE)</f>
        <v>2</v>
      </c>
      <c r="I343" s="22" t="str">
        <f>VLOOKUP($A343, 'Medical Examinations'!$A:$J, 9, FALSE)</f>
        <v>Yes</v>
      </c>
      <c r="J343" s="22" t="str">
        <f>VLOOKUP($A343, 'Medical Examinations'!$A:$P, 11, FALSE)</f>
        <v>OVERWEIGHT</v>
      </c>
      <c r="K343" s="34">
        <v>28775.0</v>
      </c>
      <c r="L343" s="35">
        <f>VLOOKUP($A343, 'Hospitalisation Details'!$A:$H, 7, FALSE)</f>
        <v>29141.36</v>
      </c>
      <c r="M343" s="22" t="str">
        <f>VLOOKUP($A343, 'Hospitalisation Details'!$A:$L, 12, FALSE)</f>
        <v>tier - 1</v>
      </c>
      <c r="N343" s="22" t="str">
        <f>VLOOKUP($A343, 'Hospitalisation Details'!$A:$M, 13, FALSE)</f>
        <v>tier - 3</v>
      </c>
      <c r="O343" s="22" t="str">
        <f>VLOOKUP($A343, 'Hospitalisation Details'!$A:$N, 14, FALSE)</f>
        <v>R1012</v>
      </c>
      <c r="P343" s="36">
        <f>VLOOKUP($A343, 'Hospitalisation Details'!$A:$O, 15, FALSE)</f>
        <v>61</v>
      </c>
    </row>
    <row r="344" ht="15.75" customHeight="1">
      <c r="A344" s="33" t="s">
        <v>687</v>
      </c>
      <c r="B344" s="22" t="str">
        <f>VLOOKUP($A344,'Customer Names'!$A:$D,3, FALSE)</f>
        <v>Kuepfer</v>
      </c>
      <c r="C344" s="22">
        <f>VLOOKUP($A344,'Medical Examinations'!$A:$D, 2, FALSE)</f>
        <v>17.43</v>
      </c>
      <c r="D344" s="22">
        <f>VLOOKUP($A344, 'Medical Examinations'!$A:$D,3, FALSE)</f>
        <v>8.64</v>
      </c>
      <c r="E344" s="22" t="str">
        <f>VLOOKUP($A344, 'Medical Examinations'!$A:$D, 4, FALSE)</f>
        <v>No</v>
      </c>
      <c r="F344" s="22" t="str">
        <f>VLOOKUP($A344, 'Medical Examinations'!$A:$J, 5, FALSE)</f>
        <v>No</v>
      </c>
      <c r="G344" s="22" t="str">
        <f>VLOOKUP($A344, 'Medical Examinations'!$A:$I, 6, FALSE)</f>
        <v>No</v>
      </c>
      <c r="H344" s="22">
        <f>VLOOKUP($A344,'Medical Examinations'!$A:$L,10, FALSE)</f>
        <v>0</v>
      </c>
      <c r="I344" s="22" t="str">
        <f>VLOOKUP($A344, 'Medical Examinations'!$A:$J, 9, FALSE)</f>
        <v>Yes</v>
      </c>
      <c r="J344" s="22" t="str">
        <f>VLOOKUP($A344, 'Medical Examinations'!$A:$P, 11, FALSE)</f>
        <v>UNDERWEIGHT</v>
      </c>
      <c r="K344" s="34">
        <v>26546.0</v>
      </c>
      <c r="L344" s="35">
        <f>VLOOKUP($A344, 'Hospitalisation Details'!$A:$H, 7, FALSE)</f>
        <v>29114.77</v>
      </c>
      <c r="M344" s="22" t="str">
        <f>VLOOKUP($A344, 'Hospitalisation Details'!$A:$L, 12, FALSE)</f>
        <v>tier - 1</v>
      </c>
      <c r="N344" s="22" t="str">
        <f>VLOOKUP($A344, 'Hospitalisation Details'!$A:$M, 13, FALSE)</f>
        <v>tier - 1</v>
      </c>
      <c r="O344" s="22" t="str">
        <f>VLOOKUP($A344, 'Hospitalisation Details'!$A:$N, 14, FALSE)</f>
        <v>R1011</v>
      </c>
      <c r="P344" s="36">
        <f>VLOOKUP($A344, 'Hospitalisation Details'!$A:$O, 15, FALSE)</f>
        <v>44</v>
      </c>
    </row>
    <row r="345" ht="15.75" customHeight="1">
      <c r="A345" s="33" t="s">
        <v>689</v>
      </c>
      <c r="B345" s="22" t="str">
        <f>VLOOKUP($A345,'Customer Names'!$A:$D,3, FALSE)</f>
        <v>Kaczmarek</v>
      </c>
      <c r="C345" s="22">
        <f>VLOOKUP($A345,'Medical Examinations'!$A:$D, 2, FALSE)</f>
        <v>19.33</v>
      </c>
      <c r="D345" s="22">
        <f>VLOOKUP($A345, 'Medical Examinations'!$A:$D,3, FALSE)</f>
        <v>4.27</v>
      </c>
      <c r="E345" s="22" t="str">
        <f>VLOOKUP($A345, 'Medical Examinations'!$A:$D, 4, FALSE)</f>
        <v>No</v>
      </c>
      <c r="F345" s="22" t="str">
        <f>VLOOKUP($A345, 'Medical Examinations'!$A:$J, 5, FALSE)</f>
        <v>No</v>
      </c>
      <c r="G345" s="22" t="str">
        <f>VLOOKUP($A345, 'Medical Examinations'!$A:$I, 6, FALSE)</f>
        <v>No</v>
      </c>
      <c r="H345" s="22">
        <f>VLOOKUP($A345,'Medical Examinations'!$A:$L,10, FALSE)</f>
        <v>0</v>
      </c>
      <c r="I345" s="22" t="str">
        <f>VLOOKUP($A345, 'Medical Examinations'!$A:$J, 9, FALSE)</f>
        <v>Yes</v>
      </c>
      <c r="J345" s="22" t="str">
        <f>VLOOKUP($A345, 'Medical Examinations'!$A:$P, 11, FALSE)</f>
        <v>NORMAL WEIGHT</v>
      </c>
      <c r="K345" s="34">
        <v>26551.0</v>
      </c>
      <c r="L345" s="35">
        <f>VLOOKUP($A345, 'Hospitalisation Details'!$A:$H, 7, FALSE)</f>
        <v>29114.21</v>
      </c>
      <c r="M345" s="22" t="str">
        <f>VLOOKUP($A345, 'Hospitalisation Details'!$A:$L, 12, FALSE)</f>
        <v>tier - 1</v>
      </c>
      <c r="N345" s="22" t="str">
        <f>VLOOKUP($A345, 'Hospitalisation Details'!$A:$M, 13, FALSE)</f>
        <v>tier - 3</v>
      </c>
      <c r="O345" s="22" t="str">
        <f>VLOOKUP($A345, 'Hospitalisation Details'!$A:$N, 14, FALSE)</f>
        <v>R1011</v>
      </c>
      <c r="P345" s="36">
        <f>VLOOKUP($A345, 'Hospitalisation Details'!$A:$O, 15, FALSE)</f>
        <v>42</v>
      </c>
    </row>
    <row r="346" ht="15.75" customHeight="1">
      <c r="A346" s="33" t="s">
        <v>691</v>
      </c>
      <c r="B346" s="22" t="str">
        <f>VLOOKUP($A346,'Customer Names'!$A:$D,3, FALSE)</f>
        <v>Pitt</v>
      </c>
      <c r="C346" s="22">
        <f>VLOOKUP($A346,'Medical Examinations'!$A:$D, 2, FALSE)</f>
        <v>30.52</v>
      </c>
      <c r="D346" s="22">
        <f>VLOOKUP($A346, 'Medical Examinations'!$A:$D,3, FALSE)</f>
        <v>4.21</v>
      </c>
      <c r="E346" s="22" t="str">
        <f>VLOOKUP($A346, 'Medical Examinations'!$A:$D, 4, FALSE)</f>
        <v>No</v>
      </c>
      <c r="F346" s="22" t="str">
        <f>VLOOKUP($A346, 'Medical Examinations'!$A:$J, 5, FALSE)</f>
        <v>No</v>
      </c>
      <c r="G346" s="22" t="str">
        <f>VLOOKUP($A346, 'Medical Examinations'!$A:$I, 6, FALSE)</f>
        <v>No</v>
      </c>
      <c r="H346" s="22">
        <f>VLOOKUP($A346,'Medical Examinations'!$A:$L,10, FALSE)</f>
        <v>1</v>
      </c>
      <c r="I346" s="22" t="str">
        <f>VLOOKUP($A346, 'Medical Examinations'!$A:$J, 9, FALSE)</f>
        <v>Yes</v>
      </c>
      <c r="J346" s="22" t="str">
        <f>VLOOKUP($A346, 'Medical Examinations'!$A:$P, 11, FALSE)</f>
        <v>OBESITY</v>
      </c>
      <c r="K346" s="34">
        <v>23278.0</v>
      </c>
      <c r="L346" s="35">
        <f>VLOOKUP($A346, 'Hospitalisation Details'!$A:$H, 7, FALSE)</f>
        <v>29007.82</v>
      </c>
      <c r="M346" s="22" t="str">
        <f>VLOOKUP($A346, 'Hospitalisation Details'!$A:$L, 12, FALSE)</f>
        <v>tier - 1</v>
      </c>
      <c r="N346" s="22" t="str">
        <f>VLOOKUP($A346, 'Hospitalisation Details'!$A:$M, 13, FALSE)</f>
        <v>tier - 3</v>
      </c>
      <c r="O346" s="22" t="str">
        <f>VLOOKUP($A346, 'Hospitalisation Details'!$A:$N, 14, FALSE)</f>
        <v>R1011</v>
      </c>
      <c r="P346" s="36">
        <f>VLOOKUP($A346, 'Hospitalisation Details'!$A:$O, 15, FALSE)</f>
        <v>30</v>
      </c>
    </row>
    <row r="347" ht="15.75" customHeight="1">
      <c r="A347" s="33" t="s">
        <v>693</v>
      </c>
      <c r="B347" s="22" t="str">
        <f>VLOOKUP($A347,'Customer Names'!$A:$D,3, FALSE)</f>
        <v>Lorton</v>
      </c>
      <c r="C347" s="22">
        <f>VLOOKUP($A347,'Medical Examinations'!$A:$D, 2, FALSE)</f>
        <v>39.21</v>
      </c>
      <c r="D347" s="22">
        <f>VLOOKUP($A347, 'Medical Examinations'!$A:$D,3, FALSE)</f>
        <v>5.04</v>
      </c>
      <c r="E347" s="22" t="str">
        <f>VLOOKUP($A347, 'Medical Examinations'!$A:$D, 4, FALSE)</f>
        <v>No</v>
      </c>
      <c r="F347" s="22" t="str">
        <f>VLOOKUP($A347, 'Medical Examinations'!$A:$J, 5, FALSE)</f>
        <v>No</v>
      </c>
      <c r="G347" s="22" t="str">
        <f>VLOOKUP($A347, 'Medical Examinations'!$A:$I, 6, FALSE)</f>
        <v>Yes</v>
      </c>
      <c r="H347" s="22">
        <f>VLOOKUP($A347,'Medical Examinations'!$A:$L,10, FALSE)</f>
        <v>1</v>
      </c>
      <c r="I347" s="22" t="str">
        <f>VLOOKUP($A347, 'Medical Examinations'!$A:$J, 9, FALSE)</f>
        <v>Yes</v>
      </c>
      <c r="J347" s="22" t="str">
        <f>VLOOKUP($A347, 'Medical Examinations'!$A:$P, 11, FALSE)</f>
        <v>OBESITY</v>
      </c>
      <c r="K347" s="34">
        <v>27665.0</v>
      </c>
      <c r="L347" s="35">
        <f>VLOOKUP($A347, 'Hospitalisation Details'!$A:$H, 7, FALSE)</f>
        <v>28998.68</v>
      </c>
      <c r="M347" s="22" t="str">
        <f>VLOOKUP($A347, 'Hospitalisation Details'!$A:$L, 12, FALSE)</f>
        <v>tier - 1</v>
      </c>
      <c r="N347" s="22" t="str">
        <f>VLOOKUP($A347, 'Hospitalisation Details'!$A:$M, 13, FALSE)</f>
        <v>tier - 3</v>
      </c>
      <c r="O347" s="22" t="str">
        <f>VLOOKUP($A347, 'Hospitalisation Details'!$A:$N, 14, FALSE)</f>
        <v>R1011</v>
      </c>
      <c r="P347" s="36">
        <f>VLOOKUP($A347, 'Hospitalisation Details'!$A:$O, 15, FALSE)</f>
        <v>19</v>
      </c>
    </row>
    <row r="348" ht="15.75" customHeight="1">
      <c r="A348" s="33" t="s">
        <v>695</v>
      </c>
      <c r="B348" s="22" t="str">
        <f>VLOOKUP($A348,'Customer Names'!$A:$D,3, FALSE)</f>
        <v>Castaneda</v>
      </c>
      <c r="C348" s="22">
        <f>VLOOKUP($A348,'Medical Examinations'!$A:$D, 2, FALSE)</f>
        <v>26.98</v>
      </c>
      <c r="D348" s="22">
        <f>VLOOKUP($A348, 'Medical Examinations'!$A:$D,3, FALSE)</f>
        <v>5.21</v>
      </c>
      <c r="E348" s="22" t="str">
        <f>VLOOKUP($A348, 'Medical Examinations'!$A:$D, 4, FALSE)</f>
        <v>Yes</v>
      </c>
      <c r="F348" s="22" t="str">
        <f>VLOOKUP($A348, 'Medical Examinations'!$A:$J, 5, FALSE)</f>
        <v>No</v>
      </c>
      <c r="G348" s="22" t="str">
        <f>VLOOKUP($A348, 'Medical Examinations'!$A:$I, 6, FALSE)</f>
        <v>No</v>
      </c>
      <c r="H348" s="22">
        <f>VLOOKUP($A348,'Medical Examinations'!$A:$L,10, FALSE)</f>
        <v>2</v>
      </c>
      <c r="I348" s="22" t="str">
        <f>VLOOKUP($A348, 'Medical Examinations'!$A:$J, 9, FALSE)</f>
        <v>Yes</v>
      </c>
      <c r="J348" s="22" t="str">
        <f>VLOOKUP($A348, 'Medical Examinations'!$A:$P, 11, FALSE)</f>
        <v>OVERWEIGHT</v>
      </c>
      <c r="K348" s="34">
        <v>28372.0</v>
      </c>
      <c r="L348" s="35">
        <f>VLOOKUP($A348, 'Hospitalisation Details'!$A:$H, 7, FALSE)</f>
        <v>28950.47</v>
      </c>
      <c r="M348" s="22" t="str">
        <f>VLOOKUP($A348, 'Hospitalisation Details'!$A:$L, 12, FALSE)</f>
        <v>tier - 1</v>
      </c>
      <c r="N348" s="22" t="str">
        <f>VLOOKUP($A348, 'Hospitalisation Details'!$A:$M, 13, FALSE)</f>
        <v>tier - 1</v>
      </c>
      <c r="O348" s="22" t="str">
        <f>VLOOKUP($A348, 'Hospitalisation Details'!$A:$N, 14, FALSE)</f>
        <v>R1012</v>
      </c>
      <c r="P348" s="36">
        <f>VLOOKUP($A348, 'Hospitalisation Details'!$A:$O, 15, FALSE)</f>
        <v>63</v>
      </c>
    </row>
    <row r="349" ht="15.75" customHeight="1">
      <c r="A349" s="33" t="s">
        <v>697</v>
      </c>
      <c r="B349" s="22" t="str">
        <f>VLOOKUP($A349,'Customer Names'!$A:$D,3, FALSE)</f>
        <v>Cherop</v>
      </c>
      <c r="C349" s="22">
        <f>VLOOKUP($A349,'Medical Examinations'!$A:$D, 2, FALSE)</f>
        <v>25.84</v>
      </c>
      <c r="D349" s="22">
        <f>VLOOKUP($A349, 'Medical Examinations'!$A:$D,3, FALSE)</f>
        <v>8.83</v>
      </c>
      <c r="E349" s="22" t="str">
        <f>VLOOKUP($A349, 'Medical Examinations'!$A:$D, 4, FALSE)</f>
        <v>No</v>
      </c>
      <c r="F349" s="22" t="str">
        <f>VLOOKUP($A349, 'Medical Examinations'!$A:$J, 5, FALSE)</f>
        <v>No</v>
      </c>
      <c r="G349" s="22" t="str">
        <f>VLOOKUP($A349, 'Medical Examinations'!$A:$I, 6, FALSE)</f>
        <v>No</v>
      </c>
      <c r="H349" s="22">
        <f>VLOOKUP($A349,'Medical Examinations'!$A:$L,10, FALSE)</f>
        <v>0</v>
      </c>
      <c r="I349" s="22" t="str">
        <f>VLOOKUP($A349, 'Medical Examinations'!$A:$J, 9, FALSE)</f>
        <v>No</v>
      </c>
      <c r="J349" s="22" t="str">
        <f>VLOOKUP($A349, 'Medical Examinations'!$A:$P, 11, FALSE)</f>
        <v>OVERWEIGHT</v>
      </c>
      <c r="K349" s="34">
        <v>29017.0</v>
      </c>
      <c r="L349" s="35">
        <f>VLOOKUP($A349, 'Hospitalisation Details'!$A:$H, 7, FALSE)</f>
        <v>28923.14</v>
      </c>
      <c r="M349" s="22" t="str">
        <f>VLOOKUP($A349, 'Hospitalisation Details'!$A:$L, 12, FALSE)</f>
        <v>tier - 1</v>
      </c>
      <c r="N349" s="22" t="str">
        <f>VLOOKUP($A349, 'Hospitalisation Details'!$A:$M, 13, FALSE)</f>
        <v>tier - 1</v>
      </c>
      <c r="O349" s="22" t="str">
        <f>VLOOKUP($A349, 'Hospitalisation Details'!$A:$N, 14, FALSE)</f>
        <v>R1012</v>
      </c>
      <c r="P349" s="36">
        <f>VLOOKUP($A349, 'Hospitalisation Details'!$A:$O, 15, FALSE)</f>
        <v>60</v>
      </c>
    </row>
    <row r="350" ht="15.75" customHeight="1">
      <c r="A350" s="33" t="s">
        <v>699</v>
      </c>
      <c r="B350" s="22" t="str">
        <f>VLOOKUP($A350,'Customer Names'!$A:$D,3, FALSE)</f>
        <v>Howell</v>
      </c>
      <c r="C350" s="22">
        <f>VLOOKUP($A350,'Medical Examinations'!$A:$D, 2, FALSE)</f>
        <v>28.31</v>
      </c>
      <c r="D350" s="22">
        <f>VLOOKUP($A350, 'Medical Examinations'!$A:$D,3, FALSE)</f>
        <v>8.47</v>
      </c>
      <c r="E350" s="22" t="str">
        <f>VLOOKUP($A350, 'Medical Examinations'!$A:$D, 4, FALSE)</f>
        <v>Yes</v>
      </c>
      <c r="F350" s="22" t="str">
        <f>VLOOKUP($A350, 'Medical Examinations'!$A:$J, 5, FALSE)</f>
        <v>No</v>
      </c>
      <c r="G350" s="22" t="str">
        <f>VLOOKUP($A350, 'Medical Examinations'!$A:$I, 6, FALSE)</f>
        <v>No</v>
      </c>
      <c r="H350" s="22">
        <f>VLOOKUP($A350,'Medical Examinations'!$A:$L,10, FALSE)</f>
        <v>2</v>
      </c>
      <c r="I350" s="22" t="str">
        <f>VLOOKUP($A350, 'Medical Examinations'!$A:$J, 9, FALSE)</f>
        <v>Yes</v>
      </c>
      <c r="J350" s="22" t="str">
        <f>VLOOKUP($A350, 'Medical Examinations'!$A:$P, 11, FALSE)</f>
        <v>OVERWEIGHT</v>
      </c>
      <c r="K350" s="34">
        <v>26194.0</v>
      </c>
      <c r="L350" s="35">
        <f>VLOOKUP($A350, 'Hospitalisation Details'!$A:$H, 7, FALSE)</f>
        <v>28868.66</v>
      </c>
      <c r="M350" s="22" t="str">
        <f>VLOOKUP($A350, 'Hospitalisation Details'!$A:$L, 12, FALSE)</f>
        <v>tier - 1</v>
      </c>
      <c r="N350" s="22" t="str">
        <f>VLOOKUP($A350, 'Hospitalisation Details'!$A:$M, 13, FALSE)</f>
        <v>tier - 2</v>
      </c>
      <c r="O350" s="22" t="str">
        <f>VLOOKUP($A350, 'Hospitalisation Details'!$A:$N, 14, FALSE)</f>
        <v>R1012</v>
      </c>
      <c r="P350" s="36">
        <f>VLOOKUP($A350, 'Hospitalisation Details'!$A:$O, 15, FALSE)</f>
        <v>61</v>
      </c>
    </row>
    <row r="351" ht="15.75" customHeight="1">
      <c r="A351" s="33" t="s">
        <v>701</v>
      </c>
      <c r="B351" s="22" t="str">
        <f>VLOOKUP($A351,'Customer Names'!$A:$D,3, FALSE)</f>
        <v>Palmer</v>
      </c>
      <c r="C351" s="22">
        <f>VLOOKUP($A351,'Medical Examinations'!$A:$D, 2, FALSE)</f>
        <v>23.94</v>
      </c>
      <c r="D351" s="22">
        <f>VLOOKUP($A351, 'Medical Examinations'!$A:$D,3, FALSE)</f>
        <v>4.2</v>
      </c>
      <c r="E351" s="22" t="str">
        <f>VLOOKUP($A351, 'Medical Examinations'!$A:$D, 4, FALSE)</f>
        <v>No</v>
      </c>
      <c r="F351" s="22" t="str">
        <f>VLOOKUP($A351, 'Medical Examinations'!$A:$J, 5, FALSE)</f>
        <v>No</v>
      </c>
      <c r="G351" s="22" t="str">
        <f>VLOOKUP($A351, 'Medical Examinations'!$A:$I, 6, FALSE)</f>
        <v>No</v>
      </c>
      <c r="H351" s="22">
        <f>VLOOKUP($A351,'Medical Examinations'!$A:$L,10, FALSE)</f>
        <v>0</v>
      </c>
      <c r="I351" s="22" t="str">
        <f>VLOOKUP($A351, 'Medical Examinations'!$A:$J, 9, FALSE)</f>
        <v>Yes</v>
      </c>
      <c r="J351" s="22" t="str">
        <f>VLOOKUP($A351, 'Medical Examinations'!$A:$P, 11, FALSE)</f>
        <v>NORMAL WEIGHT</v>
      </c>
      <c r="K351" s="34">
        <v>26180.0</v>
      </c>
      <c r="L351" s="35">
        <f>VLOOKUP($A351, 'Hospitalisation Details'!$A:$H, 7, FALSE)</f>
        <v>28716.14</v>
      </c>
      <c r="M351" s="22" t="str">
        <f>VLOOKUP($A351, 'Hospitalisation Details'!$A:$L, 12, FALSE)</f>
        <v>tier - 1</v>
      </c>
      <c r="N351" s="22" t="str">
        <f>VLOOKUP($A351, 'Hospitalisation Details'!$A:$M, 13, FALSE)</f>
        <v>tier - 3</v>
      </c>
      <c r="O351" s="22" t="str">
        <f>VLOOKUP($A351, 'Hospitalisation Details'!$A:$N, 14, FALSE)</f>
        <v>R1011</v>
      </c>
      <c r="P351" s="36">
        <f>VLOOKUP($A351, 'Hospitalisation Details'!$A:$O, 15, FALSE)</f>
        <v>32</v>
      </c>
    </row>
    <row r="352" ht="15.75" customHeight="1">
      <c r="A352" s="33" t="s">
        <v>703</v>
      </c>
      <c r="B352" s="22" t="str">
        <f>VLOOKUP($A352,'Customer Names'!$A:$D,3, FALSE)</f>
        <v>Olson</v>
      </c>
      <c r="C352" s="22">
        <f>VLOOKUP($A352,'Medical Examinations'!$A:$D, 2, FALSE)</f>
        <v>20.03</v>
      </c>
      <c r="D352" s="22">
        <f>VLOOKUP($A352, 'Medical Examinations'!$A:$D,3, FALSE)</f>
        <v>6.14</v>
      </c>
      <c r="E352" s="22" t="str">
        <f>VLOOKUP($A352, 'Medical Examinations'!$A:$D, 4, FALSE)</f>
        <v>Yes</v>
      </c>
      <c r="F352" s="22" t="str">
        <f>VLOOKUP($A352, 'Medical Examinations'!$A:$J, 5, FALSE)</f>
        <v>No</v>
      </c>
      <c r="G352" s="22" t="str">
        <f>VLOOKUP($A352, 'Medical Examinations'!$A:$I, 6, FALSE)</f>
        <v>No</v>
      </c>
      <c r="H352" s="22">
        <f>VLOOKUP($A352,'Medical Examinations'!$A:$L,10, FALSE)</f>
        <v>0</v>
      </c>
      <c r="I352" s="22" t="str">
        <f>VLOOKUP($A352, 'Medical Examinations'!$A:$J, 9, FALSE)</f>
        <v>Yes</v>
      </c>
      <c r="J352" s="22" t="str">
        <f>VLOOKUP($A352, 'Medical Examinations'!$A:$P, 11, FALSE)</f>
        <v>NORMAL WEIGHT</v>
      </c>
      <c r="K352" s="34">
        <v>23275.0</v>
      </c>
      <c r="L352" s="35">
        <f>VLOOKUP($A352, 'Hospitalisation Details'!$A:$H, 7, FALSE)</f>
        <v>28542.86</v>
      </c>
      <c r="M352" s="22" t="str">
        <f>VLOOKUP($A352, 'Hospitalisation Details'!$A:$L, 12, FALSE)</f>
        <v>tier - 1</v>
      </c>
      <c r="N352" s="22" t="str">
        <f>VLOOKUP($A352, 'Hospitalisation Details'!$A:$M, 13, FALSE)</f>
        <v>tier - 3</v>
      </c>
      <c r="O352" s="22" t="str">
        <f>VLOOKUP($A352, 'Hospitalisation Details'!$A:$N, 14, FALSE)</f>
        <v>R1011</v>
      </c>
      <c r="P352" s="36">
        <f>VLOOKUP($A352, 'Hospitalisation Details'!$A:$O, 15, FALSE)</f>
        <v>37</v>
      </c>
    </row>
    <row r="353" ht="15.75" customHeight="1">
      <c r="A353" s="33" t="s">
        <v>705</v>
      </c>
      <c r="B353" s="22" t="str">
        <f>VLOOKUP($A353,'Customer Names'!$A:$D,3, FALSE)</f>
        <v>Waldron</v>
      </c>
      <c r="C353" s="22">
        <f>VLOOKUP($A353,'Medical Examinations'!$A:$D, 2, FALSE)</f>
        <v>41.42</v>
      </c>
      <c r="D353" s="22">
        <f>VLOOKUP($A353, 'Medical Examinations'!$A:$D,3, FALSE)</f>
        <v>6.07</v>
      </c>
      <c r="E353" s="22" t="str">
        <f>VLOOKUP($A353, 'Medical Examinations'!$A:$D, 4, FALSE)</f>
        <v>No</v>
      </c>
      <c r="F353" s="22" t="str">
        <f>VLOOKUP($A353, 'Medical Examinations'!$A:$J, 5, FALSE)</f>
        <v>No</v>
      </c>
      <c r="G353" s="22" t="str">
        <f>VLOOKUP($A353, 'Medical Examinations'!$A:$I, 6, FALSE)</f>
        <v>No</v>
      </c>
      <c r="H353" s="22">
        <f>VLOOKUP($A353,'Medical Examinations'!$A:$L,10, FALSE)</f>
        <v>0</v>
      </c>
      <c r="I353" s="22" t="str">
        <f>VLOOKUP($A353, 'Medical Examinations'!$A:$J, 9, FALSE)</f>
        <v>No</v>
      </c>
      <c r="J353" s="22" t="str">
        <f>VLOOKUP($A353, 'Medical Examinations'!$A:$P, 11, FALSE)</f>
        <v>OBESITY</v>
      </c>
      <c r="K353" s="34">
        <v>27923.0</v>
      </c>
      <c r="L353" s="35">
        <f>VLOOKUP($A353, 'Hospitalisation Details'!$A:$H, 7, FALSE)</f>
        <v>28476.73</v>
      </c>
      <c r="M353" s="22" t="str">
        <f>VLOOKUP($A353, 'Hospitalisation Details'!$A:$L, 12, FALSE)</f>
        <v>tier - 1</v>
      </c>
      <c r="N353" s="22" t="str">
        <f>VLOOKUP($A353, 'Hospitalisation Details'!$A:$M, 13, FALSE)</f>
        <v>tier - 2</v>
      </c>
      <c r="O353" s="22" t="str">
        <f>VLOOKUP($A353, 'Hospitalisation Details'!$A:$N, 14, FALSE)</f>
        <v>R1012</v>
      </c>
      <c r="P353" s="36">
        <f>VLOOKUP($A353, 'Hospitalisation Details'!$A:$O, 15, FALSE)</f>
        <v>40</v>
      </c>
    </row>
    <row r="354" ht="15.75" customHeight="1">
      <c r="A354" s="33" t="s">
        <v>707</v>
      </c>
      <c r="B354" s="22" t="str">
        <f>VLOOKUP($A354,'Customer Names'!$A:$D,3, FALSE)</f>
        <v>Meyer</v>
      </c>
      <c r="C354" s="22">
        <f>VLOOKUP($A354,'Medical Examinations'!$A:$D, 2, FALSE)</f>
        <v>36.67</v>
      </c>
      <c r="D354" s="22">
        <f>VLOOKUP($A354, 'Medical Examinations'!$A:$D,3, FALSE)</f>
        <v>10.21</v>
      </c>
      <c r="E354" s="22" t="str">
        <f>VLOOKUP($A354, 'Medical Examinations'!$A:$D, 4, FALSE)</f>
        <v>No</v>
      </c>
      <c r="F354" s="22" t="str">
        <f>VLOOKUP($A354, 'Medical Examinations'!$A:$J, 5, FALSE)</f>
        <v>No</v>
      </c>
      <c r="G354" s="22" t="str">
        <f>VLOOKUP($A354, 'Medical Examinations'!$A:$I, 6, FALSE)</f>
        <v>No</v>
      </c>
      <c r="H354" s="22">
        <f>VLOOKUP($A354,'Medical Examinations'!$A:$L,10, FALSE)</f>
        <v>0</v>
      </c>
      <c r="I354" s="22" t="str">
        <f>VLOOKUP($A354, 'Medical Examinations'!$A:$J, 9, FALSE)</f>
        <v>No</v>
      </c>
      <c r="J354" s="22" t="str">
        <f>VLOOKUP($A354, 'Medical Examinations'!$A:$P, 11, FALSE)</f>
        <v>OBESITY</v>
      </c>
      <c r="K354" s="34">
        <v>29488.0</v>
      </c>
      <c r="L354" s="35">
        <f>VLOOKUP($A354, 'Hospitalisation Details'!$A:$H, 7, FALSE)</f>
        <v>28468.92</v>
      </c>
      <c r="M354" s="22" t="str">
        <f>VLOOKUP($A354, 'Hospitalisation Details'!$A:$L, 12, FALSE)</f>
        <v>tier - 1</v>
      </c>
      <c r="N354" s="22" t="str">
        <f>VLOOKUP($A354, 'Hospitalisation Details'!$A:$M, 13, FALSE)</f>
        <v>tier - 1</v>
      </c>
      <c r="O354" s="22" t="str">
        <f>VLOOKUP($A354, 'Hospitalisation Details'!$A:$N, 14, FALSE)</f>
        <v>R1012</v>
      </c>
      <c r="P354" s="36">
        <f>VLOOKUP($A354, 'Hospitalisation Details'!$A:$O, 15, FALSE)</f>
        <v>48</v>
      </c>
    </row>
    <row r="355" ht="15.75" customHeight="1">
      <c r="A355" s="33" t="s">
        <v>709</v>
      </c>
      <c r="B355" s="22" t="str">
        <f>VLOOKUP($A355,'Customer Names'!$A:$D,3, FALSE)</f>
        <v>Stack</v>
      </c>
      <c r="C355" s="22">
        <f>VLOOKUP($A355,'Medical Examinations'!$A:$D, 2, FALSE)</f>
        <v>27.645</v>
      </c>
      <c r="D355" s="22">
        <f>VLOOKUP($A355, 'Medical Examinations'!$A:$D,3, FALSE)</f>
        <v>4.69</v>
      </c>
      <c r="E355" s="22" t="str">
        <f>VLOOKUP($A355, 'Medical Examinations'!$A:$D, 4, FALSE)</f>
        <v>No</v>
      </c>
      <c r="F355" s="22" t="str">
        <f>VLOOKUP($A355, 'Medical Examinations'!$A:$J, 5, FALSE)</f>
        <v>No</v>
      </c>
      <c r="G355" s="22" t="str">
        <f>VLOOKUP($A355, 'Medical Examinations'!$A:$I, 6, FALSE)</f>
        <v>No</v>
      </c>
      <c r="H355" s="22">
        <f>VLOOKUP($A355,'Medical Examinations'!$A:$L,10, FALSE)</f>
        <v>0</v>
      </c>
      <c r="I355" s="22" t="str">
        <f>VLOOKUP($A355, 'Medical Examinations'!$A:$J, 9, FALSE)</f>
        <v>No</v>
      </c>
      <c r="J355" s="22" t="str">
        <f>VLOOKUP($A355, 'Medical Examinations'!$A:$P, 11, FALSE)</f>
        <v>OVERWEIGHT</v>
      </c>
      <c r="K355" s="34">
        <v>27948.0</v>
      </c>
      <c r="L355" s="35">
        <f>VLOOKUP($A355, 'Hospitalisation Details'!$A:$H, 7, FALSE)</f>
        <v>28340.19</v>
      </c>
      <c r="M355" s="22" t="str">
        <f>VLOOKUP($A355, 'Hospitalisation Details'!$A:$L, 12, FALSE)</f>
        <v>tier - 1</v>
      </c>
      <c r="N355" s="22" t="str">
        <f>VLOOKUP($A355, 'Hospitalisation Details'!$A:$M, 13, FALSE)</f>
        <v>tier - 2</v>
      </c>
      <c r="O355" s="22" t="str">
        <f>VLOOKUP($A355, 'Hospitalisation Details'!$A:$N, 14, FALSE)</f>
        <v>R1012</v>
      </c>
      <c r="P355" s="36">
        <f>VLOOKUP($A355, 'Hospitalisation Details'!$A:$O, 15, FALSE)</f>
        <v>45</v>
      </c>
    </row>
    <row r="356" ht="15.75" customHeight="1">
      <c r="A356" s="33" t="s">
        <v>711</v>
      </c>
      <c r="B356" s="22" t="str">
        <f>VLOOKUP($A356,'Customer Names'!$A:$D,3, FALSE)</f>
        <v>Sanche</v>
      </c>
      <c r="C356" s="22">
        <f>VLOOKUP($A356,'Medical Examinations'!$A:$D, 2, FALSE)</f>
        <v>22.72</v>
      </c>
      <c r="D356" s="22">
        <f>VLOOKUP($A356, 'Medical Examinations'!$A:$D,3, FALSE)</f>
        <v>5.71</v>
      </c>
      <c r="E356" s="22" t="str">
        <f>VLOOKUP($A356, 'Medical Examinations'!$A:$D, 4, FALSE)</f>
        <v>No</v>
      </c>
      <c r="F356" s="22" t="str">
        <f>VLOOKUP($A356, 'Medical Examinations'!$A:$J, 5, FALSE)</f>
        <v>No</v>
      </c>
      <c r="G356" s="22" t="str">
        <f>VLOOKUP($A356, 'Medical Examinations'!$A:$I, 6, FALSE)</f>
        <v>No</v>
      </c>
      <c r="H356" s="22">
        <f>VLOOKUP($A356,'Medical Examinations'!$A:$L,10, FALSE)</f>
        <v>0</v>
      </c>
      <c r="I356" s="22" t="str">
        <f>VLOOKUP($A356, 'Medical Examinations'!$A:$J, 9, FALSE)</f>
        <v>Yes</v>
      </c>
      <c r="J356" s="22" t="str">
        <f>VLOOKUP($A356, 'Medical Examinations'!$A:$P, 11, FALSE)</f>
        <v>NORMAL WEIGHT</v>
      </c>
      <c r="K356" s="34">
        <v>27961.0</v>
      </c>
      <c r="L356" s="35">
        <f>VLOOKUP($A356, 'Hospitalisation Details'!$A:$H, 7, FALSE)</f>
        <v>28302.33</v>
      </c>
      <c r="M356" s="22" t="str">
        <f>VLOOKUP($A356, 'Hospitalisation Details'!$A:$L, 12, FALSE)</f>
        <v>tier - 1</v>
      </c>
      <c r="N356" s="22" t="str">
        <f>VLOOKUP($A356, 'Hospitalisation Details'!$A:$M, 13, FALSE)</f>
        <v>tier - 2</v>
      </c>
      <c r="O356" s="22" t="str">
        <f>VLOOKUP($A356, 'Hospitalisation Details'!$A:$N, 14, FALSE)</f>
        <v>R1011</v>
      </c>
      <c r="P356" s="36">
        <f>VLOOKUP($A356, 'Hospitalisation Details'!$A:$O, 15, FALSE)</f>
        <v>32</v>
      </c>
    </row>
    <row r="357" ht="15.75" customHeight="1">
      <c r="A357" s="33" t="s">
        <v>713</v>
      </c>
      <c r="B357" s="22" t="str">
        <f>VLOOKUP($A357,'Customer Names'!$A:$D,3, FALSE)</f>
        <v>Daniels</v>
      </c>
      <c r="C357" s="22">
        <f>VLOOKUP($A357,'Medical Examinations'!$A:$D, 2, FALSE)</f>
        <v>36.52</v>
      </c>
      <c r="D357" s="22">
        <f>VLOOKUP($A357, 'Medical Examinations'!$A:$D,3, FALSE)</f>
        <v>9.07</v>
      </c>
      <c r="E357" s="22" t="str">
        <f>VLOOKUP($A357, 'Medical Examinations'!$A:$D, 4, FALSE)</f>
        <v>Yes</v>
      </c>
      <c r="F357" s="22" t="str">
        <f>VLOOKUP($A357, 'Medical Examinations'!$A:$J, 5, FALSE)</f>
        <v>No</v>
      </c>
      <c r="G357" s="22" t="str">
        <f>VLOOKUP($A357, 'Medical Examinations'!$A:$I, 6, FALSE)</f>
        <v>Yes</v>
      </c>
      <c r="H357" s="22">
        <f>VLOOKUP($A357,'Medical Examinations'!$A:$L,10, FALSE)</f>
        <v>1</v>
      </c>
      <c r="I357" s="22" t="str">
        <f>VLOOKUP($A357, 'Medical Examinations'!$A:$J, 9, FALSE)</f>
        <v>No</v>
      </c>
      <c r="J357" s="22" t="str">
        <f>VLOOKUP($A357, 'Medical Examinations'!$A:$P, 11, FALSE)</f>
        <v>OBESITY</v>
      </c>
      <c r="K357" s="34">
        <v>27953.0</v>
      </c>
      <c r="L357" s="35">
        <f>VLOOKUP($A357, 'Hospitalisation Details'!$A:$H, 7, FALSE)</f>
        <v>28287.9</v>
      </c>
      <c r="M357" s="22" t="str">
        <f>VLOOKUP($A357, 'Hospitalisation Details'!$A:$L, 12, FALSE)</f>
        <v>tier - 1</v>
      </c>
      <c r="N357" s="22" t="str">
        <f>VLOOKUP($A357, 'Hospitalisation Details'!$A:$M, 13, FALSE)</f>
        <v>tier - 1</v>
      </c>
      <c r="O357" s="22" t="str">
        <f>VLOOKUP($A357, 'Hospitalisation Details'!$A:$N, 14, FALSE)</f>
        <v>R1013</v>
      </c>
      <c r="P357" s="36">
        <f>VLOOKUP($A357, 'Hospitalisation Details'!$A:$O, 15, FALSE)</f>
        <v>59</v>
      </c>
    </row>
    <row r="358" ht="15.75" customHeight="1">
      <c r="A358" s="33" t="s">
        <v>715</v>
      </c>
      <c r="B358" s="22" t="str">
        <f>VLOOKUP($A358,'Customer Names'!$A:$D,3, FALSE)</f>
        <v>Pepp</v>
      </c>
      <c r="C358" s="22">
        <f>VLOOKUP($A358,'Medical Examinations'!$A:$D, 2, FALSE)</f>
        <v>33.96</v>
      </c>
      <c r="D358" s="22">
        <f>VLOOKUP($A358, 'Medical Examinations'!$A:$D,3, FALSE)</f>
        <v>4.99</v>
      </c>
      <c r="E358" s="22" t="str">
        <f>VLOOKUP($A358, 'Medical Examinations'!$A:$D, 4, FALSE)</f>
        <v>No</v>
      </c>
      <c r="F358" s="22" t="str">
        <f>VLOOKUP($A358, 'Medical Examinations'!$A:$J, 5, FALSE)</f>
        <v>No</v>
      </c>
      <c r="G358" s="22" t="str">
        <f>VLOOKUP($A358, 'Medical Examinations'!$A:$I, 6, FALSE)</f>
        <v>No</v>
      </c>
      <c r="H358" s="22">
        <f>VLOOKUP($A358,'Medical Examinations'!$A:$L,10, FALSE)</f>
        <v>0</v>
      </c>
      <c r="I358" s="22" t="str">
        <f>VLOOKUP($A358, 'Medical Examinations'!$A:$J, 9, FALSE)</f>
        <v>Yes</v>
      </c>
      <c r="J358" s="22" t="str">
        <f>VLOOKUP($A358, 'Medical Examinations'!$A:$P, 11, FALSE)</f>
        <v>OBESITY</v>
      </c>
      <c r="K358" s="34">
        <v>34142.0</v>
      </c>
      <c r="L358" s="35">
        <f>VLOOKUP($A358, 'Hospitalisation Details'!$A:$H, 7, FALSE)</f>
        <v>28245.34</v>
      </c>
      <c r="M358" s="22" t="str">
        <f>VLOOKUP($A358, 'Hospitalisation Details'!$A:$L, 12, FALSE)</f>
        <v>tier - 1</v>
      </c>
      <c r="N358" s="22" t="str">
        <f>VLOOKUP($A358, 'Hospitalisation Details'!$A:$M, 13, FALSE)</f>
        <v>tier - 3</v>
      </c>
      <c r="O358" s="22" t="str">
        <f>VLOOKUP($A358, 'Hospitalisation Details'!$A:$N, 14, FALSE)</f>
        <v>R1011</v>
      </c>
      <c r="P358" s="36">
        <f>VLOOKUP($A358, 'Hospitalisation Details'!$A:$O, 15, FALSE)</f>
        <v>23</v>
      </c>
    </row>
    <row r="359" ht="15.75" customHeight="1">
      <c r="A359" s="33" t="s">
        <v>717</v>
      </c>
      <c r="B359" s="22" t="str">
        <f>VLOOKUP($A359,'Customer Names'!$A:$D,3, FALSE)</f>
        <v>Buechler</v>
      </c>
      <c r="C359" s="22">
        <f>VLOOKUP($A359,'Medical Examinations'!$A:$D, 2, FALSE)</f>
        <v>26.695</v>
      </c>
      <c r="D359" s="22">
        <f>VLOOKUP($A359, 'Medical Examinations'!$A:$D,3, FALSE)</f>
        <v>8.31</v>
      </c>
      <c r="E359" s="22" t="str">
        <f>VLOOKUP($A359, 'Medical Examinations'!$A:$D, 4, FALSE)</f>
        <v>No</v>
      </c>
      <c r="F359" s="22" t="str">
        <f>VLOOKUP($A359, 'Medical Examinations'!$A:$J, 5, FALSE)</f>
        <v>No</v>
      </c>
      <c r="G359" s="22" t="str">
        <f>VLOOKUP($A359, 'Medical Examinations'!$A:$I, 6, FALSE)</f>
        <v>No</v>
      </c>
      <c r="H359" s="22">
        <f>VLOOKUP($A359,'Medical Examinations'!$A:$L,10, FALSE)</f>
        <v>0</v>
      </c>
      <c r="I359" s="22" t="str">
        <f>VLOOKUP($A359, 'Medical Examinations'!$A:$J, 9, FALSE)</f>
        <v>Yes</v>
      </c>
      <c r="J359" s="22" t="str">
        <f>VLOOKUP($A359, 'Medical Examinations'!$A:$P, 11, FALSE)</f>
        <v>OVERWEIGHT</v>
      </c>
      <c r="K359" s="34">
        <v>29074.0</v>
      </c>
      <c r="L359" s="35">
        <f>VLOOKUP($A359, 'Hospitalisation Details'!$A:$H, 7, FALSE)</f>
        <v>28101.33</v>
      </c>
      <c r="M359" s="22" t="str">
        <f>VLOOKUP($A359, 'Hospitalisation Details'!$A:$L, 12, FALSE)</f>
        <v>tier - 1</v>
      </c>
      <c r="N359" s="22" t="str">
        <f>VLOOKUP($A359, 'Hospitalisation Details'!$A:$M, 13, FALSE)</f>
        <v>tier - 2</v>
      </c>
      <c r="O359" s="22" t="str">
        <f>VLOOKUP($A359, 'Hospitalisation Details'!$A:$N, 14, FALSE)</f>
        <v>R1019</v>
      </c>
      <c r="P359" s="36">
        <f>VLOOKUP($A359, 'Hospitalisation Details'!$A:$O, 15, FALSE)</f>
        <v>62</v>
      </c>
    </row>
    <row r="360" ht="15.75" customHeight="1">
      <c r="A360" s="33" t="s">
        <v>719</v>
      </c>
      <c r="B360" s="22" t="str">
        <f>VLOOKUP($A360,'Customer Names'!$A:$D,3, FALSE)</f>
        <v>Buenting</v>
      </c>
      <c r="C360" s="22">
        <f>VLOOKUP($A360,'Medical Examinations'!$A:$D, 2, FALSE)</f>
        <v>18.45</v>
      </c>
      <c r="D360" s="22">
        <f>VLOOKUP($A360, 'Medical Examinations'!$A:$D,3, FALSE)</f>
        <v>5.07</v>
      </c>
      <c r="E360" s="22" t="str">
        <f>VLOOKUP($A360, 'Medical Examinations'!$A:$D, 4, FALSE)</f>
        <v>Yes</v>
      </c>
      <c r="F360" s="22" t="str">
        <f>VLOOKUP($A360, 'Medical Examinations'!$A:$J, 5, FALSE)</f>
        <v>No</v>
      </c>
      <c r="G360" s="22" t="str">
        <f>VLOOKUP($A360, 'Medical Examinations'!$A:$I, 6, FALSE)</f>
        <v>No</v>
      </c>
      <c r="H360" s="22">
        <f>VLOOKUP($A360,'Medical Examinations'!$A:$L,10, FALSE)</f>
        <v>0</v>
      </c>
      <c r="I360" s="22" t="str">
        <f>VLOOKUP($A360, 'Medical Examinations'!$A:$J, 9, FALSE)</f>
        <v>Yes</v>
      </c>
      <c r="J360" s="22" t="str">
        <f>VLOOKUP($A360, 'Medical Examinations'!$A:$P, 11, FALSE)</f>
        <v>UNDERWEIGHT</v>
      </c>
      <c r="K360" s="34">
        <v>28667.0</v>
      </c>
      <c r="L360" s="35">
        <f>VLOOKUP($A360, 'Hospitalisation Details'!$A:$H, 7, FALSE)</f>
        <v>28006.94</v>
      </c>
      <c r="M360" s="22" t="str">
        <f>VLOOKUP($A360, 'Hospitalisation Details'!$A:$L, 12, FALSE)</f>
        <v>tier - 1</v>
      </c>
      <c r="N360" s="22" t="str">
        <f>VLOOKUP($A360, 'Hospitalisation Details'!$A:$M, 13, FALSE)</f>
        <v>tier - 2</v>
      </c>
      <c r="O360" s="22" t="str">
        <f>VLOOKUP($A360, 'Hospitalisation Details'!$A:$N, 14, FALSE)</f>
        <v>R1011</v>
      </c>
      <c r="P360" s="36">
        <f>VLOOKUP($A360, 'Hospitalisation Details'!$A:$O, 15, FALSE)</f>
        <v>37</v>
      </c>
    </row>
    <row r="361" ht="15.75" customHeight="1">
      <c r="A361" s="33" t="s">
        <v>721</v>
      </c>
      <c r="B361" s="22" t="str">
        <f>VLOOKUP($A361,'Customer Names'!$A:$D,3, FALSE)</f>
        <v>Evans</v>
      </c>
      <c r="C361" s="22">
        <f>VLOOKUP($A361,'Medical Examinations'!$A:$D, 2, FALSE)</f>
        <v>33.18</v>
      </c>
      <c r="D361" s="22">
        <f>VLOOKUP($A361, 'Medical Examinations'!$A:$D,3, FALSE)</f>
        <v>4.79</v>
      </c>
      <c r="E361" s="22" t="str">
        <f>VLOOKUP($A361, 'Medical Examinations'!$A:$D, 4, FALSE)</f>
        <v>No</v>
      </c>
      <c r="F361" s="22" t="str">
        <f>VLOOKUP($A361, 'Medical Examinations'!$A:$J, 5, FALSE)</f>
        <v>No</v>
      </c>
      <c r="G361" s="22" t="str">
        <f>VLOOKUP($A361, 'Medical Examinations'!$A:$I, 6, FALSE)</f>
        <v>No</v>
      </c>
      <c r="H361" s="22">
        <f>VLOOKUP($A361,'Medical Examinations'!$A:$L,10, FALSE)</f>
        <v>0</v>
      </c>
      <c r="I361" s="22" t="str">
        <f>VLOOKUP($A361, 'Medical Examinations'!$A:$J, 9, FALSE)</f>
        <v>Yes</v>
      </c>
      <c r="J361" s="22" t="str">
        <f>VLOOKUP($A361, 'Medical Examinations'!$A:$P, 11, FALSE)</f>
        <v>OBESITY</v>
      </c>
      <c r="K361" s="34">
        <v>27186.0</v>
      </c>
      <c r="L361" s="35">
        <f>VLOOKUP($A361, 'Hospitalisation Details'!$A:$H, 7, FALSE)</f>
        <v>27980.77</v>
      </c>
      <c r="M361" s="22" t="str">
        <f>VLOOKUP($A361, 'Hospitalisation Details'!$A:$L, 12, FALSE)</f>
        <v>tier - 1</v>
      </c>
      <c r="N361" s="22" t="str">
        <f>VLOOKUP($A361, 'Hospitalisation Details'!$A:$M, 13, FALSE)</f>
        <v>tier - 1</v>
      </c>
      <c r="O361" s="22" t="str">
        <f>VLOOKUP($A361, 'Hospitalisation Details'!$A:$N, 14, FALSE)</f>
        <v>R1011</v>
      </c>
      <c r="P361" s="36">
        <f>VLOOKUP($A361, 'Hospitalisation Details'!$A:$O, 15, FALSE)</f>
        <v>23</v>
      </c>
    </row>
    <row r="362" ht="15.75" customHeight="1">
      <c r="A362" s="33" t="s">
        <v>723</v>
      </c>
      <c r="B362" s="22" t="str">
        <f>VLOOKUP($A362,'Customer Names'!$A:$D,3, FALSE)</f>
        <v>Arcand</v>
      </c>
      <c r="C362" s="22">
        <f>VLOOKUP($A362,'Medical Examinations'!$A:$D, 2, FALSE)</f>
        <v>36.1</v>
      </c>
      <c r="D362" s="22">
        <f>VLOOKUP($A362, 'Medical Examinations'!$A:$D,3, FALSE)</f>
        <v>11.39</v>
      </c>
      <c r="E362" s="22" t="str">
        <f>VLOOKUP($A362, 'Medical Examinations'!$A:$D, 4, FALSE)</f>
        <v>Yes</v>
      </c>
      <c r="F362" s="22" t="str">
        <f>VLOOKUP($A362, 'Medical Examinations'!$A:$J, 5, FALSE)</f>
        <v>No</v>
      </c>
      <c r="G362" s="22" t="str">
        <f>VLOOKUP($A362, 'Medical Examinations'!$A:$I, 6, FALSE)</f>
        <v>No</v>
      </c>
      <c r="H362" s="22">
        <f>VLOOKUP($A362,'Medical Examinations'!$A:$L,10, FALSE)</f>
        <v>2</v>
      </c>
      <c r="I362" s="22" t="str">
        <f>VLOOKUP($A362, 'Medical Examinations'!$A:$J, 9, FALSE)</f>
        <v>No</v>
      </c>
      <c r="J362" s="22" t="str">
        <f>VLOOKUP($A362, 'Medical Examinations'!$A:$P, 11, FALSE)</f>
        <v>OBESITY</v>
      </c>
      <c r="K362" s="34">
        <v>27385.0</v>
      </c>
      <c r="L362" s="35">
        <f>VLOOKUP($A362, 'Hospitalisation Details'!$A:$H, 7, FALSE)</f>
        <v>27941.29</v>
      </c>
      <c r="M362" s="22" t="str">
        <f>VLOOKUP($A362, 'Hospitalisation Details'!$A:$L, 12, FALSE)</f>
        <v>tier - 1</v>
      </c>
      <c r="N362" s="22" t="str">
        <f>VLOOKUP($A362, 'Hospitalisation Details'!$A:$M, 13, FALSE)</f>
        <v>tier - 3</v>
      </c>
      <c r="O362" s="22" t="str">
        <f>VLOOKUP($A362, 'Hospitalisation Details'!$A:$N, 14, FALSE)</f>
        <v>R1011</v>
      </c>
      <c r="P362" s="36">
        <f>VLOOKUP($A362, 'Hospitalisation Details'!$A:$O, 15, FALSE)</f>
        <v>61</v>
      </c>
    </row>
    <row r="363" ht="15.75" customHeight="1">
      <c r="A363" s="33" t="s">
        <v>725</v>
      </c>
      <c r="B363" s="22" t="str">
        <f>VLOOKUP($A363,'Customer Names'!$A:$D,3, FALSE)</f>
        <v>Kesack</v>
      </c>
      <c r="C363" s="22">
        <f>VLOOKUP($A363,'Medical Examinations'!$A:$D, 2, FALSE)</f>
        <v>22.77</v>
      </c>
      <c r="D363" s="22">
        <f>VLOOKUP($A363, 'Medical Examinations'!$A:$D,3, FALSE)</f>
        <v>6</v>
      </c>
      <c r="E363" s="22" t="str">
        <f>VLOOKUP($A363, 'Medical Examinations'!$A:$D, 4, FALSE)</f>
        <v>No</v>
      </c>
      <c r="F363" s="22" t="str">
        <f>VLOOKUP($A363, 'Medical Examinations'!$A:$J, 5, FALSE)</f>
        <v>No</v>
      </c>
      <c r="G363" s="22" t="str">
        <f>VLOOKUP($A363, 'Medical Examinations'!$A:$I, 6, FALSE)</f>
        <v>No</v>
      </c>
      <c r="H363" s="22">
        <f>VLOOKUP($A363,'Medical Examinations'!$A:$L,10, FALSE)</f>
        <v>0</v>
      </c>
      <c r="I363" s="22" t="str">
        <f>VLOOKUP($A363, 'Medical Examinations'!$A:$J, 9, FALSE)</f>
        <v>Yes</v>
      </c>
      <c r="J363" s="22" t="str">
        <f>VLOOKUP($A363, 'Medical Examinations'!$A:$P, 11, FALSE)</f>
        <v>NORMAL WEIGHT</v>
      </c>
      <c r="K363" s="34">
        <v>27298.0</v>
      </c>
      <c r="L363" s="35">
        <f>VLOOKUP($A363, 'Hospitalisation Details'!$A:$H, 7, FALSE)</f>
        <v>27931.11</v>
      </c>
      <c r="M363" s="22" t="str">
        <f>VLOOKUP($A363, 'Hospitalisation Details'!$A:$L, 12, FALSE)</f>
        <v>tier - 1</v>
      </c>
      <c r="N363" s="22" t="str">
        <f>VLOOKUP($A363, 'Hospitalisation Details'!$A:$M, 13, FALSE)</f>
        <v>tier - 3</v>
      </c>
      <c r="O363" s="22" t="str">
        <f>VLOOKUP($A363, 'Hospitalisation Details'!$A:$N, 14, FALSE)</f>
        <v>R1011</v>
      </c>
      <c r="P363" s="36">
        <f>VLOOKUP($A363, 'Hospitalisation Details'!$A:$O, 15, FALSE)</f>
        <v>32</v>
      </c>
    </row>
    <row r="364" ht="15.75" customHeight="1">
      <c r="A364" s="33" t="s">
        <v>727</v>
      </c>
      <c r="B364" s="22" t="str">
        <f>VLOOKUP($A364,'Customer Names'!$A:$D,3, FALSE)</f>
        <v>Post</v>
      </c>
      <c r="C364" s="22">
        <f>VLOOKUP($A364,'Medical Examinations'!$A:$D, 2, FALSE)</f>
        <v>21.24</v>
      </c>
      <c r="D364" s="22">
        <f>VLOOKUP($A364, 'Medical Examinations'!$A:$D,3, FALSE)</f>
        <v>5.13</v>
      </c>
      <c r="E364" s="22" t="str">
        <f>VLOOKUP($A364, 'Medical Examinations'!$A:$D, 4, FALSE)</f>
        <v>No</v>
      </c>
      <c r="F364" s="22" t="str">
        <f>VLOOKUP($A364, 'Medical Examinations'!$A:$J, 5, FALSE)</f>
        <v>No</v>
      </c>
      <c r="G364" s="22" t="str">
        <f>VLOOKUP($A364, 'Medical Examinations'!$A:$I, 6, FALSE)</f>
        <v>No</v>
      </c>
      <c r="H364" s="22">
        <f>VLOOKUP($A364,'Medical Examinations'!$A:$L,10, FALSE)</f>
        <v>0</v>
      </c>
      <c r="I364" s="22" t="str">
        <f>VLOOKUP($A364, 'Medical Examinations'!$A:$J, 9, FALSE)</f>
        <v>Yes</v>
      </c>
      <c r="J364" s="22" t="str">
        <f>VLOOKUP($A364, 'Medical Examinations'!$A:$P, 11, FALSE)</f>
        <v>NORMAL WEIGHT</v>
      </c>
      <c r="K364" s="34">
        <v>36858.0</v>
      </c>
      <c r="L364" s="35">
        <f>VLOOKUP($A364, 'Hospitalisation Details'!$A:$H, 7, FALSE)</f>
        <v>27925.86</v>
      </c>
      <c r="M364" s="22" t="str">
        <f>VLOOKUP($A364, 'Hospitalisation Details'!$A:$L, 12, FALSE)</f>
        <v>tier - 1</v>
      </c>
      <c r="N364" s="22" t="str">
        <f>VLOOKUP($A364, 'Hospitalisation Details'!$A:$M, 13, FALSE)</f>
        <v>tier - 2</v>
      </c>
      <c r="O364" s="22" t="str">
        <f>VLOOKUP($A364, 'Hospitalisation Details'!$A:$N, 14, FALSE)</f>
        <v>R1011</v>
      </c>
      <c r="P364" s="36">
        <f>VLOOKUP($A364, 'Hospitalisation Details'!$A:$O, 15, FALSE)</f>
        <v>33</v>
      </c>
    </row>
    <row r="365" ht="15.75" customHeight="1">
      <c r="A365" s="33" t="s">
        <v>729</v>
      </c>
      <c r="B365" s="22" t="str">
        <f>VLOOKUP($A365,'Customer Names'!$A:$D,3, FALSE)</f>
        <v>Dunne</v>
      </c>
      <c r="C365" s="22">
        <f>VLOOKUP($A365,'Medical Examinations'!$A:$D, 2, FALSE)</f>
        <v>17.6</v>
      </c>
      <c r="D365" s="22">
        <f>VLOOKUP($A365, 'Medical Examinations'!$A:$D,3, FALSE)</f>
        <v>5.26</v>
      </c>
      <c r="E365" s="22" t="str">
        <f>VLOOKUP($A365, 'Medical Examinations'!$A:$D, 4, FALSE)</f>
        <v>Yes</v>
      </c>
      <c r="F365" s="22" t="str">
        <f>VLOOKUP($A365, 'Medical Examinations'!$A:$J, 5, FALSE)</f>
        <v>No</v>
      </c>
      <c r="G365" s="22" t="str">
        <f>VLOOKUP($A365, 'Medical Examinations'!$A:$I, 6, FALSE)</f>
        <v>No</v>
      </c>
      <c r="H365" s="22">
        <f>VLOOKUP($A365,'Medical Examinations'!$A:$L,10, FALSE)</f>
        <v>0</v>
      </c>
      <c r="I365" s="22" t="str">
        <f>VLOOKUP($A365, 'Medical Examinations'!$A:$J, 9, FALSE)</f>
        <v>Yes</v>
      </c>
      <c r="J365" s="22" t="str">
        <f>VLOOKUP($A365, 'Medical Examinations'!$A:$P, 11, FALSE)</f>
        <v>UNDERWEIGHT</v>
      </c>
      <c r="K365" s="34">
        <v>28109.0</v>
      </c>
      <c r="L365" s="35">
        <f>VLOOKUP($A365, 'Hospitalisation Details'!$A:$H, 7, FALSE)</f>
        <v>27849.94</v>
      </c>
      <c r="M365" s="22" t="str">
        <f>VLOOKUP($A365, 'Hospitalisation Details'!$A:$L, 12, FALSE)</f>
        <v>tier - 1</v>
      </c>
      <c r="N365" s="22" t="str">
        <f>VLOOKUP($A365, 'Hospitalisation Details'!$A:$M, 13, FALSE)</f>
        <v>tier - 1</v>
      </c>
      <c r="O365" s="22" t="str">
        <f>VLOOKUP($A365, 'Hospitalisation Details'!$A:$N, 14, FALSE)</f>
        <v>R1011</v>
      </c>
      <c r="P365" s="36">
        <f>VLOOKUP($A365, 'Hospitalisation Details'!$A:$O, 15, FALSE)</f>
        <v>37</v>
      </c>
    </row>
    <row r="366" ht="15.75" customHeight="1">
      <c r="A366" s="33" t="s">
        <v>731</v>
      </c>
      <c r="B366" s="22" t="str">
        <f>VLOOKUP($A366,'Customer Names'!$A:$D,3, FALSE)</f>
        <v>Kilel</v>
      </c>
      <c r="C366" s="22">
        <f>VLOOKUP($A366,'Medical Examinations'!$A:$D, 2, FALSE)</f>
        <v>26.29</v>
      </c>
      <c r="D366" s="22">
        <f>VLOOKUP($A366, 'Medical Examinations'!$A:$D,3, FALSE)</f>
        <v>6.84</v>
      </c>
      <c r="E366" s="22" t="str">
        <f>VLOOKUP($A366, 'Medical Examinations'!$A:$D, 4, FALSE)</f>
        <v>No</v>
      </c>
      <c r="F366" s="22" t="str">
        <f>VLOOKUP($A366, 'Medical Examinations'!$A:$J, 5, FALSE)</f>
        <v>No</v>
      </c>
      <c r="G366" s="22" t="str">
        <f>VLOOKUP($A366, 'Medical Examinations'!$A:$I, 6, FALSE)</f>
        <v>No</v>
      </c>
      <c r="H366" s="22">
        <f>VLOOKUP($A366,'Medical Examinations'!$A:$L,10, FALSE)</f>
        <v>0</v>
      </c>
      <c r="I366" s="22" t="str">
        <f>VLOOKUP($A366, 'Medical Examinations'!$A:$J, 9, FALSE)</f>
        <v>Yes</v>
      </c>
      <c r="J366" s="22" t="str">
        <f>VLOOKUP($A366, 'Medical Examinations'!$A:$P, 11, FALSE)</f>
        <v>OVERWEIGHT</v>
      </c>
      <c r="K366" s="34">
        <v>27246.0</v>
      </c>
      <c r="L366" s="35">
        <f>VLOOKUP($A366, 'Hospitalisation Details'!$A:$H, 7, FALSE)</f>
        <v>27808.73</v>
      </c>
      <c r="M366" s="22" t="str">
        <f>VLOOKUP($A366, 'Hospitalisation Details'!$A:$L, 12, FALSE)</f>
        <v>tier - 1</v>
      </c>
      <c r="N366" s="22" t="str">
        <f>VLOOKUP($A366, 'Hospitalisation Details'!$A:$M, 13, FALSE)</f>
        <v>tier - 1</v>
      </c>
      <c r="O366" s="22" t="str">
        <f>VLOOKUP($A366, 'Hospitalisation Details'!$A:$N, 14, FALSE)</f>
        <v>R1013</v>
      </c>
      <c r="P366" s="36">
        <f>VLOOKUP($A366, 'Hospitalisation Details'!$A:$O, 15, FALSE)</f>
        <v>62</v>
      </c>
    </row>
    <row r="367" ht="15.75" customHeight="1">
      <c r="A367" s="33" t="s">
        <v>733</v>
      </c>
      <c r="B367" s="22" t="str">
        <f>VLOOKUP($A367,'Customer Names'!$A:$D,3, FALSE)</f>
        <v>Nicholson</v>
      </c>
      <c r="C367" s="22">
        <f>VLOOKUP($A367,'Medical Examinations'!$A:$D, 2, FALSE)</f>
        <v>35.31</v>
      </c>
      <c r="D367" s="22">
        <f>VLOOKUP($A367, 'Medical Examinations'!$A:$D,3, FALSE)</f>
        <v>9.04</v>
      </c>
      <c r="E367" s="22" t="str">
        <f>VLOOKUP($A367, 'Medical Examinations'!$A:$D, 4, FALSE)</f>
        <v>No</v>
      </c>
      <c r="F367" s="22" t="str">
        <f>VLOOKUP($A367, 'Medical Examinations'!$A:$J, 5, FALSE)</f>
        <v>No</v>
      </c>
      <c r="G367" s="22" t="str">
        <f>VLOOKUP($A367, 'Medical Examinations'!$A:$I, 6, FALSE)</f>
        <v>No</v>
      </c>
      <c r="H367" s="22">
        <f>VLOOKUP($A367,'Medical Examinations'!$A:$L,10, FALSE)</f>
        <v>0</v>
      </c>
      <c r="I367" s="22" t="str">
        <f>VLOOKUP($A367, 'Medical Examinations'!$A:$J, 9, FALSE)</f>
        <v>No</v>
      </c>
      <c r="J367" s="22" t="str">
        <f>VLOOKUP($A367, 'Medical Examinations'!$A:$P, 11, FALSE)</f>
        <v>OBESITY</v>
      </c>
      <c r="K367" s="34">
        <v>23625.0</v>
      </c>
      <c r="L367" s="35">
        <f>VLOOKUP($A367, 'Hospitalisation Details'!$A:$H, 7, FALSE)</f>
        <v>27724.29</v>
      </c>
      <c r="M367" s="22" t="str">
        <f>VLOOKUP($A367, 'Hospitalisation Details'!$A:$L, 12, FALSE)</f>
        <v>tier - 1</v>
      </c>
      <c r="N367" s="22" t="str">
        <f>VLOOKUP($A367, 'Hospitalisation Details'!$A:$M, 13, FALSE)</f>
        <v>tier - 3</v>
      </c>
      <c r="O367" s="22" t="str">
        <f>VLOOKUP($A367, 'Hospitalisation Details'!$A:$N, 14, FALSE)</f>
        <v>R1013</v>
      </c>
      <c r="P367" s="36">
        <f>VLOOKUP($A367, 'Hospitalisation Details'!$A:$O, 15, FALSE)</f>
        <v>20</v>
      </c>
    </row>
    <row r="368" ht="15.75" customHeight="1">
      <c r="A368" s="33" t="s">
        <v>735</v>
      </c>
      <c r="B368" s="22" t="str">
        <f>VLOOKUP($A368,'Customer Names'!$A:$D,3, FALSE)</f>
        <v>Susmann</v>
      </c>
      <c r="C368" s="22">
        <f>VLOOKUP($A368,'Medical Examinations'!$A:$D, 2, FALSE)</f>
        <v>27.04</v>
      </c>
      <c r="D368" s="22">
        <f>VLOOKUP($A368, 'Medical Examinations'!$A:$D,3, FALSE)</f>
        <v>4.1</v>
      </c>
      <c r="E368" s="22" t="str">
        <f>VLOOKUP($A368, 'Medical Examinations'!$A:$D, 4, FALSE)</f>
        <v>No</v>
      </c>
      <c r="F368" s="22" t="str">
        <f>VLOOKUP($A368, 'Medical Examinations'!$A:$J, 5, FALSE)</f>
        <v>No</v>
      </c>
      <c r="G368" s="22" t="str">
        <f>VLOOKUP($A368, 'Medical Examinations'!$A:$I, 6, FALSE)</f>
        <v>No</v>
      </c>
      <c r="H368" s="22">
        <f>VLOOKUP($A368,'Medical Examinations'!$A:$L,10, FALSE)</f>
        <v>1</v>
      </c>
      <c r="I368" s="22" t="str">
        <f>VLOOKUP($A368, 'Medical Examinations'!$A:$J, 9, FALSE)</f>
        <v>Yes</v>
      </c>
      <c r="J368" s="22" t="str">
        <f>VLOOKUP($A368, 'Medical Examinations'!$A:$P, 11, FALSE)</f>
        <v>OVERWEIGHT</v>
      </c>
      <c r="K368" s="34">
        <v>30221.0</v>
      </c>
      <c r="L368" s="35">
        <f>VLOOKUP($A368, 'Hospitalisation Details'!$A:$H, 7, FALSE)</f>
        <v>27696.11</v>
      </c>
      <c r="M368" s="22" t="str">
        <f>VLOOKUP($A368, 'Hospitalisation Details'!$A:$L, 12, FALSE)</f>
        <v>tier - 1</v>
      </c>
      <c r="N368" s="22" t="str">
        <f>VLOOKUP($A368, 'Hospitalisation Details'!$A:$M, 13, FALSE)</f>
        <v>tier - 2</v>
      </c>
      <c r="O368" s="22" t="str">
        <f>VLOOKUP($A368, 'Hospitalisation Details'!$A:$N, 14, FALSE)</f>
        <v>R1011</v>
      </c>
      <c r="P368" s="36">
        <f>VLOOKUP($A368, 'Hospitalisation Details'!$A:$O, 15, FALSE)</f>
        <v>30</v>
      </c>
    </row>
    <row r="369" ht="15.75" customHeight="1">
      <c r="A369" s="33" t="s">
        <v>737</v>
      </c>
      <c r="B369" s="22" t="str">
        <f>VLOOKUP($A369,'Customer Names'!$A:$D,3, FALSE)</f>
        <v>Harsh</v>
      </c>
      <c r="C369" s="22">
        <f>VLOOKUP($A369,'Medical Examinations'!$A:$D, 2, FALSE)</f>
        <v>30.23</v>
      </c>
      <c r="D369" s="22">
        <f>VLOOKUP($A369, 'Medical Examinations'!$A:$D,3, FALSE)</f>
        <v>4.23</v>
      </c>
      <c r="E369" s="22" t="str">
        <f>VLOOKUP($A369, 'Medical Examinations'!$A:$D, 4, FALSE)</f>
        <v>Yes</v>
      </c>
      <c r="F369" s="22" t="str">
        <f>VLOOKUP($A369, 'Medical Examinations'!$A:$J, 5, FALSE)</f>
        <v>No</v>
      </c>
      <c r="G369" s="22" t="str">
        <f>VLOOKUP($A369, 'Medical Examinations'!$A:$I, 6, FALSE)</f>
        <v>Yes</v>
      </c>
      <c r="H369" s="22">
        <f>VLOOKUP($A369,'Medical Examinations'!$A:$L,10, FALSE)</f>
        <v>1</v>
      </c>
      <c r="I369" s="22" t="str">
        <f>VLOOKUP($A369, 'Medical Examinations'!$A:$J, 9, FALSE)</f>
        <v>Yes</v>
      </c>
      <c r="J369" s="22" t="str">
        <f>VLOOKUP($A369, 'Medical Examinations'!$A:$P, 11, FALSE)</f>
        <v>OBESITY</v>
      </c>
      <c r="K369" s="34">
        <v>28005.0</v>
      </c>
      <c r="L369" s="35">
        <f>VLOOKUP($A369, 'Hospitalisation Details'!$A:$H, 7, FALSE)</f>
        <v>27625.17</v>
      </c>
      <c r="M369" s="22" t="str">
        <f>VLOOKUP($A369, 'Hospitalisation Details'!$A:$L, 12, FALSE)</f>
        <v>tier - 1</v>
      </c>
      <c r="N369" s="22" t="str">
        <f>VLOOKUP($A369, 'Hospitalisation Details'!$A:$M, 13, FALSE)</f>
        <v>tier - 1</v>
      </c>
      <c r="O369" s="22" t="str">
        <f>VLOOKUP($A369, 'Hospitalisation Details'!$A:$N, 14, FALSE)</f>
        <v>R1011</v>
      </c>
      <c r="P369" s="36">
        <f>VLOOKUP($A369, 'Hospitalisation Details'!$A:$O, 15, FALSE)</f>
        <v>25</v>
      </c>
    </row>
    <row r="370" ht="15.75" customHeight="1">
      <c r="A370" s="33" t="s">
        <v>739</v>
      </c>
      <c r="B370" s="22" t="str">
        <f>VLOOKUP($A370,'Customer Names'!$A:$D,3, FALSE)</f>
        <v>Pocasangre</v>
      </c>
      <c r="C370" s="22">
        <f>VLOOKUP($A370,'Medical Examinations'!$A:$D, 2, FALSE)</f>
        <v>30.6</v>
      </c>
      <c r="D370" s="22">
        <f>VLOOKUP($A370, 'Medical Examinations'!$A:$D,3, FALSE)</f>
        <v>6.48</v>
      </c>
      <c r="E370" s="22" t="str">
        <f>VLOOKUP($A370, 'Medical Examinations'!$A:$D, 4, FALSE)</f>
        <v>Yes</v>
      </c>
      <c r="F370" s="22" t="str">
        <f>VLOOKUP($A370, 'Medical Examinations'!$A:$J, 5, FALSE)</f>
        <v>No</v>
      </c>
      <c r="G370" s="22" t="str">
        <f>VLOOKUP($A370, 'Medical Examinations'!$A:$I, 6, FALSE)</f>
        <v>Yes</v>
      </c>
      <c r="H370" s="22">
        <f>VLOOKUP($A370,'Medical Examinations'!$A:$L,10, FALSE)</f>
        <v>1</v>
      </c>
      <c r="I370" s="22" t="str">
        <f>VLOOKUP($A370, 'Medical Examinations'!$A:$J, 9, FALSE)</f>
        <v>Yes</v>
      </c>
      <c r="J370" s="22" t="str">
        <f>VLOOKUP($A370, 'Medical Examinations'!$A:$P, 11, FALSE)</f>
        <v>OBESITY</v>
      </c>
      <c r="K370" s="34">
        <v>27941.0</v>
      </c>
      <c r="L370" s="35">
        <f>VLOOKUP($A370, 'Hospitalisation Details'!$A:$H, 7, FALSE)</f>
        <v>27619.36</v>
      </c>
      <c r="M370" s="22" t="str">
        <f>VLOOKUP($A370, 'Hospitalisation Details'!$A:$L, 12, FALSE)</f>
        <v>tier - 2</v>
      </c>
      <c r="N370" s="22" t="str">
        <f>VLOOKUP($A370, 'Hospitalisation Details'!$A:$M, 13, FALSE)</f>
        <v>tier - 3</v>
      </c>
      <c r="O370" s="22" t="str">
        <f>VLOOKUP($A370, 'Hospitalisation Details'!$A:$N, 14, FALSE)</f>
        <v>R1011</v>
      </c>
      <c r="P370" s="36">
        <f>VLOOKUP($A370, 'Hospitalisation Details'!$A:$O, 15, FALSE)</f>
        <v>25</v>
      </c>
    </row>
    <row r="371" ht="15.75" customHeight="1">
      <c r="A371" s="33" t="s">
        <v>741</v>
      </c>
      <c r="B371" s="22" t="str">
        <f>VLOOKUP($A371,'Customer Names'!$A:$D,3, FALSE)</f>
        <v>Martine</v>
      </c>
      <c r="C371" s="22">
        <f>VLOOKUP($A371,'Medical Examinations'!$A:$D, 2, FALSE)</f>
        <v>26.8</v>
      </c>
      <c r="D371" s="22">
        <f>VLOOKUP($A371, 'Medical Examinations'!$A:$D,3, FALSE)</f>
        <v>5.53</v>
      </c>
      <c r="E371" s="22" t="str">
        <f>VLOOKUP($A371, 'Medical Examinations'!$A:$D, 4, FALSE)</f>
        <v>No</v>
      </c>
      <c r="F371" s="22" t="str">
        <f>VLOOKUP($A371, 'Medical Examinations'!$A:$J, 5, FALSE)</f>
        <v>No</v>
      </c>
      <c r="G371" s="22" t="str">
        <f>VLOOKUP($A371, 'Medical Examinations'!$A:$I, 6, FALSE)</f>
        <v>No</v>
      </c>
      <c r="H371" s="22">
        <f>VLOOKUP($A371,'Medical Examinations'!$A:$L,10, FALSE)</f>
        <v>1</v>
      </c>
      <c r="I371" s="22" t="str">
        <f>VLOOKUP($A371, 'Medical Examinations'!$A:$J, 9, FALSE)</f>
        <v>Yes</v>
      </c>
      <c r="J371" s="22" t="str">
        <f>VLOOKUP($A371, 'Medical Examinations'!$A:$P, 11, FALSE)</f>
        <v>OVERWEIGHT</v>
      </c>
      <c r="K371" s="34">
        <v>28006.0</v>
      </c>
      <c r="L371" s="35">
        <f>VLOOKUP($A371, 'Hospitalisation Details'!$A:$H, 7, FALSE)</f>
        <v>27614.71</v>
      </c>
      <c r="M371" s="22" t="str">
        <f>VLOOKUP($A371, 'Hospitalisation Details'!$A:$L, 12, FALSE)</f>
        <v>tier - 2</v>
      </c>
      <c r="N371" s="22" t="str">
        <f>VLOOKUP($A371, 'Hospitalisation Details'!$A:$M, 13, FALSE)</f>
        <v>tier - 3</v>
      </c>
      <c r="O371" s="22" t="str">
        <f>VLOOKUP($A371, 'Hospitalisation Details'!$A:$N, 14, FALSE)</f>
        <v>R1011</v>
      </c>
      <c r="P371" s="36">
        <f>VLOOKUP($A371, 'Hospitalisation Details'!$A:$O, 15, FALSE)</f>
        <v>30</v>
      </c>
    </row>
    <row r="372" ht="15.75" customHeight="1">
      <c r="A372" s="33" t="s">
        <v>743</v>
      </c>
      <c r="B372" s="22" t="str">
        <f>VLOOKUP($A372,'Customer Names'!$A:$D,3, FALSE)</f>
        <v>Riegel</v>
      </c>
      <c r="C372" s="22">
        <f>VLOOKUP($A372,'Medical Examinations'!$A:$D, 2, FALSE)</f>
        <v>16.86</v>
      </c>
      <c r="D372" s="22">
        <f>VLOOKUP($A372, 'Medical Examinations'!$A:$D,3, FALSE)</f>
        <v>4.07</v>
      </c>
      <c r="E372" s="22" t="str">
        <f>VLOOKUP($A372, 'Medical Examinations'!$A:$D, 4, FALSE)</f>
        <v>Yes</v>
      </c>
      <c r="F372" s="22" t="str">
        <f>VLOOKUP($A372, 'Medical Examinations'!$A:$J, 5, FALSE)</f>
        <v>No</v>
      </c>
      <c r="G372" s="22" t="str">
        <f>VLOOKUP($A372, 'Medical Examinations'!$A:$I, 6, FALSE)</f>
        <v>No</v>
      </c>
      <c r="H372" s="22">
        <f>VLOOKUP($A372,'Medical Examinations'!$A:$L,10, FALSE)</f>
        <v>0</v>
      </c>
      <c r="I372" s="22" t="str">
        <f>VLOOKUP($A372, 'Medical Examinations'!$A:$J, 9, FALSE)</f>
        <v>Yes</v>
      </c>
      <c r="J372" s="22" t="str">
        <f>VLOOKUP($A372, 'Medical Examinations'!$A:$P, 11, FALSE)</f>
        <v>UNDERWEIGHT</v>
      </c>
      <c r="K372" s="34">
        <v>28671.0</v>
      </c>
      <c r="L372" s="35">
        <f>VLOOKUP($A372, 'Hospitalisation Details'!$A:$H, 7, FALSE)</f>
        <v>27598.93</v>
      </c>
      <c r="M372" s="22" t="str">
        <f>VLOOKUP($A372, 'Hospitalisation Details'!$A:$L, 12, FALSE)</f>
        <v>tier - 2</v>
      </c>
      <c r="N372" s="22" t="str">
        <f>VLOOKUP($A372, 'Hospitalisation Details'!$A:$M, 13, FALSE)</f>
        <v>tier - 1</v>
      </c>
      <c r="O372" s="22" t="str">
        <f>VLOOKUP($A372, 'Hospitalisation Details'!$A:$N, 14, FALSE)</f>
        <v>R1011</v>
      </c>
      <c r="P372" s="36">
        <f>VLOOKUP($A372, 'Hospitalisation Details'!$A:$O, 15, FALSE)</f>
        <v>37</v>
      </c>
    </row>
    <row r="373" ht="15.75" customHeight="1">
      <c r="A373" s="33" t="s">
        <v>745</v>
      </c>
      <c r="B373" s="22" t="str">
        <f>VLOOKUP($A373,'Customer Names'!$A:$D,3, FALSE)</f>
        <v>Monson</v>
      </c>
      <c r="C373" s="22">
        <f>VLOOKUP($A373,'Medical Examinations'!$A:$D, 2, FALSE)</f>
        <v>16.3</v>
      </c>
      <c r="D373" s="22">
        <f>VLOOKUP($A373, 'Medical Examinations'!$A:$D,3, FALSE)</f>
        <v>5.51</v>
      </c>
      <c r="E373" s="22" t="str">
        <f>VLOOKUP($A373, 'Medical Examinations'!$A:$D, 4, FALSE)</f>
        <v>No</v>
      </c>
      <c r="F373" s="22" t="str">
        <f>VLOOKUP($A373, 'Medical Examinations'!$A:$J, 5, FALSE)</f>
        <v>No</v>
      </c>
      <c r="G373" s="22" t="str">
        <f>VLOOKUP($A373, 'Medical Examinations'!$A:$I, 6, FALSE)</f>
        <v>No</v>
      </c>
      <c r="H373" s="22">
        <f>VLOOKUP($A373,'Medical Examinations'!$A:$L,10, FALSE)</f>
        <v>1</v>
      </c>
      <c r="I373" s="22" t="str">
        <f>VLOOKUP($A373, 'Medical Examinations'!$A:$J, 9, FALSE)</f>
        <v>Yes</v>
      </c>
      <c r="J373" s="22" t="str">
        <f>VLOOKUP($A373, 'Medical Examinations'!$A:$P, 11, FALSE)</f>
        <v>UNDERWEIGHT</v>
      </c>
      <c r="K373" s="34">
        <v>28787.0</v>
      </c>
      <c r="L373" s="35">
        <f>VLOOKUP($A373, 'Hospitalisation Details'!$A:$H, 7, FALSE)</f>
        <v>27534.53</v>
      </c>
      <c r="M373" s="22" t="str">
        <f>VLOOKUP($A373, 'Hospitalisation Details'!$A:$L, 12, FALSE)</f>
        <v>tier - 2</v>
      </c>
      <c r="N373" s="22" t="str">
        <f>VLOOKUP($A373, 'Hospitalisation Details'!$A:$M, 13, FALSE)</f>
        <v>tier - 2</v>
      </c>
      <c r="O373" s="22" t="str">
        <f>VLOOKUP($A373, 'Hospitalisation Details'!$A:$N, 14, FALSE)</f>
        <v>R1011</v>
      </c>
      <c r="P373" s="36">
        <f>VLOOKUP($A373, 'Hospitalisation Details'!$A:$O, 15, FALSE)</f>
        <v>38</v>
      </c>
    </row>
    <row r="374" ht="15.75" customHeight="1">
      <c r="A374" s="33" t="s">
        <v>747</v>
      </c>
      <c r="B374" s="22" t="str">
        <f>VLOOKUP($A374,'Customer Names'!$A:$D,3, FALSE)</f>
        <v>Klubben</v>
      </c>
      <c r="C374" s="22">
        <f>VLOOKUP($A374,'Medical Examinations'!$A:$D, 2, FALSE)</f>
        <v>29.81</v>
      </c>
      <c r="D374" s="22">
        <f>VLOOKUP($A374, 'Medical Examinations'!$A:$D,3, FALSE)</f>
        <v>11.66</v>
      </c>
      <c r="E374" s="22" t="str">
        <f>VLOOKUP($A374, 'Medical Examinations'!$A:$D, 4, FALSE)</f>
        <v>No</v>
      </c>
      <c r="F374" s="22" t="str">
        <f>VLOOKUP($A374, 'Medical Examinations'!$A:$J, 5, FALSE)</f>
        <v>No</v>
      </c>
      <c r="G374" s="22" t="str">
        <f>VLOOKUP($A374, 'Medical Examinations'!$A:$I, 6, FALSE)</f>
        <v>No</v>
      </c>
      <c r="H374" s="22">
        <f>VLOOKUP($A374,'Medical Examinations'!$A:$L,10, FALSE)</f>
        <v>0</v>
      </c>
      <c r="I374" s="22" t="str">
        <f>VLOOKUP($A374, 'Medical Examinations'!$A:$J, 9, FALSE)</f>
        <v>Yes</v>
      </c>
      <c r="J374" s="22" t="str">
        <f>VLOOKUP($A374, 'Medical Examinations'!$A:$P, 11, FALSE)</f>
        <v>OVERWEIGHT</v>
      </c>
      <c r="K374" s="34">
        <v>22973.0</v>
      </c>
      <c r="L374" s="35">
        <f>VLOOKUP($A374, 'Hospitalisation Details'!$A:$H, 7, FALSE)</f>
        <v>27533.91</v>
      </c>
      <c r="M374" s="22" t="str">
        <f>VLOOKUP($A374, 'Hospitalisation Details'!$A:$L, 12, FALSE)</f>
        <v>tier - 2</v>
      </c>
      <c r="N374" s="22" t="str">
        <f>VLOOKUP($A374, 'Hospitalisation Details'!$A:$M, 13, FALSE)</f>
        <v>tier - 3</v>
      </c>
      <c r="O374" s="22" t="str">
        <f>VLOOKUP($A374, 'Hospitalisation Details'!$A:$N, 14, FALSE)</f>
        <v>R1013</v>
      </c>
      <c r="P374" s="36">
        <f>VLOOKUP($A374, 'Hospitalisation Details'!$A:$O, 15, FALSE)</f>
        <v>57</v>
      </c>
    </row>
    <row r="375" ht="15.75" customHeight="1">
      <c r="A375" s="33" t="s">
        <v>749</v>
      </c>
      <c r="B375" s="22" t="str">
        <f>VLOOKUP($A375,'Customer Names'!$A:$D,3, FALSE)</f>
        <v>Mascaro</v>
      </c>
      <c r="C375" s="22">
        <f>VLOOKUP($A375,'Medical Examinations'!$A:$D, 2, FALSE)</f>
        <v>16.33</v>
      </c>
      <c r="D375" s="22">
        <f>VLOOKUP($A375, 'Medical Examinations'!$A:$D,3, FALSE)</f>
        <v>7.26</v>
      </c>
      <c r="E375" s="22" t="str">
        <f>VLOOKUP($A375, 'Medical Examinations'!$A:$D, 4, FALSE)</f>
        <v>Yes</v>
      </c>
      <c r="F375" s="22" t="str">
        <f>VLOOKUP($A375, 'Medical Examinations'!$A:$J, 5, FALSE)</f>
        <v>No</v>
      </c>
      <c r="G375" s="22" t="str">
        <f>VLOOKUP($A375, 'Medical Examinations'!$A:$I, 6, FALSE)</f>
        <v>No</v>
      </c>
      <c r="H375" s="22">
        <f>VLOOKUP($A375,'Medical Examinations'!$A:$L,10, FALSE)</f>
        <v>0</v>
      </c>
      <c r="I375" s="22" t="str">
        <f>VLOOKUP($A375, 'Medical Examinations'!$A:$J, 9, FALSE)</f>
        <v>Yes</v>
      </c>
      <c r="J375" s="22" t="str">
        <f>VLOOKUP($A375, 'Medical Examinations'!$A:$P, 11, FALSE)</f>
        <v>UNDERWEIGHT</v>
      </c>
      <c r="K375" s="34">
        <v>35724.0</v>
      </c>
      <c r="L375" s="35">
        <f>VLOOKUP($A375, 'Hospitalisation Details'!$A:$H, 7, FALSE)</f>
        <v>27495.59</v>
      </c>
      <c r="M375" s="22" t="str">
        <f>VLOOKUP($A375, 'Hospitalisation Details'!$A:$L, 12, FALSE)</f>
        <v>tier - 2</v>
      </c>
      <c r="N375" s="22" t="str">
        <f>VLOOKUP($A375, 'Hospitalisation Details'!$A:$M, 13, FALSE)</f>
        <v>tier - 1</v>
      </c>
      <c r="O375" s="22" t="str">
        <f>VLOOKUP($A375, 'Hospitalisation Details'!$A:$N, 14, FALSE)</f>
        <v>R1011</v>
      </c>
      <c r="P375" s="36">
        <f>VLOOKUP($A375, 'Hospitalisation Details'!$A:$O, 15, FALSE)</f>
        <v>41</v>
      </c>
    </row>
    <row r="376" ht="15.75" customHeight="1">
      <c r="A376" s="33" t="s">
        <v>751</v>
      </c>
      <c r="B376" s="22" t="str">
        <f>VLOOKUP($A376,'Customer Names'!$A:$D,3, FALSE)</f>
        <v>Norvell</v>
      </c>
      <c r="C376" s="22">
        <f>VLOOKUP($A376,'Medical Examinations'!$A:$D, 2, FALSE)</f>
        <v>16.37</v>
      </c>
      <c r="D376" s="22">
        <f>VLOOKUP($A376, 'Medical Examinations'!$A:$D,3, FALSE)</f>
        <v>4.79</v>
      </c>
      <c r="E376" s="22" t="str">
        <f>VLOOKUP($A376, 'Medical Examinations'!$A:$D, 4, FALSE)</f>
        <v>Yes</v>
      </c>
      <c r="F376" s="22" t="str">
        <f>VLOOKUP($A376, 'Medical Examinations'!$A:$J, 5, FALSE)</f>
        <v>No</v>
      </c>
      <c r="G376" s="22" t="str">
        <f>VLOOKUP($A376, 'Medical Examinations'!$A:$I, 6, FALSE)</f>
        <v>No</v>
      </c>
      <c r="H376" s="22">
        <f>VLOOKUP($A376,'Medical Examinations'!$A:$L,10, FALSE)</f>
        <v>0</v>
      </c>
      <c r="I376" s="22" t="str">
        <f>VLOOKUP($A376, 'Medical Examinations'!$A:$J, 9, FALSE)</f>
        <v>Yes</v>
      </c>
      <c r="J376" s="22" t="str">
        <f>VLOOKUP($A376, 'Medical Examinations'!$A:$P, 11, FALSE)</f>
        <v>UNDERWEIGHT</v>
      </c>
      <c r="K376" s="34">
        <v>31944.0</v>
      </c>
      <c r="L376" s="35">
        <f>VLOOKUP($A376, 'Hospitalisation Details'!$A:$H, 7, FALSE)</f>
        <v>27432.73</v>
      </c>
      <c r="M376" s="22" t="str">
        <f>VLOOKUP($A376, 'Hospitalisation Details'!$A:$L, 12, FALSE)</f>
        <v>tier - 2</v>
      </c>
      <c r="N376" s="22" t="str">
        <f>VLOOKUP($A376, 'Hospitalisation Details'!$A:$M, 13, FALSE)</f>
        <v>tier - 1</v>
      </c>
      <c r="O376" s="22" t="str">
        <f>VLOOKUP($A376, 'Hospitalisation Details'!$A:$N, 14, FALSE)</f>
        <v>R1011</v>
      </c>
      <c r="P376" s="36">
        <f>VLOOKUP($A376, 'Hospitalisation Details'!$A:$O, 15, FALSE)</f>
        <v>37</v>
      </c>
    </row>
    <row r="377" ht="15.75" customHeight="1">
      <c r="A377" s="33" t="s">
        <v>753</v>
      </c>
      <c r="B377" s="22" t="str">
        <f>VLOOKUP($A377,'Customer Names'!$A:$D,3, FALSE)</f>
        <v>Ornelas</v>
      </c>
      <c r="C377" s="22">
        <f>VLOOKUP($A377,'Medical Examinations'!$A:$D, 2, FALSE)</f>
        <v>22.42</v>
      </c>
      <c r="D377" s="22">
        <f>VLOOKUP($A377, 'Medical Examinations'!$A:$D,3, FALSE)</f>
        <v>4.68</v>
      </c>
      <c r="E377" s="22" t="str">
        <f>VLOOKUP($A377, 'Medical Examinations'!$A:$D, 4, FALSE)</f>
        <v>Yes</v>
      </c>
      <c r="F377" s="22" t="str">
        <f>VLOOKUP($A377, 'Medical Examinations'!$A:$J, 5, FALSE)</f>
        <v>No</v>
      </c>
      <c r="G377" s="22" t="str">
        <f>VLOOKUP($A377, 'Medical Examinations'!$A:$I, 6, FALSE)</f>
        <v>No</v>
      </c>
      <c r="H377" s="22">
        <f>VLOOKUP($A377,'Medical Examinations'!$A:$L,10, FALSE)</f>
        <v>1</v>
      </c>
      <c r="I377" s="22" t="str">
        <f>VLOOKUP($A377, 'Medical Examinations'!$A:$J, 9, FALSE)</f>
        <v>No</v>
      </c>
      <c r="J377" s="22" t="str">
        <f>VLOOKUP($A377, 'Medical Examinations'!$A:$P, 11, FALSE)</f>
        <v>NORMAL WEIGHT</v>
      </c>
      <c r="K377" s="34">
        <v>30475.0</v>
      </c>
      <c r="L377" s="35">
        <f>VLOOKUP($A377, 'Hospitalisation Details'!$A:$H, 7, FALSE)</f>
        <v>27375.9</v>
      </c>
      <c r="M377" s="22" t="str">
        <f>VLOOKUP($A377, 'Hospitalisation Details'!$A:$L, 12, FALSE)</f>
        <v>tier - 2</v>
      </c>
      <c r="N377" s="22" t="str">
        <f>VLOOKUP($A377, 'Hospitalisation Details'!$A:$M, 13, FALSE)</f>
        <v>tier - 3</v>
      </c>
      <c r="O377" s="22" t="str">
        <f>VLOOKUP($A377, 'Hospitalisation Details'!$A:$N, 14, FALSE)</f>
        <v>R1015</v>
      </c>
      <c r="P377" s="36">
        <f>VLOOKUP($A377, 'Hospitalisation Details'!$A:$O, 15, FALSE)</f>
        <v>34</v>
      </c>
    </row>
    <row r="378" ht="15.75" customHeight="1">
      <c r="A378" s="33" t="s">
        <v>755</v>
      </c>
      <c r="B378" s="22" t="str">
        <f>VLOOKUP($A378,'Customer Names'!$A:$D,3, FALSE)</f>
        <v>Fitzpatrick</v>
      </c>
      <c r="C378" s="22">
        <f>VLOOKUP($A378,'Medical Examinations'!$A:$D, 2, FALSE)</f>
        <v>31.35</v>
      </c>
      <c r="D378" s="22">
        <f>VLOOKUP($A378, 'Medical Examinations'!$A:$D,3, FALSE)</f>
        <v>4.33</v>
      </c>
      <c r="E378" s="22" t="str">
        <f>VLOOKUP($A378, 'Medical Examinations'!$A:$D, 4, FALSE)</f>
        <v>Yes</v>
      </c>
      <c r="F378" s="22" t="str">
        <f>VLOOKUP($A378, 'Medical Examinations'!$A:$J, 5, FALSE)</f>
        <v>No</v>
      </c>
      <c r="G378" s="22" t="str">
        <f>VLOOKUP($A378, 'Medical Examinations'!$A:$I, 6, FALSE)</f>
        <v>Yes</v>
      </c>
      <c r="H378" s="22">
        <f>VLOOKUP($A378,'Medical Examinations'!$A:$L,10, FALSE)</f>
        <v>1</v>
      </c>
      <c r="I378" s="22" t="str">
        <f>VLOOKUP($A378, 'Medical Examinations'!$A:$J, 9, FALSE)</f>
        <v>No</v>
      </c>
      <c r="J378" s="22" t="str">
        <f>VLOOKUP($A378, 'Medical Examinations'!$A:$P, 11, FALSE)</f>
        <v>OBESITY</v>
      </c>
      <c r="K378" s="34">
        <v>23320.0</v>
      </c>
      <c r="L378" s="35">
        <f>VLOOKUP($A378, 'Hospitalisation Details'!$A:$H, 7, FALSE)</f>
        <v>27346.04</v>
      </c>
      <c r="M378" s="22" t="str">
        <f>VLOOKUP($A378, 'Hospitalisation Details'!$A:$L, 12, FALSE)</f>
        <v>tier - 2</v>
      </c>
      <c r="N378" s="22" t="str">
        <f>VLOOKUP($A378, 'Hospitalisation Details'!$A:$M, 13, FALSE)</f>
        <v>tier - 2</v>
      </c>
      <c r="O378" s="22" t="str">
        <f>VLOOKUP($A378, 'Hospitalisation Details'!$A:$N, 14, FALSE)</f>
        <v>R1013</v>
      </c>
      <c r="P378" s="36">
        <f>VLOOKUP($A378, 'Hospitalisation Details'!$A:$O, 15, FALSE)</f>
        <v>53</v>
      </c>
    </row>
    <row r="379" ht="15.75" customHeight="1">
      <c r="A379" s="33" t="s">
        <v>757</v>
      </c>
      <c r="B379" s="22" t="str">
        <f>VLOOKUP($A379,'Customer Names'!$A:$D,3, FALSE)</f>
        <v>Bloomquist</v>
      </c>
      <c r="C379" s="22">
        <f>VLOOKUP($A379,'Medical Examinations'!$A:$D, 2, FALSE)</f>
        <v>31.9</v>
      </c>
      <c r="D379" s="22">
        <f>VLOOKUP($A379, 'Medical Examinations'!$A:$D,3, FALSE)</f>
        <v>11.89</v>
      </c>
      <c r="E379" s="22" t="str">
        <f>VLOOKUP($A379, 'Medical Examinations'!$A:$D, 4, FALSE)</f>
        <v>No</v>
      </c>
      <c r="F379" s="22" t="str">
        <f>VLOOKUP($A379, 'Medical Examinations'!$A:$J, 5, FALSE)</f>
        <v>No</v>
      </c>
      <c r="G379" s="22" t="str">
        <f>VLOOKUP($A379, 'Medical Examinations'!$A:$I, 6, FALSE)</f>
        <v>No</v>
      </c>
      <c r="H379" s="22">
        <f>VLOOKUP($A379,'Medical Examinations'!$A:$L,10, FALSE)</f>
        <v>0</v>
      </c>
      <c r="I379" s="22" t="str">
        <f>VLOOKUP($A379, 'Medical Examinations'!$A:$J, 9, FALSE)</f>
        <v>No</v>
      </c>
      <c r="J379" s="22" t="str">
        <f>VLOOKUP($A379, 'Medical Examinations'!$A:$P, 11, FALSE)</f>
        <v>OBESITY</v>
      </c>
      <c r="K379" s="34">
        <v>30130.0</v>
      </c>
      <c r="L379" s="35">
        <f>VLOOKUP($A379, 'Hospitalisation Details'!$A:$H, 7, FALSE)</f>
        <v>27322.73</v>
      </c>
      <c r="M379" s="22" t="str">
        <f>VLOOKUP($A379, 'Hospitalisation Details'!$A:$L, 12, FALSE)</f>
        <v>tier - 2</v>
      </c>
      <c r="N379" s="22" t="str">
        <f>VLOOKUP($A379, 'Hospitalisation Details'!$A:$M, 13, FALSE)</f>
        <v>tier - 2</v>
      </c>
      <c r="O379" s="22" t="str">
        <f>VLOOKUP($A379, 'Hospitalisation Details'!$A:$N, 14, FALSE)</f>
        <v>R1013</v>
      </c>
      <c r="P379" s="36">
        <f>VLOOKUP($A379, 'Hospitalisation Details'!$A:$O, 15, FALSE)</f>
        <v>55</v>
      </c>
    </row>
    <row r="380" ht="15.75" customHeight="1">
      <c r="A380" s="33" t="s">
        <v>759</v>
      </c>
      <c r="B380" s="22" t="str">
        <f>VLOOKUP($A380,'Customer Names'!$A:$D,3, FALSE)</f>
        <v>Wick</v>
      </c>
      <c r="C380" s="22">
        <f>VLOOKUP($A380,'Medical Examinations'!$A:$D, 2, FALSE)</f>
        <v>30.6</v>
      </c>
      <c r="D380" s="22">
        <f>VLOOKUP($A380, 'Medical Examinations'!$A:$D,3, FALSE)</f>
        <v>5.24</v>
      </c>
      <c r="E380" s="22" t="str">
        <f>VLOOKUP($A380, 'Medical Examinations'!$A:$D, 4, FALSE)</f>
        <v>No</v>
      </c>
      <c r="F380" s="22" t="str">
        <f>VLOOKUP($A380, 'Medical Examinations'!$A:$J, 5, FALSE)</f>
        <v>No</v>
      </c>
      <c r="G380" s="22" t="str">
        <f>VLOOKUP($A380, 'Medical Examinations'!$A:$I, 6, FALSE)</f>
        <v>No</v>
      </c>
      <c r="H380" s="22">
        <f>VLOOKUP($A380,'Medical Examinations'!$A:$L,10, FALSE)</f>
        <v>0</v>
      </c>
      <c r="I380" s="22" t="str">
        <f>VLOOKUP($A380, 'Medical Examinations'!$A:$J, 9, FALSE)</f>
        <v>Yes</v>
      </c>
      <c r="J380" s="22" t="str">
        <f>VLOOKUP($A380, 'Medical Examinations'!$A:$P, 11, FALSE)</f>
        <v>OBESITY</v>
      </c>
      <c r="K380" s="34">
        <v>33045.0</v>
      </c>
      <c r="L380" s="35">
        <f>VLOOKUP($A380, 'Hospitalisation Details'!$A:$H, 7, FALSE)</f>
        <v>27236.96</v>
      </c>
      <c r="M380" s="22" t="str">
        <f>VLOOKUP($A380, 'Hospitalisation Details'!$A:$L, 12, FALSE)</f>
        <v>tier - 2</v>
      </c>
      <c r="N380" s="22" t="str">
        <f>VLOOKUP($A380, 'Hospitalisation Details'!$A:$M, 13, FALSE)</f>
        <v>tier - 1</v>
      </c>
      <c r="O380" s="22" t="str">
        <f>VLOOKUP($A380, 'Hospitalisation Details'!$A:$N, 14, FALSE)</f>
        <v>R1011</v>
      </c>
      <c r="P380" s="36">
        <f>VLOOKUP($A380, 'Hospitalisation Details'!$A:$O, 15, FALSE)</f>
        <v>23</v>
      </c>
    </row>
    <row r="381" ht="15.75" customHeight="1">
      <c r="A381" s="33" t="s">
        <v>761</v>
      </c>
      <c r="B381" s="22" t="str">
        <f>VLOOKUP($A381,'Customer Names'!$A:$D,3, FALSE)</f>
        <v>Zappala</v>
      </c>
      <c r="C381" s="22">
        <f>VLOOKUP($A381,'Medical Examinations'!$A:$D, 2, FALSE)</f>
        <v>28.975</v>
      </c>
      <c r="D381" s="22">
        <f>VLOOKUP($A381, 'Medical Examinations'!$A:$D,3, FALSE)</f>
        <v>7.63</v>
      </c>
      <c r="E381" s="22" t="str">
        <f>VLOOKUP($A381, 'Medical Examinations'!$A:$D, 4, FALSE)</f>
        <v>No</v>
      </c>
      <c r="F381" s="22" t="str">
        <f>VLOOKUP($A381, 'Medical Examinations'!$A:$J, 5, FALSE)</f>
        <v>No</v>
      </c>
      <c r="G381" s="22" t="str">
        <f>VLOOKUP($A381, 'Medical Examinations'!$A:$I, 6, FALSE)</f>
        <v>No</v>
      </c>
      <c r="H381" s="22">
        <f>VLOOKUP($A381,'Medical Examinations'!$A:$L,10, FALSE)</f>
        <v>0</v>
      </c>
      <c r="I381" s="22" t="str">
        <f>VLOOKUP($A381, 'Medical Examinations'!$A:$J, 9, FALSE)</f>
        <v>Yes</v>
      </c>
      <c r="J381" s="22" t="str">
        <f>VLOOKUP($A381, 'Medical Examinations'!$A:$P, 11, FALSE)</f>
        <v>OVERWEIGHT</v>
      </c>
      <c r="K381" s="34">
        <v>26910.0</v>
      </c>
      <c r="L381" s="35">
        <f>VLOOKUP($A381, 'Hospitalisation Details'!$A:$H, 7, FALSE)</f>
        <v>27218.44</v>
      </c>
      <c r="M381" s="22" t="str">
        <f>VLOOKUP($A381, 'Hospitalisation Details'!$A:$L, 12, FALSE)</f>
        <v>tier - 2</v>
      </c>
      <c r="N381" s="22" t="str">
        <f>VLOOKUP($A381, 'Hospitalisation Details'!$A:$M, 13, FALSE)</f>
        <v>tier - 1</v>
      </c>
      <c r="O381" s="22" t="str">
        <f>VLOOKUP($A381, 'Hospitalisation Details'!$A:$N, 14, FALSE)</f>
        <v>R1017</v>
      </c>
      <c r="P381" s="36">
        <f>VLOOKUP($A381, 'Hospitalisation Details'!$A:$O, 15, FALSE)</f>
        <v>57</v>
      </c>
    </row>
    <row r="382" ht="15.75" customHeight="1">
      <c r="A382" s="33" t="s">
        <v>763</v>
      </c>
      <c r="B382" s="22" t="str">
        <f>VLOOKUP($A382,'Customer Names'!$A:$D,3, FALSE)</f>
        <v>Earle</v>
      </c>
      <c r="C382" s="22">
        <f>VLOOKUP($A382,'Medical Examinations'!$A:$D, 2, FALSE)</f>
        <v>24.86</v>
      </c>
      <c r="D382" s="22">
        <f>VLOOKUP($A382, 'Medical Examinations'!$A:$D,3, FALSE)</f>
        <v>8.92</v>
      </c>
      <c r="E382" s="22" t="str">
        <f>VLOOKUP($A382, 'Medical Examinations'!$A:$D, 4, FALSE)</f>
        <v>Yes</v>
      </c>
      <c r="F382" s="22" t="str">
        <f>VLOOKUP($A382, 'Medical Examinations'!$A:$J, 5, FALSE)</f>
        <v>No</v>
      </c>
      <c r="G382" s="22" t="str">
        <f>VLOOKUP($A382, 'Medical Examinations'!$A:$I, 6, FALSE)</f>
        <v>No</v>
      </c>
      <c r="H382" s="22">
        <f>VLOOKUP($A382,'Medical Examinations'!$A:$L,10, FALSE)</f>
        <v>2</v>
      </c>
      <c r="I382" s="22" t="str">
        <f>VLOOKUP($A382, 'Medical Examinations'!$A:$J, 9, FALSE)</f>
        <v>No</v>
      </c>
      <c r="J382" s="22" t="str">
        <f>VLOOKUP($A382, 'Medical Examinations'!$A:$P, 11, FALSE)</f>
        <v>NORMAL WEIGHT</v>
      </c>
      <c r="K382" s="34">
        <v>26906.0</v>
      </c>
      <c r="L382" s="35">
        <f>VLOOKUP($A382, 'Hospitalisation Details'!$A:$H, 7, FALSE)</f>
        <v>27117.99</v>
      </c>
      <c r="M382" s="22" t="str">
        <f>VLOOKUP($A382, 'Hospitalisation Details'!$A:$L, 12, FALSE)</f>
        <v>tier - 2</v>
      </c>
      <c r="N382" s="22" t="str">
        <f>VLOOKUP($A382, 'Hospitalisation Details'!$A:$M, 13, FALSE)</f>
        <v>tier - 2</v>
      </c>
      <c r="O382" s="22" t="str">
        <f>VLOOKUP($A382, 'Hospitalisation Details'!$A:$N, 14, FALSE)</f>
        <v>R1013</v>
      </c>
      <c r="P382" s="36">
        <f>VLOOKUP($A382, 'Hospitalisation Details'!$A:$O, 15, FALSE)</f>
        <v>52</v>
      </c>
    </row>
    <row r="383" ht="15.75" customHeight="1">
      <c r="A383" s="33" t="s">
        <v>765</v>
      </c>
      <c r="B383" s="22" t="str">
        <f>VLOOKUP($A383,'Customer Names'!$A:$D,3, FALSE)</f>
        <v>Majewski</v>
      </c>
      <c r="C383" s="22">
        <f>VLOOKUP($A383,'Medical Examinations'!$A:$D, 2, FALSE)</f>
        <v>19.54</v>
      </c>
      <c r="D383" s="22">
        <f>VLOOKUP($A383, 'Medical Examinations'!$A:$D,3, FALSE)</f>
        <v>5.37</v>
      </c>
      <c r="E383" s="22" t="str">
        <f>VLOOKUP($A383, 'Medical Examinations'!$A:$D, 4, FALSE)</f>
        <v>No</v>
      </c>
      <c r="F383" s="22" t="str">
        <f>VLOOKUP($A383, 'Medical Examinations'!$A:$J, 5, FALSE)</f>
        <v>No</v>
      </c>
      <c r="G383" s="22" t="str">
        <f>VLOOKUP($A383, 'Medical Examinations'!$A:$I, 6, FALSE)</f>
        <v>No</v>
      </c>
      <c r="H383" s="22">
        <f>VLOOKUP($A383,'Medical Examinations'!$A:$L,10, FALSE)</f>
        <v>0</v>
      </c>
      <c r="I383" s="22" t="str">
        <f>VLOOKUP($A383, 'Medical Examinations'!$A:$J, 9, FALSE)</f>
        <v>Yes</v>
      </c>
      <c r="J383" s="22" t="str">
        <f>VLOOKUP($A383, 'Medical Examinations'!$A:$P, 11, FALSE)</f>
        <v>NORMAL WEIGHT</v>
      </c>
      <c r="K383" s="34">
        <v>27014.0</v>
      </c>
      <c r="L383" s="35">
        <f>VLOOKUP($A383, 'Hospitalisation Details'!$A:$H, 7, FALSE)</f>
        <v>27092.38</v>
      </c>
      <c r="M383" s="22" t="str">
        <f>VLOOKUP($A383, 'Hospitalisation Details'!$A:$L, 12, FALSE)</f>
        <v>tier - 2</v>
      </c>
      <c r="N383" s="22" t="str">
        <f>VLOOKUP($A383, 'Hospitalisation Details'!$A:$M, 13, FALSE)</f>
        <v>tier - 3</v>
      </c>
      <c r="O383" s="22" t="str">
        <f>VLOOKUP($A383, 'Hospitalisation Details'!$A:$N, 14, FALSE)</f>
        <v>R1011</v>
      </c>
      <c r="P383" s="36">
        <f>VLOOKUP($A383, 'Hospitalisation Details'!$A:$O, 15, FALSE)</f>
        <v>32</v>
      </c>
    </row>
    <row r="384" ht="15.75" customHeight="1">
      <c r="A384" s="33" t="s">
        <v>767</v>
      </c>
      <c r="B384" s="22" t="str">
        <f>VLOOKUP($A384,'Customer Names'!$A:$D,3, FALSE)</f>
        <v>Apfelbaum</v>
      </c>
      <c r="C384" s="22">
        <f>VLOOKUP($A384,'Medical Examinations'!$A:$D, 2, FALSE)</f>
        <v>26.74</v>
      </c>
      <c r="D384" s="22">
        <f>VLOOKUP($A384, 'Medical Examinations'!$A:$D,3, FALSE)</f>
        <v>4.31</v>
      </c>
      <c r="E384" s="22" t="str">
        <f>VLOOKUP($A384, 'Medical Examinations'!$A:$D, 4, FALSE)</f>
        <v>No</v>
      </c>
      <c r="F384" s="22" t="str">
        <f>VLOOKUP($A384, 'Medical Examinations'!$A:$J, 5, FALSE)</f>
        <v>No</v>
      </c>
      <c r="G384" s="22" t="str">
        <f>VLOOKUP($A384, 'Medical Examinations'!$A:$I, 6, FALSE)</f>
        <v>No</v>
      </c>
      <c r="H384" s="22">
        <f>VLOOKUP($A384,'Medical Examinations'!$A:$L,10, FALSE)</f>
        <v>0</v>
      </c>
      <c r="I384" s="22" t="str">
        <f>VLOOKUP($A384, 'Medical Examinations'!$A:$J, 9, FALSE)</f>
        <v>Yes</v>
      </c>
      <c r="J384" s="22" t="str">
        <f>VLOOKUP($A384, 'Medical Examinations'!$A:$P, 11, FALSE)</f>
        <v>OVERWEIGHT</v>
      </c>
      <c r="K384" s="34">
        <v>28734.0</v>
      </c>
      <c r="L384" s="35">
        <f>VLOOKUP($A384, 'Hospitalisation Details'!$A:$H, 7, FALSE)</f>
        <v>27080.64</v>
      </c>
      <c r="M384" s="22" t="str">
        <f>VLOOKUP($A384, 'Hospitalisation Details'!$A:$L, 12, FALSE)</f>
        <v>tier - 2</v>
      </c>
      <c r="N384" s="22" t="str">
        <f>VLOOKUP($A384, 'Hospitalisation Details'!$A:$M, 13, FALSE)</f>
        <v>tier - 2</v>
      </c>
      <c r="O384" s="22" t="str">
        <f>VLOOKUP($A384, 'Hospitalisation Details'!$A:$N, 14, FALSE)</f>
        <v>R1011</v>
      </c>
      <c r="P384" s="36">
        <f>VLOOKUP($A384, 'Hospitalisation Details'!$A:$O, 15, FALSE)</f>
        <v>28</v>
      </c>
    </row>
    <row r="385" ht="15.75" customHeight="1">
      <c r="A385" s="33" t="s">
        <v>769</v>
      </c>
      <c r="B385" s="22" t="str">
        <f>VLOOKUP($A385,'Customer Names'!$A:$D,3, FALSE)</f>
        <v>Graham</v>
      </c>
      <c r="C385" s="22">
        <f>VLOOKUP($A385,'Medical Examinations'!$A:$D, 2, FALSE)</f>
        <v>22.99</v>
      </c>
      <c r="D385" s="22">
        <f>VLOOKUP($A385, 'Medical Examinations'!$A:$D,3, FALSE)</f>
        <v>10.46</v>
      </c>
      <c r="E385" s="22" t="str">
        <f>VLOOKUP($A385, 'Medical Examinations'!$A:$D, 4, FALSE)</f>
        <v>No</v>
      </c>
      <c r="F385" s="22" t="str">
        <f>VLOOKUP($A385, 'Medical Examinations'!$A:$J, 5, FALSE)</f>
        <v>No</v>
      </c>
      <c r="G385" s="22" t="str">
        <f>VLOOKUP($A385, 'Medical Examinations'!$A:$I, 6, FALSE)</f>
        <v>No</v>
      </c>
      <c r="H385" s="22">
        <f>VLOOKUP($A385,'Medical Examinations'!$A:$L,10, FALSE)</f>
        <v>3</v>
      </c>
      <c r="I385" s="22" t="str">
        <f>VLOOKUP($A385, 'Medical Examinations'!$A:$J, 9, FALSE)</f>
        <v>Yes</v>
      </c>
      <c r="J385" s="22" t="str">
        <f>VLOOKUP($A385, 'Medical Examinations'!$A:$P, 11, FALSE)</f>
        <v>NORMAL WEIGHT</v>
      </c>
      <c r="K385" s="34">
        <v>26948.0</v>
      </c>
      <c r="L385" s="35">
        <f>VLOOKUP($A385, 'Hospitalisation Details'!$A:$H, 7, FALSE)</f>
        <v>27037.91</v>
      </c>
      <c r="M385" s="22" t="str">
        <f>VLOOKUP($A385, 'Hospitalisation Details'!$A:$L, 12, FALSE)</f>
        <v>tier - 2</v>
      </c>
      <c r="N385" s="22" t="str">
        <f>VLOOKUP($A385, 'Hospitalisation Details'!$A:$M, 13, FALSE)</f>
        <v>tier - 2</v>
      </c>
      <c r="O385" s="22" t="str">
        <f>VLOOKUP($A385, 'Hospitalisation Details'!$A:$N, 14, FALSE)</f>
        <v>R1013</v>
      </c>
      <c r="P385" s="36">
        <f>VLOOKUP($A385, 'Hospitalisation Details'!$A:$O, 15, FALSE)</f>
        <v>64</v>
      </c>
    </row>
    <row r="386" ht="15.75" customHeight="1">
      <c r="A386" s="33" t="s">
        <v>771</v>
      </c>
      <c r="B386" s="22" t="str">
        <f>VLOOKUP($A386,'Customer Names'!$A:$D,3, FALSE)</f>
        <v>Whitacre</v>
      </c>
      <c r="C386" s="22">
        <f>VLOOKUP($A386,'Medical Examinations'!$A:$D, 2, FALSE)</f>
        <v>31.46</v>
      </c>
      <c r="D386" s="22">
        <f>VLOOKUP($A386, 'Medical Examinations'!$A:$D,3, FALSE)</f>
        <v>7.39</v>
      </c>
      <c r="E386" s="22" t="str">
        <f>VLOOKUP($A386, 'Medical Examinations'!$A:$D, 4, FALSE)</f>
        <v>No</v>
      </c>
      <c r="F386" s="22" t="str">
        <f>VLOOKUP($A386, 'Medical Examinations'!$A:$J, 5, FALSE)</f>
        <v>No</v>
      </c>
      <c r="G386" s="22" t="str">
        <f>VLOOKUP($A386, 'Medical Examinations'!$A:$I, 6, FALSE)</f>
        <v>No</v>
      </c>
      <c r="H386" s="22">
        <f>VLOOKUP($A386,'Medical Examinations'!$A:$L,10, FALSE)</f>
        <v>0</v>
      </c>
      <c r="I386" s="22" t="str">
        <f>VLOOKUP($A386, 'Medical Examinations'!$A:$J, 9, FALSE)</f>
        <v>No</v>
      </c>
      <c r="J386" s="22" t="str">
        <f>VLOOKUP($A386, 'Medical Examinations'!$A:$P, 11, FALSE)</f>
        <v>OBESITY</v>
      </c>
      <c r="K386" s="34">
        <v>24633.0</v>
      </c>
      <c r="L386" s="35">
        <f>VLOOKUP($A386, 'Hospitalisation Details'!$A:$H, 7, FALSE)</f>
        <v>27000.98</v>
      </c>
      <c r="M386" s="22" t="str">
        <f>VLOOKUP($A386, 'Hospitalisation Details'!$A:$L, 12, FALSE)</f>
        <v>tier - 2</v>
      </c>
      <c r="N386" s="22" t="str">
        <f>VLOOKUP($A386, 'Hospitalisation Details'!$A:$M, 13, FALSE)</f>
        <v>tier - 2</v>
      </c>
      <c r="O386" s="22" t="str">
        <f>VLOOKUP($A386, 'Hospitalisation Details'!$A:$N, 14, FALSE)</f>
        <v>R1013</v>
      </c>
      <c r="P386" s="36">
        <f>VLOOKUP($A386, 'Hospitalisation Details'!$A:$O, 15, FALSE)</f>
        <v>62</v>
      </c>
    </row>
    <row r="387" ht="15.75" customHeight="1">
      <c r="A387" s="33" t="s">
        <v>773</v>
      </c>
      <c r="B387" s="22" t="str">
        <f>VLOOKUP($A387,'Customer Names'!$A:$D,3, FALSE)</f>
        <v>Wegener</v>
      </c>
      <c r="C387" s="22">
        <f>VLOOKUP($A387,'Medical Examinations'!$A:$D, 2, FALSE)</f>
        <v>30.86</v>
      </c>
      <c r="D387" s="22">
        <f>VLOOKUP($A387, 'Medical Examinations'!$A:$D,3, FALSE)</f>
        <v>6.18</v>
      </c>
      <c r="E387" s="22" t="str">
        <f>VLOOKUP($A387, 'Medical Examinations'!$A:$D, 4, FALSE)</f>
        <v>No</v>
      </c>
      <c r="F387" s="22" t="str">
        <f>VLOOKUP($A387, 'Medical Examinations'!$A:$J, 5, FALSE)</f>
        <v>Yes</v>
      </c>
      <c r="G387" s="22" t="str">
        <f>VLOOKUP($A387, 'Medical Examinations'!$A:$I, 6, FALSE)</f>
        <v>No</v>
      </c>
      <c r="H387" s="22">
        <f>VLOOKUP($A387,'Medical Examinations'!$A:$L,10, FALSE)</f>
        <v>2</v>
      </c>
      <c r="I387" s="22" t="str">
        <f>VLOOKUP($A387, 'Medical Examinations'!$A:$J, 9, FALSE)</f>
        <v>Yes</v>
      </c>
      <c r="J387" s="22" t="str">
        <f>VLOOKUP($A387, 'Medical Examinations'!$A:$P, 11, FALSE)</f>
        <v>OBESITY</v>
      </c>
      <c r="K387" s="34">
        <v>24683.0</v>
      </c>
      <c r="L387" s="35">
        <f>VLOOKUP($A387, 'Hospitalisation Details'!$A:$H, 7, FALSE)</f>
        <v>26936.98</v>
      </c>
      <c r="M387" s="22" t="str">
        <f>VLOOKUP($A387, 'Hospitalisation Details'!$A:$L, 12, FALSE)</f>
        <v>tier - 2</v>
      </c>
      <c r="N387" s="22" t="str">
        <f>VLOOKUP($A387, 'Hospitalisation Details'!$A:$M, 13, FALSE)</f>
        <v>tier - 3</v>
      </c>
      <c r="O387" s="22" t="str">
        <f>VLOOKUP($A387, 'Hospitalisation Details'!$A:$N, 14, FALSE)</f>
        <v>R1011</v>
      </c>
      <c r="P387" s="36">
        <f>VLOOKUP($A387, 'Hospitalisation Details'!$A:$O, 15, FALSE)</f>
        <v>22</v>
      </c>
    </row>
    <row r="388" ht="15.75" customHeight="1">
      <c r="A388" s="33" t="s">
        <v>775</v>
      </c>
      <c r="B388" s="22" t="str">
        <f>VLOOKUP($A388,'Customer Names'!$A:$D,3, FALSE)</f>
        <v>Collie</v>
      </c>
      <c r="C388" s="22">
        <f>VLOOKUP($A388,'Medical Examinations'!$A:$D, 2, FALSE)</f>
        <v>31.96</v>
      </c>
      <c r="D388" s="22">
        <f>VLOOKUP($A388, 'Medical Examinations'!$A:$D,3, FALSE)</f>
        <v>8.86</v>
      </c>
      <c r="E388" s="22" t="str">
        <f>VLOOKUP($A388, 'Medical Examinations'!$A:$D, 4, FALSE)</f>
        <v>No</v>
      </c>
      <c r="F388" s="22" t="str">
        <f>VLOOKUP($A388, 'Medical Examinations'!$A:$J, 5, FALSE)</f>
        <v>No</v>
      </c>
      <c r="G388" s="22" t="str">
        <f>VLOOKUP($A388, 'Medical Examinations'!$A:$I, 6, FALSE)</f>
        <v>No</v>
      </c>
      <c r="H388" s="22">
        <f>VLOOKUP($A388,'Medical Examinations'!$A:$L,10, FALSE)</f>
        <v>0</v>
      </c>
      <c r="I388" s="22" t="str">
        <f>VLOOKUP($A388, 'Medical Examinations'!$A:$J, 9, FALSE)</f>
        <v>Yes</v>
      </c>
      <c r="J388" s="22" t="str">
        <f>VLOOKUP($A388, 'Medical Examinations'!$A:$P, 11, FALSE)</f>
        <v>OBESITY</v>
      </c>
      <c r="K388" s="34">
        <v>27749.0</v>
      </c>
      <c r="L388" s="35">
        <f>VLOOKUP($A388, 'Hospitalisation Details'!$A:$H, 7, FALSE)</f>
        <v>26927.69</v>
      </c>
      <c r="M388" s="22" t="str">
        <f>VLOOKUP($A388, 'Hospitalisation Details'!$A:$L, 12, FALSE)</f>
        <v>tier - 2</v>
      </c>
      <c r="N388" s="22" t="str">
        <f>VLOOKUP($A388, 'Hospitalisation Details'!$A:$M, 13, FALSE)</f>
        <v>tier - 2</v>
      </c>
      <c r="O388" s="22" t="str">
        <f>VLOOKUP($A388, 'Hospitalisation Details'!$A:$N, 14, FALSE)</f>
        <v>R1011</v>
      </c>
      <c r="P388" s="36">
        <f>VLOOKUP($A388, 'Hospitalisation Details'!$A:$O, 15, FALSE)</f>
        <v>20</v>
      </c>
    </row>
    <row r="389" ht="15.75" customHeight="1">
      <c r="A389" s="33" t="s">
        <v>777</v>
      </c>
      <c r="B389" s="22" t="str">
        <f>VLOOKUP($A389,'Customer Names'!$A:$D,3, FALSE)</f>
        <v>Murphy</v>
      </c>
      <c r="C389" s="22">
        <f>VLOOKUP($A389,'Medical Examinations'!$A:$D, 2, FALSE)</f>
        <v>23.76</v>
      </c>
      <c r="D389" s="22">
        <f>VLOOKUP($A389, 'Medical Examinations'!$A:$D,3, FALSE)</f>
        <v>10.96</v>
      </c>
      <c r="E389" s="22" t="str">
        <f>VLOOKUP($A389, 'Medical Examinations'!$A:$D, 4, FALSE)</f>
        <v>No</v>
      </c>
      <c r="F389" s="22" t="str">
        <f>VLOOKUP($A389, 'Medical Examinations'!$A:$J, 5, FALSE)</f>
        <v>No</v>
      </c>
      <c r="G389" s="22" t="str">
        <f>VLOOKUP($A389, 'Medical Examinations'!$A:$I, 6, FALSE)</f>
        <v>No</v>
      </c>
      <c r="H389" s="22">
        <f>VLOOKUP($A389,'Medical Examinations'!$A:$L,10, FALSE)</f>
        <v>3</v>
      </c>
      <c r="I389" s="22" t="str">
        <f>VLOOKUP($A389, 'Medical Examinations'!$A:$J, 9, FALSE)</f>
        <v>Yes</v>
      </c>
      <c r="J389" s="22" t="str">
        <f>VLOOKUP($A389, 'Medical Examinations'!$A:$P, 11, FALSE)</f>
        <v>NORMAL WEIGHT</v>
      </c>
      <c r="K389" s="34">
        <v>34619.0</v>
      </c>
      <c r="L389" s="35">
        <f>VLOOKUP($A389, 'Hospitalisation Details'!$A:$H, 7, FALSE)</f>
        <v>26926.51</v>
      </c>
      <c r="M389" s="22" t="str">
        <f>VLOOKUP($A389, 'Hospitalisation Details'!$A:$L, 12, FALSE)</f>
        <v>tier - 2</v>
      </c>
      <c r="N389" s="22" t="str">
        <f>VLOOKUP($A389, 'Hospitalisation Details'!$A:$M, 13, FALSE)</f>
        <v>tier - 1</v>
      </c>
      <c r="O389" s="22" t="str">
        <f>VLOOKUP($A389, 'Hospitalisation Details'!$A:$N, 14, FALSE)</f>
        <v>R1013</v>
      </c>
      <c r="P389" s="36">
        <f>VLOOKUP($A389, 'Hospitalisation Details'!$A:$O, 15, FALSE)</f>
        <v>64</v>
      </c>
    </row>
    <row r="390" ht="15.75" customHeight="1">
      <c r="A390" s="33" t="s">
        <v>779</v>
      </c>
      <c r="B390" s="22" t="str">
        <f>VLOOKUP($A390,'Customer Names'!$A:$D,3, FALSE)</f>
        <v>Butters</v>
      </c>
      <c r="C390" s="22">
        <f>VLOOKUP($A390,'Medical Examinations'!$A:$D, 2, FALSE)</f>
        <v>19.38</v>
      </c>
      <c r="D390" s="22">
        <f>VLOOKUP($A390, 'Medical Examinations'!$A:$D,3, FALSE)</f>
        <v>6.28</v>
      </c>
      <c r="E390" s="22" t="str">
        <f>VLOOKUP($A390, 'Medical Examinations'!$A:$D, 4, FALSE)</f>
        <v>No</v>
      </c>
      <c r="F390" s="22" t="str">
        <f>VLOOKUP($A390, 'Medical Examinations'!$A:$J, 5, FALSE)</f>
        <v>No</v>
      </c>
      <c r="G390" s="22" t="str">
        <f>VLOOKUP($A390, 'Medical Examinations'!$A:$I, 6, FALSE)</f>
        <v>No</v>
      </c>
      <c r="H390" s="22">
        <f>VLOOKUP($A390,'Medical Examinations'!$A:$L,10, FALSE)</f>
        <v>0</v>
      </c>
      <c r="I390" s="22" t="str">
        <f>VLOOKUP($A390, 'Medical Examinations'!$A:$J, 9, FALSE)</f>
        <v>Yes</v>
      </c>
      <c r="J390" s="22" t="str">
        <f>VLOOKUP($A390, 'Medical Examinations'!$A:$P, 11, FALSE)</f>
        <v>NORMAL WEIGHT</v>
      </c>
      <c r="K390" s="34">
        <v>37131.0</v>
      </c>
      <c r="L390" s="35">
        <f>VLOOKUP($A390, 'Hospitalisation Details'!$A:$H, 7, FALSE)</f>
        <v>26912.56</v>
      </c>
      <c r="M390" s="22" t="str">
        <f>VLOOKUP($A390, 'Hospitalisation Details'!$A:$L, 12, FALSE)</f>
        <v>tier - 2</v>
      </c>
      <c r="N390" s="22" t="str">
        <f>VLOOKUP($A390, 'Hospitalisation Details'!$A:$M, 13, FALSE)</f>
        <v>tier - 2</v>
      </c>
      <c r="O390" s="22" t="str">
        <f>VLOOKUP($A390, 'Hospitalisation Details'!$A:$N, 14, FALSE)</f>
        <v>R1011</v>
      </c>
      <c r="P390" s="36">
        <f>VLOOKUP($A390, 'Hospitalisation Details'!$A:$O, 15, FALSE)</f>
        <v>31</v>
      </c>
    </row>
    <row r="391" ht="15.75" customHeight="1">
      <c r="A391" s="33" t="s">
        <v>781</v>
      </c>
      <c r="B391" s="22" t="str">
        <f>VLOOKUP($A391,'Customer Names'!$A:$D,3, FALSE)</f>
        <v>Cook</v>
      </c>
      <c r="C391" s="22">
        <f>VLOOKUP($A391,'Medical Examinations'!$A:$D, 2, FALSE)</f>
        <v>16.21</v>
      </c>
      <c r="D391" s="22">
        <f>VLOOKUP($A391, 'Medical Examinations'!$A:$D,3, FALSE)</f>
        <v>6.29</v>
      </c>
      <c r="E391" s="22" t="str">
        <f>VLOOKUP($A391, 'Medical Examinations'!$A:$D, 4, FALSE)</f>
        <v>Yes</v>
      </c>
      <c r="F391" s="22" t="str">
        <f>VLOOKUP($A391, 'Medical Examinations'!$A:$J, 5, FALSE)</f>
        <v>No</v>
      </c>
      <c r="G391" s="22" t="str">
        <f>VLOOKUP($A391, 'Medical Examinations'!$A:$I, 6, FALSE)</f>
        <v>No</v>
      </c>
      <c r="H391" s="22">
        <f>VLOOKUP($A391,'Medical Examinations'!$A:$L,10, FALSE)</f>
        <v>1</v>
      </c>
      <c r="I391" s="22" t="str">
        <f>VLOOKUP($A391, 'Medical Examinations'!$A:$J, 9, FALSE)</f>
        <v>Yes</v>
      </c>
      <c r="J391" s="22" t="str">
        <f>VLOOKUP($A391, 'Medical Examinations'!$A:$P, 11, FALSE)</f>
        <v>UNDERWEIGHT</v>
      </c>
      <c r="K391" s="34">
        <v>34280.0</v>
      </c>
      <c r="L391" s="35">
        <f>VLOOKUP($A391, 'Hospitalisation Details'!$A:$H, 7, FALSE)</f>
        <v>26607.89</v>
      </c>
      <c r="M391" s="22" t="str">
        <f>VLOOKUP($A391, 'Hospitalisation Details'!$A:$L, 12, FALSE)</f>
        <v>tier - 2</v>
      </c>
      <c r="N391" s="22" t="str">
        <f>VLOOKUP($A391, 'Hospitalisation Details'!$A:$M, 13, FALSE)</f>
        <v>tier - 1</v>
      </c>
      <c r="O391" s="22" t="str">
        <f>VLOOKUP($A391, 'Hospitalisation Details'!$A:$N, 14, FALSE)</f>
        <v>R1011</v>
      </c>
      <c r="P391" s="36">
        <f>VLOOKUP($A391, 'Hospitalisation Details'!$A:$O, 15, FALSE)</f>
        <v>34</v>
      </c>
    </row>
    <row r="392" ht="15.75" customHeight="1">
      <c r="A392" s="33" t="s">
        <v>783</v>
      </c>
      <c r="B392" s="22" t="str">
        <f>VLOOKUP($A392,'Customer Names'!$A:$D,3, FALSE)</f>
        <v>Breen</v>
      </c>
      <c r="C392" s="22">
        <f>VLOOKUP($A392,'Medical Examinations'!$A:$D, 2, FALSE)</f>
        <v>32.54</v>
      </c>
      <c r="D392" s="22">
        <f>VLOOKUP($A392, 'Medical Examinations'!$A:$D,3, FALSE)</f>
        <v>4.02</v>
      </c>
      <c r="E392" s="22" t="str">
        <f>VLOOKUP($A392, 'Medical Examinations'!$A:$D, 4, FALSE)</f>
        <v>No</v>
      </c>
      <c r="F392" s="22" t="str">
        <f>VLOOKUP($A392, 'Medical Examinations'!$A:$J, 5, FALSE)</f>
        <v>Yes</v>
      </c>
      <c r="G392" s="22" t="str">
        <f>VLOOKUP($A392, 'Medical Examinations'!$A:$I, 6, FALSE)</f>
        <v>No</v>
      </c>
      <c r="H392" s="22">
        <f>VLOOKUP($A392,'Medical Examinations'!$A:$L,10, FALSE)</f>
        <v>1</v>
      </c>
      <c r="I392" s="22" t="str">
        <f>VLOOKUP($A392, 'Medical Examinations'!$A:$J, 9, FALSE)</f>
        <v>Yes</v>
      </c>
      <c r="J392" s="22" t="str">
        <f>VLOOKUP($A392, 'Medical Examinations'!$A:$P, 11, FALSE)</f>
        <v>OBESITY</v>
      </c>
      <c r="K392" s="34">
        <v>24036.0</v>
      </c>
      <c r="L392" s="35">
        <f>VLOOKUP($A392, 'Hospitalisation Details'!$A:$H, 7, FALSE)</f>
        <v>26479.4</v>
      </c>
      <c r="M392" s="22" t="str">
        <f>VLOOKUP($A392, 'Hospitalisation Details'!$A:$L, 12, FALSE)</f>
        <v>tier - 2</v>
      </c>
      <c r="N392" s="22" t="str">
        <f>VLOOKUP($A392, 'Hospitalisation Details'!$A:$M, 13, FALSE)</f>
        <v>tier - 2</v>
      </c>
      <c r="O392" s="22" t="str">
        <f>VLOOKUP($A392, 'Hospitalisation Details'!$A:$N, 14, FALSE)</f>
        <v>R1011</v>
      </c>
      <c r="P392" s="36">
        <f>VLOOKUP($A392, 'Hospitalisation Details'!$A:$O, 15, FALSE)</f>
        <v>18</v>
      </c>
    </row>
    <row r="393" ht="15.75" customHeight="1">
      <c r="A393" s="33" t="s">
        <v>785</v>
      </c>
      <c r="B393" s="22" t="str">
        <f>VLOOKUP($A393,'Customer Names'!$A:$D,3, FALSE)</f>
        <v>Fitzsimons</v>
      </c>
      <c r="C393" s="22">
        <f>VLOOKUP($A393,'Medical Examinations'!$A:$D, 2, FALSE)</f>
        <v>36.765</v>
      </c>
      <c r="D393" s="22">
        <f>VLOOKUP($A393, 'Medical Examinations'!$A:$D,3, FALSE)</f>
        <v>11.95</v>
      </c>
      <c r="E393" s="22" t="str">
        <f>VLOOKUP($A393, 'Medical Examinations'!$A:$D, 4, FALSE)</f>
        <v>Yes</v>
      </c>
      <c r="F393" s="22" t="str">
        <f>VLOOKUP($A393, 'Medical Examinations'!$A:$J, 5, FALSE)</f>
        <v>No</v>
      </c>
      <c r="G393" s="22" t="str">
        <f>VLOOKUP($A393, 'Medical Examinations'!$A:$I, 6, FALSE)</f>
        <v>No</v>
      </c>
      <c r="H393" s="22">
        <f>VLOOKUP($A393,'Medical Examinations'!$A:$L,10, FALSE)</f>
        <v>2</v>
      </c>
      <c r="I393" s="22" t="str">
        <f>VLOOKUP($A393, 'Medical Examinations'!$A:$J, 9, FALSE)</f>
        <v>No</v>
      </c>
      <c r="J393" s="22" t="str">
        <f>VLOOKUP($A393, 'Medical Examinations'!$A:$P, 11, FALSE)</f>
        <v>OBESITY</v>
      </c>
      <c r="K393" s="34">
        <v>27743.0</v>
      </c>
      <c r="L393" s="35">
        <f>VLOOKUP($A393, 'Hospitalisation Details'!$A:$H, 7, FALSE)</f>
        <v>26467.1</v>
      </c>
      <c r="M393" s="22" t="str">
        <f>VLOOKUP($A393, 'Hospitalisation Details'!$A:$L, 12, FALSE)</f>
        <v>tier - 2</v>
      </c>
      <c r="N393" s="22" t="str">
        <f>VLOOKUP($A393, 'Hospitalisation Details'!$A:$M, 13, FALSE)</f>
        <v>tier - 3</v>
      </c>
      <c r="O393" s="22" t="str">
        <f>VLOOKUP($A393, 'Hospitalisation Details'!$A:$N, 14, FALSE)</f>
        <v>R1012</v>
      </c>
      <c r="P393" s="36">
        <f>VLOOKUP($A393, 'Hospitalisation Details'!$A:$O, 15, FALSE)</f>
        <v>52</v>
      </c>
    </row>
    <row r="394" ht="15.75" customHeight="1">
      <c r="A394" s="33" t="s">
        <v>787</v>
      </c>
      <c r="B394" s="22" t="str">
        <f>VLOOKUP($A394,'Customer Names'!$A:$D,3, FALSE)</f>
        <v>Houle</v>
      </c>
      <c r="C394" s="22">
        <f>VLOOKUP($A394,'Medical Examinations'!$A:$D, 2, FALSE)</f>
        <v>35.91</v>
      </c>
      <c r="D394" s="22">
        <f>VLOOKUP($A394, 'Medical Examinations'!$A:$D,3, FALSE)</f>
        <v>8.71</v>
      </c>
      <c r="E394" s="22" t="str">
        <f>VLOOKUP($A394, 'Medical Examinations'!$A:$D, 4, FALSE)</f>
        <v>No</v>
      </c>
      <c r="F394" s="22" t="str">
        <f>VLOOKUP($A394, 'Medical Examinations'!$A:$J, 5, FALSE)</f>
        <v>No</v>
      </c>
      <c r="G394" s="22" t="str">
        <f>VLOOKUP($A394, 'Medical Examinations'!$A:$I, 6, FALSE)</f>
        <v>No</v>
      </c>
      <c r="H394" s="22">
        <f>VLOOKUP($A394,'Medical Examinations'!$A:$L,10, FALSE)</f>
        <v>0</v>
      </c>
      <c r="I394" s="22" t="str">
        <f>VLOOKUP($A394, 'Medical Examinations'!$A:$J, 9, FALSE)</f>
        <v>No</v>
      </c>
      <c r="J394" s="22" t="str">
        <f>VLOOKUP($A394, 'Medical Examinations'!$A:$P, 11, FALSE)</f>
        <v>OBESITY</v>
      </c>
      <c r="K394" s="34">
        <v>23965.0</v>
      </c>
      <c r="L394" s="35">
        <f>VLOOKUP($A394, 'Hospitalisation Details'!$A:$H, 7, FALSE)</f>
        <v>26392.26</v>
      </c>
      <c r="M394" s="22" t="str">
        <f>VLOOKUP($A394, 'Hospitalisation Details'!$A:$L, 12, FALSE)</f>
        <v>tier - 2</v>
      </c>
      <c r="N394" s="22" t="str">
        <f>VLOOKUP($A394, 'Hospitalisation Details'!$A:$M, 13, FALSE)</f>
        <v>tier - 2</v>
      </c>
      <c r="O394" s="22" t="str">
        <f>VLOOKUP($A394, 'Hospitalisation Details'!$A:$N, 14, FALSE)</f>
        <v>R1024</v>
      </c>
      <c r="P394" s="36">
        <f>VLOOKUP($A394, 'Hospitalisation Details'!$A:$O, 15, FALSE)</f>
        <v>48</v>
      </c>
    </row>
    <row r="395" ht="15.75" customHeight="1">
      <c r="A395" s="33" t="s">
        <v>789</v>
      </c>
      <c r="B395" s="22" t="str">
        <f>VLOOKUP($A395,'Customer Names'!$A:$D,3, FALSE)</f>
        <v>Woodward</v>
      </c>
      <c r="C395" s="22">
        <f>VLOOKUP($A395,'Medical Examinations'!$A:$D, 2, FALSE)</f>
        <v>32.06</v>
      </c>
      <c r="D395" s="22">
        <f>VLOOKUP($A395, 'Medical Examinations'!$A:$D,3, FALSE)</f>
        <v>4.67</v>
      </c>
      <c r="E395" s="22" t="str">
        <f>VLOOKUP($A395, 'Medical Examinations'!$A:$D, 4, FALSE)</f>
        <v>No</v>
      </c>
      <c r="F395" s="22" t="str">
        <f>VLOOKUP($A395, 'Medical Examinations'!$A:$J, 5, FALSE)</f>
        <v>Yes</v>
      </c>
      <c r="G395" s="22" t="str">
        <f>VLOOKUP($A395, 'Medical Examinations'!$A:$I, 6, FALSE)</f>
        <v>No</v>
      </c>
      <c r="H395" s="22">
        <f>VLOOKUP($A395,'Medical Examinations'!$A:$L,10, FALSE)</f>
        <v>1</v>
      </c>
      <c r="I395" s="22" t="str">
        <f>VLOOKUP($A395, 'Medical Examinations'!$A:$J, 9, FALSE)</f>
        <v>Yes</v>
      </c>
      <c r="J395" s="22" t="str">
        <f>VLOOKUP($A395, 'Medical Examinations'!$A:$P, 11, FALSE)</f>
        <v>OBESITY</v>
      </c>
      <c r="K395" s="34">
        <v>27573.0</v>
      </c>
      <c r="L395" s="35">
        <f>VLOOKUP($A395, 'Hospitalisation Details'!$A:$H, 7, FALSE)</f>
        <v>26316.59</v>
      </c>
      <c r="M395" s="22" t="str">
        <f>VLOOKUP($A395, 'Hospitalisation Details'!$A:$L, 12, FALSE)</f>
        <v>tier - 2</v>
      </c>
      <c r="N395" s="22" t="str">
        <f>VLOOKUP($A395, 'Hospitalisation Details'!$A:$M, 13, FALSE)</f>
        <v>tier - 3</v>
      </c>
      <c r="O395" s="22" t="str">
        <f>VLOOKUP($A395, 'Hospitalisation Details'!$A:$N, 14, FALSE)</f>
        <v>R1011</v>
      </c>
      <c r="P395" s="36">
        <f>VLOOKUP($A395, 'Hospitalisation Details'!$A:$O, 15, FALSE)</f>
        <v>18</v>
      </c>
    </row>
    <row r="396" ht="15.75" customHeight="1">
      <c r="A396" s="33" t="s">
        <v>791</v>
      </c>
      <c r="B396" s="22" t="str">
        <f>VLOOKUP($A396,'Customer Names'!$A:$D,3, FALSE)</f>
        <v>Ray</v>
      </c>
      <c r="C396" s="22">
        <f>VLOOKUP($A396,'Medical Examinations'!$A:$D, 2, FALSE)</f>
        <v>24.1</v>
      </c>
      <c r="D396" s="22">
        <f>VLOOKUP($A396, 'Medical Examinations'!$A:$D,3, FALSE)</f>
        <v>11.14</v>
      </c>
      <c r="E396" s="22" t="str">
        <f>VLOOKUP($A396, 'Medical Examinations'!$A:$D, 4, FALSE)</f>
        <v>Yes</v>
      </c>
      <c r="F396" s="22" t="str">
        <f>VLOOKUP($A396, 'Medical Examinations'!$A:$J, 5, FALSE)</f>
        <v>No</v>
      </c>
      <c r="G396" s="22" t="str">
        <f>VLOOKUP($A396, 'Medical Examinations'!$A:$I, 6, FALSE)</f>
        <v>No</v>
      </c>
      <c r="H396" s="22">
        <f>VLOOKUP($A396,'Medical Examinations'!$A:$L,10, FALSE)</f>
        <v>1</v>
      </c>
      <c r="I396" s="22" t="str">
        <f>VLOOKUP($A396, 'Medical Examinations'!$A:$J, 9, FALSE)</f>
        <v>No</v>
      </c>
      <c r="J396" s="22" t="str">
        <f>VLOOKUP($A396, 'Medical Examinations'!$A:$P, 11, FALSE)</f>
        <v>NORMAL WEIGHT</v>
      </c>
      <c r="K396" s="34">
        <v>25914.0</v>
      </c>
      <c r="L396" s="35">
        <f>VLOOKUP($A396, 'Hospitalisation Details'!$A:$H, 7, FALSE)</f>
        <v>26236.58</v>
      </c>
      <c r="M396" s="22" t="str">
        <f>VLOOKUP($A396, 'Hospitalisation Details'!$A:$L, 12, FALSE)</f>
        <v>tier - 2</v>
      </c>
      <c r="N396" s="22" t="str">
        <f>VLOOKUP($A396, 'Hospitalisation Details'!$A:$M, 13, FALSE)</f>
        <v>tier - 1</v>
      </c>
      <c r="O396" s="22" t="str">
        <f>VLOOKUP($A396, 'Hospitalisation Details'!$A:$N, 14, FALSE)</f>
        <v>R1011</v>
      </c>
      <c r="P396" s="36">
        <f>VLOOKUP($A396, 'Hospitalisation Details'!$A:$O, 15, FALSE)</f>
        <v>48</v>
      </c>
    </row>
    <row r="397" ht="15.75" customHeight="1">
      <c r="A397" s="33" t="s">
        <v>793</v>
      </c>
      <c r="B397" s="22" t="str">
        <f>VLOOKUP($A397,'Customer Names'!$A:$D,3, FALSE)</f>
        <v>Jennings</v>
      </c>
      <c r="C397" s="22">
        <f>VLOOKUP($A397,'Medical Examinations'!$A:$D, 2, FALSE)</f>
        <v>27.1</v>
      </c>
      <c r="D397" s="22">
        <f>VLOOKUP($A397, 'Medical Examinations'!$A:$D,3, FALSE)</f>
        <v>9.05</v>
      </c>
      <c r="E397" s="22" t="str">
        <f>VLOOKUP($A397, 'Medical Examinations'!$A:$D, 4, FALSE)</f>
        <v>No</v>
      </c>
      <c r="F397" s="22" t="str">
        <f>VLOOKUP($A397, 'Medical Examinations'!$A:$J, 5, FALSE)</f>
        <v>No</v>
      </c>
      <c r="G397" s="22" t="str">
        <f>VLOOKUP($A397, 'Medical Examinations'!$A:$I, 6, FALSE)</f>
        <v>No</v>
      </c>
      <c r="H397" s="22">
        <f>VLOOKUP($A397,'Medical Examinations'!$A:$L,10, FALSE)</f>
        <v>2</v>
      </c>
      <c r="I397" s="22" t="str">
        <f>VLOOKUP($A397, 'Medical Examinations'!$A:$J, 9, FALSE)</f>
        <v>No</v>
      </c>
      <c r="J397" s="22" t="str">
        <f>VLOOKUP($A397, 'Medical Examinations'!$A:$P, 11, FALSE)</f>
        <v>OVERWEIGHT</v>
      </c>
      <c r="K397" s="34">
        <v>30312.0</v>
      </c>
      <c r="L397" s="35">
        <f>VLOOKUP($A397, 'Hospitalisation Details'!$A:$H, 7, FALSE)</f>
        <v>26140.36</v>
      </c>
      <c r="M397" s="22" t="str">
        <f>VLOOKUP($A397, 'Hospitalisation Details'!$A:$L, 12, FALSE)</f>
        <v>tier - 2</v>
      </c>
      <c r="N397" s="22" t="str">
        <f>VLOOKUP($A397, 'Hospitalisation Details'!$A:$M, 13, FALSE)</f>
        <v>tier - 3</v>
      </c>
      <c r="O397" s="22" t="str">
        <f>VLOOKUP($A397, 'Hospitalisation Details'!$A:$N, 14, FALSE)</f>
        <v>R1011</v>
      </c>
      <c r="P397" s="36">
        <f>VLOOKUP($A397, 'Hospitalisation Details'!$A:$O, 15, FALSE)</f>
        <v>49</v>
      </c>
    </row>
    <row r="398" ht="15.75" customHeight="1">
      <c r="A398" s="33" t="s">
        <v>795</v>
      </c>
      <c r="B398" s="22" t="str">
        <f>VLOOKUP($A398,'Customer Names'!$A:$D,3, FALSE)</f>
        <v>Fuller</v>
      </c>
      <c r="C398" s="22">
        <f>VLOOKUP($A398,'Medical Examinations'!$A:$D, 2, FALSE)</f>
        <v>24.42</v>
      </c>
      <c r="D398" s="22">
        <f>VLOOKUP($A398, 'Medical Examinations'!$A:$D,3, FALSE)</f>
        <v>11.31</v>
      </c>
      <c r="E398" s="22" t="str">
        <f>VLOOKUP($A398, 'Medical Examinations'!$A:$D, 4, FALSE)</f>
        <v>No</v>
      </c>
      <c r="F398" s="22" t="str">
        <f>VLOOKUP($A398, 'Medical Examinations'!$A:$J, 5, FALSE)</f>
        <v>No</v>
      </c>
      <c r="G398" s="22" t="str">
        <f>VLOOKUP($A398, 'Medical Examinations'!$A:$I, 6, FALSE)</f>
        <v>No</v>
      </c>
      <c r="H398" s="22">
        <f>VLOOKUP($A398,'Medical Examinations'!$A:$L,10, FALSE)</f>
        <v>0</v>
      </c>
      <c r="I398" s="22" t="str">
        <f>VLOOKUP($A398, 'Medical Examinations'!$A:$J, 9, FALSE)</f>
        <v>Yes</v>
      </c>
      <c r="J398" s="22" t="str">
        <f>VLOOKUP($A398, 'Medical Examinations'!$A:$P, 11, FALSE)</f>
        <v>NORMAL WEIGHT</v>
      </c>
      <c r="K398" s="34">
        <v>23534.0</v>
      </c>
      <c r="L398" s="35">
        <f>VLOOKUP($A398, 'Hospitalisation Details'!$A:$H, 7, FALSE)</f>
        <v>26125.67</v>
      </c>
      <c r="M398" s="22" t="str">
        <f>VLOOKUP($A398, 'Hospitalisation Details'!$A:$L, 12, FALSE)</f>
        <v>tier - 2</v>
      </c>
      <c r="N398" s="22" t="str">
        <f>VLOOKUP($A398, 'Hospitalisation Details'!$A:$M, 13, FALSE)</f>
        <v>tier - 1</v>
      </c>
      <c r="O398" s="22" t="str">
        <f>VLOOKUP($A398, 'Hospitalisation Details'!$A:$N, 14, FALSE)</f>
        <v>R1013</v>
      </c>
      <c r="P398" s="36">
        <f>VLOOKUP($A398, 'Hospitalisation Details'!$A:$O, 15, FALSE)</f>
        <v>20</v>
      </c>
    </row>
    <row r="399" ht="15.75" customHeight="1">
      <c r="A399" s="33" t="s">
        <v>797</v>
      </c>
      <c r="B399" s="22" t="str">
        <f>VLOOKUP($A399,'Customer Names'!$A:$D,3, FALSE)</f>
        <v>Lovisek</v>
      </c>
      <c r="C399" s="22">
        <f>VLOOKUP($A399,'Medical Examinations'!$A:$D, 2, FALSE)</f>
        <v>26.695</v>
      </c>
      <c r="D399" s="22">
        <f>VLOOKUP($A399, 'Medical Examinations'!$A:$D,3, FALSE)</f>
        <v>4.68</v>
      </c>
      <c r="E399" s="22" t="str">
        <f>VLOOKUP($A399, 'Medical Examinations'!$A:$D, 4, FALSE)</f>
        <v>Yes</v>
      </c>
      <c r="F399" s="22" t="str">
        <f>VLOOKUP($A399, 'Medical Examinations'!$A:$J, 5, FALSE)</f>
        <v>No</v>
      </c>
      <c r="G399" s="22" t="str">
        <f>VLOOKUP($A399, 'Medical Examinations'!$A:$I, 6, FALSE)</f>
        <v>No</v>
      </c>
      <c r="H399" s="22">
        <f>VLOOKUP($A399,'Medical Examinations'!$A:$L,10, FALSE)</f>
        <v>2</v>
      </c>
      <c r="I399" s="22" t="str">
        <f>VLOOKUP($A399, 'Medical Examinations'!$A:$J, 9, FALSE)</f>
        <v>Yes</v>
      </c>
      <c r="J399" s="22" t="str">
        <f>VLOOKUP($A399, 'Medical Examinations'!$A:$P, 11, FALSE)</f>
        <v>OVERWEIGHT</v>
      </c>
      <c r="K399" s="34">
        <v>31379.0</v>
      </c>
      <c r="L399" s="35">
        <f>VLOOKUP($A399, 'Hospitalisation Details'!$A:$H, 7, FALSE)</f>
        <v>26109.33</v>
      </c>
      <c r="M399" s="22" t="str">
        <f>VLOOKUP($A399, 'Hospitalisation Details'!$A:$L, 12, FALSE)</f>
        <v>tier - 2</v>
      </c>
      <c r="N399" s="22" t="str">
        <f>VLOOKUP($A399, 'Hospitalisation Details'!$A:$M, 13, FALSE)</f>
        <v>tier - 3</v>
      </c>
      <c r="O399" s="22" t="str">
        <f>VLOOKUP($A399, 'Hospitalisation Details'!$A:$N, 14, FALSE)</f>
        <v>R1012</v>
      </c>
      <c r="P399" s="36">
        <f>VLOOKUP($A399, 'Hospitalisation Details'!$A:$O, 15, FALSE)</f>
        <v>56</v>
      </c>
    </row>
    <row r="400" ht="15.75" customHeight="1">
      <c r="A400" s="33" t="s">
        <v>799</v>
      </c>
      <c r="B400" s="22" t="str">
        <f>VLOOKUP($A400,'Customer Names'!$A:$D,3, FALSE)</f>
        <v>Painter</v>
      </c>
      <c r="C400" s="22">
        <f>VLOOKUP($A400,'Medical Examinations'!$A:$D, 2, FALSE)</f>
        <v>27.79</v>
      </c>
      <c r="D400" s="22">
        <f>VLOOKUP($A400, 'Medical Examinations'!$A:$D,3, FALSE)</f>
        <v>6.05</v>
      </c>
      <c r="E400" s="22" t="str">
        <f>VLOOKUP($A400, 'Medical Examinations'!$A:$D, 4, FALSE)</f>
        <v>Yes</v>
      </c>
      <c r="F400" s="22" t="str">
        <f>VLOOKUP($A400, 'Medical Examinations'!$A:$J, 5, FALSE)</f>
        <v>Yes</v>
      </c>
      <c r="G400" s="22" t="str">
        <f>VLOOKUP($A400, 'Medical Examinations'!$A:$I, 6, FALSE)</f>
        <v>No</v>
      </c>
      <c r="H400" s="22">
        <f>VLOOKUP($A400,'Medical Examinations'!$A:$L,10, FALSE)</f>
        <v>1</v>
      </c>
      <c r="I400" s="22" t="str">
        <f>VLOOKUP($A400, 'Medical Examinations'!$A:$J, 9, FALSE)</f>
        <v>Yes</v>
      </c>
      <c r="J400" s="22" t="str">
        <f>VLOOKUP($A400, 'Medical Examinations'!$A:$P, 11, FALSE)</f>
        <v>OVERWEIGHT</v>
      </c>
      <c r="K400" s="34">
        <v>37967.0</v>
      </c>
      <c r="L400" s="35">
        <f>VLOOKUP($A400, 'Hospitalisation Details'!$A:$H, 7, FALSE)</f>
        <v>26026.97</v>
      </c>
      <c r="M400" s="22" t="str">
        <f>VLOOKUP($A400, 'Hospitalisation Details'!$A:$L, 12, FALSE)</f>
        <v>tier - 2</v>
      </c>
      <c r="N400" s="22" t="str">
        <f>VLOOKUP($A400, 'Hospitalisation Details'!$A:$M, 13, FALSE)</f>
        <v>tier - 3</v>
      </c>
      <c r="O400" s="22" t="str">
        <f>VLOOKUP($A400, 'Hospitalisation Details'!$A:$N, 14, FALSE)</f>
        <v>R1011</v>
      </c>
      <c r="P400" s="36">
        <f>VLOOKUP($A400, 'Hospitalisation Details'!$A:$O, 15, FALSE)</f>
        <v>22</v>
      </c>
    </row>
    <row r="401" ht="15.75" customHeight="1">
      <c r="A401" s="33" t="s">
        <v>801</v>
      </c>
      <c r="B401" s="22" t="str">
        <f>VLOOKUP($A401,'Customer Names'!$A:$D,3, FALSE)</f>
        <v>Edwards</v>
      </c>
      <c r="C401" s="22">
        <f>VLOOKUP($A401,'Medical Examinations'!$A:$D, 2, FALSE)</f>
        <v>32.68</v>
      </c>
      <c r="D401" s="22">
        <f>VLOOKUP($A401, 'Medical Examinations'!$A:$D,3, FALSE)</f>
        <v>4.68</v>
      </c>
      <c r="E401" s="22" t="str">
        <f>VLOOKUP($A401, 'Medical Examinations'!$A:$D, 4, FALSE)</f>
        <v>Yes</v>
      </c>
      <c r="F401" s="22" t="str">
        <f>VLOOKUP($A401, 'Medical Examinations'!$A:$J, 5, FALSE)</f>
        <v>No</v>
      </c>
      <c r="G401" s="22" t="str">
        <f>VLOOKUP($A401, 'Medical Examinations'!$A:$I, 6, FALSE)</f>
        <v>No</v>
      </c>
      <c r="H401" s="22">
        <f>VLOOKUP($A401,'Medical Examinations'!$A:$L,10, FALSE)</f>
        <v>0</v>
      </c>
      <c r="I401" s="22" t="str">
        <f>VLOOKUP($A401, 'Medical Examinations'!$A:$J, 9, FALSE)</f>
        <v>No</v>
      </c>
      <c r="J401" s="22" t="str">
        <f>VLOOKUP($A401, 'Medical Examinations'!$A:$P, 11, FALSE)</f>
        <v>OBESITY</v>
      </c>
      <c r="K401" s="34">
        <v>28435.0</v>
      </c>
      <c r="L401" s="35">
        <f>VLOOKUP($A401, 'Hospitalisation Details'!$A:$H, 7, FALSE)</f>
        <v>26018.95</v>
      </c>
      <c r="M401" s="22" t="str">
        <f>VLOOKUP($A401, 'Hospitalisation Details'!$A:$L, 12, FALSE)</f>
        <v>tier - 2</v>
      </c>
      <c r="N401" s="22" t="str">
        <f>VLOOKUP($A401, 'Hospitalisation Details'!$A:$M, 13, FALSE)</f>
        <v>tier - 2</v>
      </c>
      <c r="O401" s="22" t="str">
        <f>VLOOKUP($A401, 'Hospitalisation Details'!$A:$N, 14, FALSE)</f>
        <v>R1012</v>
      </c>
      <c r="P401" s="36">
        <f>VLOOKUP($A401, 'Hospitalisation Details'!$A:$O, 15, FALSE)</f>
        <v>22</v>
      </c>
    </row>
    <row r="402" ht="15.75" customHeight="1">
      <c r="A402" s="33" t="s">
        <v>803</v>
      </c>
      <c r="B402" s="22" t="str">
        <f>VLOOKUP($A402,'Customer Names'!$A:$D,3, FALSE)</f>
        <v>Liebl</v>
      </c>
      <c r="C402" s="22">
        <f>VLOOKUP($A402,'Medical Examinations'!$A:$D, 2, FALSE)</f>
        <v>26.4</v>
      </c>
      <c r="D402" s="22">
        <f>VLOOKUP($A402, 'Medical Examinations'!$A:$D,3, FALSE)</f>
        <v>9.5</v>
      </c>
      <c r="E402" s="22" t="str">
        <f>VLOOKUP($A402, 'Medical Examinations'!$A:$D, 4, FALSE)</f>
        <v>Yes</v>
      </c>
      <c r="F402" s="22" t="str">
        <f>VLOOKUP($A402, 'Medical Examinations'!$A:$J, 5, FALSE)</f>
        <v>No</v>
      </c>
      <c r="G402" s="22" t="str">
        <f>VLOOKUP($A402, 'Medical Examinations'!$A:$I, 6, FALSE)</f>
        <v>No</v>
      </c>
      <c r="H402" s="22">
        <f>VLOOKUP($A402,'Medical Examinations'!$A:$L,10, FALSE)</f>
        <v>2</v>
      </c>
      <c r="I402" s="22" t="str">
        <f>VLOOKUP($A402, 'Medical Examinations'!$A:$J, 9, FALSE)</f>
        <v>No</v>
      </c>
      <c r="J402" s="22" t="str">
        <f>VLOOKUP($A402, 'Medical Examinations'!$A:$P, 11, FALSE)</f>
        <v>OVERWEIGHT</v>
      </c>
      <c r="K402" s="34">
        <v>28114.0</v>
      </c>
      <c r="L402" s="35">
        <f>VLOOKUP($A402, 'Hospitalisation Details'!$A:$H, 7, FALSE)</f>
        <v>25992.82</v>
      </c>
      <c r="M402" s="22" t="str">
        <f>VLOOKUP($A402, 'Hospitalisation Details'!$A:$L, 12, FALSE)</f>
        <v>tier - 2</v>
      </c>
      <c r="N402" s="22" t="str">
        <f>VLOOKUP($A402, 'Hospitalisation Details'!$A:$M, 13, FALSE)</f>
        <v>tier - 2</v>
      </c>
      <c r="O402" s="22" t="str">
        <f>VLOOKUP($A402, 'Hospitalisation Details'!$A:$N, 14, FALSE)</f>
        <v>R1013</v>
      </c>
      <c r="P402" s="36">
        <f>VLOOKUP($A402, 'Hospitalisation Details'!$A:$O, 15, FALSE)</f>
        <v>52</v>
      </c>
    </row>
    <row r="403" ht="15.75" customHeight="1">
      <c r="A403" s="33" t="s">
        <v>805</v>
      </c>
      <c r="B403" s="22" t="str">
        <f>VLOOKUP($A403,'Customer Names'!$A:$D,3, FALSE)</f>
        <v>Kasabian-Larson</v>
      </c>
      <c r="C403" s="22">
        <f>VLOOKUP($A403,'Medical Examinations'!$A:$D, 2, FALSE)</f>
        <v>23.655</v>
      </c>
      <c r="D403" s="22">
        <f>VLOOKUP($A403, 'Medical Examinations'!$A:$D,3, FALSE)</f>
        <v>10.84</v>
      </c>
      <c r="E403" s="22" t="str">
        <f>VLOOKUP($A403, 'Medical Examinations'!$A:$D, 4, FALSE)</f>
        <v>Yes</v>
      </c>
      <c r="F403" s="22" t="str">
        <f>VLOOKUP($A403, 'Medical Examinations'!$A:$J, 5, FALSE)</f>
        <v>No</v>
      </c>
      <c r="G403" s="22" t="str">
        <f>VLOOKUP($A403, 'Medical Examinations'!$A:$I, 6, FALSE)</f>
        <v>Yes</v>
      </c>
      <c r="H403" s="22">
        <f>VLOOKUP($A403,'Medical Examinations'!$A:$L,10, FALSE)</f>
        <v>1</v>
      </c>
      <c r="I403" s="22" t="str">
        <f>VLOOKUP($A403, 'Medical Examinations'!$A:$J, 9, FALSE)</f>
        <v>Yes</v>
      </c>
      <c r="J403" s="22" t="str">
        <f>VLOOKUP($A403, 'Medical Examinations'!$A:$P, 11, FALSE)</f>
        <v>NORMAL WEIGHT</v>
      </c>
      <c r="K403" s="34">
        <v>28688.0</v>
      </c>
      <c r="L403" s="35">
        <f>VLOOKUP($A403, 'Hospitalisation Details'!$A:$H, 7, FALSE)</f>
        <v>25678.78</v>
      </c>
      <c r="M403" s="22" t="str">
        <f>VLOOKUP($A403, 'Hospitalisation Details'!$A:$L, 12, FALSE)</f>
        <v>tier - 2</v>
      </c>
      <c r="N403" s="22" t="str">
        <f>VLOOKUP($A403, 'Hospitalisation Details'!$A:$M, 13, FALSE)</f>
        <v>tier - 3</v>
      </c>
      <c r="O403" s="22" t="str">
        <f>VLOOKUP($A403, 'Hospitalisation Details'!$A:$N, 14, FALSE)</f>
        <v>R1012</v>
      </c>
      <c r="P403" s="36">
        <f>VLOOKUP($A403, 'Hospitalisation Details'!$A:$O, 15, FALSE)</f>
        <v>59</v>
      </c>
    </row>
    <row r="404" ht="15.75" customHeight="1">
      <c r="A404" s="33" t="s">
        <v>807</v>
      </c>
      <c r="B404" s="22" t="str">
        <f>VLOOKUP($A404,'Customer Names'!$A:$D,3, FALSE)</f>
        <v>Creamer</v>
      </c>
      <c r="C404" s="22">
        <f>VLOOKUP($A404,'Medical Examinations'!$A:$D, 2, FALSE)</f>
        <v>27.36</v>
      </c>
      <c r="D404" s="22">
        <f>VLOOKUP($A404, 'Medical Examinations'!$A:$D,3, FALSE)</f>
        <v>5.88</v>
      </c>
      <c r="E404" s="22" t="str">
        <f>VLOOKUP($A404, 'Medical Examinations'!$A:$D, 4, FALSE)</f>
        <v>No</v>
      </c>
      <c r="F404" s="22" t="str">
        <f>VLOOKUP($A404, 'Medical Examinations'!$A:$J, 5, FALSE)</f>
        <v>No</v>
      </c>
      <c r="G404" s="22" t="str">
        <f>VLOOKUP($A404, 'Medical Examinations'!$A:$I, 6, FALSE)</f>
        <v>No</v>
      </c>
      <c r="H404" s="22">
        <f>VLOOKUP($A404,'Medical Examinations'!$A:$L,10, FALSE)</f>
        <v>2</v>
      </c>
      <c r="I404" s="22" t="str">
        <f>VLOOKUP($A404, 'Medical Examinations'!$A:$J, 9, FALSE)</f>
        <v>No</v>
      </c>
      <c r="J404" s="22" t="str">
        <f>VLOOKUP($A404, 'Medical Examinations'!$A:$P, 11, FALSE)</f>
        <v>OVERWEIGHT</v>
      </c>
      <c r="K404" s="34">
        <v>32815.0</v>
      </c>
      <c r="L404" s="35">
        <f>VLOOKUP($A404, 'Hospitalisation Details'!$A:$H, 7, FALSE)</f>
        <v>25656.58</v>
      </c>
      <c r="M404" s="22" t="str">
        <f>VLOOKUP($A404, 'Hospitalisation Details'!$A:$L, 12, FALSE)</f>
        <v>tier - 2</v>
      </c>
      <c r="N404" s="22" t="str">
        <f>VLOOKUP($A404, 'Hospitalisation Details'!$A:$M, 13, FALSE)</f>
        <v>tier - 3</v>
      </c>
      <c r="O404" s="22" t="str">
        <f>VLOOKUP($A404, 'Hospitalisation Details'!$A:$N, 14, FALSE)</f>
        <v>R1024</v>
      </c>
      <c r="P404" s="36">
        <f>VLOOKUP($A404, 'Hospitalisation Details'!$A:$O, 15, FALSE)</f>
        <v>50</v>
      </c>
    </row>
    <row r="405" ht="15.75" customHeight="1">
      <c r="A405" s="33" t="s">
        <v>809</v>
      </c>
      <c r="B405" s="22" t="str">
        <f>VLOOKUP($A405,'Customer Names'!$A:$D,3, FALSE)</f>
        <v>Kimbel</v>
      </c>
      <c r="C405" s="22">
        <f>VLOOKUP($A405,'Medical Examinations'!$A:$D, 2, FALSE)</f>
        <v>27.82</v>
      </c>
      <c r="D405" s="22">
        <f>VLOOKUP($A405, 'Medical Examinations'!$A:$D,3, FALSE)</f>
        <v>5.24</v>
      </c>
      <c r="E405" s="22" t="str">
        <f>VLOOKUP($A405, 'Medical Examinations'!$A:$D, 4, FALSE)</f>
        <v>Yes</v>
      </c>
      <c r="F405" s="22" t="str">
        <f>VLOOKUP($A405, 'Medical Examinations'!$A:$J, 5, FALSE)</f>
        <v>No</v>
      </c>
      <c r="G405" s="22" t="str">
        <f>VLOOKUP($A405, 'Medical Examinations'!$A:$I, 6, FALSE)</f>
        <v>No</v>
      </c>
      <c r="H405" s="22">
        <f>VLOOKUP($A405,'Medical Examinations'!$A:$L,10, FALSE)</f>
        <v>0</v>
      </c>
      <c r="I405" s="22" t="str">
        <f>VLOOKUP($A405, 'Medical Examinations'!$A:$J, 9, FALSE)</f>
        <v>Yes</v>
      </c>
      <c r="J405" s="22" t="str">
        <f>VLOOKUP($A405, 'Medical Examinations'!$A:$P, 11, FALSE)</f>
        <v>OVERWEIGHT</v>
      </c>
      <c r="K405" s="34">
        <v>29533.0</v>
      </c>
      <c r="L405" s="35">
        <f>VLOOKUP($A405, 'Hospitalisation Details'!$A:$H, 7, FALSE)</f>
        <v>25648.98</v>
      </c>
      <c r="M405" s="22" t="str">
        <f>VLOOKUP($A405, 'Hospitalisation Details'!$A:$L, 12, FALSE)</f>
        <v>tier - 2</v>
      </c>
      <c r="N405" s="22" t="str">
        <f>VLOOKUP($A405, 'Hospitalisation Details'!$A:$M, 13, FALSE)</f>
        <v>tier - 1</v>
      </c>
      <c r="O405" s="22" t="str">
        <f>VLOOKUP($A405, 'Hospitalisation Details'!$A:$N, 14, FALSE)</f>
        <v>R1011</v>
      </c>
      <c r="P405" s="36">
        <f>VLOOKUP($A405, 'Hospitalisation Details'!$A:$O, 15, FALSE)</f>
        <v>21</v>
      </c>
    </row>
    <row r="406" ht="15.75" customHeight="1">
      <c r="A406" s="33" t="s">
        <v>811</v>
      </c>
      <c r="B406" s="22" t="str">
        <f>VLOOKUP($A406,'Customer Names'!$A:$D,3, FALSE)</f>
        <v>Livensparger</v>
      </c>
      <c r="C406" s="22">
        <f>VLOOKUP($A406,'Medical Examinations'!$A:$D, 2, FALSE)</f>
        <v>25.46</v>
      </c>
      <c r="D406" s="22">
        <f>VLOOKUP($A406, 'Medical Examinations'!$A:$D,3, FALSE)</f>
        <v>11.75</v>
      </c>
      <c r="E406" s="22" t="str">
        <f>VLOOKUP($A406, 'Medical Examinations'!$A:$D, 4, FALSE)</f>
        <v>No</v>
      </c>
      <c r="F406" s="22" t="str">
        <f>VLOOKUP($A406, 'Medical Examinations'!$A:$J, 5, FALSE)</f>
        <v>No</v>
      </c>
      <c r="G406" s="22" t="str">
        <f>VLOOKUP($A406, 'Medical Examinations'!$A:$I, 6, FALSE)</f>
        <v>No</v>
      </c>
      <c r="H406" s="22">
        <f>VLOOKUP($A406,'Medical Examinations'!$A:$L,10, FALSE)</f>
        <v>0</v>
      </c>
      <c r="I406" s="22" t="str">
        <f>VLOOKUP($A406, 'Medical Examinations'!$A:$J, 9, FALSE)</f>
        <v>No</v>
      </c>
      <c r="J406" s="22" t="str">
        <f>VLOOKUP($A406, 'Medical Examinations'!$A:$P, 11, FALSE)</f>
        <v>OVERWEIGHT</v>
      </c>
      <c r="K406" s="34">
        <v>34960.0</v>
      </c>
      <c r="L406" s="35">
        <f>VLOOKUP($A406, 'Hospitalisation Details'!$A:$H, 7, FALSE)</f>
        <v>25517.11</v>
      </c>
      <c r="M406" s="22" t="str">
        <f>VLOOKUP($A406, 'Hospitalisation Details'!$A:$L, 12, FALSE)</f>
        <v>tier - 2</v>
      </c>
      <c r="N406" s="22" t="str">
        <f>VLOOKUP($A406, 'Hospitalisation Details'!$A:$M, 13, FALSE)</f>
        <v>tier - 3</v>
      </c>
      <c r="O406" s="22" t="str">
        <f>VLOOKUP($A406, 'Hospitalisation Details'!$A:$N, 14, FALSE)</f>
        <v>R1017</v>
      </c>
      <c r="P406" s="36">
        <f>VLOOKUP($A406, 'Hospitalisation Details'!$A:$O, 15, FALSE)</f>
        <v>54</v>
      </c>
    </row>
    <row r="407" ht="15.75" customHeight="1">
      <c r="A407" s="33" t="s">
        <v>813</v>
      </c>
      <c r="B407" s="22" t="str">
        <f>VLOOKUP($A407,'Customer Names'!$A:$D,3, FALSE)</f>
        <v>Grange</v>
      </c>
      <c r="C407" s="22">
        <f>VLOOKUP($A407,'Medical Examinations'!$A:$D, 2, FALSE)</f>
        <v>25.1</v>
      </c>
      <c r="D407" s="22">
        <f>VLOOKUP($A407, 'Medical Examinations'!$A:$D,3, FALSE)</f>
        <v>6.97</v>
      </c>
      <c r="E407" s="22" t="str">
        <f>VLOOKUP($A407, 'Medical Examinations'!$A:$D, 4, FALSE)</f>
        <v>No</v>
      </c>
      <c r="F407" s="22" t="str">
        <f>VLOOKUP($A407, 'Medical Examinations'!$A:$J, 5, FALSE)</f>
        <v>No</v>
      </c>
      <c r="G407" s="22" t="str">
        <f>VLOOKUP($A407, 'Medical Examinations'!$A:$I, 6, FALSE)</f>
        <v>No</v>
      </c>
      <c r="H407" s="22">
        <f>VLOOKUP($A407,'Medical Examinations'!$A:$L,10, FALSE)</f>
        <v>0</v>
      </c>
      <c r="I407" s="22" t="str">
        <f>VLOOKUP($A407, 'Medical Examinations'!$A:$J, 9, FALSE)</f>
        <v>Yes</v>
      </c>
      <c r="J407" s="22" t="str">
        <f>VLOOKUP($A407, 'Medical Examinations'!$A:$P, 11, FALSE)</f>
        <v>OVERWEIGHT</v>
      </c>
      <c r="K407" s="34">
        <v>22880.0</v>
      </c>
      <c r="L407" s="35">
        <f>VLOOKUP($A407, 'Hospitalisation Details'!$A:$H, 7, FALSE)</f>
        <v>25382.3</v>
      </c>
      <c r="M407" s="22" t="str">
        <f>VLOOKUP($A407, 'Hospitalisation Details'!$A:$L, 12, FALSE)</f>
        <v>tier - 2</v>
      </c>
      <c r="N407" s="22" t="str">
        <f>VLOOKUP($A407, 'Hospitalisation Details'!$A:$M, 13, FALSE)</f>
        <v>tier - 2</v>
      </c>
      <c r="O407" s="22" t="str">
        <f>VLOOKUP($A407, 'Hospitalisation Details'!$A:$N, 14, FALSE)</f>
        <v>R1011</v>
      </c>
      <c r="P407" s="36">
        <f>VLOOKUP($A407, 'Hospitalisation Details'!$A:$O, 15, FALSE)</f>
        <v>54</v>
      </c>
    </row>
    <row r="408" ht="15.75" customHeight="1">
      <c r="A408" s="33" t="s">
        <v>815</v>
      </c>
      <c r="B408" s="22" t="str">
        <f>VLOOKUP($A408,'Customer Names'!$A:$D,3, FALSE)</f>
        <v>Nunlist</v>
      </c>
      <c r="C408" s="22">
        <f>VLOOKUP($A408,'Medical Examinations'!$A:$D, 2, FALSE)</f>
        <v>32.11</v>
      </c>
      <c r="D408" s="22">
        <f>VLOOKUP($A408, 'Medical Examinations'!$A:$D,3, FALSE)</f>
        <v>4.76</v>
      </c>
      <c r="E408" s="22" t="str">
        <f>VLOOKUP($A408, 'Medical Examinations'!$A:$D, 4, FALSE)</f>
        <v>No</v>
      </c>
      <c r="F408" s="22" t="str">
        <f>VLOOKUP($A408, 'Medical Examinations'!$A:$J, 5, FALSE)</f>
        <v>No</v>
      </c>
      <c r="G408" s="22" t="str">
        <f>VLOOKUP($A408, 'Medical Examinations'!$A:$I, 6, FALSE)</f>
        <v>No</v>
      </c>
      <c r="H408" s="22">
        <f>VLOOKUP($A408,'Medical Examinations'!$A:$L,10, FALSE)</f>
        <v>2</v>
      </c>
      <c r="I408" s="22" t="str">
        <f>VLOOKUP($A408, 'Medical Examinations'!$A:$J, 9, FALSE)</f>
        <v>No</v>
      </c>
      <c r="J408" s="22" t="str">
        <f>VLOOKUP($A408, 'Medical Examinations'!$A:$P, 11, FALSE)</f>
        <v>OBESITY</v>
      </c>
      <c r="K408" s="34">
        <v>30548.0</v>
      </c>
      <c r="L408" s="35">
        <f>VLOOKUP($A408, 'Hospitalisation Details'!$A:$H, 7, FALSE)</f>
        <v>25333.33</v>
      </c>
      <c r="M408" s="22" t="str">
        <f>VLOOKUP($A408, 'Hospitalisation Details'!$A:$L, 12, FALSE)</f>
        <v>tier - 2</v>
      </c>
      <c r="N408" s="22" t="str">
        <f>VLOOKUP($A408, 'Hospitalisation Details'!$A:$M, 13, FALSE)</f>
        <v>tier - 2</v>
      </c>
      <c r="O408" s="22" t="str">
        <f>VLOOKUP($A408, 'Hospitalisation Details'!$A:$N, 14, FALSE)</f>
        <v>R1017</v>
      </c>
      <c r="P408" s="36">
        <f>VLOOKUP($A408, 'Hospitalisation Details'!$A:$O, 15, FALSE)</f>
        <v>50</v>
      </c>
    </row>
    <row r="409" ht="15.75" customHeight="1">
      <c r="A409" s="33" t="s">
        <v>817</v>
      </c>
      <c r="B409" s="22" t="str">
        <f>VLOOKUP($A409,'Customer Names'!$A:$D,3, FALSE)</f>
        <v>Cutter</v>
      </c>
      <c r="C409" s="22">
        <f>VLOOKUP($A409,'Medical Examinations'!$A:$D, 2, FALSE)</f>
        <v>29.8</v>
      </c>
      <c r="D409" s="22">
        <f>VLOOKUP($A409, 'Medical Examinations'!$A:$D,3, FALSE)</f>
        <v>8.24</v>
      </c>
      <c r="E409" s="22" t="str">
        <f>VLOOKUP($A409, 'Medical Examinations'!$A:$D, 4, FALSE)</f>
        <v>Yes</v>
      </c>
      <c r="F409" s="22" t="str">
        <f>VLOOKUP($A409, 'Medical Examinations'!$A:$J, 5, FALSE)</f>
        <v>No</v>
      </c>
      <c r="G409" s="22" t="str">
        <f>VLOOKUP($A409, 'Medical Examinations'!$A:$I, 6, FALSE)</f>
        <v>No</v>
      </c>
      <c r="H409" s="22">
        <f>VLOOKUP($A409,'Medical Examinations'!$A:$L,10, FALSE)</f>
        <v>1</v>
      </c>
      <c r="I409" s="22" t="str">
        <f>VLOOKUP($A409, 'Medical Examinations'!$A:$J, 9, FALSE)</f>
        <v>Yes</v>
      </c>
      <c r="J409" s="22" t="str">
        <f>VLOOKUP($A409, 'Medical Examinations'!$A:$P, 11, FALSE)</f>
        <v>OVERWEIGHT</v>
      </c>
      <c r="K409" s="34">
        <v>29192.0</v>
      </c>
      <c r="L409" s="35">
        <f>VLOOKUP($A409, 'Hospitalisation Details'!$A:$H, 7, FALSE)</f>
        <v>25309.49</v>
      </c>
      <c r="M409" s="22" t="str">
        <f>VLOOKUP($A409, 'Hospitalisation Details'!$A:$L, 12, FALSE)</f>
        <v>tier - 2</v>
      </c>
      <c r="N409" s="22" t="str">
        <f>VLOOKUP($A409, 'Hospitalisation Details'!$A:$M, 13, FALSE)</f>
        <v>tier - 1</v>
      </c>
      <c r="O409" s="22" t="str">
        <f>VLOOKUP($A409, 'Hospitalisation Details'!$A:$N, 14, FALSE)</f>
        <v>R1011</v>
      </c>
      <c r="P409" s="36">
        <f>VLOOKUP($A409, 'Hospitalisation Details'!$A:$O, 15, FALSE)</f>
        <v>47</v>
      </c>
    </row>
    <row r="410" ht="15.75" customHeight="1">
      <c r="A410" s="33" t="s">
        <v>819</v>
      </c>
      <c r="B410" s="22" t="str">
        <f>VLOOKUP($A410,'Customer Names'!$A:$D,3, FALSE)</f>
        <v>Martin</v>
      </c>
      <c r="C410" s="22">
        <f>VLOOKUP($A410,'Medical Examinations'!$A:$D, 2, FALSE)</f>
        <v>24.01</v>
      </c>
      <c r="D410" s="22">
        <f>VLOOKUP($A410, 'Medical Examinations'!$A:$D,3, FALSE)</f>
        <v>4.76</v>
      </c>
      <c r="E410" s="22" t="str">
        <f>VLOOKUP($A410, 'Medical Examinations'!$A:$D, 4, FALSE)</f>
        <v>No</v>
      </c>
      <c r="F410" s="22" t="str">
        <f>VLOOKUP($A410, 'Medical Examinations'!$A:$J, 5, FALSE)</f>
        <v>No</v>
      </c>
      <c r="G410" s="22" t="str">
        <f>VLOOKUP($A410, 'Medical Examinations'!$A:$I, 6, FALSE)</f>
        <v>No</v>
      </c>
      <c r="H410" s="22">
        <f>VLOOKUP($A410,'Medical Examinations'!$A:$L,10, FALSE)</f>
        <v>1</v>
      </c>
      <c r="I410" s="22" t="str">
        <f>VLOOKUP($A410, 'Medical Examinations'!$A:$J, 9, FALSE)</f>
        <v>Yes</v>
      </c>
      <c r="J410" s="22" t="str">
        <f>VLOOKUP($A410, 'Medical Examinations'!$A:$P, 11, FALSE)</f>
        <v>NORMAL WEIGHT</v>
      </c>
      <c r="K410" s="34">
        <v>30556.0</v>
      </c>
      <c r="L410" s="35">
        <f>VLOOKUP($A410, 'Hospitalisation Details'!$A:$H, 7, FALSE)</f>
        <v>25127.22</v>
      </c>
      <c r="M410" s="22" t="str">
        <f>VLOOKUP($A410, 'Hospitalisation Details'!$A:$L, 12, FALSE)</f>
        <v>tier - 2</v>
      </c>
      <c r="N410" s="22" t="str">
        <f>VLOOKUP($A410, 'Hospitalisation Details'!$A:$M, 13, FALSE)</f>
        <v>tier - 3</v>
      </c>
      <c r="O410" s="22" t="str">
        <f>VLOOKUP($A410, 'Hospitalisation Details'!$A:$N, 14, FALSE)</f>
        <v>R1011</v>
      </c>
      <c r="P410" s="36">
        <f>VLOOKUP($A410, 'Hospitalisation Details'!$A:$O, 15, FALSE)</f>
        <v>24</v>
      </c>
    </row>
    <row r="411" ht="15.75" customHeight="1">
      <c r="A411" s="33" t="s">
        <v>821</v>
      </c>
      <c r="B411" s="22" t="str">
        <f>VLOOKUP($A411,'Customer Names'!$A:$D,3, FALSE)</f>
        <v>Cooney</v>
      </c>
      <c r="C411" s="22">
        <f>VLOOKUP($A411,'Medical Examinations'!$A:$D, 2, FALSE)</f>
        <v>23.21</v>
      </c>
      <c r="D411" s="22">
        <f>VLOOKUP($A411, 'Medical Examinations'!$A:$D,3, FALSE)</f>
        <v>6.03</v>
      </c>
      <c r="E411" s="22" t="str">
        <f>VLOOKUP($A411, 'Medical Examinations'!$A:$D, 4, FALSE)</f>
        <v>No</v>
      </c>
      <c r="F411" s="22" t="str">
        <f>VLOOKUP($A411, 'Medical Examinations'!$A:$J, 5, FALSE)</f>
        <v>No</v>
      </c>
      <c r="G411" s="22" t="str">
        <f>VLOOKUP($A411, 'Medical Examinations'!$A:$I, 6, FALSE)</f>
        <v>No</v>
      </c>
      <c r="H411" s="22">
        <f>VLOOKUP($A411,'Medical Examinations'!$A:$L,10, FALSE)</f>
        <v>1</v>
      </c>
      <c r="I411" s="22" t="str">
        <f>VLOOKUP($A411, 'Medical Examinations'!$A:$J, 9, FALSE)</f>
        <v>No</v>
      </c>
      <c r="J411" s="22" t="str">
        <f>VLOOKUP($A411, 'Medical Examinations'!$A:$P, 11, FALSE)</f>
        <v>NORMAL WEIGHT</v>
      </c>
      <c r="K411" s="34">
        <v>26626.0</v>
      </c>
      <c r="L411" s="35">
        <f>VLOOKUP($A411, 'Hospitalisation Details'!$A:$H, 7, FALSE)</f>
        <v>25081.77</v>
      </c>
      <c r="M411" s="22" t="str">
        <f>VLOOKUP($A411, 'Hospitalisation Details'!$A:$L, 12, FALSE)</f>
        <v>tier - 2</v>
      </c>
      <c r="N411" s="22" t="str">
        <f>VLOOKUP($A411, 'Hospitalisation Details'!$A:$M, 13, FALSE)</f>
        <v>tier - 2</v>
      </c>
      <c r="O411" s="22" t="str">
        <f>VLOOKUP($A411, 'Hospitalisation Details'!$A:$N, 14, FALSE)</f>
        <v>R1013</v>
      </c>
      <c r="P411" s="36">
        <f>VLOOKUP($A411, 'Hospitalisation Details'!$A:$O, 15, FALSE)</f>
        <v>24</v>
      </c>
    </row>
    <row r="412" ht="15.75" customHeight="1">
      <c r="A412" s="33" t="s">
        <v>823</v>
      </c>
      <c r="B412" s="22" t="str">
        <f>VLOOKUP($A412,'Customer Names'!$A:$D,3, FALSE)</f>
        <v>Bier</v>
      </c>
      <c r="C412" s="22">
        <f>VLOOKUP($A412,'Medical Examinations'!$A:$D, 2, FALSE)</f>
        <v>21.2</v>
      </c>
      <c r="D412" s="22">
        <f>VLOOKUP($A412, 'Medical Examinations'!$A:$D,3, FALSE)</f>
        <v>4.07</v>
      </c>
      <c r="E412" s="22" t="str">
        <f>VLOOKUP($A412, 'Medical Examinations'!$A:$D, 4, FALSE)</f>
        <v>Yes</v>
      </c>
      <c r="F412" s="22" t="str">
        <f>VLOOKUP($A412, 'Medical Examinations'!$A:$J, 5, FALSE)</f>
        <v>No</v>
      </c>
      <c r="G412" s="22" t="str">
        <f>VLOOKUP($A412, 'Medical Examinations'!$A:$I, 6, FALSE)</f>
        <v>No</v>
      </c>
      <c r="H412" s="22">
        <f>VLOOKUP($A412,'Medical Examinations'!$A:$L,10, FALSE)</f>
        <v>1</v>
      </c>
      <c r="I412" s="22" t="str">
        <f>VLOOKUP($A412, 'Medical Examinations'!$A:$J, 9, FALSE)</f>
        <v>Yes</v>
      </c>
      <c r="J412" s="22" t="str">
        <f>VLOOKUP($A412, 'Medical Examinations'!$A:$P, 11, FALSE)</f>
        <v>NORMAL WEIGHT</v>
      </c>
      <c r="K412" s="34">
        <v>27616.0</v>
      </c>
      <c r="L412" s="35">
        <f>VLOOKUP($A412, 'Hospitalisation Details'!$A:$H, 7, FALSE)</f>
        <v>25075.97</v>
      </c>
      <c r="M412" s="22" t="str">
        <f>VLOOKUP($A412, 'Hospitalisation Details'!$A:$L, 12, FALSE)</f>
        <v>tier - 2</v>
      </c>
      <c r="N412" s="22" t="str">
        <f>VLOOKUP($A412, 'Hospitalisation Details'!$A:$M, 13, FALSE)</f>
        <v>tier - 2</v>
      </c>
      <c r="O412" s="22" t="str">
        <f>VLOOKUP($A412, 'Hospitalisation Details'!$A:$N, 14, FALSE)</f>
        <v>R1011</v>
      </c>
      <c r="P412" s="36">
        <f>VLOOKUP($A412, 'Hospitalisation Details'!$A:$O, 15, FALSE)</f>
        <v>27</v>
      </c>
    </row>
    <row r="413" ht="15.75" customHeight="1">
      <c r="A413" s="33" t="s">
        <v>825</v>
      </c>
      <c r="B413" s="22" t="str">
        <f>VLOOKUP($A413,'Customer Names'!$A:$D,3, FALSE)</f>
        <v>Muskopf</v>
      </c>
      <c r="C413" s="22">
        <f>VLOOKUP($A413,'Medical Examinations'!$A:$D, 2, FALSE)</f>
        <v>28.215</v>
      </c>
      <c r="D413" s="22">
        <f>VLOOKUP($A413, 'Medical Examinations'!$A:$D,3, FALSE)</f>
        <v>8.26</v>
      </c>
      <c r="E413" s="22" t="str">
        <f>VLOOKUP($A413, 'Medical Examinations'!$A:$D, 4, FALSE)</f>
        <v>Yes</v>
      </c>
      <c r="F413" s="22" t="str">
        <f>VLOOKUP($A413, 'Medical Examinations'!$A:$J, 5, FALSE)</f>
        <v>No</v>
      </c>
      <c r="G413" s="22" t="str">
        <f>VLOOKUP($A413, 'Medical Examinations'!$A:$I, 6, FALSE)</f>
        <v>No</v>
      </c>
      <c r="H413" s="22">
        <f>VLOOKUP($A413,'Medical Examinations'!$A:$L,10, FALSE)</f>
        <v>1</v>
      </c>
      <c r="I413" s="22" t="str">
        <f>VLOOKUP($A413, 'Medical Examinations'!$A:$J, 9, FALSE)</f>
        <v>Yes</v>
      </c>
      <c r="J413" s="22" t="str">
        <f>VLOOKUP($A413, 'Medical Examinations'!$A:$P, 11, FALSE)</f>
        <v>OVERWEIGHT</v>
      </c>
      <c r="K413" s="34">
        <v>25738.0</v>
      </c>
      <c r="L413" s="35">
        <f>VLOOKUP($A413, 'Hospitalisation Details'!$A:$H, 7, FALSE)</f>
        <v>24915.22</v>
      </c>
      <c r="M413" s="22" t="str">
        <f>VLOOKUP($A413, 'Hospitalisation Details'!$A:$L, 12, FALSE)</f>
        <v>tier - 2</v>
      </c>
      <c r="N413" s="22" t="str">
        <f>VLOOKUP($A413, 'Hospitalisation Details'!$A:$M, 13, FALSE)</f>
        <v>tier - 3</v>
      </c>
      <c r="O413" s="22" t="str">
        <f>VLOOKUP($A413, 'Hospitalisation Details'!$A:$N, 14, FALSE)</f>
        <v>R1012</v>
      </c>
      <c r="P413" s="36">
        <f>VLOOKUP($A413, 'Hospitalisation Details'!$A:$O, 15, FALSE)</f>
        <v>47</v>
      </c>
    </row>
    <row r="414" ht="15.75" customHeight="1">
      <c r="A414" s="33" t="s">
        <v>827</v>
      </c>
      <c r="B414" s="22" t="str">
        <f>VLOOKUP($A414,'Customer Names'!$A:$D,3, FALSE)</f>
        <v>Sirak</v>
      </c>
      <c r="C414" s="22">
        <f>VLOOKUP($A414,'Medical Examinations'!$A:$D, 2, FALSE)</f>
        <v>38.095</v>
      </c>
      <c r="D414" s="22">
        <f>VLOOKUP($A414, 'Medical Examinations'!$A:$D,3, FALSE)</f>
        <v>4.76</v>
      </c>
      <c r="E414" s="22" t="str">
        <f>VLOOKUP($A414, 'Medical Examinations'!$A:$D, 4, FALSE)</f>
        <v>No</v>
      </c>
      <c r="F414" s="22" t="str">
        <f>VLOOKUP($A414, 'Medical Examinations'!$A:$J, 5, FALSE)</f>
        <v>No</v>
      </c>
      <c r="G414" s="22" t="str">
        <f>VLOOKUP($A414, 'Medical Examinations'!$A:$I, 6, FALSE)</f>
        <v>No</v>
      </c>
      <c r="H414" s="22">
        <f>VLOOKUP($A414,'Medical Examinations'!$A:$L,10, FALSE)</f>
        <v>1</v>
      </c>
      <c r="I414" s="22" t="str">
        <f>VLOOKUP($A414, 'Medical Examinations'!$A:$J, 9, FALSE)</f>
        <v>No</v>
      </c>
      <c r="J414" s="22" t="str">
        <f>VLOOKUP($A414, 'Medical Examinations'!$A:$P, 11, FALSE)</f>
        <v>OBESITY</v>
      </c>
      <c r="K414" s="34">
        <v>29948.0</v>
      </c>
      <c r="L414" s="35">
        <f>VLOOKUP($A414, 'Hospitalisation Details'!$A:$H, 7, FALSE)</f>
        <v>24915.05</v>
      </c>
      <c r="M414" s="22" t="str">
        <f>VLOOKUP($A414, 'Hospitalisation Details'!$A:$L, 12, FALSE)</f>
        <v>tier - 2</v>
      </c>
      <c r="N414" s="22" t="str">
        <f>VLOOKUP($A414, 'Hospitalisation Details'!$A:$M, 13, FALSE)</f>
        <v>tier - 1</v>
      </c>
      <c r="O414" s="22" t="str">
        <f>VLOOKUP($A414, 'Hospitalisation Details'!$A:$N, 14, FALSE)</f>
        <v>R1024</v>
      </c>
      <c r="P414" s="36">
        <f>VLOOKUP($A414, 'Hospitalisation Details'!$A:$O, 15, FALSE)</f>
        <v>35</v>
      </c>
    </row>
    <row r="415" ht="15.75" customHeight="1">
      <c r="A415" s="33" t="s">
        <v>829</v>
      </c>
      <c r="B415" s="22" t="str">
        <f>VLOOKUP($A415,'Customer Names'!$A:$D,3, FALSE)</f>
        <v>Nelsen</v>
      </c>
      <c r="C415" s="22">
        <f>VLOOKUP($A415,'Medical Examinations'!$A:$D, 2, FALSE)</f>
        <v>22.61</v>
      </c>
      <c r="D415" s="22">
        <f>VLOOKUP($A415, 'Medical Examinations'!$A:$D,3, FALSE)</f>
        <v>6.13</v>
      </c>
      <c r="E415" s="22" t="str">
        <f>VLOOKUP($A415, 'Medical Examinations'!$A:$D, 4, FALSE)</f>
        <v>Yes</v>
      </c>
      <c r="F415" s="22" t="str">
        <f>VLOOKUP($A415, 'Medical Examinations'!$A:$J, 5, FALSE)</f>
        <v>No</v>
      </c>
      <c r="G415" s="22" t="str">
        <f>VLOOKUP($A415, 'Medical Examinations'!$A:$I, 6, FALSE)</f>
        <v>Yes</v>
      </c>
      <c r="H415" s="22">
        <f>VLOOKUP($A415,'Medical Examinations'!$A:$L,10, FALSE)</f>
        <v>1</v>
      </c>
      <c r="I415" s="22" t="str">
        <f>VLOOKUP($A415, 'Medical Examinations'!$A:$J, 9, FALSE)</f>
        <v>Yes</v>
      </c>
      <c r="J415" s="22" t="str">
        <f>VLOOKUP($A415, 'Medical Examinations'!$A:$P, 11, FALSE)</f>
        <v>NORMAL WEIGHT</v>
      </c>
      <c r="K415" s="34">
        <v>24297.0</v>
      </c>
      <c r="L415" s="35">
        <f>VLOOKUP($A415, 'Hospitalisation Details'!$A:$H, 7, FALSE)</f>
        <v>24873.38</v>
      </c>
      <c r="M415" s="22" t="str">
        <f>VLOOKUP($A415, 'Hospitalisation Details'!$A:$L, 12, FALSE)</f>
        <v>tier - 2</v>
      </c>
      <c r="N415" s="22" t="str">
        <f>VLOOKUP($A415, 'Hospitalisation Details'!$A:$M, 13, FALSE)</f>
        <v>tier - 1</v>
      </c>
      <c r="O415" s="22" t="str">
        <f>VLOOKUP($A415, 'Hospitalisation Details'!$A:$N, 14, FALSE)</f>
        <v>R1024</v>
      </c>
      <c r="P415" s="36">
        <f>VLOOKUP($A415, 'Hospitalisation Details'!$A:$O, 15, FALSE)</f>
        <v>53</v>
      </c>
    </row>
    <row r="416" ht="15.75" customHeight="1">
      <c r="A416" s="33" t="s">
        <v>831</v>
      </c>
      <c r="B416" s="22" t="str">
        <f>VLOOKUP($A416,'Customer Names'!$A:$D,3, FALSE)</f>
        <v>Schallner</v>
      </c>
      <c r="C416" s="22">
        <f>VLOOKUP($A416,'Medical Examinations'!$A:$D, 2, FALSE)</f>
        <v>24.32</v>
      </c>
      <c r="D416" s="22">
        <f>VLOOKUP($A416, 'Medical Examinations'!$A:$D,3, FALSE)</f>
        <v>10.47</v>
      </c>
      <c r="E416" s="22" t="str">
        <f>VLOOKUP($A416, 'Medical Examinations'!$A:$D, 4, FALSE)</f>
        <v>Yes</v>
      </c>
      <c r="F416" s="22" t="str">
        <f>VLOOKUP($A416, 'Medical Examinations'!$A:$J, 5, FALSE)</f>
        <v>No</v>
      </c>
      <c r="G416" s="22" t="str">
        <f>VLOOKUP($A416, 'Medical Examinations'!$A:$I, 6, FALSE)</f>
        <v>No</v>
      </c>
      <c r="H416" s="22">
        <f>VLOOKUP($A416,'Medical Examinations'!$A:$L,10, FALSE)</f>
        <v>2</v>
      </c>
      <c r="I416" s="22" t="str">
        <f>VLOOKUP($A416, 'Medical Examinations'!$A:$J, 9, FALSE)</f>
        <v>Yes</v>
      </c>
      <c r="J416" s="22" t="str">
        <f>VLOOKUP($A416, 'Medical Examinations'!$A:$P, 11, FALSE)</f>
        <v>NORMAL WEIGHT</v>
      </c>
      <c r="K416" s="34">
        <v>32079.0</v>
      </c>
      <c r="L416" s="35">
        <f>VLOOKUP($A416, 'Hospitalisation Details'!$A:$H, 7, FALSE)</f>
        <v>24869.84</v>
      </c>
      <c r="M416" s="22" t="str">
        <f>VLOOKUP($A416, 'Hospitalisation Details'!$A:$L, 12, FALSE)</f>
        <v>tier - 2</v>
      </c>
      <c r="N416" s="22" t="str">
        <f>VLOOKUP($A416, 'Hospitalisation Details'!$A:$M, 13, FALSE)</f>
        <v>tier - 2</v>
      </c>
      <c r="O416" s="22" t="str">
        <f>VLOOKUP($A416, 'Hospitalisation Details'!$A:$N, 14, FALSE)</f>
        <v>R1016</v>
      </c>
      <c r="P416" s="36">
        <f>VLOOKUP($A416, 'Hospitalisation Details'!$A:$O, 15, FALSE)</f>
        <v>52</v>
      </c>
    </row>
    <row r="417" ht="15.75" customHeight="1">
      <c r="A417" s="33" t="s">
        <v>833</v>
      </c>
      <c r="B417" s="22" t="str">
        <f>VLOOKUP($A417,'Customer Names'!$A:$D,3, FALSE)</f>
        <v>Dunlap</v>
      </c>
      <c r="C417" s="22">
        <f>VLOOKUP($A417,'Medical Examinations'!$A:$D, 2, FALSE)</f>
        <v>20.96</v>
      </c>
      <c r="D417" s="22">
        <f>VLOOKUP($A417, 'Medical Examinations'!$A:$D,3, FALSE)</f>
        <v>4.04</v>
      </c>
      <c r="E417" s="22" t="str">
        <f>VLOOKUP($A417, 'Medical Examinations'!$A:$D, 4, FALSE)</f>
        <v>Yes</v>
      </c>
      <c r="F417" s="22" t="str">
        <f>VLOOKUP($A417, 'Medical Examinations'!$A:$J, 5, FALSE)</f>
        <v>No</v>
      </c>
      <c r="G417" s="22" t="str">
        <f>VLOOKUP($A417, 'Medical Examinations'!$A:$I, 6, FALSE)</f>
        <v>No</v>
      </c>
      <c r="H417" s="22">
        <f>VLOOKUP($A417,'Medical Examinations'!$A:$L,10, FALSE)</f>
        <v>1</v>
      </c>
      <c r="I417" s="22" t="str">
        <f>VLOOKUP($A417, 'Medical Examinations'!$A:$J, 9, FALSE)</f>
        <v>Yes</v>
      </c>
      <c r="J417" s="22" t="str">
        <f>VLOOKUP($A417, 'Medical Examinations'!$A:$P, 11, FALSE)</f>
        <v>NORMAL WEIGHT</v>
      </c>
      <c r="K417" s="34">
        <v>28326.0</v>
      </c>
      <c r="L417" s="35">
        <f>VLOOKUP($A417, 'Hospitalisation Details'!$A:$H, 7, FALSE)</f>
        <v>24863.25</v>
      </c>
      <c r="M417" s="22" t="str">
        <f>VLOOKUP($A417, 'Hospitalisation Details'!$A:$L, 12, FALSE)</f>
        <v>tier - 2</v>
      </c>
      <c r="N417" s="22" t="str">
        <f>VLOOKUP($A417, 'Hospitalisation Details'!$A:$M, 13, FALSE)</f>
        <v>tier - 3</v>
      </c>
      <c r="O417" s="22" t="str">
        <f>VLOOKUP($A417, 'Hospitalisation Details'!$A:$N, 14, FALSE)</f>
        <v>R1011</v>
      </c>
      <c r="P417" s="36">
        <f>VLOOKUP($A417, 'Hospitalisation Details'!$A:$O, 15, FALSE)</f>
        <v>27</v>
      </c>
    </row>
    <row r="418" ht="15.75" customHeight="1">
      <c r="A418" s="33" t="s">
        <v>835</v>
      </c>
      <c r="B418" s="22" t="str">
        <f>VLOOKUP($A418,'Customer Names'!$A:$D,3, FALSE)</f>
        <v>Messing</v>
      </c>
      <c r="C418" s="22">
        <f>VLOOKUP($A418,'Medical Examinations'!$A:$D, 2, FALSE)</f>
        <v>19.68</v>
      </c>
      <c r="D418" s="22">
        <f>VLOOKUP($A418, 'Medical Examinations'!$A:$D,3, FALSE)</f>
        <v>5.74</v>
      </c>
      <c r="E418" s="22" t="str">
        <f>VLOOKUP($A418, 'Medical Examinations'!$A:$D, 4, FALSE)</f>
        <v>No</v>
      </c>
      <c r="F418" s="22" t="str">
        <f>VLOOKUP($A418, 'Medical Examinations'!$A:$J, 5, FALSE)</f>
        <v>No</v>
      </c>
      <c r="G418" s="22" t="str">
        <f>VLOOKUP($A418, 'Medical Examinations'!$A:$I, 6, FALSE)</f>
        <v>No</v>
      </c>
      <c r="H418" s="22">
        <f>VLOOKUP($A418,'Medical Examinations'!$A:$L,10, FALSE)</f>
        <v>0</v>
      </c>
      <c r="I418" s="22" t="str">
        <f>VLOOKUP($A418, 'Medical Examinations'!$A:$J, 9, FALSE)</f>
        <v>Yes</v>
      </c>
      <c r="J418" s="22" t="str">
        <f>VLOOKUP($A418, 'Medical Examinations'!$A:$P, 11, FALSE)</f>
        <v>NORMAL WEIGHT</v>
      </c>
      <c r="K418" s="34">
        <v>22929.0</v>
      </c>
      <c r="L418" s="35">
        <f>VLOOKUP($A418, 'Hospitalisation Details'!$A:$H, 7, FALSE)</f>
        <v>24817.25</v>
      </c>
      <c r="M418" s="22" t="str">
        <f>VLOOKUP($A418, 'Hospitalisation Details'!$A:$L, 12, FALSE)</f>
        <v>tier - 2</v>
      </c>
      <c r="N418" s="22" t="str">
        <f>VLOOKUP($A418, 'Hospitalisation Details'!$A:$M, 13, FALSE)</f>
        <v>tier - 2</v>
      </c>
      <c r="O418" s="22" t="str">
        <f>VLOOKUP($A418, 'Hospitalisation Details'!$A:$N, 14, FALSE)</f>
        <v>R1011</v>
      </c>
      <c r="P418" s="36">
        <f>VLOOKUP($A418, 'Hospitalisation Details'!$A:$O, 15, FALSE)</f>
        <v>28</v>
      </c>
    </row>
    <row r="419" ht="15.75" customHeight="1">
      <c r="A419" s="33" t="s">
        <v>837</v>
      </c>
      <c r="B419" s="22" t="str">
        <f>VLOOKUP($A419,'Customer Names'!$A:$D,3, FALSE)</f>
        <v>Bondell</v>
      </c>
      <c r="C419" s="22">
        <f>VLOOKUP($A419,'Medical Examinations'!$A:$D, 2, FALSE)</f>
        <v>18.1</v>
      </c>
      <c r="D419" s="22">
        <f>VLOOKUP($A419, 'Medical Examinations'!$A:$D,3, FALSE)</f>
        <v>6.33</v>
      </c>
      <c r="E419" s="22" t="str">
        <f>VLOOKUP($A419, 'Medical Examinations'!$A:$D, 4, FALSE)</f>
        <v>No</v>
      </c>
      <c r="F419" s="22" t="str">
        <f>VLOOKUP($A419, 'Medical Examinations'!$A:$J, 5, FALSE)</f>
        <v>No</v>
      </c>
      <c r="G419" s="22" t="str">
        <f>VLOOKUP($A419, 'Medical Examinations'!$A:$I, 6, FALSE)</f>
        <v>No</v>
      </c>
      <c r="H419" s="22">
        <f>VLOOKUP($A419,'Medical Examinations'!$A:$L,10, FALSE)</f>
        <v>1</v>
      </c>
      <c r="I419" s="22" t="str">
        <f>VLOOKUP($A419, 'Medical Examinations'!$A:$J, 9, FALSE)</f>
        <v>Yes</v>
      </c>
      <c r="J419" s="22" t="str">
        <f>VLOOKUP($A419, 'Medical Examinations'!$A:$P, 11, FALSE)</f>
        <v>UNDERWEIGHT</v>
      </c>
      <c r="K419" s="34">
        <v>34655.0</v>
      </c>
      <c r="L419" s="35">
        <f>VLOOKUP($A419, 'Hospitalisation Details'!$A:$H, 7, FALSE)</f>
        <v>24795.04</v>
      </c>
      <c r="M419" s="22" t="str">
        <f>VLOOKUP($A419, 'Hospitalisation Details'!$A:$L, 12, FALSE)</f>
        <v>tier - 2</v>
      </c>
      <c r="N419" s="22" t="str">
        <f>VLOOKUP($A419, 'Hospitalisation Details'!$A:$M, 13, FALSE)</f>
        <v>tier - 3</v>
      </c>
      <c r="O419" s="22" t="str">
        <f>VLOOKUP($A419, 'Hospitalisation Details'!$A:$N, 14, FALSE)</f>
        <v>R1011</v>
      </c>
      <c r="P419" s="36">
        <f>VLOOKUP($A419, 'Hospitalisation Details'!$A:$O, 15, FALSE)</f>
        <v>30</v>
      </c>
    </row>
    <row r="420" ht="15.75" customHeight="1">
      <c r="A420" s="33" t="s">
        <v>839</v>
      </c>
      <c r="B420" s="22" t="str">
        <f>VLOOKUP($A420,'Customer Names'!$A:$D,3, FALSE)</f>
        <v>Gaughan</v>
      </c>
      <c r="C420" s="22">
        <f>VLOOKUP($A420,'Medical Examinations'!$A:$D, 2, FALSE)</f>
        <v>29.64</v>
      </c>
      <c r="D420" s="22">
        <f>VLOOKUP($A420, 'Medical Examinations'!$A:$D,3, FALSE)</f>
        <v>4.28</v>
      </c>
      <c r="E420" s="22" t="str">
        <f>VLOOKUP($A420, 'Medical Examinations'!$A:$D, 4, FALSE)</f>
        <v>Yes</v>
      </c>
      <c r="F420" s="22" t="str">
        <f>VLOOKUP($A420, 'Medical Examinations'!$A:$J, 5, FALSE)</f>
        <v>No</v>
      </c>
      <c r="G420" s="22" t="str">
        <f>VLOOKUP($A420, 'Medical Examinations'!$A:$I, 6, FALSE)</f>
        <v>No</v>
      </c>
      <c r="H420" s="22">
        <f>VLOOKUP($A420,'Medical Examinations'!$A:$L,10, FALSE)</f>
        <v>0</v>
      </c>
      <c r="I420" s="22" t="str">
        <f>VLOOKUP($A420, 'Medical Examinations'!$A:$J, 9, FALSE)</f>
        <v>No</v>
      </c>
      <c r="J420" s="22" t="str">
        <f>VLOOKUP($A420, 'Medical Examinations'!$A:$P, 11, FALSE)</f>
        <v>OVERWEIGHT</v>
      </c>
      <c r="K420" s="34">
        <v>38326.0</v>
      </c>
      <c r="L420" s="35">
        <f>VLOOKUP($A420, 'Hospitalisation Details'!$A:$H, 7, FALSE)</f>
        <v>24671.66</v>
      </c>
      <c r="M420" s="22" t="str">
        <f>VLOOKUP($A420, 'Hospitalisation Details'!$A:$L, 12, FALSE)</f>
        <v>tier - 2</v>
      </c>
      <c r="N420" s="22" t="str">
        <f>VLOOKUP($A420, 'Hospitalisation Details'!$A:$M, 13, FALSE)</f>
        <v>tier - 1</v>
      </c>
      <c r="O420" s="22" t="str">
        <f>VLOOKUP($A420, 'Hospitalisation Details'!$A:$N, 14, FALSE)</f>
        <v>R1024</v>
      </c>
      <c r="P420" s="36">
        <f>VLOOKUP($A420, 'Hospitalisation Details'!$A:$O, 15, FALSE)</f>
        <v>26</v>
      </c>
    </row>
    <row r="421" ht="15.75" customHeight="1">
      <c r="A421" s="33" t="s">
        <v>841</v>
      </c>
      <c r="B421" s="22" t="str">
        <f>VLOOKUP($A421,'Customer Names'!$A:$D,3, FALSE)</f>
        <v>Gruman</v>
      </c>
      <c r="C421" s="22">
        <f>VLOOKUP($A421,'Medical Examinations'!$A:$D, 2, FALSE)</f>
        <v>25.3</v>
      </c>
      <c r="D421" s="22">
        <f>VLOOKUP($A421, 'Medical Examinations'!$A:$D,3, FALSE)</f>
        <v>9.47</v>
      </c>
      <c r="E421" s="22" t="str">
        <f>VLOOKUP($A421, 'Medical Examinations'!$A:$D, 4, FALSE)</f>
        <v>Yes</v>
      </c>
      <c r="F421" s="22" t="str">
        <f>VLOOKUP($A421, 'Medical Examinations'!$A:$J, 5, FALSE)</f>
        <v>No</v>
      </c>
      <c r="G421" s="22" t="str">
        <f>VLOOKUP($A421, 'Medical Examinations'!$A:$I, 6, FALSE)</f>
        <v>No</v>
      </c>
      <c r="H421" s="22">
        <f>VLOOKUP($A421,'Medical Examinations'!$A:$L,10, FALSE)</f>
        <v>2</v>
      </c>
      <c r="I421" s="22" t="str">
        <f>VLOOKUP($A421, 'Medical Examinations'!$A:$J, 9, FALSE)</f>
        <v>Yes</v>
      </c>
      <c r="J421" s="22" t="str">
        <f>VLOOKUP($A421, 'Medical Examinations'!$A:$P, 11, FALSE)</f>
        <v>OVERWEIGHT</v>
      </c>
      <c r="K421" s="34">
        <v>37169.0</v>
      </c>
      <c r="L421" s="35">
        <f>VLOOKUP($A421, 'Hospitalisation Details'!$A:$H, 7, FALSE)</f>
        <v>24667.42</v>
      </c>
      <c r="M421" s="22" t="str">
        <f>VLOOKUP($A421, 'Hospitalisation Details'!$A:$L, 12, FALSE)</f>
        <v>tier - 2</v>
      </c>
      <c r="N421" s="22" t="str">
        <f>VLOOKUP($A421, 'Hospitalisation Details'!$A:$M, 13, FALSE)</f>
        <v>tier - 3</v>
      </c>
      <c r="O421" s="22" t="str">
        <f>VLOOKUP($A421, 'Hospitalisation Details'!$A:$N, 14, FALSE)</f>
        <v>R1013</v>
      </c>
      <c r="P421" s="36">
        <f>VLOOKUP($A421, 'Hospitalisation Details'!$A:$O, 15, FALSE)</f>
        <v>52</v>
      </c>
    </row>
    <row r="422" ht="15.75" customHeight="1">
      <c r="A422" s="33" t="s">
        <v>843</v>
      </c>
      <c r="B422" s="22" t="str">
        <f>VLOOKUP($A422,'Customer Names'!$A:$D,3, FALSE)</f>
        <v>Whitlow</v>
      </c>
      <c r="C422" s="22">
        <f>VLOOKUP($A422,'Medical Examinations'!$A:$D, 2, FALSE)</f>
        <v>27.6</v>
      </c>
      <c r="D422" s="22">
        <f>VLOOKUP($A422, 'Medical Examinations'!$A:$D,3, FALSE)</f>
        <v>4.85</v>
      </c>
      <c r="E422" s="22" t="str">
        <f>VLOOKUP($A422, 'Medical Examinations'!$A:$D, 4, FALSE)</f>
        <v>Yes</v>
      </c>
      <c r="F422" s="22" t="str">
        <f>VLOOKUP($A422, 'Medical Examinations'!$A:$J, 5, FALSE)</f>
        <v>No</v>
      </c>
      <c r="G422" s="22" t="str">
        <f>VLOOKUP($A422, 'Medical Examinations'!$A:$I, 6, FALSE)</f>
        <v>No</v>
      </c>
      <c r="H422" s="22">
        <f>VLOOKUP($A422,'Medical Examinations'!$A:$L,10, FALSE)</f>
        <v>0</v>
      </c>
      <c r="I422" s="22" t="str">
        <f>VLOOKUP($A422, 'Medical Examinations'!$A:$J, 9, FALSE)</f>
        <v>No</v>
      </c>
      <c r="J422" s="22" t="str">
        <f>VLOOKUP($A422, 'Medical Examinations'!$A:$P, 11, FALSE)</f>
        <v>OVERWEIGHT</v>
      </c>
      <c r="K422" s="34">
        <v>32793.0</v>
      </c>
      <c r="L422" s="35">
        <f>VLOOKUP($A422, 'Hospitalisation Details'!$A:$H, 7, FALSE)</f>
        <v>24603.05</v>
      </c>
      <c r="M422" s="22" t="str">
        <f>VLOOKUP($A422, 'Hospitalisation Details'!$A:$L, 12, FALSE)</f>
        <v>tier - 2</v>
      </c>
      <c r="N422" s="22" t="str">
        <f>VLOOKUP($A422, 'Hospitalisation Details'!$A:$M, 13, FALSE)</f>
        <v>tier - 2</v>
      </c>
      <c r="O422" s="22" t="str">
        <f>VLOOKUP($A422, 'Hospitalisation Details'!$A:$N, 14, FALSE)</f>
        <v>R1011</v>
      </c>
      <c r="P422" s="36">
        <f>VLOOKUP($A422, 'Hospitalisation Details'!$A:$O, 15, FALSE)</f>
        <v>46</v>
      </c>
    </row>
    <row r="423" ht="15.75" customHeight="1">
      <c r="A423" s="33" t="s">
        <v>845</v>
      </c>
      <c r="B423" s="22" t="str">
        <f>VLOOKUP($A423,'Customer Names'!$A:$D,3, FALSE)</f>
        <v>Robinson</v>
      </c>
      <c r="C423" s="22">
        <f>VLOOKUP($A423,'Medical Examinations'!$A:$D, 2, FALSE)</f>
        <v>27.645</v>
      </c>
      <c r="D423" s="22">
        <f>VLOOKUP($A423, 'Medical Examinations'!$A:$D,3, FALSE)</f>
        <v>11.03</v>
      </c>
      <c r="E423" s="22" t="str">
        <f>VLOOKUP($A423, 'Medical Examinations'!$A:$D, 4, FALSE)</f>
        <v>Yes</v>
      </c>
      <c r="F423" s="22" t="str">
        <f>VLOOKUP($A423, 'Medical Examinations'!$A:$J, 5, FALSE)</f>
        <v>No</v>
      </c>
      <c r="G423" s="22" t="str">
        <f>VLOOKUP($A423, 'Medical Examinations'!$A:$I, 6, FALSE)</f>
        <v>No</v>
      </c>
      <c r="H423" s="22">
        <f>VLOOKUP($A423,'Medical Examinations'!$A:$L,10, FALSE)</f>
        <v>1</v>
      </c>
      <c r="I423" s="22" t="str">
        <f>VLOOKUP($A423, 'Medical Examinations'!$A:$J, 9, FALSE)</f>
        <v>Yes</v>
      </c>
      <c r="J423" s="22" t="str">
        <f>VLOOKUP($A423, 'Medical Examinations'!$A:$P, 11, FALSE)</f>
        <v>OVERWEIGHT</v>
      </c>
      <c r="K423" s="34">
        <v>33593.0</v>
      </c>
      <c r="L423" s="35">
        <f>VLOOKUP($A423, 'Hospitalisation Details'!$A:$H, 7, FALSE)</f>
        <v>24535.7</v>
      </c>
      <c r="M423" s="22" t="str">
        <f>VLOOKUP($A423, 'Hospitalisation Details'!$A:$L, 12, FALSE)</f>
        <v>tier - 2</v>
      </c>
      <c r="N423" s="22" t="str">
        <f>VLOOKUP($A423, 'Hospitalisation Details'!$A:$M, 13, FALSE)</f>
        <v>tier - 2</v>
      </c>
      <c r="O423" s="22" t="str">
        <f>VLOOKUP($A423, 'Hospitalisation Details'!$A:$N, 14, FALSE)</f>
        <v>R1012</v>
      </c>
      <c r="P423" s="36">
        <f>VLOOKUP($A423, 'Hospitalisation Details'!$A:$O, 15, FALSE)</f>
        <v>47</v>
      </c>
    </row>
    <row r="424" ht="15.75" customHeight="1">
      <c r="A424" s="33" t="s">
        <v>847</v>
      </c>
      <c r="B424" s="22" t="str">
        <f>VLOOKUP($A424,'Customer Names'!$A:$D,3, FALSE)</f>
        <v>Sabo</v>
      </c>
      <c r="C424" s="22">
        <f>VLOOKUP($A424,'Medical Examinations'!$A:$D, 2, FALSE)</f>
        <v>27.6</v>
      </c>
      <c r="D424" s="22">
        <f>VLOOKUP($A424, 'Medical Examinations'!$A:$D,3, FALSE)</f>
        <v>5.22</v>
      </c>
      <c r="E424" s="22" t="str">
        <f>VLOOKUP($A424, 'Medical Examinations'!$A:$D, 4, FALSE)</f>
        <v>No</v>
      </c>
      <c r="F424" s="22" t="str">
        <f>VLOOKUP($A424, 'Medical Examinations'!$A:$J, 5, FALSE)</f>
        <v>No</v>
      </c>
      <c r="G424" s="22" t="str">
        <f>VLOOKUP($A424, 'Medical Examinations'!$A:$I, 6, FALSE)</f>
        <v>No</v>
      </c>
      <c r="H424" s="22">
        <f>VLOOKUP($A424,'Medical Examinations'!$A:$L,10, FALSE)</f>
        <v>2</v>
      </c>
      <c r="I424" s="22" t="str">
        <f>VLOOKUP($A424, 'Medical Examinations'!$A:$J, 9, FALSE)</f>
        <v>Yes</v>
      </c>
      <c r="J424" s="22" t="str">
        <f>VLOOKUP($A424, 'Medical Examinations'!$A:$P, 11, FALSE)</f>
        <v>OVERWEIGHT</v>
      </c>
      <c r="K424" s="34">
        <v>27342.0</v>
      </c>
      <c r="L424" s="35">
        <f>VLOOKUP($A424, 'Hospitalisation Details'!$A:$H, 7, FALSE)</f>
        <v>24520.26</v>
      </c>
      <c r="M424" s="22" t="str">
        <f>VLOOKUP($A424, 'Hospitalisation Details'!$A:$L, 12, FALSE)</f>
        <v>tier - 2</v>
      </c>
      <c r="N424" s="22" t="str">
        <f>VLOOKUP($A424, 'Hospitalisation Details'!$A:$M, 13, FALSE)</f>
        <v>tier - 3</v>
      </c>
      <c r="O424" s="22" t="str">
        <f>VLOOKUP($A424, 'Hospitalisation Details'!$A:$N, 14, FALSE)</f>
        <v>R1011</v>
      </c>
      <c r="P424" s="36">
        <f>VLOOKUP($A424, 'Hospitalisation Details'!$A:$O, 15, FALSE)</f>
        <v>50</v>
      </c>
    </row>
    <row r="425" ht="15.75" customHeight="1">
      <c r="A425" s="33" t="s">
        <v>849</v>
      </c>
      <c r="B425" s="22" t="str">
        <f>VLOOKUP($A425,'Customer Names'!$A:$D,3, FALSE)</f>
        <v>Nazarian</v>
      </c>
      <c r="C425" s="22">
        <f>VLOOKUP($A425,'Medical Examinations'!$A:$D, 2, FALSE)</f>
        <v>25.08</v>
      </c>
      <c r="D425" s="22">
        <f>VLOOKUP($A425, 'Medical Examinations'!$A:$D,3, FALSE)</f>
        <v>9.52</v>
      </c>
      <c r="E425" s="22" t="str">
        <f>VLOOKUP($A425, 'Medical Examinations'!$A:$D, 4, FALSE)</f>
        <v>Yes</v>
      </c>
      <c r="F425" s="22" t="str">
        <f>VLOOKUP($A425, 'Medical Examinations'!$A:$J, 5, FALSE)</f>
        <v>No</v>
      </c>
      <c r="G425" s="22" t="str">
        <f>VLOOKUP($A425, 'Medical Examinations'!$A:$I, 6, FALSE)</f>
        <v>No</v>
      </c>
      <c r="H425" s="22">
        <f>VLOOKUP($A425,'Medical Examinations'!$A:$L,10, FALSE)</f>
        <v>2</v>
      </c>
      <c r="I425" s="22" t="str">
        <f>VLOOKUP($A425, 'Medical Examinations'!$A:$J, 9, FALSE)</f>
        <v>No</v>
      </c>
      <c r="J425" s="22" t="str">
        <f>VLOOKUP($A425, 'Medical Examinations'!$A:$P, 11, FALSE)</f>
        <v>OVERWEIGHT</v>
      </c>
      <c r="K425" s="34">
        <v>35766.0</v>
      </c>
      <c r="L425" s="35">
        <f>VLOOKUP($A425, 'Hospitalisation Details'!$A:$H, 7, FALSE)</f>
        <v>24513.09</v>
      </c>
      <c r="M425" s="22" t="str">
        <f>VLOOKUP($A425, 'Hospitalisation Details'!$A:$L, 12, FALSE)</f>
        <v>tier - 2</v>
      </c>
      <c r="N425" s="22" t="str">
        <f>VLOOKUP($A425, 'Hospitalisation Details'!$A:$M, 13, FALSE)</f>
        <v>tier - 2</v>
      </c>
      <c r="O425" s="22" t="str">
        <f>VLOOKUP($A425, 'Hospitalisation Details'!$A:$N, 14, FALSE)</f>
        <v>R1013</v>
      </c>
      <c r="P425" s="36">
        <f>VLOOKUP($A425, 'Hospitalisation Details'!$A:$O, 15, FALSE)</f>
        <v>61</v>
      </c>
    </row>
    <row r="426" ht="15.75" customHeight="1">
      <c r="A426" s="33" t="s">
        <v>851</v>
      </c>
      <c r="B426" s="22" t="str">
        <f>VLOOKUP($A426,'Customer Names'!$A:$D,3, FALSE)</f>
        <v>Lerma</v>
      </c>
      <c r="C426" s="22">
        <f>VLOOKUP($A426,'Medical Examinations'!$A:$D, 2, FALSE)</f>
        <v>30.02</v>
      </c>
      <c r="D426" s="22">
        <f>VLOOKUP($A426, 'Medical Examinations'!$A:$D,3, FALSE)</f>
        <v>11.09</v>
      </c>
      <c r="E426" s="22" t="str">
        <f>VLOOKUP($A426, 'Medical Examinations'!$A:$D, 4, FALSE)</f>
        <v>No</v>
      </c>
      <c r="F426" s="22" t="str">
        <f>VLOOKUP($A426, 'Medical Examinations'!$A:$J, 5, FALSE)</f>
        <v>No</v>
      </c>
      <c r="G426" s="22" t="str">
        <f>VLOOKUP($A426, 'Medical Examinations'!$A:$I, 6, FALSE)</f>
        <v>No</v>
      </c>
      <c r="H426" s="22">
        <f>VLOOKUP($A426,'Medical Examinations'!$A:$L,10, FALSE)</f>
        <v>0</v>
      </c>
      <c r="I426" s="22" t="str">
        <f>VLOOKUP($A426, 'Medical Examinations'!$A:$J, 9, FALSE)</f>
        <v>No</v>
      </c>
      <c r="J426" s="22" t="str">
        <f>VLOOKUP($A426, 'Medical Examinations'!$A:$P, 11, FALSE)</f>
        <v>OBESITY</v>
      </c>
      <c r="K426" s="34">
        <v>36519.0</v>
      </c>
      <c r="L426" s="35">
        <f>VLOOKUP($A426, 'Hospitalisation Details'!$A:$H, 7, FALSE)</f>
        <v>24476.48</v>
      </c>
      <c r="M426" s="22" t="str">
        <f>VLOOKUP($A426, 'Hospitalisation Details'!$A:$L, 12, FALSE)</f>
        <v>tier - 2</v>
      </c>
      <c r="N426" s="22" t="str">
        <f>VLOOKUP($A426, 'Hospitalisation Details'!$A:$M, 13, FALSE)</f>
        <v>tier - 2</v>
      </c>
      <c r="O426" s="22" t="str">
        <f>VLOOKUP($A426, 'Hospitalisation Details'!$A:$N, 14, FALSE)</f>
        <v>R1012</v>
      </c>
      <c r="P426" s="36">
        <f>VLOOKUP($A426, 'Hospitalisation Details'!$A:$O, 15, FALSE)</f>
        <v>54</v>
      </c>
    </row>
    <row r="427" ht="15.75" customHeight="1">
      <c r="A427" s="33" t="s">
        <v>853</v>
      </c>
      <c r="B427" s="22" t="str">
        <f>VLOOKUP($A427,'Customer Names'!$A:$D,3, FALSE)</f>
        <v>Dahl</v>
      </c>
      <c r="C427" s="22">
        <f>VLOOKUP($A427,'Medical Examinations'!$A:$D, 2, FALSE)</f>
        <v>27.36</v>
      </c>
      <c r="D427" s="22">
        <f>VLOOKUP($A427, 'Medical Examinations'!$A:$D,3, FALSE)</f>
        <v>9.45</v>
      </c>
      <c r="E427" s="22" t="str">
        <f>VLOOKUP($A427, 'Medical Examinations'!$A:$D, 4, FALSE)</f>
        <v>Yes</v>
      </c>
      <c r="F427" s="22" t="str">
        <f>VLOOKUP($A427, 'Medical Examinations'!$A:$J, 5, FALSE)</f>
        <v>No</v>
      </c>
      <c r="G427" s="22" t="str">
        <f>VLOOKUP($A427, 'Medical Examinations'!$A:$I, 6, FALSE)</f>
        <v>No</v>
      </c>
      <c r="H427" s="22">
        <f>VLOOKUP($A427,'Medical Examinations'!$A:$L,10, FALSE)</f>
        <v>2</v>
      </c>
      <c r="I427" s="22" t="str">
        <f>VLOOKUP($A427, 'Medical Examinations'!$A:$J, 9, FALSE)</f>
        <v>Yes</v>
      </c>
      <c r="J427" s="22" t="str">
        <f>VLOOKUP($A427, 'Medical Examinations'!$A:$P, 11, FALSE)</f>
        <v>OVERWEIGHT</v>
      </c>
      <c r="K427" s="34">
        <v>27369.0</v>
      </c>
      <c r="L427" s="35">
        <f>VLOOKUP($A427, 'Hospitalisation Details'!$A:$H, 7, FALSE)</f>
        <v>24393.62</v>
      </c>
      <c r="M427" s="22" t="str">
        <f>VLOOKUP($A427, 'Hospitalisation Details'!$A:$L, 12, FALSE)</f>
        <v>tier - 2</v>
      </c>
      <c r="N427" s="22" t="str">
        <f>VLOOKUP($A427, 'Hospitalisation Details'!$A:$M, 13, FALSE)</f>
        <v>tier - 3</v>
      </c>
      <c r="O427" s="22" t="str">
        <f>VLOOKUP($A427, 'Hospitalisation Details'!$A:$N, 14, FALSE)</f>
        <v>R1012</v>
      </c>
      <c r="P427" s="36">
        <f>VLOOKUP($A427, 'Hospitalisation Details'!$A:$O, 15, FALSE)</f>
        <v>52</v>
      </c>
    </row>
    <row r="428" ht="15.75" customHeight="1">
      <c r="A428" s="33" t="s">
        <v>855</v>
      </c>
      <c r="B428" s="22" t="str">
        <f>VLOOKUP($A428,'Customer Names'!$A:$D,3, FALSE)</f>
        <v>Surtees</v>
      </c>
      <c r="C428" s="22">
        <f>VLOOKUP($A428,'Medical Examinations'!$A:$D, 2, FALSE)</f>
        <v>22.2</v>
      </c>
      <c r="D428" s="22">
        <f>VLOOKUP($A428, 'Medical Examinations'!$A:$D,3, FALSE)</f>
        <v>5.51</v>
      </c>
      <c r="E428" s="22" t="str">
        <f>VLOOKUP($A428, 'Medical Examinations'!$A:$D, 4, FALSE)</f>
        <v>No</v>
      </c>
      <c r="F428" s="22" t="str">
        <f>VLOOKUP($A428, 'Medical Examinations'!$A:$J, 5, FALSE)</f>
        <v>No</v>
      </c>
      <c r="G428" s="22" t="str">
        <f>VLOOKUP($A428, 'Medical Examinations'!$A:$I, 6, FALSE)</f>
        <v>No</v>
      </c>
      <c r="H428" s="22">
        <f>VLOOKUP($A428,'Medical Examinations'!$A:$L,10, FALSE)</f>
        <v>0</v>
      </c>
      <c r="I428" s="22" t="str">
        <f>VLOOKUP($A428, 'Medical Examinations'!$A:$J, 9, FALSE)</f>
        <v>Yes</v>
      </c>
      <c r="J428" s="22" t="str">
        <f>VLOOKUP($A428, 'Medical Examinations'!$A:$P, 11, FALSE)</f>
        <v>NORMAL WEIGHT</v>
      </c>
      <c r="K428" s="34">
        <v>35785.0</v>
      </c>
      <c r="L428" s="35">
        <f>VLOOKUP($A428, 'Hospitalisation Details'!$A:$H, 7, FALSE)</f>
        <v>24387.74</v>
      </c>
      <c r="M428" s="22" t="str">
        <f>VLOOKUP($A428, 'Hospitalisation Details'!$A:$L, 12, FALSE)</f>
        <v>tier - 2</v>
      </c>
      <c r="N428" s="22" t="str">
        <f>VLOOKUP($A428, 'Hospitalisation Details'!$A:$M, 13, FALSE)</f>
        <v>tier - 1</v>
      </c>
      <c r="O428" s="22" t="str">
        <f>VLOOKUP($A428, 'Hospitalisation Details'!$A:$N, 14, FALSE)</f>
        <v>R1011</v>
      </c>
      <c r="P428" s="36">
        <f>VLOOKUP($A428, 'Hospitalisation Details'!$A:$O, 15, FALSE)</f>
        <v>23</v>
      </c>
    </row>
    <row r="429" ht="15.75" customHeight="1">
      <c r="A429" s="33" t="s">
        <v>857</v>
      </c>
      <c r="B429" s="22" t="str">
        <f>VLOOKUP($A429,'Customer Names'!$A:$D,3, FALSE)</f>
        <v>Spetner</v>
      </c>
      <c r="C429" s="22">
        <f>VLOOKUP($A429,'Medical Examinations'!$A:$D, 2, FALSE)</f>
        <v>25.71</v>
      </c>
      <c r="D429" s="22">
        <f>VLOOKUP($A429, 'Medical Examinations'!$A:$D,3, FALSE)</f>
        <v>4.18</v>
      </c>
      <c r="E429" s="22" t="str">
        <f>VLOOKUP($A429, 'Medical Examinations'!$A:$D, 4, FALSE)</f>
        <v>No</v>
      </c>
      <c r="F429" s="22" t="str">
        <f>VLOOKUP($A429, 'Medical Examinations'!$A:$J, 5, FALSE)</f>
        <v>Yes</v>
      </c>
      <c r="G429" s="22" t="str">
        <f>VLOOKUP($A429, 'Medical Examinations'!$A:$I, 6, FALSE)</f>
        <v>No</v>
      </c>
      <c r="H429" s="22">
        <f>VLOOKUP($A429,'Medical Examinations'!$A:$L,10, FALSE)</f>
        <v>1</v>
      </c>
      <c r="I429" s="22" t="str">
        <f>VLOOKUP($A429, 'Medical Examinations'!$A:$J, 9, FALSE)</f>
        <v>Yes</v>
      </c>
      <c r="J429" s="22" t="str">
        <f>VLOOKUP($A429, 'Medical Examinations'!$A:$P, 11, FALSE)</f>
        <v>OVERWEIGHT</v>
      </c>
      <c r="K429" s="34">
        <v>29767.0</v>
      </c>
      <c r="L429" s="35">
        <f>VLOOKUP($A429, 'Hospitalisation Details'!$A:$H, 7, FALSE)</f>
        <v>24294.02</v>
      </c>
      <c r="M429" s="22" t="str">
        <f>VLOOKUP($A429, 'Hospitalisation Details'!$A:$L, 12, FALSE)</f>
        <v>tier - 2</v>
      </c>
      <c r="N429" s="22" t="str">
        <f>VLOOKUP($A429, 'Hospitalisation Details'!$A:$M, 13, FALSE)</f>
        <v>tier - 1</v>
      </c>
      <c r="O429" s="22" t="str">
        <f>VLOOKUP($A429, 'Hospitalisation Details'!$A:$N, 14, FALSE)</f>
        <v>R1011</v>
      </c>
      <c r="P429" s="36">
        <f>VLOOKUP($A429, 'Hospitalisation Details'!$A:$O, 15, FALSE)</f>
        <v>18</v>
      </c>
    </row>
    <row r="430" ht="15.75" customHeight="1">
      <c r="A430" s="33" t="s">
        <v>859</v>
      </c>
      <c r="B430" s="22" t="str">
        <f>VLOOKUP($A430,'Customer Names'!$A:$D,3, FALSE)</f>
        <v>Brandon</v>
      </c>
      <c r="C430" s="22">
        <f>VLOOKUP($A430,'Medical Examinations'!$A:$D, 2, FALSE)</f>
        <v>41.91</v>
      </c>
      <c r="D430" s="22">
        <f>VLOOKUP($A430, 'Medical Examinations'!$A:$D,3, FALSE)</f>
        <v>5.98</v>
      </c>
      <c r="E430" s="22" t="str">
        <f>VLOOKUP($A430, 'Medical Examinations'!$A:$D, 4, FALSE)</f>
        <v>Yes</v>
      </c>
      <c r="F430" s="22" t="str">
        <f>VLOOKUP($A430, 'Medical Examinations'!$A:$J, 5, FALSE)</f>
        <v>No</v>
      </c>
      <c r="G430" s="22" t="str">
        <f>VLOOKUP($A430, 'Medical Examinations'!$A:$I, 6, FALSE)</f>
        <v>No</v>
      </c>
      <c r="H430" s="22">
        <f>VLOOKUP($A430,'Medical Examinations'!$A:$L,10, FALSE)</f>
        <v>1</v>
      </c>
      <c r="I430" s="22" t="str">
        <f>VLOOKUP($A430, 'Medical Examinations'!$A:$J, 9, FALSE)</f>
        <v>No</v>
      </c>
      <c r="J430" s="22" t="str">
        <f>VLOOKUP($A430, 'Medical Examinations'!$A:$P, 11, FALSE)</f>
        <v>OBESITY</v>
      </c>
      <c r="K430" s="34">
        <v>28106.0</v>
      </c>
      <c r="L430" s="35">
        <f>VLOOKUP($A430, 'Hospitalisation Details'!$A:$H, 7, FALSE)</f>
        <v>24227.34</v>
      </c>
      <c r="M430" s="22" t="str">
        <f>VLOOKUP($A430, 'Hospitalisation Details'!$A:$L, 12, FALSE)</f>
        <v>tier - 2</v>
      </c>
      <c r="N430" s="22" t="str">
        <f>VLOOKUP($A430, 'Hospitalisation Details'!$A:$M, 13, FALSE)</f>
        <v>tier - 1</v>
      </c>
      <c r="O430" s="22" t="str">
        <f>VLOOKUP($A430, 'Hospitalisation Details'!$A:$N, 14, FALSE)</f>
        <v>R1013</v>
      </c>
      <c r="P430" s="36">
        <f>VLOOKUP($A430, 'Hospitalisation Details'!$A:$O, 15, FALSE)</f>
        <v>58</v>
      </c>
    </row>
    <row r="431" ht="15.75" customHeight="1">
      <c r="A431" s="33" t="s">
        <v>861</v>
      </c>
      <c r="B431" s="22" t="str">
        <f>VLOOKUP($A431,'Customer Names'!$A:$D,3, FALSE)</f>
        <v>Eley</v>
      </c>
      <c r="C431" s="22">
        <f>VLOOKUP($A431,'Medical Examinations'!$A:$D, 2, FALSE)</f>
        <v>25.85</v>
      </c>
      <c r="D431" s="22">
        <f>VLOOKUP($A431, 'Medical Examinations'!$A:$D,3, FALSE)</f>
        <v>10.16</v>
      </c>
      <c r="E431" s="22" t="str">
        <f>VLOOKUP($A431, 'Medical Examinations'!$A:$D, 4, FALSE)</f>
        <v>No</v>
      </c>
      <c r="F431" s="22" t="str">
        <f>VLOOKUP($A431, 'Medical Examinations'!$A:$J, 5, FALSE)</f>
        <v>No</v>
      </c>
      <c r="G431" s="22" t="str">
        <f>VLOOKUP($A431, 'Medical Examinations'!$A:$I, 6, FALSE)</f>
        <v>No</v>
      </c>
      <c r="H431" s="22">
        <f>VLOOKUP($A431,'Medical Examinations'!$A:$L,10, FALSE)</f>
        <v>0</v>
      </c>
      <c r="I431" s="22" t="str">
        <f>VLOOKUP($A431, 'Medical Examinations'!$A:$J, 9, FALSE)</f>
        <v>Yes</v>
      </c>
      <c r="J431" s="22" t="str">
        <f>VLOOKUP($A431, 'Medical Examinations'!$A:$P, 11, FALSE)</f>
        <v>OVERWEIGHT</v>
      </c>
      <c r="K431" s="34">
        <v>33550.0</v>
      </c>
      <c r="L431" s="35">
        <f>VLOOKUP($A431, 'Hospitalisation Details'!$A:$H, 7, FALSE)</f>
        <v>24180.93</v>
      </c>
      <c r="M431" s="22" t="str">
        <f>VLOOKUP($A431, 'Hospitalisation Details'!$A:$L, 12, FALSE)</f>
        <v>tier - 2</v>
      </c>
      <c r="N431" s="22" t="str">
        <f>VLOOKUP($A431, 'Hospitalisation Details'!$A:$M, 13, FALSE)</f>
        <v>tier - 1</v>
      </c>
      <c r="O431" s="22" t="str">
        <f>VLOOKUP($A431, 'Hospitalisation Details'!$A:$N, 14, FALSE)</f>
        <v>R1013</v>
      </c>
      <c r="P431" s="36">
        <f>VLOOKUP($A431, 'Hospitalisation Details'!$A:$O, 15, FALSE)</f>
        <v>48</v>
      </c>
    </row>
    <row r="432" ht="15.75" customHeight="1">
      <c r="A432" s="33" t="s">
        <v>863</v>
      </c>
      <c r="B432" s="22" t="str">
        <f>VLOOKUP($A432,'Customer Names'!$A:$D,3, FALSE)</f>
        <v>Sedicum</v>
      </c>
      <c r="C432" s="22">
        <f>VLOOKUP($A432,'Medical Examinations'!$A:$D, 2, FALSE)</f>
        <v>23.845</v>
      </c>
      <c r="D432" s="22">
        <f>VLOOKUP($A432, 'Medical Examinations'!$A:$D,3, FALSE)</f>
        <v>11.71</v>
      </c>
      <c r="E432" s="22" t="str">
        <f>VLOOKUP($A432, 'Medical Examinations'!$A:$D, 4, FALSE)</f>
        <v>No</v>
      </c>
      <c r="F432" s="22" t="str">
        <f>VLOOKUP($A432, 'Medical Examinations'!$A:$J, 5, FALSE)</f>
        <v>No</v>
      </c>
      <c r="G432" s="22" t="str">
        <f>VLOOKUP($A432, 'Medical Examinations'!$A:$I, 6, FALSE)</f>
        <v>No</v>
      </c>
      <c r="H432" s="22">
        <f>VLOOKUP($A432,'Medical Examinations'!$A:$L,10, FALSE)</f>
        <v>2</v>
      </c>
      <c r="I432" s="22" t="str">
        <f>VLOOKUP($A432, 'Medical Examinations'!$A:$J, 9, FALSE)</f>
        <v>Yes</v>
      </c>
      <c r="J432" s="22" t="str">
        <f>VLOOKUP($A432, 'Medical Examinations'!$A:$P, 11, FALSE)</f>
        <v>NORMAL WEIGHT</v>
      </c>
      <c r="K432" s="34">
        <v>28737.0</v>
      </c>
      <c r="L432" s="35">
        <f>VLOOKUP($A432, 'Hospitalisation Details'!$A:$H, 7, FALSE)</f>
        <v>24106.91</v>
      </c>
      <c r="M432" s="22" t="str">
        <f>VLOOKUP($A432, 'Hospitalisation Details'!$A:$L, 12, FALSE)</f>
        <v>tier - 2</v>
      </c>
      <c r="N432" s="22" t="str">
        <f>VLOOKUP($A432, 'Hospitalisation Details'!$A:$M, 13, FALSE)</f>
        <v>tier - 2</v>
      </c>
      <c r="O432" s="22" t="str">
        <f>VLOOKUP($A432, 'Hospitalisation Details'!$A:$N, 14, FALSE)</f>
        <v>R1024</v>
      </c>
      <c r="P432" s="36">
        <f>VLOOKUP($A432, 'Hospitalisation Details'!$A:$O, 15, FALSE)</f>
        <v>49</v>
      </c>
    </row>
    <row r="433" ht="15.75" customHeight="1">
      <c r="A433" s="33" t="s">
        <v>865</v>
      </c>
      <c r="B433" s="22" t="str">
        <f>VLOOKUP($A433,'Customer Names'!$A:$D,3, FALSE)</f>
        <v>Markle</v>
      </c>
      <c r="C433" s="22">
        <f>VLOOKUP($A433,'Medical Examinations'!$A:$D, 2, FALSE)</f>
        <v>30.59</v>
      </c>
      <c r="D433" s="22">
        <f>VLOOKUP($A433, 'Medical Examinations'!$A:$D,3, FALSE)</f>
        <v>5.23</v>
      </c>
      <c r="E433" s="22" t="str">
        <f>VLOOKUP($A433, 'Medical Examinations'!$A:$D, 4, FALSE)</f>
        <v>No</v>
      </c>
      <c r="F433" s="22" t="str">
        <f>VLOOKUP($A433, 'Medical Examinations'!$A:$J, 5, FALSE)</f>
        <v>No</v>
      </c>
      <c r="G433" s="22" t="str">
        <f>VLOOKUP($A433, 'Medical Examinations'!$A:$I, 6, FALSE)</f>
        <v>Yes</v>
      </c>
      <c r="H433" s="22">
        <f>VLOOKUP($A433,'Medical Examinations'!$A:$L,10, FALSE)</f>
        <v>1</v>
      </c>
      <c r="I433" s="22" t="str">
        <f>VLOOKUP($A433, 'Medical Examinations'!$A:$J, 9, FALSE)</f>
        <v>No</v>
      </c>
      <c r="J433" s="22" t="str">
        <f>VLOOKUP($A433, 'Medical Examinations'!$A:$P, 11, FALSE)</f>
        <v>OBESITY</v>
      </c>
      <c r="K433" s="34">
        <v>23941.0</v>
      </c>
      <c r="L433" s="35">
        <f>VLOOKUP($A433, 'Hospitalisation Details'!$A:$H, 7, FALSE)</f>
        <v>24059.68</v>
      </c>
      <c r="M433" s="22" t="str">
        <f>VLOOKUP($A433, 'Hospitalisation Details'!$A:$L, 12, FALSE)</f>
        <v>tier - 2</v>
      </c>
      <c r="N433" s="22" t="str">
        <f>VLOOKUP($A433, 'Hospitalisation Details'!$A:$M, 13, FALSE)</f>
        <v>tier - 2</v>
      </c>
      <c r="O433" s="22" t="str">
        <f>VLOOKUP($A433, 'Hospitalisation Details'!$A:$N, 14, FALSE)</f>
        <v>R1012</v>
      </c>
      <c r="P433" s="36">
        <f>VLOOKUP($A433, 'Hospitalisation Details'!$A:$O, 15, FALSE)</f>
        <v>19</v>
      </c>
    </row>
    <row r="434" ht="15.75" customHeight="1">
      <c r="A434" s="33" t="s">
        <v>867</v>
      </c>
      <c r="B434" s="22" t="str">
        <f>VLOOKUP($A434,'Customer Names'!$A:$D,3, FALSE)</f>
        <v>Kunz</v>
      </c>
      <c r="C434" s="22">
        <f>VLOOKUP($A434,'Medical Examinations'!$A:$D, 2, FALSE)</f>
        <v>24.795</v>
      </c>
      <c r="D434" s="22">
        <f>VLOOKUP($A434, 'Medical Examinations'!$A:$D,3, FALSE)</f>
        <v>6.85</v>
      </c>
      <c r="E434" s="22" t="str">
        <f>VLOOKUP($A434, 'Medical Examinations'!$A:$D, 4, FALSE)</f>
        <v>No</v>
      </c>
      <c r="F434" s="22" t="str">
        <f>VLOOKUP($A434, 'Medical Examinations'!$A:$J, 5, FALSE)</f>
        <v>No</v>
      </c>
      <c r="G434" s="22" t="str">
        <f>VLOOKUP($A434, 'Medical Examinations'!$A:$I, 6, FALSE)</f>
        <v>No</v>
      </c>
      <c r="H434" s="22">
        <f>VLOOKUP($A434,'Medical Examinations'!$A:$L,10, FALSE)</f>
        <v>0</v>
      </c>
      <c r="I434" s="22" t="str">
        <f>VLOOKUP($A434, 'Medical Examinations'!$A:$J, 9, FALSE)</f>
        <v>Yes</v>
      </c>
      <c r="J434" s="22" t="str">
        <f>VLOOKUP($A434, 'Medical Examinations'!$A:$P, 11, FALSE)</f>
        <v>NORMAL WEIGHT</v>
      </c>
      <c r="K434" s="34">
        <v>28366.0</v>
      </c>
      <c r="L434" s="35">
        <f>VLOOKUP($A434, 'Hospitalisation Details'!$A:$H, 7, FALSE)</f>
        <v>23967.38</v>
      </c>
      <c r="M434" s="22" t="str">
        <f>VLOOKUP($A434, 'Hospitalisation Details'!$A:$L, 12, FALSE)</f>
        <v>tier - 2</v>
      </c>
      <c r="N434" s="22" t="str">
        <f>VLOOKUP($A434, 'Hospitalisation Details'!$A:$M, 13, FALSE)</f>
        <v>tier - 2</v>
      </c>
      <c r="O434" s="22" t="str">
        <f>VLOOKUP($A434, 'Hospitalisation Details'!$A:$N, 14, FALSE)</f>
        <v>R1012</v>
      </c>
      <c r="P434" s="36">
        <f>VLOOKUP($A434, 'Hospitalisation Details'!$A:$O, 15, FALSE)</f>
        <v>51</v>
      </c>
    </row>
    <row r="435" ht="15.75" customHeight="1">
      <c r="A435" s="33" t="s">
        <v>869</v>
      </c>
      <c r="B435" s="22" t="str">
        <f>VLOOKUP($A435,'Customer Names'!$A:$D,3, FALSE)</f>
        <v>Wimert</v>
      </c>
      <c r="C435" s="22">
        <f>VLOOKUP($A435,'Medical Examinations'!$A:$D, 2, FALSE)</f>
        <v>24.13</v>
      </c>
      <c r="D435" s="22">
        <f>VLOOKUP($A435, 'Medical Examinations'!$A:$D,3, FALSE)</f>
        <v>7.05</v>
      </c>
      <c r="E435" s="22" t="str">
        <f>VLOOKUP($A435, 'Medical Examinations'!$A:$D, 4, FALSE)</f>
        <v>Yes</v>
      </c>
      <c r="F435" s="22" t="str">
        <f>VLOOKUP($A435, 'Medical Examinations'!$A:$J, 5, FALSE)</f>
        <v>No</v>
      </c>
      <c r="G435" s="22" t="str">
        <f>VLOOKUP($A435, 'Medical Examinations'!$A:$I, 6, FALSE)</f>
        <v>No</v>
      </c>
      <c r="H435" s="22">
        <f>VLOOKUP($A435,'Medical Examinations'!$A:$L,10, FALSE)</f>
        <v>2</v>
      </c>
      <c r="I435" s="22" t="str">
        <f>VLOOKUP($A435, 'Medical Examinations'!$A:$J, 9, FALSE)</f>
        <v>Yes</v>
      </c>
      <c r="J435" s="22" t="str">
        <f>VLOOKUP($A435, 'Medical Examinations'!$A:$P, 11, FALSE)</f>
        <v>NORMAL WEIGHT</v>
      </c>
      <c r="K435" s="34">
        <v>28828.0</v>
      </c>
      <c r="L435" s="35">
        <f>VLOOKUP($A435, 'Hospitalisation Details'!$A:$H, 7, FALSE)</f>
        <v>23887.66</v>
      </c>
      <c r="M435" s="22" t="str">
        <f>VLOOKUP($A435, 'Hospitalisation Details'!$A:$L, 12, FALSE)</f>
        <v>tier - 2</v>
      </c>
      <c r="N435" s="22" t="str">
        <f>VLOOKUP($A435, 'Hospitalisation Details'!$A:$M, 13, FALSE)</f>
        <v>tier - 3</v>
      </c>
      <c r="O435" s="22" t="str">
        <f>VLOOKUP($A435, 'Hospitalisation Details'!$A:$N, 14, FALSE)</f>
        <v>R1012</v>
      </c>
      <c r="P435" s="36">
        <f>VLOOKUP($A435, 'Hospitalisation Details'!$A:$O, 15, FALSE)</f>
        <v>52</v>
      </c>
    </row>
    <row r="436" ht="15.75" customHeight="1">
      <c r="A436" s="33" t="s">
        <v>871</v>
      </c>
      <c r="B436" s="22" t="str">
        <f>VLOOKUP($A436,'Customer Names'!$A:$D,3, FALSE)</f>
        <v>Peterson</v>
      </c>
      <c r="C436" s="22">
        <f>VLOOKUP($A436,'Medical Examinations'!$A:$D, 2, FALSE)</f>
        <v>25.84</v>
      </c>
      <c r="D436" s="22">
        <f>VLOOKUP($A436, 'Medical Examinations'!$A:$D,3, FALSE)</f>
        <v>11.64</v>
      </c>
      <c r="E436" s="22" t="str">
        <f>VLOOKUP($A436, 'Medical Examinations'!$A:$D, 4, FALSE)</f>
        <v>No</v>
      </c>
      <c r="F436" s="22" t="str">
        <f>VLOOKUP($A436, 'Medical Examinations'!$A:$J, 5, FALSE)</f>
        <v>No</v>
      </c>
      <c r="G436" s="22" t="str">
        <f>VLOOKUP($A436, 'Medical Examinations'!$A:$I, 6, FALSE)</f>
        <v>No</v>
      </c>
      <c r="H436" s="22">
        <f>VLOOKUP($A436,'Medical Examinations'!$A:$L,10, FALSE)</f>
        <v>2</v>
      </c>
      <c r="I436" s="22" t="str">
        <f>VLOOKUP($A436, 'Medical Examinations'!$A:$J, 9, FALSE)</f>
        <v>Yes</v>
      </c>
      <c r="J436" s="22" t="str">
        <f>VLOOKUP($A436, 'Medical Examinations'!$A:$P, 11, FALSE)</f>
        <v>OVERWEIGHT</v>
      </c>
      <c r="K436" s="34">
        <v>29474.0</v>
      </c>
      <c r="L436" s="35">
        <f>VLOOKUP($A436, 'Hospitalisation Details'!$A:$H, 7, FALSE)</f>
        <v>23807.24</v>
      </c>
      <c r="M436" s="22" t="str">
        <f>VLOOKUP($A436, 'Hospitalisation Details'!$A:$L, 12, FALSE)</f>
        <v>tier - 2</v>
      </c>
      <c r="N436" s="22" t="str">
        <f>VLOOKUP($A436, 'Hospitalisation Details'!$A:$M, 13, FALSE)</f>
        <v>tier - 3</v>
      </c>
      <c r="O436" s="22" t="str">
        <f>VLOOKUP($A436, 'Hospitalisation Details'!$A:$N, 14, FALSE)</f>
        <v>R1012</v>
      </c>
      <c r="P436" s="36">
        <f>VLOOKUP($A436, 'Hospitalisation Details'!$A:$O, 15, FALSE)</f>
        <v>49</v>
      </c>
    </row>
    <row r="437" ht="15.75" customHeight="1">
      <c r="A437" s="33" t="s">
        <v>873</v>
      </c>
      <c r="B437" s="22" t="str">
        <f>VLOOKUP($A437,'Customer Names'!$A:$D,3, FALSE)</f>
        <v>Mercier</v>
      </c>
      <c r="C437" s="22">
        <f>VLOOKUP($A437,'Medical Examinations'!$A:$D, 2, FALSE)</f>
        <v>28</v>
      </c>
      <c r="D437" s="22">
        <f>VLOOKUP($A437, 'Medical Examinations'!$A:$D,3, FALSE)</f>
        <v>10.52</v>
      </c>
      <c r="E437" s="22" t="str">
        <f>VLOOKUP($A437, 'Medical Examinations'!$A:$D, 4, FALSE)</f>
        <v>No</v>
      </c>
      <c r="F437" s="22" t="str">
        <f>VLOOKUP($A437, 'Medical Examinations'!$A:$J, 5, FALSE)</f>
        <v>No</v>
      </c>
      <c r="G437" s="22" t="str">
        <f>VLOOKUP($A437, 'Medical Examinations'!$A:$I, 6, FALSE)</f>
        <v>No</v>
      </c>
      <c r="H437" s="22">
        <f>VLOOKUP($A437,'Medical Examinations'!$A:$L,10, FALSE)</f>
        <v>0</v>
      </c>
      <c r="I437" s="22" t="str">
        <f>VLOOKUP($A437, 'Medical Examinations'!$A:$J, 9, FALSE)</f>
        <v>Yes</v>
      </c>
      <c r="J437" s="22" t="str">
        <f>VLOOKUP($A437, 'Medical Examinations'!$A:$P, 11, FALSE)</f>
        <v>OVERWEIGHT</v>
      </c>
      <c r="K437" s="34">
        <v>29008.0</v>
      </c>
      <c r="L437" s="35">
        <f>VLOOKUP($A437, 'Hospitalisation Details'!$A:$H, 7, FALSE)</f>
        <v>23568.27</v>
      </c>
      <c r="M437" s="22" t="str">
        <f>VLOOKUP($A437, 'Hospitalisation Details'!$A:$L, 12, FALSE)</f>
        <v>tier - 2</v>
      </c>
      <c r="N437" s="22" t="str">
        <f>VLOOKUP($A437, 'Hospitalisation Details'!$A:$M, 13, FALSE)</f>
        <v>tier - 2</v>
      </c>
      <c r="O437" s="22" t="str">
        <f>VLOOKUP($A437, 'Hospitalisation Details'!$A:$N, 14, FALSE)</f>
        <v>R1011</v>
      </c>
      <c r="P437" s="36">
        <f>VLOOKUP($A437, 'Hospitalisation Details'!$A:$O, 15, FALSE)</f>
        <v>49</v>
      </c>
    </row>
    <row r="438" ht="15.75" customHeight="1">
      <c r="A438" s="33" t="s">
        <v>875</v>
      </c>
      <c r="B438" s="22" t="str">
        <f>VLOOKUP($A438,'Customer Names'!$A:$D,3, FALSE)</f>
        <v>Laurie</v>
      </c>
      <c r="C438" s="22">
        <f>VLOOKUP($A438,'Medical Examinations'!$A:$D, 2, FALSE)</f>
        <v>34.1</v>
      </c>
      <c r="D438" s="22">
        <f>VLOOKUP($A438, 'Medical Examinations'!$A:$D,3, FALSE)</f>
        <v>4.01</v>
      </c>
      <c r="E438" s="22" t="str">
        <f>VLOOKUP($A438, 'Medical Examinations'!$A:$D, 4, FALSE)</f>
        <v>Yes</v>
      </c>
      <c r="F438" s="22" t="str">
        <f>VLOOKUP($A438, 'Medical Examinations'!$A:$J, 5, FALSE)</f>
        <v>No</v>
      </c>
      <c r="G438" s="22" t="str">
        <f>VLOOKUP($A438, 'Medical Examinations'!$A:$I, 6, FALSE)</f>
        <v>Yes</v>
      </c>
      <c r="H438" s="22">
        <f>VLOOKUP($A438,'Medical Examinations'!$A:$L,10, FALSE)</f>
        <v>1</v>
      </c>
      <c r="I438" s="22" t="str">
        <f>VLOOKUP($A438, 'Medical Examinations'!$A:$J, 9, FALSE)</f>
        <v>No</v>
      </c>
      <c r="J438" s="22" t="str">
        <f>VLOOKUP($A438, 'Medical Examinations'!$A:$P, 11, FALSE)</f>
        <v>OBESITY</v>
      </c>
      <c r="K438" s="34">
        <v>28853.0</v>
      </c>
      <c r="L438" s="35">
        <f>VLOOKUP($A438, 'Hospitalisation Details'!$A:$H, 7, FALSE)</f>
        <v>23563.02</v>
      </c>
      <c r="M438" s="22" t="str">
        <f>VLOOKUP($A438, 'Hospitalisation Details'!$A:$L, 12, FALSE)</f>
        <v>tier - 2</v>
      </c>
      <c r="N438" s="22" t="str">
        <f>VLOOKUP($A438, 'Hospitalisation Details'!$A:$M, 13, FALSE)</f>
        <v>tier - 2</v>
      </c>
      <c r="O438" s="22" t="str">
        <f>VLOOKUP($A438, 'Hospitalisation Details'!$A:$N, 14, FALSE)</f>
        <v>R1013</v>
      </c>
      <c r="P438" s="36">
        <f>VLOOKUP($A438, 'Hospitalisation Details'!$A:$O, 15, FALSE)</f>
        <v>39</v>
      </c>
    </row>
    <row r="439" ht="15.75" customHeight="1">
      <c r="A439" s="33" t="s">
        <v>877</v>
      </c>
      <c r="B439" s="22" t="str">
        <f>VLOOKUP($A439,'Customer Names'!$A:$D,3, FALSE)</f>
        <v>Sekaquaptewa</v>
      </c>
      <c r="C439" s="22">
        <f>VLOOKUP($A439,'Medical Examinations'!$A:$D, 2, FALSE)</f>
        <v>26.125</v>
      </c>
      <c r="D439" s="22">
        <f>VLOOKUP($A439, 'Medical Examinations'!$A:$D,3, FALSE)</f>
        <v>8.56</v>
      </c>
      <c r="E439" s="22" t="str">
        <f>VLOOKUP($A439, 'Medical Examinations'!$A:$D, 4, FALSE)</f>
        <v>Yes</v>
      </c>
      <c r="F439" s="22" t="str">
        <f>VLOOKUP($A439, 'Medical Examinations'!$A:$J, 5, FALSE)</f>
        <v>No</v>
      </c>
      <c r="G439" s="22" t="str">
        <f>VLOOKUP($A439, 'Medical Examinations'!$A:$I, 6, FALSE)</f>
        <v>No</v>
      </c>
      <c r="H439" s="22">
        <f>VLOOKUP($A439,'Medical Examinations'!$A:$L,10, FALSE)</f>
        <v>1</v>
      </c>
      <c r="I439" s="22" t="str">
        <f>VLOOKUP($A439, 'Medical Examinations'!$A:$J, 9, FALSE)</f>
        <v>Yes</v>
      </c>
      <c r="J439" s="22" t="str">
        <f>VLOOKUP($A439, 'Medical Examinations'!$A:$P, 11, FALSE)</f>
        <v>OVERWEIGHT</v>
      </c>
      <c r="K439" s="34">
        <v>31970.0</v>
      </c>
      <c r="L439" s="35">
        <f>VLOOKUP($A439, 'Hospitalisation Details'!$A:$H, 7, FALSE)</f>
        <v>23401.31</v>
      </c>
      <c r="M439" s="22" t="str">
        <f>VLOOKUP($A439, 'Hospitalisation Details'!$A:$L, 12, FALSE)</f>
        <v>tier - 2</v>
      </c>
      <c r="N439" s="22" t="str">
        <f>VLOOKUP($A439, 'Hospitalisation Details'!$A:$M, 13, FALSE)</f>
        <v>tier - 3</v>
      </c>
      <c r="O439" s="22" t="str">
        <f>VLOOKUP($A439, 'Hospitalisation Details'!$A:$N, 14, FALSE)</f>
        <v>R1024</v>
      </c>
      <c r="P439" s="36">
        <f>VLOOKUP($A439, 'Hospitalisation Details'!$A:$O, 15, FALSE)</f>
        <v>47</v>
      </c>
    </row>
    <row r="440" ht="15.75" customHeight="1">
      <c r="A440" s="33" t="s">
        <v>879</v>
      </c>
      <c r="B440" s="22" t="str">
        <f>VLOOKUP($A440,'Customer Names'!$A:$D,3, FALSE)</f>
        <v>Frash</v>
      </c>
      <c r="C440" s="22">
        <f>VLOOKUP($A440,'Medical Examinations'!$A:$D, 2, FALSE)</f>
        <v>25.6</v>
      </c>
      <c r="D440" s="22">
        <f>VLOOKUP($A440, 'Medical Examinations'!$A:$D,3, FALSE)</f>
        <v>10.5</v>
      </c>
      <c r="E440" s="22" t="str">
        <f>VLOOKUP($A440, 'Medical Examinations'!$A:$D, 4, FALSE)</f>
        <v>No</v>
      </c>
      <c r="F440" s="22" t="str">
        <f>VLOOKUP($A440, 'Medical Examinations'!$A:$J, 5, FALSE)</f>
        <v>No</v>
      </c>
      <c r="G440" s="22" t="str">
        <f>VLOOKUP($A440, 'Medical Examinations'!$A:$I, 6, FALSE)</f>
        <v>No</v>
      </c>
      <c r="H440" s="22">
        <f>VLOOKUP($A440,'Medical Examinations'!$A:$L,10, FALSE)</f>
        <v>2</v>
      </c>
      <c r="I440" s="22" t="str">
        <f>VLOOKUP($A440, 'Medical Examinations'!$A:$J, 9, FALSE)</f>
        <v>Yes</v>
      </c>
      <c r="J440" s="22" t="str">
        <f>VLOOKUP($A440, 'Medical Examinations'!$A:$P, 11, FALSE)</f>
        <v>OVERWEIGHT</v>
      </c>
      <c r="K440" s="34">
        <v>30303.0</v>
      </c>
      <c r="L440" s="35">
        <f>VLOOKUP($A440, 'Hospitalisation Details'!$A:$H, 7, FALSE)</f>
        <v>23306.55</v>
      </c>
      <c r="M440" s="22" t="str">
        <f>VLOOKUP($A440, 'Hospitalisation Details'!$A:$L, 12, FALSE)</f>
        <v>tier - 2</v>
      </c>
      <c r="N440" s="22" t="str">
        <f>VLOOKUP($A440, 'Hospitalisation Details'!$A:$M, 13, FALSE)</f>
        <v>tier - 2</v>
      </c>
      <c r="O440" s="22" t="str">
        <f>VLOOKUP($A440, 'Hospitalisation Details'!$A:$N, 14, FALSE)</f>
        <v>R1011</v>
      </c>
      <c r="P440" s="36">
        <f>VLOOKUP($A440, 'Hospitalisation Details'!$A:$O, 15, FALSE)</f>
        <v>49</v>
      </c>
    </row>
    <row r="441" ht="15.75" customHeight="1">
      <c r="A441" s="33" t="s">
        <v>881</v>
      </c>
      <c r="B441" s="22" t="str">
        <f>VLOOKUP($A441,'Customer Names'!$A:$D,3, FALSE)</f>
        <v>Bukowski</v>
      </c>
      <c r="C441" s="22">
        <f>VLOOKUP($A441,'Medical Examinations'!$A:$D, 2, FALSE)</f>
        <v>24.32</v>
      </c>
      <c r="D441" s="22">
        <f>VLOOKUP($A441, 'Medical Examinations'!$A:$D,3, FALSE)</f>
        <v>6.39</v>
      </c>
      <c r="E441" s="22" t="str">
        <f>VLOOKUP($A441, 'Medical Examinations'!$A:$D, 4, FALSE)</f>
        <v>No</v>
      </c>
      <c r="F441" s="22" t="str">
        <f>VLOOKUP($A441, 'Medical Examinations'!$A:$J, 5, FALSE)</f>
        <v>No</v>
      </c>
      <c r="G441" s="22" t="str">
        <f>VLOOKUP($A441, 'Medical Examinations'!$A:$I, 6, FALSE)</f>
        <v>No</v>
      </c>
      <c r="H441" s="22">
        <f>VLOOKUP($A441,'Medical Examinations'!$A:$L,10, FALSE)</f>
        <v>0</v>
      </c>
      <c r="I441" s="22" t="str">
        <f>VLOOKUP($A441, 'Medical Examinations'!$A:$J, 9, FALSE)</f>
        <v>No</v>
      </c>
      <c r="J441" s="22" t="str">
        <f>VLOOKUP($A441, 'Medical Examinations'!$A:$P, 11, FALSE)</f>
        <v>NORMAL WEIGHT</v>
      </c>
      <c r="K441" s="34">
        <v>29939.0</v>
      </c>
      <c r="L441" s="35">
        <f>VLOOKUP($A441, 'Hospitalisation Details'!$A:$H, 7, FALSE)</f>
        <v>23288.93</v>
      </c>
      <c r="M441" s="22" t="str">
        <f>VLOOKUP($A441, 'Hospitalisation Details'!$A:$L, 12, FALSE)</f>
        <v>tier - 2</v>
      </c>
      <c r="N441" s="22" t="str">
        <f>VLOOKUP($A441, 'Hospitalisation Details'!$A:$M, 13, FALSE)</f>
        <v>tier - 3</v>
      </c>
      <c r="O441" s="22" t="str">
        <f>VLOOKUP($A441, 'Hospitalisation Details'!$A:$N, 14, FALSE)</f>
        <v>R1024</v>
      </c>
      <c r="P441" s="36">
        <f>VLOOKUP($A441, 'Hospitalisation Details'!$A:$O, 15, FALSE)</f>
        <v>28</v>
      </c>
    </row>
    <row r="442" ht="15.75" customHeight="1">
      <c r="A442" s="33" t="s">
        <v>883</v>
      </c>
      <c r="B442" s="22" t="str">
        <f>VLOOKUP($A442,'Customer Names'!$A:$D,3, FALSE)</f>
        <v>Sandahl</v>
      </c>
      <c r="C442" s="22">
        <f>VLOOKUP($A442,'Medical Examinations'!$A:$D, 2, FALSE)</f>
        <v>22.88</v>
      </c>
      <c r="D442" s="22">
        <f>VLOOKUP($A442, 'Medical Examinations'!$A:$D,3, FALSE)</f>
        <v>5.71</v>
      </c>
      <c r="E442" s="22" t="str">
        <f>VLOOKUP($A442, 'Medical Examinations'!$A:$D, 4, FALSE)</f>
        <v>Yes</v>
      </c>
      <c r="F442" s="22" t="str">
        <f>VLOOKUP($A442, 'Medical Examinations'!$A:$J, 5, FALSE)</f>
        <v>No</v>
      </c>
      <c r="G442" s="22" t="str">
        <f>VLOOKUP($A442, 'Medical Examinations'!$A:$I, 6, FALSE)</f>
        <v>Yes</v>
      </c>
      <c r="H442" s="22">
        <f>VLOOKUP($A442,'Medical Examinations'!$A:$L,10, FALSE)</f>
        <v>1</v>
      </c>
      <c r="I442" s="22" t="str">
        <f>VLOOKUP($A442, 'Medical Examinations'!$A:$J, 9, FALSE)</f>
        <v>Yes</v>
      </c>
      <c r="J442" s="22" t="str">
        <f>VLOOKUP($A442, 'Medical Examinations'!$A:$P, 11, FALSE)</f>
        <v>NORMAL WEIGHT</v>
      </c>
      <c r="K442" s="34">
        <v>27926.0</v>
      </c>
      <c r="L442" s="35">
        <f>VLOOKUP($A442, 'Hospitalisation Details'!$A:$H, 7, FALSE)</f>
        <v>23244.79</v>
      </c>
      <c r="M442" s="22" t="str">
        <f>VLOOKUP($A442, 'Hospitalisation Details'!$A:$L, 12, FALSE)</f>
        <v>tier - 2</v>
      </c>
      <c r="N442" s="22" t="str">
        <f>VLOOKUP($A442, 'Hospitalisation Details'!$A:$M, 13, FALSE)</f>
        <v>tier - 3</v>
      </c>
      <c r="O442" s="22" t="str">
        <f>VLOOKUP($A442, 'Hospitalisation Details'!$A:$N, 14, FALSE)</f>
        <v>R1013</v>
      </c>
      <c r="P442" s="36">
        <f>VLOOKUP($A442, 'Hospitalisation Details'!$A:$O, 15, FALSE)</f>
        <v>53</v>
      </c>
    </row>
    <row r="443" ht="15.75" customHeight="1">
      <c r="A443" s="33" t="s">
        <v>885</v>
      </c>
      <c r="B443" s="22" t="str">
        <f>VLOOKUP($A443,'Customer Names'!$A:$D,3, FALSE)</f>
        <v>Speight</v>
      </c>
      <c r="C443" s="22">
        <f>VLOOKUP($A443,'Medical Examinations'!$A:$D, 2, FALSE)</f>
        <v>24.985</v>
      </c>
      <c r="D443" s="22">
        <f>VLOOKUP($A443, 'Medical Examinations'!$A:$D,3, FALSE)</f>
        <v>4.43</v>
      </c>
      <c r="E443" s="22" t="str">
        <f>VLOOKUP($A443, 'Medical Examinations'!$A:$D, 4, FALSE)</f>
        <v>Yes</v>
      </c>
      <c r="F443" s="22" t="str">
        <f>VLOOKUP($A443, 'Medical Examinations'!$A:$J, 5, FALSE)</f>
        <v>No</v>
      </c>
      <c r="G443" s="22" t="str">
        <f>VLOOKUP($A443, 'Medical Examinations'!$A:$I, 6, FALSE)</f>
        <v>Yes</v>
      </c>
      <c r="H443" s="22">
        <f>VLOOKUP($A443,'Medical Examinations'!$A:$L,10, FALSE)</f>
        <v>1</v>
      </c>
      <c r="I443" s="22" t="str">
        <f>VLOOKUP($A443, 'Medical Examinations'!$A:$J, 9, FALSE)</f>
        <v>No</v>
      </c>
      <c r="J443" s="22" t="str">
        <f>VLOOKUP($A443, 'Medical Examinations'!$A:$P, 11, FALSE)</f>
        <v>NORMAL WEIGHT</v>
      </c>
      <c r="K443" s="34">
        <v>26217.0</v>
      </c>
      <c r="L443" s="35">
        <f>VLOOKUP($A443, 'Hospitalisation Details'!$A:$H, 7, FALSE)</f>
        <v>23241.47</v>
      </c>
      <c r="M443" s="22" t="str">
        <f>VLOOKUP($A443, 'Hospitalisation Details'!$A:$L, 12, FALSE)</f>
        <v>tier - 2</v>
      </c>
      <c r="N443" s="22" t="str">
        <f>VLOOKUP($A443, 'Hospitalisation Details'!$A:$M, 13, FALSE)</f>
        <v>tier - 3</v>
      </c>
      <c r="O443" s="22" t="str">
        <f>VLOOKUP($A443, 'Hospitalisation Details'!$A:$N, 14, FALSE)</f>
        <v>R1018</v>
      </c>
      <c r="P443" s="36">
        <f>VLOOKUP($A443, 'Hospitalisation Details'!$A:$O, 15, FALSE)</f>
        <v>25</v>
      </c>
    </row>
    <row r="444" ht="15.75" customHeight="1">
      <c r="A444" s="33" t="s">
        <v>887</v>
      </c>
      <c r="B444" s="22" t="str">
        <f>VLOOKUP($A444,'Customer Names'!$A:$D,3, FALSE)</f>
        <v>Lee</v>
      </c>
      <c r="C444" s="22">
        <f>VLOOKUP($A444,'Medical Examinations'!$A:$D, 2, FALSE)</f>
        <v>33.1</v>
      </c>
      <c r="D444" s="22">
        <f>VLOOKUP($A444, 'Medical Examinations'!$A:$D,3, FALSE)</f>
        <v>5.52</v>
      </c>
      <c r="E444" s="22" t="str">
        <f>VLOOKUP($A444, 'Medical Examinations'!$A:$D, 4, FALSE)</f>
        <v>No</v>
      </c>
      <c r="F444" s="22" t="str">
        <f>VLOOKUP($A444, 'Medical Examinations'!$A:$J, 5, FALSE)</f>
        <v>No</v>
      </c>
      <c r="G444" s="22" t="str">
        <f>VLOOKUP($A444, 'Medical Examinations'!$A:$I, 6, FALSE)</f>
        <v>Yes</v>
      </c>
      <c r="H444" s="22">
        <f>VLOOKUP($A444,'Medical Examinations'!$A:$L,10, FALSE)</f>
        <v>1</v>
      </c>
      <c r="I444" s="22" t="str">
        <f>VLOOKUP($A444, 'Medical Examinations'!$A:$J, 9, FALSE)</f>
        <v>No</v>
      </c>
      <c r="J444" s="22" t="str">
        <f>VLOOKUP($A444, 'Medical Examinations'!$A:$P, 11, FALSE)</f>
        <v>OBESITY</v>
      </c>
      <c r="K444" s="34">
        <v>34955.0</v>
      </c>
      <c r="L444" s="35">
        <f>VLOOKUP($A444, 'Hospitalisation Details'!$A:$H, 7, FALSE)</f>
        <v>23082.96</v>
      </c>
      <c r="M444" s="22" t="str">
        <f>VLOOKUP($A444, 'Hospitalisation Details'!$A:$L, 12, FALSE)</f>
        <v>tier - 2</v>
      </c>
      <c r="N444" s="22" t="str">
        <f>VLOOKUP($A444, 'Hospitalisation Details'!$A:$M, 13, FALSE)</f>
        <v>tier - 2</v>
      </c>
      <c r="O444" s="22" t="str">
        <f>VLOOKUP($A444, 'Hospitalisation Details'!$A:$N, 14, FALSE)</f>
        <v>R1011</v>
      </c>
      <c r="P444" s="36">
        <f>VLOOKUP($A444, 'Hospitalisation Details'!$A:$O, 15, FALSE)</f>
        <v>19</v>
      </c>
    </row>
    <row r="445" ht="15.75" customHeight="1">
      <c r="A445" s="33" t="s">
        <v>889</v>
      </c>
      <c r="B445" s="22" t="str">
        <f>VLOOKUP($A445,'Customer Names'!$A:$D,3, FALSE)</f>
        <v>Nielsen</v>
      </c>
      <c r="C445" s="22">
        <f>VLOOKUP($A445,'Medical Examinations'!$A:$D, 2, FALSE)</f>
        <v>27.83</v>
      </c>
      <c r="D445" s="22">
        <f>VLOOKUP($A445, 'Medical Examinations'!$A:$D,3, FALSE)</f>
        <v>9.2</v>
      </c>
      <c r="E445" s="22" t="str">
        <f>VLOOKUP($A445, 'Medical Examinations'!$A:$D, 4, FALSE)</f>
        <v>Yes</v>
      </c>
      <c r="F445" s="22" t="str">
        <f>VLOOKUP($A445, 'Medical Examinations'!$A:$J, 5, FALSE)</f>
        <v>No</v>
      </c>
      <c r="G445" s="22" t="str">
        <f>VLOOKUP($A445, 'Medical Examinations'!$A:$I, 6, FALSE)</f>
        <v>No</v>
      </c>
      <c r="H445" s="22">
        <f>VLOOKUP($A445,'Medical Examinations'!$A:$L,10, FALSE)</f>
        <v>1</v>
      </c>
      <c r="I445" s="22" t="str">
        <f>VLOOKUP($A445, 'Medical Examinations'!$A:$J, 9, FALSE)</f>
        <v>Yes</v>
      </c>
      <c r="J445" s="22" t="str">
        <f>VLOOKUP($A445, 'Medical Examinations'!$A:$P, 11, FALSE)</f>
        <v>OVERWEIGHT</v>
      </c>
      <c r="K445" s="34">
        <v>35393.0</v>
      </c>
      <c r="L445" s="35">
        <f>VLOOKUP($A445, 'Hospitalisation Details'!$A:$H, 7, FALSE)</f>
        <v>23065.42</v>
      </c>
      <c r="M445" s="22" t="str">
        <f>VLOOKUP($A445, 'Hospitalisation Details'!$A:$L, 12, FALSE)</f>
        <v>tier - 2</v>
      </c>
      <c r="N445" s="22" t="str">
        <f>VLOOKUP($A445, 'Hospitalisation Details'!$A:$M, 13, FALSE)</f>
        <v>tier - 2</v>
      </c>
      <c r="O445" s="22" t="str">
        <f>VLOOKUP($A445, 'Hospitalisation Details'!$A:$N, 14, FALSE)</f>
        <v>R1013</v>
      </c>
      <c r="P445" s="36">
        <f>VLOOKUP($A445, 'Hospitalisation Details'!$A:$O, 15, FALSE)</f>
        <v>47</v>
      </c>
    </row>
    <row r="446" ht="15.75" customHeight="1">
      <c r="A446" s="33" t="s">
        <v>891</v>
      </c>
      <c r="B446" s="22" t="str">
        <f>VLOOKUP($A446,'Customer Names'!$A:$D,3, FALSE)</f>
        <v>Zirdok</v>
      </c>
      <c r="C446" s="22">
        <f>VLOOKUP($A446,'Medical Examinations'!$A:$D, 2, FALSE)</f>
        <v>30.875</v>
      </c>
      <c r="D446" s="22">
        <f>VLOOKUP($A446, 'Medical Examinations'!$A:$D,3, FALSE)</f>
        <v>10.97</v>
      </c>
      <c r="E446" s="22" t="str">
        <f>VLOOKUP($A446, 'Medical Examinations'!$A:$D, 4, FALSE)</f>
        <v>Yes</v>
      </c>
      <c r="F446" s="22" t="str">
        <f>VLOOKUP($A446, 'Medical Examinations'!$A:$J, 5, FALSE)</f>
        <v>No</v>
      </c>
      <c r="G446" s="22" t="str">
        <f>VLOOKUP($A446, 'Medical Examinations'!$A:$I, 6, FALSE)</f>
        <v>No</v>
      </c>
      <c r="H446" s="22">
        <f>VLOOKUP($A446,'Medical Examinations'!$A:$L,10, FALSE)</f>
        <v>2</v>
      </c>
      <c r="I446" s="22" t="str">
        <f>VLOOKUP($A446, 'Medical Examinations'!$A:$J, 9, FALSE)</f>
        <v>No</v>
      </c>
      <c r="J446" s="22" t="str">
        <f>VLOOKUP($A446, 'Medical Examinations'!$A:$P, 11, FALSE)</f>
        <v>OBESITY</v>
      </c>
      <c r="K446" s="34">
        <v>28042.0</v>
      </c>
      <c r="L446" s="35">
        <f>VLOOKUP($A446, 'Hospitalisation Details'!$A:$H, 7, FALSE)</f>
        <v>23045.57</v>
      </c>
      <c r="M446" s="22" t="str">
        <f>VLOOKUP($A446, 'Hospitalisation Details'!$A:$L, 12, FALSE)</f>
        <v>tier - 2</v>
      </c>
      <c r="N446" s="22" t="str">
        <f>VLOOKUP($A446, 'Hospitalisation Details'!$A:$M, 13, FALSE)</f>
        <v>tier - 2</v>
      </c>
      <c r="O446" s="22" t="str">
        <f>VLOOKUP($A446, 'Hospitalisation Details'!$A:$N, 14, FALSE)</f>
        <v>R1024</v>
      </c>
      <c r="P446" s="36">
        <f>VLOOKUP($A446, 'Hospitalisation Details'!$A:$O, 15, FALSE)</f>
        <v>52</v>
      </c>
    </row>
    <row r="447" ht="15.75" customHeight="1">
      <c r="A447" s="33" t="s">
        <v>893</v>
      </c>
      <c r="B447" s="22" t="str">
        <f>VLOOKUP($A447,'Customer Names'!$A:$D,3, FALSE)</f>
        <v>Crudale</v>
      </c>
      <c r="C447" s="22">
        <f>VLOOKUP($A447,'Medical Examinations'!$A:$D, 2, FALSE)</f>
        <v>27.265</v>
      </c>
      <c r="D447" s="22">
        <f>VLOOKUP($A447, 'Medical Examinations'!$A:$D,3, FALSE)</f>
        <v>4.25</v>
      </c>
      <c r="E447" s="22" t="str">
        <f>VLOOKUP($A447, 'Medical Examinations'!$A:$D, 4, FALSE)</f>
        <v>No</v>
      </c>
      <c r="F447" s="22" t="str">
        <f>VLOOKUP($A447, 'Medical Examinations'!$A:$J, 5, FALSE)</f>
        <v>No</v>
      </c>
      <c r="G447" s="22" t="str">
        <f>VLOOKUP($A447, 'Medical Examinations'!$A:$I, 6, FALSE)</f>
        <v>Yes</v>
      </c>
      <c r="H447" s="22">
        <f>VLOOKUP($A447,'Medical Examinations'!$A:$L,10, FALSE)</f>
        <v>1</v>
      </c>
      <c r="I447" s="22" t="str">
        <f>VLOOKUP($A447, 'Medical Examinations'!$A:$J, 9, FALSE)</f>
        <v>No</v>
      </c>
      <c r="J447" s="22" t="str">
        <f>VLOOKUP($A447, 'Medical Examinations'!$A:$P, 11, FALSE)</f>
        <v>OVERWEIGHT</v>
      </c>
      <c r="K447" s="34">
        <v>24103.0</v>
      </c>
      <c r="L447" s="35">
        <f>VLOOKUP($A447, 'Hospitalisation Details'!$A:$H, 7, FALSE)</f>
        <v>22493.66</v>
      </c>
      <c r="M447" s="22" t="str">
        <f>VLOOKUP($A447, 'Hospitalisation Details'!$A:$L, 12, FALSE)</f>
        <v>tier - 2</v>
      </c>
      <c r="N447" s="22" t="str">
        <f>VLOOKUP($A447, 'Hospitalisation Details'!$A:$M, 13, FALSE)</f>
        <v>tier - 1</v>
      </c>
      <c r="O447" s="22" t="str">
        <f>VLOOKUP($A447, 'Hospitalisation Details'!$A:$N, 14, FALSE)</f>
        <v>R1012</v>
      </c>
      <c r="P447" s="36">
        <f>VLOOKUP($A447, 'Hospitalisation Details'!$A:$O, 15, FALSE)</f>
        <v>19</v>
      </c>
    </row>
    <row r="448" ht="15.75" customHeight="1">
      <c r="A448" s="33" t="s">
        <v>895</v>
      </c>
      <c r="B448" s="22" t="str">
        <f>VLOOKUP($A448,'Customer Names'!$A:$D,3, FALSE)</f>
        <v>Koopmans</v>
      </c>
      <c r="C448" s="22">
        <f>VLOOKUP($A448,'Medical Examinations'!$A:$D, 2, FALSE)</f>
        <v>26.7</v>
      </c>
      <c r="D448" s="22">
        <f>VLOOKUP($A448, 'Medical Examinations'!$A:$D,3, FALSE)</f>
        <v>5.23</v>
      </c>
      <c r="E448" s="22" t="str">
        <f>VLOOKUP($A448, 'Medical Examinations'!$A:$D, 4, FALSE)</f>
        <v>No</v>
      </c>
      <c r="F448" s="22" t="str">
        <f>VLOOKUP($A448, 'Medical Examinations'!$A:$J, 5, FALSE)</f>
        <v>No</v>
      </c>
      <c r="G448" s="22" t="str">
        <f>VLOOKUP($A448, 'Medical Examinations'!$A:$I, 6, FALSE)</f>
        <v>Yes</v>
      </c>
      <c r="H448" s="22">
        <f>VLOOKUP($A448,'Medical Examinations'!$A:$L,10, FALSE)</f>
        <v>1</v>
      </c>
      <c r="I448" s="22" t="str">
        <f>VLOOKUP($A448, 'Medical Examinations'!$A:$J, 9, FALSE)</f>
        <v>Yes</v>
      </c>
      <c r="J448" s="22" t="str">
        <f>VLOOKUP($A448, 'Medical Examinations'!$A:$P, 11, FALSE)</f>
        <v>OVERWEIGHT</v>
      </c>
      <c r="K448" s="34">
        <v>36068.0</v>
      </c>
      <c r="L448" s="35">
        <f>VLOOKUP($A448, 'Hospitalisation Details'!$A:$H, 7, FALSE)</f>
        <v>22478.6</v>
      </c>
      <c r="M448" s="22" t="str">
        <f>VLOOKUP($A448, 'Hospitalisation Details'!$A:$L, 12, FALSE)</f>
        <v>tier - 3</v>
      </c>
      <c r="N448" s="22" t="str">
        <f>VLOOKUP($A448, 'Hospitalisation Details'!$A:$M, 13, FALSE)</f>
        <v>tier - 2</v>
      </c>
      <c r="O448" s="22" t="str">
        <f>VLOOKUP($A448, 'Hospitalisation Details'!$A:$N, 14, FALSE)</f>
        <v>R1011</v>
      </c>
      <c r="P448" s="36">
        <f>VLOOKUP($A448, 'Hospitalisation Details'!$A:$O, 15, FALSE)</f>
        <v>43</v>
      </c>
    </row>
    <row r="449" ht="15.75" customHeight="1">
      <c r="A449" s="33" t="s">
        <v>897</v>
      </c>
      <c r="B449" s="22" t="str">
        <f>VLOOKUP($A449,'Customer Names'!$A:$D,3, FALSE)</f>
        <v>Milani</v>
      </c>
      <c r="C449" s="22">
        <f>VLOOKUP($A449,'Medical Examinations'!$A:$D, 2, FALSE)</f>
        <v>29.925</v>
      </c>
      <c r="D449" s="22">
        <f>VLOOKUP($A449, 'Medical Examinations'!$A:$D,3, FALSE)</f>
        <v>5.96</v>
      </c>
      <c r="E449" s="22" t="str">
        <f>VLOOKUP($A449, 'Medical Examinations'!$A:$D, 4, FALSE)</f>
        <v>Yes</v>
      </c>
      <c r="F449" s="22" t="str">
        <f>VLOOKUP($A449, 'Medical Examinations'!$A:$J, 5, FALSE)</f>
        <v>No</v>
      </c>
      <c r="G449" s="22" t="str">
        <f>VLOOKUP($A449, 'Medical Examinations'!$A:$I, 6, FALSE)</f>
        <v>Yes</v>
      </c>
      <c r="H449" s="22">
        <f>VLOOKUP($A449,'Medical Examinations'!$A:$L,10, FALSE)</f>
        <v>1</v>
      </c>
      <c r="I449" s="22" t="str">
        <f>VLOOKUP($A449, 'Medical Examinations'!$A:$J, 9, FALSE)</f>
        <v>Yes</v>
      </c>
      <c r="J449" s="22" t="str">
        <f>VLOOKUP($A449, 'Medical Examinations'!$A:$P, 11, FALSE)</f>
        <v>OBESITY</v>
      </c>
      <c r="K449" s="34">
        <v>34191.0</v>
      </c>
      <c r="L449" s="35">
        <f>VLOOKUP($A449, 'Hospitalisation Details'!$A:$H, 7, FALSE)</f>
        <v>22462.04</v>
      </c>
      <c r="M449" s="22" t="str">
        <f>VLOOKUP($A449, 'Hospitalisation Details'!$A:$L, 12, FALSE)</f>
        <v>tier - 3</v>
      </c>
      <c r="N449" s="22" t="str">
        <f>VLOOKUP($A449, 'Hospitalisation Details'!$A:$M, 13, FALSE)</f>
        <v>tier - 1</v>
      </c>
      <c r="O449" s="22" t="str">
        <f>VLOOKUP($A449, 'Hospitalisation Details'!$A:$N, 14, FALSE)</f>
        <v>R1019</v>
      </c>
      <c r="P449" s="36">
        <f>VLOOKUP($A449, 'Hospitalisation Details'!$A:$O, 15, FALSE)</f>
        <v>39</v>
      </c>
    </row>
    <row r="450" ht="15.75" customHeight="1">
      <c r="A450" s="33" t="s">
        <v>899</v>
      </c>
      <c r="B450" s="22" t="str">
        <f>VLOOKUP($A450,'Customer Names'!$A:$D,3, FALSE)</f>
        <v>Kelly</v>
      </c>
      <c r="C450" s="22">
        <f>VLOOKUP($A450,'Medical Examinations'!$A:$D, 2, FALSE)</f>
        <v>19.95</v>
      </c>
      <c r="D450" s="22">
        <f>VLOOKUP($A450, 'Medical Examinations'!$A:$D,3, FALSE)</f>
        <v>4.29</v>
      </c>
      <c r="E450" s="22" t="str">
        <f>VLOOKUP($A450, 'Medical Examinations'!$A:$D, 4, FALSE)</f>
        <v>Yes</v>
      </c>
      <c r="F450" s="22" t="str">
        <f>VLOOKUP($A450, 'Medical Examinations'!$A:$J, 5, FALSE)</f>
        <v>No</v>
      </c>
      <c r="G450" s="22" t="str">
        <f>VLOOKUP($A450, 'Medical Examinations'!$A:$I, 6, FALSE)</f>
        <v>No</v>
      </c>
      <c r="H450" s="22">
        <f>VLOOKUP($A450,'Medical Examinations'!$A:$L,10, FALSE)</f>
        <v>2</v>
      </c>
      <c r="I450" s="22" t="str">
        <f>VLOOKUP($A450, 'Medical Examinations'!$A:$J, 9, FALSE)</f>
        <v>Yes</v>
      </c>
      <c r="J450" s="22" t="str">
        <f>VLOOKUP($A450, 'Medical Examinations'!$A:$P, 11, FALSE)</f>
        <v>NORMAL WEIGHT</v>
      </c>
      <c r="K450" s="34">
        <v>29510.0</v>
      </c>
      <c r="L450" s="35">
        <f>VLOOKUP($A450, 'Hospitalisation Details'!$A:$H, 7, FALSE)</f>
        <v>22412.65</v>
      </c>
      <c r="M450" s="22" t="str">
        <f>VLOOKUP($A450, 'Hospitalisation Details'!$A:$L, 12, FALSE)</f>
        <v>tier - 3</v>
      </c>
      <c r="N450" s="22" t="str">
        <f>VLOOKUP($A450, 'Hospitalisation Details'!$A:$M, 13, FALSE)</f>
        <v>tier - 3</v>
      </c>
      <c r="O450" s="22" t="str">
        <f>VLOOKUP($A450, 'Hospitalisation Details'!$A:$N, 14, FALSE)</f>
        <v>R1014</v>
      </c>
      <c r="P450" s="36">
        <f>VLOOKUP($A450, 'Hospitalisation Details'!$A:$O, 15, FALSE)</f>
        <v>56</v>
      </c>
    </row>
    <row r="451" ht="15.75" customHeight="1">
      <c r="A451" s="33" t="s">
        <v>901</v>
      </c>
      <c r="B451" s="22" t="str">
        <f>VLOOKUP($A451,'Customer Names'!$A:$D,3, FALSE)</f>
        <v>Finelli</v>
      </c>
      <c r="C451" s="22">
        <f>VLOOKUP($A451,'Medical Examinations'!$A:$D, 2, FALSE)</f>
        <v>24.225</v>
      </c>
      <c r="D451" s="22">
        <f>VLOOKUP($A451, 'Medical Examinations'!$A:$D,3, FALSE)</f>
        <v>4.09</v>
      </c>
      <c r="E451" s="22" t="str">
        <f>VLOOKUP($A451, 'Medical Examinations'!$A:$D, 4, FALSE)</f>
        <v>No</v>
      </c>
      <c r="F451" s="22" t="str">
        <f>VLOOKUP($A451, 'Medical Examinations'!$A:$J, 5, FALSE)</f>
        <v>No</v>
      </c>
      <c r="G451" s="22" t="str">
        <f>VLOOKUP($A451, 'Medical Examinations'!$A:$I, 6, FALSE)</f>
        <v>No</v>
      </c>
      <c r="H451" s="22">
        <f>VLOOKUP($A451,'Medical Examinations'!$A:$L,10, FALSE)</f>
        <v>0</v>
      </c>
      <c r="I451" s="22" t="str">
        <f>VLOOKUP($A451, 'Medical Examinations'!$A:$J, 9, FALSE)</f>
        <v>No</v>
      </c>
      <c r="J451" s="22" t="str">
        <f>VLOOKUP($A451, 'Medical Examinations'!$A:$P, 11, FALSE)</f>
        <v>NORMAL WEIGHT</v>
      </c>
      <c r="K451" s="34">
        <v>36326.0</v>
      </c>
      <c r="L451" s="35">
        <f>VLOOKUP($A451, 'Hospitalisation Details'!$A:$H, 7, FALSE)</f>
        <v>22395.74</v>
      </c>
      <c r="M451" s="22" t="str">
        <f>VLOOKUP($A451, 'Hospitalisation Details'!$A:$L, 12, FALSE)</f>
        <v>tier - 3</v>
      </c>
      <c r="N451" s="22" t="str">
        <f>VLOOKUP($A451, 'Hospitalisation Details'!$A:$M, 13, FALSE)</f>
        <v>tier - 2</v>
      </c>
      <c r="O451" s="22" t="str">
        <f>VLOOKUP($A451, 'Hospitalisation Details'!$A:$N, 14, FALSE)</f>
        <v>R1024</v>
      </c>
      <c r="P451" s="36">
        <f>VLOOKUP($A451, 'Hospitalisation Details'!$A:$O, 15, FALSE)</f>
        <v>23</v>
      </c>
    </row>
    <row r="452" ht="15.75" customHeight="1">
      <c r="A452" s="33" t="s">
        <v>903</v>
      </c>
      <c r="B452" s="22" t="str">
        <f>VLOOKUP($A452,'Customer Names'!$A:$D,3, FALSE)</f>
        <v>Palmer</v>
      </c>
      <c r="C452" s="22">
        <f>VLOOKUP($A452,'Medical Examinations'!$A:$D, 2, FALSE)</f>
        <v>28.12</v>
      </c>
      <c r="D452" s="22">
        <f>VLOOKUP($A452, 'Medical Examinations'!$A:$D,3, FALSE)</f>
        <v>4.88</v>
      </c>
      <c r="E452" s="22" t="str">
        <f>VLOOKUP($A452, 'Medical Examinations'!$A:$D, 4, FALSE)</f>
        <v>No</v>
      </c>
      <c r="F452" s="22" t="str">
        <f>VLOOKUP($A452, 'Medical Examinations'!$A:$J, 5, FALSE)</f>
        <v>No</v>
      </c>
      <c r="G452" s="22" t="str">
        <f>VLOOKUP($A452, 'Medical Examinations'!$A:$I, 6, FALSE)</f>
        <v>No</v>
      </c>
      <c r="H452" s="22">
        <f>VLOOKUP($A452,'Medical Examinations'!$A:$L,10, FALSE)</f>
        <v>0</v>
      </c>
      <c r="I452" s="22" t="str">
        <f>VLOOKUP($A452, 'Medical Examinations'!$A:$J, 9, FALSE)</f>
        <v>Yes</v>
      </c>
      <c r="J452" s="22" t="str">
        <f>VLOOKUP($A452, 'Medical Examinations'!$A:$P, 11, FALSE)</f>
        <v>OVERWEIGHT</v>
      </c>
      <c r="K452" s="34">
        <v>29426.0</v>
      </c>
      <c r="L452" s="35">
        <f>VLOOKUP($A452, 'Hospitalisation Details'!$A:$H, 7, FALSE)</f>
        <v>22331.57</v>
      </c>
      <c r="M452" s="22" t="str">
        <f>VLOOKUP($A452, 'Hospitalisation Details'!$A:$L, 12, FALSE)</f>
        <v>tier - 2</v>
      </c>
      <c r="N452" s="22" t="str">
        <f>VLOOKUP($A452, 'Hospitalisation Details'!$A:$M, 13, FALSE)</f>
        <v>tier - 3</v>
      </c>
      <c r="O452" s="22" t="str">
        <f>VLOOKUP($A452, 'Hospitalisation Details'!$A:$N, 14, FALSE)</f>
        <v>R1024</v>
      </c>
      <c r="P452" s="36">
        <f>VLOOKUP($A452, 'Hospitalisation Details'!$A:$O, 15, FALSE)</f>
        <v>40</v>
      </c>
    </row>
    <row r="453" ht="15.75" customHeight="1">
      <c r="A453" s="33" t="s">
        <v>905</v>
      </c>
      <c r="B453" s="22" t="str">
        <f>VLOOKUP($A453,'Customer Names'!$A:$D,3, FALSE)</f>
        <v>Wang</v>
      </c>
      <c r="C453" s="22">
        <f>VLOOKUP($A453,'Medical Examinations'!$A:$D, 2, FALSE)</f>
        <v>23.21</v>
      </c>
      <c r="D453" s="22">
        <f>VLOOKUP($A453, 'Medical Examinations'!$A:$D,3, FALSE)</f>
        <v>6.76</v>
      </c>
      <c r="E453" s="22" t="str">
        <f>VLOOKUP($A453, 'Medical Examinations'!$A:$D, 4, FALSE)</f>
        <v>No</v>
      </c>
      <c r="F453" s="22" t="str">
        <f>VLOOKUP($A453, 'Medical Examinations'!$A:$J, 5, FALSE)</f>
        <v>No</v>
      </c>
      <c r="G453" s="22" t="str">
        <f>VLOOKUP($A453, 'Medical Examinations'!$A:$I, 6, FALSE)</f>
        <v>No</v>
      </c>
      <c r="H453" s="22">
        <f>VLOOKUP($A453,'Medical Examinations'!$A:$L,10, FALSE)</f>
        <v>0</v>
      </c>
      <c r="I453" s="22" t="str">
        <f>VLOOKUP($A453, 'Medical Examinations'!$A:$J, 9, FALSE)</f>
        <v>Yes</v>
      </c>
      <c r="J453" s="22" t="str">
        <f>VLOOKUP($A453, 'Medical Examinations'!$A:$P, 11, FALSE)</f>
        <v>NORMAL WEIGHT</v>
      </c>
      <c r="K453" s="34">
        <v>25173.0</v>
      </c>
      <c r="L453" s="35">
        <f>VLOOKUP($A453, 'Hospitalisation Details'!$A:$H, 7, FALSE)</f>
        <v>22218.11</v>
      </c>
      <c r="M453" s="22" t="str">
        <f>VLOOKUP($A453, 'Hospitalisation Details'!$A:$L, 12, FALSE)</f>
        <v>tier - 2</v>
      </c>
      <c r="N453" s="22" t="str">
        <f>VLOOKUP($A453, 'Hospitalisation Details'!$A:$M, 13, FALSE)</f>
        <v>tier - 3</v>
      </c>
      <c r="O453" s="22" t="str">
        <f>VLOOKUP($A453, 'Hospitalisation Details'!$A:$N, 14, FALSE)</f>
        <v>R1013</v>
      </c>
      <c r="P453" s="36">
        <f>VLOOKUP($A453, 'Hospitalisation Details'!$A:$O, 15, FALSE)</f>
        <v>51</v>
      </c>
    </row>
    <row r="454" ht="15.75" customHeight="1">
      <c r="A454" s="33" t="s">
        <v>907</v>
      </c>
      <c r="B454" s="22" t="str">
        <f>VLOOKUP($A454,'Customer Names'!$A:$D,3, FALSE)</f>
        <v>Beasley</v>
      </c>
      <c r="C454" s="22">
        <f>VLOOKUP($A454,'Medical Examinations'!$A:$D, 2, FALSE)</f>
        <v>23.98</v>
      </c>
      <c r="D454" s="22">
        <f>VLOOKUP($A454, 'Medical Examinations'!$A:$D,3, FALSE)</f>
        <v>10.67</v>
      </c>
      <c r="E454" s="22" t="str">
        <f>VLOOKUP($A454, 'Medical Examinations'!$A:$D, 4, FALSE)</f>
        <v>No</v>
      </c>
      <c r="F454" s="22" t="str">
        <f>VLOOKUP($A454, 'Medical Examinations'!$A:$J, 5, FALSE)</f>
        <v>No</v>
      </c>
      <c r="G454" s="22" t="str">
        <f>VLOOKUP($A454, 'Medical Examinations'!$A:$I, 6, FALSE)</f>
        <v>No</v>
      </c>
      <c r="H454" s="22">
        <f>VLOOKUP($A454,'Medical Examinations'!$A:$L,10, FALSE)</f>
        <v>0</v>
      </c>
      <c r="I454" s="22" t="str">
        <f>VLOOKUP($A454, 'Medical Examinations'!$A:$J, 9, FALSE)</f>
        <v>No</v>
      </c>
      <c r="J454" s="22" t="str">
        <f>VLOOKUP($A454, 'Medical Examinations'!$A:$P, 11, FALSE)</f>
        <v>NORMAL WEIGHT</v>
      </c>
      <c r="K454" s="34">
        <v>33544.0</v>
      </c>
      <c r="L454" s="35">
        <f>VLOOKUP($A454, 'Hospitalisation Details'!$A:$H, 7, FALSE)</f>
        <v>22192.44</v>
      </c>
      <c r="M454" s="22" t="str">
        <f>VLOOKUP($A454, 'Hospitalisation Details'!$A:$L, 12, FALSE)</f>
        <v>tier - 3</v>
      </c>
      <c r="N454" s="22" t="str">
        <f>VLOOKUP($A454, 'Hospitalisation Details'!$A:$M, 13, FALSE)</f>
        <v>tier - 1</v>
      </c>
      <c r="O454" s="22" t="str">
        <f>VLOOKUP($A454, 'Hospitalisation Details'!$A:$N, 14, FALSE)</f>
        <v>R1013</v>
      </c>
      <c r="P454" s="36">
        <f>VLOOKUP($A454, 'Hospitalisation Details'!$A:$O, 15, FALSE)</f>
        <v>57</v>
      </c>
    </row>
    <row r="455" ht="15.75" customHeight="1">
      <c r="A455" s="33" t="s">
        <v>909</v>
      </c>
      <c r="B455" s="22" t="str">
        <f>VLOOKUP($A455,'Customer Names'!$A:$D,3, FALSE)</f>
        <v>Bedbury</v>
      </c>
      <c r="C455" s="22">
        <f>VLOOKUP($A455,'Medical Examinations'!$A:$D, 2, FALSE)</f>
        <v>30</v>
      </c>
      <c r="D455" s="22">
        <f>VLOOKUP($A455, 'Medical Examinations'!$A:$D,3, FALSE)</f>
        <v>6.21</v>
      </c>
      <c r="E455" s="22" t="str">
        <f>VLOOKUP($A455, 'Medical Examinations'!$A:$D, 4, FALSE)</f>
        <v>No</v>
      </c>
      <c r="F455" s="22" t="str">
        <f>VLOOKUP($A455, 'Medical Examinations'!$A:$J, 5, FALSE)</f>
        <v>No</v>
      </c>
      <c r="G455" s="22" t="str">
        <f>VLOOKUP($A455, 'Medical Examinations'!$A:$I, 6, FALSE)</f>
        <v>No</v>
      </c>
      <c r="H455" s="22">
        <f>VLOOKUP($A455,'Medical Examinations'!$A:$L,10, FALSE)</f>
        <v>0</v>
      </c>
      <c r="I455" s="22" t="str">
        <f>VLOOKUP($A455, 'Medical Examinations'!$A:$J, 9, FALSE)</f>
        <v>Yes</v>
      </c>
      <c r="J455" s="22" t="str">
        <f>VLOOKUP($A455, 'Medical Examinations'!$A:$P, 11, FALSE)</f>
        <v>OBESITY</v>
      </c>
      <c r="K455" s="34">
        <v>29392.0</v>
      </c>
      <c r="L455" s="35">
        <f>VLOOKUP($A455, 'Hospitalisation Details'!$A:$H, 7, FALSE)</f>
        <v>22144.03</v>
      </c>
      <c r="M455" s="22" t="str">
        <f>VLOOKUP($A455, 'Hospitalisation Details'!$A:$L, 12, FALSE)</f>
        <v>tier - 2</v>
      </c>
      <c r="N455" s="22" t="str">
        <f>VLOOKUP($A455, 'Hospitalisation Details'!$A:$M, 13, FALSE)</f>
        <v>tier - 2</v>
      </c>
      <c r="O455" s="22" t="str">
        <f>VLOOKUP($A455, 'Hospitalisation Details'!$A:$N, 14, FALSE)</f>
        <v>R1011</v>
      </c>
      <c r="P455" s="36">
        <f>VLOOKUP($A455, 'Hospitalisation Details'!$A:$O, 15, FALSE)</f>
        <v>42</v>
      </c>
    </row>
    <row r="456" ht="15.75" customHeight="1">
      <c r="A456" s="33" t="s">
        <v>911</v>
      </c>
      <c r="B456" s="22" t="str">
        <f>VLOOKUP($A456,'Customer Names'!$A:$D,3, FALSE)</f>
        <v>Stemberger</v>
      </c>
      <c r="C456" s="22">
        <f>VLOOKUP($A456,'Medical Examinations'!$A:$D, 2, FALSE)</f>
        <v>17.35</v>
      </c>
      <c r="D456" s="22">
        <f>VLOOKUP($A456, 'Medical Examinations'!$A:$D,3, FALSE)</f>
        <v>5.03</v>
      </c>
      <c r="E456" s="22" t="str">
        <f>VLOOKUP($A456, 'Medical Examinations'!$A:$D, 4, FALSE)</f>
        <v>Yes</v>
      </c>
      <c r="F456" s="22" t="str">
        <f>VLOOKUP($A456, 'Medical Examinations'!$A:$J, 5, FALSE)</f>
        <v>No</v>
      </c>
      <c r="G456" s="22" t="str">
        <f>VLOOKUP($A456, 'Medical Examinations'!$A:$I, 6, FALSE)</f>
        <v>No</v>
      </c>
      <c r="H456" s="22">
        <f>VLOOKUP($A456,'Medical Examinations'!$A:$L,10, FALSE)</f>
        <v>0</v>
      </c>
      <c r="I456" s="22" t="str">
        <f>VLOOKUP($A456, 'Medical Examinations'!$A:$J, 9, FALSE)</f>
        <v>Yes</v>
      </c>
      <c r="J456" s="22" t="str">
        <f>VLOOKUP($A456, 'Medical Examinations'!$A:$P, 11, FALSE)</f>
        <v>UNDERWEIGHT</v>
      </c>
      <c r="K456" s="34">
        <v>37238.0</v>
      </c>
      <c r="L456" s="35">
        <f>VLOOKUP($A456, 'Hospitalisation Details'!$A:$H, 7, FALSE)</f>
        <v>22097.62</v>
      </c>
      <c r="M456" s="22" t="str">
        <f>VLOOKUP($A456, 'Hospitalisation Details'!$A:$L, 12, FALSE)</f>
        <v>tier - 3</v>
      </c>
      <c r="N456" s="22" t="str">
        <f>VLOOKUP($A456, 'Hospitalisation Details'!$A:$M, 13, FALSE)</f>
        <v>tier - 1</v>
      </c>
      <c r="O456" s="22" t="str">
        <f>VLOOKUP($A456, 'Hospitalisation Details'!$A:$N, 14, FALSE)</f>
        <v>R1011</v>
      </c>
      <c r="P456" s="36">
        <f>VLOOKUP($A456, 'Hospitalisation Details'!$A:$O, 15, FALSE)</f>
        <v>21</v>
      </c>
    </row>
    <row r="457" ht="15.75" customHeight="1">
      <c r="A457" s="33" t="s">
        <v>913</v>
      </c>
      <c r="B457" s="22" t="str">
        <f>VLOOKUP($A457,'Customer Names'!$A:$D,3, FALSE)</f>
        <v>Chebet</v>
      </c>
      <c r="C457" s="22">
        <f>VLOOKUP($A457,'Medical Examinations'!$A:$D, 2, FALSE)</f>
        <v>22.705</v>
      </c>
      <c r="D457" s="22">
        <f>VLOOKUP($A457, 'Medical Examinations'!$A:$D,3, FALSE)</f>
        <v>5.27</v>
      </c>
      <c r="E457" s="22" t="str">
        <f>VLOOKUP($A457, 'Medical Examinations'!$A:$D, 4, FALSE)</f>
        <v>No</v>
      </c>
      <c r="F457" s="22" t="str">
        <f>VLOOKUP($A457, 'Medical Examinations'!$A:$J, 5, FALSE)</f>
        <v>No</v>
      </c>
      <c r="G457" s="22" t="str">
        <f>VLOOKUP($A457, 'Medical Examinations'!$A:$I, 6, FALSE)</f>
        <v>No</v>
      </c>
      <c r="H457" s="22">
        <f>VLOOKUP($A457,'Medical Examinations'!$A:$L,10, FALSE)</f>
        <v>0</v>
      </c>
      <c r="I457" s="22" t="str">
        <f>VLOOKUP($A457, 'Medical Examinations'!$A:$J, 9, FALSE)</f>
        <v>No</v>
      </c>
      <c r="J457" s="22" t="str">
        <f>VLOOKUP($A457, 'Medical Examinations'!$A:$P, 11, FALSE)</f>
        <v>NORMAL WEIGHT</v>
      </c>
      <c r="K457" s="34">
        <v>28726.0</v>
      </c>
      <c r="L457" s="35">
        <f>VLOOKUP($A457, 'Hospitalisation Details'!$A:$H, 7, FALSE)</f>
        <v>21984.47</v>
      </c>
      <c r="M457" s="22" t="str">
        <f>VLOOKUP($A457, 'Hospitalisation Details'!$A:$L, 12, FALSE)</f>
        <v>tier - 3</v>
      </c>
      <c r="N457" s="22" t="str">
        <f>VLOOKUP($A457, 'Hospitalisation Details'!$A:$M, 13, FALSE)</f>
        <v>tier - 1</v>
      </c>
      <c r="O457" s="22" t="str">
        <f>VLOOKUP($A457, 'Hospitalisation Details'!$A:$N, 14, FALSE)</f>
        <v>R1012</v>
      </c>
      <c r="P457" s="36">
        <f>VLOOKUP($A457, 'Hospitalisation Details'!$A:$O, 15, FALSE)</f>
        <v>33</v>
      </c>
    </row>
    <row r="458" ht="15.75" customHeight="1">
      <c r="A458" s="33" t="s">
        <v>915</v>
      </c>
      <c r="B458" s="22" t="str">
        <f>VLOOKUP($A458,'Customer Names'!$A:$D,3, FALSE)</f>
        <v>Muir</v>
      </c>
      <c r="C458" s="22">
        <f>VLOOKUP($A458,'Medical Examinations'!$A:$D, 2, FALSE)</f>
        <v>25.41</v>
      </c>
      <c r="D458" s="22">
        <f>VLOOKUP($A458, 'Medical Examinations'!$A:$D,3, FALSE)</f>
        <v>10.53</v>
      </c>
      <c r="E458" s="22" t="str">
        <f>VLOOKUP($A458, 'Medical Examinations'!$A:$D, 4, FALSE)</f>
        <v>Yes</v>
      </c>
      <c r="F458" s="22" t="str">
        <f>VLOOKUP($A458, 'Medical Examinations'!$A:$J, 5, FALSE)</f>
        <v>No</v>
      </c>
      <c r="G458" s="22" t="str">
        <f>VLOOKUP($A458, 'Medical Examinations'!$A:$I, 6, FALSE)</f>
        <v>No</v>
      </c>
      <c r="H458" s="22">
        <f>VLOOKUP($A458,'Medical Examinations'!$A:$L,10, FALSE)</f>
        <v>1</v>
      </c>
      <c r="I458" s="22" t="str">
        <f>VLOOKUP($A458, 'Medical Examinations'!$A:$J, 9, FALSE)</f>
        <v>Yes</v>
      </c>
      <c r="J458" s="22" t="str">
        <f>VLOOKUP($A458, 'Medical Examinations'!$A:$P, 11, FALSE)</f>
        <v>OVERWEIGHT</v>
      </c>
      <c r="K458" s="34">
        <v>28823.0</v>
      </c>
      <c r="L458" s="35">
        <f>VLOOKUP($A458, 'Hospitalisation Details'!$A:$H, 7, FALSE)</f>
        <v>21978.68</v>
      </c>
      <c r="M458" s="22" t="str">
        <f>VLOOKUP($A458, 'Hospitalisation Details'!$A:$L, 12, FALSE)</f>
        <v>tier - 3</v>
      </c>
      <c r="N458" s="22" t="str">
        <f>VLOOKUP($A458, 'Hospitalisation Details'!$A:$M, 13, FALSE)</f>
        <v>tier - 3</v>
      </c>
      <c r="O458" s="22" t="str">
        <f>VLOOKUP($A458, 'Hospitalisation Details'!$A:$N, 14, FALSE)</f>
        <v>R1013</v>
      </c>
      <c r="P458" s="36">
        <f>VLOOKUP($A458, 'Hospitalisation Details'!$A:$O, 15, FALSE)</f>
        <v>47</v>
      </c>
    </row>
    <row r="459" ht="15.75" customHeight="1">
      <c r="A459" s="33" t="s">
        <v>917</v>
      </c>
      <c r="B459" s="22" t="str">
        <f>VLOOKUP($A459,'Customer Names'!$A:$D,3, FALSE)</f>
        <v>Yang</v>
      </c>
      <c r="C459" s="22">
        <f>VLOOKUP($A459,'Medical Examinations'!$A:$D, 2, FALSE)</f>
        <v>18.23</v>
      </c>
      <c r="D459" s="22">
        <f>VLOOKUP($A459, 'Medical Examinations'!$A:$D,3, FALSE)</f>
        <v>5.78</v>
      </c>
      <c r="E459" s="22" t="str">
        <f>VLOOKUP($A459, 'Medical Examinations'!$A:$D, 4, FALSE)</f>
        <v>No</v>
      </c>
      <c r="F459" s="22" t="str">
        <f>VLOOKUP($A459, 'Medical Examinations'!$A:$J, 5, FALSE)</f>
        <v>No</v>
      </c>
      <c r="G459" s="22" t="str">
        <f>VLOOKUP($A459, 'Medical Examinations'!$A:$I, 6, FALSE)</f>
        <v>Yes</v>
      </c>
      <c r="H459" s="22">
        <f>VLOOKUP($A459,'Medical Examinations'!$A:$L,10, FALSE)</f>
        <v>1</v>
      </c>
      <c r="I459" s="22" t="str">
        <f>VLOOKUP($A459, 'Medical Examinations'!$A:$J, 9, FALSE)</f>
        <v>Yes</v>
      </c>
      <c r="J459" s="22" t="str">
        <f>VLOOKUP($A459, 'Medical Examinations'!$A:$P, 11, FALSE)</f>
        <v>UNDERWEIGHT</v>
      </c>
      <c r="K459" s="34">
        <v>28800.0</v>
      </c>
      <c r="L459" s="35">
        <f>VLOOKUP($A459, 'Hospitalisation Details'!$A:$H, 7, FALSE)</f>
        <v>21882.4</v>
      </c>
      <c r="M459" s="22" t="str">
        <f>VLOOKUP($A459, 'Hospitalisation Details'!$A:$L, 12, FALSE)</f>
        <v>tier - 2</v>
      </c>
      <c r="N459" s="22" t="str">
        <f>VLOOKUP($A459, 'Hospitalisation Details'!$A:$M, 13, FALSE)</f>
        <v>tier - 1</v>
      </c>
      <c r="O459" s="22" t="str">
        <f>VLOOKUP($A459, 'Hospitalisation Details'!$A:$N, 14, FALSE)</f>
        <v>R1011</v>
      </c>
      <c r="P459" s="36">
        <f>VLOOKUP($A459, 'Hospitalisation Details'!$A:$O, 15, FALSE)</f>
        <v>19</v>
      </c>
    </row>
    <row r="460" ht="15.75" customHeight="1">
      <c r="A460" s="33" t="s">
        <v>919</v>
      </c>
      <c r="B460" s="22" t="str">
        <f>VLOOKUP($A460,'Customer Names'!$A:$D,3, FALSE)</f>
        <v>Gravel</v>
      </c>
      <c r="C460" s="22">
        <f>VLOOKUP($A460,'Medical Examinations'!$A:$D, 2, FALSE)</f>
        <v>24.7</v>
      </c>
      <c r="D460" s="22">
        <f>VLOOKUP($A460, 'Medical Examinations'!$A:$D,3, FALSE)</f>
        <v>4.36</v>
      </c>
      <c r="E460" s="22" t="str">
        <f>VLOOKUP($A460, 'Medical Examinations'!$A:$D, 4, FALSE)</f>
        <v>No</v>
      </c>
      <c r="F460" s="22" t="str">
        <f>VLOOKUP($A460, 'Medical Examinations'!$A:$J, 5, FALSE)</f>
        <v>No</v>
      </c>
      <c r="G460" s="22" t="str">
        <f>VLOOKUP($A460, 'Medical Examinations'!$A:$I, 6, FALSE)</f>
        <v>Yes</v>
      </c>
      <c r="H460" s="22">
        <f>VLOOKUP($A460,'Medical Examinations'!$A:$L,10, FALSE)</f>
        <v>1</v>
      </c>
      <c r="I460" s="22" t="str">
        <f>VLOOKUP($A460, 'Medical Examinations'!$A:$J, 9, FALSE)</f>
        <v>Yes</v>
      </c>
      <c r="J460" s="22" t="str">
        <f>VLOOKUP($A460, 'Medical Examinations'!$A:$P, 11, FALSE)</f>
        <v>NORMAL WEIGHT</v>
      </c>
      <c r="K460" s="34">
        <v>28822.0</v>
      </c>
      <c r="L460" s="35">
        <f>VLOOKUP($A460, 'Hospitalisation Details'!$A:$H, 7, FALSE)</f>
        <v>21880.82</v>
      </c>
      <c r="M460" s="22" t="str">
        <f>VLOOKUP($A460, 'Hospitalisation Details'!$A:$L, 12, FALSE)</f>
        <v>tier - 3</v>
      </c>
      <c r="N460" s="22" t="str">
        <f>VLOOKUP($A460, 'Hospitalisation Details'!$A:$M, 13, FALSE)</f>
        <v>tier - 1</v>
      </c>
      <c r="O460" s="22" t="str">
        <f>VLOOKUP($A460, 'Hospitalisation Details'!$A:$N, 14, FALSE)</f>
        <v>R1012</v>
      </c>
      <c r="P460" s="36">
        <f>VLOOKUP($A460, 'Hospitalisation Details'!$A:$O, 15, FALSE)</f>
        <v>43</v>
      </c>
    </row>
    <row r="461" ht="15.75" customHeight="1">
      <c r="A461" s="33" t="s">
        <v>921</v>
      </c>
      <c r="B461" s="22" t="str">
        <f>VLOOKUP($A461,'Customer Names'!$A:$D,3, FALSE)</f>
        <v>Smith</v>
      </c>
      <c r="C461" s="22">
        <f>VLOOKUP($A461,'Medical Examinations'!$A:$D, 2, FALSE)</f>
        <v>37.4</v>
      </c>
      <c r="D461" s="22">
        <f>VLOOKUP($A461, 'Medical Examinations'!$A:$D,3, FALSE)</f>
        <v>9.72</v>
      </c>
      <c r="E461" s="22" t="str">
        <f>VLOOKUP($A461, 'Medical Examinations'!$A:$D, 4, FALSE)</f>
        <v>Yes</v>
      </c>
      <c r="F461" s="22" t="str">
        <f>VLOOKUP($A461, 'Medical Examinations'!$A:$J, 5, FALSE)</f>
        <v>No</v>
      </c>
      <c r="G461" s="22" t="str">
        <f>VLOOKUP($A461, 'Medical Examinations'!$A:$I, 6, FALSE)</f>
        <v>Yes</v>
      </c>
      <c r="H461" s="22">
        <f>VLOOKUP($A461,'Medical Examinations'!$A:$L,10, FALSE)</f>
        <v>1</v>
      </c>
      <c r="I461" s="22" t="str">
        <f>VLOOKUP($A461, 'Medical Examinations'!$A:$J, 9, FALSE)</f>
        <v>No</v>
      </c>
      <c r="J461" s="22" t="str">
        <f>VLOOKUP($A461, 'Medical Examinations'!$A:$P, 11, FALSE)</f>
        <v>OBESITY</v>
      </c>
      <c r="K461" s="34">
        <v>35325.0</v>
      </c>
      <c r="L461" s="35">
        <f>VLOOKUP($A461, 'Hospitalisation Details'!$A:$H, 7, FALSE)</f>
        <v>21797</v>
      </c>
      <c r="M461" s="22" t="str">
        <f>VLOOKUP($A461, 'Hospitalisation Details'!$A:$L, 12, FALSE)</f>
        <v>tier - 3</v>
      </c>
      <c r="N461" s="22" t="str">
        <f>VLOOKUP($A461, 'Hospitalisation Details'!$A:$M, 13, FALSE)</f>
        <v>tier - 1</v>
      </c>
      <c r="O461" s="22" t="str">
        <f>VLOOKUP($A461, 'Hospitalisation Details'!$A:$N, 14, FALSE)</f>
        <v>R1011</v>
      </c>
      <c r="P461" s="36">
        <f>VLOOKUP($A461, 'Hospitalisation Details'!$A:$O, 15, FALSE)</f>
        <v>59</v>
      </c>
    </row>
    <row r="462" ht="15.75" customHeight="1">
      <c r="A462" s="33" t="s">
        <v>923</v>
      </c>
      <c r="B462" s="22" t="str">
        <f>VLOOKUP($A462,'Customer Names'!$A:$D,3, FALSE)</f>
        <v>Williams</v>
      </c>
      <c r="C462" s="22">
        <f>VLOOKUP($A462,'Medical Examinations'!$A:$D, 2, FALSE)</f>
        <v>26.885</v>
      </c>
      <c r="D462" s="22">
        <f>VLOOKUP($A462, 'Medical Examinations'!$A:$D,3, FALSE)</f>
        <v>5.18</v>
      </c>
      <c r="E462" s="22" t="str">
        <f>VLOOKUP($A462, 'Medical Examinations'!$A:$D, 4, FALSE)</f>
        <v>No</v>
      </c>
      <c r="F462" s="22" t="str">
        <f>VLOOKUP($A462, 'Medical Examinations'!$A:$J, 5, FALSE)</f>
        <v>No</v>
      </c>
      <c r="G462" s="22" t="str">
        <f>VLOOKUP($A462, 'Medical Examinations'!$A:$I, 6, FALSE)</f>
        <v>Yes</v>
      </c>
      <c r="H462" s="22">
        <f>VLOOKUP($A462,'Medical Examinations'!$A:$L,10, FALSE)</f>
        <v>1</v>
      </c>
      <c r="I462" s="22" t="str">
        <f>VLOOKUP($A462, 'Medical Examinations'!$A:$J, 9, FALSE)</f>
        <v>Yes</v>
      </c>
      <c r="J462" s="22" t="str">
        <f>VLOOKUP($A462, 'Medical Examinations'!$A:$P, 11, FALSE)</f>
        <v>OVERWEIGHT</v>
      </c>
      <c r="K462" s="34">
        <v>25022.0</v>
      </c>
      <c r="L462" s="35">
        <f>VLOOKUP($A462, 'Hospitalisation Details'!$A:$H, 7, FALSE)</f>
        <v>21774.32</v>
      </c>
      <c r="M462" s="22" t="str">
        <f>VLOOKUP($A462, 'Hospitalisation Details'!$A:$L, 12, FALSE)</f>
        <v>tier - 3</v>
      </c>
      <c r="N462" s="22" t="str">
        <f>VLOOKUP($A462, 'Hospitalisation Details'!$A:$M, 13, FALSE)</f>
        <v>tier - 2</v>
      </c>
      <c r="O462" s="22" t="str">
        <f>VLOOKUP($A462, 'Hospitalisation Details'!$A:$N, 14, FALSE)</f>
        <v>R1012</v>
      </c>
      <c r="P462" s="36">
        <f>VLOOKUP($A462, 'Hospitalisation Details'!$A:$O, 15, FALSE)</f>
        <v>43</v>
      </c>
    </row>
    <row r="463" ht="15.75" customHeight="1">
      <c r="A463" s="33" t="s">
        <v>925</v>
      </c>
      <c r="B463" s="22" t="str">
        <f>VLOOKUP($A463,'Customer Names'!$A:$D,3, FALSE)</f>
        <v>Meyer</v>
      </c>
      <c r="C463" s="22">
        <f>VLOOKUP($A463,'Medical Examinations'!$A:$D, 2, FALSE)</f>
        <v>25.27</v>
      </c>
      <c r="D463" s="22">
        <f>VLOOKUP($A463, 'Medical Examinations'!$A:$D,3, FALSE)</f>
        <v>5.29</v>
      </c>
      <c r="E463" s="22" t="str">
        <f>VLOOKUP($A463, 'Medical Examinations'!$A:$D, 4, FALSE)</f>
        <v>No</v>
      </c>
      <c r="F463" s="22" t="str">
        <f>VLOOKUP($A463, 'Medical Examinations'!$A:$J, 5, FALSE)</f>
        <v>No</v>
      </c>
      <c r="G463" s="22" t="str">
        <f>VLOOKUP($A463, 'Medical Examinations'!$A:$I, 6, FALSE)</f>
        <v>Yes</v>
      </c>
      <c r="H463" s="22">
        <f>VLOOKUP($A463,'Medical Examinations'!$A:$L,10, FALSE)</f>
        <v>1</v>
      </c>
      <c r="I463" s="22" t="str">
        <f>VLOOKUP($A463, 'Medical Examinations'!$A:$J, 9, FALSE)</f>
        <v>Yes</v>
      </c>
      <c r="J463" s="22" t="str">
        <f>VLOOKUP($A463, 'Medical Examinations'!$A:$P, 11, FALSE)</f>
        <v>OVERWEIGHT</v>
      </c>
      <c r="K463" s="34">
        <v>35703.0</v>
      </c>
      <c r="L463" s="35">
        <f>VLOOKUP($A463, 'Hospitalisation Details'!$A:$H, 7, FALSE)</f>
        <v>21771.34</v>
      </c>
      <c r="M463" s="22" t="str">
        <f>VLOOKUP($A463, 'Hospitalisation Details'!$A:$L, 12, FALSE)</f>
        <v>tier - 3</v>
      </c>
      <c r="N463" s="22" t="str">
        <f>VLOOKUP($A463, 'Hospitalisation Details'!$A:$M, 13, FALSE)</f>
        <v>tier - 1</v>
      </c>
      <c r="O463" s="22" t="str">
        <f>VLOOKUP($A463, 'Hospitalisation Details'!$A:$N, 14, FALSE)</f>
        <v>R1024</v>
      </c>
      <c r="P463" s="36">
        <f>VLOOKUP($A463, 'Hospitalisation Details'!$A:$O, 15, FALSE)</f>
        <v>43</v>
      </c>
    </row>
    <row r="464" ht="15.75" customHeight="1">
      <c r="A464" s="33" t="s">
        <v>927</v>
      </c>
      <c r="B464" s="22" t="str">
        <f>VLOOKUP($A464,'Customer Names'!$A:$D,3, FALSE)</f>
        <v>Jamieson</v>
      </c>
      <c r="C464" s="22">
        <f>VLOOKUP($A464,'Medical Examinations'!$A:$D, 2, FALSE)</f>
        <v>23.655</v>
      </c>
      <c r="D464" s="22">
        <f>VLOOKUP($A464, 'Medical Examinations'!$A:$D,3, FALSE)</f>
        <v>4.86</v>
      </c>
      <c r="E464" s="22" t="str">
        <f>VLOOKUP($A464, 'Medical Examinations'!$A:$D, 4, FALSE)</f>
        <v>Yes</v>
      </c>
      <c r="F464" s="22" t="str">
        <f>VLOOKUP($A464, 'Medical Examinations'!$A:$J, 5, FALSE)</f>
        <v>No</v>
      </c>
      <c r="G464" s="22" t="str">
        <f>VLOOKUP($A464, 'Medical Examinations'!$A:$I, 6, FALSE)</f>
        <v>No</v>
      </c>
      <c r="H464" s="22">
        <f>VLOOKUP($A464,'Medical Examinations'!$A:$L,10, FALSE)</f>
        <v>0</v>
      </c>
      <c r="I464" s="22" t="str">
        <f>VLOOKUP($A464, 'Medical Examinations'!$A:$J, 9, FALSE)</f>
        <v>Yes</v>
      </c>
      <c r="J464" s="22" t="str">
        <f>VLOOKUP($A464, 'Medical Examinations'!$A:$P, 11, FALSE)</f>
        <v>NORMAL WEIGHT</v>
      </c>
      <c r="K464" s="34">
        <v>24670.0</v>
      </c>
      <c r="L464" s="35">
        <f>VLOOKUP($A464, 'Hospitalisation Details'!$A:$H, 7, FALSE)</f>
        <v>21677.28</v>
      </c>
      <c r="M464" s="22" t="str">
        <f>VLOOKUP($A464, 'Hospitalisation Details'!$A:$L, 12, FALSE)</f>
        <v>tier - 3</v>
      </c>
      <c r="N464" s="22" t="str">
        <f>VLOOKUP($A464, 'Hospitalisation Details'!$A:$M, 13, FALSE)</f>
        <v>tier - 1</v>
      </c>
      <c r="O464" s="22" t="str">
        <f>VLOOKUP($A464, 'Hospitalisation Details'!$A:$N, 14, FALSE)</f>
        <v>R1012</v>
      </c>
      <c r="P464" s="36">
        <f>VLOOKUP($A464, 'Hospitalisation Details'!$A:$O, 15, FALSE)</f>
        <v>46</v>
      </c>
    </row>
    <row r="465" ht="15.75" customHeight="1">
      <c r="A465" s="33" t="s">
        <v>929</v>
      </c>
      <c r="B465" s="22" t="str">
        <f>VLOOKUP($A465,'Customer Names'!$A:$D,3, FALSE)</f>
        <v>Dufeal</v>
      </c>
      <c r="C465" s="22">
        <f>VLOOKUP($A465,'Medical Examinations'!$A:$D, 2, FALSE)</f>
        <v>55.05</v>
      </c>
      <c r="D465" s="22">
        <f>VLOOKUP($A465, 'Medical Examinations'!$A:$D,3, FALSE)</f>
        <v>7.66</v>
      </c>
      <c r="E465" s="22" t="str">
        <f>VLOOKUP($A465, 'Medical Examinations'!$A:$D, 4, FALSE)</f>
        <v>No</v>
      </c>
      <c r="F465" s="22" t="str">
        <f>VLOOKUP($A465, 'Medical Examinations'!$A:$J, 5, FALSE)</f>
        <v>No</v>
      </c>
      <c r="G465" s="22" t="str">
        <f>VLOOKUP($A465, 'Medical Examinations'!$A:$I, 6, FALSE)</f>
        <v>No</v>
      </c>
      <c r="H465" s="22">
        <f>VLOOKUP($A465,'Medical Examinations'!$A:$L,10, FALSE)</f>
        <v>0</v>
      </c>
      <c r="I465" s="22" t="str">
        <f>VLOOKUP($A465, 'Medical Examinations'!$A:$J, 9, FALSE)</f>
        <v>No</v>
      </c>
      <c r="J465" s="22" t="str">
        <f>VLOOKUP($A465, 'Medical Examinations'!$A:$P, 11, FALSE)</f>
        <v>OBESITY</v>
      </c>
      <c r="K465" s="34">
        <v>31613.0</v>
      </c>
      <c r="L465" s="35">
        <f>VLOOKUP($A465, 'Hospitalisation Details'!$A:$H, 7, FALSE)</f>
        <v>21661.16</v>
      </c>
      <c r="M465" s="22" t="str">
        <f>VLOOKUP($A465, 'Hospitalisation Details'!$A:$L, 12, FALSE)</f>
        <v>tier - 2</v>
      </c>
      <c r="N465" s="22" t="str">
        <f>VLOOKUP($A465, 'Hospitalisation Details'!$A:$M, 13, FALSE)</f>
        <v>tier - 2</v>
      </c>
      <c r="O465" s="22" t="str">
        <f>VLOOKUP($A465, 'Hospitalisation Details'!$A:$N, 14, FALSE)</f>
        <v>R1012</v>
      </c>
      <c r="P465" s="36">
        <f>VLOOKUP($A465, 'Hospitalisation Details'!$A:$O, 15, FALSE)</f>
        <v>60</v>
      </c>
    </row>
    <row r="466" ht="15.75" customHeight="1">
      <c r="A466" s="33" t="s">
        <v>931</v>
      </c>
      <c r="B466" s="22" t="str">
        <f>VLOOKUP($A466,'Customer Names'!$A:$D,3, FALSE)</f>
        <v>Sansonetti</v>
      </c>
      <c r="C466" s="22">
        <f>VLOOKUP($A466,'Medical Examinations'!$A:$D, 2, FALSE)</f>
        <v>24.89</v>
      </c>
      <c r="D466" s="22">
        <f>VLOOKUP($A466, 'Medical Examinations'!$A:$D,3, FALSE)</f>
        <v>6.1</v>
      </c>
      <c r="E466" s="22" t="str">
        <f>VLOOKUP($A466, 'Medical Examinations'!$A:$D, 4, FALSE)</f>
        <v>Yes</v>
      </c>
      <c r="F466" s="22" t="str">
        <f>VLOOKUP($A466, 'Medical Examinations'!$A:$J, 5, FALSE)</f>
        <v>No</v>
      </c>
      <c r="G466" s="22" t="str">
        <f>VLOOKUP($A466, 'Medical Examinations'!$A:$I, 6, FALSE)</f>
        <v>Yes</v>
      </c>
      <c r="H466" s="22">
        <f>VLOOKUP($A466,'Medical Examinations'!$A:$L,10, FALSE)</f>
        <v>1</v>
      </c>
      <c r="I466" s="22" t="str">
        <f>VLOOKUP($A466, 'Medical Examinations'!$A:$J, 9, FALSE)</f>
        <v>Yes</v>
      </c>
      <c r="J466" s="22" t="str">
        <f>VLOOKUP($A466, 'Medical Examinations'!$A:$P, 11, FALSE)</f>
        <v>NORMAL WEIGHT</v>
      </c>
      <c r="K466" s="34">
        <v>34560.0</v>
      </c>
      <c r="L466" s="35">
        <f>VLOOKUP($A466, 'Hospitalisation Details'!$A:$H, 7, FALSE)</f>
        <v>21659.93</v>
      </c>
      <c r="M466" s="22" t="str">
        <f>VLOOKUP($A466, 'Hospitalisation Details'!$A:$L, 12, FALSE)</f>
        <v>tier - 3</v>
      </c>
      <c r="N466" s="22" t="str">
        <f>VLOOKUP($A466, 'Hospitalisation Details'!$A:$M, 13, FALSE)</f>
        <v>tier - 3</v>
      </c>
      <c r="O466" s="22" t="str">
        <f>VLOOKUP($A466, 'Hospitalisation Details'!$A:$N, 14, FALSE)</f>
        <v>R1024</v>
      </c>
      <c r="P466" s="36">
        <f>VLOOKUP($A466, 'Hospitalisation Details'!$A:$O, 15, FALSE)</f>
        <v>39</v>
      </c>
    </row>
    <row r="467" ht="15.75" customHeight="1">
      <c r="A467" s="33" t="s">
        <v>933</v>
      </c>
      <c r="B467" s="22" t="str">
        <f>VLOOKUP($A467,'Customer Names'!$A:$D,3, FALSE)</f>
        <v>Koneazny</v>
      </c>
      <c r="C467" s="22">
        <f>VLOOKUP($A467,'Medical Examinations'!$A:$D, 2, FALSE)</f>
        <v>18.715</v>
      </c>
      <c r="D467" s="22">
        <f>VLOOKUP($A467, 'Medical Examinations'!$A:$D,3, FALSE)</f>
        <v>4.44</v>
      </c>
      <c r="E467" s="22" t="str">
        <f>VLOOKUP($A467, 'Medical Examinations'!$A:$D, 4, FALSE)</f>
        <v>No</v>
      </c>
      <c r="F467" s="22" t="str">
        <f>VLOOKUP($A467, 'Medical Examinations'!$A:$J, 5, FALSE)</f>
        <v>No</v>
      </c>
      <c r="G467" s="22" t="str">
        <f>VLOOKUP($A467, 'Medical Examinations'!$A:$I, 6, FALSE)</f>
        <v>No</v>
      </c>
      <c r="H467" s="22">
        <f>VLOOKUP($A467,'Medical Examinations'!$A:$L,10, FALSE)</f>
        <v>0</v>
      </c>
      <c r="I467" s="22" t="str">
        <f>VLOOKUP($A467, 'Medical Examinations'!$A:$J, 9, FALSE)</f>
        <v>No</v>
      </c>
      <c r="J467" s="22" t="str">
        <f>VLOOKUP($A467, 'Medical Examinations'!$A:$P, 11, FALSE)</f>
        <v>NORMAL WEIGHT</v>
      </c>
      <c r="K467" s="34">
        <v>32492.0</v>
      </c>
      <c r="L467" s="35">
        <f>VLOOKUP($A467, 'Hospitalisation Details'!$A:$H, 7, FALSE)</f>
        <v>21595.38</v>
      </c>
      <c r="M467" s="22" t="str">
        <f>VLOOKUP($A467, 'Hospitalisation Details'!$A:$L, 12, FALSE)</f>
        <v>tier - 2</v>
      </c>
      <c r="N467" s="22" t="str">
        <f>VLOOKUP($A467, 'Hospitalisation Details'!$A:$M, 13, FALSE)</f>
        <v>tier - 3</v>
      </c>
      <c r="O467" s="22" t="str">
        <f>VLOOKUP($A467, 'Hospitalisation Details'!$A:$N, 14, FALSE)</f>
        <v>R1012</v>
      </c>
      <c r="P467" s="36">
        <f>VLOOKUP($A467, 'Hospitalisation Details'!$A:$O, 15, FALSE)</f>
        <v>23</v>
      </c>
    </row>
    <row r="468" ht="15.75" customHeight="1">
      <c r="A468" s="33" t="s">
        <v>935</v>
      </c>
      <c r="B468" s="22" t="str">
        <f>VLOOKUP($A468,'Customer Names'!$A:$D,3, FALSE)</f>
        <v>Johnson</v>
      </c>
      <c r="C468" s="22">
        <f>VLOOKUP($A468,'Medical Examinations'!$A:$D, 2, FALSE)</f>
        <v>28.12</v>
      </c>
      <c r="D468" s="22">
        <f>VLOOKUP($A468, 'Medical Examinations'!$A:$D,3, FALSE)</f>
        <v>6.15</v>
      </c>
      <c r="E468" s="22" t="str">
        <f>VLOOKUP($A468, 'Medical Examinations'!$A:$D, 4, FALSE)</f>
        <v>No</v>
      </c>
      <c r="F468" s="22" t="str">
        <f>VLOOKUP($A468, 'Medical Examinations'!$A:$J, 5, FALSE)</f>
        <v>No</v>
      </c>
      <c r="G468" s="22" t="str">
        <f>VLOOKUP($A468, 'Medical Examinations'!$A:$I, 6, FALSE)</f>
        <v>No</v>
      </c>
      <c r="H468" s="22">
        <f>VLOOKUP($A468,'Medical Examinations'!$A:$L,10, FALSE)</f>
        <v>0</v>
      </c>
      <c r="I468" s="22" t="str">
        <f>VLOOKUP($A468, 'Medical Examinations'!$A:$J, 9, FALSE)</f>
        <v>Yes</v>
      </c>
      <c r="J468" s="22" t="str">
        <f>VLOOKUP($A468, 'Medical Examinations'!$A:$P, 11, FALSE)</f>
        <v>OVERWEIGHT</v>
      </c>
      <c r="K468" s="34">
        <v>30916.0</v>
      </c>
      <c r="L468" s="35">
        <f>VLOOKUP($A468, 'Hospitalisation Details'!$A:$H, 7, FALSE)</f>
        <v>21472.48</v>
      </c>
      <c r="M468" s="22" t="str">
        <f>VLOOKUP($A468, 'Hospitalisation Details'!$A:$L, 12, FALSE)</f>
        <v>tier - 2</v>
      </c>
      <c r="N468" s="22" t="str">
        <f>VLOOKUP($A468, 'Hospitalisation Details'!$A:$M, 13, FALSE)</f>
        <v>tier - 2</v>
      </c>
      <c r="O468" s="22" t="str">
        <f>VLOOKUP($A468, 'Hospitalisation Details'!$A:$N, 14, FALSE)</f>
        <v>R1012</v>
      </c>
      <c r="P468" s="36">
        <f>VLOOKUP($A468, 'Hospitalisation Details'!$A:$O, 15, FALSE)</f>
        <v>32</v>
      </c>
    </row>
    <row r="469" ht="15.75" customHeight="1">
      <c r="A469" s="33" t="s">
        <v>937</v>
      </c>
      <c r="B469" s="22" t="str">
        <f>VLOOKUP($A469,'Customer Names'!$A:$D,3, FALSE)</f>
        <v>Glasson</v>
      </c>
      <c r="C469" s="22">
        <f>VLOOKUP($A469,'Medical Examinations'!$A:$D, 2, FALSE)</f>
        <v>26.6</v>
      </c>
      <c r="D469" s="22">
        <f>VLOOKUP($A469, 'Medical Examinations'!$A:$D,3, FALSE)</f>
        <v>4.53</v>
      </c>
      <c r="E469" s="22" t="str">
        <f>VLOOKUP($A469, 'Medical Examinations'!$A:$D, 4, FALSE)</f>
        <v>No</v>
      </c>
      <c r="F469" s="22" t="str">
        <f>VLOOKUP($A469, 'Medical Examinations'!$A:$J, 5, FALSE)</f>
        <v>No</v>
      </c>
      <c r="G469" s="22" t="str">
        <f>VLOOKUP($A469, 'Medical Examinations'!$A:$I, 6, FALSE)</f>
        <v>No</v>
      </c>
      <c r="H469" s="22">
        <f>VLOOKUP($A469,'Medical Examinations'!$A:$L,10, FALSE)</f>
        <v>0</v>
      </c>
      <c r="I469" s="22" t="str">
        <f>VLOOKUP($A469, 'Medical Examinations'!$A:$J, 9, FALSE)</f>
        <v>Yes</v>
      </c>
      <c r="J469" s="22" t="str">
        <f>VLOOKUP($A469, 'Medical Examinations'!$A:$P, 11, FALSE)</f>
        <v>OVERWEIGHT</v>
      </c>
      <c r="K469" s="34">
        <v>28838.0</v>
      </c>
      <c r="L469" s="35">
        <f>VLOOKUP($A469, 'Hospitalisation Details'!$A:$H, 7, FALSE)</f>
        <v>21348.71</v>
      </c>
      <c r="M469" s="22" t="str">
        <f>VLOOKUP($A469, 'Hospitalisation Details'!$A:$L, 12, FALSE)</f>
        <v>tier - 2</v>
      </c>
      <c r="N469" s="22" t="str">
        <f>VLOOKUP($A469, 'Hospitalisation Details'!$A:$M, 13, FALSE)</f>
        <v>tier - 1</v>
      </c>
      <c r="O469" s="22" t="str">
        <f>VLOOKUP($A469, 'Hospitalisation Details'!$A:$N, 14, FALSE)</f>
        <v>R1012</v>
      </c>
      <c r="P469" s="36">
        <f>VLOOKUP($A469, 'Hospitalisation Details'!$A:$O, 15, FALSE)</f>
        <v>42</v>
      </c>
    </row>
    <row r="470" ht="15.75" customHeight="1">
      <c r="A470" s="33" t="s">
        <v>939</v>
      </c>
      <c r="B470" s="22" t="str">
        <f>VLOOKUP($A470,'Customer Names'!$A:$D,3, FALSE)</f>
        <v>Canitz</v>
      </c>
      <c r="C470" s="22">
        <f>VLOOKUP($A470,'Medical Examinations'!$A:$D, 2, FALSE)</f>
        <v>30.115</v>
      </c>
      <c r="D470" s="22">
        <f>VLOOKUP($A470, 'Medical Examinations'!$A:$D,3, FALSE)</f>
        <v>5.48</v>
      </c>
      <c r="E470" s="22" t="str">
        <f>VLOOKUP($A470, 'Medical Examinations'!$A:$D, 4, FALSE)</f>
        <v>No</v>
      </c>
      <c r="F470" s="22" t="str">
        <f>VLOOKUP($A470, 'Medical Examinations'!$A:$J, 5, FALSE)</f>
        <v>Yes</v>
      </c>
      <c r="G470" s="22" t="str">
        <f>VLOOKUP($A470, 'Medical Examinations'!$A:$I, 6, FALSE)</f>
        <v>No</v>
      </c>
      <c r="H470" s="22">
        <f>VLOOKUP($A470,'Medical Examinations'!$A:$L,10, FALSE)</f>
        <v>1</v>
      </c>
      <c r="I470" s="22" t="str">
        <f>VLOOKUP($A470, 'Medical Examinations'!$A:$J, 9, FALSE)</f>
        <v>No</v>
      </c>
      <c r="J470" s="22" t="str">
        <f>VLOOKUP($A470, 'Medical Examinations'!$A:$P, 11, FALSE)</f>
        <v>OBESITY</v>
      </c>
      <c r="K470" s="34">
        <v>28043.0</v>
      </c>
      <c r="L470" s="35">
        <f>VLOOKUP($A470, 'Hospitalisation Details'!$A:$H, 7, FALSE)</f>
        <v>21344.85</v>
      </c>
      <c r="M470" s="22" t="str">
        <f>VLOOKUP($A470, 'Hospitalisation Details'!$A:$L, 12, FALSE)</f>
        <v>tier - 3</v>
      </c>
      <c r="N470" s="22" t="str">
        <f>VLOOKUP($A470, 'Hospitalisation Details'!$A:$M, 13, FALSE)</f>
        <v>tier - 1</v>
      </c>
      <c r="O470" s="22" t="str">
        <f>VLOOKUP($A470, 'Hospitalisation Details'!$A:$N, 14, FALSE)</f>
        <v>R1024</v>
      </c>
      <c r="P470" s="36">
        <f>VLOOKUP($A470, 'Hospitalisation Details'!$A:$O, 15, FALSE)</f>
        <v>18</v>
      </c>
    </row>
    <row r="471" ht="15.75" customHeight="1">
      <c r="A471" s="33" t="s">
        <v>941</v>
      </c>
      <c r="B471" s="22" t="str">
        <f>VLOOKUP($A471,'Customer Names'!$A:$D,3, FALSE)</f>
        <v>Li</v>
      </c>
      <c r="C471" s="22">
        <f>VLOOKUP($A471,'Medical Examinations'!$A:$D, 2, FALSE)</f>
        <v>24.605</v>
      </c>
      <c r="D471" s="22">
        <f>VLOOKUP($A471, 'Medical Examinations'!$A:$D,3, FALSE)</f>
        <v>5.48</v>
      </c>
      <c r="E471" s="22" t="str">
        <f>VLOOKUP($A471, 'Medical Examinations'!$A:$D, 4, FALSE)</f>
        <v>No</v>
      </c>
      <c r="F471" s="22" t="str">
        <f>VLOOKUP($A471, 'Medical Examinations'!$A:$J, 5, FALSE)</f>
        <v>No</v>
      </c>
      <c r="G471" s="22" t="str">
        <f>VLOOKUP($A471, 'Medical Examinations'!$A:$I, 6, FALSE)</f>
        <v>No</v>
      </c>
      <c r="H471" s="22">
        <f>VLOOKUP($A471,'Medical Examinations'!$A:$L,10, FALSE)</f>
        <v>0</v>
      </c>
      <c r="I471" s="22" t="str">
        <f>VLOOKUP($A471, 'Medical Examinations'!$A:$J, 9, FALSE)</f>
        <v>Yes</v>
      </c>
      <c r="J471" s="22" t="str">
        <f>VLOOKUP($A471, 'Medical Examinations'!$A:$P, 11, FALSE)</f>
        <v>NORMAL WEIGHT</v>
      </c>
      <c r="K471" s="34">
        <v>28781.0</v>
      </c>
      <c r="L471" s="35">
        <f>VLOOKUP($A471, 'Hospitalisation Details'!$A:$H, 7, FALSE)</f>
        <v>21259.38</v>
      </c>
      <c r="M471" s="22" t="str">
        <f>VLOOKUP($A471, 'Hospitalisation Details'!$A:$L, 12, FALSE)</f>
        <v>tier - 3</v>
      </c>
      <c r="N471" s="22" t="str">
        <f>VLOOKUP($A471, 'Hospitalisation Details'!$A:$M, 13, FALSE)</f>
        <v>tier - 3</v>
      </c>
      <c r="O471" s="22" t="str">
        <f>VLOOKUP($A471, 'Hospitalisation Details'!$A:$N, 14, FALSE)</f>
        <v>R1019</v>
      </c>
      <c r="P471" s="36">
        <f>VLOOKUP($A471, 'Hospitalisation Details'!$A:$O, 15, FALSE)</f>
        <v>42</v>
      </c>
    </row>
    <row r="472" ht="15.75" customHeight="1">
      <c r="A472" s="33" t="s">
        <v>943</v>
      </c>
      <c r="B472" s="22" t="str">
        <f>VLOOKUP($A472,'Customer Names'!$A:$D,3, FALSE)</f>
        <v>Parsons</v>
      </c>
      <c r="C472" s="22">
        <f>VLOOKUP($A472,'Medical Examinations'!$A:$D, 2, FALSE)</f>
        <v>29.6</v>
      </c>
      <c r="D472" s="22">
        <f>VLOOKUP($A472, 'Medical Examinations'!$A:$D,3, FALSE)</f>
        <v>8.1</v>
      </c>
      <c r="E472" s="22" t="str">
        <f>VLOOKUP($A472, 'Medical Examinations'!$A:$D, 4, FALSE)</f>
        <v>No</v>
      </c>
      <c r="F472" s="22" t="str">
        <f>VLOOKUP($A472, 'Medical Examinations'!$A:$J, 5, FALSE)</f>
        <v>No</v>
      </c>
      <c r="G472" s="22" t="str">
        <f>VLOOKUP($A472, 'Medical Examinations'!$A:$I, 6, FALSE)</f>
        <v>No</v>
      </c>
      <c r="H472" s="22">
        <f>VLOOKUP($A472,'Medical Examinations'!$A:$L,10, FALSE)</f>
        <v>0</v>
      </c>
      <c r="I472" s="22" t="str">
        <f>VLOOKUP($A472, 'Medical Examinations'!$A:$J, 9, FALSE)</f>
        <v>No</v>
      </c>
      <c r="J472" s="22" t="str">
        <f>VLOOKUP($A472, 'Medical Examinations'!$A:$P, 11, FALSE)</f>
        <v>OVERWEIGHT</v>
      </c>
      <c r="K472" s="34">
        <v>30507.0</v>
      </c>
      <c r="L472" s="35">
        <f>VLOOKUP($A472, 'Hospitalisation Details'!$A:$H, 7, FALSE)</f>
        <v>21232.18</v>
      </c>
      <c r="M472" s="22" t="str">
        <f>VLOOKUP($A472, 'Hospitalisation Details'!$A:$L, 12, FALSE)</f>
        <v>tier - 3</v>
      </c>
      <c r="N472" s="22" t="str">
        <f>VLOOKUP($A472, 'Hospitalisation Details'!$A:$M, 13, FALSE)</f>
        <v>tier - 2</v>
      </c>
      <c r="O472" s="22" t="str">
        <f>VLOOKUP($A472, 'Hospitalisation Details'!$A:$N, 14, FALSE)</f>
        <v>R1011</v>
      </c>
      <c r="P472" s="36">
        <f>VLOOKUP($A472, 'Hospitalisation Details'!$A:$O, 15, FALSE)</f>
        <v>48</v>
      </c>
    </row>
    <row r="473" ht="15.75" customHeight="1">
      <c r="A473" s="33" t="s">
        <v>945</v>
      </c>
      <c r="B473" s="22" t="str">
        <f>VLOOKUP($A473,'Customer Names'!$A:$D,3, FALSE)</f>
        <v>Raulli</v>
      </c>
      <c r="C473" s="22">
        <f>VLOOKUP($A473,'Medical Examinations'!$A:$D, 2, FALSE)</f>
        <v>24.42</v>
      </c>
      <c r="D473" s="22">
        <f>VLOOKUP($A473, 'Medical Examinations'!$A:$D,3, FALSE)</f>
        <v>7.16</v>
      </c>
      <c r="E473" s="22" t="str">
        <f>VLOOKUP($A473, 'Medical Examinations'!$A:$D, 4, FALSE)</f>
        <v>No</v>
      </c>
      <c r="F473" s="22" t="str">
        <f>VLOOKUP($A473, 'Medical Examinations'!$A:$J, 5, FALSE)</f>
        <v>No</v>
      </c>
      <c r="G473" s="22" t="str">
        <f>VLOOKUP($A473, 'Medical Examinations'!$A:$I, 6, FALSE)</f>
        <v>No</v>
      </c>
      <c r="H473" s="22">
        <f>VLOOKUP($A473,'Medical Examinations'!$A:$L,10, FALSE)</f>
        <v>0</v>
      </c>
      <c r="I473" s="22" t="str">
        <f>VLOOKUP($A473, 'Medical Examinations'!$A:$J, 9, FALSE)</f>
        <v>Yes</v>
      </c>
      <c r="J473" s="22" t="str">
        <f>VLOOKUP($A473, 'Medical Examinations'!$A:$P, 11, FALSE)</f>
        <v>NORMAL WEIGHT</v>
      </c>
      <c r="K473" s="34">
        <v>35731.0</v>
      </c>
      <c r="L473" s="35">
        <f>VLOOKUP($A473, 'Hospitalisation Details'!$A:$H, 7, FALSE)</f>
        <v>21223.68</v>
      </c>
      <c r="M473" s="22" t="str">
        <f>VLOOKUP($A473, 'Hospitalisation Details'!$A:$L, 12, FALSE)</f>
        <v>tier - 3</v>
      </c>
      <c r="N473" s="22" t="str">
        <f>VLOOKUP($A473, 'Hospitalisation Details'!$A:$M, 13, FALSE)</f>
        <v>tier - 2</v>
      </c>
      <c r="O473" s="22" t="str">
        <f>VLOOKUP($A473, 'Hospitalisation Details'!$A:$N, 14, FALSE)</f>
        <v>R1013</v>
      </c>
      <c r="P473" s="36">
        <f>VLOOKUP($A473, 'Hospitalisation Details'!$A:$O, 15, FALSE)</f>
        <v>48</v>
      </c>
    </row>
    <row r="474" ht="15.75" customHeight="1">
      <c r="A474" s="33" t="s">
        <v>947</v>
      </c>
      <c r="B474" s="22" t="str">
        <f>VLOOKUP($A474,'Customer Names'!$A:$D,3, FALSE)</f>
        <v>Frome</v>
      </c>
      <c r="C474" s="22">
        <f>VLOOKUP($A474,'Medical Examinations'!$A:$D, 2, FALSE)</f>
        <v>20.9</v>
      </c>
      <c r="D474" s="22">
        <f>VLOOKUP($A474, 'Medical Examinations'!$A:$D,3, FALSE)</f>
        <v>4.55</v>
      </c>
      <c r="E474" s="22" t="str">
        <f>VLOOKUP($A474, 'Medical Examinations'!$A:$D, 4, FALSE)</f>
        <v>Yes</v>
      </c>
      <c r="F474" s="22" t="str">
        <f>VLOOKUP($A474, 'Medical Examinations'!$A:$J, 5, FALSE)</f>
        <v>No</v>
      </c>
      <c r="G474" s="22" t="str">
        <f>VLOOKUP($A474, 'Medical Examinations'!$A:$I, 6, FALSE)</f>
        <v>Yes</v>
      </c>
      <c r="H474" s="22">
        <f>VLOOKUP($A474,'Medical Examinations'!$A:$L,10, FALSE)</f>
        <v>1</v>
      </c>
      <c r="I474" s="22" t="str">
        <f>VLOOKUP($A474, 'Medical Examinations'!$A:$J, 9, FALSE)</f>
        <v>Yes</v>
      </c>
      <c r="J474" s="22" t="str">
        <f>VLOOKUP($A474, 'Medical Examinations'!$A:$P, 11, FALSE)</f>
        <v>NORMAL WEIGHT</v>
      </c>
      <c r="K474" s="34">
        <v>32492.0</v>
      </c>
      <c r="L474" s="35">
        <f>VLOOKUP($A474, 'Hospitalisation Details'!$A:$H, 7, FALSE)</f>
        <v>21195.82</v>
      </c>
      <c r="M474" s="22" t="str">
        <f>VLOOKUP($A474, 'Hospitalisation Details'!$A:$L, 12, FALSE)</f>
        <v>tier - 3</v>
      </c>
      <c r="N474" s="22" t="str">
        <f>VLOOKUP($A474, 'Hospitalisation Details'!$A:$M, 13, FALSE)</f>
        <v>tier - 1</v>
      </c>
      <c r="O474" s="22" t="str">
        <f>VLOOKUP($A474, 'Hospitalisation Details'!$A:$N, 14, FALSE)</f>
        <v>R1013</v>
      </c>
      <c r="P474" s="36">
        <f>VLOOKUP($A474, 'Hospitalisation Details'!$A:$O, 15, FALSE)</f>
        <v>53</v>
      </c>
    </row>
    <row r="475" ht="15.75" customHeight="1">
      <c r="A475" s="33" t="s">
        <v>949</v>
      </c>
      <c r="B475" s="22" t="str">
        <f>VLOOKUP($A475,'Customer Names'!$A:$D,3, FALSE)</f>
        <v>Sevcik</v>
      </c>
      <c r="C475" s="22">
        <f>VLOOKUP($A475,'Medical Examinations'!$A:$D, 2, FALSE)</f>
        <v>22.895</v>
      </c>
      <c r="D475" s="22">
        <f>VLOOKUP($A475, 'Medical Examinations'!$A:$D,3, FALSE)</f>
        <v>6.03</v>
      </c>
      <c r="E475" s="22" t="str">
        <f>VLOOKUP($A475, 'Medical Examinations'!$A:$D, 4, FALSE)</f>
        <v>No</v>
      </c>
      <c r="F475" s="22" t="str">
        <f>VLOOKUP($A475, 'Medical Examinations'!$A:$J, 5, FALSE)</f>
        <v>No</v>
      </c>
      <c r="G475" s="22" t="str">
        <f>VLOOKUP($A475, 'Medical Examinations'!$A:$I, 6, FALSE)</f>
        <v>No</v>
      </c>
      <c r="H475" s="22">
        <f>VLOOKUP($A475,'Medical Examinations'!$A:$L,10, FALSE)</f>
        <v>0</v>
      </c>
      <c r="I475" s="22" t="str">
        <f>VLOOKUP($A475, 'Medical Examinations'!$A:$J, 9, FALSE)</f>
        <v>Yes</v>
      </c>
      <c r="J475" s="22" t="str">
        <f>VLOOKUP($A475, 'Medical Examinations'!$A:$P, 11, FALSE)</f>
        <v>NORMAL WEIGHT</v>
      </c>
      <c r="K475" s="34">
        <v>35230.0</v>
      </c>
      <c r="L475" s="35">
        <f>VLOOKUP($A475, 'Hospitalisation Details'!$A:$H, 7, FALSE)</f>
        <v>21098.55</v>
      </c>
      <c r="M475" s="22" t="str">
        <f>VLOOKUP($A475, 'Hospitalisation Details'!$A:$L, 12, FALSE)</f>
        <v>tier - 3</v>
      </c>
      <c r="N475" s="22" t="str">
        <f>VLOOKUP($A475, 'Hospitalisation Details'!$A:$M, 13, FALSE)</f>
        <v>tier - 3</v>
      </c>
      <c r="O475" s="22" t="str">
        <f>VLOOKUP($A475, 'Hospitalisation Details'!$A:$N, 14, FALSE)</f>
        <v>R1012</v>
      </c>
      <c r="P475" s="36">
        <f>VLOOKUP($A475, 'Hospitalisation Details'!$A:$O, 15, FALSE)</f>
        <v>45</v>
      </c>
    </row>
    <row r="476" ht="15.75" customHeight="1">
      <c r="A476" s="33" t="s">
        <v>951</v>
      </c>
      <c r="B476" s="22" t="str">
        <f>VLOOKUP($A476,'Customer Names'!$A:$D,3, FALSE)</f>
        <v>Narang</v>
      </c>
      <c r="C476" s="22">
        <f>VLOOKUP($A476,'Medical Examinations'!$A:$D, 2, FALSE)</f>
        <v>28.3</v>
      </c>
      <c r="D476" s="22">
        <f>VLOOKUP($A476, 'Medical Examinations'!$A:$D,3, FALSE)</f>
        <v>5.47</v>
      </c>
      <c r="E476" s="22" t="str">
        <f>VLOOKUP($A476, 'Medical Examinations'!$A:$D, 4, FALSE)</f>
        <v>Yes</v>
      </c>
      <c r="F476" s="22" t="str">
        <f>VLOOKUP($A476, 'Medical Examinations'!$A:$J, 5, FALSE)</f>
        <v>No</v>
      </c>
      <c r="G476" s="22" t="str">
        <f>VLOOKUP($A476, 'Medical Examinations'!$A:$I, 6, FALSE)</f>
        <v>Yes</v>
      </c>
      <c r="H476" s="22">
        <f>VLOOKUP($A476,'Medical Examinations'!$A:$L,10, FALSE)</f>
        <v>1</v>
      </c>
      <c r="I476" s="22" t="str">
        <f>VLOOKUP($A476, 'Medical Examinations'!$A:$J, 9, FALSE)</f>
        <v>Yes</v>
      </c>
      <c r="J476" s="22" t="str">
        <f>VLOOKUP($A476, 'Medical Examinations'!$A:$P, 11, FALSE)</f>
        <v>OVERWEIGHT</v>
      </c>
      <c r="K476" s="34">
        <v>33067.0</v>
      </c>
      <c r="L476" s="35">
        <f>VLOOKUP($A476, 'Hospitalisation Details'!$A:$H, 7, FALSE)</f>
        <v>21082.16</v>
      </c>
      <c r="M476" s="22" t="str">
        <f>VLOOKUP($A476, 'Hospitalisation Details'!$A:$L, 12, FALSE)</f>
        <v>tier - 3</v>
      </c>
      <c r="N476" s="22" t="str">
        <f>VLOOKUP($A476, 'Hospitalisation Details'!$A:$M, 13, FALSE)</f>
        <v>tier - 2</v>
      </c>
      <c r="O476" s="22" t="str">
        <f>VLOOKUP($A476, 'Hospitalisation Details'!$A:$N, 14, FALSE)</f>
        <v>R1011</v>
      </c>
      <c r="P476" s="36">
        <f>VLOOKUP($A476, 'Hospitalisation Details'!$A:$O, 15, FALSE)</f>
        <v>39</v>
      </c>
    </row>
    <row r="477" ht="15.75" customHeight="1">
      <c r="A477" s="33" t="s">
        <v>953</v>
      </c>
      <c r="B477" s="22" t="str">
        <f>VLOOKUP($A477,'Customer Names'!$A:$D,3, FALSE)</f>
        <v>Royston</v>
      </c>
      <c r="C477" s="22">
        <f>VLOOKUP($A477,'Medical Examinations'!$A:$D, 2, FALSE)</f>
        <v>54.3</v>
      </c>
      <c r="D477" s="22">
        <f>VLOOKUP($A477, 'Medical Examinations'!$A:$D,3, FALSE)</f>
        <v>4.15</v>
      </c>
      <c r="E477" s="22" t="str">
        <f>VLOOKUP($A477, 'Medical Examinations'!$A:$D, 4, FALSE)</f>
        <v>Yes</v>
      </c>
      <c r="F477" s="22" t="str">
        <f>VLOOKUP($A477, 'Medical Examinations'!$A:$J, 5, FALSE)</f>
        <v>No</v>
      </c>
      <c r="G477" s="22" t="str">
        <f>VLOOKUP($A477, 'Medical Examinations'!$A:$I, 6, FALSE)</f>
        <v>No</v>
      </c>
      <c r="H477" s="22">
        <f>VLOOKUP($A477,'Medical Examinations'!$A:$L,10, FALSE)</f>
        <v>1</v>
      </c>
      <c r="I477" s="22" t="str">
        <f>VLOOKUP($A477, 'Medical Examinations'!$A:$J, 9, FALSE)</f>
        <v>No</v>
      </c>
      <c r="J477" s="22" t="str">
        <f>VLOOKUP($A477, 'Medical Examinations'!$A:$P, 11, FALSE)</f>
        <v>OBESITY</v>
      </c>
      <c r="K477" s="34">
        <v>24688.0</v>
      </c>
      <c r="L477" s="35">
        <f>VLOOKUP($A477, 'Hospitalisation Details'!$A:$H, 7, FALSE)</f>
        <v>20893.06</v>
      </c>
      <c r="M477" s="22" t="str">
        <f>VLOOKUP($A477, 'Hospitalisation Details'!$A:$L, 12, FALSE)</f>
        <v>tier - 2</v>
      </c>
      <c r="N477" s="22" t="str">
        <f>VLOOKUP($A477, 'Hospitalisation Details'!$A:$M, 13, FALSE)</f>
        <v>tier - 3</v>
      </c>
      <c r="O477" s="22" t="str">
        <f>VLOOKUP($A477, 'Hospitalisation Details'!$A:$N, 14, FALSE)</f>
        <v>R1012</v>
      </c>
      <c r="P477" s="36">
        <f>VLOOKUP($A477, 'Hospitalisation Details'!$A:$O, 15, FALSE)</f>
        <v>58</v>
      </c>
    </row>
    <row r="478" ht="15.75" customHeight="1">
      <c r="A478" s="33" t="s">
        <v>955</v>
      </c>
      <c r="B478" s="22" t="str">
        <f>VLOOKUP($A478,'Customer Names'!$A:$D,3, FALSE)</f>
        <v>Tieri</v>
      </c>
      <c r="C478" s="22">
        <f>VLOOKUP($A478,'Medical Examinations'!$A:$D, 2, FALSE)</f>
        <v>33.345</v>
      </c>
      <c r="D478" s="22">
        <f>VLOOKUP($A478, 'Medical Examinations'!$A:$D,3, FALSE)</f>
        <v>11.32</v>
      </c>
      <c r="E478" s="22" t="str">
        <f>VLOOKUP($A478, 'Medical Examinations'!$A:$D, 4, FALSE)</f>
        <v>Yes</v>
      </c>
      <c r="F478" s="22" t="str">
        <f>VLOOKUP($A478, 'Medical Examinations'!$A:$J, 5, FALSE)</f>
        <v>No</v>
      </c>
      <c r="G478" s="22" t="str">
        <f>VLOOKUP($A478, 'Medical Examinations'!$A:$I, 6, FALSE)</f>
        <v>No</v>
      </c>
      <c r="H478" s="22">
        <f>VLOOKUP($A478,'Medical Examinations'!$A:$L,10, FALSE)</f>
        <v>1</v>
      </c>
      <c r="I478" s="22" t="str">
        <f>VLOOKUP($A478, 'Medical Examinations'!$A:$J, 9, FALSE)</f>
        <v>No</v>
      </c>
      <c r="J478" s="22" t="str">
        <f>VLOOKUP($A478, 'Medical Examinations'!$A:$P, 11, FALSE)</f>
        <v>OBESITY</v>
      </c>
      <c r="K478" s="34">
        <v>37043.0</v>
      </c>
      <c r="L478" s="35">
        <f>VLOOKUP($A478, 'Hospitalisation Details'!$A:$H, 7, FALSE)</f>
        <v>20878.78</v>
      </c>
      <c r="M478" s="22" t="str">
        <f>VLOOKUP($A478, 'Hospitalisation Details'!$A:$L, 12, FALSE)</f>
        <v>tier - 2</v>
      </c>
      <c r="N478" s="22" t="str">
        <f>VLOOKUP($A478, 'Hospitalisation Details'!$A:$M, 13, FALSE)</f>
        <v>tier - 1</v>
      </c>
      <c r="O478" s="22" t="str">
        <f>VLOOKUP($A478, 'Hospitalisation Details'!$A:$N, 14, FALSE)</f>
        <v>R1024</v>
      </c>
      <c r="P478" s="36">
        <f>VLOOKUP($A478, 'Hospitalisation Details'!$A:$O, 15, FALSE)</f>
        <v>47</v>
      </c>
    </row>
    <row r="479" ht="15.75" customHeight="1">
      <c r="A479" s="33" t="s">
        <v>957</v>
      </c>
      <c r="B479" s="22" t="str">
        <f>VLOOKUP($A479,'Customer Names'!$A:$D,3, FALSE)</f>
        <v>Whitney</v>
      </c>
      <c r="C479" s="22">
        <f>VLOOKUP($A479,'Medical Examinations'!$A:$D, 2, FALSE)</f>
        <v>33</v>
      </c>
      <c r="D479" s="22">
        <f>VLOOKUP($A479, 'Medical Examinations'!$A:$D,3, FALSE)</f>
        <v>9.51</v>
      </c>
      <c r="E479" s="22" t="str">
        <f>VLOOKUP($A479, 'Medical Examinations'!$A:$D, 4, FALSE)</f>
        <v>Yes</v>
      </c>
      <c r="F479" s="22" t="str">
        <f>VLOOKUP($A479, 'Medical Examinations'!$A:$J, 5, FALSE)</f>
        <v>No</v>
      </c>
      <c r="G479" s="22" t="str">
        <f>VLOOKUP($A479, 'Medical Examinations'!$A:$I, 6, FALSE)</f>
        <v>No</v>
      </c>
      <c r="H479" s="22">
        <f>VLOOKUP($A479,'Medical Examinations'!$A:$L,10, FALSE)</f>
        <v>0</v>
      </c>
      <c r="I479" s="22" t="str">
        <f>VLOOKUP($A479, 'Medical Examinations'!$A:$J, 9, FALSE)</f>
        <v>No</v>
      </c>
      <c r="J479" s="22" t="str">
        <f>VLOOKUP($A479, 'Medical Examinations'!$A:$P, 11, FALSE)</f>
        <v>OBESITY</v>
      </c>
      <c r="K479" s="34">
        <v>28398.0</v>
      </c>
      <c r="L479" s="35">
        <f>VLOOKUP($A479, 'Hospitalisation Details'!$A:$H, 7, FALSE)</f>
        <v>20781.49</v>
      </c>
      <c r="M479" s="22" t="str">
        <f>VLOOKUP($A479, 'Hospitalisation Details'!$A:$L, 12, FALSE)</f>
        <v>tier - 2</v>
      </c>
      <c r="N479" s="22" t="str">
        <f>VLOOKUP($A479, 'Hospitalisation Details'!$A:$M, 13, FALSE)</f>
        <v>tier - 3</v>
      </c>
      <c r="O479" s="22" t="str">
        <f>VLOOKUP($A479, 'Hospitalisation Details'!$A:$N, 14, FALSE)</f>
        <v>R1013</v>
      </c>
      <c r="P479" s="36">
        <f>VLOOKUP($A479, 'Hospitalisation Details'!$A:$O, 15, FALSE)</f>
        <v>55</v>
      </c>
    </row>
    <row r="480" ht="15.75" customHeight="1">
      <c r="A480" s="33" t="s">
        <v>959</v>
      </c>
      <c r="B480" s="22" t="str">
        <f>VLOOKUP($A480,'Customer Names'!$A:$D,3, FALSE)</f>
        <v>Wandzilak</v>
      </c>
      <c r="C480" s="22">
        <f>VLOOKUP($A480,'Medical Examinations'!$A:$D, 2, FALSE)</f>
        <v>28.025</v>
      </c>
      <c r="D480" s="22">
        <f>VLOOKUP($A480, 'Medical Examinations'!$A:$D,3, FALSE)</f>
        <v>7.67</v>
      </c>
      <c r="E480" s="22" t="str">
        <f>VLOOKUP($A480, 'Medical Examinations'!$A:$D, 4, FALSE)</f>
        <v>Yes</v>
      </c>
      <c r="F480" s="22" t="str">
        <f>VLOOKUP($A480, 'Medical Examinations'!$A:$J, 5, FALSE)</f>
        <v>No</v>
      </c>
      <c r="G480" s="22" t="str">
        <f>VLOOKUP($A480, 'Medical Examinations'!$A:$I, 6, FALSE)</f>
        <v>No</v>
      </c>
      <c r="H480" s="22">
        <f>VLOOKUP($A480,'Medical Examinations'!$A:$L,10, FALSE)</f>
        <v>1</v>
      </c>
      <c r="I480" s="22" t="str">
        <f>VLOOKUP($A480, 'Medical Examinations'!$A:$J, 9, FALSE)</f>
        <v>Yes</v>
      </c>
      <c r="J480" s="22" t="str">
        <f>VLOOKUP($A480, 'Medical Examinations'!$A:$P, 11, FALSE)</f>
        <v>OVERWEIGHT</v>
      </c>
      <c r="K480" s="34">
        <v>28393.0</v>
      </c>
      <c r="L480" s="35">
        <f>VLOOKUP($A480, 'Hospitalisation Details'!$A:$H, 7, FALSE)</f>
        <v>20773.63</v>
      </c>
      <c r="M480" s="22" t="str">
        <f>VLOOKUP($A480, 'Hospitalisation Details'!$A:$L, 12, FALSE)</f>
        <v>tier - 2</v>
      </c>
      <c r="N480" s="22" t="str">
        <f>VLOOKUP($A480, 'Hospitalisation Details'!$A:$M, 13, FALSE)</f>
        <v>tier - 3</v>
      </c>
      <c r="O480" s="22" t="str">
        <f>VLOOKUP($A480, 'Hospitalisation Details'!$A:$N, 14, FALSE)</f>
        <v>R1017</v>
      </c>
      <c r="P480" s="36">
        <f>VLOOKUP($A480, 'Hospitalisation Details'!$A:$O, 15, FALSE)</f>
        <v>36</v>
      </c>
    </row>
    <row r="481" ht="15.75" customHeight="1">
      <c r="A481" s="33" t="s">
        <v>961</v>
      </c>
      <c r="B481" s="22" t="str">
        <f>VLOOKUP($A481,'Customer Names'!$A:$D,3, FALSE)</f>
        <v>Valenzona</v>
      </c>
      <c r="C481" s="22">
        <f>VLOOKUP($A481,'Medical Examinations'!$A:$D, 2, FALSE)</f>
        <v>28.69</v>
      </c>
      <c r="D481" s="22">
        <f>VLOOKUP($A481, 'Medical Examinations'!$A:$D,3, FALSE)</f>
        <v>6.23</v>
      </c>
      <c r="E481" s="22" t="str">
        <f>VLOOKUP($A481, 'Medical Examinations'!$A:$D, 4, FALSE)</f>
        <v>No</v>
      </c>
      <c r="F481" s="22" t="str">
        <f>VLOOKUP($A481, 'Medical Examinations'!$A:$J, 5, FALSE)</f>
        <v>No</v>
      </c>
      <c r="G481" s="22" t="str">
        <f>VLOOKUP($A481, 'Medical Examinations'!$A:$I, 6, FALSE)</f>
        <v>No</v>
      </c>
      <c r="H481" s="22">
        <f>VLOOKUP($A481,'Medical Examinations'!$A:$L,10, FALSE)</f>
        <v>1</v>
      </c>
      <c r="I481" s="22" t="str">
        <f>VLOOKUP($A481, 'Medical Examinations'!$A:$J, 9, FALSE)</f>
        <v>Yes</v>
      </c>
      <c r="J481" s="22" t="str">
        <f>VLOOKUP($A481, 'Medical Examinations'!$A:$P, 11, FALSE)</f>
        <v>OVERWEIGHT</v>
      </c>
      <c r="K481" s="34">
        <v>29409.0</v>
      </c>
      <c r="L481" s="35">
        <f>VLOOKUP($A481, 'Hospitalisation Details'!$A:$H, 7, FALSE)</f>
        <v>20745.99</v>
      </c>
      <c r="M481" s="22" t="str">
        <f>VLOOKUP($A481, 'Hospitalisation Details'!$A:$L, 12, FALSE)</f>
        <v>tier - 3</v>
      </c>
      <c r="N481" s="22" t="str">
        <f>VLOOKUP($A481, 'Hospitalisation Details'!$A:$M, 13, FALSE)</f>
        <v>tier - 1</v>
      </c>
      <c r="O481" s="22" t="str">
        <f>VLOOKUP($A481, 'Hospitalisation Details'!$A:$N, 14, FALSE)</f>
        <v>R1012</v>
      </c>
      <c r="P481" s="36">
        <f>VLOOKUP($A481, 'Hospitalisation Details'!$A:$O, 15, FALSE)</f>
        <v>30</v>
      </c>
    </row>
    <row r="482" ht="15.75" customHeight="1">
      <c r="A482" s="33" t="s">
        <v>963</v>
      </c>
      <c r="B482" s="22" t="str">
        <f>VLOOKUP($A482,'Customer Names'!$A:$D,3, FALSE)</f>
        <v>Young</v>
      </c>
      <c r="C482" s="22">
        <f>VLOOKUP($A482,'Medical Examinations'!$A:$D, 2, FALSE)</f>
        <v>40.28</v>
      </c>
      <c r="D482" s="22">
        <f>VLOOKUP($A482, 'Medical Examinations'!$A:$D,3, FALSE)</f>
        <v>8.9</v>
      </c>
      <c r="E482" s="22" t="str">
        <f>VLOOKUP($A482, 'Medical Examinations'!$A:$D, 4, FALSE)</f>
        <v>No</v>
      </c>
      <c r="F482" s="22" t="str">
        <f>VLOOKUP($A482, 'Medical Examinations'!$A:$J, 5, FALSE)</f>
        <v>No</v>
      </c>
      <c r="G482" s="22" t="str">
        <f>VLOOKUP($A482, 'Medical Examinations'!$A:$I, 6, FALSE)</f>
        <v>No</v>
      </c>
      <c r="H482" s="22">
        <f>VLOOKUP($A482,'Medical Examinations'!$A:$L,10, FALSE)</f>
        <v>0</v>
      </c>
      <c r="I482" s="22" t="str">
        <f>VLOOKUP($A482, 'Medical Examinations'!$A:$J, 9, FALSE)</f>
        <v>No</v>
      </c>
      <c r="J482" s="22" t="str">
        <f>VLOOKUP($A482, 'Medical Examinations'!$A:$P, 11, FALSE)</f>
        <v>OBESITY</v>
      </c>
      <c r="K482" s="34">
        <v>29099.0</v>
      </c>
      <c r="L482" s="35">
        <f>VLOOKUP($A482, 'Hospitalisation Details'!$A:$H, 7, FALSE)</f>
        <v>20709.02</v>
      </c>
      <c r="M482" s="22" t="str">
        <f>VLOOKUP($A482, 'Hospitalisation Details'!$A:$L, 12, FALSE)</f>
        <v>tier - 3</v>
      </c>
      <c r="N482" s="22" t="str">
        <f>VLOOKUP($A482, 'Hospitalisation Details'!$A:$M, 13, FALSE)</f>
        <v>tier - 2</v>
      </c>
      <c r="O482" s="22" t="str">
        <f>VLOOKUP($A482, 'Hospitalisation Details'!$A:$N, 14, FALSE)</f>
        <v>R1019</v>
      </c>
      <c r="P482" s="36">
        <f>VLOOKUP($A482, 'Hospitalisation Details'!$A:$O, 15, FALSE)</f>
        <v>57</v>
      </c>
    </row>
    <row r="483" ht="15.75" customHeight="1">
      <c r="A483" s="33" t="s">
        <v>965</v>
      </c>
      <c r="B483" s="22" t="str">
        <f>VLOOKUP($A483,'Customer Names'!$A:$D,3, FALSE)</f>
        <v>Richards</v>
      </c>
      <c r="C483" s="22">
        <f>VLOOKUP($A483,'Medical Examinations'!$A:$D, 2, FALSE)</f>
        <v>37.3</v>
      </c>
      <c r="D483" s="22">
        <f>VLOOKUP($A483, 'Medical Examinations'!$A:$D,3, FALSE)</f>
        <v>7.79</v>
      </c>
      <c r="E483" s="22" t="str">
        <f>VLOOKUP($A483, 'Medical Examinations'!$A:$D, 4, FALSE)</f>
        <v>Yes</v>
      </c>
      <c r="F483" s="22" t="str">
        <f>VLOOKUP($A483, 'Medical Examinations'!$A:$J, 5, FALSE)</f>
        <v>No</v>
      </c>
      <c r="G483" s="22" t="str">
        <f>VLOOKUP($A483, 'Medical Examinations'!$A:$I, 6, FALSE)</f>
        <v>No</v>
      </c>
      <c r="H483" s="22">
        <f>VLOOKUP($A483,'Medical Examinations'!$A:$L,10, FALSE)</f>
        <v>0</v>
      </c>
      <c r="I483" s="22" t="str">
        <f>VLOOKUP($A483, 'Medical Examinations'!$A:$J, 9, FALSE)</f>
        <v>No</v>
      </c>
      <c r="J483" s="22" t="str">
        <f>VLOOKUP($A483, 'Medical Examinations'!$A:$P, 11, FALSE)</f>
        <v>OBESITY</v>
      </c>
      <c r="K483" s="34">
        <v>28362.0</v>
      </c>
      <c r="L483" s="35">
        <f>VLOOKUP($A483, 'Hospitalisation Details'!$A:$H, 7, FALSE)</f>
        <v>20630.28</v>
      </c>
      <c r="M483" s="22" t="str">
        <f>VLOOKUP($A483, 'Hospitalisation Details'!$A:$L, 12, FALSE)</f>
        <v>tier - 2</v>
      </c>
      <c r="N483" s="22" t="str">
        <f>VLOOKUP($A483, 'Hospitalisation Details'!$A:$M, 13, FALSE)</f>
        <v>tier - 3</v>
      </c>
      <c r="O483" s="22" t="str">
        <f>VLOOKUP($A483, 'Hospitalisation Details'!$A:$N, 14, FALSE)</f>
        <v>R1011</v>
      </c>
      <c r="P483" s="36">
        <f>VLOOKUP($A483, 'Hospitalisation Details'!$A:$O, 15, FALSE)</f>
        <v>55</v>
      </c>
    </row>
    <row r="484" ht="15.75" customHeight="1">
      <c r="A484" s="33" t="s">
        <v>967</v>
      </c>
      <c r="B484" s="22" t="str">
        <f>VLOOKUP($A484,'Customer Names'!$A:$D,3, FALSE)</f>
        <v>Alexson</v>
      </c>
      <c r="C484" s="22">
        <f>VLOOKUP($A484,'Medical Examinations'!$A:$D, 2, FALSE)</f>
        <v>54.47</v>
      </c>
      <c r="D484" s="22">
        <f>VLOOKUP($A484, 'Medical Examinations'!$A:$D,3, FALSE)</f>
        <v>4.49</v>
      </c>
      <c r="E484" s="22" t="str">
        <f>VLOOKUP($A484, 'Medical Examinations'!$A:$D, 4, FALSE)</f>
        <v>Yes</v>
      </c>
      <c r="F484" s="22" t="str">
        <f>VLOOKUP($A484, 'Medical Examinations'!$A:$J, 5, FALSE)</f>
        <v>No</v>
      </c>
      <c r="G484" s="22" t="str">
        <f>VLOOKUP($A484, 'Medical Examinations'!$A:$I, 6, FALSE)</f>
        <v>No</v>
      </c>
      <c r="H484" s="22">
        <f>VLOOKUP($A484,'Medical Examinations'!$A:$L,10, FALSE)</f>
        <v>2</v>
      </c>
      <c r="I484" s="22" t="str">
        <f>VLOOKUP($A484, 'Medical Examinations'!$A:$J, 9, FALSE)</f>
        <v>No</v>
      </c>
      <c r="J484" s="22" t="str">
        <f>VLOOKUP($A484, 'Medical Examinations'!$A:$P, 11, FALSE)</f>
        <v>OBESITY</v>
      </c>
      <c r="K484" s="34">
        <v>28826.0</v>
      </c>
      <c r="L484" s="35">
        <f>VLOOKUP($A484, 'Hospitalisation Details'!$A:$H, 7, FALSE)</f>
        <v>20568.32</v>
      </c>
      <c r="M484" s="22" t="str">
        <f>VLOOKUP($A484, 'Hospitalisation Details'!$A:$L, 12, FALSE)</f>
        <v>tier - 3</v>
      </c>
      <c r="N484" s="22" t="str">
        <f>VLOOKUP($A484, 'Hospitalisation Details'!$A:$M, 13, FALSE)</f>
        <v>tier - 2</v>
      </c>
      <c r="O484" s="22" t="str">
        <f>VLOOKUP($A484, 'Hospitalisation Details'!$A:$N, 14, FALSE)</f>
        <v>R1012</v>
      </c>
      <c r="P484" s="36">
        <f>VLOOKUP($A484, 'Hospitalisation Details'!$A:$O, 15, FALSE)</f>
        <v>56</v>
      </c>
    </row>
    <row r="485" ht="15.75" customHeight="1">
      <c r="A485" s="33" t="s">
        <v>969</v>
      </c>
      <c r="B485" s="22" t="str">
        <f>VLOOKUP($A485,'Customer Names'!$A:$D,3, FALSE)</f>
        <v>Wright</v>
      </c>
      <c r="C485" s="22">
        <f>VLOOKUP($A485,'Medical Examinations'!$A:$D, 2, FALSE)</f>
        <v>38.06</v>
      </c>
      <c r="D485" s="22">
        <f>VLOOKUP($A485, 'Medical Examinations'!$A:$D,3, FALSE)</f>
        <v>5.24</v>
      </c>
      <c r="E485" s="22" t="str">
        <f>VLOOKUP($A485, 'Medical Examinations'!$A:$D, 4, FALSE)</f>
        <v>Yes</v>
      </c>
      <c r="F485" s="22" t="str">
        <f>VLOOKUP($A485, 'Medical Examinations'!$A:$J, 5, FALSE)</f>
        <v>No</v>
      </c>
      <c r="G485" s="22" t="str">
        <f>VLOOKUP($A485, 'Medical Examinations'!$A:$I, 6, FALSE)</f>
        <v>Yes</v>
      </c>
      <c r="H485" s="22">
        <f>VLOOKUP($A485,'Medical Examinations'!$A:$L,10, FALSE)</f>
        <v>1</v>
      </c>
      <c r="I485" s="22" t="str">
        <f>VLOOKUP($A485, 'Medical Examinations'!$A:$J, 9, FALSE)</f>
        <v>No</v>
      </c>
      <c r="J485" s="22" t="str">
        <f>VLOOKUP($A485, 'Medical Examinations'!$A:$P, 11, FALSE)</f>
        <v>OBESITY</v>
      </c>
      <c r="K485" s="34">
        <v>28806.0</v>
      </c>
      <c r="L485" s="35">
        <f>VLOOKUP($A485, 'Hospitalisation Details'!$A:$H, 7, FALSE)</f>
        <v>20463</v>
      </c>
      <c r="M485" s="22" t="str">
        <f>VLOOKUP($A485, 'Hospitalisation Details'!$A:$L, 12, FALSE)</f>
        <v>tier - 2</v>
      </c>
      <c r="N485" s="22" t="str">
        <f>VLOOKUP($A485, 'Hospitalisation Details'!$A:$M, 13, FALSE)</f>
        <v>tier - 2</v>
      </c>
      <c r="O485" s="22" t="str">
        <f>VLOOKUP($A485, 'Hospitalisation Details'!$A:$N, 14, FALSE)</f>
        <v>R1013</v>
      </c>
      <c r="P485" s="36">
        <f>VLOOKUP($A485, 'Hospitalisation Details'!$A:$O, 15, FALSE)</f>
        <v>53</v>
      </c>
    </row>
    <row r="486" ht="15.75" customHeight="1">
      <c r="A486" s="33" t="s">
        <v>971</v>
      </c>
      <c r="B486" s="22" t="str">
        <f>VLOOKUP($A486,'Customer Names'!$A:$D,3, FALSE)</f>
        <v>McKenna</v>
      </c>
      <c r="C486" s="22">
        <f>VLOOKUP($A486,'Medical Examinations'!$A:$D, 2, FALSE)</f>
        <v>51.47</v>
      </c>
      <c r="D486" s="22">
        <f>VLOOKUP($A486, 'Medical Examinations'!$A:$D,3, FALSE)</f>
        <v>9.6</v>
      </c>
      <c r="E486" s="22" t="str">
        <f>VLOOKUP($A486, 'Medical Examinations'!$A:$D, 4, FALSE)</f>
        <v>No</v>
      </c>
      <c r="F486" s="22" t="str">
        <f>VLOOKUP($A486, 'Medical Examinations'!$A:$J, 5, FALSE)</f>
        <v>No</v>
      </c>
      <c r="G486" s="22" t="str">
        <f>VLOOKUP($A486, 'Medical Examinations'!$A:$I, 6, FALSE)</f>
        <v>No</v>
      </c>
      <c r="H486" s="22">
        <f>VLOOKUP($A486,'Medical Examinations'!$A:$L,10, FALSE)</f>
        <v>0</v>
      </c>
      <c r="I486" s="22" t="str">
        <f>VLOOKUP($A486, 'Medical Examinations'!$A:$J, 9, FALSE)</f>
        <v>No</v>
      </c>
      <c r="J486" s="22" t="str">
        <f>VLOOKUP($A486, 'Medical Examinations'!$A:$P, 11, FALSE)</f>
        <v>OBESITY</v>
      </c>
      <c r="K486" s="34">
        <v>30578.0</v>
      </c>
      <c r="L486" s="35">
        <f>VLOOKUP($A486, 'Hospitalisation Details'!$A:$H, 7, FALSE)</f>
        <v>20446.85</v>
      </c>
      <c r="M486" s="22" t="str">
        <f>VLOOKUP($A486, 'Hospitalisation Details'!$A:$L, 12, FALSE)</f>
        <v>tier - 2</v>
      </c>
      <c r="N486" s="22" t="str">
        <f>VLOOKUP($A486, 'Hospitalisation Details'!$A:$M, 13, FALSE)</f>
        <v>tier - 1</v>
      </c>
      <c r="O486" s="22" t="str">
        <f>VLOOKUP($A486, 'Hospitalisation Details'!$A:$N, 14, FALSE)</f>
        <v>R1012</v>
      </c>
      <c r="P486" s="36">
        <f>VLOOKUP($A486, 'Hospitalisation Details'!$A:$O, 15, FALSE)</f>
        <v>60</v>
      </c>
    </row>
    <row r="487" ht="15.75" customHeight="1">
      <c r="A487" s="33" t="s">
        <v>973</v>
      </c>
      <c r="B487" s="22" t="str">
        <f>VLOOKUP($A487,'Customer Names'!$A:$D,3, FALSE)</f>
        <v>Sallade</v>
      </c>
      <c r="C487" s="22">
        <f>VLOOKUP($A487,'Medical Examinations'!$A:$D, 2, FALSE)</f>
        <v>29.8</v>
      </c>
      <c r="D487" s="22">
        <f>VLOOKUP($A487, 'Medical Examinations'!$A:$D,3, FALSE)</f>
        <v>5.78</v>
      </c>
      <c r="E487" s="22" t="str">
        <f>VLOOKUP($A487, 'Medical Examinations'!$A:$D, 4, FALSE)</f>
        <v>Yes</v>
      </c>
      <c r="F487" s="22" t="str">
        <f>VLOOKUP($A487, 'Medical Examinations'!$A:$J, 5, FALSE)</f>
        <v>No</v>
      </c>
      <c r="G487" s="22" t="str">
        <f>VLOOKUP($A487, 'Medical Examinations'!$A:$I, 6, FALSE)</f>
        <v>No</v>
      </c>
      <c r="H487" s="22">
        <f>VLOOKUP($A487,'Medical Examinations'!$A:$L,10, FALSE)</f>
        <v>0</v>
      </c>
      <c r="I487" s="22" t="str">
        <f>VLOOKUP($A487, 'Medical Examinations'!$A:$J, 9, FALSE)</f>
        <v>No</v>
      </c>
      <c r="J487" s="22" t="str">
        <f>VLOOKUP($A487, 'Medical Examinations'!$A:$P, 11, FALSE)</f>
        <v>OVERWEIGHT</v>
      </c>
      <c r="K487" s="34">
        <v>36476.0</v>
      </c>
      <c r="L487" s="35">
        <f>VLOOKUP($A487, 'Hospitalisation Details'!$A:$H, 7, FALSE)</f>
        <v>20420.6</v>
      </c>
      <c r="M487" s="22" t="str">
        <f>VLOOKUP($A487, 'Hospitalisation Details'!$A:$L, 12, FALSE)</f>
        <v>tier - 3</v>
      </c>
      <c r="N487" s="22" t="str">
        <f>VLOOKUP($A487, 'Hospitalisation Details'!$A:$M, 13, FALSE)</f>
        <v>tier - 2</v>
      </c>
      <c r="O487" s="22" t="str">
        <f>VLOOKUP($A487, 'Hospitalisation Details'!$A:$N, 14, FALSE)</f>
        <v>R1011</v>
      </c>
      <c r="P487" s="36">
        <f>VLOOKUP($A487, 'Hospitalisation Details'!$A:$O, 15, FALSE)</f>
        <v>37</v>
      </c>
    </row>
    <row r="488" ht="15.75" customHeight="1">
      <c r="A488" s="33" t="s">
        <v>975</v>
      </c>
      <c r="B488" s="22" t="str">
        <f>VLOOKUP($A488,'Customer Names'!$A:$D,3, FALSE)</f>
        <v>Argall</v>
      </c>
      <c r="C488" s="22">
        <f>VLOOKUP($A488,'Medical Examinations'!$A:$D, 2, FALSE)</f>
        <v>49.77</v>
      </c>
      <c r="D488" s="22">
        <f>VLOOKUP($A488, 'Medical Examinations'!$A:$D,3, FALSE)</f>
        <v>7.02</v>
      </c>
      <c r="E488" s="22" t="str">
        <f>VLOOKUP($A488, 'Medical Examinations'!$A:$D, 4, FALSE)</f>
        <v>No</v>
      </c>
      <c r="F488" s="22" t="str">
        <f>VLOOKUP($A488, 'Medical Examinations'!$A:$J, 5, FALSE)</f>
        <v>No</v>
      </c>
      <c r="G488" s="22" t="str">
        <f>VLOOKUP($A488, 'Medical Examinations'!$A:$I, 6, FALSE)</f>
        <v>No</v>
      </c>
      <c r="H488" s="22">
        <f>VLOOKUP($A488,'Medical Examinations'!$A:$L,10, FALSE)</f>
        <v>0</v>
      </c>
      <c r="I488" s="22" t="str">
        <f>VLOOKUP($A488, 'Medical Examinations'!$A:$J, 9, FALSE)</f>
        <v>No</v>
      </c>
      <c r="J488" s="22" t="str">
        <f>VLOOKUP($A488, 'Medical Examinations'!$A:$P, 11, FALSE)</f>
        <v>OBESITY</v>
      </c>
      <c r="K488" s="34">
        <v>24081.0</v>
      </c>
      <c r="L488" s="35">
        <f>VLOOKUP($A488, 'Hospitalisation Details'!$A:$H, 7, FALSE)</f>
        <v>20354.5</v>
      </c>
      <c r="M488" s="22" t="str">
        <f>VLOOKUP($A488, 'Hospitalisation Details'!$A:$L, 12, FALSE)</f>
        <v>tier - 3</v>
      </c>
      <c r="N488" s="22" t="str">
        <f>VLOOKUP($A488, 'Hospitalisation Details'!$A:$M, 13, FALSE)</f>
        <v>tier - 2</v>
      </c>
      <c r="O488" s="22" t="str">
        <f>VLOOKUP($A488, 'Hospitalisation Details'!$A:$N, 14, FALSE)</f>
        <v>R1026</v>
      </c>
      <c r="P488" s="36">
        <f>VLOOKUP($A488, 'Hospitalisation Details'!$A:$O, 15, FALSE)</f>
        <v>60</v>
      </c>
    </row>
    <row r="489" ht="15.75" customHeight="1">
      <c r="A489" s="33" t="s">
        <v>977</v>
      </c>
      <c r="B489" s="22" t="str">
        <f>VLOOKUP($A489,'Customer Names'!$A:$D,3, FALSE)</f>
        <v>Patchell</v>
      </c>
      <c r="C489" s="22">
        <f>VLOOKUP($A489,'Medical Examinations'!$A:$D, 2, FALSE)</f>
        <v>25.555</v>
      </c>
      <c r="D489" s="22">
        <f>VLOOKUP($A489, 'Medical Examinations'!$A:$D,3, FALSE)</f>
        <v>4.09</v>
      </c>
      <c r="E489" s="22" t="str">
        <f>VLOOKUP($A489, 'Medical Examinations'!$A:$D, 4, FALSE)</f>
        <v>Yes</v>
      </c>
      <c r="F489" s="22" t="str">
        <f>VLOOKUP($A489, 'Medical Examinations'!$A:$J, 5, FALSE)</f>
        <v>No</v>
      </c>
      <c r="G489" s="22" t="str">
        <f>VLOOKUP($A489, 'Medical Examinations'!$A:$I, 6, FALSE)</f>
        <v>No</v>
      </c>
      <c r="H489" s="22">
        <f>VLOOKUP($A489,'Medical Examinations'!$A:$L,10, FALSE)</f>
        <v>0</v>
      </c>
      <c r="I489" s="22" t="str">
        <f>VLOOKUP($A489, 'Medical Examinations'!$A:$J, 9, FALSE)</f>
        <v>Yes</v>
      </c>
      <c r="J489" s="22" t="str">
        <f>VLOOKUP($A489, 'Medical Examinations'!$A:$P, 11, FALSE)</f>
        <v>OVERWEIGHT</v>
      </c>
      <c r="K489" s="34">
        <v>34172.0</v>
      </c>
      <c r="L489" s="35">
        <f>VLOOKUP($A489, 'Hospitalisation Details'!$A:$H, 7, FALSE)</f>
        <v>20296.86</v>
      </c>
      <c r="M489" s="22" t="str">
        <f>VLOOKUP($A489, 'Hospitalisation Details'!$A:$L, 12, FALSE)</f>
        <v>tier - 3</v>
      </c>
      <c r="N489" s="22" t="str">
        <f>VLOOKUP($A489, 'Hospitalisation Details'!$A:$M, 13, FALSE)</f>
        <v>tier - 1</v>
      </c>
      <c r="O489" s="22" t="str">
        <f>VLOOKUP($A489, 'Hospitalisation Details'!$A:$N, 14, FALSE)</f>
        <v>R1024</v>
      </c>
      <c r="P489" s="36">
        <f>VLOOKUP($A489, 'Hospitalisation Details'!$A:$O, 15, FALSE)</f>
        <v>37</v>
      </c>
    </row>
    <row r="490" ht="15.75" customHeight="1">
      <c r="A490" s="33" t="s">
        <v>979</v>
      </c>
      <c r="B490" s="22" t="str">
        <f>VLOOKUP($A490,'Customer Names'!$A:$D,3, FALSE)</f>
        <v>Catoggio</v>
      </c>
      <c r="C490" s="22">
        <f>VLOOKUP($A490,'Medical Examinations'!$A:$D, 2, FALSE)</f>
        <v>29.64</v>
      </c>
      <c r="D490" s="22">
        <f>VLOOKUP($A490, 'Medical Examinations'!$A:$D,3, FALSE)</f>
        <v>4.93</v>
      </c>
      <c r="E490" s="22" t="str">
        <f>VLOOKUP($A490, 'Medical Examinations'!$A:$D, 4, FALSE)</f>
        <v>No</v>
      </c>
      <c r="F490" s="22" t="str">
        <f>VLOOKUP($A490, 'Medical Examinations'!$A:$J, 5, FALSE)</f>
        <v>No</v>
      </c>
      <c r="G490" s="22" t="str">
        <f>VLOOKUP($A490, 'Medical Examinations'!$A:$I, 6, FALSE)</f>
        <v>Yes</v>
      </c>
      <c r="H490" s="22">
        <f>VLOOKUP($A490,'Medical Examinations'!$A:$L,10, FALSE)</f>
        <v>1</v>
      </c>
      <c r="I490" s="22" t="str">
        <f>VLOOKUP($A490, 'Medical Examinations'!$A:$J, 9, FALSE)</f>
        <v>No</v>
      </c>
      <c r="J490" s="22" t="str">
        <f>VLOOKUP($A490, 'Medical Examinations'!$A:$P, 11, FALSE)</f>
        <v>OVERWEIGHT</v>
      </c>
      <c r="K490" s="34">
        <v>29914.0</v>
      </c>
      <c r="L490" s="35">
        <f>VLOOKUP($A490, 'Hospitalisation Details'!$A:$H, 7, FALSE)</f>
        <v>20277.81</v>
      </c>
      <c r="M490" s="22" t="str">
        <f>VLOOKUP($A490, 'Hospitalisation Details'!$A:$L, 12, FALSE)</f>
        <v>tier - 3</v>
      </c>
      <c r="N490" s="22" t="str">
        <f>VLOOKUP($A490, 'Hospitalisation Details'!$A:$M, 13, FALSE)</f>
        <v>tier - 3</v>
      </c>
      <c r="O490" s="22" t="str">
        <f>VLOOKUP($A490, 'Hospitalisation Details'!$A:$N, 14, FALSE)</f>
        <v>R1016</v>
      </c>
      <c r="P490" s="36">
        <f>VLOOKUP($A490, 'Hospitalisation Details'!$A:$O, 15, FALSE)</f>
        <v>29</v>
      </c>
    </row>
    <row r="491" ht="15.75" customHeight="1">
      <c r="A491" s="33" t="s">
        <v>981</v>
      </c>
      <c r="B491" s="22" t="str">
        <f>VLOOKUP($A491,'Customer Names'!$A:$D,3, FALSE)</f>
        <v>Adams</v>
      </c>
      <c r="C491" s="22">
        <f>VLOOKUP($A491,'Medical Examinations'!$A:$D, 2, FALSE)</f>
        <v>53.93</v>
      </c>
      <c r="D491" s="22">
        <f>VLOOKUP($A491, 'Medical Examinations'!$A:$D,3, FALSE)</f>
        <v>5.34</v>
      </c>
      <c r="E491" s="22" t="str">
        <f>VLOOKUP($A491, 'Medical Examinations'!$A:$D, 4, FALSE)</f>
        <v>Yes</v>
      </c>
      <c r="F491" s="22" t="str">
        <f>VLOOKUP($A491, 'Medical Examinations'!$A:$J, 5, FALSE)</f>
        <v>No</v>
      </c>
      <c r="G491" s="22" t="str">
        <f>VLOOKUP($A491, 'Medical Examinations'!$A:$I, 6, FALSE)</f>
        <v>No</v>
      </c>
      <c r="H491" s="22">
        <f>VLOOKUP($A491,'Medical Examinations'!$A:$L,10, FALSE)</f>
        <v>2</v>
      </c>
      <c r="I491" s="22" t="str">
        <f>VLOOKUP($A491, 'Medical Examinations'!$A:$J, 9, FALSE)</f>
        <v>No</v>
      </c>
      <c r="J491" s="22" t="str">
        <f>VLOOKUP($A491, 'Medical Examinations'!$A:$P, 11, FALSE)</f>
        <v>OBESITY</v>
      </c>
      <c r="K491" s="34">
        <v>24085.0</v>
      </c>
      <c r="L491" s="35">
        <f>VLOOKUP($A491, 'Hospitalisation Details'!$A:$H, 7, FALSE)</f>
        <v>20253.84</v>
      </c>
      <c r="M491" s="22" t="str">
        <f>VLOOKUP($A491, 'Hospitalisation Details'!$A:$L, 12, FALSE)</f>
        <v>tier - 2</v>
      </c>
      <c r="N491" s="22" t="str">
        <f>VLOOKUP($A491, 'Hospitalisation Details'!$A:$M, 13, FALSE)</f>
        <v>tier - 3</v>
      </c>
      <c r="O491" s="22" t="str">
        <f>VLOOKUP($A491, 'Hospitalisation Details'!$A:$N, 14, FALSE)</f>
        <v>R1012</v>
      </c>
      <c r="P491" s="36">
        <f>VLOOKUP($A491, 'Hospitalisation Details'!$A:$O, 15, FALSE)</f>
        <v>56</v>
      </c>
    </row>
    <row r="492" ht="15.75" customHeight="1">
      <c r="A492" s="33" t="s">
        <v>983</v>
      </c>
      <c r="B492" s="22" t="str">
        <f>VLOOKUP($A492,'Customer Names'!$A:$D,3, FALSE)</f>
        <v>Windt</v>
      </c>
      <c r="C492" s="22">
        <f>VLOOKUP($A492,'Medical Examinations'!$A:$D, 2, FALSE)</f>
        <v>28.025</v>
      </c>
      <c r="D492" s="22">
        <f>VLOOKUP($A492, 'Medical Examinations'!$A:$D,3, FALSE)</f>
        <v>5.65</v>
      </c>
      <c r="E492" s="22" t="str">
        <f>VLOOKUP($A492, 'Medical Examinations'!$A:$D, 4, FALSE)</f>
        <v>No</v>
      </c>
      <c r="F492" s="22" t="str">
        <f>VLOOKUP($A492, 'Medical Examinations'!$A:$J, 5, FALSE)</f>
        <v>No</v>
      </c>
      <c r="G492" s="22" t="str">
        <f>VLOOKUP($A492, 'Medical Examinations'!$A:$I, 6, FALSE)</f>
        <v>No</v>
      </c>
      <c r="H492" s="22">
        <f>VLOOKUP($A492,'Medical Examinations'!$A:$L,10, FALSE)</f>
        <v>1</v>
      </c>
      <c r="I492" s="22" t="str">
        <f>VLOOKUP($A492, 'Medical Examinations'!$A:$J, 9, FALSE)</f>
        <v>Yes</v>
      </c>
      <c r="J492" s="22" t="str">
        <f>VLOOKUP($A492, 'Medical Examinations'!$A:$P, 11, FALSE)</f>
        <v>OVERWEIGHT</v>
      </c>
      <c r="K492" s="34">
        <v>29783.0</v>
      </c>
      <c r="L492" s="35">
        <f>VLOOKUP($A492, 'Hospitalisation Details'!$A:$H, 7, FALSE)</f>
        <v>20234.85</v>
      </c>
      <c r="M492" s="22" t="str">
        <f>VLOOKUP($A492, 'Hospitalisation Details'!$A:$L, 12, FALSE)</f>
        <v>tier - 2</v>
      </c>
      <c r="N492" s="22" t="str">
        <f>VLOOKUP($A492, 'Hospitalisation Details'!$A:$M, 13, FALSE)</f>
        <v>tier - 3</v>
      </c>
      <c r="O492" s="22" t="str">
        <f>VLOOKUP($A492, 'Hospitalisation Details'!$A:$N, 14, FALSE)</f>
        <v>R1012</v>
      </c>
      <c r="P492" s="36">
        <f>VLOOKUP($A492, 'Hospitalisation Details'!$A:$O, 15, FALSE)</f>
        <v>35</v>
      </c>
    </row>
    <row r="493" ht="15.75" customHeight="1">
      <c r="A493" s="33" t="s">
        <v>985</v>
      </c>
      <c r="B493" s="22" t="str">
        <f>VLOOKUP($A493,'Customer Names'!$A:$D,3, FALSE)</f>
        <v>Ryan</v>
      </c>
      <c r="C493" s="22">
        <f>VLOOKUP($A493,'Medical Examinations'!$A:$D, 2, FALSE)</f>
        <v>27.5</v>
      </c>
      <c r="D493" s="22">
        <f>VLOOKUP($A493, 'Medical Examinations'!$A:$D,3, FALSE)</f>
        <v>4.49</v>
      </c>
      <c r="E493" s="22" t="str">
        <f>VLOOKUP($A493, 'Medical Examinations'!$A:$D, 4, FALSE)</f>
        <v>No</v>
      </c>
      <c r="F493" s="22" t="str">
        <f>VLOOKUP($A493, 'Medical Examinations'!$A:$J, 5, FALSE)</f>
        <v>No</v>
      </c>
      <c r="G493" s="22" t="str">
        <f>VLOOKUP($A493, 'Medical Examinations'!$A:$I, 6, FALSE)</f>
        <v>No</v>
      </c>
      <c r="H493" s="22">
        <f>VLOOKUP($A493,'Medical Examinations'!$A:$L,10, FALSE)</f>
        <v>0</v>
      </c>
      <c r="I493" s="22" t="str">
        <f>VLOOKUP($A493, 'Medical Examinations'!$A:$J, 9, FALSE)</f>
        <v>No</v>
      </c>
      <c r="J493" s="22" t="str">
        <f>VLOOKUP($A493, 'Medical Examinations'!$A:$P, 11, FALSE)</f>
        <v>OVERWEIGHT</v>
      </c>
      <c r="K493" s="34">
        <v>30488.0</v>
      </c>
      <c r="L493" s="35">
        <f>VLOOKUP($A493, 'Hospitalisation Details'!$A:$H, 7, FALSE)</f>
        <v>20177.67</v>
      </c>
      <c r="M493" s="22" t="str">
        <f>VLOOKUP($A493, 'Hospitalisation Details'!$A:$L, 12, FALSE)</f>
        <v>tier - 2</v>
      </c>
      <c r="N493" s="22" t="str">
        <f>VLOOKUP($A493, 'Hospitalisation Details'!$A:$M, 13, FALSE)</f>
        <v>tier - 1</v>
      </c>
      <c r="O493" s="22" t="str">
        <f>VLOOKUP($A493, 'Hospitalisation Details'!$A:$N, 14, FALSE)</f>
        <v>R1011</v>
      </c>
      <c r="P493" s="36">
        <f>VLOOKUP($A493, 'Hospitalisation Details'!$A:$O, 15, FALSE)</f>
        <v>29</v>
      </c>
    </row>
    <row r="494" ht="15.75" customHeight="1">
      <c r="A494" s="33" t="s">
        <v>987</v>
      </c>
      <c r="B494" s="22" t="str">
        <f>VLOOKUP($A494,'Customer Names'!$A:$D,3, FALSE)</f>
        <v>Marion</v>
      </c>
      <c r="C494" s="22">
        <f>VLOOKUP($A494,'Medical Examinations'!$A:$D, 2, FALSE)</f>
        <v>21.8</v>
      </c>
      <c r="D494" s="22">
        <f>VLOOKUP($A494, 'Medical Examinations'!$A:$D,3, FALSE)</f>
        <v>10.55</v>
      </c>
      <c r="E494" s="22" t="str">
        <f>VLOOKUP($A494, 'Medical Examinations'!$A:$D, 4, FALSE)</f>
        <v>No</v>
      </c>
      <c r="F494" s="22" t="str">
        <f>VLOOKUP($A494, 'Medical Examinations'!$A:$J, 5, FALSE)</f>
        <v>No</v>
      </c>
      <c r="G494" s="22" t="str">
        <f>VLOOKUP($A494, 'Medical Examinations'!$A:$I, 6, FALSE)</f>
        <v>No</v>
      </c>
      <c r="H494" s="22">
        <f>VLOOKUP($A494,'Medical Examinations'!$A:$L,10, FALSE)</f>
        <v>0</v>
      </c>
      <c r="I494" s="22" t="str">
        <f>VLOOKUP($A494, 'Medical Examinations'!$A:$J, 9, FALSE)</f>
        <v>Yes</v>
      </c>
      <c r="J494" s="22" t="str">
        <f>VLOOKUP($A494, 'Medical Examinations'!$A:$P, 11, FALSE)</f>
        <v>NORMAL WEIGHT</v>
      </c>
      <c r="K494" s="34">
        <v>34247.0</v>
      </c>
      <c r="L494" s="35">
        <f>VLOOKUP($A494, 'Hospitalisation Details'!$A:$H, 7, FALSE)</f>
        <v>20167.34</v>
      </c>
      <c r="M494" s="22" t="str">
        <f>VLOOKUP($A494, 'Hospitalisation Details'!$A:$L, 12, FALSE)</f>
        <v>tier - 3</v>
      </c>
      <c r="N494" s="22" t="str">
        <f>VLOOKUP($A494, 'Hospitalisation Details'!$A:$M, 13, FALSE)</f>
        <v>tier - 3</v>
      </c>
      <c r="O494" s="22" t="str">
        <f>VLOOKUP($A494, 'Hospitalisation Details'!$A:$N, 14, FALSE)</f>
        <v>R1011</v>
      </c>
      <c r="P494" s="36">
        <f>VLOOKUP($A494, 'Hospitalisation Details'!$A:$O, 15, FALSE)</f>
        <v>20</v>
      </c>
    </row>
    <row r="495" ht="15.75" customHeight="1">
      <c r="A495" s="33" t="s">
        <v>989</v>
      </c>
      <c r="B495" s="22" t="str">
        <f>VLOOKUP($A495,'Customer Names'!$A:$D,3, FALSE)</f>
        <v>Raffetto</v>
      </c>
      <c r="C495" s="22">
        <f>VLOOKUP($A495,'Medical Examinations'!$A:$D, 2, FALSE)</f>
        <v>26.41</v>
      </c>
      <c r="D495" s="22">
        <f>VLOOKUP($A495, 'Medical Examinations'!$A:$D,3, FALSE)</f>
        <v>4.92</v>
      </c>
      <c r="E495" s="22" t="str">
        <f>VLOOKUP($A495, 'Medical Examinations'!$A:$D, 4, FALSE)</f>
        <v>Yes</v>
      </c>
      <c r="F495" s="22" t="str">
        <f>VLOOKUP($A495, 'Medical Examinations'!$A:$J, 5, FALSE)</f>
        <v>No</v>
      </c>
      <c r="G495" s="22" t="str">
        <f>VLOOKUP($A495, 'Medical Examinations'!$A:$I, 6, FALSE)</f>
        <v>Yes</v>
      </c>
      <c r="H495" s="22">
        <f>VLOOKUP($A495,'Medical Examinations'!$A:$L,10, FALSE)</f>
        <v>1</v>
      </c>
      <c r="I495" s="22" t="str">
        <f>VLOOKUP($A495, 'Medical Examinations'!$A:$J, 9, FALSE)</f>
        <v>Yes</v>
      </c>
      <c r="J495" s="22" t="str">
        <f>VLOOKUP($A495, 'Medical Examinations'!$A:$P, 11, FALSE)</f>
        <v>OVERWEIGHT</v>
      </c>
      <c r="K495" s="34">
        <v>28460.0</v>
      </c>
      <c r="L495" s="35">
        <f>VLOOKUP($A495, 'Hospitalisation Details'!$A:$H, 7, FALSE)</f>
        <v>20149.32</v>
      </c>
      <c r="M495" s="22" t="str">
        <f>VLOOKUP($A495, 'Hospitalisation Details'!$A:$L, 12, FALSE)</f>
        <v>tier - 2</v>
      </c>
      <c r="N495" s="22" t="str">
        <f>VLOOKUP($A495, 'Hospitalisation Details'!$A:$M, 13, FALSE)</f>
        <v>tier - 1</v>
      </c>
      <c r="O495" s="22" t="str">
        <f>VLOOKUP($A495, 'Hospitalisation Details'!$A:$N, 14, FALSE)</f>
        <v>R1016</v>
      </c>
      <c r="P495" s="36">
        <f>VLOOKUP($A495, 'Hospitalisation Details'!$A:$O, 15, FALSE)</f>
        <v>39</v>
      </c>
    </row>
    <row r="496" ht="15.75" customHeight="1">
      <c r="A496" s="33" t="s">
        <v>991</v>
      </c>
      <c r="B496" s="22" t="str">
        <f>VLOOKUP($A496,'Customer Names'!$A:$D,3, FALSE)</f>
        <v>Young</v>
      </c>
      <c r="C496" s="22">
        <f>VLOOKUP($A496,'Medical Examinations'!$A:$D, 2, FALSE)</f>
        <v>27.835</v>
      </c>
      <c r="D496" s="22">
        <f>VLOOKUP($A496, 'Medical Examinations'!$A:$D,3, FALSE)</f>
        <v>5.9</v>
      </c>
      <c r="E496" s="22" t="str">
        <f>VLOOKUP($A496, 'Medical Examinations'!$A:$D, 4, FALSE)</f>
        <v>Yes</v>
      </c>
      <c r="F496" s="22" t="str">
        <f>VLOOKUP($A496, 'Medical Examinations'!$A:$J, 5, FALSE)</f>
        <v>No</v>
      </c>
      <c r="G496" s="22" t="str">
        <f>VLOOKUP($A496, 'Medical Examinations'!$A:$I, 6, FALSE)</f>
        <v>No</v>
      </c>
      <c r="H496" s="22">
        <f>VLOOKUP($A496,'Medical Examinations'!$A:$L,10, FALSE)</f>
        <v>1</v>
      </c>
      <c r="I496" s="22" t="str">
        <f>VLOOKUP($A496, 'Medical Examinations'!$A:$J, 9, FALSE)</f>
        <v>Yes</v>
      </c>
      <c r="J496" s="22" t="str">
        <f>VLOOKUP($A496, 'Medical Examinations'!$A:$P, 11, FALSE)</f>
        <v>OVERWEIGHT</v>
      </c>
      <c r="K496" s="34">
        <v>29032.0</v>
      </c>
      <c r="L496" s="35">
        <f>VLOOKUP($A496, 'Hospitalisation Details'!$A:$H, 7, FALSE)</f>
        <v>20009.63</v>
      </c>
      <c r="M496" s="22" t="str">
        <f>VLOOKUP($A496, 'Hospitalisation Details'!$A:$L, 12, FALSE)</f>
        <v>tier - 2</v>
      </c>
      <c r="N496" s="22" t="str">
        <f>VLOOKUP($A496, 'Hospitalisation Details'!$A:$M, 13, FALSE)</f>
        <v>tier - 1</v>
      </c>
      <c r="O496" s="22" t="str">
        <f>VLOOKUP($A496, 'Hospitalisation Details'!$A:$N, 14, FALSE)</f>
        <v>R1012</v>
      </c>
      <c r="P496" s="36">
        <f>VLOOKUP($A496, 'Hospitalisation Details'!$A:$O, 15, FALSE)</f>
        <v>34</v>
      </c>
    </row>
    <row r="497" ht="15.75" customHeight="1">
      <c r="A497" s="33" t="s">
        <v>993</v>
      </c>
      <c r="B497" s="22" t="str">
        <f>VLOOKUP($A497,'Customer Names'!$A:$D,3, FALSE)</f>
        <v>Oehlke</v>
      </c>
      <c r="C497" s="22">
        <f>VLOOKUP($A497,'Medical Examinations'!$A:$D, 2, FALSE)</f>
        <v>51.74</v>
      </c>
      <c r="D497" s="22">
        <f>VLOOKUP($A497, 'Medical Examinations'!$A:$D,3, FALSE)</f>
        <v>4.98</v>
      </c>
      <c r="E497" s="22" t="str">
        <f>VLOOKUP($A497, 'Medical Examinations'!$A:$D, 4, FALSE)</f>
        <v>Yes</v>
      </c>
      <c r="F497" s="22" t="str">
        <f>VLOOKUP($A497, 'Medical Examinations'!$A:$J, 5, FALSE)</f>
        <v>No</v>
      </c>
      <c r="G497" s="22" t="str">
        <f>VLOOKUP($A497, 'Medical Examinations'!$A:$I, 6, FALSE)</f>
        <v>No</v>
      </c>
      <c r="H497" s="22">
        <f>VLOOKUP($A497,'Medical Examinations'!$A:$L,10, FALSE)</f>
        <v>2</v>
      </c>
      <c r="I497" s="22" t="str">
        <f>VLOOKUP($A497, 'Medical Examinations'!$A:$J, 9, FALSE)</f>
        <v>No</v>
      </c>
      <c r="J497" s="22" t="str">
        <f>VLOOKUP($A497, 'Medical Examinations'!$A:$P, 11, FALSE)</f>
        <v>OBESITY</v>
      </c>
      <c r="K497" s="34">
        <v>28477.0</v>
      </c>
      <c r="L497" s="35">
        <f>VLOOKUP($A497, 'Hospitalisation Details'!$A:$H, 7, FALSE)</f>
        <v>19995.29</v>
      </c>
      <c r="M497" s="22" t="str">
        <f>VLOOKUP($A497, 'Hospitalisation Details'!$A:$L, 12, FALSE)</f>
        <v>tier - 1</v>
      </c>
      <c r="N497" s="22" t="str">
        <f>VLOOKUP($A497, 'Hospitalisation Details'!$A:$M, 13, FALSE)</f>
        <v>tier - 3</v>
      </c>
      <c r="O497" s="22" t="str">
        <f>VLOOKUP($A497, 'Hospitalisation Details'!$A:$N, 14, FALSE)</f>
        <v>R1026</v>
      </c>
      <c r="P497" s="36">
        <f>VLOOKUP($A497, 'Hospitalisation Details'!$A:$O, 15, FALSE)</f>
        <v>56</v>
      </c>
    </row>
    <row r="498" ht="15.75" customHeight="1">
      <c r="A498" s="33" t="s">
        <v>995</v>
      </c>
      <c r="B498" s="22" t="str">
        <f>VLOOKUP($A498,'Customer Names'!$A:$D,3, FALSE)</f>
        <v>Sudol</v>
      </c>
      <c r="C498" s="22">
        <f>VLOOKUP($A498,'Medical Examinations'!$A:$D, 2, FALSE)</f>
        <v>23.37</v>
      </c>
      <c r="D498" s="22">
        <f>VLOOKUP($A498, 'Medical Examinations'!$A:$D,3, FALSE)</f>
        <v>5.8</v>
      </c>
      <c r="E498" s="22" t="str">
        <f>VLOOKUP($A498, 'Medical Examinations'!$A:$D, 4, FALSE)</f>
        <v>No</v>
      </c>
      <c r="F498" s="22" t="str">
        <f>VLOOKUP($A498, 'Medical Examinations'!$A:$J, 5, FALSE)</f>
        <v>No</v>
      </c>
      <c r="G498" s="22" t="str">
        <f>VLOOKUP($A498, 'Medical Examinations'!$A:$I, 6, FALSE)</f>
        <v>No</v>
      </c>
      <c r="H498" s="22">
        <f>VLOOKUP($A498,'Medical Examinations'!$A:$L,10, FALSE)</f>
        <v>0</v>
      </c>
      <c r="I498" s="22" t="str">
        <f>VLOOKUP($A498, 'Medical Examinations'!$A:$J, 9, FALSE)</f>
        <v>Yes</v>
      </c>
      <c r="J498" s="22" t="str">
        <f>VLOOKUP($A498, 'Medical Examinations'!$A:$P, 11, FALSE)</f>
        <v>NORMAL WEIGHT</v>
      </c>
      <c r="K498" s="34">
        <v>31584.0</v>
      </c>
      <c r="L498" s="35">
        <f>VLOOKUP($A498, 'Hospitalisation Details'!$A:$H, 7, FALSE)</f>
        <v>19964.75</v>
      </c>
      <c r="M498" s="22" t="str">
        <f>VLOOKUP($A498, 'Hospitalisation Details'!$A:$L, 12, FALSE)</f>
        <v>tier - 1</v>
      </c>
      <c r="N498" s="22" t="str">
        <f>VLOOKUP($A498, 'Hospitalisation Details'!$A:$M, 13, FALSE)</f>
        <v>tier - 2</v>
      </c>
      <c r="O498" s="22" t="str">
        <f>VLOOKUP($A498, 'Hospitalisation Details'!$A:$N, 14, FALSE)</f>
        <v>R1024</v>
      </c>
      <c r="P498" s="36">
        <f>VLOOKUP($A498, 'Hospitalisation Details'!$A:$O, 15, FALSE)</f>
        <v>42</v>
      </c>
    </row>
    <row r="499" ht="15.75" customHeight="1">
      <c r="A499" s="33" t="s">
        <v>997</v>
      </c>
      <c r="B499" s="22" t="str">
        <f>VLOOKUP($A499,'Customer Names'!$A:$D,3, FALSE)</f>
        <v>Va</v>
      </c>
      <c r="C499" s="22">
        <f>VLOOKUP($A499,'Medical Examinations'!$A:$D, 2, FALSE)</f>
        <v>29.7</v>
      </c>
      <c r="D499" s="22">
        <f>VLOOKUP($A499, 'Medical Examinations'!$A:$D,3, FALSE)</f>
        <v>6.21</v>
      </c>
      <c r="E499" s="22" t="str">
        <f>VLOOKUP($A499, 'Medical Examinations'!$A:$D, 4, FALSE)</f>
        <v>Yes</v>
      </c>
      <c r="F499" s="22" t="str">
        <f>VLOOKUP($A499, 'Medical Examinations'!$A:$J, 5, FALSE)</f>
        <v>No</v>
      </c>
      <c r="G499" s="22" t="str">
        <f>VLOOKUP($A499, 'Medical Examinations'!$A:$I, 6, FALSE)</f>
        <v>Yes</v>
      </c>
      <c r="H499" s="22">
        <f>VLOOKUP($A499,'Medical Examinations'!$A:$L,10, FALSE)</f>
        <v>1</v>
      </c>
      <c r="I499" s="22" t="str">
        <f>VLOOKUP($A499, 'Medical Examinations'!$A:$J, 9, FALSE)</f>
        <v>Yes</v>
      </c>
      <c r="J499" s="22" t="str">
        <f>VLOOKUP($A499, 'Medical Examinations'!$A:$P, 11, FALSE)</f>
        <v>OVERWEIGHT</v>
      </c>
      <c r="K499" s="34">
        <v>31578.0</v>
      </c>
      <c r="L499" s="35">
        <f>VLOOKUP($A499, 'Hospitalisation Details'!$A:$H, 7, FALSE)</f>
        <v>19933.46</v>
      </c>
      <c r="M499" s="22" t="str">
        <f>VLOOKUP($A499, 'Hospitalisation Details'!$A:$L, 12, FALSE)</f>
        <v>tier - 1</v>
      </c>
      <c r="N499" s="22" t="str">
        <f>VLOOKUP($A499, 'Hospitalisation Details'!$A:$M, 13, FALSE)</f>
        <v>tier - 3</v>
      </c>
      <c r="O499" s="22" t="str">
        <f>VLOOKUP($A499, 'Hospitalisation Details'!$A:$N, 14, FALSE)</f>
        <v>R1011</v>
      </c>
      <c r="P499" s="36">
        <f>VLOOKUP($A499, 'Hospitalisation Details'!$A:$O, 15, FALSE)</f>
        <v>25</v>
      </c>
    </row>
    <row r="500" ht="15.75" customHeight="1">
      <c r="A500" s="33" t="s">
        <v>999</v>
      </c>
      <c r="B500" s="22" t="str">
        <f>VLOOKUP($A500,'Customer Names'!$A:$D,3, FALSE)</f>
        <v>Dolge</v>
      </c>
      <c r="C500" s="22">
        <f>VLOOKUP($A500,'Medical Examinations'!$A:$D, 2, FALSE)</f>
        <v>20.045</v>
      </c>
      <c r="D500" s="22">
        <f>VLOOKUP($A500, 'Medical Examinations'!$A:$D,3, FALSE)</f>
        <v>6.17</v>
      </c>
      <c r="E500" s="22" t="str">
        <f>VLOOKUP($A500, 'Medical Examinations'!$A:$D, 4, FALSE)</f>
        <v>No</v>
      </c>
      <c r="F500" s="22" t="str">
        <f>VLOOKUP($A500, 'Medical Examinations'!$A:$J, 5, FALSE)</f>
        <v>No</v>
      </c>
      <c r="G500" s="22" t="str">
        <f>VLOOKUP($A500, 'Medical Examinations'!$A:$I, 6, FALSE)</f>
        <v>Yes</v>
      </c>
      <c r="H500" s="22">
        <f>VLOOKUP($A500,'Medical Examinations'!$A:$L,10, FALSE)</f>
        <v>1</v>
      </c>
      <c r="I500" s="22" t="str">
        <f>VLOOKUP($A500, 'Medical Examinations'!$A:$J, 9, FALSE)</f>
        <v>Yes</v>
      </c>
      <c r="J500" s="22" t="str">
        <f>VLOOKUP($A500, 'Medical Examinations'!$A:$P, 11, FALSE)</f>
        <v>NORMAL WEIGHT</v>
      </c>
      <c r="K500" s="34">
        <v>29117.0</v>
      </c>
      <c r="L500" s="35">
        <f>VLOOKUP($A500, 'Hospitalisation Details'!$A:$H, 7, FALSE)</f>
        <v>19798.05</v>
      </c>
      <c r="M500" s="22" t="str">
        <f>VLOOKUP($A500, 'Hospitalisation Details'!$A:$L, 12, FALSE)</f>
        <v>tier - 1</v>
      </c>
      <c r="N500" s="22" t="str">
        <f>VLOOKUP($A500, 'Hospitalisation Details'!$A:$M, 13, FALSE)</f>
        <v>tier - 1</v>
      </c>
      <c r="O500" s="22" t="str">
        <f>VLOOKUP($A500, 'Hospitalisation Details'!$A:$N, 14, FALSE)</f>
        <v>R1024</v>
      </c>
      <c r="P500" s="36">
        <f>VLOOKUP($A500, 'Hospitalisation Details'!$A:$O, 15, FALSE)</f>
        <v>43</v>
      </c>
    </row>
    <row r="501" ht="15.75" customHeight="1">
      <c r="A501" s="33" t="s">
        <v>1001</v>
      </c>
      <c r="B501" s="22" t="str">
        <f>VLOOKUP($A501,'Customer Names'!$A:$D,3, FALSE)</f>
        <v>Marlier</v>
      </c>
      <c r="C501" s="22">
        <f>VLOOKUP($A501,'Medical Examinations'!$A:$D, 2, FALSE)</f>
        <v>27.83</v>
      </c>
      <c r="D501" s="22">
        <f>VLOOKUP($A501, 'Medical Examinations'!$A:$D,3, FALSE)</f>
        <v>5.36</v>
      </c>
      <c r="E501" s="22" t="str">
        <f>VLOOKUP($A501, 'Medical Examinations'!$A:$D, 4, FALSE)</f>
        <v>No</v>
      </c>
      <c r="F501" s="22" t="str">
        <f>VLOOKUP($A501, 'Medical Examinations'!$A:$J, 5, FALSE)</f>
        <v>No</v>
      </c>
      <c r="G501" s="22" t="str">
        <f>VLOOKUP($A501, 'Medical Examinations'!$A:$I, 6, FALSE)</f>
        <v>No</v>
      </c>
      <c r="H501" s="22">
        <f>VLOOKUP($A501,'Medical Examinations'!$A:$L,10, FALSE)</f>
        <v>2</v>
      </c>
      <c r="I501" s="22" t="str">
        <f>VLOOKUP($A501, 'Medical Examinations'!$A:$J, 9, FALSE)</f>
        <v>No</v>
      </c>
      <c r="J501" s="22" t="str">
        <f>VLOOKUP($A501, 'Medical Examinations'!$A:$P, 11, FALSE)</f>
        <v>OVERWEIGHT</v>
      </c>
      <c r="K501" s="34">
        <v>30888.0</v>
      </c>
      <c r="L501" s="35">
        <f>VLOOKUP($A501, 'Hospitalisation Details'!$A:$H, 7, FALSE)</f>
        <v>19749.38</v>
      </c>
      <c r="M501" s="22" t="str">
        <f>VLOOKUP($A501, 'Hospitalisation Details'!$A:$L, 12, FALSE)</f>
        <v>tier - 1</v>
      </c>
      <c r="N501" s="22" t="str">
        <f>VLOOKUP($A501, 'Hospitalisation Details'!$A:$M, 13, FALSE)</f>
        <v>tier - 3</v>
      </c>
      <c r="O501" s="22" t="str">
        <f>VLOOKUP($A501, 'Hospitalisation Details'!$A:$N, 14, FALSE)</f>
        <v>R1013</v>
      </c>
      <c r="P501" s="36">
        <f>VLOOKUP($A501, 'Hospitalisation Details'!$A:$O, 15, FALSE)</f>
        <v>50</v>
      </c>
    </row>
    <row r="502" ht="15.75" customHeight="1">
      <c r="A502" s="33" t="s">
        <v>1003</v>
      </c>
      <c r="B502" s="22" t="str">
        <f>VLOOKUP($A502,'Customer Names'!$A:$D,3, FALSE)</f>
        <v>Girard</v>
      </c>
      <c r="C502" s="22">
        <f>VLOOKUP($A502,'Medical Examinations'!$A:$D, 2, FALSE)</f>
        <v>28.93</v>
      </c>
      <c r="D502" s="22">
        <f>VLOOKUP($A502, 'Medical Examinations'!$A:$D,3, FALSE)</f>
        <v>5.2</v>
      </c>
      <c r="E502" s="22" t="str">
        <f>VLOOKUP($A502, 'Medical Examinations'!$A:$D, 4, FALSE)</f>
        <v>No</v>
      </c>
      <c r="F502" s="22" t="str">
        <f>VLOOKUP($A502, 'Medical Examinations'!$A:$J, 5, FALSE)</f>
        <v>No</v>
      </c>
      <c r="G502" s="22" t="str">
        <f>VLOOKUP($A502, 'Medical Examinations'!$A:$I, 6, FALSE)</f>
        <v>No</v>
      </c>
      <c r="H502" s="22">
        <f>VLOOKUP($A502,'Medical Examinations'!$A:$L,10, FALSE)</f>
        <v>0</v>
      </c>
      <c r="I502" s="22" t="str">
        <f>VLOOKUP($A502, 'Medical Examinations'!$A:$J, 9, FALSE)</f>
        <v>Yes</v>
      </c>
      <c r="J502" s="22" t="str">
        <f>VLOOKUP($A502, 'Medical Examinations'!$A:$P, 11, FALSE)</f>
        <v>OVERWEIGHT</v>
      </c>
      <c r="K502" s="34">
        <v>29025.0</v>
      </c>
      <c r="L502" s="35">
        <f>VLOOKUP($A502, 'Hospitalisation Details'!$A:$H, 7, FALSE)</f>
        <v>19719.69</v>
      </c>
      <c r="M502" s="22" t="str">
        <f>VLOOKUP($A502, 'Hospitalisation Details'!$A:$L, 12, FALSE)</f>
        <v>tier - 1</v>
      </c>
      <c r="N502" s="22" t="str">
        <f>VLOOKUP($A502, 'Hospitalisation Details'!$A:$M, 13, FALSE)</f>
        <v>tier - 2</v>
      </c>
      <c r="O502" s="22" t="str">
        <f>VLOOKUP($A502, 'Hospitalisation Details'!$A:$N, 14, FALSE)</f>
        <v>R1013</v>
      </c>
      <c r="P502" s="36">
        <f>VLOOKUP($A502, 'Hospitalisation Details'!$A:$O, 15, FALSE)</f>
        <v>32</v>
      </c>
    </row>
    <row r="503" ht="15.75" customHeight="1">
      <c r="A503" s="33" t="s">
        <v>1005</v>
      </c>
      <c r="B503" s="22" t="str">
        <f>VLOOKUP($A503,'Customer Names'!$A:$D,3, FALSE)</f>
        <v>Lee</v>
      </c>
      <c r="C503" s="22">
        <f>VLOOKUP($A503,'Medical Examinations'!$A:$D, 2, FALSE)</f>
        <v>33.82</v>
      </c>
      <c r="D503" s="22">
        <f>VLOOKUP($A503, 'Medical Examinations'!$A:$D,3, FALSE)</f>
        <v>5.42</v>
      </c>
      <c r="E503" s="22" t="str">
        <f>VLOOKUP($A503, 'Medical Examinations'!$A:$D, 4, FALSE)</f>
        <v>No</v>
      </c>
      <c r="F503" s="22" t="str">
        <f>VLOOKUP($A503, 'Medical Examinations'!$A:$J, 5, FALSE)</f>
        <v>No</v>
      </c>
      <c r="G503" s="22" t="str">
        <f>VLOOKUP($A503, 'Medical Examinations'!$A:$I, 6, FALSE)</f>
        <v>No</v>
      </c>
      <c r="H503" s="22">
        <f>VLOOKUP($A503,'Medical Examinations'!$A:$L,10, FALSE)</f>
        <v>0</v>
      </c>
      <c r="I503" s="22" t="str">
        <f>VLOOKUP($A503, 'Medical Examinations'!$A:$J, 9, FALSE)</f>
        <v>No</v>
      </c>
      <c r="J503" s="22" t="str">
        <f>VLOOKUP($A503, 'Medical Examinations'!$A:$P, 11, FALSE)</f>
        <v>OBESITY</v>
      </c>
      <c r="K503" s="34">
        <v>38306.0</v>
      </c>
      <c r="L503" s="35">
        <f>VLOOKUP($A503, 'Hospitalisation Details'!$A:$H, 7, FALSE)</f>
        <v>19673.34</v>
      </c>
      <c r="M503" s="22" t="str">
        <f>VLOOKUP($A503, 'Hospitalisation Details'!$A:$L, 12, FALSE)</f>
        <v>tier - 1</v>
      </c>
      <c r="N503" s="22" t="str">
        <f>VLOOKUP($A503, 'Hospitalisation Details'!$A:$M, 13, FALSE)</f>
        <v>tier - 2</v>
      </c>
      <c r="O503" s="22" t="str">
        <f>VLOOKUP($A503, 'Hospitalisation Details'!$A:$N, 14, FALSE)</f>
        <v>R1012</v>
      </c>
      <c r="P503" s="36">
        <f>VLOOKUP($A503, 'Hospitalisation Details'!$A:$O, 15, FALSE)</f>
        <v>28</v>
      </c>
    </row>
    <row r="504" ht="15.75" customHeight="1">
      <c r="A504" s="33" t="s">
        <v>1007</v>
      </c>
      <c r="B504" s="22" t="str">
        <f>VLOOKUP($A504,'Customer Names'!$A:$D,3, FALSE)</f>
        <v>Hubbard</v>
      </c>
      <c r="C504" s="22">
        <f>VLOOKUP($A504,'Medical Examinations'!$A:$D, 2, FALSE)</f>
        <v>20.235</v>
      </c>
      <c r="D504" s="22">
        <f>VLOOKUP($A504, 'Medical Examinations'!$A:$D,3, FALSE)</f>
        <v>6.84</v>
      </c>
      <c r="E504" s="22" t="str">
        <f>VLOOKUP($A504, 'Medical Examinations'!$A:$D, 4, FALSE)</f>
        <v>No</v>
      </c>
      <c r="F504" s="22" t="str">
        <f>VLOOKUP($A504, 'Medical Examinations'!$A:$J, 5, FALSE)</f>
        <v>No</v>
      </c>
      <c r="G504" s="22" t="str">
        <f>VLOOKUP($A504, 'Medical Examinations'!$A:$I, 6, FALSE)</f>
        <v>No</v>
      </c>
      <c r="H504" s="22">
        <f>VLOOKUP($A504,'Medical Examinations'!$A:$L,10, FALSE)</f>
        <v>0</v>
      </c>
      <c r="I504" s="22" t="str">
        <f>VLOOKUP($A504, 'Medical Examinations'!$A:$J, 9, FALSE)</f>
        <v>Yes</v>
      </c>
      <c r="J504" s="22" t="str">
        <f>VLOOKUP($A504, 'Medical Examinations'!$A:$P, 11, FALSE)</f>
        <v>NORMAL WEIGHT</v>
      </c>
      <c r="K504" s="34">
        <v>23934.0</v>
      </c>
      <c r="L504" s="35">
        <f>VLOOKUP($A504, 'Hospitalisation Details'!$A:$H, 7, FALSE)</f>
        <v>19594.81</v>
      </c>
      <c r="M504" s="22" t="str">
        <f>VLOOKUP($A504, 'Hospitalisation Details'!$A:$L, 12, FALSE)</f>
        <v>tier - 1</v>
      </c>
      <c r="N504" s="22" t="str">
        <f>VLOOKUP($A504, 'Hospitalisation Details'!$A:$M, 13, FALSE)</f>
        <v>tier - 1</v>
      </c>
      <c r="O504" s="22" t="str">
        <f>VLOOKUP($A504, 'Hospitalisation Details'!$A:$N, 14, FALSE)</f>
        <v>R1024</v>
      </c>
      <c r="P504" s="36">
        <f>VLOOKUP($A504, 'Hospitalisation Details'!$A:$O, 15, FALSE)</f>
        <v>44</v>
      </c>
    </row>
    <row r="505" ht="15.75" customHeight="1">
      <c r="A505" s="33" t="s">
        <v>1009</v>
      </c>
      <c r="B505" s="22" t="str">
        <f>VLOOKUP($A505,'Customer Names'!$A:$D,3, FALSE)</f>
        <v>Koester</v>
      </c>
      <c r="C505" s="22">
        <f>VLOOKUP($A505,'Medical Examinations'!$A:$D, 2, FALSE)</f>
        <v>49.2</v>
      </c>
      <c r="D505" s="22">
        <f>VLOOKUP($A505, 'Medical Examinations'!$A:$D,3, FALSE)</f>
        <v>10.9</v>
      </c>
      <c r="E505" s="22" t="str">
        <f>VLOOKUP($A505, 'Medical Examinations'!$A:$D, 4, FALSE)</f>
        <v>Yes</v>
      </c>
      <c r="F505" s="22" t="str">
        <f>VLOOKUP($A505, 'Medical Examinations'!$A:$J, 5, FALSE)</f>
        <v>No</v>
      </c>
      <c r="G505" s="22" t="str">
        <f>VLOOKUP($A505, 'Medical Examinations'!$A:$I, 6, FALSE)</f>
        <v>Yes</v>
      </c>
      <c r="H505" s="22">
        <f>VLOOKUP($A505,'Medical Examinations'!$A:$L,10, FALSE)</f>
        <v>1</v>
      </c>
      <c r="I505" s="22" t="str">
        <f>VLOOKUP($A505, 'Medical Examinations'!$A:$J, 9, FALSE)</f>
        <v>No</v>
      </c>
      <c r="J505" s="22" t="str">
        <f>VLOOKUP($A505, 'Medical Examinations'!$A:$P, 11, FALSE)</f>
        <v>OBESITY</v>
      </c>
      <c r="K505" s="34">
        <v>26522.0</v>
      </c>
      <c r="L505" s="35">
        <f>VLOOKUP($A505, 'Hospitalisation Details'!$A:$H, 7, FALSE)</f>
        <v>19551.34</v>
      </c>
      <c r="M505" s="22" t="str">
        <f>VLOOKUP($A505, 'Hospitalisation Details'!$A:$L, 12, FALSE)</f>
        <v>tier - 1</v>
      </c>
      <c r="N505" s="22" t="str">
        <f>VLOOKUP($A505, 'Hospitalisation Details'!$A:$M, 13, FALSE)</f>
        <v>tier - 3</v>
      </c>
      <c r="O505" s="22" t="str">
        <f>VLOOKUP($A505, 'Hospitalisation Details'!$A:$N, 14, FALSE)</f>
        <v>R1012</v>
      </c>
      <c r="P505" s="36">
        <f>VLOOKUP($A505, 'Hospitalisation Details'!$A:$O, 15, FALSE)</f>
        <v>59</v>
      </c>
    </row>
    <row r="506" ht="15.75" customHeight="1">
      <c r="A506" s="33" t="s">
        <v>1011</v>
      </c>
      <c r="B506" s="22" t="str">
        <f>VLOOKUP($A506,'Customer Names'!$A:$D,3, FALSE)</f>
        <v>Matthews</v>
      </c>
      <c r="C506" s="22">
        <f>VLOOKUP($A506,'Medical Examinations'!$A:$D, 2, FALSE)</f>
        <v>26.4</v>
      </c>
      <c r="D506" s="22">
        <f>VLOOKUP($A506, 'Medical Examinations'!$A:$D,3, FALSE)</f>
        <v>4.87</v>
      </c>
      <c r="E506" s="22" t="str">
        <f>VLOOKUP($A506, 'Medical Examinations'!$A:$D, 4, FALSE)</f>
        <v>Yes</v>
      </c>
      <c r="F506" s="22" t="str">
        <f>VLOOKUP($A506, 'Medical Examinations'!$A:$J, 5, FALSE)</f>
        <v>No</v>
      </c>
      <c r="G506" s="22" t="str">
        <f>VLOOKUP($A506, 'Medical Examinations'!$A:$I, 6, FALSE)</f>
        <v>No</v>
      </c>
      <c r="H506" s="22">
        <f>VLOOKUP($A506,'Medical Examinations'!$A:$L,10, FALSE)</f>
        <v>0</v>
      </c>
      <c r="I506" s="22" t="str">
        <f>VLOOKUP($A506, 'Medical Examinations'!$A:$J, 9, FALSE)</f>
        <v>Yes</v>
      </c>
      <c r="J506" s="22" t="str">
        <f>VLOOKUP($A506, 'Medical Examinations'!$A:$P, 11, FALSE)</f>
        <v>OVERWEIGHT</v>
      </c>
      <c r="K506" s="34">
        <v>23918.0</v>
      </c>
      <c r="L506" s="35">
        <f>VLOOKUP($A506, 'Hospitalisation Details'!$A:$H, 7, FALSE)</f>
        <v>19539.24</v>
      </c>
      <c r="M506" s="22" t="str">
        <f>VLOOKUP($A506, 'Hospitalisation Details'!$A:$L, 12, FALSE)</f>
        <v>tier - 1</v>
      </c>
      <c r="N506" s="22" t="str">
        <f>VLOOKUP($A506, 'Hospitalisation Details'!$A:$M, 13, FALSE)</f>
        <v>tier - 1</v>
      </c>
      <c r="O506" s="22" t="str">
        <f>VLOOKUP($A506, 'Hospitalisation Details'!$A:$N, 14, FALSE)</f>
        <v>R1013</v>
      </c>
      <c r="P506" s="36">
        <f>VLOOKUP($A506, 'Hospitalisation Details'!$A:$O, 15, FALSE)</f>
        <v>37</v>
      </c>
    </row>
    <row r="507" ht="15.75" customHeight="1">
      <c r="A507" s="33" t="s">
        <v>1013</v>
      </c>
      <c r="B507" s="22" t="str">
        <f>VLOOKUP($A507,'Customer Names'!$A:$D,3, FALSE)</f>
        <v>Rubinich</v>
      </c>
      <c r="C507" s="22">
        <f>VLOOKUP($A507,'Medical Examinations'!$A:$D, 2, FALSE)</f>
        <v>28.38</v>
      </c>
      <c r="D507" s="22">
        <f>VLOOKUP($A507, 'Medical Examinations'!$A:$D,3, FALSE)</f>
        <v>6.07</v>
      </c>
      <c r="E507" s="22" t="str">
        <f>VLOOKUP($A507, 'Medical Examinations'!$A:$D, 4, FALSE)</f>
        <v>No</v>
      </c>
      <c r="F507" s="22" t="str">
        <f>VLOOKUP($A507, 'Medical Examinations'!$A:$J, 5, FALSE)</f>
        <v>No</v>
      </c>
      <c r="G507" s="22" t="str">
        <f>VLOOKUP($A507, 'Medical Examinations'!$A:$I, 6, FALSE)</f>
        <v>No</v>
      </c>
      <c r="H507" s="22">
        <f>VLOOKUP($A507,'Medical Examinations'!$A:$L,10, FALSE)</f>
        <v>1</v>
      </c>
      <c r="I507" s="22" t="str">
        <f>VLOOKUP($A507, 'Medical Examinations'!$A:$J, 9, FALSE)</f>
        <v>Yes</v>
      </c>
      <c r="J507" s="22" t="str">
        <f>VLOOKUP($A507, 'Medical Examinations'!$A:$P, 11, FALSE)</f>
        <v>OVERWEIGHT</v>
      </c>
      <c r="K507" s="34">
        <v>23899.0</v>
      </c>
      <c r="L507" s="35">
        <f>VLOOKUP($A507, 'Hospitalisation Details'!$A:$H, 7, FALSE)</f>
        <v>19521.97</v>
      </c>
      <c r="M507" s="22" t="str">
        <f>VLOOKUP($A507, 'Hospitalisation Details'!$A:$L, 12, FALSE)</f>
        <v>tier - 1</v>
      </c>
      <c r="N507" s="22" t="str">
        <f>VLOOKUP($A507, 'Hospitalisation Details'!$A:$M, 13, FALSE)</f>
        <v>tier - 2</v>
      </c>
      <c r="O507" s="22" t="str">
        <f>VLOOKUP($A507, 'Hospitalisation Details'!$A:$N, 14, FALSE)</f>
        <v>R1013</v>
      </c>
      <c r="P507" s="36">
        <f>VLOOKUP($A507, 'Hospitalisation Details'!$A:$O, 15, FALSE)</f>
        <v>30</v>
      </c>
    </row>
    <row r="508" ht="15.75" customHeight="1">
      <c r="A508" s="33" t="s">
        <v>1015</v>
      </c>
      <c r="B508" s="22" t="str">
        <f>VLOOKUP($A508,'Customer Names'!$A:$D,3, FALSE)</f>
        <v>Alban</v>
      </c>
      <c r="C508" s="22">
        <f>VLOOKUP($A508,'Medical Examinations'!$A:$D, 2, FALSE)</f>
        <v>24.64</v>
      </c>
      <c r="D508" s="22">
        <f>VLOOKUP($A508, 'Medical Examinations'!$A:$D,3, FALSE)</f>
        <v>4.33</v>
      </c>
      <c r="E508" s="22" t="str">
        <f>VLOOKUP($A508, 'Medical Examinations'!$A:$D, 4, FALSE)</f>
        <v>No</v>
      </c>
      <c r="F508" s="22" t="str">
        <f>VLOOKUP($A508, 'Medical Examinations'!$A:$J, 5, FALSE)</f>
        <v>No</v>
      </c>
      <c r="G508" s="22" t="str">
        <f>VLOOKUP($A508, 'Medical Examinations'!$A:$I, 6, FALSE)</f>
        <v>No</v>
      </c>
      <c r="H508" s="22">
        <f>VLOOKUP($A508,'Medical Examinations'!$A:$L,10, FALSE)</f>
        <v>0</v>
      </c>
      <c r="I508" s="22" t="str">
        <f>VLOOKUP($A508, 'Medical Examinations'!$A:$J, 9, FALSE)</f>
        <v>Yes</v>
      </c>
      <c r="J508" s="22" t="str">
        <f>VLOOKUP($A508, 'Medical Examinations'!$A:$P, 11, FALSE)</f>
        <v>NORMAL WEIGHT</v>
      </c>
      <c r="K508" s="34">
        <v>24467.0</v>
      </c>
      <c r="L508" s="35">
        <f>VLOOKUP($A508, 'Hospitalisation Details'!$A:$H, 7, FALSE)</f>
        <v>19515.54</v>
      </c>
      <c r="M508" s="22" t="str">
        <f>VLOOKUP($A508, 'Hospitalisation Details'!$A:$L, 12, FALSE)</f>
        <v>tier - 1</v>
      </c>
      <c r="N508" s="22" t="str">
        <f>VLOOKUP($A508, 'Hospitalisation Details'!$A:$M, 13, FALSE)</f>
        <v>tier - 1</v>
      </c>
      <c r="O508" s="22" t="str">
        <f>VLOOKUP($A508, 'Hospitalisation Details'!$A:$N, 14, FALSE)</f>
        <v>R1013</v>
      </c>
      <c r="P508" s="36">
        <f>VLOOKUP($A508, 'Hospitalisation Details'!$A:$O, 15, FALSE)</f>
        <v>42</v>
      </c>
    </row>
    <row r="509" ht="15.75" customHeight="1">
      <c r="A509" s="33" t="s">
        <v>1017</v>
      </c>
      <c r="B509" s="22" t="str">
        <f>VLOOKUP($A509,'Customer Names'!$A:$D,3, FALSE)</f>
        <v>Corcoran</v>
      </c>
      <c r="C509" s="22">
        <f>VLOOKUP($A509,'Medical Examinations'!$A:$D, 2, FALSE)</f>
        <v>39.71</v>
      </c>
      <c r="D509" s="22">
        <f>VLOOKUP($A509, 'Medical Examinations'!$A:$D,3, FALSE)</f>
        <v>5.83</v>
      </c>
      <c r="E509" s="22" t="str">
        <f>VLOOKUP($A509, 'Medical Examinations'!$A:$D, 4, FALSE)</f>
        <v>No</v>
      </c>
      <c r="F509" s="22" t="str">
        <f>VLOOKUP($A509, 'Medical Examinations'!$A:$J, 5, FALSE)</f>
        <v>No</v>
      </c>
      <c r="G509" s="22" t="str">
        <f>VLOOKUP($A509, 'Medical Examinations'!$A:$I, 6, FALSE)</f>
        <v>No</v>
      </c>
      <c r="H509" s="22">
        <f>VLOOKUP($A509,'Medical Examinations'!$A:$L,10, FALSE)</f>
        <v>1</v>
      </c>
      <c r="I509" s="22" t="str">
        <f>VLOOKUP($A509, 'Medical Examinations'!$A:$J, 9, FALSE)</f>
        <v>No</v>
      </c>
      <c r="J509" s="22" t="str">
        <f>VLOOKUP($A509, 'Medical Examinations'!$A:$P, 11, FALSE)</f>
        <v>OBESITY</v>
      </c>
      <c r="K509" s="34">
        <v>26290.0</v>
      </c>
      <c r="L509" s="35">
        <f>VLOOKUP($A509, 'Hospitalisation Details'!$A:$H, 7, FALSE)</f>
        <v>19496.72</v>
      </c>
      <c r="M509" s="22" t="str">
        <f>VLOOKUP($A509, 'Hospitalisation Details'!$A:$L, 12, FALSE)</f>
        <v>tier - 1</v>
      </c>
      <c r="N509" s="22" t="str">
        <f>VLOOKUP($A509, 'Hospitalisation Details'!$A:$M, 13, FALSE)</f>
        <v>tier - 3</v>
      </c>
      <c r="O509" s="22" t="str">
        <f>VLOOKUP($A509, 'Hospitalisation Details'!$A:$N, 14, FALSE)</f>
        <v>R1019</v>
      </c>
      <c r="P509" s="36">
        <f>VLOOKUP($A509, 'Hospitalisation Details'!$A:$O, 15, FALSE)</f>
        <v>35</v>
      </c>
    </row>
    <row r="510" ht="15.75" customHeight="1">
      <c r="A510" s="33" t="s">
        <v>1019</v>
      </c>
      <c r="B510" s="22" t="str">
        <f>VLOOKUP($A510,'Customer Names'!$A:$D,3, FALSE)</f>
        <v>Sargent</v>
      </c>
      <c r="C510" s="22">
        <f>VLOOKUP($A510,'Medical Examinations'!$A:$D, 2, FALSE)</f>
        <v>22.22</v>
      </c>
      <c r="D510" s="22">
        <f>VLOOKUP($A510, 'Medical Examinations'!$A:$D,3, FALSE)</f>
        <v>5.5</v>
      </c>
      <c r="E510" s="22" t="str">
        <f>VLOOKUP($A510, 'Medical Examinations'!$A:$D, 4, FALSE)</f>
        <v>No</v>
      </c>
      <c r="F510" s="22" t="str">
        <f>VLOOKUP($A510, 'Medical Examinations'!$A:$J, 5, FALSE)</f>
        <v>No</v>
      </c>
      <c r="G510" s="22" t="str">
        <f>VLOOKUP($A510, 'Medical Examinations'!$A:$I, 6, FALSE)</f>
        <v>No</v>
      </c>
      <c r="H510" s="22">
        <f>VLOOKUP($A510,'Medical Examinations'!$A:$L,10, FALSE)</f>
        <v>0</v>
      </c>
      <c r="I510" s="22" t="str">
        <f>VLOOKUP($A510, 'Medical Examinations'!$A:$J, 9, FALSE)</f>
        <v>Yes</v>
      </c>
      <c r="J510" s="22" t="str">
        <f>VLOOKUP($A510, 'Medical Examinations'!$A:$P, 11, FALSE)</f>
        <v>NORMAL WEIGHT</v>
      </c>
      <c r="K510" s="34">
        <v>31353.0</v>
      </c>
      <c r="L510" s="35">
        <f>VLOOKUP($A510, 'Hospitalisation Details'!$A:$H, 7, FALSE)</f>
        <v>19444.27</v>
      </c>
      <c r="M510" s="22" t="str">
        <f>VLOOKUP($A510, 'Hospitalisation Details'!$A:$L, 12, FALSE)</f>
        <v>tier - 1</v>
      </c>
      <c r="N510" s="22" t="str">
        <f>VLOOKUP($A510, 'Hospitalisation Details'!$A:$M, 13, FALSE)</f>
        <v>tier - 1</v>
      </c>
      <c r="O510" s="22" t="str">
        <f>VLOOKUP($A510, 'Hospitalisation Details'!$A:$N, 14, FALSE)</f>
        <v>R1013</v>
      </c>
      <c r="P510" s="36">
        <f>VLOOKUP($A510, 'Hospitalisation Details'!$A:$O, 15, FALSE)</f>
        <v>40</v>
      </c>
    </row>
    <row r="511" ht="15.75" customHeight="1">
      <c r="A511" s="33" t="s">
        <v>1021</v>
      </c>
      <c r="B511" s="22" t="str">
        <f>VLOOKUP($A511,'Customer Names'!$A:$D,3, FALSE)</f>
        <v>Watson</v>
      </c>
      <c r="C511" s="22">
        <f>VLOOKUP($A511,'Medical Examinations'!$A:$D, 2, FALSE)</f>
        <v>33.345</v>
      </c>
      <c r="D511" s="22">
        <f>VLOOKUP($A511, 'Medical Examinations'!$A:$D,3, FALSE)</f>
        <v>4.79</v>
      </c>
      <c r="E511" s="22" t="str">
        <f>VLOOKUP($A511, 'Medical Examinations'!$A:$D, 4, FALSE)</f>
        <v>No</v>
      </c>
      <c r="F511" s="22" t="str">
        <f>VLOOKUP($A511, 'Medical Examinations'!$A:$J, 5, FALSE)</f>
        <v>No</v>
      </c>
      <c r="G511" s="22" t="str">
        <f>VLOOKUP($A511, 'Medical Examinations'!$A:$I, 6, FALSE)</f>
        <v>Yes</v>
      </c>
      <c r="H511" s="22">
        <f>VLOOKUP($A511,'Medical Examinations'!$A:$L,10, FALSE)</f>
        <v>1</v>
      </c>
      <c r="I511" s="22" t="str">
        <f>VLOOKUP($A511, 'Medical Examinations'!$A:$J, 9, FALSE)</f>
        <v>No</v>
      </c>
      <c r="J511" s="22" t="str">
        <f>VLOOKUP($A511, 'Medical Examinations'!$A:$P, 11, FALSE)</f>
        <v>OBESITY</v>
      </c>
      <c r="K511" s="34">
        <v>28112.0</v>
      </c>
      <c r="L511" s="35">
        <f>VLOOKUP($A511, 'Hospitalisation Details'!$A:$H, 7, FALSE)</f>
        <v>19442.35</v>
      </c>
      <c r="M511" s="22" t="str">
        <f>VLOOKUP($A511, 'Hospitalisation Details'!$A:$L, 12, FALSE)</f>
        <v>tier - 1</v>
      </c>
      <c r="N511" s="22" t="str">
        <f>VLOOKUP($A511, 'Hospitalisation Details'!$A:$M, 13, FALSE)</f>
        <v>tier - 3</v>
      </c>
      <c r="O511" s="22" t="str">
        <f>VLOOKUP($A511, 'Hospitalisation Details'!$A:$N, 14, FALSE)</f>
        <v>R1012</v>
      </c>
      <c r="P511" s="36">
        <f>VLOOKUP($A511, 'Hospitalisation Details'!$A:$O, 15, FALSE)</f>
        <v>29</v>
      </c>
    </row>
    <row r="512" ht="15.75" customHeight="1">
      <c r="A512" s="33" t="s">
        <v>1023</v>
      </c>
      <c r="B512" s="22" t="str">
        <f>VLOOKUP($A512,'Customer Names'!$A:$D,3, FALSE)</f>
        <v>Esponda</v>
      </c>
      <c r="C512" s="22">
        <f>VLOOKUP($A512,'Medical Examinations'!$A:$D, 2, FALSE)</f>
        <v>24.42</v>
      </c>
      <c r="D512" s="22">
        <f>VLOOKUP($A512, 'Medical Examinations'!$A:$D,3, FALSE)</f>
        <v>5.81</v>
      </c>
      <c r="E512" s="22" t="str">
        <f>VLOOKUP($A512, 'Medical Examinations'!$A:$D, 4, FALSE)</f>
        <v>No</v>
      </c>
      <c r="F512" s="22" t="str">
        <f>VLOOKUP($A512, 'Medical Examinations'!$A:$J, 5, FALSE)</f>
        <v>No</v>
      </c>
      <c r="G512" s="22" t="str">
        <f>VLOOKUP($A512, 'Medical Examinations'!$A:$I, 6, FALSE)</f>
        <v>No</v>
      </c>
      <c r="H512" s="22">
        <f>VLOOKUP($A512,'Medical Examinations'!$A:$L,10, FALSE)</f>
        <v>1</v>
      </c>
      <c r="I512" s="22" t="str">
        <f>VLOOKUP($A512, 'Medical Examinations'!$A:$J, 9, FALSE)</f>
        <v>Yes</v>
      </c>
      <c r="J512" s="22" t="str">
        <f>VLOOKUP($A512, 'Medical Examinations'!$A:$P, 11, FALSE)</f>
        <v>NORMAL WEIGHT</v>
      </c>
      <c r="K512" s="34">
        <v>29802.0</v>
      </c>
      <c r="L512" s="35">
        <f>VLOOKUP($A512, 'Hospitalisation Details'!$A:$H, 7, FALSE)</f>
        <v>19362</v>
      </c>
      <c r="M512" s="22" t="str">
        <f>VLOOKUP($A512, 'Hospitalisation Details'!$A:$L, 12, FALSE)</f>
        <v>tier - 1</v>
      </c>
      <c r="N512" s="22" t="str">
        <f>VLOOKUP($A512, 'Hospitalisation Details'!$A:$M, 13, FALSE)</f>
        <v>tier - 3</v>
      </c>
      <c r="O512" s="22" t="str">
        <f>VLOOKUP($A512, 'Hospitalisation Details'!$A:$N, 14, FALSE)</f>
        <v>R1013</v>
      </c>
      <c r="P512" s="36">
        <f>VLOOKUP($A512, 'Hospitalisation Details'!$A:$O, 15, FALSE)</f>
        <v>35</v>
      </c>
    </row>
    <row r="513" ht="15.75" customHeight="1">
      <c r="A513" s="33" t="s">
        <v>1025</v>
      </c>
      <c r="B513" s="22" t="str">
        <f>VLOOKUP($A513,'Customer Names'!$A:$D,3, FALSE)</f>
        <v>Krall</v>
      </c>
      <c r="C513" s="22">
        <f>VLOOKUP($A513,'Medical Examinations'!$A:$D, 2, FALSE)</f>
        <v>29.81</v>
      </c>
      <c r="D513" s="22">
        <f>VLOOKUP($A513, 'Medical Examinations'!$A:$D,3, FALSE)</f>
        <v>5.58</v>
      </c>
      <c r="E513" s="22" t="str">
        <f>VLOOKUP($A513, 'Medical Examinations'!$A:$D, 4, FALSE)</f>
        <v>No</v>
      </c>
      <c r="F513" s="22" t="str">
        <f>VLOOKUP($A513, 'Medical Examinations'!$A:$J, 5, FALSE)</f>
        <v>No</v>
      </c>
      <c r="G513" s="22" t="str">
        <f>VLOOKUP($A513, 'Medical Examinations'!$A:$I, 6, FALSE)</f>
        <v>No</v>
      </c>
      <c r="H513" s="22">
        <f>VLOOKUP($A513,'Medical Examinations'!$A:$L,10, FALSE)</f>
        <v>0</v>
      </c>
      <c r="I513" s="22" t="str">
        <f>VLOOKUP($A513, 'Medical Examinations'!$A:$J, 9, FALSE)</f>
        <v>Yes</v>
      </c>
      <c r="J513" s="22" t="str">
        <f>VLOOKUP($A513, 'Medical Examinations'!$A:$P, 11, FALSE)</f>
        <v>OVERWEIGHT</v>
      </c>
      <c r="K513" s="34">
        <v>26962.0</v>
      </c>
      <c r="L513" s="35">
        <f>VLOOKUP($A513, 'Hospitalisation Details'!$A:$H, 7, FALSE)</f>
        <v>19350.37</v>
      </c>
      <c r="M513" s="22" t="str">
        <f>VLOOKUP($A513, 'Hospitalisation Details'!$A:$L, 12, FALSE)</f>
        <v>tier - 1</v>
      </c>
      <c r="N513" s="22" t="str">
        <f>VLOOKUP($A513, 'Hospitalisation Details'!$A:$M, 13, FALSE)</f>
        <v>tier - 3</v>
      </c>
      <c r="O513" s="22" t="str">
        <f>VLOOKUP($A513, 'Hospitalisation Details'!$A:$N, 14, FALSE)</f>
        <v>R1013</v>
      </c>
      <c r="P513" s="36">
        <f>VLOOKUP($A513, 'Hospitalisation Details'!$A:$O, 15, FALSE)</f>
        <v>31</v>
      </c>
    </row>
    <row r="514" ht="15.75" customHeight="1">
      <c r="A514" s="33" t="s">
        <v>1027</v>
      </c>
      <c r="B514" s="22" t="str">
        <f>VLOOKUP($A514,'Customer Names'!$A:$D,3, FALSE)</f>
        <v>Poskin</v>
      </c>
      <c r="C514" s="22">
        <f>VLOOKUP($A514,'Medical Examinations'!$A:$D, 2, FALSE)</f>
        <v>51.18</v>
      </c>
      <c r="D514" s="22">
        <f>VLOOKUP($A514, 'Medical Examinations'!$A:$D,3, FALSE)</f>
        <v>4.4</v>
      </c>
      <c r="E514" s="22" t="str">
        <f>VLOOKUP($A514, 'Medical Examinations'!$A:$D, 4, FALSE)</f>
        <v>Yes</v>
      </c>
      <c r="F514" s="22" t="str">
        <f>VLOOKUP($A514, 'Medical Examinations'!$A:$J, 5, FALSE)</f>
        <v>No</v>
      </c>
      <c r="G514" s="22" t="str">
        <f>VLOOKUP($A514, 'Medical Examinations'!$A:$I, 6, FALSE)</f>
        <v>No</v>
      </c>
      <c r="H514" s="22">
        <f>VLOOKUP($A514,'Medical Examinations'!$A:$L,10, FALSE)</f>
        <v>2</v>
      </c>
      <c r="I514" s="22" t="str">
        <f>VLOOKUP($A514, 'Medical Examinations'!$A:$J, 9, FALSE)</f>
        <v>No</v>
      </c>
      <c r="J514" s="22" t="str">
        <f>VLOOKUP($A514, 'Medical Examinations'!$A:$P, 11, FALSE)</f>
        <v>OBESITY</v>
      </c>
      <c r="K514" s="34">
        <v>29750.0</v>
      </c>
      <c r="L514" s="35">
        <f>VLOOKUP($A514, 'Hospitalisation Details'!$A:$H, 7, FALSE)</f>
        <v>19321.06</v>
      </c>
      <c r="M514" s="22" t="str">
        <f>VLOOKUP($A514, 'Hospitalisation Details'!$A:$L, 12, FALSE)</f>
        <v>tier - 1</v>
      </c>
      <c r="N514" s="22" t="str">
        <f>VLOOKUP($A514, 'Hospitalisation Details'!$A:$M, 13, FALSE)</f>
        <v>tier - 1</v>
      </c>
      <c r="O514" s="22" t="str">
        <f>VLOOKUP($A514, 'Hospitalisation Details'!$A:$N, 14, FALSE)</f>
        <v>R1012</v>
      </c>
      <c r="P514" s="36">
        <f>VLOOKUP($A514, 'Hospitalisation Details'!$A:$O, 15, FALSE)</f>
        <v>56</v>
      </c>
    </row>
    <row r="515" ht="15.75" customHeight="1">
      <c r="A515" s="33" t="s">
        <v>1029</v>
      </c>
      <c r="B515" s="22" t="str">
        <f>VLOOKUP($A515,'Customer Names'!$A:$D,3, FALSE)</f>
        <v>Halfmann</v>
      </c>
      <c r="C515" s="22">
        <f>VLOOKUP($A515,'Medical Examinations'!$A:$D, 2, FALSE)</f>
        <v>51.37</v>
      </c>
      <c r="D515" s="22">
        <f>VLOOKUP($A515, 'Medical Examinations'!$A:$D,3, FALSE)</f>
        <v>8.18</v>
      </c>
      <c r="E515" s="22" t="str">
        <f>VLOOKUP($A515, 'Medical Examinations'!$A:$D, 4, FALSE)</f>
        <v>Yes</v>
      </c>
      <c r="F515" s="22" t="str">
        <f>VLOOKUP($A515, 'Medical Examinations'!$A:$J, 5, FALSE)</f>
        <v>No</v>
      </c>
      <c r="G515" s="22" t="str">
        <f>VLOOKUP($A515, 'Medical Examinations'!$A:$I, 6, FALSE)</f>
        <v>No</v>
      </c>
      <c r="H515" s="22">
        <f>VLOOKUP($A515,'Medical Examinations'!$A:$L,10, FALSE)</f>
        <v>0</v>
      </c>
      <c r="I515" s="22" t="str">
        <f>VLOOKUP($A515, 'Medical Examinations'!$A:$J, 9, FALSE)</f>
        <v>No</v>
      </c>
      <c r="J515" s="22" t="str">
        <f>VLOOKUP($A515, 'Medical Examinations'!$A:$P, 11, FALSE)</f>
        <v>OBESITY</v>
      </c>
      <c r="K515" s="34">
        <v>29812.0</v>
      </c>
      <c r="L515" s="35">
        <f>VLOOKUP($A515, 'Hospitalisation Details'!$A:$H, 7, FALSE)</f>
        <v>19259.96</v>
      </c>
      <c r="M515" s="22" t="str">
        <f>VLOOKUP($A515, 'Hospitalisation Details'!$A:$L, 12, FALSE)</f>
        <v>tier - 1</v>
      </c>
      <c r="N515" s="22" t="str">
        <f>VLOOKUP($A515, 'Hospitalisation Details'!$A:$M, 13, FALSE)</f>
        <v>tier - 1</v>
      </c>
      <c r="O515" s="22" t="str">
        <f>VLOOKUP($A515, 'Hospitalisation Details'!$A:$N, 14, FALSE)</f>
        <v>R1012</v>
      </c>
      <c r="P515" s="36">
        <f>VLOOKUP($A515, 'Hospitalisation Details'!$A:$O, 15, FALSE)</f>
        <v>55</v>
      </c>
    </row>
    <row r="516" ht="15.75" customHeight="1">
      <c r="A516" s="33" t="s">
        <v>1031</v>
      </c>
      <c r="B516" s="22" t="str">
        <f>VLOOKUP($A516,'Customer Names'!$A:$D,3, FALSE)</f>
        <v>Klapper</v>
      </c>
      <c r="C516" s="22">
        <f>VLOOKUP($A516,'Medical Examinations'!$A:$D, 2, FALSE)</f>
        <v>36.19</v>
      </c>
      <c r="D516" s="22">
        <f>VLOOKUP($A516, 'Medical Examinations'!$A:$D,3, FALSE)</f>
        <v>5.52</v>
      </c>
      <c r="E516" s="22" t="str">
        <f>VLOOKUP($A516, 'Medical Examinations'!$A:$D, 4, FALSE)</f>
        <v>Yes</v>
      </c>
      <c r="F516" s="22" t="str">
        <f>VLOOKUP($A516, 'Medical Examinations'!$A:$J, 5, FALSE)</f>
        <v>No</v>
      </c>
      <c r="G516" s="22" t="str">
        <f>VLOOKUP($A516, 'Medical Examinations'!$A:$I, 6, FALSE)</f>
        <v>No</v>
      </c>
      <c r="H516" s="22">
        <f>VLOOKUP($A516,'Medical Examinations'!$A:$L,10, FALSE)</f>
        <v>0</v>
      </c>
      <c r="I516" s="22" t="str">
        <f>VLOOKUP($A516, 'Medical Examinations'!$A:$J, 9, FALSE)</f>
        <v>No</v>
      </c>
      <c r="J516" s="22" t="str">
        <f>VLOOKUP($A516, 'Medical Examinations'!$A:$P, 11, FALSE)</f>
        <v>OBESITY</v>
      </c>
      <c r="K516" s="34">
        <v>30156.0</v>
      </c>
      <c r="L516" s="35">
        <f>VLOOKUP($A516, 'Hospitalisation Details'!$A:$H, 7, FALSE)</f>
        <v>19214.71</v>
      </c>
      <c r="M516" s="22" t="str">
        <f>VLOOKUP($A516, 'Hospitalisation Details'!$A:$L, 12, FALSE)</f>
        <v>tier - 1</v>
      </c>
      <c r="N516" s="22" t="str">
        <f>VLOOKUP($A516, 'Hospitalisation Details'!$A:$M, 13, FALSE)</f>
        <v>tier - 3</v>
      </c>
      <c r="O516" s="22" t="str">
        <f>VLOOKUP($A516, 'Hospitalisation Details'!$A:$N, 14, FALSE)</f>
        <v>R1013</v>
      </c>
      <c r="P516" s="36">
        <f>VLOOKUP($A516, 'Hospitalisation Details'!$A:$O, 15, FALSE)</f>
        <v>37</v>
      </c>
    </row>
    <row r="517" ht="15.75" customHeight="1">
      <c r="A517" s="33" t="s">
        <v>1033</v>
      </c>
      <c r="B517" s="22" t="str">
        <f>VLOOKUP($A517,'Customer Names'!$A:$D,3, FALSE)</f>
        <v>George</v>
      </c>
      <c r="C517" s="22">
        <f>VLOOKUP($A517,'Medical Examinations'!$A:$D, 2, FALSE)</f>
        <v>25.9</v>
      </c>
      <c r="D517" s="22">
        <f>VLOOKUP($A517, 'Medical Examinations'!$A:$D,3, FALSE)</f>
        <v>4.84</v>
      </c>
      <c r="E517" s="22" t="str">
        <f>VLOOKUP($A517, 'Medical Examinations'!$A:$D, 4, FALSE)</f>
        <v>No</v>
      </c>
      <c r="F517" s="22" t="str">
        <f>VLOOKUP($A517, 'Medical Examinations'!$A:$J, 5, FALSE)</f>
        <v>No</v>
      </c>
      <c r="G517" s="22" t="str">
        <f>VLOOKUP($A517, 'Medical Examinations'!$A:$I, 6, FALSE)</f>
        <v>No</v>
      </c>
      <c r="H517" s="22">
        <f>VLOOKUP($A517,'Medical Examinations'!$A:$L,10, FALSE)</f>
        <v>0</v>
      </c>
      <c r="I517" s="22" t="str">
        <f>VLOOKUP($A517, 'Medical Examinations'!$A:$J, 9, FALSE)</f>
        <v>Yes</v>
      </c>
      <c r="J517" s="22" t="str">
        <f>VLOOKUP($A517, 'Medical Examinations'!$A:$P, 11, FALSE)</f>
        <v>OVERWEIGHT</v>
      </c>
      <c r="K517" s="34">
        <v>31657.0</v>
      </c>
      <c r="L517" s="35">
        <f>VLOOKUP($A517, 'Hospitalisation Details'!$A:$H, 7, FALSE)</f>
        <v>19199.94</v>
      </c>
      <c r="M517" s="22" t="str">
        <f>VLOOKUP($A517, 'Hospitalisation Details'!$A:$L, 12, FALSE)</f>
        <v>tier - 1</v>
      </c>
      <c r="N517" s="22" t="str">
        <f>VLOOKUP($A517, 'Hospitalisation Details'!$A:$M, 13, FALSE)</f>
        <v>tier - 3</v>
      </c>
      <c r="O517" s="22" t="str">
        <f>VLOOKUP($A517, 'Hospitalisation Details'!$A:$N, 14, FALSE)</f>
        <v>R1011</v>
      </c>
      <c r="P517" s="36">
        <f>VLOOKUP($A517, 'Hospitalisation Details'!$A:$O, 15, FALSE)</f>
        <v>31</v>
      </c>
    </row>
    <row r="518" ht="15.75" customHeight="1">
      <c r="A518" s="33" t="s">
        <v>1035</v>
      </c>
      <c r="B518" s="22" t="str">
        <f>VLOOKUP($A518,'Customer Names'!$A:$D,3, FALSE)</f>
        <v>Hicks</v>
      </c>
      <c r="C518" s="22">
        <f>VLOOKUP($A518,'Medical Examinations'!$A:$D, 2, FALSE)</f>
        <v>35.72</v>
      </c>
      <c r="D518" s="22">
        <f>VLOOKUP($A518, 'Medical Examinations'!$A:$D,3, FALSE)</f>
        <v>4.08</v>
      </c>
      <c r="E518" s="22" t="str">
        <f>VLOOKUP($A518, 'Medical Examinations'!$A:$D, 4, FALSE)</f>
        <v>No</v>
      </c>
      <c r="F518" s="22" t="str">
        <f>VLOOKUP($A518, 'Medical Examinations'!$A:$J, 5, FALSE)</f>
        <v>No</v>
      </c>
      <c r="G518" s="22" t="str">
        <f>VLOOKUP($A518, 'Medical Examinations'!$A:$I, 6, FALSE)</f>
        <v>Yes</v>
      </c>
      <c r="H518" s="22">
        <f>VLOOKUP($A518,'Medical Examinations'!$A:$L,10, FALSE)</f>
        <v>1</v>
      </c>
      <c r="I518" s="22" t="str">
        <f>VLOOKUP($A518, 'Medical Examinations'!$A:$J, 9, FALSE)</f>
        <v>No</v>
      </c>
      <c r="J518" s="22" t="str">
        <f>VLOOKUP($A518, 'Medical Examinations'!$A:$P, 11, FALSE)</f>
        <v>OBESITY</v>
      </c>
      <c r="K518" s="34">
        <v>31606.0</v>
      </c>
      <c r="L518" s="35">
        <f>VLOOKUP($A518, 'Hospitalisation Details'!$A:$H, 7, FALSE)</f>
        <v>19144.58</v>
      </c>
      <c r="M518" s="22" t="str">
        <f>VLOOKUP($A518, 'Hospitalisation Details'!$A:$L, 12, FALSE)</f>
        <v>tier - 1</v>
      </c>
      <c r="N518" s="22" t="str">
        <f>VLOOKUP($A518, 'Hospitalisation Details'!$A:$M, 13, FALSE)</f>
        <v>tier - 1</v>
      </c>
      <c r="O518" s="22" t="str">
        <f>VLOOKUP($A518, 'Hospitalisation Details'!$A:$N, 14, FALSE)</f>
        <v>R1024</v>
      </c>
      <c r="P518" s="36">
        <f>VLOOKUP($A518, 'Hospitalisation Details'!$A:$O, 15, FALSE)</f>
        <v>43</v>
      </c>
    </row>
    <row r="519" ht="15.75" customHeight="1">
      <c r="A519" s="33" t="s">
        <v>1037</v>
      </c>
      <c r="B519" s="22" t="str">
        <f>VLOOKUP($A519,'Customer Names'!$A:$D,3, FALSE)</f>
        <v>Lockyer</v>
      </c>
      <c r="C519" s="22">
        <f>VLOOKUP($A519,'Medical Examinations'!$A:$D, 2, FALSE)</f>
        <v>27.94</v>
      </c>
      <c r="D519" s="22">
        <f>VLOOKUP($A519, 'Medical Examinations'!$A:$D,3, FALSE)</f>
        <v>4.48</v>
      </c>
      <c r="E519" s="22" t="str">
        <f>VLOOKUP($A519, 'Medical Examinations'!$A:$D, 4, FALSE)</f>
        <v>No</v>
      </c>
      <c r="F519" s="22" t="str">
        <f>VLOOKUP($A519, 'Medical Examinations'!$A:$J, 5, FALSE)</f>
        <v>No</v>
      </c>
      <c r="G519" s="22" t="str">
        <f>VLOOKUP($A519, 'Medical Examinations'!$A:$I, 6, FALSE)</f>
        <v>Yes</v>
      </c>
      <c r="H519" s="22">
        <f>VLOOKUP($A519,'Medical Examinations'!$A:$L,10, FALSE)</f>
        <v>1</v>
      </c>
      <c r="I519" s="22" t="str">
        <f>VLOOKUP($A519, 'Medical Examinations'!$A:$J, 9, FALSE)</f>
        <v>Yes</v>
      </c>
      <c r="J519" s="22" t="str">
        <f>VLOOKUP($A519, 'Medical Examinations'!$A:$P, 11, FALSE)</f>
        <v>OVERWEIGHT</v>
      </c>
      <c r="K519" s="34">
        <v>28383.0</v>
      </c>
      <c r="L519" s="35">
        <f>VLOOKUP($A519, 'Hospitalisation Details'!$A:$H, 7, FALSE)</f>
        <v>19107.78</v>
      </c>
      <c r="M519" s="22" t="str">
        <f>VLOOKUP($A519, 'Hospitalisation Details'!$A:$L, 12, FALSE)</f>
        <v>tier - 1</v>
      </c>
      <c r="N519" s="22" t="str">
        <f>VLOOKUP($A519, 'Hospitalisation Details'!$A:$M, 13, FALSE)</f>
        <v>tier - 2</v>
      </c>
      <c r="O519" s="22" t="str">
        <f>VLOOKUP($A519, 'Hospitalisation Details'!$A:$N, 14, FALSE)</f>
        <v>R1013</v>
      </c>
      <c r="P519" s="36">
        <f>VLOOKUP($A519, 'Hospitalisation Details'!$A:$O, 15, FALSE)</f>
        <v>29</v>
      </c>
    </row>
    <row r="520" ht="15.75" customHeight="1">
      <c r="A520" s="33" t="s">
        <v>1039</v>
      </c>
      <c r="B520" s="22" t="str">
        <f>VLOOKUP($A520,'Customer Names'!$A:$D,3, FALSE)</f>
        <v>Byrnes</v>
      </c>
      <c r="C520" s="22">
        <f>VLOOKUP($A520,'Medical Examinations'!$A:$D, 2, FALSE)</f>
        <v>27.1</v>
      </c>
      <c r="D520" s="22">
        <f>VLOOKUP($A520, 'Medical Examinations'!$A:$D,3, FALSE)</f>
        <v>5.73</v>
      </c>
      <c r="E520" s="22" t="str">
        <f>VLOOKUP($A520, 'Medical Examinations'!$A:$D, 4, FALSE)</f>
        <v>No</v>
      </c>
      <c r="F520" s="22" t="str">
        <f>VLOOKUP($A520, 'Medical Examinations'!$A:$J, 5, FALSE)</f>
        <v>No</v>
      </c>
      <c r="G520" s="22" t="str">
        <f>VLOOKUP($A520, 'Medical Examinations'!$A:$I, 6, FALSE)</f>
        <v>No</v>
      </c>
      <c r="H520" s="22">
        <f>VLOOKUP($A520,'Medical Examinations'!$A:$L,10, FALSE)</f>
        <v>0</v>
      </c>
      <c r="I520" s="22" t="str">
        <f>VLOOKUP($A520, 'Medical Examinations'!$A:$J, 9, FALSE)</f>
        <v>Yes</v>
      </c>
      <c r="J520" s="22" t="str">
        <f>VLOOKUP($A520, 'Medical Examinations'!$A:$P, 11, FALSE)</f>
        <v>OVERWEIGHT</v>
      </c>
      <c r="K520" s="34">
        <v>25802.0</v>
      </c>
      <c r="L520" s="35">
        <f>VLOOKUP($A520, 'Hospitalisation Details'!$A:$H, 7, FALSE)</f>
        <v>19040.88</v>
      </c>
      <c r="M520" s="22" t="str">
        <f>VLOOKUP($A520, 'Hospitalisation Details'!$A:$L, 12, FALSE)</f>
        <v>tier - 1</v>
      </c>
      <c r="N520" s="22" t="str">
        <f>VLOOKUP($A520, 'Hospitalisation Details'!$A:$M, 13, FALSE)</f>
        <v>tier - 3</v>
      </c>
      <c r="O520" s="22" t="str">
        <f>VLOOKUP($A520, 'Hospitalisation Details'!$A:$N, 14, FALSE)</f>
        <v>R1011</v>
      </c>
      <c r="P520" s="36">
        <f>VLOOKUP($A520, 'Hospitalisation Details'!$A:$O, 15, FALSE)</f>
        <v>34</v>
      </c>
    </row>
    <row r="521" ht="15.75" customHeight="1">
      <c r="A521" s="33" t="s">
        <v>1041</v>
      </c>
      <c r="B521" s="22" t="str">
        <f>VLOOKUP($A521,'Customer Names'!$A:$D,3, FALSE)</f>
        <v>Norris</v>
      </c>
      <c r="C521" s="22">
        <f>VLOOKUP($A521,'Medical Examinations'!$A:$D, 2, FALSE)</f>
        <v>18.3</v>
      </c>
      <c r="D521" s="22">
        <f>VLOOKUP($A521, 'Medical Examinations'!$A:$D,3, FALSE)</f>
        <v>5.46</v>
      </c>
      <c r="E521" s="22" t="str">
        <f>VLOOKUP($A521, 'Medical Examinations'!$A:$D, 4, FALSE)</f>
        <v>Yes</v>
      </c>
      <c r="F521" s="22" t="str">
        <f>VLOOKUP($A521, 'Medical Examinations'!$A:$J, 5, FALSE)</f>
        <v>No</v>
      </c>
      <c r="G521" s="22" t="str">
        <f>VLOOKUP($A521, 'Medical Examinations'!$A:$I, 6, FALSE)</f>
        <v>Yes</v>
      </c>
      <c r="H521" s="22">
        <f>VLOOKUP($A521,'Medical Examinations'!$A:$L,10, FALSE)</f>
        <v>1</v>
      </c>
      <c r="I521" s="22" t="str">
        <f>VLOOKUP($A521, 'Medical Examinations'!$A:$J, 9, FALSE)</f>
        <v>Yes</v>
      </c>
      <c r="J521" s="22" t="str">
        <f>VLOOKUP($A521, 'Medical Examinations'!$A:$P, 11, FALSE)</f>
        <v>UNDERWEIGHT</v>
      </c>
      <c r="K521" s="34">
        <v>33417.0</v>
      </c>
      <c r="L521" s="35">
        <f>VLOOKUP($A521, 'Hospitalisation Details'!$A:$H, 7, FALSE)</f>
        <v>19023.26</v>
      </c>
      <c r="M521" s="22" t="str">
        <f>VLOOKUP($A521, 'Hospitalisation Details'!$A:$L, 12, FALSE)</f>
        <v>tier - 1</v>
      </c>
      <c r="N521" s="22" t="str">
        <f>VLOOKUP($A521, 'Hospitalisation Details'!$A:$M, 13, FALSE)</f>
        <v>tier - 3</v>
      </c>
      <c r="O521" s="22" t="str">
        <f>VLOOKUP($A521, 'Hospitalisation Details'!$A:$N, 14, FALSE)</f>
        <v>R1011</v>
      </c>
      <c r="P521" s="36">
        <f>VLOOKUP($A521, 'Hospitalisation Details'!$A:$O, 15, FALSE)</f>
        <v>39</v>
      </c>
    </row>
    <row r="522" ht="15.75" customHeight="1">
      <c r="A522" s="33" t="s">
        <v>1043</v>
      </c>
      <c r="B522" s="22" t="str">
        <f>VLOOKUP($A522,'Customer Names'!$A:$D,3, FALSE)</f>
        <v>Darda</v>
      </c>
      <c r="C522" s="22">
        <f>VLOOKUP($A522,'Medical Examinations'!$A:$D, 2, FALSE)</f>
        <v>25.3</v>
      </c>
      <c r="D522" s="22">
        <f>VLOOKUP($A522, 'Medical Examinations'!$A:$D,3, FALSE)</f>
        <v>5.02</v>
      </c>
      <c r="E522" s="22" t="str">
        <f>VLOOKUP($A522, 'Medical Examinations'!$A:$D, 4, FALSE)</f>
        <v>Yes</v>
      </c>
      <c r="F522" s="22" t="str">
        <f>VLOOKUP($A522, 'Medical Examinations'!$A:$J, 5, FALSE)</f>
        <v>No</v>
      </c>
      <c r="G522" s="22" t="str">
        <f>VLOOKUP($A522, 'Medical Examinations'!$A:$I, 6, FALSE)</f>
        <v>No</v>
      </c>
      <c r="H522" s="22">
        <f>VLOOKUP($A522,'Medical Examinations'!$A:$L,10, FALSE)</f>
        <v>1</v>
      </c>
      <c r="I522" s="22" t="str">
        <f>VLOOKUP($A522, 'Medical Examinations'!$A:$J, 9, FALSE)</f>
        <v>Yes</v>
      </c>
      <c r="J522" s="22" t="str">
        <f>VLOOKUP($A522, 'Medical Examinations'!$A:$P, 11, FALSE)</f>
        <v>OVERWEIGHT</v>
      </c>
      <c r="K522" s="34">
        <v>30641.0</v>
      </c>
      <c r="L522" s="35">
        <f>VLOOKUP($A522, 'Hospitalisation Details'!$A:$H, 7, FALSE)</f>
        <v>18972.5</v>
      </c>
      <c r="M522" s="22" t="str">
        <f>VLOOKUP($A522, 'Hospitalisation Details'!$A:$L, 12, FALSE)</f>
        <v>tier - 1</v>
      </c>
      <c r="N522" s="22" t="str">
        <f>VLOOKUP($A522, 'Hospitalisation Details'!$A:$M, 13, FALSE)</f>
        <v>tier - 3</v>
      </c>
      <c r="O522" s="22" t="str">
        <f>VLOOKUP($A522, 'Hospitalisation Details'!$A:$N, 14, FALSE)</f>
        <v>R1013</v>
      </c>
      <c r="P522" s="36">
        <f>VLOOKUP($A522, 'Hospitalisation Details'!$A:$O, 15, FALSE)</f>
        <v>34</v>
      </c>
    </row>
    <row r="523" ht="15.75" customHeight="1">
      <c r="A523" s="33" t="s">
        <v>1045</v>
      </c>
      <c r="B523" s="22" t="str">
        <f>VLOOKUP($A523,'Customer Names'!$A:$D,3, FALSE)</f>
        <v>Otstot</v>
      </c>
      <c r="C523" s="22">
        <f>VLOOKUP($A523,'Medical Examinations'!$A:$D, 2, FALSE)</f>
        <v>38.83</v>
      </c>
      <c r="D523" s="22">
        <f>VLOOKUP($A523, 'Medical Examinations'!$A:$D,3, FALSE)</f>
        <v>6.36</v>
      </c>
      <c r="E523" s="22" t="str">
        <f>VLOOKUP($A523, 'Medical Examinations'!$A:$D, 4, FALSE)</f>
        <v>No</v>
      </c>
      <c r="F523" s="22" t="str">
        <f>VLOOKUP($A523, 'Medical Examinations'!$A:$J, 5, FALSE)</f>
        <v>No</v>
      </c>
      <c r="G523" s="22" t="str">
        <f>VLOOKUP($A523, 'Medical Examinations'!$A:$I, 6, FALSE)</f>
        <v>No</v>
      </c>
      <c r="H523" s="22">
        <f>VLOOKUP($A523,'Medical Examinations'!$A:$L,10, FALSE)</f>
        <v>1</v>
      </c>
      <c r="I523" s="22" t="str">
        <f>VLOOKUP($A523, 'Medical Examinations'!$A:$J, 9, FALSE)</f>
        <v>No</v>
      </c>
      <c r="J523" s="22" t="str">
        <f>VLOOKUP($A523, 'Medical Examinations'!$A:$P, 11, FALSE)</f>
        <v>OBESITY</v>
      </c>
      <c r="K523" s="34">
        <v>30539.0</v>
      </c>
      <c r="L523" s="35">
        <f>VLOOKUP($A523, 'Hospitalisation Details'!$A:$H, 7, FALSE)</f>
        <v>18963.17</v>
      </c>
      <c r="M523" s="22" t="str">
        <f>VLOOKUP($A523, 'Hospitalisation Details'!$A:$L, 12, FALSE)</f>
        <v>tier - 1</v>
      </c>
      <c r="N523" s="22" t="str">
        <f>VLOOKUP($A523, 'Hospitalisation Details'!$A:$M, 13, FALSE)</f>
        <v>tier - 1</v>
      </c>
      <c r="O523" s="22" t="str">
        <f>VLOOKUP($A523, 'Hospitalisation Details'!$A:$N, 14, FALSE)</f>
        <v>R1013</v>
      </c>
      <c r="P523" s="36">
        <f>VLOOKUP($A523, 'Hospitalisation Details'!$A:$O, 15, FALSE)</f>
        <v>30</v>
      </c>
    </row>
    <row r="524" ht="15.75" customHeight="1">
      <c r="A524" s="33" t="s">
        <v>1047</v>
      </c>
      <c r="B524" s="22" t="str">
        <f>VLOOKUP($A524,'Customer Names'!$A:$D,3, FALSE)</f>
        <v>Bowley</v>
      </c>
      <c r="C524" s="22">
        <f>VLOOKUP($A524,'Medical Examinations'!$A:$D, 2, FALSE)</f>
        <v>27.6</v>
      </c>
      <c r="D524" s="22">
        <f>VLOOKUP($A524, 'Medical Examinations'!$A:$D,3, FALSE)</f>
        <v>5.36</v>
      </c>
      <c r="E524" s="22" t="str">
        <f>VLOOKUP($A524, 'Medical Examinations'!$A:$D, 4, FALSE)</f>
        <v>No</v>
      </c>
      <c r="F524" s="22" t="str">
        <f>VLOOKUP($A524, 'Medical Examinations'!$A:$J, 5, FALSE)</f>
        <v>No</v>
      </c>
      <c r="G524" s="22" t="str">
        <f>VLOOKUP($A524, 'Medical Examinations'!$A:$I, 6, FALSE)</f>
        <v>No</v>
      </c>
      <c r="H524" s="22">
        <f>VLOOKUP($A524,'Medical Examinations'!$A:$L,10, FALSE)</f>
        <v>1</v>
      </c>
      <c r="I524" s="22" t="str">
        <f>VLOOKUP($A524, 'Medical Examinations'!$A:$J, 9, FALSE)</f>
        <v>No</v>
      </c>
      <c r="J524" s="22" t="str">
        <f>VLOOKUP($A524, 'Medical Examinations'!$A:$P, 11, FALSE)</f>
        <v>OVERWEIGHT</v>
      </c>
      <c r="K524" s="34">
        <v>30208.0</v>
      </c>
      <c r="L524" s="35">
        <f>VLOOKUP($A524, 'Hospitalisation Details'!$A:$H, 7, FALSE)</f>
        <v>18955.22</v>
      </c>
      <c r="M524" s="22" t="str">
        <f>VLOOKUP($A524, 'Hospitalisation Details'!$A:$L, 12, FALSE)</f>
        <v>tier - 1</v>
      </c>
      <c r="N524" s="22" t="str">
        <f>VLOOKUP($A524, 'Hospitalisation Details'!$A:$M, 13, FALSE)</f>
        <v>tier - 3</v>
      </c>
      <c r="O524" s="22" t="str">
        <f>VLOOKUP($A524, 'Hospitalisation Details'!$A:$N, 14, FALSE)</f>
        <v>R1011</v>
      </c>
      <c r="P524" s="36">
        <f>VLOOKUP($A524, 'Hospitalisation Details'!$A:$O, 15, FALSE)</f>
        <v>24</v>
      </c>
    </row>
    <row r="525" ht="15.75" customHeight="1">
      <c r="A525" s="33" t="s">
        <v>1049</v>
      </c>
      <c r="B525" s="22" t="str">
        <f>VLOOKUP($A525,'Customer Names'!$A:$D,3, FALSE)</f>
        <v>Rogers</v>
      </c>
      <c r="C525" s="22">
        <f>VLOOKUP($A525,'Medical Examinations'!$A:$D, 2, FALSE)</f>
        <v>46.4</v>
      </c>
      <c r="D525" s="22">
        <f>VLOOKUP($A525, 'Medical Examinations'!$A:$D,3, FALSE)</f>
        <v>8.37</v>
      </c>
      <c r="E525" s="22" t="str">
        <f>VLOOKUP($A525, 'Medical Examinations'!$A:$D, 4, FALSE)</f>
        <v>Yes</v>
      </c>
      <c r="F525" s="22" t="str">
        <f>VLOOKUP($A525, 'Medical Examinations'!$A:$J, 5, FALSE)</f>
        <v>No</v>
      </c>
      <c r="G525" s="22" t="str">
        <f>VLOOKUP($A525, 'Medical Examinations'!$A:$I, 6, FALSE)</f>
        <v>Yes</v>
      </c>
      <c r="H525" s="22">
        <f>VLOOKUP($A525,'Medical Examinations'!$A:$L,10, FALSE)</f>
        <v>1</v>
      </c>
      <c r="I525" s="22" t="str">
        <f>VLOOKUP($A525, 'Medical Examinations'!$A:$J, 9, FALSE)</f>
        <v>No</v>
      </c>
      <c r="J525" s="22" t="str">
        <f>VLOOKUP($A525, 'Medical Examinations'!$A:$P, 11, FALSE)</f>
        <v>OBESITY</v>
      </c>
      <c r="K525" s="34">
        <v>25076.0</v>
      </c>
      <c r="L525" s="35">
        <f>VLOOKUP($A525, 'Hospitalisation Details'!$A:$H, 7, FALSE)</f>
        <v>18954.56</v>
      </c>
      <c r="M525" s="22" t="str">
        <f>VLOOKUP($A525, 'Hospitalisation Details'!$A:$L, 12, FALSE)</f>
        <v>tier - 1</v>
      </c>
      <c r="N525" s="22" t="str">
        <f>VLOOKUP($A525, 'Hospitalisation Details'!$A:$M, 13, FALSE)</f>
        <v>tier - 1</v>
      </c>
      <c r="O525" s="22" t="str">
        <f>VLOOKUP($A525, 'Hospitalisation Details'!$A:$N, 14, FALSE)</f>
        <v>R1026</v>
      </c>
      <c r="P525" s="36">
        <f>VLOOKUP($A525, 'Hospitalisation Details'!$A:$O, 15, FALSE)</f>
        <v>59</v>
      </c>
    </row>
    <row r="526" ht="15.75" customHeight="1">
      <c r="A526" s="33" t="s">
        <v>1051</v>
      </c>
      <c r="B526" s="22" t="str">
        <f>VLOOKUP($A526,'Customer Names'!$A:$D,3, FALSE)</f>
        <v>Mclaughlin</v>
      </c>
      <c r="C526" s="22">
        <f>VLOOKUP($A526,'Medical Examinations'!$A:$D, 2, FALSE)</f>
        <v>51.92</v>
      </c>
      <c r="D526" s="22">
        <f>VLOOKUP($A526, 'Medical Examinations'!$A:$D,3, FALSE)</f>
        <v>5.18</v>
      </c>
      <c r="E526" s="22" t="str">
        <f>VLOOKUP($A526, 'Medical Examinations'!$A:$D, 4, FALSE)</f>
        <v>Yes</v>
      </c>
      <c r="F526" s="22" t="str">
        <f>VLOOKUP($A526, 'Medical Examinations'!$A:$J, 5, FALSE)</f>
        <v>No</v>
      </c>
      <c r="G526" s="22" t="str">
        <f>VLOOKUP($A526, 'Medical Examinations'!$A:$I, 6, FALSE)</f>
        <v>Yes</v>
      </c>
      <c r="H526" s="22">
        <f>VLOOKUP($A526,'Medical Examinations'!$A:$L,10, FALSE)</f>
        <v>1</v>
      </c>
      <c r="I526" s="22" t="str">
        <f>VLOOKUP($A526, 'Medical Examinations'!$A:$J, 9, FALSE)</f>
        <v>No</v>
      </c>
      <c r="J526" s="22" t="str">
        <f>VLOOKUP($A526, 'Medical Examinations'!$A:$P, 11, FALSE)</f>
        <v>OBESITY</v>
      </c>
      <c r="K526" s="34">
        <v>27594.0</v>
      </c>
      <c r="L526" s="35">
        <f>VLOOKUP($A526, 'Hospitalisation Details'!$A:$H, 7, FALSE)</f>
        <v>18932.81</v>
      </c>
      <c r="M526" s="22" t="str">
        <f>VLOOKUP($A526, 'Hospitalisation Details'!$A:$L, 12, FALSE)</f>
        <v>tier - 1</v>
      </c>
      <c r="N526" s="22" t="str">
        <f>VLOOKUP($A526, 'Hospitalisation Details'!$A:$M, 13, FALSE)</f>
        <v>tier - 3</v>
      </c>
      <c r="O526" s="22" t="str">
        <f>VLOOKUP($A526, 'Hospitalisation Details'!$A:$N, 14, FALSE)</f>
        <v>R1012</v>
      </c>
      <c r="P526" s="36">
        <f>VLOOKUP($A526, 'Hospitalisation Details'!$A:$O, 15, FALSE)</f>
        <v>53</v>
      </c>
    </row>
    <row r="527" ht="15.75" customHeight="1">
      <c r="A527" s="33" t="s">
        <v>1053</v>
      </c>
      <c r="B527" s="22" t="str">
        <f>VLOOKUP($A527,'Customer Names'!$A:$D,3, FALSE)</f>
        <v>Ziegler</v>
      </c>
      <c r="C527" s="22">
        <f>VLOOKUP($A527,'Medical Examinations'!$A:$D, 2, FALSE)</f>
        <v>32.395</v>
      </c>
      <c r="D527" s="22">
        <f>VLOOKUP($A527, 'Medical Examinations'!$A:$D,3, FALSE)</f>
        <v>5.68</v>
      </c>
      <c r="E527" s="22" t="str">
        <f>VLOOKUP($A527, 'Medical Examinations'!$A:$D, 4, FALSE)</f>
        <v>Yes</v>
      </c>
      <c r="F527" s="22" t="str">
        <f>VLOOKUP($A527, 'Medical Examinations'!$A:$J, 5, FALSE)</f>
        <v>No</v>
      </c>
      <c r="G527" s="22" t="str">
        <f>VLOOKUP($A527, 'Medical Examinations'!$A:$I, 6, FALSE)</f>
        <v>No</v>
      </c>
      <c r="H527" s="22">
        <f>VLOOKUP($A527,'Medical Examinations'!$A:$L,10, FALSE)</f>
        <v>1</v>
      </c>
      <c r="I527" s="22" t="str">
        <f>VLOOKUP($A527, 'Medical Examinations'!$A:$J, 9, FALSE)</f>
        <v>No</v>
      </c>
      <c r="J527" s="22" t="str">
        <f>VLOOKUP($A527, 'Medical Examinations'!$A:$P, 11, FALSE)</f>
        <v>OBESITY</v>
      </c>
      <c r="K527" s="34">
        <v>30179.0</v>
      </c>
      <c r="L527" s="35">
        <f>VLOOKUP($A527, 'Hospitalisation Details'!$A:$H, 7, FALSE)</f>
        <v>18903.49</v>
      </c>
      <c r="M527" s="22" t="str">
        <f>VLOOKUP($A527, 'Hospitalisation Details'!$A:$L, 12, FALSE)</f>
        <v>tier - 1</v>
      </c>
      <c r="N527" s="22" t="str">
        <f>VLOOKUP($A527, 'Hospitalisation Details'!$A:$M, 13, FALSE)</f>
        <v>tier - 2</v>
      </c>
      <c r="O527" s="22" t="str">
        <f>VLOOKUP($A527, 'Hospitalisation Details'!$A:$N, 14, FALSE)</f>
        <v>R1024</v>
      </c>
      <c r="P527" s="36">
        <f>VLOOKUP($A527, 'Hospitalisation Details'!$A:$O, 15, FALSE)</f>
        <v>27</v>
      </c>
    </row>
    <row r="528" ht="15.75" customHeight="1">
      <c r="A528" s="33" t="s">
        <v>1055</v>
      </c>
      <c r="B528" s="22" t="str">
        <f>VLOOKUP($A528,'Customer Names'!$A:$D,3, FALSE)</f>
        <v>Hughey</v>
      </c>
      <c r="C528" s="22">
        <f>VLOOKUP($A528,'Medical Examinations'!$A:$D, 2, FALSE)</f>
        <v>46.19</v>
      </c>
      <c r="D528" s="22">
        <f>VLOOKUP($A528, 'Medical Examinations'!$A:$D,3, FALSE)</f>
        <v>7.31</v>
      </c>
      <c r="E528" s="22" t="str">
        <f>VLOOKUP($A528, 'Medical Examinations'!$A:$D, 4, FALSE)</f>
        <v>Yes</v>
      </c>
      <c r="F528" s="22" t="str">
        <f>VLOOKUP($A528, 'Medical Examinations'!$A:$J, 5, FALSE)</f>
        <v>No</v>
      </c>
      <c r="G528" s="22" t="str">
        <f>VLOOKUP($A528, 'Medical Examinations'!$A:$I, 6, FALSE)</f>
        <v>Yes</v>
      </c>
      <c r="H528" s="22">
        <f>VLOOKUP($A528,'Medical Examinations'!$A:$L,10, FALSE)</f>
        <v>1</v>
      </c>
      <c r="I528" s="22" t="str">
        <f>VLOOKUP($A528, 'Medical Examinations'!$A:$J, 9, FALSE)</f>
        <v>No</v>
      </c>
      <c r="J528" s="22" t="str">
        <f>VLOOKUP($A528, 'Medical Examinations'!$A:$P, 11, FALSE)</f>
        <v>OBESITY</v>
      </c>
      <c r="K528" s="34">
        <v>29494.0</v>
      </c>
      <c r="L528" s="35">
        <f>VLOOKUP($A528, 'Hospitalisation Details'!$A:$H, 7, FALSE)</f>
        <v>18883.33</v>
      </c>
      <c r="M528" s="22" t="str">
        <f>VLOOKUP($A528, 'Hospitalisation Details'!$A:$L, 12, FALSE)</f>
        <v>tier - 1</v>
      </c>
      <c r="N528" s="22" t="str">
        <f>VLOOKUP($A528, 'Hospitalisation Details'!$A:$M, 13, FALSE)</f>
        <v>tier - 1</v>
      </c>
      <c r="O528" s="22" t="str">
        <f>VLOOKUP($A528, 'Hospitalisation Details'!$A:$N, 14, FALSE)</f>
        <v>R1026</v>
      </c>
      <c r="P528" s="36">
        <f>VLOOKUP($A528, 'Hospitalisation Details'!$A:$O, 15, FALSE)</f>
        <v>59</v>
      </c>
    </row>
    <row r="529" ht="15.75" customHeight="1">
      <c r="A529" s="33" t="s">
        <v>1057</v>
      </c>
      <c r="B529" s="22" t="str">
        <f>VLOOKUP($A529,'Customer Names'!$A:$D,3, FALSE)</f>
        <v>Knast</v>
      </c>
      <c r="C529" s="22">
        <f>VLOOKUP($A529,'Medical Examinations'!$A:$D, 2, FALSE)</f>
        <v>27.93</v>
      </c>
      <c r="D529" s="22">
        <f>VLOOKUP($A529, 'Medical Examinations'!$A:$D,3, FALSE)</f>
        <v>4.67</v>
      </c>
      <c r="E529" s="22" t="str">
        <f>VLOOKUP($A529, 'Medical Examinations'!$A:$D, 4, FALSE)</f>
        <v>No</v>
      </c>
      <c r="F529" s="22" t="str">
        <f>VLOOKUP($A529, 'Medical Examinations'!$A:$J, 5, FALSE)</f>
        <v>No</v>
      </c>
      <c r="G529" s="22" t="str">
        <f>VLOOKUP($A529, 'Medical Examinations'!$A:$I, 6, FALSE)</f>
        <v>Yes</v>
      </c>
      <c r="H529" s="22">
        <f>VLOOKUP($A529,'Medical Examinations'!$A:$L,10, FALSE)</f>
        <v>1</v>
      </c>
      <c r="I529" s="22" t="str">
        <f>VLOOKUP($A529, 'Medical Examinations'!$A:$J, 9, FALSE)</f>
        <v>No</v>
      </c>
      <c r="J529" s="22" t="str">
        <f>VLOOKUP($A529, 'Medical Examinations'!$A:$P, 11, FALSE)</f>
        <v>OVERWEIGHT</v>
      </c>
      <c r="K529" s="34">
        <v>29501.0</v>
      </c>
      <c r="L529" s="35">
        <f>VLOOKUP($A529, 'Hospitalisation Details'!$A:$H, 7, FALSE)</f>
        <v>18838.7</v>
      </c>
      <c r="M529" s="22" t="str">
        <f>VLOOKUP($A529, 'Hospitalisation Details'!$A:$L, 12, FALSE)</f>
        <v>tier - 1</v>
      </c>
      <c r="N529" s="22" t="str">
        <f>VLOOKUP($A529, 'Hospitalisation Details'!$A:$M, 13, FALSE)</f>
        <v>tier - 3</v>
      </c>
      <c r="O529" s="22" t="str">
        <f>VLOOKUP($A529, 'Hospitalisation Details'!$A:$N, 14, FALSE)</f>
        <v>R1012</v>
      </c>
      <c r="P529" s="36">
        <f>VLOOKUP($A529, 'Hospitalisation Details'!$A:$O, 15, FALSE)</f>
        <v>19</v>
      </c>
    </row>
    <row r="530" ht="15.75" customHeight="1">
      <c r="A530" s="33" t="s">
        <v>1059</v>
      </c>
      <c r="B530" s="22" t="str">
        <f>VLOOKUP($A530,'Customer Names'!$A:$D,3, FALSE)</f>
        <v>Stob</v>
      </c>
      <c r="C530" s="22">
        <f>VLOOKUP($A530,'Medical Examinations'!$A:$D, 2, FALSE)</f>
        <v>45.62</v>
      </c>
      <c r="D530" s="22">
        <f>VLOOKUP($A530, 'Medical Examinations'!$A:$D,3, FALSE)</f>
        <v>6.87</v>
      </c>
      <c r="E530" s="22" t="str">
        <f>VLOOKUP($A530, 'Medical Examinations'!$A:$D, 4, FALSE)</f>
        <v>No</v>
      </c>
      <c r="F530" s="22" t="str">
        <f>VLOOKUP($A530, 'Medical Examinations'!$A:$J, 5, FALSE)</f>
        <v>No</v>
      </c>
      <c r="G530" s="22" t="str">
        <f>VLOOKUP($A530, 'Medical Examinations'!$A:$I, 6, FALSE)</f>
        <v>No</v>
      </c>
      <c r="H530" s="22">
        <f>VLOOKUP($A530,'Medical Examinations'!$A:$L,10, FALSE)</f>
        <v>0</v>
      </c>
      <c r="I530" s="22" t="str">
        <f>VLOOKUP($A530, 'Medical Examinations'!$A:$J, 9, FALSE)</f>
        <v>No</v>
      </c>
      <c r="J530" s="22" t="str">
        <f>VLOOKUP($A530, 'Medical Examinations'!$A:$P, 11, FALSE)</f>
        <v>OBESITY</v>
      </c>
      <c r="K530" s="34">
        <v>29394.0</v>
      </c>
      <c r="L530" s="35">
        <f>VLOOKUP($A530, 'Hospitalisation Details'!$A:$H, 7, FALSE)</f>
        <v>18815.53</v>
      </c>
      <c r="M530" s="22" t="str">
        <f>VLOOKUP($A530, 'Hospitalisation Details'!$A:$L, 12, FALSE)</f>
        <v>tier - 1</v>
      </c>
      <c r="N530" s="22" t="str">
        <f>VLOOKUP($A530, 'Hospitalisation Details'!$A:$M, 13, FALSE)</f>
        <v>tier - 1</v>
      </c>
      <c r="O530" s="22" t="str">
        <f>VLOOKUP($A530, 'Hospitalisation Details'!$A:$N, 14, FALSE)</f>
        <v>R1023</v>
      </c>
      <c r="P530" s="36">
        <f>VLOOKUP($A530, 'Hospitalisation Details'!$A:$O, 15, FALSE)</f>
        <v>60</v>
      </c>
    </row>
    <row r="531" ht="15.75" customHeight="1">
      <c r="A531" s="33" t="s">
        <v>1061</v>
      </c>
      <c r="B531" s="22" t="str">
        <f>VLOOKUP($A531,'Customer Names'!$A:$D,3, FALSE)</f>
        <v>Jensen</v>
      </c>
      <c r="C531" s="22">
        <f>VLOOKUP($A531,'Medical Examinations'!$A:$D, 2, FALSE)</f>
        <v>35.31</v>
      </c>
      <c r="D531" s="22">
        <f>VLOOKUP($A531, 'Medical Examinations'!$A:$D,3, FALSE)</f>
        <v>5.87</v>
      </c>
      <c r="E531" s="22" t="str">
        <f>VLOOKUP($A531, 'Medical Examinations'!$A:$D, 4, FALSE)</f>
        <v>No</v>
      </c>
      <c r="F531" s="22" t="str">
        <f>VLOOKUP($A531, 'Medical Examinations'!$A:$J, 5, FALSE)</f>
        <v>No</v>
      </c>
      <c r="G531" s="22" t="str">
        <f>VLOOKUP($A531, 'Medical Examinations'!$A:$I, 6, FALSE)</f>
        <v>Yes</v>
      </c>
      <c r="H531" s="22">
        <f>VLOOKUP($A531,'Medical Examinations'!$A:$L,10, FALSE)</f>
        <v>1</v>
      </c>
      <c r="I531" s="22" t="str">
        <f>VLOOKUP($A531, 'Medical Examinations'!$A:$J, 9, FALSE)</f>
        <v>No</v>
      </c>
      <c r="J531" s="22" t="str">
        <f>VLOOKUP($A531, 'Medical Examinations'!$A:$P, 11, FALSE)</f>
        <v>OBESITY</v>
      </c>
      <c r="K531" s="34">
        <v>37516.0</v>
      </c>
      <c r="L531" s="35">
        <f>VLOOKUP($A531, 'Hospitalisation Details'!$A:$H, 7, FALSE)</f>
        <v>18806.15</v>
      </c>
      <c r="M531" s="22" t="str">
        <f>VLOOKUP($A531, 'Hospitalisation Details'!$A:$L, 12, FALSE)</f>
        <v>tier - 1</v>
      </c>
      <c r="N531" s="22" t="str">
        <f>VLOOKUP($A531, 'Hospitalisation Details'!$A:$M, 13, FALSE)</f>
        <v>tier - 2</v>
      </c>
      <c r="O531" s="22" t="str">
        <f>VLOOKUP($A531, 'Hospitalisation Details'!$A:$N, 14, FALSE)</f>
        <v>R1013</v>
      </c>
      <c r="P531" s="36">
        <f>VLOOKUP($A531, 'Hospitalisation Details'!$A:$O, 15, FALSE)</f>
        <v>43</v>
      </c>
    </row>
    <row r="532" ht="15.75" customHeight="1">
      <c r="A532" s="33" t="s">
        <v>1063</v>
      </c>
      <c r="B532" s="22" t="str">
        <f>VLOOKUP($A532,'Customer Names'!$A:$D,3, FALSE)</f>
        <v>Mutter</v>
      </c>
      <c r="C532" s="22">
        <f>VLOOKUP($A532,'Medical Examinations'!$A:$D, 2, FALSE)</f>
        <v>30.4</v>
      </c>
      <c r="D532" s="22">
        <f>VLOOKUP($A532, 'Medical Examinations'!$A:$D,3, FALSE)</f>
        <v>4.07</v>
      </c>
      <c r="E532" s="22" t="str">
        <f>VLOOKUP($A532, 'Medical Examinations'!$A:$D, 4, FALSE)</f>
        <v>Yes</v>
      </c>
      <c r="F532" s="22" t="str">
        <f>VLOOKUP($A532, 'Medical Examinations'!$A:$J, 5, FALSE)</f>
        <v>No</v>
      </c>
      <c r="G532" s="22" t="str">
        <f>VLOOKUP($A532, 'Medical Examinations'!$A:$I, 6, FALSE)</f>
        <v>No</v>
      </c>
      <c r="H532" s="22">
        <f>VLOOKUP($A532,'Medical Examinations'!$A:$L,10, FALSE)</f>
        <v>1</v>
      </c>
      <c r="I532" s="22" t="str">
        <f>VLOOKUP($A532, 'Medical Examinations'!$A:$J, 9, FALSE)</f>
        <v>No</v>
      </c>
      <c r="J532" s="22" t="str">
        <f>VLOOKUP($A532, 'Medical Examinations'!$A:$P, 11, FALSE)</f>
        <v>OBESITY</v>
      </c>
      <c r="K532" s="34">
        <v>29784.0</v>
      </c>
      <c r="L532" s="35">
        <f>VLOOKUP($A532, 'Hospitalisation Details'!$A:$H, 7, FALSE)</f>
        <v>18804.75</v>
      </c>
      <c r="M532" s="22" t="str">
        <f>VLOOKUP($A532, 'Hospitalisation Details'!$A:$L, 12, FALSE)</f>
        <v>tier - 1</v>
      </c>
      <c r="N532" s="22" t="str">
        <f>VLOOKUP($A532, 'Hospitalisation Details'!$A:$M, 13, FALSE)</f>
        <v>tier - 1</v>
      </c>
      <c r="O532" s="22" t="str">
        <f>VLOOKUP($A532, 'Hospitalisation Details'!$A:$N, 14, FALSE)</f>
        <v>R1012</v>
      </c>
      <c r="P532" s="36">
        <f>VLOOKUP($A532, 'Hospitalisation Details'!$A:$O, 15, FALSE)</f>
        <v>27</v>
      </c>
    </row>
    <row r="533" ht="15.75" customHeight="1">
      <c r="A533" s="33" t="s">
        <v>1065</v>
      </c>
      <c r="B533" s="22" t="str">
        <f>VLOOKUP($A533,'Customer Names'!$A:$D,3, FALSE)</f>
        <v>Ahern</v>
      </c>
      <c r="C533" s="22">
        <f>VLOOKUP($A533,'Medical Examinations'!$A:$D, 2, FALSE)</f>
        <v>20.13</v>
      </c>
      <c r="D533" s="22">
        <f>VLOOKUP($A533, 'Medical Examinations'!$A:$D,3, FALSE)</f>
        <v>6.47</v>
      </c>
      <c r="E533" s="22" t="str">
        <f>VLOOKUP($A533, 'Medical Examinations'!$A:$D, 4, FALSE)</f>
        <v>No</v>
      </c>
      <c r="F533" s="22" t="str">
        <f>VLOOKUP($A533, 'Medical Examinations'!$A:$J, 5, FALSE)</f>
        <v>No</v>
      </c>
      <c r="G533" s="22" t="str">
        <f>VLOOKUP($A533, 'Medical Examinations'!$A:$I, 6, FALSE)</f>
        <v>Yes</v>
      </c>
      <c r="H533" s="22">
        <f>VLOOKUP($A533,'Medical Examinations'!$A:$L,10, FALSE)</f>
        <v>1</v>
      </c>
      <c r="I533" s="22" t="str">
        <f>VLOOKUP($A533, 'Medical Examinations'!$A:$J, 9, FALSE)</f>
        <v>Yes</v>
      </c>
      <c r="J533" s="22" t="str">
        <f>VLOOKUP($A533, 'Medical Examinations'!$A:$P, 11, FALSE)</f>
        <v>NORMAL WEIGHT</v>
      </c>
      <c r="K533" s="34">
        <v>28739.0</v>
      </c>
      <c r="L533" s="35">
        <f>VLOOKUP($A533, 'Hospitalisation Details'!$A:$H, 7, FALSE)</f>
        <v>18767.74</v>
      </c>
      <c r="M533" s="22" t="str">
        <f>VLOOKUP($A533, 'Hospitalisation Details'!$A:$L, 12, FALSE)</f>
        <v>tier - 1</v>
      </c>
      <c r="N533" s="22" t="str">
        <f>VLOOKUP($A533, 'Hospitalisation Details'!$A:$M, 13, FALSE)</f>
        <v>tier - 1</v>
      </c>
      <c r="O533" s="22" t="str">
        <f>VLOOKUP($A533, 'Hospitalisation Details'!$A:$N, 14, FALSE)</f>
        <v>R1013</v>
      </c>
      <c r="P533" s="36">
        <f>VLOOKUP($A533, 'Hospitalisation Details'!$A:$O, 15, FALSE)</f>
        <v>43</v>
      </c>
    </row>
    <row r="534" ht="15.75" customHeight="1">
      <c r="A534" s="33" t="s">
        <v>1067</v>
      </c>
      <c r="B534" s="22" t="str">
        <f>VLOOKUP($A534,'Customer Names'!$A:$D,3, FALSE)</f>
        <v>Chviruk</v>
      </c>
      <c r="C534" s="22">
        <f>VLOOKUP($A534,'Medical Examinations'!$A:$D, 2, FALSE)</f>
        <v>23.655</v>
      </c>
      <c r="D534" s="22">
        <f>VLOOKUP($A534, 'Medical Examinations'!$A:$D,3, FALSE)</f>
        <v>5.14</v>
      </c>
      <c r="E534" s="22" t="str">
        <f>VLOOKUP($A534, 'Medical Examinations'!$A:$D, 4, FALSE)</f>
        <v>No</v>
      </c>
      <c r="F534" s="22" t="str">
        <f>VLOOKUP($A534, 'Medical Examinations'!$A:$J, 5, FALSE)</f>
        <v>No</v>
      </c>
      <c r="G534" s="22" t="str">
        <f>VLOOKUP($A534, 'Medical Examinations'!$A:$I, 6, FALSE)</f>
        <v>No</v>
      </c>
      <c r="H534" s="22">
        <f>VLOOKUP($A534,'Medical Examinations'!$A:$L,10, FALSE)</f>
        <v>1</v>
      </c>
      <c r="I534" s="22" t="str">
        <f>VLOOKUP($A534, 'Medical Examinations'!$A:$J, 9, FALSE)</f>
        <v>Yes</v>
      </c>
      <c r="J534" s="22" t="str">
        <f>VLOOKUP($A534, 'Medical Examinations'!$A:$P, 11, FALSE)</f>
        <v>NORMAL WEIGHT</v>
      </c>
      <c r="K534" s="34">
        <v>30862.0</v>
      </c>
      <c r="L534" s="35">
        <f>VLOOKUP($A534, 'Hospitalisation Details'!$A:$H, 7, FALSE)</f>
        <v>18765.88</v>
      </c>
      <c r="M534" s="22" t="str">
        <f>VLOOKUP($A534, 'Hospitalisation Details'!$A:$L, 12, FALSE)</f>
        <v>tier - 1</v>
      </c>
      <c r="N534" s="22" t="str">
        <f>VLOOKUP($A534, 'Hospitalisation Details'!$A:$M, 13, FALSE)</f>
        <v>tier - 2</v>
      </c>
      <c r="O534" s="22" t="str">
        <f>VLOOKUP($A534, 'Hospitalisation Details'!$A:$N, 14, FALSE)</f>
        <v>R1012</v>
      </c>
      <c r="P534" s="36">
        <f>VLOOKUP($A534, 'Hospitalisation Details'!$A:$O, 15, FALSE)</f>
        <v>30</v>
      </c>
    </row>
    <row r="535" ht="15.75" customHeight="1">
      <c r="A535" s="33" t="s">
        <v>1069</v>
      </c>
      <c r="B535" s="22" t="str">
        <f>VLOOKUP($A535,'Customer Names'!$A:$D,3, FALSE)</f>
        <v>Meehan</v>
      </c>
      <c r="C535" s="22">
        <f>VLOOKUP($A535,'Medical Examinations'!$A:$D, 2, FALSE)</f>
        <v>49.05</v>
      </c>
      <c r="D535" s="22">
        <f>VLOOKUP($A535, 'Medical Examinations'!$A:$D,3, FALSE)</f>
        <v>9.77</v>
      </c>
      <c r="E535" s="22" t="str">
        <f>VLOOKUP($A535, 'Medical Examinations'!$A:$D, 4, FALSE)</f>
        <v>Yes</v>
      </c>
      <c r="F535" s="22" t="str">
        <f>VLOOKUP($A535, 'Medical Examinations'!$A:$J, 5, FALSE)</f>
        <v>No</v>
      </c>
      <c r="G535" s="22" t="str">
        <f>VLOOKUP($A535, 'Medical Examinations'!$A:$I, 6, FALSE)</f>
        <v>No</v>
      </c>
      <c r="H535" s="22">
        <f>VLOOKUP($A535,'Medical Examinations'!$A:$L,10, FALSE)</f>
        <v>0</v>
      </c>
      <c r="I535" s="22" t="str">
        <f>VLOOKUP($A535, 'Medical Examinations'!$A:$J, 9, FALSE)</f>
        <v>No</v>
      </c>
      <c r="J535" s="22" t="str">
        <f>VLOOKUP($A535, 'Medical Examinations'!$A:$P, 11, FALSE)</f>
        <v>OBESITY</v>
      </c>
      <c r="K535" s="34">
        <v>28701.0</v>
      </c>
      <c r="L535" s="35">
        <f>VLOOKUP($A535, 'Hospitalisation Details'!$A:$H, 7, FALSE)</f>
        <v>18694.69</v>
      </c>
      <c r="M535" s="22" t="str">
        <f>VLOOKUP($A535, 'Hospitalisation Details'!$A:$L, 12, FALSE)</f>
        <v>tier - 1</v>
      </c>
      <c r="N535" s="22" t="str">
        <f>VLOOKUP($A535, 'Hospitalisation Details'!$A:$M, 13, FALSE)</f>
        <v>tier - 1</v>
      </c>
      <c r="O535" s="22" t="str">
        <f>VLOOKUP($A535, 'Hospitalisation Details'!$A:$N, 14, FALSE)</f>
        <v>R1023</v>
      </c>
      <c r="P535" s="36">
        <f>VLOOKUP($A535, 'Hospitalisation Details'!$A:$O, 15, FALSE)</f>
        <v>55</v>
      </c>
    </row>
    <row r="536" ht="15.75" customHeight="1">
      <c r="A536" s="33" t="s">
        <v>1071</v>
      </c>
      <c r="B536" s="22" t="str">
        <f>VLOOKUP($A536,'Customer Names'!$A:$D,3, FALSE)</f>
        <v>Gammon</v>
      </c>
      <c r="C536" s="22">
        <f>VLOOKUP($A536,'Medical Examinations'!$A:$D, 2, FALSE)</f>
        <v>51.94</v>
      </c>
      <c r="D536" s="22">
        <f>VLOOKUP($A536, 'Medical Examinations'!$A:$D,3, FALSE)</f>
        <v>8.8</v>
      </c>
      <c r="E536" s="22" t="str">
        <f>VLOOKUP($A536, 'Medical Examinations'!$A:$D, 4, FALSE)</f>
        <v>Yes</v>
      </c>
      <c r="F536" s="22" t="str">
        <f>VLOOKUP($A536, 'Medical Examinations'!$A:$J, 5, FALSE)</f>
        <v>No</v>
      </c>
      <c r="G536" s="22" t="str">
        <f>VLOOKUP($A536, 'Medical Examinations'!$A:$I, 6, FALSE)</f>
        <v>No</v>
      </c>
      <c r="H536" s="22">
        <f>VLOOKUP($A536,'Medical Examinations'!$A:$L,10, FALSE)</f>
        <v>2</v>
      </c>
      <c r="I536" s="22" t="str">
        <f>VLOOKUP($A536, 'Medical Examinations'!$A:$J, 9, FALSE)</f>
        <v>No</v>
      </c>
      <c r="J536" s="22" t="str">
        <f>VLOOKUP($A536, 'Medical Examinations'!$A:$P, 11, FALSE)</f>
        <v>OBESITY</v>
      </c>
      <c r="K536" s="34">
        <v>27935.0</v>
      </c>
      <c r="L536" s="35">
        <f>VLOOKUP($A536, 'Hospitalisation Details'!$A:$H, 7, FALSE)</f>
        <v>18682.74</v>
      </c>
      <c r="M536" s="22" t="str">
        <f>VLOOKUP($A536, 'Hospitalisation Details'!$A:$L, 12, FALSE)</f>
        <v>tier - 1</v>
      </c>
      <c r="N536" s="22" t="str">
        <f>VLOOKUP($A536, 'Hospitalisation Details'!$A:$M, 13, FALSE)</f>
        <v>tier - 3</v>
      </c>
      <c r="O536" s="22" t="str">
        <f>VLOOKUP($A536, 'Hospitalisation Details'!$A:$N, 14, FALSE)</f>
        <v>R1012</v>
      </c>
      <c r="P536" s="36">
        <f>VLOOKUP($A536, 'Hospitalisation Details'!$A:$O, 15, FALSE)</f>
        <v>52</v>
      </c>
    </row>
    <row r="537" ht="15.75" customHeight="1">
      <c r="A537" s="33" t="s">
        <v>1073</v>
      </c>
      <c r="B537" s="22" t="str">
        <f>VLOOKUP($A537,'Customer Names'!$A:$D,3, FALSE)</f>
        <v>Lee</v>
      </c>
      <c r="C537" s="22">
        <f>VLOOKUP($A537,'Medical Examinations'!$A:$D, 2, FALSE)</f>
        <v>29.83</v>
      </c>
      <c r="D537" s="22">
        <f>VLOOKUP($A537, 'Medical Examinations'!$A:$D,3, FALSE)</f>
        <v>5.84</v>
      </c>
      <c r="E537" s="22" t="str">
        <f>VLOOKUP($A537, 'Medical Examinations'!$A:$D, 4, FALSE)</f>
        <v>No</v>
      </c>
      <c r="F537" s="22" t="str">
        <f>VLOOKUP($A537, 'Medical Examinations'!$A:$J, 5, FALSE)</f>
        <v>No</v>
      </c>
      <c r="G537" s="22" t="str">
        <f>VLOOKUP($A537, 'Medical Examinations'!$A:$I, 6, FALSE)</f>
        <v>No</v>
      </c>
      <c r="H537" s="22">
        <f>VLOOKUP($A537,'Medical Examinations'!$A:$L,10, FALSE)</f>
        <v>1</v>
      </c>
      <c r="I537" s="22" t="str">
        <f>VLOOKUP($A537, 'Medical Examinations'!$A:$J, 9, FALSE)</f>
        <v>Yes</v>
      </c>
      <c r="J537" s="22" t="str">
        <f>VLOOKUP($A537, 'Medical Examinations'!$A:$P, 11, FALSE)</f>
        <v>OVERWEIGHT</v>
      </c>
      <c r="K537" s="34">
        <v>31007.0</v>
      </c>
      <c r="L537" s="35">
        <f>VLOOKUP($A537, 'Hospitalisation Details'!$A:$H, 7, FALSE)</f>
        <v>18648.42</v>
      </c>
      <c r="M537" s="22" t="str">
        <f>VLOOKUP($A537, 'Hospitalisation Details'!$A:$L, 12, FALSE)</f>
        <v>tier - 1</v>
      </c>
      <c r="N537" s="22" t="str">
        <f>VLOOKUP($A537, 'Hospitalisation Details'!$A:$M, 13, FALSE)</f>
        <v>tier - 1</v>
      </c>
      <c r="O537" s="22" t="str">
        <f>VLOOKUP($A537, 'Hospitalisation Details'!$A:$N, 14, FALSE)</f>
        <v>R1019</v>
      </c>
      <c r="P537" s="36">
        <f>VLOOKUP($A537, 'Hospitalisation Details'!$A:$O, 15, FALSE)</f>
        <v>24</v>
      </c>
    </row>
    <row r="538" ht="15.75" customHeight="1">
      <c r="A538" s="33" t="s">
        <v>1075</v>
      </c>
      <c r="B538" s="22" t="str">
        <f>VLOOKUP($A538,'Customer Names'!$A:$D,3, FALSE)</f>
        <v>Franco</v>
      </c>
      <c r="C538" s="22">
        <f>VLOOKUP($A538,'Medical Examinations'!$A:$D, 2, FALSE)</f>
        <v>22.6</v>
      </c>
      <c r="D538" s="22">
        <f>VLOOKUP($A538, 'Medical Examinations'!$A:$D,3, FALSE)</f>
        <v>10.43</v>
      </c>
      <c r="E538" s="22" t="str">
        <f>VLOOKUP($A538, 'Medical Examinations'!$A:$D, 4, FALSE)</f>
        <v>Yes</v>
      </c>
      <c r="F538" s="22" t="str">
        <f>VLOOKUP($A538, 'Medical Examinations'!$A:$J, 5, FALSE)</f>
        <v>No</v>
      </c>
      <c r="G538" s="22" t="str">
        <f>VLOOKUP($A538, 'Medical Examinations'!$A:$I, 6, FALSE)</f>
        <v>No</v>
      </c>
      <c r="H538" s="22">
        <f>VLOOKUP($A538,'Medical Examinations'!$A:$L,10, FALSE)</f>
        <v>1</v>
      </c>
      <c r="I538" s="22" t="str">
        <f>VLOOKUP($A538, 'Medical Examinations'!$A:$J, 9, FALSE)</f>
        <v>Yes</v>
      </c>
      <c r="J538" s="22" t="str">
        <f>VLOOKUP($A538, 'Medical Examinations'!$A:$P, 11, FALSE)</f>
        <v>NORMAL WEIGHT</v>
      </c>
      <c r="K538" s="34">
        <v>36380.0</v>
      </c>
      <c r="L538" s="35">
        <f>VLOOKUP($A538, 'Hospitalisation Details'!$A:$H, 7, FALSE)</f>
        <v>18608.26</v>
      </c>
      <c r="M538" s="22" t="str">
        <f>VLOOKUP($A538, 'Hospitalisation Details'!$A:$L, 12, FALSE)</f>
        <v>tier - 1</v>
      </c>
      <c r="N538" s="22" t="str">
        <f>VLOOKUP($A538, 'Hospitalisation Details'!$A:$M, 13, FALSE)</f>
        <v>tier - 3</v>
      </c>
      <c r="O538" s="22" t="str">
        <f>VLOOKUP($A538, 'Hospitalisation Details'!$A:$N, 14, FALSE)</f>
        <v>R1011</v>
      </c>
      <c r="P538" s="36">
        <f>VLOOKUP($A538, 'Hospitalisation Details'!$A:$O, 15, FALSE)</f>
        <v>36</v>
      </c>
    </row>
    <row r="539" ht="15.75" customHeight="1">
      <c r="A539" s="33" t="s">
        <v>1077</v>
      </c>
      <c r="B539" s="22" t="str">
        <f>VLOOKUP($A539,'Customer Names'!$A:$D,3, FALSE)</f>
        <v>Patterson</v>
      </c>
      <c r="C539" s="22">
        <f>VLOOKUP($A539,'Medical Examinations'!$A:$D, 2, FALSE)</f>
        <v>46.69</v>
      </c>
      <c r="D539" s="22">
        <f>VLOOKUP($A539, 'Medical Examinations'!$A:$D,3, FALSE)</f>
        <v>4.25</v>
      </c>
      <c r="E539" s="22" t="str">
        <f>VLOOKUP($A539, 'Medical Examinations'!$A:$D, 4, FALSE)</f>
        <v>Yes</v>
      </c>
      <c r="F539" s="22" t="str">
        <f>VLOOKUP($A539, 'Medical Examinations'!$A:$J, 5, FALSE)</f>
        <v>No</v>
      </c>
      <c r="G539" s="22" t="str">
        <f>VLOOKUP($A539, 'Medical Examinations'!$A:$I, 6, FALSE)</f>
        <v>No</v>
      </c>
      <c r="H539" s="22">
        <f>VLOOKUP($A539,'Medical Examinations'!$A:$L,10, FALSE)</f>
        <v>1</v>
      </c>
      <c r="I539" s="22" t="str">
        <f>VLOOKUP($A539, 'Medical Examinations'!$A:$J, 9, FALSE)</f>
        <v>No</v>
      </c>
      <c r="J539" s="22" t="str">
        <f>VLOOKUP($A539, 'Medical Examinations'!$A:$P, 11, FALSE)</f>
        <v>OBESITY</v>
      </c>
      <c r="K539" s="34">
        <v>30870.0</v>
      </c>
      <c r="L539" s="35">
        <f>VLOOKUP($A539, 'Hospitalisation Details'!$A:$H, 7, FALSE)</f>
        <v>18443.11</v>
      </c>
      <c r="M539" s="22" t="str">
        <f>VLOOKUP($A539, 'Hospitalisation Details'!$A:$L, 12, FALSE)</f>
        <v>tier - 1</v>
      </c>
      <c r="N539" s="22" t="str">
        <f>VLOOKUP($A539, 'Hospitalisation Details'!$A:$M, 13, FALSE)</f>
        <v>tier - 2</v>
      </c>
      <c r="O539" s="22" t="str">
        <f>VLOOKUP($A539, 'Hospitalisation Details'!$A:$N, 14, FALSE)</f>
        <v>R1012</v>
      </c>
      <c r="P539" s="36">
        <f>VLOOKUP($A539, 'Hospitalisation Details'!$A:$O, 15, FALSE)</f>
        <v>58</v>
      </c>
    </row>
    <row r="540" ht="15.75" customHeight="1">
      <c r="A540" s="33" t="s">
        <v>1079</v>
      </c>
      <c r="B540" s="22" t="str">
        <f>VLOOKUP($A540,'Customer Names'!$A:$D,3, FALSE)</f>
        <v>Valdes</v>
      </c>
      <c r="C540" s="22">
        <f>VLOOKUP($A540,'Medical Examinations'!$A:$D, 2, FALSE)</f>
        <v>28.49</v>
      </c>
      <c r="D540" s="22">
        <f>VLOOKUP($A540, 'Medical Examinations'!$A:$D,3, FALSE)</f>
        <v>4.89</v>
      </c>
      <c r="E540" s="22" t="str">
        <f>VLOOKUP($A540, 'Medical Examinations'!$A:$D, 4, FALSE)</f>
        <v>No</v>
      </c>
      <c r="F540" s="22" t="str">
        <f>VLOOKUP($A540, 'Medical Examinations'!$A:$J, 5, FALSE)</f>
        <v>No</v>
      </c>
      <c r="G540" s="22" t="str">
        <f>VLOOKUP($A540, 'Medical Examinations'!$A:$I, 6, FALSE)</f>
        <v>No</v>
      </c>
      <c r="H540" s="22">
        <f>VLOOKUP($A540,'Medical Examinations'!$A:$L,10, FALSE)</f>
        <v>0</v>
      </c>
      <c r="I540" s="22" t="str">
        <f>VLOOKUP($A540, 'Medical Examinations'!$A:$J, 9, FALSE)</f>
        <v>Yes</v>
      </c>
      <c r="J540" s="22" t="str">
        <f>VLOOKUP($A540, 'Medical Examinations'!$A:$P, 11, FALSE)</f>
        <v>OVERWEIGHT</v>
      </c>
      <c r="K540" s="34">
        <v>34182.0</v>
      </c>
      <c r="L540" s="35">
        <f>VLOOKUP($A540, 'Hospitalisation Details'!$A:$H, 7, FALSE)</f>
        <v>18328.24</v>
      </c>
      <c r="M540" s="22" t="str">
        <f>VLOOKUP($A540, 'Hospitalisation Details'!$A:$L, 12, FALSE)</f>
        <v>tier - 1</v>
      </c>
      <c r="N540" s="22" t="str">
        <f>VLOOKUP($A540, 'Hospitalisation Details'!$A:$M, 13, FALSE)</f>
        <v>tier - 2</v>
      </c>
      <c r="O540" s="22" t="str">
        <f>VLOOKUP($A540, 'Hospitalisation Details'!$A:$N, 14, FALSE)</f>
        <v>R1013</v>
      </c>
      <c r="P540" s="36">
        <f>VLOOKUP($A540, 'Hospitalisation Details'!$A:$O, 15, FALSE)</f>
        <v>23</v>
      </c>
    </row>
    <row r="541" ht="15.75" customHeight="1">
      <c r="A541" s="33" t="s">
        <v>1081</v>
      </c>
      <c r="B541" s="22" t="str">
        <f>VLOOKUP($A541,'Customer Names'!$A:$D,3, FALSE)</f>
        <v>Craig</v>
      </c>
      <c r="C541" s="22">
        <f>VLOOKUP($A541,'Medical Examinations'!$A:$D, 2, FALSE)</f>
        <v>28.5</v>
      </c>
      <c r="D541" s="22">
        <f>VLOOKUP($A541, 'Medical Examinations'!$A:$D,3, FALSE)</f>
        <v>5.55</v>
      </c>
      <c r="E541" s="22" t="str">
        <f>VLOOKUP($A541, 'Medical Examinations'!$A:$D, 4, FALSE)</f>
        <v>Yes</v>
      </c>
      <c r="F541" s="22" t="str">
        <f>VLOOKUP($A541, 'Medical Examinations'!$A:$J, 5, FALSE)</f>
        <v>No</v>
      </c>
      <c r="G541" s="22" t="str">
        <f>VLOOKUP($A541, 'Medical Examinations'!$A:$I, 6, FALSE)</f>
        <v>No</v>
      </c>
      <c r="H541" s="22">
        <f>VLOOKUP($A541,'Medical Examinations'!$A:$L,10, FALSE)</f>
        <v>1</v>
      </c>
      <c r="I541" s="22" t="str">
        <f>VLOOKUP($A541, 'Medical Examinations'!$A:$J, 9, FALSE)</f>
        <v>Yes</v>
      </c>
      <c r="J541" s="22" t="str">
        <f>VLOOKUP($A541, 'Medical Examinations'!$A:$P, 11, FALSE)</f>
        <v>OVERWEIGHT</v>
      </c>
      <c r="K541" s="34">
        <v>25018.0</v>
      </c>
      <c r="L541" s="35">
        <f>VLOOKUP($A541, 'Hospitalisation Details'!$A:$H, 7, FALSE)</f>
        <v>18310.74</v>
      </c>
      <c r="M541" s="22" t="str">
        <f>VLOOKUP($A541, 'Hospitalisation Details'!$A:$L, 12, FALSE)</f>
        <v>tier - 1</v>
      </c>
      <c r="N541" s="22" t="str">
        <f>VLOOKUP($A541, 'Hospitalisation Details'!$A:$M, 13, FALSE)</f>
        <v>tier - 3</v>
      </c>
      <c r="O541" s="22" t="str">
        <f>VLOOKUP($A541, 'Hospitalisation Details'!$A:$N, 14, FALSE)</f>
        <v>R1012</v>
      </c>
      <c r="P541" s="36">
        <f>VLOOKUP($A541, 'Hospitalisation Details'!$A:$O, 15, FALSE)</f>
        <v>27</v>
      </c>
    </row>
    <row r="542" ht="15.75" customHeight="1">
      <c r="A542" s="33" t="s">
        <v>1083</v>
      </c>
      <c r="B542" s="22" t="str">
        <f>VLOOKUP($A542,'Customer Names'!$A:$D,3, FALSE)</f>
        <v>Whipple</v>
      </c>
      <c r="C542" s="22">
        <f>VLOOKUP($A542,'Medical Examinations'!$A:$D, 2, FALSE)</f>
        <v>24.4</v>
      </c>
      <c r="D542" s="22">
        <f>VLOOKUP($A542, 'Medical Examinations'!$A:$D,3, FALSE)</f>
        <v>4.52</v>
      </c>
      <c r="E542" s="22" t="str">
        <f>VLOOKUP($A542, 'Medical Examinations'!$A:$D, 4, FALSE)</f>
        <v>No</v>
      </c>
      <c r="F542" s="22" t="str">
        <f>VLOOKUP($A542, 'Medical Examinations'!$A:$J, 5, FALSE)</f>
        <v>No</v>
      </c>
      <c r="G542" s="22" t="str">
        <f>VLOOKUP($A542, 'Medical Examinations'!$A:$I, 6, FALSE)</f>
        <v>No</v>
      </c>
      <c r="H542" s="22">
        <f>VLOOKUP($A542,'Medical Examinations'!$A:$L,10, FALSE)</f>
        <v>1</v>
      </c>
      <c r="I542" s="22" t="str">
        <f>VLOOKUP($A542, 'Medical Examinations'!$A:$J, 9, FALSE)</f>
        <v>Yes</v>
      </c>
      <c r="J542" s="22" t="str">
        <f>VLOOKUP($A542, 'Medical Examinations'!$A:$P, 11, FALSE)</f>
        <v>NORMAL WEIGHT</v>
      </c>
      <c r="K542" s="34">
        <v>29384.0</v>
      </c>
      <c r="L542" s="35">
        <f>VLOOKUP($A542, 'Hospitalisation Details'!$A:$H, 7, FALSE)</f>
        <v>18259.22</v>
      </c>
      <c r="M542" s="22" t="str">
        <f>VLOOKUP($A542, 'Hospitalisation Details'!$A:$L, 12, FALSE)</f>
        <v>tier - 1</v>
      </c>
      <c r="N542" s="22" t="str">
        <f>VLOOKUP($A542, 'Hospitalisation Details'!$A:$M, 13, FALSE)</f>
        <v>tier - 3</v>
      </c>
      <c r="O542" s="22" t="str">
        <f>VLOOKUP($A542, 'Hospitalisation Details'!$A:$N, 14, FALSE)</f>
        <v>R1011</v>
      </c>
      <c r="P542" s="36">
        <f>VLOOKUP($A542, 'Hospitalisation Details'!$A:$O, 15, FALSE)</f>
        <v>30</v>
      </c>
    </row>
    <row r="543" ht="15.75" customHeight="1">
      <c r="A543" s="33" t="s">
        <v>1085</v>
      </c>
      <c r="B543" s="22" t="str">
        <f>VLOOKUP($A543,'Customer Names'!$A:$D,3, FALSE)</f>
        <v>Marton</v>
      </c>
      <c r="C543" s="22">
        <f>VLOOKUP($A543,'Medical Examinations'!$A:$D, 2, FALSE)</f>
        <v>29.15</v>
      </c>
      <c r="D543" s="22">
        <f>VLOOKUP($A543, 'Medical Examinations'!$A:$D,3, FALSE)</f>
        <v>4.45</v>
      </c>
      <c r="E543" s="22" t="str">
        <f>VLOOKUP($A543, 'Medical Examinations'!$A:$D, 4, FALSE)</f>
        <v>Yes</v>
      </c>
      <c r="F543" s="22" t="str">
        <f>VLOOKUP($A543, 'Medical Examinations'!$A:$J, 5, FALSE)</f>
        <v>No</v>
      </c>
      <c r="G543" s="22" t="str">
        <f>VLOOKUP($A543, 'Medical Examinations'!$A:$I, 6, FALSE)</f>
        <v>No</v>
      </c>
      <c r="H543" s="22">
        <f>VLOOKUP($A543,'Medical Examinations'!$A:$L,10, FALSE)</f>
        <v>1</v>
      </c>
      <c r="I543" s="22" t="str">
        <f>VLOOKUP($A543, 'Medical Examinations'!$A:$J, 9, FALSE)</f>
        <v>Yes</v>
      </c>
      <c r="J543" s="22" t="str">
        <f>VLOOKUP($A543, 'Medical Examinations'!$A:$P, 11, FALSE)</f>
        <v>OVERWEIGHT</v>
      </c>
      <c r="K543" s="34">
        <v>32000.0</v>
      </c>
      <c r="L543" s="35">
        <f>VLOOKUP($A543, 'Hospitalisation Details'!$A:$H, 7, FALSE)</f>
        <v>18246.5</v>
      </c>
      <c r="M543" s="22" t="str">
        <f>VLOOKUP($A543, 'Hospitalisation Details'!$A:$L, 12, FALSE)</f>
        <v>tier - 1</v>
      </c>
      <c r="N543" s="22" t="str">
        <f>VLOOKUP($A543, 'Hospitalisation Details'!$A:$M, 13, FALSE)</f>
        <v>tier - 1</v>
      </c>
      <c r="O543" s="22" t="str">
        <f>VLOOKUP($A543, 'Hospitalisation Details'!$A:$N, 14, FALSE)</f>
        <v>R1013</v>
      </c>
      <c r="P543" s="36">
        <f>VLOOKUP($A543, 'Hospitalisation Details'!$A:$O, 15, FALSE)</f>
        <v>27</v>
      </c>
    </row>
    <row r="544" ht="15.75" customHeight="1">
      <c r="A544" s="33" t="s">
        <v>1087</v>
      </c>
      <c r="B544" s="22" t="str">
        <f>VLOOKUP($A544,'Customer Names'!$A:$D,3, FALSE)</f>
        <v>Hildebrandt</v>
      </c>
      <c r="C544" s="22">
        <f>VLOOKUP($A544,'Medical Examinations'!$A:$D, 2, FALSE)</f>
        <v>27.28</v>
      </c>
      <c r="D544" s="22">
        <f>VLOOKUP($A544, 'Medical Examinations'!$A:$D,3, FALSE)</f>
        <v>4.72</v>
      </c>
      <c r="E544" s="22" t="str">
        <f>VLOOKUP($A544, 'Medical Examinations'!$A:$D, 4, FALSE)</f>
        <v>No</v>
      </c>
      <c r="F544" s="22" t="str">
        <f>VLOOKUP($A544, 'Medical Examinations'!$A:$J, 5, FALSE)</f>
        <v>Yes</v>
      </c>
      <c r="G544" s="22" t="str">
        <f>VLOOKUP($A544, 'Medical Examinations'!$A:$I, 6, FALSE)</f>
        <v>No</v>
      </c>
      <c r="H544" s="22">
        <f>VLOOKUP($A544,'Medical Examinations'!$A:$L,10, FALSE)</f>
        <v>1</v>
      </c>
      <c r="I544" s="22" t="str">
        <f>VLOOKUP($A544, 'Medical Examinations'!$A:$J, 9, FALSE)</f>
        <v>Yes</v>
      </c>
      <c r="J544" s="22" t="str">
        <f>VLOOKUP($A544, 'Medical Examinations'!$A:$P, 11, FALSE)</f>
        <v>OVERWEIGHT</v>
      </c>
      <c r="K544" s="34">
        <v>33773.0</v>
      </c>
      <c r="L544" s="35">
        <f>VLOOKUP($A544, 'Hospitalisation Details'!$A:$H, 7, FALSE)</f>
        <v>18223.45</v>
      </c>
      <c r="M544" s="22" t="str">
        <f>VLOOKUP($A544, 'Hospitalisation Details'!$A:$L, 12, FALSE)</f>
        <v>tier - 1</v>
      </c>
      <c r="N544" s="22" t="str">
        <f>VLOOKUP($A544, 'Hospitalisation Details'!$A:$M, 13, FALSE)</f>
        <v>tier - 3</v>
      </c>
      <c r="O544" s="22" t="str">
        <f>VLOOKUP($A544, 'Hospitalisation Details'!$A:$N, 14, FALSE)</f>
        <v>R1013</v>
      </c>
      <c r="P544" s="36">
        <f>VLOOKUP($A544, 'Hospitalisation Details'!$A:$O, 15, FALSE)</f>
        <v>18</v>
      </c>
    </row>
    <row r="545" ht="15.75" customHeight="1">
      <c r="A545" s="33" t="s">
        <v>1089</v>
      </c>
      <c r="B545" s="22" t="str">
        <f>VLOOKUP($A545,'Customer Names'!$A:$D,3, FALSE)</f>
        <v>Biggs</v>
      </c>
      <c r="C545" s="22">
        <f>VLOOKUP($A545,'Medical Examinations'!$A:$D, 2, FALSE)</f>
        <v>32.23</v>
      </c>
      <c r="D545" s="22">
        <f>VLOOKUP($A545, 'Medical Examinations'!$A:$D,3, FALSE)</f>
        <v>4.65</v>
      </c>
      <c r="E545" s="22" t="str">
        <f>VLOOKUP($A545, 'Medical Examinations'!$A:$D, 4, FALSE)</f>
        <v>Yes</v>
      </c>
      <c r="F545" s="22" t="str">
        <f>VLOOKUP($A545, 'Medical Examinations'!$A:$J, 5, FALSE)</f>
        <v>No</v>
      </c>
      <c r="G545" s="22" t="str">
        <f>VLOOKUP($A545, 'Medical Examinations'!$A:$I, 6, FALSE)</f>
        <v>Yes</v>
      </c>
      <c r="H545" s="22">
        <f>VLOOKUP($A545,'Medical Examinations'!$A:$L,10, FALSE)</f>
        <v>1</v>
      </c>
      <c r="I545" s="22" t="str">
        <f>VLOOKUP($A545, 'Medical Examinations'!$A:$J, 9, FALSE)</f>
        <v>No</v>
      </c>
      <c r="J545" s="22" t="str">
        <f>VLOOKUP($A545, 'Medical Examinations'!$A:$P, 11, FALSE)</f>
        <v>OBESITY</v>
      </c>
      <c r="K545" s="34">
        <v>30230.0</v>
      </c>
      <c r="L545" s="35">
        <f>VLOOKUP($A545, 'Hospitalisation Details'!$A:$H, 7, FALSE)</f>
        <v>18218.16</v>
      </c>
      <c r="M545" s="22" t="str">
        <f>VLOOKUP($A545, 'Hospitalisation Details'!$A:$L, 12, FALSE)</f>
        <v>tier - 1</v>
      </c>
      <c r="N545" s="22" t="str">
        <f>VLOOKUP($A545, 'Hospitalisation Details'!$A:$M, 13, FALSE)</f>
        <v>tier - 1</v>
      </c>
      <c r="O545" s="22" t="str">
        <f>VLOOKUP($A545, 'Hospitalisation Details'!$A:$N, 14, FALSE)</f>
        <v>R1013</v>
      </c>
      <c r="P545" s="36">
        <f>VLOOKUP($A545, 'Hospitalisation Details'!$A:$O, 15, FALSE)</f>
        <v>25</v>
      </c>
    </row>
    <row r="546" ht="15.75" customHeight="1">
      <c r="A546" s="33" t="s">
        <v>1091</v>
      </c>
      <c r="B546" s="22" t="str">
        <f>VLOOKUP($A546,'Customer Names'!$A:$D,3, FALSE)</f>
        <v>Shigezumi</v>
      </c>
      <c r="C546" s="22">
        <f>VLOOKUP($A546,'Medical Examinations'!$A:$D, 2, FALSE)</f>
        <v>44.2</v>
      </c>
      <c r="D546" s="22">
        <f>VLOOKUP($A546, 'Medical Examinations'!$A:$D,3, FALSE)</f>
        <v>11.34</v>
      </c>
      <c r="E546" s="22" t="str">
        <f>VLOOKUP($A546, 'Medical Examinations'!$A:$D, 4, FALSE)</f>
        <v>Yes</v>
      </c>
      <c r="F546" s="22" t="str">
        <f>VLOOKUP($A546, 'Medical Examinations'!$A:$J, 5, FALSE)</f>
        <v>No</v>
      </c>
      <c r="G546" s="22" t="str">
        <f>VLOOKUP($A546, 'Medical Examinations'!$A:$I, 6, FALSE)</f>
        <v>Yes</v>
      </c>
      <c r="H546" s="22">
        <f>VLOOKUP($A546,'Medical Examinations'!$A:$L,10, FALSE)</f>
        <v>1</v>
      </c>
      <c r="I546" s="22" t="str">
        <f>VLOOKUP($A546, 'Medical Examinations'!$A:$J, 9, FALSE)</f>
        <v>No</v>
      </c>
      <c r="J546" s="22" t="str">
        <f>VLOOKUP($A546, 'Medical Examinations'!$A:$P, 11, FALSE)</f>
        <v>OBESITY</v>
      </c>
      <c r="K546" s="34">
        <v>28665.0</v>
      </c>
      <c r="L546" s="35">
        <f>VLOOKUP($A546, 'Hospitalisation Details'!$A:$H, 7, FALSE)</f>
        <v>18208.34</v>
      </c>
      <c r="M546" s="22" t="str">
        <f>VLOOKUP($A546, 'Hospitalisation Details'!$A:$L, 12, FALSE)</f>
        <v>tier - 1</v>
      </c>
      <c r="N546" s="22" t="str">
        <f>VLOOKUP($A546, 'Hospitalisation Details'!$A:$M, 13, FALSE)</f>
        <v>tier - 2</v>
      </c>
      <c r="O546" s="22" t="str">
        <f>VLOOKUP($A546, 'Hospitalisation Details'!$A:$N, 14, FALSE)</f>
        <v>R1026</v>
      </c>
      <c r="P546" s="36">
        <f>VLOOKUP($A546, 'Hospitalisation Details'!$A:$O, 15, FALSE)</f>
        <v>59</v>
      </c>
    </row>
    <row r="547" ht="15.75" customHeight="1">
      <c r="A547" s="33" t="s">
        <v>1093</v>
      </c>
      <c r="B547" s="22" t="str">
        <f>VLOOKUP($A547,'Customer Names'!$A:$D,3, FALSE)</f>
        <v>Meineke</v>
      </c>
      <c r="C547" s="22">
        <f>VLOOKUP($A547,'Medical Examinations'!$A:$D, 2, FALSE)</f>
        <v>29.735</v>
      </c>
      <c r="D547" s="22">
        <f>VLOOKUP($A547, 'Medical Examinations'!$A:$D,3, FALSE)</f>
        <v>4.53</v>
      </c>
      <c r="E547" s="22" t="str">
        <f>VLOOKUP($A547, 'Medical Examinations'!$A:$D, 4, FALSE)</f>
        <v>No</v>
      </c>
      <c r="F547" s="22" t="str">
        <f>VLOOKUP($A547, 'Medical Examinations'!$A:$J, 5, FALSE)</f>
        <v>No</v>
      </c>
      <c r="G547" s="22" t="str">
        <f>VLOOKUP($A547, 'Medical Examinations'!$A:$I, 6, FALSE)</f>
        <v>Yes</v>
      </c>
      <c r="H547" s="22">
        <f>VLOOKUP($A547,'Medical Examinations'!$A:$L,10, FALSE)</f>
        <v>1</v>
      </c>
      <c r="I547" s="22" t="str">
        <f>VLOOKUP($A547, 'Medical Examinations'!$A:$J, 9, FALSE)</f>
        <v>No</v>
      </c>
      <c r="J547" s="22" t="str">
        <f>VLOOKUP($A547, 'Medical Examinations'!$A:$P, 11, FALSE)</f>
        <v>OVERWEIGHT</v>
      </c>
      <c r="K547" s="34">
        <v>29400.0</v>
      </c>
      <c r="L547" s="35">
        <f>VLOOKUP($A547, 'Hospitalisation Details'!$A:$H, 7, FALSE)</f>
        <v>18157.88</v>
      </c>
      <c r="M547" s="22" t="str">
        <f>VLOOKUP($A547, 'Hospitalisation Details'!$A:$L, 12, FALSE)</f>
        <v>tier - 1</v>
      </c>
      <c r="N547" s="22" t="str">
        <f>VLOOKUP($A547, 'Hospitalisation Details'!$A:$M, 13, FALSE)</f>
        <v>tier - 1</v>
      </c>
      <c r="O547" s="22" t="str">
        <f>VLOOKUP($A547, 'Hospitalisation Details'!$A:$N, 14, FALSE)</f>
        <v>R1012</v>
      </c>
      <c r="P547" s="36">
        <f>VLOOKUP($A547, 'Hospitalisation Details'!$A:$O, 15, FALSE)</f>
        <v>29</v>
      </c>
    </row>
    <row r="548" ht="15.75" customHeight="1">
      <c r="A548" s="33" t="s">
        <v>1095</v>
      </c>
      <c r="B548" s="22" t="str">
        <f>VLOOKUP($A548,'Customer Names'!$A:$D,3, FALSE)</f>
        <v>Ludington</v>
      </c>
      <c r="C548" s="22">
        <f>VLOOKUP($A548,'Medical Examinations'!$A:$D, 2, FALSE)</f>
        <v>28.31</v>
      </c>
      <c r="D548" s="22">
        <f>VLOOKUP($A548, 'Medical Examinations'!$A:$D,3, FALSE)</f>
        <v>6.35</v>
      </c>
      <c r="E548" s="22" t="str">
        <f>VLOOKUP($A548, 'Medical Examinations'!$A:$D, 4, FALSE)</f>
        <v>No</v>
      </c>
      <c r="F548" s="22" t="str">
        <f>VLOOKUP($A548, 'Medical Examinations'!$A:$J, 5, FALSE)</f>
        <v>No</v>
      </c>
      <c r="G548" s="22" t="str">
        <f>VLOOKUP($A548, 'Medical Examinations'!$A:$I, 6, FALSE)</f>
        <v>No</v>
      </c>
      <c r="H548" s="22">
        <f>VLOOKUP($A548,'Medical Examinations'!$A:$L,10, FALSE)</f>
        <v>0</v>
      </c>
      <c r="I548" s="22" t="str">
        <f>VLOOKUP($A548, 'Medical Examinations'!$A:$J, 9, FALSE)</f>
        <v>Yes</v>
      </c>
      <c r="J548" s="22" t="str">
        <f>VLOOKUP($A548, 'Medical Examinations'!$A:$P, 11, FALSE)</f>
        <v>OVERWEIGHT</v>
      </c>
      <c r="K548" s="34">
        <v>29423.0</v>
      </c>
      <c r="L548" s="35">
        <f>VLOOKUP($A548, 'Hospitalisation Details'!$A:$H, 7, FALSE)</f>
        <v>18033.97</v>
      </c>
      <c r="M548" s="22" t="str">
        <f>VLOOKUP($A548, 'Hospitalisation Details'!$A:$L, 12, FALSE)</f>
        <v>tier - 1</v>
      </c>
      <c r="N548" s="22" t="str">
        <f>VLOOKUP($A548, 'Hospitalisation Details'!$A:$M, 13, FALSE)</f>
        <v>tier - 1</v>
      </c>
      <c r="O548" s="22" t="str">
        <f>VLOOKUP($A548, 'Hospitalisation Details'!$A:$N, 14, FALSE)</f>
        <v>R1012</v>
      </c>
      <c r="P548" s="36">
        <f>VLOOKUP($A548, 'Hospitalisation Details'!$A:$O, 15, FALSE)</f>
        <v>23</v>
      </c>
    </row>
    <row r="549" ht="15.75" customHeight="1">
      <c r="A549" s="33" t="s">
        <v>1097</v>
      </c>
      <c r="B549" s="22" t="str">
        <f>VLOOKUP($A549,'Customer Names'!$A:$D,3, FALSE)</f>
        <v>Perrich</v>
      </c>
      <c r="C549" s="22">
        <f>VLOOKUP($A549,'Medical Examinations'!$A:$D, 2, FALSE)</f>
        <v>46.62</v>
      </c>
      <c r="D549" s="22">
        <f>VLOOKUP($A549, 'Medical Examinations'!$A:$D,3, FALSE)</f>
        <v>8.51</v>
      </c>
      <c r="E549" s="22" t="str">
        <f>VLOOKUP($A549, 'Medical Examinations'!$A:$D, 4, FALSE)</f>
        <v>No</v>
      </c>
      <c r="F549" s="22" t="str">
        <f>VLOOKUP($A549, 'Medical Examinations'!$A:$J, 5, FALSE)</f>
        <v>No</v>
      </c>
      <c r="G549" s="22" t="str">
        <f>VLOOKUP($A549, 'Medical Examinations'!$A:$I, 6, FALSE)</f>
        <v>No</v>
      </c>
      <c r="H549" s="22">
        <f>VLOOKUP($A549,'Medical Examinations'!$A:$L,10, FALSE)</f>
        <v>0</v>
      </c>
      <c r="I549" s="22" t="str">
        <f>VLOOKUP($A549, 'Medical Examinations'!$A:$J, 9, FALSE)</f>
        <v>No</v>
      </c>
      <c r="J549" s="22" t="str">
        <f>VLOOKUP($A549, 'Medical Examinations'!$A:$P, 11, FALSE)</f>
        <v>OBESITY</v>
      </c>
      <c r="K549" s="34">
        <v>29516.0</v>
      </c>
      <c r="L549" s="35">
        <f>VLOOKUP($A549, 'Hospitalisation Details'!$A:$H, 7, FALSE)</f>
        <v>18031.19</v>
      </c>
      <c r="M549" s="22" t="str">
        <f>VLOOKUP($A549, 'Hospitalisation Details'!$A:$L, 12, FALSE)</f>
        <v>tier - 1</v>
      </c>
      <c r="N549" s="22" t="str">
        <f>VLOOKUP($A549, 'Hospitalisation Details'!$A:$M, 13, FALSE)</f>
        <v>tier - 2</v>
      </c>
      <c r="O549" s="22" t="str">
        <f>VLOOKUP($A549, 'Hospitalisation Details'!$A:$N, 14, FALSE)</f>
        <v>R1012</v>
      </c>
      <c r="P549" s="36">
        <f>VLOOKUP($A549, 'Hospitalisation Details'!$A:$O, 15, FALSE)</f>
        <v>57</v>
      </c>
    </row>
    <row r="550" ht="15.75" customHeight="1">
      <c r="A550" s="33" t="s">
        <v>1099</v>
      </c>
      <c r="B550" s="22" t="str">
        <f>VLOOKUP($A550,'Customer Names'!$A:$D,3, FALSE)</f>
        <v>Cervantes</v>
      </c>
      <c r="C550" s="22">
        <f>VLOOKUP($A550,'Medical Examinations'!$A:$D, 2, FALSE)</f>
        <v>51.75</v>
      </c>
      <c r="D550" s="22">
        <f>VLOOKUP($A550, 'Medical Examinations'!$A:$D,3, FALSE)</f>
        <v>8.59</v>
      </c>
      <c r="E550" s="22" t="str">
        <f>VLOOKUP($A550, 'Medical Examinations'!$A:$D, 4, FALSE)</f>
        <v>Yes</v>
      </c>
      <c r="F550" s="22" t="str">
        <f>VLOOKUP($A550, 'Medical Examinations'!$A:$J, 5, FALSE)</f>
        <v>No</v>
      </c>
      <c r="G550" s="22" t="str">
        <f>VLOOKUP($A550, 'Medical Examinations'!$A:$I, 6, FALSE)</f>
        <v>No</v>
      </c>
      <c r="H550" s="22">
        <f>VLOOKUP($A550,'Medical Examinations'!$A:$L,10, FALSE)</f>
        <v>1</v>
      </c>
      <c r="I550" s="22" t="str">
        <f>VLOOKUP($A550, 'Medical Examinations'!$A:$J, 9, FALSE)</f>
        <v>No</v>
      </c>
      <c r="J550" s="22" t="str">
        <f>VLOOKUP($A550, 'Medical Examinations'!$A:$P, 11, FALSE)</f>
        <v>OBESITY</v>
      </c>
      <c r="K550" s="34">
        <v>29428.0</v>
      </c>
      <c r="L550" s="35">
        <f>VLOOKUP($A550, 'Hospitalisation Details'!$A:$H, 7, FALSE)</f>
        <v>18031.16</v>
      </c>
      <c r="M550" s="22" t="str">
        <f>VLOOKUP($A550, 'Hospitalisation Details'!$A:$L, 12, FALSE)</f>
        <v>tier - 1</v>
      </c>
      <c r="N550" s="22" t="str">
        <f>VLOOKUP($A550, 'Hospitalisation Details'!$A:$M, 13, FALSE)</f>
        <v>tier - 3</v>
      </c>
      <c r="O550" s="22" t="str">
        <f>VLOOKUP($A550, 'Hospitalisation Details'!$A:$N, 14, FALSE)</f>
        <v>R1023</v>
      </c>
      <c r="P550" s="36">
        <f>VLOOKUP($A550, 'Hospitalisation Details'!$A:$O, 15, FALSE)</f>
        <v>47</v>
      </c>
    </row>
    <row r="551" ht="15.75" customHeight="1">
      <c r="A551" s="33" t="s">
        <v>1101</v>
      </c>
      <c r="B551" s="22" t="str">
        <f>VLOOKUP($A551,'Customer Names'!$A:$D,3, FALSE)</f>
        <v>Andrews</v>
      </c>
      <c r="C551" s="22">
        <f>VLOOKUP($A551,'Medical Examinations'!$A:$D, 2, FALSE)</f>
        <v>25.7</v>
      </c>
      <c r="D551" s="22">
        <f>VLOOKUP($A551, 'Medical Examinations'!$A:$D,3, FALSE)</f>
        <v>4.13</v>
      </c>
      <c r="E551" s="22" t="str">
        <f>VLOOKUP($A551, 'Medical Examinations'!$A:$D, 4, FALSE)</f>
        <v>Yes</v>
      </c>
      <c r="F551" s="22" t="str">
        <f>VLOOKUP($A551, 'Medical Examinations'!$A:$J, 5, FALSE)</f>
        <v>No</v>
      </c>
      <c r="G551" s="22" t="str">
        <f>VLOOKUP($A551, 'Medical Examinations'!$A:$I, 6, FALSE)</f>
        <v>No</v>
      </c>
      <c r="H551" s="22">
        <f>VLOOKUP($A551,'Medical Examinations'!$A:$L,10, FALSE)</f>
        <v>0</v>
      </c>
      <c r="I551" s="22" t="str">
        <f>VLOOKUP($A551, 'Medical Examinations'!$A:$J, 9, FALSE)</f>
        <v>Yes</v>
      </c>
      <c r="J551" s="22" t="str">
        <f>VLOOKUP($A551, 'Medical Examinations'!$A:$P, 11, FALSE)</f>
        <v>OVERWEIGHT</v>
      </c>
      <c r="K551" s="34">
        <v>35001.0</v>
      </c>
      <c r="L551" s="35">
        <f>VLOOKUP($A551, 'Hospitalisation Details'!$A:$H, 7, FALSE)</f>
        <v>17942.11</v>
      </c>
      <c r="M551" s="22" t="str">
        <f>VLOOKUP($A551, 'Hospitalisation Details'!$A:$L, 12, FALSE)</f>
        <v>tier - 1</v>
      </c>
      <c r="N551" s="22" t="str">
        <f>VLOOKUP($A551, 'Hospitalisation Details'!$A:$M, 13, FALSE)</f>
        <v>tier - 2</v>
      </c>
      <c r="O551" s="22" t="str">
        <f>VLOOKUP($A551, 'Hospitalisation Details'!$A:$N, 14, FALSE)</f>
        <v>R1011</v>
      </c>
      <c r="P551" s="36">
        <f>VLOOKUP($A551, 'Hospitalisation Details'!$A:$O, 15, FALSE)</f>
        <v>21</v>
      </c>
    </row>
    <row r="552" ht="15.75" customHeight="1">
      <c r="A552" s="33" t="s">
        <v>1103</v>
      </c>
      <c r="B552" s="22" t="str">
        <f>VLOOKUP($A552,'Customer Names'!$A:$D,3, FALSE)</f>
        <v>Ruvalcaba</v>
      </c>
      <c r="C552" s="22">
        <f>VLOOKUP($A552,'Medical Examinations'!$A:$D, 2, FALSE)</f>
        <v>31.79</v>
      </c>
      <c r="D552" s="22">
        <f>VLOOKUP($A552, 'Medical Examinations'!$A:$D,3, FALSE)</f>
        <v>4.55</v>
      </c>
      <c r="E552" s="22" t="str">
        <f>VLOOKUP($A552, 'Medical Examinations'!$A:$D, 4, FALSE)</f>
        <v>No</v>
      </c>
      <c r="F552" s="22" t="str">
        <f>VLOOKUP($A552, 'Medical Examinations'!$A:$J, 5, FALSE)</f>
        <v>No</v>
      </c>
      <c r="G552" s="22" t="str">
        <f>VLOOKUP($A552, 'Medical Examinations'!$A:$I, 6, FALSE)</f>
        <v>No</v>
      </c>
      <c r="H552" s="22">
        <f>VLOOKUP($A552,'Medical Examinations'!$A:$L,10, FALSE)</f>
        <v>0</v>
      </c>
      <c r="I552" s="22" t="str">
        <f>VLOOKUP($A552, 'Medical Examinations'!$A:$J, 9, FALSE)</f>
        <v>No</v>
      </c>
      <c r="J552" s="22" t="str">
        <f>VLOOKUP($A552, 'Medical Examinations'!$A:$P, 11, FALSE)</f>
        <v>OBESITY</v>
      </c>
      <c r="K552" s="34">
        <v>28643.0</v>
      </c>
      <c r="L552" s="35">
        <f>VLOOKUP($A552, 'Hospitalisation Details'!$A:$H, 7, FALSE)</f>
        <v>17929.3</v>
      </c>
      <c r="M552" s="22" t="str">
        <f>VLOOKUP($A552, 'Hospitalisation Details'!$A:$L, 12, FALSE)</f>
        <v>tier - 1</v>
      </c>
      <c r="N552" s="22" t="str">
        <f>VLOOKUP($A552, 'Hospitalisation Details'!$A:$M, 13, FALSE)</f>
        <v>tier - 2</v>
      </c>
      <c r="O552" s="22" t="str">
        <f>VLOOKUP($A552, 'Hospitalisation Details'!$A:$N, 14, FALSE)</f>
        <v>R1013</v>
      </c>
      <c r="P552" s="36">
        <f>VLOOKUP($A552, 'Hospitalisation Details'!$A:$O, 15, FALSE)</f>
        <v>45</v>
      </c>
    </row>
    <row r="553" ht="15.75" customHeight="1">
      <c r="A553" s="33" t="s">
        <v>1105</v>
      </c>
      <c r="B553" s="22" t="str">
        <f>VLOOKUP($A553,'Customer Names'!$A:$D,3, FALSE)</f>
        <v>King</v>
      </c>
      <c r="C553" s="22">
        <f>VLOOKUP($A553,'Medical Examinations'!$A:$D, 2, FALSE)</f>
        <v>24.795</v>
      </c>
      <c r="D553" s="22">
        <f>VLOOKUP($A553, 'Medical Examinations'!$A:$D,3, FALSE)</f>
        <v>4.52</v>
      </c>
      <c r="E553" s="22" t="str">
        <f>VLOOKUP($A553, 'Medical Examinations'!$A:$D, 4, FALSE)</f>
        <v>No</v>
      </c>
      <c r="F553" s="22" t="str">
        <f>VLOOKUP($A553, 'Medical Examinations'!$A:$J, 5, FALSE)</f>
        <v>No</v>
      </c>
      <c r="G553" s="22" t="str">
        <f>VLOOKUP($A553, 'Medical Examinations'!$A:$I, 6, FALSE)</f>
        <v>No</v>
      </c>
      <c r="H553" s="22">
        <f>VLOOKUP($A553,'Medical Examinations'!$A:$L,10, FALSE)</f>
        <v>0</v>
      </c>
      <c r="I553" s="22" t="str">
        <f>VLOOKUP($A553, 'Medical Examinations'!$A:$J, 9, FALSE)</f>
        <v>Yes</v>
      </c>
      <c r="J553" s="22" t="str">
        <f>VLOOKUP($A553, 'Medical Examinations'!$A:$P, 11, FALSE)</f>
        <v>NORMAL WEIGHT</v>
      </c>
      <c r="K553" s="34">
        <v>32811.0</v>
      </c>
      <c r="L553" s="35">
        <f>VLOOKUP($A553, 'Hospitalisation Details'!$A:$H, 7, FALSE)</f>
        <v>17904.53</v>
      </c>
      <c r="M553" s="22" t="str">
        <f>VLOOKUP($A553, 'Hospitalisation Details'!$A:$L, 12, FALSE)</f>
        <v>tier - 1</v>
      </c>
      <c r="N553" s="22" t="str">
        <f>VLOOKUP($A553, 'Hospitalisation Details'!$A:$M, 13, FALSE)</f>
        <v>tier - 2</v>
      </c>
      <c r="O553" s="22" t="str">
        <f>VLOOKUP($A553, 'Hospitalisation Details'!$A:$N, 14, FALSE)</f>
        <v>R1017</v>
      </c>
      <c r="P553" s="36">
        <f>VLOOKUP($A553, 'Hospitalisation Details'!$A:$O, 15, FALSE)</f>
        <v>33</v>
      </c>
    </row>
    <row r="554" ht="15.75" customHeight="1">
      <c r="A554" s="33" t="s">
        <v>1107</v>
      </c>
      <c r="B554" s="22" t="str">
        <f>VLOOKUP($A554,'Customer Names'!$A:$D,3, FALSE)</f>
        <v>Stone</v>
      </c>
      <c r="C554" s="22">
        <f>VLOOKUP($A554,'Medical Examinations'!$A:$D, 2, FALSE)</f>
        <v>53.98</v>
      </c>
      <c r="D554" s="22">
        <f>VLOOKUP($A554, 'Medical Examinations'!$A:$D,3, FALSE)</f>
        <v>5.07</v>
      </c>
      <c r="E554" s="22" t="str">
        <f>VLOOKUP($A554, 'Medical Examinations'!$A:$D, 4, FALSE)</f>
        <v>No</v>
      </c>
      <c r="F554" s="22" t="str">
        <f>VLOOKUP($A554, 'Medical Examinations'!$A:$J, 5, FALSE)</f>
        <v>No</v>
      </c>
      <c r="G554" s="22" t="str">
        <f>VLOOKUP($A554, 'Medical Examinations'!$A:$I, 6, FALSE)</f>
        <v>Yes</v>
      </c>
      <c r="H554" s="22">
        <f>VLOOKUP($A554,'Medical Examinations'!$A:$L,10, FALSE)</f>
        <v>1</v>
      </c>
      <c r="I554" s="22" t="str">
        <f>VLOOKUP($A554, 'Medical Examinations'!$A:$J, 9, FALSE)</f>
        <v>No</v>
      </c>
      <c r="J554" s="22" t="str">
        <f>VLOOKUP($A554, 'Medical Examinations'!$A:$P, 11, FALSE)</f>
        <v>OBESITY</v>
      </c>
      <c r="K554" s="34">
        <v>25390.0</v>
      </c>
      <c r="L554" s="35">
        <f>VLOOKUP($A554, 'Hospitalisation Details'!$A:$H, 7, FALSE)</f>
        <v>17882.67</v>
      </c>
      <c r="M554" s="22" t="str">
        <f>VLOOKUP($A554, 'Hospitalisation Details'!$A:$L, 12, FALSE)</f>
        <v>tier - 1</v>
      </c>
      <c r="N554" s="22" t="str">
        <f>VLOOKUP($A554, 'Hospitalisation Details'!$A:$M, 13, FALSE)</f>
        <v>tier - 3</v>
      </c>
      <c r="O554" s="22" t="str">
        <f>VLOOKUP($A554, 'Hospitalisation Details'!$A:$N, 14, FALSE)</f>
        <v>R1012</v>
      </c>
      <c r="P554" s="36">
        <f>VLOOKUP($A554, 'Hospitalisation Details'!$A:$O, 15, FALSE)</f>
        <v>43</v>
      </c>
    </row>
    <row r="555" ht="15.75" customHeight="1">
      <c r="A555" s="33" t="s">
        <v>1109</v>
      </c>
      <c r="B555" s="22" t="str">
        <f>VLOOKUP($A555,'Customer Names'!$A:$D,3, FALSE)</f>
        <v>Campbell</v>
      </c>
      <c r="C555" s="22">
        <f>VLOOKUP($A555,'Medical Examinations'!$A:$D, 2, FALSE)</f>
        <v>41.325</v>
      </c>
      <c r="D555" s="22">
        <f>VLOOKUP($A555, 'Medical Examinations'!$A:$D,3, FALSE)</f>
        <v>4.04</v>
      </c>
      <c r="E555" s="22" t="str">
        <f>VLOOKUP($A555, 'Medical Examinations'!$A:$D, 4, FALSE)</f>
        <v>Yes</v>
      </c>
      <c r="F555" s="22" t="str">
        <f>VLOOKUP($A555, 'Medical Examinations'!$A:$J, 5, FALSE)</f>
        <v>No</v>
      </c>
      <c r="G555" s="22" t="str">
        <f>VLOOKUP($A555, 'Medical Examinations'!$A:$I, 6, FALSE)</f>
        <v>Yes</v>
      </c>
      <c r="H555" s="22">
        <f>VLOOKUP($A555,'Medical Examinations'!$A:$L,10, FALSE)</f>
        <v>1</v>
      </c>
      <c r="I555" s="22" t="str">
        <f>VLOOKUP($A555, 'Medical Examinations'!$A:$J, 9, FALSE)</f>
        <v>No</v>
      </c>
      <c r="J555" s="22" t="str">
        <f>VLOOKUP($A555, 'Medical Examinations'!$A:$P, 11, FALSE)</f>
        <v>OBESITY</v>
      </c>
      <c r="K555" s="34">
        <v>30195.0</v>
      </c>
      <c r="L555" s="35">
        <f>VLOOKUP($A555, 'Hospitalisation Details'!$A:$H, 7, FALSE)</f>
        <v>17878.9</v>
      </c>
      <c r="M555" s="22" t="str">
        <f>VLOOKUP($A555, 'Hospitalisation Details'!$A:$L, 12, FALSE)</f>
        <v>tier - 1</v>
      </c>
      <c r="N555" s="22" t="str">
        <f>VLOOKUP($A555, 'Hospitalisation Details'!$A:$M, 13, FALSE)</f>
        <v>tier - 2</v>
      </c>
      <c r="O555" s="22" t="str">
        <f>VLOOKUP($A555, 'Hospitalisation Details'!$A:$N, 14, FALSE)</f>
        <v>R1024</v>
      </c>
      <c r="P555" s="36">
        <f>VLOOKUP($A555, 'Hospitalisation Details'!$A:$O, 15, FALSE)</f>
        <v>25</v>
      </c>
    </row>
    <row r="556" ht="15.75" customHeight="1">
      <c r="A556" s="33" t="s">
        <v>1111</v>
      </c>
      <c r="B556" s="22" t="str">
        <f>VLOOKUP($A556,'Customer Names'!$A:$D,3, FALSE)</f>
        <v>Asher</v>
      </c>
      <c r="C556" s="22">
        <f>VLOOKUP($A556,'Medical Examinations'!$A:$D, 2, FALSE)</f>
        <v>51.65</v>
      </c>
      <c r="D556" s="22">
        <f>VLOOKUP($A556, 'Medical Examinations'!$A:$D,3, FALSE)</f>
        <v>5.3</v>
      </c>
      <c r="E556" s="22" t="str">
        <f>VLOOKUP($A556, 'Medical Examinations'!$A:$D, 4, FALSE)</f>
        <v>Yes</v>
      </c>
      <c r="F556" s="22" t="str">
        <f>VLOOKUP($A556, 'Medical Examinations'!$A:$J, 5, FALSE)</f>
        <v>No</v>
      </c>
      <c r="G556" s="22" t="str">
        <f>VLOOKUP($A556, 'Medical Examinations'!$A:$I, 6, FALSE)</f>
        <v>No</v>
      </c>
      <c r="H556" s="22">
        <f>VLOOKUP($A556,'Medical Examinations'!$A:$L,10, FALSE)</f>
        <v>0</v>
      </c>
      <c r="I556" s="22" t="str">
        <f>VLOOKUP($A556, 'Medical Examinations'!$A:$J, 9, FALSE)</f>
        <v>No</v>
      </c>
      <c r="J556" s="22" t="str">
        <f>VLOOKUP($A556, 'Medical Examinations'!$A:$P, 11, FALSE)</f>
        <v>OBESITY</v>
      </c>
      <c r="K556" s="34">
        <v>30242.0</v>
      </c>
      <c r="L556" s="35">
        <f>VLOOKUP($A556, 'Hospitalisation Details'!$A:$H, 7, FALSE)</f>
        <v>17862.92</v>
      </c>
      <c r="M556" s="22" t="str">
        <f>VLOOKUP($A556, 'Hospitalisation Details'!$A:$L, 12, FALSE)</f>
        <v>tier - 1</v>
      </c>
      <c r="N556" s="22" t="str">
        <f>VLOOKUP($A556, 'Hospitalisation Details'!$A:$M, 13, FALSE)</f>
        <v>tier - 2</v>
      </c>
      <c r="O556" s="22" t="str">
        <f>VLOOKUP($A556, 'Hospitalisation Details'!$A:$N, 14, FALSE)</f>
        <v>R1012</v>
      </c>
      <c r="P556" s="36">
        <f>VLOOKUP($A556, 'Hospitalisation Details'!$A:$O, 15, FALSE)</f>
        <v>46</v>
      </c>
    </row>
    <row r="557" ht="15.75" customHeight="1">
      <c r="A557" s="33" t="s">
        <v>1113</v>
      </c>
      <c r="B557" s="22" t="str">
        <f>VLOOKUP($A557,'Customer Names'!$A:$D,3, FALSE)</f>
        <v>Mazzotta</v>
      </c>
      <c r="C557" s="22">
        <f>VLOOKUP($A557,'Medical Examinations'!$A:$D, 2, FALSE)</f>
        <v>44.52</v>
      </c>
      <c r="D557" s="22">
        <f>VLOOKUP($A557, 'Medical Examinations'!$A:$D,3, FALSE)</f>
        <v>8.64</v>
      </c>
      <c r="E557" s="22" t="str">
        <f>VLOOKUP($A557, 'Medical Examinations'!$A:$D, 4, FALSE)</f>
        <v>Yes</v>
      </c>
      <c r="F557" s="22" t="str">
        <f>VLOOKUP($A557, 'Medical Examinations'!$A:$J, 5, FALSE)</f>
        <v>No</v>
      </c>
      <c r="G557" s="22" t="str">
        <f>VLOOKUP($A557, 'Medical Examinations'!$A:$I, 6, FALSE)</f>
        <v>Yes</v>
      </c>
      <c r="H557" s="22">
        <f>VLOOKUP($A557,'Medical Examinations'!$A:$L,10, FALSE)</f>
        <v>1</v>
      </c>
      <c r="I557" s="22" t="str">
        <f>VLOOKUP($A557, 'Medical Examinations'!$A:$J, 9, FALSE)</f>
        <v>No</v>
      </c>
      <c r="J557" s="22" t="str">
        <f>VLOOKUP($A557, 'Medical Examinations'!$A:$P, 11, FALSE)</f>
        <v>OBESITY</v>
      </c>
      <c r="K557" s="34">
        <v>31391.0</v>
      </c>
      <c r="L557" s="35">
        <f>VLOOKUP($A557, 'Hospitalisation Details'!$A:$H, 7, FALSE)</f>
        <v>17832.6</v>
      </c>
      <c r="M557" s="22" t="str">
        <f>VLOOKUP($A557, 'Hospitalisation Details'!$A:$L, 12, FALSE)</f>
        <v>tier - 1</v>
      </c>
      <c r="N557" s="22" t="str">
        <f>VLOOKUP($A557, 'Hospitalisation Details'!$A:$M, 13, FALSE)</f>
        <v>tier - 2</v>
      </c>
      <c r="O557" s="22" t="str">
        <f>VLOOKUP($A557, 'Hospitalisation Details'!$A:$N, 14, FALSE)</f>
        <v>R1012</v>
      </c>
      <c r="P557" s="36">
        <f>VLOOKUP($A557, 'Hospitalisation Details'!$A:$O, 15, FALSE)</f>
        <v>59</v>
      </c>
    </row>
    <row r="558" ht="15.75" customHeight="1">
      <c r="A558" s="33" t="s">
        <v>1115</v>
      </c>
      <c r="B558" s="22" t="str">
        <f>VLOOKUP($A558,'Customer Names'!$A:$D,3, FALSE)</f>
        <v>Huttl</v>
      </c>
      <c r="C558" s="22">
        <f>VLOOKUP($A558,'Medical Examinations'!$A:$D, 2, FALSE)</f>
        <v>53.29</v>
      </c>
      <c r="D558" s="22">
        <f>VLOOKUP($A558, 'Medical Examinations'!$A:$D,3, FALSE)</f>
        <v>4.03</v>
      </c>
      <c r="E558" s="22" t="str">
        <f>VLOOKUP($A558, 'Medical Examinations'!$A:$D, 4, FALSE)</f>
        <v>No</v>
      </c>
      <c r="F558" s="22" t="str">
        <f>VLOOKUP($A558, 'Medical Examinations'!$A:$J, 5, FALSE)</f>
        <v>No</v>
      </c>
      <c r="G558" s="22" t="str">
        <f>VLOOKUP($A558, 'Medical Examinations'!$A:$I, 6, FALSE)</f>
        <v>Yes</v>
      </c>
      <c r="H558" s="22">
        <f>VLOOKUP($A558,'Medical Examinations'!$A:$L,10, FALSE)</f>
        <v>1</v>
      </c>
      <c r="I558" s="22" t="str">
        <f>VLOOKUP($A558, 'Medical Examinations'!$A:$J, 9, FALSE)</f>
        <v>No</v>
      </c>
      <c r="J558" s="22" t="str">
        <f>VLOOKUP($A558, 'Medical Examinations'!$A:$P, 11, FALSE)</f>
        <v>OBESITY</v>
      </c>
      <c r="K558" s="34">
        <v>27548.0</v>
      </c>
      <c r="L558" s="35">
        <f>VLOOKUP($A558, 'Hospitalisation Details'!$A:$H, 7, FALSE)</f>
        <v>17779.94</v>
      </c>
      <c r="M558" s="22" t="str">
        <f>VLOOKUP($A558, 'Hospitalisation Details'!$A:$L, 12, FALSE)</f>
        <v>tier - 1</v>
      </c>
      <c r="N558" s="22" t="str">
        <f>VLOOKUP($A558, 'Hospitalisation Details'!$A:$M, 13, FALSE)</f>
        <v>tier - 2</v>
      </c>
      <c r="O558" s="22" t="str">
        <f>VLOOKUP($A558, 'Hospitalisation Details'!$A:$N, 14, FALSE)</f>
        <v>R1012</v>
      </c>
      <c r="P558" s="36">
        <f>VLOOKUP($A558, 'Hospitalisation Details'!$A:$O, 15, FALSE)</f>
        <v>43</v>
      </c>
    </row>
    <row r="559" ht="15.75" customHeight="1">
      <c r="A559" s="33" t="s">
        <v>1117</v>
      </c>
      <c r="B559" s="22" t="str">
        <f>VLOOKUP($A559,'Customer Names'!$A:$D,3, FALSE)</f>
        <v>Ferron</v>
      </c>
      <c r="C559" s="22">
        <f>VLOOKUP($A559,'Medical Examinations'!$A:$D, 2, FALSE)</f>
        <v>46.63</v>
      </c>
      <c r="D559" s="22">
        <f>VLOOKUP($A559, 'Medical Examinations'!$A:$D,3, FALSE)</f>
        <v>4.26</v>
      </c>
      <c r="E559" s="22" t="str">
        <f>VLOOKUP($A559, 'Medical Examinations'!$A:$D, 4, FALSE)</f>
        <v>Yes</v>
      </c>
      <c r="F559" s="22" t="str">
        <f>VLOOKUP($A559, 'Medical Examinations'!$A:$J, 5, FALSE)</f>
        <v>No</v>
      </c>
      <c r="G559" s="22" t="str">
        <f>VLOOKUP($A559, 'Medical Examinations'!$A:$I, 6, FALSE)</f>
        <v>No</v>
      </c>
      <c r="H559" s="22">
        <f>VLOOKUP($A559,'Medical Examinations'!$A:$L,10, FALSE)</f>
        <v>2</v>
      </c>
      <c r="I559" s="22" t="str">
        <f>VLOOKUP($A559, 'Medical Examinations'!$A:$J, 9, FALSE)</f>
        <v>No</v>
      </c>
      <c r="J559" s="22" t="str">
        <f>VLOOKUP($A559, 'Medical Examinations'!$A:$P, 11, FALSE)</f>
        <v>OBESITY</v>
      </c>
      <c r="K559" s="34">
        <v>29451.0</v>
      </c>
      <c r="L559" s="35">
        <f>VLOOKUP($A559, 'Hospitalisation Details'!$A:$H, 7, FALSE)</f>
        <v>17777.73</v>
      </c>
      <c r="M559" s="22" t="str">
        <f>VLOOKUP($A559, 'Hospitalisation Details'!$A:$L, 12, FALSE)</f>
        <v>tier - 1</v>
      </c>
      <c r="N559" s="22" t="str">
        <f>VLOOKUP($A559, 'Hospitalisation Details'!$A:$M, 13, FALSE)</f>
        <v>tier - 3</v>
      </c>
      <c r="O559" s="22" t="str">
        <f>VLOOKUP($A559, 'Hospitalisation Details'!$A:$N, 14, FALSE)</f>
        <v>R1012</v>
      </c>
      <c r="P559" s="36">
        <f>VLOOKUP($A559, 'Hospitalisation Details'!$A:$O, 15, FALSE)</f>
        <v>56</v>
      </c>
    </row>
    <row r="560" ht="15.75" customHeight="1">
      <c r="A560" s="33" t="s">
        <v>1119</v>
      </c>
      <c r="B560" s="22" t="str">
        <f>VLOOKUP($A560,'Customer Names'!$A:$D,3, FALSE)</f>
        <v>Colarusso</v>
      </c>
      <c r="C560" s="22">
        <f>VLOOKUP($A560,'Medical Examinations'!$A:$D, 2, FALSE)</f>
        <v>28.88</v>
      </c>
      <c r="D560" s="22">
        <f>VLOOKUP($A560, 'Medical Examinations'!$A:$D,3, FALSE)</f>
        <v>5.35</v>
      </c>
      <c r="E560" s="22" t="str">
        <f>VLOOKUP($A560, 'Medical Examinations'!$A:$D, 4, FALSE)</f>
        <v>No</v>
      </c>
      <c r="F560" s="22" t="str">
        <f>VLOOKUP($A560, 'Medical Examinations'!$A:$J, 5, FALSE)</f>
        <v>No</v>
      </c>
      <c r="G560" s="22" t="str">
        <f>VLOOKUP($A560, 'Medical Examinations'!$A:$I, 6, FALSE)</f>
        <v>Yes</v>
      </c>
      <c r="H560" s="22">
        <f>VLOOKUP($A560,'Medical Examinations'!$A:$L,10, FALSE)</f>
        <v>1</v>
      </c>
      <c r="I560" s="22" t="str">
        <f>VLOOKUP($A560, 'Medical Examinations'!$A:$J, 9, FALSE)</f>
        <v>Yes</v>
      </c>
      <c r="J560" s="22" t="str">
        <f>VLOOKUP($A560, 'Medical Examinations'!$A:$P, 11, FALSE)</f>
        <v>OVERWEIGHT</v>
      </c>
      <c r="K560" s="34">
        <v>28839.0</v>
      </c>
      <c r="L560" s="35">
        <f>VLOOKUP($A560, 'Hospitalisation Details'!$A:$H, 7, FALSE)</f>
        <v>17748.51</v>
      </c>
      <c r="M560" s="22" t="str">
        <f>VLOOKUP($A560, 'Hospitalisation Details'!$A:$L, 12, FALSE)</f>
        <v>tier - 1</v>
      </c>
      <c r="N560" s="22" t="str">
        <f>VLOOKUP($A560, 'Hospitalisation Details'!$A:$M, 13, FALSE)</f>
        <v>tier - 1</v>
      </c>
      <c r="O560" s="22" t="str">
        <f>VLOOKUP($A560, 'Hospitalisation Details'!$A:$N, 14, FALSE)</f>
        <v>R1012</v>
      </c>
      <c r="P560" s="36">
        <f>VLOOKUP($A560, 'Hospitalisation Details'!$A:$O, 15, FALSE)</f>
        <v>19</v>
      </c>
    </row>
    <row r="561" ht="15.75" customHeight="1">
      <c r="A561" s="33" t="s">
        <v>1121</v>
      </c>
      <c r="B561" s="22" t="str">
        <f>VLOOKUP($A561,'Customer Names'!$A:$D,3, FALSE)</f>
        <v>Pearlman</v>
      </c>
      <c r="C561" s="22">
        <f>VLOOKUP($A561,'Medical Examinations'!$A:$D, 2, FALSE)</f>
        <v>23.98</v>
      </c>
      <c r="D561" s="22">
        <f>VLOOKUP($A561, 'Medical Examinations'!$A:$D,3, FALSE)</f>
        <v>4.9</v>
      </c>
      <c r="E561" s="22" t="str">
        <f>VLOOKUP($A561, 'Medical Examinations'!$A:$D, 4, FALSE)</f>
        <v>No</v>
      </c>
      <c r="F561" s="22" t="str">
        <f>VLOOKUP($A561, 'Medical Examinations'!$A:$J, 5, FALSE)</f>
        <v>No</v>
      </c>
      <c r="G561" s="22" t="str">
        <f>VLOOKUP($A561, 'Medical Examinations'!$A:$I, 6, FALSE)</f>
        <v>No</v>
      </c>
      <c r="H561" s="22">
        <f>VLOOKUP($A561,'Medical Examinations'!$A:$L,10, FALSE)</f>
        <v>0</v>
      </c>
      <c r="I561" s="22" t="str">
        <f>VLOOKUP($A561, 'Medical Examinations'!$A:$J, 9, FALSE)</f>
        <v>Yes</v>
      </c>
      <c r="J561" s="22" t="str">
        <f>VLOOKUP($A561, 'Medical Examinations'!$A:$P, 11, FALSE)</f>
        <v>NORMAL WEIGHT</v>
      </c>
      <c r="K561" s="34">
        <v>29499.0</v>
      </c>
      <c r="L561" s="35">
        <f>VLOOKUP($A561, 'Hospitalisation Details'!$A:$H, 7, FALSE)</f>
        <v>17663.14</v>
      </c>
      <c r="M561" s="22" t="str">
        <f>VLOOKUP($A561, 'Hospitalisation Details'!$A:$L, 12, FALSE)</f>
        <v>tier - 1</v>
      </c>
      <c r="N561" s="22" t="str">
        <f>VLOOKUP($A561, 'Hospitalisation Details'!$A:$M, 13, FALSE)</f>
        <v>tier - 3</v>
      </c>
      <c r="O561" s="22" t="str">
        <f>VLOOKUP($A561, 'Hospitalisation Details'!$A:$N, 14, FALSE)</f>
        <v>R1013</v>
      </c>
      <c r="P561" s="36">
        <f>VLOOKUP($A561, 'Hospitalisation Details'!$A:$O, 15, FALSE)</f>
        <v>28</v>
      </c>
    </row>
    <row r="562" ht="15.75" customHeight="1">
      <c r="A562" s="33" t="s">
        <v>1123</v>
      </c>
      <c r="B562" s="22" t="str">
        <f>VLOOKUP($A562,'Customer Names'!$A:$D,3, FALSE)</f>
        <v>O'Mara</v>
      </c>
      <c r="C562" s="22">
        <f>VLOOKUP($A562,'Medical Examinations'!$A:$D, 2, FALSE)</f>
        <v>23.65</v>
      </c>
      <c r="D562" s="22">
        <f>VLOOKUP($A562, 'Medical Examinations'!$A:$D,3, FALSE)</f>
        <v>4.5</v>
      </c>
      <c r="E562" s="22" t="str">
        <f>VLOOKUP($A562, 'Medical Examinations'!$A:$D, 4, FALSE)</f>
        <v>No</v>
      </c>
      <c r="F562" s="22" t="str">
        <f>VLOOKUP($A562, 'Medical Examinations'!$A:$J, 5, FALSE)</f>
        <v>No</v>
      </c>
      <c r="G562" s="22" t="str">
        <f>VLOOKUP($A562, 'Medical Examinations'!$A:$I, 6, FALSE)</f>
        <v>No</v>
      </c>
      <c r="H562" s="22">
        <f>VLOOKUP($A562,'Medical Examinations'!$A:$L,10, FALSE)</f>
        <v>0</v>
      </c>
      <c r="I562" s="22" t="str">
        <f>VLOOKUP($A562, 'Medical Examinations'!$A:$J, 9, FALSE)</f>
        <v>No</v>
      </c>
      <c r="J562" s="22" t="str">
        <f>VLOOKUP($A562, 'Medical Examinations'!$A:$P, 11, FALSE)</f>
        <v>NORMAL WEIGHT</v>
      </c>
      <c r="K562" s="34">
        <v>29463.0</v>
      </c>
      <c r="L562" s="35">
        <f>VLOOKUP($A562, 'Hospitalisation Details'!$A:$H, 7, FALSE)</f>
        <v>17626.24</v>
      </c>
      <c r="M562" s="22" t="str">
        <f>VLOOKUP($A562, 'Hospitalisation Details'!$A:$L, 12, FALSE)</f>
        <v>tier - 1</v>
      </c>
      <c r="N562" s="22" t="str">
        <f>VLOOKUP($A562, 'Hospitalisation Details'!$A:$M, 13, FALSE)</f>
        <v>tier - 3</v>
      </c>
      <c r="O562" s="22" t="str">
        <f>VLOOKUP($A562, 'Hospitalisation Details'!$A:$N, 14, FALSE)</f>
        <v>R1013</v>
      </c>
      <c r="P562" s="36">
        <f>VLOOKUP($A562, 'Hospitalisation Details'!$A:$O, 15, FALSE)</f>
        <v>32</v>
      </c>
    </row>
    <row r="563" ht="15.75" customHeight="1">
      <c r="A563" s="33" t="s">
        <v>1125</v>
      </c>
      <c r="B563" s="22" t="str">
        <f>VLOOKUP($A563,'Customer Names'!$A:$D,3, FALSE)</f>
        <v>Niska</v>
      </c>
      <c r="C563" s="22">
        <f>VLOOKUP($A563,'Medical Examinations'!$A:$D, 2, FALSE)</f>
        <v>49.09</v>
      </c>
      <c r="D563" s="22">
        <f>VLOOKUP($A563, 'Medical Examinations'!$A:$D,3, FALSE)</f>
        <v>8.38</v>
      </c>
      <c r="E563" s="22" t="str">
        <f>VLOOKUP($A563, 'Medical Examinations'!$A:$D, 4, FALSE)</f>
        <v>Yes</v>
      </c>
      <c r="F563" s="22" t="str">
        <f>VLOOKUP($A563, 'Medical Examinations'!$A:$J, 5, FALSE)</f>
        <v>No</v>
      </c>
      <c r="G563" s="22" t="str">
        <f>VLOOKUP($A563, 'Medical Examinations'!$A:$I, 6, FALSE)</f>
        <v>No</v>
      </c>
      <c r="H563" s="22">
        <f>VLOOKUP($A563,'Medical Examinations'!$A:$L,10, FALSE)</f>
        <v>2</v>
      </c>
      <c r="I563" s="22" t="str">
        <f>VLOOKUP($A563, 'Medical Examinations'!$A:$J, 9, FALSE)</f>
        <v>No</v>
      </c>
      <c r="J563" s="22" t="str">
        <f>VLOOKUP($A563, 'Medical Examinations'!$A:$P, 11, FALSE)</f>
        <v>OBESITY</v>
      </c>
      <c r="K563" s="34">
        <v>28823.0</v>
      </c>
      <c r="L563" s="35">
        <f>VLOOKUP($A563, 'Hospitalisation Details'!$A:$H, 7, FALSE)</f>
        <v>17584.72</v>
      </c>
      <c r="M563" s="22" t="str">
        <f>VLOOKUP($A563, 'Hospitalisation Details'!$A:$L, 12, FALSE)</f>
        <v>tier - 1</v>
      </c>
      <c r="N563" s="22" t="str">
        <f>VLOOKUP($A563, 'Hospitalisation Details'!$A:$M, 13, FALSE)</f>
        <v>tier - 3</v>
      </c>
      <c r="O563" s="22" t="str">
        <f>VLOOKUP($A563, 'Hospitalisation Details'!$A:$N, 14, FALSE)</f>
        <v>R1012</v>
      </c>
      <c r="P563" s="36">
        <f>VLOOKUP($A563, 'Hospitalisation Details'!$A:$O, 15, FALSE)</f>
        <v>52</v>
      </c>
    </row>
    <row r="564" ht="15.75" customHeight="1">
      <c r="A564" s="33" t="s">
        <v>1127</v>
      </c>
      <c r="B564" s="22" t="str">
        <f>VLOOKUP($A564,'Customer Names'!$A:$D,3, FALSE)</f>
        <v>Schlich</v>
      </c>
      <c r="C564" s="22">
        <f>VLOOKUP($A564,'Medical Examinations'!$A:$D, 2, FALSE)</f>
        <v>28.025</v>
      </c>
      <c r="D564" s="22">
        <f>VLOOKUP($A564, 'Medical Examinations'!$A:$D,3, FALSE)</f>
        <v>7.03</v>
      </c>
      <c r="E564" s="22" t="str">
        <f>VLOOKUP($A564, 'Medical Examinations'!$A:$D, 4, FALSE)</f>
        <v>No</v>
      </c>
      <c r="F564" s="22" t="str">
        <f>VLOOKUP($A564, 'Medical Examinations'!$A:$J, 5, FALSE)</f>
        <v>No</v>
      </c>
      <c r="G564" s="22" t="str">
        <f>VLOOKUP($A564, 'Medical Examinations'!$A:$I, 6, FALSE)</f>
        <v>No</v>
      </c>
      <c r="H564" s="22">
        <f>VLOOKUP($A564,'Medical Examinations'!$A:$L,10, FALSE)</f>
        <v>0</v>
      </c>
      <c r="I564" s="22" t="str">
        <f>VLOOKUP($A564, 'Medical Examinations'!$A:$J, 9, FALSE)</f>
        <v>Yes</v>
      </c>
      <c r="J564" s="22" t="str">
        <f>VLOOKUP($A564, 'Medical Examinations'!$A:$P, 11, FALSE)</f>
        <v>OVERWEIGHT</v>
      </c>
      <c r="K564" s="34">
        <v>22636.0</v>
      </c>
      <c r="L564" s="35">
        <f>VLOOKUP($A564, 'Hospitalisation Details'!$A:$H, 7, FALSE)</f>
        <v>17560.38</v>
      </c>
      <c r="M564" s="22" t="str">
        <f>VLOOKUP($A564, 'Hospitalisation Details'!$A:$L, 12, FALSE)</f>
        <v>tier - 1</v>
      </c>
      <c r="N564" s="22" t="str">
        <f>VLOOKUP($A564, 'Hospitalisation Details'!$A:$M, 13, FALSE)</f>
        <v>tier - 1</v>
      </c>
      <c r="O564" s="22" t="str">
        <f>VLOOKUP($A564, 'Hospitalisation Details'!$A:$N, 14, FALSE)</f>
        <v>R1012</v>
      </c>
      <c r="P564" s="36">
        <f>VLOOKUP($A564, 'Hospitalisation Details'!$A:$O, 15, FALSE)</f>
        <v>20</v>
      </c>
    </row>
    <row r="565" ht="15.75" customHeight="1">
      <c r="A565" s="33" t="s">
        <v>1129</v>
      </c>
      <c r="B565" s="22" t="str">
        <f>VLOOKUP($A565,'Customer Names'!$A:$D,3, FALSE)</f>
        <v>Zidek</v>
      </c>
      <c r="C565" s="22">
        <f>VLOOKUP($A565,'Medical Examinations'!$A:$D, 2, FALSE)</f>
        <v>43.32</v>
      </c>
      <c r="D565" s="22">
        <f>VLOOKUP($A565, 'Medical Examinations'!$A:$D,3, FALSE)</f>
        <v>8.75</v>
      </c>
      <c r="E565" s="22" t="str">
        <f>VLOOKUP($A565, 'Medical Examinations'!$A:$D, 4, FALSE)</f>
        <v>Yes</v>
      </c>
      <c r="F565" s="22" t="str">
        <f>VLOOKUP($A565, 'Medical Examinations'!$A:$J, 5, FALSE)</f>
        <v>No</v>
      </c>
      <c r="G565" s="22" t="str">
        <f>VLOOKUP($A565, 'Medical Examinations'!$A:$I, 6, FALSE)</f>
        <v>Yes</v>
      </c>
      <c r="H565" s="22">
        <f>VLOOKUP($A565,'Medical Examinations'!$A:$L,10, FALSE)</f>
        <v>1</v>
      </c>
      <c r="I565" s="22" t="str">
        <f>VLOOKUP($A565, 'Medical Examinations'!$A:$J, 9, FALSE)</f>
        <v>No</v>
      </c>
      <c r="J565" s="22" t="str">
        <f>VLOOKUP($A565, 'Medical Examinations'!$A:$P, 11, FALSE)</f>
        <v>OBESITY</v>
      </c>
      <c r="K565" s="34">
        <v>29449.0</v>
      </c>
      <c r="L565" s="35">
        <f>VLOOKUP($A565, 'Hospitalisation Details'!$A:$H, 7, FALSE)</f>
        <v>17556.88</v>
      </c>
      <c r="M565" s="22" t="str">
        <f>VLOOKUP($A565, 'Hospitalisation Details'!$A:$L, 12, FALSE)</f>
        <v>tier - 1</v>
      </c>
      <c r="N565" s="22" t="str">
        <f>VLOOKUP($A565, 'Hospitalisation Details'!$A:$M, 13, FALSE)</f>
        <v>tier - 2</v>
      </c>
      <c r="O565" s="22" t="str">
        <f>VLOOKUP($A565, 'Hospitalisation Details'!$A:$N, 14, FALSE)</f>
        <v>R1012</v>
      </c>
      <c r="P565" s="36">
        <f>VLOOKUP($A565, 'Hospitalisation Details'!$A:$O, 15, FALSE)</f>
        <v>59</v>
      </c>
    </row>
    <row r="566" ht="15.75" customHeight="1">
      <c r="A566" s="33" t="s">
        <v>1131</v>
      </c>
      <c r="B566" s="22" t="str">
        <f>VLOOKUP($A566,'Customer Names'!$A:$D,3, FALSE)</f>
        <v>Ellgass</v>
      </c>
      <c r="C566" s="22">
        <f>VLOOKUP($A566,'Medical Examinations'!$A:$D, 2, FALSE)</f>
        <v>45.92</v>
      </c>
      <c r="D566" s="22">
        <f>VLOOKUP($A566, 'Medical Examinations'!$A:$D,3, FALSE)</f>
        <v>9.51</v>
      </c>
      <c r="E566" s="22" t="str">
        <f>VLOOKUP($A566, 'Medical Examinations'!$A:$D, 4, FALSE)</f>
        <v>No</v>
      </c>
      <c r="F566" s="22" t="str">
        <f>VLOOKUP($A566, 'Medical Examinations'!$A:$J, 5, FALSE)</f>
        <v>No</v>
      </c>
      <c r="G566" s="22" t="str">
        <f>VLOOKUP($A566, 'Medical Examinations'!$A:$I, 6, FALSE)</f>
        <v>No</v>
      </c>
      <c r="H566" s="22">
        <f>VLOOKUP($A566,'Medical Examinations'!$A:$L,10, FALSE)</f>
        <v>0</v>
      </c>
      <c r="I566" s="22" t="str">
        <f>VLOOKUP($A566, 'Medical Examinations'!$A:$J, 9, FALSE)</f>
        <v>No</v>
      </c>
      <c r="J566" s="22" t="str">
        <f>VLOOKUP($A566, 'Medical Examinations'!$A:$P, 11, FALSE)</f>
        <v>OBESITY</v>
      </c>
      <c r="K566" s="34">
        <v>30930.0</v>
      </c>
      <c r="L566" s="35">
        <f>VLOOKUP($A566, 'Hospitalisation Details'!$A:$H, 7, FALSE)</f>
        <v>17507.47</v>
      </c>
      <c r="M566" s="22" t="str">
        <f>VLOOKUP($A566, 'Hospitalisation Details'!$A:$L, 12, FALSE)</f>
        <v>tier - 1</v>
      </c>
      <c r="N566" s="22" t="str">
        <f>VLOOKUP($A566, 'Hospitalisation Details'!$A:$M, 13, FALSE)</f>
        <v>tier - 1</v>
      </c>
      <c r="O566" s="22" t="str">
        <f>VLOOKUP($A566, 'Hospitalisation Details'!$A:$N, 14, FALSE)</f>
        <v>R1026</v>
      </c>
      <c r="P566" s="36">
        <f>VLOOKUP($A566, 'Hospitalisation Details'!$A:$O, 15, FALSE)</f>
        <v>54</v>
      </c>
    </row>
    <row r="567" ht="15.75" customHeight="1">
      <c r="A567" s="33" t="s">
        <v>1133</v>
      </c>
      <c r="B567" s="22" t="str">
        <f>VLOOKUP($A567,'Customer Names'!$A:$D,3, FALSE)</f>
        <v>Lowe</v>
      </c>
      <c r="C567" s="22">
        <f>VLOOKUP($A567,'Medical Examinations'!$A:$D, 2, FALSE)</f>
        <v>44.03</v>
      </c>
      <c r="D567" s="22">
        <f>VLOOKUP($A567, 'Medical Examinations'!$A:$D,3, FALSE)</f>
        <v>9.36</v>
      </c>
      <c r="E567" s="22" t="str">
        <f>VLOOKUP($A567, 'Medical Examinations'!$A:$D, 4, FALSE)</f>
        <v>No</v>
      </c>
      <c r="F567" s="22" t="str">
        <f>VLOOKUP($A567, 'Medical Examinations'!$A:$J, 5, FALSE)</f>
        <v>No</v>
      </c>
      <c r="G567" s="22" t="str">
        <f>VLOOKUP($A567, 'Medical Examinations'!$A:$I, 6, FALSE)</f>
        <v>No</v>
      </c>
      <c r="H567" s="22">
        <f>VLOOKUP($A567,'Medical Examinations'!$A:$L,10, FALSE)</f>
        <v>0</v>
      </c>
      <c r="I567" s="22" t="str">
        <f>VLOOKUP($A567, 'Medical Examinations'!$A:$J, 9, FALSE)</f>
        <v>No</v>
      </c>
      <c r="J567" s="22" t="str">
        <f>VLOOKUP($A567, 'Medical Examinations'!$A:$P, 11, FALSE)</f>
        <v>OBESITY</v>
      </c>
      <c r="K567" s="34">
        <v>32863.0</v>
      </c>
      <c r="L567" s="35">
        <f>VLOOKUP($A567, 'Hospitalisation Details'!$A:$H, 7, FALSE)</f>
        <v>17505.65</v>
      </c>
      <c r="M567" s="22" t="str">
        <f>VLOOKUP($A567, 'Hospitalisation Details'!$A:$L, 12, FALSE)</f>
        <v>tier - 1</v>
      </c>
      <c r="N567" s="22" t="str">
        <f>VLOOKUP($A567, 'Hospitalisation Details'!$A:$M, 13, FALSE)</f>
        <v>tier - 2</v>
      </c>
      <c r="O567" s="22" t="str">
        <f>VLOOKUP($A567, 'Hospitalisation Details'!$A:$N, 14, FALSE)</f>
        <v>R1023</v>
      </c>
      <c r="P567" s="36">
        <f>VLOOKUP($A567, 'Hospitalisation Details'!$A:$O, 15, FALSE)</f>
        <v>57</v>
      </c>
    </row>
    <row r="568" ht="15.75" customHeight="1">
      <c r="A568" s="33" t="s">
        <v>1135</v>
      </c>
      <c r="B568" s="22" t="str">
        <f>VLOOKUP($A568,'Customer Names'!$A:$D,3, FALSE)</f>
        <v>Malone</v>
      </c>
      <c r="C568" s="22">
        <f>VLOOKUP($A568,'Medical Examinations'!$A:$D, 2, FALSE)</f>
        <v>24.6</v>
      </c>
      <c r="D568" s="22">
        <f>VLOOKUP($A568, 'Medical Examinations'!$A:$D,3, FALSE)</f>
        <v>4.81</v>
      </c>
      <c r="E568" s="22" t="str">
        <f>VLOOKUP($A568, 'Medical Examinations'!$A:$D, 4, FALSE)</f>
        <v>No</v>
      </c>
      <c r="F568" s="22" t="str">
        <f>VLOOKUP($A568, 'Medical Examinations'!$A:$J, 5, FALSE)</f>
        <v>No</v>
      </c>
      <c r="G568" s="22" t="str">
        <f>VLOOKUP($A568, 'Medical Examinations'!$A:$I, 6, FALSE)</f>
        <v>No</v>
      </c>
      <c r="H568" s="22">
        <f>VLOOKUP($A568,'Medical Examinations'!$A:$L,10, FALSE)</f>
        <v>0</v>
      </c>
      <c r="I568" s="22" t="str">
        <f>VLOOKUP($A568, 'Medical Examinations'!$A:$J, 9, FALSE)</f>
        <v>Yes</v>
      </c>
      <c r="J568" s="22" t="str">
        <f>VLOOKUP($A568, 'Medical Examinations'!$A:$P, 11, FALSE)</f>
        <v>NORMAL WEIGHT</v>
      </c>
      <c r="K568" s="34">
        <v>31300.0</v>
      </c>
      <c r="L568" s="35">
        <f>VLOOKUP($A568, 'Hospitalisation Details'!$A:$H, 7, FALSE)</f>
        <v>17496.31</v>
      </c>
      <c r="M568" s="22" t="str">
        <f>VLOOKUP($A568, 'Hospitalisation Details'!$A:$L, 12, FALSE)</f>
        <v>tier - 1</v>
      </c>
      <c r="N568" s="22" t="str">
        <f>VLOOKUP($A568, 'Hospitalisation Details'!$A:$M, 13, FALSE)</f>
        <v>tier - 2</v>
      </c>
      <c r="O568" s="22" t="str">
        <f>VLOOKUP($A568, 'Hospitalisation Details'!$A:$N, 14, FALSE)</f>
        <v>R1011</v>
      </c>
      <c r="P568" s="36">
        <f>VLOOKUP($A568, 'Hospitalisation Details'!$A:$O, 15, FALSE)</f>
        <v>32</v>
      </c>
    </row>
    <row r="569" ht="15.75" customHeight="1">
      <c r="A569" s="33" t="s">
        <v>1137</v>
      </c>
      <c r="B569" s="22" t="str">
        <f>VLOOKUP($A569,'Customer Names'!$A:$D,3, FALSE)</f>
        <v>Dumke</v>
      </c>
      <c r="C569" s="22">
        <f>VLOOKUP($A569,'Medical Examinations'!$A:$D, 2, FALSE)</f>
        <v>49.15</v>
      </c>
      <c r="D569" s="22">
        <f>VLOOKUP($A569, 'Medical Examinations'!$A:$D,3, FALSE)</f>
        <v>8.08</v>
      </c>
      <c r="E569" s="22" t="str">
        <f>VLOOKUP($A569, 'Medical Examinations'!$A:$D, 4, FALSE)</f>
        <v>No</v>
      </c>
      <c r="F569" s="22" t="str">
        <f>VLOOKUP($A569, 'Medical Examinations'!$A:$J, 5, FALSE)</f>
        <v>No</v>
      </c>
      <c r="G569" s="22" t="str">
        <f>VLOOKUP($A569, 'Medical Examinations'!$A:$I, 6, FALSE)</f>
        <v>No</v>
      </c>
      <c r="H569" s="22">
        <f>VLOOKUP($A569,'Medical Examinations'!$A:$L,10, FALSE)</f>
        <v>0</v>
      </c>
      <c r="I569" s="22" t="str">
        <f>VLOOKUP($A569, 'Medical Examinations'!$A:$J, 9, FALSE)</f>
        <v>No</v>
      </c>
      <c r="J569" s="22" t="str">
        <f>VLOOKUP($A569, 'Medical Examinations'!$A:$P, 11, FALSE)</f>
        <v>OBESITY</v>
      </c>
      <c r="K569" s="34">
        <v>38345.0</v>
      </c>
      <c r="L569" s="35">
        <f>VLOOKUP($A569, 'Hospitalisation Details'!$A:$H, 7, FALSE)</f>
        <v>17479.53</v>
      </c>
      <c r="M569" s="22" t="str">
        <f>VLOOKUP($A569, 'Hospitalisation Details'!$A:$L, 12, FALSE)</f>
        <v>tier - 1</v>
      </c>
      <c r="N569" s="22" t="str">
        <f>VLOOKUP($A569, 'Hospitalisation Details'!$A:$M, 13, FALSE)</f>
        <v>tier - 1</v>
      </c>
      <c r="O569" s="22" t="str">
        <f>VLOOKUP($A569, 'Hospitalisation Details'!$A:$N, 14, FALSE)</f>
        <v>R1012</v>
      </c>
      <c r="P569" s="36">
        <f>VLOOKUP($A569, 'Hospitalisation Details'!$A:$O, 15, FALSE)</f>
        <v>52</v>
      </c>
    </row>
    <row r="570" ht="15.75" customHeight="1">
      <c r="A570" s="33" t="s">
        <v>1139</v>
      </c>
      <c r="B570" s="22" t="str">
        <f>VLOOKUP($A570,'Customer Names'!$A:$D,3, FALSE)</f>
        <v>Strong</v>
      </c>
      <c r="C570" s="22">
        <f>VLOOKUP($A570,'Medical Examinations'!$A:$D, 2, FALSE)</f>
        <v>28.31</v>
      </c>
      <c r="D570" s="22">
        <f>VLOOKUP($A570, 'Medical Examinations'!$A:$D,3, FALSE)</f>
        <v>6.29</v>
      </c>
      <c r="E570" s="22" t="str">
        <f>VLOOKUP($A570, 'Medical Examinations'!$A:$D, 4, FALSE)</f>
        <v>No</v>
      </c>
      <c r="F570" s="22" t="str">
        <f>VLOOKUP($A570, 'Medical Examinations'!$A:$J, 5, FALSE)</f>
        <v>No</v>
      </c>
      <c r="G570" s="22" t="str">
        <f>VLOOKUP($A570, 'Medical Examinations'!$A:$I, 6, FALSE)</f>
        <v>Yes</v>
      </c>
      <c r="H570" s="22">
        <f>VLOOKUP($A570,'Medical Examinations'!$A:$L,10, FALSE)</f>
        <v>1</v>
      </c>
      <c r="I570" s="22" t="str">
        <f>VLOOKUP($A570, 'Medical Examinations'!$A:$J, 9, FALSE)</f>
        <v>Yes</v>
      </c>
      <c r="J570" s="22" t="str">
        <f>VLOOKUP($A570, 'Medical Examinations'!$A:$P, 11, FALSE)</f>
        <v>OVERWEIGHT</v>
      </c>
      <c r="K570" s="34">
        <v>29760.0</v>
      </c>
      <c r="L570" s="35">
        <f>VLOOKUP($A570, 'Hospitalisation Details'!$A:$H, 7, FALSE)</f>
        <v>17468.98</v>
      </c>
      <c r="M570" s="22" t="str">
        <f>VLOOKUP($A570, 'Hospitalisation Details'!$A:$L, 12, FALSE)</f>
        <v>tier - 2</v>
      </c>
      <c r="N570" s="22" t="str">
        <f>VLOOKUP($A570, 'Hospitalisation Details'!$A:$M, 13, FALSE)</f>
        <v>tier - 1</v>
      </c>
      <c r="O570" s="22" t="str">
        <f>VLOOKUP($A570, 'Hospitalisation Details'!$A:$N, 14, FALSE)</f>
        <v>R1012</v>
      </c>
      <c r="P570" s="36">
        <f>VLOOKUP($A570, 'Hospitalisation Details'!$A:$O, 15, FALSE)</f>
        <v>19</v>
      </c>
    </row>
    <row r="571" ht="15.75" customHeight="1">
      <c r="A571" s="33" t="s">
        <v>1141</v>
      </c>
      <c r="B571" s="22" t="str">
        <f>VLOOKUP($A571,'Customer Names'!$A:$D,3, FALSE)</f>
        <v>Ferguson</v>
      </c>
      <c r="C571" s="22">
        <f>VLOOKUP($A571,'Medical Examinations'!$A:$D, 2, FALSE)</f>
        <v>22.99</v>
      </c>
      <c r="D571" s="22">
        <f>VLOOKUP($A571, 'Medical Examinations'!$A:$D,3, FALSE)</f>
        <v>6.29</v>
      </c>
      <c r="E571" s="22" t="str">
        <f>VLOOKUP($A571, 'Medical Examinations'!$A:$D, 4, FALSE)</f>
        <v>No</v>
      </c>
      <c r="F571" s="22" t="str">
        <f>VLOOKUP($A571, 'Medical Examinations'!$A:$J, 5, FALSE)</f>
        <v>No</v>
      </c>
      <c r="G571" s="22" t="str">
        <f>VLOOKUP($A571, 'Medical Examinations'!$A:$I, 6, FALSE)</f>
        <v>No</v>
      </c>
      <c r="H571" s="22">
        <f>VLOOKUP($A571,'Medical Examinations'!$A:$L,10, FALSE)</f>
        <v>1</v>
      </c>
      <c r="I571" s="22" t="str">
        <f>VLOOKUP($A571, 'Medical Examinations'!$A:$J, 9, FALSE)</f>
        <v>Yes</v>
      </c>
      <c r="J571" s="22" t="str">
        <f>VLOOKUP($A571, 'Medical Examinations'!$A:$P, 11, FALSE)</f>
        <v>NORMAL WEIGHT</v>
      </c>
      <c r="K571" s="34">
        <v>25499.0</v>
      </c>
      <c r="L571" s="35">
        <f>VLOOKUP($A571, 'Hospitalisation Details'!$A:$H, 7, FALSE)</f>
        <v>17361.77</v>
      </c>
      <c r="M571" s="22" t="str">
        <f>VLOOKUP($A571, 'Hospitalisation Details'!$A:$L, 12, FALSE)</f>
        <v>tier - 2</v>
      </c>
      <c r="N571" s="22" t="str">
        <f>VLOOKUP($A571, 'Hospitalisation Details'!$A:$M, 13, FALSE)</f>
        <v>tier - 1</v>
      </c>
      <c r="O571" s="22" t="str">
        <f>VLOOKUP($A571, 'Hospitalisation Details'!$A:$N, 14, FALSE)</f>
        <v>R1012</v>
      </c>
      <c r="P571" s="36">
        <f>VLOOKUP($A571, 'Hospitalisation Details'!$A:$O, 15, FALSE)</f>
        <v>30</v>
      </c>
    </row>
    <row r="572" ht="15.75" customHeight="1">
      <c r="A572" s="33" t="s">
        <v>1143</v>
      </c>
      <c r="B572" s="22" t="str">
        <f>VLOOKUP($A572,'Customer Names'!$A:$D,3, FALSE)</f>
        <v>Klein</v>
      </c>
      <c r="C572" s="22">
        <f>VLOOKUP($A572,'Medical Examinations'!$A:$D, 2, FALSE)</f>
        <v>29.07</v>
      </c>
      <c r="D572" s="22">
        <f>VLOOKUP($A572, 'Medical Examinations'!$A:$D,3, FALSE)</f>
        <v>5.12</v>
      </c>
      <c r="E572" s="22" t="str">
        <f>VLOOKUP($A572, 'Medical Examinations'!$A:$D, 4, FALSE)</f>
        <v>No</v>
      </c>
      <c r="F572" s="22" t="str">
        <f>VLOOKUP($A572, 'Medical Examinations'!$A:$J, 5, FALSE)</f>
        <v>No</v>
      </c>
      <c r="G572" s="22" t="str">
        <f>VLOOKUP($A572, 'Medical Examinations'!$A:$I, 6, FALSE)</f>
        <v>Yes</v>
      </c>
      <c r="H572" s="22">
        <f>VLOOKUP($A572,'Medical Examinations'!$A:$L,10, FALSE)</f>
        <v>1</v>
      </c>
      <c r="I572" s="22" t="str">
        <f>VLOOKUP($A572, 'Medical Examinations'!$A:$J, 9, FALSE)</f>
        <v>Yes</v>
      </c>
      <c r="J572" s="22" t="str">
        <f>VLOOKUP($A572, 'Medical Examinations'!$A:$P, 11, FALSE)</f>
        <v>OVERWEIGHT</v>
      </c>
      <c r="K572" s="34">
        <v>28707.0</v>
      </c>
      <c r="L572" s="35">
        <f>VLOOKUP($A572, 'Hospitalisation Details'!$A:$H, 7, FALSE)</f>
        <v>17352.68</v>
      </c>
      <c r="M572" s="22" t="str">
        <f>VLOOKUP($A572, 'Hospitalisation Details'!$A:$L, 12, FALSE)</f>
        <v>tier - 2</v>
      </c>
      <c r="N572" s="22" t="str">
        <f>VLOOKUP($A572, 'Hospitalisation Details'!$A:$M, 13, FALSE)</f>
        <v>tier - 3</v>
      </c>
      <c r="O572" s="22" t="str">
        <f>VLOOKUP($A572, 'Hospitalisation Details'!$A:$N, 14, FALSE)</f>
        <v>R1012</v>
      </c>
      <c r="P572" s="36">
        <f>VLOOKUP($A572, 'Hospitalisation Details'!$A:$O, 15, FALSE)</f>
        <v>19</v>
      </c>
    </row>
    <row r="573" ht="15.75" customHeight="1">
      <c r="A573" s="33" t="s">
        <v>1145</v>
      </c>
      <c r="B573" s="22" t="str">
        <f>VLOOKUP($A573,'Customer Names'!$A:$D,3, FALSE)</f>
        <v>Eusebio</v>
      </c>
      <c r="C573" s="22">
        <f>VLOOKUP($A573,'Medical Examinations'!$A:$D, 2, FALSE)</f>
        <v>42.02</v>
      </c>
      <c r="D573" s="22">
        <f>VLOOKUP($A573, 'Medical Examinations'!$A:$D,3, FALSE)</f>
        <v>9.95</v>
      </c>
      <c r="E573" s="22" t="str">
        <f>VLOOKUP($A573, 'Medical Examinations'!$A:$D, 4, FALSE)</f>
        <v>Yes</v>
      </c>
      <c r="F573" s="22" t="str">
        <f>VLOOKUP($A573, 'Medical Examinations'!$A:$J, 5, FALSE)</f>
        <v>No</v>
      </c>
      <c r="G573" s="22" t="str">
        <f>VLOOKUP($A573, 'Medical Examinations'!$A:$I, 6, FALSE)</f>
        <v>Yes</v>
      </c>
      <c r="H573" s="22">
        <f>VLOOKUP($A573,'Medical Examinations'!$A:$L,10, FALSE)</f>
        <v>1</v>
      </c>
      <c r="I573" s="22" t="str">
        <f>VLOOKUP($A573, 'Medical Examinations'!$A:$J, 9, FALSE)</f>
        <v>No</v>
      </c>
      <c r="J573" s="22" t="str">
        <f>VLOOKUP($A573, 'Medical Examinations'!$A:$P, 11, FALSE)</f>
        <v>OBESITY</v>
      </c>
      <c r="K573" s="34">
        <v>29756.0</v>
      </c>
      <c r="L573" s="35">
        <f>VLOOKUP($A573, 'Hospitalisation Details'!$A:$H, 7, FALSE)</f>
        <v>17337.58</v>
      </c>
      <c r="M573" s="22" t="str">
        <f>VLOOKUP($A573, 'Hospitalisation Details'!$A:$L, 12, FALSE)</f>
        <v>tier - 2</v>
      </c>
      <c r="N573" s="22" t="str">
        <f>VLOOKUP($A573, 'Hospitalisation Details'!$A:$M, 13, FALSE)</f>
        <v>tier - 3</v>
      </c>
      <c r="O573" s="22" t="str">
        <f>VLOOKUP($A573, 'Hospitalisation Details'!$A:$N, 14, FALSE)</f>
        <v>R1023</v>
      </c>
      <c r="P573" s="36">
        <f>VLOOKUP($A573, 'Hospitalisation Details'!$A:$O, 15, FALSE)</f>
        <v>59</v>
      </c>
    </row>
    <row r="574" ht="15.75" customHeight="1">
      <c r="A574" s="33" t="s">
        <v>1147</v>
      </c>
      <c r="B574" s="22" t="str">
        <f>VLOOKUP($A574,'Customer Names'!$A:$D,3, FALSE)</f>
        <v>Szolosi</v>
      </c>
      <c r="C574" s="22">
        <f>VLOOKUP($A574,'Medical Examinations'!$A:$D, 2, FALSE)</f>
        <v>49.07</v>
      </c>
      <c r="D574" s="22">
        <f>VLOOKUP($A574, 'Medical Examinations'!$A:$D,3, FALSE)</f>
        <v>9.08</v>
      </c>
      <c r="E574" s="22" t="str">
        <f>VLOOKUP($A574, 'Medical Examinations'!$A:$D, 4, FALSE)</f>
        <v>Yes</v>
      </c>
      <c r="F574" s="22" t="str">
        <f>VLOOKUP($A574, 'Medical Examinations'!$A:$J, 5, FALSE)</f>
        <v>No</v>
      </c>
      <c r="G574" s="22" t="str">
        <f>VLOOKUP($A574, 'Medical Examinations'!$A:$I, 6, FALSE)</f>
        <v>No</v>
      </c>
      <c r="H574" s="22">
        <f>VLOOKUP($A574,'Medical Examinations'!$A:$L,10, FALSE)</f>
        <v>1</v>
      </c>
      <c r="I574" s="22" t="str">
        <f>VLOOKUP($A574, 'Medical Examinations'!$A:$J, 9, FALSE)</f>
        <v>No</v>
      </c>
      <c r="J574" s="22" t="str">
        <f>VLOOKUP($A574, 'Medical Examinations'!$A:$P, 11, FALSE)</f>
        <v>OBESITY</v>
      </c>
      <c r="K574" s="34">
        <v>29163.0</v>
      </c>
      <c r="L574" s="35">
        <f>VLOOKUP($A574, 'Hospitalisation Details'!$A:$H, 7, FALSE)</f>
        <v>17253.43</v>
      </c>
      <c r="M574" s="22" t="str">
        <f>VLOOKUP($A574, 'Hospitalisation Details'!$A:$L, 12, FALSE)</f>
        <v>tier - 2</v>
      </c>
      <c r="N574" s="22" t="str">
        <f>VLOOKUP($A574, 'Hospitalisation Details'!$A:$M, 13, FALSE)</f>
        <v>tier - 3</v>
      </c>
      <c r="O574" s="22" t="str">
        <f>VLOOKUP($A574, 'Hospitalisation Details'!$A:$N, 14, FALSE)</f>
        <v>R1026</v>
      </c>
      <c r="P574" s="36">
        <f>VLOOKUP($A574, 'Hospitalisation Details'!$A:$O, 15, FALSE)</f>
        <v>47</v>
      </c>
    </row>
    <row r="575" ht="15.75" customHeight="1">
      <c r="A575" s="33" t="s">
        <v>1149</v>
      </c>
      <c r="B575" s="22" t="str">
        <f>VLOOKUP($A575,'Customer Names'!$A:$D,3, FALSE)</f>
        <v>Butler</v>
      </c>
      <c r="C575" s="22">
        <f>VLOOKUP($A575,'Medical Examinations'!$A:$D, 2, FALSE)</f>
        <v>19.8</v>
      </c>
      <c r="D575" s="22">
        <f>VLOOKUP($A575, 'Medical Examinations'!$A:$D,3, FALSE)</f>
        <v>4.82</v>
      </c>
      <c r="E575" s="22" t="str">
        <f>VLOOKUP($A575, 'Medical Examinations'!$A:$D, 4, FALSE)</f>
        <v>No</v>
      </c>
      <c r="F575" s="22" t="str">
        <f>VLOOKUP($A575, 'Medical Examinations'!$A:$J, 5, FALSE)</f>
        <v>No</v>
      </c>
      <c r="G575" s="22" t="str">
        <f>VLOOKUP($A575, 'Medical Examinations'!$A:$I, 6, FALSE)</f>
        <v>No</v>
      </c>
      <c r="H575" s="22">
        <f>VLOOKUP($A575,'Medical Examinations'!$A:$L,10, FALSE)</f>
        <v>0</v>
      </c>
      <c r="I575" s="22" t="str">
        <f>VLOOKUP($A575, 'Medical Examinations'!$A:$J, 9, FALSE)</f>
        <v>Yes</v>
      </c>
      <c r="J575" s="22" t="str">
        <f>VLOOKUP($A575, 'Medical Examinations'!$A:$P, 11, FALSE)</f>
        <v>NORMAL WEIGHT</v>
      </c>
      <c r="K575" s="34">
        <v>28291.0</v>
      </c>
      <c r="L575" s="35">
        <f>VLOOKUP($A575, 'Hospitalisation Details'!$A:$H, 7, FALSE)</f>
        <v>17179.52</v>
      </c>
      <c r="M575" s="22" t="str">
        <f>VLOOKUP($A575, 'Hospitalisation Details'!$A:$L, 12, FALSE)</f>
        <v>tier - 2</v>
      </c>
      <c r="N575" s="22" t="str">
        <f>VLOOKUP($A575, 'Hospitalisation Details'!$A:$M, 13, FALSE)</f>
        <v>tier - 1</v>
      </c>
      <c r="O575" s="22" t="str">
        <f>VLOOKUP($A575, 'Hospitalisation Details'!$A:$N, 14, FALSE)</f>
        <v>R1013</v>
      </c>
      <c r="P575" s="36">
        <f>VLOOKUP($A575, 'Hospitalisation Details'!$A:$O, 15, FALSE)</f>
        <v>40</v>
      </c>
    </row>
    <row r="576" ht="15.75" customHeight="1">
      <c r="A576" s="33" t="s">
        <v>1151</v>
      </c>
      <c r="B576" s="22" t="str">
        <f>VLOOKUP($A576,'Customer Names'!$A:$D,3, FALSE)</f>
        <v>Fukuchi</v>
      </c>
      <c r="C576" s="22">
        <f>VLOOKUP($A576,'Medical Examinations'!$A:$D, 2, FALSE)</f>
        <v>27.36</v>
      </c>
      <c r="D576" s="22">
        <f>VLOOKUP($A576, 'Medical Examinations'!$A:$D,3, FALSE)</f>
        <v>4.65</v>
      </c>
      <c r="E576" s="22" t="str">
        <f>VLOOKUP($A576, 'Medical Examinations'!$A:$D, 4, FALSE)</f>
        <v>No</v>
      </c>
      <c r="F576" s="22" t="str">
        <f>VLOOKUP($A576, 'Medical Examinations'!$A:$J, 5, FALSE)</f>
        <v>Yes</v>
      </c>
      <c r="G576" s="22" t="str">
        <f>VLOOKUP($A576, 'Medical Examinations'!$A:$I, 6, FALSE)</f>
        <v>No</v>
      </c>
      <c r="H576" s="22">
        <f>VLOOKUP($A576,'Medical Examinations'!$A:$L,10, FALSE)</f>
        <v>1</v>
      </c>
      <c r="I576" s="22" t="str">
        <f>VLOOKUP($A576, 'Medical Examinations'!$A:$J, 9, FALSE)</f>
        <v>Yes</v>
      </c>
      <c r="J576" s="22" t="str">
        <f>VLOOKUP($A576, 'Medical Examinations'!$A:$P, 11, FALSE)</f>
        <v>OVERWEIGHT</v>
      </c>
      <c r="K576" s="34">
        <v>23544.0</v>
      </c>
      <c r="L576" s="35">
        <f>VLOOKUP($A576, 'Hospitalisation Details'!$A:$H, 7, FALSE)</f>
        <v>17178.68</v>
      </c>
      <c r="M576" s="22" t="str">
        <f>VLOOKUP($A576, 'Hospitalisation Details'!$A:$L, 12, FALSE)</f>
        <v>tier - 2</v>
      </c>
      <c r="N576" s="22" t="str">
        <f>VLOOKUP($A576, 'Hospitalisation Details'!$A:$M, 13, FALSE)</f>
        <v>tier - 2</v>
      </c>
      <c r="O576" s="22" t="str">
        <f>VLOOKUP($A576, 'Hospitalisation Details'!$A:$N, 14, FALSE)</f>
        <v>R1019</v>
      </c>
      <c r="P576" s="36">
        <f>VLOOKUP($A576, 'Hospitalisation Details'!$A:$O, 15, FALSE)</f>
        <v>18</v>
      </c>
    </row>
    <row r="577" ht="15.75" customHeight="1">
      <c r="A577" s="33" t="s">
        <v>1153</v>
      </c>
      <c r="B577" s="22" t="str">
        <f>VLOOKUP($A577,'Customer Names'!$A:$D,3, FALSE)</f>
        <v>Drucker</v>
      </c>
      <c r="C577" s="22">
        <f>VLOOKUP($A577,'Medical Examinations'!$A:$D, 2, FALSE)</f>
        <v>42.95</v>
      </c>
      <c r="D577" s="22">
        <f>VLOOKUP($A577, 'Medical Examinations'!$A:$D,3, FALSE)</f>
        <v>5.16</v>
      </c>
      <c r="E577" s="22" t="str">
        <f>VLOOKUP($A577, 'Medical Examinations'!$A:$D, 4, FALSE)</f>
        <v>Yes</v>
      </c>
      <c r="F577" s="22" t="str">
        <f>VLOOKUP($A577, 'Medical Examinations'!$A:$J, 5, FALSE)</f>
        <v>No</v>
      </c>
      <c r="G577" s="22" t="str">
        <f>VLOOKUP($A577, 'Medical Examinations'!$A:$I, 6, FALSE)</f>
        <v>No</v>
      </c>
      <c r="H577" s="22">
        <f>VLOOKUP($A577,'Medical Examinations'!$A:$L,10, FALSE)</f>
        <v>1</v>
      </c>
      <c r="I577" s="22" t="str">
        <f>VLOOKUP($A577, 'Medical Examinations'!$A:$J, 9, FALSE)</f>
        <v>No</v>
      </c>
      <c r="J577" s="22" t="str">
        <f>VLOOKUP($A577, 'Medical Examinations'!$A:$P, 11, FALSE)</f>
        <v>OBESITY</v>
      </c>
      <c r="K577" s="34">
        <v>36860.0</v>
      </c>
      <c r="L577" s="35">
        <f>VLOOKUP($A577, 'Hospitalisation Details'!$A:$H, 7, FALSE)</f>
        <v>17174.52</v>
      </c>
      <c r="M577" s="22" t="str">
        <f>VLOOKUP($A577, 'Hospitalisation Details'!$A:$L, 12, FALSE)</f>
        <v>tier - 2</v>
      </c>
      <c r="N577" s="22" t="str">
        <f>VLOOKUP($A577, 'Hospitalisation Details'!$A:$M, 13, FALSE)</f>
        <v>tier - 2</v>
      </c>
      <c r="O577" s="22" t="str">
        <f>VLOOKUP($A577, 'Hospitalisation Details'!$A:$N, 14, FALSE)</f>
        <v>R1012</v>
      </c>
      <c r="P577" s="36">
        <f>VLOOKUP($A577, 'Hospitalisation Details'!$A:$O, 15, FALSE)</f>
        <v>59</v>
      </c>
    </row>
    <row r="578" ht="15.75" customHeight="1">
      <c r="A578" s="33" t="s">
        <v>1155</v>
      </c>
      <c r="B578" s="22" t="str">
        <f>VLOOKUP($A578,'Customer Names'!$A:$D,3, FALSE)</f>
        <v>Aziz</v>
      </c>
      <c r="C578" s="22">
        <f>VLOOKUP($A578,'Medical Examinations'!$A:$D, 2, FALSE)</f>
        <v>42.66</v>
      </c>
      <c r="D578" s="22">
        <f>VLOOKUP($A578, 'Medical Examinations'!$A:$D,3, FALSE)</f>
        <v>10.44</v>
      </c>
      <c r="E578" s="22" t="str">
        <f>VLOOKUP($A578, 'Medical Examinations'!$A:$D, 4, FALSE)</f>
        <v>No</v>
      </c>
      <c r="F578" s="22" t="str">
        <f>VLOOKUP($A578, 'Medical Examinations'!$A:$J, 5, FALSE)</f>
        <v>No</v>
      </c>
      <c r="G578" s="22" t="str">
        <f>VLOOKUP($A578, 'Medical Examinations'!$A:$I, 6, FALSE)</f>
        <v>No</v>
      </c>
      <c r="H578" s="22">
        <f>VLOOKUP($A578,'Medical Examinations'!$A:$L,10, FALSE)</f>
        <v>0</v>
      </c>
      <c r="I578" s="22" t="str">
        <f>VLOOKUP($A578, 'Medical Examinations'!$A:$J, 9, FALSE)</f>
        <v>No</v>
      </c>
      <c r="J578" s="22" t="str">
        <f>VLOOKUP($A578, 'Medical Examinations'!$A:$P, 11, FALSE)</f>
        <v>OBESITY</v>
      </c>
      <c r="K578" s="34">
        <v>29051.0</v>
      </c>
      <c r="L578" s="35">
        <f>VLOOKUP($A578, 'Hospitalisation Details'!$A:$H, 7, FALSE)</f>
        <v>17172.27</v>
      </c>
      <c r="M578" s="22" t="str">
        <f>VLOOKUP($A578, 'Hospitalisation Details'!$A:$L, 12, FALSE)</f>
        <v>tier - 2</v>
      </c>
      <c r="N578" s="22" t="str">
        <f>VLOOKUP($A578, 'Hospitalisation Details'!$A:$M, 13, FALSE)</f>
        <v>tier - 2</v>
      </c>
      <c r="O578" s="22" t="str">
        <f>VLOOKUP($A578, 'Hospitalisation Details'!$A:$N, 14, FALSE)</f>
        <v>R1026</v>
      </c>
      <c r="P578" s="36">
        <f>VLOOKUP($A578, 'Hospitalisation Details'!$A:$O, 15, FALSE)</f>
        <v>57</v>
      </c>
    </row>
    <row r="579" ht="15.75" customHeight="1">
      <c r="A579" s="33" t="s">
        <v>1157</v>
      </c>
      <c r="B579" s="22" t="str">
        <f>VLOOKUP($A579,'Customer Names'!$A:$D,3, FALSE)</f>
        <v>Pak</v>
      </c>
      <c r="C579" s="22">
        <f>VLOOKUP($A579,'Medical Examinations'!$A:$D, 2, FALSE)</f>
        <v>33.63</v>
      </c>
      <c r="D579" s="22">
        <f>VLOOKUP($A579, 'Medical Examinations'!$A:$D,3, FALSE)</f>
        <v>5.69</v>
      </c>
      <c r="E579" s="22" t="str">
        <f>VLOOKUP($A579, 'Medical Examinations'!$A:$D, 4, FALSE)</f>
        <v>No</v>
      </c>
      <c r="F579" s="22" t="str">
        <f>VLOOKUP($A579, 'Medical Examinations'!$A:$J, 5, FALSE)</f>
        <v>No</v>
      </c>
      <c r="G579" s="22" t="str">
        <f>VLOOKUP($A579, 'Medical Examinations'!$A:$I, 6, FALSE)</f>
        <v>No</v>
      </c>
      <c r="H579" s="22">
        <f>VLOOKUP($A579,'Medical Examinations'!$A:$L,10, FALSE)</f>
        <v>1</v>
      </c>
      <c r="I579" s="22" t="str">
        <f>VLOOKUP($A579, 'Medical Examinations'!$A:$J, 9, FALSE)</f>
        <v>No</v>
      </c>
      <c r="J579" s="22" t="str">
        <f>VLOOKUP($A579, 'Medical Examinations'!$A:$P, 11, FALSE)</f>
        <v>OBESITY</v>
      </c>
      <c r="K579" s="34">
        <v>34523.0</v>
      </c>
      <c r="L579" s="35">
        <f>VLOOKUP($A579, 'Hospitalisation Details'!$A:$H, 7, FALSE)</f>
        <v>17128.43</v>
      </c>
      <c r="M579" s="22" t="str">
        <f>VLOOKUP($A579, 'Hospitalisation Details'!$A:$L, 12, FALSE)</f>
        <v>tier - 2</v>
      </c>
      <c r="N579" s="22" t="str">
        <f>VLOOKUP($A579, 'Hospitalisation Details'!$A:$M, 13, FALSE)</f>
        <v>tier - 3</v>
      </c>
      <c r="O579" s="22" t="str">
        <f>VLOOKUP($A579, 'Hospitalisation Details'!$A:$N, 14, FALSE)</f>
        <v>R1016</v>
      </c>
      <c r="P579" s="36">
        <f>VLOOKUP($A579, 'Hospitalisation Details'!$A:$O, 15, FALSE)</f>
        <v>25</v>
      </c>
    </row>
    <row r="580" ht="15.75" customHeight="1">
      <c r="A580" s="33" t="s">
        <v>1159</v>
      </c>
      <c r="B580" s="22" t="str">
        <f>VLOOKUP($A580,'Customer Names'!$A:$D,3, FALSE)</f>
        <v>Kieta</v>
      </c>
      <c r="C580" s="22">
        <f>VLOOKUP($A580,'Medical Examinations'!$A:$D, 2, FALSE)</f>
        <v>26.84</v>
      </c>
      <c r="D580" s="22">
        <f>VLOOKUP($A580, 'Medical Examinations'!$A:$D,3, FALSE)</f>
        <v>6.5</v>
      </c>
      <c r="E580" s="22" t="str">
        <f>VLOOKUP($A580, 'Medical Examinations'!$A:$D, 4, FALSE)</f>
        <v>No</v>
      </c>
      <c r="F580" s="22" t="str">
        <f>VLOOKUP($A580, 'Medical Examinations'!$A:$J, 5, FALSE)</f>
        <v>No</v>
      </c>
      <c r="G580" s="22" t="str">
        <f>VLOOKUP($A580, 'Medical Examinations'!$A:$I, 6, FALSE)</f>
        <v>No</v>
      </c>
      <c r="H580" s="22">
        <f>VLOOKUP($A580,'Medical Examinations'!$A:$L,10, FALSE)</f>
        <v>0</v>
      </c>
      <c r="I580" s="22" t="str">
        <f>VLOOKUP($A580, 'Medical Examinations'!$A:$J, 9, FALSE)</f>
        <v>Yes</v>
      </c>
      <c r="J580" s="22" t="str">
        <f>VLOOKUP($A580, 'Medical Examinations'!$A:$P, 11, FALSE)</f>
        <v>OVERWEIGHT</v>
      </c>
      <c r="K580" s="34">
        <v>27623.0</v>
      </c>
      <c r="L580" s="35">
        <f>VLOOKUP($A580, 'Hospitalisation Details'!$A:$H, 7, FALSE)</f>
        <v>17085.27</v>
      </c>
      <c r="M580" s="22" t="str">
        <f>VLOOKUP($A580, 'Hospitalisation Details'!$A:$L, 12, FALSE)</f>
        <v>tier - 2</v>
      </c>
      <c r="N580" s="22" t="str">
        <f>VLOOKUP($A580, 'Hospitalisation Details'!$A:$M, 13, FALSE)</f>
        <v>tier - 3</v>
      </c>
      <c r="O580" s="22" t="str">
        <f>VLOOKUP($A580, 'Hospitalisation Details'!$A:$N, 14, FALSE)</f>
        <v>R1013</v>
      </c>
      <c r="P580" s="36">
        <f>VLOOKUP($A580, 'Hospitalisation Details'!$A:$O, 15, FALSE)</f>
        <v>20</v>
      </c>
    </row>
    <row r="581" ht="15.75" customHeight="1">
      <c r="A581" s="33" t="s">
        <v>1161</v>
      </c>
      <c r="B581" s="22" t="str">
        <f>VLOOKUP($A581,'Customer Names'!$A:$D,3, FALSE)</f>
        <v>Velez</v>
      </c>
      <c r="C581" s="22">
        <f>VLOOKUP($A581,'Medical Examinations'!$A:$D, 2, FALSE)</f>
        <v>28.3</v>
      </c>
      <c r="D581" s="22">
        <f>VLOOKUP($A581, 'Medical Examinations'!$A:$D,3, FALSE)</f>
        <v>5.73</v>
      </c>
      <c r="E581" s="22" t="str">
        <f>VLOOKUP($A581, 'Medical Examinations'!$A:$D, 4, FALSE)</f>
        <v>No</v>
      </c>
      <c r="F581" s="22" t="str">
        <f>VLOOKUP($A581, 'Medical Examinations'!$A:$J, 5, FALSE)</f>
        <v>No</v>
      </c>
      <c r="G581" s="22" t="str">
        <f>VLOOKUP($A581, 'Medical Examinations'!$A:$I, 6, FALSE)</f>
        <v>Yes</v>
      </c>
      <c r="H581" s="22">
        <f>VLOOKUP($A581,'Medical Examinations'!$A:$L,10, FALSE)</f>
        <v>1</v>
      </c>
      <c r="I581" s="22" t="str">
        <f>VLOOKUP($A581, 'Medical Examinations'!$A:$J, 9, FALSE)</f>
        <v>Yes</v>
      </c>
      <c r="J581" s="22" t="str">
        <f>VLOOKUP($A581, 'Medical Examinations'!$A:$P, 11, FALSE)</f>
        <v>OVERWEIGHT</v>
      </c>
      <c r="K581" s="34">
        <v>33418.0</v>
      </c>
      <c r="L581" s="35">
        <f>VLOOKUP($A581, 'Hospitalisation Details'!$A:$H, 7, FALSE)</f>
        <v>17081.08</v>
      </c>
      <c r="M581" s="22" t="str">
        <f>VLOOKUP($A581, 'Hospitalisation Details'!$A:$L, 12, FALSE)</f>
        <v>tier - 2</v>
      </c>
      <c r="N581" s="22" t="str">
        <f>VLOOKUP($A581, 'Hospitalisation Details'!$A:$M, 13, FALSE)</f>
        <v>tier - 2</v>
      </c>
      <c r="O581" s="22" t="str">
        <f>VLOOKUP($A581, 'Hospitalisation Details'!$A:$N, 14, FALSE)</f>
        <v>R1011</v>
      </c>
      <c r="P581" s="36">
        <f>VLOOKUP($A581, 'Hospitalisation Details'!$A:$O, 15, FALSE)</f>
        <v>19</v>
      </c>
    </row>
    <row r="582" ht="15.75" customHeight="1">
      <c r="A582" s="33" t="s">
        <v>1163</v>
      </c>
      <c r="B582" s="22" t="str">
        <f>VLOOKUP($A582,'Customer Names'!$A:$D,3, FALSE)</f>
        <v>Bussiere</v>
      </c>
      <c r="C582" s="22">
        <f>VLOOKUP($A582,'Medical Examinations'!$A:$D, 2, FALSE)</f>
        <v>27.06</v>
      </c>
      <c r="D582" s="22">
        <f>VLOOKUP($A582, 'Medical Examinations'!$A:$D,3, FALSE)</f>
        <v>5.74</v>
      </c>
      <c r="E582" s="22" t="str">
        <f>VLOOKUP($A582, 'Medical Examinations'!$A:$D, 4, FALSE)</f>
        <v>Yes</v>
      </c>
      <c r="F582" s="22" t="str">
        <f>VLOOKUP($A582, 'Medical Examinations'!$A:$J, 5, FALSE)</f>
        <v>No</v>
      </c>
      <c r="G582" s="22" t="str">
        <f>VLOOKUP($A582, 'Medical Examinations'!$A:$I, 6, FALSE)</f>
        <v>No</v>
      </c>
      <c r="H582" s="22">
        <f>VLOOKUP($A582,'Medical Examinations'!$A:$L,10, FALSE)</f>
        <v>0</v>
      </c>
      <c r="I582" s="22" t="str">
        <f>VLOOKUP($A582, 'Medical Examinations'!$A:$J, 9, FALSE)</f>
        <v>Yes</v>
      </c>
      <c r="J582" s="22" t="str">
        <f>VLOOKUP($A582, 'Medical Examinations'!$A:$P, 11, FALSE)</f>
        <v>OVERWEIGHT</v>
      </c>
      <c r="K582" s="34">
        <v>31405.0</v>
      </c>
      <c r="L582" s="35">
        <f>VLOOKUP($A582, 'Hospitalisation Details'!$A:$H, 7, FALSE)</f>
        <v>17043.34</v>
      </c>
      <c r="M582" s="22" t="str">
        <f>VLOOKUP($A582, 'Hospitalisation Details'!$A:$L, 12, FALSE)</f>
        <v>tier - 2</v>
      </c>
      <c r="N582" s="22" t="str">
        <f>VLOOKUP($A582, 'Hospitalisation Details'!$A:$M, 13, FALSE)</f>
        <v>tier - 3</v>
      </c>
      <c r="O582" s="22" t="str">
        <f>VLOOKUP($A582, 'Hospitalisation Details'!$A:$N, 14, FALSE)</f>
        <v>R1013</v>
      </c>
      <c r="P582" s="36">
        <f>VLOOKUP($A582, 'Hospitalisation Details'!$A:$O, 15, FALSE)</f>
        <v>26</v>
      </c>
    </row>
    <row r="583" ht="15.75" customHeight="1">
      <c r="A583" s="33" t="s">
        <v>1165</v>
      </c>
      <c r="B583" s="22" t="str">
        <f>VLOOKUP($A583,'Customer Names'!$A:$D,3, FALSE)</f>
        <v>McCartney</v>
      </c>
      <c r="C583" s="22">
        <f>VLOOKUP($A583,'Medical Examinations'!$A:$D, 2, FALSE)</f>
        <v>47.13</v>
      </c>
      <c r="D583" s="22">
        <f>VLOOKUP($A583, 'Medical Examinations'!$A:$D,3, FALSE)</f>
        <v>8.7</v>
      </c>
      <c r="E583" s="22" t="str">
        <f>VLOOKUP($A583, 'Medical Examinations'!$A:$D, 4, FALSE)</f>
        <v>No</v>
      </c>
      <c r="F583" s="22" t="str">
        <f>VLOOKUP($A583, 'Medical Examinations'!$A:$J, 5, FALSE)</f>
        <v>No</v>
      </c>
      <c r="G583" s="22" t="str">
        <f>VLOOKUP($A583, 'Medical Examinations'!$A:$I, 6, FALSE)</f>
        <v>No</v>
      </c>
      <c r="H583" s="22">
        <f>VLOOKUP($A583,'Medical Examinations'!$A:$L,10, FALSE)</f>
        <v>0</v>
      </c>
      <c r="I583" s="22" t="str">
        <f>VLOOKUP($A583, 'Medical Examinations'!$A:$J, 9, FALSE)</f>
        <v>No</v>
      </c>
      <c r="J583" s="22" t="str">
        <f>VLOOKUP($A583, 'Medical Examinations'!$A:$P, 11, FALSE)</f>
        <v>OBESITY</v>
      </c>
      <c r="K583" s="34">
        <v>29548.0</v>
      </c>
      <c r="L583" s="35">
        <f>VLOOKUP($A583, 'Hospitalisation Details'!$A:$H, 7, FALSE)</f>
        <v>17016.01</v>
      </c>
      <c r="M583" s="22" t="str">
        <f>VLOOKUP($A583, 'Hospitalisation Details'!$A:$L, 12, FALSE)</f>
        <v>tier - 2</v>
      </c>
      <c r="N583" s="22" t="str">
        <f>VLOOKUP($A583, 'Hospitalisation Details'!$A:$M, 13, FALSE)</f>
        <v>tier - 2</v>
      </c>
      <c r="O583" s="22" t="str">
        <f>VLOOKUP($A583, 'Hospitalisation Details'!$A:$N, 14, FALSE)</f>
        <v>R1023</v>
      </c>
      <c r="P583" s="36">
        <f>VLOOKUP($A583, 'Hospitalisation Details'!$A:$O, 15, FALSE)</f>
        <v>51</v>
      </c>
    </row>
    <row r="584" ht="15.75" customHeight="1">
      <c r="A584" s="33" t="s">
        <v>1167</v>
      </c>
      <c r="B584" s="22" t="str">
        <f>VLOOKUP($A584,'Customer Names'!$A:$D,3, FALSE)</f>
        <v>Bambauer</v>
      </c>
      <c r="C584" s="22">
        <f>VLOOKUP($A584,'Medical Examinations'!$A:$D, 2, FALSE)</f>
        <v>51.72</v>
      </c>
      <c r="D584" s="22">
        <f>VLOOKUP($A584, 'Medical Examinations'!$A:$D,3, FALSE)</f>
        <v>5.09</v>
      </c>
      <c r="E584" s="22" t="str">
        <f>VLOOKUP($A584, 'Medical Examinations'!$A:$D, 4, FALSE)</f>
        <v>No</v>
      </c>
      <c r="F584" s="22" t="str">
        <f>VLOOKUP($A584, 'Medical Examinations'!$A:$J, 5, FALSE)</f>
        <v>No</v>
      </c>
      <c r="G584" s="22" t="str">
        <f>VLOOKUP($A584, 'Medical Examinations'!$A:$I, 6, FALSE)</f>
        <v>No</v>
      </c>
      <c r="H584" s="22">
        <f>VLOOKUP($A584,'Medical Examinations'!$A:$L,10, FALSE)</f>
        <v>0</v>
      </c>
      <c r="I584" s="22" t="str">
        <f>VLOOKUP($A584, 'Medical Examinations'!$A:$J, 9, FALSE)</f>
        <v>No</v>
      </c>
      <c r="J584" s="22" t="str">
        <f>VLOOKUP($A584, 'Medical Examinations'!$A:$P, 11, FALSE)</f>
        <v>OBESITY</v>
      </c>
      <c r="K584" s="34">
        <v>29867.0</v>
      </c>
      <c r="L584" s="35">
        <f>VLOOKUP($A584, 'Hospitalisation Details'!$A:$H, 7, FALSE)</f>
        <v>16990.55</v>
      </c>
      <c r="M584" s="22" t="str">
        <f>VLOOKUP($A584, 'Hospitalisation Details'!$A:$L, 12, FALSE)</f>
        <v>tier - 2</v>
      </c>
      <c r="N584" s="22" t="str">
        <f>VLOOKUP($A584, 'Hospitalisation Details'!$A:$M, 13, FALSE)</f>
        <v>tier - 3</v>
      </c>
      <c r="O584" s="22" t="str">
        <f>VLOOKUP($A584, 'Hospitalisation Details'!$A:$N, 14, FALSE)</f>
        <v>R1012</v>
      </c>
      <c r="P584" s="36">
        <f>VLOOKUP($A584, 'Hospitalisation Details'!$A:$O, 15, FALSE)</f>
        <v>42</v>
      </c>
    </row>
    <row r="585" ht="15.75" customHeight="1">
      <c r="A585" s="33" t="s">
        <v>1169</v>
      </c>
      <c r="B585" s="22" t="str">
        <f>VLOOKUP($A585,'Customer Names'!$A:$D,3, FALSE)</f>
        <v>Mertz</v>
      </c>
      <c r="C585" s="22">
        <f>VLOOKUP($A585,'Medical Examinations'!$A:$D, 2, FALSE)</f>
        <v>48.59</v>
      </c>
      <c r="D585" s="22">
        <f>VLOOKUP($A585, 'Medical Examinations'!$A:$D,3, FALSE)</f>
        <v>5.57</v>
      </c>
      <c r="E585" s="22" t="str">
        <f>VLOOKUP($A585, 'Medical Examinations'!$A:$D, 4, FALSE)</f>
        <v>No</v>
      </c>
      <c r="F585" s="22" t="str">
        <f>VLOOKUP($A585, 'Medical Examinations'!$A:$J, 5, FALSE)</f>
        <v>No</v>
      </c>
      <c r="G585" s="22" t="str">
        <f>VLOOKUP($A585, 'Medical Examinations'!$A:$I, 6, FALSE)</f>
        <v>No</v>
      </c>
      <c r="H585" s="22">
        <f>VLOOKUP($A585,'Medical Examinations'!$A:$L,10, FALSE)</f>
        <v>0</v>
      </c>
      <c r="I585" s="22" t="str">
        <f>VLOOKUP($A585, 'Medical Examinations'!$A:$J, 9, FALSE)</f>
        <v>No</v>
      </c>
      <c r="J585" s="22" t="str">
        <f>VLOOKUP($A585, 'Medical Examinations'!$A:$P, 11, FALSE)</f>
        <v>OBESITY</v>
      </c>
      <c r="K585" s="34">
        <v>29832.0</v>
      </c>
      <c r="L585" s="35">
        <f>VLOOKUP($A585, 'Hospitalisation Details'!$A:$H, 7, FALSE)</f>
        <v>16921.09</v>
      </c>
      <c r="M585" s="22" t="str">
        <f>VLOOKUP($A585, 'Hospitalisation Details'!$A:$L, 12, FALSE)</f>
        <v>tier - 2</v>
      </c>
      <c r="N585" s="22" t="str">
        <f>VLOOKUP($A585, 'Hospitalisation Details'!$A:$M, 13, FALSE)</f>
        <v>tier - 3</v>
      </c>
      <c r="O585" s="22" t="str">
        <f>VLOOKUP($A585, 'Hospitalisation Details'!$A:$N, 14, FALSE)</f>
        <v>R1023</v>
      </c>
      <c r="P585" s="36">
        <f>VLOOKUP($A585, 'Hospitalisation Details'!$A:$O, 15, FALSE)</f>
        <v>45</v>
      </c>
    </row>
    <row r="586" ht="15.75" customHeight="1">
      <c r="A586" s="33" t="s">
        <v>1171</v>
      </c>
      <c r="B586" s="22" t="str">
        <f>VLOOKUP($A586,'Customer Names'!$A:$D,3, FALSE)</f>
        <v>Mason</v>
      </c>
      <c r="C586" s="22">
        <f>VLOOKUP($A586,'Medical Examinations'!$A:$D, 2, FALSE)</f>
        <v>45.18</v>
      </c>
      <c r="D586" s="22">
        <f>VLOOKUP($A586, 'Medical Examinations'!$A:$D,3, FALSE)</f>
        <v>10.87</v>
      </c>
      <c r="E586" s="22" t="str">
        <f>VLOOKUP($A586, 'Medical Examinations'!$A:$D, 4, FALSE)</f>
        <v>No</v>
      </c>
      <c r="F586" s="22" t="str">
        <f>VLOOKUP($A586, 'Medical Examinations'!$A:$J, 5, FALSE)</f>
        <v>No</v>
      </c>
      <c r="G586" s="22" t="str">
        <f>VLOOKUP($A586, 'Medical Examinations'!$A:$I, 6, FALSE)</f>
        <v>No</v>
      </c>
      <c r="H586" s="22">
        <f>VLOOKUP($A586,'Medical Examinations'!$A:$L,10, FALSE)</f>
        <v>0</v>
      </c>
      <c r="I586" s="22" t="str">
        <f>VLOOKUP($A586, 'Medical Examinations'!$A:$J, 9, FALSE)</f>
        <v>No</v>
      </c>
      <c r="J586" s="22" t="str">
        <f>VLOOKUP($A586, 'Medical Examinations'!$A:$P, 11, FALSE)</f>
        <v>OBESITY</v>
      </c>
      <c r="K586" s="34">
        <v>29850.0</v>
      </c>
      <c r="L586" s="35">
        <f>VLOOKUP($A586, 'Hospitalisation Details'!$A:$H, 7, FALSE)</f>
        <v>16903.5</v>
      </c>
      <c r="M586" s="22" t="str">
        <f>VLOOKUP($A586, 'Hospitalisation Details'!$A:$L, 12, FALSE)</f>
        <v>tier - 2</v>
      </c>
      <c r="N586" s="22" t="str">
        <f>VLOOKUP($A586, 'Hospitalisation Details'!$A:$M, 13, FALSE)</f>
        <v>tier - 3</v>
      </c>
      <c r="O586" s="22" t="str">
        <f>VLOOKUP($A586, 'Hospitalisation Details'!$A:$N, 14, FALSE)</f>
        <v>R1012</v>
      </c>
      <c r="P586" s="36">
        <f>VLOOKUP($A586, 'Hospitalisation Details'!$A:$O, 15, FALSE)</f>
        <v>54</v>
      </c>
    </row>
    <row r="587" ht="15.75" customHeight="1">
      <c r="A587" s="33" t="s">
        <v>1173</v>
      </c>
      <c r="B587" s="22" t="str">
        <f>VLOOKUP($A587,'Customer Names'!$A:$D,3, FALSE)</f>
        <v>Rotich</v>
      </c>
      <c r="C587" s="22">
        <f>VLOOKUP($A587,'Medical Examinations'!$A:$D, 2, FALSE)</f>
        <v>27.9</v>
      </c>
      <c r="D587" s="22">
        <f>VLOOKUP($A587, 'Medical Examinations'!$A:$D,3, FALSE)</f>
        <v>6.02</v>
      </c>
      <c r="E587" s="22" t="str">
        <f>VLOOKUP($A587, 'Medical Examinations'!$A:$D, 4, FALSE)</f>
        <v>No</v>
      </c>
      <c r="F587" s="22" t="str">
        <f>VLOOKUP($A587, 'Medical Examinations'!$A:$J, 5, FALSE)</f>
        <v>No</v>
      </c>
      <c r="G587" s="22" t="str">
        <f>VLOOKUP($A587, 'Medical Examinations'!$A:$I, 6, FALSE)</f>
        <v>Yes</v>
      </c>
      <c r="H587" s="22">
        <f>VLOOKUP($A587,'Medical Examinations'!$A:$L,10, FALSE)</f>
        <v>1</v>
      </c>
      <c r="I587" s="22" t="str">
        <f>VLOOKUP($A587, 'Medical Examinations'!$A:$J, 9, FALSE)</f>
        <v>Yes</v>
      </c>
      <c r="J587" s="22" t="str">
        <f>VLOOKUP($A587, 'Medical Examinations'!$A:$P, 11, FALSE)</f>
        <v>OVERWEIGHT</v>
      </c>
      <c r="K587" s="34">
        <v>32759.0</v>
      </c>
      <c r="L587" s="35">
        <f>VLOOKUP($A587, 'Hospitalisation Details'!$A:$H, 7, FALSE)</f>
        <v>16884.92</v>
      </c>
      <c r="M587" s="22" t="str">
        <f>VLOOKUP($A587, 'Hospitalisation Details'!$A:$L, 12, FALSE)</f>
        <v>tier - 2</v>
      </c>
      <c r="N587" s="22" t="str">
        <f>VLOOKUP($A587, 'Hospitalisation Details'!$A:$M, 13, FALSE)</f>
        <v>tier - 2</v>
      </c>
      <c r="O587" s="22" t="str">
        <f>VLOOKUP($A587, 'Hospitalisation Details'!$A:$N, 14, FALSE)</f>
        <v>R1011</v>
      </c>
      <c r="P587" s="36">
        <f>VLOOKUP($A587, 'Hospitalisation Details'!$A:$O, 15, FALSE)</f>
        <v>19</v>
      </c>
    </row>
    <row r="588" ht="15.75" customHeight="1">
      <c r="A588" s="33" t="s">
        <v>1175</v>
      </c>
      <c r="B588" s="22" t="str">
        <f>VLOOKUP($A588,'Customer Names'!$A:$D,3, FALSE)</f>
        <v>Fetzer</v>
      </c>
      <c r="C588" s="22">
        <f>VLOOKUP($A588,'Medical Examinations'!$A:$D, 2, FALSE)</f>
        <v>51.33</v>
      </c>
      <c r="D588" s="22">
        <f>VLOOKUP($A588, 'Medical Examinations'!$A:$D,3, FALSE)</f>
        <v>7</v>
      </c>
      <c r="E588" s="22" t="str">
        <f>VLOOKUP($A588, 'Medical Examinations'!$A:$D, 4, FALSE)</f>
        <v>No</v>
      </c>
      <c r="F588" s="22" t="str">
        <f>VLOOKUP($A588, 'Medical Examinations'!$A:$J, 5, FALSE)</f>
        <v>No</v>
      </c>
      <c r="G588" s="22" t="str">
        <f>VLOOKUP($A588, 'Medical Examinations'!$A:$I, 6, FALSE)</f>
        <v>No</v>
      </c>
      <c r="H588" s="22">
        <f>VLOOKUP($A588,'Medical Examinations'!$A:$L,10, FALSE)</f>
        <v>0</v>
      </c>
      <c r="I588" s="22" t="str">
        <f>VLOOKUP($A588, 'Medical Examinations'!$A:$J, 9, FALSE)</f>
        <v>No</v>
      </c>
      <c r="J588" s="22" t="str">
        <f>VLOOKUP($A588, 'Medical Examinations'!$A:$P, 11, FALSE)</f>
        <v>OBESITY</v>
      </c>
      <c r="K588" s="34">
        <v>32426.0</v>
      </c>
      <c r="L588" s="35">
        <f>VLOOKUP($A588, 'Hospitalisation Details'!$A:$H, 7, FALSE)</f>
        <v>16841.32</v>
      </c>
      <c r="M588" s="22" t="str">
        <f>VLOOKUP($A588, 'Hospitalisation Details'!$A:$L, 12, FALSE)</f>
        <v>tier - 2</v>
      </c>
      <c r="N588" s="22" t="str">
        <f>VLOOKUP($A588, 'Hospitalisation Details'!$A:$M, 13, FALSE)</f>
        <v>tier - 3</v>
      </c>
      <c r="O588" s="22" t="str">
        <f>VLOOKUP($A588, 'Hospitalisation Details'!$A:$N, 14, FALSE)</f>
        <v>R1011</v>
      </c>
      <c r="P588" s="36">
        <f>VLOOKUP($A588, 'Hospitalisation Details'!$A:$O, 15, FALSE)</f>
        <v>48</v>
      </c>
    </row>
    <row r="589" ht="15.75" customHeight="1">
      <c r="A589" s="33" t="s">
        <v>1177</v>
      </c>
      <c r="B589" s="22" t="str">
        <f>VLOOKUP($A589,'Customer Names'!$A:$D,3, FALSE)</f>
        <v>Mattis</v>
      </c>
      <c r="C589" s="22">
        <f>VLOOKUP($A589,'Medical Examinations'!$A:$D, 2, FALSE)</f>
        <v>30.59</v>
      </c>
      <c r="D589" s="22">
        <f>VLOOKUP($A589, 'Medical Examinations'!$A:$D,3, FALSE)</f>
        <v>5.56</v>
      </c>
      <c r="E589" s="22" t="str">
        <f>VLOOKUP($A589, 'Medical Examinations'!$A:$D, 4, FALSE)</f>
        <v>Yes</v>
      </c>
      <c r="F589" s="22" t="str">
        <f>VLOOKUP($A589, 'Medical Examinations'!$A:$J, 5, FALSE)</f>
        <v>No</v>
      </c>
      <c r="G589" s="22" t="str">
        <f>VLOOKUP($A589, 'Medical Examinations'!$A:$I, 6, FALSE)</f>
        <v>No</v>
      </c>
      <c r="H589" s="22">
        <f>VLOOKUP($A589,'Medical Examinations'!$A:$L,10, FALSE)</f>
        <v>1</v>
      </c>
      <c r="I589" s="22" t="str">
        <f>VLOOKUP($A589, 'Medical Examinations'!$A:$J, 9, FALSE)</f>
        <v>No</v>
      </c>
      <c r="J589" s="22" t="str">
        <f>VLOOKUP($A589, 'Medical Examinations'!$A:$P, 11, FALSE)</f>
        <v>OBESITY</v>
      </c>
      <c r="K589" s="34">
        <v>24450.0</v>
      </c>
      <c r="L589" s="35">
        <f>VLOOKUP($A589, 'Hospitalisation Details'!$A:$H, 7, FALSE)</f>
        <v>16796.41</v>
      </c>
      <c r="M589" s="22" t="str">
        <f>VLOOKUP($A589, 'Hospitalisation Details'!$A:$L, 12, FALSE)</f>
        <v>tier - 2</v>
      </c>
      <c r="N589" s="22" t="str">
        <f>VLOOKUP($A589, 'Hospitalisation Details'!$A:$M, 13, FALSE)</f>
        <v>tier - 3</v>
      </c>
      <c r="O589" s="22" t="str">
        <f>VLOOKUP($A589, 'Hospitalisation Details'!$A:$N, 14, FALSE)</f>
        <v>R1024</v>
      </c>
      <c r="P589" s="36">
        <f>VLOOKUP($A589, 'Hospitalisation Details'!$A:$O, 15, FALSE)</f>
        <v>27</v>
      </c>
    </row>
    <row r="590" ht="15.75" customHeight="1">
      <c r="A590" s="33" t="s">
        <v>1179</v>
      </c>
      <c r="B590" s="22" t="str">
        <f>VLOOKUP($A590,'Customer Names'!$A:$D,3, FALSE)</f>
        <v>Cochran</v>
      </c>
      <c r="C590" s="22">
        <f>VLOOKUP($A590,'Medical Examinations'!$A:$D, 2, FALSE)</f>
        <v>39.23</v>
      </c>
      <c r="D590" s="22">
        <f>VLOOKUP($A590, 'Medical Examinations'!$A:$D,3, FALSE)</f>
        <v>8.45</v>
      </c>
      <c r="E590" s="22" t="str">
        <f>VLOOKUP($A590, 'Medical Examinations'!$A:$D, 4, FALSE)</f>
        <v>No</v>
      </c>
      <c r="F590" s="22" t="str">
        <f>VLOOKUP($A590, 'Medical Examinations'!$A:$J, 5, FALSE)</f>
        <v>No</v>
      </c>
      <c r="G590" s="22" t="str">
        <f>VLOOKUP($A590, 'Medical Examinations'!$A:$I, 6, FALSE)</f>
        <v>No</v>
      </c>
      <c r="H590" s="22">
        <f>VLOOKUP($A590,'Medical Examinations'!$A:$L,10, FALSE)</f>
        <v>0</v>
      </c>
      <c r="I590" s="22" t="str">
        <f>VLOOKUP($A590, 'Medical Examinations'!$A:$J, 9, FALSE)</f>
        <v>No</v>
      </c>
      <c r="J590" s="22" t="str">
        <f>VLOOKUP($A590, 'Medical Examinations'!$A:$P, 11, FALSE)</f>
        <v>OBESITY</v>
      </c>
      <c r="K590" s="34">
        <v>25736.0</v>
      </c>
      <c r="L590" s="35">
        <f>VLOOKUP($A590, 'Hospitalisation Details'!$A:$H, 7, FALSE)</f>
        <v>16779.4</v>
      </c>
      <c r="M590" s="22" t="str">
        <f>VLOOKUP($A590, 'Hospitalisation Details'!$A:$L, 12, FALSE)</f>
        <v>tier - 2</v>
      </c>
      <c r="N590" s="22" t="str">
        <f>VLOOKUP($A590, 'Hospitalisation Details'!$A:$M, 13, FALSE)</f>
        <v>tier - 2</v>
      </c>
      <c r="O590" s="22" t="str">
        <f>VLOOKUP($A590, 'Hospitalisation Details'!$A:$N, 14, FALSE)</f>
        <v>R1026</v>
      </c>
      <c r="P590" s="36">
        <f>VLOOKUP($A590, 'Hospitalisation Details'!$A:$O, 15, FALSE)</f>
        <v>60</v>
      </c>
    </row>
    <row r="591" ht="15.75" customHeight="1">
      <c r="A591" s="33" t="s">
        <v>1181</v>
      </c>
      <c r="B591" s="22" t="str">
        <f>VLOOKUP($A591,'Customer Names'!$A:$D,3, FALSE)</f>
        <v>Balinsky</v>
      </c>
      <c r="C591" s="22">
        <f>VLOOKUP($A591,'Medical Examinations'!$A:$D, 2, FALSE)</f>
        <v>19.095</v>
      </c>
      <c r="D591" s="22">
        <f>VLOOKUP($A591, 'Medical Examinations'!$A:$D,3, FALSE)</f>
        <v>6.19</v>
      </c>
      <c r="E591" s="22" t="str">
        <f>VLOOKUP($A591, 'Medical Examinations'!$A:$D, 4, FALSE)</f>
        <v>No</v>
      </c>
      <c r="F591" s="22" t="str">
        <f>VLOOKUP($A591, 'Medical Examinations'!$A:$J, 5, FALSE)</f>
        <v>No</v>
      </c>
      <c r="G591" s="22" t="str">
        <f>VLOOKUP($A591, 'Medical Examinations'!$A:$I, 6, FALSE)</f>
        <v>No</v>
      </c>
      <c r="H591" s="22">
        <f>VLOOKUP($A591,'Medical Examinations'!$A:$L,10, FALSE)</f>
        <v>0</v>
      </c>
      <c r="I591" s="22" t="str">
        <f>VLOOKUP($A591, 'Medical Examinations'!$A:$J, 9, FALSE)</f>
        <v>Yes</v>
      </c>
      <c r="J591" s="22" t="str">
        <f>VLOOKUP($A591, 'Medical Examinations'!$A:$P, 11, FALSE)</f>
        <v>NORMAL WEIGHT</v>
      </c>
      <c r="K591" s="34">
        <v>31568.0</v>
      </c>
      <c r="L591" s="35">
        <f>VLOOKUP($A591, 'Hospitalisation Details'!$A:$H, 7, FALSE)</f>
        <v>16776.3</v>
      </c>
      <c r="M591" s="22" t="str">
        <f>VLOOKUP($A591, 'Hospitalisation Details'!$A:$L, 12, FALSE)</f>
        <v>tier - 2</v>
      </c>
      <c r="N591" s="22" t="str">
        <f>VLOOKUP($A591, 'Hospitalisation Details'!$A:$M, 13, FALSE)</f>
        <v>tier - 2</v>
      </c>
      <c r="O591" s="22" t="str">
        <f>VLOOKUP($A591, 'Hospitalisation Details'!$A:$N, 14, FALSE)</f>
        <v>R1024</v>
      </c>
      <c r="P591" s="36">
        <f>VLOOKUP($A591, 'Hospitalisation Details'!$A:$O, 15, FALSE)</f>
        <v>33</v>
      </c>
    </row>
    <row r="592" ht="15.75" customHeight="1">
      <c r="A592" s="33" t="s">
        <v>1183</v>
      </c>
      <c r="B592" s="22" t="str">
        <f>VLOOKUP($A592,'Customer Names'!$A:$D,3, FALSE)</f>
        <v>Reilly</v>
      </c>
      <c r="C592" s="22">
        <f>VLOOKUP($A592,'Medical Examinations'!$A:$D, 2, FALSE)</f>
        <v>49.72</v>
      </c>
      <c r="D592" s="22">
        <f>VLOOKUP($A592, 'Medical Examinations'!$A:$D,3, FALSE)</f>
        <v>7.71</v>
      </c>
      <c r="E592" s="22" t="str">
        <f>VLOOKUP($A592, 'Medical Examinations'!$A:$D, 4, FALSE)</f>
        <v>No</v>
      </c>
      <c r="F592" s="22" t="str">
        <f>VLOOKUP($A592, 'Medical Examinations'!$A:$J, 5, FALSE)</f>
        <v>No</v>
      </c>
      <c r="G592" s="22" t="str">
        <f>VLOOKUP($A592, 'Medical Examinations'!$A:$I, 6, FALSE)</f>
        <v>No</v>
      </c>
      <c r="H592" s="22">
        <f>VLOOKUP($A592,'Medical Examinations'!$A:$L,10, FALSE)</f>
        <v>0</v>
      </c>
      <c r="I592" s="22" t="str">
        <f>VLOOKUP($A592, 'Medical Examinations'!$A:$J, 9, FALSE)</f>
        <v>No</v>
      </c>
      <c r="J592" s="22" t="str">
        <f>VLOOKUP($A592, 'Medical Examinations'!$A:$P, 11, FALSE)</f>
        <v>OBESITY</v>
      </c>
      <c r="K592" s="34">
        <v>31631.0</v>
      </c>
      <c r="L592" s="35">
        <f>VLOOKUP($A592, 'Hospitalisation Details'!$A:$H, 7, FALSE)</f>
        <v>16770.99</v>
      </c>
      <c r="M592" s="22" t="str">
        <f>VLOOKUP($A592, 'Hospitalisation Details'!$A:$L, 12, FALSE)</f>
        <v>tier - 2</v>
      </c>
      <c r="N592" s="22" t="str">
        <f>VLOOKUP($A592, 'Hospitalisation Details'!$A:$M, 13, FALSE)</f>
        <v>tier - 1</v>
      </c>
      <c r="O592" s="22" t="str">
        <f>VLOOKUP($A592, 'Hospitalisation Details'!$A:$N, 14, FALSE)</f>
        <v>R1012</v>
      </c>
      <c r="P592" s="36">
        <f>VLOOKUP($A592, 'Hospitalisation Details'!$A:$O, 15, FALSE)</f>
        <v>48</v>
      </c>
    </row>
    <row r="593" ht="15.75" customHeight="1">
      <c r="A593" s="33" t="s">
        <v>1185</v>
      </c>
      <c r="B593" s="22" t="str">
        <f>VLOOKUP($A593,'Customer Names'!$A:$D,3, FALSE)</f>
        <v>Johnson</v>
      </c>
      <c r="C593" s="22">
        <f>VLOOKUP($A593,'Medical Examinations'!$A:$D, 2, FALSE)</f>
        <v>21.755</v>
      </c>
      <c r="D593" s="22">
        <f>VLOOKUP($A593, 'Medical Examinations'!$A:$D,3, FALSE)</f>
        <v>4.63</v>
      </c>
      <c r="E593" s="22" t="str">
        <f>VLOOKUP($A593, 'Medical Examinations'!$A:$D, 4, FALSE)</f>
        <v>No</v>
      </c>
      <c r="F593" s="22" t="str">
        <f>VLOOKUP($A593, 'Medical Examinations'!$A:$J, 5, FALSE)</f>
        <v>No</v>
      </c>
      <c r="G593" s="22" t="str">
        <f>VLOOKUP($A593, 'Medical Examinations'!$A:$I, 6, FALSE)</f>
        <v>Yes</v>
      </c>
      <c r="H593" s="22">
        <f>VLOOKUP($A593,'Medical Examinations'!$A:$L,10, FALSE)</f>
        <v>1</v>
      </c>
      <c r="I593" s="22" t="str">
        <f>VLOOKUP($A593, 'Medical Examinations'!$A:$J, 9, FALSE)</f>
        <v>Yes</v>
      </c>
      <c r="J593" s="22" t="str">
        <f>VLOOKUP($A593, 'Medical Examinations'!$A:$P, 11, FALSE)</f>
        <v>NORMAL WEIGHT</v>
      </c>
      <c r="K593" s="34">
        <v>25037.0</v>
      </c>
      <c r="L593" s="35">
        <f>VLOOKUP($A593, 'Hospitalisation Details'!$A:$H, 7, FALSE)</f>
        <v>16657.72</v>
      </c>
      <c r="M593" s="22" t="str">
        <f>VLOOKUP($A593, 'Hospitalisation Details'!$A:$L, 12, FALSE)</f>
        <v>tier - 2</v>
      </c>
      <c r="N593" s="22" t="str">
        <f>VLOOKUP($A593, 'Hospitalisation Details'!$A:$M, 13, FALSE)</f>
        <v>tier - 1</v>
      </c>
      <c r="O593" s="22" t="str">
        <f>VLOOKUP($A593, 'Hospitalisation Details'!$A:$N, 14, FALSE)</f>
        <v>R1024</v>
      </c>
      <c r="P593" s="36">
        <f>VLOOKUP($A593, 'Hospitalisation Details'!$A:$O, 15, FALSE)</f>
        <v>29</v>
      </c>
    </row>
    <row r="594" ht="15.75" customHeight="1">
      <c r="A594" s="33" t="s">
        <v>1187</v>
      </c>
      <c r="B594" s="22" t="str">
        <f>VLOOKUP($A594,'Customer Names'!$A:$D,3, FALSE)</f>
        <v>Petry</v>
      </c>
      <c r="C594" s="22">
        <f>VLOOKUP($A594,'Medical Examinations'!$A:$D, 2, FALSE)</f>
        <v>48.39</v>
      </c>
      <c r="D594" s="22">
        <f>VLOOKUP($A594, 'Medical Examinations'!$A:$D,3, FALSE)</f>
        <v>4.61</v>
      </c>
      <c r="E594" s="22" t="str">
        <f>VLOOKUP($A594, 'Medical Examinations'!$A:$D, 4, FALSE)</f>
        <v>No</v>
      </c>
      <c r="F594" s="22" t="str">
        <f>VLOOKUP($A594, 'Medical Examinations'!$A:$J, 5, FALSE)</f>
        <v>No</v>
      </c>
      <c r="G594" s="22" t="str">
        <f>VLOOKUP($A594, 'Medical Examinations'!$A:$I, 6, FALSE)</f>
        <v>No</v>
      </c>
      <c r="H594" s="22">
        <f>VLOOKUP($A594,'Medical Examinations'!$A:$L,10, FALSE)</f>
        <v>0</v>
      </c>
      <c r="I594" s="22" t="str">
        <f>VLOOKUP($A594, 'Medical Examinations'!$A:$J, 9, FALSE)</f>
        <v>No</v>
      </c>
      <c r="J594" s="22" t="str">
        <f>VLOOKUP($A594, 'Medical Examinations'!$A:$P, 11, FALSE)</f>
        <v>OBESITY</v>
      </c>
      <c r="K594" s="34">
        <v>28784.0</v>
      </c>
      <c r="L594" s="35">
        <f>VLOOKUP($A594, 'Hospitalisation Details'!$A:$H, 7, FALSE)</f>
        <v>16631.61</v>
      </c>
      <c r="M594" s="22" t="str">
        <f>VLOOKUP($A594, 'Hospitalisation Details'!$A:$L, 12, FALSE)</f>
        <v>tier - 2</v>
      </c>
      <c r="N594" s="22" t="str">
        <f>VLOOKUP($A594, 'Hospitalisation Details'!$A:$M, 13, FALSE)</f>
        <v>tier - 1</v>
      </c>
      <c r="O594" s="22" t="str">
        <f>VLOOKUP($A594, 'Hospitalisation Details'!$A:$N, 14, FALSE)</f>
        <v>R1012</v>
      </c>
      <c r="P594" s="36">
        <f>VLOOKUP($A594, 'Hospitalisation Details'!$A:$O, 15, FALSE)</f>
        <v>45</v>
      </c>
    </row>
    <row r="595" ht="15.75" customHeight="1">
      <c r="A595" s="33" t="s">
        <v>1189</v>
      </c>
      <c r="B595" s="22" t="str">
        <f>VLOOKUP($A595,'Customer Names'!$A:$D,3, FALSE)</f>
        <v>Laleman</v>
      </c>
      <c r="C595" s="22">
        <f>VLOOKUP($A595,'Medical Examinations'!$A:$D, 2, FALSE)</f>
        <v>47.15</v>
      </c>
      <c r="D595" s="22">
        <f>VLOOKUP($A595, 'Medical Examinations'!$A:$D,3, FALSE)</f>
        <v>9.53</v>
      </c>
      <c r="E595" s="22" t="str">
        <f>VLOOKUP($A595, 'Medical Examinations'!$A:$D, 4, FALSE)</f>
        <v>Yes</v>
      </c>
      <c r="F595" s="22" t="str">
        <f>VLOOKUP($A595, 'Medical Examinations'!$A:$J, 5, FALSE)</f>
        <v>No</v>
      </c>
      <c r="G595" s="22" t="str">
        <f>VLOOKUP($A595, 'Medical Examinations'!$A:$I, 6, FALSE)</f>
        <v>No</v>
      </c>
      <c r="H595" s="22">
        <f>VLOOKUP($A595,'Medical Examinations'!$A:$L,10, FALSE)</f>
        <v>1</v>
      </c>
      <c r="I595" s="22" t="str">
        <f>VLOOKUP($A595, 'Medical Examinations'!$A:$J, 9, FALSE)</f>
        <v>No</v>
      </c>
      <c r="J595" s="22" t="str">
        <f>VLOOKUP($A595, 'Medical Examinations'!$A:$P, 11, FALSE)</f>
        <v>OBESITY</v>
      </c>
      <c r="K595" s="34">
        <v>34498.0</v>
      </c>
      <c r="L595" s="35">
        <f>VLOOKUP($A595, 'Hospitalisation Details'!$A:$H, 7, FALSE)</f>
        <v>16602.18</v>
      </c>
      <c r="M595" s="22" t="str">
        <f>VLOOKUP($A595, 'Hospitalisation Details'!$A:$L, 12, FALSE)</f>
        <v>tier - 2</v>
      </c>
      <c r="N595" s="22" t="str">
        <f>VLOOKUP($A595, 'Hospitalisation Details'!$A:$M, 13, FALSE)</f>
        <v>tier - 1</v>
      </c>
      <c r="O595" s="22" t="str">
        <f>VLOOKUP($A595, 'Hospitalisation Details'!$A:$N, 14, FALSE)</f>
        <v>R1026</v>
      </c>
      <c r="P595" s="36">
        <f>VLOOKUP($A595, 'Hospitalisation Details'!$A:$O, 15, FALSE)</f>
        <v>47</v>
      </c>
    </row>
    <row r="596" ht="15.75" customHeight="1">
      <c r="A596" s="33" t="s">
        <v>1191</v>
      </c>
      <c r="B596" s="22" t="str">
        <f>VLOOKUP($A596,'Customer Names'!$A:$D,3, FALSE)</f>
        <v>Colby</v>
      </c>
      <c r="C596" s="22">
        <f>VLOOKUP($A596,'Medical Examinations'!$A:$D, 2, FALSE)</f>
        <v>47.59</v>
      </c>
      <c r="D596" s="22">
        <f>VLOOKUP($A596, 'Medical Examinations'!$A:$D,3, FALSE)</f>
        <v>11.43</v>
      </c>
      <c r="E596" s="22" t="str">
        <f>VLOOKUP($A596, 'Medical Examinations'!$A:$D, 4, FALSE)</f>
        <v>Yes</v>
      </c>
      <c r="F596" s="22" t="str">
        <f>VLOOKUP($A596, 'Medical Examinations'!$A:$J, 5, FALSE)</f>
        <v>No</v>
      </c>
      <c r="G596" s="22" t="str">
        <f>VLOOKUP($A596, 'Medical Examinations'!$A:$I, 6, FALSE)</f>
        <v>No</v>
      </c>
      <c r="H596" s="22">
        <f>VLOOKUP($A596,'Medical Examinations'!$A:$L,10, FALSE)</f>
        <v>2</v>
      </c>
      <c r="I596" s="22" t="str">
        <f>VLOOKUP($A596, 'Medical Examinations'!$A:$J, 9, FALSE)</f>
        <v>No</v>
      </c>
      <c r="J596" s="22" t="str">
        <f>VLOOKUP($A596, 'Medical Examinations'!$A:$P, 11, FALSE)</f>
        <v>OBESITY</v>
      </c>
      <c r="K596" s="34">
        <v>30479.0</v>
      </c>
      <c r="L596" s="35">
        <f>VLOOKUP($A596, 'Hospitalisation Details'!$A:$H, 7, FALSE)</f>
        <v>16600.16</v>
      </c>
      <c r="M596" s="22" t="str">
        <f>VLOOKUP($A596, 'Hospitalisation Details'!$A:$L, 12, FALSE)</f>
        <v>tier - 2</v>
      </c>
      <c r="N596" s="22" t="str">
        <f>VLOOKUP($A596, 'Hospitalisation Details'!$A:$M, 13, FALSE)</f>
        <v>tier - 2</v>
      </c>
      <c r="O596" s="22" t="str">
        <f>VLOOKUP($A596, 'Hospitalisation Details'!$A:$N, 14, FALSE)</f>
        <v>R1011</v>
      </c>
      <c r="P596" s="36">
        <f>VLOOKUP($A596, 'Hospitalisation Details'!$A:$O, 15, FALSE)</f>
        <v>52</v>
      </c>
    </row>
    <row r="597" ht="15.75" customHeight="1">
      <c r="A597" s="33" t="s">
        <v>1193</v>
      </c>
      <c r="B597" s="22" t="str">
        <f>VLOOKUP($A597,'Customer Names'!$A:$D,3, FALSE)</f>
        <v>Wathke</v>
      </c>
      <c r="C597" s="22">
        <f>VLOOKUP($A597,'Medical Examinations'!$A:$D, 2, FALSE)</f>
        <v>39.81</v>
      </c>
      <c r="D597" s="22">
        <f>VLOOKUP($A597, 'Medical Examinations'!$A:$D,3, FALSE)</f>
        <v>7.65</v>
      </c>
      <c r="E597" s="22" t="str">
        <f>VLOOKUP($A597, 'Medical Examinations'!$A:$D, 4, FALSE)</f>
        <v>Yes</v>
      </c>
      <c r="F597" s="22" t="str">
        <f>VLOOKUP($A597, 'Medical Examinations'!$A:$J, 5, FALSE)</f>
        <v>No</v>
      </c>
      <c r="G597" s="22" t="str">
        <f>VLOOKUP($A597, 'Medical Examinations'!$A:$I, 6, FALSE)</f>
        <v>Yes</v>
      </c>
      <c r="H597" s="22">
        <f>VLOOKUP($A597,'Medical Examinations'!$A:$L,10, FALSE)</f>
        <v>1</v>
      </c>
      <c r="I597" s="22" t="str">
        <f>VLOOKUP($A597, 'Medical Examinations'!$A:$J, 9, FALSE)</f>
        <v>No</v>
      </c>
      <c r="J597" s="22" t="str">
        <f>VLOOKUP($A597, 'Medical Examinations'!$A:$P, 11, FALSE)</f>
        <v>OBESITY</v>
      </c>
      <c r="K597" s="34">
        <v>26279.0</v>
      </c>
      <c r="L597" s="35">
        <f>VLOOKUP($A597, 'Hospitalisation Details'!$A:$H, 7, FALSE)</f>
        <v>16587.96</v>
      </c>
      <c r="M597" s="22" t="str">
        <f>VLOOKUP($A597, 'Hospitalisation Details'!$A:$L, 12, FALSE)</f>
        <v>tier - 2</v>
      </c>
      <c r="N597" s="22" t="str">
        <f>VLOOKUP($A597, 'Hospitalisation Details'!$A:$M, 13, FALSE)</f>
        <v>tier - 2</v>
      </c>
      <c r="O597" s="22" t="str">
        <f>VLOOKUP($A597, 'Hospitalisation Details'!$A:$N, 14, FALSE)</f>
        <v>R1023</v>
      </c>
      <c r="P597" s="36">
        <f>VLOOKUP($A597, 'Hospitalisation Details'!$A:$O, 15, FALSE)</f>
        <v>59</v>
      </c>
    </row>
    <row r="598" ht="15.75" customHeight="1">
      <c r="A598" s="33" t="s">
        <v>1195</v>
      </c>
      <c r="B598" s="22" t="str">
        <f>VLOOKUP($A598,'Customer Names'!$A:$D,3, FALSE)</f>
        <v>Daly</v>
      </c>
      <c r="C598" s="22">
        <f>VLOOKUP($A598,'Medical Examinations'!$A:$D, 2, FALSE)</f>
        <v>31.02</v>
      </c>
      <c r="D598" s="22">
        <f>VLOOKUP($A598, 'Medical Examinations'!$A:$D,3, FALSE)</f>
        <v>5.87</v>
      </c>
      <c r="E598" s="22" t="str">
        <f>VLOOKUP($A598, 'Medical Examinations'!$A:$D, 4, FALSE)</f>
        <v>Yes</v>
      </c>
      <c r="F598" s="22" t="str">
        <f>VLOOKUP($A598, 'Medical Examinations'!$A:$J, 5, FALSE)</f>
        <v>No</v>
      </c>
      <c r="G598" s="22" t="str">
        <f>VLOOKUP($A598, 'Medical Examinations'!$A:$I, 6, FALSE)</f>
        <v>No</v>
      </c>
      <c r="H598" s="22">
        <f>VLOOKUP($A598,'Medical Examinations'!$A:$L,10, FALSE)</f>
        <v>0</v>
      </c>
      <c r="I598" s="22" t="str">
        <f>VLOOKUP($A598, 'Medical Examinations'!$A:$J, 9, FALSE)</f>
        <v>No</v>
      </c>
      <c r="J598" s="22" t="str">
        <f>VLOOKUP($A598, 'Medical Examinations'!$A:$P, 11, FALSE)</f>
        <v>OBESITY</v>
      </c>
      <c r="K598" s="34">
        <v>26622.0</v>
      </c>
      <c r="L598" s="35">
        <f>VLOOKUP($A598, 'Hospitalisation Details'!$A:$H, 7, FALSE)</f>
        <v>16586.5</v>
      </c>
      <c r="M598" s="22" t="str">
        <f>VLOOKUP($A598, 'Hospitalisation Details'!$A:$L, 12, FALSE)</f>
        <v>tier - 2</v>
      </c>
      <c r="N598" s="22" t="str">
        <f>VLOOKUP($A598, 'Hospitalisation Details'!$A:$M, 13, FALSE)</f>
        <v>tier - 1</v>
      </c>
      <c r="O598" s="22" t="str">
        <f>VLOOKUP($A598, 'Hospitalisation Details'!$A:$N, 14, FALSE)</f>
        <v>R1013</v>
      </c>
      <c r="P598" s="36">
        <f>VLOOKUP($A598, 'Hospitalisation Details'!$A:$O, 15, FALSE)</f>
        <v>21</v>
      </c>
    </row>
    <row r="599" ht="15.75" customHeight="1">
      <c r="A599" s="33" t="s">
        <v>1197</v>
      </c>
      <c r="B599" s="22" t="str">
        <f>VLOOKUP($A599,'Customer Names'!$A:$D,3, FALSE)</f>
        <v>Dillon</v>
      </c>
      <c r="C599" s="22">
        <f>VLOOKUP($A599,'Medical Examinations'!$A:$D, 2, FALSE)</f>
        <v>24.75</v>
      </c>
      <c r="D599" s="22">
        <f>VLOOKUP($A599, 'Medical Examinations'!$A:$D,3, FALSE)</f>
        <v>4.36</v>
      </c>
      <c r="E599" s="22" t="str">
        <f>VLOOKUP($A599, 'Medical Examinations'!$A:$D, 4, FALSE)</f>
        <v>Yes</v>
      </c>
      <c r="F599" s="22" t="str">
        <f>VLOOKUP($A599, 'Medical Examinations'!$A:$J, 5, FALSE)</f>
        <v>No</v>
      </c>
      <c r="G599" s="22" t="str">
        <f>VLOOKUP($A599, 'Medical Examinations'!$A:$I, 6, FALSE)</f>
        <v>No</v>
      </c>
      <c r="H599" s="22">
        <f>VLOOKUP($A599,'Medical Examinations'!$A:$L,10, FALSE)</f>
        <v>1</v>
      </c>
      <c r="I599" s="22" t="str">
        <f>VLOOKUP($A599, 'Medical Examinations'!$A:$J, 9, FALSE)</f>
        <v>Yes</v>
      </c>
      <c r="J599" s="22" t="str">
        <f>VLOOKUP($A599, 'Medical Examinations'!$A:$P, 11, FALSE)</f>
        <v>NORMAL WEIGHT</v>
      </c>
      <c r="K599" s="34">
        <v>25032.0</v>
      </c>
      <c r="L599" s="35">
        <f>VLOOKUP($A599, 'Hospitalisation Details'!$A:$H, 7, FALSE)</f>
        <v>16577.78</v>
      </c>
      <c r="M599" s="22" t="str">
        <f>VLOOKUP($A599, 'Hospitalisation Details'!$A:$L, 12, FALSE)</f>
        <v>tier - 2</v>
      </c>
      <c r="N599" s="22" t="str">
        <f>VLOOKUP($A599, 'Hospitalisation Details'!$A:$M, 13, FALSE)</f>
        <v>tier - 1</v>
      </c>
      <c r="O599" s="22" t="str">
        <f>VLOOKUP($A599, 'Hospitalisation Details'!$A:$N, 14, FALSE)</f>
        <v>R1013</v>
      </c>
      <c r="P599" s="36">
        <f>VLOOKUP($A599, 'Hospitalisation Details'!$A:$O, 15, FALSE)</f>
        <v>27</v>
      </c>
    </row>
    <row r="600" ht="15.75" customHeight="1">
      <c r="A600" s="33" t="s">
        <v>1199</v>
      </c>
      <c r="B600" s="22" t="str">
        <f>VLOOKUP($A600,'Customer Names'!$A:$D,3, FALSE)</f>
        <v>Pontes</v>
      </c>
      <c r="C600" s="22">
        <f>VLOOKUP($A600,'Medical Examinations'!$A:$D, 2, FALSE)</f>
        <v>30.115</v>
      </c>
      <c r="D600" s="22">
        <f>VLOOKUP($A600, 'Medical Examinations'!$A:$D,3, FALSE)</f>
        <v>10.12</v>
      </c>
      <c r="E600" s="22" t="str">
        <f>VLOOKUP($A600, 'Medical Examinations'!$A:$D, 4, FALSE)</f>
        <v>No</v>
      </c>
      <c r="F600" s="22" t="str">
        <f>VLOOKUP($A600, 'Medical Examinations'!$A:$J, 5, FALSE)</f>
        <v>No</v>
      </c>
      <c r="G600" s="22" t="str">
        <f>VLOOKUP($A600, 'Medical Examinations'!$A:$I, 6, FALSE)</f>
        <v>No</v>
      </c>
      <c r="H600" s="22">
        <f>VLOOKUP($A600,'Medical Examinations'!$A:$L,10, FALSE)</f>
        <v>3</v>
      </c>
      <c r="I600" s="22" t="str">
        <f>VLOOKUP($A600, 'Medical Examinations'!$A:$J, 9, FALSE)</f>
        <v>No</v>
      </c>
      <c r="J600" s="22" t="str">
        <f>VLOOKUP($A600, 'Medical Examinations'!$A:$P, 11, FALSE)</f>
        <v>OBESITY</v>
      </c>
      <c r="K600" s="34">
        <v>31237.0</v>
      </c>
      <c r="L600" s="35">
        <f>VLOOKUP($A600, 'Hospitalisation Details'!$A:$H, 7, FALSE)</f>
        <v>16455.71</v>
      </c>
      <c r="M600" s="22" t="str">
        <f>VLOOKUP($A600, 'Hospitalisation Details'!$A:$L, 12, FALSE)</f>
        <v>tier - 2</v>
      </c>
      <c r="N600" s="22" t="str">
        <f>VLOOKUP($A600, 'Hospitalisation Details'!$A:$M, 13, FALSE)</f>
        <v>tier - 2</v>
      </c>
      <c r="O600" s="22" t="str">
        <f>VLOOKUP($A600, 'Hospitalisation Details'!$A:$N, 14, FALSE)</f>
        <v>R1012</v>
      </c>
      <c r="P600" s="36">
        <f>VLOOKUP($A600, 'Hospitalisation Details'!$A:$O, 15, FALSE)</f>
        <v>64</v>
      </c>
    </row>
    <row r="601" ht="15.75" customHeight="1">
      <c r="A601" s="33" t="s">
        <v>1201</v>
      </c>
      <c r="B601" s="22" t="str">
        <f>VLOOKUP($A601,'Customer Names'!$A:$D,3, FALSE)</f>
        <v>Spies</v>
      </c>
      <c r="C601" s="22">
        <f>VLOOKUP($A601,'Medical Examinations'!$A:$D, 2, FALSE)</f>
        <v>26.03</v>
      </c>
      <c r="D601" s="22">
        <f>VLOOKUP($A601, 'Medical Examinations'!$A:$D,3, FALSE)</f>
        <v>4.01</v>
      </c>
      <c r="E601" s="22" t="str">
        <f>VLOOKUP($A601, 'Medical Examinations'!$A:$D, 4, FALSE)</f>
        <v>No</v>
      </c>
      <c r="F601" s="22" t="str">
        <f>VLOOKUP($A601, 'Medical Examinations'!$A:$J, 5, FALSE)</f>
        <v>No</v>
      </c>
      <c r="G601" s="22" t="str">
        <f>VLOOKUP($A601, 'Medical Examinations'!$A:$I, 6, FALSE)</f>
        <v>Yes</v>
      </c>
      <c r="H601" s="22">
        <f>VLOOKUP($A601,'Medical Examinations'!$A:$L,10, FALSE)</f>
        <v>1</v>
      </c>
      <c r="I601" s="22" t="str">
        <f>VLOOKUP($A601, 'Medical Examinations'!$A:$J, 9, FALSE)</f>
        <v>Yes</v>
      </c>
      <c r="J601" s="22" t="str">
        <f>VLOOKUP($A601, 'Medical Examinations'!$A:$P, 11, FALSE)</f>
        <v>OVERWEIGHT</v>
      </c>
      <c r="K601" s="34">
        <v>32801.0</v>
      </c>
      <c r="L601" s="35">
        <f>VLOOKUP($A601, 'Hospitalisation Details'!$A:$H, 7, FALSE)</f>
        <v>16450.89</v>
      </c>
      <c r="M601" s="22" t="str">
        <f>VLOOKUP($A601, 'Hospitalisation Details'!$A:$L, 12, FALSE)</f>
        <v>tier - 2</v>
      </c>
      <c r="N601" s="22" t="str">
        <f>VLOOKUP($A601, 'Hospitalisation Details'!$A:$M, 13, FALSE)</f>
        <v>tier - 1</v>
      </c>
      <c r="O601" s="22" t="str">
        <f>VLOOKUP($A601, 'Hospitalisation Details'!$A:$N, 14, FALSE)</f>
        <v>R1012</v>
      </c>
      <c r="P601" s="36">
        <f>VLOOKUP($A601, 'Hospitalisation Details'!$A:$O, 15, FALSE)</f>
        <v>19</v>
      </c>
    </row>
    <row r="602" ht="15.75" customHeight="1">
      <c r="A602" s="33" t="s">
        <v>1203</v>
      </c>
      <c r="B602" s="22" t="str">
        <f>VLOOKUP($A602,'Customer Names'!$A:$D,3, FALSE)</f>
        <v>Greig</v>
      </c>
      <c r="C602" s="22">
        <f>VLOOKUP($A602,'Medical Examinations'!$A:$D, 2, FALSE)</f>
        <v>20.045</v>
      </c>
      <c r="D602" s="22">
        <f>VLOOKUP($A602, 'Medical Examinations'!$A:$D,3, FALSE)</f>
        <v>4.77</v>
      </c>
      <c r="E602" s="22" t="str">
        <f>VLOOKUP($A602, 'Medical Examinations'!$A:$D, 4, FALSE)</f>
        <v>Yes</v>
      </c>
      <c r="F602" s="22" t="str">
        <f>VLOOKUP($A602, 'Medical Examinations'!$A:$J, 5, FALSE)</f>
        <v>No</v>
      </c>
      <c r="G602" s="22" t="str">
        <f>VLOOKUP($A602, 'Medical Examinations'!$A:$I, 6, FALSE)</f>
        <v>No</v>
      </c>
      <c r="H602" s="22">
        <f>VLOOKUP($A602,'Medical Examinations'!$A:$L,10, FALSE)</f>
        <v>1</v>
      </c>
      <c r="I602" s="22" t="str">
        <f>VLOOKUP($A602, 'Medical Examinations'!$A:$J, 9, FALSE)</f>
        <v>Yes</v>
      </c>
      <c r="J602" s="22" t="str">
        <f>VLOOKUP($A602, 'Medical Examinations'!$A:$P, 11, FALSE)</f>
        <v>NORMAL WEIGHT</v>
      </c>
      <c r="K602" s="34">
        <v>29846.0</v>
      </c>
      <c r="L602" s="35">
        <f>VLOOKUP($A602, 'Hospitalisation Details'!$A:$H, 7, FALSE)</f>
        <v>16420.49</v>
      </c>
      <c r="M602" s="22" t="str">
        <f>VLOOKUP($A602, 'Hospitalisation Details'!$A:$L, 12, FALSE)</f>
        <v>tier - 2</v>
      </c>
      <c r="N602" s="22" t="str">
        <f>VLOOKUP($A602, 'Hospitalisation Details'!$A:$M, 13, FALSE)</f>
        <v>tier - 3</v>
      </c>
      <c r="O602" s="22" t="str">
        <f>VLOOKUP($A602, 'Hospitalisation Details'!$A:$N, 14, FALSE)</f>
        <v>R1012</v>
      </c>
      <c r="P602" s="36">
        <f>VLOOKUP($A602, 'Hospitalisation Details'!$A:$O, 15, FALSE)</f>
        <v>27</v>
      </c>
    </row>
    <row r="603" ht="15.75" customHeight="1">
      <c r="A603" s="33" t="s">
        <v>1205</v>
      </c>
      <c r="B603" s="22" t="str">
        <f>VLOOKUP($A603,'Customer Names'!$A:$D,3, FALSE)</f>
        <v>Scott</v>
      </c>
      <c r="C603" s="22">
        <f>VLOOKUP($A603,'Medical Examinations'!$A:$D, 2, FALSE)</f>
        <v>40.24</v>
      </c>
      <c r="D603" s="22">
        <f>VLOOKUP($A603, 'Medical Examinations'!$A:$D,3, FALSE)</f>
        <v>6.83</v>
      </c>
      <c r="E603" s="22" t="str">
        <f>VLOOKUP($A603, 'Medical Examinations'!$A:$D, 4, FALSE)</f>
        <v>No</v>
      </c>
      <c r="F603" s="22" t="str">
        <f>VLOOKUP($A603, 'Medical Examinations'!$A:$J, 5, FALSE)</f>
        <v>No</v>
      </c>
      <c r="G603" s="22" t="str">
        <f>VLOOKUP($A603, 'Medical Examinations'!$A:$I, 6, FALSE)</f>
        <v>No</v>
      </c>
      <c r="H603" s="22">
        <f>VLOOKUP($A603,'Medical Examinations'!$A:$L,10, FALSE)</f>
        <v>0</v>
      </c>
      <c r="I603" s="22" t="str">
        <f>VLOOKUP($A603, 'Medical Examinations'!$A:$J, 9, FALSE)</f>
        <v>No</v>
      </c>
      <c r="J603" s="22" t="str">
        <f>VLOOKUP($A603, 'Medical Examinations'!$A:$P, 11, FALSE)</f>
        <v>OBESITY</v>
      </c>
      <c r="K603" s="34">
        <v>30221.0</v>
      </c>
      <c r="L603" s="35">
        <f>VLOOKUP($A603, 'Hospitalisation Details'!$A:$H, 7, FALSE)</f>
        <v>16351.42</v>
      </c>
      <c r="M603" s="22" t="str">
        <f>VLOOKUP($A603, 'Hospitalisation Details'!$A:$L, 12, FALSE)</f>
        <v>tier - 2</v>
      </c>
      <c r="N603" s="22" t="str">
        <f>VLOOKUP($A603, 'Hospitalisation Details'!$A:$M, 13, FALSE)</f>
        <v>tier - 3</v>
      </c>
      <c r="O603" s="22" t="str">
        <f>VLOOKUP($A603, 'Hospitalisation Details'!$A:$N, 14, FALSE)</f>
        <v>R1026</v>
      </c>
      <c r="P603" s="36">
        <f>VLOOKUP($A603, 'Hospitalisation Details'!$A:$O, 15, FALSE)</f>
        <v>57</v>
      </c>
    </row>
    <row r="604" ht="15.75" customHeight="1">
      <c r="A604" s="33" t="s">
        <v>1207</v>
      </c>
      <c r="B604" s="22" t="str">
        <f>VLOOKUP($A604,'Customer Names'!$A:$D,3, FALSE)</f>
        <v>Erlandson</v>
      </c>
      <c r="C604" s="22">
        <f>VLOOKUP($A604,'Medical Examinations'!$A:$D, 2, FALSE)</f>
        <v>43.15</v>
      </c>
      <c r="D604" s="22">
        <f>VLOOKUP($A604, 'Medical Examinations'!$A:$D,3, FALSE)</f>
        <v>6.14</v>
      </c>
      <c r="E604" s="22" t="str">
        <f>VLOOKUP($A604, 'Medical Examinations'!$A:$D, 4, FALSE)</f>
        <v>Yes</v>
      </c>
      <c r="F604" s="22" t="str">
        <f>VLOOKUP($A604, 'Medical Examinations'!$A:$J, 5, FALSE)</f>
        <v>No</v>
      </c>
      <c r="G604" s="22" t="str">
        <f>VLOOKUP($A604, 'Medical Examinations'!$A:$I, 6, FALSE)</f>
        <v>Yes</v>
      </c>
      <c r="H604" s="22">
        <f>VLOOKUP($A604,'Medical Examinations'!$A:$L,10, FALSE)</f>
        <v>1</v>
      </c>
      <c r="I604" s="22" t="str">
        <f>VLOOKUP($A604, 'Medical Examinations'!$A:$J, 9, FALSE)</f>
        <v>No</v>
      </c>
      <c r="J604" s="22" t="str">
        <f>VLOOKUP($A604, 'Medical Examinations'!$A:$P, 11, FALSE)</f>
        <v>OBESITY</v>
      </c>
      <c r="K604" s="34">
        <v>32831.0</v>
      </c>
      <c r="L604" s="35">
        <f>VLOOKUP($A604, 'Hospitalisation Details'!$A:$H, 7, FALSE)</f>
        <v>16311.05</v>
      </c>
      <c r="M604" s="22" t="str">
        <f>VLOOKUP($A604, 'Hospitalisation Details'!$A:$L, 12, FALSE)</f>
        <v>tier - 2</v>
      </c>
      <c r="N604" s="22" t="str">
        <f>VLOOKUP($A604, 'Hospitalisation Details'!$A:$M, 13, FALSE)</f>
        <v>tier - 3</v>
      </c>
      <c r="O604" s="22" t="str">
        <f>VLOOKUP($A604, 'Hospitalisation Details'!$A:$N, 14, FALSE)</f>
        <v>R1026</v>
      </c>
      <c r="P604" s="36">
        <f>VLOOKUP($A604, 'Hospitalisation Details'!$A:$O, 15, FALSE)</f>
        <v>53</v>
      </c>
    </row>
    <row r="605" ht="15.75" customHeight="1">
      <c r="A605" s="33" t="s">
        <v>1209</v>
      </c>
      <c r="B605" s="22" t="str">
        <f>VLOOKUP($A605,'Customer Names'!$A:$D,3, FALSE)</f>
        <v>Autrey</v>
      </c>
      <c r="C605" s="22">
        <f>VLOOKUP($A605,'Medical Examinations'!$A:$D, 2, FALSE)</f>
        <v>27.7</v>
      </c>
      <c r="D605" s="22">
        <f>VLOOKUP($A605, 'Medical Examinations'!$A:$D,3, FALSE)</f>
        <v>5.6</v>
      </c>
      <c r="E605" s="22" t="str">
        <f>VLOOKUP($A605, 'Medical Examinations'!$A:$D, 4, FALSE)</f>
        <v>No</v>
      </c>
      <c r="F605" s="22" t="str">
        <f>VLOOKUP($A605, 'Medical Examinations'!$A:$J, 5, FALSE)</f>
        <v>No</v>
      </c>
      <c r="G605" s="22" t="str">
        <f>VLOOKUP($A605, 'Medical Examinations'!$A:$I, 6, FALSE)</f>
        <v>Yes</v>
      </c>
      <c r="H605" s="22">
        <f>VLOOKUP($A605,'Medical Examinations'!$A:$L,10, FALSE)</f>
        <v>1</v>
      </c>
      <c r="I605" s="22" t="str">
        <f>VLOOKUP($A605, 'Medical Examinations'!$A:$J, 9, FALSE)</f>
        <v>Yes</v>
      </c>
      <c r="J605" s="22" t="str">
        <f>VLOOKUP($A605, 'Medical Examinations'!$A:$P, 11, FALSE)</f>
        <v>OVERWEIGHT</v>
      </c>
      <c r="K605" s="34">
        <v>30864.0</v>
      </c>
      <c r="L605" s="35">
        <f>VLOOKUP($A605, 'Hospitalisation Details'!$A:$H, 7, FALSE)</f>
        <v>16297.85</v>
      </c>
      <c r="M605" s="22" t="str">
        <f>VLOOKUP($A605, 'Hospitalisation Details'!$A:$L, 12, FALSE)</f>
        <v>tier - 2</v>
      </c>
      <c r="N605" s="22" t="str">
        <f>VLOOKUP($A605, 'Hospitalisation Details'!$A:$M, 13, FALSE)</f>
        <v>tier - 3</v>
      </c>
      <c r="O605" s="22" t="str">
        <f>VLOOKUP($A605, 'Hospitalisation Details'!$A:$N, 14, FALSE)</f>
        <v>R1011</v>
      </c>
      <c r="P605" s="36">
        <f>VLOOKUP($A605, 'Hospitalisation Details'!$A:$O, 15, FALSE)</f>
        <v>19</v>
      </c>
    </row>
    <row r="606" ht="15.75" customHeight="1">
      <c r="A606" s="33" t="s">
        <v>1211</v>
      </c>
      <c r="B606" s="22" t="str">
        <f>VLOOKUP($A606,'Customer Names'!$A:$D,3, FALSE)</f>
        <v>Alleman</v>
      </c>
      <c r="C606" s="22">
        <f>VLOOKUP($A606,'Medical Examinations'!$A:$D, 2, FALSE)</f>
        <v>45.68</v>
      </c>
      <c r="D606" s="22">
        <f>VLOOKUP($A606, 'Medical Examinations'!$A:$D,3, FALSE)</f>
        <v>4.8</v>
      </c>
      <c r="E606" s="22" t="str">
        <f>VLOOKUP($A606, 'Medical Examinations'!$A:$D, 4, FALSE)</f>
        <v>No</v>
      </c>
      <c r="F606" s="22" t="str">
        <f>VLOOKUP($A606, 'Medical Examinations'!$A:$J, 5, FALSE)</f>
        <v>No</v>
      </c>
      <c r="G606" s="22" t="str">
        <f>VLOOKUP($A606, 'Medical Examinations'!$A:$I, 6, FALSE)</f>
        <v>No</v>
      </c>
      <c r="H606" s="22">
        <f>VLOOKUP($A606,'Medical Examinations'!$A:$L,10, FALSE)</f>
        <v>2</v>
      </c>
      <c r="I606" s="22" t="str">
        <f>VLOOKUP($A606, 'Medical Examinations'!$A:$J, 9, FALSE)</f>
        <v>No</v>
      </c>
      <c r="J606" s="22" t="str">
        <f>VLOOKUP($A606, 'Medical Examinations'!$A:$P, 11, FALSE)</f>
        <v>OBESITY</v>
      </c>
      <c r="K606" s="34">
        <v>25880.0</v>
      </c>
      <c r="L606" s="35">
        <f>VLOOKUP($A606, 'Hospitalisation Details'!$A:$H, 7, FALSE)</f>
        <v>16267.32</v>
      </c>
      <c r="M606" s="22" t="str">
        <f>VLOOKUP($A606, 'Hospitalisation Details'!$A:$L, 12, FALSE)</f>
        <v>tier - 2</v>
      </c>
      <c r="N606" s="22" t="str">
        <f>VLOOKUP($A606, 'Hospitalisation Details'!$A:$M, 13, FALSE)</f>
        <v>tier - 2</v>
      </c>
      <c r="O606" s="22" t="str">
        <f>VLOOKUP($A606, 'Hospitalisation Details'!$A:$N, 14, FALSE)</f>
        <v>R1023</v>
      </c>
      <c r="P606" s="36">
        <f>VLOOKUP($A606, 'Hospitalisation Details'!$A:$O, 15, FALSE)</f>
        <v>50</v>
      </c>
    </row>
    <row r="607" ht="15.75" customHeight="1">
      <c r="A607" s="33" t="s">
        <v>1213</v>
      </c>
      <c r="B607" s="22" t="str">
        <f>VLOOKUP($A607,'Customer Names'!$A:$D,3, FALSE)</f>
        <v>Michalski</v>
      </c>
      <c r="C607" s="22">
        <f>VLOOKUP($A607,'Medical Examinations'!$A:$D, 2, FALSE)</f>
        <v>27.3</v>
      </c>
      <c r="D607" s="22">
        <f>VLOOKUP($A607, 'Medical Examinations'!$A:$D,3, FALSE)</f>
        <v>11.89</v>
      </c>
      <c r="E607" s="22" t="str">
        <f>VLOOKUP($A607, 'Medical Examinations'!$A:$D, 4, FALSE)</f>
        <v>No</v>
      </c>
      <c r="F607" s="22" t="str">
        <f>VLOOKUP($A607, 'Medical Examinations'!$A:$J, 5, FALSE)</f>
        <v>No</v>
      </c>
      <c r="G607" s="22" t="str">
        <f>VLOOKUP($A607, 'Medical Examinations'!$A:$I, 6, FALSE)</f>
        <v>No</v>
      </c>
      <c r="H607" s="22">
        <f>VLOOKUP($A607,'Medical Examinations'!$A:$L,10, FALSE)</f>
        <v>0</v>
      </c>
      <c r="I607" s="22" t="str">
        <f>VLOOKUP($A607, 'Medical Examinations'!$A:$J, 9, FALSE)</f>
        <v>Yes</v>
      </c>
      <c r="J607" s="22" t="str">
        <f>VLOOKUP($A607, 'Medical Examinations'!$A:$P, 11, FALSE)</f>
        <v>OVERWEIGHT</v>
      </c>
      <c r="K607" s="34">
        <v>31024.0</v>
      </c>
      <c r="L607" s="35">
        <f>VLOOKUP($A607, 'Hospitalisation Details'!$A:$H, 7, FALSE)</f>
        <v>16232.85</v>
      </c>
      <c r="M607" s="22" t="str">
        <f>VLOOKUP($A607, 'Hospitalisation Details'!$A:$L, 12, FALSE)</f>
        <v>tier - 2</v>
      </c>
      <c r="N607" s="22" t="str">
        <f>VLOOKUP($A607, 'Hospitalisation Details'!$A:$M, 13, FALSE)</f>
        <v>tier - 1</v>
      </c>
      <c r="O607" s="22" t="str">
        <f>VLOOKUP($A607, 'Hospitalisation Details'!$A:$N, 14, FALSE)</f>
        <v>R1011</v>
      </c>
      <c r="P607" s="36">
        <f>VLOOKUP($A607, 'Hospitalisation Details'!$A:$O, 15, FALSE)</f>
        <v>20</v>
      </c>
    </row>
    <row r="608" ht="15.75" customHeight="1">
      <c r="A608" s="33" t="s">
        <v>1215</v>
      </c>
      <c r="B608" s="22" t="str">
        <f>VLOOKUP($A608,'Customer Names'!$A:$D,3, FALSE)</f>
        <v>Grillo</v>
      </c>
      <c r="C608" s="22">
        <f>VLOOKUP($A608,'Medical Examinations'!$A:$D, 2, FALSE)</f>
        <v>54.45</v>
      </c>
      <c r="D608" s="22">
        <f>VLOOKUP($A608, 'Medical Examinations'!$A:$D,3, FALSE)</f>
        <v>4.73</v>
      </c>
      <c r="E608" s="22" t="str">
        <f>VLOOKUP($A608, 'Medical Examinations'!$A:$D, 4, FALSE)</f>
        <v>Yes</v>
      </c>
      <c r="F608" s="22" t="str">
        <f>VLOOKUP($A608, 'Medical Examinations'!$A:$J, 5, FALSE)</f>
        <v>No</v>
      </c>
      <c r="G608" s="22" t="str">
        <f>VLOOKUP($A608, 'Medical Examinations'!$A:$I, 6, FALSE)</f>
        <v>No</v>
      </c>
      <c r="H608" s="22">
        <f>VLOOKUP($A608,'Medical Examinations'!$A:$L,10, FALSE)</f>
        <v>1</v>
      </c>
      <c r="I608" s="22" t="str">
        <f>VLOOKUP($A608, 'Medical Examinations'!$A:$J, 9, FALSE)</f>
        <v>No</v>
      </c>
      <c r="J608" s="22" t="str">
        <f>VLOOKUP($A608, 'Medical Examinations'!$A:$P, 11, FALSE)</f>
        <v>OBESITY</v>
      </c>
      <c r="K608" s="34">
        <v>33030.0</v>
      </c>
      <c r="L608" s="35">
        <f>VLOOKUP($A608, 'Hospitalisation Details'!$A:$H, 7, FALSE)</f>
        <v>16205.88</v>
      </c>
      <c r="M608" s="22" t="str">
        <f>VLOOKUP($A608, 'Hospitalisation Details'!$A:$L, 12, FALSE)</f>
        <v>tier - 2</v>
      </c>
      <c r="N608" s="22" t="str">
        <f>VLOOKUP($A608, 'Hospitalisation Details'!$A:$M, 13, FALSE)</f>
        <v>tier - 1</v>
      </c>
      <c r="O608" s="22" t="str">
        <f>VLOOKUP($A608, 'Hospitalisation Details'!$A:$N, 14, FALSE)</f>
        <v>R1012</v>
      </c>
      <c r="P608" s="36">
        <f>VLOOKUP($A608, 'Hospitalisation Details'!$A:$O, 15, FALSE)</f>
        <v>34</v>
      </c>
    </row>
    <row r="609" ht="15.75" customHeight="1">
      <c r="A609" s="33" t="s">
        <v>1217</v>
      </c>
      <c r="B609" s="22" t="str">
        <f>VLOOKUP($A609,'Customer Names'!$A:$D,3, FALSE)</f>
        <v>Coronado</v>
      </c>
      <c r="C609" s="22">
        <f>VLOOKUP($A609,'Medical Examinations'!$A:$D, 2, FALSE)</f>
        <v>54.43</v>
      </c>
      <c r="D609" s="22">
        <f>VLOOKUP($A609, 'Medical Examinations'!$A:$D,3, FALSE)</f>
        <v>4.61</v>
      </c>
      <c r="E609" s="22" t="str">
        <f>VLOOKUP($A609, 'Medical Examinations'!$A:$D, 4, FALSE)</f>
        <v>Yes</v>
      </c>
      <c r="F609" s="22" t="str">
        <f>VLOOKUP($A609, 'Medical Examinations'!$A:$J, 5, FALSE)</f>
        <v>No</v>
      </c>
      <c r="G609" s="22" t="str">
        <f>VLOOKUP($A609, 'Medical Examinations'!$A:$I, 6, FALSE)</f>
        <v>No</v>
      </c>
      <c r="H609" s="22">
        <f>VLOOKUP($A609,'Medical Examinations'!$A:$L,10, FALSE)</f>
        <v>1</v>
      </c>
      <c r="I609" s="22" t="str">
        <f>VLOOKUP($A609, 'Medical Examinations'!$A:$J, 9, FALSE)</f>
        <v>No</v>
      </c>
      <c r="J609" s="22" t="str">
        <f>VLOOKUP($A609, 'Medical Examinations'!$A:$P, 11, FALSE)</f>
        <v>OBESITY</v>
      </c>
      <c r="K609" s="34">
        <v>36005.0</v>
      </c>
      <c r="L609" s="35">
        <f>VLOOKUP($A609, 'Hospitalisation Details'!$A:$H, 7, FALSE)</f>
        <v>16199.1</v>
      </c>
      <c r="M609" s="22" t="str">
        <f>VLOOKUP($A609, 'Hospitalisation Details'!$A:$L, 12, FALSE)</f>
        <v>tier - 2</v>
      </c>
      <c r="N609" s="22" t="str">
        <f>VLOOKUP($A609, 'Hospitalisation Details'!$A:$M, 13, FALSE)</f>
        <v>tier - 2</v>
      </c>
      <c r="O609" s="22" t="str">
        <f>VLOOKUP($A609, 'Hospitalisation Details'!$A:$N, 14, FALSE)</f>
        <v>R1012</v>
      </c>
      <c r="P609" s="36">
        <f>VLOOKUP($A609, 'Hospitalisation Details'!$A:$O, 15, FALSE)</f>
        <v>34</v>
      </c>
    </row>
    <row r="610" ht="15.75" customHeight="1">
      <c r="A610" s="33" t="s">
        <v>1219</v>
      </c>
      <c r="B610" s="22" t="str">
        <f>VLOOKUP($A610,'Customer Names'!$A:$D,3, FALSE)</f>
        <v>Dewine</v>
      </c>
      <c r="C610" s="22">
        <f>VLOOKUP($A610,'Medical Examinations'!$A:$D, 2, FALSE)</f>
        <v>48.01</v>
      </c>
      <c r="D610" s="22">
        <f>VLOOKUP($A610, 'Medical Examinations'!$A:$D,3, FALSE)</f>
        <v>7.3</v>
      </c>
      <c r="E610" s="22" t="str">
        <f>VLOOKUP($A610, 'Medical Examinations'!$A:$D, 4, FALSE)</f>
        <v>No</v>
      </c>
      <c r="F610" s="22" t="str">
        <f>VLOOKUP($A610, 'Medical Examinations'!$A:$J, 5, FALSE)</f>
        <v>No</v>
      </c>
      <c r="G610" s="22" t="str">
        <f>VLOOKUP($A610, 'Medical Examinations'!$A:$I, 6, FALSE)</f>
        <v>No</v>
      </c>
      <c r="H610" s="22">
        <f>VLOOKUP($A610,'Medical Examinations'!$A:$L,10, FALSE)</f>
        <v>0</v>
      </c>
      <c r="I610" s="22" t="str">
        <f>VLOOKUP($A610, 'Medical Examinations'!$A:$J, 9, FALSE)</f>
        <v>No</v>
      </c>
      <c r="J610" s="22" t="str">
        <f>VLOOKUP($A610, 'Medical Examinations'!$A:$P, 11, FALSE)</f>
        <v>OBESITY</v>
      </c>
      <c r="K610" s="34">
        <v>37868.0</v>
      </c>
      <c r="L610" s="35">
        <f>VLOOKUP($A610, 'Hospitalisation Details'!$A:$H, 7, FALSE)</f>
        <v>16190.97</v>
      </c>
      <c r="M610" s="22" t="str">
        <f>VLOOKUP($A610, 'Hospitalisation Details'!$A:$L, 12, FALSE)</f>
        <v>tier - 2</v>
      </c>
      <c r="N610" s="22" t="str">
        <f>VLOOKUP($A610, 'Hospitalisation Details'!$A:$M, 13, FALSE)</f>
        <v>tier - 3</v>
      </c>
      <c r="O610" s="22" t="str">
        <f>VLOOKUP($A610, 'Hospitalisation Details'!$A:$N, 14, FALSE)</f>
        <v>R1012</v>
      </c>
      <c r="P610" s="36">
        <f>VLOOKUP($A610, 'Hospitalisation Details'!$A:$O, 15, FALSE)</f>
        <v>48</v>
      </c>
    </row>
    <row r="611" ht="15.75" customHeight="1">
      <c r="A611" s="33" t="s">
        <v>1221</v>
      </c>
      <c r="B611" s="22" t="str">
        <f>VLOOKUP($A611,'Customer Names'!$A:$D,3, FALSE)</f>
        <v>Carman</v>
      </c>
      <c r="C611" s="22">
        <f>VLOOKUP($A611,'Medical Examinations'!$A:$D, 2, FALSE)</f>
        <v>48.32</v>
      </c>
      <c r="D611" s="22">
        <f>VLOOKUP($A611, 'Medical Examinations'!$A:$D,3, FALSE)</f>
        <v>5.88</v>
      </c>
      <c r="E611" s="22" t="str">
        <f>VLOOKUP($A611, 'Medical Examinations'!$A:$D, 4, FALSE)</f>
        <v>No</v>
      </c>
      <c r="F611" s="22" t="str">
        <f>VLOOKUP($A611, 'Medical Examinations'!$A:$J, 5, FALSE)</f>
        <v>No</v>
      </c>
      <c r="G611" s="22" t="str">
        <f>VLOOKUP($A611, 'Medical Examinations'!$A:$I, 6, FALSE)</f>
        <v>No</v>
      </c>
      <c r="H611" s="22">
        <f>VLOOKUP($A611,'Medical Examinations'!$A:$L,10, FALSE)</f>
        <v>0</v>
      </c>
      <c r="I611" s="22" t="str">
        <f>VLOOKUP($A611, 'Medical Examinations'!$A:$J, 9, FALSE)</f>
        <v>No</v>
      </c>
      <c r="J611" s="22" t="str">
        <f>VLOOKUP($A611, 'Medical Examinations'!$A:$P, 11, FALSE)</f>
        <v>OBESITY</v>
      </c>
      <c r="K611" s="34">
        <v>26905.0</v>
      </c>
      <c r="L611" s="35">
        <f>VLOOKUP($A611, 'Hospitalisation Details'!$A:$H, 7, FALSE)</f>
        <v>16152.04</v>
      </c>
      <c r="M611" s="22" t="str">
        <f>VLOOKUP($A611, 'Hospitalisation Details'!$A:$L, 12, FALSE)</f>
        <v>tier - 2</v>
      </c>
      <c r="N611" s="22" t="str">
        <f>VLOOKUP($A611, 'Hospitalisation Details'!$A:$M, 13, FALSE)</f>
        <v>tier - 1</v>
      </c>
      <c r="O611" s="22" t="str">
        <f>VLOOKUP($A611, 'Hospitalisation Details'!$A:$N, 14, FALSE)</f>
        <v>R1026</v>
      </c>
      <c r="P611" s="36">
        <f>VLOOKUP($A611, 'Hospitalisation Details'!$A:$O, 15, FALSE)</f>
        <v>40</v>
      </c>
    </row>
    <row r="612" ht="15.75" customHeight="1">
      <c r="A612" s="33" t="s">
        <v>1223</v>
      </c>
      <c r="B612" s="22" t="str">
        <f>VLOOKUP($A612,'Customer Names'!$A:$D,3, FALSE)</f>
        <v>Neems</v>
      </c>
      <c r="C612" s="22">
        <f>VLOOKUP($A612,'Medical Examinations'!$A:$D, 2, FALSE)</f>
        <v>22.895</v>
      </c>
      <c r="D612" s="22">
        <f>VLOOKUP($A612, 'Medical Examinations'!$A:$D,3, FALSE)</f>
        <v>4.06</v>
      </c>
      <c r="E612" s="22" t="str">
        <f>VLOOKUP($A612, 'Medical Examinations'!$A:$D, 4, FALSE)</f>
        <v>No</v>
      </c>
      <c r="F612" s="22" t="str">
        <f>VLOOKUP($A612, 'Medical Examinations'!$A:$J, 5, FALSE)</f>
        <v>No</v>
      </c>
      <c r="G612" s="22" t="str">
        <f>VLOOKUP($A612, 'Medical Examinations'!$A:$I, 6, FALSE)</f>
        <v>Yes</v>
      </c>
      <c r="H612" s="22">
        <f>VLOOKUP($A612,'Medical Examinations'!$A:$L,10, FALSE)</f>
        <v>1</v>
      </c>
      <c r="I612" s="22" t="str">
        <f>VLOOKUP($A612, 'Medical Examinations'!$A:$J, 9, FALSE)</f>
        <v>Yes</v>
      </c>
      <c r="J612" s="22" t="str">
        <f>VLOOKUP($A612, 'Medical Examinations'!$A:$P, 11, FALSE)</f>
        <v>NORMAL WEIGHT</v>
      </c>
      <c r="K612" s="34">
        <v>30191.0</v>
      </c>
      <c r="L612" s="35">
        <f>VLOOKUP($A612, 'Hospitalisation Details'!$A:$H, 7, FALSE)</f>
        <v>16138.76</v>
      </c>
      <c r="M612" s="22" t="str">
        <f>VLOOKUP($A612, 'Hospitalisation Details'!$A:$L, 12, FALSE)</f>
        <v>tier - 2</v>
      </c>
      <c r="N612" s="22" t="str">
        <f>VLOOKUP($A612, 'Hospitalisation Details'!$A:$M, 13, FALSE)</f>
        <v>tier - 3</v>
      </c>
      <c r="O612" s="22" t="str">
        <f>VLOOKUP($A612, 'Hospitalisation Details'!$A:$N, 14, FALSE)</f>
        <v>R1017</v>
      </c>
      <c r="P612" s="36">
        <f>VLOOKUP($A612, 'Hospitalisation Details'!$A:$O, 15, FALSE)</f>
        <v>29</v>
      </c>
    </row>
    <row r="613" ht="15.75" customHeight="1">
      <c r="A613" s="33" t="s">
        <v>1225</v>
      </c>
      <c r="B613" s="22" t="str">
        <f>VLOOKUP($A613,'Customer Names'!$A:$D,3, FALSE)</f>
        <v>Pesyna</v>
      </c>
      <c r="C613" s="22">
        <f>VLOOKUP($A613,'Medical Examinations'!$A:$D, 2, FALSE)</f>
        <v>54.85</v>
      </c>
      <c r="D613" s="22">
        <f>VLOOKUP($A613, 'Medical Examinations'!$A:$D,3, FALSE)</f>
        <v>4.9</v>
      </c>
      <c r="E613" s="22" t="str">
        <f>VLOOKUP($A613, 'Medical Examinations'!$A:$D, 4, FALSE)</f>
        <v>No</v>
      </c>
      <c r="F613" s="22" t="str">
        <f>VLOOKUP($A613, 'Medical Examinations'!$A:$J, 5, FALSE)</f>
        <v>No</v>
      </c>
      <c r="G613" s="22" t="str">
        <f>VLOOKUP($A613, 'Medical Examinations'!$A:$I, 6, FALSE)</f>
        <v>No</v>
      </c>
      <c r="H613" s="22">
        <f>VLOOKUP($A613,'Medical Examinations'!$A:$L,10, FALSE)</f>
        <v>1</v>
      </c>
      <c r="I613" s="22" t="str">
        <f>VLOOKUP($A613, 'Medical Examinations'!$A:$J, 9, FALSE)</f>
        <v>No</v>
      </c>
      <c r="J613" s="22" t="str">
        <f>VLOOKUP($A613, 'Medical Examinations'!$A:$P, 11, FALSE)</f>
        <v>OBESITY</v>
      </c>
      <c r="K613" s="34">
        <v>30262.0</v>
      </c>
      <c r="L613" s="35">
        <f>VLOOKUP($A613, 'Hospitalisation Details'!$A:$H, 7, FALSE)</f>
        <v>16122.65</v>
      </c>
      <c r="M613" s="22" t="str">
        <f>VLOOKUP($A613, 'Hospitalisation Details'!$A:$L, 12, FALSE)</f>
        <v>tier - 2</v>
      </c>
      <c r="N613" s="22" t="str">
        <f>VLOOKUP($A613, 'Hospitalisation Details'!$A:$M, 13, FALSE)</f>
        <v>tier - 1</v>
      </c>
      <c r="O613" s="22" t="str">
        <f>VLOOKUP($A613, 'Hospitalisation Details'!$A:$N, 14, FALSE)</f>
        <v>R1011</v>
      </c>
      <c r="P613" s="36">
        <f>VLOOKUP($A613, 'Hospitalisation Details'!$A:$O, 15, FALSE)</f>
        <v>35</v>
      </c>
    </row>
    <row r="614" ht="15.75" customHeight="1">
      <c r="A614" s="33" t="s">
        <v>1227</v>
      </c>
      <c r="B614" s="22" t="str">
        <f>VLOOKUP($A614,'Customer Names'!$A:$D,3, FALSE)</f>
        <v>Meling</v>
      </c>
      <c r="C614" s="22">
        <f>VLOOKUP($A614,'Medical Examinations'!$A:$D, 2, FALSE)</f>
        <v>21.85</v>
      </c>
      <c r="D614" s="22">
        <f>VLOOKUP($A614, 'Medical Examinations'!$A:$D,3, FALSE)</f>
        <v>5.52</v>
      </c>
      <c r="E614" s="22" t="str">
        <f>VLOOKUP($A614, 'Medical Examinations'!$A:$D, 4, FALSE)</f>
        <v>No</v>
      </c>
      <c r="F614" s="22" t="str">
        <f>VLOOKUP($A614, 'Medical Examinations'!$A:$J, 5, FALSE)</f>
        <v>No</v>
      </c>
      <c r="G614" s="22" t="str">
        <f>VLOOKUP($A614, 'Medical Examinations'!$A:$I, 6, FALSE)</f>
        <v>Yes</v>
      </c>
      <c r="H614" s="22">
        <f>VLOOKUP($A614,'Medical Examinations'!$A:$L,10, FALSE)</f>
        <v>1</v>
      </c>
      <c r="I614" s="22" t="str">
        <f>VLOOKUP($A614, 'Medical Examinations'!$A:$J, 9, FALSE)</f>
        <v>Yes</v>
      </c>
      <c r="J614" s="22" t="str">
        <f>VLOOKUP($A614, 'Medical Examinations'!$A:$P, 11, FALSE)</f>
        <v>NORMAL WEIGHT</v>
      </c>
      <c r="K614" s="34">
        <v>30314.0</v>
      </c>
      <c r="L614" s="35">
        <f>VLOOKUP($A614, 'Hospitalisation Details'!$A:$H, 7, FALSE)</f>
        <v>16115.3</v>
      </c>
      <c r="M614" s="22" t="str">
        <f>VLOOKUP($A614, 'Hospitalisation Details'!$A:$L, 12, FALSE)</f>
        <v>tier - 2</v>
      </c>
      <c r="N614" s="22" t="str">
        <f>VLOOKUP($A614, 'Hospitalisation Details'!$A:$M, 13, FALSE)</f>
        <v>tier - 1</v>
      </c>
      <c r="O614" s="22" t="str">
        <f>VLOOKUP($A614, 'Hospitalisation Details'!$A:$N, 14, FALSE)</f>
        <v>R1024</v>
      </c>
      <c r="P614" s="36">
        <f>VLOOKUP($A614, 'Hospitalisation Details'!$A:$O, 15, FALSE)</f>
        <v>29</v>
      </c>
    </row>
    <row r="615" ht="15.75" customHeight="1">
      <c r="A615" s="33" t="s">
        <v>1229</v>
      </c>
      <c r="B615" s="22" t="str">
        <f>VLOOKUP($A615,'Customer Names'!$A:$D,3, FALSE)</f>
        <v>Widlowski</v>
      </c>
      <c r="C615" s="22">
        <f>VLOOKUP($A615,'Medical Examinations'!$A:$D, 2, FALSE)</f>
        <v>51.86</v>
      </c>
      <c r="D615" s="22">
        <f>VLOOKUP($A615, 'Medical Examinations'!$A:$D,3, FALSE)</f>
        <v>5.2</v>
      </c>
      <c r="E615" s="22" t="str">
        <f>VLOOKUP($A615, 'Medical Examinations'!$A:$D, 4, FALSE)</f>
        <v>Yes</v>
      </c>
      <c r="F615" s="22" t="str">
        <f>VLOOKUP($A615, 'Medical Examinations'!$A:$J, 5, FALSE)</f>
        <v>No</v>
      </c>
      <c r="G615" s="22" t="str">
        <f>VLOOKUP($A615, 'Medical Examinations'!$A:$I, 6, FALSE)</f>
        <v>No</v>
      </c>
      <c r="H615" s="22">
        <f>VLOOKUP($A615,'Medical Examinations'!$A:$L,10, FALSE)</f>
        <v>0</v>
      </c>
      <c r="I615" s="22" t="str">
        <f>VLOOKUP($A615, 'Medical Examinations'!$A:$J, 9, FALSE)</f>
        <v>No</v>
      </c>
      <c r="J615" s="22" t="str">
        <f>VLOOKUP($A615, 'Medical Examinations'!$A:$P, 11, FALSE)</f>
        <v>OBESITY</v>
      </c>
      <c r="K615" s="34">
        <v>30277.0</v>
      </c>
      <c r="L615" s="35">
        <f>VLOOKUP($A615, 'Hospitalisation Details'!$A:$H, 7, FALSE)</f>
        <v>16097.94</v>
      </c>
      <c r="M615" s="22" t="str">
        <f>VLOOKUP($A615, 'Hospitalisation Details'!$A:$L, 12, FALSE)</f>
        <v>tier - 2</v>
      </c>
      <c r="N615" s="22" t="str">
        <f>VLOOKUP($A615, 'Hospitalisation Details'!$A:$M, 13, FALSE)</f>
        <v>tier - 3</v>
      </c>
      <c r="O615" s="22" t="str">
        <f>VLOOKUP($A615, 'Hospitalisation Details'!$A:$N, 14, FALSE)</f>
        <v>R1012</v>
      </c>
      <c r="P615" s="36">
        <f>VLOOKUP($A615, 'Hospitalisation Details'!$A:$O, 15, FALSE)</f>
        <v>37</v>
      </c>
    </row>
    <row r="616" ht="15.75" customHeight="1">
      <c r="A616" s="33" t="s">
        <v>1231</v>
      </c>
      <c r="B616" s="22" t="str">
        <f>VLOOKUP($A616,'Customer Names'!$A:$D,3, FALSE)</f>
        <v>Nadar</v>
      </c>
      <c r="C616" s="22">
        <f>VLOOKUP($A616,'Medical Examinations'!$A:$D, 2, FALSE)</f>
        <v>39.05</v>
      </c>
      <c r="D616" s="22">
        <f>VLOOKUP($A616, 'Medical Examinations'!$A:$D,3, FALSE)</f>
        <v>7.59</v>
      </c>
      <c r="E616" s="22" t="str">
        <f>VLOOKUP($A616, 'Medical Examinations'!$A:$D, 4, FALSE)</f>
        <v>No</v>
      </c>
      <c r="F616" s="22" t="str">
        <f>VLOOKUP($A616, 'Medical Examinations'!$A:$J, 5, FALSE)</f>
        <v>No</v>
      </c>
      <c r="G616" s="22" t="str">
        <f>VLOOKUP($A616, 'Medical Examinations'!$A:$I, 6, FALSE)</f>
        <v>No</v>
      </c>
      <c r="H616" s="22">
        <f>VLOOKUP($A616,'Medical Examinations'!$A:$L,10, FALSE)</f>
        <v>3</v>
      </c>
      <c r="I616" s="22" t="str">
        <f>VLOOKUP($A616, 'Medical Examinations'!$A:$J, 9, FALSE)</f>
        <v>No</v>
      </c>
      <c r="J616" s="22" t="str">
        <f>VLOOKUP($A616, 'Medical Examinations'!$A:$P, 11, FALSE)</f>
        <v>OBESITY</v>
      </c>
      <c r="K616" s="34">
        <v>30960.0</v>
      </c>
      <c r="L616" s="35">
        <f>VLOOKUP($A616, 'Hospitalisation Details'!$A:$H, 7, FALSE)</f>
        <v>16085.13</v>
      </c>
      <c r="M616" s="22" t="str">
        <f>VLOOKUP($A616, 'Hospitalisation Details'!$A:$L, 12, FALSE)</f>
        <v>tier - 2</v>
      </c>
      <c r="N616" s="22" t="str">
        <f>VLOOKUP($A616, 'Hospitalisation Details'!$A:$M, 13, FALSE)</f>
        <v>tier - 2</v>
      </c>
      <c r="O616" s="22" t="str">
        <f>VLOOKUP($A616, 'Hospitalisation Details'!$A:$N, 14, FALSE)</f>
        <v>R1013</v>
      </c>
      <c r="P616" s="36">
        <f>VLOOKUP($A616, 'Hospitalisation Details'!$A:$O, 15, FALSE)</f>
        <v>64</v>
      </c>
    </row>
    <row r="617" ht="15.75" customHeight="1">
      <c r="A617" s="33" t="s">
        <v>1233</v>
      </c>
      <c r="B617" s="22" t="str">
        <f>VLOOKUP($A617,'Customer Names'!$A:$D,3, FALSE)</f>
        <v>Turner</v>
      </c>
      <c r="C617" s="22">
        <f>VLOOKUP($A617,'Medical Examinations'!$A:$D, 2, FALSE)</f>
        <v>31.825</v>
      </c>
      <c r="D617" s="22">
        <f>VLOOKUP($A617, 'Medical Examinations'!$A:$D,3, FALSE)</f>
        <v>8.28</v>
      </c>
      <c r="E617" s="22" t="str">
        <f>VLOOKUP($A617, 'Medical Examinations'!$A:$D, 4, FALSE)</f>
        <v>No</v>
      </c>
      <c r="F617" s="22" t="str">
        <f>VLOOKUP($A617, 'Medical Examinations'!$A:$J, 5, FALSE)</f>
        <v>No</v>
      </c>
      <c r="G617" s="22" t="str">
        <f>VLOOKUP($A617, 'Medical Examinations'!$A:$I, 6, FALSE)</f>
        <v>No</v>
      </c>
      <c r="H617" s="22">
        <f>VLOOKUP($A617,'Medical Examinations'!$A:$L,10, FALSE)</f>
        <v>3</v>
      </c>
      <c r="I617" s="22" t="str">
        <f>VLOOKUP($A617, 'Medical Examinations'!$A:$J, 9, FALSE)</f>
        <v>No</v>
      </c>
      <c r="J617" s="22" t="str">
        <f>VLOOKUP($A617, 'Medical Examinations'!$A:$P, 11, FALSE)</f>
        <v>OBESITY</v>
      </c>
      <c r="K617" s="34">
        <v>29787.0</v>
      </c>
      <c r="L617" s="35">
        <f>VLOOKUP($A617, 'Hospitalisation Details'!$A:$H, 7, FALSE)</f>
        <v>16069.08</v>
      </c>
      <c r="M617" s="22" t="str">
        <f>VLOOKUP($A617, 'Hospitalisation Details'!$A:$L, 12, FALSE)</f>
        <v>tier - 2</v>
      </c>
      <c r="N617" s="22" t="str">
        <f>VLOOKUP($A617, 'Hospitalisation Details'!$A:$M, 13, FALSE)</f>
        <v>tier - 2</v>
      </c>
      <c r="O617" s="22" t="str">
        <f>VLOOKUP($A617, 'Hospitalisation Details'!$A:$N, 14, FALSE)</f>
        <v>R1024</v>
      </c>
      <c r="P617" s="36">
        <f>VLOOKUP($A617, 'Hospitalisation Details'!$A:$O, 15, FALSE)</f>
        <v>64</v>
      </c>
    </row>
    <row r="618" ht="15.75" customHeight="1">
      <c r="A618" s="33" t="s">
        <v>1235</v>
      </c>
      <c r="B618" s="22" t="str">
        <f>VLOOKUP($A618,'Customer Names'!$A:$D,3, FALSE)</f>
        <v>Walker</v>
      </c>
      <c r="C618" s="22">
        <f>VLOOKUP($A618,'Medical Examinations'!$A:$D, 2, FALSE)</f>
        <v>46.43</v>
      </c>
      <c r="D618" s="22">
        <f>VLOOKUP($A618, 'Medical Examinations'!$A:$D,3, FALSE)</f>
        <v>6.72</v>
      </c>
      <c r="E618" s="22" t="str">
        <f>VLOOKUP($A618, 'Medical Examinations'!$A:$D, 4, FALSE)</f>
        <v>No</v>
      </c>
      <c r="F618" s="22" t="str">
        <f>VLOOKUP($A618, 'Medical Examinations'!$A:$J, 5, FALSE)</f>
        <v>No</v>
      </c>
      <c r="G618" s="22" t="str">
        <f>VLOOKUP($A618, 'Medical Examinations'!$A:$I, 6, FALSE)</f>
        <v>No</v>
      </c>
      <c r="H618" s="22">
        <f>VLOOKUP($A618,'Medical Examinations'!$A:$L,10, FALSE)</f>
        <v>0</v>
      </c>
      <c r="I618" s="22" t="str">
        <f>VLOOKUP($A618, 'Medical Examinations'!$A:$J, 9, FALSE)</f>
        <v>No</v>
      </c>
      <c r="J618" s="22" t="str">
        <f>VLOOKUP($A618, 'Medical Examinations'!$A:$P, 11, FALSE)</f>
        <v>OBESITY</v>
      </c>
      <c r="K618" s="34">
        <v>30945.0</v>
      </c>
      <c r="L618" s="35">
        <f>VLOOKUP($A618, 'Hospitalisation Details'!$A:$H, 7, FALSE)</f>
        <v>16062.89</v>
      </c>
      <c r="M618" s="22" t="str">
        <f>VLOOKUP($A618, 'Hospitalisation Details'!$A:$L, 12, FALSE)</f>
        <v>tier - 2</v>
      </c>
      <c r="N618" s="22" t="str">
        <f>VLOOKUP($A618, 'Hospitalisation Details'!$A:$M, 13, FALSE)</f>
        <v>tier - 2</v>
      </c>
      <c r="O618" s="22" t="str">
        <f>VLOOKUP($A618, 'Hospitalisation Details'!$A:$N, 14, FALSE)</f>
        <v>R1026</v>
      </c>
      <c r="P618" s="36">
        <f>VLOOKUP($A618, 'Hospitalisation Details'!$A:$O, 15, FALSE)</f>
        <v>44</v>
      </c>
    </row>
    <row r="619" ht="15.75" customHeight="1">
      <c r="A619" s="33" t="s">
        <v>1237</v>
      </c>
      <c r="B619" s="22" t="str">
        <f>VLOOKUP($A619,'Customer Names'!$A:$D,3, FALSE)</f>
        <v>Leedham</v>
      </c>
      <c r="C619" s="22">
        <f>VLOOKUP($A619,'Medical Examinations'!$A:$D, 2, FALSE)</f>
        <v>53.63</v>
      </c>
      <c r="D619" s="22">
        <f>VLOOKUP($A619, 'Medical Examinations'!$A:$D,3, FALSE)</f>
        <v>5.47</v>
      </c>
      <c r="E619" s="22" t="str">
        <f>VLOOKUP($A619, 'Medical Examinations'!$A:$D, 4, FALSE)</f>
        <v>Yes</v>
      </c>
      <c r="F619" s="22" t="str">
        <f>VLOOKUP($A619, 'Medical Examinations'!$A:$J, 5, FALSE)</f>
        <v>No</v>
      </c>
      <c r="G619" s="22" t="str">
        <f>VLOOKUP($A619, 'Medical Examinations'!$A:$I, 6, FALSE)</f>
        <v>No</v>
      </c>
      <c r="H619" s="22">
        <f>VLOOKUP($A619,'Medical Examinations'!$A:$L,10, FALSE)</f>
        <v>1</v>
      </c>
      <c r="I619" s="22" t="str">
        <f>VLOOKUP($A619, 'Medical Examinations'!$A:$J, 9, FALSE)</f>
        <v>No</v>
      </c>
      <c r="J619" s="22" t="str">
        <f>VLOOKUP($A619, 'Medical Examinations'!$A:$P, 11, FALSE)</f>
        <v>OBESITY</v>
      </c>
      <c r="K619" s="34">
        <v>25183.0</v>
      </c>
      <c r="L619" s="35">
        <f>VLOOKUP($A619, 'Hospitalisation Details'!$A:$H, 7, FALSE)</f>
        <v>16059.06</v>
      </c>
      <c r="M619" s="22" t="str">
        <f>VLOOKUP($A619, 'Hospitalisation Details'!$A:$L, 12, FALSE)</f>
        <v>tier - 2</v>
      </c>
      <c r="N619" s="22" t="str">
        <f>VLOOKUP($A619, 'Hospitalisation Details'!$A:$M, 13, FALSE)</f>
        <v>tier - 3</v>
      </c>
      <c r="O619" s="22" t="str">
        <f>VLOOKUP($A619, 'Hospitalisation Details'!$A:$N, 14, FALSE)</f>
        <v>R1012</v>
      </c>
      <c r="P619" s="36">
        <f>VLOOKUP($A619, 'Hospitalisation Details'!$A:$O, 15, FALSE)</f>
        <v>34</v>
      </c>
    </row>
    <row r="620" ht="15.75" customHeight="1">
      <c r="A620" s="33" t="s">
        <v>1239</v>
      </c>
      <c r="B620" s="22" t="str">
        <f>VLOOKUP($A620,'Customer Names'!$A:$D,3, FALSE)</f>
        <v>Haglund</v>
      </c>
      <c r="C620" s="22">
        <f>VLOOKUP($A620,'Medical Examinations'!$A:$D, 2, FALSE)</f>
        <v>48.7</v>
      </c>
      <c r="D620" s="22">
        <f>VLOOKUP($A620, 'Medical Examinations'!$A:$D,3, FALSE)</f>
        <v>4.71</v>
      </c>
      <c r="E620" s="22" t="str">
        <f>VLOOKUP($A620, 'Medical Examinations'!$A:$D, 4, FALSE)</f>
        <v>No</v>
      </c>
      <c r="F620" s="22" t="str">
        <f>VLOOKUP($A620, 'Medical Examinations'!$A:$J, 5, FALSE)</f>
        <v>No</v>
      </c>
      <c r="G620" s="22" t="str">
        <f>VLOOKUP($A620, 'Medical Examinations'!$A:$I, 6, FALSE)</f>
        <v>No</v>
      </c>
      <c r="H620" s="22">
        <f>VLOOKUP($A620,'Medical Examinations'!$A:$L,10, FALSE)</f>
        <v>0</v>
      </c>
      <c r="I620" s="22" t="str">
        <f>VLOOKUP($A620, 'Medical Examinations'!$A:$J, 9, FALSE)</f>
        <v>No</v>
      </c>
      <c r="J620" s="22" t="str">
        <f>VLOOKUP($A620, 'Medical Examinations'!$A:$P, 11, FALSE)</f>
        <v>OBESITY</v>
      </c>
      <c r="K620" s="34">
        <v>29107.0</v>
      </c>
      <c r="L620" s="35">
        <f>VLOOKUP($A620, 'Hospitalisation Details'!$A:$H, 7, FALSE)</f>
        <v>15966.19</v>
      </c>
      <c r="M620" s="22" t="str">
        <f>VLOOKUP($A620, 'Hospitalisation Details'!$A:$L, 12, FALSE)</f>
        <v>tier - 2</v>
      </c>
      <c r="N620" s="22" t="str">
        <f>VLOOKUP($A620, 'Hospitalisation Details'!$A:$M, 13, FALSE)</f>
        <v>tier - 2</v>
      </c>
      <c r="O620" s="22" t="str">
        <f>VLOOKUP($A620, 'Hospitalisation Details'!$A:$N, 14, FALSE)</f>
        <v>R1012</v>
      </c>
      <c r="P620" s="36">
        <f>VLOOKUP($A620, 'Hospitalisation Details'!$A:$O, 15, FALSE)</f>
        <v>42</v>
      </c>
    </row>
    <row r="621" ht="15.75" customHeight="1">
      <c r="A621" s="33" t="s">
        <v>1241</v>
      </c>
      <c r="B621" s="22" t="str">
        <f>VLOOKUP($A621,'Customer Names'!$A:$D,3, FALSE)</f>
        <v>Mills</v>
      </c>
      <c r="C621" s="22">
        <f>VLOOKUP($A621,'Medical Examinations'!$A:$D, 2, FALSE)</f>
        <v>48.81</v>
      </c>
      <c r="D621" s="22">
        <f>VLOOKUP($A621, 'Medical Examinations'!$A:$D,3, FALSE)</f>
        <v>5.49</v>
      </c>
      <c r="E621" s="22" t="str">
        <f>VLOOKUP($A621, 'Medical Examinations'!$A:$D, 4, FALSE)</f>
        <v>No</v>
      </c>
      <c r="F621" s="22" t="str">
        <f>VLOOKUP($A621, 'Medical Examinations'!$A:$J, 5, FALSE)</f>
        <v>No</v>
      </c>
      <c r="G621" s="22" t="str">
        <f>VLOOKUP($A621, 'Medical Examinations'!$A:$I, 6, FALSE)</f>
        <v>No</v>
      </c>
      <c r="H621" s="22">
        <f>VLOOKUP($A621,'Medical Examinations'!$A:$L,10, FALSE)</f>
        <v>0</v>
      </c>
      <c r="I621" s="22" t="str">
        <f>VLOOKUP($A621, 'Medical Examinations'!$A:$J, 9, FALSE)</f>
        <v>No</v>
      </c>
      <c r="J621" s="22" t="str">
        <f>VLOOKUP($A621, 'Medical Examinations'!$A:$P, 11, FALSE)</f>
        <v>OBESITY</v>
      </c>
      <c r="K621" s="34">
        <v>32726.0</v>
      </c>
      <c r="L621" s="35">
        <f>VLOOKUP($A621, 'Hospitalisation Details'!$A:$H, 7, FALSE)</f>
        <v>15965.29</v>
      </c>
      <c r="M621" s="22" t="str">
        <f>VLOOKUP($A621, 'Hospitalisation Details'!$A:$L, 12, FALSE)</f>
        <v>tier - 2</v>
      </c>
      <c r="N621" s="22" t="str">
        <f>VLOOKUP($A621, 'Hospitalisation Details'!$A:$M, 13, FALSE)</f>
        <v>tier - 1</v>
      </c>
      <c r="O621" s="22" t="str">
        <f>VLOOKUP($A621, 'Hospitalisation Details'!$A:$N, 14, FALSE)</f>
        <v>R1012</v>
      </c>
      <c r="P621" s="36">
        <f>VLOOKUP($A621, 'Hospitalisation Details'!$A:$O, 15, FALSE)</f>
        <v>40</v>
      </c>
    </row>
    <row r="622" ht="15.75" customHeight="1">
      <c r="A622" s="33" t="s">
        <v>1243</v>
      </c>
      <c r="B622" s="22" t="str">
        <f>VLOOKUP($A622,'Customer Names'!$A:$D,3, FALSE)</f>
        <v>Drnjevich</v>
      </c>
      <c r="C622" s="22">
        <f>VLOOKUP($A622,'Medical Examinations'!$A:$D, 2, FALSE)</f>
        <v>47.53</v>
      </c>
      <c r="D622" s="22">
        <f>VLOOKUP($A622, 'Medical Examinations'!$A:$D,3, FALSE)</f>
        <v>4.72</v>
      </c>
      <c r="E622" s="22" t="str">
        <f>VLOOKUP($A622, 'Medical Examinations'!$A:$D, 4, FALSE)</f>
        <v>No</v>
      </c>
      <c r="F622" s="22" t="str">
        <f>VLOOKUP($A622, 'Medical Examinations'!$A:$J, 5, FALSE)</f>
        <v>No</v>
      </c>
      <c r="G622" s="22" t="str">
        <f>VLOOKUP($A622, 'Medical Examinations'!$A:$I, 6, FALSE)</f>
        <v>No</v>
      </c>
      <c r="H622" s="22">
        <f>VLOOKUP($A622,'Medical Examinations'!$A:$L,10, FALSE)</f>
        <v>0</v>
      </c>
      <c r="I622" s="22" t="str">
        <f>VLOOKUP($A622, 'Medical Examinations'!$A:$J, 9, FALSE)</f>
        <v>No</v>
      </c>
      <c r="J622" s="22" t="str">
        <f>VLOOKUP($A622, 'Medical Examinations'!$A:$P, 11, FALSE)</f>
        <v>OBESITY</v>
      </c>
      <c r="K622" s="34">
        <v>31764.0</v>
      </c>
      <c r="L622" s="35">
        <f>VLOOKUP($A622, 'Hospitalisation Details'!$A:$H, 7, FALSE)</f>
        <v>15922.29</v>
      </c>
      <c r="M622" s="22" t="str">
        <f>VLOOKUP($A622, 'Hospitalisation Details'!$A:$L, 12, FALSE)</f>
        <v>tier - 2</v>
      </c>
      <c r="N622" s="22" t="str">
        <f>VLOOKUP($A622, 'Hospitalisation Details'!$A:$M, 13, FALSE)</f>
        <v>tier - 3</v>
      </c>
      <c r="O622" s="22" t="str">
        <f>VLOOKUP($A622, 'Hospitalisation Details'!$A:$N, 14, FALSE)</f>
        <v>R1026</v>
      </c>
      <c r="P622" s="36">
        <f>VLOOKUP($A622, 'Hospitalisation Details'!$A:$O, 15, FALSE)</f>
        <v>42</v>
      </c>
    </row>
    <row r="623" ht="15.75" customHeight="1">
      <c r="A623" s="33" t="s">
        <v>1245</v>
      </c>
      <c r="B623" s="22" t="str">
        <f>VLOOKUP($A623,'Customer Names'!$A:$D,3, FALSE)</f>
        <v>Clay</v>
      </c>
      <c r="C623" s="22">
        <f>VLOOKUP($A623,'Medical Examinations'!$A:$D, 2, FALSE)</f>
        <v>36.85</v>
      </c>
      <c r="D623" s="22">
        <f>VLOOKUP($A623, 'Medical Examinations'!$A:$D,3, FALSE)</f>
        <v>6.7</v>
      </c>
      <c r="E623" s="22" t="str">
        <f>VLOOKUP($A623, 'Medical Examinations'!$A:$D, 4, FALSE)</f>
        <v>No</v>
      </c>
      <c r="F623" s="22" t="str">
        <f>VLOOKUP($A623, 'Medical Examinations'!$A:$J, 5, FALSE)</f>
        <v>No</v>
      </c>
      <c r="G623" s="22" t="str">
        <f>VLOOKUP($A623, 'Medical Examinations'!$A:$I, 6, FALSE)</f>
        <v>No</v>
      </c>
      <c r="H623" s="22">
        <f>VLOOKUP($A623,'Medical Examinations'!$A:$L,10, FALSE)</f>
        <v>0</v>
      </c>
      <c r="I623" s="22" t="str">
        <f>VLOOKUP($A623, 'Medical Examinations'!$A:$J, 9, FALSE)</f>
        <v>No</v>
      </c>
      <c r="J623" s="22" t="str">
        <f>VLOOKUP($A623, 'Medical Examinations'!$A:$P, 11, FALSE)</f>
        <v>OBESITY</v>
      </c>
      <c r="K623" s="34">
        <v>25540.0</v>
      </c>
      <c r="L623" s="35">
        <f>VLOOKUP($A623, 'Hospitalisation Details'!$A:$H, 7, FALSE)</f>
        <v>15840.81</v>
      </c>
      <c r="M623" s="22" t="str">
        <f>VLOOKUP($A623, 'Hospitalisation Details'!$A:$L, 12, FALSE)</f>
        <v>tier - 2</v>
      </c>
      <c r="N623" s="22" t="str">
        <f>VLOOKUP($A623, 'Hospitalisation Details'!$A:$M, 13, FALSE)</f>
        <v>tier - 1</v>
      </c>
      <c r="O623" s="22" t="str">
        <f>VLOOKUP($A623, 'Hospitalisation Details'!$A:$N, 14, FALSE)</f>
        <v>R1022</v>
      </c>
      <c r="P623" s="36">
        <f>VLOOKUP($A623, 'Hospitalisation Details'!$A:$O, 15, FALSE)</f>
        <v>60</v>
      </c>
    </row>
    <row r="624" ht="15.75" customHeight="1">
      <c r="A624" s="33" t="s">
        <v>1247</v>
      </c>
      <c r="B624" s="22" t="str">
        <f>VLOOKUP($A624,'Customer Names'!$A:$D,3, FALSE)</f>
        <v>Marbury</v>
      </c>
      <c r="C624" s="22">
        <f>VLOOKUP($A624,'Medical Examinations'!$A:$D, 2, FALSE)</f>
        <v>29.3</v>
      </c>
      <c r="D624" s="22">
        <f>VLOOKUP($A624, 'Medical Examinations'!$A:$D,3, FALSE)</f>
        <v>5.5</v>
      </c>
      <c r="E624" s="22" t="str">
        <f>VLOOKUP($A624, 'Medical Examinations'!$A:$D, 4, FALSE)</f>
        <v>No</v>
      </c>
      <c r="F624" s="22" t="str">
        <f>VLOOKUP($A624, 'Medical Examinations'!$A:$J, 5, FALSE)</f>
        <v>No</v>
      </c>
      <c r="G624" s="22" t="str">
        <f>VLOOKUP($A624, 'Medical Examinations'!$A:$I, 6, FALSE)</f>
        <v>No</v>
      </c>
      <c r="H624" s="22">
        <f>VLOOKUP($A624,'Medical Examinations'!$A:$L,10, FALSE)</f>
        <v>0</v>
      </c>
      <c r="I624" s="22" t="str">
        <f>VLOOKUP($A624, 'Medical Examinations'!$A:$J, 9, FALSE)</f>
        <v>No</v>
      </c>
      <c r="J624" s="22" t="str">
        <f>VLOOKUP($A624, 'Medical Examinations'!$A:$P, 11, FALSE)</f>
        <v>OVERWEIGHT</v>
      </c>
      <c r="K624" s="34">
        <v>30226.0</v>
      </c>
      <c r="L624" s="35">
        <f>VLOOKUP($A624, 'Hospitalisation Details'!$A:$H, 7, FALSE)</f>
        <v>15828.82</v>
      </c>
      <c r="M624" s="22" t="str">
        <f>VLOOKUP($A624, 'Hospitalisation Details'!$A:$L, 12, FALSE)</f>
        <v>tier - 2</v>
      </c>
      <c r="N624" s="22" t="str">
        <f>VLOOKUP($A624, 'Hospitalisation Details'!$A:$M, 13, FALSE)</f>
        <v>tier - 3</v>
      </c>
      <c r="O624" s="22" t="str">
        <f>VLOOKUP($A624, 'Hospitalisation Details'!$A:$N, 14, FALSE)</f>
        <v>R1011</v>
      </c>
      <c r="P624" s="36">
        <f>VLOOKUP($A624, 'Hospitalisation Details'!$A:$O, 15, FALSE)</f>
        <v>40</v>
      </c>
    </row>
    <row r="625" ht="15.75" customHeight="1">
      <c r="A625" s="33" t="s">
        <v>1249</v>
      </c>
      <c r="B625" s="22" t="str">
        <f>VLOOKUP($A625,'Customer Names'!$A:$D,3, FALSE)</f>
        <v>Coon</v>
      </c>
      <c r="C625" s="22">
        <f>VLOOKUP($A625,'Medical Examinations'!$A:$D, 2, FALSE)</f>
        <v>19.3</v>
      </c>
      <c r="D625" s="22">
        <f>VLOOKUP($A625, 'Medical Examinations'!$A:$D,3, FALSE)</f>
        <v>4.46</v>
      </c>
      <c r="E625" s="22" t="str">
        <f>VLOOKUP($A625, 'Medical Examinations'!$A:$D, 4, FALSE)</f>
        <v>No</v>
      </c>
      <c r="F625" s="22" t="str">
        <f>VLOOKUP($A625, 'Medical Examinations'!$A:$J, 5, FALSE)</f>
        <v>No</v>
      </c>
      <c r="G625" s="22" t="str">
        <f>VLOOKUP($A625, 'Medical Examinations'!$A:$I, 6, FALSE)</f>
        <v>No</v>
      </c>
      <c r="H625" s="22">
        <f>VLOOKUP($A625,'Medical Examinations'!$A:$L,10, FALSE)</f>
        <v>1</v>
      </c>
      <c r="I625" s="22" t="str">
        <f>VLOOKUP($A625, 'Medical Examinations'!$A:$J, 9, FALSE)</f>
        <v>Yes</v>
      </c>
      <c r="J625" s="22" t="str">
        <f>VLOOKUP($A625, 'Medical Examinations'!$A:$P, 11, FALSE)</f>
        <v>NORMAL WEIGHT</v>
      </c>
      <c r="K625" s="34">
        <v>30175.0</v>
      </c>
      <c r="L625" s="35">
        <f>VLOOKUP($A625, 'Hospitalisation Details'!$A:$H, 7, FALSE)</f>
        <v>15820.7</v>
      </c>
      <c r="M625" s="22" t="str">
        <f>VLOOKUP($A625, 'Hospitalisation Details'!$A:$L, 12, FALSE)</f>
        <v>tier - 2</v>
      </c>
      <c r="N625" s="22" t="str">
        <f>VLOOKUP($A625, 'Hospitalisation Details'!$A:$M, 13, FALSE)</f>
        <v>tier - 3</v>
      </c>
      <c r="O625" s="22" t="str">
        <f>VLOOKUP($A625, 'Hospitalisation Details'!$A:$N, 14, FALSE)</f>
        <v>R1011</v>
      </c>
      <c r="P625" s="36">
        <f>VLOOKUP($A625, 'Hospitalisation Details'!$A:$O, 15, FALSE)</f>
        <v>38</v>
      </c>
    </row>
    <row r="626" ht="15.75" customHeight="1">
      <c r="A626" s="33" t="s">
        <v>1251</v>
      </c>
      <c r="B626" s="22" t="str">
        <f>VLOOKUP($A626,'Customer Names'!$A:$D,3, FALSE)</f>
        <v>Vanttinen</v>
      </c>
      <c r="C626" s="22">
        <f>VLOOKUP($A626,'Medical Examinations'!$A:$D, 2, FALSE)</f>
        <v>24.13</v>
      </c>
      <c r="D626" s="22">
        <f>VLOOKUP($A626, 'Medical Examinations'!$A:$D,3, FALSE)</f>
        <v>5.29</v>
      </c>
      <c r="E626" s="22" t="str">
        <f>VLOOKUP($A626, 'Medical Examinations'!$A:$D, 4, FALSE)</f>
        <v>Yes</v>
      </c>
      <c r="F626" s="22" t="str">
        <f>VLOOKUP($A626, 'Medical Examinations'!$A:$J, 5, FALSE)</f>
        <v>No</v>
      </c>
      <c r="G626" s="22" t="str">
        <f>VLOOKUP($A626, 'Medical Examinations'!$A:$I, 6, FALSE)</f>
        <v>Yes</v>
      </c>
      <c r="H626" s="22">
        <f>VLOOKUP($A626,'Medical Examinations'!$A:$L,10, FALSE)</f>
        <v>1</v>
      </c>
      <c r="I626" s="22" t="str">
        <f>VLOOKUP($A626, 'Medical Examinations'!$A:$J, 9, FALSE)</f>
        <v>Yes</v>
      </c>
      <c r="J626" s="22" t="str">
        <f>VLOOKUP($A626, 'Medical Examinations'!$A:$P, 11, FALSE)</f>
        <v>NORMAL WEIGHT</v>
      </c>
      <c r="K626" s="34">
        <v>28056.0</v>
      </c>
      <c r="L626" s="35">
        <f>VLOOKUP($A626, 'Hospitalisation Details'!$A:$H, 7, FALSE)</f>
        <v>15817.99</v>
      </c>
      <c r="M626" s="22" t="str">
        <f>VLOOKUP($A626, 'Hospitalisation Details'!$A:$L, 12, FALSE)</f>
        <v>tier - 2</v>
      </c>
      <c r="N626" s="22" t="str">
        <f>VLOOKUP($A626, 'Hospitalisation Details'!$A:$M, 13, FALSE)</f>
        <v>tier - 2</v>
      </c>
      <c r="O626" s="22" t="str">
        <f>VLOOKUP($A626, 'Hospitalisation Details'!$A:$N, 14, FALSE)</f>
        <v>R1012</v>
      </c>
      <c r="P626" s="36">
        <f>VLOOKUP($A626, 'Hospitalisation Details'!$A:$O, 15, FALSE)</f>
        <v>25</v>
      </c>
    </row>
    <row r="627" ht="15.75" customHeight="1">
      <c r="A627" s="33" t="s">
        <v>1253</v>
      </c>
      <c r="B627" s="22" t="str">
        <f>VLOOKUP($A627,'Customer Names'!$A:$D,3, FALSE)</f>
        <v>Garges</v>
      </c>
      <c r="C627" s="22">
        <f>VLOOKUP($A627,'Medical Examinations'!$A:$D, 2, FALSE)</f>
        <v>46.7</v>
      </c>
      <c r="D627" s="22">
        <f>VLOOKUP($A627, 'Medical Examinations'!$A:$D,3, FALSE)</f>
        <v>10.99</v>
      </c>
      <c r="E627" s="22" t="str">
        <f>VLOOKUP($A627, 'Medical Examinations'!$A:$D, 4, FALSE)</f>
        <v>No</v>
      </c>
      <c r="F627" s="22" t="str">
        <f>VLOOKUP($A627, 'Medical Examinations'!$A:$J, 5, FALSE)</f>
        <v>No</v>
      </c>
      <c r="G627" s="22" t="str">
        <f>VLOOKUP($A627, 'Medical Examinations'!$A:$I, 6, FALSE)</f>
        <v>No</v>
      </c>
      <c r="H627" s="22">
        <f>VLOOKUP($A627,'Medical Examinations'!$A:$L,10, FALSE)</f>
        <v>0</v>
      </c>
      <c r="I627" s="22" t="str">
        <f>VLOOKUP($A627, 'Medical Examinations'!$A:$J, 9, FALSE)</f>
        <v>No</v>
      </c>
      <c r="J627" s="22" t="str">
        <f>VLOOKUP($A627, 'Medical Examinations'!$A:$P, 11, FALSE)</f>
        <v>OBESITY</v>
      </c>
      <c r="K627" s="34">
        <v>34522.0</v>
      </c>
      <c r="L627" s="35">
        <f>VLOOKUP($A627, 'Hospitalisation Details'!$A:$H, 7, FALSE)</f>
        <v>15746.62</v>
      </c>
      <c r="M627" s="22" t="str">
        <f>VLOOKUP($A627, 'Hospitalisation Details'!$A:$L, 12, FALSE)</f>
        <v>tier - 2</v>
      </c>
      <c r="N627" s="22" t="str">
        <f>VLOOKUP($A627, 'Hospitalisation Details'!$A:$M, 13, FALSE)</f>
        <v>tier - 1</v>
      </c>
      <c r="O627" s="22" t="str">
        <f>VLOOKUP($A627, 'Hospitalisation Details'!$A:$N, 14, FALSE)</f>
        <v>R1012</v>
      </c>
      <c r="P627" s="36">
        <f>VLOOKUP($A627, 'Hospitalisation Details'!$A:$O, 15, FALSE)</f>
        <v>48</v>
      </c>
    </row>
    <row r="628" ht="15.75" customHeight="1">
      <c r="A628" s="33" t="s">
        <v>1255</v>
      </c>
      <c r="B628" s="22" t="str">
        <f>VLOOKUP($A628,'Customer Names'!$A:$D,3, FALSE)</f>
        <v>Rivel</v>
      </c>
      <c r="C628" s="22">
        <f>VLOOKUP($A628,'Medical Examinations'!$A:$D, 2, FALSE)</f>
        <v>45.27</v>
      </c>
      <c r="D628" s="22">
        <f>VLOOKUP($A628, 'Medical Examinations'!$A:$D,3, FALSE)</f>
        <v>5.2</v>
      </c>
      <c r="E628" s="22" t="str">
        <f>VLOOKUP($A628, 'Medical Examinations'!$A:$D, 4, FALSE)</f>
        <v>Yes</v>
      </c>
      <c r="F628" s="22" t="str">
        <f>VLOOKUP($A628, 'Medical Examinations'!$A:$J, 5, FALSE)</f>
        <v>No</v>
      </c>
      <c r="G628" s="22" t="str">
        <f>VLOOKUP($A628, 'Medical Examinations'!$A:$I, 6, FALSE)</f>
        <v>No</v>
      </c>
      <c r="H628" s="22">
        <f>VLOOKUP($A628,'Medical Examinations'!$A:$L,10, FALSE)</f>
        <v>0</v>
      </c>
      <c r="I628" s="22" t="str">
        <f>VLOOKUP($A628, 'Medical Examinations'!$A:$J, 9, FALSE)</f>
        <v>No</v>
      </c>
      <c r="J628" s="22" t="str">
        <f>VLOOKUP($A628, 'Medical Examinations'!$A:$P, 11, FALSE)</f>
        <v>OBESITY</v>
      </c>
      <c r="K628" s="34">
        <v>30191.0</v>
      </c>
      <c r="L628" s="35">
        <f>VLOOKUP($A628, 'Hospitalisation Details'!$A:$H, 7, FALSE)</f>
        <v>15698.86</v>
      </c>
      <c r="M628" s="22" t="str">
        <f>VLOOKUP($A628, 'Hospitalisation Details'!$A:$L, 12, FALSE)</f>
        <v>tier - 2</v>
      </c>
      <c r="N628" s="22" t="str">
        <f>VLOOKUP($A628, 'Hospitalisation Details'!$A:$M, 13, FALSE)</f>
        <v>tier - 2</v>
      </c>
      <c r="O628" s="22" t="str">
        <f>VLOOKUP($A628, 'Hospitalisation Details'!$A:$N, 14, FALSE)</f>
        <v>R1012</v>
      </c>
      <c r="P628" s="36">
        <f>VLOOKUP($A628, 'Hospitalisation Details'!$A:$O, 15, FALSE)</f>
        <v>46</v>
      </c>
    </row>
    <row r="629" ht="15.75" customHeight="1">
      <c r="A629" s="33" t="s">
        <v>1257</v>
      </c>
      <c r="B629" s="22" t="str">
        <f>VLOOKUP($A629,'Customer Names'!$A:$D,3, FALSE)</f>
        <v>Lawson</v>
      </c>
      <c r="C629" s="22">
        <f>VLOOKUP($A629,'Medical Examinations'!$A:$D, 2, FALSE)</f>
        <v>44.29</v>
      </c>
      <c r="D629" s="22">
        <f>VLOOKUP($A629, 'Medical Examinations'!$A:$D,3, FALSE)</f>
        <v>9.66</v>
      </c>
      <c r="E629" s="22" t="str">
        <f>VLOOKUP($A629, 'Medical Examinations'!$A:$D, 4, FALSE)</f>
        <v>No</v>
      </c>
      <c r="F629" s="22" t="str">
        <f>VLOOKUP($A629, 'Medical Examinations'!$A:$J, 5, FALSE)</f>
        <v>No</v>
      </c>
      <c r="G629" s="22" t="str">
        <f>VLOOKUP($A629, 'Medical Examinations'!$A:$I, 6, FALSE)</f>
        <v>No</v>
      </c>
      <c r="H629" s="22">
        <f>VLOOKUP($A629,'Medical Examinations'!$A:$L,10, FALSE)</f>
        <v>2</v>
      </c>
      <c r="I629" s="22" t="str">
        <f>VLOOKUP($A629, 'Medical Examinations'!$A:$J, 9, FALSE)</f>
        <v>No</v>
      </c>
      <c r="J629" s="22" t="str">
        <f>VLOOKUP($A629, 'Medical Examinations'!$A:$P, 11, FALSE)</f>
        <v>OBESITY</v>
      </c>
      <c r="K629" s="34">
        <v>30233.0</v>
      </c>
      <c r="L629" s="35">
        <f>VLOOKUP($A629, 'Hospitalisation Details'!$A:$H, 7, FALSE)</f>
        <v>15670.3</v>
      </c>
      <c r="M629" s="22" t="str">
        <f>VLOOKUP($A629, 'Hospitalisation Details'!$A:$L, 12, FALSE)</f>
        <v>tier - 2</v>
      </c>
      <c r="N629" s="22" t="str">
        <f>VLOOKUP($A629, 'Hospitalisation Details'!$A:$M, 13, FALSE)</f>
        <v>tier - 2</v>
      </c>
      <c r="O629" s="22" t="str">
        <f>VLOOKUP($A629, 'Hospitalisation Details'!$A:$N, 14, FALSE)</f>
        <v>R1026</v>
      </c>
      <c r="P629" s="36">
        <f>VLOOKUP($A629, 'Hospitalisation Details'!$A:$O, 15, FALSE)</f>
        <v>49</v>
      </c>
    </row>
    <row r="630" ht="15.75" customHeight="1">
      <c r="A630" s="33" t="s">
        <v>1259</v>
      </c>
      <c r="B630" s="22" t="str">
        <f>VLOOKUP($A630,'Customer Names'!$A:$D,3, FALSE)</f>
        <v>Cale</v>
      </c>
      <c r="C630" s="22">
        <f>VLOOKUP($A630,'Medical Examinations'!$A:$D, 2, FALSE)</f>
        <v>54.59</v>
      </c>
      <c r="D630" s="22">
        <f>VLOOKUP($A630, 'Medical Examinations'!$A:$D,3, FALSE)</f>
        <v>4.22</v>
      </c>
      <c r="E630" s="22" t="str">
        <f>VLOOKUP($A630, 'Medical Examinations'!$A:$D, 4, FALSE)</f>
        <v>Yes</v>
      </c>
      <c r="F630" s="22" t="str">
        <f>VLOOKUP($A630, 'Medical Examinations'!$A:$J, 5, FALSE)</f>
        <v>No</v>
      </c>
      <c r="G630" s="22" t="str">
        <f>VLOOKUP($A630, 'Medical Examinations'!$A:$I, 6, FALSE)</f>
        <v>No</v>
      </c>
      <c r="H630" s="22">
        <f>VLOOKUP($A630,'Medical Examinations'!$A:$L,10, FALSE)</f>
        <v>1</v>
      </c>
      <c r="I630" s="22" t="str">
        <f>VLOOKUP($A630, 'Medical Examinations'!$A:$J, 9, FALSE)</f>
        <v>No</v>
      </c>
      <c r="J630" s="22" t="str">
        <f>VLOOKUP($A630, 'Medical Examinations'!$A:$P, 11, FALSE)</f>
        <v>OBESITY</v>
      </c>
      <c r="K630" s="34">
        <v>25903.0</v>
      </c>
      <c r="L630" s="35">
        <f>VLOOKUP($A630, 'Hospitalisation Details'!$A:$H, 7, FALSE)</f>
        <v>15646.28</v>
      </c>
      <c r="M630" s="22" t="str">
        <f>VLOOKUP($A630, 'Hospitalisation Details'!$A:$L, 12, FALSE)</f>
        <v>tier - 2</v>
      </c>
      <c r="N630" s="22" t="str">
        <f>VLOOKUP($A630, 'Hospitalisation Details'!$A:$M, 13, FALSE)</f>
        <v>tier - 2</v>
      </c>
      <c r="O630" s="22" t="str">
        <f>VLOOKUP($A630, 'Hospitalisation Details'!$A:$N, 14, FALSE)</f>
        <v>R1011</v>
      </c>
      <c r="P630" s="36">
        <f>VLOOKUP($A630, 'Hospitalisation Details'!$A:$O, 15, FALSE)</f>
        <v>34</v>
      </c>
    </row>
    <row r="631" ht="15.75" customHeight="1">
      <c r="A631" s="33" t="s">
        <v>1261</v>
      </c>
      <c r="B631" s="22" t="str">
        <f>VLOOKUP($A631,'Customer Names'!$A:$D,3, FALSE)</f>
        <v>Phillips</v>
      </c>
      <c r="C631" s="22">
        <f>VLOOKUP($A631,'Medical Examinations'!$A:$D, 2, FALSE)</f>
        <v>32.965</v>
      </c>
      <c r="D631" s="22">
        <f>VLOOKUP($A631, 'Medical Examinations'!$A:$D,3, FALSE)</f>
        <v>11.78</v>
      </c>
      <c r="E631" s="22" t="str">
        <f>VLOOKUP($A631, 'Medical Examinations'!$A:$D, 4, FALSE)</f>
        <v>No</v>
      </c>
      <c r="F631" s="22" t="str">
        <f>VLOOKUP($A631, 'Medical Examinations'!$A:$J, 5, FALSE)</f>
        <v>No</v>
      </c>
      <c r="G631" s="22" t="str">
        <f>VLOOKUP($A631, 'Medical Examinations'!$A:$I, 6, FALSE)</f>
        <v>No</v>
      </c>
      <c r="H631" s="22">
        <f>VLOOKUP($A631,'Medical Examinations'!$A:$L,10, FALSE)</f>
        <v>0</v>
      </c>
      <c r="I631" s="22" t="str">
        <f>VLOOKUP($A631, 'Medical Examinations'!$A:$J, 9, FALSE)</f>
        <v>No</v>
      </c>
      <c r="J631" s="22" t="str">
        <f>VLOOKUP($A631, 'Medical Examinations'!$A:$P, 11, FALSE)</f>
        <v>OBESITY</v>
      </c>
      <c r="K631" s="34">
        <v>30523.0</v>
      </c>
      <c r="L631" s="35">
        <f>VLOOKUP($A631, 'Hospitalisation Details'!$A:$H, 7, FALSE)</f>
        <v>15612.19</v>
      </c>
      <c r="M631" s="22" t="str">
        <f>VLOOKUP($A631, 'Hospitalisation Details'!$A:$L, 12, FALSE)</f>
        <v>tier - 2</v>
      </c>
      <c r="N631" s="22" t="str">
        <f>VLOOKUP($A631, 'Hospitalisation Details'!$A:$M, 13, FALSE)</f>
        <v>tier - 2</v>
      </c>
      <c r="O631" s="22" t="str">
        <f>VLOOKUP($A631, 'Hospitalisation Details'!$A:$N, 14, FALSE)</f>
        <v>R1012</v>
      </c>
      <c r="P631" s="36">
        <f>VLOOKUP($A631, 'Hospitalisation Details'!$A:$O, 15, FALSE)</f>
        <v>63</v>
      </c>
    </row>
    <row r="632" ht="15.75" customHeight="1">
      <c r="A632" s="33" t="s">
        <v>1263</v>
      </c>
      <c r="B632" s="22" t="str">
        <f>VLOOKUP($A632,'Customer Names'!$A:$D,3, FALSE)</f>
        <v>Stewart</v>
      </c>
      <c r="C632" s="22">
        <f>VLOOKUP($A632,'Medical Examinations'!$A:$D, 2, FALSE)</f>
        <v>38.05</v>
      </c>
      <c r="D632" s="22">
        <f>VLOOKUP($A632, 'Medical Examinations'!$A:$D,3, FALSE)</f>
        <v>9.62</v>
      </c>
      <c r="E632" s="22" t="str">
        <f>VLOOKUP($A632, 'Medical Examinations'!$A:$D, 4, FALSE)</f>
        <v>No</v>
      </c>
      <c r="F632" s="22" t="str">
        <f>VLOOKUP($A632, 'Medical Examinations'!$A:$J, 5, FALSE)</f>
        <v>No</v>
      </c>
      <c r="G632" s="22" t="str">
        <f>VLOOKUP($A632, 'Medical Examinations'!$A:$I, 6, FALSE)</f>
        <v>No</v>
      </c>
      <c r="H632" s="22">
        <f>VLOOKUP($A632,'Medical Examinations'!$A:$L,10, FALSE)</f>
        <v>0</v>
      </c>
      <c r="I632" s="22" t="str">
        <f>VLOOKUP($A632, 'Medical Examinations'!$A:$J, 9, FALSE)</f>
        <v>No</v>
      </c>
      <c r="J632" s="22" t="str">
        <f>VLOOKUP($A632, 'Medical Examinations'!$A:$P, 11, FALSE)</f>
        <v>OBESITY</v>
      </c>
      <c r="K632" s="34">
        <v>29380.0</v>
      </c>
      <c r="L632" s="35">
        <f>VLOOKUP($A632, 'Hospitalisation Details'!$A:$H, 7, FALSE)</f>
        <v>15608.58</v>
      </c>
      <c r="M632" s="22" t="str">
        <f>VLOOKUP($A632, 'Hospitalisation Details'!$A:$L, 12, FALSE)</f>
        <v>tier - 2</v>
      </c>
      <c r="N632" s="22" t="str">
        <f>VLOOKUP($A632, 'Hospitalisation Details'!$A:$M, 13, FALSE)</f>
        <v>tier - 2</v>
      </c>
      <c r="O632" s="22" t="str">
        <f>VLOOKUP($A632, 'Hospitalisation Details'!$A:$N, 14, FALSE)</f>
        <v>R1026</v>
      </c>
      <c r="P632" s="36">
        <f>VLOOKUP($A632, 'Hospitalisation Details'!$A:$O, 15, FALSE)</f>
        <v>57</v>
      </c>
    </row>
    <row r="633" ht="15.75" customHeight="1">
      <c r="A633" s="33" t="s">
        <v>1265</v>
      </c>
      <c r="B633" s="22" t="str">
        <f>VLOOKUP($A633,'Customer Names'!$A:$D,3, FALSE)</f>
        <v>Drotz</v>
      </c>
      <c r="C633" s="22">
        <f>VLOOKUP($A633,'Medical Examinations'!$A:$D, 2, FALSE)</f>
        <v>46.14</v>
      </c>
      <c r="D633" s="22">
        <f>VLOOKUP($A633, 'Medical Examinations'!$A:$D,3, FALSE)</f>
        <v>10.78</v>
      </c>
      <c r="E633" s="22" t="str">
        <f>VLOOKUP($A633, 'Medical Examinations'!$A:$D, 4, FALSE)</f>
        <v>No</v>
      </c>
      <c r="F633" s="22" t="str">
        <f>VLOOKUP($A633, 'Medical Examinations'!$A:$J, 5, FALSE)</f>
        <v>No</v>
      </c>
      <c r="G633" s="22" t="str">
        <f>VLOOKUP($A633, 'Medical Examinations'!$A:$I, 6, FALSE)</f>
        <v>No</v>
      </c>
      <c r="H633" s="22">
        <f>VLOOKUP($A633,'Medical Examinations'!$A:$L,10, FALSE)</f>
        <v>0</v>
      </c>
      <c r="I633" s="22" t="str">
        <f>VLOOKUP($A633, 'Medical Examinations'!$A:$J, 9, FALSE)</f>
        <v>No</v>
      </c>
      <c r="J633" s="22" t="str">
        <f>VLOOKUP($A633, 'Medical Examinations'!$A:$P, 11, FALSE)</f>
        <v>OBESITY</v>
      </c>
      <c r="K633" s="34">
        <v>29794.0</v>
      </c>
      <c r="L633" s="35">
        <f>VLOOKUP($A633, 'Hospitalisation Details'!$A:$H, 7, FALSE)</f>
        <v>15556.67</v>
      </c>
      <c r="M633" s="22" t="str">
        <f>VLOOKUP($A633, 'Hospitalisation Details'!$A:$L, 12, FALSE)</f>
        <v>tier - 2</v>
      </c>
      <c r="N633" s="22" t="str">
        <f>VLOOKUP($A633, 'Hospitalisation Details'!$A:$M, 13, FALSE)</f>
        <v>tier - 2</v>
      </c>
      <c r="O633" s="22" t="str">
        <f>VLOOKUP($A633, 'Hospitalisation Details'!$A:$N, 14, FALSE)</f>
        <v>R1012</v>
      </c>
      <c r="P633" s="36">
        <f>VLOOKUP($A633, 'Hospitalisation Details'!$A:$O, 15, FALSE)</f>
        <v>48</v>
      </c>
    </row>
    <row r="634" ht="15.75" customHeight="1">
      <c r="A634" s="33" t="s">
        <v>1267</v>
      </c>
      <c r="B634" s="22" t="str">
        <f>VLOOKUP($A634,'Customer Names'!$A:$D,3, FALSE)</f>
        <v>Mutai</v>
      </c>
      <c r="C634" s="22">
        <f>VLOOKUP($A634,'Medical Examinations'!$A:$D, 2, FALSE)</f>
        <v>41.325</v>
      </c>
      <c r="D634" s="22">
        <f>VLOOKUP($A634, 'Medical Examinations'!$A:$D,3, FALSE)</f>
        <v>5.11</v>
      </c>
      <c r="E634" s="22" t="str">
        <f>VLOOKUP($A634, 'Medical Examinations'!$A:$D, 4, FALSE)</f>
        <v>Yes</v>
      </c>
      <c r="F634" s="22" t="str">
        <f>VLOOKUP($A634, 'Medical Examinations'!$A:$J, 5, FALSE)</f>
        <v>No</v>
      </c>
      <c r="G634" s="22" t="str">
        <f>VLOOKUP($A634, 'Medical Examinations'!$A:$I, 6, FALSE)</f>
        <v>No</v>
      </c>
      <c r="H634" s="22">
        <f>VLOOKUP($A634,'Medical Examinations'!$A:$L,10, FALSE)</f>
        <v>2</v>
      </c>
      <c r="I634" s="22" t="str">
        <f>VLOOKUP($A634, 'Medical Examinations'!$A:$J, 9, FALSE)</f>
        <v>No</v>
      </c>
      <c r="J634" s="22" t="str">
        <f>VLOOKUP($A634, 'Medical Examinations'!$A:$P, 11, FALSE)</f>
        <v>OBESITY</v>
      </c>
      <c r="K634" s="34">
        <v>30987.0</v>
      </c>
      <c r="L634" s="35">
        <f>VLOOKUP($A634, 'Hospitalisation Details'!$A:$H, 7, FALSE)</f>
        <v>15555.19</v>
      </c>
      <c r="M634" s="22" t="str">
        <f>VLOOKUP($A634, 'Hospitalisation Details'!$A:$L, 12, FALSE)</f>
        <v>tier - 2</v>
      </c>
      <c r="N634" s="22" t="str">
        <f>VLOOKUP($A634, 'Hospitalisation Details'!$A:$M, 13, FALSE)</f>
        <v>tier - 3</v>
      </c>
      <c r="O634" s="22" t="str">
        <f>VLOOKUP($A634, 'Hospitalisation Details'!$A:$N, 14, FALSE)</f>
        <v>R1012</v>
      </c>
      <c r="P634" s="36">
        <f>VLOOKUP($A634, 'Hospitalisation Details'!$A:$O, 15, FALSE)</f>
        <v>63</v>
      </c>
    </row>
    <row r="635" ht="15.75" customHeight="1">
      <c r="A635" s="33" t="s">
        <v>1269</v>
      </c>
      <c r="B635" s="22" t="str">
        <f>VLOOKUP($A635,'Customer Names'!$A:$D,3, FALSE)</f>
        <v>Lovlien</v>
      </c>
      <c r="C635" s="22">
        <f>VLOOKUP($A635,'Medical Examinations'!$A:$D, 2, FALSE)</f>
        <v>44.64</v>
      </c>
      <c r="D635" s="22">
        <f>VLOOKUP($A635, 'Medical Examinations'!$A:$D,3, FALSE)</f>
        <v>7.18</v>
      </c>
      <c r="E635" s="22" t="str">
        <f>VLOOKUP($A635, 'Medical Examinations'!$A:$D, 4, FALSE)</f>
        <v>No</v>
      </c>
      <c r="F635" s="22" t="str">
        <f>VLOOKUP($A635, 'Medical Examinations'!$A:$J, 5, FALSE)</f>
        <v>No</v>
      </c>
      <c r="G635" s="22" t="str">
        <f>VLOOKUP($A635, 'Medical Examinations'!$A:$I, 6, FALSE)</f>
        <v>No</v>
      </c>
      <c r="H635" s="22">
        <f>VLOOKUP($A635,'Medical Examinations'!$A:$L,10, FALSE)</f>
        <v>0</v>
      </c>
      <c r="I635" s="22" t="str">
        <f>VLOOKUP($A635, 'Medical Examinations'!$A:$J, 9, FALSE)</f>
        <v>No</v>
      </c>
      <c r="J635" s="22" t="str">
        <f>VLOOKUP($A635, 'Medical Examinations'!$A:$P, 11, FALSE)</f>
        <v>OBESITY</v>
      </c>
      <c r="K635" s="34">
        <v>30920.0</v>
      </c>
      <c r="L635" s="35">
        <f>VLOOKUP($A635, 'Hospitalisation Details'!$A:$H, 7, FALSE)</f>
        <v>15532.16</v>
      </c>
      <c r="M635" s="22" t="str">
        <f>VLOOKUP($A635, 'Hospitalisation Details'!$A:$L, 12, FALSE)</f>
        <v>tier - 2</v>
      </c>
      <c r="N635" s="22" t="str">
        <f>VLOOKUP($A635, 'Hospitalisation Details'!$A:$M, 13, FALSE)</f>
        <v>tier - 2</v>
      </c>
      <c r="O635" s="22" t="str">
        <f>VLOOKUP($A635, 'Hospitalisation Details'!$A:$N, 14, FALSE)</f>
        <v>R1026</v>
      </c>
      <c r="P635" s="36">
        <f>VLOOKUP($A635, 'Hospitalisation Details'!$A:$O, 15, FALSE)</f>
        <v>48</v>
      </c>
    </row>
    <row r="636" ht="15.75" customHeight="1">
      <c r="A636" s="33" t="s">
        <v>1271</v>
      </c>
      <c r="B636" s="22" t="str">
        <f>VLOOKUP($A636,'Customer Names'!$A:$D,3, FALSE)</f>
        <v>Bruns</v>
      </c>
      <c r="C636" s="22">
        <f>VLOOKUP($A636,'Medical Examinations'!$A:$D, 2, FALSE)</f>
        <v>25.175</v>
      </c>
      <c r="D636" s="22">
        <f>VLOOKUP($A636, 'Medical Examinations'!$A:$D,3, FALSE)</f>
        <v>4.96</v>
      </c>
      <c r="E636" s="22" t="str">
        <f>VLOOKUP($A636, 'Medical Examinations'!$A:$D, 4, FALSE)</f>
        <v>No</v>
      </c>
      <c r="F636" s="22" t="str">
        <f>VLOOKUP($A636, 'Medical Examinations'!$A:$J, 5, FALSE)</f>
        <v>Yes</v>
      </c>
      <c r="G636" s="22" t="str">
        <f>VLOOKUP($A636, 'Medical Examinations'!$A:$I, 6, FALSE)</f>
        <v>No</v>
      </c>
      <c r="H636" s="22">
        <f>VLOOKUP($A636,'Medical Examinations'!$A:$L,10, FALSE)</f>
        <v>1</v>
      </c>
      <c r="I636" s="22" t="str">
        <f>VLOOKUP($A636, 'Medical Examinations'!$A:$J, 9, FALSE)</f>
        <v>Yes</v>
      </c>
      <c r="J636" s="22" t="str">
        <f>VLOOKUP($A636, 'Medical Examinations'!$A:$P, 11, FALSE)</f>
        <v>OVERWEIGHT</v>
      </c>
      <c r="K636" s="34">
        <v>31250.0</v>
      </c>
      <c r="L636" s="35">
        <f>VLOOKUP($A636, 'Hospitalisation Details'!$A:$H, 7, FALSE)</f>
        <v>15518.18</v>
      </c>
      <c r="M636" s="22" t="str">
        <f>VLOOKUP($A636, 'Hospitalisation Details'!$A:$L, 12, FALSE)</f>
        <v>tier - 2</v>
      </c>
      <c r="N636" s="22" t="str">
        <f>VLOOKUP($A636, 'Hospitalisation Details'!$A:$M, 13, FALSE)</f>
        <v>tier - 3</v>
      </c>
      <c r="O636" s="22" t="str">
        <f>VLOOKUP($A636, 'Hospitalisation Details'!$A:$N, 14, FALSE)</f>
        <v>R1015</v>
      </c>
      <c r="P636" s="36">
        <f>VLOOKUP($A636, 'Hospitalisation Details'!$A:$O, 15, FALSE)</f>
        <v>18</v>
      </c>
    </row>
    <row r="637" ht="15.75" customHeight="1">
      <c r="A637" s="33" t="s">
        <v>1273</v>
      </c>
      <c r="B637" s="22" t="str">
        <f>VLOOKUP($A637,'Customer Names'!$A:$D,3, FALSE)</f>
        <v>Stoney</v>
      </c>
      <c r="C637" s="22">
        <f>VLOOKUP($A637,'Medical Examinations'!$A:$D, 2, FALSE)</f>
        <v>43.11</v>
      </c>
      <c r="D637" s="22">
        <f>VLOOKUP($A637, 'Medical Examinations'!$A:$D,3, FALSE)</f>
        <v>4.67</v>
      </c>
      <c r="E637" s="22" t="str">
        <f>VLOOKUP($A637, 'Medical Examinations'!$A:$D, 4, FALSE)</f>
        <v>Yes</v>
      </c>
      <c r="F637" s="22" t="str">
        <f>VLOOKUP($A637, 'Medical Examinations'!$A:$J, 5, FALSE)</f>
        <v>No</v>
      </c>
      <c r="G637" s="22" t="str">
        <f>VLOOKUP($A637, 'Medical Examinations'!$A:$I, 6, FALSE)</f>
        <v>No</v>
      </c>
      <c r="H637" s="22">
        <f>VLOOKUP($A637,'Medical Examinations'!$A:$L,10, FALSE)</f>
        <v>0</v>
      </c>
      <c r="I637" s="22" t="str">
        <f>VLOOKUP($A637, 'Medical Examinations'!$A:$J, 9, FALSE)</f>
        <v>No</v>
      </c>
      <c r="J637" s="22" t="str">
        <f>VLOOKUP($A637, 'Medical Examinations'!$A:$P, 11, FALSE)</f>
        <v>OBESITY</v>
      </c>
      <c r="K637" s="34">
        <v>27611.0</v>
      </c>
      <c r="L637" s="35">
        <f>VLOOKUP($A637, 'Hospitalisation Details'!$A:$H, 7, FALSE)</f>
        <v>15450.48</v>
      </c>
      <c r="M637" s="22" t="str">
        <f>VLOOKUP($A637, 'Hospitalisation Details'!$A:$L, 12, FALSE)</f>
        <v>tier - 2</v>
      </c>
      <c r="N637" s="22" t="str">
        <f>VLOOKUP($A637, 'Hospitalisation Details'!$A:$M, 13, FALSE)</f>
        <v>tier - 1</v>
      </c>
      <c r="O637" s="22" t="str">
        <f>VLOOKUP($A637, 'Hospitalisation Details'!$A:$N, 14, FALSE)</f>
        <v>R1026</v>
      </c>
      <c r="P637" s="36">
        <f>VLOOKUP($A637, 'Hospitalisation Details'!$A:$O, 15, FALSE)</f>
        <v>46</v>
      </c>
    </row>
    <row r="638" ht="15.75" customHeight="1">
      <c r="A638" s="33" t="s">
        <v>1275</v>
      </c>
      <c r="B638" s="22" t="str">
        <f>VLOOKUP($A638,'Customer Names'!$A:$D,3, FALSE)</f>
        <v>Markert</v>
      </c>
      <c r="C638" s="22">
        <f>VLOOKUP($A638,'Medical Examinations'!$A:$D, 2, FALSE)</f>
        <v>53.32</v>
      </c>
      <c r="D638" s="22">
        <f>VLOOKUP($A638, 'Medical Examinations'!$A:$D,3, FALSE)</f>
        <v>5.06</v>
      </c>
      <c r="E638" s="22" t="str">
        <f>VLOOKUP($A638, 'Medical Examinations'!$A:$D, 4, FALSE)</f>
        <v>No</v>
      </c>
      <c r="F638" s="22" t="str">
        <f>VLOOKUP($A638, 'Medical Examinations'!$A:$J, 5, FALSE)</f>
        <v>No</v>
      </c>
      <c r="G638" s="22" t="str">
        <f>VLOOKUP($A638, 'Medical Examinations'!$A:$I, 6, FALSE)</f>
        <v>No</v>
      </c>
      <c r="H638" s="22">
        <f>VLOOKUP($A638,'Medical Examinations'!$A:$L,10, FALSE)</f>
        <v>0</v>
      </c>
      <c r="I638" s="22" t="str">
        <f>VLOOKUP($A638, 'Medical Examinations'!$A:$J, 9, FALSE)</f>
        <v>No</v>
      </c>
      <c r="J638" s="22" t="str">
        <f>VLOOKUP($A638, 'Medical Examinations'!$A:$P, 11, FALSE)</f>
        <v>OBESITY</v>
      </c>
      <c r="K638" s="34">
        <v>28124.0</v>
      </c>
      <c r="L638" s="35">
        <f>VLOOKUP($A638, 'Hospitalisation Details'!$A:$H, 7, FALSE)</f>
        <v>15440.2</v>
      </c>
      <c r="M638" s="22" t="str">
        <f>VLOOKUP($A638, 'Hospitalisation Details'!$A:$L, 12, FALSE)</f>
        <v>tier - 2</v>
      </c>
      <c r="N638" s="22" t="str">
        <f>VLOOKUP($A638, 'Hospitalisation Details'!$A:$M, 13, FALSE)</f>
        <v>tier - 1</v>
      </c>
      <c r="O638" s="22" t="str">
        <f>VLOOKUP($A638, 'Hospitalisation Details'!$A:$N, 14, FALSE)</f>
        <v>R1012</v>
      </c>
      <c r="P638" s="36">
        <f>VLOOKUP($A638, 'Hospitalisation Details'!$A:$O, 15, FALSE)</f>
        <v>32</v>
      </c>
    </row>
    <row r="639" ht="15.75" customHeight="1">
      <c r="A639" s="33" t="s">
        <v>1277</v>
      </c>
      <c r="B639" s="22" t="str">
        <f>VLOOKUP($A639,'Customer Names'!$A:$D,3, FALSE)</f>
        <v>McLucas</v>
      </c>
      <c r="C639" s="22">
        <f>VLOOKUP($A639,'Medical Examinations'!$A:$D, 2, FALSE)</f>
        <v>38.04</v>
      </c>
      <c r="D639" s="22">
        <f>VLOOKUP($A639, 'Medical Examinations'!$A:$D,3, FALSE)</f>
        <v>5.02</v>
      </c>
      <c r="E639" s="22" t="str">
        <f>VLOOKUP($A639, 'Medical Examinations'!$A:$D, 4, FALSE)</f>
        <v>Yes</v>
      </c>
      <c r="F639" s="22" t="str">
        <f>VLOOKUP($A639, 'Medical Examinations'!$A:$J, 5, FALSE)</f>
        <v>No</v>
      </c>
      <c r="G639" s="22" t="str">
        <f>VLOOKUP($A639, 'Medical Examinations'!$A:$I, 6, FALSE)</f>
        <v>No</v>
      </c>
      <c r="H639" s="22">
        <f>VLOOKUP($A639,'Medical Examinations'!$A:$L,10, FALSE)</f>
        <v>1</v>
      </c>
      <c r="I639" s="22" t="str">
        <f>VLOOKUP($A639, 'Medical Examinations'!$A:$J, 9, FALSE)</f>
        <v>No</v>
      </c>
      <c r="J639" s="22" t="str">
        <f>VLOOKUP($A639, 'Medical Examinations'!$A:$P, 11, FALSE)</f>
        <v>OBESITY</v>
      </c>
      <c r="K639" s="34">
        <v>32024.0</v>
      </c>
      <c r="L639" s="35">
        <f>VLOOKUP($A639, 'Hospitalisation Details'!$A:$H, 7, FALSE)</f>
        <v>15377.77</v>
      </c>
      <c r="M639" s="22" t="str">
        <f>VLOOKUP($A639, 'Hospitalisation Details'!$A:$L, 12, FALSE)</f>
        <v>tier - 2</v>
      </c>
      <c r="N639" s="22" t="str">
        <f>VLOOKUP($A639, 'Hospitalisation Details'!$A:$M, 13, FALSE)</f>
        <v>tier - 2</v>
      </c>
      <c r="O639" s="22" t="str">
        <f>VLOOKUP($A639, 'Hospitalisation Details'!$A:$N, 14, FALSE)</f>
        <v>R1012</v>
      </c>
      <c r="P639" s="36">
        <f>VLOOKUP($A639, 'Hospitalisation Details'!$A:$O, 15, FALSE)</f>
        <v>58</v>
      </c>
    </row>
    <row r="640" ht="15.75" customHeight="1">
      <c r="A640" s="33" t="s">
        <v>1279</v>
      </c>
      <c r="B640" s="22" t="str">
        <f>VLOOKUP($A640,'Customer Names'!$A:$D,3, FALSE)</f>
        <v>Erwin</v>
      </c>
      <c r="C640" s="22">
        <f>VLOOKUP($A640,'Medical Examinations'!$A:$D, 2, FALSE)</f>
        <v>37.9</v>
      </c>
      <c r="D640" s="22">
        <f>VLOOKUP($A640, 'Medical Examinations'!$A:$D,3, FALSE)</f>
        <v>7.76</v>
      </c>
      <c r="E640" s="22" t="str">
        <f>VLOOKUP($A640, 'Medical Examinations'!$A:$D, 4, FALSE)</f>
        <v>No</v>
      </c>
      <c r="F640" s="22" t="str">
        <f>VLOOKUP($A640, 'Medical Examinations'!$A:$J, 5, FALSE)</f>
        <v>No</v>
      </c>
      <c r="G640" s="22" t="str">
        <f>VLOOKUP($A640, 'Medical Examinations'!$A:$I, 6, FALSE)</f>
        <v>No</v>
      </c>
      <c r="H640" s="22">
        <f>VLOOKUP($A640,'Medical Examinations'!$A:$L,10, FALSE)</f>
        <v>0</v>
      </c>
      <c r="I640" s="22" t="str">
        <f>VLOOKUP($A640, 'Medical Examinations'!$A:$J, 9, FALSE)</f>
        <v>No</v>
      </c>
      <c r="J640" s="22" t="str">
        <f>VLOOKUP($A640, 'Medical Examinations'!$A:$P, 11, FALSE)</f>
        <v>OBESITY</v>
      </c>
      <c r="K640" s="34">
        <v>26167.0</v>
      </c>
      <c r="L640" s="35">
        <f>VLOOKUP($A640, 'Hospitalisation Details'!$A:$H, 7, FALSE)</f>
        <v>15368.22</v>
      </c>
      <c r="M640" s="22" t="str">
        <f>VLOOKUP($A640, 'Hospitalisation Details'!$A:$L, 12, FALSE)</f>
        <v>tier - 2</v>
      </c>
      <c r="N640" s="22" t="str">
        <f>VLOOKUP($A640, 'Hospitalisation Details'!$A:$M, 13, FALSE)</f>
        <v>tier - 2</v>
      </c>
      <c r="O640" s="22" t="str">
        <f>VLOOKUP($A640, 'Hospitalisation Details'!$A:$N, 14, FALSE)</f>
        <v>R1011</v>
      </c>
      <c r="P640" s="36">
        <f>VLOOKUP($A640, 'Hospitalisation Details'!$A:$O, 15, FALSE)</f>
        <v>60</v>
      </c>
    </row>
    <row r="641" ht="15.75" customHeight="1">
      <c r="A641" s="33" t="s">
        <v>1281</v>
      </c>
      <c r="B641" s="22" t="str">
        <f>VLOOKUP($A641,'Customer Names'!$A:$D,3, FALSE)</f>
        <v>Osborne</v>
      </c>
      <c r="C641" s="22">
        <f>VLOOKUP($A641,'Medical Examinations'!$A:$D, 2, FALSE)</f>
        <v>39.6</v>
      </c>
      <c r="D641" s="22">
        <f>VLOOKUP($A641, 'Medical Examinations'!$A:$D,3, FALSE)</f>
        <v>9.32</v>
      </c>
      <c r="E641" s="22" t="str">
        <f>VLOOKUP($A641, 'Medical Examinations'!$A:$D, 4, FALSE)</f>
        <v>No</v>
      </c>
      <c r="F641" s="22" t="str">
        <f>VLOOKUP($A641, 'Medical Examinations'!$A:$J, 5, FALSE)</f>
        <v>No</v>
      </c>
      <c r="G641" s="22" t="str">
        <f>VLOOKUP($A641, 'Medical Examinations'!$A:$I, 6, FALSE)</f>
        <v>No</v>
      </c>
      <c r="H641" s="22">
        <f>VLOOKUP($A641,'Medical Examinations'!$A:$L,10, FALSE)</f>
        <v>0</v>
      </c>
      <c r="I641" s="22" t="str">
        <f>VLOOKUP($A641, 'Medical Examinations'!$A:$J, 9, FALSE)</f>
        <v>No</v>
      </c>
      <c r="J641" s="22" t="str">
        <f>VLOOKUP($A641, 'Medical Examinations'!$A:$P, 11, FALSE)</f>
        <v>OBESITY</v>
      </c>
      <c r="K641" s="34">
        <v>25800.0</v>
      </c>
      <c r="L641" s="35">
        <f>VLOOKUP($A641, 'Hospitalisation Details'!$A:$H, 7, FALSE)</f>
        <v>15363.77</v>
      </c>
      <c r="M641" s="22" t="str">
        <f>VLOOKUP($A641, 'Hospitalisation Details'!$A:$L, 12, FALSE)</f>
        <v>tier - 2</v>
      </c>
      <c r="N641" s="22" t="str">
        <f>VLOOKUP($A641, 'Hospitalisation Details'!$A:$M, 13, FALSE)</f>
        <v>tier - 1</v>
      </c>
      <c r="O641" s="22" t="str">
        <f>VLOOKUP($A641, 'Hospitalisation Details'!$A:$N, 14, FALSE)</f>
        <v>R1026</v>
      </c>
      <c r="P641" s="36">
        <f>VLOOKUP($A641, 'Hospitalisation Details'!$A:$O, 15, FALSE)</f>
        <v>54</v>
      </c>
    </row>
    <row r="642" ht="15.75" customHeight="1">
      <c r="A642" s="33" t="s">
        <v>1283</v>
      </c>
      <c r="B642" s="22" t="str">
        <f>VLOOKUP($A642,'Customer Names'!$A:$D,3, FALSE)</f>
        <v>Otsuka</v>
      </c>
      <c r="C642" s="22">
        <f>VLOOKUP($A642,'Medical Examinations'!$A:$D, 2, FALSE)</f>
        <v>50.92</v>
      </c>
      <c r="D642" s="22">
        <f>VLOOKUP($A642, 'Medical Examinations'!$A:$D,3, FALSE)</f>
        <v>5.31</v>
      </c>
      <c r="E642" s="22" t="str">
        <f>VLOOKUP($A642, 'Medical Examinations'!$A:$D, 4, FALSE)</f>
        <v>Yes</v>
      </c>
      <c r="F642" s="22" t="str">
        <f>VLOOKUP($A642, 'Medical Examinations'!$A:$J, 5, FALSE)</f>
        <v>No</v>
      </c>
      <c r="G642" s="22" t="str">
        <f>VLOOKUP($A642, 'Medical Examinations'!$A:$I, 6, FALSE)</f>
        <v>No</v>
      </c>
      <c r="H642" s="22">
        <f>VLOOKUP($A642,'Medical Examinations'!$A:$L,10, FALSE)</f>
        <v>1</v>
      </c>
      <c r="I642" s="22" t="str">
        <f>VLOOKUP($A642, 'Medical Examinations'!$A:$J, 9, FALSE)</f>
        <v>No</v>
      </c>
      <c r="J642" s="22" t="str">
        <f>VLOOKUP($A642, 'Medical Examinations'!$A:$P, 11, FALSE)</f>
        <v>OBESITY</v>
      </c>
      <c r="K642" s="34">
        <v>31639.0</v>
      </c>
      <c r="L642" s="35">
        <f>VLOOKUP($A642, 'Hospitalisation Details'!$A:$H, 7, FALSE)</f>
        <v>15361.5</v>
      </c>
      <c r="M642" s="22" t="str">
        <f>VLOOKUP($A642, 'Hospitalisation Details'!$A:$L, 12, FALSE)</f>
        <v>tier - 2</v>
      </c>
      <c r="N642" s="22" t="str">
        <f>VLOOKUP($A642, 'Hospitalisation Details'!$A:$M, 13, FALSE)</f>
        <v>tier - 3</v>
      </c>
      <c r="O642" s="22" t="str">
        <f>VLOOKUP($A642, 'Hospitalisation Details'!$A:$N, 14, FALSE)</f>
        <v>R1023</v>
      </c>
      <c r="P642" s="36">
        <f>VLOOKUP($A642, 'Hospitalisation Details'!$A:$O, 15, FALSE)</f>
        <v>34</v>
      </c>
    </row>
    <row r="643" ht="15.75" customHeight="1">
      <c r="A643" s="33" t="s">
        <v>1285</v>
      </c>
      <c r="B643" s="22" t="str">
        <f>VLOOKUP($A643,'Customer Names'!$A:$D,3, FALSE)</f>
        <v>Smith</v>
      </c>
      <c r="C643" s="22">
        <f>VLOOKUP($A643,'Medical Examinations'!$A:$D, 2, FALSE)</f>
        <v>21.85</v>
      </c>
      <c r="D643" s="22">
        <f>VLOOKUP($A643, 'Medical Examinations'!$A:$D,3, FALSE)</f>
        <v>5.56</v>
      </c>
      <c r="E643" s="22" t="str">
        <f>VLOOKUP($A643, 'Medical Examinations'!$A:$D, 4, FALSE)</f>
        <v>Yes</v>
      </c>
      <c r="F643" s="22" t="str">
        <f>VLOOKUP($A643, 'Medical Examinations'!$A:$J, 5, FALSE)</f>
        <v>No</v>
      </c>
      <c r="G643" s="22" t="str">
        <f>VLOOKUP($A643, 'Medical Examinations'!$A:$I, 6, FALSE)</f>
        <v>No</v>
      </c>
      <c r="H643" s="22">
        <f>VLOOKUP($A643,'Medical Examinations'!$A:$L,10, FALSE)</f>
        <v>0</v>
      </c>
      <c r="I643" s="22" t="str">
        <f>VLOOKUP($A643, 'Medical Examinations'!$A:$J, 9, FALSE)</f>
        <v>Yes</v>
      </c>
      <c r="J643" s="22" t="str">
        <f>VLOOKUP($A643, 'Medical Examinations'!$A:$P, 11, FALSE)</f>
        <v>NORMAL WEIGHT</v>
      </c>
      <c r="K643" s="34">
        <v>31391.0</v>
      </c>
      <c r="L643" s="35">
        <f>VLOOKUP($A643, 'Hospitalisation Details'!$A:$H, 7, FALSE)</f>
        <v>15359.1</v>
      </c>
      <c r="M643" s="22" t="str">
        <f>VLOOKUP($A643, 'Hospitalisation Details'!$A:$L, 12, FALSE)</f>
        <v>tier - 2</v>
      </c>
      <c r="N643" s="22" t="str">
        <f>VLOOKUP($A643, 'Hospitalisation Details'!$A:$M, 13, FALSE)</f>
        <v>tier - 3</v>
      </c>
      <c r="O643" s="22" t="str">
        <f>VLOOKUP($A643, 'Hospitalisation Details'!$A:$N, 14, FALSE)</f>
        <v>R1024</v>
      </c>
      <c r="P643" s="36">
        <f>VLOOKUP($A643, 'Hospitalisation Details'!$A:$O, 15, FALSE)</f>
        <v>21</v>
      </c>
    </row>
    <row r="644" ht="15.75" customHeight="1">
      <c r="A644" s="33" t="s">
        <v>1287</v>
      </c>
      <c r="B644" s="22" t="str">
        <f>VLOOKUP($A644,'Customer Names'!$A:$D,3, FALSE)</f>
        <v>Myers</v>
      </c>
      <c r="C644" s="22">
        <f>VLOOKUP($A644,'Medical Examinations'!$A:$D, 2, FALSE)</f>
        <v>36.08</v>
      </c>
      <c r="D644" s="22">
        <f>VLOOKUP($A644, 'Medical Examinations'!$A:$D,3, FALSE)</f>
        <v>7.11</v>
      </c>
      <c r="E644" s="22" t="str">
        <f>VLOOKUP($A644, 'Medical Examinations'!$A:$D, 4, FALSE)</f>
        <v>Yes</v>
      </c>
      <c r="F644" s="22" t="str">
        <f>VLOOKUP($A644, 'Medical Examinations'!$A:$J, 5, FALSE)</f>
        <v>No</v>
      </c>
      <c r="G644" s="22" t="str">
        <f>VLOOKUP($A644, 'Medical Examinations'!$A:$I, 6, FALSE)</f>
        <v>Yes</v>
      </c>
      <c r="H644" s="22">
        <f>VLOOKUP($A644,'Medical Examinations'!$A:$L,10, FALSE)</f>
        <v>1</v>
      </c>
      <c r="I644" s="22" t="str">
        <f>VLOOKUP($A644, 'Medical Examinations'!$A:$J, 9, FALSE)</f>
        <v>No</v>
      </c>
      <c r="J644" s="22" t="str">
        <f>VLOOKUP($A644, 'Medical Examinations'!$A:$P, 11, FALSE)</f>
        <v>OBESITY</v>
      </c>
      <c r="K644" s="34">
        <v>32029.0</v>
      </c>
      <c r="L644" s="35">
        <f>VLOOKUP($A644, 'Hospitalisation Details'!$A:$H, 7, FALSE)</f>
        <v>15322.77</v>
      </c>
      <c r="M644" s="22" t="str">
        <f>VLOOKUP($A644, 'Hospitalisation Details'!$A:$L, 12, FALSE)</f>
        <v>tier - 2</v>
      </c>
      <c r="N644" s="22" t="str">
        <f>VLOOKUP($A644, 'Hospitalisation Details'!$A:$M, 13, FALSE)</f>
        <v>tier - 3</v>
      </c>
      <c r="O644" s="22" t="str">
        <f>VLOOKUP($A644, 'Hospitalisation Details'!$A:$N, 14, FALSE)</f>
        <v>R1021</v>
      </c>
      <c r="P644" s="36">
        <f>VLOOKUP($A644, 'Hospitalisation Details'!$A:$O, 15, FALSE)</f>
        <v>59</v>
      </c>
    </row>
    <row r="645" ht="15.75" customHeight="1">
      <c r="A645" s="33" t="s">
        <v>1289</v>
      </c>
      <c r="B645" s="22" t="str">
        <f>VLOOKUP($A645,'Customer Names'!$A:$D,3, FALSE)</f>
        <v>Cote</v>
      </c>
      <c r="C645" s="22">
        <f>VLOOKUP($A645,'Medical Examinations'!$A:$D, 2, FALSE)</f>
        <v>40.44</v>
      </c>
      <c r="D645" s="22">
        <f>VLOOKUP($A645, 'Medical Examinations'!$A:$D,3, FALSE)</f>
        <v>5.13</v>
      </c>
      <c r="E645" s="22" t="str">
        <f>VLOOKUP($A645, 'Medical Examinations'!$A:$D, 4, FALSE)</f>
        <v>Yes</v>
      </c>
      <c r="F645" s="22" t="str">
        <f>VLOOKUP($A645, 'Medical Examinations'!$A:$J, 5, FALSE)</f>
        <v>No</v>
      </c>
      <c r="G645" s="22" t="str">
        <f>VLOOKUP($A645, 'Medical Examinations'!$A:$I, 6, FALSE)</f>
        <v>Yes</v>
      </c>
      <c r="H645" s="22">
        <f>VLOOKUP($A645,'Medical Examinations'!$A:$L,10, FALSE)</f>
        <v>1</v>
      </c>
      <c r="I645" s="22" t="str">
        <f>VLOOKUP($A645, 'Medical Examinations'!$A:$J, 9, FALSE)</f>
        <v>No</v>
      </c>
      <c r="J645" s="22" t="str">
        <f>VLOOKUP($A645, 'Medical Examinations'!$A:$P, 11, FALSE)</f>
        <v>OBESITY</v>
      </c>
      <c r="K645" s="34">
        <v>30252.0</v>
      </c>
      <c r="L645" s="35">
        <f>VLOOKUP($A645, 'Hospitalisation Details'!$A:$H, 7, FALSE)</f>
        <v>15260.52</v>
      </c>
      <c r="M645" s="22" t="str">
        <f>VLOOKUP($A645, 'Hospitalisation Details'!$A:$L, 12, FALSE)</f>
        <v>tier - 2</v>
      </c>
      <c r="N645" s="22" t="str">
        <f>VLOOKUP($A645, 'Hospitalisation Details'!$A:$M, 13, FALSE)</f>
        <v>tier - 2</v>
      </c>
      <c r="O645" s="22" t="str">
        <f>VLOOKUP($A645, 'Hospitalisation Details'!$A:$N, 14, FALSE)</f>
        <v>R1023</v>
      </c>
      <c r="P645" s="36">
        <f>VLOOKUP($A645, 'Hospitalisation Details'!$A:$O, 15, FALSE)</f>
        <v>53</v>
      </c>
    </row>
    <row r="646" ht="15.75" customHeight="1">
      <c r="A646" s="33" t="s">
        <v>1291</v>
      </c>
      <c r="B646" s="22" t="str">
        <f>VLOOKUP($A646,'Customer Names'!$A:$D,3, FALSE)</f>
        <v>Ehrhardt</v>
      </c>
      <c r="C646" s="22">
        <f>VLOOKUP($A646,'Medical Examinations'!$A:$D, 2, FALSE)</f>
        <v>38.095</v>
      </c>
      <c r="D646" s="22">
        <f>VLOOKUP($A646, 'Medical Examinations'!$A:$D,3, FALSE)</f>
        <v>10.2</v>
      </c>
      <c r="E646" s="22" t="str">
        <f>VLOOKUP($A646, 'Medical Examinations'!$A:$D, 4, FALSE)</f>
        <v>No</v>
      </c>
      <c r="F646" s="22" t="str">
        <f>VLOOKUP($A646, 'Medical Examinations'!$A:$J, 5, FALSE)</f>
        <v>No</v>
      </c>
      <c r="G646" s="22" t="str">
        <f>VLOOKUP($A646, 'Medical Examinations'!$A:$I, 6, FALSE)</f>
        <v>No</v>
      </c>
      <c r="H646" s="22">
        <f>VLOOKUP($A646,'Medical Examinations'!$A:$L,10, FALSE)</f>
        <v>0</v>
      </c>
      <c r="I646" s="22" t="str">
        <f>VLOOKUP($A646, 'Medical Examinations'!$A:$J, 9, FALSE)</f>
        <v>No</v>
      </c>
      <c r="J646" s="22" t="str">
        <f>VLOOKUP($A646, 'Medical Examinations'!$A:$P, 11, FALSE)</f>
        <v>OBESITY</v>
      </c>
      <c r="K646" s="34">
        <v>35658.0</v>
      </c>
      <c r="L646" s="35">
        <f>VLOOKUP($A646, 'Hospitalisation Details'!$A:$H, 7, FALSE)</f>
        <v>15230.32</v>
      </c>
      <c r="M646" s="22" t="str">
        <f>VLOOKUP($A646, 'Hospitalisation Details'!$A:$L, 12, FALSE)</f>
        <v>tier - 2</v>
      </c>
      <c r="N646" s="22" t="str">
        <f>VLOOKUP($A646, 'Hospitalisation Details'!$A:$M, 13, FALSE)</f>
        <v>tier - 2</v>
      </c>
      <c r="O646" s="22" t="str">
        <f>VLOOKUP($A646, 'Hospitalisation Details'!$A:$N, 14, FALSE)</f>
        <v>R1024</v>
      </c>
      <c r="P646" s="36">
        <f>VLOOKUP($A646, 'Hospitalisation Details'!$A:$O, 15, FALSE)</f>
        <v>62</v>
      </c>
    </row>
    <row r="647" ht="15.75" customHeight="1">
      <c r="A647" s="33" t="s">
        <v>1293</v>
      </c>
      <c r="B647" s="22" t="str">
        <f>VLOOKUP($A647,'Customer Names'!$A:$D,3, FALSE)</f>
        <v>Petersen</v>
      </c>
      <c r="C647" s="22">
        <f>VLOOKUP($A647,'Medical Examinations'!$A:$D, 2, FALSE)</f>
        <v>44.95</v>
      </c>
      <c r="D647" s="22">
        <f>VLOOKUP($A647, 'Medical Examinations'!$A:$D,3, FALSE)</f>
        <v>10.4</v>
      </c>
      <c r="E647" s="22" t="str">
        <f>VLOOKUP($A647, 'Medical Examinations'!$A:$D, 4, FALSE)</f>
        <v>No</v>
      </c>
      <c r="F647" s="22" t="str">
        <f>VLOOKUP($A647, 'Medical Examinations'!$A:$J, 5, FALSE)</f>
        <v>No</v>
      </c>
      <c r="G647" s="22" t="str">
        <f>VLOOKUP($A647, 'Medical Examinations'!$A:$I, 6, FALSE)</f>
        <v>No</v>
      </c>
      <c r="H647" s="22">
        <f>VLOOKUP($A647,'Medical Examinations'!$A:$L,10, FALSE)</f>
        <v>0</v>
      </c>
      <c r="I647" s="22" t="str">
        <f>VLOOKUP($A647, 'Medical Examinations'!$A:$J, 9, FALSE)</f>
        <v>No</v>
      </c>
      <c r="J647" s="22" t="str">
        <f>VLOOKUP($A647, 'Medical Examinations'!$A:$P, 11, FALSE)</f>
        <v>OBESITY</v>
      </c>
      <c r="K647" s="34">
        <v>30169.0</v>
      </c>
      <c r="L647" s="35">
        <f>VLOOKUP($A647, 'Hospitalisation Details'!$A:$H, 7, FALSE)</f>
        <v>15207.92</v>
      </c>
      <c r="M647" s="22" t="str">
        <f>VLOOKUP($A647, 'Hospitalisation Details'!$A:$L, 12, FALSE)</f>
        <v>tier - 2</v>
      </c>
      <c r="N647" s="22" t="str">
        <f>VLOOKUP($A647, 'Hospitalisation Details'!$A:$M, 13, FALSE)</f>
        <v>tier - 1</v>
      </c>
      <c r="O647" s="22" t="str">
        <f>VLOOKUP($A647, 'Hospitalisation Details'!$A:$N, 14, FALSE)</f>
        <v>R1012</v>
      </c>
      <c r="P647" s="36">
        <f>VLOOKUP($A647, 'Hospitalisation Details'!$A:$O, 15, FALSE)</f>
        <v>44</v>
      </c>
    </row>
    <row r="648" ht="15.75" customHeight="1">
      <c r="A648" s="33" t="s">
        <v>1295</v>
      </c>
      <c r="B648" s="22" t="str">
        <f>VLOOKUP($A648,'Customer Names'!$A:$D,3, FALSE)</f>
        <v>Ertel</v>
      </c>
      <c r="C648" s="22">
        <f>VLOOKUP($A648,'Medical Examinations'!$A:$D, 2, FALSE)</f>
        <v>35.54</v>
      </c>
      <c r="D648" s="22">
        <f>VLOOKUP($A648, 'Medical Examinations'!$A:$D,3, FALSE)</f>
        <v>10.67</v>
      </c>
      <c r="E648" s="22" t="str">
        <f>VLOOKUP($A648, 'Medical Examinations'!$A:$D, 4, FALSE)</f>
        <v>No</v>
      </c>
      <c r="F648" s="22" t="str">
        <f>VLOOKUP($A648, 'Medical Examinations'!$A:$J, 5, FALSE)</f>
        <v>No</v>
      </c>
      <c r="G648" s="22" t="str">
        <f>VLOOKUP($A648, 'Medical Examinations'!$A:$I, 6, FALSE)</f>
        <v>No</v>
      </c>
      <c r="H648" s="22">
        <f>VLOOKUP($A648,'Medical Examinations'!$A:$L,10, FALSE)</f>
        <v>0</v>
      </c>
      <c r="I648" s="22" t="str">
        <f>VLOOKUP($A648, 'Medical Examinations'!$A:$J, 9, FALSE)</f>
        <v>No</v>
      </c>
      <c r="J648" s="22" t="str">
        <f>VLOOKUP($A648, 'Medical Examinations'!$A:$P, 11, FALSE)</f>
        <v>OBESITY</v>
      </c>
      <c r="K648" s="34">
        <v>28082.0</v>
      </c>
      <c r="L648" s="35">
        <f>VLOOKUP($A648, 'Hospitalisation Details'!$A:$H, 7, FALSE)</f>
        <v>15174.81</v>
      </c>
      <c r="M648" s="22" t="str">
        <f>VLOOKUP($A648, 'Hospitalisation Details'!$A:$L, 12, FALSE)</f>
        <v>tier - 2</v>
      </c>
      <c r="N648" s="22" t="str">
        <f>VLOOKUP($A648, 'Hospitalisation Details'!$A:$M, 13, FALSE)</f>
        <v>tier - 1</v>
      </c>
      <c r="O648" s="22" t="str">
        <f>VLOOKUP($A648, 'Hospitalisation Details'!$A:$N, 14, FALSE)</f>
        <v>R1012</v>
      </c>
      <c r="P648" s="36">
        <f>VLOOKUP($A648, 'Hospitalisation Details'!$A:$O, 15, FALSE)</f>
        <v>60</v>
      </c>
    </row>
    <row r="649" ht="15.75" customHeight="1">
      <c r="A649" s="33" t="s">
        <v>1297</v>
      </c>
      <c r="B649" s="22" t="str">
        <f>VLOOKUP($A649,'Customer Names'!$A:$D,3, FALSE)</f>
        <v>Lanza</v>
      </c>
      <c r="C649" s="22">
        <f>VLOOKUP($A649,'Medical Examinations'!$A:$D, 2, FALSE)</f>
        <v>39.8</v>
      </c>
      <c r="D649" s="22">
        <f>VLOOKUP($A649, 'Medical Examinations'!$A:$D,3, FALSE)</f>
        <v>4.65</v>
      </c>
      <c r="E649" s="22" t="str">
        <f>VLOOKUP($A649, 'Medical Examinations'!$A:$D, 4, FALSE)</f>
        <v>Yes</v>
      </c>
      <c r="F649" s="22" t="str">
        <f>VLOOKUP($A649, 'Medical Examinations'!$A:$J, 5, FALSE)</f>
        <v>No</v>
      </c>
      <c r="G649" s="22" t="str">
        <f>VLOOKUP($A649, 'Medical Examinations'!$A:$I, 6, FALSE)</f>
        <v>No</v>
      </c>
      <c r="H649" s="22">
        <f>VLOOKUP($A649,'Medical Examinations'!$A:$L,10, FALSE)</f>
        <v>2</v>
      </c>
      <c r="I649" s="22" t="str">
        <f>VLOOKUP($A649, 'Medical Examinations'!$A:$J, 9, FALSE)</f>
        <v>No</v>
      </c>
      <c r="J649" s="22" t="str">
        <f>VLOOKUP($A649, 'Medical Examinations'!$A:$P, 11, FALSE)</f>
        <v>OBESITY</v>
      </c>
      <c r="K649" s="34">
        <v>30907.0</v>
      </c>
      <c r="L649" s="35">
        <f>VLOOKUP($A649, 'Hospitalisation Details'!$A:$H, 7, FALSE)</f>
        <v>15170.07</v>
      </c>
      <c r="M649" s="22" t="str">
        <f>VLOOKUP($A649, 'Hospitalisation Details'!$A:$L, 12, FALSE)</f>
        <v>tier - 2</v>
      </c>
      <c r="N649" s="22" t="str">
        <f>VLOOKUP($A649, 'Hospitalisation Details'!$A:$M, 13, FALSE)</f>
        <v>tier - 3</v>
      </c>
      <c r="O649" s="22" t="str">
        <f>VLOOKUP($A649, 'Hospitalisation Details'!$A:$N, 14, FALSE)</f>
        <v>R1011</v>
      </c>
      <c r="P649" s="36">
        <f>VLOOKUP($A649, 'Hospitalisation Details'!$A:$O, 15, FALSE)</f>
        <v>63</v>
      </c>
    </row>
    <row r="650" ht="15.75" customHeight="1">
      <c r="A650" s="33" t="s">
        <v>1299</v>
      </c>
      <c r="B650" s="22" t="str">
        <f>VLOOKUP($A650,'Customer Names'!$A:$D,3, FALSE)</f>
        <v>Picklesimer</v>
      </c>
      <c r="C650" s="22">
        <f>VLOOKUP($A650,'Medical Examinations'!$A:$D, 2, FALSE)</f>
        <v>33.66</v>
      </c>
      <c r="D650" s="22">
        <f>VLOOKUP($A650, 'Medical Examinations'!$A:$D,3, FALSE)</f>
        <v>5.65</v>
      </c>
      <c r="E650" s="22" t="str">
        <f>VLOOKUP($A650, 'Medical Examinations'!$A:$D, 4, FALSE)</f>
        <v>Yes</v>
      </c>
      <c r="F650" s="22" t="str">
        <f>VLOOKUP($A650, 'Medical Examinations'!$A:$J, 5, FALSE)</f>
        <v>No</v>
      </c>
      <c r="G650" s="22" t="str">
        <f>VLOOKUP($A650, 'Medical Examinations'!$A:$I, 6, FALSE)</f>
        <v>No</v>
      </c>
      <c r="H650" s="22">
        <f>VLOOKUP($A650,'Medical Examinations'!$A:$L,10, FALSE)</f>
        <v>2</v>
      </c>
      <c r="I650" s="22" t="str">
        <f>VLOOKUP($A650, 'Medical Examinations'!$A:$J, 9, FALSE)</f>
        <v>No</v>
      </c>
      <c r="J650" s="22" t="str">
        <f>VLOOKUP($A650, 'Medical Examinations'!$A:$P, 11, FALSE)</f>
        <v>OBESITY</v>
      </c>
      <c r="K650" s="34">
        <v>25881.0</v>
      </c>
      <c r="L650" s="35">
        <f>VLOOKUP($A650, 'Hospitalisation Details'!$A:$H, 7, FALSE)</f>
        <v>15161.53</v>
      </c>
      <c r="M650" s="22" t="str">
        <f>VLOOKUP($A650, 'Hospitalisation Details'!$A:$L, 12, FALSE)</f>
        <v>tier - 2</v>
      </c>
      <c r="N650" s="22" t="str">
        <f>VLOOKUP($A650, 'Hospitalisation Details'!$A:$M, 13, FALSE)</f>
        <v>tier - 1</v>
      </c>
      <c r="O650" s="22" t="str">
        <f>VLOOKUP($A650, 'Hospitalisation Details'!$A:$N, 14, FALSE)</f>
        <v>R1013</v>
      </c>
      <c r="P650" s="36">
        <f>VLOOKUP($A650, 'Hospitalisation Details'!$A:$O, 15, FALSE)</f>
        <v>64</v>
      </c>
    </row>
    <row r="651" ht="15.75" customHeight="1">
      <c r="A651" s="33" t="s">
        <v>1301</v>
      </c>
      <c r="B651" s="22" t="str">
        <f>VLOOKUP($A651,'Customer Names'!$A:$D,3, FALSE)</f>
        <v>Giles</v>
      </c>
      <c r="C651" s="22">
        <f>VLOOKUP($A651,'Medical Examinations'!$A:$D, 2, FALSE)</f>
        <v>35.5</v>
      </c>
      <c r="D651" s="22">
        <f>VLOOKUP($A651, 'Medical Examinations'!$A:$D,3, FALSE)</f>
        <v>11.97</v>
      </c>
      <c r="E651" s="22" t="str">
        <f>VLOOKUP($A651, 'Medical Examinations'!$A:$D, 4, FALSE)</f>
        <v>No</v>
      </c>
      <c r="F651" s="22" t="str">
        <f>VLOOKUP($A651, 'Medical Examinations'!$A:$J, 5, FALSE)</f>
        <v>No</v>
      </c>
      <c r="G651" s="22" t="str">
        <f>VLOOKUP($A651, 'Medical Examinations'!$A:$I, 6, FALSE)</f>
        <v>No</v>
      </c>
      <c r="H651" s="22">
        <f>VLOOKUP($A651,'Medical Examinations'!$A:$L,10, FALSE)</f>
        <v>0</v>
      </c>
      <c r="I651" s="22" t="str">
        <f>VLOOKUP($A651, 'Medical Examinations'!$A:$J, 9, FALSE)</f>
        <v>No</v>
      </c>
      <c r="J651" s="22" t="str">
        <f>VLOOKUP($A651, 'Medical Examinations'!$A:$P, 11, FALSE)</f>
        <v>OBESITY</v>
      </c>
      <c r="K651" s="34">
        <v>35253.0</v>
      </c>
      <c r="L651" s="35">
        <f>VLOOKUP($A651, 'Hospitalisation Details'!$A:$H, 7, FALSE)</f>
        <v>15161.25</v>
      </c>
      <c r="M651" s="22" t="str">
        <f>VLOOKUP($A651, 'Hospitalisation Details'!$A:$L, 12, FALSE)</f>
        <v>tier - 2</v>
      </c>
      <c r="N651" s="22" t="str">
        <f>VLOOKUP($A651, 'Hospitalisation Details'!$A:$M, 13, FALSE)</f>
        <v>tier - 2</v>
      </c>
      <c r="O651" s="22" t="str">
        <f>VLOOKUP($A651, 'Hospitalisation Details'!$A:$N, 14, FALSE)</f>
        <v>R1012</v>
      </c>
      <c r="P651" s="36">
        <f>VLOOKUP($A651, 'Hospitalisation Details'!$A:$O, 15, FALSE)</f>
        <v>60</v>
      </c>
    </row>
    <row r="652" ht="15.75" customHeight="1">
      <c r="A652" s="33" t="s">
        <v>1303</v>
      </c>
      <c r="B652" s="22" t="str">
        <f>VLOOKUP($A652,'Customer Names'!$A:$D,3, FALSE)</f>
        <v>Harmon</v>
      </c>
      <c r="C652" s="22">
        <f>VLOOKUP($A652,'Medical Examinations'!$A:$D, 2, FALSE)</f>
        <v>41.63</v>
      </c>
      <c r="D652" s="22">
        <f>VLOOKUP($A652, 'Medical Examinations'!$A:$D,3, FALSE)</f>
        <v>6.71</v>
      </c>
      <c r="E652" s="22" t="str">
        <f>VLOOKUP($A652, 'Medical Examinations'!$A:$D, 4, FALSE)</f>
        <v>No</v>
      </c>
      <c r="F652" s="22" t="str">
        <f>VLOOKUP($A652, 'Medical Examinations'!$A:$J, 5, FALSE)</f>
        <v>No</v>
      </c>
      <c r="G652" s="22" t="str">
        <f>VLOOKUP($A652, 'Medical Examinations'!$A:$I, 6, FALSE)</f>
        <v>No</v>
      </c>
      <c r="H652" s="22">
        <f>VLOOKUP($A652,'Medical Examinations'!$A:$L,10, FALSE)</f>
        <v>0</v>
      </c>
      <c r="I652" s="22" t="str">
        <f>VLOOKUP($A652, 'Medical Examinations'!$A:$J, 9, FALSE)</f>
        <v>No</v>
      </c>
      <c r="J652" s="22" t="str">
        <f>VLOOKUP($A652, 'Medical Examinations'!$A:$P, 11, FALSE)</f>
        <v>OBESITY</v>
      </c>
      <c r="K652" s="34">
        <v>32683.0</v>
      </c>
      <c r="L652" s="35">
        <f>VLOOKUP($A652, 'Hospitalisation Details'!$A:$H, 7, FALSE)</f>
        <v>15150.44</v>
      </c>
      <c r="M652" s="22" t="str">
        <f>VLOOKUP($A652, 'Hospitalisation Details'!$A:$L, 12, FALSE)</f>
        <v>tier - 2</v>
      </c>
      <c r="N652" s="22" t="str">
        <f>VLOOKUP($A652, 'Hospitalisation Details'!$A:$M, 13, FALSE)</f>
        <v>tier - 1</v>
      </c>
      <c r="O652" s="22" t="str">
        <f>VLOOKUP($A652, 'Hospitalisation Details'!$A:$N, 14, FALSE)</f>
        <v>R1023</v>
      </c>
      <c r="P652" s="36">
        <f>VLOOKUP($A652, 'Hospitalisation Details'!$A:$O, 15, FALSE)</f>
        <v>51</v>
      </c>
    </row>
    <row r="653" ht="15.75" customHeight="1">
      <c r="A653" s="33" t="s">
        <v>1305</v>
      </c>
      <c r="B653" s="22" t="str">
        <f>VLOOKUP($A653,'Customer Names'!$A:$D,3, FALSE)</f>
        <v>Pennings</v>
      </c>
      <c r="C653" s="22">
        <f>VLOOKUP($A653,'Medical Examinations'!$A:$D, 2, FALSE)</f>
        <v>46.49</v>
      </c>
      <c r="D653" s="22">
        <f>VLOOKUP($A653, 'Medical Examinations'!$A:$D,3, FALSE)</f>
        <v>11.92</v>
      </c>
      <c r="E653" s="22" t="str">
        <f>VLOOKUP($A653, 'Medical Examinations'!$A:$D, 4, FALSE)</f>
        <v>No</v>
      </c>
      <c r="F653" s="22" t="str">
        <f>VLOOKUP($A653, 'Medical Examinations'!$A:$J, 5, FALSE)</f>
        <v>No</v>
      </c>
      <c r="G653" s="22" t="str">
        <f>VLOOKUP($A653, 'Medical Examinations'!$A:$I, 6, FALSE)</f>
        <v>No</v>
      </c>
      <c r="H653" s="22">
        <f>VLOOKUP($A653,'Medical Examinations'!$A:$L,10, FALSE)</f>
        <v>0</v>
      </c>
      <c r="I653" s="22" t="str">
        <f>VLOOKUP($A653, 'Medical Examinations'!$A:$J, 9, FALSE)</f>
        <v>No</v>
      </c>
      <c r="J653" s="22" t="str">
        <f>VLOOKUP($A653, 'Medical Examinations'!$A:$P, 11, FALSE)</f>
        <v>OBESITY</v>
      </c>
      <c r="K653" s="34">
        <v>28021.0</v>
      </c>
      <c r="L653" s="35">
        <f>VLOOKUP($A653, 'Hospitalisation Details'!$A:$H, 7, FALSE)</f>
        <v>15123.19</v>
      </c>
      <c r="M653" s="22" t="str">
        <f>VLOOKUP($A653, 'Hospitalisation Details'!$A:$L, 12, FALSE)</f>
        <v>tier - 2</v>
      </c>
      <c r="N653" s="22" t="str">
        <f>VLOOKUP($A653, 'Hospitalisation Details'!$A:$M, 13, FALSE)</f>
        <v>tier - 1</v>
      </c>
      <c r="O653" s="22" t="str">
        <f>VLOOKUP($A653, 'Hospitalisation Details'!$A:$N, 14, FALSE)</f>
        <v>R1011</v>
      </c>
      <c r="P653" s="36">
        <f>VLOOKUP($A653, 'Hospitalisation Details'!$A:$O, 15, FALSE)</f>
        <v>44</v>
      </c>
    </row>
    <row r="654" ht="15.75" customHeight="1">
      <c r="A654" s="33" t="s">
        <v>1307</v>
      </c>
      <c r="B654" s="22" t="str">
        <f>VLOOKUP($A654,'Customer Names'!$A:$D,3, FALSE)</f>
        <v>Tseronis</v>
      </c>
      <c r="C654" s="22">
        <f>VLOOKUP($A654,'Medical Examinations'!$A:$D, 2, FALSE)</f>
        <v>43.29</v>
      </c>
      <c r="D654" s="22">
        <f>VLOOKUP($A654, 'Medical Examinations'!$A:$D,3, FALSE)</f>
        <v>5.35</v>
      </c>
      <c r="E654" s="22" t="str">
        <f>VLOOKUP($A654, 'Medical Examinations'!$A:$D, 4, FALSE)</f>
        <v>No</v>
      </c>
      <c r="F654" s="22" t="str">
        <f>VLOOKUP($A654, 'Medical Examinations'!$A:$J, 5, FALSE)</f>
        <v>No</v>
      </c>
      <c r="G654" s="22" t="str">
        <f>VLOOKUP($A654, 'Medical Examinations'!$A:$I, 6, FALSE)</f>
        <v>No</v>
      </c>
      <c r="H654" s="22">
        <f>VLOOKUP($A654,'Medical Examinations'!$A:$L,10, FALSE)</f>
        <v>2</v>
      </c>
      <c r="I654" s="22" t="str">
        <f>VLOOKUP($A654, 'Medical Examinations'!$A:$J, 9, FALSE)</f>
        <v>No</v>
      </c>
      <c r="J654" s="22" t="str">
        <f>VLOOKUP($A654, 'Medical Examinations'!$A:$P, 11, FALSE)</f>
        <v>OBESITY</v>
      </c>
      <c r="K654" s="34">
        <v>29524.0</v>
      </c>
      <c r="L654" s="35">
        <f>VLOOKUP($A654, 'Hospitalisation Details'!$A:$H, 7, FALSE)</f>
        <v>15103.69</v>
      </c>
      <c r="M654" s="22" t="str">
        <f>VLOOKUP($A654, 'Hospitalisation Details'!$A:$L, 12, FALSE)</f>
        <v>tier - 2</v>
      </c>
      <c r="N654" s="22" t="str">
        <f>VLOOKUP($A654, 'Hospitalisation Details'!$A:$M, 13, FALSE)</f>
        <v>tier - 1</v>
      </c>
      <c r="O654" s="22" t="str">
        <f>VLOOKUP($A654, 'Hospitalisation Details'!$A:$N, 14, FALSE)</f>
        <v>R1012</v>
      </c>
      <c r="P654" s="36">
        <f>VLOOKUP($A654, 'Hospitalisation Details'!$A:$O, 15, FALSE)</f>
        <v>50</v>
      </c>
    </row>
    <row r="655" ht="15.75" customHeight="1">
      <c r="A655" s="33" t="s">
        <v>1309</v>
      </c>
      <c r="B655" s="22" t="str">
        <f>VLOOKUP($A655,'Customer Names'!$A:$D,3, FALSE)</f>
        <v>Aliff</v>
      </c>
      <c r="C655" s="22">
        <f>VLOOKUP($A655,'Medical Examinations'!$A:$D, 2, FALSE)</f>
        <v>43.08</v>
      </c>
      <c r="D655" s="22">
        <f>VLOOKUP($A655, 'Medical Examinations'!$A:$D,3, FALSE)</f>
        <v>8.96</v>
      </c>
      <c r="E655" s="22" t="str">
        <f>VLOOKUP($A655, 'Medical Examinations'!$A:$D, 4, FALSE)</f>
        <v>Yes</v>
      </c>
      <c r="F655" s="22" t="str">
        <f>VLOOKUP($A655, 'Medical Examinations'!$A:$J, 5, FALSE)</f>
        <v>No</v>
      </c>
      <c r="G655" s="22" t="str">
        <f>VLOOKUP($A655, 'Medical Examinations'!$A:$I, 6, FALSE)</f>
        <v>No</v>
      </c>
      <c r="H655" s="22">
        <f>VLOOKUP($A655,'Medical Examinations'!$A:$L,10, FALSE)</f>
        <v>1</v>
      </c>
      <c r="I655" s="22" t="str">
        <f>VLOOKUP($A655, 'Medical Examinations'!$A:$J, 9, FALSE)</f>
        <v>No</v>
      </c>
      <c r="J655" s="22" t="str">
        <f>VLOOKUP($A655, 'Medical Examinations'!$A:$P, 11, FALSE)</f>
        <v>OBESITY</v>
      </c>
      <c r="K655" s="34">
        <v>30547.0</v>
      </c>
      <c r="L655" s="35">
        <f>VLOOKUP($A655, 'Hospitalisation Details'!$A:$H, 7, FALSE)</f>
        <v>15090.35</v>
      </c>
      <c r="M655" s="22" t="str">
        <f>VLOOKUP($A655, 'Hospitalisation Details'!$A:$L, 12, FALSE)</f>
        <v>tier - 2</v>
      </c>
      <c r="N655" s="22" t="str">
        <f>VLOOKUP($A655, 'Hospitalisation Details'!$A:$M, 13, FALSE)</f>
        <v>tier - 1</v>
      </c>
      <c r="O655" s="22" t="str">
        <f>VLOOKUP($A655, 'Hospitalisation Details'!$A:$N, 14, FALSE)</f>
        <v>R1023</v>
      </c>
      <c r="P655" s="36">
        <f>VLOOKUP($A655, 'Hospitalisation Details'!$A:$O, 15, FALSE)</f>
        <v>47</v>
      </c>
    </row>
    <row r="656" ht="15.75" customHeight="1">
      <c r="A656" s="33" t="s">
        <v>1311</v>
      </c>
      <c r="B656" s="22" t="str">
        <f>VLOOKUP($A656,'Customer Names'!$A:$D,3, FALSE)</f>
        <v>Willenberg</v>
      </c>
      <c r="C656" s="22">
        <f>VLOOKUP($A656,'Medical Examinations'!$A:$D, 2, FALSE)</f>
        <v>39.07</v>
      </c>
      <c r="D656" s="22">
        <f>VLOOKUP($A656, 'Medical Examinations'!$A:$D,3, FALSE)</f>
        <v>11.93</v>
      </c>
      <c r="E656" s="22" t="str">
        <f>VLOOKUP($A656, 'Medical Examinations'!$A:$D, 4, FALSE)</f>
        <v>No</v>
      </c>
      <c r="F656" s="22" t="str">
        <f>VLOOKUP($A656, 'Medical Examinations'!$A:$J, 5, FALSE)</f>
        <v>No</v>
      </c>
      <c r="G656" s="22" t="str">
        <f>VLOOKUP($A656, 'Medical Examinations'!$A:$I, 6, FALSE)</f>
        <v>No</v>
      </c>
      <c r="H656" s="22">
        <f>VLOOKUP($A656,'Medical Examinations'!$A:$L,10, FALSE)</f>
        <v>0</v>
      </c>
      <c r="I656" s="22" t="str">
        <f>VLOOKUP($A656, 'Medical Examinations'!$A:$J, 9, FALSE)</f>
        <v>No</v>
      </c>
      <c r="J656" s="22" t="str">
        <f>VLOOKUP($A656, 'Medical Examinations'!$A:$P, 11, FALSE)</f>
        <v>OBESITY</v>
      </c>
      <c r="K656" s="34">
        <v>30610.0</v>
      </c>
      <c r="L656" s="35">
        <f>VLOOKUP($A656, 'Hospitalisation Details'!$A:$H, 7, FALSE)</f>
        <v>15052.68</v>
      </c>
      <c r="M656" s="22" t="str">
        <f>VLOOKUP($A656, 'Hospitalisation Details'!$A:$L, 12, FALSE)</f>
        <v>tier - 2</v>
      </c>
      <c r="N656" s="22" t="str">
        <f>VLOOKUP($A656, 'Hospitalisation Details'!$A:$M, 13, FALSE)</f>
        <v>tier - 2</v>
      </c>
      <c r="O656" s="22" t="str">
        <f>VLOOKUP($A656, 'Hospitalisation Details'!$A:$N, 14, FALSE)</f>
        <v>R1022</v>
      </c>
      <c r="P656" s="36">
        <f>VLOOKUP($A656, 'Hospitalisation Details'!$A:$O, 15, FALSE)</f>
        <v>54</v>
      </c>
    </row>
    <row r="657" ht="15.75" customHeight="1">
      <c r="A657" s="33" t="s">
        <v>1313</v>
      </c>
      <c r="B657" s="22" t="str">
        <f>VLOOKUP($A657,'Customer Names'!$A:$D,3, FALSE)</f>
        <v>Millett</v>
      </c>
      <c r="C657" s="22">
        <f>VLOOKUP($A657,'Medical Examinations'!$A:$D, 2, FALSE)</f>
        <v>41.3</v>
      </c>
      <c r="D657" s="22">
        <f>VLOOKUP($A657, 'Medical Examinations'!$A:$D,3, FALSE)</f>
        <v>9.59</v>
      </c>
      <c r="E657" s="22" t="str">
        <f>VLOOKUP($A657, 'Medical Examinations'!$A:$D, 4, FALSE)</f>
        <v>No</v>
      </c>
      <c r="F657" s="22" t="str">
        <f>VLOOKUP($A657, 'Medical Examinations'!$A:$J, 5, FALSE)</f>
        <v>No</v>
      </c>
      <c r="G657" s="22" t="str">
        <f>VLOOKUP($A657, 'Medical Examinations'!$A:$I, 6, FALSE)</f>
        <v>No</v>
      </c>
      <c r="H657" s="22">
        <f>VLOOKUP($A657,'Medical Examinations'!$A:$L,10, FALSE)</f>
        <v>0</v>
      </c>
      <c r="I657" s="22" t="str">
        <f>VLOOKUP($A657, 'Medical Examinations'!$A:$J, 9, FALSE)</f>
        <v>No</v>
      </c>
      <c r="J657" s="22" t="str">
        <f>VLOOKUP($A657, 'Medical Examinations'!$A:$P, 11, FALSE)</f>
        <v>OBESITY</v>
      </c>
      <c r="K657" s="34">
        <v>31680.0</v>
      </c>
      <c r="L657" s="35">
        <f>VLOOKUP($A657, 'Hospitalisation Details'!$A:$H, 7, FALSE)</f>
        <v>15038.51</v>
      </c>
      <c r="M657" s="22" t="str">
        <f>VLOOKUP($A657, 'Hospitalisation Details'!$A:$L, 12, FALSE)</f>
        <v>tier - 2</v>
      </c>
      <c r="N657" s="22" t="str">
        <f>VLOOKUP($A657, 'Hospitalisation Details'!$A:$M, 13, FALSE)</f>
        <v>tier - 3</v>
      </c>
      <c r="O657" s="22" t="str">
        <f>VLOOKUP($A657, 'Hospitalisation Details'!$A:$N, 14, FALSE)</f>
        <v>R1023</v>
      </c>
      <c r="P657" s="36">
        <f>VLOOKUP($A657, 'Hospitalisation Details'!$A:$O, 15, FALSE)</f>
        <v>51</v>
      </c>
    </row>
    <row r="658" ht="15.75" customHeight="1">
      <c r="A658" s="33" t="s">
        <v>1315</v>
      </c>
      <c r="B658" s="22" t="str">
        <f>VLOOKUP($A658,'Customer Names'!$A:$D,3, FALSE)</f>
        <v>Haley</v>
      </c>
      <c r="C658" s="22">
        <f>VLOOKUP($A658,'Medical Examinations'!$A:$D, 2, FALSE)</f>
        <v>42.95</v>
      </c>
      <c r="D658" s="22">
        <f>VLOOKUP($A658, 'Medical Examinations'!$A:$D,3, FALSE)</f>
        <v>11.88</v>
      </c>
      <c r="E658" s="22" t="str">
        <f>VLOOKUP($A658, 'Medical Examinations'!$A:$D, 4, FALSE)</f>
        <v>Yes</v>
      </c>
      <c r="F658" s="22" t="str">
        <f>VLOOKUP($A658, 'Medical Examinations'!$A:$J, 5, FALSE)</f>
        <v>No</v>
      </c>
      <c r="G658" s="22" t="str">
        <f>VLOOKUP($A658, 'Medical Examinations'!$A:$I, 6, FALSE)</f>
        <v>No</v>
      </c>
      <c r="H658" s="22">
        <f>VLOOKUP($A658,'Medical Examinations'!$A:$L,10, FALSE)</f>
        <v>2</v>
      </c>
      <c r="I658" s="22" t="str">
        <f>VLOOKUP($A658, 'Medical Examinations'!$A:$J, 9, FALSE)</f>
        <v>No</v>
      </c>
      <c r="J658" s="22" t="str">
        <f>VLOOKUP($A658, 'Medical Examinations'!$A:$P, 11, FALSE)</f>
        <v>OBESITY</v>
      </c>
      <c r="K658" s="34">
        <v>33098.0</v>
      </c>
      <c r="L658" s="35">
        <f>VLOOKUP($A658, 'Hospitalisation Details'!$A:$H, 7, FALSE)</f>
        <v>15026.3</v>
      </c>
      <c r="M658" s="22" t="str">
        <f>VLOOKUP($A658, 'Hospitalisation Details'!$A:$L, 12, FALSE)</f>
        <v>tier - 2</v>
      </c>
      <c r="N658" s="22" t="str">
        <f>VLOOKUP($A658, 'Hospitalisation Details'!$A:$M, 13, FALSE)</f>
        <v>tier - 3</v>
      </c>
      <c r="O658" s="22" t="str">
        <f>VLOOKUP($A658, 'Hospitalisation Details'!$A:$N, 14, FALSE)</f>
        <v>R1011</v>
      </c>
      <c r="P658" s="36">
        <f>VLOOKUP($A658, 'Hospitalisation Details'!$A:$O, 15, FALSE)</f>
        <v>52</v>
      </c>
    </row>
    <row r="659" ht="15.75" customHeight="1">
      <c r="A659" s="33" t="s">
        <v>1317</v>
      </c>
      <c r="B659" s="22" t="str">
        <f>VLOOKUP($A659,'Customer Names'!$A:$D,3, FALSE)</f>
        <v>Ackerman</v>
      </c>
      <c r="C659" s="22">
        <f>VLOOKUP($A659,'Medical Examinations'!$A:$D, 2, FALSE)</f>
        <v>46.96</v>
      </c>
      <c r="D659" s="22">
        <f>VLOOKUP($A659, 'Medical Examinations'!$A:$D,3, FALSE)</f>
        <v>4.64</v>
      </c>
      <c r="E659" s="22" t="str">
        <f>VLOOKUP($A659, 'Medical Examinations'!$A:$D, 4, FALSE)</f>
        <v>No</v>
      </c>
      <c r="F659" s="22" t="str">
        <f>VLOOKUP($A659, 'Medical Examinations'!$A:$J, 5, FALSE)</f>
        <v>No</v>
      </c>
      <c r="G659" s="22" t="str">
        <f>VLOOKUP($A659, 'Medical Examinations'!$A:$I, 6, FALSE)</f>
        <v>Yes</v>
      </c>
      <c r="H659" s="22">
        <f>VLOOKUP($A659,'Medical Examinations'!$A:$L,10, FALSE)</f>
        <v>1</v>
      </c>
      <c r="I659" s="22" t="str">
        <f>VLOOKUP($A659, 'Medical Examinations'!$A:$J, 9, FALSE)</f>
        <v>No</v>
      </c>
      <c r="J659" s="22" t="str">
        <f>VLOOKUP($A659, 'Medical Examinations'!$A:$P, 11, FALSE)</f>
        <v>OBESITY</v>
      </c>
      <c r="K659" s="34">
        <v>31396.0</v>
      </c>
      <c r="L659" s="35">
        <f>VLOOKUP($A659, 'Hospitalisation Details'!$A:$H, 7, FALSE)</f>
        <v>15025.76</v>
      </c>
      <c r="M659" s="22" t="str">
        <f>VLOOKUP($A659, 'Hospitalisation Details'!$A:$L, 12, FALSE)</f>
        <v>tier - 2</v>
      </c>
      <c r="N659" s="22" t="str">
        <f>VLOOKUP($A659, 'Hospitalisation Details'!$A:$M, 13, FALSE)</f>
        <v>tier - 1</v>
      </c>
      <c r="O659" s="22" t="str">
        <f>VLOOKUP($A659, 'Hospitalisation Details'!$A:$N, 14, FALSE)</f>
        <v>R1011</v>
      </c>
      <c r="P659" s="36">
        <f>VLOOKUP($A659, 'Hospitalisation Details'!$A:$O, 15, FALSE)</f>
        <v>43</v>
      </c>
    </row>
    <row r="660" ht="15.75" customHeight="1">
      <c r="A660" s="33" t="s">
        <v>1319</v>
      </c>
      <c r="B660" s="22" t="str">
        <f>VLOOKUP($A660,'Customer Names'!$A:$D,3, FALSE)</f>
        <v>Valdez</v>
      </c>
      <c r="C660" s="22">
        <f>VLOOKUP($A660,'Medical Examinations'!$A:$D, 2, FALSE)</f>
        <v>30.495</v>
      </c>
      <c r="D660" s="22">
        <f>VLOOKUP($A660, 'Medical Examinations'!$A:$D,3, FALSE)</f>
        <v>9.53</v>
      </c>
      <c r="E660" s="22" t="str">
        <f>VLOOKUP($A660, 'Medical Examinations'!$A:$D, 4, FALSE)</f>
        <v>No</v>
      </c>
      <c r="F660" s="22" t="str">
        <f>VLOOKUP($A660, 'Medical Examinations'!$A:$J, 5, FALSE)</f>
        <v>No</v>
      </c>
      <c r="G660" s="22" t="str">
        <f>VLOOKUP($A660, 'Medical Examinations'!$A:$I, 6, FALSE)</f>
        <v>No</v>
      </c>
      <c r="H660" s="22">
        <f>VLOOKUP($A660,'Medical Examinations'!$A:$L,10, FALSE)</f>
        <v>0</v>
      </c>
      <c r="I660" s="22" t="str">
        <f>VLOOKUP($A660, 'Medical Examinations'!$A:$J, 9, FALSE)</f>
        <v>No</v>
      </c>
      <c r="J660" s="22" t="str">
        <f>VLOOKUP($A660, 'Medical Examinations'!$A:$P, 11, FALSE)</f>
        <v>OBESITY</v>
      </c>
      <c r="K660" s="34">
        <v>31370.0</v>
      </c>
      <c r="L660" s="35">
        <f>VLOOKUP($A660, 'Hospitalisation Details'!$A:$H, 7, FALSE)</f>
        <v>15019.76</v>
      </c>
      <c r="M660" s="22" t="str">
        <f>VLOOKUP($A660, 'Hospitalisation Details'!$A:$L, 12, FALSE)</f>
        <v>tier - 2</v>
      </c>
      <c r="N660" s="22" t="str">
        <f>VLOOKUP($A660, 'Hospitalisation Details'!$A:$M, 13, FALSE)</f>
        <v>tier - 2</v>
      </c>
      <c r="O660" s="22" t="str">
        <f>VLOOKUP($A660, 'Hospitalisation Details'!$A:$N, 14, FALSE)</f>
        <v>R1012</v>
      </c>
      <c r="P660" s="36">
        <f>VLOOKUP($A660, 'Hospitalisation Details'!$A:$O, 15, FALSE)</f>
        <v>62</v>
      </c>
    </row>
    <row r="661" ht="15.75" customHeight="1">
      <c r="A661" s="33" t="s">
        <v>1321</v>
      </c>
      <c r="B661" s="22" t="str">
        <f>VLOOKUP($A661,'Customer Names'!$A:$D,3, FALSE)</f>
        <v>Michaud</v>
      </c>
      <c r="C661" s="22">
        <f>VLOOKUP($A661,'Medical Examinations'!$A:$D, 2, FALSE)</f>
        <v>17.955</v>
      </c>
      <c r="D661" s="22">
        <f>VLOOKUP($A661, 'Medical Examinations'!$A:$D,3, FALSE)</f>
        <v>5.29</v>
      </c>
      <c r="E661" s="22" t="str">
        <f>VLOOKUP($A661, 'Medical Examinations'!$A:$D, 4, FALSE)</f>
        <v>Yes</v>
      </c>
      <c r="F661" s="22" t="str">
        <f>VLOOKUP($A661, 'Medical Examinations'!$A:$J, 5, FALSE)</f>
        <v>No</v>
      </c>
      <c r="G661" s="22" t="str">
        <f>VLOOKUP($A661, 'Medical Examinations'!$A:$I, 6, FALSE)</f>
        <v>No</v>
      </c>
      <c r="H661" s="22">
        <f>VLOOKUP($A661,'Medical Examinations'!$A:$L,10, FALSE)</f>
        <v>1</v>
      </c>
      <c r="I661" s="22" t="str">
        <f>VLOOKUP($A661, 'Medical Examinations'!$A:$J, 9, FALSE)</f>
        <v>Yes</v>
      </c>
      <c r="J661" s="22" t="str">
        <f>VLOOKUP($A661, 'Medical Examinations'!$A:$P, 11, FALSE)</f>
        <v>UNDERWEIGHT</v>
      </c>
      <c r="K661" s="34">
        <v>38195.0</v>
      </c>
      <c r="L661" s="35">
        <f>VLOOKUP($A661, 'Hospitalisation Details'!$A:$H, 7, FALSE)</f>
        <v>15006.58</v>
      </c>
      <c r="M661" s="22" t="str">
        <f>VLOOKUP($A661, 'Hospitalisation Details'!$A:$L, 12, FALSE)</f>
        <v>tier - 2</v>
      </c>
      <c r="N661" s="22" t="str">
        <f>VLOOKUP($A661, 'Hospitalisation Details'!$A:$M, 13, FALSE)</f>
        <v>tier - 2</v>
      </c>
      <c r="O661" s="22" t="str">
        <f>VLOOKUP($A661, 'Hospitalisation Details'!$A:$N, 14, FALSE)</f>
        <v>R1024</v>
      </c>
      <c r="P661" s="36">
        <f>VLOOKUP($A661, 'Hospitalisation Details'!$A:$O, 15, FALSE)</f>
        <v>27</v>
      </c>
    </row>
    <row r="662" ht="15.75" customHeight="1">
      <c r="A662" s="33" t="s">
        <v>1323</v>
      </c>
      <c r="B662" s="22" t="str">
        <f>VLOOKUP($A662,'Customer Names'!$A:$D,3, FALSE)</f>
        <v>Gunnink</v>
      </c>
      <c r="C662" s="22">
        <f>VLOOKUP($A662,'Medical Examinations'!$A:$D, 2, FALSE)</f>
        <v>25.6</v>
      </c>
      <c r="D662" s="22">
        <f>VLOOKUP($A662, 'Medical Examinations'!$A:$D,3, FALSE)</f>
        <v>10.95</v>
      </c>
      <c r="E662" s="22" t="str">
        <f>VLOOKUP($A662, 'Medical Examinations'!$A:$D, 4, FALSE)</f>
        <v>No</v>
      </c>
      <c r="F662" s="22" t="str">
        <f>VLOOKUP($A662, 'Medical Examinations'!$A:$J, 5, FALSE)</f>
        <v>No</v>
      </c>
      <c r="G662" s="22" t="str">
        <f>VLOOKUP($A662, 'Medical Examinations'!$A:$I, 6, FALSE)</f>
        <v>No</v>
      </c>
      <c r="H662" s="22">
        <f>VLOOKUP($A662,'Medical Examinations'!$A:$L,10, FALSE)</f>
        <v>3</v>
      </c>
      <c r="I662" s="22" t="str">
        <f>VLOOKUP($A662, 'Medical Examinations'!$A:$J, 9, FALSE)</f>
        <v>No</v>
      </c>
      <c r="J662" s="22" t="str">
        <f>VLOOKUP($A662, 'Medical Examinations'!$A:$P, 11, FALSE)</f>
        <v>OVERWEIGHT</v>
      </c>
      <c r="K662" s="34">
        <v>25450.0</v>
      </c>
      <c r="L662" s="35">
        <f>VLOOKUP($A662, 'Hospitalisation Details'!$A:$H, 7, FALSE)</f>
        <v>14988.43</v>
      </c>
      <c r="M662" s="22" t="str">
        <f>VLOOKUP($A662, 'Hospitalisation Details'!$A:$L, 12, FALSE)</f>
        <v>tier - 2</v>
      </c>
      <c r="N662" s="22" t="str">
        <f>VLOOKUP($A662, 'Hospitalisation Details'!$A:$M, 13, FALSE)</f>
        <v>tier - 3</v>
      </c>
      <c r="O662" s="22" t="str">
        <f>VLOOKUP($A662, 'Hospitalisation Details'!$A:$N, 14, FALSE)</f>
        <v>R1011</v>
      </c>
      <c r="P662" s="36">
        <f>VLOOKUP($A662, 'Hospitalisation Details'!$A:$O, 15, FALSE)</f>
        <v>64</v>
      </c>
    </row>
    <row r="663" ht="15.75" customHeight="1">
      <c r="A663" s="33" t="s">
        <v>1325</v>
      </c>
      <c r="B663" s="22" t="str">
        <f>VLOOKUP($A663,'Customer Names'!$A:$D,3, FALSE)</f>
        <v>Knight</v>
      </c>
      <c r="C663" s="22">
        <f>VLOOKUP($A663,'Medical Examinations'!$A:$D, 2, FALSE)</f>
        <v>34.21</v>
      </c>
      <c r="D663" s="22">
        <f>VLOOKUP($A663, 'Medical Examinations'!$A:$D,3, FALSE)</f>
        <v>9.17</v>
      </c>
      <c r="E663" s="22" t="str">
        <f>VLOOKUP($A663, 'Medical Examinations'!$A:$D, 4, FALSE)</f>
        <v>No</v>
      </c>
      <c r="F663" s="22" t="str">
        <f>VLOOKUP($A663, 'Medical Examinations'!$A:$J, 5, FALSE)</f>
        <v>No</v>
      </c>
      <c r="G663" s="22" t="str">
        <f>VLOOKUP($A663, 'Medical Examinations'!$A:$I, 6, FALSE)</f>
        <v>No</v>
      </c>
      <c r="H663" s="22">
        <f>VLOOKUP($A663,'Medical Examinations'!$A:$L,10, FALSE)</f>
        <v>0</v>
      </c>
      <c r="I663" s="22" t="str">
        <f>VLOOKUP($A663, 'Medical Examinations'!$A:$J, 9, FALSE)</f>
        <v>No</v>
      </c>
      <c r="J663" s="22" t="str">
        <f>VLOOKUP($A663, 'Medical Examinations'!$A:$P, 11, FALSE)</f>
        <v>OBESITY</v>
      </c>
      <c r="K663" s="34">
        <v>27289.0</v>
      </c>
      <c r="L663" s="35">
        <f>VLOOKUP($A663, 'Hospitalisation Details'!$A:$H, 7, FALSE)</f>
        <v>14945.34</v>
      </c>
      <c r="M663" s="22" t="str">
        <f>VLOOKUP($A663, 'Hospitalisation Details'!$A:$L, 12, FALSE)</f>
        <v>tier - 2</v>
      </c>
      <c r="N663" s="22" t="str">
        <f>VLOOKUP($A663, 'Hospitalisation Details'!$A:$M, 13, FALSE)</f>
        <v>tier - 1</v>
      </c>
      <c r="O663" s="22" t="str">
        <f>VLOOKUP($A663, 'Hospitalisation Details'!$A:$N, 14, FALSE)</f>
        <v>R1021</v>
      </c>
      <c r="P663" s="36">
        <f>VLOOKUP($A663, 'Hospitalisation Details'!$A:$O, 15, FALSE)</f>
        <v>60</v>
      </c>
    </row>
    <row r="664" ht="15.75" customHeight="1">
      <c r="A664" s="33" t="s">
        <v>1327</v>
      </c>
      <c r="B664" s="22" t="str">
        <f>VLOOKUP($A664,'Customer Names'!$A:$D,3, FALSE)</f>
        <v>Grosscup</v>
      </c>
      <c r="C664" s="22">
        <f>VLOOKUP($A664,'Medical Examinations'!$A:$D, 2, FALSE)</f>
        <v>39.74</v>
      </c>
      <c r="D664" s="22">
        <f>VLOOKUP($A664, 'Medical Examinations'!$A:$D,3, FALSE)</f>
        <v>7.39</v>
      </c>
      <c r="E664" s="22" t="str">
        <f>VLOOKUP($A664, 'Medical Examinations'!$A:$D, 4, FALSE)</f>
        <v>No</v>
      </c>
      <c r="F664" s="22" t="str">
        <f>VLOOKUP($A664, 'Medical Examinations'!$A:$J, 5, FALSE)</f>
        <v>No</v>
      </c>
      <c r="G664" s="22" t="str">
        <f>VLOOKUP($A664, 'Medical Examinations'!$A:$I, 6, FALSE)</f>
        <v>No</v>
      </c>
      <c r="H664" s="22">
        <f>VLOOKUP($A664,'Medical Examinations'!$A:$L,10, FALSE)</f>
        <v>0</v>
      </c>
      <c r="I664" s="22" t="str">
        <f>VLOOKUP($A664, 'Medical Examinations'!$A:$J, 9, FALSE)</f>
        <v>No</v>
      </c>
      <c r="J664" s="22" t="str">
        <f>VLOOKUP($A664, 'Medical Examinations'!$A:$P, 11, FALSE)</f>
        <v>OBESITY</v>
      </c>
      <c r="K664" s="34">
        <v>32426.0</v>
      </c>
      <c r="L664" s="35">
        <f>VLOOKUP($A664, 'Hospitalisation Details'!$A:$H, 7, FALSE)</f>
        <v>14926.97</v>
      </c>
      <c r="M664" s="22" t="str">
        <f>VLOOKUP($A664, 'Hospitalisation Details'!$A:$L, 12, FALSE)</f>
        <v>tier - 2</v>
      </c>
      <c r="N664" s="22" t="str">
        <f>VLOOKUP($A664, 'Hospitalisation Details'!$A:$M, 13, FALSE)</f>
        <v>tier - 2</v>
      </c>
      <c r="O664" s="22" t="str">
        <f>VLOOKUP($A664, 'Hospitalisation Details'!$A:$N, 14, FALSE)</f>
        <v>R1012</v>
      </c>
      <c r="P664" s="36">
        <f>VLOOKUP($A664, 'Hospitalisation Details'!$A:$O, 15, FALSE)</f>
        <v>54</v>
      </c>
    </row>
    <row r="665" ht="15.75" customHeight="1">
      <c r="A665" s="33" t="s">
        <v>1329</v>
      </c>
      <c r="B665" s="22" t="str">
        <f>VLOOKUP($A665,'Customer Names'!$A:$D,3, FALSE)</f>
        <v>Koniuch</v>
      </c>
      <c r="C665" s="22">
        <f>VLOOKUP($A665,'Medical Examinations'!$A:$D, 2, FALSE)</f>
        <v>49.53</v>
      </c>
      <c r="D665" s="22">
        <f>VLOOKUP($A665, 'Medical Examinations'!$A:$D,3, FALSE)</f>
        <v>9.13</v>
      </c>
      <c r="E665" s="22" t="str">
        <f>VLOOKUP($A665, 'Medical Examinations'!$A:$D, 4, FALSE)</f>
        <v>Yes</v>
      </c>
      <c r="F665" s="22" t="str">
        <f>VLOOKUP($A665, 'Medical Examinations'!$A:$J, 5, FALSE)</f>
        <v>No</v>
      </c>
      <c r="G665" s="22" t="str">
        <f>VLOOKUP($A665, 'Medical Examinations'!$A:$I, 6, FALSE)</f>
        <v>No</v>
      </c>
      <c r="H665" s="22">
        <f>VLOOKUP($A665,'Medical Examinations'!$A:$L,10, FALSE)</f>
        <v>0</v>
      </c>
      <c r="I665" s="22" t="str">
        <f>VLOOKUP($A665, 'Medical Examinations'!$A:$J, 9, FALSE)</f>
        <v>No</v>
      </c>
      <c r="J665" s="22" t="str">
        <f>VLOOKUP($A665, 'Medical Examinations'!$A:$P, 11, FALSE)</f>
        <v>OBESITY</v>
      </c>
      <c r="K665" s="34">
        <v>35250.0</v>
      </c>
      <c r="L665" s="35">
        <f>VLOOKUP($A665, 'Hospitalisation Details'!$A:$H, 7, FALSE)</f>
        <v>14908.27</v>
      </c>
      <c r="M665" s="22" t="str">
        <f>VLOOKUP($A665, 'Hospitalisation Details'!$A:$L, 12, FALSE)</f>
        <v>tier - 2</v>
      </c>
      <c r="N665" s="22" t="str">
        <f>VLOOKUP($A665, 'Hospitalisation Details'!$A:$M, 13, FALSE)</f>
        <v>tier - 1</v>
      </c>
      <c r="O665" s="22" t="str">
        <f>VLOOKUP($A665, 'Hospitalisation Details'!$A:$N, 14, FALSE)</f>
        <v>R1011</v>
      </c>
      <c r="P665" s="36">
        <f>VLOOKUP($A665, 'Hospitalisation Details'!$A:$O, 15, FALSE)</f>
        <v>41</v>
      </c>
    </row>
    <row r="666" ht="15.75" customHeight="1">
      <c r="A666" s="33" t="s">
        <v>1331</v>
      </c>
      <c r="B666" s="22" t="str">
        <f>VLOOKUP($A666,'Customer Names'!$A:$D,3, FALSE)</f>
        <v>Heitzman</v>
      </c>
      <c r="C666" s="22">
        <f>VLOOKUP($A666,'Medical Examinations'!$A:$D, 2, FALSE)</f>
        <v>39.33</v>
      </c>
      <c r="D666" s="22">
        <f>VLOOKUP($A666, 'Medical Examinations'!$A:$D,3, FALSE)</f>
        <v>10.4</v>
      </c>
      <c r="E666" s="22" t="str">
        <f>VLOOKUP($A666, 'Medical Examinations'!$A:$D, 4, FALSE)</f>
        <v>No</v>
      </c>
      <c r="F666" s="22" t="str">
        <f>VLOOKUP($A666, 'Medical Examinations'!$A:$J, 5, FALSE)</f>
        <v>No</v>
      </c>
      <c r="G666" s="22" t="str">
        <f>VLOOKUP($A666, 'Medical Examinations'!$A:$I, 6, FALSE)</f>
        <v>No</v>
      </c>
      <c r="H666" s="22">
        <f>VLOOKUP($A666,'Medical Examinations'!$A:$L,10, FALSE)</f>
        <v>3</v>
      </c>
      <c r="I666" s="22" t="str">
        <f>VLOOKUP($A666, 'Medical Examinations'!$A:$J, 9, FALSE)</f>
        <v>No</v>
      </c>
      <c r="J666" s="22" t="str">
        <f>VLOOKUP($A666, 'Medical Examinations'!$A:$P, 11, FALSE)</f>
        <v>OBESITY</v>
      </c>
      <c r="K666" s="34">
        <v>29824.0</v>
      </c>
      <c r="L666" s="35">
        <f>VLOOKUP($A666, 'Hospitalisation Details'!$A:$H, 7, FALSE)</f>
        <v>14901.52</v>
      </c>
      <c r="M666" s="22" t="str">
        <f>VLOOKUP($A666, 'Hospitalisation Details'!$A:$L, 12, FALSE)</f>
        <v>tier - 2</v>
      </c>
      <c r="N666" s="22" t="str">
        <f>VLOOKUP($A666, 'Hospitalisation Details'!$A:$M, 13, FALSE)</f>
        <v>tier - 2</v>
      </c>
      <c r="O666" s="22" t="str">
        <f>VLOOKUP($A666, 'Hospitalisation Details'!$A:$N, 14, FALSE)</f>
        <v>R1024</v>
      </c>
      <c r="P666" s="36">
        <f>VLOOKUP($A666, 'Hospitalisation Details'!$A:$O, 15, FALSE)</f>
        <v>64</v>
      </c>
    </row>
    <row r="667" ht="15.75" customHeight="1">
      <c r="A667" s="33" t="s">
        <v>1333</v>
      </c>
      <c r="B667" s="22" t="str">
        <f>VLOOKUP($A667,'Customer Names'!$A:$D,3, FALSE)</f>
        <v>Tatton</v>
      </c>
      <c r="C667" s="22">
        <f>VLOOKUP($A667,'Medical Examinations'!$A:$D, 2, FALSE)</f>
        <v>39.98</v>
      </c>
      <c r="D667" s="22">
        <f>VLOOKUP($A667, 'Medical Examinations'!$A:$D,3, FALSE)</f>
        <v>9.46</v>
      </c>
      <c r="E667" s="22" t="str">
        <f>VLOOKUP($A667, 'Medical Examinations'!$A:$D, 4, FALSE)</f>
        <v>Yes</v>
      </c>
      <c r="F667" s="22" t="str">
        <f>VLOOKUP($A667, 'Medical Examinations'!$A:$J, 5, FALSE)</f>
        <v>No</v>
      </c>
      <c r="G667" s="22" t="str">
        <f>VLOOKUP($A667, 'Medical Examinations'!$A:$I, 6, FALSE)</f>
        <v>No</v>
      </c>
      <c r="H667" s="22">
        <f>VLOOKUP($A667,'Medical Examinations'!$A:$L,10, FALSE)</f>
        <v>2</v>
      </c>
      <c r="I667" s="22" t="str">
        <f>VLOOKUP($A667, 'Medical Examinations'!$A:$J, 9, FALSE)</f>
        <v>No</v>
      </c>
      <c r="J667" s="22" t="str">
        <f>VLOOKUP($A667, 'Medical Examinations'!$A:$P, 11, FALSE)</f>
        <v>OBESITY</v>
      </c>
      <c r="K667" s="34">
        <v>29914.0</v>
      </c>
      <c r="L667" s="35">
        <f>VLOOKUP($A667, 'Hospitalisation Details'!$A:$H, 7, FALSE)</f>
        <v>14847.63</v>
      </c>
      <c r="M667" s="22" t="str">
        <f>VLOOKUP($A667, 'Hospitalisation Details'!$A:$L, 12, FALSE)</f>
        <v>tier - 2</v>
      </c>
      <c r="N667" s="22" t="str">
        <f>VLOOKUP($A667, 'Hospitalisation Details'!$A:$M, 13, FALSE)</f>
        <v>tier - 2</v>
      </c>
      <c r="O667" s="22" t="str">
        <f>VLOOKUP($A667, 'Hospitalisation Details'!$A:$N, 14, FALSE)</f>
        <v>R1023</v>
      </c>
      <c r="P667" s="36">
        <f>VLOOKUP($A667, 'Hospitalisation Details'!$A:$O, 15, FALSE)</f>
        <v>52</v>
      </c>
    </row>
    <row r="668" ht="15.75" customHeight="1">
      <c r="A668" s="33" t="s">
        <v>1335</v>
      </c>
      <c r="B668" s="22" t="str">
        <f>VLOOKUP($A668,'Customer Names'!$A:$D,3, FALSE)</f>
        <v>Flanagan</v>
      </c>
      <c r="C668" s="22">
        <f>VLOOKUP($A668,'Medical Examinations'!$A:$D, 2, FALSE)</f>
        <v>46.51</v>
      </c>
      <c r="D668" s="22">
        <f>VLOOKUP($A668, 'Medical Examinations'!$A:$D,3, FALSE)</f>
        <v>8.69</v>
      </c>
      <c r="E668" s="22" t="str">
        <f>VLOOKUP($A668, 'Medical Examinations'!$A:$D, 4, FALSE)</f>
        <v>Yes</v>
      </c>
      <c r="F668" s="22" t="str">
        <f>VLOOKUP($A668, 'Medical Examinations'!$A:$J, 5, FALSE)</f>
        <v>No</v>
      </c>
      <c r="G668" s="22" t="str">
        <f>VLOOKUP($A668, 'Medical Examinations'!$A:$I, 6, FALSE)</f>
        <v>No</v>
      </c>
      <c r="H668" s="22">
        <f>VLOOKUP($A668,'Medical Examinations'!$A:$L,10, FALSE)</f>
        <v>0</v>
      </c>
      <c r="I668" s="22" t="str">
        <f>VLOOKUP($A668, 'Medical Examinations'!$A:$J, 9, FALSE)</f>
        <v>No</v>
      </c>
      <c r="J668" s="22" t="str">
        <f>VLOOKUP($A668, 'Medical Examinations'!$A:$P, 11, FALSE)</f>
        <v>OBESITY</v>
      </c>
      <c r="K668" s="34">
        <v>34258.0</v>
      </c>
      <c r="L668" s="35">
        <f>VLOOKUP($A668, 'Hospitalisation Details'!$A:$H, 7, FALSE)</f>
        <v>14843.96</v>
      </c>
      <c r="M668" s="22" t="str">
        <f>VLOOKUP($A668, 'Hospitalisation Details'!$A:$L, 12, FALSE)</f>
        <v>tier - 2</v>
      </c>
      <c r="N668" s="22" t="str">
        <f>VLOOKUP($A668, 'Hospitalisation Details'!$A:$M, 13, FALSE)</f>
        <v>tier - 3</v>
      </c>
      <c r="O668" s="22" t="str">
        <f>VLOOKUP($A668, 'Hospitalisation Details'!$A:$N, 14, FALSE)</f>
        <v>R1026</v>
      </c>
      <c r="P668" s="36">
        <f>VLOOKUP($A668, 'Hospitalisation Details'!$A:$O, 15, FALSE)</f>
        <v>42</v>
      </c>
    </row>
    <row r="669" ht="15.75" customHeight="1">
      <c r="A669" s="33" t="s">
        <v>1337</v>
      </c>
      <c r="B669" s="22" t="str">
        <f>VLOOKUP($A669,'Customer Names'!$A:$D,3, FALSE)</f>
        <v>Funk</v>
      </c>
      <c r="C669" s="22">
        <f>VLOOKUP($A669,'Medical Examinations'!$A:$D, 2, FALSE)</f>
        <v>43.58</v>
      </c>
      <c r="D669" s="22">
        <f>VLOOKUP($A669, 'Medical Examinations'!$A:$D,3, FALSE)</f>
        <v>4.23</v>
      </c>
      <c r="E669" s="22" t="str">
        <f>VLOOKUP($A669, 'Medical Examinations'!$A:$D, 4, FALSE)</f>
        <v>No</v>
      </c>
      <c r="F669" s="22" t="str">
        <f>VLOOKUP($A669, 'Medical Examinations'!$A:$J, 5, FALSE)</f>
        <v>No</v>
      </c>
      <c r="G669" s="22" t="str">
        <f>VLOOKUP($A669, 'Medical Examinations'!$A:$I, 6, FALSE)</f>
        <v>Yes</v>
      </c>
      <c r="H669" s="22">
        <f>VLOOKUP($A669,'Medical Examinations'!$A:$L,10, FALSE)</f>
        <v>1</v>
      </c>
      <c r="I669" s="22" t="str">
        <f>VLOOKUP($A669, 'Medical Examinations'!$A:$J, 9, FALSE)</f>
        <v>No</v>
      </c>
      <c r="J669" s="22" t="str">
        <f>VLOOKUP($A669, 'Medical Examinations'!$A:$P, 11, FALSE)</f>
        <v>OBESITY</v>
      </c>
      <c r="K669" s="34">
        <v>29767.0</v>
      </c>
      <c r="L669" s="35">
        <f>VLOOKUP($A669, 'Hospitalisation Details'!$A:$H, 7, FALSE)</f>
        <v>14839.34</v>
      </c>
      <c r="M669" s="22" t="str">
        <f>VLOOKUP($A669, 'Hospitalisation Details'!$A:$L, 12, FALSE)</f>
        <v>tier - 2</v>
      </c>
      <c r="N669" s="22" t="str">
        <f>VLOOKUP($A669, 'Hospitalisation Details'!$A:$M, 13, FALSE)</f>
        <v>tier - 3</v>
      </c>
      <c r="O669" s="22" t="str">
        <f>VLOOKUP($A669, 'Hospitalisation Details'!$A:$N, 14, FALSE)</f>
        <v>R1026</v>
      </c>
      <c r="P669" s="36">
        <f>VLOOKUP($A669, 'Hospitalisation Details'!$A:$O, 15, FALSE)</f>
        <v>43</v>
      </c>
    </row>
    <row r="670" ht="15.75" customHeight="1">
      <c r="A670" s="33" t="s">
        <v>1339</v>
      </c>
      <c r="B670" s="22" t="str">
        <f>VLOOKUP($A670,'Customer Names'!$A:$D,3, FALSE)</f>
        <v>Davenport</v>
      </c>
      <c r="C670" s="22">
        <f>VLOOKUP($A670,'Medical Examinations'!$A:$D, 2, FALSE)</f>
        <v>42.28</v>
      </c>
      <c r="D670" s="22">
        <f>VLOOKUP($A670, 'Medical Examinations'!$A:$D,3, FALSE)</f>
        <v>9.16</v>
      </c>
      <c r="E670" s="22" t="str">
        <f>VLOOKUP($A670, 'Medical Examinations'!$A:$D, 4, FALSE)</f>
        <v>Yes</v>
      </c>
      <c r="F670" s="22" t="str">
        <f>VLOOKUP($A670, 'Medical Examinations'!$A:$J, 5, FALSE)</f>
        <v>No</v>
      </c>
      <c r="G670" s="22" t="str">
        <f>VLOOKUP($A670, 'Medical Examinations'!$A:$I, 6, FALSE)</f>
        <v>No</v>
      </c>
      <c r="H670" s="22">
        <f>VLOOKUP($A670,'Medical Examinations'!$A:$L,10, FALSE)</f>
        <v>1</v>
      </c>
      <c r="I670" s="22" t="str">
        <f>VLOOKUP($A670, 'Medical Examinations'!$A:$J, 9, FALSE)</f>
        <v>No</v>
      </c>
      <c r="J670" s="22" t="str">
        <f>VLOOKUP($A670, 'Medical Examinations'!$A:$P, 11, FALSE)</f>
        <v>OBESITY</v>
      </c>
      <c r="K670" s="34">
        <v>30950.0</v>
      </c>
      <c r="L670" s="35">
        <f>VLOOKUP($A670, 'Hospitalisation Details'!$A:$H, 7, FALSE)</f>
        <v>14819</v>
      </c>
      <c r="M670" s="22" t="str">
        <f>VLOOKUP($A670, 'Hospitalisation Details'!$A:$L, 12, FALSE)</f>
        <v>tier - 2</v>
      </c>
      <c r="N670" s="22" t="str">
        <f>VLOOKUP($A670, 'Hospitalisation Details'!$A:$M, 13, FALSE)</f>
        <v>tier - 3</v>
      </c>
      <c r="O670" s="22" t="str">
        <f>VLOOKUP($A670, 'Hospitalisation Details'!$A:$N, 14, FALSE)</f>
        <v>R1023</v>
      </c>
      <c r="P670" s="36">
        <f>VLOOKUP($A670, 'Hospitalisation Details'!$A:$O, 15, FALSE)</f>
        <v>47</v>
      </c>
    </row>
    <row r="671" ht="15.75" customHeight="1">
      <c r="A671" s="33" t="s">
        <v>1341</v>
      </c>
      <c r="B671" s="22" t="str">
        <f>VLOOKUP($A671,'Customer Names'!$A:$D,3, FALSE)</f>
        <v>Nicholson</v>
      </c>
      <c r="C671" s="22">
        <f>VLOOKUP($A671,'Medical Examinations'!$A:$D, 2, FALSE)</f>
        <v>35.52</v>
      </c>
      <c r="D671" s="22">
        <f>VLOOKUP($A671, 'Medical Examinations'!$A:$D,3, FALSE)</f>
        <v>8.26</v>
      </c>
      <c r="E671" s="22" t="str">
        <f>VLOOKUP($A671, 'Medical Examinations'!$A:$D, 4, FALSE)</f>
        <v>No</v>
      </c>
      <c r="F671" s="22" t="str">
        <f>VLOOKUP($A671, 'Medical Examinations'!$A:$J, 5, FALSE)</f>
        <v>No</v>
      </c>
      <c r="G671" s="22" t="str">
        <f>VLOOKUP($A671, 'Medical Examinations'!$A:$I, 6, FALSE)</f>
        <v>No</v>
      </c>
      <c r="H671" s="22">
        <f>VLOOKUP($A671,'Medical Examinations'!$A:$L,10, FALSE)</f>
        <v>0</v>
      </c>
      <c r="I671" s="22" t="str">
        <f>VLOOKUP($A671, 'Medical Examinations'!$A:$J, 9, FALSE)</f>
        <v>No</v>
      </c>
      <c r="J671" s="22" t="str">
        <f>VLOOKUP($A671, 'Medical Examinations'!$A:$P, 11, FALSE)</f>
        <v>OBESITY</v>
      </c>
      <c r="K671" s="34">
        <v>34989.0</v>
      </c>
      <c r="L671" s="35">
        <f>VLOOKUP($A671, 'Hospitalisation Details'!$A:$H, 7, FALSE)</f>
        <v>14750.42</v>
      </c>
      <c r="M671" s="22" t="str">
        <f>VLOOKUP($A671, 'Hospitalisation Details'!$A:$L, 12, FALSE)</f>
        <v>tier - 2</v>
      </c>
      <c r="N671" s="22" t="str">
        <f>VLOOKUP($A671, 'Hospitalisation Details'!$A:$M, 13, FALSE)</f>
        <v>tier - 2</v>
      </c>
      <c r="O671" s="22" t="str">
        <f>VLOOKUP($A671, 'Hospitalisation Details'!$A:$N, 14, FALSE)</f>
        <v>R1026</v>
      </c>
      <c r="P671" s="36">
        <f>VLOOKUP($A671, 'Hospitalisation Details'!$A:$O, 15, FALSE)</f>
        <v>57</v>
      </c>
    </row>
    <row r="672" ht="15.75" customHeight="1">
      <c r="A672" s="33" t="s">
        <v>1343</v>
      </c>
      <c r="B672" s="22" t="str">
        <f>VLOOKUP($A672,'Customer Names'!$A:$D,3, FALSE)</f>
        <v>Lindbloom</v>
      </c>
      <c r="C672" s="22">
        <f>VLOOKUP($A672,'Medical Examinations'!$A:$D, 2, FALSE)</f>
        <v>33.6</v>
      </c>
      <c r="D672" s="22">
        <f>VLOOKUP($A672, 'Medical Examinations'!$A:$D,3, FALSE)</f>
        <v>11.25</v>
      </c>
      <c r="E672" s="22" t="str">
        <f>VLOOKUP($A672, 'Medical Examinations'!$A:$D, 4, FALSE)</f>
        <v>No</v>
      </c>
      <c r="F672" s="22" t="str">
        <f>VLOOKUP($A672, 'Medical Examinations'!$A:$J, 5, FALSE)</f>
        <v>No</v>
      </c>
      <c r="G672" s="22" t="str">
        <f>VLOOKUP($A672, 'Medical Examinations'!$A:$I, 6, FALSE)</f>
        <v>No</v>
      </c>
      <c r="H672" s="22">
        <f>VLOOKUP($A672,'Medical Examinations'!$A:$L,10, FALSE)</f>
        <v>0</v>
      </c>
      <c r="I672" s="22" t="str">
        <f>VLOOKUP($A672, 'Medical Examinations'!$A:$J, 9, FALSE)</f>
        <v>No</v>
      </c>
      <c r="J672" s="22" t="str">
        <f>VLOOKUP($A672, 'Medical Examinations'!$A:$P, 11, FALSE)</f>
        <v>OBESITY</v>
      </c>
      <c r="K672" s="34">
        <v>25852.0</v>
      </c>
      <c r="L672" s="35">
        <f>VLOOKUP($A672, 'Hospitalisation Details'!$A:$H, 7, FALSE)</f>
        <v>14738.43</v>
      </c>
      <c r="M672" s="22" t="str">
        <f>VLOOKUP($A672, 'Hospitalisation Details'!$A:$L, 12, FALSE)</f>
        <v>tier - 2</v>
      </c>
      <c r="N672" s="22" t="str">
        <f>VLOOKUP($A672, 'Hospitalisation Details'!$A:$M, 13, FALSE)</f>
        <v>tier - 3</v>
      </c>
      <c r="O672" s="22" t="str">
        <f>VLOOKUP($A672, 'Hospitalisation Details'!$A:$N, 14, FALSE)</f>
        <v>R1021</v>
      </c>
      <c r="P672" s="36">
        <f>VLOOKUP($A672, 'Hospitalisation Details'!$A:$O, 15, FALSE)</f>
        <v>60</v>
      </c>
    </row>
    <row r="673" ht="15.75" customHeight="1">
      <c r="A673" s="33" t="s">
        <v>1345</v>
      </c>
      <c r="B673" s="22" t="str">
        <f>VLOOKUP($A673,'Customer Names'!$A:$D,3, FALSE)</f>
        <v>Wijayaratne</v>
      </c>
      <c r="C673" s="22">
        <f>VLOOKUP($A673,'Medical Examinations'!$A:$D, 2, FALSE)</f>
        <v>22.42</v>
      </c>
      <c r="D673" s="22">
        <f>VLOOKUP($A673, 'Medical Examinations'!$A:$D,3, FALSE)</f>
        <v>6.74</v>
      </c>
      <c r="E673" s="22" t="str">
        <f>VLOOKUP($A673, 'Medical Examinations'!$A:$D, 4, FALSE)</f>
        <v>No</v>
      </c>
      <c r="F673" s="22" t="str">
        <f>VLOOKUP($A673, 'Medical Examinations'!$A:$J, 5, FALSE)</f>
        <v>No</v>
      </c>
      <c r="G673" s="22" t="str">
        <f>VLOOKUP($A673, 'Medical Examinations'!$A:$I, 6, FALSE)</f>
        <v>No</v>
      </c>
      <c r="H673" s="22">
        <f>VLOOKUP($A673,'Medical Examinations'!$A:$L,10, FALSE)</f>
        <v>0</v>
      </c>
      <c r="I673" s="22" t="str">
        <f>VLOOKUP($A673, 'Medical Examinations'!$A:$J, 9, FALSE)</f>
        <v>Yes</v>
      </c>
      <c r="J673" s="22" t="str">
        <f>VLOOKUP($A673, 'Medical Examinations'!$A:$P, 11, FALSE)</f>
        <v>NORMAL WEIGHT</v>
      </c>
      <c r="K673" s="34">
        <v>26550.0</v>
      </c>
      <c r="L673" s="35">
        <f>VLOOKUP($A673, 'Hospitalisation Details'!$A:$H, 7, FALSE)</f>
        <v>14711.74</v>
      </c>
      <c r="M673" s="22" t="str">
        <f>VLOOKUP($A673, 'Hospitalisation Details'!$A:$L, 12, FALSE)</f>
        <v>tier - 2</v>
      </c>
      <c r="N673" s="22" t="str">
        <f>VLOOKUP($A673, 'Hospitalisation Details'!$A:$M, 13, FALSE)</f>
        <v>tier - 2</v>
      </c>
      <c r="O673" s="22" t="str">
        <f>VLOOKUP($A673, 'Hospitalisation Details'!$A:$N, 14, FALSE)</f>
        <v>R1012</v>
      </c>
      <c r="P673" s="36">
        <f>VLOOKUP($A673, 'Hospitalisation Details'!$A:$O, 15, FALSE)</f>
        <v>20</v>
      </c>
    </row>
    <row r="674" ht="15.75" customHeight="1">
      <c r="A674" s="33" t="s">
        <v>1347</v>
      </c>
      <c r="B674" s="22" t="str">
        <f>VLOOKUP($A674,'Customer Names'!$A:$D,3, FALSE)</f>
        <v>Ainsworth</v>
      </c>
      <c r="C674" s="22">
        <f>VLOOKUP($A674,'Medical Examinations'!$A:$D, 2, FALSE)</f>
        <v>46.86</v>
      </c>
      <c r="D674" s="22">
        <f>VLOOKUP($A674, 'Medical Examinations'!$A:$D,3, FALSE)</f>
        <v>4.87</v>
      </c>
      <c r="E674" s="22" t="str">
        <f>VLOOKUP($A674, 'Medical Examinations'!$A:$D, 4, FALSE)</f>
        <v>No</v>
      </c>
      <c r="F674" s="22" t="str">
        <f>VLOOKUP($A674, 'Medical Examinations'!$A:$J, 5, FALSE)</f>
        <v>No</v>
      </c>
      <c r="G674" s="22" t="str">
        <f>VLOOKUP($A674, 'Medical Examinations'!$A:$I, 6, FALSE)</f>
        <v>No</v>
      </c>
      <c r="H674" s="22">
        <f>VLOOKUP($A674,'Medical Examinations'!$A:$L,10, FALSE)</f>
        <v>0</v>
      </c>
      <c r="I674" s="22" t="str">
        <f>VLOOKUP($A674, 'Medical Examinations'!$A:$J, 9, FALSE)</f>
        <v>No</v>
      </c>
      <c r="J674" s="22" t="str">
        <f>VLOOKUP($A674, 'Medical Examinations'!$A:$P, 11, FALSE)</f>
        <v>OBESITY</v>
      </c>
      <c r="K674" s="34">
        <v>26614.0</v>
      </c>
      <c r="L674" s="35">
        <f>VLOOKUP($A674, 'Hospitalisation Details'!$A:$H, 7, FALSE)</f>
        <v>14696.77</v>
      </c>
      <c r="M674" s="22" t="str">
        <f>VLOOKUP($A674, 'Hospitalisation Details'!$A:$L, 12, FALSE)</f>
        <v>tier - 2</v>
      </c>
      <c r="N674" s="22" t="str">
        <f>VLOOKUP($A674, 'Hospitalisation Details'!$A:$M, 13, FALSE)</f>
        <v>tier - 2</v>
      </c>
      <c r="O674" s="22" t="str">
        <f>VLOOKUP($A674, 'Hospitalisation Details'!$A:$N, 14, FALSE)</f>
        <v>R1011</v>
      </c>
      <c r="P674" s="36">
        <f>VLOOKUP($A674, 'Hospitalisation Details'!$A:$O, 15, FALSE)</f>
        <v>40</v>
      </c>
    </row>
    <row r="675" ht="15.75" customHeight="1">
      <c r="A675" s="33" t="s">
        <v>1349</v>
      </c>
      <c r="B675" s="22" t="str">
        <f>VLOOKUP($A675,'Customer Names'!$A:$D,3, FALSE)</f>
        <v>Gayagoy</v>
      </c>
      <c r="C675" s="22">
        <f>VLOOKUP($A675,'Medical Examinations'!$A:$D, 2, FALSE)</f>
        <v>32.965</v>
      </c>
      <c r="D675" s="22">
        <f>VLOOKUP($A675, 'Medical Examinations'!$A:$D,3, FALSE)</f>
        <v>6.68</v>
      </c>
      <c r="E675" s="22" t="str">
        <f>VLOOKUP($A675, 'Medical Examinations'!$A:$D, 4, FALSE)</f>
        <v>No</v>
      </c>
      <c r="F675" s="22" t="str">
        <f>VLOOKUP($A675, 'Medical Examinations'!$A:$J, 5, FALSE)</f>
        <v>No</v>
      </c>
      <c r="G675" s="22" t="str">
        <f>VLOOKUP($A675, 'Medical Examinations'!$A:$I, 6, FALSE)</f>
        <v>No</v>
      </c>
      <c r="H675" s="22">
        <f>VLOOKUP($A675,'Medical Examinations'!$A:$L,10, FALSE)</f>
        <v>3</v>
      </c>
      <c r="I675" s="22" t="str">
        <f>VLOOKUP($A675, 'Medical Examinations'!$A:$J, 9, FALSE)</f>
        <v>No</v>
      </c>
      <c r="J675" s="22" t="str">
        <f>VLOOKUP($A675, 'Medical Examinations'!$A:$P, 11, FALSE)</f>
        <v>OBESITY</v>
      </c>
      <c r="K675" s="34">
        <v>22885.0</v>
      </c>
      <c r="L675" s="35">
        <f>VLOOKUP($A675, 'Hospitalisation Details'!$A:$H, 7, FALSE)</f>
        <v>14692.67</v>
      </c>
      <c r="M675" s="22" t="str">
        <f>VLOOKUP($A675, 'Hospitalisation Details'!$A:$L, 12, FALSE)</f>
        <v>tier - 2</v>
      </c>
      <c r="N675" s="22" t="str">
        <f>VLOOKUP($A675, 'Hospitalisation Details'!$A:$M, 13, FALSE)</f>
        <v>tier - 1</v>
      </c>
      <c r="O675" s="22" t="str">
        <f>VLOOKUP($A675, 'Hospitalisation Details'!$A:$N, 14, FALSE)</f>
        <v>R1012</v>
      </c>
      <c r="P675" s="36">
        <f>VLOOKUP($A675, 'Hospitalisation Details'!$A:$O, 15, FALSE)</f>
        <v>64</v>
      </c>
    </row>
    <row r="676" ht="15.75" customHeight="1">
      <c r="A676" s="33" t="s">
        <v>1351</v>
      </c>
      <c r="B676" s="22" t="str">
        <f>VLOOKUP($A676,'Customer Names'!$A:$D,3, FALSE)</f>
        <v>Fitzmaurice</v>
      </c>
      <c r="C676" s="22">
        <f>VLOOKUP($A676,'Medical Examinations'!$A:$D, 2, FALSE)</f>
        <v>39.34</v>
      </c>
      <c r="D676" s="22">
        <f>VLOOKUP($A676, 'Medical Examinations'!$A:$D,3, FALSE)</f>
        <v>5.02</v>
      </c>
      <c r="E676" s="22" t="str">
        <f>VLOOKUP($A676, 'Medical Examinations'!$A:$D, 4, FALSE)</f>
        <v>Yes</v>
      </c>
      <c r="F676" s="22" t="str">
        <f>VLOOKUP($A676, 'Medical Examinations'!$A:$J, 5, FALSE)</f>
        <v>No</v>
      </c>
      <c r="G676" s="22" t="str">
        <f>VLOOKUP($A676, 'Medical Examinations'!$A:$I, 6, FALSE)</f>
        <v>Yes</v>
      </c>
      <c r="H676" s="22">
        <f>VLOOKUP($A676,'Medical Examinations'!$A:$L,10, FALSE)</f>
        <v>1</v>
      </c>
      <c r="I676" s="22" t="str">
        <f>VLOOKUP($A676, 'Medical Examinations'!$A:$J, 9, FALSE)</f>
        <v>No</v>
      </c>
      <c r="J676" s="22" t="str">
        <f>VLOOKUP($A676, 'Medical Examinations'!$A:$P, 11, FALSE)</f>
        <v>OBESITY</v>
      </c>
      <c r="K676" s="34">
        <v>25869.0</v>
      </c>
      <c r="L676" s="35">
        <f>VLOOKUP($A676, 'Hospitalisation Details'!$A:$H, 7, FALSE)</f>
        <v>14665.75</v>
      </c>
      <c r="M676" s="22" t="str">
        <f>VLOOKUP($A676, 'Hospitalisation Details'!$A:$L, 12, FALSE)</f>
        <v>tier - 2</v>
      </c>
      <c r="N676" s="22" t="str">
        <f>VLOOKUP($A676, 'Hospitalisation Details'!$A:$M, 13, FALSE)</f>
        <v>tier - 1</v>
      </c>
      <c r="O676" s="22" t="str">
        <f>VLOOKUP($A676, 'Hospitalisation Details'!$A:$N, 14, FALSE)</f>
        <v>R1012</v>
      </c>
      <c r="P676" s="36">
        <f>VLOOKUP($A676, 'Hospitalisation Details'!$A:$O, 15, FALSE)</f>
        <v>53</v>
      </c>
    </row>
    <row r="677" ht="15.75" customHeight="1">
      <c r="A677" s="33" t="s">
        <v>1353</v>
      </c>
      <c r="B677" s="22" t="str">
        <f>VLOOKUP($A677,'Customer Names'!$A:$D,3, FALSE)</f>
        <v>Rodriguez</v>
      </c>
      <c r="C677" s="22">
        <f>VLOOKUP($A677,'Medical Examinations'!$A:$D, 2, FALSE)</f>
        <v>47</v>
      </c>
      <c r="D677" s="22">
        <f>VLOOKUP($A677, 'Medical Examinations'!$A:$D,3, FALSE)</f>
        <v>10.64</v>
      </c>
      <c r="E677" s="22" t="str">
        <f>VLOOKUP($A677, 'Medical Examinations'!$A:$D, 4, FALSE)</f>
        <v>Yes</v>
      </c>
      <c r="F677" s="22" t="str">
        <f>VLOOKUP($A677, 'Medical Examinations'!$A:$J, 5, FALSE)</f>
        <v>No</v>
      </c>
      <c r="G677" s="22" t="str">
        <f>VLOOKUP($A677, 'Medical Examinations'!$A:$I, 6, FALSE)</f>
        <v>No</v>
      </c>
      <c r="H677" s="22">
        <f>VLOOKUP($A677,'Medical Examinations'!$A:$L,10, FALSE)</f>
        <v>0</v>
      </c>
      <c r="I677" s="22" t="str">
        <f>VLOOKUP($A677, 'Medical Examinations'!$A:$J, 9, FALSE)</f>
        <v>No</v>
      </c>
      <c r="J677" s="22" t="str">
        <f>VLOOKUP($A677, 'Medical Examinations'!$A:$P, 11, FALSE)</f>
        <v>OBESITY</v>
      </c>
      <c r="K677" s="34">
        <v>29138.0</v>
      </c>
      <c r="L677" s="35">
        <f>VLOOKUP($A677, 'Hospitalisation Details'!$A:$H, 7, FALSE)</f>
        <v>14657.2</v>
      </c>
      <c r="M677" s="22" t="str">
        <f>VLOOKUP($A677, 'Hospitalisation Details'!$A:$L, 12, FALSE)</f>
        <v>tier - 2</v>
      </c>
      <c r="N677" s="22" t="str">
        <f>VLOOKUP($A677, 'Hospitalisation Details'!$A:$M, 13, FALSE)</f>
        <v>tier - 1</v>
      </c>
      <c r="O677" s="22" t="str">
        <f>VLOOKUP($A677, 'Hospitalisation Details'!$A:$N, 14, FALSE)</f>
        <v>R1012</v>
      </c>
      <c r="P677" s="36">
        <f>VLOOKUP($A677, 'Hospitalisation Details'!$A:$O, 15, FALSE)</f>
        <v>41</v>
      </c>
    </row>
    <row r="678" ht="15.75" customHeight="1">
      <c r="A678" s="33" t="s">
        <v>1355</v>
      </c>
      <c r="B678" s="22" t="str">
        <f>VLOOKUP($A678,'Customer Names'!$A:$D,3, FALSE)</f>
        <v>Tsoucas</v>
      </c>
      <c r="C678" s="22">
        <f>VLOOKUP($A678,'Medical Examinations'!$A:$D, 2, FALSE)</f>
        <v>36.71</v>
      </c>
      <c r="D678" s="22">
        <f>VLOOKUP($A678, 'Medical Examinations'!$A:$D,3, FALSE)</f>
        <v>8.74</v>
      </c>
      <c r="E678" s="22" t="str">
        <f>VLOOKUP($A678, 'Medical Examinations'!$A:$D, 4, FALSE)</f>
        <v>Yes</v>
      </c>
      <c r="F678" s="22" t="str">
        <f>VLOOKUP($A678, 'Medical Examinations'!$A:$J, 5, FALSE)</f>
        <v>No</v>
      </c>
      <c r="G678" s="22" t="str">
        <f>VLOOKUP($A678, 'Medical Examinations'!$A:$I, 6, FALSE)</f>
        <v>No</v>
      </c>
      <c r="H678" s="22">
        <f>VLOOKUP($A678,'Medical Examinations'!$A:$L,10, FALSE)</f>
        <v>0</v>
      </c>
      <c r="I678" s="22" t="str">
        <f>VLOOKUP($A678, 'Medical Examinations'!$A:$J, 9, FALSE)</f>
        <v>No</v>
      </c>
      <c r="J678" s="22" t="str">
        <f>VLOOKUP($A678, 'Medical Examinations'!$A:$P, 11, FALSE)</f>
        <v>OBESITY</v>
      </c>
      <c r="K678" s="34">
        <v>30539.0</v>
      </c>
      <c r="L678" s="35">
        <f>VLOOKUP($A678, 'Hospitalisation Details'!$A:$H, 7, FALSE)</f>
        <v>14640.35</v>
      </c>
      <c r="M678" s="22" t="str">
        <f>VLOOKUP($A678, 'Hospitalisation Details'!$A:$L, 12, FALSE)</f>
        <v>tier - 2</v>
      </c>
      <c r="N678" s="22" t="str">
        <f>VLOOKUP($A678, 'Hospitalisation Details'!$A:$M, 13, FALSE)</f>
        <v>tier - 3</v>
      </c>
      <c r="O678" s="22" t="str">
        <f>VLOOKUP($A678, 'Hospitalisation Details'!$A:$N, 14, FALSE)</f>
        <v>R1026</v>
      </c>
      <c r="P678" s="36">
        <f>VLOOKUP($A678, 'Hospitalisation Details'!$A:$O, 15, FALSE)</f>
        <v>55</v>
      </c>
    </row>
    <row r="679" ht="15.75" customHeight="1">
      <c r="A679" s="33" t="s">
        <v>1357</v>
      </c>
      <c r="B679" s="22" t="str">
        <f>VLOOKUP($A679,'Customer Names'!$A:$D,3, FALSE)</f>
        <v>Muhly</v>
      </c>
      <c r="C679" s="22">
        <f>VLOOKUP($A679,'Medical Examinations'!$A:$D, 2, FALSE)</f>
        <v>53.48</v>
      </c>
      <c r="D679" s="22">
        <f>VLOOKUP($A679, 'Medical Examinations'!$A:$D,3, FALSE)</f>
        <v>5.64</v>
      </c>
      <c r="E679" s="22" t="str">
        <f>VLOOKUP($A679, 'Medical Examinations'!$A:$D, 4, FALSE)</f>
        <v>No</v>
      </c>
      <c r="F679" s="22" t="str">
        <f>VLOOKUP($A679, 'Medical Examinations'!$A:$J, 5, FALSE)</f>
        <v>No</v>
      </c>
      <c r="G679" s="22" t="str">
        <f>VLOOKUP($A679, 'Medical Examinations'!$A:$I, 6, FALSE)</f>
        <v>No</v>
      </c>
      <c r="H679" s="22">
        <f>VLOOKUP($A679,'Medical Examinations'!$A:$L,10, FALSE)</f>
        <v>0</v>
      </c>
      <c r="I679" s="22" t="str">
        <f>VLOOKUP($A679, 'Medical Examinations'!$A:$J, 9, FALSE)</f>
        <v>No</v>
      </c>
      <c r="J679" s="22" t="str">
        <f>VLOOKUP($A679, 'Medical Examinations'!$A:$P, 11, FALSE)</f>
        <v>OBESITY</v>
      </c>
      <c r="K679" s="34">
        <v>28752.0</v>
      </c>
      <c r="L679" s="35">
        <f>VLOOKUP($A679, 'Hospitalisation Details'!$A:$H, 7, FALSE)</f>
        <v>14630.52</v>
      </c>
      <c r="M679" s="22" t="str">
        <f>VLOOKUP($A679, 'Hospitalisation Details'!$A:$L, 12, FALSE)</f>
        <v>tier - 2</v>
      </c>
      <c r="N679" s="22" t="str">
        <f>VLOOKUP($A679, 'Hospitalisation Details'!$A:$M, 13, FALSE)</f>
        <v>tier - 3</v>
      </c>
      <c r="O679" s="22" t="str">
        <f>VLOOKUP($A679, 'Hospitalisation Details'!$A:$N, 14, FALSE)</f>
        <v>R1011</v>
      </c>
      <c r="P679" s="36">
        <f>VLOOKUP($A679, 'Hospitalisation Details'!$A:$O, 15, FALSE)</f>
        <v>31</v>
      </c>
    </row>
    <row r="680" ht="15.75" customHeight="1">
      <c r="A680" s="33" t="s">
        <v>1359</v>
      </c>
      <c r="B680" s="22" t="str">
        <f>VLOOKUP($A680,'Customer Names'!$A:$D,3, FALSE)</f>
        <v>Lund</v>
      </c>
      <c r="C680" s="22">
        <f>VLOOKUP($A680,'Medical Examinations'!$A:$D, 2, FALSE)</f>
        <v>35.5</v>
      </c>
      <c r="D680" s="22">
        <f>VLOOKUP($A680, 'Medical Examinations'!$A:$D,3, FALSE)</f>
        <v>10.37</v>
      </c>
      <c r="E680" s="22" t="str">
        <f>VLOOKUP($A680, 'Medical Examinations'!$A:$D, 4, FALSE)</f>
        <v>No</v>
      </c>
      <c r="F680" s="22" t="str">
        <f>VLOOKUP($A680, 'Medical Examinations'!$A:$J, 5, FALSE)</f>
        <v>No</v>
      </c>
      <c r="G680" s="22" t="str">
        <f>VLOOKUP($A680, 'Medical Examinations'!$A:$I, 6, FALSE)</f>
        <v>No</v>
      </c>
      <c r="H680" s="22">
        <f>VLOOKUP($A680,'Medical Examinations'!$A:$L,10, FALSE)</f>
        <v>0</v>
      </c>
      <c r="I680" s="22" t="str">
        <f>VLOOKUP($A680, 'Medical Examinations'!$A:$J, 9, FALSE)</f>
        <v>No</v>
      </c>
      <c r="J680" s="22" t="str">
        <f>VLOOKUP($A680, 'Medical Examinations'!$A:$P, 11, FALSE)</f>
        <v>OBESITY</v>
      </c>
      <c r="K680" s="34">
        <v>26479.0</v>
      </c>
      <c r="L680" s="35">
        <f>VLOOKUP($A680, 'Hospitalisation Details'!$A:$H, 7, FALSE)</f>
        <v>14612.33</v>
      </c>
      <c r="M680" s="22" t="str">
        <f>VLOOKUP($A680, 'Hospitalisation Details'!$A:$L, 12, FALSE)</f>
        <v>tier - 2</v>
      </c>
      <c r="N680" s="22" t="str">
        <f>VLOOKUP($A680, 'Hospitalisation Details'!$A:$M, 13, FALSE)</f>
        <v>tier - 3</v>
      </c>
      <c r="O680" s="22" t="str">
        <f>VLOOKUP($A680, 'Hospitalisation Details'!$A:$N, 14, FALSE)</f>
        <v>R1021</v>
      </c>
      <c r="P680" s="36">
        <f>VLOOKUP($A680, 'Hospitalisation Details'!$A:$O, 15, FALSE)</f>
        <v>57</v>
      </c>
    </row>
    <row r="681" ht="15.75" customHeight="1">
      <c r="A681" s="33" t="s">
        <v>1361</v>
      </c>
      <c r="B681" s="22" t="str">
        <f>VLOOKUP($A681,'Customer Names'!$A:$D,3, FALSE)</f>
        <v>Battaglino</v>
      </c>
      <c r="C681" s="22">
        <f>VLOOKUP($A681,'Medical Examinations'!$A:$D, 2, FALSE)</f>
        <v>36.98</v>
      </c>
      <c r="D681" s="22">
        <f>VLOOKUP($A681, 'Medical Examinations'!$A:$D,3, FALSE)</f>
        <v>9.56</v>
      </c>
      <c r="E681" s="22" t="str">
        <f>VLOOKUP($A681, 'Medical Examinations'!$A:$D, 4, FALSE)</f>
        <v>Yes</v>
      </c>
      <c r="F681" s="22" t="str">
        <f>VLOOKUP($A681, 'Medical Examinations'!$A:$J, 5, FALSE)</f>
        <v>No</v>
      </c>
      <c r="G681" s="22" t="str">
        <f>VLOOKUP($A681, 'Medical Examinations'!$A:$I, 6, FALSE)</f>
        <v>No</v>
      </c>
      <c r="H681" s="22">
        <f>VLOOKUP($A681,'Medical Examinations'!$A:$L,10, FALSE)</f>
        <v>0</v>
      </c>
      <c r="I681" s="22" t="str">
        <f>VLOOKUP($A681, 'Medical Examinations'!$A:$J, 9, FALSE)</f>
        <v>No</v>
      </c>
      <c r="J681" s="22" t="str">
        <f>VLOOKUP($A681, 'Medical Examinations'!$A:$P, 11, FALSE)</f>
        <v>OBESITY</v>
      </c>
      <c r="K681" s="34">
        <v>33828.0</v>
      </c>
      <c r="L681" s="35">
        <f>VLOOKUP($A681, 'Hospitalisation Details'!$A:$H, 7, FALSE)</f>
        <v>14600.62</v>
      </c>
      <c r="M681" s="22" t="str">
        <f>VLOOKUP($A681, 'Hospitalisation Details'!$A:$L, 12, FALSE)</f>
        <v>tier - 2</v>
      </c>
      <c r="N681" s="22" t="str">
        <f>VLOOKUP($A681, 'Hospitalisation Details'!$A:$M, 13, FALSE)</f>
        <v>tier - 3</v>
      </c>
      <c r="O681" s="22" t="str">
        <f>VLOOKUP($A681, 'Hospitalisation Details'!$A:$N, 14, FALSE)</f>
        <v>R1022</v>
      </c>
      <c r="P681" s="36">
        <f>VLOOKUP($A681, 'Hospitalisation Details'!$A:$O, 15, FALSE)</f>
        <v>55</v>
      </c>
    </row>
    <row r="682" ht="15.75" customHeight="1">
      <c r="A682" s="33" t="s">
        <v>1363</v>
      </c>
      <c r="B682" s="22" t="str">
        <f>VLOOKUP($A682,'Customer Names'!$A:$D,3, FALSE)</f>
        <v>Pena</v>
      </c>
      <c r="C682" s="22">
        <f>VLOOKUP($A682,'Medical Examinations'!$A:$D, 2, FALSE)</f>
        <v>32.395</v>
      </c>
      <c r="D682" s="22">
        <f>VLOOKUP($A682, 'Medical Examinations'!$A:$D,3, FALSE)</f>
        <v>8.23</v>
      </c>
      <c r="E682" s="22" t="str">
        <f>VLOOKUP($A682, 'Medical Examinations'!$A:$D, 4, FALSE)</f>
        <v>Yes</v>
      </c>
      <c r="F682" s="22" t="str">
        <f>VLOOKUP($A682, 'Medical Examinations'!$A:$J, 5, FALSE)</f>
        <v>No</v>
      </c>
      <c r="G682" s="22" t="str">
        <f>VLOOKUP($A682, 'Medical Examinations'!$A:$I, 6, FALSE)</f>
        <v>Yes</v>
      </c>
      <c r="H682" s="22">
        <f>VLOOKUP($A682,'Medical Examinations'!$A:$L,10, FALSE)</f>
        <v>1</v>
      </c>
      <c r="I682" s="22" t="str">
        <f>VLOOKUP($A682, 'Medical Examinations'!$A:$J, 9, FALSE)</f>
        <v>No</v>
      </c>
      <c r="J682" s="22" t="str">
        <f>VLOOKUP($A682, 'Medical Examinations'!$A:$P, 11, FALSE)</f>
        <v>OBESITY</v>
      </c>
      <c r="K682" s="34">
        <v>36413.0</v>
      </c>
      <c r="L682" s="35">
        <f>VLOOKUP($A682, 'Hospitalisation Details'!$A:$H, 7, FALSE)</f>
        <v>14590.63</v>
      </c>
      <c r="M682" s="22" t="str">
        <f>VLOOKUP($A682, 'Hospitalisation Details'!$A:$L, 12, FALSE)</f>
        <v>tier - 2</v>
      </c>
      <c r="N682" s="22" t="str">
        <f>VLOOKUP($A682, 'Hospitalisation Details'!$A:$M, 13, FALSE)</f>
        <v>tier - 1</v>
      </c>
      <c r="O682" s="22" t="str">
        <f>VLOOKUP($A682, 'Hospitalisation Details'!$A:$N, 14, FALSE)</f>
        <v>R1024</v>
      </c>
      <c r="P682" s="36">
        <f>VLOOKUP($A682, 'Hospitalisation Details'!$A:$O, 15, FALSE)</f>
        <v>59</v>
      </c>
    </row>
    <row r="683" ht="15.75" customHeight="1">
      <c r="A683" s="33" t="s">
        <v>1365</v>
      </c>
      <c r="B683" s="22" t="str">
        <f>VLOOKUP($A683,'Customer Names'!$A:$D,3, FALSE)</f>
        <v>Thomason</v>
      </c>
      <c r="C683" s="22">
        <f>VLOOKUP($A683,'Medical Examinations'!$A:$D, 2, FALSE)</f>
        <v>32.73</v>
      </c>
      <c r="D683" s="22">
        <f>VLOOKUP($A683, 'Medical Examinations'!$A:$D,3, FALSE)</f>
        <v>7.03</v>
      </c>
      <c r="E683" s="22" t="str">
        <f>VLOOKUP($A683, 'Medical Examinations'!$A:$D, 4, FALSE)</f>
        <v>No</v>
      </c>
      <c r="F683" s="22" t="str">
        <f>VLOOKUP($A683, 'Medical Examinations'!$A:$J, 5, FALSE)</f>
        <v>No</v>
      </c>
      <c r="G683" s="22" t="str">
        <f>VLOOKUP($A683, 'Medical Examinations'!$A:$I, 6, FALSE)</f>
        <v>No</v>
      </c>
      <c r="H683" s="22">
        <f>VLOOKUP($A683,'Medical Examinations'!$A:$L,10, FALSE)</f>
        <v>0</v>
      </c>
      <c r="I683" s="22" t="str">
        <f>VLOOKUP($A683, 'Medical Examinations'!$A:$J, 9, FALSE)</f>
        <v>No</v>
      </c>
      <c r="J683" s="22" t="str">
        <f>VLOOKUP($A683, 'Medical Examinations'!$A:$P, 11, FALSE)</f>
        <v>OBESITY</v>
      </c>
      <c r="K683" s="34">
        <v>31312.0</v>
      </c>
      <c r="L683" s="35">
        <f>VLOOKUP($A683, 'Hospitalisation Details'!$A:$H, 7, FALSE)</f>
        <v>14574.64</v>
      </c>
      <c r="M683" s="22" t="str">
        <f>VLOOKUP($A683, 'Hospitalisation Details'!$A:$L, 12, FALSE)</f>
        <v>tier - 2</v>
      </c>
      <c r="N683" s="22" t="str">
        <f>VLOOKUP($A683, 'Hospitalisation Details'!$A:$M, 13, FALSE)</f>
        <v>tier - 1</v>
      </c>
      <c r="O683" s="22" t="str">
        <f>VLOOKUP($A683, 'Hospitalisation Details'!$A:$N, 14, FALSE)</f>
        <v>R1025</v>
      </c>
      <c r="P683" s="36">
        <f>VLOOKUP($A683, 'Hospitalisation Details'!$A:$O, 15, FALSE)</f>
        <v>60</v>
      </c>
    </row>
    <row r="684" ht="15.75" customHeight="1">
      <c r="A684" s="33" t="s">
        <v>1367</v>
      </c>
      <c r="B684" s="22" t="str">
        <f>VLOOKUP($A684,'Customer Names'!$A:$D,3, FALSE)</f>
        <v>Hancox</v>
      </c>
      <c r="C684" s="22">
        <f>VLOOKUP($A684,'Medical Examinations'!$A:$D, 2, FALSE)</f>
        <v>20.52</v>
      </c>
      <c r="D684" s="22">
        <f>VLOOKUP($A684, 'Medical Examinations'!$A:$D,3, FALSE)</f>
        <v>5.45</v>
      </c>
      <c r="E684" s="22" t="str">
        <f>VLOOKUP($A684, 'Medical Examinations'!$A:$D, 4, FALSE)</f>
        <v>No</v>
      </c>
      <c r="F684" s="22" t="str">
        <f>VLOOKUP($A684, 'Medical Examinations'!$A:$J, 5, FALSE)</f>
        <v>No</v>
      </c>
      <c r="G684" s="22" t="str">
        <f>VLOOKUP($A684, 'Medical Examinations'!$A:$I, 6, FALSE)</f>
        <v>No</v>
      </c>
      <c r="H684" s="22">
        <f>VLOOKUP($A684,'Medical Examinations'!$A:$L,10, FALSE)</f>
        <v>1</v>
      </c>
      <c r="I684" s="22" t="str">
        <f>VLOOKUP($A684, 'Medical Examinations'!$A:$J, 9, FALSE)</f>
        <v>Yes</v>
      </c>
      <c r="J684" s="22" t="str">
        <f>VLOOKUP($A684, 'Medical Examinations'!$A:$P, 11, FALSE)</f>
        <v>NORMAL WEIGHT</v>
      </c>
      <c r="K684" s="34">
        <v>31250.0</v>
      </c>
      <c r="L684" s="35">
        <f>VLOOKUP($A684, 'Hospitalisation Details'!$A:$H, 7, FALSE)</f>
        <v>14571.89</v>
      </c>
      <c r="M684" s="22" t="str">
        <f>VLOOKUP($A684, 'Hospitalisation Details'!$A:$L, 12, FALSE)</f>
        <v>tier - 2</v>
      </c>
      <c r="N684" s="22" t="str">
        <f>VLOOKUP($A684, 'Hospitalisation Details'!$A:$M, 13, FALSE)</f>
        <v>tier - 1</v>
      </c>
      <c r="O684" s="22" t="str">
        <f>VLOOKUP($A684, 'Hospitalisation Details'!$A:$N, 14, FALSE)</f>
        <v>R1024</v>
      </c>
      <c r="P684" s="36">
        <f>VLOOKUP($A684, 'Hospitalisation Details'!$A:$O, 15, FALSE)</f>
        <v>24</v>
      </c>
    </row>
    <row r="685" ht="15.75" customHeight="1">
      <c r="A685" s="33" t="s">
        <v>1369</v>
      </c>
      <c r="B685" s="22" t="str">
        <f>VLOOKUP($A685,'Customer Names'!$A:$D,3, FALSE)</f>
        <v>Canarecci</v>
      </c>
      <c r="C685" s="22">
        <f>VLOOKUP($A685,'Medical Examinations'!$A:$D, 2, FALSE)</f>
        <v>51.72</v>
      </c>
      <c r="D685" s="22">
        <f>VLOOKUP($A685, 'Medical Examinations'!$A:$D,3, FALSE)</f>
        <v>5.76</v>
      </c>
      <c r="E685" s="22" t="str">
        <f>VLOOKUP($A685, 'Medical Examinations'!$A:$D, 4, FALSE)</f>
        <v>No</v>
      </c>
      <c r="F685" s="22" t="str">
        <f>VLOOKUP($A685, 'Medical Examinations'!$A:$J, 5, FALSE)</f>
        <v>No</v>
      </c>
      <c r="G685" s="22" t="str">
        <f>VLOOKUP($A685, 'Medical Examinations'!$A:$I, 6, FALSE)</f>
        <v>No</v>
      </c>
      <c r="H685" s="22">
        <f>VLOOKUP($A685,'Medical Examinations'!$A:$L,10, FALSE)</f>
        <v>0</v>
      </c>
      <c r="I685" s="22" t="str">
        <f>VLOOKUP($A685, 'Medical Examinations'!$A:$J, 9, FALSE)</f>
        <v>No</v>
      </c>
      <c r="J685" s="22" t="str">
        <f>VLOOKUP($A685, 'Medical Examinations'!$A:$P, 11, FALSE)</f>
        <v>OBESITY</v>
      </c>
      <c r="K685" s="34">
        <v>32439.0</v>
      </c>
      <c r="L685" s="35">
        <f>VLOOKUP($A685, 'Hospitalisation Details'!$A:$H, 7, FALSE)</f>
        <v>14547.26</v>
      </c>
      <c r="M685" s="22" t="str">
        <f>VLOOKUP($A685, 'Hospitalisation Details'!$A:$L, 12, FALSE)</f>
        <v>tier - 2</v>
      </c>
      <c r="N685" s="22" t="str">
        <f>VLOOKUP($A685, 'Hospitalisation Details'!$A:$M, 13, FALSE)</f>
        <v>tier - 3</v>
      </c>
      <c r="O685" s="22" t="str">
        <f>VLOOKUP($A685, 'Hospitalisation Details'!$A:$N, 14, FALSE)</f>
        <v>R1011</v>
      </c>
      <c r="P685" s="36">
        <f>VLOOKUP($A685, 'Hospitalisation Details'!$A:$O, 15, FALSE)</f>
        <v>33</v>
      </c>
    </row>
    <row r="686" ht="15.75" customHeight="1">
      <c r="A686" s="33" t="s">
        <v>1371</v>
      </c>
      <c r="B686" s="22" t="str">
        <f>VLOOKUP($A686,'Customer Names'!$A:$D,3, FALSE)</f>
        <v>Toupin</v>
      </c>
      <c r="C686" s="22">
        <f>VLOOKUP($A686,'Medical Examinations'!$A:$D, 2, FALSE)</f>
        <v>50.2</v>
      </c>
      <c r="D686" s="22">
        <f>VLOOKUP($A686, 'Medical Examinations'!$A:$D,3, FALSE)</f>
        <v>5.4</v>
      </c>
      <c r="E686" s="22" t="str">
        <f>VLOOKUP($A686, 'Medical Examinations'!$A:$D, 4, FALSE)</f>
        <v>No</v>
      </c>
      <c r="F686" s="22" t="str">
        <f>VLOOKUP($A686, 'Medical Examinations'!$A:$J, 5, FALSE)</f>
        <v>No</v>
      </c>
      <c r="G686" s="22" t="str">
        <f>VLOOKUP($A686, 'Medical Examinations'!$A:$I, 6, FALSE)</f>
        <v>No</v>
      </c>
      <c r="H686" s="22">
        <f>VLOOKUP($A686,'Medical Examinations'!$A:$L,10, FALSE)</f>
        <v>0</v>
      </c>
      <c r="I686" s="22" t="str">
        <f>VLOOKUP($A686, 'Medical Examinations'!$A:$J, 9, FALSE)</f>
        <v>No</v>
      </c>
      <c r="J686" s="22" t="str">
        <f>VLOOKUP($A686, 'Medical Examinations'!$A:$P, 11, FALSE)</f>
        <v>OBESITY</v>
      </c>
      <c r="K686" s="34">
        <v>29860.0</v>
      </c>
      <c r="L686" s="35">
        <f>VLOOKUP($A686, 'Hospitalisation Details'!$A:$H, 7, FALSE)</f>
        <v>14507.46</v>
      </c>
      <c r="M686" s="22" t="str">
        <f>VLOOKUP($A686, 'Hospitalisation Details'!$A:$L, 12, FALSE)</f>
        <v>tier - 2</v>
      </c>
      <c r="N686" s="22" t="str">
        <f>VLOOKUP($A686, 'Hospitalisation Details'!$A:$M, 13, FALSE)</f>
        <v>tier - 3</v>
      </c>
      <c r="O686" s="22" t="str">
        <f>VLOOKUP($A686, 'Hospitalisation Details'!$A:$N, 14, FALSE)</f>
        <v>R1012</v>
      </c>
      <c r="P686" s="36">
        <f>VLOOKUP($A686, 'Hospitalisation Details'!$A:$O, 15, FALSE)</f>
        <v>33</v>
      </c>
    </row>
    <row r="687" ht="15.75" customHeight="1">
      <c r="A687" s="33" t="s">
        <v>1373</v>
      </c>
      <c r="B687" s="22" t="str">
        <f>VLOOKUP($A687,'Customer Names'!$A:$D,3, FALSE)</f>
        <v>Mulley</v>
      </c>
      <c r="C687" s="22">
        <f>VLOOKUP($A687,'Medical Examinations'!$A:$D, 2, FALSE)</f>
        <v>25.52</v>
      </c>
      <c r="D687" s="22">
        <f>VLOOKUP($A687, 'Medical Examinations'!$A:$D,3, FALSE)</f>
        <v>6.35</v>
      </c>
      <c r="E687" s="22" t="str">
        <f>VLOOKUP($A687, 'Medical Examinations'!$A:$D, 4, FALSE)</f>
        <v>No</v>
      </c>
      <c r="F687" s="22" t="str">
        <f>VLOOKUP($A687, 'Medical Examinations'!$A:$J, 5, FALSE)</f>
        <v>No</v>
      </c>
      <c r="G687" s="22" t="str">
        <f>VLOOKUP($A687, 'Medical Examinations'!$A:$I, 6, FALSE)</f>
        <v>Yes</v>
      </c>
      <c r="H687" s="22">
        <f>VLOOKUP($A687,'Medical Examinations'!$A:$L,10, FALSE)</f>
        <v>1</v>
      </c>
      <c r="I687" s="22" t="str">
        <f>VLOOKUP($A687, 'Medical Examinations'!$A:$J, 9, FALSE)</f>
        <v>No</v>
      </c>
      <c r="J687" s="22" t="str">
        <f>VLOOKUP($A687, 'Medical Examinations'!$A:$P, 11, FALSE)</f>
        <v>OVERWEIGHT</v>
      </c>
      <c r="K687" s="34">
        <v>30122.0</v>
      </c>
      <c r="L687" s="35">
        <f>VLOOKUP($A687, 'Hospitalisation Details'!$A:$H, 7, FALSE)</f>
        <v>14478.33</v>
      </c>
      <c r="M687" s="22" t="str">
        <f>VLOOKUP($A687, 'Hospitalisation Details'!$A:$L, 12, FALSE)</f>
        <v>tier - 2</v>
      </c>
      <c r="N687" s="22" t="str">
        <f>VLOOKUP($A687, 'Hospitalisation Details'!$A:$M, 13, FALSE)</f>
        <v>tier - 2</v>
      </c>
      <c r="O687" s="22" t="str">
        <f>VLOOKUP($A687, 'Hospitalisation Details'!$A:$N, 14, FALSE)</f>
        <v>R1013</v>
      </c>
      <c r="P687" s="36">
        <f>VLOOKUP($A687, 'Hospitalisation Details'!$A:$O, 15, FALSE)</f>
        <v>43</v>
      </c>
    </row>
    <row r="688" ht="15.75" customHeight="1">
      <c r="A688" s="33" t="s">
        <v>1375</v>
      </c>
      <c r="B688" s="22" t="str">
        <f>VLOOKUP($A688,'Customer Names'!$A:$D,3, FALSE)</f>
        <v>Parry</v>
      </c>
      <c r="C688" s="22">
        <f>VLOOKUP($A688,'Medical Examinations'!$A:$D, 2, FALSE)</f>
        <v>35.2</v>
      </c>
      <c r="D688" s="22">
        <f>VLOOKUP($A688, 'Medical Examinations'!$A:$D,3, FALSE)</f>
        <v>6.26</v>
      </c>
      <c r="E688" s="22" t="str">
        <f>VLOOKUP($A688, 'Medical Examinations'!$A:$D, 4, FALSE)</f>
        <v>Yes</v>
      </c>
      <c r="F688" s="22" t="str">
        <f>VLOOKUP($A688, 'Medical Examinations'!$A:$J, 5, FALSE)</f>
        <v>No</v>
      </c>
      <c r="G688" s="22" t="str">
        <f>VLOOKUP($A688, 'Medical Examinations'!$A:$I, 6, FALSE)</f>
        <v>No</v>
      </c>
      <c r="H688" s="22">
        <f>VLOOKUP($A688,'Medical Examinations'!$A:$L,10, FALSE)</f>
        <v>2</v>
      </c>
      <c r="I688" s="22" t="str">
        <f>VLOOKUP($A688, 'Medical Examinations'!$A:$J, 9, FALSE)</f>
        <v>No</v>
      </c>
      <c r="J688" s="22" t="str">
        <f>VLOOKUP($A688, 'Medical Examinations'!$A:$P, 11, FALSE)</f>
        <v>OBESITY</v>
      </c>
      <c r="K688" s="34">
        <v>29912.0</v>
      </c>
      <c r="L688" s="35">
        <f>VLOOKUP($A688, 'Hospitalisation Details'!$A:$H, 7, FALSE)</f>
        <v>14474.68</v>
      </c>
      <c r="M688" s="22" t="str">
        <f>VLOOKUP($A688, 'Hospitalisation Details'!$A:$L, 12, FALSE)</f>
        <v>tier - 2</v>
      </c>
      <c r="N688" s="22" t="str">
        <f>VLOOKUP($A688, 'Hospitalisation Details'!$A:$M, 13, FALSE)</f>
        <v>tier - 2</v>
      </c>
      <c r="O688" s="22" t="str">
        <f>VLOOKUP($A688, 'Hospitalisation Details'!$A:$N, 14, FALSE)</f>
        <v>R1013</v>
      </c>
      <c r="P688" s="36">
        <f>VLOOKUP($A688, 'Hospitalisation Details'!$A:$O, 15, FALSE)</f>
        <v>63</v>
      </c>
    </row>
    <row r="689" ht="15.75" customHeight="1">
      <c r="A689" s="33" t="s">
        <v>1377</v>
      </c>
      <c r="B689" s="22" t="str">
        <f>VLOOKUP($A689,'Customer Names'!$A:$D,3, FALSE)</f>
        <v>Maso</v>
      </c>
      <c r="C689" s="22">
        <f>VLOOKUP($A689,'Medical Examinations'!$A:$D, 2, FALSE)</f>
        <v>41.26</v>
      </c>
      <c r="D689" s="22">
        <f>VLOOKUP($A689, 'Medical Examinations'!$A:$D,3, FALSE)</f>
        <v>5.97</v>
      </c>
      <c r="E689" s="22" t="str">
        <f>VLOOKUP($A689, 'Medical Examinations'!$A:$D, 4, FALSE)</f>
        <v>Yes</v>
      </c>
      <c r="F689" s="22" t="str">
        <f>VLOOKUP($A689, 'Medical Examinations'!$A:$J, 5, FALSE)</f>
        <v>No</v>
      </c>
      <c r="G689" s="22" t="str">
        <f>VLOOKUP($A689, 'Medical Examinations'!$A:$I, 6, FALSE)</f>
        <v>No</v>
      </c>
      <c r="H689" s="22">
        <f>VLOOKUP($A689,'Medical Examinations'!$A:$L,10, FALSE)</f>
        <v>0</v>
      </c>
      <c r="I689" s="22" t="str">
        <f>VLOOKUP($A689, 'Medical Examinations'!$A:$J, 9, FALSE)</f>
        <v>No</v>
      </c>
      <c r="J689" s="22" t="str">
        <f>VLOOKUP($A689, 'Medical Examinations'!$A:$P, 11, FALSE)</f>
        <v>OBESITY</v>
      </c>
      <c r="K689" s="34">
        <v>32448.0</v>
      </c>
      <c r="L689" s="35">
        <f>VLOOKUP($A689, 'Hospitalisation Details'!$A:$H, 7, FALSE)</f>
        <v>14470.01</v>
      </c>
      <c r="M689" s="22" t="str">
        <f>VLOOKUP($A689, 'Hospitalisation Details'!$A:$L, 12, FALSE)</f>
        <v>tier - 2</v>
      </c>
      <c r="N689" s="22" t="str">
        <f>VLOOKUP($A689, 'Hospitalisation Details'!$A:$M, 13, FALSE)</f>
        <v>tier - 3</v>
      </c>
      <c r="O689" s="22" t="str">
        <f>VLOOKUP($A689, 'Hospitalisation Details'!$A:$N, 14, FALSE)</f>
        <v>R1012</v>
      </c>
      <c r="P689" s="36">
        <f>VLOOKUP($A689, 'Hospitalisation Details'!$A:$O, 15, FALSE)</f>
        <v>46</v>
      </c>
    </row>
    <row r="690" ht="15.75" customHeight="1">
      <c r="A690" s="33" t="s">
        <v>1379</v>
      </c>
      <c r="B690" s="22" t="str">
        <f>VLOOKUP($A690,'Customer Names'!$A:$D,3, FALSE)</f>
        <v>Thompson</v>
      </c>
      <c r="C690" s="22">
        <f>VLOOKUP($A690,'Medical Examinations'!$A:$D, 2, FALSE)</f>
        <v>17.195</v>
      </c>
      <c r="D690" s="22">
        <f>VLOOKUP($A690, 'Medical Examinations'!$A:$D,3, FALSE)</f>
        <v>5.29</v>
      </c>
      <c r="E690" s="22" t="str">
        <f>VLOOKUP($A690, 'Medical Examinations'!$A:$D, 4, FALSE)</f>
        <v>Yes</v>
      </c>
      <c r="F690" s="22" t="str">
        <f>VLOOKUP($A690, 'Medical Examinations'!$A:$J, 5, FALSE)</f>
        <v>No</v>
      </c>
      <c r="G690" s="22" t="str">
        <f>VLOOKUP($A690, 'Medical Examinations'!$A:$I, 6, FALSE)</f>
        <v>No</v>
      </c>
      <c r="H690" s="22">
        <f>VLOOKUP($A690,'Medical Examinations'!$A:$L,10, FALSE)</f>
        <v>0</v>
      </c>
      <c r="I690" s="22" t="str">
        <f>VLOOKUP($A690, 'Medical Examinations'!$A:$J, 9, FALSE)</f>
        <v>Yes</v>
      </c>
      <c r="J690" s="22" t="str">
        <f>VLOOKUP($A690, 'Medical Examinations'!$A:$P, 11, FALSE)</f>
        <v>UNDERWEIGHT</v>
      </c>
      <c r="K690" s="34">
        <v>25846.0</v>
      </c>
      <c r="L690" s="35">
        <f>VLOOKUP($A690, 'Hospitalisation Details'!$A:$H, 7, FALSE)</f>
        <v>14455.64</v>
      </c>
      <c r="M690" s="22" t="str">
        <f>VLOOKUP($A690, 'Hospitalisation Details'!$A:$L, 12, FALSE)</f>
        <v>tier - 2</v>
      </c>
      <c r="N690" s="22" t="str">
        <f>VLOOKUP($A690, 'Hospitalisation Details'!$A:$M, 13, FALSE)</f>
        <v>tier - 3</v>
      </c>
      <c r="O690" s="22" t="str">
        <f>VLOOKUP($A690, 'Hospitalisation Details'!$A:$N, 14, FALSE)</f>
        <v>R1024</v>
      </c>
      <c r="P690" s="36">
        <f>VLOOKUP($A690, 'Hospitalisation Details'!$A:$O, 15, FALSE)</f>
        <v>26</v>
      </c>
    </row>
    <row r="691" ht="15.75" customHeight="1">
      <c r="A691" s="33" t="s">
        <v>1381</v>
      </c>
      <c r="B691" s="22" t="str">
        <f>VLOOKUP($A691,'Customer Names'!$A:$D,3, FALSE)</f>
        <v>Nelson</v>
      </c>
      <c r="C691" s="22">
        <f>VLOOKUP($A691,'Medical Examinations'!$A:$D, 2, FALSE)</f>
        <v>23.085</v>
      </c>
      <c r="D691" s="22">
        <f>VLOOKUP($A691, 'Medical Examinations'!$A:$D,3, FALSE)</f>
        <v>4.27</v>
      </c>
      <c r="E691" s="22" t="str">
        <f>VLOOKUP($A691, 'Medical Examinations'!$A:$D, 4, FALSE)</f>
        <v>Yes</v>
      </c>
      <c r="F691" s="22" t="str">
        <f>VLOOKUP($A691, 'Medical Examinations'!$A:$J, 5, FALSE)</f>
        <v>No</v>
      </c>
      <c r="G691" s="22" t="str">
        <f>VLOOKUP($A691, 'Medical Examinations'!$A:$I, 6, FALSE)</f>
        <v>No</v>
      </c>
      <c r="H691" s="22">
        <f>VLOOKUP($A691,'Medical Examinations'!$A:$L,10, FALSE)</f>
        <v>2</v>
      </c>
      <c r="I691" s="22" t="str">
        <f>VLOOKUP($A691, 'Medical Examinations'!$A:$J, 9, FALSE)</f>
        <v>No</v>
      </c>
      <c r="J691" s="22" t="str">
        <f>VLOOKUP($A691, 'Medical Examinations'!$A:$P, 11, FALSE)</f>
        <v>NORMAL WEIGHT</v>
      </c>
      <c r="K691" s="34">
        <v>31268.0</v>
      </c>
      <c r="L691" s="35">
        <f>VLOOKUP($A691, 'Hospitalisation Details'!$A:$H, 7, FALSE)</f>
        <v>14451.84</v>
      </c>
      <c r="M691" s="22" t="str">
        <f>VLOOKUP($A691, 'Hospitalisation Details'!$A:$L, 12, FALSE)</f>
        <v>tier - 2</v>
      </c>
      <c r="N691" s="22" t="str">
        <f>VLOOKUP($A691, 'Hospitalisation Details'!$A:$M, 13, FALSE)</f>
        <v>tier - 3</v>
      </c>
      <c r="O691" s="22" t="str">
        <f>VLOOKUP($A691, 'Hospitalisation Details'!$A:$N, 14, FALSE)</f>
        <v>R1023</v>
      </c>
      <c r="P691" s="36">
        <f>VLOOKUP($A691, 'Hospitalisation Details'!$A:$O, 15, FALSE)</f>
        <v>63</v>
      </c>
    </row>
    <row r="692" ht="15.75" customHeight="1">
      <c r="A692" s="33" t="s">
        <v>1383</v>
      </c>
      <c r="B692" s="22" t="str">
        <f>VLOOKUP($A692,'Customer Names'!$A:$D,3, FALSE)</f>
        <v>Forte</v>
      </c>
      <c r="C692" s="22">
        <f>VLOOKUP($A692,'Medical Examinations'!$A:$D, 2, FALSE)</f>
        <v>21.66</v>
      </c>
      <c r="D692" s="22">
        <f>VLOOKUP($A692, 'Medical Examinations'!$A:$D,3, FALSE)</f>
        <v>5.2</v>
      </c>
      <c r="E692" s="22" t="str">
        <f>VLOOKUP($A692, 'Medical Examinations'!$A:$D, 4, FALSE)</f>
        <v>Yes</v>
      </c>
      <c r="F692" s="22" t="str">
        <f>VLOOKUP($A692, 'Medical Examinations'!$A:$J, 5, FALSE)</f>
        <v>No</v>
      </c>
      <c r="G692" s="22" t="str">
        <f>VLOOKUP($A692, 'Medical Examinations'!$A:$I, 6, FALSE)</f>
        <v>No</v>
      </c>
      <c r="H692" s="22">
        <f>VLOOKUP($A692,'Medical Examinations'!$A:$L,10, FALSE)</f>
        <v>2</v>
      </c>
      <c r="I692" s="22" t="str">
        <f>VLOOKUP($A692, 'Medical Examinations'!$A:$J, 9, FALSE)</f>
        <v>No</v>
      </c>
      <c r="J692" s="22" t="str">
        <f>VLOOKUP($A692, 'Medical Examinations'!$A:$P, 11, FALSE)</f>
        <v>NORMAL WEIGHT</v>
      </c>
      <c r="K692" s="34">
        <v>30961.0</v>
      </c>
      <c r="L692" s="35">
        <f>VLOOKUP($A692, 'Hospitalisation Details'!$A:$H, 7, FALSE)</f>
        <v>14449.85</v>
      </c>
      <c r="M692" s="22" t="str">
        <f>VLOOKUP($A692, 'Hospitalisation Details'!$A:$L, 12, FALSE)</f>
        <v>tier - 2</v>
      </c>
      <c r="N692" s="22" t="str">
        <f>VLOOKUP($A692, 'Hospitalisation Details'!$A:$M, 13, FALSE)</f>
        <v>tier - 1</v>
      </c>
      <c r="O692" s="22" t="str">
        <f>VLOOKUP($A692, 'Hospitalisation Details'!$A:$N, 14, FALSE)</f>
        <v>R1024</v>
      </c>
      <c r="P692" s="36">
        <f>VLOOKUP($A692, 'Hospitalisation Details'!$A:$O, 15, FALSE)</f>
        <v>63</v>
      </c>
    </row>
    <row r="693" ht="15.75" customHeight="1">
      <c r="A693" s="33" t="s">
        <v>1385</v>
      </c>
      <c r="B693" s="22" t="str">
        <f>VLOOKUP($A693,'Customer Names'!$A:$D,3, FALSE)</f>
        <v>Coron</v>
      </c>
      <c r="C693" s="22">
        <f>VLOOKUP($A693,'Medical Examinations'!$A:$D, 2, FALSE)</f>
        <v>36.47</v>
      </c>
      <c r="D693" s="22">
        <f>VLOOKUP($A693, 'Medical Examinations'!$A:$D,3, FALSE)</f>
        <v>8.23</v>
      </c>
      <c r="E693" s="22" t="str">
        <f>VLOOKUP($A693, 'Medical Examinations'!$A:$D, 4, FALSE)</f>
        <v>Yes</v>
      </c>
      <c r="F693" s="22" t="str">
        <f>VLOOKUP($A693, 'Medical Examinations'!$A:$J, 5, FALSE)</f>
        <v>No</v>
      </c>
      <c r="G693" s="22" t="str">
        <f>VLOOKUP($A693, 'Medical Examinations'!$A:$I, 6, FALSE)</f>
        <v>No</v>
      </c>
      <c r="H693" s="22">
        <f>VLOOKUP($A693,'Medical Examinations'!$A:$L,10, FALSE)</f>
        <v>0</v>
      </c>
      <c r="I693" s="22" t="str">
        <f>VLOOKUP($A693, 'Medical Examinations'!$A:$J, 9, FALSE)</f>
        <v>No</v>
      </c>
      <c r="J693" s="22" t="str">
        <f>VLOOKUP($A693, 'Medical Examinations'!$A:$P, 11, FALSE)</f>
        <v>OBESITY</v>
      </c>
      <c r="K693" s="34">
        <v>31335.0</v>
      </c>
      <c r="L693" s="35">
        <f>VLOOKUP($A693, 'Hospitalisation Details'!$A:$H, 7, FALSE)</f>
        <v>14427.63</v>
      </c>
      <c r="M693" s="22" t="str">
        <f>VLOOKUP($A693, 'Hospitalisation Details'!$A:$L, 12, FALSE)</f>
        <v>tier - 2</v>
      </c>
      <c r="N693" s="22" t="str">
        <f>VLOOKUP($A693, 'Hospitalisation Details'!$A:$M, 13, FALSE)</f>
        <v>tier - 2</v>
      </c>
      <c r="O693" s="22" t="str">
        <f>VLOOKUP($A693, 'Hospitalisation Details'!$A:$N, 14, FALSE)</f>
        <v>R1021</v>
      </c>
      <c r="P693" s="36">
        <f>VLOOKUP($A693, 'Hospitalisation Details'!$A:$O, 15, FALSE)</f>
        <v>55</v>
      </c>
    </row>
    <row r="694" ht="15.75" customHeight="1">
      <c r="A694" s="33" t="s">
        <v>1387</v>
      </c>
      <c r="B694" s="22" t="str">
        <f>VLOOKUP($A694,'Customer Names'!$A:$D,3, FALSE)</f>
        <v>McCollum</v>
      </c>
      <c r="C694" s="22">
        <f>VLOOKUP($A694,'Medical Examinations'!$A:$D, 2, FALSE)</f>
        <v>36.08</v>
      </c>
      <c r="D694" s="22">
        <f>VLOOKUP($A694, 'Medical Examinations'!$A:$D,3, FALSE)</f>
        <v>10.33</v>
      </c>
      <c r="E694" s="22" t="str">
        <f>VLOOKUP($A694, 'Medical Examinations'!$A:$D, 4, FALSE)</f>
        <v>Yes</v>
      </c>
      <c r="F694" s="22" t="str">
        <f>VLOOKUP($A694, 'Medical Examinations'!$A:$J, 5, FALSE)</f>
        <v>No</v>
      </c>
      <c r="G694" s="22" t="str">
        <f>VLOOKUP($A694, 'Medical Examinations'!$A:$I, 6, FALSE)</f>
        <v>No</v>
      </c>
      <c r="H694" s="22">
        <f>VLOOKUP($A694,'Medical Examinations'!$A:$L,10, FALSE)</f>
        <v>0</v>
      </c>
      <c r="I694" s="22" t="str">
        <f>VLOOKUP($A694, 'Medical Examinations'!$A:$J, 9, FALSE)</f>
        <v>No</v>
      </c>
      <c r="J694" s="22" t="str">
        <f>VLOOKUP($A694, 'Medical Examinations'!$A:$P, 11, FALSE)</f>
        <v>OBESITY</v>
      </c>
      <c r="K694" s="34">
        <v>26974.0</v>
      </c>
      <c r="L694" s="35">
        <f>VLOOKUP($A694, 'Hospitalisation Details'!$A:$H, 7, FALSE)</f>
        <v>14426.66</v>
      </c>
      <c r="M694" s="22" t="str">
        <f>VLOOKUP($A694, 'Hospitalisation Details'!$A:$L, 12, FALSE)</f>
        <v>tier - 2</v>
      </c>
      <c r="N694" s="22" t="str">
        <f>VLOOKUP($A694, 'Hospitalisation Details'!$A:$M, 13, FALSE)</f>
        <v>tier - 2</v>
      </c>
      <c r="O694" s="22" t="str">
        <f>VLOOKUP($A694, 'Hospitalisation Details'!$A:$N, 14, FALSE)</f>
        <v>R1026</v>
      </c>
      <c r="P694" s="36">
        <f>VLOOKUP($A694, 'Hospitalisation Details'!$A:$O, 15, FALSE)</f>
        <v>55</v>
      </c>
    </row>
    <row r="695" ht="15.75" customHeight="1">
      <c r="A695" s="33" t="s">
        <v>1389</v>
      </c>
      <c r="B695" s="22" t="str">
        <f>VLOOKUP($A695,'Customer Names'!$A:$D,3, FALSE)</f>
        <v>Hevner</v>
      </c>
      <c r="C695" s="22">
        <f>VLOOKUP($A695,'Medical Examinations'!$A:$D, 2, FALSE)</f>
        <v>23.18</v>
      </c>
      <c r="D695" s="22">
        <f>VLOOKUP($A695, 'Medical Examinations'!$A:$D,3, FALSE)</f>
        <v>6.13</v>
      </c>
      <c r="E695" s="22" t="str">
        <f>VLOOKUP($A695, 'Medical Examinations'!$A:$D, 4, FALSE)</f>
        <v>No</v>
      </c>
      <c r="F695" s="22" t="str">
        <f>VLOOKUP($A695, 'Medical Examinations'!$A:$J, 5, FALSE)</f>
        <v>No</v>
      </c>
      <c r="G695" s="22" t="str">
        <f>VLOOKUP($A695, 'Medical Examinations'!$A:$I, 6, FALSE)</f>
        <v>No</v>
      </c>
      <c r="H695" s="22">
        <f>VLOOKUP($A695,'Medical Examinations'!$A:$L,10, FALSE)</f>
        <v>0</v>
      </c>
      <c r="I695" s="22" t="str">
        <f>VLOOKUP($A695, 'Medical Examinations'!$A:$J, 9, FALSE)</f>
        <v>No</v>
      </c>
      <c r="J695" s="22" t="str">
        <f>VLOOKUP($A695, 'Medical Examinations'!$A:$P, 11, FALSE)</f>
        <v>NORMAL WEIGHT</v>
      </c>
      <c r="K695" s="34">
        <v>25855.0</v>
      </c>
      <c r="L695" s="35">
        <f>VLOOKUP($A695, 'Hospitalisation Details'!$A:$H, 7, FALSE)</f>
        <v>14426.07</v>
      </c>
      <c r="M695" s="22" t="str">
        <f>VLOOKUP($A695, 'Hospitalisation Details'!$A:$L, 12, FALSE)</f>
        <v>tier - 2</v>
      </c>
      <c r="N695" s="22" t="str">
        <f>VLOOKUP($A695, 'Hospitalisation Details'!$A:$M, 13, FALSE)</f>
        <v>tier - 1</v>
      </c>
      <c r="O695" s="22" t="str">
        <f>VLOOKUP($A695, 'Hospitalisation Details'!$A:$N, 14, FALSE)</f>
        <v>R1012</v>
      </c>
      <c r="P695" s="36">
        <f>VLOOKUP($A695, 'Hospitalisation Details'!$A:$O, 15, FALSE)</f>
        <v>23</v>
      </c>
    </row>
    <row r="696" ht="15.75" customHeight="1">
      <c r="A696" s="33" t="s">
        <v>1391</v>
      </c>
      <c r="B696" s="22" t="str">
        <f>VLOOKUP($A696,'Customer Names'!$A:$D,3, FALSE)</f>
        <v>Looi</v>
      </c>
      <c r="C696" s="22">
        <f>VLOOKUP($A696,'Medical Examinations'!$A:$D, 2, FALSE)</f>
        <v>39.16</v>
      </c>
      <c r="D696" s="22">
        <f>VLOOKUP($A696, 'Medical Examinations'!$A:$D,3, FALSE)</f>
        <v>8.08</v>
      </c>
      <c r="E696" s="22" t="str">
        <f>VLOOKUP($A696, 'Medical Examinations'!$A:$D, 4, FALSE)</f>
        <v>No</v>
      </c>
      <c r="F696" s="22" t="str">
        <f>VLOOKUP($A696, 'Medical Examinations'!$A:$J, 5, FALSE)</f>
        <v>No</v>
      </c>
      <c r="G696" s="22" t="str">
        <f>VLOOKUP($A696, 'Medical Examinations'!$A:$I, 6, FALSE)</f>
        <v>No</v>
      </c>
      <c r="H696" s="22">
        <f>VLOOKUP($A696,'Medical Examinations'!$A:$L,10, FALSE)</f>
        <v>3</v>
      </c>
      <c r="I696" s="22" t="str">
        <f>VLOOKUP($A696, 'Medical Examinations'!$A:$J, 9, FALSE)</f>
        <v>No</v>
      </c>
      <c r="J696" s="22" t="str">
        <f>VLOOKUP($A696, 'Medical Examinations'!$A:$P, 11, FALSE)</f>
        <v>OBESITY</v>
      </c>
      <c r="K696" s="34">
        <v>28106.0</v>
      </c>
      <c r="L696" s="35">
        <f>VLOOKUP($A696, 'Hospitalisation Details'!$A:$H, 7, FALSE)</f>
        <v>14418.28</v>
      </c>
      <c r="M696" s="22" t="str">
        <f>VLOOKUP($A696, 'Hospitalisation Details'!$A:$L, 12, FALSE)</f>
        <v>tier - 2</v>
      </c>
      <c r="N696" s="22" t="str">
        <f>VLOOKUP($A696, 'Hospitalisation Details'!$A:$M, 13, FALSE)</f>
        <v>tier - 3</v>
      </c>
      <c r="O696" s="22" t="str">
        <f>VLOOKUP($A696, 'Hospitalisation Details'!$A:$N, 14, FALSE)</f>
        <v>R1013</v>
      </c>
      <c r="P696" s="36">
        <f>VLOOKUP($A696, 'Hospitalisation Details'!$A:$O, 15, FALSE)</f>
        <v>64</v>
      </c>
    </row>
    <row r="697" ht="15.75" customHeight="1">
      <c r="A697" s="33" t="s">
        <v>1393</v>
      </c>
      <c r="B697" s="22" t="str">
        <f>VLOOKUP($A697,'Customer Names'!$A:$D,3, FALSE)</f>
        <v>Power</v>
      </c>
      <c r="C697" s="22">
        <f>VLOOKUP($A697,'Medical Examinations'!$A:$D, 2, FALSE)</f>
        <v>38.19</v>
      </c>
      <c r="D697" s="22">
        <f>VLOOKUP($A697, 'Medical Examinations'!$A:$D,3, FALSE)</f>
        <v>10.49</v>
      </c>
      <c r="E697" s="22" t="str">
        <f>VLOOKUP($A697, 'Medical Examinations'!$A:$D, 4, FALSE)</f>
        <v>No</v>
      </c>
      <c r="F697" s="22" t="str">
        <f>VLOOKUP($A697, 'Medical Examinations'!$A:$J, 5, FALSE)</f>
        <v>No</v>
      </c>
      <c r="G697" s="22" t="str">
        <f>VLOOKUP($A697, 'Medical Examinations'!$A:$I, 6, FALSE)</f>
        <v>No</v>
      </c>
      <c r="H697" s="22">
        <f>VLOOKUP($A697,'Medical Examinations'!$A:$L,10, FALSE)</f>
        <v>3</v>
      </c>
      <c r="I697" s="22" t="str">
        <f>VLOOKUP($A697, 'Medical Examinations'!$A:$J, 9, FALSE)</f>
        <v>No</v>
      </c>
      <c r="J697" s="22" t="str">
        <f>VLOOKUP($A697, 'Medical Examinations'!$A:$P, 11, FALSE)</f>
        <v>OBESITY</v>
      </c>
      <c r="K697" s="34">
        <v>28738.0</v>
      </c>
      <c r="L697" s="35">
        <f>VLOOKUP($A697, 'Hospitalisation Details'!$A:$H, 7, FALSE)</f>
        <v>14410.93</v>
      </c>
      <c r="M697" s="22" t="str">
        <f>VLOOKUP($A697, 'Hospitalisation Details'!$A:$L, 12, FALSE)</f>
        <v>tier - 2</v>
      </c>
      <c r="N697" s="22" t="str">
        <f>VLOOKUP($A697, 'Hospitalisation Details'!$A:$M, 13, FALSE)</f>
        <v>tier - 2</v>
      </c>
      <c r="O697" s="22" t="str">
        <f>VLOOKUP($A697, 'Hospitalisation Details'!$A:$N, 14, FALSE)</f>
        <v>R1016</v>
      </c>
      <c r="P697" s="36">
        <f>VLOOKUP($A697, 'Hospitalisation Details'!$A:$O, 15, FALSE)</f>
        <v>64</v>
      </c>
    </row>
    <row r="698" ht="15.75" customHeight="1">
      <c r="A698" s="33" t="s">
        <v>1395</v>
      </c>
      <c r="B698" s="22" t="str">
        <f>VLOOKUP($A698,'Customer Names'!$A:$D,3, FALSE)</f>
        <v>Routon</v>
      </c>
      <c r="C698" s="22">
        <f>VLOOKUP($A698,'Medical Examinations'!$A:$D, 2, FALSE)</f>
        <v>26.41</v>
      </c>
      <c r="D698" s="22">
        <f>VLOOKUP($A698, 'Medical Examinations'!$A:$D,3, FALSE)</f>
        <v>8.11</v>
      </c>
      <c r="E698" s="22" t="str">
        <f>VLOOKUP($A698, 'Medical Examinations'!$A:$D, 4, FALSE)</f>
        <v>No</v>
      </c>
      <c r="F698" s="22" t="str">
        <f>VLOOKUP($A698, 'Medical Examinations'!$A:$J, 5, FALSE)</f>
        <v>No</v>
      </c>
      <c r="G698" s="22" t="str">
        <f>VLOOKUP($A698, 'Medical Examinations'!$A:$I, 6, FALSE)</f>
        <v>No</v>
      </c>
      <c r="H698" s="22">
        <f>VLOOKUP($A698,'Medical Examinations'!$A:$L,10, FALSE)</f>
        <v>3</v>
      </c>
      <c r="I698" s="22" t="str">
        <f>VLOOKUP($A698, 'Medical Examinations'!$A:$J, 9, FALSE)</f>
        <v>No</v>
      </c>
      <c r="J698" s="22" t="str">
        <f>VLOOKUP($A698, 'Medical Examinations'!$A:$P, 11, FALSE)</f>
        <v>OVERWEIGHT</v>
      </c>
      <c r="K698" s="34">
        <v>33193.0</v>
      </c>
      <c r="L698" s="35">
        <f>VLOOKUP($A698, 'Hospitalisation Details'!$A:$H, 7, FALSE)</f>
        <v>14394.56</v>
      </c>
      <c r="M698" s="22" t="str">
        <f>VLOOKUP($A698, 'Hospitalisation Details'!$A:$L, 12, FALSE)</f>
        <v>tier - 2</v>
      </c>
      <c r="N698" s="22" t="str">
        <f>VLOOKUP($A698, 'Hospitalisation Details'!$A:$M, 13, FALSE)</f>
        <v>tier - 1</v>
      </c>
      <c r="O698" s="22" t="str">
        <f>VLOOKUP($A698, 'Hospitalisation Details'!$A:$N, 14, FALSE)</f>
        <v>R1018</v>
      </c>
      <c r="P698" s="36">
        <f>VLOOKUP($A698, 'Hospitalisation Details'!$A:$O, 15, FALSE)</f>
        <v>64</v>
      </c>
    </row>
    <row r="699" ht="15.75" customHeight="1">
      <c r="A699" s="33" t="s">
        <v>1397</v>
      </c>
      <c r="B699" s="22" t="str">
        <f>VLOOKUP($A699,'Customer Names'!$A:$D,3, FALSE)</f>
        <v>Dochelli</v>
      </c>
      <c r="C699" s="22">
        <f>VLOOKUP($A699,'Medical Examinations'!$A:$D, 2, FALSE)</f>
        <v>28.785</v>
      </c>
      <c r="D699" s="22">
        <f>VLOOKUP($A699, 'Medical Examinations'!$A:$D,3, FALSE)</f>
        <v>6.6</v>
      </c>
      <c r="E699" s="22" t="str">
        <f>VLOOKUP($A699, 'Medical Examinations'!$A:$D, 4, FALSE)</f>
        <v>No</v>
      </c>
      <c r="F699" s="22" t="str">
        <f>VLOOKUP($A699, 'Medical Examinations'!$A:$J, 5, FALSE)</f>
        <v>No</v>
      </c>
      <c r="G699" s="22" t="str">
        <f>VLOOKUP($A699, 'Medical Examinations'!$A:$I, 6, FALSE)</f>
        <v>No</v>
      </c>
      <c r="H699" s="22">
        <f>VLOOKUP($A699,'Medical Examinations'!$A:$L,10, FALSE)</f>
        <v>0</v>
      </c>
      <c r="I699" s="22" t="str">
        <f>VLOOKUP($A699, 'Medical Examinations'!$A:$J, 9, FALSE)</f>
        <v>No</v>
      </c>
      <c r="J699" s="22" t="str">
        <f>VLOOKUP($A699, 'Medical Examinations'!$A:$P, 11, FALSE)</f>
        <v>OVERWEIGHT</v>
      </c>
      <c r="K699" s="34">
        <v>25516.0</v>
      </c>
      <c r="L699" s="35">
        <f>VLOOKUP($A699, 'Hospitalisation Details'!$A:$H, 7, FALSE)</f>
        <v>14394.4</v>
      </c>
      <c r="M699" s="22" t="str">
        <f>VLOOKUP($A699, 'Hospitalisation Details'!$A:$L, 12, FALSE)</f>
        <v>tier - 2</v>
      </c>
      <c r="N699" s="22" t="str">
        <f>VLOOKUP($A699, 'Hospitalisation Details'!$A:$M, 13, FALSE)</f>
        <v>tier - 3</v>
      </c>
      <c r="O699" s="22" t="str">
        <f>VLOOKUP($A699, 'Hospitalisation Details'!$A:$N, 14, FALSE)</f>
        <v>R1024</v>
      </c>
      <c r="P699" s="36">
        <f>VLOOKUP($A699, 'Hospitalisation Details'!$A:$O, 15, FALSE)</f>
        <v>57</v>
      </c>
    </row>
    <row r="700" ht="15.75" customHeight="1">
      <c r="A700" s="33" t="s">
        <v>1399</v>
      </c>
      <c r="B700" s="22" t="str">
        <f>VLOOKUP($A700,'Customer Names'!$A:$D,3, FALSE)</f>
        <v>Gillespie</v>
      </c>
      <c r="C700" s="22">
        <f>VLOOKUP($A700,'Medical Examinations'!$A:$D, 2, FALSE)</f>
        <v>26.695</v>
      </c>
      <c r="D700" s="22">
        <f>VLOOKUP($A700, 'Medical Examinations'!$A:$D,3, FALSE)</f>
        <v>10.14</v>
      </c>
      <c r="E700" s="22" t="str">
        <f>VLOOKUP($A700, 'Medical Examinations'!$A:$D, 4, FALSE)</f>
        <v>Yes</v>
      </c>
      <c r="F700" s="22" t="str">
        <f>VLOOKUP($A700, 'Medical Examinations'!$A:$J, 5, FALSE)</f>
        <v>No</v>
      </c>
      <c r="G700" s="22" t="str">
        <f>VLOOKUP($A700, 'Medical Examinations'!$A:$I, 6, FALSE)</f>
        <v>Yes</v>
      </c>
      <c r="H700" s="22">
        <f>VLOOKUP($A700,'Medical Examinations'!$A:$L,10, FALSE)</f>
        <v>1</v>
      </c>
      <c r="I700" s="22" t="str">
        <f>VLOOKUP($A700, 'Medical Examinations'!$A:$J, 9, FALSE)</f>
        <v>No</v>
      </c>
      <c r="J700" s="22" t="str">
        <f>VLOOKUP($A700, 'Medical Examinations'!$A:$P, 11, FALSE)</f>
        <v>OVERWEIGHT</v>
      </c>
      <c r="K700" s="34">
        <v>33103.0</v>
      </c>
      <c r="L700" s="35">
        <f>VLOOKUP($A700, 'Hospitalisation Details'!$A:$H, 7, FALSE)</f>
        <v>14382.71</v>
      </c>
      <c r="M700" s="22" t="str">
        <f>VLOOKUP($A700, 'Hospitalisation Details'!$A:$L, 12, FALSE)</f>
        <v>tier - 2</v>
      </c>
      <c r="N700" s="22" t="str">
        <f>VLOOKUP($A700, 'Hospitalisation Details'!$A:$M, 13, FALSE)</f>
        <v>tier - 2</v>
      </c>
      <c r="O700" s="22" t="str">
        <f>VLOOKUP($A700, 'Hospitalisation Details'!$A:$N, 14, FALSE)</f>
        <v>R1012</v>
      </c>
      <c r="P700" s="36">
        <f>VLOOKUP($A700, 'Hospitalisation Details'!$A:$O, 15, FALSE)</f>
        <v>59</v>
      </c>
    </row>
    <row r="701" ht="15.75" customHeight="1">
      <c r="A701" s="33" t="s">
        <v>1401</v>
      </c>
      <c r="B701" s="22" t="str">
        <f>VLOOKUP($A701,'Customer Names'!$A:$D,3, FALSE)</f>
        <v>Oskvig</v>
      </c>
      <c r="C701" s="22">
        <f>VLOOKUP($A701,'Medical Examinations'!$A:$D, 2, FALSE)</f>
        <v>32.8</v>
      </c>
      <c r="D701" s="22">
        <f>VLOOKUP($A701, 'Medical Examinations'!$A:$D,3, FALSE)</f>
        <v>6.06</v>
      </c>
      <c r="E701" s="22" t="str">
        <f>VLOOKUP($A701, 'Medical Examinations'!$A:$D, 4, FALSE)</f>
        <v>Yes</v>
      </c>
      <c r="F701" s="22" t="str">
        <f>VLOOKUP($A701, 'Medical Examinations'!$A:$J, 5, FALSE)</f>
        <v>No</v>
      </c>
      <c r="G701" s="22" t="str">
        <f>VLOOKUP($A701, 'Medical Examinations'!$A:$I, 6, FALSE)</f>
        <v>No</v>
      </c>
      <c r="H701" s="22">
        <f>VLOOKUP($A701,'Medical Examinations'!$A:$L,10, FALSE)</f>
        <v>1</v>
      </c>
      <c r="I701" s="22" t="str">
        <f>VLOOKUP($A701, 'Medical Examinations'!$A:$J, 9, FALSE)</f>
        <v>No</v>
      </c>
      <c r="J701" s="22" t="str">
        <f>VLOOKUP($A701, 'Medical Examinations'!$A:$P, 11, FALSE)</f>
        <v>OBESITY</v>
      </c>
      <c r="K701" s="34">
        <v>30636.0</v>
      </c>
      <c r="L701" s="35">
        <f>VLOOKUP($A701, 'Hospitalisation Details'!$A:$H, 7, FALSE)</f>
        <v>14358.36</v>
      </c>
      <c r="M701" s="22" t="str">
        <f>VLOOKUP($A701, 'Hospitalisation Details'!$A:$L, 12, FALSE)</f>
        <v>tier - 2</v>
      </c>
      <c r="N701" s="22" t="str">
        <f>VLOOKUP($A701, 'Hospitalisation Details'!$A:$M, 13, FALSE)</f>
        <v>tier - 2</v>
      </c>
      <c r="O701" s="22" t="str">
        <f>VLOOKUP($A701, 'Hospitalisation Details'!$A:$N, 14, FALSE)</f>
        <v>R1011</v>
      </c>
      <c r="P701" s="36">
        <f>VLOOKUP($A701, 'Hospitalisation Details'!$A:$O, 15, FALSE)</f>
        <v>34</v>
      </c>
    </row>
    <row r="702" ht="15.75" customHeight="1">
      <c r="A702" s="33" t="s">
        <v>1403</v>
      </c>
      <c r="B702" s="22" t="str">
        <f>VLOOKUP($A702,'Customer Names'!$A:$D,3, FALSE)</f>
        <v>Holland-Stergar</v>
      </c>
      <c r="C702" s="22">
        <f>VLOOKUP($A702,'Medical Examinations'!$A:$D, 2, FALSE)</f>
        <v>35.87</v>
      </c>
      <c r="D702" s="22">
        <f>VLOOKUP($A702, 'Medical Examinations'!$A:$D,3, FALSE)</f>
        <v>9.91</v>
      </c>
      <c r="E702" s="22" t="str">
        <f>VLOOKUP($A702, 'Medical Examinations'!$A:$D, 4, FALSE)</f>
        <v>Yes</v>
      </c>
      <c r="F702" s="22" t="str">
        <f>VLOOKUP($A702, 'Medical Examinations'!$A:$J, 5, FALSE)</f>
        <v>No</v>
      </c>
      <c r="G702" s="22" t="str">
        <f>VLOOKUP($A702, 'Medical Examinations'!$A:$I, 6, FALSE)</f>
        <v>No</v>
      </c>
      <c r="H702" s="22">
        <f>VLOOKUP($A702,'Medical Examinations'!$A:$L,10, FALSE)</f>
        <v>0</v>
      </c>
      <c r="I702" s="22" t="str">
        <f>VLOOKUP($A702, 'Medical Examinations'!$A:$J, 9, FALSE)</f>
        <v>No</v>
      </c>
      <c r="J702" s="22" t="str">
        <f>VLOOKUP($A702, 'Medical Examinations'!$A:$P, 11, FALSE)</f>
        <v>OBESITY</v>
      </c>
      <c r="K702" s="34">
        <v>30539.0</v>
      </c>
      <c r="L702" s="35">
        <f>VLOOKUP($A702, 'Hospitalisation Details'!$A:$H, 7, FALSE)</f>
        <v>14355.43</v>
      </c>
      <c r="M702" s="22" t="str">
        <f>VLOOKUP($A702, 'Hospitalisation Details'!$A:$L, 12, FALSE)</f>
        <v>tier - 2</v>
      </c>
      <c r="N702" s="22" t="str">
        <f>VLOOKUP($A702, 'Hospitalisation Details'!$A:$M, 13, FALSE)</f>
        <v>tier - 1</v>
      </c>
      <c r="O702" s="22" t="str">
        <f>VLOOKUP($A702, 'Hospitalisation Details'!$A:$N, 14, FALSE)</f>
        <v>R1026</v>
      </c>
      <c r="P702" s="36">
        <f>VLOOKUP($A702, 'Hospitalisation Details'!$A:$O, 15, FALSE)</f>
        <v>55</v>
      </c>
    </row>
    <row r="703" ht="15.75" customHeight="1">
      <c r="A703" s="33" t="s">
        <v>1405</v>
      </c>
      <c r="B703" s="22" t="str">
        <f>VLOOKUP($A703,'Customer Names'!$A:$D,3, FALSE)</f>
        <v>Arai</v>
      </c>
      <c r="C703" s="22">
        <f>VLOOKUP($A703,'Medical Examinations'!$A:$D, 2, FALSE)</f>
        <v>21.66</v>
      </c>
      <c r="D703" s="22">
        <f>VLOOKUP($A703, 'Medical Examinations'!$A:$D,3, FALSE)</f>
        <v>4.14</v>
      </c>
      <c r="E703" s="22" t="str">
        <f>VLOOKUP($A703, 'Medical Examinations'!$A:$D, 4, FALSE)</f>
        <v>Yes</v>
      </c>
      <c r="F703" s="22" t="str">
        <f>VLOOKUP($A703, 'Medical Examinations'!$A:$J, 5, FALSE)</f>
        <v>No</v>
      </c>
      <c r="G703" s="22" t="str">
        <f>VLOOKUP($A703, 'Medical Examinations'!$A:$I, 6, FALSE)</f>
        <v>No</v>
      </c>
      <c r="H703" s="22">
        <f>VLOOKUP($A703,'Medical Examinations'!$A:$L,10, FALSE)</f>
        <v>2</v>
      </c>
      <c r="I703" s="22" t="str">
        <f>VLOOKUP($A703, 'Medical Examinations'!$A:$J, 9, FALSE)</f>
        <v>No</v>
      </c>
      <c r="J703" s="22" t="str">
        <f>VLOOKUP($A703, 'Medical Examinations'!$A:$P, 11, FALSE)</f>
        <v>NORMAL WEIGHT</v>
      </c>
      <c r="K703" s="34">
        <v>33444.0</v>
      </c>
      <c r="L703" s="35">
        <f>VLOOKUP($A703, 'Hospitalisation Details'!$A:$H, 7, FALSE)</f>
        <v>14349.85</v>
      </c>
      <c r="M703" s="22" t="str">
        <f>VLOOKUP($A703, 'Hospitalisation Details'!$A:$L, 12, FALSE)</f>
        <v>tier - 2</v>
      </c>
      <c r="N703" s="22" t="str">
        <f>VLOOKUP($A703, 'Hospitalisation Details'!$A:$M, 13, FALSE)</f>
        <v>tier - 2</v>
      </c>
      <c r="O703" s="22" t="str">
        <f>VLOOKUP($A703, 'Hospitalisation Details'!$A:$N, 14, FALSE)</f>
        <v>R1012</v>
      </c>
      <c r="P703" s="36">
        <f>VLOOKUP($A703, 'Hospitalisation Details'!$A:$O, 15, FALSE)</f>
        <v>63</v>
      </c>
    </row>
    <row r="704" ht="15.75" customHeight="1">
      <c r="A704" s="33" t="s">
        <v>1407</v>
      </c>
      <c r="B704" s="22" t="str">
        <f>VLOOKUP($A704,'Customer Names'!$A:$D,3, FALSE)</f>
        <v>Olausson</v>
      </c>
      <c r="C704" s="22">
        <f>VLOOKUP($A704,'Medical Examinations'!$A:$D, 2, FALSE)</f>
        <v>37.72</v>
      </c>
      <c r="D704" s="22">
        <f>VLOOKUP($A704, 'Medical Examinations'!$A:$D,3, FALSE)</f>
        <v>4.38</v>
      </c>
      <c r="E704" s="22" t="str">
        <f>VLOOKUP($A704, 'Medical Examinations'!$A:$D, 4, FALSE)</f>
        <v>Yes</v>
      </c>
      <c r="F704" s="22" t="str">
        <f>VLOOKUP($A704, 'Medical Examinations'!$A:$J, 5, FALSE)</f>
        <v>No</v>
      </c>
      <c r="G704" s="22" t="str">
        <f>VLOOKUP($A704, 'Medical Examinations'!$A:$I, 6, FALSE)</f>
        <v>Yes</v>
      </c>
      <c r="H704" s="22">
        <f>VLOOKUP($A704,'Medical Examinations'!$A:$L,10, FALSE)</f>
        <v>1</v>
      </c>
      <c r="I704" s="22" t="str">
        <f>VLOOKUP($A704, 'Medical Examinations'!$A:$J, 9, FALSE)</f>
        <v>No</v>
      </c>
      <c r="J704" s="22" t="str">
        <f>VLOOKUP($A704, 'Medical Examinations'!$A:$P, 11, FALSE)</f>
        <v>OBESITY</v>
      </c>
      <c r="K704" s="34">
        <v>31249.0</v>
      </c>
      <c r="L704" s="35">
        <f>VLOOKUP($A704, 'Hospitalisation Details'!$A:$H, 7, FALSE)</f>
        <v>14337.91</v>
      </c>
      <c r="M704" s="22" t="str">
        <f>VLOOKUP($A704, 'Hospitalisation Details'!$A:$L, 12, FALSE)</f>
        <v>tier - 2</v>
      </c>
      <c r="N704" s="22" t="str">
        <f>VLOOKUP($A704, 'Hospitalisation Details'!$A:$M, 13, FALSE)</f>
        <v>tier - 3</v>
      </c>
      <c r="O704" s="22" t="str">
        <f>VLOOKUP($A704, 'Hospitalisation Details'!$A:$N, 14, FALSE)</f>
        <v>R1022</v>
      </c>
      <c r="P704" s="36">
        <f>VLOOKUP($A704, 'Hospitalisation Details'!$A:$O, 15, FALSE)</f>
        <v>53</v>
      </c>
    </row>
    <row r="705" ht="15.75" customHeight="1">
      <c r="A705" s="33" t="s">
        <v>1409</v>
      </c>
      <c r="B705" s="22" t="str">
        <f>VLOOKUP($A705,'Customer Names'!$A:$D,3, FALSE)</f>
        <v>Wagner</v>
      </c>
      <c r="C705" s="22">
        <f>VLOOKUP($A705,'Medical Examinations'!$A:$D, 2, FALSE)</f>
        <v>39.7</v>
      </c>
      <c r="D705" s="22">
        <f>VLOOKUP($A705, 'Medical Examinations'!$A:$D,3, FALSE)</f>
        <v>9.83</v>
      </c>
      <c r="E705" s="22" t="str">
        <f>VLOOKUP($A705, 'Medical Examinations'!$A:$D, 4, FALSE)</f>
        <v>No</v>
      </c>
      <c r="F705" s="22" t="str">
        <f>VLOOKUP($A705, 'Medical Examinations'!$A:$J, 5, FALSE)</f>
        <v>No</v>
      </c>
      <c r="G705" s="22" t="str">
        <f>VLOOKUP($A705, 'Medical Examinations'!$A:$I, 6, FALSE)</f>
        <v>No</v>
      </c>
      <c r="H705" s="22">
        <f>VLOOKUP($A705,'Medical Examinations'!$A:$L,10, FALSE)</f>
        <v>3</v>
      </c>
      <c r="I705" s="22" t="str">
        <f>VLOOKUP($A705, 'Medical Examinations'!$A:$J, 9, FALSE)</f>
        <v>No</v>
      </c>
      <c r="J705" s="22" t="str">
        <f>VLOOKUP($A705, 'Medical Examinations'!$A:$P, 11, FALSE)</f>
        <v>OBESITY</v>
      </c>
      <c r="K705" s="34">
        <v>34951.0</v>
      </c>
      <c r="L705" s="35">
        <f>VLOOKUP($A705, 'Hospitalisation Details'!$A:$H, 7, FALSE)</f>
        <v>14319.03</v>
      </c>
      <c r="M705" s="22" t="str">
        <f>VLOOKUP($A705, 'Hospitalisation Details'!$A:$L, 12, FALSE)</f>
        <v>tier - 2</v>
      </c>
      <c r="N705" s="22" t="str">
        <f>VLOOKUP($A705, 'Hospitalisation Details'!$A:$M, 13, FALSE)</f>
        <v>tier - 2</v>
      </c>
      <c r="O705" s="22" t="str">
        <f>VLOOKUP($A705, 'Hospitalisation Details'!$A:$N, 14, FALSE)</f>
        <v>R1011</v>
      </c>
      <c r="P705" s="36">
        <f>VLOOKUP($A705, 'Hospitalisation Details'!$A:$O, 15, FALSE)</f>
        <v>64</v>
      </c>
    </row>
    <row r="706" ht="15.75" customHeight="1">
      <c r="A706" s="33" t="s">
        <v>1411</v>
      </c>
      <c r="B706" s="22" t="str">
        <f>VLOOKUP($A706,'Customer Names'!$A:$D,3, FALSE)</f>
        <v>Delong</v>
      </c>
      <c r="C706" s="22">
        <f>VLOOKUP($A706,'Medical Examinations'!$A:$D, 2, FALSE)</f>
        <v>35.97</v>
      </c>
      <c r="D706" s="22">
        <f>VLOOKUP($A706, 'Medical Examinations'!$A:$D,3, FALSE)</f>
        <v>11.08</v>
      </c>
      <c r="E706" s="22" t="str">
        <f>VLOOKUP($A706, 'Medical Examinations'!$A:$D, 4, FALSE)</f>
        <v>No</v>
      </c>
      <c r="F706" s="22" t="str">
        <f>VLOOKUP($A706, 'Medical Examinations'!$A:$J, 5, FALSE)</f>
        <v>No</v>
      </c>
      <c r="G706" s="22" t="str">
        <f>VLOOKUP($A706, 'Medical Examinations'!$A:$I, 6, FALSE)</f>
        <v>No</v>
      </c>
      <c r="H706" s="22">
        <f>VLOOKUP($A706,'Medical Examinations'!$A:$L,10, FALSE)</f>
        <v>3</v>
      </c>
      <c r="I706" s="22" t="str">
        <f>VLOOKUP($A706, 'Medical Examinations'!$A:$J, 9, FALSE)</f>
        <v>No</v>
      </c>
      <c r="J706" s="22" t="str">
        <f>VLOOKUP($A706, 'Medical Examinations'!$A:$P, 11, FALSE)</f>
        <v>OBESITY</v>
      </c>
      <c r="K706" s="34">
        <v>25728.0</v>
      </c>
      <c r="L706" s="35">
        <f>VLOOKUP($A706, 'Hospitalisation Details'!$A:$H, 7, FALSE)</f>
        <v>14313.85</v>
      </c>
      <c r="M706" s="22" t="str">
        <f>VLOOKUP($A706, 'Hospitalisation Details'!$A:$L, 12, FALSE)</f>
        <v>tier - 2</v>
      </c>
      <c r="N706" s="22" t="str">
        <f>VLOOKUP($A706, 'Hospitalisation Details'!$A:$M, 13, FALSE)</f>
        <v>tier - 3</v>
      </c>
      <c r="O706" s="22" t="str">
        <f>VLOOKUP($A706, 'Hospitalisation Details'!$A:$N, 14, FALSE)</f>
        <v>R1013</v>
      </c>
      <c r="P706" s="36">
        <f>VLOOKUP($A706, 'Hospitalisation Details'!$A:$O, 15, FALSE)</f>
        <v>64</v>
      </c>
    </row>
    <row r="707" ht="15.75" customHeight="1">
      <c r="A707" s="33" t="s">
        <v>1413</v>
      </c>
      <c r="B707" s="22" t="str">
        <f>VLOOKUP($A707,'Customer Names'!$A:$D,3, FALSE)</f>
        <v>Mehech</v>
      </c>
      <c r="C707" s="22">
        <f>VLOOKUP($A707,'Medical Examinations'!$A:$D, 2, FALSE)</f>
        <v>37.85</v>
      </c>
      <c r="D707" s="22">
        <f>VLOOKUP($A707, 'Medical Examinations'!$A:$D,3, FALSE)</f>
        <v>11.01</v>
      </c>
      <c r="E707" s="22" t="str">
        <f>VLOOKUP($A707, 'Medical Examinations'!$A:$D, 4, FALSE)</f>
        <v>No</v>
      </c>
      <c r="F707" s="22" t="str">
        <f>VLOOKUP($A707, 'Medical Examinations'!$A:$J, 5, FALSE)</f>
        <v>No</v>
      </c>
      <c r="G707" s="22" t="str">
        <f>VLOOKUP($A707, 'Medical Examinations'!$A:$I, 6, FALSE)</f>
        <v>No</v>
      </c>
      <c r="H707" s="22">
        <f>VLOOKUP($A707,'Medical Examinations'!$A:$L,10, FALSE)</f>
        <v>0</v>
      </c>
      <c r="I707" s="22" t="str">
        <f>VLOOKUP($A707, 'Medical Examinations'!$A:$J, 9, FALSE)</f>
        <v>No</v>
      </c>
      <c r="J707" s="22" t="str">
        <f>VLOOKUP($A707, 'Medical Examinations'!$A:$P, 11, FALSE)</f>
        <v>OBESITY</v>
      </c>
      <c r="K707" s="34">
        <v>30888.0</v>
      </c>
      <c r="L707" s="35">
        <f>VLOOKUP($A707, 'Hospitalisation Details'!$A:$H, 7, FALSE)</f>
        <v>14285.9</v>
      </c>
      <c r="M707" s="22" t="str">
        <f>VLOOKUP($A707, 'Hospitalisation Details'!$A:$L, 12, FALSE)</f>
        <v>tier - 2</v>
      </c>
      <c r="N707" s="22" t="str">
        <f>VLOOKUP($A707, 'Hospitalisation Details'!$A:$M, 13, FALSE)</f>
        <v>tier - 3</v>
      </c>
      <c r="O707" s="22" t="str">
        <f>VLOOKUP($A707, 'Hospitalisation Details'!$A:$N, 14, FALSE)</f>
        <v>R1012</v>
      </c>
      <c r="P707" s="36">
        <f>VLOOKUP($A707, 'Hospitalisation Details'!$A:$O, 15, FALSE)</f>
        <v>54</v>
      </c>
    </row>
    <row r="708" ht="15.75" customHeight="1">
      <c r="A708" s="33" t="s">
        <v>1415</v>
      </c>
      <c r="B708" s="22" t="str">
        <f>VLOOKUP($A708,'Customer Names'!$A:$D,3, FALSE)</f>
        <v>Machiela</v>
      </c>
      <c r="C708" s="22">
        <f>VLOOKUP($A708,'Medical Examinations'!$A:$D, 2, FALSE)</f>
        <v>21.66</v>
      </c>
      <c r="D708" s="22">
        <f>VLOOKUP($A708, 'Medical Examinations'!$A:$D,3, FALSE)</f>
        <v>4.37</v>
      </c>
      <c r="E708" s="22" t="str">
        <f>VLOOKUP($A708, 'Medical Examinations'!$A:$D, 4, FALSE)</f>
        <v>No</v>
      </c>
      <c r="F708" s="22" t="str">
        <f>VLOOKUP($A708, 'Medical Examinations'!$A:$J, 5, FALSE)</f>
        <v>Yes</v>
      </c>
      <c r="G708" s="22" t="str">
        <f>VLOOKUP($A708, 'Medical Examinations'!$A:$I, 6, FALSE)</f>
        <v>No</v>
      </c>
      <c r="H708" s="22">
        <f>VLOOKUP($A708,'Medical Examinations'!$A:$L,10, FALSE)</f>
        <v>1</v>
      </c>
      <c r="I708" s="22" t="str">
        <f>VLOOKUP($A708, 'Medical Examinations'!$A:$J, 9, FALSE)</f>
        <v>Yes</v>
      </c>
      <c r="J708" s="22" t="str">
        <f>VLOOKUP($A708, 'Medical Examinations'!$A:$P, 11, FALSE)</f>
        <v>NORMAL WEIGHT</v>
      </c>
      <c r="K708" s="34">
        <v>30969.0</v>
      </c>
      <c r="L708" s="35">
        <f>VLOOKUP($A708, 'Hospitalisation Details'!$A:$H, 7, FALSE)</f>
        <v>14283.46</v>
      </c>
      <c r="M708" s="22" t="str">
        <f>VLOOKUP($A708, 'Hospitalisation Details'!$A:$L, 12, FALSE)</f>
        <v>tier - 2</v>
      </c>
      <c r="N708" s="22" t="str">
        <f>VLOOKUP($A708, 'Hospitalisation Details'!$A:$M, 13, FALSE)</f>
        <v>tier - 2</v>
      </c>
      <c r="O708" s="22" t="str">
        <f>VLOOKUP($A708, 'Hospitalisation Details'!$A:$N, 14, FALSE)</f>
        <v>R1024</v>
      </c>
      <c r="P708" s="36">
        <f>VLOOKUP($A708, 'Hospitalisation Details'!$A:$O, 15, FALSE)</f>
        <v>18</v>
      </c>
    </row>
    <row r="709" ht="15.75" customHeight="1">
      <c r="A709" s="33" t="s">
        <v>1417</v>
      </c>
      <c r="B709" s="22" t="str">
        <f>VLOOKUP($A709,'Customer Names'!$A:$D,3, FALSE)</f>
        <v>Young</v>
      </c>
      <c r="C709" s="22">
        <f>VLOOKUP($A709,'Medical Examinations'!$A:$D, 2, FALSE)</f>
        <v>39.37</v>
      </c>
      <c r="D709" s="22">
        <f>VLOOKUP($A709, 'Medical Examinations'!$A:$D,3, FALSE)</f>
        <v>5.91</v>
      </c>
      <c r="E709" s="22" t="str">
        <f>VLOOKUP($A709, 'Medical Examinations'!$A:$D, 4, FALSE)</f>
        <v>No</v>
      </c>
      <c r="F709" s="22" t="str">
        <f>VLOOKUP($A709, 'Medical Examinations'!$A:$J, 5, FALSE)</f>
        <v>No</v>
      </c>
      <c r="G709" s="22" t="str">
        <f>VLOOKUP($A709, 'Medical Examinations'!$A:$I, 6, FALSE)</f>
        <v>No</v>
      </c>
      <c r="H709" s="22">
        <f>VLOOKUP($A709,'Medical Examinations'!$A:$L,10, FALSE)</f>
        <v>2</v>
      </c>
      <c r="I709" s="22" t="str">
        <f>VLOOKUP($A709, 'Medical Examinations'!$A:$J, 9, FALSE)</f>
        <v>No</v>
      </c>
      <c r="J709" s="22" t="str">
        <f>VLOOKUP($A709, 'Medical Examinations'!$A:$P, 11, FALSE)</f>
        <v>OBESITY</v>
      </c>
      <c r="K709" s="34">
        <v>36811.0</v>
      </c>
      <c r="L709" s="35">
        <f>VLOOKUP($A709, 'Hospitalisation Details'!$A:$H, 7, FALSE)</f>
        <v>14258.33</v>
      </c>
      <c r="M709" s="22" t="str">
        <f>VLOOKUP($A709, 'Hospitalisation Details'!$A:$L, 12, FALSE)</f>
        <v>tier - 2</v>
      </c>
      <c r="N709" s="22" t="str">
        <f>VLOOKUP($A709, 'Hospitalisation Details'!$A:$M, 13, FALSE)</f>
        <v>tier - 2</v>
      </c>
      <c r="O709" s="22" t="str">
        <f>VLOOKUP($A709, 'Hospitalisation Details'!$A:$N, 14, FALSE)</f>
        <v>R1026</v>
      </c>
      <c r="P709" s="36">
        <f>VLOOKUP($A709, 'Hospitalisation Details'!$A:$O, 15, FALSE)</f>
        <v>50</v>
      </c>
    </row>
    <row r="710" ht="15.75" customHeight="1">
      <c r="A710" s="33" t="s">
        <v>1419</v>
      </c>
      <c r="B710" s="22" t="str">
        <f>VLOOKUP($A710,'Customer Names'!$A:$D,3, FALSE)</f>
        <v>Dupere</v>
      </c>
      <c r="C710" s="22">
        <f>VLOOKUP($A710,'Medical Examinations'!$A:$D, 2, FALSE)</f>
        <v>40.88</v>
      </c>
      <c r="D710" s="22">
        <f>VLOOKUP($A710, 'Medical Examinations'!$A:$D,3, FALSE)</f>
        <v>7.65</v>
      </c>
      <c r="E710" s="22" t="str">
        <f>VLOOKUP($A710, 'Medical Examinations'!$A:$D, 4, FALSE)</f>
        <v>No</v>
      </c>
      <c r="F710" s="22" t="str">
        <f>VLOOKUP($A710, 'Medical Examinations'!$A:$J, 5, FALSE)</f>
        <v>No</v>
      </c>
      <c r="G710" s="22" t="str">
        <f>VLOOKUP($A710, 'Medical Examinations'!$A:$I, 6, FALSE)</f>
        <v>No</v>
      </c>
      <c r="H710" s="22">
        <f>VLOOKUP($A710,'Medical Examinations'!$A:$L,10, FALSE)</f>
        <v>0</v>
      </c>
      <c r="I710" s="22" t="str">
        <f>VLOOKUP($A710, 'Medical Examinations'!$A:$J, 9, FALSE)</f>
        <v>No</v>
      </c>
      <c r="J710" s="22" t="str">
        <f>VLOOKUP($A710, 'Medical Examinations'!$A:$P, 11, FALSE)</f>
        <v>OBESITY</v>
      </c>
      <c r="K710" s="34">
        <v>29075.0</v>
      </c>
      <c r="L710" s="35">
        <f>VLOOKUP($A710, 'Hospitalisation Details'!$A:$H, 7, FALSE)</f>
        <v>14256.79</v>
      </c>
      <c r="M710" s="22" t="str">
        <f>VLOOKUP($A710, 'Hospitalisation Details'!$A:$L, 12, FALSE)</f>
        <v>tier - 2</v>
      </c>
      <c r="N710" s="22" t="str">
        <f>VLOOKUP($A710, 'Hospitalisation Details'!$A:$M, 13, FALSE)</f>
        <v>tier - 2</v>
      </c>
      <c r="O710" s="22" t="str">
        <f>VLOOKUP($A710, 'Hospitalisation Details'!$A:$N, 14, FALSE)</f>
        <v>R1026</v>
      </c>
      <c r="P710" s="36">
        <f>VLOOKUP($A710, 'Hospitalisation Details'!$A:$O, 15, FALSE)</f>
        <v>48</v>
      </c>
    </row>
    <row r="711" ht="15.75" customHeight="1">
      <c r="A711" s="33" t="s">
        <v>1421</v>
      </c>
      <c r="B711" s="22" t="str">
        <f>VLOOKUP($A711,'Customer Names'!$A:$D,3, FALSE)</f>
        <v>Iandolo</v>
      </c>
      <c r="C711" s="22">
        <f>VLOOKUP($A711,'Medical Examinations'!$A:$D, 2, FALSE)</f>
        <v>26.22</v>
      </c>
      <c r="D711" s="22">
        <f>VLOOKUP($A711, 'Medical Examinations'!$A:$D,3, FALSE)</f>
        <v>5.37</v>
      </c>
      <c r="E711" s="22" t="str">
        <f>VLOOKUP($A711, 'Medical Examinations'!$A:$D, 4, FALSE)</f>
        <v>Yes</v>
      </c>
      <c r="F711" s="22" t="str">
        <f>VLOOKUP($A711, 'Medical Examinations'!$A:$J, 5, FALSE)</f>
        <v>No</v>
      </c>
      <c r="G711" s="22" t="str">
        <f>VLOOKUP($A711, 'Medical Examinations'!$A:$I, 6, FALSE)</f>
        <v>No</v>
      </c>
      <c r="H711" s="22">
        <f>VLOOKUP($A711,'Medical Examinations'!$A:$L,10, FALSE)</f>
        <v>2</v>
      </c>
      <c r="I711" s="22" t="str">
        <f>VLOOKUP($A711, 'Medical Examinations'!$A:$J, 9, FALSE)</f>
        <v>No</v>
      </c>
      <c r="J711" s="22" t="str">
        <f>VLOOKUP($A711, 'Medical Examinations'!$A:$P, 11, FALSE)</f>
        <v>OVERWEIGHT</v>
      </c>
      <c r="K711" s="34">
        <v>30946.0</v>
      </c>
      <c r="L711" s="35">
        <f>VLOOKUP($A711, 'Hospitalisation Details'!$A:$H, 7, FALSE)</f>
        <v>14256.19</v>
      </c>
      <c r="M711" s="22" t="str">
        <f>VLOOKUP($A711, 'Hospitalisation Details'!$A:$L, 12, FALSE)</f>
        <v>tier - 2</v>
      </c>
      <c r="N711" s="22" t="str">
        <f>VLOOKUP($A711, 'Hospitalisation Details'!$A:$M, 13, FALSE)</f>
        <v>tier - 3</v>
      </c>
      <c r="O711" s="22" t="str">
        <f>VLOOKUP($A711, 'Hospitalisation Details'!$A:$N, 14, FALSE)</f>
        <v>R1012</v>
      </c>
      <c r="P711" s="36">
        <f>VLOOKUP($A711, 'Hospitalisation Details'!$A:$O, 15, FALSE)</f>
        <v>63</v>
      </c>
    </row>
    <row r="712" ht="15.75" customHeight="1">
      <c r="A712" s="33" t="s">
        <v>1423</v>
      </c>
      <c r="B712" s="22" t="str">
        <f>VLOOKUP($A712,'Customer Names'!$A:$D,3, FALSE)</f>
        <v>Ito</v>
      </c>
      <c r="C712" s="22">
        <f>VLOOKUP($A712,'Medical Examinations'!$A:$D, 2, FALSE)</f>
        <v>25.08</v>
      </c>
      <c r="D712" s="22">
        <f>VLOOKUP($A712, 'Medical Examinations'!$A:$D,3, FALSE)</f>
        <v>5.75</v>
      </c>
      <c r="E712" s="22" t="str">
        <f>VLOOKUP($A712, 'Medical Examinations'!$A:$D, 4, FALSE)</f>
        <v>Yes</v>
      </c>
      <c r="F712" s="22" t="str">
        <f>VLOOKUP($A712, 'Medical Examinations'!$A:$J, 5, FALSE)</f>
        <v>No</v>
      </c>
      <c r="G712" s="22" t="str">
        <f>VLOOKUP($A712, 'Medical Examinations'!$A:$I, 6, FALSE)</f>
        <v>No</v>
      </c>
      <c r="H712" s="22">
        <f>VLOOKUP($A712,'Medical Examinations'!$A:$L,10, FALSE)</f>
        <v>2</v>
      </c>
      <c r="I712" s="22" t="str">
        <f>VLOOKUP($A712, 'Medical Examinations'!$A:$J, 9, FALSE)</f>
        <v>No</v>
      </c>
      <c r="J712" s="22" t="str">
        <f>VLOOKUP($A712, 'Medical Examinations'!$A:$P, 11, FALSE)</f>
        <v>OVERWEIGHT</v>
      </c>
      <c r="K712" s="34">
        <v>34646.0</v>
      </c>
      <c r="L712" s="35">
        <f>VLOOKUP($A712, 'Hospitalisation Details'!$A:$H, 7, FALSE)</f>
        <v>14254.61</v>
      </c>
      <c r="M712" s="22" t="str">
        <f>VLOOKUP($A712, 'Hospitalisation Details'!$A:$L, 12, FALSE)</f>
        <v>tier - 2</v>
      </c>
      <c r="N712" s="22" t="str">
        <f>VLOOKUP($A712, 'Hospitalisation Details'!$A:$M, 13, FALSE)</f>
        <v>tier - 1</v>
      </c>
      <c r="O712" s="22" t="str">
        <f>VLOOKUP($A712, 'Hospitalisation Details'!$A:$N, 14, FALSE)</f>
        <v>R1012</v>
      </c>
      <c r="P712" s="36">
        <f>VLOOKUP($A712, 'Hospitalisation Details'!$A:$O, 15, FALSE)</f>
        <v>63</v>
      </c>
    </row>
    <row r="713" ht="15.75" customHeight="1">
      <c r="A713" s="33" t="s">
        <v>1425</v>
      </c>
      <c r="B713" s="22" t="str">
        <f>VLOOKUP($A713,'Customer Names'!$A:$D,3, FALSE)</f>
        <v>Barry</v>
      </c>
      <c r="C713" s="22">
        <f>VLOOKUP($A713,'Medical Examinations'!$A:$D, 2, FALSE)</f>
        <v>39.1</v>
      </c>
      <c r="D713" s="22">
        <f>VLOOKUP($A713, 'Medical Examinations'!$A:$D,3, FALSE)</f>
        <v>6.79</v>
      </c>
      <c r="E713" s="22" t="str">
        <f>VLOOKUP($A713, 'Medical Examinations'!$A:$D, 4, FALSE)</f>
        <v>Yes</v>
      </c>
      <c r="F713" s="22" t="str">
        <f>VLOOKUP($A713, 'Medical Examinations'!$A:$J, 5, FALSE)</f>
        <v>No</v>
      </c>
      <c r="G713" s="22" t="str">
        <f>VLOOKUP($A713, 'Medical Examinations'!$A:$I, 6, FALSE)</f>
        <v>No</v>
      </c>
      <c r="H713" s="22">
        <f>VLOOKUP($A713,'Medical Examinations'!$A:$L,10, FALSE)</f>
        <v>2</v>
      </c>
      <c r="I713" s="22" t="str">
        <f>VLOOKUP($A713, 'Medical Examinations'!$A:$J, 9, FALSE)</f>
        <v>No</v>
      </c>
      <c r="J713" s="22" t="str">
        <f>VLOOKUP($A713, 'Medical Examinations'!$A:$P, 11, FALSE)</f>
        <v>OBESITY</v>
      </c>
      <c r="K713" s="34">
        <v>35274.0</v>
      </c>
      <c r="L713" s="35">
        <f>VLOOKUP($A713, 'Hospitalisation Details'!$A:$H, 7, FALSE)</f>
        <v>14235.07</v>
      </c>
      <c r="M713" s="22" t="str">
        <f>VLOOKUP($A713, 'Hospitalisation Details'!$A:$L, 12, FALSE)</f>
        <v>tier - 2</v>
      </c>
      <c r="N713" s="22" t="str">
        <f>VLOOKUP($A713, 'Hospitalisation Details'!$A:$M, 13, FALSE)</f>
        <v>tier - 1</v>
      </c>
      <c r="O713" s="22" t="str">
        <f>VLOOKUP($A713, 'Hospitalisation Details'!$A:$N, 14, FALSE)</f>
        <v>R1011</v>
      </c>
      <c r="P713" s="36">
        <f>VLOOKUP($A713, 'Hospitalisation Details'!$A:$O, 15, FALSE)</f>
        <v>61</v>
      </c>
    </row>
    <row r="714" ht="15.75" customHeight="1">
      <c r="A714" s="33" t="s">
        <v>1427</v>
      </c>
      <c r="B714" s="22" t="str">
        <f>VLOOKUP($A714,'Customer Names'!$A:$D,3, FALSE)</f>
        <v>Boyce</v>
      </c>
      <c r="C714" s="22">
        <f>VLOOKUP($A714,'Medical Examinations'!$A:$D, 2, FALSE)</f>
        <v>37.905</v>
      </c>
      <c r="D714" s="22">
        <f>VLOOKUP($A714, 'Medical Examinations'!$A:$D,3, FALSE)</f>
        <v>7.03</v>
      </c>
      <c r="E714" s="22" t="str">
        <f>VLOOKUP($A714, 'Medical Examinations'!$A:$D, 4, FALSE)</f>
        <v>No</v>
      </c>
      <c r="F714" s="22" t="str">
        <f>VLOOKUP($A714, 'Medical Examinations'!$A:$J, 5, FALSE)</f>
        <v>No</v>
      </c>
      <c r="G714" s="22" t="str">
        <f>VLOOKUP($A714, 'Medical Examinations'!$A:$I, 6, FALSE)</f>
        <v>No</v>
      </c>
      <c r="H714" s="22">
        <f>VLOOKUP($A714,'Medical Examinations'!$A:$L,10, FALSE)</f>
        <v>3</v>
      </c>
      <c r="I714" s="22" t="str">
        <f>VLOOKUP($A714, 'Medical Examinations'!$A:$J, 9, FALSE)</f>
        <v>No</v>
      </c>
      <c r="J714" s="22" t="str">
        <f>VLOOKUP($A714, 'Medical Examinations'!$A:$P, 11, FALSE)</f>
        <v>OBESITY</v>
      </c>
      <c r="K714" s="34">
        <v>32736.0</v>
      </c>
      <c r="L714" s="35">
        <f>VLOOKUP($A714, 'Hospitalisation Details'!$A:$H, 7, FALSE)</f>
        <v>14210.54</v>
      </c>
      <c r="M714" s="22" t="str">
        <f>VLOOKUP($A714, 'Hospitalisation Details'!$A:$L, 12, FALSE)</f>
        <v>tier - 2</v>
      </c>
      <c r="N714" s="22" t="str">
        <f>VLOOKUP($A714, 'Hospitalisation Details'!$A:$M, 13, FALSE)</f>
        <v>tier - 2</v>
      </c>
      <c r="O714" s="22" t="str">
        <f>VLOOKUP($A714, 'Hospitalisation Details'!$A:$N, 14, FALSE)</f>
        <v>R1012</v>
      </c>
      <c r="P714" s="36">
        <f>VLOOKUP($A714, 'Hospitalisation Details'!$A:$O, 15, FALSE)</f>
        <v>64</v>
      </c>
    </row>
    <row r="715" ht="15.75" customHeight="1">
      <c r="A715" s="33" t="s">
        <v>1429</v>
      </c>
      <c r="B715" s="22" t="str">
        <f>VLOOKUP($A715,'Customer Names'!$A:$D,3, FALSE)</f>
        <v>Lin</v>
      </c>
      <c r="C715" s="22">
        <f>VLOOKUP($A715,'Medical Examinations'!$A:$D, 2, FALSE)</f>
        <v>43.35</v>
      </c>
      <c r="D715" s="22">
        <f>VLOOKUP($A715, 'Medical Examinations'!$A:$D,3, FALSE)</f>
        <v>5.41</v>
      </c>
      <c r="E715" s="22" t="str">
        <f>VLOOKUP($A715, 'Medical Examinations'!$A:$D, 4, FALSE)</f>
        <v>Yes</v>
      </c>
      <c r="F715" s="22" t="str">
        <f>VLOOKUP($A715, 'Medical Examinations'!$A:$J, 5, FALSE)</f>
        <v>No</v>
      </c>
      <c r="G715" s="22" t="str">
        <f>VLOOKUP($A715, 'Medical Examinations'!$A:$I, 6, FALSE)</f>
        <v>Yes</v>
      </c>
      <c r="H715" s="22">
        <f>VLOOKUP($A715,'Medical Examinations'!$A:$L,10, FALSE)</f>
        <v>1</v>
      </c>
      <c r="I715" s="22" t="str">
        <f>VLOOKUP($A715, 'Medical Examinations'!$A:$J, 9, FALSE)</f>
        <v>No</v>
      </c>
      <c r="J715" s="22" t="str">
        <f>VLOOKUP($A715, 'Medical Examinations'!$A:$P, 11, FALSE)</f>
        <v>OBESITY</v>
      </c>
      <c r="K715" s="34">
        <v>29441.0</v>
      </c>
      <c r="L715" s="35">
        <f>VLOOKUP($A715, 'Hospitalisation Details'!$A:$H, 7, FALSE)</f>
        <v>14209.4</v>
      </c>
      <c r="M715" s="22" t="str">
        <f>VLOOKUP($A715, 'Hospitalisation Details'!$A:$L, 12, FALSE)</f>
        <v>tier - 2</v>
      </c>
      <c r="N715" s="22" t="str">
        <f>VLOOKUP($A715, 'Hospitalisation Details'!$A:$M, 13, FALSE)</f>
        <v>tier - 1</v>
      </c>
      <c r="O715" s="22" t="str">
        <f>VLOOKUP($A715, 'Hospitalisation Details'!$A:$N, 14, FALSE)</f>
        <v>R1026</v>
      </c>
      <c r="P715" s="36">
        <f>VLOOKUP($A715, 'Hospitalisation Details'!$A:$O, 15, FALSE)</f>
        <v>39</v>
      </c>
    </row>
    <row r="716" ht="15.75" customHeight="1">
      <c r="A716" s="33" t="s">
        <v>1431</v>
      </c>
      <c r="B716" s="22" t="str">
        <f>VLOOKUP($A716,'Customer Names'!$A:$D,3, FALSE)</f>
        <v>Smith</v>
      </c>
      <c r="C716" s="22">
        <f>VLOOKUP($A716,'Medical Examinations'!$A:$D, 2, FALSE)</f>
        <v>36.15</v>
      </c>
      <c r="D716" s="22">
        <f>VLOOKUP($A716, 'Medical Examinations'!$A:$D,3, FALSE)</f>
        <v>8.05</v>
      </c>
      <c r="E716" s="22" t="str">
        <f>VLOOKUP($A716, 'Medical Examinations'!$A:$D, 4, FALSE)</f>
        <v>No</v>
      </c>
      <c r="F716" s="22" t="str">
        <f>VLOOKUP($A716, 'Medical Examinations'!$A:$J, 5, FALSE)</f>
        <v>No</v>
      </c>
      <c r="G716" s="22" t="str">
        <f>VLOOKUP($A716, 'Medical Examinations'!$A:$I, 6, FALSE)</f>
        <v>No</v>
      </c>
      <c r="H716" s="22">
        <f>VLOOKUP($A716,'Medical Examinations'!$A:$L,10, FALSE)</f>
        <v>0</v>
      </c>
      <c r="I716" s="22" t="str">
        <f>VLOOKUP($A716, 'Medical Examinations'!$A:$J, 9, FALSE)</f>
        <v>No</v>
      </c>
      <c r="J716" s="22" t="str">
        <f>VLOOKUP($A716, 'Medical Examinations'!$A:$P, 11, FALSE)</f>
        <v>OBESITY</v>
      </c>
      <c r="K716" s="34">
        <v>27258.0</v>
      </c>
      <c r="L716" s="35">
        <f>VLOOKUP($A716, 'Hospitalisation Details'!$A:$H, 7, FALSE)</f>
        <v>14193.55</v>
      </c>
      <c r="M716" s="22" t="str">
        <f>VLOOKUP($A716, 'Hospitalisation Details'!$A:$L, 12, FALSE)</f>
        <v>tier - 2</v>
      </c>
      <c r="N716" s="22" t="str">
        <f>VLOOKUP($A716, 'Hospitalisation Details'!$A:$M, 13, FALSE)</f>
        <v>tier - 1</v>
      </c>
      <c r="O716" s="22" t="str">
        <f>VLOOKUP($A716, 'Hospitalisation Details'!$A:$N, 14, FALSE)</f>
        <v>R1026</v>
      </c>
      <c r="P716" s="36">
        <f>VLOOKUP($A716, 'Hospitalisation Details'!$A:$O, 15, FALSE)</f>
        <v>54</v>
      </c>
    </row>
    <row r="717" ht="15.75" customHeight="1">
      <c r="A717" s="33" t="s">
        <v>1433</v>
      </c>
      <c r="B717" s="22" t="str">
        <f>VLOOKUP($A717,'Customer Names'!$A:$D,3, FALSE)</f>
        <v>Nalven</v>
      </c>
      <c r="C717" s="22">
        <f>VLOOKUP($A717,'Medical Examinations'!$A:$D, 2, FALSE)</f>
        <v>44.98</v>
      </c>
      <c r="D717" s="22">
        <f>VLOOKUP($A717, 'Medical Examinations'!$A:$D,3, FALSE)</f>
        <v>5.94</v>
      </c>
      <c r="E717" s="22" t="str">
        <f>VLOOKUP($A717, 'Medical Examinations'!$A:$D, 4, FALSE)</f>
        <v>No</v>
      </c>
      <c r="F717" s="22" t="str">
        <f>VLOOKUP($A717, 'Medical Examinations'!$A:$J, 5, FALSE)</f>
        <v>No</v>
      </c>
      <c r="G717" s="22" t="str">
        <f>VLOOKUP($A717, 'Medical Examinations'!$A:$I, 6, FALSE)</f>
        <v>No</v>
      </c>
      <c r="H717" s="22">
        <f>VLOOKUP($A717,'Medical Examinations'!$A:$L,10, FALSE)</f>
        <v>1</v>
      </c>
      <c r="I717" s="22" t="str">
        <f>VLOOKUP($A717, 'Medical Examinations'!$A:$J, 9, FALSE)</f>
        <v>No</v>
      </c>
      <c r="J717" s="22" t="str">
        <f>VLOOKUP($A717, 'Medical Examinations'!$A:$P, 11, FALSE)</f>
        <v>OBESITY</v>
      </c>
      <c r="K717" s="34">
        <v>32304.0</v>
      </c>
      <c r="L717" s="35">
        <f>VLOOKUP($A717, 'Hospitalisation Details'!$A:$H, 7, FALSE)</f>
        <v>14152.46</v>
      </c>
      <c r="M717" s="22" t="str">
        <f>VLOOKUP($A717, 'Hospitalisation Details'!$A:$L, 12, FALSE)</f>
        <v>tier - 2</v>
      </c>
      <c r="N717" s="22" t="str">
        <f>VLOOKUP($A717, 'Hospitalisation Details'!$A:$M, 13, FALSE)</f>
        <v>tier - 1</v>
      </c>
      <c r="O717" s="22" t="str">
        <f>VLOOKUP($A717, 'Hospitalisation Details'!$A:$N, 14, FALSE)</f>
        <v>R1012</v>
      </c>
      <c r="P717" s="36">
        <f>VLOOKUP($A717, 'Hospitalisation Details'!$A:$O, 15, FALSE)</f>
        <v>38</v>
      </c>
    </row>
    <row r="718" ht="15.75" customHeight="1">
      <c r="A718" s="33" t="s">
        <v>1435</v>
      </c>
      <c r="B718" s="22" t="str">
        <f>VLOOKUP($A718,'Customer Names'!$A:$D,3, FALSE)</f>
        <v>Bourgeois</v>
      </c>
      <c r="C718" s="22">
        <f>VLOOKUP($A718,'Medical Examinations'!$A:$D, 2, FALSE)</f>
        <v>38.28</v>
      </c>
      <c r="D718" s="22">
        <f>VLOOKUP($A718, 'Medical Examinations'!$A:$D,3, FALSE)</f>
        <v>5.51</v>
      </c>
      <c r="E718" s="22" t="str">
        <f>VLOOKUP($A718, 'Medical Examinations'!$A:$D, 4, FALSE)</f>
        <v>No</v>
      </c>
      <c r="F718" s="22" t="str">
        <f>VLOOKUP($A718, 'Medical Examinations'!$A:$J, 5, FALSE)</f>
        <v>Yes</v>
      </c>
      <c r="G718" s="22" t="str">
        <f>VLOOKUP($A718, 'Medical Examinations'!$A:$I, 6, FALSE)</f>
        <v>No</v>
      </c>
      <c r="H718" s="22">
        <f>VLOOKUP($A718,'Medical Examinations'!$A:$L,10, FALSE)</f>
        <v>1</v>
      </c>
      <c r="I718" s="22" t="str">
        <f>VLOOKUP($A718, 'Medical Examinations'!$A:$J, 9, FALSE)</f>
        <v>No</v>
      </c>
      <c r="J718" s="22" t="str">
        <f>VLOOKUP($A718, 'Medical Examinations'!$A:$P, 11, FALSE)</f>
        <v>OBESITY</v>
      </c>
      <c r="K718" s="34">
        <v>27313.0</v>
      </c>
      <c r="L718" s="35">
        <f>VLOOKUP($A718, 'Hospitalisation Details'!$A:$H, 7, FALSE)</f>
        <v>14133.04</v>
      </c>
      <c r="M718" s="22" t="str">
        <f>VLOOKUP($A718, 'Hospitalisation Details'!$A:$L, 12, FALSE)</f>
        <v>tier - 2</v>
      </c>
      <c r="N718" s="22" t="str">
        <f>VLOOKUP($A718, 'Hospitalisation Details'!$A:$M, 13, FALSE)</f>
        <v>tier - 3</v>
      </c>
      <c r="O718" s="22" t="str">
        <f>VLOOKUP($A718, 'Hospitalisation Details'!$A:$N, 14, FALSE)</f>
        <v>R1013</v>
      </c>
      <c r="P718" s="36">
        <f>VLOOKUP($A718, 'Hospitalisation Details'!$A:$O, 15, FALSE)</f>
        <v>18</v>
      </c>
    </row>
    <row r="719" ht="15.75" customHeight="1">
      <c r="A719" s="33" t="s">
        <v>1437</v>
      </c>
      <c r="B719" s="22" t="str">
        <f>VLOOKUP($A719,'Customer Names'!$A:$D,3, FALSE)</f>
        <v>Orloff</v>
      </c>
      <c r="C719" s="22">
        <f>VLOOKUP($A719,'Medical Examinations'!$A:$D, 2, FALSE)</f>
        <v>32.3</v>
      </c>
      <c r="D719" s="22">
        <f>VLOOKUP($A719, 'Medical Examinations'!$A:$D,3, FALSE)</f>
        <v>6.55</v>
      </c>
      <c r="E719" s="22" t="str">
        <f>VLOOKUP($A719, 'Medical Examinations'!$A:$D, 4, FALSE)</f>
        <v>Yes</v>
      </c>
      <c r="F719" s="22" t="str">
        <f>VLOOKUP($A719, 'Medical Examinations'!$A:$J, 5, FALSE)</f>
        <v>No</v>
      </c>
      <c r="G719" s="22" t="str">
        <f>VLOOKUP($A719, 'Medical Examinations'!$A:$I, 6, FALSE)</f>
        <v>No</v>
      </c>
      <c r="H719" s="22">
        <f>VLOOKUP($A719,'Medical Examinations'!$A:$L,10, FALSE)</f>
        <v>2</v>
      </c>
      <c r="I719" s="22" t="str">
        <f>VLOOKUP($A719, 'Medical Examinations'!$A:$J, 9, FALSE)</f>
        <v>No</v>
      </c>
      <c r="J719" s="22" t="str">
        <f>VLOOKUP($A719, 'Medical Examinations'!$A:$P, 11, FALSE)</f>
        <v>OBESITY</v>
      </c>
      <c r="K719" s="34">
        <v>29504.0</v>
      </c>
      <c r="L719" s="35">
        <f>VLOOKUP($A719, 'Hospitalisation Details'!$A:$H, 7, FALSE)</f>
        <v>14119.62</v>
      </c>
      <c r="M719" s="22" t="str">
        <f>VLOOKUP($A719, 'Hospitalisation Details'!$A:$L, 12, FALSE)</f>
        <v>tier - 2</v>
      </c>
      <c r="N719" s="22" t="str">
        <f>VLOOKUP($A719, 'Hospitalisation Details'!$A:$M, 13, FALSE)</f>
        <v>tier - 1</v>
      </c>
      <c r="O719" s="22" t="str">
        <f>VLOOKUP($A719, 'Hospitalisation Details'!$A:$N, 14, FALSE)</f>
        <v>R1012</v>
      </c>
      <c r="P719" s="36">
        <f>VLOOKUP($A719, 'Hospitalisation Details'!$A:$O, 15, FALSE)</f>
        <v>61</v>
      </c>
    </row>
    <row r="720" ht="15.75" customHeight="1">
      <c r="A720" s="33" t="s">
        <v>1439</v>
      </c>
      <c r="B720" s="22" t="str">
        <f>VLOOKUP($A720,'Customer Names'!$A:$D,3, FALSE)</f>
        <v>Ramirez</v>
      </c>
      <c r="C720" s="22">
        <f>VLOOKUP($A720,'Medical Examinations'!$A:$D, 2, FALSE)</f>
        <v>39.51</v>
      </c>
      <c r="D720" s="22">
        <f>VLOOKUP($A720, 'Medical Examinations'!$A:$D,3, FALSE)</f>
        <v>5.79</v>
      </c>
      <c r="E720" s="22" t="str">
        <f>VLOOKUP($A720, 'Medical Examinations'!$A:$D, 4, FALSE)</f>
        <v>Yes</v>
      </c>
      <c r="F720" s="22" t="str">
        <f>VLOOKUP($A720, 'Medical Examinations'!$A:$J, 5, FALSE)</f>
        <v>No</v>
      </c>
      <c r="G720" s="22" t="str">
        <f>VLOOKUP($A720, 'Medical Examinations'!$A:$I, 6, FALSE)</f>
        <v>No</v>
      </c>
      <c r="H720" s="22">
        <f>VLOOKUP($A720,'Medical Examinations'!$A:$L,10, FALSE)</f>
        <v>0</v>
      </c>
      <c r="I720" s="22" t="str">
        <f>VLOOKUP($A720, 'Medical Examinations'!$A:$J, 9, FALSE)</f>
        <v>No</v>
      </c>
      <c r="J720" s="22" t="str">
        <f>VLOOKUP($A720, 'Medical Examinations'!$A:$P, 11, FALSE)</f>
        <v>OBESITY</v>
      </c>
      <c r="K720" s="34">
        <v>37526.0</v>
      </c>
      <c r="L720" s="35">
        <f>VLOOKUP($A720, 'Hospitalisation Details'!$A:$H, 7, FALSE)</f>
        <v>14098.07</v>
      </c>
      <c r="M720" s="22" t="str">
        <f>VLOOKUP($A720, 'Hospitalisation Details'!$A:$L, 12, FALSE)</f>
        <v>tier - 2</v>
      </c>
      <c r="N720" s="22" t="str">
        <f>VLOOKUP($A720, 'Hospitalisation Details'!$A:$M, 13, FALSE)</f>
        <v>tier - 3</v>
      </c>
      <c r="O720" s="22" t="str">
        <f>VLOOKUP($A720, 'Hospitalisation Details'!$A:$N, 14, FALSE)</f>
        <v>R1023</v>
      </c>
      <c r="P720" s="36">
        <f>VLOOKUP($A720, 'Hospitalisation Details'!$A:$O, 15, FALSE)</f>
        <v>46</v>
      </c>
    </row>
    <row r="721" ht="15.75" customHeight="1">
      <c r="A721" s="33" t="s">
        <v>1441</v>
      </c>
      <c r="B721" s="22" t="str">
        <f>VLOOKUP($A721,'Customer Names'!$A:$D,3, FALSE)</f>
        <v>Fouquet</v>
      </c>
      <c r="C721" s="22">
        <f>VLOOKUP($A721,'Medical Examinations'!$A:$D, 2, FALSE)</f>
        <v>50.46</v>
      </c>
      <c r="D721" s="22">
        <f>VLOOKUP($A721, 'Medical Examinations'!$A:$D,3, FALSE)</f>
        <v>4.56</v>
      </c>
      <c r="E721" s="22" t="str">
        <f>VLOOKUP($A721, 'Medical Examinations'!$A:$D, 4, FALSE)</f>
        <v>No</v>
      </c>
      <c r="F721" s="22" t="str">
        <f>VLOOKUP($A721, 'Medical Examinations'!$A:$J, 5, FALSE)</f>
        <v>No</v>
      </c>
      <c r="G721" s="22" t="str">
        <f>VLOOKUP($A721, 'Medical Examinations'!$A:$I, 6, FALSE)</f>
        <v>No</v>
      </c>
      <c r="H721" s="22">
        <f>VLOOKUP($A721,'Medical Examinations'!$A:$L,10, FALSE)</f>
        <v>0</v>
      </c>
      <c r="I721" s="22" t="str">
        <f>VLOOKUP($A721, 'Medical Examinations'!$A:$J, 9, FALSE)</f>
        <v>No</v>
      </c>
      <c r="J721" s="22" t="str">
        <f>VLOOKUP($A721, 'Medical Examinations'!$A:$P, 11, FALSE)</f>
        <v>OBESITY</v>
      </c>
      <c r="K721" s="34">
        <v>25744.0</v>
      </c>
      <c r="L721" s="35">
        <f>VLOOKUP($A721, 'Hospitalisation Details'!$A:$H, 7, FALSE)</f>
        <v>14081.93</v>
      </c>
      <c r="M721" s="22" t="str">
        <f>VLOOKUP($A721, 'Hospitalisation Details'!$A:$L, 12, FALSE)</f>
        <v>tier - 2</v>
      </c>
      <c r="N721" s="22" t="str">
        <f>VLOOKUP($A721, 'Hospitalisation Details'!$A:$M, 13, FALSE)</f>
        <v>tier - 3</v>
      </c>
      <c r="O721" s="22" t="str">
        <f>VLOOKUP($A721, 'Hospitalisation Details'!$A:$N, 14, FALSE)</f>
        <v>R1012</v>
      </c>
      <c r="P721" s="36">
        <f>VLOOKUP($A721, 'Hospitalisation Details'!$A:$O, 15, FALSE)</f>
        <v>31</v>
      </c>
    </row>
    <row r="722" ht="15.75" customHeight="1">
      <c r="A722" s="33" t="s">
        <v>1443</v>
      </c>
      <c r="B722" s="22" t="str">
        <f>VLOOKUP($A722,'Customer Names'!$A:$D,3, FALSE)</f>
        <v>McPhillips</v>
      </c>
      <c r="C722" s="22">
        <f>VLOOKUP($A722,'Medical Examinations'!$A:$D, 2, FALSE)</f>
        <v>31.73</v>
      </c>
      <c r="D722" s="22">
        <f>VLOOKUP($A722, 'Medical Examinations'!$A:$D,3, FALSE)</f>
        <v>7</v>
      </c>
      <c r="E722" s="22" t="str">
        <f>VLOOKUP($A722, 'Medical Examinations'!$A:$D, 4, FALSE)</f>
        <v>No</v>
      </c>
      <c r="F722" s="22" t="str">
        <f>VLOOKUP($A722, 'Medical Examinations'!$A:$J, 5, FALSE)</f>
        <v>No</v>
      </c>
      <c r="G722" s="22" t="str">
        <f>VLOOKUP($A722, 'Medical Examinations'!$A:$I, 6, FALSE)</f>
        <v>No</v>
      </c>
      <c r="H722" s="22">
        <f>VLOOKUP($A722,'Medical Examinations'!$A:$L,10, FALSE)</f>
        <v>0</v>
      </c>
      <c r="I722" s="22" t="str">
        <f>VLOOKUP($A722, 'Medical Examinations'!$A:$J, 9, FALSE)</f>
        <v>No</v>
      </c>
      <c r="J722" s="22" t="str">
        <f>VLOOKUP($A722, 'Medical Examinations'!$A:$P, 11, FALSE)</f>
        <v>OBESITY</v>
      </c>
      <c r="K722" s="34">
        <v>30997.0</v>
      </c>
      <c r="L722" s="35">
        <f>VLOOKUP($A722, 'Hospitalisation Details'!$A:$H, 7, FALSE)</f>
        <v>14043.48</v>
      </c>
      <c r="M722" s="22" t="str">
        <f>VLOOKUP($A722, 'Hospitalisation Details'!$A:$L, 12, FALSE)</f>
        <v>tier - 2</v>
      </c>
      <c r="N722" s="22" t="str">
        <f>VLOOKUP($A722, 'Hospitalisation Details'!$A:$M, 13, FALSE)</f>
        <v>tier - 3</v>
      </c>
      <c r="O722" s="22" t="str">
        <f>VLOOKUP($A722, 'Hospitalisation Details'!$A:$N, 14, FALSE)</f>
        <v>R1024</v>
      </c>
      <c r="P722" s="36">
        <f>VLOOKUP($A722, 'Hospitalisation Details'!$A:$O, 15, FALSE)</f>
        <v>62</v>
      </c>
    </row>
    <row r="723" ht="15.75" customHeight="1">
      <c r="A723" s="33" t="s">
        <v>1445</v>
      </c>
      <c r="B723" s="22" t="str">
        <f>VLOOKUP($A723,'Customer Names'!$A:$D,3, FALSE)</f>
        <v>Burgin</v>
      </c>
      <c r="C723" s="22">
        <f>VLOOKUP($A723,'Medical Examinations'!$A:$D, 2, FALSE)</f>
        <v>32.1</v>
      </c>
      <c r="D723" s="22">
        <f>VLOOKUP($A723, 'Medical Examinations'!$A:$D,3, FALSE)</f>
        <v>6.57</v>
      </c>
      <c r="E723" s="22" t="str">
        <f>VLOOKUP($A723, 'Medical Examinations'!$A:$D, 4, FALSE)</f>
        <v>Yes</v>
      </c>
      <c r="F723" s="22" t="str">
        <f>VLOOKUP($A723, 'Medical Examinations'!$A:$J, 5, FALSE)</f>
        <v>No</v>
      </c>
      <c r="G723" s="22" t="str">
        <f>VLOOKUP($A723, 'Medical Examinations'!$A:$I, 6, FALSE)</f>
        <v>Yes</v>
      </c>
      <c r="H723" s="22">
        <f>VLOOKUP($A723,'Medical Examinations'!$A:$L,10, FALSE)</f>
        <v>1</v>
      </c>
      <c r="I723" s="22" t="str">
        <f>VLOOKUP($A723, 'Medical Examinations'!$A:$J, 9, FALSE)</f>
        <v>No</v>
      </c>
      <c r="J723" s="22" t="str">
        <f>VLOOKUP($A723, 'Medical Examinations'!$A:$P, 11, FALSE)</f>
        <v>OBESITY</v>
      </c>
      <c r="K723" s="34">
        <v>30944.0</v>
      </c>
      <c r="L723" s="35">
        <f>VLOOKUP($A723, 'Hospitalisation Details'!$A:$H, 7, FALSE)</f>
        <v>14007.22</v>
      </c>
      <c r="M723" s="22" t="str">
        <f>VLOOKUP($A723, 'Hospitalisation Details'!$A:$L, 12, FALSE)</f>
        <v>tier - 2</v>
      </c>
      <c r="N723" s="22" t="str">
        <f>VLOOKUP($A723, 'Hospitalisation Details'!$A:$M, 13, FALSE)</f>
        <v>tier - 3</v>
      </c>
      <c r="O723" s="22" t="str">
        <f>VLOOKUP($A723, 'Hospitalisation Details'!$A:$N, 14, FALSE)</f>
        <v>R1011</v>
      </c>
      <c r="P723" s="36">
        <f>VLOOKUP($A723, 'Hospitalisation Details'!$A:$O, 15, FALSE)</f>
        <v>59</v>
      </c>
    </row>
    <row r="724" ht="15.75" customHeight="1">
      <c r="A724" s="33" t="s">
        <v>1447</v>
      </c>
      <c r="B724" s="22" t="str">
        <f>VLOOKUP($A724,'Customer Names'!$A:$D,3, FALSE)</f>
        <v>Roberts</v>
      </c>
      <c r="C724" s="22">
        <f>VLOOKUP($A724,'Medical Examinations'!$A:$D, 2, FALSE)</f>
        <v>27.83</v>
      </c>
      <c r="D724" s="22">
        <f>VLOOKUP($A724, 'Medical Examinations'!$A:$D,3, FALSE)</f>
        <v>11.61</v>
      </c>
      <c r="E724" s="22" t="str">
        <f>VLOOKUP($A724, 'Medical Examinations'!$A:$D, 4, FALSE)</f>
        <v>Yes</v>
      </c>
      <c r="F724" s="22" t="str">
        <f>VLOOKUP($A724, 'Medical Examinations'!$A:$J, 5, FALSE)</f>
        <v>No</v>
      </c>
      <c r="G724" s="22" t="str">
        <f>VLOOKUP($A724, 'Medical Examinations'!$A:$I, 6, FALSE)</f>
        <v>Yes</v>
      </c>
      <c r="H724" s="22">
        <f>VLOOKUP($A724,'Medical Examinations'!$A:$L,10, FALSE)</f>
        <v>1</v>
      </c>
      <c r="I724" s="22" t="str">
        <f>VLOOKUP($A724, 'Medical Examinations'!$A:$J, 9, FALSE)</f>
        <v>No</v>
      </c>
      <c r="J724" s="22" t="str">
        <f>VLOOKUP($A724, 'Medical Examinations'!$A:$P, 11, FALSE)</f>
        <v>OVERWEIGHT</v>
      </c>
      <c r="K724" s="34">
        <v>32711.0</v>
      </c>
      <c r="L724" s="35">
        <f>VLOOKUP($A724, 'Hospitalisation Details'!$A:$H, 7, FALSE)</f>
        <v>14001.29</v>
      </c>
      <c r="M724" s="22" t="str">
        <f>VLOOKUP($A724, 'Hospitalisation Details'!$A:$L, 12, FALSE)</f>
        <v>tier - 2</v>
      </c>
      <c r="N724" s="22" t="str">
        <f>VLOOKUP($A724, 'Hospitalisation Details'!$A:$M, 13, FALSE)</f>
        <v>tier - 2</v>
      </c>
      <c r="O724" s="22" t="str">
        <f>VLOOKUP($A724, 'Hospitalisation Details'!$A:$N, 14, FALSE)</f>
        <v>R1013</v>
      </c>
      <c r="P724" s="36">
        <f>VLOOKUP($A724, 'Hospitalisation Details'!$A:$O, 15, FALSE)</f>
        <v>59</v>
      </c>
    </row>
    <row r="725" ht="15.75" customHeight="1">
      <c r="A725" s="33" t="s">
        <v>1449</v>
      </c>
      <c r="B725" s="22" t="str">
        <f>VLOOKUP($A725,'Customer Names'!$A:$D,3, FALSE)</f>
        <v>Nemec</v>
      </c>
      <c r="C725" s="22">
        <f>VLOOKUP($A725,'Medical Examinations'!$A:$D, 2, FALSE)</f>
        <v>27.72</v>
      </c>
      <c r="D725" s="22">
        <f>VLOOKUP($A725, 'Medical Examinations'!$A:$D,3, FALSE)</f>
        <v>8.16</v>
      </c>
      <c r="E725" s="22" t="str">
        <f>VLOOKUP($A725, 'Medical Examinations'!$A:$D, 4, FALSE)</f>
        <v>Yes</v>
      </c>
      <c r="F725" s="22" t="str">
        <f>VLOOKUP($A725, 'Medical Examinations'!$A:$J, 5, FALSE)</f>
        <v>No</v>
      </c>
      <c r="G725" s="22" t="str">
        <f>VLOOKUP($A725, 'Medical Examinations'!$A:$I, 6, FALSE)</f>
        <v>Yes</v>
      </c>
      <c r="H725" s="22">
        <f>VLOOKUP($A725,'Medical Examinations'!$A:$L,10, FALSE)</f>
        <v>1</v>
      </c>
      <c r="I725" s="22" t="str">
        <f>VLOOKUP($A725, 'Medical Examinations'!$A:$J, 9, FALSE)</f>
        <v>No</v>
      </c>
      <c r="J725" s="22" t="str">
        <f>VLOOKUP($A725, 'Medical Examinations'!$A:$P, 11, FALSE)</f>
        <v>OVERWEIGHT</v>
      </c>
      <c r="K725" s="34">
        <v>29423.0</v>
      </c>
      <c r="L725" s="35">
        <f>VLOOKUP($A725, 'Hospitalisation Details'!$A:$H, 7, FALSE)</f>
        <v>14001.13</v>
      </c>
      <c r="M725" s="22" t="str">
        <f>VLOOKUP($A725, 'Hospitalisation Details'!$A:$L, 12, FALSE)</f>
        <v>tier - 2</v>
      </c>
      <c r="N725" s="22" t="str">
        <f>VLOOKUP($A725, 'Hospitalisation Details'!$A:$M, 13, FALSE)</f>
        <v>tier - 1</v>
      </c>
      <c r="O725" s="22" t="str">
        <f>VLOOKUP($A725, 'Hospitalisation Details'!$A:$N, 14, FALSE)</f>
        <v>R1013</v>
      </c>
      <c r="P725" s="36">
        <f>VLOOKUP($A725, 'Hospitalisation Details'!$A:$O, 15, FALSE)</f>
        <v>59</v>
      </c>
    </row>
    <row r="726" ht="15.75" customHeight="1">
      <c r="A726" s="33" t="s">
        <v>1451</v>
      </c>
      <c r="B726" s="22" t="str">
        <f>VLOOKUP($A726,'Customer Names'!$A:$D,3, FALSE)</f>
        <v>Appman</v>
      </c>
      <c r="C726" s="22">
        <f>VLOOKUP($A726,'Medical Examinations'!$A:$D, 2, FALSE)</f>
        <v>36.765</v>
      </c>
      <c r="D726" s="22">
        <f>VLOOKUP($A726, 'Medical Examinations'!$A:$D,3, FALSE)</f>
        <v>4.48</v>
      </c>
      <c r="E726" s="22" t="str">
        <f>VLOOKUP($A726, 'Medical Examinations'!$A:$D, 4, FALSE)</f>
        <v>Yes</v>
      </c>
      <c r="F726" s="22" t="str">
        <f>VLOOKUP($A726, 'Medical Examinations'!$A:$J, 5, FALSE)</f>
        <v>No</v>
      </c>
      <c r="G726" s="22" t="str">
        <f>VLOOKUP($A726, 'Medical Examinations'!$A:$I, 6, FALSE)</f>
        <v>No</v>
      </c>
      <c r="H726" s="22">
        <f>VLOOKUP($A726,'Medical Examinations'!$A:$L,10, FALSE)</f>
        <v>2</v>
      </c>
      <c r="I726" s="22" t="str">
        <f>VLOOKUP($A726, 'Medical Examinations'!$A:$J, 9, FALSE)</f>
        <v>No</v>
      </c>
      <c r="J726" s="22" t="str">
        <f>VLOOKUP($A726, 'Medical Examinations'!$A:$P, 11, FALSE)</f>
        <v>OBESITY</v>
      </c>
      <c r="K726" s="34">
        <v>29438.0</v>
      </c>
      <c r="L726" s="35">
        <f>VLOOKUP($A726, 'Hospitalisation Details'!$A:$H, 7, FALSE)</f>
        <v>13981.85</v>
      </c>
      <c r="M726" s="22" t="str">
        <f>VLOOKUP($A726, 'Hospitalisation Details'!$A:$L, 12, FALSE)</f>
        <v>tier - 2</v>
      </c>
      <c r="N726" s="22" t="str">
        <f>VLOOKUP($A726, 'Hospitalisation Details'!$A:$M, 13, FALSE)</f>
        <v>tier - 1</v>
      </c>
      <c r="O726" s="22" t="str">
        <f>VLOOKUP($A726, 'Hospitalisation Details'!$A:$N, 14, FALSE)</f>
        <v>R1016</v>
      </c>
      <c r="P726" s="36">
        <f>VLOOKUP($A726, 'Hospitalisation Details'!$A:$O, 15, FALSE)</f>
        <v>63</v>
      </c>
    </row>
    <row r="727" ht="15.75" customHeight="1">
      <c r="A727" s="33" t="s">
        <v>1453</v>
      </c>
      <c r="B727" s="22" t="str">
        <f>VLOOKUP($A727,'Customer Names'!$A:$D,3, FALSE)</f>
        <v>Driscoll</v>
      </c>
      <c r="C727" s="22">
        <f>VLOOKUP($A727,'Medical Examinations'!$A:$D, 2, FALSE)</f>
        <v>48.36</v>
      </c>
      <c r="D727" s="22">
        <f>VLOOKUP($A727, 'Medical Examinations'!$A:$D,3, FALSE)</f>
        <v>4.08</v>
      </c>
      <c r="E727" s="22" t="str">
        <f>VLOOKUP($A727, 'Medical Examinations'!$A:$D, 4, FALSE)</f>
        <v>No</v>
      </c>
      <c r="F727" s="22" t="str">
        <f>VLOOKUP($A727, 'Medical Examinations'!$A:$J, 5, FALSE)</f>
        <v>No</v>
      </c>
      <c r="G727" s="22" t="str">
        <f>VLOOKUP($A727, 'Medical Examinations'!$A:$I, 6, FALSE)</f>
        <v>No</v>
      </c>
      <c r="H727" s="22">
        <f>VLOOKUP($A727,'Medical Examinations'!$A:$L,10, FALSE)</f>
        <v>0</v>
      </c>
      <c r="I727" s="22" t="str">
        <f>VLOOKUP($A727, 'Medical Examinations'!$A:$J, 9, FALSE)</f>
        <v>No</v>
      </c>
      <c r="J727" s="22" t="str">
        <f>VLOOKUP($A727, 'Medical Examinations'!$A:$P, 11, FALSE)</f>
        <v>OBESITY</v>
      </c>
      <c r="K727" s="34">
        <v>38183.0</v>
      </c>
      <c r="L727" s="35">
        <f>VLOOKUP($A727, 'Hospitalisation Details'!$A:$H, 7, FALSE)</f>
        <v>13979.45</v>
      </c>
      <c r="M727" s="22" t="str">
        <f>VLOOKUP($A727, 'Hospitalisation Details'!$A:$L, 12, FALSE)</f>
        <v>tier - 2</v>
      </c>
      <c r="N727" s="22" t="str">
        <f>VLOOKUP($A727, 'Hospitalisation Details'!$A:$M, 13, FALSE)</f>
        <v>tier - 1</v>
      </c>
      <c r="O727" s="22" t="str">
        <f>VLOOKUP($A727, 'Hospitalisation Details'!$A:$N, 14, FALSE)</f>
        <v>R1023</v>
      </c>
      <c r="P727" s="36">
        <f>VLOOKUP($A727, 'Hospitalisation Details'!$A:$O, 15, FALSE)</f>
        <v>32</v>
      </c>
    </row>
    <row r="728" ht="15.75" customHeight="1">
      <c r="A728" s="33" t="s">
        <v>1455</v>
      </c>
      <c r="B728" s="22" t="str">
        <f>VLOOKUP($A728,'Customer Names'!$A:$D,3, FALSE)</f>
        <v>Glotzbach</v>
      </c>
      <c r="C728" s="22">
        <f>VLOOKUP($A728,'Medical Examinations'!$A:$D, 2, FALSE)</f>
        <v>31.445</v>
      </c>
      <c r="D728" s="22">
        <f>VLOOKUP($A728, 'Medical Examinations'!$A:$D,3, FALSE)</f>
        <v>4.4</v>
      </c>
      <c r="E728" s="22" t="str">
        <f>VLOOKUP($A728, 'Medical Examinations'!$A:$D, 4, FALSE)</f>
        <v>Yes</v>
      </c>
      <c r="F728" s="22" t="str">
        <f>VLOOKUP($A728, 'Medical Examinations'!$A:$J, 5, FALSE)</f>
        <v>No</v>
      </c>
      <c r="G728" s="22" t="str">
        <f>VLOOKUP($A728, 'Medical Examinations'!$A:$I, 6, FALSE)</f>
        <v>No</v>
      </c>
      <c r="H728" s="22">
        <f>VLOOKUP($A728,'Medical Examinations'!$A:$L,10, FALSE)</f>
        <v>2</v>
      </c>
      <c r="I728" s="22" t="str">
        <f>VLOOKUP($A728, 'Medical Examinations'!$A:$J, 9, FALSE)</f>
        <v>No</v>
      </c>
      <c r="J728" s="22" t="str">
        <f>VLOOKUP($A728, 'Medical Examinations'!$A:$P, 11, FALSE)</f>
        <v>OBESITY</v>
      </c>
      <c r="K728" s="34">
        <v>37846.0</v>
      </c>
      <c r="L728" s="35">
        <f>VLOOKUP($A728, 'Hospitalisation Details'!$A:$H, 7, FALSE)</f>
        <v>13974.46</v>
      </c>
      <c r="M728" s="22" t="str">
        <f>VLOOKUP($A728, 'Hospitalisation Details'!$A:$L, 12, FALSE)</f>
        <v>tier - 2</v>
      </c>
      <c r="N728" s="22" t="str">
        <f>VLOOKUP($A728, 'Hospitalisation Details'!$A:$M, 13, FALSE)</f>
        <v>tier - 2</v>
      </c>
      <c r="O728" s="22" t="str">
        <f>VLOOKUP($A728, 'Hospitalisation Details'!$A:$N, 14, FALSE)</f>
        <v>R1019</v>
      </c>
      <c r="P728" s="36">
        <f>VLOOKUP($A728, 'Hospitalisation Details'!$A:$O, 15, FALSE)</f>
        <v>63</v>
      </c>
    </row>
    <row r="729" ht="15.75" customHeight="1">
      <c r="A729" s="33" t="s">
        <v>1457</v>
      </c>
      <c r="B729" s="22" t="str">
        <f>VLOOKUP($A729,'Customer Names'!$A:$D,3, FALSE)</f>
        <v>Tenforde</v>
      </c>
      <c r="C729" s="22">
        <f>VLOOKUP($A729,'Medical Examinations'!$A:$D, 2, FALSE)</f>
        <v>27.55</v>
      </c>
      <c r="D729" s="22">
        <f>VLOOKUP($A729, 'Medical Examinations'!$A:$D,3, FALSE)</f>
        <v>9.02</v>
      </c>
      <c r="E729" s="22" t="str">
        <f>VLOOKUP($A729, 'Medical Examinations'!$A:$D, 4, FALSE)</f>
        <v>No</v>
      </c>
      <c r="F729" s="22" t="str">
        <f>VLOOKUP($A729, 'Medical Examinations'!$A:$J, 5, FALSE)</f>
        <v>No</v>
      </c>
      <c r="G729" s="22" t="str">
        <f>VLOOKUP($A729, 'Medical Examinations'!$A:$I, 6, FALSE)</f>
        <v>No</v>
      </c>
      <c r="H729" s="22">
        <f>VLOOKUP($A729,'Medical Examinations'!$A:$L,10, FALSE)</f>
        <v>0</v>
      </c>
      <c r="I729" s="22" t="str">
        <f>VLOOKUP($A729, 'Medical Examinations'!$A:$J, 9, FALSE)</f>
        <v>No</v>
      </c>
      <c r="J729" s="22" t="str">
        <f>VLOOKUP($A729, 'Medical Examinations'!$A:$P, 11, FALSE)</f>
        <v>OVERWEIGHT</v>
      </c>
      <c r="K729" s="34">
        <v>31972.0</v>
      </c>
      <c r="L729" s="35">
        <f>VLOOKUP($A729, 'Hospitalisation Details'!$A:$H, 7, FALSE)</f>
        <v>13937.67</v>
      </c>
      <c r="M729" s="22" t="str">
        <f>VLOOKUP($A729, 'Hospitalisation Details'!$A:$L, 12, FALSE)</f>
        <v>tier - 2</v>
      </c>
      <c r="N729" s="22" t="str">
        <f>VLOOKUP($A729, 'Hospitalisation Details'!$A:$M, 13, FALSE)</f>
        <v>tier - 1</v>
      </c>
      <c r="O729" s="22" t="str">
        <f>VLOOKUP($A729, 'Hospitalisation Details'!$A:$N, 14, FALSE)</f>
        <v>R1012</v>
      </c>
      <c r="P729" s="36">
        <f>VLOOKUP($A729, 'Hospitalisation Details'!$A:$O, 15, FALSE)</f>
        <v>62</v>
      </c>
    </row>
    <row r="730" ht="15.75" customHeight="1">
      <c r="A730" s="33" t="s">
        <v>1459</v>
      </c>
      <c r="B730" s="22" t="str">
        <f>VLOOKUP($A730,'Customer Names'!$A:$D,3, FALSE)</f>
        <v>Ramirez</v>
      </c>
      <c r="C730" s="22">
        <f>VLOOKUP($A730,'Medical Examinations'!$A:$D, 2, FALSE)</f>
        <v>33.11</v>
      </c>
      <c r="D730" s="22">
        <f>VLOOKUP($A730, 'Medical Examinations'!$A:$D,3, FALSE)</f>
        <v>8.06</v>
      </c>
      <c r="E730" s="22" t="str">
        <f>VLOOKUP($A730, 'Medical Examinations'!$A:$D, 4, FALSE)</f>
        <v>No</v>
      </c>
      <c r="F730" s="22" t="str">
        <f>VLOOKUP($A730, 'Medical Examinations'!$A:$J, 5, FALSE)</f>
        <v>No</v>
      </c>
      <c r="G730" s="22" t="str">
        <f>VLOOKUP($A730, 'Medical Examinations'!$A:$I, 6, FALSE)</f>
        <v>No</v>
      </c>
      <c r="H730" s="22">
        <f>VLOOKUP($A730,'Medical Examinations'!$A:$L,10, FALSE)</f>
        <v>0</v>
      </c>
      <c r="I730" s="22" t="str">
        <f>VLOOKUP($A730, 'Medical Examinations'!$A:$J, 9, FALSE)</f>
        <v>No</v>
      </c>
      <c r="J730" s="22" t="str">
        <f>VLOOKUP($A730, 'Medical Examinations'!$A:$P, 11, FALSE)</f>
        <v>OBESITY</v>
      </c>
      <c r="K730" s="34">
        <v>34545.0</v>
      </c>
      <c r="L730" s="35">
        <f>VLOOKUP($A730, 'Hospitalisation Details'!$A:$H, 7, FALSE)</f>
        <v>13919.82</v>
      </c>
      <c r="M730" s="22" t="str">
        <f>VLOOKUP($A730, 'Hospitalisation Details'!$A:$L, 12, FALSE)</f>
        <v>tier - 2</v>
      </c>
      <c r="N730" s="22" t="str">
        <f>VLOOKUP($A730, 'Hospitalisation Details'!$A:$M, 13, FALSE)</f>
        <v>tier - 2</v>
      </c>
      <c r="O730" s="22" t="str">
        <f>VLOOKUP($A730, 'Hospitalisation Details'!$A:$N, 14, FALSE)</f>
        <v>R1013</v>
      </c>
      <c r="P730" s="36">
        <f>VLOOKUP($A730, 'Hospitalisation Details'!$A:$O, 15, FALSE)</f>
        <v>60</v>
      </c>
    </row>
    <row r="731" ht="15.75" customHeight="1">
      <c r="A731" s="33" t="s">
        <v>1461</v>
      </c>
      <c r="B731" s="22" t="str">
        <f>VLOOKUP($A731,'Customer Names'!$A:$D,3, FALSE)</f>
        <v>Stanle</v>
      </c>
      <c r="C731" s="22">
        <f>VLOOKUP($A731,'Medical Examinations'!$A:$D, 2, FALSE)</f>
        <v>36.85</v>
      </c>
      <c r="D731" s="22">
        <f>VLOOKUP($A731, 'Medical Examinations'!$A:$D,3, FALSE)</f>
        <v>6.21</v>
      </c>
      <c r="E731" s="22" t="str">
        <f>VLOOKUP($A731, 'Medical Examinations'!$A:$D, 4, FALSE)</f>
        <v>Yes</v>
      </c>
      <c r="F731" s="22" t="str">
        <f>VLOOKUP($A731, 'Medical Examinations'!$A:$J, 5, FALSE)</f>
        <v>No</v>
      </c>
      <c r="G731" s="22" t="str">
        <f>VLOOKUP($A731, 'Medical Examinations'!$A:$I, 6, FALSE)</f>
        <v>No</v>
      </c>
      <c r="H731" s="22">
        <f>VLOOKUP($A731,'Medical Examinations'!$A:$L,10, FALSE)</f>
        <v>2</v>
      </c>
      <c r="I731" s="22" t="str">
        <f>VLOOKUP($A731, 'Medical Examinations'!$A:$J, 9, FALSE)</f>
        <v>No</v>
      </c>
      <c r="J731" s="22" t="str">
        <f>VLOOKUP($A731, 'Medical Examinations'!$A:$P, 11, FALSE)</f>
        <v>OBESITY</v>
      </c>
      <c r="K731" s="34">
        <v>29070.0</v>
      </c>
      <c r="L731" s="35">
        <f>VLOOKUP($A731, 'Hospitalisation Details'!$A:$H, 7, FALSE)</f>
        <v>13887.97</v>
      </c>
      <c r="M731" s="22" t="str">
        <f>VLOOKUP($A731, 'Hospitalisation Details'!$A:$L, 12, FALSE)</f>
        <v>tier - 2</v>
      </c>
      <c r="N731" s="22" t="str">
        <f>VLOOKUP($A731, 'Hospitalisation Details'!$A:$M, 13, FALSE)</f>
        <v>tier - 2</v>
      </c>
      <c r="O731" s="22" t="str">
        <f>VLOOKUP($A731, 'Hospitalisation Details'!$A:$N, 14, FALSE)</f>
        <v>R1013</v>
      </c>
      <c r="P731" s="36">
        <f>VLOOKUP($A731, 'Hospitalisation Details'!$A:$O, 15, FALSE)</f>
        <v>63</v>
      </c>
    </row>
    <row r="732" ht="15.75" customHeight="1">
      <c r="A732" s="33" t="s">
        <v>1463</v>
      </c>
      <c r="B732" s="22" t="str">
        <f>VLOOKUP($A732,'Customer Names'!$A:$D,3, FALSE)</f>
        <v>Vandongen</v>
      </c>
      <c r="C732" s="22">
        <f>VLOOKUP($A732,'Medical Examinations'!$A:$D, 2, FALSE)</f>
        <v>36.3</v>
      </c>
      <c r="D732" s="22">
        <f>VLOOKUP($A732, 'Medical Examinations'!$A:$D,3, FALSE)</f>
        <v>5.79</v>
      </c>
      <c r="E732" s="22" t="str">
        <f>VLOOKUP($A732, 'Medical Examinations'!$A:$D, 4, FALSE)</f>
        <v>Yes</v>
      </c>
      <c r="F732" s="22" t="str">
        <f>VLOOKUP($A732, 'Medical Examinations'!$A:$J, 5, FALSE)</f>
        <v>No</v>
      </c>
      <c r="G732" s="22" t="str">
        <f>VLOOKUP($A732, 'Medical Examinations'!$A:$I, 6, FALSE)</f>
        <v>No</v>
      </c>
      <c r="H732" s="22">
        <f>VLOOKUP($A732,'Medical Examinations'!$A:$L,10, FALSE)</f>
        <v>2</v>
      </c>
      <c r="I732" s="22" t="str">
        <f>VLOOKUP($A732, 'Medical Examinations'!$A:$J, 9, FALSE)</f>
        <v>No</v>
      </c>
      <c r="J732" s="22" t="str">
        <f>VLOOKUP($A732, 'Medical Examinations'!$A:$P, 11, FALSE)</f>
        <v>OBESITY</v>
      </c>
      <c r="K732" s="34">
        <v>34194.0</v>
      </c>
      <c r="L732" s="35">
        <f>VLOOKUP($A732, 'Hospitalisation Details'!$A:$H, 7, FALSE)</f>
        <v>13887.2</v>
      </c>
      <c r="M732" s="22" t="str">
        <f>VLOOKUP($A732, 'Hospitalisation Details'!$A:$L, 12, FALSE)</f>
        <v>tier - 2</v>
      </c>
      <c r="N732" s="22" t="str">
        <f>VLOOKUP($A732, 'Hospitalisation Details'!$A:$M, 13, FALSE)</f>
        <v>tier - 3</v>
      </c>
      <c r="O732" s="22" t="str">
        <f>VLOOKUP($A732, 'Hospitalisation Details'!$A:$N, 14, FALSE)</f>
        <v>R1013</v>
      </c>
      <c r="P732" s="36">
        <f>VLOOKUP($A732, 'Hospitalisation Details'!$A:$O, 15, FALSE)</f>
        <v>63</v>
      </c>
    </row>
    <row r="733" ht="15.75" customHeight="1">
      <c r="A733" s="33" t="s">
        <v>1465</v>
      </c>
      <c r="B733" s="22" t="str">
        <f>VLOOKUP($A733,'Customer Names'!$A:$D,3, FALSE)</f>
        <v>Liebald</v>
      </c>
      <c r="C733" s="22">
        <f>VLOOKUP($A733,'Medical Examinations'!$A:$D, 2, FALSE)</f>
        <v>45.34</v>
      </c>
      <c r="D733" s="22">
        <f>VLOOKUP($A733, 'Medical Examinations'!$A:$D,3, FALSE)</f>
        <v>5.69</v>
      </c>
      <c r="E733" s="22" t="str">
        <f>VLOOKUP($A733, 'Medical Examinations'!$A:$D, 4, FALSE)</f>
        <v>Yes</v>
      </c>
      <c r="F733" s="22" t="str">
        <f>VLOOKUP($A733, 'Medical Examinations'!$A:$J, 5, FALSE)</f>
        <v>No</v>
      </c>
      <c r="G733" s="22" t="str">
        <f>VLOOKUP($A733, 'Medical Examinations'!$A:$I, 6, FALSE)</f>
        <v>No</v>
      </c>
      <c r="H733" s="22">
        <f>VLOOKUP($A733,'Medical Examinations'!$A:$L,10, FALSE)</f>
        <v>0</v>
      </c>
      <c r="I733" s="22" t="str">
        <f>VLOOKUP($A733, 'Medical Examinations'!$A:$J, 9, FALSE)</f>
        <v>No</v>
      </c>
      <c r="J733" s="22" t="str">
        <f>VLOOKUP($A733, 'Medical Examinations'!$A:$P, 11, FALSE)</f>
        <v>OBESITY</v>
      </c>
      <c r="K733" s="34">
        <v>31987.0</v>
      </c>
      <c r="L733" s="35">
        <f>VLOOKUP($A733, 'Hospitalisation Details'!$A:$H, 7, FALSE)</f>
        <v>13886.4</v>
      </c>
      <c r="M733" s="22" t="str">
        <f>VLOOKUP($A733, 'Hospitalisation Details'!$A:$L, 12, FALSE)</f>
        <v>tier - 2</v>
      </c>
      <c r="N733" s="22" t="str">
        <f>VLOOKUP($A733, 'Hospitalisation Details'!$A:$M, 13, FALSE)</f>
        <v>tier - 2</v>
      </c>
      <c r="O733" s="22" t="str">
        <f>VLOOKUP($A733, 'Hospitalisation Details'!$A:$N, 14, FALSE)</f>
        <v>R1012</v>
      </c>
      <c r="P733" s="36">
        <f>VLOOKUP($A733, 'Hospitalisation Details'!$A:$O, 15, FALSE)</f>
        <v>37</v>
      </c>
    </row>
    <row r="734" ht="15.75" customHeight="1">
      <c r="A734" s="33" t="s">
        <v>1467</v>
      </c>
      <c r="B734" s="22" t="str">
        <f>VLOOKUP($A734,'Customer Names'!$A:$D,3, FALSE)</f>
        <v>Holte</v>
      </c>
      <c r="C734" s="22">
        <f>VLOOKUP($A734,'Medical Examinations'!$A:$D, 2, FALSE)</f>
        <v>31.8</v>
      </c>
      <c r="D734" s="22">
        <f>VLOOKUP($A734, 'Medical Examinations'!$A:$D,3, FALSE)</f>
        <v>5.36</v>
      </c>
      <c r="E734" s="22" t="str">
        <f>VLOOKUP($A734, 'Medical Examinations'!$A:$D, 4, FALSE)</f>
        <v>Yes</v>
      </c>
      <c r="F734" s="22" t="str">
        <f>VLOOKUP($A734, 'Medical Examinations'!$A:$J, 5, FALSE)</f>
        <v>No</v>
      </c>
      <c r="G734" s="22" t="str">
        <f>VLOOKUP($A734, 'Medical Examinations'!$A:$I, 6, FALSE)</f>
        <v>No</v>
      </c>
      <c r="H734" s="22">
        <f>VLOOKUP($A734,'Medical Examinations'!$A:$L,10, FALSE)</f>
        <v>2</v>
      </c>
      <c r="I734" s="22" t="str">
        <f>VLOOKUP($A734, 'Medical Examinations'!$A:$J, 9, FALSE)</f>
        <v>No</v>
      </c>
      <c r="J734" s="22" t="str">
        <f>VLOOKUP($A734, 'Medical Examinations'!$A:$P, 11, FALSE)</f>
        <v>OBESITY</v>
      </c>
      <c r="K734" s="34">
        <v>30306.0</v>
      </c>
      <c r="L734" s="35">
        <f>VLOOKUP($A734, 'Hospitalisation Details'!$A:$H, 7, FALSE)</f>
        <v>13880.95</v>
      </c>
      <c r="M734" s="22" t="str">
        <f>VLOOKUP($A734, 'Hospitalisation Details'!$A:$L, 12, FALSE)</f>
        <v>tier - 2</v>
      </c>
      <c r="N734" s="22" t="str">
        <f>VLOOKUP($A734, 'Hospitalisation Details'!$A:$M, 13, FALSE)</f>
        <v>tier - 2</v>
      </c>
      <c r="O734" s="22" t="str">
        <f>VLOOKUP($A734, 'Hospitalisation Details'!$A:$N, 14, FALSE)</f>
        <v>R1011</v>
      </c>
      <c r="P734" s="36">
        <f>VLOOKUP($A734, 'Hospitalisation Details'!$A:$O, 15, FALSE)</f>
        <v>63</v>
      </c>
    </row>
    <row r="735" ht="15.75" customHeight="1">
      <c r="A735" s="33" t="s">
        <v>1469</v>
      </c>
      <c r="B735" s="22" t="str">
        <f>VLOOKUP($A735,'Customer Names'!$A:$D,3, FALSE)</f>
        <v>Johnson</v>
      </c>
      <c r="C735" s="22">
        <f>VLOOKUP($A735,'Medical Examinations'!$A:$D, 2, FALSE)</f>
        <v>41.02</v>
      </c>
      <c r="D735" s="22">
        <f>VLOOKUP($A735, 'Medical Examinations'!$A:$D,3, FALSE)</f>
        <v>11.37</v>
      </c>
      <c r="E735" s="22" t="str">
        <f>VLOOKUP($A735, 'Medical Examinations'!$A:$D, 4, FALSE)</f>
        <v>No</v>
      </c>
      <c r="F735" s="22" t="str">
        <f>VLOOKUP($A735, 'Medical Examinations'!$A:$J, 5, FALSE)</f>
        <v>No</v>
      </c>
      <c r="G735" s="22" t="str">
        <f>VLOOKUP($A735, 'Medical Examinations'!$A:$I, 6, FALSE)</f>
        <v>No</v>
      </c>
      <c r="H735" s="22">
        <f>VLOOKUP($A735,'Medical Examinations'!$A:$L,10, FALSE)</f>
        <v>0</v>
      </c>
      <c r="I735" s="22" t="str">
        <f>VLOOKUP($A735, 'Medical Examinations'!$A:$J, 9, FALSE)</f>
        <v>No</v>
      </c>
      <c r="J735" s="22" t="str">
        <f>VLOOKUP($A735, 'Medical Examinations'!$A:$P, 11, FALSE)</f>
        <v>OBESITY</v>
      </c>
      <c r="K735" s="34">
        <v>30140.0</v>
      </c>
      <c r="L735" s="35">
        <f>VLOOKUP($A735, 'Hospitalisation Details'!$A:$H, 7, FALSE)</f>
        <v>13874.89</v>
      </c>
      <c r="M735" s="22" t="str">
        <f>VLOOKUP($A735, 'Hospitalisation Details'!$A:$L, 12, FALSE)</f>
        <v>tier - 2</v>
      </c>
      <c r="N735" s="22" t="str">
        <f>VLOOKUP($A735, 'Hospitalisation Details'!$A:$M, 13, FALSE)</f>
        <v>tier - 1</v>
      </c>
      <c r="O735" s="22" t="str">
        <f>VLOOKUP($A735, 'Hospitalisation Details'!$A:$N, 14, FALSE)</f>
        <v>R1012</v>
      </c>
      <c r="P735" s="36">
        <f>VLOOKUP($A735, 'Hospitalisation Details'!$A:$O, 15, FALSE)</f>
        <v>44</v>
      </c>
    </row>
    <row r="736" ht="15.75" customHeight="1">
      <c r="A736" s="33" t="s">
        <v>1471</v>
      </c>
      <c r="B736" s="22" t="str">
        <f>VLOOKUP($A736,'Customer Names'!$A:$D,3, FALSE)</f>
        <v>Bartlett</v>
      </c>
      <c r="C736" s="22">
        <f>VLOOKUP($A736,'Medical Examinations'!$A:$D, 2, FALSE)</f>
        <v>32.68</v>
      </c>
      <c r="D736" s="22">
        <f>VLOOKUP($A736, 'Medical Examinations'!$A:$D,3, FALSE)</f>
        <v>11.87</v>
      </c>
      <c r="E736" s="22" t="str">
        <f>VLOOKUP($A736, 'Medical Examinations'!$A:$D, 4, FALSE)</f>
        <v>No</v>
      </c>
      <c r="F736" s="22" t="str">
        <f>VLOOKUP($A736, 'Medical Examinations'!$A:$J, 5, FALSE)</f>
        <v>No</v>
      </c>
      <c r="G736" s="22" t="str">
        <f>VLOOKUP($A736, 'Medical Examinations'!$A:$I, 6, FALSE)</f>
        <v>No</v>
      </c>
      <c r="H736" s="22">
        <f>VLOOKUP($A736,'Medical Examinations'!$A:$L,10, FALSE)</f>
        <v>0</v>
      </c>
      <c r="I736" s="22" t="str">
        <f>VLOOKUP($A736, 'Medical Examinations'!$A:$J, 9, FALSE)</f>
        <v>No</v>
      </c>
      <c r="J736" s="22" t="str">
        <f>VLOOKUP($A736, 'Medical Examinations'!$A:$P, 11, FALSE)</f>
        <v>OBESITY</v>
      </c>
      <c r="K736" s="34">
        <v>34261.0</v>
      </c>
      <c r="L736" s="35">
        <f>VLOOKUP($A736, 'Hospitalisation Details'!$A:$H, 7, FALSE)</f>
        <v>13844.8</v>
      </c>
      <c r="M736" s="22" t="str">
        <f>VLOOKUP($A736, 'Hospitalisation Details'!$A:$L, 12, FALSE)</f>
        <v>tier - 2</v>
      </c>
      <c r="N736" s="22" t="str">
        <f>VLOOKUP($A736, 'Hospitalisation Details'!$A:$M, 13, FALSE)</f>
        <v>tier - 2</v>
      </c>
      <c r="O736" s="22" t="str">
        <f>VLOOKUP($A736, 'Hospitalisation Details'!$A:$N, 14, FALSE)</f>
        <v>R1012</v>
      </c>
      <c r="P736" s="36">
        <f>VLOOKUP($A736, 'Hospitalisation Details'!$A:$O, 15, FALSE)</f>
        <v>62</v>
      </c>
    </row>
    <row r="737" ht="15.75" customHeight="1">
      <c r="A737" s="33" t="s">
        <v>1473</v>
      </c>
      <c r="B737" s="22" t="str">
        <f>VLOOKUP($A737,'Customer Names'!$A:$D,3, FALSE)</f>
        <v>Bergman</v>
      </c>
      <c r="C737" s="22">
        <f>VLOOKUP($A737,'Medical Examinations'!$A:$D, 2, FALSE)</f>
        <v>21.7</v>
      </c>
      <c r="D737" s="22">
        <f>VLOOKUP($A737, 'Medical Examinations'!$A:$D,3, FALSE)</f>
        <v>4.9</v>
      </c>
      <c r="E737" s="22" t="str">
        <f>VLOOKUP($A737, 'Medical Examinations'!$A:$D, 4, FALSE)</f>
        <v>No</v>
      </c>
      <c r="F737" s="22" t="str">
        <f>VLOOKUP($A737, 'Medical Examinations'!$A:$J, 5, FALSE)</f>
        <v>No</v>
      </c>
      <c r="G737" s="22" t="str">
        <f>VLOOKUP($A737, 'Medical Examinations'!$A:$I, 6, FALSE)</f>
        <v>Yes</v>
      </c>
      <c r="H737" s="22">
        <f>VLOOKUP($A737,'Medical Examinations'!$A:$L,10, FALSE)</f>
        <v>1</v>
      </c>
      <c r="I737" s="22" t="str">
        <f>VLOOKUP($A737, 'Medical Examinations'!$A:$J, 9, FALSE)</f>
        <v>Yes</v>
      </c>
      <c r="J737" s="22" t="str">
        <f>VLOOKUP($A737, 'Medical Examinations'!$A:$P, 11, FALSE)</f>
        <v>NORMAL WEIGHT</v>
      </c>
      <c r="K737" s="34">
        <v>31008.0</v>
      </c>
      <c r="L737" s="35">
        <f>VLOOKUP($A737, 'Hospitalisation Details'!$A:$H, 7, FALSE)</f>
        <v>13844.51</v>
      </c>
      <c r="M737" s="22" t="str">
        <f>VLOOKUP($A737, 'Hospitalisation Details'!$A:$L, 12, FALSE)</f>
        <v>tier - 2</v>
      </c>
      <c r="N737" s="22" t="str">
        <f>VLOOKUP($A737, 'Hospitalisation Details'!$A:$M, 13, FALSE)</f>
        <v>tier - 1</v>
      </c>
      <c r="O737" s="22" t="str">
        <f>VLOOKUP($A737, 'Hospitalisation Details'!$A:$N, 14, FALSE)</f>
        <v>R1011</v>
      </c>
      <c r="P737" s="36">
        <f>VLOOKUP($A737, 'Hospitalisation Details'!$A:$O, 15, FALSE)</f>
        <v>20</v>
      </c>
    </row>
    <row r="738" ht="15.75" customHeight="1">
      <c r="A738" s="33" t="s">
        <v>1475</v>
      </c>
      <c r="B738" s="22" t="str">
        <f>VLOOKUP($A738,'Customer Names'!$A:$D,3, FALSE)</f>
        <v>Aitken</v>
      </c>
      <c r="C738" s="22">
        <f>VLOOKUP($A738,'Medical Examinations'!$A:$D, 2, FALSE)</f>
        <v>40.48</v>
      </c>
      <c r="D738" s="22">
        <f>VLOOKUP($A738, 'Medical Examinations'!$A:$D,3, FALSE)</f>
        <v>6.7</v>
      </c>
      <c r="E738" s="22" t="str">
        <f>VLOOKUP($A738, 'Medical Examinations'!$A:$D, 4, FALSE)</f>
        <v>No</v>
      </c>
      <c r="F738" s="22" t="str">
        <f>VLOOKUP($A738, 'Medical Examinations'!$A:$J, 5, FALSE)</f>
        <v>No</v>
      </c>
      <c r="G738" s="22" t="str">
        <f>VLOOKUP($A738, 'Medical Examinations'!$A:$I, 6, FALSE)</f>
        <v>No</v>
      </c>
      <c r="H738" s="22">
        <f>VLOOKUP($A738,'Medical Examinations'!$A:$L,10, FALSE)</f>
        <v>3</v>
      </c>
      <c r="I738" s="22" t="str">
        <f>VLOOKUP($A738, 'Medical Examinations'!$A:$J, 9, FALSE)</f>
        <v>No</v>
      </c>
      <c r="J738" s="22" t="str">
        <f>VLOOKUP($A738, 'Medical Examinations'!$A:$P, 11, FALSE)</f>
        <v>OBESITY</v>
      </c>
      <c r="K738" s="34">
        <v>31216.0</v>
      </c>
      <c r="L738" s="35">
        <f>VLOOKUP($A738, 'Hospitalisation Details'!$A:$H, 7, FALSE)</f>
        <v>13831.12</v>
      </c>
      <c r="M738" s="22" t="str">
        <f>VLOOKUP($A738, 'Hospitalisation Details'!$A:$L, 12, FALSE)</f>
        <v>tier - 3</v>
      </c>
      <c r="N738" s="22" t="str">
        <f>VLOOKUP($A738, 'Hospitalisation Details'!$A:$M, 13, FALSE)</f>
        <v>tier - 1</v>
      </c>
      <c r="O738" s="22" t="str">
        <f>VLOOKUP($A738, 'Hospitalisation Details'!$A:$N, 14, FALSE)</f>
        <v>R1013</v>
      </c>
      <c r="P738" s="36">
        <f>VLOOKUP($A738, 'Hospitalisation Details'!$A:$O, 15, FALSE)</f>
        <v>64</v>
      </c>
    </row>
    <row r="739" ht="15.75" customHeight="1">
      <c r="A739" s="33" t="s">
        <v>1477</v>
      </c>
      <c r="B739" s="22" t="str">
        <f>VLOOKUP($A739,'Customer Names'!$A:$D,3, FALSE)</f>
        <v>Berger</v>
      </c>
      <c r="C739" s="22">
        <f>VLOOKUP($A739,'Medical Examinations'!$A:$D, 2, FALSE)</f>
        <v>34.5</v>
      </c>
      <c r="D739" s="22">
        <f>VLOOKUP($A739, 'Medical Examinations'!$A:$D,3, FALSE)</f>
        <v>10.3</v>
      </c>
      <c r="E739" s="22" t="str">
        <f>VLOOKUP($A739, 'Medical Examinations'!$A:$D, 4, FALSE)</f>
        <v>No</v>
      </c>
      <c r="F739" s="22" t="str">
        <f>VLOOKUP($A739, 'Medical Examinations'!$A:$J, 5, FALSE)</f>
        <v>No</v>
      </c>
      <c r="G739" s="22" t="str">
        <f>VLOOKUP($A739, 'Medical Examinations'!$A:$I, 6, FALSE)</f>
        <v>No</v>
      </c>
      <c r="H739" s="22">
        <f>VLOOKUP($A739,'Medical Examinations'!$A:$L,10, FALSE)</f>
        <v>3</v>
      </c>
      <c r="I739" s="22" t="str">
        <f>VLOOKUP($A739, 'Medical Examinations'!$A:$J, 9, FALSE)</f>
        <v>No</v>
      </c>
      <c r="J739" s="22" t="str">
        <f>VLOOKUP($A739, 'Medical Examinations'!$A:$P, 11, FALSE)</f>
        <v>OBESITY</v>
      </c>
      <c r="K739" s="34">
        <v>32050.0</v>
      </c>
      <c r="L739" s="35">
        <f>VLOOKUP($A739, 'Hospitalisation Details'!$A:$H, 7, FALSE)</f>
        <v>13822.8</v>
      </c>
      <c r="M739" s="22" t="str">
        <f>VLOOKUP($A739, 'Hospitalisation Details'!$A:$L, 12, FALSE)</f>
        <v>tier - 3</v>
      </c>
      <c r="N739" s="22" t="str">
        <f>VLOOKUP($A739, 'Hospitalisation Details'!$A:$M, 13, FALSE)</f>
        <v>tier - 3</v>
      </c>
      <c r="O739" s="22" t="str">
        <f>VLOOKUP($A739, 'Hospitalisation Details'!$A:$N, 14, FALSE)</f>
        <v>R1011</v>
      </c>
      <c r="P739" s="36">
        <f>VLOOKUP($A739, 'Hospitalisation Details'!$A:$O, 15, FALSE)</f>
        <v>64</v>
      </c>
    </row>
    <row r="740" ht="15.75" customHeight="1">
      <c r="A740" s="33" t="s">
        <v>1479</v>
      </c>
      <c r="B740" s="22" t="str">
        <f>VLOOKUP($A740,'Customer Names'!$A:$D,3, FALSE)</f>
        <v>Richey</v>
      </c>
      <c r="C740" s="22">
        <f>VLOOKUP($A740,'Medical Examinations'!$A:$D, 2, FALSE)</f>
        <v>45.9</v>
      </c>
      <c r="D740" s="22">
        <f>VLOOKUP($A740, 'Medical Examinations'!$A:$D,3, FALSE)</f>
        <v>11.14</v>
      </c>
      <c r="E740" s="22" t="str">
        <f>VLOOKUP($A740, 'Medical Examinations'!$A:$D, 4, FALSE)</f>
        <v>Yes</v>
      </c>
      <c r="F740" s="22" t="str">
        <f>VLOOKUP($A740, 'Medical Examinations'!$A:$J, 5, FALSE)</f>
        <v>No</v>
      </c>
      <c r="G740" s="22" t="str">
        <f>VLOOKUP($A740, 'Medical Examinations'!$A:$I, 6, FALSE)</f>
        <v>No</v>
      </c>
      <c r="H740" s="22">
        <f>VLOOKUP($A740,'Medical Examinations'!$A:$L,10, FALSE)</f>
        <v>1</v>
      </c>
      <c r="I740" s="22" t="str">
        <f>VLOOKUP($A740, 'Medical Examinations'!$A:$J, 9, FALSE)</f>
        <v>No</v>
      </c>
      <c r="J740" s="22" t="str">
        <f>VLOOKUP($A740, 'Medical Examinations'!$A:$P, 11, FALSE)</f>
        <v>OBESITY</v>
      </c>
      <c r="K740" s="34">
        <v>34931.0</v>
      </c>
      <c r="L740" s="35">
        <f>VLOOKUP($A740, 'Hospitalisation Details'!$A:$H, 7, FALSE)</f>
        <v>13819.49</v>
      </c>
      <c r="M740" s="22" t="str">
        <f>VLOOKUP($A740, 'Hospitalisation Details'!$A:$L, 12, FALSE)</f>
        <v>tier - 3</v>
      </c>
      <c r="N740" s="22" t="str">
        <f>VLOOKUP($A740, 'Hospitalisation Details'!$A:$M, 13, FALSE)</f>
        <v>tier - 2</v>
      </c>
      <c r="O740" s="22" t="str">
        <f>VLOOKUP($A740, 'Hospitalisation Details'!$A:$N, 14, FALSE)</f>
        <v>R1012</v>
      </c>
      <c r="P740" s="36">
        <f>VLOOKUP($A740, 'Hospitalisation Details'!$A:$O, 15, FALSE)</f>
        <v>36</v>
      </c>
    </row>
    <row r="741" ht="15.75" customHeight="1">
      <c r="A741" s="33" t="s">
        <v>1481</v>
      </c>
      <c r="B741" s="22" t="str">
        <f>VLOOKUP($A741,'Customer Names'!$A:$D,3, FALSE)</f>
        <v>Trotter</v>
      </c>
      <c r="C741" s="22">
        <f>VLOOKUP($A741,'Medical Examinations'!$A:$D, 2, FALSE)</f>
        <v>33.48</v>
      </c>
      <c r="D741" s="22">
        <f>VLOOKUP($A741, 'Medical Examinations'!$A:$D,3, FALSE)</f>
        <v>4.74</v>
      </c>
      <c r="E741" s="22" t="str">
        <f>VLOOKUP($A741, 'Medical Examinations'!$A:$D, 4, FALSE)</f>
        <v>Yes</v>
      </c>
      <c r="F741" s="22" t="str">
        <f>VLOOKUP($A741, 'Medical Examinations'!$A:$J, 5, FALSE)</f>
        <v>No</v>
      </c>
      <c r="G741" s="22" t="str">
        <f>VLOOKUP($A741, 'Medical Examinations'!$A:$I, 6, FALSE)</f>
        <v>No</v>
      </c>
      <c r="H741" s="22">
        <f>VLOOKUP($A741,'Medical Examinations'!$A:$L,10, FALSE)</f>
        <v>2</v>
      </c>
      <c r="I741" s="22" t="str">
        <f>VLOOKUP($A741, 'Medical Examinations'!$A:$J, 9, FALSE)</f>
        <v>No</v>
      </c>
      <c r="J741" s="22" t="str">
        <f>VLOOKUP($A741, 'Medical Examinations'!$A:$P, 11, FALSE)</f>
        <v>OBESITY</v>
      </c>
      <c r="K741" s="34">
        <v>31985.0</v>
      </c>
      <c r="L741" s="35">
        <f>VLOOKUP($A741, 'Hospitalisation Details'!$A:$H, 7, FALSE)</f>
        <v>13801.61</v>
      </c>
      <c r="M741" s="22" t="str">
        <f>VLOOKUP($A741, 'Hospitalisation Details'!$A:$L, 12, FALSE)</f>
        <v>tier - 3</v>
      </c>
      <c r="N741" s="22" t="str">
        <f>VLOOKUP($A741, 'Hospitalisation Details'!$A:$M, 13, FALSE)</f>
        <v>tier - 3</v>
      </c>
      <c r="O741" s="22" t="str">
        <f>VLOOKUP($A741, 'Hospitalisation Details'!$A:$N, 14, FALSE)</f>
        <v>R1026</v>
      </c>
      <c r="P741" s="36">
        <f>VLOOKUP($A741, 'Hospitalisation Details'!$A:$O, 15, FALSE)</f>
        <v>56</v>
      </c>
    </row>
    <row r="742" ht="15.75" customHeight="1">
      <c r="A742" s="33" t="s">
        <v>1483</v>
      </c>
      <c r="B742" s="22" t="str">
        <f>VLOOKUP($A742,'Customer Names'!$A:$D,3, FALSE)</f>
        <v>Chavez</v>
      </c>
      <c r="C742" s="22">
        <f>VLOOKUP($A742,'Medical Examinations'!$A:$D, 2, FALSE)</f>
        <v>28.31</v>
      </c>
      <c r="D742" s="22">
        <f>VLOOKUP($A742, 'Medical Examinations'!$A:$D,3, FALSE)</f>
        <v>5.96</v>
      </c>
      <c r="E742" s="22" t="str">
        <f>VLOOKUP($A742, 'Medical Examinations'!$A:$D, 4, FALSE)</f>
        <v>Yes</v>
      </c>
      <c r="F742" s="22" t="str">
        <f>VLOOKUP($A742, 'Medical Examinations'!$A:$J, 5, FALSE)</f>
        <v>No</v>
      </c>
      <c r="G742" s="22" t="str">
        <f>VLOOKUP($A742, 'Medical Examinations'!$A:$I, 6, FALSE)</f>
        <v>No</v>
      </c>
      <c r="H742" s="22">
        <f>VLOOKUP($A742,'Medical Examinations'!$A:$L,10, FALSE)</f>
        <v>2</v>
      </c>
      <c r="I742" s="22" t="str">
        <f>VLOOKUP($A742, 'Medical Examinations'!$A:$J, 9, FALSE)</f>
        <v>No</v>
      </c>
      <c r="J742" s="22" t="str">
        <f>VLOOKUP($A742, 'Medical Examinations'!$A:$P, 11, FALSE)</f>
        <v>OVERWEIGHT</v>
      </c>
      <c r="K742" s="34">
        <v>25506.0</v>
      </c>
      <c r="L742" s="35">
        <f>VLOOKUP($A742, 'Hospitalisation Details'!$A:$H, 7, FALSE)</f>
        <v>13770.1</v>
      </c>
      <c r="M742" s="22" t="str">
        <f>VLOOKUP($A742, 'Hospitalisation Details'!$A:$L, 12, FALSE)</f>
        <v>tier - 3</v>
      </c>
      <c r="N742" s="22" t="str">
        <f>VLOOKUP($A742, 'Hospitalisation Details'!$A:$M, 13, FALSE)</f>
        <v>tier - 1</v>
      </c>
      <c r="O742" s="22" t="str">
        <f>VLOOKUP($A742, 'Hospitalisation Details'!$A:$N, 14, FALSE)</f>
        <v>R1012</v>
      </c>
      <c r="P742" s="36">
        <f>VLOOKUP($A742, 'Hospitalisation Details'!$A:$O, 15, FALSE)</f>
        <v>63</v>
      </c>
    </row>
    <row r="743" ht="15.75" customHeight="1">
      <c r="A743" s="33" t="s">
        <v>1485</v>
      </c>
      <c r="B743" s="22" t="str">
        <f>VLOOKUP($A743,'Customer Names'!$A:$D,3, FALSE)</f>
        <v>Orifice</v>
      </c>
      <c r="C743" s="22">
        <f>VLOOKUP($A743,'Medical Examinations'!$A:$D, 2, FALSE)</f>
        <v>21.565</v>
      </c>
      <c r="D743" s="22">
        <f>VLOOKUP($A743, 'Medical Examinations'!$A:$D,3, FALSE)</f>
        <v>4.95</v>
      </c>
      <c r="E743" s="22" t="str">
        <f>VLOOKUP($A743, 'Medical Examinations'!$A:$D, 4, FALSE)</f>
        <v>No</v>
      </c>
      <c r="F743" s="22" t="str">
        <f>VLOOKUP($A743, 'Medical Examinations'!$A:$J, 5, FALSE)</f>
        <v>Yes</v>
      </c>
      <c r="G743" s="22" t="str">
        <f>VLOOKUP($A743, 'Medical Examinations'!$A:$I, 6, FALSE)</f>
        <v>No</v>
      </c>
      <c r="H743" s="22">
        <f>VLOOKUP($A743,'Medical Examinations'!$A:$L,10, FALSE)</f>
        <v>1</v>
      </c>
      <c r="I743" s="22" t="str">
        <f>VLOOKUP($A743, 'Medical Examinations'!$A:$J, 9, FALSE)</f>
        <v>Yes</v>
      </c>
      <c r="J743" s="22" t="str">
        <f>VLOOKUP($A743, 'Medical Examinations'!$A:$P, 11, FALSE)</f>
        <v>NORMAL WEIGHT</v>
      </c>
      <c r="K743" s="34">
        <v>26203.0</v>
      </c>
      <c r="L743" s="35">
        <f>VLOOKUP($A743, 'Hospitalisation Details'!$A:$H, 7, FALSE)</f>
        <v>13747.87</v>
      </c>
      <c r="M743" s="22" t="str">
        <f>VLOOKUP($A743, 'Hospitalisation Details'!$A:$L, 12, FALSE)</f>
        <v>tier - 3</v>
      </c>
      <c r="N743" s="22" t="str">
        <f>VLOOKUP($A743, 'Hospitalisation Details'!$A:$M, 13, FALSE)</f>
        <v>tier - 2</v>
      </c>
      <c r="O743" s="22" t="str">
        <f>VLOOKUP($A743, 'Hospitalisation Details'!$A:$N, 14, FALSE)</f>
        <v>R1018</v>
      </c>
      <c r="P743" s="36">
        <f>VLOOKUP($A743, 'Hospitalisation Details'!$A:$O, 15, FALSE)</f>
        <v>18</v>
      </c>
    </row>
    <row r="744" ht="15.75" customHeight="1">
      <c r="A744" s="33" t="s">
        <v>1487</v>
      </c>
      <c r="B744" s="22" t="str">
        <f>VLOOKUP($A744,'Customer Names'!$A:$D,3, FALSE)</f>
        <v>Farkash</v>
      </c>
      <c r="C744" s="22">
        <f>VLOOKUP($A744,'Medical Examinations'!$A:$D, 2, FALSE)</f>
        <v>35.59</v>
      </c>
      <c r="D744" s="22">
        <f>VLOOKUP($A744, 'Medical Examinations'!$A:$D,3, FALSE)</f>
        <v>5.21</v>
      </c>
      <c r="E744" s="22" t="str">
        <f>VLOOKUP($A744, 'Medical Examinations'!$A:$D, 4, FALSE)</f>
        <v>Yes</v>
      </c>
      <c r="F744" s="22" t="str">
        <f>VLOOKUP($A744, 'Medical Examinations'!$A:$J, 5, FALSE)</f>
        <v>No</v>
      </c>
      <c r="G744" s="22" t="str">
        <f>VLOOKUP($A744, 'Medical Examinations'!$A:$I, 6, FALSE)</f>
        <v>Yes</v>
      </c>
      <c r="H744" s="22">
        <f>VLOOKUP($A744,'Medical Examinations'!$A:$L,10, FALSE)</f>
        <v>1</v>
      </c>
      <c r="I744" s="22" t="str">
        <f>VLOOKUP($A744, 'Medical Examinations'!$A:$J, 9, FALSE)</f>
        <v>No</v>
      </c>
      <c r="J744" s="22" t="str">
        <f>VLOOKUP($A744, 'Medical Examinations'!$A:$P, 11, FALSE)</f>
        <v>OBESITY</v>
      </c>
      <c r="K744" s="34">
        <v>37459.0</v>
      </c>
      <c r="L744" s="35">
        <f>VLOOKUP($A744, 'Hospitalisation Details'!$A:$H, 7, FALSE)</f>
        <v>13746.74</v>
      </c>
      <c r="M744" s="22" t="str">
        <f>VLOOKUP($A744, 'Hospitalisation Details'!$A:$L, 12, FALSE)</f>
        <v>tier - 3</v>
      </c>
      <c r="N744" s="22" t="str">
        <f>VLOOKUP($A744, 'Hospitalisation Details'!$A:$M, 13, FALSE)</f>
        <v>tier - 2</v>
      </c>
      <c r="O744" s="22" t="str">
        <f>VLOOKUP($A744, 'Hospitalisation Details'!$A:$N, 14, FALSE)</f>
        <v>R1026</v>
      </c>
      <c r="P744" s="36">
        <f>VLOOKUP($A744, 'Hospitalisation Details'!$A:$O, 15, FALSE)</f>
        <v>53</v>
      </c>
    </row>
    <row r="745" ht="15.75" customHeight="1">
      <c r="A745" s="33" t="s">
        <v>1489</v>
      </c>
      <c r="B745" s="22" t="str">
        <f>VLOOKUP($A745,'Customer Names'!$A:$D,3, FALSE)</f>
        <v>Hribar</v>
      </c>
      <c r="C745" s="22">
        <f>VLOOKUP($A745,'Medical Examinations'!$A:$D, 2, FALSE)</f>
        <v>43.44</v>
      </c>
      <c r="D745" s="22">
        <f>VLOOKUP($A745, 'Medical Examinations'!$A:$D,3, FALSE)</f>
        <v>4.86</v>
      </c>
      <c r="E745" s="22" t="str">
        <f>VLOOKUP($A745, 'Medical Examinations'!$A:$D, 4, FALSE)</f>
        <v>Yes</v>
      </c>
      <c r="F745" s="22" t="str">
        <f>VLOOKUP($A745, 'Medical Examinations'!$A:$J, 5, FALSE)</f>
        <v>No</v>
      </c>
      <c r="G745" s="22" t="str">
        <f>VLOOKUP($A745, 'Medical Examinations'!$A:$I, 6, FALSE)</f>
        <v>No</v>
      </c>
      <c r="H745" s="22">
        <f>VLOOKUP($A745,'Medical Examinations'!$A:$L,10, FALSE)</f>
        <v>0</v>
      </c>
      <c r="I745" s="22" t="str">
        <f>VLOOKUP($A745, 'Medical Examinations'!$A:$J, 9, FALSE)</f>
        <v>No</v>
      </c>
      <c r="J745" s="22" t="str">
        <f>VLOOKUP($A745, 'Medical Examinations'!$A:$P, 11, FALSE)</f>
        <v>OBESITY</v>
      </c>
      <c r="K745" s="34">
        <v>26605.0</v>
      </c>
      <c r="L745" s="35">
        <f>VLOOKUP($A745, 'Hospitalisation Details'!$A:$H, 7, FALSE)</f>
        <v>13726.21</v>
      </c>
      <c r="M745" s="22" t="str">
        <f>VLOOKUP($A745, 'Hospitalisation Details'!$A:$L, 12, FALSE)</f>
        <v>tier - 3</v>
      </c>
      <c r="N745" s="22" t="str">
        <f>VLOOKUP($A745, 'Hospitalisation Details'!$A:$M, 13, FALSE)</f>
        <v>tier - 3</v>
      </c>
      <c r="O745" s="22" t="str">
        <f>VLOOKUP($A745, 'Hospitalisation Details'!$A:$N, 14, FALSE)</f>
        <v>R1026</v>
      </c>
      <c r="P745" s="36">
        <f>VLOOKUP($A745, 'Hospitalisation Details'!$A:$O, 15, FALSE)</f>
        <v>37</v>
      </c>
    </row>
    <row r="746" ht="15.75" customHeight="1">
      <c r="A746" s="33" t="s">
        <v>1491</v>
      </c>
      <c r="B746" s="22" t="str">
        <f>VLOOKUP($A746,'Customer Names'!$A:$D,3, FALSE)</f>
        <v>Crawford</v>
      </c>
      <c r="C746" s="22">
        <f>VLOOKUP($A746,'Medical Examinations'!$A:$D, 2, FALSE)</f>
        <v>21.755</v>
      </c>
      <c r="D746" s="22">
        <f>VLOOKUP($A746, 'Medical Examinations'!$A:$D,3, FALSE)</f>
        <v>7.79</v>
      </c>
      <c r="E746" s="22" t="str">
        <f>VLOOKUP($A746, 'Medical Examinations'!$A:$D, 4, FALSE)</f>
        <v>Yes</v>
      </c>
      <c r="F746" s="22" t="str">
        <f>VLOOKUP($A746, 'Medical Examinations'!$A:$J, 5, FALSE)</f>
        <v>No</v>
      </c>
      <c r="G746" s="22" t="str">
        <f>VLOOKUP($A746, 'Medical Examinations'!$A:$I, 6, FALSE)</f>
        <v>No</v>
      </c>
      <c r="H746" s="22">
        <f>VLOOKUP($A746,'Medical Examinations'!$A:$L,10, FALSE)</f>
        <v>0</v>
      </c>
      <c r="I746" s="22" t="str">
        <f>VLOOKUP($A746, 'Medical Examinations'!$A:$J, 9, FALSE)</f>
        <v>No</v>
      </c>
      <c r="J746" s="22" t="str">
        <f>VLOOKUP($A746, 'Medical Examinations'!$A:$P, 11, FALSE)</f>
        <v>NORMAL WEIGHT</v>
      </c>
      <c r="K746" s="34">
        <v>29482.0</v>
      </c>
      <c r="L746" s="35">
        <f>VLOOKUP($A746, 'Hospitalisation Details'!$A:$H, 7, FALSE)</f>
        <v>13725.47</v>
      </c>
      <c r="M746" s="22" t="str">
        <f>VLOOKUP($A746, 'Hospitalisation Details'!$A:$L, 12, FALSE)</f>
        <v>tier - 3</v>
      </c>
      <c r="N746" s="22" t="str">
        <f>VLOOKUP($A746, 'Hospitalisation Details'!$A:$M, 13, FALSE)</f>
        <v>tier - 2</v>
      </c>
      <c r="O746" s="22" t="str">
        <f>VLOOKUP($A746, 'Hospitalisation Details'!$A:$N, 14, FALSE)</f>
        <v>R1024</v>
      </c>
      <c r="P746" s="36">
        <f>VLOOKUP($A746, 'Hospitalisation Details'!$A:$O, 15, FALSE)</f>
        <v>41</v>
      </c>
    </row>
    <row r="747" ht="15.75" customHeight="1">
      <c r="A747" s="33" t="s">
        <v>1493</v>
      </c>
      <c r="B747" s="22" t="str">
        <f>VLOOKUP($A747,'Customer Names'!$A:$D,3, FALSE)</f>
        <v>Sittlington</v>
      </c>
      <c r="C747" s="22">
        <f>VLOOKUP($A747,'Medical Examinations'!$A:$D, 2, FALSE)</f>
        <v>44.55</v>
      </c>
      <c r="D747" s="22">
        <f>VLOOKUP($A747, 'Medical Examinations'!$A:$D,3, FALSE)</f>
        <v>7.12</v>
      </c>
      <c r="E747" s="22" t="str">
        <f>VLOOKUP($A747, 'Medical Examinations'!$A:$D, 4, FALSE)</f>
        <v>Yes</v>
      </c>
      <c r="F747" s="22" t="str">
        <f>VLOOKUP($A747, 'Medical Examinations'!$A:$J, 5, FALSE)</f>
        <v>No</v>
      </c>
      <c r="G747" s="22" t="str">
        <f>VLOOKUP($A747, 'Medical Examinations'!$A:$I, 6, FALSE)</f>
        <v>No</v>
      </c>
      <c r="H747" s="22">
        <f>VLOOKUP($A747,'Medical Examinations'!$A:$L,10, FALSE)</f>
        <v>1</v>
      </c>
      <c r="I747" s="22" t="str">
        <f>VLOOKUP($A747, 'Medical Examinations'!$A:$J, 9, FALSE)</f>
        <v>No</v>
      </c>
      <c r="J747" s="22" t="str">
        <f>VLOOKUP($A747, 'Medical Examinations'!$A:$P, 11, FALSE)</f>
        <v>OBESITY</v>
      </c>
      <c r="K747" s="34">
        <v>38292.0</v>
      </c>
      <c r="L747" s="35">
        <f>VLOOKUP($A747, 'Hospitalisation Details'!$A:$H, 7, FALSE)</f>
        <v>13714.55</v>
      </c>
      <c r="M747" s="22" t="str">
        <f>VLOOKUP($A747, 'Hospitalisation Details'!$A:$L, 12, FALSE)</f>
        <v>tier - 3</v>
      </c>
      <c r="N747" s="22" t="str">
        <f>VLOOKUP($A747, 'Hospitalisation Details'!$A:$M, 13, FALSE)</f>
        <v>tier - 2</v>
      </c>
      <c r="O747" s="22" t="str">
        <f>VLOOKUP($A747, 'Hospitalisation Details'!$A:$N, 14, FALSE)</f>
        <v>R1023</v>
      </c>
      <c r="P747" s="36">
        <f>VLOOKUP($A747, 'Hospitalisation Details'!$A:$O, 15, FALSE)</f>
        <v>36</v>
      </c>
    </row>
    <row r="748" ht="15.75" customHeight="1">
      <c r="A748" s="33" t="s">
        <v>1495</v>
      </c>
      <c r="B748" s="22" t="str">
        <f>VLOOKUP($A748,'Customer Names'!$A:$D,3, FALSE)</f>
        <v>Silbert</v>
      </c>
      <c r="C748" s="22">
        <f>VLOOKUP($A748,'Medical Examinations'!$A:$D, 2, FALSE)</f>
        <v>43.32</v>
      </c>
      <c r="D748" s="22">
        <f>VLOOKUP($A748, 'Medical Examinations'!$A:$D,3, FALSE)</f>
        <v>4.67</v>
      </c>
      <c r="E748" s="22" t="str">
        <f>VLOOKUP($A748, 'Medical Examinations'!$A:$D, 4, FALSE)</f>
        <v>Yes</v>
      </c>
      <c r="F748" s="22" t="str">
        <f>VLOOKUP($A748, 'Medical Examinations'!$A:$J, 5, FALSE)</f>
        <v>No</v>
      </c>
      <c r="G748" s="22" t="str">
        <f>VLOOKUP($A748, 'Medical Examinations'!$A:$I, 6, FALSE)</f>
        <v>No</v>
      </c>
      <c r="H748" s="22">
        <f>VLOOKUP($A748,'Medical Examinations'!$A:$L,10, FALSE)</f>
        <v>0</v>
      </c>
      <c r="I748" s="22" t="str">
        <f>VLOOKUP($A748, 'Medical Examinations'!$A:$J, 9, FALSE)</f>
        <v>No</v>
      </c>
      <c r="J748" s="22" t="str">
        <f>VLOOKUP($A748, 'Medical Examinations'!$A:$P, 11, FALSE)</f>
        <v>OBESITY</v>
      </c>
      <c r="K748" s="34">
        <v>30558.0</v>
      </c>
      <c r="L748" s="35">
        <f>VLOOKUP($A748, 'Hospitalisation Details'!$A:$H, 7, FALSE)</f>
        <v>13685.51</v>
      </c>
      <c r="M748" s="22" t="str">
        <f>VLOOKUP($A748, 'Hospitalisation Details'!$A:$L, 12, FALSE)</f>
        <v>tier - 3</v>
      </c>
      <c r="N748" s="22" t="str">
        <f>VLOOKUP($A748, 'Hospitalisation Details'!$A:$M, 13, FALSE)</f>
        <v>tier - 1</v>
      </c>
      <c r="O748" s="22" t="str">
        <f>VLOOKUP($A748, 'Hospitalisation Details'!$A:$N, 14, FALSE)</f>
        <v>R1026</v>
      </c>
      <c r="P748" s="36">
        <f>VLOOKUP($A748, 'Hospitalisation Details'!$A:$O, 15, FALSE)</f>
        <v>37</v>
      </c>
    </row>
    <row r="749" ht="15.75" customHeight="1">
      <c r="A749" s="33" t="s">
        <v>1497</v>
      </c>
      <c r="B749" s="22" t="str">
        <f>VLOOKUP($A749,'Customer Names'!$A:$D,3, FALSE)</f>
        <v>Carrique</v>
      </c>
      <c r="C749" s="22">
        <f>VLOOKUP($A749,'Medical Examinations'!$A:$D, 2, FALSE)</f>
        <v>31.23</v>
      </c>
      <c r="D749" s="22">
        <f>VLOOKUP($A749, 'Medical Examinations'!$A:$D,3, FALSE)</f>
        <v>9.12</v>
      </c>
      <c r="E749" s="22" t="str">
        <f>VLOOKUP($A749, 'Medical Examinations'!$A:$D, 4, FALSE)</f>
        <v>Yes</v>
      </c>
      <c r="F749" s="22" t="str">
        <f>VLOOKUP($A749, 'Medical Examinations'!$A:$J, 5, FALSE)</f>
        <v>No</v>
      </c>
      <c r="G749" s="22" t="str">
        <f>VLOOKUP($A749, 'Medical Examinations'!$A:$I, 6, FALSE)</f>
        <v>Yes</v>
      </c>
      <c r="H749" s="22">
        <f>VLOOKUP($A749,'Medical Examinations'!$A:$L,10, FALSE)</f>
        <v>1</v>
      </c>
      <c r="I749" s="22" t="str">
        <f>VLOOKUP($A749, 'Medical Examinations'!$A:$J, 9, FALSE)</f>
        <v>No</v>
      </c>
      <c r="J749" s="22" t="str">
        <f>VLOOKUP($A749, 'Medical Examinations'!$A:$P, 11, FALSE)</f>
        <v>OBESITY</v>
      </c>
      <c r="K749" s="34">
        <v>34130.0</v>
      </c>
      <c r="L749" s="35">
        <f>VLOOKUP($A749, 'Hospitalisation Details'!$A:$H, 7, FALSE)</f>
        <v>13677.68</v>
      </c>
      <c r="M749" s="22" t="str">
        <f>VLOOKUP($A749, 'Hospitalisation Details'!$A:$L, 12, FALSE)</f>
        <v>tier - 3</v>
      </c>
      <c r="N749" s="22" t="str">
        <f>VLOOKUP($A749, 'Hospitalisation Details'!$A:$M, 13, FALSE)</f>
        <v>tier - 2</v>
      </c>
      <c r="O749" s="22" t="str">
        <f>VLOOKUP($A749, 'Hospitalisation Details'!$A:$N, 14, FALSE)</f>
        <v>R1021</v>
      </c>
      <c r="P749" s="36">
        <f>VLOOKUP($A749, 'Hospitalisation Details'!$A:$O, 15, FALSE)</f>
        <v>59</v>
      </c>
    </row>
    <row r="750" ht="15.75" customHeight="1">
      <c r="A750" s="33" t="s">
        <v>1499</v>
      </c>
      <c r="B750" s="22" t="str">
        <f>VLOOKUP($A750,'Customer Names'!$A:$D,3, FALSE)</f>
        <v>Kosla</v>
      </c>
      <c r="C750" s="22">
        <f>VLOOKUP($A750,'Medical Examinations'!$A:$D, 2, FALSE)</f>
        <v>42.81</v>
      </c>
      <c r="D750" s="22">
        <f>VLOOKUP($A750, 'Medical Examinations'!$A:$D,3, FALSE)</f>
        <v>4.15</v>
      </c>
      <c r="E750" s="22" t="str">
        <f>VLOOKUP($A750, 'Medical Examinations'!$A:$D, 4, FALSE)</f>
        <v>No</v>
      </c>
      <c r="F750" s="22" t="str">
        <f>VLOOKUP($A750, 'Medical Examinations'!$A:$J, 5, FALSE)</f>
        <v>No</v>
      </c>
      <c r="G750" s="22" t="str">
        <f>VLOOKUP($A750, 'Medical Examinations'!$A:$I, 6, FALSE)</f>
        <v>No</v>
      </c>
      <c r="H750" s="22">
        <f>VLOOKUP($A750,'Medical Examinations'!$A:$L,10, FALSE)</f>
        <v>1</v>
      </c>
      <c r="I750" s="22" t="str">
        <f>VLOOKUP($A750, 'Medical Examinations'!$A:$J, 9, FALSE)</f>
        <v>No</v>
      </c>
      <c r="J750" s="22" t="str">
        <f>VLOOKUP($A750, 'Medical Examinations'!$A:$P, 11, FALSE)</f>
        <v>OBESITY</v>
      </c>
      <c r="K750" s="34">
        <v>26532.0</v>
      </c>
      <c r="L750" s="35">
        <f>VLOOKUP($A750, 'Hospitalisation Details'!$A:$H, 7, FALSE)</f>
        <v>13638.06</v>
      </c>
      <c r="M750" s="22" t="str">
        <f>VLOOKUP($A750, 'Hospitalisation Details'!$A:$L, 12, FALSE)</f>
        <v>tier - 3</v>
      </c>
      <c r="N750" s="22" t="str">
        <f>VLOOKUP($A750, 'Hospitalisation Details'!$A:$M, 13, FALSE)</f>
        <v>tier - 3</v>
      </c>
      <c r="O750" s="22" t="str">
        <f>VLOOKUP($A750, 'Hospitalisation Details'!$A:$N, 14, FALSE)</f>
        <v>R1023</v>
      </c>
      <c r="P750" s="36">
        <f>VLOOKUP($A750, 'Hospitalisation Details'!$A:$O, 15, FALSE)</f>
        <v>38</v>
      </c>
    </row>
    <row r="751" ht="15.75" customHeight="1">
      <c r="A751" s="33" t="s">
        <v>1501</v>
      </c>
      <c r="B751" s="22" t="str">
        <f>VLOOKUP($A751,'Customer Names'!$A:$D,3, FALSE)</f>
        <v>Parker</v>
      </c>
      <c r="C751" s="22">
        <f>VLOOKUP($A751,'Medical Examinations'!$A:$D, 2, FALSE)</f>
        <v>35.91</v>
      </c>
      <c r="D751" s="22">
        <f>VLOOKUP($A751, 'Medical Examinations'!$A:$D,3, FALSE)</f>
        <v>6.72</v>
      </c>
      <c r="E751" s="22" t="str">
        <f>VLOOKUP($A751, 'Medical Examinations'!$A:$D, 4, FALSE)</f>
        <v>Yes</v>
      </c>
      <c r="F751" s="22" t="str">
        <f>VLOOKUP($A751, 'Medical Examinations'!$A:$J, 5, FALSE)</f>
        <v>No</v>
      </c>
      <c r="G751" s="22" t="str">
        <f>VLOOKUP($A751, 'Medical Examinations'!$A:$I, 6, FALSE)</f>
        <v>No</v>
      </c>
      <c r="H751" s="22">
        <f>VLOOKUP($A751,'Medical Examinations'!$A:$L,10, FALSE)</f>
        <v>2</v>
      </c>
      <c r="I751" s="22" t="str">
        <f>VLOOKUP($A751, 'Medical Examinations'!$A:$J, 9, FALSE)</f>
        <v>No</v>
      </c>
      <c r="J751" s="22" t="str">
        <f>VLOOKUP($A751, 'Medical Examinations'!$A:$P, 11, FALSE)</f>
        <v>OBESITY</v>
      </c>
      <c r="K751" s="34">
        <v>32069.0</v>
      </c>
      <c r="L751" s="35">
        <f>VLOOKUP($A751, 'Hospitalisation Details'!$A:$H, 7, FALSE)</f>
        <v>13635.64</v>
      </c>
      <c r="M751" s="22" t="str">
        <f>VLOOKUP($A751, 'Hospitalisation Details'!$A:$L, 12, FALSE)</f>
        <v>tier - 3</v>
      </c>
      <c r="N751" s="22" t="str">
        <f>VLOOKUP($A751, 'Hospitalisation Details'!$A:$M, 13, FALSE)</f>
        <v>tier - 3</v>
      </c>
      <c r="O751" s="22" t="str">
        <f>VLOOKUP($A751, 'Hospitalisation Details'!$A:$N, 14, FALSE)</f>
        <v>R1024</v>
      </c>
      <c r="P751" s="36">
        <f>VLOOKUP($A751, 'Hospitalisation Details'!$A:$O, 15, FALSE)</f>
        <v>61</v>
      </c>
    </row>
    <row r="752" ht="15.75" customHeight="1">
      <c r="A752" s="33" t="s">
        <v>1503</v>
      </c>
      <c r="B752" s="22" t="str">
        <f>VLOOKUP($A752,'Customer Names'!$A:$D,3, FALSE)</f>
        <v>Horton</v>
      </c>
      <c r="C752" s="22">
        <f>VLOOKUP($A752,'Medical Examinations'!$A:$D, 2, FALSE)</f>
        <v>36.65</v>
      </c>
      <c r="D752" s="22">
        <f>VLOOKUP($A752, 'Medical Examinations'!$A:$D,3, FALSE)</f>
        <v>5.01</v>
      </c>
      <c r="E752" s="22" t="str">
        <f>VLOOKUP($A752, 'Medical Examinations'!$A:$D, 4, FALSE)</f>
        <v>Yes</v>
      </c>
      <c r="F752" s="22" t="str">
        <f>VLOOKUP($A752, 'Medical Examinations'!$A:$J, 5, FALSE)</f>
        <v>No</v>
      </c>
      <c r="G752" s="22" t="str">
        <f>VLOOKUP($A752, 'Medical Examinations'!$A:$I, 6, FALSE)</f>
        <v>Yes</v>
      </c>
      <c r="H752" s="22">
        <f>VLOOKUP($A752,'Medical Examinations'!$A:$L,10, FALSE)</f>
        <v>1</v>
      </c>
      <c r="I752" s="22" t="str">
        <f>VLOOKUP($A752, 'Medical Examinations'!$A:$J, 9, FALSE)</f>
        <v>No</v>
      </c>
      <c r="J752" s="22" t="str">
        <f>VLOOKUP($A752, 'Medical Examinations'!$A:$P, 11, FALSE)</f>
        <v>OBESITY</v>
      </c>
      <c r="K752" s="34">
        <v>26285.0</v>
      </c>
      <c r="L752" s="35">
        <f>VLOOKUP($A752, 'Hospitalisation Details'!$A:$H, 7, FALSE)</f>
        <v>13622.01</v>
      </c>
      <c r="M752" s="22" t="str">
        <f>VLOOKUP($A752, 'Hospitalisation Details'!$A:$L, 12, FALSE)</f>
        <v>tier - 3</v>
      </c>
      <c r="N752" s="22" t="str">
        <f>VLOOKUP($A752, 'Hospitalisation Details'!$A:$M, 13, FALSE)</f>
        <v>tier - 3</v>
      </c>
      <c r="O752" s="22" t="str">
        <f>VLOOKUP($A752, 'Hospitalisation Details'!$A:$N, 14, FALSE)</f>
        <v>R1012</v>
      </c>
      <c r="P752" s="36">
        <f>VLOOKUP($A752, 'Hospitalisation Details'!$A:$O, 15, FALSE)</f>
        <v>53</v>
      </c>
    </row>
    <row r="753" ht="15.75" customHeight="1">
      <c r="A753" s="33" t="s">
        <v>1505</v>
      </c>
      <c r="B753" s="22" t="str">
        <f>VLOOKUP($A753,'Customer Names'!$A:$D,3, FALSE)</f>
        <v>Boller</v>
      </c>
      <c r="C753" s="22">
        <f>VLOOKUP($A753,'Medical Examinations'!$A:$D, 2, FALSE)</f>
        <v>22.04</v>
      </c>
      <c r="D753" s="22">
        <f>VLOOKUP($A753, 'Medical Examinations'!$A:$D,3, FALSE)</f>
        <v>10.9</v>
      </c>
      <c r="E753" s="22" t="str">
        <f>VLOOKUP($A753, 'Medical Examinations'!$A:$D, 4, FALSE)</f>
        <v>Yes</v>
      </c>
      <c r="F753" s="22" t="str">
        <f>VLOOKUP($A753, 'Medical Examinations'!$A:$J, 5, FALSE)</f>
        <v>No</v>
      </c>
      <c r="G753" s="22" t="str">
        <f>VLOOKUP($A753, 'Medical Examinations'!$A:$I, 6, FALSE)</f>
        <v>No</v>
      </c>
      <c r="H753" s="22">
        <f>VLOOKUP($A753,'Medical Examinations'!$A:$L,10, FALSE)</f>
        <v>2</v>
      </c>
      <c r="I753" s="22" t="str">
        <f>VLOOKUP($A753, 'Medical Examinations'!$A:$J, 9, FALSE)</f>
        <v>No</v>
      </c>
      <c r="J753" s="22" t="str">
        <f>VLOOKUP($A753, 'Medical Examinations'!$A:$P, 11, FALSE)</f>
        <v>NORMAL WEIGHT</v>
      </c>
      <c r="K753" s="34">
        <v>27707.0</v>
      </c>
      <c r="L753" s="35">
        <f>VLOOKUP($A753, 'Hospitalisation Details'!$A:$H, 7, FALSE)</f>
        <v>13616.36</v>
      </c>
      <c r="M753" s="22" t="str">
        <f>VLOOKUP($A753, 'Hospitalisation Details'!$A:$L, 12, FALSE)</f>
        <v>tier - 3</v>
      </c>
      <c r="N753" s="22" t="str">
        <f>VLOOKUP($A753, 'Hospitalisation Details'!$A:$M, 13, FALSE)</f>
        <v>tier - 3</v>
      </c>
      <c r="O753" s="22" t="str">
        <f>VLOOKUP($A753, 'Hospitalisation Details'!$A:$N, 14, FALSE)</f>
        <v>R1024</v>
      </c>
      <c r="P753" s="36">
        <f>VLOOKUP($A753, 'Hospitalisation Details'!$A:$O, 15, FALSE)</f>
        <v>61</v>
      </c>
    </row>
    <row r="754" ht="15.75" customHeight="1">
      <c r="A754" s="33" t="s">
        <v>1507</v>
      </c>
      <c r="B754" s="22" t="str">
        <f>VLOOKUP($A754,'Customer Names'!$A:$D,3, FALSE)</f>
        <v>Olaru</v>
      </c>
      <c r="C754" s="22">
        <f>VLOOKUP($A754,'Medical Examinations'!$A:$D, 2, FALSE)</f>
        <v>31.825</v>
      </c>
      <c r="D754" s="22">
        <f>VLOOKUP($A754, 'Medical Examinations'!$A:$D,3, FALSE)</f>
        <v>5.52</v>
      </c>
      <c r="E754" s="22" t="str">
        <f>VLOOKUP($A754, 'Medical Examinations'!$A:$D, 4, FALSE)</f>
        <v>Yes</v>
      </c>
      <c r="F754" s="22" t="str">
        <f>VLOOKUP($A754, 'Medical Examinations'!$A:$J, 5, FALSE)</f>
        <v>No</v>
      </c>
      <c r="G754" s="22" t="str">
        <f>VLOOKUP($A754, 'Medical Examinations'!$A:$I, 6, FALSE)</f>
        <v>No</v>
      </c>
      <c r="H754" s="22">
        <f>VLOOKUP($A754,'Medical Examinations'!$A:$L,10, FALSE)</f>
        <v>1</v>
      </c>
      <c r="I754" s="22" t="str">
        <f>VLOOKUP($A754, 'Medical Examinations'!$A:$J, 9, FALSE)</f>
        <v>No</v>
      </c>
      <c r="J754" s="22" t="str">
        <f>VLOOKUP($A754, 'Medical Examinations'!$A:$P, 11, FALSE)</f>
        <v>OBESITY</v>
      </c>
      <c r="K754" s="34">
        <v>29828.0</v>
      </c>
      <c r="L754" s="35">
        <f>VLOOKUP($A754, 'Hospitalisation Details'!$A:$H, 7, FALSE)</f>
        <v>13607.37</v>
      </c>
      <c r="M754" s="22" t="str">
        <f>VLOOKUP($A754, 'Hospitalisation Details'!$A:$L, 12, FALSE)</f>
        <v>tier - 3</v>
      </c>
      <c r="N754" s="22" t="str">
        <f>VLOOKUP($A754, 'Hospitalisation Details'!$A:$M, 13, FALSE)</f>
        <v>tier - 1</v>
      </c>
      <c r="O754" s="22" t="str">
        <f>VLOOKUP($A754, 'Hospitalisation Details'!$A:$N, 14, FALSE)</f>
        <v>R1024</v>
      </c>
      <c r="P754" s="36">
        <f>VLOOKUP($A754, 'Hospitalisation Details'!$A:$O, 15, FALSE)</f>
        <v>58</v>
      </c>
    </row>
    <row r="755" ht="15.75" customHeight="1">
      <c r="A755" s="33" t="s">
        <v>1509</v>
      </c>
      <c r="B755" s="22" t="str">
        <f>VLOOKUP($A755,'Customer Names'!$A:$D,3, FALSE)</f>
        <v>Prescott</v>
      </c>
      <c r="C755" s="22">
        <f>VLOOKUP($A755,'Medical Examinations'!$A:$D, 2, FALSE)</f>
        <v>53.58</v>
      </c>
      <c r="D755" s="22">
        <f>VLOOKUP($A755, 'Medical Examinations'!$A:$D,3, FALSE)</f>
        <v>4.55</v>
      </c>
      <c r="E755" s="22" t="str">
        <f>VLOOKUP($A755, 'Medical Examinations'!$A:$D, 4, FALSE)</f>
        <v>No</v>
      </c>
      <c r="F755" s="22" t="str">
        <f>VLOOKUP($A755, 'Medical Examinations'!$A:$J, 5, FALSE)</f>
        <v>No</v>
      </c>
      <c r="G755" s="22" t="str">
        <f>VLOOKUP($A755, 'Medical Examinations'!$A:$I, 6, FALSE)</f>
        <v>No</v>
      </c>
      <c r="H755" s="22">
        <f>VLOOKUP($A755,'Medical Examinations'!$A:$L,10, FALSE)</f>
        <v>1</v>
      </c>
      <c r="I755" s="22" t="str">
        <f>VLOOKUP($A755, 'Medical Examinations'!$A:$J, 9, FALSE)</f>
        <v>No</v>
      </c>
      <c r="J755" s="22" t="str">
        <f>VLOOKUP($A755, 'Medical Examinations'!$A:$P, 11, FALSE)</f>
        <v>OBESITY</v>
      </c>
      <c r="K755" s="34">
        <v>34276.0</v>
      </c>
      <c r="L755" s="35">
        <f>VLOOKUP($A755, 'Hospitalisation Details'!$A:$H, 7, FALSE)</f>
        <v>13588.17</v>
      </c>
      <c r="M755" s="22" t="str">
        <f>VLOOKUP($A755, 'Hospitalisation Details'!$A:$L, 12, FALSE)</f>
        <v>tier - 3</v>
      </c>
      <c r="N755" s="22" t="str">
        <f>VLOOKUP($A755, 'Hospitalisation Details'!$A:$M, 13, FALSE)</f>
        <v>tier - 1</v>
      </c>
      <c r="O755" s="22" t="str">
        <f>VLOOKUP($A755, 'Hospitalisation Details'!$A:$N, 14, FALSE)</f>
        <v>R1012</v>
      </c>
      <c r="P755" s="36">
        <f>VLOOKUP($A755, 'Hospitalisation Details'!$A:$O, 15, FALSE)</f>
        <v>30</v>
      </c>
    </row>
    <row r="756" ht="15.75" customHeight="1">
      <c r="A756" s="33" t="s">
        <v>1511</v>
      </c>
      <c r="B756" s="22" t="str">
        <f>VLOOKUP($A756,'Customer Names'!$A:$D,3, FALSE)</f>
        <v>Hines</v>
      </c>
      <c r="C756" s="22">
        <f>VLOOKUP($A756,'Medical Examinations'!$A:$D, 2, FALSE)</f>
        <v>34.3</v>
      </c>
      <c r="D756" s="22">
        <f>VLOOKUP($A756, 'Medical Examinations'!$A:$D,3, FALSE)</f>
        <v>11.76</v>
      </c>
      <c r="E756" s="22" t="str">
        <f>VLOOKUP($A756, 'Medical Examinations'!$A:$D, 4, FALSE)</f>
        <v>No</v>
      </c>
      <c r="F756" s="22" t="str">
        <f>VLOOKUP($A756, 'Medical Examinations'!$A:$J, 5, FALSE)</f>
        <v>No</v>
      </c>
      <c r="G756" s="22" t="str">
        <f>VLOOKUP($A756, 'Medical Examinations'!$A:$I, 6, FALSE)</f>
        <v>No</v>
      </c>
      <c r="H756" s="22">
        <f>VLOOKUP($A756,'Medical Examinations'!$A:$L,10, FALSE)</f>
        <v>0</v>
      </c>
      <c r="I756" s="22" t="str">
        <f>VLOOKUP($A756, 'Medical Examinations'!$A:$J, 9, FALSE)</f>
        <v>No</v>
      </c>
      <c r="J756" s="22" t="str">
        <f>VLOOKUP($A756, 'Medical Examinations'!$A:$P, 11, FALSE)</f>
        <v>OBESITY</v>
      </c>
      <c r="K756" s="34">
        <v>29752.0</v>
      </c>
      <c r="L756" s="35">
        <f>VLOOKUP($A756, 'Hospitalisation Details'!$A:$H, 7, FALSE)</f>
        <v>13566.04</v>
      </c>
      <c r="M756" s="22" t="str">
        <f>VLOOKUP($A756, 'Hospitalisation Details'!$A:$L, 12, FALSE)</f>
        <v>tier - 3</v>
      </c>
      <c r="N756" s="22" t="str">
        <f>VLOOKUP($A756, 'Hospitalisation Details'!$A:$M, 13, FALSE)</f>
        <v>tier - 3</v>
      </c>
      <c r="O756" s="22" t="str">
        <f>VLOOKUP($A756, 'Hospitalisation Details'!$A:$N, 14, FALSE)</f>
        <v>R1026</v>
      </c>
      <c r="P756" s="36">
        <f>VLOOKUP($A756, 'Hospitalisation Details'!$A:$O, 15, FALSE)</f>
        <v>54</v>
      </c>
    </row>
    <row r="757" ht="15.75" customHeight="1">
      <c r="A757" s="33" t="s">
        <v>1513</v>
      </c>
      <c r="B757" s="22" t="str">
        <f>VLOOKUP($A757,'Customer Names'!$A:$D,3, FALSE)</f>
        <v>Blanton</v>
      </c>
      <c r="C757" s="22">
        <f>VLOOKUP($A757,'Medical Examinations'!$A:$D, 2, FALSE)</f>
        <v>32.11</v>
      </c>
      <c r="D757" s="22">
        <f>VLOOKUP($A757, 'Medical Examinations'!$A:$D,3, FALSE)</f>
        <v>7.06</v>
      </c>
      <c r="E757" s="22" t="str">
        <f>VLOOKUP($A757, 'Medical Examinations'!$A:$D, 4, FALSE)</f>
        <v>No</v>
      </c>
      <c r="F757" s="22" t="str">
        <f>VLOOKUP($A757, 'Medical Examinations'!$A:$J, 5, FALSE)</f>
        <v>No</v>
      </c>
      <c r="G757" s="22" t="str">
        <f>VLOOKUP($A757, 'Medical Examinations'!$A:$I, 6, FALSE)</f>
        <v>No</v>
      </c>
      <c r="H757" s="22">
        <f>VLOOKUP($A757,'Medical Examinations'!$A:$L,10, FALSE)</f>
        <v>0</v>
      </c>
      <c r="I757" s="22" t="str">
        <f>VLOOKUP($A757, 'Medical Examinations'!$A:$J, 9, FALSE)</f>
        <v>No</v>
      </c>
      <c r="J757" s="22" t="str">
        <f>VLOOKUP($A757, 'Medical Examinations'!$A:$P, 11, FALSE)</f>
        <v>OBESITY</v>
      </c>
      <c r="K757" s="34">
        <v>27216.0</v>
      </c>
      <c r="L757" s="35">
        <f>VLOOKUP($A757, 'Hospitalisation Details'!$A:$H, 7, FALSE)</f>
        <v>13555</v>
      </c>
      <c r="M757" s="22" t="str">
        <f>VLOOKUP($A757, 'Hospitalisation Details'!$A:$L, 12, FALSE)</f>
        <v>tier - 3</v>
      </c>
      <c r="N757" s="22" t="str">
        <f>VLOOKUP($A757, 'Hospitalisation Details'!$A:$M, 13, FALSE)</f>
        <v>tier - 3</v>
      </c>
      <c r="O757" s="22" t="str">
        <f>VLOOKUP($A757, 'Hospitalisation Details'!$A:$N, 14, FALSE)</f>
        <v>R1017</v>
      </c>
      <c r="P757" s="36">
        <f>VLOOKUP($A757, 'Hospitalisation Details'!$A:$O, 15, FALSE)</f>
        <v>62</v>
      </c>
    </row>
    <row r="758" ht="15.75" customHeight="1">
      <c r="A758" s="33" t="s">
        <v>1515</v>
      </c>
      <c r="B758" s="22" t="str">
        <f>VLOOKUP($A758,'Customer Names'!$A:$D,3, FALSE)</f>
        <v>Bustamante</v>
      </c>
      <c r="C758" s="22">
        <f>VLOOKUP($A758,'Medical Examinations'!$A:$D, 2, FALSE)</f>
        <v>31.78</v>
      </c>
      <c r="D758" s="22">
        <f>VLOOKUP($A758, 'Medical Examinations'!$A:$D,3, FALSE)</f>
        <v>11.35</v>
      </c>
      <c r="E758" s="22" t="str">
        <f>VLOOKUP($A758, 'Medical Examinations'!$A:$D, 4, FALSE)</f>
        <v>Yes</v>
      </c>
      <c r="F758" s="22" t="str">
        <f>VLOOKUP($A758, 'Medical Examinations'!$A:$J, 5, FALSE)</f>
        <v>No</v>
      </c>
      <c r="G758" s="22" t="str">
        <f>VLOOKUP($A758, 'Medical Examinations'!$A:$I, 6, FALSE)</f>
        <v>Yes</v>
      </c>
      <c r="H758" s="22">
        <f>VLOOKUP($A758,'Medical Examinations'!$A:$L,10, FALSE)</f>
        <v>1</v>
      </c>
      <c r="I758" s="22" t="str">
        <f>VLOOKUP($A758, 'Medical Examinations'!$A:$J, 9, FALSE)</f>
        <v>No</v>
      </c>
      <c r="J758" s="22" t="str">
        <f>VLOOKUP($A758, 'Medical Examinations'!$A:$P, 11, FALSE)</f>
        <v>OBESITY</v>
      </c>
      <c r="K758" s="34">
        <v>33911.0</v>
      </c>
      <c r="L758" s="35">
        <f>VLOOKUP($A758, 'Hospitalisation Details'!$A:$H, 7, FALSE)</f>
        <v>13511.28</v>
      </c>
      <c r="M758" s="22" t="str">
        <f>VLOOKUP($A758, 'Hospitalisation Details'!$A:$L, 12, FALSE)</f>
        <v>tier - 3</v>
      </c>
      <c r="N758" s="22" t="str">
        <f>VLOOKUP($A758, 'Hospitalisation Details'!$A:$M, 13, FALSE)</f>
        <v>tier - 1</v>
      </c>
      <c r="O758" s="22" t="str">
        <f>VLOOKUP($A758, 'Hospitalisation Details'!$A:$N, 14, FALSE)</f>
        <v>R1012</v>
      </c>
      <c r="P758" s="36">
        <f>VLOOKUP($A758, 'Hospitalisation Details'!$A:$O, 15, FALSE)</f>
        <v>59</v>
      </c>
    </row>
    <row r="759" ht="15.75" customHeight="1">
      <c r="A759" s="33" t="s">
        <v>1517</v>
      </c>
      <c r="B759" s="22" t="str">
        <f>VLOOKUP($A759,'Customer Names'!$A:$D,3, FALSE)</f>
        <v>McCann</v>
      </c>
      <c r="C759" s="22">
        <f>VLOOKUP($A759,'Medical Examinations'!$A:$D, 2, FALSE)</f>
        <v>46.89</v>
      </c>
      <c r="D759" s="22">
        <f>VLOOKUP($A759, 'Medical Examinations'!$A:$D,3, FALSE)</f>
        <v>5.52</v>
      </c>
      <c r="E759" s="22" t="str">
        <f>VLOOKUP($A759, 'Medical Examinations'!$A:$D, 4, FALSE)</f>
        <v>No</v>
      </c>
      <c r="F759" s="22" t="str">
        <f>VLOOKUP($A759, 'Medical Examinations'!$A:$J, 5, FALSE)</f>
        <v>No</v>
      </c>
      <c r="G759" s="22" t="str">
        <f>VLOOKUP($A759, 'Medical Examinations'!$A:$I, 6, FALSE)</f>
        <v>No</v>
      </c>
      <c r="H759" s="22">
        <f>VLOOKUP($A759,'Medical Examinations'!$A:$L,10, FALSE)</f>
        <v>0</v>
      </c>
      <c r="I759" s="22" t="str">
        <f>VLOOKUP($A759, 'Medical Examinations'!$A:$J, 9, FALSE)</f>
        <v>No</v>
      </c>
      <c r="J759" s="22" t="str">
        <f>VLOOKUP($A759, 'Medical Examinations'!$A:$P, 11, FALSE)</f>
        <v>OBESITY</v>
      </c>
      <c r="K759" s="34">
        <v>26600.0</v>
      </c>
      <c r="L759" s="35">
        <f>VLOOKUP($A759, 'Hospitalisation Details'!$A:$H, 7, FALSE)</f>
        <v>13480.83</v>
      </c>
      <c r="M759" s="22" t="str">
        <f>VLOOKUP($A759, 'Hospitalisation Details'!$A:$L, 12, FALSE)</f>
        <v>tier - 3</v>
      </c>
      <c r="N759" s="22" t="str">
        <f>VLOOKUP($A759, 'Hospitalisation Details'!$A:$M, 13, FALSE)</f>
        <v>tier - 2</v>
      </c>
      <c r="O759" s="22" t="str">
        <f>VLOOKUP($A759, 'Hospitalisation Details'!$A:$N, 14, FALSE)</f>
        <v>R1023</v>
      </c>
      <c r="P759" s="36">
        <f>VLOOKUP($A759, 'Hospitalisation Details'!$A:$O, 15, FALSE)</f>
        <v>32</v>
      </c>
    </row>
    <row r="760" ht="15.75" customHeight="1">
      <c r="A760" s="33" t="s">
        <v>1519</v>
      </c>
      <c r="B760" s="22" t="str">
        <f>VLOOKUP($A760,'Customer Names'!$A:$D,3, FALSE)</f>
        <v>Schmole</v>
      </c>
      <c r="C760" s="22">
        <f>VLOOKUP($A760,'Medical Examinations'!$A:$D, 2, FALSE)</f>
        <v>39.35</v>
      </c>
      <c r="D760" s="22">
        <f>VLOOKUP($A760, 'Medical Examinations'!$A:$D,3, FALSE)</f>
        <v>7.86</v>
      </c>
      <c r="E760" s="22" t="str">
        <f>VLOOKUP($A760, 'Medical Examinations'!$A:$D, 4, FALSE)</f>
        <v>Yes</v>
      </c>
      <c r="F760" s="22" t="str">
        <f>VLOOKUP($A760, 'Medical Examinations'!$A:$J, 5, FALSE)</f>
        <v>No</v>
      </c>
      <c r="G760" s="22" t="str">
        <f>VLOOKUP($A760, 'Medical Examinations'!$A:$I, 6, FALSE)</f>
        <v>No</v>
      </c>
      <c r="H760" s="22">
        <f>VLOOKUP($A760,'Medical Examinations'!$A:$L,10, FALSE)</f>
        <v>1</v>
      </c>
      <c r="I760" s="22" t="str">
        <f>VLOOKUP($A760, 'Medical Examinations'!$A:$J, 9, FALSE)</f>
        <v>No</v>
      </c>
      <c r="J760" s="22" t="str">
        <f>VLOOKUP($A760, 'Medical Examinations'!$A:$P, 11, FALSE)</f>
        <v>OBESITY</v>
      </c>
      <c r="K760" s="34">
        <v>30906.0</v>
      </c>
      <c r="L760" s="35">
        <f>VLOOKUP($A760, 'Hospitalisation Details'!$A:$H, 7, FALSE)</f>
        <v>13472.19</v>
      </c>
      <c r="M760" s="22" t="str">
        <f>VLOOKUP($A760, 'Hospitalisation Details'!$A:$L, 12, FALSE)</f>
        <v>tier - 3</v>
      </c>
      <c r="N760" s="22" t="str">
        <f>VLOOKUP($A760, 'Hospitalisation Details'!$A:$M, 13, FALSE)</f>
        <v>tier - 2</v>
      </c>
      <c r="O760" s="22" t="str">
        <f>VLOOKUP($A760, 'Hospitalisation Details'!$A:$N, 14, FALSE)</f>
        <v>R1012</v>
      </c>
      <c r="P760" s="36">
        <f>VLOOKUP($A760, 'Hospitalisation Details'!$A:$O, 15, FALSE)</f>
        <v>47</v>
      </c>
    </row>
    <row r="761" ht="15.75" customHeight="1">
      <c r="A761" s="33" t="s">
        <v>1521</v>
      </c>
      <c r="B761" s="22" t="str">
        <f>VLOOKUP($A761,'Customer Names'!$A:$D,3, FALSE)</f>
        <v>Barber</v>
      </c>
      <c r="C761" s="22">
        <f>VLOOKUP($A761,'Medical Examinations'!$A:$D, 2, FALSE)</f>
        <v>39.2</v>
      </c>
      <c r="D761" s="22">
        <f>VLOOKUP($A761, 'Medical Examinations'!$A:$D,3, FALSE)</f>
        <v>11.38</v>
      </c>
      <c r="E761" s="22" t="str">
        <f>VLOOKUP($A761, 'Medical Examinations'!$A:$D, 4, FALSE)</f>
        <v>No</v>
      </c>
      <c r="F761" s="22" t="str">
        <f>VLOOKUP($A761, 'Medical Examinations'!$A:$J, 5, FALSE)</f>
        <v>No</v>
      </c>
      <c r="G761" s="22" t="str">
        <f>VLOOKUP($A761, 'Medical Examinations'!$A:$I, 6, FALSE)</f>
        <v>No</v>
      </c>
      <c r="H761" s="22">
        <f>VLOOKUP($A761,'Medical Examinations'!$A:$L,10, FALSE)</f>
        <v>0</v>
      </c>
      <c r="I761" s="22" t="str">
        <f>VLOOKUP($A761, 'Medical Examinations'!$A:$J, 9, FALSE)</f>
        <v>No</v>
      </c>
      <c r="J761" s="22" t="str">
        <f>VLOOKUP($A761, 'Medical Examinations'!$A:$P, 11, FALSE)</f>
        <v>OBESITY</v>
      </c>
      <c r="K761" s="34">
        <v>30562.0</v>
      </c>
      <c r="L761" s="35">
        <f>VLOOKUP($A761, 'Hospitalisation Details'!$A:$H, 7, FALSE)</f>
        <v>13470.86</v>
      </c>
      <c r="M761" s="22" t="str">
        <f>VLOOKUP($A761, 'Hospitalisation Details'!$A:$L, 12, FALSE)</f>
        <v>tier - 3</v>
      </c>
      <c r="N761" s="22" t="str">
        <f>VLOOKUP($A761, 'Hospitalisation Details'!$A:$M, 13, FALSE)</f>
        <v>tier - 3</v>
      </c>
      <c r="O761" s="22" t="str">
        <f>VLOOKUP($A761, 'Hospitalisation Details'!$A:$N, 14, FALSE)</f>
        <v>R1011</v>
      </c>
      <c r="P761" s="36">
        <f>VLOOKUP($A761, 'Hospitalisation Details'!$A:$O, 15, FALSE)</f>
        <v>62</v>
      </c>
    </row>
    <row r="762" ht="15.75" customHeight="1">
      <c r="A762" s="33" t="s">
        <v>1523</v>
      </c>
      <c r="B762" s="22" t="str">
        <f>VLOOKUP($A762,'Customer Names'!$A:$D,3, FALSE)</f>
        <v>Reichmann</v>
      </c>
      <c r="C762" s="22">
        <f>VLOOKUP($A762,'Medical Examinations'!$A:$D, 2, FALSE)</f>
        <v>39.16</v>
      </c>
      <c r="D762" s="22">
        <f>VLOOKUP($A762, 'Medical Examinations'!$A:$D,3, FALSE)</f>
        <v>10.48</v>
      </c>
      <c r="E762" s="22" t="str">
        <f>VLOOKUP($A762, 'Medical Examinations'!$A:$D, 4, FALSE)</f>
        <v>No</v>
      </c>
      <c r="F762" s="22" t="str">
        <f>VLOOKUP($A762, 'Medical Examinations'!$A:$J, 5, FALSE)</f>
        <v>No</v>
      </c>
      <c r="G762" s="22" t="str">
        <f>VLOOKUP($A762, 'Medical Examinations'!$A:$I, 6, FALSE)</f>
        <v>No</v>
      </c>
      <c r="H762" s="22">
        <f>VLOOKUP($A762,'Medical Examinations'!$A:$L,10, FALSE)</f>
        <v>0</v>
      </c>
      <c r="I762" s="22" t="str">
        <f>VLOOKUP($A762, 'Medical Examinations'!$A:$J, 9, FALSE)</f>
        <v>No</v>
      </c>
      <c r="J762" s="22" t="str">
        <f>VLOOKUP($A762, 'Medical Examinations'!$A:$P, 11, FALSE)</f>
        <v>OBESITY</v>
      </c>
      <c r="K762" s="34">
        <v>28760.0</v>
      </c>
      <c r="L762" s="35">
        <f>VLOOKUP($A762, 'Hospitalisation Details'!$A:$H, 7, FALSE)</f>
        <v>13470.8</v>
      </c>
      <c r="M762" s="22" t="str">
        <f>VLOOKUP($A762, 'Hospitalisation Details'!$A:$L, 12, FALSE)</f>
        <v>tier - 3</v>
      </c>
      <c r="N762" s="22" t="str">
        <f>VLOOKUP($A762, 'Hospitalisation Details'!$A:$M, 13, FALSE)</f>
        <v>tier - 2</v>
      </c>
      <c r="O762" s="22" t="str">
        <f>VLOOKUP($A762, 'Hospitalisation Details'!$A:$N, 14, FALSE)</f>
        <v>R1013</v>
      </c>
      <c r="P762" s="36">
        <f>VLOOKUP($A762, 'Hospitalisation Details'!$A:$O, 15, FALSE)</f>
        <v>62</v>
      </c>
    </row>
    <row r="763" ht="15.75" customHeight="1">
      <c r="A763" s="33" t="s">
        <v>1525</v>
      </c>
      <c r="B763" s="22" t="str">
        <f>VLOOKUP($A763,'Customer Names'!$A:$D,3, FALSE)</f>
        <v>Cavatorta</v>
      </c>
      <c r="C763" s="22">
        <f>VLOOKUP($A763,'Medical Examinations'!$A:$D, 2, FALSE)</f>
        <v>44.1</v>
      </c>
      <c r="D763" s="22">
        <f>VLOOKUP($A763, 'Medical Examinations'!$A:$D,3, FALSE)</f>
        <v>5.04</v>
      </c>
      <c r="E763" s="22" t="str">
        <f>VLOOKUP($A763, 'Medical Examinations'!$A:$D, 4, FALSE)</f>
        <v>Yes</v>
      </c>
      <c r="F763" s="22" t="str">
        <f>VLOOKUP($A763, 'Medical Examinations'!$A:$J, 5, FALSE)</f>
        <v>No</v>
      </c>
      <c r="G763" s="22" t="str">
        <f>VLOOKUP($A763, 'Medical Examinations'!$A:$I, 6, FALSE)</f>
        <v>No</v>
      </c>
      <c r="H763" s="22">
        <f>VLOOKUP($A763,'Medical Examinations'!$A:$L,10, FALSE)</f>
        <v>0</v>
      </c>
      <c r="I763" s="22" t="str">
        <f>VLOOKUP($A763, 'Medical Examinations'!$A:$J, 9, FALSE)</f>
        <v>No</v>
      </c>
      <c r="J763" s="22" t="str">
        <f>VLOOKUP($A763, 'Medical Examinations'!$A:$P, 11, FALSE)</f>
        <v>OBESITY</v>
      </c>
      <c r="K763" s="34">
        <v>30475.0</v>
      </c>
      <c r="L763" s="35">
        <f>VLOOKUP($A763, 'Hospitalisation Details'!$A:$H, 7, FALSE)</f>
        <v>13465.8</v>
      </c>
      <c r="M763" s="22" t="str">
        <f>VLOOKUP($A763, 'Hospitalisation Details'!$A:$L, 12, FALSE)</f>
        <v>tier - 3</v>
      </c>
      <c r="N763" s="22" t="str">
        <f>VLOOKUP($A763, 'Hospitalisation Details'!$A:$M, 13, FALSE)</f>
        <v>tier - 1</v>
      </c>
      <c r="O763" s="22" t="str">
        <f>VLOOKUP($A763, 'Hospitalisation Details'!$A:$N, 14, FALSE)</f>
        <v>R1012</v>
      </c>
      <c r="P763" s="36">
        <f>VLOOKUP($A763, 'Hospitalisation Details'!$A:$O, 15, FALSE)</f>
        <v>37</v>
      </c>
    </row>
    <row r="764" ht="15.75" customHeight="1">
      <c r="A764" s="33" t="s">
        <v>1527</v>
      </c>
      <c r="B764" s="22" t="str">
        <f>VLOOKUP($A764,'Customer Names'!$A:$D,3, FALSE)</f>
        <v>Yaeger</v>
      </c>
      <c r="C764" s="22">
        <f>VLOOKUP($A764,'Medical Examinations'!$A:$D, 2, FALSE)</f>
        <v>33.2</v>
      </c>
      <c r="D764" s="22">
        <f>VLOOKUP($A764, 'Medical Examinations'!$A:$D,3, FALSE)</f>
        <v>9.06</v>
      </c>
      <c r="E764" s="22" t="str">
        <f>VLOOKUP($A764, 'Medical Examinations'!$A:$D, 4, FALSE)</f>
        <v>No</v>
      </c>
      <c r="F764" s="22" t="str">
        <f>VLOOKUP($A764, 'Medical Examinations'!$A:$J, 5, FALSE)</f>
        <v>No</v>
      </c>
      <c r="G764" s="22" t="str">
        <f>VLOOKUP($A764, 'Medical Examinations'!$A:$I, 6, FALSE)</f>
        <v>No</v>
      </c>
      <c r="H764" s="22">
        <f>VLOOKUP($A764,'Medical Examinations'!$A:$L,10, FALSE)</f>
        <v>0</v>
      </c>
      <c r="I764" s="22" t="str">
        <f>VLOOKUP($A764, 'Medical Examinations'!$A:$J, 9, FALSE)</f>
        <v>No</v>
      </c>
      <c r="J764" s="22" t="str">
        <f>VLOOKUP($A764, 'Medical Examinations'!$A:$P, 11, FALSE)</f>
        <v>OBESITY</v>
      </c>
      <c r="K764" s="34">
        <v>31368.0</v>
      </c>
      <c r="L764" s="35">
        <f>VLOOKUP($A764, 'Hospitalisation Details'!$A:$H, 7, FALSE)</f>
        <v>13462.52</v>
      </c>
      <c r="M764" s="22" t="str">
        <f>VLOOKUP($A764, 'Hospitalisation Details'!$A:$L, 12, FALSE)</f>
        <v>tier - 3</v>
      </c>
      <c r="N764" s="22" t="str">
        <f>VLOOKUP($A764, 'Hospitalisation Details'!$A:$M, 13, FALSE)</f>
        <v>tier - 2</v>
      </c>
      <c r="O764" s="22" t="str">
        <f>VLOOKUP($A764, 'Hospitalisation Details'!$A:$N, 14, FALSE)</f>
        <v>R1011</v>
      </c>
      <c r="P764" s="36">
        <f>VLOOKUP($A764, 'Hospitalisation Details'!$A:$O, 15, FALSE)</f>
        <v>62</v>
      </c>
    </row>
    <row r="765" ht="15.75" customHeight="1">
      <c r="A765" s="33" t="s">
        <v>1529</v>
      </c>
      <c r="B765" s="22" t="str">
        <f>VLOOKUP($A765,'Customer Names'!$A:$D,3, FALSE)</f>
        <v>Hughes</v>
      </c>
      <c r="C765" s="22">
        <f>VLOOKUP($A765,'Medical Examinations'!$A:$D, 2, FALSE)</f>
        <v>29.92</v>
      </c>
      <c r="D765" s="22">
        <f>VLOOKUP($A765, 'Medical Examinations'!$A:$D,3, FALSE)</f>
        <v>11.07</v>
      </c>
      <c r="E765" s="22" t="str">
        <f>VLOOKUP($A765, 'Medical Examinations'!$A:$D, 4, FALSE)</f>
        <v>No</v>
      </c>
      <c r="F765" s="22" t="str">
        <f>VLOOKUP($A765, 'Medical Examinations'!$A:$J, 5, FALSE)</f>
        <v>No</v>
      </c>
      <c r="G765" s="22" t="str">
        <f>VLOOKUP($A765, 'Medical Examinations'!$A:$I, 6, FALSE)</f>
        <v>No</v>
      </c>
      <c r="H765" s="22">
        <f>VLOOKUP($A765,'Medical Examinations'!$A:$L,10, FALSE)</f>
        <v>0</v>
      </c>
      <c r="I765" s="22" t="str">
        <f>VLOOKUP($A765, 'Medical Examinations'!$A:$J, 9, FALSE)</f>
        <v>No</v>
      </c>
      <c r="J765" s="22" t="str">
        <f>VLOOKUP($A765, 'Medical Examinations'!$A:$P, 11, FALSE)</f>
        <v>OBESITY</v>
      </c>
      <c r="K765" s="34">
        <v>32120.0</v>
      </c>
      <c r="L765" s="35">
        <f>VLOOKUP($A765, 'Hospitalisation Details'!$A:$H, 7, FALSE)</f>
        <v>13457.96</v>
      </c>
      <c r="M765" s="22" t="str">
        <f>VLOOKUP($A765, 'Hospitalisation Details'!$A:$L, 12, FALSE)</f>
        <v>tier - 3</v>
      </c>
      <c r="N765" s="22" t="str">
        <f>VLOOKUP($A765, 'Hospitalisation Details'!$A:$M, 13, FALSE)</f>
        <v>tier - 1</v>
      </c>
      <c r="O765" s="22" t="str">
        <f>VLOOKUP($A765, 'Hospitalisation Details'!$A:$N, 14, FALSE)</f>
        <v>R1013</v>
      </c>
      <c r="P765" s="36">
        <f>VLOOKUP($A765, 'Hospitalisation Details'!$A:$O, 15, FALSE)</f>
        <v>62</v>
      </c>
    </row>
    <row r="766" ht="15.75" customHeight="1">
      <c r="A766" s="33" t="s">
        <v>1531</v>
      </c>
      <c r="B766" s="22" t="str">
        <f>VLOOKUP($A766,'Customer Names'!$A:$D,3, FALSE)</f>
        <v>Donahue</v>
      </c>
      <c r="C766" s="22">
        <f>VLOOKUP($A766,'Medical Examinations'!$A:$D, 2, FALSE)</f>
        <v>25</v>
      </c>
      <c r="D766" s="22">
        <f>VLOOKUP($A766, 'Medical Examinations'!$A:$D,3, FALSE)</f>
        <v>10.45</v>
      </c>
      <c r="E766" s="22" t="str">
        <f>VLOOKUP($A766, 'Medical Examinations'!$A:$D, 4, FALSE)</f>
        <v>No</v>
      </c>
      <c r="F766" s="22" t="str">
        <f>VLOOKUP($A766, 'Medical Examinations'!$A:$J, 5, FALSE)</f>
        <v>No</v>
      </c>
      <c r="G766" s="22" t="str">
        <f>VLOOKUP($A766, 'Medical Examinations'!$A:$I, 6, FALSE)</f>
        <v>No</v>
      </c>
      <c r="H766" s="22">
        <f>VLOOKUP($A766,'Medical Examinations'!$A:$L,10, FALSE)</f>
        <v>0</v>
      </c>
      <c r="I766" s="22" t="str">
        <f>VLOOKUP($A766, 'Medical Examinations'!$A:$J, 9, FALSE)</f>
        <v>No</v>
      </c>
      <c r="J766" s="22" t="str">
        <f>VLOOKUP($A766, 'Medical Examinations'!$A:$P, 11, FALSE)</f>
        <v>OVERWEIGHT</v>
      </c>
      <c r="K766" s="34">
        <v>34653.0</v>
      </c>
      <c r="L766" s="35">
        <f>VLOOKUP($A766, 'Hospitalisation Details'!$A:$H, 7, FALSE)</f>
        <v>13451.12</v>
      </c>
      <c r="M766" s="22" t="str">
        <f>VLOOKUP($A766, 'Hospitalisation Details'!$A:$L, 12, FALSE)</f>
        <v>tier - 3</v>
      </c>
      <c r="N766" s="22" t="str">
        <f>VLOOKUP($A766, 'Hospitalisation Details'!$A:$M, 13, FALSE)</f>
        <v>tier - 1</v>
      </c>
      <c r="O766" s="22" t="str">
        <f>VLOOKUP($A766, 'Hospitalisation Details'!$A:$N, 14, FALSE)</f>
        <v>R1011</v>
      </c>
      <c r="P766" s="36">
        <f>VLOOKUP($A766, 'Hospitalisation Details'!$A:$O, 15, FALSE)</f>
        <v>62</v>
      </c>
    </row>
    <row r="767" ht="15.75" customHeight="1">
      <c r="A767" s="33" t="s">
        <v>1533</v>
      </c>
      <c r="B767" s="22" t="str">
        <f>VLOOKUP($A767,'Customer Names'!$A:$D,3, FALSE)</f>
        <v>Greenwell</v>
      </c>
      <c r="C767" s="22">
        <f>VLOOKUP($A767,'Medical Examinations'!$A:$D, 2, FALSE)</f>
        <v>38.87</v>
      </c>
      <c r="D767" s="22">
        <f>VLOOKUP($A767, 'Medical Examinations'!$A:$D,3, FALSE)</f>
        <v>8.63</v>
      </c>
      <c r="E767" s="22" t="str">
        <f>VLOOKUP($A767, 'Medical Examinations'!$A:$D, 4, FALSE)</f>
        <v>Yes</v>
      </c>
      <c r="F767" s="22" t="str">
        <f>VLOOKUP($A767, 'Medical Examinations'!$A:$J, 5, FALSE)</f>
        <v>No</v>
      </c>
      <c r="G767" s="22" t="str">
        <f>VLOOKUP($A767, 'Medical Examinations'!$A:$I, 6, FALSE)</f>
        <v>No</v>
      </c>
      <c r="H767" s="22">
        <f>VLOOKUP($A767,'Medical Examinations'!$A:$L,10, FALSE)</f>
        <v>1</v>
      </c>
      <c r="I767" s="22" t="str">
        <f>VLOOKUP($A767, 'Medical Examinations'!$A:$J, 9, FALSE)</f>
        <v>No</v>
      </c>
      <c r="J767" s="22" t="str">
        <f>VLOOKUP($A767, 'Medical Examinations'!$A:$P, 11, FALSE)</f>
        <v>OBESITY</v>
      </c>
      <c r="K767" s="34">
        <v>28744.0</v>
      </c>
      <c r="L767" s="35">
        <f>VLOOKUP($A767, 'Hospitalisation Details'!$A:$H, 7, FALSE)</f>
        <v>13440.7</v>
      </c>
      <c r="M767" s="22" t="str">
        <f>VLOOKUP($A767, 'Hospitalisation Details'!$A:$L, 12, FALSE)</f>
        <v>tier - 3</v>
      </c>
      <c r="N767" s="22" t="str">
        <f>VLOOKUP($A767, 'Hospitalisation Details'!$A:$M, 13, FALSE)</f>
        <v>tier - 2</v>
      </c>
      <c r="O767" s="22" t="str">
        <f>VLOOKUP($A767, 'Hospitalisation Details'!$A:$N, 14, FALSE)</f>
        <v>R1012</v>
      </c>
      <c r="P767" s="36">
        <f>VLOOKUP($A767, 'Hospitalisation Details'!$A:$O, 15, FALSE)</f>
        <v>47</v>
      </c>
    </row>
    <row r="768" ht="15.75" customHeight="1">
      <c r="A768" s="33" t="s">
        <v>1535</v>
      </c>
      <c r="B768" s="22" t="str">
        <f>VLOOKUP($A768,'Customer Names'!$A:$D,3, FALSE)</f>
        <v>Steele</v>
      </c>
      <c r="C768" s="22">
        <f>VLOOKUP($A768,'Medical Examinations'!$A:$D, 2, FALSE)</f>
        <v>32.3</v>
      </c>
      <c r="D768" s="22">
        <f>VLOOKUP($A768, 'Medical Examinations'!$A:$D,3, FALSE)</f>
        <v>5.28</v>
      </c>
      <c r="E768" s="22" t="str">
        <f>VLOOKUP($A768, 'Medical Examinations'!$A:$D, 4, FALSE)</f>
        <v>Yes</v>
      </c>
      <c r="F768" s="22" t="str">
        <f>VLOOKUP($A768, 'Medical Examinations'!$A:$J, 5, FALSE)</f>
        <v>No</v>
      </c>
      <c r="G768" s="22" t="str">
        <f>VLOOKUP($A768, 'Medical Examinations'!$A:$I, 6, FALSE)</f>
        <v>No</v>
      </c>
      <c r="H768" s="22">
        <f>VLOOKUP($A768,'Medical Examinations'!$A:$L,10, FALSE)</f>
        <v>2</v>
      </c>
      <c r="I768" s="22" t="str">
        <f>VLOOKUP($A768, 'Medical Examinations'!$A:$J, 9, FALSE)</f>
        <v>No</v>
      </c>
      <c r="J768" s="22" t="str">
        <f>VLOOKUP($A768, 'Medical Examinations'!$A:$P, 11, FALSE)</f>
        <v>OBESITY</v>
      </c>
      <c r="K768" s="34">
        <v>32465.0</v>
      </c>
      <c r="L768" s="35">
        <f>VLOOKUP($A768, 'Hospitalisation Details'!$A:$H, 7, FALSE)</f>
        <v>13430.27</v>
      </c>
      <c r="M768" s="22" t="str">
        <f>VLOOKUP($A768, 'Hospitalisation Details'!$A:$L, 12, FALSE)</f>
        <v>tier - 3</v>
      </c>
      <c r="N768" s="22" t="str">
        <f>VLOOKUP($A768, 'Hospitalisation Details'!$A:$M, 13, FALSE)</f>
        <v>tier - 3</v>
      </c>
      <c r="O768" s="22" t="str">
        <f>VLOOKUP($A768, 'Hospitalisation Details'!$A:$N, 14, FALSE)</f>
        <v>R1024</v>
      </c>
      <c r="P768" s="36">
        <f>VLOOKUP($A768, 'Hospitalisation Details'!$A:$O, 15, FALSE)</f>
        <v>56</v>
      </c>
    </row>
    <row r="769" ht="15.75" customHeight="1">
      <c r="A769" s="33" t="s">
        <v>1537</v>
      </c>
      <c r="B769" s="22" t="str">
        <f>VLOOKUP($A769,'Customer Names'!$A:$D,3, FALSE)</f>
        <v>Gunter</v>
      </c>
      <c r="C769" s="22">
        <f>VLOOKUP($A769,'Medical Examinations'!$A:$D, 2, FALSE)</f>
        <v>31.16</v>
      </c>
      <c r="D769" s="22">
        <f>VLOOKUP($A769, 'Medical Examinations'!$A:$D,3, FALSE)</f>
        <v>7.49</v>
      </c>
      <c r="E769" s="22" t="str">
        <f>VLOOKUP($A769, 'Medical Examinations'!$A:$D, 4, FALSE)</f>
        <v>Yes</v>
      </c>
      <c r="F769" s="22" t="str">
        <f>VLOOKUP($A769, 'Medical Examinations'!$A:$J, 5, FALSE)</f>
        <v>No</v>
      </c>
      <c r="G769" s="22" t="str">
        <f>VLOOKUP($A769, 'Medical Examinations'!$A:$I, 6, FALSE)</f>
        <v>No</v>
      </c>
      <c r="H769" s="22">
        <f>VLOOKUP($A769,'Medical Examinations'!$A:$L,10, FALSE)</f>
        <v>2</v>
      </c>
      <c r="I769" s="22" t="str">
        <f>VLOOKUP($A769, 'Medical Examinations'!$A:$J, 9, FALSE)</f>
        <v>No</v>
      </c>
      <c r="J769" s="22" t="str">
        <f>VLOOKUP($A769, 'Medical Examinations'!$A:$P, 11, FALSE)</f>
        <v>OBESITY</v>
      </c>
      <c r="K769" s="34">
        <v>30592.0</v>
      </c>
      <c r="L769" s="35">
        <f>VLOOKUP($A769, 'Hospitalisation Details'!$A:$H, 7, FALSE)</f>
        <v>13429.04</v>
      </c>
      <c r="M769" s="22" t="str">
        <f>VLOOKUP($A769, 'Hospitalisation Details'!$A:$L, 12, FALSE)</f>
        <v>tier - 3</v>
      </c>
      <c r="N769" s="22" t="str">
        <f>VLOOKUP($A769, 'Hospitalisation Details'!$A:$M, 13, FALSE)</f>
        <v>tier - 3</v>
      </c>
      <c r="O769" s="22" t="str">
        <f>VLOOKUP($A769, 'Hospitalisation Details'!$A:$N, 14, FALSE)</f>
        <v>R1012</v>
      </c>
      <c r="P769" s="36">
        <f>VLOOKUP($A769, 'Hospitalisation Details'!$A:$O, 15, FALSE)</f>
        <v>61</v>
      </c>
    </row>
    <row r="770" ht="15.75" customHeight="1">
      <c r="A770" s="33" t="s">
        <v>1539</v>
      </c>
      <c r="B770" s="22" t="str">
        <f>VLOOKUP($A770,'Customer Names'!$A:$D,3, FALSE)</f>
        <v>McDonough</v>
      </c>
      <c r="C770" s="22">
        <f>VLOOKUP($A770,'Medical Examinations'!$A:$D, 2, FALSE)</f>
        <v>54.59</v>
      </c>
      <c r="D770" s="22">
        <f>VLOOKUP($A770, 'Medical Examinations'!$A:$D,3, FALSE)</f>
        <v>4.27</v>
      </c>
      <c r="E770" s="22" t="str">
        <f>VLOOKUP($A770, 'Medical Examinations'!$A:$D, 4, FALSE)</f>
        <v>No</v>
      </c>
      <c r="F770" s="22" t="str">
        <f>VLOOKUP($A770, 'Medical Examinations'!$A:$J, 5, FALSE)</f>
        <v>No</v>
      </c>
      <c r="G770" s="22" t="str">
        <f>VLOOKUP($A770, 'Medical Examinations'!$A:$I, 6, FALSE)</f>
        <v>No</v>
      </c>
      <c r="H770" s="22">
        <f>VLOOKUP($A770,'Medical Examinations'!$A:$L,10, FALSE)</f>
        <v>0</v>
      </c>
      <c r="I770" s="22" t="str">
        <f>VLOOKUP($A770, 'Medical Examinations'!$A:$J, 9, FALSE)</f>
        <v>No</v>
      </c>
      <c r="J770" s="22" t="str">
        <f>VLOOKUP($A770, 'Medical Examinations'!$A:$P, 11, FALSE)</f>
        <v>OBESITY</v>
      </c>
      <c r="K770" s="34">
        <v>31737.0</v>
      </c>
      <c r="L770" s="35">
        <f>VLOOKUP($A770, 'Hospitalisation Details'!$A:$H, 7, FALSE)</f>
        <v>13417.05</v>
      </c>
      <c r="M770" s="22" t="str">
        <f>VLOOKUP($A770, 'Hospitalisation Details'!$A:$L, 12, FALSE)</f>
        <v>tier - 3</v>
      </c>
      <c r="N770" s="22" t="str">
        <f>VLOOKUP($A770, 'Hospitalisation Details'!$A:$M, 13, FALSE)</f>
        <v>tier - 3</v>
      </c>
      <c r="O770" s="22" t="str">
        <f>VLOOKUP($A770, 'Hospitalisation Details'!$A:$N, 14, FALSE)</f>
        <v>R1012</v>
      </c>
      <c r="P770" s="36">
        <f>VLOOKUP($A770, 'Hospitalisation Details'!$A:$O, 15, FALSE)</f>
        <v>28</v>
      </c>
    </row>
    <row r="771" ht="15.75" customHeight="1">
      <c r="A771" s="33" t="s">
        <v>1541</v>
      </c>
      <c r="B771" s="22" t="str">
        <f>VLOOKUP($A771,'Customer Names'!$A:$D,3, FALSE)</f>
        <v>Sweetland</v>
      </c>
      <c r="C771" s="22">
        <f>VLOOKUP($A771,'Medical Examinations'!$A:$D, 2, FALSE)</f>
        <v>21.09</v>
      </c>
      <c r="D771" s="22">
        <f>VLOOKUP($A771, 'Medical Examinations'!$A:$D,3, FALSE)</f>
        <v>9.22</v>
      </c>
      <c r="E771" s="22" t="str">
        <f>VLOOKUP($A771, 'Medical Examinations'!$A:$D, 4, FALSE)</f>
        <v>Yes</v>
      </c>
      <c r="F771" s="22" t="str">
        <f>VLOOKUP($A771, 'Medical Examinations'!$A:$J, 5, FALSE)</f>
        <v>No</v>
      </c>
      <c r="G771" s="22" t="str">
        <f>VLOOKUP($A771, 'Medical Examinations'!$A:$I, 6, FALSE)</f>
        <v>No</v>
      </c>
      <c r="H771" s="22">
        <f>VLOOKUP($A771,'Medical Examinations'!$A:$L,10, FALSE)</f>
        <v>2</v>
      </c>
      <c r="I771" s="22" t="str">
        <f>VLOOKUP($A771, 'Medical Examinations'!$A:$J, 9, FALSE)</f>
        <v>No</v>
      </c>
      <c r="J771" s="22" t="str">
        <f>VLOOKUP($A771, 'Medical Examinations'!$A:$P, 11, FALSE)</f>
        <v>NORMAL WEIGHT</v>
      </c>
      <c r="K771" s="34">
        <v>31295.0</v>
      </c>
      <c r="L771" s="35">
        <f>VLOOKUP($A771, 'Hospitalisation Details'!$A:$H, 7, FALSE)</f>
        <v>13415.04</v>
      </c>
      <c r="M771" s="22" t="str">
        <f>VLOOKUP($A771, 'Hospitalisation Details'!$A:$L, 12, FALSE)</f>
        <v>tier - 3</v>
      </c>
      <c r="N771" s="22" t="str">
        <f>VLOOKUP($A771, 'Hospitalisation Details'!$A:$M, 13, FALSE)</f>
        <v>tier - 2</v>
      </c>
      <c r="O771" s="22" t="str">
        <f>VLOOKUP($A771, 'Hospitalisation Details'!$A:$N, 14, FALSE)</f>
        <v>R1012</v>
      </c>
      <c r="P771" s="36">
        <f>VLOOKUP($A771, 'Hospitalisation Details'!$A:$O, 15, FALSE)</f>
        <v>61</v>
      </c>
    </row>
    <row r="772" ht="15.75" customHeight="1">
      <c r="A772" s="33" t="s">
        <v>1543</v>
      </c>
      <c r="B772" s="22" t="str">
        <f>VLOOKUP($A772,'Customer Names'!$A:$D,3, FALSE)</f>
        <v>Hammersmith</v>
      </c>
      <c r="C772" s="22">
        <f>VLOOKUP($A772,'Medical Examinations'!$A:$D, 2, FALSE)</f>
        <v>52.41</v>
      </c>
      <c r="D772" s="22">
        <f>VLOOKUP($A772, 'Medical Examinations'!$A:$D,3, FALSE)</f>
        <v>5.99</v>
      </c>
      <c r="E772" s="22" t="str">
        <f>VLOOKUP($A772, 'Medical Examinations'!$A:$D, 4, FALSE)</f>
        <v>No</v>
      </c>
      <c r="F772" s="22" t="str">
        <f>VLOOKUP($A772, 'Medical Examinations'!$A:$J, 5, FALSE)</f>
        <v>No</v>
      </c>
      <c r="G772" s="22" t="str">
        <f>VLOOKUP($A772, 'Medical Examinations'!$A:$I, 6, FALSE)</f>
        <v>No</v>
      </c>
      <c r="H772" s="22">
        <f>VLOOKUP($A772,'Medical Examinations'!$A:$L,10, FALSE)</f>
        <v>1</v>
      </c>
      <c r="I772" s="22" t="str">
        <f>VLOOKUP($A772, 'Medical Examinations'!$A:$J, 9, FALSE)</f>
        <v>No</v>
      </c>
      <c r="J772" s="22" t="str">
        <f>VLOOKUP($A772, 'Medical Examinations'!$A:$P, 11, FALSE)</f>
        <v>OBESITY</v>
      </c>
      <c r="K772" s="34">
        <v>27290.0</v>
      </c>
      <c r="L772" s="35">
        <f>VLOOKUP($A772, 'Hospitalisation Details'!$A:$H, 7, FALSE)</f>
        <v>13412.97</v>
      </c>
      <c r="M772" s="22" t="str">
        <f>VLOOKUP($A772, 'Hospitalisation Details'!$A:$L, 12, FALSE)</f>
        <v>tier - 3</v>
      </c>
      <c r="N772" s="22" t="str">
        <f>VLOOKUP($A772, 'Hospitalisation Details'!$A:$M, 13, FALSE)</f>
        <v>tier - 3</v>
      </c>
      <c r="O772" s="22" t="str">
        <f>VLOOKUP($A772, 'Hospitalisation Details'!$A:$N, 14, FALSE)</f>
        <v>R1023</v>
      </c>
      <c r="P772" s="36">
        <f>VLOOKUP($A772, 'Hospitalisation Details'!$A:$O, 15, FALSE)</f>
        <v>30</v>
      </c>
    </row>
    <row r="773" ht="15.75" customHeight="1">
      <c r="A773" s="33" t="s">
        <v>1545</v>
      </c>
      <c r="B773" s="22" t="str">
        <f>VLOOKUP($A773,'Customer Names'!$A:$D,3, FALSE)</f>
        <v>French</v>
      </c>
      <c r="C773" s="22">
        <f>VLOOKUP($A773,'Medical Examinations'!$A:$D, 2, FALSE)</f>
        <v>41.47</v>
      </c>
      <c r="D773" s="22">
        <f>VLOOKUP($A773, 'Medical Examinations'!$A:$D,3, FALSE)</f>
        <v>5.86</v>
      </c>
      <c r="E773" s="22" t="str">
        <f>VLOOKUP($A773, 'Medical Examinations'!$A:$D, 4, FALSE)</f>
        <v>Yes</v>
      </c>
      <c r="F773" s="22" t="str">
        <f>VLOOKUP($A773, 'Medical Examinations'!$A:$J, 5, FALSE)</f>
        <v>No</v>
      </c>
      <c r="G773" s="22" t="str">
        <f>VLOOKUP($A773, 'Medical Examinations'!$A:$I, 6, FALSE)</f>
        <v>No</v>
      </c>
      <c r="H773" s="22">
        <f>VLOOKUP($A773,'Medical Examinations'!$A:$L,10, FALSE)</f>
        <v>2</v>
      </c>
      <c r="I773" s="22" t="str">
        <f>VLOOKUP($A773, 'Medical Examinations'!$A:$J, 9, FALSE)</f>
        <v>No</v>
      </c>
      <c r="J773" s="22" t="str">
        <f>VLOOKUP($A773, 'Medical Examinations'!$A:$P, 11, FALSE)</f>
        <v>OBESITY</v>
      </c>
      <c r="K773" s="34">
        <v>36425.0</v>
      </c>
      <c r="L773" s="35">
        <f>VLOOKUP($A773, 'Hospitalisation Details'!$A:$H, 7, FALSE)</f>
        <v>13405.39</v>
      </c>
      <c r="M773" s="22" t="str">
        <f>VLOOKUP($A773, 'Hospitalisation Details'!$A:$L, 12, FALSE)</f>
        <v>tier - 3</v>
      </c>
      <c r="N773" s="22" t="str">
        <f>VLOOKUP($A773, 'Hospitalisation Details'!$A:$M, 13, FALSE)</f>
        <v>tier - 3</v>
      </c>
      <c r="O773" s="22" t="str">
        <f>VLOOKUP($A773, 'Hospitalisation Details'!$A:$N, 14, FALSE)</f>
        <v>R1013</v>
      </c>
      <c r="P773" s="36">
        <f>VLOOKUP($A773, 'Hospitalisation Details'!$A:$O, 15, FALSE)</f>
        <v>63</v>
      </c>
    </row>
    <row r="774" ht="15.75" customHeight="1">
      <c r="A774" s="33" t="s">
        <v>1547</v>
      </c>
      <c r="B774" s="22" t="str">
        <f>VLOOKUP($A774,'Customer Names'!$A:$D,3, FALSE)</f>
        <v>Garbe</v>
      </c>
      <c r="C774" s="22">
        <f>VLOOKUP($A774,'Medical Examinations'!$A:$D, 2, FALSE)</f>
        <v>33.1</v>
      </c>
      <c r="D774" s="22">
        <f>VLOOKUP($A774, 'Medical Examinations'!$A:$D,3, FALSE)</f>
        <v>5.19</v>
      </c>
      <c r="E774" s="22" t="str">
        <f>VLOOKUP($A774, 'Medical Examinations'!$A:$D, 4, FALSE)</f>
        <v>Yes</v>
      </c>
      <c r="F774" s="22" t="str">
        <f>VLOOKUP($A774, 'Medical Examinations'!$A:$J, 5, FALSE)</f>
        <v>No</v>
      </c>
      <c r="G774" s="22" t="str">
        <f>VLOOKUP($A774, 'Medical Examinations'!$A:$I, 6, FALSE)</f>
        <v>No</v>
      </c>
      <c r="H774" s="22">
        <f>VLOOKUP($A774,'Medical Examinations'!$A:$L,10, FALSE)</f>
        <v>2</v>
      </c>
      <c r="I774" s="22" t="str">
        <f>VLOOKUP($A774, 'Medical Examinations'!$A:$J, 9, FALSE)</f>
        <v>No</v>
      </c>
      <c r="J774" s="22" t="str">
        <f>VLOOKUP($A774, 'Medical Examinations'!$A:$P, 11, FALSE)</f>
        <v>OBESITY</v>
      </c>
      <c r="K774" s="34">
        <v>29562.0</v>
      </c>
      <c r="L774" s="35">
        <f>VLOOKUP($A774, 'Hospitalisation Details'!$A:$H, 7, FALSE)</f>
        <v>13393.76</v>
      </c>
      <c r="M774" s="22" t="str">
        <f>VLOOKUP($A774, 'Hospitalisation Details'!$A:$L, 12, FALSE)</f>
        <v>tier - 3</v>
      </c>
      <c r="N774" s="22" t="str">
        <f>VLOOKUP($A774, 'Hospitalisation Details'!$A:$M, 13, FALSE)</f>
        <v>tier - 1</v>
      </c>
      <c r="O774" s="22" t="str">
        <f>VLOOKUP($A774, 'Hospitalisation Details'!$A:$N, 14, FALSE)</f>
        <v>R1011</v>
      </c>
      <c r="P774" s="36">
        <f>VLOOKUP($A774, 'Hospitalisation Details'!$A:$O, 15, FALSE)</f>
        <v>63</v>
      </c>
    </row>
    <row r="775" ht="15.75" customHeight="1">
      <c r="A775" s="33" t="s">
        <v>1549</v>
      </c>
      <c r="B775" s="22" t="str">
        <f>VLOOKUP($A775,'Customer Names'!$A:$D,3, FALSE)</f>
        <v>Duncan</v>
      </c>
      <c r="C775" s="22">
        <f>VLOOKUP($A775,'Medical Examinations'!$A:$D, 2, FALSE)</f>
        <v>30.8</v>
      </c>
      <c r="D775" s="22">
        <f>VLOOKUP($A775, 'Medical Examinations'!$A:$D,3, FALSE)</f>
        <v>4.37</v>
      </c>
      <c r="E775" s="22" t="str">
        <f>VLOOKUP($A775, 'Medical Examinations'!$A:$D, 4, FALSE)</f>
        <v>Yes</v>
      </c>
      <c r="F775" s="22" t="str">
        <f>VLOOKUP($A775, 'Medical Examinations'!$A:$J, 5, FALSE)</f>
        <v>No</v>
      </c>
      <c r="G775" s="22" t="str">
        <f>VLOOKUP($A775, 'Medical Examinations'!$A:$I, 6, FALSE)</f>
        <v>No</v>
      </c>
      <c r="H775" s="22">
        <f>VLOOKUP($A775,'Medical Examinations'!$A:$L,10, FALSE)</f>
        <v>2</v>
      </c>
      <c r="I775" s="22" t="str">
        <f>VLOOKUP($A775, 'Medical Examinations'!$A:$J, 9, FALSE)</f>
        <v>No</v>
      </c>
      <c r="J775" s="22" t="str">
        <f>VLOOKUP($A775, 'Medical Examinations'!$A:$P, 11, FALSE)</f>
        <v>OBESITY</v>
      </c>
      <c r="K775" s="34">
        <v>33163.0</v>
      </c>
      <c r="L775" s="35">
        <f>VLOOKUP($A775, 'Hospitalisation Details'!$A:$H, 7, FALSE)</f>
        <v>13390.56</v>
      </c>
      <c r="M775" s="22" t="str">
        <f>VLOOKUP($A775, 'Hospitalisation Details'!$A:$L, 12, FALSE)</f>
        <v>tier - 3</v>
      </c>
      <c r="N775" s="22" t="str">
        <f>VLOOKUP($A775, 'Hospitalisation Details'!$A:$M, 13, FALSE)</f>
        <v>tier - 3</v>
      </c>
      <c r="O775" s="22" t="str">
        <f>VLOOKUP($A775, 'Hospitalisation Details'!$A:$N, 14, FALSE)</f>
        <v>R1011</v>
      </c>
      <c r="P775" s="36">
        <f>VLOOKUP($A775, 'Hospitalisation Details'!$A:$O, 15, FALSE)</f>
        <v>63</v>
      </c>
    </row>
    <row r="776" ht="15.75" customHeight="1">
      <c r="A776" s="33" t="s">
        <v>1551</v>
      </c>
      <c r="B776" s="22" t="str">
        <f>VLOOKUP($A776,'Customer Names'!$A:$D,3, FALSE)</f>
        <v>Wallace</v>
      </c>
      <c r="C776" s="22">
        <f>VLOOKUP($A776,'Medical Examinations'!$A:$D, 2, FALSE)</f>
        <v>42.06</v>
      </c>
      <c r="D776" s="22">
        <f>VLOOKUP($A776, 'Medical Examinations'!$A:$D,3, FALSE)</f>
        <v>5.32</v>
      </c>
      <c r="E776" s="22" t="str">
        <f>VLOOKUP($A776, 'Medical Examinations'!$A:$D, 4, FALSE)</f>
        <v>No</v>
      </c>
      <c r="F776" s="22" t="str">
        <f>VLOOKUP($A776, 'Medical Examinations'!$A:$J, 5, FALSE)</f>
        <v>No</v>
      </c>
      <c r="G776" s="22" t="str">
        <f>VLOOKUP($A776, 'Medical Examinations'!$A:$I, 6, FALSE)</f>
        <v>No</v>
      </c>
      <c r="H776" s="22">
        <f>VLOOKUP($A776,'Medical Examinations'!$A:$L,10, FALSE)</f>
        <v>1</v>
      </c>
      <c r="I776" s="22" t="str">
        <f>VLOOKUP($A776, 'Medical Examinations'!$A:$J, 9, FALSE)</f>
        <v>No</v>
      </c>
      <c r="J776" s="22" t="str">
        <f>VLOOKUP($A776, 'Medical Examinations'!$A:$P, 11, FALSE)</f>
        <v>OBESITY</v>
      </c>
      <c r="K776" s="34">
        <v>29897.0</v>
      </c>
      <c r="L776" s="35">
        <f>VLOOKUP($A776, 'Hospitalisation Details'!$A:$H, 7, FALSE)</f>
        <v>13383.67</v>
      </c>
      <c r="M776" s="22" t="str">
        <f>VLOOKUP($A776, 'Hospitalisation Details'!$A:$L, 12, FALSE)</f>
        <v>tier - 3</v>
      </c>
      <c r="N776" s="22" t="str">
        <f>VLOOKUP($A776, 'Hospitalisation Details'!$A:$M, 13, FALSE)</f>
        <v>tier - 2</v>
      </c>
      <c r="O776" s="22" t="str">
        <f>VLOOKUP($A776, 'Hospitalisation Details'!$A:$N, 14, FALSE)</f>
        <v>R1023</v>
      </c>
      <c r="P776" s="36">
        <f>VLOOKUP($A776, 'Hospitalisation Details'!$A:$O, 15, FALSE)</f>
        <v>39</v>
      </c>
    </row>
    <row r="777" ht="15.75" customHeight="1">
      <c r="A777" s="33" t="s">
        <v>1553</v>
      </c>
      <c r="B777" s="22" t="str">
        <f>VLOOKUP($A777,'Customer Names'!$A:$D,3, FALSE)</f>
        <v>Tillman</v>
      </c>
      <c r="C777" s="22">
        <f>VLOOKUP($A777,'Medical Examinations'!$A:$D, 2, FALSE)</f>
        <v>39.27</v>
      </c>
      <c r="D777" s="22">
        <f>VLOOKUP($A777, 'Medical Examinations'!$A:$D,3, FALSE)</f>
        <v>5.64</v>
      </c>
      <c r="E777" s="22" t="str">
        <f>VLOOKUP($A777, 'Medical Examinations'!$A:$D, 4, FALSE)</f>
        <v>No</v>
      </c>
      <c r="F777" s="22" t="str">
        <f>VLOOKUP($A777, 'Medical Examinations'!$A:$J, 5, FALSE)</f>
        <v>No</v>
      </c>
      <c r="G777" s="22" t="str">
        <f>VLOOKUP($A777, 'Medical Examinations'!$A:$I, 6, FALSE)</f>
        <v>Yes</v>
      </c>
      <c r="H777" s="22">
        <f>VLOOKUP($A777,'Medical Examinations'!$A:$L,10, FALSE)</f>
        <v>1</v>
      </c>
      <c r="I777" s="22" t="str">
        <f>VLOOKUP($A777, 'Medical Examinations'!$A:$J, 9, FALSE)</f>
        <v>No</v>
      </c>
      <c r="J777" s="22" t="str">
        <f>VLOOKUP($A777, 'Medical Examinations'!$A:$P, 11, FALSE)</f>
        <v>OBESITY</v>
      </c>
      <c r="K777" s="34">
        <v>32353.0</v>
      </c>
      <c r="L777" s="35">
        <f>VLOOKUP($A777, 'Hospitalisation Details'!$A:$H, 7, FALSE)</f>
        <v>13377.41</v>
      </c>
      <c r="M777" s="22" t="str">
        <f>VLOOKUP($A777, 'Hospitalisation Details'!$A:$L, 12, FALSE)</f>
        <v>tier - 3</v>
      </c>
      <c r="N777" s="22" t="str">
        <f>VLOOKUP($A777, 'Hospitalisation Details'!$A:$M, 13, FALSE)</f>
        <v>tier - 3</v>
      </c>
      <c r="O777" s="22" t="str">
        <f>VLOOKUP($A777, 'Hospitalisation Details'!$A:$N, 14, FALSE)</f>
        <v>R1026</v>
      </c>
      <c r="P777" s="36">
        <f>VLOOKUP($A777, 'Hospitalisation Details'!$A:$O, 15, FALSE)</f>
        <v>43</v>
      </c>
    </row>
    <row r="778" ht="15.75" customHeight="1">
      <c r="A778" s="33" t="s">
        <v>1555</v>
      </c>
      <c r="B778" s="22" t="str">
        <f>VLOOKUP($A778,'Customer Names'!$A:$D,3, FALSE)</f>
        <v>Lee</v>
      </c>
      <c r="C778" s="22">
        <f>VLOOKUP($A778,'Medical Examinations'!$A:$D, 2, FALSE)</f>
        <v>30.71</v>
      </c>
      <c r="D778" s="22">
        <f>VLOOKUP($A778, 'Medical Examinations'!$A:$D,3, FALSE)</f>
        <v>5.59</v>
      </c>
      <c r="E778" s="22" t="str">
        <f>VLOOKUP($A778, 'Medical Examinations'!$A:$D, 4, FALSE)</f>
        <v>Yes</v>
      </c>
      <c r="F778" s="22" t="str">
        <f>VLOOKUP($A778, 'Medical Examinations'!$A:$J, 5, FALSE)</f>
        <v>No</v>
      </c>
      <c r="G778" s="22" t="str">
        <f>VLOOKUP($A778, 'Medical Examinations'!$A:$I, 6, FALSE)</f>
        <v>No</v>
      </c>
      <c r="H778" s="22">
        <f>VLOOKUP($A778,'Medical Examinations'!$A:$L,10, FALSE)</f>
        <v>1</v>
      </c>
      <c r="I778" s="22" t="str">
        <f>VLOOKUP($A778, 'Medical Examinations'!$A:$J, 9, FALSE)</f>
        <v>No</v>
      </c>
      <c r="J778" s="22" t="str">
        <f>VLOOKUP($A778, 'Medical Examinations'!$A:$P, 11, FALSE)</f>
        <v>OBESITY</v>
      </c>
      <c r="K778" s="34">
        <v>30911.0</v>
      </c>
      <c r="L778" s="35">
        <f>VLOOKUP($A778, 'Hospitalisation Details'!$A:$H, 7, FALSE)</f>
        <v>13375.76</v>
      </c>
      <c r="M778" s="22" t="str">
        <f>VLOOKUP($A778, 'Hospitalisation Details'!$A:$L, 12, FALSE)</f>
        <v>tier - 3</v>
      </c>
      <c r="N778" s="22" t="str">
        <f>VLOOKUP($A778, 'Hospitalisation Details'!$A:$M, 13, FALSE)</f>
        <v>tier - 2</v>
      </c>
      <c r="O778" s="22" t="str">
        <f>VLOOKUP($A778, 'Hospitalisation Details'!$A:$N, 14, FALSE)</f>
        <v>R1025</v>
      </c>
      <c r="P778" s="36">
        <f>VLOOKUP($A778, 'Hospitalisation Details'!$A:$O, 15, FALSE)</f>
        <v>58</v>
      </c>
    </row>
    <row r="779" ht="15.75" customHeight="1">
      <c r="A779" s="33" t="s">
        <v>1557</v>
      </c>
      <c r="B779" s="22" t="str">
        <f>VLOOKUP($A779,'Customer Names'!$A:$D,3, FALSE)</f>
        <v>Taylor</v>
      </c>
      <c r="C779" s="22">
        <f>VLOOKUP($A779,'Medical Examinations'!$A:$D, 2, FALSE)</f>
        <v>47.19</v>
      </c>
      <c r="D779" s="22">
        <f>VLOOKUP($A779, 'Medical Examinations'!$A:$D,3, FALSE)</f>
        <v>5.29</v>
      </c>
      <c r="E779" s="22" t="str">
        <f>VLOOKUP($A779, 'Medical Examinations'!$A:$D, 4, FALSE)</f>
        <v>No</v>
      </c>
      <c r="F779" s="22" t="str">
        <f>VLOOKUP($A779, 'Medical Examinations'!$A:$J, 5, FALSE)</f>
        <v>No</v>
      </c>
      <c r="G779" s="22" t="str">
        <f>VLOOKUP($A779, 'Medical Examinations'!$A:$I, 6, FALSE)</f>
        <v>No</v>
      </c>
      <c r="H779" s="22">
        <f>VLOOKUP($A779,'Medical Examinations'!$A:$L,10, FALSE)</f>
        <v>0</v>
      </c>
      <c r="I779" s="22" t="str">
        <f>VLOOKUP($A779, 'Medical Examinations'!$A:$J, 9, FALSE)</f>
        <v>No</v>
      </c>
      <c r="J779" s="22" t="str">
        <f>VLOOKUP($A779, 'Medical Examinations'!$A:$P, 11, FALSE)</f>
        <v>OBESITY</v>
      </c>
      <c r="K779" s="34">
        <v>30920.0</v>
      </c>
      <c r="L779" s="35">
        <f>VLOOKUP($A779, 'Hospitalisation Details'!$A:$H, 7, FALSE)</f>
        <v>13360.94</v>
      </c>
      <c r="M779" s="22" t="str">
        <f>VLOOKUP($A779, 'Hospitalisation Details'!$A:$L, 12, FALSE)</f>
        <v>tier - 3</v>
      </c>
      <c r="N779" s="22" t="str">
        <f>VLOOKUP($A779, 'Hospitalisation Details'!$A:$M, 13, FALSE)</f>
        <v>tier - 1</v>
      </c>
      <c r="O779" s="22" t="str">
        <f>VLOOKUP($A779, 'Hospitalisation Details'!$A:$N, 14, FALSE)</f>
        <v>R1012</v>
      </c>
      <c r="P779" s="36">
        <f>VLOOKUP($A779, 'Hospitalisation Details'!$A:$O, 15, FALSE)</f>
        <v>32</v>
      </c>
    </row>
    <row r="780" ht="15.75" customHeight="1">
      <c r="A780" s="33" t="s">
        <v>1559</v>
      </c>
      <c r="B780" s="22" t="str">
        <f>VLOOKUP($A780,'Customer Names'!$A:$D,3, FALSE)</f>
        <v>McSween</v>
      </c>
      <c r="C780" s="22">
        <f>VLOOKUP($A780,'Medical Examinations'!$A:$D, 2, FALSE)</f>
        <v>30.02</v>
      </c>
      <c r="D780" s="22">
        <f>VLOOKUP($A780, 'Medical Examinations'!$A:$D,3, FALSE)</f>
        <v>6.65</v>
      </c>
      <c r="E780" s="22" t="str">
        <f>VLOOKUP($A780, 'Medical Examinations'!$A:$D, 4, FALSE)</f>
        <v>No</v>
      </c>
      <c r="F780" s="22" t="str">
        <f>VLOOKUP($A780, 'Medical Examinations'!$A:$J, 5, FALSE)</f>
        <v>No</v>
      </c>
      <c r="G780" s="22" t="str">
        <f>VLOOKUP($A780, 'Medical Examinations'!$A:$I, 6, FALSE)</f>
        <v>No</v>
      </c>
      <c r="H780" s="22">
        <f>VLOOKUP($A780,'Medical Examinations'!$A:$L,10, FALSE)</f>
        <v>0</v>
      </c>
      <c r="I780" s="22" t="str">
        <f>VLOOKUP($A780, 'Medical Examinations'!$A:$J, 9, FALSE)</f>
        <v>No</v>
      </c>
      <c r="J780" s="22" t="str">
        <f>VLOOKUP($A780, 'Medical Examinations'!$A:$P, 11, FALSE)</f>
        <v>OBESITY</v>
      </c>
      <c r="K780" s="34">
        <v>31685.0</v>
      </c>
      <c r="L780" s="35">
        <f>VLOOKUP($A780, 'Hospitalisation Details'!$A:$H, 7, FALSE)</f>
        <v>13352.1</v>
      </c>
      <c r="M780" s="22" t="str">
        <f>VLOOKUP($A780, 'Hospitalisation Details'!$A:$L, 12, FALSE)</f>
        <v>tier - 3</v>
      </c>
      <c r="N780" s="22" t="str">
        <f>VLOOKUP($A780, 'Hospitalisation Details'!$A:$M, 13, FALSE)</f>
        <v>tier - 1</v>
      </c>
      <c r="O780" s="22" t="str">
        <f>VLOOKUP($A780, 'Hospitalisation Details'!$A:$N, 14, FALSE)</f>
        <v>R1012</v>
      </c>
      <c r="P780" s="36">
        <f>VLOOKUP($A780, 'Hospitalisation Details'!$A:$O, 15, FALSE)</f>
        <v>62</v>
      </c>
    </row>
    <row r="781" ht="15.75" customHeight="1">
      <c r="A781" s="33" t="s">
        <v>1561</v>
      </c>
      <c r="B781" s="22" t="str">
        <f>VLOOKUP($A781,'Customer Names'!$A:$D,3, FALSE)</f>
        <v>Schubert</v>
      </c>
      <c r="C781" s="22">
        <f>VLOOKUP($A781,'Medical Examinations'!$A:$D, 2, FALSE)</f>
        <v>37.91</v>
      </c>
      <c r="D781" s="22">
        <f>VLOOKUP($A781, 'Medical Examinations'!$A:$D,3, FALSE)</f>
        <v>5.68</v>
      </c>
      <c r="E781" s="22" t="str">
        <f>VLOOKUP($A781, 'Medical Examinations'!$A:$D, 4, FALSE)</f>
        <v>Yes</v>
      </c>
      <c r="F781" s="22" t="str">
        <f>VLOOKUP($A781, 'Medical Examinations'!$A:$J, 5, FALSE)</f>
        <v>No</v>
      </c>
      <c r="G781" s="22" t="str">
        <f>VLOOKUP($A781, 'Medical Examinations'!$A:$I, 6, FALSE)</f>
        <v>No</v>
      </c>
      <c r="H781" s="22">
        <f>VLOOKUP($A781,'Medical Examinations'!$A:$L,10, FALSE)</f>
        <v>0</v>
      </c>
      <c r="I781" s="22" t="str">
        <f>VLOOKUP($A781, 'Medical Examinations'!$A:$J, 9, FALSE)</f>
        <v>No</v>
      </c>
      <c r="J781" s="22" t="str">
        <f>VLOOKUP($A781, 'Medical Examinations'!$A:$P, 11, FALSE)</f>
        <v>OBESITY</v>
      </c>
      <c r="K781" s="34">
        <v>31605.0</v>
      </c>
      <c r="L781" s="35">
        <f>VLOOKUP($A781, 'Hospitalisation Details'!$A:$H, 7, FALSE)</f>
        <v>13333.71</v>
      </c>
      <c r="M781" s="22" t="str">
        <f>VLOOKUP($A781, 'Hospitalisation Details'!$A:$L, 12, FALSE)</f>
        <v>tier - 3</v>
      </c>
      <c r="N781" s="22" t="str">
        <f>VLOOKUP($A781, 'Hospitalisation Details'!$A:$M, 13, FALSE)</f>
        <v>tier - 2</v>
      </c>
      <c r="O781" s="22" t="str">
        <f>VLOOKUP($A781, 'Hospitalisation Details'!$A:$N, 14, FALSE)</f>
        <v>R1012</v>
      </c>
      <c r="P781" s="36">
        <f>VLOOKUP($A781, 'Hospitalisation Details'!$A:$O, 15, FALSE)</f>
        <v>46</v>
      </c>
    </row>
    <row r="782" ht="15.75" customHeight="1">
      <c r="A782" s="33" t="s">
        <v>1563</v>
      </c>
      <c r="B782" s="22" t="str">
        <f>VLOOKUP($A782,'Customer Names'!$A:$D,3, FALSE)</f>
        <v>Lalanne</v>
      </c>
      <c r="C782" s="22">
        <f>VLOOKUP($A782,'Medical Examinations'!$A:$D, 2, FALSE)</f>
        <v>54.61</v>
      </c>
      <c r="D782" s="22">
        <f>VLOOKUP($A782, 'Medical Examinations'!$A:$D,3, FALSE)</f>
        <v>4.49</v>
      </c>
      <c r="E782" s="22" t="str">
        <f>VLOOKUP($A782, 'Medical Examinations'!$A:$D, 4, FALSE)</f>
        <v>No</v>
      </c>
      <c r="F782" s="22" t="str">
        <f>VLOOKUP($A782, 'Medical Examinations'!$A:$J, 5, FALSE)</f>
        <v>No</v>
      </c>
      <c r="G782" s="22" t="str">
        <f>VLOOKUP($A782, 'Medical Examinations'!$A:$I, 6, FALSE)</f>
        <v>No</v>
      </c>
      <c r="H782" s="22">
        <f>VLOOKUP($A782,'Medical Examinations'!$A:$L,10, FALSE)</f>
        <v>0</v>
      </c>
      <c r="I782" s="22" t="str">
        <f>VLOOKUP($A782, 'Medical Examinations'!$A:$J, 9, FALSE)</f>
        <v>No</v>
      </c>
      <c r="J782" s="22" t="str">
        <f>VLOOKUP($A782, 'Medical Examinations'!$A:$P, 11, FALSE)</f>
        <v>OBESITY</v>
      </c>
      <c r="K782" s="34">
        <v>31748.0</v>
      </c>
      <c r="L782" s="35">
        <f>VLOOKUP($A782, 'Hospitalisation Details'!$A:$H, 7, FALSE)</f>
        <v>13292.52</v>
      </c>
      <c r="M782" s="22" t="str">
        <f>VLOOKUP($A782, 'Hospitalisation Details'!$A:$L, 12, FALSE)</f>
        <v>tier - 3</v>
      </c>
      <c r="N782" s="22" t="str">
        <f>VLOOKUP($A782, 'Hospitalisation Details'!$A:$M, 13, FALSE)</f>
        <v>tier - 3</v>
      </c>
      <c r="O782" s="22" t="str">
        <f>VLOOKUP($A782, 'Hospitalisation Details'!$A:$N, 14, FALSE)</f>
        <v>R1012</v>
      </c>
      <c r="P782" s="36">
        <f>VLOOKUP($A782, 'Hospitalisation Details'!$A:$O, 15, FALSE)</f>
        <v>28</v>
      </c>
    </row>
    <row r="783" ht="15.75" customHeight="1">
      <c r="A783" s="33" t="s">
        <v>1565</v>
      </c>
      <c r="B783" s="22" t="str">
        <f>VLOOKUP($A783,'Customer Names'!$A:$D,3, FALSE)</f>
        <v>Flanagan</v>
      </c>
      <c r="C783" s="22">
        <f>VLOOKUP($A783,'Medical Examinations'!$A:$D, 2, FALSE)</f>
        <v>36.005</v>
      </c>
      <c r="D783" s="22">
        <f>VLOOKUP($A783, 'Medical Examinations'!$A:$D,3, FALSE)</f>
        <v>6.9</v>
      </c>
      <c r="E783" s="22" t="str">
        <f>VLOOKUP($A783, 'Medical Examinations'!$A:$D, 4, FALSE)</f>
        <v>No</v>
      </c>
      <c r="F783" s="22" t="str">
        <f>VLOOKUP($A783, 'Medical Examinations'!$A:$J, 5, FALSE)</f>
        <v>No</v>
      </c>
      <c r="G783" s="22" t="str">
        <f>VLOOKUP($A783, 'Medical Examinations'!$A:$I, 6, FALSE)</f>
        <v>No</v>
      </c>
      <c r="H783" s="22">
        <f>VLOOKUP($A783,'Medical Examinations'!$A:$L,10, FALSE)</f>
        <v>0</v>
      </c>
      <c r="I783" s="22" t="str">
        <f>VLOOKUP($A783, 'Medical Examinations'!$A:$J, 9, FALSE)</f>
        <v>No</v>
      </c>
      <c r="J783" s="22" t="str">
        <f>VLOOKUP($A783, 'Medical Examinations'!$A:$P, 11, FALSE)</f>
        <v>OBESITY</v>
      </c>
      <c r="K783" s="34">
        <v>26961.0</v>
      </c>
      <c r="L783" s="35">
        <f>VLOOKUP($A783, 'Hospitalisation Details'!$A:$H, 7, FALSE)</f>
        <v>13228.85</v>
      </c>
      <c r="M783" s="22" t="str">
        <f>VLOOKUP($A783, 'Hospitalisation Details'!$A:$L, 12, FALSE)</f>
        <v>tier - 3</v>
      </c>
      <c r="N783" s="22" t="str">
        <f>VLOOKUP($A783, 'Hospitalisation Details'!$A:$M, 13, FALSE)</f>
        <v>tier - 3</v>
      </c>
      <c r="O783" s="22" t="str">
        <f>VLOOKUP($A783, 'Hospitalisation Details'!$A:$N, 14, FALSE)</f>
        <v>R1023</v>
      </c>
      <c r="P783" s="36">
        <f>VLOOKUP($A783, 'Hospitalisation Details'!$A:$O, 15, FALSE)</f>
        <v>60</v>
      </c>
    </row>
    <row r="784" ht="15.75" customHeight="1">
      <c r="A784" s="33" t="s">
        <v>1567</v>
      </c>
      <c r="B784" s="22" t="str">
        <f>VLOOKUP($A784,'Customer Names'!$A:$D,3, FALSE)</f>
        <v>Arellano</v>
      </c>
      <c r="C784" s="22">
        <f>VLOOKUP($A784,'Medical Examinations'!$A:$D, 2, FALSE)</f>
        <v>28.7</v>
      </c>
      <c r="D784" s="22">
        <f>VLOOKUP($A784, 'Medical Examinations'!$A:$D,3, FALSE)</f>
        <v>11.52</v>
      </c>
      <c r="E784" s="22" t="str">
        <f>VLOOKUP($A784, 'Medical Examinations'!$A:$D, 4, FALSE)</f>
        <v>No</v>
      </c>
      <c r="F784" s="22" t="str">
        <f>VLOOKUP($A784, 'Medical Examinations'!$A:$J, 5, FALSE)</f>
        <v>No</v>
      </c>
      <c r="G784" s="22" t="str">
        <f>VLOOKUP($A784, 'Medical Examinations'!$A:$I, 6, FALSE)</f>
        <v>No</v>
      </c>
      <c r="H784" s="22">
        <f>VLOOKUP($A784,'Medical Examinations'!$A:$L,10, FALSE)</f>
        <v>0</v>
      </c>
      <c r="I784" s="22" t="str">
        <f>VLOOKUP($A784, 'Medical Examinations'!$A:$J, 9, FALSE)</f>
        <v>No</v>
      </c>
      <c r="J784" s="22" t="str">
        <f>VLOOKUP($A784, 'Medical Examinations'!$A:$P, 11, FALSE)</f>
        <v>OVERWEIGHT</v>
      </c>
      <c r="K784" s="34">
        <v>31771.0</v>
      </c>
      <c r="L784" s="35">
        <f>VLOOKUP($A784, 'Hospitalisation Details'!$A:$H, 7, FALSE)</f>
        <v>13224.69</v>
      </c>
      <c r="M784" s="22" t="str">
        <f>VLOOKUP($A784, 'Hospitalisation Details'!$A:$L, 12, FALSE)</f>
        <v>tier - 3</v>
      </c>
      <c r="N784" s="22" t="str">
        <f>VLOOKUP($A784, 'Hospitalisation Details'!$A:$M, 13, FALSE)</f>
        <v>tier - 2</v>
      </c>
      <c r="O784" s="22" t="str">
        <f>VLOOKUP($A784, 'Hospitalisation Details'!$A:$N, 14, FALSE)</f>
        <v>R1011</v>
      </c>
      <c r="P784" s="36">
        <f>VLOOKUP($A784, 'Hospitalisation Details'!$A:$O, 15, FALSE)</f>
        <v>60</v>
      </c>
    </row>
    <row r="785" ht="15.75" customHeight="1">
      <c r="A785" s="33" t="s">
        <v>1569</v>
      </c>
      <c r="B785" s="22" t="str">
        <f>VLOOKUP($A785,'Customer Names'!$A:$D,3, FALSE)</f>
        <v>Charette</v>
      </c>
      <c r="C785" s="22">
        <f>VLOOKUP($A785,'Medical Examinations'!$A:$D, 2, FALSE)</f>
        <v>34.295</v>
      </c>
      <c r="D785" s="22">
        <f>VLOOKUP($A785, 'Medical Examinations'!$A:$D,3, FALSE)</f>
        <v>11.24</v>
      </c>
      <c r="E785" s="22" t="str">
        <f>VLOOKUP($A785, 'Medical Examinations'!$A:$D, 4, FALSE)</f>
        <v>No</v>
      </c>
      <c r="F785" s="22" t="str">
        <f>VLOOKUP($A785, 'Medical Examinations'!$A:$J, 5, FALSE)</f>
        <v>No</v>
      </c>
      <c r="G785" s="22" t="str">
        <f>VLOOKUP($A785, 'Medical Examinations'!$A:$I, 6, FALSE)</f>
        <v>No</v>
      </c>
      <c r="H785" s="22">
        <f>VLOOKUP($A785,'Medical Examinations'!$A:$L,10, FALSE)</f>
        <v>0</v>
      </c>
      <c r="I785" s="22" t="str">
        <f>VLOOKUP($A785, 'Medical Examinations'!$A:$J, 9, FALSE)</f>
        <v>No</v>
      </c>
      <c r="J785" s="22" t="str">
        <f>VLOOKUP($A785, 'Medical Examinations'!$A:$P, 11, FALSE)</f>
        <v>OBESITY</v>
      </c>
      <c r="K785" s="34">
        <v>30188.0</v>
      </c>
      <c r="L785" s="35">
        <f>VLOOKUP($A785, 'Hospitalisation Details'!$A:$H, 7, FALSE)</f>
        <v>13224.06</v>
      </c>
      <c r="M785" s="22" t="str">
        <f>VLOOKUP($A785, 'Hospitalisation Details'!$A:$L, 12, FALSE)</f>
        <v>tier - 3</v>
      </c>
      <c r="N785" s="22" t="str">
        <f>VLOOKUP($A785, 'Hospitalisation Details'!$A:$M, 13, FALSE)</f>
        <v>tier - 3</v>
      </c>
      <c r="O785" s="22" t="str">
        <f>VLOOKUP($A785, 'Hospitalisation Details'!$A:$N, 14, FALSE)</f>
        <v>R1024</v>
      </c>
      <c r="P785" s="36">
        <f>VLOOKUP($A785, 'Hospitalisation Details'!$A:$O, 15, FALSE)</f>
        <v>57</v>
      </c>
    </row>
    <row r="786" ht="15.75" customHeight="1">
      <c r="A786" s="33" t="s">
        <v>1571</v>
      </c>
      <c r="B786" s="22" t="str">
        <f>VLOOKUP($A786,'Customer Names'!$A:$D,3, FALSE)</f>
        <v>Pen</v>
      </c>
      <c r="C786" s="22">
        <f>VLOOKUP($A786,'Medical Examinations'!$A:$D, 2, FALSE)</f>
        <v>27.55</v>
      </c>
      <c r="D786" s="22">
        <f>VLOOKUP($A786, 'Medical Examinations'!$A:$D,3, FALSE)</f>
        <v>10.98</v>
      </c>
      <c r="E786" s="22" t="str">
        <f>VLOOKUP($A786, 'Medical Examinations'!$A:$D, 4, FALSE)</f>
        <v>No</v>
      </c>
      <c r="F786" s="22" t="str">
        <f>VLOOKUP($A786, 'Medical Examinations'!$A:$J, 5, FALSE)</f>
        <v>No</v>
      </c>
      <c r="G786" s="22" t="str">
        <f>VLOOKUP($A786, 'Medical Examinations'!$A:$I, 6, FALSE)</f>
        <v>No</v>
      </c>
      <c r="H786" s="22">
        <f>VLOOKUP($A786,'Medical Examinations'!$A:$L,10, FALSE)</f>
        <v>0</v>
      </c>
      <c r="I786" s="22" t="str">
        <f>VLOOKUP($A786, 'Medical Examinations'!$A:$J, 9, FALSE)</f>
        <v>No</v>
      </c>
      <c r="J786" s="22" t="str">
        <f>VLOOKUP($A786, 'Medical Examinations'!$A:$P, 11, FALSE)</f>
        <v>OVERWEIGHT</v>
      </c>
      <c r="K786" s="34">
        <v>21505.0</v>
      </c>
      <c r="L786" s="35">
        <f>VLOOKUP($A786, 'Hospitalisation Details'!$A:$H, 7, FALSE)</f>
        <v>13217.09</v>
      </c>
      <c r="M786" s="22" t="str">
        <f>VLOOKUP($A786, 'Hospitalisation Details'!$A:$L, 12, FALSE)</f>
        <v>tier - 3</v>
      </c>
      <c r="N786" s="22" t="str">
        <f>VLOOKUP($A786, 'Hospitalisation Details'!$A:$M, 13, FALSE)</f>
        <v>tier - 1</v>
      </c>
      <c r="O786" s="22" t="str">
        <f>VLOOKUP($A786, 'Hospitalisation Details'!$A:$N, 14, FALSE)</f>
        <v>R1024</v>
      </c>
      <c r="P786" s="36">
        <f>VLOOKUP($A786, 'Hospitalisation Details'!$A:$O, 15, FALSE)</f>
        <v>60</v>
      </c>
    </row>
    <row r="787" ht="15.75" customHeight="1">
      <c r="A787" s="33" t="s">
        <v>1573</v>
      </c>
      <c r="B787" s="22" t="str">
        <f>VLOOKUP($A787,'Customer Names'!$A:$D,3, FALSE)</f>
        <v>Broderick</v>
      </c>
      <c r="C787" s="22">
        <f>VLOOKUP($A787,'Medical Examinations'!$A:$D, 2, FALSE)</f>
        <v>40.7</v>
      </c>
      <c r="D787" s="22">
        <f>VLOOKUP($A787, 'Medical Examinations'!$A:$D,3, FALSE)</f>
        <v>5.42</v>
      </c>
      <c r="E787" s="22" t="str">
        <f>VLOOKUP($A787, 'Medical Examinations'!$A:$D, 4, FALSE)</f>
        <v>No</v>
      </c>
      <c r="F787" s="22" t="str">
        <f>VLOOKUP($A787, 'Medical Examinations'!$A:$J, 5, FALSE)</f>
        <v>No</v>
      </c>
      <c r="G787" s="22" t="str">
        <f>VLOOKUP($A787, 'Medical Examinations'!$A:$I, 6, FALSE)</f>
        <v>No</v>
      </c>
      <c r="H787" s="22">
        <f>VLOOKUP($A787,'Medical Examinations'!$A:$L,10, FALSE)</f>
        <v>0</v>
      </c>
      <c r="I787" s="22" t="str">
        <f>VLOOKUP($A787, 'Medical Examinations'!$A:$J, 9, FALSE)</f>
        <v>No</v>
      </c>
      <c r="J787" s="22" t="str">
        <f>VLOOKUP($A787, 'Medical Examinations'!$A:$P, 11, FALSE)</f>
        <v>OBESITY</v>
      </c>
      <c r="K787" s="34">
        <v>36774.0</v>
      </c>
      <c r="L787" s="35">
        <f>VLOOKUP($A787, 'Hospitalisation Details'!$A:$H, 7, FALSE)</f>
        <v>13214.43</v>
      </c>
      <c r="M787" s="22" t="str">
        <f>VLOOKUP($A787, 'Hospitalisation Details'!$A:$L, 12, FALSE)</f>
        <v>tier - 3</v>
      </c>
      <c r="N787" s="22" t="str">
        <f>VLOOKUP($A787, 'Hospitalisation Details'!$A:$M, 13, FALSE)</f>
        <v>tier - 2</v>
      </c>
      <c r="O787" s="22" t="str">
        <f>VLOOKUP($A787, 'Hospitalisation Details'!$A:$N, 14, FALSE)</f>
        <v>R1012</v>
      </c>
      <c r="P787" s="36">
        <f>VLOOKUP($A787, 'Hospitalisation Details'!$A:$O, 15, FALSE)</f>
        <v>40</v>
      </c>
    </row>
    <row r="788" ht="15.75" customHeight="1">
      <c r="A788" s="33" t="s">
        <v>1575</v>
      </c>
      <c r="B788" s="22" t="str">
        <f>VLOOKUP($A788,'Customer Names'!$A:$D,3, FALSE)</f>
        <v>Summers</v>
      </c>
      <c r="C788" s="22">
        <f>VLOOKUP($A788,'Medical Examinations'!$A:$D, 2, FALSE)</f>
        <v>18.335</v>
      </c>
      <c r="D788" s="22">
        <f>VLOOKUP($A788, 'Medical Examinations'!$A:$D,3, FALSE)</f>
        <v>10.97</v>
      </c>
      <c r="E788" s="22" t="str">
        <f>VLOOKUP($A788, 'Medical Examinations'!$A:$D, 4, FALSE)</f>
        <v>No</v>
      </c>
      <c r="F788" s="22" t="str">
        <f>VLOOKUP($A788, 'Medical Examinations'!$A:$J, 5, FALSE)</f>
        <v>No</v>
      </c>
      <c r="G788" s="22" t="str">
        <f>VLOOKUP($A788, 'Medical Examinations'!$A:$I, 6, FALSE)</f>
        <v>No</v>
      </c>
      <c r="H788" s="22">
        <f>VLOOKUP($A788,'Medical Examinations'!$A:$L,10, FALSE)</f>
        <v>0</v>
      </c>
      <c r="I788" s="22" t="str">
        <f>VLOOKUP($A788, 'Medical Examinations'!$A:$J, 9, FALSE)</f>
        <v>No</v>
      </c>
      <c r="J788" s="22" t="str">
        <f>VLOOKUP($A788, 'Medical Examinations'!$A:$P, 11, FALSE)</f>
        <v>UNDERWEIGHT</v>
      </c>
      <c r="K788" s="34">
        <v>28649.0</v>
      </c>
      <c r="L788" s="35">
        <f>VLOOKUP($A788, 'Hospitalisation Details'!$A:$H, 7, FALSE)</f>
        <v>13204.29</v>
      </c>
      <c r="M788" s="22" t="str">
        <f>VLOOKUP($A788, 'Hospitalisation Details'!$A:$L, 12, FALSE)</f>
        <v>tier - 3</v>
      </c>
      <c r="N788" s="22" t="str">
        <f>VLOOKUP($A788, 'Hospitalisation Details'!$A:$M, 13, FALSE)</f>
        <v>tier - 1</v>
      </c>
      <c r="O788" s="22" t="str">
        <f>VLOOKUP($A788, 'Hospitalisation Details'!$A:$N, 14, FALSE)</f>
        <v>R1024</v>
      </c>
      <c r="P788" s="36">
        <f>VLOOKUP($A788, 'Hospitalisation Details'!$A:$O, 15, FALSE)</f>
        <v>60</v>
      </c>
    </row>
    <row r="789" ht="15.75" customHeight="1">
      <c r="A789" s="33" t="s">
        <v>1577</v>
      </c>
      <c r="B789" s="22" t="str">
        <f>VLOOKUP($A789,'Customer Names'!$A:$D,3, FALSE)</f>
        <v>Fisher</v>
      </c>
      <c r="C789" s="22">
        <f>VLOOKUP($A789,'Medical Examinations'!$A:$D, 2, FALSE)</f>
        <v>33.915</v>
      </c>
      <c r="D789" s="22">
        <f>VLOOKUP($A789, 'Medical Examinations'!$A:$D,3, FALSE)</f>
        <v>9.56</v>
      </c>
      <c r="E789" s="22" t="str">
        <f>VLOOKUP($A789, 'Medical Examinations'!$A:$D, 4, FALSE)</f>
        <v>Yes</v>
      </c>
      <c r="F789" s="22" t="str">
        <f>VLOOKUP($A789, 'Medical Examinations'!$A:$J, 5, FALSE)</f>
        <v>No</v>
      </c>
      <c r="G789" s="22" t="str">
        <f>VLOOKUP($A789, 'Medical Examinations'!$A:$I, 6, FALSE)</f>
        <v>No</v>
      </c>
      <c r="H789" s="22">
        <f>VLOOKUP($A789,'Medical Examinations'!$A:$L,10, FALSE)</f>
        <v>2</v>
      </c>
      <c r="I789" s="22" t="str">
        <f>VLOOKUP($A789, 'Medical Examinations'!$A:$J, 9, FALSE)</f>
        <v>No</v>
      </c>
      <c r="J789" s="22" t="str">
        <f>VLOOKUP($A789, 'Medical Examinations'!$A:$P, 11, FALSE)</f>
        <v>OBESITY</v>
      </c>
      <c r="K789" s="34">
        <v>33864.0</v>
      </c>
      <c r="L789" s="35">
        <f>VLOOKUP($A789, 'Hospitalisation Details'!$A:$H, 7, FALSE)</f>
        <v>13143.86</v>
      </c>
      <c r="M789" s="22" t="str">
        <f>VLOOKUP($A789, 'Hospitalisation Details'!$A:$L, 12, FALSE)</f>
        <v>tier - 3</v>
      </c>
      <c r="N789" s="22" t="str">
        <f>VLOOKUP($A789, 'Hospitalisation Details'!$A:$M, 13, FALSE)</f>
        <v>tier - 2</v>
      </c>
      <c r="O789" s="22" t="str">
        <f>VLOOKUP($A789, 'Hospitalisation Details'!$A:$N, 14, FALSE)</f>
        <v>R1016</v>
      </c>
      <c r="P789" s="36">
        <f>VLOOKUP($A789, 'Hospitalisation Details'!$A:$O, 15, FALSE)</f>
        <v>61</v>
      </c>
    </row>
    <row r="790" ht="15.75" customHeight="1">
      <c r="A790" s="33" t="s">
        <v>1579</v>
      </c>
      <c r="B790" s="22" t="str">
        <f>VLOOKUP($A790,'Customer Names'!$A:$D,3, FALSE)</f>
        <v>Zhou</v>
      </c>
      <c r="C790" s="22">
        <f>VLOOKUP($A790,'Medical Examinations'!$A:$D, 2, FALSE)</f>
        <v>33.535</v>
      </c>
      <c r="D790" s="22">
        <f>VLOOKUP($A790, 'Medical Examinations'!$A:$D,3, FALSE)</f>
        <v>9.4</v>
      </c>
      <c r="E790" s="22" t="str">
        <f>VLOOKUP($A790, 'Medical Examinations'!$A:$D, 4, FALSE)</f>
        <v>Yes</v>
      </c>
      <c r="F790" s="22" t="str">
        <f>VLOOKUP($A790, 'Medical Examinations'!$A:$J, 5, FALSE)</f>
        <v>No</v>
      </c>
      <c r="G790" s="22" t="str">
        <f>VLOOKUP($A790, 'Medical Examinations'!$A:$I, 6, FALSE)</f>
        <v>No</v>
      </c>
      <c r="H790" s="22">
        <f>VLOOKUP($A790,'Medical Examinations'!$A:$L,10, FALSE)</f>
        <v>2</v>
      </c>
      <c r="I790" s="22" t="str">
        <f>VLOOKUP($A790, 'Medical Examinations'!$A:$J, 9, FALSE)</f>
        <v>No</v>
      </c>
      <c r="J790" s="22" t="str">
        <f>VLOOKUP($A790, 'Medical Examinations'!$A:$P, 11, FALSE)</f>
        <v>OBESITY</v>
      </c>
      <c r="K790" s="34">
        <v>33425.0</v>
      </c>
      <c r="L790" s="35">
        <f>VLOOKUP($A790, 'Hospitalisation Details'!$A:$H, 7, FALSE)</f>
        <v>13143.34</v>
      </c>
      <c r="M790" s="22" t="str">
        <f>VLOOKUP($A790, 'Hospitalisation Details'!$A:$L, 12, FALSE)</f>
        <v>tier - 3</v>
      </c>
      <c r="N790" s="22" t="str">
        <f>VLOOKUP($A790, 'Hospitalisation Details'!$A:$M, 13, FALSE)</f>
        <v>tier - 2</v>
      </c>
      <c r="O790" s="22" t="str">
        <f>VLOOKUP($A790, 'Hospitalisation Details'!$A:$N, 14, FALSE)</f>
        <v>R1020</v>
      </c>
      <c r="P790" s="36">
        <f>VLOOKUP($A790, 'Hospitalisation Details'!$A:$O, 15, FALSE)</f>
        <v>61</v>
      </c>
    </row>
    <row r="791" ht="15.75" customHeight="1">
      <c r="A791" s="33" t="s">
        <v>1581</v>
      </c>
      <c r="B791" s="22" t="str">
        <f>VLOOKUP($A791,'Customer Names'!$A:$D,3, FALSE)</f>
        <v>Clarke-Ames</v>
      </c>
      <c r="C791" s="22">
        <f>VLOOKUP($A791,'Medical Examinations'!$A:$D, 2, FALSE)</f>
        <v>23.655</v>
      </c>
      <c r="D791" s="22">
        <f>VLOOKUP($A791, 'Medical Examinations'!$A:$D,3, FALSE)</f>
        <v>8.48</v>
      </c>
      <c r="E791" s="22" t="str">
        <f>VLOOKUP($A791, 'Medical Examinations'!$A:$D, 4, FALSE)</f>
        <v>Yes</v>
      </c>
      <c r="F791" s="22" t="str">
        <f>VLOOKUP($A791, 'Medical Examinations'!$A:$J, 5, FALSE)</f>
        <v>No</v>
      </c>
      <c r="G791" s="22" t="str">
        <f>VLOOKUP($A791, 'Medical Examinations'!$A:$I, 6, FALSE)</f>
        <v>No</v>
      </c>
      <c r="H791" s="22">
        <f>VLOOKUP($A791,'Medical Examinations'!$A:$L,10, FALSE)</f>
        <v>2</v>
      </c>
      <c r="I791" s="22" t="str">
        <f>VLOOKUP($A791, 'Medical Examinations'!$A:$J, 9, FALSE)</f>
        <v>No</v>
      </c>
      <c r="J791" s="22" t="str">
        <f>VLOOKUP($A791, 'Medical Examinations'!$A:$P, 11, FALSE)</f>
        <v>NORMAL WEIGHT</v>
      </c>
      <c r="K791" s="34">
        <v>30221.0</v>
      </c>
      <c r="L791" s="35">
        <f>VLOOKUP($A791, 'Hospitalisation Details'!$A:$H, 7, FALSE)</f>
        <v>13129.6</v>
      </c>
      <c r="M791" s="22" t="str">
        <f>VLOOKUP($A791, 'Hospitalisation Details'!$A:$L, 12, FALSE)</f>
        <v>tier - 3</v>
      </c>
      <c r="N791" s="22" t="str">
        <f>VLOOKUP($A791, 'Hospitalisation Details'!$A:$M, 13, FALSE)</f>
        <v>tier - 2</v>
      </c>
      <c r="O791" s="22" t="str">
        <f>VLOOKUP($A791, 'Hospitalisation Details'!$A:$N, 14, FALSE)</f>
        <v>R1017</v>
      </c>
      <c r="P791" s="36">
        <f>VLOOKUP($A791, 'Hospitalisation Details'!$A:$O, 15, FALSE)</f>
        <v>61</v>
      </c>
    </row>
    <row r="792" ht="15.75" customHeight="1">
      <c r="A792" s="33" t="s">
        <v>1583</v>
      </c>
      <c r="B792" s="22" t="str">
        <f>VLOOKUP($A792,'Customer Names'!$A:$D,3, FALSE)</f>
        <v>Staton</v>
      </c>
      <c r="C792" s="22">
        <f>VLOOKUP($A792,'Medical Examinations'!$A:$D, 2, FALSE)</f>
        <v>28</v>
      </c>
      <c r="D792" s="22">
        <f>VLOOKUP($A792, 'Medical Examinations'!$A:$D,3, FALSE)</f>
        <v>5.57</v>
      </c>
      <c r="E792" s="22" t="str">
        <f>VLOOKUP($A792, 'Medical Examinations'!$A:$D, 4, FALSE)</f>
        <v>No</v>
      </c>
      <c r="F792" s="22" t="str">
        <f>VLOOKUP($A792, 'Medical Examinations'!$A:$J, 5, FALSE)</f>
        <v>No</v>
      </c>
      <c r="G792" s="22" t="str">
        <f>VLOOKUP($A792, 'Medical Examinations'!$A:$I, 6, FALSE)</f>
        <v>No</v>
      </c>
      <c r="H792" s="22">
        <f>VLOOKUP($A792,'Medical Examinations'!$A:$L,10, FALSE)</f>
        <v>0</v>
      </c>
      <c r="I792" s="22" t="str">
        <f>VLOOKUP($A792, 'Medical Examinations'!$A:$J, 9, FALSE)</f>
        <v>No</v>
      </c>
      <c r="J792" s="22" t="str">
        <f>VLOOKUP($A792, 'Medical Examinations'!$A:$P, 11, FALSE)</f>
        <v>OVERWEIGHT</v>
      </c>
      <c r="K792" s="34">
        <v>27664.0</v>
      </c>
      <c r="L792" s="35">
        <f>VLOOKUP($A792, 'Hospitalisation Details'!$A:$H, 7, FALSE)</f>
        <v>13126.68</v>
      </c>
      <c r="M792" s="22" t="str">
        <f>VLOOKUP($A792, 'Hospitalisation Details'!$A:$L, 12, FALSE)</f>
        <v>tier - 3</v>
      </c>
      <c r="N792" s="22" t="str">
        <f>VLOOKUP($A792, 'Hospitalisation Details'!$A:$M, 13, FALSE)</f>
        <v>tier - 3</v>
      </c>
      <c r="O792" s="22" t="str">
        <f>VLOOKUP($A792, 'Hospitalisation Details'!$A:$N, 14, FALSE)</f>
        <v>R1011</v>
      </c>
      <c r="P792" s="36">
        <f>VLOOKUP($A792, 'Hospitalisation Details'!$A:$O, 15, FALSE)</f>
        <v>23</v>
      </c>
    </row>
    <row r="793" ht="15.75" customHeight="1">
      <c r="A793" s="33" t="s">
        <v>1585</v>
      </c>
      <c r="B793" s="22" t="str">
        <f>VLOOKUP($A793,'Customer Names'!$A:$D,3, FALSE)</f>
        <v>Forster</v>
      </c>
      <c r="C793" s="22">
        <f>VLOOKUP($A793,'Medical Examinations'!$A:$D, 2, FALSE)</f>
        <v>30.23</v>
      </c>
      <c r="D793" s="22">
        <f>VLOOKUP($A793, 'Medical Examinations'!$A:$D,3, FALSE)</f>
        <v>6.94</v>
      </c>
      <c r="E793" s="22" t="str">
        <f>VLOOKUP($A793, 'Medical Examinations'!$A:$D, 4, FALSE)</f>
        <v>Yes</v>
      </c>
      <c r="F793" s="22" t="str">
        <f>VLOOKUP($A793, 'Medical Examinations'!$A:$J, 5, FALSE)</f>
        <v>No</v>
      </c>
      <c r="G793" s="22" t="str">
        <f>VLOOKUP($A793, 'Medical Examinations'!$A:$I, 6, FALSE)</f>
        <v>Yes</v>
      </c>
      <c r="H793" s="22">
        <f>VLOOKUP($A793,'Medical Examinations'!$A:$L,10, FALSE)</f>
        <v>1</v>
      </c>
      <c r="I793" s="22" t="str">
        <f>VLOOKUP($A793, 'Medical Examinations'!$A:$J, 9, FALSE)</f>
        <v>No</v>
      </c>
      <c r="J793" s="22" t="str">
        <f>VLOOKUP($A793, 'Medical Examinations'!$A:$P, 11, FALSE)</f>
        <v>OBESITY</v>
      </c>
      <c r="K793" s="34">
        <v>31404.0</v>
      </c>
      <c r="L793" s="35">
        <f>VLOOKUP($A793, 'Hospitalisation Details'!$A:$H, 7, FALSE)</f>
        <v>13116.84</v>
      </c>
      <c r="M793" s="22" t="str">
        <f>VLOOKUP($A793, 'Hospitalisation Details'!$A:$L, 12, FALSE)</f>
        <v>tier - 3</v>
      </c>
      <c r="N793" s="22" t="str">
        <f>VLOOKUP($A793, 'Hospitalisation Details'!$A:$M, 13, FALSE)</f>
        <v>tier - 1</v>
      </c>
      <c r="O793" s="22" t="str">
        <f>VLOOKUP($A793, 'Hospitalisation Details'!$A:$N, 14, FALSE)</f>
        <v>R1012</v>
      </c>
      <c r="P793" s="36">
        <f>VLOOKUP($A793, 'Hospitalisation Details'!$A:$O, 15, FALSE)</f>
        <v>59</v>
      </c>
    </row>
    <row r="794" ht="15.75" customHeight="1">
      <c r="A794" s="33" t="s">
        <v>1587</v>
      </c>
      <c r="B794" s="22" t="str">
        <f>VLOOKUP($A794,'Customer Names'!$A:$D,3, FALSE)</f>
        <v>Monaghan</v>
      </c>
      <c r="C794" s="22">
        <f>VLOOKUP($A794,'Medical Examinations'!$A:$D, 2, FALSE)</f>
        <v>51.14</v>
      </c>
      <c r="D794" s="22">
        <f>VLOOKUP($A794, 'Medical Examinations'!$A:$D,3, FALSE)</f>
        <v>4.05</v>
      </c>
      <c r="E794" s="22" t="str">
        <f>VLOOKUP($A794, 'Medical Examinations'!$A:$D, 4, FALSE)</f>
        <v>No</v>
      </c>
      <c r="F794" s="22" t="str">
        <f>VLOOKUP($A794, 'Medical Examinations'!$A:$J, 5, FALSE)</f>
        <v>No</v>
      </c>
      <c r="G794" s="22" t="str">
        <f>VLOOKUP($A794, 'Medical Examinations'!$A:$I, 6, FALSE)</f>
        <v>No</v>
      </c>
      <c r="H794" s="22">
        <f>VLOOKUP($A794,'Medical Examinations'!$A:$L,10, FALSE)</f>
        <v>1</v>
      </c>
      <c r="I794" s="22" t="str">
        <f>VLOOKUP($A794, 'Medical Examinations'!$A:$J, 9, FALSE)</f>
        <v>No</v>
      </c>
      <c r="J794" s="22" t="str">
        <f>VLOOKUP($A794, 'Medical Examinations'!$A:$P, 11, FALSE)</f>
        <v>OBESITY</v>
      </c>
      <c r="K794" s="34">
        <v>30895.0</v>
      </c>
      <c r="L794" s="35">
        <f>VLOOKUP($A794, 'Hospitalisation Details'!$A:$H, 7, FALSE)</f>
        <v>13113.51</v>
      </c>
      <c r="M794" s="22" t="str">
        <f>VLOOKUP($A794, 'Hospitalisation Details'!$A:$L, 12, FALSE)</f>
        <v>tier - 3</v>
      </c>
      <c r="N794" s="22" t="str">
        <f>VLOOKUP($A794, 'Hospitalisation Details'!$A:$M, 13, FALSE)</f>
        <v>tier - 2</v>
      </c>
      <c r="O794" s="22" t="str">
        <f>VLOOKUP($A794, 'Hospitalisation Details'!$A:$N, 14, FALSE)</f>
        <v>R1026</v>
      </c>
      <c r="P794" s="36">
        <f>VLOOKUP($A794, 'Hospitalisation Details'!$A:$O, 15, FALSE)</f>
        <v>30</v>
      </c>
    </row>
    <row r="795" ht="15.75" customHeight="1">
      <c r="A795" s="33" t="s">
        <v>1589</v>
      </c>
      <c r="B795" s="22" t="str">
        <f>VLOOKUP($A795,'Customer Names'!$A:$D,3, FALSE)</f>
        <v>Kawamoto</v>
      </c>
      <c r="C795" s="22">
        <f>VLOOKUP($A795,'Medical Examinations'!$A:$D, 2, FALSE)</f>
        <v>24.32</v>
      </c>
      <c r="D795" s="22">
        <f>VLOOKUP($A795, 'Medical Examinations'!$A:$D,3, FALSE)</f>
        <v>10.22</v>
      </c>
      <c r="E795" s="22" t="str">
        <f>VLOOKUP($A795, 'Medical Examinations'!$A:$D, 4, FALSE)</f>
        <v>No</v>
      </c>
      <c r="F795" s="22" t="str">
        <f>VLOOKUP($A795, 'Medical Examinations'!$A:$J, 5, FALSE)</f>
        <v>No</v>
      </c>
      <c r="G795" s="22" t="str">
        <f>VLOOKUP($A795, 'Medical Examinations'!$A:$I, 6, FALSE)</f>
        <v>No</v>
      </c>
      <c r="H795" s="22">
        <f>VLOOKUP($A795,'Medical Examinations'!$A:$L,10, FALSE)</f>
        <v>0</v>
      </c>
      <c r="I795" s="22" t="str">
        <f>VLOOKUP($A795, 'Medical Examinations'!$A:$J, 9, FALSE)</f>
        <v>No</v>
      </c>
      <c r="J795" s="22" t="str">
        <f>VLOOKUP($A795, 'Medical Examinations'!$A:$P, 11, FALSE)</f>
        <v>NORMAL WEIGHT</v>
      </c>
      <c r="K795" s="34">
        <v>30928.0</v>
      </c>
      <c r="L795" s="35">
        <f>VLOOKUP($A795, 'Hospitalisation Details'!$A:$H, 7, FALSE)</f>
        <v>13112.6</v>
      </c>
      <c r="M795" s="22" t="str">
        <f>VLOOKUP($A795, 'Hospitalisation Details'!$A:$L, 12, FALSE)</f>
        <v>tier - 3</v>
      </c>
      <c r="N795" s="22" t="str">
        <f>VLOOKUP($A795, 'Hospitalisation Details'!$A:$M, 13, FALSE)</f>
        <v>tier - 3</v>
      </c>
      <c r="O795" s="22" t="str">
        <f>VLOOKUP($A795, 'Hospitalisation Details'!$A:$N, 14, FALSE)</f>
        <v>R1012</v>
      </c>
      <c r="P795" s="36">
        <f>VLOOKUP($A795, 'Hospitalisation Details'!$A:$O, 15, FALSE)</f>
        <v>60</v>
      </c>
    </row>
    <row r="796" ht="15.75" customHeight="1">
      <c r="A796" s="33" t="s">
        <v>1591</v>
      </c>
      <c r="B796" s="22" t="str">
        <f>VLOOKUP($A796,'Customer Names'!$A:$D,3, FALSE)</f>
        <v>Dicharry</v>
      </c>
      <c r="C796" s="22">
        <f>VLOOKUP($A796,'Medical Examinations'!$A:$D, 2, FALSE)</f>
        <v>38.06</v>
      </c>
      <c r="D796" s="22">
        <f>VLOOKUP($A796, 'Medical Examinations'!$A:$D,3, FALSE)</f>
        <v>9.24</v>
      </c>
      <c r="E796" s="22" t="str">
        <f>VLOOKUP($A796, 'Medical Examinations'!$A:$D, 4, FALSE)</f>
        <v>No</v>
      </c>
      <c r="F796" s="22" t="str">
        <f>VLOOKUP($A796, 'Medical Examinations'!$A:$J, 5, FALSE)</f>
        <v>No</v>
      </c>
      <c r="G796" s="22" t="str">
        <f>VLOOKUP($A796, 'Medical Examinations'!$A:$I, 6, FALSE)</f>
        <v>No</v>
      </c>
      <c r="H796" s="22">
        <f>VLOOKUP($A796,'Medical Examinations'!$A:$L,10, FALSE)</f>
        <v>0</v>
      </c>
      <c r="I796" s="22" t="str">
        <f>VLOOKUP($A796, 'Medical Examinations'!$A:$J, 9, FALSE)</f>
        <v>No</v>
      </c>
      <c r="J796" s="22" t="str">
        <f>VLOOKUP($A796, 'Medical Examinations'!$A:$P, 11, FALSE)</f>
        <v>OBESITY</v>
      </c>
      <c r="K796" s="34">
        <v>32818.0</v>
      </c>
      <c r="L796" s="35">
        <f>VLOOKUP($A796, 'Hospitalisation Details'!$A:$H, 7, FALSE)</f>
        <v>13110.79</v>
      </c>
      <c r="M796" s="22" t="str">
        <f>VLOOKUP($A796, 'Hospitalisation Details'!$A:$L, 12, FALSE)</f>
        <v>tier - 3</v>
      </c>
      <c r="N796" s="22" t="str">
        <f>VLOOKUP($A796, 'Hospitalisation Details'!$A:$M, 13, FALSE)</f>
        <v>tier - 2</v>
      </c>
      <c r="O796" s="22" t="str">
        <f>VLOOKUP($A796, 'Hospitalisation Details'!$A:$N, 14, FALSE)</f>
        <v>R1011</v>
      </c>
      <c r="P796" s="36">
        <f>VLOOKUP($A796, 'Hospitalisation Details'!$A:$O, 15, FALSE)</f>
        <v>51</v>
      </c>
    </row>
    <row r="797" ht="15.75" customHeight="1">
      <c r="A797" s="33" t="s">
        <v>1593</v>
      </c>
      <c r="B797" s="22" t="str">
        <f>VLOOKUP($A797,'Customer Names'!$A:$D,3, FALSE)</f>
        <v>Berry</v>
      </c>
      <c r="C797" s="22">
        <f>VLOOKUP($A797,'Medical Examinations'!$A:$D, 2, FALSE)</f>
        <v>37.7</v>
      </c>
      <c r="D797" s="22">
        <f>VLOOKUP($A797, 'Medical Examinations'!$A:$D,3, FALSE)</f>
        <v>8.6</v>
      </c>
      <c r="E797" s="22" t="str">
        <f>VLOOKUP($A797, 'Medical Examinations'!$A:$D, 4, FALSE)</f>
        <v>No</v>
      </c>
      <c r="F797" s="22" t="str">
        <f>VLOOKUP($A797, 'Medical Examinations'!$A:$J, 5, FALSE)</f>
        <v>No</v>
      </c>
      <c r="G797" s="22" t="str">
        <f>VLOOKUP($A797, 'Medical Examinations'!$A:$I, 6, FALSE)</f>
        <v>No</v>
      </c>
      <c r="H797" s="22">
        <f>VLOOKUP($A797,'Medical Examinations'!$A:$L,10, FALSE)</f>
        <v>0</v>
      </c>
      <c r="I797" s="22" t="str">
        <f>VLOOKUP($A797, 'Medical Examinations'!$A:$J, 9, FALSE)</f>
        <v>No</v>
      </c>
      <c r="J797" s="22" t="str">
        <f>VLOOKUP($A797, 'Medical Examinations'!$A:$P, 11, FALSE)</f>
        <v>OBESITY</v>
      </c>
      <c r="K797" s="34">
        <v>32363.0</v>
      </c>
      <c r="L797" s="35">
        <f>VLOOKUP($A797, 'Hospitalisation Details'!$A:$H, 7, FALSE)</f>
        <v>13101.74</v>
      </c>
      <c r="M797" s="22" t="str">
        <f>VLOOKUP($A797, 'Hospitalisation Details'!$A:$L, 12, FALSE)</f>
        <v>tier - 3</v>
      </c>
      <c r="N797" s="22" t="str">
        <f>VLOOKUP($A797, 'Hospitalisation Details'!$A:$M, 13, FALSE)</f>
        <v>tier - 2</v>
      </c>
      <c r="O797" s="22" t="str">
        <f>VLOOKUP($A797, 'Hospitalisation Details'!$A:$N, 14, FALSE)</f>
        <v>R1026</v>
      </c>
      <c r="P797" s="36">
        <f>VLOOKUP($A797, 'Hospitalisation Details'!$A:$O, 15, FALSE)</f>
        <v>44</v>
      </c>
    </row>
    <row r="798" ht="15.75" customHeight="1">
      <c r="A798" s="33" t="s">
        <v>1595</v>
      </c>
      <c r="B798" s="22" t="str">
        <f>VLOOKUP($A798,'Customer Names'!$A:$D,3, FALSE)</f>
        <v>Porfirio</v>
      </c>
      <c r="C798" s="22">
        <f>VLOOKUP($A798,'Medical Examinations'!$A:$D, 2, FALSE)</f>
        <v>44</v>
      </c>
      <c r="D798" s="22">
        <f>VLOOKUP($A798, 'Medical Examinations'!$A:$D,3, FALSE)</f>
        <v>9.32</v>
      </c>
      <c r="E798" s="22" t="str">
        <f>VLOOKUP($A798, 'Medical Examinations'!$A:$D, 4, FALSE)</f>
        <v>Yes</v>
      </c>
      <c r="F798" s="22" t="str">
        <f>VLOOKUP($A798, 'Medical Examinations'!$A:$J, 5, FALSE)</f>
        <v>No</v>
      </c>
      <c r="G798" s="22" t="str">
        <f>VLOOKUP($A798, 'Medical Examinations'!$A:$I, 6, FALSE)</f>
        <v>No</v>
      </c>
      <c r="H798" s="22">
        <f>VLOOKUP($A798,'Medical Examinations'!$A:$L,10, FALSE)</f>
        <v>2</v>
      </c>
      <c r="I798" s="22" t="str">
        <f>VLOOKUP($A798, 'Medical Examinations'!$A:$J, 9, FALSE)</f>
        <v>No</v>
      </c>
      <c r="J798" s="22" t="str">
        <f>VLOOKUP($A798, 'Medical Examinations'!$A:$P, 11, FALSE)</f>
        <v>OBESITY</v>
      </c>
      <c r="K798" s="34">
        <v>35002.0</v>
      </c>
      <c r="L798" s="35">
        <f>VLOOKUP($A798, 'Hospitalisation Details'!$A:$H, 7, FALSE)</f>
        <v>13063.88</v>
      </c>
      <c r="M798" s="22" t="str">
        <f>VLOOKUP($A798, 'Hospitalisation Details'!$A:$L, 12, FALSE)</f>
        <v>tier - 3</v>
      </c>
      <c r="N798" s="22" t="str">
        <f>VLOOKUP($A798, 'Hospitalisation Details'!$A:$M, 13, FALSE)</f>
        <v>tier - 2</v>
      </c>
      <c r="O798" s="22" t="str">
        <f>VLOOKUP($A798, 'Hospitalisation Details'!$A:$N, 14, FALSE)</f>
        <v>R1011</v>
      </c>
      <c r="P798" s="36">
        <f>VLOOKUP($A798, 'Hospitalisation Details'!$A:$O, 15, FALSE)</f>
        <v>61</v>
      </c>
    </row>
    <row r="799" ht="15.75" customHeight="1">
      <c r="A799" s="33" t="s">
        <v>1597</v>
      </c>
      <c r="B799" s="22" t="str">
        <f>VLOOKUP($A799,'Customer Names'!$A:$D,3, FALSE)</f>
        <v>Thind</v>
      </c>
      <c r="C799" s="22">
        <f>VLOOKUP($A799,'Medical Examinations'!$A:$D, 2, FALSE)</f>
        <v>41.45</v>
      </c>
      <c r="D799" s="22">
        <f>VLOOKUP($A799, 'Medical Examinations'!$A:$D,3, FALSE)</f>
        <v>6.12</v>
      </c>
      <c r="E799" s="22" t="str">
        <f>VLOOKUP($A799, 'Medical Examinations'!$A:$D, 4, FALSE)</f>
        <v>Yes</v>
      </c>
      <c r="F799" s="22" t="str">
        <f>VLOOKUP($A799, 'Medical Examinations'!$A:$J, 5, FALSE)</f>
        <v>No</v>
      </c>
      <c r="G799" s="22" t="str">
        <f>VLOOKUP($A799, 'Medical Examinations'!$A:$I, 6, FALSE)</f>
        <v>No</v>
      </c>
      <c r="H799" s="22">
        <f>VLOOKUP($A799,'Medical Examinations'!$A:$L,10, FALSE)</f>
        <v>0</v>
      </c>
      <c r="I799" s="22" t="str">
        <f>VLOOKUP($A799, 'Medical Examinations'!$A:$J, 9, FALSE)</f>
        <v>No</v>
      </c>
      <c r="J799" s="22" t="str">
        <f>VLOOKUP($A799, 'Medical Examinations'!$A:$P, 11, FALSE)</f>
        <v>OBESITY</v>
      </c>
      <c r="K799" s="34">
        <v>30834.0</v>
      </c>
      <c r="L799" s="35">
        <f>VLOOKUP($A799, 'Hospitalisation Details'!$A:$H, 7, FALSE)</f>
        <v>13051.22</v>
      </c>
      <c r="M799" s="22" t="str">
        <f>VLOOKUP($A799, 'Hospitalisation Details'!$A:$L, 12, FALSE)</f>
        <v>tier - 3</v>
      </c>
      <c r="N799" s="22" t="str">
        <f>VLOOKUP($A799, 'Hospitalisation Details'!$A:$M, 13, FALSE)</f>
        <v>tier - 1</v>
      </c>
      <c r="O799" s="22" t="str">
        <f>VLOOKUP($A799, 'Hospitalisation Details'!$A:$N, 14, FALSE)</f>
        <v>R1026</v>
      </c>
      <c r="P799" s="36">
        <f>VLOOKUP($A799, 'Hospitalisation Details'!$A:$O, 15, FALSE)</f>
        <v>37</v>
      </c>
    </row>
    <row r="800" ht="15.75" customHeight="1">
      <c r="A800" s="33" t="s">
        <v>1599</v>
      </c>
      <c r="B800" s="22" t="str">
        <f>VLOOKUP($A800,'Customer Names'!$A:$D,3, FALSE)</f>
        <v>Ryan</v>
      </c>
      <c r="C800" s="22">
        <f>VLOOKUP($A800,'Medical Examinations'!$A:$D, 2, FALSE)</f>
        <v>25.365</v>
      </c>
      <c r="D800" s="22">
        <f>VLOOKUP($A800, 'Medical Examinations'!$A:$D,3, FALSE)</f>
        <v>9.19</v>
      </c>
      <c r="E800" s="22" t="str">
        <f>VLOOKUP($A800, 'Medical Examinations'!$A:$D, 4, FALSE)</f>
        <v>Yes</v>
      </c>
      <c r="F800" s="22" t="str">
        <f>VLOOKUP($A800, 'Medical Examinations'!$A:$J, 5, FALSE)</f>
        <v>No</v>
      </c>
      <c r="G800" s="22" t="str">
        <f>VLOOKUP($A800, 'Medical Examinations'!$A:$I, 6, FALSE)</f>
        <v>No</v>
      </c>
      <c r="H800" s="22">
        <f>VLOOKUP($A800,'Medical Examinations'!$A:$L,10, FALSE)</f>
        <v>0</v>
      </c>
      <c r="I800" s="22" t="str">
        <f>VLOOKUP($A800, 'Medical Examinations'!$A:$J, 9, FALSE)</f>
        <v>No</v>
      </c>
      <c r="J800" s="22" t="str">
        <f>VLOOKUP($A800, 'Medical Examinations'!$A:$P, 11, FALSE)</f>
        <v>OVERWEIGHT</v>
      </c>
      <c r="K800" s="34">
        <v>31615.0</v>
      </c>
      <c r="L800" s="35">
        <f>VLOOKUP($A800, 'Hospitalisation Details'!$A:$H, 7, FALSE)</f>
        <v>13047.33</v>
      </c>
      <c r="M800" s="22" t="str">
        <f>VLOOKUP($A800, 'Hospitalisation Details'!$A:$L, 12, FALSE)</f>
        <v>tier - 3</v>
      </c>
      <c r="N800" s="22" t="str">
        <f>VLOOKUP($A800, 'Hospitalisation Details'!$A:$M, 13, FALSE)</f>
        <v>tier - 3</v>
      </c>
      <c r="O800" s="22" t="str">
        <f>VLOOKUP($A800, 'Hospitalisation Details'!$A:$N, 14, FALSE)</f>
        <v>R1024</v>
      </c>
      <c r="P800" s="36">
        <f>VLOOKUP($A800, 'Hospitalisation Details'!$A:$O, 15, FALSE)</f>
        <v>55</v>
      </c>
    </row>
    <row r="801" ht="15.75" customHeight="1">
      <c r="A801" s="33" t="s">
        <v>1601</v>
      </c>
      <c r="B801" s="22" t="str">
        <f>VLOOKUP($A801,'Customer Names'!$A:$D,3, FALSE)</f>
        <v>Horn</v>
      </c>
      <c r="C801" s="22">
        <f>VLOOKUP($A801,'Medical Examinations'!$A:$D, 2, FALSE)</f>
        <v>34.56</v>
      </c>
      <c r="D801" s="22">
        <f>VLOOKUP($A801, 'Medical Examinations'!$A:$D,3, FALSE)</f>
        <v>5.84</v>
      </c>
      <c r="E801" s="22" t="str">
        <f>VLOOKUP($A801, 'Medical Examinations'!$A:$D, 4, FALSE)</f>
        <v>Yes</v>
      </c>
      <c r="F801" s="22" t="str">
        <f>VLOOKUP($A801, 'Medical Examinations'!$A:$J, 5, FALSE)</f>
        <v>No</v>
      </c>
      <c r="G801" s="22" t="str">
        <f>VLOOKUP($A801, 'Medical Examinations'!$A:$I, 6, FALSE)</f>
        <v>Yes</v>
      </c>
      <c r="H801" s="22">
        <f>VLOOKUP($A801,'Medical Examinations'!$A:$L,10, FALSE)</f>
        <v>1</v>
      </c>
      <c r="I801" s="22" t="str">
        <f>VLOOKUP($A801, 'Medical Examinations'!$A:$J, 9, FALSE)</f>
        <v>No</v>
      </c>
      <c r="J801" s="22" t="str">
        <f>VLOOKUP($A801, 'Medical Examinations'!$A:$P, 11, FALSE)</f>
        <v>OBESITY</v>
      </c>
      <c r="K801" s="34">
        <v>32830.0</v>
      </c>
      <c r="L801" s="35">
        <f>VLOOKUP($A801, 'Hospitalisation Details'!$A:$H, 7, FALSE)</f>
        <v>13044.41</v>
      </c>
      <c r="M801" s="22" t="str">
        <f>VLOOKUP($A801, 'Hospitalisation Details'!$A:$L, 12, FALSE)</f>
        <v>tier - 3</v>
      </c>
      <c r="N801" s="22" t="str">
        <f>VLOOKUP($A801, 'Hospitalisation Details'!$A:$M, 13, FALSE)</f>
        <v>tier - 1</v>
      </c>
      <c r="O801" s="22" t="str">
        <f>VLOOKUP($A801, 'Hospitalisation Details'!$A:$N, 14, FALSE)</f>
        <v>R1012</v>
      </c>
      <c r="P801" s="36">
        <f>VLOOKUP($A801, 'Hospitalisation Details'!$A:$O, 15, FALSE)</f>
        <v>53</v>
      </c>
    </row>
    <row r="802" ht="15.75" customHeight="1">
      <c r="A802" s="33" t="s">
        <v>1603</v>
      </c>
      <c r="B802" s="22" t="str">
        <f>VLOOKUP($A802,'Customer Names'!$A:$D,3, FALSE)</f>
        <v>Sabadosa</v>
      </c>
      <c r="C802" s="22">
        <f>VLOOKUP($A802,'Medical Examinations'!$A:$D, 2, FALSE)</f>
        <v>28.2</v>
      </c>
      <c r="D802" s="22">
        <f>VLOOKUP($A802, 'Medical Examinations'!$A:$D,3, FALSE)</f>
        <v>7.19</v>
      </c>
      <c r="E802" s="22" t="str">
        <f>VLOOKUP($A802, 'Medical Examinations'!$A:$D, 4, FALSE)</f>
        <v>Yes</v>
      </c>
      <c r="F802" s="22" t="str">
        <f>VLOOKUP($A802, 'Medical Examinations'!$A:$J, 5, FALSE)</f>
        <v>No</v>
      </c>
      <c r="G802" s="22" t="str">
        <f>VLOOKUP($A802, 'Medical Examinations'!$A:$I, 6, FALSE)</f>
        <v>No</v>
      </c>
      <c r="H802" s="22">
        <f>VLOOKUP($A802,'Medical Examinations'!$A:$L,10, FALSE)</f>
        <v>2</v>
      </c>
      <c r="I802" s="22" t="str">
        <f>VLOOKUP($A802, 'Medical Examinations'!$A:$J, 9, FALSE)</f>
        <v>No</v>
      </c>
      <c r="J802" s="22" t="str">
        <f>VLOOKUP($A802, 'Medical Examinations'!$A:$P, 11, FALSE)</f>
        <v>OVERWEIGHT</v>
      </c>
      <c r="K802" s="34">
        <v>31564.0</v>
      </c>
      <c r="L802" s="35">
        <f>VLOOKUP($A802, 'Hospitalisation Details'!$A:$H, 7, FALSE)</f>
        <v>13041.92</v>
      </c>
      <c r="M802" s="22" t="str">
        <f>VLOOKUP($A802, 'Hospitalisation Details'!$A:$L, 12, FALSE)</f>
        <v>tier - 3</v>
      </c>
      <c r="N802" s="22" t="str">
        <f>VLOOKUP($A802, 'Hospitalisation Details'!$A:$M, 13, FALSE)</f>
        <v>tier - 1</v>
      </c>
      <c r="O802" s="22" t="str">
        <f>VLOOKUP($A802, 'Hospitalisation Details'!$A:$N, 14, FALSE)</f>
        <v>R1011</v>
      </c>
      <c r="P802" s="36">
        <f>VLOOKUP($A802, 'Hospitalisation Details'!$A:$O, 15, FALSE)</f>
        <v>61</v>
      </c>
    </row>
    <row r="803" ht="15.75" customHeight="1">
      <c r="A803" s="33" t="s">
        <v>1605</v>
      </c>
      <c r="B803" s="22" t="str">
        <f>VLOOKUP($A803,'Customer Names'!$A:$D,3, FALSE)</f>
        <v>Casady</v>
      </c>
      <c r="C803" s="22">
        <f>VLOOKUP($A803,'Medical Examinations'!$A:$D, 2, FALSE)</f>
        <v>30.43</v>
      </c>
      <c r="D803" s="22">
        <f>VLOOKUP($A803, 'Medical Examinations'!$A:$D,3, FALSE)</f>
        <v>9.39</v>
      </c>
      <c r="E803" s="22" t="str">
        <f>VLOOKUP($A803, 'Medical Examinations'!$A:$D, 4, FALSE)</f>
        <v>No</v>
      </c>
      <c r="F803" s="22" t="str">
        <f>VLOOKUP($A803, 'Medical Examinations'!$A:$J, 5, FALSE)</f>
        <v>No</v>
      </c>
      <c r="G803" s="22" t="str">
        <f>VLOOKUP($A803, 'Medical Examinations'!$A:$I, 6, FALSE)</f>
        <v>No</v>
      </c>
      <c r="H803" s="22">
        <f>VLOOKUP($A803,'Medical Examinations'!$A:$L,10, FALSE)</f>
        <v>0</v>
      </c>
      <c r="I803" s="22" t="str">
        <f>VLOOKUP($A803, 'Medical Examinations'!$A:$J, 9, FALSE)</f>
        <v>No</v>
      </c>
      <c r="J803" s="22" t="str">
        <f>VLOOKUP($A803, 'Medical Examinations'!$A:$P, 11, FALSE)</f>
        <v>OBESITY</v>
      </c>
      <c r="K803" s="34">
        <v>34675.0</v>
      </c>
      <c r="L803" s="35">
        <f>VLOOKUP($A803, 'Hospitalisation Details'!$A:$H, 7, FALSE)</f>
        <v>13023.93</v>
      </c>
      <c r="M803" s="22" t="str">
        <f>VLOOKUP($A803, 'Hospitalisation Details'!$A:$L, 12, FALSE)</f>
        <v>tier - 3</v>
      </c>
      <c r="N803" s="22" t="str">
        <f>VLOOKUP($A803, 'Hospitalisation Details'!$A:$M, 13, FALSE)</f>
        <v>tier - 2</v>
      </c>
      <c r="O803" s="22" t="str">
        <f>VLOOKUP($A803, 'Hospitalisation Details'!$A:$N, 14, FALSE)</f>
        <v>R1025</v>
      </c>
      <c r="P803" s="36">
        <f>VLOOKUP($A803, 'Hospitalisation Details'!$A:$O, 15, FALSE)</f>
        <v>57</v>
      </c>
    </row>
    <row r="804" ht="15.75" customHeight="1">
      <c r="A804" s="33" t="s">
        <v>1607</v>
      </c>
      <c r="B804" s="22" t="str">
        <f>VLOOKUP($A804,'Customer Names'!$A:$D,3, FALSE)</f>
        <v>Phillips</v>
      </c>
      <c r="C804" s="22">
        <f>VLOOKUP($A804,'Medical Examinations'!$A:$D, 2, FALSE)</f>
        <v>32.395</v>
      </c>
      <c r="D804" s="22">
        <f>VLOOKUP($A804, 'Medical Examinations'!$A:$D,3, FALSE)</f>
        <v>4.27</v>
      </c>
      <c r="E804" s="22" t="str">
        <f>VLOOKUP($A804, 'Medical Examinations'!$A:$D, 4, FALSE)</f>
        <v>Yes</v>
      </c>
      <c r="F804" s="22" t="str">
        <f>VLOOKUP($A804, 'Medical Examinations'!$A:$J, 5, FALSE)</f>
        <v>No</v>
      </c>
      <c r="G804" s="22" t="str">
        <f>VLOOKUP($A804, 'Medical Examinations'!$A:$I, 6, FALSE)</f>
        <v>No</v>
      </c>
      <c r="H804" s="22">
        <f>VLOOKUP($A804,'Medical Examinations'!$A:$L,10, FALSE)</f>
        <v>1</v>
      </c>
      <c r="I804" s="22" t="str">
        <f>VLOOKUP($A804, 'Medical Examinations'!$A:$J, 9, FALSE)</f>
        <v>No</v>
      </c>
      <c r="J804" s="22" t="str">
        <f>VLOOKUP($A804, 'Medical Examinations'!$A:$P, 11, FALSE)</f>
        <v>OBESITY</v>
      </c>
      <c r="K804" s="34">
        <v>32819.0</v>
      </c>
      <c r="L804" s="35">
        <f>VLOOKUP($A804, 'Hospitalisation Details'!$A:$H, 7, FALSE)</f>
        <v>13019.16</v>
      </c>
      <c r="M804" s="22" t="str">
        <f>VLOOKUP($A804, 'Hospitalisation Details'!$A:$L, 12, FALSE)</f>
        <v>tier - 3</v>
      </c>
      <c r="N804" s="22" t="str">
        <f>VLOOKUP($A804, 'Hospitalisation Details'!$A:$M, 13, FALSE)</f>
        <v>tier - 1</v>
      </c>
      <c r="O804" s="22" t="str">
        <f>VLOOKUP($A804, 'Hospitalisation Details'!$A:$N, 14, FALSE)</f>
        <v>R1024</v>
      </c>
      <c r="P804" s="36">
        <f>VLOOKUP($A804, 'Hospitalisation Details'!$A:$O, 15, FALSE)</f>
        <v>58</v>
      </c>
    </row>
    <row r="805" ht="15.75" customHeight="1">
      <c r="A805" s="33" t="s">
        <v>1609</v>
      </c>
      <c r="B805" s="22" t="str">
        <f>VLOOKUP($A805,'Customer Names'!$A:$D,3, FALSE)</f>
        <v>Ahokas</v>
      </c>
      <c r="C805" s="22">
        <f>VLOOKUP($A805,'Medical Examinations'!$A:$D, 2, FALSE)</f>
        <v>24.035</v>
      </c>
      <c r="D805" s="22">
        <f>VLOOKUP($A805, 'Medical Examinations'!$A:$D,3, FALSE)</f>
        <v>11.71</v>
      </c>
      <c r="E805" s="22" t="str">
        <f>VLOOKUP($A805, 'Medical Examinations'!$A:$D, 4, FALSE)</f>
        <v>No</v>
      </c>
      <c r="F805" s="22" t="str">
        <f>VLOOKUP($A805, 'Medical Examinations'!$A:$J, 5, FALSE)</f>
        <v>No</v>
      </c>
      <c r="G805" s="22" t="str">
        <f>VLOOKUP($A805, 'Medical Examinations'!$A:$I, 6, FALSE)</f>
        <v>No</v>
      </c>
      <c r="H805" s="22">
        <f>VLOOKUP($A805,'Medical Examinations'!$A:$L,10, FALSE)</f>
        <v>0</v>
      </c>
      <c r="I805" s="22" t="str">
        <f>VLOOKUP($A805, 'Medical Examinations'!$A:$J, 9, FALSE)</f>
        <v>No</v>
      </c>
      <c r="J805" s="22" t="str">
        <f>VLOOKUP($A805, 'Medical Examinations'!$A:$P, 11, FALSE)</f>
        <v>NORMAL WEIGHT</v>
      </c>
      <c r="K805" s="34">
        <v>26648.0</v>
      </c>
      <c r="L805" s="35">
        <f>VLOOKUP($A805, 'Hospitalisation Details'!$A:$H, 7, FALSE)</f>
        <v>13012.21</v>
      </c>
      <c r="M805" s="22" t="str">
        <f>VLOOKUP($A805, 'Hospitalisation Details'!$A:$L, 12, FALSE)</f>
        <v>tier - 3</v>
      </c>
      <c r="N805" s="22" t="str">
        <f>VLOOKUP($A805, 'Hospitalisation Details'!$A:$M, 13, FALSE)</f>
        <v>tier - 1</v>
      </c>
      <c r="O805" s="22" t="str">
        <f>VLOOKUP($A805, 'Hospitalisation Details'!$A:$N, 14, FALSE)</f>
        <v>R1012</v>
      </c>
      <c r="P805" s="36">
        <f>VLOOKUP($A805, 'Hospitalisation Details'!$A:$O, 15, FALSE)</f>
        <v>60</v>
      </c>
    </row>
    <row r="806" ht="15.75" customHeight="1">
      <c r="A806" s="33" t="s">
        <v>1611</v>
      </c>
      <c r="B806" s="22" t="str">
        <f>VLOOKUP($A806,'Customer Names'!$A:$D,3, FALSE)</f>
        <v>Hebert</v>
      </c>
      <c r="C806" s="22">
        <f>VLOOKUP($A806,'Medical Examinations'!$A:$D, 2, FALSE)</f>
        <v>37.12</v>
      </c>
      <c r="D806" s="22">
        <f>VLOOKUP($A806, 'Medical Examinations'!$A:$D,3, FALSE)</f>
        <v>5.29</v>
      </c>
      <c r="E806" s="22" t="str">
        <f>VLOOKUP($A806, 'Medical Examinations'!$A:$D, 4, FALSE)</f>
        <v>No</v>
      </c>
      <c r="F806" s="22" t="str">
        <f>VLOOKUP($A806, 'Medical Examinations'!$A:$J, 5, FALSE)</f>
        <v>No</v>
      </c>
      <c r="G806" s="22" t="str">
        <f>VLOOKUP($A806, 'Medical Examinations'!$A:$I, 6, FALSE)</f>
        <v>No</v>
      </c>
      <c r="H806" s="22">
        <f>VLOOKUP($A806,'Medical Examinations'!$A:$L,10, FALSE)</f>
        <v>2</v>
      </c>
      <c r="I806" s="22" t="str">
        <f>VLOOKUP($A806, 'Medical Examinations'!$A:$J, 9, FALSE)</f>
        <v>No</v>
      </c>
      <c r="J806" s="22" t="str">
        <f>VLOOKUP($A806, 'Medical Examinations'!$A:$P, 11, FALSE)</f>
        <v>OBESITY</v>
      </c>
      <c r="K806" s="34">
        <v>33478.0</v>
      </c>
      <c r="L806" s="35">
        <f>VLOOKUP($A806, 'Hospitalisation Details'!$A:$H, 7, FALSE)</f>
        <v>13010.86</v>
      </c>
      <c r="M806" s="22" t="str">
        <f>VLOOKUP($A806, 'Hospitalisation Details'!$A:$L, 12, FALSE)</f>
        <v>tier - 3</v>
      </c>
      <c r="N806" s="22" t="str">
        <f>VLOOKUP($A806, 'Hospitalisation Details'!$A:$M, 13, FALSE)</f>
        <v>tier - 2</v>
      </c>
      <c r="O806" s="22" t="str">
        <f>VLOOKUP($A806, 'Hospitalisation Details'!$A:$N, 14, FALSE)</f>
        <v>R1012</v>
      </c>
      <c r="P806" s="36">
        <f>VLOOKUP($A806, 'Hospitalisation Details'!$A:$O, 15, FALSE)</f>
        <v>50</v>
      </c>
    </row>
    <row r="807" ht="15.75" customHeight="1">
      <c r="A807" s="33" t="s">
        <v>1613</v>
      </c>
      <c r="B807" s="22" t="str">
        <f>VLOOKUP($A807,'Customer Names'!$A:$D,3, FALSE)</f>
        <v>Fair</v>
      </c>
      <c r="C807" s="22">
        <f>VLOOKUP($A807,'Medical Examinations'!$A:$D, 2, FALSE)</f>
        <v>34.84</v>
      </c>
      <c r="D807" s="22">
        <f>VLOOKUP($A807, 'Medical Examinations'!$A:$D,3, FALSE)</f>
        <v>6</v>
      </c>
      <c r="E807" s="22" t="str">
        <f>VLOOKUP($A807, 'Medical Examinations'!$A:$D, 4, FALSE)</f>
        <v>Yes</v>
      </c>
      <c r="F807" s="22" t="str">
        <f>VLOOKUP($A807, 'Medical Examinations'!$A:$J, 5, FALSE)</f>
        <v>No</v>
      </c>
      <c r="G807" s="22" t="str">
        <f>VLOOKUP($A807, 'Medical Examinations'!$A:$I, 6, FALSE)</f>
        <v>Yes</v>
      </c>
      <c r="H807" s="22">
        <f>VLOOKUP($A807,'Medical Examinations'!$A:$L,10, FALSE)</f>
        <v>1</v>
      </c>
      <c r="I807" s="22" t="str">
        <f>VLOOKUP($A807, 'Medical Examinations'!$A:$J, 9, FALSE)</f>
        <v>No</v>
      </c>
      <c r="J807" s="22" t="str">
        <f>VLOOKUP($A807, 'Medical Examinations'!$A:$P, 11, FALSE)</f>
        <v>OBESITY</v>
      </c>
      <c r="K807" s="34">
        <v>33773.0</v>
      </c>
      <c r="L807" s="35">
        <f>VLOOKUP($A807, 'Hospitalisation Details'!$A:$H, 7, FALSE)</f>
        <v>13008.07</v>
      </c>
      <c r="M807" s="22" t="str">
        <f>VLOOKUP($A807, 'Hospitalisation Details'!$A:$L, 12, FALSE)</f>
        <v>tier - 3</v>
      </c>
      <c r="N807" s="22" t="str">
        <f>VLOOKUP($A807, 'Hospitalisation Details'!$A:$M, 13, FALSE)</f>
        <v>tier - 3</v>
      </c>
      <c r="O807" s="22" t="str">
        <f>VLOOKUP($A807, 'Hospitalisation Details'!$A:$N, 14, FALSE)</f>
        <v>R1012</v>
      </c>
      <c r="P807" s="36">
        <f>VLOOKUP($A807, 'Hospitalisation Details'!$A:$O, 15, FALSE)</f>
        <v>53</v>
      </c>
    </row>
    <row r="808" ht="15.75" customHeight="1">
      <c r="A808" s="33" t="s">
        <v>1615</v>
      </c>
      <c r="B808" s="22" t="str">
        <f>VLOOKUP($A808,'Customer Names'!$A:$D,3, FALSE)</f>
        <v>Swenson</v>
      </c>
      <c r="C808" s="22">
        <f>VLOOKUP($A808,'Medical Examinations'!$A:$D, 2, FALSE)</f>
        <v>29.53</v>
      </c>
      <c r="D808" s="22">
        <f>VLOOKUP($A808, 'Medical Examinations'!$A:$D,3, FALSE)</f>
        <v>10.64</v>
      </c>
      <c r="E808" s="22" t="str">
        <f>VLOOKUP($A808, 'Medical Examinations'!$A:$D, 4, FALSE)</f>
        <v>No</v>
      </c>
      <c r="F808" s="22" t="str">
        <f>VLOOKUP($A808, 'Medical Examinations'!$A:$J, 5, FALSE)</f>
        <v>No</v>
      </c>
      <c r="G808" s="22" t="str">
        <f>VLOOKUP($A808, 'Medical Examinations'!$A:$I, 6, FALSE)</f>
        <v>No</v>
      </c>
      <c r="H808" s="22">
        <f>VLOOKUP($A808,'Medical Examinations'!$A:$L,10, FALSE)</f>
        <v>0</v>
      </c>
      <c r="I808" s="22" t="str">
        <f>VLOOKUP($A808, 'Medical Examinations'!$A:$J, 9, FALSE)</f>
        <v>No</v>
      </c>
      <c r="J808" s="22" t="str">
        <f>VLOOKUP($A808, 'Medical Examinations'!$A:$P, 11, FALSE)</f>
        <v>OVERWEIGHT</v>
      </c>
      <c r="K808" s="34">
        <v>27274.0</v>
      </c>
      <c r="L808" s="35">
        <f>VLOOKUP($A808, 'Hospitalisation Details'!$A:$H, 7, FALSE)</f>
        <v>13004.95</v>
      </c>
      <c r="M808" s="22" t="str">
        <f>VLOOKUP($A808, 'Hospitalisation Details'!$A:$L, 12, FALSE)</f>
        <v>tier - 3</v>
      </c>
      <c r="N808" s="22" t="str">
        <f>VLOOKUP($A808, 'Hospitalisation Details'!$A:$M, 13, FALSE)</f>
        <v>tier - 1</v>
      </c>
      <c r="O808" s="22" t="str">
        <f>VLOOKUP($A808, 'Hospitalisation Details'!$A:$N, 14, FALSE)</f>
        <v>R1012</v>
      </c>
      <c r="P808" s="36">
        <f>VLOOKUP($A808, 'Hospitalisation Details'!$A:$O, 15, FALSE)</f>
        <v>60</v>
      </c>
    </row>
    <row r="809" ht="15.75" customHeight="1">
      <c r="A809" s="33" t="s">
        <v>1617</v>
      </c>
      <c r="B809" s="22" t="str">
        <f>VLOOKUP($A809,'Customer Names'!$A:$D,3, FALSE)</f>
        <v>Revenis</v>
      </c>
      <c r="C809" s="22">
        <f>VLOOKUP($A809,'Medical Examinations'!$A:$D, 2, FALSE)</f>
        <v>42.51</v>
      </c>
      <c r="D809" s="22">
        <f>VLOOKUP($A809, 'Medical Examinations'!$A:$D,3, FALSE)</f>
        <v>8.21</v>
      </c>
      <c r="E809" s="22" t="str">
        <f>VLOOKUP($A809, 'Medical Examinations'!$A:$D, 4, FALSE)</f>
        <v>Yes</v>
      </c>
      <c r="F809" s="22" t="str">
        <f>VLOOKUP($A809, 'Medical Examinations'!$A:$J, 5, FALSE)</f>
        <v>No</v>
      </c>
      <c r="G809" s="22" t="str">
        <f>VLOOKUP($A809, 'Medical Examinations'!$A:$I, 6, FALSE)</f>
        <v>No</v>
      </c>
      <c r="H809" s="22">
        <f>VLOOKUP($A809,'Medical Examinations'!$A:$L,10, FALSE)</f>
        <v>0</v>
      </c>
      <c r="I809" s="22" t="str">
        <f>VLOOKUP($A809, 'Medical Examinations'!$A:$J, 9, FALSE)</f>
        <v>No</v>
      </c>
      <c r="J809" s="22" t="str">
        <f>VLOOKUP($A809, 'Medical Examinations'!$A:$P, 11, FALSE)</f>
        <v>OBESITY</v>
      </c>
      <c r="K809" s="34">
        <v>32669.0</v>
      </c>
      <c r="L809" s="35">
        <f>VLOOKUP($A809, 'Hospitalisation Details'!$A:$H, 7, FALSE)</f>
        <v>13002.91</v>
      </c>
      <c r="M809" s="22" t="str">
        <f>VLOOKUP($A809, 'Hospitalisation Details'!$A:$L, 12, FALSE)</f>
        <v>tier - 3</v>
      </c>
      <c r="N809" s="22" t="str">
        <f>VLOOKUP($A809, 'Hospitalisation Details'!$A:$M, 13, FALSE)</f>
        <v>tier - 1</v>
      </c>
      <c r="O809" s="22" t="str">
        <f>VLOOKUP($A809, 'Hospitalisation Details'!$A:$N, 14, FALSE)</f>
        <v>R1012</v>
      </c>
      <c r="P809" s="36">
        <f>VLOOKUP($A809, 'Hospitalisation Details'!$A:$O, 15, FALSE)</f>
        <v>41</v>
      </c>
    </row>
    <row r="810" ht="15.75" customHeight="1">
      <c r="A810" s="33" t="s">
        <v>1619</v>
      </c>
      <c r="B810" s="22" t="str">
        <f>VLOOKUP($A810,'Customer Names'!$A:$D,3, FALSE)</f>
        <v>Engnes</v>
      </c>
      <c r="C810" s="22">
        <f>VLOOKUP($A810,'Medical Examinations'!$A:$D, 2, FALSE)</f>
        <v>38.14</v>
      </c>
      <c r="D810" s="22">
        <f>VLOOKUP($A810, 'Medical Examinations'!$A:$D,3, FALSE)</f>
        <v>5.58</v>
      </c>
      <c r="E810" s="22" t="str">
        <f>VLOOKUP($A810, 'Medical Examinations'!$A:$D, 4, FALSE)</f>
        <v>No</v>
      </c>
      <c r="F810" s="22" t="str">
        <f>VLOOKUP($A810, 'Medical Examinations'!$A:$J, 5, FALSE)</f>
        <v>No</v>
      </c>
      <c r="G810" s="22" t="str">
        <f>VLOOKUP($A810, 'Medical Examinations'!$A:$I, 6, FALSE)</f>
        <v>Yes</v>
      </c>
      <c r="H810" s="22">
        <f>VLOOKUP($A810,'Medical Examinations'!$A:$L,10, FALSE)</f>
        <v>1</v>
      </c>
      <c r="I810" s="22" t="str">
        <f>VLOOKUP($A810, 'Medical Examinations'!$A:$J, 9, FALSE)</f>
        <v>No</v>
      </c>
      <c r="J810" s="22" t="str">
        <f>VLOOKUP($A810, 'Medical Examinations'!$A:$P, 11, FALSE)</f>
        <v>OBESITY</v>
      </c>
      <c r="K810" s="34">
        <v>34651.0</v>
      </c>
      <c r="L810" s="35">
        <f>VLOOKUP($A810, 'Hospitalisation Details'!$A:$H, 7, FALSE)</f>
        <v>12994.12</v>
      </c>
      <c r="M810" s="22" t="str">
        <f>VLOOKUP($A810, 'Hospitalisation Details'!$A:$L, 12, FALSE)</f>
        <v>tier - 3</v>
      </c>
      <c r="N810" s="22" t="str">
        <f>VLOOKUP($A810, 'Hospitalisation Details'!$A:$M, 13, FALSE)</f>
        <v>tier - 2</v>
      </c>
      <c r="O810" s="22" t="str">
        <f>VLOOKUP($A810, 'Hospitalisation Details'!$A:$N, 14, FALSE)</f>
        <v>R1026</v>
      </c>
      <c r="P810" s="36">
        <f>VLOOKUP($A810, 'Hospitalisation Details'!$A:$O, 15, FALSE)</f>
        <v>43</v>
      </c>
    </row>
    <row r="811" ht="15.75" customHeight="1">
      <c r="A811" s="33" t="s">
        <v>1621</v>
      </c>
      <c r="B811" s="22" t="str">
        <f>VLOOKUP($A811,'Customer Names'!$A:$D,3, FALSE)</f>
        <v>Wiltse</v>
      </c>
      <c r="C811" s="22">
        <f>VLOOKUP($A811,'Medical Examinations'!$A:$D, 2, FALSE)</f>
        <v>39.93</v>
      </c>
      <c r="D811" s="22">
        <f>VLOOKUP($A811, 'Medical Examinations'!$A:$D,3, FALSE)</f>
        <v>8.75</v>
      </c>
      <c r="E811" s="22" t="str">
        <f>VLOOKUP($A811, 'Medical Examinations'!$A:$D, 4, FALSE)</f>
        <v>No</v>
      </c>
      <c r="F811" s="22" t="str">
        <f>VLOOKUP($A811, 'Medical Examinations'!$A:$J, 5, FALSE)</f>
        <v>No</v>
      </c>
      <c r="G811" s="22" t="str">
        <f>VLOOKUP($A811, 'Medical Examinations'!$A:$I, 6, FALSE)</f>
        <v>No</v>
      </c>
      <c r="H811" s="22">
        <f>VLOOKUP($A811,'Medical Examinations'!$A:$L,10, FALSE)</f>
        <v>0</v>
      </c>
      <c r="I811" s="22" t="str">
        <f>VLOOKUP($A811, 'Medical Examinations'!$A:$J, 9, FALSE)</f>
        <v>No</v>
      </c>
      <c r="J811" s="22" t="str">
        <f>VLOOKUP($A811, 'Medical Examinations'!$A:$P, 11, FALSE)</f>
        <v>OBESITY</v>
      </c>
      <c r="K811" s="34">
        <v>36778.0</v>
      </c>
      <c r="L811" s="35">
        <f>VLOOKUP($A811, 'Hospitalisation Details'!$A:$H, 7, FALSE)</f>
        <v>12982.87</v>
      </c>
      <c r="M811" s="22" t="str">
        <f>VLOOKUP($A811, 'Hospitalisation Details'!$A:$L, 12, FALSE)</f>
        <v>tier - 3</v>
      </c>
      <c r="N811" s="22" t="str">
        <f>VLOOKUP($A811, 'Hospitalisation Details'!$A:$M, 13, FALSE)</f>
        <v>tier - 1</v>
      </c>
      <c r="O811" s="22" t="str">
        <f>VLOOKUP($A811, 'Hospitalisation Details'!$A:$N, 14, FALSE)</f>
        <v>R1013</v>
      </c>
      <c r="P811" s="36">
        <f>VLOOKUP($A811, 'Hospitalisation Details'!$A:$O, 15, FALSE)</f>
        <v>62</v>
      </c>
    </row>
    <row r="812" ht="15.75" customHeight="1">
      <c r="A812" s="33" t="s">
        <v>1623</v>
      </c>
      <c r="B812" s="22" t="str">
        <f>VLOOKUP($A812,'Customer Names'!$A:$D,3, FALSE)</f>
        <v>Fernandez</v>
      </c>
      <c r="C812" s="22">
        <f>VLOOKUP($A812,'Medical Examinations'!$A:$D, 2, FALSE)</f>
        <v>38.83</v>
      </c>
      <c r="D812" s="22">
        <f>VLOOKUP($A812, 'Medical Examinations'!$A:$D,3, FALSE)</f>
        <v>11.86</v>
      </c>
      <c r="E812" s="22" t="str">
        <f>VLOOKUP($A812, 'Medical Examinations'!$A:$D, 4, FALSE)</f>
        <v>No</v>
      </c>
      <c r="F812" s="22" t="str">
        <f>VLOOKUP($A812, 'Medical Examinations'!$A:$J, 5, FALSE)</f>
        <v>No</v>
      </c>
      <c r="G812" s="22" t="str">
        <f>VLOOKUP($A812, 'Medical Examinations'!$A:$I, 6, FALSE)</f>
        <v>No</v>
      </c>
      <c r="H812" s="22">
        <f>VLOOKUP($A812,'Medical Examinations'!$A:$L,10, FALSE)</f>
        <v>0</v>
      </c>
      <c r="I812" s="22" t="str">
        <f>VLOOKUP($A812, 'Medical Examinations'!$A:$J, 9, FALSE)</f>
        <v>No</v>
      </c>
      <c r="J812" s="22" t="str">
        <f>VLOOKUP($A812, 'Medical Examinations'!$A:$P, 11, FALSE)</f>
        <v>OBESITY</v>
      </c>
      <c r="K812" s="34">
        <v>38221.0</v>
      </c>
      <c r="L812" s="35">
        <f>VLOOKUP($A812, 'Hospitalisation Details'!$A:$H, 7, FALSE)</f>
        <v>12981.35</v>
      </c>
      <c r="M812" s="22" t="str">
        <f>VLOOKUP($A812, 'Hospitalisation Details'!$A:$L, 12, FALSE)</f>
        <v>tier - 3</v>
      </c>
      <c r="N812" s="22" t="str">
        <f>VLOOKUP($A812, 'Hospitalisation Details'!$A:$M, 13, FALSE)</f>
        <v>tier - 3</v>
      </c>
      <c r="O812" s="22" t="str">
        <f>VLOOKUP($A812, 'Hospitalisation Details'!$A:$N, 14, FALSE)</f>
        <v>R1013</v>
      </c>
      <c r="P812" s="36">
        <f>VLOOKUP($A812, 'Hospitalisation Details'!$A:$O, 15, FALSE)</f>
        <v>62</v>
      </c>
    </row>
    <row r="813" ht="15.75" customHeight="1">
      <c r="A813" s="33" t="s">
        <v>1625</v>
      </c>
      <c r="B813" s="22" t="str">
        <f>VLOOKUP($A813,'Customer Names'!$A:$D,3, FALSE)</f>
        <v>Edwards</v>
      </c>
      <c r="C813" s="22">
        <f>VLOOKUP($A813,'Medical Examinations'!$A:$D, 2, FALSE)</f>
        <v>37.4</v>
      </c>
      <c r="D813" s="22">
        <f>VLOOKUP($A813, 'Medical Examinations'!$A:$D,3, FALSE)</f>
        <v>11.46</v>
      </c>
      <c r="E813" s="22" t="str">
        <f>VLOOKUP($A813, 'Medical Examinations'!$A:$D, 4, FALSE)</f>
        <v>No</v>
      </c>
      <c r="F813" s="22" t="str">
        <f>VLOOKUP($A813, 'Medical Examinations'!$A:$J, 5, FALSE)</f>
        <v>No</v>
      </c>
      <c r="G813" s="22" t="str">
        <f>VLOOKUP($A813, 'Medical Examinations'!$A:$I, 6, FALSE)</f>
        <v>No</v>
      </c>
      <c r="H813" s="22">
        <f>VLOOKUP($A813,'Medical Examinations'!$A:$L,10, FALSE)</f>
        <v>0</v>
      </c>
      <c r="I813" s="22" t="str">
        <f>VLOOKUP($A813, 'Medical Examinations'!$A:$J, 9, FALSE)</f>
        <v>No</v>
      </c>
      <c r="J813" s="22" t="str">
        <f>VLOOKUP($A813, 'Medical Examinations'!$A:$P, 11, FALSE)</f>
        <v>OBESITY</v>
      </c>
      <c r="K813" s="34">
        <v>27345.0</v>
      </c>
      <c r="L813" s="35">
        <f>VLOOKUP($A813, 'Hospitalisation Details'!$A:$H, 7, FALSE)</f>
        <v>12979.36</v>
      </c>
      <c r="M813" s="22" t="str">
        <f>VLOOKUP($A813, 'Hospitalisation Details'!$A:$L, 12, FALSE)</f>
        <v>tier - 3</v>
      </c>
      <c r="N813" s="22" t="str">
        <f>VLOOKUP($A813, 'Hospitalisation Details'!$A:$M, 13, FALSE)</f>
        <v>tier - 1</v>
      </c>
      <c r="O813" s="22" t="str">
        <f>VLOOKUP($A813, 'Hospitalisation Details'!$A:$N, 14, FALSE)</f>
        <v>R1011</v>
      </c>
      <c r="P813" s="36">
        <f>VLOOKUP($A813, 'Hospitalisation Details'!$A:$O, 15, FALSE)</f>
        <v>62</v>
      </c>
    </row>
    <row r="814" ht="15.75" customHeight="1">
      <c r="A814" s="33" t="s">
        <v>1627</v>
      </c>
      <c r="B814" s="22" t="str">
        <f>VLOOKUP($A814,'Customer Names'!$A:$D,3, FALSE)</f>
        <v>Pinney</v>
      </c>
      <c r="C814" s="22">
        <f>VLOOKUP($A814,'Medical Examinations'!$A:$D, 2, FALSE)</f>
        <v>21.4</v>
      </c>
      <c r="D814" s="22">
        <f>VLOOKUP($A814, 'Medical Examinations'!$A:$D,3, FALSE)</f>
        <v>9.03</v>
      </c>
      <c r="E814" s="22" t="str">
        <f>VLOOKUP($A814, 'Medical Examinations'!$A:$D, 4, FALSE)</f>
        <v>No</v>
      </c>
      <c r="F814" s="22" t="str">
        <f>VLOOKUP($A814, 'Medical Examinations'!$A:$J, 5, FALSE)</f>
        <v>No</v>
      </c>
      <c r="G814" s="22" t="str">
        <f>VLOOKUP($A814, 'Medical Examinations'!$A:$I, 6, FALSE)</f>
        <v>No</v>
      </c>
      <c r="H814" s="22">
        <f>VLOOKUP($A814,'Medical Examinations'!$A:$L,10, FALSE)</f>
        <v>0</v>
      </c>
      <c r="I814" s="22" t="str">
        <f>VLOOKUP($A814, 'Medical Examinations'!$A:$J, 9, FALSE)</f>
        <v>No</v>
      </c>
      <c r="J814" s="22" t="str">
        <f>VLOOKUP($A814, 'Medical Examinations'!$A:$P, 11, FALSE)</f>
        <v>NORMAL WEIGHT</v>
      </c>
      <c r="K814" s="34">
        <v>32021.0</v>
      </c>
      <c r="L814" s="35">
        <f>VLOOKUP($A814, 'Hospitalisation Details'!$A:$H, 7, FALSE)</f>
        <v>12957.12</v>
      </c>
      <c r="M814" s="22" t="str">
        <f>VLOOKUP($A814, 'Hospitalisation Details'!$A:$L, 12, FALSE)</f>
        <v>tier - 3</v>
      </c>
      <c r="N814" s="22" t="str">
        <f>VLOOKUP($A814, 'Hospitalisation Details'!$A:$M, 13, FALSE)</f>
        <v>tier - 1</v>
      </c>
      <c r="O814" s="22" t="str">
        <f>VLOOKUP($A814, 'Hospitalisation Details'!$A:$N, 14, FALSE)</f>
        <v>R1011</v>
      </c>
      <c r="P814" s="36">
        <f>VLOOKUP($A814, 'Hospitalisation Details'!$A:$O, 15, FALSE)</f>
        <v>62</v>
      </c>
    </row>
    <row r="815" ht="15.75" customHeight="1">
      <c r="A815" s="33" t="s">
        <v>1629</v>
      </c>
      <c r="B815" s="22" t="str">
        <f>VLOOKUP($A815,'Customer Names'!$A:$D,3, FALSE)</f>
        <v>Levy</v>
      </c>
      <c r="C815" s="22">
        <f>VLOOKUP($A815,'Medical Examinations'!$A:$D, 2, FALSE)</f>
        <v>38.38</v>
      </c>
      <c r="D815" s="22">
        <f>VLOOKUP($A815, 'Medical Examinations'!$A:$D,3, FALSE)</f>
        <v>8.26</v>
      </c>
      <c r="E815" s="22" t="str">
        <f>VLOOKUP($A815, 'Medical Examinations'!$A:$D, 4, FALSE)</f>
        <v>Yes</v>
      </c>
      <c r="F815" s="22" t="str">
        <f>VLOOKUP($A815, 'Medical Examinations'!$A:$J, 5, FALSE)</f>
        <v>No</v>
      </c>
      <c r="G815" s="22" t="str">
        <f>VLOOKUP($A815, 'Medical Examinations'!$A:$I, 6, FALSE)</f>
        <v>No</v>
      </c>
      <c r="H815" s="22">
        <f>VLOOKUP($A815,'Medical Examinations'!$A:$L,10, FALSE)</f>
        <v>2</v>
      </c>
      <c r="I815" s="22" t="str">
        <f>VLOOKUP($A815, 'Medical Examinations'!$A:$J, 9, FALSE)</f>
        <v>No</v>
      </c>
      <c r="J815" s="22" t="str">
        <f>VLOOKUP($A815, 'Medical Examinations'!$A:$P, 11, FALSE)</f>
        <v>OBESITY</v>
      </c>
      <c r="K815" s="34">
        <v>31705.0</v>
      </c>
      <c r="L815" s="35">
        <f>VLOOKUP($A815, 'Hospitalisation Details'!$A:$H, 7, FALSE)</f>
        <v>12950.07</v>
      </c>
      <c r="M815" s="22" t="str">
        <f>VLOOKUP($A815, 'Hospitalisation Details'!$A:$L, 12, FALSE)</f>
        <v>tier - 3</v>
      </c>
      <c r="N815" s="22" t="str">
        <f>VLOOKUP($A815, 'Hospitalisation Details'!$A:$M, 13, FALSE)</f>
        <v>tier - 1</v>
      </c>
      <c r="O815" s="22" t="str">
        <f>VLOOKUP($A815, 'Hospitalisation Details'!$A:$N, 14, FALSE)</f>
        <v>R1012</v>
      </c>
      <c r="P815" s="36">
        <f>VLOOKUP($A815, 'Hospitalisation Details'!$A:$O, 15, FALSE)</f>
        <v>61</v>
      </c>
    </row>
    <row r="816" ht="15.75" customHeight="1">
      <c r="A816" s="33" t="s">
        <v>1631</v>
      </c>
      <c r="B816" s="22" t="str">
        <f>VLOOKUP($A816,'Customer Names'!$A:$D,3, FALSE)</f>
        <v>Takeda</v>
      </c>
      <c r="C816" s="22">
        <f>VLOOKUP($A816,'Medical Examinations'!$A:$D, 2, FALSE)</f>
        <v>33.66</v>
      </c>
      <c r="D816" s="22">
        <f>VLOOKUP($A816, 'Medical Examinations'!$A:$D,3, FALSE)</f>
        <v>5.42</v>
      </c>
      <c r="E816" s="22" t="str">
        <f>VLOOKUP($A816, 'Medical Examinations'!$A:$D, 4, FALSE)</f>
        <v>Yes</v>
      </c>
      <c r="F816" s="22" t="str">
        <f>VLOOKUP($A816, 'Medical Examinations'!$A:$J, 5, FALSE)</f>
        <v>No</v>
      </c>
      <c r="G816" s="22" t="str">
        <f>VLOOKUP($A816, 'Medical Examinations'!$A:$I, 6, FALSE)</f>
        <v>No</v>
      </c>
      <c r="H816" s="22">
        <f>VLOOKUP($A816,'Medical Examinations'!$A:$L,10, FALSE)</f>
        <v>2</v>
      </c>
      <c r="I816" s="22" t="str">
        <f>VLOOKUP($A816, 'Medical Examinations'!$A:$J, 9, FALSE)</f>
        <v>No</v>
      </c>
      <c r="J816" s="22" t="str">
        <f>VLOOKUP($A816, 'Medical Examinations'!$A:$P, 11, FALSE)</f>
        <v>OBESITY</v>
      </c>
      <c r="K816" s="34">
        <v>31675.0</v>
      </c>
      <c r="L816" s="35">
        <f>VLOOKUP($A816, 'Hospitalisation Details'!$A:$H, 7, FALSE)</f>
        <v>12949.16</v>
      </c>
      <c r="M816" s="22" t="str">
        <f>VLOOKUP($A816, 'Hospitalisation Details'!$A:$L, 12, FALSE)</f>
        <v>tier - 3</v>
      </c>
      <c r="N816" s="22" t="str">
        <f>VLOOKUP($A816, 'Hospitalisation Details'!$A:$M, 13, FALSE)</f>
        <v>tier - 3</v>
      </c>
      <c r="O816" s="22" t="str">
        <f>VLOOKUP($A816, 'Hospitalisation Details'!$A:$N, 14, FALSE)</f>
        <v>R1013</v>
      </c>
      <c r="P816" s="36">
        <f>VLOOKUP($A816, 'Hospitalisation Details'!$A:$O, 15, FALSE)</f>
        <v>56</v>
      </c>
    </row>
    <row r="817" ht="15.75" customHeight="1">
      <c r="A817" s="33" t="s">
        <v>1633</v>
      </c>
      <c r="B817" s="22" t="str">
        <f>VLOOKUP($A817,'Customer Names'!$A:$D,3, FALSE)</f>
        <v>Burke</v>
      </c>
      <c r="C817" s="22">
        <f>VLOOKUP($A817,'Medical Examinations'!$A:$D, 2, FALSE)</f>
        <v>31.79</v>
      </c>
      <c r="D817" s="22">
        <f>VLOOKUP($A817, 'Medical Examinations'!$A:$D,3, FALSE)</f>
        <v>11.33</v>
      </c>
      <c r="E817" s="22" t="str">
        <f>VLOOKUP($A817, 'Medical Examinations'!$A:$D, 4, FALSE)</f>
        <v>Yes</v>
      </c>
      <c r="F817" s="22" t="str">
        <f>VLOOKUP($A817, 'Medical Examinations'!$A:$J, 5, FALSE)</f>
        <v>No</v>
      </c>
      <c r="G817" s="22" t="str">
        <f>VLOOKUP($A817, 'Medical Examinations'!$A:$I, 6, FALSE)</f>
        <v>Yes</v>
      </c>
      <c r="H817" s="22">
        <f>VLOOKUP($A817,'Medical Examinations'!$A:$L,10, FALSE)</f>
        <v>1</v>
      </c>
      <c r="I817" s="22" t="str">
        <f>VLOOKUP($A817, 'Medical Examinations'!$A:$J, 9, FALSE)</f>
        <v>No</v>
      </c>
      <c r="J817" s="22" t="str">
        <f>VLOOKUP($A817, 'Medical Examinations'!$A:$P, 11, FALSE)</f>
        <v>OBESITY</v>
      </c>
      <c r="K817" s="34">
        <v>31710.0</v>
      </c>
      <c r="L817" s="35">
        <f>VLOOKUP($A817, 'Hospitalisation Details'!$A:$H, 7, FALSE)</f>
        <v>12928.79</v>
      </c>
      <c r="M817" s="22" t="str">
        <f>VLOOKUP($A817, 'Hospitalisation Details'!$A:$L, 12, FALSE)</f>
        <v>tier - 3</v>
      </c>
      <c r="N817" s="22" t="str">
        <f>VLOOKUP($A817, 'Hospitalisation Details'!$A:$M, 13, FALSE)</f>
        <v>tier - 2</v>
      </c>
      <c r="O817" s="22" t="str">
        <f>VLOOKUP($A817, 'Hospitalisation Details'!$A:$N, 14, FALSE)</f>
        <v>R1013</v>
      </c>
      <c r="P817" s="36">
        <f>VLOOKUP($A817, 'Hospitalisation Details'!$A:$O, 15, FALSE)</f>
        <v>59</v>
      </c>
    </row>
    <row r="818" ht="15.75" customHeight="1">
      <c r="A818" s="33" t="s">
        <v>1635</v>
      </c>
      <c r="B818" s="22" t="str">
        <f>VLOOKUP($A818,'Customer Names'!$A:$D,3, FALSE)</f>
        <v>Duarte</v>
      </c>
      <c r="C818" s="22">
        <f>VLOOKUP($A818,'Medical Examinations'!$A:$D, 2, FALSE)</f>
        <v>29.7</v>
      </c>
      <c r="D818" s="22">
        <f>VLOOKUP($A818, 'Medical Examinations'!$A:$D,3, FALSE)</f>
        <v>7.69</v>
      </c>
      <c r="E818" s="22" t="str">
        <f>VLOOKUP($A818, 'Medical Examinations'!$A:$D, 4, FALSE)</f>
        <v>Yes</v>
      </c>
      <c r="F818" s="22" t="str">
        <f>VLOOKUP($A818, 'Medical Examinations'!$A:$J, 5, FALSE)</f>
        <v>No</v>
      </c>
      <c r="G818" s="22" t="str">
        <f>VLOOKUP($A818, 'Medical Examinations'!$A:$I, 6, FALSE)</f>
        <v>Yes</v>
      </c>
      <c r="H818" s="22">
        <f>VLOOKUP($A818,'Medical Examinations'!$A:$L,10, FALSE)</f>
        <v>1</v>
      </c>
      <c r="I818" s="22" t="str">
        <f>VLOOKUP($A818, 'Medical Examinations'!$A:$J, 9, FALSE)</f>
        <v>No</v>
      </c>
      <c r="J818" s="22" t="str">
        <f>VLOOKUP($A818, 'Medical Examinations'!$A:$P, 11, FALSE)</f>
        <v>OVERWEIGHT</v>
      </c>
      <c r="K818" s="34">
        <v>32708.0</v>
      </c>
      <c r="L818" s="35">
        <f>VLOOKUP($A818, 'Hospitalisation Details'!$A:$H, 7, FALSE)</f>
        <v>12925.89</v>
      </c>
      <c r="M818" s="22" t="str">
        <f>VLOOKUP($A818, 'Hospitalisation Details'!$A:$L, 12, FALSE)</f>
        <v>tier - 3</v>
      </c>
      <c r="N818" s="22" t="str">
        <f>VLOOKUP($A818, 'Hospitalisation Details'!$A:$M, 13, FALSE)</f>
        <v>tier - 2</v>
      </c>
      <c r="O818" s="22" t="str">
        <f>VLOOKUP($A818, 'Hospitalisation Details'!$A:$N, 14, FALSE)</f>
        <v>R1013</v>
      </c>
      <c r="P818" s="36">
        <f>VLOOKUP($A818, 'Hospitalisation Details'!$A:$O, 15, FALSE)</f>
        <v>59</v>
      </c>
    </row>
    <row r="819" ht="15.75" customHeight="1">
      <c r="A819" s="33" t="s">
        <v>1637</v>
      </c>
      <c r="B819" s="22" t="str">
        <f>VLOOKUP($A819,'Customer Names'!$A:$D,3, FALSE)</f>
        <v>Clark</v>
      </c>
      <c r="C819" s="22">
        <f>VLOOKUP($A819,'Medical Examinations'!$A:$D, 2, FALSE)</f>
        <v>25.46</v>
      </c>
      <c r="D819" s="22">
        <f>VLOOKUP($A819, 'Medical Examinations'!$A:$D,3, FALSE)</f>
        <v>8.77</v>
      </c>
      <c r="E819" s="22" t="str">
        <f>VLOOKUP($A819, 'Medical Examinations'!$A:$D, 4, FALSE)</f>
        <v>Yes</v>
      </c>
      <c r="F819" s="22" t="str">
        <f>VLOOKUP($A819, 'Medical Examinations'!$A:$J, 5, FALSE)</f>
        <v>No</v>
      </c>
      <c r="G819" s="22" t="str">
        <f>VLOOKUP($A819, 'Medical Examinations'!$A:$I, 6, FALSE)</f>
        <v>Yes</v>
      </c>
      <c r="H819" s="22">
        <f>VLOOKUP($A819,'Medical Examinations'!$A:$L,10, FALSE)</f>
        <v>1</v>
      </c>
      <c r="I819" s="22" t="str">
        <f>VLOOKUP($A819, 'Medical Examinations'!$A:$J, 9, FALSE)</f>
        <v>No</v>
      </c>
      <c r="J819" s="22" t="str">
        <f>VLOOKUP($A819, 'Medical Examinations'!$A:$P, 11, FALSE)</f>
        <v>OVERWEIGHT</v>
      </c>
      <c r="K819" s="34">
        <v>32837.0</v>
      </c>
      <c r="L819" s="35">
        <f>VLOOKUP($A819, 'Hospitalisation Details'!$A:$H, 7, FALSE)</f>
        <v>12913.99</v>
      </c>
      <c r="M819" s="22" t="str">
        <f>VLOOKUP($A819, 'Hospitalisation Details'!$A:$L, 12, FALSE)</f>
        <v>tier - 3</v>
      </c>
      <c r="N819" s="22" t="str">
        <f>VLOOKUP($A819, 'Hospitalisation Details'!$A:$M, 13, FALSE)</f>
        <v>tier - 2</v>
      </c>
      <c r="O819" s="22" t="str">
        <f>VLOOKUP($A819, 'Hospitalisation Details'!$A:$N, 14, FALSE)</f>
        <v>R1016</v>
      </c>
      <c r="P819" s="36">
        <f>VLOOKUP($A819, 'Hospitalisation Details'!$A:$O, 15, FALSE)</f>
        <v>59</v>
      </c>
    </row>
    <row r="820" ht="15.75" customHeight="1">
      <c r="A820" s="33" t="s">
        <v>1639</v>
      </c>
      <c r="B820" s="22" t="str">
        <f>VLOOKUP($A820,'Customer Names'!$A:$D,3, FALSE)</f>
        <v>Nice</v>
      </c>
      <c r="C820" s="22">
        <f>VLOOKUP($A820,'Medical Examinations'!$A:$D, 2, FALSE)</f>
        <v>39.14</v>
      </c>
      <c r="D820" s="22">
        <f>VLOOKUP($A820, 'Medical Examinations'!$A:$D,3, FALSE)</f>
        <v>4.91</v>
      </c>
      <c r="E820" s="22" t="str">
        <f>VLOOKUP($A820, 'Medical Examinations'!$A:$D, 4, FALSE)</f>
        <v>No</v>
      </c>
      <c r="F820" s="22" t="str">
        <f>VLOOKUP($A820, 'Medical Examinations'!$A:$J, 5, FALSE)</f>
        <v>Yes</v>
      </c>
      <c r="G820" s="22" t="str">
        <f>VLOOKUP($A820, 'Medical Examinations'!$A:$I, 6, FALSE)</f>
        <v>No</v>
      </c>
      <c r="H820" s="22">
        <f>VLOOKUP($A820,'Medical Examinations'!$A:$L,10, FALSE)</f>
        <v>1</v>
      </c>
      <c r="I820" s="22" t="str">
        <f>VLOOKUP($A820, 'Medical Examinations'!$A:$J, 9, FALSE)</f>
        <v>No</v>
      </c>
      <c r="J820" s="22" t="str">
        <f>VLOOKUP($A820, 'Medical Examinations'!$A:$P, 11, FALSE)</f>
        <v>OBESITY</v>
      </c>
      <c r="K820" s="34">
        <v>32494.0</v>
      </c>
      <c r="L820" s="35">
        <f>VLOOKUP($A820, 'Hospitalisation Details'!$A:$H, 7, FALSE)</f>
        <v>12890.06</v>
      </c>
      <c r="M820" s="22" t="str">
        <f>VLOOKUP($A820, 'Hospitalisation Details'!$A:$L, 12, FALSE)</f>
        <v>tier - 3</v>
      </c>
      <c r="N820" s="22" t="str">
        <f>VLOOKUP($A820, 'Hospitalisation Details'!$A:$M, 13, FALSE)</f>
        <v>tier - 1</v>
      </c>
      <c r="O820" s="22" t="str">
        <f>VLOOKUP($A820, 'Hospitalisation Details'!$A:$N, 14, FALSE)</f>
        <v>R1019</v>
      </c>
      <c r="P820" s="36">
        <f>VLOOKUP($A820, 'Hospitalisation Details'!$A:$O, 15, FALSE)</f>
        <v>18</v>
      </c>
    </row>
    <row r="821" ht="15.75" customHeight="1">
      <c r="A821" s="33" t="s">
        <v>1641</v>
      </c>
      <c r="B821" s="22" t="str">
        <f>VLOOKUP($A821,'Customer Names'!$A:$D,3, FALSE)</f>
        <v>Windler</v>
      </c>
      <c r="C821" s="22">
        <f>VLOOKUP($A821,'Medical Examinations'!$A:$D, 2, FALSE)</f>
        <v>41.2</v>
      </c>
      <c r="D821" s="22">
        <f>VLOOKUP($A821, 'Medical Examinations'!$A:$D,3, FALSE)</f>
        <v>4.95</v>
      </c>
      <c r="E821" s="22" t="str">
        <f>VLOOKUP($A821, 'Medical Examinations'!$A:$D, 4, FALSE)</f>
        <v>No</v>
      </c>
      <c r="F821" s="22" t="str">
        <f>VLOOKUP($A821, 'Medical Examinations'!$A:$J, 5, FALSE)</f>
        <v>No</v>
      </c>
      <c r="G821" s="22" t="str">
        <f>VLOOKUP($A821, 'Medical Examinations'!$A:$I, 6, FALSE)</f>
        <v>No</v>
      </c>
      <c r="H821" s="22">
        <f>VLOOKUP($A821,'Medical Examinations'!$A:$L,10, FALSE)</f>
        <v>1</v>
      </c>
      <c r="I821" s="22" t="str">
        <f>VLOOKUP($A821, 'Medical Examinations'!$A:$J, 9, FALSE)</f>
        <v>No</v>
      </c>
      <c r="J821" s="22" t="str">
        <f>VLOOKUP($A821, 'Medical Examinations'!$A:$P, 11, FALSE)</f>
        <v>OBESITY</v>
      </c>
      <c r="K821" s="34">
        <v>33060.0</v>
      </c>
      <c r="L821" s="35">
        <f>VLOOKUP($A821, 'Hospitalisation Details'!$A:$H, 7, FALSE)</f>
        <v>12870.31</v>
      </c>
      <c r="M821" s="22" t="str">
        <f>VLOOKUP($A821, 'Hospitalisation Details'!$A:$L, 12, FALSE)</f>
        <v>tier - 3</v>
      </c>
      <c r="N821" s="22" t="str">
        <f>VLOOKUP($A821, 'Hospitalisation Details'!$A:$M, 13, FALSE)</f>
        <v>tier - 3</v>
      </c>
      <c r="O821" s="22" t="str">
        <f>VLOOKUP($A821, 'Hospitalisation Details'!$A:$N, 14, FALSE)</f>
        <v>R1012</v>
      </c>
      <c r="P821" s="36">
        <f>VLOOKUP($A821, 'Hospitalisation Details'!$A:$O, 15, FALSE)</f>
        <v>38</v>
      </c>
    </row>
    <row r="822" ht="15.75" customHeight="1">
      <c r="A822" s="33" t="s">
        <v>1643</v>
      </c>
      <c r="B822" s="22" t="str">
        <f>VLOOKUP($A822,'Customer Names'!$A:$D,3, FALSE)</f>
        <v>Jones</v>
      </c>
      <c r="C822" s="22">
        <f>VLOOKUP($A822,'Medical Examinations'!$A:$D, 2, FALSE)</f>
        <v>28.81</v>
      </c>
      <c r="D822" s="22">
        <f>VLOOKUP($A822, 'Medical Examinations'!$A:$D,3, FALSE)</f>
        <v>10.8</v>
      </c>
      <c r="E822" s="22" t="str">
        <f>VLOOKUP($A822, 'Medical Examinations'!$A:$D, 4, FALSE)</f>
        <v>Yes</v>
      </c>
      <c r="F822" s="22" t="str">
        <f>VLOOKUP($A822, 'Medical Examinations'!$A:$J, 5, FALSE)</f>
        <v>No</v>
      </c>
      <c r="G822" s="22" t="str">
        <f>VLOOKUP($A822, 'Medical Examinations'!$A:$I, 6, FALSE)</f>
        <v>Yes</v>
      </c>
      <c r="H822" s="22">
        <f>VLOOKUP($A822,'Medical Examinations'!$A:$L,10, FALSE)</f>
        <v>1</v>
      </c>
      <c r="I822" s="22" t="str">
        <f>VLOOKUP($A822, 'Medical Examinations'!$A:$J, 9, FALSE)</f>
        <v>No</v>
      </c>
      <c r="J822" s="22" t="str">
        <f>VLOOKUP($A822, 'Medical Examinations'!$A:$P, 11, FALSE)</f>
        <v>OVERWEIGHT</v>
      </c>
      <c r="K822" s="34">
        <v>32029.0</v>
      </c>
      <c r="L822" s="35">
        <f>VLOOKUP($A822, 'Hospitalisation Details'!$A:$H, 7, FALSE)</f>
        <v>12856.84</v>
      </c>
      <c r="M822" s="22" t="str">
        <f>VLOOKUP($A822, 'Hospitalisation Details'!$A:$L, 12, FALSE)</f>
        <v>tier - 3</v>
      </c>
      <c r="N822" s="22" t="str">
        <f>VLOOKUP($A822, 'Hospitalisation Details'!$A:$M, 13, FALSE)</f>
        <v>tier - 3</v>
      </c>
      <c r="O822" s="22" t="str">
        <f>VLOOKUP($A822, 'Hospitalisation Details'!$A:$N, 14, FALSE)</f>
        <v>R1021</v>
      </c>
      <c r="P822" s="36">
        <f>VLOOKUP($A822, 'Hospitalisation Details'!$A:$O, 15, FALSE)</f>
        <v>59</v>
      </c>
    </row>
    <row r="823" ht="15.75" customHeight="1">
      <c r="A823" s="33" t="s">
        <v>1645</v>
      </c>
      <c r="B823" s="22" t="str">
        <f>VLOOKUP($A823,'Customer Names'!$A:$D,3, FALSE)</f>
        <v>Stevenson</v>
      </c>
      <c r="C823" s="22">
        <f>VLOOKUP($A823,'Medical Examinations'!$A:$D, 2, FALSE)</f>
        <v>37.41</v>
      </c>
      <c r="D823" s="22">
        <f>VLOOKUP($A823, 'Medical Examinations'!$A:$D,3, FALSE)</f>
        <v>7.21</v>
      </c>
      <c r="E823" s="22" t="str">
        <f>VLOOKUP($A823, 'Medical Examinations'!$A:$D, 4, FALSE)</f>
        <v>No</v>
      </c>
      <c r="F823" s="22" t="str">
        <f>VLOOKUP($A823, 'Medical Examinations'!$A:$J, 5, FALSE)</f>
        <v>No</v>
      </c>
      <c r="G823" s="22" t="str">
        <f>VLOOKUP($A823, 'Medical Examinations'!$A:$I, 6, FALSE)</f>
        <v>No</v>
      </c>
      <c r="H823" s="22">
        <f>VLOOKUP($A823,'Medical Examinations'!$A:$L,10, FALSE)</f>
        <v>2</v>
      </c>
      <c r="I823" s="22" t="str">
        <f>VLOOKUP($A823, 'Medical Examinations'!$A:$J, 9, FALSE)</f>
        <v>No</v>
      </c>
      <c r="J823" s="22" t="str">
        <f>VLOOKUP($A823, 'Medical Examinations'!$A:$P, 11, FALSE)</f>
        <v>OBESITY</v>
      </c>
      <c r="K823" s="34">
        <v>31963.0</v>
      </c>
      <c r="L823" s="35">
        <f>VLOOKUP($A823, 'Hospitalisation Details'!$A:$H, 7, FALSE)</f>
        <v>12852.37</v>
      </c>
      <c r="M823" s="22" t="str">
        <f>VLOOKUP($A823, 'Hospitalisation Details'!$A:$L, 12, FALSE)</f>
        <v>tier - 3</v>
      </c>
      <c r="N823" s="22" t="str">
        <f>VLOOKUP($A823, 'Hospitalisation Details'!$A:$M, 13, FALSE)</f>
        <v>tier - 1</v>
      </c>
      <c r="O823" s="22" t="str">
        <f>VLOOKUP($A823, 'Hospitalisation Details'!$A:$N, 14, FALSE)</f>
        <v>R1012</v>
      </c>
      <c r="P823" s="36">
        <f>VLOOKUP($A823, 'Hospitalisation Details'!$A:$O, 15, FALSE)</f>
        <v>49</v>
      </c>
    </row>
    <row r="824" ht="15.75" customHeight="1">
      <c r="A824" s="33" t="s">
        <v>1647</v>
      </c>
      <c r="B824" s="22" t="str">
        <f>VLOOKUP($A824,'Customer Names'!$A:$D,3, FALSE)</f>
        <v>Humphrey</v>
      </c>
      <c r="C824" s="22">
        <f>VLOOKUP($A824,'Medical Examinations'!$A:$D, 2, FALSE)</f>
        <v>52.54</v>
      </c>
      <c r="D824" s="22">
        <f>VLOOKUP($A824, 'Medical Examinations'!$A:$D,3, FALSE)</f>
        <v>5.12</v>
      </c>
      <c r="E824" s="22" t="str">
        <f>VLOOKUP($A824, 'Medical Examinations'!$A:$D, 4, FALSE)</f>
        <v>No</v>
      </c>
      <c r="F824" s="22" t="str">
        <f>VLOOKUP($A824, 'Medical Examinations'!$A:$J, 5, FALSE)</f>
        <v>No</v>
      </c>
      <c r="G824" s="22" t="str">
        <f>VLOOKUP($A824, 'Medical Examinations'!$A:$I, 6, FALSE)</f>
        <v>Yes</v>
      </c>
      <c r="H824" s="22">
        <f>VLOOKUP($A824,'Medical Examinations'!$A:$L,10, FALSE)</f>
        <v>1</v>
      </c>
      <c r="I824" s="22" t="str">
        <f>VLOOKUP($A824, 'Medical Examinations'!$A:$J, 9, FALSE)</f>
        <v>No</v>
      </c>
      <c r="J824" s="22" t="str">
        <f>VLOOKUP($A824, 'Medical Examinations'!$A:$P, 11, FALSE)</f>
        <v>OBESITY</v>
      </c>
      <c r="K824" s="34">
        <v>32137.0</v>
      </c>
      <c r="L824" s="35">
        <f>VLOOKUP($A824, 'Hospitalisation Details'!$A:$H, 7, FALSE)</f>
        <v>12847.24</v>
      </c>
      <c r="M824" s="22" t="str">
        <f>VLOOKUP($A824, 'Hospitalisation Details'!$A:$L, 12, FALSE)</f>
        <v>tier - 3</v>
      </c>
      <c r="N824" s="22" t="str">
        <f>VLOOKUP($A824, 'Hospitalisation Details'!$A:$M, 13, FALSE)</f>
        <v>tier - 2</v>
      </c>
      <c r="O824" s="22" t="str">
        <f>VLOOKUP($A824, 'Hospitalisation Details'!$A:$N, 14, FALSE)</f>
        <v>R1012</v>
      </c>
      <c r="P824" s="36">
        <f>VLOOKUP($A824, 'Hospitalisation Details'!$A:$O, 15, FALSE)</f>
        <v>29</v>
      </c>
    </row>
    <row r="825" ht="15.75" customHeight="1">
      <c r="A825" s="33" t="s">
        <v>1649</v>
      </c>
      <c r="B825" s="22" t="str">
        <f>VLOOKUP($A825,'Customer Names'!$A:$D,3, FALSE)</f>
        <v>Nelson</v>
      </c>
      <c r="C825" s="22">
        <f>VLOOKUP($A825,'Medical Examinations'!$A:$D, 2, FALSE)</f>
        <v>17.29</v>
      </c>
      <c r="D825" s="22">
        <f>VLOOKUP($A825, 'Medical Examinations'!$A:$D,3, FALSE)</f>
        <v>4.62</v>
      </c>
      <c r="E825" s="22" t="str">
        <f>VLOOKUP($A825, 'Medical Examinations'!$A:$D, 4, FALSE)</f>
        <v>No</v>
      </c>
      <c r="F825" s="22" t="str">
        <f>VLOOKUP($A825, 'Medical Examinations'!$A:$J, 5, FALSE)</f>
        <v>Yes</v>
      </c>
      <c r="G825" s="22" t="str">
        <f>VLOOKUP($A825, 'Medical Examinations'!$A:$I, 6, FALSE)</f>
        <v>No</v>
      </c>
      <c r="H825" s="22">
        <f>VLOOKUP($A825,'Medical Examinations'!$A:$L,10, FALSE)</f>
        <v>1</v>
      </c>
      <c r="I825" s="22" t="str">
        <f>VLOOKUP($A825, 'Medical Examinations'!$A:$J, 9, FALSE)</f>
        <v>Yes</v>
      </c>
      <c r="J825" s="22" t="str">
        <f>VLOOKUP($A825, 'Medical Examinations'!$A:$P, 11, FALSE)</f>
        <v>UNDERWEIGHT</v>
      </c>
      <c r="K825" s="34">
        <v>31957.0</v>
      </c>
      <c r="L825" s="35">
        <f>VLOOKUP($A825, 'Hospitalisation Details'!$A:$H, 7, FALSE)</f>
        <v>12829.46</v>
      </c>
      <c r="M825" s="22" t="str">
        <f>VLOOKUP($A825, 'Hospitalisation Details'!$A:$L, 12, FALSE)</f>
        <v>tier - 3</v>
      </c>
      <c r="N825" s="22" t="str">
        <f>VLOOKUP($A825, 'Hospitalisation Details'!$A:$M, 13, FALSE)</f>
        <v>tier - 3</v>
      </c>
      <c r="O825" s="22" t="str">
        <f>VLOOKUP($A825, 'Hospitalisation Details'!$A:$N, 14, FALSE)</f>
        <v>R1016</v>
      </c>
      <c r="P825" s="36">
        <f>VLOOKUP($A825, 'Hospitalisation Details'!$A:$O, 15, FALSE)</f>
        <v>18</v>
      </c>
    </row>
    <row r="826" ht="15.75" customHeight="1">
      <c r="A826" s="33" t="s">
        <v>1651</v>
      </c>
      <c r="B826" s="22" t="str">
        <f>VLOOKUP($A826,'Customer Names'!$A:$D,3, FALSE)</f>
        <v>Payne</v>
      </c>
      <c r="C826" s="22">
        <f>VLOOKUP($A826,'Medical Examinations'!$A:$D, 2, FALSE)</f>
        <v>31.74</v>
      </c>
      <c r="D826" s="22">
        <f>VLOOKUP($A826, 'Medical Examinations'!$A:$D,3, FALSE)</f>
        <v>7.68</v>
      </c>
      <c r="E826" s="22" t="str">
        <f>VLOOKUP($A826, 'Medical Examinations'!$A:$D, 4, FALSE)</f>
        <v>Yes</v>
      </c>
      <c r="F826" s="22" t="str">
        <f>VLOOKUP($A826, 'Medical Examinations'!$A:$J, 5, FALSE)</f>
        <v>No</v>
      </c>
      <c r="G826" s="22" t="str">
        <f>VLOOKUP($A826, 'Medical Examinations'!$A:$I, 6, FALSE)</f>
        <v>No</v>
      </c>
      <c r="H826" s="22">
        <f>VLOOKUP($A826,'Medical Examinations'!$A:$L,10, FALSE)</f>
        <v>0</v>
      </c>
      <c r="I826" s="22" t="str">
        <f>VLOOKUP($A826, 'Medical Examinations'!$A:$J, 9, FALSE)</f>
        <v>No</v>
      </c>
      <c r="J826" s="22" t="str">
        <f>VLOOKUP($A826, 'Medical Examinations'!$A:$P, 11, FALSE)</f>
        <v>OBESITY</v>
      </c>
      <c r="K826" s="34">
        <v>34856.0</v>
      </c>
      <c r="L826" s="35">
        <f>VLOOKUP($A826, 'Hospitalisation Details'!$A:$H, 7, FALSE)</f>
        <v>12823.25</v>
      </c>
      <c r="M826" s="22" t="str">
        <f>VLOOKUP($A826, 'Hospitalisation Details'!$A:$L, 12, FALSE)</f>
        <v>tier - 3</v>
      </c>
      <c r="N826" s="22" t="str">
        <f>VLOOKUP($A826, 'Hospitalisation Details'!$A:$M, 13, FALSE)</f>
        <v>tier - 3</v>
      </c>
      <c r="O826" s="22" t="str">
        <f>VLOOKUP($A826, 'Hospitalisation Details'!$A:$N, 14, FALSE)</f>
        <v>R1021</v>
      </c>
      <c r="P826" s="36">
        <f>VLOOKUP($A826, 'Hospitalisation Details'!$A:$O, 15, FALSE)</f>
        <v>55</v>
      </c>
    </row>
    <row r="827" ht="15.75" customHeight="1">
      <c r="A827" s="33" t="s">
        <v>1653</v>
      </c>
      <c r="B827" s="22" t="str">
        <f>VLOOKUP($A827,'Customer Names'!$A:$D,3, FALSE)</f>
        <v>Hails</v>
      </c>
      <c r="C827" s="22">
        <f>VLOOKUP($A827,'Medical Examinations'!$A:$D, 2, FALSE)</f>
        <v>26.505</v>
      </c>
      <c r="D827" s="22">
        <f>VLOOKUP($A827, 'Medical Examinations'!$A:$D,3, FALSE)</f>
        <v>6.79</v>
      </c>
      <c r="E827" s="22" t="str">
        <f>VLOOKUP($A827, 'Medical Examinations'!$A:$D, 4, FALSE)</f>
        <v>Yes</v>
      </c>
      <c r="F827" s="22" t="str">
        <f>VLOOKUP($A827, 'Medical Examinations'!$A:$J, 5, FALSE)</f>
        <v>No</v>
      </c>
      <c r="G827" s="22" t="str">
        <f>VLOOKUP($A827, 'Medical Examinations'!$A:$I, 6, FALSE)</f>
        <v>Yes</v>
      </c>
      <c r="H827" s="22">
        <f>VLOOKUP($A827,'Medical Examinations'!$A:$L,10, FALSE)</f>
        <v>1</v>
      </c>
      <c r="I827" s="22" t="str">
        <f>VLOOKUP($A827, 'Medical Examinations'!$A:$J, 9, FALSE)</f>
        <v>No</v>
      </c>
      <c r="J827" s="22" t="str">
        <f>VLOOKUP($A827, 'Medical Examinations'!$A:$P, 11, FALSE)</f>
        <v>OVERWEIGHT</v>
      </c>
      <c r="K827" s="34">
        <v>36495.0</v>
      </c>
      <c r="L827" s="35">
        <f>VLOOKUP($A827, 'Hospitalisation Details'!$A:$H, 7, FALSE)</f>
        <v>12815.44</v>
      </c>
      <c r="M827" s="22" t="str">
        <f>VLOOKUP($A827, 'Hospitalisation Details'!$A:$L, 12, FALSE)</f>
        <v>tier - 3</v>
      </c>
      <c r="N827" s="22" t="str">
        <f>VLOOKUP($A827, 'Hospitalisation Details'!$A:$M, 13, FALSE)</f>
        <v>tier - 3</v>
      </c>
      <c r="O827" s="22" t="str">
        <f>VLOOKUP($A827, 'Hospitalisation Details'!$A:$N, 14, FALSE)</f>
        <v>R1024</v>
      </c>
      <c r="P827" s="36">
        <f>VLOOKUP($A827, 'Hospitalisation Details'!$A:$O, 15, FALSE)</f>
        <v>59</v>
      </c>
    </row>
    <row r="828" ht="15.75" customHeight="1">
      <c r="A828" s="33" t="s">
        <v>1655</v>
      </c>
      <c r="B828" s="22" t="str">
        <f>VLOOKUP($A828,'Customer Names'!$A:$D,3, FALSE)</f>
        <v>Proctor</v>
      </c>
      <c r="C828" s="22">
        <f>VLOOKUP($A828,'Medical Examinations'!$A:$D, 2, FALSE)</f>
        <v>36.48</v>
      </c>
      <c r="D828" s="22">
        <f>VLOOKUP($A828, 'Medical Examinations'!$A:$D,3, FALSE)</f>
        <v>11.09</v>
      </c>
      <c r="E828" s="22" t="str">
        <f>VLOOKUP($A828, 'Medical Examinations'!$A:$D, 4, FALSE)</f>
        <v>No</v>
      </c>
      <c r="F828" s="22" t="str">
        <f>VLOOKUP($A828, 'Medical Examinations'!$A:$J, 5, FALSE)</f>
        <v>No</v>
      </c>
      <c r="G828" s="22" t="str">
        <f>VLOOKUP($A828, 'Medical Examinations'!$A:$I, 6, FALSE)</f>
        <v>No</v>
      </c>
      <c r="H828" s="22">
        <f>VLOOKUP($A828,'Medical Examinations'!$A:$L,10, FALSE)</f>
        <v>0</v>
      </c>
      <c r="I828" s="22" t="str">
        <f>VLOOKUP($A828, 'Medical Examinations'!$A:$J, 9, FALSE)</f>
        <v>No</v>
      </c>
      <c r="J828" s="22" t="str">
        <f>VLOOKUP($A828, 'Medical Examinations'!$A:$P, 11, FALSE)</f>
        <v>OBESITY</v>
      </c>
      <c r="K828" s="34">
        <v>34137.0</v>
      </c>
      <c r="L828" s="35">
        <f>VLOOKUP($A828, 'Hospitalisation Details'!$A:$H, 7, FALSE)</f>
        <v>12797.21</v>
      </c>
      <c r="M828" s="22" t="str">
        <f>VLOOKUP($A828, 'Hospitalisation Details'!$A:$L, 12, FALSE)</f>
        <v>tier - 3</v>
      </c>
      <c r="N828" s="22" t="str">
        <f>VLOOKUP($A828, 'Hospitalisation Details'!$A:$M, 13, FALSE)</f>
        <v>tier - 1</v>
      </c>
      <c r="O828" s="22" t="str">
        <f>VLOOKUP($A828, 'Hospitalisation Details'!$A:$N, 14, FALSE)</f>
        <v>R1024</v>
      </c>
      <c r="P828" s="36">
        <f>VLOOKUP($A828, 'Hospitalisation Details'!$A:$O, 15, FALSE)</f>
        <v>44</v>
      </c>
    </row>
    <row r="829" ht="15.75" customHeight="1">
      <c r="A829" s="33" t="s">
        <v>1657</v>
      </c>
      <c r="B829" s="22" t="str">
        <f>VLOOKUP($A829,'Customer Names'!$A:$D,3, FALSE)</f>
        <v>Ryan</v>
      </c>
      <c r="C829" s="22">
        <f>VLOOKUP($A829,'Medical Examinations'!$A:$D, 2, FALSE)</f>
        <v>39.16</v>
      </c>
      <c r="D829" s="22">
        <f>VLOOKUP($A829, 'Medical Examinations'!$A:$D,3, FALSE)</f>
        <v>5.24</v>
      </c>
      <c r="E829" s="22" t="str">
        <f>VLOOKUP($A829, 'Medical Examinations'!$A:$D, 4, FALSE)</f>
        <v>Yes</v>
      </c>
      <c r="F829" s="22" t="str">
        <f>VLOOKUP($A829, 'Medical Examinations'!$A:$J, 5, FALSE)</f>
        <v>No</v>
      </c>
      <c r="G829" s="22" t="str">
        <f>VLOOKUP($A829, 'Medical Examinations'!$A:$I, 6, FALSE)</f>
        <v>Yes</v>
      </c>
      <c r="H829" s="22">
        <f>VLOOKUP($A829,'Medical Examinations'!$A:$L,10, FALSE)</f>
        <v>1</v>
      </c>
      <c r="I829" s="22" t="str">
        <f>VLOOKUP($A829, 'Medical Examinations'!$A:$J, 9, FALSE)</f>
        <v>No</v>
      </c>
      <c r="J829" s="22" t="str">
        <f>VLOOKUP($A829, 'Medical Examinations'!$A:$P, 11, FALSE)</f>
        <v>OBESITY</v>
      </c>
      <c r="K829" s="34">
        <v>30613.0</v>
      </c>
      <c r="L829" s="35">
        <f>VLOOKUP($A829, 'Hospitalisation Details'!$A:$H, 7, FALSE)</f>
        <v>12788.18</v>
      </c>
      <c r="M829" s="22" t="str">
        <f>VLOOKUP($A829, 'Hospitalisation Details'!$A:$L, 12, FALSE)</f>
        <v>tier - 3</v>
      </c>
      <c r="N829" s="22" t="str">
        <f>VLOOKUP($A829, 'Hospitalisation Details'!$A:$M, 13, FALSE)</f>
        <v>tier - 1</v>
      </c>
      <c r="O829" s="22" t="str">
        <f>VLOOKUP($A829, 'Hospitalisation Details'!$A:$N, 14, FALSE)</f>
        <v>R1026</v>
      </c>
      <c r="P829" s="36">
        <f>VLOOKUP($A829, 'Hospitalisation Details'!$A:$O, 15, FALSE)</f>
        <v>39</v>
      </c>
    </row>
    <row r="830" ht="15.75" customHeight="1">
      <c r="A830" s="33" t="s">
        <v>1659</v>
      </c>
      <c r="B830" s="22" t="str">
        <f>VLOOKUP($A830,'Customer Names'!$A:$D,3, FALSE)</f>
        <v>Watson</v>
      </c>
      <c r="C830" s="22">
        <f>VLOOKUP($A830,'Medical Examinations'!$A:$D, 2, FALSE)</f>
        <v>28.22</v>
      </c>
      <c r="D830" s="22">
        <f>VLOOKUP($A830, 'Medical Examinations'!$A:$D,3, FALSE)</f>
        <v>7.51</v>
      </c>
      <c r="E830" s="22" t="str">
        <f>VLOOKUP($A830, 'Medical Examinations'!$A:$D, 4, FALSE)</f>
        <v>Yes</v>
      </c>
      <c r="F830" s="22" t="str">
        <f>VLOOKUP($A830, 'Medical Examinations'!$A:$J, 5, FALSE)</f>
        <v>No</v>
      </c>
      <c r="G830" s="22" t="str">
        <f>VLOOKUP($A830, 'Medical Examinations'!$A:$I, 6, FALSE)</f>
        <v>Yes</v>
      </c>
      <c r="H830" s="22">
        <f>VLOOKUP($A830,'Medical Examinations'!$A:$L,10, FALSE)</f>
        <v>1</v>
      </c>
      <c r="I830" s="22" t="str">
        <f>VLOOKUP($A830, 'Medical Examinations'!$A:$J, 9, FALSE)</f>
        <v>No</v>
      </c>
      <c r="J830" s="22" t="str">
        <f>VLOOKUP($A830, 'Medical Examinations'!$A:$P, 11, FALSE)</f>
        <v>OVERWEIGHT</v>
      </c>
      <c r="K830" s="34">
        <v>38144.0</v>
      </c>
      <c r="L830" s="35">
        <f>VLOOKUP($A830, 'Hospitalisation Details'!$A:$H, 7, FALSE)</f>
        <v>12788.03</v>
      </c>
      <c r="M830" s="22" t="str">
        <f>VLOOKUP($A830, 'Hospitalisation Details'!$A:$L, 12, FALSE)</f>
        <v>tier - 3</v>
      </c>
      <c r="N830" s="22" t="str">
        <f>VLOOKUP($A830, 'Hospitalisation Details'!$A:$M, 13, FALSE)</f>
        <v>tier - 3</v>
      </c>
      <c r="O830" s="22" t="str">
        <f>VLOOKUP($A830, 'Hospitalisation Details'!$A:$N, 14, FALSE)</f>
        <v>R1025</v>
      </c>
      <c r="P830" s="36">
        <f>VLOOKUP($A830, 'Hospitalisation Details'!$A:$O, 15, FALSE)</f>
        <v>59</v>
      </c>
    </row>
    <row r="831" ht="15.75" customHeight="1">
      <c r="A831" s="33" t="s">
        <v>1661</v>
      </c>
      <c r="B831" s="22" t="str">
        <f>VLOOKUP($A831,'Customer Names'!$A:$D,3, FALSE)</f>
        <v>Gresh</v>
      </c>
      <c r="C831" s="22">
        <f>VLOOKUP($A831,'Medical Examinations'!$A:$D, 2, FALSE)</f>
        <v>35</v>
      </c>
      <c r="D831" s="22">
        <f>VLOOKUP($A831, 'Medical Examinations'!$A:$D,3, FALSE)</f>
        <v>4.13</v>
      </c>
      <c r="E831" s="22" t="str">
        <f>VLOOKUP($A831, 'Medical Examinations'!$A:$D, 4, FALSE)</f>
        <v>No</v>
      </c>
      <c r="F831" s="22" t="str">
        <f>VLOOKUP($A831, 'Medical Examinations'!$A:$J, 5, FALSE)</f>
        <v>No</v>
      </c>
      <c r="G831" s="22" t="str">
        <f>VLOOKUP($A831, 'Medical Examinations'!$A:$I, 6, FALSE)</f>
        <v>No</v>
      </c>
      <c r="H831" s="22">
        <f>VLOOKUP($A831,'Medical Examinations'!$A:$L,10, FALSE)</f>
        <v>2</v>
      </c>
      <c r="I831" s="22" t="str">
        <f>VLOOKUP($A831, 'Medical Examinations'!$A:$J, 9, FALSE)</f>
        <v>No</v>
      </c>
      <c r="J831" s="22" t="str">
        <f>VLOOKUP($A831, 'Medical Examinations'!$A:$P, 11, FALSE)</f>
        <v>OBESITY</v>
      </c>
      <c r="K831" s="34">
        <v>33543.0</v>
      </c>
      <c r="L831" s="35">
        <f>VLOOKUP($A831, 'Hospitalisation Details'!$A:$H, 7, FALSE)</f>
        <v>12776.05</v>
      </c>
      <c r="M831" s="22" t="str">
        <f>VLOOKUP($A831, 'Hospitalisation Details'!$A:$L, 12, FALSE)</f>
        <v>tier - 3</v>
      </c>
      <c r="N831" s="22" t="str">
        <f>VLOOKUP($A831, 'Hospitalisation Details'!$A:$M, 13, FALSE)</f>
        <v>tier - 3</v>
      </c>
      <c r="O831" s="22" t="str">
        <f>VLOOKUP($A831, 'Hospitalisation Details'!$A:$N, 14, FALSE)</f>
        <v>R1026</v>
      </c>
      <c r="P831" s="36">
        <f>VLOOKUP($A831, 'Hospitalisation Details'!$A:$O, 15, FALSE)</f>
        <v>50</v>
      </c>
    </row>
    <row r="832" ht="15.75" customHeight="1">
      <c r="A832" s="33" t="s">
        <v>1663</v>
      </c>
      <c r="B832" s="22" t="str">
        <f>VLOOKUP($A832,'Customer Names'!$A:$D,3, FALSE)</f>
        <v>Anis</v>
      </c>
      <c r="C832" s="22">
        <f>VLOOKUP($A832,'Medical Examinations'!$A:$D, 2, FALSE)</f>
        <v>36.24</v>
      </c>
      <c r="D832" s="22">
        <f>VLOOKUP($A832, 'Medical Examinations'!$A:$D,3, FALSE)</f>
        <v>8.38</v>
      </c>
      <c r="E832" s="22" t="str">
        <f>VLOOKUP($A832, 'Medical Examinations'!$A:$D, 4, FALSE)</f>
        <v>Yes</v>
      </c>
      <c r="F832" s="22" t="str">
        <f>VLOOKUP($A832, 'Medical Examinations'!$A:$J, 5, FALSE)</f>
        <v>No</v>
      </c>
      <c r="G832" s="22" t="str">
        <f>VLOOKUP($A832, 'Medical Examinations'!$A:$I, 6, FALSE)</f>
        <v>No</v>
      </c>
      <c r="H832" s="22">
        <f>VLOOKUP($A832,'Medical Examinations'!$A:$L,10, FALSE)</f>
        <v>1</v>
      </c>
      <c r="I832" s="22" t="str">
        <f>VLOOKUP($A832, 'Medical Examinations'!$A:$J, 9, FALSE)</f>
        <v>No</v>
      </c>
      <c r="J832" s="22" t="str">
        <f>VLOOKUP($A832, 'Medical Examinations'!$A:$P, 11, FALSE)</f>
        <v>OBESITY</v>
      </c>
      <c r="K832" s="34">
        <v>29110.0</v>
      </c>
      <c r="L832" s="35">
        <f>VLOOKUP($A832, 'Hospitalisation Details'!$A:$H, 7, FALSE)</f>
        <v>12770.27</v>
      </c>
      <c r="M832" s="22" t="str">
        <f>VLOOKUP($A832, 'Hospitalisation Details'!$A:$L, 12, FALSE)</f>
        <v>tier - 3</v>
      </c>
      <c r="N832" s="22" t="str">
        <f>VLOOKUP($A832, 'Hospitalisation Details'!$A:$M, 13, FALSE)</f>
        <v>tier - 3</v>
      </c>
      <c r="O832" s="22" t="str">
        <f>VLOOKUP($A832, 'Hospitalisation Details'!$A:$N, 14, FALSE)</f>
        <v>R1021</v>
      </c>
      <c r="P832" s="36">
        <f>VLOOKUP($A832, 'Hospitalisation Details'!$A:$O, 15, FALSE)</f>
        <v>47</v>
      </c>
    </row>
    <row r="833" ht="15.75" customHeight="1">
      <c r="A833" s="33" t="s">
        <v>1665</v>
      </c>
      <c r="B833" s="22" t="str">
        <f>VLOOKUP($A833,'Customer Names'!$A:$D,3, FALSE)</f>
        <v>Swartz</v>
      </c>
      <c r="C833" s="22">
        <f>VLOOKUP($A833,'Medical Examinations'!$A:$D, 2, FALSE)</f>
        <v>36.955</v>
      </c>
      <c r="D833" s="22">
        <f>VLOOKUP($A833, 'Medical Examinations'!$A:$D,3, FALSE)</f>
        <v>8.07</v>
      </c>
      <c r="E833" s="22" t="str">
        <f>VLOOKUP($A833, 'Medical Examinations'!$A:$D, 4, FALSE)</f>
        <v>No</v>
      </c>
      <c r="F833" s="22" t="str">
        <f>VLOOKUP($A833, 'Medical Examinations'!$A:$J, 5, FALSE)</f>
        <v>No</v>
      </c>
      <c r="G833" s="22" t="str">
        <f>VLOOKUP($A833, 'Medical Examinations'!$A:$I, 6, FALSE)</f>
        <v>No</v>
      </c>
      <c r="H833" s="22">
        <f>VLOOKUP($A833,'Medical Examinations'!$A:$L,10, FALSE)</f>
        <v>0</v>
      </c>
      <c r="I833" s="22" t="str">
        <f>VLOOKUP($A833, 'Medical Examinations'!$A:$J, 9, FALSE)</f>
        <v>No</v>
      </c>
      <c r="J833" s="22" t="str">
        <f>VLOOKUP($A833, 'Medical Examinations'!$A:$P, 11, FALSE)</f>
        <v>OBESITY</v>
      </c>
      <c r="K833" s="34">
        <v>30971.0</v>
      </c>
      <c r="L833" s="35">
        <f>VLOOKUP($A833, 'Hospitalisation Details'!$A:$H, 7, FALSE)</f>
        <v>12741.17</v>
      </c>
      <c r="M833" s="22" t="str">
        <f>VLOOKUP($A833, 'Hospitalisation Details'!$A:$L, 12, FALSE)</f>
        <v>tier - 3</v>
      </c>
      <c r="N833" s="22" t="str">
        <f>VLOOKUP($A833, 'Hospitalisation Details'!$A:$M, 13, FALSE)</f>
        <v>tier - 1</v>
      </c>
      <c r="O833" s="22" t="str">
        <f>VLOOKUP($A833, 'Hospitalisation Details'!$A:$N, 14, FALSE)</f>
        <v>R1017</v>
      </c>
      <c r="P833" s="36">
        <f>VLOOKUP($A833, 'Hospitalisation Details'!$A:$O, 15, FALSE)</f>
        <v>60</v>
      </c>
    </row>
    <row r="834" ht="15.75" customHeight="1">
      <c r="A834" s="33" t="s">
        <v>1667</v>
      </c>
      <c r="B834" s="22" t="str">
        <f>VLOOKUP($A834,'Customer Names'!$A:$D,3, FALSE)</f>
        <v>Schluneker</v>
      </c>
      <c r="C834" s="22">
        <f>VLOOKUP($A834,'Medical Examinations'!$A:$D, 2, FALSE)</f>
        <v>29.64</v>
      </c>
      <c r="D834" s="22">
        <f>VLOOKUP($A834, 'Medical Examinations'!$A:$D,3, FALSE)</f>
        <v>8.95</v>
      </c>
      <c r="E834" s="22" t="str">
        <f>VLOOKUP($A834, 'Medical Examinations'!$A:$D, 4, FALSE)</f>
        <v>No</v>
      </c>
      <c r="F834" s="22" t="str">
        <f>VLOOKUP($A834, 'Medical Examinations'!$A:$J, 5, FALSE)</f>
        <v>No</v>
      </c>
      <c r="G834" s="22" t="str">
        <f>VLOOKUP($A834, 'Medical Examinations'!$A:$I, 6, FALSE)</f>
        <v>No</v>
      </c>
      <c r="H834" s="22">
        <f>VLOOKUP($A834,'Medical Examinations'!$A:$L,10, FALSE)</f>
        <v>0</v>
      </c>
      <c r="I834" s="22" t="str">
        <f>VLOOKUP($A834, 'Medical Examinations'!$A:$J, 9, FALSE)</f>
        <v>No</v>
      </c>
      <c r="J834" s="22" t="str">
        <f>VLOOKUP($A834, 'Medical Examinations'!$A:$P, 11, FALSE)</f>
        <v>OVERWEIGHT</v>
      </c>
      <c r="K834" s="34">
        <v>33479.0</v>
      </c>
      <c r="L834" s="35">
        <f>VLOOKUP($A834, 'Hospitalisation Details'!$A:$H, 7, FALSE)</f>
        <v>12731</v>
      </c>
      <c r="M834" s="22" t="str">
        <f>VLOOKUP($A834, 'Hospitalisation Details'!$A:$L, 12, FALSE)</f>
        <v>tier - 3</v>
      </c>
      <c r="N834" s="22" t="str">
        <f>VLOOKUP($A834, 'Hospitalisation Details'!$A:$M, 13, FALSE)</f>
        <v>tier - 3</v>
      </c>
      <c r="O834" s="22" t="str">
        <f>VLOOKUP($A834, 'Hospitalisation Details'!$A:$N, 14, FALSE)</f>
        <v>R1016</v>
      </c>
      <c r="P834" s="36">
        <f>VLOOKUP($A834, 'Hospitalisation Details'!$A:$O, 15, FALSE)</f>
        <v>60</v>
      </c>
    </row>
    <row r="835" ht="15.75" customHeight="1">
      <c r="A835" s="33" t="s">
        <v>1669</v>
      </c>
      <c r="B835" s="22" t="str">
        <f>VLOOKUP($A835,'Customer Names'!$A:$D,3, FALSE)</f>
        <v>Bellemare</v>
      </c>
      <c r="C835" s="22">
        <f>VLOOKUP($A835,'Medical Examinations'!$A:$D, 2, FALSE)</f>
        <v>42.74</v>
      </c>
      <c r="D835" s="22">
        <f>VLOOKUP($A835, 'Medical Examinations'!$A:$D,3, FALSE)</f>
        <v>6.31</v>
      </c>
      <c r="E835" s="22" t="str">
        <f>VLOOKUP($A835, 'Medical Examinations'!$A:$D, 4, FALSE)</f>
        <v>Yes</v>
      </c>
      <c r="F835" s="22" t="str">
        <f>VLOOKUP($A835, 'Medical Examinations'!$A:$J, 5, FALSE)</f>
        <v>No</v>
      </c>
      <c r="G835" s="22" t="str">
        <f>VLOOKUP($A835, 'Medical Examinations'!$A:$I, 6, FALSE)</f>
        <v>No</v>
      </c>
      <c r="H835" s="22">
        <f>VLOOKUP($A835,'Medical Examinations'!$A:$L,10, FALSE)</f>
        <v>1</v>
      </c>
      <c r="I835" s="22" t="str">
        <f>VLOOKUP($A835, 'Medical Examinations'!$A:$J, 9, FALSE)</f>
        <v>No</v>
      </c>
      <c r="J835" s="22" t="str">
        <f>VLOOKUP($A835, 'Medical Examinations'!$A:$P, 11, FALSE)</f>
        <v>OBESITY</v>
      </c>
      <c r="K835" s="34">
        <v>33155.0</v>
      </c>
      <c r="L835" s="35">
        <f>VLOOKUP($A835, 'Hospitalisation Details'!$A:$H, 7, FALSE)</f>
        <v>12718.21</v>
      </c>
      <c r="M835" s="22" t="str">
        <f>VLOOKUP($A835, 'Hospitalisation Details'!$A:$L, 12, FALSE)</f>
        <v>tier - 3</v>
      </c>
      <c r="N835" s="22" t="str">
        <f>VLOOKUP($A835, 'Hospitalisation Details'!$A:$M, 13, FALSE)</f>
        <v>tier - 1</v>
      </c>
      <c r="O835" s="22" t="str">
        <f>VLOOKUP($A835, 'Hospitalisation Details'!$A:$N, 14, FALSE)</f>
        <v>R1026</v>
      </c>
      <c r="P835" s="36">
        <f>VLOOKUP($A835, 'Hospitalisation Details'!$A:$O, 15, FALSE)</f>
        <v>34</v>
      </c>
    </row>
    <row r="836" ht="15.75" customHeight="1">
      <c r="A836" s="33" t="s">
        <v>1671</v>
      </c>
      <c r="B836" s="22" t="str">
        <f>VLOOKUP($A836,'Customer Names'!$A:$D,3, FALSE)</f>
        <v>Vitalo</v>
      </c>
      <c r="C836" s="22">
        <f>VLOOKUP($A836,'Medical Examinations'!$A:$D, 2, FALSE)</f>
        <v>36.13</v>
      </c>
      <c r="D836" s="22">
        <f>VLOOKUP($A836, 'Medical Examinations'!$A:$D,3, FALSE)</f>
        <v>7.19</v>
      </c>
      <c r="E836" s="22" t="str">
        <f>VLOOKUP($A836, 'Medical Examinations'!$A:$D, 4, FALSE)</f>
        <v>Yes</v>
      </c>
      <c r="F836" s="22" t="str">
        <f>VLOOKUP($A836, 'Medical Examinations'!$A:$J, 5, FALSE)</f>
        <v>No</v>
      </c>
      <c r="G836" s="22" t="str">
        <f>VLOOKUP($A836, 'Medical Examinations'!$A:$I, 6, FALSE)</f>
        <v>No</v>
      </c>
      <c r="H836" s="22">
        <f>VLOOKUP($A836,'Medical Examinations'!$A:$L,10, FALSE)</f>
        <v>2</v>
      </c>
      <c r="I836" s="22" t="str">
        <f>VLOOKUP($A836, 'Medical Examinations'!$A:$J, 9, FALSE)</f>
        <v>No</v>
      </c>
      <c r="J836" s="22" t="str">
        <f>VLOOKUP($A836, 'Medical Examinations'!$A:$P, 11, FALSE)</f>
        <v>OBESITY</v>
      </c>
      <c r="K836" s="34">
        <v>33107.0</v>
      </c>
      <c r="L836" s="35">
        <f>VLOOKUP($A836, 'Hospitalisation Details'!$A:$H, 7, FALSE)</f>
        <v>12713</v>
      </c>
      <c r="M836" s="22" t="str">
        <f>VLOOKUP($A836, 'Hospitalisation Details'!$A:$L, 12, FALSE)</f>
        <v>tier - 3</v>
      </c>
      <c r="N836" s="22" t="str">
        <f>VLOOKUP($A836, 'Hospitalisation Details'!$A:$M, 13, FALSE)</f>
        <v>tier - 1</v>
      </c>
      <c r="O836" s="22" t="str">
        <f>VLOOKUP($A836, 'Hospitalisation Details'!$A:$N, 14, FALSE)</f>
        <v>R1011</v>
      </c>
      <c r="P836" s="36">
        <f>VLOOKUP($A836, 'Hospitalisation Details'!$A:$O, 15, FALSE)</f>
        <v>52</v>
      </c>
    </row>
    <row r="837" ht="15.75" customHeight="1">
      <c r="A837" s="33" t="s">
        <v>1673</v>
      </c>
      <c r="B837" s="22" t="str">
        <f>VLOOKUP($A837,'Customer Names'!$A:$D,3, FALSE)</f>
        <v>Hamilton</v>
      </c>
      <c r="C837" s="22">
        <f>VLOOKUP($A837,'Medical Examinations'!$A:$D, 2, FALSE)</f>
        <v>31.55</v>
      </c>
      <c r="D837" s="22">
        <f>VLOOKUP($A837, 'Medical Examinations'!$A:$D,3, FALSE)</f>
        <v>6.11</v>
      </c>
      <c r="E837" s="22" t="str">
        <f>VLOOKUP($A837, 'Medical Examinations'!$A:$D, 4, FALSE)</f>
        <v>Yes</v>
      </c>
      <c r="F837" s="22" t="str">
        <f>VLOOKUP($A837, 'Medical Examinations'!$A:$J, 5, FALSE)</f>
        <v>No</v>
      </c>
      <c r="G837" s="22" t="str">
        <f>VLOOKUP($A837, 'Medical Examinations'!$A:$I, 6, FALSE)</f>
        <v>No</v>
      </c>
      <c r="H837" s="22">
        <f>VLOOKUP($A837,'Medical Examinations'!$A:$L,10, FALSE)</f>
        <v>1</v>
      </c>
      <c r="I837" s="22" t="str">
        <f>VLOOKUP($A837, 'Medical Examinations'!$A:$J, 9, FALSE)</f>
        <v>No</v>
      </c>
      <c r="J837" s="22" t="str">
        <f>VLOOKUP($A837, 'Medical Examinations'!$A:$P, 11, FALSE)</f>
        <v>OBESITY</v>
      </c>
      <c r="K837" s="34">
        <v>30916.0</v>
      </c>
      <c r="L837" s="35">
        <f>VLOOKUP($A837, 'Hospitalisation Details'!$A:$H, 7, FALSE)</f>
        <v>12700.63</v>
      </c>
      <c r="M837" s="22" t="str">
        <f>VLOOKUP($A837, 'Hospitalisation Details'!$A:$L, 12, FALSE)</f>
        <v>tier - 3</v>
      </c>
      <c r="N837" s="22" t="str">
        <f>VLOOKUP($A837, 'Hospitalisation Details'!$A:$M, 13, FALSE)</f>
        <v>tier - 3</v>
      </c>
      <c r="O837" s="22" t="str">
        <f>VLOOKUP($A837, 'Hospitalisation Details'!$A:$N, 14, FALSE)</f>
        <v>R1011</v>
      </c>
      <c r="P837" s="36">
        <f>VLOOKUP($A837, 'Hospitalisation Details'!$A:$O, 15, FALSE)</f>
        <v>58</v>
      </c>
    </row>
    <row r="838" ht="15.75" customHeight="1">
      <c r="A838" s="33" t="s">
        <v>1675</v>
      </c>
      <c r="B838" s="22" t="str">
        <f>VLOOKUP($A838,'Customer Names'!$A:$D,3, FALSE)</f>
        <v>Marshall</v>
      </c>
      <c r="C838" s="22">
        <f>VLOOKUP($A838,'Medical Examinations'!$A:$D, 2, FALSE)</f>
        <v>52.75</v>
      </c>
      <c r="D838" s="22">
        <f>VLOOKUP($A838, 'Medical Examinations'!$A:$D,3, FALSE)</f>
        <v>6.02</v>
      </c>
      <c r="E838" s="22" t="str">
        <f>VLOOKUP($A838, 'Medical Examinations'!$A:$D, 4, FALSE)</f>
        <v>No</v>
      </c>
      <c r="F838" s="22" t="str">
        <f>VLOOKUP($A838, 'Medical Examinations'!$A:$J, 5, FALSE)</f>
        <v>No</v>
      </c>
      <c r="G838" s="22" t="str">
        <f>VLOOKUP($A838, 'Medical Examinations'!$A:$I, 6, FALSE)</f>
        <v>No</v>
      </c>
      <c r="H838" s="22">
        <f>VLOOKUP($A838,'Medical Examinations'!$A:$L,10, FALSE)</f>
        <v>1</v>
      </c>
      <c r="I838" s="22" t="str">
        <f>VLOOKUP($A838, 'Medical Examinations'!$A:$J, 9, FALSE)</f>
        <v>No</v>
      </c>
      <c r="J838" s="22" t="str">
        <f>VLOOKUP($A838, 'Medical Examinations'!$A:$P, 11, FALSE)</f>
        <v>OBESITY</v>
      </c>
      <c r="K838" s="34">
        <v>34313.0</v>
      </c>
      <c r="L838" s="35">
        <f>VLOOKUP($A838, 'Hospitalisation Details'!$A:$H, 7, FALSE)</f>
        <v>12699.56</v>
      </c>
      <c r="M838" s="22" t="str">
        <f>VLOOKUP($A838, 'Hospitalisation Details'!$A:$L, 12, FALSE)</f>
        <v>tier - 3</v>
      </c>
      <c r="N838" s="22" t="str">
        <f>VLOOKUP($A838, 'Hospitalisation Details'!$A:$M, 13, FALSE)</f>
        <v>tier - 2</v>
      </c>
      <c r="O838" s="22" t="str">
        <f>VLOOKUP($A838, 'Hospitalisation Details'!$A:$N, 14, FALSE)</f>
        <v>R1011</v>
      </c>
      <c r="P838" s="36">
        <f>VLOOKUP($A838, 'Hospitalisation Details'!$A:$O, 15, FALSE)</f>
        <v>30</v>
      </c>
    </row>
    <row r="839" ht="15.75" customHeight="1">
      <c r="A839" s="33" t="s">
        <v>1677</v>
      </c>
      <c r="B839" s="22" t="str">
        <f>VLOOKUP($A839,'Customer Names'!$A:$D,3, FALSE)</f>
        <v>Cale</v>
      </c>
      <c r="C839" s="22">
        <f>VLOOKUP($A839,'Medical Examinations'!$A:$D, 2, FALSE)</f>
        <v>36.67</v>
      </c>
      <c r="D839" s="22">
        <f>VLOOKUP($A839, 'Medical Examinations'!$A:$D,3, FALSE)</f>
        <v>11.86</v>
      </c>
      <c r="E839" s="22" t="str">
        <f>VLOOKUP($A839, 'Medical Examinations'!$A:$D, 4, FALSE)</f>
        <v>No</v>
      </c>
      <c r="F839" s="22" t="str">
        <f>VLOOKUP($A839, 'Medical Examinations'!$A:$J, 5, FALSE)</f>
        <v>No</v>
      </c>
      <c r="G839" s="22" t="str">
        <f>VLOOKUP($A839, 'Medical Examinations'!$A:$I, 6, FALSE)</f>
        <v>No</v>
      </c>
      <c r="H839" s="22">
        <f>VLOOKUP($A839,'Medical Examinations'!$A:$L,10, FALSE)</f>
        <v>0</v>
      </c>
      <c r="I839" s="22" t="str">
        <f>VLOOKUP($A839, 'Medical Examinations'!$A:$J, 9, FALSE)</f>
        <v>No</v>
      </c>
      <c r="J839" s="22" t="str">
        <f>VLOOKUP($A839, 'Medical Examinations'!$A:$P, 11, FALSE)</f>
        <v>OBESITY</v>
      </c>
      <c r="K839" s="34">
        <v>32401.0</v>
      </c>
      <c r="L839" s="35">
        <f>VLOOKUP($A839, 'Hospitalisation Details'!$A:$H, 7, FALSE)</f>
        <v>12697.48</v>
      </c>
      <c r="M839" s="22" t="str">
        <f>VLOOKUP($A839, 'Hospitalisation Details'!$A:$L, 12, FALSE)</f>
        <v>tier - 3</v>
      </c>
      <c r="N839" s="22" t="str">
        <f>VLOOKUP($A839, 'Hospitalisation Details'!$A:$M, 13, FALSE)</f>
        <v>tier - 3</v>
      </c>
      <c r="O839" s="22" t="str">
        <f>VLOOKUP($A839, 'Hospitalisation Details'!$A:$N, 14, FALSE)</f>
        <v>R1021</v>
      </c>
      <c r="P839" s="36">
        <f>VLOOKUP($A839, 'Hospitalisation Details'!$A:$O, 15, FALSE)</f>
        <v>48</v>
      </c>
    </row>
    <row r="840" ht="15.75" customHeight="1">
      <c r="A840" s="33" t="s">
        <v>1679</v>
      </c>
      <c r="B840" s="22" t="str">
        <f>VLOOKUP($A840,'Customer Names'!$A:$D,3, FALSE)</f>
        <v>Pittaway</v>
      </c>
      <c r="C840" s="22">
        <f>VLOOKUP($A840,'Medical Examinations'!$A:$D, 2, FALSE)</f>
        <v>38.06</v>
      </c>
      <c r="D840" s="22">
        <f>VLOOKUP($A840, 'Medical Examinations'!$A:$D,3, FALSE)</f>
        <v>8.25</v>
      </c>
      <c r="E840" s="22" t="str">
        <f>VLOOKUP($A840, 'Medical Examinations'!$A:$D, 4, FALSE)</f>
        <v>No</v>
      </c>
      <c r="F840" s="22" t="str">
        <f>VLOOKUP($A840, 'Medical Examinations'!$A:$J, 5, FALSE)</f>
        <v>No</v>
      </c>
      <c r="G840" s="22" t="str">
        <f>VLOOKUP($A840, 'Medical Examinations'!$A:$I, 6, FALSE)</f>
        <v>No</v>
      </c>
      <c r="H840" s="22">
        <f>VLOOKUP($A840,'Medical Examinations'!$A:$L,10, FALSE)</f>
        <v>0</v>
      </c>
      <c r="I840" s="22" t="str">
        <f>VLOOKUP($A840, 'Medical Examinations'!$A:$J, 9, FALSE)</f>
        <v>No</v>
      </c>
      <c r="J840" s="22" t="str">
        <f>VLOOKUP($A840, 'Medical Examinations'!$A:$P, 11, FALSE)</f>
        <v>OBESITY</v>
      </c>
      <c r="K840" s="34">
        <v>32033.0</v>
      </c>
      <c r="L840" s="35">
        <f>VLOOKUP($A840, 'Hospitalisation Details'!$A:$H, 7, FALSE)</f>
        <v>12648.7</v>
      </c>
      <c r="M840" s="22" t="str">
        <f>VLOOKUP($A840, 'Hospitalisation Details'!$A:$L, 12, FALSE)</f>
        <v>tier - 3</v>
      </c>
      <c r="N840" s="22" t="str">
        <f>VLOOKUP($A840, 'Hospitalisation Details'!$A:$M, 13, FALSE)</f>
        <v>tier - 2</v>
      </c>
      <c r="O840" s="22" t="str">
        <f>VLOOKUP($A840, 'Hospitalisation Details'!$A:$N, 14, FALSE)</f>
        <v>R1013</v>
      </c>
      <c r="P840" s="36">
        <f>VLOOKUP($A840, 'Hospitalisation Details'!$A:$O, 15, FALSE)</f>
        <v>60</v>
      </c>
    </row>
    <row r="841" ht="15.75" customHeight="1">
      <c r="A841" s="33" t="s">
        <v>1681</v>
      </c>
      <c r="B841" s="22" t="str">
        <f>VLOOKUP($A841,'Customer Names'!$A:$D,3, FALSE)</f>
        <v>Bill</v>
      </c>
      <c r="C841" s="22">
        <f>VLOOKUP($A841,'Medical Examinations'!$A:$D, 2, FALSE)</f>
        <v>38</v>
      </c>
      <c r="D841" s="22">
        <f>VLOOKUP($A841, 'Medical Examinations'!$A:$D,3, FALSE)</f>
        <v>8.13</v>
      </c>
      <c r="E841" s="22" t="str">
        <f>VLOOKUP($A841, 'Medical Examinations'!$A:$D, 4, FALSE)</f>
        <v>No</v>
      </c>
      <c r="F841" s="22" t="str">
        <f>VLOOKUP($A841, 'Medical Examinations'!$A:$J, 5, FALSE)</f>
        <v>No</v>
      </c>
      <c r="G841" s="22" t="str">
        <f>VLOOKUP($A841, 'Medical Examinations'!$A:$I, 6, FALSE)</f>
        <v>No</v>
      </c>
      <c r="H841" s="22">
        <f>VLOOKUP($A841,'Medical Examinations'!$A:$L,10, FALSE)</f>
        <v>0</v>
      </c>
      <c r="I841" s="22" t="str">
        <f>VLOOKUP($A841, 'Medical Examinations'!$A:$J, 9, FALSE)</f>
        <v>No</v>
      </c>
      <c r="J841" s="22" t="str">
        <f>VLOOKUP($A841, 'Medical Examinations'!$A:$P, 11, FALSE)</f>
        <v>OBESITY</v>
      </c>
      <c r="K841" s="34">
        <v>32448.0</v>
      </c>
      <c r="L841" s="35">
        <f>VLOOKUP($A841, 'Hospitalisation Details'!$A:$H, 7, FALSE)</f>
        <v>12646.21</v>
      </c>
      <c r="M841" s="22" t="str">
        <f>VLOOKUP($A841, 'Hospitalisation Details'!$A:$L, 12, FALSE)</f>
        <v>tier - 3</v>
      </c>
      <c r="N841" s="22" t="str">
        <f>VLOOKUP($A841, 'Hospitalisation Details'!$A:$M, 13, FALSE)</f>
        <v>tier - 2</v>
      </c>
      <c r="O841" s="22" t="str">
        <f>VLOOKUP($A841, 'Hospitalisation Details'!$A:$N, 14, FALSE)</f>
        <v>R1011</v>
      </c>
      <c r="P841" s="36">
        <f>VLOOKUP($A841, 'Hospitalisation Details'!$A:$O, 15, FALSE)</f>
        <v>57</v>
      </c>
    </row>
    <row r="842" ht="15.75" customHeight="1">
      <c r="A842" s="33" t="s">
        <v>1683</v>
      </c>
      <c r="B842" s="22" t="str">
        <f>VLOOKUP($A842,'Customer Names'!$A:$D,3, FALSE)</f>
        <v>Antrim</v>
      </c>
      <c r="C842" s="22">
        <f>VLOOKUP($A842,'Medical Examinations'!$A:$D, 2, FALSE)</f>
        <v>35.1</v>
      </c>
      <c r="D842" s="22">
        <f>VLOOKUP($A842, 'Medical Examinations'!$A:$D,3, FALSE)</f>
        <v>10.1</v>
      </c>
      <c r="E842" s="22" t="str">
        <f>VLOOKUP($A842, 'Medical Examinations'!$A:$D, 4, FALSE)</f>
        <v>No</v>
      </c>
      <c r="F842" s="22" t="str">
        <f>VLOOKUP($A842, 'Medical Examinations'!$A:$J, 5, FALSE)</f>
        <v>No</v>
      </c>
      <c r="G842" s="22" t="str">
        <f>VLOOKUP($A842, 'Medical Examinations'!$A:$I, 6, FALSE)</f>
        <v>No</v>
      </c>
      <c r="H842" s="22">
        <f>VLOOKUP($A842,'Medical Examinations'!$A:$L,10, FALSE)</f>
        <v>0</v>
      </c>
      <c r="I842" s="22" t="str">
        <f>VLOOKUP($A842, 'Medical Examinations'!$A:$J, 9, FALSE)</f>
        <v>No</v>
      </c>
      <c r="J842" s="22" t="str">
        <f>VLOOKUP($A842, 'Medical Examinations'!$A:$P, 11, FALSE)</f>
        <v>OBESITY</v>
      </c>
      <c r="K842" s="34">
        <v>33860.0</v>
      </c>
      <c r="L842" s="35">
        <f>VLOOKUP($A842, 'Hospitalisation Details'!$A:$H, 7, FALSE)</f>
        <v>12644.59</v>
      </c>
      <c r="M842" s="22" t="str">
        <f>VLOOKUP($A842, 'Hospitalisation Details'!$A:$L, 12, FALSE)</f>
        <v>tier - 3</v>
      </c>
      <c r="N842" s="22" t="str">
        <f>VLOOKUP($A842, 'Hospitalisation Details'!$A:$M, 13, FALSE)</f>
        <v>tier - 2</v>
      </c>
      <c r="O842" s="22" t="str">
        <f>VLOOKUP($A842, 'Hospitalisation Details'!$A:$N, 14, FALSE)</f>
        <v>R1011</v>
      </c>
      <c r="P842" s="36">
        <f>VLOOKUP($A842, 'Hospitalisation Details'!$A:$O, 15, FALSE)</f>
        <v>60</v>
      </c>
    </row>
    <row r="843" ht="15.75" customHeight="1">
      <c r="A843" s="33" t="s">
        <v>1685</v>
      </c>
      <c r="B843" s="22" t="str">
        <f>VLOOKUP($A843,'Customer Names'!$A:$D,3, FALSE)</f>
        <v>Doolittle-Crider</v>
      </c>
      <c r="C843" s="22">
        <f>VLOOKUP($A843,'Medical Examinations'!$A:$D, 2, FALSE)</f>
        <v>33.82</v>
      </c>
      <c r="D843" s="22">
        <f>VLOOKUP($A843, 'Medical Examinations'!$A:$D,3, FALSE)</f>
        <v>5.89</v>
      </c>
      <c r="E843" s="22" t="str">
        <f>VLOOKUP($A843, 'Medical Examinations'!$A:$D, 4, FALSE)</f>
        <v>Yes</v>
      </c>
      <c r="F843" s="22" t="str">
        <f>VLOOKUP($A843, 'Medical Examinations'!$A:$J, 5, FALSE)</f>
        <v>No</v>
      </c>
      <c r="G843" s="22" t="str">
        <f>VLOOKUP($A843, 'Medical Examinations'!$A:$I, 6, FALSE)</f>
        <v>No</v>
      </c>
      <c r="H843" s="22">
        <f>VLOOKUP($A843,'Medical Examinations'!$A:$L,10, FALSE)</f>
        <v>2</v>
      </c>
      <c r="I843" s="22" t="str">
        <f>VLOOKUP($A843, 'Medical Examinations'!$A:$J, 9, FALSE)</f>
        <v>No</v>
      </c>
      <c r="J843" s="22" t="str">
        <f>VLOOKUP($A843, 'Medical Examinations'!$A:$P, 11, FALSE)</f>
        <v>OBESITY</v>
      </c>
      <c r="K843" s="34">
        <v>32099.0</v>
      </c>
      <c r="L843" s="35">
        <f>VLOOKUP($A843, 'Hospitalisation Details'!$A:$H, 7, FALSE)</f>
        <v>12643.38</v>
      </c>
      <c r="M843" s="22" t="str">
        <f>VLOOKUP($A843, 'Hospitalisation Details'!$A:$L, 12, FALSE)</f>
        <v>tier - 3</v>
      </c>
      <c r="N843" s="22" t="str">
        <f>VLOOKUP($A843, 'Hospitalisation Details'!$A:$M, 13, FALSE)</f>
        <v>tier - 1</v>
      </c>
      <c r="O843" s="22" t="str">
        <f>VLOOKUP($A843, 'Hospitalisation Details'!$A:$N, 14, FALSE)</f>
        <v>R1012</v>
      </c>
      <c r="P843" s="36">
        <f>VLOOKUP($A843, 'Hospitalisation Details'!$A:$O, 15, FALSE)</f>
        <v>56</v>
      </c>
    </row>
    <row r="844" ht="15.75" customHeight="1">
      <c r="A844" s="33" t="s">
        <v>1687</v>
      </c>
      <c r="B844" s="22" t="str">
        <f>VLOOKUP($A844,'Customer Names'!$A:$D,3, FALSE)</f>
        <v>Ruhlman</v>
      </c>
      <c r="C844" s="22">
        <f>VLOOKUP($A844,'Medical Examinations'!$A:$D, 2, FALSE)</f>
        <v>37.43</v>
      </c>
      <c r="D844" s="22">
        <f>VLOOKUP($A844, 'Medical Examinations'!$A:$D,3, FALSE)</f>
        <v>4.97</v>
      </c>
      <c r="E844" s="22" t="str">
        <f>VLOOKUP($A844, 'Medical Examinations'!$A:$D, 4, FALSE)</f>
        <v>No</v>
      </c>
      <c r="F844" s="22" t="str">
        <f>VLOOKUP($A844, 'Medical Examinations'!$A:$J, 5, FALSE)</f>
        <v>No</v>
      </c>
      <c r="G844" s="22" t="str">
        <f>VLOOKUP($A844, 'Medical Examinations'!$A:$I, 6, FALSE)</f>
        <v>No</v>
      </c>
      <c r="H844" s="22">
        <f>VLOOKUP($A844,'Medical Examinations'!$A:$L,10, FALSE)</f>
        <v>2</v>
      </c>
      <c r="I844" s="22" t="str">
        <f>VLOOKUP($A844, 'Medical Examinations'!$A:$J, 9, FALSE)</f>
        <v>No</v>
      </c>
      <c r="J844" s="22" t="str">
        <f>VLOOKUP($A844, 'Medical Examinations'!$A:$P, 11, FALSE)</f>
        <v>OBESITY</v>
      </c>
      <c r="K844" s="34">
        <v>36330.0</v>
      </c>
      <c r="L844" s="35">
        <f>VLOOKUP($A844, 'Hospitalisation Details'!$A:$H, 7, FALSE)</f>
        <v>12640.24</v>
      </c>
      <c r="M844" s="22" t="str">
        <f>VLOOKUP($A844, 'Hospitalisation Details'!$A:$L, 12, FALSE)</f>
        <v>tier - 3</v>
      </c>
      <c r="N844" s="22" t="str">
        <f>VLOOKUP($A844, 'Hospitalisation Details'!$A:$M, 13, FALSE)</f>
        <v>tier - 1</v>
      </c>
      <c r="O844" s="22" t="str">
        <f>VLOOKUP($A844, 'Hospitalisation Details'!$A:$N, 14, FALSE)</f>
        <v>R1011</v>
      </c>
      <c r="P844" s="36">
        <f>VLOOKUP($A844, 'Hospitalisation Details'!$A:$O, 15, FALSE)</f>
        <v>50</v>
      </c>
    </row>
    <row r="845" ht="15.75" customHeight="1">
      <c r="A845" s="33" t="s">
        <v>1689</v>
      </c>
      <c r="B845" s="22" t="str">
        <f>VLOOKUP($A845,'Customer Names'!$A:$D,3, FALSE)</f>
        <v>Anderson</v>
      </c>
      <c r="C845" s="22">
        <f>VLOOKUP($A845,'Medical Examinations'!$A:$D, 2, FALSE)</f>
        <v>30.5</v>
      </c>
      <c r="D845" s="22">
        <f>VLOOKUP($A845, 'Medical Examinations'!$A:$D,3, FALSE)</f>
        <v>9.9</v>
      </c>
      <c r="E845" s="22" t="str">
        <f>VLOOKUP($A845, 'Medical Examinations'!$A:$D, 4, FALSE)</f>
        <v>No</v>
      </c>
      <c r="F845" s="22" t="str">
        <f>VLOOKUP($A845, 'Medical Examinations'!$A:$J, 5, FALSE)</f>
        <v>No</v>
      </c>
      <c r="G845" s="22" t="str">
        <f>VLOOKUP($A845, 'Medical Examinations'!$A:$I, 6, FALSE)</f>
        <v>No</v>
      </c>
      <c r="H845" s="22">
        <f>VLOOKUP($A845,'Medical Examinations'!$A:$L,10, FALSE)</f>
        <v>0</v>
      </c>
      <c r="I845" s="22" t="str">
        <f>VLOOKUP($A845, 'Medical Examinations'!$A:$J, 9, FALSE)</f>
        <v>No</v>
      </c>
      <c r="J845" s="22" t="str">
        <f>VLOOKUP($A845, 'Medical Examinations'!$A:$P, 11, FALSE)</f>
        <v>OBESITY</v>
      </c>
      <c r="K845" s="34">
        <v>35625.0</v>
      </c>
      <c r="L845" s="35">
        <f>VLOOKUP($A845, 'Hospitalisation Details'!$A:$H, 7, FALSE)</f>
        <v>12638.2</v>
      </c>
      <c r="M845" s="22" t="str">
        <f>VLOOKUP($A845, 'Hospitalisation Details'!$A:$L, 12, FALSE)</f>
        <v>tier - 3</v>
      </c>
      <c r="N845" s="22" t="str">
        <f>VLOOKUP($A845, 'Hospitalisation Details'!$A:$M, 13, FALSE)</f>
        <v>tier - 1</v>
      </c>
      <c r="O845" s="22" t="str">
        <f>VLOOKUP($A845, 'Hospitalisation Details'!$A:$N, 14, FALSE)</f>
        <v>R1011</v>
      </c>
      <c r="P845" s="36">
        <f>VLOOKUP($A845, 'Hospitalisation Details'!$A:$O, 15, FALSE)</f>
        <v>60</v>
      </c>
    </row>
    <row r="846" ht="15.75" customHeight="1">
      <c r="A846" s="33" t="s">
        <v>1691</v>
      </c>
      <c r="B846" s="22" t="str">
        <f>VLOOKUP($A846,'Customer Names'!$A:$D,3, FALSE)</f>
        <v>Uchiyama</v>
      </c>
      <c r="C846" s="22">
        <f>VLOOKUP($A846,'Medical Examinations'!$A:$D, 2, FALSE)</f>
        <v>24.53</v>
      </c>
      <c r="D846" s="22">
        <f>VLOOKUP($A846, 'Medical Examinations'!$A:$D,3, FALSE)</f>
        <v>9.05</v>
      </c>
      <c r="E846" s="22" t="str">
        <f>VLOOKUP($A846, 'Medical Examinations'!$A:$D, 4, FALSE)</f>
        <v>No</v>
      </c>
      <c r="F846" s="22" t="str">
        <f>VLOOKUP($A846, 'Medical Examinations'!$A:$J, 5, FALSE)</f>
        <v>No</v>
      </c>
      <c r="G846" s="22" t="str">
        <f>VLOOKUP($A846, 'Medical Examinations'!$A:$I, 6, FALSE)</f>
        <v>No</v>
      </c>
      <c r="H846" s="22">
        <f>VLOOKUP($A846,'Medical Examinations'!$A:$L,10, FALSE)</f>
        <v>0</v>
      </c>
      <c r="I846" s="22" t="str">
        <f>VLOOKUP($A846, 'Medical Examinations'!$A:$J, 9, FALSE)</f>
        <v>No</v>
      </c>
      <c r="J846" s="22" t="str">
        <f>VLOOKUP($A846, 'Medical Examinations'!$A:$P, 11, FALSE)</f>
        <v>NORMAL WEIGHT</v>
      </c>
      <c r="K846" s="34">
        <v>28816.0</v>
      </c>
      <c r="L846" s="35">
        <f>VLOOKUP($A846, 'Hospitalisation Details'!$A:$H, 7, FALSE)</f>
        <v>12629.9</v>
      </c>
      <c r="M846" s="22" t="str">
        <f>VLOOKUP($A846, 'Hospitalisation Details'!$A:$L, 12, FALSE)</f>
        <v>tier - 3</v>
      </c>
      <c r="N846" s="22" t="str">
        <f>VLOOKUP($A846, 'Hospitalisation Details'!$A:$M, 13, FALSE)</f>
        <v>tier - 3</v>
      </c>
      <c r="O846" s="22" t="str">
        <f>VLOOKUP($A846, 'Hospitalisation Details'!$A:$N, 14, FALSE)</f>
        <v>R1013</v>
      </c>
      <c r="P846" s="36">
        <f>VLOOKUP($A846, 'Hospitalisation Details'!$A:$O, 15, FALSE)</f>
        <v>60</v>
      </c>
    </row>
    <row r="847" ht="15.75" customHeight="1">
      <c r="A847" s="33" t="s">
        <v>1693</v>
      </c>
      <c r="B847" s="22" t="str">
        <f>VLOOKUP($A847,'Customer Names'!$A:$D,3, FALSE)</f>
        <v>Desota</v>
      </c>
      <c r="C847" s="22">
        <f>VLOOKUP($A847,'Medical Examinations'!$A:$D, 2, FALSE)</f>
        <v>25.74</v>
      </c>
      <c r="D847" s="22">
        <f>VLOOKUP($A847, 'Medical Examinations'!$A:$D,3, FALSE)</f>
        <v>10.93</v>
      </c>
      <c r="E847" s="22" t="str">
        <f>VLOOKUP($A847, 'Medical Examinations'!$A:$D, 4, FALSE)</f>
        <v>No</v>
      </c>
      <c r="F847" s="22" t="str">
        <f>VLOOKUP($A847, 'Medical Examinations'!$A:$J, 5, FALSE)</f>
        <v>No</v>
      </c>
      <c r="G847" s="22" t="str">
        <f>VLOOKUP($A847, 'Medical Examinations'!$A:$I, 6, FALSE)</f>
        <v>No</v>
      </c>
      <c r="H847" s="22">
        <f>VLOOKUP($A847,'Medical Examinations'!$A:$L,10, FALSE)</f>
        <v>0</v>
      </c>
      <c r="I847" s="22" t="str">
        <f>VLOOKUP($A847, 'Medical Examinations'!$A:$J, 9, FALSE)</f>
        <v>No</v>
      </c>
      <c r="J847" s="22" t="str">
        <f>VLOOKUP($A847, 'Medical Examinations'!$A:$P, 11, FALSE)</f>
        <v>OVERWEIGHT</v>
      </c>
      <c r="K847" s="34">
        <v>34131.0</v>
      </c>
      <c r="L847" s="35">
        <f>VLOOKUP($A847, 'Hospitalisation Details'!$A:$H, 7, FALSE)</f>
        <v>12629.17</v>
      </c>
      <c r="M847" s="22" t="str">
        <f>VLOOKUP($A847, 'Hospitalisation Details'!$A:$L, 12, FALSE)</f>
        <v>tier - 3</v>
      </c>
      <c r="N847" s="22" t="str">
        <f>VLOOKUP($A847, 'Hospitalisation Details'!$A:$M, 13, FALSE)</f>
        <v>tier - 1</v>
      </c>
      <c r="O847" s="22" t="str">
        <f>VLOOKUP($A847, 'Hospitalisation Details'!$A:$N, 14, FALSE)</f>
        <v>R1013</v>
      </c>
      <c r="P847" s="36">
        <f>VLOOKUP($A847, 'Hospitalisation Details'!$A:$O, 15, FALSE)</f>
        <v>57</v>
      </c>
    </row>
    <row r="848" ht="15.75" customHeight="1">
      <c r="A848" s="33" t="s">
        <v>1695</v>
      </c>
      <c r="B848" s="22" t="str">
        <f>VLOOKUP($A848,'Customer Names'!$A:$D,3, FALSE)</f>
        <v>Edmonds</v>
      </c>
      <c r="C848" s="22">
        <f>VLOOKUP($A848,'Medical Examinations'!$A:$D, 2, FALSE)</f>
        <v>34.08</v>
      </c>
      <c r="D848" s="22">
        <f>VLOOKUP($A848, 'Medical Examinations'!$A:$D,3, FALSE)</f>
        <v>7.58</v>
      </c>
      <c r="E848" s="22" t="str">
        <f>VLOOKUP($A848, 'Medical Examinations'!$A:$D, 4, FALSE)</f>
        <v>Yes</v>
      </c>
      <c r="F848" s="22" t="str">
        <f>VLOOKUP($A848, 'Medical Examinations'!$A:$J, 5, FALSE)</f>
        <v>No</v>
      </c>
      <c r="G848" s="22" t="str">
        <f>VLOOKUP($A848, 'Medical Examinations'!$A:$I, 6, FALSE)</f>
        <v>No</v>
      </c>
      <c r="H848" s="22">
        <f>VLOOKUP($A848,'Medical Examinations'!$A:$L,10, FALSE)</f>
        <v>2</v>
      </c>
      <c r="I848" s="22" t="str">
        <f>VLOOKUP($A848, 'Medical Examinations'!$A:$J, 9, FALSE)</f>
        <v>No</v>
      </c>
      <c r="J848" s="22" t="str">
        <f>VLOOKUP($A848, 'Medical Examinations'!$A:$P, 11, FALSE)</f>
        <v>OBESITY</v>
      </c>
      <c r="K848" s="34">
        <v>29471.0</v>
      </c>
      <c r="L848" s="35">
        <f>VLOOKUP($A848, 'Hospitalisation Details'!$A:$H, 7, FALSE)</f>
        <v>12624.74</v>
      </c>
      <c r="M848" s="22" t="str">
        <f>VLOOKUP($A848, 'Hospitalisation Details'!$A:$L, 12, FALSE)</f>
        <v>tier - 3</v>
      </c>
      <c r="N848" s="22" t="str">
        <f>VLOOKUP($A848, 'Hospitalisation Details'!$A:$M, 13, FALSE)</f>
        <v>tier - 1</v>
      </c>
      <c r="O848" s="22" t="str">
        <f>VLOOKUP($A848, 'Hospitalisation Details'!$A:$N, 14, FALSE)</f>
        <v>R1012</v>
      </c>
      <c r="P848" s="36">
        <f>VLOOKUP($A848, 'Hospitalisation Details'!$A:$O, 15, FALSE)</f>
        <v>52</v>
      </c>
    </row>
    <row r="849" ht="15.75" customHeight="1">
      <c r="A849" s="33" t="s">
        <v>1697</v>
      </c>
      <c r="B849" s="22" t="str">
        <f>VLOOKUP($A849,'Customer Names'!$A:$D,3, FALSE)</f>
        <v>Otto</v>
      </c>
      <c r="C849" s="22">
        <f>VLOOKUP($A849,'Medical Examinations'!$A:$D, 2, FALSE)</f>
        <v>31.35</v>
      </c>
      <c r="D849" s="22">
        <f>VLOOKUP($A849, 'Medical Examinations'!$A:$D,3, FALSE)</f>
        <v>11</v>
      </c>
      <c r="E849" s="22" t="str">
        <f>VLOOKUP($A849, 'Medical Examinations'!$A:$D, 4, FALSE)</f>
        <v>Yes</v>
      </c>
      <c r="F849" s="22" t="str">
        <f>VLOOKUP($A849, 'Medical Examinations'!$A:$J, 5, FALSE)</f>
        <v>No</v>
      </c>
      <c r="G849" s="22" t="str">
        <f>VLOOKUP($A849, 'Medical Examinations'!$A:$I, 6, FALSE)</f>
        <v>Yes</v>
      </c>
      <c r="H849" s="22">
        <f>VLOOKUP($A849,'Medical Examinations'!$A:$L,10, FALSE)</f>
        <v>1</v>
      </c>
      <c r="I849" s="22" t="str">
        <f>VLOOKUP($A849, 'Medical Examinations'!$A:$J, 9, FALSE)</f>
        <v>No</v>
      </c>
      <c r="J849" s="22" t="str">
        <f>VLOOKUP($A849, 'Medical Examinations'!$A:$P, 11, FALSE)</f>
        <v>OBESITY</v>
      </c>
      <c r="K849" s="34">
        <v>35640.0</v>
      </c>
      <c r="L849" s="35">
        <f>VLOOKUP($A849, 'Hospitalisation Details'!$A:$H, 7, FALSE)</f>
        <v>12622.18</v>
      </c>
      <c r="M849" s="22" t="str">
        <f>VLOOKUP($A849, 'Hospitalisation Details'!$A:$L, 12, FALSE)</f>
        <v>tier - 3</v>
      </c>
      <c r="N849" s="22" t="str">
        <f>VLOOKUP($A849, 'Hospitalisation Details'!$A:$M, 13, FALSE)</f>
        <v>tier - 1</v>
      </c>
      <c r="O849" s="22" t="str">
        <f>VLOOKUP($A849, 'Hospitalisation Details'!$A:$N, 14, FALSE)</f>
        <v>R1012</v>
      </c>
      <c r="P849" s="36">
        <f>VLOOKUP($A849, 'Hospitalisation Details'!$A:$O, 15, FALSE)</f>
        <v>59</v>
      </c>
    </row>
    <row r="850" ht="15.75" customHeight="1">
      <c r="A850" s="33" t="s">
        <v>1699</v>
      </c>
      <c r="B850" s="22" t="str">
        <f>VLOOKUP($A850,'Customer Names'!$A:$D,3, FALSE)</f>
        <v>Kurt</v>
      </c>
      <c r="C850" s="22">
        <f>VLOOKUP($A850,'Medical Examinations'!$A:$D, 2, FALSE)</f>
        <v>26.79</v>
      </c>
      <c r="D850" s="22">
        <f>VLOOKUP($A850, 'Medical Examinations'!$A:$D,3, FALSE)</f>
        <v>5.06</v>
      </c>
      <c r="E850" s="22" t="str">
        <f>VLOOKUP($A850, 'Medical Examinations'!$A:$D, 4, FALSE)</f>
        <v>No</v>
      </c>
      <c r="F850" s="22" t="str">
        <f>VLOOKUP($A850, 'Medical Examinations'!$A:$J, 5, FALSE)</f>
        <v>No</v>
      </c>
      <c r="G850" s="22" t="str">
        <f>VLOOKUP($A850, 'Medical Examinations'!$A:$I, 6, FALSE)</f>
        <v>No</v>
      </c>
      <c r="H850" s="22">
        <f>VLOOKUP($A850,'Medical Examinations'!$A:$L,10, FALSE)</f>
        <v>1</v>
      </c>
      <c r="I850" s="22" t="str">
        <f>VLOOKUP($A850, 'Medical Examinations'!$A:$J, 9, FALSE)</f>
        <v>No</v>
      </c>
      <c r="J850" s="22" t="str">
        <f>VLOOKUP($A850, 'Medical Examinations'!$A:$P, 11, FALSE)</f>
        <v>OVERWEIGHT</v>
      </c>
      <c r="K850" s="34">
        <v>37180.0</v>
      </c>
      <c r="L850" s="35">
        <f>VLOOKUP($A850, 'Hospitalisation Details'!$A:$H, 7, FALSE)</f>
        <v>12609.89</v>
      </c>
      <c r="M850" s="22" t="str">
        <f>VLOOKUP($A850, 'Hospitalisation Details'!$A:$L, 12, FALSE)</f>
        <v>tier - 3</v>
      </c>
      <c r="N850" s="22" t="str">
        <f>VLOOKUP($A850, 'Hospitalisation Details'!$A:$M, 13, FALSE)</f>
        <v>tier - 3</v>
      </c>
      <c r="O850" s="22" t="str">
        <f>VLOOKUP($A850, 'Hospitalisation Details'!$A:$N, 14, FALSE)</f>
        <v>R1012</v>
      </c>
      <c r="P850" s="36">
        <f>VLOOKUP($A850, 'Hospitalisation Details'!$A:$O, 15, FALSE)</f>
        <v>24</v>
      </c>
    </row>
    <row r="851" ht="15.75" customHeight="1">
      <c r="A851" s="33" t="s">
        <v>1701</v>
      </c>
      <c r="B851" s="22" t="str">
        <f>VLOOKUP($A851,'Customer Names'!$A:$D,3, FALSE)</f>
        <v>Duhaime</v>
      </c>
      <c r="C851" s="22">
        <f>VLOOKUP($A851,'Medical Examinations'!$A:$D, 2, FALSE)</f>
        <v>42.78</v>
      </c>
      <c r="D851" s="22">
        <f>VLOOKUP($A851, 'Medical Examinations'!$A:$D,3, FALSE)</f>
        <v>6.11</v>
      </c>
      <c r="E851" s="22" t="str">
        <f>VLOOKUP($A851, 'Medical Examinations'!$A:$D, 4, FALSE)</f>
        <v>Yes</v>
      </c>
      <c r="F851" s="22" t="str">
        <f>VLOOKUP($A851, 'Medical Examinations'!$A:$J, 5, FALSE)</f>
        <v>No</v>
      </c>
      <c r="G851" s="22" t="str">
        <f>VLOOKUP($A851, 'Medical Examinations'!$A:$I, 6, FALSE)</f>
        <v>No</v>
      </c>
      <c r="H851" s="22">
        <f>VLOOKUP($A851,'Medical Examinations'!$A:$L,10, FALSE)</f>
        <v>1</v>
      </c>
      <c r="I851" s="22" t="str">
        <f>VLOOKUP($A851, 'Medical Examinations'!$A:$J, 9, FALSE)</f>
        <v>No</v>
      </c>
      <c r="J851" s="22" t="str">
        <f>VLOOKUP($A851, 'Medical Examinations'!$A:$P, 11, FALSE)</f>
        <v>OBESITY</v>
      </c>
      <c r="K851" s="34">
        <v>35768.0</v>
      </c>
      <c r="L851" s="35">
        <f>VLOOKUP($A851, 'Hospitalisation Details'!$A:$H, 7, FALSE)</f>
        <v>12600.46</v>
      </c>
      <c r="M851" s="22" t="str">
        <f>VLOOKUP($A851, 'Hospitalisation Details'!$A:$L, 12, FALSE)</f>
        <v>tier - 3</v>
      </c>
      <c r="N851" s="22" t="str">
        <f>VLOOKUP($A851, 'Hospitalisation Details'!$A:$M, 13, FALSE)</f>
        <v>tier - 1</v>
      </c>
      <c r="O851" s="22" t="str">
        <f>VLOOKUP($A851, 'Hospitalisation Details'!$A:$N, 14, FALSE)</f>
        <v>R1023</v>
      </c>
      <c r="P851" s="36">
        <f>VLOOKUP($A851, 'Hospitalisation Details'!$A:$O, 15, FALSE)</f>
        <v>34</v>
      </c>
    </row>
    <row r="852" ht="15.75" customHeight="1">
      <c r="A852" s="33" t="s">
        <v>1703</v>
      </c>
      <c r="B852" s="22" t="str">
        <f>VLOOKUP($A852,'Customer Names'!$A:$D,3, FALSE)</f>
        <v>Swann</v>
      </c>
      <c r="C852" s="22">
        <f>VLOOKUP($A852,'Medical Examinations'!$A:$D, 2, FALSE)</f>
        <v>46.75</v>
      </c>
      <c r="D852" s="22">
        <f>VLOOKUP($A852, 'Medical Examinations'!$A:$D,3, FALSE)</f>
        <v>6.66</v>
      </c>
      <c r="E852" s="22" t="str">
        <f>VLOOKUP($A852, 'Medical Examinations'!$A:$D, 4, FALSE)</f>
        <v>Yes</v>
      </c>
      <c r="F852" s="22" t="str">
        <f>VLOOKUP($A852, 'Medical Examinations'!$A:$J, 5, FALSE)</f>
        <v>No</v>
      </c>
      <c r="G852" s="22" t="str">
        <f>VLOOKUP($A852, 'Medical Examinations'!$A:$I, 6, FALSE)</f>
        <v>No</v>
      </c>
      <c r="H852" s="22">
        <f>VLOOKUP($A852,'Medical Examinations'!$A:$L,10, FALSE)</f>
        <v>2</v>
      </c>
      <c r="I852" s="22" t="str">
        <f>VLOOKUP($A852, 'Medical Examinations'!$A:$J, 9, FALSE)</f>
        <v>No</v>
      </c>
      <c r="J852" s="22" t="str">
        <f>VLOOKUP($A852, 'Medical Examinations'!$A:$P, 11, FALSE)</f>
        <v>OBESITY</v>
      </c>
      <c r="K852" s="34">
        <v>31592.0</v>
      </c>
      <c r="L852" s="35">
        <f>VLOOKUP($A852, 'Hospitalisation Details'!$A:$H, 7, FALSE)</f>
        <v>12592.53</v>
      </c>
      <c r="M852" s="22" t="str">
        <f>VLOOKUP($A852, 'Hospitalisation Details'!$A:$L, 12, FALSE)</f>
        <v>tier - 3</v>
      </c>
      <c r="N852" s="22" t="str">
        <f>VLOOKUP($A852, 'Hospitalisation Details'!$A:$M, 13, FALSE)</f>
        <v>tier - 2</v>
      </c>
      <c r="O852" s="22" t="str">
        <f>VLOOKUP($A852, 'Hospitalisation Details'!$A:$N, 14, FALSE)</f>
        <v>R1013</v>
      </c>
      <c r="P852" s="36">
        <f>VLOOKUP($A852, 'Hospitalisation Details'!$A:$O, 15, FALSE)</f>
        <v>52</v>
      </c>
    </row>
    <row r="853" ht="15.75" customHeight="1">
      <c r="A853" s="33" t="s">
        <v>1705</v>
      </c>
      <c r="B853" s="22" t="str">
        <f>VLOOKUP($A853,'Customer Names'!$A:$D,3, FALSE)</f>
        <v>Burton</v>
      </c>
      <c r="C853" s="22">
        <f>VLOOKUP($A853,'Medical Examinations'!$A:$D, 2, FALSE)</f>
        <v>32.15</v>
      </c>
      <c r="D853" s="22">
        <f>VLOOKUP($A853, 'Medical Examinations'!$A:$D,3, FALSE)</f>
        <v>4.02</v>
      </c>
      <c r="E853" s="22" t="str">
        <f>VLOOKUP($A853, 'Medical Examinations'!$A:$D, 4, FALSE)</f>
        <v>Yes</v>
      </c>
      <c r="F853" s="22" t="str">
        <f>VLOOKUP($A853, 'Medical Examinations'!$A:$J, 5, FALSE)</f>
        <v>No</v>
      </c>
      <c r="G853" s="22" t="str">
        <f>VLOOKUP($A853, 'Medical Examinations'!$A:$I, 6, FALSE)</f>
        <v>Yes</v>
      </c>
      <c r="H853" s="22">
        <f>VLOOKUP($A853,'Medical Examinations'!$A:$L,10, FALSE)</f>
        <v>1</v>
      </c>
      <c r="I853" s="22" t="str">
        <f>VLOOKUP($A853, 'Medical Examinations'!$A:$J, 9, FALSE)</f>
        <v>No</v>
      </c>
      <c r="J853" s="22" t="str">
        <f>VLOOKUP($A853, 'Medical Examinations'!$A:$P, 11, FALSE)</f>
        <v>OBESITY</v>
      </c>
      <c r="K853" s="34">
        <v>33841.0</v>
      </c>
      <c r="L853" s="35">
        <f>VLOOKUP($A853, 'Hospitalisation Details'!$A:$H, 7, FALSE)</f>
        <v>12579.92</v>
      </c>
      <c r="M853" s="22" t="str">
        <f>VLOOKUP($A853, 'Hospitalisation Details'!$A:$L, 12, FALSE)</f>
        <v>tier - 3</v>
      </c>
      <c r="N853" s="22" t="str">
        <f>VLOOKUP($A853, 'Hospitalisation Details'!$A:$M, 13, FALSE)</f>
        <v>tier - 1</v>
      </c>
      <c r="O853" s="22" t="str">
        <f>VLOOKUP($A853, 'Hospitalisation Details'!$A:$N, 14, FALSE)</f>
        <v>R1025</v>
      </c>
      <c r="P853" s="36">
        <f>VLOOKUP($A853, 'Hospitalisation Details'!$A:$O, 15, FALSE)</f>
        <v>53</v>
      </c>
    </row>
    <row r="854" ht="15.75" customHeight="1">
      <c r="A854" s="33" t="s">
        <v>1707</v>
      </c>
      <c r="B854" s="22" t="str">
        <f>VLOOKUP($A854,'Customer Names'!$A:$D,3, FALSE)</f>
        <v>Ricardi</v>
      </c>
      <c r="C854" s="22">
        <f>VLOOKUP($A854,'Medical Examinations'!$A:$D, 2, FALSE)</f>
        <v>43.4</v>
      </c>
      <c r="D854" s="22">
        <f>VLOOKUP($A854, 'Medical Examinations'!$A:$D,3, FALSE)</f>
        <v>8.81</v>
      </c>
      <c r="E854" s="22" t="str">
        <f>VLOOKUP($A854, 'Medical Examinations'!$A:$D, 4, FALSE)</f>
        <v>Yes</v>
      </c>
      <c r="F854" s="22" t="str">
        <f>VLOOKUP($A854, 'Medical Examinations'!$A:$J, 5, FALSE)</f>
        <v>No</v>
      </c>
      <c r="G854" s="22" t="str">
        <f>VLOOKUP($A854, 'Medical Examinations'!$A:$I, 6, FALSE)</f>
        <v>No</v>
      </c>
      <c r="H854" s="22">
        <f>VLOOKUP($A854,'Medical Examinations'!$A:$L,10, FALSE)</f>
        <v>2</v>
      </c>
      <c r="I854" s="22" t="str">
        <f>VLOOKUP($A854, 'Medical Examinations'!$A:$J, 9, FALSE)</f>
        <v>No</v>
      </c>
      <c r="J854" s="22" t="str">
        <f>VLOOKUP($A854, 'Medical Examinations'!$A:$P, 11, FALSE)</f>
        <v>OBESITY</v>
      </c>
      <c r="K854" s="34">
        <v>33491.0</v>
      </c>
      <c r="L854" s="35">
        <f>VLOOKUP($A854, 'Hospitalisation Details'!$A:$H, 7, FALSE)</f>
        <v>12574.05</v>
      </c>
      <c r="M854" s="22" t="str">
        <f>VLOOKUP($A854, 'Hospitalisation Details'!$A:$L, 12, FALSE)</f>
        <v>tier - 3</v>
      </c>
      <c r="N854" s="22" t="str">
        <f>VLOOKUP($A854, 'Hospitalisation Details'!$A:$M, 13, FALSE)</f>
        <v>tier - 1</v>
      </c>
      <c r="O854" s="22" t="str">
        <f>VLOOKUP($A854, 'Hospitalisation Details'!$A:$N, 14, FALSE)</f>
        <v>R1011</v>
      </c>
      <c r="P854" s="36">
        <f>VLOOKUP($A854, 'Hospitalisation Details'!$A:$O, 15, FALSE)</f>
        <v>61</v>
      </c>
    </row>
    <row r="855" ht="15.75" customHeight="1">
      <c r="A855" s="33" t="s">
        <v>1709</v>
      </c>
      <c r="B855" s="22" t="str">
        <f>VLOOKUP($A855,'Customer Names'!$A:$D,3, FALSE)</f>
        <v>Joslyn</v>
      </c>
      <c r="C855" s="22">
        <f>VLOOKUP($A855,'Medical Examinations'!$A:$D, 2, FALSE)</f>
        <v>31.57</v>
      </c>
      <c r="D855" s="22">
        <f>VLOOKUP($A855, 'Medical Examinations'!$A:$D,3, FALSE)</f>
        <v>7.92</v>
      </c>
      <c r="E855" s="22" t="str">
        <f>VLOOKUP($A855, 'Medical Examinations'!$A:$D, 4, FALSE)</f>
        <v>Yes</v>
      </c>
      <c r="F855" s="22" t="str">
        <f>VLOOKUP($A855, 'Medical Examinations'!$A:$J, 5, FALSE)</f>
        <v>No</v>
      </c>
      <c r="G855" s="22" t="str">
        <f>VLOOKUP($A855, 'Medical Examinations'!$A:$I, 6, FALSE)</f>
        <v>No</v>
      </c>
      <c r="H855" s="22">
        <f>VLOOKUP($A855,'Medical Examinations'!$A:$L,10, FALSE)</f>
        <v>2</v>
      </c>
      <c r="I855" s="22" t="str">
        <f>VLOOKUP($A855, 'Medical Examinations'!$A:$J, 9, FALSE)</f>
        <v>No</v>
      </c>
      <c r="J855" s="22" t="str">
        <f>VLOOKUP($A855, 'Medical Examinations'!$A:$P, 11, FALSE)</f>
        <v>OBESITY</v>
      </c>
      <c r="K855" s="34">
        <v>31409.0</v>
      </c>
      <c r="L855" s="35">
        <f>VLOOKUP($A855, 'Hospitalisation Details'!$A:$H, 7, FALSE)</f>
        <v>12557.61</v>
      </c>
      <c r="M855" s="22" t="str">
        <f>VLOOKUP($A855, 'Hospitalisation Details'!$A:$L, 12, FALSE)</f>
        <v>tier - 3</v>
      </c>
      <c r="N855" s="22" t="str">
        <f>VLOOKUP($A855, 'Hospitalisation Details'!$A:$M, 13, FALSE)</f>
        <v>tier - 3</v>
      </c>
      <c r="O855" s="22" t="str">
        <f>VLOOKUP($A855, 'Hospitalisation Details'!$A:$N, 14, FALSE)</f>
        <v>R1013</v>
      </c>
      <c r="P855" s="36">
        <f>VLOOKUP($A855, 'Hospitalisation Details'!$A:$O, 15, FALSE)</f>
        <v>61</v>
      </c>
    </row>
    <row r="856" ht="15.75" customHeight="1">
      <c r="A856" s="33" t="s">
        <v>1711</v>
      </c>
      <c r="B856" s="22" t="str">
        <f>VLOOKUP($A856,'Customer Names'!$A:$D,3, FALSE)</f>
        <v>Bennie</v>
      </c>
      <c r="C856" s="22">
        <f>VLOOKUP($A856,'Medical Examinations'!$A:$D, 2, FALSE)</f>
        <v>24.32</v>
      </c>
      <c r="D856" s="22">
        <f>VLOOKUP($A856, 'Medical Examinations'!$A:$D,3, FALSE)</f>
        <v>7.48</v>
      </c>
      <c r="E856" s="22" t="str">
        <f>VLOOKUP($A856, 'Medical Examinations'!$A:$D, 4, FALSE)</f>
        <v>No</v>
      </c>
      <c r="F856" s="22" t="str">
        <f>VLOOKUP($A856, 'Medical Examinations'!$A:$J, 5, FALSE)</f>
        <v>No</v>
      </c>
      <c r="G856" s="22" t="str">
        <f>VLOOKUP($A856, 'Medical Examinations'!$A:$I, 6, FALSE)</f>
        <v>No</v>
      </c>
      <c r="H856" s="22">
        <f>VLOOKUP($A856,'Medical Examinations'!$A:$L,10, FALSE)</f>
        <v>0</v>
      </c>
      <c r="I856" s="22" t="str">
        <f>VLOOKUP($A856, 'Medical Examinations'!$A:$J, 9, FALSE)</f>
        <v>No</v>
      </c>
      <c r="J856" s="22" t="str">
        <f>VLOOKUP($A856, 'Medical Examinations'!$A:$P, 11, FALSE)</f>
        <v>NORMAL WEIGHT</v>
      </c>
      <c r="K856" s="34">
        <v>32456.0</v>
      </c>
      <c r="L856" s="35">
        <f>VLOOKUP($A856, 'Hospitalisation Details'!$A:$H, 7, FALSE)</f>
        <v>12523.6</v>
      </c>
      <c r="M856" s="22" t="str">
        <f>VLOOKUP($A856, 'Hospitalisation Details'!$A:$L, 12, FALSE)</f>
        <v>tier - 3</v>
      </c>
      <c r="N856" s="22" t="str">
        <f>VLOOKUP($A856, 'Hospitalisation Details'!$A:$M, 13, FALSE)</f>
        <v>tier - 3</v>
      </c>
      <c r="O856" s="22" t="str">
        <f>VLOOKUP($A856, 'Hospitalisation Details'!$A:$N, 14, FALSE)</f>
        <v>R1012</v>
      </c>
      <c r="P856" s="36">
        <f>VLOOKUP($A856, 'Hospitalisation Details'!$A:$O, 15, FALSE)</f>
        <v>60</v>
      </c>
    </row>
    <row r="857" ht="15.75" customHeight="1">
      <c r="A857" s="33" t="s">
        <v>1713</v>
      </c>
      <c r="B857" s="22" t="str">
        <f>VLOOKUP($A857,'Customer Names'!$A:$D,3, FALSE)</f>
        <v>Kanyane</v>
      </c>
      <c r="C857" s="22">
        <f>VLOOKUP($A857,'Medical Examinations'!$A:$D, 2, FALSE)</f>
        <v>31.07</v>
      </c>
      <c r="D857" s="22">
        <f>VLOOKUP($A857, 'Medical Examinations'!$A:$D,3, FALSE)</f>
        <v>4.62</v>
      </c>
      <c r="E857" s="22" t="str">
        <f>VLOOKUP($A857, 'Medical Examinations'!$A:$D, 4, FALSE)</f>
        <v>Yes</v>
      </c>
      <c r="F857" s="22" t="str">
        <f>VLOOKUP($A857, 'Medical Examinations'!$A:$J, 5, FALSE)</f>
        <v>No</v>
      </c>
      <c r="G857" s="22" t="str">
        <f>VLOOKUP($A857, 'Medical Examinations'!$A:$I, 6, FALSE)</f>
        <v>No</v>
      </c>
      <c r="H857" s="22">
        <f>VLOOKUP($A857,'Medical Examinations'!$A:$L,10, FALSE)</f>
        <v>2</v>
      </c>
      <c r="I857" s="22" t="str">
        <f>VLOOKUP($A857, 'Medical Examinations'!$A:$J, 9, FALSE)</f>
        <v>No</v>
      </c>
      <c r="J857" s="22" t="str">
        <f>VLOOKUP($A857, 'Medical Examinations'!$A:$P, 11, FALSE)</f>
        <v>OBESITY</v>
      </c>
      <c r="K857" s="34">
        <v>32332.0</v>
      </c>
      <c r="L857" s="35">
        <f>VLOOKUP($A857, 'Hospitalisation Details'!$A:$H, 7, FALSE)</f>
        <v>12499.88</v>
      </c>
      <c r="M857" s="22" t="str">
        <f>VLOOKUP($A857, 'Hospitalisation Details'!$A:$L, 12, FALSE)</f>
        <v>tier - 3</v>
      </c>
      <c r="N857" s="22" t="str">
        <f>VLOOKUP($A857, 'Hospitalisation Details'!$A:$M, 13, FALSE)</f>
        <v>tier - 2</v>
      </c>
      <c r="O857" s="22" t="str">
        <f>VLOOKUP($A857, 'Hospitalisation Details'!$A:$N, 14, FALSE)</f>
        <v>R1012</v>
      </c>
      <c r="P857" s="36">
        <f>VLOOKUP($A857, 'Hospitalisation Details'!$A:$O, 15, FALSE)</f>
        <v>56</v>
      </c>
    </row>
    <row r="858" ht="15.75" customHeight="1">
      <c r="A858" s="33" t="s">
        <v>1715</v>
      </c>
      <c r="B858" s="22" t="str">
        <f>VLOOKUP($A858,'Customer Names'!$A:$D,3, FALSE)</f>
        <v>McFadden</v>
      </c>
      <c r="C858" s="22">
        <f>VLOOKUP($A858,'Medical Examinations'!$A:$D, 2, FALSE)</f>
        <v>35.815</v>
      </c>
      <c r="D858" s="22">
        <f>VLOOKUP($A858, 'Medical Examinations'!$A:$D,3, FALSE)</f>
        <v>8.47</v>
      </c>
      <c r="E858" s="22" t="str">
        <f>VLOOKUP($A858, 'Medical Examinations'!$A:$D, 4, FALSE)</f>
        <v>No</v>
      </c>
      <c r="F858" s="22" t="str">
        <f>VLOOKUP($A858, 'Medical Examinations'!$A:$J, 5, FALSE)</f>
        <v>No</v>
      </c>
      <c r="G858" s="22" t="str">
        <f>VLOOKUP($A858, 'Medical Examinations'!$A:$I, 6, FALSE)</f>
        <v>No</v>
      </c>
      <c r="H858" s="22">
        <f>VLOOKUP($A858,'Medical Examinations'!$A:$L,10, FALSE)</f>
        <v>0</v>
      </c>
      <c r="I858" s="22" t="str">
        <f>VLOOKUP($A858, 'Medical Examinations'!$A:$J, 9, FALSE)</f>
        <v>No</v>
      </c>
      <c r="J858" s="22" t="str">
        <f>VLOOKUP($A858, 'Medical Examinations'!$A:$P, 11, FALSE)</f>
        <v>OBESITY</v>
      </c>
      <c r="K858" s="34">
        <v>28285.0</v>
      </c>
      <c r="L858" s="35">
        <f>VLOOKUP($A858, 'Hospitalisation Details'!$A:$H, 7, FALSE)</f>
        <v>12495.29</v>
      </c>
      <c r="M858" s="22" t="str">
        <f>VLOOKUP($A858, 'Hospitalisation Details'!$A:$L, 12, FALSE)</f>
        <v>tier - 3</v>
      </c>
      <c r="N858" s="22" t="str">
        <f>VLOOKUP($A858, 'Hospitalisation Details'!$A:$M, 13, FALSE)</f>
        <v>tier - 3</v>
      </c>
      <c r="O858" s="22" t="str">
        <f>VLOOKUP($A858, 'Hospitalisation Details'!$A:$N, 14, FALSE)</f>
        <v>R1012</v>
      </c>
      <c r="P858" s="36">
        <f>VLOOKUP($A858, 'Hospitalisation Details'!$A:$O, 15, FALSE)</f>
        <v>54</v>
      </c>
    </row>
    <row r="859" ht="15.75" customHeight="1">
      <c r="A859" s="33" t="s">
        <v>1717</v>
      </c>
      <c r="B859" s="22" t="str">
        <f>VLOOKUP($A859,'Customer Names'!$A:$D,3, FALSE)</f>
        <v>Connolly</v>
      </c>
      <c r="C859" s="22">
        <f>VLOOKUP($A859,'Medical Examinations'!$A:$D, 2, FALSE)</f>
        <v>40.81</v>
      </c>
      <c r="D859" s="22">
        <f>VLOOKUP($A859, 'Medical Examinations'!$A:$D,3, FALSE)</f>
        <v>10.58</v>
      </c>
      <c r="E859" s="22" t="str">
        <f>VLOOKUP($A859, 'Medical Examinations'!$A:$D, 4, FALSE)</f>
        <v>Yes</v>
      </c>
      <c r="F859" s="22" t="str">
        <f>VLOOKUP($A859, 'Medical Examinations'!$A:$J, 5, FALSE)</f>
        <v>No</v>
      </c>
      <c r="G859" s="22" t="str">
        <f>VLOOKUP($A859, 'Medical Examinations'!$A:$I, 6, FALSE)</f>
        <v>No</v>
      </c>
      <c r="H859" s="22">
        <f>VLOOKUP($A859,'Medical Examinations'!$A:$L,10, FALSE)</f>
        <v>0</v>
      </c>
      <c r="I859" s="22" t="str">
        <f>VLOOKUP($A859, 'Medical Examinations'!$A:$J, 9, FALSE)</f>
        <v>No</v>
      </c>
      <c r="J859" s="22" t="str">
        <f>VLOOKUP($A859, 'Medical Examinations'!$A:$P, 11, FALSE)</f>
        <v>OBESITY</v>
      </c>
      <c r="K859" s="34">
        <v>32390.0</v>
      </c>
      <c r="L859" s="35">
        <f>VLOOKUP($A859, 'Hospitalisation Details'!$A:$H, 7, FALSE)</f>
        <v>12485.8</v>
      </c>
      <c r="M859" s="22" t="str">
        <f>VLOOKUP($A859, 'Hospitalisation Details'!$A:$L, 12, FALSE)</f>
        <v>tier - 3</v>
      </c>
      <c r="N859" s="22" t="str">
        <f>VLOOKUP($A859, 'Hospitalisation Details'!$A:$M, 13, FALSE)</f>
        <v>tier - 3</v>
      </c>
      <c r="O859" s="22" t="str">
        <f>VLOOKUP($A859, 'Hospitalisation Details'!$A:$N, 14, FALSE)</f>
        <v>R1013</v>
      </c>
      <c r="P859" s="36">
        <f>VLOOKUP($A859, 'Hospitalisation Details'!$A:$O, 15, FALSE)</f>
        <v>55</v>
      </c>
    </row>
    <row r="860" ht="15.75" customHeight="1">
      <c r="A860" s="33" t="s">
        <v>1719</v>
      </c>
      <c r="B860" s="22" t="str">
        <f>VLOOKUP($A860,'Customer Names'!$A:$D,3, FALSE)</f>
        <v>Merino</v>
      </c>
      <c r="C860" s="22">
        <f>VLOOKUP($A860,'Medical Examinations'!$A:$D, 2, FALSE)</f>
        <v>24.605</v>
      </c>
      <c r="D860" s="22">
        <f>VLOOKUP($A860, 'Medical Examinations'!$A:$D,3, FALSE)</f>
        <v>7.48</v>
      </c>
      <c r="E860" s="22" t="str">
        <f>VLOOKUP($A860, 'Medical Examinations'!$A:$D, 4, FALSE)</f>
        <v>No</v>
      </c>
      <c r="F860" s="22" t="str">
        <f>VLOOKUP($A860, 'Medical Examinations'!$A:$J, 5, FALSE)</f>
        <v>No</v>
      </c>
      <c r="G860" s="22" t="str">
        <f>VLOOKUP($A860, 'Medical Examinations'!$A:$I, 6, FALSE)</f>
        <v>No</v>
      </c>
      <c r="H860" s="22">
        <f>VLOOKUP($A860,'Medical Examinations'!$A:$L,10, FALSE)</f>
        <v>0</v>
      </c>
      <c r="I860" s="22" t="str">
        <f>VLOOKUP($A860, 'Medical Examinations'!$A:$J, 9, FALSE)</f>
        <v>No</v>
      </c>
      <c r="J860" s="22" t="str">
        <f>VLOOKUP($A860, 'Medical Examinations'!$A:$P, 11, FALSE)</f>
        <v>NORMAL WEIGHT</v>
      </c>
      <c r="K860" s="34">
        <v>37169.0</v>
      </c>
      <c r="L860" s="35">
        <f>VLOOKUP($A860, 'Hospitalisation Details'!$A:$H, 7, FALSE)</f>
        <v>12479.71</v>
      </c>
      <c r="M860" s="22" t="str">
        <f>VLOOKUP($A860, 'Hospitalisation Details'!$A:$L, 12, FALSE)</f>
        <v>tier - 3</v>
      </c>
      <c r="N860" s="22" t="str">
        <f>VLOOKUP($A860, 'Hospitalisation Details'!$A:$M, 13, FALSE)</f>
        <v>tier - 3</v>
      </c>
      <c r="O860" s="22" t="str">
        <f>VLOOKUP($A860, 'Hospitalisation Details'!$A:$N, 14, FALSE)</f>
        <v>R1012</v>
      </c>
      <c r="P860" s="36">
        <f>VLOOKUP($A860, 'Hospitalisation Details'!$A:$O, 15, FALSE)</f>
        <v>54</v>
      </c>
    </row>
    <row r="861" ht="15.75" customHeight="1">
      <c r="A861" s="33" t="s">
        <v>1721</v>
      </c>
      <c r="B861" s="22" t="str">
        <f>VLOOKUP($A861,'Customer Names'!$A:$D,3, FALSE)</f>
        <v>Baird</v>
      </c>
      <c r="C861" s="22">
        <f>VLOOKUP($A861,'Medical Examinations'!$A:$D, 2, FALSE)</f>
        <v>21.47</v>
      </c>
      <c r="D861" s="22">
        <f>VLOOKUP($A861, 'Medical Examinations'!$A:$D,3, FALSE)</f>
        <v>7.82</v>
      </c>
      <c r="E861" s="22" t="str">
        <f>VLOOKUP($A861, 'Medical Examinations'!$A:$D, 4, FALSE)</f>
        <v>No</v>
      </c>
      <c r="F861" s="22" t="str">
        <f>VLOOKUP($A861, 'Medical Examinations'!$A:$J, 5, FALSE)</f>
        <v>No</v>
      </c>
      <c r="G861" s="22" t="str">
        <f>VLOOKUP($A861, 'Medical Examinations'!$A:$I, 6, FALSE)</f>
        <v>No</v>
      </c>
      <c r="H861" s="22">
        <f>VLOOKUP($A861,'Medical Examinations'!$A:$L,10, FALSE)</f>
        <v>0</v>
      </c>
      <c r="I861" s="22" t="str">
        <f>VLOOKUP($A861, 'Medical Examinations'!$A:$J, 9, FALSE)</f>
        <v>No</v>
      </c>
      <c r="J861" s="22" t="str">
        <f>VLOOKUP($A861, 'Medical Examinations'!$A:$P, 11, FALSE)</f>
        <v>NORMAL WEIGHT</v>
      </c>
      <c r="K861" s="34">
        <v>32318.0</v>
      </c>
      <c r="L861" s="35">
        <f>VLOOKUP($A861, 'Hospitalisation Details'!$A:$H, 7, FALSE)</f>
        <v>12475.35</v>
      </c>
      <c r="M861" s="22" t="str">
        <f>VLOOKUP($A861, 'Hospitalisation Details'!$A:$L, 12, FALSE)</f>
        <v>tier - 3</v>
      </c>
      <c r="N861" s="22" t="str">
        <f>VLOOKUP($A861, 'Hospitalisation Details'!$A:$M, 13, FALSE)</f>
        <v>tier - 1</v>
      </c>
      <c r="O861" s="22" t="str">
        <f>VLOOKUP($A861, 'Hospitalisation Details'!$A:$N, 14, FALSE)</f>
        <v>R1012</v>
      </c>
      <c r="P861" s="36">
        <f>VLOOKUP($A861, 'Hospitalisation Details'!$A:$O, 15, FALSE)</f>
        <v>54</v>
      </c>
    </row>
    <row r="862" ht="15.75" customHeight="1">
      <c r="A862" s="33" t="s">
        <v>1723</v>
      </c>
      <c r="B862" s="22" t="str">
        <f>VLOOKUP($A862,'Customer Names'!$A:$D,3, FALSE)</f>
        <v>Locatelli</v>
      </c>
      <c r="C862" s="22">
        <f>VLOOKUP($A862,'Medical Examinations'!$A:$D, 2, FALSE)</f>
        <v>52.89</v>
      </c>
      <c r="D862" s="22">
        <f>VLOOKUP($A862, 'Medical Examinations'!$A:$D,3, FALSE)</f>
        <v>4.96</v>
      </c>
      <c r="E862" s="22" t="str">
        <f>VLOOKUP($A862, 'Medical Examinations'!$A:$D, 4, FALSE)</f>
        <v>Yes</v>
      </c>
      <c r="F862" s="22" t="str">
        <f>VLOOKUP($A862, 'Medical Examinations'!$A:$J, 5, FALSE)</f>
        <v>No</v>
      </c>
      <c r="G862" s="22" t="str">
        <f>VLOOKUP($A862, 'Medical Examinations'!$A:$I, 6, FALSE)</f>
        <v>No</v>
      </c>
      <c r="H862" s="22">
        <f>VLOOKUP($A862,'Medical Examinations'!$A:$L,10, FALSE)</f>
        <v>1</v>
      </c>
      <c r="I862" s="22" t="str">
        <f>VLOOKUP($A862, 'Medical Examinations'!$A:$J, 9, FALSE)</f>
        <v>No</v>
      </c>
      <c r="J862" s="22" t="str">
        <f>VLOOKUP($A862, 'Medical Examinations'!$A:$P, 11, FALSE)</f>
        <v>OBESITY</v>
      </c>
      <c r="K862" s="34">
        <v>26975.0</v>
      </c>
      <c r="L862" s="35">
        <f>VLOOKUP($A862, 'Hospitalisation Details'!$A:$H, 7, FALSE)</f>
        <v>12452.25</v>
      </c>
      <c r="M862" s="22" t="str">
        <f>VLOOKUP($A862, 'Hospitalisation Details'!$A:$L, 12, FALSE)</f>
        <v>tier - 3</v>
      </c>
      <c r="N862" s="22" t="str">
        <f>VLOOKUP($A862, 'Hospitalisation Details'!$A:$M, 13, FALSE)</f>
        <v>tier - 3</v>
      </c>
      <c r="O862" s="22" t="str">
        <f>VLOOKUP($A862, 'Hospitalisation Details'!$A:$N, 14, FALSE)</f>
        <v>R1012</v>
      </c>
      <c r="P862" s="36">
        <f>VLOOKUP($A862, 'Hospitalisation Details'!$A:$O, 15, FALSE)</f>
        <v>27</v>
      </c>
    </row>
    <row r="863" ht="15.75" customHeight="1">
      <c r="A863" s="33" t="s">
        <v>1725</v>
      </c>
      <c r="B863" s="22" t="str">
        <f>VLOOKUP($A863,'Customer Names'!$A:$D,3, FALSE)</f>
        <v>Brake</v>
      </c>
      <c r="C863" s="22">
        <f>VLOOKUP($A863,'Medical Examinations'!$A:$D, 2, FALSE)</f>
        <v>32.965</v>
      </c>
      <c r="D863" s="22">
        <f>VLOOKUP($A863, 'Medical Examinations'!$A:$D,3, FALSE)</f>
        <v>6.15</v>
      </c>
      <c r="E863" s="22" t="str">
        <f>VLOOKUP($A863, 'Medical Examinations'!$A:$D, 4, FALSE)</f>
        <v>Yes</v>
      </c>
      <c r="F863" s="22" t="str">
        <f>VLOOKUP($A863, 'Medical Examinations'!$A:$J, 5, FALSE)</f>
        <v>No</v>
      </c>
      <c r="G863" s="22" t="str">
        <f>VLOOKUP($A863, 'Medical Examinations'!$A:$I, 6, FALSE)</f>
        <v>No</v>
      </c>
      <c r="H863" s="22">
        <f>VLOOKUP($A863,'Medical Examinations'!$A:$L,10, FALSE)</f>
        <v>1</v>
      </c>
      <c r="I863" s="22" t="str">
        <f>VLOOKUP($A863, 'Medical Examinations'!$A:$J, 9, FALSE)</f>
        <v>No</v>
      </c>
      <c r="J863" s="22" t="str">
        <f>VLOOKUP($A863, 'Medical Examinations'!$A:$P, 11, FALSE)</f>
        <v>OBESITY</v>
      </c>
      <c r="K863" s="34">
        <v>33480.0</v>
      </c>
      <c r="L863" s="35">
        <f>VLOOKUP($A863, 'Hospitalisation Details'!$A:$H, 7, FALSE)</f>
        <v>12430.95</v>
      </c>
      <c r="M863" s="22" t="str">
        <f>VLOOKUP($A863, 'Hospitalisation Details'!$A:$L, 12, FALSE)</f>
        <v>tier - 3</v>
      </c>
      <c r="N863" s="22" t="str">
        <f>VLOOKUP($A863, 'Hospitalisation Details'!$A:$M, 13, FALSE)</f>
        <v>tier - 3</v>
      </c>
      <c r="O863" s="22" t="str">
        <f>VLOOKUP($A863, 'Hospitalisation Details'!$A:$N, 14, FALSE)</f>
        <v>R1024</v>
      </c>
      <c r="P863" s="36">
        <f>VLOOKUP($A863, 'Hospitalisation Details'!$A:$O, 15, FALSE)</f>
        <v>58</v>
      </c>
    </row>
    <row r="864" ht="15.75" customHeight="1">
      <c r="A864" s="33" t="s">
        <v>1727</v>
      </c>
      <c r="B864" s="22" t="str">
        <f>VLOOKUP($A864,'Customer Names'!$A:$D,3, FALSE)</f>
        <v>Jacobs</v>
      </c>
      <c r="C864" s="22">
        <f>VLOOKUP($A864,'Medical Examinations'!$A:$D, 2, FALSE)</f>
        <v>36.8</v>
      </c>
      <c r="D864" s="22">
        <f>VLOOKUP($A864, 'Medical Examinations'!$A:$D,3, FALSE)</f>
        <v>4.62</v>
      </c>
      <c r="E864" s="22" t="str">
        <f>VLOOKUP($A864, 'Medical Examinations'!$A:$D, 4, FALSE)</f>
        <v>No</v>
      </c>
      <c r="F864" s="22" t="str">
        <f>VLOOKUP($A864, 'Medical Examinations'!$A:$J, 5, FALSE)</f>
        <v>No</v>
      </c>
      <c r="G864" s="22" t="str">
        <f>VLOOKUP($A864, 'Medical Examinations'!$A:$I, 6, FALSE)</f>
        <v>Yes</v>
      </c>
      <c r="H864" s="22">
        <f>VLOOKUP($A864,'Medical Examinations'!$A:$L,10, FALSE)</f>
        <v>1</v>
      </c>
      <c r="I864" s="22" t="str">
        <f>VLOOKUP($A864, 'Medical Examinations'!$A:$J, 9, FALSE)</f>
        <v>No</v>
      </c>
      <c r="J864" s="22" t="str">
        <f>VLOOKUP($A864, 'Medical Examinations'!$A:$P, 11, FALSE)</f>
        <v>OBESITY</v>
      </c>
      <c r="K864" s="34">
        <v>28350.0</v>
      </c>
      <c r="L864" s="35">
        <f>VLOOKUP($A864, 'Hospitalisation Details'!$A:$H, 7, FALSE)</f>
        <v>12408.29</v>
      </c>
      <c r="M864" s="22" t="str">
        <f>VLOOKUP($A864, 'Hospitalisation Details'!$A:$L, 12, FALSE)</f>
        <v>tier - 3</v>
      </c>
      <c r="N864" s="22" t="str">
        <f>VLOOKUP($A864, 'Hospitalisation Details'!$A:$M, 13, FALSE)</f>
        <v>tier - 1</v>
      </c>
      <c r="O864" s="22" t="str">
        <f>VLOOKUP($A864, 'Hospitalisation Details'!$A:$N, 14, FALSE)</f>
        <v>R1022</v>
      </c>
      <c r="P864" s="36">
        <f>VLOOKUP($A864, 'Hospitalisation Details'!$A:$O, 15, FALSE)</f>
        <v>43</v>
      </c>
    </row>
    <row r="865" ht="15.75" customHeight="1">
      <c r="A865" s="33" t="s">
        <v>1729</v>
      </c>
      <c r="B865" s="22" t="str">
        <f>VLOOKUP($A865,'Customer Names'!$A:$D,3, FALSE)</f>
        <v>Vaught</v>
      </c>
      <c r="C865" s="22">
        <f>VLOOKUP($A865,'Medical Examinations'!$A:$D, 2, FALSE)</f>
        <v>34.3</v>
      </c>
      <c r="D865" s="22">
        <f>VLOOKUP($A865, 'Medical Examinations'!$A:$D,3, FALSE)</f>
        <v>4.87</v>
      </c>
      <c r="E865" s="22" t="str">
        <f>VLOOKUP($A865, 'Medical Examinations'!$A:$D, 4, FALSE)</f>
        <v>No</v>
      </c>
      <c r="F865" s="22" t="str">
        <f>VLOOKUP($A865, 'Medical Examinations'!$A:$J, 5, FALSE)</f>
        <v>No</v>
      </c>
      <c r="G865" s="22" t="str">
        <f>VLOOKUP($A865, 'Medical Examinations'!$A:$I, 6, FALSE)</f>
        <v>No</v>
      </c>
      <c r="H865" s="22">
        <f>VLOOKUP($A865,'Medical Examinations'!$A:$L,10, FALSE)</f>
        <v>2</v>
      </c>
      <c r="I865" s="22" t="str">
        <f>VLOOKUP($A865, 'Medical Examinations'!$A:$J, 9, FALSE)</f>
        <v>No</v>
      </c>
      <c r="J865" s="22" t="str">
        <f>VLOOKUP($A865, 'Medical Examinations'!$A:$P, 11, FALSE)</f>
        <v>OBESITY</v>
      </c>
      <c r="K865" s="34">
        <v>27206.0</v>
      </c>
      <c r="L865" s="35">
        <f>VLOOKUP($A865, 'Hospitalisation Details'!$A:$H, 7, FALSE)</f>
        <v>12407.3</v>
      </c>
      <c r="M865" s="22" t="str">
        <f>VLOOKUP($A865, 'Hospitalisation Details'!$A:$L, 12, FALSE)</f>
        <v>tier - 3</v>
      </c>
      <c r="N865" s="22" t="str">
        <f>VLOOKUP($A865, 'Hospitalisation Details'!$A:$M, 13, FALSE)</f>
        <v>tier - 2</v>
      </c>
      <c r="O865" s="22" t="str">
        <f>VLOOKUP($A865, 'Hospitalisation Details'!$A:$N, 14, FALSE)</f>
        <v>R1021</v>
      </c>
      <c r="P865" s="36">
        <f>VLOOKUP($A865, 'Hospitalisation Details'!$A:$O, 15, FALSE)</f>
        <v>50</v>
      </c>
    </row>
    <row r="866" ht="15.75" customHeight="1">
      <c r="A866" s="33" t="s">
        <v>1731</v>
      </c>
      <c r="B866" s="22" t="str">
        <f>VLOOKUP($A866,'Customer Names'!$A:$D,3, FALSE)</f>
        <v>Monteleone</v>
      </c>
      <c r="C866" s="22">
        <f>VLOOKUP($A866,'Medical Examinations'!$A:$D, 2, FALSE)</f>
        <v>35.245</v>
      </c>
      <c r="D866" s="22">
        <f>VLOOKUP($A866, 'Medical Examinations'!$A:$D,3, FALSE)</f>
        <v>4.63</v>
      </c>
      <c r="E866" s="22" t="str">
        <f>VLOOKUP($A866, 'Medical Examinations'!$A:$D, 4, FALSE)</f>
        <v>No</v>
      </c>
      <c r="F866" s="22" t="str">
        <f>VLOOKUP($A866, 'Medical Examinations'!$A:$J, 5, FALSE)</f>
        <v>No</v>
      </c>
      <c r="G866" s="22" t="str">
        <f>VLOOKUP($A866, 'Medical Examinations'!$A:$I, 6, FALSE)</f>
        <v>No</v>
      </c>
      <c r="H866" s="22">
        <f>VLOOKUP($A866,'Medical Examinations'!$A:$L,10, FALSE)</f>
        <v>0</v>
      </c>
      <c r="I866" s="22" t="str">
        <f>VLOOKUP($A866, 'Medical Examinations'!$A:$J, 9, FALSE)</f>
        <v>No</v>
      </c>
      <c r="J866" s="22" t="str">
        <f>VLOOKUP($A866, 'Medical Examinations'!$A:$P, 11, FALSE)</f>
        <v>OBESITY</v>
      </c>
      <c r="K866" s="34">
        <v>33569.0</v>
      </c>
      <c r="L866" s="35">
        <f>VLOOKUP($A866, 'Hospitalisation Details'!$A:$H, 7, FALSE)</f>
        <v>12404.88</v>
      </c>
      <c r="M866" s="22" t="str">
        <f>VLOOKUP($A866, 'Hospitalisation Details'!$A:$L, 12, FALSE)</f>
        <v>tier - 3</v>
      </c>
      <c r="N866" s="22" t="str">
        <f>VLOOKUP($A866, 'Hospitalisation Details'!$A:$M, 13, FALSE)</f>
        <v>tier - 3</v>
      </c>
      <c r="O866" s="22" t="str">
        <f>VLOOKUP($A866, 'Hospitalisation Details'!$A:$N, 14, FALSE)</f>
        <v>R1016</v>
      </c>
      <c r="P866" s="36">
        <f>VLOOKUP($A866, 'Hospitalisation Details'!$A:$O, 15, FALSE)</f>
        <v>33</v>
      </c>
    </row>
    <row r="867" ht="15.75" customHeight="1">
      <c r="A867" s="33" t="s">
        <v>1733</v>
      </c>
      <c r="B867" s="22" t="str">
        <f>VLOOKUP($A867,'Customer Names'!$A:$D,3, FALSE)</f>
        <v>Verdugo</v>
      </c>
      <c r="C867" s="22">
        <f>VLOOKUP($A867,'Medical Examinations'!$A:$D, 2, FALSE)</f>
        <v>26.23</v>
      </c>
      <c r="D867" s="22">
        <f>VLOOKUP($A867, 'Medical Examinations'!$A:$D,3, FALSE)</f>
        <v>11.93</v>
      </c>
      <c r="E867" s="22" t="str">
        <f>VLOOKUP($A867, 'Medical Examinations'!$A:$D, 4, FALSE)</f>
        <v>No</v>
      </c>
      <c r="F867" s="22" t="str">
        <f>VLOOKUP($A867, 'Medical Examinations'!$A:$J, 5, FALSE)</f>
        <v>No</v>
      </c>
      <c r="G867" s="22" t="str">
        <f>VLOOKUP($A867, 'Medical Examinations'!$A:$I, 6, FALSE)</f>
        <v>No</v>
      </c>
      <c r="H867" s="22">
        <f>VLOOKUP($A867,'Medical Examinations'!$A:$L,10, FALSE)</f>
        <v>0</v>
      </c>
      <c r="I867" s="22" t="str">
        <f>VLOOKUP($A867, 'Medical Examinations'!$A:$J, 9, FALSE)</f>
        <v>No</v>
      </c>
      <c r="J867" s="22" t="str">
        <f>VLOOKUP($A867, 'Medical Examinations'!$A:$P, 11, FALSE)</f>
        <v>OVERWEIGHT</v>
      </c>
      <c r="K867" s="34">
        <v>33473.0</v>
      </c>
      <c r="L867" s="35">
        <f>VLOOKUP($A867, 'Hospitalisation Details'!$A:$H, 7, FALSE)</f>
        <v>12369.89</v>
      </c>
      <c r="M867" s="22" t="str">
        <f>VLOOKUP($A867, 'Hospitalisation Details'!$A:$L, 12, FALSE)</f>
        <v>tier - 3</v>
      </c>
      <c r="N867" s="22" t="str">
        <f>VLOOKUP($A867, 'Hospitalisation Details'!$A:$M, 13, FALSE)</f>
        <v>tier - 2</v>
      </c>
      <c r="O867" s="22" t="str">
        <f>VLOOKUP($A867, 'Hospitalisation Details'!$A:$N, 14, FALSE)</f>
        <v>R1024</v>
      </c>
      <c r="P867" s="36">
        <f>VLOOKUP($A867, 'Hospitalisation Details'!$A:$O, 15, FALSE)</f>
        <v>60</v>
      </c>
    </row>
    <row r="868" ht="15.75" customHeight="1">
      <c r="A868" s="33" t="s">
        <v>1735</v>
      </c>
      <c r="B868" s="22" t="str">
        <f>VLOOKUP($A868,'Customer Names'!$A:$D,3, FALSE)</f>
        <v>Sellers</v>
      </c>
      <c r="C868" s="22">
        <f>VLOOKUP($A868,'Medical Examinations'!$A:$D, 2, FALSE)</f>
        <v>36.1</v>
      </c>
      <c r="D868" s="22">
        <f>VLOOKUP($A868, 'Medical Examinations'!$A:$D,3, FALSE)</f>
        <v>5.65</v>
      </c>
      <c r="E868" s="22" t="str">
        <f>VLOOKUP($A868, 'Medical Examinations'!$A:$D, 4, FALSE)</f>
        <v>Yes</v>
      </c>
      <c r="F868" s="22" t="str">
        <f>VLOOKUP($A868, 'Medical Examinations'!$A:$J, 5, FALSE)</f>
        <v>No</v>
      </c>
      <c r="G868" s="22" t="str">
        <f>VLOOKUP($A868, 'Medical Examinations'!$A:$I, 6, FALSE)</f>
        <v>No</v>
      </c>
      <c r="H868" s="22">
        <f>VLOOKUP($A868,'Medical Examinations'!$A:$L,10, FALSE)</f>
        <v>2</v>
      </c>
      <c r="I868" s="22" t="str">
        <f>VLOOKUP($A868, 'Medical Examinations'!$A:$J, 9, FALSE)</f>
        <v>No</v>
      </c>
      <c r="J868" s="22" t="str">
        <f>VLOOKUP($A868, 'Medical Examinations'!$A:$P, 11, FALSE)</f>
        <v>OBESITY</v>
      </c>
      <c r="K868" s="34">
        <v>34191.0</v>
      </c>
      <c r="L868" s="35">
        <f>VLOOKUP($A868, 'Hospitalisation Details'!$A:$H, 7, FALSE)</f>
        <v>12363.55</v>
      </c>
      <c r="M868" s="22" t="str">
        <f>VLOOKUP($A868, 'Hospitalisation Details'!$A:$L, 12, FALSE)</f>
        <v>tier - 3</v>
      </c>
      <c r="N868" s="22" t="str">
        <f>VLOOKUP($A868, 'Hospitalisation Details'!$A:$M, 13, FALSE)</f>
        <v>tier - 3</v>
      </c>
      <c r="O868" s="22" t="str">
        <f>VLOOKUP($A868, 'Hospitalisation Details'!$A:$N, 14, FALSE)</f>
        <v>R1011</v>
      </c>
      <c r="P868" s="36">
        <f>VLOOKUP($A868, 'Hospitalisation Details'!$A:$O, 15, FALSE)</f>
        <v>56</v>
      </c>
    </row>
    <row r="869" ht="15.75" customHeight="1">
      <c r="A869" s="33" t="s">
        <v>1737</v>
      </c>
      <c r="B869" s="22" t="str">
        <f>VLOOKUP($A869,'Customer Names'!$A:$D,3, FALSE)</f>
        <v>Bowman</v>
      </c>
      <c r="C869" s="22">
        <f>VLOOKUP($A869,'Medical Examinations'!$A:$D, 2, FALSE)</f>
        <v>37.1</v>
      </c>
      <c r="D869" s="22">
        <f>VLOOKUP($A869, 'Medical Examinations'!$A:$D,3, FALSE)</f>
        <v>11.21</v>
      </c>
      <c r="E869" s="22" t="str">
        <f>VLOOKUP($A869, 'Medical Examinations'!$A:$D, 4, FALSE)</f>
        <v>Yes</v>
      </c>
      <c r="F869" s="22" t="str">
        <f>VLOOKUP($A869, 'Medical Examinations'!$A:$J, 5, FALSE)</f>
        <v>No</v>
      </c>
      <c r="G869" s="22" t="str">
        <f>VLOOKUP($A869, 'Medical Examinations'!$A:$I, 6, FALSE)</f>
        <v>Yes</v>
      </c>
      <c r="H869" s="22">
        <f>VLOOKUP($A869,'Medical Examinations'!$A:$L,10, FALSE)</f>
        <v>1</v>
      </c>
      <c r="I869" s="22" t="str">
        <f>VLOOKUP($A869, 'Medical Examinations'!$A:$J, 9, FALSE)</f>
        <v>No</v>
      </c>
      <c r="J869" s="22" t="str">
        <f>VLOOKUP($A869, 'Medical Examinations'!$A:$P, 11, FALSE)</f>
        <v>OBESITY</v>
      </c>
      <c r="K869" s="34">
        <v>37489.0</v>
      </c>
      <c r="L869" s="35">
        <f>VLOOKUP($A869, 'Hospitalisation Details'!$A:$H, 7, FALSE)</f>
        <v>12347.17</v>
      </c>
      <c r="M869" s="22" t="str">
        <f>VLOOKUP($A869, 'Hospitalisation Details'!$A:$L, 12, FALSE)</f>
        <v>tier - 3</v>
      </c>
      <c r="N869" s="22" t="str">
        <f>VLOOKUP($A869, 'Hospitalisation Details'!$A:$M, 13, FALSE)</f>
        <v>tier - 3</v>
      </c>
      <c r="O869" s="22" t="str">
        <f>VLOOKUP($A869, 'Hospitalisation Details'!$A:$N, 14, FALSE)</f>
        <v>R1011</v>
      </c>
      <c r="P869" s="36">
        <f>VLOOKUP($A869, 'Hospitalisation Details'!$A:$O, 15, FALSE)</f>
        <v>59</v>
      </c>
    </row>
    <row r="870" ht="15.75" customHeight="1">
      <c r="A870" s="33" t="s">
        <v>1739</v>
      </c>
      <c r="B870" s="22" t="str">
        <f>VLOOKUP($A870,'Customer Names'!$A:$D,3, FALSE)</f>
        <v>Marley</v>
      </c>
      <c r="C870" s="22">
        <f>VLOOKUP($A870,'Medical Examinations'!$A:$D, 2, FALSE)</f>
        <v>27.5</v>
      </c>
      <c r="D870" s="22">
        <f>VLOOKUP($A870, 'Medical Examinations'!$A:$D,3, FALSE)</f>
        <v>10.62</v>
      </c>
      <c r="E870" s="22" t="str">
        <f>VLOOKUP($A870, 'Medical Examinations'!$A:$D, 4, FALSE)</f>
        <v>Yes</v>
      </c>
      <c r="F870" s="22" t="str">
        <f>VLOOKUP($A870, 'Medical Examinations'!$A:$J, 5, FALSE)</f>
        <v>No</v>
      </c>
      <c r="G870" s="22" t="str">
        <f>VLOOKUP($A870, 'Medical Examinations'!$A:$I, 6, FALSE)</f>
        <v>Yes</v>
      </c>
      <c r="H870" s="22">
        <f>VLOOKUP($A870,'Medical Examinations'!$A:$L,10, FALSE)</f>
        <v>1</v>
      </c>
      <c r="I870" s="22" t="str">
        <f>VLOOKUP($A870, 'Medical Examinations'!$A:$J, 9, FALSE)</f>
        <v>No</v>
      </c>
      <c r="J870" s="22" t="str">
        <f>VLOOKUP($A870, 'Medical Examinations'!$A:$P, 11, FALSE)</f>
        <v>OVERWEIGHT</v>
      </c>
      <c r="K870" s="34">
        <v>29877.0</v>
      </c>
      <c r="L870" s="35">
        <f>VLOOKUP($A870, 'Hospitalisation Details'!$A:$H, 7, FALSE)</f>
        <v>12333.83</v>
      </c>
      <c r="M870" s="22" t="str">
        <f>VLOOKUP($A870, 'Hospitalisation Details'!$A:$L, 12, FALSE)</f>
        <v>tier - 3</v>
      </c>
      <c r="N870" s="22" t="str">
        <f>VLOOKUP($A870, 'Hospitalisation Details'!$A:$M, 13, FALSE)</f>
        <v>tier - 2</v>
      </c>
      <c r="O870" s="22" t="str">
        <f>VLOOKUP($A870, 'Hospitalisation Details'!$A:$N, 14, FALSE)</f>
        <v>R1011</v>
      </c>
      <c r="P870" s="36">
        <f>VLOOKUP($A870, 'Hospitalisation Details'!$A:$O, 15, FALSE)</f>
        <v>59</v>
      </c>
    </row>
    <row r="871" ht="15.75" customHeight="1">
      <c r="A871" s="33" t="s">
        <v>1741</v>
      </c>
      <c r="B871" s="22" t="str">
        <f>VLOOKUP($A871,'Customer Names'!$A:$D,3, FALSE)</f>
        <v>Grey</v>
      </c>
      <c r="C871" s="22">
        <f>VLOOKUP($A871,'Medical Examinations'!$A:$D, 2, FALSE)</f>
        <v>24.7</v>
      </c>
      <c r="D871" s="22">
        <f>VLOOKUP($A871, 'Medical Examinations'!$A:$D,3, FALSE)</f>
        <v>10.7</v>
      </c>
      <c r="E871" s="22" t="str">
        <f>VLOOKUP($A871, 'Medical Examinations'!$A:$D, 4, FALSE)</f>
        <v>Yes</v>
      </c>
      <c r="F871" s="22" t="str">
        <f>VLOOKUP($A871, 'Medical Examinations'!$A:$J, 5, FALSE)</f>
        <v>No</v>
      </c>
      <c r="G871" s="22" t="str">
        <f>VLOOKUP($A871, 'Medical Examinations'!$A:$I, 6, FALSE)</f>
        <v>Yes</v>
      </c>
      <c r="H871" s="22">
        <f>VLOOKUP($A871,'Medical Examinations'!$A:$L,10, FALSE)</f>
        <v>1</v>
      </c>
      <c r="I871" s="22" t="str">
        <f>VLOOKUP($A871, 'Medical Examinations'!$A:$J, 9, FALSE)</f>
        <v>No</v>
      </c>
      <c r="J871" s="22" t="str">
        <f>VLOOKUP($A871, 'Medical Examinations'!$A:$P, 11, FALSE)</f>
        <v>NORMAL WEIGHT</v>
      </c>
      <c r="K871" s="34">
        <v>34160.0</v>
      </c>
      <c r="L871" s="35">
        <f>VLOOKUP($A871, 'Hospitalisation Details'!$A:$H, 7, FALSE)</f>
        <v>12323.94</v>
      </c>
      <c r="M871" s="22" t="str">
        <f>VLOOKUP($A871, 'Hospitalisation Details'!$A:$L, 12, FALSE)</f>
        <v>tier - 3</v>
      </c>
      <c r="N871" s="22" t="str">
        <f>VLOOKUP($A871, 'Hospitalisation Details'!$A:$M, 13, FALSE)</f>
        <v>tier - 3</v>
      </c>
      <c r="O871" s="22" t="str">
        <f>VLOOKUP($A871, 'Hospitalisation Details'!$A:$N, 14, FALSE)</f>
        <v>R1017</v>
      </c>
      <c r="P871" s="36">
        <f>VLOOKUP($A871, 'Hospitalisation Details'!$A:$O, 15, FALSE)</f>
        <v>59</v>
      </c>
    </row>
    <row r="872" ht="15.75" customHeight="1">
      <c r="A872" s="33" t="s">
        <v>1743</v>
      </c>
      <c r="B872" s="22" t="str">
        <f>VLOOKUP($A872,'Customer Names'!$A:$D,3, FALSE)</f>
        <v>O'Rourke</v>
      </c>
      <c r="C872" s="22">
        <f>VLOOKUP($A872,'Medical Examinations'!$A:$D, 2, FALSE)</f>
        <v>26.78</v>
      </c>
      <c r="D872" s="22">
        <f>VLOOKUP($A872, 'Medical Examinations'!$A:$D,3, FALSE)</f>
        <v>10.02</v>
      </c>
      <c r="E872" s="22" t="str">
        <f>VLOOKUP($A872, 'Medical Examinations'!$A:$D, 4, FALSE)</f>
        <v>Yes</v>
      </c>
      <c r="F872" s="22" t="str">
        <f>VLOOKUP($A872, 'Medical Examinations'!$A:$J, 5, FALSE)</f>
        <v>No</v>
      </c>
      <c r="G872" s="22" t="str">
        <f>VLOOKUP($A872, 'Medical Examinations'!$A:$I, 6, FALSE)</f>
        <v>Yes</v>
      </c>
      <c r="H872" s="22">
        <f>VLOOKUP($A872,'Medical Examinations'!$A:$L,10, FALSE)</f>
        <v>1</v>
      </c>
      <c r="I872" s="22" t="str">
        <f>VLOOKUP($A872, 'Medical Examinations'!$A:$J, 9, FALSE)</f>
        <v>No</v>
      </c>
      <c r="J872" s="22" t="str">
        <f>VLOOKUP($A872, 'Medical Examinations'!$A:$P, 11, FALSE)</f>
        <v>OVERWEIGHT</v>
      </c>
      <c r="K872" s="34">
        <v>32409.0</v>
      </c>
      <c r="L872" s="35">
        <f>VLOOKUP($A872, 'Hospitalisation Details'!$A:$H, 7, FALSE)</f>
        <v>12299.59</v>
      </c>
      <c r="M872" s="22" t="str">
        <f>VLOOKUP($A872, 'Hospitalisation Details'!$A:$L, 12, FALSE)</f>
        <v>tier - 3</v>
      </c>
      <c r="N872" s="22" t="str">
        <f>VLOOKUP($A872, 'Hospitalisation Details'!$A:$M, 13, FALSE)</f>
        <v>tier - 1</v>
      </c>
      <c r="O872" s="22" t="str">
        <f>VLOOKUP($A872, 'Hospitalisation Details'!$A:$N, 14, FALSE)</f>
        <v>R1025</v>
      </c>
      <c r="P872" s="36">
        <f>VLOOKUP($A872, 'Hospitalisation Details'!$A:$O, 15, FALSE)</f>
        <v>59</v>
      </c>
    </row>
    <row r="873" ht="15.75" customHeight="1">
      <c r="A873" s="33" t="s">
        <v>1745</v>
      </c>
      <c r="B873" s="22" t="str">
        <f>VLOOKUP($A873,'Customer Names'!$A:$D,3, FALSE)</f>
        <v>Fatehali</v>
      </c>
      <c r="C873" s="22">
        <f>VLOOKUP($A873,'Medical Examinations'!$A:$D, 2, FALSE)</f>
        <v>45.8</v>
      </c>
      <c r="D873" s="22">
        <f>VLOOKUP($A873, 'Medical Examinations'!$A:$D,3, FALSE)</f>
        <v>4.85</v>
      </c>
      <c r="E873" s="22" t="str">
        <f>VLOOKUP($A873, 'Medical Examinations'!$A:$D, 4, FALSE)</f>
        <v>No</v>
      </c>
      <c r="F873" s="22" t="str">
        <f>VLOOKUP($A873, 'Medical Examinations'!$A:$J, 5, FALSE)</f>
        <v>No</v>
      </c>
      <c r="G873" s="22" t="str">
        <f>VLOOKUP($A873, 'Medical Examinations'!$A:$I, 6, FALSE)</f>
        <v>No</v>
      </c>
      <c r="H873" s="22">
        <f>VLOOKUP($A873,'Medical Examinations'!$A:$L,10, FALSE)</f>
        <v>0</v>
      </c>
      <c r="I873" s="22" t="str">
        <f>VLOOKUP($A873, 'Medical Examinations'!$A:$J, 9, FALSE)</f>
        <v>No</v>
      </c>
      <c r="J873" s="22" t="str">
        <f>VLOOKUP($A873, 'Medical Examinations'!$A:$P, 11, FALSE)</f>
        <v>OBESITY</v>
      </c>
      <c r="K873" s="34">
        <v>33205.0</v>
      </c>
      <c r="L873" s="35">
        <f>VLOOKUP($A873, 'Hospitalisation Details'!$A:$H, 7, FALSE)</f>
        <v>12282.38</v>
      </c>
      <c r="M873" s="22" t="str">
        <f>VLOOKUP($A873, 'Hospitalisation Details'!$A:$L, 12, FALSE)</f>
        <v>tier - 3</v>
      </c>
      <c r="N873" s="22" t="str">
        <f>VLOOKUP($A873, 'Hospitalisation Details'!$A:$M, 13, FALSE)</f>
        <v>tier - 1</v>
      </c>
      <c r="O873" s="22" t="str">
        <f>VLOOKUP($A873, 'Hospitalisation Details'!$A:$N, 14, FALSE)</f>
        <v>R1011</v>
      </c>
      <c r="P873" s="36">
        <f>VLOOKUP($A873, 'Hospitalisation Details'!$A:$O, 15, FALSE)</f>
        <v>32</v>
      </c>
    </row>
    <row r="874" ht="15.75" customHeight="1">
      <c r="A874" s="33" t="s">
        <v>1747</v>
      </c>
      <c r="B874" s="22" t="str">
        <f>VLOOKUP($A874,'Customer Names'!$A:$D,3, FALSE)</f>
        <v>Piza-Taylor</v>
      </c>
      <c r="C874" s="22">
        <f>VLOOKUP($A874,'Medical Examinations'!$A:$D, 2, FALSE)</f>
        <v>29</v>
      </c>
      <c r="D874" s="22">
        <f>VLOOKUP($A874, 'Medical Examinations'!$A:$D,3, FALSE)</f>
        <v>4.39</v>
      </c>
      <c r="E874" s="22" t="str">
        <f>VLOOKUP($A874, 'Medical Examinations'!$A:$D, 4, FALSE)</f>
        <v>Yes</v>
      </c>
      <c r="F874" s="22" t="str">
        <f>VLOOKUP($A874, 'Medical Examinations'!$A:$J, 5, FALSE)</f>
        <v>No</v>
      </c>
      <c r="G874" s="22" t="str">
        <f>VLOOKUP($A874, 'Medical Examinations'!$A:$I, 6, FALSE)</f>
        <v>No</v>
      </c>
      <c r="H874" s="22">
        <f>VLOOKUP($A874,'Medical Examinations'!$A:$L,10, FALSE)</f>
        <v>2</v>
      </c>
      <c r="I874" s="22" t="str">
        <f>VLOOKUP($A874, 'Medical Examinations'!$A:$J, 9, FALSE)</f>
        <v>No</v>
      </c>
      <c r="J874" s="22" t="str">
        <f>VLOOKUP($A874, 'Medical Examinations'!$A:$P, 11, FALSE)</f>
        <v>OVERWEIGHT</v>
      </c>
      <c r="K874" s="34">
        <v>32699.0</v>
      </c>
      <c r="L874" s="35">
        <f>VLOOKUP($A874, 'Hospitalisation Details'!$A:$H, 7, FALSE)</f>
        <v>12282.03</v>
      </c>
      <c r="M874" s="22" t="str">
        <f>VLOOKUP($A874, 'Hospitalisation Details'!$A:$L, 12, FALSE)</f>
        <v>tier - 3</v>
      </c>
      <c r="N874" s="22" t="str">
        <f>VLOOKUP($A874, 'Hospitalisation Details'!$A:$M, 13, FALSE)</f>
        <v>tier - 1</v>
      </c>
      <c r="O874" s="22" t="str">
        <f>VLOOKUP($A874, 'Hospitalisation Details'!$A:$N, 14, FALSE)</f>
        <v>R1025</v>
      </c>
      <c r="P874" s="36">
        <f>VLOOKUP($A874, 'Hospitalisation Details'!$A:$O, 15, FALSE)</f>
        <v>56</v>
      </c>
    </row>
    <row r="875" ht="15.75" customHeight="1">
      <c r="A875" s="33" t="s">
        <v>1749</v>
      </c>
      <c r="B875" s="22" t="str">
        <f>VLOOKUP($A875,'Customer Names'!$A:$D,3, FALSE)</f>
        <v>Cavanaugh</v>
      </c>
      <c r="C875" s="22">
        <f>VLOOKUP($A875,'Medical Examinations'!$A:$D, 2, FALSE)</f>
        <v>33.535</v>
      </c>
      <c r="D875" s="22">
        <f>VLOOKUP($A875, 'Medical Examinations'!$A:$D,3, FALSE)</f>
        <v>8.24</v>
      </c>
      <c r="E875" s="22" t="str">
        <f>VLOOKUP($A875, 'Medical Examinations'!$A:$D, 4, FALSE)</f>
        <v>Yes</v>
      </c>
      <c r="F875" s="22" t="str">
        <f>VLOOKUP($A875, 'Medical Examinations'!$A:$J, 5, FALSE)</f>
        <v>No</v>
      </c>
      <c r="G875" s="22" t="str">
        <f>VLOOKUP($A875, 'Medical Examinations'!$A:$I, 6, FALSE)</f>
        <v>No</v>
      </c>
      <c r="H875" s="22">
        <f>VLOOKUP($A875,'Medical Examinations'!$A:$L,10, FALSE)</f>
        <v>0</v>
      </c>
      <c r="I875" s="22" t="str">
        <f>VLOOKUP($A875, 'Medical Examinations'!$A:$J, 9, FALSE)</f>
        <v>No</v>
      </c>
      <c r="J875" s="22" t="str">
        <f>VLOOKUP($A875, 'Medical Examinations'!$A:$P, 11, FALSE)</f>
        <v>OBESITY</v>
      </c>
      <c r="K875" s="34">
        <v>25133.0</v>
      </c>
      <c r="L875" s="35">
        <f>VLOOKUP($A875, 'Hospitalisation Details'!$A:$H, 7, FALSE)</f>
        <v>12269.69</v>
      </c>
      <c r="M875" s="22" t="str">
        <f>VLOOKUP($A875, 'Hospitalisation Details'!$A:$L, 12, FALSE)</f>
        <v>tier - 3</v>
      </c>
      <c r="N875" s="22" t="str">
        <f>VLOOKUP($A875, 'Hospitalisation Details'!$A:$M, 13, FALSE)</f>
        <v>tier - 2</v>
      </c>
      <c r="O875" s="22" t="str">
        <f>VLOOKUP($A875, 'Hospitalisation Details'!$A:$N, 14, FALSE)</f>
        <v>R1012</v>
      </c>
      <c r="P875" s="36">
        <f>VLOOKUP($A875, 'Hospitalisation Details'!$A:$O, 15, FALSE)</f>
        <v>55</v>
      </c>
    </row>
    <row r="876" ht="15.75" customHeight="1">
      <c r="A876" s="33" t="s">
        <v>1751</v>
      </c>
      <c r="B876" s="22" t="str">
        <f>VLOOKUP($A876,'Customer Names'!$A:$D,3, FALSE)</f>
        <v>Amako</v>
      </c>
      <c r="C876" s="22">
        <f>VLOOKUP($A876,'Medical Examinations'!$A:$D, 2, FALSE)</f>
        <v>32.775</v>
      </c>
      <c r="D876" s="22">
        <f>VLOOKUP($A876, 'Medical Examinations'!$A:$D,3, FALSE)</f>
        <v>9.77</v>
      </c>
      <c r="E876" s="22" t="str">
        <f>VLOOKUP($A876, 'Medical Examinations'!$A:$D, 4, FALSE)</f>
        <v>Yes</v>
      </c>
      <c r="F876" s="22" t="str">
        <f>VLOOKUP($A876, 'Medical Examinations'!$A:$J, 5, FALSE)</f>
        <v>No</v>
      </c>
      <c r="G876" s="22" t="str">
        <f>VLOOKUP($A876, 'Medical Examinations'!$A:$I, 6, FALSE)</f>
        <v>No</v>
      </c>
      <c r="H876" s="22">
        <f>VLOOKUP($A876,'Medical Examinations'!$A:$L,10, FALSE)</f>
        <v>0</v>
      </c>
      <c r="I876" s="22" t="str">
        <f>VLOOKUP($A876, 'Medical Examinations'!$A:$J, 9, FALSE)</f>
        <v>No</v>
      </c>
      <c r="J876" s="22" t="str">
        <f>VLOOKUP($A876, 'Medical Examinations'!$A:$P, 11, FALSE)</f>
        <v>OBESITY</v>
      </c>
      <c r="K876" s="34">
        <v>31712.0</v>
      </c>
      <c r="L876" s="35">
        <f>VLOOKUP($A876, 'Hospitalisation Details'!$A:$H, 7, FALSE)</f>
        <v>12268.63</v>
      </c>
      <c r="M876" s="22" t="str">
        <f>VLOOKUP($A876, 'Hospitalisation Details'!$A:$L, 12, FALSE)</f>
        <v>tier - 3</v>
      </c>
      <c r="N876" s="22" t="str">
        <f>VLOOKUP($A876, 'Hospitalisation Details'!$A:$M, 13, FALSE)</f>
        <v>tier - 1</v>
      </c>
      <c r="O876" s="22" t="str">
        <f>VLOOKUP($A876, 'Hospitalisation Details'!$A:$N, 14, FALSE)</f>
        <v>R1012</v>
      </c>
      <c r="P876" s="36">
        <f>VLOOKUP($A876, 'Hospitalisation Details'!$A:$O, 15, FALSE)</f>
        <v>55</v>
      </c>
    </row>
    <row r="877" ht="15.75" customHeight="1">
      <c r="A877" s="33" t="s">
        <v>1753</v>
      </c>
      <c r="B877" s="22" t="str">
        <f>VLOOKUP($A877,'Customer Names'!$A:$D,3, FALSE)</f>
        <v>Musa</v>
      </c>
      <c r="C877" s="22">
        <f>VLOOKUP($A877,'Medical Examinations'!$A:$D, 2, FALSE)</f>
        <v>37.51</v>
      </c>
      <c r="D877" s="22">
        <f>VLOOKUP($A877, 'Medical Examinations'!$A:$D,3, FALSE)</f>
        <v>5.5</v>
      </c>
      <c r="E877" s="22" t="str">
        <f>VLOOKUP($A877, 'Medical Examinations'!$A:$D, 4, FALSE)</f>
        <v>Yes</v>
      </c>
      <c r="F877" s="22" t="str">
        <f>VLOOKUP($A877, 'Medical Examinations'!$A:$J, 5, FALSE)</f>
        <v>No</v>
      </c>
      <c r="G877" s="22" t="str">
        <f>VLOOKUP($A877, 'Medical Examinations'!$A:$I, 6, FALSE)</f>
        <v>No</v>
      </c>
      <c r="H877" s="22">
        <f>VLOOKUP($A877,'Medical Examinations'!$A:$L,10, FALSE)</f>
        <v>2</v>
      </c>
      <c r="I877" s="22" t="str">
        <f>VLOOKUP($A877, 'Medical Examinations'!$A:$J, 9, FALSE)</f>
        <v>No</v>
      </c>
      <c r="J877" s="22" t="str">
        <f>VLOOKUP($A877, 'Medical Examinations'!$A:$P, 11, FALSE)</f>
        <v>OBESITY</v>
      </c>
      <c r="K877" s="34">
        <v>31769.0</v>
      </c>
      <c r="L877" s="35">
        <f>VLOOKUP($A877, 'Hospitalisation Details'!$A:$H, 7, FALSE)</f>
        <v>12265.51</v>
      </c>
      <c r="M877" s="22" t="str">
        <f>VLOOKUP($A877, 'Hospitalisation Details'!$A:$L, 12, FALSE)</f>
        <v>tier - 3</v>
      </c>
      <c r="N877" s="22" t="str">
        <f>VLOOKUP($A877, 'Hospitalisation Details'!$A:$M, 13, FALSE)</f>
        <v>tier - 3</v>
      </c>
      <c r="O877" s="22" t="str">
        <f>VLOOKUP($A877, 'Hospitalisation Details'!$A:$N, 14, FALSE)</f>
        <v>R1013</v>
      </c>
      <c r="P877" s="36">
        <f>VLOOKUP($A877, 'Hospitalisation Details'!$A:$O, 15, FALSE)</f>
        <v>56</v>
      </c>
    </row>
    <row r="878" ht="15.75" customHeight="1">
      <c r="A878" s="33" t="s">
        <v>1755</v>
      </c>
      <c r="B878" s="22" t="str">
        <f>VLOOKUP($A878,'Customer Names'!$A:$D,3, FALSE)</f>
        <v>Phillippi</v>
      </c>
      <c r="C878" s="22">
        <f>VLOOKUP($A878,'Medical Examinations'!$A:$D, 2, FALSE)</f>
        <v>39.86</v>
      </c>
      <c r="D878" s="22">
        <f>VLOOKUP($A878, 'Medical Examinations'!$A:$D,3, FALSE)</f>
        <v>11.84</v>
      </c>
      <c r="E878" s="22" t="str">
        <f>VLOOKUP($A878, 'Medical Examinations'!$A:$D, 4, FALSE)</f>
        <v>Yes</v>
      </c>
      <c r="F878" s="22" t="str">
        <f>VLOOKUP($A878, 'Medical Examinations'!$A:$J, 5, FALSE)</f>
        <v>No</v>
      </c>
      <c r="G878" s="22" t="str">
        <f>VLOOKUP($A878, 'Medical Examinations'!$A:$I, 6, FALSE)</f>
        <v>No</v>
      </c>
      <c r="H878" s="22">
        <f>VLOOKUP($A878,'Medical Examinations'!$A:$L,10, FALSE)</f>
        <v>1</v>
      </c>
      <c r="I878" s="22" t="str">
        <f>VLOOKUP($A878, 'Medical Examinations'!$A:$J, 9, FALSE)</f>
        <v>No</v>
      </c>
      <c r="J878" s="22" t="str">
        <f>VLOOKUP($A878, 'Medical Examinations'!$A:$P, 11, FALSE)</f>
        <v>OBESITY</v>
      </c>
      <c r="K878" s="34">
        <v>35702.0</v>
      </c>
      <c r="L878" s="35">
        <f>VLOOKUP($A878, 'Hospitalisation Details'!$A:$H, 7, FALSE)</f>
        <v>12255.04</v>
      </c>
      <c r="M878" s="22" t="str">
        <f>VLOOKUP($A878, 'Hospitalisation Details'!$A:$L, 12, FALSE)</f>
        <v>tier - 3</v>
      </c>
      <c r="N878" s="22" t="str">
        <f>VLOOKUP($A878, 'Hospitalisation Details'!$A:$M, 13, FALSE)</f>
        <v>tier - 2</v>
      </c>
      <c r="O878" s="22" t="str">
        <f>VLOOKUP($A878, 'Hospitalisation Details'!$A:$N, 14, FALSE)</f>
        <v>R1026</v>
      </c>
      <c r="P878" s="36">
        <f>VLOOKUP($A878, 'Hospitalisation Details'!$A:$O, 15, FALSE)</f>
        <v>36</v>
      </c>
    </row>
    <row r="879" ht="15.75" customHeight="1">
      <c r="A879" s="33" t="s">
        <v>1757</v>
      </c>
      <c r="B879" s="22" t="str">
        <f>VLOOKUP($A879,'Customer Names'!$A:$D,3, FALSE)</f>
        <v>Hoskins</v>
      </c>
      <c r="C879" s="22">
        <f>VLOOKUP($A879,'Medical Examinations'!$A:$D, 2, FALSE)</f>
        <v>42.13</v>
      </c>
      <c r="D879" s="22">
        <f>VLOOKUP($A879, 'Medical Examinations'!$A:$D,3, FALSE)</f>
        <v>4.66</v>
      </c>
      <c r="E879" s="22" t="str">
        <f>VLOOKUP($A879, 'Medical Examinations'!$A:$D, 4, FALSE)</f>
        <v>No</v>
      </c>
      <c r="F879" s="22" t="str">
        <f>VLOOKUP($A879, 'Medical Examinations'!$A:$J, 5, FALSE)</f>
        <v>No</v>
      </c>
      <c r="G879" s="22" t="str">
        <f>VLOOKUP($A879, 'Medical Examinations'!$A:$I, 6, FALSE)</f>
        <v>No</v>
      </c>
      <c r="H879" s="22">
        <f>VLOOKUP($A879,'Medical Examinations'!$A:$L,10, FALSE)</f>
        <v>0</v>
      </c>
      <c r="I879" s="22" t="str">
        <f>VLOOKUP($A879, 'Medical Examinations'!$A:$J, 9, FALSE)</f>
        <v>No</v>
      </c>
      <c r="J879" s="22" t="str">
        <f>VLOOKUP($A879, 'Medical Examinations'!$A:$P, 11, FALSE)</f>
        <v>OBESITY</v>
      </c>
      <c r="K879" s="34">
        <v>32752.0</v>
      </c>
      <c r="L879" s="35">
        <f>VLOOKUP($A879, 'Hospitalisation Details'!$A:$H, 7, FALSE)</f>
        <v>12254.44</v>
      </c>
      <c r="M879" s="22" t="str">
        <f>VLOOKUP($A879, 'Hospitalisation Details'!$A:$L, 12, FALSE)</f>
        <v>tier - 3</v>
      </c>
      <c r="N879" s="22" t="str">
        <f>VLOOKUP($A879, 'Hospitalisation Details'!$A:$M, 13, FALSE)</f>
        <v>tier - 3</v>
      </c>
      <c r="O879" s="22" t="str">
        <f>VLOOKUP($A879, 'Hospitalisation Details'!$A:$N, 14, FALSE)</f>
        <v>R1026</v>
      </c>
      <c r="P879" s="36">
        <f>VLOOKUP($A879, 'Hospitalisation Details'!$A:$O, 15, FALSE)</f>
        <v>33</v>
      </c>
    </row>
    <row r="880" ht="15.75" customHeight="1">
      <c r="A880" s="33" t="s">
        <v>1759</v>
      </c>
      <c r="B880" s="22" t="str">
        <f>VLOOKUP($A880,'Customer Names'!$A:$D,3, FALSE)</f>
        <v>Imbalzan</v>
      </c>
      <c r="C880" s="22">
        <f>VLOOKUP($A880,'Medical Examinations'!$A:$D, 2, FALSE)</f>
        <v>35.99</v>
      </c>
      <c r="D880" s="22">
        <f>VLOOKUP($A880, 'Medical Examinations'!$A:$D,3, FALSE)</f>
        <v>11.11</v>
      </c>
      <c r="E880" s="22" t="str">
        <f>VLOOKUP($A880, 'Medical Examinations'!$A:$D, 4, FALSE)</f>
        <v>No</v>
      </c>
      <c r="F880" s="22" t="str">
        <f>VLOOKUP($A880, 'Medical Examinations'!$A:$J, 5, FALSE)</f>
        <v>No</v>
      </c>
      <c r="G880" s="22" t="str">
        <f>VLOOKUP($A880, 'Medical Examinations'!$A:$I, 6, FALSE)</f>
        <v>No</v>
      </c>
      <c r="H880" s="22">
        <f>VLOOKUP($A880,'Medical Examinations'!$A:$L,10, FALSE)</f>
        <v>0</v>
      </c>
      <c r="I880" s="22" t="str">
        <f>VLOOKUP($A880, 'Medical Examinations'!$A:$J, 9, FALSE)</f>
        <v>No</v>
      </c>
      <c r="J880" s="22" t="str">
        <f>VLOOKUP($A880, 'Medical Examinations'!$A:$P, 11, FALSE)</f>
        <v>OBESITY</v>
      </c>
      <c r="K880" s="34">
        <v>35060.0</v>
      </c>
      <c r="L880" s="35">
        <f>VLOOKUP($A880, 'Hospitalisation Details'!$A:$H, 7, FALSE)</f>
        <v>12245.17</v>
      </c>
      <c r="M880" s="22" t="str">
        <f>VLOOKUP($A880, 'Hospitalisation Details'!$A:$L, 12, FALSE)</f>
        <v>tier - 3</v>
      </c>
      <c r="N880" s="22" t="str">
        <f>VLOOKUP($A880, 'Hospitalisation Details'!$A:$M, 13, FALSE)</f>
        <v>tier - 1</v>
      </c>
      <c r="O880" s="22" t="str">
        <f>VLOOKUP($A880, 'Hospitalisation Details'!$A:$N, 14, FALSE)</f>
        <v>R1012</v>
      </c>
      <c r="P880" s="36">
        <f>VLOOKUP($A880, 'Hospitalisation Details'!$A:$O, 15, FALSE)</f>
        <v>48</v>
      </c>
    </row>
    <row r="881" ht="15.75" customHeight="1">
      <c r="A881" s="33" t="s">
        <v>1761</v>
      </c>
      <c r="B881" s="22" t="str">
        <f>VLOOKUP($A881,'Customer Names'!$A:$D,3, FALSE)</f>
        <v>Triedman</v>
      </c>
      <c r="C881" s="22">
        <f>VLOOKUP($A881,'Medical Examinations'!$A:$D, 2, FALSE)</f>
        <v>35.2</v>
      </c>
      <c r="D881" s="22">
        <f>VLOOKUP($A881, 'Medical Examinations'!$A:$D,3, FALSE)</f>
        <v>7.72</v>
      </c>
      <c r="E881" s="22" t="str">
        <f>VLOOKUP($A881, 'Medical Examinations'!$A:$D, 4, FALSE)</f>
        <v>Yes</v>
      </c>
      <c r="F881" s="22" t="str">
        <f>VLOOKUP($A881, 'Medical Examinations'!$A:$J, 5, FALSE)</f>
        <v>No</v>
      </c>
      <c r="G881" s="22" t="str">
        <f>VLOOKUP($A881, 'Medical Examinations'!$A:$I, 6, FALSE)</f>
        <v>Yes</v>
      </c>
      <c r="H881" s="22">
        <f>VLOOKUP($A881,'Medical Examinations'!$A:$L,10, FALSE)</f>
        <v>1</v>
      </c>
      <c r="I881" s="22" t="str">
        <f>VLOOKUP($A881, 'Medical Examinations'!$A:$J, 9, FALSE)</f>
        <v>No</v>
      </c>
      <c r="J881" s="22" t="str">
        <f>VLOOKUP($A881, 'Medical Examinations'!$A:$P, 11, FALSE)</f>
        <v>OBESITY</v>
      </c>
      <c r="K881" s="34">
        <v>37049.0</v>
      </c>
      <c r="L881" s="35">
        <f>VLOOKUP($A881, 'Hospitalisation Details'!$A:$H, 7, FALSE)</f>
        <v>12244.53</v>
      </c>
      <c r="M881" s="22" t="str">
        <f>VLOOKUP($A881, 'Hospitalisation Details'!$A:$L, 12, FALSE)</f>
        <v>tier - 3</v>
      </c>
      <c r="N881" s="22" t="str">
        <f>VLOOKUP($A881, 'Hospitalisation Details'!$A:$M, 13, FALSE)</f>
        <v>tier - 1</v>
      </c>
      <c r="O881" s="22" t="str">
        <f>VLOOKUP($A881, 'Hospitalisation Details'!$A:$N, 14, FALSE)</f>
        <v>R1013</v>
      </c>
      <c r="P881" s="36">
        <f>VLOOKUP($A881, 'Hospitalisation Details'!$A:$O, 15, FALSE)</f>
        <v>59</v>
      </c>
    </row>
    <row r="882" ht="15.75" customHeight="1">
      <c r="A882" s="33" t="s">
        <v>1763</v>
      </c>
      <c r="B882" s="22" t="str">
        <f>VLOOKUP($A882,'Customer Names'!$A:$D,3, FALSE)</f>
        <v>Lovuolo</v>
      </c>
      <c r="C882" s="22">
        <f>VLOOKUP($A882,'Medical Examinations'!$A:$D, 2, FALSE)</f>
        <v>29.91</v>
      </c>
      <c r="D882" s="22">
        <f>VLOOKUP($A882, 'Medical Examinations'!$A:$D,3, FALSE)</f>
        <v>5.55</v>
      </c>
      <c r="E882" s="22" t="str">
        <f>VLOOKUP($A882, 'Medical Examinations'!$A:$D, 4, FALSE)</f>
        <v>Yes</v>
      </c>
      <c r="F882" s="22" t="str">
        <f>VLOOKUP($A882, 'Medical Examinations'!$A:$J, 5, FALSE)</f>
        <v>No</v>
      </c>
      <c r="G882" s="22" t="str">
        <f>VLOOKUP($A882, 'Medical Examinations'!$A:$I, 6, FALSE)</f>
        <v>No</v>
      </c>
      <c r="H882" s="22">
        <f>VLOOKUP($A882,'Medical Examinations'!$A:$L,10, FALSE)</f>
        <v>2</v>
      </c>
      <c r="I882" s="22" t="str">
        <f>VLOOKUP($A882, 'Medical Examinations'!$A:$J, 9, FALSE)</f>
        <v>No</v>
      </c>
      <c r="J882" s="22" t="str">
        <f>VLOOKUP($A882, 'Medical Examinations'!$A:$P, 11, FALSE)</f>
        <v>OBESITY</v>
      </c>
      <c r="K882" s="34">
        <v>27283.0</v>
      </c>
      <c r="L882" s="35">
        <f>VLOOKUP($A882, 'Hospitalisation Details'!$A:$H, 7, FALSE)</f>
        <v>12237.73</v>
      </c>
      <c r="M882" s="22" t="str">
        <f>VLOOKUP($A882, 'Hospitalisation Details'!$A:$L, 12, FALSE)</f>
        <v>tier - 3</v>
      </c>
      <c r="N882" s="22" t="str">
        <f>VLOOKUP($A882, 'Hospitalisation Details'!$A:$M, 13, FALSE)</f>
        <v>tier - 3</v>
      </c>
      <c r="O882" s="22" t="str">
        <f>VLOOKUP($A882, 'Hospitalisation Details'!$A:$N, 14, FALSE)</f>
        <v>R1012</v>
      </c>
      <c r="P882" s="36">
        <f>VLOOKUP($A882, 'Hospitalisation Details'!$A:$O, 15, FALSE)</f>
        <v>56</v>
      </c>
    </row>
    <row r="883" ht="15.75" customHeight="1">
      <c r="A883" s="33" t="s">
        <v>1765</v>
      </c>
      <c r="B883" s="22" t="str">
        <f>VLOOKUP($A883,'Customer Names'!$A:$D,3, FALSE)</f>
        <v>Chung</v>
      </c>
      <c r="C883" s="22">
        <f>VLOOKUP($A883,'Medical Examinations'!$A:$D, 2, FALSE)</f>
        <v>36.48</v>
      </c>
      <c r="D883" s="22">
        <f>VLOOKUP($A883, 'Medical Examinations'!$A:$D,3, FALSE)</f>
        <v>5.05</v>
      </c>
      <c r="E883" s="22" t="str">
        <f>VLOOKUP($A883, 'Medical Examinations'!$A:$D, 4, FALSE)</f>
        <v>Yes</v>
      </c>
      <c r="F883" s="22" t="str">
        <f>VLOOKUP($A883, 'Medical Examinations'!$A:$J, 5, FALSE)</f>
        <v>No</v>
      </c>
      <c r="G883" s="22" t="str">
        <f>VLOOKUP($A883, 'Medical Examinations'!$A:$I, 6, FALSE)</f>
        <v>No</v>
      </c>
      <c r="H883" s="22">
        <f>VLOOKUP($A883,'Medical Examinations'!$A:$L,10, FALSE)</f>
        <v>1</v>
      </c>
      <c r="I883" s="22" t="str">
        <f>VLOOKUP($A883, 'Medical Examinations'!$A:$J, 9, FALSE)</f>
        <v>No</v>
      </c>
      <c r="J883" s="22" t="str">
        <f>VLOOKUP($A883, 'Medical Examinations'!$A:$P, 11, FALSE)</f>
        <v>OBESITY</v>
      </c>
      <c r="K883" s="34">
        <v>29202.0</v>
      </c>
      <c r="L883" s="35">
        <f>VLOOKUP($A883, 'Hospitalisation Details'!$A:$H, 7, FALSE)</f>
        <v>12235.84</v>
      </c>
      <c r="M883" s="22" t="str">
        <f>VLOOKUP($A883, 'Hospitalisation Details'!$A:$L, 12, FALSE)</f>
        <v>tier - 3</v>
      </c>
      <c r="N883" s="22" t="str">
        <f>VLOOKUP($A883, 'Hospitalisation Details'!$A:$M, 13, FALSE)</f>
        <v>tier - 3</v>
      </c>
      <c r="O883" s="22" t="str">
        <f>VLOOKUP($A883, 'Hospitalisation Details'!$A:$N, 14, FALSE)</f>
        <v>R1012</v>
      </c>
      <c r="P883" s="36">
        <f>VLOOKUP($A883, 'Hospitalisation Details'!$A:$O, 15, FALSE)</f>
        <v>58</v>
      </c>
    </row>
    <row r="884" ht="15.75" customHeight="1">
      <c r="A884" s="33" t="s">
        <v>1767</v>
      </c>
      <c r="B884" s="22" t="str">
        <f>VLOOKUP($A884,'Customer Names'!$A:$D,3, FALSE)</f>
        <v>Newsom</v>
      </c>
      <c r="C884" s="22">
        <f>VLOOKUP($A884,'Medical Examinations'!$A:$D, 2, FALSE)</f>
        <v>27.5</v>
      </c>
      <c r="D884" s="22">
        <f>VLOOKUP($A884, 'Medical Examinations'!$A:$D,3, FALSE)</f>
        <v>8.69</v>
      </c>
      <c r="E884" s="22" t="str">
        <f>VLOOKUP($A884, 'Medical Examinations'!$A:$D, 4, FALSE)</f>
        <v>Yes</v>
      </c>
      <c r="F884" s="22" t="str">
        <f>VLOOKUP($A884, 'Medical Examinations'!$A:$J, 5, FALSE)</f>
        <v>No</v>
      </c>
      <c r="G884" s="22" t="str">
        <f>VLOOKUP($A884, 'Medical Examinations'!$A:$I, 6, FALSE)</f>
        <v>Yes</v>
      </c>
      <c r="H884" s="22">
        <f>VLOOKUP($A884,'Medical Examinations'!$A:$L,10, FALSE)</f>
        <v>1</v>
      </c>
      <c r="I884" s="22" t="str">
        <f>VLOOKUP($A884, 'Medical Examinations'!$A:$J, 9, FALSE)</f>
        <v>No</v>
      </c>
      <c r="J884" s="22" t="str">
        <f>VLOOKUP($A884, 'Medical Examinations'!$A:$P, 11, FALSE)</f>
        <v>OVERWEIGHT</v>
      </c>
      <c r="K884" s="34">
        <v>34971.0</v>
      </c>
      <c r="L884" s="35">
        <f>VLOOKUP($A884, 'Hospitalisation Details'!$A:$H, 7, FALSE)</f>
        <v>12233.83</v>
      </c>
      <c r="M884" s="22" t="str">
        <f>VLOOKUP($A884, 'Hospitalisation Details'!$A:$L, 12, FALSE)</f>
        <v>tier - 3</v>
      </c>
      <c r="N884" s="22" t="str">
        <f>VLOOKUP($A884, 'Hospitalisation Details'!$A:$M, 13, FALSE)</f>
        <v>tier - 1</v>
      </c>
      <c r="O884" s="22" t="str">
        <f>VLOOKUP($A884, 'Hospitalisation Details'!$A:$N, 14, FALSE)</f>
        <v>R1011</v>
      </c>
      <c r="P884" s="36">
        <f>VLOOKUP($A884, 'Hospitalisation Details'!$A:$O, 15, FALSE)</f>
        <v>59</v>
      </c>
    </row>
    <row r="885" ht="15.75" customHeight="1">
      <c r="A885" s="33" t="s">
        <v>1769</v>
      </c>
      <c r="B885" s="22" t="str">
        <f>VLOOKUP($A885,'Customer Names'!$A:$D,3, FALSE)</f>
        <v>Harrington</v>
      </c>
      <c r="C885" s="22">
        <f>VLOOKUP($A885,'Medical Examinations'!$A:$D, 2, FALSE)</f>
        <v>33.44</v>
      </c>
      <c r="D885" s="22">
        <f>VLOOKUP($A885, 'Medical Examinations'!$A:$D,3, FALSE)</f>
        <v>5.9</v>
      </c>
      <c r="E885" s="22" t="str">
        <f>VLOOKUP($A885, 'Medical Examinations'!$A:$D, 4, FALSE)</f>
        <v>Yes</v>
      </c>
      <c r="F885" s="22" t="str">
        <f>VLOOKUP($A885, 'Medical Examinations'!$A:$J, 5, FALSE)</f>
        <v>No</v>
      </c>
      <c r="G885" s="22" t="str">
        <f>VLOOKUP($A885, 'Medical Examinations'!$A:$I, 6, FALSE)</f>
        <v>No</v>
      </c>
      <c r="H885" s="22">
        <f>VLOOKUP($A885,'Medical Examinations'!$A:$L,10, FALSE)</f>
        <v>1</v>
      </c>
      <c r="I885" s="22" t="str">
        <f>VLOOKUP($A885, 'Medical Examinations'!$A:$J, 9, FALSE)</f>
        <v>No</v>
      </c>
      <c r="J885" s="22" t="str">
        <f>VLOOKUP($A885, 'Medical Examinations'!$A:$P, 11, FALSE)</f>
        <v>OBESITY</v>
      </c>
      <c r="K885" s="34">
        <v>30970.0</v>
      </c>
      <c r="L885" s="35">
        <f>VLOOKUP($A885, 'Hospitalisation Details'!$A:$H, 7, FALSE)</f>
        <v>12231.61</v>
      </c>
      <c r="M885" s="22" t="str">
        <f>VLOOKUP($A885, 'Hospitalisation Details'!$A:$L, 12, FALSE)</f>
        <v>tier - 3</v>
      </c>
      <c r="N885" s="22" t="str">
        <f>VLOOKUP($A885, 'Hospitalisation Details'!$A:$M, 13, FALSE)</f>
        <v>tier - 3</v>
      </c>
      <c r="O885" s="22" t="str">
        <f>VLOOKUP($A885, 'Hospitalisation Details'!$A:$N, 14, FALSE)</f>
        <v>R1012</v>
      </c>
      <c r="P885" s="36">
        <f>VLOOKUP($A885, 'Hospitalisation Details'!$A:$O, 15, FALSE)</f>
        <v>58</v>
      </c>
    </row>
    <row r="886" ht="15.75" customHeight="1">
      <c r="A886" s="33" t="s">
        <v>1771</v>
      </c>
      <c r="B886" s="22" t="str">
        <f>VLOOKUP($A886,'Customer Names'!$A:$D,3, FALSE)</f>
        <v>Hoffman</v>
      </c>
      <c r="C886" s="22">
        <f>VLOOKUP($A886,'Medical Examinations'!$A:$D, 2, FALSE)</f>
        <v>28.215</v>
      </c>
      <c r="D886" s="22">
        <f>VLOOKUP($A886, 'Medical Examinations'!$A:$D,3, FALSE)</f>
        <v>6.29</v>
      </c>
      <c r="E886" s="22" t="str">
        <f>VLOOKUP($A886, 'Medical Examinations'!$A:$D, 4, FALSE)</f>
        <v>Yes</v>
      </c>
      <c r="F886" s="22" t="str">
        <f>VLOOKUP($A886, 'Medical Examinations'!$A:$J, 5, FALSE)</f>
        <v>No</v>
      </c>
      <c r="G886" s="22" t="str">
        <f>VLOOKUP($A886, 'Medical Examinations'!$A:$I, 6, FALSE)</f>
        <v>No</v>
      </c>
      <c r="H886" s="22">
        <f>VLOOKUP($A886,'Medical Examinations'!$A:$L,10, FALSE)</f>
        <v>1</v>
      </c>
      <c r="I886" s="22" t="str">
        <f>VLOOKUP($A886, 'Medical Examinations'!$A:$J, 9, FALSE)</f>
        <v>No</v>
      </c>
      <c r="J886" s="22" t="str">
        <f>VLOOKUP($A886, 'Medical Examinations'!$A:$P, 11, FALSE)</f>
        <v>OVERWEIGHT</v>
      </c>
      <c r="K886" s="34">
        <v>33399.0</v>
      </c>
      <c r="L886" s="35">
        <f>VLOOKUP($A886, 'Hospitalisation Details'!$A:$H, 7, FALSE)</f>
        <v>12224.35</v>
      </c>
      <c r="M886" s="22" t="str">
        <f>VLOOKUP($A886, 'Hospitalisation Details'!$A:$L, 12, FALSE)</f>
        <v>tier - 3</v>
      </c>
      <c r="N886" s="22" t="str">
        <f>VLOOKUP($A886, 'Hospitalisation Details'!$A:$M, 13, FALSE)</f>
        <v>tier - 1</v>
      </c>
      <c r="O886" s="22" t="str">
        <f>VLOOKUP($A886, 'Hospitalisation Details'!$A:$N, 14, FALSE)</f>
        <v>R1012</v>
      </c>
      <c r="P886" s="36">
        <f>VLOOKUP($A886, 'Hospitalisation Details'!$A:$O, 15, FALSE)</f>
        <v>58</v>
      </c>
    </row>
    <row r="887" ht="15.75" customHeight="1">
      <c r="A887" s="33" t="s">
        <v>1773</v>
      </c>
      <c r="B887" s="22" t="str">
        <f>VLOOKUP($A887,'Customer Names'!$A:$D,3, FALSE)</f>
        <v>Va</v>
      </c>
      <c r="C887" s="22">
        <f>VLOOKUP($A887,'Medical Examinations'!$A:$D, 2, FALSE)</f>
        <v>27.17</v>
      </c>
      <c r="D887" s="22">
        <f>VLOOKUP($A887, 'Medical Examinations'!$A:$D,3, FALSE)</f>
        <v>5.84</v>
      </c>
      <c r="E887" s="22" t="str">
        <f>VLOOKUP($A887, 'Medical Examinations'!$A:$D, 4, FALSE)</f>
        <v>Yes</v>
      </c>
      <c r="F887" s="22" t="str">
        <f>VLOOKUP($A887, 'Medical Examinations'!$A:$J, 5, FALSE)</f>
        <v>No</v>
      </c>
      <c r="G887" s="22" t="str">
        <f>VLOOKUP($A887, 'Medical Examinations'!$A:$I, 6, FALSE)</f>
        <v>No</v>
      </c>
      <c r="H887" s="22">
        <f>VLOOKUP($A887,'Medical Examinations'!$A:$L,10, FALSE)</f>
        <v>1</v>
      </c>
      <c r="I887" s="22" t="str">
        <f>VLOOKUP($A887, 'Medical Examinations'!$A:$J, 9, FALSE)</f>
        <v>No</v>
      </c>
      <c r="J887" s="22" t="str">
        <f>VLOOKUP($A887, 'Medical Examinations'!$A:$P, 11, FALSE)</f>
        <v>OVERWEIGHT</v>
      </c>
      <c r="K887" s="34">
        <v>33857.0</v>
      </c>
      <c r="L887" s="35">
        <f>VLOOKUP($A887, 'Hospitalisation Details'!$A:$H, 7, FALSE)</f>
        <v>12222.9</v>
      </c>
      <c r="M887" s="22" t="str">
        <f>VLOOKUP($A887, 'Hospitalisation Details'!$A:$L, 12, FALSE)</f>
        <v>tier - 3</v>
      </c>
      <c r="N887" s="22" t="str">
        <f>VLOOKUP($A887, 'Hospitalisation Details'!$A:$M, 13, FALSE)</f>
        <v>tier - 2</v>
      </c>
      <c r="O887" s="22" t="str">
        <f>VLOOKUP($A887, 'Hospitalisation Details'!$A:$N, 14, FALSE)</f>
        <v>R1012</v>
      </c>
      <c r="P887" s="36">
        <f>VLOOKUP($A887, 'Hospitalisation Details'!$A:$O, 15, FALSE)</f>
        <v>58</v>
      </c>
    </row>
    <row r="888" ht="15.75" customHeight="1">
      <c r="A888" s="33" t="s">
        <v>1775</v>
      </c>
      <c r="B888" s="22" t="str">
        <f>VLOOKUP($A888,'Customer Names'!$A:$D,3, FALSE)</f>
        <v>Feehley</v>
      </c>
      <c r="C888" s="22">
        <f>VLOOKUP($A888,'Medical Examinations'!$A:$D, 2, FALSE)</f>
        <v>35.38</v>
      </c>
      <c r="D888" s="22">
        <f>VLOOKUP($A888, 'Medical Examinations'!$A:$D,3, FALSE)</f>
        <v>6.12</v>
      </c>
      <c r="E888" s="22" t="str">
        <f>VLOOKUP($A888, 'Medical Examinations'!$A:$D, 4, FALSE)</f>
        <v>No</v>
      </c>
      <c r="F888" s="22" t="str">
        <f>VLOOKUP($A888, 'Medical Examinations'!$A:$J, 5, FALSE)</f>
        <v>No</v>
      </c>
      <c r="G888" s="22" t="str">
        <f>VLOOKUP($A888, 'Medical Examinations'!$A:$I, 6, FALSE)</f>
        <v>No</v>
      </c>
      <c r="H888" s="22">
        <f>VLOOKUP($A888,'Medical Examinations'!$A:$L,10, FALSE)</f>
        <v>0</v>
      </c>
      <c r="I888" s="22" t="str">
        <f>VLOOKUP($A888, 'Medical Examinations'!$A:$J, 9, FALSE)</f>
        <v>No</v>
      </c>
      <c r="J888" s="22" t="str">
        <f>VLOOKUP($A888, 'Medical Examinations'!$A:$P, 11, FALSE)</f>
        <v>OBESITY</v>
      </c>
      <c r="K888" s="34">
        <v>36871.0</v>
      </c>
      <c r="L888" s="35">
        <f>VLOOKUP($A888, 'Hospitalisation Details'!$A:$H, 7, FALSE)</f>
        <v>12218.7</v>
      </c>
      <c r="M888" s="22" t="str">
        <f>VLOOKUP($A888, 'Hospitalisation Details'!$A:$L, 12, FALSE)</f>
        <v>tier - 3</v>
      </c>
      <c r="N888" s="22" t="str">
        <f>VLOOKUP($A888, 'Hospitalisation Details'!$A:$M, 13, FALSE)</f>
        <v>tier - 1</v>
      </c>
      <c r="O888" s="22" t="str">
        <f>VLOOKUP($A888, 'Hospitalisation Details'!$A:$N, 14, FALSE)</f>
        <v>R1012</v>
      </c>
      <c r="P888" s="36">
        <f>VLOOKUP($A888, 'Hospitalisation Details'!$A:$O, 15, FALSE)</f>
        <v>45</v>
      </c>
    </row>
    <row r="889" ht="15.75" customHeight="1">
      <c r="A889" s="33" t="s">
        <v>1777</v>
      </c>
      <c r="B889" s="22" t="str">
        <f>VLOOKUP($A889,'Customer Names'!$A:$D,3, FALSE)</f>
        <v>Ashworth</v>
      </c>
      <c r="C889" s="22">
        <f>VLOOKUP($A889,'Medical Examinations'!$A:$D, 2, FALSE)</f>
        <v>43.48</v>
      </c>
      <c r="D889" s="22">
        <f>VLOOKUP($A889, 'Medical Examinations'!$A:$D,3, FALSE)</f>
        <v>6.24</v>
      </c>
      <c r="E889" s="22" t="str">
        <f>VLOOKUP($A889, 'Medical Examinations'!$A:$D, 4, FALSE)</f>
        <v>No</v>
      </c>
      <c r="F889" s="22" t="str">
        <f>VLOOKUP($A889, 'Medical Examinations'!$A:$J, 5, FALSE)</f>
        <v>No</v>
      </c>
      <c r="G889" s="22" t="str">
        <f>VLOOKUP($A889, 'Medical Examinations'!$A:$I, 6, FALSE)</f>
        <v>No</v>
      </c>
      <c r="H889" s="22">
        <f>VLOOKUP($A889,'Medical Examinations'!$A:$L,10, FALSE)</f>
        <v>0</v>
      </c>
      <c r="I889" s="22" t="str">
        <f>VLOOKUP($A889, 'Medical Examinations'!$A:$J, 9, FALSE)</f>
        <v>No</v>
      </c>
      <c r="J889" s="22" t="str">
        <f>VLOOKUP($A889, 'Medical Examinations'!$A:$P, 11, FALSE)</f>
        <v>OBESITY</v>
      </c>
      <c r="K889" s="34">
        <v>37434.0</v>
      </c>
      <c r="L889" s="35">
        <f>VLOOKUP($A889, 'Hospitalisation Details'!$A:$H, 7, FALSE)</f>
        <v>12198.64</v>
      </c>
      <c r="M889" s="22" t="str">
        <f>VLOOKUP($A889, 'Hospitalisation Details'!$A:$L, 12, FALSE)</f>
        <v>tier - 3</v>
      </c>
      <c r="N889" s="22" t="str">
        <f>VLOOKUP($A889, 'Hospitalisation Details'!$A:$M, 13, FALSE)</f>
        <v>tier - 3</v>
      </c>
      <c r="O889" s="22" t="str">
        <f>VLOOKUP($A889, 'Hospitalisation Details'!$A:$N, 14, FALSE)</f>
        <v>R1026</v>
      </c>
      <c r="P889" s="36">
        <f>VLOOKUP($A889, 'Hospitalisation Details'!$A:$O, 15, FALSE)</f>
        <v>31</v>
      </c>
    </row>
    <row r="890" ht="15.75" customHeight="1">
      <c r="A890" s="33" t="s">
        <v>1779</v>
      </c>
      <c r="B890" s="22" t="str">
        <f>VLOOKUP($A890,'Customer Names'!$A:$D,3, FALSE)</f>
        <v>Hansen</v>
      </c>
      <c r="C890" s="22">
        <f>VLOOKUP($A890,'Medical Examinations'!$A:$D, 2, FALSE)</f>
        <v>41.73</v>
      </c>
      <c r="D890" s="22">
        <f>VLOOKUP($A890, 'Medical Examinations'!$A:$D,3, FALSE)</f>
        <v>6.25</v>
      </c>
      <c r="E890" s="22" t="str">
        <f>VLOOKUP($A890, 'Medical Examinations'!$A:$D, 4, FALSE)</f>
        <v>No</v>
      </c>
      <c r="F890" s="22" t="str">
        <f>VLOOKUP($A890, 'Medical Examinations'!$A:$J, 5, FALSE)</f>
        <v>No</v>
      </c>
      <c r="G890" s="22" t="str">
        <f>VLOOKUP($A890, 'Medical Examinations'!$A:$I, 6, FALSE)</f>
        <v>No</v>
      </c>
      <c r="H890" s="22">
        <f>VLOOKUP($A890,'Medical Examinations'!$A:$L,10, FALSE)</f>
        <v>1</v>
      </c>
      <c r="I890" s="22" t="str">
        <f>VLOOKUP($A890, 'Medical Examinations'!$A:$J, 9, FALSE)</f>
        <v>No</v>
      </c>
      <c r="J890" s="22" t="str">
        <f>VLOOKUP($A890, 'Medical Examinations'!$A:$P, 11, FALSE)</f>
        <v>OBESITY</v>
      </c>
      <c r="K890" s="34">
        <v>35034.0</v>
      </c>
      <c r="L890" s="35">
        <f>VLOOKUP($A890, 'Hospitalisation Details'!$A:$H, 7, FALSE)</f>
        <v>12148.2</v>
      </c>
      <c r="M890" s="22" t="str">
        <f>VLOOKUP($A890, 'Hospitalisation Details'!$A:$L, 12, FALSE)</f>
        <v>tier - 3</v>
      </c>
      <c r="N890" s="22" t="str">
        <f>VLOOKUP($A890, 'Hospitalisation Details'!$A:$M, 13, FALSE)</f>
        <v>tier - 3</v>
      </c>
      <c r="O890" s="22" t="str">
        <f>VLOOKUP($A890, 'Hospitalisation Details'!$A:$N, 14, FALSE)</f>
        <v>R1012</v>
      </c>
      <c r="P890" s="36">
        <f>VLOOKUP($A890, 'Hospitalisation Details'!$A:$O, 15, FALSE)</f>
        <v>35</v>
      </c>
    </row>
    <row r="891" ht="15.75" customHeight="1">
      <c r="A891" s="33" t="s">
        <v>1781</v>
      </c>
      <c r="B891" s="22" t="str">
        <f>VLOOKUP($A891,'Customer Names'!$A:$D,3, FALSE)</f>
        <v>Czyz</v>
      </c>
      <c r="C891" s="22">
        <f>VLOOKUP($A891,'Medical Examinations'!$A:$D, 2, FALSE)</f>
        <v>28.9</v>
      </c>
      <c r="D891" s="22">
        <f>VLOOKUP($A891, 'Medical Examinations'!$A:$D,3, FALSE)</f>
        <v>11.96</v>
      </c>
      <c r="E891" s="22" t="str">
        <f>VLOOKUP($A891, 'Medical Examinations'!$A:$D, 4, FALSE)</f>
        <v>No</v>
      </c>
      <c r="F891" s="22" t="str">
        <f>VLOOKUP($A891, 'Medical Examinations'!$A:$J, 5, FALSE)</f>
        <v>No</v>
      </c>
      <c r="G891" s="22" t="str">
        <f>VLOOKUP($A891, 'Medical Examinations'!$A:$I, 6, FALSE)</f>
        <v>No</v>
      </c>
      <c r="H891" s="22">
        <f>VLOOKUP($A891,'Medical Examinations'!$A:$L,10, FALSE)</f>
        <v>0</v>
      </c>
      <c r="I891" s="22" t="str">
        <f>VLOOKUP($A891, 'Medical Examinations'!$A:$J, 9, FALSE)</f>
        <v>No</v>
      </c>
      <c r="J891" s="22" t="str">
        <f>VLOOKUP($A891, 'Medical Examinations'!$A:$P, 11, FALSE)</f>
        <v>OVERWEIGHT</v>
      </c>
      <c r="K891" s="34">
        <v>29770.0</v>
      </c>
      <c r="L891" s="35">
        <f>VLOOKUP($A891, 'Hospitalisation Details'!$A:$H, 7, FALSE)</f>
        <v>12146.97</v>
      </c>
      <c r="M891" s="22" t="str">
        <f>VLOOKUP($A891, 'Hospitalisation Details'!$A:$L, 12, FALSE)</f>
        <v>tier - 3</v>
      </c>
      <c r="N891" s="22" t="str">
        <f>VLOOKUP($A891, 'Hospitalisation Details'!$A:$M, 13, FALSE)</f>
        <v>tier - 3</v>
      </c>
      <c r="O891" s="22" t="str">
        <f>VLOOKUP($A891, 'Hospitalisation Details'!$A:$N, 14, FALSE)</f>
        <v>R1011</v>
      </c>
      <c r="P891" s="36">
        <f>VLOOKUP($A891, 'Hospitalisation Details'!$A:$O, 15, FALSE)</f>
        <v>60</v>
      </c>
    </row>
    <row r="892" ht="15.75" customHeight="1">
      <c r="A892" s="33" t="s">
        <v>1783</v>
      </c>
      <c r="B892" s="22" t="str">
        <f>VLOOKUP($A892,'Customer Names'!$A:$D,3, FALSE)</f>
        <v>Bauder</v>
      </c>
      <c r="C892" s="22">
        <f>VLOOKUP($A892,'Medical Examinations'!$A:$D, 2, FALSE)</f>
        <v>25.74</v>
      </c>
      <c r="D892" s="22">
        <f>VLOOKUP($A892, 'Medical Examinations'!$A:$D,3, FALSE)</f>
        <v>7.69</v>
      </c>
      <c r="E892" s="22" t="str">
        <f>VLOOKUP($A892, 'Medical Examinations'!$A:$D, 4, FALSE)</f>
        <v>No</v>
      </c>
      <c r="F892" s="22" t="str">
        <f>VLOOKUP($A892, 'Medical Examinations'!$A:$J, 5, FALSE)</f>
        <v>No</v>
      </c>
      <c r="G892" s="22" t="str">
        <f>VLOOKUP($A892, 'Medical Examinations'!$A:$I, 6, FALSE)</f>
        <v>No</v>
      </c>
      <c r="H892" s="22">
        <f>VLOOKUP($A892,'Medical Examinations'!$A:$L,10, FALSE)</f>
        <v>0</v>
      </c>
      <c r="I892" s="22" t="str">
        <f>VLOOKUP($A892, 'Medical Examinations'!$A:$J, 9, FALSE)</f>
        <v>No</v>
      </c>
      <c r="J892" s="22" t="str">
        <f>VLOOKUP($A892, 'Medical Examinations'!$A:$P, 11, FALSE)</f>
        <v>OVERWEIGHT</v>
      </c>
      <c r="K892" s="34">
        <v>28766.0</v>
      </c>
      <c r="L892" s="35">
        <f>VLOOKUP($A892, 'Hospitalisation Details'!$A:$H, 7, FALSE)</f>
        <v>12142.58</v>
      </c>
      <c r="M892" s="22" t="str">
        <f>VLOOKUP($A892, 'Hospitalisation Details'!$A:$L, 12, FALSE)</f>
        <v>tier - 3</v>
      </c>
      <c r="N892" s="22" t="str">
        <f>VLOOKUP($A892, 'Hospitalisation Details'!$A:$M, 13, FALSE)</f>
        <v>tier - 2</v>
      </c>
      <c r="O892" s="22" t="str">
        <f>VLOOKUP($A892, 'Hospitalisation Details'!$A:$N, 14, FALSE)</f>
        <v>R1013</v>
      </c>
      <c r="P892" s="36">
        <f>VLOOKUP($A892, 'Hospitalisation Details'!$A:$O, 15, FALSE)</f>
        <v>60</v>
      </c>
    </row>
    <row r="893" ht="15.75" customHeight="1">
      <c r="A893" s="33" t="s">
        <v>1785</v>
      </c>
      <c r="B893" s="22" t="str">
        <f>VLOOKUP($A893,'Customer Names'!$A:$D,3, FALSE)</f>
        <v>Mendoza</v>
      </c>
      <c r="C893" s="22">
        <f>VLOOKUP($A893,'Medical Examinations'!$A:$D, 2, FALSE)</f>
        <v>36.06</v>
      </c>
      <c r="D893" s="22">
        <f>VLOOKUP($A893, 'Medical Examinations'!$A:$D,3, FALSE)</f>
        <v>8.83</v>
      </c>
      <c r="E893" s="22" t="str">
        <f>VLOOKUP($A893, 'Medical Examinations'!$A:$D, 4, FALSE)</f>
        <v>No</v>
      </c>
      <c r="F893" s="22" t="str">
        <f>VLOOKUP($A893, 'Medical Examinations'!$A:$J, 5, FALSE)</f>
        <v>No</v>
      </c>
      <c r="G893" s="22" t="str">
        <f>VLOOKUP($A893, 'Medical Examinations'!$A:$I, 6, FALSE)</f>
        <v>No</v>
      </c>
      <c r="H893" s="22">
        <f>VLOOKUP($A893,'Medical Examinations'!$A:$L,10, FALSE)</f>
        <v>0</v>
      </c>
      <c r="I893" s="22" t="str">
        <f>VLOOKUP($A893, 'Medical Examinations'!$A:$J, 9, FALSE)</f>
        <v>No</v>
      </c>
      <c r="J893" s="22" t="str">
        <f>VLOOKUP($A893, 'Medical Examinations'!$A:$P, 11, FALSE)</f>
        <v>OBESITY</v>
      </c>
      <c r="K893" s="34">
        <v>32858.0</v>
      </c>
      <c r="L893" s="35">
        <f>VLOOKUP($A893, 'Hospitalisation Details'!$A:$H, 7, FALSE)</f>
        <v>12137.6</v>
      </c>
      <c r="M893" s="22" t="str">
        <f>VLOOKUP($A893, 'Hospitalisation Details'!$A:$L, 12, FALSE)</f>
        <v>tier - 3</v>
      </c>
      <c r="N893" s="22" t="str">
        <f>VLOOKUP($A893, 'Hospitalisation Details'!$A:$M, 13, FALSE)</f>
        <v>tier - 3</v>
      </c>
      <c r="O893" s="22" t="str">
        <f>VLOOKUP($A893, 'Hospitalisation Details'!$A:$N, 14, FALSE)</f>
        <v>R1012</v>
      </c>
      <c r="P893" s="36">
        <f>VLOOKUP($A893, 'Hospitalisation Details'!$A:$O, 15, FALSE)</f>
        <v>48</v>
      </c>
    </row>
    <row r="894" ht="15.75" customHeight="1">
      <c r="A894" s="33" t="s">
        <v>1787</v>
      </c>
      <c r="B894" s="22" t="str">
        <f>VLOOKUP($A894,'Customer Names'!$A:$D,3, FALSE)</f>
        <v>Glass</v>
      </c>
      <c r="C894" s="22">
        <f>VLOOKUP($A894,'Medical Examinations'!$A:$D, 2, FALSE)</f>
        <v>43.28</v>
      </c>
      <c r="D894" s="22">
        <f>VLOOKUP($A894, 'Medical Examinations'!$A:$D,3, FALSE)</f>
        <v>4.41</v>
      </c>
      <c r="E894" s="22" t="str">
        <f>VLOOKUP($A894, 'Medical Examinations'!$A:$D, 4, FALSE)</f>
        <v>No</v>
      </c>
      <c r="F894" s="22" t="str">
        <f>VLOOKUP($A894, 'Medical Examinations'!$A:$J, 5, FALSE)</f>
        <v>No</v>
      </c>
      <c r="G894" s="22" t="str">
        <f>VLOOKUP($A894, 'Medical Examinations'!$A:$I, 6, FALSE)</f>
        <v>No</v>
      </c>
      <c r="H894" s="22">
        <f>VLOOKUP($A894,'Medical Examinations'!$A:$L,10, FALSE)</f>
        <v>0</v>
      </c>
      <c r="I894" s="22" t="str">
        <f>VLOOKUP($A894, 'Medical Examinations'!$A:$J, 9, FALSE)</f>
        <v>No</v>
      </c>
      <c r="J894" s="22" t="str">
        <f>VLOOKUP($A894, 'Medical Examinations'!$A:$P, 11, FALSE)</f>
        <v>OBESITY</v>
      </c>
      <c r="K894" s="34">
        <v>31950.0</v>
      </c>
      <c r="L894" s="35">
        <f>VLOOKUP($A894, 'Hospitalisation Details'!$A:$H, 7, FALSE)</f>
        <v>12130.8</v>
      </c>
      <c r="M894" s="22" t="str">
        <f>VLOOKUP($A894, 'Hospitalisation Details'!$A:$L, 12, FALSE)</f>
        <v>tier - 3</v>
      </c>
      <c r="N894" s="22" t="str">
        <f>VLOOKUP($A894, 'Hospitalisation Details'!$A:$M, 13, FALSE)</f>
        <v>tier - 3</v>
      </c>
      <c r="O894" s="22" t="str">
        <f>VLOOKUP($A894, 'Hospitalisation Details'!$A:$N, 14, FALSE)</f>
        <v>R1026</v>
      </c>
      <c r="P894" s="36">
        <f>VLOOKUP($A894, 'Hospitalisation Details'!$A:$O, 15, FALSE)</f>
        <v>31</v>
      </c>
    </row>
    <row r="895" ht="15.75" customHeight="1">
      <c r="A895" s="33" t="s">
        <v>1789</v>
      </c>
      <c r="B895" s="22" t="str">
        <f>VLOOKUP($A895,'Customer Names'!$A:$D,3, FALSE)</f>
        <v>Butcher</v>
      </c>
      <c r="C895" s="22">
        <f>VLOOKUP($A895,'Medical Examinations'!$A:$D, 2, FALSE)</f>
        <v>28.785</v>
      </c>
      <c r="D895" s="22">
        <f>VLOOKUP($A895, 'Medical Examinations'!$A:$D,3, FALSE)</f>
        <v>9.1</v>
      </c>
      <c r="E895" s="22" t="str">
        <f>VLOOKUP($A895, 'Medical Examinations'!$A:$D, 4, FALSE)</f>
        <v>Yes</v>
      </c>
      <c r="F895" s="22" t="str">
        <f>VLOOKUP($A895, 'Medical Examinations'!$A:$J, 5, FALSE)</f>
        <v>No</v>
      </c>
      <c r="G895" s="22" t="str">
        <f>VLOOKUP($A895, 'Medical Examinations'!$A:$I, 6, FALSE)</f>
        <v>Yes</v>
      </c>
      <c r="H895" s="22">
        <f>VLOOKUP($A895,'Medical Examinations'!$A:$L,10, FALSE)</f>
        <v>1</v>
      </c>
      <c r="I895" s="22" t="str">
        <f>VLOOKUP($A895, 'Medical Examinations'!$A:$J, 9, FALSE)</f>
        <v>No</v>
      </c>
      <c r="J895" s="22" t="str">
        <f>VLOOKUP($A895, 'Medical Examinations'!$A:$P, 11, FALSE)</f>
        <v>OVERWEIGHT</v>
      </c>
      <c r="K895" s="34">
        <v>32851.0</v>
      </c>
      <c r="L895" s="35">
        <f>VLOOKUP($A895, 'Hospitalisation Details'!$A:$H, 7, FALSE)</f>
        <v>12129.61</v>
      </c>
      <c r="M895" s="22" t="str">
        <f>VLOOKUP($A895, 'Hospitalisation Details'!$A:$L, 12, FALSE)</f>
        <v>tier - 3</v>
      </c>
      <c r="N895" s="22" t="str">
        <f>VLOOKUP($A895, 'Hospitalisation Details'!$A:$M, 13, FALSE)</f>
        <v>tier - 1</v>
      </c>
      <c r="O895" s="22" t="str">
        <f>VLOOKUP($A895, 'Hospitalisation Details'!$A:$N, 14, FALSE)</f>
        <v>R1012</v>
      </c>
      <c r="P895" s="36">
        <f>VLOOKUP($A895, 'Hospitalisation Details'!$A:$O, 15, FALSE)</f>
        <v>60</v>
      </c>
    </row>
    <row r="896" ht="15.75" customHeight="1">
      <c r="A896" s="33" t="s">
        <v>1791</v>
      </c>
      <c r="B896" s="22" t="str">
        <f>VLOOKUP($A896,'Customer Names'!$A:$D,3, FALSE)</f>
        <v>Traiser</v>
      </c>
      <c r="C896" s="22">
        <f>VLOOKUP($A896,'Medical Examinations'!$A:$D, 2, FALSE)</f>
        <v>25.46</v>
      </c>
      <c r="D896" s="22">
        <f>VLOOKUP($A896, 'Medical Examinations'!$A:$D,3, FALSE)</f>
        <v>11.52</v>
      </c>
      <c r="E896" s="22" t="str">
        <f>VLOOKUP($A896, 'Medical Examinations'!$A:$D, 4, FALSE)</f>
        <v>Yes</v>
      </c>
      <c r="F896" s="22" t="str">
        <f>VLOOKUP($A896, 'Medical Examinations'!$A:$J, 5, FALSE)</f>
        <v>No</v>
      </c>
      <c r="G896" s="22" t="str">
        <f>VLOOKUP($A896, 'Medical Examinations'!$A:$I, 6, FALSE)</f>
        <v>Yes</v>
      </c>
      <c r="H896" s="22">
        <f>VLOOKUP($A896,'Medical Examinations'!$A:$L,10, FALSE)</f>
        <v>1</v>
      </c>
      <c r="I896" s="22" t="str">
        <f>VLOOKUP($A896, 'Medical Examinations'!$A:$J, 9, FALSE)</f>
        <v>No</v>
      </c>
      <c r="J896" s="22" t="str">
        <f>VLOOKUP($A896, 'Medical Examinations'!$A:$P, 11, FALSE)</f>
        <v>OVERWEIGHT</v>
      </c>
      <c r="K896" s="34">
        <v>32721.0</v>
      </c>
      <c r="L896" s="35">
        <f>VLOOKUP($A896, 'Hospitalisation Details'!$A:$H, 7, FALSE)</f>
        <v>12124.99</v>
      </c>
      <c r="M896" s="22" t="str">
        <f>VLOOKUP($A896, 'Hospitalisation Details'!$A:$L, 12, FALSE)</f>
        <v>tier - 3</v>
      </c>
      <c r="N896" s="22" t="str">
        <f>VLOOKUP($A896, 'Hospitalisation Details'!$A:$M, 13, FALSE)</f>
        <v>tier - 1</v>
      </c>
      <c r="O896" s="22" t="str">
        <f>VLOOKUP($A896, 'Hospitalisation Details'!$A:$N, 14, FALSE)</f>
        <v>R1012</v>
      </c>
      <c r="P896" s="36">
        <f>VLOOKUP($A896, 'Hospitalisation Details'!$A:$O, 15, FALSE)</f>
        <v>59</v>
      </c>
    </row>
    <row r="897" ht="15.75" customHeight="1">
      <c r="A897" s="33" t="s">
        <v>1793</v>
      </c>
      <c r="B897" s="22" t="str">
        <f>VLOOKUP($A897,'Customer Names'!$A:$D,3, FALSE)</f>
        <v>Mudy-Mader</v>
      </c>
      <c r="C897" s="22">
        <f>VLOOKUP($A897,'Medical Examinations'!$A:$D, 2, FALSE)</f>
        <v>30.8</v>
      </c>
      <c r="D897" s="22">
        <f>VLOOKUP($A897, 'Medical Examinations'!$A:$D,3, FALSE)</f>
        <v>10.95</v>
      </c>
      <c r="E897" s="22" t="str">
        <f>VLOOKUP($A897, 'Medical Examinations'!$A:$D, 4, FALSE)</f>
        <v>No</v>
      </c>
      <c r="F897" s="22" t="str">
        <f>VLOOKUP($A897, 'Medical Examinations'!$A:$J, 5, FALSE)</f>
        <v>No</v>
      </c>
      <c r="G897" s="22" t="str">
        <f>VLOOKUP($A897, 'Medical Examinations'!$A:$I, 6, FALSE)</f>
        <v>No</v>
      </c>
      <c r="H897" s="22">
        <f>VLOOKUP($A897,'Medical Examinations'!$A:$L,10, FALSE)</f>
        <v>0</v>
      </c>
      <c r="I897" s="22" t="str">
        <f>VLOOKUP($A897, 'Medical Examinations'!$A:$J, 9, FALSE)</f>
        <v>No</v>
      </c>
      <c r="J897" s="22" t="str">
        <f>VLOOKUP($A897, 'Medical Examinations'!$A:$P, 11, FALSE)</f>
        <v>OBESITY</v>
      </c>
      <c r="K897" s="34">
        <v>23228.0</v>
      </c>
      <c r="L897" s="35">
        <f>VLOOKUP($A897, 'Hospitalisation Details'!$A:$H, 7, FALSE)</f>
        <v>12105.32</v>
      </c>
      <c r="M897" s="22" t="str">
        <f>VLOOKUP($A897, 'Hospitalisation Details'!$A:$L, 12, FALSE)</f>
        <v>tier - 3</v>
      </c>
      <c r="N897" s="22" t="str">
        <f>VLOOKUP($A897, 'Hospitalisation Details'!$A:$M, 13, FALSE)</f>
        <v>tier - 3</v>
      </c>
      <c r="O897" s="22" t="str">
        <f>VLOOKUP($A897, 'Hospitalisation Details'!$A:$N, 14, FALSE)</f>
        <v>R1011</v>
      </c>
      <c r="P897" s="36">
        <f>VLOOKUP($A897, 'Hospitalisation Details'!$A:$O, 15, FALSE)</f>
        <v>54</v>
      </c>
    </row>
    <row r="898" ht="15.75" customHeight="1">
      <c r="A898" s="33" t="s">
        <v>1795</v>
      </c>
      <c r="B898" s="22" t="str">
        <f>VLOOKUP($A898,'Customer Names'!$A:$D,3, FALSE)</f>
        <v>Rogers</v>
      </c>
      <c r="C898" s="22">
        <f>VLOOKUP($A898,'Medical Examinations'!$A:$D, 2, FALSE)</f>
        <v>28.88</v>
      </c>
      <c r="D898" s="22">
        <f>VLOOKUP($A898, 'Medical Examinations'!$A:$D,3, FALSE)</f>
        <v>11.5</v>
      </c>
      <c r="E898" s="22" t="str">
        <f>VLOOKUP($A898, 'Medical Examinations'!$A:$D, 4, FALSE)</f>
        <v>No</v>
      </c>
      <c r="F898" s="22" t="str">
        <f>VLOOKUP($A898, 'Medical Examinations'!$A:$J, 5, FALSE)</f>
        <v>No</v>
      </c>
      <c r="G898" s="22" t="str">
        <f>VLOOKUP($A898, 'Medical Examinations'!$A:$I, 6, FALSE)</f>
        <v>No</v>
      </c>
      <c r="H898" s="22">
        <f>VLOOKUP($A898,'Medical Examinations'!$A:$L,10, FALSE)</f>
        <v>0</v>
      </c>
      <c r="I898" s="22" t="str">
        <f>VLOOKUP($A898, 'Medical Examinations'!$A:$J, 9, FALSE)</f>
        <v>No</v>
      </c>
      <c r="J898" s="22" t="str">
        <f>VLOOKUP($A898, 'Medical Examinations'!$A:$P, 11, FALSE)</f>
        <v>OVERWEIGHT</v>
      </c>
      <c r="K898" s="34">
        <v>23216.0</v>
      </c>
      <c r="L898" s="35">
        <f>VLOOKUP($A898, 'Hospitalisation Details'!$A:$H, 7, FALSE)</f>
        <v>12096.65</v>
      </c>
      <c r="M898" s="22" t="str">
        <f>VLOOKUP($A898, 'Hospitalisation Details'!$A:$L, 12, FALSE)</f>
        <v>tier - 3</v>
      </c>
      <c r="N898" s="22" t="str">
        <f>VLOOKUP($A898, 'Hospitalisation Details'!$A:$M, 13, FALSE)</f>
        <v>tier - 1</v>
      </c>
      <c r="O898" s="22" t="str">
        <f>VLOOKUP($A898, 'Hospitalisation Details'!$A:$N, 14, FALSE)</f>
        <v>R1024</v>
      </c>
      <c r="P898" s="36">
        <f>VLOOKUP($A898, 'Hospitalisation Details'!$A:$O, 15, FALSE)</f>
        <v>54</v>
      </c>
    </row>
    <row r="899" ht="15.75" customHeight="1">
      <c r="A899" s="33" t="s">
        <v>1797</v>
      </c>
      <c r="B899" s="22" t="str">
        <f>VLOOKUP($A899,'Customer Names'!$A:$D,3, FALSE)</f>
        <v>Woo</v>
      </c>
      <c r="C899" s="22">
        <f>VLOOKUP($A899,'Medical Examinations'!$A:$D, 2, FALSE)</f>
        <v>23</v>
      </c>
      <c r="D899" s="22">
        <f>VLOOKUP($A899, 'Medical Examinations'!$A:$D,3, FALSE)</f>
        <v>9.88</v>
      </c>
      <c r="E899" s="22" t="str">
        <f>VLOOKUP($A899, 'Medical Examinations'!$A:$D, 4, FALSE)</f>
        <v>No</v>
      </c>
      <c r="F899" s="22" t="str">
        <f>VLOOKUP($A899, 'Medical Examinations'!$A:$J, 5, FALSE)</f>
        <v>No</v>
      </c>
      <c r="G899" s="22" t="str">
        <f>VLOOKUP($A899, 'Medical Examinations'!$A:$I, 6, FALSE)</f>
        <v>No</v>
      </c>
      <c r="H899" s="22">
        <f>VLOOKUP($A899,'Medical Examinations'!$A:$L,10, FALSE)</f>
        <v>0</v>
      </c>
      <c r="I899" s="22" t="str">
        <f>VLOOKUP($A899, 'Medical Examinations'!$A:$J, 9, FALSE)</f>
        <v>No</v>
      </c>
      <c r="J899" s="22" t="str">
        <f>VLOOKUP($A899, 'Medical Examinations'!$A:$P, 11, FALSE)</f>
        <v>NORMAL WEIGHT</v>
      </c>
      <c r="K899" s="34">
        <v>32047.0</v>
      </c>
      <c r="L899" s="35">
        <f>VLOOKUP($A899, 'Hospitalisation Details'!$A:$H, 7, FALSE)</f>
        <v>12094.48</v>
      </c>
      <c r="M899" s="22" t="str">
        <f>VLOOKUP($A899, 'Hospitalisation Details'!$A:$L, 12, FALSE)</f>
        <v>tier - 3</v>
      </c>
      <c r="N899" s="22" t="str">
        <f>VLOOKUP($A899, 'Hospitalisation Details'!$A:$M, 13, FALSE)</f>
        <v>tier - 3</v>
      </c>
      <c r="O899" s="22" t="str">
        <f>VLOOKUP($A899, 'Hospitalisation Details'!$A:$N, 14, FALSE)</f>
        <v>R1011</v>
      </c>
      <c r="P899" s="36">
        <f>VLOOKUP($A899, 'Hospitalisation Details'!$A:$O, 15, FALSE)</f>
        <v>54</v>
      </c>
    </row>
    <row r="900" ht="15.75" customHeight="1">
      <c r="A900" s="33" t="s">
        <v>1799</v>
      </c>
      <c r="B900" s="22" t="str">
        <f>VLOOKUP($A900,'Customer Names'!$A:$D,3, FALSE)</f>
        <v>Walsh</v>
      </c>
      <c r="C900" s="22">
        <f>VLOOKUP($A900,'Medical Examinations'!$A:$D, 2, FALSE)</f>
        <v>38.25</v>
      </c>
      <c r="D900" s="22">
        <f>VLOOKUP($A900, 'Medical Examinations'!$A:$D,3, FALSE)</f>
        <v>6.2</v>
      </c>
      <c r="E900" s="22" t="str">
        <f>VLOOKUP($A900, 'Medical Examinations'!$A:$D, 4, FALSE)</f>
        <v>No</v>
      </c>
      <c r="F900" s="22" t="str">
        <f>VLOOKUP($A900, 'Medical Examinations'!$A:$J, 5, FALSE)</f>
        <v>No</v>
      </c>
      <c r="G900" s="22" t="str">
        <f>VLOOKUP($A900, 'Medical Examinations'!$A:$I, 6, FALSE)</f>
        <v>No</v>
      </c>
      <c r="H900" s="22">
        <f>VLOOKUP($A900,'Medical Examinations'!$A:$L,10, FALSE)</f>
        <v>1</v>
      </c>
      <c r="I900" s="22" t="str">
        <f>VLOOKUP($A900, 'Medical Examinations'!$A:$J, 9, FALSE)</f>
        <v>No</v>
      </c>
      <c r="J900" s="22" t="str">
        <f>VLOOKUP($A900, 'Medical Examinations'!$A:$P, 11, FALSE)</f>
        <v>OBESITY</v>
      </c>
      <c r="K900" s="34">
        <v>33832.0</v>
      </c>
      <c r="L900" s="35">
        <f>VLOOKUP($A900, 'Hospitalisation Details'!$A:$H, 7, FALSE)</f>
        <v>12091.34</v>
      </c>
      <c r="M900" s="22" t="str">
        <f>VLOOKUP($A900, 'Hospitalisation Details'!$A:$L, 12, FALSE)</f>
        <v>tier - 3</v>
      </c>
      <c r="N900" s="22" t="str">
        <f>VLOOKUP($A900, 'Hospitalisation Details'!$A:$M, 13, FALSE)</f>
        <v>tier - 2</v>
      </c>
      <c r="O900" s="22" t="str">
        <f>VLOOKUP($A900, 'Hospitalisation Details'!$A:$N, 14, FALSE)</f>
        <v>R1022</v>
      </c>
      <c r="P900" s="36">
        <f>VLOOKUP($A900, 'Hospitalisation Details'!$A:$O, 15, FALSE)</f>
        <v>38</v>
      </c>
    </row>
    <row r="901" ht="15.75" customHeight="1">
      <c r="A901" s="33" t="s">
        <v>1801</v>
      </c>
      <c r="B901" s="22" t="str">
        <f>VLOOKUP($A901,'Customer Names'!$A:$D,3, FALSE)</f>
        <v>White</v>
      </c>
      <c r="C901" s="22">
        <f>VLOOKUP($A901,'Medical Examinations'!$A:$D, 2, FALSE)</f>
        <v>39.25</v>
      </c>
      <c r="D901" s="22">
        <f>VLOOKUP($A901, 'Medical Examinations'!$A:$D,3, FALSE)</f>
        <v>8.41</v>
      </c>
      <c r="E901" s="22" t="str">
        <f>VLOOKUP($A901, 'Medical Examinations'!$A:$D, 4, FALSE)</f>
        <v>Yes</v>
      </c>
      <c r="F901" s="22" t="str">
        <f>VLOOKUP($A901, 'Medical Examinations'!$A:$J, 5, FALSE)</f>
        <v>No</v>
      </c>
      <c r="G901" s="22" t="str">
        <f>VLOOKUP($A901, 'Medical Examinations'!$A:$I, 6, FALSE)</f>
        <v>No</v>
      </c>
      <c r="H901" s="22">
        <f>VLOOKUP($A901,'Medical Examinations'!$A:$L,10, FALSE)</f>
        <v>1</v>
      </c>
      <c r="I901" s="22" t="str">
        <f>VLOOKUP($A901, 'Medical Examinations'!$A:$J, 9, FALSE)</f>
        <v>No</v>
      </c>
      <c r="J901" s="22" t="str">
        <f>VLOOKUP($A901, 'Medical Examinations'!$A:$P, 11, FALSE)</f>
        <v>OBESITY</v>
      </c>
      <c r="K901" s="34">
        <v>32103.0</v>
      </c>
      <c r="L901" s="35">
        <f>VLOOKUP($A901, 'Hospitalisation Details'!$A:$H, 7, FALSE)</f>
        <v>12048.13</v>
      </c>
      <c r="M901" s="22" t="str">
        <f>VLOOKUP($A901, 'Hospitalisation Details'!$A:$L, 12, FALSE)</f>
        <v>tier - 3</v>
      </c>
      <c r="N901" s="22" t="str">
        <f>VLOOKUP($A901, 'Hospitalisation Details'!$A:$M, 13, FALSE)</f>
        <v>tier - 2</v>
      </c>
      <c r="O901" s="22" t="str">
        <f>VLOOKUP($A901, 'Hospitalisation Details'!$A:$N, 14, FALSE)</f>
        <v>R1026</v>
      </c>
      <c r="P901" s="36">
        <f>VLOOKUP($A901, 'Hospitalisation Details'!$A:$O, 15, FALSE)</f>
        <v>36</v>
      </c>
    </row>
    <row r="902" ht="15.75" customHeight="1">
      <c r="A902" s="33" t="s">
        <v>1803</v>
      </c>
      <c r="B902" s="22" t="str">
        <f>VLOOKUP($A902,'Customer Names'!$A:$D,3, FALSE)</f>
        <v>Sheppard</v>
      </c>
      <c r="C902" s="22">
        <f>VLOOKUP($A902,'Medical Examinations'!$A:$D, 2, FALSE)</f>
        <v>26.6</v>
      </c>
      <c r="D902" s="22">
        <f>VLOOKUP($A902, 'Medical Examinations'!$A:$D,3, FALSE)</f>
        <v>5.07</v>
      </c>
      <c r="E902" s="22" t="str">
        <f>VLOOKUP($A902, 'Medical Examinations'!$A:$D, 4, FALSE)</f>
        <v>Yes</v>
      </c>
      <c r="F902" s="22" t="str">
        <f>VLOOKUP($A902, 'Medical Examinations'!$A:$J, 5, FALSE)</f>
        <v>No</v>
      </c>
      <c r="G902" s="22" t="str">
        <f>VLOOKUP($A902, 'Medical Examinations'!$A:$I, 6, FALSE)</f>
        <v>No</v>
      </c>
      <c r="H902" s="22">
        <f>VLOOKUP($A902,'Medical Examinations'!$A:$L,10, FALSE)</f>
        <v>2</v>
      </c>
      <c r="I902" s="22" t="str">
        <f>VLOOKUP($A902, 'Medical Examinations'!$A:$J, 9, FALSE)</f>
        <v>No</v>
      </c>
      <c r="J902" s="22" t="str">
        <f>VLOOKUP($A902, 'Medical Examinations'!$A:$P, 11, FALSE)</f>
        <v>OVERWEIGHT</v>
      </c>
      <c r="K902" s="34">
        <v>32022.0</v>
      </c>
      <c r="L902" s="35">
        <f>VLOOKUP($A902, 'Hospitalisation Details'!$A:$H, 7, FALSE)</f>
        <v>12044.34</v>
      </c>
      <c r="M902" s="22" t="str">
        <f>VLOOKUP($A902, 'Hospitalisation Details'!$A:$L, 12, FALSE)</f>
        <v>tier - 3</v>
      </c>
      <c r="N902" s="22" t="str">
        <f>VLOOKUP($A902, 'Hospitalisation Details'!$A:$M, 13, FALSE)</f>
        <v>tier - 1</v>
      </c>
      <c r="O902" s="22" t="str">
        <f>VLOOKUP($A902, 'Hospitalisation Details'!$A:$N, 14, FALSE)</f>
        <v>R1012</v>
      </c>
      <c r="P902" s="36">
        <f>VLOOKUP($A902, 'Hospitalisation Details'!$A:$O, 15, FALSE)</f>
        <v>56</v>
      </c>
    </row>
    <row r="903" ht="15.75" customHeight="1">
      <c r="A903" s="33" t="s">
        <v>1805</v>
      </c>
      <c r="B903" s="22" t="str">
        <f>VLOOKUP($A903,'Customer Names'!$A:$D,3, FALSE)</f>
        <v>Doran</v>
      </c>
      <c r="C903" s="22">
        <f>VLOOKUP($A903,'Medical Examinations'!$A:$D, 2, FALSE)</f>
        <v>35.7</v>
      </c>
      <c r="D903" s="22">
        <f>VLOOKUP($A903, 'Medical Examinations'!$A:$D,3, FALSE)</f>
        <v>4.06</v>
      </c>
      <c r="E903" s="22" t="str">
        <f>VLOOKUP($A903, 'Medical Examinations'!$A:$D, 4, FALSE)</f>
        <v>No</v>
      </c>
      <c r="F903" s="22" t="str">
        <f>VLOOKUP($A903, 'Medical Examinations'!$A:$J, 5, FALSE)</f>
        <v>No</v>
      </c>
      <c r="G903" s="22" t="str">
        <f>VLOOKUP($A903, 'Medical Examinations'!$A:$I, 6, FALSE)</f>
        <v>Yes</v>
      </c>
      <c r="H903" s="22">
        <f>VLOOKUP($A903,'Medical Examinations'!$A:$L,10, FALSE)</f>
        <v>1</v>
      </c>
      <c r="I903" s="22" t="str">
        <f>VLOOKUP($A903, 'Medical Examinations'!$A:$J, 9, FALSE)</f>
        <v>No</v>
      </c>
      <c r="J903" s="22" t="str">
        <f>VLOOKUP($A903, 'Medical Examinations'!$A:$P, 11, FALSE)</f>
        <v>OBESITY</v>
      </c>
      <c r="K903" s="34">
        <v>31933.0</v>
      </c>
      <c r="L903" s="35">
        <f>VLOOKUP($A903, 'Hospitalisation Details'!$A:$H, 7, FALSE)</f>
        <v>12035.18</v>
      </c>
      <c r="M903" s="22" t="str">
        <f>VLOOKUP($A903, 'Hospitalisation Details'!$A:$L, 12, FALSE)</f>
        <v>tier - 3</v>
      </c>
      <c r="N903" s="22" t="str">
        <f>VLOOKUP($A903, 'Hospitalisation Details'!$A:$M, 13, FALSE)</f>
        <v>tier - 3</v>
      </c>
      <c r="O903" s="22" t="str">
        <f>VLOOKUP($A903, 'Hospitalisation Details'!$A:$N, 14, FALSE)</f>
        <v>R1021</v>
      </c>
      <c r="P903" s="36">
        <f>VLOOKUP($A903, 'Hospitalisation Details'!$A:$O, 15, FALSE)</f>
        <v>43</v>
      </c>
    </row>
    <row r="904" ht="15.75" customHeight="1">
      <c r="A904" s="33" t="s">
        <v>1807</v>
      </c>
      <c r="B904" s="22" t="str">
        <f>VLOOKUP($A904,'Customer Names'!$A:$D,3, FALSE)</f>
        <v>Labrosse</v>
      </c>
      <c r="C904" s="22">
        <f>VLOOKUP($A904,'Medical Examinations'!$A:$D, 2, FALSE)</f>
        <v>20.1</v>
      </c>
      <c r="D904" s="22">
        <f>VLOOKUP($A904, 'Medical Examinations'!$A:$D,3, FALSE)</f>
        <v>10.52</v>
      </c>
      <c r="E904" s="22" t="str">
        <f>VLOOKUP($A904, 'Medical Examinations'!$A:$D, 4, FALSE)</f>
        <v>No</v>
      </c>
      <c r="F904" s="22" t="str">
        <f>VLOOKUP($A904, 'Medical Examinations'!$A:$J, 5, FALSE)</f>
        <v>No</v>
      </c>
      <c r="G904" s="22" t="str">
        <f>VLOOKUP($A904, 'Medical Examinations'!$A:$I, 6, FALSE)</f>
        <v>No</v>
      </c>
      <c r="H904" s="22">
        <f>VLOOKUP($A904,'Medical Examinations'!$A:$L,10, FALSE)</f>
        <v>0</v>
      </c>
      <c r="I904" s="22" t="str">
        <f>VLOOKUP($A904, 'Medical Examinations'!$A:$J, 9, FALSE)</f>
        <v>No</v>
      </c>
      <c r="J904" s="22" t="str">
        <f>VLOOKUP($A904, 'Medical Examinations'!$A:$P, 11, FALSE)</f>
        <v>NORMAL WEIGHT</v>
      </c>
      <c r="K904" s="34">
        <v>38315.0</v>
      </c>
      <c r="L904" s="35">
        <f>VLOOKUP($A904, 'Hospitalisation Details'!$A:$H, 7, FALSE)</f>
        <v>12032.33</v>
      </c>
      <c r="M904" s="22" t="str">
        <f>VLOOKUP($A904, 'Hospitalisation Details'!$A:$L, 12, FALSE)</f>
        <v>tier - 3</v>
      </c>
      <c r="N904" s="22" t="str">
        <f>VLOOKUP($A904, 'Hospitalisation Details'!$A:$M, 13, FALSE)</f>
        <v>tier - 1</v>
      </c>
      <c r="O904" s="22" t="str">
        <f>VLOOKUP($A904, 'Hospitalisation Details'!$A:$N, 14, FALSE)</f>
        <v>R1011</v>
      </c>
      <c r="P904" s="36">
        <f>VLOOKUP($A904, 'Hospitalisation Details'!$A:$O, 15, FALSE)</f>
        <v>57</v>
      </c>
    </row>
    <row r="905" ht="15.75" customHeight="1">
      <c r="A905" s="33" t="s">
        <v>1809</v>
      </c>
      <c r="B905" s="22" t="str">
        <f>VLOOKUP($A905,'Customer Names'!$A:$D,3, FALSE)</f>
        <v>Thomas</v>
      </c>
      <c r="C905" s="22">
        <f>VLOOKUP($A905,'Medical Examinations'!$A:$D, 2, FALSE)</f>
        <v>22.23</v>
      </c>
      <c r="D905" s="22">
        <f>VLOOKUP($A905, 'Medical Examinations'!$A:$D,3, FALSE)</f>
        <v>9.65</v>
      </c>
      <c r="E905" s="22" t="str">
        <f>VLOOKUP($A905, 'Medical Examinations'!$A:$D, 4, FALSE)</f>
        <v>No</v>
      </c>
      <c r="F905" s="22" t="str">
        <f>VLOOKUP($A905, 'Medical Examinations'!$A:$J, 5, FALSE)</f>
        <v>No</v>
      </c>
      <c r="G905" s="22" t="str">
        <f>VLOOKUP($A905, 'Medical Examinations'!$A:$I, 6, FALSE)</f>
        <v>No</v>
      </c>
      <c r="H905" s="22">
        <f>VLOOKUP($A905,'Medical Examinations'!$A:$L,10, FALSE)</f>
        <v>0</v>
      </c>
      <c r="I905" s="22" t="str">
        <f>VLOOKUP($A905, 'Medical Examinations'!$A:$J, 9, FALSE)</f>
        <v>No</v>
      </c>
      <c r="J905" s="22" t="str">
        <f>VLOOKUP($A905, 'Medical Examinations'!$A:$P, 11, FALSE)</f>
        <v>NORMAL WEIGHT</v>
      </c>
      <c r="K905" s="34">
        <v>33523.0</v>
      </c>
      <c r="L905" s="35">
        <f>VLOOKUP($A905, 'Hospitalisation Details'!$A:$H, 7, FALSE)</f>
        <v>12029.29</v>
      </c>
      <c r="M905" s="22" t="str">
        <f>VLOOKUP($A905, 'Hospitalisation Details'!$A:$L, 12, FALSE)</f>
        <v>tier - 3</v>
      </c>
      <c r="N905" s="22" t="str">
        <f>VLOOKUP($A905, 'Hospitalisation Details'!$A:$M, 13, FALSE)</f>
        <v>tier - 2</v>
      </c>
      <c r="O905" s="22" t="str">
        <f>VLOOKUP($A905, 'Hospitalisation Details'!$A:$N, 14, FALSE)</f>
        <v>R1024</v>
      </c>
      <c r="P905" s="36">
        <f>VLOOKUP($A905, 'Hospitalisation Details'!$A:$O, 15, FALSE)</f>
        <v>57</v>
      </c>
    </row>
    <row r="906" ht="15.75" customHeight="1">
      <c r="A906" s="33" t="s">
        <v>1811</v>
      </c>
      <c r="B906" s="22" t="str">
        <f>VLOOKUP($A906,'Customer Names'!$A:$D,3, FALSE)</f>
        <v>Lesniak</v>
      </c>
      <c r="C906" s="22">
        <f>VLOOKUP($A906,'Medical Examinations'!$A:$D, 2, FALSE)</f>
        <v>36.47</v>
      </c>
      <c r="D906" s="22">
        <f>VLOOKUP($A906, 'Medical Examinations'!$A:$D,3, FALSE)</f>
        <v>6.21</v>
      </c>
      <c r="E906" s="22" t="str">
        <f>VLOOKUP($A906, 'Medical Examinations'!$A:$D, 4, FALSE)</f>
        <v>No</v>
      </c>
      <c r="F906" s="22" t="str">
        <f>VLOOKUP($A906, 'Medical Examinations'!$A:$J, 5, FALSE)</f>
        <v>No</v>
      </c>
      <c r="G906" s="22" t="str">
        <f>VLOOKUP($A906, 'Medical Examinations'!$A:$I, 6, FALSE)</f>
        <v>No</v>
      </c>
      <c r="H906" s="22">
        <f>VLOOKUP($A906,'Medical Examinations'!$A:$L,10, FALSE)</f>
        <v>0</v>
      </c>
      <c r="I906" s="22" t="str">
        <f>VLOOKUP($A906, 'Medical Examinations'!$A:$J, 9, FALSE)</f>
        <v>No</v>
      </c>
      <c r="J906" s="22" t="str">
        <f>VLOOKUP($A906, 'Medical Examinations'!$A:$P, 11, FALSE)</f>
        <v>OBESITY</v>
      </c>
      <c r="K906" s="34">
        <v>31660.0</v>
      </c>
      <c r="L906" s="35">
        <f>VLOOKUP($A906, 'Hospitalisation Details'!$A:$H, 7, FALSE)</f>
        <v>12001.29</v>
      </c>
      <c r="M906" s="22" t="str">
        <f>VLOOKUP($A906, 'Hospitalisation Details'!$A:$L, 12, FALSE)</f>
        <v>tier - 3</v>
      </c>
      <c r="N906" s="22" t="str">
        <f>VLOOKUP($A906, 'Hospitalisation Details'!$A:$M, 13, FALSE)</f>
        <v>tier - 3</v>
      </c>
      <c r="O906" s="22" t="str">
        <f>VLOOKUP($A906, 'Hospitalisation Details'!$A:$N, 14, FALSE)</f>
        <v>R1021</v>
      </c>
      <c r="P906" s="36">
        <f>VLOOKUP($A906, 'Hospitalisation Details'!$A:$O, 15, FALSE)</f>
        <v>40</v>
      </c>
    </row>
    <row r="907" ht="15.75" customHeight="1">
      <c r="A907" s="33" t="s">
        <v>1813</v>
      </c>
      <c r="B907" s="22" t="str">
        <f>VLOOKUP($A907,'Customer Names'!$A:$D,3, FALSE)</f>
        <v>Prowse</v>
      </c>
      <c r="C907" s="22">
        <f>VLOOKUP($A907,'Medical Examinations'!$A:$D, 2, FALSE)</f>
        <v>49.64</v>
      </c>
      <c r="D907" s="22">
        <f>VLOOKUP($A907, 'Medical Examinations'!$A:$D,3, FALSE)</f>
        <v>4.76</v>
      </c>
      <c r="E907" s="22" t="str">
        <f>VLOOKUP($A907, 'Medical Examinations'!$A:$D, 4, FALSE)</f>
        <v>No</v>
      </c>
      <c r="F907" s="22" t="str">
        <f>VLOOKUP($A907, 'Medical Examinations'!$A:$J, 5, FALSE)</f>
        <v>No</v>
      </c>
      <c r="G907" s="22" t="str">
        <f>VLOOKUP($A907, 'Medical Examinations'!$A:$I, 6, FALSE)</f>
        <v>Yes</v>
      </c>
      <c r="H907" s="22">
        <f>VLOOKUP($A907,'Medical Examinations'!$A:$L,10, FALSE)</f>
        <v>1</v>
      </c>
      <c r="I907" s="22" t="str">
        <f>VLOOKUP($A907, 'Medical Examinations'!$A:$J, 9, FALSE)</f>
        <v>No</v>
      </c>
      <c r="J907" s="22" t="str">
        <f>VLOOKUP($A907, 'Medical Examinations'!$A:$P, 11, FALSE)</f>
        <v>OBESITY</v>
      </c>
      <c r="K907" s="34">
        <v>29404.0</v>
      </c>
      <c r="L907" s="35">
        <f>VLOOKUP($A907, 'Hospitalisation Details'!$A:$H, 7, FALSE)</f>
        <v>11994.89</v>
      </c>
      <c r="M907" s="22" t="str">
        <f>VLOOKUP($A907, 'Hospitalisation Details'!$A:$L, 12, FALSE)</f>
        <v>tier - 3</v>
      </c>
      <c r="N907" s="22" t="str">
        <f>VLOOKUP($A907, 'Hospitalisation Details'!$A:$M, 13, FALSE)</f>
        <v>tier - 2</v>
      </c>
      <c r="O907" s="22" t="str">
        <f>VLOOKUP($A907, 'Hospitalisation Details'!$A:$N, 14, FALSE)</f>
        <v>R1012</v>
      </c>
      <c r="P907" s="36">
        <f>VLOOKUP($A907, 'Hospitalisation Details'!$A:$O, 15, FALSE)</f>
        <v>29</v>
      </c>
    </row>
    <row r="908" ht="15.75" customHeight="1">
      <c r="A908" s="33" t="s">
        <v>1815</v>
      </c>
      <c r="B908" s="22" t="str">
        <f>VLOOKUP($A908,'Customer Names'!$A:$D,3, FALSE)</f>
        <v>Seigel</v>
      </c>
      <c r="C908" s="22">
        <f>VLOOKUP($A908,'Medical Examinations'!$A:$D, 2, FALSE)</f>
        <v>36.8</v>
      </c>
      <c r="D908" s="22">
        <f>VLOOKUP($A908, 'Medical Examinations'!$A:$D,3, FALSE)</f>
        <v>5.73</v>
      </c>
      <c r="E908" s="22" t="str">
        <f>VLOOKUP($A908, 'Medical Examinations'!$A:$D, 4, FALSE)</f>
        <v>Yes</v>
      </c>
      <c r="F908" s="22" t="str">
        <f>VLOOKUP($A908, 'Medical Examinations'!$A:$J, 5, FALSE)</f>
        <v>No</v>
      </c>
      <c r="G908" s="22" t="str">
        <f>VLOOKUP($A908, 'Medical Examinations'!$A:$I, 6, FALSE)</f>
        <v>Yes</v>
      </c>
      <c r="H908" s="22">
        <f>VLOOKUP($A908,'Medical Examinations'!$A:$L,10, FALSE)</f>
        <v>1</v>
      </c>
      <c r="I908" s="22" t="str">
        <f>VLOOKUP($A908, 'Medical Examinations'!$A:$J, 9, FALSE)</f>
        <v>No</v>
      </c>
      <c r="J908" s="22" t="str">
        <f>VLOOKUP($A908, 'Medical Examinations'!$A:$P, 11, FALSE)</f>
        <v>OBESITY</v>
      </c>
      <c r="K908" s="34">
        <v>34558.0</v>
      </c>
      <c r="L908" s="35">
        <f>VLOOKUP($A908, 'Hospitalisation Details'!$A:$H, 7, FALSE)</f>
        <v>11987.68</v>
      </c>
      <c r="M908" s="22" t="str">
        <f>VLOOKUP($A908, 'Hospitalisation Details'!$A:$L, 12, FALSE)</f>
        <v>tier - 3</v>
      </c>
      <c r="N908" s="22" t="str">
        <f>VLOOKUP($A908, 'Hospitalisation Details'!$A:$M, 13, FALSE)</f>
        <v>tier - 2</v>
      </c>
      <c r="O908" s="22" t="str">
        <f>VLOOKUP($A908, 'Hospitalisation Details'!$A:$N, 14, FALSE)</f>
        <v>R1026</v>
      </c>
      <c r="P908" s="36">
        <f>VLOOKUP($A908, 'Hospitalisation Details'!$A:$O, 15, FALSE)</f>
        <v>39</v>
      </c>
    </row>
    <row r="909" ht="15.75" customHeight="1">
      <c r="A909" s="33" t="s">
        <v>1817</v>
      </c>
      <c r="B909" s="22" t="str">
        <f>VLOOKUP($A909,'Customer Names'!$A:$D,3, FALSE)</f>
        <v>Blas</v>
      </c>
      <c r="C909" s="22">
        <f>VLOOKUP($A909,'Medical Examinations'!$A:$D, 2, FALSE)</f>
        <v>33.88</v>
      </c>
      <c r="D909" s="22">
        <f>VLOOKUP($A909, 'Medical Examinations'!$A:$D,3, FALSE)</f>
        <v>10.78</v>
      </c>
      <c r="E909" s="22" t="str">
        <f>VLOOKUP($A909, 'Medical Examinations'!$A:$D, 4, FALSE)</f>
        <v>Yes</v>
      </c>
      <c r="F909" s="22" t="str">
        <f>VLOOKUP($A909, 'Medical Examinations'!$A:$J, 5, FALSE)</f>
        <v>No</v>
      </c>
      <c r="G909" s="22" t="str">
        <f>VLOOKUP($A909, 'Medical Examinations'!$A:$I, 6, FALSE)</f>
        <v>No</v>
      </c>
      <c r="H909" s="22">
        <f>VLOOKUP($A909,'Medical Examinations'!$A:$L,10, FALSE)</f>
        <v>0</v>
      </c>
      <c r="I909" s="22" t="str">
        <f>VLOOKUP($A909, 'Medical Examinations'!$A:$J, 9, FALSE)</f>
        <v>No</v>
      </c>
      <c r="J909" s="22" t="str">
        <f>VLOOKUP($A909, 'Medical Examinations'!$A:$P, 11, FALSE)</f>
        <v>OBESITY</v>
      </c>
      <c r="K909" s="34">
        <v>37793.0</v>
      </c>
      <c r="L909" s="35">
        <f>VLOOKUP($A909, 'Hospitalisation Details'!$A:$H, 7, FALSE)</f>
        <v>11987.17</v>
      </c>
      <c r="M909" s="22" t="str">
        <f>VLOOKUP($A909, 'Hospitalisation Details'!$A:$L, 12, FALSE)</f>
        <v>tier - 3</v>
      </c>
      <c r="N909" s="22" t="str">
        <f>VLOOKUP($A909, 'Hospitalisation Details'!$A:$M, 13, FALSE)</f>
        <v>tier - 3</v>
      </c>
      <c r="O909" s="22" t="str">
        <f>VLOOKUP($A909, 'Hospitalisation Details'!$A:$N, 14, FALSE)</f>
        <v>R1013</v>
      </c>
      <c r="P909" s="36">
        <f>VLOOKUP($A909, 'Hospitalisation Details'!$A:$O, 15, FALSE)</f>
        <v>55</v>
      </c>
    </row>
    <row r="910" ht="15.75" customHeight="1">
      <c r="A910" s="33" t="s">
        <v>1819</v>
      </c>
      <c r="B910" s="22" t="str">
        <f>VLOOKUP($A910,'Customer Names'!$A:$D,3, FALSE)</f>
        <v>Simpson</v>
      </c>
      <c r="C910" s="22">
        <f>VLOOKUP($A910,'Medical Examinations'!$A:$D, 2, FALSE)</f>
        <v>32.01</v>
      </c>
      <c r="D910" s="22">
        <f>VLOOKUP($A910, 'Medical Examinations'!$A:$D,3, FALSE)</f>
        <v>5.08</v>
      </c>
      <c r="E910" s="22" t="str">
        <f>VLOOKUP($A910, 'Medical Examinations'!$A:$D, 4, FALSE)</f>
        <v>Yes</v>
      </c>
      <c r="F910" s="22" t="str">
        <f>VLOOKUP($A910, 'Medical Examinations'!$A:$J, 5, FALSE)</f>
        <v>No</v>
      </c>
      <c r="G910" s="22" t="str">
        <f>VLOOKUP($A910, 'Medical Examinations'!$A:$I, 6, FALSE)</f>
        <v>No</v>
      </c>
      <c r="H910" s="22">
        <f>VLOOKUP($A910,'Medical Examinations'!$A:$L,10, FALSE)</f>
        <v>1</v>
      </c>
      <c r="I910" s="22" t="str">
        <f>VLOOKUP($A910, 'Medical Examinations'!$A:$J, 9, FALSE)</f>
        <v>No</v>
      </c>
      <c r="J910" s="22" t="str">
        <f>VLOOKUP($A910, 'Medical Examinations'!$A:$P, 11, FALSE)</f>
        <v>OBESITY</v>
      </c>
      <c r="K910" s="34">
        <v>33875.0</v>
      </c>
      <c r="L910" s="35">
        <f>VLOOKUP($A910, 'Hospitalisation Details'!$A:$H, 7, FALSE)</f>
        <v>11946.63</v>
      </c>
      <c r="M910" s="22" t="str">
        <f>VLOOKUP($A910, 'Hospitalisation Details'!$A:$L, 12, FALSE)</f>
        <v>tier - 3</v>
      </c>
      <c r="N910" s="22" t="str">
        <f>VLOOKUP($A910, 'Hospitalisation Details'!$A:$M, 13, FALSE)</f>
        <v>tier - 2</v>
      </c>
      <c r="O910" s="22" t="str">
        <f>VLOOKUP($A910, 'Hospitalisation Details'!$A:$N, 14, FALSE)</f>
        <v>R1013</v>
      </c>
      <c r="P910" s="36">
        <f>VLOOKUP($A910, 'Hospitalisation Details'!$A:$O, 15, FALSE)</f>
        <v>58</v>
      </c>
    </row>
    <row r="911" ht="15.75" customHeight="1">
      <c r="A911" s="33" t="s">
        <v>1821</v>
      </c>
      <c r="B911" s="22" t="str">
        <f>VLOOKUP($A911,'Customer Names'!$A:$D,3, FALSE)</f>
        <v>Gierman</v>
      </c>
      <c r="C911" s="22">
        <f>VLOOKUP($A911,'Medical Examinations'!$A:$D, 2, FALSE)</f>
        <v>33.63</v>
      </c>
      <c r="D911" s="22">
        <f>VLOOKUP($A911, 'Medical Examinations'!$A:$D,3, FALSE)</f>
        <v>11.39</v>
      </c>
      <c r="E911" s="22" t="str">
        <f>VLOOKUP($A911, 'Medical Examinations'!$A:$D, 4, FALSE)</f>
        <v>No</v>
      </c>
      <c r="F911" s="22" t="str">
        <f>VLOOKUP($A911, 'Medical Examinations'!$A:$J, 5, FALSE)</f>
        <v>No</v>
      </c>
      <c r="G911" s="22" t="str">
        <f>VLOOKUP($A911, 'Medical Examinations'!$A:$I, 6, FALSE)</f>
        <v>No</v>
      </c>
      <c r="H911" s="22">
        <f>VLOOKUP($A911,'Medical Examinations'!$A:$L,10, FALSE)</f>
        <v>0</v>
      </c>
      <c r="I911" s="22" t="str">
        <f>VLOOKUP($A911, 'Medical Examinations'!$A:$J, 9, FALSE)</f>
        <v>No</v>
      </c>
      <c r="J911" s="22" t="str">
        <f>VLOOKUP($A911, 'Medical Examinations'!$A:$P, 11, FALSE)</f>
        <v>OBESITY</v>
      </c>
      <c r="K911" s="34">
        <v>33886.0</v>
      </c>
      <c r="L911" s="35">
        <f>VLOOKUP($A911, 'Hospitalisation Details'!$A:$H, 7, FALSE)</f>
        <v>11945.13</v>
      </c>
      <c r="M911" s="22" t="str">
        <f>VLOOKUP($A911, 'Hospitalisation Details'!$A:$L, 12, FALSE)</f>
        <v>tier - 3</v>
      </c>
      <c r="N911" s="22" t="str">
        <f>VLOOKUP($A911, 'Hospitalisation Details'!$A:$M, 13, FALSE)</f>
        <v>tier - 2</v>
      </c>
      <c r="O911" s="22" t="str">
        <f>VLOOKUP($A911, 'Hospitalisation Details'!$A:$N, 14, FALSE)</f>
        <v>R1012</v>
      </c>
      <c r="P911" s="36">
        <f>VLOOKUP($A911, 'Hospitalisation Details'!$A:$O, 15, FALSE)</f>
        <v>57</v>
      </c>
    </row>
    <row r="912" ht="15.75" customHeight="1">
      <c r="A912" s="33" t="s">
        <v>1823</v>
      </c>
      <c r="B912" s="22" t="str">
        <f>VLOOKUP($A912,'Customer Names'!$A:$D,3, FALSE)</f>
        <v>Jeuland</v>
      </c>
      <c r="C912" s="22">
        <f>VLOOKUP($A912,'Medical Examinations'!$A:$D, 2, FALSE)</f>
        <v>34.865</v>
      </c>
      <c r="D912" s="22">
        <f>VLOOKUP($A912, 'Medical Examinations'!$A:$D,3, FALSE)</f>
        <v>5.35</v>
      </c>
      <c r="E912" s="22" t="str">
        <f>VLOOKUP($A912, 'Medical Examinations'!$A:$D, 4, FALSE)</f>
        <v>Yes</v>
      </c>
      <c r="F912" s="22" t="str">
        <f>VLOOKUP($A912, 'Medical Examinations'!$A:$J, 5, FALSE)</f>
        <v>No</v>
      </c>
      <c r="G912" s="22" t="str">
        <f>VLOOKUP($A912, 'Medical Examinations'!$A:$I, 6, FALSE)</f>
        <v>No</v>
      </c>
      <c r="H912" s="22">
        <f>VLOOKUP($A912,'Medical Examinations'!$A:$L,10, FALSE)</f>
        <v>1</v>
      </c>
      <c r="I912" s="22" t="str">
        <f>VLOOKUP($A912, 'Medical Examinations'!$A:$J, 9, FALSE)</f>
        <v>No</v>
      </c>
      <c r="J912" s="22" t="str">
        <f>VLOOKUP($A912, 'Medical Examinations'!$A:$P, 11, FALSE)</f>
        <v>OBESITY</v>
      </c>
      <c r="K912" s="34">
        <v>29810.0</v>
      </c>
      <c r="L912" s="35">
        <f>VLOOKUP($A912, 'Hospitalisation Details'!$A:$H, 7, FALSE)</f>
        <v>11944.59</v>
      </c>
      <c r="M912" s="22" t="str">
        <f>VLOOKUP($A912, 'Hospitalisation Details'!$A:$L, 12, FALSE)</f>
        <v>tier - 3</v>
      </c>
      <c r="N912" s="22" t="str">
        <f>VLOOKUP($A912, 'Hospitalisation Details'!$A:$M, 13, FALSE)</f>
        <v>tier - 2</v>
      </c>
      <c r="O912" s="22" t="str">
        <f>VLOOKUP($A912, 'Hospitalisation Details'!$A:$N, 14, FALSE)</f>
        <v>R1016</v>
      </c>
      <c r="P912" s="36">
        <f>VLOOKUP($A912, 'Hospitalisation Details'!$A:$O, 15, FALSE)</f>
        <v>58</v>
      </c>
    </row>
    <row r="913" ht="15.75" customHeight="1">
      <c r="A913" s="33" t="s">
        <v>1825</v>
      </c>
      <c r="B913" s="22" t="str">
        <f>VLOOKUP($A913,'Customer Names'!$A:$D,3, FALSE)</f>
        <v>Chorney</v>
      </c>
      <c r="C913" s="22">
        <f>VLOOKUP($A913,'Medical Examinations'!$A:$D, 2, FALSE)</f>
        <v>43.11</v>
      </c>
      <c r="D913" s="22">
        <f>VLOOKUP($A913, 'Medical Examinations'!$A:$D,3, FALSE)</f>
        <v>5.6</v>
      </c>
      <c r="E913" s="22" t="str">
        <f>VLOOKUP($A913, 'Medical Examinations'!$A:$D, 4, FALSE)</f>
        <v>No</v>
      </c>
      <c r="F913" s="22" t="str">
        <f>VLOOKUP($A913, 'Medical Examinations'!$A:$J, 5, FALSE)</f>
        <v>No</v>
      </c>
      <c r="G913" s="22" t="str">
        <f>VLOOKUP($A913, 'Medical Examinations'!$A:$I, 6, FALSE)</f>
        <v>No</v>
      </c>
      <c r="H913" s="22">
        <f>VLOOKUP($A913,'Medical Examinations'!$A:$L,10, FALSE)</f>
        <v>0</v>
      </c>
      <c r="I913" s="22" t="str">
        <f>VLOOKUP($A913, 'Medical Examinations'!$A:$J, 9, FALSE)</f>
        <v>No</v>
      </c>
      <c r="J913" s="22" t="str">
        <f>VLOOKUP($A913, 'Medical Examinations'!$A:$P, 11, FALSE)</f>
        <v>OBESITY</v>
      </c>
      <c r="K913" s="34">
        <v>28463.0</v>
      </c>
      <c r="L913" s="35">
        <f>VLOOKUP($A913, 'Hospitalisation Details'!$A:$H, 7, FALSE)</f>
        <v>11941.83</v>
      </c>
      <c r="M913" s="22" t="str">
        <f>VLOOKUP($A913, 'Hospitalisation Details'!$A:$L, 12, FALSE)</f>
        <v>tier - 3</v>
      </c>
      <c r="N913" s="22" t="str">
        <f>VLOOKUP($A913, 'Hospitalisation Details'!$A:$M, 13, FALSE)</f>
        <v>tier - 1</v>
      </c>
      <c r="O913" s="22" t="str">
        <f>VLOOKUP($A913, 'Hospitalisation Details'!$A:$N, 14, FALSE)</f>
        <v>R1023</v>
      </c>
      <c r="P913" s="36">
        <f>VLOOKUP($A913, 'Hospitalisation Details'!$A:$O, 15, FALSE)</f>
        <v>31</v>
      </c>
    </row>
    <row r="914" ht="15.75" customHeight="1">
      <c r="A914" s="33" t="s">
        <v>1827</v>
      </c>
      <c r="B914" s="22" t="str">
        <f>VLOOKUP($A914,'Customer Names'!$A:$D,3, FALSE)</f>
        <v>Rook</v>
      </c>
      <c r="C914" s="22">
        <f>VLOOKUP($A914,'Medical Examinations'!$A:$D, 2, FALSE)</f>
        <v>30.305</v>
      </c>
      <c r="D914" s="22">
        <f>VLOOKUP($A914, 'Medical Examinations'!$A:$D,3, FALSE)</f>
        <v>4.27</v>
      </c>
      <c r="E914" s="22" t="str">
        <f>VLOOKUP($A914, 'Medical Examinations'!$A:$D, 4, FALSE)</f>
        <v>Yes</v>
      </c>
      <c r="F914" s="22" t="str">
        <f>VLOOKUP($A914, 'Medical Examinations'!$A:$J, 5, FALSE)</f>
        <v>No</v>
      </c>
      <c r="G914" s="22" t="str">
        <f>VLOOKUP($A914, 'Medical Examinations'!$A:$I, 6, FALSE)</f>
        <v>No</v>
      </c>
      <c r="H914" s="22">
        <f>VLOOKUP($A914,'Medical Examinations'!$A:$L,10, FALSE)</f>
        <v>1</v>
      </c>
      <c r="I914" s="22" t="str">
        <f>VLOOKUP($A914, 'Medical Examinations'!$A:$J, 9, FALSE)</f>
        <v>No</v>
      </c>
      <c r="J914" s="22" t="str">
        <f>VLOOKUP($A914, 'Medical Examinations'!$A:$P, 11, FALSE)</f>
        <v>OBESITY</v>
      </c>
      <c r="K914" s="34">
        <v>37794.0</v>
      </c>
      <c r="L914" s="35">
        <f>VLOOKUP($A914, 'Hospitalisation Details'!$A:$H, 7, FALSE)</f>
        <v>11938.26</v>
      </c>
      <c r="M914" s="22" t="str">
        <f>VLOOKUP($A914, 'Hospitalisation Details'!$A:$L, 12, FALSE)</f>
        <v>tier - 3</v>
      </c>
      <c r="N914" s="22" t="str">
        <f>VLOOKUP($A914, 'Hospitalisation Details'!$A:$M, 13, FALSE)</f>
        <v>tier - 3</v>
      </c>
      <c r="O914" s="22" t="str">
        <f>VLOOKUP($A914, 'Hospitalisation Details'!$A:$N, 14, FALSE)</f>
        <v>R1019</v>
      </c>
      <c r="P914" s="36">
        <f>VLOOKUP($A914, 'Hospitalisation Details'!$A:$O, 15, FALSE)</f>
        <v>58</v>
      </c>
    </row>
    <row r="915" ht="15.75" customHeight="1">
      <c r="A915" s="33" t="s">
        <v>1829</v>
      </c>
      <c r="B915" s="22" t="str">
        <f>VLOOKUP($A915,'Customer Names'!$A:$D,3, FALSE)</f>
        <v>Wright</v>
      </c>
      <c r="C915" s="22">
        <f>VLOOKUP($A915,'Medical Examinations'!$A:$D, 2, FALSE)</f>
        <v>25.175</v>
      </c>
      <c r="D915" s="22">
        <f>VLOOKUP($A915, 'Medical Examinations'!$A:$D,3, FALSE)</f>
        <v>5.57</v>
      </c>
      <c r="E915" s="22" t="str">
        <f>VLOOKUP($A915, 'Medical Examinations'!$A:$D, 4, FALSE)</f>
        <v>Yes</v>
      </c>
      <c r="F915" s="22" t="str">
        <f>VLOOKUP($A915, 'Medical Examinations'!$A:$J, 5, FALSE)</f>
        <v>No</v>
      </c>
      <c r="G915" s="22" t="str">
        <f>VLOOKUP($A915, 'Medical Examinations'!$A:$I, 6, FALSE)</f>
        <v>No</v>
      </c>
      <c r="H915" s="22">
        <f>VLOOKUP($A915,'Medical Examinations'!$A:$L,10, FALSE)</f>
        <v>1</v>
      </c>
      <c r="I915" s="22" t="str">
        <f>VLOOKUP($A915, 'Medical Examinations'!$A:$J, 9, FALSE)</f>
        <v>No</v>
      </c>
      <c r="J915" s="22" t="str">
        <f>VLOOKUP($A915, 'Medical Examinations'!$A:$P, 11, FALSE)</f>
        <v>OVERWEIGHT</v>
      </c>
      <c r="K915" s="34">
        <v>33120.0</v>
      </c>
      <c r="L915" s="35">
        <f>VLOOKUP($A915, 'Hospitalisation Details'!$A:$H, 7, FALSE)</f>
        <v>11931.13</v>
      </c>
      <c r="M915" s="22" t="str">
        <f>VLOOKUP($A915, 'Hospitalisation Details'!$A:$L, 12, FALSE)</f>
        <v>tier - 3</v>
      </c>
      <c r="N915" s="22" t="str">
        <f>VLOOKUP($A915, 'Hospitalisation Details'!$A:$M, 13, FALSE)</f>
        <v>tier - 1</v>
      </c>
      <c r="O915" s="22" t="str">
        <f>VLOOKUP($A915, 'Hospitalisation Details'!$A:$N, 14, FALSE)</f>
        <v>R1019</v>
      </c>
      <c r="P915" s="36">
        <f>VLOOKUP($A915, 'Hospitalisation Details'!$A:$O, 15, FALSE)</f>
        <v>58</v>
      </c>
    </row>
    <row r="916" ht="15.75" customHeight="1">
      <c r="A916" s="33" t="s">
        <v>1831</v>
      </c>
      <c r="B916" s="22" t="str">
        <f>VLOOKUP($A916,'Customer Names'!$A:$D,3, FALSE)</f>
        <v>Chin</v>
      </c>
      <c r="C916" s="22">
        <f>VLOOKUP($A916,'Medical Examinations'!$A:$D, 2, FALSE)</f>
        <v>26.8</v>
      </c>
      <c r="D916" s="22">
        <f>VLOOKUP($A916, 'Medical Examinations'!$A:$D,3, FALSE)</f>
        <v>5.68</v>
      </c>
      <c r="E916" s="22" t="str">
        <f>VLOOKUP($A916, 'Medical Examinations'!$A:$D, 4, FALSE)</f>
        <v>Yes</v>
      </c>
      <c r="F916" s="22" t="str">
        <f>VLOOKUP($A916, 'Medical Examinations'!$A:$J, 5, FALSE)</f>
        <v>No</v>
      </c>
      <c r="G916" s="22" t="str">
        <f>VLOOKUP($A916, 'Medical Examinations'!$A:$I, 6, FALSE)</f>
        <v>No</v>
      </c>
      <c r="H916" s="22">
        <f>VLOOKUP($A916,'Medical Examinations'!$A:$L,10, FALSE)</f>
        <v>1</v>
      </c>
      <c r="I916" s="22" t="str">
        <f>VLOOKUP($A916, 'Medical Examinations'!$A:$J, 9, FALSE)</f>
        <v>No</v>
      </c>
      <c r="J916" s="22" t="str">
        <f>VLOOKUP($A916, 'Medical Examinations'!$A:$P, 11, FALSE)</f>
        <v>OVERWEIGHT</v>
      </c>
      <c r="K916" s="34">
        <v>37898.0</v>
      </c>
      <c r="L916" s="35">
        <f>VLOOKUP($A916, 'Hospitalisation Details'!$A:$H, 7, FALSE)</f>
        <v>11918.2</v>
      </c>
      <c r="M916" s="22" t="str">
        <f>VLOOKUP($A916, 'Hospitalisation Details'!$A:$L, 12, FALSE)</f>
        <v>tier - 3</v>
      </c>
      <c r="N916" s="22" t="str">
        <f>VLOOKUP($A916, 'Hospitalisation Details'!$A:$M, 13, FALSE)</f>
        <v>tier - 1</v>
      </c>
      <c r="O916" s="22" t="str">
        <f>VLOOKUP($A916, 'Hospitalisation Details'!$A:$N, 14, FALSE)</f>
        <v>R1021</v>
      </c>
      <c r="P916" s="36">
        <f>VLOOKUP($A916, 'Hospitalisation Details'!$A:$O, 15, FALSE)</f>
        <v>58</v>
      </c>
    </row>
    <row r="917" ht="15.75" customHeight="1">
      <c r="A917" s="33" t="s">
        <v>1833</v>
      </c>
      <c r="B917" s="22" t="str">
        <f>VLOOKUP($A917,'Customer Names'!$A:$D,3, FALSE)</f>
        <v>White</v>
      </c>
      <c r="C917" s="22">
        <f>VLOOKUP($A917,'Medical Examinations'!$A:$D, 2, FALSE)</f>
        <v>21.78</v>
      </c>
      <c r="D917" s="22">
        <f>VLOOKUP($A917, 'Medical Examinations'!$A:$D,3, FALSE)</f>
        <v>5.3</v>
      </c>
      <c r="E917" s="22" t="str">
        <f>VLOOKUP($A917, 'Medical Examinations'!$A:$D, 4, FALSE)</f>
        <v>No</v>
      </c>
      <c r="F917" s="22" t="str">
        <f>VLOOKUP($A917, 'Medical Examinations'!$A:$J, 5, FALSE)</f>
        <v>Yes</v>
      </c>
      <c r="G917" s="22" t="str">
        <f>VLOOKUP($A917, 'Medical Examinations'!$A:$I, 6, FALSE)</f>
        <v>No</v>
      </c>
      <c r="H917" s="22">
        <f>VLOOKUP($A917,'Medical Examinations'!$A:$L,10, FALSE)</f>
        <v>1</v>
      </c>
      <c r="I917" s="22" t="str">
        <f>VLOOKUP($A917, 'Medical Examinations'!$A:$J, 9, FALSE)</f>
        <v>No</v>
      </c>
      <c r="J917" s="22" t="str">
        <f>VLOOKUP($A917, 'Medical Examinations'!$A:$P, 11, FALSE)</f>
        <v>NORMAL WEIGHT</v>
      </c>
      <c r="K917" s="34">
        <v>29146.0</v>
      </c>
      <c r="L917" s="35">
        <f>VLOOKUP($A917, 'Hospitalisation Details'!$A:$H, 7, FALSE)</f>
        <v>11884.05</v>
      </c>
      <c r="M917" s="22" t="str">
        <f>VLOOKUP($A917, 'Hospitalisation Details'!$A:$L, 12, FALSE)</f>
        <v>tier - 3</v>
      </c>
      <c r="N917" s="22" t="str">
        <f>VLOOKUP($A917, 'Hospitalisation Details'!$A:$M, 13, FALSE)</f>
        <v>tier - 3</v>
      </c>
      <c r="O917" s="22" t="str">
        <f>VLOOKUP($A917, 'Hospitalisation Details'!$A:$N, 14, FALSE)</f>
        <v>R1013</v>
      </c>
      <c r="P917" s="36">
        <f>VLOOKUP($A917, 'Hospitalisation Details'!$A:$O, 15, FALSE)</f>
        <v>19</v>
      </c>
    </row>
    <row r="918" ht="15.75" customHeight="1">
      <c r="A918" s="33" t="s">
        <v>1835</v>
      </c>
      <c r="B918" s="22" t="str">
        <f>VLOOKUP($A918,'Customer Names'!$A:$D,3, FALSE)</f>
        <v>Savage</v>
      </c>
      <c r="C918" s="22">
        <f>VLOOKUP($A918,'Medical Examinations'!$A:$D, 2, FALSE)</f>
        <v>30.14</v>
      </c>
      <c r="D918" s="22">
        <f>VLOOKUP($A918, 'Medical Examinations'!$A:$D,3, FALSE)</f>
        <v>9.45</v>
      </c>
      <c r="E918" s="22" t="str">
        <f>VLOOKUP($A918, 'Medical Examinations'!$A:$D, 4, FALSE)</f>
        <v>Yes</v>
      </c>
      <c r="F918" s="22" t="str">
        <f>VLOOKUP($A918, 'Medical Examinations'!$A:$J, 5, FALSE)</f>
        <v>No</v>
      </c>
      <c r="G918" s="22" t="str">
        <f>VLOOKUP($A918, 'Medical Examinations'!$A:$I, 6, FALSE)</f>
        <v>No</v>
      </c>
      <c r="H918" s="22">
        <f>VLOOKUP($A918,'Medical Examinations'!$A:$L,10, FALSE)</f>
        <v>0</v>
      </c>
      <c r="I918" s="22" t="str">
        <f>VLOOKUP($A918, 'Medical Examinations'!$A:$J, 9, FALSE)</f>
        <v>No</v>
      </c>
      <c r="J918" s="22" t="str">
        <f>VLOOKUP($A918, 'Medical Examinations'!$A:$P, 11, FALSE)</f>
        <v>OBESITY</v>
      </c>
      <c r="K918" s="34">
        <v>33067.0</v>
      </c>
      <c r="L918" s="35">
        <f>VLOOKUP($A918, 'Hospitalisation Details'!$A:$H, 7, FALSE)</f>
        <v>11881.97</v>
      </c>
      <c r="M918" s="22" t="str">
        <f>VLOOKUP($A918, 'Hospitalisation Details'!$A:$L, 12, FALSE)</f>
        <v>tier - 3</v>
      </c>
      <c r="N918" s="22" t="str">
        <f>VLOOKUP($A918, 'Hospitalisation Details'!$A:$M, 13, FALSE)</f>
        <v>tier - 1</v>
      </c>
      <c r="O918" s="22" t="str">
        <f>VLOOKUP($A918, 'Hospitalisation Details'!$A:$N, 14, FALSE)</f>
        <v>R1013</v>
      </c>
      <c r="P918" s="36">
        <f>VLOOKUP($A918, 'Hospitalisation Details'!$A:$O, 15, FALSE)</f>
        <v>55</v>
      </c>
    </row>
    <row r="919" ht="15.75" customHeight="1">
      <c r="A919" s="33" t="s">
        <v>1837</v>
      </c>
      <c r="B919" s="22" t="str">
        <f>VLOOKUP($A919,'Customer Names'!$A:$D,3, FALSE)</f>
        <v>Hitchings</v>
      </c>
      <c r="C919" s="22">
        <f>VLOOKUP($A919,'Medical Examinations'!$A:$D, 2, FALSE)</f>
        <v>29.7</v>
      </c>
      <c r="D919" s="22">
        <f>VLOOKUP($A919, 'Medical Examinations'!$A:$D,3, FALSE)</f>
        <v>6.79</v>
      </c>
      <c r="E919" s="22" t="str">
        <f>VLOOKUP($A919, 'Medical Examinations'!$A:$D, 4, FALSE)</f>
        <v>Yes</v>
      </c>
      <c r="F919" s="22" t="str">
        <f>VLOOKUP($A919, 'Medical Examinations'!$A:$J, 5, FALSE)</f>
        <v>No</v>
      </c>
      <c r="G919" s="22" t="str">
        <f>VLOOKUP($A919, 'Medical Examinations'!$A:$I, 6, FALSE)</f>
        <v>No</v>
      </c>
      <c r="H919" s="22">
        <f>VLOOKUP($A919,'Medical Examinations'!$A:$L,10, FALSE)</f>
        <v>0</v>
      </c>
      <c r="I919" s="22" t="str">
        <f>VLOOKUP($A919, 'Medical Examinations'!$A:$J, 9, FALSE)</f>
        <v>No</v>
      </c>
      <c r="J919" s="22" t="str">
        <f>VLOOKUP($A919, 'Medical Examinations'!$A:$P, 11, FALSE)</f>
        <v>OVERWEIGHT</v>
      </c>
      <c r="K919" s="34">
        <v>33142.0</v>
      </c>
      <c r="L919" s="35">
        <f>VLOOKUP($A919, 'Hospitalisation Details'!$A:$H, 7, FALSE)</f>
        <v>11881.36</v>
      </c>
      <c r="M919" s="22" t="str">
        <f>VLOOKUP($A919, 'Hospitalisation Details'!$A:$L, 12, FALSE)</f>
        <v>tier - 3</v>
      </c>
      <c r="N919" s="22" t="str">
        <f>VLOOKUP($A919, 'Hospitalisation Details'!$A:$M, 13, FALSE)</f>
        <v>tier - 2</v>
      </c>
      <c r="O919" s="22" t="str">
        <f>VLOOKUP($A919, 'Hospitalisation Details'!$A:$N, 14, FALSE)</f>
        <v>R1011</v>
      </c>
      <c r="P919" s="36">
        <f>VLOOKUP($A919, 'Hospitalisation Details'!$A:$O, 15, FALSE)</f>
        <v>55</v>
      </c>
    </row>
    <row r="920" ht="15.75" customHeight="1">
      <c r="A920" s="33" t="s">
        <v>1839</v>
      </c>
      <c r="B920" s="22" t="str">
        <f>VLOOKUP($A920,'Customer Names'!$A:$D,3, FALSE)</f>
        <v>Truitt</v>
      </c>
      <c r="C920" s="22">
        <f>VLOOKUP($A920,'Medical Examinations'!$A:$D, 2, FALSE)</f>
        <v>32.395</v>
      </c>
      <c r="D920" s="22">
        <f>VLOOKUP($A920, 'Medical Examinations'!$A:$D,3, FALSE)</f>
        <v>11.1</v>
      </c>
      <c r="E920" s="22" t="str">
        <f>VLOOKUP($A920, 'Medical Examinations'!$A:$D, 4, FALSE)</f>
        <v>Yes</v>
      </c>
      <c r="F920" s="22" t="str">
        <f>VLOOKUP($A920, 'Medical Examinations'!$A:$J, 5, FALSE)</f>
        <v>No</v>
      </c>
      <c r="G920" s="22" t="str">
        <f>VLOOKUP($A920, 'Medical Examinations'!$A:$I, 6, FALSE)</f>
        <v>No</v>
      </c>
      <c r="H920" s="22">
        <f>VLOOKUP($A920,'Medical Examinations'!$A:$L,10, FALSE)</f>
        <v>0</v>
      </c>
      <c r="I920" s="22" t="str">
        <f>VLOOKUP($A920, 'Medical Examinations'!$A:$J, 9, FALSE)</f>
        <v>No</v>
      </c>
      <c r="J920" s="22" t="str">
        <f>VLOOKUP($A920, 'Medical Examinations'!$A:$P, 11, FALSE)</f>
        <v>OBESITY</v>
      </c>
      <c r="K920" s="34">
        <v>26638.0</v>
      </c>
      <c r="L920" s="35">
        <f>VLOOKUP($A920, 'Hospitalisation Details'!$A:$H, 7, FALSE)</f>
        <v>11879.1</v>
      </c>
      <c r="M920" s="22" t="str">
        <f>VLOOKUP($A920, 'Hospitalisation Details'!$A:$L, 12, FALSE)</f>
        <v>tier - 3</v>
      </c>
      <c r="N920" s="22" t="str">
        <f>VLOOKUP($A920, 'Hospitalisation Details'!$A:$M, 13, FALSE)</f>
        <v>tier - 3</v>
      </c>
      <c r="O920" s="22" t="str">
        <f>VLOOKUP($A920, 'Hospitalisation Details'!$A:$N, 14, FALSE)</f>
        <v>R1024</v>
      </c>
      <c r="P920" s="36">
        <f>VLOOKUP($A920, 'Hospitalisation Details'!$A:$O, 15, FALSE)</f>
        <v>55</v>
      </c>
    </row>
    <row r="921" ht="15.75" customHeight="1">
      <c r="A921" s="33" t="s">
        <v>1841</v>
      </c>
      <c r="B921" s="22" t="str">
        <f>VLOOKUP($A921,'Customer Names'!$A:$D,3, FALSE)</f>
        <v>Chang</v>
      </c>
      <c r="C921" s="22">
        <f>VLOOKUP($A921,'Medical Examinations'!$A:$D, 2, FALSE)</f>
        <v>36.64</v>
      </c>
      <c r="D921" s="22">
        <f>VLOOKUP($A921, 'Medical Examinations'!$A:$D,3, FALSE)</f>
        <v>7.26</v>
      </c>
      <c r="E921" s="22" t="str">
        <f>VLOOKUP($A921, 'Medical Examinations'!$A:$D, 4, FALSE)</f>
        <v>No</v>
      </c>
      <c r="F921" s="22" t="str">
        <f>VLOOKUP($A921, 'Medical Examinations'!$A:$J, 5, FALSE)</f>
        <v>No</v>
      </c>
      <c r="G921" s="22" t="str">
        <f>VLOOKUP($A921, 'Medical Examinations'!$A:$I, 6, FALSE)</f>
        <v>No</v>
      </c>
      <c r="H921" s="22">
        <f>VLOOKUP($A921,'Medical Examinations'!$A:$L,10, FALSE)</f>
        <v>0</v>
      </c>
      <c r="I921" s="22" t="str">
        <f>VLOOKUP($A921, 'Medical Examinations'!$A:$J, 9, FALSE)</f>
        <v>No</v>
      </c>
      <c r="J921" s="22" t="str">
        <f>VLOOKUP($A921, 'Medical Examinations'!$A:$P, 11, FALSE)</f>
        <v>OBESITY</v>
      </c>
      <c r="K921" s="34">
        <v>33090.0</v>
      </c>
      <c r="L921" s="35">
        <f>VLOOKUP($A921, 'Hospitalisation Details'!$A:$H, 7, FALSE)</f>
        <v>11858.56</v>
      </c>
      <c r="M921" s="22" t="str">
        <f>VLOOKUP($A921, 'Hospitalisation Details'!$A:$L, 12, FALSE)</f>
        <v>tier - 3</v>
      </c>
      <c r="N921" s="22" t="str">
        <f>VLOOKUP($A921, 'Hospitalisation Details'!$A:$M, 13, FALSE)</f>
        <v>tier - 3</v>
      </c>
      <c r="O921" s="22" t="str">
        <f>VLOOKUP($A921, 'Hospitalisation Details'!$A:$N, 14, FALSE)</f>
        <v>R1011</v>
      </c>
      <c r="P921" s="36">
        <f>VLOOKUP($A921, 'Hospitalisation Details'!$A:$O, 15, FALSE)</f>
        <v>48</v>
      </c>
    </row>
    <row r="922" ht="15.75" customHeight="1">
      <c r="A922" s="33" t="s">
        <v>1843</v>
      </c>
      <c r="B922" s="22" t="str">
        <f>VLOOKUP($A922,'Customer Names'!$A:$D,3, FALSE)</f>
        <v>Frey</v>
      </c>
      <c r="C922" s="22">
        <f>VLOOKUP($A922,'Medical Examinations'!$A:$D, 2, FALSE)</f>
        <v>39.05</v>
      </c>
      <c r="D922" s="22">
        <f>VLOOKUP($A922, 'Medical Examinations'!$A:$D,3, FALSE)</f>
        <v>5.27</v>
      </c>
      <c r="E922" s="22" t="str">
        <f>VLOOKUP($A922, 'Medical Examinations'!$A:$D, 4, FALSE)</f>
        <v>Yes</v>
      </c>
      <c r="F922" s="22" t="str">
        <f>VLOOKUP($A922, 'Medical Examinations'!$A:$J, 5, FALSE)</f>
        <v>No</v>
      </c>
      <c r="G922" s="22" t="str">
        <f>VLOOKUP($A922, 'Medical Examinations'!$A:$I, 6, FALSE)</f>
        <v>No</v>
      </c>
      <c r="H922" s="22">
        <f>VLOOKUP($A922,'Medical Examinations'!$A:$L,10, FALSE)</f>
        <v>1</v>
      </c>
      <c r="I922" s="22" t="str">
        <f>VLOOKUP($A922, 'Medical Examinations'!$A:$J, 9, FALSE)</f>
        <v>No</v>
      </c>
      <c r="J922" s="22" t="str">
        <f>VLOOKUP($A922, 'Medical Examinations'!$A:$P, 11, FALSE)</f>
        <v>OBESITY</v>
      </c>
      <c r="K922" s="34">
        <v>35363.0</v>
      </c>
      <c r="L922" s="35">
        <f>VLOOKUP($A922, 'Hospitalisation Details'!$A:$H, 7, FALSE)</f>
        <v>11856.41</v>
      </c>
      <c r="M922" s="22" t="str">
        <f>VLOOKUP($A922, 'Hospitalisation Details'!$A:$L, 12, FALSE)</f>
        <v>tier - 3</v>
      </c>
      <c r="N922" s="22" t="str">
        <f>VLOOKUP($A922, 'Hospitalisation Details'!$A:$M, 13, FALSE)</f>
        <v>tier - 2</v>
      </c>
      <c r="O922" s="22" t="str">
        <f>VLOOKUP($A922, 'Hospitalisation Details'!$A:$N, 14, FALSE)</f>
        <v>R1013</v>
      </c>
      <c r="P922" s="36">
        <f>VLOOKUP($A922, 'Hospitalisation Details'!$A:$O, 15, FALSE)</f>
        <v>58</v>
      </c>
    </row>
    <row r="923" ht="15.75" customHeight="1">
      <c r="A923" s="33" t="s">
        <v>1845</v>
      </c>
      <c r="B923" s="22" t="str">
        <f>VLOOKUP($A923,'Customer Names'!$A:$D,3, FALSE)</f>
        <v>Krishna</v>
      </c>
      <c r="C923" s="22">
        <f>VLOOKUP($A923,'Medical Examinations'!$A:$D, 2, FALSE)</f>
        <v>33.1</v>
      </c>
      <c r="D923" s="22">
        <f>VLOOKUP($A923, 'Medical Examinations'!$A:$D,3, FALSE)</f>
        <v>5.46</v>
      </c>
      <c r="E923" s="22" t="str">
        <f>VLOOKUP($A923, 'Medical Examinations'!$A:$D, 4, FALSE)</f>
        <v>Yes</v>
      </c>
      <c r="F923" s="22" t="str">
        <f>VLOOKUP($A923, 'Medical Examinations'!$A:$J, 5, FALSE)</f>
        <v>No</v>
      </c>
      <c r="G923" s="22" t="str">
        <f>VLOOKUP($A923, 'Medical Examinations'!$A:$I, 6, FALSE)</f>
        <v>No</v>
      </c>
      <c r="H923" s="22">
        <f>VLOOKUP($A923,'Medical Examinations'!$A:$L,10, FALSE)</f>
        <v>1</v>
      </c>
      <c r="I923" s="22" t="str">
        <f>VLOOKUP($A923, 'Medical Examinations'!$A:$J, 9, FALSE)</f>
        <v>No</v>
      </c>
      <c r="J923" s="22" t="str">
        <f>VLOOKUP($A923, 'Medical Examinations'!$A:$P, 11, FALSE)</f>
        <v>OBESITY</v>
      </c>
      <c r="K923" s="34">
        <v>31220.0</v>
      </c>
      <c r="L923" s="35">
        <f>VLOOKUP($A923, 'Hospitalisation Details'!$A:$H, 7, FALSE)</f>
        <v>11848.14</v>
      </c>
      <c r="M923" s="22" t="str">
        <f>VLOOKUP($A923, 'Hospitalisation Details'!$A:$L, 12, FALSE)</f>
        <v>tier - 3</v>
      </c>
      <c r="N923" s="22" t="str">
        <f>VLOOKUP($A923, 'Hospitalisation Details'!$A:$M, 13, FALSE)</f>
        <v>tier - 2</v>
      </c>
      <c r="O923" s="22" t="str">
        <f>VLOOKUP($A923, 'Hospitalisation Details'!$A:$N, 14, FALSE)</f>
        <v>R1011</v>
      </c>
      <c r="P923" s="36">
        <f>VLOOKUP($A923, 'Hospitalisation Details'!$A:$O, 15, FALSE)</f>
        <v>58</v>
      </c>
    </row>
    <row r="924" ht="15.75" customHeight="1">
      <c r="A924" s="33" t="s">
        <v>1847</v>
      </c>
      <c r="B924" s="22" t="str">
        <f>VLOOKUP($A924,'Customer Names'!$A:$D,3, FALSE)</f>
        <v>Maher</v>
      </c>
      <c r="C924" s="22">
        <f>VLOOKUP($A924,'Medical Examinations'!$A:$D, 2, FALSE)</f>
        <v>31.825</v>
      </c>
      <c r="D924" s="22">
        <f>VLOOKUP($A924, 'Medical Examinations'!$A:$D,3, FALSE)</f>
        <v>8.13</v>
      </c>
      <c r="E924" s="22" t="str">
        <f>VLOOKUP($A924, 'Medical Examinations'!$A:$D, 4, FALSE)</f>
        <v>No</v>
      </c>
      <c r="F924" s="22" t="str">
        <f>VLOOKUP($A924, 'Medical Examinations'!$A:$J, 5, FALSE)</f>
        <v>No</v>
      </c>
      <c r="G924" s="22" t="str">
        <f>VLOOKUP($A924, 'Medical Examinations'!$A:$I, 6, FALSE)</f>
        <v>No</v>
      </c>
      <c r="H924" s="22">
        <f>VLOOKUP($A924,'Medical Examinations'!$A:$L,10, FALSE)</f>
        <v>0</v>
      </c>
      <c r="I924" s="22" t="str">
        <f>VLOOKUP($A924, 'Medical Examinations'!$A:$J, 9, FALSE)</f>
        <v>No</v>
      </c>
      <c r="J924" s="22" t="str">
        <f>VLOOKUP($A924, 'Medical Examinations'!$A:$P, 11, FALSE)</f>
        <v>OBESITY</v>
      </c>
      <c r="K924" s="34">
        <v>35975.0</v>
      </c>
      <c r="L924" s="35">
        <f>VLOOKUP($A924, 'Hospitalisation Details'!$A:$H, 7, FALSE)</f>
        <v>11842.62</v>
      </c>
      <c r="M924" s="22" t="str">
        <f>VLOOKUP($A924, 'Hospitalisation Details'!$A:$L, 12, FALSE)</f>
        <v>tier - 3</v>
      </c>
      <c r="N924" s="22" t="str">
        <f>VLOOKUP($A924, 'Hospitalisation Details'!$A:$M, 13, FALSE)</f>
        <v>tier - 3</v>
      </c>
      <c r="O924" s="22" t="str">
        <f>VLOOKUP($A924, 'Hospitalisation Details'!$A:$N, 14, FALSE)</f>
        <v>R1012</v>
      </c>
      <c r="P924" s="36">
        <f>VLOOKUP($A924, 'Hospitalisation Details'!$A:$O, 15, FALSE)</f>
        <v>57</v>
      </c>
    </row>
    <row r="925" ht="15.75" customHeight="1">
      <c r="A925" s="33" t="s">
        <v>1849</v>
      </c>
      <c r="B925" s="22" t="str">
        <f>VLOOKUP($A925,'Customer Names'!$A:$D,3, FALSE)</f>
        <v>Boivin</v>
      </c>
      <c r="C925" s="22">
        <f>VLOOKUP($A925,'Medical Examinations'!$A:$D, 2, FALSE)</f>
        <v>29</v>
      </c>
      <c r="D925" s="22">
        <f>VLOOKUP($A925, 'Medical Examinations'!$A:$D,3, FALSE)</f>
        <v>4.25</v>
      </c>
      <c r="E925" s="22" t="str">
        <f>VLOOKUP($A925, 'Medical Examinations'!$A:$D, 4, FALSE)</f>
        <v>Yes</v>
      </c>
      <c r="F925" s="22" t="str">
        <f>VLOOKUP($A925, 'Medical Examinations'!$A:$J, 5, FALSE)</f>
        <v>No</v>
      </c>
      <c r="G925" s="22" t="str">
        <f>VLOOKUP($A925, 'Medical Examinations'!$A:$I, 6, FALSE)</f>
        <v>No</v>
      </c>
      <c r="H925" s="22">
        <f>VLOOKUP($A925,'Medical Examinations'!$A:$L,10, FALSE)</f>
        <v>1</v>
      </c>
      <c r="I925" s="22" t="str">
        <f>VLOOKUP($A925, 'Medical Examinations'!$A:$J, 9, FALSE)</f>
        <v>No</v>
      </c>
      <c r="J925" s="22" t="str">
        <f>VLOOKUP($A925, 'Medical Examinations'!$A:$P, 11, FALSE)</f>
        <v>OVERWEIGHT</v>
      </c>
      <c r="K925" s="34">
        <v>36709.0</v>
      </c>
      <c r="L925" s="35">
        <f>VLOOKUP($A925, 'Hospitalisation Details'!$A:$H, 7, FALSE)</f>
        <v>11842.44</v>
      </c>
      <c r="M925" s="22" t="str">
        <f>VLOOKUP($A925, 'Hospitalisation Details'!$A:$L, 12, FALSE)</f>
        <v>tier - 3</v>
      </c>
      <c r="N925" s="22" t="str">
        <f>VLOOKUP($A925, 'Hospitalisation Details'!$A:$M, 13, FALSE)</f>
        <v>tier - 2</v>
      </c>
      <c r="O925" s="22" t="str">
        <f>VLOOKUP($A925, 'Hospitalisation Details'!$A:$N, 14, FALSE)</f>
        <v>R1011</v>
      </c>
      <c r="P925" s="36">
        <f>VLOOKUP($A925, 'Hospitalisation Details'!$A:$O, 15, FALSE)</f>
        <v>58</v>
      </c>
    </row>
    <row r="926" ht="15.75" customHeight="1">
      <c r="A926" s="33" t="s">
        <v>1851</v>
      </c>
      <c r="B926" s="22" t="str">
        <f>VLOOKUP($A926,'Customer Names'!$A:$D,3, FALSE)</f>
        <v>McAlister</v>
      </c>
      <c r="C926" s="22">
        <f>VLOOKUP($A926,'Medical Examinations'!$A:$D, 2, FALSE)</f>
        <v>30.495</v>
      </c>
      <c r="D926" s="22">
        <f>VLOOKUP($A926, 'Medical Examinations'!$A:$D,3, FALSE)</f>
        <v>8.68</v>
      </c>
      <c r="E926" s="22" t="str">
        <f>VLOOKUP($A926, 'Medical Examinations'!$A:$D, 4, FALSE)</f>
        <v>No</v>
      </c>
      <c r="F926" s="22" t="str">
        <f>VLOOKUP($A926, 'Medical Examinations'!$A:$J, 5, FALSE)</f>
        <v>No</v>
      </c>
      <c r="G926" s="22" t="str">
        <f>VLOOKUP($A926, 'Medical Examinations'!$A:$I, 6, FALSE)</f>
        <v>No</v>
      </c>
      <c r="H926" s="22">
        <f>VLOOKUP($A926,'Medical Examinations'!$A:$L,10, FALSE)</f>
        <v>0</v>
      </c>
      <c r="I926" s="22" t="str">
        <f>VLOOKUP($A926, 'Medical Examinations'!$A:$J, 9, FALSE)</f>
        <v>No</v>
      </c>
      <c r="J926" s="22" t="str">
        <f>VLOOKUP($A926, 'Medical Examinations'!$A:$P, 11, FALSE)</f>
        <v>OBESITY</v>
      </c>
      <c r="K926" s="34">
        <v>32769.0</v>
      </c>
      <c r="L926" s="35">
        <f>VLOOKUP($A926, 'Hospitalisation Details'!$A:$H, 7, FALSE)</f>
        <v>11840.78</v>
      </c>
      <c r="M926" s="22" t="str">
        <f>VLOOKUP($A926, 'Hospitalisation Details'!$A:$L, 12, FALSE)</f>
        <v>tier - 3</v>
      </c>
      <c r="N926" s="22" t="str">
        <f>VLOOKUP($A926, 'Hospitalisation Details'!$A:$M, 13, FALSE)</f>
        <v>tier - 2</v>
      </c>
      <c r="O926" s="22" t="str">
        <f>VLOOKUP($A926, 'Hospitalisation Details'!$A:$N, 14, FALSE)</f>
        <v>R1012</v>
      </c>
      <c r="P926" s="36">
        <f>VLOOKUP($A926, 'Hospitalisation Details'!$A:$O, 15, FALSE)</f>
        <v>57</v>
      </c>
    </row>
    <row r="927" ht="15.75" customHeight="1">
      <c r="A927" s="33" t="s">
        <v>1853</v>
      </c>
      <c r="B927" s="22" t="str">
        <f>VLOOKUP($A927,'Customer Names'!$A:$D,3, FALSE)</f>
        <v>Akhmedova</v>
      </c>
      <c r="C927" s="22">
        <f>VLOOKUP($A927,'Medical Examinations'!$A:$D, 2, FALSE)</f>
        <v>25.2</v>
      </c>
      <c r="D927" s="22">
        <f>VLOOKUP($A927, 'Medical Examinations'!$A:$D,3, FALSE)</f>
        <v>6.25</v>
      </c>
      <c r="E927" s="22" t="str">
        <f>VLOOKUP($A927, 'Medical Examinations'!$A:$D, 4, FALSE)</f>
        <v>Yes</v>
      </c>
      <c r="F927" s="22" t="str">
        <f>VLOOKUP($A927, 'Medical Examinations'!$A:$J, 5, FALSE)</f>
        <v>No</v>
      </c>
      <c r="G927" s="22" t="str">
        <f>VLOOKUP($A927, 'Medical Examinations'!$A:$I, 6, FALSE)</f>
        <v>No</v>
      </c>
      <c r="H927" s="22">
        <f>VLOOKUP($A927,'Medical Examinations'!$A:$L,10, FALSE)</f>
        <v>1</v>
      </c>
      <c r="I927" s="22" t="str">
        <f>VLOOKUP($A927, 'Medical Examinations'!$A:$J, 9, FALSE)</f>
        <v>No</v>
      </c>
      <c r="J927" s="22" t="str">
        <f>VLOOKUP($A927, 'Medical Examinations'!$A:$P, 11, FALSE)</f>
        <v>OVERWEIGHT</v>
      </c>
      <c r="K927" s="34">
        <v>35424.0</v>
      </c>
      <c r="L927" s="35">
        <f>VLOOKUP($A927, 'Hospitalisation Details'!$A:$H, 7, FALSE)</f>
        <v>11837.16</v>
      </c>
      <c r="M927" s="22" t="str">
        <f>VLOOKUP($A927, 'Hospitalisation Details'!$A:$L, 12, FALSE)</f>
        <v>tier - 3</v>
      </c>
      <c r="N927" s="22" t="str">
        <f>VLOOKUP($A927, 'Hospitalisation Details'!$A:$M, 13, FALSE)</f>
        <v>tier - 3</v>
      </c>
      <c r="O927" s="22" t="str">
        <f>VLOOKUP($A927, 'Hospitalisation Details'!$A:$N, 14, FALSE)</f>
        <v>R1011</v>
      </c>
      <c r="P927" s="36">
        <f>VLOOKUP($A927, 'Hospitalisation Details'!$A:$O, 15, FALSE)</f>
        <v>58</v>
      </c>
    </row>
    <row r="928" ht="15.75" customHeight="1">
      <c r="A928" s="33" t="s">
        <v>1855</v>
      </c>
      <c r="B928" s="22" t="str">
        <f>VLOOKUP($A928,'Customer Names'!$A:$D,3, FALSE)</f>
        <v>Tucker</v>
      </c>
      <c r="C928" s="22">
        <f>VLOOKUP($A928,'Medical Examinations'!$A:$D, 2, FALSE)</f>
        <v>22.77</v>
      </c>
      <c r="D928" s="22">
        <f>VLOOKUP($A928, 'Medical Examinations'!$A:$D,3, FALSE)</f>
        <v>4.47</v>
      </c>
      <c r="E928" s="22" t="str">
        <f>VLOOKUP($A928, 'Medical Examinations'!$A:$D, 4, FALSE)</f>
        <v>Yes</v>
      </c>
      <c r="F928" s="22" t="str">
        <f>VLOOKUP($A928, 'Medical Examinations'!$A:$J, 5, FALSE)</f>
        <v>No</v>
      </c>
      <c r="G928" s="22" t="str">
        <f>VLOOKUP($A928, 'Medical Examinations'!$A:$I, 6, FALSE)</f>
        <v>No</v>
      </c>
      <c r="H928" s="22">
        <f>VLOOKUP($A928,'Medical Examinations'!$A:$L,10, FALSE)</f>
        <v>1</v>
      </c>
      <c r="I928" s="22" t="str">
        <f>VLOOKUP($A928, 'Medical Examinations'!$A:$J, 9, FALSE)</f>
        <v>No</v>
      </c>
      <c r="J928" s="22" t="str">
        <f>VLOOKUP($A928, 'Medical Examinations'!$A:$P, 11, FALSE)</f>
        <v>NORMAL WEIGHT</v>
      </c>
      <c r="K928" s="34">
        <v>33136.0</v>
      </c>
      <c r="L928" s="35">
        <f>VLOOKUP($A928, 'Hospitalisation Details'!$A:$H, 7, FALSE)</f>
        <v>11833.78</v>
      </c>
      <c r="M928" s="22" t="str">
        <f>VLOOKUP($A928, 'Hospitalisation Details'!$A:$L, 12, FALSE)</f>
        <v>tier - 3</v>
      </c>
      <c r="N928" s="22" t="str">
        <f>VLOOKUP($A928, 'Hospitalisation Details'!$A:$M, 13, FALSE)</f>
        <v>tier - 3</v>
      </c>
      <c r="O928" s="22" t="str">
        <f>VLOOKUP($A928, 'Hospitalisation Details'!$A:$N, 14, FALSE)</f>
        <v>R1013</v>
      </c>
      <c r="P928" s="36">
        <f>VLOOKUP($A928, 'Hospitalisation Details'!$A:$O, 15, FALSE)</f>
        <v>58</v>
      </c>
    </row>
    <row r="929" ht="15.75" customHeight="1">
      <c r="A929" s="33" t="s">
        <v>1857</v>
      </c>
      <c r="B929" s="22" t="str">
        <f>VLOOKUP($A929,'Customer Names'!$A:$D,3, FALSE)</f>
        <v>Gramelspacher</v>
      </c>
      <c r="C929" s="22">
        <f>VLOOKUP($A929,'Medical Examinations'!$A:$D, 2, FALSE)</f>
        <v>23.18</v>
      </c>
      <c r="D929" s="22">
        <f>VLOOKUP($A929, 'Medical Examinations'!$A:$D,3, FALSE)</f>
        <v>8.31</v>
      </c>
      <c r="E929" s="22" t="str">
        <f>VLOOKUP($A929, 'Medical Examinations'!$A:$D, 4, FALSE)</f>
        <v>No</v>
      </c>
      <c r="F929" s="22" t="str">
        <f>VLOOKUP($A929, 'Medical Examinations'!$A:$J, 5, FALSE)</f>
        <v>No</v>
      </c>
      <c r="G929" s="22" t="str">
        <f>VLOOKUP($A929, 'Medical Examinations'!$A:$I, 6, FALSE)</f>
        <v>No</v>
      </c>
      <c r="H929" s="22">
        <f>VLOOKUP($A929,'Medical Examinations'!$A:$L,10, FALSE)</f>
        <v>0</v>
      </c>
      <c r="I929" s="22" t="str">
        <f>VLOOKUP($A929, 'Medical Examinations'!$A:$J, 9, FALSE)</f>
        <v>No</v>
      </c>
      <c r="J929" s="22" t="str">
        <f>VLOOKUP($A929, 'Medical Examinations'!$A:$P, 11, FALSE)</f>
        <v>NORMAL WEIGHT</v>
      </c>
      <c r="K929" s="34">
        <v>38343.0</v>
      </c>
      <c r="L929" s="35">
        <f>VLOOKUP($A929, 'Hospitalisation Details'!$A:$H, 7, FALSE)</f>
        <v>11830.61</v>
      </c>
      <c r="M929" s="22" t="str">
        <f>VLOOKUP($A929, 'Hospitalisation Details'!$A:$L, 12, FALSE)</f>
        <v>tier - 3</v>
      </c>
      <c r="N929" s="22" t="str">
        <f>VLOOKUP($A929, 'Hospitalisation Details'!$A:$M, 13, FALSE)</f>
        <v>tier - 1</v>
      </c>
      <c r="O929" s="22" t="str">
        <f>VLOOKUP($A929, 'Hospitalisation Details'!$A:$N, 14, FALSE)</f>
        <v>R1012</v>
      </c>
      <c r="P929" s="36">
        <f>VLOOKUP($A929, 'Hospitalisation Details'!$A:$O, 15, FALSE)</f>
        <v>57</v>
      </c>
    </row>
    <row r="930" ht="15.75" customHeight="1">
      <c r="A930" s="33" t="s">
        <v>1859</v>
      </c>
      <c r="B930" s="22" t="str">
        <f>VLOOKUP($A930,'Customer Names'!$A:$D,3, FALSE)</f>
        <v>Goldsmith</v>
      </c>
      <c r="C930" s="22">
        <f>VLOOKUP($A930,'Medical Examinations'!$A:$D, 2, FALSE)</f>
        <v>35.41</v>
      </c>
      <c r="D930" s="22">
        <f>VLOOKUP($A930, 'Medical Examinations'!$A:$D,3, FALSE)</f>
        <v>5.68</v>
      </c>
      <c r="E930" s="22" t="str">
        <f>VLOOKUP($A930, 'Medical Examinations'!$A:$D, 4, FALSE)</f>
        <v>No</v>
      </c>
      <c r="F930" s="22" t="str">
        <f>VLOOKUP($A930, 'Medical Examinations'!$A:$J, 5, FALSE)</f>
        <v>No</v>
      </c>
      <c r="G930" s="22" t="str">
        <f>VLOOKUP($A930, 'Medical Examinations'!$A:$I, 6, FALSE)</f>
        <v>No</v>
      </c>
      <c r="H930" s="22">
        <f>VLOOKUP($A930,'Medical Examinations'!$A:$L,10, FALSE)</f>
        <v>0</v>
      </c>
      <c r="I930" s="22" t="str">
        <f>VLOOKUP($A930, 'Medical Examinations'!$A:$J, 9, FALSE)</f>
        <v>No</v>
      </c>
      <c r="J930" s="22" t="str">
        <f>VLOOKUP($A930, 'Medical Examinations'!$A:$P, 11, FALSE)</f>
        <v>OBESITY</v>
      </c>
      <c r="K930" s="34">
        <v>33194.0</v>
      </c>
      <c r="L930" s="35">
        <f>VLOOKUP($A930, 'Hospitalisation Details'!$A:$H, 7, FALSE)</f>
        <v>11773.06</v>
      </c>
      <c r="M930" s="22" t="str">
        <f>VLOOKUP($A930, 'Hospitalisation Details'!$A:$L, 12, FALSE)</f>
        <v>tier - 3</v>
      </c>
      <c r="N930" s="22" t="str">
        <f>VLOOKUP($A930, 'Hospitalisation Details'!$A:$M, 13, FALSE)</f>
        <v>tier - 3</v>
      </c>
      <c r="O930" s="22" t="str">
        <f>VLOOKUP($A930, 'Hospitalisation Details'!$A:$N, 14, FALSE)</f>
        <v>R1026</v>
      </c>
      <c r="P930" s="36">
        <f>VLOOKUP($A930, 'Hospitalisation Details'!$A:$O, 15, FALSE)</f>
        <v>40</v>
      </c>
    </row>
    <row r="931" ht="15.75" customHeight="1">
      <c r="A931" s="33" t="s">
        <v>1861</v>
      </c>
      <c r="B931" s="22" t="str">
        <f>VLOOKUP($A931,'Customer Names'!$A:$D,3, FALSE)</f>
        <v>Tranter</v>
      </c>
      <c r="C931" s="22">
        <f>VLOOKUP($A931,'Medical Examinations'!$A:$D, 2, FALSE)</f>
        <v>32.11</v>
      </c>
      <c r="D931" s="22">
        <f>VLOOKUP($A931, 'Medical Examinations'!$A:$D,3, FALSE)</f>
        <v>4.75</v>
      </c>
      <c r="E931" s="22" t="str">
        <f>VLOOKUP($A931, 'Medical Examinations'!$A:$D, 4, FALSE)</f>
        <v>Yes</v>
      </c>
      <c r="F931" s="22" t="str">
        <f>VLOOKUP($A931, 'Medical Examinations'!$A:$J, 5, FALSE)</f>
        <v>No</v>
      </c>
      <c r="G931" s="22" t="str">
        <f>VLOOKUP($A931, 'Medical Examinations'!$A:$I, 6, FALSE)</f>
        <v>No</v>
      </c>
      <c r="H931" s="22">
        <f>VLOOKUP($A931,'Medical Examinations'!$A:$L,10, FALSE)</f>
        <v>2</v>
      </c>
      <c r="I931" s="22" t="str">
        <f>VLOOKUP($A931, 'Medical Examinations'!$A:$J, 9, FALSE)</f>
        <v>No</v>
      </c>
      <c r="J931" s="22" t="str">
        <f>VLOOKUP($A931, 'Medical Examinations'!$A:$P, 11, FALSE)</f>
        <v>OBESITY</v>
      </c>
      <c r="K931" s="34">
        <v>33789.0</v>
      </c>
      <c r="L931" s="35">
        <f>VLOOKUP($A931, 'Hospitalisation Details'!$A:$H, 7, FALSE)</f>
        <v>11763</v>
      </c>
      <c r="M931" s="22" t="str">
        <f>VLOOKUP($A931, 'Hospitalisation Details'!$A:$L, 12, FALSE)</f>
        <v>tier - 3</v>
      </c>
      <c r="N931" s="22" t="str">
        <f>VLOOKUP($A931, 'Hospitalisation Details'!$A:$M, 13, FALSE)</f>
        <v>tier - 3</v>
      </c>
      <c r="O931" s="22" t="str">
        <f>VLOOKUP($A931, 'Hospitalisation Details'!$A:$N, 14, FALSE)</f>
        <v>R1016</v>
      </c>
      <c r="P931" s="36">
        <f>VLOOKUP($A931, 'Hospitalisation Details'!$A:$O, 15, FALSE)</f>
        <v>56</v>
      </c>
    </row>
    <row r="932" ht="15.75" customHeight="1">
      <c r="A932" s="33" t="s">
        <v>1863</v>
      </c>
      <c r="B932" s="22" t="str">
        <f>VLOOKUP($A932,'Customer Names'!$A:$D,3, FALSE)</f>
        <v>Tu</v>
      </c>
      <c r="C932" s="22">
        <f>VLOOKUP($A932,'Medical Examinations'!$A:$D, 2, FALSE)</f>
        <v>34.48</v>
      </c>
      <c r="D932" s="22">
        <f>VLOOKUP($A932, 'Medical Examinations'!$A:$D,3, FALSE)</f>
        <v>6.31</v>
      </c>
      <c r="E932" s="22" t="str">
        <f>VLOOKUP($A932, 'Medical Examinations'!$A:$D, 4, FALSE)</f>
        <v>No</v>
      </c>
      <c r="F932" s="22" t="str">
        <f>VLOOKUP($A932, 'Medical Examinations'!$A:$J, 5, FALSE)</f>
        <v>No</v>
      </c>
      <c r="G932" s="22" t="str">
        <f>VLOOKUP($A932, 'Medical Examinations'!$A:$I, 6, FALSE)</f>
        <v>Yes</v>
      </c>
      <c r="H932" s="22">
        <f>VLOOKUP($A932,'Medical Examinations'!$A:$L,10, FALSE)</f>
        <v>1</v>
      </c>
      <c r="I932" s="22" t="str">
        <f>VLOOKUP($A932, 'Medical Examinations'!$A:$J, 9, FALSE)</f>
        <v>No</v>
      </c>
      <c r="J932" s="22" t="str">
        <f>VLOOKUP($A932, 'Medical Examinations'!$A:$P, 11, FALSE)</f>
        <v>OBESITY</v>
      </c>
      <c r="K932" s="34">
        <v>32307.0</v>
      </c>
      <c r="L932" s="35">
        <f>VLOOKUP($A932, 'Hospitalisation Details'!$A:$H, 7, FALSE)</f>
        <v>11752.68</v>
      </c>
      <c r="M932" s="22" t="str">
        <f>VLOOKUP($A932, 'Hospitalisation Details'!$A:$L, 12, FALSE)</f>
        <v>tier - 3</v>
      </c>
      <c r="N932" s="22" t="str">
        <f>VLOOKUP($A932, 'Hospitalisation Details'!$A:$M, 13, FALSE)</f>
        <v>tier - 1</v>
      </c>
      <c r="O932" s="22" t="str">
        <f>VLOOKUP($A932, 'Hospitalisation Details'!$A:$N, 14, FALSE)</f>
        <v>R1026</v>
      </c>
      <c r="P932" s="36">
        <f>VLOOKUP($A932, 'Hospitalisation Details'!$A:$O, 15, FALSE)</f>
        <v>43</v>
      </c>
    </row>
    <row r="933" ht="15.75" customHeight="1">
      <c r="A933" s="33" t="s">
        <v>1865</v>
      </c>
      <c r="B933" s="22" t="str">
        <f>VLOOKUP($A933,'Customer Names'!$A:$D,3, FALSE)</f>
        <v>Kaczka</v>
      </c>
      <c r="C933" s="22">
        <f>VLOOKUP($A933,'Medical Examinations'!$A:$D, 2, FALSE)</f>
        <v>34.39</v>
      </c>
      <c r="D933" s="22">
        <f>VLOOKUP($A933, 'Medical Examinations'!$A:$D,3, FALSE)</f>
        <v>6.28</v>
      </c>
      <c r="E933" s="22" t="str">
        <f>VLOOKUP($A933, 'Medical Examinations'!$A:$D, 4, FALSE)</f>
        <v>Yes</v>
      </c>
      <c r="F933" s="22" t="str">
        <f>VLOOKUP($A933, 'Medical Examinations'!$A:$J, 5, FALSE)</f>
        <v>No</v>
      </c>
      <c r="G933" s="22" t="str">
        <f>VLOOKUP($A933, 'Medical Examinations'!$A:$I, 6, FALSE)</f>
        <v>No</v>
      </c>
      <c r="H933" s="22">
        <f>VLOOKUP($A933,'Medical Examinations'!$A:$L,10, FALSE)</f>
        <v>1</v>
      </c>
      <c r="I933" s="22" t="str">
        <f>VLOOKUP($A933, 'Medical Examinations'!$A:$J, 9, FALSE)</f>
        <v>No</v>
      </c>
      <c r="J933" s="22" t="str">
        <f>VLOOKUP($A933, 'Medical Examinations'!$A:$P, 11, FALSE)</f>
        <v>OBESITY</v>
      </c>
      <c r="K933" s="34">
        <v>34149.0</v>
      </c>
      <c r="L933" s="35">
        <f>VLOOKUP($A933, 'Hospitalisation Details'!$A:$H, 7, FALSE)</f>
        <v>11743.93</v>
      </c>
      <c r="M933" s="22" t="str">
        <f>VLOOKUP($A933, 'Hospitalisation Details'!$A:$L, 12, FALSE)</f>
        <v>tier - 3</v>
      </c>
      <c r="N933" s="22" t="str">
        <f>VLOOKUP($A933, 'Hospitalisation Details'!$A:$M, 13, FALSE)</f>
        <v>tier - 1</v>
      </c>
      <c r="O933" s="22" t="str">
        <f>VLOOKUP($A933, 'Hospitalisation Details'!$A:$N, 14, FALSE)</f>
        <v>R1012</v>
      </c>
      <c r="P933" s="36">
        <f>VLOOKUP($A933, 'Hospitalisation Details'!$A:$O, 15, FALSE)</f>
        <v>58</v>
      </c>
    </row>
    <row r="934" ht="15.75" customHeight="1">
      <c r="A934" s="33" t="s">
        <v>1867</v>
      </c>
      <c r="B934" s="22" t="str">
        <f>VLOOKUP($A934,'Customer Names'!$A:$D,3, FALSE)</f>
        <v>Hunter</v>
      </c>
      <c r="C934" s="22">
        <f>VLOOKUP($A934,'Medical Examinations'!$A:$D, 2, FALSE)</f>
        <v>26.4</v>
      </c>
      <c r="D934" s="22">
        <f>VLOOKUP($A934, 'Medical Examinations'!$A:$D,3, FALSE)</f>
        <v>9.29</v>
      </c>
      <c r="E934" s="22" t="str">
        <f>VLOOKUP($A934, 'Medical Examinations'!$A:$D, 4, FALSE)</f>
        <v>Yes</v>
      </c>
      <c r="F934" s="22" t="str">
        <f>VLOOKUP($A934, 'Medical Examinations'!$A:$J, 5, FALSE)</f>
        <v>No</v>
      </c>
      <c r="G934" s="22" t="str">
        <f>VLOOKUP($A934, 'Medical Examinations'!$A:$I, 6, FALSE)</f>
        <v>Yes</v>
      </c>
      <c r="H934" s="22">
        <f>VLOOKUP($A934,'Medical Examinations'!$A:$L,10, FALSE)</f>
        <v>1</v>
      </c>
      <c r="I934" s="22" t="str">
        <f>VLOOKUP($A934, 'Medical Examinations'!$A:$J, 9, FALSE)</f>
        <v>No</v>
      </c>
      <c r="J934" s="22" t="str">
        <f>VLOOKUP($A934, 'Medical Examinations'!$A:$P, 11, FALSE)</f>
        <v>OVERWEIGHT</v>
      </c>
      <c r="K934" s="34">
        <v>33829.0</v>
      </c>
      <c r="L934" s="35">
        <f>VLOOKUP($A934, 'Hospitalisation Details'!$A:$H, 7, FALSE)</f>
        <v>11743.3</v>
      </c>
      <c r="M934" s="22" t="str">
        <f>VLOOKUP($A934, 'Hospitalisation Details'!$A:$L, 12, FALSE)</f>
        <v>tier - 3</v>
      </c>
      <c r="N934" s="22" t="str">
        <f>VLOOKUP($A934, 'Hospitalisation Details'!$A:$M, 13, FALSE)</f>
        <v>tier - 3</v>
      </c>
      <c r="O934" s="22" t="str">
        <f>VLOOKUP($A934, 'Hospitalisation Details'!$A:$N, 14, FALSE)</f>
        <v>R1013</v>
      </c>
      <c r="P934" s="36">
        <f>VLOOKUP($A934, 'Hospitalisation Details'!$A:$O, 15, FALSE)</f>
        <v>59</v>
      </c>
    </row>
    <row r="935" ht="15.75" customHeight="1">
      <c r="A935" s="33" t="s">
        <v>1869</v>
      </c>
      <c r="B935" s="22" t="str">
        <f>VLOOKUP($A935,'Customer Names'!$A:$D,3, FALSE)</f>
        <v>Moran</v>
      </c>
      <c r="C935" s="22">
        <f>VLOOKUP($A935,'Medical Examinations'!$A:$D, 2, FALSE)</f>
        <v>28.1</v>
      </c>
      <c r="D935" s="22">
        <f>VLOOKUP($A935, 'Medical Examinations'!$A:$D,3, FALSE)</f>
        <v>5.79</v>
      </c>
      <c r="E935" s="22" t="str">
        <f>VLOOKUP($A935, 'Medical Examinations'!$A:$D, 4, FALSE)</f>
        <v>Yes</v>
      </c>
      <c r="F935" s="22" t="str">
        <f>VLOOKUP($A935, 'Medical Examinations'!$A:$J, 5, FALSE)</f>
        <v>No</v>
      </c>
      <c r="G935" s="22" t="str">
        <f>VLOOKUP($A935, 'Medical Examinations'!$A:$I, 6, FALSE)</f>
        <v>Yes</v>
      </c>
      <c r="H935" s="22">
        <f>VLOOKUP($A935,'Medical Examinations'!$A:$L,10, FALSE)</f>
        <v>1</v>
      </c>
      <c r="I935" s="22" t="str">
        <f>VLOOKUP($A935, 'Medical Examinations'!$A:$J, 9, FALSE)</f>
        <v>No</v>
      </c>
      <c r="J935" s="22" t="str">
        <f>VLOOKUP($A935, 'Medical Examinations'!$A:$P, 11, FALSE)</f>
        <v>OVERWEIGHT</v>
      </c>
      <c r="K935" s="34">
        <v>32498.0</v>
      </c>
      <c r="L935" s="35">
        <f>VLOOKUP($A935, 'Hospitalisation Details'!$A:$H, 7, FALSE)</f>
        <v>11741.73</v>
      </c>
      <c r="M935" s="22" t="str">
        <f>VLOOKUP($A935, 'Hospitalisation Details'!$A:$L, 12, FALSE)</f>
        <v>tier - 3</v>
      </c>
      <c r="N935" s="22" t="str">
        <f>VLOOKUP($A935, 'Hospitalisation Details'!$A:$M, 13, FALSE)</f>
        <v>tier - 1</v>
      </c>
      <c r="O935" s="22" t="str">
        <f>VLOOKUP($A935, 'Hospitalisation Details'!$A:$N, 14, FALSE)</f>
        <v>R1011</v>
      </c>
      <c r="P935" s="36">
        <f>VLOOKUP($A935, 'Hospitalisation Details'!$A:$O, 15, FALSE)</f>
        <v>53</v>
      </c>
    </row>
    <row r="936" ht="15.75" customHeight="1">
      <c r="A936" s="33" t="s">
        <v>1871</v>
      </c>
      <c r="B936" s="22" t="str">
        <f>VLOOKUP($A936,'Customer Names'!$A:$D,3, FALSE)</f>
        <v>Ashby</v>
      </c>
      <c r="C936" s="22">
        <f>VLOOKUP($A936,'Medical Examinations'!$A:$D, 2, FALSE)</f>
        <v>27</v>
      </c>
      <c r="D936" s="22">
        <f>VLOOKUP($A936, 'Medical Examinations'!$A:$D,3, FALSE)</f>
        <v>4.54</v>
      </c>
      <c r="E936" s="22" t="str">
        <f>VLOOKUP($A936, 'Medical Examinations'!$A:$D, 4, FALSE)</f>
        <v>Yes</v>
      </c>
      <c r="F936" s="22" t="str">
        <f>VLOOKUP($A936, 'Medical Examinations'!$A:$J, 5, FALSE)</f>
        <v>No</v>
      </c>
      <c r="G936" s="22" t="str">
        <f>VLOOKUP($A936, 'Medical Examinations'!$A:$I, 6, FALSE)</f>
        <v>No</v>
      </c>
      <c r="H936" s="22">
        <f>VLOOKUP($A936,'Medical Examinations'!$A:$L,10, FALSE)</f>
        <v>1</v>
      </c>
      <c r="I936" s="22" t="str">
        <f>VLOOKUP($A936, 'Medical Examinations'!$A:$J, 9, FALSE)</f>
        <v>No</v>
      </c>
      <c r="J936" s="22" t="str">
        <f>VLOOKUP($A936, 'Medical Examinations'!$A:$P, 11, FALSE)</f>
        <v>OVERWEIGHT</v>
      </c>
      <c r="K936" s="34">
        <v>32116.0</v>
      </c>
      <c r="L936" s="35">
        <f>VLOOKUP($A936, 'Hospitalisation Details'!$A:$H, 7, FALSE)</f>
        <v>11737.85</v>
      </c>
      <c r="M936" s="22" t="str">
        <f>VLOOKUP($A936, 'Hospitalisation Details'!$A:$L, 12, FALSE)</f>
        <v>tier - 3</v>
      </c>
      <c r="N936" s="22" t="str">
        <f>VLOOKUP($A936, 'Hospitalisation Details'!$A:$M, 13, FALSE)</f>
        <v>tier - 1</v>
      </c>
      <c r="O936" s="22" t="str">
        <f>VLOOKUP($A936, 'Hospitalisation Details'!$A:$N, 14, FALSE)</f>
        <v>R1011</v>
      </c>
      <c r="P936" s="36">
        <f>VLOOKUP($A936, 'Hospitalisation Details'!$A:$O, 15, FALSE)</f>
        <v>34</v>
      </c>
    </row>
    <row r="937" ht="15.75" customHeight="1">
      <c r="A937" s="33" t="s">
        <v>1873</v>
      </c>
      <c r="B937" s="22" t="str">
        <f>VLOOKUP($A937,'Customer Names'!$A:$D,3, FALSE)</f>
        <v>Ausen</v>
      </c>
      <c r="C937" s="22">
        <f>VLOOKUP($A937,'Medical Examinations'!$A:$D, 2, FALSE)</f>
        <v>28.595</v>
      </c>
      <c r="D937" s="22">
        <f>VLOOKUP($A937, 'Medical Examinations'!$A:$D,3, FALSE)</f>
        <v>4.68</v>
      </c>
      <c r="E937" s="22" t="str">
        <f>VLOOKUP($A937, 'Medical Examinations'!$A:$D, 4, FALSE)</f>
        <v>Yes</v>
      </c>
      <c r="F937" s="22" t="str">
        <f>VLOOKUP($A937, 'Medical Examinations'!$A:$J, 5, FALSE)</f>
        <v>No</v>
      </c>
      <c r="G937" s="22" t="str">
        <f>VLOOKUP($A937, 'Medical Examinations'!$A:$I, 6, FALSE)</f>
        <v>No</v>
      </c>
      <c r="H937" s="22">
        <f>VLOOKUP($A937,'Medical Examinations'!$A:$L,10, FALSE)</f>
        <v>1</v>
      </c>
      <c r="I937" s="22" t="str">
        <f>VLOOKUP($A937, 'Medical Examinations'!$A:$J, 9, FALSE)</f>
        <v>No</v>
      </c>
      <c r="J937" s="22" t="str">
        <f>VLOOKUP($A937, 'Medical Examinations'!$A:$P, 11, FALSE)</f>
        <v>OVERWEIGHT</v>
      </c>
      <c r="K937" s="34">
        <v>37896.0</v>
      </c>
      <c r="L937" s="35">
        <f>VLOOKUP($A937, 'Hospitalisation Details'!$A:$H, 7, FALSE)</f>
        <v>11735.88</v>
      </c>
      <c r="M937" s="22" t="str">
        <f>VLOOKUP($A937, 'Hospitalisation Details'!$A:$L, 12, FALSE)</f>
        <v>tier - 3</v>
      </c>
      <c r="N937" s="22" t="str">
        <f>VLOOKUP($A937, 'Hospitalisation Details'!$A:$M, 13, FALSE)</f>
        <v>tier - 1</v>
      </c>
      <c r="O937" s="22" t="str">
        <f>VLOOKUP($A937, 'Hospitalisation Details'!$A:$N, 14, FALSE)</f>
        <v>R1012</v>
      </c>
      <c r="P937" s="36">
        <f>VLOOKUP($A937, 'Hospitalisation Details'!$A:$O, 15, FALSE)</f>
        <v>58</v>
      </c>
    </row>
    <row r="938" ht="15.75" customHeight="1">
      <c r="A938" s="33" t="s">
        <v>1875</v>
      </c>
      <c r="B938" s="22" t="str">
        <f>VLOOKUP($A938,'Customer Names'!$A:$D,3, FALSE)</f>
        <v>Savage</v>
      </c>
      <c r="C938" s="22">
        <f>VLOOKUP($A938,'Medical Examinations'!$A:$D, 2, FALSE)</f>
        <v>36.8</v>
      </c>
      <c r="D938" s="22">
        <f>VLOOKUP($A938, 'Medical Examinations'!$A:$D,3, FALSE)</f>
        <v>5.88</v>
      </c>
      <c r="E938" s="22" t="str">
        <f>VLOOKUP($A938, 'Medical Examinations'!$A:$D, 4, FALSE)</f>
        <v>No</v>
      </c>
      <c r="F938" s="22" t="str">
        <f>VLOOKUP($A938, 'Medical Examinations'!$A:$J, 5, FALSE)</f>
        <v>No</v>
      </c>
      <c r="G938" s="22" t="str">
        <f>VLOOKUP($A938, 'Medical Examinations'!$A:$I, 6, FALSE)</f>
        <v>No</v>
      </c>
      <c r="H938" s="22">
        <f>VLOOKUP($A938,'Medical Examinations'!$A:$L,10, FALSE)</f>
        <v>1</v>
      </c>
      <c r="I938" s="22" t="str">
        <f>VLOOKUP($A938, 'Medical Examinations'!$A:$J, 9, FALSE)</f>
        <v>No</v>
      </c>
      <c r="J938" s="22" t="str">
        <f>VLOOKUP($A938, 'Medical Examinations'!$A:$P, 11, FALSE)</f>
        <v>OBESITY</v>
      </c>
      <c r="K938" s="34">
        <v>29388.0</v>
      </c>
      <c r="L938" s="35">
        <f>VLOOKUP($A938, 'Hospitalisation Details'!$A:$H, 7, FALSE)</f>
        <v>11730.82</v>
      </c>
      <c r="M938" s="22" t="str">
        <f>VLOOKUP($A938, 'Hospitalisation Details'!$A:$L, 12, FALSE)</f>
        <v>tier - 3</v>
      </c>
      <c r="N938" s="22" t="str">
        <f>VLOOKUP($A938, 'Hospitalisation Details'!$A:$M, 13, FALSE)</f>
        <v>tier - 3</v>
      </c>
      <c r="O938" s="22" t="str">
        <f>VLOOKUP($A938, 'Hospitalisation Details'!$A:$N, 14, FALSE)</f>
        <v>R1026</v>
      </c>
      <c r="P938" s="36">
        <f>VLOOKUP($A938, 'Hospitalisation Details'!$A:$O, 15, FALSE)</f>
        <v>38</v>
      </c>
    </row>
    <row r="939" ht="15.75" customHeight="1">
      <c r="A939" s="33" t="s">
        <v>1877</v>
      </c>
      <c r="B939" s="22" t="str">
        <f>VLOOKUP($A939,'Customer Names'!$A:$D,3, FALSE)</f>
        <v>O'Leary</v>
      </c>
      <c r="C939" s="22">
        <f>VLOOKUP($A939,'Medical Examinations'!$A:$D, 2, FALSE)</f>
        <v>23.75</v>
      </c>
      <c r="D939" s="22">
        <f>VLOOKUP($A939, 'Medical Examinations'!$A:$D,3, FALSE)</f>
        <v>5.42</v>
      </c>
      <c r="E939" s="22" t="str">
        <f>VLOOKUP($A939, 'Medical Examinations'!$A:$D, 4, FALSE)</f>
        <v>Yes</v>
      </c>
      <c r="F939" s="22" t="str">
        <f>VLOOKUP($A939, 'Medical Examinations'!$A:$J, 5, FALSE)</f>
        <v>No</v>
      </c>
      <c r="G939" s="22" t="str">
        <f>VLOOKUP($A939, 'Medical Examinations'!$A:$I, 6, FALSE)</f>
        <v>Yes</v>
      </c>
      <c r="H939" s="22">
        <f>VLOOKUP($A939,'Medical Examinations'!$A:$L,10, FALSE)</f>
        <v>1</v>
      </c>
      <c r="I939" s="22" t="str">
        <f>VLOOKUP($A939, 'Medical Examinations'!$A:$J, 9, FALSE)</f>
        <v>No</v>
      </c>
      <c r="J939" s="22" t="str">
        <f>VLOOKUP($A939, 'Medical Examinations'!$A:$P, 11, FALSE)</f>
        <v>NORMAL WEIGHT</v>
      </c>
      <c r="K939" s="34">
        <v>30221.0</v>
      </c>
      <c r="L939" s="35">
        <f>VLOOKUP($A939, 'Hospitalisation Details'!$A:$H, 7, FALSE)</f>
        <v>11729.68</v>
      </c>
      <c r="M939" s="22" t="str">
        <f>VLOOKUP($A939, 'Hospitalisation Details'!$A:$L, 12, FALSE)</f>
        <v>tier - 3</v>
      </c>
      <c r="N939" s="22" t="str">
        <f>VLOOKUP($A939, 'Hospitalisation Details'!$A:$M, 13, FALSE)</f>
        <v>tier - 1</v>
      </c>
      <c r="O939" s="22" t="str">
        <f>VLOOKUP($A939, 'Hospitalisation Details'!$A:$N, 14, FALSE)</f>
        <v>R1024</v>
      </c>
      <c r="P939" s="36">
        <f>VLOOKUP($A939, 'Hospitalisation Details'!$A:$O, 15, FALSE)</f>
        <v>53</v>
      </c>
    </row>
    <row r="940" ht="15.75" customHeight="1">
      <c r="A940" s="33" t="s">
        <v>1879</v>
      </c>
      <c r="B940" s="22" t="str">
        <f>VLOOKUP($A940,'Customer Names'!$A:$D,3, FALSE)</f>
        <v>Scoville</v>
      </c>
      <c r="C940" s="22">
        <f>VLOOKUP($A940,'Medical Examinations'!$A:$D, 2, FALSE)</f>
        <v>35.62</v>
      </c>
      <c r="D940" s="22">
        <f>VLOOKUP($A940, 'Medical Examinations'!$A:$D,3, FALSE)</f>
        <v>4.16</v>
      </c>
      <c r="E940" s="22" t="str">
        <f>VLOOKUP($A940, 'Medical Examinations'!$A:$D, 4, FALSE)</f>
        <v>No</v>
      </c>
      <c r="F940" s="22" t="str">
        <f>VLOOKUP($A940, 'Medical Examinations'!$A:$J, 5, FALSE)</f>
        <v>No</v>
      </c>
      <c r="G940" s="22" t="str">
        <f>VLOOKUP($A940, 'Medical Examinations'!$A:$I, 6, FALSE)</f>
        <v>No</v>
      </c>
      <c r="H940" s="22">
        <f>VLOOKUP($A940,'Medical Examinations'!$A:$L,10, FALSE)</f>
        <v>0</v>
      </c>
      <c r="I940" s="22" t="str">
        <f>VLOOKUP($A940, 'Medical Examinations'!$A:$J, 9, FALSE)</f>
        <v>No</v>
      </c>
      <c r="J940" s="22" t="str">
        <f>VLOOKUP($A940, 'Medical Examinations'!$A:$P, 11, FALSE)</f>
        <v>OBESITY</v>
      </c>
      <c r="K940" s="34">
        <v>35716.0</v>
      </c>
      <c r="L940" s="35">
        <f>VLOOKUP($A940, 'Hospitalisation Details'!$A:$H, 7, FALSE)</f>
        <v>11712.97</v>
      </c>
      <c r="M940" s="22" t="str">
        <f>VLOOKUP($A940, 'Hospitalisation Details'!$A:$L, 12, FALSE)</f>
        <v>tier - 3</v>
      </c>
      <c r="N940" s="22" t="str">
        <f>VLOOKUP($A940, 'Hospitalisation Details'!$A:$M, 13, FALSE)</f>
        <v>tier - 2</v>
      </c>
      <c r="O940" s="22" t="str">
        <f>VLOOKUP($A940, 'Hospitalisation Details'!$A:$N, 14, FALSE)</f>
        <v>R1021</v>
      </c>
      <c r="P940" s="36">
        <f>VLOOKUP($A940, 'Hospitalisation Details'!$A:$O, 15, FALSE)</f>
        <v>40</v>
      </c>
    </row>
    <row r="941" ht="15.75" customHeight="1">
      <c r="A941" s="33" t="s">
        <v>1881</v>
      </c>
      <c r="B941" s="22" t="str">
        <f>VLOOKUP($A941,'Customer Names'!$A:$D,3, FALSE)</f>
        <v>Kaus</v>
      </c>
      <c r="C941" s="22">
        <f>VLOOKUP($A941,'Medical Examinations'!$A:$D, 2, FALSE)</f>
        <v>30.69</v>
      </c>
      <c r="D941" s="22">
        <f>VLOOKUP($A941, 'Medical Examinations'!$A:$D,3, FALSE)</f>
        <v>7.05</v>
      </c>
      <c r="E941" s="22" t="str">
        <f>VLOOKUP($A941, 'Medical Examinations'!$A:$D, 4, FALSE)</f>
        <v>Yes</v>
      </c>
      <c r="F941" s="22" t="str">
        <f>VLOOKUP($A941, 'Medical Examinations'!$A:$J, 5, FALSE)</f>
        <v>No</v>
      </c>
      <c r="G941" s="22" t="str">
        <f>VLOOKUP($A941, 'Medical Examinations'!$A:$I, 6, FALSE)</f>
        <v>No</v>
      </c>
      <c r="H941" s="22">
        <f>VLOOKUP($A941,'Medical Examinations'!$A:$L,10, FALSE)</f>
        <v>2</v>
      </c>
      <c r="I941" s="22" t="str">
        <f>VLOOKUP($A941, 'Medical Examinations'!$A:$J, 9, FALSE)</f>
        <v>No</v>
      </c>
      <c r="J941" s="22" t="str">
        <f>VLOOKUP($A941, 'Medical Examinations'!$A:$P, 11, FALSE)</f>
        <v>OBESITY</v>
      </c>
      <c r="K941" s="34">
        <v>32320.0</v>
      </c>
      <c r="L941" s="35">
        <f>VLOOKUP($A941, 'Hospitalisation Details'!$A:$H, 7, FALSE)</f>
        <v>11696.52</v>
      </c>
      <c r="M941" s="22" t="str">
        <f>VLOOKUP($A941, 'Hospitalisation Details'!$A:$L, 12, FALSE)</f>
        <v>tier - 3</v>
      </c>
      <c r="N941" s="22" t="str">
        <f>VLOOKUP($A941, 'Hospitalisation Details'!$A:$M, 13, FALSE)</f>
        <v>tier - 1</v>
      </c>
      <c r="O941" s="22" t="str">
        <f>VLOOKUP($A941, 'Hospitalisation Details'!$A:$N, 14, FALSE)</f>
        <v>R1021</v>
      </c>
      <c r="P941" s="36">
        <f>VLOOKUP($A941, 'Hospitalisation Details'!$A:$O, 15, FALSE)</f>
        <v>52</v>
      </c>
    </row>
    <row r="942" ht="15.75" customHeight="1">
      <c r="A942" s="33" t="s">
        <v>1883</v>
      </c>
      <c r="B942" s="22" t="str">
        <f>VLOOKUP($A942,'Customer Names'!$A:$D,3, FALSE)</f>
        <v>Rainey</v>
      </c>
      <c r="C942" s="22">
        <f>VLOOKUP($A942,'Medical Examinations'!$A:$D, 2, FALSE)</f>
        <v>35.8</v>
      </c>
      <c r="D942" s="22">
        <f>VLOOKUP($A942, 'Medical Examinations'!$A:$D,3, FALSE)</f>
        <v>5.63</v>
      </c>
      <c r="E942" s="22" t="str">
        <f>VLOOKUP($A942, 'Medical Examinations'!$A:$D, 4, FALSE)</f>
        <v>Yes</v>
      </c>
      <c r="F942" s="22" t="str">
        <f>VLOOKUP($A942, 'Medical Examinations'!$A:$J, 5, FALSE)</f>
        <v>No</v>
      </c>
      <c r="G942" s="22" t="str">
        <f>VLOOKUP($A942, 'Medical Examinations'!$A:$I, 6, FALSE)</f>
        <v>No</v>
      </c>
      <c r="H942" s="22">
        <f>VLOOKUP($A942,'Medical Examinations'!$A:$L,10, FALSE)</f>
        <v>2</v>
      </c>
      <c r="I942" s="22" t="str">
        <f>VLOOKUP($A942, 'Medical Examinations'!$A:$J, 9, FALSE)</f>
        <v>No</v>
      </c>
      <c r="J942" s="22" t="str">
        <f>VLOOKUP($A942, 'Medical Examinations'!$A:$P, 11, FALSE)</f>
        <v>OBESITY</v>
      </c>
      <c r="K942" s="34">
        <v>24104.0</v>
      </c>
      <c r="L942" s="35">
        <f>VLOOKUP($A942, 'Hospitalisation Details'!$A:$H, 7, FALSE)</f>
        <v>11674.13</v>
      </c>
      <c r="M942" s="22" t="str">
        <f>VLOOKUP($A942, 'Hospitalisation Details'!$A:$L, 12, FALSE)</f>
        <v>tier - 3</v>
      </c>
      <c r="N942" s="22" t="str">
        <f>VLOOKUP($A942, 'Hospitalisation Details'!$A:$M, 13, FALSE)</f>
        <v>tier - 1</v>
      </c>
      <c r="O942" s="22" t="str">
        <f>VLOOKUP($A942, 'Hospitalisation Details'!$A:$N, 14, FALSE)</f>
        <v>R1011</v>
      </c>
      <c r="P942" s="36">
        <f>VLOOKUP($A942, 'Hospitalisation Details'!$A:$O, 15, FALSE)</f>
        <v>56</v>
      </c>
    </row>
    <row r="943" ht="15.75" customHeight="1">
      <c r="A943" s="33" t="s">
        <v>1885</v>
      </c>
      <c r="B943" s="22" t="str">
        <f>VLOOKUP($A943,'Customer Names'!$A:$D,3, FALSE)</f>
        <v>Rasch</v>
      </c>
      <c r="C943" s="22">
        <f>VLOOKUP($A943,'Medical Examinations'!$A:$D, 2, FALSE)</f>
        <v>28.785</v>
      </c>
      <c r="D943" s="22">
        <f>VLOOKUP($A943, 'Medical Examinations'!$A:$D,3, FALSE)</f>
        <v>4.24</v>
      </c>
      <c r="E943" s="22" t="str">
        <f>VLOOKUP($A943, 'Medical Examinations'!$A:$D, 4, FALSE)</f>
        <v>Yes</v>
      </c>
      <c r="F943" s="22" t="str">
        <f>VLOOKUP($A943, 'Medical Examinations'!$A:$J, 5, FALSE)</f>
        <v>No</v>
      </c>
      <c r="G943" s="22" t="str">
        <f>VLOOKUP($A943, 'Medical Examinations'!$A:$I, 6, FALSE)</f>
        <v>No</v>
      </c>
      <c r="H943" s="22">
        <f>VLOOKUP($A943,'Medical Examinations'!$A:$L,10, FALSE)</f>
        <v>2</v>
      </c>
      <c r="I943" s="22" t="str">
        <f>VLOOKUP($A943, 'Medical Examinations'!$A:$J, 9, FALSE)</f>
        <v>No</v>
      </c>
      <c r="J943" s="22" t="str">
        <f>VLOOKUP($A943, 'Medical Examinations'!$A:$P, 11, FALSE)</f>
        <v>OVERWEIGHT</v>
      </c>
      <c r="K943" s="34">
        <v>33797.0</v>
      </c>
      <c r="L943" s="35">
        <f>VLOOKUP($A943, 'Hospitalisation Details'!$A:$H, 7, FALSE)</f>
        <v>11658.38</v>
      </c>
      <c r="M943" s="22" t="str">
        <f>VLOOKUP($A943, 'Hospitalisation Details'!$A:$L, 12, FALSE)</f>
        <v>tier - 3</v>
      </c>
      <c r="N943" s="22" t="str">
        <f>VLOOKUP($A943, 'Hospitalisation Details'!$A:$M, 13, FALSE)</f>
        <v>tier - 3</v>
      </c>
      <c r="O943" s="22" t="str">
        <f>VLOOKUP($A943, 'Hospitalisation Details'!$A:$N, 14, FALSE)</f>
        <v>R1024</v>
      </c>
      <c r="P943" s="36">
        <f>VLOOKUP($A943, 'Hospitalisation Details'!$A:$O, 15, FALSE)</f>
        <v>56</v>
      </c>
    </row>
    <row r="944" ht="15.75" customHeight="1">
      <c r="A944" s="33" t="s">
        <v>1887</v>
      </c>
      <c r="B944" s="22" t="str">
        <f>VLOOKUP($A944,'Customer Names'!$A:$D,3, FALSE)</f>
        <v>Plunkett</v>
      </c>
      <c r="C944" s="22">
        <f>VLOOKUP($A944,'Medical Examinations'!$A:$D, 2, FALSE)</f>
        <v>28.595</v>
      </c>
      <c r="D944" s="22">
        <f>VLOOKUP($A944, 'Medical Examinations'!$A:$D,3, FALSE)</f>
        <v>4.96</v>
      </c>
      <c r="E944" s="22" t="str">
        <f>VLOOKUP($A944, 'Medical Examinations'!$A:$D, 4, FALSE)</f>
        <v>Yes</v>
      </c>
      <c r="F944" s="22" t="str">
        <f>VLOOKUP($A944, 'Medical Examinations'!$A:$J, 5, FALSE)</f>
        <v>No</v>
      </c>
      <c r="G944" s="22" t="str">
        <f>VLOOKUP($A944, 'Medical Examinations'!$A:$I, 6, FALSE)</f>
        <v>No</v>
      </c>
      <c r="H944" s="22">
        <f>VLOOKUP($A944,'Medical Examinations'!$A:$L,10, FALSE)</f>
        <v>2</v>
      </c>
      <c r="I944" s="22" t="str">
        <f>VLOOKUP($A944, 'Medical Examinations'!$A:$J, 9, FALSE)</f>
        <v>No</v>
      </c>
      <c r="J944" s="22" t="str">
        <f>VLOOKUP($A944, 'Medical Examinations'!$A:$P, 11, FALSE)</f>
        <v>OVERWEIGHT</v>
      </c>
      <c r="K944" s="34">
        <v>38186.0</v>
      </c>
      <c r="L944" s="35">
        <f>VLOOKUP($A944, 'Hospitalisation Details'!$A:$H, 7, FALSE)</f>
        <v>11658.12</v>
      </c>
      <c r="M944" s="22" t="str">
        <f>VLOOKUP($A944, 'Hospitalisation Details'!$A:$L, 12, FALSE)</f>
        <v>tier - 3</v>
      </c>
      <c r="N944" s="22" t="str">
        <f>VLOOKUP($A944, 'Hospitalisation Details'!$A:$M, 13, FALSE)</f>
        <v>tier - 1</v>
      </c>
      <c r="O944" s="22" t="str">
        <f>VLOOKUP($A944, 'Hospitalisation Details'!$A:$N, 14, FALSE)</f>
        <v>R1024</v>
      </c>
      <c r="P944" s="36">
        <f>VLOOKUP($A944, 'Hospitalisation Details'!$A:$O, 15, FALSE)</f>
        <v>56</v>
      </c>
    </row>
    <row r="945" ht="15.75" customHeight="1">
      <c r="A945" s="33" t="s">
        <v>1889</v>
      </c>
      <c r="B945" s="22" t="str">
        <f>VLOOKUP($A945,'Customer Names'!$A:$D,3, FALSE)</f>
        <v>Murphy</v>
      </c>
      <c r="C945" s="22">
        <f>VLOOKUP($A945,'Medical Examinations'!$A:$D, 2, FALSE)</f>
        <v>48.75</v>
      </c>
      <c r="D945" s="22">
        <f>VLOOKUP($A945, 'Medical Examinations'!$A:$D,3, FALSE)</f>
        <v>4.34</v>
      </c>
      <c r="E945" s="22" t="str">
        <f>VLOOKUP($A945, 'Medical Examinations'!$A:$D, 4, FALSE)</f>
        <v>No</v>
      </c>
      <c r="F945" s="22" t="str">
        <f>VLOOKUP($A945, 'Medical Examinations'!$A:$J, 5, FALSE)</f>
        <v>No</v>
      </c>
      <c r="G945" s="22" t="str">
        <f>VLOOKUP($A945, 'Medical Examinations'!$A:$I, 6, FALSE)</f>
        <v>No</v>
      </c>
      <c r="H945" s="22">
        <f>VLOOKUP($A945,'Medical Examinations'!$A:$L,10, FALSE)</f>
        <v>0</v>
      </c>
      <c r="I945" s="22" t="str">
        <f>VLOOKUP($A945, 'Medical Examinations'!$A:$J, 9, FALSE)</f>
        <v>No</v>
      </c>
      <c r="J945" s="22" t="str">
        <f>VLOOKUP($A945, 'Medical Examinations'!$A:$P, 11, FALSE)</f>
        <v>OBESITY</v>
      </c>
      <c r="K945" s="34">
        <v>36484.0</v>
      </c>
      <c r="L945" s="35">
        <f>VLOOKUP($A945, 'Hospitalisation Details'!$A:$H, 7, FALSE)</f>
        <v>11657.81</v>
      </c>
      <c r="M945" s="22" t="str">
        <f>VLOOKUP($A945, 'Hospitalisation Details'!$A:$L, 12, FALSE)</f>
        <v>tier - 3</v>
      </c>
      <c r="N945" s="22" t="str">
        <f>VLOOKUP($A945, 'Hospitalisation Details'!$A:$M, 13, FALSE)</f>
        <v>tier - 2</v>
      </c>
      <c r="O945" s="22" t="str">
        <f>VLOOKUP($A945, 'Hospitalisation Details'!$A:$N, 14, FALSE)</f>
        <v>R1023</v>
      </c>
      <c r="P945" s="36">
        <f>VLOOKUP($A945, 'Hospitalisation Details'!$A:$O, 15, FALSE)</f>
        <v>28</v>
      </c>
    </row>
    <row r="946" ht="15.75" customHeight="1">
      <c r="A946" s="33" t="s">
        <v>1891</v>
      </c>
      <c r="B946" s="22" t="str">
        <f>VLOOKUP($A946,'Customer Names'!$A:$D,3, FALSE)</f>
        <v>Gusmer</v>
      </c>
      <c r="C946" s="22">
        <f>VLOOKUP($A946,'Medical Examinations'!$A:$D, 2, FALSE)</f>
        <v>28.31</v>
      </c>
      <c r="D946" s="22">
        <f>VLOOKUP($A946, 'Medical Examinations'!$A:$D,3, FALSE)</f>
        <v>5.43</v>
      </c>
      <c r="E946" s="22" t="str">
        <f>VLOOKUP($A946, 'Medical Examinations'!$A:$D, 4, FALSE)</f>
        <v>Yes</v>
      </c>
      <c r="F946" s="22" t="str">
        <f>VLOOKUP($A946, 'Medical Examinations'!$A:$J, 5, FALSE)</f>
        <v>No</v>
      </c>
      <c r="G946" s="22" t="str">
        <f>VLOOKUP($A946, 'Medical Examinations'!$A:$I, 6, FALSE)</f>
        <v>No</v>
      </c>
      <c r="H946" s="22">
        <f>VLOOKUP($A946,'Medical Examinations'!$A:$L,10, FALSE)</f>
        <v>2</v>
      </c>
      <c r="I946" s="22" t="str">
        <f>VLOOKUP($A946, 'Medical Examinations'!$A:$J, 9, FALSE)</f>
        <v>No</v>
      </c>
      <c r="J946" s="22" t="str">
        <f>VLOOKUP($A946, 'Medical Examinations'!$A:$P, 11, FALSE)</f>
        <v>OVERWEIGHT</v>
      </c>
      <c r="K946" s="34">
        <v>33423.0</v>
      </c>
      <c r="L946" s="35">
        <f>VLOOKUP($A946, 'Hospitalisation Details'!$A:$H, 7, FALSE)</f>
        <v>11657.72</v>
      </c>
      <c r="M946" s="22" t="str">
        <f>VLOOKUP($A946, 'Hospitalisation Details'!$A:$L, 12, FALSE)</f>
        <v>tier - 3</v>
      </c>
      <c r="N946" s="22" t="str">
        <f>VLOOKUP($A946, 'Hospitalisation Details'!$A:$M, 13, FALSE)</f>
        <v>tier - 2</v>
      </c>
      <c r="O946" s="22" t="str">
        <f>VLOOKUP($A946, 'Hospitalisation Details'!$A:$N, 14, FALSE)</f>
        <v>R1024</v>
      </c>
      <c r="P946" s="36">
        <f>VLOOKUP($A946, 'Hospitalisation Details'!$A:$O, 15, FALSE)</f>
        <v>56</v>
      </c>
    </row>
    <row r="947" ht="15.75" customHeight="1">
      <c r="A947" s="33" t="s">
        <v>1893</v>
      </c>
      <c r="B947" s="22" t="str">
        <f>VLOOKUP($A947,'Customer Names'!$A:$D,3, FALSE)</f>
        <v>Loftus</v>
      </c>
      <c r="C947" s="22">
        <f>VLOOKUP($A947,'Medical Examinations'!$A:$D, 2, FALSE)</f>
        <v>38.39</v>
      </c>
      <c r="D947" s="22">
        <f>VLOOKUP($A947, 'Medical Examinations'!$A:$D,3, FALSE)</f>
        <v>8.33</v>
      </c>
      <c r="E947" s="22" t="str">
        <f>VLOOKUP($A947, 'Medical Examinations'!$A:$D, 4, FALSE)</f>
        <v>Yes</v>
      </c>
      <c r="F947" s="22" t="str">
        <f>VLOOKUP($A947, 'Medical Examinations'!$A:$J, 5, FALSE)</f>
        <v>No</v>
      </c>
      <c r="G947" s="22" t="str">
        <f>VLOOKUP($A947, 'Medical Examinations'!$A:$I, 6, FALSE)</f>
        <v>No</v>
      </c>
      <c r="H947" s="22">
        <f>VLOOKUP($A947,'Medical Examinations'!$A:$L,10, FALSE)</f>
        <v>1</v>
      </c>
      <c r="I947" s="22" t="str">
        <f>VLOOKUP($A947, 'Medical Examinations'!$A:$J, 9, FALSE)</f>
        <v>No</v>
      </c>
      <c r="J947" s="22" t="str">
        <f>VLOOKUP($A947, 'Medical Examinations'!$A:$P, 11, FALSE)</f>
        <v>OBESITY</v>
      </c>
      <c r="K947" s="34">
        <v>33069.0</v>
      </c>
      <c r="L947" s="35">
        <f>VLOOKUP($A947, 'Hospitalisation Details'!$A:$H, 7, FALSE)</f>
        <v>11625.11</v>
      </c>
      <c r="M947" s="22" t="str">
        <f>VLOOKUP($A947, 'Hospitalisation Details'!$A:$L, 12, FALSE)</f>
        <v>tier - 3</v>
      </c>
      <c r="N947" s="22" t="str">
        <f>VLOOKUP($A947, 'Hospitalisation Details'!$A:$M, 13, FALSE)</f>
        <v>tier - 3</v>
      </c>
      <c r="O947" s="22" t="str">
        <f>VLOOKUP($A947, 'Hospitalisation Details'!$A:$N, 14, FALSE)</f>
        <v>R1022</v>
      </c>
      <c r="P947" s="36">
        <f>VLOOKUP($A947, 'Hospitalisation Details'!$A:$O, 15, FALSE)</f>
        <v>36</v>
      </c>
    </row>
    <row r="948" ht="15.75" customHeight="1">
      <c r="A948" s="33" t="s">
        <v>1895</v>
      </c>
      <c r="B948" s="22" t="str">
        <f>VLOOKUP($A948,'Customer Names'!$A:$D,3, FALSE)</f>
        <v>Scott</v>
      </c>
      <c r="C948" s="22">
        <f>VLOOKUP($A948,'Medical Examinations'!$A:$D, 2, FALSE)</f>
        <v>25.87</v>
      </c>
      <c r="D948" s="22">
        <f>VLOOKUP($A948, 'Medical Examinations'!$A:$D,3, FALSE)</f>
        <v>5.63</v>
      </c>
      <c r="E948" s="22" t="str">
        <f>VLOOKUP($A948, 'Medical Examinations'!$A:$D, 4, FALSE)</f>
        <v>Yes</v>
      </c>
      <c r="F948" s="22" t="str">
        <f>VLOOKUP($A948, 'Medical Examinations'!$A:$J, 5, FALSE)</f>
        <v>No</v>
      </c>
      <c r="G948" s="22" t="str">
        <f>VLOOKUP($A948, 'Medical Examinations'!$A:$I, 6, FALSE)</f>
        <v>No</v>
      </c>
      <c r="H948" s="22">
        <f>VLOOKUP($A948,'Medical Examinations'!$A:$L,10, FALSE)</f>
        <v>1</v>
      </c>
      <c r="I948" s="22" t="str">
        <f>VLOOKUP($A948, 'Medical Examinations'!$A:$J, 9, FALSE)</f>
        <v>No</v>
      </c>
      <c r="J948" s="22" t="str">
        <f>VLOOKUP($A948, 'Medical Examinations'!$A:$P, 11, FALSE)</f>
        <v>OVERWEIGHT</v>
      </c>
      <c r="K948" s="34">
        <v>33093.0</v>
      </c>
      <c r="L948" s="35">
        <f>VLOOKUP($A948, 'Hospitalisation Details'!$A:$H, 7, FALSE)</f>
        <v>11602.75</v>
      </c>
      <c r="M948" s="22" t="str">
        <f>VLOOKUP($A948, 'Hospitalisation Details'!$A:$L, 12, FALSE)</f>
        <v>tier - 3</v>
      </c>
      <c r="N948" s="22" t="str">
        <f>VLOOKUP($A948, 'Hospitalisation Details'!$A:$M, 13, FALSE)</f>
        <v>tier - 1</v>
      </c>
      <c r="O948" s="22" t="str">
        <f>VLOOKUP($A948, 'Hospitalisation Details'!$A:$N, 14, FALSE)</f>
        <v>R1020</v>
      </c>
      <c r="P948" s="36">
        <f>VLOOKUP($A948, 'Hospitalisation Details'!$A:$O, 15, FALSE)</f>
        <v>58</v>
      </c>
    </row>
    <row r="949" ht="15.75" customHeight="1">
      <c r="A949" s="33" t="s">
        <v>1897</v>
      </c>
      <c r="B949" s="22" t="str">
        <f>VLOOKUP($A949,'Customer Names'!$A:$D,3, FALSE)</f>
        <v>Alvarez</v>
      </c>
      <c r="C949" s="22">
        <f>VLOOKUP($A949,'Medical Examinations'!$A:$D, 2, FALSE)</f>
        <v>43.7</v>
      </c>
      <c r="D949" s="22">
        <f>VLOOKUP($A949, 'Medical Examinations'!$A:$D,3, FALSE)</f>
        <v>7.23</v>
      </c>
      <c r="E949" s="22" t="str">
        <f>VLOOKUP($A949, 'Medical Examinations'!$A:$D, 4, FALSE)</f>
        <v>No</v>
      </c>
      <c r="F949" s="22" t="str">
        <f>VLOOKUP($A949, 'Medical Examinations'!$A:$J, 5, FALSE)</f>
        <v>No</v>
      </c>
      <c r="G949" s="22" t="str">
        <f>VLOOKUP($A949, 'Medical Examinations'!$A:$I, 6, FALSE)</f>
        <v>No</v>
      </c>
      <c r="H949" s="22">
        <f>VLOOKUP($A949,'Medical Examinations'!$A:$L,10, FALSE)</f>
        <v>0</v>
      </c>
      <c r="I949" s="22" t="str">
        <f>VLOOKUP($A949, 'Medical Examinations'!$A:$J, 9, FALSE)</f>
        <v>No</v>
      </c>
      <c r="J949" s="22" t="str">
        <f>VLOOKUP($A949, 'Medical Examinations'!$A:$P, 11, FALSE)</f>
        <v>OBESITY</v>
      </c>
      <c r="K949" s="34">
        <v>34513.0</v>
      </c>
      <c r="L949" s="35">
        <f>VLOOKUP($A949, 'Hospitalisation Details'!$A:$H, 7, FALSE)</f>
        <v>11576.13</v>
      </c>
      <c r="M949" s="22" t="str">
        <f>VLOOKUP($A949, 'Hospitalisation Details'!$A:$L, 12, FALSE)</f>
        <v>tier - 3</v>
      </c>
      <c r="N949" s="22" t="str">
        <f>VLOOKUP($A949, 'Hospitalisation Details'!$A:$M, 13, FALSE)</f>
        <v>tier - 3</v>
      </c>
      <c r="O949" s="22" t="str">
        <f>VLOOKUP($A949, 'Hospitalisation Details'!$A:$N, 14, FALSE)</f>
        <v>R1011</v>
      </c>
      <c r="P949" s="36">
        <f>VLOOKUP($A949, 'Hospitalisation Details'!$A:$O, 15, FALSE)</f>
        <v>57</v>
      </c>
    </row>
    <row r="950" ht="15.75" customHeight="1">
      <c r="A950" s="33" t="s">
        <v>1899</v>
      </c>
      <c r="B950" s="22" t="str">
        <f>VLOOKUP($A950,'Customer Names'!$A:$D,3, FALSE)</f>
        <v>Petersson</v>
      </c>
      <c r="C950" s="22">
        <f>VLOOKUP($A950,'Medical Examinations'!$A:$D, 2, FALSE)</f>
        <v>40.945</v>
      </c>
      <c r="D950" s="22">
        <f>VLOOKUP($A950, 'Medical Examinations'!$A:$D,3, FALSE)</f>
        <v>10.57</v>
      </c>
      <c r="E950" s="22" t="str">
        <f>VLOOKUP($A950, 'Medical Examinations'!$A:$D, 4, FALSE)</f>
        <v>No</v>
      </c>
      <c r="F950" s="22" t="str">
        <f>VLOOKUP($A950, 'Medical Examinations'!$A:$J, 5, FALSE)</f>
        <v>No</v>
      </c>
      <c r="G950" s="22" t="str">
        <f>VLOOKUP($A950, 'Medical Examinations'!$A:$I, 6, FALSE)</f>
        <v>No</v>
      </c>
      <c r="H950" s="22">
        <f>VLOOKUP($A950,'Medical Examinations'!$A:$L,10, FALSE)</f>
        <v>0</v>
      </c>
      <c r="I950" s="22" t="str">
        <f>VLOOKUP($A950, 'Medical Examinations'!$A:$J, 9, FALSE)</f>
        <v>No</v>
      </c>
      <c r="J950" s="22" t="str">
        <f>VLOOKUP($A950, 'Medical Examinations'!$A:$P, 11, FALSE)</f>
        <v>OBESITY</v>
      </c>
      <c r="K950" s="34">
        <v>33484.0</v>
      </c>
      <c r="L950" s="35">
        <f>VLOOKUP($A950, 'Hospitalisation Details'!$A:$H, 7, FALSE)</f>
        <v>11566.3</v>
      </c>
      <c r="M950" s="22" t="str">
        <f>VLOOKUP($A950, 'Hospitalisation Details'!$A:$L, 12, FALSE)</f>
        <v>tier - 3</v>
      </c>
      <c r="N950" s="22" t="str">
        <f>VLOOKUP($A950, 'Hospitalisation Details'!$A:$M, 13, FALSE)</f>
        <v>tier - 3</v>
      </c>
      <c r="O950" s="22" t="str">
        <f>VLOOKUP($A950, 'Hospitalisation Details'!$A:$N, 14, FALSE)</f>
        <v>R1016</v>
      </c>
      <c r="P950" s="36">
        <f>VLOOKUP($A950, 'Hospitalisation Details'!$A:$O, 15, FALSE)</f>
        <v>57</v>
      </c>
    </row>
    <row r="951" ht="15.75" customHeight="1">
      <c r="A951" s="33" t="s">
        <v>1901</v>
      </c>
      <c r="B951" s="22" t="str">
        <f>VLOOKUP($A951,'Customer Names'!$A:$D,3, FALSE)</f>
        <v>Liaw</v>
      </c>
      <c r="C951" s="22">
        <f>VLOOKUP($A951,'Medical Examinations'!$A:$D, 2, FALSE)</f>
        <v>27.94</v>
      </c>
      <c r="D951" s="22">
        <f>VLOOKUP($A951, 'Medical Examinations'!$A:$D,3, FALSE)</f>
        <v>7.92</v>
      </c>
      <c r="E951" s="22" t="str">
        <f>VLOOKUP($A951, 'Medical Examinations'!$A:$D, 4, FALSE)</f>
        <v>No</v>
      </c>
      <c r="F951" s="22" t="str">
        <f>VLOOKUP($A951, 'Medical Examinations'!$A:$J, 5, FALSE)</f>
        <v>No</v>
      </c>
      <c r="G951" s="22" t="str">
        <f>VLOOKUP($A951, 'Medical Examinations'!$A:$I, 6, FALSE)</f>
        <v>No</v>
      </c>
      <c r="H951" s="22">
        <f>VLOOKUP($A951,'Medical Examinations'!$A:$L,10, FALSE)</f>
        <v>0</v>
      </c>
      <c r="I951" s="22" t="str">
        <f>VLOOKUP($A951, 'Medical Examinations'!$A:$J, 9, FALSE)</f>
        <v>No</v>
      </c>
      <c r="J951" s="22" t="str">
        <f>VLOOKUP($A951, 'Medical Examinations'!$A:$P, 11, FALSE)</f>
        <v>OVERWEIGHT</v>
      </c>
      <c r="K951" s="34">
        <v>34631.0</v>
      </c>
      <c r="L951" s="35">
        <f>VLOOKUP($A951, 'Hospitalisation Details'!$A:$H, 7, FALSE)</f>
        <v>11554.22</v>
      </c>
      <c r="M951" s="22" t="str">
        <f>VLOOKUP($A951, 'Hospitalisation Details'!$A:$L, 12, FALSE)</f>
        <v>tier - 3</v>
      </c>
      <c r="N951" s="22" t="str">
        <f>VLOOKUP($A951, 'Hospitalisation Details'!$A:$M, 13, FALSE)</f>
        <v>tier - 1</v>
      </c>
      <c r="O951" s="22" t="str">
        <f>VLOOKUP($A951, 'Hospitalisation Details'!$A:$N, 14, FALSE)</f>
        <v>R1013</v>
      </c>
      <c r="P951" s="36">
        <f>VLOOKUP($A951, 'Hospitalisation Details'!$A:$O, 15, FALSE)</f>
        <v>57</v>
      </c>
    </row>
    <row r="952" ht="15.75" customHeight="1">
      <c r="A952" s="33" t="s">
        <v>1903</v>
      </c>
      <c r="B952" s="22" t="str">
        <f>VLOOKUP($A952,'Customer Names'!$A:$D,3, FALSE)</f>
        <v>Tripaldi</v>
      </c>
      <c r="C952" s="22">
        <f>VLOOKUP($A952,'Medical Examinations'!$A:$D, 2, FALSE)</f>
        <v>31.9</v>
      </c>
      <c r="D952" s="22">
        <f>VLOOKUP($A952, 'Medical Examinations'!$A:$D,3, FALSE)</f>
        <v>10.12</v>
      </c>
      <c r="E952" s="22" t="str">
        <f>VLOOKUP($A952, 'Medical Examinations'!$A:$D, 4, FALSE)</f>
        <v>No</v>
      </c>
      <c r="F952" s="22" t="str">
        <f>VLOOKUP($A952, 'Medical Examinations'!$A:$J, 5, FALSE)</f>
        <v>No</v>
      </c>
      <c r="G952" s="22" t="str">
        <f>VLOOKUP($A952, 'Medical Examinations'!$A:$I, 6, FALSE)</f>
        <v>No</v>
      </c>
      <c r="H952" s="22">
        <f>VLOOKUP($A952,'Medical Examinations'!$A:$L,10, FALSE)</f>
        <v>2</v>
      </c>
      <c r="I952" s="22" t="str">
        <f>VLOOKUP($A952, 'Medical Examinations'!$A:$J, 9, FALSE)</f>
        <v>No</v>
      </c>
      <c r="J952" s="22" t="str">
        <f>VLOOKUP($A952, 'Medical Examinations'!$A:$P, 11, FALSE)</f>
        <v>OBESITY</v>
      </c>
      <c r="K952" s="34">
        <v>34615.0</v>
      </c>
      <c r="L952" s="35">
        <f>VLOOKUP($A952, 'Hospitalisation Details'!$A:$H, 7, FALSE)</f>
        <v>11552.9</v>
      </c>
      <c r="M952" s="22" t="str">
        <f>VLOOKUP($A952, 'Hospitalisation Details'!$A:$L, 12, FALSE)</f>
        <v>tier - 3</v>
      </c>
      <c r="N952" s="22" t="str">
        <f>VLOOKUP($A952, 'Hospitalisation Details'!$A:$M, 13, FALSE)</f>
        <v>tier - 2</v>
      </c>
      <c r="O952" s="22" t="str">
        <f>VLOOKUP($A952, 'Hospitalisation Details'!$A:$N, 14, FALSE)</f>
        <v>R1011</v>
      </c>
      <c r="P952" s="36">
        <f>VLOOKUP($A952, 'Hospitalisation Details'!$A:$O, 15, FALSE)</f>
        <v>49</v>
      </c>
    </row>
    <row r="953" ht="15.75" customHeight="1">
      <c r="A953" s="33" t="s">
        <v>1905</v>
      </c>
      <c r="B953" s="22" t="str">
        <f>VLOOKUP($A953,'Customer Names'!$A:$D,3, FALSE)</f>
        <v>Kelley</v>
      </c>
      <c r="C953" s="22">
        <f>VLOOKUP($A953,'Medical Examinations'!$A:$D, 2, FALSE)</f>
        <v>31.64</v>
      </c>
      <c r="D953" s="22">
        <f>VLOOKUP($A953, 'Medical Examinations'!$A:$D,3, FALSE)</f>
        <v>7.91</v>
      </c>
      <c r="E953" s="22" t="str">
        <f>VLOOKUP($A953, 'Medical Examinations'!$A:$D, 4, FALSE)</f>
        <v>No</v>
      </c>
      <c r="F953" s="22" t="str">
        <f>VLOOKUP($A953, 'Medical Examinations'!$A:$J, 5, FALSE)</f>
        <v>No</v>
      </c>
      <c r="G953" s="22" t="str">
        <f>VLOOKUP($A953, 'Medical Examinations'!$A:$I, 6, FALSE)</f>
        <v>No</v>
      </c>
      <c r="H953" s="22">
        <f>VLOOKUP($A953,'Medical Examinations'!$A:$L,10, FALSE)</f>
        <v>0</v>
      </c>
      <c r="I953" s="22" t="str">
        <f>VLOOKUP($A953, 'Medical Examinations'!$A:$J, 9, FALSE)</f>
        <v>No</v>
      </c>
      <c r="J953" s="22" t="str">
        <f>VLOOKUP($A953, 'Medical Examinations'!$A:$P, 11, FALSE)</f>
        <v>OBESITY</v>
      </c>
      <c r="K953" s="34">
        <v>25763.0</v>
      </c>
      <c r="L953" s="35">
        <f>VLOOKUP($A953, 'Hospitalisation Details'!$A:$H, 7, FALSE)</f>
        <v>11540.25</v>
      </c>
      <c r="M953" s="22" t="str">
        <f>VLOOKUP($A953, 'Hospitalisation Details'!$A:$L, 12, FALSE)</f>
        <v>tier - 3</v>
      </c>
      <c r="N953" s="22" t="str">
        <f>VLOOKUP($A953, 'Hospitalisation Details'!$A:$M, 13, FALSE)</f>
        <v>tier - 1</v>
      </c>
      <c r="O953" s="22" t="str">
        <f>VLOOKUP($A953, 'Hospitalisation Details'!$A:$N, 14, FALSE)</f>
        <v>R1012</v>
      </c>
      <c r="P953" s="36">
        <f>VLOOKUP($A953, 'Hospitalisation Details'!$A:$O, 15, FALSE)</f>
        <v>51</v>
      </c>
    </row>
    <row r="954" ht="15.75" customHeight="1">
      <c r="A954" s="33" t="s">
        <v>1907</v>
      </c>
      <c r="B954" s="22" t="str">
        <f>VLOOKUP($A954,'Customer Names'!$A:$D,3, FALSE)</f>
        <v>Endara</v>
      </c>
      <c r="C954" s="22">
        <f>VLOOKUP($A954,'Medical Examinations'!$A:$D, 2, FALSE)</f>
        <v>46.7</v>
      </c>
      <c r="D954" s="22">
        <f>VLOOKUP($A954, 'Medical Examinations'!$A:$D,3, FALSE)</f>
        <v>10.9</v>
      </c>
      <c r="E954" s="22" t="str">
        <f>VLOOKUP($A954, 'Medical Examinations'!$A:$D, 4, FALSE)</f>
        <v>No</v>
      </c>
      <c r="F954" s="22" t="str">
        <f>VLOOKUP($A954, 'Medical Examinations'!$A:$J, 5, FALSE)</f>
        <v>No</v>
      </c>
      <c r="G954" s="22" t="str">
        <f>VLOOKUP($A954, 'Medical Examinations'!$A:$I, 6, FALSE)</f>
        <v>No</v>
      </c>
      <c r="H954" s="22">
        <f>VLOOKUP($A954,'Medical Examinations'!$A:$L,10, FALSE)</f>
        <v>0</v>
      </c>
      <c r="I954" s="22" t="str">
        <f>VLOOKUP($A954, 'Medical Examinations'!$A:$J, 9, FALSE)</f>
        <v>No</v>
      </c>
      <c r="J954" s="22" t="str">
        <f>VLOOKUP($A954, 'Medical Examinations'!$A:$P, 11, FALSE)</f>
        <v>OBESITY</v>
      </c>
      <c r="K954" s="34">
        <v>34326.0</v>
      </c>
      <c r="L954" s="35">
        <f>VLOOKUP($A954, 'Hospitalisation Details'!$A:$H, 7, FALSE)</f>
        <v>11538.42</v>
      </c>
      <c r="M954" s="22" t="str">
        <f>VLOOKUP($A954, 'Hospitalisation Details'!$A:$L, 12, FALSE)</f>
        <v>tier - 3</v>
      </c>
      <c r="N954" s="22" t="str">
        <f>VLOOKUP($A954, 'Hospitalisation Details'!$A:$M, 13, FALSE)</f>
        <v>tier - 1</v>
      </c>
      <c r="O954" s="22" t="str">
        <f>VLOOKUP($A954, 'Hospitalisation Details'!$A:$N, 14, FALSE)</f>
        <v>R1011</v>
      </c>
      <c r="P954" s="36">
        <f>VLOOKUP($A954, 'Hospitalisation Details'!$A:$O, 15, FALSE)</f>
        <v>54</v>
      </c>
    </row>
    <row r="955" ht="15.75" customHeight="1">
      <c r="A955" s="33" t="s">
        <v>1909</v>
      </c>
      <c r="B955" s="22" t="str">
        <f>VLOOKUP($A955,'Customer Names'!$A:$D,3, FALSE)</f>
        <v>Valle</v>
      </c>
      <c r="C955" s="22">
        <f>VLOOKUP($A955,'Medical Examinations'!$A:$D, 2, FALSE)</f>
        <v>18.335</v>
      </c>
      <c r="D955" s="22">
        <f>VLOOKUP($A955, 'Medical Examinations'!$A:$D,3, FALSE)</f>
        <v>11.83</v>
      </c>
      <c r="E955" s="22" t="str">
        <f>VLOOKUP($A955, 'Medical Examinations'!$A:$D, 4, FALSE)</f>
        <v>No</v>
      </c>
      <c r="F955" s="22" t="str">
        <f>VLOOKUP($A955, 'Medical Examinations'!$A:$J, 5, FALSE)</f>
        <v>No</v>
      </c>
      <c r="G955" s="22" t="str">
        <f>VLOOKUP($A955, 'Medical Examinations'!$A:$I, 6, FALSE)</f>
        <v>No</v>
      </c>
      <c r="H955" s="22">
        <f>VLOOKUP($A955,'Medical Examinations'!$A:$L,10, FALSE)</f>
        <v>0</v>
      </c>
      <c r="I955" s="22" t="str">
        <f>VLOOKUP($A955, 'Medical Examinations'!$A:$J, 9, FALSE)</f>
        <v>No</v>
      </c>
      <c r="J955" s="22" t="str">
        <f>VLOOKUP($A955, 'Medical Examinations'!$A:$P, 11, FALSE)</f>
        <v>UNDERWEIGHT</v>
      </c>
      <c r="K955" s="34">
        <v>34216.0</v>
      </c>
      <c r="L955" s="35">
        <f>VLOOKUP($A955, 'Hospitalisation Details'!$A:$H, 7, FALSE)</f>
        <v>11534.87</v>
      </c>
      <c r="M955" s="22" t="str">
        <f>VLOOKUP($A955, 'Hospitalisation Details'!$A:$L, 12, FALSE)</f>
        <v>tier - 3</v>
      </c>
      <c r="N955" s="22" t="str">
        <f>VLOOKUP($A955, 'Hospitalisation Details'!$A:$M, 13, FALSE)</f>
        <v>tier - 1</v>
      </c>
      <c r="O955" s="22" t="str">
        <f>VLOOKUP($A955, 'Hospitalisation Details'!$A:$N, 14, FALSE)</f>
        <v>R1017</v>
      </c>
      <c r="P955" s="36">
        <f>VLOOKUP($A955, 'Hospitalisation Details'!$A:$O, 15, FALSE)</f>
        <v>57</v>
      </c>
    </row>
    <row r="956" ht="15.75" customHeight="1">
      <c r="A956" s="33" t="s">
        <v>1911</v>
      </c>
      <c r="B956" s="22" t="str">
        <f>VLOOKUP($A956,'Customer Names'!$A:$D,3, FALSE)</f>
        <v>Germain</v>
      </c>
      <c r="C956" s="22">
        <f>VLOOKUP($A956,'Medical Examinations'!$A:$D, 2, FALSE)</f>
        <v>31.24</v>
      </c>
      <c r="D956" s="22">
        <f>VLOOKUP($A956, 'Medical Examinations'!$A:$D,3, FALSE)</f>
        <v>7.42</v>
      </c>
      <c r="E956" s="22" t="str">
        <f>VLOOKUP($A956, 'Medical Examinations'!$A:$D, 4, FALSE)</f>
        <v>Yes</v>
      </c>
      <c r="F956" s="22" t="str">
        <f>VLOOKUP($A956, 'Medical Examinations'!$A:$J, 5, FALSE)</f>
        <v>No</v>
      </c>
      <c r="G956" s="22" t="str">
        <f>VLOOKUP($A956, 'Medical Examinations'!$A:$I, 6, FALSE)</f>
        <v>No</v>
      </c>
      <c r="H956" s="22">
        <f>VLOOKUP($A956,'Medical Examinations'!$A:$L,10, FALSE)</f>
        <v>2</v>
      </c>
      <c r="I956" s="22" t="str">
        <f>VLOOKUP($A956, 'Medical Examinations'!$A:$J, 9, FALSE)</f>
        <v>No</v>
      </c>
      <c r="J956" s="22" t="str">
        <f>VLOOKUP($A956, 'Medical Examinations'!$A:$P, 11, FALSE)</f>
        <v>OBESITY</v>
      </c>
      <c r="K956" s="34">
        <v>34697.0</v>
      </c>
      <c r="L956" s="35">
        <f>VLOOKUP($A956, 'Hospitalisation Details'!$A:$H, 7, FALSE)</f>
        <v>11530.12</v>
      </c>
      <c r="M956" s="22" t="str">
        <f>VLOOKUP($A956, 'Hospitalisation Details'!$A:$L, 12, FALSE)</f>
        <v>tier - 3</v>
      </c>
      <c r="N956" s="22" t="str">
        <f>VLOOKUP($A956, 'Hospitalisation Details'!$A:$M, 13, FALSE)</f>
        <v>tier - 1</v>
      </c>
      <c r="O956" s="22" t="str">
        <f>VLOOKUP($A956, 'Hospitalisation Details'!$A:$N, 14, FALSE)</f>
        <v>R1012</v>
      </c>
      <c r="P956" s="36">
        <f>VLOOKUP($A956, 'Hospitalisation Details'!$A:$O, 15, FALSE)</f>
        <v>52</v>
      </c>
    </row>
    <row r="957" ht="15.75" customHeight="1">
      <c r="A957" s="33" t="s">
        <v>1913</v>
      </c>
      <c r="B957" s="22" t="str">
        <f>VLOOKUP($A957,'Customer Names'!$A:$D,3, FALSE)</f>
        <v>Finecey</v>
      </c>
      <c r="C957" s="22">
        <f>VLOOKUP($A957,'Medical Examinations'!$A:$D, 2, FALSE)</f>
        <v>39.22</v>
      </c>
      <c r="D957" s="22">
        <f>VLOOKUP($A957, 'Medical Examinations'!$A:$D,3, FALSE)</f>
        <v>5.62</v>
      </c>
      <c r="E957" s="22" t="str">
        <f>VLOOKUP($A957, 'Medical Examinations'!$A:$D, 4, FALSE)</f>
        <v>Yes</v>
      </c>
      <c r="F957" s="22" t="str">
        <f>VLOOKUP($A957, 'Medical Examinations'!$A:$J, 5, FALSE)</f>
        <v>No</v>
      </c>
      <c r="G957" s="22" t="str">
        <f>VLOOKUP($A957, 'Medical Examinations'!$A:$I, 6, FALSE)</f>
        <v>No</v>
      </c>
      <c r="H957" s="22">
        <f>VLOOKUP($A957,'Medical Examinations'!$A:$L,10, FALSE)</f>
        <v>1</v>
      </c>
      <c r="I957" s="22" t="str">
        <f>VLOOKUP($A957, 'Medical Examinations'!$A:$J, 9, FALSE)</f>
        <v>No</v>
      </c>
      <c r="J957" s="22" t="str">
        <f>VLOOKUP($A957, 'Medical Examinations'!$A:$P, 11, FALSE)</f>
        <v>OBESITY</v>
      </c>
      <c r="K957" s="34">
        <v>33831.0</v>
      </c>
      <c r="L957" s="35">
        <f>VLOOKUP($A957, 'Hospitalisation Details'!$A:$H, 7, FALSE)</f>
        <v>11524.25</v>
      </c>
      <c r="M957" s="22" t="str">
        <f>VLOOKUP($A957, 'Hospitalisation Details'!$A:$L, 12, FALSE)</f>
        <v>tier - 3</v>
      </c>
      <c r="N957" s="22" t="str">
        <f>VLOOKUP($A957, 'Hospitalisation Details'!$A:$M, 13, FALSE)</f>
        <v>tier - 1</v>
      </c>
      <c r="O957" s="22" t="str">
        <f>VLOOKUP($A957, 'Hospitalisation Details'!$A:$N, 14, FALSE)</f>
        <v>R1026</v>
      </c>
      <c r="P957" s="36">
        <f>VLOOKUP($A957, 'Hospitalisation Details'!$A:$O, 15, FALSE)</f>
        <v>34</v>
      </c>
    </row>
    <row r="958" ht="15.75" customHeight="1">
      <c r="A958" s="33" t="s">
        <v>1915</v>
      </c>
      <c r="B958" s="22" t="str">
        <f>VLOOKUP($A958,'Customer Names'!$A:$D,3, FALSE)</f>
        <v>Mendoza</v>
      </c>
      <c r="C958" s="22">
        <f>VLOOKUP($A958,'Medical Examinations'!$A:$D, 2, FALSE)</f>
        <v>24.415</v>
      </c>
      <c r="D958" s="22">
        <f>VLOOKUP($A958, 'Medical Examinations'!$A:$D,3, FALSE)</f>
        <v>7.16</v>
      </c>
      <c r="E958" s="22" t="str">
        <f>VLOOKUP($A958, 'Medical Examinations'!$A:$D, 4, FALSE)</f>
        <v>No</v>
      </c>
      <c r="F958" s="22" t="str">
        <f>VLOOKUP($A958, 'Medical Examinations'!$A:$J, 5, FALSE)</f>
        <v>No</v>
      </c>
      <c r="G958" s="22" t="str">
        <f>VLOOKUP($A958, 'Medical Examinations'!$A:$I, 6, FALSE)</f>
        <v>No</v>
      </c>
      <c r="H958" s="22">
        <f>VLOOKUP($A958,'Medical Examinations'!$A:$L,10, FALSE)</f>
        <v>0</v>
      </c>
      <c r="I958" s="22" t="str">
        <f>VLOOKUP($A958, 'Medical Examinations'!$A:$J, 9, FALSE)</f>
        <v>No</v>
      </c>
      <c r="J958" s="22" t="str">
        <f>VLOOKUP($A958, 'Medical Examinations'!$A:$P, 11, FALSE)</f>
        <v>NORMAL WEIGHT</v>
      </c>
      <c r="K958" s="34">
        <v>32402.0</v>
      </c>
      <c r="L958" s="35">
        <f>VLOOKUP($A958, 'Hospitalisation Details'!$A:$H, 7, FALSE)</f>
        <v>11520.1</v>
      </c>
      <c r="M958" s="22" t="str">
        <f>VLOOKUP($A958, 'Hospitalisation Details'!$A:$L, 12, FALSE)</f>
        <v>tier - 3</v>
      </c>
      <c r="N958" s="22" t="str">
        <f>VLOOKUP($A958, 'Hospitalisation Details'!$A:$M, 13, FALSE)</f>
        <v>tier - 1</v>
      </c>
      <c r="O958" s="22" t="str">
        <f>VLOOKUP($A958, 'Hospitalisation Details'!$A:$N, 14, FALSE)</f>
        <v>R1012</v>
      </c>
      <c r="P958" s="36">
        <f>VLOOKUP($A958, 'Hospitalisation Details'!$A:$O, 15, FALSE)</f>
        <v>51</v>
      </c>
    </row>
    <row r="959" ht="15.75" customHeight="1">
      <c r="A959" s="33" t="s">
        <v>1917</v>
      </c>
      <c r="B959" s="22" t="str">
        <f>VLOOKUP($A959,'Customer Names'!$A:$D,3, FALSE)</f>
        <v>Roe</v>
      </c>
      <c r="C959" s="22">
        <f>VLOOKUP($A959,'Medical Examinations'!$A:$D, 2, FALSE)</f>
        <v>32.3</v>
      </c>
      <c r="D959" s="22">
        <f>VLOOKUP($A959, 'Medical Examinations'!$A:$D,3, FALSE)</f>
        <v>9.89</v>
      </c>
      <c r="E959" s="22" t="str">
        <f>VLOOKUP($A959, 'Medical Examinations'!$A:$D, 4, FALSE)</f>
        <v>No</v>
      </c>
      <c r="F959" s="22" t="str">
        <f>VLOOKUP($A959, 'Medical Examinations'!$A:$J, 5, FALSE)</f>
        <v>No</v>
      </c>
      <c r="G959" s="22" t="str">
        <f>VLOOKUP($A959, 'Medical Examinations'!$A:$I, 6, FALSE)</f>
        <v>No</v>
      </c>
      <c r="H959" s="22">
        <f>VLOOKUP($A959,'Medical Examinations'!$A:$L,10, FALSE)</f>
        <v>0</v>
      </c>
      <c r="I959" s="22" t="str">
        <f>VLOOKUP($A959, 'Medical Examinations'!$A:$J, 9, FALSE)</f>
        <v>No</v>
      </c>
      <c r="J959" s="22" t="str">
        <f>VLOOKUP($A959, 'Medical Examinations'!$A:$P, 11, FALSE)</f>
        <v>OBESITY</v>
      </c>
      <c r="K959" s="34">
        <v>31606.0</v>
      </c>
      <c r="L959" s="35">
        <f>VLOOKUP($A959, 'Hospitalisation Details'!$A:$H, 7, FALSE)</f>
        <v>11512.41</v>
      </c>
      <c r="M959" s="22" t="str">
        <f>VLOOKUP($A959, 'Hospitalisation Details'!$A:$L, 12, FALSE)</f>
        <v>tier - 3</v>
      </c>
      <c r="N959" s="22" t="str">
        <f>VLOOKUP($A959, 'Hospitalisation Details'!$A:$M, 13, FALSE)</f>
        <v>tier - 1</v>
      </c>
      <c r="O959" s="22" t="str">
        <f>VLOOKUP($A959, 'Hospitalisation Details'!$A:$N, 14, FALSE)</f>
        <v>R1024</v>
      </c>
      <c r="P959" s="36">
        <f>VLOOKUP($A959, 'Hospitalisation Details'!$A:$O, 15, FALSE)</f>
        <v>54</v>
      </c>
    </row>
    <row r="960" ht="15.75" customHeight="1">
      <c r="A960" s="33" t="s">
        <v>1919</v>
      </c>
      <c r="B960" s="22" t="str">
        <f>VLOOKUP($A960,'Customer Names'!$A:$D,3, FALSE)</f>
        <v>Webb</v>
      </c>
      <c r="C960" s="22">
        <f>VLOOKUP($A960,'Medical Examinations'!$A:$D, 2, FALSE)</f>
        <v>39.94</v>
      </c>
      <c r="D960" s="22">
        <f>VLOOKUP($A960, 'Medical Examinations'!$A:$D,3, FALSE)</f>
        <v>5.14</v>
      </c>
      <c r="E960" s="22" t="str">
        <f>VLOOKUP($A960, 'Medical Examinations'!$A:$D, 4, FALSE)</f>
        <v>No</v>
      </c>
      <c r="F960" s="22" t="str">
        <f>VLOOKUP($A960, 'Medical Examinations'!$A:$J, 5, FALSE)</f>
        <v>No</v>
      </c>
      <c r="G960" s="22" t="str">
        <f>VLOOKUP($A960, 'Medical Examinations'!$A:$I, 6, FALSE)</f>
        <v>No</v>
      </c>
      <c r="H960" s="22">
        <f>VLOOKUP($A960,'Medical Examinations'!$A:$L,10, FALSE)</f>
        <v>0</v>
      </c>
      <c r="I960" s="22" t="str">
        <f>VLOOKUP($A960, 'Medical Examinations'!$A:$J, 9, FALSE)</f>
        <v>No</v>
      </c>
      <c r="J960" s="22" t="str">
        <f>VLOOKUP($A960, 'Medical Examinations'!$A:$P, 11, FALSE)</f>
        <v>OBESITY</v>
      </c>
      <c r="K960" s="34">
        <v>31635.0</v>
      </c>
      <c r="L960" s="35">
        <f>VLOOKUP($A960, 'Hospitalisation Details'!$A:$H, 7, FALSE)</f>
        <v>11511.61</v>
      </c>
      <c r="M960" s="22" t="str">
        <f>VLOOKUP($A960, 'Hospitalisation Details'!$A:$L, 12, FALSE)</f>
        <v>tier - 3</v>
      </c>
      <c r="N960" s="22" t="str">
        <f>VLOOKUP($A960, 'Hospitalisation Details'!$A:$M, 13, FALSE)</f>
        <v>tier - 3</v>
      </c>
      <c r="O960" s="22" t="str">
        <f>VLOOKUP($A960, 'Hospitalisation Details'!$A:$N, 14, FALSE)</f>
        <v>R1026</v>
      </c>
      <c r="P960" s="36">
        <f>VLOOKUP($A960, 'Hospitalisation Details'!$A:$O, 15, FALSE)</f>
        <v>33</v>
      </c>
    </row>
    <row r="961" ht="15.75" customHeight="1">
      <c r="A961" s="33" t="s">
        <v>1921</v>
      </c>
      <c r="B961" s="22" t="str">
        <f>VLOOKUP($A961,'Customer Names'!$A:$D,3, FALSE)</f>
        <v>Stocker</v>
      </c>
      <c r="C961" s="22">
        <f>VLOOKUP($A961,'Medical Examinations'!$A:$D, 2, FALSE)</f>
        <v>30</v>
      </c>
      <c r="D961" s="22">
        <f>VLOOKUP($A961, 'Medical Examinations'!$A:$D,3, FALSE)</f>
        <v>5.61</v>
      </c>
      <c r="E961" s="22" t="str">
        <f>VLOOKUP($A961, 'Medical Examinations'!$A:$D, 4, FALSE)</f>
        <v>Yes</v>
      </c>
      <c r="F961" s="22" t="str">
        <f>VLOOKUP($A961, 'Medical Examinations'!$A:$J, 5, FALSE)</f>
        <v>No</v>
      </c>
      <c r="G961" s="22" t="str">
        <f>VLOOKUP($A961, 'Medical Examinations'!$A:$I, 6, FALSE)</f>
        <v>Yes</v>
      </c>
      <c r="H961" s="22">
        <f>VLOOKUP($A961,'Medical Examinations'!$A:$L,10, FALSE)</f>
        <v>1</v>
      </c>
      <c r="I961" s="22" t="str">
        <f>VLOOKUP($A961, 'Medical Examinations'!$A:$J, 9, FALSE)</f>
        <v>No</v>
      </c>
      <c r="J961" s="22" t="str">
        <f>VLOOKUP($A961, 'Medical Examinations'!$A:$P, 11, FALSE)</f>
        <v>OBESITY</v>
      </c>
      <c r="K961" s="34">
        <v>32342.0</v>
      </c>
      <c r="L961" s="35">
        <f>VLOOKUP($A961, 'Hospitalisation Details'!$A:$H, 7, FALSE)</f>
        <v>11497.69</v>
      </c>
      <c r="M961" s="22" t="str">
        <f>VLOOKUP($A961, 'Hospitalisation Details'!$A:$L, 12, FALSE)</f>
        <v>tier - 3</v>
      </c>
      <c r="N961" s="22" t="str">
        <f>VLOOKUP($A961, 'Hospitalisation Details'!$A:$M, 13, FALSE)</f>
        <v>tier - 1</v>
      </c>
      <c r="O961" s="22" t="str">
        <f>VLOOKUP($A961, 'Hospitalisation Details'!$A:$N, 14, FALSE)</f>
        <v>R1012</v>
      </c>
      <c r="P961" s="36">
        <f>VLOOKUP($A961, 'Hospitalisation Details'!$A:$O, 15, FALSE)</f>
        <v>53</v>
      </c>
    </row>
    <row r="962" ht="15.75" customHeight="1">
      <c r="A962" s="33" t="s">
        <v>1923</v>
      </c>
      <c r="B962" s="22" t="str">
        <f>VLOOKUP($A962,'Customer Names'!$A:$D,3, FALSE)</f>
        <v>Jacobson</v>
      </c>
      <c r="C962" s="22">
        <f>VLOOKUP($A962,'Medical Examinations'!$A:$D, 2, FALSE)</f>
        <v>35.34</v>
      </c>
      <c r="D962" s="22">
        <f>VLOOKUP($A962, 'Medical Examinations'!$A:$D,3, FALSE)</f>
        <v>5.51</v>
      </c>
      <c r="E962" s="22" t="str">
        <f>VLOOKUP($A962, 'Medical Examinations'!$A:$D, 4, FALSE)</f>
        <v>Yes</v>
      </c>
      <c r="F962" s="22" t="str">
        <f>VLOOKUP($A962, 'Medical Examinations'!$A:$J, 5, FALSE)</f>
        <v>No</v>
      </c>
      <c r="G962" s="22" t="str">
        <f>VLOOKUP($A962, 'Medical Examinations'!$A:$I, 6, FALSE)</f>
        <v>Yes</v>
      </c>
      <c r="H962" s="22">
        <f>VLOOKUP($A962,'Medical Examinations'!$A:$L,10, FALSE)</f>
        <v>1</v>
      </c>
      <c r="I962" s="22" t="str">
        <f>VLOOKUP($A962, 'Medical Examinations'!$A:$J, 9, FALSE)</f>
        <v>No</v>
      </c>
      <c r="J962" s="22" t="str">
        <f>VLOOKUP($A962, 'Medical Examinations'!$A:$P, 11, FALSE)</f>
        <v>OBESITY</v>
      </c>
      <c r="K962" s="34">
        <v>30131.0</v>
      </c>
      <c r="L962" s="35">
        <f>VLOOKUP($A962, 'Hospitalisation Details'!$A:$H, 7, FALSE)</f>
        <v>11492.46</v>
      </c>
      <c r="M962" s="22" t="str">
        <f>VLOOKUP($A962, 'Hospitalisation Details'!$A:$L, 12, FALSE)</f>
        <v>tier - 3</v>
      </c>
      <c r="N962" s="22" t="str">
        <f>VLOOKUP($A962, 'Hospitalisation Details'!$A:$M, 13, FALSE)</f>
        <v>tier - 3</v>
      </c>
      <c r="O962" s="22" t="str">
        <f>VLOOKUP($A962, 'Hospitalisation Details'!$A:$N, 14, FALSE)</f>
        <v>R1026</v>
      </c>
      <c r="P962" s="36">
        <f>VLOOKUP($A962, 'Hospitalisation Details'!$A:$O, 15, FALSE)</f>
        <v>40</v>
      </c>
    </row>
    <row r="963" ht="15.75" customHeight="1">
      <c r="A963" s="33" t="s">
        <v>1925</v>
      </c>
      <c r="B963" s="22" t="str">
        <f>VLOOKUP($A963,'Customer Names'!$A:$D,3, FALSE)</f>
        <v>Shaw</v>
      </c>
      <c r="C963" s="22">
        <f>VLOOKUP($A963,'Medical Examinations'!$A:$D, 2, FALSE)</f>
        <v>32.205</v>
      </c>
      <c r="D963" s="22">
        <f>VLOOKUP($A963, 'Medical Examinations'!$A:$D,3, FALSE)</f>
        <v>8.38</v>
      </c>
      <c r="E963" s="22" t="str">
        <f>VLOOKUP($A963, 'Medical Examinations'!$A:$D, 4, FALSE)</f>
        <v>Yes</v>
      </c>
      <c r="F963" s="22" t="str">
        <f>VLOOKUP($A963, 'Medical Examinations'!$A:$J, 5, FALSE)</f>
        <v>No</v>
      </c>
      <c r="G963" s="22" t="str">
        <f>VLOOKUP($A963, 'Medical Examinations'!$A:$I, 6, FALSE)</f>
        <v>No</v>
      </c>
      <c r="H963" s="22">
        <f>VLOOKUP($A963,'Medical Examinations'!$A:$L,10, FALSE)</f>
        <v>2</v>
      </c>
      <c r="I963" s="22" t="str">
        <f>VLOOKUP($A963, 'Medical Examinations'!$A:$J, 9, FALSE)</f>
        <v>No</v>
      </c>
      <c r="J963" s="22" t="str">
        <f>VLOOKUP($A963, 'Medical Examinations'!$A:$P, 11, FALSE)</f>
        <v>OBESITY</v>
      </c>
      <c r="K963" s="34">
        <v>35763.0</v>
      </c>
      <c r="L963" s="35">
        <f>VLOOKUP($A963, 'Hospitalisation Details'!$A:$H, 7, FALSE)</f>
        <v>11488.32</v>
      </c>
      <c r="M963" s="22" t="str">
        <f>VLOOKUP($A963, 'Hospitalisation Details'!$A:$L, 12, FALSE)</f>
        <v>tier - 3</v>
      </c>
      <c r="N963" s="22" t="str">
        <f>VLOOKUP($A963, 'Hospitalisation Details'!$A:$M, 13, FALSE)</f>
        <v>tier - 1</v>
      </c>
      <c r="O963" s="22" t="str">
        <f>VLOOKUP($A963, 'Hospitalisation Details'!$A:$N, 14, FALSE)</f>
        <v>R1014</v>
      </c>
      <c r="P963" s="36">
        <f>VLOOKUP($A963, 'Hospitalisation Details'!$A:$O, 15, FALSE)</f>
        <v>52</v>
      </c>
    </row>
    <row r="964" ht="15.75" customHeight="1">
      <c r="A964" s="33" t="s">
        <v>1927</v>
      </c>
      <c r="B964" s="22" t="str">
        <f>VLOOKUP($A964,'Customer Names'!$A:$D,3, FALSE)</f>
        <v>Goodwin</v>
      </c>
      <c r="C964" s="22">
        <f>VLOOKUP($A964,'Medical Examinations'!$A:$D, 2, FALSE)</f>
        <v>33.88</v>
      </c>
      <c r="D964" s="22">
        <f>VLOOKUP($A964, 'Medical Examinations'!$A:$D,3, FALSE)</f>
        <v>4.68</v>
      </c>
      <c r="E964" s="22" t="str">
        <f>VLOOKUP($A964, 'Medical Examinations'!$A:$D, 4, FALSE)</f>
        <v>No</v>
      </c>
      <c r="F964" s="22" t="str">
        <f>VLOOKUP($A964, 'Medical Examinations'!$A:$J, 5, FALSE)</f>
        <v>Yes</v>
      </c>
      <c r="G964" s="22" t="str">
        <f>VLOOKUP($A964, 'Medical Examinations'!$A:$I, 6, FALSE)</f>
        <v>No</v>
      </c>
      <c r="H964" s="22">
        <f>VLOOKUP($A964,'Medical Examinations'!$A:$L,10, FALSE)</f>
        <v>1</v>
      </c>
      <c r="I964" s="22" t="str">
        <f>VLOOKUP($A964, 'Medical Examinations'!$A:$J, 9, FALSE)</f>
        <v>No</v>
      </c>
      <c r="J964" s="22" t="str">
        <f>VLOOKUP($A964, 'Medical Examinations'!$A:$P, 11, FALSE)</f>
        <v>OBESITY</v>
      </c>
      <c r="K964" s="34">
        <v>22491.0</v>
      </c>
      <c r="L964" s="35">
        <f>VLOOKUP($A964, 'Hospitalisation Details'!$A:$H, 7, FALSE)</f>
        <v>11482.63</v>
      </c>
      <c r="M964" s="22" t="str">
        <f>VLOOKUP($A964, 'Hospitalisation Details'!$A:$L, 12, FALSE)</f>
        <v>tier - 3</v>
      </c>
      <c r="N964" s="22" t="str">
        <f>VLOOKUP($A964, 'Hospitalisation Details'!$A:$M, 13, FALSE)</f>
        <v>tier - 2</v>
      </c>
      <c r="O964" s="22" t="str">
        <f>VLOOKUP($A964, 'Hospitalisation Details'!$A:$N, 14, FALSE)</f>
        <v>R1013</v>
      </c>
      <c r="P964" s="36">
        <f>VLOOKUP($A964, 'Hospitalisation Details'!$A:$O, 15, FALSE)</f>
        <v>18</v>
      </c>
    </row>
    <row r="965" ht="15.75" customHeight="1">
      <c r="A965" s="33" t="s">
        <v>1929</v>
      </c>
      <c r="B965" s="22" t="str">
        <f>VLOOKUP($A965,'Customer Names'!$A:$D,3, FALSE)</f>
        <v>Brock</v>
      </c>
      <c r="C965" s="22">
        <f>VLOOKUP($A965,'Medical Examinations'!$A:$D, 2, FALSE)</f>
        <v>26.63</v>
      </c>
      <c r="D965" s="22">
        <f>VLOOKUP($A965, 'Medical Examinations'!$A:$D,3, FALSE)</f>
        <v>4.36</v>
      </c>
      <c r="E965" s="22" t="str">
        <f>VLOOKUP($A965, 'Medical Examinations'!$A:$D, 4, FALSE)</f>
        <v>Yes</v>
      </c>
      <c r="F965" s="22" t="str">
        <f>VLOOKUP($A965, 'Medical Examinations'!$A:$J, 5, FALSE)</f>
        <v>No</v>
      </c>
      <c r="G965" s="22" t="str">
        <f>VLOOKUP($A965, 'Medical Examinations'!$A:$I, 6, FALSE)</f>
        <v>No</v>
      </c>
      <c r="H965" s="22">
        <f>VLOOKUP($A965,'Medical Examinations'!$A:$L,10, FALSE)</f>
        <v>2</v>
      </c>
      <c r="I965" s="22" t="str">
        <f>VLOOKUP($A965, 'Medical Examinations'!$A:$J, 9, FALSE)</f>
        <v>No</v>
      </c>
      <c r="J965" s="22" t="str">
        <f>VLOOKUP($A965, 'Medical Examinations'!$A:$P, 11, FALSE)</f>
        <v>OVERWEIGHT</v>
      </c>
      <c r="K965" s="34">
        <v>33113.0</v>
      </c>
      <c r="L965" s="35">
        <f>VLOOKUP($A965, 'Hospitalisation Details'!$A:$H, 7, FALSE)</f>
        <v>11478.14</v>
      </c>
      <c r="M965" s="22" t="str">
        <f>VLOOKUP($A965, 'Hospitalisation Details'!$A:$L, 12, FALSE)</f>
        <v>tier - 3</v>
      </c>
      <c r="N965" s="22" t="str">
        <f>VLOOKUP($A965, 'Hospitalisation Details'!$A:$M, 13, FALSE)</f>
        <v>tier - 2</v>
      </c>
      <c r="O965" s="22" t="str">
        <f>VLOOKUP($A965, 'Hospitalisation Details'!$A:$N, 14, FALSE)</f>
        <v>R1025</v>
      </c>
      <c r="P965" s="36">
        <f>VLOOKUP($A965, 'Hospitalisation Details'!$A:$O, 15, FALSE)</f>
        <v>56</v>
      </c>
    </row>
    <row r="966" ht="15.75" customHeight="1">
      <c r="A966" s="33" t="s">
        <v>1931</v>
      </c>
      <c r="B966" s="22" t="str">
        <f>VLOOKUP($A966,'Customer Names'!$A:$D,3, FALSE)</f>
        <v>Papp</v>
      </c>
      <c r="C966" s="22">
        <f>VLOOKUP($A966,'Medical Examinations'!$A:$D, 2, FALSE)</f>
        <v>28.7</v>
      </c>
      <c r="D966" s="22">
        <f>VLOOKUP($A966, 'Medical Examinations'!$A:$D,3, FALSE)</f>
        <v>7.74</v>
      </c>
      <c r="E966" s="22" t="str">
        <f>VLOOKUP($A966, 'Medical Examinations'!$A:$D, 4, FALSE)</f>
        <v>No</v>
      </c>
      <c r="F966" s="22" t="str">
        <f>VLOOKUP($A966, 'Medical Examinations'!$A:$J, 5, FALSE)</f>
        <v>No</v>
      </c>
      <c r="G966" s="22" t="str">
        <f>VLOOKUP($A966, 'Medical Examinations'!$A:$I, 6, FALSE)</f>
        <v>No</v>
      </c>
      <c r="H966" s="22">
        <f>VLOOKUP($A966,'Medical Examinations'!$A:$L,10, FALSE)</f>
        <v>0</v>
      </c>
      <c r="I966" s="22" t="str">
        <f>VLOOKUP($A966, 'Medical Examinations'!$A:$J, 9, FALSE)</f>
        <v>No</v>
      </c>
      <c r="J966" s="22" t="str">
        <f>VLOOKUP($A966, 'Medical Examinations'!$A:$P, 11, FALSE)</f>
        <v>OVERWEIGHT</v>
      </c>
      <c r="K966" s="34">
        <v>33494.0</v>
      </c>
      <c r="L966" s="35">
        <f>VLOOKUP($A966, 'Hospitalisation Details'!$A:$H, 7, FALSE)</f>
        <v>11455.28</v>
      </c>
      <c r="M966" s="22" t="str">
        <f>VLOOKUP($A966, 'Hospitalisation Details'!$A:$L, 12, FALSE)</f>
        <v>tier - 3</v>
      </c>
      <c r="N966" s="22" t="str">
        <f>VLOOKUP($A966, 'Hospitalisation Details'!$A:$M, 13, FALSE)</f>
        <v>tier - 2</v>
      </c>
      <c r="O966" s="22" t="str">
        <f>VLOOKUP($A966, 'Hospitalisation Details'!$A:$N, 14, FALSE)</f>
        <v>R1011</v>
      </c>
      <c r="P966" s="36">
        <f>VLOOKUP($A966, 'Hospitalisation Details'!$A:$O, 15, FALSE)</f>
        <v>57</v>
      </c>
    </row>
    <row r="967" ht="15.75" customHeight="1">
      <c r="A967" s="33" t="s">
        <v>1933</v>
      </c>
      <c r="B967" s="22" t="str">
        <f>VLOOKUP($A967,'Customer Names'!$A:$D,3, FALSE)</f>
        <v>Siragusa</v>
      </c>
      <c r="C967" s="22">
        <f>VLOOKUP($A967,'Medical Examinations'!$A:$D, 2, FALSE)</f>
        <v>25.65</v>
      </c>
      <c r="D967" s="22">
        <f>VLOOKUP($A967, 'Medical Examinations'!$A:$D,3, FALSE)</f>
        <v>4.05</v>
      </c>
      <c r="E967" s="22" t="str">
        <f>VLOOKUP($A967, 'Medical Examinations'!$A:$D, 4, FALSE)</f>
        <v>Yes</v>
      </c>
      <c r="F967" s="22" t="str">
        <f>VLOOKUP($A967, 'Medical Examinations'!$A:$J, 5, FALSE)</f>
        <v>No</v>
      </c>
      <c r="G967" s="22" t="str">
        <f>VLOOKUP($A967, 'Medical Examinations'!$A:$I, 6, FALSE)</f>
        <v>No</v>
      </c>
      <c r="H967" s="22">
        <f>VLOOKUP($A967,'Medical Examinations'!$A:$L,10, FALSE)</f>
        <v>2</v>
      </c>
      <c r="I967" s="22" t="str">
        <f>VLOOKUP($A967, 'Medical Examinations'!$A:$J, 9, FALSE)</f>
        <v>No</v>
      </c>
      <c r="J967" s="22" t="str">
        <f>VLOOKUP($A967, 'Medical Examinations'!$A:$P, 11, FALSE)</f>
        <v>OVERWEIGHT</v>
      </c>
      <c r="K967" s="34">
        <v>34639.0</v>
      </c>
      <c r="L967" s="35">
        <f>VLOOKUP($A967, 'Hospitalisation Details'!$A:$H, 7, FALSE)</f>
        <v>11454.02</v>
      </c>
      <c r="M967" s="22" t="str">
        <f>VLOOKUP($A967, 'Hospitalisation Details'!$A:$L, 12, FALSE)</f>
        <v>tier - 3</v>
      </c>
      <c r="N967" s="22" t="str">
        <f>VLOOKUP($A967, 'Hospitalisation Details'!$A:$M, 13, FALSE)</f>
        <v>tier - 1</v>
      </c>
      <c r="O967" s="22" t="str">
        <f>VLOOKUP($A967, 'Hospitalisation Details'!$A:$N, 14, FALSE)</f>
        <v>R1012</v>
      </c>
      <c r="P967" s="36">
        <f>VLOOKUP($A967, 'Hospitalisation Details'!$A:$O, 15, FALSE)</f>
        <v>56</v>
      </c>
    </row>
    <row r="968" ht="15.75" customHeight="1">
      <c r="A968" s="33" t="s">
        <v>1935</v>
      </c>
      <c r="B968" s="22" t="str">
        <f>VLOOKUP($A968,'Customer Names'!$A:$D,3, FALSE)</f>
        <v>Pizarro</v>
      </c>
      <c r="C968" s="22">
        <f>VLOOKUP($A968,'Medical Examinations'!$A:$D, 2, FALSE)</f>
        <v>36.385</v>
      </c>
      <c r="D968" s="22">
        <f>VLOOKUP($A968, 'Medical Examinations'!$A:$D,3, FALSE)</f>
        <v>11.49</v>
      </c>
      <c r="E968" s="22" t="str">
        <f>VLOOKUP($A968, 'Medical Examinations'!$A:$D, 4, FALSE)</f>
        <v>No</v>
      </c>
      <c r="F968" s="22" t="str">
        <f>VLOOKUP($A968, 'Medical Examinations'!$A:$J, 5, FALSE)</f>
        <v>No</v>
      </c>
      <c r="G968" s="22" t="str">
        <f>VLOOKUP($A968, 'Medical Examinations'!$A:$I, 6, FALSE)</f>
        <v>No</v>
      </c>
      <c r="H968" s="22">
        <f>VLOOKUP($A968,'Medical Examinations'!$A:$L,10, FALSE)</f>
        <v>0</v>
      </c>
      <c r="I968" s="22" t="str">
        <f>VLOOKUP($A968, 'Medical Examinations'!$A:$J, 9, FALSE)</f>
        <v>No</v>
      </c>
      <c r="J968" s="22" t="str">
        <f>VLOOKUP($A968, 'Medical Examinations'!$A:$P, 11, FALSE)</f>
        <v>OBESITY</v>
      </c>
      <c r="K968" s="34">
        <v>33390.0</v>
      </c>
      <c r="L968" s="35">
        <f>VLOOKUP($A968, 'Hospitalisation Details'!$A:$H, 7, FALSE)</f>
        <v>11436.74</v>
      </c>
      <c r="M968" s="22" t="str">
        <f>VLOOKUP($A968, 'Hospitalisation Details'!$A:$L, 12, FALSE)</f>
        <v>tier - 3</v>
      </c>
      <c r="N968" s="22" t="str">
        <f>VLOOKUP($A968, 'Hospitalisation Details'!$A:$M, 13, FALSE)</f>
        <v>tier - 3</v>
      </c>
      <c r="O968" s="22" t="str">
        <f>VLOOKUP($A968, 'Hospitalisation Details'!$A:$N, 14, FALSE)</f>
        <v>R1012</v>
      </c>
      <c r="P968" s="36">
        <f>VLOOKUP($A968, 'Hospitalisation Details'!$A:$O, 15, FALSE)</f>
        <v>51</v>
      </c>
    </row>
    <row r="969" ht="15.75" customHeight="1">
      <c r="A969" s="33" t="s">
        <v>1937</v>
      </c>
      <c r="B969" s="22" t="str">
        <f>VLOOKUP($A969,'Customer Names'!$A:$D,3, FALSE)</f>
        <v>Strange</v>
      </c>
      <c r="C969" s="22">
        <f>VLOOKUP($A969,'Medical Examinations'!$A:$D, 2, FALSE)</f>
        <v>34.69</v>
      </c>
      <c r="D969" s="22">
        <f>VLOOKUP($A969, 'Medical Examinations'!$A:$D,3, FALSE)</f>
        <v>5.65</v>
      </c>
      <c r="E969" s="22" t="str">
        <f>VLOOKUP($A969, 'Medical Examinations'!$A:$D, 4, FALSE)</f>
        <v>No</v>
      </c>
      <c r="F969" s="22" t="str">
        <f>VLOOKUP($A969, 'Medical Examinations'!$A:$J, 5, FALSE)</f>
        <v>No</v>
      </c>
      <c r="G969" s="22" t="str">
        <f>VLOOKUP($A969, 'Medical Examinations'!$A:$I, 6, FALSE)</f>
        <v>No</v>
      </c>
      <c r="H969" s="22">
        <f>VLOOKUP($A969,'Medical Examinations'!$A:$L,10, FALSE)</f>
        <v>0</v>
      </c>
      <c r="I969" s="22" t="str">
        <f>VLOOKUP($A969, 'Medical Examinations'!$A:$J, 9, FALSE)</f>
        <v>No</v>
      </c>
      <c r="J969" s="22" t="str">
        <f>VLOOKUP($A969, 'Medical Examinations'!$A:$P, 11, FALSE)</f>
        <v>OBESITY</v>
      </c>
      <c r="K969" s="34">
        <v>34633.0</v>
      </c>
      <c r="L969" s="35">
        <f>VLOOKUP($A969, 'Hospitalisation Details'!$A:$H, 7, FALSE)</f>
        <v>11435.74</v>
      </c>
      <c r="M969" s="22" t="str">
        <f>VLOOKUP($A969, 'Hospitalisation Details'!$A:$L, 12, FALSE)</f>
        <v>tier - 3</v>
      </c>
      <c r="N969" s="22" t="str">
        <f>VLOOKUP($A969, 'Hospitalisation Details'!$A:$M, 13, FALSE)</f>
        <v>tier - 3</v>
      </c>
      <c r="O969" s="22" t="str">
        <f>VLOOKUP($A969, 'Hospitalisation Details'!$A:$N, 14, FALSE)</f>
        <v>R1021</v>
      </c>
      <c r="P969" s="36">
        <f>VLOOKUP($A969, 'Hospitalisation Details'!$A:$O, 15, FALSE)</f>
        <v>42</v>
      </c>
    </row>
    <row r="970" ht="15.75" customHeight="1">
      <c r="A970" s="33" t="s">
        <v>1939</v>
      </c>
      <c r="B970" s="22" t="str">
        <f>VLOOKUP($A970,'Customer Names'!$A:$D,3, FALSE)</f>
        <v>Eidinger</v>
      </c>
      <c r="C970" s="22">
        <f>VLOOKUP($A970,'Medical Examinations'!$A:$D, 2, FALSE)</f>
        <v>37.68</v>
      </c>
      <c r="D970" s="22">
        <f>VLOOKUP($A970, 'Medical Examinations'!$A:$D,3, FALSE)</f>
        <v>4.29</v>
      </c>
      <c r="E970" s="22" t="str">
        <f>VLOOKUP($A970, 'Medical Examinations'!$A:$D, 4, FALSE)</f>
        <v>Yes</v>
      </c>
      <c r="F970" s="22" t="str">
        <f>VLOOKUP($A970, 'Medical Examinations'!$A:$J, 5, FALSE)</f>
        <v>No</v>
      </c>
      <c r="G970" s="22" t="str">
        <f>VLOOKUP($A970, 'Medical Examinations'!$A:$I, 6, FALSE)</f>
        <v>No</v>
      </c>
      <c r="H970" s="22">
        <f>VLOOKUP($A970,'Medical Examinations'!$A:$L,10, FALSE)</f>
        <v>0</v>
      </c>
      <c r="I970" s="22" t="str">
        <f>VLOOKUP($A970, 'Medical Examinations'!$A:$J, 9, FALSE)</f>
        <v>No</v>
      </c>
      <c r="J970" s="22" t="str">
        <f>VLOOKUP($A970, 'Medical Examinations'!$A:$P, 11, FALSE)</f>
        <v>OBESITY</v>
      </c>
      <c r="K970" s="34">
        <v>34640.0</v>
      </c>
      <c r="L970" s="35">
        <f>VLOOKUP($A970, 'Hospitalisation Details'!$A:$H, 7, FALSE)</f>
        <v>11419.49</v>
      </c>
      <c r="M970" s="22" t="str">
        <f>VLOOKUP($A970, 'Hospitalisation Details'!$A:$L, 12, FALSE)</f>
        <v>tier - 3</v>
      </c>
      <c r="N970" s="22" t="str">
        <f>VLOOKUP($A970, 'Hospitalisation Details'!$A:$M, 13, FALSE)</f>
        <v>tier - 1</v>
      </c>
      <c r="O970" s="22" t="str">
        <f>VLOOKUP($A970, 'Hospitalisation Details'!$A:$N, 14, FALSE)</f>
        <v>R1012</v>
      </c>
      <c r="P970" s="36">
        <f>VLOOKUP($A970, 'Hospitalisation Details'!$A:$O, 15, FALSE)</f>
        <v>37</v>
      </c>
    </row>
    <row r="971" ht="15.75" customHeight="1">
      <c r="A971" s="33" t="s">
        <v>1941</v>
      </c>
      <c r="B971" s="22" t="str">
        <f>VLOOKUP($A971,'Customer Names'!$A:$D,3, FALSE)</f>
        <v>Ginsburg</v>
      </c>
      <c r="C971" s="22">
        <f>VLOOKUP($A971,'Medical Examinations'!$A:$D, 2, FALSE)</f>
        <v>35.49</v>
      </c>
      <c r="D971" s="22">
        <f>VLOOKUP($A971, 'Medical Examinations'!$A:$D,3, FALSE)</f>
        <v>4.74</v>
      </c>
      <c r="E971" s="22" t="str">
        <f>VLOOKUP($A971, 'Medical Examinations'!$A:$D, 4, FALSE)</f>
        <v>Yes</v>
      </c>
      <c r="F971" s="22" t="str">
        <f>VLOOKUP($A971, 'Medical Examinations'!$A:$J, 5, FALSE)</f>
        <v>No</v>
      </c>
      <c r="G971" s="22" t="str">
        <f>VLOOKUP($A971, 'Medical Examinations'!$A:$I, 6, FALSE)</f>
        <v>Yes</v>
      </c>
      <c r="H971" s="22">
        <f>VLOOKUP($A971,'Medical Examinations'!$A:$L,10, FALSE)</f>
        <v>1</v>
      </c>
      <c r="I971" s="22" t="str">
        <f>VLOOKUP($A971, 'Medical Examinations'!$A:$J, 9, FALSE)</f>
        <v>No</v>
      </c>
      <c r="J971" s="22" t="str">
        <f>VLOOKUP($A971, 'Medical Examinations'!$A:$P, 11, FALSE)</f>
        <v>OBESITY</v>
      </c>
      <c r="K971" s="34">
        <v>32496.0</v>
      </c>
      <c r="L971" s="35">
        <f>VLOOKUP($A971, 'Hospitalisation Details'!$A:$H, 7, FALSE)</f>
        <v>11412.02</v>
      </c>
      <c r="M971" s="22" t="str">
        <f>VLOOKUP($A971, 'Hospitalisation Details'!$A:$L, 12, FALSE)</f>
        <v>tier - 3</v>
      </c>
      <c r="N971" s="22" t="str">
        <f>VLOOKUP($A971, 'Hospitalisation Details'!$A:$M, 13, FALSE)</f>
        <v>tier - 1</v>
      </c>
      <c r="O971" s="22" t="str">
        <f>VLOOKUP($A971, 'Hospitalisation Details'!$A:$N, 14, FALSE)</f>
        <v>R1021</v>
      </c>
      <c r="P971" s="36">
        <f>VLOOKUP($A971, 'Hospitalisation Details'!$A:$O, 15, FALSE)</f>
        <v>39</v>
      </c>
    </row>
    <row r="972" ht="15.75" customHeight="1">
      <c r="A972" s="33" t="s">
        <v>1943</v>
      </c>
      <c r="B972" s="22" t="str">
        <f>VLOOKUP($A972,'Customer Names'!$A:$D,3, FALSE)</f>
        <v>Truex</v>
      </c>
      <c r="C972" s="22">
        <f>VLOOKUP($A972,'Medical Examinations'!$A:$D, 2, FALSE)</f>
        <v>44.7</v>
      </c>
      <c r="D972" s="22">
        <f>VLOOKUP($A972, 'Medical Examinations'!$A:$D,3, FALSE)</f>
        <v>7.6</v>
      </c>
      <c r="E972" s="22" t="str">
        <f>VLOOKUP($A972, 'Medical Examinations'!$A:$D, 4, FALSE)</f>
        <v>Yes</v>
      </c>
      <c r="F972" s="22" t="str">
        <f>VLOOKUP($A972, 'Medical Examinations'!$A:$J, 5, FALSE)</f>
        <v>No</v>
      </c>
      <c r="G972" s="22" t="str">
        <f>VLOOKUP($A972, 'Medical Examinations'!$A:$I, 6, FALSE)</f>
        <v>No</v>
      </c>
      <c r="H972" s="22">
        <f>VLOOKUP($A972,'Medical Examinations'!$A:$L,10, FALSE)</f>
        <v>2</v>
      </c>
      <c r="I972" s="22" t="str">
        <f>VLOOKUP($A972, 'Medical Examinations'!$A:$J, 9, FALSE)</f>
        <v>No</v>
      </c>
      <c r="J972" s="22" t="str">
        <f>VLOOKUP($A972, 'Medical Examinations'!$A:$P, 11, FALSE)</f>
        <v>OBESITY</v>
      </c>
      <c r="K972" s="34">
        <v>36855.0</v>
      </c>
      <c r="L972" s="35">
        <f>VLOOKUP($A972, 'Hospitalisation Details'!$A:$H, 7, FALSE)</f>
        <v>11411.69</v>
      </c>
      <c r="M972" s="22" t="str">
        <f>VLOOKUP($A972, 'Hospitalisation Details'!$A:$L, 12, FALSE)</f>
        <v>tier - 3</v>
      </c>
      <c r="N972" s="22" t="str">
        <f>VLOOKUP($A972, 'Hospitalisation Details'!$A:$M, 13, FALSE)</f>
        <v>tier - 2</v>
      </c>
      <c r="O972" s="22" t="str">
        <f>VLOOKUP($A972, 'Hospitalisation Details'!$A:$N, 14, FALSE)</f>
        <v>R1011</v>
      </c>
      <c r="P972" s="36">
        <f>VLOOKUP($A972, 'Hospitalisation Details'!$A:$O, 15, FALSE)</f>
        <v>52</v>
      </c>
    </row>
    <row r="973" ht="15.75" customHeight="1">
      <c r="A973" s="33" t="s">
        <v>1945</v>
      </c>
      <c r="B973" s="22" t="str">
        <f>VLOOKUP($A973,'Customer Names'!$A:$D,3, FALSE)</f>
        <v>Higgins</v>
      </c>
      <c r="C973" s="22">
        <f>VLOOKUP($A973,'Medical Examinations'!$A:$D, 2, FALSE)</f>
        <v>38.38</v>
      </c>
      <c r="D973" s="22">
        <f>VLOOKUP($A973, 'Medical Examinations'!$A:$D,3, FALSE)</f>
        <v>8.5</v>
      </c>
      <c r="E973" s="22" t="str">
        <f>VLOOKUP($A973, 'Medical Examinations'!$A:$D, 4, FALSE)</f>
        <v>Yes</v>
      </c>
      <c r="F973" s="22" t="str">
        <f>VLOOKUP($A973, 'Medical Examinations'!$A:$J, 5, FALSE)</f>
        <v>No</v>
      </c>
      <c r="G973" s="22" t="str">
        <f>VLOOKUP($A973, 'Medical Examinations'!$A:$I, 6, FALSE)</f>
        <v>No</v>
      </c>
      <c r="H973" s="22">
        <f>VLOOKUP($A973,'Medical Examinations'!$A:$L,10, FALSE)</f>
        <v>2</v>
      </c>
      <c r="I973" s="22" t="str">
        <f>VLOOKUP($A973, 'Medical Examinations'!$A:$J, 9, FALSE)</f>
        <v>No</v>
      </c>
      <c r="J973" s="22" t="str">
        <f>VLOOKUP($A973, 'Medical Examinations'!$A:$P, 11, FALSE)</f>
        <v>OBESITY</v>
      </c>
      <c r="K973" s="34">
        <v>37780.0</v>
      </c>
      <c r="L973" s="35">
        <f>VLOOKUP($A973, 'Hospitalisation Details'!$A:$H, 7, FALSE)</f>
        <v>11396.9</v>
      </c>
      <c r="M973" s="22" t="str">
        <f>VLOOKUP($A973, 'Hospitalisation Details'!$A:$L, 12, FALSE)</f>
        <v>tier - 3</v>
      </c>
      <c r="N973" s="22" t="str">
        <f>VLOOKUP($A973, 'Hospitalisation Details'!$A:$M, 13, FALSE)</f>
        <v>tier - 3</v>
      </c>
      <c r="O973" s="22" t="str">
        <f>VLOOKUP($A973, 'Hospitalisation Details'!$A:$N, 14, FALSE)</f>
        <v>R1024</v>
      </c>
      <c r="P973" s="36">
        <f>VLOOKUP($A973, 'Hospitalisation Details'!$A:$O, 15, FALSE)</f>
        <v>52</v>
      </c>
    </row>
    <row r="974" ht="15.75" customHeight="1">
      <c r="A974" s="33" t="s">
        <v>1947</v>
      </c>
      <c r="B974" s="22" t="str">
        <f>VLOOKUP($A974,'Customer Names'!$A:$D,3, FALSE)</f>
        <v>McCurdy</v>
      </c>
      <c r="C974" s="22">
        <f>VLOOKUP($A974,'Medical Examinations'!$A:$D, 2, FALSE)</f>
        <v>35.245</v>
      </c>
      <c r="D974" s="22">
        <f>VLOOKUP($A974, 'Medical Examinations'!$A:$D,3, FALSE)</f>
        <v>11.22</v>
      </c>
      <c r="E974" s="22" t="str">
        <f>VLOOKUP($A974, 'Medical Examinations'!$A:$D, 4, FALSE)</f>
        <v>Yes</v>
      </c>
      <c r="F974" s="22" t="str">
        <f>VLOOKUP($A974, 'Medical Examinations'!$A:$J, 5, FALSE)</f>
        <v>No</v>
      </c>
      <c r="G974" s="22" t="str">
        <f>VLOOKUP($A974, 'Medical Examinations'!$A:$I, 6, FALSE)</f>
        <v>No</v>
      </c>
      <c r="H974" s="22">
        <f>VLOOKUP($A974,'Medical Examinations'!$A:$L,10, FALSE)</f>
        <v>0</v>
      </c>
      <c r="I974" s="22" t="str">
        <f>VLOOKUP($A974, 'Medical Examinations'!$A:$J, 9, FALSE)</f>
        <v>No</v>
      </c>
      <c r="J974" s="22" t="str">
        <f>VLOOKUP($A974, 'Medical Examinations'!$A:$P, 11, FALSE)</f>
        <v>OBESITY</v>
      </c>
      <c r="K974" s="34">
        <v>33773.0</v>
      </c>
      <c r="L974" s="35">
        <f>VLOOKUP($A974, 'Hospitalisation Details'!$A:$H, 7, FALSE)</f>
        <v>11394.07</v>
      </c>
      <c r="M974" s="22" t="str">
        <f>VLOOKUP($A974, 'Hospitalisation Details'!$A:$L, 12, FALSE)</f>
        <v>tier - 3</v>
      </c>
      <c r="N974" s="22" t="str">
        <f>VLOOKUP($A974, 'Hospitalisation Details'!$A:$M, 13, FALSE)</f>
        <v>tier - 1</v>
      </c>
      <c r="O974" s="22" t="str">
        <f>VLOOKUP($A974, 'Hospitalisation Details'!$A:$N, 14, FALSE)</f>
        <v>R1018</v>
      </c>
      <c r="P974" s="36">
        <f>VLOOKUP($A974, 'Hospitalisation Details'!$A:$O, 15, FALSE)</f>
        <v>55</v>
      </c>
    </row>
    <row r="975" ht="15.75" customHeight="1">
      <c r="A975" s="33" t="s">
        <v>1949</v>
      </c>
      <c r="B975" s="22" t="str">
        <f>VLOOKUP($A975,'Customer Names'!$A:$D,3, FALSE)</f>
        <v>Hughes</v>
      </c>
      <c r="C975" s="22">
        <f>VLOOKUP($A975,'Medical Examinations'!$A:$D, 2, FALSE)</f>
        <v>49.84</v>
      </c>
      <c r="D975" s="22">
        <f>VLOOKUP($A975, 'Medical Examinations'!$A:$D,3, FALSE)</f>
        <v>5.1</v>
      </c>
      <c r="E975" s="22" t="str">
        <f>VLOOKUP($A975, 'Medical Examinations'!$A:$D, 4, FALSE)</f>
        <v>Yes</v>
      </c>
      <c r="F975" s="22" t="str">
        <f>VLOOKUP($A975, 'Medical Examinations'!$A:$J, 5, FALSE)</f>
        <v>No</v>
      </c>
      <c r="G975" s="22" t="str">
        <f>VLOOKUP($A975, 'Medical Examinations'!$A:$I, 6, FALSE)</f>
        <v>Yes</v>
      </c>
      <c r="H975" s="22">
        <f>VLOOKUP($A975,'Medical Examinations'!$A:$L,10, FALSE)</f>
        <v>1</v>
      </c>
      <c r="I975" s="22" t="str">
        <f>VLOOKUP($A975, 'Medical Examinations'!$A:$J, 9, FALSE)</f>
        <v>No</v>
      </c>
      <c r="J975" s="22" t="str">
        <f>VLOOKUP($A975, 'Medical Examinations'!$A:$P, 11, FALSE)</f>
        <v>OBESITY</v>
      </c>
      <c r="K975" s="34">
        <v>33886.0</v>
      </c>
      <c r="L975" s="35">
        <f>VLOOKUP($A975, 'Hospitalisation Details'!$A:$H, 7, FALSE)</f>
        <v>11388.27</v>
      </c>
      <c r="M975" s="22" t="str">
        <f>VLOOKUP($A975, 'Hospitalisation Details'!$A:$L, 12, FALSE)</f>
        <v>tier - 3</v>
      </c>
      <c r="N975" s="22" t="str">
        <f>VLOOKUP($A975, 'Hospitalisation Details'!$A:$M, 13, FALSE)</f>
        <v>tier - 2</v>
      </c>
      <c r="O975" s="22" t="str">
        <f>VLOOKUP($A975, 'Hospitalisation Details'!$A:$N, 14, FALSE)</f>
        <v>R1026</v>
      </c>
      <c r="P975" s="36">
        <f>VLOOKUP($A975, 'Hospitalisation Details'!$A:$O, 15, FALSE)</f>
        <v>25</v>
      </c>
    </row>
    <row r="976" ht="15.75" customHeight="1">
      <c r="A976" s="33" t="s">
        <v>1951</v>
      </c>
      <c r="B976" s="22" t="str">
        <f>VLOOKUP($A976,'Customer Names'!$A:$D,3, FALSE)</f>
        <v>Varner</v>
      </c>
      <c r="C976" s="22">
        <f>VLOOKUP($A976,'Medical Examinations'!$A:$D, 2, FALSE)</f>
        <v>49.06</v>
      </c>
      <c r="D976" s="22">
        <f>VLOOKUP($A976, 'Medical Examinations'!$A:$D,3, FALSE)</f>
        <v>5.43</v>
      </c>
      <c r="E976" s="22" t="str">
        <f>VLOOKUP($A976, 'Medical Examinations'!$A:$D, 4, FALSE)</f>
        <v>Yes</v>
      </c>
      <c r="F976" s="22" t="str">
        <f>VLOOKUP($A976, 'Medical Examinations'!$A:$J, 5, FALSE)</f>
        <v>No</v>
      </c>
      <c r="G976" s="22" t="str">
        <f>VLOOKUP($A976, 'Medical Examinations'!$A:$I, 6, FALSE)</f>
        <v>No</v>
      </c>
      <c r="H976" s="22">
        <f>VLOOKUP($A976,'Medical Examinations'!$A:$L,10, FALSE)</f>
        <v>1</v>
      </c>
      <c r="I976" s="22" t="str">
        <f>VLOOKUP($A976, 'Medical Examinations'!$A:$J, 9, FALSE)</f>
        <v>No</v>
      </c>
      <c r="J976" s="22" t="str">
        <f>VLOOKUP($A976, 'Medical Examinations'!$A:$P, 11, FALSE)</f>
        <v>OBESITY</v>
      </c>
      <c r="K976" s="34">
        <v>30640.0</v>
      </c>
      <c r="L976" s="35">
        <f>VLOOKUP($A976, 'Hospitalisation Details'!$A:$H, 7, FALSE)</f>
        <v>11381.33</v>
      </c>
      <c r="M976" s="22" t="str">
        <f>VLOOKUP($A976, 'Hospitalisation Details'!$A:$L, 12, FALSE)</f>
        <v>tier - 3</v>
      </c>
      <c r="N976" s="22" t="str">
        <f>VLOOKUP($A976, 'Hospitalisation Details'!$A:$M, 13, FALSE)</f>
        <v>tier - 2</v>
      </c>
      <c r="O976" s="22" t="str">
        <f>VLOOKUP($A976, 'Hospitalisation Details'!$A:$N, 14, FALSE)</f>
        <v>R1013</v>
      </c>
      <c r="P976" s="36">
        <f>VLOOKUP($A976, 'Hospitalisation Details'!$A:$O, 15, FALSE)</f>
        <v>58</v>
      </c>
    </row>
    <row r="977" ht="15.75" customHeight="1">
      <c r="A977" s="33" t="s">
        <v>1953</v>
      </c>
      <c r="B977" s="22" t="str">
        <f>VLOOKUP($A977,'Customer Names'!$A:$D,3, FALSE)</f>
        <v>Dahmen</v>
      </c>
      <c r="C977" s="22">
        <f>VLOOKUP($A977,'Medical Examinations'!$A:$D, 2, FALSE)</f>
        <v>30.88</v>
      </c>
      <c r="D977" s="22">
        <f>VLOOKUP($A977, 'Medical Examinations'!$A:$D,3, FALSE)</f>
        <v>5.82</v>
      </c>
      <c r="E977" s="22" t="str">
        <f>VLOOKUP($A977, 'Medical Examinations'!$A:$D, 4, FALSE)</f>
        <v>No</v>
      </c>
      <c r="F977" s="22" t="str">
        <f>VLOOKUP($A977, 'Medical Examinations'!$A:$J, 5, FALSE)</f>
        <v>No</v>
      </c>
      <c r="G977" s="22" t="str">
        <f>VLOOKUP($A977, 'Medical Examinations'!$A:$I, 6, FALSE)</f>
        <v>No</v>
      </c>
      <c r="H977" s="22">
        <f>VLOOKUP($A977,'Medical Examinations'!$A:$L,10, FALSE)</f>
        <v>2</v>
      </c>
      <c r="I977" s="22" t="str">
        <f>VLOOKUP($A977, 'Medical Examinations'!$A:$J, 9, FALSE)</f>
        <v>No</v>
      </c>
      <c r="J977" s="22" t="str">
        <f>VLOOKUP($A977, 'Medical Examinations'!$A:$P, 11, FALSE)</f>
        <v>OBESITY</v>
      </c>
      <c r="K977" s="34">
        <v>34986.0</v>
      </c>
      <c r="L977" s="35">
        <f>VLOOKUP($A977, 'Hospitalisation Details'!$A:$H, 7, FALSE)</f>
        <v>11378.57</v>
      </c>
      <c r="M977" s="22" t="str">
        <f>VLOOKUP($A977, 'Hospitalisation Details'!$A:$L, 12, FALSE)</f>
        <v>tier - 3</v>
      </c>
      <c r="N977" s="22" t="str">
        <f>VLOOKUP($A977, 'Hospitalisation Details'!$A:$M, 13, FALSE)</f>
        <v>tier - 2</v>
      </c>
      <c r="O977" s="22" t="str">
        <f>VLOOKUP($A977, 'Hospitalisation Details'!$A:$N, 14, FALSE)</f>
        <v>R1025</v>
      </c>
      <c r="P977" s="36">
        <f>VLOOKUP($A977, 'Hospitalisation Details'!$A:$O, 15, FALSE)</f>
        <v>50</v>
      </c>
    </row>
    <row r="978" ht="15.75" customHeight="1">
      <c r="A978" s="33" t="s">
        <v>1955</v>
      </c>
      <c r="B978" s="22" t="str">
        <f>VLOOKUP($A978,'Customer Names'!$A:$D,3, FALSE)</f>
        <v>Young</v>
      </c>
      <c r="C978" s="22">
        <f>VLOOKUP($A978,'Medical Examinations'!$A:$D, 2, FALSE)</f>
        <v>33.35</v>
      </c>
      <c r="D978" s="22">
        <f>VLOOKUP($A978, 'Medical Examinations'!$A:$D,3, FALSE)</f>
        <v>6.05</v>
      </c>
      <c r="E978" s="22" t="str">
        <f>VLOOKUP($A978, 'Medical Examinations'!$A:$D, 4, FALSE)</f>
        <v>No</v>
      </c>
      <c r="F978" s="22" t="str">
        <f>VLOOKUP($A978, 'Medical Examinations'!$A:$J, 5, FALSE)</f>
        <v>No</v>
      </c>
      <c r="G978" s="22" t="str">
        <f>VLOOKUP($A978, 'Medical Examinations'!$A:$I, 6, FALSE)</f>
        <v>Yes</v>
      </c>
      <c r="H978" s="22">
        <f>VLOOKUP($A978,'Medical Examinations'!$A:$L,10, FALSE)</f>
        <v>1</v>
      </c>
      <c r="I978" s="22" t="str">
        <f>VLOOKUP($A978, 'Medical Examinations'!$A:$J, 9, FALSE)</f>
        <v>No</v>
      </c>
      <c r="J978" s="22" t="str">
        <f>VLOOKUP($A978, 'Medical Examinations'!$A:$P, 11, FALSE)</f>
        <v>OBESITY</v>
      </c>
      <c r="K978" s="34">
        <v>30118.0</v>
      </c>
      <c r="L978" s="35">
        <f>VLOOKUP($A978, 'Hospitalisation Details'!$A:$H, 7, FALSE)</f>
        <v>11369.39</v>
      </c>
      <c r="M978" s="22" t="str">
        <f>VLOOKUP($A978, 'Hospitalisation Details'!$A:$L, 12, FALSE)</f>
        <v>tier - 3</v>
      </c>
      <c r="N978" s="22" t="str">
        <f>VLOOKUP($A978, 'Hospitalisation Details'!$A:$M, 13, FALSE)</f>
        <v>tier - 1</v>
      </c>
      <c r="O978" s="22" t="str">
        <f>VLOOKUP($A978, 'Hospitalisation Details'!$A:$N, 14, FALSE)</f>
        <v>R1026</v>
      </c>
      <c r="P978" s="36">
        <f>VLOOKUP($A978, 'Hospitalisation Details'!$A:$O, 15, FALSE)</f>
        <v>44</v>
      </c>
    </row>
    <row r="979" ht="15.75" customHeight="1">
      <c r="A979" s="33" t="s">
        <v>1957</v>
      </c>
      <c r="B979" s="22" t="str">
        <f>VLOOKUP($A979,'Customer Names'!$A:$D,3, FALSE)</f>
        <v>Fraser</v>
      </c>
      <c r="C979" s="22">
        <f>VLOOKUP($A979,'Medical Examinations'!$A:$D, 2, FALSE)</f>
        <v>38</v>
      </c>
      <c r="D979" s="22">
        <f>VLOOKUP($A979, 'Medical Examinations'!$A:$D,3, FALSE)</f>
        <v>6.38</v>
      </c>
      <c r="E979" s="22" t="str">
        <f>VLOOKUP($A979, 'Medical Examinations'!$A:$D, 4, FALSE)</f>
        <v>Yes</v>
      </c>
      <c r="F979" s="22" t="str">
        <f>VLOOKUP($A979, 'Medical Examinations'!$A:$J, 5, FALSE)</f>
        <v>No</v>
      </c>
      <c r="G979" s="22" t="str">
        <f>VLOOKUP($A979, 'Medical Examinations'!$A:$I, 6, FALSE)</f>
        <v>No</v>
      </c>
      <c r="H979" s="22">
        <f>VLOOKUP($A979,'Medical Examinations'!$A:$L,10, FALSE)</f>
        <v>1</v>
      </c>
      <c r="I979" s="22" t="str">
        <f>VLOOKUP($A979, 'Medical Examinations'!$A:$J, 9, FALSE)</f>
        <v>No</v>
      </c>
      <c r="J979" s="22" t="str">
        <f>VLOOKUP($A979, 'Medical Examinations'!$A:$P, 11, FALSE)</f>
        <v>OBESITY</v>
      </c>
      <c r="K979" s="34">
        <v>33573.0</v>
      </c>
      <c r="L979" s="35">
        <f>VLOOKUP($A979, 'Hospitalisation Details'!$A:$H, 7, FALSE)</f>
        <v>11365.95</v>
      </c>
      <c r="M979" s="22" t="str">
        <f>VLOOKUP($A979, 'Hospitalisation Details'!$A:$L, 12, FALSE)</f>
        <v>tier - 3</v>
      </c>
      <c r="N979" s="22" t="str">
        <f>VLOOKUP($A979, 'Hospitalisation Details'!$A:$M, 13, FALSE)</f>
        <v>tier - 2</v>
      </c>
      <c r="O979" s="22" t="str">
        <f>VLOOKUP($A979, 'Hospitalisation Details'!$A:$N, 14, FALSE)</f>
        <v>R1011</v>
      </c>
      <c r="P979" s="36">
        <f>VLOOKUP($A979, 'Hospitalisation Details'!$A:$O, 15, FALSE)</f>
        <v>58</v>
      </c>
    </row>
    <row r="980" ht="15.75" customHeight="1">
      <c r="A980" s="33" t="s">
        <v>1959</v>
      </c>
      <c r="B980" s="22" t="str">
        <f>VLOOKUP($A980,'Customer Names'!$A:$D,3, FALSE)</f>
        <v>Deeg</v>
      </c>
      <c r="C980" s="22">
        <f>VLOOKUP($A980,'Medical Examinations'!$A:$D, 2, FALSE)</f>
        <v>36.08</v>
      </c>
      <c r="D980" s="22">
        <f>VLOOKUP($A980, 'Medical Examinations'!$A:$D,3, FALSE)</f>
        <v>5.73</v>
      </c>
      <c r="E980" s="22" t="str">
        <f>VLOOKUP($A980, 'Medical Examinations'!$A:$D, 4, FALSE)</f>
        <v>Yes</v>
      </c>
      <c r="F980" s="22" t="str">
        <f>VLOOKUP($A980, 'Medical Examinations'!$A:$J, 5, FALSE)</f>
        <v>No</v>
      </c>
      <c r="G980" s="22" t="str">
        <f>VLOOKUP($A980, 'Medical Examinations'!$A:$I, 6, FALSE)</f>
        <v>No</v>
      </c>
      <c r="H980" s="22">
        <f>VLOOKUP($A980,'Medical Examinations'!$A:$L,10, FALSE)</f>
        <v>1</v>
      </c>
      <c r="I980" s="22" t="str">
        <f>VLOOKUP($A980, 'Medical Examinations'!$A:$J, 9, FALSE)</f>
        <v>No</v>
      </c>
      <c r="J980" s="22" t="str">
        <f>VLOOKUP($A980, 'Medical Examinations'!$A:$P, 11, FALSE)</f>
        <v>OBESITY</v>
      </c>
      <c r="K980" s="34">
        <v>33545.0</v>
      </c>
      <c r="L980" s="35">
        <f>VLOOKUP($A980, 'Hospitalisation Details'!$A:$H, 7, FALSE)</f>
        <v>11363.28</v>
      </c>
      <c r="M980" s="22" t="str">
        <f>VLOOKUP($A980, 'Hospitalisation Details'!$A:$L, 12, FALSE)</f>
        <v>tier - 3</v>
      </c>
      <c r="N980" s="22" t="str">
        <f>VLOOKUP($A980, 'Hospitalisation Details'!$A:$M, 13, FALSE)</f>
        <v>tier - 1</v>
      </c>
      <c r="O980" s="22" t="str">
        <f>VLOOKUP($A980, 'Hospitalisation Details'!$A:$N, 14, FALSE)</f>
        <v>R1013</v>
      </c>
      <c r="P980" s="36">
        <f>VLOOKUP($A980, 'Hospitalisation Details'!$A:$O, 15, FALSE)</f>
        <v>58</v>
      </c>
    </row>
    <row r="981" ht="15.75" customHeight="1">
      <c r="A981" s="33" t="s">
        <v>1961</v>
      </c>
      <c r="B981" s="22" t="str">
        <f>VLOOKUP($A981,'Customer Names'!$A:$D,3, FALSE)</f>
        <v>Robertson</v>
      </c>
      <c r="C981" s="22">
        <f>VLOOKUP($A981,'Medical Examinations'!$A:$D, 2, FALSE)</f>
        <v>35.7</v>
      </c>
      <c r="D981" s="22">
        <f>VLOOKUP($A981, 'Medical Examinations'!$A:$D,3, FALSE)</f>
        <v>5.47</v>
      </c>
      <c r="E981" s="22" t="str">
        <f>VLOOKUP($A981, 'Medical Examinations'!$A:$D, 4, FALSE)</f>
        <v>Yes</v>
      </c>
      <c r="F981" s="22" t="str">
        <f>VLOOKUP($A981, 'Medical Examinations'!$A:$J, 5, FALSE)</f>
        <v>No</v>
      </c>
      <c r="G981" s="22" t="str">
        <f>VLOOKUP($A981, 'Medical Examinations'!$A:$I, 6, FALSE)</f>
        <v>No</v>
      </c>
      <c r="H981" s="22">
        <f>VLOOKUP($A981,'Medical Examinations'!$A:$L,10, FALSE)</f>
        <v>1</v>
      </c>
      <c r="I981" s="22" t="str">
        <f>VLOOKUP($A981, 'Medical Examinations'!$A:$J, 9, FALSE)</f>
        <v>No</v>
      </c>
      <c r="J981" s="22" t="str">
        <f>VLOOKUP($A981, 'Medical Examinations'!$A:$P, 11, FALSE)</f>
        <v>OBESITY</v>
      </c>
      <c r="K981" s="34">
        <v>33782.0</v>
      </c>
      <c r="L981" s="35">
        <f>VLOOKUP($A981, 'Hospitalisation Details'!$A:$H, 7, FALSE)</f>
        <v>11362.76</v>
      </c>
      <c r="M981" s="22" t="str">
        <f>VLOOKUP($A981, 'Hospitalisation Details'!$A:$L, 12, FALSE)</f>
        <v>tier - 3</v>
      </c>
      <c r="N981" s="22" t="str">
        <f>VLOOKUP($A981, 'Hospitalisation Details'!$A:$M, 13, FALSE)</f>
        <v>tier - 1</v>
      </c>
      <c r="O981" s="22" t="str">
        <f>VLOOKUP($A981, 'Hospitalisation Details'!$A:$N, 14, FALSE)</f>
        <v>R1011</v>
      </c>
      <c r="P981" s="36">
        <f>VLOOKUP($A981, 'Hospitalisation Details'!$A:$O, 15, FALSE)</f>
        <v>58</v>
      </c>
    </row>
    <row r="982" ht="15.75" customHeight="1">
      <c r="A982" s="33" t="s">
        <v>1963</v>
      </c>
      <c r="B982" s="22" t="str">
        <f>VLOOKUP($A982,'Customer Names'!$A:$D,3, FALSE)</f>
        <v>Peck</v>
      </c>
      <c r="C982" s="22">
        <f>VLOOKUP($A982,'Medical Examinations'!$A:$D, 2, FALSE)</f>
        <v>34.01</v>
      </c>
      <c r="D982" s="22">
        <f>VLOOKUP($A982, 'Medical Examinations'!$A:$D,3, FALSE)</f>
        <v>11.3</v>
      </c>
      <c r="E982" s="22" t="str">
        <f>VLOOKUP($A982, 'Medical Examinations'!$A:$D, 4, FALSE)</f>
        <v>No</v>
      </c>
      <c r="F982" s="22" t="str">
        <f>VLOOKUP($A982, 'Medical Examinations'!$A:$J, 5, FALSE)</f>
        <v>No</v>
      </c>
      <c r="G982" s="22" t="str">
        <f>VLOOKUP($A982, 'Medical Examinations'!$A:$I, 6, FALSE)</f>
        <v>No</v>
      </c>
      <c r="H982" s="22">
        <f>VLOOKUP($A982,'Medical Examinations'!$A:$L,10, FALSE)</f>
        <v>0</v>
      </c>
      <c r="I982" s="22" t="str">
        <f>VLOOKUP($A982, 'Medical Examinations'!$A:$J, 9, FALSE)</f>
        <v>No</v>
      </c>
      <c r="J982" s="22" t="str">
        <f>VLOOKUP($A982, 'Medical Examinations'!$A:$P, 11, FALSE)</f>
        <v>OBESITY</v>
      </c>
      <c r="K982" s="34">
        <v>36143.0</v>
      </c>
      <c r="L982" s="35">
        <f>VLOOKUP($A982, 'Hospitalisation Details'!$A:$H, 7, FALSE)</f>
        <v>11356.66</v>
      </c>
      <c r="M982" s="22" t="str">
        <f>VLOOKUP($A982, 'Hospitalisation Details'!$A:$L, 12, FALSE)</f>
        <v>tier - 3</v>
      </c>
      <c r="N982" s="22" t="str">
        <f>VLOOKUP($A982, 'Hospitalisation Details'!$A:$M, 13, FALSE)</f>
        <v>tier - 3</v>
      </c>
      <c r="O982" s="22" t="str">
        <f>VLOOKUP($A982, 'Hospitalisation Details'!$A:$N, 14, FALSE)</f>
        <v>R1012</v>
      </c>
      <c r="P982" s="36">
        <f>VLOOKUP($A982, 'Hospitalisation Details'!$A:$O, 15, FALSE)</f>
        <v>57</v>
      </c>
    </row>
    <row r="983" ht="15.75" customHeight="1">
      <c r="A983" s="33" t="s">
        <v>1965</v>
      </c>
      <c r="B983" s="22" t="str">
        <f>VLOOKUP($A983,'Customer Names'!$A:$D,3, FALSE)</f>
        <v>Burger</v>
      </c>
      <c r="C983" s="22">
        <f>VLOOKUP($A983,'Medical Examinations'!$A:$D, 2, FALSE)</f>
        <v>31.54</v>
      </c>
      <c r="D983" s="22">
        <f>VLOOKUP($A983, 'Medical Examinations'!$A:$D,3, FALSE)</f>
        <v>6.72</v>
      </c>
      <c r="E983" s="22" t="str">
        <f>VLOOKUP($A983, 'Medical Examinations'!$A:$D, 4, FALSE)</f>
        <v>No</v>
      </c>
      <c r="F983" s="22" t="str">
        <f>VLOOKUP($A983, 'Medical Examinations'!$A:$J, 5, FALSE)</f>
        <v>No</v>
      </c>
      <c r="G983" s="22" t="str">
        <f>VLOOKUP($A983, 'Medical Examinations'!$A:$I, 6, FALSE)</f>
        <v>No</v>
      </c>
      <c r="H983" s="22">
        <f>VLOOKUP($A983,'Medical Examinations'!$A:$L,10, FALSE)</f>
        <v>0</v>
      </c>
      <c r="I983" s="22" t="str">
        <f>VLOOKUP($A983, 'Medical Examinations'!$A:$J, 9, FALSE)</f>
        <v>No</v>
      </c>
      <c r="J983" s="22" t="str">
        <f>VLOOKUP($A983, 'Medical Examinations'!$A:$P, 11, FALSE)</f>
        <v>OBESITY</v>
      </c>
      <c r="K983" s="34">
        <v>35679.0</v>
      </c>
      <c r="L983" s="35">
        <f>VLOOKUP($A983, 'Hospitalisation Details'!$A:$H, 7, FALSE)</f>
        <v>11353.23</v>
      </c>
      <c r="M983" s="22" t="str">
        <f>VLOOKUP($A983, 'Hospitalisation Details'!$A:$L, 12, FALSE)</f>
        <v>tier - 3</v>
      </c>
      <c r="N983" s="22" t="str">
        <f>VLOOKUP($A983, 'Hospitalisation Details'!$A:$M, 13, FALSE)</f>
        <v>tier - 1</v>
      </c>
      <c r="O983" s="22" t="str">
        <f>VLOOKUP($A983, 'Hospitalisation Details'!$A:$N, 14, FALSE)</f>
        <v>R1012</v>
      </c>
      <c r="P983" s="36">
        <f>VLOOKUP($A983, 'Hospitalisation Details'!$A:$O, 15, FALSE)</f>
        <v>57</v>
      </c>
    </row>
    <row r="984" ht="15.75" customHeight="1">
      <c r="A984" s="33" t="s">
        <v>1967</v>
      </c>
      <c r="B984" s="22" t="str">
        <f>VLOOKUP($A984,'Customer Names'!$A:$D,3, FALSE)</f>
        <v>Blain</v>
      </c>
      <c r="C984" s="22">
        <f>VLOOKUP($A984,'Medical Examinations'!$A:$D, 2, FALSE)</f>
        <v>23.3</v>
      </c>
      <c r="D984" s="22">
        <f>VLOOKUP($A984, 'Medical Examinations'!$A:$D,3, FALSE)</f>
        <v>5.36</v>
      </c>
      <c r="E984" s="22" t="str">
        <f>VLOOKUP($A984, 'Medical Examinations'!$A:$D, 4, FALSE)</f>
        <v>Yes</v>
      </c>
      <c r="F984" s="22" t="str">
        <f>VLOOKUP($A984, 'Medical Examinations'!$A:$J, 5, FALSE)</f>
        <v>No</v>
      </c>
      <c r="G984" s="22" t="str">
        <f>VLOOKUP($A984, 'Medical Examinations'!$A:$I, 6, FALSE)</f>
        <v>No</v>
      </c>
      <c r="H984" s="22">
        <f>VLOOKUP($A984,'Medical Examinations'!$A:$L,10, FALSE)</f>
        <v>1</v>
      </c>
      <c r="I984" s="22" t="str">
        <f>VLOOKUP($A984, 'Medical Examinations'!$A:$J, 9, FALSE)</f>
        <v>No</v>
      </c>
      <c r="J984" s="22" t="str">
        <f>VLOOKUP($A984, 'Medical Examinations'!$A:$P, 11, FALSE)</f>
        <v>NORMAL WEIGHT</v>
      </c>
      <c r="K984" s="34">
        <v>34975.0</v>
      </c>
      <c r="L984" s="35">
        <f>VLOOKUP($A984, 'Hospitalisation Details'!$A:$H, 7, FALSE)</f>
        <v>11345.52</v>
      </c>
      <c r="M984" s="22" t="str">
        <f>VLOOKUP($A984, 'Hospitalisation Details'!$A:$L, 12, FALSE)</f>
        <v>tier - 3</v>
      </c>
      <c r="N984" s="22" t="str">
        <f>VLOOKUP($A984, 'Hospitalisation Details'!$A:$M, 13, FALSE)</f>
        <v>tier - 3</v>
      </c>
      <c r="O984" s="22" t="str">
        <f>VLOOKUP($A984, 'Hospitalisation Details'!$A:$N, 14, FALSE)</f>
        <v>R1011</v>
      </c>
      <c r="P984" s="36">
        <f>VLOOKUP($A984, 'Hospitalisation Details'!$A:$O, 15, FALSE)</f>
        <v>58</v>
      </c>
    </row>
    <row r="985" ht="15.75" customHeight="1">
      <c r="A985" s="33" t="s">
        <v>1969</v>
      </c>
      <c r="B985" s="22" t="str">
        <f>VLOOKUP($A985,'Customer Names'!$A:$D,3, FALSE)</f>
        <v>Winters</v>
      </c>
      <c r="C985" s="22">
        <f>VLOOKUP($A985,'Medical Examinations'!$A:$D, 2, FALSE)</f>
        <v>27.75</v>
      </c>
      <c r="D985" s="22">
        <f>VLOOKUP($A985, 'Medical Examinations'!$A:$D,3, FALSE)</f>
        <v>9.88</v>
      </c>
      <c r="E985" s="22" t="str">
        <f>VLOOKUP($A985, 'Medical Examinations'!$A:$D, 4, FALSE)</f>
        <v>No</v>
      </c>
      <c r="F985" s="22" t="str">
        <f>VLOOKUP($A985, 'Medical Examinations'!$A:$J, 5, FALSE)</f>
        <v>No</v>
      </c>
      <c r="G985" s="22" t="str">
        <f>VLOOKUP($A985, 'Medical Examinations'!$A:$I, 6, FALSE)</f>
        <v>No</v>
      </c>
      <c r="H985" s="22">
        <f>VLOOKUP($A985,'Medical Examinations'!$A:$L,10, FALSE)</f>
        <v>0</v>
      </c>
      <c r="I985" s="22" t="str">
        <f>VLOOKUP($A985, 'Medical Examinations'!$A:$J, 9, FALSE)</f>
        <v>No</v>
      </c>
      <c r="J985" s="22" t="str">
        <f>VLOOKUP($A985, 'Medical Examinations'!$A:$P, 11, FALSE)</f>
        <v>OVERWEIGHT</v>
      </c>
      <c r="K985" s="34">
        <v>32684.0</v>
      </c>
      <c r="L985" s="35">
        <f>VLOOKUP($A985, 'Hospitalisation Details'!$A:$H, 7, FALSE)</f>
        <v>11344.32</v>
      </c>
      <c r="M985" s="22" t="str">
        <f>VLOOKUP($A985, 'Hospitalisation Details'!$A:$L, 12, FALSE)</f>
        <v>tier - 3</v>
      </c>
      <c r="N985" s="22" t="str">
        <f>VLOOKUP($A985, 'Hospitalisation Details'!$A:$M, 13, FALSE)</f>
        <v>tier - 2</v>
      </c>
      <c r="O985" s="22" t="str">
        <f>VLOOKUP($A985, 'Hospitalisation Details'!$A:$N, 14, FALSE)</f>
        <v>R1025</v>
      </c>
      <c r="P985" s="36">
        <f>VLOOKUP($A985, 'Hospitalisation Details'!$A:$O, 15, FALSE)</f>
        <v>54</v>
      </c>
    </row>
    <row r="986" ht="15.75" customHeight="1">
      <c r="A986" s="33" t="s">
        <v>1971</v>
      </c>
      <c r="B986" s="22" t="str">
        <f>VLOOKUP($A986,'Customer Names'!$A:$D,3, FALSE)</f>
        <v>McCue</v>
      </c>
      <c r="C986" s="22">
        <f>VLOOKUP($A986,'Medical Examinations'!$A:$D, 2, FALSE)</f>
        <v>42.46</v>
      </c>
      <c r="D986" s="22">
        <f>VLOOKUP($A986, 'Medical Examinations'!$A:$D,3, FALSE)</f>
        <v>4.11</v>
      </c>
      <c r="E986" s="22" t="str">
        <f>VLOOKUP($A986, 'Medical Examinations'!$A:$D, 4, FALSE)</f>
        <v>No</v>
      </c>
      <c r="F986" s="22" t="str">
        <f>VLOOKUP($A986, 'Medical Examinations'!$A:$J, 5, FALSE)</f>
        <v>No</v>
      </c>
      <c r="G986" s="22" t="str">
        <f>VLOOKUP($A986, 'Medical Examinations'!$A:$I, 6, FALSE)</f>
        <v>No</v>
      </c>
      <c r="H986" s="22">
        <f>VLOOKUP($A986,'Medical Examinations'!$A:$L,10, FALSE)</f>
        <v>0</v>
      </c>
      <c r="I986" s="22" t="str">
        <f>VLOOKUP($A986, 'Medical Examinations'!$A:$J, 9, FALSE)</f>
        <v>No</v>
      </c>
      <c r="J986" s="22" t="str">
        <f>VLOOKUP($A986, 'Medical Examinations'!$A:$P, 11, FALSE)</f>
        <v>OBESITY</v>
      </c>
      <c r="K986" s="34">
        <v>26885.0</v>
      </c>
      <c r="L986" s="35">
        <f>VLOOKUP($A986, 'Hospitalisation Details'!$A:$H, 7, FALSE)</f>
        <v>11326.71</v>
      </c>
      <c r="M986" s="22" t="str">
        <f>VLOOKUP($A986, 'Hospitalisation Details'!$A:$L, 12, FALSE)</f>
        <v>tier - 3</v>
      </c>
      <c r="N986" s="22" t="str">
        <f>VLOOKUP($A986, 'Hospitalisation Details'!$A:$M, 13, FALSE)</f>
        <v>tier - 3</v>
      </c>
      <c r="O986" s="22" t="str">
        <f>VLOOKUP($A986, 'Hospitalisation Details'!$A:$N, 14, FALSE)</f>
        <v>R1013</v>
      </c>
      <c r="P986" s="36">
        <f>VLOOKUP($A986, 'Hospitalisation Details'!$A:$O, 15, FALSE)</f>
        <v>33</v>
      </c>
    </row>
    <row r="987" ht="15.75" customHeight="1">
      <c r="A987" s="33" t="s">
        <v>1973</v>
      </c>
      <c r="B987" s="22" t="str">
        <f>VLOOKUP($A987,'Customer Names'!$A:$D,3, FALSE)</f>
        <v>Webster</v>
      </c>
      <c r="C987" s="22">
        <f>VLOOKUP($A987,'Medical Examinations'!$A:$D, 2, FALSE)</f>
        <v>54.47</v>
      </c>
      <c r="D987" s="22">
        <f>VLOOKUP($A987, 'Medical Examinations'!$A:$D,3, FALSE)</f>
        <v>7.48</v>
      </c>
      <c r="E987" s="22" t="str">
        <f>VLOOKUP($A987, 'Medical Examinations'!$A:$D, 4, FALSE)</f>
        <v>No</v>
      </c>
      <c r="F987" s="22" t="str">
        <f>VLOOKUP($A987, 'Medical Examinations'!$A:$J, 5, FALSE)</f>
        <v>No</v>
      </c>
      <c r="G987" s="22" t="str">
        <f>VLOOKUP($A987, 'Medical Examinations'!$A:$I, 6, FALSE)</f>
        <v>No</v>
      </c>
      <c r="H987" s="22">
        <f>VLOOKUP($A987,'Medical Examinations'!$A:$L,10, FALSE)</f>
        <v>0</v>
      </c>
      <c r="I987" s="22" t="str">
        <f>VLOOKUP($A987, 'Medical Examinations'!$A:$J, 9, FALSE)</f>
        <v>No</v>
      </c>
      <c r="J987" s="22" t="str">
        <f>VLOOKUP($A987, 'Medical Examinations'!$A:$P, 11, FALSE)</f>
        <v>OBESITY</v>
      </c>
      <c r="K987" s="34">
        <v>30941.0</v>
      </c>
      <c r="L987" s="35">
        <f>VLOOKUP($A987, 'Hospitalisation Details'!$A:$H, 7, FALSE)</f>
        <v>11321.49</v>
      </c>
      <c r="M987" s="22" t="str">
        <f>VLOOKUP($A987, 'Hospitalisation Details'!$A:$L, 12, FALSE)</f>
        <v>tier - 3</v>
      </c>
      <c r="N987" s="22" t="str">
        <f>VLOOKUP($A987, 'Hospitalisation Details'!$A:$M, 13, FALSE)</f>
        <v>tier - 3</v>
      </c>
      <c r="O987" s="22" t="str">
        <f>VLOOKUP($A987, 'Hospitalisation Details'!$A:$N, 14, FALSE)</f>
        <v>R1012</v>
      </c>
      <c r="P987" s="36">
        <f>VLOOKUP($A987, 'Hospitalisation Details'!$A:$O, 15, FALSE)</f>
        <v>20</v>
      </c>
    </row>
    <row r="988" ht="15.75" customHeight="1">
      <c r="A988" s="33" t="s">
        <v>1975</v>
      </c>
      <c r="B988" s="22" t="str">
        <f>VLOOKUP($A988,'Customer Names'!$A:$D,3, FALSE)</f>
        <v>Anderson</v>
      </c>
      <c r="C988" s="22">
        <f>VLOOKUP($A988,'Medical Examinations'!$A:$D, 2, FALSE)</f>
        <v>24.93</v>
      </c>
      <c r="D988" s="22">
        <f>VLOOKUP($A988, 'Medical Examinations'!$A:$D,3, FALSE)</f>
        <v>9.18</v>
      </c>
      <c r="E988" s="22" t="str">
        <f>VLOOKUP($A988, 'Medical Examinations'!$A:$D, 4, FALSE)</f>
        <v>Yes</v>
      </c>
      <c r="F988" s="22" t="str">
        <f>VLOOKUP($A988, 'Medical Examinations'!$A:$J, 5, FALSE)</f>
        <v>No</v>
      </c>
      <c r="G988" s="22" t="str">
        <f>VLOOKUP($A988, 'Medical Examinations'!$A:$I, 6, FALSE)</f>
        <v>Yes</v>
      </c>
      <c r="H988" s="22">
        <f>VLOOKUP($A988,'Medical Examinations'!$A:$L,10, FALSE)</f>
        <v>1</v>
      </c>
      <c r="I988" s="22" t="str">
        <f>VLOOKUP($A988, 'Medical Examinations'!$A:$J, 9, FALSE)</f>
        <v>No</v>
      </c>
      <c r="J988" s="22" t="str">
        <f>VLOOKUP($A988, 'Medical Examinations'!$A:$P, 11, FALSE)</f>
        <v>NORMAL WEIGHT</v>
      </c>
      <c r="K988" s="34">
        <v>36125.0</v>
      </c>
      <c r="L988" s="35">
        <f>VLOOKUP($A988, 'Hospitalisation Details'!$A:$H, 7, FALSE)</f>
        <v>11319.12</v>
      </c>
      <c r="M988" s="22" t="str">
        <f>VLOOKUP($A988, 'Hospitalisation Details'!$A:$L, 12, FALSE)</f>
        <v>tier - 3</v>
      </c>
      <c r="N988" s="22" t="str">
        <f>VLOOKUP($A988, 'Hospitalisation Details'!$A:$M, 13, FALSE)</f>
        <v>tier - 1</v>
      </c>
      <c r="O988" s="22" t="str">
        <f>VLOOKUP($A988, 'Hospitalisation Details'!$A:$N, 14, FALSE)</f>
        <v>R1012</v>
      </c>
      <c r="P988" s="36">
        <f>VLOOKUP($A988, 'Hospitalisation Details'!$A:$O, 15, FALSE)</f>
        <v>59</v>
      </c>
    </row>
    <row r="989" ht="15.75" customHeight="1">
      <c r="A989" s="33" t="s">
        <v>1977</v>
      </c>
      <c r="B989" s="22" t="str">
        <f>VLOOKUP($A989,'Customer Names'!$A:$D,3, FALSE)</f>
        <v>Chiappone</v>
      </c>
      <c r="C989" s="22">
        <f>VLOOKUP($A989,'Medical Examinations'!$A:$D, 2, FALSE)</f>
        <v>48.12</v>
      </c>
      <c r="D989" s="22">
        <f>VLOOKUP($A989, 'Medical Examinations'!$A:$D,3, FALSE)</f>
        <v>4.51</v>
      </c>
      <c r="E989" s="22" t="str">
        <f>VLOOKUP($A989, 'Medical Examinations'!$A:$D, 4, FALSE)</f>
        <v>Yes</v>
      </c>
      <c r="F989" s="22" t="str">
        <f>VLOOKUP($A989, 'Medical Examinations'!$A:$J, 5, FALSE)</f>
        <v>No</v>
      </c>
      <c r="G989" s="22" t="str">
        <f>VLOOKUP($A989, 'Medical Examinations'!$A:$I, 6, FALSE)</f>
        <v>No</v>
      </c>
      <c r="H989" s="22">
        <f>VLOOKUP($A989,'Medical Examinations'!$A:$L,10, FALSE)</f>
        <v>1</v>
      </c>
      <c r="I989" s="22" t="str">
        <f>VLOOKUP($A989, 'Medical Examinations'!$A:$J, 9, FALSE)</f>
        <v>No</v>
      </c>
      <c r="J989" s="22" t="str">
        <f>VLOOKUP($A989, 'Medical Examinations'!$A:$P, 11, FALSE)</f>
        <v>OBESITY</v>
      </c>
      <c r="K989" s="34">
        <v>33820.0</v>
      </c>
      <c r="L989" s="35">
        <f>VLOOKUP($A989, 'Hospitalisation Details'!$A:$H, 7, FALSE)</f>
        <v>11318.57</v>
      </c>
      <c r="M989" s="22" t="str">
        <f>VLOOKUP($A989, 'Hospitalisation Details'!$A:$L, 12, FALSE)</f>
        <v>tier - 3</v>
      </c>
      <c r="N989" s="22" t="str">
        <f>VLOOKUP($A989, 'Hospitalisation Details'!$A:$M, 13, FALSE)</f>
        <v>tier - 2</v>
      </c>
      <c r="O989" s="22" t="str">
        <f>VLOOKUP($A989, 'Hospitalisation Details'!$A:$N, 14, FALSE)</f>
        <v>R1026</v>
      </c>
      <c r="P989" s="36">
        <f>VLOOKUP($A989, 'Hospitalisation Details'!$A:$O, 15, FALSE)</f>
        <v>27</v>
      </c>
    </row>
    <row r="990" ht="15.75" customHeight="1">
      <c r="A990" s="33" t="s">
        <v>1979</v>
      </c>
      <c r="B990" s="22" t="str">
        <f>VLOOKUP($A990,'Customer Names'!$A:$D,3, FALSE)</f>
        <v>Opie</v>
      </c>
      <c r="C990" s="22">
        <f>VLOOKUP($A990,'Medical Examinations'!$A:$D, 2, FALSE)</f>
        <v>24.91</v>
      </c>
      <c r="D990" s="22">
        <f>VLOOKUP($A990, 'Medical Examinations'!$A:$D,3, FALSE)</f>
        <v>7.33</v>
      </c>
      <c r="E990" s="22" t="str">
        <f>VLOOKUP($A990, 'Medical Examinations'!$A:$D, 4, FALSE)</f>
        <v>Yes</v>
      </c>
      <c r="F990" s="22" t="str">
        <f>VLOOKUP($A990, 'Medical Examinations'!$A:$J, 5, FALSE)</f>
        <v>No</v>
      </c>
      <c r="G990" s="22" t="str">
        <f>VLOOKUP($A990, 'Medical Examinations'!$A:$I, 6, FALSE)</f>
        <v>Yes</v>
      </c>
      <c r="H990" s="22">
        <f>VLOOKUP($A990,'Medical Examinations'!$A:$L,10, FALSE)</f>
        <v>1</v>
      </c>
      <c r="I990" s="22" t="str">
        <f>VLOOKUP($A990, 'Medical Examinations'!$A:$J, 9, FALSE)</f>
        <v>No</v>
      </c>
      <c r="J990" s="22" t="str">
        <f>VLOOKUP($A990, 'Medical Examinations'!$A:$P, 11, FALSE)</f>
        <v>NORMAL WEIGHT</v>
      </c>
      <c r="K990" s="34">
        <v>33783.0</v>
      </c>
      <c r="L990" s="35">
        <f>VLOOKUP($A990, 'Hospitalisation Details'!$A:$H, 7, FALSE)</f>
        <v>11312.33</v>
      </c>
      <c r="M990" s="22" t="str">
        <f>VLOOKUP($A990, 'Hospitalisation Details'!$A:$L, 12, FALSE)</f>
        <v>tier - 3</v>
      </c>
      <c r="N990" s="22" t="str">
        <f>VLOOKUP($A990, 'Hospitalisation Details'!$A:$M, 13, FALSE)</f>
        <v>tier - 3</v>
      </c>
      <c r="O990" s="22" t="str">
        <f>VLOOKUP($A990, 'Hospitalisation Details'!$A:$N, 14, FALSE)</f>
        <v>R1012</v>
      </c>
      <c r="P990" s="36">
        <f>VLOOKUP($A990, 'Hospitalisation Details'!$A:$O, 15, FALSE)</f>
        <v>59</v>
      </c>
    </row>
    <row r="991" ht="15.75" customHeight="1">
      <c r="A991" s="33" t="s">
        <v>1981</v>
      </c>
      <c r="B991" s="22" t="str">
        <f>VLOOKUP($A991,'Customer Names'!$A:$D,3, FALSE)</f>
        <v>Donnelly</v>
      </c>
      <c r="C991" s="22">
        <f>VLOOKUP($A991,'Medical Examinations'!$A:$D, 2, FALSE)</f>
        <v>27.645</v>
      </c>
      <c r="D991" s="22">
        <f>VLOOKUP($A991, 'Medical Examinations'!$A:$D,3, FALSE)</f>
        <v>10.56</v>
      </c>
      <c r="E991" s="22" t="str">
        <f>VLOOKUP($A991, 'Medical Examinations'!$A:$D, 4, FALSE)</f>
        <v>No</v>
      </c>
      <c r="F991" s="22" t="str">
        <f>VLOOKUP($A991, 'Medical Examinations'!$A:$J, 5, FALSE)</f>
        <v>No</v>
      </c>
      <c r="G991" s="22" t="str">
        <f>VLOOKUP($A991, 'Medical Examinations'!$A:$I, 6, FALSE)</f>
        <v>No</v>
      </c>
      <c r="H991" s="22">
        <f>VLOOKUP($A991,'Medical Examinations'!$A:$L,10, FALSE)</f>
        <v>0</v>
      </c>
      <c r="I991" s="22" t="str">
        <f>VLOOKUP($A991, 'Medical Examinations'!$A:$J, 9, FALSE)</f>
        <v>No</v>
      </c>
      <c r="J991" s="22" t="str">
        <f>VLOOKUP($A991, 'Medical Examinations'!$A:$P, 11, FALSE)</f>
        <v>OVERWEIGHT</v>
      </c>
      <c r="K991" s="34">
        <v>33773.0</v>
      </c>
      <c r="L991" s="35">
        <f>VLOOKUP($A991, 'Hospitalisation Details'!$A:$H, 7, FALSE)</f>
        <v>11305.93</v>
      </c>
      <c r="M991" s="22" t="str">
        <f>VLOOKUP($A991, 'Hospitalisation Details'!$A:$L, 12, FALSE)</f>
        <v>tier - 3</v>
      </c>
      <c r="N991" s="22" t="str">
        <f>VLOOKUP($A991, 'Hospitalisation Details'!$A:$M, 13, FALSE)</f>
        <v>tier - 1</v>
      </c>
      <c r="O991" s="22" t="str">
        <f>VLOOKUP($A991, 'Hospitalisation Details'!$A:$N, 14, FALSE)</f>
        <v>R1012</v>
      </c>
      <c r="P991" s="36">
        <f>VLOOKUP($A991, 'Hospitalisation Details'!$A:$O, 15, FALSE)</f>
        <v>54</v>
      </c>
    </row>
    <row r="992" ht="15.75" customHeight="1">
      <c r="A992" s="33" t="s">
        <v>1983</v>
      </c>
      <c r="B992" s="22" t="str">
        <f>VLOOKUP($A992,'Customer Names'!$A:$D,3, FALSE)</f>
        <v>Rall</v>
      </c>
      <c r="C992" s="22">
        <f>VLOOKUP($A992,'Medical Examinations'!$A:$D, 2, FALSE)</f>
        <v>33.7</v>
      </c>
      <c r="D992" s="22">
        <f>VLOOKUP($A992, 'Medical Examinations'!$A:$D,3, FALSE)</f>
        <v>4.01</v>
      </c>
      <c r="E992" s="22" t="str">
        <f>VLOOKUP($A992, 'Medical Examinations'!$A:$D, 4, FALSE)</f>
        <v>No</v>
      </c>
      <c r="F992" s="22" t="str">
        <f>VLOOKUP($A992, 'Medical Examinations'!$A:$J, 5, FALSE)</f>
        <v>No</v>
      </c>
      <c r="G992" s="22" t="str">
        <f>VLOOKUP($A992, 'Medical Examinations'!$A:$I, 6, FALSE)</f>
        <v>No</v>
      </c>
      <c r="H992" s="22">
        <f>VLOOKUP($A992,'Medical Examinations'!$A:$L,10, FALSE)</f>
        <v>2</v>
      </c>
      <c r="I992" s="22" t="str">
        <f>VLOOKUP($A992, 'Medical Examinations'!$A:$J, 9, FALSE)</f>
        <v>No</v>
      </c>
      <c r="J992" s="22" t="str">
        <f>VLOOKUP($A992, 'Medical Examinations'!$A:$P, 11, FALSE)</f>
        <v>OBESITY</v>
      </c>
      <c r="K992" s="34">
        <v>33456.0</v>
      </c>
      <c r="L992" s="35">
        <f>VLOOKUP($A992, 'Hospitalisation Details'!$A:$H, 7, FALSE)</f>
        <v>11299.34</v>
      </c>
      <c r="M992" s="22" t="str">
        <f>VLOOKUP($A992, 'Hospitalisation Details'!$A:$L, 12, FALSE)</f>
        <v>tier - 3</v>
      </c>
      <c r="N992" s="22" t="str">
        <f>VLOOKUP($A992, 'Hospitalisation Details'!$A:$M, 13, FALSE)</f>
        <v>tier - 2</v>
      </c>
      <c r="O992" s="22" t="str">
        <f>VLOOKUP($A992, 'Hospitalisation Details'!$A:$N, 14, FALSE)</f>
        <v>R1011</v>
      </c>
      <c r="P992" s="36">
        <f>VLOOKUP($A992, 'Hospitalisation Details'!$A:$O, 15, FALSE)</f>
        <v>50</v>
      </c>
    </row>
    <row r="993" ht="15.75" customHeight="1">
      <c r="A993" s="33" t="s">
        <v>1985</v>
      </c>
      <c r="B993" s="22" t="str">
        <f>VLOOKUP($A993,'Customer Names'!$A:$D,3, FALSE)</f>
        <v>Mitchell</v>
      </c>
      <c r="C993" s="22">
        <f>VLOOKUP($A993,'Medical Examinations'!$A:$D, 2, FALSE)</f>
        <v>38.93</v>
      </c>
      <c r="D993" s="22">
        <f>VLOOKUP($A993, 'Medical Examinations'!$A:$D,3, FALSE)</f>
        <v>5.64</v>
      </c>
      <c r="E993" s="22" t="str">
        <f>VLOOKUP($A993, 'Medical Examinations'!$A:$D, 4, FALSE)</f>
        <v>Yes</v>
      </c>
      <c r="F993" s="22" t="str">
        <f>VLOOKUP($A993, 'Medical Examinations'!$A:$J, 5, FALSE)</f>
        <v>No</v>
      </c>
      <c r="G993" s="22" t="str">
        <f>VLOOKUP($A993, 'Medical Examinations'!$A:$I, 6, FALSE)</f>
        <v>No</v>
      </c>
      <c r="H993" s="22">
        <f>VLOOKUP($A993,'Medical Examinations'!$A:$L,10, FALSE)</f>
        <v>1</v>
      </c>
      <c r="I993" s="22" t="str">
        <f>VLOOKUP($A993, 'Medical Examinations'!$A:$J, 9, FALSE)</f>
        <v>No</v>
      </c>
      <c r="J993" s="22" t="str">
        <f>VLOOKUP($A993, 'Medical Examinations'!$A:$P, 11, FALSE)</f>
        <v>OBESITY</v>
      </c>
      <c r="K993" s="34">
        <v>34567.0</v>
      </c>
      <c r="L993" s="35">
        <f>VLOOKUP($A993, 'Hospitalisation Details'!$A:$H, 7, FALSE)</f>
        <v>11294.57</v>
      </c>
      <c r="M993" s="22" t="str">
        <f>VLOOKUP($A993, 'Hospitalisation Details'!$A:$L, 12, FALSE)</f>
        <v>tier - 3</v>
      </c>
      <c r="N993" s="22" t="str">
        <f>VLOOKUP($A993, 'Hospitalisation Details'!$A:$M, 13, FALSE)</f>
        <v>tier - 1</v>
      </c>
      <c r="O993" s="22" t="str">
        <f>VLOOKUP($A993, 'Hospitalisation Details'!$A:$N, 14, FALSE)</f>
        <v>R1022</v>
      </c>
      <c r="P993" s="36">
        <f>VLOOKUP($A993, 'Hospitalisation Details'!$A:$O, 15, FALSE)</f>
        <v>34</v>
      </c>
    </row>
    <row r="994" ht="15.75" customHeight="1">
      <c r="A994" s="33" t="s">
        <v>1987</v>
      </c>
      <c r="B994" s="22" t="str">
        <f>VLOOKUP($A994,'Customer Names'!$A:$D,3, FALSE)</f>
        <v>Chen</v>
      </c>
      <c r="C994" s="22">
        <f>VLOOKUP($A994,'Medical Examinations'!$A:$D, 2, FALSE)</f>
        <v>32.775</v>
      </c>
      <c r="D994" s="22">
        <f>VLOOKUP($A994, 'Medical Examinations'!$A:$D,3, FALSE)</f>
        <v>8.02</v>
      </c>
      <c r="E994" s="22" t="str">
        <f>VLOOKUP($A994, 'Medical Examinations'!$A:$D, 4, FALSE)</f>
        <v>Yes</v>
      </c>
      <c r="F994" s="22" t="str">
        <f>VLOOKUP($A994, 'Medical Examinations'!$A:$J, 5, FALSE)</f>
        <v>No</v>
      </c>
      <c r="G994" s="22" t="str">
        <f>VLOOKUP($A994, 'Medical Examinations'!$A:$I, 6, FALSE)</f>
        <v>No</v>
      </c>
      <c r="H994" s="22">
        <f>VLOOKUP($A994,'Medical Examinations'!$A:$L,10, FALSE)</f>
        <v>2</v>
      </c>
      <c r="I994" s="22" t="str">
        <f>VLOOKUP($A994, 'Medical Examinations'!$A:$J, 9, FALSE)</f>
        <v>No</v>
      </c>
      <c r="J994" s="22" t="str">
        <f>VLOOKUP($A994, 'Medical Examinations'!$A:$P, 11, FALSE)</f>
        <v>OBESITY</v>
      </c>
      <c r="K994" s="34">
        <v>33221.0</v>
      </c>
      <c r="L994" s="35">
        <f>VLOOKUP($A994, 'Hospitalisation Details'!$A:$H, 7, FALSE)</f>
        <v>11289.11</v>
      </c>
      <c r="M994" s="22" t="str">
        <f>VLOOKUP($A994, 'Hospitalisation Details'!$A:$L, 12, FALSE)</f>
        <v>tier - 3</v>
      </c>
      <c r="N994" s="22" t="str">
        <f>VLOOKUP($A994, 'Hospitalisation Details'!$A:$M, 13, FALSE)</f>
        <v>tier - 1</v>
      </c>
      <c r="O994" s="22" t="str">
        <f>VLOOKUP($A994, 'Hospitalisation Details'!$A:$N, 14, FALSE)</f>
        <v>R1012</v>
      </c>
      <c r="P994" s="36">
        <f>VLOOKUP($A994, 'Hospitalisation Details'!$A:$O, 15, FALSE)</f>
        <v>52</v>
      </c>
    </row>
    <row r="995" ht="15.75" customHeight="1">
      <c r="A995" s="33" t="s">
        <v>1989</v>
      </c>
      <c r="B995" s="22" t="str">
        <f>VLOOKUP($A995,'Customer Names'!$A:$D,3, FALSE)</f>
        <v>Tufaro</v>
      </c>
      <c r="C995" s="22">
        <f>VLOOKUP($A995,'Medical Examinations'!$A:$D, 2, FALSE)</f>
        <v>29.83</v>
      </c>
      <c r="D995" s="22">
        <f>VLOOKUP($A995, 'Medical Examinations'!$A:$D,3, FALSE)</f>
        <v>7.2</v>
      </c>
      <c r="E995" s="22" t="str">
        <f>VLOOKUP($A995, 'Medical Examinations'!$A:$D, 4, FALSE)</f>
        <v>Yes</v>
      </c>
      <c r="F995" s="22" t="str">
        <f>VLOOKUP($A995, 'Medical Examinations'!$A:$J, 5, FALSE)</f>
        <v>No</v>
      </c>
      <c r="G995" s="22" t="str">
        <f>VLOOKUP($A995, 'Medical Examinations'!$A:$I, 6, FALSE)</f>
        <v>No</v>
      </c>
      <c r="H995" s="22">
        <f>VLOOKUP($A995,'Medical Examinations'!$A:$L,10, FALSE)</f>
        <v>0</v>
      </c>
      <c r="I995" s="22" t="str">
        <f>VLOOKUP($A995, 'Medical Examinations'!$A:$J, 9, FALSE)</f>
        <v>No</v>
      </c>
      <c r="J995" s="22" t="str">
        <f>VLOOKUP($A995, 'Medical Examinations'!$A:$P, 11, FALSE)</f>
        <v>OVERWEIGHT</v>
      </c>
      <c r="K995" s="34">
        <v>33208.0</v>
      </c>
      <c r="L995" s="35">
        <f>VLOOKUP($A995, 'Hospitalisation Details'!$A:$H, 7, FALSE)</f>
        <v>11286.54</v>
      </c>
      <c r="M995" s="22" t="str">
        <f>VLOOKUP($A995, 'Hospitalisation Details'!$A:$L, 12, FALSE)</f>
        <v>tier - 3</v>
      </c>
      <c r="N995" s="22" t="str">
        <f>VLOOKUP($A995, 'Hospitalisation Details'!$A:$M, 13, FALSE)</f>
        <v>tier - 3</v>
      </c>
      <c r="O995" s="22" t="str">
        <f>VLOOKUP($A995, 'Hospitalisation Details'!$A:$N, 14, FALSE)</f>
        <v>R1024</v>
      </c>
      <c r="P995" s="36">
        <f>VLOOKUP($A995, 'Hospitalisation Details'!$A:$O, 15, FALSE)</f>
        <v>55</v>
      </c>
    </row>
    <row r="996" ht="15.75" customHeight="1">
      <c r="A996" s="33" t="s">
        <v>1991</v>
      </c>
      <c r="B996" s="22" t="str">
        <f>VLOOKUP($A996,'Customer Names'!$A:$D,3, FALSE)</f>
        <v>Peters</v>
      </c>
      <c r="C996" s="22">
        <f>VLOOKUP($A996,'Medical Examinations'!$A:$D, 2, FALSE)</f>
        <v>28.31</v>
      </c>
      <c r="D996" s="22">
        <f>VLOOKUP($A996, 'Medical Examinations'!$A:$D,3, FALSE)</f>
        <v>4.55</v>
      </c>
      <c r="E996" s="22" t="str">
        <f>VLOOKUP($A996, 'Medical Examinations'!$A:$D, 4, FALSE)</f>
        <v>No</v>
      </c>
      <c r="F996" s="22" t="str">
        <f>VLOOKUP($A996, 'Medical Examinations'!$A:$J, 5, FALSE)</f>
        <v>Yes</v>
      </c>
      <c r="G996" s="22" t="str">
        <f>VLOOKUP($A996, 'Medical Examinations'!$A:$I, 6, FALSE)</f>
        <v>No</v>
      </c>
      <c r="H996" s="22">
        <f>VLOOKUP($A996,'Medical Examinations'!$A:$L,10, FALSE)</f>
        <v>1</v>
      </c>
      <c r="I996" s="22" t="str">
        <f>VLOOKUP($A996, 'Medical Examinations'!$A:$J, 9, FALSE)</f>
        <v>No</v>
      </c>
      <c r="J996" s="22" t="str">
        <f>VLOOKUP($A996, 'Medical Examinations'!$A:$P, 11, FALSE)</f>
        <v>OVERWEIGHT</v>
      </c>
      <c r="K996" s="34">
        <v>37547.0</v>
      </c>
      <c r="L996" s="35">
        <f>VLOOKUP($A996, 'Hospitalisation Details'!$A:$H, 7, FALSE)</f>
        <v>11272.33</v>
      </c>
      <c r="M996" s="22" t="str">
        <f>VLOOKUP($A996, 'Hospitalisation Details'!$A:$L, 12, FALSE)</f>
        <v>tier - 3</v>
      </c>
      <c r="N996" s="22" t="str">
        <f>VLOOKUP($A996, 'Hospitalisation Details'!$A:$M, 13, FALSE)</f>
        <v>tier - 2</v>
      </c>
      <c r="O996" s="22" t="str">
        <f>VLOOKUP($A996, 'Hospitalisation Details'!$A:$N, 14, FALSE)</f>
        <v>R1019</v>
      </c>
      <c r="P996" s="36">
        <f>VLOOKUP($A996, 'Hospitalisation Details'!$A:$O, 15, FALSE)</f>
        <v>18</v>
      </c>
    </row>
    <row r="997" ht="15.75" customHeight="1">
      <c r="A997" s="33" t="s">
        <v>1993</v>
      </c>
      <c r="B997" s="22" t="str">
        <f>VLOOKUP($A997,'Customer Names'!$A:$D,3, FALSE)</f>
        <v>Susedik</v>
      </c>
      <c r="C997" s="22">
        <f>VLOOKUP($A997,'Medical Examinations'!$A:$D, 2, FALSE)</f>
        <v>29.79</v>
      </c>
      <c r="D997" s="22">
        <f>VLOOKUP($A997, 'Medical Examinations'!$A:$D,3, FALSE)</f>
        <v>9.03</v>
      </c>
      <c r="E997" s="22" t="str">
        <f>VLOOKUP($A997, 'Medical Examinations'!$A:$D, 4, FALSE)</f>
        <v>No</v>
      </c>
      <c r="F997" s="22" t="str">
        <f>VLOOKUP($A997, 'Medical Examinations'!$A:$J, 5, FALSE)</f>
        <v>No</v>
      </c>
      <c r="G997" s="22" t="str">
        <f>VLOOKUP($A997, 'Medical Examinations'!$A:$I, 6, FALSE)</f>
        <v>No</v>
      </c>
      <c r="H997" s="22">
        <f>VLOOKUP($A997,'Medical Examinations'!$A:$L,10, FALSE)</f>
        <v>0</v>
      </c>
      <c r="I997" s="22" t="str">
        <f>VLOOKUP($A997, 'Medical Examinations'!$A:$J, 9, FALSE)</f>
        <v>No</v>
      </c>
      <c r="J997" s="22" t="str">
        <f>VLOOKUP($A997, 'Medical Examinations'!$A:$P, 11, FALSE)</f>
        <v>OVERWEIGHT</v>
      </c>
      <c r="K997" s="34">
        <v>22969.0</v>
      </c>
      <c r="L997" s="35">
        <f>VLOOKUP($A997, 'Hospitalisation Details'!$A:$H, 7, FALSE)</f>
        <v>11265.71</v>
      </c>
      <c r="M997" s="22" t="str">
        <f>VLOOKUP($A997, 'Hospitalisation Details'!$A:$L, 12, FALSE)</f>
        <v>tier - 3</v>
      </c>
      <c r="N997" s="22" t="str">
        <f>VLOOKUP($A997, 'Hospitalisation Details'!$A:$M, 13, FALSE)</f>
        <v>tier - 1</v>
      </c>
      <c r="O997" s="22" t="str">
        <f>VLOOKUP($A997, 'Hospitalisation Details'!$A:$N, 14, FALSE)</f>
        <v>R1025</v>
      </c>
      <c r="P997" s="36">
        <f>VLOOKUP($A997, 'Hospitalisation Details'!$A:$O, 15, FALSE)</f>
        <v>51</v>
      </c>
    </row>
    <row r="998" ht="15.75" customHeight="1">
      <c r="A998" s="33" t="s">
        <v>1995</v>
      </c>
      <c r="B998" s="22" t="str">
        <f>VLOOKUP($A998,'Customer Names'!$A:$D,3, FALSE)</f>
        <v>Garcia</v>
      </c>
      <c r="C998" s="22">
        <f>VLOOKUP($A998,'Medical Examinations'!$A:$D, 2, FALSE)</f>
        <v>36.6</v>
      </c>
      <c r="D998" s="22">
        <f>VLOOKUP($A998, 'Medical Examinations'!$A:$D,3, FALSE)</f>
        <v>5.2</v>
      </c>
      <c r="E998" s="22" t="str">
        <f>VLOOKUP($A998, 'Medical Examinations'!$A:$D, 4, FALSE)</f>
        <v>Yes</v>
      </c>
      <c r="F998" s="22" t="str">
        <f>VLOOKUP($A998, 'Medical Examinations'!$A:$J, 5, FALSE)</f>
        <v>No</v>
      </c>
      <c r="G998" s="22" t="str">
        <f>VLOOKUP($A998, 'Medical Examinations'!$A:$I, 6, FALSE)</f>
        <v>Yes</v>
      </c>
      <c r="H998" s="22">
        <f>VLOOKUP($A998,'Medical Examinations'!$A:$L,10, FALSE)</f>
        <v>1</v>
      </c>
      <c r="I998" s="22" t="str">
        <f>VLOOKUP($A998, 'Medical Examinations'!$A:$J, 9, FALSE)</f>
        <v>No</v>
      </c>
      <c r="J998" s="22" t="str">
        <f>VLOOKUP($A998, 'Medical Examinations'!$A:$P, 11, FALSE)</f>
        <v>OBESITY</v>
      </c>
      <c r="K998" s="34">
        <v>30575.0</v>
      </c>
      <c r="L998" s="35">
        <f>VLOOKUP($A998, 'Hospitalisation Details'!$A:$H, 7, FALSE)</f>
        <v>11264.54</v>
      </c>
      <c r="M998" s="22" t="str">
        <f>VLOOKUP($A998, 'Hospitalisation Details'!$A:$L, 12, FALSE)</f>
        <v>tier - 3</v>
      </c>
      <c r="N998" s="22" t="str">
        <f>VLOOKUP($A998, 'Hospitalisation Details'!$A:$M, 13, FALSE)</f>
        <v>tier - 2</v>
      </c>
      <c r="O998" s="22" t="str">
        <f>VLOOKUP($A998, 'Hospitalisation Details'!$A:$N, 14, FALSE)</f>
        <v>R1011</v>
      </c>
      <c r="P998" s="36">
        <f>VLOOKUP($A998, 'Hospitalisation Details'!$A:$O, 15, FALSE)</f>
        <v>53</v>
      </c>
    </row>
    <row r="999" ht="15.75" customHeight="1">
      <c r="A999" s="33" t="s">
        <v>1997</v>
      </c>
      <c r="B999" s="22" t="str">
        <f>VLOOKUP($A999,'Customer Names'!$A:$D,3, FALSE)</f>
        <v>Deady</v>
      </c>
      <c r="C999" s="22">
        <f>VLOOKUP($A999,'Medical Examinations'!$A:$D, 2, FALSE)</f>
        <v>35.93</v>
      </c>
      <c r="D999" s="22">
        <f>VLOOKUP($A999, 'Medical Examinations'!$A:$D,3, FALSE)</f>
        <v>8.3</v>
      </c>
      <c r="E999" s="22" t="str">
        <f>VLOOKUP($A999, 'Medical Examinations'!$A:$D, 4, FALSE)</f>
        <v>Yes</v>
      </c>
      <c r="F999" s="22" t="str">
        <f>VLOOKUP($A999, 'Medical Examinations'!$A:$J, 5, FALSE)</f>
        <v>No</v>
      </c>
      <c r="G999" s="22" t="str">
        <f>VLOOKUP($A999, 'Medical Examinations'!$A:$I, 6, FALSE)</f>
        <v>No</v>
      </c>
      <c r="H999" s="22">
        <f>VLOOKUP($A999,'Medical Examinations'!$A:$L,10, FALSE)</f>
        <v>0</v>
      </c>
      <c r="I999" s="22" t="str">
        <f>VLOOKUP($A999, 'Medical Examinations'!$A:$J, 9, FALSE)</f>
        <v>No</v>
      </c>
      <c r="J999" s="22" t="str">
        <f>VLOOKUP($A999, 'Medical Examinations'!$A:$P, 11, FALSE)</f>
        <v>OBESITY</v>
      </c>
      <c r="K999" s="34">
        <v>34956.0</v>
      </c>
      <c r="L999" s="35">
        <f>VLOOKUP($A999, 'Hospitalisation Details'!$A:$H, 7, FALSE)</f>
        <v>11255.29</v>
      </c>
      <c r="M999" s="22" t="str">
        <f>VLOOKUP($A999, 'Hospitalisation Details'!$A:$L, 12, FALSE)</f>
        <v>tier - 3</v>
      </c>
      <c r="N999" s="22" t="str">
        <f>VLOOKUP($A999, 'Hospitalisation Details'!$A:$M, 13, FALSE)</f>
        <v>tier - 1</v>
      </c>
      <c r="O999" s="22" t="str">
        <f>VLOOKUP($A999, 'Hospitalisation Details'!$A:$N, 14, FALSE)</f>
        <v>R1026</v>
      </c>
      <c r="P999" s="36">
        <f>VLOOKUP($A999, 'Hospitalisation Details'!$A:$O, 15, FALSE)</f>
        <v>41</v>
      </c>
    </row>
    <row r="1000" ht="15.75" customHeight="1">
      <c r="A1000" s="33" t="s">
        <v>1999</v>
      </c>
      <c r="B1000" s="22" t="str">
        <f>VLOOKUP($A1000,'Customer Names'!$A:$D,3, FALSE)</f>
        <v>Campbell</v>
      </c>
      <c r="C1000" s="22">
        <f>VLOOKUP($A1000,'Medical Examinations'!$A:$D, 2, FALSE)</f>
        <v>28.6</v>
      </c>
      <c r="D1000" s="22">
        <f>VLOOKUP($A1000, 'Medical Examinations'!$A:$D,3, FALSE)</f>
        <v>5.56</v>
      </c>
      <c r="E1000" s="22" t="str">
        <f>VLOOKUP($A1000, 'Medical Examinations'!$A:$D, 4, FALSE)</f>
        <v>Yes</v>
      </c>
      <c r="F1000" s="22" t="str">
        <f>VLOOKUP($A1000, 'Medical Examinations'!$A:$J, 5, FALSE)</f>
        <v>No</v>
      </c>
      <c r="G1000" s="22" t="str">
        <f>VLOOKUP($A1000, 'Medical Examinations'!$A:$I, 6, FALSE)</f>
        <v>Yes</v>
      </c>
      <c r="H1000" s="22">
        <f>VLOOKUP($A1000,'Medical Examinations'!$A:$L,10, FALSE)</f>
        <v>1</v>
      </c>
      <c r="I1000" s="22" t="str">
        <f>VLOOKUP($A1000, 'Medical Examinations'!$A:$J, 9, FALSE)</f>
        <v>No</v>
      </c>
      <c r="J1000" s="22" t="str">
        <f>VLOOKUP($A1000, 'Medical Examinations'!$A:$P, 11, FALSE)</f>
        <v>OVERWEIGHT</v>
      </c>
      <c r="K1000" s="34">
        <v>34194.0</v>
      </c>
      <c r="L1000" s="35">
        <f>VLOOKUP($A1000, 'Hospitalisation Details'!$A:$H, 7, FALSE)</f>
        <v>11253.42</v>
      </c>
      <c r="M1000" s="22" t="str">
        <f>VLOOKUP($A1000, 'Hospitalisation Details'!$A:$L, 12, FALSE)</f>
        <v>tier - 3</v>
      </c>
      <c r="N1000" s="22" t="str">
        <f>VLOOKUP($A1000, 'Hospitalisation Details'!$A:$M, 13, FALSE)</f>
        <v>tier - 1</v>
      </c>
      <c r="O1000" s="22" t="str">
        <f>VLOOKUP($A1000, 'Hospitalisation Details'!$A:$N, 14, FALSE)</f>
        <v>R1011</v>
      </c>
      <c r="P1000" s="36">
        <f>VLOOKUP($A1000, 'Hospitalisation Details'!$A:$O, 15, FALSE)</f>
        <v>53</v>
      </c>
    </row>
    <row r="1001" ht="15.75" customHeight="1">
      <c r="A1001" s="33" t="s">
        <v>2001</v>
      </c>
      <c r="B1001" s="22" t="str">
        <f>VLOOKUP($A1001,'Customer Names'!$A:$D,3, FALSE)</f>
        <v>Schaefer</v>
      </c>
      <c r="C1001" s="22">
        <f>VLOOKUP($A1001,'Medical Examinations'!$A:$D, 2, FALSE)</f>
        <v>39.17</v>
      </c>
      <c r="D1001" s="22">
        <f>VLOOKUP($A1001, 'Medical Examinations'!$A:$D,3, FALSE)</f>
        <v>4.15</v>
      </c>
      <c r="E1001" s="22" t="str">
        <f>VLOOKUP($A1001, 'Medical Examinations'!$A:$D, 4, FALSE)</f>
        <v>No</v>
      </c>
      <c r="F1001" s="22" t="str">
        <f>VLOOKUP($A1001, 'Medical Examinations'!$A:$J, 5, FALSE)</f>
        <v>No</v>
      </c>
      <c r="G1001" s="22" t="str">
        <f>VLOOKUP($A1001, 'Medical Examinations'!$A:$I, 6, FALSE)</f>
        <v>No</v>
      </c>
      <c r="H1001" s="22">
        <f>VLOOKUP($A1001,'Medical Examinations'!$A:$L,10, FALSE)</f>
        <v>0</v>
      </c>
      <c r="I1001" s="22" t="str">
        <f>VLOOKUP($A1001, 'Medical Examinations'!$A:$J, 9, FALSE)</f>
        <v>No</v>
      </c>
      <c r="J1001" s="22" t="str">
        <f>VLOOKUP($A1001, 'Medical Examinations'!$A:$P, 11, FALSE)</f>
        <v>OBESITY</v>
      </c>
      <c r="K1001" s="34">
        <v>32477.0</v>
      </c>
      <c r="L1001" s="35">
        <f>VLOOKUP($A1001, 'Hospitalisation Details'!$A:$H, 7, FALSE)</f>
        <v>11250.43</v>
      </c>
      <c r="M1001" s="22" t="str">
        <f>VLOOKUP($A1001, 'Hospitalisation Details'!$A:$L, 12, FALSE)</f>
        <v>tier - 3</v>
      </c>
      <c r="N1001" s="22" t="str">
        <f>VLOOKUP($A1001, 'Hospitalisation Details'!$A:$M, 13, FALSE)</f>
        <v>tier - 2</v>
      </c>
      <c r="O1001" s="22" t="str">
        <f>VLOOKUP($A1001, 'Hospitalisation Details'!$A:$N, 14, FALSE)</f>
        <v>R1026</v>
      </c>
      <c r="P1001" s="36">
        <f>VLOOKUP($A1001, 'Hospitalisation Details'!$A:$O, 15, FALSE)</f>
        <v>33</v>
      </c>
    </row>
    <row r="1002" ht="15.75" customHeight="1">
      <c r="A1002" s="33" t="s">
        <v>2003</v>
      </c>
      <c r="B1002" s="22" t="str">
        <f>VLOOKUP($A1002,'Customer Names'!$A:$D,3, FALSE)</f>
        <v>D'Alessandro</v>
      </c>
      <c r="C1002" s="22">
        <f>VLOOKUP($A1002,'Medical Examinations'!$A:$D, 2, FALSE)</f>
        <v>26.41</v>
      </c>
      <c r="D1002" s="22">
        <f>VLOOKUP($A1002, 'Medical Examinations'!$A:$D,3, FALSE)</f>
        <v>5.99</v>
      </c>
      <c r="E1002" s="22" t="str">
        <f>VLOOKUP($A1002, 'Medical Examinations'!$A:$D, 4, FALSE)</f>
        <v>Yes</v>
      </c>
      <c r="F1002" s="22" t="str">
        <f>VLOOKUP($A1002, 'Medical Examinations'!$A:$J, 5, FALSE)</f>
        <v>No</v>
      </c>
      <c r="G1002" s="22" t="str">
        <f>VLOOKUP($A1002, 'Medical Examinations'!$A:$I, 6, FALSE)</f>
        <v>Yes</v>
      </c>
      <c r="H1002" s="22">
        <f>VLOOKUP($A1002,'Medical Examinations'!$A:$L,10, FALSE)</f>
        <v>1</v>
      </c>
      <c r="I1002" s="22" t="str">
        <f>VLOOKUP($A1002, 'Medical Examinations'!$A:$J, 9, FALSE)</f>
        <v>No</v>
      </c>
      <c r="J1002" s="22" t="str">
        <f>VLOOKUP($A1002, 'Medical Examinations'!$A:$P, 11, FALSE)</f>
        <v>OVERWEIGHT</v>
      </c>
      <c r="K1002" s="34">
        <v>34329.0</v>
      </c>
      <c r="L1002" s="35">
        <f>VLOOKUP($A1002, 'Hospitalisation Details'!$A:$H, 7, FALSE)</f>
        <v>11244.38</v>
      </c>
      <c r="M1002" s="22" t="str">
        <f>VLOOKUP($A1002, 'Hospitalisation Details'!$A:$L, 12, FALSE)</f>
        <v>tier - 3</v>
      </c>
      <c r="N1002" s="22" t="str">
        <f>VLOOKUP($A1002, 'Hospitalisation Details'!$A:$M, 13, FALSE)</f>
        <v>tier - 1</v>
      </c>
      <c r="O1002" s="22" t="str">
        <f>VLOOKUP($A1002, 'Hospitalisation Details'!$A:$N, 14, FALSE)</f>
        <v>R1016</v>
      </c>
      <c r="P1002" s="36">
        <f>VLOOKUP($A1002, 'Hospitalisation Details'!$A:$O, 15, FALSE)</f>
        <v>53</v>
      </c>
    </row>
    <row r="1003" ht="15.75" customHeight="1">
      <c r="A1003" s="33" t="s">
        <v>2005</v>
      </c>
      <c r="B1003" s="22" t="str">
        <f>VLOOKUP($A1003,'Customer Names'!$A:$D,3, FALSE)</f>
        <v>Wyss</v>
      </c>
      <c r="C1003" s="22">
        <f>VLOOKUP($A1003,'Medical Examinations'!$A:$D, 2, FALSE)</f>
        <v>30.63</v>
      </c>
      <c r="D1003" s="22">
        <f>VLOOKUP($A1003, 'Medical Examinations'!$A:$D,3, FALSE)</f>
        <v>5.8</v>
      </c>
      <c r="E1003" s="22" t="str">
        <f>VLOOKUP($A1003, 'Medical Examinations'!$A:$D, 4, FALSE)</f>
        <v>Yes</v>
      </c>
      <c r="F1003" s="22" t="str">
        <f>VLOOKUP($A1003, 'Medical Examinations'!$A:$J, 5, FALSE)</f>
        <v>No</v>
      </c>
      <c r="G1003" s="22" t="str">
        <f>VLOOKUP($A1003, 'Medical Examinations'!$A:$I, 6, FALSE)</f>
        <v>No</v>
      </c>
      <c r="H1003" s="22">
        <f>VLOOKUP($A1003,'Medical Examinations'!$A:$L,10, FALSE)</f>
        <v>0</v>
      </c>
      <c r="I1003" s="22" t="str">
        <f>VLOOKUP($A1003, 'Medical Examinations'!$A:$J, 9, FALSE)</f>
        <v>No</v>
      </c>
      <c r="J1003" s="22" t="str">
        <f>VLOOKUP($A1003, 'Medical Examinations'!$A:$P, 11, FALSE)</f>
        <v>OBESITY</v>
      </c>
      <c r="K1003" s="34">
        <v>30630.0</v>
      </c>
      <c r="L1003" s="35">
        <f>VLOOKUP($A1003, 'Hospitalisation Details'!$A:$H, 7, FALSE)</f>
        <v>11217.35</v>
      </c>
      <c r="M1003" s="22" t="str">
        <f>VLOOKUP($A1003, 'Hospitalisation Details'!$A:$L, 12, FALSE)</f>
        <v>tier - 3</v>
      </c>
      <c r="N1003" s="22" t="str">
        <f>VLOOKUP($A1003, 'Hospitalisation Details'!$A:$M, 13, FALSE)</f>
        <v>tier - 2</v>
      </c>
      <c r="O1003" s="22" t="str">
        <f>VLOOKUP($A1003, 'Hospitalisation Details'!$A:$N, 14, FALSE)</f>
        <v>R1025</v>
      </c>
      <c r="P1003" s="36">
        <f>VLOOKUP($A1003, 'Hospitalisation Details'!$A:$O, 15, FALSE)</f>
        <v>46</v>
      </c>
    </row>
    <row r="1004" ht="15.75" customHeight="1">
      <c r="A1004" s="33" t="s">
        <v>2007</v>
      </c>
      <c r="B1004" s="22" t="str">
        <f>VLOOKUP($A1004,'Customer Names'!$A:$D,3, FALSE)</f>
        <v>Rose</v>
      </c>
      <c r="C1004" s="22">
        <f>VLOOKUP($A1004,'Medical Examinations'!$A:$D, 2, FALSE)</f>
        <v>31.73</v>
      </c>
      <c r="D1004" s="22">
        <f>VLOOKUP($A1004, 'Medical Examinations'!$A:$D,3, FALSE)</f>
        <v>7.32</v>
      </c>
      <c r="E1004" s="22" t="str">
        <f>VLOOKUP($A1004, 'Medical Examinations'!$A:$D, 4, FALSE)</f>
        <v>Yes</v>
      </c>
      <c r="F1004" s="22" t="str">
        <f>VLOOKUP($A1004, 'Medical Examinations'!$A:$J, 5, FALSE)</f>
        <v>No</v>
      </c>
      <c r="G1004" s="22" t="str">
        <f>VLOOKUP($A1004, 'Medical Examinations'!$A:$I, 6, FALSE)</f>
        <v>No</v>
      </c>
      <c r="H1004" s="22">
        <f>VLOOKUP($A1004,'Medical Examinations'!$A:$L,10, FALSE)</f>
        <v>2</v>
      </c>
      <c r="I1004" s="22" t="str">
        <f>VLOOKUP($A1004, 'Medical Examinations'!$A:$J, 9, FALSE)</f>
        <v>No</v>
      </c>
      <c r="J1004" s="22" t="str">
        <f>VLOOKUP($A1004, 'Medical Examinations'!$A:$P, 11, FALSE)</f>
        <v>OBESITY</v>
      </c>
      <c r="K1004" s="34">
        <v>30870.0</v>
      </c>
      <c r="L1004" s="35">
        <f>VLOOKUP($A1004, 'Hospitalisation Details'!$A:$H, 7, FALSE)</f>
        <v>11187.66</v>
      </c>
      <c r="M1004" s="22" t="str">
        <f>VLOOKUP($A1004, 'Hospitalisation Details'!$A:$L, 12, FALSE)</f>
        <v>tier - 3</v>
      </c>
      <c r="N1004" s="22" t="str">
        <f>VLOOKUP($A1004, 'Hospitalisation Details'!$A:$M, 13, FALSE)</f>
        <v>tier - 2</v>
      </c>
      <c r="O1004" s="22" t="str">
        <f>VLOOKUP($A1004, 'Hospitalisation Details'!$A:$N, 14, FALSE)</f>
        <v>R1012</v>
      </c>
      <c r="P1004" s="36">
        <f>VLOOKUP($A1004, 'Hospitalisation Details'!$A:$O, 15, FALSE)</f>
        <v>52</v>
      </c>
    </row>
    <row r="1005" ht="15.75" customHeight="1">
      <c r="A1005" s="33" t="s">
        <v>2009</v>
      </c>
      <c r="B1005" s="22" t="str">
        <f>VLOOKUP($A1005,'Customer Names'!$A:$D,3, FALSE)</f>
        <v>Hopper</v>
      </c>
      <c r="C1005" s="22">
        <f>VLOOKUP($A1005,'Medical Examinations'!$A:$D, 2, FALSE)</f>
        <v>30.7</v>
      </c>
      <c r="D1005" s="22">
        <f>VLOOKUP($A1005, 'Medical Examinations'!$A:$D,3, FALSE)</f>
        <v>5.16</v>
      </c>
      <c r="E1005" s="22" t="str">
        <f>VLOOKUP($A1005, 'Medical Examinations'!$A:$D, 4, FALSE)</f>
        <v>No</v>
      </c>
      <c r="F1005" s="22" t="str">
        <f>VLOOKUP($A1005, 'Medical Examinations'!$A:$J, 5, FALSE)</f>
        <v>No</v>
      </c>
      <c r="G1005" s="22" t="str">
        <f>VLOOKUP($A1005, 'Medical Examinations'!$A:$I, 6, FALSE)</f>
        <v>No</v>
      </c>
      <c r="H1005" s="22">
        <f>VLOOKUP($A1005,'Medical Examinations'!$A:$L,10, FALSE)</f>
        <v>2</v>
      </c>
      <c r="I1005" s="22" t="str">
        <f>VLOOKUP($A1005, 'Medical Examinations'!$A:$J, 9, FALSE)</f>
        <v>No</v>
      </c>
      <c r="J1005" s="22" t="str">
        <f>VLOOKUP($A1005, 'Medical Examinations'!$A:$P, 11, FALSE)</f>
        <v>OBESITY</v>
      </c>
      <c r="K1005" s="34">
        <v>33888.0</v>
      </c>
      <c r="L1005" s="35">
        <f>VLOOKUP($A1005, 'Hospitalisation Details'!$A:$H, 7, FALSE)</f>
        <v>11186.2</v>
      </c>
      <c r="M1005" s="22" t="str">
        <f>VLOOKUP($A1005, 'Hospitalisation Details'!$A:$L, 12, FALSE)</f>
        <v>tier - 3</v>
      </c>
      <c r="N1005" s="22" t="str">
        <f>VLOOKUP($A1005, 'Hospitalisation Details'!$A:$M, 13, FALSE)</f>
        <v>tier - 2</v>
      </c>
      <c r="O1005" s="22" t="str">
        <f>VLOOKUP($A1005, 'Hospitalisation Details'!$A:$N, 14, FALSE)</f>
        <v>R1021</v>
      </c>
      <c r="P1005" s="36">
        <f>VLOOKUP($A1005, 'Hospitalisation Details'!$A:$O, 15, FALSE)</f>
        <v>50</v>
      </c>
    </row>
    <row r="1006" ht="15.75" customHeight="1">
      <c r="A1006" s="33" t="s">
        <v>2011</v>
      </c>
      <c r="B1006" s="22" t="str">
        <f>VLOOKUP($A1006,'Customer Names'!$A:$D,3, FALSE)</f>
        <v>Finneran</v>
      </c>
      <c r="C1006" s="22">
        <f>VLOOKUP($A1006,'Medical Examinations'!$A:$D, 2, FALSE)</f>
        <v>25.935</v>
      </c>
      <c r="D1006" s="22">
        <f>VLOOKUP($A1006, 'Medical Examinations'!$A:$D,3, FALSE)</f>
        <v>5.96</v>
      </c>
      <c r="E1006" s="22" t="str">
        <f>VLOOKUP($A1006, 'Medical Examinations'!$A:$D, 4, FALSE)</f>
        <v>Yes</v>
      </c>
      <c r="F1006" s="22" t="str">
        <f>VLOOKUP($A1006, 'Medical Examinations'!$A:$J, 5, FALSE)</f>
        <v>No</v>
      </c>
      <c r="G1006" s="22" t="str">
        <f>VLOOKUP($A1006, 'Medical Examinations'!$A:$I, 6, FALSE)</f>
        <v>No</v>
      </c>
      <c r="H1006" s="22">
        <f>VLOOKUP($A1006,'Medical Examinations'!$A:$L,10, FALSE)</f>
        <v>2</v>
      </c>
      <c r="I1006" s="22" t="str">
        <f>VLOOKUP($A1006, 'Medical Examinations'!$A:$J, 9, FALSE)</f>
        <v>No</v>
      </c>
      <c r="J1006" s="22" t="str">
        <f>VLOOKUP($A1006, 'Medical Examinations'!$A:$P, 11, FALSE)</f>
        <v>OVERWEIGHT</v>
      </c>
      <c r="K1006" s="34">
        <v>36782.0</v>
      </c>
      <c r="L1006" s="35">
        <f>VLOOKUP($A1006, 'Hospitalisation Details'!$A:$H, 7, FALSE)</f>
        <v>11165.42</v>
      </c>
      <c r="M1006" s="22" t="str">
        <f>VLOOKUP($A1006, 'Hospitalisation Details'!$A:$L, 12, FALSE)</f>
        <v>tier - 3</v>
      </c>
      <c r="N1006" s="22" t="str">
        <f>VLOOKUP($A1006, 'Hospitalisation Details'!$A:$M, 13, FALSE)</f>
        <v>tier - 1</v>
      </c>
      <c r="O1006" s="22" t="str">
        <f>VLOOKUP($A1006, 'Hospitalisation Details'!$A:$N, 14, FALSE)</f>
        <v>R1016</v>
      </c>
      <c r="P1006" s="36">
        <f>VLOOKUP($A1006, 'Hospitalisation Details'!$A:$O, 15, FALSE)</f>
        <v>56</v>
      </c>
    </row>
    <row r="1007" ht="15.75" customHeight="1">
      <c r="A1007" s="33" t="s">
        <v>2013</v>
      </c>
      <c r="B1007" s="22" t="str">
        <f>VLOOKUP($A1007,'Customer Names'!$A:$D,3, FALSE)</f>
        <v>Basham</v>
      </c>
      <c r="C1007" s="22">
        <f>VLOOKUP($A1007,'Medical Examinations'!$A:$D, 2, FALSE)</f>
        <v>35.9</v>
      </c>
      <c r="D1007" s="22">
        <f>VLOOKUP($A1007, 'Medical Examinations'!$A:$D,3, FALSE)</f>
        <v>4.85</v>
      </c>
      <c r="E1007" s="22" t="str">
        <f>VLOOKUP($A1007, 'Medical Examinations'!$A:$D, 4, FALSE)</f>
        <v>Yes</v>
      </c>
      <c r="F1007" s="22" t="str">
        <f>VLOOKUP($A1007, 'Medical Examinations'!$A:$J, 5, FALSE)</f>
        <v>No</v>
      </c>
      <c r="G1007" s="22" t="str">
        <f>VLOOKUP($A1007, 'Medical Examinations'!$A:$I, 6, FALSE)</f>
        <v>Yes</v>
      </c>
      <c r="H1007" s="22">
        <f>VLOOKUP($A1007,'Medical Examinations'!$A:$L,10, FALSE)</f>
        <v>1</v>
      </c>
      <c r="I1007" s="22" t="str">
        <f>VLOOKUP($A1007, 'Medical Examinations'!$A:$J, 9, FALSE)</f>
        <v>No</v>
      </c>
      <c r="J1007" s="22" t="str">
        <f>VLOOKUP($A1007, 'Medical Examinations'!$A:$P, 11, FALSE)</f>
        <v>OBESITY</v>
      </c>
      <c r="K1007" s="34">
        <v>32699.0</v>
      </c>
      <c r="L1007" s="35">
        <f>VLOOKUP($A1007, 'Hospitalisation Details'!$A:$H, 7, FALSE)</f>
        <v>11163.57</v>
      </c>
      <c r="M1007" s="22" t="str">
        <f>VLOOKUP($A1007, 'Hospitalisation Details'!$A:$L, 12, FALSE)</f>
        <v>tier - 3</v>
      </c>
      <c r="N1007" s="22" t="str">
        <f>VLOOKUP($A1007, 'Hospitalisation Details'!$A:$M, 13, FALSE)</f>
        <v>tier - 2</v>
      </c>
      <c r="O1007" s="22" t="str">
        <f>VLOOKUP($A1007, 'Hospitalisation Details'!$A:$N, 14, FALSE)</f>
        <v>R1011</v>
      </c>
      <c r="P1007" s="36">
        <f>VLOOKUP($A1007, 'Hospitalisation Details'!$A:$O, 15, FALSE)</f>
        <v>53</v>
      </c>
    </row>
    <row r="1008" ht="15.75" customHeight="1">
      <c r="A1008" s="33" t="s">
        <v>2015</v>
      </c>
      <c r="B1008" s="22" t="str">
        <f>VLOOKUP($A1008,'Customer Names'!$A:$D,3, FALSE)</f>
        <v>Inman</v>
      </c>
      <c r="C1008" s="22">
        <f>VLOOKUP($A1008,'Medical Examinations'!$A:$D, 2, FALSE)</f>
        <v>26.7</v>
      </c>
      <c r="D1008" s="22">
        <f>VLOOKUP($A1008, 'Medical Examinations'!$A:$D,3, FALSE)</f>
        <v>5.09</v>
      </c>
      <c r="E1008" s="22" t="str">
        <f>VLOOKUP($A1008, 'Medical Examinations'!$A:$D, 4, FALSE)</f>
        <v>Yes</v>
      </c>
      <c r="F1008" s="22" t="str">
        <f>VLOOKUP($A1008, 'Medical Examinations'!$A:$J, 5, FALSE)</f>
        <v>No</v>
      </c>
      <c r="G1008" s="22" t="str">
        <f>VLOOKUP($A1008, 'Medical Examinations'!$A:$I, 6, FALSE)</f>
        <v>Yes</v>
      </c>
      <c r="H1008" s="22">
        <f>VLOOKUP($A1008,'Medical Examinations'!$A:$L,10, FALSE)</f>
        <v>1</v>
      </c>
      <c r="I1008" s="22" t="str">
        <f>VLOOKUP($A1008, 'Medical Examinations'!$A:$J, 9, FALSE)</f>
        <v>No</v>
      </c>
      <c r="J1008" s="22" t="str">
        <f>VLOOKUP($A1008, 'Medical Examinations'!$A:$P, 11, FALSE)</f>
        <v>OVERWEIGHT</v>
      </c>
      <c r="K1008" s="34">
        <v>23688.0</v>
      </c>
      <c r="L1008" s="35">
        <f>VLOOKUP($A1008, 'Hospitalisation Details'!$A:$H, 7, FALSE)</f>
        <v>11150.78</v>
      </c>
      <c r="M1008" s="22" t="str">
        <f>VLOOKUP($A1008, 'Hospitalisation Details'!$A:$L, 12, FALSE)</f>
        <v>tier - 3</v>
      </c>
      <c r="N1008" s="22" t="str">
        <f>VLOOKUP($A1008, 'Hospitalisation Details'!$A:$M, 13, FALSE)</f>
        <v>tier - 2</v>
      </c>
      <c r="O1008" s="22" t="str">
        <f>VLOOKUP($A1008, 'Hospitalisation Details'!$A:$N, 14, FALSE)</f>
        <v>R1011</v>
      </c>
      <c r="P1008" s="36">
        <f>VLOOKUP($A1008, 'Hospitalisation Details'!$A:$O, 15, FALSE)</f>
        <v>53</v>
      </c>
    </row>
    <row r="1009" ht="15.75" customHeight="1">
      <c r="A1009" s="33" t="s">
        <v>2017</v>
      </c>
      <c r="B1009" s="22" t="str">
        <f>VLOOKUP($A1009,'Customer Names'!$A:$D,3, FALSE)</f>
        <v>Oscal</v>
      </c>
      <c r="C1009" s="22">
        <f>VLOOKUP($A1009,'Medical Examinations'!$A:$D, 2, FALSE)</f>
        <v>33.71</v>
      </c>
      <c r="D1009" s="22">
        <f>VLOOKUP($A1009, 'Medical Examinations'!$A:$D,3, FALSE)</f>
        <v>4.94</v>
      </c>
      <c r="E1009" s="22" t="str">
        <f>VLOOKUP($A1009, 'Medical Examinations'!$A:$D, 4, FALSE)</f>
        <v>No</v>
      </c>
      <c r="F1009" s="22" t="str">
        <f>VLOOKUP($A1009, 'Medical Examinations'!$A:$J, 5, FALSE)</f>
        <v>No</v>
      </c>
      <c r="G1009" s="22" t="str">
        <f>VLOOKUP($A1009, 'Medical Examinations'!$A:$I, 6, FALSE)</f>
        <v>No</v>
      </c>
      <c r="H1009" s="22">
        <f>VLOOKUP($A1009,'Medical Examinations'!$A:$L,10, FALSE)</f>
        <v>0</v>
      </c>
      <c r="I1009" s="22" t="str">
        <f>VLOOKUP($A1009, 'Medical Examinations'!$A:$J, 9, FALSE)</f>
        <v>No</v>
      </c>
      <c r="J1009" s="22" t="str">
        <f>VLOOKUP($A1009, 'Medical Examinations'!$A:$P, 11, FALSE)</f>
        <v>OBESITY</v>
      </c>
      <c r="K1009" s="34">
        <v>37964.0</v>
      </c>
      <c r="L1009" s="35">
        <f>VLOOKUP($A1009, 'Hospitalisation Details'!$A:$H, 7, FALSE)</f>
        <v>11103.33</v>
      </c>
      <c r="M1009" s="22" t="str">
        <f>VLOOKUP($A1009, 'Hospitalisation Details'!$A:$L, 12, FALSE)</f>
        <v>tier - 3</v>
      </c>
      <c r="N1009" s="22" t="str">
        <f>VLOOKUP($A1009, 'Hospitalisation Details'!$A:$M, 13, FALSE)</f>
        <v>tier - 1</v>
      </c>
      <c r="O1009" s="22" t="str">
        <f>VLOOKUP($A1009, 'Hospitalisation Details'!$A:$N, 14, FALSE)</f>
        <v>R1021</v>
      </c>
      <c r="P1009" s="36">
        <f>VLOOKUP($A1009, 'Hospitalisation Details'!$A:$O, 15, FALSE)</f>
        <v>42</v>
      </c>
    </row>
    <row r="1010" ht="15.75" customHeight="1">
      <c r="A1010" s="33" t="s">
        <v>2019</v>
      </c>
      <c r="B1010" s="22" t="str">
        <f>VLOOKUP($A1010,'Customer Names'!$A:$D,3, FALSE)</f>
        <v>Craft</v>
      </c>
      <c r="C1010" s="22">
        <f>VLOOKUP($A1010,'Medical Examinations'!$A:$D, 2, FALSE)</f>
        <v>41.91</v>
      </c>
      <c r="D1010" s="22">
        <f>VLOOKUP($A1010, 'Medical Examinations'!$A:$D,3, FALSE)</f>
        <v>4.92</v>
      </c>
      <c r="E1010" s="22" t="str">
        <f>VLOOKUP($A1010, 'Medical Examinations'!$A:$D, 4, FALSE)</f>
        <v>Yes</v>
      </c>
      <c r="F1010" s="22" t="str">
        <f>VLOOKUP($A1010, 'Medical Examinations'!$A:$J, 5, FALSE)</f>
        <v>No</v>
      </c>
      <c r="G1010" s="22" t="str">
        <f>VLOOKUP($A1010, 'Medical Examinations'!$A:$I, 6, FALSE)</f>
        <v>No</v>
      </c>
      <c r="H1010" s="22">
        <f>VLOOKUP($A1010,'Medical Examinations'!$A:$L,10, FALSE)</f>
        <v>2</v>
      </c>
      <c r="I1010" s="22" t="str">
        <f>VLOOKUP($A1010, 'Medical Examinations'!$A:$J, 9, FALSE)</f>
        <v>No</v>
      </c>
      <c r="J1010" s="22" t="str">
        <f>VLOOKUP($A1010, 'Medical Examinations'!$A:$P, 11, FALSE)</f>
        <v>OBESITY</v>
      </c>
      <c r="K1010" s="34">
        <v>33178.0</v>
      </c>
      <c r="L1010" s="35">
        <f>VLOOKUP($A1010, 'Hospitalisation Details'!$A:$H, 7, FALSE)</f>
        <v>11093.62</v>
      </c>
      <c r="M1010" s="22" t="str">
        <f>VLOOKUP($A1010, 'Hospitalisation Details'!$A:$L, 12, FALSE)</f>
        <v>tier - 3</v>
      </c>
      <c r="N1010" s="22" t="str">
        <f>VLOOKUP($A1010, 'Hospitalisation Details'!$A:$M, 13, FALSE)</f>
        <v>tier - 1</v>
      </c>
      <c r="O1010" s="22" t="str">
        <f>VLOOKUP($A1010, 'Hospitalisation Details'!$A:$N, 14, FALSE)</f>
        <v>R1013</v>
      </c>
      <c r="P1010" s="36">
        <f>VLOOKUP($A1010, 'Hospitalisation Details'!$A:$O, 15, FALSE)</f>
        <v>56</v>
      </c>
    </row>
    <row r="1011" ht="15.75" customHeight="1">
      <c r="A1011" s="33" t="s">
        <v>2021</v>
      </c>
      <c r="B1011" s="22" t="str">
        <f>VLOOKUP($A1011,'Customer Names'!$A:$D,3, FALSE)</f>
        <v>Kebede</v>
      </c>
      <c r="C1011" s="22">
        <f>VLOOKUP($A1011,'Medical Examinations'!$A:$D, 2, FALSE)</f>
        <v>39.82</v>
      </c>
      <c r="D1011" s="22">
        <f>VLOOKUP($A1011, 'Medical Examinations'!$A:$D,3, FALSE)</f>
        <v>6.05</v>
      </c>
      <c r="E1011" s="22" t="str">
        <f>VLOOKUP($A1011, 'Medical Examinations'!$A:$D, 4, FALSE)</f>
        <v>Yes</v>
      </c>
      <c r="F1011" s="22" t="str">
        <f>VLOOKUP($A1011, 'Medical Examinations'!$A:$J, 5, FALSE)</f>
        <v>No</v>
      </c>
      <c r="G1011" s="22" t="str">
        <f>VLOOKUP($A1011, 'Medical Examinations'!$A:$I, 6, FALSE)</f>
        <v>No</v>
      </c>
      <c r="H1011" s="22">
        <f>VLOOKUP($A1011,'Medical Examinations'!$A:$L,10, FALSE)</f>
        <v>2</v>
      </c>
      <c r="I1011" s="22" t="str">
        <f>VLOOKUP($A1011, 'Medical Examinations'!$A:$J, 9, FALSE)</f>
        <v>No</v>
      </c>
      <c r="J1011" s="22" t="str">
        <f>VLOOKUP($A1011, 'Medical Examinations'!$A:$P, 11, FALSE)</f>
        <v>OBESITY</v>
      </c>
      <c r="K1011" s="34">
        <v>33199.0</v>
      </c>
      <c r="L1011" s="35">
        <f>VLOOKUP($A1011, 'Hospitalisation Details'!$A:$H, 7, FALSE)</f>
        <v>11090.72</v>
      </c>
      <c r="M1011" s="22" t="str">
        <f>VLOOKUP($A1011, 'Hospitalisation Details'!$A:$L, 12, FALSE)</f>
        <v>tier - 3</v>
      </c>
      <c r="N1011" s="22" t="str">
        <f>VLOOKUP($A1011, 'Hospitalisation Details'!$A:$M, 13, FALSE)</f>
        <v>tier - 1</v>
      </c>
      <c r="O1011" s="22" t="str">
        <f>VLOOKUP($A1011, 'Hospitalisation Details'!$A:$N, 14, FALSE)</f>
        <v>R1013</v>
      </c>
      <c r="P1011" s="36">
        <f>VLOOKUP($A1011, 'Hospitalisation Details'!$A:$O, 15, FALSE)</f>
        <v>56</v>
      </c>
    </row>
    <row r="1012" ht="15.75" customHeight="1">
      <c r="A1012" s="33" t="s">
        <v>2023</v>
      </c>
      <c r="B1012" s="22" t="str">
        <f>VLOOKUP($A1012,'Customer Names'!$A:$D,3, FALSE)</f>
        <v>Strobel</v>
      </c>
      <c r="C1012" s="22">
        <f>VLOOKUP($A1012,'Medical Examinations'!$A:$D, 2, FALSE)</f>
        <v>28.12</v>
      </c>
      <c r="D1012" s="22">
        <f>VLOOKUP($A1012, 'Medical Examinations'!$A:$D,3, FALSE)</f>
        <v>4.67</v>
      </c>
      <c r="E1012" s="22" t="str">
        <f>VLOOKUP($A1012, 'Medical Examinations'!$A:$D, 4, FALSE)</f>
        <v>No</v>
      </c>
      <c r="F1012" s="22" t="str">
        <f>VLOOKUP($A1012, 'Medical Examinations'!$A:$J, 5, FALSE)</f>
        <v>No</v>
      </c>
      <c r="G1012" s="22" t="str">
        <f>VLOOKUP($A1012, 'Medical Examinations'!$A:$I, 6, FALSE)</f>
        <v>No</v>
      </c>
      <c r="H1012" s="22">
        <f>VLOOKUP($A1012,'Medical Examinations'!$A:$L,10, FALSE)</f>
        <v>2</v>
      </c>
      <c r="I1012" s="22" t="str">
        <f>VLOOKUP($A1012, 'Medical Examinations'!$A:$J, 9, FALSE)</f>
        <v>No</v>
      </c>
      <c r="J1012" s="22" t="str">
        <f>VLOOKUP($A1012, 'Medical Examinations'!$A:$P, 11, FALSE)</f>
        <v>OVERWEIGHT</v>
      </c>
      <c r="K1012" s="34">
        <v>35316.0</v>
      </c>
      <c r="L1012" s="35">
        <f>VLOOKUP($A1012, 'Hospitalisation Details'!$A:$H, 7, FALSE)</f>
        <v>11085.59</v>
      </c>
      <c r="M1012" s="22" t="str">
        <f>VLOOKUP($A1012, 'Hospitalisation Details'!$A:$L, 12, FALSE)</f>
        <v>tier - 3</v>
      </c>
      <c r="N1012" s="22" t="str">
        <f>VLOOKUP($A1012, 'Hospitalisation Details'!$A:$M, 13, FALSE)</f>
        <v>tier - 2</v>
      </c>
      <c r="O1012" s="22" t="str">
        <f>VLOOKUP($A1012, 'Hospitalisation Details'!$A:$N, 14, FALSE)</f>
        <v>R1012</v>
      </c>
      <c r="P1012" s="36">
        <f>VLOOKUP($A1012, 'Hospitalisation Details'!$A:$O, 15, FALSE)</f>
        <v>50</v>
      </c>
    </row>
    <row r="1013" ht="15.75" customHeight="1">
      <c r="A1013" s="33" t="s">
        <v>2025</v>
      </c>
      <c r="B1013" s="22" t="str">
        <f>VLOOKUP($A1013,'Customer Names'!$A:$D,3, FALSE)</f>
        <v>Dalton</v>
      </c>
      <c r="C1013" s="22">
        <f>VLOOKUP($A1013,'Medical Examinations'!$A:$D, 2, FALSE)</f>
        <v>26.98</v>
      </c>
      <c r="D1013" s="22">
        <f>VLOOKUP($A1013, 'Medical Examinations'!$A:$D,3, FALSE)</f>
        <v>9.81</v>
      </c>
      <c r="E1013" s="22" t="str">
        <f>VLOOKUP($A1013, 'Medical Examinations'!$A:$D, 4, FALSE)</f>
        <v>Yes</v>
      </c>
      <c r="F1013" s="22" t="str">
        <f>VLOOKUP($A1013, 'Medical Examinations'!$A:$J, 5, FALSE)</f>
        <v>No</v>
      </c>
      <c r="G1013" s="22" t="str">
        <f>VLOOKUP($A1013, 'Medical Examinations'!$A:$I, 6, FALSE)</f>
        <v>No</v>
      </c>
      <c r="H1013" s="22">
        <f>VLOOKUP($A1013,'Medical Examinations'!$A:$L,10, FALSE)</f>
        <v>0</v>
      </c>
      <c r="I1013" s="22" t="str">
        <f>VLOOKUP($A1013, 'Medical Examinations'!$A:$J, 9, FALSE)</f>
        <v>No</v>
      </c>
      <c r="J1013" s="22" t="str">
        <f>VLOOKUP($A1013, 'Medical Examinations'!$A:$P, 11, FALSE)</f>
        <v>OVERWEIGHT</v>
      </c>
      <c r="K1013" s="34">
        <v>35294.0</v>
      </c>
      <c r="L1013" s="35">
        <f>VLOOKUP($A1013, 'Hospitalisation Details'!$A:$H, 7, FALSE)</f>
        <v>11082.58</v>
      </c>
      <c r="M1013" s="22" t="str">
        <f>VLOOKUP($A1013, 'Hospitalisation Details'!$A:$L, 12, FALSE)</f>
        <v>tier - 3</v>
      </c>
      <c r="N1013" s="22" t="str">
        <f>VLOOKUP($A1013, 'Hospitalisation Details'!$A:$M, 13, FALSE)</f>
        <v>tier - 2</v>
      </c>
      <c r="O1013" s="22" t="str">
        <f>VLOOKUP($A1013, 'Hospitalisation Details'!$A:$N, 14, FALSE)</f>
        <v>R1012</v>
      </c>
      <c r="P1013" s="36">
        <f>VLOOKUP($A1013, 'Hospitalisation Details'!$A:$O, 15, FALSE)</f>
        <v>55</v>
      </c>
    </row>
    <row r="1014" ht="15.75" customHeight="1">
      <c r="A1014" s="33" t="s">
        <v>2027</v>
      </c>
      <c r="B1014" s="22" t="str">
        <f>VLOOKUP($A1014,'Customer Names'!$A:$D,3, FALSE)</f>
        <v>Morimoto</v>
      </c>
      <c r="C1014" s="22">
        <f>VLOOKUP($A1014,'Medical Examinations'!$A:$D, 2, FALSE)</f>
        <v>27.2</v>
      </c>
      <c r="D1014" s="22">
        <f>VLOOKUP($A1014, 'Medical Examinations'!$A:$D,3, FALSE)</f>
        <v>6.06</v>
      </c>
      <c r="E1014" s="22" t="str">
        <f>VLOOKUP($A1014, 'Medical Examinations'!$A:$D, 4, FALSE)</f>
        <v>Yes</v>
      </c>
      <c r="F1014" s="22" t="str">
        <f>VLOOKUP($A1014, 'Medical Examinations'!$A:$J, 5, FALSE)</f>
        <v>No</v>
      </c>
      <c r="G1014" s="22" t="str">
        <f>VLOOKUP($A1014, 'Medical Examinations'!$A:$I, 6, FALSE)</f>
        <v>No</v>
      </c>
      <c r="H1014" s="22">
        <f>VLOOKUP($A1014,'Medical Examinations'!$A:$L,10, FALSE)</f>
        <v>2</v>
      </c>
      <c r="I1014" s="22" t="str">
        <f>VLOOKUP($A1014, 'Medical Examinations'!$A:$J, 9, FALSE)</f>
        <v>No</v>
      </c>
      <c r="J1014" s="22" t="str">
        <f>VLOOKUP($A1014, 'Medical Examinations'!$A:$P, 11, FALSE)</f>
        <v>OVERWEIGHT</v>
      </c>
      <c r="K1014" s="34">
        <v>33083.0</v>
      </c>
      <c r="L1014" s="35">
        <f>VLOOKUP($A1014, 'Hospitalisation Details'!$A:$H, 7, FALSE)</f>
        <v>11073.18</v>
      </c>
      <c r="M1014" s="22" t="str">
        <f>VLOOKUP($A1014, 'Hospitalisation Details'!$A:$L, 12, FALSE)</f>
        <v>tier - 3</v>
      </c>
      <c r="N1014" s="22" t="str">
        <f>VLOOKUP($A1014, 'Hospitalisation Details'!$A:$M, 13, FALSE)</f>
        <v>tier - 3</v>
      </c>
      <c r="O1014" s="22" t="str">
        <f>VLOOKUP($A1014, 'Hospitalisation Details'!$A:$N, 14, FALSE)</f>
        <v>R1011</v>
      </c>
      <c r="P1014" s="36">
        <f>VLOOKUP($A1014, 'Hospitalisation Details'!$A:$O, 15, FALSE)</f>
        <v>56</v>
      </c>
    </row>
    <row r="1015" ht="15.75" customHeight="1">
      <c r="A1015" s="33" t="s">
        <v>2029</v>
      </c>
      <c r="B1015" s="22" t="str">
        <f>VLOOKUP($A1015,'Customer Names'!$A:$D,3, FALSE)</f>
        <v>Manlove</v>
      </c>
      <c r="C1015" s="22">
        <f>VLOOKUP($A1015,'Medical Examinations'!$A:$D, 2, FALSE)</f>
        <v>25.3</v>
      </c>
      <c r="D1015" s="22">
        <f>VLOOKUP($A1015, 'Medical Examinations'!$A:$D,3, FALSE)</f>
        <v>5.19</v>
      </c>
      <c r="E1015" s="22" t="str">
        <f>VLOOKUP($A1015, 'Medical Examinations'!$A:$D, 4, FALSE)</f>
        <v>Yes</v>
      </c>
      <c r="F1015" s="22" t="str">
        <f>VLOOKUP($A1015, 'Medical Examinations'!$A:$J, 5, FALSE)</f>
        <v>No</v>
      </c>
      <c r="G1015" s="22" t="str">
        <f>VLOOKUP($A1015, 'Medical Examinations'!$A:$I, 6, FALSE)</f>
        <v>No</v>
      </c>
      <c r="H1015" s="22">
        <f>VLOOKUP($A1015,'Medical Examinations'!$A:$L,10, FALSE)</f>
        <v>2</v>
      </c>
      <c r="I1015" s="22" t="str">
        <f>VLOOKUP($A1015, 'Medical Examinations'!$A:$J, 9, FALSE)</f>
        <v>No</v>
      </c>
      <c r="J1015" s="22" t="str">
        <f>VLOOKUP($A1015, 'Medical Examinations'!$A:$P, 11, FALSE)</f>
        <v>OVERWEIGHT</v>
      </c>
      <c r="K1015" s="34">
        <v>34891.0</v>
      </c>
      <c r="L1015" s="35">
        <f>VLOOKUP($A1015, 'Hospitalisation Details'!$A:$H, 7, FALSE)</f>
        <v>11070.54</v>
      </c>
      <c r="M1015" s="22" t="str">
        <f>VLOOKUP($A1015, 'Hospitalisation Details'!$A:$L, 12, FALSE)</f>
        <v>tier - 3</v>
      </c>
      <c r="N1015" s="22" t="str">
        <f>VLOOKUP($A1015, 'Hospitalisation Details'!$A:$M, 13, FALSE)</f>
        <v>tier - 3</v>
      </c>
      <c r="O1015" s="22" t="str">
        <f>VLOOKUP($A1015, 'Hospitalisation Details'!$A:$N, 14, FALSE)</f>
        <v>R1011</v>
      </c>
      <c r="P1015" s="36">
        <f>VLOOKUP($A1015, 'Hospitalisation Details'!$A:$O, 15, FALSE)</f>
        <v>56</v>
      </c>
    </row>
    <row r="1016" ht="15.75" customHeight="1">
      <c r="A1016" s="33" t="s">
        <v>2031</v>
      </c>
      <c r="B1016" s="22" t="str">
        <f>VLOOKUP($A1016,'Customer Names'!$A:$D,3, FALSE)</f>
        <v>Madzik</v>
      </c>
      <c r="C1016" s="22">
        <f>VLOOKUP($A1016,'Medical Examinations'!$A:$D, 2, FALSE)</f>
        <v>30.25</v>
      </c>
      <c r="D1016" s="22">
        <f>VLOOKUP($A1016, 'Medical Examinations'!$A:$D,3, FALSE)</f>
        <v>10.16</v>
      </c>
      <c r="E1016" s="22" t="str">
        <f>VLOOKUP($A1016, 'Medical Examinations'!$A:$D, 4, FALSE)</f>
        <v>No</v>
      </c>
      <c r="F1016" s="22" t="str">
        <f>VLOOKUP($A1016, 'Medical Examinations'!$A:$J, 5, FALSE)</f>
        <v>No</v>
      </c>
      <c r="G1016" s="22" t="str">
        <f>VLOOKUP($A1016, 'Medical Examinations'!$A:$I, 6, FALSE)</f>
        <v>No</v>
      </c>
      <c r="H1016" s="22">
        <f>VLOOKUP($A1016,'Medical Examinations'!$A:$L,10, FALSE)</f>
        <v>0</v>
      </c>
      <c r="I1016" s="22" t="str">
        <f>VLOOKUP($A1016, 'Medical Examinations'!$A:$J, 9, FALSE)</f>
        <v>No</v>
      </c>
      <c r="J1016" s="22" t="str">
        <f>VLOOKUP($A1016, 'Medical Examinations'!$A:$P, 11, FALSE)</f>
        <v>OBESITY</v>
      </c>
      <c r="K1016" s="34">
        <v>36351.0</v>
      </c>
      <c r="L1016" s="35">
        <f>VLOOKUP($A1016, 'Hospitalisation Details'!$A:$H, 7, FALSE)</f>
        <v>11068.77</v>
      </c>
      <c r="M1016" s="22" t="str">
        <f>VLOOKUP($A1016, 'Hospitalisation Details'!$A:$L, 12, FALSE)</f>
        <v>tier - 3</v>
      </c>
      <c r="N1016" s="22" t="str">
        <f>VLOOKUP($A1016, 'Hospitalisation Details'!$A:$M, 13, FALSE)</f>
        <v>tier - 2</v>
      </c>
      <c r="O1016" s="22" t="str">
        <f>VLOOKUP($A1016, 'Hospitalisation Details'!$A:$N, 14, FALSE)</f>
        <v>R1012</v>
      </c>
      <c r="P1016" s="36">
        <f>VLOOKUP($A1016, 'Hospitalisation Details'!$A:$O, 15, FALSE)</f>
        <v>51</v>
      </c>
    </row>
    <row r="1017" ht="15.75" customHeight="1">
      <c r="A1017" s="33" t="s">
        <v>2033</v>
      </c>
      <c r="B1017" s="22" t="str">
        <f>VLOOKUP($A1017,'Customer Names'!$A:$D,3, FALSE)</f>
        <v>Hobson</v>
      </c>
      <c r="C1017" s="22">
        <f>VLOOKUP($A1017,'Medical Examinations'!$A:$D, 2, FALSE)</f>
        <v>54</v>
      </c>
      <c r="D1017" s="22">
        <f>VLOOKUP($A1017, 'Medical Examinations'!$A:$D,3, FALSE)</f>
        <v>4.68</v>
      </c>
      <c r="E1017" s="22" t="str">
        <f>VLOOKUP($A1017, 'Medical Examinations'!$A:$D, 4, FALSE)</f>
        <v>Yes</v>
      </c>
      <c r="F1017" s="22" t="str">
        <f>VLOOKUP($A1017, 'Medical Examinations'!$A:$J, 5, FALSE)</f>
        <v>Yes</v>
      </c>
      <c r="G1017" s="22" t="str">
        <f>VLOOKUP($A1017, 'Medical Examinations'!$A:$I, 6, FALSE)</f>
        <v>No</v>
      </c>
      <c r="H1017" s="22">
        <f>VLOOKUP($A1017,'Medical Examinations'!$A:$L,10, FALSE)</f>
        <v>2</v>
      </c>
      <c r="I1017" s="22" t="str">
        <f>VLOOKUP($A1017, 'Medical Examinations'!$A:$J, 9, FALSE)</f>
        <v>No</v>
      </c>
      <c r="J1017" s="22" t="str">
        <f>VLOOKUP($A1017, 'Medical Examinations'!$A:$P, 11, FALSE)</f>
        <v>OBESITY</v>
      </c>
      <c r="K1017" s="34">
        <v>34284.0</v>
      </c>
      <c r="L1017" s="35">
        <f>VLOOKUP($A1017, 'Hospitalisation Details'!$A:$H, 7, FALSE)</f>
        <v>11068.7</v>
      </c>
      <c r="M1017" s="22" t="str">
        <f>VLOOKUP($A1017, 'Hospitalisation Details'!$A:$L, 12, FALSE)</f>
        <v>tier - 3</v>
      </c>
      <c r="N1017" s="22" t="str">
        <f>VLOOKUP($A1017, 'Hospitalisation Details'!$A:$M, 13, FALSE)</f>
        <v>tier - 1</v>
      </c>
      <c r="O1017" s="22" t="str">
        <f>VLOOKUP($A1017, 'Hospitalisation Details'!$A:$N, 14, FALSE)</f>
        <v>R1011</v>
      </c>
      <c r="P1017" s="36">
        <f>VLOOKUP($A1017, 'Hospitalisation Details'!$A:$O, 15, FALSE)</f>
        <v>22</v>
      </c>
    </row>
    <row r="1018" ht="15.75" customHeight="1">
      <c r="A1018" s="33" t="s">
        <v>2035</v>
      </c>
      <c r="B1018" s="22" t="str">
        <f>VLOOKUP($A1018,'Customer Names'!$A:$D,3, FALSE)</f>
        <v>Reyes</v>
      </c>
      <c r="C1018" s="22">
        <f>VLOOKUP($A1018,'Medical Examinations'!$A:$D, 2, FALSE)</f>
        <v>51.86</v>
      </c>
      <c r="D1018" s="22">
        <f>VLOOKUP($A1018, 'Medical Examinations'!$A:$D,3, FALSE)</f>
        <v>5.32</v>
      </c>
      <c r="E1018" s="22" t="str">
        <f>VLOOKUP($A1018, 'Medical Examinations'!$A:$D, 4, FALSE)</f>
        <v>Yes</v>
      </c>
      <c r="F1018" s="22" t="str">
        <f>VLOOKUP($A1018, 'Medical Examinations'!$A:$J, 5, FALSE)</f>
        <v>No</v>
      </c>
      <c r="G1018" s="22" t="str">
        <f>VLOOKUP($A1018, 'Medical Examinations'!$A:$I, 6, FALSE)</f>
        <v>No</v>
      </c>
      <c r="H1018" s="22">
        <f>VLOOKUP($A1018,'Medical Examinations'!$A:$L,10, FALSE)</f>
        <v>0</v>
      </c>
      <c r="I1018" s="22" t="str">
        <f>VLOOKUP($A1018, 'Medical Examinations'!$A:$J, 9, FALSE)</f>
        <v>No</v>
      </c>
      <c r="J1018" s="22" t="str">
        <f>VLOOKUP($A1018, 'Medical Examinations'!$A:$P, 11, FALSE)</f>
        <v>OBESITY</v>
      </c>
      <c r="K1018" s="34">
        <v>34241.0</v>
      </c>
      <c r="L1018" s="35">
        <f>VLOOKUP($A1018, 'Hospitalisation Details'!$A:$H, 7, FALSE)</f>
        <v>11046.02</v>
      </c>
      <c r="M1018" s="22" t="str">
        <f>VLOOKUP($A1018, 'Hospitalisation Details'!$A:$L, 12, FALSE)</f>
        <v>tier - 3</v>
      </c>
      <c r="N1018" s="22" t="str">
        <f>VLOOKUP($A1018, 'Hospitalisation Details'!$A:$M, 13, FALSE)</f>
        <v>tier - 1</v>
      </c>
      <c r="O1018" s="22" t="str">
        <f>VLOOKUP($A1018, 'Hospitalisation Details'!$A:$N, 14, FALSE)</f>
        <v>R1026</v>
      </c>
      <c r="P1018" s="36">
        <f>VLOOKUP($A1018, 'Hospitalisation Details'!$A:$O, 15, FALSE)</f>
        <v>21</v>
      </c>
    </row>
    <row r="1019" ht="15.75" customHeight="1">
      <c r="A1019" s="33" t="s">
        <v>2037</v>
      </c>
      <c r="B1019" s="22" t="str">
        <f>VLOOKUP($A1019,'Customer Names'!$A:$D,3, FALSE)</f>
        <v>Tierney</v>
      </c>
      <c r="C1019" s="22">
        <f>VLOOKUP($A1019,'Medical Examinations'!$A:$D, 2, FALSE)</f>
        <v>31.39</v>
      </c>
      <c r="D1019" s="22">
        <f>VLOOKUP($A1019, 'Medical Examinations'!$A:$D,3, FALSE)</f>
        <v>6.99</v>
      </c>
      <c r="E1019" s="22" t="str">
        <f>VLOOKUP($A1019, 'Medical Examinations'!$A:$D, 4, FALSE)</f>
        <v>No</v>
      </c>
      <c r="F1019" s="22" t="str">
        <f>VLOOKUP($A1019, 'Medical Examinations'!$A:$J, 5, FALSE)</f>
        <v>No</v>
      </c>
      <c r="G1019" s="22" t="str">
        <f>VLOOKUP($A1019, 'Medical Examinations'!$A:$I, 6, FALSE)</f>
        <v>No</v>
      </c>
      <c r="H1019" s="22">
        <f>VLOOKUP($A1019,'Medical Examinations'!$A:$L,10, FALSE)</f>
        <v>0</v>
      </c>
      <c r="I1019" s="22" t="str">
        <f>VLOOKUP($A1019, 'Medical Examinations'!$A:$J, 9, FALSE)</f>
        <v>No</v>
      </c>
      <c r="J1019" s="22" t="str">
        <f>VLOOKUP($A1019, 'Medical Examinations'!$A:$P, 11, FALSE)</f>
        <v>OBESITY</v>
      </c>
      <c r="K1019" s="34">
        <v>32440.0</v>
      </c>
      <c r="L1019" s="35">
        <f>VLOOKUP($A1019, 'Hospitalisation Details'!$A:$H, 7, FALSE)</f>
        <v>11037.85</v>
      </c>
      <c r="M1019" s="22" t="str">
        <f>VLOOKUP($A1019, 'Hospitalisation Details'!$A:$L, 12, FALSE)</f>
        <v>tier - 3</v>
      </c>
      <c r="N1019" s="22" t="str">
        <f>VLOOKUP($A1019, 'Hospitalisation Details'!$A:$M, 13, FALSE)</f>
        <v>tier - 2</v>
      </c>
      <c r="O1019" s="22" t="str">
        <f>VLOOKUP($A1019, 'Hospitalisation Details'!$A:$N, 14, FALSE)</f>
        <v>R1025</v>
      </c>
      <c r="P1019" s="36">
        <f>VLOOKUP($A1019, 'Hospitalisation Details'!$A:$O, 15, FALSE)</f>
        <v>48</v>
      </c>
    </row>
    <row r="1020" ht="15.75" customHeight="1">
      <c r="A1020" s="33" t="s">
        <v>2039</v>
      </c>
      <c r="B1020" s="22" t="str">
        <f>VLOOKUP($A1020,'Customer Names'!$A:$D,3, FALSE)</f>
        <v>Gabris</v>
      </c>
      <c r="C1020" s="22">
        <f>VLOOKUP($A1020,'Medical Examinations'!$A:$D, 2, FALSE)</f>
        <v>39.97</v>
      </c>
      <c r="D1020" s="22">
        <f>VLOOKUP($A1020, 'Medical Examinations'!$A:$D,3, FALSE)</f>
        <v>5.55</v>
      </c>
      <c r="E1020" s="22" t="str">
        <f>VLOOKUP($A1020, 'Medical Examinations'!$A:$D, 4, FALSE)</f>
        <v>No</v>
      </c>
      <c r="F1020" s="22" t="str">
        <f>VLOOKUP($A1020, 'Medical Examinations'!$A:$J, 5, FALSE)</f>
        <v>No</v>
      </c>
      <c r="G1020" s="22" t="str">
        <f>VLOOKUP($A1020, 'Medical Examinations'!$A:$I, 6, FALSE)</f>
        <v>No</v>
      </c>
      <c r="H1020" s="22">
        <f>VLOOKUP($A1020,'Medical Examinations'!$A:$L,10, FALSE)</f>
        <v>0</v>
      </c>
      <c r="I1020" s="22" t="str">
        <f>VLOOKUP($A1020, 'Medical Examinations'!$A:$J, 9, FALSE)</f>
        <v>No</v>
      </c>
      <c r="J1020" s="22" t="str">
        <f>VLOOKUP($A1020, 'Medical Examinations'!$A:$P, 11, FALSE)</f>
        <v>OBESITY</v>
      </c>
      <c r="K1020" s="34">
        <v>27550.0</v>
      </c>
      <c r="L1020" s="35">
        <f>VLOOKUP($A1020, 'Hospitalisation Details'!$A:$H, 7, FALSE)</f>
        <v>11037.51</v>
      </c>
      <c r="M1020" s="22" t="str">
        <f>VLOOKUP($A1020, 'Hospitalisation Details'!$A:$L, 12, FALSE)</f>
        <v>tier - 3</v>
      </c>
      <c r="N1020" s="22" t="str">
        <f>VLOOKUP($A1020, 'Hospitalisation Details'!$A:$M, 13, FALSE)</f>
        <v>tier - 1</v>
      </c>
      <c r="O1020" s="22" t="str">
        <f>VLOOKUP($A1020, 'Hospitalisation Details'!$A:$N, 14, FALSE)</f>
        <v>R1012</v>
      </c>
      <c r="P1020" s="36">
        <f>VLOOKUP($A1020, 'Hospitalisation Details'!$A:$O, 15, FALSE)</f>
        <v>33</v>
      </c>
    </row>
    <row r="1021" ht="15.75" customHeight="1">
      <c r="A1021" s="33" t="s">
        <v>2041</v>
      </c>
      <c r="B1021" s="22" t="str">
        <f>VLOOKUP($A1021,'Customer Names'!$A:$D,3, FALSE)</f>
        <v>Howard</v>
      </c>
      <c r="C1021" s="22">
        <f>VLOOKUP($A1021,'Medical Examinations'!$A:$D, 2, FALSE)</f>
        <v>41.23</v>
      </c>
      <c r="D1021" s="22">
        <f>VLOOKUP($A1021, 'Medical Examinations'!$A:$D,3, FALSE)</f>
        <v>6.94</v>
      </c>
      <c r="E1021" s="22" t="str">
        <f>VLOOKUP($A1021, 'Medical Examinations'!$A:$D, 4, FALSE)</f>
        <v>No</v>
      </c>
      <c r="F1021" s="22" t="str">
        <f>VLOOKUP($A1021, 'Medical Examinations'!$A:$J, 5, FALSE)</f>
        <v>No</v>
      </c>
      <c r="G1021" s="22" t="str">
        <f>VLOOKUP($A1021, 'Medical Examinations'!$A:$I, 6, FALSE)</f>
        <v>No</v>
      </c>
      <c r="H1021" s="22">
        <f>VLOOKUP($A1021,'Medical Examinations'!$A:$L,10, FALSE)</f>
        <v>0</v>
      </c>
      <c r="I1021" s="22" t="str">
        <f>VLOOKUP($A1021, 'Medical Examinations'!$A:$J, 9, FALSE)</f>
        <v>No</v>
      </c>
      <c r="J1021" s="22" t="str">
        <f>VLOOKUP($A1021, 'Medical Examinations'!$A:$P, 11, FALSE)</f>
        <v>OBESITY</v>
      </c>
      <c r="K1021" s="34">
        <v>37422.0</v>
      </c>
      <c r="L1021" s="35">
        <f>VLOOKUP($A1021, 'Hospitalisation Details'!$A:$H, 7, FALSE)</f>
        <v>11033.66</v>
      </c>
      <c r="M1021" s="22" t="str">
        <f>VLOOKUP($A1021, 'Hospitalisation Details'!$A:$L, 12, FALSE)</f>
        <v>tier - 3</v>
      </c>
      <c r="N1021" s="22" t="str">
        <f>VLOOKUP($A1021, 'Hospitalisation Details'!$A:$M, 13, FALSE)</f>
        <v>tier - 3</v>
      </c>
      <c r="O1021" s="22" t="str">
        <f>VLOOKUP($A1021, 'Hospitalisation Details'!$A:$N, 14, FALSE)</f>
        <v>R1012</v>
      </c>
      <c r="P1021" s="36">
        <f>VLOOKUP($A1021, 'Hospitalisation Details'!$A:$O, 15, FALSE)</f>
        <v>48</v>
      </c>
    </row>
    <row r="1022" ht="15.75" customHeight="1">
      <c r="A1022" s="33" t="s">
        <v>2043</v>
      </c>
      <c r="B1022" s="22" t="str">
        <f>VLOOKUP($A1022,'Customer Names'!$A:$D,3, FALSE)</f>
        <v>Kallay</v>
      </c>
      <c r="C1022" s="22">
        <f>VLOOKUP($A1022,'Medical Examinations'!$A:$D, 2, FALSE)</f>
        <v>49.45</v>
      </c>
      <c r="D1022" s="22">
        <f>VLOOKUP($A1022, 'Medical Examinations'!$A:$D,3, FALSE)</f>
        <v>4.2</v>
      </c>
      <c r="E1022" s="22" t="str">
        <f>VLOOKUP($A1022, 'Medical Examinations'!$A:$D, 4, FALSE)</f>
        <v>Yes</v>
      </c>
      <c r="F1022" s="22" t="str">
        <f>VLOOKUP($A1022, 'Medical Examinations'!$A:$J, 5, FALSE)</f>
        <v>No</v>
      </c>
      <c r="G1022" s="22" t="str">
        <f>VLOOKUP($A1022, 'Medical Examinations'!$A:$I, 6, FALSE)</f>
        <v>No</v>
      </c>
      <c r="H1022" s="22">
        <f>VLOOKUP($A1022,'Medical Examinations'!$A:$L,10, FALSE)</f>
        <v>0</v>
      </c>
      <c r="I1022" s="22" t="str">
        <f>VLOOKUP($A1022, 'Medical Examinations'!$A:$J, 9, FALSE)</f>
        <v>No</v>
      </c>
      <c r="J1022" s="22" t="str">
        <f>VLOOKUP($A1022, 'Medical Examinations'!$A:$P, 11, FALSE)</f>
        <v>OBESITY</v>
      </c>
      <c r="K1022" s="34">
        <v>36717.0</v>
      </c>
      <c r="L1022" s="35">
        <f>VLOOKUP($A1022, 'Hospitalisation Details'!$A:$H, 7, FALSE)</f>
        <v>11028.56</v>
      </c>
      <c r="M1022" s="22" t="str">
        <f>VLOOKUP($A1022, 'Hospitalisation Details'!$A:$L, 12, FALSE)</f>
        <v>tier - 3</v>
      </c>
      <c r="N1022" s="22" t="str">
        <f>VLOOKUP($A1022, 'Hospitalisation Details'!$A:$M, 13, FALSE)</f>
        <v>tier - 3</v>
      </c>
      <c r="O1022" s="22" t="str">
        <f>VLOOKUP($A1022, 'Hospitalisation Details'!$A:$N, 14, FALSE)</f>
        <v>R1012</v>
      </c>
      <c r="P1022" s="36">
        <f>VLOOKUP($A1022, 'Hospitalisation Details'!$A:$O, 15, FALSE)</f>
        <v>26</v>
      </c>
    </row>
    <row r="1023" ht="15.75" customHeight="1">
      <c r="A1023" s="33" t="s">
        <v>2045</v>
      </c>
      <c r="B1023" s="22" t="str">
        <f>VLOOKUP($A1023,'Customer Names'!$A:$D,3, FALSE)</f>
        <v>Leguizamo</v>
      </c>
      <c r="C1023" s="22">
        <f>VLOOKUP($A1023,'Medical Examinations'!$A:$D, 2, FALSE)</f>
        <v>41.04</v>
      </c>
      <c r="D1023" s="22">
        <f>VLOOKUP($A1023, 'Medical Examinations'!$A:$D,3, FALSE)</f>
        <v>5.59</v>
      </c>
      <c r="E1023" s="22" t="str">
        <f>VLOOKUP($A1023, 'Medical Examinations'!$A:$D, 4, FALSE)</f>
        <v>No</v>
      </c>
      <c r="F1023" s="22" t="str">
        <f>VLOOKUP($A1023, 'Medical Examinations'!$A:$J, 5, FALSE)</f>
        <v>No</v>
      </c>
      <c r="G1023" s="22" t="str">
        <f>VLOOKUP($A1023, 'Medical Examinations'!$A:$I, 6, FALSE)</f>
        <v>No</v>
      </c>
      <c r="H1023" s="22">
        <f>VLOOKUP($A1023,'Medical Examinations'!$A:$L,10, FALSE)</f>
        <v>0</v>
      </c>
      <c r="I1023" s="22" t="str">
        <f>VLOOKUP($A1023, 'Medical Examinations'!$A:$J, 9, FALSE)</f>
        <v>No</v>
      </c>
      <c r="J1023" s="22" t="str">
        <f>VLOOKUP($A1023, 'Medical Examinations'!$A:$P, 11, FALSE)</f>
        <v>OBESITY</v>
      </c>
      <c r="K1023" s="34">
        <v>31233.0</v>
      </c>
      <c r="L1023" s="35">
        <f>VLOOKUP($A1023, 'Hospitalisation Details'!$A:$H, 7, FALSE)</f>
        <v>11018.05</v>
      </c>
      <c r="M1023" s="22" t="str">
        <f>VLOOKUP($A1023, 'Hospitalisation Details'!$A:$L, 12, FALSE)</f>
        <v>tier - 3</v>
      </c>
      <c r="N1023" s="22" t="str">
        <f>VLOOKUP($A1023, 'Hospitalisation Details'!$A:$M, 13, FALSE)</f>
        <v>tier - 2</v>
      </c>
      <c r="O1023" s="22" t="str">
        <f>VLOOKUP($A1023, 'Hospitalisation Details'!$A:$N, 14, FALSE)</f>
        <v>R1012</v>
      </c>
      <c r="P1023" s="36">
        <f>VLOOKUP($A1023, 'Hospitalisation Details'!$A:$O, 15, FALSE)</f>
        <v>31</v>
      </c>
    </row>
    <row r="1024" ht="15.75" customHeight="1">
      <c r="A1024" s="33" t="s">
        <v>2047</v>
      </c>
      <c r="B1024" s="22" t="str">
        <f>VLOOKUP($A1024,'Customer Names'!$A:$D,3, FALSE)</f>
        <v>Escartin</v>
      </c>
      <c r="C1024" s="22">
        <f>VLOOKUP($A1024,'Medical Examinations'!$A:$D, 2, FALSE)</f>
        <v>27.93</v>
      </c>
      <c r="D1024" s="22">
        <f>VLOOKUP($A1024, 'Medical Examinations'!$A:$D,3, FALSE)</f>
        <v>9.96</v>
      </c>
      <c r="E1024" s="22" t="str">
        <f>VLOOKUP($A1024, 'Medical Examinations'!$A:$D, 4, FALSE)</f>
        <v>No</v>
      </c>
      <c r="F1024" s="22" t="str">
        <f>VLOOKUP($A1024, 'Medical Examinations'!$A:$J, 5, FALSE)</f>
        <v>No</v>
      </c>
      <c r="G1024" s="22" t="str">
        <f>VLOOKUP($A1024, 'Medical Examinations'!$A:$I, 6, FALSE)</f>
        <v>No</v>
      </c>
      <c r="H1024" s="22">
        <f>VLOOKUP($A1024,'Medical Examinations'!$A:$L,10, FALSE)</f>
        <v>0</v>
      </c>
      <c r="I1024" s="22" t="str">
        <f>VLOOKUP($A1024, 'Medical Examinations'!$A:$J, 9, FALSE)</f>
        <v>No</v>
      </c>
      <c r="J1024" s="22" t="str">
        <f>VLOOKUP($A1024, 'Medical Examinations'!$A:$P, 11, FALSE)</f>
        <v>OVERWEIGHT</v>
      </c>
      <c r="K1024" s="34">
        <v>35758.0</v>
      </c>
      <c r="L1024" s="35">
        <f>VLOOKUP($A1024, 'Hospitalisation Details'!$A:$H, 7, FALSE)</f>
        <v>11015.17</v>
      </c>
      <c r="M1024" s="22" t="str">
        <f>VLOOKUP($A1024, 'Hospitalisation Details'!$A:$L, 12, FALSE)</f>
        <v>tier - 3</v>
      </c>
      <c r="N1024" s="22" t="str">
        <f>VLOOKUP($A1024, 'Hospitalisation Details'!$A:$M, 13, FALSE)</f>
        <v>tier - 1</v>
      </c>
      <c r="O1024" s="22" t="str">
        <f>VLOOKUP($A1024, 'Hospitalisation Details'!$A:$N, 14, FALSE)</f>
        <v>R1012</v>
      </c>
      <c r="P1024" s="36">
        <f>VLOOKUP($A1024, 'Hospitalisation Details'!$A:$O, 15, FALSE)</f>
        <v>48</v>
      </c>
    </row>
    <row r="1025" ht="15.75" customHeight="1">
      <c r="A1025" s="33" t="s">
        <v>2049</v>
      </c>
      <c r="B1025" s="22" t="str">
        <f>VLOOKUP($A1025,'Customer Names'!$A:$D,3, FALSE)</f>
        <v>Chorey</v>
      </c>
      <c r="C1025" s="22">
        <f>VLOOKUP($A1025,'Medical Examinations'!$A:$D, 2, FALSE)</f>
        <v>21.01</v>
      </c>
      <c r="D1025" s="22">
        <f>VLOOKUP($A1025, 'Medical Examinations'!$A:$D,3, FALSE)</f>
        <v>7.37</v>
      </c>
      <c r="E1025" s="22" t="str">
        <f>VLOOKUP($A1025, 'Medical Examinations'!$A:$D, 4, FALSE)</f>
        <v>No</v>
      </c>
      <c r="F1025" s="22" t="str">
        <f>VLOOKUP($A1025, 'Medical Examinations'!$A:$J, 5, FALSE)</f>
        <v>No</v>
      </c>
      <c r="G1025" s="22" t="str">
        <f>VLOOKUP($A1025, 'Medical Examinations'!$A:$I, 6, FALSE)</f>
        <v>No</v>
      </c>
      <c r="H1025" s="22">
        <f>VLOOKUP($A1025,'Medical Examinations'!$A:$L,10, FALSE)</f>
        <v>0</v>
      </c>
      <c r="I1025" s="22" t="str">
        <f>VLOOKUP($A1025, 'Medical Examinations'!$A:$J, 9, FALSE)</f>
        <v>No</v>
      </c>
      <c r="J1025" s="22" t="str">
        <f>VLOOKUP($A1025, 'Medical Examinations'!$A:$P, 11, FALSE)</f>
        <v>NORMAL WEIGHT</v>
      </c>
      <c r="K1025" s="34">
        <v>29825.0</v>
      </c>
      <c r="L1025" s="35">
        <f>VLOOKUP($A1025, 'Hospitalisation Details'!$A:$H, 7, FALSE)</f>
        <v>11013.71</v>
      </c>
      <c r="M1025" s="22" t="str">
        <f>VLOOKUP($A1025, 'Hospitalisation Details'!$A:$L, 12, FALSE)</f>
        <v>tier - 3</v>
      </c>
      <c r="N1025" s="22" t="str">
        <f>VLOOKUP($A1025, 'Hospitalisation Details'!$A:$M, 13, FALSE)</f>
        <v>tier - 1</v>
      </c>
      <c r="O1025" s="22" t="str">
        <f>VLOOKUP($A1025, 'Hospitalisation Details'!$A:$N, 14, FALSE)</f>
        <v>R1013</v>
      </c>
      <c r="P1025" s="36">
        <f>VLOOKUP($A1025, 'Hospitalisation Details'!$A:$O, 15, FALSE)</f>
        <v>54</v>
      </c>
    </row>
    <row r="1026" ht="15.75" customHeight="1">
      <c r="A1026" s="33" t="s">
        <v>2051</v>
      </c>
      <c r="B1026" s="22" t="str">
        <f>VLOOKUP($A1026,'Customer Names'!$A:$D,3, FALSE)</f>
        <v>McVay</v>
      </c>
      <c r="C1026" s="22">
        <f>VLOOKUP($A1026,'Medical Examinations'!$A:$D, 2, FALSE)</f>
        <v>52.37</v>
      </c>
      <c r="D1026" s="22">
        <f>VLOOKUP($A1026, 'Medical Examinations'!$A:$D,3, FALSE)</f>
        <v>5.06</v>
      </c>
      <c r="E1026" s="22" t="str">
        <f>VLOOKUP($A1026, 'Medical Examinations'!$A:$D, 4, FALSE)</f>
        <v>Yes</v>
      </c>
      <c r="F1026" s="22" t="str">
        <f>VLOOKUP($A1026, 'Medical Examinations'!$A:$J, 5, FALSE)</f>
        <v>Yes</v>
      </c>
      <c r="G1026" s="22" t="str">
        <f>VLOOKUP($A1026, 'Medical Examinations'!$A:$I, 6, FALSE)</f>
        <v>No</v>
      </c>
      <c r="H1026" s="22">
        <f>VLOOKUP($A1026,'Medical Examinations'!$A:$L,10, FALSE)</f>
        <v>2</v>
      </c>
      <c r="I1026" s="22" t="str">
        <f>VLOOKUP($A1026, 'Medical Examinations'!$A:$J, 9, FALSE)</f>
        <v>No</v>
      </c>
      <c r="J1026" s="22" t="str">
        <f>VLOOKUP($A1026, 'Medical Examinations'!$A:$P, 11, FALSE)</f>
        <v>OBESITY</v>
      </c>
      <c r="K1026" s="34">
        <v>34226.0</v>
      </c>
      <c r="L1026" s="35">
        <f>VLOOKUP($A1026, 'Hospitalisation Details'!$A:$H, 7, FALSE)</f>
        <v>10991.58</v>
      </c>
      <c r="M1026" s="22" t="str">
        <f>VLOOKUP($A1026, 'Hospitalisation Details'!$A:$L, 12, FALSE)</f>
        <v>tier - 3</v>
      </c>
      <c r="N1026" s="22" t="str">
        <f>VLOOKUP($A1026, 'Hospitalisation Details'!$A:$M, 13, FALSE)</f>
        <v>tier - 3</v>
      </c>
      <c r="O1026" s="22" t="str">
        <f>VLOOKUP($A1026, 'Hospitalisation Details'!$A:$N, 14, FALSE)</f>
        <v>R1012</v>
      </c>
      <c r="P1026" s="36">
        <f>VLOOKUP($A1026, 'Hospitalisation Details'!$A:$O, 15, FALSE)</f>
        <v>22</v>
      </c>
    </row>
    <row r="1027" ht="15.75" customHeight="1">
      <c r="A1027" s="33" t="s">
        <v>2053</v>
      </c>
      <c r="B1027" s="22" t="str">
        <f>VLOOKUP($A1027,'Customer Names'!$A:$D,3, FALSE)</f>
        <v>Vinson</v>
      </c>
      <c r="C1027" s="22">
        <f>VLOOKUP($A1027,'Medical Examinations'!$A:$D, 2, FALSE)</f>
        <v>40.37</v>
      </c>
      <c r="D1027" s="22">
        <f>VLOOKUP($A1027, 'Medical Examinations'!$A:$D,3, FALSE)</f>
        <v>8.21</v>
      </c>
      <c r="E1027" s="22" t="str">
        <f>VLOOKUP($A1027, 'Medical Examinations'!$A:$D, 4, FALSE)</f>
        <v>No</v>
      </c>
      <c r="F1027" s="22" t="str">
        <f>VLOOKUP($A1027, 'Medical Examinations'!$A:$J, 5, FALSE)</f>
        <v>No</v>
      </c>
      <c r="G1027" s="22" t="str">
        <f>VLOOKUP($A1027, 'Medical Examinations'!$A:$I, 6, FALSE)</f>
        <v>No</v>
      </c>
      <c r="H1027" s="22">
        <f>VLOOKUP($A1027,'Medical Examinations'!$A:$L,10, FALSE)</f>
        <v>0</v>
      </c>
      <c r="I1027" s="22" t="str">
        <f>VLOOKUP($A1027, 'Medical Examinations'!$A:$J, 9, FALSE)</f>
        <v>No</v>
      </c>
      <c r="J1027" s="22" t="str">
        <f>VLOOKUP($A1027, 'Medical Examinations'!$A:$P, 11, FALSE)</f>
        <v>OBESITY</v>
      </c>
      <c r="K1027" s="34">
        <v>38181.0</v>
      </c>
      <c r="L1027" s="35">
        <f>VLOOKUP($A1027, 'Hospitalisation Details'!$A:$H, 7, FALSE)</f>
        <v>10982.5</v>
      </c>
      <c r="M1027" s="22" t="str">
        <f>VLOOKUP($A1027, 'Hospitalisation Details'!$A:$L, 12, FALSE)</f>
        <v>tier - 3</v>
      </c>
      <c r="N1027" s="22" t="str">
        <f>VLOOKUP($A1027, 'Hospitalisation Details'!$A:$M, 13, FALSE)</f>
        <v>tier - 3</v>
      </c>
      <c r="O1027" s="22" t="str">
        <f>VLOOKUP($A1027, 'Hospitalisation Details'!$A:$N, 14, FALSE)</f>
        <v>R1013</v>
      </c>
      <c r="P1027" s="36">
        <f>VLOOKUP($A1027, 'Hospitalisation Details'!$A:$O, 15, FALSE)</f>
        <v>57</v>
      </c>
    </row>
    <row r="1028" ht="15.75" customHeight="1">
      <c r="A1028" s="33" t="s">
        <v>2055</v>
      </c>
      <c r="B1028" s="22" t="str">
        <f>VLOOKUP($A1028,'Customer Names'!$A:$D,3, FALSE)</f>
        <v>Astrike-Davis</v>
      </c>
      <c r="C1028" s="22">
        <f>VLOOKUP($A1028,'Medical Examinations'!$A:$D, 2, FALSE)</f>
        <v>41.47</v>
      </c>
      <c r="D1028" s="22">
        <f>VLOOKUP($A1028, 'Medical Examinations'!$A:$D,3, FALSE)</f>
        <v>10.34</v>
      </c>
      <c r="E1028" s="22" t="str">
        <f>VLOOKUP($A1028, 'Medical Examinations'!$A:$D, 4, FALSE)</f>
        <v>No</v>
      </c>
      <c r="F1028" s="22" t="str">
        <f>VLOOKUP($A1028, 'Medical Examinations'!$A:$J, 5, FALSE)</f>
        <v>No</v>
      </c>
      <c r="G1028" s="22" t="str">
        <f>VLOOKUP($A1028, 'Medical Examinations'!$A:$I, 6, FALSE)</f>
        <v>No</v>
      </c>
      <c r="H1028" s="22">
        <f>VLOOKUP($A1028,'Medical Examinations'!$A:$L,10, FALSE)</f>
        <v>2</v>
      </c>
      <c r="I1028" s="22" t="str">
        <f>VLOOKUP($A1028, 'Medical Examinations'!$A:$J, 9, FALSE)</f>
        <v>No</v>
      </c>
      <c r="J1028" s="22" t="str">
        <f>VLOOKUP($A1028, 'Medical Examinations'!$A:$P, 11, FALSE)</f>
        <v>OBESITY</v>
      </c>
      <c r="K1028" s="34">
        <v>35361.0</v>
      </c>
      <c r="L1028" s="35">
        <f>VLOOKUP($A1028, 'Hospitalisation Details'!$A:$H, 7, FALSE)</f>
        <v>10977.21</v>
      </c>
      <c r="M1028" s="22" t="str">
        <f>VLOOKUP($A1028, 'Hospitalisation Details'!$A:$L, 12, FALSE)</f>
        <v>tier - 3</v>
      </c>
      <c r="N1028" s="22" t="str">
        <f>VLOOKUP($A1028, 'Hospitalisation Details'!$A:$M, 13, FALSE)</f>
        <v>tier - 1</v>
      </c>
      <c r="O1028" s="22" t="str">
        <f>VLOOKUP($A1028, 'Hospitalisation Details'!$A:$N, 14, FALSE)</f>
        <v>R1013</v>
      </c>
      <c r="P1028" s="36">
        <f>VLOOKUP($A1028, 'Hospitalisation Details'!$A:$O, 15, FALSE)</f>
        <v>49</v>
      </c>
    </row>
    <row r="1029" ht="15.75" customHeight="1">
      <c r="A1029" s="33" t="s">
        <v>2057</v>
      </c>
      <c r="B1029" s="22" t="str">
        <f>VLOOKUP($A1029,'Customer Names'!$A:$D,3, FALSE)</f>
        <v>Harder</v>
      </c>
      <c r="C1029" s="22">
        <f>VLOOKUP($A1029,'Medical Examinations'!$A:$D, 2, FALSE)</f>
        <v>33.725</v>
      </c>
      <c r="D1029" s="22">
        <f>VLOOKUP($A1029, 'Medical Examinations'!$A:$D,3, FALSE)</f>
        <v>5.51</v>
      </c>
      <c r="E1029" s="22" t="str">
        <f>VLOOKUP($A1029, 'Medical Examinations'!$A:$D, 4, FALSE)</f>
        <v>Yes</v>
      </c>
      <c r="F1029" s="22" t="str">
        <f>VLOOKUP($A1029, 'Medical Examinations'!$A:$J, 5, FALSE)</f>
        <v>No</v>
      </c>
      <c r="G1029" s="22" t="str">
        <f>VLOOKUP($A1029, 'Medical Examinations'!$A:$I, 6, FALSE)</f>
        <v>No</v>
      </c>
      <c r="H1029" s="22">
        <f>VLOOKUP($A1029,'Medical Examinations'!$A:$L,10, FALSE)</f>
        <v>2</v>
      </c>
      <c r="I1029" s="22" t="str">
        <f>VLOOKUP($A1029, 'Medical Examinations'!$A:$J, 9, FALSE)</f>
        <v>No</v>
      </c>
      <c r="J1029" s="22" t="str">
        <f>VLOOKUP($A1029, 'Medical Examinations'!$A:$P, 11, FALSE)</f>
        <v>OBESITY</v>
      </c>
      <c r="K1029" s="34">
        <v>33444.0</v>
      </c>
      <c r="L1029" s="35">
        <f>VLOOKUP($A1029, 'Hospitalisation Details'!$A:$H, 7, FALSE)</f>
        <v>10976.25</v>
      </c>
      <c r="M1029" s="22" t="str">
        <f>VLOOKUP($A1029, 'Hospitalisation Details'!$A:$L, 12, FALSE)</f>
        <v>tier - 3</v>
      </c>
      <c r="N1029" s="22" t="str">
        <f>VLOOKUP($A1029, 'Hospitalisation Details'!$A:$M, 13, FALSE)</f>
        <v>tier - 2</v>
      </c>
      <c r="O1029" s="22" t="str">
        <f>VLOOKUP($A1029, 'Hospitalisation Details'!$A:$N, 14, FALSE)</f>
        <v>R1012</v>
      </c>
      <c r="P1029" s="36">
        <f>VLOOKUP($A1029, 'Hospitalisation Details'!$A:$O, 15, FALSE)</f>
        <v>56</v>
      </c>
    </row>
    <row r="1030" ht="15.75" customHeight="1">
      <c r="A1030" s="33" t="s">
        <v>2059</v>
      </c>
      <c r="B1030" s="22" t="str">
        <f>VLOOKUP($A1030,'Customer Names'!$A:$D,3, FALSE)</f>
        <v>Bell</v>
      </c>
      <c r="C1030" s="22">
        <f>VLOOKUP($A1030,'Medical Examinations'!$A:$D, 2, FALSE)</f>
        <v>28.1</v>
      </c>
      <c r="D1030" s="22">
        <f>VLOOKUP($A1030, 'Medical Examinations'!$A:$D,3, FALSE)</f>
        <v>11.2</v>
      </c>
      <c r="E1030" s="22" t="str">
        <f>VLOOKUP($A1030, 'Medical Examinations'!$A:$D, 4, FALSE)</f>
        <v>No</v>
      </c>
      <c r="F1030" s="22" t="str">
        <f>VLOOKUP($A1030, 'Medical Examinations'!$A:$J, 5, FALSE)</f>
        <v>No</v>
      </c>
      <c r="G1030" s="22" t="str">
        <f>VLOOKUP($A1030, 'Medical Examinations'!$A:$I, 6, FALSE)</f>
        <v>No</v>
      </c>
      <c r="H1030" s="22">
        <f>VLOOKUP($A1030,'Medical Examinations'!$A:$L,10, FALSE)</f>
        <v>0</v>
      </c>
      <c r="I1030" s="22" t="str">
        <f>VLOOKUP($A1030, 'Medical Examinations'!$A:$J, 9, FALSE)</f>
        <v>No</v>
      </c>
      <c r="J1030" s="22" t="str">
        <f>VLOOKUP($A1030, 'Medical Examinations'!$A:$P, 11, FALSE)</f>
        <v>OVERWEIGHT</v>
      </c>
      <c r="K1030" s="34">
        <v>33048.0</v>
      </c>
      <c r="L1030" s="35">
        <f>VLOOKUP($A1030, 'Hospitalisation Details'!$A:$H, 7, FALSE)</f>
        <v>10965.45</v>
      </c>
      <c r="M1030" s="22" t="str">
        <f>VLOOKUP($A1030, 'Hospitalisation Details'!$A:$L, 12, FALSE)</f>
        <v>tier - 3</v>
      </c>
      <c r="N1030" s="22" t="str">
        <f>VLOOKUP($A1030, 'Hospitalisation Details'!$A:$M, 13, FALSE)</f>
        <v>tier - 2</v>
      </c>
      <c r="O1030" s="22" t="str">
        <f>VLOOKUP($A1030, 'Hospitalisation Details'!$A:$N, 14, FALSE)</f>
        <v>R1011</v>
      </c>
      <c r="P1030" s="36">
        <f>VLOOKUP($A1030, 'Hospitalisation Details'!$A:$O, 15, FALSE)</f>
        <v>57</v>
      </c>
    </row>
    <row r="1031" ht="15.75" customHeight="1">
      <c r="A1031" s="33" t="s">
        <v>2061</v>
      </c>
      <c r="B1031" s="22" t="str">
        <f>VLOOKUP($A1031,'Customer Names'!$A:$D,3, FALSE)</f>
        <v>Dawes</v>
      </c>
      <c r="C1031" s="22">
        <f>VLOOKUP($A1031,'Medical Examinations'!$A:$D, 2, FALSE)</f>
        <v>37.43</v>
      </c>
      <c r="D1031" s="22">
        <f>VLOOKUP($A1031, 'Medical Examinations'!$A:$D,3, FALSE)</f>
        <v>4.35</v>
      </c>
      <c r="E1031" s="22" t="str">
        <f>VLOOKUP($A1031, 'Medical Examinations'!$A:$D, 4, FALSE)</f>
        <v>Yes</v>
      </c>
      <c r="F1031" s="22" t="str">
        <f>VLOOKUP($A1031, 'Medical Examinations'!$A:$J, 5, FALSE)</f>
        <v>No</v>
      </c>
      <c r="G1031" s="22" t="str">
        <f>VLOOKUP($A1031, 'Medical Examinations'!$A:$I, 6, FALSE)</f>
        <v>Yes</v>
      </c>
      <c r="H1031" s="22">
        <f>VLOOKUP($A1031,'Medical Examinations'!$A:$L,10, FALSE)</f>
        <v>1</v>
      </c>
      <c r="I1031" s="22" t="str">
        <f>VLOOKUP($A1031, 'Medical Examinations'!$A:$J, 9, FALSE)</f>
        <v>No</v>
      </c>
      <c r="J1031" s="22" t="str">
        <f>VLOOKUP($A1031, 'Medical Examinations'!$A:$P, 11, FALSE)</f>
        <v>OBESITY</v>
      </c>
      <c r="K1031" s="34">
        <v>24763.0</v>
      </c>
      <c r="L1031" s="35">
        <f>VLOOKUP($A1031, 'Hospitalisation Details'!$A:$H, 7, FALSE)</f>
        <v>10959.69</v>
      </c>
      <c r="M1031" s="22" t="str">
        <f>VLOOKUP($A1031, 'Hospitalisation Details'!$A:$L, 12, FALSE)</f>
        <v>tier - 3</v>
      </c>
      <c r="N1031" s="22" t="str">
        <f>VLOOKUP($A1031, 'Hospitalisation Details'!$A:$M, 13, FALSE)</f>
        <v>tier - 3</v>
      </c>
      <c r="O1031" s="22" t="str">
        <f>VLOOKUP($A1031, 'Hospitalisation Details'!$A:$N, 14, FALSE)</f>
        <v>R1012</v>
      </c>
      <c r="P1031" s="36">
        <f>VLOOKUP($A1031, 'Hospitalisation Details'!$A:$O, 15, FALSE)</f>
        <v>53</v>
      </c>
    </row>
    <row r="1032" ht="15.75" customHeight="1">
      <c r="A1032" s="33" t="s">
        <v>2063</v>
      </c>
      <c r="B1032" s="22" t="str">
        <f>VLOOKUP($A1032,'Customer Names'!$A:$D,3, FALSE)</f>
        <v>Larios</v>
      </c>
      <c r="C1032" s="22">
        <f>VLOOKUP($A1032,'Medical Examinations'!$A:$D, 2, FALSE)</f>
        <v>23.7</v>
      </c>
      <c r="D1032" s="22">
        <f>VLOOKUP($A1032, 'Medical Examinations'!$A:$D,3, FALSE)</f>
        <v>10.45</v>
      </c>
      <c r="E1032" s="22" t="str">
        <f>VLOOKUP($A1032, 'Medical Examinations'!$A:$D, 4, FALSE)</f>
        <v>No</v>
      </c>
      <c r="F1032" s="22" t="str">
        <f>VLOOKUP($A1032, 'Medical Examinations'!$A:$J, 5, FALSE)</f>
        <v>No</v>
      </c>
      <c r="G1032" s="22" t="str">
        <f>VLOOKUP($A1032, 'Medical Examinations'!$A:$I, 6, FALSE)</f>
        <v>No</v>
      </c>
      <c r="H1032" s="22">
        <f>VLOOKUP($A1032,'Medical Examinations'!$A:$L,10, FALSE)</f>
        <v>0</v>
      </c>
      <c r="I1032" s="22" t="str">
        <f>VLOOKUP($A1032, 'Medical Examinations'!$A:$J, 9, FALSE)</f>
        <v>No</v>
      </c>
      <c r="J1032" s="22" t="str">
        <f>VLOOKUP($A1032, 'Medical Examinations'!$A:$P, 11, FALSE)</f>
        <v>NORMAL WEIGHT</v>
      </c>
      <c r="K1032" s="34">
        <v>37182.0</v>
      </c>
      <c r="L1032" s="35">
        <f>VLOOKUP($A1032, 'Hospitalisation Details'!$A:$H, 7, FALSE)</f>
        <v>10959.33</v>
      </c>
      <c r="M1032" s="22" t="str">
        <f>VLOOKUP($A1032, 'Hospitalisation Details'!$A:$L, 12, FALSE)</f>
        <v>tier - 3</v>
      </c>
      <c r="N1032" s="22" t="str">
        <f>VLOOKUP($A1032, 'Hospitalisation Details'!$A:$M, 13, FALSE)</f>
        <v>tier - 3</v>
      </c>
      <c r="O1032" s="22" t="str">
        <f>VLOOKUP($A1032, 'Hospitalisation Details'!$A:$N, 14, FALSE)</f>
        <v>R1011</v>
      </c>
      <c r="P1032" s="36">
        <f>VLOOKUP($A1032, 'Hospitalisation Details'!$A:$O, 15, FALSE)</f>
        <v>57</v>
      </c>
    </row>
    <row r="1033" ht="15.75" customHeight="1">
      <c r="A1033" s="33" t="s">
        <v>2065</v>
      </c>
      <c r="B1033" s="22" t="str">
        <f>VLOOKUP($A1033,'Customer Names'!$A:$D,3, FALSE)</f>
        <v>Yaremczuk</v>
      </c>
      <c r="C1033" s="22">
        <f>VLOOKUP($A1033,'Medical Examinations'!$A:$D, 2, FALSE)</f>
        <v>24.795</v>
      </c>
      <c r="D1033" s="22">
        <f>VLOOKUP($A1033, 'Medical Examinations'!$A:$D,3, FALSE)</f>
        <v>4.07</v>
      </c>
      <c r="E1033" s="22" t="str">
        <f>VLOOKUP($A1033, 'Medical Examinations'!$A:$D, 4, FALSE)</f>
        <v>Yes</v>
      </c>
      <c r="F1033" s="22" t="str">
        <f>VLOOKUP($A1033, 'Medical Examinations'!$A:$J, 5, FALSE)</f>
        <v>No</v>
      </c>
      <c r="G1033" s="22" t="str">
        <f>VLOOKUP($A1033, 'Medical Examinations'!$A:$I, 6, FALSE)</f>
        <v>Yes</v>
      </c>
      <c r="H1033" s="22">
        <f>VLOOKUP($A1033,'Medical Examinations'!$A:$L,10, FALSE)</f>
        <v>1</v>
      </c>
      <c r="I1033" s="22" t="str">
        <f>VLOOKUP($A1033, 'Medical Examinations'!$A:$J, 9, FALSE)</f>
        <v>No</v>
      </c>
      <c r="J1033" s="22" t="str">
        <f>VLOOKUP($A1033, 'Medical Examinations'!$A:$P, 11, FALSE)</f>
        <v>NORMAL WEIGHT</v>
      </c>
      <c r="K1033" s="34">
        <v>37048.0</v>
      </c>
      <c r="L1033" s="35">
        <f>VLOOKUP($A1033, 'Hospitalisation Details'!$A:$H, 7, FALSE)</f>
        <v>10942.13</v>
      </c>
      <c r="M1033" s="22" t="str">
        <f>VLOOKUP($A1033, 'Hospitalisation Details'!$A:$L, 12, FALSE)</f>
        <v>tier - 3</v>
      </c>
      <c r="N1033" s="22" t="str">
        <f>VLOOKUP($A1033, 'Hospitalisation Details'!$A:$M, 13, FALSE)</f>
        <v>tier - 3</v>
      </c>
      <c r="O1033" s="22" t="str">
        <f>VLOOKUP($A1033, 'Hospitalisation Details'!$A:$N, 14, FALSE)</f>
        <v>R1012</v>
      </c>
      <c r="P1033" s="36">
        <f>VLOOKUP($A1033, 'Hospitalisation Details'!$A:$O, 15, FALSE)</f>
        <v>53</v>
      </c>
    </row>
    <row r="1034" ht="15.75" customHeight="1">
      <c r="A1034" s="33" t="s">
        <v>2067</v>
      </c>
      <c r="B1034" s="22" t="str">
        <f>VLOOKUP($A1034,'Customer Names'!$A:$D,3, FALSE)</f>
        <v>Knight</v>
      </c>
      <c r="C1034" s="22">
        <f>VLOOKUP($A1034,'Medical Examinations'!$A:$D, 2, FALSE)</f>
        <v>31.9</v>
      </c>
      <c r="D1034" s="22">
        <f>VLOOKUP($A1034, 'Medical Examinations'!$A:$D,3, FALSE)</f>
        <v>8.34</v>
      </c>
      <c r="E1034" s="22" t="str">
        <f>VLOOKUP($A1034, 'Medical Examinations'!$A:$D, 4, FALSE)</f>
        <v>No</v>
      </c>
      <c r="F1034" s="22" t="str">
        <f>VLOOKUP($A1034, 'Medical Examinations'!$A:$J, 5, FALSE)</f>
        <v>No</v>
      </c>
      <c r="G1034" s="22" t="str">
        <f>VLOOKUP($A1034, 'Medical Examinations'!$A:$I, 6, FALSE)</f>
        <v>No</v>
      </c>
      <c r="H1034" s="22">
        <f>VLOOKUP($A1034,'Medical Examinations'!$A:$L,10, FALSE)</f>
        <v>0</v>
      </c>
      <c r="I1034" s="22" t="str">
        <f>VLOOKUP($A1034, 'Medical Examinations'!$A:$J, 9, FALSE)</f>
        <v>No</v>
      </c>
      <c r="J1034" s="22" t="str">
        <f>VLOOKUP($A1034, 'Medical Examinations'!$A:$P, 11, FALSE)</f>
        <v>OBESITY</v>
      </c>
      <c r="K1034" s="34">
        <v>33469.0</v>
      </c>
      <c r="L1034" s="35">
        <f>VLOOKUP($A1034, 'Hospitalisation Details'!$A:$H, 7, FALSE)</f>
        <v>10928.85</v>
      </c>
      <c r="M1034" s="22" t="str">
        <f>VLOOKUP($A1034, 'Hospitalisation Details'!$A:$L, 12, FALSE)</f>
        <v>tier - 3</v>
      </c>
      <c r="N1034" s="22" t="str">
        <f>VLOOKUP($A1034, 'Hospitalisation Details'!$A:$M, 13, FALSE)</f>
        <v>tier - 3</v>
      </c>
      <c r="O1034" s="22" t="str">
        <f>VLOOKUP($A1034, 'Hospitalisation Details'!$A:$N, 14, FALSE)</f>
        <v>R1013</v>
      </c>
      <c r="P1034" s="36">
        <f>VLOOKUP($A1034, 'Hospitalisation Details'!$A:$O, 15, FALSE)</f>
        <v>54</v>
      </c>
    </row>
    <row r="1035" ht="15.75" customHeight="1">
      <c r="A1035" s="33" t="s">
        <v>2069</v>
      </c>
      <c r="B1035" s="22" t="str">
        <f>VLOOKUP($A1035,'Customer Names'!$A:$D,3, FALSE)</f>
        <v>Eversman</v>
      </c>
      <c r="C1035" s="22">
        <f>VLOOKUP($A1035,'Medical Examinations'!$A:$D, 2, FALSE)</f>
        <v>32.68</v>
      </c>
      <c r="D1035" s="22">
        <f>VLOOKUP($A1035, 'Medical Examinations'!$A:$D,3, FALSE)</f>
        <v>7.41</v>
      </c>
      <c r="E1035" s="22" t="str">
        <f>VLOOKUP($A1035, 'Medical Examinations'!$A:$D, 4, FALSE)</f>
        <v>No</v>
      </c>
      <c r="F1035" s="22" t="str">
        <f>VLOOKUP($A1035, 'Medical Examinations'!$A:$J, 5, FALSE)</f>
        <v>No</v>
      </c>
      <c r="G1035" s="22" t="str">
        <f>VLOOKUP($A1035, 'Medical Examinations'!$A:$I, 6, FALSE)</f>
        <v>No</v>
      </c>
      <c r="H1035" s="22">
        <f>VLOOKUP($A1035,'Medical Examinations'!$A:$L,10, FALSE)</f>
        <v>0</v>
      </c>
      <c r="I1035" s="22" t="str">
        <f>VLOOKUP($A1035, 'Medical Examinations'!$A:$J, 9, FALSE)</f>
        <v>No</v>
      </c>
      <c r="J1035" s="22" t="str">
        <f>VLOOKUP($A1035, 'Medical Examinations'!$A:$P, 11, FALSE)</f>
        <v>OBESITY</v>
      </c>
      <c r="K1035" s="34">
        <v>34558.0</v>
      </c>
      <c r="L1035" s="35">
        <f>VLOOKUP($A1035, 'Hospitalisation Details'!$A:$H, 7, FALSE)</f>
        <v>10923.93</v>
      </c>
      <c r="M1035" s="22" t="str">
        <f>VLOOKUP($A1035, 'Hospitalisation Details'!$A:$L, 12, FALSE)</f>
        <v>tier - 3</v>
      </c>
      <c r="N1035" s="22" t="str">
        <f>VLOOKUP($A1035, 'Hospitalisation Details'!$A:$M, 13, FALSE)</f>
        <v>tier - 1</v>
      </c>
      <c r="O1035" s="22" t="str">
        <f>VLOOKUP($A1035, 'Hospitalisation Details'!$A:$N, 14, FALSE)</f>
        <v>R1024</v>
      </c>
      <c r="P1035" s="36">
        <f>VLOOKUP($A1035, 'Hospitalisation Details'!$A:$O, 15, FALSE)</f>
        <v>54</v>
      </c>
    </row>
    <row r="1036" ht="15.75" customHeight="1">
      <c r="A1036" s="33" t="s">
        <v>2071</v>
      </c>
      <c r="B1036" s="22" t="str">
        <f>VLOOKUP($A1036,'Customer Names'!$A:$D,3, FALSE)</f>
        <v>Hickory</v>
      </c>
      <c r="C1036" s="22">
        <f>VLOOKUP($A1036,'Medical Examinations'!$A:$D, 2, FALSE)</f>
        <v>47.13</v>
      </c>
      <c r="D1036" s="22">
        <f>VLOOKUP($A1036, 'Medical Examinations'!$A:$D,3, FALSE)</f>
        <v>4.31</v>
      </c>
      <c r="E1036" s="22" t="str">
        <f>VLOOKUP($A1036, 'Medical Examinations'!$A:$D, 4, FALSE)</f>
        <v>No</v>
      </c>
      <c r="F1036" s="22" t="str">
        <f>VLOOKUP($A1036, 'Medical Examinations'!$A:$J, 5, FALSE)</f>
        <v>No</v>
      </c>
      <c r="G1036" s="22" t="str">
        <f>VLOOKUP($A1036, 'Medical Examinations'!$A:$I, 6, FALSE)</f>
        <v>No</v>
      </c>
      <c r="H1036" s="22">
        <f>VLOOKUP($A1036,'Medical Examinations'!$A:$L,10, FALSE)</f>
        <v>0</v>
      </c>
      <c r="I1036" s="22" t="str">
        <f>VLOOKUP($A1036, 'Medical Examinations'!$A:$J, 9, FALSE)</f>
        <v>No</v>
      </c>
      <c r="J1036" s="22" t="str">
        <f>VLOOKUP($A1036, 'Medical Examinations'!$A:$P, 11, FALSE)</f>
        <v>OBESITY</v>
      </c>
      <c r="K1036" s="34">
        <v>29858.0</v>
      </c>
      <c r="L1036" s="35">
        <f>VLOOKUP($A1036, 'Hospitalisation Details'!$A:$H, 7, FALSE)</f>
        <v>10886.66</v>
      </c>
      <c r="M1036" s="22" t="str">
        <f>VLOOKUP($A1036, 'Hospitalisation Details'!$A:$L, 12, FALSE)</f>
        <v>tier - 3</v>
      </c>
      <c r="N1036" s="22" t="str">
        <f>VLOOKUP($A1036, 'Hospitalisation Details'!$A:$M, 13, FALSE)</f>
        <v>tier - 3</v>
      </c>
      <c r="O1036" s="22" t="str">
        <f>VLOOKUP($A1036, 'Hospitalisation Details'!$A:$N, 14, FALSE)</f>
        <v>R1012</v>
      </c>
      <c r="P1036" s="36">
        <f>VLOOKUP($A1036, 'Hospitalisation Details'!$A:$O, 15, FALSE)</f>
        <v>28</v>
      </c>
    </row>
    <row r="1037" ht="15.75" customHeight="1">
      <c r="A1037" s="33" t="s">
        <v>2073</v>
      </c>
      <c r="B1037" s="22" t="str">
        <f>VLOOKUP($A1037,'Customer Names'!$A:$D,3, FALSE)</f>
        <v>Mooney</v>
      </c>
      <c r="C1037" s="22">
        <f>VLOOKUP($A1037,'Medical Examinations'!$A:$D, 2, FALSE)</f>
        <v>36.67</v>
      </c>
      <c r="D1037" s="22">
        <f>VLOOKUP($A1037, 'Medical Examinations'!$A:$D,3, FALSE)</f>
        <v>10.83</v>
      </c>
      <c r="E1037" s="22" t="str">
        <f>VLOOKUP($A1037, 'Medical Examinations'!$A:$D, 4, FALSE)</f>
        <v>No</v>
      </c>
      <c r="F1037" s="22" t="str">
        <f>VLOOKUP($A1037, 'Medical Examinations'!$A:$J, 5, FALSE)</f>
        <v>No</v>
      </c>
      <c r="G1037" s="22" t="str">
        <f>VLOOKUP($A1037, 'Medical Examinations'!$A:$I, 6, FALSE)</f>
        <v>No</v>
      </c>
      <c r="H1037" s="22">
        <f>VLOOKUP($A1037,'Medical Examinations'!$A:$L,10, FALSE)</f>
        <v>0</v>
      </c>
      <c r="I1037" s="22" t="str">
        <f>VLOOKUP($A1037, 'Medical Examinations'!$A:$J, 9, FALSE)</f>
        <v>No</v>
      </c>
      <c r="J1037" s="22" t="str">
        <f>VLOOKUP($A1037, 'Medical Examinations'!$A:$P, 11, FALSE)</f>
        <v>OBESITY</v>
      </c>
      <c r="K1037" s="34">
        <v>36335.0</v>
      </c>
      <c r="L1037" s="35">
        <f>VLOOKUP($A1037, 'Hospitalisation Details'!$A:$H, 7, FALSE)</f>
        <v>10848.13</v>
      </c>
      <c r="M1037" s="22" t="str">
        <f>VLOOKUP($A1037, 'Hospitalisation Details'!$A:$L, 12, FALSE)</f>
        <v>tier - 3</v>
      </c>
      <c r="N1037" s="22" t="str">
        <f>VLOOKUP($A1037, 'Hospitalisation Details'!$A:$M, 13, FALSE)</f>
        <v>tier - 3</v>
      </c>
      <c r="O1037" s="22" t="str">
        <f>VLOOKUP($A1037, 'Hospitalisation Details'!$A:$N, 14, FALSE)</f>
        <v>R1012</v>
      </c>
      <c r="P1037" s="36">
        <f>VLOOKUP($A1037, 'Hospitalisation Details'!$A:$O, 15, FALSE)</f>
        <v>51</v>
      </c>
    </row>
    <row r="1038" ht="15.75" customHeight="1">
      <c r="A1038" s="33" t="s">
        <v>2075</v>
      </c>
      <c r="B1038" s="22" t="str">
        <f>VLOOKUP($A1038,'Customer Names'!$A:$D,3, FALSE)</f>
        <v>Craighead</v>
      </c>
      <c r="C1038" s="22">
        <f>VLOOKUP($A1038,'Medical Examinations'!$A:$D, 2, FALSE)</f>
        <v>33.63</v>
      </c>
      <c r="D1038" s="22">
        <f>VLOOKUP($A1038, 'Medical Examinations'!$A:$D,3, FALSE)</f>
        <v>11.31</v>
      </c>
      <c r="E1038" s="22" t="str">
        <f>VLOOKUP($A1038, 'Medical Examinations'!$A:$D, 4, FALSE)</f>
        <v>No</v>
      </c>
      <c r="F1038" s="22" t="str">
        <f>VLOOKUP($A1038, 'Medical Examinations'!$A:$J, 5, FALSE)</f>
        <v>No</v>
      </c>
      <c r="G1038" s="22" t="str">
        <f>VLOOKUP($A1038, 'Medical Examinations'!$A:$I, 6, FALSE)</f>
        <v>No</v>
      </c>
      <c r="H1038" s="22">
        <f>VLOOKUP($A1038,'Medical Examinations'!$A:$L,10, FALSE)</f>
        <v>0</v>
      </c>
      <c r="I1038" s="22" t="str">
        <f>VLOOKUP($A1038, 'Medical Examinations'!$A:$J, 9, FALSE)</f>
        <v>No</v>
      </c>
      <c r="J1038" s="22" t="str">
        <f>VLOOKUP($A1038, 'Medical Examinations'!$A:$P, 11, FALSE)</f>
        <v>OBESITY</v>
      </c>
      <c r="K1038" s="34">
        <v>32383.0</v>
      </c>
      <c r="L1038" s="35">
        <f>VLOOKUP($A1038, 'Hospitalisation Details'!$A:$H, 7, FALSE)</f>
        <v>10825.25</v>
      </c>
      <c r="M1038" s="22" t="str">
        <f>VLOOKUP($A1038, 'Hospitalisation Details'!$A:$L, 12, FALSE)</f>
        <v>tier - 3</v>
      </c>
      <c r="N1038" s="22" t="str">
        <f>VLOOKUP($A1038, 'Hospitalisation Details'!$A:$M, 13, FALSE)</f>
        <v>tier - 3</v>
      </c>
      <c r="O1038" s="22" t="str">
        <f>VLOOKUP($A1038, 'Hospitalisation Details'!$A:$N, 14, FALSE)</f>
        <v>R1012</v>
      </c>
      <c r="P1038" s="36">
        <f>VLOOKUP($A1038, 'Hospitalisation Details'!$A:$O, 15, FALSE)</f>
        <v>54</v>
      </c>
    </row>
    <row r="1039" ht="15.75" customHeight="1">
      <c r="A1039" s="33" t="s">
        <v>2077</v>
      </c>
      <c r="B1039" s="22" t="str">
        <f>VLOOKUP($A1039,'Customer Names'!$A:$D,3, FALSE)</f>
        <v>Gardner</v>
      </c>
      <c r="C1039" s="22">
        <f>VLOOKUP($A1039,'Medical Examinations'!$A:$D, 2, FALSE)</f>
        <v>32.67</v>
      </c>
      <c r="D1039" s="22">
        <f>VLOOKUP($A1039, 'Medical Examinations'!$A:$D,3, FALSE)</f>
        <v>11.81</v>
      </c>
      <c r="E1039" s="22" t="str">
        <f>VLOOKUP($A1039, 'Medical Examinations'!$A:$D, 4, FALSE)</f>
        <v>Yes</v>
      </c>
      <c r="F1039" s="22" t="str">
        <f>VLOOKUP($A1039, 'Medical Examinations'!$A:$J, 5, FALSE)</f>
        <v>No</v>
      </c>
      <c r="G1039" s="22" t="str">
        <f>VLOOKUP($A1039, 'Medical Examinations'!$A:$I, 6, FALSE)</f>
        <v>No</v>
      </c>
      <c r="H1039" s="22">
        <f>VLOOKUP($A1039,'Medical Examinations'!$A:$L,10, FALSE)</f>
        <v>0</v>
      </c>
      <c r="I1039" s="22" t="str">
        <f>VLOOKUP($A1039, 'Medical Examinations'!$A:$J, 9, FALSE)</f>
        <v>No</v>
      </c>
      <c r="J1039" s="22" t="str">
        <f>VLOOKUP($A1039, 'Medical Examinations'!$A:$P, 11, FALSE)</f>
        <v>OBESITY</v>
      </c>
      <c r="K1039" s="34">
        <v>29933.0</v>
      </c>
      <c r="L1039" s="35">
        <f>VLOOKUP($A1039, 'Hospitalisation Details'!$A:$H, 7, FALSE)</f>
        <v>10807.49</v>
      </c>
      <c r="M1039" s="22" t="str">
        <f>VLOOKUP($A1039, 'Hospitalisation Details'!$A:$L, 12, FALSE)</f>
        <v>tier - 3</v>
      </c>
      <c r="N1039" s="22" t="str">
        <f>VLOOKUP($A1039, 'Hospitalisation Details'!$A:$M, 13, FALSE)</f>
        <v>tier - 2</v>
      </c>
      <c r="O1039" s="22" t="str">
        <f>VLOOKUP($A1039, 'Hospitalisation Details'!$A:$N, 14, FALSE)</f>
        <v>R1013</v>
      </c>
      <c r="P1039" s="36">
        <f>VLOOKUP($A1039, 'Hospitalisation Details'!$A:$O, 15, FALSE)</f>
        <v>55</v>
      </c>
    </row>
    <row r="1040" ht="15.75" customHeight="1">
      <c r="A1040" s="33" t="s">
        <v>2079</v>
      </c>
      <c r="B1040" s="22" t="str">
        <f>VLOOKUP($A1040,'Customer Names'!$A:$D,3, FALSE)</f>
        <v>Lohrenz</v>
      </c>
      <c r="C1040" s="22">
        <f>VLOOKUP($A1040,'Medical Examinations'!$A:$D, 2, FALSE)</f>
        <v>33.3</v>
      </c>
      <c r="D1040" s="22">
        <f>VLOOKUP($A1040, 'Medical Examinations'!$A:$D,3, FALSE)</f>
        <v>8.26</v>
      </c>
      <c r="E1040" s="22" t="str">
        <f>VLOOKUP($A1040, 'Medical Examinations'!$A:$D, 4, FALSE)</f>
        <v>Yes</v>
      </c>
      <c r="F1040" s="22" t="str">
        <f>VLOOKUP($A1040, 'Medical Examinations'!$A:$J, 5, FALSE)</f>
        <v>No</v>
      </c>
      <c r="G1040" s="22" t="str">
        <f>VLOOKUP($A1040, 'Medical Examinations'!$A:$I, 6, FALSE)</f>
        <v>No</v>
      </c>
      <c r="H1040" s="22">
        <f>VLOOKUP($A1040,'Medical Examinations'!$A:$L,10, FALSE)</f>
        <v>2</v>
      </c>
      <c r="I1040" s="22" t="str">
        <f>VLOOKUP($A1040, 'Medical Examinations'!$A:$J, 9, FALSE)</f>
        <v>No</v>
      </c>
      <c r="J1040" s="22" t="str">
        <f>VLOOKUP($A1040, 'Medical Examinations'!$A:$P, 11, FALSE)</f>
        <v>OBESITY</v>
      </c>
      <c r="K1040" s="34">
        <v>32074.0</v>
      </c>
      <c r="L1040" s="35">
        <f>VLOOKUP($A1040, 'Hospitalisation Details'!$A:$H, 7, FALSE)</f>
        <v>10806.84</v>
      </c>
      <c r="M1040" s="22" t="str">
        <f>VLOOKUP($A1040, 'Hospitalisation Details'!$A:$L, 12, FALSE)</f>
        <v>tier - 3</v>
      </c>
      <c r="N1040" s="22" t="str">
        <f>VLOOKUP($A1040, 'Hospitalisation Details'!$A:$M, 13, FALSE)</f>
        <v>tier - 2</v>
      </c>
      <c r="O1040" s="22" t="str">
        <f>VLOOKUP($A1040, 'Hospitalisation Details'!$A:$N, 14, FALSE)</f>
        <v>R1011</v>
      </c>
      <c r="P1040" s="36">
        <f>VLOOKUP($A1040, 'Hospitalisation Details'!$A:$O, 15, FALSE)</f>
        <v>52</v>
      </c>
    </row>
    <row r="1041" ht="15.75" customHeight="1">
      <c r="A1041" s="33" t="s">
        <v>2081</v>
      </c>
      <c r="B1041" s="22" t="str">
        <f>VLOOKUP($A1041,'Customer Names'!$A:$D,3, FALSE)</f>
        <v>Demise</v>
      </c>
      <c r="C1041" s="22">
        <f>VLOOKUP($A1041,'Medical Examinations'!$A:$D, 2, FALSE)</f>
        <v>30.78</v>
      </c>
      <c r="D1041" s="22">
        <f>VLOOKUP($A1041, 'Medical Examinations'!$A:$D,3, FALSE)</f>
        <v>10.74</v>
      </c>
      <c r="E1041" s="22" t="str">
        <f>VLOOKUP($A1041, 'Medical Examinations'!$A:$D, 4, FALSE)</f>
        <v>Yes</v>
      </c>
      <c r="F1041" s="22" t="str">
        <f>VLOOKUP($A1041, 'Medical Examinations'!$A:$J, 5, FALSE)</f>
        <v>No</v>
      </c>
      <c r="G1041" s="22" t="str">
        <f>VLOOKUP($A1041, 'Medical Examinations'!$A:$I, 6, FALSE)</f>
        <v>No</v>
      </c>
      <c r="H1041" s="22">
        <f>VLOOKUP($A1041,'Medical Examinations'!$A:$L,10, FALSE)</f>
        <v>2</v>
      </c>
      <c r="I1041" s="22" t="str">
        <f>VLOOKUP($A1041, 'Medical Examinations'!$A:$J, 9, FALSE)</f>
        <v>No</v>
      </c>
      <c r="J1041" s="22" t="str">
        <f>VLOOKUP($A1041, 'Medical Examinations'!$A:$P, 11, FALSE)</f>
        <v>OBESITY</v>
      </c>
      <c r="K1041" s="34">
        <v>34659.0</v>
      </c>
      <c r="L1041" s="35">
        <f>VLOOKUP($A1041, 'Hospitalisation Details'!$A:$H, 7, FALSE)</f>
        <v>10797.34</v>
      </c>
      <c r="M1041" s="22" t="str">
        <f>VLOOKUP($A1041, 'Hospitalisation Details'!$A:$L, 12, FALSE)</f>
        <v>tier - 3</v>
      </c>
      <c r="N1041" s="22" t="str">
        <f>VLOOKUP($A1041, 'Hospitalisation Details'!$A:$M, 13, FALSE)</f>
        <v>tier - 2</v>
      </c>
      <c r="O1041" s="22" t="str">
        <f>VLOOKUP($A1041, 'Hospitalisation Details'!$A:$N, 14, FALSE)</f>
        <v>R1023</v>
      </c>
      <c r="P1041" s="36">
        <f>VLOOKUP($A1041, 'Hospitalisation Details'!$A:$O, 15, FALSE)</f>
        <v>52</v>
      </c>
    </row>
    <row r="1042" ht="15.75" customHeight="1">
      <c r="A1042" s="33" t="s">
        <v>2083</v>
      </c>
      <c r="B1042" s="22" t="str">
        <f>VLOOKUP($A1042,'Customer Names'!$A:$D,3, FALSE)</f>
        <v>Nelson</v>
      </c>
      <c r="C1042" s="22">
        <f>VLOOKUP($A1042,'Medical Examinations'!$A:$D, 2, FALSE)</f>
        <v>28.975</v>
      </c>
      <c r="D1042" s="22">
        <f>VLOOKUP($A1042, 'Medical Examinations'!$A:$D,3, FALSE)</f>
        <v>7.69</v>
      </c>
      <c r="E1042" s="22" t="str">
        <f>VLOOKUP($A1042, 'Medical Examinations'!$A:$D, 4, FALSE)</f>
        <v>Yes</v>
      </c>
      <c r="F1042" s="22" t="str">
        <f>VLOOKUP($A1042, 'Medical Examinations'!$A:$J, 5, FALSE)</f>
        <v>No</v>
      </c>
      <c r="G1042" s="22" t="str">
        <f>VLOOKUP($A1042, 'Medical Examinations'!$A:$I, 6, FALSE)</f>
        <v>No</v>
      </c>
      <c r="H1042" s="22">
        <f>VLOOKUP($A1042,'Medical Examinations'!$A:$L,10, FALSE)</f>
        <v>0</v>
      </c>
      <c r="I1042" s="22" t="str">
        <f>VLOOKUP($A1042, 'Medical Examinations'!$A:$J, 9, FALSE)</f>
        <v>No</v>
      </c>
      <c r="J1042" s="22" t="str">
        <f>VLOOKUP($A1042, 'Medical Examinations'!$A:$P, 11, FALSE)</f>
        <v>OVERWEIGHT</v>
      </c>
      <c r="K1042" s="34">
        <v>33771.0</v>
      </c>
      <c r="L1042" s="35">
        <f>VLOOKUP($A1042, 'Hospitalisation Details'!$A:$H, 7, FALSE)</f>
        <v>10796.35</v>
      </c>
      <c r="M1042" s="22" t="str">
        <f>VLOOKUP($A1042, 'Hospitalisation Details'!$A:$L, 12, FALSE)</f>
        <v>tier - 3</v>
      </c>
      <c r="N1042" s="22" t="str">
        <f>VLOOKUP($A1042, 'Hospitalisation Details'!$A:$M, 13, FALSE)</f>
        <v>tier - 1</v>
      </c>
      <c r="O1042" s="22" t="str">
        <f>VLOOKUP($A1042, 'Hospitalisation Details'!$A:$N, 14, FALSE)</f>
        <v>R1019</v>
      </c>
      <c r="P1042" s="36">
        <f>VLOOKUP($A1042, 'Hospitalisation Details'!$A:$O, 15, FALSE)</f>
        <v>55</v>
      </c>
    </row>
    <row r="1043" ht="15.75" customHeight="1">
      <c r="A1043" s="33" t="s">
        <v>2085</v>
      </c>
      <c r="B1043" s="22" t="str">
        <f>VLOOKUP($A1043,'Customer Names'!$A:$D,3, FALSE)</f>
        <v>Guitard</v>
      </c>
      <c r="C1043" s="22">
        <f>VLOOKUP($A1043,'Medical Examinations'!$A:$D, 2, FALSE)</f>
        <v>33.4</v>
      </c>
      <c r="D1043" s="22">
        <f>VLOOKUP($A1043, 'Medical Examinations'!$A:$D,3, FALSE)</f>
        <v>4.84</v>
      </c>
      <c r="E1043" s="22" t="str">
        <f>VLOOKUP($A1043, 'Medical Examinations'!$A:$D, 4, FALSE)</f>
        <v>No</v>
      </c>
      <c r="F1043" s="22" t="str">
        <f>VLOOKUP($A1043, 'Medical Examinations'!$A:$J, 5, FALSE)</f>
        <v>No</v>
      </c>
      <c r="G1043" s="22" t="str">
        <f>VLOOKUP($A1043, 'Medical Examinations'!$A:$I, 6, FALSE)</f>
        <v>No</v>
      </c>
      <c r="H1043" s="22">
        <f>VLOOKUP($A1043,'Medical Examinations'!$A:$L,10, FALSE)</f>
        <v>0</v>
      </c>
      <c r="I1043" s="22" t="str">
        <f>VLOOKUP($A1043, 'Medical Examinations'!$A:$J, 9, FALSE)</f>
        <v>No</v>
      </c>
      <c r="J1043" s="22" t="str">
        <f>VLOOKUP($A1043, 'Medical Examinations'!$A:$P, 11, FALSE)</f>
        <v>OBESITY</v>
      </c>
      <c r="K1043" s="34">
        <v>33535.0</v>
      </c>
      <c r="L1043" s="35">
        <f>VLOOKUP($A1043, 'Hospitalisation Details'!$A:$H, 7, FALSE)</f>
        <v>10795.94</v>
      </c>
      <c r="M1043" s="22" t="str">
        <f>VLOOKUP($A1043, 'Hospitalisation Details'!$A:$L, 12, FALSE)</f>
        <v>tier - 3</v>
      </c>
      <c r="N1043" s="22" t="str">
        <f>VLOOKUP($A1043, 'Hospitalisation Details'!$A:$M, 13, FALSE)</f>
        <v>tier - 1</v>
      </c>
      <c r="O1043" s="22" t="str">
        <f>VLOOKUP($A1043, 'Hospitalisation Details'!$A:$N, 14, FALSE)</f>
        <v>R1011</v>
      </c>
      <c r="P1043" s="36">
        <f>VLOOKUP($A1043, 'Hospitalisation Details'!$A:$O, 15, FALSE)</f>
        <v>23</v>
      </c>
    </row>
    <row r="1044" ht="15.75" customHeight="1">
      <c r="A1044" s="33" t="s">
        <v>2087</v>
      </c>
      <c r="B1044" s="22" t="str">
        <f>VLOOKUP($A1044,'Customer Names'!$A:$D,3, FALSE)</f>
        <v>Navas</v>
      </c>
      <c r="C1044" s="22">
        <f>VLOOKUP($A1044,'Medical Examinations'!$A:$D, 2, FALSE)</f>
        <v>21.5</v>
      </c>
      <c r="D1044" s="22">
        <f>VLOOKUP($A1044, 'Medical Examinations'!$A:$D,3, FALSE)</f>
        <v>9.77</v>
      </c>
      <c r="E1044" s="22" t="str">
        <f>VLOOKUP($A1044, 'Medical Examinations'!$A:$D, 4, FALSE)</f>
        <v>Yes</v>
      </c>
      <c r="F1044" s="22" t="str">
        <f>VLOOKUP($A1044, 'Medical Examinations'!$A:$J, 5, FALSE)</f>
        <v>No</v>
      </c>
      <c r="G1044" s="22" t="str">
        <f>VLOOKUP($A1044, 'Medical Examinations'!$A:$I, 6, FALSE)</f>
        <v>No</v>
      </c>
      <c r="H1044" s="22">
        <f>VLOOKUP($A1044,'Medical Examinations'!$A:$L,10, FALSE)</f>
        <v>0</v>
      </c>
      <c r="I1044" s="22" t="str">
        <f>VLOOKUP($A1044, 'Medical Examinations'!$A:$J, 9, FALSE)</f>
        <v>No</v>
      </c>
      <c r="J1044" s="22" t="str">
        <f>VLOOKUP($A1044, 'Medical Examinations'!$A:$P, 11, FALSE)</f>
        <v>NORMAL WEIGHT</v>
      </c>
      <c r="K1044" s="34">
        <v>33475.0</v>
      </c>
      <c r="L1044" s="35">
        <f>VLOOKUP($A1044, 'Hospitalisation Details'!$A:$H, 7, FALSE)</f>
        <v>10791.96</v>
      </c>
      <c r="M1044" s="22" t="str">
        <f>VLOOKUP($A1044, 'Hospitalisation Details'!$A:$L, 12, FALSE)</f>
        <v>tier - 3</v>
      </c>
      <c r="N1044" s="22" t="str">
        <f>VLOOKUP($A1044, 'Hospitalisation Details'!$A:$M, 13, FALSE)</f>
        <v>tier - 2</v>
      </c>
      <c r="O1044" s="22" t="str">
        <f>VLOOKUP($A1044, 'Hospitalisation Details'!$A:$N, 14, FALSE)</f>
        <v>R1011</v>
      </c>
      <c r="P1044" s="36">
        <f>VLOOKUP($A1044, 'Hospitalisation Details'!$A:$O, 15, FALSE)</f>
        <v>55</v>
      </c>
    </row>
    <row r="1045" ht="15.75" customHeight="1">
      <c r="A1045" s="33" t="s">
        <v>2089</v>
      </c>
      <c r="B1045" s="22" t="str">
        <f>VLOOKUP($A1045,'Customer Names'!$A:$D,3, FALSE)</f>
        <v>Ptucha</v>
      </c>
      <c r="C1045" s="22">
        <f>VLOOKUP($A1045,'Medical Examinations'!$A:$D, 2, FALSE)</f>
        <v>38.14</v>
      </c>
      <c r="D1045" s="22">
        <f>VLOOKUP($A1045, 'Medical Examinations'!$A:$D,3, FALSE)</f>
        <v>5.84</v>
      </c>
      <c r="E1045" s="22" t="str">
        <f>VLOOKUP($A1045, 'Medical Examinations'!$A:$D, 4, FALSE)</f>
        <v>No</v>
      </c>
      <c r="F1045" s="22" t="str">
        <f>VLOOKUP($A1045, 'Medical Examinations'!$A:$J, 5, FALSE)</f>
        <v>No</v>
      </c>
      <c r="G1045" s="22" t="str">
        <f>VLOOKUP($A1045, 'Medical Examinations'!$A:$I, 6, FALSE)</f>
        <v>No</v>
      </c>
      <c r="H1045" s="22">
        <f>VLOOKUP($A1045,'Medical Examinations'!$A:$L,10, FALSE)</f>
        <v>0</v>
      </c>
      <c r="I1045" s="22" t="str">
        <f>VLOOKUP($A1045, 'Medical Examinations'!$A:$J, 9, FALSE)</f>
        <v>No</v>
      </c>
      <c r="J1045" s="22" t="str">
        <f>VLOOKUP($A1045, 'Medical Examinations'!$A:$P, 11, FALSE)</f>
        <v>OBESITY</v>
      </c>
      <c r="K1045" s="34">
        <v>33539.0</v>
      </c>
      <c r="L1045" s="35">
        <f>VLOOKUP($A1045, 'Hospitalisation Details'!$A:$H, 7, FALSE)</f>
        <v>10769.75</v>
      </c>
      <c r="M1045" s="22" t="str">
        <f>VLOOKUP($A1045, 'Hospitalisation Details'!$A:$L, 12, FALSE)</f>
        <v>tier - 3</v>
      </c>
      <c r="N1045" s="22" t="str">
        <f>VLOOKUP($A1045, 'Hospitalisation Details'!$A:$M, 13, FALSE)</f>
        <v>tier - 2</v>
      </c>
      <c r="O1045" s="22" t="str">
        <f>VLOOKUP($A1045, 'Hospitalisation Details'!$A:$N, 14, FALSE)</f>
        <v>R1022</v>
      </c>
      <c r="P1045" s="36">
        <f>VLOOKUP($A1045, 'Hospitalisation Details'!$A:$O, 15, FALSE)</f>
        <v>33</v>
      </c>
    </row>
    <row r="1046" ht="15.75" customHeight="1">
      <c r="A1046" s="33" t="s">
        <v>2091</v>
      </c>
      <c r="B1046" s="22" t="str">
        <f>VLOOKUP($A1046,'Customer Names'!$A:$D,3, FALSE)</f>
        <v>Kirouac</v>
      </c>
      <c r="C1046" s="22">
        <f>VLOOKUP($A1046,'Medical Examinations'!$A:$D, 2, FALSE)</f>
        <v>35.42</v>
      </c>
      <c r="D1046" s="22">
        <f>VLOOKUP($A1046, 'Medical Examinations'!$A:$D,3, FALSE)</f>
        <v>8.7</v>
      </c>
      <c r="E1046" s="22" t="str">
        <f>VLOOKUP($A1046, 'Medical Examinations'!$A:$D, 4, FALSE)</f>
        <v>Yes</v>
      </c>
      <c r="F1046" s="22" t="str">
        <f>VLOOKUP($A1046, 'Medical Examinations'!$A:$J, 5, FALSE)</f>
        <v>No</v>
      </c>
      <c r="G1046" s="22" t="str">
        <f>VLOOKUP($A1046, 'Medical Examinations'!$A:$I, 6, FALSE)</f>
        <v>No</v>
      </c>
      <c r="H1046" s="22">
        <f>VLOOKUP($A1046,'Medical Examinations'!$A:$L,10, FALSE)</f>
        <v>1</v>
      </c>
      <c r="I1046" s="22" t="str">
        <f>VLOOKUP($A1046, 'Medical Examinations'!$A:$J, 9, FALSE)</f>
        <v>No</v>
      </c>
      <c r="J1046" s="22" t="str">
        <f>VLOOKUP($A1046, 'Medical Examinations'!$A:$P, 11, FALSE)</f>
        <v>OBESITY</v>
      </c>
      <c r="K1046" s="34">
        <v>31664.0</v>
      </c>
      <c r="L1046" s="35">
        <f>VLOOKUP($A1046, 'Hospitalisation Details'!$A:$H, 7, FALSE)</f>
        <v>10749.02</v>
      </c>
      <c r="M1046" s="22" t="str">
        <f>VLOOKUP($A1046, 'Hospitalisation Details'!$A:$L, 12, FALSE)</f>
        <v>tier - 3</v>
      </c>
      <c r="N1046" s="22" t="str">
        <f>VLOOKUP($A1046, 'Hospitalisation Details'!$A:$M, 13, FALSE)</f>
        <v>tier - 1</v>
      </c>
      <c r="O1046" s="22" t="str">
        <f>VLOOKUP($A1046, 'Hospitalisation Details'!$A:$N, 14, FALSE)</f>
        <v>R1026</v>
      </c>
      <c r="P1046" s="36">
        <f>VLOOKUP($A1046, 'Hospitalisation Details'!$A:$O, 15, FALSE)</f>
        <v>36</v>
      </c>
    </row>
    <row r="1047" ht="15.75" customHeight="1">
      <c r="A1047" s="33" t="s">
        <v>2093</v>
      </c>
      <c r="B1047" s="22" t="str">
        <f>VLOOKUP($A1047,'Customer Names'!$A:$D,3, FALSE)</f>
        <v>Toews</v>
      </c>
      <c r="C1047" s="22">
        <f>VLOOKUP($A1047,'Medical Examinations'!$A:$D, 2, FALSE)</f>
        <v>35.625</v>
      </c>
      <c r="D1047" s="22">
        <f>VLOOKUP($A1047, 'Medical Examinations'!$A:$D,3, FALSE)</f>
        <v>10.79</v>
      </c>
      <c r="E1047" s="22" t="str">
        <f>VLOOKUP($A1047, 'Medical Examinations'!$A:$D, 4, FALSE)</f>
        <v>No</v>
      </c>
      <c r="F1047" s="22" t="str">
        <f>VLOOKUP($A1047, 'Medical Examinations'!$A:$J, 5, FALSE)</f>
        <v>No</v>
      </c>
      <c r="G1047" s="22" t="str">
        <f>VLOOKUP($A1047, 'Medical Examinations'!$A:$I, 6, FALSE)</f>
        <v>No</v>
      </c>
      <c r="H1047" s="22">
        <f>VLOOKUP($A1047,'Medical Examinations'!$A:$L,10, FALSE)</f>
        <v>0</v>
      </c>
      <c r="I1047" s="22" t="str">
        <f>VLOOKUP($A1047, 'Medical Examinations'!$A:$J, 9, FALSE)</f>
        <v>No</v>
      </c>
      <c r="J1047" s="22" t="str">
        <f>VLOOKUP($A1047, 'Medical Examinations'!$A:$P, 11, FALSE)</f>
        <v>OBESITY</v>
      </c>
      <c r="K1047" s="34">
        <v>34142.0</v>
      </c>
      <c r="L1047" s="35">
        <f>VLOOKUP($A1047, 'Hospitalisation Details'!$A:$H, 7, FALSE)</f>
        <v>10736.87</v>
      </c>
      <c r="M1047" s="22" t="str">
        <f>VLOOKUP($A1047, 'Hospitalisation Details'!$A:$L, 12, FALSE)</f>
        <v>tier - 3</v>
      </c>
      <c r="N1047" s="22" t="str">
        <f>VLOOKUP($A1047, 'Hospitalisation Details'!$A:$M, 13, FALSE)</f>
        <v>tier - 1</v>
      </c>
      <c r="O1047" s="22" t="str">
        <f>VLOOKUP($A1047, 'Hospitalisation Details'!$A:$N, 14, FALSE)</f>
        <v>R1016</v>
      </c>
      <c r="P1047" s="36">
        <f>VLOOKUP($A1047, 'Hospitalisation Details'!$A:$O, 15, FALSE)</f>
        <v>48</v>
      </c>
    </row>
    <row r="1048" ht="15.75" customHeight="1">
      <c r="A1048" s="33" t="s">
        <v>2095</v>
      </c>
      <c r="B1048" s="22" t="str">
        <f>VLOOKUP($A1048,'Customer Names'!$A:$D,3, FALSE)</f>
        <v>Perry</v>
      </c>
      <c r="C1048" s="22">
        <f>VLOOKUP($A1048,'Medical Examinations'!$A:$D, 2, FALSE)</f>
        <v>45.51</v>
      </c>
      <c r="D1048" s="22">
        <f>VLOOKUP($A1048, 'Medical Examinations'!$A:$D,3, FALSE)</f>
        <v>4.32</v>
      </c>
      <c r="E1048" s="22" t="str">
        <f>VLOOKUP($A1048, 'Medical Examinations'!$A:$D, 4, FALSE)</f>
        <v>No</v>
      </c>
      <c r="F1048" s="22" t="str">
        <f>VLOOKUP($A1048, 'Medical Examinations'!$A:$J, 5, FALSE)</f>
        <v>No</v>
      </c>
      <c r="G1048" s="22" t="str">
        <f>VLOOKUP($A1048, 'Medical Examinations'!$A:$I, 6, FALSE)</f>
        <v>No</v>
      </c>
      <c r="H1048" s="22">
        <f>VLOOKUP($A1048,'Medical Examinations'!$A:$L,10, FALSE)</f>
        <v>1</v>
      </c>
      <c r="I1048" s="22" t="str">
        <f>VLOOKUP($A1048, 'Medical Examinations'!$A:$J, 9, FALSE)</f>
        <v>No</v>
      </c>
      <c r="J1048" s="22" t="str">
        <f>VLOOKUP($A1048, 'Medical Examinations'!$A:$P, 11, FALSE)</f>
        <v>OBESITY</v>
      </c>
      <c r="K1048" s="34">
        <v>34568.0</v>
      </c>
      <c r="L1048" s="35">
        <f>VLOOKUP($A1048, 'Hospitalisation Details'!$A:$H, 7, FALSE)</f>
        <v>10719.57</v>
      </c>
      <c r="M1048" s="22" t="str">
        <f>VLOOKUP($A1048, 'Hospitalisation Details'!$A:$L, 12, FALSE)</f>
        <v>tier - 3</v>
      </c>
      <c r="N1048" s="22" t="str">
        <f>VLOOKUP($A1048, 'Hospitalisation Details'!$A:$M, 13, FALSE)</f>
        <v>tier - 1</v>
      </c>
      <c r="O1048" s="22" t="str">
        <f>VLOOKUP($A1048, 'Hospitalisation Details'!$A:$N, 14, FALSE)</f>
        <v>R1012</v>
      </c>
      <c r="P1048" s="36">
        <f>VLOOKUP($A1048, 'Hospitalisation Details'!$A:$O, 15, FALSE)</f>
        <v>30</v>
      </c>
    </row>
    <row r="1049" ht="15.75" customHeight="1">
      <c r="A1049" s="33" t="s">
        <v>2097</v>
      </c>
      <c r="B1049" s="22" t="str">
        <f>VLOOKUP($A1049,'Customer Names'!$A:$D,3, FALSE)</f>
        <v>Kretz</v>
      </c>
      <c r="C1049" s="22">
        <f>VLOOKUP($A1049,'Medical Examinations'!$A:$D, 2, FALSE)</f>
        <v>37.1</v>
      </c>
      <c r="D1049" s="22">
        <f>VLOOKUP($A1049, 'Medical Examinations'!$A:$D,3, FALSE)</f>
        <v>7.19</v>
      </c>
      <c r="E1049" s="22" t="str">
        <f>VLOOKUP($A1049, 'Medical Examinations'!$A:$D, 4, FALSE)</f>
        <v>Yes</v>
      </c>
      <c r="F1049" s="22" t="str">
        <f>VLOOKUP($A1049, 'Medical Examinations'!$A:$J, 5, FALSE)</f>
        <v>No</v>
      </c>
      <c r="G1049" s="22" t="str">
        <f>VLOOKUP($A1049, 'Medical Examinations'!$A:$I, 6, FALSE)</f>
        <v>No</v>
      </c>
      <c r="H1049" s="22">
        <f>VLOOKUP($A1049,'Medical Examinations'!$A:$L,10, FALSE)</f>
        <v>0</v>
      </c>
      <c r="I1049" s="22" t="str">
        <f>VLOOKUP($A1049, 'Medical Examinations'!$A:$J, 9, FALSE)</f>
        <v>No</v>
      </c>
      <c r="J1049" s="22" t="str">
        <f>VLOOKUP($A1049, 'Medical Examinations'!$A:$P, 11, FALSE)</f>
        <v>OBESITY</v>
      </c>
      <c r="K1049" s="34">
        <v>31747.0</v>
      </c>
      <c r="L1049" s="35">
        <f>VLOOKUP($A1049, 'Hospitalisation Details'!$A:$H, 7, FALSE)</f>
        <v>10713.64</v>
      </c>
      <c r="M1049" s="22" t="str">
        <f>VLOOKUP($A1049, 'Hospitalisation Details'!$A:$L, 12, FALSE)</f>
        <v>tier - 3</v>
      </c>
      <c r="N1049" s="22" t="str">
        <f>VLOOKUP($A1049, 'Hospitalisation Details'!$A:$M, 13, FALSE)</f>
        <v>tier - 3</v>
      </c>
      <c r="O1049" s="22" t="str">
        <f>VLOOKUP($A1049, 'Hospitalisation Details'!$A:$N, 14, FALSE)</f>
        <v>R1011</v>
      </c>
      <c r="P1049" s="36">
        <f>VLOOKUP($A1049, 'Hospitalisation Details'!$A:$O, 15, FALSE)</f>
        <v>55</v>
      </c>
    </row>
    <row r="1050" ht="15.75" customHeight="1">
      <c r="A1050" s="33" t="s">
        <v>2099</v>
      </c>
      <c r="B1050" s="22" t="str">
        <f>VLOOKUP($A1050,'Customer Names'!$A:$D,3, FALSE)</f>
        <v>Hempel</v>
      </c>
      <c r="C1050" s="22">
        <f>VLOOKUP($A1050,'Medical Examinations'!$A:$D, 2, FALSE)</f>
        <v>30.5</v>
      </c>
      <c r="D1050" s="22">
        <f>VLOOKUP($A1050, 'Medical Examinations'!$A:$D,3, FALSE)</f>
        <v>11.94</v>
      </c>
      <c r="E1050" s="22" t="str">
        <f>VLOOKUP($A1050, 'Medical Examinations'!$A:$D, 4, FALSE)</f>
        <v>Yes</v>
      </c>
      <c r="F1050" s="22" t="str">
        <f>VLOOKUP($A1050, 'Medical Examinations'!$A:$J, 5, FALSE)</f>
        <v>No</v>
      </c>
      <c r="G1050" s="22" t="str">
        <f>VLOOKUP($A1050, 'Medical Examinations'!$A:$I, 6, FALSE)</f>
        <v>No</v>
      </c>
      <c r="H1050" s="22">
        <f>VLOOKUP($A1050,'Medical Examinations'!$A:$L,10, FALSE)</f>
        <v>0</v>
      </c>
      <c r="I1050" s="22" t="str">
        <f>VLOOKUP($A1050, 'Medical Examinations'!$A:$J, 9, FALSE)</f>
        <v>No</v>
      </c>
      <c r="J1050" s="22" t="str">
        <f>VLOOKUP($A1050, 'Medical Examinations'!$A:$P, 11, FALSE)</f>
        <v>OBESITY</v>
      </c>
      <c r="K1050" s="34">
        <v>38296.0</v>
      </c>
      <c r="L1050" s="35">
        <f>VLOOKUP($A1050, 'Hospitalisation Details'!$A:$H, 7, FALSE)</f>
        <v>10704.47</v>
      </c>
      <c r="M1050" s="22" t="str">
        <f>VLOOKUP($A1050, 'Hospitalisation Details'!$A:$L, 12, FALSE)</f>
        <v>tier - 3</v>
      </c>
      <c r="N1050" s="22" t="str">
        <f>VLOOKUP($A1050, 'Hospitalisation Details'!$A:$M, 13, FALSE)</f>
        <v>tier - 2</v>
      </c>
      <c r="O1050" s="22" t="str">
        <f>VLOOKUP($A1050, 'Hospitalisation Details'!$A:$N, 14, FALSE)</f>
        <v>R1011</v>
      </c>
      <c r="P1050" s="36">
        <f>VLOOKUP($A1050, 'Hospitalisation Details'!$A:$O, 15, FALSE)</f>
        <v>55</v>
      </c>
    </row>
    <row r="1051" ht="15.75" customHeight="1">
      <c r="A1051" s="33" t="s">
        <v>2101</v>
      </c>
      <c r="B1051" s="22" t="str">
        <f>VLOOKUP($A1051,'Customer Names'!$A:$D,3, FALSE)</f>
        <v>McBroom</v>
      </c>
      <c r="C1051" s="22">
        <f>VLOOKUP($A1051,'Medical Examinations'!$A:$D, 2, FALSE)</f>
        <v>28.16</v>
      </c>
      <c r="D1051" s="22">
        <f>VLOOKUP($A1051, 'Medical Examinations'!$A:$D,3, FALSE)</f>
        <v>5.56</v>
      </c>
      <c r="E1051" s="22" t="str">
        <f>VLOOKUP($A1051, 'Medical Examinations'!$A:$D, 4, FALSE)</f>
        <v>No</v>
      </c>
      <c r="F1051" s="22" t="str">
        <f>VLOOKUP($A1051, 'Medical Examinations'!$A:$J, 5, FALSE)</f>
        <v>No</v>
      </c>
      <c r="G1051" s="22" t="str">
        <f>VLOOKUP($A1051, 'Medical Examinations'!$A:$I, 6, FALSE)</f>
        <v>No</v>
      </c>
      <c r="H1051" s="22">
        <f>VLOOKUP($A1051,'Medical Examinations'!$A:$L,10, FALSE)</f>
        <v>2</v>
      </c>
      <c r="I1051" s="22" t="str">
        <f>VLOOKUP($A1051, 'Medical Examinations'!$A:$J, 9, FALSE)</f>
        <v>No</v>
      </c>
      <c r="J1051" s="22" t="str">
        <f>VLOOKUP($A1051, 'Medical Examinations'!$A:$P, 11, FALSE)</f>
        <v>OVERWEIGHT</v>
      </c>
      <c r="K1051" s="34">
        <v>32844.0</v>
      </c>
      <c r="L1051" s="35">
        <f>VLOOKUP($A1051, 'Hospitalisation Details'!$A:$H, 7, FALSE)</f>
        <v>10702.64</v>
      </c>
      <c r="M1051" s="22" t="str">
        <f>VLOOKUP($A1051, 'Hospitalisation Details'!$A:$L, 12, FALSE)</f>
        <v>tier - 3</v>
      </c>
      <c r="N1051" s="22" t="str">
        <f>VLOOKUP($A1051, 'Hospitalisation Details'!$A:$M, 13, FALSE)</f>
        <v>tier - 3</v>
      </c>
      <c r="O1051" s="22" t="str">
        <f>VLOOKUP($A1051, 'Hospitalisation Details'!$A:$N, 14, FALSE)</f>
        <v>R1013</v>
      </c>
      <c r="P1051" s="36">
        <f>VLOOKUP($A1051, 'Hospitalisation Details'!$A:$O, 15, FALSE)</f>
        <v>50</v>
      </c>
    </row>
    <row r="1052" ht="15.75" customHeight="1">
      <c r="A1052" s="33" t="s">
        <v>2103</v>
      </c>
      <c r="B1052" s="22" t="str">
        <f>VLOOKUP($A1052,'Customer Names'!$A:$D,3, FALSE)</f>
        <v>Yoo</v>
      </c>
      <c r="C1052" s="22">
        <f>VLOOKUP($A1052,'Medical Examinations'!$A:$D, 2, FALSE)</f>
        <v>29.1</v>
      </c>
      <c r="D1052" s="22">
        <f>VLOOKUP($A1052, 'Medical Examinations'!$A:$D,3, FALSE)</f>
        <v>5.64</v>
      </c>
      <c r="E1052" s="22" t="str">
        <f>VLOOKUP($A1052, 'Medical Examinations'!$A:$D, 4, FALSE)</f>
        <v>Yes</v>
      </c>
      <c r="F1052" s="22" t="str">
        <f>VLOOKUP($A1052, 'Medical Examinations'!$A:$J, 5, FALSE)</f>
        <v>No</v>
      </c>
      <c r="G1052" s="22" t="str">
        <f>VLOOKUP($A1052, 'Medical Examinations'!$A:$I, 6, FALSE)</f>
        <v>No</v>
      </c>
      <c r="H1052" s="22">
        <f>VLOOKUP($A1052,'Medical Examinations'!$A:$L,10, FALSE)</f>
        <v>0</v>
      </c>
      <c r="I1052" s="22" t="str">
        <f>VLOOKUP($A1052, 'Medical Examinations'!$A:$J, 9, FALSE)</f>
        <v>No</v>
      </c>
      <c r="J1052" s="22" t="str">
        <f>VLOOKUP($A1052, 'Medical Examinations'!$A:$P, 11, FALSE)</f>
        <v>OVERWEIGHT</v>
      </c>
      <c r="K1052" s="34">
        <v>32373.0</v>
      </c>
      <c r="L1052" s="35">
        <f>VLOOKUP($A1052, 'Hospitalisation Details'!$A:$H, 7, FALSE)</f>
        <v>10698.38</v>
      </c>
      <c r="M1052" s="22" t="str">
        <f>VLOOKUP($A1052, 'Hospitalisation Details'!$A:$L, 12, FALSE)</f>
        <v>tier - 3</v>
      </c>
      <c r="N1052" s="22" t="str">
        <f>VLOOKUP($A1052, 'Hospitalisation Details'!$A:$M, 13, FALSE)</f>
        <v>tier - 1</v>
      </c>
      <c r="O1052" s="22" t="str">
        <f>VLOOKUP($A1052, 'Hospitalisation Details'!$A:$N, 14, FALSE)</f>
        <v>R1025</v>
      </c>
      <c r="P1052" s="36">
        <f>VLOOKUP($A1052, 'Hospitalisation Details'!$A:$O, 15, FALSE)</f>
        <v>46</v>
      </c>
    </row>
    <row r="1053" ht="15.75" customHeight="1">
      <c r="A1053" s="33" t="s">
        <v>2105</v>
      </c>
      <c r="B1053" s="22" t="str">
        <f>VLOOKUP($A1053,'Customer Names'!$A:$D,3, FALSE)</f>
        <v>Rand</v>
      </c>
      <c r="C1053" s="22">
        <f>VLOOKUP($A1053,'Medical Examinations'!$A:$D, 2, FALSE)</f>
        <v>30.22</v>
      </c>
      <c r="D1053" s="22">
        <f>VLOOKUP($A1053, 'Medical Examinations'!$A:$D,3, FALSE)</f>
        <v>4.65</v>
      </c>
      <c r="E1053" s="22" t="str">
        <f>VLOOKUP($A1053, 'Medical Examinations'!$A:$D, 4, FALSE)</f>
        <v>No</v>
      </c>
      <c r="F1053" s="22" t="str">
        <f>VLOOKUP($A1053, 'Medical Examinations'!$A:$J, 5, FALSE)</f>
        <v>No</v>
      </c>
      <c r="G1053" s="22" t="str">
        <f>VLOOKUP($A1053, 'Medical Examinations'!$A:$I, 6, FALSE)</f>
        <v>No</v>
      </c>
      <c r="H1053" s="22">
        <f>VLOOKUP($A1053,'Medical Examinations'!$A:$L,10, FALSE)</f>
        <v>0</v>
      </c>
      <c r="I1053" s="22" t="str">
        <f>VLOOKUP($A1053, 'Medical Examinations'!$A:$J, 9, FALSE)</f>
        <v>No</v>
      </c>
      <c r="J1053" s="22" t="str">
        <f>VLOOKUP($A1053, 'Medical Examinations'!$A:$P, 11, FALSE)</f>
        <v>OBESITY</v>
      </c>
      <c r="K1053" s="34">
        <v>38346.0</v>
      </c>
      <c r="L1053" s="35">
        <f>VLOOKUP($A1053, 'Hospitalisation Details'!$A:$H, 7, FALSE)</f>
        <v>10690.11</v>
      </c>
      <c r="M1053" s="22" t="str">
        <f>VLOOKUP($A1053, 'Hospitalisation Details'!$A:$L, 12, FALSE)</f>
        <v>tier - 3</v>
      </c>
      <c r="N1053" s="22" t="str">
        <f>VLOOKUP($A1053, 'Hospitalisation Details'!$A:$M, 13, FALSE)</f>
        <v>tier - 2</v>
      </c>
      <c r="O1053" s="22" t="str">
        <f>VLOOKUP($A1053, 'Hospitalisation Details'!$A:$N, 14, FALSE)</f>
        <v>R1021</v>
      </c>
      <c r="P1053" s="36">
        <f>VLOOKUP($A1053, 'Hospitalisation Details'!$A:$O, 15, FALSE)</f>
        <v>45</v>
      </c>
    </row>
    <row r="1054" ht="15.75" customHeight="1">
      <c r="A1054" s="33" t="s">
        <v>2107</v>
      </c>
      <c r="B1054" s="22" t="str">
        <f>VLOOKUP($A1054,'Customer Names'!$A:$D,3, FALSE)</f>
        <v>Wolfe</v>
      </c>
      <c r="C1054" s="22">
        <f>VLOOKUP($A1054,'Medical Examinations'!$A:$D, 2, FALSE)</f>
        <v>24.29</v>
      </c>
      <c r="D1054" s="22">
        <f>VLOOKUP($A1054, 'Medical Examinations'!$A:$D,3, FALSE)</f>
        <v>9.05</v>
      </c>
      <c r="E1054" s="22" t="str">
        <f>VLOOKUP($A1054, 'Medical Examinations'!$A:$D, 4, FALSE)</f>
        <v>No</v>
      </c>
      <c r="F1054" s="22" t="str">
        <f>VLOOKUP($A1054, 'Medical Examinations'!$A:$J, 5, FALSE)</f>
        <v>No</v>
      </c>
      <c r="G1054" s="22" t="str">
        <f>VLOOKUP($A1054, 'Medical Examinations'!$A:$I, 6, FALSE)</f>
        <v>No</v>
      </c>
      <c r="H1054" s="22">
        <f>VLOOKUP($A1054,'Medical Examinations'!$A:$L,10, FALSE)</f>
        <v>0</v>
      </c>
      <c r="I1054" s="22" t="str">
        <f>VLOOKUP($A1054, 'Medical Examinations'!$A:$J, 9, FALSE)</f>
        <v>No</v>
      </c>
      <c r="J1054" s="22" t="str">
        <f>VLOOKUP($A1054, 'Medical Examinations'!$A:$P, 11, FALSE)</f>
        <v>NORMAL WEIGHT</v>
      </c>
      <c r="K1054" s="34">
        <v>34993.0</v>
      </c>
      <c r="L1054" s="35">
        <f>VLOOKUP($A1054, 'Hospitalisation Details'!$A:$H, 7, FALSE)</f>
        <v>10676.83</v>
      </c>
      <c r="M1054" s="22" t="str">
        <f>VLOOKUP($A1054, 'Hospitalisation Details'!$A:$L, 12, FALSE)</f>
        <v>tier - 3</v>
      </c>
      <c r="N1054" s="22" t="str">
        <f>VLOOKUP($A1054, 'Hospitalisation Details'!$A:$M, 13, FALSE)</f>
        <v>tier - 3</v>
      </c>
      <c r="O1054" s="22" t="str">
        <f>VLOOKUP($A1054, 'Hospitalisation Details'!$A:$N, 14, FALSE)</f>
        <v>R1013</v>
      </c>
      <c r="P1054" s="36">
        <f>VLOOKUP($A1054, 'Hospitalisation Details'!$A:$O, 15, FALSE)</f>
        <v>60</v>
      </c>
    </row>
    <row r="1055" ht="15.75" customHeight="1">
      <c r="A1055" s="33" t="s">
        <v>2109</v>
      </c>
      <c r="B1055" s="22" t="str">
        <f>VLOOKUP($A1055,'Customer Names'!$A:$D,3, FALSE)</f>
        <v>Vance</v>
      </c>
      <c r="C1055" s="22">
        <f>VLOOKUP($A1055,'Medical Examinations'!$A:$D, 2, FALSE)</f>
        <v>29.39</v>
      </c>
      <c r="D1055" s="22">
        <f>VLOOKUP($A1055, 'Medical Examinations'!$A:$D,3, FALSE)</f>
        <v>4.52</v>
      </c>
      <c r="E1055" s="22" t="str">
        <f>VLOOKUP($A1055, 'Medical Examinations'!$A:$D, 4, FALSE)</f>
        <v>Yes</v>
      </c>
      <c r="F1055" s="22" t="str">
        <f>VLOOKUP($A1055, 'Medical Examinations'!$A:$J, 5, FALSE)</f>
        <v>No</v>
      </c>
      <c r="G1055" s="22" t="str">
        <f>VLOOKUP($A1055, 'Medical Examinations'!$A:$I, 6, FALSE)</f>
        <v>No</v>
      </c>
      <c r="H1055" s="22">
        <f>VLOOKUP($A1055,'Medical Examinations'!$A:$L,10, FALSE)</f>
        <v>0</v>
      </c>
      <c r="I1055" s="22" t="str">
        <f>VLOOKUP($A1055, 'Medical Examinations'!$A:$J, 9, FALSE)</f>
        <v>No</v>
      </c>
      <c r="J1055" s="22" t="str">
        <f>VLOOKUP($A1055, 'Medical Examinations'!$A:$P, 11, FALSE)</f>
        <v>OVERWEIGHT</v>
      </c>
      <c r="K1055" s="34">
        <v>29934.0</v>
      </c>
      <c r="L1055" s="35">
        <f>VLOOKUP($A1055, 'Hospitalisation Details'!$A:$H, 7, FALSE)</f>
        <v>10665.44</v>
      </c>
      <c r="M1055" s="22" t="str">
        <f>VLOOKUP($A1055, 'Hospitalisation Details'!$A:$L, 12, FALSE)</f>
        <v>tier - 3</v>
      </c>
      <c r="N1055" s="22" t="str">
        <f>VLOOKUP($A1055, 'Hospitalisation Details'!$A:$M, 13, FALSE)</f>
        <v>tier - 2</v>
      </c>
      <c r="O1055" s="22" t="str">
        <f>VLOOKUP($A1055, 'Hospitalisation Details'!$A:$N, 14, FALSE)</f>
        <v>R1021</v>
      </c>
      <c r="P1055" s="36">
        <f>VLOOKUP($A1055, 'Hospitalisation Details'!$A:$O, 15, FALSE)</f>
        <v>46</v>
      </c>
    </row>
    <row r="1056" ht="15.75" customHeight="1">
      <c r="A1056" s="33" t="s">
        <v>2111</v>
      </c>
      <c r="B1056" s="22" t="str">
        <f>VLOOKUP($A1056,'Customer Names'!$A:$D,3, FALSE)</f>
        <v>Burnett</v>
      </c>
      <c r="C1056" s="22">
        <f>VLOOKUP($A1056,'Medical Examinations'!$A:$D, 2, FALSE)</f>
        <v>25.66</v>
      </c>
      <c r="D1056" s="22">
        <f>VLOOKUP($A1056, 'Medical Examinations'!$A:$D,3, FALSE)</f>
        <v>4.62</v>
      </c>
      <c r="E1056" s="22" t="str">
        <f>VLOOKUP($A1056, 'Medical Examinations'!$A:$D, 4, FALSE)</f>
        <v>Yes</v>
      </c>
      <c r="F1056" s="22" t="str">
        <f>VLOOKUP($A1056, 'Medical Examinations'!$A:$J, 5, FALSE)</f>
        <v>No</v>
      </c>
      <c r="G1056" s="22" t="str">
        <f>VLOOKUP($A1056, 'Medical Examinations'!$A:$I, 6, FALSE)</f>
        <v>No</v>
      </c>
      <c r="H1056" s="22">
        <f>VLOOKUP($A1056,'Medical Examinations'!$A:$L,10, FALSE)</f>
        <v>1</v>
      </c>
      <c r="I1056" s="22" t="str">
        <f>VLOOKUP($A1056, 'Medical Examinations'!$A:$J, 9, FALSE)</f>
        <v>No</v>
      </c>
      <c r="J1056" s="22" t="str">
        <f>VLOOKUP($A1056, 'Medical Examinations'!$A:$P, 11, FALSE)</f>
        <v>OVERWEIGHT</v>
      </c>
      <c r="K1056" s="34">
        <v>37812.0</v>
      </c>
      <c r="L1056" s="35">
        <f>VLOOKUP($A1056, 'Hospitalisation Details'!$A:$H, 7, FALSE)</f>
        <v>10627.81</v>
      </c>
      <c r="M1056" s="22" t="str">
        <f>VLOOKUP($A1056, 'Hospitalisation Details'!$A:$L, 12, FALSE)</f>
        <v>tier - 3</v>
      </c>
      <c r="N1056" s="22" t="str">
        <f>VLOOKUP($A1056, 'Hospitalisation Details'!$A:$M, 13, FALSE)</f>
        <v>tier - 3</v>
      </c>
      <c r="O1056" s="22" t="str">
        <f>VLOOKUP($A1056, 'Hospitalisation Details'!$A:$N, 14, FALSE)</f>
        <v>R1013</v>
      </c>
      <c r="P1056" s="36">
        <f>VLOOKUP($A1056, 'Hospitalisation Details'!$A:$O, 15, FALSE)</f>
        <v>58</v>
      </c>
    </row>
    <row r="1057" ht="15.75" customHeight="1">
      <c r="A1057" s="33" t="s">
        <v>2113</v>
      </c>
      <c r="B1057" s="22" t="str">
        <f>VLOOKUP($A1057,'Customer Names'!$A:$D,3, FALSE)</f>
        <v>Clason</v>
      </c>
      <c r="C1057" s="22">
        <f>VLOOKUP($A1057,'Medical Examinations'!$A:$D, 2, FALSE)</f>
        <v>39.11</v>
      </c>
      <c r="D1057" s="22">
        <f>VLOOKUP($A1057, 'Medical Examinations'!$A:$D,3, FALSE)</f>
        <v>5.87</v>
      </c>
      <c r="E1057" s="22" t="str">
        <f>VLOOKUP($A1057, 'Medical Examinations'!$A:$D, 4, FALSE)</f>
        <v>No</v>
      </c>
      <c r="F1057" s="22" t="str">
        <f>VLOOKUP($A1057, 'Medical Examinations'!$A:$J, 5, FALSE)</f>
        <v>No</v>
      </c>
      <c r="G1057" s="22" t="str">
        <f>VLOOKUP($A1057, 'Medical Examinations'!$A:$I, 6, FALSE)</f>
        <v>No</v>
      </c>
      <c r="H1057" s="22">
        <f>VLOOKUP($A1057,'Medical Examinations'!$A:$L,10, FALSE)</f>
        <v>0</v>
      </c>
      <c r="I1057" s="22" t="str">
        <f>VLOOKUP($A1057, 'Medical Examinations'!$A:$J, 9, FALSE)</f>
        <v>No</v>
      </c>
      <c r="J1057" s="22" t="str">
        <f>VLOOKUP($A1057, 'Medical Examinations'!$A:$P, 11, FALSE)</f>
        <v>OBESITY</v>
      </c>
      <c r="K1057" s="34">
        <v>30869.0</v>
      </c>
      <c r="L1057" s="35">
        <f>VLOOKUP($A1057, 'Hospitalisation Details'!$A:$H, 7, FALSE)</f>
        <v>10620.26</v>
      </c>
      <c r="M1057" s="22" t="str">
        <f>VLOOKUP($A1057, 'Hospitalisation Details'!$A:$L, 12, FALSE)</f>
        <v>tier - 3</v>
      </c>
      <c r="N1057" s="22" t="str">
        <f>VLOOKUP($A1057, 'Hospitalisation Details'!$A:$M, 13, FALSE)</f>
        <v>tier - 3</v>
      </c>
      <c r="O1057" s="22" t="str">
        <f>VLOOKUP($A1057, 'Hospitalisation Details'!$A:$N, 14, FALSE)</f>
        <v>R1012</v>
      </c>
      <c r="P1057" s="36">
        <f>VLOOKUP($A1057, 'Hospitalisation Details'!$A:$O, 15, FALSE)</f>
        <v>32</v>
      </c>
    </row>
    <row r="1058" ht="15.75" customHeight="1">
      <c r="A1058" s="33" t="s">
        <v>2115</v>
      </c>
      <c r="B1058" s="22" t="str">
        <f>VLOOKUP($A1058,'Customer Names'!$A:$D,3, FALSE)</f>
        <v>Donnelly</v>
      </c>
      <c r="C1058" s="22">
        <f>VLOOKUP($A1058,'Medical Examinations'!$A:$D, 2, FALSE)</f>
        <v>43.78</v>
      </c>
      <c r="D1058" s="22">
        <f>VLOOKUP($A1058, 'Medical Examinations'!$A:$D,3, FALSE)</f>
        <v>5.71</v>
      </c>
      <c r="E1058" s="22" t="str">
        <f>VLOOKUP($A1058, 'Medical Examinations'!$A:$D, 4, FALSE)</f>
        <v>No</v>
      </c>
      <c r="F1058" s="22" t="str">
        <f>VLOOKUP($A1058, 'Medical Examinations'!$A:$J, 5, FALSE)</f>
        <v>No</v>
      </c>
      <c r="G1058" s="22" t="str">
        <f>VLOOKUP($A1058, 'Medical Examinations'!$A:$I, 6, FALSE)</f>
        <v>No</v>
      </c>
      <c r="H1058" s="22">
        <f>VLOOKUP($A1058,'Medical Examinations'!$A:$L,10, FALSE)</f>
        <v>1</v>
      </c>
      <c r="I1058" s="22" t="str">
        <f>VLOOKUP($A1058, 'Medical Examinations'!$A:$J, 9, FALSE)</f>
        <v>No</v>
      </c>
      <c r="J1058" s="22" t="str">
        <f>VLOOKUP($A1058, 'Medical Examinations'!$A:$P, 11, FALSE)</f>
        <v>OBESITY</v>
      </c>
      <c r="K1058" s="34">
        <v>33861.0</v>
      </c>
      <c r="L1058" s="35">
        <f>VLOOKUP($A1058, 'Hospitalisation Details'!$A:$H, 7, FALSE)</f>
        <v>10617.04</v>
      </c>
      <c r="M1058" s="22" t="str">
        <f>VLOOKUP($A1058, 'Hospitalisation Details'!$A:$L, 12, FALSE)</f>
        <v>tier - 3</v>
      </c>
      <c r="N1058" s="22" t="str">
        <f>VLOOKUP($A1058, 'Hospitalisation Details'!$A:$M, 13, FALSE)</f>
        <v>tier - 3</v>
      </c>
      <c r="O1058" s="22" t="str">
        <f>VLOOKUP($A1058, 'Hospitalisation Details'!$A:$N, 14, FALSE)</f>
        <v>R1026</v>
      </c>
      <c r="P1058" s="36">
        <f>VLOOKUP($A1058, 'Hospitalisation Details'!$A:$O, 15, FALSE)</f>
        <v>30</v>
      </c>
    </row>
    <row r="1059" ht="15.75" customHeight="1">
      <c r="A1059" s="33" t="s">
        <v>2117</v>
      </c>
      <c r="B1059" s="22" t="str">
        <f>VLOOKUP($A1059,'Customer Names'!$A:$D,3, FALSE)</f>
        <v>Pietz</v>
      </c>
      <c r="C1059" s="22">
        <f>VLOOKUP($A1059,'Medical Examinations'!$A:$D, 2, FALSE)</f>
        <v>24.35</v>
      </c>
      <c r="D1059" s="22">
        <f>VLOOKUP($A1059, 'Medical Examinations'!$A:$D,3, FALSE)</f>
        <v>9.08</v>
      </c>
      <c r="E1059" s="22" t="str">
        <f>VLOOKUP($A1059, 'Medical Examinations'!$A:$D, 4, FALSE)</f>
        <v>No</v>
      </c>
      <c r="F1059" s="22" t="str">
        <f>VLOOKUP($A1059, 'Medical Examinations'!$A:$J, 5, FALSE)</f>
        <v>No</v>
      </c>
      <c r="G1059" s="22" t="str">
        <f>VLOOKUP($A1059, 'Medical Examinations'!$A:$I, 6, FALSE)</f>
        <v>No</v>
      </c>
      <c r="H1059" s="22">
        <f>VLOOKUP($A1059,'Medical Examinations'!$A:$L,10, FALSE)</f>
        <v>0</v>
      </c>
      <c r="I1059" s="22" t="str">
        <f>VLOOKUP($A1059, 'Medical Examinations'!$A:$J, 9, FALSE)</f>
        <v>No</v>
      </c>
      <c r="J1059" s="22" t="str">
        <f>VLOOKUP($A1059, 'Medical Examinations'!$A:$P, 11, FALSE)</f>
        <v>NORMAL WEIGHT</v>
      </c>
      <c r="K1059" s="34">
        <v>33185.0</v>
      </c>
      <c r="L1059" s="35">
        <f>VLOOKUP($A1059, 'Hospitalisation Details'!$A:$H, 7, FALSE)</f>
        <v>10608.67</v>
      </c>
      <c r="M1059" s="22" t="str">
        <f>VLOOKUP($A1059, 'Hospitalisation Details'!$A:$L, 12, FALSE)</f>
        <v>tier - 3</v>
      </c>
      <c r="N1059" s="22" t="str">
        <f>VLOOKUP($A1059, 'Hospitalisation Details'!$A:$M, 13, FALSE)</f>
        <v>tier - 3</v>
      </c>
      <c r="O1059" s="22" t="str">
        <f>VLOOKUP($A1059, 'Hospitalisation Details'!$A:$N, 14, FALSE)</f>
        <v>R1012</v>
      </c>
      <c r="P1059" s="36">
        <f>VLOOKUP($A1059, 'Hospitalisation Details'!$A:$O, 15, FALSE)</f>
        <v>57</v>
      </c>
    </row>
    <row r="1060" ht="15.75" customHeight="1">
      <c r="A1060" s="33" t="s">
        <v>2119</v>
      </c>
      <c r="B1060" s="22" t="str">
        <f>VLOOKUP($A1060,'Customer Names'!$A:$D,3, FALSE)</f>
        <v>Tegenkamp</v>
      </c>
      <c r="C1060" s="22">
        <f>VLOOKUP($A1060,'Medical Examinations'!$A:$D, 2, FALSE)</f>
        <v>40.3</v>
      </c>
      <c r="D1060" s="22">
        <f>VLOOKUP($A1060, 'Medical Examinations'!$A:$D,3, FALSE)</f>
        <v>5.3</v>
      </c>
      <c r="E1060" s="22" t="str">
        <f>VLOOKUP($A1060, 'Medical Examinations'!$A:$D, 4, FALSE)</f>
        <v>Yes</v>
      </c>
      <c r="F1060" s="22" t="str">
        <f>VLOOKUP($A1060, 'Medical Examinations'!$A:$J, 5, FALSE)</f>
        <v>No</v>
      </c>
      <c r="G1060" s="22" t="str">
        <f>VLOOKUP($A1060, 'Medical Examinations'!$A:$I, 6, FALSE)</f>
        <v>No</v>
      </c>
      <c r="H1060" s="22">
        <f>VLOOKUP($A1060,'Medical Examinations'!$A:$L,10, FALSE)</f>
        <v>2</v>
      </c>
      <c r="I1060" s="22" t="str">
        <f>VLOOKUP($A1060, 'Medical Examinations'!$A:$J, 9, FALSE)</f>
        <v>No</v>
      </c>
      <c r="J1060" s="22" t="str">
        <f>VLOOKUP($A1060, 'Medical Examinations'!$A:$P, 11, FALSE)</f>
        <v>OBESITY</v>
      </c>
      <c r="K1060" s="34">
        <v>33925.0</v>
      </c>
      <c r="L1060" s="35">
        <f>VLOOKUP($A1060, 'Hospitalisation Details'!$A:$H, 7, FALSE)</f>
        <v>10602.39</v>
      </c>
      <c r="M1060" s="22" t="str">
        <f>VLOOKUP($A1060, 'Hospitalisation Details'!$A:$L, 12, FALSE)</f>
        <v>tier - 3</v>
      </c>
      <c r="N1060" s="22" t="str">
        <f>VLOOKUP($A1060, 'Hospitalisation Details'!$A:$M, 13, FALSE)</f>
        <v>tier - 3</v>
      </c>
      <c r="O1060" s="22" t="str">
        <f>VLOOKUP($A1060, 'Hospitalisation Details'!$A:$N, 14, FALSE)</f>
        <v>R1011</v>
      </c>
      <c r="P1060" s="36">
        <f>VLOOKUP($A1060, 'Hospitalisation Details'!$A:$O, 15, FALSE)</f>
        <v>56</v>
      </c>
    </row>
    <row r="1061" ht="15.75" customHeight="1">
      <c r="A1061" s="33" t="s">
        <v>2121</v>
      </c>
      <c r="B1061" s="22" t="str">
        <f>VLOOKUP($A1061,'Customer Names'!$A:$D,3, FALSE)</f>
        <v>Dover</v>
      </c>
      <c r="C1061" s="22">
        <f>VLOOKUP($A1061,'Medical Examinations'!$A:$D, 2, FALSE)</f>
        <v>32.775</v>
      </c>
      <c r="D1061" s="22">
        <f>VLOOKUP($A1061, 'Medical Examinations'!$A:$D,3, FALSE)</f>
        <v>11.76</v>
      </c>
      <c r="E1061" s="22" t="str">
        <f>VLOOKUP($A1061, 'Medical Examinations'!$A:$D, 4, FALSE)</f>
        <v>Yes</v>
      </c>
      <c r="F1061" s="22" t="str">
        <f>VLOOKUP($A1061, 'Medical Examinations'!$A:$J, 5, FALSE)</f>
        <v>No</v>
      </c>
      <c r="G1061" s="22" t="str">
        <f>VLOOKUP($A1061, 'Medical Examinations'!$A:$I, 6, FALSE)</f>
        <v>No</v>
      </c>
      <c r="H1061" s="22">
        <f>VLOOKUP($A1061,'Medical Examinations'!$A:$L,10, FALSE)</f>
        <v>0</v>
      </c>
      <c r="I1061" s="22" t="str">
        <f>VLOOKUP($A1061, 'Medical Examinations'!$A:$J, 9, FALSE)</f>
        <v>No</v>
      </c>
      <c r="J1061" s="22" t="str">
        <f>VLOOKUP($A1061, 'Medical Examinations'!$A:$P, 11, FALSE)</f>
        <v>OBESITY</v>
      </c>
      <c r="K1061" s="34">
        <v>31212.0</v>
      </c>
      <c r="L1061" s="35">
        <f>VLOOKUP($A1061, 'Hospitalisation Details'!$A:$H, 7, FALSE)</f>
        <v>10601.63</v>
      </c>
      <c r="M1061" s="22" t="str">
        <f>VLOOKUP($A1061, 'Hospitalisation Details'!$A:$L, 12, FALSE)</f>
        <v>tier - 3</v>
      </c>
      <c r="N1061" s="22" t="str">
        <f>VLOOKUP($A1061, 'Hospitalisation Details'!$A:$M, 13, FALSE)</f>
        <v>tier - 2</v>
      </c>
      <c r="O1061" s="22" t="str">
        <f>VLOOKUP($A1061, 'Hospitalisation Details'!$A:$N, 14, FALSE)</f>
        <v>R1012</v>
      </c>
      <c r="P1061" s="36">
        <f>VLOOKUP($A1061, 'Hospitalisation Details'!$A:$O, 15, FALSE)</f>
        <v>55</v>
      </c>
    </row>
    <row r="1062" ht="15.75" customHeight="1">
      <c r="A1062" s="33" t="s">
        <v>2123</v>
      </c>
      <c r="B1062" s="22" t="str">
        <f>VLOOKUP($A1062,'Customer Names'!$A:$D,3, FALSE)</f>
        <v>Dockemeyer</v>
      </c>
      <c r="C1062" s="22">
        <f>VLOOKUP($A1062,'Medical Examinations'!$A:$D, 2, FALSE)</f>
        <v>39.6</v>
      </c>
      <c r="D1062" s="22">
        <f>VLOOKUP($A1062, 'Medical Examinations'!$A:$D,3, FALSE)</f>
        <v>5.11</v>
      </c>
      <c r="E1062" s="22" t="str">
        <f>VLOOKUP($A1062, 'Medical Examinations'!$A:$D, 4, FALSE)</f>
        <v>Yes</v>
      </c>
      <c r="F1062" s="22" t="str">
        <f>VLOOKUP($A1062, 'Medical Examinations'!$A:$J, 5, FALSE)</f>
        <v>No</v>
      </c>
      <c r="G1062" s="22" t="str">
        <f>VLOOKUP($A1062, 'Medical Examinations'!$A:$I, 6, FALSE)</f>
        <v>No</v>
      </c>
      <c r="H1062" s="22">
        <f>VLOOKUP($A1062,'Medical Examinations'!$A:$L,10, FALSE)</f>
        <v>2</v>
      </c>
      <c r="I1062" s="22" t="str">
        <f>VLOOKUP($A1062, 'Medical Examinations'!$A:$J, 9, FALSE)</f>
        <v>No</v>
      </c>
      <c r="J1062" s="22" t="str">
        <f>VLOOKUP($A1062, 'Medical Examinations'!$A:$P, 11, FALSE)</f>
        <v>OBESITY</v>
      </c>
      <c r="K1062" s="34">
        <v>33157.0</v>
      </c>
      <c r="L1062" s="35">
        <f>VLOOKUP($A1062, 'Hospitalisation Details'!$A:$H, 7, FALSE)</f>
        <v>10601.41</v>
      </c>
      <c r="M1062" s="22" t="str">
        <f>VLOOKUP($A1062, 'Hospitalisation Details'!$A:$L, 12, FALSE)</f>
        <v>tier - 3</v>
      </c>
      <c r="N1062" s="22" t="str">
        <f>VLOOKUP($A1062, 'Hospitalisation Details'!$A:$M, 13, FALSE)</f>
        <v>tier - 2</v>
      </c>
      <c r="O1062" s="22" t="str">
        <f>VLOOKUP($A1062, 'Hospitalisation Details'!$A:$N, 14, FALSE)</f>
        <v>R1011</v>
      </c>
      <c r="P1062" s="36">
        <f>VLOOKUP($A1062, 'Hospitalisation Details'!$A:$O, 15, FALSE)</f>
        <v>56</v>
      </c>
    </row>
    <row r="1063" ht="15.75" customHeight="1">
      <c r="A1063" s="33" t="s">
        <v>2125</v>
      </c>
      <c r="B1063" s="22" t="str">
        <f>VLOOKUP($A1063,'Customer Names'!$A:$D,3, FALSE)</f>
        <v>Steele</v>
      </c>
      <c r="C1063" s="22">
        <f>VLOOKUP($A1063,'Medical Examinations'!$A:$D, 2, FALSE)</f>
        <v>30.97</v>
      </c>
      <c r="D1063" s="22">
        <f>VLOOKUP($A1063, 'Medical Examinations'!$A:$D,3, FALSE)</f>
        <v>5.54</v>
      </c>
      <c r="E1063" s="22" t="str">
        <f>VLOOKUP($A1063, 'Medical Examinations'!$A:$D, 4, FALSE)</f>
        <v>No</v>
      </c>
      <c r="F1063" s="22" t="str">
        <f>VLOOKUP($A1063, 'Medical Examinations'!$A:$J, 5, FALSE)</f>
        <v>No</v>
      </c>
      <c r="G1063" s="22" t="str">
        <f>VLOOKUP($A1063, 'Medical Examinations'!$A:$I, 6, FALSE)</f>
        <v>No</v>
      </c>
      <c r="H1063" s="22">
        <f>VLOOKUP($A1063,'Medical Examinations'!$A:$L,10, FALSE)</f>
        <v>2</v>
      </c>
      <c r="I1063" s="22" t="str">
        <f>VLOOKUP($A1063, 'Medical Examinations'!$A:$J, 9, FALSE)</f>
        <v>No</v>
      </c>
      <c r="J1063" s="22" t="str">
        <f>VLOOKUP($A1063, 'Medical Examinations'!$A:$P, 11, FALSE)</f>
        <v>OBESITY</v>
      </c>
      <c r="K1063" s="34">
        <v>32451.0</v>
      </c>
      <c r="L1063" s="35">
        <f>VLOOKUP($A1063, 'Hospitalisation Details'!$A:$H, 7, FALSE)</f>
        <v>10600.55</v>
      </c>
      <c r="M1063" s="22" t="str">
        <f>VLOOKUP($A1063, 'Hospitalisation Details'!$A:$L, 12, FALSE)</f>
        <v>tier - 3</v>
      </c>
      <c r="N1063" s="22" t="str">
        <f>VLOOKUP($A1063, 'Hospitalisation Details'!$A:$M, 13, FALSE)</f>
        <v>tier - 1</v>
      </c>
      <c r="O1063" s="22" t="str">
        <f>VLOOKUP($A1063, 'Hospitalisation Details'!$A:$N, 14, FALSE)</f>
        <v>R1012</v>
      </c>
      <c r="P1063" s="36">
        <f>VLOOKUP($A1063, 'Hospitalisation Details'!$A:$O, 15, FALSE)</f>
        <v>50</v>
      </c>
    </row>
    <row r="1064" ht="15.75" customHeight="1">
      <c r="A1064" s="33" t="s">
        <v>2127</v>
      </c>
      <c r="B1064" s="22" t="str">
        <f>VLOOKUP($A1064,'Customer Names'!$A:$D,3, FALSE)</f>
        <v>Harel</v>
      </c>
      <c r="C1064" s="22">
        <f>VLOOKUP($A1064,'Medical Examinations'!$A:$D, 2, FALSE)</f>
        <v>27.645</v>
      </c>
      <c r="D1064" s="22">
        <f>VLOOKUP($A1064, 'Medical Examinations'!$A:$D,3, FALSE)</f>
        <v>8.87</v>
      </c>
      <c r="E1064" s="22" t="str">
        <f>VLOOKUP($A1064, 'Medical Examinations'!$A:$D, 4, FALSE)</f>
        <v>Yes</v>
      </c>
      <c r="F1064" s="22" t="str">
        <f>VLOOKUP($A1064, 'Medical Examinations'!$A:$J, 5, FALSE)</f>
        <v>No</v>
      </c>
      <c r="G1064" s="22" t="str">
        <f>VLOOKUP($A1064, 'Medical Examinations'!$A:$I, 6, FALSE)</f>
        <v>No</v>
      </c>
      <c r="H1064" s="22">
        <f>VLOOKUP($A1064,'Medical Examinations'!$A:$L,10, FALSE)</f>
        <v>0</v>
      </c>
      <c r="I1064" s="22" t="str">
        <f>VLOOKUP($A1064, 'Medical Examinations'!$A:$J, 9, FALSE)</f>
        <v>No</v>
      </c>
      <c r="J1064" s="22" t="str">
        <f>VLOOKUP($A1064, 'Medical Examinations'!$A:$P, 11, FALSE)</f>
        <v>OVERWEIGHT</v>
      </c>
      <c r="K1064" s="34">
        <v>37869.0</v>
      </c>
      <c r="L1064" s="35">
        <f>VLOOKUP($A1064, 'Hospitalisation Details'!$A:$H, 7, FALSE)</f>
        <v>10594.5</v>
      </c>
      <c r="M1064" s="22" t="str">
        <f>VLOOKUP($A1064, 'Hospitalisation Details'!$A:$L, 12, FALSE)</f>
        <v>tier - 3</v>
      </c>
      <c r="N1064" s="22" t="str">
        <f>VLOOKUP($A1064, 'Hospitalisation Details'!$A:$M, 13, FALSE)</f>
        <v>tier - 1</v>
      </c>
      <c r="O1064" s="22" t="str">
        <f>VLOOKUP($A1064, 'Hospitalisation Details'!$A:$N, 14, FALSE)</f>
        <v>R1012</v>
      </c>
      <c r="P1064" s="36">
        <f>VLOOKUP($A1064, 'Hospitalisation Details'!$A:$O, 15, FALSE)</f>
        <v>55</v>
      </c>
    </row>
    <row r="1065" ht="15.75" customHeight="1">
      <c r="A1065" s="33" t="s">
        <v>2129</v>
      </c>
      <c r="B1065" s="22" t="str">
        <f>VLOOKUP($A1065,'Customer Names'!$A:$D,3, FALSE)</f>
        <v>Aguila</v>
      </c>
      <c r="C1065" s="22">
        <f>VLOOKUP($A1065,'Medical Examinations'!$A:$D, 2, FALSE)</f>
        <v>34.43</v>
      </c>
      <c r="D1065" s="22">
        <f>VLOOKUP($A1065, 'Medical Examinations'!$A:$D,3, FALSE)</f>
        <v>5.96</v>
      </c>
      <c r="E1065" s="22" t="str">
        <f>VLOOKUP($A1065, 'Medical Examinations'!$A:$D, 4, FALSE)</f>
        <v>Yes</v>
      </c>
      <c r="F1065" s="22" t="str">
        <f>VLOOKUP($A1065, 'Medical Examinations'!$A:$J, 5, FALSE)</f>
        <v>No</v>
      </c>
      <c r="G1065" s="22" t="str">
        <f>VLOOKUP($A1065, 'Medical Examinations'!$A:$I, 6, FALSE)</f>
        <v>No</v>
      </c>
      <c r="H1065" s="22">
        <f>VLOOKUP($A1065,'Medical Examinations'!$A:$L,10, FALSE)</f>
        <v>2</v>
      </c>
      <c r="I1065" s="22" t="str">
        <f>VLOOKUP($A1065, 'Medical Examinations'!$A:$J, 9, FALSE)</f>
        <v>No</v>
      </c>
      <c r="J1065" s="22" t="str">
        <f>VLOOKUP($A1065, 'Medical Examinations'!$A:$P, 11, FALSE)</f>
        <v>OBESITY</v>
      </c>
      <c r="K1065" s="34">
        <v>36384.0</v>
      </c>
      <c r="L1065" s="35">
        <f>VLOOKUP($A1065, 'Hospitalisation Details'!$A:$H, 7, FALSE)</f>
        <v>10594.23</v>
      </c>
      <c r="M1065" s="22" t="str">
        <f>VLOOKUP($A1065, 'Hospitalisation Details'!$A:$L, 12, FALSE)</f>
        <v>tier - 3</v>
      </c>
      <c r="N1065" s="22" t="str">
        <f>VLOOKUP($A1065, 'Hospitalisation Details'!$A:$M, 13, FALSE)</f>
        <v>tier - 3</v>
      </c>
      <c r="O1065" s="22" t="str">
        <f>VLOOKUP($A1065, 'Hospitalisation Details'!$A:$N, 14, FALSE)</f>
        <v>R1013</v>
      </c>
      <c r="P1065" s="36">
        <f>VLOOKUP($A1065, 'Hospitalisation Details'!$A:$O, 15, FALSE)</f>
        <v>56</v>
      </c>
    </row>
    <row r="1066" ht="15.75" customHeight="1">
      <c r="A1066" s="33" t="s">
        <v>2131</v>
      </c>
      <c r="B1066" s="22" t="str">
        <f>VLOOKUP($A1066,'Customer Names'!$A:$D,3, FALSE)</f>
        <v>Vallej</v>
      </c>
      <c r="C1066" s="22">
        <f>VLOOKUP($A1066,'Medical Examinations'!$A:$D, 2, FALSE)</f>
        <v>39.6</v>
      </c>
      <c r="D1066" s="22">
        <f>VLOOKUP($A1066, 'Medical Examinations'!$A:$D,3, FALSE)</f>
        <v>4.44</v>
      </c>
      <c r="E1066" s="22" t="str">
        <f>VLOOKUP($A1066, 'Medical Examinations'!$A:$D, 4, FALSE)</f>
        <v>Yes</v>
      </c>
      <c r="F1066" s="22" t="str">
        <f>VLOOKUP($A1066, 'Medical Examinations'!$A:$J, 5, FALSE)</f>
        <v>No</v>
      </c>
      <c r="G1066" s="22" t="str">
        <f>VLOOKUP($A1066, 'Medical Examinations'!$A:$I, 6, FALSE)</f>
        <v>Yes</v>
      </c>
      <c r="H1066" s="22">
        <f>VLOOKUP($A1066,'Medical Examinations'!$A:$L,10, FALSE)</f>
        <v>1</v>
      </c>
      <c r="I1066" s="22" t="str">
        <f>VLOOKUP($A1066, 'Medical Examinations'!$A:$J, 9, FALSE)</f>
        <v>No</v>
      </c>
      <c r="J1066" s="22" t="str">
        <f>VLOOKUP($A1066, 'Medical Examinations'!$A:$P, 11, FALSE)</f>
        <v>OBESITY</v>
      </c>
      <c r="K1066" s="34">
        <v>35738.0</v>
      </c>
      <c r="L1066" s="35">
        <f>VLOOKUP($A1066, 'Hospitalisation Details'!$A:$H, 7, FALSE)</f>
        <v>10579.71</v>
      </c>
      <c r="M1066" s="22" t="str">
        <f>VLOOKUP($A1066, 'Hospitalisation Details'!$A:$L, 12, FALSE)</f>
        <v>tier - 3</v>
      </c>
      <c r="N1066" s="22" t="str">
        <f>VLOOKUP($A1066, 'Hospitalisation Details'!$A:$M, 13, FALSE)</f>
        <v>tier - 3</v>
      </c>
      <c r="O1066" s="22" t="str">
        <f>VLOOKUP($A1066, 'Hospitalisation Details'!$A:$N, 14, FALSE)</f>
        <v>R1013</v>
      </c>
      <c r="P1066" s="36">
        <f>VLOOKUP($A1066, 'Hospitalisation Details'!$A:$O, 15, FALSE)</f>
        <v>53</v>
      </c>
    </row>
    <row r="1067" ht="15.75" customHeight="1">
      <c r="A1067" s="33" t="s">
        <v>2133</v>
      </c>
      <c r="B1067" s="22" t="str">
        <f>VLOOKUP($A1067,'Customer Names'!$A:$D,3, FALSE)</f>
        <v>Beisheim</v>
      </c>
      <c r="C1067" s="22">
        <f>VLOOKUP($A1067,'Medical Examinations'!$A:$D, 2, FALSE)</f>
        <v>22.1</v>
      </c>
      <c r="D1067" s="22">
        <f>VLOOKUP($A1067, 'Medical Examinations'!$A:$D,3, FALSE)</f>
        <v>4.65</v>
      </c>
      <c r="E1067" s="22" t="str">
        <f>VLOOKUP($A1067, 'Medical Examinations'!$A:$D, 4, FALSE)</f>
        <v>Yes</v>
      </c>
      <c r="F1067" s="22" t="str">
        <f>VLOOKUP($A1067, 'Medical Examinations'!$A:$J, 5, FALSE)</f>
        <v>No</v>
      </c>
      <c r="G1067" s="22" t="str">
        <f>VLOOKUP($A1067, 'Medical Examinations'!$A:$I, 6, FALSE)</f>
        <v>No</v>
      </c>
      <c r="H1067" s="22">
        <f>VLOOKUP($A1067,'Medical Examinations'!$A:$L,10, FALSE)</f>
        <v>2</v>
      </c>
      <c r="I1067" s="22" t="str">
        <f>VLOOKUP($A1067, 'Medical Examinations'!$A:$J, 9, FALSE)</f>
        <v>No</v>
      </c>
      <c r="J1067" s="22" t="str">
        <f>VLOOKUP($A1067, 'Medical Examinations'!$A:$P, 11, FALSE)</f>
        <v>NORMAL WEIGHT</v>
      </c>
      <c r="K1067" s="34">
        <v>36317.0</v>
      </c>
      <c r="L1067" s="35">
        <f>VLOOKUP($A1067, 'Hospitalisation Details'!$A:$H, 7, FALSE)</f>
        <v>10577.09</v>
      </c>
      <c r="M1067" s="22" t="str">
        <f>VLOOKUP($A1067, 'Hospitalisation Details'!$A:$L, 12, FALSE)</f>
        <v>tier - 3</v>
      </c>
      <c r="N1067" s="22" t="str">
        <f>VLOOKUP($A1067, 'Hospitalisation Details'!$A:$M, 13, FALSE)</f>
        <v>tier - 3</v>
      </c>
      <c r="O1067" s="22" t="str">
        <f>VLOOKUP($A1067, 'Hospitalisation Details'!$A:$N, 14, FALSE)</f>
        <v>R1011</v>
      </c>
      <c r="P1067" s="36">
        <f>VLOOKUP($A1067, 'Hospitalisation Details'!$A:$O, 15, FALSE)</f>
        <v>56</v>
      </c>
    </row>
    <row r="1068" ht="15.75" customHeight="1">
      <c r="A1068" s="33" t="s">
        <v>2135</v>
      </c>
      <c r="B1068" s="22" t="str">
        <f>VLOOKUP($A1068,'Customer Names'!$A:$D,3, FALSE)</f>
        <v>Lenhoff</v>
      </c>
      <c r="C1068" s="22">
        <f>VLOOKUP($A1068,'Medical Examinations'!$A:$D, 2, FALSE)</f>
        <v>33.25</v>
      </c>
      <c r="D1068" s="22">
        <f>VLOOKUP($A1068, 'Medical Examinations'!$A:$D,3, FALSE)</f>
        <v>5.64</v>
      </c>
      <c r="E1068" s="22" t="str">
        <f>VLOOKUP($A1068, 'Medical Examinations'!$A:$D, 4, FALSE)</f>
        <v>Yes</v>
      </c>
      <c r="F1068" s="22" t="str">
        <f>VLOOKUP($A1068, 'Medical Examinations'!$A:$J, 5, FALSE)</f>
        <v>No</v>
      </c>
      <c r="G1068" s="22" t="str">
        <f>VLOOKUP($A1068, 'Medical Examinations'!$A:$I, 6, FALSE)</f>
        <v>Yes</v>
      </c>
      <c r="H1068" s="22">
        <f>VLOOKUP($A1068,'Medical Examinations'!$A:$L,10, FALSE)</f>
        <v>1</v>
      </c>
      <c r="I1068" s="22" t="str">
        <f>VLOOKUP($A1068, 'Medical Examinations'!$A:$J, 9, FALSE)</f>
        <v>No</v>
      </c>
      <c r="J1068" s="22" t="str">
        <f>VLOOKUP($A1068, 'Medical Examinations'!$A:$P, 11, FALSE)</f>
        <v>OBESITY</v>
      </c>
      <c r="K1068" s="34">
        <v>31773.0</v>
      </c>
      <c r="L1068" s="35">
        <f>VLOOKUP($A1068, 'Hospitalisation Details'!$A:$H, 7, FALSE)</f>
        <v>10564.88</v>
      </c>
      <c r="M1068" s="22" t="str">
        <f>VLOOKUP($A1068, 'Hospitalisation Details'!$A:$L, 12, FALSE)</f>
        <v>tier - 3</v>
      </c>
      <c r="N1068" s="22" t="str">
        <f>VLOOKUP($A1068, 'Hospitalisation Details'!$A:$M, 13, FALSE)</f>
        <v>tier - 1</v>
      </c>
      <c r="O1068" s="22" t="str">
        <f>VLOOKUP($A1068, 'Hospitalisation Details'!$A:$N, 14, FALSE)</f>
        <v>R1024</v>
      </c>
      <c r="P1068" s="36">
        <f>VLOOKUP($A1068, 'Hospitalisation Details'!$A:$O, 15, FALSE)</f>
        <v>53</v>
      </c>
    </row>
    <row r="1069" ht="15.75" customHeight="1">
      <c r="A1069" s="33" t="s">
        <v>2137</v>
      </c>
      <c r="B1069" s="22" t="str">
        <f>VLOOKUP($A1069,'Customer Names'!$A:$D,3, FALSE)</f>
        <v>Wehrwein</v>
      </c>
      <c r="C1069" s="22">
        <f>VLOOKUP($A1069,'Medical Examinations'!$A:$D, 2, FALSE)</f>
        <v>33.33</v>
      </c>
      <c r="D1069" s="22">
        <f>VLOOKUP($A1069, 'Medical Examinations'!$A:$D,3, FALSE)</f>
        <v>10.19</v>
      </c>
      <c r="E1069" s="22" t="str">
        <f>VLOOKUP($A1069, 'Medical Examinations'!$A:$D, 4, FALSE)</f>
        <v>No</v>
      </c>
      <c r="F1069" s="22" t="str">
        <f>VLOOKUP($A1069, 'Medical Examinations'!$A:$J, 5, FALSE)</f>
        <v>No</v>
      </c>
      <c r="G1069" s="22" t="str">
        <f>VLOOKUP($A1069, 'Medical Examinations'!$A:$I, 6, FALSE)</f>
        <v>No</v>
      </c>
      <c r="H1069" s="22">
        <f>VLOOKUP($A1069,'Medical Examinations'!$A:$L,10, FALSE)</f>
        <v>0</v>
      </c>
      <c r="I1069" s="22" t="str">
        <f>VLOOKUP($A1069, 'Medical Examinations'!$A:$J, 9, FALSE)</f>
        <v>No</v>
      </c>
      <c r="J1069" s="22" t="str">
        <f>VLOOKUP($A1069, 'Medical Examinations'!$A:$P, 11, FALSE)</f>
        <v>OBESITY</v>
      </c>
      <c r="K1069" s="34">
        <v>37206.0</v>
      </c>
      <c r="L1069" s="35">
        <f>VLOOKUP($A1069, 'Hospitalisation Details'!$A:$H, 7, FALSE)</f>
        <v>10560.49</v>
      </c>
      <c r="M1069" s="22" t="str">
        <f>VLOOKUP($A1069, 'Hospitalisation Details'!$A:$L, 12, FALSE)</f>
        <v>tier - 3</v>
      </c>
      <c r="N1069" s="22" t="str">
        <f>VLOOKUP($A1069, 'Hospitalisation Details'!$A:$M, 13, FALSE)</f>
        <v>tier - 2</v>
      </c>
      <c r="O1069" s="22" t="str">
        <f>VLOOKUP($A1069, 'Hospitalisation Details'!$A:$N, 14, FALSE)</f>
        <v>R1013</v>
      </c>
      <c r="P1069" s="36">
        <f>VLOOKUP($A1069, 'Hospitalisation Details'!$A:$O, 15, FALSE)</f>
        <v>51</v>
      </c>
    </row>
    <row r="1070" ht="15.75" customHeight="1">
      <c r="A1070" s="33" t="s">
        <v>2139</v>
      </c>
      <c r="B1070" s="22" t="str">
        <f>VLOOKUP($A1070,'Customer Names'!$A:$D,3, FALSE)</f>
        <v>Wallace</v>
      </c>
      <c r="C1070" s="22">
        <f>VLOOKUP($A1070,'Medical Examinations'!$A:$D, 2, FALSE)</f>
        <v>30.5</v>
      </c>
      <c r="D1070" s="22">
        <f>VLOOKUP($A1070, 'Medical Examinations'!$A:$D,3, FALSE)</f>
        <v>10.79</v>
      </c>
      <c r="E1070" s="22" t="str">
        <f>VLOOKUP($A1070, 'Medical Examinations'!$A:$D, 4, FALSE)</f>
        <v>No</v>
      </c>
      <c r="F1070" s="22" t="str">
        <f>VLOOKUP($A1070, 'Medical Examinations'!$A:$J, 5, FALSE)</f>
        <v>No</v>
      </c>
      <c r="G1070" s="22" t="str">
        <f>VLOOKUP($A1070, 'Medical Examinations'!$A:$I, 6, FALSE)</f>
        <v>No</v>
      </c>
      <c r="H1070" s="22">
        <f>VLOOKUP($A1070,'Medical Examinations'!$A:$L,10, FALSE)</f>
        <v>0</v>
      </c>
      <c r="I1070" s="22" t="str">
        <f>VLOOKUP($A1070, 'Medical Examinations'!$A:$J, 9, FALSE)</f>
        <v>No</v>
      </c>
      <c r="J1070" s="22" t="str">
        <f>VLOOKUP($A1070, 'Medical Examinations'!$A:$P, 11, FALSE)</f>
        <v>OBESITY</v>
      </c>
      <c r="K1070" s="34">
        <v>34934.0</v>
      </c>
      <c r="L1070" s="35">
        <f>VLOOKUP($A1070, 'Hospitalisation Details'!$A:$H, 7, FALSE)</f>
        <v>10546.48</v>
      </c>
      <c r="M1070" s="22" t="str">
        <f>VLOOKUP($A1070, 'Hospitalisation Details'!$A:$L, 12, FALSE)</f>
        <v>tier - 3</v>
      </c>
      <c r="N1070" s="22" t="str">
        <f>VLOOKUP($A1070, 'Hospitalisation Details'!$A:$M, 13, FALSE)</f>
        <v>tier - 3</v>
      </c>
      <c r="O1070" s="22" t="str">
        <f>VLOOKUP($A1070, 'Hospitalisation Details'!$A:$N, 14, FALSE)</f>
        <v>R1011</v>
      </c>
      <c r="P1070" s="36">
        <f>VLOOKUP($A1070, 'Hospitalisation Details'!$A:$O, 15, FALSE)</f>
        <v>51</v>
      </c>
    </row>
    <row r="1071" ht="15.75" customHeight="1">
      <c r="A1071" s="33" t="s">
        <v>2141</v>
      </c>
      <c r="B1071" s="22" t="str">
        <f>VLOOKUP($A1071,'Customer Names'!$A:$D,3, FALSE)</f>
        <v>Markowitz</v>
      </c>
      <c r="C1071" s="22">
        <f>VLOOKUP($A1071,'Medical Examinations'!$A:$D, 2, FALSE)</f>
        <v>30.3</v>
      </c>
      <c r="D1071" s="22">
        <f>VLOOKUP($A1071, 'Medical Examinations'!$A:$D,3, FALSE)</f>
        <v>4.24</v>
      </c>
      <c r="E1071" s="22" t="str">
        <f>VLOOKUP($A1071, 'Medical Examinations'!$A:$D, 4, FALSE)</f>
        <v>No</v>
      </c>
      <c r="F1071" s="22" t="str">
        <f>VLOOKUP($A1071, 'Medical Examinations'!$A:$J, 5, FALSE)</f>
        <v>No</v>
      </c>
      <c r="G1071" s="22" t="str">
        <f>VLOOKUP($A1071, 'Medical Examinations'!$A:$I, 6, FALSE)</f>
        <v>No</v>
      </c>
      <c r="H1071" s="22">
        <f>VLOOKUP($A1071,'Medical Examinations'!$A:$L,10, FALSE)</f>
        <v>0</v>
      </c>
      <c r="I1071" s="22" t="str">
        <f>VLOOKUP($A1071, 'Medical Examinations'!$A:$J, 9, FALSE)</f>
        <v>No</v>
      </c>
      <c r="J1071" s="22" t="str">
        <f>VLOOKUP($A1071, 'Medical Examinations'!$A:$P, 11, FALSE)</f>
        <v>OBESITY</v>
      </c>
      <c r="K1071" s="34">
        <v>32373.0</v>
      </c>
      <c r="L1071" s="35">
        <f>VLOOKUP($A1071, 'Hospitalisation Details'!$A:$H, 7, FALSE)</f>
        <v>10495.6</v>
      </c>
      <c r="M1071" s="22" t="str">
        <f>VLOOKUP($A1071, 'Hospitalisation Details'!$A:$L, 12, FALSE)</f>
        <v>tier - 3</v>
      </c>
      <c r="N1071" s="22" t="str">
        <f>VLOOKUP($A1071, 'Hospitalisation Details'!$A:$M, 13, FALSE)</f>
        <v>tier - 1</v>
      </c>
      <c r="O1071" s="22" t="str">
        <f>VLOOKUP($A1071, 'Hospitalisation Details'!$A:$N, 14, FALSE)</f>
        <v>R1012</v>
      </c>
      <c r="P1071" s="36">
        <f>VLOOKUP($A1071, 'Hospitalisation Details'!$A:$O, 15, FALSE)</f>
        <v>45</v>
      </c>
    </row>
    <row r="1072" ht="15.75" customHeight="1">
      <c r="A1072" s="33" t="s">
        <v>2143</v>
      </c>
      <c r="B1072" s="22" t="str">
        <f>VLOOKUP($A1072,'Customer Names'!$A:$D,3, FALSE)</f>
        <v>Vos</v>
      </c>
      <c r="C1072" s="22">
        <f>VLOOKUP($A1072,'Medical Examinations'!$A:$D, 2, FALSE)</f>
        <v>26.22</v>
      </c>
      <c r="D1072" s="22">
        <f>VLOOKUP($A1072, 'Medical Examinations'!$A:$D,3, FALSE)</f>
        <v>5.83</v>
      </c>
      <c r="E1072" s="22" t="str">
        <f>VLOOKUP($A1072, 'Medical Examinations'!$A:$D, 4, FALSE)</f>
        <v>No</v>
      </c>
      <c r="F1072" s="22" t="str">
        <f>VLOOKUP($A1072, 'Medical Examinations'!$A:$J, 5, FALSE)</f>
        <v>No</v>
      </c>
      <c r="G1072" s="22" t="str">
        <f>VLOOKUP($A1072, 'Medical Examinations'!$A:$I, 6, FALSE)</f>
        <v>No</v>
      </c>
      <c r="H1072" s="22">
        <f>VLOOKUP($A1072,'Medical Examinations'!$A:$L,10, FALSE)</f>
        <v>2</v>
      </c>
      <c r="I1072" s="22" t="str">
        <f>VLOOKUP($A1072, 'Medical Examinations'!$A:$J, 9, FALSE)</f>
        <v>No</v>
      </c>
      <c r="J1072" s="22" t="str">
        <f>VLOOKUP($A1072, 'Medical Examinations'!$A:$P, 11, FALSE)</f>
        <v>OVERWEIGHT</v>
      </c>
      <c r="K1072" s="34">
        <v>29869.0</v>
      </c>
      <c r="L1072" s="35">
        <f>VLOOKUP($A1072, 'Hospitalisation Details'!$A:$H, 7, FALSE)</f>
        <v>10493.95</v>
      </c>
      <c r="M1072" s="22" t="str">
        <f>VLOOKUP($A1072, 'Hospitalisation Details'!$A:$L, 12, FALSE)</f>
        <v>tier - 3</v>
      </c>
      <c r="N1072" s="22" t="str">
        <f>VLOOKUP($A1072, 'Hospitalisation Details'!$A:$M, 13, FALSE)</f>
        <v>tier - 1</v>
      </c>
      <c r="O1072" s="22" t="str">
        <f>VLOOKUP($A1072, 'Hospitalisation Details'!$A:$N, 14, FALSE)</f>
        <v>R1012</v>
      </c>
      <c r="P1072" s="36">
        <f>VLOOKUP($A1072, 'Hospitalisation Details'!$A:$O, 15, FALSE)</f>
        <v>50</v>
      </c>
    </row>
    <row r="1073" ht="15.75" customHeight="1">
      <c r="A1073" s="33" t="s">
        <v>2145</v>
      </c>
      <c r="B1073" s="22" t="str">
        <f>VLOOKUP($A1073,'Customer Names'!$A:$D,3, FALSE)</f>
        <v>McLeod</v>
      </c>
      <c r="C1073" s="22">
        <f>VLOOKUP($A1073,'Medical Examinations'!$A:$D, 2, FALSE)</f>
        <v>29.99</v>
      </c>
      <c r="D1073" s="22">
        <f>VLOOKUP($A1073, 'Medical Examinations'!$A:$D,3, FALSE)</f>
        <v>11.85</v>
      </c>
      <c r="E1073" s="22" t="str">
        <f>VLOOKUP($A1073, 'Medical Examinations'!$A:$D, 4, FALSE)</f>
        <v>No</v>
      </c>
      <c r="F1073" s="22" t="str">
        <f>VLOOKUP($A1073, 'Medical Examinations'!$A:$J, 5, FALSE)</f>
        <v>No</v>
      </c>
      <c r="G1073" s="22" t="str">
        <f>VLOOKUP($A1073, 'Medical Examinations'!$A:$I, 6, FALSE)</f>
        <v>No</v>
      </c>
      <c r="H1073" s="22">
        <f>VLOOKUP($A1073,'Medical Examinations'!$A:$L,10, FALSE)</f>
        <v>0</v>
      </c>
      <c r="I1073" s="22" t="str">
        <f>VLOOKUP($A1073, 'Medical Examinations'!$A:$J, 9, FALSE)</f>
        <v>No</v>
      </c>
      <c r="J1073" s="22" t="str">
        <f>VLOOKUP($A1073, 'Medical Examinations'!$A:$P, 11, FALSE)</f>
        <v>OBESITY</v>
      </c>
      <c r="K1073" s="34">
        <v>34866.0</v>
      </c>
      <c r="L1073" s="35">
        <f>VLOOKUP($A1073, 'Hospitalisation Details'!$A:$H, 7, FALSE)</f>
        <v>10486.55</v>
      </c>
      <c r="M1073" s="22" t="str">
        <f>VLOOKUP($A1073, 'Hospitalisation Details'!$A:$L, 12, FALSE)</f>
        <v>tier - 3</v>
      </c>
      <c r="N1073" s="22" t="str">
        <f>VLOOKUP($A1073, 'Hospitalisation Details'!$A:$M, 13, FALSE)</f>
        <v>tier - 3</v>
      </c>
      <c r="O1073" s="22" t="str">
        <f>VLOOKUP($A1073, 'Hospitalisation Details'!$A:$N, 14, FALSE)</f>
        <v>R1025</v>
      </c>
      <c r="P1073" s="36">
        <f>VLOOKUP($A1073, 'Hospitalisation Details'!$A:$O, 15, FALSE)</f>
        <v>44</v>
      </c>
    </row>
    <row r="1074" ht="15.75" customHeight="1">
      <c r="A1074" s="33" t="s">
        <v>2147</v>
      </c>
      <c r="B1074" s="22" t="str">
        <f>VLOOKUP($A1074,'Customer Names'!$A:$D,3, FALSE)</f>
        <v>Balcom</v>
      </c>
      <c r="C1074" s="22">
        <f>VLOOKUP($A1074,'Medical Examinations'!$A:$D, 2, FALSE)</f>
        <v>36.38</v>
      </c>
      <c r="D1074" s="22">
        <f>VLOOKUP($A1074, 'Medical Examinations'!$A:$D,3, FALSE)</f>
        <v>5.98</v>
      </c>
      <c r="E1074" s="22" t="str">
        <f>VLOOKUP($A1074, 'Medical Examinations'!$A:$D, 4, FALSE)</f>
        <v>No</v>
      </c>
      <c r="F1074" s="22" t="str">
        <f>VLOOKUP($A1074, 'Medical Examinations'!$A:$J, 5, FALSE)</f>
        <v>No</v>
      </c>
      <c r="G1074" s="22" t="str">
        <f>VLOOKUP($A1074, 'Medical Examinations'!$A:$I, 6, FALSE)</f>
        <v>No</v>
      </c>
      <c r="H1074" s="22">
        <f>VLOOKUP($A1074,'Medical Examinations'!$A:$L,10, FALSE)</f>
        <v>1</v>
      </c>
      <c r="I1074" s="22" t="str">
        <f>VLOOKUP($A1074, 'Medical Examinations'!$A:$J, 9, FALSE)</f>
        <v>No</v>
      </c>
      <c r="J1074" s="22" t="str">
        <f>VLOOKUP($A1074, 'Medical Examinations'!$A:$P, 11, FALSE)</f>
        <v>OBESITY</v>
      </c>
      <c r="K1074" s="34">
        <v>34981.0</v>
      </c>
      <c r="L1074" s="35">
        <f>VLOOKUP($A1074, 'Hospitalisation Details'!$A:$H, 7, FALSE)</f>
        <v>10464.83</v>
      </c>
      <c r="M1074" s="22" t="str">
        <f>VLOOKUP($A1074, 'Hospitalisation Details'!$A:$L, 12, FALSE)</f>
        <v>tier - 3</v>
      </c>
      <c r="N1074" s="22" t="str">
        <f>VLOOKUP($A1074, 'Hospitalisation Details'!$A:$M, 13, FALSE)</f>
        <v>tier - 1</v>
      </c>
      <c r="O1074" s="22" t="str">
        <f>VLOOKUP($A1074, 'Hospitalisation Details'!$A:$N, 14, FALSE)</f>
        <v>R1012</v>
      </c>
      <c r="P1074" s="36">
        <f>VLOOKUP($A1074, 'Hospitalisation Details'!$A:$O, 15, FALSE)</f>
        <v>35</v>
      </c>
    </row>
    <row r="1075" ht="15.75" customHeight="1">
      <c r="A1075" s="33" t="s">
        <v>2149</v>
      </c>
      <c r="B1075" s="22" t="str">
        <f>VLOOKUP($A1075,'Customer Names'!$A:$D,3, FALSE)</f>
        <v>Dirth</v>
      </c>
      <c r="C1075" s="22">
        <f>VLOOKUP($A1075,'Medical Examinations'!$A:$D, 2, FALSE)</f>
        <v>31.16</v>
      </c>
      <c r="D1075" s="22">
        <f>VLOOKUP($A1075, 'Medical Examinations'!$A:$D,3, FALSE)</f>
        <v>4.26</v>
      </c>
      <c r="E1075" s="22" t="str">
        <f>VLOOKUP($A1075, 'Medical Examinations'!$A:$D, 4, FALSE)</f>
        <v>Yes</v>
      </c>
      <c r="F1075" s="22" t="str">
        <f>VLOOKUP($A1075, 'Medical Examinations'!$A:$J, 5, FALSE)</f>
        <v>No</v>
      </c>
      <c r="G1075" s="22" t="str">
        <f>VLOOKUP($A1075, 'Medical Examinations'!$A:$I, 6, FALSE)</f>
        <v>Yes</v>
      </c>
      <c r="H1075" s="22">
        <f>VLOOKUP($A1075,'Medical Examinations'!$A:$L,10, FALSE)</f>
        <v>1</v>
      </c>
      <c r="I1075" s="22" t="str">
        <f>VLOOKUP($A1075, 'Medical Examinations'!$A:$J, 9, FALSE)</f>
        <v>No</v>
      </c>
      <c r="J1075" s="22" t="str">
        <f>VLOOKUP($A1075, 'Medical Examinations'!$A:$P, 11, FALSE)</f>
        <v>OBESITY</v>
      </c>
      <c r="K1075" s="34">
        <v>34331.0</v>
      </c>
      <c r="L1075" s="35">
        <f>VLOOKUP($A1075, 'Hospitalisation Details'!$A:$H, 7, FALSE)</f>
        <v>10461.98</v>
      </c>
      <c r="M1075" s="22" t="str">
        <f>VLOOKUP($A1075, 'Hospitalisation Details'!$A:$L, 12, FALSE)</f>
        <v>tier - 3</v>
      </c>
      <c r="N1075" s="22" t="str">
        <f>VLOOKUP($A1075, 'Hospitalisation Details'!$A:$M, 13, FALSE)</f>
        <v>tier - 1</v>
      </c>
      <c r="O1075" s="22" t="str">
        <f>VLOOKUP($A1075, 'Hospitalisation Details'!$A:$N, 14, FALSE)</f>
        <v>R1012</v>
      </c>
      <c r="P1075" s="36">
        <f>VLOOKUP($A1075, 'Hospitalisation Details'!$A:$O, 15, FALSE)</f>
        <v>53</v>
      </c>
    </row>
    <row r="1076" ht="15.75" customHeight="1">
      <c r="A1076" s="33" t="s">
        <v>2151</v>
      </c>
      <c r="B1076" s="22" t="str">
        <f>VLOOKUP($A1076,'Customer Names'!$A:$D,3, FALSE)</f>
        <v>Inglish</v>
      </c>
      <c r="C1076" s="22">
        <f>VLOOKUP($A1076,'Medical Examinations'!$A:$D, 2, FALSE)</f>
        <v>25.55</v>
      </c>
      <c r="D1076" s="22">
        <f>VLOOKUP($A1076, 'Medical Examinations'!$A:$D,3, FALSE)</f>
        <v>4.96</v>
      </c>
      <c r="E1076" s="22" t="str">
        <f>VLOOKUP($A1076, 'Medical Examinations'!$A:$D, 4, FALSE)</f>
        <v>Yes</v>
      </c>
      <c r="F1076" s="22" t="str">
        <f>VLOOKUP($A1076, 'Medical Examinations'!$A:$J, 5, FALSE)</f>
        <v>No</v>
      </c>
      <c r="G1076" s="22" t="str">
        <f>VLOOKUP($A1076, 'Medical Examinations'!$A:$I, 6, FALSE)</f>
        <v>No</v>
      </c>
      <c r="H1076" s="22">
        <f>VLOOKUP($A1076,'Medical Examinations'!$A:$L,10, FALSE)</f>
        <v>1</v>
      </c>
      <c r="I1076" s="22" t="str">
        <f>VLOOKUP($A1076, 'Medical Examinations'!$A:$J, 9, FALSE)</f>
        <v>No</v>
      </c>
      <c r="J1076" s="22" t="str">
        <f>VLOOKUP($A1076, 'Medical Examinations'!$A:$P, 11, FALSE)</f>
        <v>OVERWEIGHT</v>
      </c>
      <c r="K1076" s="34">
        <v>34601.0</v>
      </c>
      <c r="L1076" s="35">
        <f>VLOOKUP($A1076, 'Hospitalisation Details'!$A:$H, 7, FALSE)</f>
        <v>10459.19</v>
      </c>
      <c r="M1076" s="22" t="str">
        <f>VLOOKUP($A1076, 'Hospitalisation Details'!$A:$L, 12, FALSE)</f>
        <v>tier - 3</v>
      </c>
      <c r="N1076" s="22" t="str">
        <f>VLOOKUP($A1076, 'Hospitalisation Details'!$A:$M, 13, FALSE)</f>
        <v>tier - 1</v>
      </c>
      <c r="O1076" s="22" t="str">
        <f>VLOOKUP($A1076, 'Hospitalisation Details'!$A:$N, 14, FALSE)</f>
        <v>R1013</v>
      </c>
      <c r="P1076" s="36">
        <f>VLOOKUP($A1076, 'Hospitalisation Details'!$A:$O, 15, FALSE)</f>
        <v>58</v>
      </c>
    </row>
    <row r="1077" ht="15.75" customHeight="1">
      <c r="A1077" s="33" t="s">
        <v>2153</v>
      </c>
      <c r="B1077" s="22" t="str">
        <f>VLOOKUP($A1077,'Customer Names'!$A:$D,3, FALSE)</f>
        <v>Matthews</v>
      </c>
      <c r="C1077" s="22">
        <f>VLOOKUP($A1077,'Medical Examinations'!$A:$D, 2, FALSE)</f>
        <v>28.77</v>
      </c>
      <c r="D1077" s="22">
        <f>VLOOKUP($A1077, 'Medical Examinations'!$A:$D,3, FALSE)</f>
        <v>4</v>
      </c>
      <c r="E1077" s="22" t="str">
        <f>VLOOKUP($A1077, 'Medical Examinations'!$A:$D, 4, FALSE)</f>
        <v>Yes</v>
      </c>
      <c r="F1077" s="22" t="str">
        <f>VLOOKUP($A1077, 'Medical Examinations'!$A:$J, 5, FALSE)</f>
        <v>No</v>
      </c>
      <c r="G1077" s="22" t="str">
        <f>VLOOKUP($A1077, 'Medical Examinations'!$A:$I, 6, FALSE)</f>
        <v>No</v>
      </c>
      <c r="H1077" s="22">
        <f>VLOOKUP($A1077,'Medical Examinations'!$A:$L,10, FALSE)</f>
        <v>0</v>
      </c>
      <c r="I1077" s="22" t="str">
        <f>VLOOKUP($A1077, 'Medical Examinations'!$A:$J, 9, FALSE)</f>
        <v>No</v>
      </c>
      <c r="J1077" s="22" t="str">
        <f>VLOOKUP($A1077, 'Medical Examinations'!$A:$P, 11, FALSE)</f>
        <v>OVERWEIGHT</v>
      </c>
      <c r="K1077" s="34">
        <v>33960.0</v>
      </c>
      <c r="L1077" s="35">
        <f>VLOOKUP($A1077, 'Hospitalisation Details'!$A:$H, 7, FALSE)</f>
        <v>10455.14</v>
      </c>
      <c r="M1077" s="22" t="str">
        <f>VLOOKUP($A1077, 'Hospitalisation Details'!$A:$L, 12, FALSE)</f>
        <v>tier - 3</v>
      </c>
      <c r="N1077" s="22" t="str">
        <f>VLOOKUP($A1077, 'Hospitalisation Details'!$A:$M, 13, FALSE)</f>
        <v>tier - 2</v>
      </c>
      <c r="O1077" s="22" t="str">
        <f>VLOOKUP($A1077, 'Hospitalisation Details'!$A:$N, 14, FALSE)</f>
        <v>R1021</v>
      </c>
      <c r="P1077" s="36">
        <f>VLOOKUP($A1077, 'Hospitalisation Details'!$A:$O, 15, FALSE)</f>
        <v>46</v>
      </c>
    </row>
    <row r="1078" ht="15.75" customHeight="1">
      <c r="A1078" s="33" t="s">
        <v>2155</v>
      </c>
      <c r="B1078" s="22" t="str">
        <f>VLOOKUP($A1078,'Customer Names'!$A:$D,3, FALSE)</f>
        <v>Massa-Musiak</v>
      </c>
      <c r="C1078" s="22">
        <f>VLOOKUP($A1078,'Medical Examinations'!$A:$D, 2, FALSE)</f>
        <v>23.14</v>
      </c>
      <c r="D1078" s="22">
        <f>VLOOKUP($A1078, 'Medical Examinations'!$A:$D,3, FALSE)</f>
        <v>4.15</v>
      </c>
      <c r="E1078" s="22" t="str">
        <f>VLOOKUP($A1078, 'Medical Examinations'!$A:$D, 4, FALSE)</f>
        <v>Yes</v>
      </c>
      <c r="F1078" s="22" t="str">
        <f>VLOOKUP($A1078, 'Medical Examinations'!$A:$J, 5, FALSE)</f>
        <v>No</v>
      </c>
      <c r="G1078" s="22" t="str">
        <f>VLOOKUP($A1078, 'Medical Examinations'!$A:$I, 6, FALSE)</f>
        <v>No</v>
      </c>
      <c r="H1078" s="22">
        <f>VLOOKUP($A1078,'Medical Examinations'!$A:$L,10, FALSE)</f>
        <v>1</v>
      </c>
      <c r="I1078" s="22" t="str">
        <f>VLOOKUP($A1078, 'Medical Examinations'!$A:$J, 9, FALSE)</f>
        <v>No</v>
      </c>
      <c r="J1078" s="22" t="str">
        <f>VLOOKUP($A1078, 'Medical Examinations'!$A:$P, 11, FALSE)</f>
        <v>NORMAL WEIGHT</v>
      </c>
      <c r="K1078" s="34">
        <v>32431.0</v>
      </c>
      <c r="L1078" s="35">
        <f>VLOOKUP($A1078, 'Hospitalisation Details'!$A:$H, 7, FALSE)</f>
        <v>10455.1</v>
      </c>
      <c r="M1078" s="22" t="str">
        <f>VLOOKUP($A1078, 'Hospitalisation Details'!$A:$L, 12, FALSE)</f>
        <v>tier - 3</v>
      </c>
      <c r="N1078" s="22" t="str">
        <f>VLOOKUP($A1078, 'Hospitalisation Details'!$A:$M, 13, FALSE)</f>
        <v>tier - 1</v>
      </c>
      <c r="O1078" s="22" t="str">
        <f>VLOOKUP($A1078, 'Hospitalisation Details'!$A:$N, 14, FALSE)</f>
        <v>R1012</v>
      </c>
      <c r="P1078" s="36">
        <f>VLOOKUP($A1078, 'Hospitalisation Details'!$A:$O, 15, FALSE)</f>
        <v>58</v>
      </c>
    </row>
    <row r="1079" ht="15.75" customHeight="1">
      <c r="A1079" s="33" t="s">
        <v>2157</v>
      </c>
      <c r="B1079" s="22" t="str">
        <f>VLOOKUP($A1079,'Customer Names'!$A:$D,3, FALSE)</f>
        <v>Bailey</v>
      </c>
      <c r="C1079" s="22">
        <f>VLOOKUP($A1079,'Medical Examinations'!$A:$D, 2, FALSE)</f>
        <v>39.6</v>
      </c>
      <c r="D1079" s="22">
        <f>VLOOKUP($A1079, 'Medical Examinations'!$A:$D,3, FALSE)</f>
        <v>11.36</v>
      </c>
      <c r="E1079" s="22" t="str">
        <f>VLOOKUP($A1079, 'Medical Examinations'!$A:$D, 4, FALSE)</f>
        <v>No</v>
      </c>
      <c r="F1079" s="22" t="str">
        <f>VLOOKUP($A1079, 'Medical Examinations'!$A:$J, 5, FALSE)</f>
        <v>No</v>
      </c>
      <c r="G1079" s="22" t="str">
        <f>VLOOKUP($A1079, 'Medical Examinations'!$A:$I, 6, FALSE)</f>
        <v>No</v>
      </c>
      <c r="H1079" s="22">
        <f>VLOOKUP($A1079,'Medical Examinations'!$A:$L,10, FALSE)</f>
        <v>0</v>
      </c>
      <c r="I1079" s="22" t="str">
        <f>VLOOKUP($A1079, 'Medical Examinations'!$A:$J, 9, FALSE)</f>
        <v>No</v>
      </c>
      <c r="J1079" s="22" t="str">
        <f>VLOOKUP($A1079, 'Medical Examinations'!$A:$P, 11, FALSE)</f>
        <v>OBESITY</v>
      </c>
      <c r="K1079" s="34">
        <v>37857.0</v>
      </c>
      <c r="L1079" s="35">
        <f>VLOOKUP($A1079, 'Hospitalisation Details'!$A:$H, 7, FALSE)</f>
        <v>10450.55</v>
      </c>
      <c r="M1079" s="22" t="str">
        <f>VLOOKUP($A1079, 'Hospitalisation Details'!$A:$L, 12, FALSE)</f>
        <v>tier - 3</v>
      </c>
      <c r="N1079" s="22" t="str">
        <f>VLOOKUP($A1079, 'Hospitalisation Details'!$A:$M, 13, FALSE)</f>
        <v>tier - 1</v>
      </c>
      <c r="O1079" s="22" t="str">
        <f>VLOOKUP($A1079, 'Hospitalisation Details'!$A:$N, 14, FALSE)</f>
        <v>R1011</v>
      </c>
      <c r="P1079" s="36">
        <f>VLOOKUP($A1079, 'Hospitalisation Details'!$A:$O, 15, FALSE)</f>
        <v>54</v>
      </c>
    </row>
    <row r="1080" ht="15.75" customHeight="1">
      <c r="A1080" s="33" t="s">
        <v>2159</v>
      </c>
      <c r="B1080" s="22" t="str">
        <f>VLOOKUP($A1080,'Customer Names'!$A:$D,3, FALSE)</f>
        <v>Jacoby</v>
      </c>
      <c r="C1080" s="22">
        <f>VLOOKUP($A1080,'Medical Examinations'!$A:$D, 2, FALSE)</f>
        <v>29.2</v>
      </c>
      <c r="D1080" s="22">
        <f>VLOOKUP($A1080, 'Medical Examinations'!$A:$D,3, FALSE)</f>
        <v>7.53</v>
      </c>
      <c r="E1080" s="22" t="str">
        <f>VLOOKUP($A1080, 'Medical Examinations'!$A:$D, 4, FALSE)</f>
        <v>No</v>
      </c>
      <c r="F1080" s="22" t="str">
        <f>VLOOKUP($A1080, 'Medical Examinations'!$A:$J, 5, FALSE)</f>
        <v>No</v>
      </c>
      <c r="G1080" s="22" t="str">
        <f>VLOOKUP($A1080, 'Medical Examinations'!$A:$I, 6, FALSE)</f>
        <v>No</v>
      </c>
      <c r="H1080" s="22">
        <f>VLOOKUP($A1080,'Medical Examinations'!$A:$L,10, FALSE)</f>
        <v>0</v>
      </c>
      <c r="I1080" s="22" t="str">
        <f>VLOOKUP($A1080, 'Medical Examinations'!$A:$J, 9, FALSE)</f>
        <v>No</v>
      </c>
      <c r="J1080" s="22" t="str">
        <f>VLOOKUP($A1080, 'Medical Examinations'!$A:$P, 11, FALSE)</f>
        <v>OVERWEIGHT</v>
      </c>
      <c r="K1080" s="34">
        <v>36054.0</v>
      </c>
      <c r="L1080" s="35">
        <f>VLOOKUP($A1080, 'Hospitalisation Details'!$A:$H, 7, FALSE)</f>
        <v>10436.1</v>
      </c>
      <c r="M1080" s="22" t="str">
        <f>VLOOKUP($A1080, 'Hospitalisation Details'!$A:$L, 12, FALSE)</f>
        <v>tier - 3</v>
      </c>
      <c r="N1080" s="22" t="str">
        <f>VLOOKUP($A1080, 'Hospitalisation Details'!$A:$M, 13, FALSE)</f>
        <v>tier - 3</v>
      </c>
      <c r="O1080" s="22" t="str">
        <f>VLOOKUP($A1080, 'Hospitalisation Details'!$A:$N, 14, FALSE)</f>
        <v>R1011</v>
      </c>
      <c r="P1080" s="36">
        <f>VLOOKUP($A1080, 'Hospitalisation Details'!$A:$O, 15, FALSE)</f>
        <v>54</v>
      </c>
    </row>
    <row r="1081" ht="15.75" customHeight="1">
      <c r="A1081" s="33" t="s">
        <v>2161</v>
      </c>
      <c r="B1081" s="22" t="str">
        <f>VLOOKUP($A1081,'Customer Names'!$A:$D,3, FALSE)</f>
        <v>Crimmings</v>
      </c>
      <c r="C1081" s="22">
        <f>VLOOKUP($A1081,'Medical Examinations'!$A:$D, 2, FALSE)</f>
        <v>32.775</v>
      </c>
      <c r="D1081" s="22">
        <f>VLOOKUP($A1081, 'Medical Examinations'!$A:$D,3, FALSE)</f>
        <v>7.95</v>
      </c>
      <c r="E1081" s="22" t="str">
        <f>VLOOKUP($A1081, 'Medical Examinations'!$A:$D, 4, FALSE)</f>
        <v>No</v>
      </c>
      <c r="F1081" s="22" t="str">
        <f>VLOOKUP($A1081, 'Medical Examinations'!$A:$J, 5, FALSE)</f>
        <v>No</v>
      </c>
      <c r="G1081" s="22" t="str">
        <f>VLOOKUP($A1081, 'Medical Examinations'!$A:$I, 6, FALSE)</f>
        <v>No</v>
      </c>
      <c r="H1081" s="22">
        <f>VLOOKUP($A1081,'Medical Examinations'!$A:$L,10, FALSE)</f>
        <v>0</v>
      </c>
      <c r="I1081" s="22" t="str">
        <f>VLOOKUP($A1081, 'Medical Examinations'!$A:$J, 9, FALSE)</f>
        <v>No</v>
      </c>
      <c r="J1081" s="22" t="str">
        <f>VLOOKUP($A1081, 'Medical Examinations'!$A:$P, 11, FALSE)</f>
        <v>OBESITY</v>
      </c>
      <c r="K1081" s="34">
        <v>36425.0</v>
      </c>
      <c r="L1081" s="35">
        <f>VLOOKUP($A1081, 'Hospitalisation Details'!$A:$H, 7, FALSE)</f>
        <v>10435.07</v>
      </c>
      <c r="M1081" s="22" t="str">
        <f>VLOOKUP($A1081, 'Hospitalisation Details'!$A:$L, 12, FALSE)</f>
        <v>tier - 3</v>
      </c>
      <c r="N1081" s="22" t="str">
        <f>VLOOKUP($A1081, 'Hospitalisation Details'!$A:$M, 13, FALSE)</f>
        <v>tier - 1</v>
      </c>
      <c r="O1081" s="22" t="str">
        <f>VLOOKUP($A1081, 'Hospitalisation Details'!$A:$N, 14, FALSE)</f>
        <v>R1016</v>
      </c>
      <c r="P1081" s="36">
        <f>VLOOKUP($A1081, 'Hospitalisation Details'!$A:$O, 15, FALSE)</f>
        <v>54</v>
      </c>
    </row>
    <row r="1082" ht="15.75" customHeight="1">
      <c r="A1082" s="33" t="s">
        <v>2163</v>
      </c>
      <c r="B1082" s="22" t="str">
        <f>VLOOKUP($A1082,'Customer Names'!$A:$D,3, FALSE)</f>
        <v>Crane</v>
      </c>
      <c r="C1082" s="22">
        <f>VLOOKUP($A1082,'Medical Examinations'!$A:$D, 2, FALSE)</f>
        <v>24.035</v>
      </c>
      <c r="D1082" s="22">
        <f>VLOOKUP($A1082, 'Medical Examinations'!$A:$D,3, FALSE)</f>
        <v>8.5</v>
      </c>
      <c r="E1082" s="22" t="str">
        <f>VLOOKUP($A1082, 'Medical Examinations'!$A:$D, 4, FALSE)</f>
        <v>No</v>
      </c>
      <c r="F1082" s="22" t="str">
        <f>VLOOKUP($A1082, 'Medical Examinations'!$A:$J, 5, FALSE)</f>
        <v>No</v>
      </c>
      <c r="G1082" s="22" t="str">
        <f>VLOOKUP($A1082, 'Medical Examinations'!$A:$I, 6, FALSE)</f>
        <v>No</v>
      </c>
      <c r="H1082" s="22">
        <f>VLOOKUP($A1082,'Medical Examinations'!$A:$L,10, FALSE)</f>
        <v>0</v>
      </c>
      <c r="I1082" s="22" t="str">
        <f>VLOOKUP($A1082, 'Medical Examinations'!$A:$J, 9, FALSE)</f>
        <v>No</v>
      </c>
      <c r="J1082" s="22" t="str">
        <f>VLOOKUP($A1082, 'Medical Examinations'!$A:$P, 11, FALSE)</f>
        <v>NORMAL WEIGHT</v>
      </c>
      <c r="K1082" s="34">
        <v>35326.0</v>
      </c>
      <c r="L1082" s="35">
        <f>VLOOKUP($A1082, 'Hospitalisation Details'!$A:$H, 7, FALSE)</f>
        <v>10422.92</v>
      </c>
      <c r="M1082" s="22" t="str">
        <f>VLOOKUP($A1082, 'Hospitalisation Details'!$A:$L, 12, FALSE)</f>
        <v>tier - 3</v>
      </c>
      <c r="N1082" s="22" t="str">
        <f>VLOOKUP($A1082, 'Hospitalisation Details'!$A:$M, 13, FALSE)</f>
        <v>tier - 1</v>
      </c>
      <c r="O1082" s="22" t="str">
        <f>VLOOKUP($A1082, 'Hospitalisation Details'!$A:$N, 14, FALSE)</f>
        <v>R1017</v>
      </c>
      <c r="P1082" s="36">
        <f>VLOOKUP($A1082, 'Hospitalisation Details'!$A:$O, 15, FALSE)</f>
        <v>54</v>
      </c>
    </row>
    <row r="1083" ht="15.75" customHeight="1">
      <c r="A1083" s="33" t="s">
        <v>2165</v>
      </c>
      <c r="B1083" s="22" t="str">
        <f>VLOOKUP($A1083,'Customer Names'!$A:$D,3, FALSE)</f>
        <v>Swartzfager</v>
      </c>
      <c r="C1083" s="22">
        <f>VLOOKUP($A1083,'Medical Examinations'!$A:$D, 2, FALSE)</f>
        <v>30.55</v>
      </c>
      <c r="D1083" s="22">
        <f>VLOOKUP($A1083, 'Medical Examinations'!$A:$D,3, FALSE)</f>
        <v>5.89</v>
      </c>
      <c r="E1083" s="22" t="str">
        <f>VLOOKUP($A1083, 'Medical Examinations'!$A:$D, 4, FALSE)</f>
        <v>No</v>
      </c>
      <c r="F1083" s="22" t="str">
        <f>VLOOKUP($A1083, 'Medical Examinations'!$A:$J, 5, FALSE)</f>
        <v>No</v>
      </c>
      <c r="G1083" s="22" t="str">
        <f>VLOOKUP($A1083, 'Medical Examinations'!$A:$I, 6, FALSE)</f>
        <v>Yes</v>
      </c>
      <c r="H1083" s="22">
        <f>VLOOKUP($A1083,'Medical Examinations'!$A:$L,10, FALSE)</f>
        <v>1</v>
      </c>
      <c r="I1083" s="22" t="str">
        <f>VLOOKUP($A1083, 'Medical Examinations'!$A:$J, 9, FALSE)</f>
        <v>No</v>
      </c>
      <c r="J1083" s="22" t="str">
        <f>VLOOKUP($A1083, 'Medical Examinations'!$A:$P, 11, FALSE)</f>
        <v>OBESITY</v>
      </c>
      <c r="K1083" s="34">
        <v>35327.0</v>
      </c>
      <c r="L1083" s="35">
        <f>VLOOKUP($A1083, 'Hospitalisation Details'!$A:$H, 7, FALSE)</f>
        <v>10419.65</v>
      </c>
      <c r="M1083" s="22" t="str">
        <f>VLOOKUP($A1083, 'Hospitalisation Details'!$A:$L, 12, FALSE)</f>
        <v>tier - 3</v>
      </c>
      <c r="N1083" s="22" t="str">
        <f>VLOOKUP($A1083, 'Hospitalisation Details'!$A:$M, 13, FALSE)</f>
        <v>tier - 2</v>
      </c>
      <c r="O1083" s="22" t="str">
        <f>VLOOKUP($A1083, 'Hospitalisation Details'!$A:$N, 14, FALSE)</f>
        <v>R1025</v>
      </c>
      <c r="P1083" s="36">
        <f>VLOOKUP($A1083, 'Hospitalisation Details'!$A:$O, 15, FALSE)</f>
        <v>43</v>
      </c>
    </row>
    <row r="1084" ht="15.75" customHeight="1">
      <c r="A1084" s="33" t="s">
        <v>2167</v>
      </c>
      <c r="B1084" s="22" t="str">
        <f>VLOOKUP($A1084,'Customer Names'!$A:$D,3, FALSE)</f>
        <v>Clevenger</v>
      </c>
      <c r="C1084" s="22">
        <f>VLOOKUP($A1084,'Medical Examinations'!$A:$D, 2, FALSE)</f>
        <v>28.81</v>
      </c>
      <c r="D1084" s="22">
        <f>VLOOKUP($A1084, 'Medical Examinations'!$A:$D,3, FALSE)</f>
        <v>8.76</v>
      </c>
      <c r="E1084" s="22" t="str">
        <f>VLOOKUP($A1084, 'Medical Examinations'!$A:$D, 4, FALSE)</f>
        <v>No</v>
      </c>
      <c r="F1084" s="22" t="str">
        <f>VLOOKUP($A1084, 'Medical Examinations'!$A:$J, 5, FALSE)</f>
        <v>No</v>
      </c>
      <c r="G1084" s="22" t="str">
        <f>VLOOKUP($A1084, 'Medical Examinations'!$A:$I, 6, FALSE)</f>
        <v>No</v>
      </c>
      <c r="H1084" s="22">
        <f>VLOOKUP($A1084,'Medical Examinations'!$A:$L,10, FALSE)</f>
        <v>2</v>
      </c>
      <c r="I1084" s="22" t="str">
        <f>VLOOKUP($A1084, 'Medical Examinations'!$A:$J, 9, FALSE)</f>
        <v>No</v>
      </c>
      <c r="J1084" s="22" t="str">
        <f>VLOOKUP($A1084, 'Medical Examinations'!$A:$P, 11, FALSE)</f>
        <v>OVERWEIGHT</v>
      </c>
      <c r="K1084" s="34">
        <v>38164.0</v>
      </c>
      <c r="L1084" s="35">
        <f>VLOOKUP($A1084, 'Hospitalisation Details'!$A:$H, 7, FALSE)</f>
        <v>10419.59</v>
      </c>
      <c r="M1084" s="22" t="str">
        <f>VLOOKUP($A1084, 'Hospitalisation Details'!$A:$L, 12, FALSE)</f>
        <v>tier - 3</v>
      </c>
      <c r="N1084" s="22" t="str">
        <f>VLOOKUP($A1084, 'Hospitalisation Details'!$A:$M, 13, FALSE)</f>
        <v>tier - 2</v>
      </c>
      <c r="O1084" s="22" t="str">
        <f>VLOOKUP($A1084, 'Hospitalisation Details'!$A:$N, 14, FALSE)</f>
        <v>R1025</v>
      </c>
      <c r="P1084" s="36">
        <f>VLOOKUP($A1084, 'Hospitalisation Details'!$A:$O, 15, FALSE)</f>
        <v>49</v>
      </c>
    </row>
    <row r="1085" ht="15.75" customHeight="1">
      <c r="A1085" s="33" t="s">
        <v>2169</v>
      </c>
      <c r="B1085" s="22" t="str">
        <f>VLOOKUP($A1085,'Customer Names'!$A:$D,3, FALSE)</f>
        <v>Reichardt</v>
      </c>
      <c r="C1085" s="22">
        <f>VLOOKUP($A1085,'Medical Examinations'!$A:$D, 2, FALSE)</f>
        <v>31.66</v>
      </c>
      <c r="D1085" s="22">
        <f>VLOOKUP($A1085, 'Medical Examinations'!$A:$D,3, FALSE)</f>
        <v>4.11</v>
      </c>
      <c r="E1085" s="22" t="str">
        <f>VLOOKUP($A1085, 'Medical Examinations'!$A:$D, 4, FALSE)</f>
        <v>No</v>
      </c>
      <c r="F1085" s="22" t="str">
        <f>VLOOKUP($A1085, 'Medical Examinations'!$A:$J, 5, FALSE)</f>
        <v>No</v>
      </c>
      <c r="G1085" s="22" t="str">
        <f>VLOOKUP($A1085, 'Medical Examinations'!$A:$I, 6, FALSE)</f>
        <v>No</v>
      </c>
      <c r="H1085" s="22">
        <f>VLOOKUP($A1085,'Medical Examinations'!$A:$L,10, FALSE)</f>
        <v>0</v>
      </c>
      <c r="I1085" s="22" t="str">
        <f>VLOOKUP($A1085, 'Medical Examinations'!$A:$J, 9, FALSE)</f>
        <v>No</v>
      </c>
      <c r="J1085" s="22" t="str">
        <f>VLOOKUP($A1085, 'Medical Examinations'!$A:$P, 11, FALSE)</f>
        <v>OBESITY</v>
      </c>
      <c r="K1085" s="34">
        <v>34254.0</v>
      </c>
      <c r="L1085" s="35">
        <f>VLOOKUP($A1085, 'Hospitalisation Details'!$A:$H, 7, FALSE)</f>
        <v>10407.98</v>
      </c>
      <c r="M1085" s="22" t="str">
        <f>VLOOKUP($A1085, 'Hospitalisation Details'!$A:$L, 12, FALSE)</f>
        <v>tier - 3</v>
      </c>
      <c r="N1085" s="22" t="str">
        <f>VLOOKUP($A1085, 'Hospitalisation Details'!$A:$M, 13, FALSE)</f>
        <v>tier - 1</v>
      </c>
      <c r="O1085" s="22" t="str">
        <f>VLOOKUP($A1085, 'Hospitalisation Details'!$A:$N, 14, FALSE)</f>
        <v>R1021</v>
      </c>
      <c r="P1085" s="36">
        <f>VLOOKUP($A1085, 'Hospitalisation Details'!$A:$O, 15, FALSE)</f>
        <v>42</v>
      </c>
    </row>
    <row r="1086" ht="15.75" customHeight="1">
      <c r="A1086" s="33" t="s">
        <v>2171</v>
      </c>
      <c r="B1086" s="22" t="str">
        <f>VLOOKUP($A1086,'Customer Names'!$A:$D,3, FALSE)</f>
        <v>Morton</v>
      </c>
      <c r="C1086" s="22">
        <f>VLOOKUP($A1086,'Medical Examinations'!$A:$D, 2, FALSE)</f>
        <v>28.215</v>
      </c>
      <c r="D1086" s="22">
        <f>VLOOKUP($A1086, 'Medical Examinations'!$A:$D,3, FALSE)</f>
        <v>7.56</v>
      </c>
      <c r="E1086" s="22" t="str">
        <f>VLOOKUP($A1086, 'Medical Examinations'!$A:$D, 4, FALSE)</f>
        <v>Yes</v>
      </c>
      <c r="F1086" s="22" t="str">
        <f>VLOOKUP($A1086, 'Medical Examinations'!$A:$J, 5, FALSE)</f>
        <v>No</v>
      </c>
      <c r="G1086" s="22" t="str">
        <f>VLOOKUP($A1086, 'Medical Examinations'!$A:$I, 6, FALSE)</f>
        <v>No</v>
      </c>
      <c r="H1086" s="22">
        <f>VLOOKUP($A1086,'Medical Examinations'!$A:$L,10, FALSE)</f>
        <v>1</v>
      </c>
      <c r="I1086" s="22" t="str">
        <f>VLOOKUP($A1086, 'Medical Examinations'!$A:$J, 9, FALSE)</f>
        <v>No</v>
      </c>
      <c r="J1086" s="22" t="str">
        <f>VLOOKUP($A1086, 'Medical Examinations'!$A:$P, 11, FALSE)</f>
        <v>OVERWEIGHT</v>
      </c>
      <c r="K1086" s="34">
        <v>36434.0</v>
      </c>
      <c r="L1086" s="35">
        <f>VLOOKUP($A1086, 'Hospitalisation Details'!$A:$H, 7, FALSE)</f>
        <v>10407.09</v>
      </c>
      <c r="M1086" s="22" t="str">
        <f>VLOOKUP($A1086, 'Hospitalisation Details'!$A:$L, 12, FALSE)</f>
        <v>tier - 3</v>
      </c>
      <c r="N1086" s="22" t="str">
        <f>VLOOKUP($A1086, 'Hospitalisation Details'!$A:$M, 13, FALSE)</f>
        <v>tier - 1</v>
      </c>
      <c r="O1086" s="22" t="str">
        <f>VLOOKUP($A1086, 'Hospitalisation Details'!$A:$N, 14, FALSE)</f>
        <v>R1015</v>
      </c>
      <c r="P1086" s="36">
        <f>VLOOKUP($A1086, 'Hospitalisation Details'!$A:$O, 15, FALSE)</f>
        <v>48</v>
      </c>
    </row>
    <row r="1087" ht="15.75" customHeight="1">
      <c r="A1087" s="33" t="s">
        <v>2173</v>
      </c>
      <c r="B1087" s="22" t="str">
        <f>VLOOKUP($A1087,'Customer Names'!$A:$D,3, FALSE)</f>
        <v>Sunstrum</v>
      </c>
      <c r="C1087" s="22">
        <f>VLOOKUP($A1087,'Medical Examinations'!$A:$D, 2, FALSE)</f>
        <v>26.12</v>
      </c>
      <c r="D1087" s="22">
        <f>VLOOKUP($A1087, 'Medical Examinations'!$A:$D,3, FALSE)</f>
        <v>4.17</v>
      </c>
      <c r="E1087" s="22" t="str">
        <f>VLOOKUP($A1087, 'Medical Examinations'!$A:$D, 4, FALSE)</f>
        <v>Yes</v>
      </c>
      <c r="F1087" s="22" t="str">
        <f>VLOOKUP($A1087, 'Medical Examinations'!$A:$J, 5, FALSE)</f>
        <v>No</v>
      </c>
      <c r="G1087" s="22" t="str">
        <f>VLOOKUP($A1087, 'Medical Examinations'!$A:$I, 6, FALSE)</f>
        <v>Yes</v>
      </c>
      <c r="H1087" s="22">
        <f>VLOOKUP($A1087,'Medical Examinations'!$A:$L,10, FALSE)</f>
        <v>1</v>
      </c>
      <c r="I1087" s="22" t="str">
        <f>VLOOKUP($A1087, 'Medical Examinations'!$A:$J, 9, FALSE)</f>
        <v>No</v>
      </c>
      <c r="J1087" s="22" t="str">
        <f>VLOOKUP($A1087, 'Medical Examinations'!$A:$P, 11, FALSE)</f>
        <v>OVERWEIGHT</v>
      </c>
      <c r="K1087" s="34">
        <v>37831.0</v>
      </c>
      <c r="L1087" s="35">
        <f>VLOOKUP($A1087, 'Hospitalisation Details'!$A:$H, 7, FALSE)</f>
        <v>10403.27</v>
      </c>
      <c r="M1087" s="22" t="str">
        <f>VLOOKUP($A1087, 'Hospitalisation Details'!$A:$L, 12, FALSE)</f>
        <v>tier - 3</v>
      </c>
      <c r="N1087" s="22" t="str">
        <f>VLOOKUP($A1087, 'Hospitalisation Details'!$A:$M, 13, FALSE)</f>
        <v>tier - 2</v>
      </c>
      <c r="O1087" s="22" t="str">
        <f>VLOOKUP($A1087, 'Hospitalisation Details'!$A:$N, 14, FALSE)</f>
        <v>R1020</v>
      </c>
      <c r="P1087" s="36">
        <f>VLOOKUP($A1087, 'Hospitalisation Details'!$A:$O, 15, FALSE)</f>
        <v>53</v>
      </c>
    </row>
    <row r="1088" ht="15.75" customHeight="1">
      <c r="A1088" s="33" t="s">
        <v>2175</v>
      </c>
      <c r="B1088" s="22" t="str">
        <f>VLOOKUP($A1088,'Customer Names'!$A:$D,3, FALSE)</f>
        <v>Frownfelter</v>
      </c>
      <c r="C1088" s="22">
        <f>VLOOKUP($A1088,'Medical Examinations'!$A:$D, 2, FALSE)</f>
        <v>36.63</v>
      </c>
      <c r="D1088" s="22">
        <f>VLOOKUP($A1088, 'Medical Examinations'!$A:$D,3, FALSE)</f>
        <v>11.42</v>
      </c>
      <c r="E1088" s="22" t="str">
        <f>VLOOKUP($A1088, 'Medical Examinations'!$A:$D, 4, FALSE)</f>
        <v>No</v>
      </c>
      <c r="F1088" s="22" t="str">
        <f>VLOOKUP($A1088, 'Medical Examinations'!$A:$J, 5, FALSE)</f>
        <v>No</v>
      </c>
      <c r="G1088" s="22" t="str">
        <f>VLOOKUP($A1088, 'Medical Examinations'!$A:$I, 6, FALSE)</f>
        <v>No</v>
      </c>
      <c r="H1088" s="22">
        <f>VLOOKUP($A1088,'Medical Examinations'!$A:$L,10, FALSE)</f>
        <v>2</v>
      </c>
      <c r="I1088" s="22" t="str">
        <f>VLOOKUP($A1088, 'Medical Examinations'!$A:$J, 9, FALSE)</f>
        <v>No</v>
      </c>
      <c r="J1088" s="22" t="str">
        <f>VLOOKUP($A1088, 'Medical Examinations'!$A:$P, 11, FALSE)</f>
        <v>OBESITY</v>
      </c>
      <c r="K1088" s="34">
        <v>32034.0</v>
      </c>
      <c r="L1088" s="35">
        <f>VLOOKUP($A1088, 'Hospitalisation Details'!$A:$H, 7, FALSE)</f>
        <v>10381.48</v>
      </c>
      <c r="M1088" s="22" t="str">
        <f>VLOOKUP($A1088, 'Hospitalisation Details'!$A:$L, 12, FALSE)</f>
        <v>tier - 3</v>
      </c>
      <c r="N1088" s="22" t="str">
        <f>VLOOKUP($A1088, 'Hospitalisation Details'!$A:$M, 13, FALSE)</f>
        <v>tier - 3</v>
      </c>
      <c r="O1088" s="22" t="str">
        <f>VLOOKUP($A1088, 'Hospitalisation Details'!$A:$N, 14, FALSE)</f>
        <v>R1013</v>
      </c>
      <c r="P1088" s="36">
        <f>VLOOKUP($A1088, 'Hospitalisation Details'!$A:$O, 15, FALSE)</f>
        <v>49</v>
      </c>
    </row>
    <row r="1089" ht="15.75" customHeight="1">
      <c r="A1089" s="33" t="s">
        <v>2177</v>
      </c>
      <c r="B1089" s="22" t="str">
        <f>VLOOKUP($A1089,'Customer Names'!$A:$D,3, FALSE)</f>
        <v>Richter</v>
      </c>
      <c r="C1089" s="22">
        <f>VLOOKUP($A1089,'Medical Examinations'!$A:$D, 2, FALSE)</f>
        <v>33.345</v>
      </c>
      <c r="D1089" s="22">
        <f>VLOOKUP($A1089, 'Medical Examinations'!$A:$D,3, FALSE)</f>
        <v>7.33</v>
      </c>
      <c r="E1089" s="22" t="str">
        <f>VLOOKUP($A1089, 'Medical Examinations'!$A:$D, 4, FALSE)</f>
        <v>No</v>
      </c>
      <c r="F1089" s="22" t="str">
        <f>VLOOKUP($A1089, 'Medical Examinations'!$A:$J, 5, FALSE)</f>
        <v>No</v>
      </c>
      <c r="G1089" s="22" t="str">
        <f>VLOOKUP($A1089, 'Medical Examinations'!$A:$I, 6, FALSE)</f>
        <v>No</v>
      </c>
      <c r="H1089" s="22">
        <f>VLOOKUP($A1089,'Medical Examinations'!$A:$L,10, FALSE)</f>
        <v>2</v>
      </c>
      <c r="I1089" s="22" t="str">
        <f>VLOOKUP($A1089, 'Medical Examinations'!$A:$J, 9, FALSE)</f>
        <v>No</v>
      </c>
      <c r="J1089" s="22" t="str">
        <f>VLOOKUP($A1089, 'Medical Examinations'!$A:$P, 11, FALSE)</f>
        <v>OBESITY</v>
      </c>
      <c r="K1089" s="34">
        <v>36697.0</v>
      </c>
      <c r="L1089" s="35">
        <f>VLOOKUP($A1089, 'Hospitalisation Details'!$A:$H, 7, FALSE)</f>
        <v>10370.91</v>
      </c>
      <c r="M1089" s="22" t="str">
        <f>VLOOKUP($A1089, 'Hospitalisation Details'!$A:$L, 12, FALSE)</f>
        <v>tier - 3</v>
      </c>
      <c r="N1089" s="22" t="str">
        <f>VLOOKUP($A1089, 'Hospitalisation Details'!$A:$M, 13, FALSE)</f>
        <v>tier - 3</v>
      </c>
      <c r="O1089" s="22" t="str">
        <f>VLOOKUP($A1089, 'Hospitalisation Details'!$A:$N, 14, FALSE)</f>
        <v>R1024</v>
      </c>
      <c r="P1089" s="36">
        <f>VLOOKUP($A1089, 'Hospitalisation Details'!$A:$O, 15, FALSE)</f>
        <v>49</v>
      </c>
    </row>
    <row r="1090" ht="15.75" customHeight="1">
      <c r="A1090" s="33" t="s">
        <v>2179</v>
      </c>
      <c r="B1090" s="22" t="str">
        <f>VLOOKUP($A1090,'Customer Names'!$A:$D,3, FALSE)</f>
        <v>England</v>
      </c>
      <c r="C1090" s="22">
        <f>VLOOKUP($A1090,'Medical Examinations'!$A:$D, 2, FALSE)</f>
        <v>27.11</v>
      </c>
      <c r="D1090" s="22">
        <f>VLOOKUP($A1090, 'Medical Examinations'!$A:$D,3, FALSE)</f>
        <v>6.7</v>
      </c>
      <c r="E1090" s="22" t="str">
        <f>VLOOKUP($A1090, 'Medical Examinations'!$A:$D, 4, FALSE)</f>
        <v>No</v>
      </c>
      <c r="F1090" s="22" t="str">
        <f>VLOOKUP($A1090, 'Medical Examinations'!$A:$J, 5, FALSE)</f>
        <v>No</v>
      </c>
      <c r="G1090" s="22" t="str">
        <f>VLOOKUP($A1090, 'Medical Examinations'!$A:$I, 6, FALSE)</f>
        <v>No</v>
      </c>
      <c r="H1090" s="22">
        <f>VLOOKUP($A1090,'Medical Examinations'!$A:$L,10, FALSE)</f>
        <v>0</v>
      </c>
      <c r="I1090" s="22" t="str">
        <f>VLOOKUP($A1090, 'Medical Examinations'!$A:$J, 9, FALSE)</f>
        <v>No</v>
      </c>
      <c r="J1090" s="22" t="str">
        <f>VLOOKUP($A1090, 'Medical Examinations'!$A:$P, 11, FALSE)</f>
        <v>OVERWEIGHT</v>
      </c>
      <c r="K1090" s="34">
        <v>31651.0</v>
      </c>
      <c r="L1090" s="35">
        <f>VLOOKUP($A1090, 'Hospitalisation Details'!$A:$H, 7, FALSE)</f>
        <v>10356.67</v>
      </c>
      <c r="M1090" s="22" t="str">
        <f>VLOOKUP($A1090, 'Hospitalisation Details'!$A:$L, 12, FALSE)</f>
        <v>tier - 3</v>
      </c>
      <c r="N1090" s="22" t="str">
        <f>VLOOKUP($A1090, 'Hospitalisation Details'!$A:$M, 13, FALSE)</f>
        <v>tier - 1</v>
      </c>
      <c r="O1090" s="22" t="str">
        <f>VLOOKUP($A1090, 'Hospitalisation Details'!$A:$N, 14, FALSE)</f>
        <v>R1025</v>
      </c>
      <c r="P1090" s="36">
        <f>VLOOKUP($A1090, 'Hospitalisation Details'!$A:$O, 15, FALSE)</f>
        <v>51</v>
      </c>
    </row>
    <row r="1091" ht="15.75" customHeight="1">
      <c r="A1091" s="33" t="s">
        <v>2181</v>
      </c>
      <c r="B1091" s="22" t="str">
        <f>VLOOKUP($A1091,'Customer Names'!$A:$D,3, FALSE)</f>
        <v>McLean</v>
      </c>
      <c r="C1091" s="22">
        <f>VLOOKUP($A1091,'Medical Examinations'!$A:$D, 2, FALSE)</f>
        <v>26.6</v>
      </c>
      <c r="D1091" s="22">
        <f>VLOOKUP($A1091, 'Medical Examinations'!$A:$D,3, FALSE)</f>
        <v>5.27</v>
      </c>
      <c r="E1091" s="22" t="str">
        <f>VLOOKUP($A1091, 'Medical Examinations'!$A:$D, 4, FALSE)</f>
        <v>Yes</v>
      </c>
      <c r="F1091" s="22" t="str">
        <f>VLOOKUP($A1091, 'Medical Examinations'!$A:$J, 5, FALSE)</f>
        <v>No</v>
      </c>
      <c r="G1091" s="22" t="str">
        <f>VLOOKUP($A1091, 'Medical Examinations'!$A:$I, 6, FALSE)</f>
        <v>Yes</v>
      </c>
      <c r="H1091" s="22">
        <f>VLOOKUP($A1091,'Medical Examinations'!$A:$L,10, FALSE)</f>
        <v>1</v>
      </c>
      <c r="I1091" s="22" t="str">
        <f>VLOOKUP($A1091, 'Medical Examinations'!$A:$J, 9, FALSE)</f>
        <v>No</v>
      </c>
      <c r="J1091" s="22" t="str">
        <f>VLOOKUP($A1091, 'Medical Examinations'!$A:$P, 11, FALSE)</f>
        <v>OVERWEIGHT</v>
      </c>
      <c r="K1091" s="34">
        <v>37251.0</v>
      </c>
      <c r="L1091" s="35">
        <f>VLOOKUP($A1091, 'Hospitalisation Details'!$A:$H, 7, FALSE)</f>
        <v>10355.64</v>
      </c>
      <c r="M1091" s="22" t="str">
        <f>VLOOKUP($A1091, 'Hospitalisation Details'!$A:$L, 12, FALSE)</f>
        <v>tier - 3</v>
      </c>
      <c r="N1091" s="22" t="str">
        <f>VLOOKUP($A1091, 'Hospitalisation Details'!$A:$M, 13, FALSE)</f>
        <v>tier - 1</v>
      </c>
      <c r="O1091" s="22" t="str">
        <f>VLOOKUP($A1091, 'Hospitalisation Details'!$A:$N, 14, FALSE)</f>
        <v>R1012</v>
      </c>
      <c r="P1091" s="36">
        <f>VLOOKUP($A1091, 'Hospitalisation Details'!$A:$O, 15, FALSE)</f>
        <v>53</v>
      </c>
    </row>
    <row r="1092" ht="15.75" customHeight="1">
      <c r="A1092" s="33" t="s">
        <v>2183</v>
      </c>
      <c r="B1092" s="22" t="str">
        <f>VLOOKUP($A1092,'Customer Names'!$A:$D,3, FALSE)</f>
        <v>Gardner</v>
      </c>
      <c r="C1092" s="22">
        <f>VLOOKUP($A1092,'Medical Examinations'!$A:$D, 2, FALSE)</f>
        <v>30.41</v>
      </c>
      <c r="D1092" s="22">
        <f>VLOOKUP($A1092, 'Medical Examinations'!$A:$D,3, FALSE)</f>
        <v>7.72</v>
      </c>
      <c r="E1092" s="22" t="str">
        <f>VLOOKUP($A1092, 'Medical Examinations'!$A:$D, 4, FALSE)</f>
        <v>No</v>
      </c>
      <c r="F1092" s="22" t="str">
        <f>VLOOKUP($A1092, 'Medical Examinations'!$A:$J, 5, FALSE)</f>
        <v>No</v>
      </c>
      <c r="G1092" s="22" t="str">
        <f>VLOOKUP($A1092, 'Medical Examinations'!$A:$I, 6, FALSE)</f>
        <v>No</v>
      </c>
      <c r="H1092" s="22">
        <f>VLOOKUP($A1092,'Medical Examinations'!$A:$L,10, FALSE)</f>
        <v>0</v>
      </c>
      <c r="I1092" s="22" t="str">
        <f>VLOOKUP($A1092, 'Medical Examinations'!$A:$J, 9, FALSE)</f>
        <v>No</v>
      </c>
      <c r="J1092" s="22" t="str">
        <f>VLOOKUP($A1092, 'Medical Examinations'!$A:$P, 11, FALSE)</f>
        <v>OBESITY</v>
      </c>
      <c r="K1092" s="34">
        <v>35418.0</v>
      </c>
      <c r="L1092" s="35">
        <f>VLOOKUP($A1092, 'Hospitalisation Details'!$A:$H, 7, FALSE)</f>
        <v>10352.48</v>
      </c>
      <c r="M1092" s="22" t="str">
        <f>VLOOKUP($A1092, 'Hospitalisation Details'!$A:$L, 12, FALSE)</f>
        <v>tier - 3</v>
      </c>
      <c r="N1092" s="22" t="str">
        <f>VLOOKUP($A1092, 'Hospitalisation Details'!$A:$M, 13, FALSE)</f>
        <v>tier - 1</v>
      </c>
      <c r="O1092" s="22" t="str">
        <f>VLOOKUP($A1092, 'Hospitalisation Details'!$A:$N, 14, FALSE)</f>
        <v>R1012</v>
      </c>
      <c r="P1092" s="36">
        <f>VLOOKUP($A1092, 'Hospitalisation Details'!$A:$O, 15, FALSE)</f>
        <v>48</v>
      </c>
    </row>
    <row r="1093" ht="15.75" customHeight="1">
      <c r="A1093" s="33" t="s">
        <v>2185</v>
      </c>
      <c r="B1093" s="22" t="str">
        <f>VLOOKUP($A1093,'Customer Names'!$A:$D,3, FALSE)</f>
        <v>Lane</v>
      </c>
      <c r="C1093" s="22">
        <f>VLOOKUP($A1093,'Medical Examinations'!$A:$D, 2, FALSE)</f>
        <v>28.98</v>
      </c>
      <c r="D1093" s="22">
        <f>VLOOKUP($A1093, 'Medical Examinations'!$A:$D,3, FALSE)</f>
        <v>8.68</v>
      </c>
      <c r="E1093" s="22" t="str">
        <f>VLOOKUP($A1093, 'Medical Examinations'!$A:$D, 4, FALSE)</f>
        <v>No</v>
      </c>
      <c r="F1093" s="22" t="str">
        <f>VLOOKUP($A1093, 'Medical Examinations'!$A:$J, 5, FALSE)</f>
        <v>No</v>
      </c>
      <c r="G1093" s="22" t="str">
        <f>VLOOKUP($A1093, 'Medical Examinations'!$A:$I, 6, FALSE)</f>
        <v>No</v>
      </c>
      <c r="H1093" s="22">
        <f>VLOOKUP($A1093,'Medical Examinations'!$A:$L,10, FALSE)</f>
        <v>2</v>
      </c>
      <c r="I1093" s="22" t="str">
        <f>VLOOKUP($A1093, 'Medical Examinations'!$A:$J, 9, FALSE)</f>
        <v>No</v>
      </c>
      <c r="J1093" s="22" t="str">
        <f>VLOOKUP($A1093, 'Medical Examinations'!$A:$P, 11, FALSE)</f>
        <v>OVERWEIGHT</v>
      </c>
      <c r="K1093" s="34">
        <v>38184.0</v>
      </c>
      <c r="L1093" s="35">
        <f>VLOOKUP($A1093, 'Hospitalisation Details'!$A:$H, 7, FALSE)</f>
        <v>10345.93</v>
      </c>
      <c r="M1093" s="22" t="str">
        <f>VLOOKUP($A1093, 'Hospitalisation Details'!$A:$L, 12, FALSE)</f>
        <v>tier - 3</v>
      </c>
      <c r="N1093" s="22" t="str">
        <f>VLOOKUP($A1093, 'Hospitalisation Details'!$A:$M, 13, FALSE)</f>
        <v>tier - 2</v>
      </c>
      <c r="O1093" s="22" t="str">
        <f>VLOOKUP($A1093, 'Hospitalisation Details'!$A:$N, 14, FALSE)</f>
        <v>R1021</v>
      </c>
      <c r="P1093" s="36">
        <f>VLOOKUP($A1093, 'Hospitalisation Details'!$A:$O, 15, FALSE)</f>
        <v>49</v>
      </c>
    </row>
    <row r="1094" ht="15.75" customHeight="1">
      <c r="A1094" s="33" t="s">
        <v>2187</v>
      </c>
      <c r="B1094" s="22" t="str">
        <f>VLOOKUP($A1094,'Customer Names'!$A:$D,3, FALSE)</f>
        <v>Vonachen</v>
      </c>
      <c r="C1094" s="22">
        <f>VLOOKUP($A1094,'Medical Examinations'!$A:$D, 2, FALSE)</f>
        <v>31.24</v>
      </c>
      <c r="D1094" s="22">
        <f>VLOOKUP($A1094, 'Medical Examinations'!$A:$D,3, FALSE)</f>
        <v>9.8</v>
      </c>
      <c r="E1094" s="22" t="str">
        <f>VLOOKUP($A1094, 'Medical Examinations'!$A:$D, 4, FALSE)</f>
        <v>No</v>
      </c>
      <c r="F1094" s="22" t="str">
        <f>VLOOKUP($A1094, 'Medical Examinations'!$A:$J, 5, FALSE)</f>
        <v>No</v>
      </c>
      <c r="G1094" s="22" t="str">
        <f>VLOOKUP($A1094, 'Medical Examinations'!$A:$I, 6, FALSE)</f>
        <v>No</v>
      </c>
      <c r="H1094" s="22">
        <f>VLOOKUP($A1094,'Medical Examinations'!$A:$L,10, FALSE)</f>
        <v>0</v>
      </c>
      <c r="I1094" s="22" t="str">
        <f>VLOOKUP($A1094, 'Medical Examinations'!$A:$J, 9, FALSE)</f>
        <v>No</v>
      </c>
      <c r="J1094" s="22" t="str">
        <f>VLOOKUP($A1094, 'Medical Examinations'!$A:$P, 11, FALSE)</f>
        <v>OBESITY</v>
      </c>
      <c r="K1094" s="34">
        <v>35365.0</v>
      </c>
      <c r="L1094" s="35">
        <f>VLOOKUP($A1094, 'Hospitalisation Details'!$A:$H, 7, FALSE)</f>
        <v>10338.93</v>
      </c>
      <c r="M1094" s="22" t="str">
        <f>VLOOKUP($A1094, 'Hospitalisation Details'!$A:$L, 12, FALSE)</f>
        <v>tier - 3</v>
      </c>
      <c r="N1094" s="22" t="str">
        <f>VLOOKUP($A1094, 'Hospitalisation Details'!$A:$M, 13, FALSE)</f>
        <v>tier - 1</v>
      </c>
      <c r="O1094" s="22" t="str">
        <f>VLOOKUP($A1094, 'Hospitalisation Details'!$A:$N, 14, FALSE)</f>
        <v>R1013</v>
      </c>
      <c r="P1094" s="36">
        <f>VLOOKUP($A1094, 'Hospitalisation Details'!$A:$O, 15, FALSE)</f>
        <v>54</v>
      </c>
    </row>
    <row r="1095" ht="15.75" customHeight="1">
      <c r="A1095" s="33" t="s">
        <v>2189</v>
      </c>
      <c r="B1095" s="22" t="str">
        <f>VLOOKUP($A1095,'Customer Names'!$A:$D,3, FALSE)</f>
        <v>Smith</v>
      </c>
      <c r="C1095" s="22">
        <f>VLOOKUP($A1095,'Medical Examinations'!$A:$D, 2, FALSE)</f>
        <v>31.54</v>
      </c>
      <c r="D1095" s="22">
        <f>VLOOKUP($A1095, 'Medical Examinations'!$A:$D,3, FALSE)</f>
        <v>4.44</v>
      </c>
      <c r="E1095" s="22" t="str">
        <f>VLOOKUP($A1095, 'Medical Examinations'!$A:$D, 4, FALSE)</f>
        <v>No</v>
      </c>
      <c r="F1095" s="22" t="str">
        <f>VLOOKUP($A1095, 'Medical Examinations'!$A:$J, 5, FALSE)</f>
        <v>No</v>
      </c>
      <c r="G1095" s="22" t="str">
        <f>VLOOKUP($A1095, 'Medical Examinations'!$A:$I, 6, FALSE)</f>
        <v>No</v>
      </c>
      <c r="H1095" s="22">
        <f>VLOOKUP($A1095,'Medical Examinations'!$A:$L,10, FALSE)</f>
        <v>0</v>
      </c>
      <c r="I1095" s="22" t="str">
        <f>VLOOKUP($A1095, 'Medical Examinations'!$A:$J, 9, FALSE)</f>
        <v>No</v>
      </c>
      <c r="J1095" s="22" t="str">
        <f>VLOOKUP($A1095, 'Medical Examinations'!$A:$P, 11, FALSE)</f>
        <v>OBESITY</v>
      </c>
      <c r="K1095" s="34">
        <v>35287.0</v>
      </c>
      <c r="L1095" s="35">
        <f>VLOOKUP($A1095, 'Hospitalisation Details'!$A:$H, 7, FALSE)</f>
        <v>10329.06</v>
      </c>
      <c r="M1095" s="22" t="str">
        <f>VLOOKUP($A1095, 'Hospitalisation Details'!$A:$L, 12, FALSE)</f>
        <v>tier - 3</v>
      </c>
      <c r="N1095" s="22" t="str">
        <f>VLOOKUP($A1095, 'Hospitalisation Details'!$A:$M, 13, FALSE)</f>
        <v>tier - 1</v>
      </c>
      <c r="O1095" s="22" t="str">
        <f>VLOOKUP($A1095, 'Hospitalisation Details'!$A:$N, 14, FALSE)</f>
        <v>R1021</v>
      </c>
      <c r="P1095" s="36">
        <f>VLOOKUP($A1095, 'Hospitalisation Details'!$A:$O, 15, FALSE)</f>
        <v>40</v>
      </c>
    </row>
    <row r="1096" ht="15.75" customHeight="1">
      <c r="A1096" s="33" t="s">
        <v>2191</v>
      </c>
      <c r="B1096" s="22" t="str">
        <f>VLOOKUP($A1096,'Customer Names'!$A:$D,3, FALSE)</f>
        <v>Kidwell</v>
      </c>
      <c r="C1096" s="22">
        <f>VLOOKUP($A1096,'Medical Examinations'!$A:$D, 2, FALSE)</f>
        <v>38.6</v>
      </c>
      <c r="D1096" s="22">
        <f>VLOOKUP($A1096, 'Medical Examinations'!$A:$D,3, FALSE)</f>
        <v>7.19</v>
      </c>
      <c r="E1096" s="22" t="str">
        <f>VLOOKUP($A1096, 'Medical Examinations'!$A:$D, 4, FALSE)</f>
        <v>Yes</v>
      </c>
      <c r="F1096" s="22" t="str">
        <f>VLOOKUP($A1096, 'Medical Examinations'!$A:$J, 5, FALSE)</f>
        <v>No</v>
      </c>
      <c r="G1096" s="22" t="str">
        <f>VLOOKUP($A1096, 'Medical Examinations'!$A:$I, 6, FALSE)</f>
        <v>No</v>
      </c>
      <c r="H1096" s="22">
        <f>VLOOKUP($A1096,'Medical Examinations'!$A:$L,10, FALSE)</f>
        <v>2</v>
      </c>
      <c r="I1096" s="22" t="str">
        <f>VLOOKUP($A1096, 'Medical Examinations'!$A:$J, 9, FALSE)</f>
        <v>No</v>
      </c>
      <c r="J1096" s="22" t="str">
        <f>VLOOKUP($A1096, 'Medical Examinations'!$A:$P, 11, FALSE)</f>
        <v>OBESITY</v>
      </c>
      <c r="K1096" s="34">
        <v>35382.0</v>
      </c>
      <c r="L1096" s="35">
        <f>VLOOKUP($A1096, 'Hospitalisation Details'!$A:$H, 7, FALSE)</f>
        <v>10325.21</v>
      </c>
      <c r="M1096" s="22" t="str">
        <f>VLOOKUP($A1096, 'Hospitalisation Details'!$A:$L, 12, FALSE)</f>
        <v>tier - 3</v>
      </c>
      <c r="N1096" s="22" t="str">
        <f>VLOOKUP($A1096, 'Hospitalisation Details'!$A:$M, 13, FALSE)</f>
        <v>tier - 3</v>
      </c>
      <c r="O1096" s="22" t="str">
        <f>VLOOKUP($A1096, 'Hospitalisation Details'!$A:$N, 14, FALSE)</f>
        <v>R1011</v>
      </c>
      <c r="P1096" s="36">
        <f>VLOOKUP($A1096, 'Hospitalisation Details'!$A:$O, 15, FALSE)</f>
        <v>52</v>
      </c>
    </row>
    <row r="1097" ht="15.75" customHeight="1">
      <c r="A1097" s="33" t="s">
        <v>2193</v>
      </c>
      <c r="B1097" s="22" t="str">
        <f>VLOOKUP($A1097,'Customer Names'!$A:$D,3, FALSE)</f>
        <v>Betancourth</v>
      </c>
      <c r="C1097" s="22">
        <f>VLOOKUP($A1097,'Medical Examinations'!$A:$D, 2, FALSE)</f>
        <v>37.95</v>
      </c>
      <c r="D1097" s="22">
        <f>VLOOKUP($A1097, 'Medical Examinations'!$A:$D,3, FALSE)</f>
        <v>6.06</v>
      </c>
      <c r="E1097" s="22" t="str">
        <f>VLOOKUP($A1097, 'Medical Examinations'!$A:$D, 4, FALSE)</f>
        <v>No</v>
      </c>
      <c r="F1097" s="22" t="str">
        <f>VLOOKUP($A1097, 'Medical Examinations'!$A:$J, 5, FALSE)</f>
        <v>No</v>
      </c>
      <c r="G1097" s="22" t="str">
        <f>VLOOKUP($A1097, 'Medical Examinations'!$A:$I, 6, FALSE)</f>
        <v>No</v>
      </c>
      <c r="H1097" s="22">
        <f>VLOOKUP($A1097,'Medical Examinations'!$A:$L,10, FALSE)</f>
        <v>0</v>
      </c>
      <c r="I1097" s="22" t="str">
        <f>VLOOKUP($A1097, 'Medical Examinations'!$A:$J, 9, FALSE)</f>
        <v>No</v>
      </c>
      <c r="J1097" s="22" t="str">
        <f>VLOOKUP($A1097, 'Medical Examinations'!$A:$P, 11, FALSE)</f>
        <v>OBESITY</v>
      </c>
      <c r="K1097" s="34">
        <v>27369.0</v>
      </c>
      <c r="L1097" s="35">
        <f>VLOOKUP($A1097, 'Hospitalisation Details'!$A:$H, 7, FALSE)</f>
        <v>10322.9</v>
      </c>
      <c r="M1097" s="22" t="str">
        <f>VLOOKUP($A1097, 'Hospitalisation Details'!$A:$L, 12, FALSE)</f>
        <v>tier - 3</v>
      </c>
      <c r="N1097" s="22" t="str">
        <f>VLOOKUP($A1097, 'Hospitalisation Details'!$A:$M, 13, FALSE)</f>
        <v>tier - 1</v>
      </c>
      <c r="O1097" s="22" t="str">
        <f>VLOOKUP($A1097, 'Hospitalisation Details'!$A:$N, 14, FALSE)</f>
        <v>R1026</v>
      </c>
      <c r="P1097" s="36">
        <f>VLOOKUP($A1097, 'Hospitalisation Details'!$A:$O, 15, FALSE)</f>
        <v>31</v>
      </c>
    </row>
    <row r="1098" ht="15.75" customHeight="1">
      <c r="A1098" s="33" t="s">
        <v>2195</v>
      </c>
      <c r="B1098" s="22" t="str">
        <f>VLOOKUP($A1098,'Customer Names'!$A:$D,3, FALSE)</f>
        <v>Henstrom</v>
      </c>
      <c r="C1098" s="22">
        <f>VLOOKUP($A1098,'Medical Examinations'!$A:$D, 2, FALSE)</f>
        <v>38.97</v>
      </c>
      <c r="D1098" s="22">
        <f>VLOOKUP($A1098, 'Medical Examinations'!$A:$D,3, FALSE)</f>
        <v>5.12</v>
      </c>
      <c r="E1098" s="22" t="str">
        <f>VLOOKUP($A1098, 'Medical Examinations'!$A:$D, 4, FALSE)</f>
        <v>No</v>
      </c>
      <c r="F1098" s="22" t="str">
        <f>VLOOKUP($A1098, 'Medical Examinations'!$A:$J, 5, FALSE)</f>
        <v>No</v>
      </c>
      <c r="G1098" s="22" t="str">
        <f>VLOOKUP($A1098, 'Medical Examinations'!$A:$I, 6, FALSE)</f>
        <v>No</v>
      </c>
      <c r="H1098" s="22">
        <f>VLOOKUP($A1098,'Medical Examinations'!$A:$L,10, FALSE)</f>
        <v>0</v>
      </c>
      <c r="I1098" s="22" t="str">
        <f>VLOOKUP($A1098, 'Medical Examinations'!$A:$J, 9, FALSE)</f>
        <v>No</v>
      </c>
      <c r="J1098" s="22" t="str">
        <f>VLOOKUP($A1098, 'Medical Examinations'!$A:$P, 11, FALSE)</f>
        <v>OBESITY</v>
      </c>
      <c r="K1098" s="34">
        <v>35413.0</v>
      </c>
      <c r="L1098" s="35">
        <f>VLOOKUP($A1098, 'Hospitalisation Details'!$A:$H, 7, FALSE)</f>
        <v>10315.91</v>
      </c>
      <c r="M1098" s="22" t="str">
        <f>VLOOKUP($A1098, 'Hospitalisation Details'!$A:$L, 12, FALSE)</f>
        <v>tier - 3</v>
      </c>
      <c r="N1098" s="22" t="str">
        <f>VLOOKUP($A1098, 'Hospitalisation Details'!$A:$M, 13, FALSE)</f>
        <v>tier - 2</v>
      </c>
      <c r="O1098" s="22" t="str">
        <f>VLOOKUP($A1098, 'Hospitalisation Details'!$A:$N, 14, FALSE)</f>
        <v>R1012</v>
      </c>
      <c r="P1098" s="36">
        <f>VLOOKUP($A1098, 'Hospitalisation Details'!$A:$O, 15, FALSE)</f>
        <v>31</v>
      </c>
    </row>
    <row r="1099" ht="15.75" customHeight="1">
      <c r="A1099" s="33" t="s">
        <v>2197</v>
      </c>
      <c r="B1099" s="22" t="str">
        <f>VLOOKUP($A1099,'Customer Names'!$A:$D,3, FALSE)</f>
        <v>Pereira</v>
      </c>
      <c r="C1099" s="22">
        <f>VLOOKUP($A1099,'Medical Examinations'!$A:$D, 2, FALSE)</f>
        <v>21.2</v>
      </c>
      <c r="D1099" s="22">
        <f>VLOOKUP($A1099, 'Medical Examinations'!$A:$D,3, FALSE)</f>
        <v>10.72</v>
      </c>
      <c r="E1099" s="22" t="str">
        <f>VLOOKUP($A1099, 'Medical Examinations'!$A:$D, 4, FALSE)</f>
        <v>No</v>
      </c>
      <c r="F1099" s="22" t="str">
        <f>VLOOKUP($A1099, 'Medical Examinations'!$A:$J, 5, FALSE)</f>
        <v>No</v>
      </c>
      <c r="G1099" s="22" t="str">
        <f>VLOOKUP($A1099, 'Medical Examinations'!$A:$I, 6, FALSE)</f>
        <v>No</v>
      </c>
      <c r="H1099" s="22">
        <f>VLOOKUP($A1099,'Medical Examinations'!$A:$L,10, FALSE)</f>
        <v>0</v>
      </c>
      <c r="I1099" s="22" t="str">
        <f>VLOOKUP($A1099, 'Medical Examinations'!$A:$J, 9, FALSE)</f>
        <v>No</v>
      </c>
      <c r="J1099" s="22" t="str">
        <f>VLOOKUP($A1099, 'Medical Examinations'!$A:$P, 11, FALSE)</f>
        <v>NORMAL WEIGHT</v>
      </c>
      <c r="K1099" s="34">
        <v>34249.0</v>
      </c>
      <c r="L1099" s="35">
        <f>VLOOKUP($A1099, 'Hospitalisation Details'!$A:$H, 7, FALSE)</f>
        <v>10310.78</v>
      </c>
      <c r="M1099" s="22" t="str">
        <f>VLOOKUP($A1099, 'Hospitalisation Details'!$A:$L, 12, FALSE)</f>
        <v>tier - 3</v>
      </c>
      <c r="N1099" s="22" t="str">
        <f>VLOOKUP($A1099, 'Hospitalisation Details'!$A:$M, 13, FALSE)</f>
        <v>tier - 3</v>
      </c>
      <c r="O1099" s="22" t="str">
        <f>VLOOKUP($A1099, 'Hospitalisation Details'!$A:$N, 14, FALSE)</f>
        <v>R1012</v>
      </c>
      <c r="P1099" s="36">
        <f>VLOOKUP($A1099, 'Hospitalisation Details'!$A:$O, 15, FALSE)</f>
        <v>60</v>
      </c>
    </row>
    <row r="1100" ht="15.75" customHeight="1">
      <c r="A1100" s="33" t="s">
        <v>2199</v>
      </c>
      <c r="B1100" s="22" t="str">
        <f>VLOOKUP($A1100,'Customer Names'!$A:$D,3, FALSE)</f>
        <v>Black</v>
      </c>
      <c r="C1100" s="22">
        <f>VLOOKUP($A1100,'Medical Examinations'!$A:$D, 2, FALSE)</f>
        <v>23.96</v>
      </c>
      <c r="D1100" s="22">
        <f>VLOOKUP($A1100, 'Medical Examinations'!$A:$D,3, FALSE)</f>
        <v>9.58</v>
      </c>
      <c r="E1100" s="22" t="str">
        <f>VLOOKUP($A1100, 'Medical Examinations'!$A:$D, 4, FALSE)</f>
        <v>Yes</v>
      </c>
      <c r="F1100" s="22" t="str">
        <f>VLOOKUP($A1100, 'Medical Examinations'!$A:$J, 5, FALSE)</f>
        <v>No</v>
      </c>
      <c r="G1100" s="22" t="str">
        <f>VLOOKUP($A1100, 'Medical Examinations'!$A:$I, 6, FALSE)</f>
        <v>Yes</v>
      </c>
      <c r="H1100" s="22">
        <f>VLOOKUP($A1100,'Medical Examinations'!$A:$L,10, FALSE)</f>
        <v>1</v>
      </c>
      <c r="I1100" s="22" t="str">
        <f>VLOOKUP($A1100, 'Medical Examinations'!$A:$J, 9, FALSE)</f>
        <v>No</v>
      </c>
      <c r="J1100" s="22" t="str">
        <f>VLOOKUP($A1100, 'Medical Examinations'!$A:$P, 11, FALSE)</f>
        <v>NORMAL WEIGHT</v>
      </c>
      <c r="K1100" s="34">
        <v>34873.0</v>
      </c>
      <c r="L1100" s="35">
        <f>VLOOKUP($A1100, 'Hospitalisation Details'!$A:$H, 7, FALSE)</f>
        <v>10308.04</v>
      </c>
      <c r="M1100" s="22" t="str">
        <f>VLOOKUP($A1100, 'Hospitalisation Details'!$A:$L, 12, FALSE)</f>
        <v>tier - 3</v>
      </c>
      <c r="N1100" s="22" t="str">
        <f>VLOOKUP($A1100, 'Hospitalisation Details'!$A:$M, 13, FALSE)</f>
        <v>tier - 1</v>
      </c>
      <c r="O1100" s="22" t="str">
        <f>VLOOKUP($A1100, 'Hospitalisation Details'!$A:$N, 14, FALSE)</f>
        <v>R1013</v>
      </c>
      <c r="P1100" s="36">
        <f>VLOOKUP($A1100, 'Hospitalisation Details'!$A:$O, 15, FALSE)</f>
        <v>59</v>
      </c>
    </row>
    <row r="1101" ht="15.75" customHeight="1">
      <c r="A1101" s="33" t="s">
        <v>2201</v>
      </c>
      <c r="B1101" s="22" t="str">
        <f>VLOOKUP($A1101,'Customer Names'!$A:$D,3, FALSE)</f>
        <v>Brown</v>
      </c>
      <c r="C1101" s="22">
        <f>VLOOKUP($A1101,'Medical Examinations'!$A:$D, 2, FALSE)</f>
        <v>35.93</v>
      </c>
      <c r="D1101" s="22">
        <f>VLOOKUP($A1101, 'Medical Examinations'!$A:$D,3, FALSE)</f>
        <v>6.4</v>
      </c>
      <c r="E1101" s="22" t="str">
        <f>VLOOKUP($A1101, 'Medical Examinations'!$A:$D, 4, FALSE)</f>
        <v>Yes</v>
      </c>
      <c r="F1101" s="22" t="str">
        <f>VLOOKUP($A1101, 'Medical Examinations'!$A:$J, 5, FALSE)</f>
        <v>No</v>
      </c>
      <c r="G1101" s="22" t="str">
        <f>VLOOKUP($A1101, 'Medical Examinations'!$A:$I, 6, FALSE)</f>
        <v>No</v>
      </c>
      <c r="H1101" s="22">
        <f>VLOOKUP($A1101,'Medical Examinations'!$A:$L,10, FALSE)</f>
        <v>1</v>
      </c>
      <c r="I1101" s="22" t="str">
        <f>VLOOKUP($A1101, 'Medical Examinations'!$A:$J, 9, FALSE)</f>
        <v>No</v>
      </c>
      <c r="J1101" s="22" t="str">
        <f>VLOOKUP($A1101, 'Medical Examinations'!$A:$P, 11, FALSE)</f>
        <v>OBESITY</v>
      </c>
      <c r="K1101" s="34">
        <v>34270.0</v>
      </c>
      <c r="L1101" s="35">
        <f>VLOOKUP($A1101, 'Hospitalisation Details'!$A:$H, 7, FALSE)</f>
        <v>10276.99</v>
      </c>
      <c r="M1101" s="22" t="str">
        <f>VLOOKUP($A1101, 'Hospitalisation Details'!$A:$L, 12, FALSE)</f>
        <v>tier - 3</v>
      </c>
      <c r="N1101" s="22" t="str">
        <f>VLOOKUP($A1101, 'Hospitalisation Details'!$A:$M, 13, FALSE)</f>
        <v>tier - 1</v>
      </c>
      <c r="O1101" s="22" t="str">
        <f>VLOOKUP($A1101, 'Hospitalisation Details'!$A:$N, 14, FALSE)</f>
        <v>R1021</v>
      </c>
      <c r="P1101" s="36">
        <f>VLOOKUP($A1101, 'Hospitalisation Details'!$A:$O, 15, FALSE)</f>
        <v>34</v>
      </c>
    </row>
    <row r="1102" ht="15.75" customHeight="1">
      <c r="A1102" s="33" t="s">
        <v>2203</v>
      </c>
      <c r="B1102" s="22" t="str">
        <f>VLOOKUP($A1102,'Customer Names'!$A:$D,3, FALSE)</f>
        <v>Reasoner</v>
      </c>
      <c r="C1102" s="22">
        <f>VLOOKUP($A1102,'Medical Examinations'!$A:$D, 2, FALSE)</f>
        <v>26.11</v>
      </c>
      <c r="D1102" s="22">
        <f>VLOOKUP($A1102, 'Medical Examinations'!$A:$D,3, FALSE)</f>
        <v>6.8</v>
      </c>
      <c r="E1102" s="22" t="str">
        <f>VLOOKUP($A1102, 'Medical Examinations'!$A:$D, 4, FALSE)</f>
        <v>Yes</v>
      </c>
      <c r="F1102" s="22" t="str">
        <f>VLOOKUP($A1102, 'Medical Examinations'!$A:$J, 5, FALSE)</f>
        <v>No</v>
      </c>
      <c r="G1102" s="22" t="str">
        <f>VLOOKUP($A1102, 'Medical Examinations'!$A:$I, 6, FALSE)</f>
        <v>No</v>
      </c>
      <c r="H1102" s="22">
        <f>VLOOKUP($A1102,'Medical Examinations'!$A:$L,10, FALSE)</f>
        <v>2</v>
      </c>
      <c r="I1102" s="22" t="str">
        <f>VLOOKUP($A1102, 'Medical Examinations'!$A:$J, 9, FALSE)</f>
        <v>No</v>
      </c>
      <c r="J1102" s="22" t="str">
        <f>VLOOKUP($A1102, 'Medical Examinations'!$A:$P, 11, FALSE)</f>
        <v>OVERWEIGHT</v>
      </c>
      <c r="K1102" s="34">
        <v>33482.0</v>
      </c>
      <c r="L1102" s="35">
        <f>VLOOKUP($A1102, 'Hospitalisation Details'!$A:$H, 7, FALSE)</f>
        <v>10274.33</v>
      </c>
      <c r="M1102" s="22" t="str">
        <f>VLOOKUP($A1102, 'Hospitalisation Details'!$A:$L, 12, FALSE)</f>
        <v>tier - 3</v>
      </c>
      <c r="N1102" s="22" t="str">
        <f>VLOOKUP($A1102, 'Hospitalisation Details'!$A:$M, 13, FALSE)</f>
        <v>tier - 1</v>
      </c>
      <c r="O1102" s="22" t="str">
        <f>VLOOKUP($A1102, 'Hospitalisation Details'!$A:$N, 14, FALSE)</f>
        <v>R1024</v>
      </c>
      <c r="P1102" s="36">
        <f>VLOOKUP($A1102, 'Hospitalisation Details'!$A:$O, 15, FALSE)</f>
        <v>52</v>
      </c>
    </row>
    <row r="1103" ht="15.75" customHeight="1">
      <c r="A1103" s="33" t="s">
        <v>2205</v>
      </c>
      <c r="B1103" s="22" t="str">
        <f>VLOOKUP($A1103,'Customer Names'!$A:$D,3, FALSE)</f>
        <v>Wandzilak</v>
      </c>
      <c r="C1103" s="22">
        <f>VLOOKUP($A1103,'Medical Examinations'!$A:$D, 2, FALSE)</f>
        <v>32.3</v>
      </c>
      <c r="D1103" s="22">
        <f>VLOOKUP($A1103, 'Medical Examinations'!$A:$D,3, FALSE)</f>
        <v>9.48</v>
      </c>
      <c r="E1103" s="22" t="str">
        <f>VLOOKUP($A1103, 'Medical Examinations'!$A:$D, 4, FALSE)</f>
        <v>No</v>
      </c>
      <c r="F1103" s="22" t="str">
        <f>VLOOKUP($A1103, 'Medical Examinations'!$A:$J, 5, FALSE)</f>
        <v>No</v>
      </c>
      <c r="G1103" s="22" t="str">
        <f>VLOOKUP($A1103, 'Medical Examinations'!$A:$I, 6, FALSE)</f>
        <v>No</v>
      </c>
      <c r="H1103" s="22">
        <f>VLOOKUP($A1103,'Medical Examinations'!$A:$L,10, FALSE)</f>
        <v>2</v>
      </c>
      <c r="I1103" s="22" t="str">
        <f>VLOOKUP($A1103, 'Medical Examinations'!$A:$J, 9, FALSE)</f>
        <v>No</v>
      </c>
      <c r="J1103" s="22" t="str">
        <f>VLOOKUP($A1103, 'Medical Examinations'!$A:$P, 11, FALSE)</f>
        <v>OBESITY</v>
      </c>
      <c r="K1103" s="34">
        <v>35601.0</v>
      </c>
      <c r="L1103" s="35">
        <f>VLOOKUP($A1103, 'Hospitalisation Details'!$A:$H, 7, FALSE)</f>
        <v>10269.46</v>
      </c>
      <c r="M1103" s="22" t="str">
        <f>VLOOKUP($A1103, 'Hospitalisation Details'!$A:$L, 12, FALSE)</f>
        <v>tier - 3</v>
      </c>
      <c r="N1103" s="22" t="str">
        <f>VLOOKUP($A1103, 'Hospitalisation Details'!$A:$M, 13, FALSE)</f>
        <v>tier - 3</v>
      </c>
      <c r="O1103" s="22" t="str">
        <f>VLOOKUP($A1103, 'Hospitalisation Details'!$A:$N, 14, FALSE)</f>
        <v>R1012</v>
      </c>
      <c r="P1103" s="36">
        <f>VLOOKUP($A1103, 'Hospitalisation Details'!$A:$O, 15, FALSE)</f>
        <v>49</v>
      </c>
    </row>
    <row r="1104" ht="15.75" customHeight="1">
      <c r="A1104" s="33" t="s">
        <v>2207</v>
      </c>
      <c r="B1104" s="22" t="str">
        <f>VLOOKUP($A1104,'Customer Names'!$A:$D,3, FALSE)</f>
        <v>Carver</v>
      </c>
      <c r="C1104" s="22">
        <f>VLOOKUP($A1104,'Medical Examinations'!$A:$D, 2, FALSE)</f>
        <v>28.69</v>
      </c>
      <c r="D1104" s="22">
        <f>VLOOKUP($A1104, 'Medical Examinations'!$A:$D,3, FALSE)</f>
        <v>7.45</v>
      </c>
      <c r="E1104" s="22" t="str">
        <f>VLOOKUP($A1104, 'Medical Examinations'!$A:$D, 4, FALSE)</f>
        <v>No</v>
      </c>
      <c r="F1104" s="22" t="str">
        <f>VLOOKUP($A1104, 'Medical Examinations'!$A:$J, 5, FALSE)</f>
        <v>No</v>
      </c>
      <c r="G1104" s="22" t="str">
        <f>VLOOKUP($A1104, 'Medical Examinations'!$A:$I, 6, FALSE)</f>
        <v>No</v>
      </c>
      <c r="H1104" s="22">
        <f>VLOOKUP($A1104,'Medical Examinations'!$A:$L,10, FALSE)</f>
        <v>2</v>
      </c>
      <c r="I1104" s="22" t="str">
        <f>VLOOKUP($A1104, 'Medical Examinations'!$A:$J, 9, FALSE)</f>
        <v>No</v>
      </c>
      <c r="J1104" s="22" t="str">
        <f>VLOOKUP($A1104, 'Medical Examinations'!$A:$P, 11, FALSE)</f>
        <v>OVERWEIGHT</v>
      </c>
      <c r="K1104" s="34">
        <v>37943.0</v>
      </c>
      <c r="L1104" s="35">
        <f>VLOOKUP($A1104, 'Hospitalisation Details'!$A:$H, 7, FALSE)</f>
        <v>10264.44</v>
      </c>
      <c r="M1104" s="22" t="str">
        <f>VLOOKUP($A1104, 'Hospitalisation Details'!$A:$L, 12, FALSE)</f>
        <v>tier - 3</v>
      </c>
      <c r="N1104" s="22" t="str">
        <f>VLOOKUP($A1104, 'Hospitalisation Details'!$A:$M, 13, FALSE)</f>
        <v>tier - 2</v>
      </c>
      <c r="O1104" s="22" t="str">
        <f>VLOOKUP($A1104, 'Hospitalisation Details'!$A:$N, 14, FALSE)</f>
        <v>R1012</v>
      </c>
      <c r="P1104" s="36">
        <f>VLOOKUP($A1104, 'Hospitalisation Details'!$A:$O, 15, FALSE)</f>
        <v>49</v>
      </c>
    </row>
    <row r="1105" ht="15.75" customHeight="1">
      <c r="A1105" s="33" t="s">
        <v>2209</v>
      </c>
      <c r="B1105" s="22" t="str">
        <f>VLOOKUP($A1105,'Customer Names'!$A:$D,3, FALSE)</f>
        <v>Borror</v>
      </c>
      <c r="C1105" s="22">
        <f>VLOOKUP($A1105,'Medical Examinations'!$A:$D, 2, FALSE)</f>
        <v>31.28</v>
      </c>
      <c r="D1105" s="22">
        <f>VLOOKUP($A1105, 'Medical Examinations'!$A:$D,3, FALSE)</f>
        <v>6.94</v>
      </c>
      <c r="E1105" s="22" t="str">
        <f>VLOOKUP($A1105, 'Medical Examinations'!$A:$D, 4, FALSE)</f>
        <v>Yes</v>
      </c>
      <c r="F1105" s="22" t="str">
        <f>VLOOKUP($A1105, 'Medical Examinations'!$A:$J, 5, FALSE)</f>
        <v>No</v>
      </c>
      <c r="G1105" s="22" t="str">
        <f>VLOOKUP($A1105, 'Medical Examinations'!$A:$I, 6, FALSE)</f>
        <v>No</v>
      </c>
      <c r="H1105" s="22">
        <f>VLOOKUP($A1105,'Medical Examinations'!$A:$L,10, FALSE)</f>
        <v>1</v>
      </c>
      <c r="I1105" s="22" t="str">
        <f>VLOOKUP($A1105, 'Medical Examinations'!$A:$J, 9, FALSE)</f>
        <v>No</v>
      </c>
      <c r="J1105" s="22" t="str">
        <f>VLOOKUP($A1105, 'Medical Examinations'!$A:$P, 11, FALSE)</f>
        <v>OBESITY</v>
      </c>
      <c r="K1105" s="34">
        <v>37960.0</v>
      </c>
      <c r="L1105" s="35">
        <f>VLOOKUP($A1105, 'Hospitalisation Details'!$A:$H, 7, FALSE)</f>
        <v>10259.13</v>
      </c>
      <c r="M1105" s="22" t="str">
        <f>VLOOKUP($A1105, 'Hospitalisation Details'!$A:$L, 12, FALSE)</f>
        <v>tier - 3</v>
      </c>
      <c r="N1105" s="22" t="str">
        <f>VLOOKUP($A1105, 'Hospitalisation Details'!$A:$M, 13, FALSE)</f>
        <v>tier - 2</v>
      </c>
      <c r="O1105" s="22" t="str">
        <f>VLOOKUP($A1105, 'Hospitalisation Details'!$A:$N, 14, FALSE)</f>
        <v>R1011</v>
      </c>
      <c r="P1105" s="36">
        <f>VLOOKUP($A1105, 'Hospitalisation Details'!$A:$O, 15, FALSE)</f>
        <v>47</v>
      </c>
    </row>
    <row r="1106" ht="15.75" customHeight="1">
      <c r="A1106" s="33" t="s">
        <v>2211</v>
      </c>
      <c r="B1106" s="22" t="str">
        <f>VLOOKUP($A1106,'Customer Names'!$A:$D,3, FALSE)</f>
        <v>Saad</v>
      </c>
      <c r="C1106" s="22">
        <f>VLOOKUP($A1106,'Medical Examinations'!$A:$D, 2, FALSE)</f>
        <v>30.21</v>
      </c>
      <c r="D1106" s="22">
        <f>VLOOKUP($A1106, 'Medical Examinations'!$A:$D,3, FALSE)</f>
        <v>7.83</v>
      </c>
      <c r="E1106" s="22" t="str">
        <f>VLOOKUP($A1106, 'Medical Examinations'!$A:$D, 4, FALSE)</f>
        <v>No</v>
      </c>
      <c r="F1106" s="22" t="str">
        <f>VLOOKUP($A1106, 'Medical Examinations'!$A:$J, 5, FALSE)</f>
        <v>No</v>
      </c>
      <c r="G1106" s="22" t="str">
        <f>VLOOKUP($A1106, 'Medical Examinations'!$A:$I, 6, FALSE)</f>
        <v>No</v>
      </c>
      <c r="H1106" s="22">
        <f>VLOOKUP($A1106,'Medical Examinations'!$A:$L,10, FALSE)</f>
        <v>0</v>
      </c>
      <c r="I1106" s="22" t="str">
        <f>VLOOKUP($A1106, 'Medical Examinations'!$A:$J, 9, FALSE)</f>
        <v>No</v>
      </c>
      <c r="J1106" s="22" t="str">
        <f>VLOOKUP($A1106, 'Medical Examinations'!$A:$P, 11, FALSE)</f>
        <v>OBESITY</v>
      </c>
      <c r="K1106" s="34">
        <v>35386.0</v>
      </c>
      <c r="L1106" s="35">
        <f>VLOOKUP($A1106, 'Hospitalisation Details'!$A:$H, 7, FALSE)</f>
        <v>10231.5</v>
      </c>
      <c r="M1106" s="22" t="str">
        <f>VLOOKUP($A1106, 'Hospitalisation Details'!$A:$L, 12, FALSE)</f>
        <v>tier - 3</v>
      </c>
      <c r="N1106" s="22" t="str">
        <f>VLOOKUP($A1106, 'Hospitalisation Details'!$A:$M, 13, FALSE)</f>
        <v>tier - 1</v>
      </c>
      <c r="O1106" s="22" t="str">
        <f>VLOOKUP($A1106, 'Hospitalisation Details'!$A:$N, 14, FALSE)</f>
        <v>R1012</v>
      </c>
      <c r="P1106" s="36">
        <f>VLOOKUP($A1106, 'Hospitalisation Details'!$A:$O, 15, FALSE)</f>
        <v>54</v>
      </c>
    </row>
    <row r="1107" ht="15.75" customHeight="1">
      <c r="A1107" s="33" t="s">
        <v>2213</v>
      </c>
      <c r="B1107" s="22" t="str">
        <f>VLOOKUP($A1107,'Customer Names'!$A:$D,3, FALSE)</f>
        <v>Paul</v>
      </c>
      <c r="C1107" s="22">
        <f>VLOOKUP($A1107,'Medical Examinations'!$A:$D, 2, FALSE)</f>
        <v>38.28</v>
      </c>
      <c r="D1107" s="22">
        <f>VLOOKUP($A1107, 'Medical Examinations'!$A:$D,3, FALSE)</f>
        <v>10.17</v>
      </c>
      <c r="E1107" s="22" t="str">
        <f>VLOOKUP($A1107, 'Medical Examinations'!$A:$D, 4, FALSE)</f>
        <v>Yes</v>
      </c>
      <c r="F1107" s="22" t="str">
        <f>VLOOKUP($A1107, 'Medical Examinations'!$A:$J, 5, FALSE)</f>
        <v>No</v>
      </c>
      <c r="G1107" s="22" t="str">
        <f>VLOOKUP($A1107, 'Medical Examinations'!$A:$I, 6, FALSE)</f>
        <v>No</v>
      </c>
      <c r="H1107" s="22">
        <f>VLOOKUP($A1107,'Medical Examinations'!$A:$L,10, FALSE)</f>
        <v>0</v>
      </c>
      <c r="I1107" s="22" t="str">
        <f>VLOOKUP($A1107, 'Medical Examinations'!$A:$J, 9, FALSE)</f>
        <v>No</v>
      </c>
      <c r="J1107" s="22" t="str">
        <f>VLOOKUP($A1107, 'Medical Examinations'!$A:$P, 11, FALSE)</f>
        <v>OBESITY</v>
      </c>
      <c r="K1107" s="34">
        <v>37805.0</v>
      </c>
      <c r="L1107" s="35">
        <f>VLOOKUP($A1107, 'Hospitalisation Details'!$A:$H, 7, FALSE)</f>
        <v>10226.28</v>
      </c>
      <c r="M1107" s="22" t="str">
        <f>VLOOKUP($A1107, 'Hospitalisation Details'!$A:$L, 12, FALSE)</f>
        <v>tier - 3</v>
      </c>
      <c r="N1107" s="22" t="str">
        <f>VLOOKUP($A1107, 'Hospitalisation Details'!$A:$M, 13, FALSE)</f>
        <v>tier - 3</v>
      </c>
      <c r="O1107" s="22" t="str">
        <f>VLOOKUP($A1107, 'Hospitalisation Details'!$A:$N, 14, FALSE)</f>
        <v>R1013</v>
      </c>
      <c r="P1107" s="36">
        <f>VLOOKUP($A1107, 'Hospitalisation Details'!$A:$O, 15, FALSE)</f>
        <v>55</v>
      </c>
    </row>
    <row r="1108" ht="15.75" customHeight="1">
      <c r="A1108" s="33" t="s">
        <v>2215</v>
      </c>
      <c r="B1108" s="22" t="str">
        <f>VLOOKUP($A1108,'Customer Names'!$A:$D,3, FALSE)</f>
        <v>Trail</v>
      </c>
      <c r="C1108" s="22">
        <f>VLOOKUP($A1108,'Medical Examinations'!$A:$D, 2, FALSE)</f>
        <v>29.9</v>
      </c>
      <c r="D1108" s="22">
        <f>VLOOKUP($A1108, 'Medical Examinations'!$A:$D,3, FALSE)</f>
        <v>8.96</v>
      </c>
      <c r="E1108" s="22" t="str">
        <f>VLOOKUP($A1108, 'Medical Examinations'!$A:$D, 4, FALSE)</f>
        <v>Yes</v>
      </c>
      <c r="F1108" s="22" t="str">
        <f>VLOOKUP($A1108, 'Medical Examinations'!$A:$J, 5, FALSE)</f>
        <v>No</v>
      </c>
      <c r="G1108" s="22" t="str">
        <f>VLOOKUP($A1108, 'Medical Examinations'!$A:$I, 6, FALSE)</f>
        <v>No</v>
      </c>
      <c r="H1108" s="22">
        <f>VLOOKUP($A1108,'Medical Examinations'!$A:$L,10, FALSE)</f>
        <v>0</v>
      </c>
      <c r="I1108" s="22" t="str">
        <f>VLOOKUP($A1108, 'Medical Examinations'!$A:$J, 9, FALSE)</f>
        <v>No</v>
      </c>
      <c r="J1108" s="22" t="str">
        <f>VLOOKUP($A1108, 'Medical Examinations'!$A:$P, 11, FALSE)</f>
        <v>OBESITY</v>
      </c>
      <c r="K1108" s="34">
        <v>38229.0</v>
      </c>
      <c r="L1108" s="35">
        <f>VLOOKUP($A1108, 'Hospitalisation Details'!$A:$H, 7, FALSE)</f>
        <v>10214.64</v>
      </c>
      <c r="M1108" s="22" t="str">
        <f>VLOOKUP($A1108, 'Hospitalisation Details'!$A:$L, 12, FALSE)</f>
        <v>tier - 3</v>
      </c>
      <c r="N1108" s="22" t="str">
        <f>VLOOKUP($A1108, 'Hospitalisation Details'!$A:$M, 13, FALSE)</f>
        <v>tier - 2</v>
      </c>
      <c r="O1108" s="22" t="str">
        <f>VLOOKUP($A1108, 'Hospitalisation Details'!$A:$N, 14, FALSE)</f>
        <v>R1011</v>
      </c>
      <c r="P1108" s="36">
        <f>VLOOKUP($A1108, 'Hospitalisation Details'!$A:$O, 15, FALSE)</f>
        <v>55</v>
      </c>
    </row>
    <row r="1109" ht="15.75" customHeight="1">
      <c r="A1109" s="33" t="s">
        <v>2217</v>
      </c>
      <c r="B1109" s="22" t="str">
        <f>VLOOKUP($A1109,'Customer Names'!$A:$D,3, FALSE)</f>
        <v>Benton</v>
      </c>
      <c r="C1109" s="22">
        <f>VLOOKUP($A1109,'Medical Examinations'!$A:$D, 2, FALSE)</f>
        <v>23.18</v>
      </c>
      <c r="D1109" s="22">
        <f>VLOOKUP($A1109, 'Medical Examinations'!$A:$D,3, FALSE)</f>
        <v>6.96</v>
      </c>
      <c r="E1109" s="22" t="str">
        <f>VLOOKUP($A1109, 'Medical Examinations'!$A:$D, 4, FALSE)</f>
        <v>Yes</v>
      </c>
      <c r="F1109" s="22" t="str">
        <f>VLOOKUP($A1109, 'Medical Examinations'!$A:$J, 5, FALSE)</f>
        <v>No</v>
      </c>
      <c r="G1109" s="22" t="str">
        <f>VLOOKUP($A1109, 'Medical Examinations'!$A:$I, 6, FALSE)</f>
        <v>No</v>
      </c>
      <c r="H1109" s="22">
        <f>VLOOKUP($A1109,'Medical Examinations'!$A:$L,10, FALSE)</f>
        <v>2</v>
      </c>
      <c r="I1109" s="22" t="str">
        <f>VLOOKUP($A1109, 'Medical Examinations'!$A:$J, 9, FALSE)</f>
        <v>No</v>
      </c>
      <c r="J1109" s="22" t="str">
        <f>VLOOKUP($A1109, 'Medical Examinations'!$A:$P, 11, FALSE)</f>
        <v>NORMAL WEIGHT</v>
      </c>
      <c r="K1109" s="34">
        <v>37170.0</v>
      </c>
      <c r="L1109" s="35">
        <f>VLOOKUP($A1109, 'Hospitalisation Details'!$A:$H, 7, FALSE)</f>
        <v>10197.77</v>
      </c>
      <c r="M1109" s="22" t="str">
        <f>VLOOKUP($A1109, 'Hospitalisation Details'!$A:$L, 12, FALSE)</f>
        <v>tier - 3</v>
      </c>
      <c r="N1109" s="22" t="str">
        <f>VLOOKUP($A1109, 'Hospitalisation Details'!$A:$M, 13, FALSE)</f>
        <v>tier - 1</v>
      </c>
      <c r="O1109" s="22" t="str">
        <f>VLOOKUP($A1109, 'Hospitalisation Details'!$A:$N, 14, FALSE)</f>
        <v>R1024</v>
      </c>
      <c r="P1109" s="36">
        <f>VLOOKUP($A1109, 'Hospitalisation Details'!$A:$O, 15, FALSE)</f>
        <v>52</v>
      </c>
    </row>
    <row r="1110" ht="15.75" customHeight="1">
      <c r="A1110" s="33" t="s">
        <v>2219</v>
      </c>
      <c r="B1110" s="22" t="str">
        <f>VLOOKUP($A1110,'Customer Names'!$A:$D,3, FALSE)</f>
        <v>Bauman</v>
      </c>
      <c r="C1110" s="22">
        <f>VLOOKUP($A1110,'Medical Examinations'!$A:$D, 2, FALSE)</f>
        <v>33.02</v>
      </c>
      <c r="D1110" s="22">
        <f>VLOOKUP($A1110, 'Medical Examinations'!$A:$D,3, FALSE)</f>
        <v>5.07</v>
      </c>
      <c r="E1110" s="22" t="str">
        <f>VLOOKUP($A1110, 'Medical Examinations'!$A:$D, 4, FALSE)</f>
        <v>Yes</v>
      </c>
      <c r="F1110" s="22" t="str">
        <f>VLOOKUP($A1110, 'Medical Examinations'!$A:$J, 5, FALSE)</f>
        <v>No</v>
      </c>
      <c r="G1110" s="22" t="str">
        <f>VLOOKUP($A1110, 'Medical Examinations'!$A:$I, 6, FALSE)</f>
        <v>No</v>
      </c>
      <c r="H1110" s="22">
        <f>VLOOKUP($A1110,'Medical Examinations'!$A:$L,10, FALSE)</f>
        <v>0</v>
      </c>
      <c r="I1110" s="22" t="str">
        <f>VLOOKUP($A1110, 'Medical Examinations'!$A:$J, 9, FALSE)</f>
        <v>No</v>
      </c>
      <c r="J1110" s="22" t="str">
        <f>VLOOKUP($A1110, 'Medical Examinations'!$A:$P, 11, FALSE)</f>
        <v>OBESITY</v>
      </c>
      <c r="K1110" s="34">
        <v>34516.0</v>
      </c>
      <c r="L1110" s="35">
        <f>VLOOKUP($A1110, 'Hospitalisation Details'!$A:$H, 7, FALSE)</f>
        <v>10191.82</v>
      </c>
      <c r="M1110" s="22" t="str">
        <f>VLOOKUP($A1110, 'Hospitalisation Details'!$A:$L, 12, FALSE)</f>
        <v>tier - 3</v>
      </c>
      <c r="N1110" s="22" t="str">
        <f>VLOOKUP($A1110, 'Hospitalisation Details'!$A:$M, 13, FALSE)</f>
        <v>tier - 2</v>
      </c>
      <c r="O1110" s="22" t="str">
        <f>VLOOKUP($A1110, 'Hospitalisation Details'!$A:$N, 14, FALSE)</f>
        <v>R1026</v>
      </c>
      <c r="P1110" s="36">
        <f>VLOOKUP($A1110, 'Hospitalisation Details'!$A:$O, 15, FALSE)</f>
        <v>37</v>
      </c>
    </row>
    <row r="1111" ht="15.75" customHeight="1">
      <c r="A1111" s="33" t="s">
        <v>2221</v>
      </c>
      <c r="B1111" s="22" t="str">
        <f>VLOOKUP($A1111,'Customer Names'!$A:$D,3, FALSE)</f>
        <v>Bakula</v>
      </c>
      <c r="C1111" s="22">
        <f>VLOOKUP($A1111,'Medical Examinations'!$A:$D, 2, FALSE)</f>
        <v>27.29</v>
      </c>
      <c r="D1111" s="22">
        <f>VLOOKUP($A1111, 'Medical Examinations'!$A:$D,3, FALSE)</f>
        <v>5.85</v>
      </c>
      <c r="E1111" s="22" t="str">
        <f>VLOOKUP($A1111, 'Medical Examinations'!$A:$D, 4, FALSE)</f>
        <v>No</v>
      </c>
      <c r="F1111" s="22" t="str">
        <f>VLOOKUP($A1111, 'Medical Examinations'!$A:$J, 5, FALSE)</f>
        <v>No</v>
      </c>
      <c r="G1111" s="22" t="str">
        <f>VLOOKUP($A1111, 'Medical Examinations'!$A:$I, 6, FALSE)</f>
        <v>No</v>
      </c>
      <c r="H1111" s="22">
        <f>VLOOKUP($A1111,'Medical Examinations'!$A:$L,10, FALSE)</f>
        <v>2</v>
      </c>
      <c r="I1111" s="22" t="str">
        <f>VLOOKUP($A1111, 'Medical Examinations'!$A:$J, 9, FALSE)</f>
        <v>No</v>
      </c>
      <c r="J1111" s="22" t="str">
        <f>VLOOKUP($A1111, 'Medical Examinations'!$A:$P, 11, FALSE)</f>
        <v>OVERWEIGHT</v>
      </c>
      <c r="K1111" s="34">
        <v>34670.0</v>
      </c>
      <c r="L1111" s="35">
        <f>VLOOKUP($A1111, 'Hospitalisation Details'!$A:$H, 7, FALSE)</f>
        <v>10160.87</v>
      </c>
      <c r="M1111" s="22" t="str">
        <f>VLOOKUP($A1111, 'Hospitalisation Details'!$A:$L, 12, FALSE)</f>
        <v>tier - 3</v>
      </c>
      <c r="N1111" s="22" t="str">
        <f>VLOOKUP($A1111, 'Hospitalisation Details'!$A:$M, 13, FALSE)</f>
        <v>tier - 3</v>
      </c>
      <c r="O1111" s="22" t="str">
        <f>VLOOKUP($A1111, 'Hospitalisation Details'!$A:$N, 14, FALSE)</f>
        <v>R1025</v>
      </c>
      <c r="P1111" s="36">
        <f>VLOOKUP($A1111, 'Hospitalisation Details'!$A:$O, 15, FALSE)</f>
        <v>50</v>
      </c>
    </row>
    <row r="1112" ht="15.75" customHeight="1">
      <c r="A1112" s="33" t="s">
        <v>2223</v>
      </c>
      <c r="B1112" s="22" t="str">
        <f>VLOOKUP($A1112,'Customer Names'!$A:$D,3, FALSE)</f>
        <v>Edwards</v>
      </c>
      <c r="C1112" s="22">
        <f>VLOOKUP($A1112,'Medical Examinations'!$A:$D, 2, FALSE)</f>
        <v>23.18</v>
      </c>
      <c r="D1112" s="22">
        <f>VLOOKUP($A1112, 'Medical Examinations'!$A:$D,3, FALSE)</f>
        <v>10.56</v>
      </c>
      <c r="E1112" s="22" t="str">
        <f>VLOOKUP($A1112, 'Medical Examinations'!$A:$D, 4, FALSE)</f>
        <v>No</v>
      </c>
      <c r="F1112" s="22" t="str">
        <f>VLOOKUP($A1112, 'Medical Examinations'!$A:$J, 5, FALSE)</f>
        <v>No</v>
      </c>
      <c r="G1112" s="22" t="str">
        <f>VLOOKUP($A1112, 'Medical Examinations'!$A:$I, 6, FALSE)</f>
        <v>No</v>
      </c>
      <c r="H1112" s="22">
        <f>VLOOKUP($A1112,'Medical Examinations'!$A:$L,10, FALSE)</f>
        <v>2</v>
      </c>
      <c r="I1112" s="22" t="str">
        <f>VLOOKUP($A1112, 'Medical Examinations'!$A:$J, 9, FALSE)</f>
        <v>No</v>
      </c>
      <c r="J1112" s="22" t="str">
        <f>VLOOKUP($A1112, 'Medical Examinations'!$A:$P, 11, FALSE)</f>
        <v>NORMAL WEIGHT</v>
      </c>
      <c r="K1112" s="34">
        <v>33555.0</v>
      </c>
      <c r="L1112" s="35">
        <f>VLOOKUP($A1112, 'Hospitalisation Details'!$A:$H, 7, FALSE)</f>
        <v>10156.78</v>
      </c>
      <c r="M1112" s="22" t="str">
        <f>VLOOKUP($A1112, 'Hospitalisation Details'!$A:$L, 12, FALSE)</f>
        <v>tier - 3</v>
      </c>
      <c r="N1112" s="22" t="str">
        <f>VLOOKUP($A1112, 'Hospitalisation Details'!$A:$M, 13, FALSE)</f>
        <v>tier - 2</v>
      </c>
      <c r="O1112" s="22" t="str">
        <f>VLOOKUP($A1112, 'Hospitalisation Details'!$A:$N, 14, FALSE)</f>
        <v>R1012</v>
      </c>
      <c r="P1112" s="36">
        <f>VLOOKUP($A1112, 'Hospitalisation Details'!$A:$O, 15, FALSE)</f>
        <v>49</v>
      </c>
    </row>
    <row r="1113" ht="15.75" customHeight="1">
      <c r="A1113" s="33" t="s">
        <v>2225</v>
      </c>
      <c r="B1113" s="22" t="str">
        <f>VLOOKUP($A1113,'Customer Names'!$A:$D,3, FALSE)</f>
        <v>Davis</v>
      </c>
      <c r="C1113" s="22">
        <f>VLOOKUP($A1113,'Medical Examinations'!$A:$D, 2, FALSE)</f>
        <v>32.66</v>
      </c>
      <c r="D1113" s="22">
        <f>VLOOKUP($A1113, 'Medical Examinations'!$A:$D,3, FALSE)</f>
        <v>8.92</v>
      </c>
      <c r="E1113" s="22" t="str">
        <f>VLOOKUP($A1113, 'Medical Examinations'!$A:$D, 4, FALSE)</f>
        <v>Yes</v>
      </c>
      <c r="F1113" s="22" t="str">
        <f>VLOOKUP($A1113, 'Medical Examinations'!$A:$J, 5, FALSE)</f>
        <v>No</v>
      </c>
      <c r="G1113" s="22" t="str">
        <f>VLOOKUP($A1113, 'Medical Examinations'!$A:$I, 6, FALSE)</f>
        <v>No</v>
      </c>
      <c r="H1113" s="22">
        <f>VLOOKUP($A1113,'Medical Examinations'!$A:$L,10, FALSE)</f>
        <v>0</v>
      </c>
      <c r="I1113" s="22" t="str">
        <f>VLOOKUP($A1113, 'Medical Examinations'!$A:$J, 9, FALSE)</f>
        <v>No</v>
      </c>
      <c r="J1113" s="22" t="str">
        <f>VLOOKUP($A1113, 'Medical Examinations'!$A:$P, 11, FALSE)</f>
        <v>OBESITY</v>
      </c>
      <c r="K1113" s="34">
        <v>35675.0</v>
      </c>
      <c r="L1113" s="35">
        <f>VLOOKUP($A1113, 'Hospitalisation Details'!$A:$H, 7, FALSE)</f>
        <v>10146.13</v>
      </c>
      <c r="M1113" s="22" t="str">
        <f>VLOOKUP($A1113, 'Hospitalisation Details'!$A:$L, 12, FALSE)</f>
        <v>tier - 3</v>
      </c>
      <c r="N1113" s="22" t="str">
        <f>VLOOKUP($A1113, 'Hospitalisation Details'!$A:$M, 13, FALSE)</f>
        <v>tier - 1</v>
      </c>
      <c r="O1113" s="22" t="str">
        <f>VLOOKUP($A1113, 'Hospitalisation Details'!$A:$N, 14, FALSE)</f>
        <v>R1025</v>
      </c>
      <c r="P1113" s="36">
        <f>VLOOKUP($A1113, 'Hospitalisation Details'!$A:$O, 15, FALSE)</f>
        <v>41</v>
      </c>
    </row>
    <row r="1114" ht="15.75" customHeight="1">
      <c r="A1114" s="33" t="s">
        <v>2227</v>
      </c>
      <c r="B1114" s="22" t="str">
        <f>VLOOKUP($A1114,'Customer Names'!$A:$D,3, FALSE)</f>
        <v>Weiler</v>
      </c>
      <c r="C1114" s="22">
        <f>VLOOKUP($A1114,'Medical Examinations'!$A:$D, 2, FALSE)</f>
        <v>30.78</v>
      </c>
      <c r="D1114" s="22">
        <f>VLOOKUP($A1114, 'Medical Examinations'!$A:$D,3, FALSE)</f>
        <v>8.63</v>
      </c>
      <c r="E1114" s="22" t="str">
        <f>VLOOKUP($A1114, 'Medical Examinations'!$A:$D, 4, FALSE)</f>
        <v>No</v>
      </c>
      <c r="F1114" s="22" t="str">
        <f>VLOOKUP($A1114, 'Medical Examinations'!$A:$J, 5, FALSE)</f>
        <v>No</v>
      </c>
      <c r="G1114" s="22" t="str">
        <f>VLOOKUP($A1114, 'Medical Examinations'!$A:$I, 6, FALSE)</f>
        <v>No</v>
      </c>
      <c r="H1114" s="22">
        <f>VLOOKUP($A1114,'Medical Examinations'!$A:$L,10, FALSE)</f>
        <v>0</v>
      </c>
      <c r="I1114" s="22" t="str">
        <f>VLOOKUP($A1114, 'Medical Examinations'!$A:$J, 9, FALSE)</f>
        <v>No</v>
      </c>
      <c r="J1114" s="22" t="str">
        <f>VLOOKUP($A1114, 'Medical Examinations'!$A:$P, 11, FALSE)</f>
        <v>OBESITY</v>
      </c>
      <c r="K1114" s="34">
        <v>35644.0</v>
      </c>
      <c r="L1114" s="35">
        <f>VLOOKUP($A1114, 'Hospitalisation Details'!$A:$H, 7, FALSE)</f>
        <v>10141.14</v>
      </c>
      <c r="M1114" s="22" t="str">
        <f>VLOOKUP($A1114, 'Hospitalisation Details'!$A:$L, 12, FALSE)</f>
        <v>tier - 3</v>
      </c>
      <c r="N1114" s="22" t="str">
        <f>VLOOKUP($A1114, 'Hospitalisation Details'!$A:$M, 13, FALSE)</f>
        <v>tier - 1</v>
      </c>
      <c r="O1114" s="22" t="str">
        <f>VLOOKUP($A1114, 'Hospitalisation Details'!$A:$N, 14, FALSE)</f>
        <v>R1016</v>
      </c>
      <c r="P1114" s="36">
        <f>VLOOKUP($A1114, 'Hospitalisation Details'!$A:$O, 15, FALSE)</f>
        <v>48</v>
      </c>
    </row>
    <row r="1115" ht="15.75" customHeight="1">
      <c r="A1115" s="33" t="s">
        <v>2229</v>
      </c>
      <c r="B1115" s="22" t="str">
        <f>VLOOKUP($A1115,'Customer Names'!$A:$D,3, FALSE)</f>
        <v>Schaaf</v>
      </c>
      <c r="C1115" s="22">
        <f>VLOOKUP($A1115,'Medical Examinations'!$A:$D, 2, FALSE)</f>
        <v>47.2</v>
      </c>
      <c r="D1115" s="22">
        <f>VLOOKUP($A1115, 'Medical Examinations'!$A:$D,3, FALSE)</f>
        <v>6.29</v>
      </c>
      <c r="E1115" s="22" t="str">
        <f>VLOOKUP($A1115, 'Medical Examinations'!$A:$D, 4, FALSE)</f>
        <v>Yes</v>
      </c>
      <c r="F1115" s="22" t="str">
        <f>VLOOKUP($A1115, 'Medical Examinations'!$A:$J, 5, FALSE)</f>
        <v>No</v>
      </c>
      <c r="G1115" s="22" t="str">
        <f>VLOOKUP($A1115, 'Medical Examinations'!$A:$I, 6, FALSE)</f>
        <v>Yes</v>
      </c>
      <c r="H1115" s="22">
        <f>VLOOKUP($A1115,'Medical Examinations'!$A:$L,10, FALSE)</f>
        <v>1</v>
      </c>
      <c r="I1115" s="22" t="str">
        <f>VLOOKUP($A1115, 'Medical Examinations'!$A:$J, 9, FALSE)</f>
        <v>No</v>
      </c>
      <c r="J1115" s="22" t="str">
        <f>VLOOKUP($A1115, 'Medical Examinations'!$A:$P, 11, FALSE)</f>
        <v>OBESITY</v>
      </c>
      <c r="K1115" s="34">
        <v>35617.0</v>
      </c>
      <c r="L1115" s="35">
        <f>VLOOKUP($A1115, 'Hospitalisation Details'!$A:$H, 7, FALSE)</f>
        <v>10139.84</v>
      </c>
      <c r="M1115" s="22" t="str">
        <f>VLOOKUP($A1115, 'Hospitalisation Details'!$A:$L, 12, FALSE)</f>
        <v>tier - 3</v>
      </c>
      <c r="N1115" s="22" t="str">
        <f>VLOOKUP($A1115, 'Hospitalisation Details'!$A:$M, 13, FALSE)</f>
        <v>tier - 2</v>
      </c>
      <c r="O1115" s="22" t="str">
        <f>VLOOKUP($A1115, 'Hospitalisation Details'!$A:$N, 14, FALSE)</f>
        <v>R1012</v>
      </c>
      <c r="P1115" s="36">
        <f>VLOOKUP($A1115, 'Hospitalisation Details'!$A:$O, 15, FALSE)</f>
        <v>25</v>
      </c>
    </row>
    <row r="1116" ht="15.75" customHeight="1">
      <c r="A1116" s="33" t="s">
        <v>2231</v>
      </c>
      <c r="B1116" s="22" t="str">
        <f>VLOOKUP($A1116,'Customer Names'!$A:$D,3, FALSE)</f>
        <v>Sack</v>
      </c>
      <c r="C1116" s="22">
        <f>VLOOKUP($A1116,'Medical Examinations'!$A:$D, 2, FALSE)</f>
        <v>31.6</v>
      </c>
      <c r="D1116" s="22">
        <f>VLOOKUP($A1116, 'Medical Examinations'!$A:$D,3, FALSE)</f>
        <v>5.75</v>
      </c>
      <c r="E1116" s="22" t="str">
        <f>VLOOKUP($A1116, 'Medical Examinations'!$A:$D, 4, FALSE)</f>
        <v>No</v>
      </c>
      <c r="F1116" s="22" t="str">
        <f>VLOOKUP($A1116, 'Medical Examinations'!$A:$J, 5, FALSE)</f>
        <v>No</v>
      </c>
      <c r="G1116" s="22" t="str">
        <f>VLOOKUP($A1116, 'Medical Examinations'!$A:$I, 6, FALSE)</f>
        <v>No</v>
      </c>
      <c r="H1116" s="22">
        <f>VLOOKUP($A1116,'Medical Examinations'!$A:$L,10, FALSE)</f>
        <v>2</v>
      </c>
      <c r="I1116" s="22" t="str">
        <f>VLOOKUP($A1116, 'Medical Examinations'!$A:$J, 9, FALSE)</f>
        <v>No</v>
      </c>
      <c r="J1116" s="22" t="str">
        <f>VLOOKUP($A1116, 'Medical Examinations'!$A:$P, 11, FALSE)</f>
        <v>OBESITY</v>
      </c>
      <c r="K1116" s="34">
        <v>35786.0</v>
      </c>
      <c r="L1116" s="35">
        <f>VLOOKUP($A1116, 'Hospitalisation Details'!$A:$H, 7, FALSE)</f>
        <v>10118.42</v>
      </c>
      <c r="M1116" s="22" t="str">
        <f>VLOOKUP($A1116, 'Hospitalisation Details'!$A:$L, 12, FALSE)</f>
        <v>tier - 3</v>
      </c>
      <c r="N1116" s="22" t="str">
        <f>VLOOKUP($A1116, 'Hospitalisation Details'!$A:$M, 13, FALSE)</f>
        <v>tier - 3</v>
      </c>
      <c r="O1116" s="22" t="str">
        <f>VLOOKUP($A1116, 'Hospitalisation Details'!$A:$N, 14, FALSE)</f>
        <v>R1011</v>
      </c>
      <c r="P1116" s="36">
        <f>VLOOKUP($A1116, 'Hospitalisation Details'!$A:$O, 15, FALSE)</f>
        <v>50</v>
      </c>
    </row>
    <row r="1117" ht="15.75" customHeight="1">
      <c r="A1117" s="33" t="s">
        <v>2233</v>
      </c>
      <c r="B1117" s="22" t="str">
        <f>VLOOKUP($A1117,'Customer Names'!$A:$D,3, FALSE)</f>
        <v>Chenard</v>
      </c>
      <c r="C1117" s="22">
        <f>VLOOKUP($A1117,'Medical Examinations'!$A:$D, 2, FALSE)</f>
        <v>33.915</v>
      </c>
      <c r="D1117" s="22">
        <f>VLOOKUP($A1117, 'Medical Examinations'!$A:$D,3, FALSE)</f>
        <v>6.66</v>
      </c>
      <c r="E1117" s="22" t="str">
        <f>VLOOKUP($A1117, 'Medical Examinations'!$A:$D, 4, FALSE)</f>
        <v>Yes</v>
      </c>
      <c r="F1117" s="22" t="str">
        <f>VLOOKUP($A1117, 'Medical Examinations'!$A:$J, 5, FALSE)</f>
        <v>No</v>
      </c>
      <c r="G1117" s="22" t="str">
        <f>VLOOKUP($A1117, 'Medical Examinations'!$A:$I, 6, FALSE)</f>
        <v>No</v>
      </c>
      <c r="H1117" s="22">
        <f>VLOOKUP($A1117,'Medical Examinations'!$A:$L,10, FALSE)</f>
        <v>1</v>
      </c>
      <c r="I1117" s="22" t="str">
        <f>VLOOKUP($A1117, 'Medical Examinations'!$A:$J, 9, FALSE)</f>
        <v>No</v>
      </c>
      <c r="J1117" s="22" t="str">
        <f>VLOOKUP($A1117, 'Medical Examinations'!$A:$P, 11, FALSE)</f>
        <v>OBESITY</v>
      </c>
      <c r="K1117" s="34">
        <v>35616.0</v>
      </c>
      <c r="L1117" s="35">
        <f>VLOOKUP($A1117, 'Hospitalisation Details'!$A:$H, 7, FALSE)</f>
        <v>10115.01</v>
      </c>
      <c r="M1117" s="22" t="str">
        <f>VLOOKUP($A1117, 'Hospitalisation Details'!$A:$L, 12, FALSE)</f>
        <v>tier - 3</v>
      </c>
      <c r="N1117" s="22" t="str">
        <f>VLOOKUP($A1117, 'Hospitalisation Details'!$A:$M, 13, FALSE)</f>
        <v>tier - 3</v>
      </c>
      <c r="O1117" s="22" t="str">
        <f>VLOOKUP($A1117, 'Hospitalisation Details'!$A:$N, 14, FALSE)</f>
        <v>R1012</v>
      </c>
      <c r="P1117" s="36">
        <f>VLOOKUP($A1117, 'Hospitalisation Details'!$A:$O, 15, FALSE)</f>
        <v>47</v>
      </c>
    </row>
    <row r="1118" ht="15.75" customHeight="1">
      <c r="A1118" s="33" t="s">
        <v>2235</v>
      </c>
      <c r="B1118" s="22" t="str">
        <f>VLOOKUP($A1118,'Customer Names'!$A:$D,3, FALSE)</f>
        <v>Williamson</v>
      </c>
      <c r="C1118" s="22">
        <f>VLOOKUP($A1118,'Medical Examinations'!$A:$D, 2, FALSE)</f>
        <v>23.54</v>
      </c>
      <c r="D1118" s="22">
        <f>VLOOKUP($A1118, 'Medical Examinations'!$A:$D,3, FALSE)</f>
        <v>5.1</v>
      </c>
      <c r="E1118" s="22" t="str">
        <f>VLOOKUP($A1118, 'Medical Examinations'!$A:$D, 4, FALSE)</f>
        <v>No</v>
      </c>
      <c r="F1118" s="22" t="str">
        <f>VLOOKUP($A1118, 'Medical Examinations'!$A:$J, 5, FALSE)</f>
        <v>No</v>
      </c>
      <c r="G1118" s="22" t="str">
        <f>VLOOKUP($A1118, 'Medical Examinations'!$A:$I, 6, FALSE)</f>
        <v>No</v>
      </c>
      <c r="H1118" s="22">
        <f>VLOOKUP($A1118,'Medical Examinations'!$A:$L,10, FALSE)</f>
        <v>2</v>
      </c>
      <c r="I1118" s="22" t="str">
        <f>VLOOKUP($A1118, 'Medical Examinations'!$A:$J, 9, FALSE)</f>
        <v>No</v>
      </c>
      <c r="J1118" s="22" t="str">
        <f>VLOOKUP($A1118, 'Medical Examinations'!$A:$P, 11, FALSE)</f>
        <v>NORMAL WEIGHT</v>
      </c>
      <c r="K1118" s="34">
        <v>35349.0</v>
      </c>
      <c r="L1118" s="35">
        <f>VLOOKUP($A1118, 'Hospitalisation Details'!$A:$H, 7, FALSE)</f>
        <v>10107.22</v>
      </c>
      <c r="M1118" s="22" t="str">
        <f>VLOOKUP($A1118, 'Hospitalisation Details'!$A:$L, 12, FALSE)</f>
        <v>tier - 3</v>
      </c>
      <c r="N1118" s="22" t="str">
        <f>VLOOKUP($A1118, 'Hospitalisation Details'!$A:$M, 13, FALSE)</f>
        <v>tier - 1</v>
      </c>
      <c r="O1118" s="22" t="str">
        <f>VLOOKUP($A1118, 'Hospitalisation Details'!$A:$N, 14, FALSE)</f>
        <v>R1013</v>
      </c>
      <c r="P1118" s="36">
        <f>VLOOKUP($A1118, 'Hospitalisation Details'!$A:$O, 15, FALSE)</f>
        <v>50</v>
      </c>
    </row>
    <row r="1119" ht="15.75" customHeight="1">
      <c r="A1119" s="33" t="s">
        <v>2237</v>
      </c>
      <c r="B1119" s="22" t="str">
        <f>VLOOKUP($A1119,'Customer Names'!$A:$D,3, FALSE)</f>
        <v>Dollas</v>
      </c>
      <c r="C1119" s="22">
        <f>VLOOKUP($A1119,'Medical Examinations'!$A:$D, 2, FALSE)</f>
        <v>27.075</v>
      </c>
      <c r="D1119" s="22">
        <f>VLOOKUP($A1119, 'Medical Examinations'!$A:$D,3, FALSE)</f>
        <v>4.41</v>
      </c>
      <c r="E1119" s="22" t="str">
        <f>VLOOKUP($A1119, 'Medical Examinations'!$A:$D, 4, FALSE)</f>
        <v>No</v>
      </c>
      <c r="F1119" s="22" t="str">
        <f>VLOOKUP($A1119, 'Medical Examinations'!$A:$J, 5, FALSE)</f>
        <v>No</v>
      </c>
      <c r="G1119" s="22" t="str">
        <f>VLOOKUP($A1119, 'Medical Examinations'!$A:$I, 6, FALSE)</f>
        <v>No</v>
      </c>
      <c r="H1119" s="22">
        <f>VLOOKUP($A1119,'Medical Examinations'!$A:$L,10, FALSE)</f>
        <v>2</v>
      </c>
      <c r="I1119" s="22" t="str">
        <f>VLOOKUP($A1119, 'Medical Examinations'!$A:$J, 9, FALSE)</f>
        <v>No</v>
      </c>
      <c r="J1119" s="22" t="str">
        <f>VLOOKUP($A1119, 'Medical Examinations'!$A:$P, 11, FALSE)</f>
        <v>OVERWEIGHT</v>
      </c>
      <c r="K1119" s="34">
        <v>28284.0</v>
      </c>
      <c r="L1119" s="35">
        <f>VLOOKUP($A1119, 'Hospitalisation Details'!$A:$H, 7, FALSE)</f>
        <v>10106.13</v>
      </c>
      <c r="M1119" s="22" t="str">
        <f>VLOOKUP($A1119, 'Hospitalisation Details'!$A:$L, 12, FALSE)</f>
        <v>tier - 3</v>
      </c>
      <c r="N1119" s="22" t="str">
        <f>VLOOKUP($A1119, 'Hospitalisation Details'!$A:$M, 13, FALSE)</f>
        <v>tier - 1</v>
      </c>
      <c r="O1119" s="22" t="str">
        <f>VLOOKUP($A1119, 'Hospitalisation Details'!$A:$N, 14, FALSE)</f>
        <v>R1024</v>
      </c>
      <c r="P1119" s="36">
        <f>VLOOKUP($A1119, 'Hospitalisation Details'!$A:$O, 15, FALSE)</f>
        <v>50</v>
      </c>
    </row>
    <row r="1120" ht="15.75" customHeight="1">
      <c r="A1120" s="33" t="s">
        <v>2239</v>
      </c>
      <c r="B1120" s="22" t="str">
        <f>VLOOKUP($A1120,'Customer Names'!$A:$D,3, FALSE)</f>
        <v>Sprague</v>
      </c>
      <c r="C1120" s="22">
        <f>VLOOKUP($A1120,'Medical Examinations'!$A:$D, 2, FALSE)</f>
        <v>25.8</v>
      </c>
      <c r="D1120" s="22">
        <f>VLOOKUP($A1120, 'Medical Examinations'!$A:$D,3, FALSE)</f>
        <v>5.52</v>
      </c>
      <c r="E1120" s="22" t="str">
        <f>VLOOKUP($A1120, 'Medical Examinations'!$A:$D, 4, FALSE)</f>
        <v>Yes</v>
      </c>
      <c r="F1120" s="22" t="str">
        <f>VLOOKUP($A1120, 'Medical Examinations'!$A:$J, 5, FALSE)</f>
        <v>No</v>
      </c>
      <c r="G1120" s="22" t="str">
        <f>VLOOKUP($A1120, 'Medical Examinations'!$A:$I, 6, FALSE)</f>
        <v>No</v>
      </c>
      <c r="H1120" s="22">
        <f>VLOOKUP($A1120,'Medical Examinations'!$A:$L,10, FALSE)</f>
        <v>0</v>
      </c>
      <c r="I1120" s="22" t="str">
        <f>VLOOKUP($A1120, 'Medical Examinations'!$A:$J, 9, FALSE)</f>
        <v>No</v>
      </c>
      <c r="J1120" s="22" t="str">
        <f>VLOOKUP($A1120, 'Medical Examinations'!$A:$P, 11, FALSE)</f>
        <v>OVERWEIGHT</v>
      </c>
      <c r="K1120" s="34">
        <v>26203.0</v>
      </c>
      <c r="L1120" s="35">
        <f>VLOOKUP($A1120, 'Hospitalisation Details'!$A:$H, 7, FALSE)</f>
        <v>10096.97</v>
      </c>
      <c r="M1120" s="22" t="str">
        <f>VLOOKUP($A1120, 'Hospitalisation Details'!$A:$L, 12, FALSE)</f>
        <v>tier - 3</v>
      </c>
      <c r="N1120" s="22" t="str">
        <f>VLOOKUP($A1120, 'Hospitalisation Details'!$A:$M, 13, FALSE)</f>
        <v>tier - 2</v>
      </c>
      <c r="O1120" s="22" t="str">
        <f>VLOOKUP($A1120, 'Hospitalisation Details'!$A:$N, 14, FALSE)</f>
        <v>R1011</v>
      </c>
      <c r="P1120" s="36">
        <f>VLOOKUP($A1120, 'Hospitalisation Details'!$A:$O, 15, FALSE)</f>
        <v>46</v>
      </c>
    </row>
    <row r="1121" ht="15.75" customHeight="1">
      <c r="A1121" s="33" t="s">
        <v>2241</v>
      </c>
      <c r="B1121" s="22" t="str">
        <f>VLOOKUP($A1121,'Customer Names'!$A:$D,3, FALSE)</f>
        <v>Michell</v>
      </c>
      <c r="C1121" s="22">
        <f>VLOOKUP($A1121,'Medical Examinations'!$A:$D, 2, FALSE)</f>
        <v>36.1</v>
      </c>
      <c r="D1121" s="22">
        <f>VLOOKUP($A1121, 'Medical Examinations'!$A:$D,3, FALSE)</f>
        <v>4.62</v>
      </c>
      <c r="E1121" s="22" t="str">
        <f>VLOOKUP($A1121, 'Medical Examinations'!$A:$D, 4, FALSE)</f>
        <v>Yes</v>
      </c>
      <c r="F1121" s="22" t="str">
        <f>VLOOKUP($A1121, 'Medical Examinations'!$A:$J, 5, FALSE)</f>
        <v>No</v>
      </c>
      <c r="G1121" s="22" t="str">
        <f>VLOOKUP($A1121, 'Medical Examinations'!$A:$I, 6, FALSE)</f>
        <v>Yes</v>
      </c>
      <c r="H1121" s="22">
        <f>VLOOKUP($A1121,'Medical Examinations'!$A:$L,10, FALSE)</f>
        <v>1</v>
      </c>
      <c r="I1121" s="22" t="str">
        <f>VLOOKUP($A1121, 'Medical Examinations'!$A:$J, 9, FALSE)</f>
        <v>No</v>
      </c>
      <c r="J1121" s="22" t="str">
        <f>VLOOKUP($A1121, 'Medical Examinations'!$A:$P, 11, FALSE)</f>
        <v>OBESITY</v>
      </c>
      <c r="K1121" s="34">
        <v>35593.0</v>
      </c>
      <c r="L1121" s="35">
        <f>VLOOKUP($A1121, 'Hospitalisation Details'!$A:$H, 7, FALSE)</f>
        <v>10085.85</v>
      </c>
      <c r="M1121" s="22" t="str">
        <f>VLOOKUP($A1121, 'Hospitalisation Details'!$A:$L, 12, FALSE)</f>
        <v>tier - 3</v>
      </c>
      <c r="N1121" s="22" t="str">
        <f>VLOOKUP($A1121, 'Hospitalisation Details'!$A:$M, 13, FALSE)</f>
        <v>tier - 3</v>
      </c>
      <c r="O1121" s="22" t="str">
        <f>VLOOKUP($A1121, 'Hospitalisation Details'!$A:$N, 14, FALSE)</f>
        <v>R1011</v>
      </c>
      <c r="P1121" s="36">
        <f>VLOOKUP($A1121, 'Hospitalisation Details'!$A:$O, 15, FALSE)</f>
        <v>53</v>
      </c>
    </row>
    <row r="1122" ht="15.75" customHeight="1">
      <c r="A1122" s="33" t="s">
        <v>2243</v>
      </c>
      <c r="B1122" s="22" t="str">
        <f>VLOOKUP($A1122,'Customer Names'!$A:$D,3, FALSE)</f>
        <v>Datwyler</v>
      </c>
      <c r="C1122" s="22">
        <f>VLOOKUP($A1122,'Medical Examinations'!$A:$D, 2, FALSE)</f>
        <v>30.495</v>
      </c>
      <c r="D1122" s="22">
        <f>VLOOKUP($A1122, 'Medical Examinations'!$A:$D,3, FALSE)</f>
        <v>5.74</v>
      </c>
      <c r="E1122" s="22" t="str">
        <f>VLOOKUP($A1122, 'Medical Examinations'!$A:$D, 4, FALSE)</f>
        <v>Yes</v>
      </c>
      <c r="F1122" s="22" t="str">
        <f>VLOOKUP($A1122, 'Medical Examinations'!$A:$J, 5, FALSE)</f>
        <v>No</v>
      </c>
      <c r="G1122" s="22" t="str">
        <f>VLOOKUP($A1122, 'Medical Examinations'!$A:$I, 6, FALSE)</f>
        <v>Yes</v>
      </c>
      <c r="H1122" s="22">
        <f>VLOOKUP($A1122,'Medical Examinations'!$A:$L,10, FALSE)</f>
        <v>1</v>
      </c>
      <c r="I1122" s="22" t="str">
        <f>VLOOKUP($A1122, 'Medical Examinations'!$A:$J, 9, FALSE)</f>
        <v>No</v>
      </c>
      <c r="J1122" s="22" t="str">
        <f>VLOOKUP($A1122, 'Medical Examinations'!$A:$P, 11, FALSE)</f>
        <v>OBESITY</v>
      </c>
      <c r="K1122" s="34">
        <v>37136.0</v>
      </c>
      <c r="L1122" s="35">
        <f>VLOOKUP($A1122, 'Hospitalisation Details'!$A:$H, 7, FALSE)</f>
        <v>10072.06</v>
      </c>
      <c r="M1122" s="22" t="str">
        <f>VLOOKUP($A1122, 'Hospitalisation Details'!$A:$L, 12, FALSE)</f>
        <v>tier - 3</v>
      </c>
      <c r="N1122" s="22" t="str">
        <f>VLOOKUP($A1122, 'Hospitalisation Details'!$A:$M, 13, FALSE)</f>
        <v>tier - 1</v>
      </c>
      <c r="O1122" s="22" t="str">
        <f>VLOOKUP($A1122, 'Hospitalisation Details'!$A:$N, 14, FALSE)</f>
        <v>R1017</v>
      </c>
      <c r="P1122" s="36">
        <f>VLOOKUP($A1122, 'Hospitalisation Details'!$A:$O, 15, FALSE)</f>
        <v>53</v>
      </c>
    </row>
    <row r="1123" ht="15.75" customHeight="1">
      <c r="A1123" s="33" t="s">
        <v>2245</v>
      </c>
      <c r="B1123" s="22" t="str">
        <f>VLOOKUP($A1123,'Customer Names'!$A:$D,3, FALSE)</f>
        <v>Mead</v>
      </c>
      <c r="C1123" s="22">
        <f>VLOOKUP($A1123,'Medical Examinations'!$A:$D, 2, FALSE)</f>
        <v>21.4</v>
      </c>
      <c r="D1123" s="22">
        <f>VLOOKUP($A1123, 'Medical Examinations'!$A:$D,3, FALSE)</f>
        <v>6.3</v>
      </c>
      <c r="E1123" s="22" t="str">
        <f>VLOOKUP($A1123, 'Medical Examinations'!$A:$D, 4, FALSE)</f>
        <v>Yes</v>
      </c>
      <c r="F1123" s="22" t="str">
        <f>VLOOKUP($A1123, 'Medical Examinations'!$A:$J, 5, FALSE)</f>
        <v>No</v>
      </c>
      <c r="G1123" s="22" t="str">
        <f>VLOOKUP($A1123, 'Medical Examinations'!$A:$I, 6, FALSE)</f>
        <v>Yes</v>
      </c>
      <c r="H1123" s="22">
        <f>VLOOKUP($A1123,'Medical Examinations'!$A:$L,10, FALSE)</f>
        <v>1</v>
      </c>
      <c r="I1123" s="22" t="str">
        <f>VLOOKUP($A1123, 'Medical Examinations'!$A:$J, 9, FALSE)</f>
        <v>No</v>
      </c>
      <c r="J1123" s="22" t="str">
        <f>VLOOKUP($A1123, 'Medical Examinations'!$A:$P, 11, FALSE)</f>
        <v>NORMAL WEIGHT</v>
      </c>
      <c r="K1123" s="34">
        <v>36792.0</v>
      </c>
      <c r="L1123" s="35">
        <f>VLOOKUP($A1123, 'Hospitalisation Details'!$A:$H, 7, FALSE)</f>
        <v>10065.41</v>
      </c>
      <c r="M1123" s="22" t="str">
        <f>VLOOKUP($A1123, 'Hospitalisation Details'!$A:$L, 12, FALSE)</f>
        <v>tier - 3</v>
      </c>
      <c r="N1123" s="22" t="str">
        <f>VLOOKUP($A1123, 'Hospitalisation Details'!$A:$M, 13, FALSE)</f>
        <v>tier - 2</v>
      </c>
      <c r="O1123" s="22" t="str">
        <f>VLOOKUP($A1123, 'Hospitalisation Details'!$A:$N, 14, FALSE)</f>
        <v>R1011</v>
      </c>
      <c r="P1123" s="36">
        <f>VLOOKUP($A1123, 'Hospitalisation Details'!$A:$O, 15, FALSE)</f>
        <v>53</v>
      </c>
    </row>
    <row r="1124" ht="15.75" customHeight="1">
      <c r="A1124" s="33" t="s">
        <v>2247</v>
      </c>
      <c r="B1124" s="22" t="str">
        <f>VLOOKUP($A1124,'Customer Names'!$A:$D,3, FALSE)</f>
        <v>Kennedy</v>
      </c>
      <c r="C1124" s="22">
        <f>VLOOKUP($A1124,'Medical Examinations'!$A:$D, 2, FALSE)</f>
        <v>32.3</v>
      </c>
      <c r="D1124" s="22">
        <f>VLOOKUP($A1124, 'Medical Examinations'!$A:$D,3, FALSE)</f>
        <v>10.27</v>
      </c>
      <c r="E1124" s="22" t="str">
        <f>VLOOKUP($A1124, 'Medical Examinations'!$A:$D, 4, FALSE)</f>
        <v>No</v>
      </c>
      <c r="F1124" s="22" t="str">
        <f>VLOOKUP($A1124, 'Medical Examinations'!$A:$J, 5, FALSE)</f>
        <v>No</v>
      </c>
      <c r="G1124" s="22" t="str">
        <f>VLOOKUP($A1124, 'Medical Examinations'!$A:$I, 6, FALSE)</f>
        <v>No</v>
      </c>
      <c r="H1124" s="22">
        <f>VLOOKUP($A1124,'Medical Examinations'!$A:$L,10, FALSE)</f>
        <v>0</v>
      </c>
      <c r="I1124" s="22" t="str">
        <f>VLOOKUP($A1124, 'Medical Examinations'!$A:$J, 9, FALSE)</f>
        <v>No</v>
      </c>
      <c r="J1124" s="22" t="str">
        <f>VLOOKUP($A1124, 'Medical Examinations'!$A:$P, 11, FALSE)</f>
        <v>OBESITY</v>
      </c>
      <c r="K1124" s="34">
        <v>35249.0</v>
      </c>
      <c r="L1124" s="35">
        <f>VLOOKUP($A1124, 'Hospitalisation Details'!$A:$H, 7, FALSE)</f>
        <v>10043.25</v>
      </c>
      <c r="M1124" s="22" t="str">
        <f>VLOOKUP($A1124, 'Hospitalisation Details'!$A:$L, 12, FALSE)</f>
        <v>tier - 3</v>
      </c>
      <c r="N1124" s="22" t="str">
        <f>VLOOKUP($A1124, 'Hospitalisation Details'!$A:$M, 13, FALSE)</f>
        <v>tier - 2</v>
      </c>
      <c r="O1124" s="22" t="str">
        <f>VLOOKUP($A1124, 'Hospitalisation Details'!$A:$N, 14, FALSE)</f>
        <v>R1024</v>
      </c>
      <c r="P1124" s="36">
        <f>VLOOKUP($A1124, 'Hospitalisation Details'!$A:$O, 15, FALSE)</f>
        <v>48</v>
      </c>
    </row>
    <row r="1125" ht="15.75" customHeight="1">
      <c r="A1125" s="33" t="s">
        <v>2249</v>
      </c>
      <c r="B1125" s="22" t="str">
        <f>VLOOKUP($A1125,'Customer Names'!$A:$D,3, FALSE)</f>
        <v>Czech</v>
      </c>
      <c r="C1125" s="22">
        <f>VLOOKUP($A1125,'Medical Examinations'!$A:$D, 2, FALSE)</f>
        <v>29.78</v>
      </c>
      <c r="D1125" s="22">
        <f>VLOOKUP($A1125, 'Medical Examinations'!$A:$D,3, FALSE)</f>
        <v>5.85</v>
      </c>
      <c r="E1125" s="22" t="str">
        <f>VLOOKUP($A1125, 'Medical Examinations'!$A:$D, 4, FALSE)</f>
        <v>No</v>
      </c>
      <c r="F1125" s="22" t="str">
        <f>VLOOKUP($A1125, 'Medical Examinations'!$A:$J, 5, FALSE)</f>
        <v>No</v>
      </c>
      <c r="G1125" s="22" t="str">
        <f>VLOOKUP($A1125, 'Medical Examinations'!$A:$I, 6, FALSE)</f>
        <v>Yes</v>
      </c>
      <c r="H1125" s="22">
        <f>VLOOKUP($A1125,'Medical Examinations'!$A:$L,10, FALSE)</f>
        <v>1</v>
      </c>
      <c r="I1125" s="22" t="str">
        <f>VLOOKUP($A1125, 'Medical Examinations'!$A:$J, 9, FALSE)</f>
        <v>No</v>
      </c>
      <c r="J1125" s="22" t="str">
        <f>VLOOKUP($A1125, 'Medical Examinations'!$A:$P, 11, FALSE)</f>
        <v>OVERWEIGHT</v>
      </c>
      <c r="K1125" s="34">
        <v>35291.0</v>
      </c>
      <c r="L1125" s="35">
        <f>VLOOKUP($A1125, 'Hospitalisation Details'!$A:$H, 7, FALSE)</f>
        <v>10027.15</v>
      </c>
      <c r="M1125" s="22" t="str">
        <f>VLOOKUP($A1125, 'Hospitalisation Details'!$A:$L, 12, FALSE)</f>
        <v>tier - 3</v>
      </c>
      <c r="N1125" s="22" t="str">
        <f>VLOOKUP($A1125, 'Hospitalisation Details'!$A:$M, 13, FALSE)</f>
        <v>tier - 1</v>
      </c>
      <c r="O1125" s="22" t="str">
        <f>VLOOKUP($A1125, 'Hospitalisation Details'!$A:$N, 14, FALSE)</f>
        <v>R1021</v>
      </c>
      <c r="P1125" s="36">
        <f>VLOOKUP($A1125, 'Hospitalisation Details'!$A:$O, 15, FALSE)</f>
        <v>43</v>
      </c>
    </row>
    <row r="1126" ht="15.75" customHeight="1">
      <c r="A1126" s="33" t="s">
        <v>2251</v>
      </c>
      <c r="B1126" s="22" t="str">
        <f>VLOOKUP($A1126,'Customer Names'!$A:$D,3, FALSE)</f>
        <v>O'Brien</v>
      </c>
      <c r="C1126" s="22">
        <f>VLOOKUP($A1126,'Medical Examinations'!$A:$D, 2, FALSE)</f>
        <v>34.76</v>
      </c>
      <c r="D1126" s="22">
        <f>VLOOKUP($A1126, 'Medical Examinations'!$A:$D,3, FALSE)</f>
        <v>5.92</v>
      </c>
      <c r="E1126" s="22" t="str">
        <f>VLOOKUP($A1126, 'Medical Examinations'!$A:$D, 4, FALSE)</f>
        <v>Yes</v>
      </c>
      <c r="F1126" s="22" t="str">
        <f>VLOOKUP($A1126, 'Medical Examinations'!$A:$J, 5, FALSE)</f>
        <v>No</v>
      </c>
      <c r="G1126" s="22" t="str">
        <f>VLOOKUP($A1126, 'Medical Examinations'!$A:$I, 6, FALSE)</f>
        <v>No</v>
      </c>
      <c r="H1126" s="22">
        <f>VLOOKUP($A1126,'Medical Examinations'!$A:$L,10, FALSE)</f>
        <v>1</v>
      </c>
      <c r="I1126" s="22" t="str">
        <f>VLOOKUP($A1126, 'Medical Examinations'!$A:$J, 9, FALSE)</f>
        <v>No</v>
      </c>
      <c r="J1126" s="22" t="str">
        <f>VLOOKUP($A1126, 'Medical Examinations'!$A:$P, 11, FALSE)</f>
        <v>OBESITY</v>
      </c>
      <c r="K1126" s="34">
        <v>34521.0</v>
      </c>
      <c r="L1126" s="35">
        <f>VLOOKUP($A1126, 'Hospitalisation Details'!$A:$H, 7, FALSE)</f>
        <v>10011.44</v>
      </c>
      <c r="M1126" s="22" t="str">
        <f>VLOOKUP($A1126, 'Hospitalisation Details'!$A:$L, 12, FALSE)</f>
        <v>tier - 3</v>
      </c>
      <c r="N1126" s="22" t="str">
        <f>VLOOKUP($A1126, 'Hospitalisation Details'!$A:$M, 13, FALSE)</f>
        <v>tier - 3</v>
      </c>
      <c r="O1126" s="22" t="str">
        <f>VLOOKUP($A1126, 'Hospitalisation Details'!$A:$N, 14, FALSE)</f>
        <v>R1026</v>
      </c>
      <c r="P1126" s="36">
        <f>VLOOKUP($A1126, 'Hospitalisation Details'!$A:$O, 15, FALSE)</f>
        <v>34</v>
      </c>
    </row>
    <row r="1127" ht="15.75" customHeight="1">
      <c r="A1127" s="33" t="s">
        <v>2253</v>
      </c>
      <c r="B1127" s="22" t="str">
        <f>VLOOKUP($A1127,'Customer Names'!$A:$D,3, FALSE)</f>
        <v>Bachman</v>
      </c>
      <c r="C1127" s="22">
        <f>VLOOKUP($A1127,'Medical Examinations'!$A:$D, 2, FALSE)</f>
        <v>18.335</v>
      </c>
      <c r="D1127" s="22">
        <f>VLOOKUP($A1127, 'Medical Examinations'!$A:$D,3, FALSE)</f>
        <v>10.01</v>
      </c>
      <c r="E1127" s="22" t="str">
        <f>VLOOKUP($A1127, 'Medical Examinations'!$A:$D, 4, FALSE)</f>
        <v>Yes</v>
      </c>
      <c r="F1127" s="22" t="str">
        <f>VLOOKUP($A1127, 'Medical Examinations'!$A:$J, 5, FALSE)</f>
        <v>No</v>
      </c>
      <c r="G1127" s="22" t="str">
        <f>VLOOKUP($A1127, 'Medical Examinations'!$A:$I, 6, FALSE)</f>
        <v>No</v>
      </c>
      <c r="H1127" s="22">
        <f>VLOOKUP($A1127,'Medical Examinations'!$A:$L,10, FALSE)</f>
        <v>2</v>
      </c>
      <c r="I1127" s="22" t="str">
        <f>VLOOKUP($A1127, 'Medical Examinations'!$A:$J, 9, FALSE)</f>
        <v>No</v>
      </c>
      <c r="J1127" s="22" t="str">
        <f>VLOOKUP($A1127, 'Medical Examinations'!$A:$P, 11, FALSE)</f>
        <v>UNDERWEIGHT</v>
      </c>
      <c r="K1127" s="34">
        <v>34632.0</v>
      </c>
      <c r="L1127" s="35">
        <f>VLOOKUP($A1127, 'Hospitalisation Details'!$A:$H, 7, FALSE)</f>
        <v>9991.04</v>
      </c>
      <c r="M1127" s="22" t="str">
        <f>VLOOKUP($A1127, 'Hospitalisation Details'!$A:$L, 12, FALSE)</f>
        <v>tier - 2</v>
      </c>
      <c r="N1127" s="22" t="str">
        <f>VLOOKUP($A1127, 'Hospitalisation Details'!$A:$M, 13, FALSE)</f>
        <v>tier - 3</v>
      </c>
      <c r="O1127" s="22" t="str">
        <f>VLOOKUP($A1127, 'Hospitalisation Details'!$A:$N, 14, FALSE)</f>
        <v>R1012</v>
      </c>
      <c r="P1127" s="36">
        <f>VLOOKUP($A1127, 'Hospitalisation Details'!$A:$O, 15, FALSE)</f>
        <v>52</v>
      </c>
    </row>
    <row r="1128" ht="15.75" customHeight="1">
      <c r="A1128" s="33" t="s">
        <v>2255</v>
      </c>
      <c r="B1128" s="22" t="str">
        <f>VLOOKUP($A1128,'Customer Names'!$A:$D,3, FALSE)</f>
        <v>Bednar</v>
      </c>
      <c r="C1128" s="22">
        <f>VLOOKUP($A1128,'Medical Examinations'!$A:$D, 2, FALSE)</f>
        <v>32.3</v>
      </c>
      <c r="D1128" s="22">
        <f>VLOOKUP($A1128, 'Medical Examinations'!$A:$D,3, FALSE)</f>
        <v>9.59</v>
      </c>
      <c r="E1128" s="22" t="str">
        <f>VLOOKUP($A1128, 'Medical Examinations'!$A:$D, 4, FALSE)</f>
        <v>No</v>
      </c>
      <c r="F1128" s="22" t="str">
        <f>VLOOKUP($A1128, 'Medical Examinations'!$A:$J, 5, FALSE)</f>
        <v>No</v>
      </c>
      <c r="G1128" s="22" t="str">
        <f>VLOOKUP($A1128, 'Medical Examinations'!$A:$I, 6, FALSE)</f>
        <v>No</v>
      </c>
      <c r="H1128" s="22">
        <f>VLOOKUP($A1128,'Medical Examinations'!$A:$L,10, FALSE)</f>
        <v>0</v>
      </c>
      <c r="I1128" s="22" t="str">
        <f>VLOOKUP($A1128, 'Medical Examinations'!$A:$J, 9, FALSE)</f>
        <v>No</v>
      </c>
      <c r="J1128" s="22" t="str">
        <f>VLOOKUP($A1128, 'Medical Examinations'!$A:$P, 11, FALSE)</f>
        <v>OBESITY</v>
      </c>
      <c r="K1128" s="34">
        <v>37132.0</v>
      </c>
      <c r="L1128" s="35">
        <f>VLOOKUP($A1128, 'Hospitalisation Details'!$A:$H, 7, FALSE)</f>
        <v>9964.06</v>
      </c>
      <c r="M1128" s="22" t="str">
        <f>VLOOKUP($A1128, 'Hospitalisation Details'!$A:$L, 12, FALSE)</f>
        <v>tier - 2</v>
      </c>
      <c r="N1128" s="22" t="str">
        <f>VLOOKUP($A1128, 'Hospitalisation Details'!$A:$M, 13, FALSE)</f>
        <v>tier - 2</v>
      </c>
      <c r="O1128" s="22" t="str">
        <f>VLOOKUP($A1128, 'Hospitalisation Details'!$A:$N, 14, FALSE)</f>
        <v>R1019</v>
      </c>
      <c r="P1128" s="36">
        <f>VLOOKUP($A1128, 'Hospitalisation Details'!$A:$O, 15, FALSE)</f>
        <v>51</v>
      </c>
    </row>
    <row r="1129" ht="15.75" customHeight="1">
      <c r="A1129" s="33" t="s">
        <v>2257</v>
      </c>
      <c r="B1129" s="22" t="str">
        <f>VLOOKUP($A1129,'Customer Names'!$A:$D,3, FALSE)</f>
        <v>Daye</v>
      </c>
      <c r="C1129" s="22">
        <f>VLOOKUP($A1129,'Medical Examinations'!$A:$D, 2, FALSE)</f>
        <v>27.74</v>
      </c>
      <c r="D1129" s="22">
        <f>VLOOKUP($A1129, 'Medical Examinations'!$A:$D,3, FALSE)</f>
        <v>10.37</v>
      </c>
      <c r="E1129" s="22" t="str">
        <f>VLOOKUP($A1129, 'Medical Examinations'!$A:$D, 4, FALSE)</f>
        <v>No</v>
      </c>
      <c r="F1129" s="22" t="str">
        <f>VLOOKUP($A1129, 'Medical Examinations'!$A:$J, 5, FALSE)</f>
        <v>No</v>
      </c>
      <c r="G1129" s="22" t="str">
        <f>VLOOKUP($A1129, 'Medical Examinations'!$A:$I, 6, FALSE)</f>
        <v>No</v>
      </c>
      <c r="H1129" s="22">
        <f>VLOOKUP($A1129,'Medical Examinations'!$A:$L,10, FALSE)</f>
        <v>0</v>
      </c>
      <c r="I1129" s="22" t="str">
        <f>VLOOKUP($A1129, 'Medical Examinations'!$A:$J, 9, FALSE)</f>
        <v>No</v>
      </c>
      <c r="J1129" s="22" t="str">
        <f>VLOOKUP($A1129, 'Medical Examinations'!$A:$P, 11, FALSE)</f>
        <v>OVERWEIGHT</v>
      </c>
      <c r="K1129" s="34">
        <v>34237.0</v>
      </c>
      <c r="L1129" s="35">
        <f>VLOOKUP($A1129, 'Hospitalisation Details'!$A:$H, 7, FALSE)</f>
        <v>9957.72</v>
      </c>
      <c r="M1129" s="22" t="str">
        <f>VLOOKUP($A1129, 'Hospitalisation Details'!$A:$L, 12, FALSE)</f>
        <v>tier - 2</v>
      </c>
      <c r="N1129" s="22" t="str">
        <f>VLOOKUP($A1129, 'Hospitalisation Details'!$A:$M, 13, FALSE)</f>
        <v>tier - 3</v>
      </c>
      <c r="O1129" s="22" t="str">
        <f>VLOOKUP($A1129, 'Hospitalisation Details'!$A:$N, 14, FALSE)</f>
        <v>R1018</v>
      </c>
      <c r="P1129" s="36">
        <f>VLOOKUP($A1129, 'Hospitalisation Details'!$A:$O, 15, FALSE)</f>
        <v>51</v>
      </c>
    </row>
    <row r="1130" ht="15.75" customHeight="1">
      <c r="A1130" s="33" t="s">
        <v>2259</v>
      </c>
      <c r="B1130" s="22" t="str">
        <f>VLOOKUP($A1130,'Customer Names'!$A:$D,3, FALSE)</f>
        <v>Clarke</v>
      </c>
      <c r="C1130" s="22">
        <f>VLOOKUP($A1130,'Medical Examinations'!$A:$D, 2, FALSE)</f>
        <v>24</v>
      </c>
      <c r="D1130" s="22">
        <f>VLOOKUP($A1130, 'Medical Examinations'!$A:$D,3, FALSE)</f>
        <v>4.01</v>
      </c>
      <c r="E1130" s="22" t="str">
        <f>VLOOKUP($A1130, 'Medical Examinations'!$A:$D, 4, FALSE)</f>
        <v>Yes</v>
      </c>
      <c r="F1130" s="22" t="str">
        <f>VLOOKUP($A1130, 'Medical Examinations'!$A:$J, 5, FALSE)</f>
        <v>No</v>
      </c>
      <c r="G1130" s="22" t="str">
        <f>VLOOKUP($A1130, 'Medical Examinations'!$A:$I, 6, FALSE)</f>
        <v>No</v>
      </c>
      <c r="H1130" s="22">
        <f>VLOOKUP($A1130,'Medical Examinations'!$A:$L,10, FALSE)</f>
        <v>1</v>
      </c>
      <c r="I1130" s="22" t="str">
        <f>VLOOKUP($A1130, 'Medical Examinations'!$A:$J, 9, FALSE)</f>
        <v>No</v>
      </c>
      <c r="J1130" s="22" t="str">
        <f>VLOOKUP($A1130, 'Medical Examinations'!$A:$P, 11, FALSE)</f>
        <v>NORMAL WEIGHT</v>
      </c>
      <c r="K1130" s="34">
        <v>34525.0</v>
      </c>
      <c r="L1130" s="35">
        <f>VLOOKUP($A1130, 'Hospitalisation Details'!$A:$H, 7, FALSE)</f>
        <v>9933.44</v>
      </c>
      <c r="M1130" s="22" t="str">
        <f>VLOOKUP($A1130, 'Hospitalisation Details'!$A:$L, 12, FALSE)</f>
        <v>tier - 3</v>
      </c>
      <c r="N1130" s="22" t="str">
        <f>VLOOKUP($A1130, 'Hospitalisation Details'!$A:$M, 13, FALSE)</f>
        <v>tier - 3</v>
      </c>
      <c r="O1130" s="22" t="str">
        <f>VLOOKUP($A1130, 'Hospitalisation Details'!$A:$N, 14, FALSE)</f>
        <v>R1013</v>
      </c>
      <c r="P1130" s="36">
        <f>VLOOKUP($A1130, 'Hospitalisation Details'!$A:$O, 15, FALSE)</f>
        <v>58</v>
      </c>
    </row>
    <row r="1131" ht="15.75" customHeight="1">
      <c r="A1131" s="33" t="s">
        <v>2261</v>
      </c>
      <c r="B1131" s="22" t="str">
        <f>VLOOKUP($A1131,'Customer Names'!$A:$D,3, FALSE)</f>
        <v>Koren</v>
      </c>
      <c r="C1131" s="22">
        <f>VLOOKUP($A1131,'Medical Examinations'!$A:$D, 2, FALSE)</f>
        <v>31.78</v>
      </c>
      <c r="D1131" s="22">
        <f>VLOOKUP($A1131, 'Medical Examinations'!$A:$D,3, FALSE)</f>
        <v>4.24</v>
      </c>
      <c r="E1131" s="22" t="str">
        <f>VLOOKUP($A1131, 'Medical Examinations'!$A:$D, 4, FALSE)</f>
        <v>Yes</v>
      </c>
      <c r="F1131" s="22" t="str">
        <f>VLOOKUP($A1131, 'Medical Examinations'!$A:$J, 5, FALSE)</f>
        <v>No</v>
      </c>
      <c r="G1131" s="22" t="str">
        <f>VLOOKUP($A1131, 'Medical Examinations'!$A:$I, 6, FALSE)</f>
        <v>Yes</v>
      </c>
      <c r="H1131" s="22">
        <f>VLOOKUP($A1131,'Medical Examinations'!$A:$L,10, FALSE)</f>
        <v>1</v>
      </c>
      <c r="I1131" s="22" t="str">
        <f>VLOOKUP($A1131, 'Medical Examinations'!$A:$J, 9, FALSE)</f>
        <v>No</v>
      </c>
      <c r="J1131" s="22" t="str">
        <f>VLOOKUP($A1131, 'Medical Examinations'!$A:$P, 11, FALSE)</f>
        <v>OBESITY</v>
      </c>
      <c r="K1131" s="34">
        <v>36336.0</v>
      </c>
      <c r="L1131" s="35">
        <f>VLOOKUP($A1131, 'Hospitalisation Details'!$A:$H, 7, FALSE)</f>
        <v>9931.96</v>
      </c>
      <c r="M1131" s="22" t="str">
        <f>VLOOKUP($A1131, 'Hospitalisation Details'!$A:$L, 12, FALSE)</f>
        <v>tier - 2</v>
      </c>
      <c r="N1131" s="22" t="str">
        <f>VLOOKUP($A1131, 'Hospitalisation Details'!$A:$M, 13, FALSE)</f>
        <v>tier - 2</v>
      </c>
      <c r="O1131" s="22" t="str">
        <f>VLOOKUP($A1131, 'Hospitalisation Details'!$A:$N, 14, FALSE)</f>
        <v>R1012</v>
      </c>
      <c r="P1131" s="36">
        <f>VLOOKUP($A1131, 'Hospitalisation Details'!$A:$O, 15, FALSE)</f>
        <v>39</v>
      </c>
    </row>
    <row r="1132" ht="15.75" customHeight="1">
      <c r="A1132" s="33" t="s">
        <v>2263</v>
      </c>
      <c r="B1132" s="22" t="str">
        <f>VLOOKUP($A1132,'Customer Names'!$A:$D,3, FALSE)</f>
        <v>Kuramoto</v>
      </c>
      <c r="C1132" s="22">
        <f>VLOOKUP($A1132,'Medical Examinations'!$A:$D, 2, FALSE)</f>
        <v>32.25</v>
      </c>
      <c r="D1132" s="22">
        <f>VLOOKUP($A1132, 'Medical Examinations'!$A:$D,3, FALSE)</f>
        <v>5.36</v>
      </c>
      <c r="E1132" s="22" t="str">
        <f>VLOOKUP($A1132, 'Medical Examinations'!$A:$D, 4, FALSE)</f>
        <v>Yes</v>
      </c>
      <c r="F1132" s="22" t="str">
        <f>VLOOKUP($A1132, 'Medical Examinations'!$A:$J, 5, FALSE)</f>
        <v>No</v>
      </c>
      <c r="G1132" s="22" t="str">
        <f>VLOOKUP($A1132, 'Medical Examinations'!$A:$I, 6, FALSE)</f>
        <v>No</v>
      </c>
      <c r="H1132" s="22">
        <f>VLOOKUP($A1132,'Medical Examinations'!$A:$L,10, FALSE)</f>
        <v>0</v>
      </c>
      <c r="I1132" s="22" t="str">
        <f>VLOOKUP($A1132, 'Medical Examinations'!$A:$J, 9, FALSE)</f>
        <v>No</v>
      </c>
      <c r="J1132" s="22" t="str">
        <f>VLOOKUP($A1132, 'Medical Examinations'!$A:$P, 11, FALSE)</f>
        <v>OBESITY</v>
      </c>
      <c r="K1132" s="34">
        <v>29163.0</v>
      </c>
      <c r="L1132" s="35">
        <f>VLOOKUP($A1132, 'Hospitalisation Details'!$A:$H, 7, FALSE)</f>
        <v>9930.64</v>
      </c>
      <c r="M1132" s="22" t="str">
        <f>VLOOKUP($A1132, 'Hospitalisation Details'!$A:$L, 12, FALSE)</f>
        <v>tier - 2</v>
      </c>
      <c r="N1132" s="22" t="str">
        <f>VLOOKUP($A1132, 'Hospitalisation Details'!$A:$M, 13, FALSE)</f>
        <v>tier - 3</v>
      </c>
      <c r="O1132" s="22" t="str">
        <f>VLOOKUP($A1132, 'Hospitalisation Details'!$A:$N, 14, FALSE)</f>
        <v>R1025</v>
      </c>
      <c r="P1132" s="36">
        <f>VLOOKUP($A1132, 'Hospitalisation Details'!$A:$O, 15, FALSE)</f>
        <v>37</v>
      </c>
    </row>
    <row r="1133" ht="15.75" customHeight="1">
      <c r="A1133" s="33" t="s">
        <v>2265</v>
      </c>
      <c r="B1133" s="22" t="str">
        <f>VLOOKUP($A1133,'Customer Names'!$A:$D,3, FALSE)</f>
        <v>Lynn</v>
      </c>
      <c r="C1133" s="22">
        <f>VLOOKUP($A1133,'Medical Examinations'!$A:$D, 2, FALSE)</f>
        <v>30.115</v>
      </c>
      <c r="D1133" s="22">
        <f>VLOOKUP($A1133, 'Medical Examinations'!$A:$D,3, FALSE)</f>
        <v>4.99</v>
      </c>
      <c r="E1133" s="22" t="str">
        <f>VLOOKUP($A1133, 'Medical Examinations'!$A:$D, 4, FALSE)</f>
        <v>No</v>
      </c>
      <c r="F1133" s="22" t="str">
        <f>VLOOKUP($A1133, 'Medical Examinations'!$A:$J, 5, FALSE)</f>
        <v>No</v>
      </c>
      <c r="G1133" s="22" t="str">
        <f>VLOOKUP($A1133, 'Medical Examinations'!$A:$I, 6, FALSE)</f>
        <v>No</v>
      </c>
      <c r="H1133" s="22">
        <f>VLOOKUP($A1133,'Medical Examinations'!$A:$L,10, FALSE)</f>
        <v>2</v>
      </c>
      <c r="I1133" s="22" t="str">
        <f>VLOOKUP($A1133, 'Medical Examinations'!$A:$J, 9, FALSE)</f>
        <v>No</v>
      </c>
      <c r="J1133" s="22" t="str">
        <f>VLOOKUP($A1133, 'Medical Examinations'!$A:$P, 11, FALSE)</f>
        <v>OBESITY</v>
      </c>
      <c r="K1133" s="34">
        <v>31990.0</v>
      </c>
      <c r="L1133" s="35">
        <f>VLOOKUP($A1133, 'Hospitalisation Details'!$A:$H, 7, FALSE)</f>
        <v>9910.36</v>
      </c>
      <c r="M1133" s="22" t="str">
        <f>VLOOKUP($A1133, 'Hospitalisation Details'!$A:$L, 12, FALSE)</f>
        <v>tier - 2</v>
      </c>
      <c r="N1133" s="22" t="str">
        <f>VLOOKUP($A1133, 'Hospitalisation Details'!$A:$M, 13, FALSE)</f>
        <v>tier - 3</v>
      </c>
      <c r="O1133" s="22" t="str">
        <f>VLOOKUP($A1133, 'Hospitalisation Details'!$A:$N, 14, FALSE)</f>
        <v>R1012</v>
      </c>
      <c r="P1133" s="36">
        <f>VLOOKUP($A1133, 'Hospitalisation Details'!$A:$O, 15, FALSE)</f>
        <v>50</v>
      </c>
    </row>
    <row r="1134" ht="15.75" customHeight="1">
      <c r="A1134" s="33" t="s">
        <v>2267</v>
      </c>
      <c r="B1134" s="22" t="str">
        <f>VLOOKUP($A1134,'Customer Names'!$A:$D,3, FALSE)</f>
        <v>Dierksen</v>
      </c>
      <c r="C1134" s="22">
        <f>VLOOKUP($A1134,'Medical Examinations'!$A:$D, 2, FALSE)</f>
        <v>22.41</v>
      </c>
      <c r="D1134" s="22">
        <f>VLOOKUP($A1134, 'Medical Examinations'!$A:$D,3, FALSE)</f>
        <v>8.68</v>
      </c>
      <c r="E1134" s="22" t="str">
        <f>VLOOKUP($A1134, 'Medical Examinations'!$A:$D, 4, FALSE)</f>
        <v>No</v>
      </c>
      <c r="F1134" s="22" t="str">
        <f>VLOOKUP($A1134, 'Medical Examinations'!$A:$J, 5, FALSE)</f>
        <v>No</v>
      </c>
      <c r="G1134" s="22" t="str">
        <f>VLOOKUP($A1134, 'Medical Examinations'!$A:$I, 6, FALSE)</f>
        <v>No</v>
      </c>
      <c r="H1134" s="22">
        <f>VLOOKUP($A1134,'Medical Examinations'!$A:$L,10, FALSE)</f>
        <v>0</v>
      </c>
      <c r="I1134" s="22" t="str">
        <f>VLOOKUP($A1134, 'Medical Examinations'!$A:$J, 9, FALSE)</f>
        <v>No</v>
      </c>
      <c r="J1134" s="22" t="str">
        <f>VLOOKUP($A1134, 'Medical Examinations'!$A:$P, 11, FALSE)</f>
        <v>NORMAL WEIGHT</v>
      </c>
      <c r="K1134" s="34">
        <v>37177.0</v>
      </c>
      <c r="L1134" s="35">
        <f>VLOOKUP($A1134, 'Hospitalisation Details'!$A:$H, 7, FALSE)</f>
        <v>9907.83</v>
      </c>
      <c r="M1134" s="22" t="str">
        <f>VLOOKUP($A1134, 'Hospitalisation Details'!$A:$L, 12, FALSE)</f>
        <v>tier - 3</v>
      </c>
      <c r="N1134" s="22" t="str">
        <f>VLOOKUP($A1134, 'Hospitalisation Details'!$A:$M, 13, FALSE)</f>
        <v>tier - 2</v>
      </c>
      <c r="O1134" s="22" t="str">
        <f>VLOOKUP($A1134, 'Hospitalisation Details'!$A:$N, 14, FALSE)</f>
        <v>R1013</v>
      </c>
      <c r="P1134" s="36">
        <f>VLOOKUP($A1134, 'Hospitalisation Details'!$A:$O, 15, FALSE)</f>
        <v>60</v>
      </c>
    </row>
    <row r="1135" ht="15.75" customHeight="1">
      <c r="A1135" s="33" t="s">
        <v>2269</v>
      </c>
      <c r="B1135" s="22" t="str">
        <f>VLOOKUP($A1135,'Customer Names'!$A:$D,3, FALSE)</f>
        <v>Zoeller</v>
      </c>
      <c r="C1135" s="22">
        <f>VLOOKUP($A1135,'Medical Examinations'!$A:$D, 2, FALSE)</f>
        <v>45.72</v>
      </c>
      <c r="D1135" s="22">
        <f>VLOOKUP($A1135, 'Medical Examinations'!$A:$D,3, FALSE)</f>
        <v>4.23</v>
      </c>
      <c r="E1135" s="22" t="str">
        <f>VLOOKUP($A1135, 'Medical Examinations'!$A:$D, 4, FALSE)</f>
        <v>Yes</v>
      </c>
      <c r="F1135" s="22" t="str">
        <f>VLOOKUP($A1135, 'Medical Examinations'!$A:$J, 5, FALSE)</f>
        <v>No</v>
      </c>
      <c r="G1135" s="22" t="str">
        <f>VLOOKUP($A1135, 'Medical Examinations'!$A:$I, 6, FALSE)</f>
        <v>No</v>
      </c>
      <c r="H1135" s="22">
        <f>VLOOKUP($A1135,'Medical Examinations'!$A:$L,10, FALSE)</f>
        <v>0</v>
      </c>
      <c r="I1135" s="22" t="str">
        <f>VLOOKUP($A1135, 'Medical Examinations'!$A:$J, 9, FALSE)</f>
        <v>No</v>
      </c>
      <c r="J1135" s="22" t="str">
        <f>VLOOKUP($A1135, 'Medical Examinations'!$A:$P, 11, FALSE)</f>
        <v>OBESITY</v>
      </c>
      <c r="K1135" s="34">
        <v>34952.0</v>
      </c>
      <c r="L1135" s="35">
        <f>VLOOKUP($A1135, 'Hospitalisation Details'!$A:$H, 7, FALSE)</f>
        <v>9894.69</v>
      </c>
      <c r="M1135" s="22" t="str">
        <f>VLOOKUP($A1135, 'Hospitalisation Details'!$A:$L, 12, FALSE)</f>
        <v>tier - 2</v>
      </c>
      <c r="N1135" s="22" t="str">
        <f>VLOOKUP($A1135, 'Hospitalisation Details'!$A:$M, 13, FALSE)</f>
        <v>tier - 3</v>
      </c>
      <c r="O1135" s="22" t="str">
        <f>VLOOKUP($A1135, 'Hospitalisation Details'!$A:$N, 14, FALSE)</f>
        <v>R1012</v>
      </c>
      <c r="P1135" s="36">
        <f>VLOOKUP($A1135, 'Hospitalisation Details'!$A:$O, 15, FALSE)</f>
        <v>26</v>
      </c>
    </row>
    <row r="1136" ht="15.75" customHeight="1">
      <c r="A1136" s="33" t="s">
        <v>2271</v>
      </c>
      <c r="B1136" s="22" t="str">
        <f>VLOOKUP($A1136,'Customer Names'!$A:$D,3, FALSE)</f>
        <v>Flesch</v>
      </c>
      <c r="C1136" s="22">
        <f>VLOOKUP($A1136,'Medical Examinations'!$A:$D, 2, FALSE)</f>
        <v>25</v>
      </c>
      <c r="D1136" s="22">
        <f>VLOOKUP($A1136, 'Medical Examinations'!$A:$D,3, FALSE)</f>
        <v>5.32</v>
      </c>
      <c r="E1136" s="22" t="str">
        <f>VLOOKUP($A1136, 'Medical Examinations'!$A:$D, 4, FALSE)</f>
        <v>Yes</v>
      </c>
      <c r="F1136" s="22" t="str">
        <f>VLOOKUP($A1136, 'Medical Examinations'!$A:$J, 5, FALSE)</f>
        <v>No</v>
      </c>
      <c r="G1136" s="22" t="str">
        <f>VLOOKUP($A1136, 'Medical Examinations'!$A:$I, 6, FALSE)</f>
        <v>No</v>
      </c>
      <c r="H1136" s="22">
        <f>VLOOKUP($A1136,'Medical Examinations'!$A:$L,10, FALSE)</f>
        <v>2</v>
      </c>
      <c r="I1136" s="22" t="str">
        <f>VLOOKUP($A1136, 'Medical Examinations'!$A:$J, 9, FALSE)</f>
        <v>No</v>
      </c>
      <c r="J1136" s="22" t="str">
        <f>VLOOKUP($A1136, 'Medical Examinations'!$A:$P, 11, FALSE)</f>
        <v>OVERWEIGHT</v>
      </c>
      <c r="K1136" s="34">
        <v>32782.0</v>
      </c>
      <c r="L1136" s="35">
        <f>VLOOKUP($A1136, 'Hospitalisation Details'!$A:$H, 7, FALSE)</f>
        <v>9890.23</v>
      </c>
      <c r="M1136" s="22" t="str">
        <f>VLOOKUP($A1136, 'Hospitalisation Details'!$A:$L, 12, FALSE)</f>
        <v>tier - 3</v>
      </c>
      <c r="N1136" s="22" t="str">
        <f>VLOOKUP($A1136, 'Hospitalisation Details'!$A:$M, 13, FALSE)</f>
        <v>tier - 3</v>
      </c>
      <c r="O1136" s="22" t="str">
        <f>VLOOKUP($A1136, 'Hospitalisation Details'!$A:$N, 14, FALSE)</f>
        <v>R1013</v>
      </c>
      <c r="P1136" s="36">
        <f>VLOOKUP($A1136, 'Hospitalisation Details'!$A:$O, 15, FALSE)</f>
        <v>56</v>
      </c>
    </row>
    <row r="1137" ht="15.75" customHeight="1">
      <c r="A1137" s="33" t="s">
        <v>2273</v>
      </c>
      <c r="B1137" s="22" t="str">
        <f>VLOOKUP($A1137,'Customer Names'!$A:$D,3, FALSE)</f>
        <v>Maltby</v>
      </c>
      <c r="C1137" s="22">
        <f>VLOOKUP($A1137,'Medical Examinations'!$A:$D, 2, FALSE)</f>
        <v>39.5</v>
      </c>
      <c r="D1137" s="22">
        <f>VLOOKUP($A1137, 'Medical Examinations'!$A:$D,3, FALSE)</f>
        <v>6.66</v>
      </c>
      <c r="E1137" s="22" t="str">
        <f>VLOOKUP($A1137, 'Medical Examinations'!$A:$D, 4, FALSE)</f>
        <v>No</v>
      </c>
      <c r="F1137" s="22" t="str">
        <f>VLOOKUP($A1137, 'Medical Examinations'!$A:$J, 5, FALSE)</f>
        <v>No</v>
      </c>
      <c r="G1137" s="22" t="str">
        <f>VLOOKUP($A1137, 'Medical Examinations'!$A:$I, 6, FALSE)</f>
        <v>No</v>
      </c>
      <c r="H1137" s="22">
        <f>VLOOKUP($A1137,'Medical Examinations'!$A:$L,10, FALSE)</f>
        <v>0</v>
      </c>
      <c r="I1137" s="22" t="str">
        <f>VLOOKUP($A1137, 'Medical Examinations'!$A:$J, 9, FALSE)</f>
        <v>No</v>
      </c>
      <c r="J1137" s="22" t="str">
        <f>VLOOKUP($A1137, 'Medical Examinations'!$A:$P, 11, FALSE)</f>
        <v>OBESITY</v>
      </c>
      <c r="K1137" s="34">
        <v>34603.0</v>
      </c>
      <c r="L1137" s="35">
        <f>VLOOKUP($A1137, 'Hospitalisation Details'!$A:$H, 7, FALSE)</f>
        <v>9880.07</v>
      </c>
      <c r="M1137" s="22" t="str">
        <f>VLOOKUP($A1137, 'Hospitalisation Details'!$A:$L, 12, FALSE)</f>
        <v>tier - 2</v>
      </c>
      <c r="N1137" s="22" t="str">
        <f>VLOOKUP($A1137, 'Hospitalisation Details'!$A:$M, 13, FALSE)</f>
        <v>tier - 3</v>
      </c>
      <c r="O1137" s="22" t="str">
        <f>VLOOKUP($A1137, 'Hospitalisation Details'!$A:$N, 14, FALSE)</f>
        <v>R1011</v>
      </c>
      <c r="P1137" s="36">
        <f>VLOOKUP($A1137, 'Hospitalisation Details'!$A:$O, 15, FALSE)</f>
        <v>51</v>
      </c>
    </row>
    <row r="1138" ht="15.75" customHeight="1">
      <c r="A1138" s="33" t="s">
        <v>2275</v>
      </c>
      <c r="B1138" s="22" t="str">
        <f>VLOOKUP($A1138,'Customer Names'!$A:$D,3, FALSE)</f>
        <v>Custance</v>
      </c>
      <c r="C1138" s="22">
        <f>VLOOKUP($A1138,'Medical Examinations'!$A:$D, 2, FALSE)</f>
        <v>37.73</v>
      </c>
      <c r="D1138" s="22">
        <f>VLOOKUP($A1138, 'Medical Examinations'!$A:$D,3, FALSE)</f>
        <v>7.4</v>
      </c>
      <c r="E1138" s="22" t="str">
        <f>VLOOKUP($A1138, 'Medical Examinations'!$A:$D, 4, FALSE)</f>
        <v>No</v>
      </c>
      <c r="F1138" s="22" t="str">
        <f>VLOOKUP($A1138, 'Medical Examinations'!$A:$J, 5, FALSE)</f>
        <v>No</v>
      </c>
      <c r="G1138" s="22" t="str">
        <f>VLOOKUP($A1138, 'Medical Examinations'!$A:$I, 6, FALSE)</f>
        <v>No</v>
      </c>
      <c r="H1138" s="22">
        <f>VLOOKUP($A1138,'Medical Examinations'!$A:$L,10, FALSE)</f>
        <v>0</v>
      </c>
      <c r="I1138" s="22" t="str">
        <f>VLOOKUP($A1138, 'Medical Examinations'!$A:$J, 9, FALSE)</f>
        <v>No</v>
      </c>
      <c r="J1138" s="22" t="str">
        <f>VLOOKUP($A1138, 'Medical Examinations'!$A:$P, 11, FALSE)</f>
        <v>OBESITY</v>
      </c>
      <c r="K1138" s="34">
        <v>37428.0</v>
      </c>
      <c r="L1138" s="35">
        <f>VLOOKUP($A1138, 'Hospitalisation Details'!$A:$H, 7, FALSE)</f>
        <v>9877.61</v>
      </c>
      <c r="M1138" s="22" t="str">
        <f>VLOOKUP($A1138, 'Hospitalisation Details'!$A:$L, 12, FALSE)</f>
        <v>tier - 2</v>
      </c>
      <c r="N1138" s="22" t="str">
        <f>VLOOKUP($A1138, 'Hospitalisation Details'!$A:$M, 13, FALSE)</f>
        <v>tier - 1</v>
      </c>
      <c r="O1138" s="22" t="str">
        <f>VLOOKUP($A1138, 'Hospitalisation Details'!$A:$N, 14, FALSE)</f>
        <v>R1013</v>
      </c>
      <c r="P1138" s="36">
        <f>VLOOKUP($A1138, 'Hospitalisation Details'!$A:$O, 15, FALSE)</f>
        <v>51</v>
      </c>
    </row>
    <row r="1139" ht="15.75" customHeight="1">
      <c r="A1139" s="33" t="s">
        <v>2277</v>
      </c>
      <c r="B1139" s="22" t="str">
        <f>VLOOKUP($A1139,'Customer Names'!$A:$D,3, FALSE)</f>
        <v>Choi</v>
      </c>
      <c r="C1139" s="22">
        <f>VLOOKUP($A1139,'Medical Examinations'!$A:$D, 2, FALSE)</f>
        <v>40.66</v>
      </c>
      <c r="D1139" s="22">
        <f>VLOOKUP($A1139, 'Medical Examinations'!$A:$D,3, FALSE)</f>
        <v>10.08</v>
      </c>
      <c r="E1139" s="22" t="str">
        <f>VLOOKUP($A1139, 'Medical Examinations'!$A:$D, 4, FALSE)</f>
        <v>No</v>
      </c>
      <c r="F1139" s="22" t="str">
        <f>VLOOKUP($A1139, 'Medical Examinations'!$A:$J, 5, FALSE)</f>
        <v>No</v>
      </c>
      <c r="G1139" s="22" t="str">
        <f>VLOOKUP($A1139, 'Medical Examinations'!$A:$I, 6, FALSE)</f>
        <v>No</v>
      </c>
      <c r="H1139" s="22">
        <f>VLOOKUP($A1139,'Medical Examinations'!$A:$L,10, FALSE)</f>
        <v>0</v>
      </c>
      <c r="I1139" s="22" t="str">
        <f>VLOOKUP($A1139, 'Medical Examinations'!$A:$J, 9, FALSE)</f>
        <v>No</v>
      </c>
      <c r="J1139" s="22" t="str">
        <f>VLOOKUP($A1139, 'Medical Examinations'!$A:$P, 11, FALSE)</f>
        <v>OBESITY</v>
      </c>
      <c r="K1139" s="34">
        <v>35786.0</v>
      </c>
      <c r="L1139" s="35">
        <f>VLOOKUP($A1139, 'Hospitalisation Details'!$A:$H, 7, FALSE)</f>
        <v>9875.68</v>
      </c>
      <c r="M1139" s="22" t="str">
        <f>VLOOKUP($A1139, 'Hospitalisation Details'!$A:$L, 12, FALSE)</f>
        <v>tier - 2</v>
      </c>
      <c r="N1139" s="22" t="str">
        <f>VLOOKUP($A1139, 'Hospitalisation Details'!$A:$M, 13, FALSE)</f>
        <v>tier - 3</v>
      </c>
      <c r="O1139" s="22" t="str">
        <f>VLOOKUP($A1139, 'Hospitalisation Details'!$A:$N, 14, FALSE)</f>
        <v>R1024</v>
      </c>
      <c r="P1139" s="36">
        <f>VLOOKUP($A1139, 'Hospitalisation Details'!$A:$O, 15, FALSE)</f>
        <v>51</v>
      </c>
    </row>
    <row r="1140" ht="15.75" customHeight="1">
      <c r="A1140" s="33" t="s">
        <v>2279</v>
      </c>
      <c r="B1140" s="22" t="str">
        <f>VLOOKUP($A1140,'Customer Names'!$A:$D,3, FALSE)</f>
        <v>Barnett</v>
      </c>
      <c r="C1140" s="22">
        <f>VLOOKUP($A1140,'Medical Examinations'!$A:$D, 2, FALSE)</f>
        <v>34.2</v>
      </c>
      <c r="D1140" s="22">
        <f>VLOOKUP($A1140, 'Medical Examinations'!$A:$D,3, FALSE)</f>
        <v>8.58</v>
      </c>
      <c r="E1140" s="22" t="str">
        <f>VLOOKUP($A1140, 'Medical Examinations'!$A:$D, 4, FALSE)</f>
        <v>No</v>
      </c>
      <c r="F1140" s="22" t="str">
        <f>VLOOKUP($A1140, 'Medical Examinations'!$A:$J, 5, FALSE)</f>
        <v>No</v>
      </c>
      <c r="G1140" s="22" t="str">
        <f>VLOOKUP($A1140, 'Medical Examinations'!$A:$I, 6, FALSE)</f>
        <v>No</v>
      </c>
      <c r="H1140" s="22">
        <f>VLOOKUP($A1140,'Medical Examinations'!$A:$L,10, FALSE)</f>
        <v>0</v>
      </c>
      <c r="I1140" s="22" t="str">
        <f>VLOOKUP($A1140, 'Medical Examinations'!$A:$J, 9, FALSE)</f>
        <v>No</v>
      </c>
      <c r="J1140" s="22" t="str">
        <f>VLOOKUP($A1140, 'Medical Examinations'!$A:$P, 11, FALSE)</f>
        <v>OBESITY</v>
      </c>
      <c r="K1140" s="34">
        <v>36016.0</v>
      </c>
      <c r="L1140" s="35">
        <f>VLOOKUP($A1140, 'Hospitalisation Details'!$A:$H, 7, FALSE)</f>
        <v>9872.7</v>
      </c>
      <c r="M1140" s="22" t="str">
        <f>VLOOKUP($A1140, 'Hospitalisation Details'!$A:$L, 12, FALSE)</f>
        <v>tier - 2</v>
      </c>
      <c r="N1140" s="22" t="str">
        <f>VLOOKUP($A1140, 'Hospitalisation Details'!$A:$M, 13, FALSE)</f>
        <v>tier - 2</v>
      </c>
      <c r="O1140" s="22" t="str">
        <f>VLOOKUP($A1140, 'Hospitalisation Details'!$A:$N, 14, FALSE)</f>
        <v>R1011</v>
      </c>
      <c r="P1140" s="36">
        <f>VLOOKUP($A1140, 'Hospitalisation Details'!$A:$O, 15, FALSE)</f>
        <v>51</v>
      </c>
    </row>
    <row r="1141" ht="15.75" customHeight="1">
      <c r="A1141" s="33" t="s">
        <v>2281</v>
      </c>
      <c r="B1141" s="22" t="str">
        <f>VLOOKUP($A1141,'Customer Names'!$A:$D,3, FALSE)</f>
        <v>Proulx</v>
      </c>
      <c r="C1141" s="22">
        <f>VLOOKUP($A1141,'Medical Examinations'!$A:$D, 2, FALSE)</f>
        <v>46.51</v>
      </c>
      <c r="D1141" s="22">
        <f>VLOOKUP($A1141, 'Medical Examinations'!$A:$D,3, FALSE)</f>
        <v>5.84</v>
      </c>
      <c r="E1141" s="22" t="str">
        <f>VLOOKUP($A1141, 'Medical Examinations'!$A:$D, 4, FALSE)</f>
        <v>No</v>
      </c>
      <c r="F1141" s="22" t="str">
        <f>VLOOKUP($A1141, 'Medical Examinations'!$A:$J, 5, FALSE)</f>
        <v>No</v>
      </c>
      <c r="G1141" s="22" t="str">
        <f>VLOOKUP($A1141, 'Medical Examinations'!$A:$I, 6, FALSE)</f>
        <v>No</v>
      </c>
      <c r="H1141" s="22">
        <f>VLOOKUP($A1141,'Medical Examinations'!$A:$L,10, FALSE)</f>
        <v>1</v>
      </c>
      <c r="I1141" s="22" t="str">
        <f>VLOOKUP($A1141, 'Medical Examinations'!$A:$J, 9, FALSE)</f>
        <v>No</v>
      </c>
      <c r="J1141" s="22" t="str">
        <f>VLOOKUP($A1141, 'Medical Examinations'!$A:$P, 11, FALSE)</f>
        <v>OBESITY</v>
      </c>
      <c r="K1141" s="34">
        <v>36053.0</v>
      </c>
      <c r="L1141" s="35">
        <f>VLOOKUP($A1141, 'Hospitalisation Details'!$A:$H, 7, FALSE)</f>
        <v>9870.59</v>
      </c>
      <c r="M1141" s="22" t="str">
        <f>VLOOKUP($A1141, 'Hospitalisation Details'!$A:$L, 12, FALSE)</f>
        <v>tier - 2</v>
      </c>
      <c r="N1141" s="22" t="str">
        <f>VLOOKUP($A1141, 'Hospitalisation Details'!$A:$M, 13, FALSE)</f>
        <v>tier - 2</v>
      </c>
      <c r="O1141" s="22" t="str">
        <f>VLOOKUP($A1141, 'Hospitalisation Details'!$A:$N, 14, FALSE)</f>
        <v>R1023</v>
      </c>
      <c r="P1141" s="36">
        <f>VLOOKUP($A1141, 'Hospitalisation Details'!$A:$O, 15, FALSE)</f>
        <v>24</v>
      </c>
    </row>
    <row r="1142" ht="15.75" customHeight="1">
      <c r="A1142" s="33" t="s">
        <v>2283</v>
      </c>
      <c r="B1142" s="22" t="str">
        <f>VLOOKUP($A1142,'Customer Names'!$A:$D,3, FALSE)</f>
        <v>Hamilton</v>
      </c>
      <c r="C1142" s="22">
        <f>VLOOKUP($A1142,'Medical Examinations'!$A:$D, 2, FALSE)</f>
        <v>28.88</v>
      </c>
      <c r="D1142" s="22">
        <f>VLOOKUP($A1142, 'Medical Examinations'!$A:$D,3, FALSE)</f>
        <v>4.86</v>
      </c>
      <c r="E1142" s="22" t="str">
        <f>VLOOKUP($A1142, 'Medical Examinations'!$A:$D, 4, FALSE)</f>
        <v>Yes</v>
      </c>
      <c r="F1142" s="22" t="str">
        <f>VLOOKUP($A1142, 'Medical Examinations'!$A:$J, 5, FALSE)</f>
        <v>No</v>
      </c>
      <c r="G1142" s="22" t="str">
        <f>VLOOKUP($A1142, 'Medical Examinations'!$A:$I, 6, FALSE)</f>
        <v>Yes</v>
      </c>
      <c r="H1142" s="22">
        <f>VLOOKUP($A1142,'Medical Examinations'!$A:$L,10, FALSE)</f>
        <v>1</v>
      </c>
      <c r="I1142" s="22" t="str">
        <f>VLOOKUP($A1142, 'Medical Examinations'!$A:$J, 9, FALSE)</f>
        <v>No</v>
      </c>
      <c r="J1142" s="22" t="str">
        <f>VLOOKUP($A1142, 'Medical Examinations'!$A:$P, 11, FALSE)</f>
        <v>OVERWEIGHT</v>
      </c>
      <c r="K1142" s="34">
        <v>35783.0</v>
      </c>
      <c r="L1142" s="35">
        <f>VLOOKUP($A1142, 'Hospitalisation Details'!$A:$H, 7, FALSE)</f>
        <v>9869.81</v>
      </c>
      <c r="M1142" s="22" t="str">
        <f>VLOOKUP($A1142, 'Hospitalisation Details'!$A:$L, 12, FALSE)</f>
        <v>tier - 3</v>
      </c>
      <c r="N1142" s="22" t="str">
        <f>VLOOKUP($A1142, 'Hospitalisation Details'!$A:$M, 13, FALSE)</f>
        <v>tier - 3</v>
      </c>
      <c r="O1142" s="22" t="str">
        <f>VLOOKUP($A1142, 'Hospitalisation Details'!$A:$N, 14, FALSE)</f>
        <v>R1012</v>
      </c>
      <c r="P1142" s="36">
        <f>VLOOKUP($A1142, 'Hospitalisation Details'!$A:$O, 15, FALSE)</f>
        <v>53</v>
      </c>
    </row>
    <row r="1143" ht="15.75" customHeight="1">
      <c r="A1143" s="33" t="s">
        <v>2285</v>
      </c>
      <c r="B1143" s="22" t="str">
        <f>VLOOKUP($A1143,'Customer Names'!$A:$D,3, FALSE)</f>
        <v>Lundine</v>
      </c>
      <c r="C1143" s="22">
        <f>VLOOKUP($A1143,'Medical Examinations'!$A:$D, 2, FALSE)</f>
        <v>33.915</v>
      </c>
      <c r="D1143" s="22">
        <f>VLOOKUP($A1143, 'Medical Examinations'!$A:$D,3, FALSE)</f>
        <v>11.52</v>
      </c>
      <c r="E1143" s="22" t="str">
        <f>VLOOKUP($A1143, 'Medical Examinations'!$A:$D, 4, FALSE)</f>
        <v>No</v>
      </c>
      <c r="F1143" s="22" t="str">
        <f>VLOOKUP($A1143, 'Medical Examinations'!$A:$J, 5, FALSE)</f>
        <v>No</v>
      </c>
      <c r="G1143" s="22" t="str">
        <f>VLOOKUP($A1143, 'Medical Examinations'!$A:$I, 6, FALSE)</f>
        <v>No</v>
      </c>
      <c r="H1143" s="22">
        <f>VLOOKUP($A1143,'Medical Examinations'!$A:$L,10, FALSE)</f>
        <v>0</v>
      </c>
      <c r="I1143" s="22" t="str">
        <f>VLOOKUP($A1143, 'Medical Examinations'!$A:$J, 9, FALSE)</f>
        <v>No</v>
      </c>
      <c r="J1143" s="22" t="str">
        <f>VLOOKUP($A1143, 'Medical Examinations'!$A:$P, 11, FALSE)</f>
        <v>OBESITY</v>
      </c>
      <c r="K1143" s="34">
        <v>35297.0</v>
      </c>
      <c r="L1143" s="35">
        <f>VLOOKUP($A1143, 'Hospitalisation Details'!$A:$H, 7, FALSE)</f>
        <v>9866.3</v>
      </c>
      <c r="M1143" s="22" t="str">
        <f>VLOOKUP($A1143, 'Hospitalisation Details'!$A:$L, 12, FALSE)</f>
        <v>tier - 2</v>
      </c>
      <c r="N1143" s="22" t="str">
        <f>VLOOKUP($A1143, 'Hospitalisation Details'!$A:$M, 13, FALSE)</f>
        <v>tier - 3</v>
      </c>
      <c r="O1143" s="22" t="str">
        <f>VLOOKUP($A1143, 'Hospitalisation Details'!$A:$N, 14, FALSE)</f>
        <v>R1024</v>
      </c>
      <c r="P1143" s="36">
        <f>VLOOKUP($A1143, 'Hospitalisation Details'!$A:$O, 15, FALSE)</f>
        <v>51</v>
      </c>
    </row>
    <row r="1144" ht="15.75" customHeight="1">
      <c r="A1144" s="33" t="s">
        <v>2287</v>
      </c>
      <c r="B1144" s="22" t="str">
        <f>VLOOKUP($A1144,'Customer Names'!$A:$D,3, FALSE)</f>
        <v>Paullin</v>
      </c>
      <c r="C1144" s="22">
        <f>VLOOKUP($A1144,'Medical Examinations'!$A:$D, 2, FALSE)</f>
        <v>24.32</v>
      </c>
      <c r="D1144" s="22">
        <f>VLOOKUP($A1144, 'Medical Examinations'!$A:$D,3, FALSE)</f>
        <v>6.15</v>
      </c>
      <c r="E1144" s="22" t="str">
        <f>VLOOKUP($A1144, 'Medical Examinations'!$A:$D, 4, FALSE)</f>
        <v>Yes</v>
      </c>
      <c r="F1144" s="22" t="str">
        <f>VLOOKUP($A1144, 'Medical Examinations'!$A:$J, 5, FALSE)</f>
        <v>No</v>
      </c>
      <c r="G1144" s="22" t="str">
        <f>VLOOKUP($A1144, 'Medical Examinations'!$A:$I, 6, FALSE)</f>
        <v>Yes</v>
      </c>
      <c r="H1144" s="22">
        <f>VLOOKUP($A1144,'Medical Examinations'!$A:$L,10, FALSE)</f>
        <v>1</v>
      </c>
      <c r="I1144" s="22" t="str">
        <f>VLOOKUP($A1144, 'Medical Examinations'!$A:$J, 9, FALSE)</f>
        <v>No</v>
      </c>
      <c r="J1144" s="22" t="str">
        <f>VLOOKUP($A1144, 'Medical Examinations'!$A:$P, 11, FALSE)</f>
        <v>NORMAL WEIGHT</v>
      </c>
      <c r="K1144" s="34">
        <v>32414.0</v>
      </c>
      <c r="L1144" s="35">
        <f>VLOOKUP($A1144, 'Hospitalisation Details'!$A:$H, 7, FALSE)</f>
        <v>9863.47</v>
      </c>
      <c r="M1144" s="22" t="str">
        <f>VLOOKUP($A1144, 'Hospitalisation Details'!$A:$L, 12, FALSE)</f>
        <v>tier - 3</v>
      </c>
      <c r="N1144" s="22" t="str">
        <f>VLOOKUP($A1144, 'Hospitalisation Details'!$A:$M, 13, FALSE)</f>
        <v>tier - 3</v>
      </c>
      <c r="O1144" s="22" t="str">
        <f>VLOOKUP($A1144, 'Hospitalisation Details'!$A:$N, 14, FALSE)</f>
        <v>R1012</v>
      </c>
      <c r="P1144" s="36">
        <f>VLOOKUP($A1144, 'Hospitalisation Details'!$A:$O, 15, FALSE)</f>
        <v>53</v>
      </c>
    </row>
    <row r="1145" ht="15.75" customHeight="1">
      <c r="A1145" s="33" t="s">
        <v>2289</v>
      </c>
      <c r="B1145" s="22" t="str">
        <f>VLOOKUP($A1145,'Customer Names'!$A:$D,3, FALSE)</f>
        <v>Delucia</v>
      </c>
      <c r="C1145" s="22">
        <f>VLOOKUP($A1145,'Medical Examinations'!$A:$D, 2, FALSE)</f>
        <v>25.8</v>
      </c>
      <c r="D1145" s="22">
        <f>VLOOKUP($A1145, 'Medical Examinations'!$A:$D,3, FALSE)</f>
        <v>9.94</v>
      </c>
      <c r="E1145" s="22" t="str">
        <f>VLOOKUP($A1145, 'Medical Examinations'!$A:$D, 4, FALSE)</f>
        <v>No</v>
      </c>
      <c r="F1145" s="22" t="str">
        <f>VLOOKUP($A1145, 'Medical Examinations'!$A:$J, 5, FALSE)</f>
        <v>No</v>
      </c>
      <c r="G1145" s="22" t="str">
        <f>VLOOKUP($A1145, 'Medical Examinations'!$A:$I, 6, FALSE)</f>
        <v>No</v>
      </c>
      <c r="H1145" s="22">
        <f>VLOOKUP($A1145,'Medical Examinations'!$A:$L,10, FALSE)</f>
        <v>0</v>
      </c>
      <c r="I1145" s="22" t="str">
        <f>VLOOKUP($A1145, 'Medical Examinations'!$A:$J, 9, FALSE)</f>
        <v>No</v>
      </c>
      <c r="J1145" s="22" t="str">
        <f>VLOOKUP($A1145, 'Medical Examinations'!$A:$P, 11, FALSE)</f>
        <v>OVERWEIGHT</v>
      </c>
      <c r="K1145" s="34">
        <v>37605.0</v>
      </c>
      <c r="L1145" s="35">
        <f>VLOOKUP($A1145, 'Hospitalisation Details'!$A:$H, 7, FALSE)</f>
        <v>9861.03</v>
      </c>
      <c r="M1145" s="22" t="str">
        <f>VLOOKUP($A1145, 'Hospitalisation Details'!$A:$L, 12, FALSE)</f>
        <v>tier - 2</v>
      </c>
      <c r="N1145" s="22" t="str">
        <f>VLOOKUP($A1145, 'Hospitalisation Details'!$A:$M, 13, FALSE)</f>
        <v>tier - 2</v>
      </c>
      <c r="O1145" s="22" t="str">
        <f>VLOOKUP($A1145, 'Hospitalisation Details'!$A:$N, 14, FALSE)</f>
        <v>R1011</v>
      </c>
      <c r="P1145" s="36">
        <f>VLOOKUP($A1145, 'Hospitalisation Details'!$A:$O, 15, FALSE)</f>
        <v>51</v>
      </c>
    </row>
    <row r="1146" ht="15.75" customHeight="1">
      <c r="A1146" s="33" t="s">
        <v>2291</v>
      </c>
      <c r="B1146" s="22" t="str">
        <f>VLOOKUP($A1146,'Customer Names'!$A:$D,3, FALSE)</f>
        <v>Valentine</v>
      </c>
      <c r="C1146" s="22">
        <f>VLOOKUP($A1146,'Medical Examinations'!$A:$D, 2, FALSE)</f>
        <v>21.56</v>
      </c>
      <c r="D1146" s="22">
        <f>VLOOKUP($A1146, 'Medical Examinations'!$A:$D,3, FALSE)</f>
        <v>10.56</v>
      </c>
      <c r="E1146" s="22" t="str">
        <f>VLOOKUP($A1146, 'Medical Examinations'!$A:$D, 4, FALSE)</f>
        <v>No</v>
      </c>
      <c r="F1146" s="22" t="str">
        <f>VLOOKUP($A1146, 'Medical Examinations'!$A:$J, 5, FALSE)</f>
        <v>No</v>
      </c>
      <c r="G1146" s="22" t="str">
        <f>VLOOKUP($A1146, 'Medical Examinations'!$A:$I, 6, FALSE)</f>
        <v>No</v>
      </c>
      <c r="H1146" s="22">
        <f>VLOOKUP($A1146,'Medical Examinations'!$A:$L,10, FALSE)</f>
        <v>0</v>
      </c>
      <c r="I1146" s="22" t="str">
        <f>VLOOKUP($A1146, 'Medical Examinations'!$A:$J, 9, FALSE)</f>
        <v>No</v>
      </c>
      <c r="J1146" s="22" t="str">
        <f>VLOOKUP($A1146, 'Medical Examinations'!$A:$P, 11, FALSE)</f>
        <v>NORMAL WEIGHT</v>
      </c>
      <c r="K1146" s="34">
        <v>33562.0</v>
      </c>
      <c r="L1146" s="35">
        <f>VLOOKUP($A1146, 'Hospitalisation Details'!$A:$H, 7, FALSE)</f>
        <v>9855.13</v>
      </c>
      <c r="M1146" s="22" t="str">
        <f>VLOOKUP($A1146, 'Hospitalisation Details'!$A:$L, 12, FALSE)</f>
        <v>tier - 2</v>
      </c>
      <c r="N1146" s="22" t="str">
        <f>VLOOKUP($A1146, 'Hospitalisation Details'!$A:$M, 13, FALSE)</f>
        <v>tier - 3</v>
      </c>
      <c r="O1146" s="22" t="str">
        <f>VLOOKUP($A1146, 'Hospitalisation Details'!$A:$N, 14, FALSE)</f>
        <v>R1013</v>
      </c>
      <c r="P1146" s="36">
        <f>VLOOKUP($A1146, 'Hospitalisation Details'!$A:$O, 15, FALSE)</f>
        <v>51</v>
      </c>
    </row>
    <row r="1147" ht="15.75" customHeight="1">
      <c r="A1147" s="33" t="s">
        <v>2293</v>
      </c>
      <c r="B1147" s="22" t="str">
        <f>VLOOKUP($A1147,'Customer Names'!$A:$D,3, FALSE)</f>
        <v>Mohara</v>
      </c>
      <c r="C1147" s="22">
        <f>VLOOKUP($A1147,'Medical Examinations'!$A:$D, 2, FALSE)</f>
        <v>31.6</v>
      </c>
      <c r="D1147" s="22">
        <f>VLOOKUP($A1147, 'Medical Examinations'!$A:$D,3, FALSE)</f>
        <v>6.79</v>
      </c>
      <c r="E1147" s="22" t="str">
        <f>VLOOKUP($A1147, 'Medical Examinations'!$A:$D, 4, FALSE)</f>
        <v>No</v>
      </c>
      <c r="F1147" s="22" t="str">
        <f>VLOOKUP($A1147, 'Medical Examinations'!$A:$J, 5, FALSE)</f>
        <v>No</v>
      </c>
      <c r="G1147" s="22" t="str">
        <f>VLOOKUP($A1147, 'Medical Examinations'!$A:$I, 6, FALSE)</f>
        <v>No</v>
      </c>
      <c r="H1147" s="22">
        <f>VLOOKUP($A1147,'Medical Examinations'!$A:$L,10, FALSE)</f>
        <v>0</v>
      </c>
      <c r="I1147" s="22" t="str">
        <f>VLOOKUP($A1147, 'Medical Examinations'!$A:$J, 9, FALSE)</f>
        <v>No</v>
      </c>
      <c r="J1147" s="22" t="str">
        <f>VLOOKUP($A1147, 'Medical Examinations'!$A:$P, 11, FALSE)</f>
        <v>OBESITY</v>
      </c>
      <c r="K1147" s="34">
        <v>31946.0</v>
      </c>
      <c r="L1147" s="35">
        <f>VLOOKUP($A1147, 'Hospitalisation Details'!$A:$H, 7, FALSE)</f>
        <v>9850.43</v>
      </c>
      <c r="M1147" s="22" t="str">
        <f>VLOOKUP($A1147, 'Hospitalisation Details'!$A:$L, 12, FALSE)</f>
        <v>tier - 3</v>
      </c>
      <c r="N1147" s="22" t="str">
        <f>VLOOKUP($A1147, 'Hospitalisation Details'!$A:$M, 13, FALSE)</f>
        <v>tier - 3</v>
      </c>
      <c r="O1147" s="22" t="str">
        <f>VLOOKUP($A1147, 'Hospitalisation Details'!$A:$N, 14, FALSE)</f>
        <v>R1011</v>
      </c>
      <c r="P1147" s="36">
        <f>VLOOKUP($A1147, 'Hospitalisation Details'!$A:$O, 15, FALSE)</f>
        <v>54</v>
      </c>
    </row>
    <row r="1148" ht="15.75" customHeight="1">
      <c r="A1148" s="33" t="s">
        <v>2295</v>
      </c>
      <c r="B1148" s="22" t="str">
        <f>VLOOKUP($A1148,'Customer Names'!$A:$D,3, FALSE)</f>
        <v>Fairbrother</v>
      </c>
      <c r="C1148" s="22">
        <f>VLOOKUP($A1148,'Medical Examinations'!$A:$D, 2, FALSE)</f>
        <v>42.93</v>
      </c>
      <c r="D1148" s="22">
        <f>VLOOKUP($A1148, 'Medical Examinations'!$A:$D,3, FALSE)</f>
        <v>4.8</v>
      </c>
      <c r="E1148" s="22" t="str">
        <f>VLOOKUP($A1148, 'Medical Examinations'!$A:$D, 4, FALSE)</f>
        <v>No</v>
      </c>
      <c r="F1148" s="22" t="str">
        <f>VLOOKUP($A1148, 'Medical Examinations'!$A:$J, 5, FALSE)</f>
        <v>No</v>
      </c>
      <c r="G1148" s="22" t="str">
        <f>VLOOKUP($A1148, 'Medical Examinations'!$A:$I, 6, FALSE)</f>
        <v>No</v>
      </c>
      <c r="H1148" s="22">
        <f>VLOOKUP($A1148,'Medical Examinations'!$A:$L,10, FALSE)</f>
        <v>1</v>
      </c>
      <c r="I1148" s="22" t="str">
        <f>VLOOKUP($A1148, 'Medical Examinations'!$A:$J, 9, FALSE)</f>
        <v>No</v>
      </c>
      <c r="J1148" s="22" t="str">
        <f>VLOOKUP($A1148, 'Medical Examinations'!$A:$P, 11, FALSE)</f>
        <v>OBESITY</v>
      </c>
      <c r="K1148" s="34">
        <v>34966.0</v>
      </c>
      <c r="L1148" s="35">
        <f>VLOOKUP($A1148, 'Hospitalisation Details'!$A:$H, 7, FALSE)</f>
        <v>9844.45</v>
      </c>
      <c r="M1148" s="22" t="str">
        <f>VLOOKUP($A1148, 'Hospitalisation Details'!$A:$L, 12, FALSE)</f>
        <v>tier - 2</v>
      </c>
      <c r="N1148" s="22" t="str">
        <f>VLOOKUP($A1148, 'Hospitalisation Details'!$A:$M, 13, FALSE)</f>
        <v>tier - 1</v>
      </c>
      <c r="O1148" s="22" t="str">
        <f>VLOOKUP($A1148, 'Hospitalisation Details'!$A:$N, 14, FALSE)</f>
        <v>R1012</v>
      </c>
      <c r="P1148" s="36">
        <f>VLOOKUP($A1148, 'Hospitalisation Details'!$A:$O, 15, FALSE)</f>
        <v>30</v>
      </c>
    </row>
    <row r="1149" ht="15.75" customHeight="1">
      <c r="A1149" s="33" t="s">
        <v>2297</v>
      </c>
      <c r="B1149" s="22" t="str">
        <f>VLOOKUP($A1149,'Customer Names'!$A:$D,3, FALSE)</f>
        <v>Fagan</v>
      </c>
      <c r="C1149" s="22">
        <f>VLOOKUP($A1149,'Medical Examinations'!$A:$D, 2, FALSE)</f>
        <v>26.72</v>
      </c>
      <c r="D1149" s="22">
        <f>VLOOKUP($A1149, 'Medical Examinations'!$A:$D,3, FALSE)</f>
        <v>5.75</v>
      </c>
      <c r="E1149" s="22" t="str">
        <f>VLOOKUP($A1149, 'Medical Examinations'!$A:$D, 4, FALSE)</f>
        <v>No</v>
      </c>
      <c r="F1149" s="22" t="str">
        <f>VLOOKUP($A1149, 'Medical Examinations'!$A:$J, 5, FALSE)</f>
        <v>No</v>
      </c>
      <c r="G1149" s="22" t="str">
        <f>VLOOKUP($A1149, 'Medical Examinations'!$A:$I, 6, FALSE)</f>
        <v>No</v>
      </c>
      <c r="H1149" s="22">
        <f>VLOOKUP($A1149,'Medical Examinations'!$A:$L,10, FALSE)</f>
        <v>2</v>
      </c>
      <c r="I1149" s="22" t="str">
        <f>VLOOKUP($A1149, 'Medical Examinations'!$A:$J, 9, FALSE)</f>
        <v>No</v>
      </c>
      <c r="J1149" s="22" t="str">
        <f>VLOOKUP($A1149, 'Medical Examinations'!$A:$P, 11, FALSE)</f>
        <v>OVERWEIGHT</v>
      </c>
      <c r="K1149" s="34">
        <v>37529.0</v>
      </c>
      <c r="L1149" s="35">
        <f>VLOOKUP($A1149, 'Hospitalisation Details'!$A:$H, 7, FALSE)</f>
        <v>9836.21</v>
      </c>
      <c r="M1149" s="22" t="str">
        <f>VLOOKUP($A1149, 'Hospitalisation Details'!$A:$L, 12, FALSE)</f>
        <v>tier - 2</v>
      </c>
      <c r="N1149" s="22" t="str">
        <f>VLOOKUP($A1149, 'Hospitalisation Details'!$A:$M, 13, FALSE)</f>
        <v>tier - 3</v>
      </c>
      <c r="O1149" s="22" t="str">
        <f>VLOOKUP($A1149, 'Hospitalisation Details'!$A:$N, 14, FALSE)</f>
        <v>R1021</v>
      </c>
      <c r="P1149" s="36">
        <f>VLOOKUP($A1149, 'Hospitalisation Details'!$A:$O, 15, FALSE)</f>
        <v>50</v>
      </c>
    </row>
    <row r="1150" ht="15.75" customHeight="1">
      <c r="A1150" s="33" t="s">
        <v>2299</v>
      </c>
      <c r="B1150" s="22" t="str">
        <f>VLOOKUP($A1150,'Customer Names'!$A:$D,3, FALSE)</f>
        <v>Toth</v>
      </c>
      <c r="C1150" s="22">
        <f>VLOOKUP($A1150,'Medical Examinations'!$A:$D, 2, FALSE)</f>
        <v>26.67</v>
      </c>
      <c r="D1150" s="22">
        <f>VLOOKUP($A1150, 'Medical Examinations'!$A:$D,3, FALSE)</f>
        <v>5.81</v>
      </c>
      <c r="E1150" s="22" t="str">
        <f>VLOOKUP($A1150, 'Medical Examinations'!$A:$D, 4, FALSE)</f>
        <v>No</v>
      </c>
      <c r="F1150" s="22" t="str">
        <f>VLOOKUP($A1150, 'Medical Examinations'!$A:$J, 5, FALSE)</f>
        <v>No</v>
      </c>
      <c r="G1150" s="22" t="str">
        <f>VLOOKUP($A1150, 'Medical Examinations'!$A:$I, 6, FALSE)</f>
        <v>No</v>
      </c>
      <c r="H1150" s="22">
        <f>VLOOKUP($A1150,'Medical Examinations'!$A:$L,10, FALSE)</f>
        <v>2</v>
      </c>
      <c r="I1150" s="22" t="str">
        <f>VLOOKUP($A1150, 'Medical Examinations'!$A:$J, 9, FALSE)</f>
        <v>No</v>
      </c>
      <c r="J1150" s="22" t="str">
        <f>VLOOKUP($A1150, 'Medical Examinations'!$A:$P, 11, FALSE)</f>
        <v>OVERWEIGHT</v>
      </c>
      <c r="K1150" s="34">
        <v>35246.0</v>
      </c>
      <c r="L1150" s="35">
        <f>VLOOKUP($A1150, 'Hospitalisation Details'!$A:$H, 7, FALSE)</f>
        <v>9819.25</v>
      </c>
      <c r="M1150" s="22" t="str">
        <f>VLOOKUP($A1150, 'Hospitalisation Details'!$A:$L, 12, FALSE)</f>
        <v>tier - 2</v>
      </c>
      <c r="N1150" s="22" t="str">
        <f>VLOOKUP($A1150, 'Hospitalisation Details'!$A:$M, 13, FALSE)</f>
        <v>tier - 2</v>
      </c>
      <c r="O1150" s="22" t="str">
        <f>VLOOKUP($A1150, 'Hospitalisation Details'!$A:$N, 14, FALSE)</f>
        <v>R1021</v>
      </c>
      <c r="P1150" s="36">
        <f>VLOOKUP($A1150, 'Hospitalisation Details'!$A:$O, 15, FALSE)</f>
        <v>50</v>
      </c>
    </row>
    <row r="1151" ht="15.75" customHeight="1">
      <c r="A1151" s="33" t="s">
        <v>2301</v>
      </c>
      <c r="B1151" s="22" t="str">
        <f>VLOOKUP($A1151,'Customer Names'!$A:$D,3, FALSE)</f>
        <v>Guinn</v>
      </c>
      <c r="C1151" s="22">
        <f>VLOOKUP($A1151,'Medical Examinations'!$A:$D, 2, FALSE)</f>
        <v>42.68</v>
      </c>
      <c r="D1151" s="22">
        <f>VLOOKUP($A1151, 'Medical Examinations'!$A:$D,3, FALSE)</f>
        <v>9.28</v>
      </c>
      <c r="E1151" s="22" t="str">
        <f>VLOOKUP($A1151, 'Medical Examinations'!$A:$D, 4, FALSE)</f>
        <v>No</v>
      </c>
      <c r="F1151" s="22" t="str">
        <f>VLOOKUP($A1151, 'Medical Examinations'!$A:$J, 5, FALSE)</f>
        <v>No</v>
      </c>
      <c r="G1151" s="22" t="str">
        <f>VLOOKUP($A1151, 'Medical Examinations'!$A:$I, 6, FALSE)</f>
        <v>No</v>
      </c>
      <c r="H1151" s="22">
        <f>VLOOKUP($A1151,'Medical Examinations'!$A:$L,10, FALSE)</f>
        <v>2</v>
      </c>
      <c r="I1151" s="22" t="str">
        <f>VLOOKUP($A1151, 'Medical Examinations'!$A:$J, 9, FALSE)</f>
        <v>No</v>
      </c>
      <c r="J1151" s="22" t="str">
        <f>VLOOKUP($A1151, 'Medical Examinations'!$A:$P, 11, FALSE)</f>
        <v>OBESITY</v>
      </c>
      <c r="K1151" s="34">
        <v>37777.0</v>
      </c>
      <c r="L1151" s="35">
        <f>VLOOKUP($A1151, 'Hospitalisation Details'!$A:$H, 7, FALSE)</f>
        <v>9800.89</v>
      </c>
      <c r="M1151" s="22" t="str">
        <f>VLOOKUP($A1151, 'Hospitalisation Details'!$A:$L, 12, FALSE)</f>
        <v>tier - 2</v>
      </c>
      <c r="N1151" s="22" t="str">
        <f>VLOOKUP($A1151, 'Hospitalisation Details'!$A:$M, 13, FALSE)</f>
        <v>tier - 1</v>
      </c>
      <c r="O1151" s="22" t="str">
        <f>VLOOKUP($A1151, 'Hospitalisation Details'!$A:$N, 14, FALSE)</f>
        <v>R1013</v>
      </c>
      <c r="P1151" s="36">
        <f>VLOOKUP($A1151, 'Hospitalisation Details'!$A:$O, 15, FALSE)</f>
        <v>49</v>
      </c>
    </row>
    <row r="1152" ht="15.75" customHeight="1">
      <c r="A1152" s="33" t="s">
        <v>2303</v>
      </c>
      <c r="B1152" s="22" t="str">
        <f>VLOOKUP($A1152,'Customer Names'!$A:$D,3, FALSE)</f>
        <v>Rogers</v>
      </c>
      <c r="C1152" s="22">
        <f>VLOOKUP($A1152,'Medical Examinations'!$A:$D, 2, FALSE)</f>
        <v>24.31</v>
      </c>
      <c r="D1152" s="22">
        <f>VLOOKUP($A1152, 'Medical Examinations'!$A:$D,3, FALSE)</f>
        <v>6.37</v>
      </c>
      <c r="E1152" s="22" t="str">
        <f>VLOOKUP($A1152, 'Medical Examinations'!$A:$D, 4, FALSE)</f>
        <v>No</v>
      </c>
      <c r="F1152" s="22" t="str">
        <f>VLOOKUP($A1152, 'Medical Examinations'!$A:$J, 5, FALSE)</f>
        <v>No</v>
      </c>
      <c r="G1152" s="22" t="str">
        <f>VLOOKUP($A1152, 'Medical Examinations'!$A:$I, 6, FALSE)</f>
        <v>No</v>
      </c>
      <c r="H1152" s="22">
        <f>VLOOKUP($A1152,'Medical Examinations'!$A:$L,10, FALSE)</f>
        <v>0</v>
      </c>
      <c r="I1152" s="22" t="str">
        <f>VLOOKUP($A1152, 'Medical Examinations'!$A:$J, 9, FALSE)</f>
        <v>No</v>
      </c>
      <c r="J1152" s="22" t="str">
        <f>VLOOKUP($A1152, 'Medical Examinations'!$A:$P, 11, FALSE)</f>
        <v>NORMAL WEIGHT</v>
      </c>
      <c r="K1152" s="34">
        <v>35229.0</v>
      </c>
      <c r="L1152" s="35">
        <f>VLOOKUP($A1152, 'Hospitalisation Details'!$A:$H, 7, FALSE)</f>
        <v>9788.87</v>
      </c>
      <c r="M1152" s="22" t="str">
        <f>VLOOKUP($A1152, 'Hospitalisation Details'!$A:$L, 12, FALSE)</f>
        <v>tier - 3</v>
      </c>
      <c r="N1152" s="22" t="str">
        <f>VLOOKUP($A1152, 'Hospitalisation Details'!$A:$M, 13, FALSE)</f>
        <v>tier - 2</v>
      </c>
      <c r="O1152" s="22" t="str">
        <f>VLOOKUP($A1152, 'Hospitalisation Details'!$A:$N, 14, FALSE)</f>
        <v>R1013</v>
      </c>
      <c r="P1152" s="36">
        <f>VLOOKUP($A1152, 'Hospitalisation Details'!$A:$O, 15, FALSE)</f>
        <v>46</v>
      </c>
    </row>
    <row r="1153" ht="15.75" customHeight="1">
      <c r="A1153" s="33" t="s">
        <v>2305</v>
      </c>
      <c r="B1153" s="22" t="str">
        <f>VLOOKUP($A1153,'Customer Names'!$A:$D,3, FALSE)</f>
        <v>Diviney</v>
      </c>
      <c r="C1153" s="22">
        <f>VLOOKUP($A1153,'Medical Examinations'!$A:$D, 2, FALSE)</f>
        <v>44.75</v>
      </c>
      <c r="D1153" s="22">
        <f>VLOOKUP($A1153, 'Medical Examinations'!$A:$D,3, FALSE)</f>
        <v>5.09</v>
      </c>
      <c r="E1153" s="22" t="str">
        <f>VLOOKUP($A1153, 'Medical Examinations'!$A:$D, 4, FALSE)</f>
        <v>Yes</v>
      </c>
      <c r="F1153" s="22" t="str">
        <f>VLOOKUP($A1153, 'Medical Examinations'!$A:$J, 5, FALSE)</f>
        <v>No</v>
      </c>
      <c r="G1153" s="22" t="str">
        <f>VLOOKUP($A1153, 'Medical Examinations'!$A:$I, 6, FALSE)</f>
        <v>No</v>
      </c>
      <c r="H1153" s="22">
        <f>VLOOKUP($A1153,'Medical Examinations'!$A:$L,10, FALSE)</f>
        <v>0</v>
      </c>
      <c r="I1153" s="22" t="str">
        <f>VLOOKUP($A1153, 'Medical Examinations'!$A:$J, 9, FALSE)</f>
        <v>No</v>
      </c>
      <c r="J1153" s="22" t="str">
        <f>VLOOKUP($A1153, 'Medical Examinations'!$A:$P, 11, FALSE)</f>
        <v>OBESITY</v>
      </c>
      <c r="K1153" s="34">
        <v>35362.0</v>
      </c>
      <c r="L1153" s="35">
        <f>VLOOKUP($A1153, 'Hospitalisation Details'!$A:$H, 7, FALSE)</f>
        <v>9787.32</v>
      </c>
      <c r="M1153" s="22" t="str">
        <f>VLOOKUP($A1153, 'Hospitalisation Details'!$A:$L, 12, FALSE)</f>
        <v>tier - 2</v>
      </c>
      <c r="N1153" s="22" t="str">
        <f>VLOOKUP($A1153, 'Hospitalisation Details'!$A:$M, 13, FALSE)</f>
        <v>tier - 3</v>
      </c>
      <c r="O1153" s="22" t="str">
        <f>VLOOKUP($A1153, 'Hospitalisation Details'!$A:$N, 14, FALSE)</f>
        <v>R1023</v>
      </c>
      <c r="P1153" s="36">
        <f>VLOOKUP($A1153, 'Hospitalisation Details'!$A:$O, 15, FALSE)</f>
        <v>26</v>
      </c>
    </row>
    <row r="1154" ht="15.75" customHeight="1">
      <c r="A1154" s="33" t="s">
        <v>2307</v>
      </c>
      <c r="B1154" s="22" t="str">
        <f>VLOOKUP($A1154,'Customer Names'!$A:$D,3, FALSE)</f>
        <v>Marlatt</v>
      </c>
      <c r="C1154" s="22">
        <f>VLOOKUP($A1154,'Medical Examinations'!$A:$D, 2, FALSE)</f>
        <v>30.78</v>
      </c>
      <c r="D1154" s="22">
        <f>VLOOKUP($A1154, 'Medical Examinations'!$A:$D,3, FALSE)</f>
        <v>7.94</v>
      </c>
      <c r="E1154" s="22" t="str">
        <f>VLOOKUP($A1154, 'Medical Examinations'!$A:$D, 4, FALSE)</f>
        <v>No</v>
      </c>
      <c r="F1154" s="22" t="str">
        <f>VLOOKUP($A1154, 'Medical Examinations'!$A:$J, 5, FALSE)</f>
        <v>No</v>
      </c>
      <c r="G1154" s="22" t="str">
        <f>VLOOKUP($A1154, 'Medical Examinations'!$A:$I, 6, FALSE)</f>
        <v>No</v>
      </c>
      <c r="H1154" s="22">
        <f>VLOOKUP($A1154,'Medical Examinations'!$A:$L,10, FALSE)</f>
        <v>2</v>
      </c>
      <c r="I1154" s="22" t="str">
        <f>VLOOKUP($A1154, 'Medical Examinations'!$A:$J, 9, FALSE)</f>
        <v>No</v>
      </c>
      <c r="J1154" s="22" t="str">
        <f>VLOOKUP($A1154, 'Medical Examinations'!$A:$P, 11, FALSE)</f>
        <v>OBESITY</v>
      </c>
      <c r="K1154" s="34">
        <v>23214.0</v>
      </c>
      <c r="L1154" s="35">
        <f>VLOOKUP($A1154, 'Hospitalisation Details'!$A:$H, 7, FALSE)</f>
        <v>9778.35</v>
      </c>
      <c r="M1154" s="22" t="str">
        <f>VLOOKUP($A1154, 'Hospitalisation Details'!$A:$L, 12, FALSE)</f>
        <v>tier - 2</v>
      </c>
      <c r="N1154" s="22" t="str">
        <f>VLOOKUP($A1154, 'Hospitalisation Details'!$A:$M, 13, FALSE)</f>
        <v>tier - 2</v>
      </c>
      <c r="O1154" s="22" t="str">
        <f>VLOOKUP($A1154, 'Hospitalisation Details'!$A:$N, 14, FALSE)</f>
        <v>R1024</v>
      </c>
      <c r="P1154" s="36">
        <f>VLOOKUP($A1154, 'Hospitalisation Details'!$A:$O, 15, FALSE)</f>
        <v>49</v>
      </c>
    </row>
    <row r="1155" ht="15.75" customHeight="1">
      <c r="A1155" s="33" t="s">
        <v>2309</v>
      </c>
      <c r="B1155" s="22" t="str">
        <f>VLOOKUP($A1155,'Customer Names'!$A:$D,3, FALSE)</f>
        <v>Ohler</v>
      </c>
      <c r="C1155" s="22">
        <f>VLOOKUP($A1155,'Medical Examinations'!$A:$D, 2, FALSE)</f>
        <v>21.86</v>
      </c>
      <c r="D1155" s="22">
        <f>VLOOKUP($A1155, 'Medical Examinations'!$A:$D,3, FALSE)</f>
        <v>10.95</v>
      </c>
      <c r="E1155" s="22" t="str">
        <f>VLOOKUP($A1155, 'Medical Examinations'!$A:$D, 4, FALSE)</f>
        <v>No</v>
      </c>
      <c r="F1155" s="22" t="str">
        <f>VLOOKUP($A1155, 'Medical Examinations'!$A:$J, 5, FALSE)</f>
        <v>No</v>
      </c>
      <c r="G1155" s="22" t="str">
        <f>VLOOKUP($A1155, 'Medical Examinations'!$A:$I, 6, FALSE)</f>
        <v>No</v>
      </c>
      <c r="H1155" s="22">
        <f>VLOOKUP($A1155,'Medical Examinations'!$A:$L,10, FALSE)</f>
        <v>0</v>
      </c>
      <c r="I1155" s="22" t="str">
        <f>VLOOKUP($A1155, 'Medical Examinations'!$A:$J, 9, FALSE)</f>
        <v>No</v>
      </c>
      <c r="J1155" s="22" t="str">
        <f>VLOOKUP($A1155, 'Medical Examinations'!$A:$P, 11, FALSE)</f>
        <v>NORMAL WEIGHT</v>
      </c>
      <c r="K1155" s="34">
        <v>36465.0</v>
      </c>
      <c r="L1155" s="35">
        <f>VLOOKUP($A1155, 'Hospitalisation Details'!$A:$H, 7, FALSE)</f>
        <v>9764.08</v>
      </c>
      <c r="M1155" s="22" t="str">
        <f>VLOOKUP($A1155, 'Hospitalisation Details'!$A:$L, 12, FALSE)</f>
        <v>tier - 3</v>
      </c>
      <c r="N1155" s="22" t="str">
        <f>VLOOKUP($A1155, 'Hospitalisation Details'!$A:$M, 13, FALSE)</f>
        <v>tier - 1</v>
      </c>
      <c r="O1155" s="22" t="str">
        <f>VLOOKUP($A1155, 'Hospitalisation Details'!$A:$N, 14, FALSE)</f>
        <v>R1012</v>
      </c>
      <c r="P1155" s="36">
        <f>VLOOKUP($A1155, 'Hospitalisation Details'!$A:$O, 15, FALSE)</f>
        <v>57</v>
      </c>
    </row>
    <row r="1156" ht="15.75" customHeight="1">
      <c r="A1156" s="33" t="s">
        <v>2311</v>
      </c>
      <c r="B1156" s="22" t="str">
        <f>VLOOKUP($A1156,'Customer Names'!$A:$D,3, FALSE)</f>
        <v>Mossler</v>
      </c>
      <c r="C1156" s="22">
        <f>VLOOKUP($A1156,'Medical Examinations'!$A:$D, 2, FALSE)</f>
        <v>49.09</v>
      </c>
      <c r="D1156" s="22">
        <f>VLOOKUP($A1156, 'Medical Examinations'!$A:$D,3, FALSE)</f>
        <v>6.3</v>
      </c>
      <c r="E1156" s="22" t="str">
        <f>VLOOKUP($A1156, 'Medical Examinations'!$A:$D, 4, FALSE)</f>
        <v>Yes</v>
      </c>
      <c r="F1156" s="22" t="str">
        <f>VLOOKUP($A1156, 'Medical Examinations'!$A:$J, 5, FALSE)</f>
        <v>No</v>
      </c>
      <c r="G1156" s="22" t="str">
        <f>VLOOKUP($A1156, 'Medical Examinations'!$A:$I, 6, FALSE)</f>
        <v>No</v>
      </c>
      <c r="H1156" s="22">
        <f>VLOOKUP($A1156,'Medical Examinations'!$A:$L,10, FALSE)</f>
        <v>0</v>
      </c>
      <c r="I1156" s="22" t="str">
        <f>VLOOKUP($A1156, 'Medical Examinations'!$A:$J, 9, FALSE)</f>
        <v>No</v>
      </c>
      <c r="J1156" s="22" t="str">
        <f>VLOOKUP($A1156, 'Medical Examinations'!$A:$P, 11, FALSE)</f>
        <v>OBESITY</v>
      </c>
      <c r="K1156" s="34">
        <v>36721.0</v>
      </c>
      <c r="L1156" s="35">
        <f>VLOOKUP($A1156, 'Hospitalisation Details'!$A:$H, 7, FALSE)</f>
        <v>9753.49</v>
      </c>
      <c r="M1156" s="22" t="str">
        <f>VLOOKUP($A1156, 'Hospitalisation Details'!$A:$L, 12, FALSE)</f>
        <v>tier - 2</v>
      </c>
      <c r="N1156" s="22" t="str">
        <f>VLOOKUP($A1156, 'Hospitalisation Details'!$A:$M, 13, FALSE)</f>
        <v>tier - 2</v>
      </c>
      <c r="O1156" s="22" t="str">
        <f>VLOOKUP($A1156, 'Hospitalisation Details'!$A:$N, 14, FALSE)</f>
        <v>R1012</v>
      </c>
      <c r="P1156" s="36">
        <f>VLOOKUP($A1156, 'Hospitalisation Details'!$A:$O, 15, FALSE)</f>
        <v>21</v>
      </c>
    </row>
    <row r="1157" ht="15.75" customHeight="1">
      <c r="A1157" s="33" t="s">
        <v>2313</v>
      </c>
      <c r="B1157" s="22" t="str">
        <f>VLOOKUP($A1157,'Customer Names'!$A:$D,3, FALSE)</f>
        <v>Segall</v>
      </c>
      <c r="C1157" s="22">
        <f>VLOOKUP($A1157,'Medical Examinations'!$A:$D, 2, FALSE)</f>
        <v>47.74</v>
      </c>
      <c r="D1157" s="22">
        <f>VLOOKUP($A1157, 'Medical Examinations'!$A:$D,3, FALSE)</f>
        <v>8.05</v>
      </c>
      <c r="E1157" s="22" t="str">
        <f>VLOOKUP($A1157, 'Medical Examinations'!$A:$D, 4, FALSE)</f>
        <v>Yes</v>
      </c>
      <c r="F1157" s="22" t="str">
        <f>VLOOKUP($A1157, 'Medical Examinations'!$A:$J, 5, FALSE)</f>
        <v>No</v>
      </c>
      <c r="G1157" s="22" t="str">
        <f>VLOOKUP($A1157, 'Medical Examinations'!$A:$I, 6, FALSE)</f>
        <v>No</v>
      </c>
      <c r="H1157" s="22">
        <f>VLOOKUP($A1157,'Medical Examinations'!$A:$L,10, FALSE)</f>
        <v>2</v>
      </c>
      <c r="I1157" s="22" t="str">
        <f>VLOOKUP($A1157, 'Medical Examinations'!$A:$J, 9, FALSE)</f>
        <v>No</v>
      </c>
      <c r="J1157" s="22" t="str">
        <f>VLOOKUP($A1157, 'Medical Examinations'!$A:$P, 11, FALSE)</f>
        <v>OBESITY</v>
      </c>
      <c r="K1157" s="34">
        <v>35237.0</v>
      </c>
      <c r="L1157" s="35">
        <f>VLOOKUP($A1157, 'Hospitalisation Details'!$A:$H, 7, FALSE)</f>
        <v>9748.91</v>
      </c>
      <c r="M1157" s="22" t="str">
        <f>VLOOKUP($A1157, 'Hospitalisation Details'!$A:$L, 12, FALSE)</f>
        <v>tier - 2</v>
      </c>
      <c r="N1157" s="22" t="str">
        <f>VLOOKUP($A1157, 'Hospitalisation Details'!$A:$M, 13, FALSE)</f>
        <v>tier - 1</v>
      </c>
      <c r="O1157" s="22" t="str">
        <f>VLOOKUP($A1157, 'Hospitalisation Details'!$A:$N, 14, FALSE)</f>
        <v>R1013</v>
      </c>
      <c r="P1157" s="36">
        <f>VLOOKUP($A1157, 'Hospitalisation Details'!$A:$O, 15, FALSE)</f>
        <v>52</v>
      </c>
    </row>
    <row r="1158" ht="15.75" customHeight="1">
      <c r="A1158" s="33" t="s">
        <v>2315</v>
      </c>
      <c r="B1158" s="22" t="str">
        <f>VLOOKUP($A1158,'Customer Names'!$A:$D,3, FALSE)</f>
        <v>Sprieser</v>
      </c>
      <c r="C1158" s="22">
        <f>VLOOKUP($A1158,'Medical Examinations'!$A:$D, 2, FALSE)</f>
        <v>30.2</v>
      </c>
      <c r="D1158" s="22">
        <f>VLOOKUP($A1158, 'Medical Examinations'!$A:$D,3, FALSE)</f>
        <v>9.88</v>
      </c>
      <c r="E1158" s="22" t="str">
        <f>VLOOKUP($A1158, 'Medical Examinations'!$A:$D, 4, FALSE)</f>
        <v>Yes</v>
      </c>
      <c r="F1158" s="22" t="str">
        <f>VLOOKUP($A1158, 'Medical Examinations'!$A:$J, 5, FALSE)</f>
        <v>No</v>
      </c>
      <c r="G1158" s="22" t="str">
        <f>VLOOKUP($A1158, 'Medical Examinations'!$A:$I, 6, FALSE)</f>
        <v>No</v>
      </c>
      <c r="H1158" s="22">
        <f>VLOOKUP($A1158,'Medical Examinations'!$A:$L,10, FALSE)</f>
        <v>2</v>
      </c>
      <c r="I1158" s="22" t="str">
        <f>VLOOKUP($A1158, 'Medical Examinations'!$A:$J, 9, FALSE)</f>
        <v>No</v>
      </c>
      <c r="J1158" s="22" t="str">
        <f>VLOOKUP($A1158, 'Medical Examinations'!$A:$P, 11, FALSE)</f>
        <v>OBESITY</v>
      </c>
      <c r="K1158" s="34">
        <v>34193.0</v>
      </c>
      <c r="L1158" s="35">
        <f>VLOOKUP($A1158, 'Hospitalisation Details'!$A:$H, 7, FALSE)</f>
        <v>9724.53</v>
      </c>
      <c r="M1158" s="22" t="str">
        <f>VLOOKUP($A1158, 'Hospitalisation Details'!$A:$L, 12, FALSE)</f>
        <v>tier - 3</v>
      </c>
      <c r="N1158" s="22" t="str">
        <f>VLOOKUP($A1158, 'Hospitalisation Details'!$A:$M, 13, FALSE)</f>
        <v>tier - 1</v>
      </c>
      <c r="O1158" s="22" t="str">
        <f>VLOOKUP($A1158, 'Hospitalisation Details'!$A:$N, 14, FALSE)</f>
        <v>R1011</v>
      </c>
      <c r="P1158" s="36">
        <f>VLOOKUP($A1158, 'Hospitalisation Details'!$A:$O, 15, FALSE)</f>
        <v>52</v>
      </c>
    </row>
    <row r="1159" ht="15.75" customHeight="1">
      <c r="A1159" s="33" t="s">
        <v>2317</v>
      </c>
      <c r="B1159" s="22" t="str">
        <f>VLOOKUP($A1159,'Customer Names'!$A:$D,3, FALSE)</f>
        <v>Blanco</v>
      </c>
      <c r="C1159" s="22">
        <f>VLOOKUP($A1159,'Medical Examinations'!$A:$D, 2, FALSE)</f>
        <v>33.25</v>
      </c>
      <c r="D1159" s="22">
        <f>VLOOKUP($A1159, 'Medical Examinations'!$A:$D,3, FALSE)</f>
        <v>7.42</v>
      </c>
      <c r="E1159" s="22" t="str">
        <f>VLOOKUP($A1159, 'Medical Examinations'!$A:$D, 4, FALSE)</f>
        <v>Yes</v>
      </c>
      <c r="F1159" s="22" t="str">
        <f>VLOOKUP($A1159, 'Medical Examinations'!$A:$J, 5, FALSE)</f>
        <v>No</v>
      </c>
      <c r="G1159" s="22" t="str">
        <f>VLOOKUP($A1159, 'Medical Examinations'!$A:$I, 6, FALSE)</f>
        <v>No</v>
      </c>
      <c r="H1159" s="22">
        <f>VLOOKUP($A1159,'Medical Examinations'!$A:$L,10, FALSE)</f>
        <v>2</v>
      </c>
      <c r="I1159" s="22" t="str">
        <f>VLOOKUP($A1159, 'Medical Examinations'!$A:$J, 9, FALSE)</f>
        <v>No</v>
      </c>
      <c r="J1159" s="22" t="str">
        <f>VLOOKUP($A1159, 'Medical Examinations'!$A:$P, 11, FALSE)</f>
        <v>OBESITY</v>
      </c>
      <c r="K1159" s="34">
        <v>34274.0</v>
      </c>
      <c r="L1159" s="35">
        <f>VLOOKUP($A1159, 'Hospitalisation Details'!$A:$H, 7, FALSE)</f>
        <v>9722.77</v>
      </c>
      <c r="M1159" s="22" t="str">
        <f>VLOOKUP($A1159, 'Hospitalisation Details'!$A:$L, 12, FALSE)</f>
        <v>tier - 3</v>
      </c>
      <c r="N1159" s="22" t="str">
        <f>VLOOKUP($A1159, 'Hospitalisation Details'!$A:$M, 13, FALSE)</f>
        <v>tier - 1</v>
      </c>
      <c r="O1159" s="22" t="str">
        <f>VLOOKUP($A1159, 'Hospitalisation Details'!$A:$N, 14, FALSE)</f>
        <v>R1016</v>
      </c>
      <c r="P1159" s="36">
        <f>VLOOKUP($A1159, 'Hospitalisation Details'!$A:$O, 15, FALSE)</f>
        <v>52</v>
      </c>
    </row>
    <row r="1160" ht="15.75" customHeight="1">
      <c r="A1160" s="33" t="s">
        <v>2319</v>
      </c>
      <c r="B1160" s="22" t="str">
        <f>VLOOKUP($A1160,'Customer Names'!$A:$D,3, FALSE)</f>
        <v>Sheptock</v>
      </c>
      <c r="C1160" s="22">
        <f>VLOOKUP($A1160,'Medical Examinations'!$A:$D, 2, FALSE)</f>
        <v>26.6</v>
      </c>
      <c r="D1160" s="22">
        <f>VLOOKUP($A1160, 'Medical Examinations'!$A:$D,3, FALSE)</f>
        <v>8.45</v>
      </c>
      <c r="E1160" s="22" t="str">
        <f>VLOOKUP($A1160, 'Medical Examinations'!$A:$D, 4, FALSE)</f>
        <v>Yes</v>
      </c>
      <c r="F1160" s="22" t="str">
        <f>VLOOKUP($A1160, 'Medical Examinations'!$A:$J, 5, FALSE)</f>
        <v>No</v>
      </c>
      <c r="G1160" s="22" t="str">
        <f>VLOOKUP($A1160, 'Medical Examinations'!$A:$I, 6, FALSE)</f>
        <v>No</v>
      </c>
      <c r="H1160" s="22">
        <f>VLOOKUP($A1160,'Medical Examinations'!$A:$L,10, FALSE)</f>
        <v>1</v>
      </c>
      <c r="I1160" s="22" t="str">
        <f>VLOOKUP($A1160, 'Medical Examinations'!$A:$J, 9, FALSE)</f>
        <v>No</v>
      </c>
      <c r="J1160" s="22" t="str">
        <f>VLOOKUP($A1160, 'Medical Examinations'!$A:$P, 11, FALSE)</f>
        <v>OVERWEIGHT</v>
      </c>
      <c r="K1160" s="34">
        <v>36042.0</v>
      </c>
      <c r="L1160" s="35">
        <f>VLOOKUP($A1160, 'Hospitalisation Details'!$A:$H, 7, FALSE)</f>
        <v>9715.84</v>
      </c>
      <c r="M1160" s="22" t="str">
        <f>VLOOKUP($A1160, 'Hospitalisation Details'!$A:$L, 12, FALSE)</f>
        <v>tier - 2</v>
      </c>
      <c r="N1160" s="22" t="str">
        <f>VLOOKUP($A1160, 'Hospitalisation Details'!$A:$M, 13, FALSE)</f>
        <v>tier - 1</v>
      </c>
      <c r="O1160" s="22" t="str">
        <f>VLOOKUP($A1160, 'Hospitalisation Details'!$A:$N, 14, FALSE)</f>
        <v>R1024</v>
      </c>
      <c r="P1160" s="36">
        <f>VLOOKUP($A1160, 'Hospitalisation Details'!$A:$O, 15, FALSE)</f>
        <v>47</v>
      </c>
    </row>
    <row r="1161" ht="15.75" customHeight="1">
      <c r="A1161" s="33" t="s">
        <v>2321</v>
      </c>
      <c r="B1161" s="22" t="str">
        <f>VLOOKUP($A1161,'Customer Names'!$A:$D,3, FALSE)</f>
        <v>Chruniak</v>
      </c>
      <c r="C1161" s="22">
        <f>VLOOKUP($A1161,'Medical Examinations'!$A:$D, 2, FALSE)</f>
        <v>26.35</v>
      </c>
      <c r="D1161" s="22">
        <f>VLOOKUP($A1161, 'Medical Examinations'!$A:$D,3, FALSE)</f>
        <v>6.21</v>
      </c>
      <c r="E1161" s="22" t="str">
        <f>VLOOKUP($A1161, 'Medical Examinations'!$A:$D, 4, FALSE)</f>
        <v>No</v>
      </c>
      <c r="F1161" s="22" t="str">
        <f>VLOOKUP($A1161, 'Medical Examinations'!$A:$J, 5, FALSE)</f>
        <v>No</v>
      </c>
      <c r="G1161" s="22" t="str">
        <f>VLOOKUP($A1161, 'Medical Examinations'!$A:$I, 6, FALSE)</f>
        <v>No</v>
      </c>
      <c r="H1161" s="22">
        <f>VLOOKUP($A1161,'Medical Examinations'!$A:$L,10, FALSE)</f>
        <v>2</v>
      </c>
      <c r="I1161" s="22" t="str">
        <f>VLOOKUP($A1161, 'Medical Examinations'!$A:$J, 9, FALSE)</f>
        <v>No</v>
      </c>
      <c r="J1161" s="22" t="str">
        <f>VLOOKUP($A1161, 'Medical Examinations'!$A:$P, 11, FALSE)</f>
        <v>OVERWEIGHT</v>
      </c>
      <c r="K1161" s="34">
        <v>35963.0</v>
      </c>
      <c r="L1161" s="35">
        <f>VLOOKUP($A1161, 'Hospitalisation Details'!$A:$H, 7, FALSE)</f>
        <v>9710.71</v>
      </c>
      <c r="M1161" s="22" t="str">
        <f>VLOOKUP($A1161, 'Hospitalisation Details'!$A:$L, 12, FALSE)</f>
        <v>tier - 2</v>
      </c>
      <c r="N1161" s="22" t="str">
        <f>VLOOKUP($A1161, 'Hospitalisation Details'!$A:$M, 13, FALSE)</f>
        <v>tier - 1</v>
      </c>
      <c r="O1161" s="22" t="str">
        <f>VLOOKUP($A1161, 'Hospitalisation Details'!$A:$N, 14, FALSE)</f>
        <v>R1021</v>
      </c>
      <c r="P1161" s="36">
        <f>VLOOKUP($A1161, 'Hospitalisation Details'!$A:$O, 15, FALSE)</f>
        <v>50</v>
      </c>
    </row>
    <row r="1162" ht="15.75" customHeight="1">
      <c r="A1162" s="33" t="s">
        <v>2323</v>
      </c>
      <c r="B1162" s="22" t="str">
        <f>VLOOKUP($A1162,'Customer Names'!$A:$D,3, FALSE)</f>
        <v>Miller</v>
      </c>
      <c r="C1162" s="22">
        <f>VLOOKUP($A1162,'Medical Examinations'!$A:$D, 2, FALSE)</f>
        <v>39.995</v>
      </c>
      <c r="D1162" s="22">
        <f>VLOOKUP($A1162, 'Medical Examinations'!$A:$D,3, FALSE)</f>
        <v>4.65</v>
      </c>
      <c r="E1162" s="22" t="str">
        <f>VLOOKUP($A1162, 'Medical Examinations'!$A:$D, 4, FALSE)</f>
        <v>No</v>
      </c>
      <c r="F1162" s="22" t="str">
        <f>VLOOKUP($A1162, 'Medical Examinations'!$A:$J, 5, FALSE)</f>
        <v>No</v>
      </c>
      <c r="G1162" s="22" t="str">
        <f>VLOOKUP($A1162, 'Medical Examinations'!$A:$I, 6, FALSE)</f>
        <v>No</v>
      </c>
      <c r="H1162" s="22">
        <f>VLOOKUP($A1162,'Medical Examinations'!$A:$L,10, FALSE)</f>
        <v>0</v>
      </c>
      <c r="I1162" s="22" t="str">
        <f>VLOOKUP($A1162, 'Medical Examinations'!$A:$J, 9, FALSE)</f>
        <v>No</v>
      </c>
      <c r="J1162" s="22" t="str">
        <f>VLOOKUP($A1162, 'Medical Examinations'!$A:$P, 11, FALSE)</f>
        <v>OBESITY</v>
      </c>
      <c r="K1162" s="34">
        <v>36114.0</v>
      </c>
      <c r="L1162" s="35">
        <f>VLOOKUP($A1162, 'Hospitalisation Details'!$A:$H, 7, FALSE)</f>
        <v>9704.67</v>
      </c>
      <c r="M1162" s="22" t="str">
        <f>VLOOKUP($A1162, 'Hospitalisation Details'!$A:$L, 12, FALSE)</f>
        <v>tier - 2</v>
      </c>
      <c r="N1162" s="22" t="str">
        <f>VLOOKUP($A1162, 'Hospitalisation Details'!$A:$M, 13, FALSE)</f>
        <v>tier - 3</v>
      </c>
      <c r="O1162" s="22" t="str">
        <f>VLOOKUP($A1162, 'Hospitalisation Details'!$A:$N, 14, FALSE)</f>
        <v>R1024</v>
      </c>
      <c r="P1162" s="36">
        <f>VLOOKUP($A1162, 'Hospitalisation Details'!$A:$O, 15, FALSE)</f>
        <v>45</v>
      </c>
    </row>
    <row r="1163" ht="15.75" customHeight="1">
      <c r="A1163" s="33" t="s">
        <v>2325</v>
      </c>
      <c r="B1163" s="22" t="str">
        <f>VLOOKUP($A1163,'Customer Names'!$A:$D,3, FALSE)</f>
        <v>Theis</v>
      </c>
      <c r="C1163" s="22">
        <f>VLOOKUP($A1163,'Medical Examinations'!$A:$D, 2, FALSE)</f>
        <v>22.92</v>
      </c>
      <c r="D1163" s="22">
        <f>VLOOKUP($A1163, 'Medical Examinations'!$A:$D,3, FALSE)</f>
        <v>5.87</v>
      </c>
      <c r="E1163" s="22" t="str">
        <f>VLOOKUP($A1163, 'Medical Examinations'!$A:$D, 4, FALSE)</f>
        <v>Yes</v>
      </c>
      <c r="F1163" s="22" t="str">
        <f>VLOOKUP($A1163, 'Medical Examinations'!$A:$J, 5, FALSE)</f>
        <v>No</v>
      </c>
      <c r="G1163" s="22" t="str">
        <f>VLOOKUP($A1163, 'Medical Examinations'!$A:$I, 6, FALSE)</f>
        <v>No</v>
      </c>
      <c r="H1163" s="22">
        <f>VLOOKUP($A1163,'Medical Examinations'!$A:$L,10, FALSE)</f>
        <v>1</v>
      </c>
      <c r="I1163" s="22" t="str">
        <f>VLOOKUP($A1163, 'Medical Examinations'!$A:$J, 9, FALSE)</f>
        <v>No</v>
      </c>
      <c r="J1163" s="22" t="str">
        <f>VLOOKUP($A1163, 'Medical Examinations'!$A:$P, 11, FALSE)</f>
        <v>NORMAL WEIGHT</v>
      </c>
      <c r="K1163" s="34">
        <v>36800.0</v>
      </c>
      <c r="L1163" s="35">
        <f>VLOOKUP($A1163, 'Hospitalisation Details'!$A:$H, 7, FALSE)</f>
        <v>9698.42</v>
      </c>
      <c r="M1163" s="22" t="str">
        <f>VLOOKUP($A1163, 'Hospitalisation Details'!$A:$L, 12, FALSE)</f>
        <v>tier - 3</v>
      </c>
      <c r="N1163" s="22" t="str">
        <f>VLOOKUP($A1163, 'Hospitalisation Details'!$A:$M, 13, FALSE)</f>
        <v>tier - 3</v>
      </c>
      <c r="O1163" s="22" t="str">
        <f>VLOOKUP($A1163, 'Hospitalisation Details'!$A:$N, 14, FALSE)</f>
        <v>R1013</v>
      </c>
      <c r="P1163" s="36">
        <f>VLOOKUP($A1163, 'Hospitalisation Details'!$A:$O, 15, FALSE)</f>
        <v>58</v>
      </c>
    </row>
    <row r="1164" ht="15.75" customHeight="1">
      <c r="A1164" s="33" t="s">
        <v>2327</v>
      </c>
      <c r="B1164" s="22" t="str">
        <f>VLOOKUP($A1164,'Customer Names'!$A:$D,3, FALSE)</f>
        <v>Sadler</v>
      </c>
      <c r="C1164" s="22">
        <f>VLOOKUP($A1164,'Medical Examinations'!$A:$D, 2, FALSE)</f>
        <v>24.78</v>
      </c>
      <c r="D1164" s="22">
        <f>VLOOKUP($A1164, 'Medical Examinations'!$A:$D,3, FALSE)</f>
        <v>4.24</v>
      </c>
      <c r="E1164" s="22" t="str">
        <f>VLOOKUP($A1164, 'Medical Examinations'!$A:$D, 4, FALSE)</f>
        <v>Yes</v>
      </c>
      <c r="F1164" s="22" t="str">
        <f>VLOOKUP($A1164, 'Medical Examinations'!$A:$J, 5, FALSE)</f>
        <v>No</v>
      </c>
      <c r="G1164" s="22" t="str">
        <f>VLOOKUP($A1164, 'Medical Examinations'!$A:$I, 6, FALSE)</f>
        <v>No</v>
      </c>
      <c r="H1164" s="22">
        <f>VLOOKUP($A1164,'Medical Examinations'!$A:$L,10, FALSE)</f>
        <v>2</v>
      </c>
      <c r="I1164" s="22" t="str">
        <f>VLOOKUP($A1164, 'Medical Examinations'!$A:$J, 9, FALSE)</f>
        <v>No</v>
      </c>
      <c r="J1164" s="22" t="str">
        <f>VLOOKUP($A1164, 'Medical Examinations'!$A:$P, 11, FALSE)</f>
        <v>NORMAL WEIGHT</v>
      </c>
      <c r="K1164" s="34">
        <v>37887.0</v>
      </c>
      <c r="L1164" s="35">
        <f>VLOOKUP($A1164, 'Hospitalisation Details'!$A:$H, 7, FALSE)</f>
        <v>9684.29</v>
      </c>
      <c r="M1164" s="22" t="str">
        <f>VLOOKUP($A1164, 'Hospitalisation Details'!$A:$L, 12, FALSE)</f>
        <v>tier - 3</v>
      </c>
      <c r="N1164" s="22" t="str">
        <f>VLOOKUP($A1164, 'Hospitalisation Details'!$A:$M, 13, FALSE)</f>
        <v>tier - 2</v>
      </c>
      <c r="O1164" s="22" t="str">
        <f>VLOOKUP($A1164, 'Hospitalisation Details'!$A:$N, 14, FALSE)</f>
        <v>R1013</v>
      </c>
      <c r="P1164" s="36">
        <f>VLOOKUP($A1164, 'Hospitalisation Details'!$A:$O, 15, FALSE)</f>
        <v>56</v>
      </c>
    </row>
    <row r="1165" ht="15.75" customHeight="1">
      <c r="A1165" s="33" t="s">
        <v>2329</v>
      </c>
      <c r="B1165" s="22" t="str">
        <f>VLOOKUP($A1165,'Customer Names'!$A:$D,3, FALSE)</f>
        <v>Auger</v>
      </c>
      <c r="C1165" s="22">
        <f>VLOOKUP($A1165,'Medical Examinations'!$A:$D, 2, FALSE)</f>
        <v>34.07</v>
      </c>
      <c r="D1165" s="22">
        <f>VLOOKUP($A1165, 'Medical Examinations'!$A:$D,3, FALSE)</f>
        <v>7.81</v>
      </c>
      <c r="E1165" s="22" t="str">
        <f>VLOOKUP($A1165, 'Medical Examinations'!$A:$D, 4, FALSE)</f>
        <v>Yes</v>
      </c>
      <c r="F1165" s="22" t="str">
        <f>VLOOKUP($A1165, 'Medical Examinations'!$A:$J, 5, FALSE)</f>
        <v>No</v>
      </c>
      <c r="G1165" s="22" t="str">
        <f>VLOOKUP($A1165, 'Medical Examinations'!$A:$I, 6, FALSE)</f>
        <v>No</v>
      </c>
      <c r="H1165" s="22">
        <f>VLOOKUP($A1165,'Medical Examinations'!$A:$L,10, FALSE)</f>
        <v>0</v>
      </c>
      <c r="I1165" s="22" t="str">
        <f>VLOOKUP($A1165, 'Medical Examinations'!$A:$J, 9, FALSE)</f>
        <v>No</v>
      </c>
      <c r="J1165" s="22" t="str">
        <f>VLOOKUP($A1165, 'Medical Examinations'!$A:$P, 11, FALSE)</f>
        <v>OBESITY</v>
      </c>
      <c r="K1165" s="34">
        <v>36407.0</v>
      </c>
      <c r="L1165" s="35">
        <f>VLOOKUP($A1165, 'Hospitalisation Details'!$A:$H, 7, FALSE)</f>
        <v>9664.34</v>
      </c>
      <c r="M1165" s="22" t="str">
        <f>VLOOKUP($A1165, 'Hospitalisation Details'!$A:$L, 12, FALSE)</f>
        <v>tier - 2</v>
      </c>
      <c r="N1165" s="22" t="str">
        <f>VLOOKUP($A1165, 'Hospitalisation Details'!$A:$M, 13, FALSE)</f>
        <v>tier - 3</v>
      </c>
      <c r="O1165" s="22" t="str">
        <f>VLOOKUP($A1165, 'Hospitalisation Details'!$A:$N, 14, FALSE)</f>
        <v>R1011</v>
      </c>
      <c r="P1165" s="36">
        <f>VLOOKUP($A1165, 'Hospitalisation Details'!$A:$O, 15, FALSE)</f>
        <v>41</v>
      </c>
    </row>
    <row r="1166" ht="15.75" customHeight="1">
      <c r="A1166" s="33" t="s">
        <v>2331</v>
      </c>
      <c r="B1166" s="22" t="str">
        <f>VLOOKUP($A1166,'Customer Names'!$A:$D,3, FALSE)</f>
        <v>Steadman</v>
      </c>
      <c r="C1166" s="22">
        <f>VLOOKUP($A1166,'Medical Examinations'!$A:$D, 2, FALSE)</f>
        <v>30.14</v>
      </c>
      <c r="D1166" s="22">
        <f>VLOOKUP($A1166, 'Medical Examinations'!$A:$D,3, FALSE)</f>
        <v>9.85</v>
      </c>
      <c r="E1166" s="22" t="str">
        <f>VLOOKUP($A1166, 'Medical Examinations'!$A:$D, 4, FALSE)</f>
        <v>No</v>
      </c>
      <c r="F1166" s="22" t="str">
        <f>VLOOKUP($A1166, 'Medical Examinations'!$A:$J, 5, FALSE)</f>
        <v>No</v>
      </c>
      <c r="G1166" s="22" t="str">
        <f>VLOOKUP($A1166, 'Medical Examinations'!$A:$I, 6, FALSE)</f>
        <v>No</v>
      </c>
      <c r="H1166" s="22">
        <f>VLOOKUP($A1166,'Medical Examinations'!$A:$L,10, FALSE)</f>
        <v>0</v>
      </c>
      <c r="I1166" s="22" t="str">
        <f>VLOOKUP($A1166, 'Medical Examinations'!$A:$J, 9, FALSE)</f>
        <v>No</v>
      </c>
      <c r="J1166" s="22" t="str">
        <f>VLOOKUP($A1166, 'Medical Examinations'!$A:$P, 11, FALSE)</f>
        <v>OBESITY</v>
      </c>
      <c r="K1166" s="34">
        <v>38203.0</v>
      </c>
      <c r="L1166" s="35">
        <f>VLOOKUP($A1166, 'Hospitalisation Details'!$A:$H, 7, FALSE)</f>
        <v>9653.81</v>
      </c>
      <c r="M1166" s="22" t="str">
        <f>VLOOKUP($A1166, 'Hospitalisation Details'!$A:$L, 12, FALSE)</f>
        <v>tier - 2</v>
      </c>
      <c r="N1166" s="22" t="str">
        <f>VLOOKUP($A1166, 'Hospitalisation Details'!$A:$M, 13, FALSE)</f>
        <v>tier - 2</v>
      </c>
      <c r="O1166" s="22" t="str">
        <f>VLOOKUP($A1166, 'Hospitalisation Details'!$A:$N, 14, FALSE)</f>
        <v>R1011</v>
      </c>
      <c r="P1166" s="36">
        <f>VLOOKUP($A1166, 'Hospitalisation Details'!$A:$O, 15, FALSE)</f>
        <v>48</v>
      </c>
    </row>
    <row r="1167" ht="15.75" customHeight="1">
      <c r="A1167" s="33" t="s">
        <v>2333</v>
      </c>
      <c r="B1167" s="22" t="str">
        <f>VLOOKUP($A1167,'Customer Names'!$A:$D,3, FALSE)</f>
        <v>McCarron</v>
      </c>
      <c r="C1167" s="22">
        <f>VLOOKUP($A1167,'Medical Examinations'!$A:$D, 2, FALSE)</f>
        <v>18.05</v>
      </c>
      <c r="D1167" s="22">
        <f>VLOOKUP($A1167, 'Medical Examinations'!$A:$D,3, FALSE)</f>
        <v>6.94</v>
      </c>
      <c r="E1167" s="22" t="str">
        <f>VLOOKUP($A1167, 'Medical Examinations'!$A:$D, 4, FALSE)</f>
        <v>No</v>
      </c>
      <c r="F1167" s="22" t="str">
        <f>VLOOKUP($A1167, 'Medical Examinations'!$A:$J, 5, FALSE)</f>
        <v>No</v>
      </c>
      <c r="G1167" s="22" t="str">
        <f>VLOOKUP($A1167, 'Medical Examinations'!$A:$I, 6, FALSE)</f>
        <v>No</v>
      </c>
      <c r="H1167" s="22">
        <f>VLOOKUP($A1167,'Medical Examinations'!$A:$L,10, FALSE)</f>
        <v>0</v>
      </c>
      <c r="I1167" s="22" t="str">
        <f>VLOOKUP($A1167, 'Medical Examinations'!$A:$J, 9, FALSE)</f>
        <v>No</v>
      </c>
      <c r="J1167" s="22" t="str">
        <f>VLOOKUP($A1167, 'Medical Examinations'!$A:$P, 11, FALSE)</f>
        <v>UNDERWEIGHT</v>
      </c>
      <c r="K1167" s="34">
        <v>36518.0</v>
      </c>
      <c r="L1167" s="35">
        <f>VLOOKUP($A1167, 'Hospitalisation Details'!$A:$H, 7, FALSE)</f>
        <v>9644.25</v>
      </c>
      <c r="M1167" s="22" t="str">
        <f>VLOOKUP($A1167, 'Hospitalisation Details'!$A:$L, 12, FALSE)</f>
        <v>tier - 2</v>
      </c>
      <c r="N1167" s="22" t="str">
        <f>VLOOKUP($A1167, 'Hospitalisation Details'!$A:$M, 13, FALSE)</f>
        <v>tier - 1</v>
      </c>
      <c r="O1167" s="22" t="str">
        <f>VLOOKUP($A1167, 'Hospitalisation Details'!$A:$N, 14, FALSE)</f>
        <v>R1012</v>
      </c>
      <c r="P1167" s="36">
        <f>VLOOKUP($A1167, 'Hospitalisation Details'!$A:$O, 15, FALSE)</f>
        <v>51</v>
      </c>
    </row>
    <row r="1168" ht="15.75" customHeight="1">
      <c r="A1168" s="33" t="s">
        <v>2335</v>
      </c>
      <c r="B1168" s="22" t="str">
        <f>VLOOKUP($A1168,'Customer Names'!$A:$D,3, FALSE)</f>
        <v>Roecker</v>
      </c>
      <c r="C1168" s="22">
        <f>VLOOKUP($A1168,'Medical Examinations'!$A:$D, 2, FALSE)</f>
        <v>37.4</v>
      </c>
      <c r="D1168" s="22">
        <f>VLOOKUP($A1168, 'Medical Examinations'!$A:$D,3, FALSE)</f>
        <v>11.3</v>
      </c>
      <c r="E1168" s="22" t="str">
        <f>VLOOKUP($A1168, 'Medical Examinations'!$A:$D, 4, FALSE)</f>
        <v>Yes</v>
      </c>
      <c r="F1168" s="22" t="str">
        <f>VLOOKUP($A1168, 'Medical Examinations'!$A:$J, 5, FALSE)</f>
        <v>No</v>
      </c>
      <c r="G1168" s="22" t="str">
        <f>VLOOKUP($A1168, 'Medical Examinations'!$A:$I, 6, FALSE)</f>
        <v>No</v>
      </c>
      <c r="H1168" s="22">
        <f>VLOOKUP($A1168,'Medical Examinations'!$A:$L,10, FALSE)</f>
        <v>2</v>
      </c>
      <c r="I1168" s="22" t="str">
        <f>VLOOKUP($A1168, 'Medical Examinations'!$A:$J, 9, FALSE)</f>
        <v>No</v>
      </c>
      <c r="J1168" s="22" t="str">
        <f>VLOOKUP($A1168, 'Medical Examinations'!$A:$P, 11, FALSE)</f>
        <v>OBESITY</v>
      </c>
      <c r="K1168" s="34">
        <v>36401.0</v>
      </c>
      <c r="L1168" s="35">
        <f>VLOOKUP($A1168, 'Hospitalisation Details'!$A:$H, 7, FALSE)</f>
        <v>9634.54</v>
      </c>
      <c r="M1168" s="22" t="str">
        <f>VLOOKUP($A1168, 'Hospitalisation Details'!$A:$L, 12, FALSE)</f>
        <v>tier - 2</v>
      </c>
      <c r="N1168" s="22" t="str">
        <f>VLOOKUP($A1168, 'Hospitalisation Details'!$A:$M, 13, FALSE)</f>
        <v>tier - 2</v>
      </c>
      <c r="O1168" s="22" t="str">
        <f>VLOOKUP($A1168, 'Hospitalisation Details'!$A:$N, 14, FALSE)</f>
        <v>R1011</v>
      </c>
      <c r="P1168" s="36">
        <f>VLOOKUP($A1168, 'Hospitalisation Details'!$A:$O, 15, FALSE)</f>
        <v>52</v>
      </c>
    </row>
    <row r="1169" ht="15.75" customHeight="1">
      <c r="A1169" s="33" t="s">
        <v>2337</v>
      </c>
      <c r="B1169" s="22" t="str">
        <f>VLOOKUP($A1169,'Customer Names'!$A:$D,3, FALSE)</f>
        <v>Giumarra</v>
      </c>
      <c r="C1169" s="22">
        <f>VLOOKUP($A1169,'Medical Examinations'!$A:$D, 2, FALSE)</f>
        <v>25.75</v>
      </c>
      <c r="D1169" s="22">
        <f>VLOOKUP($A1169, 'Medical Examinations'!$A:$D,3, FALSE)</f>
        <v>9.23</v>
      </c>
      <c r="E1169" s="22" t="str">
        <f>VLOOKUP($A1169, 'Medical Examinations'!$A:$D, 4, FALSE)</f>
        <v>No</v>
      </c>
      <c r="F1169" s="22" t="str">
        <f>VLOOKUP($A1169, 'Medical Examinations'!$A:$J, 5, FALSE)</f>
        <v>No</v>
      </c>
      <c r="G1169" s="22" t="str">
        <f>VLOOKUP($A1169, 'Medical Examinations'!$A:$I, 6, FALSE)</f>
        <v>No</v>
      </c>
      <c r="H1169" s="22">
        <f>VLOOKUP($A1169,'Medical Examinations'!$A:$L,10, FALSE)</f>
        <v>0</v>
      </c>
      <c r="I1169" s="22" t="str">
        <f>VLOOKUP($A1169, 'Medical Examinations'!$A:$J, 9, FALSE)</f>
        <v>No</v>
      </c>
      <c r="J1169" s="22" t="str">
        <f>VLOOKUP($A1169, 'Medical Examinations'!$A:$P, 11, FALSE)</f>
        <v>OVERWEIGHT</v>
      </c>
      <c r="K1169" s="34">
        <v>38305.0</v>
      </c>
      <c r="L1169" s="35">
        <f>VLOOKUP($A1169, 'Hospitalisation Details'!$A:$H, 7, FALSE)</f>
        <v>9630.91</v>
      </c>
      <c r="M1169" s="22" t="str">
        <f>VLOOKUP($A1169, 'Hospitalisation Details'!$A:$L, 12, FALSE)</f>
        <v>tier - 3</v>
      </c>
      <c r="N1169" s="22" t="str">
        <f>VLOOKUP($A1169, 'Hospitalisation Details'!$A:$M, 13, FALSE)</f>
        <v>tier - 2</v>
      </c>
      <c r="O1169" s="22" t="str">
        <f>VLOOKUP($A1169, 'Hospitalisation Details'!$A:$N, 14, FALSE)</f>
        <v>R1013</v>
      </c>
      <c r="P1169" s="36">
        <f>VLOOKUP($A1169, 'Hospitalisation Details'!$A:$O, 15, FALSE)</f>
        <v>54</v>
      </c>
    </row>
    <row r="1170" ht="15.75" customHeight="1">
      <c r="A1170" s="33" t="s">
        <v>2339</v>
      </c>
      <c r="B1170" s="22" t="str">
        <f>VLOOKUP($A1170,'Customer Names'!$A:$D,3, FALSE)</f>
        <v>Peters</v>
      </c>
      <c r="C1170" s="22">
        <f>VLOOKUP($A1170,'Medical Examinations'!$A:$D, 2, FALSE)</f>
        <v>32.3</v>
      </c>
      <c r="D1170" s="22">
        <f>VLOOKUP($A1170, 'Medical Examinations'!$A:$D,3, FALSE)</f>
        <v>4.37</v>
      </c>
      <c r="E1170" s="22" t="str">
        <f>VLOOKUP($A1170, 'Medical Examinations'!$A:$D, 4, FALSE)</f>
        <v>No</v>
      </c>
      <c r="F1170" s="22" t="str">
        <f>VLOOKUP($A1170, 'Medical Examinations'!$A:$J, 5, FALSE)</f>
        <v>No</v>
      </c>
      <c r="G1170" s="22" t="str">
        <f>VLOOKUP($A1170, 'Medical Examinations'!$A:$I, 6, FALSE)</f>
        <v>No</v>
      </c>
      <c r="H1170" s="22">
        <f>VLOOKUP($A1170,'Medical Examinations'!$A:$L,10, FALSE)</f>
        <v>2</v>
      </c>
      <c r="I1170" s="22" t="str">
        <f>VLOOKUP($A1170, 'Medical Examinations'!$A:$J, 9, FALSE)</f>
        <v>No</v>
      </c>
      <c r="J1170" s="22" t="str">
        <f>VLOOKUP($A1170, 'Medical Examinations'!$A:$P, 11, FALSE)</f>
        <v>OBESITY</v>
      </c>
      <c r="K1170" s="34">
        <v>35652.0</v>
      </c>
      <c r="L1170" s="35">
        <f>VLOOKUP($A1170, 'Hospitalisation Details'!$A:$H, 7, FALSE)</f>
        <v>9630.4</v>
      </c>
      <c r="M1170" s="22" t="str">
        <f>VLOOKUP($A1170, 'Hospitalisation Details'!$A:$L, 12, FALSE)</f>
        <v>tier - 2</v>
      </c>
      <c r="N1170" s="22" t="str">
        <f>VLOOKUP($A1170, 'Hospitalisation Details'!$A:$M, 13, FALSE)</f>
        <v>tier - 2</v>
      </c>
      <c r="O1170" s="22" t="str">
        <f>VLOOKUP($A1170, 'Hospitalisation Details'!$A:$N, 14, FALSE)</f>
        <v>R1011</v>
      </c>
      <c r="P1170" s="36">
        <f>VLOOKUP($A1170, 'Hospitalisation Details'!$A:$O, 15, FALSE)</f>
        <v>50</v>
      </c>
    </row>
    <row r="1171" ht="15.75" customHeight="1">
      <c r="A1171" s="33" t="s">
        <v>2341</v>
      </c>
      <c r="B1171" s="22" t="str">
        <f>VLOOKUP($A1171,'Customer Names'!$A:$D,3, FALSE)</f>
        <v>Bower</v>
      </c>
      <c r="C1171" s="22">
        <f>VLOOKUP($A1171,'Medical Examinations'!$A:$D, 2, FALSE)</f>
        <v>28.61</v>
      </c>
      <c r="D1171" s="22">
        <f>VLOOKUP($A1171, 'Medical Examinations'!$A:$D,3, FALSE)</f>
        <v>5.76</v>
      </c>
      <c r="E1171" s="22" t="str">
        <f>VLOOKUP($A1171, 'Medical Examinations'!$A:$D, 4, FALSE)</f>
        <v>No</v>
      </c>
      <c r="F1171" s="22" t="str">
        <f>VLOOKUP($A1171, 'Medical Examinations'!$A:$J, 5, FALSE)</f>
        <v>No</v>
      </c>
      <c r="G1171" s="22" t="str">
        <f>VLOOKUP($A1171, 'Medical Examinations'!$A:$I, 6, FALSE)</f>
        <v>Yes</v>
      </c>
      <c r="H1171" s="22">
        <f>VLOOKUP($A1171,'Medical Examinations'!$A:$L,10, FALSE)</f>
        <v>1</v>
      </c>
      <c r="I1171" s="22" t="str">
        <f>VLOOKUP($A1171, 'Medical Examinations'!$A:$J, 9, FALSE)</f>
        <v>No</v>
      </c>
      <c r="J1171" s="22" t="str">
        <f>VLOOKUP($A1171, 'Medical Examinations'!$A:$P, 11, FALSE)</f>
        <v>OVERWEIGHT</v>
      </c>
      <c r="K1171" s="34">
        <v>36810.0</v>
      </c>
      <c r="L1171" s="35">
        <f>VLOOKUP($A1171, 'Hospitalisation Details'!$A:$H, 7, FALSE)</f>
        <v>9630.3</v>
      </c>
      <c r="M1171" s="22" t="str">
        <f>VLOOKUP($A1171, 'Hospitalisation Details'!$A:$L, 12, FALSE)</f>
        <v>tier - 2</v>
      </c>
      <c r="N1171" s="22" t="str">
        <f>VLOOKUP($A1171, 'Hospitalisation Details'!$A:$M, 13, FALSE)</f>
        <v>tier - 2</v>
      </c>
      <c r="O1171" s="22" t="str">
        <f>VLOOKUP($A1171, 'Hospitalisation Details'!$A:$N, 14, FALSE)</f>
        <v>R1021</v>
      </c>
      <c r="P1171" s="36">
        <f>VLOOKUP($A1171, 'Hospitalisation Details'!$A:$O, 15, FALSE)</f>
        <v>43</v>
      </c>
    </row>
    <row r="1172" ht="15.75" customHeight="1">
      <c r="A1172" s="33" t="s">
        <v>2343</v>
      </c>
      <c r="B1172" s="22" t="str">
        <f>VLOOKUP($A1172,'Customer Names'!$A:$D,3, FALSE)</f>
        <v>Chen</v>
      </c>
      <c r="C1172" s="22">
        <f>VLOOKUP($A1172,'Medical Examinations'!$A:$D, 2, FALSE)</f>
        <v>45.41</v>
      </c>
      <c r="D1172" s="22">
        <f>VLOOKUP($A1172, 'Medical Examinations'!$A:$D,3, FALSE)</f>
        <v>4.96</v>
      </c>
      <c r="E1172" s="22" t="str">
        <f>VLOOKUP($A1172, 'Medical Examinations'!$A:$D, 4, FALSE)</f>
        <v>No</v>
      </c>
      <c r="F1172" s="22" t="str">
        <f>VLOOKUP($A1172, 'Medical Examinations'!$A:$J, 5, FALSE)</f>
        <v>No</v>
      </c>
      <c r="G1172" s="22" t="str">
        <f>VLOOKUP($A1172, 'Medical Examinations'!$A:$I, 6, FALSE)</f>
        <v>No</v>
      </c>
      <c r="H1172" s="22">
        <f>VLOOKUP($A1172,'Medical Examinations'!$A:$L,10, FALSE)</f>
        <v>1</v>
      </c>
      <c r="I1172" s="22" t="str">
        <f>VLOOKUP($A1172, 'Medical Examinations'!$A:$J, 9, FALSE)</f>
        <v>No</v>
      </c>
      <c r="J1172" s="22" t="str">
        <f>VLOOKUP($A1172, 'Medical Examinations'!$A:$P, 11, FALSE)</f>
        <v>OBESITY</v>
      </c>
      <c r="K1172" s="34">
        <v>36802.0</v>
      </c>
      <c r="L1172" s="35">
        <f>VLOOKUP($A1172, 'Hospitalisation Details'!$A:$H, 7, FALSE)</f>
        <v>9628.79</v>
      </c>
      <c r="M1172" s="22" t="str">
        <f>VLOOKUP($A1172, 'Hospitalisation Details'!$A:$L, 12, FALSE)</f>
        <v>tier - 2</v>
      </c>
      <c r="N1172" s="22" t="str">
        <f>VLOOKUP($A1172, 'Hospitalisation Details'!$A:$M, 13, FALSE)</f>
        <v>tier - 2</v>
      </c>
      <c r="O1172" s="22" t="str">
        <f>VLOOKUP($A1172, 'Hospitalisation Details'!$A:$N, 14, FALSE)</f>
        <v>R1026</v>
      </c>
      <c r="P1172" s="36">
        <f>VLOOKUP($A1172, 'Hospitalisation Details'!$A:$O, 15, FALSE)</f>
        <v>24</v>
      </c>
    </row>
    <row r="1173" ht="15.75" customHeight="1">
      <c r="A1173" s="33" t="s">
        <v>2345</v>
      </c>
      <c r="B1173" s="22" t="str">
        <f>VLOOKUP($A1173,'Customer Names'!$A:$D,3, FALSE)</f>
        <v>Capriccioso</v>
      </c>
      <c r="C1173" s="22">
        <f>VLOOKUP($A1173,'Medical Examinations'!$A:$D, 2, FALSE)</f>
        <v>31.2</v>
      </c>
      <c r="D1173" s="22">
        <f>VLOOKUP($A1173, 'Medical Examinations'!$A:$D,3, FALSE)</f>
        <v>11.04</v>
      </c>
      <c r="E1173" s="22" t="str">
        <f>VLOOKUP($A1173, 'Medical Examinations'!$A:$D, 4, FALSE)</f>
        <v>Yes</v>
      </c>
      <c r="F1173" s="22" t="str">
        <f>VLOOKUP($A1173, 'Medical Examinations'!$A:$J, 5, FALSE)</f>
        <v>No</v>
      </c>
      <c r="G1173" s="22" t="str">
        <f>VLOOKUP($A1173, 'Medical Examinations'!$A:$I, 6, FALSE)</f>
        <v>No</v>
      </c>
      <c r="H1173" s="22">
        <f>VLOOKUP($A1173,'Medical Examinations'!$A:$L,10, FALSE)</f>
        <v>2</v>
      </c>
      <c r="I1173" s="22" t="str">
        <f>VLOOKUP($A1173, 'Medical Examinations'!$A:$J, 9, FALSE)</f>
        <v>No</v>
      </c>
      <c r="J1173" s="22" t="str">
        <f>VLOOKUP($A1173, 'Medical Examinations'!$A:$P, 11, FALSE)</f>
        <v>OBESITY</v>
      </c>
      <c r="K1173" s="34">
        <v>36877.0</v>
      </c>
      <c r="L1173" s="35">
        <f>VLOOKUP($A1173, 'Hospitalisation Details'!$A:$H, 7, FALSE)</f>
        <v>9625.92</v>
      </c>
      <c r="M1173" s="22" t="str">
        <f>VLOOKUP($A1173, 'Hospitalisation Details'!$A:$L, 12, FALSE)</f>
        <v>tier - 2</v>
      </c>
      <c r="N1173" s="22" t="str">
        <f>VLOOKUP($A1173, 'Hospitalisation Details'!$A:$M, 13, FALSE)</f>
        <v>tier - 3</v>
      </c>
      <c r="O1173" s="22" t="str">
        <f>VLOOKUP($A1173, 'Hospitalisation Details'!$A:$N, 14, FALSE)</f>
        <v>R1011</v>
      </c>
      <c r="P1173" s="36">
        <f>VLOOKUP($A1173, 'Hospitalisation Details'!$A:$O, 15, FALSE)</f>
        <v>52</v>
      </c>
    </row>
    <row r="1174" ht="15.75" customHeight="1">
      <c r="A1174" s="33" t="s">
        <v>2347</v>
      </c>
      <c r="B1174" s="22" t="str">
        <f>VLOOKUP($A1174,'Customer Names'!$A:$D,3, FALSE)</f>
        <v>Starbuck</v>
      </c>
      <c r="C1174" s="22">
        <f>VLOOKUP($A1174,'Medical Examinations'!$A:$D, 2, FALSE)</f>
        <v>29.83</v>
      </c>
      <c r="D1174" s="22">
        <f>VLOOKUP($A1174, 'Medical Examinations'!$A:$D,3, FALSE)</f>
        <v>7.81</v>
      </c>
      <c r="E1174" s="22" t="str">
        <f>VLOOKUP($A1174, 'Medical Examinations'!$A:$D, 4, FALSE)</f>
        <v>Yes</v>
      </c>
      <c r="F1174" s="22" t="str">
        <f>VLOOKUP($A1174, 'Medical Examinations'!$A:$J, 5, FALSE)</f>
        <v>No</v>
      </c>
      <c r="G1174" s="22" t="str">
        <f>VLOOKUP($A1174, 'Medical Examinations'!$A:$I, 6, FALSE)</f>
        <v>No</v>
      </c>
      <c r="H1174" s="22">
        <f>VLOOKUP($A1174,'Medical Examinations'!$A:$L,10, FALSE)</f>
        <v>1</v>
      </c>
      <c r="I1174" s="22" t="str">
        <f>VLOOKUP($A1174, 'Medical Examinations'!$A:$J, 9, FALSE)</f>
        <v>No</v>
      </c>
      <c r="J1174" s="22" t="str">
        <f>VLOOKUP($A1174, 'Medical Examinations'!$A:$P, 11, FALSE)</f>
        <v>OVERWEIGHT</v>
      </c>
      <c r="K1174" s="34">
        <v>37958.0</v>
      </c>
      <c r="L1174" s="35">
        <f>VLOOKUP($A1174, 'Hospitalisation Details'!$A:$H, 7, FALSE)</f>
        <v>9620.33</v>
      </c>
      <c r="M1174" s="22" t="str">
        <f>VLOOKUP($A1174, 'Hospitalisation Details'!$A:$L, 12, FALSE)</f>
        <v>tier - 3</v>
      </c>
      <c r="N1174" s="22" t="str">
        <f>VLOOKUP($A1174, 'Hospitalisation Details'!$A:$M, 13, FALSE)</f>
        <v>tier - 3</v>
      </c>
      <c r="O1174" s="22" t="str">
        <f>VLOOKUP($A1174, 'Hospitalisation Details'!$A:$N, 14, FALSE)</f>
        <v>R1012</v>
      </c>
      <c r="P1174" s="36">
        <f>VLOOKUP($A1174, 'Hospitalisation Details'!$A:$O, 15, FALSE)</f>
        <v>47</v>
      </c>
    </row>
    <row r="1175" ht="15.75" customHeight="1">
      <c r="A1175" s="33" t="s">
        <v>2349</v>
      </c>
      <c r="B1175" s="22" t="str">
        <f>VLOOKUP($A1175,'Customer Names'!$A:$D,3, FALSE)</f>
        <v>McMahon</v>
      </c>
      <c r="C1175" s="22">
        <f>VLOOKUP($A1175,'Medical Examinations'!$A:$D, 2, FALSE)</f>
        <v>29.06</v>
      </c>
      <c r="D1175" s="22">
        <f>VLOOKUP($A1175, 'Medical Examinations'!$A:$D,3, FALSE)</f>
        <v>4.55</v>
      </c>
      <c r="E1175" s="22" t="str">
        <f>VLOOKUP($A1175, 'Medical Examinations'!$A:$D, 4, FALSE)</f>
        <v>No</v>
      </c>
      <c r="F1175" s="22" t="str">
        <f>VLOOKUP($A1175, 'Medical Examinations'!$A:$J, 5, FALSE)</f>
        <v>No</v>
      </c>
      <c r="G1175" s="22" t="str">
        <f>VLOOKUP($A1175, 'Medical Examinations'!$A:$I, 6, FALSE)</f>
        <v>No</v>
      </c>
      <c r="H1175" s="22">
        <f>VLOOKUP($A1175,'Medical Examinations'!$A:$L,10, FALSE)</f>
        <v>0</v>
      </c>
      <c r="I1175" s="22" t="str">
        <f>VLOOKUP($A1175, 'Medical Examinations'!$A:$J, 9, FALSE)</f>
        <v>No</v>
      </c>
      <c r="J1175" s="22" t="str">
        <f>VLOOKUP($A1175, 'Medical Examinations'!$A:$P, 11, FALSE)</f>
        <v>OVERWEIGHT</v>
      </c>
      <c r="K1175" s="34">
        <v>35709.0</v>
      </c>
      <c r="L1175" s="35">
        <f>VLOOKUP($A1175, 'Hospitalisation Details'!$A:$H, 7, FALSE)</f>
        <v>9619.18</v>
      </c>
      <c r="M1175" s="22" t="str">
        <f>VLOOKUP($A1175, 'Hospitalisation Details'!$A:$L, 12, FALSE)</f>
        <v>tier - 2</v>
      </c>
      <c r="N1175" s="22" t="str">
        <f>VLOOKUP($A1175, 'Hospitalisation Details'!$A:$M, 13, FALSE)</f>
        <v>tier - 1</v>
      </c>
      <c r="O1175" s="22" t="str">
        <f>VLOOKUP($A1175, 'Hospitalisation Details'!$A:$N, 14, FALSE)</f>
        <v>R1025</v>
      </c>
      <c r="P1175" s="36">
        <f>VLOOKUP($A1175, 'Hospitalisation Details'!$A:$O, 15, FALSE)</f>
        <v>40</v>
      </c>
    </row>
    <row r="1176" ht="15.75" customHeight="1">
      <c r="A1176" s="33" t="s">
        <v>2351</v>
      </c>
      <c r="B1176" s="22" t="str">
        <f>VLOOKUP($A1176,'Customer Names'!$A:$D,3, FALSE)</f>
        <v>Rissell</v>
      </c>
      <c r="C1176" s="22">
        <f>VLOOKUP($A1176,'Medical Examinations'!$A:$D, 2, FALSE)</f>
        <v>27.455</v>
      </c>
      <c r="D1176" s="22">
        <f>VLOOKUP($A1176, 'Medical Examinations'!$A:$D,3, FALSE)</f>
        <v>6.13</v>
      </c>
      <c r="E1176" s="22" t="str">
        <f>VLOOKUP($A1176, 'Medical Examinations'!$A:$D, 4, FALSE)</f>
        <v>No</v>
      </c>
      <c r="F1176" s="22" t="str">
        <f>VLOOKUP($A1176, 'Medical Examinations'!$A:$J, 5, FALSE)</f>
        <v>No</v>
      </c>
      <c r="G1176" s="22" t="str">
        <f>VLOOKUP($A1176, 'Medical Examinations'!$A:$I, 6, FALSE)</f>
        <v>No</v>
      </c>
      <c r="H1176" s="22">
        <f>VLOOKUP($A1176,'Medical Examinations'!$A:$L,10, FALSE)</f>
        <v>2</v>
      </c>
      <c r="I1176" s="22" t="str">
        <f>VLOOKUP($A1176, 'Medical Examinations'!$A:$J, 9, FALSE)</f>
        <v>No</v>
      </c>
      <c r="J1176" s="22" t="str">
        <f>VLOOKUP($A1176, 'Medical Examinations'!$A:$P, 11, FALSE)</f>
        <v>OVERWEIGHT</v>
      </c>
      <c r="K1176" s="34">
        <v>29912.0</v>
      </c>
      <c r="L1176" s="35">
        <f>VLOOKUP($A1176, 'Hospitalisation Details'!$A:$H, 7, FALSE)</f>
        <v>9617.66</v>
      </c>
      <c r="M1176" s="22" t="str">
        <f>VLOOKUP($A1176, 'Hospitalisation Details'!$A:$L, 12, FALSE)</f>
        <v>tier - 3</v>
      </c>
      <c r="N1176" s="22" t="str">
        <f>VLOOKUP($A1176, 'Hospitalisation Details'!$A:$M, 13, FALSE)</f>
        <v>tier - 3</v>
      </c>
      <c r="O1176" s="22" t="str">
        <f>VLOOKUP($A1176, 'Hospitalisation Details'!$A:$N, 14, FALSE)</f>
        <v>R1016</v>
      </c>
      <c r="P1176" s="36">
        <f>VLOOKUP($A1176, 'Hospitalisation Details'!$A:$O, 15, FALSE)</f>
        <v>50</v>
      </c>
    </row>
    <row r="1177" ht="15.75" customHeight="1">
      <c r="A1177" s="33" t="s">
        <v>2353</v>
      </c>
      <c r="B1177" s="22" t="str">
        <f>VLOOKUP($A1177,'Customer Names'!$A:$D,3, FALSE)</f>
        <v>Kromroy</v>
      </c>
      <c r="C1177" s="22">
        <f>VLOOKUP($A1177,'Medical Examinations'!$A:$D, 2, FALSE)</f>
        <v>23.01</v>
      </c>
      <c r="D1177" s="22">
        <f>VLOOKUP($A1177, 'Medical Examinations'!$A:$D,3, FALSE)</f>
        <v>6.04</v>
      </c>
      <c r="E1177" s="22" t="str">
        <f>VLOOKUP($A1177, 'Medical Examinations'!$A:$D, 4, FALSE)</f>
        <v>Yes</v>
      </c>
      <c r="F1177" s="22" t="str">
        <f>VLOOKUP($A1177, 'Medical Examinations'!$A:$J, 5, FALSE)</f>
        <v>No</v>
      </c>
      <c r="G1177" s="22" t="str">
        <f>VLOOKUP($A1177, 'Medical Examinations'!$A:$I, 6, FALSE)</f>
        <v>No</v>
      </c>
      <c r="H1177" s="22">
        <f>VLOOKUP($A1177,'Medical Examinations'!$A:$L,10, FALSE)</f>
        <v>1</v>
      </c>
      <c r="I1177" s="22" t="str">
        <f>VLOOKUP($A1177, 'Medical Examinations'!$A:$J, 9, FALSE)</f>
        <v>No</v>
      </c>
      <c r="J1177" s="22" t="str">
        <f>VLOOKUP($A1177, 'Medical Examinations'!$A:$P, 11, FALSE)</f>
        <v>NORMAL WEIGHT</v>
      </c>
      <c r="K1177" s="34">
        <v>32375.0</v>
      </c>
      <c r="L1177" s="35">
        <f>VLOOKUP($A1177, 'Hospitalisation Details'!$A:$H, 7, FALSE)</f>
        <v>9597.63</v>
      </c>
      <c r="M1177" s="22" t="str">
        <f>VLOOKUP($A1177, 'Hospitalisation Details'!$A:$L, 12, FALSE)</f>
        <v>tier - 3</v>
      </c>
      <c r="N1177" s="22" t="str">
        <f>VLOOKUP($A1177, 'Hospitalisation Details'!$A:$M, 13, FALSE)</f>
        <v>tier - 3</v>
      </c>
      <c r="O1177" s="22" t="str">
        <f>VLOOKUP($A1177, 'Hospitalisation Details'!$A:$N, 14, FALSE)</f>
        <v>R1013</v>
      </c>
      <c r="P1177" s="36">
        <f>VLOOKUP($A1177, 'Hospitalisation Details'!$A:$O, 15, FALSE)</f>
        <v>58</v>
      </c>
    </row>
    <row r="1178" ht="15.75" customHeight="1">
      <c r="A1178" s="33" t="s">
        <v>2355</v>
      </c>
      <c r="B1178" s="22" t="str">
        <f>VLOOKUP($A1178,'Customer Names'!$A:$D,3, FALSE)</f>
        <v>Manfredi</v>
      </c>
      <c r="C1178" s="22">
        <f>VLOOKUP($A1178,'Medical Examinations'!$A:$D, 2, FALSE)</f>
        <v>31.39</v>
      </c>
      <c r="D1178" s="22">
        <f>VLOOKUP($A1178, 'Medical Examinations'!$A:$D,3, FALSE)</f>
        <v>8.85</v>
      </c>
      <c r="E1178" s="22" t="str">
        <f>VLOOKUP($A1178, 'Medical Examinations'!$A:$D, 4, FALSE)</f>
        <v>Yes</v>
      </c>
      <c r="F1178" s="22" t="str">
        <f>VLOOKUP($A1178, 'Medical Examinations'!$A:$J, 5, FALSE)</f>
        <v>No</v>
      </c>
      <c r="G1178" s="22" t="str">
        <f>VLOOKUP($A1178, 'Medical Examinations'!$A:$I, 6, FALSE)</f>
        <v>No</v>
      </c>
      <c r="H1178" s="22">
        <f>VLOOKUP($A1178,'Medical Examinations'!$A:$L,10, FALSE)</f>
        <v>0</v>
      </c>
      <c r="I1178" s="22" t="str">
        <f>VLOOKUP($A1178, 'Medical Examinations'!$A:$J, 9, FALSE)</f>
        <v>No</v>
      </c>
      <c r="J1178" s="22" t="str">
        <f>VLOOKUP($A1178, 'Medical Examinations'!$A:$P, 11, FALSE)</f>
        <v>OBESITY</v>
      </c>
      <c r="K1178" s="34">
        <v>35733.0</v>
      </c>
      <c r="L1178" s="35">
        <f>VLOOKUP($A1178, 'Hospitalisation Details'!$A:$H, 7, FALSE)</f>
        <v>9584.04</v>
      </c>
      <c r="M1178" s="22" t="str">
        <f>VLOOKUP($A1178, 'Hospitalisation Details'!$A:$L, 12, FALSE)</f>
        <v>tier - 2</v>
      </c>
      <c r="N1178" s="22" t="str">
        <f>VLOOKUP($A1178, 'Hospitalisation Details'!$A:$M, 13, FALSE)</f>
        <v>tier - 1</v>
      </c>
      <c r="O1178" s="22" t="str">
        <f>VLOOKUP($A1178, 'Hospitalisation Details'!$A:$N, 14, FALSE)</f>
        <v>R1021</v>
      </c>
      <c r="P1178" s="36">
        <f>VLOOKUP($A1178, 'Hospitalisation Details'!$A:$O, 15, FALSE)</f>
        <v>41</v>
      </c>
    </row>
    <row r="1179" ht="15.75" customHeight="1">
      <c r="A1179" s="33" t="s">
        <v>2357</v>
      </c>
      <c r="B1179" s="22" t="str">
        <f>VLOOKUP($A1179,'Customer Names'!$A:$D,3, FALSE)</f>
        <v>Manwaring</v>
      </c>
      <c r="C1179" s="22">
        <f>VLOOKUP($A1179,'Medical Examinations'!$A:$D, 2, FALSE)</f>
        <v>34.77</v>
      </c>
      <c r="D1179" s="22">
        <f>VLOOKUP($A1179, 'Medical Examinations'!$A:$D,3, FALSE)</f>
        <v>10.54</v>
      </c>
      <c r="E1179" s="22" t="str">
        <f>VLOOKUP($A1179, 'Medical Examinations'!$A:$D, 4, FALSE)</f>
        <v>No</v>
      </c>
      <c r="F1179" s="22" t="str">
        <f>VLOOKUP($A1179, 'Medical Examinations'!$A:$J, 5, FALSE)</f>
        <v>No</v>
      </c>
      <c r="G1179" s="22" t="str">
        <f>VLOOKUP($A1179, 'Medical Examinations'!$A:$I, 6, FALSE)</f>
        <v>No</v>
      </c>
      <c r="H1179" s="22">
        <f>VLOOKUP($A1179,'Medical Examinations'!$A:$L,10, FALSE)</f>
        <v>2</v>
      </c>
      <c r="I1179" s="22" t="str">
        <f>VLOOKUP($A1179, 'Medical Examinations'!$A:$J, 9, FALSE)</f>
        <v>No</v>
      </c>
      <c r="J1179" s="22" t="str">
        <f>VLOOKUP($A1179, 'Medical Examinations'!$A:$P, 11, FALSE)</f>
        <v>OBESITY</v>
      </c>
      <c r="K1179" s="34">
        <v>37839.0</v>
      </c>
      <c r="L1179" s="35">
        <f>VLOOKUP($A1179, 'Hospitalisation Details'!$A:$H, 7, FALSE)</f>
        <v>9583.89</v>
      </c>
      <c r="M1179" s="22" t="str">
        <f>VLOOKUP($A1179, 'Hospitalisation Details'!$A:$L, 12, FALSE)</f>
        <v>tier - 2</v>
      </c>
      <c r="N1179" s="22" t="str">
        <f>VLOOKUP($A1179, 'Hospitalisation Details'!$A:$M, 13, FALSE)</f>
        <v>tier - 3</v>
      </c>
      <c r="O1179" s="22" t="str">
        <f>VLOOKUP($A1179, 'Hospitalisation Details'!$A:$N, 14, FALSE)</f>
        <v>R1012</v>
      </c>
      <c r="P1179" s="36">
        <f>VLOOKUP($A1179, 'Hospitalisation Details'!$A:$O, 15, FALSE)</f>
        <v>49</v>
      </c>
    </row>
    <row r="1180" ht="15.75" customHeight="1">
      <c r="A1180" s="33" t="s">
        <v>2359</v>
      </c>
      <c r="B1180" s="22" t="str">
        <f>VLOOKUP($A1180,'Customer Names'!$A:$D,3, FALSE)</f>
        <v>Tomaszewski</v>
      </c>
      <c r="C1180" s="22">
        <f>VLOOKUP($A1180,'Medical Examinations'!$A:$D, 2, FALSE)</f>
        <v>24.48</v>
      </c>
      <c r="D1180" s="22">
        <f>VLOOKUP($A1180, 'Medical Examinations'!$A:$D,3, FALSE)</f>
        <v>4.37</v>
      </c>
      <c r="E1180" s="22" t="str">
        <f>VLOOKUP($A1180, 'Medical Examinations'!$A:$D, 4, FALSE)</f>
        <v>Yes</v>
      </c>
      <c r="F1180" s="22" t="str">
        <f>VLOOKUP($A1180, 'Medical Examinations'!$A:$J, 5, FALSE)</f>
        <v>No</v>
      </c>
      <c r="G1180" s="22" t="str">
        <f>VLOOKUP($A1180, 'Medical Examinations'!$A:$I, 6, FALSE)</f>
        <v>No</v>
      </c>
      <c r="H1180" s="22">
        <f>VLOOKUP($A1180,'Medical Examinations'!$A:$L,10, FALSE)</f>
        <v>2</v>
      </c>
      <c r="I1180" s="22" t="str">
        <f>VLOOKUP($A1180, 'Medical Examinations'!$A:$J, 9, FALSE)</f>
        <v>No</v>
      </c>
      <c r="J1180" s="22" t="str">
        <f>VLOOKUP($A1180, 'Medical Examinations'!$A:$P, 11, FALSE)</f>
        <v>NORMAL WEIGHT</v>
      </c>
      <c r="K1180" s="34">
        <v>37956.0</v>
      </c>
      <c r="L1180" s="35">
        <f>VLOOKUP($A1180, 'Hospitalisation Details'!$A:$H, 7, FALSE)</f>
        <v>9582.54</v>
      </c>
      <c r="M1180" s="22" t="str">
        <f>VLOOKUP($A1180, 'Hospitalisation Details'!$A:$L, 12, FALSE)</f>
        <v>tier - 3</v>
      </c>
      <c r="N1180" s="22" t="str">
        <f>VLOOKUP($A1180, 'Hospitalisation Details'!$A:$M, 13, FALSE)</f>
        <v>tier - 2</v>
      </c>
      <c r="O1180" s="22" t="str">
        <f>VLOOKUP($A1180, 'Hospitalisation Details'!$A:$N, 14, FALSE)</f>
        <v>R1013</v>
      </c>
      <c r="P1180" s="36">
        <f>VLOOKUP($A1180, 'Hospitalisation Details'!$A:$O, 15, FALSE)</f>
        <v>56</v>
      </c>
    </row>
    <row r="1181" ht="15.75" customHeight="1">
      <c r="A1181" s="33" t="s">
        <v>2361</v>
      </c>
      <c r="B1181" s="22" t="str">
        <f>VLOOKUP($A1181,'Customer Names'!$A:$D,3, FALSE)</f>
        <v>Gannon</v>
      </c>
      <c r="C1181" s="22">
        <f>VLOOKUP($A1181,'Medical Examinations'!$A:$D, 2, FALSE)</f>
        <v>22.61</v>
      </c>
      <c r="D1181" s="22">
        <f>VLOOKUP($A1181, 'Medical Examinations'!$A:$D,3, FALSE)</f>
        <v>9.63</v>
      </c>
      <c r="E1181" s="22" t="str">
        <f>VLOOKUP($A1181, 'Medical Examinations'!$A:$D, 4, FALSE)</f>
        <v>No</v>
      </c>
      <c r="F1181" s="22" t="str">
        <f>VLOOKUP($A1181, 'Medical Examinations'!$A:$J, 5, FALSE)</f>
        <v>No</v>
      </c>
      <c r="G1181" s="22" t="str">
        <f>VLOOKUP($A1181, 'Medical Examinations'!$A:$I, 6, FALSE)</f>
        <v>No</v>
      </c>
      <c r="H1181" s="22">
        <f>VLOOKUP($A1181,'Medical Examinations'!$A:$L,10, FALSE)</f>
        <v>2</v>
      </c>
      <c r="I1181" s="22" t="str">
        <f>VLOOKUP($A1181, 'Medical Examinations'!$A:$J, 9, FALSE)</f>
        <v>No</v>
      </c>
      <c r="J1181" s="22" t="str">
        <f>VLOOKUP($A1181, 'Medical Examinations'!$A:$P, 11, FALSE)</f>
        <v>NORMAL WEIGHT</v>
      </c>
      <c r="K1181" s="34">
        <v>37946.0</v>
      </c>
      <c r="L1181" s="35">
        <f>VLOOKUP($A1181, 'Hospitalisation Details'!$A:$H, 7, FALSE)</f>
        <v>9566.99</v>
      </c>
      <c r="M1181" s="22" t="str">
        <f>VLOOKUP($A1181, 'Hospitalisation Details'!$A:$L, 12, FALSE)</f>
        <v>tier - 2</v>
      </c>
      <c r="N1181" s="22" t="str">
        <f>VLOOKUP($A1181, 'Hospitalisation Details'!$A:$M, 13, FALSE)</f>
        <v>tier - 1</v>
      </c>
      <c r="O1181" s="22" t="str">
        <f>VLOOKUP($A1181, 'Hospitalisation Details'!$A:$N, 14, FALSE)</f>
        <v>R1012</v>
      </c>
      <c r="P1181" s="36">
        <f>VLOOKUP($A1181, 'Hospitalisation Details'!$A:$O, 15, FALSE)</f>
        <v>49</v>
      </c>
    </row>
    <row r="1182" ht="15.75" customHeight="1">
      <c r="A1182" s="33" t="s">
        <v>2363</v>
      </c>
      <c r="B1182" s="22" t="str">
        <f>VLOOKUP($A1182,'Customer Names'!$A:$D,3, FALSE)</f>
        <v>Frye</v>
      </c>
      <c r="C1182" s="22">
        <f>VLOOKUP($A1182,'Medical Examinations'!$A:$D, 2, FALSE)</f>
        <v>34.3</v>
      </c>
      <c r="D1182" s="22">
        <f>VLOOKUP($A1182, 'Medical Examinations'!$A:$D,3, FALSE)</f>
        <v>10.37</v>
      </c>
      <c r="E1182" s="22" t="str">
        <f>VLOOKUP($A1182, 'Medical Examinations'!$A:$D, 4, FALSE)</f>
        <v>No</v>
      </c>
      <c r="F1182" s="22" t="str">
        <f>VLOOKUP($A1182, 'Medical Examinations'!$A:$J, 5, FALSE)</f>
        <v>No</v>
      </c>
      <c r="G1182" s="22" t="str">
        <f>VLOOKUP($A1182, 'Medical Examinations'!$A:$I, 6, FALSE)</f>
        <v>No</v>
      </c>
      <c r="H1182" s="22">
        <f>VLOOKUP($A1182,'Medical Examinations'!$A:$L,10, FALSE)</f>
        <v>0</v>
      </c>
      <c r="I1182" s="22" t="str">
        <f>VLOOKUP($A1182, 'Medical Examinations'!$A:$J, 9, FALSE)</f>
        <v>No</v>
      </c>
      <c r="J1182" s="22" t="str">
        <f>VLOOKUP($A1182, 'Medical Examinations'!$A:$P, 11, FALSE)</f>
        <v>OBESITY</v>
      </c>
      <c r="K1182" s="34">
        <v>37819.0</v>
      </c>
      <c r="L1182" s="35">
        <f>VLOOKUP($A1182, 'Hospitalisation Details'!$A:$H, 7, FALSE)</f>
        <v>9563.03</v>
      </c>
      <c r="M1182" s="22" t="str">
        <f>VLOOKUP($A1182, 'Hospitalisation Details'!$A:$L, 12, FALSE)</f>
        <v>tier - 3</v>
      </c>
      <c r="N1182" s="22" t="str">
        <f>VLOOKUP($A1182, 'Hospitalisation Details'!$A:$M, 13, FALSE)</f>
        <v>tier - 1</v>
      </c>
      <c r="O1182" s="22" t="str">
        <f>VLOOKUP($A1182, 'Hospitalisation Details'!$A:$N, 14, FALSE)</f>
        <v>R1011</v>
      </c>
      <c r="P1182" s="36">
        <f>VLOOKUP($A1182, 'Hospitalisation Details'!$A:$O, 15, FALSE)</f>
        <v>48</v>
      </c>
    </row>
    <row r="1183" ht="15.75" customHeight="1">
      <c r="A1183" s="33" t="s">
        <v>2365</v>
      </c>
      <c r="B1183" s="22" t="str">
        <f>VLOOKUP($A1183,'Customer Names'!$A:$D,3, FALSE)</f>
        <v>Jenkins</v>
      </c>
      <c r="C1183" s="22">
        <f>VLOOKUP($A1183,'Medical Examinations'!$A:$D, 2, FALSE)</f>
        <v>46.09</v>
      </c>
      <c r="D1183" s="22">
        <f>VLOOKUP($A1183, 'Medical Examinations'!$A:$D,3, FALSE)</f>
        <v>5.44</v>
      </c>
      <c r="E1183" s="22" t="str">
        <f>VLOOKUP($A1183, 'Medical Examinations'!$A:$D, 4, FALSE)</f>
        <v>No</v>
      </c>
      <c r="F1183" s="22" t="str">
        <f>VLOOKUP($A1183, 'Medical Examinations'!$A:$J, 5, FALSE)</f>
        <v>No</v>
      </c>
      <c r="G1183" s="22" t="str">
        <f>VLOOKUP($A1183, 'Medical Examinations'!$A:$I, 6, FALSE)</f>
        <v>No</v>
      </c>
      <c r="H1183" s="22">
        <f>VLOOKUP($A1183,'Medical Examinations'!$A:$L,10, FALSE)</f>
        <v>2</v>
      </c>
      <c r="I1183" s="22" t="str">
        <f>VLOOKUP($A1183, 'Medical Examinations'!$A:$J, 9, FALSE)</f>
        <v>No</v>
      </c>
      <c r="J1183" s="22" t="str">
        <f>VLOOKUP($A1183, 'Medical Examinations'!$A:$P, 11, FALSE)</f>
        <v>OBESITY</v>
      </c>
      <c r="K1183" s="34">
        <v>35229.0</v>
      </c>
      <c r="L1183" s="35">
        <f>VLOOKUP($A1183, 'Hospitalisation Details'!$A:$H, 7, FALSE)</f>
        <v>9549.57</v>
      </c>
      <c r="M1183" s="22" t="str">
        <f>VLOOKUP($A1183, 'Hospitalisation Details'!$A:$L, 12, FALSE)</f>
        <v>tier - 2</v>
      </c>
      <c r="N1183" s="22" t="str">
        <f>VLOOKUP($A1183, 'Hospitalisation Details'!$A:$M, 13, FALSE)</f>
        <v>tier - 1</v>
      </c>
      <c r="O1183" s="22" t="str">
        <f>VLOOKUP($A1183, 'Hospitalisation Details'!$A:$N, 14, FALSE)</f>
        <v>R1013</v>
      </c>
      <c r="P1183" s="36">
        <f>VLOOKUP($A1183, 'Hospitalisation Details'!$A:$O, 15, FALSE)</f>
        <v>50</v>
      </c>
    </row>
    <row r="1184" ht="15.75" customHeight="1">
      <c r="A1184" s="33" t="s">
        <v>2367</v>
      </c>
      <c r="B1184" s="22" t="str">
        <f>VLOOKUP($A1184,'Customer Names'!$A:$D,3, FALSE)</f>
        <v>Currier</v>
      </c>
      <c r="C1184" s="22">
        <f>VLOOKUP($A1184,'Medical Examinations'!$A:$D, 2, FALSE)</f>
        <v>44.745</v>
      </c>
      <c r="D1184" s="22">
        <f>VLOOKUP($A1184, 'Medical Examinations'!$A:$D,3, FALSE)</f>
        <v>5.19</v>
      </c>
      <c r="E1184" s="22" t="str">
        <f>VLOOKUP($A1184, 'Medical Examinations'!$A:$D, 4, FALSE)</f>
        <v>No</v>
      </c>
      <c r="F1184" s="22" t="str">
        <f>VLOOKUP($A1184, 'Medical Examinations'!$A:$J, 5, FALSE)</f>
        <v>No</v>
      </c>
      <c r="G1184" s="22" t="str">
        <f>VLOOKUP($A1184, 'Medical Examinations'!$A:$I, 6, FALSE)</f>
        <v>No</v>
      </c>
      <c r="H1184" s="22">
        <f>VLOOKUP($A1184,'Medical Examinations'!$A:$L,10, FALSE)</f>
        <v>2</v>
      </c>
      <c r="I1184" s="22" t="str">
        <f>VLOOKUP($A1184, 'Medical Examinations'!$A:$J, 9, FALSE)</f>
        <v>No</v>
      </c>
      <c r="J1184" s="22" t="str">
        <f>VLOOKUP($A1184, 'Medical Examinations'!$A:$P, 11, FALSE)</f>
        <v>OBESITY</v>
      </c>
      <c r="K1184" s="34">
        <v>36322.0</v>
      </c>
      <c r="L1184" s="35">
        <f>VLOOKUP($A1184, 'Hospitalisation Details'!$A:$H, 7, FALSE)</f>
        <v>9541.7</v>
      </c>
      <c r="M1184" s="22" t="str">
        <f>VLOOKUP($A1184, 'Hospitalisation Details'!$A:$L, 12, FALSE)</f>
        <v>tier - 2</v>
      </c>
      <c r="N1184" s="22" t="str">
        <f>VLOOKUP($A1184, 'Hospitalisation Details'!$A:$M, 13, FALSE)</f>
        <v>tier - 1</v>
      </c>
      <c r="O1184" s="22" t="str">
        <f>VLOOKUP($A1184, 'Hospitalisation Details'!$A:$N, 14, FALSE)</f>
        <v>R1024</v>
      </c>
      <c r="P1184" s="36">
        <f>VLOOKUP($A1184, 'Hospitalisation Details'!$A:$O, 15, FALSE)</f>
        <v>50</v>
      </c>
    </row>
    <row r="1185" ht="15.75" customHeight="1">
      <c r="A1185" s="33" t="s">
        <v>2369</v>
      </c>
      <c r="B1185" s="22" t="str">
        <f>VLOOKUP($A1185,'Customer Names'!$A:$D,3, FALSE)</f>
        <v>Whittendale</v>
      </c>
      <c r="C1185" s="22">
        <f>VLOOKUP($A1185,'Medical Examinations'!$A:$D, 2, FALSE)</f>
        <v>26.33</v>
      </c>
      <c r="D1185" s="22">
        <f>VLOOKUP($A1185, 'Medical Examinations'!$A:$D,3, FALSE)</f>
        <v>11.8</v>
      </c>
      <c r="E1185" s="22" t="str">
        <f>VLOOKUP($A1185, 'Medical Examinations'!$A:$D, 4, FALSE)</f>
        <v>Yes</v>
      </c>
      <c r="F1185" s="22" t="str">
        <f>VLOOKUP($A1185, 'Medical Examinations'!$A:$J, 5, FALSE)</f>
        <v>No</v>
      </c>
      <c r="G1185" s="22" t="str">
        <f>VLOOKUP($A1185, 'Medical Examinations'!$A:$I, 6, FALSE)</f>
        <v>No</v>
      </c>
      <c r="H1185" s="22">
        <f>VLOOKUP($A1185,'Medical Examinations'!$A:$L,10, FALSE)</f>
        <v>1</v>
      </c>
      <c r="I1185" s="22" t="str">
        <f>VLOOKUP($A1185, 'Medical Examinations'!$A:$J, 9, FALSE)</f>
        <v>No</v>
      </c>
      <c r="J1185" s="22" t="str">
        <f>VLOOKUP($A1185, 'Medical Examinations'!$A:$P, 11, FALSE)</f>
        <v>OVERWEIGHT</v>
      </c>
      <c r="K1185" s="34">
        <v>34609.0</v>
      </c>
      <c r="L1185" s="35">
        <f>VLOOKUP($A1185, 'Hospitalisation Details'!$A:$H, 7, FALSE)</f>
        <v>9540.17</v>
      </c>
      <c r="M1185" s="22" t="str">
        <f>VLOOKUP($A1185, 'Hospitalisation Details'!$A:$L, 12, FALSE)</f>
        <v>tier - 2</v>
      </c>
      <c r="N1185" s="22" t="str">
        <f>VLOOKUP($A1185, 'Hospitalisation Details'!$A:$M, 13, FALSE)</f>
        <v>tier - 2</v>
      </c>
      <c r="O1185" s="22" t="str">
        <f>VLOOKUP($A1185, 'Hospitalisation Details'!$A:$N, 14, FALSE)</f>
        <v>R1024</v>
      </c>
      <c r="P1185" s="36">
        <f>VLOOKUP($A1185, 'Hospitalisation Details'!$A:$O, 15, FALSE)</f>
        <v>47</v>
      </c>
    </row>
    <row r="1186" ht="15.75" customHeight="1">
      <c r="A1186" s="33" t="s">
        <v>2371</v>
      </c>
      <c r="B1186" s="22" t="str">
        <f>VLOOKUP($A1186,'Customer Names'!$A:$D,3, FALSE)</f>
        <v>Rixe</v>
      </c>
      <c r="C1186" s="22">
        <f>VLOOKUP($A1186,'Medical Examinations'!$A:$D, 2, FALSE)</f>
        <v>26.6</v>
      </c>
      <c r="D1186" s="22">
        <f>VLOOKUP($A1186, 'Medical Examinations'!$A:$D,3, FALSE)</f>
        <v>8.38</v>
      </c>
      <c r="E1186" s="22" t="str">
        <f>VLOOKUP($A1186, 'Medical Examinations'!$A:$D, 4, FALSE)</f>
        <v>No</v>
      </c>
      <c r="F1186" s="22" t="str">
        <f>VLOOKUP($A1186, 'Medical Examinations'!$A:$J, 5, FALSE)</f>
        <v>No</v>
      </c>
      <c r="G1186" s="22" t="str">
        <f>VLOOKUP($A1186, 'Medical Examinations'!$A:$I, 6, FALSE)</f>
        <v>No</v>
      </c>
      <c r="H1186" s="22">
        <f>VLOOKUP($A1186,'Medical Examinations'!$A:$L,10, FALSE)</f>
        <v>2</v>
      </c>
      <c r="I1186" s="22" t="str">
        <f>VLOOKUP($A1186, 'Medical Examinations'!$A:$J, 9, FALSE)</f>
        <v>No</v>
      </c>
      <c r="J1186" s="22" t="str">
        <f>VLOOKUP($A1186, 'Medical Examinations'!$A:$P, 11, FALSE)</f>
        <v>OVERWEIGHT</v>
      </c>
      <c r="K1186" s="34">
        <v>34594.0</v>
      </c>
      <c r="L1186" s="35">
        <f>VLOOKUP($A1186, 'Hospitalisation Details'!$A:$H, 7, FALSE)</f>
        <v>9538.65</v>
      </c>
      <c r="M1186" s="22" t="str">
        <f>VLOOKUP($A1186, 'Hospitalisation Details'!$A:$L, 12, FALSE)</f>
        <v>tier - 2</v>
      </c>
      <c r="N1186" s="22" t="str">
        <f>VLOOKUP($A1186, 'Hospitalisation Details'!$A:$M, 13, FALSE)</f>
        <v>tier - 3</v>
      </c>
      <c r="O1186" s="22" t="str">
        <f>VLOOKUP($A1186, 'Hospitalisation Details'!$A:$N, 14, FALSE)</f>
        <v>R1021</v>
      </c>
      <c r="P1186" s="36">
        <f>VLOOKUP($A1186, 'Hospitalisation Details'!$A:$O, 15, FALSE)</f>
        <v>49</v>
      </c>
    </row>
    <row r="1187" ht="15.75" customHeight="1">
      <c r="A1187" s="33" t="s">
        <v>2373</v>
      </c>
      <c r="B1187" s="22" t="str">
        <f>VLOOKUP($A1187,'Customer Names'!$A:$D,3, FALSE)</f>
        <v>Ballon-Landa</v>
      </c>
      <c r="C1187" s="22">
        <f>VLOOKUP($A1187,'Medical Examinations'!$A:$D, 2, FALSE)</f>
        <v>27.5</v>
      </c>
      <c r="D1187" s="22">
        <f>VLOOKUP($A1187, 'Medical Examinations'!$A:$D,3, FALSE)</f>
        <v>7.58</v>
      </c>
      <c r="E1187" s="22" t="str">
        <f>VLOOKUP($A1187, 'Medical Examinations'!$A:$D, 4, FALSE)</f>
        <v>No</v>
      </c>
      <c r="F1187" s="22" t="str">
        <f>VLOOKUP($A1187, 'Medical Examinations'!$A:$J, 5, FALSE)</f>
        <v>No</v>
      </c>
      <c r="G1187" s="22" t="str">
        <f>VLOOKUP($A1187, 'Medical Examinations'!$A:$I, 6, FALSE)</f>
        <v>No</v>
      </c>
      <c r="H1187" s="22">
        <f>VLOOKUP($A1187,'Medical Examinations'!$A:$L,10, FALSE)</f>
        <v>0</v>
      </c>
      <c r="I1187" s="22" t="str">
        <f>VLOOKUP($A1187, 'Medical Examinations'!$A:$J, 9, FALSE)</f>
        <v>No</v>
      </c>
      <c r="J1187" s="22" t="str">
        <f>VLOOKUP($A1187, 'Medical Examinations'!$A:$P, 11, FALSE)</f>
        <v>OVERWEIGHT</v>
      </c>
      <c r="K1187" s="34">
        <v>33773.0</v>
      </c>
      <c r="L1187" s="35">
        <f>VLOOKUP($A1187, 'Hospitalisation Details'!$A:$H, 7, FALSE)</f>
        <v>9528.9</v>
      </c>
      <c r="M1187" s="22" t="str">
        <f>VLOOKUP($A1187, 'Hospitalisation Details'!$A:$L, 12, FALSE)</f>
        <v>tier - 2</v>
      </c>
      <c r="N1187" s="22" t="str">
        <f>VLOOKUP($A1187, 'Hospitalisation Details'!$A:$M, 13, FALSE)</f>
        <v>tier - 2</v>
      </c>
      <c r="O1187" s="22" t="str">
        <f>VLOOKUP($A1187, 'Hospitalisation Details'!$A:$N, 14, FALSE)</f>
        <v>R1011</v>
      </c>
      <c r="P1187" s="36">
        <f>VLOOKUP($A1187, 'Hospitalisation Details'!$A:$O, 15, FALSE)</f>
        <v>51</v>
      </c>
    </row>
    <row r="1188" ht="15.75" customHeight="1">
      <c r="A1188" s="33" t="s">
        <v>2375</v>
      </c>
      <c r="B1188" s="22" t="str">
        <f>VLOOKUP($A1188,'Customer Names'!$A:$D,3, FALSE)</f>
        <v>Zaferos</v>
      </c>
      <c r="C1188" s="22">
        <f>VLOOKUP($A1188,'Medical Examinations'!$A:$D, 2, FALSE)</f>
        <v>41.55</v>
      </c>
      <c r="D1188" s="22">
        <f>VLOOKUP($A1188, 'Medical Examinations'!$A:$D,3, FALSE)</f>
        <v>4.61</v>
      </c>
      <c r="E1188" s="22" t="str">
        <f>VLOOKUP($A1188, 'Medical Examinations'!$A:$D, 4, FALSE)</f>
        <v>No</v>
      </c>
      <c r="F1188" s="22" t="str">
        <f>VLOOKUP($A1188, 'Medical Examinations'!$A:$J, 5, FALSE)</f>
        <v>No</v>
      </c>
      <c r="G1188" s="22" t="str">
        <f>VLOOKUP($A1188, 'Medical Examinations'!$A:$I, 6, FALSE)</f>
        <v>No</v>
      </c>
      <c r="H1188" s="22">
        <f>VLOOKUP($A1188,'Medical Examinations'!$A:$L,10, FALSE)</f>
        <v>1</v>
      </c>
      <c r="I1188" s="22" t="str">
        <f>VLOOKUP($A1188, 'Medical Examinations'!$A:$J, 9, FALSE)</f>
        <v>No</v>
      </c>
      <c r="J1188" s="22" t="str">
        <f>VLOOKUP($A1188, 'Medical Examinations'!$A:$P, 11, FALSE)</f>
        <v>OBESITY</v>
      </c>
      <c r="K1188" s="34">
        <v>35282.0</v>
      </c>
      <c r="L1188" s="35">
        <f>VLOOKUP($A1188, 'Hospitalisation Details'!$A:$H, 7, FALSE)</f>
        <v>9507.68</v>
      </c>
      <c r="M1188" s="22" t="str">
        <f>VLOOKUP($A1188, 'Hospitalisation Details'!$A:$L, 12, FALSE)</f>
        <v>tier - 2</v>
      </c>
      <c r="N1188" s="22" t="str">
        <f>VLOOKUP($A1188, 'Hospitalisation Details'!$A:$M, 13, FALSE)</f>
        <v>tier - 1</v>
      </c>
      <c r="O1188" s="22" t="str">
        <f>VLOOKUP($A1188, 'Hospitalisation Details'!$A:$N, 14, FALSE)</f>
        <v>R1012</v>
      </c>
      <c r="P1188" s="36">
        <f>VLOOKUP($A1188, 'Hospitalisation Details'!$A:$O, 15, FALSE)</f>
        <v>30</v>
      </c>
    </row>
    <row r="1189" ht="15.75" customHeight="1">
      <c r="A1189" s="33" t="s">
        <v>2377</v>
      </c>
      <c r="B1189" s="22" t="str">
        <f>VLOOKUP($A1189,'Customer Names'!$A:$D,3, FALSE)</f>
        <v>Jackson</v>
      </c>
      <c r="C1189" s="22">
        <f>VLOOKUP($A1189,'Medical Examinations'!$A:$D, 2, FALSE)</f>
        <v>41.47</v>
      </c>
      <c r="D1189" s="22">
        <f>VLOOKUP($A1189, 'Medical Examinations'!$A:$D,3, FALSE)</f>
        <v>4.7</v>
      </c>
      <c r="E1189" s="22" t="str">
        <f>VLOOKUP($A1189, 'Medical Examinations'!$A:$D, 4, FALSE)</f>
        <v>Yes</v>
      </c>
      <c r="F1189" s="22" t="str">
        <f>VLOOKUP($A1189, 'Medical Examinations'!$A:$J, 5, FALSE)</f>
        <v>No</v>
      </c>
      <c r="G1189" s="22" t="str">
        <f>VLOOKUP($A1189, 'Medical Examinations'!$A:$I, 6, FALSE)</f>
        <v>Yes</v>
      </c>
      <c r="H1189" s="22">
        <f>VLOOKUP($A1189,'Medical Examinations'!$A:$L,10, FALSE)</f>
        <v>1</v>
      </c>
      <c r="I1189" s="22" t="str">
        <f>VLOOKUP($A1189, 'Medical Examinations'!$A:$J, 9, FALSE)</f>
        <v>No</v>
      </c>
      <c r="J1189" s="22" t="str">
        <f>VLOOKUP($A1189, 'Medical Examinations'!$A:$P, 11, FALSE)</f>
        <v>OBESITY</v>
      </c>
      <c r="K1189" s="34">
        <v>36869.0</v>
      </c>
      <c r="L1189" s="35">
        <f>VLOOKUP($A1189, 'Hospitalisation Details'!$A:$H, 7, FALSE)</f>
        <v>9504.31</v>
      </c>
      <c r="M1189" s="22" t="str">
        <f>VLOOKUP($A1189, 'Hospitalisation Details'!$A:$L, 12, FALSE)</f>
        <v>tier - 3</v>
      </c>
      <c r="N1189" s="22" t="str">
        <f>VLOOKUP($A1189, 'Hospitalisation Details'!$A:$M, 13, FALSE)</f>
        <v>tier - 2</v>
      </c>
      <c r="O1189" s="22" t="str">
        <f>VLOOKUP($A1189, 'Hospitalisation Details'!$A:$N, 14, FALSE)</f>
        <v>R1013</v>
      </c>
      <c r="P1189" s="36">
        <f>VLOOKUP($A1189, 'Hospitalisation Details'!$A:$O, 15, FALSE)</f>
        <v>53</v>
      </c>
    </row>
    <row r="1190" ht="15.75" customHeight="1">
      <c r="A1190" s="33" t="s">
        <v>2379</v>
      </c>
      <c r="B1190" s="22" t="str">
        <f>VLOOKUP($A1190,'Customer Names'!$A:$D,3, FALSE)</f>
        <v>Evan</v>
      </c>
      <c r="C1190" s="22">
        <f>VLOOKUP($A1190,'Medical Examinations'!$A:$D, 2, FALSE)</f>
        <v>24.795</v>
      </c>
      <c r="D1190" s="22">
        <f>VLOOKUP($A1190, 'Medical Examinations'!$A:$D,3, FALSE)</f>
        <v>6.05</v>
      </c>
      <c r="E1190" s="22" t="str">
        <f>VLOOKUP($A1190, 'Medical Examinations'!$A:$D, 4, FALSE)</f>
        <v>Yes</v>
      </c>
      <c r="F1190" s="22" t="str">
        <f>VLOOKUP($A1190, 'Medical Examinations'!$A:$J, 5, FALSE)</f>
        <v>No</v>
      </c>
      <c r="G1190" s="22" t="str">
        <f>VLOOKUP($A1190, 'Medical Examinations'!$A:$I, 6, FALSE)</f>
        <v>No</v>
      </c>
      <c r="H1190" s="22">
        <f>VLOOKUP($A1190,'Medical Examinations'!$A:$L,10, FALSE)</f>
        <v>0</v>
      </c>
      <c r="I1190" s="22" t="str">
        <f>VLOOKUP($A1190, 'Medical Examinations'!$A:$J, 9, FALSE)</f>
        <v>No</v>
      </c>
      <c r="J1190" s="22" t="str">
        <f>VLOOKUP($A1190, 'Medical Examinations'!$A:$P, 11, FALSE)</f>
        <v>NORMAL WEIGHT</v>
      </c>
      <c r="K1190" s="34">
        <v>36701.0</v>
      </c>
      <c r="L1190" s="35">
        <f>VLOOKUP($A1190, 'Hospitalisation Details'!$A:$H, 7, FALSE)</f>
        <v>9500.57</v>
      </c>
      <c r="M1190" s="22" t="str">
        <f>VLOOKUP($A1190, 'Hospitalisation Details'!$A:$L, 12, FALSE)</f>
        <v>tier - 2</v>
      </c>
      <c r="N1190" s="22" t="str">
        <f>VLOOKUP($A1190, 'Hospitalisation Details'!$A:$M, 13, FALSE)</f>
        <v>tier - 3</v>
      </c>
      <c r="O1190" s="22" t="str">
        <f>VLOOKUP($A1190, 'Hospitalisation Details'!$A:$N, 14, FALSE)</f>
        <v>R1017</v>
      </c>
      <c r="P1190" s="36">
        <f>VLOOKUP($A1190, 'Hospitalisation Details'!$A:$O, 15, FALSE)</f>
        <v>46</v>
      </c>
    </row>
    <row r="1191" ht="15.75" customHeight="1">
      <c r="A1191" s="33" t="s">
        <v>2381</v>
      </c>
      <c r="B1191" s="22" t="str">
        <f>VLOOKUP($A1191,'Customer Names'!$A:$D,3, FALSE)</f>
        <v>Samland</v>
      </c>
      <c r="C1191" s="22">
        <f>VLOOKUP($A1191,'Medical Examinations'!$A:$D, 2, FALSE)</f>
        <v>29.48</v>
      </c>
      <c r="D1191" s="22">
        <f>VLOOKUP($A1191, 'Medical Examinations'!$A:$D,3, FALSE)</f>
        <v>5.63</v>
      </c>
      <c r="E1191" s="22" t="str">
        <f>VLOOKUP($A1191, 'Medical Examinations'!$A:$D, 4, FALSE)</f>
        <v>Yes</v>
      </c>
      <c r="F1191" s="22" t="str">
        <f>VLOOKUP($A1191, 'Medical Examinations'!$A:$J, 5, FALSE)</f>
        <v>No</v>
      </c>
      <c r="G1191" s="22" t="str">
        <f>VLOOKUP($A1191, 'Medical Examinations'!$A:$I, 6, FALSE)</f>
        <v>Yes</v>
      </c>
      <c r="H1191" s="22">
        <f>VLOOKUP($A1191,'Medical Examinations'!$A:$L,10, FALSE)</f>
        <v>1</v>
      </c>
      <c r="I1191" s="22" t="str">
        <f>VLOOKUP($A1191, 'Medical Examinations'!$A:$J, 9, FALSE)</f>
        <v>No</v>
      </c>
      <c r="J1191" s="22" t="str">
        <f>VLOOKUP($A1191, 'Medical Examinations'!$A:$P, 11, FALSE)</f>
        <v>OVERWEIGHT</v>
      </c>
      <c r="K1191" s="34">
        <v>35668.0</v>
      </c>
      <c r="L1191" s="35">
        <f>VLOOKUP($A1191, 'Hospitalisation Details'!$A:$H, 7, FALSE)</f>
        <v>9487.64</v>
      </c>
      <c r="M1191" s="22" t="str">
        <f>VLOOKUP($A1191, 'Hospitalisation Details'!$A:$L, 12, FALSE)</f>
        <v>tier - 2</v>
      </c>
      <c r="N1191" s="22" t="str">
        <f>VLOOKUP($A1191, 'Hospitalisation Details'!$A:$M, 13, FALSE)</f>
        <v>tier - 2</v>
      </c>
      <c r="O1191" s="22" t="str">
        <f>VLOOKUP($A1191, 'Hospitalisation Details'!$A:$N, 14, FALSE)</f>
        <v>R1013</v>
      </c>
      <c r="P1191" s="36">
        <f>VLOOKUP($A1191, 'Hospitalisation Details'!$A:$O, 15, FALSE)</f>
        <v>54</v>
      </c>
    </row>
    <row r="1192" ht="15.75" customHeight="1">
      <c r="A1192" s="33" t="s">
        <v>2383</v>
      </c>
      <c r="B1192" s="22" t="str">
        <f>VLOOKUP($A1192,'Customer Names'!$A:$D,3, FALSE)</f>
        <v>Shapiro</v>
      </c>
      <c r="C1192" s="22">
        <f>VLOOKUP($A1192,'Medical Examinations'!$A:$D, 2, FALSE)</f>
        <v>28.09</v>
      </c>
      <c r="D1192" s="22">
        <f>VLOOKUP($A1192, 'Medical Examinations'!$A:$D,3, FALSE)</f>
        <v>6.06</v>
      </c>
      <c r="E1192" s="22" t="str">
        <f>VLOOKUP($A1192, 'Medical Examinations'!$A:$D, 4, FALSE)</f>
        <v>No</v>
      </c>
      <c r="F1192" s="22" t="str">
        <f>VLOOKUP($A1192, 'Medical Examinations'!$A:$J, 5, FALSE)</f>
        <v>No</v>
      </c>
      <c r="G1192" s="22" t="str">
        <f>VLOOKUP($A1192, 'Medical Examinations'!$A:$I, 6, FALSE)</f>
        <v>Yes</v>
      </c>
      <c r="H1192" s="22">
        <f>VLOOKUP($A1192,'Medical Examinations'!$A:$L,10, FALSE)</f>
        <v>1</v>
      </c>
      <c r="I1192" s="22" t="str">
        <f>VLOOKUP($A1192, 'Medical Examinations'!$A:$J, 9, FALSE)</f>
        <v>No</v>
      </c>
      <c r="J1192" s="22" t="str">
        <f>VLOOKUP($A1192, 'Medical Examinations'!$A:$P, 11, FALSE)</f>
        <v>OVERWEIGHT</v>
      </c>
      <c r="K1192" s="34">
        <v>37129.0</v>
      </c>
      <c r="L1192" s="35">
        <f>VLOOKUP($A1192, 'Hospitalisation Details'!$A:$H, 7, FALSE)</f>
        <v>9453.92</v>
      </c>
      <c r="M1192" s="22" t="str">
        <f>VLOOKUP($A1192, 'Hospitalisation Details'!$A:$L, 12, FALSE)</f>
        <v>tier - 2</v>
      </c>
      <c r="N1192" s="22" t="str">
        <f>VLOOKUP($A1192, 'Hospitalisation Details'!$A:$M, 13, FALSE)</f>
        <v>tier - 2</v>
      </c>
      <c r="O1192" s="22" t="str">
        <f>VLOOKUP($A1192, 'Hospitalisation Details'!$A:$N, 14, FALSE)</f>
        <v>R1021</v>
      </c>
      <c r="P1192" s="36">
        <f>VLOOKUP($A1192, 'Hospitalisation Details'!$A:$O, 15, FALSE)</f>
        <v>43</v>
      </c>
    </row>
    <row r="1193" ht="15.75" customHeight="1">
      <c r="A1193" s="33" t="s">
        <v>2385</v>
      </c>
      <c r="B1193" s="22" t="str">
        <f>VLOOKUP($A1193,'Customer Names'!$A:$D,3, FALSE)</f>
        <v>Snitzer</v>
      </c>
      <c r="C1193" s="22">
        <f>VLOOKUP($A1193,'Medical Examinations'!$A:$D, 2, FALSE)</f>
        <v>32.73</v>
      </c>
      <c r="D1193" s="22">
        <f>VLOOKUP($A1193, 'Medical Examinations'!$A:$D,3, FALSE)</f>
        <v>5.19</v>
      </c>
      <c r="E1193" s="22" t="str">
        <f>VLOOKUP($A1193, 'Medical Examinations'!$A:$D, 4, FALSE)</f>
        <v>No</v>
      </c>
      <c r="F1193" s="22" t="str">
        <f>VLOOKUP($A1193, 'Medical Examinations'!$A:$J, 5, FALSE)</f>
        <v>No</v>
      </c>
      <c r="G1193" s="22" t="str">
        <f>VLOOKUP($A1193, 'Medical Examinations'!$A:$I, 6, FALSE)</f>
        <v>No</v>
      </c>
      <c r="H1193" s="22">
        <f>VLOOKUP($A1193,'Medical Examinations'!$A:$L,10, FALSE)</f>
        <v>1</v>
      </c>
      <c r="I1193" s="22" t="str">
        <f>VLOOKUP($A1193, 'Medical Examinations'!$A:$J, 9, FALSE)</f>
        <v>No</v>
      </c>
      <c r="J1193" s="22" t="str">
        <f>VLOOKUP($A1193, 'Medical Examinations'!$A:$P, 11, FALSE)</f>
        <v>OBESITY</v>
      </c>
      <c r="K1193" s="34">
        <v>37100.0</v>
      </c>
      <c r="L1193" s="35">
        <f>VLOOKUP($A1193, 'Hospitalisation Details'!$A:$H, 7, FALSE)</f>
        <v>9448.42</v>
      </c>
      <c r="M1193" s="22" t="str">
        <f>VLOOKUP($A1193, 'Hospitalisation Details'!$A:$L, 12, FALSE)</f>
        <v>tier - 2</v>
      </c>
      <c r="N1193" s="22" t="str">
        <f>VLOOKUP($A1193, 'Hospitalisation Details'!$A:$M, 13, FALSE)</f>
        <v>tier - 3</v>
      </c>
      <c r="O1193" s="22" t="str">
        <f>VLOOKUP($A1193, 'Hospitalisation Details'!$A:$N, 14, FALSE)</f>
        <v>R1021</v>
      </c>
      <c r="P1193" s="36">
        <f>VLOOKUP($A1193, 'Hospitalisation Details'!$A:$O, 15, FALSE)</f>
        <v>35</v>
      </c>
    </row>
    <row r="1194" ht="15.75" customHeight="1">
      <c r="A1194" s="33" t="s">
        <v>2387</v>
      </c>
      <c r="B1194" s="22" t="str">
        <f>VLOOKUP($A1194,'Customer Names'!$A:$D,3, FALSE)</f>
        <v>Herr</v>
      </c>
      <c r="C1194" s="22">
        <f>VLOOKUP($A1194,'Medical Examinations'!$A:$D, 2, FALSE)</f>
        <v>27.36</v>
      </c>
      <c r="D1194" s="22">
        <f>VLOOKUP($A1194, 'Medical Examinations'!$A:$D,3, FALSE)</f>
        <v>8.96</v>
      </c>
      <c r="E1194" s="22" t="str">
        <f>VLOOKUP($A1194, 'Medical Examinations'!$A:$D, 4, FALSE)</f>
        <v>No</v>
      </c>
      <c r="F1194" s="22" t="str">
        <f>VLOOKUP($A1194, 'Medical Examinations'!$A:$J, 5, FALSE)</f>
        <v>No</v>
      </c>
      <c r="G1194" s="22" t="str">
        <f>VLOOKUP($A1194, 'Medical Examinations'!$A:$I, 6, FALSE)</f>
        <v>No</v>
      </c>
      <c r="H1194" s="22">
        <f>VLOOKUP($A1194,'Medical Examinations'!$A:$L,10, FALSE)</f>
        <v>0</v>
      </c>
      <c r="I1194" s="22" t="str">
        <f>VLOOKUP($A1194, 'Medical Examinations'!$A:$J, 9, FALSE)</f>
        <v>No</v>
      </c>
      <c r="J1194" s="22" t="str">
        <f>VLOOKUP($A1194, 'Medical Examinations'!$A:$P, 11, FALSE)</f>
        <v>OVERWEIGHT</v>
      </c>
      <c r="K1194" s="34">
        <v>37179.0</v>
      </c>
      <c r="L1194" s="35">
        <f>VLOOKUP($A1194, 'Hospitalisation Details'!$A:$H, 7, FALSE)</f>
        <v>9447.38</v>
      </c>
      <c r="M1194" s="22" t="str">
        <f>VLOOKUP($A1194, 'Hospitalisation Details'!$A:$L, 12, FALSE)</f>
        <v>tier - 2</v>
      </c>
      <c r="N1194" s="22" t="str">
        <f>VLOOKUP($A1194, 'Hospitalisation Details'!$A:$M, 13, FALSE)</f>
        <v>tier - 3</v>
      </c>
      <c r="O1194" s="22" t="str">
        <f>VLOOKUP($A1194, 'Hospitalisation Details'!$A:$N, 14, FALSE)</f>
        <v>R1024</v>
      </c>
      <c r="P1194" s="36">
        <f>VLOOKUP($A1194, 'Hospitalisation Details'!$A:$O, 15, FALSE)</f>
        <v>49</v>
      </c>
    </row>
    <row r="1195" ht="15.75" customHeight="1">
      <c r="A1195" s="33" t="s">
        <v>2389</v>
      </c>
      <c r="B1195" s="22" t="str">
        <f>VLOOKUP($A1195,'Customer Names'!$A:$D,3, FALSE)</f>
        <v>Watters</v>
      </c>
      <c r="C1195" s="22">
        <f>VLOOKUP($A1195,'Medical Examinations'!$A:$D, 2, FALSE)</f>
        <v>27.265</v>
      </c>
      <c r="D1195" s="22">
        <f>VLOOKUP($A1195, 'Medical Examinations'!$A:$D,3, FALSE)</f>
        <v>11.39</v>
      </c>
      <c r="E1195" s="22" t="str">
        <f>VLOOKUP($A1195, 'Medical Examinations'!$A:$D, 4, FALSE)</f>
        <v>No</v>
      </c>
      <c r="F1195" s="22" t="str">
        <f>VLOOKUP($A1195, 'Medical Examinations'!$A:$J, 5, FALSE)</f>
        <v>No</v>
      </c>
      <c r="G1195" s="22" t="str">
        <f>VLOOKUP($A1195, 'Medical Examinations'!$A:$I, 6, FALSE)</f>
        <v>No</v>
      </c>
      <c r="H1195" s="22">
        <f>VLOOKUP($A1195,'Medical Examinations'!$A:$L,10, FALSE)</f>
        <v>0</v>
      </c>
      <c r="I1195" s="22" t="str">
        <f>VLOOKUP($A1195, 'Medical Examinations'!$A:$J, 9, FALSE)</f>
        <v>No</v>
      </c>
      <c r="J1195" s="22" t="str">
        <f>VLOOKUP($A1195, 'Medical Examinations'!$A:$P, 11, FALSE)</f>
        <v>OVERWEIGHT</v>
      </c>
      <c r="K1195" s="34">
        <v>37457.0</v>
      </c>
      <c r="L1195" s="35">
        <f>VLOOKUP($A1195, 'Hospitalisation Details'!$A:$H, 7, FALSE)</f>
        <v>9447.25</v>
      </c>
      <c r="M1195" s="22" t="str">
        <f>VLOOKUP($A1195, 'Hospitalisation Details'!$A:$L, 12, FALSE)</f>
        <v>tier - 2</v>
      </c>
      <c r="N1195" s="22" t="str">
        <f>VLOOKUP($A1195, 'Hospitalisation Details'!$A:$M, 13, FALSE)</f>
        <v>tier - 1</v>
      </c>
      <c r="O1195" s="22" t="str">
        <f>VLOOKUP($A1195, 'Hospitalisation Details'!$A:$N, 14, FALSE)</f>
        <v>R1024</v>
      </c>
      <c r="P1195" s="36">
        <f>VLOOKUP($A1195, 'Hospitalisation Details'!$A:$O, 15, FALSE)</f>
        <v>48</v>
      </c>
    </row>
    <row r="1196" ht="15.75" customHeight="1">
      <c r="A1196" s="33" t="s">
        <v>2391</v>
      </c>
      <c r="B1196" s="22" t="str">
        <f>VLOOKUP($A1196,'Customer Names'!$A:$D,3, FALSE)</f>
        <v>Steele-Belkin</v>
      </c>
      <c r="C1196" s="22">
        <f>VLOOKUP($A1196,'Medical Examinations'!$A:$D, 2, FALSE)</f>
        <v>48.07</v>
      </c>
      <c r="D1196" s="22">
        <f>VLOOKUP($A1196, 'Medical Examinations'!$A:$D,3, FALSE)</f>
        <v>4.06</v>
      </c>
      <c r="E1196" s="22" t="str">
        <f>VLOOKUP($A1196, 'Medical Examinations'!$A:$D, 4, FALSE)</f>
        <v>Yes</v>
      </c>
      <c r="F1196" s="22" t="str">
        <f>VLOOKUP($A1196, 'Medical Examinations'!$A:$J, 5, FALSE)</f>
        <v>No</v>
      </c>
      <c r="G1196" s="22" t="str">
        <f>VLOOKUP($A1196, 'Medical Examinations'!$A:$I, 6, FALSE)</f>
        <v>No</v>
      </c>
      <c r="H1196" s="22">
        <f>VLOOKUP($A1196,'Medical Examinations'!$A:$L,10, FALSE)</f>
        <v>0</v>
      </c>
      <c r="I1196" s="22" t="str">
        <f>VLOOKUP($A1196, 'Medical Examinations'!$A:$J, 9, FALSE)</f>
        <v>No</v>
      </c>
      <c r="J1196" s="22" t="str">
        <f>VLOOKUP($A1196, 'Medical Examinations'!$A:$P, 11, FALSE)</f>
        <v>OBESITY</v>
      </c>
      <c r="K1196" s="34">
        <v>37540.0</v>
      </c>
      <c r="L1196" s="35">
        <f>VLOOKUP($A1196, 'Hospitalisation Details'!$A:$H, 7, FALSE)</f>
        <v>9432.93</v>
      </c>
      <c r="M1196" s="22" t="str">
        <f>VLOOKUP($A1196, 'Hospitalisation Details'!$A:$L, 12, FALSE)</f>
        <v>tier - 2</v>
      </c>
      <c r="N1196" s="22" t="str">
        <f>VLOOKUP($A1196, 'Hospitalisation Details'!$A:$M, 13, FALSE)</f>
        <v>tier - 1</v>
      </c>
      <c r="O1196" s="22" t="str">
        <f>VLOOKUP($A1196, 'Hospitalisation Details'!$A:$N, 14, FALSE)</f>
        <v>R1024</v>
      </c>
      <c r="P1196" s="36">
        <f>VLOOKUP($A1196, 'Hospitalisation Details'!$A:$O, 15, FALSE)</f>
        <v>46</v>
      </c>
    </row>
    <row r="1197" ht="15.75" customHeight="1">
      <c r="A1197" s="33" t="s">
        <v>2393</v>
      </c>
      <c r="B1197" s="22" t="str">
        <f>VLOOKUP($A1197,'Customer Names'!$A:$D,3, FALSE)</f>
        <v>Christensen</v>
      </c>
      <c r="C1197" s="22">
        <f>VLOOKUP($A1197,'Medical Examinations'!$A:$D, 2, FALSE)</f>
        <v>30.8</v>
      </c>
      <c r="D1197" s="22">
        <f>VLOOKUP($A1197, 'Medical Examinations'!$A:$D,3, FALSE)</f>
        <v>5.23</v>
      </c>
      <c r="E1197" s="22" t="str">
        <f>VLOOKUP($A1197, 'Medical Examinations'!$A:$D, 4, FALSE)</f>
        <v>Yes</v>
      </c>
      <c r="F1197" s="22" t="str">
        <f>VLOOKUP($A1197, 'Medical Examinations'!$A:$J, 5, FALSE)</f>
        <v>No</v>
      </c>
      <c r="G1197" s="22" t="str">
        <f>VLOOKUP($A1197, 'Medical Examinations'!$A:$I, 6, FALSE)</f>
        <v>No</v>
      </c>
      <c r="H1197" s="22">
        <f>VLOOKUP($A1197,'Medical Examinations'!$A:$L,10, FALSE)</f>
        <v>0</v>
      </c>
      <c r="I1197" s="22" t="str">
        <f>VLOOKUP($A1197, 'Medical Examinations'!$A:$J, 9, FALSE)</f>
        <v>No</v>
      </c>
      <c r="J1197" s="22" t="str">
        <f>VLOOKUP($A1197, 'Medical Examinations'!$A:$P, 11, FALSE)</f>
        <v>OBESITY</v>
      </c>
      <c r="K1197" s="34">
        <v>33559.0</v>
      </c>
      <c r="L1197" s="35">
        <f>VLOOKUP($A1197, 'Hospitalisation Details'!$A:$H, 7, FALSE)</f>
        <v>9414.92</v>
      </c>
      <c r="M1197" s="22" t="str">
        <f>VLOOKUP($A1197, 'Hospitalisation Details'!$A:$L, 12, FALSE)</f>
        <v>tier - 2</v>
      </c>
      <c r="N1197" s="22" t="str">
        <f>VLOOKUP($A1197, 'Hospitalisation Details'!$A:$M, 13, FALSE)</f>
        <v>tier - 2</v>
      </c>
      <c r="O1197" s="22" t="str">
        <f>VLOOKUP($A1197, 'Hospitalisation Details'!$A:$N, 14, FALSE)</f>
        <v>R1011</v>
      </c>
      <c r="P1197" s="36">
        <f>VLOOKUP($A1197, 'Hospitalisation Details'!$A:$O, 15, FALSE)</f>
        <v>46</v>
      </c>
    </row>
    <row r="1198" ht="15.75" customHeight="1">
      <c r="A1198" s="33" t="s">
        <v>2395</v>
      </c>
      <c r="B1198" s="22" t="str">
        <f>VLOOKUP($A1198,'Customer Names'!$A:$D,3, FALSE)</f>
        <v>Hodge</v>
      </c>
      <c r="C1198" s="22">
        <f>VLOOKUP($A1198,'Medical Examinations'!$A:$D, 2, FALSE)</f>
        <v>32.3</v>
      </c>
      <c r="D1198" s="22">
        <f>VLOOKUP($A1198, 'Medical Examinations'!$A:$D,3, FALSE)</f>
        <v>5.05</v>
      </c>
      <c r="E1198" s="22" t="str">
        <f>VLOOKUP($A1198, 'Medical Examinations'!$A:$D, 4, FALSE)</f>
        <v>Yes</v>
      </c>
      <c r="F1198" s="22" t="str">
        <f>VLOOKUP($A1198, 'Medical Examinations'!$A:$J, 5, FALSE)</f>
        <v>No</v>
      </c>
      <c r="G1198" s="22" t="str">
        <f>VLOOKUP($A1198, 'Medical Examinations'!$A:$I, 6, FALSE)</f>
        <v>No</v>
      </c>
      <c r="H1198" s="22">
        <f>VLOOKUP($A1198,'Medical Examinations'!$A:$L,10, FALSE)</f>
        <v>0</v>
      </c>
      <c r="I1198" s="22" t="str">
        <f>VLOOKUP($A1198, 'Medical Examinations'!$A:$J, 9, FALSE)</f>
        <v>No</v>
      </c>
      <c r="J1198" s="22" t="str">
        <f>VLOOKUP($A1198, 'Medical Examinations'!$A:$P, 11, FALSE)</f>
        <v>OBESITY</v>
      </c>
      <c r="K1198" s="34">
        <v>28037.0</v>
      </c>
      <c r="L1198" s="35">
        <f>VLOOKUP($A1198, 'Hospitalisation Details'!$A:$H, 7, FALSE)</f>
        <v>9411.01</v>
      </c>
      <c r="M1198" s="22" t="str">
        <f>VLOOKUP($A1198, 'Hospitalisation Details'!$A:$L, 12, FALSE)</f>
        <v>tier - 2</v>
      </c>
      <c r="N1198" s="22" t="str">
        <f>VLOOKUP($A1198, 'Hospitalisation Details'!$A:$M, 13, FALSE)</f>
        <v>tier - 3</v>
      </c>
      <c r="O1198" s="22" t="str">
        <f>VLOOKUP($A1198, 'Hospitalisation Details'!$A:$N, 14, FALSE)</f>
        <v>R1024</v>
      </c>
      <c r="P1198" s="36">
        <f>VLOOKUP($A1198, 'Hospitalisation Details'!$A:$O, 15, FALSE)</f>
        <v>46</v>
      </c>
    </row>
    <row r="1199" ht="15.75" customHeight="1">
      <c r="A1199" s="33" t="s">
        <v>2397</v>
      </c>
      <c r="B1199" s="22" t="str">
        <f>VLOOKUP($A1199,'Customer Names'!$A:$D,3, FALSE)</f>
        <v>Rusterholz</v>
      </c>
      <c r="C1199" s="22">
        <f>VLOOKUP($A1199,'Medical Examinations'!$A:$D, 2, FALSE)</f>
        <v>39.7</v>
      </c>
      <c r="D1199" s="22">
        <f>VLOOKUP($A1199, 'Medical Examinations'!$A:$D,3, FALSE)</f>
        <v>7.34</v>
      </c>
      <c r="E1199" s="22" t="str">
        <f>VLOOKUP($A1199, 'Medical Examinations'!$A:$D, 4, FALSE)</f>
        <v>No</v>
      </c>
      <c r="F1199" s="22" t="str">
        <f>VLOOKUP($A1199, 'Medical Examinations'!$A:$J, 5, FALSE)</f>
        <v>No</v>
      </c>
      <c r="G1199" s="22" t="str">
        <f>VLOOKUP($A1199, 'Medical Examinations'!$A:$I, 6, FALSE)</f>
        <v>No</v>
      </c>
      <c r="H1199" s="22">
        <f>VLOOKUP($A1199,'Medical Examinations'!$A:$L,10, FALSE)</f>
        <v>0</v>
      </c>
      <c r="I1199" s="22" t="str">
        <f>VLOOKUP($A1199, 'Medical Examinations'!$A:$J, 9, FALSE)</f>
        <v>No</v>
      </c>
      <c r="J1199" s="22" t="str">
        <f>VLOOKUP($A1199, 'Medical Examinations'!$A:$P, 11, FALSE)</f>
        <v>OBESITY</v>
      </c>
      <c r="K1199" s="34">
        <v>33147.0</v>
      </c>
      <c r="L1199" s="35">
        <f>VLOOKUP($A1199, 'Hospitalisation Details'!$A:$H, 7, FALSE)</f>
        <v>9391.35</v>
      </c>
      <c r="M1199" s="22" t="str">
        <f>VLOOKUP($A1199, 'Hospitalisation Details'!$A:$L, 12, FALSE)</f>
        <v>tier - 3</v>
      </c>
      <c r="N1199" s="22" t="str">
        <f>VLOOKUP($A1199, 'Hospitalisation Details'!$A:$M, 13, FALSE)</f>
        <v>tier - 3</v>
      </c>
      <c r="O1199" s="22" t="str">
        <f>VLOOKUP($A1199, 'Hospitalisation Details'!$A:$N, 14, FALSE)</f>
        <v>R1011</v>
      </c>
      <c r="P1199" s="36">
        <f>VLOOKUP($A1199, 'Hospitalisation Details'!$A:$O, 15, FALSE)</f>
        <v>51</v>
      </c>
    </row>
    <row r="1200" ht="15.75" customHeight="1">
      <c r="A1200" s="33" t="s">
        <v>2399</v>
      </c>
      <c r="B1200" s="22" t="str">
        <f>VLOOKUP($A1200,'Customer Names'!$A:$D,3, FALSE)</f>
        <v>Lafrance</v>
      </c>
      <c r="C1200" s="22">
        <f>VLOOKUP($A1200,'Medical Examinations'!$A:$D, 2, FALSE)</f>
        <v>35.97</v>
      </c>
      <c r="D1200" s="22">
        <f>VLOOKUP($A1200, 'Medical Examinations'!$A:$D,3, FALSE)</f>
        <v>8.13</v>
      </c>
      <c r="E1200" s="22" t="str">
        <f>VLOOKUP($A1200, 'Medical Examinations'!$A:$D, 4, FALSE)</f>
        <v>No</v>
      </c>
      <c r="F1200" s="22" t="str">
        <f>VLOOKUP($A1200, 'Medical Examinations'!$A:$J, 5, FALSE)</f>
        <v>No</v>
      </c>
      <c r="G1200" s="22" t="str">
        <f>VLOOKUP($A1200, 'Medical Examinations'!$A:$I, 6, FALSE)</f>
        <v>No</v>
      </c>
      <c r="H1200" s="22">
        <f>VLOOKUP($A1200,'Medical Examinations'!$A:$L,10, FALSE)</f>
        <v>0</v>
      </c>
      <c r="I1200" s="22" t="str">
        <f>VLOOKUP($A1200, 'Medical Examinations'!$A:$J, 9, FALSE)</f>
        <v>No</v>
      </c>
      <c r="J1200" s="22" t="str">
        <f>VLOOKUP($A1200, 'Medical Examinations'!$A:$P, 11, FALSE)</f>
        <v>OBESITY</v>
      </c>
      <c r="K1200" s="34">
        <v>35639.0</v>
      </c>
      <c r="L1200" s="35">
        <f>VLOOKUP($A1200, 'Hospitalisation Details'!$A:$H, 7, FALSE)</f>
        <v>9386.16</v>
      </c>
      <c r="M1200" s="22" t="str">
        <f>VLOOKUP($A1200, 'Hospitalisation Details'!$A:$L, 12, FALSE)</f>
        <v>tier - 3</v>
      </c>
      <c r="N1200" s="22" t="str">
        <f>VLOOKUP($A1200, 'Hospitalisation Details'!$A:$M, 13, FALSE)</f>
        <v>tier - 2</v>
      </c>
      <c r="O1200" s="22" t="str">
        <f>VLOOKUP($A1200, 'Hospitalisation Details'!$A:$N, 14, FALSE)</f>
        <v>R1013</v>
      </c>
      <c r="P1200" s="36">
        <f>VLOOKUP($A1200, 'Hospitalisation Details'!$A:$O, 15, FALSE)</f>
        <v>51</v>
      </c>
    </row>
    <row r="1201" ht="15.75" customHeight="1">
      <c r="A1201" s="33" t="s">
        <v>2401</v>
      </c>
      <c r="B1201" s="22" t="str">
        <f>VLOOKUP($A1201,'Customer Names'!$A:$D,3, FALSE)</f>
        <v>Hallis</v>
      </c>
      <c r="C1201" s="22">
        <f>VLOOKUP($A1201,'Medical Examinations'!$A:$D, 2, FALSE)</f>
        <v>25.86</v>
      </c>
      <c r="D1201" s="22">
        <f>VLOOKUP($A1201, 'Medical Examinations'!$A:$D,3, FALSE)</f>
        <v>6.68</v>
      </c>
      <c r="E1201" s="22" t="str">
        <f>VLOOKUP($A1201, 'Medical Examinations'!$A:$D, 4, FALSE)</f>
        <v>Yes</v>
      </c>
      <c r="F1201" s="22" t="str">
        <f>VLOOKUP($A1201, 'Medical Examinations'!$A:$J, 5, FALSE)</f>
        <v>No</v>
      </c>
      <c r="G1201" s="22" t="str">
        <f>VLOOKUP($A1201, 'Medical Examinations'!$A:$I, 6, FALSE)</f>
        <v>No</v>
      </c>
      <c r="H1201" s="22">
        <f>VLOOKUP($A1201,'Medical Examinations'!$A:$L,10, FALSE)</f>
        <v>1</v>
      </c>
      <c r="I1201" s="22" t="str">
        <f>VLOOKUP($A1201, 'Medical Examinations'!$A:$J, 9, FALSE)</f>
        <v>No</v>
      </c>
      <c r="J1201" s="22" t="str">
        <f>VLOOKUP($A1201, 'Medical Examinations'!$A:$P, 11, FALSE)</f>
        <v>OVERWEIGHT</v>
      </c>
      <c r="K1201" s="34">
        <v>36763.0</v>
      </c>
      <c r="L1201" s="35">
        <f>VLOOKUP($A1201, 'Hospitalisation Details'!$A:$H, 7, FALSE)</f>
        <v>9380.75</v>
      </c>
      <c r="M1201" s="22" t="str">
        <f>VLOOKUP($A1201, 'Hospitalisation Details'!$A:$L, 12, FALSE)</f>
        <v>tier - 2</v>
      </c>
      <c r="N1201" s="22" t="str">
        <f>VLOOKUP($A1201, 'Hospitalisation Details'!$A:$M, 13, FALSE)</f>
        <v>tier - 2</v>
      </c>
      <c r="O1201" s="22" t="str">
        <f>VLOOKUP($A1201, 'Hospitalisation Details'!$A:$N, 14, FALSE)</f>
        <v>R1024</v>
      </c>
      <c r="P1201" s="36">
        <f>VLOOKUP($A1201, 'Hospitalisation Details'!$A:$O, 15, FALSE)</f>
        <v>47</v>
      </c>
    </row>
    <row r="1202" ht="15.75" customHeight="1">
      <c r="A1202" s="33" t="s">
        <v>2403</v>
      </c>
      <c r="B1202" s="22" t="str">
        <f>VLOOKUP($A1202,'Customer Names'!$A:$D,3, FALSE)</f>
        <v>Marshall</v>
      </c>
      <c r="C1202" s="22">
        <f>VLOOKUP($A1202,'Medical Examinations'!$A:$D, 2, FALSE)</f>
        <v>30.03</v>
      </c>
      <c r="D1202" s="22">
        <f>VLOOKUP($A1202, 'Medical Examinations'!$A:$D,3, FALSE)</f>
        <v>11.51</v>
      </c>
      <c r="E1202" s="22" t="str">
        <f>VLOOKUP($A1202, 'Medical Examinations'!$A:$D, 4, FALSE)</f>
        <v>No</v>
      </c>
      <c r="F1202" s="22" t="str">
        <f>VLOOKUP($A1202, 'Medical Examinations'!$A:$J, 5, FALSE)</f>
        <v>No</v>
      </c>
      <c r="G1202" s="22" t="str">
        <f>VLOOKUP($A1202, 'Medical Examinations'!$A:$I, 6, FALSE)</f>
        <v>No</v>
      </c>
      <c r="H1202" s="22">
        <f>VLOOKUP($A1202,'Medical Examinations'!$A:$L,10, FALSE)</f>
        <v>0</v>
      </c>
      <c r="I1202" s="22" t="str">
        <f>VLOOKUP($A1202, 'Medical Examinations'!$A:$J, 9, FALSE)</f>
        <v>No</v>
      </c>
      <c r="J1202" s="22" t="str">
        <f>VLOOKUP($A1202, 'Medical Examinations'!$A:$P, 11, FALSE)</f>
        <v>OBESITY</v>
      </c>
      <c r="K1202" s="34">
        <v>35736.0</v>
      </c>
      <c r="L1202" s="35">
        <f>VLOOKUP($A1202, 'Hospitalisation Details'!$A:$H, 7, FALSE)</f>
        <v>9377.9</v>
      </c>
      <c r="M1202" s="22" t="str">
        <f>VLOOKUP($A1202, 'Hospitalisation Details'!$A:$L, 12, FALSE)</f>
        <v>tier - 2</v>
      </c>
      <c r="N1202" s="22" t="str">
        <f>VLOOKUP($A1202, 'Hospitalisation Details'!$A:$M, 13, FALSE)</f>
        <v>tier - 1</v>
      </c>
      <c r="O1202" s="22" t="str">
        <f>VLOOKUP($A1202, 'Hospitalisation Details'!$A:$N, 14, FALSE)</f>
        <v>R1013</v>
      </c>
      <c r="P1202" s="36">
        <f>VLOOKUP($A1202, 'Hospitalisation Details'!$A:$O, 15, FALSE)</f>
        <v>51</v>
      </c>
    </row>
    <row r="1203" ht="15.75" customHeight="1">
      <c r="A1203" s="33" t="s">
        <v>2405</v>
      </c>
      <c r="B1203" s="22" t="str">
        <f>VLOOKUP($A1203,'Customer Names'!$A:$D,3, FALSE)</f>
        <v>Salowitz</v>
      </c>
      <c r="C1203" s="22">
        <f>VLOOKUP($A1203,'Medical Examinations'!$A:$D, 2, FALSE)</f>
        <v>25.76</v>
      </c>
      <c r="D1203" s="22">
        <f>VLOOKUP($A1203, 'Medical Examinations'!$A:$D,3, FALSE)</f>
        <v>6.02</v>
      </c>
      <c r="E1203" s="22" t="str">
        <f>VLOOKUP($A1203, 'Medical Examinations'!$A:$D, 4, FALSE)</f>
        <v>Yes</v>
      </c>
      <c r="F1203" s="22" t="str">
        <f>VLOOKUP($A1203, 'Medical Examinations'!$A:$J, 5, FALSE)</f>
        <v>No</v>
      </c>
      <c r="G1203" s="22" t="str">
        <f>VLOOKUP($A1203, 'Medical Examinations'!$A:$I, 6, FALSE)</f>
        <v>Yes</v>
      </c>
      <c r="H1203" s="22">
        <f>VLOOKUP($A1203,'Medical Examinations'!$A:$L,10, FALSE)</f>
        <v>1</v>
      </c>
      <c r="I1203" s="22" t="str">
        <f>VLOOKUP($A1203, 'Medical Examinations'!$A:$J, 9, FALSE)</f>
        <v>No</v>
      </c>
      <c r="J1203" s="22" t="str">
        <f>VLOOKUP($A1203, 'Medical Examinations'!$A:$P, 11, FALSE)</f>
        <v>OVERWEIGHT</v>
      </c>
      <c r="K1203" s="34">
        <v>33455.0</v>
      </c>
      <c r="L1203" s="35">
        <f>VLOOKUP($A1203, 'Hospitalisation Details'!$A:$H, 7, FALSE)</f>
        <v>9377.45</v>
      </c>
      <c r="M1203" s="22" t="str">
        <f>VLOOKUP($A1203, 'Hospitalisation Details'!$A:$L, 12, FALSE)</f>
        <v>tier - 2</v>
      </c>
      <c r="N1203" s="22" t="str">
        <f>VLOOKUP($A1203, 'Hospitalisation Details'!$A:$M, 13, FALSE)</f>
        <v>tier - 3</v>
      </c>
      <c r="O1203" s="22" t="str">
        <f>VLOOKUP($A1203, 'Hospitalisation Details'!$A:$N, 14, FALSE)</f>
        <v>R1013</v>
      </c>
      <c r="P1203" s="36">
        <f>VLOOKUP($A1203, 'Hospitalisation Details'!$A:$O, 15, FALSE)</f>
        <v>53</v>
      </c>
    </row>
    <row r="1204" ht="15.75" customHeight="1">
      <c r="A1204" s="33" t="s">
        <v>2407</v>
      </c>
      <c r="B1204" s="22" t="str">
        <f>VLOOKUP($A1204,'Customer Names'!$A:$D,3, FALSE)</f>
        <v>Blake</v>
      </c>
      <c r="C1204" s="22">
        <f>VLOOKUP($A1204,'Medical Examinations'!$A:$D, 2, FALSE)</f>
        <v>22.42</v>
      </c>
      <c r="D1204" s="22">
        <f>VLOOKUP($A1204, 'Medical Examinations'!$A:$D,3, FALSE)</f>
        <v>7.96</v>
      </c>
      <c r="E1204" s="22" t="str">
        <f>VLOOKUP($A1204, 'Medical Examinations'!$A:$D, 4, FALSE)</f>
        <v>No</v>
      </c>
      <c r="F1204" s="22" t="str">
        <f>VLOOKUP($A1204, 'Medical Examinations'!$A:$J, 5, FALSE)</f>
        <v>No</v>
      </c>
      <c r="G1204" s="22" t="str">
        <f>VLOOKUP($A1204, 'Medical Examinations'!$A:$I, 6, FALSE)</f>
        <v>No</v>
      </c>
      <c r="H1204" s="22">
        <f>VLOOKUP($A1204,'Medical Examinations'!$A:$L,10, FALSE)</f>
        <v>0</v>
      </c>
      <c r="I1204" s="22" t="str">
        <f>VLOOKUP($A1204, 'Medical Examinations'!$A:$J, 9, FALSE)</f>
        <v>No</v>
      </c>
      <c r="J1204" s="22" t="str">
        <f>VLOOKUP($A1204, 'Medical Examinations'!$A:$P, 11, FALSE)</f>
        <v>NORMAL WEIGHT</v>
      </c>
      <c r="K1204" s="34">
        <v>38236.0</v>
      </c>
      <c r="L1204" s="35">
        <f>VLOOKUP($A1204, 'Hospitalisation Details'!$A:$H, 7, FALSE)</f>
        <v>9361.33</v>
      </c>
      <c r="M1204" s="22" t="str">
        <f>VLOOKUP($A1204, 'Hospitalisation Details'!$A:$L, 12, FALSE)</f>
        <v>tier - 3</v>
      </c>
      <c r="N1204" s="22" t="str">
        <f>VLOOKUP($A1204, 'Hospitalisation Details'!$A:$M, 13, FALSE)</f>
        <v>tier - 1</v>
      </c>
      <c r="O1204" s="22" t="str">
        <f>VLOOKUP($A1204, 'Hospitalisation Details'!$A:$N, 14, FALSE)</f>
        <v>R1016</v>
      </c>
      <c r="P1204" s="36">
        <f>VLOOKUP($A1204, 'Hospitalisation Details'!$A:$O, 15, FALSE)</f>
        <v>51</v>
      </c>
    </row>
    <row r="1205" ht="15.75" customHeight="1">
      <c r="A1205" s="33" t="s">
        <v>2409</v>
      </c>
      <c r="B1205" s="22" t="str">
        <f>VLOOKUP($A1205,'Customer Names'!$A:$D,3, FALSE)</f>
        <v>Langerak</v>
      </c>
      <c r="C1205" s="22">
        <f>VLOOKUP($A1205,'Medical Examinations'!$A:$D, 2, FALSE)</f>
        <v>33.18</v>
      </c>
      <c r="D1205" s="22">
        <f>VLOOKUP($A1205, 'Medical Examinations'!$A:$D,3, FALSE)</f>
        <v>6.01</v>
      </c>
      <c r="E1205" s="22" t="str">
        <f>VLOOKUP($A1205, 'Medical Examinations'!$A:$D, 4, FALSE)</f>
        <v>Yes</v>
      </c>
      <c r="F1205" s="22" t="str">
        <f>VLOOKUP($A1205, 'Medical Examinations'!$A:$J, 5, FALSE)</f>
        <v>No</v>
      </c>
      <c r="G1205" s="22" t="str">
        <f>VLOOKUP($A1205, 'Medical Examinations'!$A:$I, 6, FALSE)</f>
        <v>No</v>
      </c>
      <c r="H1205" s="22">
        <f>VLOOKUP($A1205,'Medical Examinations'!$A:$L,10, FALSE)</f>
        <v>1</v>
      </c>
      <c r="I1205" s="22" t="str">
        <f>VLOOKUP($A1205, 'Medical Examinations'!$A:$J, 9, FALSE)</f>
        <v>No</v>
      </c>
      <c r="J1205" s="22" t="str">
        <f>VLOOKUP($A1205, 'Medical Examinations'!$A:$P, 11, FALSE)</f>
        <v>OBESITY</v>
      </c>
      <c r="K1205" s="34">
        <v>34987.0</v>
      </c>
      <c r="L1205" s="35">
        <f>VLOOKUP($A1205, 'Hospitalisation Details'!$A:$H, 7, FALSE)</f>
        <v>9344.2</v>
      </c>
      <c r="M1205" s="22" t="str">
        <f>VLOOKUP($A1205, 'Hospitalisation Details'!$A:$L, 12, FALSE)</f>
        <v>tier - 2</v>
      </c>
      <c r="N1205" s="22" t="str">
        <f>VLOOKUP($A1205, 'Hospitalisation Details'!$A:$M, 13, FALSE)</f>
        <v>tier - 1</v>
      </c>
      <c r="O1205" s="22" t="str">
        <f>VLOOKUP($A1205, 'Hospitalisation Details'!$A:$N, 14, FALSE)</f>
        <v>R1021</v>
      </c>
      <c r="P1205" s="36">
        <f>VLOOKUP($A1205, 'Hospitalisation Details'!$A:$O, 15, FALSE)</f>
        <v>34</v>
      </c>
    </row>
    <row r="1206" ht="15.75" customHeight="1">
      <c r="A1206" s="33" t="s">
        <v>2411</v>
      </c>
      <c r="B1206" s="22" t="str">
        <f>VLOOKUP($A1206,'Customer Names'!$A:$D,3, FALSE)</f>
        <v>Bonilla</v>
      </c>
      <c r="C1206" s="22">
        <f>VLOOKUP($A1206,'Medical Examinations'!$A:$D, 2, FALSE)</f>
        <v>43.04</v>
      </c>
      <c r="D1206" s="22">
        <f>VLOOKUP($A1206, 'Medical Examinations'!$A:$D,3, FALSE)</f>
        <v>5.9</v>
      </c>
      <c r="E1206" s="22" t="str">
        <f>VLOOKUP($A1206, 'Medical Examinations'!$A:$D, 4, FALSE)</f>
        <v>Yes</v>
      </c>
      <c r="F1206" s="22" t="str">
        <f>VLOOKUP($A1206, 'Medical Examinations'!$A:$J, 5, FALSE)</f>
        <v>No</v>
      </c>
      <c r="G1206" s="22" t="str">
        <f>VLOOKUP($A1206, 'Medical Examinations'!$A:$I, 6, FALSE)</f>
        <v>No</v>
      </c>
      <c r="H1206" s="22">
        <f>VLOOKUP($A1206,'Medical Examinations'!$A:$L,10, FALSE)</f>
        <v>0</v>
      </c>
      <c r="I1206" s="22" t="str">
        <f>VLOOKUP($A1206, 'Medical Examinations'!$A:$J, 9, FALSE)</f>
        <v>No</v>
      </c>
      <c r="J1206" s="22" t="str">
        <f>VLOOKUP($A1206, 'Medical Examinations'!$A:$P, 11, FALSE)</f>
        <v>OBESITY</v>
      </c>
      <c r="K1206" s="34">
        <v>34889.0</v>
      </c>
      <c r="L1206" s="35">
        <f>VLOOKUP($A1206, 'Hospitalisation Details'!$A:$H, 7, FALSE)</f>
        <v>9338.61</v>
      </c>
      <c r="M1206" s="22" t="str">
        <f>VLOOKUP($A1206, 'Hospitalisation Details'!$A:$L, 12, FALSE)</f>
        <v>tier - 2</v>
      </c>
      <c r="N1206" s="22" t="str">
        <f>VLOOKUP($A1206, 'Hospitalisation Details'!$A:$M, 13, FALSE)</f>
        <v>tier - 1</v>
      </c>
      <c r="O1206" s="22" t="str">
        <f>VLOOKUP($A1206, 'Hospitalisation Details'!$A:$N, 14, FALSE)</f>
        <v>R1026</v>
      </c>
      <c r="P1206" s="36">
        <f>VLOOKUP($A1206, 'Hospitalisation Details'!$A:$O, 15, FALSE)</f>
        <v>26</v>
      </c>
    </row>
    <row r="1207" ht="15.75" customHeight="1">
      <c r="A1207" s="33" t="s">
        <v>2413</v>
      </c>
      <c r="B1207" s="22" t="str">
        <f>VLOOKUP($A1207,'Customer Names'!$A:$D,3, FALSE)</f>
        <v>Ciabattoni</v>
      </c>
      <c r="C1207" s="22">
        <f>VLOOKUP($A1207,'Medical Examinations'!$A:$D, 2, FALSE)</f>
        <v>34.15</v>
      </c>
      <c r="D1207" s="22">
        <f>VLOOKUP($A1207, 'Medical Examinations'!$A:$D,3, FALSE)</f>
        <v>4.49</v>
      </c>
      <c r="E1207" s="22" t="str">
        <f>VLOOKUP($A1207, 'Medical Examinations'!$A:$D, 4, FALSE)</f>
        <v>Yes</v>
      </c>
      <c r="F1207" s="22" t="str">
        <f>VLOOKUP($A1207, 'Medical Examinations'!$A:$J, 5, FALSE)</f>
        <v>No</v>
      </c>
      <c r="G1207" s="22" t="str">
        <f>VLOOKUP($A1207, 'Medical Examinations'!$A:$I, 6, FALSE)</f>
        <v>No</v>
      </c>
      <c r="H1207" s="22">
        <f>VLOOKUP($A1207,'Medical Examinations'!$A:$L,10, FALSE)</f>
        <v>1</v>
      </c>
      <c r="I1207" s="22" t="str">
        <f>VLOOKUP($A1207, 'Medical Examinations'!$A:$J, 9, FALSE)</f>
        <v>No</v>
      </c>
      <c r="J1207" s="22" t="str">
        <f>VLOOKUP($A1207, 'Medical Examinations'!$A:$P, 11, FALSE)</f>
        <v>OBESITY</v>
      </c>
      <c r="K1207" s="34">
        <v>34986.0</v>
      </c>
      <c r="L1207" s="35">
        <f>VLOOKUP($A1207, 'Hospitalisation Details'!$A:$H, 7, FALSE)</f>
        <v>9320.26</v>
      </c>
      <c r="M1207" s="22" t="str">
        <f>VLOOKUP($A1207, 'Hospitalisation Details'!$A:$L, 12, FALSE)</f>
        <v>tier - 2</v>
      </c>
      <c r="N1207" s="22" t="str">
        <f>VLOOKUP($A1207, 'Hospitalisation Details'!$A:$M, 13, FALSE)</f>
        <v>tier - 1</v>
      </c>
      <c r="O1207" s="22" t="str">
        <f>VLOOKUP($A1207, 'Hospitalisation Details'!$A:$N, 14, FALSE)</f>
        <v>R1012</v>
      </c>
      <c r="P1207" s="36">
        <f>VLOOKUP($A1207, 'Hospitalisation Details'!$A:$O, 15, FALSE)</f>
        <v>34</v>
      </c>
    </row>
    <row r="1208" ht="15.75" customHeight="1">
      <c r="A1208" s="33" t="s">
        <v>2415</v>
      </c>
      <c r="B1208" s="22" t="str">
        <f>VLOOKUP($A1208,'Customer Names'!$A:$D,3, FALSE)</f>
        <v>Escaner</v>
      </c>
      <c r="C1208" s="22">
        <f>VLOOKUP($A1208,'Medical Examinations'!$A:$D, 2, FALSE)</f>
        <v>25.78</v>
      </c>
      <c r="D1208" s="22">
        <f>VLOOKUP($A1208, 'Medical Examinations'!$A:$D,3, FALSE)</f>
        <v>6.25</v>
      </c>
      <c r="E1208" s="22" t="str">
        <f>VLOOKUP($A1208, 'Medical Examinations'!$A:$D, 4, FALSE)</f>
        <v>No</v>
      </c>
      <c r="F1208" s="22" t="str">
        <f>VLOOKUP($A1208, 'Medical Examinations'!$A:$J, 5, FALSE)</f>
        <v>No</v>
      </c>
      <c r="G1208" s="22" t="str">
        <f>VLOOKUP($A1208, 'Medical Examinations'!$A:$I, 6, FALSE)</f>
        <v>No</v>
      </c>
      <c r="H1208" s="22">
        <f>VLOOKUP($A1208,'Medical Examinations'!$A:$L,10, FALSE)</f>
        <v>0</v>
      </c>
      <c r="I1208" s="22" t="str">
        <f>VLOOKUP($A1208, 'Medical Examinations'!$A:$J, 9, FALSE)</f>
        <v>No</v>
      </c>
      <c r="J1208" s="22" t="str">
        <f>VLOOKUP($A1208, 'Medical Examinations'!$A:$P, 11, FALSE)</f>
        <v>OVERWEIGHT</v>
      </c>
      <c r="K1208" s="34">
        <v>35009.0</v>
      </c>
      <c r="L1208" s="35">
        <f>VLOOKUP($A1208, 'Hospitalisation Details'!$A:$H, 7, FALSE)</f>
        <v>9315.41</v>
      </c>
      <c r="M1208" s="22" t="str">
        <f>VLOOKUP($A1208, 'Hospitalisation Details'!$A:$L, 12, FALSE)</f>
        <v>tier - 2</v>
      </c>
      <c r="N1208" s="22" t="str">
        <f>VLOOKUP($A1208, 'Hospitalisation Details'!$A:$M, 13, FALSE)</f>
        <v>tier - 1</v>
      </c>
      <c r="O1208" s="22" t="str">
        <f>VLOOKUP($A1208, 'Hospitalisation Details'!$A:$N, 14, FALSE)</f>
        <v>R1024</v>
      </c>
      <c r="P1208" s="36">
        <f>VLOOKUP($A1208, 'Hospitalisation Details'!$A:$O, 15, FALSE)</f>
        <v>45</v>
      </c>
    </row>
    <row r="1209" ht="15.75" customHeight="1">
      <c r="A1209" s="33" t="s">
        <v>2417</v>
      </c>
      <c r="B1209" s="22" t="str">
        <f>VLOOKUP($A1209,'Customer Names'!$A:$D,3, FALSE)</f>
        <v>Lowe</v>
      </c>
      <c r="C1209" s="22">
        <f>VLOOKUP($A1209,'Medical Examinations'!$A:$D, 2, FALSE)</f>
        <v>21.02</v>
      </c>
      <c r="D1209" s="22">
        <f>VLOOKUP($A1209, 'Medical Examinations'!$A:$D,3, FALSE)</f>
        <v>9.62</v>
      </c>
      <c r="E1209" s="22" t="str">
        <f>VLOOKUP($A1209, 'Medical Examinations'!$A:$D, 4, FALSE)</f>
        <v>Yes</v>
      </c>
      <c r="F1209" s="22" t="str">
        <f>VLOOKUP($A1209, 'Medical Examinations'!$A:$J, 5, FALSE)</f>
        <v>No</v>
      </c>
      <c r="G1209" s="22" t="str">
        <f>VLOOKUP($A1209, 'Medical Examinations'!$A:$I, 6, FALSE)</f>
        <v>Yes</v>
      </c>
      <c r="H1209" s="22">
        <f>VLOOKUP($A1209,'Medical Examinations'!$A:$L,10, FALSE)</f>
        <v>1</v>
      </c>
      <c r="I1209" s="22" t="str">
        <f>VLOOKUP($A1209, 'Medical Examinations'!$A:$J, 9, FALSE)</f>
        <v>No</v>
      </c>
      <c r="J1209" s="22" t="str">
        <f>VLOOKUP($A1209, 'Medical Examinations'!$A:$P, 11, FALSE)</f>
        <v>NORMAL WEIGHT</v>
      </c>
      <c r="K1209" s="34">
        <v>27225.0</v>
      </c>
      <c r="L1209" s="35">
        <f>VLOOKUP($A1209, 'Hospitalisation Details'!$A:$H, 7, FALSE)</f>
        <v>9310.81</v>
      </c>
      <c r="M1209" s="22" t="str">
        <f>VLOOKUP($A1209, 'Hospitalisation Details'!$A:$L, 12, FALSE)</f>
        <v>tier - 3</v>
      </c>
      <c r="N1209" s="22" t="str">
        <f>VLOOKUP($A1209, 'Hospitalisation Details'!$A:$M, 13, FALSE)</f>
        <v>tier - 1</v>
      </c>
      <c r="O1209" s="22" t="str">
        <f>VLOOKUP($A1209, 'Hospitalisation Details'!$A:$N, 14, FALSE)</f>
        <v>R1013</v>
      </c>
      <c r="P1209" s="36">
        <f>VLOOKUP($A1209, 'Hospitalisation Details'!$A:$O, 15, FALSE)</f>
        <v>60</v>
      </c>
    </row>
    <row r="1210" ht="15.75" customHeight="1">
      <c r="A1210" s="33" t="s">
        <v>2419</v>
      </c>
      <c r="B1210" s="22" t="str">
        <f>VLOOKUP($A1210,'Customer Names'!$A:$D,3, FALSE)</f>
        <v>Osmark</v>
      </c>
      <c r="C1210" s="22">
        <f>VLOOKUP($A1210,'Medical Examinations'!$A:$D, 2, FALSE)</f>
        <v>37.51</v>
      </c>
      <c r="D1210" s="22">
        <f>VLOOKUP($A1210, 'Medical Examinations'!$A:$D,3, FALSE)</f>
        <v>11.06</v>
      </c>
      <c r="E1210" s="22" t="str">
        <f>VLOOKUP($A1210, 'Medical Examinations'!$A:$D, 4, FALSE)</f>
        <v>No</v>
      </c>
      <c r="F1210" s="22" t="str">
        <f>VLOOKUP($A1210, 'Medical Examinations'!$A:$J, 5, FALSE)</f>
        <v>No</v>
      </c>
      <c r="G1210" s="22" t="str">
        <f>VLOOKUP($A1210, 'Medical Examinations'!$A:$I, 6, FALSE)</f>
        <v>No</v>
      </c>
      <c r="H1210" s="22">
        <f>VLOOKUP($A1210,'Medical Examinations'!$A:$L,10, FALSE)</f>
        <v>2</v>
      </c>
      <c r="I1210" s="22" t="str">
        <f>VLOOKUP($A1210, 'Medical Examinations'!$A:$J, 9, FALSE)</f>
        <v>No</v>
      </c>
      <c r="J1210" s="22" t="str">
        <f>VLOOKUP($A1210, 'Medical Examinations'!$A:$P, 11, FALSE)</f>
        <v>OBESITY</v>
      </c>
      <c r="K1210" s="34">
        <v>35966.0</v>
      </c>
      <c r="L1210" s="35">
        <f>VLOOKUP($A1210, 'Hospitalisation Details'!$A:$H, 7, FALSE)</f>
        <v>9304.7</v>
      </c>
      <c r="M1210" s="22" t="str">
        <f>VLOOKUP($A1210, 'Hospitalisation Details'!$A:$L, 12, FALSE)</f>
        <v>tier - 3</v>
      </c>
      <c r="N1210" s="22" t="str">
        <f>VLOOKUP($A1210, 'Hospitalisation Details'!$A:$M, 13, FALSE)</f>
        <v>tier - 3</v>
      </c>
      <c r="O1210" s="22" t="str">
        <f>VLOOKUP($A1210, 'Hospitalisation Details'!$A:$N, 14, FALSE)</f>
        <v>R1013</v>
      </c>
      <c r="P1210" s="36">
        <f>VLOOKUP($A1210, 'Hospitalisation Details'!$A:$O, 15, FALSE)</f>
        <v>49</v>
      </c>
    </row>
    <row r="1211" ht="15.75" customHeight="1">
      <c r="A1211" s="33" t="s">
        <v>2421</v>
      </c>
      <c r="B1211" s="22" t="str">
        <f>VLOOKUP($A1211,'Customer Names'!$A:$D,3, FALSE)</f>
        <v>Lawson</v>
      </c>
      <c r="C1211" s="22">
        <f>VLOOKUP($A1211,'Medical Examinations'!$A:$D, 2, FALSE)</f>
        <v>25.745</v>
      </c>
      <c r="D1211" s="22">
        <f>VLOOKUP($A1211, 'Medical Examinations'!$A:$D,3, FALSE)</f>
        <v>6.11</v>
      </c>
      <c r="E1211" s="22" t="str">
        <f>VLOOKUP($A1211, 'Medical Examinations'!$A:$D, 4, FALSE)</f>
        <v>Yes</v>
      </c>
      <c r="F1211" s="22" t="str">
        <f>VLOOKUP($A1211, 'Medical Examinations'!$A:$J, 5, FALSE)</f>
        <v>No</v>
      </c>
      <c r="G1211" s="22" t="str">
        <f>VLOOKUP($A1211, 'Medical Examinations'!$A:$I, 6, FALSE)</f>
        <v>No</v>
      </c>
      <c r="H1211" s="22">
        <f>VLOOKUP($A1211,'Medical Examinations'!$A:$L,10, FALSE)</f>
        <v>0</v>
      </c>
      <c r="I1211" s="22" t="str">
        <f>VLOOKUP($A1211, 'Medical Examinations'!$A:$J, 9, FALSE)</f>
        <v>No</v>
      </c>
      <c r="J1211" s="22" t="str">
        <f>VLOOKUP($A1211, 'Medical Examinations'!$A:$P, 11, FALSE)</f>
        <v>OVERWEIGHT</v>
      </c>
      <c r="K1211" s="34">
        <v>35978.0</v>
      </c>
      <c r="L1211" s="35">
        <f>VLOOKUP($A1211, 'Hospitalisation Details'!$A:$H, 7, FALSE)</f>
        <v>9301.89</v>
      </c>
      <c r="M1211" s="22" t="str">
        <f>VLOOKUP($A1211, 'Hospitalisation Details'!$A:$L, 12, FALSE)</f>
        <v>tier - 2</v>
      </c>
      <c r="N1211" s="22" t="str">
        <f>VLOOKUP($A1211, 'Hospitalisation Details'!$A:$M, 13, FALSE)</f>
        <v>tier - 1</v>
      </c>
      <c r="O1211" s="22" t="str">
        <f>VLOOKUP($A1211, 'Hospitalisation Details'!$A:$N, 14, FALSE)</f>
        <v>R1012</v>
      </c>
      <c r="P1211" s="36">
        <f>VLOOKUP($A1211, 'Hospitalisation Details'!$A:$O, 15, FALSE)</f>
        <v>46</v>
      </c>
    </row>
    <row r="1212" ht="15.75" customHeight="1">
      <c r="A1212" s="33" t="s">
        <v>2423</v>
      </c>
      <c r="B1212" s="22" t="str">
        <f>VLOOKUP($A1212,'Customer Names'!$A:$D,3, FALSE)</f>
        <v>Warwick</v>
      </c>
      <c r="C1212" s="22">
        <f>VLOOKUP($A1212,'Medical Examinations'!$A:$D, 2, FALSE)</f>
        <v>31.35</v>
      </c>
      <c r="D1212" s="22">
        <f>VLOOKUP($A1212, 'Medical Examinations'!$A:$D,3, FALSE)</f>
        <v>11.49</v>
      </c>
      <c r="E1212" s="22" t="str">
        <f>VLOOKUP($A1212, 'Medical Examinations'!$A:$D, 4, FALSE)</f>
        <v>No</v>
      </c>
      <c r="F1212" s="22" t="str">
        <f>VLOOKUP($A1212, 'Medical Examinations'!$A:$J, 5, FALSE)</f>
        <v>No</v>
      </c>
      <c r="G1212" s="22" t="str">
        <f>VLOOKUP($A1212, 'Medical Examinations'!$A:$I, 6, FALSE)</f>
        <v>No</v>
      </c>
      <c r="H1212" s="22">
        <f>VLOOKUP($A1212,'Medical Examinations'!$A:$L,10, FALSE)</f>
        <v>2</v>
      </c>
      <c r="I1212" s="22" t="str">
        <f>VLOOKUP($A1212, 'Medical Examinations'!$A:$J, 9, FALSE)</f>
        <v>No</v>
      </c>
      <c r="J1212" s="22" t="str">
        <f>VLOOKUP($A1212, 'Medical Examinations'!$A:$P, 11, FALSE)</f>
        <v>OBESITY</v>
      </c>
      <c r="K1212" s="34">
        <v>36024.0</v>
      </c>
      <c r="L1212" s="35">
        <f>VLOOKUP($A1212, 'Hospitalisation Details'!$A:$H, 7, FALSE)</f>
        <v>9290.14</v>
      </c>
      <c r="M1212" s="22" t="str">
        <f>VLOOKUP($A1212, 'Hospitalisation Details'!$A:$L, 12, FALSE)</f>
        <v>tier - 3</v>
      </c>
      <c r="N1212" s="22" t="str">
        <f>VLOOKUP($A1212, 'Hospitalisation Details'!$A:$M, 13, FALSE)</f>
        <v>tier - 3</v>
      </c>
      <c r="O1212" s="22" t="str">
        <f>VLOOKUP($A1212, 'Hospitalisation Details'!$A:$N, 14, FALSE)</f>
        <v>R1016</v>
      </c>
      <c r="P1212" s="36">
        <f>VLOOKUP($A1212, 'Hospitalisation Details'!$A:$O, 15, FALSE)</f>
        <v>49</v>
      </c>
    </row>
    <row r="1213" ht="15.75" customHeight="1">
      <c r="A1213" s="33" t="s">
        <v>2425</v>
      </c>
      <c r="B1213" s="22" t="str">
        <f>VLOOKUP($A1213,'Customer Names'!$A:$D,3, FALSE)</f>
        <v>Magnuson</v>
      </c>
      <c r="C1213" s="22">
        <f>VLOOKUP($A1213,'Medical Examinations'!$A:$D, 2, FALSE)</f>
        <v>29.83</v>
      </c>
      <c r="D1213" s="22">
        <f>VLOOKUP($A1213, 'Medical Examinations'!$A:$D,3, FALSE)</f>
        <v>8.68</v>
      </c>
      <c r="E1213" s="22" t="str">
        <f>VLOOKUP($A1213, 'Medical Examinations'!$A:$D, 4, FALSE)</f>
        <v>No</v>
      </c>
      <c r="F1213" s="22" t="str">
        <f>VLOOKUP($A1213, 'Medical Examinations'!$A:$J, 5, FALSE)</f>
        <v>No</v>
      </c>
      <c r="G1213" s="22" t="str">
        <f>VLOOKUP($A1213, 'Medical Examinations'!$A:$I, 6, FALSE)</f>
        <v>No</v>
      </c>
      <c r="H1213" s="22">
        <f>VLOOKUP($A1213,'Medical Examinations'!$A:$L,10, FALSE)</f>
        <v>2</v>
      </c>
      <c r="I1213" s="22" t="str">
        <f>VLOOKUP($A1213, 'Medical Examinations'!$A:$J, 9, FALSE)</f>
        <v>No</v>
      </c>
      <c r="J1213" s="22" t="str">
        <f>VLOOKUP($A1213, 'Medical Examinations'!$A:$P, 11, FALSE)</f>
        <v>OVERWEIGHT</v>
      </c>
      <c r="K1213" s="34">
        <v>37448.0</v>
      </c>
      <c r="L1213" s="35">
        <f>VLOOKUP($A1213, 'Hospitalisation Details'!$A:$H, 7, FALSE)</f>
        <v>9288.03</v>
      </c>
      <c r="M1213" s="22" t="str">
        <f>VLOOKUP($A1213, 'Hospitalisation Details'!$A:$L, 12, FALSE)</f>
        <v>tier - 2</v>
      </c>
      <c r="N1213" s="22" t="str">
        <f>VLOOKUP($A1213, 'Hospitalisation Details'!$A:$M, 13, FALSE)</f>
        <v>tier - 3</v>
      </c>
      <c r="O1213" s="22" t="str">
        <f>VLOOKUP($A1213, 'Hospitalisation Details'!$A:$N, 14, FALSE)</f>
        <v>R1018</v>
      </c>
      <c r="P1213" s="36">
        <f>VLOOKUP($A1213, 'Hospitalisation Details'!$A:$O, 15, FALSE)</f>
        <v>49</v>
      </c>
    </row>
    <row r="1214" ht="15.75" customHeight="1">
      <c r="A1214" s="33" t="s">
        <v>2427</v>
      </c>
      <c r="B1214" s="22" t="str">
        <f>VLOOKUP($A1214,'Customer Names'!$A:$D,3, FALSE)</f>
        <v>Marsh</v>
      </c>
      <c r="C1214" s="22">
        <f>VLOOKUP($A1214,'Medical Examinations'!$A:$D, 2, FALSE)</f>
        <v>25.49</v>
      </c>
      <c r="D1214" s="22">
        <f>VLOOKUP($A1214, 'Medical Examinations'!$A:$D,3, FALSE)</f>
        <v>5.68</v>
      </c>
      <c r="E1214" s="22" t="str">
        <f>VLOOKUP($A1214, 'Medical Examinations'!$A:$D, 4, FALSE)</f>
        <v>Yes</v>
      </c>
      <c r="F1214" s="22" t="str">
        <f>VLOOKUP($A1214, 'Medical Examinations'!$A:$J, 5, FALSE)</f>
        <v>No</v>
      </c>
      <c r="G1214" s="22" t="str">
        <f>VLOOKUP($A1214, 'Medical Examinations'!$A:$I, 6, FALSE)</f>
        <v>Yes</v>
      </c>
      <c r="H1214" s="22">
        <f>VLOOKUP($A1214,'Medical Examinations'!$A:$L,10, FALSE)</f>
        <v>1</v>
      </c>
      <c r="I1214" s="22" t="str">
        <f>VLOOKUP($A1214, 'Medical Examinations'!$A:$J, 9, FALSE)</f>
        <v>No</v>
      </c>
      <c r="J1214" s="22" t="str">
        <f>VLOOKUP($A1214, 'Medical Examinations'!$A:$P, 11, FALSE)</f>
        <v>OVERWEIGHT</v>
      </c>
      <c r="K1214" s="34">
        <v>36118.0</v>
      </c>
      <c r="L1214" s="35">
        <f>VLOOKUP($A1214, 'Hospitalisation Details'!$A:$H, 7, FALSE)</f>
        <v>9285.87</v>
      </c>
      <c r="M1214" s="22" t="str">
        <f>VLOOKUP($A1214, 'Hospitalisation Details'!$A:$L, 12, FALSE)</f>
        <v>tier - 2</v>
      </c>
      <c r="N1214" s="22" t="str">
        <f>VLOOKUP($A1214, 'Hospitalisation Details'!$A:$M, 13, FALSE)</f>
        <v>tier - 3</v>
      </c>
      <c r="O1214" s="22" t="str">
        <f>VLOOKUP($A1214, 'Hospitalisation Details'!$A:$N, 14, FALSE)</f>
        <v>R1013</v>
      </c>
      <c r="P1214" s="36">
        <f>VLOOKUP($A1214, 'Hospitalisation Details'!$A:$O, 15, FALSE)</f>
        <v>53</v>
      </c>
    </row>
    <row r="1215" ht="15.75" customHeight="1">
      <c r="A1215" s="33" t="s">
        <v>2429</v>
      </c>
      <c r="B1215" s="22" t="str">
        <f>VLOOKUP($A1215,'Customer Names'!$A:$D,3, FALSE)</f>
        <v>Kari</v>
      </c>
      <c r="C1215" s="22">
        <f>VLOOKUP($A1215,'Medical Examinations'!$A:$D, 2, FALSE)</f>
        <v>34.1</v>
      </c>
      <c r="D1215" s="22">
        <f>VLOOKUP($A1215, 'Medical Examinations'!$A:$D,3, FALSE)</f>
        <v>8.45</v>
      </c>
      <c r="E1215" s="22" t="str">
        <f>VLOOKUP($A1215, 'Medical Examinations'!$A:$D, 4, FALSE)</f>
        <v>No</v>
      </c>
      <c r="F1215" s="22" t="str">
        <f>VLOOKUP($A1215, 'Medical Examinations'!$A:$J, 5, FALSE)</f>
        <v>No</v>
      </c>
      <c r="G1215" s="22" t="str">
        <f>VLOOKUP($A1215, 'Medical Examinations'!$A:$I, 6, FALSE)</f>
        <v>No</v>
      </c>
      <c r="H1215" s="22">
        <f>VLOOKUP($A1215,'Medical Examinations'!$A:$L,10, FALSE)</f>
        <v>0</v>
      </c>
      <c r="I1215" s="22" t="str">
        <f>VLOOKUP($A1215, 'Medical Examinations'!$A:$J, 9, FALSE)</f>
        <v>No</v>
      </c>
      <c r="J1215" s="22" t="str">
        <f>VLOOKUP($A1215, 'Medical Examinations'!$A:$P, 11, FALSE)</f>
        <v>OBESITY</v>
      </c>
      <c r="K1215" s="34">
        <v>37466.0</v>
      </c>
      <c r="L1215" s="35">
        <f>VLOOKUP($A1215, 'Hospitalisation Details'!$A:$H, 7, FALSE)</f>
        <v>9283.56</v>
      </c>
      <c r="M1215" s="22" t="str">
        <f>VLOOKUP($A1215, 'Hospitalisation Details'!$A:$L, 12, FALSE)</f>
        <v>tier - 2</v>
      </c>
      <c r="N1215" s="22" t="str">
        <f>VLOOKUP($A1215, 'Hospitalisation Details'!$A:$M, 13, FALSE)</f>
        <v>tier - 3</v>
      </c>
      <c r="O1215" s="22" t="str">
        <f>VLOOKUP($A1215, 'Hospitalisation Details'!$A:$N, 14, FALSE)</f>
        <v>R1013</v>
      </c>
      <c r="P1215" s="36">
        <f>VLOOKUP($A1215, 'Hospitalisation Details'!$A:$O, 15, FALSE)</f>
        <v>51</v>
      </c>
    </row>
    <row r="1216" ht="15.75" customHeight="1">
      <c r="A1216" s="33" t="s">
        <v>2431</v>
      </c>
      <c r="B1216" s="22" t="str">
        <f>VLOOKUP($A1216,'Customer Names'!$A:$D,3, FALSE)</f>
        <v>Standiford</v>
      </c>
      <c r="C1216" s="22">
        <f>VLOOKUP($A1216,'Medical Examinations'!$A:$D, 2, FALSE)</f>
        <v>25.84</v>
      </c>
      <c r="D1216" s="22">
        <f>VLOOKUP($A1216, 'Medical Examinations'!$A:$D,3, FALSE)</f>
        <v>8.51</v>
      </c>
      <c r="E1216" s="22" t="str">
        <f>VLOOKUP($A1216, 'Medical Examinations'!$A:$D, 4, FALSE)</f>
        <v>No</v>
      </c>
      <c r="F1216" s="22" t="str">
        <f>VLOOKUP($A1216, 'Medical Examinations'!$A:$J, 5, FALSE)</f>
        <v>No</v>
      </c>
      <c r="G1216" s="22" t="str">
        <f>VLOOKUP($A1216, 'Medical Examinations'!$A:$I, 6, FALSE)</f>
        <v>No</v>
      </c>
      <c r="H1216" s="22">
        <f>VLOOKUP($A1216,'Medical Examinations'!$A:$L,10, FALSE)</f>
        <v>2</v>
      </c>
      <c r="I1216" s="22" t="str">
        <f>VLOOKUP($A1216, 'Medical Examinations'!$A:$J, 9, FALSE)</f>
        <v>No</v>
      </c>
      <c r="J1216" s="22" t="str">
        <f>VLOOKUP($A1216, 'Medical Examinations'!$A:$P, 11, FALSE)</f>
        <v>OVERWEIGHT</v>
      </c>
      <c r="K1216" s="34">
        <v>36485.0</v>
      </c>
      <c r="L1216" s="35">
        <f>VLOOKUP($A1216, 'Hospitalisation Details'!$A:$H, 7, FALSE)</f>
        <v>9282.48</v>
      </c>
      <c r="M1216" s="22" t="str">
        <f>VLOOKUP($A1216, 'Hospitalisation Details'!$A:$L, 12, FALSE)</f>
        <v>tier - 3</v>
      </c>
      <c r="N1216" s="22" t="str">
        <f>VLOOKUP($A1216, 'Hospitalisation Details'!$A:$M, 13, FALSE)</f>
        <v>tier - 2</v>
      </c>
      <c r="O1216" s="22" t="str">
        <f>VLOOKUP($A1216, 'Hospitalisation Details'!$A:$N, 14, FALSE)</f>
        <v>R1016</v>
      </c>
      <c r="P1216" s="36">
        <f>VLOOKUP($A1216, 'Hospitalisation Details'!$A:$O, 15, FALSE)</f>
        <v>49</v>
      </c>
    </row>
    <row r="1217" ht="15.75" customHeight="1">
      <c r="A1217" s="33" t="s">
        <v>2433</v>
      </c>
      <c r="B1217" s="22" t="str">
        <f>VLOOKUP($A1217,'Customer Names'!$A:$D,3, FALSE)</f>
        <v>Sherwin</v>
      </c>
      <c r="C1217" s="22">
        <f>VLOOKUP($A1217,'Medical Examinations'!$A:$D, 2, FALSE)</f>
        <v>20.6</v>
      </c>
      <c r="D1217" s="22">
        <f>VLOOKUP($A1217, 'Medical Examinations'!$A:$D,3, FALSE)</f>
        <v>7.62</v>
      </c>
      <c r="E1217" s="22" t="str">
        <f>VLOOKUP($A1217, 'Medical Examinations'!$A:$D, 4, FALSE)</f>
        <v>No</v>
      </c>
      <c r="F1217" s="22" t="str">
        <f>VLOOKUP($A1217, 'Medical Examinations'!$A:$J, 5, FALSE)</f>
        <v>No</v>
      </c>
      <c r="G1217" s="22" t="str">
        <f>VLOOKUP($A1217, 'Medical Examinations'!$A:$I, 6, FALSE)</f>
        <v>No</v>
      </c>
      <c r="H1217" s="22">
        <f>VLOOKUP($A1217,'Medical Examinations'!$A:$L,10, FALSE)</f>
        <v>0</v>
      </c>
      <c r="I1217" s="22" t="str">
        <f>VLOOKUP($A1217, 'Medical Examinations'!$A:$J, 9, FALSE)</f>
        <v>No</v>
      </c>
      <c r="J1217" s="22" t="str">
        <f>VLOOKUP($A1217, 'Medical Examinations'!$A:$P, 11, FALSE)</f>
        <v>NORMAL WEIGHT</v>
      </c>
      <c r="K1217" s="34">
        <v>36476.0</v>
      </c>
      <c r="L1217" s="35">
        <f>VLOOKUP($A1217, 'Hospitalisation Details'!$A:$H, 7, FALSE)</f>
        <v>9264.8</v>
      </c>
      <c r="M1217" s="22" t="str">
        <f>VLOOKUP($A1217, 'Hospitalisation Details'!$A:$L, 12, FALSE)</f>
        <v>tier - 2</v>
      </c>
      <c r="N1217" s="22" t="str">
        <f>VLOOKUP($A1217, 'Hospitalisation Details'!$A:$M, 13, FALSE)</f>
        <v>tier - 1</v>
      </c>
      <c r="O1217" s="22" t="str">
        <f>VLOOKUP($A1217, 'Hospitalisation Details'!$A:$N, 14, FALSE)</f>
        <v>R1011</v>
      </c>
      <c r="P1217" s="36">
        <f>VLOOKUP($A1217, 'Hospitalisation Details'!$A:$O, 15, FALSE)</f>
        <v>51</v>
      </c>
    </row>
    <row r="1218" ht="15.75" customHeight="1">
      <c r="A1218" s="33" t="s">
        <v>2435</v>
      </c>
      <c r="B1218" s="22" t="str">
        <f>VLOOKUP($A1218,'Customer Names'!$A:$D,3, FALSE)</f>
        <v>Parker</v>
      </c>
      <c r="C1218" s="22">
        <f>VLOOKUP($A1218,'Medical Examinations'!$A:$D, 2, FALSE)</f>
        <v>28.88</v>
      </c>
      <c r="D1218" s="22">
        <f>VLOOKUP($A1218, 'Medical Examinations'!$A:$D,3, FALSE)</f>
        <v>10.18</v>
      </c>
      <c r="E1218" s="22" t="str">
        <f>VLOOKUP($A1218, 'Medical Examinations'!$A:$D, 4, FALSE)</f>
        <v>No</v>
      </c>
      <c r="F1218" s="22" t="str">
        <f>VLOOKUP($A1218, 'Medical Examinations'!$A:$J, 5, FALSE)</f>
        <v>No</v>
      </c>
      <c r="G1218" s="22" t="str">
        <f>VLOOKUP($A1218, 'Medical Examinations'!$A:$I, 6, FALSE)</f>
        <v>No</v>
      </c>
      <c r="H1218" s="22">
        <f>VLOOKUP($A1218,'Medical Examinations'!$A:$L,10, FALSE)</f>
        <v>0</v>
      </c>
      <c r="I1218" s="22" t="str">
        <f>VLOOKUP($A1218, 'Medical Examinations'!$A:$J, 9, FALSE)</f>
        <v>No</v>
      </c>
      <c r="J1218" s="22" t="str">
        <f>VLOOKUP($A1218, 'Medical Examinations'!$A:$P, 11, FALSE)</f>
        <v>OVERWEIGHT</v>
      </c>
      <c r="K1218" s="34">
        <v>37045.0</v>
      </c>
      <c r="L1218" s="35">
        <f>VLOOKUP($A1218, 'Hospitalisation Details'!$A:$H, 7, FALSE)</f>
        <v>9249.5</v>
      </c>
      <c r="M1218" s="22" t="str">
        <f>VLOOKUP($A1218, 'Hospitalisation Details'!$A:$L, 12, FALSE)</f>
        <v>tier - 2</v>
      </c>
      <c r="N1218" s="22" t="str">
        <f>VLOOKUP($A1218, 'Hospitalisation Details'!$A:$M, 13, FALSE)</f>
        <v>tier - 1</v>
      </c>
      <c r="O1218" s="22" t="str">
        <f>VLOOKUP($A1218, 'Hospitalisation Details'!$A:$N, 14, FALSE)</f>
        <v>R1012</v>
      </c>
      <c r="P1218" s="36">
        <f>VLOOKUP($A1218, 'Hospitalisation Details'!$A:$O, 15, FALSE)</f>
        <v>48</v>
      </c>
    </row>
    <row r="1219" ht="15.75" customHeight="1">
      <c r="A1219" s="33" t="s">
        <v>2437</v>
      </c>
      <c r="B1219" s="22" t="str">
        <f>VLOOKUP($A1219,'Customer Names'!$A:$D,3, FALSE)</f>
        <v>Blekeli</v>
      </c>
      <c r="C1219" s="22">
        <f>VLOOKUP($A1219,'Medical Examinations'!$A:$D, 2, FALSE)</f>
        <v>28.24</v>
      </c>
      <c r="D1219" s="22">
        <f>VLOOKUP($A1219, 'Medical Examinations'!$A:$D,3, FALSE)</f>
        <v>5.36</v>
      </c>
      <c r="E1219" s="22" t="str">
        <f>VLOOKUP($A1219, 'Medical Examinations'!$A:$D, 4, FALSE)</f>
        <v>No</v>
      </c>
      <c r="F1219" s="22" t="str">
        <f>VLOOKUP($A1219, 'Medical Examinations'!$A:$J, 5, FALSE)</f>
        <v>No</v>
      </c>
      <c r="G1219" s="22" t="str">
        <f>VLOOKUP($A1219, 'Medical Examinations'!$A:$I, 6, FALSE)</f>
        <v>No</v>
      </c>
      <c r="H1219" s="22">
        <f>VLOOKUP($A1219,'Medical Examinations'!$A:$L,10, FALSE)</f>
        <v>0</v>
      </c>
      <c r="I1219" s="22" t="str">
        <f>VLOOKUP($A1219, 'Medical Examinations'!$A:$J, 9, FALSE)</f>
        <v>No</v>
      </c>
      <c r="J1219" s="22" t="str">
        <f>VLOOKUP($A1219, 'Medical Examinations'!$A:$P, 11, FALSE)</f>
        <v>OVERWEIGHT</v>
      </c>
      <c r="K1219" s="34">
        <v>36382.0</v>
      </c>
      <c r="L1219" s="35">
        <f>VLOOKUP($A1219, 'Hospitalisation Details'!$A:$H, 7, FALSE)</f>
        <v>9247.94</v>
      </c>
      <c r="M1219" s="22" t="str">
        <f>VLOOKUP($A1219, 'Hospitalisation Details'!$A:$L, 12, FALSE)</f>
        <v>tier - 2</v>
      </c>
      <c r="N1219" s="22" t="str">
        <f>VLOOKUP($A1219, 'Hospitalisation Details'!$A:$M, 13, FALSE)</f>
        <v>tier - 1</v>
      </c>
      <c r="O1219" s="22" t="str">
        <f>VLOOKUP($A1219, 'Hospitalisation Details'!$A:$N, 14, FALSE)</f>
        <v>R1021</v>
      </c>
      <c r="P1219" s="36">
        <f>VLOOKUP($A1219, 'Hospitalisation Details'!$A:$O, 15, FALSE)</f>
        <v>42</v>
      </c>
    </row>
    <row r="1220" ht="15.75" customHeight="1">
      <c r="A1220" s="33" t="s">
        <v>2439</v>
      </c>
      <c r="B1220" s="22" t="str">
        <f>VLOOKUP($A1220,'Customer Names'!$A:$D,3, FALSE)</f>
        <v>Vangampleare</v>
      </c>
      <c r="C1220" s="22">
        <f>VLOOKUP($A1220,'Medical Examinations'!$A:$D, 2, FALSE)</f>
        <v>25.46</v>
      </c>
      <c r="D1220" s="22">
        <f>VLOOKUP($A1220, 'Medical Examinations'!$A:$D,3, FALSE)</f>
        <v>11.78</v>
      </c>
      <c r="E1220" s="22" t="str">
        <f>VLOOKUP($A1220, 'Medical Examinations'!$A:$D, 4, FALSE)</f>
        <v>Yes</v>
      </c>
      <c r="F1220" s="22" t="str">
        <f>VLOOKUP($A1220, 'Medical Examinations'!$A:$J, 5, FALSE)</f>
        <v>No</v>
      </c>
      <c r="G1220" s="22" t="str">
        <f>VLOOKUP($A1220, 'Medical Examinations'!$A:$I, 6, FALSE)</f>
        <v>No</v>
      </c>
      <c r="H1220" s="22">
        <f>VLOOKUP($A1220,'Medical Examinations'!$A:$L,10, FALSE)</f>
        <v>1</v>
      </c>
      <c r="I1220" s="22" t="str">
        <f>VLOOKUP($A1220, 'Medical Examinations'!$A:$J, 9, FALSE)</f>
        <v>No</v>
      </c>
      <c r="J1220" s="22" t="str">
        <f>VLOOKUP($A1220, 'Medical Examinations'!$A:$P, 11, FALSE)</f>
        <v>OVERWEIGHT</v>
      </c>
      <c r="K1220" s="34">
        <v>28843.0</v>
      </c>
      <c r="L1220" s="35">
        <f>VLOOKUP($A1220, 'Hospitalisation Details'!$A:$H, 7, FALSE)</f>
        <v>9225.26</v>
      </c>
      <c r="M1220" s="22" t="str">
        <f>VLOOKUP($A1220, 'Hospitalisation Details'!$A:$L, 12, FALSE)</f>
        <v>tier - 3</v>
      </c>
      <c r="N1220" s="22" t="str">
        <f>VLOOKUP($A1220, 'Hospitalisation Details'!$A:$M, 13, FALSE)</f>
        <v>tier - 3</v>
      </c>
      <c r="O1220" s="22" t="str">
        <f>VLOOKUP($A1220, 'Hospitalisation Details'!$A:$N, 14, FALSE)</f>
        <v>R1015</v>
      </c>
      <c r="P1220" s="36">
        <f>VLOOKUP($A1220, 'Hospitalisation Details'!$A:$O, 15, FALSE)</f>
        <v>47</v>
      </c>
    </row>
    <row r="1221" ht="15.75" customHeight="1">
      <c r="A1221" s="33" t="s">
        <v>2441</v>
      </c>
      <c r="B1221" s="22" t="str">
        <f>VLOOKUP($A1221,'Customer Names'!$A:$D,3, FALSE)</f>
        <v>Hiatt</v>
      </c>
      <c r="C1221" s="22">
        <f>VLOOKUP($A1221,'Medical Examinations'!$A:$D, 2, FALSE)</f>
        <v>29.64</v>
      </c>
      <c r="D1221" s="22">
        <f>VLOOKUP($A1221, 'Medical Examinations'!$A:$D,3, FALSE)</f>
        <v>10.82</v>
      </c>
      <c r="E1221" s="22" t="str">
        <f>VLOOKUP($A1221, 'Medical Examinations'!$A:$D, 4, FALSE)</f>
        <v>Yes</v>
      </c>
      <c r="F1221" s="22" t="str">
        <f>VLOOKUP($A1221, 'Medical Examinations'!$A:$J, 5, FALSE)</f>
        <v>No</v>
      </c>
      <c r="G1221" s="22" t="str">
        <f>VLOOKUP($A1221, 'Medical Examinations'!$A:$I, 6, FALSE)</f>
        <v>No</v>
      </c>
      <c r="H1221" s="22">
        <f>VLOOKUP($A1221,'Medical Examinations'!$A:$L,10, FALSE)</f>
        <v>0</v>
      </c>
      <c r="I1221" s="22" t="str">
        <f>VLOOKUP($A1221, 'Medical Examinations'!$A:$J, 9, FALSE)</f>
        <v>No</v>
      </c>
      <c r="J1221" s="22" t="str">
        <f>VLOOKUP($A1221, 'Medical Examinations'!$A:$P, 11, FALSE)</f>
        <v>OVERWEIGHT</v>
      </c>
      <c r="K1221" s="34">
        <v>36511.0</v>
      </c>
      <c r="L1221" s="35">
        <f>VLOOKUP($A1221, 'Hospitalisation Details'!$A:$H, 7, FALSE)</f>
        <v>9222.4</v>
      </c>
      <c r="M1221" s="22" t="str">
        <f>VLOOKUP($A1221, 'Hospitalisation Details'!$A:$L, 12, FALSE)</f>
        <v>tier - 2</v>
      </c>
      <c r="N1221" s="22" t="str">
        <f>VLOOKUP($A1221, 'Hospitalisation Details'!$A:$M, 13, FALSE)</f>
        <v>tier - 3</v>
      </c>
      <c r="O1221" s="22" t="str">
        <f>VLOOKUP($A1221, 'Hospitalisation Details'!$A:$N, 14, FALSE)</f>
        <v>R1019</v>
      </c>
      <c r="P1221" s="36">
        <f>VLOOKUP($A1221, 'Hospitalisation Details'!$A:$O, 15, FALSE)</f>
        <v>41</v>
      </c>
    </row>
    <row r="1222" ht="15.75" customHeight="1">
      <c r="A1222" s="33" t="s">
        <v>2443</v>
      </c>
      <c r="B1222" s="22" t="str">
        <f>VLOOKUP($A1222,'Customer Names'!$A:$D,3, FALSE)</f>
        <v>Tadesse</v>
      </c>
      <c r="C1222" s="22">
        <f>VLOOKUP($A1222,'Medical Examinations'!$A:$D, 2, FALSE)</f>
        <v>31.27</v>
      </c>
      <c r="D1222" s="22">
        <f>VLOOKUP($A1222, 'Medical Examinations'!$A:$D,3, FALSE)</f>
        <v>7.73</v>
      </c>
      <c r="E1222" s="22" t="str">
        <f>VLOOKUP($A1222, 'Medical Examinations'!$A:$D, 4, FALSE)</f>
        <v>Yes</v>
      </c>
      <c r="F1222" s="22" t="str">
        <f>VLOOKUP($A1222, 'Medical Examinations'!$A:$J, 5, FALSE)</f>
        <v>No</v>
      </c>
      <c r="G1222" s="22" t="str">
        <f>VLOOKUP($A1222, 'Medical Examinations'!$A:$I, 6, FALSE)</f>
        <v>No</v>
      </c>
      <c r="H1222" s="22">
        <f>VLOOKUP($A1222,'Medical Examinations'!$A:$L,10, FALSE)</f>
        <v>1</v>
      </c>
      <c r="I1222" s="22" t="str">
        <f>VLOOKUP($A1222, 'Medical Examinations'!$A:$J, 9, FALSE)</f>
        <v>No</v>
      </c>
      <c r="J1222" s="22" t="str">
        <f>VLOOKUP($A1222, 'Medical Examinations'!$A:$P, 11, FALSE)</f>
        <v>OBESITY</v>
      </c>
      <c r="K1222" s="34">
        <v>32489.0</v>
      </c>
      <c r="L1222" s="35">
        <f>VLOOKUP($A1222, 'Hospitalisation Details'!$A:$H, 7, FALSE)</f>
        <v>9210.06</v>
      </c>
      <c r="M1222" s="22" t="str">
        <f>VLOOKUP($A1222, 'Hospitalisation Details'!$A:$L, 12, FALSE)</f>
        <v>tier - 2</v>
      </c>
      <c r="N1222" s="22" t="str">
        <f>VLOOKUP($A1222, 'Hospitalisation Details'!$A:$M, 13, FALSE)</f>
        <v>tier - 3</v>
      </c>
      <c r="O1222" s="22" t="str">
        <f>VLOOKUP($A1222, 'Hospitalisation Details'!$A:$N, 14, FALSE)</f>
        <v>R1021</v>
      </c>
      <c r="P1222" s="36">
        <f>VLOOKUP($A1222, 'Hospitalisation Details'!$A:$O, 15, FALSE)</f>
        <v>36</v>
      </c>
    </row>
    <row r="1223" ht="15.75" customHeight="1">
      <c r="A1223" s="33" t="s">
        <v>2445</v>
      </c>
      <c r="B1223" s="22" t="str">
        <f>VLOOKUP($A1223,'Customer Names'!$A:$D,3, FALSE)</f>
        <v>Jaswell</v>
      </c>
      <c r="C1223" s="22">
        <f>VLOOKUP($A1223,'Medical Examinations'!$A:$D, 2, FALSE)</f>
        <v>19.95</v>
      </c>
      <c r="D1223" s="22">
        <f>VLOOKUP($A1223, 'Medical Examinations'!$A:$D,3, FALSE)</f>
        <v>6.24</v>
      </c>
      <c r="E1223" s="22" t="str">
        <f>VLOOKUP($A1223, 'Medical Examinations'!$A:$D, 4, FALSE)</f>
        <v>Yes</v>
      </c>
      <c r="F1223" s="22" t="str">
        <f>VLOOKUP($A1223, 'Medical Examinations'!$A:$J, 5, FALSE)</f>
        <v>No</v>
      </c>
      <c r="G1223" s="22" t="str">
        <f>VLOOKUP($A1223, 'Medical Examinations'!$A:$I, 6, FALSE)</f>
        <v>No</v>
      </c>
      <c r="H1223" s="22">
        <f>VLOOKUP($A1223,'Medical Examinations'!$A:$L,10, FALSE)</f>
        <v>0</v>
      </c>
      <c r="I1223" s="22" t="str">
        <f>VLOOKUP($A1223, 'Medical Examinations'!$A:$J, 9, FALSE)</f>
        <v>No</v>
      </c>
      <c r="J1223" s="22" t="str">
        <f>VLOOKUP($A1223, 'Medical Examinations'!$A:$P, 11, FALSE)</f>
        <v>NORMAL WEIGHT</v>
      </c>
      <c r="K1223" s="34">
        <v>37565.0</v>
      </c>
      <c r="L1223" s="35">
        <f>VLOOKUP($A1223, 'Hospitalisation Details'!$A:$H, 7, FALSE)</f>
        <v>9193.84</v>
      </c>
      <c r="M1223" s="22" t="str">
        <f>VLOOKUP($A1223, 'Hospitalisation Details'!$A:$L, 12, FALSE)</f>
        <v>tier - 2</v>
      </c>
      <c r="N1223" s="22" t="str">
        <f>VLOOKUP($A1223, 'Hospitalisation Details'!$A:$M, 13, FALSE)</f>
        <v>tier - 1</v>
      </c>
      <c r="O1223" s="22" t="str">
        <f>VLOOKUP($A1223, 'Hospitalisation Details'!$A:$N, 14, FALSE)</f>
        <v>R1012</v>
      </c>
      <c r="P1223" s="36">
        <f>VLOOKUP($A1223, 'Hospitalisation Details'!$A:$O, 15, FALSE)</f>
        <v>46</v>
      </c>
    </row>
    <row r="1224" ht="15.75" customHeight="1">
      <c r="A1224" s="33" t="s">
        <v>2447</v>
      </c>
      <c r="B1224" s="22" t="str">
        <f>VLOOKUP($A1224,'Customer Names'!$A:$D,3, FALSE)</f>
        <v>Phillips-Cook</v>
      </c>
      <c r="C1224" s="22">
        <f>VLOOKUP($A1224,'Medical Examinations'!$A:$D, 2, FALSE)</f>
        <v>21.3</v>
      </c>
      <c r="D1224" s="22">
        <f>VLOOKUP($A1224, 'Medical Examinations'!$A:$D,3, FALSE)</f>
        <v>10.42</v>
      </c>
      <c r="E1224" s="22" t="str">
        <f>VLOOKUP($A1224, 'Medical Examinations'!$A:$D, 4, FALSE)</f>
        <v>No</v>
      </c>
      <c r="F1224" s="22" t="str">
        <f>VLOOKUP($A1224, 'Medical Examinations'!$A:$J, 5, FALSE)</f>
        <v>No</v>
      </c>
      <c r="G1224" s="22" t="str">
        <f>VLOOKUP($A1224, 'Medical Examinations'!$A:$I, 6, FALSE)</f>
        <v>No</v>
      </c>
      <c r="H1224" s="22">
        <f>VLOOKUP($A1224,'Medical Examinations'!$A:$L,10, FALSE)</f>
        <v>2</v>
      </c>
      <c r="I1224" s="22" t="str">
        <f>VLOOKUP($A1224, 'Medical Examinations'!$A:$J, 9, FALSE)</f>
        <v>No</v>
      </c>
      <c r="J1224" s="22" t="str">
        <f>VLOOKUP($A1224, 'Medical Examinations'!$A:$P, 11, FALSE)</f>
        <v>NORMAL WEIGHT</v>
      </c>
      <c r="K1224" s="34">
        <v>36089.0</v>
      </c>
      <c r="L1224" s="35">
        <f>VLOOKUP($A1224, 'Hospitalisation Details'!$A:$H, 7, FALSE)</f>
        <v>9182.17</v>
      </c>
      <c r="M1224" s="22" t="str">
        <f>VLOOKUP($A1224, 'Hospitalisation Details'!$A:$L, 12, FALSE)</f>
        <v>tier - 2</v>
      </c>
      <c r="N1224" s="22" t="str">
        <f>VLOOKUP($A1224, 'Hospitalisation Details'!$A:$M, 13, FALSE)</f>
        <v>tier - 3</v>
      </c>
      <c r="O1224" s="22" t="str">
        <f>VLOOKUP($A1224, 'Hospitalisation Details'!$A:$N, 14, FALSE)</f>
        <v>R1011</v>
      </c>
      <c r="P1224" s="36">
        <f>VLOOKUP($A1224, 'Hospitalisation Details'!$A:$O, 15, FALSE)</f>
        <v>49</v>
      </c>
    </row>
    <row r="1225" ht="15.75" customHeight="1">
      <c r="A1225" s="33" t="s">
        <v>2449</v>
      </c>
      <c r="B1225" s="22" t="str">
        <f>VLOOKUP($A1225,'Customer Names'!$A:$D,3, FALSE)</f>
        <v>Clark</v>
      </c>
      <c r="C1225" s="22">
        <f>VLOOKUP($A1225,'Medical Examinations'!$A:$D, 2, FALSE)</f>
        <v>31.635</v>
      </c>
      <c r="D1225" s="22">
        <f>VLOOKUP($A1225, 'Medical Examinations'!$A:$D,3, FALSE)</f>
        <v>11.11</v>
      </c>
      <c r="E1225" s="22" t="str">
        <f>VLOOKUP($A1225, 'Medical Examinations'!$A:$D, 4, FALSE)</f>
        <v>No</v>
      </c>
      <c r="F1225" s="22" t="str">
        <f>VLOOKUP($A1225, 'Medical Examinations'!$A:$J, 5, FALSE)</f>
        <v>No</v>
      </c>
      <c r="G1225" s="22" t="str">
        <f>VLOOKUP($A1225, 'Medical Examinations'!$A:$I, 6, FALSE)</f>
        <v>No</v>
      </c>
      <c r="H1225" s="22">
        <f>VLOOKUP($A1225,'Medical Examinations'!$A:$L,10, FALSE)</f>
        <v>0</v>
      </c>
      <c r="I1225" s="22" t="str">
        <f>VLOOKUP($A1225, 'Medical Examinations'!$A:$J, 9, FALSE)</f>
        <v>No</v>
      </c>
      <c r="J1225" s="22" t="str">
        <f>VLOOKUP($A1225, 'Medical Examinations'!$A:$P, 11, FALSE)</f>
        <v>OBESITY</v>
      </c>
      <c r="K1225" s="34">
        <v>37943.0</v>
      </c>
      <c r="L1225" s="35">
        <f>VLOOKUP($A1225, 'Hospitalisation Details'!$A:$H, 7, FALSE)</f>
        <v>9174.14</v>
      </c>
      <c r="M1225" s="22" t="str">
        <f>VLOOKUP($A1225, 'Hospitalisation Details'!$A:$L, 12, FALSE)</f>
        <v>tier - 3</v>
      </c>
      <c r="N1225" s="22" t="str">
        <f>VLOOKUP($A1225, 'Hospitalisation Details'!$A:$M, 13, FALSE)</f>
        <v>tier - 1</v>
      </c>
      <c r="O1225" s="22" t="str">
        <f>VLOOKUP($A1225, 'Hospitalisation Details'!$A:$N, 14, FALSE)</f>
        <v>R1012</v>
      </c>
      <c r="P1225" s="36">
        <f>VLOOKUP($A1225, 'Hospitalisation Details'!$A:$O, 15, FALSE)</f>
        <v>51</v>
      </c>
    </row>
    <row r="1226" ht="15.75" customHeight="1">
      <c r="A1226" s="33" t="s">
        <v>2451</v>
      </c>
      <c r="B1226" s="22" t="str">
        <f>VLOOKUP($A1226,'Customer Names'!$A:$D,3, FALSE)</f>
        <v>Wang</v>
      </c>
      <c r="C1226" s="22">
        <f>VLOOKUP($A1226,'Medical Examinations'!$A:$D, 2, FALSE)</f>
        <v>23.9</v>
      </c>
      <c r="D1226" s="22">
        <f>VLOOKUP($A1226, 'Medical Examinations'!$A:$D,3, FALSE)</f>
        <v>7.67</v>
      </c>
      <c r="E1226" s="22" t="str">
        <f>VLOOKUP($A1226, 'Medical Examinations'!$A:$D, 4, FALSE)</f>
        <v>Yes</v>
      </c>
      <c r="F1226" s="22" t="str">
        <f>VLOOKUP($A1226, 'Medical Examinations'!$A:$J, 5, FALSE)</f>
        <v>No</v>
      </c>
      <c r="G1226" s="22" t="str">
        <f>VLOOKUP($A1226, 'Medical Examinations'!$A:$I, 6, FALSE)</f>
        <v>No</v>
      </c>
      <c r="H1226" s="22">
        <f>VLOOKUP($A1226,'Medical Examinations'!$A:$L,10, FALSE)</f>
        <v>2</v>
      </c>
      <c r="I1226" s="22" t="str">
        <f>VLOOKUP($A1226, 'Medical Examinations'!$A:$J, 9, FALSE)</f>
        <v>No</v>
      </c>
      <c r="J1226" s="22" t="str">
        <f>VLOOKUP($A1226, 'Medical Examinations'!$A:$P, 11, FALSE)</f>
        <v>NORMAL WEIGHT</v>
      </c>
      <c r="K1226" s="34">
        <v>35416.0</v>
      </c>
      <c r="L1226" s="35">
        <f>VLOOKUP($A1226, 'Hospitalisation Details'!$A:$H, 7, FALSE)</f>
        <v>9171.75</v>
      </c>
      <c r="M1226" s="22" t="str">
        <f>VLOOKUP($A1226, 'Hospitalisation Details'!$A:$L, 12, FALSE)</f>
        <v>tier - 2</v>
      </c>
      <c r="N1226" s="22" t="str">
        <f>VLOOKUP($A1226, 'Hospitalisation Details'!$A:$M, 13, FALSE)</f>
        <v>tier - 2</v>
      </c>
      <c r="O1226" s="22" t="str">
        <f>VLOOKUP($A1226, 'Hospitalisation Details'!$A:$N, 14, FALSE)</f>
        <v>R1012</v>
      </c>
      <c r="P1226" s="36">
        <f>VLOOKUP($A1226, 'Hospitalisation Details'!$A:$O, 15, FALSE)</f>
        <v>52</v>
      </c>
    </row>
    <row r="1227" ht="15.75" customHeight="1">
      <c r="A1227" s="33" t="s">
        <v>2453</v>
      </c>
      <c r="B1227" s="22" t="str">
        <f>VLOOKUP($A1227,'Customer Names'!$A:$D,3, FALSE)</f>
        <v>Desruisseaux</v>
      </c>
      <c r="C1227" s="22">
        <f>VLOOKUP($A1227,'Medical Examinations'!$A:$D, 2, FALSE)</f>
        <v>34.15</v>
      </c>
      <c r="D1227" s="22">
        <f>VLOOKUP($A1227, 'Medical Examinations'!$A:$D,3, FALSE)</f>
        <v>6.15</v>
      </c>
      <c r="E1227" s="22" t="str">
        <f>VLOOKUP($A1227, 'Medical Examinations'!$A:$D, 4, FALSE)</f>
        <v>No</v>
      </c>
      <c r="F1227" s="22" t="str">
        <f>VLOOKUP($A1227, 'Medical Examinations'!$A:$J, 5, FALSE)</f>
        <v>No</v>
      </c>
      <c r="G1227" s="22" t="str">
        <f>VLOOKUP($A1227, 'Medical Examinations'!$A:$I, 6, FALSE)</f>
        <v>No</v>
      </c>
      <c r="H1227" s="22">
        <f>VLOOKUP($A1227,'Medical Examinations'!$A:$L,10, FALSE)</f>
        <v>0</v>
      </c>
      <c r="I1227" s="22" t="str">
        <f>VLOOKUP($A1227, 'Medical Examinations'!$A:$J, 9, FALSE)</f>
        <v>No</v>
      </c>
      <c r="J1227" s="22" t="str">
        <f>VLOOKUP($A1227, 'Medical Examinations'!$A:$P, 11, FALSE)</f>
        <v>OBESITY</v>
      </c>
      <c r="K1227" s="34">
        <v>38236.0</v>
      </c>
      <c r="L1227" s="35">
        <f>VLOOKUP($A1227, 'Hospitalisation Details'!$A:$H, 7, FALSE)</f>
        <v>9159.51</v>
      </c>
      <c r="M1227" s="22" t="str">
        <f>VLOOKUP($A1227, 'Hospitalisation Details'!$A:$L, 12, FALSE)</f>
        <v>tier - 2</v>
      </c>
      <c r="N1227" s="22" t="str">
        <f>VLOOKUP($A1227, 'Hospitalisation Details'!$A:$M, 13, FALSE)</f>
        <v>tier - 2</v>
      </c>
      <c r="O1227" s="22" t="str">
        <f>VLOOKUP($A1227, 'Hospitalisation Details'!$A:$N, 14, FALSE)</f>
        <v>R1021</v>
      </c>
      <c r="P1227" s="36">
        <f>VLOOKUP($A1227, 'Hospitalisation Details'!$A:$O, 15, FALSE)</f>
        <v>32</v>
      </c>
    </row>
    <row r="1228" ht="15.75" customHeight="1">
      <c r="A1228" s="33" t="s">
        <v>2455</v>
      </c>
      <c r="B1228" s="22" t="str">
        <f>VLOOKUP($A1228,'Customer Names'!$A:$D,3, FALSE)</f>
        <v>Ripp</v>
      </c>
      <c r="C1228" s="22">
        <f>VLOOKUP($A1228,'Medical Examinations'!$A:$D, 2, FALSE)</f>
        <v>28.71</v>
      </c>
      <c r="D1228" s="22">
        <f>VLOOKUP($A1228, 'Medical Examinations'!$A:$D,3, FALSE)</f>
        <v>5.71</v>
      </c>
      <c r="E1228" s="22" t="str">
        <f>VLOOKUP($A1228, 'Medical Examinations'!$A:$D, 4, FALSE)</f>
        <v>No</v>
      </c>
      <c r="F1228" s="22" t="str">
        <f>VLOOKUP($A1228, 'Medical Examinations'!$A:$J, 5, FALSE)</f>
        <v>No</v>
      </c>
      <c r="G1228" s="22" t="str">
        <f>VLOOKUP($A1228, 'Medical Examinations'!$A:$I, 6, FALSE)</f>
        <v>No</v>
      </c>
      <c r="H1228" s="22">
        <f>VLOOKUP($A1228,'Medical Examinations'!$A:$L,10, FALSE)</f>
        <v>0</v>
      </c>
      <c r="I1228" s="22" t="str">
        <f>VLOOKUP($A1228, 'Medical Examinations'!$A:$J, 9, FALSE)</f>
        <v>No</v>
      </c>
      <c r="J1228" s="22" t="str">
        <f>VLOOKUP($A1228, 'Medical Examinations'!$A:$P, 11, FALSE)</f>
        <v>OVERWEIGHT</v>
      </c>
      <c r="K1228" s="34">
        <v>35397.0</v>
      </c>
      <c r="L1228" s="35">
        <f>VLOOKUP($A1228, 'Hospitalisation Details'!$A:$H, 7, FALSE)</f>
        <v>9147.5</v>
      </c>
      <c r="M1228" s="22" t="str">
        <f>VLOOKUP($A1228, 'Hospitalisation Details'!$A:$L, 12, FALSE)</f>
        <v>tier - 2</v>
      </c>
      <c r="N1228" s="22" t="str">
        <f>VLOOKUP($A1228, 'Hospitalisation Details'!$A:$M, 13, FALSE)</f>
        <v>tier - 1</v>
      </c>
      <c r="O1228" s="22" t="str">
        <f>VLOOKUP($A1228, 'Hospitalisation Details'!$A:$N, 14, FALSE)</f>
        <v>R1012</v>
      </c>
      <c r="P1228" s="36">
        <f>VLOOKUP($A1228, 'Hospitalisation Details'!$A:$O, 15, FALSE)</f>
        <v>40</v>
      </c>
    </row>
    <row r="1229" ht="15.75" customHeight="1">
      <c r="A1229" s="33" t="s">
        <v>2457</v>
      </c>
      <c r="B1229" s="22" t="str">
        <f>VLOOKUP($A1229,'Customer Names'!$A:$D,3, FALSE)</f>
        <v>Harris</v>
      </c>
      <c r="C1229" s="22">
        <f>VLOOKUP($A1229,'Medical Examinations'!$A:$D, 2, FALSE)</f>
        <v>36.7</v>
      </c>
      <c r="D1229" s="22">
        <f>VLOOKUP($A1229, 'Medical Examinations'!$A:$D,3, FALSE)</f>
        <v>8.7</v>
      </c>
      <c r="E1229" s="22" t="str">
        <f>VLOOKUP($A1229, 'Medical Examinations'!$A:$D, 4, FALSE)</f>
        <v>Yes</v>
      </c>
      <c r="F1229" s="22" t="str">
        <f>VLOOKUP($A1229, 'Medical Examinations'!$A:$J, 5, FALSE)</f>
        <v>No</v>
      </c>
      <c r="G1229" s="22" t="str">
        <f>VLOOKUP($A1229, 'Medical Examinations'!$A:$I, 6, FALSE)</f>
        <v>No</v>
      </c>
      <c r="H1229" s="22">
        <f>VLOOKUP($A1229,'Medical Examinations'!$A:$L,10, FALSE)</f>
        <v>2</v>
      </c>
      <c r="I1229" s="22" t="str">
        <f>VLOOKUP($A1229, 'Medical Examinations'!$A:$J, 9, FALSE)</f>
        <v>No</v>
      </c>
      <c r="J1229" s="22" t="str">
        <f>VLOOKUP($A1229, 'Medical Examinations'!$A:$P, 11, FALSE)</f>
        <v>OBESITY</v>
      </c>
      <c r="K1229" s="34">
        <v>32786.0</v>
      </c>
      <c r="L1229" s="35">
        <f>VLOOKUP($A1229, 'Hospitalisation Details'!$A:$H, 7, FALSE)</f>
        <v>9144.57</v>
      </c>
      <c r="M1229" s="22" t="str">
        <f>VLOOKUP($A1229, 'Hospitalisation Details'!$A:$L, 12, FALSE)</f>
        <v>tier - 3</v>
      </c>
      <c r="N1229" s="22" t="str">
        <f>VLOOKUP($A1229, 'Hospitalisation Details'!$A:$M, 13, FALSE)</f>
        <v>tier - 2</v>
      </c>
      <c r="O1229" s="22" t="str">
        <f>VLOOKUP($A1229, 'Hospitalisation Details'!$A:$N, 14, FALSE)</f>
        <v>R1011</v>
      </c>
      <c r="P1229" s="36">
        <f>VLOOKUP($A1229, 'Hospitalisation Details'!$A:$O, 15, FALSE)</f>
        <v>52</v>
      </c>
    </row>
    <row r="1230" ht="15.75" customHeight="1">
      <c r="A1230" s="33" t="s">
        <v>2459</v>
      </c>
      <c r="B1230" s="22" t="str">
        <f>VLOOKUP($A1230,'Customer Names'!$A:$D,3, FALSE)</f>
        <v>Shafer</v>
      </c>
      <c r="C1230" s="22">
        <f>VLOOKUP($A1230,'Medical Examinations'!$A:$D, 2, FALSE)</f>
        <v>34.1</v>
      </c>
      <c r="D1230" s="22">
        <f>VLOOKUP($A1230, 'Medical Examinations'!$A:$D,3, FALSE)</f>
        <v>9.04</v>
      </c>
      <c r="E1230" s="22" t="str">
        <f>VLOOKUP($A1230, 'Medical Examinations'!$A:$D, 4, FALSE)</f>
        <v>Yes</v>
      </c>
      <c r="F1230" s="22" t="str">
        <f>VLOOKUP($A1230, 'Medical Examinations'!$A:$J, 5, FALSE)</f>
        <v>No</v>
      </c>
      <c r="G1230" s="22" t="str">
        <f>VLOOKUP($A1230, 'Medical Examinations'!$A:$I, 6, FALSE)</f>
        <v>No</v>
      </c>
      <c r="H1230" s="22">
        <f>VLOOKUP($A1230,'Medical Examinations'!$A:$L,10, FALSE)</f>
        <v>2</v>
      </c>
      <c r="I1230" s="22" t="str">
        <f>VLOOKUP($A1230, 'Medical Examinations'!$A:$J, 9, FALSE)</f>
        <v>No</v>
      </c>
      <c r="J1230" s="22" t="str">
        <f>VLOOKUP($A1230, 'Medical Examinations'!$A:$P, 11, FALSE)</f>
        <v>OBESITY</v>
      </c>
      <c r="K1230" s="34">
        <v>33405.0</v>
      </c>
      <c r="L1230" s="35">
        <f>VLOOKUP($A1230, 'Hospitalisation Details'!$A:$H, 7, FALSE)</f>
        <v>9140.95</v>
      </c>
      <c r="M1230" s="22" t="str">
        <f>VLOOKUP($A1230, 'Hospitalisation Details'!$A:$L, 12, FALSE)</f>
        <v>tier - 3</v>
      </c>
      <c r="N1230" s="22" t="str">
        <f>VLOOKUP($A1230, 'Hospitalisation Details'!$A:$M, 13, FALSE)</f>
        <v>tier - 3</v>
      </c>
      <c r="O1230" s="22" t="str">
        <f>VLOOKUP($A1230, 'Hospitalisation Details'!$A:$N, 14, FALSE)</f>
        <v>R1013</v>
      </c>
      <c r="P1230" s="36">
        <f>VLOOKUP($A1230, 'Hospitalisation Details'!$A:$O, 15, FALSE)</f>
        <v>52</v>
      </c>
    </row>
    <row r="1231" ht="15.75" customHeight="1">
      <c r="A1231" s="33" t="s">
        <v>2461</v>
      </c>
      <c r="B1231" s="22" t="str">
        <f>VLOOKUP($A1231,'Customer Names'!$A:$D,3, FALSE)</f>
        <v>Hemesath</v>
      </c>
      <c r="C1231" s="22">
        <f>VLOOKUP($A1231,'Medical Examinations'!$A:$D, 2, FALSE)</f>
        <v>25.7</v>
      </c>
      <c r="D1231" s="22">
        <f>VLOOKUP($A1231, 'Medical Examinations'!$A:$D,3, FALSE)</f>
        <v>5.61</v>
      </c>
      <c r="E1231" s="22" t="str">
        <f>VLOOKUP($A1231, 'Medical Examinations'!$A:$D, 4, FALSE)</f>
        <v>No</v>
      </c>
      <c r="F1231" s="22" t="str">
        <f>VLOOKUP($A1231, 'Medical Examinations'!$A:$J, 5, FALSE)</f>
        <v>No</v>
      </c>
      <c r="G1231" s="22" t="str">
        <f>VLOOKUP($A1231, 'Medical Examinations'!$A:$I, 6, FALSE)</f>
        <v>No</v>
      </c>
      <c r="H1231" s="22">
        <f>VLOOKUP($A1231,'Medical Examinations'!$A:$L,10, FALSE)</f>
        <v>0</v>
      </c>
      <c r="I1231" s="22" t="str">
        <f>VLOOKUP($A1231, 'Medical Examinations'!$A:$J, 9, FALSE)</f>
        <v>No</v>
      </c>
      <c r="J1231" s="22" t="str">
        <f>VLOOKUP($A1231, 'Medical Examinations'!$A:$P, 11, FALSE)</f>
        <v>OVERWEIGHT</v>
      </c>
      <c r="K1231" s="34">
        <v>22445.0</v>
      </c>
      <c r="L1231" s="35">
        <f>VLOOKUP($A1231, 'Hospitalisation Details'!$A:$H, 7, FALSE)</f>
        <v>9101.8</v>
      </c>
      <c r="M1231" s="22" t="str">
        <f>VLOOKUP($A1231, 'Hospitalisation Details'!$A:$L, 12, FALSE)</f>
        <v>tier - 2</v>
      </c>
      <c r="N1231" s="22" t="str">
        <f>VLOOKUP($A1231, 'Hospitalisation Details'!$A:$M, 13, FALSE)</f>
        <v>tier - 1</v>
      </c>
      <c r="O1231" s="22" t="str">
        <f>VLOOKUP($A1231, 'Hospitalisation Details'!$A:$N, 14, FALSE)</f>
        <v>R1011</v>
      </c>
      <c r="P1231" s="36">
        <f>VLOOKUP($A1231, 'Hospitalisation Details'!$A:$O, 15, FALSE)</f>
        <v>45</v>
      </c>
    </row>
    <row r="1232" ht="15.75" customHeight="1">
      <c r="A1232" s="33" t="s">
        <v>2463</v>
      </c>
      <c r="B1232" s="22" t="str">
        <f>VLOOKUP($A1232,'Customer Names'!$A:$D,3, FALSE)</f>
        <v>Vinci</v>
      </c>
      <c r="C1232" s="22">
        <f>VLOOKUP($A1232,'Medical Examinations'!$A:$D, 2, FALSE)</f>
        <v>21.68</v>
      </c>
      <c r="D1232" s="22">
        <f>VLOOKUP($A1232, 'Medical Examinations'!$A:$D,3, FALSE)</f>
        <v>8.12</v>
      </c>
      <c r="E1232" s="22" t="str">
        <f>VLOOKUP($A1232, 'Medical Examinations'!$A:$D, 4, FALSE)</f>
        <v>No</v>
      </c>
      <c r="F1232" s="22" t="str">
        <f>VLOOKUP($A1232, 'Medical Examinations'!$A:$J, 5, FALSE)</f>
        <v>No</v>
      </c>
      <c r="G1232" s="22" t="str">
        <f>VLOOKUP($A1232, 'Medical Examinations'!$A:$I, 6, FALSE)</f>
        <v>No</v>
      </c>
      <c r="H1232" s="22">
        <f>VLOOKUP($A1232,'Medical Examinations'!$A:$L,10, FALSE)</f>
        <v>0</v>
      </c>
      <c r="I1232" s="22" t="str">
        <f>VLOOKUP($A1232, 'Medical Examinations'!$A:$J, 9, FALSE)</f>
        <v>No</v>
      </c>
      <c r="J1232" s="22" t="str">
        <f>VLOOKUP($A1232, 'Medical Examinations'!$A:$P, 11, FALSE)</f>
        <v>NORMAL WEIGHT</v>
      </c>
      <c r="K1232" s="34">
        <v>36877.0</v>
      </c>
      <c r="L1232" s="35">
        <f>VLOOKUP($A1232, 'Hospitalisation Details'!$A:$H, 7, FALSE)</f>
        <v>9095.94</v>
      </c>
      <c r="M1232" s="22" t="str">
        <f>VLOOKUP($A1232, 'Hospitalisation Details'!$A:$L, 12, FALSE)</f>
        <v>tier - 3</v>
      </c>
      <c r="N1232" s="22" t="str">
        <f>VLOOKUP($A1232, 'Hospitalisation Details'!$A:$M, 13, FALSE)</f>
        <v>tier - 1</v>
      </c>
      <c r="O1232" s="22" t="str">
        <f>VLOOKUP($A1232, 'Hospitalisation Details'!$A:$N, 14, FALSE)</f>
        <v>R1011</v>
      </c>
      <c r="P1232" s="36">
        <f>VLOOKUP($A1232, 'Hospitalisation Details'!$A:$O, 15, FALSE)</f>
        <v>57</v>
      </c>
    </row>
    <row r="1233" ht="15.75" customHeight="1">
      <c r="A1233" s="33" t="s">
        <v>2465</v>
      </c>
      <c r="B1233" s="22" t="str">
        <f>VLOOKUP($A1233,'Customer Names'!$A:$D,3, FALSE)</f>
        <v>Diamond-Husmann</v>
      </c>
      <c r="C1233" s="22">
        <f>VLOOKUP($A1233,'Medical Examinations'!$A:$D, 2, FALSE)</f>
        <v>25.175</v>
      </c>
      <c r="D1233" s="22">
        <f>VLOOKUP($A1233, 'Medical Examinations'!$A:$D,3, FALSE)</f>
        <v>4.74</v>
      </c>
      <c r="E1233" s="22" t="str">
        <f>VLOOKUP($A1233, 'Medical Examinations'!$A:$D, 4, FALSE)</f>
        <v>No</v>
      </c>
      <c r="F1233" s="22" t="str">
        <f>VLOOKUP($A1233, 'Medical Examinations'!$A:$J, 5, FALSE)</f>
        <v>No</v>
      </c>
      <c r="G1233" s="22" t="str">
        <f>VLOOKUP($A1233, 'Medical Examinations'!$A:$I, 6, FALSE)</f>
        <v>No</v>
      </c>
      <c r="H1233" s="22">
        <f>VLOOKUP($A1233,'Medical Examinations'!$A:$L,10, FALSE)</f>
        <v>0</v>
      </c>
      <c r="I1233" s="22" t="str">
        <f>VLOOKUP($A1233, 'Medical Examinations'!$A:$J, 9, FALSE)</f>
        <v>No</v>
      </c>
      <c r="J1233" s="22" t="str">
        <f>VLOOKUP($A1233, 'Medical Examinations'!$A:$P, 11, FALSE)</f>
        <v>OVERWEIGHT</v>
      </c>
      <c r="K1233" s="34">
        <v>37572.0</v>
      </c>
      <c r="L1233" s="35">
        <f>VLOOKUP($A1233, 'Hospitalisation Details'!$A:$H, 7, FALSE)</f>
        <v>9095.07</v>
      </c>
      <c r="M1233" s="22" t="str">
        <f>VLOOKUP($A1233, 'Hospitalisation Details'!$A:$L, 12, FALSE)</f>
        <v>tier - 2</v>
      </c>
      <c r="N1233" s="22" t="str">
        <f>VLOOKUP($A1233, 'Hospitalisation Details'!$A:$M, 13, FALSE)</f>
        <v>tier - 2</v>
      </c>
      <c r="O1233" s="22" t="str">
        <f>VLOOKUP($A1233, 'Hospitalisation Details'!$A:$N, 14, FALSE)</f>
        <v>R1024</v>
      </c>
      <c r="P1233" s="36">
        <f>VLOOKUP($A1233, 'Hospitalisation Details'!$A:$O, 15, FALSE)</f>
        <v>45</v>
      </c>
    </row>
    <row r="1234" ht="15.75" customHeight="1">
      <c r="A1234" s="33" t="s">
        <v>2467</v>
      </c>
      <c r="B1234" s="22" t="str">
        <f>VLOOKUP($A1234,'Customer Names'!$A:$D,3, FALSE)</f>
        <v>Soto</v>
      </c>
      <c r="C1234" s="22">
        <f>VLOOKUP($A1234,'Medical Examinations'!$A:$D, 2, FALSE)</f>
        <v>44.77</v>
      </c>
      <c r="D1234" s="22">
        <f>VLOOKUP($A1234, 'Medical Examinations'!$A:$D,3, FALSE)</f>
        <v>4.06</v>
      </c>
      <c r="E1234" s="22" t="str">
        <f>VLOOKUP($A1234, 'Medical Examinations'!$A:$D, 4, FALSE)</f>
        <v>No</v>
      </c>
      <c r="F1234" s="22" t="str">
        <f>VLOOKUP($A1234, 'Medical Examinations'!$A:$J, 5, FALSE)</f>
        <v>No</v>
      </c>
      <c r="G1234" s="22" t="str">
        <f>VLOOKUP($A1234, 'Medical Examinations'!$A:$I, 6, FALSE)</f>
        <v>No</v>
      </c>
      <c r="H1234" s="22">
        <f>VLOOKUP($A1234,'Medical Examinations'!$A:$L,10, FALSE)</f>
        <v>2</v>
      </c>
      <c r="I1234" s="22" t="str">
        <f>VLOOKUP($A1234, 'Medical Examinations'!$A:$J, 9, FALSE)</f>
        <v>No</v>
      </c>
      <c r="J1234" s="22" t="str">
        <f>VLOOKUP($A1234, 'Medical Examinations'!$A:$P, 11, FALSE)</f>
        <v>OBESITY</v>
      </c>
      <c r="K1234" s="34">
        <v>37452.0</v>
      </c>
      <c r="L1234" s="35">
        <f>VLOOKUP($A1234, 'Hospitalisation Details'!$A:$H, 7, FALSE)</f>
        <v>9058.73</v>
      </c>
      <c r="M1234" s="22" t="str">
        <f>VLOOKUP($A1234, 'Hospitalisation Details'!$A:$L, 12, FALSE)</f>
        <v>tier - 3</v>
      </c>
      <c r="N1234" s="22" t="str">
        <f>VLOOKUP($A1234, 'Hospitalisation Details'!$A:$M, 13, FALSE)</f>
        <v>tier - 2</v>
      </c>
      <c r="O1234" s="22" t="str">
        <f>VLOOKUP($A1234, 'Hospitalisation Details'!$A:$N, 14, FALSE)</f>
        <v>R1013</v>
      </c>
      <c r="P1234" s="36">
        <f>VLOOKUP($A1234, 'Hospitalisation Details'!$A:$O, 15, FALSE)</f>
        <v>50</v>
      </c>
    </row>
    <row r="1235" ht="15.75" customHeight="1">
      <c r="A1235" s="33" t="s">
        <v>2469</v>
      </c>
      <c r="B1235" s="22" t="str">
        <f>VLOOKUP($A1235,'Customer Names'!$A:$D,3, FALSE)</f>
        <v>Howard</v>
      </c>
      <c r="C1235" s="22">
        <f>VLOOKUP($A1235,'Medical Examinations'!$A:$D, 2, FALSE)</f>
        <v>37.07</v>
      </c>
      <c r="D1235" s="22">
        <f>VLOOKUP($A1235, 'Medical Examinations'!$A:$D,3, FALSE)</f>
        <v>5.69</v>
      </c>
      <c r="E1235" s="22" t="str">
        <f>VLOOKUP($A1235, 'Medical Examinations'!$A:$D, 4, FALSE)</f>
        <v>No</v>
      </c>
      <c r="F1235" s="22" t="str">
        <f>VLOOKUP($A1235, 'Medical Examinations'!$A:$J, 5, FALSE)</f>
        <v>No</v>
      </c>
      <c r="G1235" s="22" t="str">
        <f>VLOOKUP($A1235, 'Medical Examinations'!$A:$I, 6, FALSE)</f>
        <v>No</v>
      </c>
      <c r="H1235" s="22">
        <f>VLOOKUP($A1235,'Medical Examinations'!$A:$L,10, FALSE)</f>
        <v>2</v>
      </c>
      <c r="I1235" s="22" t="str">
        <f>VLOOKUP($A1235, 'Medical Examinations'!$A:$J, 9, FALSE)</f>
        <v>No</v>
      </c>
      <c r="J1235" s="22" t="str">
        <f>VLOOKUP($A1235, 'Medical Examinations'!$A:$P, 11, FALSE)</f>
        <v>OBESITY</v>
      </c>
      <c r="K1235" s="34">
        <v>36871.0</v>
      </c>
      <c r="L1235" s="35">
        <f>VLOOKUP($A1235, 'Hospitalisation Details'!$A:$H, 7, FALSE)</f>
        <v>9048.03</v>
      </c>
      <c r="M1235" s="22" t="str">
        <f>VLOOKUP($A1235, 'Hospitalisation Details'!$A:$L, 12, FALSE)</f>
        <v>tier - 2</v>
      </c>
      <c r="N1235" s="22" t="str">
        <f>VLOOKUP($A1235, 'Hospitalisation Details'!$A:$M, 13, FALSE)</f>
        <v>tier - 2</v>
      </c>
      <c r="O1235" s="22" t="str">
        <f>VLOOKUP($A1235, 'Hospitalisation Details'!$A:$N, 14, FALSE)</f>
        <v>R1013</v>
      </c>
      <c r="P1235" s="36">
        <f>VLOOKUP($A1235, 'Hospitalisation Details'!$A:$O, 15, FALSE)</f>
        <v>50</v>
      </c>
    </row>
    <row r="1236" ht="15.75" customHeight="1">
      <c r="A1236" s="33" t="s">
        <v>2471</v>
      </c>
      <c r="B1236" s="22" t="str">
        <f>VLOOKUP($A1236,'Customer Names'!$A:$D,3, FALSE)</f>
        <v>Patrick</v>
      </c>
      <c r="C1236" s="22">
        <f>VLOOKUP($A1236,'Medical Examinations'!$A:$D, 2, FALSE)</f>
        <v>39.8</v>
      </c>
      <c r="D1236" s="22">
        <f>VLOOKUP($A1236, 'Medical Examinations'!$A:$D,3, FALSE)</f>
        <v>5.66</v>
      </c>
      <c r="E1236" s="22" t="str">
        <f>VLOOKUP($A1236, 'Medical Examinations'!$A:$D, 4, FALSE)</f>
        <v>No</v>
      </c>
      <c r="F1236" s="22" t="str">
        <f>VLOOKUP($A1236, 'Medical Examinations'!$A:$J, 5, FALSE)</f>
        <v>No</v>
      </c>
      <c r="G1236" s="22" t="str">
        <f>VLOOKUP($A1236, 'Medical Examinations'!$A:$I, 6, FALSE)</f>
        <v>Yes</v>
      </c>
      <c r="H1236" s="22">
        <f>VLOOKUP($A1236,'Medical Examinations'!$A:$L,10, FALSE)</f>
        <v>1</v>
      </c>
      <c r="I1236" s="22" t="str">
        <f>VLOOKUP($A1236, 'Medical Examinations'!$A:$J, 9, FALSE)</f>
        <v>No</v>
      </c>
      <c r="J1236" s="22" t="str">
        <f>VLOOKUP($A1236, 'Medical Examinations'!$A:$P, 11, FALSE)</f>
        <v>OBESITY</v>
      </c>
      <c r="K1236" s="34">
        <v>36707.0</v>
      </c>
      <c r="L1236" s="35">
        <f>VLOOKUP($A1236, 'Hospitalisation Details'!$A:$H, 7, FALSE)</f>
        <v>9010.2</v>
      </c>
      <c r="M1236" s="22" t="str">
        <f>VLOOKUP($A1236, 'Hospitalisation Details'!$A:$L, 12, FALSE)</f>
        <v>tier - 2</v>
      </c>
      <c r="N1236" s="22" t="str">
        <f>VLOOKUP($A1236, 'Hospitalisation Details'!$A:$M, 13, FALSE)</f>
        <v>tier - 3</v>
      </c>
      <c r="O1236" s="22" t="str">
        <f>VLOOKUP($A1236, 'Hospitalisation Details'!$A:$N, 14, FALSE)</f>
        <v>R1026</v>
      </c>
      <c r="P1236" s="36">
        <f>VLOOKUP($A1236, 'Hospitalisation Details'!$A:$O, 15, FALSE)</f>
        <v>29</v>
      </c>
    </row>
    <row r="1237" ht="15.75" customHeight="1">
      <c r="A1237" s="33" t="s">
        <v>2473</v>
      </c>
      <c r="B1237" s="22" t="str">
        <f>VLOOKUP($A1237,'Customer Names'!$A:$D,3, FALSE)</f>
        <v>Dacko</v>
      </c>
      <c r="C1237" s="22">
        <f>VLOOKUP($A1237,'Medical Examinations'!$A:$D, 2, FALSE)</f>
        <v>26.36</v>
      </c>
      <c r="D1237" s="22">
        <f>VLOOKUP($A1237, 'Medical Examinations'!$A:$D,3, FALSE)</f>
        <v>4.32</v>
      </c>
      <c r="E1237" s="22" t="str">
        <f>VLOOKUP($A1237, 'Medical Examinations'!$A:$D, 4, FALSE)</f>
        <v>No</v>
      </c>
      <c r="F1237" s="22" t="str">
        <f>VLOOKUP($A1237, 'Medical Examinations'!$A:$J, 5, FALSE)</f>
        <v>No</v>
      </c>
      <c r="G1237" s="22" t="str">
        <f>VLOOKUP($A1237, 'Medical Examinations'!$A:$I, 6, FALSE)</f>
        <v>Yes</v>
      </c>
      <c r="H1237" s="22">
        <f>VLOOKUP($A1237,'Medical Examinations'!$A:$L,10, FALSE)</f>
        <v>1</v>
      </c>
      <c r="I1237" s="22" t="str">
        <f>VLOOKUP($A1237, 'Medical Examinations'!$A:$J, 9, FALSE)</f>
        <v>No</v>
      </c>
      <c r="J1237" s="22" t="str">
        <f>VLOOKUP($A1237, 'Medical Examinations'!$A:$P, 11, FALSE)</f>
        <v>OVERWEIGHT</v>
      </c>
      <c r="K1237" s="34">
        <v>37965.0</v>
      </c>
      <c r="L1237" s="35">
        <f>VLOOKUP($A1237, 'Hospitalisation Details'!$A:$H, 7, FALSE)</f>
        <v>8998.43</v>
      </c>
      <c r="M1237" s="22" t="str">
        <f>VLOOKUP($A1237, 'Hospitalisation Details'!$A:$L, 12, FALSE)</f>
        <v>tier - 2</v>
      </c>
      <c r="N1237" s="22" t="str">
        <f>VLOOKUP($A1237, 'Hospitalisation Details'!$A:$M, 13, FALSE)</f>
        <v>tier - 1</v>
      </c>
      <c r="O1237" s="22" t="str">
        <f>VLOOKUP($A1237, 'Hospitalisation Details'!$A:$N, 14, FALSE)</f>
        <v>R1025</v>
      </c>
      <c r="P1237" s="36">
        <f>VLOOKUP($A1237, 'Hospitalisation Details'!$A:$O, 15, FALSE)</f>
        <v>43</v>
      </c>
    </row>
    <row r="1238" ht="15.75" customHeight="1">
      <c r="A1238" s="33" t="s">
        <v>2475</v>
      </c>
      <c r="B1238" s="22" t="str">
        <f>VLOOKUP($A1238,'Customer Names'!$A:$D,3, FALSE)</f>
        <v>Glassey</v>
      </c>
      <c r="C1238" s="22">
        <f>VLOOKUP($A1238,'Medical Examinations'!$A:$D, 2, FALSE)</f>
        <v>29.925</v>
      </c>
      <c r="D1238" s="22">
        <f>VLOOKUP($A1238, 'Medical Examinations'!$A:$D,3, FALSE)</f>
        <v>8.29</v>
      </c>
      <c r="E1238" s="22" t="str">
        <f>VLOOKUP($A1238, 'Medical Examinations'!$A:$D, 4, FALSE)</f>
        <v>No</v>
      </c>
      <c r="F1238" s="22" t="str">
        <f>VLOOKUP($A1238, 'Medical Examinations'!$A:$J, 5, FALSE)</f>
        <v>No</v>
      </c>
      <c r="G1238" s="22" t="str">
        <f>VLOOKUP($A1238, 'Medical Examinations'!$A:$I, 6, FALSE)</f>
        <v>No</v>
      </c>
      <c r="H1238" s="22">
        <f>VLOOKUP($A1238,'Medical Examinations'!$A:$L,10, FALSE)</f>
        <v>2</v>
      </c>
      <c r="I1238" s="22" t="str">
        <f>VLOOKUP($A1238, 'Medical Examinations'!$A:$J, 9, FALSE)</f>
        <v>No</v>
      </c>
      <c r="J1238" s="22" t="str">
        <f>VLOOKUP($A1238, 'Medical Examinations'!$A:$P, 11, FALSE)</f>
        <v>OBESITY</v>
      </c>
      <c r="K1238" s="34">
        <v>38333.0</v>
      </c>
      <c r="L1238" s="35">
        <f>VLOOKUP($A1238, 'Hospitalisation Details'!$A:$H, 7, FALSE)</f>
        <v>8988.16</v>
      </c>
      <c r="M1238" s="22" t="str">
        <f>VLOOKUP($A1238, 'Hospitalisation Details'!$A:$L, 12, FALSE)</f>
        <v>tier - 2</v>
      </c>
      <c r="N1238" s="22" t="str">
        <f>VLOOKUP($A1238, 'Hospitalisation Details'!$A:$M, 13, FALSE)</f>
        <v>tier - 1</v>
      </c>
      <c r="O1238" s="22" t="str">
        <f>VLOOKUP($A1238, 'Hospitalisation Details'!$A:$N, 14, FALSE)</f>
        <v>R1012</v>
      </c>
      <c r="P1238" s="36">
        <f>VLOOKUP($A1238, 'Hospitalisation Details'!$A:$O, 15, FALSE)</f>
        <v>49</v>
      </c>
    </row>
    <row r="1239" ht="15.75" customHeight="1">
      <c r="A1239" s="33" t="s">
        <v>2477</v>
      </c>
      <c r="B1239" s="22" t="str">
        <f>VLOOKUP($A1239,'Customer Names'!$A:$D,3, FALSE)</f>
        <v>Frechette</v>
      </c>
      <c r="C1239" s="22">
        <f>VLOOKUP($A1239,'Medical Examinations'!$A:$D, 2, FALSE)</f>
        <v>37.29</v>
      </c>
      <c r="D1239" s="22">
        <f>VLOOKUP($A1239, 'Medical Examinations'!$A:$D,3, FALSE)</f>
        <v>10.46</v>
      </c>
      <c r="E1239" s="22" t="str">
        <f>VLOOKUP($A1239, 'Medical Examinations'!$A:$D, 4, FALSE)</f>
        <v>No</v>
      </c>
      <c r="F1239" s="22" t="str">
        <f>VLOOKUP($A1239, 'Medical Examinations'!$A:$J, 5, FALSE)</f>
        <v>No</v>
      </c>
      <c r="G1239" s="22" t="str">
        <f>VLOOKUP($A1239, 'Medical Examinations'!$A:$I, 6, FALSE)</f>
        <v>No</v>
      </c>
      <c r="H1239" s="22">
        <f>VLOOKUP($A1239,'Medical Examinations'!$A:$L,10, FALSE)</f>
        <v>0</v>
      </c>
      <c r="I1239" s="22" t="str">
        <f>VLOOKUP($A1239, 'Medical Examinations'!$A:$J, 9, FALSE)</f>
        <v>No</v>
      </c>
      <c r="J1239" s="22" t="str">
        <f>VLOOKUP($A1239, 'Medical Examinations'!$A:$P, 11, FALSE)</f>
        <v>OBESITY</v>
      </c>
      <c r="K1239" s="34">
        <v>38255.0</v>
      </c>
      <c r="L1239" s="35">
        <f>VLOOKUP($A1239, 'Hospitalisation Details'!$A:$H, 7, FALSE)</f>
        <v>8978.19</v>
      </c>
      <c r="M1239" s="22" t="str">
        <f>VLOOKUP($A1239, 'Hospitalisation Details'!$A:$L, 12, FALSE)</f>
        <v>tier - 2</v>
      </c>
      <c r="N1239" s="22" t="str">
        <f>VLOOKUP($A1239, 'Hospitalisation Details'!$A:$M, 13, FALSE)</f>
        <v>tier - 2</v>
      </c>
      <c r="O1239" s="22" t="str">
        <f>VLOOKUP($A1239, 'Hospitalisation Details'!$A:$N, 14, FALSE)</f>
        <v>R1013</v>
      </c>
      <c r="P1239" s="36">
        <f>VLOOKUP($A1239, 'Hospitalisation Details'!$A:$O, 15, FALSE)</f>
        <v>48</v>
      </c>
    </row>
    <row r="1240" ht="15.75" customHeight="1">
      <c r="A1240" s="33" t="s">
        <v>2479</v>
      </c>
      <c r="B1240" s="22" t="str">
        <f>VLOOKUP($A1240,'Customer Names'!$A:$D,3, FALSE)</f>
        <v>Benitez</v>
      </c>
      <c r="C1240" s="22">
        <f>VLOOKUP($A1240,'Medical Examinations'!$A:$D, 2, FALSE)</f>
        <v>30.2</v>
      </c>
      <c r="D1240" s="22">
        <f>VLOOKUP($A1240, 'Medical Examinations'!$A:$D,3, FALSE)</f>
        <v>11.96</v>
      </c>
      <c r="E1240" s="22" t="str">
        <f>VLOOKUP($A1240, 'Medical Examinations'!$A:$D, 4, FALSE)</f>
        <v>No</v>
      </c>
      <c r="F1240" s="22" t="str">
        <f>VLOOKUP($A1240, 'Medical Examinations'!$A:$J, 5, FALSE)</f>
        <v>No</v>
      </c>
      <c r="G1240" s="22" t="str">
        <f>VLOOKUP($A1240, 'Medical Examinations'!$A:$I, 6, FALSE)</f>
        <v>No</v>
      </c>
      <c r="H1240" s="22">
        <f>VLOOKUP($A1240,'Medical Examinations'!$A:$L,10, FALSE)</f>
        <v>0</v>
      </c>
      <c r="I1240" s="22" t="str">
        <f>VLOOKUP($A1240, 'Medical Examinations'!$A:$J, 9, FALSE)</f>
        <v>No</v>
      </c>
      <c r="J1240" s="22" t="str">
        <f>VLOOKUP($A1240, 'Medical Examinations'!$A:$P, 11, FALSE)</f>
        <v>OBESITY</v>
      </c>
      <c r="K1240" s="34">
        <v>38151.0</v>
      </c>
      <c r="L1240" s="35">
        <f>VLOOKUP($A1240, 'Hospitalisation Details'!$A:$H, 7, FALSE)</f>
        <v>8968.33</v>
      </c>
      <c r="M1240" s="22" t="str">
        <f>VLOOKUP($A1240, 'Hospitalisation Details'!$A:$L, 12, FALSE)</f>
        <v>tier - 3</v>
      </c>
      <c r="N1240" s="22" t="str">
        <f>VLOOKUP($A1240, 'Hospitalisation Details'!$A:$M, 13, FALSE)</f>
        <v>tier - 2</v>
      </c>
      <c r="O1240" s="22" t="str">
        <f>VLOOKUP($A1240, 'Hospitalisation Details'!$A:$N, 14, FALSE)</f>
        <v>R1011</v>
      </c>
      <c r="P1240" s="36">
        <f>VLOOKUP($A1240, 'Hospitalisation Details'!$A:$O, 15, FALSE)</f>
        <v>48</v>
      </c>
    </row>
    <row r="1241" ht="15.75" customHeight="1">
      <c r="A1241" s="33" t="s">
        <v>2481</v>
      </c>
      <c r="B1241" s="22" t="str">
        <f>VLOOKUP($A1241,'Customer Names'!$A:$D,3, FALSE)</f>
        <v>Gauthier</v>
      </c>
      <c r="C1241" s="22">
        <f>VLOOKUP($A1241,'Medical Examinations'!$A:$D, 2, FALSE)</f>
        <v>24.225</v>
      </c>
      <c r="D1241" s="22">
        <f>VLOOKUP($A1241, 'Medical Examinations'!$A:$D,3, FALSE)</f>
        <v>4.25</v>
      </c>
      <c r="E1241" s="22" t="str">
        <f>VLOOKUP($A1241, 'Medical Examinations'!$A:$D, 4, FALSE)</f>
        <v>Yes</v>
      </c>
      <c r="F1241" s="22" t="str">
        <f>VLOOKUP($A1241, 'Medical Examinations'!$A:$J, 5, FALSE)</f>
        <v>No</v>
      </c>
      <c r="G1241" s="22" t="str">
        <f>VLOOKUP($A1241, 'Medical Examinations'!$A:$I, 6, FALSE)</f>
        <v>Yes</v>
      </c>
      <c r="H1241" s="22">
        <f>VLOOKUP($A1241,'Medical Examinations'!$A:$L,10, FALSE)</f>
        <v>1</v>
      </c>
      <c r="I1241" s="22" t="str">
        <f>VLOOKUP($A1241, 'Medical Examinations'!$A:$J, 9, FALSE)</f>
        <v>No</v>
      </c>
      <c r="J1241" s="22" t="str">
        <f>VLOOKUP($A1241, 'Medical Examinations'!$A:$P, 11, FALSE)</f>
        <v>NORMAL WEIGHT</v>
      </c>
      <c r="K1241" s="34">
        <v>34655.0</v>
      </c>
      <c r="L1241" s="35">
        <f>VLOOKUP($A1241, 'Hospitalisation Details'!$A:$H, 7, FALSE)</f>
        <v>8965.8</v>
      </c>
      <c r="M1241" s="22" t="str">
        <f>VLOOKUP($A1241, 'Hospitalisation Details'!$A:$L, 12, FALSE)</f>
        <v>tier - 2</v>
      </c>
      <c r="N1241" s="22" t="str">
        <f>VLOOKUP($A1241, 'Hospitalisation Details'!$A:$M, 13, FALSE)</f>
        <v>tier - 3</v>
      </c>
      <c r="O1241" s="22" t="str">
        <f>VLOOKUP($A1241, 'Hospitalisation Details'!$A:$N, 14, FALSE)</f>
        <v>R1012</v>
      </c>
      <c r="P1241" s="36">
        <f>VLOOKUP($A1241, 'Hospitalisation Details'!$A:$O, 15, FALSE)</f>
        <v>39</v>
      </c>
    </row>
    <row r="1242" ht="15.75" customHeight="1">
      <c r="A1242" s="33" t="s">
        <v>2483</v>
      </c>
      <c r="B1242" s="22" t="str">
        <f>VLOOKUP($A1242,'Customer Names'!$A:$D,3, FALSE)</f>
        <v>Fazioli</v>
      </c>
      <c r="C1242" s="22">
        <f>VLOOKUP($A1242,'Medical Examinations'!$A:$D, 2, FALSE)</f>
        <v>31.445</v>
      </c>
      <c r="D1242" s="22">
        <f>VLOOKUP($A1242, 'Medical Examinations'!$A:$D,3, FALSE)</f>
        <v>8.33</v>
      </c>
      <c r="E1242" s="22" t="str">
        <f>VLOOKUP($A1242, 'Medical Examinations'!$A:$D, 4, FALSE)</f>
        <v>No</v>
      </c>
      <c r="F1242" s="22" t="str">
        <f>VLOOKUP($A1242, 'Medical Examinations'!$A:$J, 5, FALSE)</f>
        <v>No</v>
      </c>
      <c r="G1242" s="22" t="str">
        <f>VLOOKUP($A1242, 'Medical Examinations'!$A:$I, 6, FALSE)</f>
        <v>No</v>
      </c>
      <c r="H1242" s="22">
        <f>VLOOKUP($A1242,'Medical Examinations'!$A:$L,10, FALSE)</f>
        <v>0</v>
      </c>
      <c r="I1242" s="22" t="str">
        <f>VLOOKUP($A1242, 'Medical Examinations'!$A:$J, 9, FALSE)</f>
        <v>No</v>
      </c>
      <c r="J1242" s="22" t="str">
        <f>VLOOKUP($A1242, 'Medical Examinations'!$A:$P, 11, FALSE)</f>
        <v>OBESITY</v>
      </c>
      <c r="K1242" s="34">
        <v>38195.0</v>
      </c>
      <c r="L1242" s="35">
        <f>VLOOKUP($A1242, 'Hospitalisation Details'!$A:$H, 7, FALSE)</f>
        <v>8964.06</v>
      </c>
      <c r="M1242" s="22" t="str">
        <f>VLOOKUP($A1242, 'Hospitalisation Details'!$A:$L, 12, FALSE)</f>
        <v>tier - 3</v>
      </c>
      <c r="N1242" s="22" t="str">
        <f>VLOOKUP($A1242, 'Hospitalisation Details'!$A:$M, 13, FALSE)</f>
        <v>tier - 2</v>
      </c>
      <c r="O1242" s="22" t="str">
        <f>VLOOKUP($A1242, 'Hospitalisation Details'!$A:$N, 14, FALSE)</f>
        <v>R1016</v>
      </c>
      <c r="P1242" s="36">
        <f>VLOOKUP($A1242, 'Hospitalisation Details'!$A:$O, 15, FALSE)</f>
        <v>48</v>
      </c>
    </row>
    <row r="1243" ht="15.75" customHeight="1">
      <c r="A1243" s="33" t="s">
        <v>2485</v>
      </c>
      <c r="B1243" s="22" t="str">
        <f>VLOOKUP($A1243,'Customer Names'!$A:$D,3, FALSE)</f>
        <v>Chorney</v>
      </c>
      <c r="C1243" s="22">
        <f>VLOOKUP($A1243,'Medical Examinations'!$A:$D, 2, FALSE)</f>
        <v>38.88</v>
      </c>
      <c r="D1243" s="22">
        <f>VLOOKUP($A1243, 'Medical Examinations'!$A:$D,3, FALSE)</f>
        <v>4.29</v>
      </c>
      <c r="E1243" s="22" t="str">
        <f>VLOOKUP($A1243, 'Medical Examinations'!$A:$D, 4, FALSE)</f>
        <v>No</v>
      </c>
      <c r="F1243" s="22" t="str">
        <f>VLOOKUP($A1243, 'Medical Examinations'!$A:$J, 5, FALSE)</f>
        <v>No</v>
      </c>
      <c r="G1243" s="22" t="str">
        <f>VLOOKUP($A1243, 'Medical Examinations'!$A:$I, 6, FALSE)</f>
        <v>No</v>
      </c>
      <c r="H1243" s="22">
        <f>VLOOKUP($A1243,'Medical Examinations'!$A:$L,10, FALSE)</f>
        <v>1</v>
      </c>
      <c r="I1243" s="22" t="str">
        <f>VLOOKUP($A1243, 'Medical Examinations'!$A:$J, 9, FALSE)</f>
        <v>No</v>
      </c>
      <c r="J1243" s="22" t="str">
        <f>VLOOKUP($A1243, 'Medical Examinations'!$A:$P, 11, FALSE)</f>
        <v>OBESITY</v>
      </c>
      <c r="K1243" s="34">
        <v>36849.0</v>
      </c>
      <c r="L1243" s="35">
        <f>VLOOKUP($A1243, 'Hospitalisation Details'!$A:$H, 7, FALSE)</f>
        <v>8954.99</v>
      </c>
      <c r="M1243" s="22" t="str">
        <f>VLOOKUP($A1243, 'Hospitalisation Details'!$A:$L, 12, FALSE)</f>
        <v>tier - 2</v>
      </c>
      <c r="N1243" s="22" t="str">
        <f>VLOOKUP($A1243, 'Hospitalisation Details'!$A:$M, 13, FALSE)</f>
        <v>tier - 3</v>
      </c>
      <c r="O1243" s="22" t="str">
        <f>VLOOKUP($A1243, 'Hospitalisation Details'!$A:$N, 14, FALSE)</f>
        <v>R1026</v>
      </c>
      <c r="P1243" s="36">
        <f>VLOOKUP($A1243, 'Hospitalisation Details'!$A:$O, 15, FALSE)</f>
        <v>30</v>
      </c>
    </row>
    <row r="1244" ht="15.75" customHeight="1">
      <c r="A1244" s="33" t="s">
        <v>2487</v>
      </c>
      <c r="B1244" s="22" t="str">
        <f>VLOOKUP($A1244,'Customer Names'!$A:$D,3, FALSE)</f>
        <v>Dannenhauer</v>
      </c>
      <c r="C1244" s="22">
        <f>VLOOKUP($A1244,'Medical Examinations'!$A:$D, 2, FALSE)</f>
        <v>43.89</v>
      </c>
      <c r="D1244" s="22">
        <f>VLOOKUP($A1244, 'Medical Examinations'!$A:$D,3, FALSE)</f>
        <v>6.32</v>
      </c>
      <c r="E1244" s="22" t="str">
        <f>VLOOKUP($A1244, 'Medical Examinations'!$A:$D, 4, FALSE)</f>
        <v>Yes</v>
      </c>
      <c r="F1244" s="22" t="str">
        <f>VLOOKUP($A1244, 'Medical Examinations'!$A:$J, 5, FALSE)</f>
        <v>No</v>
      </c>
      <c r="G1244" s="22" t="str">
        <f>VLOOKUP($A1244, 'Medical Examinations'!$A:$I, 6, FALSE)</f>
        <v>No</v>
      </c>
      <c r="H1244" s="22">
        <f>VLOOKUP($A1244,'Medical Examinations'!$A:$L,10, FALSE)</f>
        <v>0</v>
      </c>
      <c r="I1244" s="22" t="str">
        <f>VLOOKUP($A1244, 'Medical Examinations'!$A:$J, 9, FALSE)</f>
        <v>No</v>
      </c>
      <c r="J1244" s="22" t="str">
        <f>VLOOKUP($A1244, 'Medical Examinations'!$A:$P, 11, FALSE)</f>
        <v>OBESITY</v>
      </c>
      <c r="K1244" s="34">
        <v>38205.0</v>
      </c>
      <c r="L1244" s="35">
        <f>VLOOKUP($A1244, 'Hospitalisation Details'!$A:$H, 7, FALSE)</f>
        <v>8944.12</v>
      </c>
      <c r="M1244" s="22" t="str">
        <f>VLOOKUP($A1244, 'Hospitalisation Details'!$A:$L, 12, FALSE)</f>
        <v>tier - 3</v>
      </c>
      <c r="N1244" s="22" t="str">
        <f>VLOOKUP($A1244, 'Hospitalisation Details'!$A:$M, 13, FALSE)</f>
        <v>tier - 2</v>
      </c>
      <c r="O1244" s="22" t="str">
        <f>VLOOKUP($A1244, 'Hospitalisation Details'!$A:$N, 14, FALSE)</f>
        <v>R1013</v>
      </c>
      <c r="P1244" s="36">
        <f>VLOOKUP($A1244, 'Hospitalisation Details'!$A:$O, 15, FALSE)</f>
        <v>46</v>
      </c>
    </row>
    <row r="1245" ht="15.75" customHeight="1">
      <c r="A1245" s="33" t="s">
        <v>2489</v>
      </c>
      <c r="B1245" s="22" t="str">
        <f>VLOOKUP($A1245,'Customer Names'!$A:$D,3, FALSE)</f>
        <v>McComb</v>
      </c>
      <c r="C1245" s="22">
        <f>VLOOKUP($A1245,'Medical Examinations'!$A:$D, 2, FALSE)</f>
        <v>25.6</v>
      </c>
      <c r="D1245" s="22">
        <f>VLOOKUP($A1245, 'Medical Examinations'!$A:$D,3, FALSE)</f>
        <v>5.65</v>
      </c>
      <c r="E1245" s="22" t="str">
        <f>VLOOKUP($A1245, 'Medical Examinations'!$A:$D, 4, FALSE)</f>
        <v>No</v>
      </c>
      <c r="F1245" s="22" t="str">
        <f>VLOOKUP($A1245, 'Medical Examinations'!$A:$J, 5, FALSE)</f>
        <v>No</v>
      </c>
      <c r="G1245" s="22" t="str">
        <f>VLOOKUP($A1245, 'Medical Examinations'!$A:$I, 6, FALSE)</f>
        <v>No</v>
      </c>
      <c r="H1245" s="22">
        <f>VLOOKUP($A1245,'Medical Examinations'!$A:$L,10, FALSE)</f>
        <v>2</v>
      </c>
      <c r="I1245" s="22" t="str">
        <f>VLOOKUP($A1245, 'Medical Examinations'!$A:$J, 9, FALSE)</f>
        <v>No</v>
      </c>
      <c r="J1245" s="22" t="str">
        <f>VLOOKUP($A1245, 'Medical Examinations'!$A:$P, 11, FALSE)</f>
        <v>OVERWEIGHT</v>
      </c>
      <c r="K1245" s="34">
        <v>38304.0</v>
      </c>
      <c r="L1245" s="35">
        <f>VLOOKUP($A1245, 'Hospitalisation Details'!$A:$H, 7, FALSE)</f>
        <v>8932.08</v>
      </c>
      <c r="M1245" s="22" t="str">
        <f>VLOOKUP($A1245, 'Hospitalisation Details'!$A:$L, 12, FALSE)</f>
        <v>tier - 2</v>
      </c>
      <c r="N1245" s="22" t="str">
        <f>VLOOKUP($A1245, 'Hospitalisation Details'!$A:$M, 13, FALSE)</f>
        <v>tier - 1</v>
      </c>
      <c r="O1245" s="22" t="str">
        <f>VLOOKUP($A1245, 'Hospitalisation Details'!$A:$N, 14, FALSE)</f>
        <v>R1011</v>
      </c>
      <c r="P1245" s="36">
        <f>VLOOKUP($A1245, 'Hospitalisation Details'!$A:$O, 15, FALSE)</f>
        <v>51</v>
      </c>
    </row>
    <row r="1246" ht="15.75" customHeight="1">
      <c r="A1246" s="33" t="s">
        <v>2491</v>
      </c>
      <c r="B1246" s="22" t="str">
        <f>VLOOKUP($A1246,'Customer Names'!$A:$D,3, FALSE)</f>
        <v>Blake</v>
      </c>
      <c r="C1246" s="22">
        <f>VLOOKUP($A1246,'Medical Examinations'!$A:$D, 2, FALSE)</f>
        <v>29.545</v>
      </c>
      <c r="D1246" s="22">
        <f>VLOOKUP($A1246, 'Medical Examinations'!$A:$D,3, FALSE)</f>
        <v>8.41</v>
      </c>
      <c r="E1246" s="22" t="str">
        <f>VLOOKUP($A1246, 'Medical Examinations'!$A:$D, 4, FALSE)</f>
        <v>Yes</v>
      </c>
      <c r="F1246" s="22" t="str">
        <f>VLOOKUP($A1246, 'Medical Examinations'!$A:$J, 5, FALSE)</f>
        <v>No</v>
      </c>
      <c r="G1246" s="22" t="str">
        <f>VLOOKUP($A1246, 'Medical Examinations'!$A:$I, 6, FALSE)</f>
        <v>No</v>
      </c>
      <c r="H1246" s="22">
        <f>VLOOKUP($A1246,'Medical Examinations'!$A:$L,10, FALSE)</f>
        <v>1</v>
      </c>
      <c r="I1246" s="22" t="str">
        <f>VLOOKUP($A1246, 'Medical Examinations'!$A:$J, 9, FALSE)</f>
        <v>No</v>
      </c>
      <c r="J1246" s="22" t="str">
        <f>VLOOKUP($A1246, 'Medical Examinations'!$A:$P, 11, FALSE)</f>
        <v>OVERWEIGHT</v>
      </c>
      <c r="K1246" s="34">
        <v>38288.0</v>
      </c>
      <c r="L1246" s="35">
        <f>VLOOKUP($A1246, 'Hospitalisation Details'!$A:$H, 7, FALSE)</f>
        <v>8930.93</v>
      </c>
      <c r="M1246" s="22" t="str">
        <f>VLOOKUP($A1246, 'Hospitalisation Details'!$A:$L, 12, FALSE)</f>
        <v>tier - 2</v>
      </c>
      <c r="N1246" s="22" t="str">
        <f>VLOOKUP($A1246, 'Hospitalisation Details'!$A:$M, 13, FALSE)</f>
        <v>tier - 2</v>
      </c>
      <c r="O1246" s="22" t="str">
        <f>VLOOKUP($A1246, 'Hospitalisation Details'!$A:$N, 14, FALSE)</f>
        <v>R1012</v>
      </c>
      <c r="P1246" s="36">
        <f>VLOOKUP($A1246, 'Hospitalisation Details'!$A:$O, 15, FALSE)</f>
        <v>47</v>
      </c>
    </row>
    <row r="1247" ht="15.75" customHeight="1">
      <c r="A1247" s="33" t="s">
        <v>2493</v>
      </c>
      <c r="B1247" s="22" t="str">
        <f>VLOOKUP($A1247,'Customer Names'!$A:$D,3, FALSE)</f>
        <v>Sambasivam</v>
      </c>
      <c r="C1247" s="22">
        <f>VLOOKUP($A1247,'Medical Examinations'!$A:$D, 2, FALSE)</f>
        <v>23.25</v>
      </c>
      <c r="D1247" s="22">
        <f>VLOOKUP($A1247, 'Medical Examinations'!$A:$D,3, FALSE)</f>
        <v>11.96</v>
      </c>
      <c r="E1247" s="22" t="str">
        <f>VLOOKUP($A1247, 'Medical Examinations'!$A:$D, 4, FALSE)</f>
        <v>Yes</v>
      </c>
      <c r="F1247" s="22" t="str">
        <f>VLOOKUP($A1247, 'Medical Examinations'!$A:$J, 5, FALSE)</f>
        <v>No</v>
      </c>
      <c r="G1247" s="22" t="str">
        <f>VLOOKUP($A1247, 'Medical Examinations'!$A:$I, 6, FALSE)</f>
        <v>No</v>
      </c>
      <c r="H1247" s="22">
        <f>VLOOKUP($A1247,'Medical Examinations'!$A:$L,10, FALSE)</f>
        <v>0</v>
      </c>
      <c r="I1247" s="22" t="str">
        <f>VLOOKUP($A1247, 'Medical Examinations'!$A:$J, 9, FALSE)</f>
        <v>No</v>
      </c>
      <c r="J1247" s="22" t="str">
        <f>VLOOKUP($A1247, 'Medical Examinations'!$A:$P, 11, FALSE)</f>
        <v>NORMAL WEIGHT</v>
      </c>
      <c r="K1247" s="34">
        <v>38205.0</v>
      </c>
      <c r="L1247" s="35">
        <f>VLOOKUP($A1247, 'Hospitalisation Details'!$A:$H, 7, FALSE)</f>
        <v>8908.47</v>
      </c>
      <c r="M1247" s="22" t="str">
        <f>VLOOKUP($A1247, 'Hospitalisation Details'!$A:$L, 12, FALSE)</f>
        <v>tier - 3</v>
      </c>
      <c r="N1247" s="22" t="str">
        <f>VLOOKUP($A1247, 'Hospitalisation Details'!$A:$M, 13, FALSE)</f>
        <v>tier - 2</v>
      </c>
      <c r="O1247" s="22" t="str">
        <f>VLOOKUP($A1247, 'Hospitalisation Details'!$A:$N, 14, FALSE)</f>
        <v>R1013</v>
      </c>
      <c r="P1247" s="36">
        <f>VLOOKUP($A1247, 'Hospitalisation Details'!$A:$O, 15, FALSE)</f>
        <v>55</v>
      </c>
    </row>
    <row r="1248" ht="15.75" customHeight="1">
      <c r="A1248" s="33" t="s">
        <v>2495</v>
      </c>
      <c r="B1248" s="22" t="str">
        <f>VLOOKUP($A1248,'Customer Names'!$A:$D,3, FALSE)</f>
        <v>Maina</v>
      </c>
      <c r="C1248" s="22">
        <f>VLOOKUP($A1248,'Medical Examinations'!$A:$D, 2, FALSE)</f>
        <v>43.95</v>
      </c>
      <c r="D1248" s="22">
        <f>VLOOKUP($A1248, 'Medical Examinations'!$A:$D,3, FALSE)</f>
        <v>5.17</v>
      </c>
      <c r="E1248" s="22" t="str">
        <f>VLOOKUP($A1248, 'Medical Examinations'!$A:$D, 4, FALSE)</f>
        <v>Yes</v>
      </c>
      <c r="F1248" s="22" t="str">
        <f>VLOOKUP($A1248, 'Medical Examinations'!$A:$J, 5, FALSE)</f>
        <v>No</v>
      </c>
      <c r="G1248" s="22" t="str">
        <f>VLOOKUP($A1248, 'Medical Examinations'!$A:$I, 6, FALSE)</f>
        <v>Yes</v>
      </c>
      <c r="H1248" s="22">
        <f>VLOOKUP($A1248,'Medical Examinations'!$A:$L,10, FALSE)</f>
        <v>1</v>
      </c>
      <c r="I1248" s="22" t="str">
        <f>VLOOKUP($A1248, 'Medical Examinations'!$A:$J, 9, FALSE)</f>
        <v>No</v>
      </c>
      <c r="J1248" s="22" t="str">
        <f>VLOOKUP($A1248, 'Medical Examinations'!$A:$P, 11, FALSE)</f>
        <v>OBESITY</v>
      </c>
      <c r="K1248" s="34">
        <v>38195.0</v>
      </c>
      <c r="L1248" s="35">
        <f>VLOOKUP($A1248, 'Hospitalisation Details'!$A:$H, 7, FALSE)</f>
        <v>8906.14</v>
      </c>
      <c r="M1248" s="22" t="str">
        <f>VLOOKUP($A1248, 'Hospitalisation Details'!$A:$L, 12, FALSE)</f>
        <v>tier - 2</v>
      </c>
      <c r="N1248" s="22" t="str">
        <f>VLOOKUP($A1248, 'Hospitalisation Details'!$A:$M, 13, FALSE)</f>
        <v>tier - 2</v>
      </c>
      <c r="O1248" s="22" t="str">
        <f>VLOOKUP($A1248, 'Hospitalisation Details'!$A:$N, 14, FALSE)</f>
        <v>R1012</v>
      </c>
      <c r="P1248" s="36">
        <f>VLOOKUP($A1248, 'Hospitalisation Details'!$A:$O, 15, FALSE)</f>
        <v>25</v>
      </c>
    </row>
    <row r="1249" ht="15.75" customHeight="1">
      <c r="A1249" s="33" t="s">
        <v>2497</v>
      </c>
      <c r="B1249" s="22" t="str">
        <f>VLOOKUP($A1249,'Customer Names'!$A:$D,3, FALSE)</f>
        <v>Keshian</v>
      </c>
      <c r="C1249" s="22">
        <f>VLOOKUP($A1249,'Medical Examinations'!$A:$D, 2, FALSE)</f>
        <v>21.85</v>
      </c>
      <c r="D1249" s="22">
        <f>VLOOKUP($A1249, 'Medical Examinations'!$A:$D,3, FALSE)</f>
        <v>8.76</v>
      </c>
      <c r="E1249" s="22" t="str">
        <f>VLOOKUP($A1249, 'Medical Examinations'!$A:$D, 4, FALSE)</f>
        <v>No</v>
      </c>
      <c r="F1249" s="22" t="str">
        <f>VLOOKUP($A1249, 'Medical Examinations'!$A:$J, 5, FALSE)</f>
        <v>No</v>
      </c>
      <c r="G1249" s="22" t="str">
        <f>VLOOKUP($A1249, 'Medical Examinations'!$A:$I, 6, FALSE)</f>
        <v>No</v>
      </c>
      <c r="H1249" s="22">
        <f>VLOOKUP($A1249,'Medical Examinations'!$A:$L,10, FALSE)</f>
        <v>0</v>
      </c>
      <c r="I1249" s="22" t="str">
        <f>VLOOKUP($A1249, 'Medical Examinations'!$A:$J, 9, FALSE)</f>
        <v>No</v>
      </c>
      <c r="J1249" s="22" t="str">
        <f>VLOOKUP($A1249, 'Medical Examinations'!$A:$P, 11, FALSE)</f>
        <v>NORMAL WEIGHT</v>
      </c>
      <c r="K1249" s="34">
        <v>38242.0</v>
      </c>
      <c r="L1249" s="35">
        <f>VLOOKUP($A1249, 'Hospitalisation Details'!$A:$H, 7, FALSE)</f>
        <v>8891.14</v>
      </c>
      <c r="M1249" s="22" t="str">
        <f>VLOOKUP($A1249, 'Hospitalisation Details'!$A:$L, 12, FALSE)</f>
        <v>tier - 2</v>
      </c>
      <c r="N1249" s="22" t="str">
        <f>VLOOKUP($A1249, 'Hospitalisation Details'!$A:$M, 13, FALSE)</f>
        <v>tier - 3</v>
      </c>
      <c r="O1249" s="22" t="str">
        <f>VLOOKUP($A1249, 'Hospitalisation Details'!$A:$N, 14, FALSE)</f>
        <v>R1017</v>
      </c>
      <c r="P1249" s="36">
        <f>VLOOKUP($A1249, 'Hospitalisation Details'!$A:$O, 15, FALSE)</f>
        <v>44</v>
      </c>
    </row>
    <row r="1250" ht="15.75" customHeight="1">
      <c r="A1250" s="33" t="s">
        <v>2499</v>
      </c>
      <c r="B1250" s="22" t="str">
        <f>VLOOKUP($A1250,'Customer Names'!$A:$D,3, FALSE)</f>
        <v>Maas</v>
      </c>
      <c r="C1250" s="22">
        <f>VLOOKUP($A1250,'Medical Examinations'!$A:$D, 2, FALSE)</f>
        <v>25.73</v>
      </c>
      <c r="D1250" s="22">
        <f>VLOOKUP($A1250, 'Medical Examinations'!$A:$D,3, FALSE)</f>
        <v>7.99</v>
      </c>
      <c r="E1250" s="22" t="str">
        <f>VLOOKUP($A1250, 'Medical Examinations'!$A:$D, 4, FALSE)</f>
        <v>No</v>
      </c>
      <c r="F1250" s="22" t="str">
        <f>VLOOKUP($A1250, 'Medical Examinations'!$A:$J, 5, FALSE)</f>
        <v>No</v>
      </c>
      <c r="G1250" s="22" t="str">
        <f>VLOOKUP($A1250, 'Medical Examinations'!$A:$I, 6, FALSE)</f>
        <v>No</v>
      </c>
      <c r="H1250" s="22">
        <f>VLOOKUP($A1250,'Medical Examinations'!$A:$L,10, FALSE)</f>
        <v>2</v>
      </c>
      <c r="I1250" s="22" t="str">
        <f>VLOOKUP($A1250, 'Medical Examinations'!$A:$J, 9, FALSE)</f>
        <v>No</v>
      </c>
      <c r="J1250" s="22" t="str">
        <f>VLOOKUP($A1250, 'Medical Examinations'!$A:$P, 11, FALSE)</f>
        <v>OVERWEIGHT</v>
      </c>
      <c r="K1250" s="34">
        <v>38233.0</v>
      </c>
      <c r="L1250" s="35">
        <f>VLOOKUP($A1250, 'Hospitalisation Details'!$A:$H, 7, FALSE)</f>
        <v>8890.59</v>
      </c>
      <c r="M1250" s="22" t="str">
        <f>VLOOKUP($A1250, 'Hospitalisation Details'!$A:$L, 12, FALSE)</f>
        <v>tier - 2</v>
      </c>
      <c r="N1250" s="22" t="str">
        <f>VLOOKUP($A1250, 'Hospitalisation Details'!$A:$M, 13, FALSE)</f>
        <v>tier - 3</v>
      </c>
      <c r="O1250" s="22" t="str">
        <f>VLOOKUP($A1250, 'Hospitalisation Details'!$A:$N, 14, FALSE)</f>
        <v>R1012</v>
      </c>
      <c r="P1250" s="36">
        <f>VLOOKUP($A1250, 'Hospitalisation Details'!$A:$O, 15, FALSE)</f>
        <v>49</v>
      </c>
    </row>
    <row r="1251" ht="15.75" customHeight="1">
      <c r="A1251" s="33" t="s">
        <v>2501</v>
      </c>
      <c r="B1251" s="22" t="str">
        <f>VLOOKUP($A1251,'Customer Names'!$A:$D,3, FALSE)</f>
        <v>Sinasac</v>
      </c>
      <c r="C1251" s="22">
        <f>VLOOKUP($A1251,'Medical Examinations'!$A:$D, 2, FALSE)</f>
        <v>32.23</v>
      </c>
      <c r="D1251" s="22">
        <f>VLOOKUP($A1251, 'Medical Examinations'!$A:$D,3, FALSE)</f>
        <v>8.59</v>
      </c>
      <c r="E1251" s="22" t="str">
        <f>VLOOKUP($A1251, 'Medical Examinations'!$A:$D, 4, FALSE)</f>
        <v>No</v>
      </c>
      <c r="F1251" s="22" t="str">
        <f>VLOOKUP($A1251, 'Medical Examinations'!$A:$J, 5, FALSE)</f>
        <v>No</v>
      </c>
      <c r="G1251" s="22" t="str">
        <f>VLOOKUP($A1251, 'Medical Examinations'!$A:$I, 6, FALSE)</f>
        <v>No</v>
      </c>
      <c r="H1251" s="22">
        <f>VLOOKUP($A1251,'Medical Examinations'!$A:$L,10, FALSE)</f>
        <v>0</v>
      </c>
      <c r="I1251" s="22" t="str">
        <f>VLOOKUP($A1251, 'Medical Examinations'!$A:$J, 9, FALSE)</f>
        <v>No</v>
      </c>
      <c r="J1251" s="22" t="str">
        <f>VLOOKUP($A1251, 'Medical Examinations'!$A:$P, 11, FALSE)</f>
        <v>OBESITY</v>
      </c>
      <c r="K1251" s="34">
        <v>38328.0</v>
      </c>
      <c r="L1251" s="35">
        <f>VLOOKUP($A1251, 'Hospitalisation Details'!$A:$H, 7, FALSE)</f>
        <v>8871.15</v>
      </c>
      <c r="M1251" s="22" t="str">
        <f>VLOOKUP($A1251, 'Hospitalisation Details'!$A:$L, 12, FALSE)</f>
        <v>tier - 2</v>
      </c>
      <c r="N1251" s="22" t="str">
        <f>VLOOKUP($A1251, 'Hospitalisation Details'!$A:$M, 13, FALSE)</f>
        <v>tier - 3</v>
      </c>
      <c r="O1251" s="22" t="str">
        <f>VLOOKUP($A1251, 'Hospitalisation Details'!$A:$N, 14, FALSE)</f>
        <v>R1013</v>
      </c>
      <c r="P1251" s="36">
        <f>VLOOKUP($A1251, 'Hospitalisation Details'!$A:$O, 15, FALSE)</f>
        <v>48</v>
      </c>
    </row>
    <row r="1252" ht="15.75" customHeight="1">
      <c r="A1252" s="33" t="s">
        <v>2503</v>
      </c>
      <c r="B1252" s="22" t="str">
        <f>VLOOKUP($A1252,'Customer Names'!$A:$D,3, FALSE)</f>
        <v>Va</v>
      </c>
      <c r="C1252" s="22">
        <f>VLOOKUP($A1252,'Medical Examinations'!$A:$D, 2, FALSE)</f>
        <v>32.205</v>
      </c>
      <c r="D1252" s="22">
        <f>VLOOKUP($A1252, 'Medical Examinations'!$A:$D,3, FALSE)</f>
        <v>6.14</v>
      </c>
      <c r="E1252" s="22" t="str">
        <f>VLOOKUP($A1252, 'Medical Examinations'!$A:$D, 4, FALSE)</f>
        <v>No</v>
      </c>
      <c r="F1252" s="22" t="str">
        <f>VLOOKUP($A1252, 'Medical Examinations'!$A:$J, 5, FALSE)</f>
        <v>No</v>
      </c>
      <c r="G1252" s="22" t="str">
        <f>VLOOKUP($A1252, 'Medical Examinations'!$A:$I, 6, FALSE)</f>
        <v>No</v>
      </c>
      <c r="H1252" s="22">
        <f>VLOOKUP($A1252,'Medical Examinations'!$A:$L,10, FALSE)</f>
        <v>2</v>
      </c>
      <c r="I1252" s="22" t="str">
        <f>VLOOKUP($A1252, 'Medical Examinations'!$A:$J, 9, FALSE)</f>
        <v>No</v>
      </c>
      <c r="J1252" s="22" t="str">
        <f>VLOOKUP($A1252, 'Medical Examinations'!$A:$P, 11, FALSE)</f>
        <v>OBESITY</v>
      </c>
      <c r="K1252" s="34">
        <v>33588.0</v>
      </c>
      <c r="L1252" s="35">
        <f>VLOOKUP($A1252, 'Hospitalisation Details'!$A:$H, 7, FALSE)</f>
        <v>8835.26</v>
      </c>
      <c r="M1252" s="22" t="str">
        <f>VLOOKUP($A1252, 'Hospitalisation Details'!$A:$L, 12, FALSE)</f>
        <v>tier - 3</v>
      </c>
      <c r="N1252" s="22" t="str">
        <f>VLOOKUP($A1252, 'Hospitalisation Details'!$A:$M, 13, FALSE)</f>
        <v>tier - 2</v>
      </c>
      <c r="O1252" s="22" t="str">
        <f>VLOOKUP($A1252, 'Hospitalisation Details'!$A:$N, 14, FALSE)</f>
        <v>R1012</v>
      </c>
      <c r="P1252" s="36">
        <f>VLOOKUP($A1252, 'Hospitalisation Details'!$A:$O, 15, FALSE)</f>
        <v>50</v>
      </c>
    </row>
    <row r="1253" ht="15.75" customHeight="1">
      <c r="A1253" s="33" t="s">
        <v>2505</v>
      </c>
      <c r="B1253" s="22" t="str">
        <f>VLOOKUP($A1253,'Customer Names'!$A:$D,3, FALSE)</f>
        <v>Ruffo</v>
      </c>
      <c r="C1253" s="22">
        <f>VLOOKUP($A1253,'Medical Examinations'!$A:$D, 2, FALSE)</f>
        <v>26.41</v>
      </c>
      <c r="D1253" s="22">
        <f>VLOOKUP($A1253, 'Medical Examinations'!$A:$D,3, FALSE)</f>
        <v>4.08</v>
      </c>
      <c r="E1253" s="22" t="str">
        <f>VLOOKUP($A1253, 'Medical Examinations'!$A:$D, 4, FALSE)</f>
        <v>No</v>
      </c>
      <c r="F1253" s="22" t="str">
        <f>VLOOKUP($A1253, 'Medical Examinations'!$A:$J, 5, FALSE)</f>
        <v>No</v>
      </c>
      <c r="G1253" s="22" t="str">
        <f>VLOOKUP($A1253, 'Medical Examinations'!$A:$I, 6, FALSE)</f>
        <v>No</v>
      </c>
      <c r="H1253" s="22">
        <f>VLOOKUP($A1253,'Medical Examinations'!$A:$L,10, FALSE)</f>
        <v>2</v>
      </c>
      <c r="I1253" s="22" t="str">
        <f>VLOOKUP($A1253, 'Medical Examinations'!$A:$J, 9, FALSE)</f>
        <v>No</v>
      </c>
      <c r="J1253" s="22" t="str">
        <f>VLOOKUP($A1253, 'Medical Examinations'!$A:$P, 11, FALSE)</f>
        <v>OVERWEIGHT</v>
      </c>
      <c r="K1253" s="34">
        <v>34604.0</v>
      </c>
      <c r="L1253" s="35">
        <f>VLOOKUP($A1253, 'Hospitalisation Details'!$A:$H, 7, FALSE)</f>
        <v>8827.21</v>
      </c>
      <c r="M1253" s="22" t="str">
        <f>VLOOKUP($A1253, 'Hospitalisation Details'!$A:$L, 12, FALSE)</f>
        <v>tier - 3</v>
      </c>
      <c r="N1253" s="22" t="str">
        <f>VLOOKUP($A1253, 'Hospitalisation Details'!$A:$M, 13, FALSE)</f>
        <v>tier - 1</v>
      </c>
      <c r="O1253" s="22" t="str">
        <f>VLOOKUP($A1253, 'Hospitalisation Details'!$A:$N, 14, FALSE)</f>
        <v>R1012</v>
      </c>
      <c r="P1253" s="36">
        <f>VLOOKUP($A1253, 'Hospitalisation Details'!$A:$O, 15, FALSE)</f>
        <v>50</v>
      </c>
    </row>
    <row r="1254" ht="15.75" customHeight="1">
      <c r="A1254" s="33" t="s">
        <v>2507</v>
      </c>
      <c r="B1254" s="22" t="str">
        <f>VLOOKUP($A1254,'Customer Names'!$A:$D,3, FALSE)</f>
        <v>Long</v>
      </c>
      <c r="C1254" s="22">
        <f>VLOOKUP($A1254,'Medical Examinations'!$A:$D, 2, FALSE)</f>
        <v>30.2</v>
      </c>
      <c r="D1254" s="22">
        <f>VLOOKUP($A1254, 'Medical Examinations'!$A:$D,3, FALSE)</f>
        <v>6.25</v>
      </c>
      <c r="E1254" s="22" t="str">
        <f>VLOOKUP($A1254, 'Medical Examinations'!$A:$D, 4, FALSE)</f>
        <v>Yes</v>
      </c>
      <c r="F1254" s="22" t="str">
        <f>VLOOKUP($A1254, 'Medical Examinations'!$A:$J, 5, FALSE)</f>
        <v>No</v>
      </c>
      <c r="G1254" s="22" t="str">
        <f>VLOOKUP($A1254, 'Medical Examinations'!$A:$I, 6, FALSE)</f>
        <v>No</v>
      </c>
      <c r="H1254" s="22">
        <f>VLOOKUP($A1254,'Medical Examinations'!$A:$L,10, FALSE)</f>
        <v>0</v>
      </c>
      <c r="I1254" s="22" t="str">
        <f>VLOOKUP($A1254, 'Medical Examinations'!$A:$J, 9, FALSE)</f>
        <v>No</v>
      </c>
      <c r="J1254" s="22" t="str">
        <f>VLOOKUP($A1254, 'Medical Examinations'!$A:$P, 11, FALSE)</f>
        <v>OBESITY</v>
      </c>
      <c r="K1254" s="34">
        <v>26155.0</v>
      </c>
      <c r="L1254" s="35">
        <f>VLOOKUP($A1254, 'Hospitalisation Details'!$A:$H, 7, FALSE)</f>
        <v>8825.09</v>
      </c>
      <c r="M1254" s="22" t="str">
        <f>VLOOKUP($A1254, 'Hospitalisation Details'!$A:$L, 12, FALSE)</f>
        <v>tier - 2</v>
      </c>
      <c r="N1254" s="22" t="str">
        <f>VLOOKUP($A1254, 'Hospitalisation Details'!$A:$M, 13, FALSE)</f>
        <v>tier - 3</v>
      </c>
      <c r="O1254" s="22" t="str">
        <f>VLOOKUP($A1254, 'Hospitalisation Details'!$A:$N, 14, FALSE)</f>
        <v>R1011</v>
      </c>
      <c r="P1254" s="36">
        <f>VLOOKUP($A1254, 'Hospitalisation Details'!$A:$O, 15, FALSE)</f>
        <v>46</v>
      </c>
    </row>
    <row r="1255" ht="15.75" customHeight="1">
      <c r="A1255" s="33" t="s">
        <v>2509</v>
      </c>
      <c r="B1255" s="22" t="str">
        <f>VLOOKUP($A1255,'Customer Names'!$A:$D,3, FALSE)</f>
        <v>Rohde</v>
      </c>
      <c r="C1255" s="22">
        <f>VLOOKUP($A1255,'Medical Examinations'!$A:$D, 2, FALSE)</f>
        <v>31.26</v>
      </c>
      <c r="D1255" s="22">
        <f>VLOOKUP($A1255, 'Medical Examinations'!$A:$D,3, FALSE)</f>
        <v>5.94</v>
      </c>
      <c r="E1255" s="22" t="str">
        <f>VLOOKUP($A1255, 'Medical Examinations'!$A:$D, 4, FALSE)</f>
        <v>Yes</v>
      </c>
      <c r="F1255" s="22" t="str">
        <f>VLOOKUP($A1255, 'Medical Examinations'!$A:$J, 5, FALSE)</f>
        <v>No</v>
      </c>
      <c r="G1255" s="22" t="str">
        <f>VLOOKUP($A1255, 'Medical Examinations'!$A:$I, 6, FALSE)</f>
        <v>No</v>
      </c>
      <c r="H1255" s="22">
        <f>VLOOKUP($A1255,'Medical Examinations'!$A:$L,10, FALSE)</f>
        <v>1</v>
      </c>
      <c r="I1255" s="22" t="str">
        <f>VLOOKUP($A1255, 'Medical Examinations'!$A:$J, 9, FALSE)</f>
        <v>No</v>
      </c>
      <c r="J1255" s="22" t="str">
        <f>VLOOKUP($A1255, 'Medical Examinations'!$A:$P, 11, FALSE)</f>
        <v>OBESITY</v>
      </c>
      <c r="K1255" s="34">
        <v>36761.0</v>
      </c>
      <c r="L1255" s="35">
        <f>VLOOKUP($A1255, 'Hospitalisation Details'!$A:$H, 7, FALSE)</f>
        <v>8824.27</v>
      </c>
      <c r="M1255" s="22" t="str">
        <f>VLOOKUP($A1255, 'Hospitalisation Details'!$A:$L, 12, FALSE)</f>
        <v>tier - 2</v>
      </c>
      <c r="N1255" s="22" t="str">
        <f>VLOOKUP($A1255, 'Hospitalisation Details'!$A:$M, 13, FALSE)</f>
        <v>tier - 1</v>
      </c>
      <c r="O1255" s="22" t="str">
        <f>VLOOKUP($A1255, 'Hospitalisation Details'!$A:$N, 14, FALSE)</f>
        <v>R1025</v>
      </c>
      <c r="P1255" s="36">
        <f>VLOOKUP($A1255, 'Hospitalisation Details'!$A:$O, 15, FALSE)</f>
        <v>34</v>
      </c>
    </row>
    <row r="1256" ht="15.75" customHeight="1">
      <c r="A1256" s="33" t="s">
        <v>2511</v>
      </c>
      <c r="B1256" s="22" t="str">
        <f>VLOOKUP($A1256,'Customer Names'!$A:$D,3, FALSE)</f>
        <v>Bonzi</v>
      </c>
      <c r="C1256" s="22">
        <f>VLOOKUP($A1256,'Medical Examinations'!$A:$D, 2, FALSE)</f>
        <v>33.725</v>
      </c>
      <c r="D1256" s="22">
        <f>VLOOKUP($A1256, 'Medical Examinations'!$A:$D,3, FALSE)</f>
        <v>6.45</v>
      </c>
      <c r="E1256" s="22" t="str">
        <f>VLOOKUP($A1256, 'Medical Examinations'!$A:$D, 4, FALSE)</f>
        <v>Yes</v>
      </c>
      <c r="F1256" s="22" t="str">
        <f>VLOOKUP($A1256, 'Medical Examinations'!$A:$J, 5, FALSE)</f>
        <v>No</v>
      </c>
      <c r="G1256" s="22" t="str">
        <f>VLOOKUP($A1256, 'Medical Examinations'!$A:$I, 6, FALSE)</f>
        <v>No</v>
      </c>
      <c r="H1256" s="22">
        <f>VLOOKUP($A1256,'Medical Examinations'!$A:$L,10, FALSE)</f>
        <v>0</v>
      </c>
      <c r="I1256" s="22" t="str">
        <f>VLOOKUP($A1256, 'Medical Examinations'!$A:$J, 9, FALSE)</f>
        <v>No</v>
      </c>
      <c r="J1256" s="22" t="str">
        <f>VLOOKUP($A1256, 'Medical Examinations'!$A:$P, 11, FALSE)</f>
        <v>OBESITY</v>
      </c>
      <c r="K1256" s="34">
        <v>36870.0</v>
      </c>
      <c r="L1256" s="35">
        <f>VLOOKUP($A1256, 'Hospitalisation Details'!$A:$H, 7, FALSE)</f>
        <v>8823.99</v>
      </c>
      <c r="M1256" s="22" t="str">
        <f>VLOOKUP($A1256, 'Hospitalisation Details'!$A:$L, 12, FALSE)</f>
        <v>tier - 2</v>
      </c>
      <c r="N1256" s="22" t="str">
        <f>VLOOKUP($A1256, 'Hospitalisation Details'!$A:$M, 13, FALSE)</f>
        <v>tier - 3</v>
      </c>
      <c r="O1256" s="22" t="str">
        <f>VLOOKUP($A1256, 'Hospitalisation Details'!$A:$N, 14, FALSE)</f>
        <v>R1024</v>
      </c>
      <c r="P1256" s="36">
        <f>VLOOKUP($A1256, 'Hospitalisation Details'!$A:$O, 15, FALSE)</f>
        <v>46</v>
      </c>
    </row>
    <row r="1257" ht="15.75" customHeight="1">
      <c r="A1257" s="33" t="s">
        <v>2513</v>
      </c>
      <c r="B1257" s="22" t="str">
        <f>VLOOKUP($A1257,'Customer Names'!$A:$D,3, FALSE)</f>
        <v>Moore</v>
      </c>
      <c r="C1257" s="22">
        <f>VLOOKUP($A1257,'Medical Examinations'!$A:$D, 2, FALSE)</f>
        <v>28.9</v>
      </c>
      <c r="D1257" s="22">
        <f>VLOOKUP($A1257, 'Medical Examinations'!$A:$D,3, FALSE)</f>
        <v>5.74</v>
      </c>
      <c r="E1257" s="22" t="str">
        <f>VLOOKUP($A1257, 'Medical Examinations'!$A:$D, 4, FALSE)</f>
        <v>Yes</v>
      </c>
      <c r="F1257" s="22" t="str">
        <f>VLOOKUP($A1257, 'Medical Examinations'!$A:$J, 5, FALSE)</f>
        <v>No</v>
      </c>
      <c r="G1257" s="22" t="str">
        <f>VLOOKUP($A1257, 'Medical Examinations'!$A:$I, 6, FALSE)</f>
        <v>No</v>
      </c>
      <c r="H1257" s="22">
        <f>VLOOKUP($A1257,'Medical Examinations'!$A:$L,10, FALSE)</f>
        <v>0</v>
      </c>
      <c r="I1257" s="22" t="str">
        <f>VLOOKUP($A1257, 'Medical Examinations'!$A:$J, 9, FALSE)</f>
        <v>No</v>
      </c>
      <c r="J1257" s="22" t="str">
        <f>VLOOKUP($A1257, 'Medical Examinations'!$A:$P, 11, FALSE)</f>
        <v>OVERWEIGHT</v>
      </c>
      <c r="K1257" s="34">
        <v>36859.0</v>
      </c>
      <c r="L1257" s="35">
        <f>VLOOKUP($A1257, 'Hospitalisation Details'!$A:$H, 7, FALSE)</f>
        <v>8823.28</v>
      </c>
      <c r="M1257" s="22" t="str">
        <f>VLOOKUP($A1257, 'Hospitalisation Details'!$A:$L, 12, FALSE)</f>
        <v>tier - 2</v>
      </c>
      <c r="N1257" s="22" t="str">
        <f>VLOOKUP($A1257, 'Hospitalisation Details'!$A:$M, 13, FALSE)</f>
        <v>tier - 1</v>
      </c>
      <c r="O1257" s="22" t="str">
        <f>VLOOKUP($A1257, 'Hospitalisation Details'!$A:$N, 14, FALSE)</f>
        <v>R1011</v>
      </c>
      <c r="P1257" s="36">
        <f>VLOOKUP($A1257, 'Hospitalisation Details'!$A:$O, 15, FALSE)</f>
        <v>46</v>
      </c>
    </row>
    <row r="1258" ht="15.75" customHeight="1">
      <c r="A1258" s="33" t="s">
        <v>2515</v>
      </c>
      <c r="B1258" s="22" t="str">
        <f>VLOOKUP($A1258,'Customer Names'!$A:$D,3, FALSE)</f>
        <v>McGrane</v>
      </c>
      <c r="C1258" s="22">
        <f>VLOOKUP($A1258,'Medical Examinations'!$A:$D, 2, FALSE)</f>
        <v>45.69</v>
      </c>
      <c r="D1258" s="22">
        <f>VLOOKUP($A1258, 'Medical Examinations'!$A:$D,3, FALSE)</f>
        <v>4.43</v>
      </c>
      <c r="E1258" s="22" t="str">
        <f>VLOOKUP($A1258, 'Medical Examinations'!$A:$D, 4, FALSE)</f>
        <v>Yes</v>
      </c>
      <c r="F1258" s="22" t="str">
        <f>VLOOKUP($A1258, 'Medical Examinations'!$A:$J, 5, FALSE)</f>
        <v>No</v>
      </c>
      <c r="G1258" s="22" t="str">
        <f>VLOOKUP($A1258, 'Medical Examinations'!$A:$I, 6, FALSE)</f>
        <v>No</v>
      </c>
      <c r="H1258" s="22">
        <f>VLOOKUP($A1258,'Medical Examinations'!$A:$L,10, FALSE)</f>
        <v>0</v>
      </c>
      <c r="I1258" s="22" t="str">
        <f>VLOOKUP($A1258, 'Medical Examinations'!$A:$J, 9, FALSE)</f>
        <v>No</v>
      </c>
      <c r="J1258" s="22" t="str">
        <f>VLOOKUP($A1258, 'Medical Examinations'!$A:$P, 11, FALSE)</f>
        <v>OBESITY</v>
      </c>
      <c r="K1258" s="34">
        <v>36821.0</v>
      </c>
      <c r="L1258" s="35">
        <f>VLOOKUP($A1258, 'Hospitalisation Details'!$A:$H, 7, FALSE)</f>
        <v>8821.88</v>
      </c>
      <c r="M1258" s="22" t="str">
        <f>VLOOKUP($A1258, 'Hospitalisation Details'!$A:$L, 12, FALSE)</f>
        <v>tier - 2</v>
      </c>
      <c r="N1258" s="22" t="str">
        <f>VLOOKUP($A1258, 'Hospitalisation Details'!$A:$M, 13, FALSE)</f>
        <v>tier - 3</v>
      </c>
      <c r="O1258" s="22" t="str">
        <f>VLOOKUP($A1258, 'Hospitalisation Details'!$A:$N, 14, FALSE)</f>
        <v>R1023</v>
      </c>
      <c r="P1258" s="36">
        <f>VLOOKUP($A1258, 'Hospitalisation Details'!$A:$O, 15, FALSE)</f>
        <v>21</v>
      </c>
    </row>
    <row r="1259" ht="15.75" customHeight="1">
      <c r="A1259" s="33" t="s">
        <v>2517</v>
      </c>
      <c r="B1259" s="22" t="str">
        <f>VLOOKUP($A1259,'Customer Names'!$A:$D,3, FALSE)</f>
        <v>Stepnowski</v>
      </c>
      <c r="C1259" s="22">
        <f>VLOOKUP($A1259,'Medical Examinations'!$A:$D, 2, FALSE)</f>
        <v>21.03</v>
      </c>
      <c r="D1259" s="22">
        <f>VLOOKUP($A1259, 'Medical Examinations'!$A:$D,3, FALSE)</f>
        <v>6.5</v>
      </c>
      <c r="E1259" s="22" t="str">
        <f>VLOOKUP($A1259, 'Medical Examinations'!$A:$D, 4, FALSE)</f>
        <v>No</v>
      </c>
      <c r="F1259" s="22" t="str">
        <f>VLOOKUP($A1259, 'Medical Examinations'!$A:$J, 5, FALSE)</f>
        <v>No</v>
      </c>
      <c r="G1259" s="22" t="str">
        <f>VLOOKUP($A1259, 'Medical Examinations'!$A:$I, 6, FALSE)</f>
        <v>No</v>
      </c>
      <c r="H1259" s="22">
        <f>VLOOKUP($A1259,'Medical Examinations'!$A:$L,10, FALSE)</f>
        <v>0</v>
      </c>
      <c r="I1259" s="22" t="str">
        <f>VLOOKUP($A1259, 'Medical Examinations'!$A:$J, 9, FALSE)</f>
        <v>No</v>
      </c>
      <c r="J1259" s="22" t="str">
        <f>VLOOKUP($A1259, 'Medical Examinations'!$A:$P, 11, FALSE)</f>
        <v>NORMAL WEIGHT</v>
      </c>
      <c r="K1259" s="34">
        <v>36887.0</v>
      </c>
      <c r="L1259" s="35">
        <f>VLOOKUP($A1259, 'Hospitalisation Details'!$A:$H, 7, FALSE)</f>
        <v>8800.49</v>
      </c>
      <c r="M1259" s="22" t="str">
        <f>VLOOKUP($A1259, 'Hospitalisation Details'!$A:$L, 12, FALSE)</f>
        <v>tier - 3</v>
      </c>
      <c r="N1259" s="22" t="str">
        <f>VLOOKUP($A1259, 'Hospitalisation Details'!$A:$M, 13, FALSE)</f>
        <v>tier - 2</v>
      </c>
      <c r="O1259" s="22" t="str">
        <f>VLOOKUP($A1259, 'Hospitalisation Details'!$A:$N, 14, FALSE)</f>
        <v>R1013</v>
      </c>
      <c r="P1259" s="36">
        <f>VLOOKUP($A1259, 'Hospitalisation Details'!$A:$O, 15, FALSE)</f>
        <v>57</v>
      </c>
    </row>
    <row r="1260" ht="15.75" customHeight="1">
      <c r="A1260" s="33" t="s">
        <v>2519</v>
      </c>
      <c r="B1260" s="22" t="str">
        <f>VLOOKUP($A1260,'Customer Names'!$A:$D,3, FALSE)</f>
        <v>Merkle</v>
      </c>
      <c r="C1260" s="22">
        <f>VLOOKUP($A1260,'Medical Examinations'!$A:$D, 2, FALSE)</f>
        <v>37</v>
      </c>
      <c r="D1260" s="22">
        <f>VLOOKUP($A1260, 'Medical Examinations'!$A:$D,3, FALSE)</f>
        <v>8.75</v>
      </c>
      <c r="E1260" s="22" t="str">
        <f>VLOOKUP($A1260, 'Medical Examinations'!$A:$D, 4, FALSE)</f>
        <v>No</v>
      </c>
      <c r="F1260" s="22" t="str">
        <f>VLOOKUP($A1260, 'Medical Examinations'!$A:$J, 5, FALSE)</f>
        <v>No</v>
      </c>
      <c r="G1260" s="22" t="str">
        <f>VLOOKUP($A1260, 'Medical Examinations'!$A:$I, 6, FALSE)</f>
        <v>No</v>
      </c>
      <c r="H1260" s="22">
        <f>VLOOKUP($A1260,'Medical Examinations'!$A:$L,10, FALSE)</f>
        <v>0</v>
      </c>
      <c r="I1260" s="22" t="str">
        <f>VLOOKUP($A1260, 'Medical Examinations'!$A:$J, 9, FALSE)</f>
        <v>No</v>
      </c>
      <c r="J1260" s="22" t="str">
        <f>VLOOKUP($A1260, 'Medical Examinations'!$A:$P, 11, FALSE)</f>
        <v>OBESITY</v>
      </c>
      <c r="K1260" s="34">
        <v>38264.0</v>
      </c>
      <c r="L1260" s="35">
        <f>VLOOKUP($A1260, 'Hospitalisation Details'!$A:$H, 7, FALSE)</f>
        <v>8798.59</v>
      </c>
      <c r="M1260" s="22" t="str">
        <f>VLOOKUP($A1260, 'Hospitalisation Details'!$A:$L, 12, FALSE)</f>
        <v>tier - 2</v>
      </c>
      <c r="N1260" s="22" t="str">
        <f>VLOOKUP($A1260, 'Hospitalisation Details'!$A:$M, 13, FALSE)</f>
        <v>tier - 1</v>
      </c>
      <c r="O1260" s="22" t="str">
        <f>VLOOKUP($A1260, 'Hospitalisation Details'!$A:$N, 14, FALSE)</f>
        <v>R1011</v>
      </c>
      <c r="P1260" s="36">
        <f>VLOOKUP($A1260, 'Hospitalisation Details'!$A:$O, 15, FALSE)</f>
        <v>51</v>
      </c>
    </row>
    <row r="1261" ht="15.75" customHeight="1">
      <c r="A1261" s="33" t="s">
        <v>2521</v>
      </c>
      <c r="B1261" s="22" t="str">
        <f>VLOOKUP($A1261,'Customer Names'!$A:$D,3, FALSE)</f>
        <v>Schaefer</v>
      </c>
      <c r="C1261" s="22">
        <f>VLOOKUP($A1261,'Medical Examinations'!$A:$D, 2, FALSE)</f>
        <v>25.4</v>
      </c>
      <c r="D1261" s="22">
        <f>VLOOKUP($A1261, 'Medical Examinations'!$A:$D,3, FALSE)</f>
        <v>11.96</v>
      </c>
      <c r="E1261" s="22" t="str">
        <f>VLOOKUP($A1261, 'Medical Examinations'!$A:$D, 4, FALSE)</f>
        <v>No</v>
      </c>
      <c r="F1261" s="22" t="str">
        <f>VLOOKUP($A1261, 'Medical Examinations'!$A:$J, 5, FALSE)</f>
        <v>No</v>
      </c>
      <c r="G1261" s="22" t="str">
        <f>VLOOKUP($A1261, 'Medical Examinations'!$A:$I, 6, FALSE)</f>
        <v>No</v>
      </c>
      <c r="H1261" s="22">
        <f>VLOOKUP($A1261,'Medical Examinations'!$A:$L,10, FALSE)</f>
        <v>0</v>
      </c>
      <c r="I1261" s="22" t="str">
        <f>VLOOKUP($A1261, 'Medical Examinations'!$A:$J, 9, FALSE)</f>
        <v>No</v>
      </c>
      <c r="J1261" s="22" t="str">
        <f>VLOOKUP($A1261, 'Medical Examinations'!$A:$P, 11, FALSE)</f>
        <v>OVERWEIGHT</v>
      </c>
      <c r="K1261" s="34">
        <v>37852.0</v>
      </c>
      <c r="L1261" s="35">
        <f>VLOOKUP($A1261, 'Hospitalisation Details'!$A:$H, 7, FALSE)</f>
        <v>8782.47</v>
      </c>
      <c r="M1261" s="22" t="str">
        <f>VLOOKUP($A1261, 'Hospitalisation Details'!$A:$L, 12, FALSE)</f>
        <v>tier - 2</v>
      </c>
      <c r="N1261" s="22" t="str">
        <f>VLOOKUP($A1261, 'Hospitalisation Details'!$A:$M, 13, FALSE)</f>
        <v>tier - 3</v>
      </c>
      <c r="O1261" s="22" t="str">
        <f>VLOOKUP($A1261, 'Hospitalisation Details'!$A:$N, 14, FALSE)</f>
        <v>R1011</v>
      </c>
      <c r="P1261" s="36">
        <f>VLOOKUP($A1261, 'Hospitalisation Details'!$A:$O, 15, FALSE)</f>
        <v>51</v>
      </c>
    </row>
    <row r="1262" ht="15.75" customHeight="1">
      <c r="A1262" s="33" t="s">
        <v>2523</v>
      </c>
      <c r="B1262" s="22" t="str">
        <f>VLOOKUP($A1262,'Customer Names'!$A:$D,3, FALSE)</f>
        <v>Vigneron</v>
      </c>
      <c r="C1262" s="22">
        <f>VLOOKUP($A1262,'Medical Examinations'!$A:$D, 2, FALSE)</f>
        <v>32.3</v>
      </c>
      <c r="D1262" s="22">
        <f>VLOOKUP($A1262, 'Medical Examinations'!$A:$D,3, FALSE)</f>
        <v>10.54</v>
      </c>
      <c r="E1262" s="22" t="str">
        <f>VLOOKUP($A1262, 'Medical Examinations'!$A:$D, 4, FALSE)</f>
        <v>No</v>
      </c>
      <c r="F1262" s="22" t="str">
        <f>VLOOKUP($A1262, 'Medical Examinations'!$A:$J, 5, FALSE)</f>
        <v>No</v>
      </c>
      <c r="G1262" s="22" t="str">
        <f>VLOOKUP($A1262, 'Medical Examinations'!$A:$I, 6, FALSE)</f>
        <v>No</v>
      </c>
      <c r="H1262" s="22">
        <f>VLOOKUP($A1262,'Medical Examinations'!$A:$L,10, FALSE)</f>
        <v>0</v>
      </c>
      <c r="I1262" s="22" t="str">
        <f>VLOOKUP($A1262, 'Medical Examinations'!$A:$J, 9, FALSE)</f>
        <v>No</v>
      </c>
      <c r="J1262" s="22" t="str">
        <f>VLOOKUP($A1262, 'Medical Examinations'!$A:$P, 11, FALSE)</f>
        <v>OBESITY</v>
      </c>
      <c r="K1262" s="34">
        <v>35676.0</v>
      </c>
      <c r="L1262" s="35">
        <f>VLOOKUP($A1262, 'Hospitalisation Details'!$A:$H, 7, FALSE)</f>
        <v>8765.25</v>
      </c>
      <c r="M1262" s="22" t="str">
        <f>VLOOKUP($A1262, 'Hospitalisation Details'!$A:$L, 12, FALSE)</f>
        <v>tier - 2</v>
      </c>
      <c r="N1262" s="22" t="str">
        <f>VLOOKUP($A1262, 'Hospitalisation Details'!$A:$M, 13, FALSE)</f>
        <v>tier - 3</v>
      </c>
      <c r="O1262" s="22" t="str">
        <f>VLOOKUP($A1262, 'Hospitalisation Details'!$A:$N, 14, FALSE)</f>
        <v>R1012</v>
      </c>
      <c r="P1262" s="36">
        <f>VLOOKUP($A1262, 'Hospitalisation Details'!$A:$O, 15, FALSE)</f>
        <v>48</v>
      </c>
    </row>
    <row r="1263" ht="15.75" customHeight="1">
      <c r="A1263" s="33" t="s">
        <v>2525</v>
      </c>
      <c r="B1263" s="22" t="str">
        <f>VLOOKUP($A1263,'Customer Names'!$A:$D,3, FALSE)</f>
        <v>Mucci</v>
      </c>
      <c r="C1263" s="22">
        <f>VLOOKUP($A1263,'Medical Examinations'!$A:$D, 2, FALSE)</f>
        <v>23.94</v>
      </c>
      <c r="D1263" s="22">
        <f>VLOOKUP($A1263, 'Medical Examinations'!$A:$D,3, FALSE)</f>
        <v>4.54</v>
      </c>
      <c r="E1263" s="22" t="str">
        <f>VLOOKUP($A1263, 'Medical Examinations'!$A:$D, 4, FALSE)</f>
        <v>Yes</v>
      </c>
      <c r="F1263" s="22" t="str">
        <f>VLOOKUP($A1263, 'Medical Examinations'!$A:$J, 5, FALSE)</f>
        <v>No</v>
      </c>
      <c r="G1263" s="22" t="str">
        <f>VLOOKUP($A1263, 'Medical Examinations'!$A:$I, 6, FALSE)</f>
        <v>Yes</v>
      </c>
      <c r="H1263" s="22">
        <f>VLOOKUP($A1263,'Medical Examinations'!$A:$L,10, FALSE)</f>
        <v>1</v>
      </c>
      <c r="I1263" s="22" t="str">
        <f>VLOOKUP($A1263, 'Medical Examinations'!$A:$J, 9, FALSE)</f>
        <v>No</v>
      </c>
      <c r="J1263" s="22" t="str">
        <f>VLOOKUP($A1263, 'Medical Examinations'!$A:$P, 11, FALSE)</f>
        <v>NORMAL WEIGHT</v>
      </c>
      <c r="K1263" s="34">
        <v>37890.0</v>
      </c>
      <c r="L1263" s="35">
        <f>VLOOKUP($A1263, 'Hospitalisation Details'!$A:$H, 7, FALSE)</f>
        <v>8760.12</v>
      </c>
      <c r="M1263" s="22" t="str">
        <f>VLOOKUP($A1263, 'Hospitalisation Details'!$A:$L, 12, FALSE)</f>
        <v>tier - 2</v>
      </c>
      <c r="N1263" s="22" t="str">
        <f>VLOOKUP($A1263, 'Hospitalisation Details'!$A:$M, 13, FALSE)</f>
        <v>tier - 1</v>
      </c>
      <c r="O1263" s="22" t="str">
        <f>VLOOKUP($A1263, 'Hospitalisation Details'!$A:$N, 14, FALSE)</f>
        <v>R1013</v>
      </c>
      <c r="P1263" s="36">
        <f>VLOOKUP($A1263, 'Hospitalisation Details'!$A:$O, 15, FALSE)</f>
        <v>53</v>
      </c>
    </row>
    <row r="1264" ht="15.75" customHeight="1">
      <c r="A1264" s="33" t="s">
        <v>2527</v>
      </c>
      <c r="B1264" s="22" t="str">
        <f>VLOOKUP($A1264,'Customer Names'!$A:$D,3, FALSE)</f>
        <v>MacDonald</v>
      </c>
      <c r="C1264" s="22">
        <f>VLOOKUP($A1264,'Medical Examinations'!$A:$D, 2, FALSE)</f>
        <v>46.4</v>
      </c>
      <c r="D1264" s="22">
        <f>VLOOKUP($A1264, 'Medical Examinations'!$A:$D,3, FALSE)</f>
        <v>5.71</v>
      </c>
      <c r="E1264" s="22" t="str">
        <f>VLOOKUP($A1264, 'Medical Examinations'!$A:$D, 4, FALSE)</f>
        <v>No</v>
      </c>
      <c r="F1264" s="22" t="str">
        <f>VLOOKUP($A1264, 'Medical Examinations'!$A:$J, 5, FALSE)</f>
        <v>No</v>
      </c>
      <c r="G1264" s="22" t="str">
        <f>VLOOKUP($A1264, 'Medical Examinations'!$A:$I, 6, FALSE)</f>
        <v>No</v>
      </c>
      <c r="H1264" s="22">
        <f>VLOOKUP($A1264,'Medical Examinations'!$A:$L,10, FALSE)</f>
        <v>0</v>
      </c>
      <c r="I1264" s="22" t="str">
        <f>VLOOKUP($A1264, 'Medical Examinations'!$A:$J, 9, FALSE)</f>
        <v>No</v>
      </c>
      <c r="J1264" s="22" t="str">
        <f>VLOOKUP($A1264, 'Medical Examinations'!$A:$P, 11, FALSE)</f>
        <v>OBESITY</v>
      </c>
      <c r="K1264" s="34">
        <v>37865.0</v>
      </c>
      <c r="L1264" s="35">
        <f>VLOOKUP($A1264, 'Hospitalisation Details'!$A:$H, 7, FALSE)</f>
        <v>8747.68</v>
      </c>
      <c r="M1264" s="22" t="str">
        <f>VLOOKUP($A1264, 'Hospitalisation Details'!$A:$L, 12, FALSE)</f>
        <v>tier - 2</v>
      </c>
      <c r="N1264" s="22" t="str">
        <f>VLOOKUP($A1264, 'Hospitalisation Details'!$A:$M, 13, FALSE)</f>
        <v>tier - 3</v>
      </c>
      <c r="O1264" s="22" t="str">
        <f>VLOOKUP($A1264, 'Hospitalisation Details'!$A:$N, 14, FALSE)</f>
        <v>R1011</v>
      </c>
      <c r="P1264" s="36">
        <f>VLOOKUP($A1264, 'Hospitalisation Details'!$A:$O, 15, FALSE)</f>
        <v>23</v>
      </c>
    </row>
    <row r="1265" ht="15.75" customHeight="1">
      <c r="A1265" s="33" t="s">
        <v>2529</v>
      </c>
      <c r="B1265" s="22" t="str">
        <f>VLOOKUP($A1265,'Customer Names'!$A:$D,3, FALSE)</f>
        <v>Deng</v>
      </c>
      <c r="C1265" s="22">
        <f>VLOOKUP($A1265,'Medical Examinations'!$A:$D, 2, FALSE)</f>
        <v>40.375</v>
      </c>
      <c r="D1265" s="22">
        <f>VLOOKUP($A1265, 'Medical Examinations'!$A:$D,3, FALSE)</f>
        <v>6.25</v>
      </c>
      <c r="E1265" s="22" t="str">
        <f>VLOOKUP($A1265, 'Medical Examinations'!$A:$D, 4, FALSE)</f>
        <v>Yes</v>
      </c>
      <c r="F1265" s="22" t="str">
        <f>VLOOKUP($A1265, 'Medical Examinations'!$A:$J, 5, FALSE)</f>
        <v>No</v>
      </c>
      <c r="G1265" s="22" t="str">
        <f>VLOOKUP($A1265, 'Medical Examinations'!$A:$I, 6, FALSE)</f>
        <v>No</v>
      </c>
      <c r="H1265" s="22">
        <f>VLOOKUP($A1265,'Medical Examinations'!$A:$L,10, FALSE)</f>
        <v>0</v>
      </c>
      <c r="I1265" s="22" t="str">
        <f>VLOOKUP($A1265, 'Medical Examinations'!$A:$J, 9, FALSE)</f>
        <v>No</v>
      </c>
      <c r="J1265" s="22" t="str">
        <f>VLOOKUP($A1265, 'Medical Examinations'!$A:$P, 11, FALSE)</f>
        <v>OBESITY</v>
      </c>
      <c r="K1265" s="34">
        <v>23618.0</v>
      </c>
      <c r="L1265" s="35">
        <f>VLOOKUP($A1265, 'Hospitalisation Details'!$A:$H, 7, FALSE)</f>
        <v>8733.23</v>
      </c>
      <c r="M1265" s="22" t="str">
        <f>VLOOKUP($A1265, 'Hospitalisation Details'!$A:$L, 12, FALSE)</f>
        <v>tier - 2</v>
      </c>
      <c r="N1265" s="22" t="str">
        <f>VLOOKUP($A1265, 'Hospitalisation Details'!$A:$M, 13, FALSE)</f>
        <v>tier - 3</v>
      </c>
      <c r="O1265" s="22" t="str">
        <f>VLOOKUP($A1265, 'Hospitalisation Details'!$A:$N, 14, FALSE)</f>
        <v>R1012</v>
      </c>
      <c r="P1265" s="36">
        <f>VLOOKUP($A1265, 'Hospitalisation Details'!$A:$O, 15, FALSE)</f>
        <v>46</v>
      </c>
    </row>
    <row r="1266" ht="15.75" customHeight="1">
      <c r="A1266" s="33" t="s">
        <v>2531</v>
      </c>
      <c r="B1266" s="22" t="str">
        <f>VLOOKUP($A1266,'Customer Names'!$A:$D,3, FALSE)</f>
        <v>D</v>
      </c>
      <c r="C1266" s="22">
        <f>VLOOKUP($A1266,'Medical Examinations'!$A:$D, 2, FALSE)</f>
        <v>28.7</v>
      </c>
      <c r="D1266" s="22">
        <f>VLOOKUP($A1266, 'Medical Examinations'!$A:$D,3, FALSE)</f>
        <v>9.47</v>
      </c>
      <c r="E1266" s="22" t="str">
        <f>VLOOKUP($A1266, 'Medical Examinations'!$A:$D, 4, FALSE)</f>
        <v>No</v>
      </c>
      <c r="F1266" s="22" t="str">
        <f>VLOOKUP($A1266, 'Medical Examinations'!$A:$J, 5, FALSE)</f>
        <v>No</v>
      </c>
      <c r="G1266" s="22" t="str">
        <f>VLOOKUP($A1266, 'Medical Examinations'!$A:$I, 6, FALSE)</f>
        <v>No</v>
      </c>
      <c r="H1266" s="22">
        <f>VLOOKUP($A1266,'Medical Examinations'!$A:$L,10, FALSE)</f>
        <v>2</v>
      </c>
      <c r="I1266" s="22" t="str">
        <f>VLOOKUP($A1266, 'Medical Examinations'!$A:$J, 9, FALSE)</f>
        <v>No</v>
      </c>
      <c r="J1266" s="22" t="str">
        <f>VLOOKUP($A1266, 'Medical Examinations'!$A:$P, 11, FALSE)</f>
        <v>OVERWEIGHT</v>
      </c>
      <c r="K1266" s="34">
        <v>37977.0</v>
      </c>
      <c r="L1266" s="35">
        <f>VLOOKUP($A1266, 'Hospitalisation Details'!$A:$H, 7, FALSE)</f>
        <v>8703.46</v>
      </c>
      <c r="M1266" s="22" t="str">
        <f>VLOOKUP($A1266, 'Hospitalisation Details'!$A:$L, 12, FALSE)</f>
        <v>tier - 3</v>
      </c>
      <c r="N1266" s="22" t="str">
        <f>VLOOKUP($A1266, 'Hospitalisation Details'!$A:$M, 13, FALSE)</f>
        <v>tier - 3</v>
      </c>
      <c r="O1266" s="22" t="str">
        <f>VLOOKUP($A1266, 'Hospitalisation Details'!$A:$N, 14, FALSE)</f>
        <v>R1011</v>
      </c>
      <c r="P1266" s="36">
        <f>VLOOKUP($A1266, 'Hospitalisation Details'!$A:$O, 15, FALSE)</f>
        <v>49</v>
      </c>
    </row>
    <row r="1267" ht="15.75" customHeight="1">
      <c r="A1267" s="33" t="s">
        <v>2533</v>
      </c>
      <c r="B1267" s="22" t="str">
        <f>VLOOKUP($A1267,'Customer Names'!$A:$D,3, FALSE)</f>
        <v>Strickland</v>
      </c>
      <c r="C1267" s="22">
        <f>VLOOKUP($A1267,'Medical Examinations'!$A:$D, 2, FALSE)</f>
        <v>26.63</v>
      </c>
      <c r="D1267" s="22">
        <f>VLOOKUP($A1267, 'Medical Examinations'!$A:$D,3, FALSE)</f>
        <v>5.7</v>
      </c>
      <c r="E1267" s="22" t="str">
        <f>VLOOKUP($A1267, 'Medical Examinations'!$A:$D, 4, FALSE)</f>
        <v>No</v>
      </c>
      <c r="F1267" s="22" t="str">
        <f>VLOOKUP($A1267, 'Medical Examinations'!$A:$J, 5, FALSE)</f>
        <v>No</v>
      </c>
      <c r="G1267" s="22" t="str">
        <f>VLOOKUP($A1267, 'Medical Examinations'!$A:$I, 6, FALSE)</f>
        <v>No</v>
      </c>
      <c r="H1267" s="22">
        <f>VLOOKUP($A1267,'Medical Examinations'!$A:$L,10, FALSE)</f>
        <v>0</v>
      </c>
      <c r="I1267" s="22" t="str">
        <f>VLOOKUP($A1267, 'Medical Examinations'!$A:$J, 9, FALSE)</f>
        <v>No</v>
      </c>
      <c r="J1267" s="22" t="str">
        <f>VLOOKUP($A1267, 'Medical Examinations'!$A:$P, 11, FALSE)</f>
        <v>OVERWEIGHT</v>
      </c>
      <c r="K1267" s="34">
        <v>37863.0</v>
      </c>
      <c r="L1267" s="35">
        <f>VLOOKUP($A1267, 'Hospitalisation Details'!$A:$H, 7, FALSE)</f>
        <v>8701.84</v>
      </c>
      <c r="M1267" s="22" t="str">
        <f>VLOOKUP($A1267, 'Hospitalisation Details'!$A:$L, 12, FALSE)</f>
        <v>tier - 2</v>
      </c>
      <c r="N1267" s="22" t="str">
        <f>VLOOKUP($A1267, 'Hospitalisation Details'!$A:$M, 13, FALSE)</f>
        <v>tier - 3</v>
      </c>
      <c r="O1267" s="22" t="str">
        <f>VLOOKUP($A1267, 'Hospitalisation Details'!$A:$N, 14, FALSE)</f>
        <v>R1021</v>
      </c>
      <c r="P1267" s="36">
        <f>VLOOKUP($A1267, 'Hospitalisation Details'!$A:$O, 15, FALSE)</f>
        <v>42</v>
      </c>
    </row>
    <row r="1268" ht="15.75" customHeight="1">
      <c r="A1268" s="33" t="s">
        <v>2535</v>
      </c>
      <c r="B1268" s="22" t="str">
        <f>VLOOKUP($A1268,'Customer Names'!$A:$D,3, FALSE)</f>
        <v>Cheney</v>
      </c>
      <c r="C1268" s="22">
        <f>VLOOKUP($A1268,'Medical Examinations'!$A:$D, 2, FALSE)</f>
        <v>22.515</v>
      </c>
      <c r="D1268" s="22">
        <f>VLOOKUP($A1268, 'Medical Examinations'!$A:$D,3, FALSE)</f>
        <v>11.18</v>
      </c>
      <c r="E1268" s="22" t="str">
        <f>VLOOKUP($A1268, 'Medical Examinations'!$A:$D, 4, FALSE)</f>
        <v>No</v>
      </c>
      <c r="F1268" s="22" t="str">
        <f>VLOOKUP($A1268, 'Medical Examinations'!$A:$J, 5, FALSE)</f>
        <v>No</v>
      </c>
      <c r="G1268" s="22" t="str">
        <f>VLOOKUP($A1268, 'Medical Examinations'!$A:$I, 6, FALSE)</f>
        <v>No</v>
      </c>
      <c r="H1268" s="22">
        <f>VLOOKUP($A1268,'Medical Examinations'!$A:$L,10, FALSE)</f>
        <v>2</v>
      </c>
      <c r="I1268" s="22" t="str">
        <f>VLOOKUP($A1268, 'Medical Examinations'!$A:$J, 9, FALSE)</f>
        <v>No</v>
      </c>
      <c r="J1268" s="22" t="str">
        <f>VLOOKUP($A1268, 'Medical Examinations'!$A:$P, 11, FALSE)</f>
        <v>NORMAL WEIGHT</v>
      </c>
      <c r="K1268" s="34">
        <v>38295.0</v>
      </c>
      <c r="L1268" s="35">
        <f>VLOOKUP($A1268, 'Hospitalisation Details'!$A:$H, 7, FALSE)</f>
        <v>8688.86</v>
      </c>
      <c r="M1268" s="22" t="str">
        <f>VLOOKUP($A1268, 'Hospitalisation Details'!$A:$L, 12, FALSE)</f>
        <v>tier - 2</v>
      </c>
      <c r="N1268" s="22" t="str">
        <f>VLOOKUP($A1268, 'Hospitalisation Details'!$A:$M, 13, FALSE)</f>
        <v>tier - 1</v>
      </c>
      <c r="O1268" s="22" t="str">
        <f>VLOOKUP($A1268, 'Hospitalisation Details'!$A:$N, 14, FALSE)</f>
        <v>R1017</v>
      </c>
      <c r="P1268" s="36">
        <f>VLOOKUP($A1268, 'Hospitalisation Details'!$A:$O, 15, FALSE)</f>
        <v>49</v>
      </c>
    </row>
    <row r="1269" ht="15.75" customHeight="1">
      <c r="A1269" s="33" t="s">
        <v>2537</v>
      </c>
      <c r="B1269" s="22" t="str">
        <f>VLOOKUP($A1269,'Customer Names'!$A:$D,3, FALSE)</f>
        <v>Godoy</v>
      </c>
      <c r="C1269" s="22">
        <f>VLOOKUP($A1269,'Medical Examinations'!$A:$D, 2, FALSE)</f>
        <v>36.575</v>
      </c>
      <c r="D1269" s="22">
        <f>VLOOKUP($A1269, 'Medical Examinations'!$A:$D,3, FALSE)</f>
        <v>10.98</v>
      </c>
      <c r="E1269" s="22" t="str">
        <f>VLOOKUP($A1269, 'Medical Examinations'!$A:$D, 4, FALSE)</f>
        <v>No</v>
      </c>
      <c r="F1269" s="22" t="str">
        <f>VLOOKUP($A1269, 'Medical Examinations'!$A:$J, 5, FALSE)</f>
        <v>No</v>
      </c>
      <c r="G1269" s="22" t="str">
        <f>VLOOKUP($A1269, 'Medical Examinations'!$A:$I, 6, FALSE)</f>
        <v>No</v>
      </c>
      <c r="H1269" s="22">
        <f>VLOOKUP($A1269,'Medical Examinations'!$A:$L,10, FALSE)</f>
        <v>0</v>
      </c>
      <c r="I1269" s="22" t="str">
        <f>VLOOKUP($A1269, 'Medical Examinations'!$A:$J, 9, FALSE)</f>
        <v>No</v>
      </c>
      <c r="J1269" s="22" t="str">
        <f>VLOOKUP($A1269, 'Medical Examinations'!$A:$P, 11, FALSE)</f>
        <v>OBESITY</v>
      </c>
      <c r="K1269" s="34">
        <v>37894.0</v>
      </c>
      <c r="L1269" s="35">
        <f>VLOOKUP($A1269, 'Hospitalisation Details'!$A:$H, 7, FALSE)</f>
        <v>8671.19</v>
      </c>
      <c r="M1269" s="22" t="str">
        <f>VLOOKUP($A1269, 'Hospitalisation Details'!$A:$L, 12, FALSE)</f>
        <v>tier - 2</v>
      </c>
      <c r="N1269" s="22" t="str">
        <f>VLOOKUP($A1269, 'Hospitalisation Details'!$A:$M, 13, FALSE)</f>
        <v>tier - 1</v>
      </c>
      <c r="O1269" s="22" t="str">
        <f>VLOOKUP($A1269, 'Hospitalisation Details'!$A:$N, 14, FALSE)</f>
        <v>R1012</v>
      </c>
      <c r="P1269" s="36">
        <f>VLOOKUP($A1269, 'Hospitalisation Details'!$A:$O, 15, FALSE)</f>
        <v>48</v>
      </c>
    </row>
    <row r="1270" ht="15.75" customHeight="1">
      <c r="A1270" s="33" t="s">
        <v>2539</v>
      </c>
      <c r="B1270" s="22" t="str">
        <f>VLOOKUP($A1270,'Customer Names'!$A:$D,3, FALSE)</f>
        <v>Rider</v>
      </c>
      <c r="C1270" s="22">
        <f>VLOOKUP($A1270,'Medical Examinations'!$A:$D, 2, FALSE)</f>
        <v>23.66</v>
      </c>
      <c r="D1270" s="22">
        <f>VLOOKUP($A1270, 'Medical Examinations'!$A:$D,3, FALSE)</f>
        <v>5.11</v>
      </c>
      <c r="E1270" s="22" t="str">
        <f>VLOOKUP($A1270, 'Medical Examinations'!$A:$D, 4, FALSE)</f>
        <v>Yes</v>
      </c>
      <c r="F1270" s="22" t="str">
        <f>VLOOKUP($A1270, 'Medical Examinations'!$A:$J, 5, FALSE)</f>
        <v>No</v>
      </c>
      <c r="G1270" s="22" t="str">
        <f>VLOOKUP($A1270, 'Medical Examinations'!$A:$I, 6, FALSE)</f>
        <v>Yes</v>
      </c>
      <c r="H1270" s="22">
        <f>VLOOKUP($A1270,'Medical Examinations'!$A:$L,10, FALSE)</f>
        <v>1</v>
      </c>
      <c r="I1270" s="22" t="str">
        <f>VLOOKUP($A1270, 'Medical Examinations'!$A:$J, 9, FALSE)</f>
        <v>No</v>
      </c>
      <c r="J1270" s="22" t="str">
        <f>VLOOKUP($A1270, 'Medical Examinations'!$A:$P, 11, FALSE)</f>
        <v>NORMAL WEIGHT</v>
      </c>
      <c r="K1270" s="34">
        <v>32710.0</v>
      </c>
      <c r="L1270" s="35">
        <f>VLOOKUP($A1270, 'Hospitalisation Details'!$A:$H, 7, FALSE)</f>
        <v>8665.14</v>
      </c>
      <c r="M1270" s="22" t="str">
        <f>VLOOKUP($A1270, 'Hospitalisation Details'!$A:$L, 12, FALSE)</f>
        <v>tier - 2</v>
      </c>
      <c r="N1270" s="22" t="str">
        <f>VLOOKUP($A1270, 'Hospitalisation Details'!$A:$M, 13, FALSE)</f>
        <v>tier - 3</v>
      </c>
      <c r="O1270" s="22" t="str">
        <f>VLOOKUP($A1270, 'Hospitalisation Details'!$A:$N, 14, FALSE)</f>
        <v>R1013</v>
      </c>
      <c r="P1270" s="36">
        <f>VLOOKUP($A1270, 'Hospitalisation Details'!$A:$O, 15, FALSE)</f>
        <v>53</v>
      </c>
    </row>
    <row r="1271" ht="15.75" customHeight="1">
      <c r="A1271" s="33" t="s">
        <v>2541</v>
      </c>
      <c r="B1271" s="22" t="str">
        <f>VLOOKUP($A1271,'Customer Names'!$A:$D,3, FALSE)</f>
        <v>Evans</v>
      </c>
      <c r="C1271" s="22">
        <f>VLOOKUP($A1271,'Medical Examinations'!$A:$D, 2, FALSE)</f>
        <v>18.62</v>
      </c>
      <c r="D1271" s="22">
        <f>VLOOKUP($A1271, 'Medical Examinations'!$A:$D,3, FALSE)</f>
        <v>10.24</v>
      </c>
      <c r="E1271" s="22" t="str">
        <f>VLOOKUP($A1271, 'Medical Examinations'!$A:$D, 4, FALSE)</f>
        <v>No</v>
      </c>
      <c r="F1271" s="22" t="str">
        <f>VLOOKUP($A1271, 'Medical Examinations'!$A:$J, 5, FALSE)</f>
        <v>No</v>
      </c>
      <c r="G1271" s="22" t="str">
        <f>VLOOKUP($A1271, 'Medical Examinations'!$A:$I, 6, FALSE)</f>
        <v>No</v>
      </c>
      <c r="H1271" s="22">
        <f>VLOOKUP($A1271,'Medical Examinations'!$A:$L,10, FALSE)</f>
        <v>0</v>
      </c>
      <c r="I1271" s="22" t="str">
        <f>VLOOKUP($A1271, 'Medical Examinations'!$A:$J, 9, FALSE)</f>
        <v>No</v>
      </c>
      <c r="J1271" s="22" t="str">
        <f>VLOOKUP($A1271, 'Medical Examinations'!$A:$P, 11, FALSE)</f>
        <v>NORMAL WEIGHT</v>
      </c>
      <c r="K1271" s="34">
        <v>37223.0</v>
      </c>
      <c r="L1271" s="35">
        <f>VLOOKUP($A1271, 'Hospitalisation Details'!$A:$H, 7, FALSE)</f>
        <v>8665.09</v>
      </c>
      <c r="M1271" s="22" t="str">
        <f>VLOOKUP($A1271, 'Hospitalisation Details'!$A:$L, 12, FALSE)</f>
        <v>tier - 3</v>
      </c>
      <c r="N1271" s="22" t="str">
        <f>VLOOKUP($A1271, 'Hospitalisation Details'!$A:$M, 13, FALSE)</f>
        <v>tier - 2</v>
      </c>
      <c r="O1271" s="22" t="str">
        <f>VLOOKUP($A1271, 'Hospitalisation Details'!$A:$N, 14, FALSE)</f>
        <v>R1012</v>
      </c>
      <c r="P1271" s="36">
        <f>VLOOKUP($A1271, 'Hospitalisation Details'!$A:$O, 15, FALSE)</f>
        <v>57</v>
      </c>
    </row>
    <row r="1272" ht="15.75" customHeight="1">
      <c r="A1272" s="33" t="s">
        <v>2543</v>
      </c>
      <c r="B1272" s="22" t="str">
        <f>VLOOKUP($A1272,'Customer Names'!$A:$D,3, FALSE)</f>
        <v>Anderson</v>
      </c>
      <c r="C1272" s="22">
        <f>VLOOKUP($A1272,'Medical Examinations'!$A:$D, 2, FALSE)</f>
        <v>19.19</v>
      </c>
      <c r="D1272" s="22">
        <f>VLOOKUP($A1272, 'Medical Examinations'!$A:$D,3, FALSE)</f>
        <v>7.71</v>
      </c>
      <c r="E1272" s="22" t="str">
        <f>VLOOKUP($A1272, 'Medical Examinations'!$A:$D, 4, FALSE)</f>
        <v>Yes</v>
      </c>
      <c r="F1272" s="22" t="str">
        <f>VLOOKUP($A1272, 'Medical Examinations'!$A:$J, 5, FALSE)</f>
        <v>No</v>
      </c>
      <c r="G1272" s="22" t="str">
        <f>VLOOKUP($A1272, 'Medical Examinations'!$A:$I, 6, FALSE)</f>
        <v>No</v>
      </c>
      <c r="H1272" s="22">
        <f>VLOOKUP($A1272,'Medical Examinations'!$A:$L,10, FALSE)</f>
        <v>1</v>
      </c>
      <c r="I1272" s="22" t="str">
        <f>VLOOKUP($A1272, 'Medical Examinations'!$A:$J, 9, FALSE)</f>
        <v>No</v>
      </c>
      <c r="J1272" s="22" t="str">
        <f>VLOOKUP($A1272, 'Medical Examinations'!$A:$P, 11, FALSE)</f>
        <v>NORMAL WEIGHT</v>
      </c>
      <c r="K1272" s="34">
        <v>37064.0</v>
      </c>
      <c r="L1272" s="35">
        <f>VLOOKUP($A1272, 'Hospitalisation Details'!$A:$H, 7, FALSE)</f>
        <v>8627.54</v>
      </c>
      <c r="M1272" s="22" t="str">
        <f>VLOOKUP($A1272, 'Hospitalisation Details'!$A:$L, 12, FALSE)</f>
        <v>tier - 2</v>
      </c>
      <c r="N1272" s="22" t="str">
        <f>VLOOKUP($A1272, 'Hospitalisation Details'!$A:$M, 13, FALSE)</f>
        <v>tier - 2</v>
      </c>
      <c r="O1272" s="22" t="str">
        <f>VLOOKUP($A1272, 'Hospitalisation Details'!$A:$N, 14, FALSE)</f>
        <v>R1017</v>
      </c>
      <c r="P1272" s="36">
        <f>VLOOKUP($A1272, 'Hospitalisation Details'!$A:$O, 15, FALSE)</f>
        <v>47</v>
      </c>
    </row>
    <row r="1273" ht="15.75" customHeight="1">
      <c r="A1273" s="33" t="s">
        <v>2545</v>
      </c>
      <c r="B1273" s="22" t="str">
        <f>VLOOKUP($A1273,'Customer Names'!$A:$D,3, FALSE)</f>
        <v>Walters</v>
      </c>
      <c r="C1273" s="22">
        <f>VLOOKUP($A1273,'Medical Examinations'!$A:$D, 2, FALSE)</f>
        <v>27.5</v>
      </c>
      <c r="D1273" s="22">
        <f>VLOOKUP($A1273, 'Medical Examinations'!$A:$D,3, FALSE)</f>
        <v>6.03</v>
      </c>
      <c r="E1273" s="22" t="str">
        <f>VLOOKUP($A1273, 'Medical Examinations'!$A:$D, 4, FALSE)</f>
        <v>No</v>
      </c>
      <c r="F1273" s="22" t="str">
        <f>VLOOKUP($A1273, 'Medical Examinations'!$A:$J, 5, FALSE)</f>
        <v>No</v>
      </c>
      <c r="G1273" s="22" t="str">
        <f>VLOOKUP($A1273, 'Medical Examinations'!$A:$I, 6, FALSE)</f>
        <v>No</v>
      </c>
      <c r="H1273" s="22">
        <f>VLOOKUP($A1273,'Medical Examinations'!$A:$L,10, FALSE)</f>
        <v>0</v>
      </c>
      <c r="I1273" s="22" t="str">
        <f>VLOOKUP($A1273, 'Medical Examinations'!$A:$J, 9, FALSE)</f>
        <v>No</v>
      </c>
      <c r="J1273" s="22" t="str">
        <f>VLOOKUP($A1273, 'Medical Examinations'!$A:$P, 11, FALSE)</f>
        <v>OVERWEIGHT</v>
      </c>
      <c r="K1273" s="34">
        <v>37117.0</v>
      </c>
      <c r="L1273" s="35">
        <f>VLOOKUP($A1273, 'Hospitalisation Details'!$A:$H, 7, FALSE)</f>
        <v>8615.3</v>
      </c>
      <c r="M1273" s="22" t="str">
        <f>VLOOKUP($A1273, 'Hospitalisation Details'!$A:$L, 12, FALSE)</f>
        <v>tier - 2</v>
      </c>
      <c r="N1273" s="22" t="str">
        <f>VLOOKUP($A1273, 'Hospitalisation Details'!$A:$M, 13, FALSE)</f>
        <v>tier - 3</v>
      </c>
      <c r="O1273" s="22" t="str">
        <f>VLOOKUP($A1273, 'Hospitalisation Details'!$A:$N, 14, FALSE)</f>
        <v>R1011</v>
      </c>
      <c r="P1273" s="36">
        <f>VLOOKUP($A1273, 'Hospitalisation Details'!$A:$O, 15, FALSE)</f>
        <v>45</v>
      </c>
    </row>
    <row r="1274" ht="15.75" customHeight="1">
      <c r="A1274" s="33" t="s">
        <v>2547</v>
      </c>
      <c r="B1274" s="22" t="str">
        <f>VLOOKUP($A1274,'Customer Names'!$A:$D,3, FALSE)</f>
        <v>Leboeuf</v>
      </c>
      <c r="C1274" s="22">
        <f>VLOOKUP($A1274,'Medical Examinations'!$A:$D, 2, FALSE)</f>
        <v>27.36</v>
      </c>
      <c r="D1274" s="22">
        <f>VLOOKUP($A1274, 'Medical Examinations'!$A:$D,3, FALSE)</f>
        <v>5.96</v>
      </c>
      <c r="E1274" s="22" t="str">
        <f>VLOOKUP($A1274, 'Medical Examinations'!$A:$D, 4, FALSE)</f>
        <v>No</v>
      </c>
      <c r="F1274" s="22" t="str">
        <f>VLOOKUP($A1274, 'Medical Examinations'!$A:$J, 5, FALSE)</f>
        <v>No</v>
      </c>
      <c r="G1274" s="22" t="str">
        <f>VLOOKUP($A1274, 'Medical Examinations'!$A:$I, 6, FALSE)</f>
        <v>Yes</v>
      </c>
      <c r="H1274" s="22">
        <f>VLOOKUP($A1274,'Medical Examinations'!$A:$L,10, FALSE)</f>
        <v>1</v>
      </c>
      <c r="I1274" s="22" t="str">
        <f>VLOOKUP($A1274, 'Medical Examinations'!$A:$J, 9, FALSE)</f>
        <v>No</v>
      </c>
      <c r="J1274" s="22" t="str">
        <f>VLOOKUP($A1274, 'Medical Examinations'!$A:$P, 11, FALSE)</f>
        <v>OVERWEIGHT</v>
      </c>
      <c r="K1274" s="34">
        <v>38150.0</v>
      </c>
      <c r="L1274" s="35">
        <f>VLOOKUP($A1274, 'Hospitalisation Details'!$A:$H, 7, FALSE)</f>
        <v>8606.22</v>
      </c>
      <c r="M1274" s="22" t="str">
        <f>VLOOKUP($A1274, 'Hospitalisation Details'!$A:$L, 12, FALSE)</f>
        <v>tier - 1</v>
      </c>
      <c r="N1274" s="22" t="str">
        <f>VLOOKUP($A1274, 'Hospitalisation Details'!$A:$M, 13, FALSE)</f>
        <v>tier - 2</v>
      </c>
      <c r="O1274" s="22" t="str">
        <f>VLOOKUP($A1274, 'Hospitalisation Details'!$A:$N, 14, FALSE)</f>
        <v>R1014</v>
      </c>
      <c r="P1274" s="36">
        <f>VLOOKUP($A1274, 'Hospitalisation Details'!$A:$O, 15, FALSE)</f>
        <v>43</v>
      </c>
    </row>
    <row r="1275" ht="15.75" customHeight="1">
      <c r="A1275" s="33" t="s">
        <v>2549</v>
      </c>
      <c r="B1275" s="22" t="str">
        <f>VLOOKUP($A1275,'Customer Names'!$A:$D,3, FALSE)</f>
        <v>Scheibel</v>
      </c>
      <c r="C1275" s="22">
        <f>VLOOKUP($A1275,'Medical Examinations'!$A:$D, 2, FALSE)</f>
        <v>20.35</v>
      </c>
      <c r="D1275" s="22">
        <f>VLOOKUP($A1275, 'Medical Examinations'!$A:$D,3, FALSE)</f>
        <v>4.16</v>
      </c>
      <c r="E1275" s="22" t="str">
        <f>VLOOKUP($A1275, 'Medical Examinations'!$A:$D, 4, FALSE)</f>
        <v>No</v>
      </c>
      <c r="F1275" s="22" t="str">
        <f>VLOOKUP($A1275, 'Medical Examinations'!$A:$J, 5, FALSE)</f>
        <v>No</v>
      </c>
      <c r="G1275" s="22" t="str">
        <f>VLOOKUP($A1275, 'Medical Examinations'!$A:$I, 6, FALSE)</f>
        <v>No</v>
      </c>
      <c r="H1275" s="22">
        <f>VLOOKUP($A1275,'Medical Examinations'!$A:$L,10, FALSE)</f>
        <v>0</v>
      </c>
      <c r="I1275" s="22" t="str">
        <f>VLOOKUP($A1275, 'Medical Examinations'!$A:$J, 9, FALSE)</f>
        <v>No</v>
      </c>
      <c r="J1275" s="22" t="str">
        <f>VLOOKUP($A1275, 'Medical Examinations'!$A:$P, 11, FALSE)</f>
        <v>NORMAL WEIGHT</v>
      </c>
      <c r="K1275" s="34">
        <v>36733.0</v>
      </c>
      <c r="L1275" s="35">
        <f>VLOOKUP($A1275, 'Hospitalisation Details'!$A:$H, 7, FALSE)</f>
        <v>8605.36</v>
      </c>
      <c r="M1275" s="22" t="str">
        <f>VLOOKUP($A1275, 'Hospitalisation Details'!$A:$L, 12, FALSE)</f>
        <v>tier - 2</v>
      </c>
      <c r="N1275" s="22" t="str">
        <f>VLOOKUP($A1275, 'Hospitalisation Details'!$A:$M, 13, FALSE)</f>
        <v>tier - 2</v>
      </c>
      <c r="O1275" s="22" t="str">
        <f>VLOOKUP($A1275, 'Hospitalisation Details'!$A:$N, 14, FALSE)</f>
        <v>R1013</v>
      </c>
      <c r="P1275" s="36">
        <f>VLOOKUP($A1275, 'Hospitalisation Details'!$A:$O, 15, FALSE)</f>
        <v>45</v>
      </c>
    </row>
    <row r="1276" ht="15.75" customHeight="1">
      <c r="A1276" s="33" t="s">
        <v>2551</v>
      </c>
      <c r="B1276" s="22" t="str">
        <f>VLOOKUP($A1276,'Customer Names'!$A:$D,3, FALSE)</f>
        <v>Ritter</v>
      </c>
      <c r="C1276" s="22">
        <f>VLOOKUP($A1276,'Medical Examinations'!$A:$D, 2, FALSE)</f>
        <v>24.035</v>
      </c>
      <c r="D1276" s="22">
        <f>VLOOKUP($A1276, 'Medical Examinations'!$A:$D,3, FALSE)</f>
        <v>6.11</v>
      </c>
      <c r="E1276" s="22" t="str">
        <f>VLOOKUP($A1276, 'Medical Examinations'!$A:$D, 4, FALSE)</f>
        <v>No</v>
      </c>
      <c r="F1276" s="22" t="str">
        <f>VLOOKUP($A1276, 'Medical Examinations'!$A:$J, 5, FALSE)</f>
        <v>No</v>
      </c>
      <c r="G1276" s="22" t="str">
        <f>VLOOKUP($A1276, 'Medical Examinations'!$A:$I, 6, FALSE)</f>
        <v>No</v>
      </c>
      <c r="H1276" s="22">
        <f>VLOOKUP($A1276,'Medical Examinations'!$A:$L,10, FALSE)</f>
        <v>0</v>
      </c>
      <c r="I1276" s="22" t="str">
        <f>VLOOKUP($A1276, 'Medical Examinations'!$A:$J, 9, FALSE)</f>
        <v>No</v>
      </c>
      <c r="J1276" s="22" t="str">
        <f>VLOOKUP($A1276, 'Medical Examinations'!$A:$P, 11, FALSE)</f>
        <v>NORMAL WEIGHT</v>
      </c>
      <c r="K1276" s="34">
        <v>26964.0</v>
      </c>
      <c r="L1276" s="35">
        <f>VLOOKUP($A1276, 'Hospitalisation Details'!$A:$H, 7, FALSE)</f>
        <v>8604.48</v>
      </c>
      <c r="M1276" s="22" t="str">
        <f>VLOOKUP($A1276, 'Hospitalisation Details'!$A:$L, 12, FALSE)</f>
        <v>tier - 3</v>
      </c>
      <c r="N1276" s="22" t="str">
        <f>VLOOKUP($A1276, 'Hospitalisation Details'!$A:$M, 13, FALSE)</f>
        <v>tier - 2</v>
      </c>
      <c r="O1276" s="22" t="str">
        <f>VLOOKUP($A1276, 'Hospitalisation Details'!$A:$N, 14, FALSE)</f>
        <v>R1016</v>
      </c>
      <c r="P1276" s="36">
        <f>VLOOKUP($A1276, 'Hospitalisation Details'!$A:$O, 15, FALSE)</f>
        <v>45</v>
      </c>
    </row>
    <row r="1277" ht="15.75" customHeight="1">
      <c r="A1277" s="33" t="s">
        <v>2553</v>
      </c>
      <c r="B1277" s="22" t="str">
        <f>VLOOKUP($A1277,'Customer Names'!$A:$D,3, FALSE)</f>
        <v>Deeg</v>
      </c>
      <c r="C1277" s="22">
        <f>VLOOKUP($A1277,'Medical Examinations'!$A:$D, 2, FALSE)</f>
        <v>23.56</v>
      </c>
      <c r="D1277" s="22">
        <f>VLOOKUP($A1277, 'Medical Examinations'!$A:$D,3, FALSE)</f>
        <v>5.97</v>
      </c>
      <c r="E1277" s="22" t="str">
        <f>VLOOKUP($A1277, 'Medical Examinations'!$A:$D, 4, FALSE)</f>
        <v>No</v>
      </c>
      <c r="F1277" s="22" t="str">
        <f>VLOOKUP($A1277, 'Medical Examinations'!$A:$J, 5, FALSE)</f>
        <v>No</v>
      </c>
      <c r="G1277" s="22" t="str">
        <f>VLOOKUP($A1277, 'Medical Examinations'!$A:$I, 6, FALSE)</f>
        <v>No</v>
      </c>
      <c r="H1277" s="22">
        <f>VLOOKUP($A1277,'Medical Examinations'!$A:$L,10, FALSE)</f>
        <v>0</v>
      </c>
      <c r="I1277" s="22" t="str">
        <f>VLOOKUP($A1277, 'Medical Examinations'!$A:$J, 9, FALSE)</f>
        <v>No</v>
      </c>
      <c r="J1277" s="22" t="str">
        <f>VLOOKUP($A1277, 'Medical Examinations'!$A:$P, 11, FALSE)</f>
        <v>NORMAL WEIGHT</v>
      </c>
      <c r="K1277" s="34">
        <v>36771.0</v>
      </c>
      <c r="L1277" s="35">
        <f>VLOOKUP($A1277, 'Hospitalisation Details'!$A:$H, 7, FALSE)</f>
        <v>8603.82</v>
      </c>
      <c r="M1277" s="22" t="str">
        <f>VLOOKUP($A1277, 'Hospitalisation Details'!$A:$L, 12, FALSE)</f>
        <v>tier - 2</v>
      </c>
      <c r="N1277" s="22" t="str">
        <f>VLOOKUP($A1277, 'Hospitalisation Details'!$A:$M, 13, FALSE)</f>
        <v>tier - 1</v>
      </c>
      <c r="O1277" s="22" t="str">
        <f>VLOOKUP($A1277, 'Hospitalisation Details'!$A:$N, 14, FALSE)</f>
        <v>R1019</v>
      </c>
      <c r="P1277" s="36">
        <f>VLOOKUP($A1277, 'Hospitalisation Details'!$A:$O, 15, FALSE)</f>
        <v>45</v>
      </c>
    </row>
    <row r="1278" ht="15.75" customHeight="1">
      <c r="A1278" s="33" t="s">
        <v>2555</v>
      </c>
      <c r="B1278" s="22" t="str">
        <f>VLOOKUP($A1278,'Customer Names'!$A:$D,3, FALSE)</f>
        <v>Pretot</v>
      </c>
      <c r="C1278" s="22">
        <f>VLOOKUP($A1278,'Medical Examinations'!$A:$D, 2, FALSE)</f>
        <v>27.17</v>
      </c>
      <c r="D1278" s="22">
        <f>VLOOKUP($A1278, 'Medical Examinations'!$A:$D,3, FALSE)</f>
        <v>10.81</v>
      </c>
      <c r="E1278" s="22" t="str">
        <f>VLOOKUP($A1278, 'Medical Examinations'!$A:$D, 4, FALSE)</f>
        <v>No</v>
      </c>
      <c r="F1278" s="22" t="str">
        <f>VLOOKUP($A1278, 'Medical Examinations'!$A:$J, 5, FALSE)</f>
        <v>No</v>
      </c>
      <c r="G1278" s="22" t="str">
        <f>VLOOKUP($A1278, 'Medical Examinations'!$A:$I, 6, FALSE)</f>
        <v>No</v>
      </c>
      <c r="H1278" s="22">
        <f>VLOOKUP($A1278,'Medical Examinations'!$A:$L,10, FALSE)</f>
        <v>2</v>
      </c>
      <c r="I1278" s="22" t="str">
        <f>VLOOKUP($A1278, 'Medical Examinations'!$A:$J, 9, FALSE)</f>
        <v>No</v>
      </c>
      <c r="J1278" s="22" t="str">
        <f>VLOOKUP($A1278, 'Medical Examinations'!$A:$P, 11, FALSE)</f>
        <v>OVERWEIGHT</v>
      </c>
      <c r="K1278" s="34">
        <v>37107.0</v>
      </c>
      <c r="L1278" s="35">
        <f>VLOOKUP($A1278, 'Hospitalisation Details'!$A:$H, 7, FALSE)</f>
        <v>8601.33</v>
      </c>
      <c r="M1278" s="22" t="str">
        <f>VLOOKUP($A1278, 'Hospitalisation Details'!$A:$L, 12, FALSE)</f>
        <v>tier - 2</v>
      </c>
      <c r="N1278" s="22" t="str">
        <f>VLOOKUP($A1278, 'Hospitalisation Details'!$A:$M, 13, FALSE)</f>
        <v>tier - 1</v>
      </c>
      <c r="O1278" s="22" t="str">
        <f>VLOOKUP($A1278, 'Hospitalisation Details'!$A:$N, 14, FALSE)</f>
        <v>R1013</v>
      </c>
      <c r="P1278" s="36">
        <f>VLOOKUP($A1278, 'Hospitalisation Details'!$A:$O, 15, FALSE)</f>
        <v>49</v>
      </c>
    </row>
    <row r="1279" ht="15.75" customHeight="1">
      <c r="A1279" s="33" t="s">
        <v>2557</v>
      </c>
      <c r="B1279" s="22" t="str">
        <f>VLOOKUP($A1279,'Customer Names'!$A:$D,3, FALSE)</f>
        <v>Willsey</v>
      </c>
      <c r="C1279" s="22">
        <f>VLOOKUP($A1279,'Medical Examinations'!$A:$D, 2, FALSE)</f>
        <v>34.32</v>
      </c>
      <c r="D1279" s="22">
        <f>VLOOKUP($A1279, 'Medical Examinations'!$A:$D,3, FALSE)</f>
        <v>5.7</v>
      </c>
      <c r="E1279" s="22" t="str">
        <f>VLOOKUP($A1279, 'Medical Examinations'!$A:$D, 4, FALSE)</f>
        <v>Yes</v>
      </c>
      <c r="F1279" s="22" t="str">
        <f>VLOOKUP($A1279, 'Medical Examinations'!$A:$J, 5, FALSE)</f>
        <v>No</v>
      </c>
      <c r="G1279" s="22" t="str">
        <f>VLOOKUP($A1279, 'Medical Examinations'!$A:$I, 6, FALSE)</f>
        <v>Yes</v>
      </c>
      <c r="H1279" s="22">
        <f>VLOOKUP($A1279,'Medical Examinations'!$A:$L,10, FALSE)</f>
        <v>1</v>
      </c>
      <c r="I1279" s="22" t="str">
        <f>VLOOKUP($A1279, 'Medical Examinations'!$A:$J, 9, FALSE)</f>
        <v>No</v>
      </c>
      <c r="J1279" s="22" t="str">
        <f>VLOOKUP($A1279, 'Medical Examinations'!$A:$P, 11, FALSE)</f>
        <v>OBESITY</v>
      </c>
      <c r="K1279" s="34">
        <v>37140.0</v>
      </c>
      <c r="L1279" s="35">
        <f>VLOOKUP($A1279, 'Hospitalisation Details'!$A:$H, 7, FALSE)</f>
        <v>8596.83</v>
      </c>
      <c r="M1279" s="22" t="str">
        <f>VLOOKUP($A1279, 'Hospitalisation Details'!$A:$L, 12, FALSE)</f>
        <v>tier - 2</v>
      </c>
      <c r="N1279" s="22" t="str">
        <f>VLOOKUP($A1279, 'Hospitalisation Details'!$A:$M, 13, FALSE)</f>
        <v>tier - 3</v>
      </c>
      <c r="O1279" s="22" t="str">
        <f>VLOOKUP($A1279, 'Hospitalisation Details'!$A:$N, 14, FALSE)</f>
        <v>R1013</v>
      </c>
      <c r="P1279" s="36">
        <f>VLOOKUP($A1279, 'Hospitalisation Details'!$A:$O, 15, FALSE)</f>
        <v>39</v>
      </c>
    </row>
    <row r="1280" ht="15.75" customHeight="1">
      <c r="A1280" s="33" t="s">
        <v>2559</v>
      </c>
      <c r="B1280" s="22" t="str">
        <f>VLOOKUP($A1280,'Customer Names'!$A:$D,3, FALSE)</f>
        <v>Roach</v>
      </c>
      <c r="C1280" s="22">
        <f>VLOOKUP($A1280,'Medical Examinations'!$A:$D, 2, FALSE)</f>
        <v>23.87</v>
      </c>
      <c r="D1280" s="22">
        <f>VLOOKUP($A1280, 'Medical Examinations'!$A:$D,3, FALSE)</f>
        <v>4.77</v>
      </c>
      <c r="E1280" s="22" t="str">
        <f>VLOOKUP($A1280, 'Medical Examinations'!$A:$D, 4, FALSE)</f>
        <v>Yes</v>
      </c>
      <c r="F1280" s="22" t="str">
        <f>VLOOKUP($A1280, 'Medical Examinations'!$A:$J, 5, FALSE)</f>
        <v>No</v>
      </c>
      <c r="G1280" s="22" t="str">
        <f>VLOOKUP($A1280, 'Medical Examinations'!$A:$I, 6, FALSE)</f>
        <v>Yes</v>
      </c>
      <c r="H1280" s="22">
        <f>VLOOKUP($A1280,'Medical Examinations'!$A:$L,10, FALSE)</f>
        <v>1</v>
      </c>
      <c r="I1280" s="22" t="str">
        <f>VLOOKUP($A1280, 'Medical Examinations'!$A:$J, 9, FALSE)</f>
        <v>No</v>
      </c>
      <c r="J1280" s="22" t="str">
        <f>VLOOKUP($A1280, 'Medical Examinations'!$A:$P, 11, FALSE)</f>
        <v>NORMAL WEIGHT</v>
      </c>
      <c r="K1280" s="34">
        <v>37073.0</v>
      </c>
      <c r="L1280" s="35">
        <f>VLOOKUP($A1280, 'Hospitalisation Details'!$A:$H, 7, FALSE)</f>
        <v>8582.3</v>
      </c>
      <c r="M1280" s="22" t="str">
        <f>VLOOKUP($A1280, 'Hospitalisation Details'!$A:$L, 12, FALSE)</f>
        <v>tier - 2</v>
      </c>
      <c r="N1280" s="22" t="str">
        <f>VLOOKUP($A1280, 'Hospitalisation Details'!$A:$M, 13, FALSE)</f>
        <v>tier - 1</v>
      </c>
      <c r="O1280" s="22" t="str">
        <f>VLOOKUP($A1280, 'Hospitalisation Details'!$A:$N, 14, FALSE)</f>
        <v>R1013</v>
      </c>
      <c r="P1280" s="36">
        <f>VLOOKUP($A1280, 'Hospitalisation Details'!$A:$O, 15, FALSE)</f>
        <v>39</v>
      </c>
    </row>
    <row r="1281" ht="15.75" customHeight="1">
      <c r="A1281" s="33" t="s">
        <v>2561</v>
      </c>
      <c r="B1281" s="22" t="str">
        <f>VLOOKUP($A1281,'Customer Names'!$A:$D,3, FALSE)</f>
        <v>Jacobsen</v>
      </c>
      <c r="C1281" s="22">
        <f>VLOOKUP($A1281,'Medical Examinations'!$A:$D, 2, FALSE)</f>
        <v>30.15</v>
      </c>
      <c r="D1281" s="22">
        <f>VLOOKUP($A1281, 'Medical Examinations'!$A:$D,3, FALSE)</f>
        <v>4.25</v>
      </c>
      <c r="E1281" s="22" t="str">
        <f>VLOOKUP($A1281, 'Medical Examinations'!$A:$D, 4, FALSE)</f>
        <v>No</v>
      </c>
      <c r="F1281" s="22" t="str">
        <f>VLOOKUP($A1281, 'Medical Examinations'!$A:$J, 5, FALSE)</f>
        <v>No</v>
      </c>
      <c r="G1281" s="22" t="str">
        <f>VLOOKUP($A1281, 'Medical Examinations'!$A:$I, 6, FALSE)</f>
        <v>No</v>
      </c>
      <c r="H1281" s="22">
        <f>VLOOKUP($A1281,'Medical Examinations'!$A:$L,10, FALSE)</f>
        <v>1</v>
      </c>
      <c r="I1281" s="22" t="str">
        <f>VLOOKUP($A1281, 'Medical Examinations'!$A:$J, 9, FALSE)</f>
        <v>No</v>
      </c>
      <c r="J1281" s="22" t="str">
        <f>VLOOKUP($A1281, 'Medical Examinations'!$A:$P, 11, FALSE)</f>
        <v>OBESITY</v>
      </c>
      <c r="K1281" s="34">
        <v>37117.0</v>
      </c>
      <c r="L1281" s="35">
        <f>VLOOKUP($A1281, 'Hospitalisation Details'!$A:$H, 7, FALSE)</f>
        <v>8573.3</v>
      </c>
      <c r="M1281" s="22" t="str">
        <f>VLOOKUP($A1281, 'Hospitalisation Details'!$A:$L, 12, FALSE)</f>
        <v>tier - 2</v>
      </c>
      <c r="N1281" s="22" t="str">
        <f>VLOOKUP($A1281, 'Hospitalisation Details'!$A:$M, 13, FALSE)</f>
        <v>tier - 2</v>
      </c>
      <c r="O1281" s="22" t="str">
        <f>VLOOKUP($A1281, 'Hospitalisation Details'!$A:$N, 14, FALSE)</f>
        <v>R1021</v>
      </c>
      <c r="P1281" s="36">
        <f>VLOOKUP($A1281, 'Hospitalisation Details'!$A:$O, 15, FALSE)</f>
        <v>35</v>
      </c>
    </row>
    <row r="1282" ht="15.75" customHeight="1">
      <c r="A1282" s="33" t="s">
        <v>2563</v>
      </c>
      <c r="B1282" s="22" t="str">
        <f>VLOOKUP($A1282,'Customer Names'!$A:$D,3, FALSE)</f>
        <v>O'Hora</v>
      </c>
      <c r="C1282" s="22">
        <f>VLOOKUP($A1282,'Medical Examinations'!$A:$D, 2, FALSE)</f>
        <v>26.36</v>
      </c>
      <c r="D1282" s="22">
        <f>VLOOKUP($A1282, 'Medical Examinations'!$A:$D,3, FALSE)</f>
        <v>5.52</v>
      </c>
      <c r="E1282" s="22" t="str">
        <f>VLOOKUP($A1282, 'Medical Examinations'!$A:$D, 4, FALSE)</f>
        <v>No</v>
      </c>
      <c r="F1282" s="22" t="str">
        <f>VLOOKUP($A1282, 'Medical Examinations'!$A:$J, 5, FALSE)</f>
        <v>No</v>
      </c>
      <c r="G1282" s="22" t="str">
        <f>VLOOKUP($A1282, 'Medical Examinations'!$A:$I, 6, FALSE)</f>
        <v>No</v>
      </c>
      <c r="H1282" s="22">
        <f>VLOOKUP($A1282,'Medical Examinations'!$A:$L,10, FALSE)</f>
        <v>0</v>
      </c>
      <c r="I1282" s="22" t="str">
        <f>VLOOKUP($A1282, 'Medical Examinations'!$A:$J, 9, FALSE)</f>
        <v>No</v>
      </c>
      <c r="J1282" s="22" t="str">
        <f>VLOOKUP($A1282, 'Medical Examinations'!$A:$P, 11, FALSE)</f>
        <v>OVERWEIGHT</v>
      </c>
      <c r="K1282" s="34">
        <v>36052.0</v>
      </c>
      <c r="L1282" s="35">
        <f>VLOOKUP($A1282, 'Hospitalisation Details'!$A:$H, 7, FALSE)</f>
        <v>8572.04</v>
      </c>
      <c r="M1282" s="22" t="str">
        <f>VLOOKUP($A1282, 'Hospitalisation Details'!$A:$L, 12, FALSE)</f>
        <v>tier - 2</v>
      </c>
      <c r="N1282" s="22" t="str">
        <f>VLOOKUP($A1282, 'Hospitalisation Details'!$A:$M, 13, FALSE)</f>
        <v>tier - 2</v>
      </c>
      <c r="O1282" s="22" t="str">
        <f>VLOOKUP($A1282, 'Hospitalisation Details'!$A:$N, 14, FALSE)</f>
        <v>R1021</v>
      </c>
      <c r="P1282" s="36">
        <f>VLOOKUP($A1282, 'Hospitalisation Details'!$A:$O, 15, FALSE)</f>
        <v>40</v>
      </c>
    </row>
    <row r="1283" ht="15.75" customHeight="1">
      <c r="A1283" s="33" t="s">
        <v>2565</v>
      </c>
      <c r="B1283" s="22" t="str">
        <f>VLOOKUP($A1283,'Customer Names'!$A:$D,3, FALSE)</f>
        <v>Amato</v>
      </c>
      <c r="C1283" s="22">
        <f>VLOOKUP($A1283,'Medical Examinations'!$A:$D, 2, FALSE)</f>
        <v>45.32</v>
      </c>
      <c r="D1283" s="22">
        <f>VLOOKUP($A1283, 'Medical Examinations'!$A:$D,3, FALSE)</f>
        <v>6.53</v>
      </c>
      <c r="E1283" s="22" t="str">
        <f>VLOOKUP($A1283, 'Medical Examinations'!$A:$D, 4, FALSE)</f>
        <v>Yes</v>
      </c>
      <c r="F1283" s="22" t="str">
        <f>VLOOKUP($A1283, 'Medical Examinations'!$A:$J, 5, FALSE)</f>
        <v>No</v>
      </c>
      <c r="G1283" s="22" t="str">
        <f>VLOOKUP($A1283, 'Medical Examinations'!$A:$I, 6, FALSE)</f>
        <v>No</v>
      </c>
      <c r="H1283" s="22">
        <f>VLOOKUP($A1283,'Medical Examinations'!$A:$L,10, FALSE)</f>
        <v>1</v>
      </c>
      <c r="I1283" s="22" t="str">
        <f>VLOOKUP($A1283, 'Medical Examinations'!$A:$J, 9, FALSE)</f>
        <v>No</v>
      </c>
      <c r="J1283" s="22" t="str">
        <f>VLOOKUP($A1283, 'Medical Examinations'!$A:$P, 11, FALSE)</f>
        <v>OBESITY</v>
      </c>
      <c r="K1283" s="34">
        <v>37528.0</v>
      </c>
      <c r="L1283" s="35">
        <f>VLOOKUP($A1283, 'Hospitalisation Details'!$A:$H, 7, FALSE)</f>
        <v>8569.86</v>
      </c>
      <c r="M1283" s="22" t="str">
        <f>VLOOKUP($A1283, 'Hospitalisation Details'!$A:$L, 12, FALSE)</f>
        <v>tier - 2</v>
      </c>
      <c r="N1283" s="22" t="str">
        <f>VLOOKUP($A1283, 'Hospitalisation Details'!$A:$M, 13, FALSE)</f>
        <v>tier - 3</v>
      </c>
      <c r="O1283" s="22" t="str">
        <f>VLOOKUP($A1283, 'Hospitalisation Details'!$A:$N, 14, FALSE)</f>
        <v>R1013</v>
      </c>
      <c r="P1283" s="36">
        <f>VLOOKUP($A1283, 'Hospitalisation Details'!$A:$O, 15, FALSE)</f>
        <v>47</v>
      </c>
    </row>
    <row r="1284" ht="15.75" customHeight="1">
      <c r="A1284" s="33" t="s">
        <v>2567</v>
      </c>
      <c r="B1284" s="22" t="str">
        <f>VLOOKUP($A1284,'Customer Names'!$A:$D,3, FALSE)</f>
        <v>Reed</v>
      </c>
      <c r="C1284" s="22">
        <f>VLOOKUP($A1284,'Medical Examinations'!$A:$D, 2, FALSE)</f>
        <v>31.93</v>
      </c>
      <c r="D1284" s="22">
        <f>VLOOKUP($A1284, 'Medical Examinations'!$A:$D,3, FALSE)</f>
        <v>4.82</v>
      </c>
      <c r="E1284" s="22" t="str">
        <f>VLOOKUP($A1284, 'Medical Examinations'!$A:$D, 4, FALSE)</f>
        <v>Yes</v>
      </c>
      <c r="F1284" s="22" t="str">
        <f>VLOOKUP($A1284, 'Medical Examinations'!$A:$J, 5, FALSE)</f>
        <v>No</v>
      </c>
      <c r="G1284" s="22" t="str">
        <f>VLOOKUP($A1284, 'Medical Examinations'!$A:$I, 6, FALSE)</f>
        <v>No</v>
      </c>
      <c r="H1284" s="22">
        <f>VLOOKUP($A1284,'Medical Examinations'!$A:$L,10, FALSE)</f>
        <v>1</v>
      </c>
      <c r="I1284" s="22" t="str">
        <f>VLOOKUP($A1284, 'Medical Examinations'!$A:$J, 9, FALSE)</f>
        <v>No</v>
      </c>
      <c r="J1284" s="22" t="str">
        <f>VLOOKUP($A1284, 'Medical Examinations'!$A:$P, 11, FALSE)</f>
        <v>OBESITY</v>
      </c>
      <c r="K1284" s="34">
        <v>36158.0</v>
      </c>
      <c r="L1284" s="35">
        <f>VLOOKUP($A1284, 'Hospitalisation Details'!$A:$H, 7, FALSE)</f>
        <v>8567.25</v>
      </c>
      <c r="M1284" s="22" t="str">
        <f>VLOOKUP($A1284, 'Hospitalisation Details'!$A:$L, 12, FALSE)</f>
        <v>tier - 2</v>
      </c>
      <c r="N1284" s="22" t="str">
        <f>VLOOKUP($A1284, 'Hospitalisation Details'!$A:$M, 13, FALSE)</f>
        <v>tier - 1</v>
      </c>
      <c r="O1284" s="22" t="str">
        <f>VLOOKUP($A1284, 'Hospitalisation Details'!$A:$N, 14, FALSE)</f>
        <v>R1012</v>
      </c>
      <c r="P1284" s="36">
        <f>VLOOKUP($A1284, 'Hospitalisation Details'!$A:$O, 15, FALSE)</f>
        <v>34</v>
      </c>
    </row>
    <row r="1285" ht="15.75" customHeight="1">
      <c r="A1285" s="33" t="s">
        <v>2569</v>
      </c>
      <c r="B1285" s="22" t="str">
        <f>VLOOKUP($A1285,'Customer Names'!$A:$D,3, FALSE)</f>
        <v>Wegner</v>
      </c>
      <c r="C1285" s="22">
        <f>VLOOKUP($A1285,'Medical Examinations'!$A:$D, 2, FALSE)</f>
        <v>36</v>
      </c>
      <c r="D1285" s="22">
        <f>VLOOKUP($A1285, 'Medical Examinations'!$A:$D,3, FALSE)</f>
        <v>11.94</v>
      </c>
      <c r="E1285" s="22" t="str">
        <f>VLOOKUP($A1285, 'Medical Examinations'!$A:$D, 4, FALSE)</f>
        <v>Yes</v>
      </c>
      <c r="F1285" s="22" t="str">
        <f>VLOOKUP($A1285, 'Medical Examinations'!$A:$J, 5, FALSE)</f>
        <v>No</v>
      </c>
      <c r="G1285" s="22" t="str">
        <f>VLOOKUP($A1285, 'Medical Examinations'!$A:$I, 6, FALSE)</f>
        <v>No</v>
      </c>
      <c r="H1285" s="22">
        <f>VLOOKUP($A1285,'Medical Examinations'!$A:$L,10, FALSE)</f>
        <v>1</v>
      </c>
      <c r="I1285" s="22" t="str">
        <f>VLOOKUP($A1285, 'Medical Examinations'!$A:$J, 9, FALSE)</f>
        <v>No</v>
      </c>
      <c r="J1285" s="22" t="str">
        <f>VLOOKUP($A1285, 'Medical Examinations'!$A:$P, 11, FALSE)</f>
        <v>OBESITY</v>
      </c>
      <c r="K1285" s="34">
        <v>37453.0</v>
      </c>
      <c r="L1285" s="35">
        <f>VLOOKUP($A1285, 'Hospitalisation Details'!$A:$H, 7, FALSE)</f>
        <v>8556.91</v>
      </c>
      <c r="M1285" s="22" t="str">
        <f>VLOOKUP($A1285, 'Hospitalisation Details'!$A:$L, 12, FALSE)</f>
        <v>tier - 2</v>
      </c>
      <c r="N1285" s="22" t="str">
        <f>VLOOKUP($A1285, 'Hospitalisation Details'!$A:$M, 13, FALSE)</f>
        <v>tier - 1</v>
      </c>
      <c r="O1285" s="22" t="str">
        <f>VLOOKUP($A1285, 'Hospitalisation Details'!$A:$N, 14, FALSE)</f>
        <v>R1011</v>
      </c>
      <c r="P1285" s="36">
        <f>VLOOKUP($A1285, 'Hospitalisation Details'!$A:$O, 15, FALSE)</f>
        <v>47</v>
      </c>
    </row>
    <row r="1286" ht="15.75" customHeight="1">
      <c r="A1286" s="33" t="s">
        <v>2571</v>
      </c>
      <c r="B1286" s="22" t="str">
        <f>VLOOKUP($A1286,'Customer Names'!$A:$D,3, FALSE)</f>
        <v>Bokun</v>
      </c>
      <c r="C1286" s="22">
        <f>VLOOKUP($A1286,'Medical Examinations'!$A:$D, 2, FALSE)</f>
        <v>32</v>
      </c>
      <c r="D1286" s="22">
        <f>VLOOKUP($A1286, 'Medical Examinations'!$A:$D,3, FALSE)</f>
        <v>7.85</v>
      </c>
      <c r="E1286" s="22" t="str">
        <f>VLOOKUP($A1286, 'Medical Examinations'!$A:$D, 4, FALSE)</f>
        <v>Yes</v>
      </c>
      <c r="F1286" s="22" t="str">
        <f>VLOOKUP($A1286, 'Medical Examinations'!$A:$J, 5, FALSE)</f>
        <v>No</v>
      </c>
      <c r="G1286" s="22" t="str">
        <f>VLOOKUP($A1286, 'Medical Examinations'!$A:$I, 6, FALSE)</f>
        <v>No</v>
      </c>
      <c r="H1286" s="22">
        <f>VLOOKUP($A1286,'Medical Examinations'!$A:$L,10, FALSE)</f>
        <v>1</v>
      </c>
      <c r="I1286" s="22" t="str">
        <f>VLOOKUP($A1286, 'Medical Examinations'!$A:$J, 9, FALSE)</f>
        <v>No</v>
      </c>
      <c r="J1286" s="22" t="str">
        <f>VLOOKUP($A1286, 'Medical Examinations'!$A:$P, 11, FALSE)</f>
        <v>OBESITY</v>
      </c>
      <c r="K1286" s="34">
        <v>36067.0</v>
      </c>
      <c r="L1286" s="35">
        <f>VLOOKUP($A1286, 'Hospitalisation Details'!$A:$H, 7, FALSE)</f>
        <v>8551.35</v>
      </c>
      <c r="M1286" s="22" t="str">
        <f>VLOOKUP($A1286, 'Hospitalisation Details'!$A:$L, 12, FALSE)</f>
        <v>tier - 2</v>
      </c>
      <c r="N1286" s="22" t="str">
        <f>VLOOKUP($A1286, 'Hospitalisation Details'!$A:$M, 13, FALSE)</f>
        <v>tier - 2</v>
      </c>
      <c r="O1286" s="22" t="str">
        <f>VLOOKUP($A1286, 'Hospitalisation Details'!$A:$N, 14, FALSE)</f>
        <v>R1011</v>
      </c>
      <c r="P1286" s="36">
        <f>VLOOKUP($A1286, 'Hospitalisation Details'!$A:$O, 15, FALSE)</f>
        <v>47</v>
      </c>
    </row>
    <row r="1287" ht="15.75" customHeight="1">
      <c r="A1287" s="33" t="s">
        <v>2573</v>
      </c>
      <c r="B1287" s="22" t="str">
        <f>VLOOKUP($A1287,'Customer Names'!$A:$D,3, FALSE)</f>
        <v>Ainsley</v>
      </c>
      <c r="C1287" s="22">
        <f>VLOOKUP($A1287,'Medical Examinations'!$A:$D, 2, FALSE)</f>
        <v>29.37</v>
      </c>
      <c r="D1287" s="22">
        <f>VLOOKUP($A1287, 'Medical Examinations'!$A:$D,3, FALSE)</f>
        <v>8.01</v>
      </c>
      <c r="E1287" s="22" t="str">
        <f>VLOOKUP($A1287, 'Medical Examinations'!$A:$D, 4, FALSE)</f>
        <v>Yes</v>
      </c>
      <c r="F1287" s="22" t="str">
        <f>VLOOKUP($A1287, 'Medical Examinations'!$A:$J, 5, FALSE)</f>
        <v>No</v>
      </c>
      <c r="G1287" s="22" t="str">
        <f>VLOOKUP($A1287, 'Medical Examinations'!$A:$I, 6, FALSE)</f>
        <v>No</v>
      </c>
      <c r="H1287" s="22">
        <f>VLOOKUP($A1287,'Medical Examinations'!$A:$L,10, FALSE)</f>
        <v>1</v>
      </c>
      <c r="I1287" s="22" t="str">
        <f>VLOOKUP($A1287, 'Medical Examinations'!$A:$J, 9, FALSE)</f>
        <v>No</v>
      </c>
      <c r="J1287" s="22" t="str">
        <f>VLOOKUP($A1287, 'Medical Examinations'!$A:$P, 11, FALSE)</f>
        <v>OVERWEIGHT</v>
      </c>
      <c r="K1287" s="34">
        <v>33860.0</v>
      </c>
      <c r="L1287" s="35">
        <f>VLOOKUP($A1287, 'Hospitalisation Details'!$A:$H, 7, FALSE)</f>
        <v>8547.69</v>
      </c>
      <c r="M1287" s="22" t="str">
        <f>VLOOKUP($A1287, 'Hospitalisation Details'!$A:$L, 12, FALSE)</f>
        <v>tier - 2</v>
      </c>
      <c r="N1287" s="22" t="str">
        <f>VLOOKUP($A1287, 'Hospitalisation Details'!$A:$M, 13, FALSE)</f>
        <v>tier - 1</v>
      </c>
      <c r="O1287" s="22" t="str">
        <f>VLOOKUP($A1287, 'Hospitalisation Details'!$A:$N, 14, FALSE)</f>
        <v>R1013</v>
      </c>
      <c r="P1287" s="36">
        <f>VLOOKUP($A1287, 'Hospitalisation Details'!$A:$O, 15, FALSE)</f>
        <v>39</v>
      </c>
    </row>
    <row r="1288" ht="15.75" customHeight="1">
      <c r="A1288" s="33" t="s">
        <v>2575</v>
      </c>
      <c r="B1288" s="22" t="str">
        <f>VLOOKUP($A1288,'Customer Names'!$A:$D,3, FALSE)</f>
        <v>Foster</v>
      </c>
      <c r="C1288" s="22">
        <f>VLOOKUP($A1288,'Medical Examinations'!$A:$D, 2, FALSE)</f>
        <v>23.6</v>
      </c>
      <c r="D1288" s="22">
        <f>VLOOKUP($A1288, 'Medical Examinations'!$A:$D,3, FALSE)</f>
        <v>7.4</v>
      </c>
      <c r="E1288" s="22" t="str">
        <f>VLOOKUP($A1288, 'Medical Examinations'!$A:$D, 4, FALSE)</f>
        <v>Yes</v>
      </c>
      <c r="F1288" s="22" t="str">
        <f>VLOOKUP($A1288, 'Medical Examinations'!$A:$J, 5, FALSE)</f>
        <v>No</v>
      </c>
      <c r="G1288" s="22" t="str">
        <f>VLOOKUP($A1288, 'Medical Examinations'!$A:$I, 6, FALSE)</f>
        <v>No</v>
      </c>
      <c r="H1288" s="22">
        <f>VLOOKUP($A1288,'Medical Examinations'!$A:$L,10, FALSE)</f>
        <v>1</v>
      </c>
      <c r="I1288" s="22" t="str">
        <f>VLOOKUP($A1288, 'Medical Examinations'!$A:$J, 9, FALSE)</f>
        <v>No</v>
      </c>
      <c r="J1288" s="22" t="str">
        <f>VLOOKUP($A1288, 'Medical Examinations'!$A:$P, 11, FALSE)</f>
        <v>NORMAL WEIGHT</v>
      </c>
      <c r="K1288" s="34">
        <v>36073.0</v>
      </c>
      <c r="L1288" s="35">
        <f>VLOOKUP($A1288, 'Hospitalisation Details'!$A:$H, 7, FALSE)</f>
        <v>8539.67</v>
      </c>
      <c r="M1288" s="22" t="str">
        <f>VLOOKUP($A1288, 'Hospitalisation Details'!$A:$L, 12, FALSE)</f>
        <v>tier - 2</v>
      </c>
      <c r="N1288" s="22" t="str">
        <f>VLOOKUP($A1288, 'Hospitalisation Details'!$A:$M, 13, FALSE)</f>
        <v>tier - 3</v>
      </c>
      <c r="O1288" s="22" t="str">
        <f>VLOOKUP($A1288, 'Hospitalisation Details'!$A:$N, 14, FALSE)</f>
        <v>R1011</v>
      </c>
      <c r="P1288" s="36">
        <f>VLOOKUP($A1288, 'Hospitalisation Details'!$A:$O, 15, FALSE)</f>
        <v>47</v>
      </c>
    </row>
    <row r="1289" ht="15.75" customHeight="1">
      <c r="A1289" s="33" t="s">
        <v>2577</v>
      </c>
      <c r="B1289" s="22" t="str">
        <f>VLOOKUP($A1289,'Customer Names'!$A:$D,3, FALSE)</f>
        <v>Overpeck</v>
      </c>
      <c r="C1289" s="22">
        <f>VLOOKUP($A1289,'Medical Examinations'!$A:$D, 2, FALSE)</f>
        <v>33.155</v>
      </c>
      <c r="D1289" s="22">
        <f>VLOOKUP($A1289, 'Medical Examinations'!$A:$D,3, FALSE)</f>
        <v>8.38</v>
      </c>
      <c r="E1289" s="22" t="str">
        <f>VLOOKUP($A1289, 'Medical Examinations'!$A:$D, 4, FALSE)</f>
        <v>Yes</v>
      </c>
      <c r="F1289" s="22" t="str">
        <f>VLOOKUP($A1289, 'Medical Examinations'!$A:$J, 5, FALSE)</f>
        <v>No</v>
      </c>
      <c r="G1289" s="22" t="str">
        <f>VLOOKUP($A1289, 'Medical Examinations'!$A:$I, 6, FALSE)</f>
        <v>No</v>
      </c>
      <c r="H1289" s="22">
        <f>VLOOKUP($A1289,'Medical Examinations'!$A:$L,10, FALSE)</f>
        <v>0</v>
      </c>
      <c r="I1289" s="22" t="str">
        <f>VLOOKUP($A1289, 'Medical Examinations'!$A:$J, 9, FALSE)</f>
        <v>No</v>
      </c>
      <c r="J1289" s="22" t="str">
        <f>VLOOKUP($A1289, 'Medical Examinations'!$A:$P, 11, FALSE)</f>
        <v>OBESITY</v>
      </c>
      <c r="K1289" s="34">
        <v>36066.0</v>
      </c>
      <c r="L1289" s="35">
        <f>VLOOKUP($A1289, 'Hospitalisation Details'!$A:$H, 7, FALSE)</f>
        <v>8538.29</v>
      </c>
      <c r="M1289" s="22" t="str">
        <f>VLOOKUP($A1289, 'Hospitalisation Details'!$A:$L, 12, FALSE)</f>
        <v>tier - 2</v>
      </c>
      <c r="N1289" s="22" t="str">
        <f>VLOOKUP($A1289, 'Hospitalisation Details'!$A:$M, 13, FALSE)</f>
        <v>tier - 3</v>
      </c>
      <c r="O1289" s="22" t="str">
        <f>VLOOKUP($A1289, 'Hospitalisation Details'!$A:$N, 14, FALSE)</f>
        <v>R1024</v>
      </c>
      <c r="P1289" s="36">
        <f>VLOOKUP($A1289, 'Hospitalisation Details'!$A:$O, 15, FALSE)</f>
        <v>41</v>
      </c>
    </row>
    <row r="1290" ht="15.75" customHeight="1">
      <c r="A1290" s="33" t="s">
        <v>2579</v>
      </c>
      <c r="B1290" s="22" t="str">
        <f>VLOOKUP($A1290,'Customer Names'!$A:$D,3, FALSE)</f>
        <v>Levine</v>
      </c>
      <c r="C1290" s="22">
        <f>VLOOKUP($A1290,'Medical Examinations'!$A:$D, 2, FALSE)</f>
        <v>24.32</v>
      </c>
      <c r="D1290" s="22">
        <f>VLOOKUP($A1290, 'Medical Examinations'!$A:$D,3, FALSE)</f>
        <v>11.56</v>
      </c>
      <c r="E1290" s="22" t="str">
        <f>VLOOKUP($A1290, 'Medical Examinations'!$A:$D, 4, FALSE)</f>
        <v>Yes</v>
      </c>
      <c r="F1290" s="22" t="str">
        <f>VLOOKUP($A1290, 'Medical Examinations'!$A:$J, 5, FALSE)</f>
        <v>No</v>
      </c>
      <c r="G1290" s="22" t="str">
        <f>VLOOKUP($A1290, 'Medical Examinations'!$A:$I, 6, FALSE)</f>
        <v>No</v>
      </c>
      <c r="H1290" s="22">
        <f>VLOOKUP($A1290,'Medical Examinations'!$A:$L,10, FALSE)</f>
        <v>1</v>
      </c>
      <c r="I1290" s="22" t="str">
        <f>VLOOKUP($A1290, 'Medical Examinations'!$A:$J, 9, FALSE)</f>
        <v>No</v>
      </c>
      <c r="J1290" s="22" t="str">
        <f>VLOOKUP($A1290, 'Medical Examinations'!$A:$P, 11, FALSE)</f>
        <v>NORMAL WEIGHT</v>
      </c>
      <c r="K1290" s="34">
        <v>37466.0</v>
      </c>
      <c r="L1290" s="35">
        <f>VLOOKUP($A1290, 'Hospitalisation Details'!$A:$H, 7, FALSE)</f>
        <v>8534.67</v>
      </c>
      <c r="M1290" s="22" t="str">
        <f>VLOOKUP($A1290, 'Hospitalisation Details'!$A:$L, 12, FALSE)</f>
        <v>tier - 2</v>
      </c>
      <c r="N1290" s="22" t="str">
        <f>VLOOKUP($A1290, 'Hospitalisation Details'!$A:$M, 13, FALSE)</f>
        <v>tier - 3</v>
      </c>
      <c r="O1290" s="22" t="str">
        <f>VLOOKUP($A1290, 'Hospitalisation Details'!$A:$N, 14, FALSE)</f>
        <v>R1024</v>
      </c>
      <c r="P1290" s="36">
        <f>VLOOKUP($A1290, 'Hospitalisation Details'!$A:$O, 15, FALSE)</f>
        <v>39</v>
      </c>
    </row>
    <row r="1291" ht="15.75" customHeight="1">
      <c r="A1291" s="33" t="s">
        <v>2581</v>
      </c>
      <c r="B1291" s="22" t="str">
        <f>VLOOKUP($A1291,'Customer Names'!$A:$D,3, FALSE)</f>
        <v>Jean</v>
      </c>
      <c r="C1291" s="22">
        <f>VLOOKUP($A1291,'Medical Examinations'!$A:$D, 2, FALSE)</f>
        <v>36.3</v>
      </c>
      <c r="D1291" s="22">
        <f>VLOOKUP($A1291, 'Medical Examinations'!$A:$D,3, FALSE)</f>
        <v>4.61</v>
      </c>
      <c r="E1291" s="22" t="str">
        <f>VLOOKUP($A1291, 'Medical Examinations'!$A:$D, 4, FALSE)</f>
        <v>No</v>
      </c>
      <c r="F1291" s="22" t="str">
        <f>VLOOKUP($A1291, 'Medical Examinations'!$A:$J, 5, FALSE)</f>
        <v>No</v>
      </c>
      <c r="G1291" s="22" t="str">
        <f>VLOOKUP($A1291, 'Medical Examinations'!$A:$I, 6, FALSE)</f>
        <v>No</v>
      </c>
      <c r="H1291" s="22">
        <f>VLOOKUP($A1291,'Medical Examinations'!$A:$L,10, FALSE)</f>
        <v>0</v>
      </c>
      <c r="I1291" s="22" t="str">
        <f>VLOOKUP($A1291, 'Medical Examinations'!$A:$J, 9, FALSE)</f>
        <v>No</v>
      </c>
      <c r="J1291" s="22" t="str">
        <f>VLOOKUP($A1291, 'Medical Examinations'!$A:$P, 11, FALSE)</f>
        <v>OBESITY</v>
      </c>
      <c r="K1291" s="34">
        <v>37506.0</v>
      </c>
      <c r="L1291" s="35">
        <f>VLOOKUP($A1291, 'Hospitalisation Details'!$A:$H, 7, FALSE)</f>
        <v>8527.53</v>
      </c>
      <c r="M1291" s="22" t="str">
        <f>VLOOKUP($A1291, 'Hospitalisation Details'!$A:$L, 12, FALSE)</f>
        <v>tier - 2</v>
      </c>
      <c r="N1291" s="22" t="str">
        <f>VLOOKUP($A1291, 'Hospitalisation Details'!$A:$M, 13, FALSE)</f>
        <v>tier - 2</v>
      </c>
      <c r="O1291" s="22" t="str">
        <f>VLOOKUP($A1291, 'Hospitalisation Details'!$A:$N, 14, FALSE)</f>
        <v>R1013</v>
      </c>
      <c r="P1291" s="36">
        <f>VLOOKUP($A1291, 'Hospitalisation Details'!$A:$O, 15, FALSE)</f>
        <v>45</v>
      </c>
    </row>
    <row r="1292" ht="15.75" customHeight="1">
      <c r="A1292" s="33" t="s">
        <v>2583</v>
      </c>
      <c r="B1292" s="22" t="str">
        <f>VLOOKUP($A1292,'Customer Names'!$A:$D,3, FALSE)</f>
        <v>Wild</v>
      </c>
      <c r="C1292" s="22">
        <f>VLOOKUP($A1292,'Medical Examinations'!$A:$D, 2, FALSE)</f>
        <v>34.4</v>
      </c>
      <c r="D1292" s="22">
        <f>VLOOKUP($A1292, 'Medical Examinations'!$A:$D,3, FALSE)</f>
        <v>4.95</v>
      </c>
      <c r="E1292" s="22" t="str">
        <f>VLOOKUP($A1292, 'Medical Examinations'!$A:$D, 4, FALSE)</f>
        <v>No</v>
      </c>
      <c r="F1292" s="22" t="str">
        <f>VLOOKUP($A1292, 'Medical Examinations'!$A:$J, 5, FALSE)</f>
        <v>No</v>
      </c>
      <c r="G1292" s="22" t="str">
        <f>VLOOKUP($A1292, 'Medical Examinations'!$A:$I, 6, FALSE)</f>
        <v>Yes</v>
      </c>
      <c r="H1292" s="22">
        <f>VLOOKUP($A1292,'Medical Examinations'!$A:$L,10, FALSE)</f>
        <v>1</v>
      </c>
      <c r="I1292" s="22" t="str">
        <f>VLOOKUP($A1292, 'Medical Examinations'!$A:$J, 9, FALSE)</f>
        <v>No</v>
      </c>
      <c r="J1292" s="22" t="str">
        <f>VLOOKUP($A1292, 'Medical Examinations'!$A:$P, 11, FALSE)</f>
        <v>OBESITY</v>
      </c>
      <c r="K1292" s="34">
        <v>37234.0</v>
      </c>
      <c r="L1292" s="35">
        <f>VLOOKUP($A1292, 'Hospitalisation Details'!$A:$H, 7, FALSE)</f>
        <v>8522</v>
      </c>
      <c r="M1292" s="22" t="str">
        <f>VLOOKUP($A1292, 'Hospitalisation Details'!$A:$L, 12, FALSE)</f>
        <v>tier - 2</v>
      </c>
      <c r="N1292" s="22" t="str">
        <f>VLOOKUP($A1292, 'Hospitalisation Details'!$A:$M, 13, FALSE)</f>
        <v>tier - 2</v>
      </c>
      <c r="O1292" s="22" t="str">
        <f>VLOOKUP($A1292, 'Hospitalisation Details'!$A:$N, 14, FALSE)</f>
        <v>R1011</v>
      </c>
      <c r="P1292" s="36">
        <f>VLOOKUP($A1292, 'Hospitalisation Details'!$A:$O, 15, FALSE)</f>
        <v>43</v>
      </c>
    </row>
    <row r="1293" ht="15.75" customHeight="1">
      <c r="A1293" s="33" t="s">
        <v>2585</v>
      </c>
      <c r="B1293" s="22" t="str">
        <f>VLOOKUP($A1293,'Customer Names'!$A:$D,3, FALSE)</f>
        <v>Tabor</v>
      </c>
      <c r="C1293" s="22">
        <f>VLOOKUP($A1293,'Medical Examinations'!$A:$D, 2, FALSE)</f>
        <v>30.9</v>
      </c>
      <c r="D1293" s="22">
        <f>VLOOKUP($A1293, 'Medical Examinations'!$A:$D,3, FALSE)</f>
        <v>5.04</v>
      </c>
      <c r="E1293" s="22" t="str">
        <f>VLOOKUP($A1293, 'Medical Examinations'!$A:$D, 4, FALSE)</f>
        <v>No</v>
      </c>
      <c r="F1293" s="22" t="str">
        <f>VLOOKUP($A1293, 'Medical Examinations'!$A:$J, 5, FALSE)</f>
        <v>No</v>
      </c>
      <c r="G1293" s="22" t="str">
        <f>VLOOKUP($A1293, 'Medical Examinations'!$A:$I, 6, FALSE)</f>
        <v>No</v>
      </c>
      <c r="H1293" s="22">
        <f>VLOOKUP($A1293,'Medical Examinations'!$A:$L,10, FALSE)</f>
        <v>0</v>
      </c>
      <c r="I1293" s="22" t="str">
        <f>VLOOKUP($A1293, 'Medical Examinations'!$A:$J, 9, FALSE)</f>
        <v>No</v>
      </c>
      <c r="J1293" s="22" t="str">
        <f>VLOOKUP($A1293, 'Medical Examinations'!$A:$P, 11, FALSE)</f>
        <v>OBESITY</v>
      </c>
      <c r="K1293" s="34">
        <v>37106.0</v>
      </c>
      <c r="L1293" s="35">
        <f>VLOOKUP($A1293, 'Hospitalisation Details'!$A:$H, 7, FALSE)</f>
        <v>8520.03</v>
      </c>
      <c r="M1293" s="22" t="str">
        <f>VLOOKUP($A1293, 'Hospitalisation Details'!$A:$L, 12, FALSE)</f>
        <v>tier - 2</v>
      </c>
      <c r="N1293" s="22" t="str">
        <f>VLOOKUP($A1293, 'Hospitalisation Details'!$A:$M, 13, FALSE)</f>
        <v>tier - 3</v>
      </c>
      <c r="O1293" s="22" t="str">
        <f>VLOOKUP($A1293, 'Hospitalisation Details'!$A:$N, 14, FALSE)</f>
        <v>R1011</v>
      </c>
      <c r="P1293" s="36">
        <f>VLOOKUP($A1293, 'Hospitalisation Details'!$A:$O, 15, FALSE)</f>
        <v>45</v>
      </c>
    </row>
    <row r="1294" ht="15.75" customHeight="1">
      <c r="A1294" s="33" t="s">
        <v>2587</v>
      </c>
      <c r="B1294" s="22" t="str">
        <f>VLOOKUP($A1294,'Customer Names'!$A:$D,3, FALSE)</f>
        <v>Steffen</v>
      </c>
      <c r="C1294" s="22">
        <f>VLOOKUP($A1294,'Medical Examinations'!$A:$D, 2, FALSE)</f>
        <v>28.6</v>
      </c>
      <c r="D1294" s="22">
        <f>VLOOKUP($A1294, 'Medical Examinations'!$A:$D,3, FALSE)</f>
        <v>5.42</v>
      </c>
      <c r="E1294" s="22" t="str">
        <f>VLOOKUP($A1294, 'Medical Examinations'!$A:$D, 4, FALSE)</f>
        <v>No</v>
      </c>
      <c r="F1294" s="22" t="str">
        <f>VLOOKUP($A1294, 'Medical Examinations'!$A:$J, 5, FALSE)</f>
        <v>No</v>
      </c>
      <c r="G1294" s="22" t="str">
        <f>VLOOKUP($A1294, 'Medical Examinations'!$A:$I, 6, FALSE)</f>
        <v>No</v>
      </c>
      <c r="H1294" s="22">
        <f>VLOOKUP($A1294,'Medical Examinations'!$A:$L,10, FALSE)</f>
        <v>0</v>
      </c>
      <c r="I1294" s="22" t="str">
        <f>VLOOKUP($A1294, 'Medical Examinations'!$A:$J, 9, FALSE)</f>
        <v>No</v>
      </c>
      <c r="J1294" s="22" t="str">
        <f>VLOOKUP($A1294, 'Medical Examinations'!$A:$P, 11, FALSE)</f>
        <v>OVERWEIGHT</v>
      </c>
      <c r="K1294" s="34">
        <v>34613.0</v>
      </c>
      <c r="L1294" s="35">
        <f>VLOOKUP($A1294, 'Hospitalisation Details'!$A:$H, 7, FALSE)</f>
        <v>8516.83</v>
      </c>
      <c r="M1294" s="22" t="str">
        <f>VLOOKUP($A1294, 'Hospitalisation Details'!$A:$L, 12, FALSE)</f>
        <v>tier - 2</v>
      </c>
      <c r="N1294" s="22" t="str">
        <f>VLOOKUP($A1294, 'Hospitalisation Details'!$A:$M, 13, FALSE)</f>
        <v>tier - 1</v>
      </c>
      <c r="O1294" s="22" t="str">
        <f>VLOOKUP($A1294, 'Hospitalisation Details'!$A:$N, 14, FALSE)</f>
        <v>R1013</v>
      </c>
      <c r="P1294" s="36">
        <f>VLOOKUP($A1294, 'Hospitalisation Details'!$A:$O, 15, FALSE)</f>
        <v>45</v>
      </c>
    </row>
    <row r="1295" ht="15.75" customHeight="1">
      <c r="A1295" s="33" t="s">
        <v>2589</v>
      </c>
      <c r="B1295" s="22" t="str">
        <f>VLOOKUP($A1295,'Customer Names'!$A:$D,3, FALSE)</f>
        <v>Tadich</v>
      </c>
      <c r="C1295" s="22">
        <f>VLOOKUP($A1295,'Medical Examinations'!$A:$D, 2, FALSE)</f>
        <v>27.83</v>
      </c>
      <c r="D1295" s="22">
        <f>VLOOKUP($A1295, 'Medical Examinations'!$A:$D,3, FALSE)</f>
        <v>5.39</v>
      </c>
      <c r="E1295" s="22" t="str">
        <f>VLOOKUP($A1295, 'Medical Examinations'!$A:$D, 4, FALSE)</f>
        <v>No</v>
      </c>
      <c r="F1295" s="22" t="str">
        <f>VLOOKUP($A1295, 'Medical Examinations'!$A:$J, 5, FALSE)</f>
        <v>No</v>
      </c>
      <c r="G1295" s="22" t="str">
        <f>VLOOKUP($A1295, 'Medical Examinations'!$A:$I, 6, FALSE)</f>
        <v>No</v>
      </c>
      <c r="H1295" s="22">
        <f>VLOOKUP($A1295,'Medical Examinations'!$A:$L,10, FALSE)</f>
        <v>0</v>
      </c>
      <c r="I1295" s="22" t="str">
        <f>VLOOKUP($A1295, 'Medical Examinations'!$A:$J, 9, FALSE)</f>
        <v>No</v>
      </c>
      <c r="J1295" s="22" t="str">
        <f>VLOOKUP($A1295, 'Medical Examinations'!$A:$P, 11, FALSE)</f>
        <v>OVERWEIGHT</v>
      </c>
      <c r="K1295" s="34">
        <v>37113.0</v>
      </c>
      <c r="L1295" s="35">
        <f>VLOOKUP($A1295, 'Hospitalisation Details'!$A:$H, 7, FALSE)</f>
        <v>8515.76</v>
      </c>
      <c r="M1295" s="22" t="str">
        <f>VLOOKUP($A1295, 'Hospitalisation Details'!$A:$L, 12, FALSE)</f>
        <v>tier - 2</v>
      </c>
      <c r="N1295" s="22" t="str">
        <f>VLOOKUP($A1295, 'Hospitalisation Details'!$A:$M, 13, FALSE)</f>
        <v>tier - 2</v>
      </c>
      <c r="O1295" s="22" t="str">
        <f>VLOOKUP($A1295, 'Hospitalisation Details'!$A:$N, 14, FALSE)</f>
        <v>R1013</v>
      </c>
      <c r="P1295" s="36">
        <f>VLOOKUP($A1295, 'Hospitalisation Details'!$A:$O, 15, FALSE)</f>
        <v>45</v>
      </c>
    </row>
    <row r="1296" ht="15.75" customHeight="1">
      <c r="A1296" s="33" t="s">
        <v>2591</v>
      </c>
      <c r="B1296" s="22" t="str">
        <f>VLOOKUP($A1296,'Customer Names'!$A:$D,3, FALSE)</f>
        <v>Christenson</v>
      </c>
      <c r="C1296" s="22">
        <f>VLOOKUP($A1296,'Medical Examinations'!$A:$D, 2, FALSE)</f>
        <v>39.64</v>
      </c>
      <c r="D1296" s="22">
        <f>VLOOKUP($A1296, 'Medical Examinations'!$A:$D,3, FALSE)</f>
        <v>6</v>
      </c>
      <c r="E1296" s="22" t="str">
        <f>VLOOKUP($A1296, 'Medical Examinations'!$A:$D, 4, FALSE)</f>
        <v>No</v>
      </c>
      <c r="F1296" s="22" t="str">
        <f>VLOOKUP($A1296, 'Medical Examinations'!$A:$J, 5, FALSE)</f>
        <v>No</v>
      </c>
      <c r="G1296" s="22" t="str">
        <f>VLOOKUP($A1296, 'Medical Examinations'!$A:$I, 6, FALSE)</f>
        <v>Yes</v>
      </c>
      <c r="H1296" s="22">
        <f>VLOOKUP($A1296,'Medical Examinations'!$A:$L,10, FALSE)</f>
        <v>1</v>
      </c>
      <c r="I1296" s="22" t="str">
        <f>VLOOKUP($A1296, 'Medical Examinations'!$A:$J, 9, FALSE)</f>
        <v>No</v>
      </c>
      <c r="J1296" s="22" t="str">
        <f>VLOOKUP($A1296, 'Medical Examinations'!$A:$P, 11, FALSE)</f>
        <v>OBESITY</v>
      </c>
      <c r="K1296" s="34">
        <v>37489.0</v>
      </c>
      <c r="L1296" s="35">
        <f>VLOOKUP($A1296, 'Hospitalisation Details'!$A:$H, 7, FALSE)</f>
        <v>8471.65</v>
      </c>
      <c r="M1296" s="22" t="str">
        <f>VLOOKUP($A1296, 'Hospitalisation Details'!$A:$L, 12, FALSE)</f>
        <v>tier - 2</v>
      </c>
      <c r="N1296" s="22" t="str">
        <f>VLOOKUP($A1296, 'Hospitalisation Details'!$A:$M, 13, FALSE)</f>
        <v>tier - 1</v>
      </c>
      <c r="O1296" s="22" t="str">
        <f>VLOOKUP($A1296, 'Hospitalisation Details'!$A:$N, 14, FALSE)</f>
        <v>R1012</v>
      </c>
      <c r="P1296" s="36">
        <f>VLOOKUP($A1296, 'Hospitalisation Details'!$A:$O, 15, FALSE)</f>
        <v>29</v>
      </c>
    </row>
    <row r="1297" ht="15.75" customHeight="1">
      <c r="A1297" s="33" t="s">
        <v>2593</v>
      </c>
      <c r="B1297" s="22" t="str">
        <f>VLOOKUP($A1297,'Customer Names'!$A:$D,3, FALSE)</f>
        <v>Shell</v>
      </c>
      <c r="C1297" s="22">
        <f>VLOOKUP($A1297,'Medical Examinations'!$A:$D, 2, FALSE)</f>
        <v>38.48</v>
      </c>
      <c r="D1297" s="22">
        <f>VLOOKUP($A1297, 'Medical Examinations'!$A:$D,3, FALSE)</f>
        <v>6.02</v>
      </c>
      <c r="E1297" s="22" t="str">
        <f>VLOOKUP($A1297, 'Medical Examinations'!$A:$D, 4, FALSE)</f>
        <v>No</v>
      </c>
      <c r="F1297" s="22" t="str">
        <f>VLOOKUP($A1297, 'Medical Examinations'!$A:$J, 5, FALSE)</f>
        <v>No</v>
      </c>
      <c r="G1297" s="22" t="str">
        <f>VLOOKUP($A1297, 'Medical Examinations'!$A:$I, 6, FALSE)</f>
        <v>No</v>
      </c>
      <c r="H1297" s="22">
        <f>VLOOKUP($A1297,'Medical Examinations'!$A:$L,10, FALSE)</f>
        <v>1</v>
      </c>
      <c r="I1297" s="22" t="str">
        <f>VLOOKUP($A1297, 'Medical Examinations'!$A:$J, 9, FALSE)</f>
        <v>No</v>
      </c>
      <c r="J1297" s="22" t="str">
        <f>VLOOKUP($A1297, 'Medical Examinations'!$A:$P, 11, FALSE)</f>
        <v>OBESITY</v>
      </c>
      <c r="K1297" s="34">
        <v>37497.0</v>
      </c>
      <c r="L1297" s="35">
        <f>VLOOKUP($A1297, 'Hospitalisation Details'!$A:$H, 7, FALSE)</f>
        <v>8466.35</v>
      </c>
      <c r="M1297" s="22" t="str">
        <f>VLOOKUP($A1297, 'Hospitalisation Details'!$A:$L, 12, FALSE)</f>
        <v>tier - 2</v>
      </c>
      <c r="N1297" s="22" t="str">
        <f>VLOOKUP($A1297, 'Hospitalisation Details'!$A:$M, 13, FALSE)</f>
        <v>tier - 2</v>
      </c>
      <c r="O1297" s="22" t="str">
        <f>VLOOKUP($A1297, 'Hospitalisation Details'!$A:$N, 14, FALSE)</f>
        <v>R1012</v>
      </c>
      <c r="P1297" s="36">
        <f>VLOOKUP($A1297, 'Hospitalisation Details'!$A:$O, 15, FALSE)</f>
        <v>30</v>
      </c>
    </row>
    <row r="1298" ht="15.75" customHeight="1">
      <c r="A1298" s="33" t="s">
        <v>2595</v>
      </c>
      <c r="B1298" s="22" t="str">
        <f>VLOOKUP($A1298,'Customer Names'!$A:$D,3, FALSE)</f>
        <v>Rao</v>
      </c>
      <c r="C1298" s="22">
        <f>VLOOKUP($A1298,'Medical Examinations'!$A:$D, 2, FALSE)</f>
        <v>36.2</v>
      </c>
      <c r="D1298" s="22">
        <f>VLOOKUP($A1298, 'Medical Examinations'!$A:$D,3, FALSE)</f>
        <v>4.62</v>
      </c>
      <c r="E1298" s="22" t="str">
        <f>VLOOKUP($A1298, 'Medical Examinations'!$A:$D, 4, FALSE)</f>
        <v>No</v>
      </c>
      <c r="F1298" s="22" t="str">
        <f>VLOOKUP($A1298, 'Medical Examinations'!$A:$J, 5, FALSE)</f>
        <v>No</v>
      </c>
      <c r="G1298" s="22" t="str">
        <f>VLOOKUP($A1298, 'Medical Examinations'!$A:$I, 6, FALSE)</f>
        <v>No</v>
      </c>
      <c r="H1298" s="22">
        <f>VLOOKUP($A1298,'Medical Examinations'!$A:$L,10, FALSE)</f>
        <v>2</v>
      </c>
      <c r="I1298" s="22" t="str">
        <f>VLOOKUP($A1298, 'Medical Examinations'!$A:$J, 9, FALSE)</f>
        <v>No</v>
      </c>
      <c r="J1298" s="22" t="str">
        <f>VLOOKUP($A1298, 'Medical Examinations'!$A:$P, 11, FALSE)</f>
        <v>OBESITY</v>
      </c>
      <c r="K1298" s="34">
        <v>27014.0</v>
      </c>
      <c r="L1298" s="35">
        <f>VLOOKUP($A1298, 'Hospitalisation Details'!$A:$H, 7, FALSE)</f>
        <v>8457.82</v>
      </c>
      <c r="M1298" s="22" t="str">
        <f>VLOOKUP($A1298, 'Hospitalisation Details'!$A:$L, 12, FALSE)</f>
        <v>tier - 2</v>
      </c>
      <c r="N1298" s="22" t="str">
        <f>VLOOKUP($A1298, 'Hospitalisation Details'!$A:$M, 13, FALSE)</f>
        <v>tier - 3</v>
      </c>
      <c r="O1298" s="22" t="str">
        <f>VLOOKUP($A1298, 'Hospitalisation Details'!$A:$N, 14, FALSE)</f>
        <v>R1011</v>
      </c>
      <c r="P1298" s="36">
        <f>VLOOKUP($A1298, 'Hospitalisation Details'!$A:$O, 15, FALSE)</f>
        <v>50</v>
      </c>
    </row>
    <row r="1299" ht="15.75" customHeight="1">
      <c r="A1299" s="33" t="s">
        <v>2597</v>
      </c>
      <c r="B1299" s="22" t="str">
        <f>VLOOKUP($A1299,'Customer Names'!$A:$D,3, FALSE)</f>
        <v>Myers</v>
      </c>
      <c r="C1299" s="22">
        <f>VLOOKUP($A1299,'Medical Examinations'!$A:$D, 2, FALSE)</f>
        <v>27.13</v>
      </c>
      <c r="D1299" s="22">
        <f>VLOOKUP($A1299, 'Medical Examinations'!$A:$D,3, FALSE)</f>
        <v>5.59</v>
      </c>
      <c r="E1299" s="22" t="str">
        <f>VLOOKUP($A1299, 'Medical Examinations'!$A:$D, 4, FALSE)</f>
        <v>No</v>
      </c>
      <c r="F1299" s="22" t="str">
        <f>VLOOKUP($A1299, 'Medical Examinations'!$A:$J, 5, FALSE)</f>
        <v>No</v>
      </c>
      <c r="G1299" s="22" t="str">
        <f>VLOOKUP($A1299, 'Medical Examinations'!$A:$I, 6, FALSE)</f>
        <v>No</v>
      </c>
      <c r="H1299" s="22">
        <f>VLOOKUP($A1299,'Medical Examinations'!$A:$L,10, FALSE)</f>
        <v>1</v>
      </c>
      <c r="I1299" s="22" t="str">
        <f>VLOOKUP($A1299, 'Medical Examinations'!$A:$J, 9, FALSE)</f>
        <v>No</v>
      </c>
      <c r="J1299" s="22" t="str">
        <f>VLOOKUP($A1299, 'Medical Examinations'!$A:$P, 11, FALSE)</f>
        <v>OVERWEIGHT</v>
      </c>
      <c r="K1299" s="34">
        <v>37558.0</v>
      </c>
      <c r="L1299" s="35">
        <f>VLOOKUP($A1299, 'Hospitalisation Details'!$A:$H, 7, FALSE)</f>
        <v>8450.82</v>
      </c>
      <c r="M1299" s="22" t="str">
        <f>VLOOKUP($A1299, 'Hospitalisation Details'!$A:$L, 12, FALSE)</f>
        <v>tier - 2</v>
      </c>
      <c r="N1299" s="22" t="str">
        <f>VLOOKUP($A1299, 'Hospitalisation Details'!$A:$M, 13, FALSE)</f>
        <v>tier - 2</v>
      </c>
      <c r="O1299" s="22" t="str">
        <f>VLOOKUP($A1299, 'Hospitalisation Details'!$A:$N, 14, FALSE)</f>
        <v>R1025</v>
      </c>
      <c r="P1299" s="36">
        <f>VLOOKUP($A1299, 'Hospitalisation Details'!$A:$O, 15, FALSE)</f>
        <v>38</v>
      </c>
    </row>
    <row r="1300" ht="15.75" customHeight="1">
      <c r="A1300" s="33" t="s">
        <v>2599</v>
      </c>
      <c r="B1300" s="22" t="str">
        <f>VLOOKUP($A1300,'Customer Names'!$A:$D,3, FALSE)</f>
        <v>McLean</v>
      </c>
      <c r="C1300" s="22">
        <f>VLOOKUP($A1300,'Medical Examinations'!$A:$D, 2, FALSE)</f>
        <v>20.75</v>
      </c>
      <c r="D1300" s="22">
        <f>VLOOKUP($A1300, 'Medical Examinations'!$A:$D,3, FALSE)</f>
        <v>5.18</v>
      </c>
      <c r="E1300" s="22" t="str">
        <f>VLOOKUP($A1300, 'Medical Examinations'!$A:$D, 4, FALSE)</f>
        <v>Yes</v>
      </c>
      <c r="F1300" s="22" t="str">
        <f>VLOOKUP($A1300, 'Medical Examinations'!$A:$J, 5, FALSE)</f>
        <v>No</v>
      </c>
      <c r="G1300" s="22" t="str">
        <f>VLOOKUP($A1300, 'Medical Examinations'!$A:$I, 6, FALSE)</f>
        <v>No</v>
      </c>
      <c r="H1300" s="22">
        <f>VLOOKUP($A1300,'Medical Examinations'!$A:$L,10, FALSE)</f>
        <v>2</v>
      </c>
      <c r="I1300" s="22" t="str">
        <f>VLOOKUP($A1300, 'Medical Examinations'!$A:$J, 9, FALSE)</f>
        <v>No</v>
      </c>
      <c r="J1300" s="22" t="str">
        <f>VLOOKUP($A1300, 'Medical Examinations'!$A:$P, 11, FALSE)</f>
        <v>NORMAL WEIGHT</v>
      </c>
      <c r="K1300" s="34">
        <v>37521.0</v>
      </c>
      <c r="L1300" s="35">
        <f>VLOOKUP($A1300, 'Hospitalisation Details'!$A:$H, 7, FALSE)</f>
        <v>8448.66</v>
      </c>
      <c r="M1300" s="22" t="str">
        <f>VLOOKUP($A1300, 'Hospitalisation Details'!$A:$L, 12, FALSE)</f>
        <v>tier - 3</v>
      </c>
      <c r="N1300" s="22" t="str">
        <f>VLOOKUP($A1300, 'Hospitalisation Details'!$A:$M, 13, FALSE)</f>
        <v>tier - 1</v>
      </c>
      <c r="O1300" s="22" t="str">
        <f>VLOOKUP($A1300, 'Hospitalisation Details'!$A:$N, 14, FALSE)</f>
        <v>R1013</v>
      </c>
      <c r="P1300" s="36">
        <f>VLOOKUP($A1300, 'Hospitalisation Details'!$A:$O, 15, FALSE)</f>
        <v>56</v>
      </c>
    </row>
    <row r="1301" ht="15.75" customHeight="1">
      <c r="A1301" s="33" t="s">
        <v>2601</v>
      </c>
      <c r="B1301" s="22" t="str">
        <f>VLOOKUP($A1301,'Customer Names'!$A:$D,3, FALSE)</f>
        <v>Gomez</v>
      </c>
      <c r="C1301" s="22">
        <f>VLOOKUP($A1301,'Medical Examinations'!$A:$D, 2, FALSE)</f>
        <v>26.6</v>
      </c>
      <c r="D1301" s="22">
        <f>VLOOKUP($A1301, 'Medical Examinations'!$A:$D,3, FALSE)</f>
        <v>6.29</v>
      </c>
      <c r="E1301" s="22" t="str">
        <f>VLOOKUP($A1301, 'Medical Examinations'!$A:$D, 4, FALSE)</f>
        <v>No</v>
      </c>
      <c r="F1301" s="22" t="str">
        <f>VLOOKUP($A1301, 'Medical Examinations'!$A:$J, 5, FALSE)</f>
        <v>No</v>
      </c>
      <c r="G1301" s="22" t="str">
        <f>VLOOKUP($A1301, 'Medical Examinations'!$A:$I, 6, FALSE)</f>
        <v>No</v>
      </c>
      <c r="H1301" s="22">
        <f>VLOOKUP($A1301,'Medical Examinations'!$A:$L,10, FALSE)</f>
        <v>2</v>
      </c>
      <c r="I1301" s="22" t="str">
        <f>VLOOKUP($A1301, 'Medical Examinations'!$A:$J, 9, FALSE)</f>
        <v>No</v>
      </c>
      <c r="J1301" s="22" t="str">
        <f>VLOOKUP($A1301, 'Medical Examinations'!$A:$P, 11, FALSE)</f>
        <v>OVERWEIGHT</v>
      </c>
      <c r="K1301" s="34">
        <v>35248.0</v>
      </c>
      <c r="L1301" s="35">
        <f>VLOOKUP($A1301, 'Hospitalisation Details'!$A:$H, 7, FALSE)</f>
        <v>8444.47</v>
      </c>
      <c r="M1301" s="22" t="str">
        <f>VLOOKUP($A1301, 'Hospitalisation Details'!$A:$L, 12, FALSE)</f>
        <v>tier - 3</v>
      </c>
      <c r="N1301" s="22" t="str">
        <f>VLOOKUP($A1301, 'Hospitalisation Details'!$A:$M, 13, FALSE)</f>
        <v>tier - 1</v>
      </c>
      <c r="O1301" s="22" t="str">
        <f>VLOOKUP($A1301, 'Hospitalisation Details'!$A:$N, 14, FALSE)</f>
        <v>R1011</v>
      </c>
      <c r="P1301" s="36">
        <f>VLOOKUP($A1301, 'Hospitalisation Details'!$A:$O, 15, FALSE)</f>
        <v>50</v>
      </c>
    </row>
    <row r="1302" ht="15.75" customHeight="1">
      <c r="A1302" s="33" t="s">
        <v>2603</v>
      </c>
      <c r="B1302" s="22" t="str">
        <f>VLOOKUP($A1302,'Customer Names'!$A:$D,3, FALSE)</f>
        <v>Hemingway</v>
      </c>
      <c r="C1302" s="22">
        <f>VLOOKUP($A1302,'Medical Examinations'!$A:$D, 2, FALSE)</f>
        <v>25.3</v>
      </c>
      <c r="D1302" s="22">
        <f>VLOOKUP($A1302, 'Medical Examinations'!$A:$D,3, FALSE)</f>
        <v>4.49</v>
      </c>
      <c r="E1302" s="22" t="str">
        <f>VLOOKUP($A1302, 'Medical Examinations'!$A:$D, 4, FALSE)</f>
        <v>No</v>
      </c>
      <c r="F1302" s="22" t="str">
        <f>VLOOKUP($A1302, 'Medical Examinations'!$A:$J, 5, FALSE)</f>
        <v>No</v>
      </c>
      <c r="G1302" s="22" t="str">
        <f>VLOOKUP($A1302, 'Medical Examinations'!$A:$I, 6, FALSE)</f>
        <v>No</v>
      </c>
      <c r="H1302" s="22">
        <f>VLOOKUP($A1302,'Medical Examinations'!$A:$L,10, FALSE)</f>
        <v>2</v>
      </c>
      <c r="I1302" s="22" t="str">
        <f>VLOOKUP($A1302, 'Medical Examinations'!$A:$J, 9, FALSE)</f>
        <v>No</v>
      </c>
      <c r="J1302" s="22" t="str">
        <f>VLOOKUP($A1302, 'Medical Examinations'!$A:$P, 11, FALSE)</f>
        <v>OVERWEIGHT</v>
      </c>
      <c r="K1302" s="34">
        <v>38348.0</v>
      </c>
      <c r="L1302" s="35">
        <f>VLOOKUP($A1302, 'Hospitalisation Details'!$A:$H, 7, FALSE)</f>
        <v>8442.67</v>
      </c>
      <c r="M1302" s="22" t="str">
        <f>VLOOKUP($A1302, 'Hospitalisation Details'!$A:$L, 12, FALSE)</f>
        <v>tier - 2</v>
      </c>
      <c r="N1302" s="22" t="str">
        <f>VLOOKUP($A1302, 'Hospitalisation Details'!$A:$M, 13, FALSE)</f>
        <v>tier - 3</v>
      </c>
      <c r="O1302" s="22" t="str">
        <f>VLOOKUP($A1302, 'Hospitalisation Details'!$A:$N, 14, FALSE)</f>
        <v>R1013</v>
      </c>
      <c r="P1302" s="36">
        <f>VLOOKUP($A1302, 'Hospitalisation Details'!$A:$O, 15, FALSE)</f>
        <v>50</v>
      </c>
    </row>
    <row r="1303" ht="15.75" customHeight="1">
      <c r="A1303" s="33" t="s">
        <v>2605</v>
      </c>
      <c r="B1303" s="22" t="str">
        <f>VLOOKUP($A1303,'Customer Names'!$A:$D,3, FALSE)</f>
        <v>Pett</v>
      </c>
      <c r="C1303" s="22">
        <f>VLOOKUP($A1303,'Medical Examinations'!$A:$D, 2, FALSE)</f>
        <v>18.84</v>
      </c>
      <c r="D1303" s="22">
        <f>VLOOKUP($A1303, 'Medical Examinations'!$A:$D,3, FALSE)</f>
        <v>11.82</v>
      </c>
      <c r="E1303" s="22" t="str">
        <f>VLOOKUP($A1303, 'Medical Examinations'!$A:$D, 4, FALSE)</f>
        <v>Yes</v>
      </c>
      <c r="F1303" s="22" t="str">
        <f>VLOOKUP($A1303, 'Medical Examinations'!$A:$J, 5, FALSE)</f>
        <v>No</v>
      </c>
      <c r="G1303" s="22" t="str">
        <f>VLOOKUP($A1303, 'Medical Examinations'!$A:$I, 6, FALSE)</f>
        <v>Yes</v>
      </c>
      <c r="H1303" s="22">
        <f>VLOOKUP($A1303,'Medical Examinations'!$A:$L,10, FALSE)</f>
        <v>1</v>
      </c>
      <c r="I1303" s="22" t="str">
        <f>VLOOKUP($A1303, 'Medical Examinations'!$A:$J, 9, FALSE)</f>
        <v>No</v>
      </c>
      <c r="J1303" s="22" t="str">
        <f>VLOOKUP($A1303, 'Medical Examinations'!$A:$P, 11, FALSE)</f>
        <v>NORMAL WEIGHT</v>
      </c>
      <c r="K1303" s="34">
        <v>34674.0</v>
      </c>
      <c r="L1303" s="35">
        <f>VLOOKUP($A1303, 'Hospitalisation Details'!$A:$H, 7, FALSE)</f>
        <v>8440.05</v>
      </c>
      <c r="M1303" s="22" t="str">
        <f>VLOOKUP($A1303, 'Hospitalisation Details'!$A:$L, 12, FALSE)</f>
        <v>tier - 3</v>
      </c>
      <c r="N1303" s="22" t="str">
        <f>VLOOKUP($A1303, 'Hospitalisation Details'!$A:$M, 13, FALSE)</f>
        <v>tier - 2</v>
      </c>
      <c r="O1303" s="22" t="str">
        <f>VLOOKUP($A1303, 'Hospitalisation Details'!$A:$N, 14, FALSE)</f>
        <v>R1013</v>
      </c>
      <c r="P1303" s="36">
        <f>VLOOKUP($A1303, 'Hospitalisation Details'!$A:$O, 15, FALSE)</f>
        <v>59</v>
      </c>
    </row>
    <row r="1304" ht="15.75" customHeight="1">
      <c r="A1304" s="33" t="s">
        <v>2607</v>
      </c>
      <c r="B1304" s="22" t="str">
        <f>VLOOKUP($A1304,'Customer Names'!$A:$D,3, FALSE)</f>
        <v>Meingast</v>
      </c>
      <c r="C1304" s="22">
        <f>VLOOKUP($A1304,'Medical Examinations'!$A:$D, 2, FALSE)</f>
        <v>19.57</v>
      </c>
      <c r="D1304" s="22">
        <f>VLOOKUP($A1304, 'Medical Examinations'!$A:$D,3, FALSE)</f>
        <v>7.41</v>
      </c>
      <c r="E1304" s="22" t="str">
        <f>VLOOKUP($A1304, 'Medical Examinations'!$A:$D, 4, FALSE)</f>
        <v>Yes</v>
      </c>
      <c r="F1304" s="22" t="str">
        <f>VLOOKUP($A1304, 'Medical Examinations'!$A:$J, 5, FALSE)</f>
        <v>No</v>
      </c>
      <c r="G1304" s="22" t="str">
        <f>VLOOKUP($A1304, 'Medical Examinations'!$A:$I, 6, FALSE)</f>
        <v>No</v>
      </c>
      <c r="H1304" s="22">
        <f>VLOOKUP($A1304,'Medical Examinations'!$A:$L,10, FALSE)</f>
        <v>1</v>
      </c>
      <c r="I1304" s="22" t="str">
        <f>VLOOKUP($A1304, 'Medical Examinations'!$A:$J, 9, FALSE)</f>
        <v>No</v>
      </c>
      <c r="J1304" s="22" t="str">
        <f>VLOOKUP($A1304, 'Medical Examinations'!$A:$P, 11, FALSE)</f>
        <v>NORMAL WEIGHT</v>
      </c>
      <c r="K1304" s="34">
        <v>37822.0</v>
      </c>
      <c r="L1304" s="35">
        <f>VLOOKUP($A1304, 'Hospitalisation Details'!$A:$H, 7, FALSE)</f>
        <v>8428.07</v>
      </c>
      <c r="M1304" s="22" t="str">
        <f>VLOOKUP($A1304, 'Hospitalisation Details'!$A:$L, 12, FALSE)</f>
        <v>tier - 3</v>
      </c>
      <c r="N1304" s="22" t="str">
        <f>VLOOKUP($A1304, 'Hospitalisation Details'!$A:$M, 13, FALSE)</f>
        <v>tier - 2</v>
      </c>
      <c r="O1304" s="22" t="str">
        <f>VLOOKUP($A1304, 'Hospitalisation Details'!$A:$N, 14, FALSE)</f>
        <v>R1012</v>
      </c>
      <c r="P1304" s="36">
        <f>VLOOKUP($A1304, 'Hospitalisation Details'!$A:$O, 15, FALSE)</f>
        <v>47</v>
      </c>
    </row>
    <row r="1305" ht="15.75" customHeight="1">
      <c r="A1305" s="33" t="s">
        <v>2609</v>
      </c>
      <c r="B1305" s="22" t="str">
        <f>VLOOKUP($A1305,'Customer Names'!$A:$D,3, FALSE)</f>
        <v>McCarthy</v>
      </c>
      <c r="C1305" s="22">
        <f>VLOOKUP($A1305,'Medical Examinations'!$A:$D, 2, FALSE)</f>
        <v>30.495</v>
      </c>
      <c r="D1305" s="22">
        <f>VLOOKUP($A1305, 'Medical Examinations'!$A:$D,3, FALSE)</f>
        <v>5.97</v>
      </c>
      <c r="E1305" s="22" t="str">
        <f>VLOOKUP($A1305, 'Medical Examinations'!$A:$D, 4, FALSE)</f>
        <v>No</v>
      </c>
      <c r="F1305" s="22" t="str">
        <f>VLOOKUP($A1305, 'Medical Examinations'!$A:$J, 5, FALSE)</f>
        <v>No</v>
      </c>
      <c r="G1305" s="22" t="str">
        <f>VLOOKUP($A1305, 'Medical Examinations'!$A:$I, 6, FALSE)</f>
        <v>No</v>
      </c>
      <c r="H1305" s="22">
        <f>VLOOKUP($A1305,'Medical Examinations'!$A:$L,10, FALSE)</f>
        <v>0</v>
      </c>
      <c r="I1305" s="22" t="str">
        <f>VLOOKUP($A1305, 'Medical Examinations'!$A:$J, 9, FALSE)</f>
        <v>No</v>
      </c>
      <c r="J1305" s="22" t="str">
        <f>VLOOKUP($A1305, 'Medical Examinations'!$A:$P, 11, FALSE)</f>
        <v>OBESITY</v>
      </c>
      <c r="K1305" s="34">
        <v>36506.0</v>
      </c>
      <c r="L1305" s="35">
        <f>VLOOKUP($A1305, 'Hospitalisation Details'!$A:$H, 7, FALSE)</f>
        <v>8413.46</v>
      </c>
      <c r="M1305" s="22" t="str">
        <f>VLOOKUP($A1305, 'Hospitalisation Details'!$A:$L, 12, FALSE)</f>
        <v>tier - 3</v>
      </c>
      <c r="N1305" s="22" t="str">
        <f>VLOOKUP($A1305, 'Hospitalisation Details'!$A:$M, 13, FALSE)</f>
        <v>tier - 1</v>
      </c>
      <c r="O1305" s="22" t="str">
        <f>VLOOKUP($A1305, 'Hospitalisation Details'!$A:$N, 14, FALSE)</f>
        <v>R1012</v>
      </c>
      <c r="P1305" s="36">
        <f>VLOOKUP($A1305, 'Hospitalisation Details'!$A:$O, 15, FALSE)</f>
        <v>45</v>
      </c>
    </row>
    <row r="1306" ht="15.75" customHeight="1">
      <c r="A1306" s="33" t="s">
        <v>2611</v>
      </c>
      <c r="B1306" s="22" t="str">
        <f>VLOOKUP($A1306,'Customer Names'!$A:$D,3, FALSE)</f>
        <v>Boyle</v>
      </c>
      <c r="C1306" s="22">
        <f>VLOOKUP($A1306,'Medical Examinations'!$A:$D, 2, FALSE)</f>
        <v>30.115</v>
      </c>
      <c r="D1306" s="22">
        <f>VLOOKUP($A1306, 'Medical Examinations'!$A:$D,3, FALSE)</f>
        <v>5.74</v>
      </c>
      <c r="E1306" s="22" t="str">
        <f>VLOOKUP($A1306, 'Medical Examinations'!$A:$D, 4, FALSE)</f>
        <v>No</v>
      </c>
      <c r="F1306" s="22" t="str">
        <f>VLOOKUP($A1306, 'Medical Examinations'!$A:$J, 5, FALSE)</f>
        <v>No</v>
      </c>
      <c r="G1306" s="22" t="str">
        <f>VLOOKUP($A1306, 'Medical Examinations'!$A:$I, 6, FALSE)</f>
        <v>Yes</v>
      </c>
      <c r="H1306" s="22">
        <f>VLOOKUP($A1306,'Medical Examinations'!$A:$L,10, FALSE)</f>
        <v>1</v>
      </c>
      <c r="I1306" s="22" t="str">
        <f>VLOOKUP($A1306, 'Medical Examinations'!$A:$J, 9, FALSE)</f>
        <v>No</v>
      </c>
      <c r="J1306" s="22" t="str">
        <f>VLOOKUP($A1306, 'Medical Examinations'!$A:$P, 11, FALSE)</f>
        <v>OBESITY</v>
      </c>
      <c r="K1306" s="34">
        <v>37837.0</v>
      </c>
      <c r="L1306" s="35">
        <f>VLOOKUP($A1306, 'Hospitalisation Details'!$A:$H, 7, FALSE)</f>
        <v>8410.05</v>
      </c>
      <c r="M1306" s="22" t="str">
        <f>VLOOKUP($A1306, 'Hospitalisation Details'!$A:$L, 12, FALSE)</f>
        <v>tier - 2</v>
      </c>
      <c r="N1306" s="22" t="str">
        <f>VLOOKUP($A1306, 'Hospitalisation Details'!$A:$M, 13, FALSE)</f>
        <v>tier - 2</v>
      </c>
      <c r="O1306" s="22" t="str">
        <f>VLOOKUP($A1306, 'Hospitalisation Details'!$A:$N, 14, FALSE)</f>
        <v>R1012</v>
      </c>
      <c r="P1306" s="36">
        <f>VLOOKUP($A1306, 'Hospitalisation Details'!$A:$O, 15, FALSE)</f>
        <v>43</v>
      </c>
    </row>
    <row r="1307" ht="15.75" customHeight="1">
      <c r="A1307" s="33" t="s">
        <v>2613</v>
      </c>
      <c r="B1307" s="22" t="str">
        <f>VLOOKUP($A1307,'Customer Names'!$A:$D,3, FALSE)</f>
        <v>Gundersen</v>
      </c>
      <c r="C1307" s="22">
        <f>VLOOKUP($A1307,'Medical Examinations'!$A:$D, 2, FALSE)</f>
        <v>24.78</v>
      </c>
      <c r="D1307" s="22">
        <f>VLOOKUP($A1307, 'Medical Examinations'!$A:$D,3, FALSE)</f>
        <v>9.85</v>
      </c>
      <c r="E1307" s="22" t="str">
        <f>VLOOKUP($A1307, 'Medical Examinations'!$A:$D, 4, FALSE)</f>
        <v>No</v>
      </c>
      <c r="F1307" s="22" t="str">
        <f>VLOOKUP($A1307, 'Medical Examinations'!$A:$J, 5, FALSE)</f>
        <v>No</v>
      </c>
      <c r="G1307" s="22" t="str">
        <f>VLOOKUP($A1307, 'Medical Examinations'!$A:$I, 6, FALSE)</f>
        <v>No</v>
      </c>
      <c r="H1307" s="22">
        <f>VLOOKUP($A1307,'Medical Examinations'!$A:$L,10, FALSE)</f>
        <v>0</v>
      </c>
      <c r="I1307" s="22" t="str">
        <f>VLOOKUP($A1307, 'Medical Examinations'!$A:$J, 9, FALSE)</f>
        <v>No</v>
      </c>
      <c r="J1307" s="22" t="str">
        <f>VLOOKUP($A1307, 'Medical Examinations'!$A:$P, 11, FALSE)</f>
        <v>NORMAL WEIGHT</v>
      </c>
      <c r="K1307" s="34">
        <v>37844.0</v>
      </c>
      <c r="L1307" s="35">
        <f>VLOOKUP($A1307, 'Hospitalisation Details'!$A:$H, 7, FALSE)</f>
        <v>8400.01</v>
      </c>
      <c r="M1307" s="22" t="str">
        <f>VLOOKUP($A1307, 'Hospitalisation Details'!$A:$L, 12, FALSE)</f>
        <v>tier - 2</v>
      </c>
      <c r="N1307" s="22" t="str">
        <f>VLOOKUP($A1307, 'Hospitalisation Details'!$A:$M, 13, FALSE)</f>
        <v>tier - 3</v>
      </c>
      <c r="O1307" s="22" t="str">
        <f>VLOOKUP($A1307, 'Hospitalisation Details'!$A:$N, 14, FALSE)</f>
        <v>R1013</v>
      </c>
      <c r="P1307" s="36">
        <f>VLOOKUP($A1307, 'Hospitalisation Details'!$A:$O, 15, FALSE)</f>
        <v>51</v>
      </c>
    </row>
    <row r="1308" ht="15.75" customHeight="1">
      <c r="A1308" s="33" t="s">
        <v>2615</v>
      </c>
      <c r="B1308" s="22" t="str">
        <f>VLOOKUP($A1308,'Customer Names'!$A:$D,3, FALSE)</f>
        <v>Wolswinkel</v>
      </c>
      <c r="C1308" s="22">
        <f>VLOOKUP($A1308,'Medical Examinations'!$A:$D, 2, FALSE)</f>
        <v>24.77</v>
      </c>
      <c r="D1308" s="22">
        <f>VLOOKUP($A1308, 'Medical Examinations'!$A:$D,3, FALSE)</f>
        <v>7.59</v>
      </c>
      <c r="E1308" s="22" t="str">
        <f>VLOOKUP($A1308, 'Medical Examinations'!$A:$D, 4, FALSE)</f>
        <v>No</v>
      </c>
      <c r="F1308" s="22" t="str">
        <f>VLOOKUP($A1308, 'Medical Examinations'!$A:$J, 5, FALSE)</f>
        <v>No</v>
      </c>
      <c r="G1308" s="22" t="str">
        <f>VLOOKUP($A1308, 'Medical Examinations'!$A:$I, 6, FALSE)</f>
        <v>No</v>
      </c>
      <c r="H1308" s="22">
        <f>VLOOKUP($A1308,'Medical Examinations'!$A:$L,10, FALSE)</f>
        <v>0</v>
      </c>
      <c r="I1308" s="22" t="str">
        <f>VLOOKUP($A1308, 'Medical Examinations'!$A:$J, 9, FALSE)</f>
        <v>No</v>
      </c>
      <c r="J1308" s="22" t="str">
        <f>VLOOKUP($A1308, 'Medical Examinations'!$A:$P, 11, FALSE)</f>
        <v>NORMAL WEIGHT</v>
      </c>
      <c r="K1308" s="34">
        <v>36434.0</v>
      </c>
      <c r="L1308" s="35">
        <f>VLOOKUP($A1308, 'Hospitalisation Details'!$A:$H, 7, FALSE)</f>
        <v>8396.62</v>
      </c>
      <c r="M1308" s="22" t="str">
        <f>VLOOKUP($A1308, 'Hospitalisation Details'!$A:$L, 12, FALSE)</f>
        <v>tier - 2</v>
      </c>
      <c r="N1308" s="22" t="str">
        <f>VLOOKUP($A1308, 'Hospitalisation Details'!$A:$M, 13, FALSE)</f>
        <v>tier - 3</v>
      </c>
      <c r="O1308" s="22" t="str">
        <f>VLOOKUP($A1308, 'Hospitalisation Details'!$A:$N, 14, FALSE)</f>
        <v>R1013</v>
      </c>
      <c r="P1308" s="36">
        <f>VLOOKUP($A1308, 'Hospitalisation Details'!$A:$O, 15, FALSE)</f>
        <v>51</v>
      </c>
    </row>
    <row r="1309" ht="15.75" customHeight="1">
      <c r="A1309" s="33" t="s">
        <v>2617</v>
      </c>
      <c r="B1309" s="22" t="str">
        <f>VLOOKUP($A1309,'Customer Names'!$A:$D,3, FALSE)</f>
        <v>Bomberger</v>
      </c>
      <c r="C1309" s="22">
        <f>VLOOKUP($A1309,'Medical Examinations'!$A:$D, 2, FALSE)</f>
        <v>16.58</v>
      </c>
      <c r="D1309" s="22">
        <f>VLOOKUP($A1309, 'Medical Examinations'!$A:$D,3, FALSE)</f>
        <v>6.98</v>
      </c>
      <c r="E1309" s="22" t="str">
        <f>VLOOKUP($A1309, 'Medical Examinations'!$A:$D, 4, FALSE)</f>
        <v>Yes</v>
      </c>
      <c r="F1309" s="22" t="str">
        <f>VLOOKUP($A1309, 'Medical Examinations'!$A:$J, 5, FALSE)</f>
        <v>No</v>
      </c>
      <c r="G1309" s="22" t="str">
        <f>VLOOKUP($A1309, 'Medical Examinations'!$A:$I, 6, FALSE)</f>
        <v>Yes</v>
      </c>
      <c r="H1309" s="22">
        <f>VLOOKUP($A1309,'Medical Examinations'!$A:$L,10, FALSE)</f>
        <v>1</v>
      </c>
      <c r="I1309" s="22" t="str">
        <f>VLOOKUP($A1309, 'Medical Examinations'!$A:$J, 9, FALSE)</f>
        <v>No</v>
      </c>
      <c r="J1309" s="22" t="str">
        <f>VLOOKUP($A1309, 'Medical Examinations'!$A:$P, 11, FALSE)</f>
        <v>UNDERWEIGHT</v>
      </c>
      <c r="K1309" s="34">
        <v>32467.0</v>
      </c>
      <c r="L1309" s="35">
        <f>VLOOKUP($A1309, 'Hospitalisation Details'!$A:$H, 7, FALSE)</f>
        <v>8355.54</v>
      </c>
      <c r="M1309" s="22" t="str">
        <f>VLOOKUP($A1309, 'Hospitalisation Details'!$A:$L, 12, FALSE)</f>
        <v>tier - 3</v>
      </c>
      <c r="N1309" s="22" t="str">
        <f>VLOOKUP($A1309, 'Hospitalisation Details'!$A:$M, 13, FALSE)</f>
        <v>tier - 3</v>
      </c>
      <c r="O1309" s="22" t="str">
        <f>VLOOKUP($A1309, 'Hospitalisation Details'!$A:$N, 14, FALSE)</f>
        <v>R1012</v>
      </c>
      <c r="P1309" s="36">
        <f>VLOOKUP($A1309, 'Hospitalisation Details'!$A:$O, 15, FALSE)</f>
        <v>59</v>
      </c>
    </row>
    <row r="1310" ht="15.75" customHeight="1">
      <c r="A1310" s="33" t="s">
        <v>2619</v>
      </c>
      <c r="B1310" s="22" t="str">
        <f>VLOOKUP($A1310,'Customer Names'!$A:$D,3, FALSE)</f>
        <v>Roy</v>
      </c>
      <c r="C1310" s="22">
        <f>VLOOKUP($A1310,'Medical Examinations'!$A:$D, 2, FALSE)</f>
        <v>38.17</v>
      </c>
      <c r="D1310" s="22">
        <f>VLOOKUP($A1310, 'Medical Examinations'!$A:$D,3, FALSE)</f>
        <v>4.73</v>
      </c>
      <c r="E1310" s="22" t="str">
        <f>VLOOKUP($A1310, 'Medical Examinations'!$A:$D, 4, FALSE)</f>
        <v>Yes</v>
      </c>
      <c r="F1310" s="22" t="str">
        <f>VLOOKUP($A1310, 'Medical Examinations'!$A:$J, 5, FALSE)</f>
        <v>No</v>
      </c>
      <c r="G1310" s="22" t="str">
        <f>VLOOKUP($A1310, 'Medical Examinations'!$A:$I, 6, FALSE)</f>
        <v>No</v>
      </c>
      <c r="H1310" s="22">
        <f>VLOOKUP($A1310,'Medical Examinations'!$A:$L,10, FALSE)</f>
        <v>0</v>
      </c>
      <c r="I1310" s="22" t="str">
        <f>VLOOKUP($A1310, 'Medical Examinations'!$A:$J, 9, FALSE)</f>
        <v>No</v>
      </c>
      <c r="J1310" s="22" t="str">
        <f>VLOOKUP($A1310, 'Medical Examinations'!$A:$P, 11, FALSE)</f>
        <v>OBESITY</v>
      </c>
      <c r="K1310" s="34">
        <v>36481.0</v>
      </c>
      <c r="L1310" s="35">
        <f>VLOOKUP($A1310, 'Hospitalisation Details'!$A:$H, 7, FALSE)</f>
        <v>8347.16</v>
      </c>
      <c r="M1310" s="22" t="str">
        <f>VLOOKUP($A1310, 'Hospitalisation Details'!$A:$L, 12, FALSE)</f>
        <v>tier - 2</v>
      </c>
      <c r="N1310" s="22" t="str">
        <f>VLOOKUP($A1310, 'Hospitalisation Details'!$A:$M, 13, FALSE)</f>
        <v>tier - 1</v>
      </c>
      <c r="O1310" s="22" t="str">
        <f>VLOOKUP($A1310, 'Hospitalisation Details'!$A:$N, 14, FALSE)</f>
        <v>R1013</v>
      </c>
      <c r="P1310" s="36">
        <f>VLOOKUP($A1310, 'Hospitalisation Details'!$A:$O, 15, FALSE)</f>
        <v>46</v>
      </c>
    </row>
    <row r="1311" ht="15.75" customHeight="1">
      <c r="A1311" s="33" t="s">
        <v>2621</v>
      </c>
      <c r="B1311" s="22" t="str">
        <f>VLOOKUP($A1311,'Customer Names'!$A:$D,3, FALSE)</f>
        <v>Lapierre</v>
      </c>
      <c r="C1311" s="22">
        <f>VLOOKUP($A1311,'Medical Examinations'!$A:$D, 2, FALSE)</f>
        <v>39.425</v>
      </c>
      <c r="D1311" s="22">
        <f>VLOOKUP($A1311, 'Medical Examinations'!$A:$D,3, FALSE)</f>
        <v>4.76</v>
      </c>
      <c r="E1311" s="22" t="str">
        <f>VLOOKUP($A1311, 'Medical Examinations'!$A:$D, 4, FALSE)</f>
        <v>Yes</v>
      </c>
      <c r="F1311" s="22" t="str">
        <f>VLOOKUP($A1311, 'Medical Examinations'!$A:$J, 5, FALSE)</f>
        <v>No</v>
      </c>
      <c r="G1311" s="22" t="str">
        <f>VLOOKUP($A1311, 'Medical Examinations'!$A:$I, 6, FALSE)</f>
        <v>No</v>
      </c>
      <c r="H1311" s="22">
        <f>VLOOKUP($A1311,'Medical Examinations'!$A:$L,10, FALSE)</f>
        <v>0</v>
      </c>
      <c r="I1311" s="22" t="str">
        <f>VLOOKUP($A1311, 'Medical Examinations'!$A:$J, 9, FALSE)</f>
        <v>No</v>
      </c>
      <c r="J1311" s="22" t="str">
        <f>VLOOKUP($A1311, 'Medical Examinations'!$A:$P, 11, FALSE)</f>
        <v>OBESITY</v>
      </c>
      <c r="K1311" s="34">
        <v>38218.0</v>
      </c>
      <c r="L1311" s="35">
        <f>VLOOKUP($A1311, 'Hospitalisation Details'!$A:$H, 7, FALSE)</f>
        <v>8342.91</v>
      </c>
      <c r="M1311" s="22" t="str">
        <f>VLOOKUP($A1311, 'Hospitalisation Details'!$A:$L, 12, FALSE)</f>
        <v>tier - 3</v>
      </c>
      <c r="N1311" s="22" t="str">
        <f>VLOOKUP($A1311, 'Hospitalisation Details'!$A:$M, 13, FALSE)</f>
        <v>tier - 1</v>
      </c>
      <c r="O1311" s="22" t="str">
        <f>VLOOKUP($A1311, 'Hospitalisation Details'!$A:$N, 14, FALSE)</f>
        <v>R1016</v>
      </c>
      <c r="P1311" s="36">
        <f>VLOOKUP($A1311, 'Hospitalisation Details'!$A:$O, 15, FALSE)</f>
        <v>46</v>
      </c>
    </row>
    <row r="1312" ht="15.75" customHeight="1">
      <c r="A1312" s="33" t="s">
        <v>2623</v>
      </c>
      <c r="B1312" s="22" t="str">
        <f>VLOOKUP($A1312,'Customer Names'!$A:$D,3, FALSE)</f>
        <v>Beaty</v>
      </c>
      <c r="C1312" s="22">
        <f>VLOOKUP($A1312,'Medical Examinations'!$A:$D, 2, FALSE)</f>
        <v>33.44</v>
      </c>
      <c r="D1312" s="22">
        <f>VLOOKUP($A1312, 'Medical Examinations'!$A:$D,3, FALSE)</f>
        <v>6.24</v>
      </c>
      <c r="E1312" s="22" t="str">
        <f>VLOOKUP($A1312, 'Medical Examinations'!$A:$D, 4, FALSE)</f>
        <v>Yes</v>
      </c>
      <c r="F1312" s="22" t="str">
        <f>VLOOKUP($A1312, 'Medical Examinations'!$A:$J, 5, FALSE)</f>
        <v>No</v>
      </c>
      <c r="G1312" s="22" t="str">
        <f>VLOOKUP($A1312, 'Medical Examinations'!$A:$I, 6, FALSE)</f>
        <v>No</v>
      </c>
      <c r="H1312" s="22">
        <f>VLOOKUP($A1312,'Medical Examinations'!$A:$L,10, FALSE)</f>
        <v>0</v>
      </c>
      <c r="I1312" s="22" t="str">
        <f>VLOOKUP($A1312, 'Medical Examinations'!$A:$J, 9, FALSE)</f>
        <v>No</v>
      </c>
      <c r="J1312" s="22" t="str">
        <f>VLOOKUP($A1312, 'Medical Examinations'!$A:$P, 11, FALSE)</f>
        <v>OBESITY</v>
      </c>
      <c r="K1312" s="34">
        <v>36428.0</v>
      </c>
      <c r="L1312" s="35">
        <f>VLOOKUP($A1312, 'Hospitalisation Details'!$A:$H, 7, FALSE)</f>
        <v>8334.59</v>
      </c>
      <c r="M1312" s="22" t="str">
        <f>VLOOKUP($A1312, 'Hospitalisation Details'!$A:$L, 12, FALSE)</f>
        <v>tier - 3</v>
      </c>
      <c r="N1312" s="22" t="str">
        <f>VLOOKUP($A1312, 'Hospitalisation Details'!$A:$M, 13, FALSE)</f>
        <v>tier - 2</v>
      </c>
      <c r="O1312" s="22" t="str">
        <f>VLOOKUP($A1312, 'Hospitalisation Details'!$A:$N, 14, FALSE)</f>
        <v>R1016</v>
      </c>
      <c r="P1312" s="36">
        <f>VLOOKUP($A1312, 'Hospitalisation Details'!$A:$O, 15, FALSE)</f>
        <v>46</v>
      </c>
    </row>
    <row r="1313" ht="15.75" customHeight="1">
      <c r="A1313" s="33" t="s">
        <v>2625</v>
      </c>
      <c r="B1313" s="22" t="str">
        <f>VLOOKUP($A1313,'Customer Names'!$A:$D,3, FALSE)</f>
        <v>Hammer</v>
      </c>
      <c r="C1313" s="22">
        <f>VLOOKUP($A1313,'Medical Examinations'!$A:$D, 2, FALSE)</f>
        <v>33.345</v>
      </c>
      <c r="D1313" s="22">
        <f>VLOOKUP($A1313, 'Medical Examinations'!$A:$D,3, FALSE)</f>
        <v>5.44</v>
      </c>
      <c r="E1313" s="22" t="str">
        <f>VLOOKUP($A1313, 'Medical Examinations'!$A:$D, 4, FALSE)</f>
        <v>Yes</v>
      </c>
      <c r="F1313" s="22" t="str">
        <f>VLOOKUP($A1313, 'Medical Examinations'!$A:$J, 5, FALSE)</f>
        <v>No</v>
      </c>
      <c r="G1313" s="22" t="str">
        <f>VLOOKUP($A1313, 'Medical Examinations'!$A:$I, 6, FALSE)</f>
        <v>No</v>
      </c>
      <c r="H1313" s="22">
        <f>VLOOKUP($A1313,'Medical Examinations'!$A:$L,10, FALSE)</f>
        <v>0</v>
      </c>
      <c r="I1313" s="22" t="str">
        <f>VLOOKUP($A1313, 'Medical Examinations'!$A:$J, 9, FALSE)</f>
        <v>No</v>
      </c>
      <c r="J1313" s="22" t="str">
        <f>VLOOKUP($A1313, 'Medical Examinations'!$A:$P, 11, FALSE)</f>
        <v>OBESITY</v>
      </c>
      <c r="K1313" s="34">
        <v>37603.0</v>
      </c>
      <c r="L1313" s="35">
        <f>VLOOKUP($A1313, 'Hospitalisation Details'!$A:$H, 7, FALSE)</f>
        <v>8334.46</v>
      </c>
      <c r="M1313" s="22" t="str">
        <f>VLOOKUP($A1313, 'Hospitalisation Details'!$A:$L, 12, FALSE)</f>
        <v>tier - 3</v>
      </c>
      <c r="N1313" s="22" t="str">
        <f>VLOOKUP($A1313, 'Hospitalisation Details'!$A:$M, 13, FALSE)</f>
        <v>tier - 2</v>
      </c>
      <c r="O1313" s="22" t="str">
        <f>VLOOKUP($A1313, 'Hospitalisation Details'!$A:$N, 14, FALSE)</f>
        <v>R1016</v>
      </c>
      <c r="P1313" s="36">
        <f>VLOOKUP($A1313, 'Hospitalisation Details'!$A:$O, 15, FALSE)</f>
        <v>46</v>
      </c>
    </row>
    <row r="1314" ht="15.75" customHeight="1">
      <c r="A1314" s="33" t="s">
        <v>2627</v>
      </c>
      <c r="B1314" s="22" t="str">
        <f>VLOOKUP($A1314,'Customer Names'!$A:$D,3, FALSE)</f>
        <v>Randolph</v>
      </c>
      <c r="C1314" s="22">
        <f>VLOOKUP($A1314,'Medical Examinations'!$A:$D, 2, FALSE)</f>
        <v>38.79</v>
      </c>
      <c r="D1314" s="22">
        <f>VLOOKUP($A1314, 'Medical Examinations'!$A:$D,3, FALSE)</f>
        <v>5.08</v>
      </c>
      <c r="E1314" s="22" t="str">
        <f>VLOOKUP($A1314, 'Medical Examinations'!$A:$D, 4, FALSE)</f>
        <v>No</v>
      </c>
      <c r="F1314" s="22" t="str">
        <f>VLOOKUP($A1314, 'Medical Examinations'!$A:$J, 5, FALSE)</f>
        <v>No</v>
      </c>
      <c r="G1314" s="22" t="str">
        <f>VLOOKUP($A1314, 'Medical Examinations'!$A:$I, 6, FALSE)</f>
        <v>Yes</v>
      </c>
      <c r="H1314" s="22">
        <f>VLOOKUP($A1314,'Medical Examinations'!$A:$L,10, FALSE)</f>
        <v>1</v>
      </c>
      <c r="I1314" s="22" t="str">
        <f>VLOOKUP($A1314, 'Medical Examinations'!$A:$J, 9, FALSE)</f>
        <v>No</v>
      </c>
      <c r="J1314" s="22" t="str">
        <f>VLOOKUP($A1314, 'Medical Examinations'!$A:$P, 11, FALSE)</f>
        <v>OBESITY</v>
      </c>
      <c r="K1314" s="34">
        <v>37944.0</v>
      </c>
      <c r="L1314" s="35">
        <f>VLOOKUP($A1314, 'Hospitalisation Details'!$A:$H, 7, FALSE)</f>
        <v>8314.65</v>
      </c>
      <c r="M1314" s="22" t="str">
        <f>VLOOKUP($A1314, 'Hospitalisation Details'!$A:$L, 12, FALSE)</f>
        <v>tier - 2</v>
      </c>
      <c r="N1314" s="22" t="str">
        <f>VLOOKUP($A1314, 'Hospitalisation Details'!$A:$M, 13, FALSE)</f>
        <v>tier - 1</v>
      </c>
      <c r="O1314" s="22" t="str">
        <f>VLOOKUP($A1314, 'Hospitalisation Details'!$A:$N, 14, FALSE)</f>
        <v>R1012</v>
      </c>
      <c r="P1314" s="36">
        <f>VLOOKUP($A1314, 'Hospitalisation Details'!$A:$O, 15, FALSE)</f>
        <v>29</v>
      </c>
    </row>
    <row r="1315" ht="15.75" customHeight="1">
      <c r="A1315" s="33" t="s">
        <v>2629</v>
      </c>
      <c r="B1315" s="22" t="str">
        <f>VLOOKUP($A1315,'Customer Names'!$A:$D,3, FALSE)</f>
        <v>Masterson</v>
      </c>
      <c r="C1315" s="22">
        <f>VLOOKUP($A1315,'Medical Examinations'!$A:$D, 2, FALSE)</f>
        <v>30.685</v>
      </c>
      <c r="D1315" s="22">
        <f>VLOOKUP($A1315, 'Medical Examinations'!$A:$D,3, FALSE)</f>
        <v>4.87</v>
      </c>
      <c r="E1315" s="22" t="str">
        <f>VLOOKUP($A1315, 'Medical Examinations'!$A:$D, 4, FALSE)</f>
        <v>No</v>
      </c>
      <c r="F1315" s="22" t="str">
        <f>VLOOKUP($A1315, 'Medical Examinations'!$A:$J, 5, FALSE)</f>
        <v>No</v>
      </c>
      <c r="G1315" s="22" t="str">
        <f>VLOOKUP($A1315, 'Medical Examinations'!$A:$I, 6, FALSE)</f>
        <v>Yes</v>
      </c>
      <c r="H1315" s="22">
        <f>VLOOKUP($A1315,'Medical Examinations'!$A:$L,10, FALSE)</f>
        <v>1</v>
      </c>
      <c r="I1315" s="22" t="str">
        <f>VLOOKUP($A1315, 'Medical Examinations'!$A:$J, 9, FALSE)</f>
        <v>No</v>
      </c>
      <c r="J1315" s="22" t="str">
        <f>VLOOKUP($A1315, 'Medical Examinations'!$A:$P, 11, FALSE)</f>
        <v>OBESITY</v>
      </c>
      <c r="K1315" s="34">
        <v>36075.0</v>
      </c>
      <c r="L1315" s="35">
        <f>VLOOKUP($A1315, 'Hospitalisation Details'!$A:$H, 7, FALSE)</f>
        <v>8310.84</v>
      </c>
      <c r="M1315" s="22" t="str">
        <f>VLOOKUP($A1315, 'Hospitalisation Details'!$A:$L, 12, FALSE)</f>
        <v>tier - 2</v>
      </c>
      <c r="N1315" s="22" t="str">
        <f>VLOOKUP($A1315, 'Hospitalisation Details'!$A:$M, 13, FALSE)</f>
        <v>tier - 2</v>
      </c>
      <c r="O1315" s="22" t="str">
        <f>VLOOKUP($A1315, 'Hospitalisation Details'!$A:$N, 14, FALSE)</f>
        <v>R1012</v>
      </c>
      <c r="P1315" s="36">
        <f>VLOOKUP($A1315, 'Hospitalisation Details'!$A:$O, 15, FALSE)</f>
        <v>43</v>
      </c>
    </row>
    <row r="1316" ht="15.75" customHeight="1">
      <c r="A1316" s="33" t="s">
        <v>2631</v>
      </c>
      <c r="B1316" s="22" t="str">
        <f>VLOOKUP($A1316,'Customer Names'!$A:$D,3, FALSE)</f>
        <v>Friess</v>
      </c>
      <c r="C1316" s="22">
        <f>VLOOKUP($A1316,'Medical Examinations'!$A:$D, 2, FALSE)</f>
        <v>22.135</v>
      </c>
      <c r="D1316" s="22">
        <f>VLOOKUP($A1316, 'Medical Examinations'!$A:$D,3, FALSE)</f>
        <v>8.17</v>
      </c>
      <c r="E1316" s="22" t="str">
        <f>VLOOKUP($A1316, 'Medical Examinations'!$A:$D, 4, FALSE)</f>
        <v>No</v>
      </c>
      <c r="F1316" s="22" t="str">
        <f>VLOOKUP($A1316, 'Medical Examinations'!$A:$J, 5, FALSE)</f>
        <v>No</v>
      </c>
      <c r="G1316" s="22" t="str">
        <f>VLOOKUP($A1316, 'Medical Examinations'!$A:$I, 6, FALSE)</f>
        <v>No</v>
      </c>
      <c r="H1316" s="22">
        <f>VLOOKUP($A1316,'Medical Examinations'!$A:$L,10, FALSE)</f>
        <v>0</v>
      </c>
      <c r="I1316" s="22" t="str">
        <f>VLOOKUP($A1316, 'Medical Examinations'!$A:$J, 9, FALSE)</f>
        <v>No</v>
      </c>
      <c r="J1316" s="22" t="str">
        <f>VLOOKUP($A1316, 'Medical Examinations'!$A:$P, 11, FALSE)</f>
        <v>NORMAL WEIGHT</v>
      </c>
      <c r="K1316" s="34">
        <v>37890.0</v>
      </c>
      <c r="L1316" s="35">
        <f>VLOOKUP($A1316, 'Hospitalisation Details'!$A:$H, 7, FALSE)</f>
        <v>8302.54</v>
      </c>
      <c r="M1316" s="22" t="str">
        <f>VLOOKUP($A1316, 'Hospitalisation Details'!$A:$L, 12, FALSE)</f>
        <v>tier - 3</v>
      </c>
      <c r="N1316" s="22" t="str">
        <f>VLOOKUP($A1316, 'Hospitalisation Details'!$A:$M, 13, FALSE)</f>
        <v>tier - 3</v>
      </c>
      <c r="O1316" s="22" t="str">
        <f>VLOOKUP($A1316, 'Hospitalisation Details'!$A:$N, 14, FALSE)</f>
        <v>R1016</v>
      </c>
      <c r="P1316" s="36">
        <f>VLOOKUP($A1316, 'Hospitalisation Details'!$A:$O, 15, FALSE)</f>
        <v>44</v>
      </c>
    </row>
    <row r="1317" ht="15.75" customHeight="1">
      <c r="A1317" s="33" t="s">
        <v>2633</v>
      </c>
      <c r="B1317" s="22" t="str">
        <f>VLOOKUP($A1317,'Customer Names'!$A:$D,3, FALSE)</f>
        <v>Mantoni</v>
      </c>
      <c r="C1317" s="22">
        <f>VLOOKUP($A1317,'Medical Examinations'!$A:$D, 2, FALSE)</f>
        <v>33.33</v>
      </c>
      <c r="D1317" s="22">
        <f>VLOOKUP($A1317, 'Medical Examinations'!$A:$D,3, FALSE)</f>
        <v>7.61</v>
      </c>
      <c r="E1317" s="22" t="str">
        <f>VLOOKUP($A1317, 'Medical Examinations'!$A:$D, 4, FALSE)</f>
        <v>No</v>
      </c>
      <c r="F1317" s="22" t="str">
        <f>VLOOKUP($A1317, 'Medical Examinations'!$A:$J, 5, FALSE)</f>
        <v>No</v>
      </c>
      <c r="G1317" s="22" t="str">
        <f>VLOOKUP($A1317, 'Medical Examinations'!$A:$I, 6, FALSE)</f>
        <v>No</v>
      </c>
      <c r="H1317" s="22">
        <f>VLOOKUP($A1317,'Medical Examinations'!$A:$L,10, FALSE)</f>
        <v>0</v>
      </c>
      <c r="I1317" s="22" t="str">
        <f>VLOOKUP($A1317, 'Medical Examinations'!$A:$J, 9, FALSE)</f>
        <v>No</v>
      </c>
      <c r="J1317" s="22" t="str">
        <f>VLOOKUP($A1317, 'Medical Examinations'!$A:$P, 11, FALSE)</f>
        <v>OBESITY</v>
      </c>
      <c r="K1317" s="34">
        <v>37830.0</v>
      </c>
      <c r="L1317" s="35">
        <f>VLOOKUP($A1317, 'Hospitalisation Details'!$A:$H, 7, FALSE)</f>
        <v>8283.68</v>
      </c>
      <c r="M1317" s="22" t="str">
        <f>VLOOKUP($A1317, 'Hospitalisation Details'!$A:$L, 12, FALSE)</f>
        <v>tier - 2</v>
      </c>
      <c r="N1317" s="22" t="str">
        <f>VLOOKUP($A1317, 'Hospitalisation Details'!$A:$M, 13, FALSE)</f>
        <v>tier - 3</v>
      </c>
      <c r="O1317" s="22" t="str">
        <f>VLOOKUP($A1317, 'Hospitalisation Details'!$A:$N, 14, FALSE)</f>
        <v>R1013</v>
      </c>
      <c r="P1317" s="36">
        <f>VLOOKUP($A1317, 'Hospitalisation Details'!$A:$O, 15, FALSE)</f>
        <v>49</v>
      </c>
    </row>
    <row r="1318" ht="15.75" customHeight="1">
      <c r="A1318" s="33" t="s">
        <v>2635</v>
      </c>
      <c r="B1318" s="22" t="str">
        <f>VLOOKUP($A1318,'Customer Names'!$A:$D,3, FALSE)</f>
        <v>Bodeen</v>
      </c>
      <c r="C1318" s="22">
        <f>VLOOKUP($A1318,'Medical Examinations'!$A:$D, 2, FALSE)</f>
        <v>31.13</v>
      </c>
      <c r="D1318" s="22">
        <f>VLOOKUP($A1318, 'Medical Examinations'!$A:$D,3, FALSE)</f>
        <v>10.1</v>
      </c>
      <c r="E1318" s="22" t="str">
        <f>VLOOKUP($A1318, 'Medical Examinations'!$A:$D, 4, FALSE)</f>
        <v>No</v>
      </c>
      <c r="F1318" s="22" t="str">
        <f>VLOOKUP($A1318, 'Medical Examinations'!$A:$J, 5, FALSE)</f>
        <v>No</v>
      </c>
      <c r="G1318" s="22" t="str">
        <f>VLOOKUP($A1318, 'Medical Examinations'!$A:$I, 6, FALSE)</f>
        <v>No</v>
      </c>
      <c r="H1318" s="22">
        <f>VLOOKUP($A1318,'Medical Examinations'!$A:$L,10, FALSE)</f>
        <v>0</v>
      </c>
      <c r="I1318" s="22" t="str">
        <f>VLOOKUP($A1318, 'Medical Examinations'!$A:$J, 9, FALSE)</f>
        <v>No</v>
      </c>
      <c r="J1318" s="22" t="str">
        <f>VLOOKUP($A1318, 'Medical Examinations'!$A:$P, 11, FALSE)</f>
        <v>OBESITY</v>
      </c>
      <c r="K1318" s="34">
        <v>37827.0</v>
      </c>
      <c r="L1318" s="35">
        <f>VLOOKUP($A1318, 'Hospitalisation Details'!$A:$H, 7, FALSE)</f>
        <v>8280.62</v>
      </c>
      <c r="M1318" s="22" t="str">
        <f>VLOOKUP($A1318, 'Hospitalisation Details'!$A:$L, 12, FALSE)</f>
        <v>tier - 2</v>
      </c>
      <c r="N1318" s="22" t="str">
        <f>VLOOKUP($A1318, 'Hospitalisation Details'!$A:$M, 13, FALSE)</f>
        <v>tier - 2</v>
      </c>
      <c r="O1318" s="22" t="str">
        <f>VLOOKUP($A1318, 'Hospitalisation Details'!$A:$N, 14, FALSE)</f>
        <v>R1013</v>
      </c>
      <c r="P1318" s="36">
        <f>VLOOKUP($A1318, 'Hospitalisation Details'!$A:$O, 15, FALSE)</f>
        <v>48</v>
      </c>
    </row>
    <row r="1319" ht="15.75" customHeight="1">
      <c r="A1319" s="33" t="s">
        <v>2637</v>
      </c>
      <c r="B1319" s="22" t="str">
        <f>VLOOKUP($A1319,'Customer Names'!$A:$D,3, FALSE)</f>
        <v>McPherson</v>
      </c>
      <c r="C1319" s="22">
        <f>VLOOKUP($A1319,'Medical Examinations'!$A:$D, 2, FALSE)</f>
        <v>28.9</v>
      </c>
      <c r="D1319" s="22">
        <f>VLOOKUP($A1319, 'Medical Examinations'!$A:$D,3, FALSE)</f>
        <v>11.24</v>
      </c>
      <c r="E1319" s="22" t="str">
        <f>VLOOKUP($A1319, 'Medical Examinations'!$A:$D, 4, FALSE)</f>
        <v>No</v>
      </c>
      <c r="F1319" s="22" t="str">
        <f>VLOOKUP($A1319, 'Medical Examinations'!$A:$J, 5, FALSE)</f>
        <v>No</v>
      </c>
      <c r="G1319" s="22" t="str">
        <f>VLOOKUP($A1319, 'Medical Examinations'!$A:$I, 6, FALSE)</f>
        <v>No</v>
      </c>
      <c r="H1319" s="22">
        <f>VLOOKUP($A1319,'Medical Examinations'!$A:$L,10, FALSE)</f>
        <v>0</v>
      </c>
      <c r="I1319" s="22" t="str">
        <f>VLOOKUP($A1319, 'Medical Examinations'!$A:$J, 9, FALSE)</f>
        <v>No</v>
      </c>
      <c r="J1319" s="22" t="str">
        <f>VLOOKUP($A1319, 'Medical Examinations'!$A:$P, 11, FALSE)</f>
        <v>OVERWEIGHT</v>
      </c>
      <c r="K1319" s="34">
        <v>37939.0</v>
      </c>
      <c r="L1319" s="35">
        <f>VLOOKUP($A1319, 'Hospitalisation Details'!$A:$H, 7, FALSE)</f>
        <v>8277.52</v>
      </c>
      <c r="M1319" s="22" t="str">
        <f>VLOOKUP($A1319, 'Hospitalisation Details'!$A:$L, 12, FALSE)</f>
        <v>tier - 2</v>
      </c>
      <c r="N1319" s="22" t="str">
        <f>VLOOKUP($A1319, 'Hospitalisation Details'!$A:$M, 13, FALSE)</f>
        <v>tier - 2</v>
      </c>
      <c r="O1319" s="22" t="str">
        <f>VLOOKUP($A1319, 'Hospitalisation Details'!$A:$N, 14, FALSE)</f>
        <v>R1011</v>
      </c>
      <c r="P1319" s="36">
        <f>VLOOKUP($A1319, 'Hospitalisation Details'!$A:$O, 15, FALSE)</f>
        <v>48</v>
      </c>
    </row>
    <row r="1320" ht="15.75" customHeight="1">
      <c r="A1320" s="33" t="s">
        <v>2639</v>
      </c>
      <c r="B1320" s="22" t="str">
        <f>VLOOKUP($A1320,'Customer Names'!$A:$D,3, FALSE)</f>
        <v>Palko</v>
      </c>
      <c r="C1320" s="22">
        <f>VLOOKUP($A1320,'Medical Examinations'!$A:$D, 2, FALSE)</f>
        <v>43.31</v>
      </c>
      <c r="D1320" s="22">
        <f>VLOOKUP($A1320, 'Medical Examinations'!$A:$D,3, FALSE)</f>
        <v>6.1</v>
      </c>
      <c r="E1320" s="22" t="str">
        <f>VLOOKUP($A1320, 'Medical Examinations'!$A:$D, 4, FALSE)</f>
        <v>Yes</v>
      </c>
      <c r="F1320" s="22" t="str">
        <f>VLOOKUP($A1320, 'Medical Examinations'!$A:$J, 5, FALSE)</f>
        <v>Yes</v>
      </c>
      <c r="G1320" s="22" t="str">
        <f>VLOOKUP($A1320, 'Medical Examinations'!$A:$I, 6, FALSE)</f>
        <v>No</v>
      </c>
      <c r="H1320" s="22">
        <f>VLOOKUP($A1320,'Medical Examinations'!$A:$L,10, FALSE)</f>
        <v>1</v>
      </c>
      <c r="I1320" s="22" t="str">
        <f>VLOOKUP($A1320, 'Medical Examinations'!$A:$J, 9, FALSE)</f>
        <v>No</v>
      </c>
      <c r="J1320" s="22" t="str">
        <f>VLOOKUP($A1320, 'Medical Examinations'!$A:$P, 11, FALSE)</f>
        <v>OBESITY</v>
      </c>
      <c r="K1320" s="34">
        <v>26198.0</v>
      </c>
      <c r="L1320" s="35">
        <f>VLOOKUP($A1320, 'Hospitalisation Details'!$A:$H, 7, FALSE)</f>
        <v>8271.46</v>
      </c>
      <c r="M1320" s="22" t="str">
        <f>VLOOKUP($A1320, 'Hospitalisation Details'!$A:$L, 12, FALSE)</f>
        <v>tier - 2</v>
      </c>
      <c r="N1320" s="22" t="str">
        <f>VLOOKUP($A1320, 'Hospitalisation Details'!$A:$M, 13, FALSE)</f>
        <v>tier - 1</v>
      </c>
      <c r="O1320" s="22" t="str">
        <f>VLOOKUP($A1320, 'Hospitalisation Details'!$A:$N, 14, FALSE)</f>
        <v>R1023</v>
      </c>
      <c r="P1320" s="36">
        <f>VLOOKUP($A1320, 'Hospitalisation Details'!$A:$O, 15, FALSE)</f>
        <v>22</v>
      </c>
    </row>
    <row r="1321" ht="15.75" customHeight="1">
      <c r="A1321" s="33" t="s">
        <v>2641</v>
      </c>
      <c r="B1321" s="22" t="str">
        <f>VLOOKUP($A1321,'Customer Names'!$A:$D,3, FALSE)</f>
        <v>Breathitt</v>
      </c>
      <c r="C1321" s="22">
        <f>VLOOKUP($A1321,'Medical Examinations'!$A:$D, 2, FALSE)</f>
        <v>22.8</v>
      </c>
      <c r="D1321" s="22">
        <f>VLOOKUP($A1321, 'Medical Examinations'!$A:$D,3, FALSE)</f>
        <v>6.98</v>
      </c>
      <c r="E1321" s="22" t="str">
        <f>VLOOKUP($A1321, 'Medical Examinations'!$A:$D, 4, FALSE)</f>
        <v>No</v>
      </c>
      <c r="F1321" s="22" t="str">
        <f>VLOOKUP($A1321, 'Medical Examinations'!$A:$J, 5, FALSE)</f>
        <v>No</v>
      </c>
      <c r="G1321" s="22" t="str">
        <f>VLOOKUP($A1321, 'Medical Examinations'!$A:$I, 6, FALSE)</f>
        <v>No</v>
      </c>
      <c r="H1321" s="22">
        <f>VLOOKUP($A1321,'Medical Examinations'!$A:$L,10, FALSE)</f>
        <v>0</v>
      </c>
      <c r="I1321" s="22" t="str">
        <f>VLOOKUP($A1321, 'Medical Examinations'!$A:$J, 9, FALSE)</f>
        <v>No</v>
      </c>
      <c r="J1321" s="22" t="str">
        <f>VLOOKUP($A1321, 'Medical Examinations'!$A:$P, 11, FALSE)</f>
        <v>NORMAL WEIGHT</v>
      </c>
      <c r="K1321" s="34">
        <v>37934.0</v>
      </c>
      <c r="L1321" s="35">
        <f>VLOOKUP($A1321, 'Hospitalisation Details'!$A:$H, 7, FALSE)</f>
        <v>8269.04</v>
      </c>
      <c r="M1321" s="22" t="str">
        <f>VLOOKUP($A1321, 'Hospitalisation Details'!$A:$L, 12, FALSE)</f>
        <v>tier - 2</v>
      </c>
      <c r="N1321" s="22" t="str">
        <f>VLOOKUP($A1321, 'Hospitalisation Details'!$A:$M, 13, FALSE)</f>
        <v>tier - 1</v>
      </c>
      <c r="O1321" s="22" t="str">
        <f>VLOOKUP($A1321, 'Hospitalisation Details'!$A:$N, 14, FALSE)</f>
        <v>R1011</v>
      </c>
      <c r="P1321" s="36">
        <f>VLOOKUP($A1321, 'Hospitalisation Details'!$A:$O, 15, FALSE)</f>
        <v>48</v>
      </c>
    </row>
    <row r="1322" ht="15.75" customHeight="1">
      <c r="A1322" s="33" t="s">
        <v>2643</v>
      </c>
      <c r="B1322" s="22" t="str">
        <f>VLOOKUP($A1322,'Customer Names'!$A:$D,3, FALSE)</f>
        <v>Evora</v>
      </c>
      <c r="C1322" s="22">
        <f>VLOOKUP($A1322,'Medical Examinations'!$A:$D, 2, FALSE)</f>
        <v>19.09</v>
      </c>
      <c r="D1322" s="22">
        <f>VLOOKUP($A1322, 'Medical Examinations'!$A:$D,3, FALSE)</f>
        <v>4</v>
      </c>
      <c r="E1322" s="22" t="str">
        <f>VLOOKUP($A1322, 'Medical Examinations'!$A:$D, 4, FALSE)</f>
        <v>Yes</v>
      </c>
      <c r="F1322" s="22" t="str">
        <f>VLOOKUP($A1322, 'Medical Examinations'!$A:$J, 5, FALSE)</f>
        <v>No</v>
      </c>
      <c r="G1322" s="22" t="str">
        <f>VLOOKUP($A1322, 'Medical Examinations'!$A:$I, 6, FALSE)</f>
        <v>No</v>
      </c>
      <c r="H1322" s="22">
        <f>VLOOKUP($A1322,'Medical Examinations'!$A:$L,10, FALSE)</f>
        <v>1</v>
      </c>
      <c r="I1322" s="22" t="str">
        <f>VLOOKUP($A1322, 'Medical Examinations'!$A:$J, 9, FALSE)</f>
        <v>No</v>
      </c>
      <c r="J1322" s="22" t="str">
        <f>VLOOKUP($A1322, 'Medical Examinations'!$A:$P, 11, FALSE)</f>
        <v>NORMAL WEIGHT</v>
      </c>
      <c r="K1322" s="34">
        <v>37865.0</v>
      </c>
      <c r="L1322" s="35">
        <f>VLOOKUP($A1322, 'Hospitalisation Details'!$A:$H, 7, FALSE)</f>
        <v>8268</v>
      </c>
      <c r="M1322" s="22" t="str">
        <f>VLOOKUP($A1322, 'Hospitalisation Details'!$A:$L, 12, FALSE)</f>
        <v>tier - 3</v>
      </c>
      <c r="N1322" s="22" t="str">
        <f>VLOOKUP($A1322, 'Hospitalisation Details'!$A:$M, 13, FALSE)</f>
        <v>tier - 3</v>
      </c>
      <c r="O1322" s="22" t="str">
        <f>VLOOKUP($A1322, 'Hospitalisation Details'!$A:$N, 14, FALSE)</f>
        <v>R1013</v>
      </c>
      <c r="P1322" s="36">
        <f>VLOOKUP($A1322, 'Hospitalisation Details'!$A:$O, 15, FALSE)</f>
        <v>58</v>
      </c>
    </row>
    <row r="1323" ht="15.75" customHeight="1">
      <c r="A1323" s="33" t="s">
        <v>2645</v>
      </c>
      <c r="B1323" s="22" t="str">
        <f>VLOOKUP($A1323,'Customer Names'!$A:$D,3, FALSE)</f>
        <v>Fischer</v>
      </c>
      <c r="C1323" s="22">
        <f>VLOOKUP($A1323,'Medical Examinations'!$A:$D, 2, FALSE)</f>
        <v>23.37</v>
      </c>
      <c r="D1323" s="22">
        <f>VLOOKUP($A1323, 'Medical Examinations'!$A:$D,3, FALSE)</f>
        <v>4.23</v>
      </c>
      <c r="E1323" s="22" t="str">
        <f>VLOOKUP($A1323, 'Medical Examinations'!$A:$D, 4, FALSE)</f>
        <v>No</v>
      </c>
      <c r="F1323" s="22" t="str">
        <f>VLOOKUP($A1323, 'Medical Examinations'!$A:$J, 5, FALSE)</f>
        <v>No</v>
      </c>
      <c r="G1323" s="22" t="str">
        <f>VLOOKUP($A1323, 'Medical Examinations'!$A:$I, 6, FALSE)</f>
        <v>No</v>
      </c>
      <c r="H1323" s="22">
        <f>VLOOKUP($A1323,'Medical Examinations'!$A:$L,10, FALSE)</f>
        <v>0</v>
      </c>
      <c r="I1323" s="22" t="str">
        <f>VLOOKUP($A1323, 'Medical Examinations'!$A:$J, 9, FALSE)</f>
        <v>No</v>
      </c>
      <c r="J1323" s="22" t="str">
        <f>VLOOKUP($A1323, 'Medical Examinations'!$A:$P, 11, FALSE)</f>
        <v>NORMAL WEIGHT</v>
      </c>
      <c r="K1323" s="34">
        <v>37946.0</v>
      </c>
      <c r="L1323" s="35">
        <f>VLOOKUP($A1323, 'Hospitalisation Details'!$A:$H, 7, FALSE)</f>
        <v>8252.28</v>
      </c>
      <c r="M1323" s="22" t="str">
        <f>VLOOKUP($A1323, 'Hospitalisation Details'!$A:$L, 12, FALSE)</f>
        <v>tier - 2</v>
      </c>
      <c r="N1323" s="22" t="str">
        <f>VLOOKUP($A1323, 'Hospitalisation Details'!$A:$M, 13, FALSE)</f>
        <v>tier - 2</v>
      </c>
      <c r="O1323" s="22" t="str">
        <f>VLOOKUP($A1323, 'Hospitalisation Details'!$A:$N, 14, FALSE)</f>
        <v>R1024</v>
      </c>
      <c r="P1323" s="36">
        <f>VLOOKUP($A1323, 'Hospitalisation Details'!$A:$O, 15, FALSE)</f>
        <v>40</v>
      </c>
    </row>
    <row r="1324" ht="15.75" customHeight="1">
      <c r="A1324" s="33" t="s">
        <v>2647</v>
      </c>
      <c r="B1324" s="22" t="str">
        <f>VLOOKUP($A1324,'Customer Names'!$A:$D,3, FALSE)</f>
        <v>Deba</v>
      </c>
      <c r="C1324" s="22">
        <f>VLOOKUP($A1324,'Medical Examinations'!$A:$D, 2, FALSE)</f>
        <v>33.44</v>
      </c>
      <c r="D1324" s="22">
        <f>VLOOKUP($A1324, 'Medical Examinations'!$A:$D,3, FALSE)</f>
        <v>4.72</v>
      </c>
      <c r="E1324" s="22" t="str">
        <f>VLOOKUP($A1324, 'Medical Examinations'!$A:$D, 4, FALSE)</f>
        <v>Yes</v>
      </c>
      <c r="F1324" s="22" t="str">
        <f>VLOOKUP($A1324, 'Medical Examinations'!$A:$J, 5, FALSE)</f>
        <v>No</v>
      </c>
      <c r="G1324" s="22" t="str">
        <f>VLOOKUP($A1324, 'Medical Examinations'!$A:$I, 6, FALSE)</f>
        <v>No</v>
      </c>
      <c r="H1324" s="22">
        <f>VLOOKUP($A1324,'Medical Examinations'!$A:$L,10, FALSE)</f>
        <v>0</v>
      </c>
      <c r="I1324" s="22" t="str">
        <f>VLOOKUP($A1324, 'Medical Examinations'!$A:$J, 9, FALSE)</f>
        <v>No</v>
      </c>
      <c r="J1324" s="22" t="str">
        <f>VLOOKUP($A1324, 'Medical Examinations'!$A:$P, 11, FALSE)</f>
        <v>OBESITY</v>
      </c>
      <c r="K1324" s="34">
        <v>38239.0</v>
      </c>
      <c r="L1324" s="35">
        <f>VLOOKUP($A1324, 'Hospitalisation Details'!$A:$H, 7, FALSE)</f>
        <v>8240.59</v>
      </c>
      <c r="M1324" s="22" t="str">
        <f>VLOOKUP($A1324, 'Hospitalisation Details'!$A:$L, 12, FALSE)</f>
        <v>tier - 2</v>
      </c>
      <c r="N1324" s="22" t="str">
        <f>VLOOKUP($A1324, 'Hospitalisation Details'!$A:$M, 13, FALSE)</f>
        <v>tier - 2</v>
      </c>
      <c r="O1324" s="22" t="str">
        <f>VLOOKUP($A1324, 'Hospitalisation Details'!$A:$N, 14, FALSE)</f>
        <v>R1013</v>
      </c>
      <c r="P1324" s="36">
        <f>VLOOKUP($A1324, 'Hospitalisation Details'!$A:$O, 15, FALSE)</f>
        <v>46</v>
      </c>
    </row>
    <row r="1325" ht="15.75" customHeight="1">
      <c r="A1325" s="33" t="s">
        <v>2649</v>
      </c>
      <c r="B1325" s="22" t="str">
        <f>VLOOKUP($A1325,'Customer Names'!$A:$D,3, FALSE)</f>
        <v>Leloup</v>
      </c>
      <c r="C1325" s="22">
        <f>VLOOKUP($A1325,'Medical Examinations'!$A:$D, 2, FALSE)</f>
        <v>28.05</v>
      </c>
      <c r="D1325" s="22">
        <f>VLOOKUP($A1325, 'Medical Examinations'!$A:$D,3, FALSE)</f>
        <v>5.63</v>
      </c>
      <c r="E1325" s="22" t="str">
        <f>VLOOKUP($A1325, 'Medical Examinations'!$A:$D, 4, FALSE)</f>
        <v>Yes</v>
      </c>
      <c r="F1325" s="22" t="str">
        <f>VLOOKUP($A1325, 'Medical Examinations'!$A:$J, 5, FALSE)</f>
        <v>No</v>
      </c>
      <c r="G1325" s="22" t="str">
        <f>VLOOKUP($A1325, 'Medical Examinations'!$A:$I, 6, FALSE)</f>
        <v>No</v>
      </c>
      <c r="H1325" s="22">
        <f>VLOOKUP($A1325,'Medical Examinations'!$A:$L,10, FALSE)</f>
        <v>0</v>
      </c>
      <c r="I1325" s="22" t="str">
        <f>VLOOKUP($A1325, 'Medical Examinations'!$A:$J, 9, FALSE)</f>
        <v>No</v>
      </c>
      <c r="J1325" s="22" t="str">
        <f>VLOOKUP($A1325, 'Medical Examinations'!$A:$P, 11, FALSE)</f>
        <v>OVERWEIGHT</v>
      </c>
      <c r="K1325" s="34">
        <v>38281.0</v>
      </c>
      <c r="L1325" s="35">
        <f>VLOOKUP($A1325, 'Hospitalisation Details'!$A:$H, 7, FALSE)</f>
        <v>8233.1</v>
      </c>
      <c r="M1325" s="22" t="str">
        <f>VLOOKUP($A1325, 'Hospitalisation Details'!$A:$L, 12, FALSE)</f>
        <v>tier - 2</v>
      </c>
      <c r="N1325" s="22" t="str">
        <f>VLOOKUP($A1325, 'Hospitalisation Details'!$A:$M, 13, FALSE)</f>
        <v>tier - 2</v>
      </c>
      <c r="O1325" s="22" t="str">
        <f>VLOOKUP($A1325, 'Hospitalisation Details'!$A:$N, 14, FALSE)</f>
        <v>R1013</v>
      </c>
      <c r="P1325" s="36">
        <f>VLOOKUP($A1325, 'Hospitalisation Details'!$A:$O, 15, FALSE)</f>
        <v>46</v>
      </c>
    </row>
    <row r="1326" ht="15.75" customHeight="1">
      <c r="A1326" s="33" t="s">
        <v>2651</v>
      </c>
      <c r="B1326" s="22" t="str">
        <f>VLOOKUP($A1326,'Customer Names'!$A:$D,3, FALSE)</f>
        <v>Labare</v>
      </c>
      <c r="C1326" s="22">
        <f>VLOOKUP($A1326,'Medical Examinations'!$A:$D, 2, FALSE)</f>
        <v>27.72</v>
      </c>
      <c r="D1326" s="22">
        <f>VLOOKUP($A1326, 'Medical Examinations'!$A:$D,3, FALSE)</f>
        <v>5.83</v>
      </c>
      <c r="E1326" s="22" t="str">
        <f>VLOOKUP($A1326, 'Medical Examinations'!$A:$D, 4, FALSE)</f>
        <v>Yes</v>
      </c>
      <c r="F1326" s="22" t="str">
        <f>VLOOKUP($A1326, 'Medical Examinations'!$A:$J, 5, FALSE)</f>
        <v>No</v>
      </c>
      <c r="G1326" s="22" t="str">
        <f>VLOOKUP($A1326, 'Medical Examinations'!$A:$I, 6, FALSE)</f>
        <v>No</v>
      </c>
      <c r="H1326" s="22">
        <f>VLOOKUP($A1326,'Medical Examinations'!$A:$L,10, FALSE)</f>
        <v>0</v>
      </c>
      <c r="I1326" s="22" t="str">
        <f>VLOOKUP($A1326, 'Medical Examinations'!$A:$J, 9, FALSE)</f>
        <v>No</v>
      </c>
      <c r="J1326" s="22" t="str">
        <f>VLOOKUP($A1326, 'Medical Examinations'!$A:$P, 11, FALSE)</f>
        <v>OVERWEIGHT</v>
      </c>
      <c r="K1326" s="34">
        <v>38241.0</v>
      </c>
      <c r="L1326" s="35">
        <f>VLOOKUP($A1326, 'Hospitalisation Details'!$A:$H, 7, FALSE)</f>
        <v>8232.64</v>
      </c>
      <c r="M1326" s="22" t="str">
        <f>VLOOKUP($A1326, 'Hospitalisation Details'!$A:$L, 12, FALSE)</f>
        <v>tier - 2</v>
      </c>
      <c r="N1326" s="22" t="str">
        <f>VLOOKUP($A1326, 'Hospitalisation Details'!$A:$M, 13, FALSE)</f>
        <v>tier - 3</v>
      </c>
      <c r="O1326" s="22" t="str">
        <f>VLOOKUP($A1326, 'Hospitalisation Details'!$A:$N, 14, FALSE)</f>
        <v>R1013</v>
      </c>
      <c r="P1326" s="36">
        <f>VLOOKUP($A1326, 'Hospitalisation Details'!$A:$O, 15, FALSE)</f>
        <v>46</v>
      </c>
    </row>
    <row r="1327" ht="15.75" customHeight="1">
      <c r="A1327" s="33" t="s">
        <v>2653</v>
      </c>
      <c r="B1327" s="22" t="str">
        <f>VLOOKUP($A1327,'Customer Names'!$A:$D,3, FALSE)</f>
        <v>Arouca</v>
      </c>
      <c r="C1327" s="22">
        <f>VLOOKUP($A1327,'Medical Examinations'!$A:$D, 2, FALSE)</f>
        <v>29.81</v>
      </c>
      <c r="D1327" s="22">
        <f>VLOOKUP($A1327, 'Medical Examinations'!$A:$D,3, FALSE)</f>
        <v>9.23</v>
      </c>
      <c r="E1327" s="22" t="str">
        <f>VLOOKUP($A1327, 'Medical Examinations'!$A:$D, 4, FALSE)</f>
        <v>No</v>
      </c>
      <c r="F1327" s="22" t="str">
        <f>VLOOKUP($A1327, 'Medical Examinations'!$A:$J, 5, FALSE)</f>
        <v>No</v>
      </c>
      <c r="G1327" s="22" t="str">
        <f>VLOOKUP($A1327, 'Medical Examinations'!$A:$I, 6, FALSE)</f>
        <v>No</v>
      </c>
      <c r="H1327" s="22">
        <f>VLOOKUP($A1327,'Medical Examinations'!$A:$L,10, FALSE)</f>
        <v>0</v>
      </c>
      <c r="I1327" s="22" t="str">
        <f>VLOOKUP($A1327, 'Medical Examinations'!$A:$J, 9, FALSE)</f>
        <v>No</v>
      </c>
      <c r="J1327" s="22" t="str">
        <f>VLOOKUP($A1327, 'Medical Examinations'!$A:$P, 11, FALSE)</f>
        <v>OVERWEIGHT</v>
      </c>
      <c r="K1327" s="34">
        <v>38148.0</v>
      </c>
      <c r="L1327" s="35">
        <f>VLOOKUP($A1327, 'Hospitalisation Details'!$A:$H, 7, FALSE)</f>
        <v>8219.2</v>
      </c>
      <c r="M1327" s="22" t="str">
        <f>VLOOKUP($A1327, 'Hospitalisation Details'!$A:$L, 12, FALSE)</f>
        <v>tier - 2</v>
      </c>
      <c r="N1327" s="22" t="str">
        <f>VLOOKUP($A1327, 'Hospitalisation Details'!$A:$M, 13, FALSE)</f>
        <v>tier - 2</v>
      </c>
      <c r="O1327" s="22" t="str">
        <f>VLOOKUP($A1327, 'Hospitalisation Details'!$A:$N, 14, FALSE)</f>
        <v>R1013</v>
      </c>
      <c r="P1327" s="36">
        <f>VLOOKUP($A1327, 'Hospitalisation Details'!$A:$O, 15, FALSE)</f>
        <v>44</v>
      </c>
    </row>
    <row r="1328" ht="15.75" customHeight="1">
      <c r="A1328" s="33" t="s">
        <v>2655</v>
      </c>
      <c r="B1328" s="22" t="str">
        <f>VLOOKUP($A1328,'Customer Names'!$A:$D,3, FALSE)</f>
        <v>Reese</v>
      </c>
      <c r="C1328" s="22">
        <f>VLOOKUP($A1328,'Medical Examinations'!$A:$D, 2, FALSE)</f>
        <v>23.98</v>
      </c>
      <c r="D1328" s="22">
        <f>VLOOKUP($A1328, 'Medical Examinations'!$A:$D,3, FALSE)</f>
        <v>9.89</v>
      </c>
      <c r="E1328" s="22" t="str">
        <f>VLOOKUP($A1328, 'Medical Examinations'!$A:$D, 4, FALSE)</f>
        <v>No</v>
      </c>
      <c r="F1328" s="22" t="str">
        <f>VLOOKUP($A1328, 'Medical Examinations'!$A:$J, 5, FALSE)</f>
        <v>No</v>
      </c>
      <c r="G1328" s="22" t="str">
        <f>VLOOKUP($A1328, 'Medical Examinations'!$A:$I, 6, FALSE)</f>
        <v>No</v>
      </c>
      <c r="H1328" s="22">
        <f>VLOOKUP($A1328,'Medical Examinations'!$A:$L,10, FALSE)</f>
        <v>0</v>
      </c>
      <c r="I1328" s="22" t="str">
        <f>VLOOKUP($A1328, 'Medical Examinations'!$A:$J, 9, FALSE)</f>
        <v>No</v>
      </c>
      <c r="J1328" s="22" t="str">
        <f>VLOOKUP($A1328, 'Medical Examinations'!$A:$P, 11, FALSE)</f>
        <v>NORMAL WEIGHT</v>
      </c>
      <c r="K1328" s="34">
        <v>38251.0</v>
      </c>
      <c r="L1328" s="35">
        <f>VLOOKUP($A1328, 'Hospitalisation Details'!$A:$H, 7, FALSE)</f>
        <v>8211.1</v>
      </c>
      <c r="M1328" s="22" t="str">
        <f>VLOOKUP($A1328, 'Hospitalisation Details'!$A:$L, 12, FALSE)</f>
        <v>tier - 2</v>
      </c>
      <c r="N1328" s="22" t="str">
        <f>VLOOKUP($A1328, 'Hospitalisation Details'!$A:$M, 13, FALSE)</f>
        <v>tier - 3</v>
      </c>
      <c r="O1328" s="22" t="str">
        <f>VLOOKUP($A1328, 'Hospitalisation Details'!$A:$N, 14, FALSE)</f>
        <v>R1013</v>
      </c>
      <c r="P1328" s="36">
        <f>VLOOKUP($A1328, 'Hospitalisation Details'!$A:$O, 15, FALSE)</f>
        <v>44</v>
      </c>
    </row>
    <row r="1329" ht="15.75" customHeight="1">
      <c r="A1329" s="33" t="s">
        <v>2657</v>
      </c>
      <c r="B1329" s="22" t="str">
        <f>VLOOKUP($A1329,'Customer Names'!$A:$D,3, FALSE)</f>
        <v>McCloskey</v>
      </c>
      <c r="C1329" s="22">
        <f>VLOOKUP($A1329,'Medical Examinations'!$A:$D, 2, FALSE)</f>
        <v>17.34</v>
      </c>
      <c r="D1329" s="22">
        <f>VLOOKUP($A1329, 'Medical Examinations'!$A:$D,3, FALSE)</f>
        <v>12</v>
      </c>
      <c r="E1329" s="22" t="str">
        <f>VLOOKUP($A1329, 'Medical Examinations'!$A:$D, 4, FALSE)</f>
        <v>No</v>
      </c>
      <c r="F1329" s="22" t="str">
        <f>VLOOKUP($A1329, 'Medical Examinations'!$A:$J, 5, FALSE)</f>
        <v>No</v>
      </c>
      <c r="G1329" s="22" t="str">
        <f>VLOOKUP($A1329, 'Medical Examinations'!$A:$I, 6, FALSE)</f>
        <v>No</v>
      </c>
      <c r="H1329" s="22">
        <f>VLOOKUP($A1329,'Medical Examinations'!$A:$L,10, FALSE)</f>
        <v>0</v>
      </c>
      <c r="I1329" s="22" t="str">
        <f>VLOOKUP($A1329, 'Medical Examinations'!$A:$J, 9, FALSE)</f>
        <v>No</v>
      </c>
      <c r="J1329" s="22" t="str">
        <f>VLOOKUP($A1329, 'Medical Examinations'!$A:$P, 11, FALSE)</f>
        <v>UNDERWEIGHT</v>
      </c>
      <c r="K1329" s="34">
        <v>38249.0</v>
      </c>
      <c r="L1329" s="35">
        <f>VLOOKUP($A1329, 'Hospitalisation Details'!$A:$H, 7, FALSE)</f>
        <v>8188.12</v>
      </c>
      <c r="M1329" s="22" t="str">
        <f>VLOOKUP($A1329, 'Hospitalisation Details'!$A:$L, 12, FALSE)</f>
        <v>tier - 3</v>
      </c>
      <c r="N1329" s="22" t="str">
        <f>VLOOKUP($A1329, 'Hospitalisation Details'!$A:$M, 13, FALSE)</f>
        <v>tier - 3</v>
      </c>
      <c r="O1329" s="22" t="str">
        <f>VLOOKUP($A1329, 'Hospitalisation Details'!$A:$N, 14, FALSE)</f>
        <v>R1013</v>
      </c>
      <c r="P1329" s="36">
        <f>VLOOKUP($A1329, 'Hospitalisation Details'!$A:$O, 15, FALSE)</f>
        <v>60</v>
      </c>
    </row>
    <row r="1330" ht="15.75" customHeight="1">
      <c r="A1330" s="33" t="s">
        <v>2659</v>
      </c>
      <c r="B1330" s="22" t="str">
        <f>VLOOKUP($A1330,'Customer Names'!$A:$D,3, FALSE)</f>
        <v>Tedsen</v>
      </c>
      <c r="C1330" s="22">
        <f>VLOOKUP($A1330,'Medical Examinations'!$A:$D, 2, FALSE)</f>
        <v>40.39</v>
      </c>
      <c r="D1330" s="22">
        <f>VLOOKUP($A1330, 'Medical Examinations'!$A:$D,3, FALSE)</f>
        <v>4.24</v>
      </c>
      <c r="E1330" s="22" t="str">
        <f>VLOOKUP($A1330, 'Medical Examinations'!$A:$D, 4, FALSE)</f>
        <v>Yes</v>
      </c>
      <c r="F1330" s="22" t="str">
        <f>VLOOKUP($A1330, 'Medical Examinations'!$A:$J, 5, FALSE)</f>
        <v>No</v>
      </c>
      <c r="G1330" s="22" t="str">
        <f>VLOOKUP($A1330, 'Medical Examinations'!$A:$I, 6, FALSE)</f>
        <v>Yes</v>
      </c>
      <c r="H1330" s="22">
        <f>VLOOKUP($A1330,'Medical Examinations'!$A:$L,10, FALSE)</f>
        <v>1</v>
      </c>
      <c r="I1330" s="22" t="str">
        <f>VLOOKUP($A1330, 'Medical Examinations'!$A:$J, 9, FALSE)</f>
        <v>No</v>
      </c>
      <c r="J1330" s="22" t="str">
        <f>VLOOKUP($A1330, 'Medical Examinations'!$A:$P, 11, FALSE)</f>
        <v>OBESITY</v>
      </c>
      <c r="K1330" s="34">
        <v>38333.0</v>
      </c>
      <c r="L1330" s="35">
        <f>VLOOKUP($A1330, 'Hospitalisation Details'!$A:$H, 7, FALSE)</f>
        <v>8182.89</v>
      </c>
      <c r="M1330" s="22" t="str">
        <f>VLOOKUP($A1330, 'Hospitalisation Details'!$A:$L, 12, FALSE)</f>
        <v>tier - 2</v>
      </c>
      <c r="N1330" s="22" t="str">
        <f>VLOOKUP($A1330, 'Hospitalisation Details'!$A:$M, 13, FALSE)</f>
        <v>tier - 1</v>
      </c>
      <c r="O1330" s="22" t="str">
        <f>VLOOKUP($A1330, 'Hospitalisation Details'!$A:$N, 14, FALSE)</f>
        <v>R1026</v>
      </c>
      <c r="P1330" s="36">
        <f>VLOOKUP($A1330, 'Hospitalisation Details'!$A:$O, 15, FALSE)</f>
        <v>25</v>
      </c>
    </row>
    <row r="1331" ht="15.75" customHeight="1">
      <c r="A1331" s="33" t="s">
        <v>2661</v>
      </c>
      <c r="B1331" s="22" t="str">
        <f>VLOOKUP($A1331,'Customer Names'!$A:$D,3, FALSE)</f>
        <v>Koehlinger</v>
      </c>
      <c r="C1331" s="22">
        <f>VLOOKUP($A1331,'Medical Examinations'!$A:$D, 2, FALSE)</f>
        <v>25.96</v>
      </c>
      <c r="D1331" s="22">
        <f>VLOOKUP($A1331, 'Medical Examinations'!$A:$D,3, FALSE)</f>
        <v>4.68</v>
      </c>
      <c r="E1331" s="22" t="str">
        <f>VLOOKUP($A1331, 'Medical Examinations'!$A:$D, 4, FALSE)</f>
        <v>Yes</v>
      </c>
      <c r="F1331" s="22" t="str">
        <f>VLOOKUP($A1331, 'Medical Examinations'!$A:$J, 5, FALSE)</f>
        <v>No</v>
      </c>
      <c r="G1331" s="22" t="str">
        <f>VLOOKUP($A1331, 'Medical Examinations'!$A:$I, 6, FALSE)</f>
        <v>Yes</v>
      </c>
      <c r="H1331" s="22">
        <f>VLOOKUP($A1331,'Medical Examinations'!$A:$L,10, FALSE)</f>
        <v>1</v>
      </c>
      <c r="I1331" s="22" t="str">
        <f>VLOOKUP($A1331, 'Medical Examinations'!$A:$J, 9, FALSE)</f>
        <v>No</v>
      </c>
      <c r="J1331" s="22" t="str">
        <f>VLOOKUP($A1331, 'Medical Examinations'!$A:$P, 11, FALSE)</f>
        <v>OVERWEIGHT</v>
      </c>
      <c r="K1331" s="34">
        <v>32405.0</v>
      </c>
      <c r="L1331" s="35">
        <f>VLOOKUP($A1331, 'Hospitalisation Details'!$A:$H, 7, FALSE)</f>
        <v>8179.51</v>
      </c>
      <c r="M1331" s="22" t="str">
        <f>VLOOKUP($A1331, 'Hospitalisation Details'!$A:$L, 12, FALSE)</f>
        <v>tier - 2</v>
      </c>
      <c r="N1331" s="22" t="str">
        <f>VLOOKUP($A1331, 'Hospitalisation Details'!$A:$M, 13, FALSE)</f>
        <v>tier - 2</v>
      </c>
      <c r="O1331" s="22" t="str">
        <f>VLOOKUP($A1331, 'Hospitalisation Details'!$A:$N, 14, FALSE)</f>
        <v>R1020</v>
      </c>
      <c r="P1331" s="36">
        <f>VLOOKUP($A1331, 'Hospitalisation Details'!$A:$O, 15, FALSE)</f>
        <v>40</v>
      </c>
    </row>
    <row r="1332" ht="15.75" customHeight="1">
      <c r="A1332" s="33" t="s">
        <v>2663</v>
      </c>
      <c r="B1332" s="22" t="str">
        <f>VLOOKUP($A1332,'Customer Names'!$A:$D,3, FALSE)</f>
        <v>Pielechaty</v>
      </c>
      <c r="C1332" s="22">
        <f>VLOOKUP($A1332,'Medical Examinations'!$A:$D, 2, FALSE)</f>
        <v>17.68</v>
      </c>
      <c r="D1332" s="22">
        <f>VLOOKUP($A1332, 'Medical Examinations'!$A:$D,3, FALSE)</f>
        <v>8.57</v>
      </c>
      <c r="E1332" s="22" t="str">
        <f>VLOOKUP($A1332, 'Medical Examinations'!$A:$D, 4, FALSE)</f>
        <v>Yes</v>
      </c>
      <c r="F1332" s="22" t="str">
        <f>VLOOKUP($A1332, 'Medical Examinations'!$A:$J, 5, FALSE)</f>
        <v>No</v>
      </c>
      <c r="G1332" s="22" t="str">
        <f>VLOOKUP($A1332, 'Medical Examinations'!$A:$I, 6, FALSE)</f>
        <v>Yes</v>
      </c>
      <c r="H1332" s="22">
        <f>VLOOKUP($A1332,'Medical Examinations'!$A:$L,10, FALSE)</f>
        <v>1</v>
      </c>
      <c r="I1332" s="22" t="str">
        <f>VLOOKUP($A1332, 'Medical Examinations'!$A:$J, 9, FALSE)</f>
        <v>No</v>
      </c>
      <c r="J1332" s="22" t="str">
        <f>VLOOKUP($A1332, 'Medical Examinations'!$A:$P, 11, FALSE)</f>
        <v>UNDERWEIGHT</v>
      </c>
      <c r="K1332" s="34">
        <v>38277.0</v>
      </c>
      <c r="L1332" s="35">
        <f>VLOOKUP($A1332, 'Hospitalisation Details'!$A:$H, 7, FALSE)</f>
        <v>8177.9</v>
      </c>
      <c r="M1332" s="22" t="str">
        <f>VLOOKUP($A1332, 'Hospitalisation Details'!$A:$L, 12, FALSE)</f>
        <v>tier - 3</v>
      </c>
      <c r="N1332" s="22" t="str">
        <f>VLOOKUP($A1332, 'Hospitalisation Details'!$A:$M, 13, FALSE)</f>
        <v>tier - 1</v>
      </c>
      <c r="O1332" s="22" t="str">
        <f>VLOOKUP($A1332, 'Hospitalisation Details'!$A:$N, 14, FALSE)</f>
        <v>R1013</v>
      </c>
      <c r="P1332" s="36">
        <f>VLOOKUP($A1332, 'Hospitalisation Details'!$A:$O, 15, FALSE)</f>
        <v>59</v>
      </c>
    </row>
    <row r="1333" ht="15.75" customHeight="1">
      <c r="A1333" s="33" t="s">
        <v>2665</v>
      </c>
      <c r="B1333" s="22" t="str">
        <f>VLOOKUP($A1333,'Customer Names'!$A:$D,3, FALSE)</f>
        <v>Korhonen</v>
      </c>
      <c r="C1333" s="22">
        <f>VLOOKUP($A1333,'Medical Examinations'!$A:$D, 2, FALSE)</f>
        <v>30.875</v>
      </c>
      <c r="D1333" s="22">
        <f>VLOOKUP($A1333, 'Medical Examinations'!$A:$D,3, FALSE)</f>
        <v>4.1</v>
      </c>
      <c r="E1333" s="22" t="str">
        <f>VLOOKUP($A1333, 'Medical Examinations'!$A:$D, 4, FALSE)</f>
        <v>No</v>
      </c>
      <c r="F1333" s="22" t="str">
        <f>VLOOKUP($A1333, 'Medical Examinations'!$A:$J, 5, FALSE)</f>
        <v>No</v>
      </c>
      <c r="G1333" s="22" t="str">
        <f>VLOOKUP($A1333, 'Medical Examinations'!$A:$I, 6, FALSE)</f>
        <v>No</v>
      </c>
      <c r="H1333" s="22">
        <f>VLOOKUP($A1333,'Medical Examinations'!$A:$L,10, FALSE)</f>
        <v>0</v>
      </c>
      <c r="I1333" s="22" t="str">
        <f>VLOOKUP($A1333, 'Medical Examinations'!$A:$J, 9, FALSE)</f>
        <v>No</v>
      </c>
      <c r="J1333" s="22" t="str">
        <f>VLOOKUP($A1333, 'Medical Examinations'!$A:$P, 11, FALSE)</f>
        <v>OBESITY</v>
      </c>
      <c r="K1333" s="34">
        <v>38327.0</v>
      </c>
      <c r="L1333" s="35">
        <f>VLOOKUP($A1333, 'Hospitalisation Details'!$A:$H, 7, FALSE)</f>
        <v>8162.72</v>
      </c>
      <c r="M1333" s="22" t="str">
        <f>VLOOKUP($A1333, 'Hospitalisation Details'!$A:$L, 12, FALSE)</f>
        <v>tier - 3</v>
      </c>
      <c r="N1333" s="22" t="str">
        <f>VLOOKUP($A1333, 'Hospitalisation Details'!$A:$M, 13, FALSE)</f>
        <v>tier - 3</v>
      </c>
      <c r="O1333" s="22" t="str">
        <f>VLOOKUP($A1333, 'Hospitalisation Details'!$A:$N, 14, FALSE)</f>
        <v>R1012</v>
      </c>
      <c r="P1333" s="36">
        <f>VLOOKUP($A1333, 'Hospitalisation Details'!$A:$O, 15, FALSE)</f>
        <v>40</v>
      </c>
    </row>
    <row r="1334" ht="15.75" customHeight="1">
      <c r="A1334" s="33" t="s">
        <v>2667</v>
      </c>
      <c r="B1334" s="22" t="str">
        <f>VLOOKUP($A1334,'Customer Names'!$A:$D,3, FALSE)</f>
        <v>Kehr</v>
      </c>
      <c r="C1334" s="22">
        <f>VLOOKUP($A1334,'Medical Examinations'!$A:$D, 2, FALSE)</f>
        <v>30.81</v>
      </c>
      <c r="D1334" s="22">
        <f>VLOOKUP($A1334, 'Medical Examinations'!$A:$D,3, FALSE)</f>
        <v>4.49</v>
      </c>
      <c r="E1334" s="22" t="str">
        <f>VLOOKUP($A1334, 'Medical Examinations'!$A:$D, 4, FALSE)</f>
        <v>No</v>
      </c>
      <c r="F1334" s="22" t="str">
        <f>VLOOKUP($A1334, 'Medical Examinations'!$A:$J, 5, FALSE)</f>
        <v>No</v>
      </c>
      <c r="G1334" s="22" t="str">
        <f>VLOOKUP($A1334, 'Medical Examinations'!$A:$I, 6, FALSE)</f>
        <v>No</v>
      </c>
      <c r="H1334" s="22">
        <f>VLOOKUP($A1334,'Medical Examinations'!$A:$L,10, FALSE)</f>
        <v>0</v>
      </c>
      <c r="I1334" s="22" t="str">
        <f>VLOOKUP($A1334, 'Medical Examinations'!$A:$J, 9, FALSE)</f>
        <v>No</v>
      </c>
      <c r="J1334" s="22" t="str">
        <f>VLOOKUP($A1334, 'Medical Examinations'!$A:$P, 11, FALSE)</f>
        <v>OBESITY</v>
      </c>
      <c r="K1334" s="34">
        <v>38335.0</v>
      </c>
      <c r="L1334" s="35">
        <f>VLOOKUP($A1334, 'Hospitalisation Details'!$A:$H, 7, FALSE)</f>
        <v>8157.92</v>
      </c>
      <c r="M1334" s="22" t="str">
        <f>VLOOKUP($A1334, 'Hospitalisation Details'!$A:$L, 12, FALSE)</f>
        <v>tier - 2</v>
      </c>
      <c r="N1334" s="22" t="str">
        <f>VLOOKUP($A1334, 'Hospitalisation Details'!$A:$M, 13, FALSE)</f>
        <v>tier - 3</v>
      </c>
      <c r="O1334" s="22" t="str">
        <f>VLOOKUP($A1334, 'Hospitalisation Details'!$A:$N, 14, FALSE)</f>
        <v>R1025</v>
      </c>
      <c r="P1334" s="36">
        <f>VLOOKUP($A1334, 'Hospitalisation Details'!$A:$O, 15, FALSE)</f>
        <v>32</v>
      </c>
    </row>
    <row r="1335" ht="15.75" customHeight="1">
      <c r="A1335" s="33" t="s">
        <v>2669</v>
      </c>
      <c r="B1335" s="22" t="str">
        <f>VLOOKUP($A1335,'Customer Names'!$A:$D,3, FALSE)</f>
        <v>Montagna</v>
      </c>
      <c r="C1335" s="22">
        <f>VLOOKUP($A1335,'Medical Examinations'!$A:$D, 2, FALSE)</f>
        <v>36.85</v>
      </c>
      <c r="D1335" s="22">
        <f>VLOOKUP($A1335, 'Medical Examinations'!$A:$D,3, FALSE)</f>
        <v>8.8</v>
      </c>
      <c r="E1335" s="22" t="str">
        <f>VLOOKUP($A1335, 'Medical Examinations'!$A:$D, 4, FALSE)</f>
        <v>No</v>
      </c>
      <c r="F1335" s="22" t="str">
        <f>VLOOKUP($A1335, 'Medical Examinations'!$A:$J, 5, FALSE)</f>
        <v>No</v>
      </c>
      <c r="G1335" s="22" t="str">
        <f>VLOOKUP($A1335, 'Medical Examinations'!$A:$I, 6, FALSE)</f>
        <v>No</v>
      </c>
      <c r="H1335" s="22">
        <f>VLOOKUP($A1335,'Medical Examinations'!$A:$L,10, FALSE)</f>
        <v>2</v>
      </c>
      <c r="I1335" s="22" t="str">
        <f>VLOOKUP($A1335, 'Medical Examinations'!$A:$J, 9, FALSE)</f>
        <v>No</v>
      </c>
      <c r="J1335" s="22" t="str">
        <f>VLOOKUP($A1335, 'Medical Examinations'!$A:$P, 11, FALSE)</f>
        <v>OBESITY</v>
      </c>
      <c r="K1335" s="34">
        <v>38298.0</v>
      </c>
      <c r="L1335" s="35">
        <f>VLOOKUP($A1335, 'Hospitalisation Details'!$A:$H, 7, FALSE)</f>
        <v>8125.78</v>
      </c>
      <c r="M1335" s="22" t="str">
        <f>VLOOKUP($A1335, 'Hospitalisation Details'!$A:$L, 12, FALSE)</f>
        <v>tier - 2</v>
      </c>
      <c r="N1335" s="22" t="str">
        <f>VLOOKUP($A1335, 'Hospitalisation Details'!$A:$M, 13, FALSE)</f>
        <v>tier - 2</v>
      </c>
      <c r="O1335" s="22" t="str">
        <f>VLOOKUP($A1335, 'Hospitalisation Details'!$A:$N, 14, FALSE)</f>
        <v>R1013</v>
      </c>
      <c r="P1335" s="36">
        <f>VLOOKUP($A1335, 'Hospitalisation Details'!$A:$O, 15, FALSE)</f>
        <v>49</v>
      </c>
    </row>
    <row r="1336" ht="15.75" customHeight="1">
      <c r="A1336" s="33" t="s">
        <v>2671</v>
      </c>
      <c r="B1336" s="22" t="str">
        <f>VLOOKUP($A1336,'Customer Names'!$A:$D,3, FALSE)</f>
        <v>M√ºller</v>
      </c>
      <c r="C1336" s="22">
        <f>VLOOKUP($A1336,'Medical Examinations'!$A:$D, 2, FALSE)</f>
        <v>35.86</v>
      </c>
      <c r="D1336" s="22">
        <f>VLOOKUP($A1336, 'Medical Examinations'!$A:$D,3, FALSE)</f>
        <v>7.93</v>
      </c>
      <c r="E1336" s="22" t="str">
        <f>VLOOKUP($A1336, 'Medical Examinations'!$A:$D, 4, FALSE)</f>
        <v>No</v>
      </c>
      <c r="F1336" s="22" t="str">
        <f>VLOOKUP($A1336, 'Medical Examinations'!$A:$J, 5, FALSE)</f>
        <v>No</v>
      </c>
      <c r="G1336" s="22" t="str">
        <f>VLOOKUP($A1336, 'Medical Examinations'!$A:$I, 6, FALSE)</f>
        <v>No</v>
      </c>
      <c r="H1336" s="22">
        <f>VLOOKUP($A1336,'Medical Examinations'!$A:$L,10, FALSE)</f>
        <v>2</v>
      </c>
      <c r="I1336" s="22" t="str">
        <f>VLOOKUP($A1336, 'Medical Examinations'!$A:$J, 9, FALSE)</f>
        <v>No</v>
      </c>
      <c r="J1336" s="22" t="str">
        <f>VLOOKUP($A1336, 'Medical Examinations'!$A:$P, 11, FALSE)</f>
        <v>OBESITY</v>
      </c>
      <c r="K1336" s="34">
        <v>38331.0</v>
      </c>
      <c r="L1336" s="35">
        <f>VLOOKUP($A1336, 'Hospitalisation Details'!$A:$H, 7, FALSE)</f>
        <v>8124.41</v>
      </c>
      <c r="M1336" s="22" t="str">
        <f>VLOOKUP($A1336, 'Hospitalisation Details'!$A:$L, 12, FALSE)</f>
        <v>tier - 3</v>
      </c>
      <c r="N1336" s="22" t="str">
        <f>VLOOKUP($A1336, 'Hospitalisation Details'!$A:$M, 13, FALSE)</f>
        <v>tier - 1</v>
      </c>
      <c r="O1336" s="22" t="str">
        <f>VLOOKUP($A1336, 'Hospitalisation Details'!$A:$N, 14, FALSE)</f>
        <v>R1013</v>
      </c>
      <c r="P1336" s="36">
        <f>VLOOKUP($A1336, 'Hospitalisation Details'!$A:$O, 15, FALSE)</f>
        <v>49</v>
      </c>
    </row>
    <row r="1337" ht="15.75" customHeight="1">
      <c r="A1337" s="33" t="s">
        <v>2673</v>
      </c>
      <c r="B1337" s="22" t="str">
        <f>VLOOKUP($A1337,'Customer Names'!$A:$D,3, FALSE)</f>
        <v>Baker</v>
      </c>
      <c r="C1337" s="22">
        <f>VLOOKUP($A1337,'Medical Examinations'!$A:$D, 2, FALSE)</f>
        <v>30.3</v>
      </c>
      <c r="D1337" s="22">
        <f>VLOOKUP($A1337, 'Medical Examinations'!$A:$D,3, FALSE)</f>
        <v>9.45</v>
      </c>
      <c r="E1337" s="22" t="str">
        <f>VLOOKUP($A1337, 'Medical Examinations'!$A:$D, 4, FALSE)</f>
        <v>No</v>
      </c>
      <c r="F1337" s="22" t="str">
        <f>VLOOKUP($A1337, 'Medical Examinations'!$A:$J, 5, FALSE)</f>
        <v>No</v>
      </c>
      <c r="G1337" s="22" t="str">
        <f>VLOOKUP($A1337, 'Medical Examinations'!$A:$I, 6, FALSE)</f>
        <v>No</v>
      </c>
      <c r="H1337" s="22">
        <f>VLOOKUP($A1337,'Medical Examinations'!$A:$L,10, FALSE)</f>
        <v>2</v>
      </c>
      <c r="I1337" s="22" t="str">
        <f>VLOOKUP($A1337, 'Medical Examinations'!$A:$J, 9, FALSE)</f>
        <v>No</v>
      </c>
      <c r="J1337" s="22" t="str">
        <f>VLOOKUP($A1337, 'Medical Examinations'!$A:$P, 11, FALSE)</f>
        <v>OBESITY</v>
      </c>
      <c r="K1337" s="34">
        <v>38308.0</v>
      </c>
      <c r="L1337" s="35">
        <f>VLOOKUP($A1337, 'Hospitalisation Details'!$A:$H, 7, FALSE)</f>
        <v>8116.68</v>
      </c>
      <c r="M1337" s="22" t="str">
        <f>VLOOKUP($A1337, 'Hospitalisation Details'!$A:$L, 12, FALSE)</f>
        <v>tier - 3</v>
      </c>
      <c r="N1337" s="22" t="str">
        <f>VLOOKUP($A1337, 'Hospitalisation Details'!$A:$M, 13, FALSE)</f>
        <v>tier - 1</v>
      </c>
      <c r="O1337" s="22" t="str">
        <f>VLOOKUP($A1337, 'Hospitalisation Details'!$A:$N, 14, FALSE)</f>
        <v>R1011</v>
      </c>
      <c r="P1337" s="36">
        <f>VLOOKUP($A1337, 'Hospitalisation Details'!$A:$O, 15, FALSE)</f>
        <v>49</v>
      </c>
    </row>
    <row r="1338" ht="15.75" customHeight="1">
      <c r="A1338" s="33" t="s">
        <v>2675</v>
      </c>
      <c r="B1338" s="22" t="str">
        <f>VLOOKUP($A1338,'Customer Names'!$A:$D,3, FALSE)</f>
        <v>Sidebottom</v>
      </c>
      <c r="C1338" s="22">
        <f>VLOOKUP($A1338,'Medical Examinations'!$A:$D, 2, FALSE)</f>
        <v>32.015</v>
      </c>
      <c r="D1338" s="22">
        <f>VLOOKUP($A1338, 'Medical Examinations'!$A:$D,3, FALSE)</f>
        <v>7.67</v>
      </c>
      <c r="E1338" s="22" t="str">
        <f>VLOOKUP($A1338, 'Medical Examinations'!$A:$D, 4, FALSE)</f>
        <v>No</v>
      </c>
      <c r="F1338" s="22" t="str">
        <f>VLOOKUP($A1338, 'Medical Examinations'!$A:$J, 5, FALSE)</f>
        <v>No</v>
      </c>
      <c r="G1338" s="22" t="str">
        <f>VLOOKUP($A1338, 'Medical Examinations'!$A:$I, 6, FALSE)</f>
        <v>No</v>
      </c>
      <c r="H1338" s="22">
        <f>VLOOKUP($A1338,'Medical Examinations'!$A:$L,10, FALSE)</f>
        <v>0</v>
      </c>
      <c r="I1338" s="22" t="str">
        <f>VLOOKUP($A1338, 'Medical Examinations'!$A:$J, 9, FALSE)</f>
        <v>No</v>
      </c>
      <c r="J1338" s="22" t="str">
        <f>VLOOKUP($A1338, 'Medical Examinations'!$A:$P, 11, FALSE)</f>
        <v>OBESITY</v>
      </c>
      <c r="K1338" s="34">
        <v>36820.0</v>
      </c>
      <c r="L1338" s="35">
        <f>VLOOKUP($A1338, 'Hospitalisation Details'!$A:$H, 7, FALSE)</f>
        <v>8116.27</v>
      </c>
      <c r="M1338" s="22" t="str">
        <f>VLOOKUP($A1338, 'Hospitalisation Details'!$A:$L, 12, FALSE)</f>
        <v>tier - 3</v>
      </c>
      <c r="N1338" s="22" t="str">
        <f>VLOOKUP($A1338, 'Hospitalisation Details'!$A:$M, 13, FALSE)</f>
        <v>tier - 1</v>
      </c>
      <c r="O1338" s="22" t="str">
        <f>VLOOKUP($A1338, 'Hospitalisation Details'!$A:$N, 14, FALSE)</f>
        <v>R1012</v>
      </c>
      <c r="P1338" s="36">
        <f>VLOOKUP($A1338, 'Hospitalisation Details'!$A:$O, 15, FALSE)</f>
        <v>44</v>
      </c>
    </row>
    <row r="1339" ht="15.75" customHeight="1">
      <c r="A1339" s="33" t="s">
        <v>2677</v>
      </c>
      <c r="B1339" s="22" t="str">
        <f>VLOOKUP($A1339,'Customer Names'!$A:$D,3, FALSE)</f>
        <v>Johnson</v>
      </c>
      <c r="C1339" s="22">
        <f>VLOOKUP($A1339,'Medical Examinations'!$A:$D, 2, FALSE)</f>
        <v>25.06</v>
      </c>
      <c r="D1339" s="22">
        <f>VLOOKUP($A1339, 'Medical Examinations'!$A:$D,3, FALSE)</f>
        <v>10.53</v>
      </c>
      <c r="E1339" s="22" t="str">
        <f>VLOOKUP($A1339, 'Medical Examinations'!$A:$D, 4, FALSE)</f>
        <v>No</v>
      </c>
      <c r="F1339" s="22" t="str">
        <f>VLOOKUP($A1339, 'Medical Examinations'!$A:$J, 5, FALSE)</f>
        <v>No</v>
      </c>
      <c r="G1339" s="22" t="str">
        <f>VLOOKUP($A1339, 'Medical Examinations'!$A:$I, 6, FALSE)</f>
        <v>No</v>
      </c>
      <c r="H1339" s="22">
        <f>VLOOKUP($A1339,'Medical Examinations'!$A:$L,10, FALSE)</f>
        <v>2</v>
      </c>
      <c r="I1339" s="22" t="str">
        <f>VLOOKUP($A1339, 'Medical Examinations'!$A:$J, 9, FALSE)</f>
        <v>No</v>
      </c>
      <c r="J1339" s="22" t="str">
        <f>VLOOKUP($A1339, 'Medical Examinations'!$A:$P, 11, FALSE)</f>
        <v>OVERWEIGHT</v>
      </c>
      <c r="K1339" s="34">
        <v>36687.0</v>
      </c>
      <c r="L1339" s="35">
        <f>VLOOKUP($A1339, 'Hospitalisation Details'!$A:$H, 7, FALSE)</f>
        <v>8112.59</v>
      </c>
      <c r="M1339" s="22" t="str">
        <f>VLOOKUP($A1339, 'Hospitalisation Details'!$A:$L, 12, FALSE)</f>
        <v>tier - 2</v>
      </c>
      <c r="N1339" s="22" t="str">
        <f>VLOOKUP($A1339, 'Hospitalisation Details'!$A:$M, 13, FALSE)</f>
        <v>tier - 2</v>
      </c>
      <c r="O1339" s="22" t="str">
        <f>VLOOKUP($A1339, 'Hospitalisation Details'!$A:$N, 14, FALSE)</f>
        <v>R1013</v>
      </c>
      <c r="P1339" s="36">
        <f>VLOOKUP($A1339, 'Hospitalisation Details'!$A:$O, 15, FALSE)</f>
        <v>49</v>
      </c>
    </row>
    <row r="1340" ht="15.75" customHeight="1">
      <c r="A1340" s="33" t="s">
        <v>2679</v>
      </c>
      <c r="B1340" s="22" t="str">
        <f>VLOOKUP($A1340,'Customer Names'!$A:$D,3, FALSE)</f>
        <v>Morris</v>
      </c>
      <c r="C1340" s="22">
        <f>VLOOKUP($A1340,'Medical Examinations'!$A:$D, 2, FALSE)</f>
        <v>18.83</v>
      </c>
      <c r="D1340" s="22">
        <f>VLOOKUP($A1340, 'Medical Examinations'!$A:$D,3, FALSE)</f>
        <v>10.08</v>
      </c>
      <c r="E1340" s="22" t="str">
        <f>VLOOKUP($A1340, 'Medical Examinations'!$A:$D, 4, FALSE)</f>
        <v>Yes</v>
      </c>
      <c r="F1340" s="22" t="str">
        <f>VLOOKUP($A1340, 'Medical Examinations'!$A:$J, 5, FALSE)</f>
        <v>No</v>
      </c>
      <c r="G1340" s="22" t="str">
        <f>VLOOKUP($A1340, 'Medical Examinations'!$A:$I, 6, FALSE)</f>
        <v>No</v>
      </c>
      <c r="H1340" s="22">
        <f>VLOOKUP($A1340,'Medical Examinations'!$A:$L,10, FALSE)</f>
        <v>0</v>
      </c>
      <c r="I1340" s="22" t="str">
        <f>VLOOKUP($A1340, 'Medical Examinations'!$A:$J, 9, FALSE)</f>
        <v>No</v>
      </c>
      <c r="J1340" s="22" t="str">
        <f>VLOOKUP($A1340, 'Medical Examinations'!$A:$P, 11, FALSE)</f>
        <v>NORMAL WEIGHT</v>
      </c>
      <c r="K1340" s="34">
        <v>36822.0</v>
      </c>
      <c r="L1340" s="35">
        <f>VLOOKUP($A1340, 'Hospitalisation Details'!$A:$H, 7, FALSE)</f>
        <v>8091.3</v>
      </c>
      <c r="M1340" s="22" t="str">
        <f>VLOOKUP($A1340, 'Hospitalisation Details'!$A:$L, 12, FALSE)</f>
        <v>tier - 3</v>
      </c>
      <c r="N1340" s="22" t="str">
        <f>VLOOKUP($A1340, 'Hospitalisation Details'!$A:$M, 13, FALSE)</f>
        <v>tier - 1</v>
      </c>
      <c r="O1340" s="22" t="str">
        <f>VLOOKUP($A1340, 'Hospitalisation Details'!$A:$N, 14, FALSE)</f>
        <v>R1012</v>
      </c>
      <c r="P1340" s="36">
        <f>VLOOKUP($A1340, 'Hospitalisation Details'!$A:$O, 15, FALSE)</f>
        <v>55</v>
      </c>
    </row>
    <row r="1341" ht="15.75" customHeight="1">
      <c r="A1341" s="33" t="s">
        <v>2681</v>
      </c>
      <c r="B1341" s="22" t="str">
        <f>VLOOKUP($A1341,'Customer Names'!$A:$D,3, FALSE)</f>
        <v>Chaisson</v>
      </c>
      <c r="C1341" s="22">
        <f>VLOOKUP($A1341,'Medical Examinations'!$A:$D, 2, FALSE)</f>
        <v>47.52</v>
      </c>
      <c r="D1341" s="22">
        <f>VLOOKUP($A1341, 'Medical Examinations'!$A:$D,3, FALSE)</f>
        <v>11.39</v>
      </c>
      <c r="E1341" s="22" t="str">
        <f>VLOOKUP($A1341, 'Medical Examinations'!$A:$D, 4, FALSE)</f>
        <v>Yes</v>
      </c>
      <c r="F1341" s="22" t="str">
        <f>VLOOKUP($A1341, 'Medical Examinations'!$A:$J, 5, FALSE)</f>
        <v>No</v>
      </c>
      <c r="G1341" s="22" t="str">
        <f>VLOOKUP($A1341, 'Medical Examinations'!$A:$I, 6, FALSE)</f>
        <v>No</v>
      </c>
      <c r="H1341" s="22">
        <f>VLOOKUP($A1341,'Medical Examinations'!$A:$L,10, FALSE)</f>
        <v>1</v>
      </c>
      <c r="I1341" s="22" t="str">
        <f>VLOOKUP($A1341, 'Medical Examinations'!$A:$J, 9, FALSE)</f>
        <v>No</v>
      </c>
      <c r="J1341" s="22" t="str">
        <f>VLOOKUP($A1341, 'Medical Examinations'!$A:$P, 11, FALSE)</f>
        <v>OBESITY</v>
      </c>
      <c r="K1341" s="34">
        <v>37985.0</v>
      </c>
      <c r="L1341" s="35">
        <f>VLOOKUP($A1341, 'Hospitalisation Details'!$A:$H, 7, FALSE)</f>
        <v>8083.92</v>
      </c>
      <c r="M1341" s="22" t="str">
        <f>VLOOKUP($A1341, 'Hospitalisation Details'!$A:$L, 12, FALSE)</f>
        <v>tier - 3</v>
      </c>
      <c r="N1341" s="22" t="str">
        <f>VLOOKUP($A1341, 'Hospitalisation Details'!$A:$M, 13, FALSE)</f>
        <v>tier - 3</v>
      </c>
      <c r="O1341" s="22" t="str">
        <f>VLOOKUP($A1341, 'Hospitalisation Details'!$A:$N, 14, FALSE)</f>
        <v>R1013</v>
      </c>
      <c r="P1341" s="36">
        <f>VLOOKUP($A1341, 'Hospitalisation Details'!$A:$O, 15, FALSE)</f>
        <v>47</v>
      </c>
    </row>
    <row r="1342" ht="15.75" customHeight="1">
      <c r="A1342" s="33" t="s">
        <v>2683</v>
      </c>
      <c r="B1342" s="22" t="str">
        <f>VLOOKUP($A1342,'Customer Names'!$A:$D,3, FALSE)</f>
        <v>Pigott</v>
      </c>
      <c r="C1342" s="22">
        <f>VLOOKUP($A1342,'Medical Examinations'!$A:$D, 2, FALSE)</f>
        <v>37.82</v>
      </c>
      <c r="D1342" s="22">
        <f>VLOOKUP($A1342, 'Medical Examinations'!$A:$D,3, FALSE)</f>
        <v>6.36</v>
      </c>
      <c r="E1342" s="22" t="str">
        <f>VLOOKUP($A1342, 'Medical Examinations'!$A:$D, 4, FALSE)</f>
        <v>No</v>
      </c>
      <c r="F1342" s="22" t="str">
        <f>VLOOKUP($A1342, 'Medical Examinations'!$A:$J, 5, FALSE)</f>
        <v>No</v>
      </c>
      <c r="G1342" s="22" t="str">
        <f>VLOOKUP($A1342, 'Medical Examinations'!$A:$I, 6, FALSE)</f>
        <v>No</v>
      </c>
      <c r="H1342" s="22">
        <f>VLOOKUP($A1342,'Medical Examinations'!$A:$L,10, FALSE)</f>
        <v>0</v>
      </c>
      <c r="I1342" s="22" t="str">
        <f>VLOOKUP($A1342, 'Medical Examinations'!$A:$J, 9, FALSE)</f>
        <v>No</v>
      </c>
      <c r="J1342" s="22" t="str">
        <f>VLOOKUP($A1342, 'Medical Examinations'!$A:$P, 11, FALSE)</f>
        <v>OBESITY</v>
      </c>
      <c r="K1342" s="34">
        <v>21827.0</v>
      </c>
      <c r="L1342" s="35">
        <f>VLOOKUP($A1342, 'Hospitalisation Details'!$A:$H, 7, FALSE)</f>
        <v>8081.74</v>
      </c>
      <c r="M1342" s="22" t="str">
        <f>VLOOKUP($A1342, 'Hospitalisation Details'!$A:$L, 12, FALSE)</f>
        <v>tier - 2</v>
      </c>
      <c r="N1342" s="22" t="str">
        <f>VLOOKUP($A1342, 'Hospitalisation Details'!$A:$M, 13, FALSE)</f>
        <v>tier - 2</v>
      </c>
      <c r="O1342" s="22" t="str">
        <f>VLOOKUP($A1342, 'Hospitalisation Details'!$A:$N, 14, FALSE)</f>
        <v>R1026</v>
      </c>
      <c r="P1342" s="36">
        <f>VLOOKUP($A1342, 'Hospitalisation Details'!$A:$O, 15, FALSE)</f>
        <v>28</v>
      </c>
    </row>
    <row r="1343" ht="15.75" customHeight="1">
      <c r="A1343" s="33" t="s">
        <v>2685</v>
      </c>
      <c r="B1343" s="22" t="str">
        <f>VLOOKUP($A1343,'Customer Names'!$A:$D,3, FALSE)</f>
        <v>Cochrane</v>
      </c>
      <c r="C1343" s="22">
        <f>VLOOKUP($A1343,'Medical Examinations'!$A:$D, 2, FALSE)</f>
        <v>44.16</v>
      </c>
      <c r="D1343" s="22">
        <f>VLOOKUP($A1343, 'Medical Examinations'!$A:$D,3, FALSE)</f>
        <v>5.31</v>
      </c>
      <c r="E1343" s="22" t="str">
        <f>VLOOKUP($A1343, 'Medical Examinations'!$A:$D, 4, FALSE)</f>
        <v>Yes</v>
      </c>
      <c r="F1343" s="22" t="str">
        <f>VLOOKUP($A1343, 'Medical Examinations'!$A:$J, 5, FALSE)</f>
        <v>No</v>
      </c>
      <c r="G1343" s="22" t="str">
        <f>VLOOKUP($A1343, 'Medical Examinations'!$A:$I, 6, FALSE)</f>
        <v>No</v>
      </c>
      <c r="H1343" s="22">
        <f>VLOOKUP($A1343,'Medical Examinations'!$A:$L,10, FALSE)</f>
        <v>0</v>
      </c>
      <c r="I1343" s="22" t="str">
        <f>VLOOKUP($A1343, 'Medical Examinations'!$A:$J, 9, FALSE)</f>
        <v>No</v>
      </c>
      <c r="J1343" s="22" t="str">
        <f>VLOOKUP($A1343, 'Medical Examinations'!$A:$P, 11, FALSE)</f>
        <v>OBESITY</v>
      </c>
      <c r="K1343" s="34">
        <v>35620.0</v>
      </c>
      <c r="L1343" s="35">
        <f>VLOOKUP($A1343, 'Hospitalisation Details'!$A:$H, 7, FALSE)</f>
        <v>8081.26</v>
      </c>
      <c r="M1343" s="22" t="str">
        <f>VLOOKUP($A1343, 'Hospitalisation Details'!$A:$L, 12, FALSE)</f>
        <v>tier - 2</v>
      </c>
      <c r="N1343" s="22" t="str">
        <f>VLOOKUP($A1343, 'Hospitalisation Details'!$A:$M, 13, FALSE)</f>
        <v>tier - 2</v>
      </c>
      <c r="O1343" s="22" t="str">
        <f>VLOOKUP($A1343, 'Hospitalisation Details'!$A:$N, 14, FALSE)</f>
        <v>R1012</v>
      </c>
      <c r="P1343" s="36">
        <f>VLOOKUP($A1343, 'Hospitalisation Details'!$A:$O, 15, FALSE)</f>
        <v>21</v>
      </c>
    </row>
    <row r="1344" ht="15.75" customHeight="1">
      <c r="A1344" s="33" t="s">
        <v>2687</v>
      </c>
      <c r="B1344" s="22" t="str">
        <f>VLOOKUP($A1344,'Customer Names'!$A:$D,3, FALSE)</f>
        <v>Armitage</v>
      </c>
      <c r="C1344" s="22">
        <f>VLOOKUP($A1344,'Medical Examinations'!$A:$D, 2, FALSE)</f>
        <v>37.05</v>
      </c>
      <c r="D1344" s="22">
        <f>VLOOKUP($A1344, 'Medical Examinations'!$A:$D,3, FALSE)</f>
        <v>4.74</v>
      </c>
      <c r="E1344" s="22" t="str">
        <f>VLOOKUP($A1344, 'Medical Examinations'!$A:$D, 4, FALSE)</f>
        <v>No</v>
      </c>
      <c r="F1344" s="22" t="str">
        <f>VLOOKUP($A1344, 'Medical Examinations'!$A:$J, 5, FALSE)</f>
        <v>No</v>
      </c>
      <c r="G1344" s="22" t="str">
        <f>VLOOKUP($A1344, 'Medical Examinations'!$A:$I, 6, FALSE)</f>
        <v>Yes</v>
      </c>
      <c r="H1344" s="22">
        <f>VLOOKUP($A1344,'Medical Examinations'!$A:$L,10, FALSE)</f>
        <v>1</v>
      </c>
      <c r="I1344" s="22" t="str">
        <f>VLOOKUP($A1344, 'Medical Examinations'!$A:$J, 9, FALSE)</f>
        <v>No</v>
      </c>
      <c r="J1344" s="22" t="str">
        <f>VLOOKUP($A1344, 'Medical Examinations'!$A:$P, 11, FALSE)</f>
        <v>OBESITY</v>
      </c>
      <c r="K1344" s="34">
        <v>37854.0</v>
      </c>
      <c r="L1344" s="35">
        <f>VLOOKUP($A1344, 'Hospitalisation Details'!$A:$H, 7, FALSE)</f>
        <v>8077.41</v>
      </c>
      <c r="M1344" s="22" t="str">
        <f>VLOOKUP($A1344, 'Hospitalisation Details'!$A:$L, 12, FALSE)</f>
        <v>tier - 2</v>
      </c>
      <c r="N1344" s="22" t="str">
        <f>VLOOKUP($A1344, 'Hospitalisation Details'!$A:$M, 13, FALSE)</f>
        <v>tier - 1</v>
      </c>
      <c r="O1344" s="22" t="str">
        <f>VLOOKUP($A1344, 'Hospitalisation Details'!$A:$N, 14, FALSE)</f>
        <v>R1026</v>
      </c>
      <c r="P1344" s="36">
        <f>VLOOKUP($A1344, 'Hospitalisation Details'!$A:$O, 15, FALSE)</f>
        <v>29</v>
      </c>
    </row>
    <row r="1345" ht="15.75" customHeight="1">
      <c r="A1345" s="33" t="s">
        <v>2689</v>
      </c>
      <c r="B1345" s="22" t="str">
        <f>VLOOKUP($A1345,'Customer Names'!$A:$D,3, FALSE)</f>
        <v>Shen</v>
      </c>
      <c r="C1345" s="22">
        <f>VLOOKUP($A1345,'Medical Examinations'!$A:$D, 2, FALSE)</f>
        <v>18.66</v>
      </c>
      <c r="D1345" s="22">
        <f>VLOOKUP($A1345, 'Medical Examinations'!$A:$D,3, FALSE)</f>
        <v>11.35</v>
      </c>
      <c r="E1345" s="22" t="str">
        <f>VLOOKUP($A1345, 'Medical Examinations'!$A:$D, 4, FALSE)</f>
        <v>No</v>
      </c>
      <c r="F1345" s="22" t="str">
        <f>VLOOKUP($A1345, 'Medical Examinations'!$A:$J, 5, FALSE)</f>
        <v>No</v>
      </c>
      <c r="G1345" s="22" t="str">
        <f>VLOOKUP($A1345, 'Medical Examinations'!$A:$I, 6, FALSE)</f>
        <v>No</v>
      </c>
      <c r="H1345" s="22">
        <f>VLOOKUP($A1345,'Medical Examinations'!$A:$L,10, FALSE)</f>
        <v>0</v>
      </c>
      <c r="I1345" s="22" t="str">
        <f>VLOOKUP($A1345, 'Medical Examinations'!$A:$J, 9, FALSE)</f>
        <v>No</v>
      </c>
      <c r="J1345" s="22" t="str">
        <f>VLOOKUP($A1345, 'Medical Examinations'!$A:$P, 11, FALSE)</f>
        <v>NORMAL WEIGHT</v>
      </c>
      <c r="K1345" s="34">
        <v>37880.0</v>
      </c>
      <c r="L1345" s="35">
        <f>VLOOKUP($A1345, 'Hospitalisation Details'!$A:$H, 7, FALSE)</f>
        <v>8071.57</v>
      </c>
      <c r="M1345" s="22" t="str">
        <f>VLOOKUP($A1345, 'Hospitalisation Details'!$A:$L, 12, FALSE)</f>
        <v>tier - 3</v>
      </c>
      <c r="N1345" s="22" t="str">
        <f>VLOOKUP($A1345, 'Hospitalisation Details'!$A:$M, 13, FALSE)</f>
        <v>tier - 1</v>
      </c>
      <c r="O1345" s="22" t="str">
        <f>VLOOKUP($A1345, 'Hospitalisation Details'!$A:$N, 14, FALSE)</f>
        <v>R1011</v>
      </c>
      <c r="P1345" s="36">
        <f>VLOOKUP($A1345, 'Hospitalisation Details'!$A:$O, 15, FALSE)</f>
        <v>57</v>
      </c>
    </row>
    <row r="1346" ht="15.75" customHeight="1">
      <c r="A1346" s="33" t="s">
        <v>2691</v>
      </c>
      <c r="B1346" s="22" t="str">
        <f>VLOOKUP($A1346,'Customer Names'!$A:$D,3, FALSE)</f>
        <v>O'Kelly</v>
      </c>
      <c r="C1346" s="22">
        <f>VLOOKUP($A1346,'Medical Examinations'!$A:$D, 2, FALSE)</f>
        <v>36.2</v>
      </c>
      <c r="D1346" s="22">
        <f>VLOOKUP($A1346, 'Medical Examinations'!$A:$D,3, FALSE)</f>
        <v>6.81</v>
      </c>
      <c r="E1346" s="22" t="str">
        <f>VLOOKUP($A1346, 'Medical Examinations'!$A:$D, 4, FALSE)</f>
        <v>Yes</v>
      </c>
      <c r="F1346" s="22" t="str">
        <f>VLOOKUP($A1346, 'Medical Examinations'!$A:$J, 5, FALSE)</f>
        <v>No</v>
      </c>
      <c r="G1346" s="22" t="str">
        <f>VLOOKUP($A1346, 'Medical Examinations'!$A:$I, 6, FALSE)</f>
        <v>No</v>
      </c>
      <c r="H1346" s="22">
        <f>VLOOKUP($A1346,'Medical Examinations'!$A:$L,10, FALSE)</f>
        <v>1</v>
      </c>
      <c r="I1346" s="22" t="str">
        <f>VLOOKUP($A1346, 'Medical Examinations'!$A:$J, 9, FALSE)</f>
        <v>No</v>
      </c>
      <c r="J1346" s="22" t="str">
        <f>VLOOKUP($A1346, 'Medical Examinations'!$A:$P, 11, FALSE)</f>
        <v>OBESITY</v>
      </c>
      <c r="K1346" s="34">
        <v>37985.0</v>
      </c>
      <c r="L1346" s="35">
        <f>VLOOKUP($A1346, 'Hospitalisation Details'!$A:$H, 7, FALSE)</f>
        <v>8068.19</v>
      </c>
      <c r="M1346" s="22" t="str">
        <f>VLOOKUP($A1346, 'Hospitalisation Details'!$A:$L, 12, FALSE)</f>
        <v>tier - 3</v>
      </c>
      <c r="N1346" s="22" t="str">
        <f>VLOOKUP($A1346, 'Hospitalisation Details'!$A:$M, 13, FALSE)</f>
        <v>tier - 2</v>
      </c>
      <c r="O1346" s="22" t="str">
        <f>VLOOKUP($A1346, 'Hospitalisation Details'!$A:$N, 14, FALSE)</f>
        <v>R1011</v>
      </c>
      <c r="P1346" s="36">
        <f>VLOOKUP($A1346, 'Hospitalisation Details'!$A:$O, 15, FALSE)</f>
        <v>47</v>
      </c>
    </row>
    <row r="1347" ht="15.75" customHeight="1">
      <c r="A1347" s="33" t="s">
        <v>2693</v>
      </c>
      <c r="B1347" s="22" t="str">
        <f>VLOOKUP($A1347,'Customer Names'!$A:$D,3, FALSE)</f>
        <v>Huff</v>
      </c>
      <c r="C1347" s="22">
        <f>VLOOKUP($A1347,'Medical Examinations'!$A:$D, 2, FALSE)</f>
        <v>18.87</v>
      </c>
      <c r="D1347" s="22">
        <f>VLOOKUP($A1347, 'Medical Examinations'!$A:$D,3, FALSE)</f>
        <v>8.06</v>
      </c>
      <c r="E1347" s="22" t="str">
        <f>VLOOKUP($A1347, 'Medical Examinations'!$A:$D, 4, FALSE)</f>
        <v>No</v>
      </c>
      <c r="F1347" s="22" t="str">
        <f>VLOOKUP($A1347, 'Medical Examinations'!$A:$J, 5, FALSE)</f>
        <v>No</v>
      </c>
      <c r="G1347" s="22" t="str">
        <f>VLOOKUP($A1347, 'Medical Examinations'!$A:$I, 6, FALSE)</f>
        <v>No</v>
      </c>
      <c r="H1347" s="22">
        <f>VLOOKUP($A1347,'Medical Examinations'!$A:$L,10, FALSE)</f>
        <v>0</v>
      </c>
      <c r="I1347" s="22" t="str">
        <f>VLOOKUP($A1347, 'Medical Examinations'!$A:$J, 9, FALSE)</f>
        <v>No</v>
      </c>
      <c r="J1347" s="22" t="str">
        <f>VLOOKUP($A1347, 'Medical Examinations'!$A:$P, 11, FALSE)</f>
        <v>NORMAL WEIGHT</v>
      </c>
      <c r="K1347" s="34">
        <v>38151.0</v>
      </c>
      <c r="L1347" s="35">
        <f>VLOOKUP($A1347, 'Hospitalisation Details'!$A:$H, 7, FALSE)</f>
        <v>8067.83</v>
      </c>
      <c r="M1347" s="22" t="str">
        <f>VLOOKUP($A1347, 'Hospitalisation Details'!$A:$L, 12, FALSE)</f>
        <v>tier - 3</v>
      </c>
      <c r="N1347" s="22" t="str">
        <f>VLOOKUP($A1347, 'Hospitalisation Details'!$A:$M, 13, FALSE)</f>
        <v>tier - 1</v>
      </c>
      <c r="O1347" s="22" t="str">
        <f>VLOOKUP($A1347, 'Hospitalisation Details'!$A:$N, 14, FALSE)</f>
        <v>R1013</v>
      </c>
      <c r="P1347" s="36">
        <f>VLOOKUP($A1347, 'Hospitalisation Details'!$A:$O, 15, FALSE)</f>
        <v>57</v>
      </c>
    </row>
    <row r="1348" ht="15.75" customHeight="1">
      <c r="A1348" s="33" t="s">
        <v>2695</v>
      </c>
      <c r="B1348" s="22" t="str">
        <f>VLOOKUP($A1348,'Customer Names'!$A:$D,3, FALSE)</f>
        <v>Dye</v>
      </c>
      <c r="C1348" s="22">
        <f>VLOOKUP($A1348,'Medical Examinations'!$A:$D, 2, FALSE)</f>
        <v>32.3</v>
      </c>
      <c r="D1348" s="22">
        <f>VLOOKUP($A1348, 'Medical Examinations'!$A:$D,3, FALSE)</f>
        <v>6.74</v>
      </c>
      <c r="E1348" s="22" t="str">
        <f>VLOOKUP($A1348, 'Medical Examinations'!$A:$D, 4, FALSE)</f>
        <v>Yes</v>
      </c>
      <c r="F1348" s="22" t="str">
        <f>VLOOKUP($A1348, 'Medical Examinations'!$A:$J, 5, FALSE)</f>
        <v>No</v>
      </c>
      <c r="G1348" s="22" t="str">
        <f>VLOOKUP($A1348, 'Medical Examinations'!$A:$I, 6, FALSE)</f>
        <v>No</v>
      </c>
      <c r="H1348" s="22">
        <f>VLOOKUP($A1348,'Medical Examinations'!$A:$L,10, FALSE)</f>
        <v>1</v>
      </c>
      <c r="I1348" s="22" t="str">
        <f>VLOOKUP($A1348, 'Medical Examinations'!$A:$J, 9, FALSE)</f>
        <v>No</v>
      </c>
      <c r="J1348" s="22" t="str">
        <f>VLOOKUP($A1348, 'Medical Examinations'!$A:$P, 11, FALSE)</f>
        <v>OBESITY</v>
      </c>
      <c r="K1348" s="34">
        <v>38207.0</v>
      </c>
      <c r="L1348" s="35">
        <f>VLOOKUP($A1348, 'Hospitalisation Details'!$A:$H, 7, FALSE)</f>
        <v>8062.76</v>
      </c>
      <c r="M1348" s="22" t="str">
        <f>VLOOKUP($A1348, 'Hospitalisation Details'!$A:$L, 12, FALSE)</f>
        <v>tier - 3</v>
      </c>
      <c r="N1348" s="22" t="str">
        <f>VLOOKUP($A1348, 'Hospitalisation Details'!$A:$M, 13, FALSE)</f>
        <v>tier - 3</v>
      </c>
      <c r="O1348" s="22" t="str">
        <f>VLOOKUP($A1348, 'Hospitalisation Details'!$A:$N, 14, FALSE)</f>
        <v>R1011</v>
      </c>
      <c r="P1348" s="36">
        <f>VLOOKUP($A1348, 'Hospitalisation Details'!$A:$O, 15, FALSE)</f>
        <v>47</v>
      </c>
    </row>
    <row r="1349" ht="15.75" customHeight="1">
      <c r="A1349" s="33" t="s">
        <v>2697</v>
      </c>
      <c r="B1349" s="22" t="str">
        <f>VLOOKUP($A1349,'Customer Names'!$A:$D,3, FALSE)</f>
        <v>Willard</v>
      </c>
      <c r="C1349" s="22">
        <f>VLOOKUP($A1349,'Medical Examinations'!$A:$D, 2, FALSE)</f>
        <v>22.64</v>
      </c>
      <c r="D1349" s="22">
        <f>VLOOKUP($A1349, 'Medical Examinations'!$A:$D,3, FALSE)</f>
        <v>6.54</v>
      </c>
      <c r="E1349" s="22" t="str">
        <f>VLOOKUP($A1349, 'Medical Examinations'!$A:$D, 4, FALSE)</f>
        <v>Yes</v>
      </c>
      <c r="F1349" s="22" t="str">
        <f>VLOOKUP($A1349, 'Medical Examinations'!$A:$J, 5, FALSE)</f>
        <v>No</v>
      </c>
      <c r="G1349" s="22" t="str">
        <f>VLOOKUP($A1349, 'Medical Examinations'!$A:$I, 6, FALSE)</f>
        <v>No</v>
      </c>
      <c r="H1349" s="22">
        <f>VLOOKUP($A1349,'Medical Examinations'!$A:$L,10, FALSE)</f>
        <v>2</v>
      </c>
      <c r="I1349" s="22" t="str">
        <f>VLOOKUP($A1349, 'Medical Examinations'!$A:$J, 9, FALSE)</f>
        <v>No</v>
      </c>
      <c r="J1349" s="22" t="str">
        <f>VLOOKUP($A1349, 'Medical Examinations'!$A:$P, 11, FALSE)</f>
        <v>NORMAL WEIGHT</v>
      </c>
      <c r="K1349" s="34">
        <v>38334.0</v>
      </c>
      <c r="L1349" s="35">
        <f>VLOOKUP($A1349, 'Hospitalisation Details'!$A:$H, 7, FALSE)</f>
        <v>8062.31</v>
      </c>
      <c r="M1349" s="22" t="str">
        <f>VLOOKUP($A1349, 'Hospitalisation Details'!$A:$L, 12, FALSE)</f>
        <v>tier - 2</v>
      </c>
      <c r="N1349" s="22" t="str">
        <f>VLOOKUP($A1349, 'Hospitalisation Details'!$A:$M, 13, FALSE)</f>
        <v>tier - 1</v>
      </c>
      <c r="O1349" s="22" t="str">
        <f>VLOOKUP($A1349, 'Hospitalisation Details'!$A:$N, 14, FALSE)</f>
        <v>R1013</v>
      </c>
      <c r="P1349" s="36">
        <f>VLOOKUP($A1349, 'Hospitalisation Details'!$A:$O, 15, FALSE)</f>
        <v>52</v>
      </c>
    </row>
    <row r="1350" ht="15.75" customHeight="1">
      <c r="A1350" s="33" t="s">
        <v>2699</v>
      </c>
      <c r="B1350" s="22" t="str">
        <f>VLOOKUP($A1350,'Customer Names'!$A:$D,3, FALSE)</f>
        <v>D'Addario</v>
      </c>
      <c r="C1350" s="22">
        <f>VLOOKUP($A1350,'Medical Examinations'!$A:$D, 2, FALSE)</f>
        <v>28.69</v>
      </c>
      <c r="D1350" s="22">
        <f>VLOOKUP($A1350, 'Medical Examinations'!$A:$D,3, FALSE)</f>
        <v>5.4</v>
      </c>
      <c r="E1350" s="22" t="str">
        <f>VLOOKUP($A1350, 'Medical Examinations'!$A:$D, 4, FALSE)</f>
        <v>No</v>
      </c>
      <c r="F1350" s="22" t="str">
        <f>VLOOKUP($A1350, 'Medical Examinations'!$A:$J, 5, FALSE)</f>
        <v>No</v>
      </c>
      <c r="G1350" s="22" t="str">
        <f>VLOOKUP($A1350, 'Medical Examinations'!$A:$I, 6, FALSE)</f>
        <v>No</v>
      </c>
      <c r="H1350" s="22">
        <f>VLOOKUP($A1350,'Medical Examinations'!$A:$L,10, FALSE)</f>
        <v>0</v>
      </c>
      <c r="I1350" s="22" t="str">
        <f>VLOOKUP($A1350, 'Medical Examinations'!$A:$J, 9, FALSE)</f>
        <v>No</v>
      </c>
      <c r="J1350" s="22" t="str">
        <f>VLOOKUP($A1350, 'Medical Examinations'!$A:$P, 11, FALSE)</f>
        <v>OVERWEIGHT</v>
      </c>
      <c r="K1350" s="34">
        <v>37880.0</v>
      </c>
      <c r="L1350" s="35">
        <f>VLOOKUP($A1350, 'Hospitalisation Details'!$A:$H, 7, FALSE)</f>
        <v>8059.68</v>
      </c>
      <c r="M1350" s="22" t="str">
        <f>VLOOKUP($A1350, 'Hospitalisation Details'!$A:$L, 12, FALSE)</f>
        <v>tier - 2</v>
      </c>
      <c r="N1350" s="22" t="str">
        <f>VLOOKUP($A1350, 'Hospitalisation Details'!$A:$M, 13, FALSE)</f>
        <v>tier - 3</v>
      </c>
      <c r="O1350" s="22" t="str">
        <f>VLOOKUP($A1350, 'Hospitalisation Details'!$A:$N, 14, FALSE)</f>
        <v>R1012</v>
      </c>
      <c r="P1350" s="36">
        <f>VLOOKUP($A1350, 'Hospitalisation Details'!$A:$O, 15, FALSE)</f>
        <v>40</v>
      </c>
    </row>
    <row r="1351" ht="15.75" customHeight="1">
      <c r="A1351" s="33" t="s">
        <v>2701</v>
      </c>
      <c r="B1351" s="22" t="str">
        <f>VLOOKUP($A1351,'Customer Names'!$A:$D,3, FALSE)</f>
        <v>Buchanan</v>
      </c>
      <c r="C1351" s="22">
        <f>VLOOKUP($A1351,'Medical Examinations'!$A:$D, 2, FALSE)</f>
        <v>28.16</v>
      </c>
      <c r="D1351" s="22">
        <f>VLOOKUP($A1351, 'Medical Examinations'!$A:$D,3, FALSE)</f>
        <v>5.58</v>
      </c>
      <c r="E1351" s="22" t="str">
        <f>VLOOKUP($A1351, 'Medical Examinations'!$A:$D, 4, FALSE)</f>
        <v>Yes</v>
      </c>
      <c r="F1351" s="22" t="str">
        <f>VLOOKUP($A1351, 'Medical Examinations'!$A:$J, 5, FALSE)</f>
        <v>No</v>
      </c>
      <c r="G1351" s="22" t="str">
        <f>VLOOKUP($A1351, 'Medical Examinations'!$A:$I, 6, FALSE)</f>
        <v>No</v>
      </c>
      <c r="H1351" s="22">
        <f>VLOOKUP($A1351,'Medical Examinations'!$A:$L,10, FALSE)</f>
        <v>0</v>
      </c>
      <c r="I1351" s="22" t="str">
        <f>VLOOKUP($A1351, 'Medical Examinations'!$A:$J, 9, FALSE)</f>
        <v>No</v>
      </c>
      <c r="J1351" s="22" t="str">
        <f>VLOOKUP($A1351, 'Medical Examinations'!$A:$P, 11, FALSE)</f>
        <v>OVERWEIGHT</v>
      </c>
      <c r="K1351" s="34">
        <v>37897.0</v>
      </c>
      <c r="L1351" s="35">
        <f>VLOOKUP($A1351, 'Hospitalisation Details'!$A:$H, 7, FALSE)</f>
        <v>8059.06</v>
      </c>
      <c r="M1351" s="22" t="str">
        <f>VLOOKUP($A1351, 'Hospitalisation Details'!$A:$L, 12, FALSE)</f>
        <v>tier - 2</v>
      </c>
      <c r="N1351" s="22" t="str">
        <f>VLOOKUP($A1351, 'Hospitalisation Details'!$A:$M, 13, FALSE)</f>
        <v>tier - 3</v>
      </c>
      <c r="O1351" s="22" t="str">
        <f>VLOOKUP($A1351, 'Hospitalisation Details'!$A:$N, 14, FALSE)</f>
        <v>R1012</v>
      </c>
      <c r="P1351" s="36">
        <f>VLOOKUP($A1351, 'Hospitalisation Details'!$A:$O, 15, FALSE)</f>
        <v>37</v>
      </c>
    </row>
    <row r="1352" ht="15.75" customHeight="1">
      <c r="A1352" s="33" t="s">
        <v>2703</v>
      </c>
      <c r="B1352" s="22" t="str">
        <f>VLOOKUP($A1352,'Customer Names'!$A:$D,3, FALSE)</f>
        <v>Clark</v>
      </c>
      <c r="C1352" s="22">
        <f>VLOOKUP($A1352,'Medical Examinations'!$A:$D, 2, FALSE)</f>
        <v>45.54</v>
      </c>
      <c r="D1352" s="22">
        <f>VLOOKUP($A1352, 'Medical Examinations'!$A:$D,3, FALSE)</f>
        <v>5.84</v>
      </c>
      <c r="E1352" s="22" t="str">
        <f>VLOOKUP($A1352, 'Medical Examinations'!$A:$D, 4, FALSE)</f>
        <v>No</v>
      </c>
      <c r="F1352" s="22" t="str">
        <f>VLOOKUP($A1352, 'Medical Examinations'!$A:$J, 5, FALSE)</f>
        <v>No</v>
      </c>
      <c r="G1352" s="22" t="str">
        <f>VLOOKUP($A1352, 'Medical Examinations'!$A:$I, 6, FALSE)</f>
        <v>Yes</v>
      </c>
      <c r="H1352" s="22">
        <f>VLOOKUP($A1352,'Medical Examinations'!$A:$L,10, FALSE)</f>
        <v>1</v>
      </c>
      <c r="I1352" s="22" t="str">
        <f>VLOOKUP($A1352, 'Medical Examinations'!$A:$J, 9, FALSE)</f>
        <v>No</v>
      </c>
      <c r="J1352" s="22" t="str">
        <f>VLOOKUP($A1352, 'Medical Examinations'!$A:$P, 11, FALSE)</f>
        <v>OBESITY</v>
      </c>
      <c r="K1352" s="34">
        <v>38177.0</v>
      </c>
      <c r="L1352" s="35">
        <f>VLOOKUP($A1352, 'Hospitalisation Details'!$A:$H, 7, FALSE)</f>
        <v>8035.64</v>
      </c>
      <c r="M1352" s="22" t="str">
        <f>VLOOKUP($A1352, 'Hospitalisation Details'!$A:$L, 12, FALSE)</f>
        <v>tier - 2</v>
      </c>
      <c r="N1352" s="22" t="str">
        <f>VLOOKUP($A1352, 'Hospitalisation Details'!$A:$M, 13, FALSE)</f>
        <v>tier - 2</v>
      </c>
      <c r="O1352" s="22" t="str">
        <f>VLOOKUP($A1352, 'Hospitalisation Details'!$A:$N, 14, FALSE)</f>
        <v>R1012</v>
      </c>
      <c r="P1352" s="36">
        <f>VLOOKUP($A1352, 'Hospitalisation Details'!$A:$O, 15, FALSE)</f>
        <v>19</v>
      </c>
    </row>
    <row r="1353" ht="15.75" customHeight="1">
      <c r="A1353" s="33" t="s">
        <v>2705</v>
      </c>
      <c r="B1353" s="22" t="str">
        <f>VLOOKUP($A1353,'Customer Names'!$A:$D,3, FALSE)</f>
        <v>Waterson</v>
      </c>
      <c r="C1353" s="22">
        <f>VLOOKUP($A1353,'Medical Examinations'!$A:$D, 2, FALSE)</f>
        <v>28.7</v>
      </c>
      <c r="D1353" s="22">
        <f>VLOOKUP($A1353, 'Medical Examinations'!$A:$D,3, FALSE)</f>
        <v>4.2</v>
      </c>
      <c r="E1353" s="22" t="str">
        <f>VLOOKUP($A1353, 'Medical Examinations'!$A:$D, 4, FALSE)</f>
        <v>No</v>
      </c>
      <c r="F1353" s="22" t="str">
        <f>VLOOKUP($A1353, 'Medical Examinations'!$A:$J, 5, FALSE)</f>
        <v>No</v>
      </c>
      <c r="G1353" s="22" t="str">
        <f>VLOOKUP($A1353, 'Medical Examinations'!$A:$I, 6, FALSE)</f>
        <v>No</v>
      </c>
      <c r="H1353" s="22">
        <f>VLOOKUP($A1353,'Medical Examinations'!$A:$L,10, FALSE)</f>
        <v>0</v>
      </c>
      <c r="I1353" s="22" t="str">
        <f>VLOOKUP($A1353, 'Medical Examinations'!$A:$J, 9, FALSE)</f>
        <v>No</v>
      </c>
      <c r="J1353" s="22" t="str">
        <f>VLOOKUP($A1353, 'Medical Examinations'!$A:$P, 11, FALSE)</f>
        <v>OVERWEIGHT</v>
      </c>
      <c r="K1353" s="34">
        <v>38326.0</v>
      </c>
      <c r="L1353" s="35">
        <f>VLOOKUP($A1353, 'Hospitalisation Details'!$A:$H, 7, FALSE)</f>
        <v>8027.97</v>
      </c>
      <c r="M1353" s="22" t="str">
        <f>VLOOKUP($A1353, 'Hospitalisation Details'!$A:$L, 12, FALSE)</f>
        <v>tier - 3</v>
      </c>
      <c r="N1353" s="22" t="str">
        <f>VLOOKUP($A1353, 'Hospitalisation Details'!$A:$M, 13, FALSE)</f>
        <v>tier - 2</v>
      </c>
      <c r="O1353" s="22" t="str">
        <f>VLOOKUP($A1353, 'Hospitalisation Details'!$A:$N, 14, FALSE)</f>
        <v>R1011</v>
      </c>
      <c r="P1353" s="36">
        <f>VLOOKUP($A1353, 'Hospitalisation Details'!$A:$O, 15, FALSE)</f>
        <v>45</v>
      </c>
    </row>
    <row r="1354" ht="15.75" customHeight="1">
      <c r="A1354" s="33" t="s">
        <v>2707</v>
      </c>
      <c r="B1354" s="22" t="str">
        <f>VLOOKUP($A1354,'Customer Names'!$A:$D,3, FALSE)</f>
        <v>Piras</v>
      </c>
      <c r="C1354" s="22">
        <f>VLOOKUP($A1354,'Medical Examinations'!$A:$D, 2, FALSE)</f>
        <v>27.74</v>
      </c>
      <c r="D1354" s="22">
        <f>VLOOKUP($A1354, 'Medical Examinations'!$A:$D,3, FALSE)</f>
        <v>6.06</v>
      </c>
      <c r="E1354" s="22" t="str">
        <f>VLOOKUP($A1354, 'Medical Examinations'!$A:$D, 4, FALSE)</f>
        <v>Yes</v>
      </c>
      <c r="F1354" s="22" t="str">
        <f>VLOOKUP($A1354, 'Medical Examinations'!$A:$J, 5, FALSE)</f>
        <v>No</v>
      </c>
      <c r="G1354" s="22" t="str">
        <f>VLOOKUP($A1354, 'Medical Examinations'!$A:$I, 6, FALSE)</f>
        <v>No</v>
      </c>
      <c r="H1354" s="22">
        <f>VLOOKUP($A1354,'Medical Examinations'!$A:$L,10, FALSE)</f>
        <v>0</v>
      </c>
      <c r="I1354" s="22" t="str">
        <f>VLOOKUP($A1354, 'Medical Examinations'!$A:$J, 9, FALSE)</f>
        <v>No</v>
      </c>
      <c r="J1354" s="22" t="str">
        <f>VLOOKUP($A1354, 'Medical Examinations'!$A:$P, 11, FALSE)</f>
        <v>OVERWEIGHT</v>
      </c>
      <c r="K1354" s="34">
        <v>24836.0</v>
      </c>
      <c r="L1354" s="35">
        <f>VLOOKUP($A1354, 'Hospitalisation Details'!$A:$H, 7, FALSE)</f>
        <v>8026.67</v>
      </c>
      <c r="M1354" s="22" t="str">
        <f>VLOOKUP($A1354, 'Hospitalisation Details'!$A:$L, 12, FALSE)</f>
        <v>tier - 2</v>
      </c>
      <c r="N1354" s="22" t="str">
        <f>VLOOKUP($A1354, 'Hospitalisation Details'!$A:$M, 13, FALSE)</f>
        <v>tier - 2</v>
      </c>
      <c r="O1354" s="22" t="str">
        <f>VLOOKUP($A1354, 'Hospitalisation Details'!$A:$N, 14, FALSE)</f>
        <v>R1012</v>
      </c>
      <c r="P1354" s="36">
        <f>VLOOKUP($A1354, 'Hospitalisation Details'!$A:$O, 15, FALSE)</f>
        <v>46</v>
      </c>
    </row>
    <row r="1355" ht="15.75" customHeight="1">
      <c r="A1355" s="33" t="s">
        <v>2709</v>
      </c>
      <c r="B1355" s="22" t="str">
        <f>VLOOKUP($A1355,'Customer Names'!$A:$D,3, FALSE)</f>
        <v>Olson</v>
      </c>
      <c r="C1355" s="22">
        <f>VLOOKUP($A1355,'Medical Examinations'!$A:$D, 2, FALSE)</f>
        <v>36.955</v>
      </c>
      <c r="D1355" s="22">
        <f>VLOOKUP($A1355, 'Medical Examinations'!$A:$D,3, FALSE)</f>
        <v>7.57</v>
      </c>
      <c r="E1355" s="22" t="str">
        <f>VLOOKUP($A1355, 'Medical Examinations'!$A:$D, 4, FALSE)</f>
        <v>No</v>
      </c>
      <c r="F1355" s="22" t="str">
        <f>VLOOKUP($A1355, 'Medical Examinations'!$A:$J, 5, FALSE)</f>
        <v>No</v>
      </c>
      <c r="G1355" s="22" t="str">
        <f>VLOOKUP($A1355, 'Medical Examinations'!$A:$I, 6, FALSE)</f>
        <v>No</v>
      </c>
      <c r="H1355" s="22">
        <f>VLOOKUP($A1355,'Medical Examinations'!$A:$L,10, FALSE)</f>
        <v>0</v>
      </c>
      <c r="I1355" s="22" t="str">
        <f>VLOOKUP($A1355, 'Medical Examinations'!$A:$J, 9, FALSE)</f>
        <v>No</v>
      </c>
      <c r="J1355" s="22" t="str">
        <f>VLOOKUP($A1355, 'Medical Examinations'!$A:$P, 11, FALSE)</f>
        <v>OBESITY</v>
      </c>
      <c r="K1355" s="34">
        <v>38264.0</v>
      </c>
      <c r="L1355" s="35">
        <f>VLOOKUP($A1355, 'Hospitalisation Details'!$A:$H, 7, FALSE)</f>
        <v>8023.14</v>
      </c>
      <c r="M1355" s="22" t="str">
        <f>VLOOKUP($A1355, 'Hospitalisation Details'!$A:$L, 12, FALSE)</f>
        <v>tier - 2</v>
      </c>
      <c r="N1355" s="22" t="str">
        <f>VLOOKUP($A1355, 'Hospitalisation Details'!$A:$M, 13, FALSE)</f>
        <v>tier - 3</v>
      </c>
      <c r="O1355" s="22" t="str">
        <f>VLOOKUP($A1355, 'Hospitalisation Details'!$A:$N, 14, FALSE)</f>
        <v>R1012</v>
      </c>
      <c r="P1355" s="36">
        <f>VLOOKUP($A1355, 'Hospitalisation Details'!$A:$O, 15, FALSE)</f>
        <v>44</v>
      </c>
    </row>
    <row r="1356" ht="15.75" customHeight="1">
      <c r="A1356" s="33" t="s">
        <v>2711</v>
      </c>
      <c r="B1356" s="22" t="str">
        <f>VLOOKUP($A1356,'Customer Names'!$A:$D,3, FALSE)</f>
        <v>Manfredi</v>
      </c>
      <c r="C1356" s="22">
        <f>VLOOKUP($A1356,'Medical Examinations'!$A:$D, 2, FALSE)</f>
        <v>30.69</v>
      </c>
      <c r="D1356" s="22">
        <f>VLOOKUP($A1356, 'Medical Examinations'!$A:$D,3, FALSE)</f>
        <v>6.15</v>
      </c>
      <c r="E1356" s="22" t="str">
        <f>VLOOKUP($A1356, 'Medical Examinations'!$A:$D, 4, FALSE)</f>
        <v>No</v>
      </c>
      <c r="F1356" s="22" t="str">
        <f>VLOOKUP($A1356, 'Medical Examinations'!$A:$J, 5, FALSE)</f>
        <v>No</v>
      </c>
      <c r="G1356" s="22" t="str">
        <f>VLOOKUP($A1356, 'Medical Examinations'!$A:$I, 6, FALSE)</f>
        <v>No</v>
      </c>
      <c r="H1356" s="22">
        <f>VLOOKUP($A1356,'Medical Examinations'!$A:$L,10, FALSE)</f>
        <v>0</v>
      </c>
      <c r="I1356" s="22" t="str">
        <f>VLOOKUP($A1356, 'Medical Examinations'!$A:$J, 9, FALSE)</f>
        <v>No</v>
      </c>
      <c r="J1356" s="22" t="str">
        <f>VLOOKUP($A1356, 'Medical Examinations'!$A:$P, 11, FALSE)</f>
        <v>OBESITY</v>
      </c>
      <c r="K1356" s="34">
        <v>37819.0</v>
      </c>
      <c r="L1356" s="35">
        <f>VLOOKUP($A1356, 'Hospitalisation Details'!$A:$H, 7, FALSE)</f>
        <v>8021.11</v>
      </c>
      <c r="M1356" s="22" t="str">
        <f>VLOOKUP($A1356, 'Hospitalisation Details'!$A:$L, 12, FALSE)</f>
        <v>tier - 2</v>
      </c>
      <c r="N1356" s="22" t="str">
        <f>VLOOKUP($A1356, 'Hospitalisation Details'!$A:$M, 13, FALSE)</f>
        <v>tier - 1</v>
      </c>
      <c r="O1356" s="22" t="str">
        <f>VLOOKUP($A1356, 'Hospitalisation Details'!$A:$N, 14, FALSE)</f>
        <v>R1012</v>
      </c>
      <c r="P1356" s="36">
        <f>VLOOKUP($A1356, 'Hospitalisation Details'!$A:$O, 15, FALSE)</f>
        <v>33</v>
      </c>
    </row>
    <row r="1357" ht="15.75" customHeight="1">
      <c r="A1357" s="33" t="s">
        <v>2713</v>
      </c>
      <c r="B1357" s="22" t="str">
        <f>VLOOKUP($A1357,'Customer Names'!$A:$D,3, FALSE)</f>
        <v>Landberg</v>
      </c>
      <c r="C1357" s="22">
        <f>VLOOKUP($A1357,'Medical Examinations'!$A:$D, 2, FALSE)</f>
        <v>24.985</v>
      </c>
      <c r="D1357" s="22">
        <f>VLOOKUP($A1357, 'Medical Examinations'!$A:$D,3, FALSE)</f>
        <v>4.56</v>
      </c>
      <c r="E1357" s="22" t="str">
        <f>VLOOKUP($A1357, 'Medical Examinations'!$A:$D, 4, FALSE)</f>
        <v>No</v>
      </c>
      <c r="F1357" s="22" t="str">
        <f>VLOOKUP($A1357, 'Medical Examinations'!$A:$J, 5, FALSE)</f>
        <v>No</v>
      </c>
      <c r="G1357" s="22" t="str">
        <f>VLOOKUP($A1357, 'Medical Examinations'!$A:$I, 6, FALSE)</f>
        <v>No</v>
      </c>
      <c r="H1357" s="22">
        <f>VLOOKUP($A1357,'Medical Examinations'!$A:$L,10, FALSE)</f>
        <v>0</v>
      </c>
      <c r="I1357" s="22" t="str">
        <f>VLOOKUP($A1357, 'Medical Examinations'!$A:$J, 9, FALSE)</f>
        <v>No</v>
      </c>
      <c r="J1357" s="22" t="str">
        <f>VLOOKUP($A1357, 'Medical Examinations'!$A:$P, 11, FALSE)</f>
        <v>NORMAL WEIGHT</v>
      </c>
      <c r="K1357" s="34">
        <v>37959.0</v>
      </c>
      <c r="L1357" s="35">
        <f>VLOOKUP($A1357, 'Hospitalisation Details'!$A:$H, 7, FALSE)</f>
        <v>8017.06</v>
      </c>
      <c r="M1357" s="22" t="str">
        <f>VLOOKUP($A1357, 'Hospitalisation Details'!$A:$L, 12, FALSE)</f>
        <v>tier - 2</v>
      </c>
      <c r="N1357" s="22" t="str">
        <f>VLOOKUP($A1357, 'Hospitalisation Details'!$A:$M, 13, FALSE)</f>
        <v>tier - 2</v>
      </c>
      <c r="O1357" s="22" t="str">
        <f>VLOOKUP($A1357, 'Hospitalisation Details'!$A:$N, 14, FALSE)</f>
        <v>R1012</v>
      </c>
      <c r="P1357" s="36">
        <f>VLOOKUP($A1357, 'Hospitalisation Details'!$A:$O, 15, FALSE)</f>
        <v>42</v>
      </c>
    </row>
    <row r="1358" ht="15.75" customHeight="1">
      <c r="A1358" s="33" t="s">
        <v>2715</v>
      </c>
      <c r="B1358" s="22" t="str">
        <f>VLOOKUP($A1358,'Customer Names'!$A:$D,3, FALSE)</f>
        <v>Flynn</v>
      </c>
      <c r="C1358" s="22">
        <f>VLOOKUP($A1358,'Medical Examinations'!$A:$D, 2, FALSE)</f>
        <v>39.42</v>
      </c>
      <c r="D1358" s="22">
        <f>VLOOKUP($A1358, 'Medical Examinations'!$A:$D,3, FALSE)</f>
        <v>4.72</v>
      </c>
      <c r="E1358" s="22" t="str">
        <f>VLOOKUP($A1358, 'Medical Examinations'!$A:$D, 4, FALSE)</f>
        <v>Yes</v>
      </c>
      <c r="F1358" s="22" t="str">
        <f>VLOOKUP($A1358, 'Medical Examinations'!$A:$J, 5, FALSE)</f>
        <v>No</v>
      </c>
      <c r="G1358" s="22" t="str">
        <f>VLOOKUP($A1358, 'Medical Examinations'!$A:$I, 6, FALSE)</f>
        <v>No</v>
      </c>
      <c r="H1358" s="22">
        <f>VLOOKUP($A1358,'Medical Examinations'!$A:$L,10, FALSE)</f>
        <v>1</v>
      </c>
      <c r="I1358" s="22" t="str">
        <f>VLOOKUP($A1358, 'Medical Examinations'!$A:$J, 9, FALSE)</f>
        <v>No</v>
      </c>
      <c r="J1358" s="22" t="str">
        <f>VLOOKUP($A1358, 'Medical Examinations'!$A:$P, 11, FALSE)</f>
        <v>OBESITY</v>
      </c>
      <c r="K1358" s="34">
        <v>37873.0</v>
      </c>
      <c r="L1358" s="35">
        <f>VLOOKUP($A1358, 'Hospitalisation Details'!$A:$H, 7, FALSE)</f>
        <v>8014.62</v>
      </c>
      <c r="M1358" s="22" t="str">
        <f>VLOOKUP($A1358, 'Hospitalisation Details'!$A:$L, 12, FALSE)</f>
        <v>tier - 2</v>
      </c>
      <c r="N1358" s="22" t="str">
        <f>VLOOKUP($A1358, 'Hospitalisation Details'!$A:$M, 13, FALSE)</f>
        <v>tier - 3</v>
      </c>
      <c r="O1358" s="22" t="str">
        <f>VLOOKUP($A1358, 'Hospitalisation Details'!$A:$N, 14, FALSE)</f>
        <v>R1012</v>
      </c>
      <c r="P1358" s="36">
        <f>VLOOKUP($A1358, 'Hospitalisation Details'!$A:$O, 15, FALSE)</f>
        <v>27</v>
      </c>
    </row>
    <row r="1359" ht="15.75" customHeight="1">
      <c r="A1359" s="33" t="s">
        <v>2717</v>
      </c>
      <c r="B1359" s="22" t="str">
        <f>VLOOKUP($A1359,'Customer Names'!$A:$D,3, FALSE)</f>
        <v>Bishop</v>
      </c>
      <c r="C1359" s="22">
        <f>VLOOKUP($A1359,'Medical Examinations'!$A:$D, 2, FALSE)</f>
        <v>16.8</v>
      </c>
      <c r="D1359" s="22">
        <f>VLOOKUP($A1359, 'Medical Examinations'!$A:$D,3, FALSE)</f>
        <v>7.98</v>
      </c>
      <c r="E1359" s="22" t="str">
        <f>VLOOKUP($A1359, 'Medical Examinations'!$A:$D, 4, FALSE)</f>
        <v>No</v>
      </c>
      <c r="F1359" s="22" t="str">
        <f>VLOOKUP($A1359, 'Medical Examinations'!$A:$J, 5, FALSE)</f>
        <v>No</v>
      </c>
      <c r="G1359" s="22" t="str">
        <f>VLOOKUP($A1359, 'Medical Examinations'!$A:$I, 6, FALSE)</f>
        <v>No</v>
      </c>
      <c r="H1359" s="22">
        <f>VLOOKUP($A1359,'Medical Examinations'!$A:$L,10, FALSE)</f>
        <v>0</v>
      </c>
      <c r="I1359" s="22" t="str">
        <f>VLOOKUP($A1359, 'Medical Examinations'!$A:$J, 9, FALSE)</f>
        <v>No</v>
      </c>
      <c r="J1359" s="22" t="str">
        <f>VLOOKUP($A1359, 'Medical Examinations'!$A:$P, 11, FALSE)</f>
        <v>UNDERWEIGHT</v>
      </c>
      <c r="K1359" s="34">
        <v>38193.0</v>
      </c>
      <c r="L1359" s="35">
        <f>VLOOKUP($A1359, 'Hospitalisation Details'!$A:$H, 7, FALSE)</f>
        <v>8004.96</v>
      </c>
      <c r="M1359" s="22" t="str">
        <f>VLOOKUP($A1359, 'Hospitalisation Details'!$A:$L, 12, FALSE)</f>
        <v>tier - 3</v>
      </c>
      <c r="N1359" s="22" t="str">
        <f>VLOOKUP($A1359, 'Hospitalisation Details'!$A:$M, 13, FALSE)</f>
        <v>tier - 1</v>
      </c>
      <c r="O1359" s="22" t="str">
        <f>VLOOKUP($A1359, 'Hospitalisation Details'!$A:$N, 14, FALSE)</f>
        <v>R1013</v>
      </c>
      <c r="P1359" s="36">
        <f>VLOOKUP($A1359, 'Hospitalisation Details'!$A:$O, 15, FALSE)</f>
        <v>60</v>
      </c>
    </row>
    <row r="1360" ht="15.75" customHeight="1">
      <c r="A1360" s="33" t="s">
        <v>2719</v>
      </c>
      <c r="B1360" s="22" t="str">
        <f>VLOOKUP($A1360,'Customer Names'!$A:$D,3, FALSE)</f>
        <v>Devitt</v>
      </c>
      <c r="C1360" s="22">
        <f>VLOOKUP($A1360,'Medical Examinations'!$A:$D, 2, FALSE)</f>
        <v>23.275</v>
      </c>
      <c r="D1360" s="22">
        <f>VLOOKUP($A1360, 'Medical Examinations'!$A:$D,3, FALSE)</f>
        <v>6.26</v>
      </c>
      <c r="E1360" s="22" t="str">
        <f>VLOOKUP($A1360, 'Medical Examinations'!$A:$D, 4, FALSE)</f>
        <v>Yes</v>
      </c>
      <c r="F1360" s="22" t="str">
        <f>VLOOKUP($A1360, 'Medical Examinations'!$A:$J, 5, FALSE)</f>
        <v>No</v>
      </c>
      <c r="G1360" s="22" t="str">
        <f>VLOOKUP($A1360, 'Medical Examinations'!$A:$I, 6, FALSE)</f>
        <v>Yes</v>
      </c>
      <c r="H1360" s="22">
        <f>VLOOKUP($A1360,'Medical Examinations'!$A:$L,10, FALSE)</f>
        <v>1</v>
      </c>
      <c r="I1360" s="22" t="str">
        <f>VLOOKUP($A1360, 'Medical Examinations'!$A:$J, 9, FALSE)</f>
        <v>No</v>
      </c>
      <c r="J1360" s="22" t="str">
        <f>VLOOKUP($A1360, 'Medical Examinations'!$A:$P, 11, FALSE)</f>
        <v>NORMAL WEIGHT</v>
      </c>
      <c r="K1360" s="34">
        <v>38220.0</v>
      </c>
      <c r="L1360" s="35">
        <f>VLOOKUP($A1360, 'Hospitalisation Details'!$A:$H, 7, FALSE)</f>
        <v>7986.48</v>
      </c>
      <c r="M1360" s="22" t="str">
        <f>VLOOKUP($A1360, 'Hospitalisation Details'!$A:$L, 12, FALSE)</f>
        <v>tier - 2</v>
      </c>
      <c r="N1360" s="22" t="str">
        <f>VLOOKUP($A1360, 'Hospitalisation Details'!$A:$M, 13, FALSE)</f>
        <v>tier - 3</v>
      </c>
      <c r="O1360" s="22" t="str">
        <f>VLOOKUP($A1360, 'Hospitalisation Details'!$A:$N, 14, FALSE)</f>
        <v>R1024</v>
      </c>
      <c r="P1360" s="36">
        <f>VLOOKUP($A1360, 'Hospitalisation Details'!$A:$O, 15, FALSE)</f>
        <v>39</v>
      </c>
    </row>
    <row r="1361" ht="15.75" customHeight="1">
      <c r="A1361" s="33" t="s">
        <v>2721</v>
      </c>
      <c r="B1361" s="22" t="str">
        <f>VLOOKUP($A1361,'Customer Names'!$A:$D,3, FALSE)</f>
        <v>Lynch</v>
      </c>
      <c r="C1361" s="22">
        <f>VLOOKUP($A1361,'Medical Examinations'!$A:$D, 2, FALSE)</f>
        <v>22.8</v>
      </c>
      <c r="D1361" s="22">
        <f>VLOOKUP($A1361, 'Medical Examinations'!$A:$D,3, FALSE)</f>
        <v>4.29</v>
      </c>
      <c r="E1361" s="22" t="str">
        <f>VLOOKUP($A1361, 'Medical Examinations'!$A:$D, 4, FALSE)</f>
        <v>Yes</v>
      </c>
      <c r="F1361" s="22" t="str">
        <f>VLOOKUP($A1361, 'Medical Examinations'!$A:$J, 5, FALSE)</f>
        <v>No</v>
      </c>
      <c r="G1361" s="22" t="str">
        <f>VLOOKUP($A1361, 'Medical Examinations'!$A:$I, 6, FALSE)</f>
        <v>Yes</v>
      </c>
      <c r="H1361" s="22">
        <f>VLOOKUP($A1361,'Medical Examinations'!$A:$L,10, FALSE)</f>
        <v>1</v>
      </c>
      <c r="I1361" s="22" t="str">
        <f>VLOOKUP($A1361, 'Medical Examinations'!$A:$J, 9, FALSE)</f>
        <v>No</v>
      </c>
      <c r="J1361" s="22" t="str">
        <f>VLOOKUP($A1361, 'Medical Examinations'!$A:$P, 11, FALSE)</f>
        <v>NORMAL WEIGHT</v>
      </c>
      <c r="K1361" s="34">
        <v>37878.0</v>
      </c>
      <c r="L1361" s="35">
        <f>VLOOKUP($A1361, 'Hospitalisation Details'!$A:$H, 7, FALSE)</f>
        <v>7985.82</v>
      </c>
      <c r="M1361" s="22" t="str">
        <f>VLOOKUP($A1361, 'Hospitalisation Details'!$A:$L, 12, FALSE)</f>
        <v>tier - 2</v>
      </c>
      <c r="N1361" s="22" t="str">
        <f>VLOOKUP($A1361, 'Hospitalisation Details'!$A:$M, 13, FALSE)</f>
        <v>tier - 1</v>
      </c>
      <c r="O1361" s="22" t="str">
        <f>VLOOKUP($A1361, 'Hospitalisation Details'!$A:$N, 14, FALSE)</f>
        <v>R1024</v>
      </c>
      <c r="P1361" s="36">
        <f>VLOOKUP($A1361, 'Hospitalisation Details'!$A:$O, 15, FALSE)</f>
        <v>39</v>
      </c>
    </row>
    <row r="1362" ht="15.75" customHeight="1">
      <c r="A1362" s="33" t="s">
        <v>2723</v>
      </c>
      <c r="B1362" s="22" t="str">
        <f>VLOOKUP($A1362,'Customer Names'!$A:$D,3, FALSE)</f>
        <v>Tramontano</v>
      </c>
      <c r="C1362" s="22">
        <f>VLOOKUP($A1362,'Medical Examinations'!$A:$D, 2, FALSE)</f>
        <v>24.3</v>
      </c>
      <c r="D1362" s="22">
        <f>VLOOKUP($A1362, 'Medical Examinations'!$A:$D,3, FALSE)</f>
        <v>5.43</v>
      </c>
      <c r="E1362" s="22" t="str">
        <f>VLOOKUP($A1362, 'Medical Examinations'!$A:$D, 4, FALSE)</f>
        <v>No</v>
      </c>
      <c r="F1362" s="22" t="str">
        <f>VLOOKUP($A1362, 'Medical Examinations'!$A:$J, 5, FALSE)</f>
        <v>No</v>
      </c>
      <c r="G1362" s="22" t="str">
        <f>VLOOKUP($A1362, 'Medical Examinations'!$A:$I, 6, FALSE)</f>
        <v>No</v>
      </c>
      <c r="H1362" s="22">
        <f>VLOOKUP($A1362,'Medical Examinations'!$A:$L,10, FALSE)</f>
        <v>2</v>
      </c>
      <c r="I1362" s="22" t="str">
        <f>VLOOKUP($A1362, 'Medical Examinations'!$A:$J, 9, FALSE)</f>
        <v>No</v>
      </c>
      <c r="J1362" s="22" t="str">
        <f>VLOOKUP($A1362, 'Medical Examinations'!$A:$P, 11, FALSE)</f>
        <v>NORMAL WEIGHT</v>
      </c>
      <c r="K1362" s="34">
        <v>34916.0</v>
      </c>
      <c r="L1362" s="35">
        <f>VLOOKUP($A1362, 'Hospitalisation Details'!$A:$H, 7, FALSE)</f>
        <v>7980.34</v>
      </c>
      <c r="M1362" s="22" t="str">
        <f>VLOOKUP($A1362, 'Hospitalisation Details'!$A:$L, 12, FALSE)</f>
        <v>tier - 2</v>
      </c>
      <c r="N1362" s="22" t="str">
        <f>VLOOKUP($A1362, 'Hospitalisation Details'!$A:$M, 13, FALSE)</f>
        <v>tier - 2</v>
      </c>
      <c r="O1362" s="22" t="str">
        <f>VLOOKUP($A1362, 'Hospitalisation Details'!$A:$N, 14, FALSE)</f>
        <v>R1013</v>
      </c>
      <c r="P1362" s="36">
        <f>VLOOKUP($A1362, 'Hospitalisation Details'!$A:$O, 15, FALSE)</f>
        <v>50</v>
      </c>
    </row>
    <row r="1363" ht="15.75" customHeight="1">
      <c r="A1363" s="33" t="s">
        <v>2725</v>
      </c>
      <c r="B1363" s="22" t="str">
        <f>VLOOKUP($A1363,'Customer Names'!$A:$D,3, FALSE)</f>
        <v>Davidson</v>
      </c>
      <c r="C1363" s="22">
        <f>VLOOKUP($A1363,'Medical Examinations'!$A:$D, 2, FALSE)</f>
        <v>25.13</v>
      </c>
      <c r="D1363" s="22">
        <f>VLOOKUP($A1363, 'Medical Examinations'!$A:$D,3, FALSE)</f>
        <v>8</v>
      </c>
      <c r="E1363" s="22" t="str">
        <f>VLOOKUP($A1363, 'Medical Examinations'!$A:$D, 4, FALSE)</f>
        <v>Yes</v>
      </c>
      <c r="F1363" s="22" t="str">
        <f>VLOOKUP($A1363, 'Medical Examinations'!$A:$J, 5, FALSE)</f>
        <v>No</v>
      </c>
      <c r="G1363" s="22" t="str">
        <f>VLOOKUP($A1363, 'Medical Examinations'!$A:$I, 6, FALSE)</f>
        <v>No</v>
      </c>
      <c r="H1363" s="22">
        <f>VLOOKUP($A1363,'Medical Examinations'!$A:$L,10, FALSE)</f>
        <v>1</v>
      </c>
      <c r="I1363" s="22" t="str">
        <f>VLOOKUP($A1363, 'Medical Examinations'!$A:$J, 9, FALSE)</f>
        <v>No</v>
      </c>
      <c r="J1363" s="22" t="str">
        <f>VLOOKUP($A1363, 'Medical Examinations'!$A:$P, 11, FALSE)</f>
        <v>OVERWEIGHT</v>
      </c>
      <c r="K1363" s="34">
        <v>38190.0</v>
      </c>
      <c r="L1363" s="35">
        <f>VLOOKUP($A1363, 'Hospitalisation Details'!$A:$H, 7, FALSE)</f>
        <v>7966.81</v>
      </c>
      <c r="M1363" s="22" t="str">
        <f>VLOOKUP($A1363, 'Hospitalisation Details'!$A:$L, 12, FALSE)</f>
        <v>tier - 2</v>
      </c>
      <c r="N1363" s="22" t="str">
        <f>VLOOKUP($A1363, 'Hospitalisation Details'!$A:$M, 13, FALSE)</f>
        <v>tier - 2</v>
      </c>
      <c r="O1363" s="22" t="str">
        <f>VLOOKUP($A1363, 'Hospitalisation Details'!$A:$N, 14, FALSE)</f>
        <v>R1013</v>
      </c>
      <c r="P1363" s="36">
        <f>VLOOKUP($A1363, 'Hospitalisation Details'!$A:$O, 15, FALSE)</f>
        <v>47</v>
      </c>
    </row>
    <row r="1364" ht="15.75" customHeight="1">
      <c r="A1364" s="33" t="s">
        <v>2727</v>
      </c>
      <c r="B1364" s="22" t="str">
        <f>VLOOKUP($A1364,'Customer Names'!$A:$D,3, FALSE)</f>
        <v>Burke</v>
      </c>
      <c r="C1364" s="22">
        <f>VLOOKUP($A1364,'Medical Examinations'!$A:$D, 2, FALSE)</f>
        <v>22.72</v>
      </c>
      <c r="D1364" s="22">
        <f>VLOOKUP($A1364, 'Medical Examinations'!$A:$D,3, FALSE)</f>
        <v>9.96</v>
      </c>
      <c r="E1364" s="22" t="str">
        <f>VLOOKUP($A1364, 'Medical Examinations'!$A:$D, 4, FALSE)</f>
        <v>Yes</v>
      </c>
      <c r="F1364" s="22" t="str">
        <f>VLOOKUP($A1364, 'Medical Examinations'!$A:$J, 5, FALSE)</f>
        <v>No</v>
      </c>
      <c r="G1364" s="22" t="str">
        <f>VLOOKUP($A1364, 'Medical Examinations'!$A:$I, 6, FALSE)</f>
        <v>No</v>
      </c>
      <c r="H1364" s="22">
        <f>VLOOKUP($A1364,'Medical Examinations'!$A:$L,10, FALSE)</f>
        <v>2</v>
      </c>
      <c r="I1364" s="22" t="str">
        <f>VLOOKUP($A1364, 'Medical Examinations'!$A:$J, 9, FALSE)</f>
        <v>No</v>
      </c>
      <c r="J1364" s="22" t="str">
        <f>VLOOKUP($A1364, 'Medical Examinations'!$A:$P, 11, FALSE)</f>
        <v>NORMAL WEIGHT</v>
      </c>
      <c r="K1364" s="34">
        <v>38310.0</v>
      </c>
      <c r="L1364" s="35">
        <f>VLOOKUP($A1364, 'Hospitalisation Details'!$A:$H, 7, FALSE)</f>
        <v>7958.13</v>
      </c>
      <c r="M1364" s="22" t="str">
        <f>VLOOKUP($A1364, 'Hospitalisation Details'!$A:$L, 12, FALSE)</f>
        <v>tier - 2</v>
      </c>
      <c r="N1364" s="22" t="str">
        <f>VLOOKUP($A1364, 'Hospitalisation Details'!$A:$M, 13, FALSE)</f>
        <v>tier - 2</v>
      </c>
      <c r="O1364" s="22" t="str">
        <f>VLOOKUP($A1364, 'Hospitalisation Details'!$A:$N, 14, FALSE)</f>
        <v>R1013</v>
      </c>
      <c r="P1364" s="36">
        <f>VLOOKUP($A1364, 'Hospitalisation Details'!$A:$O, 15, FALSE)</f>
        <v>52</v>
      </c>
    </row>
    <row r="1365" ht="15.75" customHeight="1">
      <c r="A1365" s="33" t="s">
        <v>2729</v>
      </c>
      <c r="B1365" s="22" t="str">
        <f>VLOOKUP($A1365,'Customer Names'!$A:$D,3, FALSE)</f>
        <v>McGraw</v>
      </c>
      <c r="C1365" s="22">
        <f>VLOOKUP($A1365,'Medical Examinations'!$A:$D, 2, FALSE)</f>
        <v>32.6</v>
      </c>
      <c r="D1365" s="22">
        <f>VLOOKUP($A1365, 'Medical Examinations'!$A:$D,3, FALSE)</f>
        <v>6.8</v>
      </c>
      <c r="E1365" s="22" t="str">
        <f>VLOOKUP($A1365, 'Medical Examinations'!$A:$D, 4, FALSE)</f>
        <v>Yes</v>
      </c>
      <c r="F1365" s="22" t="str">
        <f>VLOOKUP($A1365, 'Medical Examinations'!$A:$J, 5, FALSE)</f>
        <v>No</v>
      </c>
      <c r="G1365" s="22" t="str">
        <f>VLOOKUP($A1365, 'Medical Examinations'!$A:$I, 6, FALSE)</f>
        <v>No</v>
      </c>
      <c r="H1365" s="22">
        <f>VLOOKUP($A1365,'Medical Examinations'!$A:$L,10, FALSE)</f>
        <v>0</v>
      </c>
      <c r="I1365" s="22" t="str">
        <f>VLOOKUP($A1365, 'Medical Examinations'!$A:$J, 9, FALSE)</f>
        <v>No</v>
      </c>
      <c r="J1365" s="22" t="str">
        <f>VLOOKUP($A1365, 'Medical Examinations'!$A:$P, 11, FALSE)</f>
        <v>OBESITY</v>
      </c>
      <c r="K1365" s="34">
        <v>36151.0</v>
      </c>
      <c r="L1365" s="35">
        <f>VLOOKUP($A1365, 'Hospitalisation Details'!$A:$H, 7, FALSE)</f>
        <v>7954.52</v>
      </c>
      <c r="M1365" s="22" t="str">
        <f>VLOOKUP($A1365, 'Hospitalisation Details'!$A:$L, 12, FALSE)</f>
        <v>tier - 2</v>
      </c>
      <c r="N1365" s="22" t="str">
        <f>VLOOKUP($A1365, 'Hospitalisation Details'!$A:$M, 13, FALSE)</f>
        <v>tier - 2</v>
      </c>
      <c r="O1365" s="22" t="str">
        <f>VLOOKUP($A1365, 'Hospitalisation Details'!$A:$N, 14, FALSE)</f>
        <v>R1011</v>
      </c>
      <c r="P1365" s="36">
        <f>VLOOKUP($A1365, 'Hospitalisation Details'!$A:$O, 15, FALSE)</f>
        <v>41</v>
      </c>
    </row>
    <row r="1366" ht="15.75" customHeight="1">
      <c r="A1366" s="33" t="s">
        <v>2731</v>
      </c>
      <c r="B1366" s="22" t="str">
        <f>VLOOKUP($A1366,'Customer Names'!$A:$D,3, FALSE)</f>
        <v>Fellure</v>
      </c>
      <c r="C1366" s="22">
        <f>VLOOKUP($A1366,'Medical Examinations'!$A:$D, 2, FALSE)</f>
        <v>17.28</v>
      </c>
      <c r="D1366" s="22">
        <f>VLOOKUP($A1366, 'Medical Examinations'!$A:$D,3, FALSE)</f>
        <v>6.22</v>
      </c>
      <c r="E1366" s="22" t="str">
        <f>VLOOKUP($A1366, 'Medical Examinations'!$A:$D, 4, FALSE)</f>
        <v>Yes</v>
      </c>
      <c r="F1366" s="22" t="str">
        <f>VLOOKUP($A1366, 'Medical Examinations'!$A:$J, 5, FALSE)</f>
        <v>No</v>
      </c>
      <c r="G1366" s="22" t="str">
        <f>VLOOKUP($A1366, 'Medical Examinations'!$A:$I, 6, FALSE)</f>
        <v>No</v>
      </c>
      <c r="H1366" s="22">
        <f>VLOOKUP($A1366,'Medical Examinations'!$A:$L,10, FALSE)</f>
        <v>2</v>
      </c>
      <c r="I1366" s="22" t="str">
        <f>VLOOKUP($A1366, 'Medical Examinations'!$A:$J, 9, FALSE)</f>
        <v>No</v>
      </c>
      <c r="J1366" s="22" t="str">
        <f>VLOOKUP($A1366, 'Medical Examinations'!$A:$P, 11, FALSE)</f>
        <v>UNDERWEIGHT</v>
      </c>
      <c r="K1366" s="34">
        <v>33869.0</v>
      </c>
      <c r="L1366" s="35">
        <f>VLOOKUP($A1366, 'Hospitalisation Details'!$A:$H, 7, FALSE)</f>
        <v>7953.72</v>
      </c>
      <c r="M1366" s="22" t="str">
        <f>VLOOKUP($A1366, 'Hospitalisation Details'!$A:$L, 12, FALSE)</f>
        <v>tier - 3</v>
      </c>
      <c r="N1366" s="22" t="str">
        <f>VLOOKUP($A1366, 'Hospitalisation Details'!$A:$M, 13, FALSE)</f>
        <v>tier - 3</v>
      </c>
      <c r="O1366" s="22" t="str">
        <f>VLOOKUP($A1366, 'Hospitalisation Details'!$A:$N, 14, FALSE)</f>
        <v>R1012</v>
      </c>
      <c r="P1366" s="36">
        <f>VLOOKUP($A1366, 'Hospitalisation Details'!$A:$O, 15, FALSE)</f>
        <v>56</v>
      </c>
    </row>
    <row r="1367" ht="15.75" customHeight="1">
      <c r="A1367" s="33" t="s">
        <v>2733</v>
      </c>
      <c r="B1367" s="22" t="str">
        <f>VLOOKUP($A1367,'Customer Names'!$A:$D,3, FALSE)</f>
        <v>Sanford</v>
      </c>
      <c r="C1367" s="22">
        <f>VLOOKUP($A1367,'Medical Examinations'!$A:$D, 2, FALSE)</f>
        <v>27.92</v>
      </c>
      <c r="D1367" s="22">
        <f>VLOOKUP($A1367, 'Medical Examinations'!$A:$D,3, FALSE)</f>
        <v>5.79</v>
      </c>
      <c r="E1367" s="22" t="str">
        <f>VLOOKUP($A1367, 'Medical Examinations'!$A:$D, 4, FALSE)</f>
        <v>No</v>
      </c>
      <c r="F1367" s="22" t="str">
        <f>VLOOKUP($A1367, 'Medical Examinations'!$A:$J, 5, FALSE)</f>
        <v>No</v>
      </c>
      <c r="G1367" s="22" t="str">
        <f>VLOOKUP($A1367, 'Medical Examinations'!$A:$I, 6, FALSE)</f>
        <v>No</v>
      </c>
      <c r="H1367" s="22">
        <f>VLOOKUP($A1367,'Medical Examinations'!$A:$L,10, FALSE)</f>
        <v>1</v>
      </c>
      <c r="I1367" s="22" t="str">
        <f>VLOOKUP($A1367, 'Medical Examinations'!$A:$J, 9, FALSE)</f>
        <v>No</v>
      </c>
      <c r="J1367" s="22" t="str">
        <f>VLOOKUP($A1367, 'Medical Examinations'!$A:$P, 11, FALSE)</f>
        <v>OVERWEIGHT</v>
      </c>
      <c r="K1367" s="34">
        <v>37230.0</v>
      </c>
      <c r="L1367" s="35">
        <f>VLOOKUP($A1367, 'Hospitalisation Details'!$A:$H, 7, FALSE)</f>
        <v>7948.22</v>
      </c>
      <c r="M1367" s="22" t="str">
        <f>VLOOKUP($A1367, 'Hospitalisation Details'!$A:$L, 12, FALSE)</f>
        <v>tier - 2</v>
      </c>
      <c r="N1367" s="22" t="str">
        <f>VLOOKUP($A1367, 'Hospitalisation Details'!$A:$M, 13, FALSE)</f>
        <v>tier - 3</v>
      </c>
      <c r="O1367" s="22" t="str">
        <f>VLOOKUP($A1367, 'Hospitalisation Details'!$A:$N, 14, FALSE)</f>
        <v>R1025</v>
      </c>
      <c r="P1367" s="36">
        <f>VLOOKUP($A1367, 'Hospitalisation Details'!$A:$O, 15, FALSE)</f>
        <v>35</v>
      </c>
    </row>
    <row r="1368" ht="15.75" customHeight="1">
      <c r="A1368" s="33" t="s">
        <v>2735</v>
      </c>
      <c r="B1368" s="22" t="str">
        <f>VLOOKUP($A1368,'Customer Names'!$A:$D,3, FALSE)</f>
        <v>Wrenn</v>
      </c>
      <c r="C1368" s="22">
        <f>VLOOKUP($A1368,'Medical Examinations'!$A:$D, 2, FALSE)</f>
        <v>38.285</v>
      </c>
      <c r="D1368" s="22">
        <f>VLOOKUP($A1368, 'Medical Examinations'!$A:$D,3, FALSE)</f>
        <v>5.41</v>
      </c>
      <c r="E1368" s="22" t="str">
        <f>VLOOKUP($A1368, 'Medical Examinations'!$A:$D, 4, FALSE)</f>
        <v>No</v>
      </c>
      <c r="F1368" s="22" t="str">
        <f>VLOOKUP($A1368, 'Medical Examinations'!$A:$J, 5, FALSE)</f>
        <v>No</v>
      </c>
      <c r="G1368" s="22" t="str">
        <f>VLOOKUP($A1368, 'Medical Examinations'!$A:$I, 6, FALSE)</f>
        <v>No</v>
      </c>
      <c r="H1368" s="22">
        <f>VLOOKUP($A1368,'Medical Examinations'!$A:$L,10, FALSE)</f>
        <v>0</v>
      </c>
      <c r="I1368" s="22" t="str">
        <f>VLOOKUP($A1368, 'Medical Examinations'!$A:$J, 9, FALSE)</f>
        <v>No</v>
      </c>
      <c r="J1368" s="22" t="str">
        <f>VLOOKUP($A1368, 'Medical Examinations'!$A:$P, 11, FALSE)</f>
        <v>OBESITY</v>
      </c>
      <c r="K1368" s="34">
        <v>37044.0</v>
      </c>
      <c r="L1368" s="35">
        <f>VLOOKUP($A1368, 'Hospitalisation Details'!$A:$H, 7, FALSE)</f>
        <v>7935.29</v>
      </c>
      <c r="M1368" s="22" t="str">
        <f>VLOOKUP($A1368, 'Hospitalisation Details'!$A:$L, 12, FALSE)</f>
        <v>tier - 2</v>
      </c>
      <c r="N1368" s="22" t="str">
        <f>VLOOKUP($A1368, 'Hospitalisation Details'!$A:$M, 13, FALSE)</f>
        <v>tier - 1</v>
      </c>
      <c r="O1368" s="22" t="str">
        <f>VLOOKUP($A1368, 'Hospitalisation Details'!$A:$N, 14, FALSE)</f>
        <v>R1024</v>
      </c>
      <c r="P1368" s="36">
        <f>VLOOKUP($A1368, 'Hospitalisation Details'!$A:$O, 15, FALSE)</f>
        <v>45</v>
      </c>
    </row>
    <row r="1369" ht="15.75" customHeight="1">
      <c r="A1369" s="33" t="s">
        <v>2737</v>
      </c>
      <c r="B1369" s="22" t="str">
        <f>VLOOKUP($A1369,'Customer Names'!$A:$D,3, FALSE)</f>
        <v>Lindsey</v>
      </c>
      <c r="C1369" s="22">
        <f>VLOOKUP($A1369,'Medical Examinations'!$A:$D, 2, FALSE)</f>
        <v>16.48</v>
      </c>
      <c r="D1369" s="22">
        <f>VLOOKUP($A1369, 'Medical Examinations'!$A:$D,3, FALSE)</f>
        <v>11.05</v>
      </c>
      <c r="E1369" s="22" t="str">
        <f>VLOOKUP($A1369, 'Medical Examinations'!$A:$D, 4, FALSE)</f>
        <v>No</v>
      </c>
      <c r="F1369" s="22" t="str">
        <f>VLOOKUP($A1369, 'Medical Examinations'!$A:$J, 5, FALSE)</f>
        <v>No</v>
      </c>
      <c r="G1369" s="22" t="str">
        <f>VLOOKUP($A1369, 'Medical Examinations'!$A:$I, 6, FALSE)</f>
        <v>No</v>
      </c>
      <c r="H1369" s="22">
        <f>VLOOKUP($A1369,'Medical Examinations'!$A:$L,10, FALSE)</f>
        <v>0</v>
      </c>
      <c r="I1369" s="22" t="str">
        <f>VLOOKUP($A1369, 'Medical Examinations'!$A:$J, 9, FALSE)</f>
        <v>No</v>
      </c>
      <c r="J1369" s="22" t="str">
        <f>VLOOKUP($A1369, 'Medical Examinations'!$A:$P, 11, FALSE)</f>
        <v>UNDERWEIGHT</v>
      </c>
      <c r="K1369" s="34">
        <v>37079.0</v>
      </c>
      <c r="L1369" s="35">
        <f>VLOOKUP($A1369, 'Hospitalisation Details'!$A:$H, 7, FALSE)</f>
        <v>7896.41</v>
      </c>
      <c r="M1369" s="22" t="str">
        <f>VLOOKUP($A1369, 'Hospitalisation Details'!$A:$L, 12, FALSE)</f>
        <v>tier - 3</v>
      </c>
      <c r="N1369" s="22" t="str">
        <f>VLOOKUP($A1369, 'Hospitalisation Details'!$A:$M, 13, FALSE)</f>
        <v>tier - 2</v>
      </c>
      <c r="O1369" s="22" t="str">
        <f>VLOOKUP($A1369, 'Hospitalisation Details'!$A:$N, 14, FALSE)</f>
        <v>R1013</v>
      </c>
      <c r="P1369" s="36">
        <f>VLOOKUP($A1369, 'Hospitalisation Details'!$A:$O, 15, FALSE)</f>
        <v>60</v>
      </c>
    </row>
    <row r="1370" ht="15.75" customHeight="1">
      <c r="A1370" s="33" t="s">
        <v>2739</v>
      </c>
      <c r="B1370" s="22" t="str">
        <f>VLOOKUP($A1370,'Customer Names'!$A:$D,3, FALSE)</f>
        <v>Krueger</v>
      </c>
      <c r="C1370" s="22">
        <f>VLOOKUP($A1370,'Medical Examinations'!$A:$D, 2, FALSE)</f>
        <v>38.57</v>
      </c>
      <c r="D1370" s="22">
        <f>VLOOKUP($A1370, 'Medical Examinations'!$A:$D,3, FALSE)</f>
        <v>6.27</v>
      </c>
      <c r="E1370" s="22" t="str">
        <f>VLOOKUP($A1370, 'Medical Examinations'!$A:$D, 4, FALSE)</f>
        <v>No</v>
      </c>
      <c r="F1370" s="22" t="str">
        <f>VLOOKUP($A1370, 'Medical Examinations'!$A:$J, 5, FALSE)</f>
        <v>No</v>
      </c>
      <c r="G1370" s="22" t="str">
        <f>VLOOKUP($A1370, 'Medical Examinations'!$A:$I, 6, FALSE)</f>
        <v>No</v>
      </c>
      <c r="H1370" s="22">
        <f>VLOOKUP($A1370,'Medical Examinations'!$A:$L,10, FALSE)</f>
        <v>0</v>
      </c>
      <c r="I1370" s="22" t="str">
        <f>VLOOKUP($A1370, 'Medical Examinations'!$A:$J, 9, FALSE)</f>
        <v>No</v>
      </c>
      <c r="J1370" s="22" t="str">
        <f>VLOOKUP($A1370, 'Medical Examinations'!$A:$P, 11, FALSE)</f>
        <v>OBESITY</v>
      </c>
      <c r="K1370" s="34">
        <v>37128.0</v>
      </c>
      <c r="L1370" s="35">
        <f>VLOOKUP($A1370, 'Hospitalisation Details'!$A:$H, 7, FALSE)</f>
        <v>7851.85</v>
      </c>
      <c r="M1370" s="22" t="str">
        <f>VLOOKUP($A1370, 'Hospitalisation Details'!$A:$L, 12, FALSE)</f>
        <v>tier - 2</v>
      </c>
      <c r="N1370" s="22" t="str">
        <f>VLOOKUP($A1370, 'Hospitalisation Details'!$A:$M, 13, FALSE)</f>
        <v>tier - 3</v>
      </c>
      <c r="O1370" s="22" t="str">
        <f>VLOOKUP($A1370, 'Hospitalisation Details'!$A:$N, 14, FALSE)</f>
        <v>R1012</v>
      </c>
      <c r="P1370" s="36">
        <f>VLOOKUP($A1370, 'Hospitalisation Details'!$A:$O, 15, FALSE)</f>
        <v>28</v>
      </c>
    </row>
    <row r="1371" ht="15.75" customHeight="1">
      <c r="A1371" s="33" t="s">
        <v>2741</v>
      </c>
      <c r="B1371" s="22" t="str">
        <f>VLOOKUP($A1371,'Customer Names'!$A:$D,3, FALSE)</f>
        <v>Babler</v>
      </c>
      <c r="C1371" s="22">
        <f>VLOOKUP($A1371,'Medical Examinations'!$A:$D, 2, FALSE)</f>
        <v>43.85</v>
      </c>
      <c r="D1371" s="22">
        <f>VLOOKUP($A1371, 'Medical Examinations'!$A:$D,3, FALSE)</f>
        <v>4.77</v>
      </c>
      <c r="E1371" s="22" t="str">
        <f>VLOOKUP($A1371, 'Medical Examinations'!$A:$D, 4, FALSE)</f>
        <v>Yes</v>
      </c>
      <c r="F1371" s="22" t="str">
        <f>VLOOKUP($A1371, 'Medical Examinations'!$A:$J, 5, FALSE)</f>
        <v>No</v>
      </c>
      <c r="G1371" s="22" t="str">
        <f>VLOOKUP($A1371, 'Medical Examinations'!$A:$I, 6, FALSE)</f>
        <v>No</v>
      </c>
      <c r="H1371" s="22">
        <f>VLOOKUP($A1371,'Medical Examinations'!$A:$L,10, FALSE)</f>
        <v>0</v>
      </c>
      <c r="I1371" s="22" t="str">
        <f>VLOOKUP($A1371, 'Medical Examinations'!$A:$J, 9, FALSE)</f>
        <v>No</v>
      </c>
      <c r="J1371" s="22" t="str">
        <f>VLOOKUP($A1371, 'Medical Examinations'!$A:$P, 11, FALSE)</f>
        <v>OBESITY</v>
      </c>
      <c r="K1371" s="34">
        <v>35965.0</v>
      </c>
      <c r="L1371" s="35">
        <f>VLOOKUP($A1371, 'Hospitalisation Details'!$A:$H, 7, FALSE)</f>
        <v>7844.8</v>
      </c>
      <c r="M1371" s="22" t="str">
        <f>VLOOKUP($A1371, 'Hospitalisation Details'!$A:$L, 12, FALSE)</f>
        <v>tier - 2</v>
      </c>
      <c r="N1371" s="22" t="str">
        <f>VLOOKUP($A1371, 'Hospitalisation Details'!$A:$M, 13, FALSE)</f>
        <v>tier - 2</v>
      </c>
      <c r="O1371" s="22" t="str">
        <f>VLOOKUP($A1371, 'Hospitalisation Details'!$A:$N, 14, FALSE)</f>
        <v>R1012</v>
      </c>
      <c r="P1371" s="36">
        <f>VLOOKUP($A1371, 'Hospitalisation Details'!$A:$O, 15, FALSE)</f>
        <v>21</v>
      </c>
    </row>
    <row r="1372" ht="15.75" customHeight="1">
      <c r="A1372" s="33" t="s">
        <v>2743</v>
      </c>
      <c r="B1372" s="22" t="str">
        <f>VLOOKUP($A1372,'Customer Names'!$A:$D,3, FALSE)</f>
        <v>Brezenski</v>
      </c>
      <c r="C1372" s="22">
        <f>VLOOKUP($A1372,'Medical Examinations'!$A:$D, 2, FALSE)</f>
        <v>30.11</v>
      </c>
      <c r="D1372" s="22">
        <f>VLOOKUP($A1372, 'Medical Examinations'!$A:$D,3, FALSE)</f>
        <v>4.08</v>
      </c>
      <c r="E1372" s="22" t="str">
        <f>VLOOKUP($A1372, 'Medical Examinations'!$A:$D, 4, FALSE)</f>
        <v>No</v>
      </c>
      <c r="F1372" s="22" t="str">
        <f>VLOOKUP($A1372, 'Medical Examinations'!$A:$J, 5, FALSE)</f>
        <v>No</v>
      </c>
      <c r="G1372" s="22" t="str">
        <f>VLOOKUP($A1372, 'Medical Examinations'!$A:$I, 6, FALSE)</f>
        <v>No</v>
      </c>
      <c r="H1372" s="22">
        <f>VLOOKUP($A1372,'Medical Examinations'!$A:$L,10, FALSE)</f>
        <v>0</v>
      </c>
      <c r="I1372" s="22" t="str">
        <f>VLOOKUP($A1372, 'Medical Examinations'!$A:$J, 9, FALSE)</f>
        <v>No</v>
      </c>
      <c r="J1372" s="22" t="str">
        <f>VLOOKUP($A1372, 'Medical Examinations'!$A:$P, 11, FALSE)</f>
        <v>OBESITY</v>
      </c>
      <c r="K1372" s="34">
        <v>34979.0</v>
      </c>
      <c r="L1372" s="35">
        <f>VLOOKUP($A1372, 'Hospitalisation Details'!$A:$H, 7, FALSE)</f>
        <v>7824.37</v>
      </c>
      <c r="M1372" s="22" t="str">
        <f>VLOOKUP($A1372, 'Hospitalisation Details'!$A:$L, 12, FALSE)</f>
        <v>tier - 2</v>
      </c>
      <c r="N1372" s="22" t="str">
        <f>VLOOKUP($A1372, 'Hospitalisation Details'!$A:$M, 13, FALSE)</f>
        <v>tier - 2</v>
      </c>
      <c r="O1372" s="22" t="str">
        <f>VLOOKUP($A1372, 'Hospitalisation Details'!$A:$N, 14, FALSE)</f>
        <v>R1012</v>
      </c>
      <c r="P1372" s="36">
        <f>VLOOKUP($A1372, 'Hospitalisation Details'!$A:$O, 15, FALSE)</f>
        <v>33</v>
      </c>
    </row>
    <row r="1373" ht="15.75" customHeight="1">
      <c r="A1373" s="33" t="s">
        <v>2745</v>
      </c>
      <c r="B1373" s="22" t="str">
        <f>VLOOKUP($A1373,'Customer Names'!$A:$D,3, FALSE)</f>
        <v>Marschner</v>
      </c>
      <c r="C1373" s="22">
        <f>VLOOKUP($A1373,'Medical Examinations'!$A:$D, 2, FALSE)</f>
        <v>31.59</v>
      </c>
      <c r="D1373" s="22">
        <f>VLOOKUP($A1373, 'Medical Examinations'!$A:$D,3, FALSE)</f>
        <v>6.01</v>
      </c>
      <c r="E1373" s="22" t="str">
        <f>VLOOKUP($A1373, 'Medical Examinations'!$A:$D, 4, FALSE)</f>
        <v>No</v>
      </c>
      <c r="F1373" s="22" t="str">
        <f>VLOOKUP($A1373, 'Medical Examinations'!$A:$J, 5, FALSE)</f>
        <v>No</v>
      </c>
      <c r="G1373" s="22" t="str">
        <f>VLOOKUP($A1373, 'Medical Examinations'!$A:$I, 6, FALSE)</f>
        <v>No</v>
      </c>
      <c r="H1373" s="22">
        <f>VLOOKUP($A1373,'Medical Examinations'!$A:$L,10, FALSE)</f>
        <v>0</v>
      </c>
      <c r="I1373" s="22" t="str">
        <f>VLOOKUP($A1373, 'Medical Examinations'!$A:$J, 9, FALSE)</f>
        <v>No</v>
      </c>
      <c r="J1373" s="22" t="str">
        <f>VLOOKUP($A1373, 'Medical Examinations'!$A:$P, 11, FALSE)</f>
        <v>OBESITY</v>
      </c>
      <c r="K1373" s="34">
        <v>35590.0</v>
      </c>
      <c r="L1373" s="35">
        <f>VLOOKUP($A1373, 'Hospitalisation Details'!$A:$H, 7, FALSE)</f>
        <v>7812.67</v>
      </c>
      <c r="M1373" s="22" t="str">
        <f>VLOOKUP($A1373, 'Hospitalisation Details'!$A:$L, 12, FALSE)</f>
        <v>tier - 2</v>
      </c>
      <c r="N1373" s="22" t="str">
        <f>VLOOKUP($A1373, 'Hospitalisation Details'!$A:$M, 13, FALSE)</f>
        <v>tier - 1</v>
      </c>
      <c r="O1373" s="22" t="str">
        <f>VLOOKUP($A1373, 'Hospitalisation Details'!$A:$N, 14, FALSE)</f>
        <v>R1012</v>
      </c>
      <c r="P1373" s="36">
        <f>VLOOKUP($A1373, 'Hospitalisation Details'!$A:$O, 15, FALSE)</f>
        <v>31</v>
      </c>
    </row>
    <row r="1374" ht="15.75" customHeight="1">
      <c r="A1374" s="33" t="s">
        <v>2747</v>
      </c>
      <c r="B1374" s="22" t="str">
        <f>VLOOKUP($A1374,'Customer Names'!$A:$D,3, FALSE)</f>
        <v>King</v>
      </c>
      <c r="C1374" s="22">
        <f>VLOOKUP($A1374,'Medical Examinations'!$A:$D, 2, FALSE)</f>
        <v>40.15</v>
      </c>
      <c r="D1374" s="22">
        <f>VLOOKUP($A1374, 'Medical Examinations'!$A:$D,3, FALSE)</f>
        <v>11.84</v>
      </c>
      <c r="E1374" s="22" t="str">
        <f>VLOOKUP($A1374, 'Medical Examinations'!$A:$D, 4, FALSE)</f>
        <v>No</v>
      </c>
      <c r="F1374" s="22" t="str">
        <f>VLOOKUP($A1374, 'Medical Examinations'!$A:$J, 5, FALSE)</f>
        <v>No</v>
      </c>
      <c r="G1374" s="22" t="str">
        <f>VLOOKUP($A1374, 'Medical Examinations'!$A:$I, 6, FALSE)</f>
        <v>No</v>
      </c>
      <c r="H1374" s="22">
        <f>VLOOKUP($A1374,'Medical Examinations'!$A:$L,10, FALSE)</f>
        <v>0</v>
      </c>
      <c r="I1374" s="22" t="str">
        <f>VLOOKUP($A1374, 'Medical Examinations'!$A:$J, 9, FALSE)</f>
        <v>No</v>
      </c>
      <c r="J1374" s="22" t="str">
        <f>VLOOKUP($A1374, 'Medical Examinations'!$A:$P, 11, FALSE)</f>
        <v>OBESITY</v>
      </c>
      <c r="K1374" s="34">
        <v>36136.0</v>
      </c>
      <c r="L1374" s="35">
        <f>VLOOKUP($A1374, 'Hospitalisation Details'!$A:$H, 7, FALSE)</f>
        <v>7804.16</v>
      </c>
      <c r="M1374" s="22" t="str">
        <f>VLOOKUP($A1374, 'Hospitalisation Details'!$A:$L, 12, FALSE)</f>
        <v>tier - 2</v>
      </c>
      <c r="N1374" s="22" t="str">
        <f>VLOOKUP($A1374, 'Hospitalisation Details'!$A:$M, 13, FALSE)</f>
        <v>tier - 3</v>
      </c>
      <c r="O1374" s="22" t="str">
        <f>VLOOKUP($A1374, 'Hospitalisation Details'!$A:$N, 14, FALSE)</f>
        <v>R1013</v>
      </c>
      <c r="P1374" s="36">
        <f>VLOOKUP($A1374, 'Hospitalisation Details'!$A:$O, 15, FALSE)</f>
        <v>48</v>
      </c>
    </row>
    <row r="1375" ht="15.75" customHeight="1">
      <c r="A1375" s="33" t="s">
        <v>2749</v>
      </c>
      <c r="B1375" s="22" t="str">
        <f>VLOOKUP($A1375,'Customer Names'!$A:$D,3, FALSE)</f>
        <v>Montez</v>
      </c>
      <c r="C1375" s="22">
        <f>VLOOKUP($A1375,'Medical Examinations'!$A:$D, 2, FALSE)</f>
        <v>40.7</v>
      </c>
      <c r="D1375" s="22">
        <f>VLOOKUP($A1375, 'Medical Examinations'!$A:$D,3, FALSE)</f>
        <v>6.27</v>
      </c>
      <c r="E1375" s="22" t="str">
        <f>VLOOKUP($A1375, 'Medical Examinations'!$A:$D, 4, FALSE)</f>
        <v>Yes</v>
      </c>
      <c r="F1375" s="22" t="str">
        <f>VLOOKUP($A1375, 'Medical Examinations'!$A:$J, 5, FALSE)</f>
        <v>No</v>
      </c>
      <c r="G1375" s="22" t="str">
        <f>VLOOKUP($A1375, 'Medical Examinations'!$A:$I, 6, FALSE)</f>
        <v>Yes</v>
      </c>
      <c r="H1375" s="22">
        <f>VLOOKUP($A1375,'Medical Examinations'!$A:$L,10, FALSE)</f>
        <v>1</v>
      </c>
      <c r="I1375" s="22" t="str">
        <f>VLOOKUP($A1375, 'Medical Examinations'!$A:$J, 9, FALSE)</f>
        <v>No</v>
      </c>
      <c r="J1375" s="22" t="str">
        <f>VLOOKUP($A1375, 'Medical Examinations'!$A:$P, 11, FALSE)</f>
        <v>OBESITY</v>
      </c>
      <c r="K1375" s="34">
        <v>37792.0</v>
      </c>
      <c r="L1375" s="35">
        <f>VLOOKUP($A1375, 'Hospitalisation Details'!$A:$H, 7, FALSE)</f>
        <v>7803.77</v>
      </c>
      <c r="M1375" s="22" t="str">
        <f>VLOOKUP($A1375, 'Hospitalisation Details'!$A:$L, 12, FALSE)</f>
        <v>tier - 2</v>
      </c>
      <c r="N1375" s="22" t="str">
        <f>VLOOKUP($A1375, 'Hospitalisation Details'!$A:$M, 13, FALSE)</f>
        <v>tier - 3</v>
      </c>
      <c r="O1375" s="22" t="str">
        <f>VLOOKUP($A1375, 'Hospitalisation Details'!$A:$N, 14, FALSE)</f>
        <v>R1012</v>
      </c>
      <c r="P1375" s="36">
        <f>VLOOKUP($A1375, 'Hospitalisation Details'!$A:$O, 15, FALSE)</f>
        <v>25</v>
      </c>
    </row>
    <row r="1376" ht="15.75" customHeight="1">
      <c r="A1376" s="33" t="s">
        <v>2751</v>
      </c>
      <c r="B1376" s="22" t="str">
        <f>VLOOKUP($A1376,'Customer Names'!$A:$D,3, FALSE)</f>
        <v>Campbell</v>
      </c>
      <c r="C1376" s="22">
        <f>VLOOKUP($A1376,'Medical Examinations'!$A:$D, 2, FALSE)</f>
        <v>40.76</v>
      </c>
      <c r="D1376" s="22">
        <f>VLOOKUP($A1376, 'Medical Examinations'!$A:$D,3, FALSE)</f>
        <v>5.28</v>
      </c>
      <c r="E1376" s="22" t="str">
        <f>VLOOKUP($A1376, 'Medical Examinations'!$A:$D, 4, FALSE)</f>
        <v>No</v>
      </c>
      <c r="F1376" s="22" t="str">
        <f>VLOOKUP($A1376, 'Medical Examinations'!$A:$J, 5, FALSE)</f>
        <v>No</v>
      </c>
      <c r="G1376" s="22" t="str">
        <f>VLOOKUP($A1376, 'Medical Examinations'!$A:$I, 6, FALSE)</f>
        <v>No</v>
      </c>
      <c r="H1376" s="22">
        <f>VLOOKUP($A1376,'Medical Examinations'!$A:$L,10, FALSE)</f>
        <v>0</v>
      </c>
      <c r="I1376" s="22" t="str">
        <f>VLOOKUP($A1376, 'Medical Examinations'!$A:$J, 9, FALSE)</f>
        <v>No</v>
      </c>
      <c r="J1376" s="22" t="str">
        <f>VLOOKUP($A1376, 'Medical Examinations'!$A:$P, 11, FALSE)</f>
        <v>OBESITY</v>
      </c>
      <c r="K1376" s="34">
        <v>28305.0</v>
      </c>
      <c r="L1376" s="35">
        <f>VLOOKUP($A1376, 'Hospitalisation Details'!$A:$H, 7, FALSE)</f>
        <v>7794.68</v>
      </c>
      <c r="M1376" s="22" t="str">
        <f>VLOOKUP($A1376, 'Hospitalisation Details'!$A:$L, 12, FALSE)</f>
        <v>tier - 2</v>
      </c>
      <c r="N1376" s="22" t="str">
        <f>VLOOKUP($A1376, 'Hospitalisation Details'!$A:$M, 13, FALSE)</f>
        <v>tier - 2</v>
      </c>
      <c r="O1376" s="22" t="str">
        <f>VLOOKUP($A1376, 'Hospitalisation Details'!$A:$N, 14, FALSE)</f>
        <v>R1026</v>
      </c>
      <c r="P1376" s="36">
        <f>VLOOKUP($A1376, 'Hospitalisation Details'!$A:$O, 15, FALSE)</f>
        <v>23</v>
      </c>
    </row>
    <row r="1377" ht="15.75" customHeight="1">
      <c r="A1377" s="33" t="s">
        <v>2753</v>
      </c>
      <c r="B1377" s="22" t="str">
        <f>VLOOKUP($A1377,'Customer Names'!$A:$D,3, FALSE)</f>
        <v>Hurt</v>
      </c>
      <c r="C1377" s="22">
        <f>VLOOKUP($A1377,'Medical Examinations'!$A:$D, 2, FALSE)</f>
        <v>29.7</v>
      </c>
      <c r="D1377" s="22">
        <f>VLOOKUP($A1377, 'Medical Examinations'!$A:$D,3, FALSE)</f>
        <v>7.03</v>
      </c>
      <c r="E1377" s="22" t="str">
        <f>VLOOKUP($A1377, 'Medical Examinations'!$A:$D, 4, FALSE)</f>
        <v>No</v>
      </c>
      <c r="F1377" s="22" t="str">
        <f>VLOOKUP($A1377, 'Medical Examinations'!$A:$J, 5, FALSE)</f>
        <v>No</v>
      </c>
      <c r="G1377" s="22" t="str">
        <f>VLOOKUP($A1377, 'Medical Examinations'!$A:$I, 6, FALSE)</f>
        <v>No</v>
      </c>
      <c r="H1377" s="22">
        <f>VLOOKUP($A1377,'Medical Examinations'!$A:$L,10, FALSE)</f>
        <v>0</v>
      </c>
      <c r="I1377" s="22" t="str">
        <f>VLOOKUP($A1377, 'Medical Examinations'!$A:$J, 9, FALSE)</f>
        <v>No</v>
      </c>
      <c r="J1377" s="22" t="str">
        <f>VLOOKUP($A1377, 'Medical Examinations'!$A:$P, 11, FALSE)</f>
        <v>OVERWEIGHT</v>
      </c>
      <c r="K1377" s="34">
        <v>35600.0</v>
      </c>
      <c r="L1377" s="35">
        <f>VLOOKUP($A1377, 'Hospitalisation Details'!$A:$H, 7, FALSE)</f>
        <v>7789.64</v>
      </c>
      <c r="M1377" s="22" t="str">
        <f>VLOOKUP($A1377, 'Hospitalisation Details'!$A:$L, 12, FALSE)</f>
        <v>tier - 1</v>
      </c>
      <c r="N1377" s="22" t="str">
        <f>VLOOKUP($A1377, 'Hospitalisation Details'!$A:$M, 13, FALSE)</f>
        <v>tier - 3</v>
      </c>
      <c r="O1377" s="22" t="str">
        <f>VLOOKUP($A1377, 'Hospitalisation Details'!$A:$N, 14, FALSE)</f>
        <v>R1013</v>
      </c>
      <c r="P1377" s="36">
        <f>VLOOKUP($A1377, 'Hospitalisation Details'!$A:$O, 15, FALSE)</f>
        <v>48</v>
      </c>
    </row>
    <row r="1378" ht="15.75" customHeight="1">
      <c r="A1378" s="33" t="s">
        <v>2755</v>
      </c>
      <c r="B1378" s="22" t="str">
        <f>VLOOKUP($A1378,'Customer Names'!$A:$D,3, FALSE)</f>
        <v>Garey</v>
      </c>
      <c r="C1378" s="22">
        <f>VLOOKUP($A1378,'Medical Examinations'!$A:$D, 2, FALSE)</f>
        <v>40.58</v>
      </c>
      <c r="D1378" s="22">
        <f>VLOOKUP($A1378, 'Medical Examinations'!$A:$D,3, FALSE)</f>
        <v>5.32</v>
      </c>
      <c r="E1378" s="22" t="str">
        <f>VLOOKUP($A1378, 'Medical Examinations'!$A:$D, 4, FALSE)</f>
        <v>Yes</v>
      </c>
      <c r="F1378" s="22" t="str">
        <f>VLOOKUP($A1378, 'Medical Examinations'!$A:$J, 5, FALSE)</f>
        <v>No</v>
      </c>
      <c r="G1378" s="22" t="str">
        <f>VLOOKUP($A1378, 'Medical Examinations'!$A:$I, 6, FALSE)</f>
        <v>Yes</v>
      </c>
      <c r="H1378" s="22">
        <f>VLOOKUP($A1378,'Medical Examinations'!$A:$L,10, FALSE)</f>
        <v>1</v>
      </c>
      <c r="I1378" s="22" t="str">
        <f>VLOOKUP($A1378, 'Medical Examinations'!$A:$J, 9, FALSE)</f>
        <v>No</v>
      </c>
      <c r="J1378" s="22" t="str">
        <f>VLOOKUP($A1378, 'Medical Examinations'!$A:$P, 11, FALSE)</f>
        <v>OBESITY</v>
      </c>
      <c r="K1378" s="34">
        <v>36770.0</v>
      </c>
      <c r="L1378" s="35">
        <f>VLOOKUP($A1378, 'Hospitalisation Details'!$A:$H, 7, FALSE)</f>
        <v>7763.06</v>
      </c>
      <c r="M1378" s="22" t="str">
        <f>VLOOKUP($A1378, 'Hospitalisation Details'!$A:$L, 12, FALSE)</f>
        <v>tier - 2</v>
      </c>
      <c r="N1378" s="22" t="str">
        <f>VLOOKUP($A1378, 'Hospitalisation Details'!$A:$M, 13, FALSE)</f>
        <v>tier - 1</v>
      </c>
      <c r="O1378" s="22" t="str">
        <f>VLOOKUP($A1378, 'Hospitalisation Details'!$A:$N, 14, FALSE)</f>
        <v>R1012</v>
      </c>
      <c r="P1378" s="36">
        <f>VLOOKUP($A1378, 'Hospitalisation Details'!$A:$O, 15, FALSE)</f>
        <v>25</v>
      </c>
    </row>
    <row r="1379" ht="15.75" customHeight="1">
      <c r="A1379" s="33" t="s">
        <v>2757</v>
      </c>
      <c r="B1379" s="22" t="str">
        <f>VLOOKUP($A1379,'Customer Names'!$A:$D,3, FALSE)</f>
        <v>Reddy</v>
      </c>
      <c r="C1379" s="22">
        <f>VLOOKUP($A1379,'Medical Examinations'!$A:$D, 2, FALSE)</f>
        <v>33.06</v>
      </c>
      <c r="D1379" s="22">
        <f>VLOOKUP($A1379, 'Medical Examinations'!$A:$D,3, FALSE)</f>
        <v>9.59</v>
      </c>
      <c r="E1379" s="22" t="str">
        <f>VLOOKUP($A1379, 'Medical Examinations'!$A:$D, 4, FALSE)</f>
        <v>Yes</v>
      </c>
      <c r="F1379" s="22" t="str">
        <f>VLOOKUP($A1379, 'Medical Examinations'!$A:$J, 5, FALSE)</f>
        <v>No</v>
      </c>
      <c r="G1379" s="22" t="str">
        <f>VLOOKUP($A1379, 'Medical Examinations'!$A:$I, 6, FALSE)</f>
        <v>No</v>
      </c>
      <c r="H1379" s="22">
        <f>VLOOKUP($A1379,'Medical Examinations'!$A:$L,10, FALSE)</f>
        <v>0</v>
      </c>
      <c r="I1379" s="22" t="str">
        <f>VLOOKUP($A1379, 'Medical Examinations'!$A:$J, 9, FALSE)</f>
        <v>No</v>
      </c>
      <c r="J1379" s="22" t="str">
        <f>VLOOKUP($A1379, 'Medical Examinations'!$A:$P, 11, FALSE)</f>
        <v>OBESITY</v>
      </c>
      <c r="K1379" s="34">
        <v>35769.0</v>
      </c>
      <c r="L1379" s="35">
        <f>VLOOKUP($A1379, 'Hospitalisation Details'!$A:$H, 7, FALSE)</f>
        <v>7749.16</v>
      </c>
      <c r="M1379" s="22" t="str">
        <f>VLOOKUP($A1379, 'Hospitalisation Details'!$A:$L, 12, FALSE)</f>
        <v>tier - 2</v>
      </c>
      <c r="N1379" s="22" t="str">
        <f>VLOOKUP($A1379, 'Hospitalisation Details'!$A:$M, 13, FALSE)</f>
        <v>tier - 1</v>
      </c>
      <c r="O1379" s="22" t="str">
        <f>VLOOKUP($A1379, 'Hospitalisation Details'!$A:$N, 14, FALSE)</f>
        <v>R1012</v>
      </c>
      <c r="P1379" s="36">
        <f>VLOOKUP($A1379, 'Hospitalisation Details'!$A:$O, 15, FALSE)</f>
        <v>41</v>
      </c>
    </row>
    <row r="1380" ht="15.75" customHeight="1">
      <c r="A1380" s="33" t="s">
        <v>2759</v>
      </c>
      <c r="B1380" s="22" t="str">
        <f>VLOOKUP($A1380,'Customer Names'!$A:$D,3, FALSE)</f>
        <v>Mueller</v>
      </c>
      <c r="C1380" s="22">
        <f>VLOOKUP($A1380,'Medical Examinations'!$A:$D, 2, FALSE)</f>
        <v>26.62</v>
      </c>
      <c r="D1380" s="22">
        <f>VLOOKUP($A1380, 'Medical Examinations'!$A:$D,3, FALSE)</f>
        <v>6.15</v>
      </c>
      <c r="E1380" s="22" t="str">
        <f>VLOOKUP($A1380, 'Medical Examinations'!$A:$D, 4, FALSE)</f>
        <v>Yes</v>
      </c>
      <c r="F1380" s="22" t="str">
        <f>VLOOKUP($A1380, 'Medical Examinations'!$A:$J, 5, FALSE)</f>
        <v>No</v>
      </c>
      <c r="G1380" s="22" t="str">
        <f>VLOOKUP($A1380, 'Medical Examinations'!$A:$I, 6, FALSE)</f>
        <v>No</v>
      </c>
      <c r="H1380" s="22">
        <f>VLOOKUP($A1380,'Medical Examinations'!$A:$L,10, FALSE)</f>
        <v>0</v>
      </c>
      <c r="I1380" s="22" t="str">
        <f>VLOOKUP($A1380, 'Medical Examinations'!$A:$J, 9, FALSE)</f>
        <v>No</v>
      </c>
      <c r="J1380" s="22" t="str">
        <f>VLOOKUP($A1380, 'Medical Examinations'!$A:$P, 11, FALSE)</f>
        <v>OVERWEIGHT</v>
      </c>
      <c r="K1380" s="34">
        <v>37126.0</v>
      </c>
      <c r="L1380" s="35">
        <f>VLOOKUP($A1380, 'Hospitalisation Details'!$A:$H, 7, FALSE)</f>
        <v>7742.11</v>
      </c>
      <c r="M1380" s="22" t="str">
        <f>VLOOKUP($A1380, 'Hospitalisation Details'!$A:$L, 12, FALSE)</f>
        <v>tier - 3</v>
      </c>
      <c r="N1380" s="22" t="str">
        <f>VLOOKUP($A1380, 'Hospitalisation Details'!$A:$M, 13, FALSE)</f>
        <v>tier - 2</v>
      </c>
      <c r="O1380" s="22" t="str">
        <f>VLOOKUP($A1380, 'Hospitalisation Details'!$A:$N, 14, FALSE)</f>
        <v>R1013</v>
      </c>
      <c r="P1380" s="36">
        <f>VLOOKUP($A1380, 'Hospitalisation Details'!$A:$O, 15, FALSE)</f>
        <v>46</v>
      </c>
    </row>
    <row r="1381" ht="15.75" customHeight="1">
      <c r="A1381" s="33" t="s">
        <v>2761</v>
      </c>
      <c r="B1381" s="22" t="str">
        <f>VLOOKUP($A1381,'Customer Names'!$A:$D,3, FALSE)</f>
        <v>Julia</v>
      </c>
      <c r="C1381" s="22">
        <f>VLOOKUP($A1381,'Medical Examinations'!$A:$D, 2, FALSE)</f>
        <v>37.1</v>
      </c>
      <c r="D1381" s="22">
        <f>VLOOKUP($A1381, 'Medical Examinations'!$A:$D,3, FALSE)</f>
        <v>11.08</v>
      </c>
      <c r="E1381" s="22" t="str">
        <f>VLOOKUP($A1381, 'Medical Examinations'!$A:$D, 4, FALSE)</f>
        <v>No</v>
      </c>
      <c r="F1381" s="22" t="str">
        <f>VLOOKUP($A1381, 'Medical Examinations'!$A:$J, 5, FALSE)</f>
        <v>No</v>
      </c>
      <c r="G1381" s="22" t="str">
        <f>VLOOKUP($A1381, 'Medical Examinations'!$A:$I, 6, FALSE)</f>
        <v>No</v>
      </c>
      <c r="H1381" s="22">
        <f>VLOOKUP($A1381,'Medical Examinations'!$A:$L,10, FALSE)</f>
        <v>0</v>
      </c>
      <c r="I1381" s="22" t="str">
        <f>VLOOKUP($A1381, 'Medical Examinations'!$A:$J, 9, FALSE)</f>
        <v>No</v>
      </c>
      <c r="J1381" s="22" t="str">
        <f>VLOOKUP($A1381, 'Medical Examinations'!$A:$P, 11, FALSE)</f>
        <v>OBESITY</v>
      </c>
      <c r="K1381" s="34">
        <v>35239.0</v>
      </c>
      <c r="L1381" s="35">
        <f>VLOOKUP($A1381, 'Hospitalisation Details'!$A:$H, 7, FALSE)</f>
        <v>7740.34</v>
      </c>
      <c r="M1381" s="22" t="str">
        <f>VLOOKUP($A1381, 'Hospitalisation Details'!$A:$L, 12, FALSE)</f>
        <v>tier - 1</v>
      </c>
      <c r="N1381" s="22" t="str">
        <f>VLOOKUP($A1381, 'Hospitalisation Details'!$A:$M, 13, FALSE)</f>
        <v>tier - 1</v>
      </c>
      <c r="O1381" s="22" t="str">
        <f>VLOOKUP($A1381, 'Hospitalisation Details'!$A:$N, 14, FALSE)</f>
        <v>R1011</v>
      </c>
      <c r="P1381" s="36">
        <f>VLOOKUP($A1381, 'Hospitalisation Details'!$A:$O, 15, FALSE)</f>
        <v>44</v>
      </c>
    </row>
    <row r="1382" ht="15.75" customHeight="1">
      <c r="A1382" s="33" t="s">
        <v>2763</v>
      </c>
      <c r="B1382" s="22" t="str">
        <f>VLOOKUP($A1382,'Customer Names'!$A:$D,3, FALSE)</f>
        <v>Uribe</v>
      </c>
      <c r="C1382" s="22">
        <f>VLOOKUP($A1382,'Medical Examinations'!$A:$D, 2, FALSE)</f>
        <v>18.28</v>
      </c>
      <c r="D1382" s="22">
        <f>VLOOKUP($A1382, 'Medical Examinations'!$A:$D,3, FALSE)</f>
        <v>7.95</v>
      </c>
      <c r="E1382" s="22" t="str">
        <f>VLOOKUP($A1382, 'Medical Examinations'!$A:$D, 4, FALSE)</f>
        <v>No</v>
      </c>
      <c r="F1382" s="22" t="str">
        <f>VLOOKUP($A1382, 'Medical Examinations'!$A:$J, 5, FALSE)</f>
        <v>No</v>
      </c>
      <c r="G1382" s="22" t="str">
        <f>VLOOKUP($A1382, 'Medical Examinations'!$A:$I, 6, FALSE)</f>
        <v>No</v>
      </c>
      <c r="H1382" s="22">
        <f>VLOOKUP($A1382,'Medical Examinations'!$A:$L,10, FALSE)</f>
        <v>0</v>
      </c>
      <c r="I1382" s="22" t="str">
        <f>VLOOKUP($A1382, 'Medical Examinations'!$A:$J, 9, FALSE)</f>
        <v>No</v>
      </c>
      <c r="J1382" s="22" t="str">
        <f>VLOOKUP($A1382, 'Medical Examinations'!$A:$P, 11, FALSE)</f>
        <v>UNDERWEIGHT</v>
      </c>
      <c r="K1382" s="34">
        <v>35730.0</v>
      </c>
      <c r="L1382" s="35">
        <f>VLOOKUP($A1382, 'Hospitalisation Details'!$A:$H, 7, FALSE)</f>
        <v>7736.39</v>
      </c>
      <c r="M1382" s="22" t="str">
        <f>VLOOKUP($A1382, 'Hospitalisation Details'!$A:$L, 12, FALSE)</f>
        <v>tier - 3</v>
      </c>
      <c r="N1382" s="22" t="str">
        <f>VLOOKUP($A1382, 'Hospitalisation Details'!$A:$M, 13, FALSE)</f>
        <v>tier - 2</v>
      </c>
      <c r="O1382" s="22" t="str">
        <f>VLOOKUP($A1382, 'Hospitalisation Details'!$A:$N, 14, FALSE)</f>
        <v>R1013</v>
      </c>
      <c r="P1382" s="36">
        <f>VLOOKUP($A1382, 'Hospitalisation Details'!$A:$O, 15, FALSE)</f>
        <v>57</v>
      </c>
    </row>
    <row r="1383" ht="15.75" customHeight="1">
      <c r="A1383" s="33" t="s">
        <v>2765</v>
      </c>
      <c r="B1383" s="22" t="str">
        <f>VLOOKUP($A1383,'Customer Names'!$A:$D,3, FALSE)</f>
        <v>Hand</v>
      </c>
      <c r="C1383" s="22">
        <f>VLOOKUP($A1383,'Medical Examinations'!$A:$D, 2, FALSE)</f>
        <v>35.815</v>
      </c>
      <c r="D1383" s="22">
        <f>VLOOKUP($A1383, 'Medical Examinations'!$A:$D,3, FALSE)</f>
        <v>6.23</v>
      </c>
      <c r="E1383" s="22" t="str">
        <f>VLOOKUP($A1383, 'Medical Examinations'!$A:$D, 4, FALSE)</f>
        <v>No</v>
      </c>
      <c r="F1383" s="22" t="str">
        <f>VLOOKUP($A1383, 'Medical Examinations'!$A:$J, 5, FALSE)</f>
        <v>No</v>
      </c>
      <c r="G1383" s="22" t="str">
        <f>VLOOKUP($A1383, 'Medical Examinations'!$A:$I, 6, FALSE)</f>
        <v>No</v>
      </c>
      <c r="H1383" s="22">
        <f>VLOOKUP($A1383,'Medical Examinations'!$A:$L,10, FALSE)</f>
        <v>0</v>
      </c>
      <c r="I1383" s="22" t="str">
        <f>VLOOKUP($A1383, 'Medical Examinations'!$A:$J, 9, FALSE)</f>
        <v>No</v>
      </c>
      <c r="J1383" s="22" t="str">
        <f>VLOOKUP($A1383, 'Medical Examinations'!$A:$P, 11, FALSE)</f>
        <v>OBESITY</v>
      </c>
      <c r="K1383" s="34">
        <v>36043.0</v>
      </c>
      <c r="L1383" s="35">
        <f>VLOOKUP($A1383, 'Hospitalisation Details'!$A:$H, 7, FALSE)</f>
        <v>7731.86</v>
      </c>
      <c r="M1383" s="22" t="str">
        <f>VLOOKUP($A1383, 'Hospitalisation Details'!$A:$L, 12, FALSE)</f>
        <v>tier - 2</v>
      </c>
      <c r="N1383" s="22" t="str">
        <f>VLOOKUP($A1383, 'Hospitalisation Details'!$A:$M, 13, FALSE)</f>
        <v>tier - 3</v>
      </c>
      <c r="O1383" s="22" t="str">
        <f>VLOOKUP($A1383, 'Hospitalisation Details'!$A:$N, 14, FALSE)</f>
        <v>R1012</v>
      </c>
      <c r="P1383" s="36">
        <f>VLOOKUP($A1383, 'Hospitalisation Details'!$A:$O, 15, FALSE)</f>
        <v>45</v>
      </c>
    </row>
    <row r="1384" ht="15.75" customHeight="1">
      <c r="A1384" s="33" t="s">
        <v>2767</v>
      </c>
      <c r="B1384" s="22" t="str">
        <f>VLOOKUP($A1384,'Customer Names'!$A:$D,3, FALSE)</f>
        <v>Petersen</v>
      </c>
      <c r="C1384" s="22">
        <f>VLOOKUP($A1384,'Medical Examinations'!$A:$D, 2, FALSE)</f>
        <v>30.69</v>
      </c>
      <c r="D1384" s="22">
        <f>VLOOKUP($A1384, 'Medical Examinations'!$A:$D,3, FALSE)</f>
        <v>6.5</v>
      </c>
      <c r="E1384" s="22" t="str">
        <f>VLOOKUP($A1384, 'Medical Examinations'!$A:$D, 4, FALSE)</f>
        <v>No</v>
      </c>
      <c r="F1384" s="22" t="str">
        <f>VLOOKUP($A1384, 'Medical Examinations'!$A:$J, 5, FALSE)</f>
        <v>No</v>
      </c>
      <c r="G1384" s="22" t="str">
        <f>VLOOKUP($A1384, 'Medical Examinations'!$A:$I, 6, FALSE)</f>
        <v>No</v>
      </c>
      <c r="H1384" s="22">
        <f>VLOOKUP($A1384,'Medical Examinations'!$A:$L,10, FALSE)</f>
        <v>0</v>
      </c>
      <c r="I1384" s="22" t="str">
        <f>VLOOKUP($A1384, 'Medical Examinations'!$A:$J, 9, FALSE)</f>
        <v>No</v>
      </c>
      <c r="J1384" s="22" t="str">
        <f>VLOOKUP($A1384, 'Medical Examinations'!$A:$P, 11, FALSE)</f>
        <v>OBESITY</v>
      </c>
      <c r="K1384" s="34">
        <v>37612.0</v>
      </c>
      <c r="L1384" s="35">
        <f>VLOOKUP($A1384, 'Hospitalisation Details'!$A:$H, 7, FALSE)</f>
        <v>7731.43</v>
      </c>
      <c r="M1384" s="22" t="str">
        <f>VLOOKUP($A1384, 'Hospitalisation Details'!$A:$L, 12, FALSE)</f>
        <v>tier - 3</v>
      </c>
      <c r="N1384" s="22" t="str">
        <f>VLOOKUP($A1384, 'Hospitalisation Details'!$A:$M, 13, FALSE)</f>
        <v>tier - 2</v>
      </c>
      <c r="O1384" s="22" t="str">
        <f>VLOOKUP($A1384, 'Hospitalisation Details'!$A:$N, 14, FALSE)</f>
        <v>R1013</v>
      </c>
      <c r="P1384" s="36">
        <f>VLOOKUP($A1384, 'Hospitalisation Details'!$A:$O, 15, FALSE)</f>
        <v>44</v>
      </c>
    </row>
    <row r="1385" ht="15.75" customHeight="1">
      <c r="A1385" s="33" t="s">
        <v>2769</v>
      </c>
      <c r="B1385" s="22" t="str">
        <f>VLOOKUP($A1385,'Customer Names'!$A:$D,3, FALSE)</f>
        <v>Mac-Thiong</v>
      </c>
      <c r="C1385" s="22">
        <f>VLOOKUP($A1385,'Medical Examinations'!$A:$D, 2, FALSE)</f>
        <v>26.125</v>
      </c>
      <c r="D1385" s="22">
        <f>VLOOKUP($A1385, 'Medical Examinations'!$A:$D,3, FALSE)</f>
        <v>5.22</v>
      </c>
      <c r="E1385" s="22" t="str">
        <f>VLOOKUP($A1385, 'Medical Examinations'!$A:$D, 4, FALSE)</f>
        <v>No</v>
      </c>
      <c r="F1385" s="22" t="str">
        <f>VLOOKUP($A1385, 'Medical Examinations'!$A:$J, 5, FALSE)</f>
        <v>No</v>
      </c>
      <c r="G1385" s="22" t="str">
        <f>VLOOKUP($A1385, 'Medical Examinations'!$A:$I, 6, FALSE)</f>
        <v>No</v>
      </c>
      <c r="H1385" s="22">
        <f>VLOOKUP($A1385,'Medical Examinations'!$A:$L,10, FALSE)</f>
        <v>0</v>
      </c>
      <c r="I1385" s="22" t="str">
        <f>VLOOKUP($A1385, 'Medical Examinations'!$A:$J, 9, FALSE)</f>
        <v>No</v>
      </c>
      <c r="J1385" s="22" t="str">
        <f>VLOOKUP($A1385, 'Medical Examinations'!$A:$P, 11, FALSE)</f>
        <v>OVERWEIGHT</v>
      </c>
      <c r="K1385" s="34">
        <v>37574.0</v>
      </c>
      <c r="L1385" s="35">
        <f>VLOOKUP($A1385, 'Hospitalisation Details'!$A:$H, 7, FALSE)</f>
        <v>7729.65</v>
      </c>
      <c r="M1385" s="22" t="str">
        <f>VLOOKUP($A1385, 'Hospitalisation Details'!$A:$L, 12, FALSE)</f>
        <v>tier - 3</v>
      </c>
      <c r="N1385" s="22" t="str">
        <f>VLOOKUP($A1385, 'Hospitalisation Details'!$A:$M, 13, FALSE)</f>
        <v>tier - 1</v>
      </c>
      <c r="O1385" s="22" t="str">
        <f>VLOOKUP($A1385, 'Hospitalisation Details'!$A:$N, 14, FALSE)</f>
        <v>R1016</v>
      </c>
      <c r="P1385" s="36">
        <f>VLOOKUP($A1385, 'Hospitalisation Details'!$A:$O, 15, FALSE)</f>
        <v>42</v>
      </c>
    </row>
    <row r="1386" ht="15.75" customHeight="1">
      <c r="A1386" s="33" t="s">
        <v>2771</v>
      </c>
      <c r="B1386" s="22" t="str">
        <f>VLOOKUP($A1386,'Customer Names'!$A:$D,3, FALSE)</f>
        <v>Walker</v>
      </c>
      <c r="C1386" s="22">
        <f>VLOOKUP($A1386,'Medical Examinations'!$A:$D, 2, FALSE)</f>
        <v>34.58</v>
      </c>
      <c r="D1386" s="22">
        <f>VLOOKUP($A1386, 'Medical Examinations'!$A:$D,3, FALSE)</f>
        <v>6.3</v>
      </c>
      <c r="E1386" s="22" t="str">
        <f>VLOOKUP($A1386, 'Medical Examinations'!$A:$D, 4, FALSE)</f>
        <v>No</v>
      </c>
      <c r="F1386" s="22" t="str">
        <f>VLOOKUP($A1386, 'Medical Examinations'!$A:$J, 5, FALSE)</f>
        <v>No</v>
      </c>
      <c r="G1386" s="22" t="str">
        <f>VLOOKUP($A1386, 'Medical Examinations'!$A:$I, 6, FALSE)</f>
        <v>Yes</v>
      </c>
      <c r="H1386" s="22">
        <f>VLOOKUP($A1386,'Medical Examinations'!$A:$L,10, FALSE)</f>
        <v>1</v>
      </c>
      <c r="I1386" s="22" t="str">
        <f>VLOOKUP($A1386, 'Medical Examinations'!$A:$J, 9, FALSE)</f>
        <v>No</v>
      </c>
      <c r="J1386" s="22" t="str">
        <f>VLOOKUP($A1386, 'Medical Examinations'!$A:$P, 11, FALSE)</f>
        <v>OBESITY</v>
      </c>
      <c r="K1386" s="34">
        <v>36347.0</v>
      </c>
      <c r="L1386" s="35">
        <f>VLOOKUP($A1386, 'Hospitalisation Details'!$A:$H, 7, FALSE)</f>
        <v>7727.25</v>
      </c>
      <c r="M1386" s="22" t="str">
        <f>VLOOKUP($A1386, 'Hospitalisation Details'!$A:$L, 12, FALSE)</f>
        <v>tier - 2</v>
      </c>
      <c r="N1386" s="22" t="str">
        <f>VLOOKUP($A1386, 'Hospitalisation Details'!$A:$M, 13, FALSE)</f>
        <v>tier - 3</v>
      </c>
      <c r="O1386" s="22" t="str">
        <f>VLOOKUP($A1386, 'Hospitalisation Details'!$A:$N, 14, FALSE)</f>
        <v>R1012</v>
      </c>
      <c r="P1386" s="36">
        <f>VLOOKUP($A1386, 'Hospitalisation Details'!$A:$O, 15, FALSE)</f>
        <v>44</v>
      </c>
    </row>
    <row r="1387" ht="15.75" customHeight="1">
      <c r="A1387" s="33" t="s">
        <v>2773</v>
      </c>
      <c r="B1387" s="22" t="str">
        <f>VLOOKUP($A1387,'Customer Names'!$A:$D,3, FALSE)</f>
        <v>Steidl</v>
      </c>
      <c r="C1387" s="22">
        <f>VLOOKUP($A1387,'Medical Examinations'!$A:$D, 2, FALSE)</f>
        <v>27.4</v>
      </c>
      <c r="D1387" s="22">
        <f>VLOOKUP($A1387, 'Medical Examinations'!$A:$D,3, FALSE)</f>
        <v>8.84</v>
      </c>
      <c r="E1387" s="22" t="str">
        <f>VLOOKUP($A1387, 'Medical Examinations'!$A:$D, 4, FALSE)</f>
        <v>No</v>
      </c>
      <c r="F1387" s="22" t="str">
        <f>VLOOKUP($A1387, 'Medical Examinations'!$A:$J, 5, FALSE)</f>
        <v>No</v>
      </c>
      <c r="G1387" s="22" t="str">
        <f>VLOOKUP($A1387, 'Medical Examinations'!$A:$I, 6, FALSE)</f>
        <v>No</v>
      </c>
      <c r="H1387" s="22">
        <f>VLOOKUP($A1387,'Medical Examinations'!$A:$L,10, FALSE)</f>
        <v>0</v>
      </c>
      <c r="I1387" s="22" t="str">
        <f>VLOOKUP($A1387, 'Medical Examinations'!$A:$J, 9, FALSE)</f>
        <v>No</v>
      </c>
      <c r="J1387" s="22" t="str">
        <f>VLOOKUP($A1387, 'Medical Examinations'!$A:$P, 11, FALSE)</f>
        <v>OVERWEIGHT</v>
      </c>
      <c r="K1387" s="34">
        <v>27635.0</v>
      </c>
      <c r="L1387" s="35">
        <f>VLOOKUP($A1387, 'Hospitalisation Details'!$A:$H, 7, FALSE)</f>
        <v>7726.85</v>
      </c>
      <c r="M1387" s="22" t="str">
        <f>VLOOKUP($A1387, 'Hospitalisation Details'!$A:$L, 12, FALSE)</f>
        <v>tier - 1</v>
      </c>
      <c r="N1387" s="22" t="str">
        <f>VLOOKUP($A1387, 'Hospitalisation Details'!$A:$M, 13, FALSE)</f>
        <v>tier - 2</v>
      </c>
      <c r="O1387" s="22" t="str">
        <f>VLOOKUP($A1387, 'Hospitalisation Details'!$A:$N, 14, FALSE)</f>
        <v>R1011</v>
      </c>
      <c r="P1387" s="36">
        <f>VLOOKUP($A1387, 'Hospitalisation Details'!$A:$O, 15, FALSE)</f>
        <v>44</v>
      </c>
    </row>
    <row r="1388" ht="15.75" customHeight="1">
      <c r="A1388" s="33" t="s">
        <v>2775</v>
      </c>
      <c r="B1388" s="22" t="str">
        <f>VLOOKUP($A1388,'Customer Names'!$A:$D,3, FALSE)</f>
        <v>Rose</v>
      </c>
      <c r="C1388" s="22">
        <f>VLOOKUP($A1388,'Medical Examinations'!$A:$D, 2, FALSE)</f>
        <v>27.53</v>
      </c>
      <c r="D1388" s="22">
        <f>VLOOKUP($A1388, 'Medical Examinations'!$A:$D,3, FALSE)</f>
        <v>4.11</v>
      </c>
      <c r="E1388" s="22" t="str">
        <f>VLOOKUP($A1388, 'Medical Examinations'!$A:$D, 4, FALSE)</f>
        <v>No</v>
      </c>
      <c r="F1388" s="22" t="str">
        <f>VLOOKUP($A1388, 'Medical Examinations'!$A:$J, 5, FALSE)</f>
        <v>No</v>
      </c>
      <c r="G1388" s="22" t="str">
        <f>VLOOKUP($A1388, 'Medical Examinations'!$A:$I, 6, FALSE)</f>
        <v>No</v>
      </c>
      <c r="H1388" s="22">
        <f>VLOOKUP($A1388,'Medical Examinations'!$A:$L,10, FALSE)</f>
        <v>1</v>
      </c>
      <c r="I1388" s="22" t="str">
        <f>VLOOKUP($A1388, 'Medical Examinations'!$A:$J, 9, FALSE)</f>
        <v>No</v>
      </c>
      <c r="J1388" s="22" t="str">
        <f>VLOOKUP($A1388, 'Medical Examinations'!$A:$P, 11, FALSE)</f>
        <v>OVERWEIGHT</v>
      </c>
      <c r="K1388" s="34">
        <v>37483.0</v>
      </c>
      <c r="L1388" s="35">
        <f>VLOOKUP($A1388, 'Hospitalisation Details'!$A:$H, 7, FALSE)</f>
        <v>7684.62</v>
      </c>
      <c r="M1388" s="22" t="str">
        <f>VLOOKUP($A1388, 'Hospitalisation Details'!$A:$L, 12, FALSE)</f>
        <v>tier - 2</v>
      </c>
      <c r="N1388" s="22" t="str">
        <f>VLOOKUP($A1388, 'Hospitalisation Details'!$A:$M, 13, FALSE)</f>
        <v>tier - 3</v>
      </c>
      <c r="O1388" s="22" t="str">
        <f>VLOOKUP($A1388, 'Hospitalisation Details'!$A:$N, 14, FALSE)</f>
        <v>R1021</v>
      </c>
      <c r="P1388" s="36">
        <f>VLOOKUP($A1388, 'Hospitalisation Details'!$A:$O, 15, FALSE)</f>
        <v>35</v>
      </c>
    </row>
    <row r="1389" ht="15.75" customHeight="1">
      <c r="A1389" s="33" t="s">
        <v>2777</v>
      </c>
      <c r="B1389" s="22" t="str">
        <f>VLOOKUP($A1389,'Customer Names'!$A:$D,3, FALSE)</f>
        <v>Alderfer</v>
      </c>
      <c r="C1389" s="22">
        <f>VLOOKUP($A1389,'Medical Examinations'!$A:$D, 2, FALSE)</f>
        <v>33</v>
      </c>
      <c r="D1389" s="22">
        <f>VLOOKUP($A1389, 'Medical Examinations'!$A:$D,3, FALSE)</f>
        <v>4.57</v>
      </c>
      <c r="E1389" s="22" t="str">
        <f>VLOOKUP($A1389, 'Medical Examinations'!$A:$D, 4, FALSE)</f>
        <v>No</v>
      </c>
      <c r="F1389" s="22" t="str">
        <f>VLOOKUP($A1389, 'Medical Examinations'!$A:$J, 5, FALSE)</f>
        <v>No</v>
      </c>
      <c r="G1389" s="22" t="str">
        <f>VLOOKUP($A1389, 'Medical Examinations'!$A:$I, 6, FALSE)</f>
        <v>No</v>
      </c>
      <c r="H1389" s="22">
        <f>VLOOKUP($A1389,'Medical Examinations'!$A:$L,10, FALSE)</f>
        <v>0</v>
      </c>
      <c r="I1389" s="22" t="str">
        <f>VLOOKUP($A1389, 'Medical Examinations'!$A:$J, 9, FALSE)</f>
        <v>No</v>
      </c>
      <c r="J1389" s="22" t="str">
        <f>VLOOKUP($A1389, 'Medical Examinations'!$A:$P, 11, FALSE)</f>
        <v>OBESITY</v>
      </c>
      <c r="K1389" s="34">
        <v>36132.0</v>
      </c>
      <c r="L1389" s="35">
        <f>VLOOKUP($A1389, 'Hospitalisation Details'!$A:$H, 7, FALSE)</f>
        <v>7682.67</v>
      </c>
      <c r="M1389" s="22" t="str">
        <f>VLOOKUP($A1389, 'Hospitalisation Details'!$A:$L, 12, FALSE)</f>
        <v>tier - 2</v>
      </c>
      <c r="N1389" s="22" t="str">
        <f>VLOOKUP($A1389, 'Hospitalisation Details'!$A:$M, 13, FALSE)</f>
        <v>tier - 1</v>
      </c>
      <c r="O1389" s="22" t="str">
        <f>VLOOKUP($A1389, 'Hospitalisation Details'!$A:$N, 14, FALSE)</f>
        <v>R1013</v>
      </c>
      <c r="P1389" s="36">
        <f>VLOOKUP($A1389, 'Hospitalisation Details'!$A:$O, 15, FALSE)</f>
        <v>40</v>
      </c>
    </row>
    <row r="1390" ht="15.75" customHeight="1">
      <c r="A1390" s="33" t="s">
        <v>2779</v>
      </c>
      <c r="B1390" s="22" t="str">
        <f>VLOOKUP($A1390,'Customer Names'!$A:$D,3, FALSE)</f>
        <v>Ryland</v>
      </c>
      <c r="C1390" s="22">
        <f>VLOOKUP($A1390,'Medical Examinations'!$A:$D, 2, FALSE)</f>
        <v>25.78</v>
      </c>
      <c r="D1390" s="22">
        <f>VLOOKUP($A1390, 'Medical Examinations'!$A:$D,3, FALSE)</f>
        <v>11.06</v>
      </c>
      <c r="E1390" s="22" t="str">
        <f>VLOOKUP($A1390, 'Medical Examinations'!$A:$D, 4, FALSE)</f>
        <v>Yes</v>
      </c>
      <c r="F1390" s="22" t="str">
        <f>VLOOKUP($A1390, 'Medical Examinations'!$A:$J, 5, FALSE)</f>
        <v>No</v>
      </c>
      <c r="G1390" s="22" t="str">
        <f>VLOOKUP($A1390, 'Medical Examinations'!$A:$I, 6, FALSE)</f>
        <v>No</v>
      </c>
      <c r="H1390" s="22">
        <f>VLOOKUP($A1390,'Medical Examinations'!$A:$L,10, FALSE)</f>
        <v>0</v>
      </c>
      <c r="I1390" s="22" t="str">
        <f>VLOOKUP($A1390, 'Medical Examinations'!$A:$J, 9, FALSE)</f>
        <v>No</v>
      </c>
      <c r="J1390" s="22" t="str">
        <f>VLOOKUP($A1390, 'Medical Examinations'!$A:$P, 11, FALSE)</f>
        <v>OVERWEIGHT</v>
      </c>
      <c r="K1390" s="34">
        <v>35741.0</v>
      </c>
      <c r="L1390" s="35">
        <f>VLOOKUP($A1390, 'Hospitalisation Details'!$A:$H, 7, FALSE)</f>
        <v>7681.17</v>
      </c>
      <c r="M1390" s="22" t="str">
        <f>VLOOKUP($A1390, 'Hospitalisation Details'!$A:$L, 12, FALSE)</f>
        <v>tier - 2</v>
      </c>
      <c r="N1390" s="22" t="str">
        <f>VLOOKUP($A1390, 'Hospitalisation Details'!$A:$M, 13, FALSE)</f>
        <v>tier - 2</v>
      </c>
      <c r="O1390" s="22" t="str">
        <f>VLOOKUP($A1390, 'Hospitalisation Details'!$A:$N, 14, FALSE)</f>
        <v>R1020</v>
      </c>
      <c r="P1390" s="36">
        <f>VLOOKUP($A1390, 'Hospitalisation Details'!$A:$O, 15, FALSE)</f>
        <v>41</v>
      </c>
    </row>
    <row r="1391" ht="15.75" customHeight="1">
      <c r="A1391" s="33" t="s">
        <v>2781</v>
      </c>
      <c r="B1391" s="22" t="str">
        <f>VLOOKUP($A1391,'Customer Names'!$A:$D,3, FALSE)</f>
        <v>Bethea</v>
      </c>
      <c r="C1391" s="22">
        <f>VLOOKUP($A1391,'Medical Examinations'!$A:$D, 2, FALSE)</f>
        <v>22.66</v>
      </c>
      <c r="D1391" s="22">
        <f>VLOOKUP($A1391, 'Medical Examinations'!$A:$D,3, FALSE)</f>
        <v>10.68</v>
      </c>
      <c r="E1391" s="22" t="str">
        <f>VLOOKUP($A1391, 'Medical Examinations'!$A:$D, 4, FALSE)</f>
        <v>No</v>
      </c>
      <c r="F1391" s="22" t="str">
        <f>VLOOKUP($A1391, 'Medical Examinations'!$A:$J, 5, FALSE)</f>
        <v>No</v>
      </c>
      <c r="G1391" s="22" t="str">
        <f>VLOOKUP($A1391, 'Medical Examinations'!$A:$I, 6, FALSE)</f>
        <v>No</v>
      </c>
      <c r="H1391" s="22">
        <f>VLOOKUP($A1391,'Medical Examinations'!$A:$L,10, FALSE)</f>
        <v>0</v>
      </c>
      <c r="I1391" s="22" t="str">
        <f>VLOOKUP($A1391, 'Medical Examinations'!$A:$J, 9, FALSE)</f>
        <v>No</v>
      </c>
      <c r="J1391" s="22" t="str">
        <f>VLOOKUP($A1391, 'Medical Examinations'!$A:$P, 11, FALSE)</f>
        <v>NORMAL WEIGHT</v>
      </c>
      <c r="K1391" s="34">
        <v>34910.0</v>
      </c>
      <c r="L1391" s="35">
        <f>VLOOKUP($A1391, 'Hospitalisation Details'!$A:$H, 7, FALSE)</f>
        <v>7680.92</v>
      </c>
      <c r="M1391" s="22" t="str">
        <f>VLOOKUP($A1391, 'Hospitalisation Details'!$A:$L, 12, FALSE)</f>
        <v>tier - 2</v>
      </c>
      <c r="N1391" s="22" t="str">
        <f>VLOOKUP($A1391, 'Hospitalisation Details'!$A:$M, 13, FALSE)</f>
        <v>tier - 1</v>
      </c>
      <c r="O1391" s="22" t="str">
        <f>VLOOKUP($A1391, 'Hospitalisation Details'!$A:$N, 14, FALSE)</f>
        <v>R1013</v>
      </c>
      <c r="P1391" s="36">
        <f>VLOOKUP($A1391, 'Hospitalisation Details'!$A:$O, 15, FALSE)</f>
        <v>51</v>
      </c>
    </row>
    <row r="1392" ht="15.75" customHeight="1">
      <c r="A1392" s="33" t="s">
        <v>2783</v>
      </c>
      <c r="B1392" s="22" t="str">
        <f>VLOOKUP($A1392,'Customer Names'!$A:$D,3, FALSE)</f>
        <v>Kelly</v>
      </c>
      <c r="C1392" s="22">
        <f>VLOOKUP($A1392,'Medical Examinations'!$A:$D, 2, FALSE)</f>
        <v>38.81</v>
      </c>
      <c r="D1392" s="22">
        <f>VLOOKUP($A1392, 'Medical Examinations'!$A:$D,3, FALSE)</f>
        <v>6.14</v>
      </c>
      <c r="E1392" s="22" t="str">
        <f>VLOOKUP($A1392, 'Medical Examinations'!$A:$D, 4, FALSE)</f>
        <v>Yes</v>
      </c>
      <c r="F1392" s="22" t="str">
        <f>VLOOKUP($A1392, 'Medical Examinations'!$A:$J, 5, FALSE)</f>
        <v>No</v>
      </c>
      <c r="G1392" s="22" t="str">
        <f>VLOOKUP($A1392, 'Medical Examinations'!$A:$I, 6, FALSE)</f>
        <v>No</v>
      </c>
      <c r="H1392" s="22">
        <f>VLOOKUP($A1392,'Medical Examinations'!$A:$L,10, FALSE)</f>
        <v>1</v>
      </c>
      <c r="I1392" s="22" t="str">
        <f>VLOOKUP($A1392, 'Medical Examinations'!$A:$J, 9, FALSE)</f>
        <v>No</v>
      </c>
      <c r="J1392" s="22" t="str">
        <f>VLOOKUP($A1392, 'Medical Examinations'!$A:$P, 11, FALSE)</f>
        <v>OBESITY</v>
      </c>
      <c r="K1392" s="34">
        <v>35988.0</v>
      </c>
      <c r="L1392" s="35">
        <f>VLOOKUP($A1392, 'Hospitalisation Details'!$A:$H, 7, FALSE)</f>
        <v>7676.4</v>
      </c>
      <c r="M1392" s="22" t="str">
        <f>VLOOKUP($A1392, 'Hospitalisation Details'!$A:$L, 12, FALSE)</f>
        <v>tier - 2</v>
      </c>
      <c r="N1392" s="22" t="str">
        <f>VLOOKUP($A1392, 'Hospitalisation Details'!$A:$M, 13, FALSE)</f>
        <v>tier - 1</v>
      </c>
      <c r="O1392" s="22" t="str">
        <f>VLOOKUP($A1392, 'Hospitalisation Details'!$A:$N, 14, FALSE)</f>
        <v>R1012</v>
      </c>
      <c r="P1392" s="36">
        <f>VLOOKUP($A1392, 'Hospitalisation Details'!$A:$O, 15, FALSE)</f>
        <v>27</v>
      </c>
    </row>
    <row r="1393" ht="15.75" customHeight="1">
      <c r="A1393" s="33" t="s">
        <v>2785</v>
      </c>
      <c r="B1393" s="22" t="str">
        <f>VLOOKUP($A1393,'Customer Names'!$A:$D,3, FALSE)</f>
        <v>Blois</v>
      </c>
      <c r="C1393" s="22">
        <f>VLOOKUP($A1393,'Medical Examinations'!$A:$D, 2, FALSE)</f>
        <v>38.51</v>
      </c>
      <c r="D1393" s="22">
        <f>VLOOKUP($A1393, 'Medical Examinations'!$A:$D,3, FALSE)</f>
        <v>5.45</v>
      </c>
      <c r="E1393" s="22" t="str">
        <f>VLOOKUP($A1393, 'Medical Examinations'!$A:$D, 4, FALSE)</f>
        <v>Yes</v>
      </c>
      <c r="F1393" s="22" t="str">
        <f>VLOOKUP($A1393, 'Medical Examinations'!$A:$J, 5, FALSE)</f>
        <v>No</v>
      </c>
      <c r="G1393" s="22" t="str">
        <f>VLOOKUP($A1393, 'Medical Examinations'!$A:$I, 6, FALSE)</f>
        <v>No</v>
      </c>
      <c r="H1393" s="22">
        <f>VLOOKUP($A1393,'Medical Examinations'!$A:$L,10, FALSE)</f>
        <v>0</v>
      </c>
      <c r="I1393" s="22" t="str">
        <f>VLOOKUP($A1393, 'Medical Examinations'!$A:$J, 9, FALSE)</f>
        <v>No</v>
      </c>
      <c r="J1393" s="22" t="str">
        <f>VLOOKUP($A1393, 'Medical Examinations'!$A:$P, 11, FALSE)</f>
        <v>OBESITY</v>
      </c>
      <c r="K1393" s="34">
        <v>36447.0</v>
      </c>
      <c r="L1393" s="35">
        <f>VLOOKUP($A1393, 'Hospitalisation Details'!$A:$H, 7, FALSE)</f>
        <v>7670.75</v>
      </c>
      <c r="M1393" s="22" t="str">
        <f>VLOOKUP($A1393, 'Hospitalisation Details'!$A:$L, 12, FALSE)</f>
        <v>tier - 2</v>
      </c>
      <c r="N1393" s="22" t="str">
        <f>VLOOKUP($A1393, 'Hospitalisation Details'!$A:$M, 13, FALSE)</f>
        <v>tier - 2</v>
      </c>
      <c r="O1393" s="22" t="str">
        <f>VLOOKUP($A1393, 'Hospitalisation Details'!$A:$N, 14, FALSE)</f>
        <v>R1022</v>
      </c>
      <c r="P1393" s="36">
        <f>VLOOKUP($A1393, 'Hospitalisation Details'!$A:$O, 15, FALSE)</f>
        <v>26</v>
      </c>
    </row>
    <row r="1394" ht="15.75" customHeight="1">
      <c r="A1394" s="33" t="s">
        <v>2787</v>
      </c>
      <c r="B1394" s="22" t="str">
        <f>VLOOKUP($A1394,'Customer Names'!$A:$D,3, FALSE)</f>
        <v>Dayton</v>
      </c>
      <c r="C1394" s="22">
        <f>VLOOKUP($A1394,'Medical Examinations'!$A:$D, 2, FALSE)</f>
        <v>22.98</v>
      </c>
      <c r="D1394" s="22">
        <f>VLOOKUP($A1394, 'Medical Examinations'!$A:$D,3, FALSE)</f>
        <v>6.14</v>
      </c>
      <c r="E1394" s="22" t="str">
        <f>VLOOKUP($A1394, 'Medical Examinations'!$A:$D, 4, FALSE)</f>
        <v>Yes</v>
      </c>
      <c r="F1394" s="22" t="str">
        <f>VLOOKUP($A1394, 'Medical Examinations'!$A:$J, 5, FALSE)</f>
        <v>No</v>
      </c>
      <c r="G1394" s="22" t="str">
        <f>VLOOKUP($A1394, 'Medical Examinations'!$A:$I, 6, FALSE)</f>
        <v>No</v>
      </c>
      <c r="H1394" s="22">
        <f>VLOOKUP($A1394,'Medical Examinations'!$A:$L,10, FALSE)</f>
        <v>0</v>
      </c>
      <c r="I1394" s="22" t="str">
        <f>VLOOKUP($A1394, 'Medical Examinations'!$A:$J, 9, FALSE)</f>
        <v>No</v>
      </c>
      <c r="J1394" s="22" t="str">
        <f>VLOOKUP($A1394, 'Medical Examinations'!$A:$P, 11, FALSE)</f>
        <v>NORMAL WEIGHT</v>
      </c>
      <c r="K1394" s="34">
        <v>37542.0</v>
      </c>
      <c r="L1394" s="35">
        <f>VLOOKUP($A1394, 'Hospitalisation Details'!$A:$H, 7, FALSE)</f>
        <v>7662.47</v>
      </c>
      <c r="M1394" s="22" t="str">
        <f>VLOOKUP($A1394, 'Hospitalisation Details'!$A:$L, 12, FALSE)</f>
        <v>tier - 2</v>
      </c>
      <c r="N1394" s="22" t="str">
        <f>VLOOKUP($A1394, 'Hospitalisation Details'!$A:$M, 13, FALSE)</f>
        <v>tier - 1</v>
      </c>
      <c r="O1394" s="22" t="str">
        <f>VLOOKUP($A1394, 'Hospitalisation Details'!$A:$N, 14, FALSE)</f>
        <v>R1011</v>
      </c>
      <c r="P1394" s="36">
        <f>VLOOKUP($A1394, 'Hospitalisation Details'!$A:$O, 15, FALSE)</f>
        <v>46</v>
      </c>
    </row>
    <row r="1395" ht="15.75" customHeight="1">
      <c r="A1395" s="33" t="s">
        <v>2789</v>
      </c>
      <c r="B1395" s="22" t="str">
        <f>VLOOKUP($A1395,'Customer Names'!$A:$D,3, FALSE)</f>
        <v>Cloud</v>
      </c>
      <c r="C1395" s="22">
        <f>VLOOKUP($A1395,'Medical Examinations'!$A:$D, 2, FALSE)</f>
        <v>15.65</v>
      </c>
      <c r="D1395" s="22">
        <f>VLOOKUP($A1395, 'Medical Examinations'!$A:$D,3, FALSE)</f>
        <v>7.85</v>
      </c>
      <c r="E1395" s="22" t="str">
        <f>VLOOKUP($A1395, 'Medical Examinations'!$A:$D, 4, FALSE)</f>
        <v>No</v>
      </c>
      <c r="F1395" s="22" t="str">
        <f>VLOOKUP($A1395, 'Medical Examinations'!$A:$J, 5, FALSE)</f>
        <v>No</v>
      </c>
      <c r="G1395" s="22" t="str">
        <f>VLOOKUP($A1395, 'Medical Examinations'!$A:$I, 6, FALSE)</f>
        <v>No</v>
      </c>
      <c r="H1395" s="22">
        <f>VLOOKUP($A1395,'Medical Examinations'!$A:$L,10, FALSE)</f>
        <v>0</v>
      </c>
      <c r="I1395" s="22" t="str">
        <f>VLOOKUP($A1395, 'Medical Examinations'!$A:$J, 9, FALSE)</f>
        <v>No</v>
      </c>
      <c r="J1395" s="22" t="str">
        <f>VLOOKUP($A1395, 'Medical Examinations'!$A:$P, 11, FALSE)</f>
        <v>UNDERWEIGHT</v>
      </c>
      <c r="K1395" s="34">
        <v>36496.0</v>
      </c>
      <c r="L1395" s="35">
        <f>VLOOKUP($A1395, 'Hospitalisation Details'!$A:$H, 7, FALSE)</f>
        <v>7657.69</v>
      </c>
      <c r="M1395" s="22" t="str">
        <f>VLOOKUP($A1395, 'Hospitalisation Details'!$A:$L, 12, FALSE)</f>
        <v>tier - 3</v>
      </c>
      <c r="N1395" s="22" t="str">
        <f>VLOOKUP($A1395, 'Hospitalisation Details'!$A:$M, 13, FALSE)</f>
        <v>tier - 3</v>
      </c>
      <c r="O1395" s="22" t="str">
        <f>VLOOKUP($A1395, 'Hospitalisation Details'!$A:$N, 14, FALSE)</f>
        <v>R1012</v>
      </c>
      <c r="P1395" s="36">
        <f>VLOOKUP($A1395, 'Hospitalisation Details'!$A:$O, 15, FALSE)</f>
        <v>57</v>
      </c>
    </row>
    <row r="1396" ht="15.75" customHeight="1">
      <c r="A1396" s="33" t="s">
        <v>2791</v>
      </c>
      <c r="B1396" s="22" t="str">
        <f>VLOOKUP($A1396,'Customer Names'!$A:$D,3, FALSE)</f>
        <v>Betournay</v>
      </c>
      <c r="C1396" s="22">
        <f>VLOOKUP($A1396,'Medical Examinations'!$A:$D, 2, FALSE)</f>
        <v>39.97</v>
      </c>
      <c r="D1396" s="22">
        <f>VLOOKUP($A1396, 'Medical Examinations'!$A:$D,3, FALSE)</f>
        <v>4.09</v>
      </c>
      <c r="E1396" s="22" t="str">
        <f>VLOOKUP($A1396, 'Medical Examinations'!$A:$D, 4, FALSE)</f>
        <v>No</v>
      </c>
      <c r="F1396" s="22" t="str">
        <f>VLOOKUP($A1396, 'Medical Examinations'!$A:$J, 5, FALSE)</f>
        <v>No</v>
      </c>
      <c r="G1396" s="22" t="str">
        <f>VLOOKUP($A1396, 'Medical Examinations'!$A:$I, 6, FALSE)</f>
        <v>No</v>
      </c>
      <c r="H1396" s="22">
        <f>VLOOKUP($A1396,'Medical Examinations'!$A:$L,10, FALSE)</f>
        <v>1</v>
      </c>
      <c r="I1396" s="22" t="str">
        <f>VLOOKUP($A1396, 'Medical Examinations'!$A:$J, 9, FALSE)</f>
        <v>No</v>
      </c>
      <c r="J1396" s="22" t="str">
        <f>VLOOKUP($A1396, 'Medical Examinations'!$A:$P, 11, FALSE)</f>
        <v>OBESITY</v>
      </c>
      <c r="K1396" s="34">
        <v>37600.0</v>
      </c>
      <c r="L1396" s="35">
        <f>VLOOKUP($A1396, 'Hospitalisation Details'!$A:$H, 7, FALSE)</f>
        <v>7652.26</v>
      </c>
      <c r="M1396" s="22" t="str">
        <f>VLOOKUP($A1396, 'Hospitalisation Details'!$A:$L, 12, FALSE)</f>
        <v>tier - 2</v>
      </c>
      <c r="N1396" s="22" t="str">
        <f>VLOOKUP($A1396, 'Hospitalisation Details'!$A:$M, 13, FALSE)</f>
        <v>tier - 3</v>
      </c>
      <c r="O1396" s="22" t="str">
        <f>VLOOKUP($A1396, 'Hospitalisation Details'!$A:$N, 14, FALSE)</f>
        <v>R1023</v>
      </c>
      <c r="P1396" s="36">
        <f>VLOOKUP($A1396, 'Hospitalisation Details'!$A:$O, 15, FALSE)</f>
        <v>24</v>
      </c>
    </row>
    <row r="1397" ht="15.75" customHeight="1">
      <c r="A1397" s="33" t="s">
        <v>2793</v>
      </c>
      <c r="B1397" s="22" t="str">
        <f>VLOOKUP($A1397,'Customer Names'!$A:$D,3, FALSE)</f>
        <v>Temple</v>
      </c>
      <c r="C1397" s="22">
        <f>VLOOKUP($A1397,'Medical Examinations'!$A:$D, 2, FALSE)</f>
        <v>37.22</v>
      </c>
      <c r="D1397" s="22">
        <f>VLOOKUP($A1397, 'Medical Examinations'!$A:$D,3, FALSE)</f>
        <v>4.62</v>
      </c>
      <c r="E1397" s="22" t="str">
        <f>VLOOKUP($A1397, 'Medical Examinations'!$A:$D, 4, FALSE)</f>
        <v>No</v>
      </c>
      <c r="F1397" s="22" t="str">
        <f>VLOOKUP($A1397, 'Medical Examinations'!$A:$J, 5, FALSE)</f>
        <v>No</v>
      </c>
      <c r="G1397" s="22" t="str">
        <f>VLOOKUP($A1397, 'Medical Examinations'!$A:$I, 6, FALSE)</f>
        <v>Yes</v>
      </c>
      <c r="H1397" s="22">
        <f>VLOOKUP($A1397,'Medical Examinations'!$A:$L,10, FALSE)</f>
        <v>1</v>
      </c>
      <c r="I1397" s="22" t="str">
        <f>VLOOKUP($A1397, 'Medical Examinations'!$A:$J, 9, FALSE)</f>
        <v>No</v>
      </c>
      <c r="J1397" s="22" t="str">
        <f>VLOOKUP($A1397, 'Medical Examinations'!$A:$P, 11, FALSE)</f>
        <v>OBESITY</v>
      </c>
      <c r="K1397" s="34">
        <v>37224.0</v>
      </c>
      <c r="L1397" s="35">
        <f>VLOOKUP($A1397, 'Hospitalisation Details'!$A:$H, 7, FALSE)</f>
        <v>7650.8</v>
      </c>
      <c r="M1397" s="22" t="str">
        <f>VLOOKUP($A1397, 'Hospitalisation Details'!$A:$L, 12, FALSE)</f>
        <v>tier - 2</v>
      </c>
      <c r="N1397" s="22" t="str">
        <f>VLOOKUP($A1397, 'Hospitalisation Details'!$A:$M, 13, FALSE)</f>
        <v>tier - 2</v>
      </c>
      <c r="O1397" s="22" t="str">
        <f>VLOOKUP($A1397, 'Hospitalisation Details'!$A:$N, 14, FALSE)</f>
        <v>R1012</v>
      </c>
      <c r="P1397" s="36">
        <f>VLOOKUP($A1397, 'Hospitalisation Details'!$A:$O, 15, FALSE)</f>
        <v>29</v>
      </c>
    </row>
    <row r="1398" ht="15.75" customHeight="1">
      <c r="A1398" s="33" t="s">
        <v>2795</v>
      </c>
      <c r="B1398" s="22" t="str">
        <f>VLOOKUP($A1398,'Customer Names'!$A:$D,3, FALSE)</f>
        <v>Rollie</v>
      </c>
      <c r="C1398" s="22">
        <f>VLOOKUP($A1398,'Medical Examinations'!$A:$D, 2, FALSE)</f>
        <v>41.325</v>
      </c>
      <c r="D1398" s="22">
        <f>VLOOKUP($A1398, 'Medical Examinations'!$A:$D,3, FALSE)</f>
        <v>5.77</v>
      </c>
      <c r="E1398" s="22" t="str">
        <f>VLOOKUP($A1398, 'Medical Examinations'!$A:$D, 4, FALSE)</f>
        <v>No</v>
      </c>
      <c r="F1398" s="22" t="str">
        <f>VLOOKUP($A1398, 'Medical Examinations'!$A:$J, 5, FALSE)</f>
        <v>No</v>
      </c>
      <c r="G1398" s="22" t="str">
        <f>VLOOKUP($A1398, 'Medical Examinations'!$A:$I, 6, FALSE)</f>
        <v>No</v>
      </c>
      <c r="H1398" s="22">
        <f>VLOOKUP($A1398,'Medical Examinations'!$A:$L,10, FALSE)</f>
        <v>0</v>
      </c>
      <c r="I1398" s="22" t="str">
        <f>VLOOKUP($A1398, 'Medical Examinations'!$A:$J, 9, FALSE)</f>
        <v>No</v>
      </c>
      <c r="J1398" s="22" t="str">
        <f>VLOOKUP($A1398, 'Medical Examinations'!$A:$P, 11, FALSE)</f>
        <v>OBESITY</v>
      </c>
      <c r="K1398" s="34">
        <v>30137.0</v>
      </c>
      <c r="L1398" s="35">
        <f>VLOOKUP($A1398, 'Hospitalisation Details'!$A:$H, 7, FALSE)</f>
        <v>7650.77</v>
      </c>
      <c r="M1398" s="22" t="str">
        <f>VLOOKUP($A1398, 'Hospitalisation Details'!$A:$L, 12, FALSE)</f>
        <v>tier - 2</v>
      </c>
      <c r="N1398" s="22" t="str">
        <f>VLOOKUP($A1398, 'Hospitalisation Details'!$A:$M, 13, FALSE)</f>
        <v>tier - 2</v>
      </c>
      <c r="O1398" s="22" t="str">
        <f>VLOOKUP($A1398, 'Hospitalisation Details'!$A:$N, 14, FALSE)</f>
        <v>R1024</v>
      </c>
      <c r="P1398" s="36">
        <f>VLOOKUP($A1398, 'Hospitalisation Details'!$A:$O, 15, FALSE)</f>
        <v>42</v>
      </c>
    </row>
    <row r="1399" ht="15.75" customHeight="1">
      <c r="A1399" s="33" t="s">
        <v>2797</v>
      </c>
      <c r="B1399" s="22" t="str">
        <f>VLOOKUP($A1399,'Customer Names'!$A:$D,3, FALSE)</f>
        <v>Roybal</v>
      </c>
      <c r="C1399" s="22">
        <f>VLOOKUP($A1399,'Medical Examinations'!$A:$D, 2, FALSE)</f>
        <v>40.31</v>
      </c>
      <c r="D1399" s="22">
        <f>VLOOKUP($A1399, 'Medical Examinations'!$A:$D,3, FALSE)</f>
        <v>5.84</v>
      </c>
      <c r="E1399" s="22" t="str">
        <f>VLOOKUP($A1399, 'Medical Examinations'!$A:$D, 4, FALSE)</f>
        <v>No</v>
      </c>
      <c r="F1399" s="22" t="str">
        <f>VLOOKUP($A1399, 'Medical Examinations'!$A:$J, 5, FALSE)</f>
        <v>No</v>
      </c>
      <c r="G1399" s="22" t="str">
        <f>VLOOKUP($A1399, 'Medical Examinations'!$A:$I, 6, FALSE)</f>
        <v>No</v>
      </c>
      <c r="H1399" s="22">
        <f>VLOOKUP($A1399,'Medical Examinations'!$A:$L,10, FALSE)</f>
        <v>0</v>
      </c>
      <c r="I1399" s="22" t="str">
        <f>VLOOKUP($A1399, 'Medical Examinations'!$A:$J, 9, FALSE)</f>
        <v>No</v>
      </c>
      <c r="J1399" s="22" t="str">
        <f>VLOOKUP($A1399, 'Medical Examinations'!$A:$P, 11, FALSE)</f>
        <v>OBESITY</v>
      </c>
      <c r="K1399" s="34">
        <v>35950.0</v>
      </c>
      <c r="L1399" s="35">
        <f>VLOOKUP($A1399, 'Hospitalisation Details'!$A:$H, 7, FALSE)</f>
        <v>7642.05</v>
      </c>
      <c r="M1399" s="22" t="str">
        <f>VLOOKUP($A1399, 'Hospitalisation Details'!$A:$L, 12, FALSE)</f>
        <v>tier - 2</v>
      </c>
      <c r="N1399" s="22" t="str">
        <f>VLOOKUP($A1399, 'Hospitalisation Details'!$A:$M, 13, FALSE)</f>
        <v>tier - 2</v>
      </c>
      <c r="O1399" s="22" t="str">
        <f>VLOOKUP($A1399, 'Hospitalisation Details'!$A:$N, 14, FALSE)</f>
        <v>R1026</v>
      </c>
      <c r="P1399" s="36">
        <f>VLOOKUP($A1399, 'Hospitalisation Details'!$A:$O, 15, FALSE)</f>
        <v>23</v>
      </c>
    </row>
    <row r="1400" ht="15.75" customHeight="1">
      <c r="A1400" s="33" t="s">
        <v>2799</v>
      </c>
      <c r="B1400" s="22" t="str">
        <f>VLOOKUP($A1400,'Customer Names'!$A:$D,3, FALSE)</f>
        <v>Turgeon</v>
      </c>
      <c r="C1400" s="22">
        <f>VLOOKUP($A1400,'Medical Examinations'!$A:$D, 2, FALSE)</f>
        <v>29.48</v>
      </c>
      <c r="D1400" s="22">
        <f>VLOOKUP($A1400, 'Medical Examinations'!$A:$D,3, FALSE)</f>
        <v>4.91</v>
      </c>
      <c r="E1400" s="22" t="str">
        <f>VLOOKUP($A1400, 'Medical Examinations'!$A:$D, 4, FALSE)</f>
        <v>No</v>
      </c>
      <c r="F1400" s="22" t="str">
        <f>VLOOKUP($A1400, 'Medical Examinations'!$A:$J, 5, FALSE)</f>
        <v>No</v>
      </c>
      <c r="G1400" s="22" t="str">
        <f>VLOOKUP($A1400, 'Medical Examinations'!$A:$I, 6, FALSE)</f>
        <v>No</v>
      </c>
      <c r="H1400" s="22">
        <f>VLOOKUP($A1400,'Medical Examinations'!$A:$L,10, FALSE)</f>
        <v>0</v>
      </c>
      <c r="I1400" s="22" t="str">
        <f>VLOOKUP($A1400, 'Medical Examinations'!$A:$J, 9, FALSE)</f>
        <v>No</v>
      </c>
      <c r="J1400" s="22" t="str">
        <f>VLOOKUP($A1400, 'Medical Examinations'!$A:$P, 11, FALSE)</f>
        <v>OVERWEIGHT</v>
      </c>
      <c r="K1400" s="34">
        <v>36703.0</v>
      </c>
      <c r="L1400" s="35">
        <f>VLOOKUP($A1400, 'Hospitalisation Details'!$A:$H, 7, FALSE)</f>
        <v>7640.31</v>
      </c>
      <c r="M1400" s="22" t="str">
        <f>VLOOKUP($A1400, 'Hospitalisation Details'!$A:$L, 12, FALSE)</f>
        <v>tier - 2</v>
      </c>
      <c r="N1400" s="22" t="str">
        <f>VLOOKUP($A1400, 'Hospitalisation Details'!$A:$M, 13, FALSE)</f>
        <v>tier - 1</v>
      </c>
      <c r="O1400" s="22" t="str">
        <f>VLOOKUP($A1400, 'Hospitalisation Details'!$A:$N, 14, FALSE)</f>
        <v>R1013</v>
      </c>
      <c r="P1400" s="36">
        <f>VLOOKUP($A1400, 'Hospitalisation Details'!$A:$O, 15, FALSE)</f>
        <v>42</v>
      </c>
    </row>
    <row r="1401" ht="15.75" customHeight="1">
      <c r="A1401" s="33" t="s">
        <v>2801</v>
      </c>
      <c r="B1401" s="22" t="str">
        <f>VLOOKUP($A1401,'Customer Names'!$A:$D,3, FALSE)</f>
        <v>Deingenis</v>
      </c>
      <c r="C1401" s="22">
        <f>VLOOKUP($A1401,'Medical Examinations'!$A:$D, 2, FALSE)</f>
        <v>33.155</v>
      </c>
      <c r="D1401" s="22">
        <f>VLOOKUP($A1401, 'Medical Examinations'!$A:$D,3, FALSE)</f>
        <v>5.07</v>
      </c>
      <c r="E1401" s="22" t="str">
        <f>VLOOKUP($A1401, 'Medical Examinations'!$A:$D, 4, FALSE)</f>
        <v>No</v>
      </c>
      <c r="F1401" s="22" t="str">
        <f>VLOOKUP($A1401, 'Medical Examinations'!$A:$J, 5, FALSE)</f>
        <v>No</v>
      </c>
      <c r="G1401" s="22" t="str">
        <f>VLOOKUP($A1401, 'Medical Examinations'!$A:$I, 6, FALSE)</f>
        <v>No</v>
      </c>
      <c r="H1401" s="22">
        <f>VLOOKUP($A1401,'Medical Examinations'!$A:$L,10, FALSE)</f>
        <v>0</v>
      </c>
      <c r="I1401" s="22" t="str">
        <f>VLOOKUP($A1401, 'Medical Examinations'!$A:$J, 9, FALSE)</f>
        <v>No</v>
      </c>
      <c r="J1401" s="22" t="str">
        <f>VLOOKUP($A1401, 'Medical Examinations'!$A:$P, 11, FALSE)</f>
        <v>OBESITY</v>
      </c>
      <c r="K1401" s="34">
        <v>38196.0</v>
      </c>
      <c r="L1401" s="35">
        <f>VLOOKUP($A1401, 'Hospitalisation Details'!$A:$H, 7, FALSE)</f>
        <v>7639.42</v>
      </c>
      <c r="M1401" s="22" t="str">
        <f>VLOOKUP($A1401, 'Hospitalisation Details'!$A:$L, 12, FALSE)</f>
        <v>tier - 2</v>
      </c>
      <c r="N1401" s="22" t="str">
        <f>VLOOKUP($A1401, 'Hospitalisation Details'!$A:$M, 13, FALSE)</f>
        <v>tier - 2</v>
      </c>
      <c r="O1401" s="22" t="str">
        <f>VLOOKUP($A1401, 'Hospitalisation Details'!$A:$N, 14, FALSE)</f>
        <v>R1024</v>
      </c>
      <c r="P1401" s="36">
        <f>VLOOKUP($A1401, 'Hospitalisation Details'!$A:$O, 15, FALSE)</f>
        <v>42</v>
      </c>
    </row>
    <row r="1402" ht="15.75" customHeight="1">
      <c r="A1402" s="33" t="s">
        <v>2803</v>
      </c>
      <c r="B1402" s="22" t="str">
        <f>VLOOKUP($A1402,'Customer Names'!$A:$D,3, FALSE)</f>
        <v>Hodge</v>
      </c>
      <c r="C1402" s="22">
        <f>VLOOKUP($A1402,'Medical Examinations'!$A:$D, 2, FALSE)</f>
        <v>42.85</v>
      </c>
      <c r="D1402" s="22">
        <f>VLOOKUP($A1402, 'Medical Examinations'!$A:$D,3, FALSE)</f>
        <v>5.81</v>
      </c>
      <c r="E1402" s="22" t="str">
        <f>VLOOKUP($A1402, 'Medical Examinations'!$A:$D, 4, FALSE)</f>
        <v>Yes</v>
      </c>
      <c r="F1402" s="22" t="str">
        <f>VLOOKUP($A1402, 'Medical Examinations'!$A:$J, 5, FALSE)</f>
        <v>No</v>
      </c>
      <c r="G1402" s="22" t="str">
        <f>VLOOKUP($A1402, 'Medical Examinations'!$A:$I, 6, FALSE)</f>
        <v>No</v>
      </c>
      <c r="H1402" s="22">
        <f>VLOOKUP($A1402,'Medical Examinations'!$A:$L,10, FALSE)</f>
        <v>0</v>
      </c>
      <c r="I1402" s="22" t="str">
        <f>VLOOKUP($A1402, 'Medical Examinations'!$A:$J, 9, FALSE)</f>
        <v>No</v>
      </c>
      <c r="J1402" s="22" t="str">
        <f>VLOOKUP($A1402, 'Medical Examinations'!$A:$P, 11, FALSE)</f>
        <v>OBESITY</v>
      </c>
      <c r="K1402" s="34">
        <v>38260.0</v>
      </c>
      <c r="L1402" s="35">
        <f>VLOOKUP($A1402, 'Hospitalisation Details'!$A:$H, 7, FALSE)</f>
        <v>7636.92</v>
      </c>
      <c r="M1402" s="22" t="str">
        <f>VLOOKUP($A1402, 'Hospitalisation Details'!$A:$L, 12, FALSE)</f>
        <v>tier - 2</v>
      </c>
      <c r="N1402" s="22" t="str">
        <f>VLOOKUP($A1402, 'Hospitalisation Details'!$A:$M, 13, FALSE)</f>
        <v>tier - 3</v>
      </c>
      <c r="O1402" s="22" t="str">
        <f>VLOOKUP($A1402, 'Hospitalisation Details'!$A:$N, 14, FALSE)</f>
        <v>R1012</v>
      </c>
      <c r="P1402" s="36">
        <f>VLOOKUP($A1402, 'Hospitalisation Details'!$A:$O, 15, FALSE)</f>
        <v>21</v>
      </c>
    </row>
    <row r="1403" ht="15.75" customHeight="1">
      <c r="A1403" s="33" t="s">
        <v>2805</v>
      </c>
      <c r="B1403" s="22" t="str">
        <f>VLOOKUP($A1403,'Customer Names'!$A:$D,3, FALSE)</f>
        <v>Gibbs</v>
      </c>
      <c r="C1403" s="22">
        <f>VLOOKUP($A1403,'Medical Examinations'!$A:$D, 2, FALSE)</f>
        <v>32.34</v>
      </c>
      <c r="D1403" s="22">
        <f>VLOOKUP($A1403, 'Medical Examinations'!$A:$D,3, FALSE)</f>
        <v>11.2</v>
      </c>
      <c r="E1403" s="22" t="str">
        <f>VLOOKUP($A1403, 'Medical Examinations'!$A:$D, 4, FALSE)</f>
        <v>No</v>
      </c>
      <c r="F1403" s="22" t="str">
        <f>VLOOKUP($A1403, 'Medical Examinations'!$A:$J, 5, FALSE)</f>
        <v>No</v>
      </c>
      <c r="G1403" s="22" t="str">
        <f>VLOOKUP($A1403, 'Medical Examinations'!$A:$I, 6, FALSE)</f>
        <v>No</v>
      </c>
      <c r="H1403" s="22">
        <f>VLOOKUP($A1403,'Medical Examinations'!$A:$L,10, FALSE)</f>
        <v>0</v>
      </c>
      <c r="I1403" s="22" t="str">
        <f>VLOOKUP($A1403, 'Medical Examinations'!$A:$J, 9, FALSE)</f>
        <v>No</v>
      </c>
      <c r="J1403" s="22" t="str">
        <f>VLOOKUP($A1403, 'Medical Examinations'!$A:$P, 11, FALSE)</f>
        <v>OBESITY</v>
      </c>
      <c r="K1403" s="34">
        <v>35729.0</v>
      </c>
      <c r="L1403" s="35">
        <f>VLOOKUP($A1403, 'Hospitalisation Details'!$A:$H, 7, FALSE)</f>
        <v>7633.72</v>
      </c>
      <c r="M1403" s="22" t="str">
        <f>VLOOKUP($A1403, 'Hospitalisation Details'!$A:$L, 12, FALSE)</f>
        <v>tier - 2</v>
      </c>
      <c r="N1403" s="22" t="str">
        <f>VLOOKUP($A1403, 'Hospitalisation Details'!$A:$M, 13, FALSE)</f>
        <v>tier - 1</v>
      </c>
      <c r="O1403" s="22" t="str">
        <f>VLOOKUP($A1403, 'Hospitalisation Details'!$A:$N, 14, FALSE)</f>
        <v>R1013</v>
      </c>
      <c r="P1403" s="36">
        <f>VLOOKUP($A1403, 'Hospitalisation Details'!$A:$O, 15, FALSE)</f>
        <v>44</v>
      </c>
    </row>
    <row r="1404" ht="15.75" customHeight="1">
      <c r="A1404" s="33" t="s">
        <v>2807</v>
      </c>
      <c r="B1404" s="22" t="str">
        <f>VLOOKUP($A1404,'Customer Names'!$A:$D,3, FALSE)</f>
        <v>Trom</v>
      </c>
      <c r="C1404" s="22">
        <f>VLOOKUP($A1404,'Medical Examinations'!$A:$D, 2, FALSE)</f>
        <v>27.5</v>
      </c>
      <c r="D1404" s="22">
        <f>VLOOKUP($A1404, 'Medical Examinations'!$A:$D,3, FALSE)</f>
        <v>10.75</v>
      </c>
      <c r="E1404" s="22" t="str">
        <f>VLOOKUP($A1404, 'Medical Examinations'!$A:$D, 4, FALSE)</f>
        <v>No</v>
      </c>
      <c r="F1404" s="22" t="str">
        <f>VLOOKUP($A1404, 'Medical Examinations'!$A:$J, 5, FALSE)</f>
        <v>No</v>
      </c>
      <c r="G1404" s="22" t="str">
        <f>VLOOKUP($A1404, 'Medical Examinations'!$A:$I, 6, FALSE)</f>
        <v>No</v>
      </c>
      <c r="H1404" s="22">
        <f>VLOOKUP($A1404,'Medical Examinations'!$A:$L,10, FALSE)</f>
        <v>0</v>
      </c>
      <c r="I1404" s="22" t="str">
        <f>VLOOKUP($A1404, 'Medical Examinations'!$A:$J, 9, FALSE)</f>
        <v>No</v>
      </c>
      <c r="J1404" s="22" t="str">
        <f>VLOOKUP($A1404, 'Medical Examinations'!$A:$P, 11, FALSE)</f>
        <v>OVERWEIGHT</v>
      </c>
      <c r="K1404" s="34">
        <v>37594.0</v>
      </c>
      <c r="L1404" s="35">
        <f>VLOOKUP($A1404, 'Hospitalisation Details'!$A:$H, 7, FALSE)</f>
        <v>7626.99</v>
      </c>
      <c r="M1404" s="22" t="str">
        <f>VLOOKUP($A1404, 'Hospitalisation Details'!$A:$L, 12, FALSE)</f>
        <v>tier - 2</v>
      </c>
      <c r="N1404" s="22" t="str">
        <f>VLOOKUP($A1404, 'Hospitalisation Details'!$A:$M, 13, FALSE)</f>
        <v>tier - 2</v>
      </c>
      <c r="O1404" s="22" t="str">
        <f>VLOOKUP($A1404, 'Hospitalisation Details'!$A:$N, 14, FALSE)</f>
        <v>R1011</v>
      </c>
      <c r="P1404" s="36">
        <f>VLOOKUP($A1404, 'Hospitalisation Details'!$A:$O, 15, FALSE)</f>
        <v>44</v>
      </c>
    </row>
    <row r="1405" ht="15.75" customHeight="1">
      <c r="A1405" s="33" t="s">
        <v>2809</v>
      </c>
      <c r="B1405" s="22" t="str">
        <f>VLOOKUP($A1405,'Customer Names'!$A:$D,3, FALSE)</f>
        <v>Sizer</v>
      </c>
      <c r="C1405" s="22">
        <f>VLOOKUP($A1405,'Medical Examinations'!$A:$D, 2, FALSE)</f>
        <v>25.8</v>
      </c>
      <c r="D1405" s="22">
        <f>VLOOKUP($A1405, 'Medical Examinations'!$A:$D,3, FALSE)</f>
        <v>7.8</v>
      </c>
      <c r="E1405" s="22" t="str">
        <f>VLOOKUP($A1405, 'Medical Examinations'!$A:$D, 4, FALSE)</f>
        <v>No</v>
      </c>
      <c r="F1405" s="22" t="str">
        <f>VLOOKUP($A1405, 'Medical Examinations'!$A:$J, 5, FALSE)</f>
        <v>No</v>
      </c>
      <c r="G1405" s="22" t="str">
        <f>VLOOKUP($A1405, 'Medical Examinations'!$A:$I, 6, FALSE)</f>
        <v>No</v>
      </c>
      <c r="H1405" s="22">
        <f>VLOOKUP($A1405,'Medical Examinations'!$A:$L,10, FALSE)</f>
        <v>0</v>
      </c>
      <c r="I1405" s="22" t="str">
        <f>VLOOKUP($A1405, 'Medical Examinations'!$A:$J, 9, FALSE)</f>
        <v>No</v>
      </c>
      <c r="J1405" s="22" t="str">
        <f>VLOOKUP($A1405, 'Medical Examinations'!$A:$P, 11, FALSE)</f>
        <v>OVERWEIGHT</v>
      </c>
      <c r="K1405" s="34">
        <v>37946.0</v>
      </c>
      <c r="L1405" s="35">
        <f>VLOOKUP($A1405, 'Hospitalisation Details'!$A:$H, 7, FALSE)</f>
        <v>7624.63</v>
      </c>
      <c r="M1405" s="22" t="str">
        <f>VLOOKUP($A1405, 'Hospitalisation Details'!$A:$L, 12, FALSE)</f>
        <v>tier - 2</v>
      </c>
      <c r="N1405" s="22" t="str">
        <f>VLOOKUP($A1405, 'Hospitalisation Details'!$A:$M, 13, FALSE)</f>
        <v>tier - 1</v>
      </c>
      <c r="O1405" s="22" t="str">
        <f>VLOOKUP($A1405, 'Hospitalisation Details'!$A:$N, 14, FALSE)</f>
        <v>R1011</v>
      </c>
      <c r="P1405" s="36">
        <f>VLOOKUP($A1405, 'Hospitalisation Details'!$A:$O, 15, FALSE)</f>
        <v>44</v>
      </c>
    </row>
    <row r="1406" ht="15.75" customHeight="1">
      <c r="A1406" s="33" t="s">
        <v>2811</v>
      </c>
      <c r="B1406" s="22" t="str">
        <f>VLOOKUP($A1406,'Customer Names'!$A:$D,3, FALSE)</f>
        <v>Ellison</v>
      </c>
      <c r="C1406" s="22">
        <f>VLOOKUP($A1406,'Medical Examinations'!$A:$D, 2, FALSE)</f>
        <v>25</v>
      </c>
      <c r="D1406" s="22">
        <f>VLOOKUP($A1406, 'Medical Examinations'!$A:$D,3, FALSE)</f>
        <v>7.04</v>
      </c>
      <c r="E1406" s="22" t="str">
        <f>VLOOKUP($A1406, 'Medical Examinations'!$A:$D, 4, FALSE)</f>
        <v>No</v>
      </c>
      <c r="F1406" s="22" t="str">
        <f>VLOOKUP($A1406, 'Medical Examinations'!$A:$J, 5, FALSE)</f>
        <v>No</v>
      </c>
      <c r="G1406" s="22" t="str">
        <f>VLOOKUP($A1406, 'Medical Examinations'!$A:$I, 6, FALSE)</f>
        <v>No</v>
      </c>
      <c r="H1406" s="22">
        <f>VLOOKUP($A1406,'Medical Examinations'!$A:$L,10, FALSE)</f>
        <v>0</v>
      </c>
      <c r="I1406" s="22" t="str">
        <f>VLOOKUP($A1406, 'Medical Examinations'!$A:$J, 9, FALSE)</f>
        <v>No</v>
      </c>
      <c r="J1406" s="22" t="str">
        <f>VLOOKUP($A1406, 'Medical Examinations'!$A:$P, 11, FALSE)</f>
        <v>OVERWEIGHT</v>
      </c>
      <c r="K1406" s="34">
        <v>37848.0</v>
      </c>
      <c r="L1406" s="35">
        <f>VLOOKUP($A1406, 'Hospitalisation Details'!$A:$H, 7, FALSE)</f>
        <v>7623.52</v>
      </c>
      <c r="M1406" s="22" t="str">
        <f>VLOOKUP($A1406, 'Hospitalisation Details'!$A:$L, 12, FALSE)</f>
        <v>tier - 2</v>
      </c>
      <c r="N1406" s="22" t="str">
        <f>VLOOKUP($A1406, 'Hospitalisation Details'!$A:$M, 13, FALSE)</f>
        <v>tier - 1</v>
      </c>
      <c r="O1406" s="22" t="str">
        <f>VLOOKUP($A1406, 'Hospitalisation Details'!$A:$N, 14, FALSE)</f>
        <v>R1011</v>
      </c>
      <c r="P1406" s="36">
        <f>VLOOKUP($A1406, 'Hospitalisation Details'!$A:$O, 15, FALSE)</f>
        <v>44</v>
      </c>
    </row>
    <row r="1407" ht="15.75" customHeight="1">
      <c r="A1407" s="33" t="s">
        <v>2813</v>
      </c>
      <c r="B1407" s="22" t="str">
        <f>VLOOKUP($A1407,'Customer Names'!$A:$D,3, FALSE)</f>
        <v>Sulkowski</v>
      </c>
      <c r="C1407" s="22">
        <f>VLOOKUP($A1407,'Medical Examinations'!$A:$D, 2, FALSE)</f>
        <v>41.2</v>
      </c>
      <c r="D1407" s="22">
        <f>VLOOKUP($A1407, 'Medical Examinations'!$A:$D,3, FALSE)</f>
        <v>4.18</v>
      </c>
      <c r="E1407" s="22" t="str">
        <f>VLOOKUP($A1407, 'Medical Examinations'!$A:$D, 4, FALSE)</f>
        <v>Yes</v>
      </c>
      <c r="F1407" s="22" t="str">
        <f>VLOOKUP($A1407, 'Medical Examinations'!$A:$J, 5, FALSE)</f>
        <v>No</v>
      </c>
      <c r="G1407" s="22" t="str">
        <f>VLOOKUP($A1407, 'Medical Examinations'!$A:$I, 6, FALSE)</f>
        <v>No</v>
      </c>
      <c r="H1407" s="22">
        <f>VLOOKUP($A1407,'Medical Examinations'!$A:$L,10, FALSE)</f>
        <v>0</v>
      </c>
      <c r="I1407" s="22" t="str">
        <f>VLOOKUP($A1407, 'Medical Examinations'!$A:$J, 9, FALSE)</f>
        <v>No</v>
      </c>
      <c r="J1407" s="22" t="str">
        <f>VLOOKUP($A1407, 'Medical Examinations'!$A:$P, 11, FALSE)</f>
        <v>OBESITY</v>
      </c>
      <c r="K1407" s="34">
        <v>37924.0</v>
      </c>
      <c r="L1407" s="35">
        <f>VLOOKUP($A1407, 'Hospitalisation Details'!$A:$H, 7, FALSE)</f>
        <v>7623.13</v>
      </c>
      <c r="M1407" s="22" t="str">
        <f>VLOOKUP($A1407, 'Hospitalisation Details'!$A:$L, 12, FALSE)</f>
        <v>tier - 2</v>
      </c>
      <c r="N1407" s="22" t="str">
        <f>VLOOKUP($A1407, 'Hospitalisation Details'!$A:$M, 13, FALSE)</f>
        <v>tier - 3</v>
      </c>
      <c r="O1407" s="22" t="str">
        <f>VLOOKUP($A1407, 'Hospitalisation Details'!$A:$N, 14, FALSE)</f>
        <v>R1011</v>
      </c>
      <c r="P1407" s="36">
        <f>VLOOKUP($A1407, 'Hospitalisation Details'!$A:$O, 15, FALSE)</f>
        <v>26</v>
      </c>
    </row>
    <row r="1408" ht="15.75" customHeight="1">
      <c r="A1408" s="33" t="s">
        <v>2815</v>
      </c>
      <c r="B1408" s="22" t="str">
        <f>VLOOKUP($A1408,'Customer Names'!$A:$D,3, FALSE)</f>
        <v>Maringo</v>
      </c>
      <c r="C1408" s="22">
        <f>VLOOKUP($A1408,'Medical Examinations'!$A:$D, 2, FALSE)</f>
        <v>17.78</v>
      </c>
      <c r="D1408" s="22">
        <f>VLOOKUP($A1408, 'Medical Examinations'!$A:$D,3, FALSE)</f>
        <v>8.19</v>
      </c>
      <c r="E1408" s="22" t="str">
        <f>VLOOKUP($A1408, 'Medical Examinations'!$A:$D, 4, FALSE)</f>
        <v>No</v>
      </c>
      <c r="F1408" s="22" t="str">
        <f>VLOOKUP($A1408, 'Medical Examinations'!$A:$J, 5, FALSE)</f>
        <v>No</v>
      </c>
      <c r="G1408" s="22" t="str">
        <f>VLOOKUP($A1408, 'Medical Examinations'!$A:$I, 6, FALSE)</f>
        <v>No</v>
      </c>
      <c r="H1408" s="22">
        <f>VLOOKUP($A1408,'Medical Examinations'!$A:$L,10, FALSE)</f>
        <v>0</v>
      </c>
      <c r="I1408" s="22" t="str">
        <f>VLOOKUP($A1408, 'Medical Examinations'!$A:$J, 9, FALSE)</f>
        <v>No</v>
      </c>
      <c r="J1408" s="22" t="str">
        <f>VLOOKUP($A1408, 'Medical Examinations'!$A:$P, 11, FALSE)</f>
        <v>UNDERWEIGHT</v>
      </c>
      <c r="K1408" s="34">
        <v>37907.0</v>
      </c>
      <c r="L1408" s="35">
        <f>VLOOKUP($A1408, 'Hospitalisation Details'!$A:$H, 7, FALSE)</f>
        <v>7609.6</v>
      </c>
      <c r="M1408" s="22" t="str">
        <f>VLOOKUP($A1408, 'Hospitalisation Details'!$A:$L, 12, FALSE)</f>
        <v>tier - 3</v>
      </c>
      <c r="N1408" s="22" t="str">
        <f>VLOOKUP($A1408, 'Hospitalisation Details'!$A:$M, 13, FALSE)</f>
        <v>tier - 2</v>
      </c>
      <c r="O1408" s="22" t="str">
        <f>VLOOKUP($A1408, 'Hospitalisation Details'!$A:$N, 14, FALSE)</f>
        <v>R1012</v>
      </c>
      <c r="P1408" s="36">
        <f>VLOOKUP($A1408, 'Hospitalisation Details'!$A:$O, 15, FALSE)</f>
        <v>54</v>
      </c>
    </row>
    <row r="1409" ht="15.75" customHeight="1">
      <c r="A1409" s="33" t="s">
        <v>2817</v>
      </c>
      <c r="B1409" s="22" t="str">
        <f>VLOOKUP($A1409,'Customer Names'!$A:$D,3, FALSE)</f>
        <v>Lattin</v>
      </c>
      <c r="C1409" s="22">
        <f>VLOOKUP($A1409,'Medical Examinations'!$A:$D, 2, FALSE)</f>
        <v>40.12</v>
      </c>
      <c r="D1409" s="22">
        <f>VLOOKUP($A1409, 'Medical Examinations'!$A:$D,3, FALSE)</f>
        <v>6.22</v>
      </c>
      <c r="E1409" s="22" t="str">
        <f>VLOOKUP($A1409, 'Medical Examinations'!$A:$D, 4, FALSE)</f>
        <v>Yes</v>
      </c>
      <c r="F1409" s="22" t="str">
        <f>VLOOKUP($A1409, 'Medical Examinations'!$A:$J, 5, FALSE)</f>
        <v>No</v>
      </c>
      <c r="G1409" s="22" t="str">
        <f>VLOOKUP($A1409, 'Medical Examinations'!$A:$I, 6, FALSE)</f>
        <v>Yes</v>
      </c>
      <c r="H1409" s="22">
        <f>VLOOKUP($A1409,'Medical Examinations'!$A:$L,10, FALSE)</f>
        <v>1</v>
      </c>
      <c r="I1409" s="22" t="str">
        <f>VLOOKUP($A1409, 'Medical Examinations'!$A:$J, 9, FALSE)</f>
        <v>No</v>
      </c>
      <c r="J1409" s="22" t="str">
        <f>VLOOKUP($A1409, 'Medical Examinations'!$A:$P, 11, FALSE)</f>
        <v>OBESITY</v>
      </c>
      <c r="K1409" s="34">
        <v>35664.0</v>
      </c>
      <c r="L1409" s="35">
        <f>VLOOKUP($A1409, 'Hospitalisation Details'!$A:$H, 7, FALSE)</f>
        <v>7607.03</v>
      </c>
      <c r="M1409" s="22" t="str">
        <f>VLOOKUP($A1409, 'Hospitalisation Details'!$A:$L, 12, FALSE)</f>
        <v>tier - 2</v>
      </c>
      <c r="N1409" s="22" t="str">
        <f>VLOOKUP($A1409, 'Hospitalisation Details'!$A:$M, 13, FALSE)</f>
        <v>tier - 2</v>
      </c>
      <c r="O1409" s="22" t="str">
        <f>VLOOKUP($A1409, 'Hospitalisation Details'!$A:$N, 14, FALSE)</f>
        <v>R1012</v>
      </c>
      <c r="P1409" s="36">
        <f>VLOOKUP($A1409, 'Hospitalisation Details'!$A:$O, 15, FALSE)</f>
        <v>25</v>
      </c>
    </row>
    <row r="1410" ht="15.75" customHeight="1">
      <c r="A1410" s="33" t="s">
        <v>2819</v>
      </c>
      <c r="B1410" s="22" t="str">
        <f>VLOOKUP($A1410,'Customer Names'!$A:$D,3, FALSE)</f>
        <v>Deblander</v>
      </c>
      <c r="C1410" s="22">
        <f>VLOOKUP($A1410,'Medical Examinations'!$A:$D, 2, FALSE)</f>
        <v>19.35</v>
      </c>
      <c r="D1410" s="22">
        <f>VLOOKUP($A1410, 'Medical Examinations'!$A:$D,3, FALSE)</f>
        <v>8.22</v>
      </c>
      <c r="E1410" s="22" t="str">
        <f>VLOOKUP($A1410, 'Medical Examinations'!$A:$D, 4, FALSE)</f>
        <v>Yes</v>
      </c>
      <c r="F1410" s="22" t="str">
        <f>VLOOKUP($A1410, 'Medical Examinations'!$A:$J, 5, FALSE)</f>
        <v>No</v>
      </c>
      <c r="G1410" s="22" t="str">
        <f>VLOOKUP($A1410, 'Medical Examinations'!$A:$I, 6, FALSE)</f>
        <v>No</v>
      </c>
      <c r="H1410" s="22">
        <f>VLOOKUP($A1410,'Medical Examinations'!$A:$L,10, FALSE)</f>
        <v>0</v>
      </c>
      <c r="I1410" s="22" t="str">
        <f>VLOOKUP($A1410, 'Medical Examinations'!$A:$J, 9, FALSE)</f>
        <v>No</v>
      </c>
      <c r="J1410" s="22" t="str">
        <f>VLOOKUP($A1410, 'Medical Examinations'!$A:$P, 11, FALSE)</f>
        <v>NORMAL WEIGHT</v>
      </c>
      <c r="K1410" s="34">
        <v>37965.0</v>
      </c>
      <c r="L1410" s="35">
        <f>VLOOKUP($A1410, 'Hospitalisation Details'!$A:$H, 7, FALSE)</f>
        <v>7585.62</v>
      </c>
      <c r="M1410" s="22" t="str">
        <f>VLOOKUP($A1410, 'Hospitalisation Details'!$A:$L, 12, FALSE)</f>
        <v>tier - 3</v>
      </c>
      <c r="N1410" s="22" t="str">
        <f>VLOOKUP($A1410, 'Hospitalisation Details'!$A:$M, 13, FALSE)</f>
        <v>tier - 2</v>
      </c>
      <c r="O1410" s="22" t="str">
        <f>VLOOKUP($A1410, 'Hospitalisation Details'!$A:$N, 14, FALSE)</f>
        <v>R1013</v>
      </c>
      <c r="P1410" s="36">
        <f>VLOOKUP($A1410, 'Hospitalisation Details'!$A:$O, 15, FALSE)</f>
        <v>55</v>
      </c>
    </row>
    <row r="1411" ht="15.75" customHeight="1">
      <c r="A1411" s="33" t="s">
        <v>2821</v>
      </c>
      <c r="B1411" s="22" t="str">
        <f>VLOOKUP($A1411,'Customer Names'!$A:$D,3, FALSE)</f>
        <v>O'Neill</v>
      </c>
      <c r="C1411" s="22">
        <f>VLOOKUP($A1411,'Medical Examinations'!$A:$D, 2, FALSE)</f>
        <v>36.69</v>
      </c>
      <c r="D1411" s="22">
        <f>VLOOKUP($A1411, 'Medical Examinations'!$A:$D,3, FALSE)</f>
        <v>6.15</v>
      </c>
      <c r="E1411" s="22" t="str">
        <f>VLOOKUP($A1411, 'Medical Examinations'!$A:$D, 4, FALSE)</f>
        <v>No</v>
      </c>
      <c r="F1411" s="22" t="str">
        <f>VLOOKUP($A1411, 'Medical Examinations'!$A:$J, 5, FALSE)</f>
        <v>No</v>
      </c>
      <c r="G1411" s="22" t="str">
        <f>VLOOKUP($A1411, 'Medical Examinations'!$A:$I, 6, FALSE)</f>
        <v>No</v>
      </c>
      <c r="H1411" s="22">
        <f>VLOOKUP($A1411,'Medical Examinations'!$A:$L,10, FALSE)</f>
        <v>0</v>
      </c>
      <c r="I1411" s="22" t="str">
        <f>VLOOKUP($A1411, 'Medical Examinations'!$A:$J, 9, FALSE)</f>
        <v>No</v>
      </c>
      <c r="J1411" s="22" t="str">
        <f>VLOOKUP($A1411, 'Medical Examinations'!$A:$P, 11, FALSE)</f>
        <v>OBESITY</v>
      </c>
      <c r="K1411" s="34">
        <v>35738.0</v>
      </c>
      <c r="L1411" s="35">
        <f>VLOOKUP($A1411, 'Hospitalisation Details'!$A:$H, 7, FALSE)</f>
        <v>7567.13</v>
      </c>
      <c r="M1411" s="22" t="str">
        <f>VLOOKUP($A1411, 'Hospitalisation Details'!$A:$L, 12, FALSE)</f>
        <v>tier - 2</v>
      </c>
      <c r="N1411" s="22" t="str">
        <f>VLOOKUP($A1411, 'Hospitalisation Details'!$A:$M, 13, FALSE)</f>
        <v>tier - 2</v>
      </c>
      <c r="O1411" s="22" t="str">
        <f>VLOOKUP($A1411, 'Hospitalisation Details'!$A:$N, 14, FALSE)</f>
        <v>R1021</v>
      </c>
      <c r="P1411" s="36">
        <f>VLOOKUP($A1411, 'Hospitalisation Details'!$A:$O, 15, FALSE)</f>
        <v>28</v>
      </c>
    </row>
    <row r="1412" ht="15.75" customHeight="1">
      <c r="A1412" s="33" t="s">
        <v>2823</v>
      </c>
      <c r="B1412" s="22" t="str">
        <f>VLOOKUP($A1412,'Customer Names'!$A:$D,3, FALSE)</f>
        <v>Davis</v>
      </c>
      <c r="C1412" s="22">
        <f>VLOOKUP($A1412,'Medical Examinations'!$A:$D, 2, FALSE)</f>
        <v>28.51</v>
      </c>
      <c r="D1412" s="22">
        <f>VLOOKUP($A1412, 'Medical Examinations'!$A:$D,3, FALSE)</f>
        <v>5.65</v>
      </c>
      <c r="E1412" s="22" t="str">
        <f>VLOOKUP($A1412, 'Medical Examinations'!$A:$D, 4, FALSE)</f>
        <v>Yes</v>
      </c>
      <c r="F1412" s="22" t="str">
        <f>VLOOKUP($A1412, 'Medical Examinations'!$A:$J, 5, FALSE)</f>
        <v>No</v>
      </c>
      <c r="G1412" s="22" t="str">
        <f>VLOOKUP($A1412, 'Medical Examinations'!$A:$I, 6, FALSE)</f>
        <v>No</v>
      </c>
      <c r="H1412" s="22">
        <f>VLOOKUP($A1412,'Medical Examinations'!$A:$L,10, FALSE)</f>
        <v>1</v>
      </c>
      <c r="I1412" s="22" t="str">
        <f>VLOOKUP($A1412, 'Medical Examinations'!$A:$J, 9, FALSE)</f>
        <v>No</v>
      </c>
      <c r="J1412" s="22" t="str">
        <f>VLOOKUP($A1412, 'Medical Examinations'!$A:$P, 11, FALSE)</f>
        <v>OVERWEIGHT</v>
      </c>
      <c r="K1412" s="34">
        <v>37879.0</v>
      </c>
      <c r="L1412" s="35">
        <f>VLOOKUP($A1412, 'Hospitalisation Details'!$A:$H, 7, FALSE)</f>
        <v>7538.52</v>
      </c>
      <c r="M1412" s="22" t="str">
        <f>VLOOKUP($A1412, 'Hospitalisation Details'!$A:$L, 12, FALSE)</f>
        <v>tier - 2</v>
      </c>
      <c r="N1412" s="22" t="str">
        <f>VLOOKUP($A1412, 'Hospitalisation Details'!$A:$M, 13, FALSE)</f>
        <v>tier - 2</v>
      </c>
      <c r="O1412" s="22" t="str">
        <f>VLOOKUP($A1412, 'Hospitalisation Details'!$A:$N, 14, FALSE)</f>
        <v>R1012</v>
      </c>
      <c r="P1412" s="36">
        <f>VLOOKUP($A1412, 'Hospitalisation Details'!$A:$O, 15, FALSE)</f>
        <v>34</v>
      </c>
    </row>
    <row r="1413" ht="15.75" customHeight="1">
      <c r="A1413" s="33" t="s">
        <v>2825</v>
      </c>
      <c r="B1413" s="22" t="str">
        <f>VLOOKUP($A1413,'Customer Names'!$A:$D,3, FALSE)</f>
        <v>Stanek</v>
      </c>
      <c r="C1413" s="22">
        <f>VLOOKUP($A1413,'Medical Examinations'!$A:$D, 2, FALSE)</f>
        <v>30.21</v>
      </c>
      <c r="D1413" s="22">
        <f>VLOOKUP($A1413, 'Medical Examinations'!$A:$D,3, FALSE)</f>
        <v>5.5</v>
      </c>
      <c r="E1413" s="22" t="str">
        <f>VLOOKUP($A1413, 'Medical Examinations'!$A:$D, 4, FALSE)</f>
        <v>No</v>
      </c>
      <c r="F1413" s="22" t="str">
        <f>VLOOKUP($A1413, 'Medical Examinations'!$A:$J, 5, FALSE)</f>
        <v>No</v>
      </c>
      <c r="G1413" s="22" t="str">
        <f>VLOOKUP($A1413, 'Medical Examinations'!$A:$I, 6, FALSE)</f>
        <v>No</v>
      </c>
      <c r="H1413" s="22">
        <f>VLOOKUP($A1413,'Medical Examinations'!$A:$L,10, FALSE)</f>
        <v>1</v>
      </c>
      <c r="I1413" s="22" t="str">
        <f>VLOOKUP($A1413, 'Medical Examinations'!$A:$J, 9, FALSE)</f>
        <v>No</v>
      </c>
      <c r="J1413" s="22" t="str">
        <f>VLOOKUP($A1413, 'Medical Examinations'!$A:$P, 11, FALSE)</f>
        <v>OBESITY</v>
      </c>
      <c r="K1413" s="34">
        <v>37872.0</v>
      </c>
      <c r="L1413" s="35">
        <f>VLOOKUP($A1413, 'Hospitalisation Details'!$A:$H, 7, FALSE)</f>
        <v>7537.16</v>
      </c>
      <c r="M1413" s="22" t="str">
        <f>VLOOKUP($A1413, 'Hospitalisation Details'!$A:$L, 12, FALSE)</f>
        <v>tier - 2</v>
      </c>
      <c r="N1413" s="22" t="str">
        <f>VLOOKUP($A1413, 'Hospitalisation Details'!$A:$M, 13, FALSE)</f>
        <v>tier - 2</v>
      </c>
      <c r="O1413" s="22" t="str">
        <f>VLOOKUP($A1413, 'Hospitalisation Details'!$A:$N, 14, FALSE)</f>
        <v>R1012</v>
      </c>
      <c r="P1413" s="36">
        <f>VLOOKUP($A1413, 'Hospitalisation Details'!$A:$O, 15, FALSE)</f>
        <v>38</v>
      </c>
    </row>
    <row r="1414" ht="15.75" customHeight="1">
      <c r="A1414" s="33" t="s">
        <v>2827</v>
      </c>
      <c r="B1414" s="22" t="str">
        <f>VLOOKUP($A1414,'Customer Names'!$A:$D,3, FALSE)</f>
        <v>Harris</v>
      </c>
      <c r="C1414" s="22">
        <f>VLOOKUP($A1414,'Medical Examinations'!$A:$D, 2, FALSE)</f>
        <v>24.33</v>
      </c>
      <c r="D1414" s="22">
        <f>VLOOKUP($A1414, 'Medical Examinations'!$A:$D,3, FALSE)</f>
        <v>8</v>
      </c>
      <c r="E1414" s="22" t="str">
        <f>VLOOKUP($A1414, 'Medical Examinations'!$A:$D, 4, FALSE)</f>
        <v>No</v>
      </c>
      <c r="F1414" s="22" t="str">
        <f>VLOOKUP($A1414, 'Medical Examinations'!$A:$J, 5, FALSE)</f>
        <v>No</v>
      </c>
      <c r="G1414" s="22" t="str">
        <f>VLOOKUP($A1414, 'Medical Examinations'!$A:$I, 6, FALSE)</f>
        <v>No</v>
      </c>
      <c r="H1414" s="22">
        <f>VLOOKUP($A1414,'Medical Examinations'!$A:$L,10, FALSE)</f>
        <v>0</v>
      </c>
      <c r="I1414" s="22" t="str">
        <f>VLOOKUP($A1414, 'Medical Examinations'!$A:$J, 9, FALSE)</f>
        <v>No</v>
      </c>
      <c r="J1414" s="22" t="str">
        <f>VLOOKUP($A1414, 'Medical Examinations'!$A:$P, 11, FALSE)</f>
        <v>NORMAL WEIGHT</v>
      </c>
      <c r="K1414" s="34">
        <v>37879.0</v>
      </c>
      <c r="L1414" s="35">
        <f>VLOOKUP($A1414, 'Hospitalisation Details'!$A:$H, 7, FALSE)</f>
        <v>7531.7</v>
      </c>
      <c r="M1414" s="22" t="str">
        <f>VLOOKUP($A1414, 'Hospitalisation Details'!$A:$L, 12, FALSE)</f>
        <v>tier - 2</v>
      </c>
      <c r="N1414" s="22" t="str">
        <f>VLOOKUP($A1414, 'Hospitalisation Details'!$A:$M, 13, FALSE)</f>
        <v>tier - 1</v>
      </c>
      <c r="O1414" s="22" t="str">
        <f>VLOOKUP($A1414, 'Hospitalisation Details'!$A:$N, 14, FALSE)</f>
        <v>R1013</v>
      </c>
      <c r="P1414" s="36">
        <f>VLOOKUP($A1414, 'Hospitalisation Details'!$A:$O, 15, FALSE)</f>
        <v>44</v>
      </c>
    </row>
    <row r="1415" ht="15.75" customHeight="1">
      <c r="A1415" s="33" t="s">
        <v>2829</v>
      </c>
      <c r="B1415" s="22" t="str">
        <f>VLOOKUP($A1415,'Customer Names'!$A:$D,3, FALSE)</f>
        <v>Manning</v>
      </c>
      <c r="C1415" s="22">
        <f>VLOOKUP($A1415,'Medical Examinations'!$A:$D, 2, FALSE)</f>
        <v>19.855</v>
      </c>
      <c r="D1415" s="22">
        <f>VLOOKUP($A1415, 'Medical Examinations'!$A:$D,3, FALSE)</f>
        <v>5.71</v>
      </c>
      <c r="E1415" s="22" t="str">
        <f>VLOOKUP($A1415, 'Medical Examinations'!$A:$D, 4, FALSE)</f>
        <v>Yes</v>
      </c>
      <c r="F1415" s="22" t="str">
        <f>VLOOKUP($A1415, 'Medical Examinations'!$A:$J, 5, FALSE)</f>
        <v>No</v>
      </c>
      <c r="G1415" s="22" t="str">
        <f>VLOOKUP($A1415, 'Medical Examinations'!$A:$I, 6, FALSE)</f>
        <v>No</v>
      </c>
      <c r="H1415" s="22">
        <f>VLOOKUP($A1415,'Medical Examinations'!$A:$L,10, FALSE)</f>
        <v>0</v>
      </c>
      <c r="I1415" s="22" t="str">
        <f>VLOOKUP($A1415, 'Medical Examinations'!$A:$J, 9, FALSE)</f>
        <v>No</v>
      </c>
      <c r="J1415" s="22" t="str">
        <f>VLOOKUP($A1415, 'Medical Examinations'!$A:$P, 11, FALSE)</f>
        <v>NORMAL WEIGHT</v>
      </c>
      <c r="K1415" s="34">
        <v>37835.0</v>
      </c>
      <c r="L1415" s="35">
        <f>VLOOKUP($A1415, 'Hospitalisation Details'!$A:$H, 7, FALSE)</f>
        <v>7526.71</v>
      </c>
      <c r="M1415" s="22" t="str">
        <f>VLOOKUP($A1415, 'Hospitalisation Details'!$A:$L, 12, FALSE)</f>
        <v>tier - 3</v>
      </c>
      <c r="N1415" s="22" t="str">
        <f>VLOOKUP($A1415, 'Hospitalisation Details'!$A:$M, 13, FALSE)</f>
        <v>tier - 1</v>
      </c>
      <c r="O1415" s="22" t="str">
        <f>VLOOKUP($A1415, 'Hospitalisation Details'!$A:$N, 14, FALSE)</f>
        <v>R1012</v>
      </c>
      <c r="P1415" s="36">
        <f>VLOOKUP($A1415, 'Hospitalisation Details'!$A:$O, 15, FALSE)</f>
        <v>46</v>
      </c>
    </row>
    <row r="1416" ht="15.75" customHeight="1">
      <c r="A1416" s="33" t="s">
        <v>2831</v>
      </c>
      <c r="B1416" s="22" t="str">
        <f>VLOOKUP($A1416,'Customer Names'!$A:$D,3, FALSE)</f>
        <v>Barrer</v>
      </c>
      <c r="C1416" s="22">
        <f>VLOOKUP($A1416,'Medical Examinations'!$A:$D, 2, FALSE)</f>
        <v>25.365</v>
      </c>
      <c r="D1416" s="22">
        <f>VLOOKUP($A1416, 'Medical Examinations'!$A:$D,3, FALSE)</f>
        <v>11.71</v>
      </c>
      <c r="E1416" s="22" t="str">
        <f>VLOOKUP($A1416, 'Medical Examinations'!$A:$D, 4, FALSE)</f>
        <v>No</v>
      </c>
      <c r="F1416" s="22" t="str">
        <f>VLOOKUP($A1416, 'Medical Examinations'!$A:$J, 5, FALSE)</f>
        <v>No</v>
      </c>
      <c r="G1416" s="22" t="str">
        <f>VLOOKUP($A1416, 'Medical Examinations'!$A:$I, 6, FALSE)</f>
        <v>No</v>
      </c>
      <c r="H1416" s="22">
        <f>VLOOKUP($A1416,'Medical Examinations'!$A:$L,10, FALSE)</f>
        <v>0</v>
      </c>
      <c r="I1416" s="22" t="str">
        <f>VLOOKUP($A1416, 'Medical Examinations'!$A:$J, 9, FALSE)</f>
        <v>No</v>
      </c>
      <c r="J1416" s="22" t="str">
        <f>VLOOKUP($A1416, 'Medical Examinations'!$A:$P, 11, FALSE)</f>
        <v>OVERWEIGHT</v>
      </c>
      <c r="K1416" s="34">
        <v>37438.0</v>
      </c>
      <c r="L1416" s="35">
        <f>VLOOKUP($A1416, 'Hospitalisation Details'!$A:$H, 7, FALSE)</f>
        <v>7518.03</v>
      </c>
      <c r="M1416" s="22" t="str">
        <f>VLOOKUP($A1416, 'Hospitalisation Details'!$A:$L, 12, FALSE)</f>
        <v>tier - 2</v>
      </c>
      <c r="N1416" s="22" t="str">
        <f>VLOOKUP($A1416, 'Hospitalisation Details'!$A:$M, 13, FALSE)</f>
        <v>tier - 3</v>
      </c>
      <c r="O1416" s="22" t="str">
        <f>VLOOKUP($A1416, 'Hospitalisation Details'!$A:$N, 14, FALSE)</f>
        <v>R1012</v>
      </c>
      <c r="P1416" s="36">
        <f>VLOOKUP($A1416, 'Hospitalisation Details'!$A:$O, 15, FALSE)</f>
        <v>44</v>
      </c>
    </row>
    <row r="1417" ht="15.75" customHeight="1">
      <c r="A1417" s="33" t="s">
        <v>2833</v>
      </c>
      <c r="B1417" s="22" t="str">
        <f>VLOOKUP($A1417,'Customer Names'!$A:$D,3, FALSE)</f>
        <v>Schauwaers</v>
      </c>
      <c r="C1417" s="22">
        <f>VLOOKUP($A1417,'Medical Examinations'!$A:$D, 2, FALSE)</f>
        <v>29.6</v>
      </c>
      <c r="D1417" s="22">
        <f>VLOOKUP($A1417, 'Medical Examinations'!$A:$D,3, FALSE)</f>
        <v>6.17</v>
      </c>
      <c r="E1417" s="22" t="str">
        <f>VLOOKUP($A1417, 'Medical Examinations'!$A:$D, 4, FALSE)</f>
        <v>Yes</v>
      </c>
      <c r="F1417" s="22" t="str">
        <f>VLOOKUP($A1417, 'Medical Examinations'!$A:$J, 5, FALSE)</f>
        <v>No</v>
      </c>
      <c r="G1417" s="22" t="str">
        <f>VLOOKUP($A1417, 'Medical Examinations'!$A:$I, 6, FALSE)</f>
        <v>Yes</v>
      </c>
      <c r="H1417" s="22">
        <f>VLOOKUP($A1417,'Medical Examinations'!$A:$L,10, FALSE)</f>
        <v>1</v>
      </c>
      <c r="I1417" s="22" t="str">
        <f>VLOOKUP($A1417, 'Medical Examinations'!$A:$J, 9, FALSE)</f>
        <v>No</v>
      </c>
      <c r="J1417" s="22" t="str">
        <f>VLOOKUP($A1417, 'Medical Examinations'!$A:$P, 11, FALSE)</f>
        <v>OVERWEIGHT</v>
      </c>
      <c r="K1417" s="34">
        <v>36079.0</v>
      </c>
      <c r="L1417" s="35">
        <f>VLOOKUP($A1417, 'Hospitalisation Details'!$A:$H, 7, FALSE)</f>
        <v>7512.27</v>
      </c>
      <c r="M1417" s="22" t="str">
        <f>VLOOKUP($A1417, 'Hospitalisation Details'!$A:$L, 12, FALSE)</f>
        <v>tier - 3</v>
      </c>
      <c r="N1417" s="22" t="str">
        <f>VLOOKUP($A1417, 'Hospitalisation Details'!$A:$M, 13, FALSE)</f>
        <v>tier - 2</v>
      </c>
      <c r="O1417" s="22" t="str">
        <f>VLOOKUP($A1417, 'Hospitalisation Details'!$A:$N, 14, FALSE)</f>
        <v>R1011</v>
      </c>
      <c r="P1417" s="36">
        <f>VLOOKUP($A1417, 'Hospitalisation Details'!$A:$O, 15, FALSE)</f>
        <v>39</v>
      </c>
    </row>
    <row r="1418" ht="15.75" customHeight="1">
      <c r="A1418" s="33" t="s">
        <v>2835</v>
      </c>
      <c r="B1418" s="22" t="str">
        <f>VLOOKUP($A1418,'Customer Names'!$A:$D,3, FALSE)</f>
        <v>Hartman</v>
      </c>
      <c r="C1418" s="22">
        <f>VLOOKUP($A1418,'Medical Examinations'!$A:$D, 2, FALSE)</f>
        <v>39.43</v>
      </c>
      <c r="D1418" s="22">
        <f>VLOOKUP($A1418, 'Medical Examinations'!$A:$D,3, FALSE)</f>
        <v>6.1</v>
      </c>
      <c r="E1418" s="22" t="str">
        <f>VLOOKUP($A1418, 'Medical Examinations'!$A:$D, 4, FALSE)</f>
        <v>Yes</v>
      </c>
      <c r="F1418" s="22" t="str">
        <f>VLOOKUP($A1418, 'Medical Examinations'!$A:$J, 5, FALSE)</f>
        <v>No</v>
      </c>
      <c r="G1418" s="22" t="str">
        <f>VLOOKUP($A1418, 'Medical Examinations'!$A:$I, 6, FALSE)</f>
        <v>Yes</v>
      </c>
      <c r="H1418" s="22">
        <f>VLOOKUP($A1418,'Medical Examinations'!$A:$L,10, FALSE)</f>
        <v>1</v>
      </c>
      <c r="I1418" s="22" t="str">
        <f>VLOOKUP($A1418, 'Medical Examinations'!$A:$J, 9, FALSE)</f>
        <v>No</v>
      </c>
      <c r="J1418" s="22" t="str">
        <f>VLOOKUP($A1418, 'Medical Examinations'!$A:$P, 11, FALSE)</f>
        <v>OBESITY</v>
      </c>
      <c r="K1418" s="34">
        <v>37602.0</v>
      </c>
      <c r="L1418" s="35">
        <f>VLOOKUP($A1418, 'Hospitalisation Details'!$A:$H, 7, FALSE)</f>
        <v>7504.3</v>
      </c>
      <c r="M1418" s="22" t="str">
        <f>VLOOKUP($A1418, 'Hospitalisation Details'!$A:$L, 12, FALSE)</f>
        <v>tier - 2</v>
      </c>
      <c r="N1418" s="22" t="str">
        <f>VLOOKUP($A1418, 'Hospitalisation Details'!$A:$M, 13, FALSE)</f>
        <v>tier - 1</v>
      </c>
      <c r="O1418" s="22" t="str">
        <f>VLOOKUP($A1418, 'Hospitalisation Details'!$A:$N, 14, FALSE)</f>
        <v>R1012</v>
      </c>
      <c r="P1418" s="36">
        <f>VLOOKUP($A1418, 'Hospitalisation Details'!$A:$O, 15, FALSE)</f>
        <v>25</v>
      </c>
    </row>
    <row r="1419" ht="15.75" customHeight="1">
      <c r="A1419" s="33" t="s">
        <v>2837</v>
      </c>
      <c r="B1419" s="22" t="str">
        <f>VLOOKUP($A1419,'Customer Names'!$A:$D,3, FALSE)</f>
        <v>Fire</v>
      </c>
      <c r="C1419" s="22">
        <f>VLOOKUP($A1419,'Medical Examinations'!$A:$D, 2, FALSE)</f>
        <v>27.34</v>
      </c>
      <c r="D1419" s="22">
        <f>VLOOKUP($A1419, 'Medical Examinations'!$A:$D,3, FALSE)</f>
        <v>5.19</v>
      </c>
      <c r="E1419" s="22" t="str">
        <f>VLOOKUP($A1419, 'Medical Examinations'!$A:$D, 4, FALSE)</f>
        <v>Yes</v>
      </c>
      <c r="F1419" s="22" t="str">
        <f>VLOOKUP($A1419, 'Medical Examinations'!$A:$J, 5, FALSE)</f>
        <v>No</v>
      </c>
      <c r="G1419" s="22" t="str">
        <f>VLOOKUP($A1419, 'Medical Examinations'!$A:$I, 6, FALSE)</f>
        <v>No</v>
      </c>
      <c r="H1419" s="22">
        <f>VLOOKUP($A1419,'Medical Examinations'!$A:$L,10, FALSE)</f>
        <v>1</v>
      </c>
      <c r="I1419" s="22" t="str">
        <f>VLOOKUP($A1419, 'Medical Examinations'!$A:$J, 9, FALSE)</f>
        <v>No</v>
      </c>
      <c r="J1419" s="22" t="str">
        <f>VLOOKUP($A1419, 'Medical Examinations'!$A:$P, 11, FALSE)</f>
        <v>OVERWEIGHT</v>
      </c>
      <c r="K1419" s="34">
        <v>35989.0</v>
      </c>
      <c r="L1419" s="35">
        <f>VLOOKUP($A1419, 'Hospitalisation Details'!$A:$H, 7, FALSE)</f>
        <v>7494.63</v>
      </c>
      <c r="M1419" s="22" t="str">
        <f>VLOOKUP($A1419, 'Hospitalisation Details'!$A:$L, 12, FALSE)</f>
        <v>tier - 2</v>
      </c>
      <c r="N1419" s="22" t="str">
        <f>VLOOKUP($A1419, 'Hospitalisation Details'!$A:$M, 13, FALSE)</f>
        <v>tier - 3</v>
      </c>
      <c r="O1419" s="22" t="str">
        <f>VLOOKUP($A1419, 'Hospitalisation Details'!$A:$N, 14, FALSE)</f>
        <v>R1025</v>
      </c>
      <c r="P1419" s="36">
        <f>VLOOKUP($A1419, 'Hospitalisation Details'!$A:$O, 15, FALSE)</f>
        <v>34</v>
      </c>
    </row>
    <row r="1420" ht="15.75" customHeight="1">
      <c r="A1420" s="33" t="s">
        <v>2839</v>
      </c>
      <c r="B1420" s="22" t="str">
        <f>VLOOKUP($A1420,'Customer Names'!$A:$D,3, FALSE)</f>
        <v>Waliaula</v>
      </c>
      <c r="C1420" s="22">
        <f>VLOOKUP($A1420,'Medical Examinations'!$A:$D, 2, FALSE)</f>
        <v>39.01</v>
      </c>
      <c r="D1420" s="22">
        <f>VLOOKUP($A1420, 'Medical Examinations'!$A:$D,3, FALSE)</f>
        <v>5.37</v>
      </c>
      <c r="E1420" s="22" t="str">
        <f>VLOOKUP($A1420, 'Medical Examinations'!$A:$D, 4, FALSE)</f>
        <v>Yes</v>
      </c>
      <c r="F1420" s="22" t="str">
        <f>VLOOKUP($A1420, 'Medical Examinations'!$A:$J, 5, FALSE)</f>
        <v>No</v>
      </c>
      <c r="G1420" s="22" t="str">
        <f>VLOOKUP($A1420, 'Medical Examinations'!$A:$I, 6, FALSE)</f>
        <v>No</v>
      </c>
      <c r="H1420" s="22">
        <f>VLOOKUP($A1420,'Medical Examinations'!$A:$L,10, FALSE)</f>
        <v>0</v>
      </c>
      <c r="I1420" s="22" t="str">
        <f>VLOOKUP($A1420, 'Medical Examinations'!$A:$J, 9, FALSE)</f>
        <v>No</v>
      </c>
      <c r="J1420" s="22" t="str">
        <f>VLOOKUP($A1420, 'Medical Examinations'!$A:$P, 11, FALSE)</f>
        <v>OBESITY</v>
      </c>
      <c r="K1420" s="34">
        <v>36029.0</v>
      </c>
      <c r="L1420" s="35">
        <f>VLOOKUP($A1420, 'Hospitalisation Details'!$A:$H, 7, FALSE)</f>
        <v>7487.38</v>
      </c>
      <c r="M1420" s="22" t="str">
        <f>VLOOKUP($A1420, 'Hospitalisation Details'!$A:$L, 12, FALSE)</f>
        <v>tier - 2</v>
      </c>
      <c r="N1420" s="22" t="str">
        <f>VLOOKUP($A1420, 'Hospitalisation Details'!$A:$M, 13, FALSE)</f>
        <v>tier - 3</v>
      </c>
      <c r="O1420" s="22" t="str">
        <f>VLOOKUP($A1420, 'Hospitalisation Details'!$A:$N, 14, FALSE)</f>
        <v>R1012</v>
      </c>
      <c r="P1420" s="36">
        <f>VLOOKUP($A1420, 'Hospitalisation Details'!$A:$O, 15, FALSE)</f>
        <v>26</v>
      </c>
    </row>
    <row r="1421" ht="15.75" customHeight="1">
      <c r="A1421" s="33" t="s">
        <v>2841</v>
      </c>
      <c r="B1421" s="22" t="str">
        <f>VLOOKUP($A1421,'Customer Names'!$A:$D,3, FALSE)</f>
        <v>Blackshear</v>
      </c>
      <c r="C1421" s="22">
        <f>VLOOKUP($A1421,'Medical Examinations'!$A:$D, 2, FALSE)</f>
        <v>18.99</v>
      </c>
      <c r="D1421" s="22">
        <f>VLOOKUP($A1421, 'Medical Examinations'!$A:$D,3, FALSE)</f>
        <v>10.82</v>
      </c>
      <c r="E1421" s="22" t="str">
        <f>VLOOKUP($A1421, 'Medical Examinations'!$A:$D, 4, FALSE)</f>
        <v>Yes</v>
      </c>
      <c r="F1421" s="22" t="str">
        <f>VLOOKUP($A1421, 'Medical Examinations'!$A:$J, 5, FALSE)</f>
        <v>No</v>
      </c>
      <c r="G1421" s="22" t="str">
        <f>VLOOKUP($A1421, 'Medical Examinations'!$A:$I, 6, FALSE)</f>
        <v>No</v>
      </c>
      <c r="H1421" s="22">
        <f>VLOOKUP($A1421,'Medical Examinations'!$A:$L,10, FALSE)</f>
        <v>0</v>
      </c>
      <c r="I1421" s="22" t="str">
        <f>VLOOKUP($A1421, 'Medical Examinations'!$A:$J, 9, FALSE)</f>
        <v>No</v>
      </c>
      <c r="J1421" s="22" t="str">
        <f>VLOOKUP($A1421, 'Medical Examinations'!$A:$P, 11, FALSE)</f>
        <v>NORMAL WEIGHT</v>
      </c>
      <c r="K1421" s="34">
        <v>38276.0</v>
      </c>
      <c r="L1421" s="35">
        <f>VLOOKUP($A1421, 'Hospitalisation Details'!$A:$H, 7, FALSE)</f>
        <v>7463.51</v>
      </c>
      <c r="M1421" s="22" t="str">
        <f>VLOOKUP($A1421, 'Hospitalisation Details'!$A:$L, 12, FALSE)</f>
        <v>tier - 3</v>
      </c>
      <c r="N1421" s="22" t="str">
        <f>VLOOKUP($A1421, 'Hospitalisation Details'!$A:$M, 13, FALSE)</f>
        <v>tier - 3</v>
      </c>
      <c r="O1421" s="22" t="str">
        <f>VLOOKUP($A1421, 'Hospitalisation Details'!$A:$N, 14, FALSE)</f>
        <v>R1013</v>
      </c>
      <c r="P1421" s="36">
        <f>VLOOKUP($A1421, 'Hospitalisation Details'!$A:$O, 15, FALSE)</f>
        <v>55</v>
      </c>
    </row>
    <row r="1422" ht="15.75" customHeight="1">
      <c r="A1422" s="33" t="s">
        <v>2843</v>
      </c>
      <c r="B1422" s="22" t="str">
        <f>VLOOKUP($A1422,'Customer Names'!$A:$D,3, FALSE)</f>
        <v>Nettik</v>
      </c>
      <c r="C1422" s="22">
        <f>VLOOKUP($A1422,'Medical Examinations'!$A:$D, 2, FALSE)</f>
        <v>42.3</v>
      </c>
      <c r="D1422" s="22">
        <f>VLOOKUP($A1422, 'Medical Examinations'!$A:$D,3, FALSE)</f>
        <v>6.06</v>
      </c>
      <c r="E1422" s="22" t="str">
        <f>VLOOKUP($A1422, 'Medical Examinations'!$A:$D, 4, FALSE)</f>
        <v>Yes</v>
      </c>
      <c r="F1422" s="22" t="str">
        <f>VLOOKUP($A1422, 'Medical Examinations'!$A:$J, 5, FALSE)</f>
        <v>No</v>
      </c>
      <c r="G1422" s="22" t="str">
        <f>VLOOKUP($A1422, 'Medical Examinations'!$A:$I, 6, FALSE)</f>
        <v>No</v>
      </c>
      <c r="H1422" s="22">
        <f>VLOOKUP($A1422,'Medical Examinations'!$A:$L,10, FALSE)</f>
        <v>0</v>
      </c>
      <c r="I1422" s="22" t="str">
        <f>VLOOKUP($A1422, 'Medical Examinations'!$A:$J, 9, FALSE)</f>
        <v>No</v>
      </c>
      <c r="J1422" s="22" t="str">
        <f>VLOOKUP($A1422, 'Medical Examinations'!$A:$P, 11, FALSE)</f>
        <v>OBESITY</v>
      </c>
      <c r="K1422" s="34">
        <v>38177.0</v>
      </c>
      <c r="L1422" s="35">
        <f>VLOOKUP($A1422, 'Hospitalisation Details'!$A:$H, 7, FALSE)</f>
        <v>7450.36</v>
      </c>
      <c r="M1422" s="22" t="str">
        <f>VLOOKUP($A1422, 'Hospitalisation Details'!$A:$L, 12, FALSE)</f>
        <v>tier - 2</v>
      </c>
      <c r="N1422" s="22" t="str">
        <f>VLOOKUP($A1422, 'Hospitalisation Details'!$A:$M, 13, FALSE)</f>
        <v>tier - 2</v>
      </c>
      <c r="O1422" s="22" t="str">
        <f>VLOOKUP($A1422, 'Hospitalisation Details'!$A:$N, 14, FALSE)</f>
        <v>R1012</v>
      </c>
      <c r="P1422" s="36">
        <f>VLOOKUP($A1422, 'Hospitalisation Details'!$A:$O, 15, FALSE)</f>
        <v>22</v>
      </c>
    </row>
    <row r="1423" ht="15.75" customHeight="1">
      <c r="A1423" s="33" t="s">
        <v>2845</v>
      </c>
      <c r="B1423" s="22" t="str">
        <f>VLOOKUP($A1423,'Customer Names'!$A:$D,3, FALSE)</f>
        <v>Novales</v>
      </c>
      <c r="C1423" s="22">
        <f>VLOOKUP($A1423,'Medical Examinations'!$A:$D, 2, FALSE)</f>
        <v>39.805</v>
      </c>
      <c r="D1423" s="22">
        <f>VLOOKUP($A1423, 'Medical Examinations'!$A:$D,3, FALSE)</f>
        <v>5.91</v>
      </c>
      <c r="E1423" s="22" t="str">
        <f>VLOOKUP($A1423, 'Medical Examinations'!$A:$D, 4, FALSE)</f>
        <v>No</v>
      </c>
      <c r="F1423" s="22" t="str">
        <f>VLOOKUP($A1423, 'Medical Examinations'!$A:$J, 5, FALSE)</f>
        <v>No</v>
      </c>
      <c r="G1423" s="22" t="str">
        <f>VLOOKUP($A1423, 'Medical Examinations'!$A:$I, 6, FALSE)</f>
        <v>No</v>
      </c>
      <c r="H1423" s="22">
        <f>VLOOKUP($A1423,'Medical Examinations'!$A:$L,10, FALSE)</f>
        <v>0</v>
      </c>
      <c r="I1423" s="22" t="str">
        <f>VLOOKUP($A1423, 'Medical Examinations'!$A:$J, 9, FALSE)</f>
        <v>No</v>
      </c>
      <c r="J1423" s="22" t="str">
        <f>VLOOKUP($A1423, 'Medical Examinations'!$A:$P, 11, FALSE)</f>
        <v>OBESITY</v>
      </c>
      <c r="K1423" s="34">
        <v>35373.0</v>
      </c>
      <c r="L1423" s="35">
        <f>VLOOKUP($A1423, 'Hospitalisation Details'!$A:$H, 7, FALSE)</f>
        <v>7448.4</v>
      </c>
      <c r="M1423" s="22" t="str">
        <f>VLOOKUP($A1423, 'Hospitalisation Details'!$A:$L, 12, FALSE)</f>
        <v>tier - 3</v>
      </c>
      <c r="N1423" s="22" t="str">
        <f>VLOOKUP($A1423, 'Hospitalisation Details'!$A:$M, 13, FALSE)</f>
        <v>tier - 3</v>
      </c>
      <c r="O1423" s="22" t="str">
        <f>VLOOKUP($A1423, 'Hospitalisation Details'!$A:$N, 14, FALSE)</f>
        <v>R1017</v>
      </c>
      <c r="P1423" s="36">
        <f>VLOOKUP($A1423, 'Hospitalisation Details'!$A:$O, 15, FALSE)</f>
        <v>45</v>
      </c>
    </row>
    <row r="1424" ht="15.75" customHeight="1">
      <c r="A1424" s="33" t="s">
        <v>2847</v>
      </c>
      <c r="B1424" s="22" t="str">
        <f>VLOOKUP($A1424,'Customer Names'!$A:$D,3, FALSE)</f>
        <v>Rosauer</v>
      </c>
      <c r="C1424" s="22">
        <f>VLOOKUP($A1424,'Medical Examinations'!$A:$D, 2, FALSE)</f>
        <v>33.7</v>
      </c>
      <c r="D1424" s="22">
        <f>VLOOKUP($A1424, 'Medical Examinations'!$A:$D,3, FALSE)</f>
        <v>5.87</v>
      </c>
      <c r="E1424" s="22" t="str">
        <f>VLOOKUP($A1424, 'Medical Examinations'!$A:$D, 4, FALSE)</f>
        <v>No</v>
      </c>
      <c r="F1424" s="22" t="str">
        <f>VLOOKUP($A1424, 'Medical Examinations'!$A:$J, 5, FALSE)</f>
        <v>No</v>
      </c>
      <c r="G1424" s="22" t="str">
        <f>VLOOKUP($A1424, 'Medical Examinations'!$A:$I, 6, FALSE)</f>
        <v>No</v>
      </c>
      <c r="H1424" s="22">
        <f>VLOOKUP($A1424,'Medical Examinations'!$A:$L,10, FALSE)</f>
        <v>0</v>
      </c>
      <c r="I1424" s="22" t="str">
        <f>VLOOKUP($A1424, 'Medical Examinations'!$A:$J, 9, FALSE)</f>
        <v>No</v>
      </c>
      <c r="J1424" s="22" t="str">
        <f>VLOOKUP($A1424, 'Medical Examinations'!$A:$P, 11, FALSE)</f>
        <v>OBESITY</v>
      </c>
      <c r="K1424" s="34">
        <v>38140.0</v>
      </c>
      <c r="L1424" s="35">
        <f>VLOOKUP($A1424, 'Hospitalisation Details'!$A:$H, 7, FALSE)</f>
        <v>7445.92</v>
      </c>
      <c r="M1424" s="22" t="str">
        <f>VLOOKUP($A1424, 'Hospitalisation Details'!$A:$L, 12, FALSE)</f>
        <v>tier - 3</v>
      </c>
      <c r="N1424" s="22" t="str">
        <f>VLOOKUP($A1424, 'Hospitalisation Details'!$A:$M, 13, FALSE)</f>
        <v>tier - 1</v>
      </c>
      <c r="O1424" s="22" t="str">
        <f>VLOOKUP($A1424, 'Hospitalisation Details'!$A:$N, 14, FALSE)</f>
        <v>R1011</v>
      </c>
      <c r="P1424" s="36">
        <f>VLOOKUP($A1424, 'Hospitalisation Details'!$A:$O, 15, FALSE)</f>
        <v>45</v>
      </c>
    </row>
    <row r="1425" ht="15.75" customHeight="1">
      <c r="A1425" s="33" t="s">
        <v>2849</v>
      </c>
      <c r="B1425" s="22" t="str">
        <f>VLOOKUP($A1425,'Customer Names'!$A:$D,3, FALSE)</f>
        <v>Ryder</v>
      </c>
      <c r="C1425" s="22">
        <f>VLOOKUP($A1425,'Medical Examinations'!$A:$D, 2, FALSE)</f>
        <v>36.195</v>
      </c>
      <c r="D1425" s="22">
        <f>VLOOKUP($A1425, 'Medical Examinations'!$A:$D,3, FALSE)</f>
        <v>6.22</v>
      </c>
      <c r="E1425" s="22" t="str">
        <f>VLOOKUP($A1425, 'Medical Examinations'!$A:$D, 4, FALSE)</f>
        <v>No</v>
      </c>
      <c r="F1425" s="22" t="str">
        <f>VLOOKUP($A1425, 'Medical Examinations'!$A:$J, 5, FALSE)</f>
        <v>No</v>
      </c>
      <c r="G1425" s="22" t="str">
        <f>VLOOKUP($A1425, 'Medical Examinations'!$A:$I, 6, FALSE)</f>
        <v>No</v>
      </c>
      <c r="H1425" s="22">
        <f>VLOOKUP($A1425,'Medical Examinations'!$A:$L,10, FALSE)</f>
        <v>0</v>
      </c>
      <c r="I1425" s="22" t="str">
        <f>VLOOKUP($A1425, 'Medical Examinations'!$A:$J, 9, FALSE)</f>
        <v>No</v>
      </c>
      <c r="J1425" s="22" t="str">
        <f>VLOOKUP($A1425, 'Medical Examinations'!$A:$P, 11, FALSE)</f>
        <v>OBESITY</v>
      </c>
      <c r="K1425" s="34">
        <v>33883.0</v>
      </c>
      <c r="L1425" s="35">
        <f>VLOOKUP($A1425, 'Hospitalisation Details'!$A:$H, 7, FALSE)</f>
        <v>7443.64</v>
      </c>
      <c r="M1425" s="22" t="str">
        <f>VLOOKUP($A1425, 'Hospitalisation Details'!$A:$L, 12, FALSE)</f>
        <v>tier - 2</v>
      </c>
      <c r="N1425" s="22" t="str">
        <f>VLOOKUP($A1425, 'Hospitalisation Details'!$A:$M, 13, FALSE)</f>
        <v>tier - 3</v>
      </c>
      <c r="O1425" s="22" t="str">
        <f>VLOOKUP($A1425, 'Hospitalisation Details'!$A:$N, 14, FALSE)</f>
        <v>R1012</v>
      </c>
      <c r="P1425" s="36">
        <f>VLOOKUP($A1425, 'Hospitalisation Details'!$A:$O, 15, FALSE)</f>
        <v>42</v>
      </c>
    </row>
    <row r="1426" ht="15.75" customHeight="1">
      <c r="A1426" s="33" t="s">
        <v>2851</v>
      </c>
      <c r="B1426" s="22" t="str">
        <f>VLOOKUP($A1426,'Customer Names'!$A:$D,3, FALSE)</f>
        <v>Larsen</v>
      </c>
      <c r="C1426" s="22">
        <f>VLOOKUP($A1426,'Medical Examinations'!$A:$D, 2, FALSE)</f>
        <v>32.6</v>
      </c>
      <c r="D1426" s="22">
        <f>VLOOKUP($A1426, 'Medical Examinations'!$A:$D,3, FALSE)</f>
        <v>5.73</v>
      </c>
      <c r="E1426" s="22" t="str">
        <f>VLOOKUP($A1426, 'Medical Examinations'!$A:$D, 4, FALSE)</f>
        <v>No</v>
      </c>
      <c r="F1426" s="22" t="str">
        <f>VLOOKUP($A1426, 'Medical Examinations'!$A:$J, 5, FALSE)</f>
        <v>No</v>
      </c>
      <c r="G1426" s="22" t="str">
        <f>VLOOKUP($A1426, 'Medical Examinations'!$A:$I, 6, FALSE)</f>
        <v>Yes</v>
      </c>
      <c r="H1426" s="22">
        <f>VLOOKUP($A1426,'Medical Examinations'!$A:$L,10, FALSE)</f>
        <v>1</v>
      </c>
      <c r="I1426" s="22" t="str">
        <f>VLOOKUP($A1426, 'Medical Examinations'!$A:$J, 9, FALSE)</f>
        <v>No</v>
      </c>
      <c r="J1426" s="22" t="str">
        <f>VLOOKUP($A1426, 'Medical Examinations'!$A:$P, 11, FALSE)</f>
        <v>OBESITY</v>
      </c>
      <c r="K1426" s="34">
        <v>36339.0</v>
      </c>
      <c r="L1426" s="35">
        <f>VLOOKUP($A1426, 'Hospitalisation Details'!$A:$H, 7, FALSE)</f>
        <v>7441.5</v>
      </c>
      <c r="M1426" s="22" t="str">
        <f>VLOOKUP($A1426, 'Hospitalisation Details'!$A:$L, 12, FALSE)</f>
        <v>tier - 3</v>
      </c>
      <c r="N1426" s="22" t="str">
        <f>VLOOKUP($A1426, 'Hospitalisation Details'!$A:$M, 13, FALSE)</f>
        <v>tier - 2</v>
      </c>
      <c r="O1426" s="22" t="str">
        <f>VLOOKUP($A1426, 'Hospitalisation Details'!$A:$N, 14, FALSE)</f>
        <v>R1011</v>
      </c>
      <c r="P1426" s="36">
        <f>VLOOKUP($A1426, 'Hospitalisation Details'!$A:$O, 15, FALSE)</f>
        <v>43</v>
      </c>
    </row>
    <row r="1427" ht="15.75" customHeight="1">
      <c r="A1427" s="33" t="s">
        <v>2853</v>
      </c>
      <c r="B1427" s="22" t="str">
        <f>VLOOKUP($A1427,'Customer Names'!$A:$D,3, FALSE)</f>
        <v>Keate</v>
      </c>
      <c r="C1427" s="22">
        <f>VLOOKUP($A1427,'Medical Examinations'!$A:$D, 2, FALSE)</f>
        <v>30.2</v>
      </c>
      <c r="D1427" s="22">
        <f>VLOOKUP($A1427, 'Medical Examinations'!$A:$D,3, FALSE)</f>
        <v>5.7</v>
      </c>
      <c r="E1427" s="22" t="str">
        <f>VLOOKUP($A1427, 'Medical Examinations'!$A:$D, 4, FALSE)</f>
        <v>No</v>
      </c>
      <c r="F1427" s="22" t="str">
        <f>VLOOKUP($A1427, 'Medical Examinations'!$A:$J, 5, FALSE)</f>
        <v>No</v>
      </c>
      <c r="G1427" s="22" t="str">
        <f>VLOOKUP($A1427, 'Medical Examinations'!$A:$I, 6, FALSE)</f>
        <v>No</v>
      </c>
      <c r="H1427" s="22">
        <f>VLOOKUP($A1427,'Medical Examinations'!$A:$L,10, FALSE)</f>
        <v>0</v>
      </c>
      <c r="I1427" s="22" t="str">
        <f>VLOOKUP($A1427, 'Medical Examinations'!$A:$J, 9, FALSE)</f>
        <v>No</v>
      </c>
      <c r="J1427" s="22" t="str">
        <f>VLOOKUP($A1427, 'Medical Examinations'!$A:$P, 11, FALSE)</f>
        <v>OBESITY</v>
      </c>
      <c r="K1427" s="34">
        <v>37494.0</v>
      </c>
      <c r="L1427" s="35">
        <f>VLOOKUP($A1427, 'Hospitalisation Details'!$A:$H, 7, FALSE)</f>
        <v>7441.05</v>
      </c>
      <c r="M1427" s="22" t="str">
        <f>VLOOKUP($A1427, 'Hospitalisation Details'!$A:$L, 12, FALSE)</f>
        <v>tier - 3</v>
      </c>
      <c r="N1427" s="22" t="str">
        <f>VLOOKUP($A1427, 'Hospitalisation Details'!$A:$M, 13, FALSE)</f>
        <v>tier - 2</v>
      </c>
      <c r="O1427" s="22" t="str">
        <f>VLOOKUP($A1427, 'Hospitalisation Details'!$A:$N, 14, FALSE)</f>
        <v>R1011</v>
      </c>
      <c r="P1427" s="36">
        <f>VLOOKUP($A1427, 'Hospitalisation Details'!$A:$O, 15, FALSE)</f>
        <v>45</v>
      </c>
    </row>
    <row r="1428" ht="15.75" customHeight="1">
      <c r="A1428" s="33" t="s">
        <v>2855</v>
      </c>
      <c r="B1428" s="22" t="str">
        <f>VLOOKUP($A1428,'Customer Names'!$A:$D,3, FALSE)</f>
        <v>Williams</v>
      </c>
      <c r="C1428" s="22">
        <f>VLOOKUP($A1428,'Medical Examinations'!$A:$D, 2, FALSE)</f>
        <v>27.645</v>
      </c>
      <c r="D1428" s="22">
        <f>VLOOKUP($A1428, 'Medical Examinations'!$A:$D,3, FALSE)</f>
        <v>9.91</v>
      </c>
      <c r="E1428" s="22" t="str">
        <f>VLOOKUP($A1428, 'Medical Examinations'!$A:$D, 4, FALSE)</f>
        <v>No</v>
      </c>
      <c r="F1428" s="22" t="str">
        <f>VLOOKUP($A1428, 'Medical Examinations'!$A:$J, 5, FALSE)</f>
        <v>No</v>
      </c>
      <c r="G1428" s="22" t="str">
        <f>VLOOKUP($A1428, 'Medical Examinations'!$A:$I, 6, FALSE)</f>
        <v>No</v>
      </c>
      <c r="H1428" s="22">
        <f>VLOOKUP($A1428,'Medical Examinations'!$A:$L,10, FALSE)</f>
        <v>0</v>
      </c>
      <c r="I1428" s="22" t="str">
        <f>VLOOKUP($A1428, 'Medical Examinations'!$A:$J, 9, FALSE)</f>
        <v>No</v>
      </c>
      <c r="J1428" s="22" t="str">
        <f>VLOOKUP($A1428, 'Medical Examinations'!$A:$P, 11, FALSE)</f>
        <v>OVERWEIGHT</v>
      </c>
      <c r="K1428" s="34">
        <v>35609.0</v>
      </c>
      <c r="L1428" s="35">
        <f>VLOOKUP($A1428, 'Hospitalisation Details'!$A:$H, 7, FALSE)</f>
        <v>7421.19</v>
      </c>
      <c r="M1428" s="22" t="str">
        <f>VLOOKUP($A1428, 'Hospitalisation Details'!$A:$L, 12, FALSE)</f>
        <v>tier - 2</v>
      </c>
      <c r="N1428" s="22" t="str">
        <f>VLOOKUP($A1428, 'Hospitalisation Details'!$A:$M, 13, FALSE)</f>
        <v>tier - 3</v>
      </c>
      <c r="O1428" s="22" t="str">
        <f>VLOOKUP($A1428, 'Hospitalisation Details'!$A:$N, 14, FALSE)</f>
        <v>R1012</v>
      </c>
      <c r="P1428" s="36">
        <f>VLOOKUP($A1428, 'Hospitalisation Details'!$A:$O, 15, FALSE)</f>
        <v>44</v>
      </c>
    </row>
    <row r="1429" ht="15.75" customHeight="1">
      <c r="A1429" s="33" t="s">
        <v>2857</v>
      </c>
      <c r="B1429" s="22" t="str">
        <f>VLOOKUP($A1429,'Customer Names'!$A:$D,3, FALSE)</f>
        <v>Starosciak</v>
      </c>
      <c r="C1429" s="22">
        <f>VLOOKUP($A1429,'Medical Examinations'!$A:$D, 2, FALSE)</f>
        <v>26.41</v>
      </c>
      <c r="D1429" s="22">
        <f>VLOOKUP($A1429, 'Medical Examinations'!$A:$D,3, FALSE)</f>
        <v>11.4</v>
      </c>
      <c r="E1429" s="22" t="str">
        <f>VLOOKUP($A1429, 'Medical Examinations'!$A:$D, 4, FALSE)</f>
        <v>No</v>
      </c>
      <c r="F1429" s="22" t="str">
        <f>VLOOKUP($A1429, 'Medical Examinations'!$A:$J, 5, FALSE)</f>
        <v>No</v>
      </c>
      <c r="G1429" s="22" t="str">
        <f>VLOOKUP($A1429, 'Medical Examinations'!$A:$I, 6, FALSE)</f>
        <v>No</v>
      </c>
      <c r="H1429" s="22">
        <f>VLOOKUP($A1429,'Medical Examinations'!$A:$L,10, FALSE)</f>
        <v>0</v>
      </c>
      <c r="I1429" s="22" t="str">
        <f>VLOOKUP($A1429, 'Medical Examinations'!$A:$J, 9, FALSE)</f>
        <v>No</v>
      </c>
      <c r="J1429" s="22" t="str">
        <f>VLOOKUP($A1429, 'Medical Examinations'!$A:$P, 11, FALSE)</f>
        <v>OVERWEIGHT</v>
      </c>
      <c r="K1429" s="34">
        <v>35288.0</v>
      </c>
      <c r="L1429" s="35">
        <f>VLOOKUP($A1429, 'Hospitalisation Details'!$A:$H, 7, FALSE)</f>
        <v>7419.48</v>
      </c>
      <c r="M1429" s="22" t="str">
        <f>VLOOKUP($A1429, 'Hospitalisation Details'!$A:$L, 12, FALSE)</f>
        <v>tier - 2</v>
      </c>
      <c r="N1429" s="22" t="str">
        <f>VLOOKUP($A1429, 'Hospitalisation Details'!$A:$M, 13, FALSE)</f>
        <v>tier - 2</v>
      </c>
      <c r="O1429" s="22" t="str">
        <f>VLOOKUP($A1429, 'Hospitalisation Details'!$A:$N, 14, FALSE)</f>
        <v>R1012</v>
      </c>
      <c r="P1429" s="36">
        <f>VLOOKUP($A1429, 'Hospitalisation Details'!$A:$O, 15, FALSE)</f>
        <v>44</v>
      </c>
    </row>
    <row r="1430" ht="15.75" customHeight="1">
      <c r="A1430" s="33" t="s">
        <v>2859</v>
      </c>
      <c r="B1430" s="22" t="str">
        <f>VLOOKUP($A1430,'Customer Names'!$A:$D,3, FALSE)</f>
        <v>Smith</v>
      </c>
      <c r="C1430" s="22">
        <f>VLOOKUP($A1430,'Medical Examinations'!$A:$D, 2, FALSE)</f>
        <v>34.1</v>
      </c>
      <c r="D1430" s="22">
        <f>VLOOKUP($A1430, 'Medical Examinations'!$A:$D,3, FALSE)</f>
        <v>6.29</v>
      </c>
      <c r="E1430" s="22" t="str">
        <f>VLOOKUP($A1430, 'Medical Examinations'!$A:$D, 4, FALSE)</f>
        <v>Yes</v>
      </c>
      <c r="F1430" s="22" t="str">
        <f>VLOOKUP($A1430, 'Medical Examinations'!$A:$J, 5, FALSE)</f>
        <v>No</v>
      </c>
      <c r="G1430" s="22" t="str">
        <f>VLOOKUP($A1430, 'Medical Examinations'!$A:$I, 6, FALSE)</f>
        <v>Yes</v>
      </c>
      <c r="H1430" s="22">
        <f>VLOOKUP($A1430,'Medical Examinations'!$A:$L,10, FALSE)</f>
        <v>1</v>
      </c>
      <c r="I1430" s="22" t="str">
        <f>VLOOKUP($A1430, 'Medical Examinations'!$A:$J, 9, FALSE)</f>
        <v>No</v>
      </c>
      <c r="J1430" s="22" t="str">
        <f>VLOOKUP($A1430, 'Medical Examinations'!$A:$P, 11, FALSE)</f>
        <v>OBESITY</v>
      </c>
      <c r="K1430" s="34">
        <v>37207.0</v>
      </c>
      <c r="L1430" s="35">
        <f>VLOOKUP($A1430, 'Hospitalisation Details'!$A:$H, 7, FALSE)</f>
        <v>7418.52</v>
      </c>
      <c r="M1430" s="22" t="str">
        <f>VLOOKUP($A1430, 'Hospitalisation Details'!$A:$L, 12, FALSE)</f>
        <v>tier - 2</v>
      </c>
      <c r="N1430" s="22" t="str">
        <f>VLOOKUP($A1430, 'Hospitalisation Details'!$A:$M, 13, FALSE)</f>
        <v>tier - 2</v>
      </c>
      <c r="O1430" s="22" t="str">
        <f>VLOOKUP($A1430, 'Hospitalisation Details'!$A:$N, 14, FALSE)</f>
        <v>R1011</v>
      </c>
      <c r="P1430" s="36">
        <f>VLOOKUP($A1430, 'Hospitalisation Details'!$A:$O, 15, FALSE)</f>
        <v>39</v>
      </c>
    </row>
    <row r="1431" ht="15.75" customHeight="1">
      <c r="A1431" s="33" t="s">
        <v>2861</v>
      </c>
      <c r="B1431" s="22" t="str">
        <f>VLOOKUP($A1431,'Customer Names'!$A:$D,3, FALSE)</f>
        <v>Henderson</v>
      </c>
      <c r="C1431" s="22">
        <f>VLOOKUP($A1431,'Medical Examinations'!$A:$D, 2, FALSE)</f>
        <v>17.3</v>
      </c>
      <c r="D1431" s="22">
        <f>VLOOKUP($A1431, 'Medical Examinations'!$A:$D,3, FALSE)</f>
        <v>9.28</v>
      </c>
      <c r="E1431" s="22" t="str">
        <f>VLOOKUP($A1431, 'Medical Examinations'!$A:$D, 4, FALSE)</f>
        <v>No</v>
      </c>
      <c r="F1431" s="22" t="str">
        <f>VLOOKUP($A1431, 'Medical Examinations'!$A:$J, 5, FALSE)</f>
        <v>No</v>
      </c>
      <c r="G1431" s="22" t="str">
        <f>VLOOKUP($A1431, 'Medical Examinations'!$A:$I, 6, FALSE)</f>
        <v>No</v>
      </c>
      <c r="H1431" s="22">
        <f>VLOOKUP($A1431,'Medical Examinations'!$A:$L,10, FALSE)</f>
        <v>0</v>
      </c>
      <c r="I1431" s="22" t="str">
        <f>VLOOKUP($A1431, 'Medical Examinations'!$A:$J, 9, FALSE)</f>
        <v>No</v>
      </c>
      <c r="J1431" s="22" t="str">
        <f>VLOOKUP($A1431, 'Medical Examinations'!$A:$P, 11, FALSE)</f>
        <v>UNDERWEIGHT</v>
      </c>
      <c r="K1431" s="34">
        <v>24752.0</v>
      </c>
      <c r="L1431" s="35">
        <f>VLOOKUP($A1431, 'Hospitalisation Details'!$A:$H, 7, FALSE)</f>
        <v>7403.98</v>
      </c>
      <c r="M1431" s="22" t="str">
        <f>VLOOKUP($A1431, 'Hospitalisation Details'!$A:$L, 12, FALSE)</f>
        <v>tier - 3</v>
      </c>
      <c r="N1431" s="22" t="str">
        <f>VLOOKUP($A1431, 'Hospitalisation Details'!$A:$M, 13, FALSE)</f>
        <v>tier - 2</v>
      </c>
      <c r="O1431" s="22" t="str">
        <f>VLOOKUP($A1431, 'Hospitalisation Details'!$A:$N, 14, FALSE)</f>
        <v>R1013</v>
      </c>
      <c r="P1431" s="36">
        <f>VLOOKUP($A1431, 'Hospitalisation Details'!$A:$O, 15, FALSE)</f>
        <v>57</v>
      </c>
    </row>
    <row r="1432" ht="15.75" customHeight="1">
      <c r="A1432" s="33" t="s">
        <v>2863</v>
      </c>
      <c r="B1432" s="22" t="str">
        <f>VLOOKUP($A1432,'Customer Names'!$A:$D,3, FALSE)</f>
        <v>Winkelman</v>
      </c>
      <c r="C1432" s="22">
        <f>VLOOKUP($A1432,'Medical Examinations'!$A:$D, 2, FALSE)</f>
        <v>35.02</v>
      </c>
      <c r="D1432" s="22">
        <f>VLOOKUP($A1432, 'Medical Examinations'!$A:$D,3, FALSE)</f>
        <v>4.78</v>
      </c>
      <c r="E1432" s="22" t="str">
        <f>VLOOKUP($A1432, 'Medical Examinations'!$A:$D, 4, FALSE)</f>
        <v>No</v>
      </c>
      <c r="F1432" s="22" t="str">
        <f>VLOOKUP($A1432, 'Medical Examinations'!$A:$J, 5, FALSE)</f>
        <v>No</v>
      </c>
      <c r="G1432" s="22" t="str">
        <f>VLOOKUP($A1432, 'Medical Examinations'!$A:$I, 6, FALSE)</f>
        <v>Yes</v>
      </c>
      <c r="H1432" s="22">
        <f>VLOOKUP($A1432,'Medical Examinations'!$A:$L,10, FALSE)</f>
        <v>1</v>
      </c>
      <c r="I1432" s="22" t="str">
        <f>VLOOKUP($A1432, 'Medical Examinations'!$A:$J, 9, FALSE)</f>
        <v>No</v>
      </c>
      <c r="J1432" s="22" t="str">
        <f>VLOOKUP($A1432, 'Medical Examinations'!$A:$P, 11, FALSE)</f>
        <v>OBESITY</v>
      </c>
      <c r="K1432" s="34">
        <v>37418.0</v>
      </c>
      <c r="L1432" s="35">
        <f>VLOOKUP($A1432, 'Hospitalisation Details'!$A:$H, 7, FALSE)</f>
        <v>7388.85</v>
      </c>
      <c r="M1432" s="22" t="str">
        <f>VLOOKUP($A1432, 'Hospitalisation Details'!$A:$L, 12, FALSE)</f>
        <v>tier - 2</v>
      </c>
      <c r="N1432" s="22" t="str">
        <f>VLOOKUP($A1432, 'Hospitalisation Details'!$A:$M, 13, FALSE)</f>
        <v>tier - 2</v>
      </c>
      <c r="O1432" s="22" t="str">
        <f>VLOOKUP($A1432, 'Hospitalisation Details'!$A:$N, 14, FALSE)</f>
        <v>R1026</v>
      </c>
      <c r="P1432" s="36">
        <f>VLOOKUP($A1432, 'Hospitalisation Details'!$A:$O, 15, FALSE)</f>
        <v>29</v>
      </c>
    </row>
    <row r="1433" ht="15.75" customHeight="1">
      <c r="A1433" s="33" t="s">
        <v>2865</v>
      </c>
      <c r="B1433" s="22" t="str">
        <f>VLOOKUP($A1433,'Customer Names'!$A:$D,3, FALSE)</f>
        <v>Monette</v>
      </c>
      <c r="C1433" s="22">
        <f>VLOOKUP($A1433,'Medical Examinations'!$A:$D, 2, FALSE)</f>
        <v>37.1</v>
      </c>
      <c r="D1433" s="22">
        <f>VLOOKUP($A1433, 'Medical Examinations'!$A:$D,3, FALSE)</f>
        <v>8.87</v>
      </c>
      <c r="E1433" s="22" t="str">
        <f>VLOOKUP($A1433, 'Medical Examinations'!$A:$D, 4, FALSE)</f>
        <v>Yes</v>
      </c>
      <c r="F1433" s="22" t="str">
        <f>VLOOKUP($A1433, 'Medical Examinations'!$A:$J, 5, FALSE)</f>
        <v>No</v>
      </c>
      <c r="G1433" s="22" t="str">
        <f>VLOOKUP($A1433, 'Medical Examinations'!$A:$I, 6, FALSE)</f>
        <v>No</v>
      </c>
      <c r="H1433" s="22">
        <f>VLOOKUP($A1433,'Medical Examinations'!$A:$L,10, FALSE)</f>
        <v>0</v>
      </c>
      <c r="I1433" s="22" t="str">
        <f>VLOOKUP($A1433, 'Medical Examinations'!$A:$J, 9, FALSE)</f>
        <v>No</v>
      </c>
      <c r="J1433" s="22" t="str">
        <f>VLOOKUP($A1433, 'Medical Examinations'!$A:$P, 11, FALSE)</f>
        <v>OBESITY</v>
      </c>
      <c r="K1433" s="34">
        <v>38302.0</v>
      </c>
      <c r="L1433" s="35">
        <f>VLOOKUP($A1433, 'Hospitalisation Details'!$A:$H, 7, FALSE)</f>
        <v>7371.77</v>
      </c>
      <c r="M1433" s="22" t="str">
        <f>VLOOKUP($A1433, 'Hospitalisation Details'!$A:$L, 12, FALSE)</f>
        <v>tier - 2</v>
      </c>
      <c r="N1433" s="22" t="str">
        <f>VLOOKUP($A1433, 'Hospitalisation Details'!$A:$M, 13, FALSE)</f>
        <v>tier - 1</v>
      </c>
      <c r="O1433" s="22" t="str">
        <f>VLOOKUP($A1433, 'Hospitalisation Details'!$A:$N, 14, FALSE)</f>
        <v>R1011</v>
      </c>
      <c r="P1433" s="36">
        <f>VLOOKUP($A1433, 'Hospitalisation Details'!$A:$O, 15, FALSE)</f>
        <v>41</v>
      </c>
    </row>
    <row r="1434" ht="15.75" customHeight="1">
      <c r="A1434" s="33" t="s">
        <v>2867</v>
      </c>
      <c r="B1434" s="22" t="str">
        <f>VLOOKUP($A1434,'Customer Names'!$A:$D,3, FALSE)</f>
        <v>Kramer</v>
      </c>
      <c r="C1434" s="22">
        <f>VLOOKUP($A1434,'Medical Examinations'!$A:$D, 2, FALSE)</f>
        <v>16.79</v>
      </c>
      <c r="D1434" s="22">
        <f>VLOOKUP($A1434, 'Medical Examinations'!$A:$D,3, FALSE)</f>
        <v>11.4</v>
      </c>
      <c r="E1434" s="22" t="str">
        <f>VLOOKUP($A1434, 'Medical Examinations'!$A:$D, 4, FALSE)</f>
        <v>No</v>
      </c>
      <c r="F1434" s="22" t="str">
        <f>VLOOKUP($A1434, 'Medical Examinations'!$A:$J, 5, FALSE)</f>
        <v>No</v>
      </c>
      <c r="G1434" s="22" t="str">
        <f>VLOOKUP($A1434, 'Medical Examinations'!$A:$I, 6, FALSE)</f>
        <v>No</v>
      </c>
      <c r="H1434" s="22">
        <f>VLOOKUP($A1434,'Medical Examinations'!$A:$L,10, FALSE)</f>
        <v>0</v>
      </c>
      <c r="I1434" s="22" t="str">
        <f>VLOOKUP($A1434, 'Medical Examinations'!$A:$J, 9, FALSE)</f>
        <v>No</v>
      </c>
      <c r="J1434" s="22" t="str">
        <f>VLOOKUP($A1434, 'Medical Examinations'!$A:$P, 11, FALSE)</f>
        <v>UNDERWEIGHT</v>
      </c>
      <c r="K1434" s="34">
        <v>34541.0</v>
      </c>
      <c r="L1434" s="35">
        <f>VLOOKUP($A1434, 'Hospitalisation Details'!$A:$H, 7, FALSE)</f>
        <v>7362.31</v>
      </c>
      <c r="M1434" s="22" t="str">
        <f>VLOOKUP($A1434, 'Hospitalisation Details'!$A:$L, 12, FALSE)</f>
        <v>tier - 3</v>
      </c>
      <c r="N1434" s="22" t="str">
        <f>VLOOKUP($A1434, 'Hospitalisation Details'!$A:$M, 13, FALSE)</f>
        <v>tier - 3</v>
      </c>
      <c r="O1434" s="22" t="str">
        <f>VLOOKUP($A1434, 'Hospitalisation Details'!$A:$N, 14, FALSE)</f>
        <v>R1013</v>
      </c>
      <c r="P1434" s="36">
        <f>VLOOKUP($A1434, 'Hospitalisation Details'!$A:$O, 15, FALSE)</f>
        <v>57</v>
      </c>
    </row>
    <row r="1435" ht="15.75" customHeight="1">
      <c r="A1435" s="33" t="s">
        <v>2869</v>
      </c>
      <c r="B1435" s="22" t="str">
        <f>VLOOKUP($A1435,'Customer Names'!$A:$D,3, FALSE)</f>
        <v>Goldstein</v>
      </c>
      <c r="C1435" s="22">
        <f>VLOOKUP($A1435,'Medical Examinations'!$A:$D, 2, FALSE)</f>
        <v>31.635</v>
      </c>
      <c r="D1435" s="22">
        <f>VLOOKUP($A1435, 'Medical Examinations'!$A:$D,3, FALSE)</f>
        <v>9.13</v>
      </c>
      <c r="E1435" s="22" t="str">
        <f>VLOOKUP($A1435, 'Medical Examinations'!$A:$D, 4, FALSE)</f>
        <v>Yes</v>
      </c>
      <c r="F1435" s="22" t="str">
        <f>VLOOKUP($A1435, 'Medical Examinations'!$A:$J, 5, FALSE)</f>
        <v>No</v>
      </c>
      <c r="G1435" s="22" t="str">
        <f>VLOOKUP($A1435, 'Medical Examinations'!$A:$I, 6, FALSE)</f>
        <v>No</v>
      </c>
      <c r="H1435" s="22">
        <f>VLOOKUP($A1435,'Medical Examinations'!$A:$L,10, FALSE)</f>
        <v>0</v>
      </c>
      <c r="I1435" s="22" t="str">
        <f>VLOOKUP($A1435, 'Medical Examinations'!$A:$J, 9, FALSE)</f>
        <v>No</v>
      </c>
      <c r="J1435" s="22" t="str">
        <f>VLOOKUP($A1435, 'Medical Examinations'!$A:$P, 11, FALSE)</f>
        <v>OBESITY</v>
      </c>
      <c r="K1435" s="34">
        <v>38186.0</v>
      </c>
      <c r="L1435" s="35">
        <f>VLOOKUP($A1435, 'Hospitalisation Details'!$A:$H, 7, FALSE)</f>
        <v>7358.18</v>
      </c>
      <c r="M1435" s="22" t="str">
        <f>VLOOKUP($A1435, 'Hospitalisation Details'!$A:$L, 12, FALSE)</f>
        <v>tier - 2</v>
      </c>
      <c r="N1435" s="22" t="str">
        <f>VLOOKUP($A1435, 'Hospitalisation Details'!$A:$M, 13, FALSE)</f>
        <v>tier - 3</v>
      </c>
      <c r="O1435" s="22" t="str">
        <f>VLOOKUP($A1435, 'Hospitalisation Details'!$A:$N, 14, FALSE)</f>
        <v>R1024</v>
      </c>
      <c r="P1435" s="36">
        <f>VLOOKUP($A1435, 'Hospitalisation Details'!$A:$O, 15, FALSE)</f>
        <v>41</v>
      </c>
    </row>
    <row r="1436" ht="15.75" customHeight="1">
      <c r="A1436" s="33" t="s">
        <v>2871</v>
      </c>
      <c r="B1436" s="22" t="str">
        <f>VLOOKUP($A1436,'Customer Names'!$A:$D,3, FALSE)</f>
        <v>Gonzalez</v>
      </c>
      <c r="C1436" s="22">
        <f>VLOOKUP($A1436,'Medical Examinations'!$A:$D, 2, FALSE)</f>
        <v>24.19</v>
      </c>
      <c r="D1436" s="22">
        <f>VLOOKUP($A1436, 'Medical Examinations'!$A:$D,3, FALSE)</f>
        <v>6.22</v>
      </c>
      <c r="E1436" s="22" t="str">
        <f>VLOOKUP($A1436, 'Medical Examinations'!$A:$D, 4, FALSE)</f>
        <v>Yes</v>
      </c>
      <c r="F1436" s="22" t="str">
        <f>VLOOKUP($A1436, 'Medical Examinations'!$A:$J, 5, FALSE)</f>
        <v>No</v>
      </c>
      <c r="G1436" s="22" t="str">
        <f>VLOOKUP($A1436, 'Medical Examinations'!$A:$I, 6, FALSE)</f>
        <v>Yes</v>
      </c>
      <c r="H1436" s="22">
        <f>VLOOKUP($A1436,'Medical Examinations'!$A:$L,10, FALSE)</f>
        <v>1</v>
      </c>
      <c r="I1436" s="22" t="str">
        <f>VLOOKUP($A1436, 'Medical Examinations'!$A:$J, 9, FALSE)</f>
        <v>No</v>
      </c>
      <c r="J1436" s="22" t="str">
        <f>VLOOKUP($A1436, 'Medical Examinations'!$A:$P, 11, FALSE)</f>
        <v>NORMAL WEIGHT</v>
      </c>
      <c r="K1436" s="34">
        <v>37784.0</v>
      </c>
      <c r="L1436" s="35">
        <f>VLOOKUP($A1436, 'Hospitalisation Details'!$A:$H, 7, FALSE)</f>
        <v>7357.49</v>
      </c>
      <c r="M1436" s="22" t="str">
        <f>VLOOKUP($A1436, 'Hospitalisation Details'!$A:$L, 12, FALSE)</f>
        <v>tier - 2</v>
      </c>
      <c r="N1436" s="22" t="str">
        <f>VLOOKUP($A1436, 'Hospitalisation Details'!$A:$M, 13, FALSE)</f>
        <v>tier - 2</v>
      </c>
      <c r="O1436" s="22" t="str">
        <f>VLOOKUP($A1436, 'Hospitalisation Details'!$A:$N, 14, FALSE)</f>
        <v>R1012</v>
      </c>
      <c r="P1436" s="36">
        <f>VLOOKUP($A1436, 'Hospitalisation Details'!$A:$O, 15, FALSE)</f>
        <v>39</v>
      </c>
    </row>
    <row r="1437" ht="15.75" customHeight="1">
      <c r="A1437" s="33" t="s">
        <v>2873</v>
      </c>
      <c r="B1437" s="22" t="str">
        <f>VLOOKUP($A1437,'Customer Names'!$A:$D,3, FALSE)</f>
        <v>Barrett</v>
      </c>
      <c r="C1437" s="22">
        <f>VLOOKUP($A1437,'Medical Examinations'!$A:$D, 2, FALSE)</f>
        <v>35.29</v>
      </c>
      <c r="D1437" s="22">
        <f>VLOOKUP($A1437, 'Medical Examinations'!$A:$D,3, FALSE)</f>
        <v>5.9</v>
      </c>
      <c r="E1437" s="22" t="str">
        <f>VLOOKUP($A1437, 'Medical Examinations'!$A:$D, 4, FALSE)</f>
        <v>No</v>
      </c>
      <c r="F1437" s="22" t="str">
        <f>VLOOKUP($A1437, 'Medical Examinations'!$A:$J, 5, FALSE)</f>
        <v>No</v>
      </c>
      <c r="G1437" s="22" t="str">
        <f>VLOOKUP($A1437, 'Medical Examinations'!$A:$I, 6, FALSE)</f>
        <v>Yes</v>
      </c>
      <c r="H1437" s="22">
        <f>VLOOKUP($A1437,'Medical Examinations'!$A:$L,10, FALSE)</f>
        <v>1</v>
      </c>
      <c r="I1437" s="22" t="str">
        <f>VLOOKUP($A1437, 'Medical Examinations'!$A:$J, 9, FALSE)</f>
        <v>No</v>
      </c>
      <c r="J1437" s="22" t="str">
        <f>VLOOKUP($A1437, 'Medical Examinations'!$A:$P, 11, FALSE)</f>
        <v>OBESITY</v>
      </c>
      <c r="K1437" s="34">
        <v>38148.0</v>
      </c>
      <c r="L1437" s="35">
        <f>VLOOKUP($A1437, 'Hospitalisation Details'!$A:$H, 7, FALSE)</f>
        <v>7349.12</v>
      </c>
      <c r="M1437" s="22" t="str">
        <f>VLOOKUP($A1437, 'Hospitalisation Details'!$A:$L, 12, FALSE)</f>
        <v>tier - 2</v>
      </c>
      <c r="N1437" s="22" t="str">
        <f>VLOOKUP($A1437, 'Hospitalisation Details'!$A:$M, 13, FALSE)</f>
        <v>tier - 2</v>
      </c>
      <c r="O1437" s="22" t="str">
        <f>VLOOKUP($A1437, 'Hospitalisation Details'!$A:$N, 14, FALSE)</f>
        <v>R1021</v>
      </c>
      <c r="P1437" s="36">
        <f>VLOOKUP($A1437, 'Hospitalisation Details'!$A:$O, 15, FALSE)</f>
        <v>29</v>
      </c>
    </row>
    <row r="1438" ht="15.75" customHeight="1">
      <c r="A1438" s="33" t="s">
        <v>2875</v>
      </c>
      <c r="B1438" s="22" t="str">
        <f>VLOOKUP($A1438,'Customer Names'!$A:$D,3, FALSE)</f>
        <v>Irwin</v>
      </c>
      <c r="C1438" s="22">
        <f>VLOOKUP($A1438,'Medical Examinations'!$A:$D, 2, FALSE)</f>
        <v>35.3</v>
      </c>
      <c r="D1438" s="22">
        <f>VLOOKUP($A1438, 'Medical Examinations'!$A:$D,3, FALSE)</f>
        <v>4.45</v>
      </c>
      <c r="E1438" s="22" t="str">
        <f>VLOOKUP($A1438, 'Medical Examinations'!$A:$D, 4, FALSE)</f>
        <v>No</v>
      </c>
      <c r="F1438" s="22" t="str">
        <f>VLOOKUP($A1438, 'Medical Examinations'!$A:$J, 5, FALSE)</f>
        <v>No</v>
      </c>
      <c r="G1438" s="22" t="str">
        <f>VLOOKUP($A1438, 'Medical Examinations'!$A:$I, 6, FALSE)</f>
        <v>No</v>
      </c>
      <c r="H1438" s="22">
        <f>VLOOKUP($A1438,'Medical Examinations'!$A:$L,10, FALSE)</f>
        <v>0</v>
      </c>
      <c r="I1438" s="22" t="str">
        <f>VLOOKUP($A1438, 'Medical Examinations'!$A:$J, 9, FALSE)</f>
        <v>No</v>
      </c>
      <c r="J1438" s="22" t="str">
        <f>VLOOKUP($A1438, 'Medical Examinations'!$A:$P, 11, FALSE)</f>
        <v>OBESITY</v>
      </c>
      <c r="K1438" s="34">
        <v>37530.0</v>
      </c>
      <c r="L1438" s="35">
        <f>VLOOKUP($A1438, 'Hospitalisation Details'!$A:$H, 7, FALSE)</f>
        <v>7348.14</v>
      </c>
      <c r="M1438" s="22" t="str">
        <f>VLOOKUP($A1438, 'Hospitalisation Details'!$A:$L, 12, FALSE)</f>
        <v>tier - 2</v>
      </c>
      <c r="N1438" s="22" t="str">
        <f>VLOOKUP($A1438, 'Hospitalisation Details'!$A:$M, 13, FALSE)</f>
        <v>tier - 1</v>
      </c>
      <c r="O1438" s="22" t="str">
        <f>VLOOKUP($A1438, 'Hospitalisation Details'!$A:$N, 14, FALSE)</f>
        <v>R1011</v>
      </c>
      <c r="P1438" s="36">
        <f>VLOOKUP($A1438, 'Hospitalisation Details'!$A:$O, 15, FALSE)</f>
        <v>45</v>
      </c>
    </row>
    <row r="1439" ht="15.75" customHeight="1">
      <c r="A1439" s="33" t="s">
        <v>2877</v>
      </c>
      <c r="B1439" s="22" t="str">
        <f>VLOOKUP($A1439,'Customer Names'!$A:$D,3, FALSE)</f>
        <v>Glenn</v>
      </c>
      <c r="C1439" s="22">
        <f>VLOOKUP($A1439,'Medical Examinations'!$A:$D, 2, FALSE)</f>
        <v>35.64</v>
      </c>
      <c r="D1439" s="22">
        <f>VLOOKUP($A1439, 'Medical Examinations'!$A:$D,3, FALSE)</f>
        <v>6.17</v>
      </c>
      <c r="E1439" s="22" t="str">
        <f>VLOOKUP($A1439, 'Medical Examinations'!$A:$D, 4, FALSE)</f>
        <v>No</v>
      </c>
      <c r="F1439" s="22" t="str">
        <f>VLOOKUP($A1439, 'Medical Examinations'!$A:$J, 5, FALSE)</f>
        <v>No</v>
      </c>
      <c r="G1439" s="22" t="str">
        <f>VLOOKUP($A1439, 'Medical Examinations'!$A:$I, 6, FALSE)</f>
        <v>Yes</v>
      </c>
      <c r="H1439" s="22">
        <f>VLOOKUP($A1439,'Medical Examinations'!$A:$L,10, FALSE)</f>
        <v>1</v>
      </c>
      <c r="I1439" s="22" t="str">
        <f>VLOOKUP($A1439, 'Medical Examinations'!$A:$J, 9, FALSE)</f>
        <v>No</v>
      </c>
      <c r="J1439" s="22" t="str">
        <f>VLOOKUP($A1439, 'Medical Examinations'!$A:$P, 11, FALSE)</f>
        <v>OBESITY</v>
      </c>
      <c r="K1439" s="34">
        <v>38242.0</v>
      </c>
      <c r="L1439" s="35">
        <f>VLOOKUP($A1439, 'Hospitalisation Details'!$A:$H, 7, FALSE)</f>
        <v>7345.73</v>
      </c>
      <c r="M1439" s="22" t="str">
        <f>VLOOKUP($A1439, 'Hospitalisation Details'!$A:$L, 12, FALSE)</f>
        <v>tier - 2</v>
      </c>
      <c r="N1439" s="22" t="str">
        <f>VLOOKUP($A1439, 'Hospitalisation Details'!$A:$M, 13, FALSE)</f>
        <v>tier - 1</v>
      </c>
      <c r="O1439" s="22" t="str">
        <f>VLOOKUP($A1439, 'Hospitalisation Details'!$A:$N, 14, FALSE)</f>
        <v>R1013</v>
      </c>
      <c r="P1439" s="36">
        <f>VLOOKUP($A1439, 'Hospitalisation Details'!$A:$O, 15, FALSE)</f>
        <v>43</v>
      </c>
    </row>
    <row r="1440" ht="15.75" customHeight="1">
      <c r="A1440" s="33" t="s">
        <v>2879</v>
      </c>
      <c r="B1440" s="22" t="str">
        <f>VLOOKUP($A1440,'Customer Names'!$A:$D,3, FALSE)</f>
        <v>O'Meara</v>
      </c>
      <c r="C1440" s="22">
        <f>VLOOKUP($A1440,'Medical Examinations'!$A:$D, 2, FALSE)</f>
        <v>33.1</v>
      </c>
      <c r="D1440" s="22">
        <f>VLOOKUP($A1440, 'Medical Examinations'!$A:$D,3, FALSE)</f>
        <v>4.93</v>
      </c>
      <c r="E1440" s="22" t="str">
        <f>VLOOKUP($A1440, 'Medical Examinations'!$A:$D, 4, FALSE)</f>
        <v>No</v>
      </c>
      <c r="F1440" s="22" t="str">
        <f>VLOOKUP($A1440, 'Medical Examinations'!$A:$J, 5, FALSE)</f>
        <v>No</v>
      </c>
      <c r="G1440" s="22" t="str">
        <f>VLOOKUP($A1440, 'Medical Examinations'!$A:$I, 6, FALSE)</f>
        <v>No</v>
      </c>
      <c r="H1440" s="22">
        <f>VLOOKUP($A1440,'Medical Examinations'!$A:$L,10, FALSE)</f>
        <v>0</v>
      </c>
      <c r="I1440" s="22" t="str">
        <f>VLOOKUP($A1440, 'Medical Examinations'!$A:$J, 9, FALSE)</f>
        <v>No</v>
      </c>
      <c r="J1440" s="22" t="str">
        <f>VLOOKUP($A1440, 'Medical Examinations'!$A:$P, 11, FALSE)</f>
        <v>OBESITY</v>
      </c>
      <c r="K1440" s="34">
        <v>37189.0</v>
      </c>
      <c r="L1440" s="35">
        <f>VLOOKUP($A1440, 'Hospitalisation Details'!$A:$H, 7, FALSE)</f>
        <v>7345.08</v>
      </c>
      <c r="M1440" s="22" t="str">
        <f>VLOOKUP($A1440, 'Hospitalisation Details'!$A:$L, 12, FALSE)</f>
        <v>tier - 2</v>
      </c>
      <c r="N1440" s="22" t="str">
        <f>VLOOKUP($A1440, 'Hospitalisation Details'!$A:$M, 13, FALSE)</f>
        <v>tier - 1</v>
      </c>
      <c r="O1440" s="22" t="str">
        <f>VLOOKUP($A1440, 'Hospitalisation Details'!$A:$N, 14, FALSE)</f>
        <v>R1011</v>
      </c>
      <c r="P1440" s="36">
        <f>VLOOKUP($A1440, 'Hospitalisation Details'!$A:$O, 15, FALSE)</f>
        <v>45</v>
      </c>
    </row>
    <row r="1441" ht="15.75" customHeight="1">
      <c r="A1441" s="33" t="s">
        <v>2881</v>
      </c>
      <c r="B1441" s="22" t="str">
        <f>VLOOKUP($A1441,'Customer Names'!$A:$D,3, FALSE)</f>
        <v>Budrow</v>
      </c>
      <c r="C1441" s="22">
        <f>VLOOKUP($A1441,'Medical Examinations'!$A:$D, 2, FALSE)</f>
        <v>26.41</v>
      </c>
      <c r="D1441" s="22">
        <f>VLOOKUP($A1441, 'Medical Examinations'!$A:$D,3, FALSE)</f>
        <v>7.32</v>
      </c>
      <c r="E1441" s="22" t="str">
        <f>VLOOKUP($A1441, 'Medical Examinations'!$A:$D, 4, FALSE)</f>
        <v>Yes</v>
      </c>
      <c r="F1441" s="22" t="str">
        <f>VLOOKUP($A1441, 'Medical Examinations'!$A:$J, 5, FALSE)</f>
        <v>No</v>
      </c>
      <c r="G1441" s="22" t="str">
        <f>VLOOKUP($A1441, 'Medical Examinations'!$A:$I, 6, FALSE)</f>
        <v>No</v>
      </c>
      <c r="H1441" s="22">
        <f>VLOOKUP($A1441,'Medical Examinations'!$A:$L,10, FALSE)</f>
        <v>1</v>
      </c>
      <c r="I1441" s="22" t="str">
        <f>VLOOKUP($A1441, 'Medical Examinations'!$A:$J, 9, FALSE)</f>
        <v>No</v>
      </c>
      <c r="J1441" s="22" t="str">
        <f>VLOOKUP($A1441, 'Medical Examinations'!$A:$P, 11, FALSE)</f>
        <v>OVERWEIGHT</v>
      </c>
      <c r="K1441" s="34">
        <v>38318.0</v>
      </c>
      <c r="L1441" s="35">
        <f>VLOOKUP($A1441, 'Hospitalisation Details'!$A:$H, 7, FALSE)</f>
        <v>7339.93</v>
      </c>
      <c r="M1441" s="22" t="str">
        <f>VLOOKUP($A1441, 'Hospitalisation Details'!$A:$L, 12, FALSE)</f>
        <v>tier - 2</v>
      </c>
      <c r="N1441" s="22" t="str">
        <f>VLOOKUP($A1441, 'Hospitalisation Details'!$A:$M, 13, FALSE)</f>
        <v>tier - 2</v>
      </c>
      <c r="O1441" s="22" t="str">
        <f>VLOOKUP($A1441, 'Hospitalisation Details'!$A:$N, 14, FALSE)</f>
        <v>R1012</v>
      </c>
      <c r="P1441" s="36">
        <f>VLOOKUP($A1441, 'Hospitalisation Details'!$A:$O, 15, FALSE)</f>
        <v>36</v>
      </c>
    </row>
    <row r="1442" ht="15.75" customHeight="1">
      <c r="A1442" s="33" t="s">
        <v>2883</v>
      </c>
      <c r="B1442" s="22" t="str">
        <f>VLOOKUP($A1442,'Customer Names'!$A:$D,3, FALSE)</f>
        <v>Anderson</v>
      </c>
      <c r="C1442" s="22">
        <f>VLOOKUP($A1442,'Medical Examinations'!$A:$D, 2, FALSE)</f>
        <v>29.9</v>
      </c>
      <c r="D1442" s="22">
        <f>VLOOKUP($A1442, 'Medical Examinations'!$A:$D,3, FALSE)</f>
        <v>5.27</v>
      </c>
      <c r="E1442" s="22" t="str">
        <f>VLOOKUP($A1442, 'Medical Examinations'!$A:$D, 4, FALSE)</f>
        <v>No</v>
      </c>
      <c r="F1442" s="22" t="str">
        <f>VLOOKUP($A1442, 'Medical Examinations'!$A:$J, 5, FALSE)</f>
        <v>No</v>
      </c>
      <c r="G1442" s="22" t="str">
        <f>VLOOKUP($A1442, 'Medical Examinations'!$A:$I, 6, FALSE)</f>
        <v>Yes</v>
      </c>
      <c r="H1442" s="22">
        <f>VLOOKUP($A1442,'Medical Examinations'!$A:$L,10, FALSE)</f>
        <v>1</v>
      </c>
      <c r="I1442" s="22" t="str">
        <f>VLOOKUP($A1442, 'Medical Examinations'!$A:$J, 9, FALSE)</f>
        <v>No</v>
      </c>
      <c r="J1442" s="22" t="str">
        <f>VLOOKUP($A1442, 'Medical Examinations'!$A:$P, 11, FALSE)</f>
        <v>OBESITY</v>
      </c>
      <c r="K1442" s="34">
        <v>30526.0</v>
      </c>
      <c r="L1442" s="35">
        <f>VLOOKUP($A1442, 'Hospitalisation Details'!$A:$H, 7, FALSE)</f>
        <v>7337.75</v>
      </c>
      <c r="M1442" s="22" t="str">
        <f>VLOOKUP($A1442, 'Hospitalisation Details'!$A:$L, 12, FALSE)</f>
        <v>tier - 2</v>
      </c>
      <c r="N1442" s="22" t="str">
        <f>VLOOKUP($A1442, 'Hospitalisation Details'!$A:$M, 13, FALSE)</f>
        <v>tier - 3</v>
      </c>
      <c r="O1442" s="22" t="str">
        <f>VLOOKUP($A1442, 'Hospitalisation Details'!$A:$N, 14, FALSE)</f>
        <v>R1011</v>
      </c>
      <c r="P1442" s="36">
        <f>VLOOKUP($A1442, 'Hospitalisation Details'!$A:$O, 15, FALSE)</f>
        <v>43</v>
      </c>
    </row>
    <row r="1443" ht="15.75" customHeight="1">
      <c r="A1443" s="33" t="s">
        <v>2885</v>
      </c>
      <c r="B1443" s="22" t="str">
        <f>VLOOKUP($A1443,'Customer Names'!$A:$D,3, FALSE)</f>
        <v>Douglas</v>
      </c>
      <c r="C1443" s="22">
        <f>VLOOKUP($A1443,'Medical Examinations'!$A:$D, 2, FALSE)</f>
        <v>25.24</v>
      </c>
      <c r="D1443" s="22">
        <f>VLOOKUP($A1443, 'Medical Examinations'!$A:$D,3, FALSE)</f>
        <v>5.82</v>
      </c>
      <c r="E1443" s="22" t="str">
        <f>VLOOKUP($A1443, 'Medical Examinations'!$A:$D, 4, FALSE)</f>
        <v>No</v>
      </c>
      <c r="F1443" s="22" t="str">
        <f>VLOOKUP($A1443, 'Medical Examinations'!$A:$J, 5, FALSE)</f>
        <v>No</v>
      </c>
      <c r="G1443" s="22" t="str">
        <f>VLOOKUP($A1443, 'Medical Examinations'!$A:$I, 6, FALSE)</f>
        <v>No</v>
      </c>
      <c r="H1443" s="22">
        <f>VLOOKUP($A1443,'Medical Examinations'!$A:$L,10, FALSE)</f>
        <v>1</v>
      </c>
      <c r="I1443" s="22" t="str">
        <f>VLOOKUP($A1443, 'Medical Examinations'!$A:$J, 9, FALSE)</f>
        <v>No</v>
      </c>
      <c r="J1443" s="22" t="str">
        <f>VLOOKUP($A1443, 'Medical Examinations'!$A:$P, 11, FALSE)</f>
        <v>OVERWEIGHT</v>
      </c>
      <c r="K1443" s="34">
        <v>38275.0</v>
      </c>
      <c r="L1443" s="35">
        <f>VLOOKUP($A1443, 'Hospitalisation Details'!$A:$H, 7, FALSE)</f>
        <v>7325.47</v>
      </c>
      <c r="M1443" s="22" t="str">
        <f>VLOOKUP($A1443, 'Hospitalisation Details'!$A:$L, 12, FALSE)</f>
        <v>tier - 2</v>
      </c>
      <c r="N1443" s="22" t="str">
        <f>VLOOKUP($A1443, 'Hospitalisation Details'!$A:$M, 13, FALSE)</f>
        <v>tier - 1</v>
      </c>
      <c r="O1443" s="22" t="str">
        <f>VLOOKUP($A1443, 'Hospitalisation Details'!$A:$N, 14, FALSE)</f>
        <v>R1012</v>
      </c>
      <c r="P1443" s="36">
        <f>VLOOKUP($A1443, 'Hospitalisation Details'!$A:$O, 15, FALSE)</f>
        <v>38</v>
      </c>
    </row>
    <row r="1444" ht="15.75" customHeight="1">
      <c r="A1444" s="33" t="s">
        <v>2887</v>
      </c>
      <c r="B1444" s="22" t="str">
        <f>VLOOKUP($A1444,'Customer Names'!$A:$D,3, FALSE)</f>
        <v>Tecklenburg</v>
      </c>
      <c r="C1444" s="22">
        <f>VLOOKUP($A1444,'Medical Examinations'!$A:$D, 2, FALSE)</f>
        <v>25.08</v>
      </c>
      <c r="D1444" s="22">
        <f>VLOOKUP($A1444, 'Medical Examinations'!$A:$D,3, FALSE)</f>
        <v>5.8</v>
      </c>
      <c r="E1444" s="22" t="str">
        <f>VLOOKUP($A1444, 'Medical Examinations'!$A:$D, 4, FALSE)</f>
        <v>No</v>
      </c>
      <c r="F1444" s="22" t="str">
        <f>VLOOKUP($A1444, 'Medical Examinations'!$A:$J, 5, FALSE)</f>
        <v>No</v>
      </c>
      <c r="G1444" s="22" t="str">
        <f>VLOOKUP($A1444, 'Medical Examinations'!$A:$I, 6, FALSE)</f>
        <v>Yes</v>
      </c>
      <c r="H1444" s="22">
        <f>VLOOKUP($A1444,'Medical Examinations'!$A:$L,10, FALSE)</f>
        <v>1</v>
      </c>
      <c r="I1444" s="22" t="str">
        <f>VLOOKUP($A1444, 'Medical Examinations'!$A:$J, 9, FALSE)</f>
        <v>No</v>
      </c>
      <c r="J1444" s="22" t="str">
        <f>VLOOKUP($A1444, 'Medical Examinations'!$A:$P, 11, FALSE)</f>
        <v>OVERWEIGHT</v>
      </c>
      <c r="K1444" s="34">
        <v>37479.0</v>
      </c>
      <c r="L1444" s="35">
        <f>VLOOKUP($A1444, 'Hospitalisation Details'!$A:$H, 7, FALSE)</f>
        <v>7325.05</v>
      </c>
      <c r="M1444" s="22" t="str">
        <f>VLOOKUP($A1444, 'Hospitalisation Details'!$A:$L, 12, FALSE)</f>
        <v>tier - 2</v>
      </c>
      <c r="N1444" s="22" t="str">
        <f>VLOOKUP($A1444, 'Hospitalisation Details'!$A:$M, 13, FALSE)</f>
        <v>tier - 3</v>
      </c>
      <c r="O1444" s="22" t="str">
        <f>VLOOKUP($A1444, 'Hospitalisation Details'!$A:$N, 14, FALSE)</f>
        <v>R1024</v>
      </c>
      <c r="P1444" s="36">
        <f>VLOOKUP($A1444, 'Hospitalisation Details'!$A:$O, 15, FALSE)</f>
        <v>43</v>
      </c>
    </row>
    <row r="1445" ht="15.75" customHeight="1">
      <c r="A1445" s="33" t="s">
        <v>2889</v>
      </c>
      <c r="B1445" s="22" t="str">
        <f>VLOOKUP($A1445,'Customer Names'!$A:$D,3, FALSE)</f>
        <v>Baker</v>
      </c>
      <c r="C1445" s="22">
        <f>VLOOKUP($A1445,'Medical Examinations'!$A:$D, 2, FALSE)</f>
        <v>29.165</v>
      </c>
      <c r="D1445" s="22">
        <f>VLOOKUP($A1445, 'Medical Examinations'!$A:$D,3, FALSE)</f>
        <v>4.87</v>
      </c>
      <c r="E1445" s="22" t="str">
        <f>VLOOKUP($A1445, 'Medical Examinations'!$A:$D, 4, FALSE)</f>
        <v>No</v>
      </c>
      <c r="F1445" s="22" t="str">
        <f>VLOOKUP($A1445, 'Medical Examinations'!$A:$J, 5, FALSE)</f>
        <v>Yes</v>
      </c>
      <c r="G1445" s="22" t="str">
        <f>VLOOKUP($A1445, 'Medical Examinations'!$A:$I, 6, FALSE)</f>
        <v>No</v>
      </c>
      <c r="H1445" s="22">
        <f>VLOOKUP($A1445,'Medical Examinations'!$A:$L,10, FALSE)</f>
        <v>1</v>
      </c>
      <c r="I1445" s="22" t="str">
        <f>VLOOKUP($A1445, 'Medical Examinations'!$A:$J, 9, FALSE)</f>
        <v>No</v>
      </c>
      <c r="J1445" s="22" t="str">
        <f>VLOOKUP($A1445, 'Medical Examinations'!$A:$P, 11, FALSE)</f>
        <v>OVERWEIGHT</v>
      </c>
      <c r="K1445" s="34">
        <v>38319.0</v>
      </c>
      <c r="L1445" s="35">
        <f>VLOOKUP($A1445, 'Hospitalisation Details'!$A:$H, 7, FALSE)</f>
        <v>7323.73</v>
      </c>
      <c r="M1445" s="22" t="str">
        <f>VLOOKUP($A1445, 'Hospitalisation Details'!$A:$L, 12, FALSE)</f>
        <v>tier - 2</v>
      </c>
      <c r="N1445" s="22" t="str">
        <f>VLOOKUP($A1445, 'Hospitalisation Details'!$A:$M, 13, FALSE)</f>
        <v>tier - 2</v>
      </c>
      <c r="O1445" s="22" t="str">
        <f>VLOOKUP($A1445, 'Hospitalisation Details'!$A:$N, 14, FALSE)</f>
        <v>R1024</v>
      </c>
      <c r="P1445" s="36">
        <f>VLOOKUP($A1445, 'Hospitalisation Details'!$A:$O, 15, FALSE)</f>
        <v>18</v>
      </c>
    </row>
    <row r="1446" ht="15.75" customHeight="1">
      <c r="A1446" s="33" t="s">
        <v>2891</v>
      </c>
      <c r="B1446" s="22" t="str">
        <f>VLOOKUP($A1446,'Customer Names'!$A:$D,3, FALSE)</f>
        <v>Schenck</v>
      </c>
      <c r="C1446" s="22">
        <f>VLOOKUP($A1446,'Medical Examinations'!$A:$D, 2, FALSE)</f>
        <v>15.05</v>
      </c>
      <c r="D1446" s="22">
        <f>VLOOKUP($A1446, 'Medical Examinations'!$A:$D,3, FALSE)</f>
        <v>8.12</v>
      </c>
      <c r="E1446" s="22" t="str">
        <f>VLOOKUP($A1446, 'Medical Examinations'!$A:$D, 4, FALSE)</f>
        <v>No</v>
      </c>
      <c r="F1446" s="22" t="str">
        <f>VLOOKUP($A1446, 'Medical Examinations'!$A:$J, 5, FALSE)</f>
        <v>No</v>
      </c>
      <c r="G1446" s="22" t="str">
        <f>VLOOKUP($A1446, 'Medical Examinations'!$A:$I, 6, FALSE)</f>
        <v>No</v>
      </c>
      <c r="H1446" s="22">
        <f>VLOOKUP($A1446,'Medical Examinations'!$A:$L,10, FALSE)</f>
        <v>0</v>
      </c>
      <c r="I1446" s="22" t="str">
        <f>VLOOKUP($A1446, 'Medical Examinations'!$A:$J, 9, FALSE)</f>
        <v>No</v>
      </c>
      <c r="J1446" s="22" t="str">
        <f>VLOOKUP($A1446, 'Medical Examinations'!$A:$P, 11, FALSE)</f>
        <v>UNDERWEIGHT</v>
      </c>
      <c r="K1446" s="34">
        <v>38149.0</v>
      </c>
      <c r="L1446" s="35">
        <f>VLOOKUP($A1446, 'Hospitalisation Details'!$A:$H, 7, FALSE)</f>
        <v>7322.86</v>
      </c>
      <c r="M1446" s="22" t="str">
        <f>VLOOKUP($A1446, 'Hospitalisation Details'!$A:$L, 12, FALSE)</f>
        <v>tier - 3</v>
      </c>
      <c r="N1446" s="22" t="str">
        <f>VLOOKUP($A1446, 'Hospitalisation Details'!$A:$M, 13, FALSE)</f>
        <v>tier - 3</v>
      </c>
      <c r="O1446" s="22" t="str">
        <f>VLOOKUP($A1446, 'Hospitalisation Details'!$A:$N, 14, FALSE)</f>
        <v>R1012</v>
      </c>
      <c r="P1446" s="36">
        <f>VLOOKUP($A1446, 'Hospitalisation Details'!$A:$O, 15, FALSE)</f>
        <v>57</v>
      </c>
    </row>
    <row r="1447" ht="15.75" customHeight="1">
      <c r="A1447" s="33" t="s">
        <v>2893</v>
      </c>
      <c r="B1447" s="22" t="str">
        <f>VLOOKUP($A1447,'Customer Names'!$A:$D,3, FALSE)</f>
        <v>Johnson</v>
      </c>
      <c r="C1447" s="22">
        <f>VLOOKUP($A1447,'Medical Examinations'!$A:$D, 2, FALSE)</f>
        <v>19.95</v>
      </c>
      <c r="D1447" s="22">
        <f>VLOOKUP($A1447, 'Medical Examinations'!$A:$D,3, FALSE)</f>
        <v>4.36</v>
      </c>
      <c r="E1447" s="22" t="str">
        <f>VLOOKUP($A1447, 'Medical Examinations'!$A:$D, 4, FALSE)</f>
        <v>No</v>
      </c>
      <c r="F1447" s="22" t="str">
        <f>VLOOKUP($A1447, 'Medical Examinations'!$A:$J, 5, FALSE)</f>
        <v>No</v>
      </c>
      <c r="G1447" s="22" t="str">
        <f>VLOOKUP($A1447, 'Medical Examinations'!$A:$I, 6, FALSE)</f>
        <v>No</v>
      </c>
      <c r="H1447" s="22">
        <f>VLOOKUP($A1447,'Medical Examinations'!$A:$L,10, FALSE)</f>
        <v>2</v>
      </c>
      <c r="I1447" s="22" t="str">
        <f>VLOOKUP($A1447, 'Medical Examinations'!$A:$J, 9, FALSE)</f>
        <v>No</v>
      </c>
      <c r="J1447" s="22" t="str">
        <f>VLOOKUP($A1447, 'Medical Examinations'!$A:$P, 11, FALSE)</f>
        <v>NORMAL WEIGHT</v>
      </c>
      <c r="K1447" s="34">
        <v>38266.0</v>
      </c>
      <c r="L1447" s="35">
        <f>VLOOKUP($A1447, 'Hospitalisation Details'!$A:$H, 7, FALSE)</f>
        <v>7318.22</v>
      </c>
      <c r="M1447" s="22" t="str">
        <f>VLOOKUP($A1447, 'Hospitalisation Details'!$A:$L, 12, FALSE)</f>
        <v>tier - 2</v>
      </c>
      <c r="N1447" s="22" t="str">
        <f>VLOOKUP($A1447, 'Hospitalisation Details'!$A:$M, 13, FALSE)</f>
        <v>tier - 3</v>
      </c>
      <c r="O1447" s="22" t="str">
        <f>VLOOKUP($A1447, 'Hospitalisation Details'!$A:$N, 14, FALSE)</f>
        <v>R1012</v>
      </c>
      <c r="P1447" s="36">
        <f>VLOOKUP($A1447, 'Hospitalisation Details'!$A:$O, 15, FALSE)</f>
        <v>50</v>
      </c>
    </row>
    <row r="1448" ht="15.75" customHeight="1">
      <c r="A1448" s="33" t="s">
        <v>2895</v>
      </c>
      <c r="B1448" s="22" t="str">
        <f>VLOOKUP($A1448,'Customer Names'!$A:$D,3, FALSE)</f>
        <v>Blendell</v>
      </c>
      <c r="C1448" s="22">
        <f>VLOOKUP($A1448,'Medical Examinations'!$A:$D, 2, FALSE)</f>
        <v>16.66</v>
      </c>
      <c r="D1448" s="22">
        <f>VLOOKUP($A1448, 'Medical Examinations'!$A:$D,3, FALSE)</f>
        <v>9.16</v>
      </c>
      <c r="E1448" s="22" t="str">
        <f>VLOOKUP($A1448, 'Medical Examinations'!$A:$D, 4, FALSE)</f>
        <v>No</v>
      </c>
      <c r="F1448" s="22" t="str">
        <f>VLOOKUP($A1448, 'Medical Examinations'!$A:$J, 5, FALSE)</f>
        <v>No</v>
      </c>
      <c r="G1448" s="22" t="str">
        <f>VLOOKUP($A1448, 'Medical Examinations'!$A:$I, 6, FALSE)</f>
        <v>No</v>
      </c>
      <c r="H1448" s="22">
        <f>VLOOKUP($A1448,'Medical Examinations'!$A:$L,10, FALSE)</f>
        <v>0</v>
      </c>
      <c r="I1448" s="22" t="str">
        <f>VLOOKUP($A1448, 'Medical Examinations'!$A:$J, 9, FALSE)</f>
        <v>No</v>
      </c>
      <c r="J1448" s="22" t="str">
        <f>VLOOKUP($A1448, 'Medical Examinations'!$A:$P, 11, FALSE)</f>
        <v>UNDERWEIGHT</v>
      </c>
      <c r="K1448" s="34">
        <v>37456.0</v>
      </c>
      <c r="L1448" s="35">
        <f>VLOOKUP($A1448, 'Hospitalisation Details'!$A:$H, 7, FALSE)</f>
        <v>7318.21</v>
      </c>
      <c r="M1448" s="22" t="str">
        <f>VLOOKUP($A1448, 'Hospitalisation Details'!$A:$L, 12, FALSE)</f>
        <v>tier - 3</v>
      </c>
      <c r="N1448" s="22" t="str">
        <f>VLOOKUP($A1448, 'Hospitalisation Details'!$A:$M, 13, FALSE)</f>
        <v>tier - 1</v>
      </c>
      <c r="O1448" s="22" t="str">
        <f>VLOOKUP($A1448, 'Hospitalisation Details'!$A:$N, 14, FALSE)</f>
        <v>R1013</v>
      </c>
      <c r="P1448" s="36">
        <f>VLOOKUP($A1448, 'Hospitalisation Details'!$A:$O, 15, FALSE)</f>
        <v>57</v>
      </c>
    </row>
    <row r="1449" ht="15.75" customHeight="1">
      <c r="A1449" s="33" t="s">
        <v>2897</v>
      </c>
      <c r="B1449" s="22" t="str">
        <f>VLOOKUP($A1449,'Customer Names'!$A:$D,3, FALSE)</f>
        <v>Parodi</v>
      </c>
      <c r="C1449" s="22">
        <f>VLOOKUP($A1449,'Medical Examinations'!$A:$D, 2, FALSE)</f>
        <v>16.62</v>
      </c>
      <c r="D1449" s="22">
        <f>VLOOKUP($A1449, 'Medical Examinations'!$A:$D,3, FALSE)</f>
        <v>9.14</v>
      </c>
      <c r="E1449" s="22" t="str">
        <f>VLOOKUP($A1449, 'Medical Examinations'!$A:$D, 4, FALSE)</f>
        <v>No</v>
      </c>
      <c r="F1449" s="22" t="str">
        <f>VLOOKUP($A1449, 'Medical Examinations'!$A:$J, 5, FALSE)</f>
        <v>No</v>
      </c>
      <c r="G1449" s="22" t="str">
        <f>VLOOKUP($A1449, 'Medical Examinations'!$A:$I, 6, FALSE)</f>
        <v>No</v>
      </c>
      <c r="H1449" s="22">
        <f>VLOOKUP($A1449,'Medical Examinations'!$A:$L,10, FALSE)</f>
        <v>0</v>
      </c>
      <c r="I1449" s="22" t="str">
        <f>VLOOKUP($A1449, 'Medical Examinations'!$A:$J, 9, FALSE)</f>
        <v>No</v>
      </c>
      <c r="J1449" s="22" t="str">
        <f>VLOOKUP($A1449, 'Medical Examinations'!$A:$P, 11, FALSE)</f>
        <v>UNDERWEIGHT</v>
      </c>
      <c r="K1449" s="34">
        <v>38152.0</v>
      </c>
      <c r="L1449" s="35">
        <f>VLOOKUP($A1449, 'Hospitalisation Details'!$A:$H, 7, FALSE)</f>
        <v>7304.65</v>
      </c>
      <c r="M1449" s="22" t="str">
        <f>VLOOKUP($A1449, 'Hospitalisation Details'!$A:$L, 12, FALSE)</f>
        <v>tier - 3</v>
      </c>
      <c r="N1449" s="22" t="str">
        <f>VLOOKUP($A1449, 'Hospitalisation Details'!$A:$M, 13, FALSE)</f>
        <v>tier - 3</v>
      </c>
      <c r="O1449" s="22" t="str">
        <f>VLOOKUP($A1449, 'Hospitalisation Details'!$A:$N, 14, FALSE)</f>
        <v>R1013</v>
      </c>
      <c r="P1449" s="36">
        <f>VLOOKUP($A1449, 'Hospitalisation Details'!$A:$O, 15, FALSE)</f>
        <v>58</v>
      </c>
    </row>
    <row r="1450" ht="15.75" customHeight="1">
      <c r="A1450" s="33" t="s">
        <v>2899</v>
      </c>
      <c r="B1450" s="22" t="str">
        <f>VLOOKUP($A1450,'Customer Names'!$A:$D,3, FALSE)</f>
        <v>Morgan</v>
      </c>
      <c r="C1450" s="22">
        <f>VLOOKUP($A1450,'Medical Examinations'!$A:$D, 2, FALSE)</f>
        <v>15.36</v>
      </c>
      <c r="D1450" s="22">
        <f>VLOOKUP($A1450, 'Medical Examinations'!$A:$D,3, FALSE)</f>
        <v>5.49</v>
      </c>
      <c r="E1450" s="22" t="str">
        <f>VLOOKUP($A1450, 'Medical Examinations'!$A:$D, 4, FALSE)</f>
        <v>Yes</v>
      </c>
      <c r="F1450" s="22" t="str">
        <f>VLOOKUP($A1450, 'Medical Examinations'!$A:$J, 5, FALSE)</f>
        <v>No</v>
      </c>
      <c r="G1450" s="22" t="str">
        <f>VLOOKUP($A1450, 'Medical Examinations'!$A:$I, 6, FALSE)</f>
        <v>No</v>
      </c>
      <c r="H1450" s="22">
        <f>VLOOKUP($A1450,'Medical Examinations'!$A:$L,10, FALSE)</f>
        <v>2</v>
      </c>
      <c r="I1450" s="22" t="str">
        <f>VLOOKUP($A1450, 'Medical Examinations'!$A:$J, 9, FALSE)</f>
        <v>No</v>
      </c>
      <c r="J1450" s="22" t="str">
        <f>VLOOKUP($A1450, 'Medical Examinations'!$A:$P, 11, FALSE)</f>
        <v>UNDERWEIGHT</v>
      </c>
      <c r="K1450" s="34">
        <v>38303.0</v>
      </c>
      <c r="L1450" s="35">
        <f>VLOOKUP($A1450, 'Hospitalisation Details'!$A:$H, 7, FALSE)</f>
        <v>7302.46</v>
      </c>
      <c r="M1450" s="22" t="str">
        <f>VLOOKUP($A1450, 'Hospitalisation Details'!$A:$L, 12, FALSE)</f>
        <v>tier - 3</v>
      </c>
      <c r="N1450" s="22" t="str">
        <f>VLOOKUP($A1450, 'Hospitalisation Details'!$A:$M, 13, FALSE)</f>
        <v>tier - 1</v>
      </c>
      <c r="O1450" s="22" t="str">
        <f>VLOOKUP($A1450, 'Hospitalisation Details'!$A:$N, 14, FALSE)</f>
        <v>R1012</v>
      </c>
      <c r="P1450" s="36">
        <f>VLOOKUP($A1450, 'Hospitalisation Details'!$A:$O, 15, FALSE)</f>
        <v>56</v>
      </c>
    </row>
    <row r="1451" ht="15.75" customHeight="1">
      <c r="A1451" s="33" t="s">
        <v>2901</v>
      </c>
      <c r="B1451" s="22" t="str">
        <f>VLOOKUP($A1451,'Customer Names'!$A:$D,3, FALSE)</f>
        <v>Linden</v>
      </c>
      <c r="C1451" s="22">
        <f>VLOOKUP($A1451,'Medical Examinations'!$A:$D, 2, FALSE)</f>
        <v>27.74</v>
      </c>
      <c r="D1451" s="22">
        <f>VLOOKUP($A1451, 'Medical Examinations'!$A:$D,3, FALSE)</f>
        <v>5.96</v>
      </c>
      <c r="E1451" s="22" t="str">
        <f>VLOOKUP($A1451, 'Medical Examinations'!$A:$D, 4, FALSE)</f>
        <v>Yes</v>
      </c>
      <c r="F1451" s="22" t="str">
        <f>VLOOKUP($A1451, 'Medical Examinations'!$A:$J, 5, FALSE)</f>
        <v>No</v>
      </c>
      <c r="G1451" s="22" t="str">
        <f>VLOOKUP($A1451, 'Medical Examinations'!$A:$I, 6, FALSE)</f>
        <v>No</v>
      </c>
      <c r="H1451" s="22">
        <f>VLOOKUP($A1451,'Medical Examinations'!$A:$L,10, FALSE)</f>
        <v>0</v>
      </c>
      <c r="I1451" s="22" t="str">
        <f>VLOOKUP($A1451, 'Medical Examinations'!$A:$J, 9, FALSE)</f>
        <v>No</v>
      </c>
      <c r="J1451" s="22" t="str">
        <f>VLOOKUP($A1451, 'Medical Examinations'!$A:$P, 11, FALSE)</f>
        <v>OVERWEIGHT</v>
      </c>
      <c r="K1451" s="34">
        <v>37481.0</v>
      </c>
      <c r="L1451" s="35">
        <f>VLOOKUP($A1451, 'Hospitalisation Details'!$A:$H, 7, FALSE)</f>
        <v>7281.51</v>
      </c>
      <c r="M1451" s="22" t="str">
        <f>VLOOKUP($A1451, 'Hospitalisation Details'!$A:$L, 12, FALSE)</f>
        <v>tier - 2</v>
      </c>
      <c r="N1451" s="22" t="str">
        <f>VLOOKUP($A1451, 'Hospitalisation Details'!$A:$M, 13, FALSE)</f>
        <v>tier - 1</v>
      </c>
      <c r="O1451" s="22" t="str">
        <f>VLOOKUP($A1451, 'Hospitalisation Details'!$A:$N, 14, FALSE)</f>
        <v>R1012</v>
      </c>
      <c r="P1451" s="36">
        <f>VLOOKUP($A1451, 'Hospitalisation Details'!$A:$O, 15, FALSE)</f>
        <v>37</v>
      </c>
    </row>
    <row r="1452" ht="15.75" customHeight="1">
      <c r="A1452" s="33" t="s">
        <v>2903</v>
      </c>
      <c r="B1452" s="22" t="str">
        <f>VLOOKUP($A1452,'Customer Names'!$A:$D,3, FALSE)</f>
        <v>Horning</v>
      </c>
      <c r="C1452" s="22">
        <f>VLOOKUP($A1452,'Medical Examinations'!$A:$D, 2, FALSE)</f>
        <v>22.44</v>
      </c>
      <c r="D1452" s="22">
        <f>VLOOKUP($A1452, 'Medical Examinations'!$A:$D,3, FALSE)</f>
        <v>4.62</v>
      </c>
      <c r="E1452" s="22" t="str">
        <f>VLOOKUP($A1452, 'Medical Examinations'!$A:$D, 4, FALSE)</f>
        <v>Yes</v>
      </c>
      <c r="F1452" s="22" t="str">
        <f>VLOOKUP($A1452, 'Medical Examinations'!$A:$J, 5, FALSE)</f>
        <v>No</v>
      </c>
      <c r="G1452" s="22" t="str">
        <f>VLOOKUP($A1452, 'Medical Examinations'!$A:$I, 6, FALSE)</f>
        <v>No</v>
      </c>
      <c r="H1452" s="22">
        <f>VLOOKUP($A1452,'Medical Examinations'!$A:$L,10, FALSE)</f>
        <v>0</v>
      </c>
      <c r="I1452" s="22" t="str">
        <f>VLOOKUP($A1452, 'Medical Examinations'!$A:$J, 9, FALSE)</f>
        <v>No</v>
      </c>
      <c r="J1452" s="22" t="str">
        <f>VLOOKUP($A1452, 'Medical Examinations'!$A:$P, 11, FALSE)</f>
        <v>NORMAL WEIGHT</v>
      </c>
      <c r="K1452" s="34">
        <v>36155.0</v>
      </c>
      <c r="L1452" s="35">
        <f>VLOOKUP($A1452, 'Hospitalisation Details'!$A:$H, 7, FALSE)</f>
        <v>7273.02</v>
      </c>
      <c r="M1452" s="22" t="str">
        <f>VLOOKUP($A1452, 'Hospitalisation Details'!$A:$L, 12, FALSE)</f>
        <v>tier - 2</v>
      </c>
      <c r="N1452" s="22" t="str">
        <f>VLOOKUP($A1452, 'Hospitalisation Details'!$A:$M, 13, FALSE)</f>
        <v>tier - 1</v>
      </c>
      <c r="O1452" s="22" t="str">
        <f>VLOOKUP($A1452, 'Hospitalisation Details'!$A:$N, 14, FALSE)</f>
        <v>R1013</v>
      </c>
      <c r="P1452" s="36">
        <f>VLOOKUP($A1452, 'Hospitalisation Details'!$A:$O, 15, FALSE)</f>
        <v>46</v>
      </c>
    </row>
    <row r="1453" ht="15.75" customHeight="1">
      <c r="A1453" s="33" t="s">
        <v>2905</v>
      </c>
      <c r="B1453" s="22" t="str">
        <f>VLOOKUP($A1453,'Customer Names'!$A:$D,3, FALSE)</f>
        <v>Goode</v>
      </c>
      <c r="C1453" s="22">
        <f>VLOOKUP($A1453,'Medical Examinations'!$A:$D, 2, FALSE)</f>
        <v>37.05</v>
      </c>
      <c r="D1453" s="22">
        <f>VLOOKUP($A1453, 'Medical Examinations'!$A:$D,3, FALSE)</f>
        <v>9.96</v>
      </c>
      <c r="E1453" s="22" t="str">
        <f>VLOOKUP($A1453, 'Medical Examinations'!$A:$D, 4, FALSE)</f>
        <v>Yes</v>
      </c>
      <c r="F1453" s="22" t="str">
        <f>VLOOKUP($A1453, 'Medical Examinations'!$A:$J, 5, FALSE)</f>
        <v>No</v>
      </c>
      <c r="G1453" s="22" t="str">
        <f>VLOOKUP($A1453, 'Medical Examinations'!$A:$I, 6, FALSE)</f>
        <v>No</v>
      </c>
      <c r="H1453" s="22">
        <f>VLOOKUP($A1453,'Medical Examinations'!$A:$L,10, FALSE)</f>
        <v>0</v>
      </c>
      <c r="I1453" s="22" t="str">
        <f>VLOOKUP($A1453, 'Medical Examinations'!$A:$J, 9, FALSE)</f>
        <v>No</v>
      </c>
      <c r="J1453" s="22" t="str">
        <f>VLOOKUP($A1453, 'Medical Examinations'!$A:$P, 11, FALSE)</f>
        <v>OBESITY</v>
      </c>
      <c r="K1453" s="34">
        <v>21431.0</v>
      </c>
      <c r="L1453" s="35">
        <f>VLOOKUP($A1453, 'Hospitalisation Details'!$A:$H, 7, FALSE)</f>
        <v>7265.7</v>
      </c>
      <c r="M1453" s="22" t="str">
        <f>VLOOKUP($A1453, 'Hospitalisation Details'!$A:$L, 12, FALSE)</f>
        <v>tier - 3</v>
      </c>
      <c r="N1453" s="22" t="str">
        <f>VLOOKUP($A1453, 'Hospitalisation Details'!$A:$M, 13, FALSE)</f>
        <v>tier - 3</v>
      </c>
      <c r="O1453" s="22" t="str">
        <f>VLOOKUP($A1453, 'Hospitalisation Details'!$A:$N, 14, FALSE)</f>
        <v>R1012</v>
      </c>
      <c r="P1453" s="36">
        <f>VLOOKUP($A1453, 'Hospitalisation Details'!$A:$O, 15, FALSE)</f>
        <v>41</v>
      </c>
    </row>
    <row r="1454" ht="15.75" customHeight="1">
      <c r="A1454" s="33" t="s">
        <v>2907</v>
      </c>
      <c r="B1454" s="22" t="str">
        <f>VLOOKUP($A1454,'Customer Names'!$A:$D,3, FALSE)</f>
        <v>Doden</v>
      </c>
      <c r="C1454" s="22">
        <f>VLOOKUP($A1454,'Medical Examinations'!$A:$D, 2, FALSE)</f>
        <v>22.95</v>
      </c>
      <c r="D1454" s="22">
        <f>VLOOKUP($A1454, 'Medical Examinations'!$A:$D,3, FALSE)</f>
        <v>10.53</v>
      </c>
      <c r="E1454" s="22" t="str">
        <f>VLOOKUP($A1454, 'Medical Examinations'!$A:$D, 4, FALSE)</f>
        <v>No</v>
      </c>
      <c r="F1454" s="22" t="str">
        <f>VLOOKUP($A1454, 'Medical Examinations'!$A:$J, 5, FALSE)</f>
        <v>No</v>
      </c>
      <c r="G1454" s="22" t="str">
        <f>VLOOKUP($A1454, 'Medical Examinations'!$A:$I, 6, FALSE)</f>
        <v>No</v>
      </c>
      <c r="H1454" s="22">
        <f>VLOOKUP($A1454,'Medical Examinations'!$A:$L,10, FALSE)</f>
        <v>2</v>
      </c>
      <c r="I1454" s="22" t="str">
        <f>VLOOKUP($A1454, 'Medical Examinations'!$A:$J, 9, FALSE)</f>
        <v>No</v>
      </c>
      <c r="J1454" s="22" t="str">
        <f>VLOOKUP($A1454, 'Medical Examinations'!$A:$P, 11, FALSE)</f>
        <v>NORMAL WEIGHT</v>
      </c>
      <c r="K1454" s="34">
        <v>34989.0</v>
      </c>
      <c r="L1454" s="35">
        <f>VLOOKUP($A1454, 'Hospitalisation Details'!$A:$H, 7, FALSE)</f>
        <v>7265.58</v>
      </c>
      <c r="M1454" s="22" t="str">
        <f>VLOOKUP($A1454, 'Hospitalisation Details'!$A:$L, 12, FALSE)</f>
        <v>tier - 2</v>
      </c>
      <c r="N1454" s="22" t="str">
        <f>VLOOKUP($A1454, 'Hospitalisation Details'!$A:$M, 13, FALSE)</f>
        <v>tier - 2</v>
      </c>
      <c r="O1454" s="22" t="str">
        <f>VLOOKUP($A1454, 'Hospitalisation Details'!$A:$N, 14, FALSE)</f>
        <v>R1013</v>
      </c>
      <c r="P1454" s="36">
        <f>VLOOKUP($A1454, 'Hospitalisation Details'!$A:$O, 15, FALSE)</f>
        <v>49</v>
      </c>
    </row>
    <row r="1455" ht="15.75" customHeight="1">
      <c r="A1455" s="33" t="s">
        <v>2909</v>
      </c>
      <c r="B1455" s="22" t="str">
        <f>VLOOKUP($A1455,'Customer Names'!$A:$D,3, FALSE)</f>
        <v>Groff</v>
      </c>
      <c r="C1455" s="22">
        <f>VLOOKUP($A1455,'Medical Examinations'!$A:$D, 2, FALSE)</f>
        <v>34.2</v>
      </c>
      <c r="D1455" s="22">
        <f>VLOOKUP($A1455, 'Medical Examinations'!$A:$D,3, FALSE)</f>
        <v>6.69</v>
      </c>
      <c r="E1455" s="22" t="str">
        <f>VLOOKUP($A1455, 'Medical Examinations'!$A:$D, 4, FALSE)</f>
        <v>Yes</v>
      </c>
      <c r="F1455" s="22" t="str">
        <f>VLOOKUP($A1455, 'Medical Examinations'!$A:$J, 5, FALSE)</f>
        <v>No</v>
      </c>
      <c r="G1455" s="22" t="str">
        <f>VLOOKUP($A1455, 'Medical Examinations'!$A:$I, 6, FALSE)</f>
        <v>No</v>
      </c>
      <c r="H1455" s="22">
        <f>VLOOKUP($A1455,'Medical Examinations'!$A:$L,10, FALSE)</f>
        <v>0</v>
      </c>
      <c r="I1455" s="22" t="str">
        <f>VLOOKUP($A1455, 'Medical Examinations'!$A:$J, 9, FALSE)</f>
        <v>No</v>
      </c>
      <c r="J1455" s="22" t="str">
        <f>VLOOKUP($A1455, 'Medical Examinations'!$A:$P, 11, FALSE)</f>
        <v>OBESITY</v>
      </c>
      <c r="K1455" s="34">
        <v>35655.0</v>
      </c>
      <c r="L1455" s="35">
        <f>VLOOKUP($A1455, 'Hospitalisation Details'!$A:$H, 7, FALSE)</f>
        <v>7261.74</v>
      </c>
      <c r="M1455" s="22" t="str">
        <f>VLOOKUP($A1455, 'Hospitalisation Details'!$A:$L, 12, FALSE)</f>
        <v>tier - 3</v>
      </c>
      <c r="N1455" s="22" t="str">
        <f>VLOOKUP($A1455, 'Hospitalisation Details'!$A:$M, 13, FALSE)</f>
        <v>tier - 3</v>
      </c>
      <c r="O1455" s="22" t="str">
        <f>VLOOKUP($A1455, 'Hospitalisation Details'!$A:$N, 14, FALSE)</f>
        <v>R1012</v>
      </c>
      <c r="P1455" s="36">
        <f>VLOOKUP($A1455, 'Hospitalisation Details'!$A:$O, 15, FALSE)</f>
        <v>41</v>
      </c>
    </row>
    <row r="1456" ht="15.75" customHeight="1">
      <c r="A1456" s="33" t="s">
        <v>2911</v>
      </c>
      <c r="B1456" s="22" t="str">
        <f>VLOOKUP($A1456,'Customer Names'!$A:$D,3, FALSE)</f>
        <v>Kuehler</v>
      </c>
      <c r="C1456" s="22">
        <f>VLOOKUP($A1456,'Medical Examinations'!$A:$D, 2, FALSE)</f>
        <v>30.59</v>
      </c>
      <c r="D1456" s="22">
        <f>VLOOKUP($A1456, 'Medical Examinations'!$A:$D,3, FALSE)</f>
        <v>9.55</v>
      </c>
      <c r="E1456" s="22" t="str">
        <f>VLOOKUP($A1456, 'Medical Examinations'!$A:$D, 4, FALSE)</f>
        <v>Yes</v>
      </c>
      <c r="F1456" s="22" t="str">
        <f>VLOOKUP($A1456, 'Medical Examinations'!$A:$J, 5, FALSE)</f>
        <v>No</v>
      </c>
      <c r="G1456" s="22" t="str">
        <f>VLOOKUP($A1456, 'Medical Examinations'!$A:$I, 6, FALSE)</f>
        <v>No</v>
      </c>
      <c r="H1456" s="22">
        <f>VLOOKUP($A1456,'Medical Examinations'!$A:$L,10, FALSE)</f>
        <v>0</v>
      </c>
      <c r="I1456" s="22" t="str">
        <f>VLOOKUP($A1456, 'Medical Examinations'!$A:$J, 9, FALSE)</f>
        <v>No</v>
      </c>
      <c r="J1456" s="22" t="str">
        <f>VLOOKUP($A1456, 'Medical Examinations'!$A:$P, 11, FALSE)</f>
        <v>OBESITY</v>
      </c>
      <c r="K1456" s="34">
        <v>38223.0</v>
      </c>
      <c r="L1456" s="35">
        <f>VLOOKUP($A1456, 'Hospitalisation Details'!$A:$H, 7, FALSE)</f>
        <v>7256.72</v>
      </c>
      <c r="M1456" s="22" t="str">
        <f>VLOOKUP($A1456, 'Hospitalisation Details'!$A:$L, 12, FALSE)</f>
        <v>tier - 3</v>
      </c>
      <c r="N1456" s="22" t="str">
        <f>VLOOKUP($A1456, 'Hospitalisation Details'!$A:$M, 13, FALSE)</f>
        <v>tier - 2</v>
      </c>
      <c r="O1456" s="22" t="str">
        <f>VLOOKUP($A1456, 'Hospitalisation Details'!$A:$N, 14, FALSE)</f>
        <v>R1012</v>
      </c>
      <c r="P1456" s="36">
        <f>VLOOKUP($A1456, 'Hospitalisation Details'!$A:$O, 15, FALSE)</f>
        <v>41</v>
      </c>
    </row>
    <row r="1457" ht="15.75" customHeight="1">
      <c r="A1457" s="33" t="s">
        <v>2913</v>
      </c>
      <c r="B1457" s="22" t="str">
        <f>VLOOKUP($A1457,'Customer Names'!$A:$D,3, FALSE)</f>
        <v>Daniels</v>
      </c>
      <c r="C1457" s="22">
        <f>VLOOKUP($A1457,'Medical Examinations'!$A:$D, 2, FALSE)</f>
        <v>25.51</v>
      </c>
      <c r="D1457" s="22">
        <f>VLOOKUP($A1457, 'Medical Examinations'!$A:$D,3, FALSE)</f>
        <v>6.05</v>
      </c>
      <c r="E1457" s="22" t="str">
        <f>VLOOKUP($A1457, 'Medical Examinations'!$A:$D, 4, FALSE)</f>
        <v>No</v>
      </c>
      <c r="F1457" s="22" t="str">
        <f>VLOOKUP($A1457, 'Medical Examinations'!$A:$J, 5, FALSE)</f>
        <v>No</v>
      </c>
      <c r="G1457" s="22" t="str">
        <f>VLOOKUP($A1457, 'Medical Examinations'!$A:$I, 6, FALSE)</f>
        <v>No</v>
      </c>
      <c r="H1457" s="22">
        <f>VLOOKUP($A1457,'Medical Examinations'!$A:$L,10, FALSE)</f>
        <v>0</v>
      </c>
      <c r="I1457" s="22" t="str">
        <f>VLOOKUP($A1457, 'Medical Examinations'!$A:$J, 9, FALSE)</f>
        <v>No</v>
      </c>
      <c r="J1457" s="22" t="str">
        <f>VLOOKUP($A1457, 'Medical Examinations'!$A:$P, 11, FALSE)</f>
        <v>OVERWEIGHT</v>
      </c>
      <c r="K1457" s="34">
        <v>34240.0</v>
      </c>
      <c r="L1457" s="35">
        <f>VLOOKUP($A1457, 'Hospitalisation Details'!$A:$H, 7, FALSE)</f>
        <v>7248.71</v>
      </c>
      <c r="M1457" s="22" t="str">
        <f>VLOOKUP($A1457, 'Hospitalisation Details'!$A:$L, 12, FALSE)</f>
        <v>tier - 2</v>
      </c>
      <c r="N1457" s="22" t="str">
        <f>VLOOKUP($A1457, 'Hospitalisation Details'!$A:$M, 13, FALSE)</f>
        <v>tier - 1</v>
      </c>
      <c r="O1457" s="22" t="str">
        <f>VLOOKUP($A1457, 'Hospitalisation Details'!$A:$N, 14, FALSE)</f>
        <v>R1013</v>
      </c>
      <c r="P1457" s="36">
        <f>VLOOKUP($A1457, 'Hospitalisation Details'!$A:$O, 15, FALSE)</f>
        <v>40</v>
      </c>
    </row>
    <row r="1458" ht="15.75" customHeight="1">
      <c r="A1458" s="33" t="s">
        <v>2915</v>
      </c>
      <c r="B1458" s="22" t="str">
        <f>VLOOKUP($A1458,'Customer Names'!$A:$D,3, FALSE)</f>
        <v>Gibby</v>
      </c>
      <c r="C1458" s="22">
        <f>VLOOKUP($A1458,'Medical Examinations'!$A:$D, 2, FALSE)</f>
        <v>29.04</v>
      </c>
      <c r="D1458" s="22">
        <f>VLOOKUP($A1458, 'Medical Examinations'!$A:$D,3, FALSE)</f>
        <v>10.56</v>
      </c>
      <c r="E1458" s="22" t="str">
        <f>VLOOKUP($A1458, 'Medical Examinations'!$A:$D, 4, FALSE)</f>
        <v>Yes</v>
      </c>
      <c r="F1458" s="22" t="str">
        <f>VLOOKUP($A1458, 'Medical Examinations'!$A:$J, 5, FALSE)</f>
        <v>No</v>
      </c>
      <c r="G1458" s="22" t="str">
        <f>VLOOKUP($A1458, 'Medical Examinations'!$A:$I, 6, FALSE)</f>
        <v>No</v>
      </c>
      <c r="H1458" s="22">
        <f>VLOOKUP($A1458,'Medical Examinations'!$A:$L,10, FALSE)</f>
        <v>1</v>
      </c>
      <c r="I1458" s="22" t="str">
        <f>VLOOKUP($A1458, 'Medical Examinations'!$A:$J, 9, FALSE)</f>
        <v>No</v>
      </c>
      <c r="J1458" s="22" t="str">
        <f>VLOOKUP($A1458, 'Medical Examinations'!$A:$P, 11, FALSE)</f>
        <v>OVERWEIGHT</v>
      </c>
      <c r="K1458" s="34">
        <v>34851.0</v>
      </c>
      <c r="L1458" s="35">
        <f>VLOOKUP($A1458, 'Hospitalisation Details'!$A:$H, 7, FALSE)</f>
        <v>7243.81</v>
      </c>
      <c r="M1458" s="22" t="str">
        <f>VLOOKUP($A1458, 'Hospitalisation Details'!$A:$L, 12, FALSE)</f>
        <v>tier - 2</v>
      </c>
      <c r="N1458" s="22" t="str">
        <f>VLOOKUP($A1458, 'Hospitalisation Details'!$A:$M, 13, FALSE)</f>
        <v>tier - 3</v>
      </c>
      <c r="O1458" s="22" t="str">
        <f>VLOOKUP($A1458, 'Hospitalisation Details'!$A:$N, 14, FALSE)</f>
        <v>R1013</v>
      </c>
      <c r="P1458" s="36">
        <f>VLOOKUP($A1458, 'Hospitalisation Details'!$A:$O, 15, FALSE)</f>
        <v>36</v>
      </c>
    </row>
    <row r="1459" ht="15.75" customHeight="1">
      <c r="A1459" s="33" t="s">
        <v>2917</v>
      </c>
      <c r="B1459" s="22" t="str">
        <f>VLOOKUP($A1459,'Customer Names'!$A:$D,3, FALSE)</f>
        <v>Busa</v>
      </c>
      <c r="C1459" s="22">
        <f>VLOOKUP($A1459,'Medical Examinations'!$A:$D, 2, FALSE)</f>
        <v>22.135</v>
      </c>
      <c r="D1459" s="22">
        <f>VLOOKUP($A1459, 'Medical Examinations'!$A:$D,3, FALSE)</f>
        <v>10.81</v>
      </c>
      <c r="E1459" s="22" t="str">
        <f>VLOOKUP($A1459, 'Medical Examinations'!$A:$D, 4, FALSE)</f>
        <v>Yes</v>
      </c>
      <c r="F1459" s="22" t="str">
        <f>VLOOKUP($A1459, 'Medical Examinations'!$A:$J, 5, FALSE)</f>
        <v>No</v>
      </c>
      <c r="G1459" s="22" t="str">
        <f>VLOOKUP($A1459, 'Medical Examinations'!$A:$I, 6, FALSE)</f>
        <v>No</v>
      </c>
      <c r="H1459" s="22">
        <f>VLOOKUP($A1459,'Medical Examinations'!$A:$L,10, FALSE)</f>
        <v>1</v>
      </c>
      <c r="I1459" s="22" t="str">
        <f>VLOOKUP($A1459, 'Medical Examinations'!$A:$J, 9, FALSE)</f>
        <v>No</v>
      </c>
      <c r="J1459" s="22" t="str">
        <f>VLOOKUP($A1459, 'Medical Examinations'!$A:$P, 11, FALSE)</f>
        <v>NORMAL WEIGHT</v>
      </c>
      <c r="K1459" s="34">
        <v>37438.0</v>
      </c>
      <c r="L1459" s="35">
        <f>VLOOKUP($A1459, 'Hospitalisation Details'!$A:$H, 7, FALSE)</f>
        <v>7228.22</v>
      </c>
      <c r="M1459" s="22" t="str">
        <f>VLOOKUP($A1459, 'Hospitalisation Details'!$A:$L, 12, FALSE)</f>
        <v>tier - 2</v>
      </c>
      <c r="N1459" s="22" t="str">
        <f>VLOOKUP($A1459, 'Hospitalisation Details'!$A:$M, 13, FALSE)</f>
        <v>tier - 1</v>
      </c>
      <c r="O1459" s="22" t="str">
        <f>VLOOKUP($A1459, 'Hospitalisation Details'!$A:$N, 14, FALSE)</f>
        <v>R1024</v>
      </c>
      <c r="P1459" s="36">
        <f>VLOOKUP($A1459, 'Hospitalisation Details'!$A:$O, 15, FALSE)</f>
        <v>36</v>
      </c>
    </row>
    <row r="1460" ht="15.75" customHeight="1">
      <c r="A1460" s="33" t="s">
        <v>2919</v>
      </c>
      <c r="B1460" s="22" t="str">
        <f>VLOOKUP($A1460,'Customer Names'!$A:$D,3, FALSE)</f>
        <v>Moyo</v>
      </c>
      <c r="C1460" s="22">
        <f>VLOOKUP($A1460,'Medical Examinations'!$A:$D, 2, FALSE)</f>
        <v>21.375</v>
      </c>
      <c r="D1460" s="22">
        <f>VLOOKUP($A1460, 'Medical Examinations'!$A:$D,3, FALSE)</f>
        <v>4.32</v>
      </c>
      <c r="E1460" s="22" t="str">
        <f>VLOOKUP($A1460, 'Medical Examinations'!$A:$D, 4, FALSE)</f>
        <v>No</v>
      </c>
      <c r="F1460" s="22" t="str">
        <f>VLOOKUP($A1460, 'Medical Examinations'!$A:$J, 5, FALSE)</f>
        <v>No</v>
      </c>
      <c r="G1460" s="22" t="str">
        <f>VLOOKUP($A1460, 'Medical Examinations'!$A:$I, 6, FALSE)</f>
        <v>No</v>
      </c>
      <c r="H1460" s="22">
        <f>VLOOKUP($A1460,'Medical Examinations'!$A:$L,10, FALSE)</f>
        <v>0</v>
      </c>
      <c r="I1460" s="22" t="str">
        <f>VLOOKUP($A1460, 'Medical Examinations'!$A:$J, 9, FALSE)</f>
        <v>No</v>
      </c>
      <c r="J1460" s="22" t="str">
        <f>VLOOKUP($A1460, 'Medical Examinations'!$A:$P, 11, FALSE)</f>
        <v>NORMAL WEIGHT</v>
      </c>
      <c r="K1460" s="34">
        <v>37457.0</v>
      </c>
      <c r="L1460" s="35">
        <f>VLOOKUP($A1460, 'Hospitalisation Details'!$A:$H, 7, FALSE)</f>
        <v>7222.79</v>
      </c>
      <c r="M1460" s="22" t="str">
        <f>VLOOKUP($A1460, 'Hospitalisation Details'!$A:$L, 12, FALSE)</f>
        <v>tier - 3</v>
      </c>
      <c r="N1460" s="22" t="str">
        <f>VLOOKUP($A1460, 'Hospitalisation Details'!$A:$M, 13, FALSE)</f>
        <v>tier - 3</v>
      </c>
      <c r="O1460" s="22" t="str">
        <f>VLOOKUP($A1460, 'Hospitalisation Details'!$A:$N, 14, FALSE)</f>
        <v>R1012</v>
      </c>
      <c r="P1460" s="36">
        <f>VLOOKUP($A1460, 'Hospitalisation Details'!$A:$O, 15, FALSE)</f>
        <v>45</v>
      </c>
    </row>
    <row r="1461" ht="15.75" customHeight="1">
      <c r="A1461" s="33" t="s">
        <v>2921</v>
      </c>
      <c r="B1461" s="22" t="str">
        <f>VLOOKUP($A1461,'Customer Names'!$A:$D,3, FALSE)</f>
        <v>Horn</v>
      </c>
      <c r="C1461" s="22">
        <f>VLOOKUP($A1461,'Medical Examinations'!$A:$D, 2, FALSE)</f>
        <v>29.19</v>
      </c>
      <c r="D1461" s="22">
        <f>VLOOKUP($A1461, 'Medical Examinations'!$A:$D,3, FALSE)</f>
        <v>4.37</v>
      </c>
      <c r="E1461" s="22" t="str">
        <f>VLOOKUP($A1461, 'Medical Examinations'!$A:$D, 4, FALSE)</f>
        <v>No</v>
      </c>
      <c r="F1461" s="22" t="str">
        <f>VLOOKUP($A1461, 'Medical Examinations'!$A:$J, 5, FALSE)</f>
        <v>No</v>
      </c>
      <c r="G1461" s="22" t="str">
        <f>VLOOKUP($A1461, 'Medical Examinations'!$A:$I, 6, FALSE)</f>
        <v>No</v>
      </c>
      <c r="H1461" s="22">
        <f>VLOOKUP($A1461,'Medical Examinations'!$A:$L,10, FALSE)</f>
        <v>0</v>
      </c>
      <c r="I1461" s="22" t="str">
        <f>VLOOKUP($A1461, 'Medical Examinations'!$A:$J, 9, FALSE)</f>
        <v>No</v>
      </c>
      <c r="J1461" s="22" t="str">
        <f>VLOOKUP($A1461, 'Medical Examinations'!$A:$P, 11, FALSE)</f>
        <v>OVERWEIGHT</v>
      </c>
      <c r="K1461" s="34">
        <v>34655.0</v>
      </c>
      <c r="L1461" s="35">
        <f>VLOOKUP($A1461, 'Hospitalisation Details'!$A:$H, 7, FALSE)</f>
        <v>7220.25</v>
      </c>
      <c r="M1461" s="22" t="str">
        <f>VLOOKUP($A1461, 'Hospitalisation Details'!$A:$L, 12, FALSE)</f>
        <v>tier - 2</v>
      </c>
      <c r="N1461" s="22" t="str">
        <f>VLOOKUP($A1461, 'Hospitalisation Details'!$A:$M, 13, FALSE)</f>
        <v>tier - 2</v>
      </c>
      <c r="O1461" s="22" t="str">
        <f>VLOOKUP($A1461, 'Hospitalisation Details'!$A:$N, 14, FALSE)</f>
        <v>R1021</v>
      </c>
      <c r="P1461" s="36">
        <f>VLOOKUP($A1461, 'Hospitalisation Details'!$A:$O, 15, FALSE)</f>
        <v>31</v>
      </c>
    </row>
    <row r="1462" ht="15.75" customHeight="1">
      <c r="A1462" s="33" t="s">
        <v>2923</v>
      </c>
      <c r="B1462" s="22" t="str">
        <f>VLOOKUP($A1462,'Customer Names'!$A:$D,3, FALSE)</f>
        <v>Bien</v>
      </c>
      <c r="C1462" s="22">
        <f>VLOOKUP($A1462,'Medical Examinations'!$A:$D, 2, FALSE)</f>
        <v>31.92</v>
      </c>
      <c r="D1462" s="22">
        <f>VLOOKUP($A1462, 'Medical Examinations'!$A:$D,3, FALSE)</f>
        <v>4.81</v>
      </c>
      <c r="E1462" s="22" t="str">
        <f>VLOOKUP($A1462, 'Medical Examinations'!$A:$D, 4, FALSE)</f>
        <v>Yes</v>
      </c>
      <c r="F1462" s="22" t="str">
        <f>VLOOKUP($A1462, 'Medical Examinations'!$A:$J, 5, FALSE)</f>
        <v>No</v>
      </c>
      <c r="G1462" s="22" t="str">
        <f>VLOOKUP($A1462, 'Medical Examinations'!$A:$I, 6, FALSE)</f>
        <v>Yes</v>
      </c>
      <c r="H1462" s="22">
        <f>VLOOKUP($A1462,'Medical Examinations'!$A:$L,10, FALSE)</f>
        <v>1</v>
      </c>
      <c r="I1462" s="22" t="str">
        <f>VLOOKUP($A1462, 'Medical Examinations'!$A:$J, 9, FALSE)</f>
        <v>No</v>
      </c>
      <c r="J1462" s="22" t="str">
        <f>VLOOKUP($A1462, 'Medical Examinations'!$A:$P, 11, FALSE)</f>
        <v>OBESITY</v>
      </c>
      <c r="K1462" s="34">
        <v>34977.0</v>
      </c>
      <c r="L1462" s="35">
        <f>VLOOKUP($A1462, 'Hospitalisation Details'!$A:$H, 7, FALSE)</f>
        <v>7209.49</v>
      </c>
      <c r="M1462" s="22" t="str">
        <f>VLOOKUP($A1462, 'Hospitalisation Details'!$A:$L, 12, FALSE)</f>
        <v>tier - 2</v>
      </c>
      <c r="N1462" s="22" t="str">
        <f>VLOOKUP($A1462, 'Hospitalisation Details'!$A:$M, 13, FALSE)</f>
        <v>tier - 3</v>
      </c>
      <c r="O1462" s="22" t="str">
        <f>VLOOKUP($A1462, 'Hospitalisation Details'!$A:$N, 14, FALSE)</f>
        <v>R1012</v>
      </c>
      <c r="P1462" s="36">
        <f>VLOOKUP($A1462, 'Hospitalisation Details'!$A:$O, 15, FALSE)</f>
        <v>39</v>
      </c>
    </row>
    <row r="1463" ht="15.75" customHeight="1">
      <c r="A1463" s="33" t="s">
        <v>2925</v>
      </c>
      <c r="B1463" s="22" t="str">
        <f>VLOOKUP($A1463,'Customer Names'!$A:$D,3, FALSE)</f>
        <v>O'Connor</v>
      </c>
      <c r="C1463" s="22">
        <f>VLOOKUP($A1463,'Medical Examinations'!$A:$D, 2, FALSE)</f>
        <v>26.315</v>
      </c>
      <c r="D1463" s="22">
        <f>VLOOKUP($A1463, 'Medical Examinations'!$A:$D,3, FALSE)</f>
        <v>4.56</v>
      </c>
      <c r="E1463" s="22" t="str">
        <f>VLOOKUP($A1463, 'Medical Examinations'!$A:$D, 4, FALSE)</f>
        <v>Yes</v>
      </c>
      <c r="F1463" s="22" t="str">
        <f>VLOOKUP($A1463, 'Medical Examinations'!$A:$J, 5, FALSE)</f>
        <v>No</v>
      </c>
      <c r="G1463" s="22" t="str">
        <f>VLOOKUP($A1463, 'Medical Examinations'!$A:$I, 6, FALSE)</f>
        <v>Yes</v>
      </c>
      <c r="H1463" s="22">
        <f>VLOOKUP($A1463,'Medical Examinations'!$A:$L,10, FALSE)</f>
        <v>1</v>
      </c>
      <c r="I1463" s="22" t="str">
        <f>VLOOKUP($A1463, 'Medical Examinations'!$A:$J, 9, FALSE)</f>
        <v>No</v>
      </c>
      <c r="J1463" s="22" t="str">
        <f>VLOOKUP($A1463, 'Medical Examinations'!$A:$P, 11, FALSE)</f>
        <v>OVERWEIGHT</v>
      </c>
      <c r="K1463" s="34">
        <v>36377.0</v>
      </c>
      <c r="L1463" s="35">
        <f>VLOOKUP($A1463, 'Hospitalisation Details'!$A:$H, 7, FALSE)</f>
        <v>7201.7</v>
      </c>
      <c r="M1463" s="22" t="str">
        <f>VLOOKUP($A1463, 'Hospitalisation Details'!$A:$L, 12, FALSE)</f>
        <v>tier - 2</v>
      </c>
      <c r="N1463" s="22" t="str">
        <f>VLOOKUP($A1463, 'Hospitalisation Details'!$A:$M, 13, FALSE)</f>
        <v>tier - 3</v>
      </c>
      <c r="O1463" s="22" t="str">
        <f>VLOOKUP($A1463, 'Hospitalisation Details'!$A:$N, 14, FALSE)</f>
        <v>R1012</v>
      </c>
      <c r="P1463" s="36">
        <f>VLOOKUP($A1463, 'Hospitalisation Details'!$A:$O, 15, FALSE)</f>
        <v>39</v>
      </c>
    </row>
    <row r="1464" ht="15.75" customHeight="1">
      <c r="A1464" s="33" t="s">
        <v>2927</v>
      </c>
      <c r="B1464" s="22" t="str">
        <f>VLOOKUP($A1464,'Customer Names'!$A:$D,3, FALSE)</f>
        <v>Ash</v>
      </c>
      <c r="C1464" s="22">
        <f>VLOOKUP($A1464,'Medical Examinations'!$A:$D, 2, FALSE)</f>
        <v>35.3</v>
      </c>
      <c r="D1464" s="22">
        <f>VLOOKUP($A1464, 'Medical Examinations'!$A:$D,3, FALSE)</f>
        <v>4.39</v>
      </c>
      <c r="E1464" s="22" t="str">
        <f>VLOOKUP($A1464, 'Medical Examinations'!$A:$D, 4, FALSE)</f>
        <v>No</v>
      </c>
      <c r="F1464" s="22" t="str">
        <f>VLOOKUP($A1464, 'Medical Examinations'!$A:$J, 5, FALSE)</f>
        <v>No</v>
      </c>
      <c r="G1464" s="22" t="str">
        <f>VLOOKUP($A1464, 'Medical Examinations'!$A:$I, 6, FALSE)</f>
        <v>No</v>
      </c>
      <c r="H1464" s="22">
        <f>VLOOKUP($A1464,'Medical Examinations'!$A:$L,10, FALSE)</f>
        <v>0</v>
      </c>
      <c r="I1464" s="22" t="str">
        <f>VLOOKUP($A1464, 'Medical Examinations'!$A:$J, 9, FALSE)</f>
        <v>No</v>
      </c>
      <c r="J1464" s="22" t="str">
        <f>VLOOKUP($A1464, 'Medical Examinations'!$A:$P, 11, FALSE)</f>
        <v>OBESITY</v>
      </c>
      <c r="K1464" s="34">
        <v>36808.0</v>
      </c>
      <c r="L1464" s="35">
        <f>VLOOKUP($A1464, 'Hospitalisation Details'!$A:$H, 7, FALSE)</f>
        <v>7196.87</v>
      </c>
      <c r="M1464" s="22" t="str">
        <f>VLOOKUP($A1464, 'Hospitalisation Details'!$A:$L, 12, FALSE)</f>
        <v>tier - 3</v>
      </c>
      <c r="N1464" s="22" t="str">
        <f>VLOOKUP($A1464, 'Hospitalisation Details'!$A:$M, 13, FALSE)</f>
        <v>tier - 2</v>
      </c>
      <c r="O1464" s="22" t="str">
        <f>VLOOKUP($A1464, 'Hospitalisation Details'!$A:$N, 14, FALSE)</f>
        <v>R1011</v>
      </c>
      <c r="P1464" s="36">
        <f>VLOOKUP($A1464, 'Hospitalisation Details'!$A:$O, 15, FALSE)</f>
        <v>40</v>
      </c>
    </row>
    <row r="1465" ht="15.75" customHeight="1">
      <c r="A1465" s="33" t="s">
        <v>2929</v>
      </c>
      <c r="B1465" s="22" t="str">
        <f>VLOOKUP($A1465,'Customer Names'!$A:$D,3, FALSE)</f>
        <v>D</v>
      </c>
      <c r="C1465" s="22">
        <f>VLOOKUP($A1465,'Medical Examinations'!$A:$D, 2, FALSE)</f>
        <v>18.91</v>
      </c>
      <c r="D1465" s="22">
        <f>VLOOKUP($A1465, 'Medical Examinations'!$A:$D,3, FALSE)</f>
        <v>11.44</v>
      </c>
      <c r="E1465" s="22" t="str">
        <f>VLOOKUP($A1465, 'Medical Examinations'!$A:$D, 4, FALSE)</f>
        <v>No</v>
      </c>
      <c r="F1465" s="22" t="str">
        <f>VLOOKUP($A1465, 'Medical Examinations'!$A:$J, 5, FALSE)</f>
        <v>No</v>
      </c>
      <c r="G1465" s="22" t="str">
        <f>VLOOKUP($A1465, 'Medical Examinations'!$A:$I, 6, FALSE)</f>
        <v>No</v>
      </c>
      <c r="H1465" s="22">
        <f>VLOOKUP($A1465,'Medical Examinations'!$A:$L,10, FALSE)</f>
        <v>0</v>
      </c>
      <c r="I1465" s="22" t="str">
        <f>VLOOKUP($A1465, 'Medical Examinations'!$A:$J, 9, FALSE)</f>
        <v>No</v>
      </c>
      <c r="J1465" s="22" t="str">
        <f>VLOOKUP($A1465, 'Medical Examinations'!$A:$P, 11, FALSE)</f>
        <v>NORMAL WEIGHT</v>
      </c>
      <c r="K1465" s="34">
        <v>37881.0</v>
      </c>
      <c r="L1465" s="35">
        <f>VLOOKUP($A1465, 'Hospitalisation Details'!$A:$H, 7, FALSE)</f>
        <v>7179.52</v>
      </c>
      <c r="M1465" s="22" t="str">
        <f>VLOOKUP($A1465, 'Hospitalisation Details'!$A:$L, 12, FALSE)</f>
        <v>tier - 3</v>
      </c>
      <c r="N1465" s="22" t="str">
        <f>VLOOKUP($A1465, 'Hospitalisation Details'!$A:$M, 13, FALSE)</f>
        <v>tier - 3</v>
      </c>
      <c r="O1465" s="22" t="str">
        <f>VLOOKUP($A1465, 'Hospitalisation Details'!$A:$N, 14, FALSE)</f>
        <v>R1013</v>
      </c>
      <c r="P1465" s="36">
        <f>VLOOKUP($A1465, 'Hospitalisation Details'!$A:$O, 15, FALSE)</f>
        <v>54</v>
      </c>
    </row>
    <row r="1466" ht="15.75" customHeight="1">
      <c r="A1466" s="33" t="s">
        <v>2931</v>
      </c>
      <c r="B1466" s="22" t="str">
        <f>VLOOKUP($A1466,'Customer Names'!$A:$D,3, FALSE)</f>
        <v>Phillips</v>
      </c>
      <c r="C1466" s="22">
        <f>VLOOKUP($A1466,'Medical Examinations'!$A:$D, 2, FALSE)</f>
        <v>22.41</v>
      </c>
      <c r="D1466" s="22">
        <f>VLOOKUP($A1466, 'Medical Examinations'!$A:$D,3, FALSE)</f>
        <v>11.37</v>
      </c>
      <c r="E1466" s="22" t="str">
        <f>VLOOKUP($A1466, 'Medical Examinations'!$A:$D, 4, FALSE)</f>
        <v>Yes</v>
      </c>
      <c r="F1466" s="22" t="str">
        <f>VLOOKUP($A1466, 'Medical Examinations'!$A:$J, 5, FALSE)</f>
        <v>No</v>
      </c>
      <c r="G1466" s="22" t="str">
        <f>VLOOKUP($A1466, 'Medical Examinations'!$A:$I, 6, FALSE)</f>
        <v>No</v>
      </c>
      <c r="H1466" s="22">
        <f>VLOOKUP($A1466,'Medical Examinations'!$A:$L,10, FALSE)</f>
        <v>1</v>
      </c>
      <c r="I1466" s="22" t="str">
        <f>VLOOKUP($A1466, 'Medical Examinations'!$A:$J, 9, FALSE)</f>
        <v>No</v>
      </c>
      <c r="J1466" s="22" t="str">
        <f>VLOOKUP($A1466, 'Medical Examinations'!$A:$P, 11, FALSE)</f>
        <v>NORMAL WEIGHT</v>
      </c>
      <c r="K1466" s="34">
        <v>34660.0</v>
      </c>
      <c r="L1466" s="35">
        <f>VLOOKUP($A1466, 'Hospitalisation Details'!$A:$H, 7, FALSE)</f>
        <v>7175.51</v>
      </c>
      <c r="M1466" s="22" t="str">
        <f>VLOOKUP($A1466, 'Hospitalisation Details'!$A:$L, 12, FALSE)</f>
        <v>tier - 2</v>
      </c>
      <c r="N1466" s="22" t="str">
        <f>VLOOKUP($A1466, 'Hospitalisation Details'!$A:$M, 13, FALSE)</f>
        <v>tier - 3</v>
      </c>
      <c r="O1466" s="22" t="str">
        <f>VLOOKUP($A1466, 'Hospitalisation Details'!$A:$N, 14, FALSE)</f>
        <v>R1013</v>
      </c>
      <c r="P1466" s="36">
        <f>VLOOKUP($A1466, 'Hospitalisation Details'!$A:$O, 15, FALSE)</f>
        <v>47</v>
      </c>
    </row>
    <row r="1467" ht="15.75" customHeight="1">
      <c r="A1467" s="33" t="s">
        <v>2933</v>
      </c>
      <c r="B1467" s="22" t="str">
        <f>VLOOKUP($A1467,'Customer Names'!$A:$D,3, FALSE)</f>
        <v>Kelly</v>
      </c>
      <c r="C1467" s="22">
        <f>VLOOKUP($A1467,'Medical Examinations'!$A:$D, 2, FALSE)</f>
        <v>22.705</v>
      </c>
      <c r="D1467" s="22">
        <f>VLOOKUP($A1467, 'Medical Examinations'!$A:$D,3, FALSE)</f>
        <v>6.14</v>
      </c>
      <c r="E1467" s="22" t="str">
        <f>VLOOKUP($A1467, 'Medical Examinations'!$A:$D, 4, FALSE)</f>
        <v>No</v>
      </c>
      <c r="F1467" s="22" t="str">
        <f>VLOOKUP($A1467, 'Medical Examinations'!$A:$J, 5, FALSE)</f>
        <v>No</v>
      </c>
      <c r="G1467" s="22" t="str">
        <f>VLOOKUP($A1467, 'Medical Examinations'!$A:$I, 6, FALSE)</f>
        <v>No</v>
      </c>
      <c r="H1467" s="22">
        <f>VLOOKUP($A1467,'Medical Examinations'!$A:$L,10, FALSE)</f>
        <v>0</v>
      </c>
      <c r="I1467" s="22" t="str">
        <f>VLOOKUP($A1467, 'Medical Examinations'!$A:$J, 9, FALSE)</f>
        <v>No</v>
      </c>
      <c r="J1467" s="22" t="str">
        <f>VLOOKUP($A1467, 'Medical Examinations'!$A:$P, 11, FALSE)</f>
        <v>NORMAL WEIGHT</v>
      </c>
      <c r="K1467" s="34">
        <v>37122.0</v>
      </c>
      <c r="L1467" s="35">
        <f>VLOOKUP($A1467, 'Hospitalisation Details'!$A:$H, 7, FALSE)</f>
        <v>7173.36</v>
      </c>
      <c r="M1467" s="22" t="str">
        <f>VLOOKUP($A1467, 'Hospitalisation Details'!$A:$L, 12, FALSE)</f>
        <v>tier - 3</v>
      </c>
      <c r="N1467" s="22" t="str">
        <f>VLOOKUP($A1467, 'Hospitalisation Details'!$A:$M, 13, FALSE)</f>
        <v>tier - 2</v>
      </c>
      <c r="O1467" s="22" t="str">
        <f>VLOOKUP($A1467, 'Hospitalisation Details'!$A:$N, 14, FALSE)</f>
        <v>R1016</v>
      </c>
      <c r="P1467" s="36">
        <f>VLOOKUP($A1467, 'Hospitalisation Details'!$A:$O, 15, FALSE)</f>
        <v>40</v>
      </c>
    </row>
    <row r="1468" ht="15.75" customHeight="1">
      <c r="A1468" s="33" t="s">
        <v>2935</v>
      </c>
      <c r="B1468" s="22" t="str">
        <f>VLOOKUP($A1468,'Customer Names'!$A:$D,3, FALSE)</f>
        <v>Dever</v>
      </c>
      <c r="C1468" s="22">
        <f>VLOOKUP($A1468,'Medical Examinations'!$A:$D, 2, FALSE)</f>
        <v>37.18</v>
      </c>
      <c r="D1468" s="22">
        <f>VLOOKUP($A1468, 'Medical Examinations'!$A:$D,3, FALSE)</f>
        <v>4.89</v>
      </c>
      <c r="E1468" s="22" t="str">
        <f>VLOOKUP($A1468, 'Medical Examinations'!$A:$D, 4, FALSE)</f>
        <v>No</v>
      </c>
      <c r="F1468" s="22" t="str">
        <f>VLOOKUP($A1468, 'Medical Examinations'!$A:$J, 5, FALSE)</f>
        <v>No</v>
      </c>
      <c r="G1468" s="22" t="str">
        <f>VLOOKUP($A1468, 'Medical Examinations'!$A:$I, 6, FALSE)</f>
        <v>No</v>
      </c>
      <c r="H1468" s="22">
        <f>VLOOKUP($A1468,'Medical Examinations'!$A:$L,10, FALSE)</f>
        <v>0</v>
      </c>
      <c r="I1468" s="22" t="str">
        <f>VLOOKUP($A1468, 'Medical Examinations'!$A:$J, 9, FALSE)</f>
        <v>No</v>
      </c>
      <c r="J1468" s="22" t="str">
        <f>VLOOKUP($A1468, 'Medical Examinations'!$A:$P, 11, FALSE)</f>
        <v>OBESITY</v>
      </c>
      <c r="K1468" s="34">
        <v>35000.0</v>
      </c>
      <c r="L1468" s="35">
        <f>VLOOKUP($A1468, 'Hospitalisation Details'!$A:$H, 7, FALSE)</f>
        <v>7162.01</v>
      </c>
      <c r="M1468" s="22" t="str">
        <f>VLOOKUP($A1468, 'Hospitalisation Details'!$A:$L, 12, FALSE)</f>
        <v>tier - 2</v>
      </c>
      <c r="N1468" s="22" t="str">
        <f>VLOOKUP($A1468, 'Hospitalisation Details'!$A:$M, 13, FALSE)</f>
        <v>tier - 3</v>
      </c>
      <c r="O1468" s="22" t="str">
        <f>VLOOKUP($A1468, 'Hospitalisation Details'!$A:$N, 14, FALSE)</f>
        <v>R1013</v>
      </c>
      <c r="P1468" s="36">
        <f>VLOOKUP($A1468, 'Hospitalisation Details'!$A:$O, 15, FALSE)</f>
        <v>42</v>
      </c>
    </row>
    <row r="1469" ht="15.75" customHeight="1">
      <c r="A1469" s="33" t="s">
        <v>2937</v>
      </c>
      <c r="B1469" s="22" t="str">
        <f>VLOOKUP($A1469,'Customer Names'!$A:$D,3, FALSE)</f>
        <v>Horvath</v>
      </c>
      <c r="C1469" s="22">
        <f>VLOOKUP($A1469,'Medical Examinations'!$A:$D, 2, FALSE)</f>
        <v>35.97</v>
      </c>
      <c r="D1469" s="22">
        <f>VLOOKUP($A1469, 'Medical Examinations'!$A:$D,3, FALSE)</f>
        <v>4.6</v>
      </c>
      <c r="E1469" s="22" t="str">
        <f>VLOOKUP($A1469, 'Medical Examinations'!$A:$D, 4, FALSE)</f>
        <v>No</v>
      </c>
      <c r="F1469" s="22" t="str">
        <f>VLOOKUP($A1469, 'Medical Examinations'!$A:$J, 5, FALSE)</f>
        <v>No</v>
      </c>
      <c r="G1469" s="22" t="str">
        <f>VLOOKUP($A1469, 'Medical Examinations'!$A:$I, 6, FALSE)</f>
        <v>No</v>
      </c>
      <c r="H1469" s="22">
        <f>VLOOKUP($A1469,'Medical Examinations'!$A:$L,10, FALSE)</f>
        <v>0</v>
      </c>
      <c r="I1469" s="22" t="str">
        <f>VLOOKUP($A1469, 'Medical Examinations'!$A:$J, 9, FALSE)</f>
        <v>No</v>
      </c>
      <c r="J1469" s="22" t="str">
        <f>VLOOKUP($A1469, 'Medical Examinations'!$A:$P, 11, FALSE)</f>
        <v>OBESITY</v>
      </c>
      <c r="K1469" s="34">
        <v>34637.0</v>
      </c>
      <c r="L1469" s="35">
        <f>VLOOKUP($A1469, 'Hospitalisation Details'!$A:$H, 7, FALSE)</f>
        <v>7160.33</v>
      </c>
      <c r="M1469" s="22" t="str">
        <f>VLOOKUP($A1469, 'Hospitalisation Details'!$A:$L, 12, FALSE)</f>
        <v>tier - 2</v>
      </c>
      <c r="N1469" s="22" t="str">
        <f>VLOOKUP($A1469, 'Hospitalisation Details'!$A:$M, 13, FALSE)</f>
        <v>tier - 1</v>
      </c>
      <c r="O1469" s="22" t="str">
        <f>VLOOKUP($A1469, 'Hospitalisation Details'!$A:$N, 14, FALSE)</f>
        <v>R1013</v>
      </c>
      <c r="P1469" s="36">
        <f>VLOOKUP($A1469, 'Hospitalisation Details'!$A:$O, 15, FALSE)</f>
        <v>42</v>
      </c>
    </row>
    <row r="1470" ht="15.75" customHeight="1">
      <c r="A1470" s="33" t="s">
        <v>2939</v>
      </c>
      <c r="B1470" s="22" t="str">
        <f>VLOOKUP($A1470,'Customer Names'!$A:$D,3, FALSE)</f>
        <v>Danner</v>
      </c>
      <c r="C1470" s="22">
        <f>VLOOKUP($A1470,'Medical Examinations'!$A:$D, 2, FALSE)</f>
        <v>35.8</v>
      </c>
      <c r="D1470" s="22">
        <f>VLOOKUP($A1470, 'Medical Examinations'!$A:$D,3, FALSE)</f>
        <v>4.42</v>
      </c>
      <c r="E1470" s="22" t="str">
        <f>VLOOKUP($A1470, 'Medical Examinations'!$A:$D, 4, FALSE)</f>
        <v>No</v>
      </c>
      <c r="F1470" s="22" t="str">
        <f>VLOOKUP($A1470, 'Medical Examinations'!$A:$J, 5, FALSE)</f>
        <v>No</v>
      </c>
      <c r="G1470" s="22" t="str">
        <f>VLOOKUP($A1470, 'Medical Examinations'!$A:$I, 6, FALSE)</f>
        <v>No</v>
      </c>
      <c r="H1470" s="22">
        <f>VLOOKUP($A1470,'Medical Examinations'!$A:$L,10, FALSE)</f>
        <v>0</v>
      </c>
      <c r="I1470" s="22" t="str">
        <f>VLOOKUP($A1470, 'Medical Examinations'!$A:$J, 9, FALSE)</f>
        <v>No</v>
      </c>
      <c r="J1470" s="22" t="str">
        <f>VLOOKUP($A1470, 'Medical Examinations'!$A:$P, 11, FALSE)</f>
        <v>OBESITY</v>
      </c>
      <c r="K1470" s="34">
        <v>34300.0</v>
      </c>
      <c r="L1470" s="35">
        <f>VLOOKUP($A1470, 'Hospitalisation Details'!$A:$H, 7, FALSE)</f>
        <v>7160.09</v>
      </c>
      <c r="M1470" s="22" t="str">
        <f>VLOOKUP($A1470, 'Hospitalisation Details'!$A:$L, 12, FALSE)</f>
        <v>tier - 2</v>
      </c>
      <c r="N1470" s="22" t="str">
        <f>VLOOKUP($A1470, 'Hospitalisation Details'!$A:$M, 13, FALSE)</f>
        <v>tier - 2</v>
      </c>
      <c r="O1470" s="22" t="str">
        <f>VLOOKUP($A1470, 'Hospitalisation Details'!$A:$N, 14, FALSE)</f>
        <v>R1011</v>
      </c>
      <c r="P1470" s="36">
        <f>VLOOKUP($A1470, 'Hospitalisation Details'!$A:$O, 15, FALSE)</f>
        <v>42</v>
      </c>
    </row>
    <row r="1471" ht="15.75" customHeight="1">
      <c r="A1471" s="33" t="s">
        <v>2941</v>
      </c>
      <c r="B1471" s="22" t="str">
        <f>VLOOKUP($A1471,'Customer Names'!$A:$D,3, FALSE)</f>
        <v>Weiss</v>
      </c>
      <c r="C1471" s="22">
        <f>VLOOKUP($A1471,'Medical Examinations'!$A:$D, 2, FALSE)</f>
        <v>28.31</v>
      </c>
      <c r="D1471" s="22">
        <f>VLOOKUP($A1471, 'Medical Examinations'!$A:$D,3, FALSE)</f>
        <v>7.48</v>
      </c>
      <c r="E1471" s="22" t="str">
        <f>VLOOKUP($A1471, 'Medical Examinations'!$A:$D, 4, FALSE)</f>
        <v>Yes</v>
      </c>
      <c r="F1471" s="22" t="str">
        <f>VLOOKUP($A1471, 'Medical Examinations'!$A:$J, 5, FALSE)</f>
        <v>No</v>
      </c>
      <c r="G1471" s="22" t="str">
        <f>VLOOKUP($A1471, 'Medical Examinations'!$A:$I, 6, FALSE)</f>
        <v>No</v>
      </c>
      <c r="H1471" s="22">
        <f>VLOOKUP($A1471,'Medical Examinations'!$A:$L,10, FALSE)</f>
        <v>0</v>
      </c>
      <c r="I1471" s="22" t="str">
        <f>VLOOKUP($A1471, 'Medical Examinations'!$A:$J, 9, FALSE)</f>
        <v>No</v>
      </c>
      <c r="J1471" s="22" t="str">
        <f>VLOOKUP($A1471, 'Medical Examinations'!$A:$P, 11, FALSE)</f>
        <v>OVERWEIGHT</v>
      </c>
      <c r="K1471" s="34">
        <v>36848.0</v>
      </c>
      <c r="L1471" s="35">
        <f>VLOOKUP($A1471, 'Hospitalisation Details'!$A:$H, 7, FALSE)</f>
        <v>7153.55</v>
      </c>
      <c r="M1471" s="22" t="str">
        <f>VLOOKUP($A1471, 'Hospitalisation Details'!$A:$L, 12, FALSE)</f>
        <v>tier - 2</v>
      </c>
      <c r="N1471" s="22" t="str">
        <f>VLOOKUP($A1471, 'Hospitalisation Details'!$A:$M, 13, FALSE)</f>
        <v>tier - 1</v>
      </c>
      <c r="O1471" s="22" t="str">
        <f>VLOOKUP($A1471, 'Hospitalisation Details'!$A:$N, 14, FALSE)</f>
        <v>R1012</v>
      </c>
      <c r="P1471" s="36">
        <f>VLOOKUP($A1471, 'Hospitalisation Details'!$A:$O, 15, FALSE)</f>
        <v>41</v>
      </c>
    </row>
    <row r="1472" ht="15.75" customHeight="1">
      <c r="A1472" s="33" t="s">
        <v>2943</v>
      </c>
      <c r="B1472" s="22" t="str">
        <f>VLOOKUP($A1472,'Customer Names'!$A:$D,3, FALSE)</f>
        <v>D'Andrea</v>
      </c>
      <c r="C1472" s="22">
        <f>VLOOKUP($A1472,'Medical Examinations'!$A:$D, 2, FALSE)</f>
        <v>38.06</v>
      </c>
      <c r="D1472" s="22">
        <f>VLOOKUP($A1472, 'Medical Examinations'!$A:$D,3, FALSE)</f>
        <v>10.74</v>
      </c>
      <c r="E1472" s="22" t="str">
        <f>VLOOKUP($A1472, 'Medical Examinations'!$A:$D, 4, FALSE)</f>
        <v>No</v>
      </c>
      <c r="F1472" s="22" t="str">
        <f>VLOOKUP($A1472, 'Medical Examinations'!$A:$J, 5, FALSE)</f>
        <v>No</v>
      </c>
      <c r="G1472" s="22" t="str">
        <f>VLOOKUP($A1472, 'Medical Examinations'!$A:$I, 6, FALSE)</f>
        <v>No</v>
      </c>
      <c r="H1472" s="22">
        <f>VLOOKUP($A1472,'Medical Examinations'!$A:$L,10, FALSE)</f>
        <v>0</v>
      </c>
      <c r="I1472" s="22" t="str">
        <f>VLOOKUP($A1472, 'Medical Examinations'!$A:$J, 9, FALSE)</f>
        <v>No</v>
      </c>
      <c r="J1472" s="22" t="str">
        <f>VLOOKUP($A1472, 'Medical Examinations'!$A:$P, 11, FALSE)</f>
        <v>OBESITY</v>
      </c>
      <c r="K1472" s="34">
        <v>38267.0</v>
      </c>
      <c r="L1472" s="35">
        <f>VLOOKUP($A1472, 'Hospitalisation Details'!$A:$H, 7, FALSE)</f>
        <v>7152.67</v>
      </c>
      <c r="M1472" s="22" t="str">
        <f>VLOOKUP($A1472, 'Hospitalisation Details'!$A:$L, 12, FALSE)</f>
        <v>tier - 3</v>
      </c>
      <c r="N1472" s="22" t="str">
        <f>VLOOKUP($A1472, 'Hospitalisation Details'!$A:$M, 13, FALSE)</f>
        <v>tier - 2</v>
      </c>
      <c r="O1472" s="22" t="str">
        <f>VLOOKUP($A1472, 'Hospitalisation Details'!$A:$N, 14, FALSE)</f>
        <v>R1013</v>
      </c>
      <c r="P1472" s="36">
        <f>VLOOKUP($A1472, 'Hospitalisation Details'!$A:$O, 15, FALSE)</f>
        <v>44</v>
      </c>
    </row>
    <row r="1473" ht="15.75" customHeight="1">
      <c r="A1473" s="33" t="s">
        <v>2945</v>
      </c>
      <c r="B1473" s="22" t="str">
        <f>VLOOKUP($A1473,'Customer Names'!$A:$D,3, FALSE)</f>
        <v>Olesky</v>
      </c>
      <c r="C1473" s="22">
        <f>VLOOKUP($A1473,'Medical Examinations'!$A:$D, 2, FALSE)</f>
        <v>28</v>
      </c>
      <c r="D1473" s="22">
        <f>VLOOKUP($A1473, 'Medical Examinations'!$A:$D,3, FALSE)</f>
        <v>5.19</v>
      </c>
      <c r="E1473" s="22" t="str">
        <f>VLOOKUP($A1473, 'Medical Examinations'!$A:$D, 4, FALSE)</f>
        <v>No</v>
      </c>
      <c r="F1473" s="22" t="str">
        <f>VLOOKUP($A1473, 'Medical Examinations'!$A:$J, 5, FALSE)</f>
        <v>No</v>
      </c>
      <c r="G1473" s="22" t="str">
        <f>VLOOKUP($A1473, 'Medical Examinations'!$A:$I, 6, FALSE)</f>
        <v>No</v>
      </c>
      <c r="H1473" s="22">
        <f>VLOOKUP($A1473,'Medical Examinations'!$A:$L,10, FALSE)</f>
        <v>1</v>
      </c>
      <c r="I1473" s="22" t="str">
        <f>VLOOKUP($A1473, 'Medical Examinations'!$A:$J, 9, FALSE)</f>
        <v>No</v>
      </c>
      <c r="J1473" s="22" t="str">
        <f>VLOOKUP($A1473, 'Medical Examinations'!$A:$P, 11, FALSE)</f>
        <v>OVERWEIGHT</v>
      </c>
      <c r="K1473" s="34">
        <v>35040.0</v>
      </c>
      <c r="L1473" s="35">
        <f>VLOOKUP($A1473, 'Hospitalisation Details'!$A:$H, 7, FALSE)</f>
        <v>7151.09</v>
      </c>
      <c r="M1473" s="22" t="str">
        <f>VLOOKUP($A1473, 'Hospitalisation Details'!$A:$L, 12, FALSE)</f>
        <v>tier - 2</v>
      </c>
      <c r="N1473" s="22" t="str">
        <f>VLOOKUP($A1473, 'Hospitalisation Details'!$A:$M, 13, FALSE)</f>
        <v>tier - 2</v>
      </c>
      <c r="O1473" s="22" t="str">
        <f>VLOOKUP($A1473, 'Hospitalisation Details'!$A:$N, 14, FALSE)</f>
        <v>R1011</v>
      </c>
      <c r="P1473" s="36">
        <f>VLOOKUP($A1473, 'Hospitalisation Details'!$A:$O, 15, FALSE)</f>
        <v>38</v>
      </c>
    </row>
    <row r="1474" ht="15.75" customHeight="1">
      <c r="A1474" s="33" t="s">
        <v>2947</v>
      </c>
      <c r="B1474" s="22" t="str">
        <f>VLOOKUP($A1474,'Customer Names'!$A:$D,3, FALSE)</f>
        <v>Whitcraft</v>
      </c>
      <c r="C1474" s="22">
        <f>VLOOKUP($A1474,'Medical Examinations'!$A:$D, 2, FALSE)</f>
        <v>34.32</v>
      </c>
      <c r="D1474" s="22">
        <f>VLOOKUP($A1474, 'Medical Examinations'!$A:$D,3, FALSE)</f>
        <v>9.17</v>
      </c>
      <c r="E1474" s="22" t="str">
        <f>VLOOKUP($A1474, 'Medical Examinations'!$A:$D, 4, FALSE)</f>
        <v>No</v>
      </c>
      <c r="F1474" s="22" t="str">
        <f>VLOOKUP($A1474, 'Medical Examinations'!$A:$J, 5, FALSE)</f>
        <v>No</v>
      </c>
      <c r="G1474" s="22" t="str">
        <f>VLOOKUP($A1474, 'Medical Examinations'!$A:$I, 6, FALSE)</f>
        <v>No</v>
      </c>
      <c r="H1474" s="22">
        <f>VLOOKUP($A1474,'Medical Examinations'!$A:$L,10, FALSE)</f>
        <v>0</v>
      </c>
      <c r="I1474" s="22" t="str">
        <f>VLOOKUP($A1474, 'Medical Examinations'!$A:$J, 9, FALSE)</f>
        <v>No</v>
      </c>
      <c r="J1474" s="22" t="str">
        <f>VLOOKUP($A1474, 'Medical Examinations'!$A:$P, 11, FALSE)</f>
        <v>OBESITY</v>
      </c>
      <c r="K1474" s="34">
        <v>35326.0</v>
      </c>
      <c r="L1474" s="35">
        <f>VLOOKUP($A1474, 'Hospitalisation Details'!$A:$H, 7, FALSE)</f>
        <v>7147.47</v>
      </c>
      <c r="M1474" s="22" t="str">
        <f>VLOOKUP($A1474, 'Hospitalisation Details'!$A:$L, 12, FALSE)</f>
        <v>tier - 2</v>
      </c>
      <c r="N1474" s="22" t="str">
        <f>VLOOKUP($A1474, 'Hospitalisation Details'!$A:$M, 13, FALSE)</f>
        <v>tier - 3</v>
      </c>
      <c r="O1474" s="22" t="str">
        <f>VLOOKUP($A1474, 'Hospitalisation Details'!$A:$N, 14, FALSE)</f>
        <v>R1013</v>
      </c>
      <c r="P1474" s="36">
        <f>VLOOKUP($A1474, 'Hospitalisation Details'!$A:$O, 15, FALSE)</f>
        <v>44</v>
      </c>
    </row>
    <row r="1475" ht="15.75" customHeight="1">
      <c r="A1475" s="33" t="s">
        <v>2949</v>
      </c>
      <c r="B1475" s="22" t="str">
        <f>VLOOKUP($A1475,'Customer Names'!$A:$D,3, FALSE)</f>
        <v>Salazar</v>
      </c>
      <c r="C1475" s="22">
        <f>VLOOKUP($A1475,'Medical Examinations'!$A:$D, 2, FALSE)</f>
        <v>22.3</v>
      </c>
      <c r="D1475" s="22">
        <f>VLOOKUP($A1475, 'Medical Examinations'!$A:$D,3, FALSE)</f>
        <v>4.95</v>
      </c>
      <c r="E1475" s="22" t="str">
        <f>VLOOKUP($A1475, 'Medical Examinations'!$A:$D, 4, FALSE)</f>
        <v>Yes</v>
      </c>
      <c r="F1475" s="22" t="str">
        <f>VLOOKUP($A1475, 'Medical Examinations'!$A:$J, 5, FALSE)</f>
        <v>No</v>
      </c>
      <c r="G1475" s="22" t="str">
        <f>VLOOKUP($A1475, 'Medical Examinations'!$A:$I, 6, FALSE)</f>
        <v>No</v>
      </c>
      <c r="H1475" s="22">
        <f>VLOOKUP($A1475,'Medical Examinations'!$A:$L,10, FALSE)</f>
        <v>0</v>
      </c>
      <c r="I1475" s="22" t="str">
        <f>VLOOKUP($A1475, 'Medical Examinations'!$A:$J, 9, FALSE)</f>
        <v>No</v>
      </c>
      <c r="J1475" s="22" t="str">
        <f>VLOOKUP($A1475, 'Medical Examinations'!$A:$P, 11, FALSE)</f>
        <v>NORMAL WEIGHT</v>
      </c>
      <c r="K1475" s="34">
        <v>34148.0</v>
      </c>
      <c r="L1475" s="35">
        <f>VLOOKUP($A1475, 'Hospitalisation Details'!$A:$H, 7, FALSE)</f>
        <v>7147.11</v>
      </c>
      <c r="M1475" s="22" t="str">
        <f>VLOOKUP($A1475, 'Hospitalisation Details'!$A:$L, 12, FALSE)</f>
        <v>tier - 3</v>
      </c>
      <c r="N1475" s="22" t="str">
        <f>VLOOKUP($A1475, 'Hospitalisation Details'!$A:$M, 13, FALSE)</f>
        <v>tier - 2</v>
      </c>
      <c r="O1475" s="22" t="str">
        <f>VLOOKUP($A1475, 'Hospitalisation Details'!$A:$N, 14, FALSE)</f>
        <v>R1011</v>
      </c>
      <c r="P1475" s="36">
        <f>VLOOKUP($A1475, 'Hospitalisation Details'!$A:$O, 15, FALSE)</f>
        <v>46</v>
      </c>
    </row>
    <row r="1476" ht="15.75" customHeight="1">
      <c r="A1476" s="33" t="s">
        <v>2951</v>
      </c>
      <c r="B1476" s="22" t="str">
        <f>VLOOKUP($A1476,'Customer Names'!$A:$D,3, FALSE)</f>
        <v>Todd</v>
      </c>
      <c r="C1476" s="22">
        <f>VLOOKUP($A1476,'Medical Examinations'!$A:$D, 2, FALSE)</f>
        <v>27.835</v>
      </c>
      <c r="D1476" s="22">
        <f>VLOOKUP($A1476, 'Medical Examinations'!$A:$D,3, FALSE)</f>
        <v>6.03</v>
      </c>
      <c r="E1476" s="22" t="str">
        <f>VLOOKUP($A1476, 'Medical Examinations'!$A:$D, 4, FALSE)</f>
        <v>No</v>
      </c>
      <c r="F1476" s="22" t="str">
        <f>VLOOKUP($A1476, 'Medical Examinations'!$A:$J, 5, FALSE)</f>
        <v>No</v>
      </c>
      <c r="G1476" s="22" t="str">
        <f>VLOOKUP($A1476, 'Medical Examinations'!$A:$I, 6, FALSE)</f>
        <v>No</v>
      </c>
      <c r="H1476" s="22">
        <f>VLOOKUP($A1476,'Medical Examinations'!$A:$L,10, FALSE)</f>
        <v>1</v>
      </c>
      <c r="I1476" s="22" t="str">
        <f>VLOOKUP($A1476, 'Medical Examinations'!$A:$J, 9, FALSE)</f>
        <v>No</v>
      </c>
      <c r="J1476" s="22" t="str">
        <f>VLOOKUP($A1476, 'Medical Examinations'!$A:$P, 11, FALSE)</f>
        <v>OVERWEIGHT</v>
      </c>
      <c r="K1476" s="34">
        <v>35060.0</v>
      </c>
      <c r="L1476" s="35">
        <f>VLOOKUP($A1476, 'Hospitalisation Details'!$A:$H, 7, FALSE)</f>
        <v>7144.86</v>
      </c>
      <c r="M1476" s="22" t="str">
        <f>VLOOKUP($A1476, 'Hospitalisation Details'!$A:$L, 12, FALSE)</f>
        <v>tier - 2</v>
      </c>
      <c r="N1476" s="22" t="str">
        <f>VLOOKUP($A1476, 'Hospitalisation Details'!$A:$M, 13, FALSE)</f>
        <v>tier - 2</v>
      </c>
      <c r="O1476" s="22" t="str">
        <f>VLOOKUP($A1476, 'Hospitalisation Details'!$A:$N, 14, FALSE)</f>
        <v>R1024</v>
      </c>
      <c r="P1476" s="36">
        <f>VLOOKUP($A1476, 'Hospitalisation Details'!$A:$O, 15, FALSE)</f>
        <v>38</v>
      </c>
    </row>
    <row r="1477" ht="15.75" customHeight="1">
      <c r="A1477" s="33" t="s">
        <v>2953</v>
      </c>
      <c r="B1477" s="22" t="str">
        <f>VLOOKUP($A1477,'Customer Names'!$A:$D,3, FALSE)</f>
        <v>Pond</v>
      </c>
      <c r="C1477" s="22">
        <f>VLOOKUP($A1477,'Medical Examinations'!$A:$D, 2, FALSE)</f>
        <v>39.23</v>
      </c>
      <c r="D1477" s="22">
        <f>VLOOKUP($A1477, 'Medical Examinations'!$A:$D,3, FALSE)</f>
        <v>5.36</v>
      </c>
      <c r="E1477" s="22" t="str">
        <f>VLOOKUP($A1477, 'Medical Examinations'!$A:$D, 4, FALSE)</f>
        <v>No</v>
      </c>
      <c r="F1477" s="22" t="str">
        <f>VLOOKUP($A1477, 'Medical Examinations'!$A:$J, 5, FALSE)</f>
        <v>No</v>
      </c>
      <c r="G1477" s="22" t="str">
        <f>VLOOKUP($A1477, 'Medical Examinations'!$A:$I, 6, FALSE)</f>
        <v>No</v>
      </c>
      <c r="H1477" s="22">
        <f>VLOOKUP($A1477,'Medical Examinations'!$A:$L,10, FALSE)</f>
        <v>0</v>
      </c>
      <c r="I1477" s="22" t="str">
        <f>VLOOKUP($A1477, 'Medical Examinations'!$A:$J, 9, FALSE)</f>
        <v>No</v>
      </c>
      <c r="J1477" s="22" t="str">
        <f>VLOOKUP($A1477, 'Medical Examinations'!$A:$P, 11, FALSE)</f>
        <v>OBESITY</v>
      </c>
      <c r="K1477" s="34">
        <v>35360.0</v>
      </c>
      <c r="L1477" s="35">
        <f>VLOOKUP($A1477, 'Hospitalisation Details'!$A:$H, 7, FALSE)</f>
        <v>7144.4</v>
      </c>
      <c r="M1477" s="22" t="str">
        <f>VLOOKUP($A1477, 'Hospitalisation Details'!$A:$L, 12, FALSE)</f>
        <v>tier - 2</v>
      </c>
      <c r="N1477" s="22" t="str">
        <f>VLOOKUP($A1477, 'Hospitalisation Details'!$A:$M, 13, FALSE)</f>
        <v>tier - 1</v>
      </c>
      <c r="O1477" s="22" t="str">
        <f>VLOOKUP($A1477, 'Hospitalisation Details'!$A:$N, 14, FALSE)</f>
        <v>R1022</v>
      </c>
      <c r="P1477" s="36">
        <f>VLOOKUP($A1477, 'Hospitalisation Details'!$A:$O, 15, FALSE)</f>
        <v>23</v>
      </c>
    </row>
    <row r="1478" ht="15.75" customHeight="1">
      <c r="A1478" s="33" t="s">
        <v>2955</v>
      </c>
      <c r="B1478" s="22" t="str">
        <f>VLOOKUP($A1478,'Customer Names'!$A:$D,3, FALSE)</f>
        <v>Egan</v>
      </c>
      <c r="C1478" s="22">
        <f>VLOOKUP($A1478,'Medical Examinations'!$A:$D, 2, FALSE)</f>
        <v>19.95</v>
      </c>
      <c r="D1478" s="22">
        <f>VLOOKUP($A1478, 'Medical Examinations'!$A:$D,3, FALSE)</f>
        <v>6.11</v>
      </c>
      <c r="E1478" s="22" t="str">
        <f>VLOOKUP($A1478, 'Medical Examinations'!$A:$D, 4, FALSE)</f>
        <v>No</v>
      </c>
      <c r="F1478" s="22" t="str">
        <f>VLOOKUP($A1478, 'Medical Examinations'!$A:$J, 5, FALSE)</f>
        <v>No</v>
      </c>
      <c r="G1478" s="22" t="str">
        <f>VLOOKUP($A1478, 'Medical Examinations'!$A:$I, 6, FALSE)</f>
        <v>No</v>
      </c>
      <c r="H1478" s="22">
        <f>VLOOKUP($A1478,'Medical Examinations'!$A:$L,10, FALSE)</f>
        <v>1</v>
      </c>
      <c r="I1478" s="22" t="str">
        <f>VLOOKUP($A1478, 'Medical Examinations'!$A:$J, 9, FALSE)</f>
        <v>No</v>
      </c>
      <c r="J1478" s="22" t="str">
        <f>VLOOKUP($A1478, 'Medical Examinations'!$A:$P, 11, FALSE)</f>
        <v>NORMAL WEIGHT</v>
      </c>
      <c r="K1478" s="34">
        <v>34181.0</v>
      </c>
      <c r="L1478" s="35">
        <f>VLOOKUP($A1478, 'Hospitalisation Details'!$A:$H, 7, FALSE)</f>
        <v>7133.9</v>
      </c>
      <c r="M1478" s="22" t="str">
        <f>VLOOKUP($A1478, 'Hospitalisation Details'!$A:$L, 12, FALSE)</f>
        <v>tier - 2</v>
      </c>
      <c r="N1478" s="22" t="str">
        <f>VLOOKUP($A1478, 'Hospitalisation Details'!$A:$M, 13, FALSE)</f>
        <v>tier - 1</v>
      </c>
      <c r="O1478" s="22" t="str">
        <f>VLOOKUP($A1478, 'Hospitalisation Details'!$A:$N, 14, FALSE)</f>
        <v>R1024</v>
      </c>
      <c r="P1478" s="36">
        <f>VLOOKUP($A1478, 'Hospitalisation Details'!$A:$O, 15, FALSE)</f>
        <v>38</v>
      </c>
    </row>
    <row r="1479" ht="15.75" customHeight="1">
      <c r="A1479" s="33" t="s">
        <v>2957</v>
      </c>
      <c r="B1479" s="22" t="str">
        <f>VLOOKUP($A1479,'Customer Names'!$A:$D,3, FALSE)</f>
        <v>Bersani</v>
      </c>
      <c r="C1479" s="22">
        <f>VLOOKUP($A1479,'Medical Examinations'!$A:$D, 2, FALSE)</f>
        <v>34.64</v>
      </c>
      <c r="D1479" s="22">
        <f>VLOOKUP($A1479, 'Medical Examinations'!$A:$D,3, FALSE)</f>
        <v>4.88</v>
      </c>
      <c r="E1479" s="22" t="str">
        <f>VLOOKUP($A1479, 'Medical Examinations'!$A:$D, 4, FALSE)</f>
        <v>No</v>
      </c>
      <c r="F1479" s="22" t="str">
        <f>VLOOKUP($A1479, 'Medical Examinations'!$A:$J, 5, FALSE)</f>
        <v>No</v>
      </c>
      <c r="G1479" s="22" t="str">
        <f>VLOOKUP($A1479, 'Medical Examinations'!$A:$I, 6, FALSE)</f>
        <v>Yes</v>
      </c>
      <c r="H1479" s="22">
        <f>VLOOKUP($A1479,'Medical Examinations'!$A:$L,10, FALSE)</f>
        <v>1</v>
      </c>
      <c r="I1479" s="22" t="str">
        <f>VLOOKUP($A1479, 'Medical Examinations'!$A:$J, 9, FALSE)</f>
        <v>No</v>
      </c>
      <c r="J1479" s="22" t="str">
        <f>VLOOKUP($A1479, 'Medical Examinations'!$A:$P, 11, FALSE)</f>
        <v>OBESITY</v>
      </c>
      <c r="K1479" s="34">
        <v>37518.0</v>
      </c>
      <c r="L1479" s="35">
        <f>VLOOKUP($A1479, 'Hospitalisation Details'!$A:$H, 7, FALSE)</f>
        <v>7128.64</v>
      </c>
      <c r="M1479" s="22" t="str">
        <f>VLOOKUP($A1479, 'Hospitalisation Details'!$A:$L, 12, FALSE)</f>
        <v>tier - 2</v>
      </c>
      <c r="N1479" s="22" t="str">
        <f>VLOOKUP($A1479, 'Hospitalisation Details'!$A:$M, 13, FALSE)</f>
        <v>tier - 2</v>
      </c>
      <c r="O1479" s="22" t="str">
        <f>VLOOKUP($A1479, 'Hospitalisation Details'!$A:$N, 14, FALSE)</f>
        <v>R1021</v>
      </c>
      <c r="P1479" s="36">
        <f>VLOOKUP($A1479, 'Hospitalisation Details'!$A:$O, 15, FALSE)</f>
        <v>29</v>
      </c>
    </row>
    <row r="1480" ht="15.75" customHeight="1">
      <c r="A1480" s="33" t="s">
        <v>2959</v>
      </c>
      <c r="B1480" s="22" t="str">
        <f>VLOOKUP($A1480,'Customer Names'!$A:$D,3, FALSE)</f>
        <v>Creech</v>
      </c>
      <c r="C1480" s="22">
        <f>VLOOKUP($A1480,'Medical Examinations'!$A:$D, 2, FALSE)</f>
        <v>18.75</v>
      </c>
      <c r="D1480" s="22">
        <f>VLOOKUP($A1480, 'Medical Examinations'!$A:$D,3, FALSE)</f>
        <v>6.72</v>
      </c>
      <c r="E1480" s="22" t="str">
        <f>VLOOKUP($A1480, 'Medical Examinations'!$A:$D, 4, FALSE)</f>
        <v>No</v>
      </c>
      <c r="F1480" s="22" t="str">
        <f>VLOOKUP($A1480, 'Medical Examinations'!$A:$J, 5, FALSE)</f>
        <v>No</v>
      </c>
      <c r="G1480" s="22" t="str">
        <f>VLOOKUP($A1480, 'Medical Examinations'!$A:$I, 6, FALSE)</f>
        <v>No</v>
      </c>
      <c r="H1480" s="22">
        <f>VLOOKUP($A1480,'Medical Examinations'!$A:$L,10, FALSE)</f>
        <v>0</v>
      </c>
      <c r="I1480" s="22" t="str">
        <f>VLOOKUP($A1480, 'Medical Examinations'!$A:$J, 9, FALSE)</f>
        <v>No</v>
      </c>
      <c r="J1480" s="22" t="str">
        <f>VLOOKUP($A1480, 'Medical Examinations'!$A:$P, 11, FALSE)</f>
        <v>NORMAL WEIGHT</v>
      </c>
      <c r="K1480" s="34">
        <v>36508.0</v>
      </c>
      <c r="L1480" s="35">
        <f>VLOOKUP($A1480, 'Hospitalisation Details'!$A:$H, 7, FALSE)</f>
        <v>7125.25</v>
      </c>
      <c r="M1480" s="22" t="str">
        <f>VLOOKUP($A1480, 'Hospitalisation Details'!$A:$L, 12, FALSE)</f>
        <v>tier - 3</v>
      </c>
      <c r="N1480" s="22" t="str">
        <f>VLOOKUP($A1480, 'Hospitalisation Details'!$A:$M, 13, FALSE)</f>
        <v>tier - 2</v>
      </c>
      <c r="O1480" s="22" t="str">
        <f>VLOOKUP($A1480, 'Hospitalisation Details'!$A:$N, 14, FALSE)</f>
        <v>R1013</v>
      </c>
      <c r="P1480" s="36">
        <f>VLOOKUP($A1480, 'Hospitalisation Details'!$A:$O, 15, FALSE)</f>
        <v>54</v>
      </c>
    </row>
    <row r="1481" ht="15.75" customHeight="1">
      <c r="A1481" s="33" t="s">
        <v>2961</v>
      </c>
      <c r="B1481" s="22" t="str">
        <f>VLOOKUP($A1481,'Customer Names'!$A:$D,3, FALSE)</f>
        <v>Sudres</v>
      </c>
      <c r="C1481" s="22">
        <f>VLOOKUP($A1481,'Medical Examinations'!$A:$D, 2, FALSE)</f>
        <v>26.48</v>
      </c>
      <c r="D1481" s="22">
        <f>VLOOKUP($A1481, 'Medical Examinations'!$A:$D,3, FALSE)</f>
        <v>4.2</v>
      </c>
      <c r="E1481" s="22" t="str">
        <f>VLOOKUP($A1481, 'Medical Examinations'!$A:$D, 4, FALSE)</f>
        <v>No</v>
      </c>
      <c r="F1481" s="22" t="str">
        <f>VLOOKUP($A1481, 'Medical Examinations'!$A:$J, 5, FALSE)</f>
        <v>No</v>
      </c>
      <c r="G1481" s="22" t="str">
        <f>VLOOKUP($A1481, 'Medical Examinations'!$A:$I, 6, FALSE)</f>
        <v>No</v>
      </c>
      <c r="H1481" s="22">
        <f>VLOOKUP($A1481,'Medical Examinations'!$A:$L,10, FALSE)</f>
        <v>1</v>
      </c>
      <c r="I1481" s="22" t="str">
        <f>VLOOKUP($A1481, 'Medical Examinations'!$A:$J, 9, FALSE)</f>
        <v>No</v>
      </c>
      <c r="J1481" s="22" t="str">
        <f>VLOOKUP($A1481, 'Medical Examinations'!$A:$P, 11, FALSE)</f>
        <v>OVERWEIGHT</v>
      </c>
      <c r="K1481" s="34">
        <v>36520.0</v>
      </c>
      <c r="L1481" s="35">
        <f>VLOOKUP($A1481, 'Hospitalisation Details'!$A:$H, 7, FALSE)</f>
        <v>7106.81</v>
      </c>
      <c r="M1481" s="22" t="str">
        <f>VLOOKUP($A1481, 'Hospitalisation Details'!$A:$L, 12, FALSE)</f>
        <v>tier - 2</v>
      </c>
      <c r="N1481" s="22" t="str">
        <f>VLOOKUP($A1481, 'Hospitalisation Details'!$A:$M, 13, FALSE)</f>
        <v>tier - 1</v>
      </c>
      <c r="O1481" s="22" t="str">
        <f>VLOOKUP($A1481, 'Hospitalisation Details'!$A:$N, 14, FALSE)</f>
        <v>R1012</v>
      </c>
      <c r="P1481" s="36">
        <f>VLOOKUP($A1481, 'Hospitalisation Details'!$A:$O, 15, FALSE)</f>
        <v>35</v>
      </c>
    </row>
    <row r="1482" ht="15.75" customHeight="1">
      <c r="A1482" s="33" t="s">
        <v>2963</v>
      </c>
      <c r="B1482" s="22" t="str">
        <f>VLOOKUP($A1482,'Customer Names'!$A:$D,3, FALSE)</f>
        <v>Couture</v>
      </c>
      <c r="C1482" s="22">
        <f>VLOOKUP($A1482,'Medical Examinations'!$A:$D, 2, FALSE)</f>
        <v>34.83</v>
      </c>
      <c r="D1482" s="22">
        <f>VLOOKUP($A1482, 'Medical Examinations'!$A:$D,3, FALSE)</f>
        <v>5.79</v>
      </c>
      <c r="E1482" s="22" t="str">
        <f>VLOOKUP($A1482, 'Medical Examinations'!$A:$D, 4, FALSE)</f>
        <v>No</v>
      </c>
      <c r="F1482" s="22" t="str">
        <f>VLOOKUP($A1482, 'Medical Examinations'!$A:$J, 5, FALSE)</f>
        <v>No</v>
      </c>
      <c r="G1482" s="22" t="str">
        <f>VLOOKUP($A1482, 'Medical Examinations'!$A:$I, 6, FALSE)</f>
        <v>No</v>
      </c>
      <c r="H1482" s="22">
        <f>VLOOKUP($A1482,'Medical Examinations'!$A:$L,10, FALSE)</f>
        <v>1</v>
      </c>
      <c r="I1482" s="22" t="str">
        <f>VLOOKUP($A1482, 'Medical Examinations'!$A:$J, 9, FALSE)</f>
        <v>No</v>
      </c>
      <c r="J1482" s="22" t="str">
        <f>VLOOKUP($A1482, 'Medical Examinations'!$A:$P, 11, FALSE)</f>
        <v>OBESITY</v>
      </c>
      <c r="K1482" s="34">
        <v>37146.0</v>
      </c>
      <c r="L1482" s="35">
        <f>VLOOKUP($A1482, 'Hospitalisation Details'!$A:$H, 7, FALSE)</f>
        <v>7096.98</v>
      </c>
      <c r="M1482" s="22" t="str">
        <f>VLOOKUP($A1482, 'Hospitalisation Details'!$A:$L, 12, FALSE)</f>
        <v>tier - 2</v>
      </c>
      <c r="N1482" s="22" t="str">
        <f>VLOOKUP($A1482, 'Hospitalisation Details'!$A:$M, 13, FALSE)</f>
        <v>tier - 2</v>
      </c>
      <c r="O1482" s="22" t="str">
        <f>VLOOKUP($A1482, 'Hospitalisation Details'!$A:$N, 14, FALSE)</f>
        <v>R1012</v>
      </c>
      <c r="P1482" s="36">
        <f>VLOOKUP($A1482, 'Hospitalisation Details'!$A:$O, 15, FALSE)</f>
        <v>30</v>
      </c>
    </row>
    <row r="1483" ht="15.75" customHeight="1">
      <c r="A1483" s="33" t="s">
        <v>2965</v>
      </c>
      <c r="B1483" s="22" t="str">
        <f>VLOOKUP($A1483,'Customer Names'!$A:$D,3, FALSE)</f>
        <v>Willard</v>
      </c>
      <c r="C1483" s="22">
        <f>VLOOKUP($A1483,'Medical Examinations'!$A:$D, 2, FALSE)</f>
        <v>25.46</v>
      </c>
      <c r="D1483" s="22">
        <f>VLOOKUP($A1483, 'Medical Examinations'!$A:$D,3, FALSE)</f>
        <v>4.29</v>
      </c>
      <c r="E1483" s="22" t="str">
        <f>VLOOKUP($A1483, 'Medical Examinations'!$A:$D, 4, FALSE)</f>
        <v>No</v>
      </c>
      <c r="F1483" s="22" t="str">
        <f>VLOOKUP($A1483, 'Medical Examinations'!$A:$J, 5, FALSE)</f>
        <v>No</v>
      </c>
      <c r="G1483" s="22" t="str">
        <f>VLOOKUP($A1483, 'Medical Examinations'!$A:$I, 6, FALSE)</f>
        <v>No</v>
      </c>
      <c r="H1483" s="22">
        <f>VLOOKUP($A1483,'Medical Examinations'!$A:$L,10, FALSE)</f>
        <v>0</v>
      </c>
      <c r="I1483" s="22" t="str">
        <f>VLOOKUP($A1483, 'Medical Examinations'!$A:$J, 9, FALSE)</f>
        <v>No</v>
      </c>
      <c r="J1483" s="22" t="str">
        <f>VLOOKUP($A1483, 'Medical Examinations'!$A:$P, 11, FALSE)</f>
        <v>OVERWEIGHT</v>
      </c>
      <c r="K1483" s="34">
        <v>35743.0</v>
      </c>
      <c r="L1483" s="35">
        <f>VLOOKUP($A1483, 'Hospitalisation Details'!$A:$H, 7, FALSE)</f>
        <v>7077.19</v>
      </c>
      <c r="M1483" s="22" t="str">
        <f>VLOOKUP($A1483, 'Hospitalisation Details'!$A:$L, 12, FALSE)</f>
        <v>tier - 2</v>
      </c>
      <c r="N1483" s="22" t="str">
        <f>VLOOKUP($A1483, 'Hospitalisation Details'!$A:$M, 13, FALSE)</f>
        <v>tier - 3</v>
      </c>
      <c r="O1483" s="22" t="str">
        <f>VLOOKUP($A1483, 'Hospitalisation Details'!$A:$N, 14, FALSE)</f>
        <v>R1024</v>
      </c>
      <c r="P1483" s="36">
        <f>VLOOKUP($A1483, 'Hospitalisation Details'!$A:$O, 15, FALSE)</f>
        <v>40</v>
      </c>
    </row>
    <row r="1484" ht="15.75" customHeight="1">
      <c r="A1484" s="33" t="s">
        <v>2967</v>
      </c>
      <c r="B1484" s="22" t="str">
        <f>VLOOKUP($A1484,'Customer Names'!$A:$D,3, FALSE)</f>
        <v>Patronick</v>
      </c>
      <c r="C1484" s="22">
        <f>VLOOKUP($A1484,'Medical Examinations'!$A:$D, 2, FALSE)</f>
        <v>23.31</v>
      </c>
      <c r="D1484" s="22">
        <f>VLOOKUP($A1484, 'Medical Examinations'!$A:$D,3, FALSE)</f>
        <v>8.27</v>
      </c>
      <c r="E1484" s="22" t="str">
        <f>VLOOKUP($A1484, 'Medical Examinations'!$A:$D, 4, FALSE)</f>
        <v>No</v>
      </c>
      <c r="F1484" s="22" t="str">
        <f>VLOOKUP($A1484, 'Medical Examinations'!$A:$J, 5, FALSE)</f>
        <v>No</v>
      </c>
      <c r="G1484" s="22" t="str">
        <f>VLOOKUP($A1484, 'Medical Examinations'!$A:$I, 6, FALSE)</f>
        <v>No</v>
      </c>
      <c r="H1484" s="22">
        <f>VLOOKUP($A1484,'Medical Examinations'!$A:$L,10, FALSE)</f>
        <v>0</v>
      </c>
      <c r="I1484" s="22" t="str">
        <f>VLOOKUP($A1484, 'Medical Examinations'!$A:$J, 9, FALSE)</f>
        <v>No</v>
      </c>
      <c r="J1484" s="22" t="str">
        <f>VLOOKUP($A1484, 'Medical Examinations'!$A:$P, 11, FALSE)</f>
        <v>NORMAL WEIGHT</v>
      </c>
      <c r="K1484" s="34">
        <v>37589.0</v>
      </c>
      <c r="L1484" s="35">
        <f>VLOOKUP($A1484, 'Hospitalisation Details'!$A:$H, 7, FALSE)</f>
        <v>7054.41</v>
      </c>
      <c r="M1484" s="22" t="str">
        <f>VLOOKUP($A1484, 'Hospitalisation Details'!$A:$L, 12, FALSE)</f>
        <v>tier - 2</v>
      </c>
      <c r="N1484" s="22" t="str">
        <f>VLOOKUP($A1484, 'Hospitalisation Details'!$A:$M, 13, FALSE)</f>
        <v>tier - 2</v>
      </c>
      <c r="O1484" s="22" t="str">
        <f>VLOOKUP($A1484, 'Hospitalisation Details'!$A:$N, 14, FALSE)</f>
        <v>R1013</v>
      </c>
      <c r="P1484" s="36">
        <f>VLOOKUP($A1484, 'Hospitalisation Details'!$A:$O, 15, FALSE)</f>
        <v>44</v>
      </c>
    </row>
    <row r="1485" ht="15.75" customHeight="1">
      <c r="A1485" s="33" t="s">
        <v>2969</v>
      </c>
      <c r="B1485" s="22" t="str">
        <f>VLOOKUP($A1485,'Customer Names'!$A:$D,3, FALSE)</f>
        <v>Depasquale</v>
      </c>
      <c r="C1485" s="22">
        <f>VLOOKUP($A1485,'Medical Examinations'!$A:$D, 2, FALSE)</f>
        <v>29</v>
      </c>
      <c r="D1485" s="22">
        <f>VLOOKUP($A1485, 'Medical Examinations'!$A:$D,3, FALSE)</f>
        <v>4.56</v>
      </c>
      <c r="E1485" s="22" t="str">
        <f>VLOOKUP($A1485, 'Medical Examinations'!$A:$D, 4, FALSE)</f>
        <v>No</v>
      </c>
      <c r="F1485" s="22" t="str">
        <f>VLOOKUP($A1485, 'Medical Examinations'!$A:$J, 5, FALSE)</f>
        <v>No</v>
      </c>
      <c r="G1485" s="22" t="str">
        <f>VLOOKUP($A1485, 'Medical Examinations'!$A:$I, 6, FALSE)</f>
        <v>No</v>
      </c>
      <c r="H1485" s="22">
        <f>VLOOKUP($A1485,'Medical Examinations'!$A:$L,10, FALSE)</f>
        <v>0</v>
      </c>
      <c r="I1485" s="22" t="str">
        <f>VLOOKUP($A1485, 'Medical Examinations'!$A:$J, 9, FALSE)</f>
        <v>No</v>
      </c>
      <c r="J1485" s="22" t="str">
        <f>VLOOKUP($A1485, 'Medical Examinations'!$A:$P, 11, FALSE)</f>
        <v>OVERWEIGHT</v>
      </c>
      <c r="K1485" s="34">
        <v>34884.0</v>
      </c>
      <c r="L1485" s="35">
        <f>VLOOKUP($A1485, 'Hospitalisation Details'!$A:$H, 7, FALSE)</f>
        <v>7050.64</v>
      </c>
      <c r="M1485" s="22" t="str">
        <f>VLOOKUP($A1485, 'Hospitalisation Details'!$A:$L, 12, FALSE)</f>
        <v>tier - 2</v>
      </c>
      <c r="N1485" s="22" t="str">
        <f>VLOOKUP($A1485, 'Hospitalisation Details'!$A:$M, 13, FALSE)</f>
        <v>tier - 3</v>
      </c>
      <c r="O1485" s="22" t="str">
        <f>VLOOKUP($A1485, 'Hospitalisation Details'!$A:$N, 14, FALSE)</f>
        <v>R1011</v>
      </c>
      <c r="P1485" s="36">
        <f>VLOOKUP($A1485, 'Hospitalisation Details'!$A:$O, 15, FALSE)</f>
        <v>42</v>
      </c>
    </row>
    <row r="1486" ht="15.75" customHeight="1">
      <c r="A1486" s="33" t="s">
        <v>2971</v>
      </c>
      <c r="B1486" s="22" t="str">
        <f>VLOOKUP($A1486,'Customer Names'!$A:$D,3, FALSE)</f>
        <v>Lavergne</v>
      </c>
      <c r="C1486" s="22">
        <f>VLOOKUP($A1486,'Medical Examinations'!$A:$D, 2, FALSE)</f>
        <v>32.87</v>
      </c>
      <c r="D1486" s="22">
        <f>VLOOKUP($A1486, 'Medical Examinations'!$A:$D,3, FALSE)</f>
        <v>5.33</v>
      </c>
      <c r="E1486" s="22" t="str">
        <f>VLOOKUP($A1486, 'Medical Examinations'!$A:$D, 4, FALSE)</f>
        <v>No</v>
      </c>
      <c r="F1486" s="22" t="str">
        <f>VLOOKUP($A1486, 'Medical Examinations'!$A:$J, 5, FALSE)</f>
        <v>No</v>
      </c>
      <c r="G1486" s="22" t="str">
        <f>VLOOKUP($A1486, 'Medical Examinations'!$A:$I, 6, FALSE)</f>
        <v>No</v>
      </c>
      <c r="H1486" s="22">
        <f>VLOOKUP($A1486,'Medical Examinations'!$A:$L,10, FALSE)</f>
        <v>0</v>
      </c>
      <c r="I1486" s="22" t="str">
        <f>VLOOKUP($A1486, 'Medical Examinations'!$A:$J, 9, FALSE)</f>
        <v>No</v>
      </c>
      <c r="J1486" s="22" t="str">
        <f>VLOOKUP($A1486, 'Medical Examinations'!$A:$P, 11, FALSE)</f>
        <v>OBESITY</v>
      </c>
      <c r="K1486" s="34">
        <v>34121.0</v>
      </c>
      <c r="L1486" s="35">
        <f>VLOOKUP($A1486, 'Hospitalisation Details'!$A:$H, 7, FALSE)</f>
        <v>7050.02</v>
      </c>
      <c r="M1486" s="22" t="str">
        <f>VLOOKUP($A1486, 'Hospitalisation Details'!$A:$L, 12, FALSE)</f>
        <v>tier - 2</v>
      </c>
      <c r="N1486" s="22" t="str">
        <f>VLOOKUP($A1486, 'Hospitalisation Details'!$A:$M, 13, FALSE)</f>
        <v>tier - 1</v>
      </c>
      <c r="O1486" s="22" t="str">
        <f>VLOOKUP($A1486, 'Hospitalisation Details'!$A:$N, 14, FALSE)</f>
        <v>R1024</v>
      </c>
      <c r="P1486" s="36">
        <f>VLOOKUP($A1486, 'Hospitalisation Details'!$A:$O, 15, FALSE)</f>
        <v>42</v>
      </c>
    </row>
    <row r="1487" ht="15.75" customHeight="1">
      <c r="A1487" s="33" t="s">
        <v>2973</v>
      </c>
      <c r="B1487" s="22" t="str">
        <f>VLOOKUP($A1487,'Customer Names'!$A:$D,3, FALSE)</f>
        <v>Kawakami</v>
      </c>
      <c r="C1487" s="22">
        <f>VLOOKUP($A1487,'Medical Examinations'!$A:$D, 2, FALSE)</f>
        <v>26.18</v>
      </c>
      <c r="D1487" s="22">
        <f>VLOOKUP($A1487, 'Medical Examinations'!$A:$D,3, FALSE)</f>
        <v>5.63</v>
      </c>
      <c r="E1487" s="22" t="str">
        <f>VLOOKUP($A1487, 'Medical Examinations'!$A:$D, 4, FALSE)</f>
        <v>No</v>
      </c>
      <c r="F1487" s="22" t="str">
        <f>VLOOKUP($A1487, 'Medical Examinations'!$A:$J, 5, FALSE)</f>
        <v>No</v>
      </c>
      <c r="G1487" s="22" t="str">
        <f>VLOOKUP($A1487, 'Medical Examinations'!$A:$I, 6, FALSE)</f>
        <v>No</v>
      </c>
      <c r="H1487" s="22">
        <f>VLOOKUP($A1487,'Medical Examinations'!$A:$L,10, FALSE)</f>
        <v>0</v>
      </c>
      <c r="I1487" s="22" t="str">
        <f>VLOOKUP($A1487, 'Medical Examinations'!$A:$J, 9, FALSE)</f>
        <v>No</v>
      </c>
      <c r="J1487" s="22" t="str">
        <f>VLOOKUP($A1487, 'Medical Examinations'!$A:$P, 11, FALSE)</f>
        <v>OVERWEIGHT</v>
      </c>
      <c r="K1487" s="34">
        <v>37805.0</v>
      </c>
      <c r="L1487" s="35">
        <f>VLOOKUP($A1487, 'Hospitalisation Details'!$A:$H, 7, FALSE)</f>
        <v>7046.72</v>
      </c>
      <c r="M1487" s="22" t="str">
        <f>VLOOKUP($A1487, 'Hospitalisation Details'!$A:$L, 12, FALSE)</f>
        <v>tier - 2</v>
      </c>
      <c r="N1487" s="22" t="str">
        <f>VLOOKUP($A1487, 'Hospitalisation Details'!$A:$M, 13, FALSE)</f>
        <v>tier - 3</v>
      </c>
      <c r="O1487" s="22" t="str">
        <f>VLOOKUP($A1487, 'Hospitalisation Details'!$A:$N, 14, FALSE)</f>
        <v>R1013</v>
      </c>
      <c r="P1487" s="36">
        <f>VLOOKUP($A1487, 'Hospitalisation Details'!$A:$O, 15, FALSE)</f>
        <v>42</v>
      </c>
    </row>
    <row r="1488" ht="15.75" customHeight="1">
      <c r="A1488" s="33" t="s">
        <v>2975</v>
      </c>
      <c r="B1488" s="22" t="str">
        <f>VLOOKUP($A1488,'Customer Names'!$A:$D,3, FALSE)</f>
        <v>Gonsalves</v>
      </c>
      <c r="C1488" s="22">
        <f>VLOOKUP($A1488,'Medical Examinations'!$A:$D, 2, FALSE)</f>
        <v>25.3</v>
      </c>
      <c r="D1488" s="22">
        <f>VLOOKUP($A1488, 'Medical Examinations'!$A:$D,3, FALSE)</f>
        <v>5.12</v>
      </c>
      <c r="E1488" s="22" t="str">
        <f>VLOOKUP($A1488, 'Medical Examinations'!$A:$D, 4, FALSE)</f>
        <v>No</v>
      </c>
      <c r="F1488" s="22" t="str">
        <f>VLOOKUP($A1488, 'Medical Examinations'!$A:$J, 5, FALSE)</f>
        <v>No</v>
      </c>
      <c r="G1488" s="22" t="str">
        <f>VLOOKUP($A1488, 'Medical Examinations'!$A:$I, 6, FALSE)</f>
        <v>No</v>
      </c>
      <c r="H1488" s="22">
        <f>VLOOKUP($A1488,'Medical Examinations'!$A:$L,10, FALSE)</f>
        <v>0</v>
      </c>
      <c r="I1488" s="22" t="str">
        <f>VLOOKUP($A1488, 'Medical Examinations'!$A:$J, 9, FALSE)</f>
        <v>No</v>
      </c>
      <c r="J1488" s="22" t="str">
        <f>VLOOKUP($A1488, 'Medical Examinations'!$A:$P, 11, FALSE)</f>
        <v>OVERWEIGHT</v>
      </c>
      <c r="K1488" s="34">
        <v>37215.0</v>
      </c>
      <c r="L1488" s="35">
        <f>VLOOKUP($A1488, 'Hospitalisation Details'!$A:$H, 7, FALSE)</f>
        <v>7045.5</v>
      </c>
      <c r="M1488" s="22" t="str">
        <f>VLOOKUP($A1488, 'Hospitalisation Details'!$A:$L, 12, FALSE)</f>
        <v>tier - 2</v>
      </c>
      <c r="N1488" s="22" t="str">
        <f>VLOOKUP($A1488, 'Hospitalisation Details'!$A:$M, 13, FALSE)</f>
        <v>tier - 1</v>
      </c>
      <c r="O1488" s="22" t="str">
        <f>VLOOKUP($A1488, 'Hospitalisation Details'!$A:$N, 14, FALSE)</f>
        <v>R1011</v>
      </c>
      <c r="P1488" s="36">
        <f>VLOOKUP($A1488, 'Hospitalisation Details'!$A:$O, 15, FALSE)</f>
        <v>42</v>
      </c>
    </row>
    <row r="1489" ht="15.75" customHeight="1">
      <c r="A1489" s="33" t="s">
        <v>2977</v>
      </c>
      <c r="B1489" s="22" t="str">
        <f>VLOOKUP($A1489,'Customer Names'!$A:$D,3, FALSE)</f>
        <v>Peck</v>
      </c>
      <c r="C1489" s="22">
        <f>VLOOKUP($A1489,'Medical Examinations'!$A:$D, 2, FALSE)</f>
        <v>36.94</v>
      </c>
      <c r="D1489" s="22">
        <f>VLOOKUP($A1489, 'Medical Examinations'!$A:$D,3, FALSE)</f>
        <v>5.15</v>
      </c>
      <c r="E1489" s="22" t="str">
        <f>VLOOKUP($A1489, 'Medical Examinations'!$A:$D, 4, FALSE)</f>
        <v>Yes</v>
      </c>
      <c r="F1489" s="22" t="str">
        <f>VLOOKUP($A1489, 'Medical Examinations'!$A:$J, 5, FALSE)</f>
        <v>No</v>
      </c>
      <c r="G1489" s="22" t="str">
        <f>VLOOKUP($A1489, 'Medical Examinations'!$A:$I, 6, FALSE)</f>
        <v>No</v>
      </c>
      <c r="H1489" s="22">
        <f>VLOOKUP($A1489,'Medical Examinations'!$A:$L,10, FALSE)</f>
        <v>1</v>
      </c>
      <c r="I1489" s="22" t="str">
        <f>VLOOKUP($A1489, 'Medical Examinations'!$A:$J, 9, FALSE)</f>
        <v>No</v>
      </c>
      <c r="J1489" s="22" t="str">
        <f>VLOOKUP($A1489, 'Medical Examinations'!$A:$P, 11, FALSE)</f>
        <v>OBESITY</v>
      </c>
      <c r="K1489" s="34">
        <v>36003.0</v>
      </c>
      <c r="L1489" s="35">
        <f>VLOOKUP($A1489, 'Hospitalisation Details'!$A:$H, 7, FALSE)</f>
        <v>7042.11</v>
      </c>
      <c r="M1489" s="22" t="str">
        <f>VLOOKUP($A1489, 'Hospitalisation Details'!$A:$L, 12, FALSE)</f>
        <v>tier - 2</v>
      </c>
      <c r="N1489" s="22" t="str">
        <f>VLOOKUP($A1489, 'Hospitalisation Details'!$A:$M, 13, FALSE)</f>
        <v>tier - 3</v>
      </c>
      <c r="O1489" s="22" t="str">
        <f>VLOOKUP($A1489, 'Hospitalisation Details'!$A:$N, 14, FALSE)</f>
        <v>R1012</v>
      </c>
      <c r="P1489" s="36">
        <f>VLOOKUP($A1489, 'Hospitalisation Details'!$A:$O, 15, FALSE)</f>
        <v>27</v>
      </c>
    </row>
    <row r="1490" ht="15.75" customHeight="1">
      <c r="A1490" s="33" t="s">
        <v>2979</v>
      </c>
      <c r="B1490" s="22" t="str">
        <f>VLOOKUP($A1490,'Customer Names'!$A:$D,3, FALSE)</f>
        <v>Aure</v>
      </c>
      <c r="C1490" s="22">
        <f>VLOOKUP($A1490,'Medical Examinations'!$A:$D, 2, FALSE)</f>
        <v>22.86</v>
      </c>
      <c r="D1490" s="22">
        <f>VLOOKUP($A1490, 'Medical Examinations'!$A:$D,3, FALSE)</f>
        <v>7.5</v>
      </c>
      <c r="E1490" s="22" t="str">
        <f>VLOOKUP($A1490, 'Medical Examinations'!$A:$D, 4, FALSE)</f>
        <v>No</v>
      </c>
      <c r="F1490" s="22" t="str">
        <f>VLOOKUP($A1490, 'Medical Examinations'!$A:$J, 5, FALSE)</f>
        <v>No</v>
      </c>
      <c r="G1490" s="22" t="str">
        <f>VLOOKUP($A1490, 'Medical Examinations'!$A:$I, 6, FALSE)</f>
        <v>No</v>
      </c>
      <c r="H1490" s="22">
        <f>VLOOKUP($A1490,'Medical Examinations'!$A:$L,10, FALSE)</f>
        <v>0</v>
      </c>
      <c r="I1490" s="22" t="str">
        <f>VLOOKUP($A1490, 'Medical Examinations'!$A:$J, 9, FALSE)</f>
        <v>No</v>
      </c>
      <c r="J1490" s="22" t="str">
        <f>VLOOKUP($A1490, 'Medical Examinations'!$A:$P, 11, FALSE)</f>
        <v>NORMAL WEIGHT</v>
      </c>
      <c r="K1490" s="34">
        <v>33860.0</v>
      </c>
      <c r="L1490" s="35">
        <f>VLOOKUP($A1490, 'Hospitalisation Details'!$A:$H, 7, FALSE)</f>
        <v>7033.08</v>
      </c>
      <c r="M1490" s="22" t="str">
        <f>VLOOKUP($A1490, 'Hospitalisation Details'!$A:$L, 12, FALSE)</f>
        <v>tier - 2</v>
      </c>
      <c r="N1490" s="22" t="str">
        <f>VLOOKUP($A1490, 'Hospitalisation Details'!$A:$M, 13, FALSE)</f>
        <v>tier - 2</v>
      </c>
      <c r="O1490" s="22" t="str">
        <f>VLOOKUP($A1490, 'Hospitalisation Details'!$A:$N, 14, FALSE)</f>
        <v>R1013</v>
      </c>
      <c r="P1490" s="36">
        <f>VLOOKUP($A1490, 'Hospitalisation Details'!$A:$O, 15, FALSE)</f>
        <v>45</v>
      </c>
    </row>
    <row r="1491" ht="15.75" customHeight="1">
      <c r="A1491" s="33" t="s">
        <v>2981</v>
      </c>
      <c r="B1491" s="22" t="str">
        <f>VLOOKUP($A1491,'Customer Names'!$A:$D,3, FALSE)</f>
        <v>Mattingly</v>
      </c>
      <c r="C1491" s="22">
        <f>VLOOKUP($A1491,'Medical Examinations'!$A:$D, 2, FALSE)</f>
        <v>18.76</v>
      </c>
      <c r="D1491" s="22">
        <f>VLOOKUP($A1491, 'Medical Examinations'!$A:$D,3, FALSE)</f>
        <v>4.88</v>
      </c>
      <c r="E1491" s="22" t="str">
        <f>VLOOKUP($A1491, 'Medical Examinations'!$A:$D, 4, FALSE)</f>
        <v>Yes</v>
      </c>
      <c r="F1491" s="22" t="str">
        <f>VLOOKUP($A1491, 'Medical Examinations'!$A:$J, 5, FALSE)</f>
        <v>No</v>
      </c>
      <c r="G1491" s="22" t="str">
        <f>VLOOKUP($A1491, 'Medical Examinations'!$A:$I, 6, FALSE)</f>
        <v>Yes</v>
      </c>
      <c r="H1491" s="22">
        <f>VLOOKUP($A1491,'Medical Examinations'!$A:$L,10, FALSE)</f>
        <v>1</v>
      </c>
      <c r="I1491" s="22" t="str">
        <f>VLOOKUP($A1491, 'Medical Examinations'!$A:$J, 9, FALSE)</f>
        <v>No</v>
      </c>
      <c r="J1491" s="22" t="str">
        <f>VLOOKUP($A1491, 'Medical Examinations'!$A:$P, 11, FALSE)</f>
        <v>NORMAL WEIGHT</v>
      </c>
      <c r="K1491" s="34">
        <v>34150.0</v>
      </c>
      <c r="L1491" s="35">
        <f>VLOOKUP($A1491, 'Hospitalisation Details'!$A:$H, 7, FALSE)</f>
        <v>7003.1</v>
      </c>
      <c r="M1491" s="22" t="str">
        <f>VLOOKUP($A1491, 'Hospitalisation Details'!$A:$L, 12, FALSE)</f>
        <v>tier - 2</v>
      </c>
      <c r="N1491" s="22" t="str">
        <f>VLOOKUP($A1491, 'Hospitalisation Details'!$A:$M, 13, FALSE)</f>
        <v>tier - 3</v>
      </c>
      <c r="O1491" s="22" t="str">
        <f>VLOOKUP($A1491, 'Hospitalisation Details'!$A:$N, 14, FALSE)</f>
        <v>R1013</v>
      </c>
      <c r="P1491" s="36">
        <f>VLOOKUP($A1491, 'Hospitalisation Details'!$A:$O, 15, FALSE)</f>
        <v>53</v>
      </c>
    </row>
    <row r="1492" ht="15.75" customHeight="1">
      <c r="A1492" s="33" t="s">
        <v>2983</v>
      </c>
      <c r="B1492" s="22" t="str">
        <f>VLOOKUP($A1492,'Customer Names'!$A:$D,3, FALSE)</f>
        <v>Stelpflug</v>
      </c>
      <c r="C1492" s="22">
        <f>VLOOKUP($A1492,'Medical Examinations'!$A:$D, 2, FALSE)</f>
        <v>24.36</v>
      </c>
      <c r="D1492" s="22">
        <f>VLOOKUP($A1492, 'Medical Examinations'!$A:$D,3, FALSE)</f>
        <v>5.57</v>
      </c>
      <c r="E1492" s="22" t="str">
        <f>VLOOKUP($A1492, 'Medical Examinations'!$A:$D, 4, FALSE)</f>
        <v>No</v>
      </c>
      <c r="F1492" s="22" t="str">
        <f>VLOOKUP($A1492, 'Medical Examinations'!$A:$J, 5, FALSE)</f>
        <v>No</v>
      </c>
      <c r="G1492" s="22" t="str">
        <f>VLOOKUP($A1492, 'Medical Examinations'!$A:$I, 6, FALSE)</f>
        <v>No</v>
      </c>
      <c r="H1492" s="22">
        <f>VLOOKUP($A1492,'Medical Examinations'!$A:$L,10, FALSE)</f>
        <v>0</v>
      </c>
      <c r="I1492" s="22" t="str">
        <f>VLOOKUP($A1492, 'Medical Examinations'!$A:$J, 9, FALSE)</f>
        <v>No</v>
      </c>
      <c r="J1492" s="22" t="str">
        <f>VLOOKUP($A1492, 'Medical Examinations'!$A:$P, 11, FALSE)</f>
        <v>NORMAL WEIGHT</v>
      </c>
      <c r="K1492" s="34">
        <v>33938.0</v>
      </c>
      <c r="L1492" s="35">
        <f>VLOOKUP($A1492, 'Hospitalisation Details'!$A:$H, 7, FALSE)</f>
        <v>6989.95</v>
      </c>
      <c r="M1492" s="22" t="str">
        <f>VLOOKUP($A1492, 'Hospitalisation Details'!$A:$L, 12, FALSE)</f>
        <v>tier - 2</v>
      </c>
      <c r="N1492" s="22" t="str">
        <f>VLOOKUP($A1492, 'Hospitalisation Details'!$A:$M, 13, FALSE)</f>
        <v>tier - 1</v>
      </c>
      <c r="O1492" s="22" t="str">
        <f>VLOOKUP($A1492, 'Hospitalisation Details'!$A:$N, 14, FALSE)</f>
        <v>R1013</v>
      </c>
      <c r="P1492" s="36">
        <f>VLOOKUP($A1492, 'Hospitalisation Details'!$A:$O, 15, FALSE)</f>
        <v>40</v>
      </c>
    </row>
    <row r="1493" ht="15.75" customHeight="1">
      <c r="A1493" s="33" t="s">
        <v>2985</v>
      </c>
      <c r="B1493" s="22" t="str">
        <f>VLOOKUP($A1493,'Customer Names'!$A:$D,3, FALSE)</f>
        <v>Sanche</v>
      </c>
      <c r="C1493" s="22">
        <f>VLOOKUP($A1493,'Medical Examinations'!$A:$D, 2, FALSE)</f>
        <v>32.3</v>
      </c>
      <c r="D1493" s="22">
        <f>VLOOKUP($A1493, 'Medical Examinations'!$A:$D,3, FALSE)</f>
        <v>5.31</v>
      </c>
      <c r="E1493" s="22" t="str">
        <f>VLOOKUP($A1493, 'Medical Examinations'!$A:$D, 4, FALSE)</f>
        <v>No</v>
      </c>
      <c r="F1493" s="22" t="str">
        <f>VLOOKUP($A1493, 'Medical Examinations'!$A:$J, 5, FALSE)</f>
        <v>No</v>
      </c>
      <c r="G1493" s="22" t="str">
        <f>VLOOKUP($A1493, 'Medical Examinations'!$A:$I, 6, FALSE)</f>
        <v>No</v>
      </c>
      <c r="H1493" s="22">
        <f>VLOOKUP($A1493,'Medical Examinations'!$A:$L,10, FALSE)</f>
        <v>0</v>
      </c>
      <c r="I1493" s="22" t="str">
        <f>VLOOKUP($A1493, 'Medical Examinations'!$A:$J, 9, FALSE)</f>
        <v>No</v>
      </c>
      <c r="J1493" s="22" t="str">
        <f>VLOOKUP($A1493, 'Medical Examinations'!$A:$P, 11, FALSE)</f>
        <v>OBESITY</v>
      </c>
      <c r="K1493" s="34">
        <v>33794.0</v>
      </c>
      <c r="L1493" s="35">
        <f>VLOOKUP($A1493, 'Hospitalisation Details'!$A:$H, 7, FALSE)</f>
        <v>6986.7</v>
      </c>
      <c r="M1493" s="22" t="str">
        <f>VLOOKUP($A1493, 'Hospitalisation Details'!$A:$L, 12, FALSE)</f>
        <v>tier - 3</v>
      </c>
      <c r="N1493" s="22" t="str">
        <f>VLOOKUP($A1493, 'Hospitalisation Details'!$A:$M, 13, FALSE)</f>
        <v>tier - 1</v>
      </c>
      <c r="O1493" s="22" t="str">
        <f>VLOOKUP($A1493, 'Hospitalisation Details'!$A:$N, 14, FALSE)</f>
        <v>R1012</v>
      </c>
      <c r="P1493" s="36">
        <f>VLOOKUP($A1493, 'Hospitalisation Details'!$A:$O, 15, FALSE)</f>
        <v>40</v>
      </c>
    </row>
    <row r="1494" ht="15.75" customHeight="1">
      <c r="A1494" s="33" t="s">
        <v>2987</v>
      </c>
      <c r="B1494" s="22" t="str">
        <f>VLOOKUP($A1494,'Customer Names'!$A:$D,3, FALSE)</f>
        <v>Condon</v>
      </c>
      <c r="C1494" s="22">
        <f>VLOOKUP($A1494,'Medical Examinations'!$A:$D, 2, FALSE)</f>
        <v>22.705</v>
      </c>
      <c r="D1494" s="22">
        <f>VLOOKUP($A1494, 'Medical Examinations'!$A:$D,3, FALSE)</f>
        <v>4.57</v>
      </c>
      <c r="E1494" s="22" t="str">
        <f>VLOOKUP($A1494, 'Medical Examinations'!$A:$D, 4, FALSE)</f>
        <v>Yes</v>
      </c>
      <c r="F1494" s="22" t="str">
        <f>VLOOKUP($A1494, 'Medical Examinations'!$A:$J, 5, FALSE)</f>
        <v>No</v>
      </c>
      <c r="G1494" s="22" t="str">
        <f>VLOOKUP($A1494, 'Medical Examinations'!$A:$I, 6, FALSE)</f>
        <v>No</v>
      </c>
      <c r="H1494" s="22">
        <f>VLOOKUP($A1494,'Medical Examinations'!$A:$L,10, FALSE)</f>
        <v>0</v>
      </c>
      <c r="I1494" s="22" t="str">
        <f>VLOOKUP($A1494, 'Medical Examinations'!$A:$J, 9, FALSE)</f>
        <v>No</v>
      </c>
      <c r="J1494" s="22" t="str">
        <f>VLOOKUP($A1494, 'Medical Examinations'!$A:$P, 11, FALSE)</f>
        <v>NORMAL WEIGHT</v>
      </c>
      <c r="K1494" s="34">
        <v>34522.0</v>
      </c>
      <c r="L1494" s="35">
        <f>VLOOKUP($A1494, 'Hospitalisation Details'!$A:$H, 7, FALSE)</f>
        <v>6985.51</v>
      </c>
      <c r="M1494" s="22" t="str">
        <f>VLOOKUP($A1494, 'Hospitalisation Details'!$A:$L, 12, FALSE)</f>
        <v>tier - 2</v>
      </c>
      <c r="N1494" s="22" t="str">
        <f>VLOOKUP($A1494, 'Hospitalisation Details'!$A:$M, 13, FALSE)</f>
        <v>tier - 2</v>
      </c>
      <c r="O1494" s="22" t="str">
        <f>VLOOKUP($A1494, 'Hospitalisation Details'!$A:$N, 14, FALSE)</f>
        <v>R1019</v>
      </c>
      <c r="P1494" s="36">
        <f>VLOOKUP($A1494, 'Hospitalisation Details'!$A:$O, 15, FALSE)</f>
        <v>37</v>
      </c>
    </row>
    <row r="1495" ht="15.75" customHeight="1">
      <c r="A1495" s="33" t="s">
        <v>2989</v>
      </c>
      <c r="B1495" s="22" t="str">
        <f>VLOOKUP($A1495,'Customer Names'!$A:$D,3, FALSE)</f>
        <v>Magato</v>
      </c>
      <c r="C1495" s="22">
        <f>VLOOKUP($A1495,'Medical Examinations'!$A:$D, 2, FALSE)</f>
        <v>21.79</v>
      </c>
      <c r="D1495" s="22">
        <f>VLOOKUP($A1495, 'Medical Examinations'!$A:$D,3, FALSE)</f>
        <v>8.7</v>
      </c>
      <c r="E1495" s="22" t="str">
        <f>VLOOKUP($A1495, 'Medical Examinations'!$A:$D, 4, FALSE)</f>
        <v>Yes</v>
      </c>
      <c r="F1495" s="22" t="str">
        <f>VLOOKUP($A1495, 'Medical Examinations'!$A:$J, 5, FALSE)</f>
        <v>No</v>
      </c>
      <c r="G1495" s="22" t="str">
        <f>VLOOKUP($A1495, 'Medical Examinations'!$A:$I, 6, FALSE)</f>
        <v>No</v>
      </c>
      <c r="H1495" s="22">
        <f>VLOOKUP($A1495,'Medical Examinations'!$A:$L,10, FALSE)</f>
        <v>1</v>
      </c>
      <c r="I1495" s="22" t="str">
        <f>VLOOKUP($A1495, 'Medical Examinations'!$A:$J, 9, FALSE)</f>
        <v>No</v>
      </c>
      <c r="J1495" s="22" t="str">
        <f>VLOOKUP($A1495, 'Medical Examinations'!$A:$P, 11, FALSE)</f>
        <v>NORMAL WEIGHT</v>
      </c>
      <c r="K1495" s="34">
        <v>38269.0</v>
      </c>
      <c r="L1495" s="35">
        <f>VLOOKUP($A1495, 'Hospitalisation Details'!$A:$H, 7, FALSE)</f>
        <v>6965.21</v>
      </c>
      <c r="M1495" s="22" t="str">
        <f>VLOOKUP($A1495, 'Hospitalisation Details'!$A:$L, 12, FALSE)</f>
        <v>tier - 2</v>
      </c>
      <c r="N1495" s="22" t="str">
        <f>VLOOKUP($A1495, 'Hospitalisation Details'!$A:$M, 13, FALSE)</f>
        <v>tier - 3</v>
      </c>
      <c r="O1495" s="22" t="str">
        <f>VLOOKUP($A1495, 'Hospitalisation Details'!$A:$N, 14, FALSE)</f>
        <v>R1013</v>
      </c>
      <c r="P1495" s="36">
        <f>VLOOKUP($A1495, 'Hospitalisation Details'!$A:$O, 15, FALSE)</f>
        <v>48</v>
      </c>
    </row>
    <row r="1496" ht="15.75" customHeight="1">
      <c r="A1496" s="33" t="s">
        <v>2991</v>
      </c>
      <c r="B1496" s="22" t="str">
        <f>VLOOKUP($A1496,'Customer Names'!$A:$D,3, FALSE)</f>
        <v>Dombrowski</v>
      </c>
      <c r="C1496" s="22">
        <f>VLOOKUP($A1496,'Medical Examinations'!$A:$D, 2, FALSE)</f>
        <v>24.52</v>
      </c>
      <c r="D1496" s="22">
        <f>VLOOKUP($A1496, 'Medical Examinations'!$A:$D,3, FALSE)</f>
        <v>4.76</v>
      </c>
      <c r="E1496" s="22" t="str">
        <f>VLOOKUP($A1496, 'Medical Examinations'!$A:$D, 4, FALSE)</f>
        <v>No</v>
      </c>
      <c r="F1496" s="22" t="str">
        <f>VLOOKUP($A1496, 'Medical Examinations'!$A:$J, 5, FALSE)</f>
        <v>No</v>
      </c>
      <c r="G1496" s="22" t="str">
        <f>VLOOKUP($A1496, 'Medical Examinations'!$A:$I, 6, FALSE)</f>
        <v>No</v>
      </c>
      <c r="H1496" s="22">
        <f>VLOOKUP($A1496,'Medical Examinations'!$A:$L,10, FALSE)</f>
        <v>0</v>
      </c>
      <c r="I1496" s="22" t="str">
        <f>VLOOKUP($A1496, 'Medical Examinations'!$A:$J, 9, FALSE)</f>
        <v>No</v>
      </c>
      <c r="J1496" s="22" t="str">
        <f>VLOOKUP($A1496, 'Medical Examinations'!$A:$P, 11, FALSE)</f>
        <v>NORMAL WEIGHT</v>
      </c>
      <c r="K1496" s="34">
        <v>28089.0</v>
      </c>
      <c r="L1496" s="35">
        <f>VLOOKUP($A1496, 'Hospitalisation Details'!$A:$H, 7, FALSE)</f>
        <v>6951.12</v>
      </c>
      <c r="M1496" s="22" t="str">
        <f>VLOOKUP($A1496, 'Hospitalisation Details'!$A:$L, 12, FALSE)</f>
        <v>tier - 2</v>
      </c>
      <c r="N1496" s="22" t="str">
        <f>VLOOKUP($A1496, 'Hospitalisation Details'!$A:$M, 13, FALSE)</f>
        <v>tier - 2</v>
      </c>
      <c r="O1496" s="22" t="str">
        <f>VLOOKUP($A1496, 'Hospitalisation Details'!$A:$N, 14, FALSE)</f>
        <v>R1013</v>
      </c>
      <c r="P1496" s="36">
        <f>VLOOKUP($A1496, 'Hospitalisation Details'!$A:$O, 15, FALSE)</f>
        <v>42</v>
      </c>
    </row>
    <row r="1497" ht="15.75" customHeight="1">
      <c r="A1497" s="33" t="s">
        <v>2993</v>
      </c>
      <c r="B1497" s="22" t="str">
        <f>VLOOKUP($A1497,'Customer Names'!$A:$D,3, FALSE)</f>
        <v>Ohara</v>
      </c>
      <c r="C1497" s="22">
        <f>VLOOKUP($A1497,'Medical Examinations'!$A:$D, 2, FALSE)</f>
        <v>39.52</v>
      </c>
      <c r="D1497" s="22">
        <f>VLOOKUP($A1497, 'Medical Examinations'!$A:$D,3, FALSE)</f>
        <v>11.81</v>
      </c>
      <c r="E1497" s="22" t="str">
        <f>VLOOKUP($A1497, 'Medical Examinations'!$A:$D, 4, FALSE)</f>
        <v>No</v>
      </c>
      <c r="F1497" s="22" t="str">
        <f>VLOOKUP($A1497, 'Medical Examinations'!$A:$J, 5, FALSE)</f>
        <v>No</v>
      </c>
      <c r="G1497" s="22" t="str">
        <f>VLOOKUP($A1497, 'Medical Examinations'!$A:$I, 6, FALSE)</f>
        <v>No</v>
      </c>
      <c r="H1497" s="22">
        <f>VLOOKUP($A1497,'Medical Examinations'!$A:$L,10, FALSE)</f>
        <v>0</v>
      </c>
      <c r="I1497" s="22" t="str">
        <f>VLOOKUP($A1497, 'Medical Examinations'!$A:$J, 9, FALSE)</f>
        <v>No</v>
      </c>
      <c r="J1497" s="22" t="str">
        <f>VLOOKUP($A1497, 'Medical Examinations'!$A:$P, 11, FALSE)</f>
        <v>OBESITY</v>
      </c>
      <c r="K1497" s="34">
        <v>35970.0</v>
      </c>
      <c r="L1497" s="35">
        <f>VLOOKUP($A1497, 'Hospitalisation Details'!$A:$H, 7, FALSE)</f>
        <v>6948.7</v>
      </c>
      <c r="M1497" s="22" t="str">
        <f>VLOOKUP($A1497, 'Hospitalisation Details'!$A:$L, 12, FALSE)</f>
        <v>tier - 1</v>
      </c>
      <c r="N1497" s="22" t="str">
        <f>VLOOKUP($A1497, 'Hospitalisation Details'!$A:$M, 13, FALSE)</f>
        <v>tier - 2</v>
      </c>
      <c r="O1497" s="22" t="str">
        <f>VLOOKUP($A1497, 'Hospitalisation Details'!$A:$N, 14, FALSE)</f>
        <v>R1012</v>
      </c>
      <c r="P1497" s="36">
        <f>VLOOKUP($A1497, 'Hospitalisation Details'!$A:$O, 15, FALSE)</f>
        <v>44</v>
      </c>
    </row>
    <row r="1498" ht="15.75" customHeight="1">
      <c r="A1498" s="33" t="s">
        <v>2995</v>
      </c>
      <c r="B1498" s="22" t="str">
        <f>VLOOKUP($A1498,'Customer Names'!$A:$D,3, FALSE)</f>
        <v>Cifuente</v>
      </c>
      <c r="C1498" s="22">
        <f>VLOOKUP($A1498,'Medical Examinations'!$A:$D, 2, FALSE)</f>
        <v>24.49</v>
      </c>
      <c r="D1498" s="22">
        <f>VLOOKUP($A1498, 'Medical Examinations'!$A:$D,3, FALSE)</f>
        <v>4.67</v>
      </c>
      <c r="E1498" s="22" t="str">
        <f>VLOOKUP($A1498, 'Medical Examinations'!$A:$D, 4, FALSE)</f>
        <v>No</v>
      </c>
      <c r="F1498" s="22" t="str">
        <f>VLOOKUP($A1498, 'Medical Examinations'!$A:$J, 5, FALSE)</f>
        <v>No</v>
      </c>
      <c r="G1498" s="22" t="str">
        <f>VLOOKUP($A1498, 'Medical Examinations'!$A:$I, 6, FALSE)</f>
        <v>No</v>
      </c>
      <c r="H1498" s="22">
        <f>VLOOKUP($A1498,'Medical Examinations'!$A:$L,10, FALSE)</f>
        <v>0</v>
      </c>
      <c r="I1498" s="22" t="str">
        <f>VLOOKUP($A1498, 'Medical Examinations'!$A:$J, 9, FALSE)</f>
        <v>No</v>
      </c>
      <c r="J1498" s="22" t="str">
        <f>VLOOKUP($A1498, 'Medical Examinations'!$A:$P, 11, FALSE)</f>
        <v>NORMAL WEIGHT</v>
      </c>
      <c r="K1498" s="34">
        <v>33140.0</v>
      </c>
      <c r="L1498" s="35">
        <f>VLOOKUP($A1498, 'Hospitalisation Details'!$A:$H, 7, FALSE)</f>
        <v>6940.94</v>
      </c>
      <c r="M1498" s="22" t="str">
        <f>VLOOKUP($A1498, 'Hospitalisation Details'!$A:$L, 12, FALSE)</f>
        <v>tier - 2</v>
      </c>
      <c r="N1498" s="22" t="str">
        <f>VLOOKUP($A1498, 'Hospitalisation Details'!$A:$M, 13, FALSE)</f>
        <v>tier - 3</v>
      </c>
      <c r="O1498" s="22" t="str">
        <f>VLOOKUP($A1498, 'Hospitalisation Details'!$A:$N, 14, FALSE)</f>
        <v>R1013</v>
      </c>
      <c r="P1498" s="36">
        <f>VLOOKUP($A1498, 'Hospitalisation Details'!$A:$O, 15, FALSE)</f>
        <v>42</v>
      </c>
    </row>
    <row r="1499" ht="15.75" customHeight="1">
      <c r="A1499" s="33" t="s">
        <v>2997</v>
      </c>
      <c r="B1499" s="22" t="str">
        <f>VLOOKUP($A1499,'Customer Names'!$A:$D,3, FALSE)</f>
        <v>Keno</v>
      </c>
      <c r="C1499" s="22">
        <f>VLOOKUP($A1499,'Medical Examinations'!$A:$D, 2, FALSE)</f>
        <v>26.315</v>
      </c>
      <c r="D1499" s="22">
        <f>VLOOKUP($A1499, 'Medical Examinations'!$A:$D,3, FALSE)</f>
        <v>6.02</v>
      </c>
      <c r="E1499" s="22" t="str">
        <f>VLOOKUP($A1499, 'Medical Examinations'!$A:$D, 4, FALSE)</f>
        <v>No</v>
      </c>
      <c r="F1499" s="22" t="str">
        <f>VLOOKUP($A1499, 'Medical Examinations'!$A:$J, 5, FALSE)</f>
        <v>No</v>
      </c>
      <c r="G1499" s="22" t="str">
        <f>VLOOKUP($A1499, 'Medical Examinations'!$A:$I, 6, FALSE)</f>
        <v>No</v>
      </c>
      <c r="H1499" s="22">
        <f>VLOOKUP($A1499,'Medical Examinations'!$A:$L,10, FALSE)</f>
        <v>0</v>
      </c>
      <c r="I1499" s="22" t="str">
        <f>VLOOKUP($A1499, 'Medical Examinations'!$A:$J, 9, FALSE)</f>
        <v>No</v>
      </c>
      <c r="J1499" s="22" t="str">
        <f>VLOOKUP($A1499, 'Medical Examinations'!$A:$P, 11, FALSE)</f>
        <v>OVERWEIGHT</v>
      </c>
      <c r="K1499" s="34">
        <v>37899.0</v>
      </c>
      <c r="L1499" s="35">
        <f>VLOOKUP($A1499, 'Hospitalisation Details'!$A:$H, 7, FALSE)</f>
        <v>6940.91</v>
      </c>
      <c r="M1499" s="22" t="str">
        <f>VLOOKUP($A1499, 'Hospitalisation Details'!$A:$L, 12, FALSE)</f>
        <v>tier - 2</v>
      </c>
      <c r="N1499" s="22" t="str">
        <f>VLOOKUP($A1499, 'Hospitalisation Details'!$A:$M, 13, FALSE)</f>
        <v>tier - 2</v>
      </c>
      <c r="O1499" s="22" t="str">
        <f>VLOOKUP($A1499, 'Hospitalisation Details'!$A:$N, 14, FALSE)</f>
        <v>R1012</v>
      </c>
      <c r="P1499" s="36">
        <f>VLOOKUP($A1499, 'Hospitalisation Details'!$A:$O, 15, FALSE)</f>
        <v>42</v>
      </c>
    </row>
    <row r="1500" ht="15.75" customHeight="1">
      <c r="A1500" s="33" t="s">
        <v>2999</v>
      </c>
      <c r="B1500" s="22" t="str">
        <f>VLOOKUP($A1500,'Customer Names'!$A:$D,3, FALSE)</f>
        <v>Bruce</v>
      </c>
      <c r="C1500" s="22">
        <f>VLOOKUP($A1500,'Medical Examinations'!$A:$D, 2, FALSE)</f>
        <v>22.58</v>
      </c>
      <c r="D1500" s="22">
        <f>VLOOKUP($A1500, 'Medical Examinations'!$A:$D,3, FALSE)</f>
        <v>7.46</v>
      </c>
      <c r="E1500" s="22" t="str">
        <f>VLOOKUP($A1500, 'Medical Examinations'!$A:$D, 4, FALSE)</f>
        <v>No</v>
      </c>
      <c r="F1500" s="22" t="str">
        <f>VLOOKUP($A1500, 'Medical Examinations'!$A:$J, 5, FALSE)</f>
        <v>No</v>
      </c>
      <c r="G1500" s="22" t="str">
        <f>VLOOKUP($A1500, 'Medical Examinations'!$A:$I, 6, FALSE)</f>
        <v>No</v>
      </c>
      <c r="H1500" s="22">
        <f>VLOOKUP($A1500,'Medical Examinations'!$A:$L,10, FALSE)</f>
        <v>0</v>
      </c>
      <c r="I1500" s="22" t="str">
        <f>VLOOKUP($A1500, 'Medical Examinations'!$A:$J, 9, FALSE)</f>
        <v>No</v>
      </c>
      <c r="J1500" s="22" t="str">
        <f>VLOOKUP($A1500, 'Medical Examinations'!$A:$P, 11, FALSE)</f>
        <v>NORMAL WEIGHT</v>
      </c>
      <c r="K1500" s="34">
        <v>25930.0</v>
      </c>
      <c r="L1500" s="35">
        <f>VLOOKUP($A1500, 'Hospitalisation Details'!$A:$H, 7, FALSE)</f>
        <v>6938.11</v>
      </c>
      <c r="M1500" s="22" t="str">
        <f>VLOOKUP($A1500, 'Hospitalisation Details'!$A:$L, 12, FALSE)</f>
        <v>tier - 2</v>
      </c>
      <c r="N1500" s="22" t="str">
        <f>VLOOKUP($A1500, 'Hospitalisation Details'!$A:$M, 13, FALSE)</f>
        <v>tier - 2</v>
      </c>
      <c r="O1500" s="22" t="str">
        <f>VLOOKUP($A1500, 'Hospitalisation Details'!$A:$N, 14, FALSE)</f>
        <v>R1013</v>
      </c>
      <c r="P1500" s="36">
        <f>VLOOKUP($A1500, 'Hospitalisation Details'!$A:$O, 15, FALSE)</f>
        <v>44</v>
      </c>
    </row>
    <row r="1501" ht="15.75" customHeight="1">
      <c r="A1501" s="33" t="s">
        <v>3001</v>
      </c>
      <c r="B1501" s="22" t="str">
        <f>VLOOKUP($A1501,'Customer Names'!$A:$D,3, FALSE)</f>
        <v>Lorch</v>
      </c>
      <c r="C1501" s="22">
        <f>VLOOKUP($A1501,'Medical Examinations'!$A:$D, 2, FALSE)</f>
        <v>19.475</v>
      </c>
      <c r="D1501" s="22">
        <f>VLOOKUP($A1501, 'Medical Examinations'!$A:$D,3, FALSE)</f>
        <v>4.74</v>
      </c>
      <c r="E1501" s="22" t="str">
        <f>VLOOKUP($A1501, 'Medical Examinations'!$A:$D, 4, FALSE)</f>
        <v>No</v>
      </c>
      <c r="F1501" s="22" t="str">
        <f>VLOOKUP($A1501, 'Medical Examinations'!$A:$J, 5, FALSE)</f>
        <v>No</v>
      </c>
      <c r="G1501" s="22" t="str">
        <f>VLOOKUP($A1501, 'Medical Examinations'!$A:$I, 6, FALSE)</f>
        <v>No</v>
      </c>
      <c r="H1501" s="22">
        <f>VLOOKUP($A1501,'Medical Examinations'!$A:$L,10, FALSE)</f>
        <v>1</v>
      </c>
      <c r="I1501" s="22" t="str">
        <f>VLOOKUP($A1501, 'Medical Examinations'!$A:$J, 9, FALSE)</f>
        <v>No</v>
      </c>
      <c r="J1501" s="22" t="str">
        <f>VLOOKUP($A1501, 'Medical Examinations'!$A:$P, 11, FALSE)</f>
        <v>NORMAL WEIGHT</v>
      </c>
      <c r="K1501" s="34">
        <v>30956.0</v>
      </c>
      <c r="L1501" s="35">
        <f>VLOOKUP($A1501, 'Hospitalisation Details'!$A:$H, 7, FALSE)</f>
        <v>6933.24</v>
      </c>
      <c r="M1501" s="22" t="str">
        <f>VLOOKUP($A1501, 'Hospitalisation Details'!$A:$L, 12, FALSE)</f>
        <v>tier - 2</v>
      </c>
      <c r="N1501" s="22" t="str">
        <f>VLOOKUP($A1501, 'Hospitalisation Details'!$A:$M, 13, FALSE)</f>
        <v>tier - 3</v>
      </c>
      <c r="O1501" s="22" t="str">
        <f>VLOOKUP($A1501, 'Hospitalisation Details'!$A:$N, 14, FALSE)</f>
        <v>R1012</v>
      </c>
      <c r="P1501" s="36">
        <f>VLOOKUP($A1501, 'Hospitalisation Details'!$A:$O, 15, FALSE)</f>
        <v>38</v>
      </c>
    </row>
    <row r="1502" ht="15.75" customHeight="1">
      <c r="A1502" s="33" t="s">
        <v>3003</v>
      </c>
      <c r="B1502" s="22" t="str">
        <f>VLOOKUP($A1502,'Customer Names'!$A:$D,3, FALSE)</f>
        <v>Sullivan</v>
      </c>
      <c r="C1502" s="22">
        <f>VLOOKUP($A1502,'Medical Examinations'!$A:$D, 2, FALSE)</f>
        <v>26.33</v>
      </c>
      <c r="D1502" s="22">
        <f>VLOOKUP($A1502, 'Medical Examinations'!$A:$D,3, FALSE)</f>
        <v>4.79</v>
      </c>
      <c r="E1502" s="22" t="str">
        <f>VLOOKUP($A1502, 'Medical Examinations'!$A:$D, 4, FALSE)</f>
        <v>No</v>
      </c>
      <c r="F1502" s="22" t="str">
        <f>VLOOKUP($A1502, 'Medical Examinations'!$A:$J, 5, FALSE)</f>
        <v>No</v>
      </c>
      <c r="G1502" s="22" t="str">
        <f>VLOOKUP($A1502, 'Medical Examinations'!$A:$I, 6, FALSE)</f>
        <v>No</v>
      </c>
      <c r="H1502" s="22">
        <f>VLOOKUP($A1502,'Medical Examinations'!$A:$L,10, FALSE)</f>
        <v>0</v>
      </c>
      <c r="I1502" s="22" t="str">
        <f>VLOOKUP($A1502, 'Medical Examinations'!$A:$J, 9, FALSE)</f>
        <v>No</v>
      </c>
      <c r="J1502" s="22" t="str">
        <f>VLOOKUP($A1502, 'Medical Examinations'!$A:$P, 11, FALSE)</f>
        <v>OVERWEIGHT</v>
      </c>
      <c r="K1502" s="34">
        <v>30591.0</v>
      </c>
      <c r="L1502" s="35">
        <f>VLOOKUP($A1502, 'Hospitalisation Details'!$A:$H, 7, FALSE)</f>
        <v>6895.19</v>
      </c>
      <c r="M1502" s="22" t="str">
        <f>VLOOKUP($A1502, 'Hospitalisation Details'!$A:$L, 12, FALSE)</f>
        <v>tier - 2</v>
      </c>
      <c r="N1502" s="22" t="str">
        <f>VLOOKUP($A1502, 'Hospitalisation Details'!$A:$M, 13, FALSE)</f>
        <v>tier - 3</v>
      </c>
      <c r="O1502" s="22" t="str">
        <f>VLOOKUP($A1502, 'Hospitalisation Details'!$A:$N, 14, FALSE)</f>
        <v>R1024</v>
      </c>
      <c r="P1502" s="36">
        <f>VLOOKUP($A1502, 'Hospitalisation Details'!$A:$O, 15, FALSE)</f>
        <v>33</v>
      </c>
    </row>
    <row r="1503" ht="15.75" customHeight="1">
      <c r="A1503" s="33" t="s">
        <v>3005</v>
      </c>
      <c r="B1503" s="22" t="str">
        <f>VLOOKUP($A1503,'Customer Names'!$A:$D,3, FALSE)</f>
        <v>Cave</v>
      </c>
      <c r="C1503" s="22">
        <f>VLOOKUP($A1503,'Medical Examinations'!$A:$D, 2, FALSE)</f>
        <v>17.29</v>
      </c>
      <c r="D1503" s="22">
        <f>VLOOKUP($A1503, 'Medical Examinations'!$A:$D,3, FALSE)</f>
        <v>5.35</v>
      </c>
      <c r="E1503" s="22" t="str">
        <f>VLOOKUP($A1503, 'Medical Examinations'!$A:$D, 4, FALSE)</f>
        <v>Yes</v>
      </c>
      <c r="F1503" s="22" t="str">
        <f>VLOOKUP($A1503, 'Medical Examinations'!$A:$J, 5, FALSE)</f>
        <v>No</v>
      </c>
      <c r="G1503" s="22" t="str">
        <f>VLOOKUP($A1503, 'Medical Examinations'!$A:$I, 6, FALSE)</f>
        <v>No</v>
      </c>
      <c r="H1503" s="22">
        <f>VLOOKUP($A1503,'Medical Examinations'!$A:$L,10, FALSE)</f>
        <v>0</v>
      </c>
      <c r="I1503" s="22" t="str">
        <f>VLOOKUP($A1503, 'Medical Examinations'!$A:$J, 9, FALSE)</f>
        <v>No</v>
      </c>
      <c r="J1503" s="22" t="str">
        <f>VLOOKUP($A1503, 'Medical Examinations'!$A:$P, 11, FALSE)</f>
        <v>UNDERWEIGHT</v>
      </c>
      <c r="K1503" s="34">
        <v>31696.0</v>
      </c>
      <c r="L1503" s="35">
        <f>VLOOKUP($A1503, 'Hospitalisation Details'!$A:$H, 7, FALSE)</f>
        <v>6877.98</v>
      </c>
      <c r="M1503" s="22" t="str">
        <f>VLOOKUP($A1503, 'Hospitalisation Details'!$A:$L, 12, FALSE)</f>
        <v>tier - 2</v>
      </c>
      <c r="N1503" s="22" t="str">
        <f>VLOOKUP($A1503, 'Hospitalisation Details'!$A:$M, 13, FALSE)</f>
        <v>tier - 1</v>
      </c>
      <c r="O1503" s="22" t="str">
        <f>VLOOKUP($A1503, 'Hospitalisation Details'!$A:$N, 14, FALSE)</f>
        <v>R1024</v>
      </c>
      <c r="P1503" s="36">
        <f>VLOOKUP($A1503, 'Hospitalisation Details'!$A:$O, 15, FALSE)</f>
        <v>37</v>
      </c>
    </row>
    <row r="1504" ht="15.75" customHeight="1">
      <c r="A1504" s="33" t="s">
        <v>3007</v>
      </c>
      <c r="B1504" s="22" t="str">
        <f>VLOOKUP($A1504,'Customer Names'!$A:$D,3, FALSE)</f>
        <v>Gudenkauf</v>
      </c>
      <c r="C1504" s="22">
        <f>VLOOKUP($A1504,'Medical Examinations'!$A:$D, 2, FALSE)</f>
        <v>42.88</v>
      </c>
      <c r="D1504" s="22">
        <f>VLOOKUP($A1504, 'Medical Examinations'!$A:$D,3, FALSE)</f>
        <v>4.87</v>
      </c>
      <c r="E1504" s="22" t="str">
        <f>VLOOKUP($A1504, 'Medical Examinations'!$A:$D, 4, FALSE)</f>
        <v>No</v>
      </c>
      <c r="F1504" s="22" t="str">
        <f>VLOOKUP($A1504, 'Medical Examinations'!$A:$J, 5, FALSE)</f>
        <v>Yes</v>
      </c>
      <c r="G1504" s="22" t="str">
        <f>VLOOKUP($A1504, 'Medical Examinations'!$A:$I, 6, FALSE)</f>
        <v>No</v>
      </c>
      <c r="H1504" s="22">
        <f>VLOOKUP($A1504,'Medical Examinations'!$A:$L,10, FALSE)</f>
        <v>1</v>
      </c>
      <c r="I1504" s="22" t="str">
        <f>VLOOKUP($A1504, 'Medical Examinations'!$A:$J, 9, FALSE)</f>
        <v>No</v>
      </c>
      <c r="J1504" s="22" t="str">
        <f>VLOOKUP($A1504, 'Medical Examinations'!$A:$P, 11, FALSE)</f>
        <v>OBESITY</v>
      </c>
      <c r="K1504" s="34">
        <v>35002.0</v>
      </c>
      <c r="L1504" s="35">
        <f>VLOOKUP($A1504, 'Hospitalisation Details'!$A:$H, 7, FALSE)</f>
        <v>6876.53</v>
      </c>
      <c r="M1504" s="22" t="str">
        <f>VLOOKUP($A1504, 'Hospitalisation Details'!$A:$L, 12, FALSE)</f>
        <v>tier - 2</v>
      </c>
      <c r="N1504" s="22" t="str">
        <f>VLOOKUP($A1504, 'Hospitalisation Details'!$A:$M, 13, FALSE)</f>
        <v>tier - 1</v>
      </c>
      <c r="O1504" s="22" t="str">
        <f>VLOOKUP($A1504, 'Hospitalisation Details'!$A:$N, 14, FALSE)</f>
        <v>R1012</v>
      </c>
      <c r="P1504" s="36">
        <f>VLOOKUP($A1504, 'Hospitalisation Details'!$A:$O, 15, FALSE)</f>
        <v>18</v>
      </c>
    </row>
    <row r="1505" ht="15.75" customHeight="1">
      <c r="A1505" s="33" t="s">
        <v>3009</v>
      </c>
      <c r="B1505" s="22" t="str">
        <f>VLOOKUP($A1505,'Customer Names'!$A:$D,3, FALSE)</f>
        <v>Thomas</v>
      </c>
      <c r="C1505" s="22">
        <f>VLOOKUP($A1505,'Medical Examinations'!$A:$D, 2, FALSE)</f>
        <v>32.2</v>
      </c>
      <c r="D1505" s="22">
        <f>VLOOKUP($A1505, 'Medical Examinations'!$A:$D,3, FALSE)</f>
        <v>10.09</v>
      </c>
      <c r="E1505" s="22" t="str">
        <f>VLOOKUP($A1505, 'Medical Examinations'!$A:$D, 4, FALSE)</f>
        <v>Yes</v>
      </c>
      <c r="F1505" s="22" t="str">
        <f>VLOOKUP($A1505, 'Medical Examinations'!$A:$J, 5, FALSE)</f>
        <v>No</v>
      </c>
      <c r="G1505" s="22" t="str">
        <f>VLOOKUP($A1505, 'Medical Examinations'!$A:$I, 6, FALSE)</f>
        <v>No</v>
      </c>
      <c r="H1505" s="22">
        <f>VLOOKUP($A1505,'Medical Examinations'!$A:$L,10, FALSE)</f>
        <v>0</v>
      </c>
      <c r="I1505" s="22" t="str">
        <f>VLOOKUP($A1505, 'Medical Examinations'!$A:$J, 9, FALSE)</f>
        <v>No</v>
      </c>
      <c r="J1505" s="22" t="str">
        <f>VLOOKUP($A1505, 'Medical Examinations'!$A:$P, 11, FALSE)</f>
        <v>OBESITY</v>
      </c>
      <c r="K1505" s="34">
        <v>35957.0</v>
      </c>
      <c r="L1505" s="35">
        <f>VLOOKUP($A1505, 'Hospitalisation Details'!$A:$H, 7, FALSE)</f>
        <v>6875.96</v>
      </c>
      <c r="M1505" s="22" t="str">
        <f>VLOOKUP($A1505, 'Hospitalisation Details'!$A:$L, 12, FALSE)</f>
        <v>tier - 2</v>
      </c>
      <c r="N1505" s="22" t="str">
        <f>VLOOKUP($A1505, 'Hospitalisation Details'!$A:$M, 13, FALSE)</f>
        <v>tier - 2</v>
      </c>
      <c r="O1505" s="22" t="str">
        <f>VLOOKUP($A1505, 'Hospitalisation Details'!$A:$N, 14, FALSE)</f>
        <v>R1011</v>
      </c>
      <c r="P1505" s="36">
        <f>VLOOKUP($A1505, 'Hospitalisation Details'!$A:$O, 15, FALSE)</f>
        <v>41</v>
      </c>
    </row>
    <row r="1506" ht="15.75" customHeight="1">
      <c r="A1506" s="33" t="s">
        <v>3011</v>
      </c>
      <c r="B1506" s="22" t="str">
        <f>VLOOKUP($A1506,'Customer Names'!$A:$D,3, FALSE)</f>
        <v>Holley</v>
      </c>
      <c r="C1506" s="22">
        <f>VLOOKUP($A1506,'Medical Examinations'!$A:$D, 2, FALSE)</f>
        <v>18.75</v>
      </c>
      <c r="D1506" s="22">
        <f>VLOOKUP($A1506, 'Medical Examinations'!$A:$D,3, FALSE)</f>
        <v>5.47</v>
      </c>
      <c r="E1506" s="22" t="str">
        <f>VLOOKUP($A1506, 'Medical Examinations'!$A:$D, 4, FALSE)</f>
        <v>Yes</v>
      </c>
      <c r="F1506" s="22" t="str">
        <f>VLOOKUP($A1506, 'Medical Examinations'!$A:$J, 5, FALSE)</f>
        <v>No</v>
      </c>
      <c r="G1506" s="22" t="str">
        <f>VLOOKUP($A1506, 'Medical Examinations'!$A:$I, 6, FALSE)</f>
        <v>Yes</v>
      </c>
      <c r="H1506" s="22">
        <f>VLOOKUP($A1506,'Medical Examinations'!$A:$L,10, FALSE)</f>
        <v>1</v>
      </c>
      <c r="I1506" s="22" t="str">
        <f>VLOOKUP($A1506, 'Medical Examinations'!$A:$J, 9, FALSE)</f>
        <v>No</v>
      </c>
      <c r="J1506" s="22" t="str">
        <f>VLOOKUP($A1506, 'Medical Examinations'!$A:$P, 11, FALSE)</f>
        <v>NORMAL WEIGHT</v>
      </c>
      <c r="K1506" s="34">
        <v>32108.0</v>
      </c>
      <c r="L1506" s="35">
        <f>VLOOKUP($A1506, 'Hospitalisation Details'!$A:$H, 7, FALSE)</f>
        <v>6868.39</v>
      </c>
      <c r="M1506" s="22" t="str">
        <f>VLOOKUP($A1506, 'Hospitalisation Details'!$A:$L, 12, FALSE)</f>
        <v>tier - 2</v>
      </c>
      <c r="N1506" s="22" t="str">
        <f>VLOOKUP($A1506, 'Hospitalisation Details'!$A:$M, 13, FALSE)</f>
        <v>tier - 2</v>
      </c>
      <c r="O1506" s="22" t="str">
        <f>VLOOKUP($A1506, 'Hospitalisation Details'!$A:$N, 14, FALSE)</f>
        <v>R1013</v>
      </c>
      <c r="P1506" s="36">
        <f>VLOOKUP($A1506, 'Hospitalisation Details'!$A:$O, 15, FALSE)</f>
        <v>53</v>
      </c>
    </row>
    <row r="1507" ht="15.75" customHeight="1">
      <c r="A1507" s="33" t="s">
        <v>3013</v>
      </c>
      <c r="B1507" s="22" t="str">
        <f>VLOOKUP($A1507,'Customer Names'!$A:$D,3, FALSE)</f>
        <v>Kemble</v>
      </c>
      <c r="C1507" s="22">
        <f>VLOOKUP($A1507,'Medical Examinations'!$A:$D, 2, FALSE)</f>
        <v>22.36</v>
      </c>
      <c r="D1507" s="22">
        <f>VLOOKUP($A1507, 'Medical Examinations'!$A:$D,3, FALSE)</f>
        <v>8.6</v>
      </c>
      <c r="E1507" s="22" t="str">
        <f>VLOOKUP($A1507, 'Medical Examinations'!$A:$D, 4, FALSE)</f>
        <v>No</v>
      </c>
      <c r="F1507" s="22" t="str">
        <f>VLOOKUP($A1507, 'Medical Examinations'!$A:$J, 5, FALSE)</f>
        <v>No</v>
      </c>
      <c r="G1507" s="22" t="str">
        <f>VLOOKUP($A1507, 'Medical Examinations'!$A:$I, 6, FALSE)</f>
        <v>No</v>
      </c>
      <c r="H1507" s="22">
        <f>VLOOKUP($A1507,'Medical Examinations'!$A:$L,10, FALSE)</f>
        <v>0</v>
      </c>
      <c r="I1507" s="22" t="str">
        <f>VLOOKUP($A1507, 'Medical Examinations'!$A:$J, 9, FALSE)</f>
        <v>No</v>
      </c>
      <c r="J1507" s="22" t="str">
        <f>VLOOKUP($A1507, 'Medical Examinations'!$A:$P, 11, FALSE)</f>
        <v>NORMAL WEIGHT</v>
      </c>
      <c r="K1507" s="34">
        <v>22832.0</v>
      </c>
      <c r="L1507" s="35">
        <f>VLOOKUP($A1507, 'Hospitalisation Details'!$A:$H, 7, FALSE)</f>
        <v>6863.49</v>
      </c>
      <c r="M1507" s="22" t="str">
        <f>VLOOKUP($A1507, 'Hospitalisation Details'!$A:$L, 12, FALSE)</f>
        <v>tier - 2</v>
      </c>
      <c r="N1507" s="22" t="str">
        <f>VLOOKUP($A1507, 'Hospitalisation Details'!$A:$M, 13, FALSE)</f>
        <v>tier - 1</v>
      </c>
      <c r="O1507" s="22" t="str">
        <f>VLOOKUP($A1507, 'Hospitalisation Details'!$A:$N, 14, FALSE)</f>
        <v>R1013</v>
      </c>
      <c r="P1507" s="36">
        <f>VLOOKUP($A1507, 'Hospitalisation Details'!$A:$O, 15, FALSE)</f>
        <v>44</v>
      </c>
    </row>
    <row r="1508" ht="15.75" customHeight="1">
      <c r="A1508" s="33" t="s">
        <v>3015</v>
      </c>
      <c r="B1508" s="22" t="str">
        <f>VLOOKUP($A1508,'Customer Names'!$A:$D,3, FALSE)</f>
        <v>Bentley</v>
      </c>
      <c r="C1508" s="22">
        <f>VLOOKUP($A1508,'Medical Examinations'!$A:$D, 2, FALSE)</f>
        <v>23.94</v>
      </c>
      <c r="D1508" s="22">
        <f>VLOOKUP($A1508, 'Medical Examinations'!$A:$D,3, FALSE)</f>
        <v>10.74</v>
      </c>
      <c r="E1508" s="22" t="str">
        <f>VLOOKUP($A1508, 'Medical Examinations'!$A:$D, 4, FALSE)</f>
        <v>Yes</v>
      </c>
      <c r="F1508" s="22" t="str">
        <f>VLOOKUP($A1508, 'Medical Examinations'!$A:$J, 5, FALSE)</f>
        <v>No</v>
      </c>
      <c r="G1508" s="22" t="str">
        <f>VLOOKUP($A1508, 'Medical Examinations'!$A:$I, 6, FALSE)</f>
        <v>No</v>
      </c>
      <c r="H1508" s="22">
        <f>VLOOKUP($A1508,'Medical Examinations'!$A:$L,10, FALSE)</f>
        <v>0</v>
      </c>
      <c r="I1508" s="22" t="str">
        <f>VLOOKUP($A1508, 'Medical Examinations'!$A:$J, 9, FALSE)</f>
        <v>No</v>
      </c>
      <c r="J1508" s="22" t="str">
        <f>VLOOKUP($A1508, 'Medical Examinations'!$A:$P, 11, FALSE)</f>
        <v>NORMAL WEIGHT</v>
      </c>
      <c r="K1508" s="34">
        <v>27596.0</v>
      </c>
      <c r="L1508" s="35">
        <f>VLOOKUP($A1508, 'Hospitalisation Details'!$A:$H, 7, FALSE)</f>
        <v>6858.48</v>
      </c>
      <c r="M1508" s="22" t="str">
        <f>VLOOKUP($A1508, 'Hospitalisation Details'!$A:$L, 12, FALSE)</f>
        <v>tier - 2</v>
      </c>
      <c r="N1508" s="22" t="str">
        <f>VLOOKUP($A1508, 'Hospitalisation Details'!$A:$M, 13, FALSE)</f>
        <v>tier - 2</v>
      </c>
      <c r="O1508" s="22" t="str">
        <f>VLOOKUP($A1508, 'Hospitalisation Details'!$A:$N, 14, FALSE)</f>
        <v>R1019</v>
      </c>
      <c r="P1508" s="36">
        <f>VLOOKUP($A1508, 'Hospitalisation Details'!$A:$O, 15, FALSE)</f>
        <v>41</v>
      </c>
    </row>
    <row r="1509" ht="15.75" customHeight="1">
      <c r="A1509" s="33" t="s">
        <v>3017</v>
      </c>
      <c r="B1509" s="22" t="str">
        <f>VLOOKUP($A1509,'Customer Names'!$A:$D,3, FALSE)</f>
        <v>Jones</v>
      </c>
      <c r="C1509" s="22">
        <f>VLOOKUP($A1509,'Medical Examinations'!$A:$D, 2, FALSE)</f>
        <v>30.1</v>
      </c>
      <c r="D1509" s="22">
        <f>VLOOKUP($A1509, 'Medical Examinations'!$A:$D,3, FALSE)</f>
        <v>4.39</v>
      </c>
      <c r="E1509" s="22" t="str">
        <f>VLOOKUP($A1509, 'Medical Examinations'!$A:$D, 4, FALSE)</f>
        <v>No</v>
      </c>
      <c r="F1509" s="22" t="str">
        <f>VLOOKUP($A1509, 'Medical Examinations'!$A:$J, 5, FALSE)</f>
        <v>No</v>
      </c>
      <c r="G1509" s="22" t="str">
        <f>VLOOKUP($A1509, 'Medical Examinations'!$A:$I, 6, FALSE)</f>
        <v>Yes</v>
      </c>
      <c r="H1509" s="22">
        <f>VLOOKUP($A1509,'Medical Examinations'!$A:$L,10, FALSE)</f>
        <v>1</v>
      </c>
      <c r="I1509" s="22" t="str">
        <f>VLOOKUP($A1509, 'Medical Examinations'!$A:$J, 9, FALSE)</f>
        <v>No</v>
      </c>
      <c r="J1509" s="22" t="str">
        <f>VLOOKUP($A1509, 'Medical Examinations'!$A:$P, 11, FALSE)</f>
        <v>OBESITY</v>
      </c>
      <c r="K1509" s="34">
        <v>26170.0</v>
      </c>
      <c r="L1509" s="35">
        <f>VLOOKUP($A1509, 'Hospitalisation Details'!$A:$H, 7, FALSE)</f>
        <v>6849.03</v>
      </c>
      <c r="M1509" s="22" t="str">
        <f>VLOOKUP($A1509, 'Hospitalisation Details'!$A:$L, 12, FALSE)</f>
        <v>tier - 2</v>
      </c>
      <c r="N1509" s="22" t="str">
        <f>VLOOKUP($A1509, 'Hospitalisation Details'!$A:$M, 13, FALSE)</f>
        <v>tier - 2</v>
      </c>
      <c r="O1509" s="22" t="str">
        <f>VLOOKUP($A1509, 'Hospitalisation Details'!$A:$N, 14, FALSE)</f>
        <v>R1011</v>
      </c>
      <c r="P1509" s="36">
        <f>VLOOKUP($A1509, 'Hospitalisation Details'!$A:$O, 15, FALSE)</f>
        <v>43</v>
      </c>
    </row>
    <row r="1510" ht="15.75" customHeight="1">
      <c r="A1510" s="33" t="s">
        <v>3019</v>
      </c>
      <c r="B1510" s="22" t="str">
        <f>VLOOKUP($A1510,'Customer Names'!$A:$D,3, FALSE)</f>
        <v>Tremblay</v>
      </c>
      <c r="C1510" s="22">
        <f>VLOOKUP($A1510,'Medical Examinations'!$A:$D, 2, FALSE)</f>
        <v>21.93</v>
      </c>
      <c r="D1510" s="22">
        <f>VLOOKUP($A1510, 'Medical Examinations'!$A:$D,3, FALSE)</f>
        <v>6.3</v>
      </c>
      <c r="E1510" s="22" t="str">
        <f>VLOOKUP($A1510, 'Medical Examinations'!$A:$D, 4, FALSE)</f>
        <v>No</v>
      </c>
      <c r="F1510" s="22" t="str">
        <f>VLOOKUP($A1510, 'Medical Examinations'!$A:$J, 5, FALSE)</f>
        <v>No</v>
      </c>
      <c r="G1510" s="22" t="str">
        <f>VLOOKUP($A1510, 'Medical Examinations'!$A:$I, 6, FALSE)</f>
        <v>No</v>
      </c>
      <c r="H1510" s="22">
        <f>VLOOKUP($A1510,'Medical Examinations'!$A:$L,10, FALSE)</f>
        <v>0</v>
      </c>
      <c r="I1510" s="22" t="str">
        <f>VLOOKUP($A1510, 'Medical Examinations'!$A:$J, 9, FALSE)</f>
        <v>No</v>
      </c>
      <c r="J1510" s="22" t="str">
        <f>VLOOKUP($A1510, 'Medical Examinations'!$A:$P, 11, FALSE)</f>
        <v>NORMAL WEIGHT</v>
      </c>
      <c r="K1510" s="34">
        <v>36470.0</v>
      </c>
      <c r="L1510" s="35">
        <f>VLOOKUP($A1510, 'Hospitalisation Details'!$A:$H, 7, FALSE)</f>
        <v>6843.17</v>
      </c>
      <c r="M1510" s="22" t="str">
        <f>VLOOKUP($A1510, 'Hospitalisation Details'!$A:$L, 12, FALSE)</f>
        <v>tier - 2</v>
      </c>
      <c r="N1510" s="22" t="str">
        <f>VLOOKUP($A1510, 'Hospitalisation Details'!$A:$M, 13, FALSE)</f>
        <v>tier - 1</v>
      </c>
      <c r="O1510" s="22" t="str">
        <f>VLOOKUP($A1510, 'Hospitalisation Details'!$A:$N, 14, FALSE)</f>
        <v>R1013</v>
      </c>
      <c r="P1510" s="36">
        <f>VLOOKUP($A1510, 'Hospitalisation Details'!$A:$O, 15, FALSE)</f>
        <v>45</v>
      </c>
    </row>
    <row r="1511" ht="15.75" customHeight="1">
      <c r="A1511" s="33" t="s">
        <v>3021</v>
      </c>
      <c r="B1511" s="22" t="str">
        <f>VLOOKUP($A1511,'Customer Names'!$A:$D,3, FALSE)</f>
        <v>Bellucci</v>
      </c>
      <c r="C1511" s="22">
        <f>VLOOKUP($A1511,'Medical Examinations'!$A:$D, 2, FALSE)</f>
        <v>39.75</v>
      </c>
      <c r="D1511" s="22">
        <f>VLOOKUP($A1511, 'Medical Examinations'!$A:$D,3, FALSE)</f>
        <v>5.41</v>
      </c>
      <c r="E1511" s="22" t="str">
        <f>VLOOKUP($A1511, 'Medical Examinations'!$A:$D, 4, FALSE)</f>
        <v>No</v>
      </c>
      <c r="F1511" s="22" t="str">
        <f>VLOOKUP($A1511, 'Medical Examinations'!$A:$J, 5, FALSE)</f>
        <v>Yes</v>
      </c>
      <c r="G1511" s="22" t="str">
        <f>VLOOKUP($A1511, 'Medical Examinations'!$A:$I, 6, FALSE)</f>
        <v>No</v>
      </c>
      <c r="H1511" s="22">
        <f>VLOOKUP($A1511,'Medical Examinations'!$A:$L,10, FALSE)</f>
        <v>1</v>
      </c>
      <c r="I1511" s="22" t="str">
        <f>VLOOKUP($A1511, 'Medical Examinations'!$A:$J, 9, FALSE)</f>
        <v>No</v>
      </c>
      <c r="J1511" s="22" t="str">
        <f>VLOOKUP($A1511, 'Medical Examinations'!$A:$P, 11, FALSE)</f>
        <v>OBESITY</v>
      </c>
      <c r="K1511" s="34">
        <v>37616.0</v>
      </c>
      <c r="L1511" s="35">
        <f>VLOOKUP($A1511, 'Hospitalisation Details'!$A:$H, 7, FALSE)</f>
        <v>6842.28</v>
      </c>
      <c r="M1511" s="22" t="str">
        <f>VLOOKUP($A1511, 'Hospitalisation Details'!$A:$L, 12, FALSE)</f>
        <v>tier - 2</v>
      </c>
      <c r="N1511" s="22" t="str">
        <f>VLOOKUP($A1511, 'Hospitalisation Details'!$A:$M, 13, FALSE)</f>
        <v>tier - 1</v>
      </c>
      <c r="O1511" s="22" t="str">
        <f>VLOOKUP($A1511, 'Hospitalisation Details'!$A:$N, 14, FALSE)</f>
        <v>R1012</v>
      </c>
      <c r="P1511" s="36">
        <f>VLOOKUP($A1511, 'Hospitalisation Details'!$A:$O, 15, FALSE)</f>
        <v>22</v>
      </c>
    </row>
    <row r="1512" ht="15.75" customHeight="1">
      <c r="A1512" s="33" t="s">
        <v>3023</v>
      </c>
      <c r="B1512" s="22" t="str">
        <f>VLOOKUP($A1512,'Customer Names'!$A:$D,3, FALSE)</f>
        <v>Collins</v>
      </c>
      <c r="C1512" s="22">
        <f>VLOOKUP($A1512,'Medical Examinations'!$A:$D, 2, FALSE)</f>
        <v>26.03</v>
      </c>
      <c r="D1512" s="22">
        <f>VLOOKUP($A1512, 'Medical Examinations'!$A:$D,3, FALSE)</f>
        <v>4.47</v>
      </c>
      <c r="E1512" s="22" t="str">
        <f>VLOOKUP($A1512, 'Medical Examinations'!$A:$D, 4, FALSE)</f>
        <v>No</v>
      </c>
      <c r="F1512" s="22" t="str">
        <f>VLOOKUP($A1512, 'Medical Examinations'!$A:$J, 5, FALSE)</f>
        <v>No</v>
      </c>
      <c r="G1512" s="22" t="str">
        <f>VLOOKUP($A1512, 'Medical Examinations'!$A:$I, 6, FALSE)</f>
        <v>Yes</v>
      </c>
      <c r="H1512" s="22">
        <f>VLOOKUP($A1512,'Medical Examinations'!$A:$L,10, FALSE)</f>
        <v>1</v>
      </c>
      <c r="I1512" s="22" t="str">
        <f>VLOOKUP($A1512, 'Medical Examinations'!$A:$J, 9, FALSE)</f>
        <v>No</v>
      </c>
      <c r="J1512" s="22" t="str">
        <f>VLOOKUP($A1512, 'Medical Examinations'!$A:$P, 11, FALSE)</f>
        <v>OVERWEIGHT</v>
      </c>
      <c r="K1512" s="34">
        <v>21745.0</v>
      </c>
      <c r="L1512" s="35">
        <f>VLOOKUP($A1512, 'Hospitalisation Details'!$A:$H, 7, FALSE)</f>
        <v>6837.37</v>
      </c>
      <c r="M1512" s="22" t="str">
        <f>VLOOKUP($A1512, 'Hospitalisation Details'!$A:$L, 12, FALSE)</f>
        <v>tier - 3</v>
      </c>
      <c r="N1512" s="22" t="str">
        <f>VLOOKUP($A1512, 'Hospitalisation Details'!$A:$M, 13, FALSE)</f>
        <v>tier - 1</v>
      </c>
      <c r="O1512" s="22" t="str">
        <f>VLOOKUP($A1512, 'Hospitalisation Details'!$A:$N, 14, FALSE)</f>
        <v>R1016</v>
      </c>
      <c r="P1512" s="36">
        <f>VLOOKUP($A1512, 'Hospitalisation Details'!$A:$O, 15, FALSE)</f>
        <v>43</v>
      </c>
    </row>
    <row r="1513" ht="15.75" customHeight="1">
      <c r="A1513" s="33" t="s">
        <v>3025</v>
      </c>
      <c r="B1513" s="22" t="str">
        <f>VLOOKUP($A1513,'Customer Names'!$A:$D,3, FALSE)</f>
        <v>Gillman</v>
      </c>
      <c r="C1513" s="22">
        <f>VLOOKUP($A1513,'Medical Examinations'!$A:$D, 2, FALSE)</f>
        <v>34.51</v>
      </c>
      <c r="D1513" s="22">
        <f>VLOOKUP($A1513, 'Medical Examinations'!$A:$D,3, FALSE)</f>
        <v>6.26</v>
      </c>
      <c r="E1513" s="22" t="str">
        <f>VLOOKUP($A1513, 'Medical Examinations'!$A:$D, 4, FALSE)</f>
        <v>No</v>
      </c>
      <c r="F1513" s="22" t="str">
        <f>VLOOKUP($A1513, 'Medical Examinations'!$A:$J, 5, FALSE)</f>
        <v>No</v>
      </c>
      <c r="G1513" s="22" t="str">
        <f>VLOOKUP($A1513, 'Medical Examinations'!$A:$I, 6, FALSE)</f>
        <v>No</v>
      </c>
      <c r="H1513" s="22">
        <f>VLOOKUP($A1513,'Medical Examinations'!$A:$L,10, FALSE)</f>
        <v>0</v>
      </c>
      <c r="I1513" s="22" t="str">
        <f>VLOOKUP($A1513, 'Medical Examinations'!$A:$J, 9, FALSE)</f>
        <v>No</v>
      </c>
      <c r="J1513" s="22" t="str">
        <f>VLOOKUP($A1513, 'Medical Examinations'!$A:$P, 11, FALSE)</f>
        <v>OBESITY</v>
      </c>
      <c r="K1513" s="34">
        <v>26506.0</v>
      </c>
      <c r="L1513" s="35">
        <f>VLOOKUP($A1513, 'Hospitalisation Details'!$A:$H, 7, FALSE)</f>
        <v>6827.69</v>
      </c>
      <c r="M1513" s="22" t="str">
        <f>VLOOKUP($A1513, 'Hospitalisation Details'!$A:$L, 12, FALSE)</f>
        <v>tier - 2</v>
      </c>
      <c r="N1513" s="22" t="str">
        <f>VLOOKUP($A1513, 'Hospitalisation Details'!$A:$M, 13, FALSE)</f>
        <v>tier - 2</v>
      </c>
      <c r="O1513" s="22" t="str">
        <f>VLOOKUP($A1513, 'Hospitalisation Details'!$A:$N, 14, FALSE)</f>
        <v>R1021</v>
      </c>
      <c r="P1513" s="36">
        <f>VLOOKUP($A1513, 'Hospitalisation Details'!$A:$O, 15, FALSE)</f>
        <v>28</v>
      </c>
    </row>
    <row r="1514" ht="15.75" customHeight="1">
      <c r="A1514" s="33" t="s">
        <v>3027</v>
      </c>
      <c r="B1514" s="22" t="str">
        <f>VLOOKUP($A1514,'Customer Names'!$A:$D,3, FALSE)</f>
        <v>West</v>
      </c>
      <c r="C1514" s="22">
        <f>VLOOKUP($A1514,'Medical Examinations'!$A:$D, 2, FALSE)</f>
        <v>19.32</v>
      </c>
      <c r="D1514" s="22">
        <f>VLOOKUP($A1514, 'Medical Examinations'!$A:$D,3, FALSE)</f>
        <v>11.58</v>
      </c>
      <c r="E1514" s="22" t="str">
        <f>VLOOKUP($A1514, 'Medical Examinations'!$A:$D, 4, FALSE)</f>
        <v>Yes</v>
      </c>
      <c r="F1514" s="22" t="str">
        <f>VLOOKUP($A1514, 'Medical Examinations'!$A:$J, 5, FALSE)</f>
        <v>No</v>
      </c>
      <c r="G1514" s="22" t="str">
        <f>VLOOKUP($A1514, 'Medical Examinations'!$A:$I, 6, FALSE)</f>
        <v>No</v>
      </c>
      <c r="H1514" s="22">
        <f>VLOOKUP($A1514,'Medical Examinations'!$A:$L,10, FALSE)</f>
        <v>1</v>
      </c>
      <c r="I1514" s="22" t="str">
        <f>VLOOKUP($A1514, 'Medical Examinations'!$A:$J, 9, FALSE)</f>
        <v>No</v>
      </c>
      <c r="J1514" s="22" t="str">
        <f>VLOOKUP($A1514, 'Medical Examinations'!$A:$P, 11, FALSE)</f>
        <v>NORMAL WEIGHT</v>
      </c>
      <c r="K1514" s="34">
        <v>34602.0</v>
      </c>
      <c r="L1514" s="35">
        <f>VLOOKUP($A1514, 'Hospitalisation Details'!$A:$H, 7, FALSE)</f>
        <v>6809.46</v>
      </c>
      <c r="M1514" s="22" t="str">
        <f>VLOOKUP($A1514, 'Hospitalisation Details'!$A:$L, 12, FALSE)</f>
        <v>tier - 2</v>
      </c>
      <c r="N1514" s="22" t="str">
        <f>VLOOKUP($A1514, 'Hospitalisation Details'!$A:$M, 13, FALSE)</f>
        <v>tier - 1</v>
      </c>
      <c r="O1514" s="22" t="str">
        <f>VLOOKUP($A1514, 'Hospitalisation Details'!$A:$N, 14, FALSE)</f>
        <v>R1012</v>
      </c>
      <c r="P1514" s="36">
        <f>VLOOKUP($A1514, 'Hospitalisation Details'!$A:$O, 15, FALSE)</f>
        <v>47</v>
      </c>
    </row>
    <row r="1515" ht="15.75" customHeight="1">
      <c r="A1515" s="33" t="s">
        <v>3029</v>
      </c>
      <c r="B1515" s="22" t="str">
        <f>VLOOKUP($A1515,'Customer Names'!$A:$D,3, FALSE)</f>
        <v>Chida</v>
      </c>
      <c r="C1515" s="22">
        <f>VLOOKUP($A1515,'Medical Examinations'!$A:$D, 2, FALSE)</f>
        <v>28.5</v>
      </c>
      <c r="D1515" s="22">
        <f>VLOOKUP($A1515, 'Medical Examinations'!$A:$D,3, FALSE)</f>
        <v>4.36</v>
      </c>
      <c r="E1515" s="22" t="str">
        <f>VLOOKUP($A1515, 'Medical Examinations'!$A:$D, 4, FALSE)</f>
        <v>No</v>
      </c>
      <c r="F1515" s="22" t="str">
        <f>VLOOKUP($A1515, 'Medical Examinations'!$A:$J, 5, FALSE)</f>
        <v>No</v>
      </c>
      <c r="G1515" s="22" t="str">
        <f>VLOOKUP($A1515, 'Medical Examinations'!$A:$I, 6, FALSE)</f>
        <v>No</v>
      </c>
      <c r="H1515" s="22">
        <f>VLOOKUP($A1515,'Medical Examinations'!$A:$L,10, FALSE)</f>
        <v>0</v>
      </c>
      <c r="I1515" s="22" t="str">
        <f>VLOOKUP($A1515, 'Medical Examinations'!$A:$J, 9, FALSE)</f>
        <v>No</v>
      </c>
      <c r="J1515" s="22" t="str">
        <f>VLOOKUP($A1515, 'Medical Examinations'!$A:$P, 11, FALSE)</f>
        <v>OVERWEIGHT</v>
      </c>
      <c r="K1515" s="34">
        <v>36887.0</v>
      </c>
      <c r="L1515" s="35">
        <f>VLOOKUP($A1515, 'Hospitalisation Details'!$A:$H, 7, FALSE)</f>
        <v>6799.46</v>
      </c>
      <c r="M1515" s="22" t="str">
        <f>VLOOKUP($A1515, 'Hospitalisation Details'!$A:$L, 12, FALSE)</f>
        <v>tier - 1</v>
      </c>
      <c r="N1515" s="22" t="str">
        <f>VLOOKUP($A1515, 'Hospitalisation Details'!$A:$M, 13, FALSE)</f>
        <v>tier - 2</v>
      </c>
      <c r="O1515" s="22" t="str">
        <f>VLOOKUP($A1515, 'Hospitalisation Details'!$A:$N, 14, FALSE)</f>
        <v>R1014</v>
      </c>
      <c r="P1515" s="36">
        <f>VLOOKUP($A1515, 'Hospitalisation Details'!$A:$O, 15, FALSE)</f>
        <v>31</v>
      </c>
    </row>
    <row r="1516" ht="15.75" customHeight="1">
      <c r="A1516" s="33" t="s">
        <v>3031</v>
      </c>
      <c r="B1516" s="22" t="str">
        <f>VLOOKUP($A1516,'Customer Names'!$A:$D,3, FALSE)</f>
        <v>Reisenauer</v>
      </c>
      <c r="C1516" s="22">
        <f>VLOOKUP($A1516,'Medical Examinations'!$A:$D, 2, FALSE)</f>
        <v>30.875</v>
      </c>
      <c r="D1516" s="22">
        <f>VLOOKUP($A1516, 'Medical Examinations'!$A:$D,3, FALSE)</f>
        <v>4.14</v>
      </c>
      <c r="E1516" s="22" t="str">
        <f>VLOOKUP($A1516, 'Medical Examinations'!$A:$D, 4, FALSE)</f>
        <v>Yes</v>
      </c>
      <c r="F1516" s="22" t="str">
        <f>VLOOKUP($A1516, 'Medical Examinations'!$A:$J, 5, FALSE)</f>
        <v>No</v>
      </c>
      <c r="G1516" s="22" t="str">
        <f>VLOOKUP($A1516, 'Medical Examinations'!$A:$I, 6, FALSE)</f>
        <v>No</v>
      </c>
      <c r="H1516" s="22">
        <f>VLOOKUP($A1516,'Medical Examinations'!$A:$L,10, FALSE)</f>
        <v>0</v>
      </c>
      <c r="I1516" s="22" t="str">
        <f>VLOOKUP($A1516, 'Medical Examinations'!$A:$J, 9, FALSE)</f>
        <v>No</v>
      </c>
      <c r="J1516" s="22" t="str">
        <f>VLOOKUP($A1516, 'Medical Examinations'!$A:$P, 11, FALSE)</f>
        <v>OBESITY</v>
      </c>
      <c r="K1516" s="34">
        <v>35651.0</v>
      </c>
      <c r="L1516" s="35">
        <f>VLOOKUP($A1516, 'Hospitalisation Details'!$A:$H, 7, FALSE)</f>
        <v>6796.86</v>
      </c>
      <c r="M1516" s="22" t="str">
        <f>VLOOKUP($A1516, 'Hospitalisation Details'!$A:$L, 12, FALSE)</f>
        <v>tier - 3</v>
      </c>
      <c r="N1516" s="22" t="str">
        <f>VLOOKUP($A1516, 'Hospitalisation Details'!$A:$M, 13, FALSE)</f>
        <v>tier - 3</v>
      </c>
      <c r="O1516" s="22" t="str">
        <f>VLOOKUP($A1516, 'Hospitalisation Details'!$A:$N, 14, FALSE)</f>
        <v>R1012</v>
      </c>
      <c r="P1516" s="36">
        <f>VLOOKUP($A1516, 'Hospitalisation Details'!$A:$O, 15, FALSE)</f>
        <v>37</v>
      </c>
    </row>
    <row r="1517" ht="15.75" customHeight="1">
      <c r="A1517" s="33" t="s">
        <v>3033</v>
      </c>
      <c r="B1517" s="22" t="str">
        <f>VLOOKUP($A1517,'Customer Names'!$A:$D,3, FALSE)</f>
        <v>Rosenberg-Wohl</v>
      </c>
      <c r="C1517" s="22">
        <f>VLOOKUP($A1517,'Medical Examinations'!$A:$D, 2, FALSE)</f>
        <v>24.02</v>
      </c>
      <c r="D1517" s="22">
        <f>VLOOKUP($A1517, 'Medical Examinations'!$A:$D,3, FALSE)</f>
        <v>4.38</v>
      </c>
      <c r="E1517" s="22" t="str">
        <f>VLOOKUP($A1517, 'Medical Examinations'!$A:$D, 4, FALSE)</f>
        <v>No</v>
      </c>
      <c r="F1517" s="22" t="str">
        <f>VLOOKUP($A1517, 'Medical Examinations'!$A:$J, 5, FALSE)</f>
        <v>No</v>
      </c>
      <c r="G1517" s="22" t="str">
        <f>VLOOKUP($A1517, 'Medical Examinations'!$A:$I, 6, FALSE)</f>
        <v>No</v>
      </c>
      <c r="H1517" s="22">
        <f>VLOOKUP($A1517,'Medical Examinations'!$A:$L,10, FALSE)</f>
        <v>0</v>
      </c>
      <c r="I1517" s="22" t="str">
        <f>VLOOKUP($A1517, 'Medical Examinations'!$A:$J, 9, FALSE)</f>
        <v>No</v>
      </c>
      <c r="J1517" s="22" t="str">
        <f>VLOOKUP($A1517, 'Medical Examinations'!$A:$P, 11, FALSE)</f>
        <v>NORMAL WEIGHT</v>
      </c>
      <c r="K1517" s="34">
        <v>36825.0</v>
      </c>
      <c r="L1517" s="35">
        <f>VLOOKUP($A1517, 'Hospitalisation Details'!$A:$H, 7, FALSE)</f>
        <v>6781.52</v>
      </c>
      <c r="M1517" s="22" t="str">
        <f>VLOOKUP($A1517, 'Hospitalisation Details'!$A:$L, 12, FALSE)</f>
        <v>tier - 2</v>
      </c>
      <c r="N1517" s="22" t="str">
        <f>VLOOKUP($A1517, 'Hospitalisation Details'!$A:$M, 13, FALSE)</f>
        <v>tier - 2</v>
      </c>
      <c r="O1517" s="22" t="str">
        <f>VLOOKUP($A1517, 'Hospitalisation Details'!$A:$N, 14, FALSE)</f>
        <v>R1013</v>
      </c>
      <c r="P1517" s="36">
        <f>VLOOKUP($A1517, 'Hospitalisation Details'!$A:$O, 15, FALSE)</f>
        <v>42</v>
      </c>
    </row>
    <row r="1518" ht="15.75" customHeight="1">
      <c r="A1518" s="33" t="s">
        <v>3035</v>
      </c>
      <c r="B1518" s="22" t="str">
        <f>VLOOKUP($A1518,'Customer Names'!$A:$D,3, FALSE)</f>
        <v>Theriault</v>
      </c>
      <c r="C1518" s="22">
        <f>VLOOKUP($A1518,'Medical Examinations'!$A:$D, 2, FALSE)</f>
        <v>36.08</v>
      </c>
      <c r="D1518" s="22">
        <f>VLOOKUP($A1518, 'Medical Examinations'!$A:$D,3, FALSE)</f>
        <v>11.61</v>
      </c>
      <c r="E1518" s="22" t="str">
        <f>VLOOKUP($A1518, 'Medical Examinations'!$A:$D, 4, FALSE)</f>
        <v>Yes</v>
      </c>
      <c r="F1518" s="22" t="str">
        <f>VLOOKUP($A1518, 'Medical Examinations'!$A:$J, 5, FALSE)</f>
        <v>No</v>
      </c>
      <c r="G1518" s="22" t="str">
        <f>VLOOKUP($A1518, 'Medical Examinations'!$A:$I, 6, FALSE)</f>
        <v>No</v>
      </c>
      <c r="H1518" s="22">
        <f>VLOOKUP($A1518,'Medical Examinations'!$A:$L,10, FALSE)</f>
        <v>0</v>
      </c>
      <c r="I1518" s="22" t="str">
        <f>VLOOKUP($A1518, 'Medical Examinations'!$A:$J, 9, FALSE)</f>
        <v>No</v>
      </c>
      <c r="J1518" s="22" t="str">
        <f>VLOOKUP($A1518, 'Medical Examinations'!$A:$P, 11, FALSE)</f>
        <v>OBESITY</v>
      </c>
      <c r="K1518" s="34">
        <v>22991.0</v>
      </c>
      <c r="L1518" s="35">
        <f>VLOOKUP($A1518, 'Hospitalisation Details'!$A:$H, 7, FALSE)</f>
        <v>6781.35</v>
      </c>
      <c r="M1518" s="22" t="str">
        <f>VLOOKUP($A1518, 'Hospitalisation Details'!$A:$L, 12, FALSE)</f>
        <v>tier - 2</v>
      </c>
      <c r="N1518" s="22" t="str">
        <f>VLOOKUP($A1518, 'Hospitalisation Details'!$A:$M, 13, FALSE)</f>
        <v>tier - 1</v>
      </c>
      <c r="O1518" s="22" t="str">
        <f>VLOOKUP($A1518, 'Hospitalisation Details'!$A:$N, 14, FALSE)</f>
        <v>R1013</v>
      </c>
      <c r="P1518" s="36">
        <f>VLOOKUP($A1518, 'Hospitalisation Details'!$A:$O, 15, FALSE)</f>
        <v>41</v>
      </c>
    </row>
    <row r="1519" ht="15.75" customHeight="1">
      <c r="A1519" s="33" t="s">
        <v>3037</v>
      </c>
      <c r="B1519" s="22" t="str">
        <f>VLOOKUP($A1519,'Customer Names'!$A:$D,3, FALSE)</f>
        <v>Manuel</v>
      </c>
      <c r="C1519" s="22">
        <f>VLOOKUP($A1519,'Medical Examinations'!$A:$D, 2, FALSE)</f>
        <v>32.2</v>
      </c>
      <c r="D1519" s="22">
        <f>VLOOKUP($A1519, 'Medical Examinations'!$A:$D,3, FALSE)</f>
        <v>10.59</v>
      </c>
      <c r="E1519" s="22" t="str">
        <f>VLOOKUP($A1519, 'Medical Examinations'!$A:$D, 4, FALSE)</f>
        <v>Yes</v>
      </c>
      <c r="F1519" s="22" t="str">
        <f>VLOOKUP($A1519, 'Medical Examinations'!$A:$J, 5, FALSE)</f>
        <v>No</v>
      </c>
      <c r="G1519" s="22" t="str">
        <f>VLOOKUP($A1519, 'Medical Examinations'!$A:$I, 6, FALSE)</f>
        <v>No</v>
      </c>
      <c r="H1519" s="22">
        <f>VLOOKUP($A1519,'Medical Examinations'!$A:$L,10, FALSE)</f>
        <v>0</v>
      </c>
      <c r="I1519" s="22" t="str">
        <f>VLOOKUP($A1519, 'Medical Examinations'!$A:$J, 9, FALSE)</f>
        <v>No</v>
      </c>
      <c r="J1519" s="22" t="str">
        <f>VLOOKUP($A1519, 'Medical Examinations'!$A:$P, 11, FALSE)</f>
        <v>OBESITY</v>
      </c>
      <c r="K1519" s="34">
        <v>37876.0</v>
      </c>
      <c r="L1519" s="35">
        <f>VLOOKUP($A1519, 'Hospitalisation Details'!$A:$H, 7, FALSE)</f>
        <v>6775.96</v>
      </c>
      <c r="M1519" s="22" t="str">
        <f>VLOOKUP($A1519, 'Hospitalisation Details'!$A:$L, 12, FALSE)</f>
        <v>tier - 2</v>
      </c>
      <c r="N1519" s="22" t="str">
        <f>VLOOKUP($A1519, 'Hospitalisation Details'!$A:$M, 13, FALSE)</f>
        <v>tier - 3</v>
      </c>
      <c r="O1519" s="22" t="str">
        <f>VLOOKUP($A1519, 'Hospitalisation Details'!$A:$N, 14, FALSE)</f>
        <v>R1011</v>
      </c>
      <c r="P1519" s="36">
        <f>VLOOKUP($A1519, 'Hospitalisation Details'!$A:$O, 15, FALSE)</f>
        <v>41</v>
      </c>
    </row>
    <row r="1520" ht="15.75" customHeight="1">
      <c r="A1520" s="33" t="s">
        <v>3039</v>
      </c>
      <c r="B1520" s="22" t="str">
        <f>VLOOKUP($A1520,'Customer Names'!$A:$D,3, FALSE)</f>
        <v>Demko</v>
      </c>
      <c r="C1520" s="22">
        <f>VLOOKUP($A1520,'Medical Examinations'!$A:$D, 2, FALSE)</f>
        <v>28.05</v>
      </c>
      <c r="D1520" s="22">
        <f>VLOOKUP($A1520, 'Medical Examinations'!$A:$D,3, FALSE)</f>
        <v>11.85</v>
      </c>
      <c r="E1520" s="22" t="str">
        <f>VLOOKUP($A1520, 'Medical Examinations'!$A:$D, 4, FALSE)</f>
        <v>Yes</v>
      </c>
      <c r="F1520" s="22" t="str">
        <f>VLOOKUP($A1520, 'Medical Examinations'!$A:$J, 5, FALSE)</f>
        <v>No</v>
      </c>
      <c r="G1520" s="22" t="str">
        <f>VLOOKUP($A1520, 'Medical Examinations'!$A:$I, 6, FALSE)</f>
        <v>No</v>
      </c>
      <c r="H1520" s="22">
        <f>VLOOKUP($A1520,'Medical Examinations'!$A:$L,10, FALSE)</f>
        <v>0</v>
      </c>
      <c r="I1520" s="22" t="str">
        <f>VLOOKUP($A1520, 'Medical Examinations'!$A:$J, 9, FALSE)</f>
        <v>No</v>
      </c>
      <c r="J1520" s="22" t="str">
        <f>VLOOKUP($A1520, 'Medical Examinations'!$A:$P, 11, FALSE)</f>
        <v>OVERWEIGHT</v>
      </c>
      <c r="K1520" s="34">
        <v>38292.0</v>
      </c>
      <c r="L1520" s="35">
        <f>VLOOKUP($A1520, 'Hospitalisation Details'!$A:$H, 7, FALSE)</f>
        <v>6770.19</v>
      </c>
      <c r="M1520" s="22" t="str">
        <f>VLOOKUP($A1520, 'Hospitalisation Details'!$A:$L, 12, FALSE)</f>
        <v>tier - 2</v>
      </c>
      <c r="N1520" s="22" t="str">
        <f>VLOOKUP($A1520, 'Hospitalisation Details'!$A:$M, 13, FALSE)</f>
        <v>tier - 3</v>
      </c>
      <c r="O1520" s="22" t="str">
        <f>VLOOKUP($A1520, 'Hospitalisation Details'!$A:$N, 14, FALSE)</f>
        <v>R1013</v>
      </c>
      <c r="P1520" s="36">
        <f>VLOOKUP($A1520, 'Hospitalisation Details'!$A:$O, 15, FALSE)</f>
        <v>41</v>
      </c>
    </row>
    <row r="1521" ht="15.75" customHeight="1">
      <c r="A1521" s="33" t="s">
        <v>3041</v>
      </c>
      <c r="B1521" s="22" t="str">
        <f>VLOOKUP($A1521,'Customer Names'!$A:$D,3, FALSE)</f>
        <v>Battaglia</v>
      </c>
      <c r="C1521" s="22">
        <f>VLOOKUP($A1521,'Medical Examinations'!$A:$D, 2, FALSE)</f>
        <v>19</v>
      </c>
      <c r="D1521" s="22">
        <f>VLOOKUP($A1521, 'Medical Examinations'!$A:$D,3, FALSE)</f>
        <v>5.46</v>
      </c>
      <c r="E1521" s="22" t="str">
        <f>VLOOKUP($A1521, 'Medical Examinations'!$A:$D, 4, FALSE)</f>
        <v>Yes</v>
      </c>
      <c r="F1521" s="22" t="str">
        <f>VLOOKUP($A1521, 'Medical Examinations'!$A:$J, 5, FALSE)</f>
        <v>No</v>
      </c>
      <c r="G1521" s="22" t="str">
        <f>VLOOKUP($A1521, 'Medical Examinations'!$A:$I, 6, FALSE)</f>
        <v>No</v>
      </c>
      <c r="H1521" s="22">
        <f>VLOOKUP($A1521,'Medical Examinations'!$A:$L,10, FALSE)</f>
        <v>1</v>
      </c>
      <c r="I1521" s="22" t="str">
        <f>VLOOKUP($A1521, 'Medical Examinations'!$A:$J, 9, FALSE)</f>
        <v>No</v>
      </c>
      <c r="J1521" s="22" t="str">
        <f>VLOOKUP($A1521, 'Medical Examinations'!$A:$P, 11, FALSE)</f>
        <v>NORMAL WEIGHT</v>
      </c>
      <c r="K1521" s="34">
        <v>34301.0</v>
      </c>
      <c r="L1521" s="35">
        <f>VLOOKUP($A1521, 'Hospitalisation Details'!$A:$H, 7, FALSE)</f>
        <v>6753.04</v>
      </c>
      <c r="M1521" s="22" t="str">
        <f>VLOOKUP($A1521, 'Hospitalisation Details'!$A:$L, 12, FALSE)</f>
        <v>tier - 2</v>
      </c>
      <c r="N1521" s="22" t="str">
        <f>VLOOKUP($A1521, 'Hospitalisation Details'!$A:$M, 13, FALSE)</f>
        <v>tier - 2</v>
      </c>
      <c r="O1521" s="22" t="str">
        <f>VLOOKUP($A1521, 'Hospitalisation Details'!$A:$N, 14, FALSE)</f>
        <v>R1024</v>
      </c>
      <c r="P1521" s="36">
        <f>VLOOKUP($A1521, 'Hospitalisation Details'!$A:$O, 15, FALSE)</f>
        <v>34</v>
      </c>
    </row>
    <row r="1522" ht="15.75" customHeight="1">
      <c r="A1522" s="33" t="s">
        <v>3043</v>
      </c>
      <c r="B1522" s="22" t="str">
        <f>VLOOKUP($A1522,'Customer Names'!$A:$D,3, FALSE)</f>
        <v>Follo</v>
      </c>
      <c r="C1522" s="22">
        <f>VLOOKUP($A1522,'Medical Examinations'!$A:$D, 2, FALSE)</f>
        <v>16.13</v>
      </c>
      <c r="D1522" s="22">
        <f>VLOOKUP($A1522, 'Medical Examinations'!$A:$D,3, FALSE)</f>
        <v>4.54</v>
      </c>
      <c r="E1522" s="22" t="str">
        <f>VLOOKUP($A1522, 'Medical Examinations'!$A:$D, 4, FALSE)</f>
        <v>Yes</v>
      </c>
      <c r="F1522" s="22" t="str">
        <f>VLOOKUP($A1522, 'Medical Examinations'!$A:$J, 5, FALSE)</f>
        <v>No</v>
      </c>
      <c r="G1522" s="22" t="str">
        <f>VLOOKUP($A1522, 'Medical Examinations'!$A:$I, 6, FALSE)</f>
        <v>No</v>
      </c>
      <c r="H1522" s="22">
        <f>VLOOKUP($A1522,'Medical Examinations'!$A:$L,10, FALSE)</f>
        <v>2</v>
      </c>
      <c r="I1522" s="22" t="str">
        <f>VLOOKUP($A1522, 'Medical Examinations'!$A:$J, 9, FALSE)</f>
        <v>No</v>
      </c>
      <c r="J1522" s="22" t="str">
        <f>VLOOKUP($A1522, 'Medical Examinations'!$A:$P, 11, FALSE)</f>
        <v>UNDERWEIGHT</v>
      </c>
      <c r="K1522" s="34">
        <v>37873.0</v>
      </c>
      <c r="L1522" s="35">
        <f>VLOOKUP($A1522, 'Hospitalisation Details'!$A:$H, 7, FALSE)</f>
        <v>6750.27</v>
      </c>
      <c r="M1522" s="22" t="str">
        <f>VLOOKUP($A1522, 'Hospitalisation Details'!$A:$L, 12, FALSE)</f>
        <v>tier - 3</v>
      </c>
      <c r="N1522" s="22" t="str">
        <f>VLOOKUP($A1522, 'Hospitalisation Details'!$A:$M, 13, FALSE)</f>
        <v>tier - 2</v>
      </c>
      <c r="O1522" s="22" t="str">
        <f>VLOOKUP($A1522, 'Hospitalisation Details'!$A:$N, 14, FALSE)</f>
        <v>R1013</v>
      </c>
      <c r="P1522" s="36">
        <f>VLOOKUP($A1522, 'Hospitalisation Details'!$A:$O, 15, FALSE)</f>
        <v>56</v>
      </c>
    </row>
    <row r="1523" ht="15.75" customHeight="1">
      <c r="A1523" s="33" t="s">
        <v>3045</v>
      </c>
      <c r="B1523" s="22" t="str">
        <f>VLOOKUP($A1523,'Customer Names'!$A:$D,3, FALSE)</f>
        <v>Barana</v>
      </c>
      <c r="C1523" s="22">
        <f>VLOOKUP($A1523,'Medical Examinations'!$A:$D, 2, FALSE)</f>
        <v>18.77</v>
      </c>
      <c r="D1523" s="22">
        <f>VLOOKUP($A1523, 'Medical Examinations'!$A:$D,3, FALSE)</f>
        <v>11.98</v>
      </c>
      <c r="E1523" s="22" t="str">
        <f>VLOOKUP($A1523, 'Medical Examinations'!$A:$D, 4, FALSE)</f>
        <v>Yes</v>
      </c>
      <c r="F1523" s="22" t="str">
        <f>VLOOKUP($A1523, 'Medical Examinations'!$A:$J, 5, FALSE)</f>
        <v>No</v>
      </c>
      <c r="G1523" s="22" t="str">
        <f>VLOOKUP($A1523, 'Medical Examinations'!$A:$I, 6, FALSE)</f>
        <v>No</v>
      </c>
      <c r="H1523" s="22">
        <f>VLOOKUP($A1523,'Medical Examinations'!$A:$L,10, FALSE)</f>
        <v>2</v>
      </c>
      <c r="I1523" s="22" t="str">
        <f>VLOOKUP($A1523, 'Medical Examinations'!$A:$J, 9, FALSE)</f>
        <v>No</v>
      </c>
      <c r="J1523" s="22" t="str">
        <f>VLOOKUP($A1523, 'Medical Examinations'!$A:$P, 11, FALSE)</f>
        <v>NORMAL WEIGHT</v>
      </c>
      <c r="K1523" s="34">
        <v>21443.0</v>
      </c>
      <c r="L1523" s="35">
        <f>VLOOKUP($A1523, 'Hospitalisation Details'!$A:$H, 7, FALSE)</f>
        <v>6749.63</v>
      </c>
      <c r="M1523" s="22" t="str">
        <f>VLOOKUP($A1523, 'Hospitalisation Details'!$A:$L, 12, FALSE)</f>
        <v>tier - 2</v>
      </c>
      <c r="N1523" s="22" t="str">
        <f>VLOOKUP($A1523, 'Hospitalisation Details'!$A:$M, 13, FALSE)</f>
        <v>tier - 1</v>
      </c>
      <c r="O1523" s="22" t="str">
        <f>VLOOKUP($A1523, 'Hospitalisation Details'!$A:$N, 14, FALSE)</f>
        <v>R1013</v>
      </c>
      <c r="P1523" s="36">
        <f>VLOOKUP($A1523, 'Hospitalisation Details'!$A:$O, 15, FALSE)</f>
        <v>52</v>
      </c>
    </row>
    <row r="1524" ht="15.75" customHeight="1">
      <c r="A1524" s="33" t="s">
        <v>3047</v>
      </c>
      <c r="B1524" s="22" t="str">
        <f>VLOOKUP($A1524,'Customer Names'!$A:$D,3, FALSE)</f>
        <v>Lysaght</v>
      </c>
      <c r="C1524" s="22">
        <f>VLOOKUP($A1524,'Medical Examinations'!$A:$D, 2, FALSE)</f>
        <v>28.88</v>
      </c>
      <c r="D1524" s="22">
        <f>VLOOKUP($A1524, 'Medical Examinations'!$A:$D,3, FALSE)</f>
        <v>6.59</v>
      </c>
      <c r="E1524" s="22" t="str">
        <f>VLOOKUP($A1524, 'Medical Examinations'!$A:$D, 4, FALSE)</f>
        <v>Yes</v>
      </c>
      <c r="F1524" s="22" t="str">
        <f>VLOOKUP($A1524, 'Medical Examinations'!$A:$J, 5, FALSE)</f>
        <v>No</v>
      </c>
      <c r="G1524" s="22" t="str">
        <f>VLOOKUP($A1524, 'Medical Examinations'!$A:$I, 6, FALSE)</f>
        <v>No</v>
      </c>
      <c r="H1524" s="22">
        <f>VLOOKUP($A1524,'Medical Examinations'!$A:$L,10, FALSE)</f>
        <v>1</v>
      </c>
      <c r="I1524" s="22" t="str">
        <f>VLOOKUP($A1524, 'Medical Examinations'!$A:$J, 9, FALSE)</f>
        <v>No</v>
      </c>
      <c r="J1524" s="22" t="str">
        <f>VLOOKUP($A1524, 'Medical Examinations'!$A:$P, 11, FALSE)</f>
        <v>OVERWEIGHT</v>
      </c>
      <c r="K1524" s="34">
        <v>30885.0</v>
      </c>
      <c r="L1524" s="35">
        <f>VLOOKUP($A1524, 'Hospitalisation Details'!$A:$H, 7, FALSE)</f>
        <v>6748.59</v>
      </c>
      <c r="M1524" s="22" t="str">
        <f>VLOOKUP($A1524, 'Hospitalisation Details'!$A:$L, 12, FALSE)</f>
        <v>tier - 3</v>
      </c>
      <c r="N1524" s="22" t="str">
        <f>VLOOKUP($A1524, 'Hospitalisation Details'!$A:$M, 13, FALSE)</f>
        <v>tier - 1</v>
      </c>
      <c r="O1524" s="22" t="str">
        <f>VLOOKUP($A1524, 'Hospitalisation Details'!$A:$N, 14, FALSE)</f>
        <v>R1016</v>
      </c>
      <c r="P1524" s="36">
        <f>VLOOKUP($A1524, 'Hospitalisation Details'!$A:$O, 15, FALSE)</f>
        <v>37</v>
      </c>
    </row>
    <row r="1525" ht="15.75" customHeight="1">
      <c r="A1525" s="33" t="s">
        <v>3049</v>
      </c>
      <c r="B1525" s="22" t="str">
        <f>VLOOKUP($A1525,'Customer Names'!$A:$D,3, FALSE)</f>
        <v>Chalmers</v>
      </c>
      <c r="C1525" s="22">
        <f>VLOOKUP($A1525,'Medical Examinations'!$A:$D, 2, FALSE)</f>
        <v>27.55</v>
      </c>
      <c r="D1525" s="22">
        <f>VLOOKUP($A1525, 'Medical Examinations'!$A:$D,3, FALSE)</f>
        <v>10.83</v>
      </c>
      <c r="E1525" s="22" t="str">
        <f>VLOOKUP($A1525, 'Medical Examinations'!$A:$D, 4, FALSE)</f>
        <v>Yes</v>
      </c>
      <c r="F1525" s="22" t="str">
        <f>VLOOKUP($A1525, 'Medical Examinations'!$A:$J, 5, FALSE)</f>
        <v>No</v>
      </c>
      <c r="G1525" s="22" t="str">
        <f>VLOOKUP($A1525, 'Medical Examinations'!$A:$I, 6, FALSE)</f>
        <v>No</v>
      </c>
      <c r="H1525" s="22">
        <f>VLOOKUP($A1525,'Medical Examinations'!$A:$L,10, FALSE)</f>
        <v>1</v>
      </c>
      <c r="I1525" s="22" t="str">
        <f>VLOOKUP($A1525, 'Medical Examinations'!$A:$J, 9, FALSE)</f>
        <v>No</v>
      </c>
      <c r="J1525" s="22" t="str">
        <f>VLOOKUP($A1525, 'Medical Examinations'!$A:$P, 11, FALSE)</f>
        <v>OVERWEIGHT</v>
      </c>
      <c r="K1525" s="34">
        <v>37493.0</v>
      </c>
      <c r="L1525" s="35">
        <f>VLOOKUP($A1525, 'Hospitalisation Details'!$A:$H, 7, FALSE)</f>
        <v>6746.74</v>
      </c>
      <c r="M1525" s="22" t="str">
        <f>VLOOKUP($A1525, 'Hospitalisation Details'!$A:$L, 12, FALSE)</f>
        <v>tier - 3</v>
      </c>
      <c r="N1525" s="22" t="str">
        <f>VLOOKUP($A1525, 'Hospitalisation Details'!$A:$M, 13, FALSE)</f>
        <v>tier - 2</v>
      </c>
      <c r="O1525" s="22" t="str">
        <f>VLOOKUP($A1525, 'Hospitalisation Details'!$A:$N, 14, FALSE)</f>
        <v>R1016</v>
      </c>
      <c r="P1525" s="36">
        <f>VLOOKUP($A1525, 'Hospitalisation Details'!$A:$O, 15, FALSE)</f>
        <v>36</v>
      </c>
    </row>
    <row r="1526" ht="15.75" customHeight="1">
      <c r="A1526" s="33" t="s">
        <v>3051</v>
      </c>
      <c r="B1526" s="22" t="str">
        <f>VLOOKUP($A1526,'Customer Names'!$A:$D,3, FALSE)</f>
        <v>Phillippi</v>
      </c>
      <c r="C1526" s="22">
        <f>VLOOKUP($A1526,'Medical Examinations'!$A:$D, 2, FALSE)</f>
        <v>15.6</v>
      </c>
      <c r="D1526" s="22">
        <f>VLOOKUP($A1526, 'Medical Examinations'!$A:$D,3, FALSE)</f>
        <v>8.6</v>
      </c>
      <c r="E1526" s="22" t="str">
        <f>VLOOKUP($A1526, 'Medical Examinations'!$A:$D, 4, FALSE)</f>
        <v>No</v>
      </c>
      <c r="F1526" s="22" t="str">
        <f>VLOOKUP($A1526, 'Medical Examinations'!$A:$J, 5, FALSE)</f>
        <v>No</v>
      </c>
      <c r="G1526" s="22" t="str">
        <f>VLOOKUP($A1526, 'Medical Examinations'!$A:$I, 6, FALSE)</f>
        <v>No</v>
      </c>
      <c r="H1526" s="22">
        <f>VLOOKUP($A1526,'Medical Examinations'!$A:$L,10, FALSE)</f>
        <v>0</v>
      </c>
      <c r="I1526" s="22" t="str">
        <f>VLOOKUP($A1526, 'Medical Examinations'!$A:$J, 9, FALSE)</f>
        <v>No</v>
      </c>
      <c r="J1526" s="22" t="str">
        <f>VLOOKUP($A1526, 'Medical Examinations'!$A:$P, 11, FALSE)</f>
        <v>UNDERWEIGHT</v>
      </c>
      <c r="K1526" s="34">
        <v>25737.0</v>
      </c>
      <c r="L1526" s="35">
        <f>VLOOKUP($A1526, 'Hospitalisation Details'!$A:$H, 7, FALSE)</f>
        <v>6738.84</v>
      </c>
      <c r="M1526" s="22" t="str">
        <f>VLOOKUP($A1526, 'Hospitalisation Details'!$A:$L, 12, FALSE)</f>
        <v>tier - 3</v>
      </c>
      <c r="N1526" s="22" t="str">
        <f>VLOOKUP($A1526, 'Hospitalisation Details'!$A:$M, 13, FALSE)</f>
        <v>tier - 1</v>
      </c>
      <c r="O1526" s="22" t="str">
        <f>VLOOKUP($A1526, 'Hospitalisation Details'!$A:$N, 14, FALSE)</f>
        <v>R1012</v>
      </c>
      <c r="P1526" s="36">
        <f>VLOOKUP($A1526, 'Hospitalisation Details'!$A:$O, 15, FALSE)</f>
        <v>54</v>
      </c>
    </row>
    <row r="1527" ht="15.75" customHeight="1">
      <c r="A1527" s="33" t="s">
        <v>3053</v>
      </c>
      <c r="B1527" s="22" t="str">
        <f>VLOOKUP($A1527,'Customer Names'!$A:$D,3, FALSE)</f>
        <v>MacPherson</v>
      </c>
      <c r="C1527" s="22">
        <f>VLOOKUP($A1527,'Medical Examinations'!$A:$D, 2, FALSE)</f>
        <v>21.99</v>
      </c>
      <c r="D1527" s="22">
        <f>VLOOKUP($A1527, 'Medical Examinations'!$A:$D,3, FALSE)</f>
        <v>11.17</v>
      </c>
      <c r="E1527" s="22" t="str">
        <f>VLOOKUP($A1527, 'Medical Examinations'!$A:$D, 4, FALSE)</f>
        <v>No</v>
      </c>
      <c r="F1527" s="22" t="str">
        <f>VLOOKUP($A1527, 'Medical Examinations'!$A:$J, 5, FALSE)</f>
        <v>No</v>
      </c>
      <c r="G1527" s="22" t="str">
        <f>VLOOKUP($A1527, 'Medical Examinations'!$A:$I, 6, FALSE)</f>
        <v>No</v>
      </c>
      <c r="H1527" s="22">
        <f>VLOOKUP($A1527,'Medical Examinations'!$A:$L,10, FALSE)</f>
        <v>0</v>
      </c>
      <c r="I1527" s="22" t="str">
        <f>VLOOKUP($A1527, 'Medical Examinations'!$A:$J, 9, FALSE)</f>
        <v>No</v>
      </c>
      <c r="J1527" s="22" t="str">
        <f>VLOOKUP($A1527, 'Medical Examinations'!$A:$P, 11, FALSE)</f>
        <v>NORMAL WEIGHT</v>
      </c>
      <c r="K1527" s="34">
        <v>31388.0</v>
      </c>
      <c r="L1527" s="35">
        <f>VLOOKUP($A1527, 'Hospitalisation Details'!$A:$H, 7, FALSE)</f>
        <v>6737.98</v>
      </c>
      <c r="M1527" s="22" t="str">
        <f>VLOOKUP($A1527, 'Hospitalisation Details'!$A:$L, 12, FALSE)</f>
        <v>tier - 2</v>
      </c>
      <c r="N1527" s="22" t="str">
        <f>VLOOKUP($A1527, 'Hospitalisation Details'!$A:$M, 13, FALSE)</f>
        <v>tier - 3</v>
      </c>
      <c r="O1527" s="22" t="str">
        <f>VLOOKUP($A1527, 'Hospitalisation Details'!$A:$N, 14, FALSE)</f>
        <v>R1013</v>
      </c>
      <c r="P1527" s="36">
        <f>VLOOKUP($A1527, 'Hospitalisation Details'!$A:$O, 15, FALSE)</f>
        <v>44</v>
      </c>
    </row>
    <row r="1528" ht="15.75" customHeight="1">
      <c r="A1528" s="33" t="s">
        <v>3055</v>
      </c>
      <c r="B1528" s="22" t="str">
        <f>VLOOKUP($A1528,'Customer Names'!$A:$D,3, FALSE)</f>
        <v>Delfidio</v>
      </c>
      <c r="C1528" s="22">
        <f>VLOOKUP($A1528,'Medical Examinations'!$A:$D, 2, FALSE)</f>
        <v>34.85</v>
      </c>
      <c r="D1528" s="22">
        <f>VLOOKUP($A1528, 'Medical Examinations'!$A:$D,3, FALSE)</f>
        <v>5.75</v>
      </c>
      <c r="E1528" s="22" t="str">
        <f>VLOOKUP($A1528, 'Medical Examinations'!$A:$D, 4, FALSE)</f>
        <v>No</v>
      </c>
      <c r="F1528" s="22" t="str">
        <f>VLOOKUP($A1528, 'Medical Examinations'!$A:$J, 5, FALSE)</f>
        <v>No</v>
      </c>
      <c r="G1528" s="22" t="str">
        <f>VLOOKUP($A1528, 'Medical Examinations'!$A:$I, 6, FALSE)</f>
        <v>No</v>
      </c>
      <c r="H1528" s="22">
        <f>VLOOKUP($A1528,'Medical Examinations'!$A:$L,10, FALSE)</f>
        <v>0</v>
      </c>
      <c r="I1528" s="22" t="str">
        <f>VLOOKUP($A1528, 'Medical Examinations'!$A:$J, 9, FALSE)</f>
        <v>No</v>
      </c>
      <c r="J1528" s="22" t="str">
        <f>VLOOKUP($A1528, 'Medical Examinations'!$A:$P, 11, FALSE)</f>
        <v>OBESITY</v>
      </c>
      <c r="K1528" s="34">
        <v>26547.0</v>
      </c>
      <c r="L1528" s="35">
        <f>VLOOKUP($A1528, 'Hospitalisation Details'!$A:$H, 7, FALSE)</f>
        <v>6721.37</v>
      </c>
      <c r="M1528" s="22" t="str">
        <f>VLOOKUP($A1528, 'Hospitalisation Details'!$A:$L, 12, FALSE)</f>
        <v>tier - 2</v>
      </c>
      <c r="N1528" s="22" t="str">
        <f>VLOOKUP($A1528, 'Hospitalisation Details'!$A:$M, 13, FALSE)</f>
        <v>tier - 1</v>
      </c>
      <c r="O1528" s="22" t="str">
        <f>VLOOKUP($A1528, 'Hospitalisation Details'!$A:$N, 14, FALSE)</f>
        <v>R1012</v>
      </c>
      <c r="P1528" s="36">
        <f>VLOOKUP($A1528, 'Hospitalisation Details'!$A:$O, 15, FALSE)</f>
        <v>28</v>
      </c>
    </row>
    <row r="1529" ht="15.75" customHeight="1">
      <c r="A1529" s="33" t="s">
        <v>3057</v>
      </c>
      <c r="B1529" s="22" t="str">
        <f>VLOOKUP($A1529,'Customer Names'!$A:$D,3, FALSE)</f>
        <v>Cummings</v>
      </c>
      <c r="C1529" s="22">
        <f>VLOOKUP($A1529,'Medical Examinations'!$A:$D, 2, FALSE)</f>
        <v>24.51</v>
      </c>
      <c r="D1529" s="22">
        <f>VLOOKUP($A1529, 'Medical Examinations'!$A:$D,3, FALSE)</f>
        <v>4.83</v>
      </c>
      <c r="E1529" s="22" t="str">
        <f>VLOOKUP($A1529, 'Medical Examinations'!$A:$D, 4, FALSE)</f>
        <v>Yes</v>
      </c>
      <c r="F1529" s="22" t="str">
        <f>VLOOKUP($A1529, 'Medical Examinations'!$A:$J, 5, FALSE)</f>
        <v>No</v>
      </c>
      <c r="G1529" s="22" t="str">
        <f>VLOOKUP($A1529, 'Medical Examinations'!$A:$I, 6, FALSE)</f>
        <v>Yes</v>
      </c>
      <c r="H1529" s="22">
        <f>VLOOKUP($A1529,'Medical Examinations'!$A:$L,10, FALSE)</f>
        <v>1</v>
      </c>
      <c r="I1529" s="22" t="str">
        <f>VLOOKUP($A1529, 'Medical Examinations'!$A:$J, 9, FALSE)</f>
        <v>No</v>
      </c>
      <c r="J1529" s="22" t="str">
        <f>VLOOKUP($A1529, 'Medical Examinations'!$A:$P, 11, FALSE)</f>
        <v>NORMAL WEIGHT</v>
      </c>
      <c r="K1529" s="34">
        <v>37953.0</v>
      </c>
      <c r="L1529" s="35">
        <f>VLOOKUP($A1529, 'Hospitalisation Details'!$A:$H, 7, FALSE)</f>
        <v>6710.19</v>
      </c>
      <c r="M1529" s="22" t="str">
        <f>VLOOKUP($A1529, 'Hospitalisation Details'!$A:$L, 12, FALSE)</f>
        <v>tier - 3</v>
      </c>
      <c r="N1529" s="22" t="str">
        <f>VLOOKUP($A1529, 'Hospitalisation Details'!$A:$M, 13, FALSE)</f>
        <v>tier - 3</v>
      </c>
      <c r="O1529" s="22" t="str">
        <f>VLOOKUP($A1529, 'Hospitalisation Details'!$A:$N, 14, FALSE)</f>
        <v>R1012</v>
      </c>
      <c r="P1529" s="36">
        <f>VLOOKUP($A1529, 'Hospitalisation Details'!$A:$O, 15, FALSE)</f>
        <v>39</v>
      </c>
    </row>
    <row r="1530" ht="15.75" customHeight="1">
      <c r="A1530" s="33" t="s">
        <v>3059</v>
      </c>
      <c r="B1530" s="22" t="str">
        <f>VLOOKUP($A1530,'Customer Names'!$A:$D,3, FALSE)</f>
        <v>Schroegel</v>
      </c>
      <c r="C1530" s="22">
        <f>VLOOKUP($A1530,'Medical Examinations'!$A:$D, 2, FALSE)</f>
        <v>19.4</v>
      </c>
      <c r="D1530" s="22">
        <f>VLOOKUP($A1530, 'Medical Examinations'!$A:$D,3, FALSE)</f>
        <v>11.93</v>
      </c>
      <c r="E1530" s="22" t="str">
        <f>VLOOKUP($A1530, 'Medical Examinations'!$A:$D, 4, FALSE)</f>
        <v>No</v>
      </c>
      <c r="F1530" s="22" t="str">
        <f>VLOOKUP($A1530, 'Medical Examinations'!$A:$J, 5, FALSE)</f>
        <v>No</v>
      </c>
      <c r="G1530" s="22" t="str">
        <f>VLOOKUP($A1530, 'Medical Examinations'!$A:$I, 6, FALSE)</f>
        <v>No</v>
      </c>
      <c r="H1530" s="22">
        <f>VLOOKUP($A1530,'Medical Examinations'!$A:$L,10, FALSE)</f>
        <v>0</v>
      </c>
      <c r="I1530" s="22" t="str">
        <f>VLOOKUP($A1530, 'Medical Examinations'!$A:$J, 9, FALSE)</f>
        <v>No</v>
      </c>
      <c r="J1530" s="22" t="str">
        <f>VLOOKUP($A1530, 'Medical Examinations'!$A:$P, 11, FALSE)</f>
        <v>NORMAL WEIGHT</v>
      </c>
      <c r="K1530" s="34">
        <v>33158.0</v>
      </c>
      <c r="L1530" s="35">
        <f>VLOOKUP($A1530, 'Hospitalisation Details'!$A:$H, 7, FALSE)</f>
        <v>6706.47</v>
      </c>
      <c r="M1530" s="22" t="str">
        <f>VLOOKUP($A1530, 'Hospitalisation Details'!$A:$L, 12, FALSE)</f>
        <v>tier - 2</v>
      </c>
      <c r="N1530" s="22" t="str">
        <f>VLOOKUP($A1530, 'Hospitalisation Details'!$A:$M, 13, FALSE)</f>
        <v>tier - 1</v>
      </c>
      <c r="O1530" s="22" t="str">
        <f>VLOOKUP($A1530, 'Hospitalisation Details'!$A:$N, 14, FALSE)</f>
        <v>R1013</v>
      </c>
      <c r="P1530" s="36">
        <f>VLOOKUP($A1530, 'Hospitalisation Details'!$A:$O, 15, FALSE)</f>
        <v>51</v>
      </c>
    </row>
    <row r="1531" ht="15.75" customHeight="1">
      <c r="A1531" s="33" t="s">
        <v>3061</v>
      </c>
      <c r="B1531" s="22" t="str">
        <f>VLOOKUP($A1531,'Customer Names'!$A:$D,3, FALSE)</f>
        <v>Williams</v>
      </c>
      <c r="C1531" s="22">
        <f>VLOOKUP($A1531,'Medical Examinations'!$A:$D, 2, FALSE)</f>
        <v>15.1</v>
      </c>
      <c r="D1531" s="22">
        <f>VLOOKUP($A1531, 'Medical Examinations'!$A:$D,3, FALSE)</f>
        <v>8.41</v>
      </c>
      <c r="E1531" s="22" t="str">
        <f>VLOOKUP($A1531, 'Medical Examinations'!$A:$D, 4, FALSE)</f>
        <v>No</v>
      </c>
      <c r="F1531" s="22" t="str">
        <f>VLOOKUP($A1531, 'Medical Examinations'!$A:$J, 5, FALSE)</f>
        <v>No</v>
      </c>
      <c r="G1531" s="22" t="str">
        <f>VLOOKUP($A1531, 'Medical Examinations'!$A:$I, 6, FALSE)</f>
        <v>No</v>
      </c>
      <c r="H1531" s="22">
        <f>VLOOKUP($A1531,'Medical Examinations'!$A:$L,10, FALSE)</f>
        <v>0</v>
      </c>
      <c r="I1531" s="22" t="str">
        <f>VLOOKUP($A1531, 'Medical Examinations'!$A:$J, 9, FALSE)</f>
        <v>No</v>
      </c>
      <c r="J1531" s="22" t="str">
        <f>VLOOKUP($A1531, 'Medical Examinations'!$A:$P, 11, FALSE)</f>
        <v>UNDERWEIGHT</v>
      </c>
      <c r="K1531" s="34">
        <v>31243.0</v>
      </c>
      <c r="L1531" s="35">
        <f>VLOOKUP($A1531, 'Hospitalisation Details'!$A:$H, 7, FALSE)</f>
        <v>6700.56</v>
      </c>
      <c r="M1531" s="22" t="str">
        <f>VLOOKUP($A1531, 'Hospitalisation Details'!$A:$L, 12, FALSE)</f>
        <v>tier - 3</v>
      </c>
      <c r="N1531" s="22" t="str">
        <f>VLOOKUP($A1531, 'Hospitalisation Details'!$A:$M, 13, FALSE)</f>
        <v>tier - 1</v>
      </c>
      <c r="O1531" s="22" t="str">
        <f>VLOOKUP($A1531, 'Hospitalisation Details'!$A:$N, 14, FALSE)</f>
        <v>R1012</v>
      </c>
      <c r="P1531" s="36">
        <f>VLOOKUP($A1531, 'Hospitalisation Details'!$A:$O, 15, FALSE)</f>
        <v>54</v>
      </c>
    </row>
    <row r="1532" ht="15.75" customHeight="1">
      <c r="A1532" s="33" t="s">
        <v>3063</v>
      </c>
      <c r="B1532" s="22" t="str">
        <f>VLOOKUP($A1532,'Customer Names'!$A:$D,3, FALSE)</f>
        <v>Casey</v>
      </c>
      <c r="C1532" s="22">
        <f>VLOOKUP($A1532,'Medical Examinations'!$A:$D, 2, FALSE)</f>
        <v>23.37</v>
      </c>
      <c r="D1532" s="22">
        <f>VLOOKUP($A1532, 'Medical Examinations'!$A:$D,3, FALSE)</f>
        <v>5.59</v>
      </c>
      <c r="E1532" s="22" t="str">
        <f>VLOOKUP($A1532, 'Medical Examinations'!$A:$D, 4, FALSE)</f>
        <v>Yes</v>
      </c>
      <c r="F1532" s="22" t="str">
        <f>VLOOKUP($A1532, 'Medical Examinations'!$A:$J, 5, FALSE)</f>
        <v>No</v>
      </c>
      <c r="G1532" s="22" t="str">
        <f>VLOOKUP($A1532, 'Medical Examinations'!$A:$I, 6, FALSE)</f>
        <v>No</v>
      </c>
      <c r="H1532" s="22">
        <f>VLOOKUP($A1532,'Medical Examinations'!$A:$L,10, FALSE)</f>
        <v>0</v>
      </c>
      <c r="I1532" s="22" t="str">
        <f>VLOOKUP($A1532, 'Medical Examinations'!$A:$J, 9, FALSE)</f>
        <v>No</v>
      </c>
      <c r="J1532" s="22" t="str">
        <f>VLOOKUP($A1532, 'Medical Examinations'!$A:$P, 11, FALSE)</f>
        <v>NORMAL WEIGHT</v>
      </c>
      <c r="K1532" s="34">
        <v>25506.0</v>
      </c>
      <c r="L1532" s="35">
        <f>VLOOKUP($A1532, 'Hospitalisation Details'!$A:$H, 7, FALSE)</f>
        <v>6686.43</v>
      </c>
      <c r="M1532" s="22" t="str">
        <f>VLOOKUP($A1532, 'Hospitalisation Details'!$A:$L, 12, FALSE)</f>
        <v>tier - 2</v>
      </c>
      <c r="N1532" s="22" t="str">
        <f>VLOOKUP($A1532, 'Hospitalisation Details'!$A:$M, 13, FALSE)</f>
        <v>tier - 3</v>
      </c>
      <c r="O1532" s="22" t="str">
        <f>VLOOKUP($A1532, 'Hospitalisation Details'!$A:$N, 14, FALSE)</f>
        <v>R1012</v>
      </c>
      <c r="P1532" s="36">
        <f>VLOOKUP($A1532, 'Hospitalisation Details'!$A:$O, 15, FALSE)</f>
        <v>37</v>
      </c>
    </row>
    <row r="1533" ht="15.75" customHeight="1">
      <c r="A1533" s="33" t="s">
        <v>3065</v>
      </c>
      <c r="B1533" s="22" t="str">
        <f>VLOOKUP($A1533,'Customer Names'!$A:$D,3, FALSE)</f>
        <v>Randall</v>
      </c>
      <c r="C1533" s="22">
        <f>VLOOKUP($A1533,'Medical Examinations'!$A:$D, 2, FALSE)</f>
        <v>42.4</v>
      </c>
      <c r="D1533" s="22">
        <f>VLOOKUP($A1533, 'Medical Examinations'!$A:$D,3, FALSE)</f>
        <v>4.06</v>
      </c>
      <c r="E1533" s="22" t="str">
        <f>VLOOKUP($A1533, 'Medical Examinations'!$A:$D, 4, FALSE)</f>
        <v>No</v>
      </c>
      <c r="F1533" s="22" t="str">
        <f>VLOOKUP($A1533, 'Medical Examinations'!$A:$J, 5, FALSE)</f>
        <v>No</v>
      </c>
      <c r="G1533" s="22" t="str">
        <f>VLOOKUP($A1533, 'Medical Examinations'!$A:$I, 6, FALSE)</f>
        <v>No</v>
      </c>
      <c r="H1533" s="22">
        <f>VLOOKUP($A1533,'Medical Examinations'!$A:$L,10, FALSE)</f>
        <v>0</v>
      </c>
      <c r="I1533" s="22" t="str">
        <f>VLOOKUP($A1533, 'Medical Examinations'!$A:$J, 9, FALSE)</f>
        <v>No</v>
      </c>
      <c r="J1533" s="22" t="str">
        <f>VLOOKUP($A1533, 'Medical Examinations'!$A:$P, 11, FALSE)</f>
        <v>OBESITY</v>
      </c>
      <c r="K1533" s="34">
        <v>22828.0</v>
      </c>
      <c r="L1533" s="35">
        <f>VLOOKUP($A1533, 'Hospitalisation Details'!$A:$H, 7, FALSE)</f>
        <v>6666.24</v>
      </c>
      <c r="M1533" s="22" t="str">
        <f>VLOOKUP($A1533, 'Hospitalisation Details'!$A:$L, 12, FALSE)</f>
        <v>tier - 3</v>
      </c>
      <c r="N1533" s="22" t="str">
        <f>VLOOKUP($A1533, 'Hospitalisation Details'!$A:$M, 13, FALSE)</f>
        <v>tier - 1</v>
      </c>
      <c r="O1533" s="22" t="str">
        <f>VLOOKUP($A1533, 'Hospitalisation Details'!$A:$N, 14, FALSE)</f>
        <v>R1011</v>
      </c>
      <c r="P1533" s="36">
        <f>VLOOKUP($A1533, 'Hospitalisation Details'!$A:$O, 15, FALSE)</f>
        <v>33</v>
      </c>
    </row>
    <row r="1534" ht="15.75" customHeight="1">
      <c r="A1534" s="33" t="s">
        <v>3067</v>
      </c>
      <c r="B1534" s="22" t="str">
        <f>VLOOKUP($A1534,'Customer Names'!$A:$D,3, FALSE)</f>
        <v>Doyon</v>
      </c>
      <c r="C1534" s="22">
        <f>VLOOKUP($A1534,'Medical Examinations'!$A:$D, 2, FALSE)</f>
        <v>28.405</v>
      </c>
      <c r="D1534" s="22">
        <f>VLOOKUP($A1534, 'Medical Examinations'!$A:$D,3, FALSE)</f>
        <v>7.02</v>
      </c>
      <c r="E1534" s="22" t="str">
        <f>VLOOKUP($A1534, 'Medical Examinations'!$A:$D, 4, FALSE)</f>
        <v>Yes</v>
      </c>
      <c r="F1534" s="22" t="str">
        <f>VLOOKUP($A1534, 'Medical Examinations'!$A:$J, 5, FALSE)</f>
        <v>No</v>
      </c>
      <c r="G1534" s="22" t="str">
        <f>VLOOKUP($A1534, 'Medical Examinations'!$A:$I, 6, FALSE)</f>
        <v>No</v>
      </c>
      <c r="H1534" s="22">
        <f>VLOOKUP($A1534,'Medical Examinations'!$A:$L,10, FALSE)</f>
        <v>0</v>
      </c>
      <c r="I1534" s="22" t="str">
        <f>VLOOKUP($A1534, 'Medical Examinations'!$A:$J, 9, FALSE)</f>
        <v>No</v>
      </c>
      <c r="J1534" s="22" t="str">
        <f>VLOOKUP($A1534, 'Medical Examinations'!$A:$P, 11, FALSE)</f>
        <v>OVERWEIGHT</v>
      </c>
      <c r="K1534" s="34">
        <v>22237.0</v>
      </c>
      <c r="L1534" s="35">
        <f>VLOOKUP($A1534, 'Hospitalisation Details'!$A:$H, 7, FALSE)</f>
        <v>6664.69</v>
      </c>
      <c r="M1534" s="22" t="str">
        <f>VLOOKUP($A1534, 'Hospitalisation Details'!$A:$L, 12, FALSE)</f>
        <v>tier - 3</v>
      </c>
      <c r="N1534" s="22" t="str">
        <f>VLOOKUP($A1534, 'Hospitalisation Details'!$A:$M, 13, FALSE)</f>
        <v>tier - 1</v>
      </c>
      <c r="O1534" s="22" t="str">
        <f>VLOOKUP($A1534, 'Hospitalisation Details'!$A:$N, 14, FALSE)</f>
        <v>R1012</v>
      </c>
      <c r="P1534" s="36">
        <f>VLOOKUP($A1534, 'Hospitalisation Details'!$A:$O, 15, FALSE)</f>
        <v>41</v>
      </c>
    </row>
    <row r="1535" ht="15.75" customHeight="1">
      <c r="A1535" s="33" t="s">
        <v>3069</v>
      </c>
      <c r="B1535" s="22" t="str">
        <f>VLOOKUP($A1535,'Customer Names'!$A:$D,3, FALSE)</f>
        <v>Sankey</v>
      </c>
      <c r="C1535" s="22">
        <f>VLOOKUP($A1535,'Medical Examinations'!$A:$D, 2, FALSE)</f>
        <v>23.4</v>
      </c>
      <c r="D1535" s="22">
        <f>VLOOKUP($A1535, 'Medical Examinations'!$A:$D,3, FALSE)</f>
        <v>4.47</v>
      </c>
      <c r="E1535" s="22" t="str">
        <f>VLOOKUP($A1535, 'Medical Examinations'!$A:$D, 4, FALSE)</f>
        <v>No</v>
      </c>
      <c r="F1535" s="22" t="str">
        <f>VLOOKUP($A1535, 'Medical Examinations'!$A:$J, 5, FALSE)</f>
        <v>No</v>
      </c>
      <c r="G1535" s="22" t="str">
        <f>VLOOKUP($A1535, 'Medical Examinations'!$A:$I, 6, FALSE)</f>
        <v>No</v>
      </c>
      <c r="H1535" s="22">
        <f>VLOOKUP($A1535,'Medical Examinations'!$A:$L,10, FALSE)</f>
        <v>0</v>
      </c>
      <c r="I1535" s="22" t="str">
        <f>VLOOKUP($A1535, 'Medical Examinations'!$A:$J, 9, FALSE)</f>
        <v>No</v>
      </c>
      <c r="J1535" s="22" t="str">
        <f>VLOOKUP($A1535, 'Medical Examinations'!$A:$P, 11, FALSE)</f>
        <v>NORMAL WEIGHT</v>
      </c>
      <c r="K1535" s="34">
        <v>34543.0</v>
      </c>
      <c r="L1535" s="35">
        <f>VLOOKUP($A1535, 'Hospitalisation Details'!$A:$H, 7, FALSE)</f>
        <v>6664.32</v>
      </c>
      <c r="M1535" s="22" t="str">
        <f>VLOOKUP($A1535, 'Hospitalisation Details'!$A:$L, 12, FALSE)</f>
        <v>tier - 2</v>
      </c>
      <c r="N1535" s="22" t="str">
        <f>VLOOKUP($A1535, 'Hospitalisation Details'!$A:$M, 13, FALSE)</f>
        <v>tier - 2</v>
      </c>
      <c r="O1535" s="22" t="str">
        <f>VLOOKUP($A1535, 'Hospitalisation Details'!$A:$N, 14, FALSE)</f>
        <v>R1013</v>
      </c>
      <c r="P1535" s="36">
        <f>VLOOKUP($A1535, 'Hospitalisation Details'!$A:$O, 15, FALSE)</f>
        <v>40</v>
      </c>
    </row>
    <row r="1536" ht="15.75" customHeight="1">
      <c r="A1536" s="33" t="s">
        <v>3071</v>
      </c>
      <c r="B1536" s="22" t="str">
        <f>VLOOKUP($A1536,'Customer Names'!$A:$D,3, FALSE)</f>
        <v>Stilgenbauer</v>
      </c>
      <c r="C1536" s="22">
        <f>VLOOKUP($A1536,'Medical Examinations'!$A:$D, 2, FALSE)</f>
        <v>33.44</v>
      </c>
      <c r="D1536" s="22">
        <f>VLOOKUP($A1536, 'Medical Examinations'!$A:$D,3, FALSE)</f>
        <v>4.54</v>
      </c>
      <c r="E1536" s="22" t="str">
        <f>VLOOKUP($A1536, 'Medical Examinations'!$A:$D, 4, FALSE)</f>
        <v>No</v>
      </c>
      <c r="F1536" s="22" t="str">
        <f>VLOOKUP($A1536, 'Medical Examinations'!$A:$J, 5, FALSE)</f>
        <v>No</v>
      </c>
      <c r="G1536" s="22" t="str">
        <f>VLOOKUP($A1536, 'Medical Examinations'!$A:$I, 6, FALSE)</f>
        <v>No</v>
      </c>
      <c r="H1536" s="22">
        <f>VLOOKUP($A1536,'Medical Examinations'!$A:$L,10, FALSE)</f>
        <v>0</v>
      </c>
      <c r="I1536" s="22" t="str">
        <f>VLOOKUP($A1536, 'Medical Examinations'!$A:$J, 9, FALSE)</f>
        <v>No</v>
      </c>
      <c r="J1536" s="22" t="str">
        <f>VLOOKUP($A1536, 'Medical Examinations'!$A:$P, 11, FALSE)</f>
        <v>OBESITY</v>
      </c>
      <c r="K1536" s="34">
        <v>24663.0</v>
      </c>
      <c r="L1536" s="35">
        <f>VLOOKUP($A1536, 'Hospitalisation Details'!$A:$H, 7, FALSE)</f>
        <v>6653.79</v>
      </c>
      <c r="M1536" s="22" t="str">
        <f>VLOOKUP($A1536, 'Hospitalisation Details'!$A:$L, 12, FALSE)</f>
        <v>tier - 2</v>
      </c>
      <c r="N1536" s="22" t="str">
        <f>VLOOKUP($A1536, 'Hospitalisation Details'!$A:$M, 13, FALSE)</f>
        <v>tier - 1</v>
      </c>
      <c r="O1536" s="22" t="str">
        <f>VLOOKUP($A1536, 'Hospitalisation Details'!$A:$N, 14, FALSE)</f>
        <v>R1013</v>
      </c>
      <c r="P1536" s="36">
        <f>VLOOKUP($A1536, 'Hospitalisation Details'!$A:$O, 15, FALSE)</f>
        <v>33</v>
      </c>
    </row>
    <row r="1537" ht="15.75" customHeight="1">
      <c r="A1537" s="33" t="s">
        <v>3073</v>
      </c>
      <c r="B1537" s="22" t="str">
        <f>VLOOKUP($A1537,'Customer Names'!$A:$D,3, FALSE)</f>
        <v>Jaskiewicz</v>
      </c>
      <c r="C1537" s="22">
        <f>VLOOKUP($A1537,'Medical Examinations'!$A:$D, 2, FALSE)</f>
        <v>21.12</v>
      </c>
      <c r="D1537" s="22">
        <f>VLOOKUP($A1537, 'Medical Examinations'!$A:$D,3, FALSE)</f>
        <v>4.99</v>
      </c>
      <c r="E1537" s="22" t="str">
        <f>VLOOKUP($A1537, 'Medical Examinations'!$A:$D, 4, FALSE)</f>
        <v>No</v>
      </c>
      <c r="F1537" s="22" t="str">
        <f>VLOOKUP($A1537, 'Medical Examinations'!$A:$J, 5, FALSE)</f>
        <v>No</v>
      </c>
      <c r="G1537" s="22" t="str">
        <f>VLOOKUP($A1537, 'Medical Examinations'!$A:$I, 6, FALSE)</f>
        <v>No</v>
      </c>
      <c r="H1537" s="22">
        <f>VLOOKUP($A1537,'Medical Examinations'!$A:$L,10, FALSE)</f>
        <v>1</v>
      </c>
      <c r="I1537" s="22" t="str">
        <f>VLOOKUP($A1537, 'Medical Examinations'!$A:$J, 9, FALSE)</f>
        <v>No</v>
      </c>
      <c r="J1537" s="22" t="str">
        <f>VLOOKUP($A1537, 'Medical Examinations'!$A:$P, 11, FALSE)</f>
        <v>NORMAL WEIGHT</v>
      </c>
      <c r="K1537" s="34">
        <v>34888.0</v>
      </c>
      <c r="L1537" s="35">
        <f>VLOOKUP($A1537, 'Hospitalisation Details'!$A:$H, 7, FALSE)</f>
        <v>6652.53</v>
      </c>
      <c r="M1537" s="22" t="str">
        <f>VLOOKUP($A1537, 'Hospitalisation Details'!$A:$L, 12, FALSE)</f>
        <v>tier - 3</v>
      </c>
      <c r="N1537" s="22" t="str">
        <f>VLOOKUP($A1537, 'Hospitalisation Details'!$A:$M, 13, FALSE)</f>
        <v>tier - 2</v>
      </c>
      <c r="O1537" s="22" t="str">
        <f>VLOOKUP($A1537, 'Hospitalisation Details'!$A:$N, 14, FALSE)</f>
        <v>R1013</v>
      </c>
      <c r="P1537" s="36">
        <f>VLOOKUP($A1537, 'Hospitalisation Details'!$A:$O, 15, FALSE)</f>
        <v>38</v>
      </c>
    </row>
    <row r="1538" ht="15.75" customHeight="1">
      <c r="A1538" s="33" t="s">
        <v>3075</v>
      </c>
      <c r="B1538" s="22" t="str">
        <f>VLOOKUP($A1538,'Customer Names'!$A:$D,3, FALSE)</f>
        <v>Deppen</v>
      </c>
      <c r="C1538" s="22">
        <f>VLOOKUP($A1538,'Medical Examinations'!$A:$D, 2, FALSE)</f>
        <v>18.48</v>
      </c>
      <c r="D1538" s="22">
        <f>VLOOKUP($A1538, 'Medical Examinations'!$A:$D,3, FALSE)</f>
        <v>10.84</v>
      </c>
      <c r="E1538" s="22" t="str">
        <f>VLOOKUP($A1538, 'Medical Examinations'!$A:$D, 4, FALSE)</f>
        <v>Yes</v>
      </c>
      <c r="F1538" s="22" t="str">
        <f>VLOOKUP($A1538, 'Medical Examinations'!$A:$J, 5, FALSE)</f>
        <v>No</v>
      </c>
      <c r="G1538" s="22" t="str">
        <f>VLOOKUP($A1538, 'Medical Examinations'!$A:$I, 6, FALSE)</f>
        <v>No</v>
      </c>
      <c r="H1538" s="22">
        <f>VLOOKUP($A1538,'Medical Examinations'!$A:$L,10, FALSE)</f>
        <v>2</v>
      </c>
      <c r="I1538" s="22" t="str">
        <f>VLOOKUP($A1538, 'Medical Examinations'!$A:$J, 9, FALSE)</f>
        <v>No</v>
      </c>
      <c r="J1538" s="22" t="str">
        <f>VLOOKUP($A1538, 'Medical Examinations'!$A:$P, 11, FALSE)</f>
        <v>UNDERWEIGHT</v>
      </c>
      <c r="K1538" s="34">
        <v>26169.0</v>
      </c>
      <c r="L1538" s="35">
        <f>VLOOKUP($A1538, 'Hospitalisation Details'!$A:$H, 7, FALSE)</f>
        <v>6651.26</v>
      </c>
      <c r="M1538" s="22" t="str">
        <f>VLOOKUP($A1538, 'Hospitalisation Details'!$A:$L, 12, FALSE)</f>
        <v>tier - 2</v>
      </c>
      <c r="N1538" s="22" t="str">
        <f>VLOOKUP($A1538, 'Hospitalisation Details'!$A:$M, 13, FALSE)</f>
        <v>tier - 3</v>
      </c>
      <c r="O1538" s="22" t="str">
        <f>VLOOKUP($A1538, 'Hospitalisation Details'!$A:$N, 14, FALSE)</f>
        <v>R1013</v>
      </c>
      <c r="P1538" s="36">
        <f>VLOOKUP($A1538, 'Hospitalisation Details'!$A:$O, 15, FALSE)</f>
        <v>52</v>
      </c>
    </row>
    <row r="1539" ht="15.75" customHeight="1">
      <c r="A1539" s="33" t="s">
        <v>3077</v>
      </c>
      <c r="B1539" s="22" t="str">
        <f>VLOOKUP($A1539,'Customer Names'!$A:$D,3, FALSE)</f>
        <v>Hine</v>
      </c>
      <c r="C1539" s="22">
        <f>VLOOKUP($A1539,'Medical Examinations'!$A:$D, 2, FALSE)</f>
        <v>16.815</v>
      </c>
      <c r="D1539" s="22">
        <f>VLOOKUP($A1539, 'Medical Examinations'!$A:$D,3, FALSE)</f>
        <v>5.63</v>
      </c>
      <c r="E1539" s="22" t="str">
        <f>VLOOKUP($A1539, 'Medical Examinations'!$A:$D, 4, FALSE)</f>
        <v>No</v>
      </c>
      <c r="F1539" s="22" t="str">
        <f>VLOOKUP($A1539, 'Medical Examinations'!$A:$J, 5, FALSE)</f>
        <v>No</v>
      </c>
      <c r="G1539" s="22" t="str">
        <f>VLOOKUP($A1539, 'Medical Examinations'!$A:$I, 6, FALSE)</f>
        <v>No</v>
      </c>
      <c r="H1539" s="22">
        <f>VLOOKUP($A1539,'Medical Examinations'!$A:$L,10, FALSE)</f>
        <v>1</v>
      </c>
      <c r="I1539" s="22" t="str">
        <f>VLOOKUP($A1539, 'Medical Examinations'!$A:$J, 9, FALSE)</f>
        <v>No</v>
      </c>
      <c r="J1539" s="22" t="str">
        <f>VLOOKUP($A1539, 'Medical Examinations'!$A:$P, 11, FALSE)</f>
        <v>UNDERWEIGHT</v>
      </c>
      <c r="K1539" s="34">
        <v>29907.0</v>
      </c>
      <c r="L1539" s="35">
        <f>VLOOKUP($A1539, 'Hospitalisation Details'!$A:$H, 7, FALSE)</f>
        <v>6640.54</v>
      </c>
      <c r="M1539" s="22" t="str">
        <f>VLOOKUP($A1539, 'Hospitalisation Details'!$A:$L, 12, FALSE)</f>
        <v>tier - 2</v>
      </c>
      <c r="N1539" s="22" t="str">
        <f>VLOOKUP($A1539, 'Hospitalisation Details'!$A:$M, 13, FALSE)</f>
        <v>tier - 3</v>
      </c>
      <c r="O1539" s="22" t="str">
        <f>VLOOKUP($A1539, 'Hospitalisation Details'!$A:$N, 14, FALSE)</f>
        <v>R1019</v>
      </c>
      <c r="P1539" s="36">
        <f>VLOOKUP($A1539, 'Hospitalisation Details'!$A:$O, 15, FALSE)</f>
        <v>38</v>
      </c>
    </row>
    <row r="1540" ht="15.75" customHeight="1">
      <c r="A1540" s="33" t="s">
        <v>3079</v>
      </c>
      <c r="B1540" s="22" t="str">
        <f>VLOOKUP($A1540,'Customer Names'!$A:$D,3, FALSE)</f>
        <v>Mathews</v>
      </c>
      <c r="C1540" s="22">
        <f>VLOOKUP($A1540,'Medical Examinations'!$A:$D, 2, FALSE)</f>
        <v>26.72</v>
      </c>
      <c r="D1540" s="22">
        <f>VLOOKUP($A1540, 'Medical Examinations'!$A:$D,3, FALSE)</f>
        <v>4.14</v>
      </c>
      <c r="E1540" s="22" t="str">
        <f>VLOOKUP($A1540, 'Medical Examinations'!$A:$D, 4, FALSE)</f>
        <v>No</v>
      </c>
      <c r="F1540" s="22" t="str">
        <f>VLOOKUP($A1540, 'Medical Examinations'!$A:$J, 5, FALSE)</f>
        <v>No</v>
      </c>
      <c r="G1540" s="22" t="str">
        <f>VLOOKUP($A1540, 'Medical Examinations'!$A:$I, 6, FALSE)</f>
        <v>No</v>
      </c>
      <c r="H1540" s="22">
        <f>VLOOKUP($A1540,'Medical Examinations'!$A:$L,10, FALSE)</f>
        <v>0</v>
      </c>
      <c r="I1540" s="22" t="str">
        <f>VLOOKUP($A1540, 'Medical Examinations'!$A:$J, 9, FALSE)</f>
        <v>No</v>
      </c>
      <c r="J1540" s="22" t="str">
        <f>VLOOKUP($A1540, 'Medical Examinations'!$A:$P, 11, FALSE)</f>
        <v>OVERWEIGHT</v>
      </c>
      <c r="K1540" s="34">
        <v>35037.0</v>
      </c>
      <c r="L1540" s="35">
        <f>VLOOKUP($A1540, 'Hospitalisation Details'!$A:$H, 7, FALSE)</f>
        <v>6639.3</v>
      </c>
      <c r="M1540" s="22" t="str">
        <f>VLOOKUP($A1540, 'Hospitalisation Details'!$A:$L, 12, FALSE)</f>
        <v>tier - 2</v>
      </c>
      <c r="N1540" s="22" t="str">
        <f>VLOOKUP($A1540, 'Hospitalisation Details'!$A:$M, 13, FALSE)</f>
        <v>tier - 2</v>
      </c>
      <c r="O1540" s="22" t="str">
        <f>VLOOKUP($A1540, 'Hospitalisation Details'!$A:$N, 14, FALSE)</f>
        <v>R1021</v>
      </c>
      <c r="P1540" s="36">
        <f>VLOOKUP($A1540, 'Hospitalisation Details'!$A:$O, 15, FALSE)</f>
        <v>33</v>
      </c>
    </row>
    <row r="1541" ht="15.75" customHeight="1">
      <c r="A1541" s="33" t="s">
        <v>3081</v>
      </c>
      <c r="B1541" s="22" t="str">
        <f>VLOOKUP($A1541,'Customer Names'!$A:$D,3, FALSE)</f>
        <v>Yabu</v>
      </c>
      <c r="C1541" s="22">
        <f>VLOOKUP($A1541,'Medical Examinations'!$A:$D, 2, FALSE)</f>
        <v>41.42</v>
      </c>
      <c r="D1541" s="22">
        <f>VLOOKUP($A1541, 'Medical Examinations'!$A:$D,3, FALSE)</f>
        <v>5.17</v>
      </c>
      <c r="E1541" s="22" t="str">
        <f>VLOOKUP($A1541, 'Medical Examinations'!$A:$D, 4, FALSE)</f>
        <v>No</v>
      </c>
      <c r="F1541" s="22" t="str">
        <f>VLOOKUP($A1541, 'Medical Examinations'!$A:$J, 5, FALSE)</f>
        <v>No</v>
      </c>
      <c r="G1541" s="22" t="str">
        <f>VLOOKUP($A1541, 'Medical Examinations'!$A:$I, 6, FALSE)</f>
        <v>Yes</v>
      </c>
      <c r="H1541" s="22">
        <f>VLOOKUP($A1541,'Medical Examinations'!$A:$L,10, FALSE)</f>
        <v>1</v>
      </c>
      <c r="I1541" s="22" t="str">
        <f>VLOOKUP($A1541, 'Medical Examinations'!$A:$J, 9, FALSE)</f>
        <v>No</v>
      </c>
      <c r="J1541" s="22" t="str">
        <f>VLOOKUP($A1541, 'Medical Examinations'!$A:$P, 11, FALSE)</f>
        <v>OBESITY</v>
      </c>
      <c r="K1541" s="34">
        <v>29567.0</v>
      </c>
      <c r="L1541" s="35">
        <f>VLOOKUP($A1541, 'Hospitalisation Details'!$A:$H, 7, FALSE)</f>
        <v>6638.16</v>
      </c>
      <c r="M1541" s="22" t="str">
        <f>VLOOKUP($A1541, 'Hospitalisation Details'!$A:$L, 12, FALSE)</f>
        <v>tier - 2</v>
      </c>
      <c r="N1541" s="22" t="str">
        <f>VLOOKUP($A1541, 'Hospitalisation Details'!$A:$M, 13, FALSE)</f>
        <v>tier - 1</v>
      </c>
      <c r="O1541" s="22" t="str">
        <f>VLOOKUP($A1541, 'Hospitalisation Details'!$A:$N, 14, FALSE)</f>
        <v>R1012</v>
      </c>
      <c r="P1541" s="36">
        <f>VLOOKUP($A1541, 'Hospitalisation Details'!$A:$O, 15, FALSE)</f>
        <v>19</v>
      </c>
    </row>
    <row r="1542" ht="15.75" customHeight="1">
      <c r="A1542" s="33" t="s">
        <v>3083</v>
      </c>
      <c r="B1542" s="22" t="str">
        <f>VLOOKUP($A1542,'Customer Names'!$A:$D,3, FALSE)</f>
        <v>Strang</v>
      </c>
      <c r="C1542" s="22">
        <f>VLOOKUP($A1542,'Medical Examinations'!$A:$D, 2, FALSE)</f>
        <v>20.69</v>
      </c>
      <c r="D1542" s="22">
        <f>VLOOKUP($A1542, 'Medical Examinations'!$A:$D,3, FALSE)</f>
        <v>6.93</v>
      </c>
      <c r="E1542" s="22" t="str">
        <f>VLOOKUP($A1542, 'Medical Examinations'!$A:$D, 4, FALSE)</f>
        <v>No</v>
      </c>
      <c r="F1542" s="22" t="str">
        <f>VLOOKUP($A1542, 'Medical Examinations'!$A:$J, 5, FALSE)</f>
        <v>No</v>
      </c>
      <c r="G1542" s="22" t="str">
        <f>VLOOKUP($A1542, 'Medical Examinations'!$A:$I, 6, FALSE)</f>
        <v>No</v>
      </c>
      <c r="H1542" s="22">
        <f>VLOOKUP($A1542,'Medical Examinations'!$A:$L,10, FALSE)</f>
        <v>2</v>
      </c>
      <c r="I1542" s="22" t="str">
        <f>VLOOKUP($A1542, 'Medical Examinations'!$A:$J, 9, FALSE)</f>
        <v>No</v>
      </c>
      <c r="J1542" s="22" t="str">
        <f>VLOOKUP($A1542, 'Medical Examinations'!$A:$P, 11, FALSE)</f>
        <v>NORMAL WEIGHT</v>
      </c>
      <c r="K1542" s="34">
        <v>26610.0</v>
      </c>
      <c r="L1542" s="35">
        <f>VLOOKUP($A1542, 'Hospitalisation Details'!$A:$H, 7, FALSE)</f>
        <v>6630.31</v>
      </c>
      <c r="M1542" s="22" t="str">
        <f>VLOOKUP($A1542, 'Hospitalisation Details'!$A:$L, 12, FALSE)</f>
        <v>tier - 2</v>
      </c>
      <c r="N1542" s="22" t="str">
        <f>VLOOKUP($A1542, 'Hospitalisation Details'!$A:$M, 13, FALSE)</f>
        <v>tier - 1</v>
      </c>
      <c r="O1542" s="22" t="str">
        <f>VLOOKUP($A1542, 'Hospitalisation Details'!$A:$N, 14, FALSE)</f>
        <v>R1013</v>
      </c>
      <c r="P1542" s="36">
        <f>VLOOKUP($A1542, 'Hospitalisation Details'!$A:$O, 15, FALSE)</f>
        <v>49</v>
      </c>
    </row>
    <row r="1543" ht="15.75" customHeight="1">
      <c r="A1543" s="33" t="s">
        <v>3085</v>
      </c>
      <c r="B1543" s="22" t="str">
        <f>VLOOKUP($A1543,'Customer Names'!$A:$D,3, FALSE)</f>
        <v>Frank</v>
      </c>
      <c r="C1543" s="22">
        <f>VLOOKUP($A1543,'Medical Examinations'!$A:$D, 2, FALSE)</f>
        <v>41.23</v>
      </c>
      <c r="D1543" s="22">
        <f>VLOOKUP($A1543, 'Medical Examinations'!$A:$D,3, FALSE)</f>
        <v>4.24</v>
      </c>
      <c r="E1543" s="22" t="str">
        <f>VLOOKUP($A1543, 'Medical Examinations'!$A:$D, 4, FALSE)</f>
        <v>No</v>
      </c>
      <c r="F1543" s="22" t="str">
        <f>VLOOKUP($A1543, 'Medical Examinations'!$A:$J, 5, FALSE)</f>
        <v>No</v>
      </c>
      <c r="G1543" s="22" t="str">
        <f>VLOOKUP($A1543, 'Medical Examinations'!$A:$I, 6, FALSE)</f>
        <v>No</v>
      </c>
      <c r="H1543" s="22">
        <f>VLOOKUP($A1543,'Medical Examinations'!$A:$L,10, FALSE)</f>
        <v>0</v>
      </c>
      <c r="I1543" s="22" t="str">
        <f>VLOOKUP($A1543, 'Medical Examinations'!$A:$J, 9, FALSE)</f>
        <v>No</v>
      </c>
      <c r="J1543" s="22" t="str">
        <f>VLOOKUP($A1543, 'Medical Examinations'!$A:$P, 11, FALSE)</f>
        <v>OBESITY</v>
      </c>
      <c r="K1543" s="34">
        <v>27369.0</v>
      </c>
      <c r="L1543" s="35">
        <f>VLOOKUP($A1543, 'Hospitalisation Details'!$A:$H, 7, FALSE)</f>
        <v>6610.11</v>
      </c>
      <c r="M1543" s="22" t="str">
        <f>VLOOKUP($A1543, 'Hospitalisation Details'!$A:$L, 12, FALSE)</f>
        <v>tier - 3</v>
      </c>
      <c r="N1543" s="22" t="str">
        <f>VLOOKUP($A1543, 'Hospitalisation Details'!$A:$M, 13, FALSE)</f>
        <v>tier - 2</v>
      </c>
      <c r="O1543" s="22" t="str">
        <f>VLOOKUP($A1543, 'Hospitalisation Details'!$A:$N, 14, FALSE)</f>
        <v>R1015</v>
      </c>
      <c r="P1543" s="36">
        <f>VLOOKUP($A1543, 'Hospitalisation Details'!$A:$O, 15, FALSE)</f>
        <v>40</v>
      </c>
    </row>
    <row r="1544" ht="15.75" customHeight="1">
      <c r="A1544" s="33" t="s">
        <v>3087</v>
      </c>
      <c r="B1544" s="22" t="str">
        <f>VLOOKUP($A1544,'Customer Names'!$A:$D,3, FALSE)</f>
        <v>Shanley</v>
      </c>
      <c r="C1544" s="22">
        <f>VLOOKUP($A1544,'Medical Examinations'!$A:$D, 2, FALSE)</f>
        <v>29.9</v>
      </c>
      <c r="D1544" s="22">
        <f>VLOOKUP($A1544, 'Medical Examinations'!$A:$D,3, FALSE)</f>
        <v>5.91</v>
      </c>
      <c r="E1544" s="22" t="str">
        <f>VLOOKUP($A1544, 'Medical Examinations'!$A:$D, 4, FALSE)</f>
        <v>No</v>
      </c>
      <c r="F1544" s="22" t="str">
        <f>VLOOKUP($A1544, 'Medical Examinations'!$A:$J, 5, FALSE)</f>
        <v>No</v>
      </c>
      <c r="G1544" s="22" t="str">
        <f>VLOOKUP($A1544, 'Medical Examinations'!$A:$I, 6, FALSE)</f>
        <v>No</v>
      </c>
      <c r="H1544" s="22">
        <f>VLOOKUP($A1544,'Medical Examinations'!$A:$L,10, FALSE)</f>
        <v>0</v>
      </c>
      <c r="I1544" s="22" t="str">
        <f>VLOOKUP($A1544, 'Medical Examinations'!$A:$J, 9, FALSE)</f>
        <v>No</v>
      </c>
      <c r="J1544" s="22" t="str">
        <f>VLOOKUP($A1544, 'Medical Examinations'!$A:$P, 11, FALSE)</f>
        <v>OBESITY</v>
      </c>
      <c r="K1544" s="34">
        <v>33063.0</v>
      </c>
      <c r="L1544" s="35">
        <f>VLOOKUP($A1544, 'Hospitalisation Details'!$A:$H, 7, FALSE)</f>
        <v>6600.36</v>
      </c>
      <c r="M1544" s="22" t="str">
        <f>VLOOKUP($A1544, 'Hospitalisation Details'!$A:$L, 12, FALSE)</f>
        <v>tier - 2</v>
      </c>
      <c r="N1544" s="22" t="str">
        <f>VLOOKUP($A1544, 'Hospitalisation Details'!$A:$M, 13, FALSE)</f>
        <v>tier - 3</v>
      </c>
      <c r="O1544" s="22" t="str">
        <f>VLOOKUP($A1544, 'Hospitalisation Details'!$A:$N, 14, FALSE)</f>
        <v>R1011</v>
      </c>
      <c r="P1544" s="36">
        <f>VLOOKUP($A1544, 'Hospitalisation Details'!$A:$O, 15, FALSE)</f>
        <v>40</v>
      </c>
    </row>
    <row r="1545" ht="15.75" customHeight="1">
      <c r="A1545" s="33" t="s">
        <v>3089</v>
      </c>
      <c r="B1545" s="22" t="str">
        <f>VLOOKUP($A1545,'Customer Names'!$A:$D,3, FALSE)</f>
        <v>Manceb</v>
      </c>
      <c r="C1545" s="22">
        <f>VLOOKUP($A1545,'Medical Examinations'!$A:$D, 2, FALSE)</f>
        <v>34.105</v>
      </c>
      <c r="D1545" s="22">
        <f>VLOOKUP($A1545, 'Medical Examinations'!$A:$D,3, FALSE)</f>
        <v>5.93</v>
      </c>
      <c r="E1545" s="22" t="str">
        <f>VLOOKUP($A1545, 'Medical Examinations'!$A:$D, 4, FALSE)</f>
        <v>No</v>
      </c>
      <c r="F1545" s="22" t="str">
        <f>VLOOKUP($A1545, 'Medical Examinations'!$A:$J, 5, FALSE)</f>
        <v>No</v>
      </c>
      <c r="G1545" s="22" t="str">
        <f>VLOOKUP($A1545, 'Medical Examinations'!$A:$I, 6, FALSE)</f>
        <v>No</v>
      </c>
      <c r="H1545" s="22">
        <f>VLOOKUP($A1545,'Medical Examinations'!$A:$L,10, FALSE)</f>
        <v>0</v>
      </c>
      <c r="I1545" s="22" t="str">
        <f>VLOOKUP($A1545, 'Medical Examinations'!$A:$J, 9, FALSE)</f>
        <v>No</v>
      </c>
      <c r="J1545" s="22" t="str">
        <f>VLOOKUP($A1545, 'Medical Examinations'!$A:$P, 11, FALSE)</f>
        <v>OBESITY</v>
      </c>
      <c r="K1545" s="34">
        <v>25377.0</v>
      </c>
      <c r="L1545" s="35">
        <f>VLOOKUP($A1545, 'Hospitalisation Details'!$A:$H, 7, FALSE)</f>
        <v>6600.21</v>
      </c>
      <c r="M1545" s="22" t="str">
        <f>VLOOKUP($A1545, 'Hospitalisation Details'!$A:$L, 12, FALSE)</f>
        <v>tier - 3</v>
      </c>
      <c r="N1545" s="22" t="str">
        <f>VLOOKUP($A1545, 'Hospitalisation Details'!$A:$M, 13, FALSE)</f>
        <v>tier - 2</v>
      </c>
      <c r="O1545" s="22" t="str">
        <f>VLOOKUP($A1545, 'Hospitalisation Details'!$A:$N, 14, FALSE)</f>
        <v>R1016</v>
      </c>
      <c r="P1545" s="36">
        <f>VLOOKUP($A1545, 'Hospitalisation Details'!$A:$O, 15, FALSE)</f>
        <v>40</v>
      </c>
    </row>
    <row r="1546" ht="15.75" customHeight="1">
      <c r="A1546" s="33" t="s">
        <v>3091</v>
      </c>
      <c r="B1546" s="22" t="str">
        <f>VLOOKUP($A1546,'Customer Names'!$A:$D,3, FALSE)</f>
        <v>Keehan</v>
      </c>
      <c r="C1546" s="22">
        <f>VLOOKUP($A1546,'Medical Examinations'!$A:$D, 2, FALSE)</f>
        <v>24.97</v>
      </c>
      <c r="D1546" s="22">
        <f>VLOOKUP($A1546, 'Medical Examinations'!$A:$D,3, FALSE)</f>
        <v>5.66</v>
      </c>
      <c r="E1546" s="22" t="str">
        <f>VLOOKUP($A1546, 'Medical Examinations'!$A:$D, 4, FALSE)</f>
        <v>No</v>
      </c>
      <c r="F1546" s="22" t="str">
        <f>VLOOKUP($A1546, 'Medical Examinations'!$A:$J, 5, FALSE)</f>
        <v>No</v>
      </c>
      <c r="G1546" s="22" t="str">
        <f>VLOOKUP($A1546, 'Medical Examinations'!$A:$I, 6, FALSE)</f>
        <v>No</v>
      </c>
      <c r="H1546" s="22">
        <f>VLOOKUP($A1546,'Medical Examinations'!$A:$L,10, FALSE)</f>
        <v>0</v>
      </c>
      <c r="I1546" s="22" t="str">
        <f>VLOOKUP($A1546, 'Medical Examinations'!$A:$J, 9, FALSE)</f>
        <v>No</v>
      </c>
      <c r="J1546" s="22" t="str">
        <f>VLOOKUP($A1546, 'Medical Examinations'!$A:$P, 11, FALSE)</f>
        <v>NORMAL WEIGHT</v>
      </c>
      <c r="K1546" s="34">
        <v>33146.0</v>
      </c>
      <c r="L1546" s="35">
        <f>VLOOKUP($A1546, 'Hospitalisation Details'!$A:$H, 7, FALSE)</f>
        <v>6593.51</v>
      </c>
      <c r="M1546" s="22" t="str">
        <f>VLOOKUP($A1546, 'Hospitalisation Details'!$A:$L, 12, FALSE)</f>
        <v>tier - 2</v>
      </c>
      <c r="N1546" s="22" t="str">
        <f>VLOOKUP($A1546, 'Hospitalisation Details'!$A:$M, 13, FALSE)</f>
        <v>tier - 1</v>
      </c>
      <c r="O1546" s="22" t="str">
        <f>VLOOKUP($A1546, 'Hospitalisation Details'!$A:$N, 14, FALSE)</f>
        <v>R1013</v>
      </c>
      <c r="P1546" s="36">
        <f>VLOOKUP($A1546, 'Hospitalisation Details'!$A:$O, 15, FALSE)</f>
        <v>40</v>
      </c>
    </row>
    <row r="1547" ht="15.75" customHeight="1">
      <c r="A1547" s="33" t="s">
        <v>3093</v>
      </c>
      <c r="B1547" s="22" t="str">
        <f>VLOOKUP($A1547,'Customer Names'!$A:$D,3, FALSE)</f>
        <v>Mahaney</v>
      </c>
      <c r="C1547" s="22">
        <f>VLOOKUP($A1547,'Medical Examinations'!$A:$D, 2, FALSE)</f>
        <v>34.8</v>
      </c>
      <c r="D1547" s="22">
        <f>VLOOKUP($A1547, 'Medical Examinations'!$A:$D,3, FALSE)</f>
        <v>4.19</v>
      </c>
      <c r="E1547" s="22" t="str">
        <f>VLOOKUP($A1547, 'Medical Examinations'!$A:$D, 4, FALSE)</f>
        <v>No</v>
      </c>
      <c r="F1547" s="22" t="str">
        <f>VLOOKUP($A1547, 'Medical Examinations'!$A:$J, 5, FALSE)</f>
        <v>No</v>
      </c>
      <c r="G1547" s="22" t="str">
        <f>VLOOKUP($A1547, 'Medical Examinations'!$A:$I, 6, FALSE)</f>
        <v>No</v>
      </c>
      <c r="H1547" s="22">
        <f>VLOOKUP($A1547,'Medical Examinations'!$A:$L,10, FALSE)</f>
        <v>1</v>
      </c>
      <c r="I1547" s="22" t="str">
        <f>VLOOKUP($A1547, 'Medical Examinations'!$A:$J, 9, FALSE)</f>
        <v>No</v>
      </c>
      <c r="J1547" s="22" t="str">
        <f>VLOOKUP($A1547, 'Medical Examinations'!$A:$P, 11, FALSE)</f>
        <v>OBESITY</v>
      </c>
      <c r="K1547" s="34">
        <v>25143.0</v>
      </c>
      <c r="L1547" s="35">
        <f>VLOOKUP($A1547, 'Hospitalisation Details'!$A:$H, 7, FALSE)</f>
        <v>6571.54</v>
      </c>
      <c r="M1547" s="22" t="str">
        <f>VLOOKUP($A1547, 'Hospitalisation Details'!$A:$L, 12, FALSE)</f>
        <v>tier - 2</v>
      </c>
      <c r="N1547" s="22" t="str">
        <f>VLOOKUP($A1547, 'Hospitalisation Details'!$A:$M, 13, FALSE)</f>
        <v>tier - 3</v>
      </c>
      <c r="O1547" s="22" t="str">
        <f>VLOOKUP($A1547, 'Hospitalisation Details'!$A:$N, 14, FALSE)</f>
        <v>R1011</v>
      </c>
      <c r="P1547" s="36">
        <f>VLOOKUP($A1547, 'Hospitalisation Details'!$A:$O, 15, FALSE)</f>
        <v>38</v>
      </c>
    </row>
    <row r="1548" ht="15.75" customHeight="1">
      <c r="A1548" s="33" t="s">
        <v>3095</v>
      </c>
      <c r="B1548" s="22" t="str">
        <f>VLOOKUP($A1548,'Customer Names'!$A:$D,3, FALSE)</f>
        <v>Nolan</v>
      </c>
      <c r="C1548" s="22">
        <f>VLOOKUP($A1548,'Medical Examinations'!$A:$D, 2, FALSE)</f>
        <v>32.965</v>
      </c>
      <c r="D1548" s="22">
        <f>VLOOKUP($A1548, 'Medical Examinations'!$A:$D,3, FALSE)</f>
        <v>9.21</v>
      </c>
      <c r="E1548" s="22" t="str">
        <f>VLOOKUP($A1548, 'Medical Examinations'!$A:$D, 4, FALSE)</f>
        <v>Yes</v>
      </c>
      <c r="F1548" s="22" t="str">
        <f>VLOOKUP($A1548, 'Medical Examinations'!$A:$J, 5, FALSE)</f>
        <v>No</v>
      </c>
      <c r="G1548" s="22" t="str">
        <f>VLOOKUP($A1548, 'Medical Examinations'!$A:$I, 6, FALSE)</f>
        <v>No</v>
      </c>
      <c r="H1548" s="22">
        <f>VLOOKUP($A1548,'Medical Examinations'!$A:$L,10, FALSE)</f>
        <v>0</v>
      </c>
      <c r="I1548" s="22" t="str">
        <f>VLOOKUP($A1548, 'Medical Examinations'!$A:$J, 9, FALSE)</f>
        <v>No</v>
      </c>
      <c r="J1548" s="22" t="str">
        <f>VLOOKUP($A1548, 'Medical Examinations'!$A:$P, 11, FALSE)</f>
        <v>OBESITY</v>
      </c>
      <c r="K1548" s="34">
        <v>33067.0</v>
      </c>
      <c r="L1548" s="35">
        <f>VLOOKUP($A1548, 'Hospitalisation Details'!$A:$H, 7, FALSE)</f>
        <v>6571.02</v>
      </c>
      <c r="M1548" s="22" t="str">
        <f>VLOOKUP($A1548, 'Hospitalisation Details'!$A:$L, 12, FALSE)</f>
        <v>tier - 2</v>
      </c>
      <c r="N1548" s="22" t="str">
        <f>VLOOKUP($A1548, 'Hospitalisation Details'!$A:$M, 13, FALSE)</f>
        <v>tier - 1</v>
      </c>
      <c r="O1548" s="22" t="str">
        <f>VLOOKUP($A1548, 'Hospitalisation Details'!$A:$N, 14, FALSE)</f>
        <v>R1012</v>
      </c>
      <c r="P1548" s="36">
        <f>VLOOKUP($A1548, 'Hospitalisation Details'!$A:$O, 15, FALSE)</f>
        <v>41</v>
      </c>
    </row>
    <row r="1549" ht="15.75" customHeight="1">
      <c r="A1549" s="33" t="s">
        <v>3097</v>
      </c>
      <c r="B1549" s="22" t="str">
        <f>VLOOKUP($A1549,'Customer Names'!$A:$D,3, FALSE)</f>
        <v>Sobrino</v>
      </c>
      <c r="C1549" s="22">
        <f>VLOOKUP($A1549,'Medical Examinations'!$A:$D, 2, FALSE)</f>
        <v>27.265</v>
      </c>
      <c r="D1549" s="22">
        <f>VLOOKUP($A1549, 'Medical Examinations'!$A:$D,3, FALSE)</f>
        <v>5.51</v>
      </c>
      <c r="E1549" s="22" t="str">
        <f>VLOOKUP($A1549, 'Medical Examinations'!$A:$D, 4, FALSE)</f>
        <v>No</v>
      </c>
      <c r="F1549" s="22" t="str">
        <f>VLOOKUP($A1549, 'Medical Examinations'!$A:$J, 5, FALSE)</f>
        <v>No</v>
      </c>
      <c r="G1549" s="22" t="str">
        <f>VLOOKUP($A1549, 'Medical Examinations'!$A:$I, 6, FALSE)</f>
        <v>No</v>
      </c>
      <c r="H1549" s="22">
        <f>VLOOKUP($A1549,'Medical Examinations'!$A:$L,10, FALSE)</f>
        <v>1</v>
      </c>
      <c r="I1549" s="22" t="str">
        <f>VLOOKUP($A1549, 'Medical Examinations'!$A:$J, 9, FALSE)</f>
        <v>No</v>
      </c>
      <c r="J1549" s="22" t="str">
        <f>VLOOKUP($A1549, 'Medical Examinations'!$A:$P, 11, FALSE)</f>
        <v>OVERWEIGHT</v>
      </c>
      <c r="K1549" s="34">
        <v>37902.0</v>
      </c>
      <c r="L1549" s="35">
        <f>VLOOKUP($A1549, 'Hospitalisation Details'!$A:$H, 7, FALSE)</f>
        <v>6555.07</v>
      </c>
      <c r="M1549" s="22" t="str">
        <f>VLOOKUP($A1549, 'Hospitalisation Details'!$A:$L, 12, FALSE)</f>
        <v>tier - 2</v>
      </c>
      <c r="N1549" s="22" t="str">
        <f>VLOOKUP($A1549, 'Hospitalisation Details'!$A:$M, 13, FALSE)</f>
        <v>tier - 2</v>
      </c>
      <c r="O1549" s="22" t="str">
        <f>VLOOKUP($A1549, 'Hospitalisation Details'!$A:$N, 14, FALSE)</f>
        <v>R1024</v>
      </c>
      <c r="P1549" s="36">
        <f>VLOOKUP($A1549, 'Hospitalisation Details'!$A:$O, 15, FALSE)</f>
        <v>38</v>
      </c>
    </row>
    <row r="1550" ht="15.75" customHeight="1">
      <c r="A1550" s="33" t="s">
        <v>3099</v>
      </c>
      <c r="B1550" s="22" t="str">
        <f>VLOOKUP($A1550,'Customer Names'!$A:$D,3, FALSE)</f>
        <v>Gennaro</v>
      </c>
      <c r="C1550" s="22">
        <f>VLOOKUP($A1550,'Medical Examinations'!$A:$D, 2, FALSE)</f>
        <v>17.06</v>
      </c>
      <c r="D1550" s="22">
        <f>VLOOKUP($A1550, 'Medical Examinations'!$A:$D,3, FALSE)</f>
        <v>8.5</v>
      </c>
      <c r="E1550" s="22" t="str">
        <f>VLOOKUP($A1550, 'Medical Examinations'!$A:$D, 4, FALSE)</f>
        <v>No</v>
      </c>
      <c r="F1550" s="22" t="str">
        <f>VLOOKUP($A1550, 'Medical Examinations'!$A:$J, 5, FALSE)</f>
        <v>No</v>
      </c>
      <c r="G1550" s="22" t="str">
        <f>VLOOKUP($A1550, 'Medical Examinations'!$A:$I, 6, FALSE)</f>
        <v>No</v>
      </c>
      <c r="H1550" s="22">
        <f>VLOOKUP($A1550,'Medical Examinations'!$A:$L,10, FALSE)</f>
        <v>0</v>
      </c>
      <c r="I1550" s="22" t="str">
        <f>VLOOKUP($A1550, 'Medical Examinations'!$A:$J, 9, FALSE)</f>
        <v>No</v>
      </c>
      <c r="J1550" s="22" t="str">
        <f>VLOOKUP($A1550, 'Medical Examinations'!$A:$P, 11, FALSE)</f>
        <v>UNDERWEIGHT</v>
      </c>
      <c r="K1550" s="34">
        <v>28022.0</v>
      </c>
      <c r="L1550" s="35">
        <f>VLOOKUP($A1550, 'Hospitalisation Details'!$A:$H, 7, FALSE)</f>
        <v>6552.01</v>
      </c>
      <c r="M1550" s="22" t="str">
        <f>VLOOKUP($A1550, 'Hospitalisation Details'!$A:$L, 12, FALSE)</f>
        <v>tier - 3</v>
      </c>
      <c r="N1550" s="22" t="str">
        <f>VLOOKUP($A1550, 'Hospitalisation Details'!$A:$M, 13, FALSE)</f>
        <v>tier - 2</v>
      </c>
      <c r="O1550" s="22" t="str">
        <f>VLOOKUP($A1550, 'Hospitalisation Details'!$A:$N, 14, FALSE)</f>
        <v>R1013</v>
      </c>
      <c r="P1550" s="36">
        <f>VLOOKUP($A1550, 'Hospitalisation Details'!$A:$O, 15, FALSE)</f>
        <v>54</v>
      </c>
    </row>
    <row r="1551" ht="15.75" customHeight="1">
      <c r="A1551" s="33" t="s">
        <v>3101</v>
      </c>
      <c r="B1551" s="22" t="str">
        <f>VLOOKUP($A1551,'Customer Names'!$A:$D,3, FALSE)</f>
        <v>Mayer</v>
      </c>
      <c r="C1551" s="22">
        <f>VLOOKUP($A1551,'Medical Examinations'!$A:$D, 2, FALSE)</f>
        <v>36.29</v>
      </c>
      <c r="D1551" s="22">
        <f>VLOOKUP($A1551, 'Medical Examinations'!$A:$D,3, FALSE)</f>
        <v>6.23</v>
      </c>
      <c r="E1551" s="22" t="str">
        <f>VLOOKUP($A1551, 'Medical Examinations'!$A:$D, 4, FALSE)</f>
        <v>No</v>
      </c>
      <c r="F1551" s="22" t="str">
        <f>VLOOKUP($A1551, 'Medical Examinations'!$A:$J, 5, FALSE)</f>
        <v>No</v>
      </c>
      <c r="G1551" s="22" t="str">
        <f>VLOOKUP($A1551, 'Medical Examinations'!$A:$I, 6, FALSE)</f>
        <v>No</v>
      </c>
      <c r="H1551" s="22">
        <f>VLOOKUP($A1551,'Medical Examinations'!$A:$L,10, FALSE)</f>
        <v>0</v>
      </c>
      <c r="I1551" s="22" t="str">
        <f>VLOOKUP($A1551, 'Medical Examinations'!$A:$J, 9, FALSE)</f>
        <v>No</v>
      </c>
      <c r="J1551" s="22" t="str">
        <f>VLOOKUP($A1551, 'Medical Examinations'!$A:$P, 11, FALSE)</f>
        <v>OBESITY</v>
      </c>
      <c r="K1551" s="34">
        <v>29856.0</v>
      </c>
      <c r="L1551" s="35">
        <f>VLOOKUP($A1551, 'Hospitalisation Details'!$A:$H, 7, FALSE)</f>
        <v>6551.75</v>
      </c>
      <c r="M1551" s="22" t="str">
        <f>VLOOKUP($A1551, 'Hospitalisation Details'!$A:$L, 12, FALSE)</f>
        <v>tier - 2</v>
      </c>
      <c r="N1551" s="22" t="str">
        <f>VLOOKUP($A1551, 'Hospitalisation Details'!$A:$M, 13, FALSE)</f>
        <v>tier - 2</v>
      </c>
      <c r="O1551" s="22" t="str">
        <f>VLOOKUP($A1551, 'Hospitalisation Details'!$A:$N, 14, FALSE)</f>
        <v>R1024</v>
      </c>
      <c r="P1551" s="36">
        <f>VLOOKUP($A1551, 'Hospitalisation Details'!$A:$O, 15, FALSE)</f>
        <v>33</v>
      </c>
    </row>
    <row r="1552" ht="15.75" customHeight="1">
      <c r="A1552" s="33" t="s">
        <v>3103</v>
      </c>
      <c r="B1552" s="22" t="str">
        <f>VLOOKUP($A1552,'Customer Names'!$A:$D,3, FALSE)</f>
        <v>Becker</v>
      </c>
      <c r="C1552" s="22">
        <f>VLOOKUP($A1552,'Medical Examinations'!$A:$D, 2, FALSE)</f>
        <v>28.595</v>
      </c>
      <c r="D1552" s="22">
        <f>VLOOKUP($A1552, 'Medical Examinations'!$A:$D,3, FALSE)</f>
        <v>8.53</v>
      </c>
      <c r="E1552" s="22" t="str">
        <f>VLOOKUP($A1552, 'Medical Examinations'!$A:$D, 4, FALSE)</f>
        <v>Yes</v>
      </c>
      <c r="F1552" s="22" t="str">
        <f>VLOOKUP($A1552, 'Medical Examinations'!$A:$J, 5, FALSE)</f>
        <v>No</v>
      </c>
      <c r="G1552" s="22" t="str">
        <f>VLOOKUP($A1552, 'Medical Examinations'!$A:$I, 6, FALSE)</f>
        <v>No</v>
      </c>
      <c r="H1552" s="22">
        <f>VLOOKUP($A1552,'Medical Examinations'!$A:$L,10, FALSE)</f>
        <v>1</v>
      </c>
      <c r="I1552" s="22" t="str">
        <f>VLOOKUP($A1552, 'Medical Examinations'!$A:$J, 9, FALSE)</f>
        <v>No</v>
      </c>
      <c r="J1552" s="22" t="str">
        <f>VLOOKUP($A1552, 'Medical Examinations'!$A:$P, 11, FALSE)</f>
        <v>OVERWEIGHT</v>
      </c>
      <c r="K1552" s="34">
        <v>27981.0</v>
      </c>
      <c r="L1552" s="35">
        <f>VLOOKUP($A1552, 'Hospitalisation Details'!$A:$H, 7, FALSE)</f>
        <v>6548.2</v>
      </c>
      <c r="M1552" s="22" t="str">
        <f>VLOOKUP($A1552, 'Hospitalisation Details'!$A:$L, 12, FALSE)</f>
        <v>tier - 2</v>
      </c>
      <c r="N1552" s="22" t="str">
        <f>VLOOKUP($A1552, 'Hospitalisation Details'!$A:$M, 13, FALSE)</f>
        <v>tier - 3</v>
      </c>
      <c r="O1552" s="22" t="str">
        <f>VLOOKUP($A1552, 'Hospitalisation Details'!$A:$N, 14, FALSE)</f>
        <v>R1012</v>
      </c>
      <c r="P1552" s="36">
        <f>VLOOKUP($A1552, 'Hospitalisation Details'!$A:$O, 15, FALSE)</f>
        <v>36</v>
      </c>
    </row>
    <row r="1553" ht="15.75" customHeight="1">
      <c r="A1553" s="33" t="s">
        <v>3105</v>
      </c>
      <c r="B1553" s="22" t="str">
        <f>VLOOKUP($A1553,'Customer Names'!$A:$D,3, FALSE)</f>
        <v>Moore</v>
      </c>
      <c r="C1553" s="22">
        <f>VLOOKUP($A1553,'Medical Examinations'!$A:$D, 2, FALSE)</f>
        <v>17.8</v>
      </c>
      <c r="D1553" s="22">
        <f>VLOOKUP($A1553, 'Medical Examinations'!$A:$D,3, FALSE)</f>
        <v>5.75</v>
      </c>
      <c r="E1553" s="22" t="str">
        <f>VLOOKUP($A1553, 'Medical Examinations'!$A:$D, 4, FALSE)</f>
        <v>Yes</v>
      </c>
      <c r="F1553" s="22" t="str">
        <f>VLOOKUP($A1553, 'Medical Examinations'!$A:$J, 5, FALSE)</f>
        <v>No</v>
      </c>
      <c r="G1553" s="22" t="str">
        <f>VLOOKUP($A1553, 'Medical Examinations'!$A:$I, 6, FALSE)</f>
        <v>Yes</v>
      </c>
      <c r="H1553" s="22">
        <f>VLOOKUP($A1553,'Medical Examinations'!$A:$L,10, FALSE)</f>
        <v>1</v>
      </c>
      <c r="I1553" s="22" t="str">
        <f>VLOOKUP($A1553, 'Medical Examinations'!$A:$J, 9, FALSE)</f>
        <v>No</v>
      </c>
      <c r="J1553" s="22" t="str">
        <f>VLOOKUP($A1553, 'Medical Examinations'!$A:$P, 11, FALSE)</f>
        <v>UNDERWEIGHT</v>
      </c>
      <c r="K1553" s="34">
        <v>26591.0</v>
      </c>
      <c r="L1553" s="35">
        <f>VLOOKUP($A1553, 'Hospitalisation Details'!$A:$H, 7, FALSE)</f>
        <v>6546.16</v>
      </c>
      <c r="M1553" s="22" t="str">
        <f>VLOOKUP($A1553, 'Hospitalisation Details'!$A:$L, 12, FALSE)</f>
        <v>tier - 2</v>
      </c>
      <c r="N1553" s="22" t="str">
        <f>VLOOKUP($A1553, 'Hospitalisation Details'!$A:$M, 13, FALSE)</f>
        <v>tier - 3</v>
      </c>
      <c r="O1553" s="22" t="str">
        <f>VLOOKUP($A1553, 'Hospitalisation Details'!$A:$N, 14, FALSE)</f>
        <v>R1013</v>
      </c>
      <c r="P1553" s="36">
        <f>VLOOKUP($A1553, 'Hospitalisation Details'!$A:$O, 15, FALSE)</f>
        <v>53</v>
      </c>
    </row>
    <row r="1554" ht="15.75" customHeight="1">
      <c r="A1554" s="33" t="s">
        <v>3107</v>
      </c>
      <c r="B1554" s="22" t="str">
        <f>VLOOKUP($A1554,'Customer Names'!$A:$D,3, FALSE)</f>
        <v>Platt</v>
      </c>
      <c r="C1554" s="22">
        <f>VLOOKUP($A1554,'Medical Examinations'!$A:$D, 2, FALSE)</f>
        <v>21.4</v>
      </c>
      <c r="D1554" s="22">
        <f>VLOOKUP($A1554, 'Medical Examinations'!$A:$D,3, FALSE)</f>
        <v>5.6</v>
      </c>
      <c r="E1554" s="22" t="str">
        <f>VLOOKUP($A1554, 'Medical Examinations'!$A:$D, 4, FALSE)</f>
        <v>No</v>
      </c>
      <c r="F1554" s="22" t="str">
        <f>VLOOKUP($A1554, 'Medical Examinations'!$A:$J, 5, FALSE)</f>
        <v>No</v>
      </c>
      <c r="G1554" s="22" t="str">
        <f>VLOOKUP($A1554, 'Medical Examinations'!$A:$I, 6, FALSE)</f>
        <v>No</v>
      </c>
      <c r="H1554" s="22">
        <f>VLOOKUP($A1554,'Medical Examinations'!$A:$L,10, FALSE)</f>
        <v>0</v>
      </c>
      <c r="I1554" s="22" t="str">
        <f>VLOOKUP($A1554, 'Medical Examinations'!$A:$J, 9, FALSE)</f>
        <v>No</v>
      </c>
      <c r="J1554" s="22" t="str">
        <f>VLOOKUP($A1554, 'Medical Examinations'!$A:$P, 11, FALSE)</f>
        <v>NORMAL WEIGHT</v>
      </c>
      <c r="K1554" s="34">
        <v>31748.0</v>
      </c>
      <c r="L1554" s="35">
        <f>VLOOKUP($A1554, 'Hospitalisation Details'!$A:$H, 7, FALSE)</f>
        <v>6536.68</v>
      </c>
      <c r="M1554" s="22" t="str">
        <f>VLOOKUP($A1554, 'Hospitalisation Details'!$A:$L, 12, FALSE)</f>
        <v>tier - 2</v>
      </c>
      <c r="N1554" s="22" t="str">
        <f>VLOOKUP($A1554, 'Hospitalisation Details'!$A:$M, 13, FALSE)</f>
        <v>tier - 2</v>
      </c>
      <c r="O1554" s="22" t="str">
        <f>VLOOKUP($A1554, 'Hospitalisation Details'!$A:$N, 14, FALSE)</f>
        <v>R1012</v>
      </c>
      <c r="P1554" s="36">
        <f>VLOOKUP($A1554, 'Hospitalisation Details'!$A:$O, 15, FALSE)</f>
        <v>40</v>
      </c>
    </row>
    <row r="1555" ht="15.75" customHeight="1">
      <c r="A1555" s="33" t="s">
        <v>3109</v>
      </c>
      <c r="B1555" s="22" t="str">
        <f>VLOOKUP($A1555,'Customer Names'!$A:$D,3, FALSE)</f>
        <v>Brodeur</v>
      </c>
      <c r="C1555" s="22">
        <f>VLOOKUP($A1555,'Medical Examinations'!$A:$D, 2, FALSE)</f>
        <v>23.01</v>
      </c>
      <c r="D1555" s="22">
        <f>VLOOKUP($A1555, 'Medical Examinations'!$A:$D,3, FALSE)</f>
        <v>4.68</v>
      </c>
      <c r="E1555" s="22" t="str">
        <f>VLOOKUP($A1555, 'Medical Examinations'!$A:$D, 4, FALSE)</f>
        <v>No</v>
      </c>
      <c r="F1555" s="22" t="str">
        <f>VLOOKUP($A1555, 'Medical Examinations'!$A:$J, 5, FALSE)</f>
        <v>No</v>
      </c>
      <c r="G1555" s="22" t="str">
        <f>VLOOKUP($A1555, 'Medical Examinations'!$A:$I, 6, FALSE)</f>
        <v>No</v>
      </c>
      <c r="H1555" s="22">
        <f>VLOOKUP($A1555,'Medical Examinations'!$A:$L,10, FALSE)</f>
        <v>0</v>
      </c>
      <c r="I1555" s="22" t="str">
        <f>VLOOKUP($A1555, 'Medical Examinations'!$A:$J, 9, FALSE)</f>
        <v>No</v>
      </c>
      <c r="J1555" s="22" t="str">
        <f>VLOOKUP($A1555, 'Medical Examinations'!$A:$P, 11, FALSE)</f>
        <v>NORMAL WEIGHT</v>
      </c>
      <c r="K1555" s="34">
        <v>27745.0</v>
      </c>
      <c r="L1555" s="35">
        <f>VLOOKUP($A1555, 'Hospitalisation Details'!$A:$H, 7, FALSE)</f>
        <v>6532.04</v>
      </c>
      <c r="M1555" s="22" t="str">
        <f>VLOOKUP($A1555, 'Hospitalisation Details'!$A:$L, 12, FALSE)</f>
        <v>tier - 2</v>
      </c>
      <c r="N1555" s="22" t="str">
        <f>VLOOKUP($A1555, 'Hospitalisation Details'!$A:$M, 13, FALSE)</f>
        <v>tier - 1</v>
      </c>
      <c r="O1555" s="22" t="str">
        <f>VLOOKUP($A1555, 'Hospitalisation Details'!$A:$N, 14, FALSE)</f>
        <v>R1013</v>
      </c>
      <c r="P1555" s="36">
        <f>VLOOKUP($A1555, 'Hospitalisation Details'!$A:$O, 15, FALSE)</f>
        <v>40</v>
      </c>
    </row>
    <row r="1556" ht="15.75" customHeight="1">
      <c r="A1556" s="33" t="s">
        <v>3111</v>
      </c>
      <c r="B1556" s="22" t="str">
        <f>VLOOKUP($A1556,'Customer Names'!$A:$D,3, FALSE)</f>
        <v>Knigh</v>
      </c>
      <c r="C1556" s="22">
        <f>VLOOKUP($A1556,'Medical Examinations'!$A:$D, 2, FALSE)</f>
        <v>19.86</v>
      </c>
      <c r="D1556" s="22">
        <f>VLOOKUP($A1556, 'Medical Examinations'!$A:$D,3, FALSE)</f>
        <v>5.62</v>
      </c>
      <c r="E1556" s="22" t="str">
        <f>VLOOKUP($A1556, 'Medical Examinations'!$A:$D, 4, FALSE)</f>
        <v>Yes</v>
      </c>
      <c r="F1556" s="22" t="str">
        <f>VLOOKUP($A1556, 'Medical Examinations'!$A:$J, 5, FALSE)</f>
        <v>No</v>
      </c>
      <c r="G1556" s="22" t="str">
        <f>VLOOKUP($A1556, 'Medical Examinations'!$A:$I, 6, FALSE)</f>
        <v>No</v>
      </c>
      <c r="H1556" s="22">
        <f>VLOOKUP($A1556,'Medical Examinations'!$A:$L,10, FALSE)</f>
        <v>0</v>
      </c>
      <c r="I1556" s="22" t="str">
        <f>VLOOKUP($A1556, 'Medical Examinations'!$A:$J, 9, FALSE)</f>
        <v>No</v>
      </c>
      <c r="J1556" s="22" t="str">
        <f>VLOOKUP($A1556, 'Medical Examinations'!$A:$P, 11, FALSE)</f>
        <v>NORMAL WEIGHT</v>
      </c>
      <c r="K1556" s="34">
        <v>22501.0</v>
      </c>
      <c r="L1556" s="35">
        <f>VLOOKUP($A1556, 'Hospitalisation Details'!$A:$H, 7, FALSE)</f>
        <v>6529.21</v>
      </c>
      <c r="M1556" s="22" t="str">
        <f>VLOOKUP($A1556, 'Hospitalisation Details'!$A:$L, 12, FALSE)</f>
        <v>tier - 2</v>
      </c>
      <c r="N1556" s="22" t="str">
        <f>VLOOKUP($A1556, 'Hospitalisation Details'!$A:$M, 13, FALSE)</f>
        <v>tier - 1</v>
      </c>
      <c r="O1556" s="22" t="str">
        <f>VLOOKUP($A1556, 'Hospitalisation Details'!$A:$N, 14, FALSE)</f>
        <v>R1013</v>
      </c>
      <c r="P1556" s="36">
        <f>VLOOKUP($A1556, 'Hospitalisation Details'!$A:$O, 15, FALSE)</f>
        <v>46</v>
      </c>
    </row>
    <row r="1557" ht="15.75" customHeight="1">
      <c r="A1557" s="33" t="s">
        <v>3113</v>
      </c>
      <c r="B1557" s="22" t="str">
        <f>VLOOKUP($A1557,'Customer Names'!$A:$D,3, FALSE)</f>
        <v>Richter</v>
      </c>
      <c r="C1557" s="22">
        <f>VLOOKUP($A1557,'Medical Examinations'!$A:$D, 2, FALSE)</f>
        <v>33.58</v>
      </c>
      <c r="D1557" s="22">
        <f>VLOOKUP($A1557, 'Medical Examinations'!$A:$D,3, FALSE)</f>
        <v>5.08</v>
      </c>
      <c r="E1557" s="22" t="str">
        <f>VLOOKUP($A1557, 'Medical Examinations'!$A:$D, 4, FALSE)</f>
        <v>No</v>
      </c>
      <c r="F1557" s="22" t="str">
        <f>VLOOKUP($A1557, 'Medical Examinations'!$A:$J, 5, FALSE)</f>
        <v>No</v>
      </c>
      <c r="G1557" s="22" t="str">
        <f>VLOOKUP($A1557, 'Medical Examinations'!$A:$I, 6, FALSE)</f>
        <v>No</v>
      </c>
      <c r="H1557" s="22">
        <f>VLOOKUP($A1557,'Medical Examinations'!$A:$L,10, FALSE)</f>
        <v>0</v>
      </c>
      <c r="I1557" s="22" t="str">
        <f>VLOOKUP($A1557, 'Medical Examinations'!$A:$J, 9, FALSE)</f>
        <v>No</v>
      </c>
      <c r="J1557" s="22" t="str">
        <f>VLOOKUP($A1557, 'Medical Examinations'!$A:$P, 11, FALSE)</f>
        <v>OBESITY</v>
      </c>
      <c r="K1557" s="34">
        <v>34585.0</v>
      </c>
      <c r="L1557" s="35">
        <f>VLOOKUP($A1557, 'Hospitalisation Details'!$A:$H, 7, FALSE)</f>
        <v>6512.24</v>
      </c>
      <c r="M1557" s="22" t="str">
        <f>VLOOKUP($A1557, 'Hospitalisation Details'!$A:$L, 12, FALSE)</f>
        <v>tier - 2</v>
      </c>
      <c r="N1557" s="22" t="str">
        <f>VLOOKUP($A1557, 'Hospitalisation Details'!$A:$M, 13, FALSE)</f>
        <v>tier - 1</v>
      </c>
      <c r="O1557" s="22" t="str">
        <f>VLOOKUP($A1557, 'Hospitalisation Details'!$A:$N, 14, FALSE)</f>
        <v>R1021</v>
      </c>
      <c r="P1557" s="36">
        <f>VLOOKUP($A1557, 'Hospitalisation Details'!$A:$O, 15, FALSE)</f>
        <v>28</v>
      </c>
    </row>
    <row r="1558" ht="15.75" customHeight="1">
      <c r="A1558" s="33" t="s">
        <v>3115</v>
      </c>
      <c r="B1558" s="22" t="str">
        <f>VLOOKUP($A1558,'Customer Names'!$A:$D,3, FALSE)</f>
        <v>Jubinski</v>
      </c>
      <c r="C1558" s="22">
        <f>VLOOKUP($A1558,'Medical Examinations'!$A:$D, 2, FALSE)</f>
        <v>29.81</v>
      </c>
      <c r="D1558" s="22">
        <f>VLOOKUP($A1558, 'Medical Examinations'!$A:$D,3, FALSE)</f>
        <v>5.28</v>
      </c>
      <c r="E1558" s="22" t="str">
        <f>VLOOKUP($A1558, 'Medical Examinations'!$A:$D, 4, FALSE)</f>
        <v>No</v>
      </c>
      <c r="F1558" s="22" t="str">
        <f>VLOOKUP($A1558, 'Medical Examinations'!$A:$J, 5, FALSE)</f>
        <v>No</v>
      </c>
      <c r="G1558" s="22" t="str">
        <f>VLOOKUP($A1558, 'Medical Examinations'!$A:$I, 6, FALSE)</f>
        <v>No</v>
      </c>
      <c r="H1558" s="22">
        <f>VLOOKUP($A1558,'Medical Examinations'!$A:$L,10, FALSE)</f>
        <v>0</v>
      </c>
      <c r="I1558" s="22" t="str">
        <f>VLOOKUP($A1558, 'Medical Examinations'!$A:$J, 9, FALSE)</f>
        <v>No</v>
      </c>
      <c r="J1558" s="22" t="str">
        <f>VLOOKUP($A1558, 'Medical Examinations'!$A:$P, 11, FALSE)</f>
        <v>OVERWEIGHT</v>
      </c>
      <c r="K1558" s="34">
        <v>25457.0</v>
      </c>
      <c r="L1558" s="35">
        <f>VLOOKUP($A1558, 'Hospitalisation Details'!$A:$H, 7, FALSE)</f>
        <v>6500.24</v>
      </c>
      <c r="M1558" s="22" t="str">
        <f>VLOOKUP($A1558, 'Hospitalisation Details'!$A:$L, 12, FALSE)</f>
        <v>tier - 2</v>
      </c>
      <c r="N1558" s="22" t="str">
        <f>VLOOKUP($A1558, 'Hospitalisation Details'!$A:$M, 13, FALSE)</f>
        <v>tier - 2</v>
      </c>
      <c r="O1558" s="22" t="str">
        <f>VLOOKUP($A1558, 'Hospitalisation Details'!$A:$N, 14, FALSE)</f>
        <v>R1013</v>
      </c>
      <c r="P1558" s="36">
        <f>VLOOKUP($A1558, 'Hospitalisation Details'!$A:$O, 15, FALSE)</f>
        <v>40</v>
      </c>
    </row>
    <row r="1559" ht="15.75" customHeight="1">
      <c r="A1559" s="33" t="s">
        <v>3117</v>
      </c>
      <c r="B1559" s="22" t="str">
        <f>VLOOKUP($A1559,'Customer Names'!$A:$D,3, FALSE)</f>
        <v>Wall</v>
      </c>
      <c r="C1559" s="22">
        <f>VLOOKUP($A1559,'Medical Examinations'!$A:$D, 2, FALSE)</f>
        <v>27.4</v>
      </c>
      <c r="D1559" s="22">
        <f>VLOOKUP($A1559, 'Medical Examinations'!$A:$D,3, FALSE)</f>
        <v>4.61</v>
      </c>
      <c r="E1559" s="22" t="str">
        <f>VLOOKUP($A1559, 'Medical Examinations'!$A:$D, 4, FALSE)</f>
        <v>No</v>
      </c>
      <c r="F1559" s="22" t="str">
        <f>VLOOKUP($A1559, 'Medical Examinations'!$A:$J, 5, FALSE)</f>
        <v>No</v>
      </c>
      <c r="G1559" s="22" t="str">
        <f>VLOOKUP($A1559, 'Medical Examinations'!$A:$I, 6, FALSE)</f>
        <v>No</v>
      </c>
      <c r="H1559" s="22">
        <f>VLOOKUP($A1559,'Medical Examinations'!$A:$L,10, FALSE)</f>
        <v>0</v>
      </c>
      <c r="I1559" s="22" t="str">
        <f>VLOOKUP($A1559, 'Medical Examinations'!$A:$J, 9, FALSE)</f>
        <v>No</v>
      </c>
      <c r="J1559" s="22" t="str">
        <f>VLOOKUP($A1559, 'Medical Examinations'!$A:$P, 11, FALSE)</f>
        <v>OVERWEIGHT</v>
      </c>
      <c r="K1559" s="34">
        <v>28804.0</v>
      </c>
      <c r="L1559" s="35">
        <f>VLOOKUP($A1559, 'Hospitalisation Details'!$A:$H, 7, FALSE)</f>
        <v>6496.89</v>
      </c>
      <c r="M1559" s="22" t="str">
        <f>VLOOKUP($A1559, 'Hospitalisation Details'!$A:$L, 12, FALSE)</f>
        <v>tier - 2</v>
      </c>
      <c r="N1559" s="22" t="str">
        <f>VLOOKUP($A1559, 'Hospitalisation Details'!$A:$M, 13, FALSE)</f>
        <v>tier - 3</v>
      </c>
      <c r="O1559" s="22" t="str">
        <f>VLOOKUP($A1559, 'Hospitalisation Details'!$A:$N, 14, FALSE)</f>
        <v>R1011</v>
      </c>
      <c r="P1559" s="36">
        <f>VLOOKUP($A1559, 'Hospitalisation Details'!$A:$O, 15, FALSE)</f>
        <v>40</v>
      </c>
    </row>
    <row r="1560" ht="15.75" customHeight="1">
      <c r="A1560" s="33" t="s">
        <v>3119</v>
      </c>
      <c r="B1560" s="22" t="str">
        <f>VLOOKUP($A1560,'Customer Names'!$A:$D,3, FALSE)</f>
        <v>McKay</v>
      </c>
      <c r="C1560" s="22">
        <f>VLOOKUP($A1560,'Medical Examinations'!$A:$D, 2, FALSE)</f>
        <v>17.98</v>
      </c>
      <c r="D1560" s="22">
        <f>VLOOKUP($A1560, 'Medical Examinations'!$A:$D,3, FALSE)</f>
        <v>6.57</v>
      </c>
      <c r="E1560" s="22" t="str">
        <f>VLOOKUP($A1560, 'Medical Examinations'!$A:$D, 4, FALSE)</f>
        <v>Yes</v>
      </c>
      <c r="F1560" s="22" t="str">
        <f>VLOOKUP($A1560, 'Medical Examinations'!$A:$J, 5, FALSE)</f>
        <v>No</v>
      </c>
      <c r="G1560" s="22" t="str">
        <f>VLOOKUP($A1560, 'Medical Examinations'!$A:$I, 6, FALSE)</f>
        <v>No</v>
      </c>
      <c r="H1560" s="22">
        <f>VLOOKUP($A1560,'Medical Examinations'!$A:$L,10, FALSE)</f>
        <v>2</v>
      </c>
      <c r="I1560" s="22" t="str">
        <f>VLOOKUP($A1560, 'Medical Examinations'!$A:$J, 9, FALSE)</f>
        <v>No</v>
      </c>
      <c r="J1560" s="22" t="str">
        <f>VLOOKUP($A1560, 'Medical Examinations'!$A:$P, 11, FALSE)</f>
        <v>UNDERWEIGHT</v>
      </c>
      <c r="K1560" s="34">
        <v>34225.0</v>
      </c>
      <c r="L1560" s="35">
        <f>VLOOKUP($A1560, 'Hospitalisation Details'!$A:$H, 7, FALSE)</f>
        <v>6481.67</v>
      </c>
      <c r="M1560" s="22" t="str">
        <f>VLOOKUP($A1560, 'Hospitalisation Details'!$A:$L, 12, FALSE)</f>
        <v>tier - 2</v>
      </c>
      <c r="N1560" s="22" t="str">
        <f>VLOOKUP($A1560, 'Hospitalisation Details'!$A:$M, 13, FALSE)</f>
        <v>tier - 2</v>
      </c>
      <c r="O1560" s="22" t="str">
        <f>VLOOKUP($A1560, 'Hospitalisation Details'!$A:$N, 14, FALSE)</f>
        <v>R1013</v>
      </c>
      <c r="P1560" s="36">
        <f>VLOOKUP($A1560, 'Hospitalisation Details'!$A:$O, 15, FALSE)</f>
        <v>52</v>
      </c>
    </row>
    <row r="1561" ht="15.75" customHeight="1">
      <c r="A1561" s="33" t="s">
        <v>3121</v>
      </c>
      <c r="B1561" s="22" t="str">
        <f>VLOOKUP($A1561,'Customer Names'!$A:$D,3, FALSE)</f>
        <v>Oh</v>
      </c>
      <c r="C1561" s="22">
        <f>VLOOKUP($A1561,'Medical Examinations'!$A:$D, 2, FALSE)</f>
        <v>37.9</v>
      </c>
      <c r="D1561" s="22">
        <f>VLOOKUP($A1561, 'Medical Examinations'!$A:$D,3, FALSE)</f>
        <v>5.83</v>
      </c>
      <c r="E1561" s="22" t="str">
        <f>VLOOKUP($A1561, 'Medical Examinations'!$A:$D, 4, FALSE)</f>
        <v>No</v>
      </c>
      <c r="F1561" s="22" t="str">
        <f>VLOOKUP($A1561, 'Medical Examinations'!$A:$J, 5, FALSE)</f>
        <v>No</v>
      </c>
      <c r="G1561" s="22" t="str">
        <f>VLOOKUP($A1561, 'Medical Examinations'!$A:$I, 6, FALSE)</f>
        <v>No</v>
      </c>
      <c r="H1561" s="22">
        <f>VLOOKUP($A1561,'Medical Examinations'!$A:$L,10, FALSE)</f>
        <v>0</v>
      </c>
      <c r="I1561" s="22" t="str">
        <f>VLOOKUP($A1561, 'Medical Examinations'!$A:$J, 9, FALSE)</f>
        <v>No</v>
      </c>
      <c r="J1561" s="22" t="str">
        <f>VLOOKUP($A1561, 'Medical Examinations'!$A:$P, 11, FALSE)</f>
        <v>OBESITY</v>
      </c>
      <c r="K1561" s="34">
        <v>26563.0</v>
      </c>
      <c r="L1561" s="35">
        <f>VLOOKUP($A1561, 'Hospitalisation Details'!$A:$H, 7, FALSE)</f>
        <v>6474.01</v>
      </c>
      <c r="M1561" s="22" t="str">
        <f>VLOOKUP($A1561, 'Hospitalisation Details'!$A:$L, 12, FALSE)</f>
        <v>tier - 2</v>
      </c>
      <c r="N1561" s="22" t="str">
        <f>VLOOKUP($A1561, 'Hospitalisation Details'!$A:$M, 13, FALSE)</f>
        <v>tier - 3</v>
      </c>
      <c r="O1561" s="22" t="str">
        <f>VLOOKUP($A1561, 'Hospitalisation Details'!$A:$N, 14, FALSE)</f>
        <v>R1011</v>
      </c>
      <c r="P1561" s="36">
        <f>VLOOKUP($A1561, 'Hospitalisation Details'!$A:$O, 15, FALSE)</f>
        <v>43</v>
      </c>
    </row>
    <row r="1562" ht="15.75" customHeight="1">
      <c r="A1562" s="33" t="s">
        <v>3123</v>
      </c>
      <c r="B1562" s="22" t="str">
        <f>VLOOKUP($A1562,'Customer Names'!$A:$D,3, FALSE)</f>
        <v>Kessell</v>
      </c>
      <c r="C1562" s="22">
        <f>VLOOKUP($A1562,'Medical Examinations'!$A:$D, 2, FALSE)</f>
        <v>25.27</v>
      </c>
      <c r="D1562" s="22">
        <f>VLOOKUP($A1562, 'Medical Examinations'!$A:$D,3, FALSE)</f>
        <v>6.98</v>
      </c>
      <c r="E1562" s="22" t="str">
        <f>VLOOKUP($A1562, 'Medical Examinations'!$A:$D, 4, FALSE)</f>
        <v>Yes</v>
      </c>
      <c r="F1562" s="22" t="str">
        <f>VLOOKUP($A1562, 'Medical Examinations'!$A:$J, 5, FALSE)</f>
        <v>No</v>
      </c>
      <c r="G1562" s="22" t="str">
        <f>VLOOKUP($A1562, 'Medical Examinations'!$A:$I, 6, FALSE)</f>
        <v>No</v>
      </c>
      <c r="H1562" s="22">
        <f>VLOOKUP($A1562,'Medical Examinations'!$A:$L,10, FALSE)</f>
        <v>0</v>
      </c>
      <c r="I1562" s="22" t="str">
        <f>VLOOKUP($A1562, 'Medical Examinations'!$A:$J, 9, FALSE)</f>
        <v>No</v>
      </c>
      <c r="J1562" s="22" t="str">
        <f>VLOOKUP($A1562, 'Medical Examinations'!$A:$P, 11, FALSE)</f>
        <v>OVERWEIGHT</v>
      </c>
      <c r="K1562" s="34">
        <v>27662.0</v>
      </c>
      <c r="L1562" s="35">
        <f>VLOOKUP($A1562, 'Hospitalisation Details'!$A:$H, 7, FALSE)</f>
        <v>6473.15</v>
      </c>
      <c r="M1562" s="22" t="str">
        <f>VLOOKUP($A1562, 'Hospitalisation Details'!$A:$L, 12, FALSE)</f>
        <v>tier - 2</v>
      </c>
      <c r="N1562" s="22" t="str">
        <f>VLOOKUP($A1562, 'Hospitalisation Details'!$A:$M, 13, FALSE)</f>
        <v>tier - 2</v>
      </c>
      <c r="O1562" s="22" t="str">
        <f>VLOOKUP($A1562, 'Hospitalisation Details'!$A:$N, 14, FALSE)</f>
        <v>R1013</v>
      </c>
      <c r="P1562" s="36">
        <f>VLOOKUP($A1562, 'Hospitalisation Details'!$A:$O, 15, FALSE)</f>
        <v>41</v>
      </c>
    </row>
    <row r="1563" ht="15.75" customHeight="1">
      <c r="A1563" s="33" t="s">
        <v>3125</v>
      </c>
      <c r="B1563" s="22" t="str">
        <f>VLOOKUP($A1563,'Customer Names'!$A:$D,3, FALSE)</f>
        <v>Hidalg</v>
      </c>
      <c r="C1563" s="22">
        <f>VLOOKUP($A1563,'Medical Examinations'!$A:$D, 2, FALSE)</f>
        <v>29.26</v>
      </c>
      <c r="D1563" s="22">
        <f>VLOOKUP($A1563, 'Medical Examinations'!$A:$D,3, FALSE)</f>
        <v>4.03</v>
      </c>
      <c r="E1563" s="22" t="str">
        <f>VLOOKUP($A1563, 'Medical Examinations'!$A:$D, 4, FALSE)</f>
        <v>No</v>
      </c>
      <c r="F1563" s="22" t="str">
        <f>VLOOKUP($A1563, 'Medical Examinations'!$A:$J, 5, FALSE)</f>
        <v>No</v>
      </c>
      <c r="G1563" s="22" t="str">
        <f>VLOOKUP($A1563, 'Medical Examinations'!$A:$I, 6, FALSE)</f>
        <v>No</v>
      </c>
      <c r="H1563" s="22">
        <f>VLOOKUP($A1563,'Medical Examinations'!$A:$L,10, FALSE)</f>
        <v>1</v>
      </c>
      <c r="I1563" s="22" t="str">
        <f>VLOOKUP($A1563, 'Medical Examinations'!$A:$J, 9, FALSE)</f>
        <v>No</v>
      </c>
      <c r="J1563" s="22" t="str">
        <f>VLOOKUP($A1563, 'Medical Examinations'!$A:$P, 11, FALSE)</f>
        <v>OVERWEIGHT</v>
      </c>
      <c r="K1563" s="34">
        <v>30935.0</v>
      </c>
      <c r="L1563" s="35">
        <f>VLOOKUP($A1563, 'Hospitalisation Details'!$A:$H, 7, FALSE)</f>
        <v>6457.84</v>
      </c>
      <c r="M1563" s="22" t="str">
        <f>VLOOKUP($A1563, 'Hospitalisation Details'!$A:$L, 12, FALSE)</f>
        <v>tier - 2</v>
      </c>
      <c r="N1563" s="22" t="str">
        <f>VLOOKUP($A1563, 'Hospitalisation Details'!$A:$M, 13, FALSE)</f>
        <v>tier - 3</v>
      </c>
      <c r="O1563" s="22" t="str">
        <f>VLOOKUP($A1563, 'Hospitalisation Details'!$A:$N, 14, FALSE)</f>
        <v>R1012</v>
      </c>
      <c r="P1563" s="36">
        <f>VLOOKUP($A1563, 'Hospitalisation Details'!$A:$O, 15, FALSE)</f>
        <v>38</v>
      </c>
    </row>
    <row r="1564" ht="15.75" customHeight="1">
      <c r="A1564" s="33" t="s">
        <v>3127</v>
      </c>
      <c r="B1564" s="22" t="str">
        <f>VLOOKUP($A1564,'Customer Names'!$A:$D,3, FALSE)</f>
        <v>Caprario</v>
      </c>
      <c r="C1564" s="22">
        <f>VLOOKUP($A1564,'Medical Examinations'!$A:$D, 2, FALSE)</f>
        <v>27.835</v>
      </c>
      <c r="D1564" s="22">
        <f>VLOOKUP($A1564, 'Medical Examinations'!$A:$D,3, FALSE)</f>
        <v>4.56</v>
      </c>
      <c r="E1564" s="22" t="str">
        <f>VLOOKUP($A1564, 'Medical Examinations'!$A:$D, 4, FALSE)</f>
        <v>No</v>
      </c>
      <c r="F1564" s="22" t="str">
        <f>VLOOKUP($A1564, 'Medical Examinations'!$A:$J, 5, FALSE)</f>
        <v>No</v>
      </c>
      <c r="G1564" s="22" t="str">
        <f>VLOOKUP($A1564, 'Medical Examinations'!$A:$I, 6, FALSE)</f>
        <v>No</v>
      </c>
      <c r="H1564" s="22">
        <f>VLOOKUP($A1564,'Medical Examinations'!$A:$L,10, FALSE)</f>
        <v>1</v>
      </c>
      <c r="I1564" s="22" t="str">
        <f>VLOOKUP($A1564, 'Medical Examinations'!$A:$J, 9, FALSE)</f>
        <v>No</v>
      </c>
      <c r="J1564" s="22" t="str">
        <f>VLOOKUP($A1564, 'Medical Examinations'!$A:$P, 11, FALSE)</f>
        <v>OVERWEIGHT</v>
      </c>
      <c r="K1564" s="34">
        <v>28412.0</v>
      </c>
      <c r="L1564" s="35">
        <f>VLOOKUP($A1564, 'Hospitalisation Details'!$A:$H, 7, FALSE)</f>
        <v>6455.86</v>
      </c>
      <c r="M1564" s="22" t="str">
        <f>VLOOKUP($A1564, 'Hospitalisation Details'!$A:$L, 12, FALSE)</f>
        <v>tier - 3</v>
      </c>
      <c r="N1564" s="22" t="str">
        <f>VLOOKUP($A1564, 'Hospitalisation Details'!$A:$M, 13, FALSE)</f>
        <v>tier - 3</v>
      </c>
      <c r="O1564" s="22" t="str">
        <f>VLOOKUP($A1564, 'Hospitalisation Details'!$A:$N, 14, FALSE)</f>
        <v>R1012</v>
      </c>
      <c r="P1564" s="36">
        <f>VLOOKUP($A1564, 'Hospitalisation Details'!$A:$O, 15, FALSE)</f>
        <v>38</v>
      </c>
    </row>
    <row r="1565" ht="15.75" customHeight="1">
      <c r="A1565" s="33" t="s">
        <v>3129</v>
      </c>
      <c r="B1565" s="22" t="str">
        <f>VLOOKUP($A1565,'Customer Names'!$A:$D,3, FALSE)</f>
        <v>Ryan</v>
      </c>
      <c r="C1565" s="22">
        <f>VLOOKUP($A1565,'Medical Examinations'!$A:$D, 2, FALSE)</f>
        <v>46.53</v>
      </c>
      <c r="D1565" s="22">
        <f>VLOOKUP($A1565, 'Medical Examinations'!$A:$D,3, FALSE)</f>
        <v>5.38</v>
      </c>
      <c r="E1565" s="22" t="str">
        <f>VLOOKUP($A1565, 'Medical Examinations'!$A:$D, 4, FALSE)</f>
        <v>Yes</v>
      </c>
      <c r="F1565" s="22" t="str">
        <f>VLOOKUP($A1565, 'Medical Examinations'!$A:$J, 5, FALSE)</f>
        <v>No</v>
      </c>
      <c r="G1565" s="22" t="str">
        <f>VLOOKUP($A1565, 'Medical Examinations'!$A:$I, 6, FALSE)</f>
        <v>No</v>
      </c>
      <c r="H1565" s="22">
        <f>VLOOKUP($A1565,'Medical Examinations'!$A:$L,10, FALSE)</f>
        <v>0</v>
      </c>
      <c r="I1565" s="22" t="str">
        <f>VLOOKUP($A1565, 'Medical Examinations'!$A:$J, 9, FALSE)</f>
        <v>No</v>
      </c>
      <c r="J1565" s="22" t="str">
        <f>VLOOKUP($A1565, 'Medical Examinations'!$A:$P, 11, FALSE)</f>
        <v>OBESITY</v>
      </c>
      <c r="K1565" s="34">
        <v>22263.0</v>
      </c>
      <c r="L1565" s="35">
        <f>VLOOKUP($A1565, 'Hospitalisation Details'!$A:$H, 7, FALSE)</f>
        <v>6435.62</v>
      </c>
      <c r="M1565" s="22" t="str">
        <f>VLOOKUP($A1565, 'Hospitalisation Details'!$A:$L, 12, FALSE)</f>
        <v>tier - 3</v>
      </c>
      <c r="N1565" s="22" t="str">
        <f>VLOOKUP($A1565, 'Hospitalisation Details'!$A:$M, 13, FALSE)</f>
        <v>tier - 2</v>
      </c>
      <c r="O1565" s="22" t="str">
        <f>VLOOKUP($A1565, 'Hospitalisation Details'!$A:$N, 14, FALSE)</f>
        <v>R1013</v>
      </c>
      <c r="P1565" s="36">
        <f>VLOOKUP($A1565, 'Hospitalisation Details'!$A:$O, 15, FALSE)</f>
        <v>37</v>
      </c>
    </row>
    <row r="1566" ht="15.75" customHeight="1">
      <c r="A1566" s="33" t="s">
        <v>3131</v>
      </c>
      <c r="B1566" s="22" t="str">
        <f>VLOOKUP($A1566,'Customer Names'!$A:$D,3, FALSE)</f>
        <v>Hoffman</v>
      </c>
      <c r="C1566" s="22">
        <f>VLOOKUP($A1566,'Medical Examinations'!$A:$D, 2, FALSE)</f>
        <v>20.58</v>
      </c>
      <c r="D1566" s="22">
        <f>VLOOKUP($A1566, 'Medical Examinations'!$A:$D,3, FALSE)</f>
        <v>11.04</v>
      </c>
      <c r="E1566" s="22" t="str">
        <f>VLOOKUP($A1566, 'Medical Examinations'!$A:$D, 4, FALSE)</f>
        <v>Yes</v>
      </c>
      <c r="F1566" s="22" t="str">
        <f>VLOOKUP($A1566, 'Medical Examinations'!$A:$J, 5, FALSE)</f>
        <v>No</v>
      </c>
      <c r="G1566" s="22" t="str">
        <f>VLOOKUP($A1566, 'Medical Examinations'!$A:$I, 6, FALSE)</f>
        <v>No</v>
      </c>
      <c r="H1566" s="22">
        <f>VLOOKUP($A1566,'Medical Examinations'!$A:$L,10, FALSE)</f>
        <v>1</v>
      </c>
      <c r="I1566" s="22" t="str">
        <f>VLOOKUP($A1566, 'Medical Examinations'!$A:$J, 9, FALSE)</f>
        <v>No</v>
      </c>
      <c r="J1566" s="22" t="str">
        <f>VLOOKUP($A1566, 'Medical Examinations'!$A:$P, 11, FALSE)</f>
        <v>NORMAL WEIGHT</v>
      </c>
      <c r="K1566" s="34">
        <v>27696.0</v>
      </c>
      <c r="L1566" s="35">
        <f>VLOOKUP($A1566, 'Hospitalisation Details'!$A:$H, 7, FALSE)</f>
        <v>6423.48</v>
      </c>
      <c r="M1566" s="22" t="str">
        <f>VLOOKUP($A1566, 'Hospitalisation Details'!$A:$L, 12, FALSE)</f>
        <v>tier - 2</v>
      </c>
      <c r="N1566" s="22" t="str">
        <f>VLOOKUP($A1566, 'Hospitalisation Details'!$A:$M, 13, FALSE)</f>
        <v>tier - 3</v>
      </c>
      <c r="O1566" s="22" t="str">
        <f>VLOOKUP($A1566, 'Hospitalisation Details'!$A:$N, 14, FALSE)</f>
        <v>R1013</v>
      </c>
      <c r="P1566" s="36">
        <f>VLOOKUP($A1566, 'Hospitalisation Details'!$A:$O, 15, FALSE)</f>
        <v>47</v>
      </c>
    </row>
    <row r="1567" ht="15.75" customHeight="1">
      <c r="A1567" s="33" t="s">
        <v>3133</v>
      </c>
      <c r="B1567" s="22" t="str">
        <f>VLOOKUP($A1567,'Customer Names'!$A:$D,3, FALSE)</f>
        <v>Wong</v>
      </c>
      <c r="C1567" s="22">
        <f>VLOOKUP($A1567,'Medical Examinations'!$A:$D, 2, FALSE)</f>
        <v>19.53</v>
      </c>
      <c r="D1567" s="22">
        <f>VLOOKUP($A1567, 'Medical Examinations'!$A:$D,3, FALSE)</f>
        <v>6.09</v>
      </c>
      <c r="E1567" s="22" t="str">
        <f>VLOOKUP($A1567, 'Medical Examinations'!$A:$D, 4, FALSE)</f>
        <v>Yes</v>
      </c>
      <c r="F1567" s="22" t="str">
        <f>VLOOKUP($A1567, 'Medical Examinations'!$A:$J, 5, FALSE)</f>
        <v>No</v>
      </c>
      <c r="G1567" s="22" t="str">
        <f>VLOOKUP($A1567, 'Medical Examinations'!$A:$I, 6, FALSE)</f>
        <v>No</v>
      </c>
      <c r="H1567" s="22">
        <f>VLOOKUP($A1567,'Medical Examinations'!$A:$L,10, FALSE)</f>
        <v>0</v>
      </c>
      <c r="I1567" s="22" t="str">
        <f>VLOOKUP($A1567, 'Medical Examinations'!$A:$J, 9, FALSE)</f>
        <v>No</v>
      </c>
      <c r="J1567" s="22" t="str">
        <f>VLOOKUP($A1567, 'Medical Examinations'!$A:$P, 11, FALSE)</f>
        <v>NORMAL WEIGHT</v>
      </c>
      <c r="K1567" s="34">
        <v>25822.0</v>
      </c>
      <c r="L1567" s="35">
        <f>VLOOKUP($A1567, 'Hospitalisation Details'!$A:$H, 7, FALSE)</f>
        <v>6417.28</v>
      </c>
      <c r="M1567" s="22" t="str">
        <f>VLOOKUP($A1567, 'Hospitalisation Details'!$A:$L, 12, FALSE)</f>
        <v>tier - 2</v>
      </c>
      <c r="N1567" s="22" t="str">
        <f>VLOOKUP($A1567, 'Hospitalisation Details'!$A:$M, 13, FALSE)</f>
        <v>tier - 3</v>
      </c>
      <c r="O1567" s="22" t="str">
        <f>VLOOKUP($A1567, 'Hospitalisation Details'!$A:$N, 14, FALSE)</f>
        <v>R1013</v>
      </c>
      <c r="P1567" s="36">
        <f>VLOOKUP($A1567, 'Hospitalisation Details'!$A:$O, 15, FALSE)</f>
        <v>46</v>
      </c>
    </row>
    <row r="1568" ht="15.75" customHeight="1">
      <c r="A1568" s="33" t="s">
        <v>3135</v>
      </c>
      <c r="B1568" s="22" t="str">
        <f>VLOOKUP($A1568,'Customer Names'!$A:$D,3, FALSE)</f>
        <v>Lea</v>
      </c>
      <c r="C1568" s="22">
        <f>VLOOKUP($A1568,'Medical Examinations'!$A:$D, 2, FALSE)</f>
        <v>27.7</v>
      </c>
      <c r="D1568" s="22">
        <f>VLOOKUP($A1568, 'Medical Examinations'!$A:$D,3, FALSE)</f>
        <v>4.71</v>
      </c>
      <c r="E1568" s="22" t="str">
        <f>VLOOKUP($A1568, 'Medical Examinations'!$A:$D, 4, FALSE)</f>
        <v>No</v>
      </c>
      <c r="F1568" s="22" t="str">
        <f>VLOOKUP($A1568, 'Medical Examinations'!$A:$J, 5, FALSE)</f>
        <v>No</v>
      </c>
      <c r="G1568" s="22" t="str">
        <f>VLOOKUP($A1568, 'Medical Examinations'!$A:$I, 6, FALSE)</f>
        <v>No</v>
      </c>
      <c r="H1568" s="22">
        <f>VLOOKUP($A1568,'Medical Examinations'!$A:$L,10, FALSE)</f>
        <v>1</v>
      </c>
      <c r="I1568" s="22" t="str">
        <f>VLOOKUP($A1568, 'Medical Examinations'!$A:$J, 9, FALSE)</f>
        <v>No</v>
      </c>
      <c r="J1568" s="22" t="str">
        <f>VLOOKUP($A1568, 'Medical Examinations'!$A:$P, 11, FALSE)</f>
        <v>OVERWEIGHT</v>
      </c>
      <c r="K1568" s="34">
        <v>26273.0</v>
      </c>
      <c r="L1568" s="35">
        <f>VLOOKUP($A1568, 'Hospitalisation Details'!$A:$H, 7, FALSE)</f>
        <v>6414.18</v>
      </c>
      <c r="M1568" s="22" t="str">
        <f>VLOOKUP($A1568, 'Hospitalisation Details'!$A:$L, 12, FALSE)</f>
        <v>tier - 2</v>
      </c>
      <c r="N1568" s="22" t="str">
        <f>VLOOKUP($A1568, 'Hospitalisation Details'!$A:$M, 13, FALSE)</f>
        <v>tier - 2</v>
      </c>
      <c r="O1568" s="22" t="str">
        <f>VLOOKUP($A1568, 'Hospitalisation Details'!$A:$N, 14, FALSE)</f>
        <v>R1011</v>
      </c>
      <c r="P1568" s="36">
        <f>VLOOKUP($A1568, 'Hospitalisation Details'!$A:$O, 15, FALSE)</f>
        <v>35</v>
      </c>
    </row>
    <row r="1569" ht="15.75" customHeight="1">
      <c r="A1569" s="33" t="s">
        <v>3137</v>
      </c>
      <c r="B1569" s="22" t="str">
        <f>VLOOKUP($A1569,'Customer Names'!$A:$D,3, FALSE)</f>
        <v>Patterson</v>
      </c>
      <c r="C1569" s="22">
        <f>VLOOKUP($A1569,'Medical Examinations'!$A:$D, 2, FALSE)</f>
        <v>18.92</v>
      </c>
      <c r="D1569" s="22">
        <f>VLOOKUP($A1569, 'Medical Examinations'!$A:$D,3, FALSE)</f>
        <v>8.18</v>
      </c>
      <c r="E1569" s="22" t="str">
        <f>VLOOKUP($A1569, 'Medical Examinations'!$A:$D, 4, FALSE)</f>
        <v>No</v>
      </c>
      <c r="F1569" s="22" t="str">
        <f>VLOOKUP($A1569, 'Medical Examinations'!$A:$J, 5, FALSE)</f>
        <v>No</v>
      </c>
      <c r="G1569" s="22" t="str">
        <f>VLOOKUP($A1569, 'Medical Examinations'!$A:$I, 6, FALSE)</f>
        <v>No</v>
      </c>
      <c r="H1569" s="22">
        <f>VLOOKUP($A1569,'Medical Examinations'!$A:$L,10, FALSE)</f>
        <v>0</v>
      </c>
      <c r="I1569" s="22" t="str">
        <f>VLOOKUP($A1569, 'Medical Examinations'!$A:$J, 9, FALSE)</f>
        <v>No</v>
      </c>
      <c r="J1569" s="22" t="str">
        <f>VLOOKUP($A1569, 'Medical Examinations'!$A:$P, 11, FALSE)</f>
        <v>NORMAL WEIGHT</v>
      </c>
      <c r="K1569" s="34">
        <v>27310.0</v>
      </c>
      <c r="L1569" s="35">
        <f>VLOOKUP($A1569, 'Hospitalisation Details'!$A:$H, 7, FALSE)</f>
        <v>6412.34</v>
      </c>
      <c r="M1569" s="22" t="str">
        <f>VLOOKUP($A1569, 'Hospitalisation Details'!$A:$L, 12, FALSE)</f>
        <v>tier - 2</v>
      </c>
      <c r="N1569" s="22" t="str">
        <f>VLOOKUP($A1569, 'Hospitalisation Details'!$A:$M, 13, FALSE)</f>
        <v>tier - 3</v>
      </c>
      <c r="O1569" s="22" t="str">
        <f>VLOOKUP($A1569, 'Hospitalisation Details'!$A:$N, 14, FALSE)</f>
        <v>R1013</v>
      </c>
      <c r="P1569" s="36">
        <f>VLOOKUP($A1569, 'Hospitalisation Details'!$A:$O, 15, FALSE)</f>
        <v>51</v>
      </c>
    </row>
    <row r="1570" ht="15.75" customHeight="1">
      <c r="A1570" s="33" t="s">
        <v>3139</v>
      </c>
      <c r="B1570" s="22" t="str">
        <f>VLOOKUP($A1570,'Customer Names'!$A:$D,3, FALSE)</f>
        <v>Quigley</v>
      </c>
      <c r="C1570" s="22">
        <f>VLOOKUP($A1570,'Medical Examinations'!$A:$D, 2, FALSE)</f>
        <v>17.76</v>
      </c>
      <c r="D1570" s="22">
        <f>VLOOKUP($A1570, 'Medical Examinations'!$A:$D,3, FALSE)</f>
        <v>11.18</v>
      </c>
      <c r="E1570" s="22" t="str">
        <f>VLOOKUP($A1570, 'Medical Examinations'!$A:$D, 4, FALSE)</f>
        <v>Yes</v>
      </c>
      <c r="F1570" s="22" t="str">
        <f>VLOOKUP($A1570, 'Medical Examinations'!$A:$J, 5, FALSE)</f>
        <v>No</v>
      </c>
      <c r="G1570" s="22" t="str">
        <f>VLOOKUP($A1570, 'Medical Examinations'!$A:$I, 6, FALSE)</f>
        <v>No</v>
      </c>
      <c r="H1570" s="22">
        <f>VLOOKUP($A1570,'Medical Examinations'!$A:$L,10, FALSE)</f>
        <v>2</v>
      </c>
      <c r="I1570" s="22" t="str">
        <f>VLOOKUP($A1570, 'Medical Examinations'!$A:$J, 9, FALSE)</f>
        <v>No</v>
      </c>
      <c r="J1570" s="22" t="str">
        <f>VLOOKUP($A1570, 'Medical Examinations'!$A:$P, 11, FALSE)</f>
        <v>UNDERWEIGHT</v>
      </c>
      <c r="K1570" s="34">
        <v>34969.0</v>
      </c>
      <c r="L1570" s="35">
        <f>VLOOKUP($A1570, 'Hospitalisation Details'!$A:$H, 7, FALSE)</f>
        <v>6407.05</v>
      </c>
      <c r="M1570" s="22" t="str">
        <f>VLOOKUP($A1570, 'Hospitalisation Details'!$A:$L, 12, FALSE)</f>
        <v>tier - 2</v>
      </c>
      <c r="N1570" s="22" t="str">
        <f>VLOOKUP($A1570, 'Hospitalisation Details'!$A:$M, 13, FALSE)</f>
        <v>tier - 1</v>
      </c>
      <c r="O1570" s="22" t="str">
        <f>VLOOKUP($A1570, 'Hospitalisation Details'!$A:$N, 14, FALSE)</f>
        <v>R1013</v>
      </c>
      <c r="P1570" s="36">
        <f>VLOOKUP($A1570, 'Hospitalisation Details'!$A:$O, 15, FALSE)</f>
        <v>52</v>
      </c>
    </row>
    <row r="1571" ht="15.75" customHeight="1">
      <c r="A1571" s="33" t="s">
        <v>3141</v>
      </c>
      <c r="B1571" s="22" t="str">
        <f>VLOOKUP($A1571,'Customer Names'!$A:$D,3, FALSE)</f>
        <v>Korir</v>
      </c>
      <c r="C1571" s="22">
        <f>VLOOKUP($A1571,'Medical Examinations'!$A:$D, 2, FALSE)</f>
        <v>29.83</v>
      </c>
      <c r="D1571" s="22">
        <f>VLOOKUP($A1571, 'Medical Examinations'!$A:$D,3, FALSE)</f>
        <v>5.03</v>
      </c>
      <c r="E1571" s="22" t="str">
        <f>VLOOKUP($A1571, 'Medical Examinations'!$A:$D, 4, FALSE)</f>
        <v>Yes</v>
      </c>
      <c r="F1571" s="22" t="str">
        <f>VLOOKUP($A1571, 'Medical Examinations'!$A:$J, 5, FALSE)</f>
        <v>No</v>
      </c>
      <c r="G1571" s="22" t="str">
        <f>VLOOKUP($A1571, 'Medical Examinations'!$A:$I, 6, FALSE)</f>
        <v>No</v>
      </c>
      <c r="H1571" s="22">
        <f>VLOOKUP($A1571,'Medical Examinations'!$A:$L,10, FALSE)</f>
        <v>0</v>
      </c>
      <c r="I1571" s="22" t="str">
        <f>VLOOKUP($A1571, 'Medical Examinations'!$A:$J, 9, FALSE)</f>
        <v>No</v>
      </c>
      <c r="J1571" s="22" t="str">
        <f>VLOOKUP($A1571, 'Medical Examinations'!$A:$P, 11, FALSE)</f>
        <v>OVERWEIGHT</v>
      </c>
      <c r="K1571" s="34">
        <v>25028.0</v>
      </c>
      <c r="L1571" s="35">
        <f>VLOOKUP($A1571, 'Hospitalisation Details'!$A:$H, 7, FALSE)</f>
        <v>6406.41</v>
      </c>
      <c r="M1571" s="22" t="str">
        <f>VLOOKUP($A1571, 'Hospitalisation Details'!$A:$L, 12, FALSE)</f>
        <v>tier - 1</v>
      </c>
      <c r="N1571" s="22" t="str">
        <f>VLOOKUP($A1571, 'Hospitalisation Details'!$A:$M, 13, FALSE)</f>
        <v>tier - 3</v>
      </c>
      <c r="O1571" s="22" t="str">
        <f>VLOOKUP($A1571, 'Hospitalisation Details'!$A:$N, 14, FALSE)</f>
        <v>R1014</v>
      </c>
      <c r="P1571" s="36">
        <f>VLOOKUP($A1571, 'Hospitalisation Details'!$A:$O, 15, FALSE)</f>
        <v>37</v>
      </c>
    </row>
    <row r="1572" ht="15.75" customHeight="1">
      <c r="A1572" s="33" t="s">
        <v>3143</v>
      </c>
      <c r="B1572" s="22" t="str">
        <f>VLOOKUP($A1572,'Customer Names'!$A:$D,3, FALSE)</f>
        <v>Downs</v>
      </c>
      <c r="C1572" s="22">
        <f>VLOOKUP($A1572,'Medical Examinations'!$A:$D, 2, FALSE)</f>
        <v>23.465</v>
      </c>
      <c r="D1572" s="22">
        <f>VLOOKUP($A1572, 'Medical Examinations'!$A:$D,3, FALSE)</f>
        <v>5.56</v>
      </c>
      <c r="E1572" s="22" t="str">
        <f>VLOOKUP($A1572, 'Medical Examinations'!$A:$D, 4, FALSE)</f>
        <v>No</v>
      </c>
      <c r="F1572" s="22" t="str">
        <f>VLOOKUP($A1572, 'Medical Examinations'!$A:$J, 5, FALSE)</f>
        <v>No</v>
      </c>
      <c r="G1572" s="22" t="str">
        <f>VLOOKUP($A1572, 'Medical Examinations'!$A:$I, 6, FALSE)</f>
        <v>No</v>
      </c>
      <c r="H1572" s="22">
        <f>VLOOKUP($A1572,'Medical Examinations'!$A:$L,10, FALSE)</f>
        <v>1</v>
      </c>
      <c r="I1572" s="22" t="str">
        <f>VLOOKUP($A1572, 'Medical Examinations'!$A:$J, 9, FALSE)</f>
        <v>No</v>
      </c>
      <c r="J1572" s="22" t="str">
        <f>VLOOKUP($A1572, 'Medical Examinations'!$A:$P, 11, FALSE)</f>
        <v>NORMAL WEIGHT</v>
      </c>
      <c r="K1572" s="34">
        <v>36729.0</v>
      </c>
      <c r="L1572" s="35">
        <f>VLOOKUP($A1572, 'Hospitalisation Details'!$A:$H, 7, FALSE)</f>
        <v>6402.29</v>
      </c>
      <c r="M1572" s="22" t="str">
        <f>VLOOKUP($A1572, 'Hospitalisation Details'!$A:$L, 12, FALSE)</f>
        <v>tier - 2</v>
      </c>
      <c r="N1572" s="22" t="str">
        <f>VLOOKUP($A1572, 'Hospitalisation Details'!$A:$M, 13, FALSE)</f>
        <v>tier - 3</v>
      </c>
      <c r="O1572" s="22" t="str">
        <f>VLOOKUP($A1572, 'Hospitalisation Details'!$A:$N, 14, FALSE)</f>
        <v>R1024</v>
      </c>
      <c r="P1572" s="36">
        <f>VLOOKUP($A1572, 'Hospitalisation Details'!$A:$O, 15, FALSE)</f>
        <v>35</v>
      </c>
    </row>
    <row r="1573" ht="15.75" customHeight="1">
      <c r="A1573" s="33" t="s">
        <v>3145</v>
      </c>
      <c r="B1573" s="22" t="str">
        <f>VLOOKUP($A1573,'Customer Names'!$A:$D,3, FALSE)</f>
        <v>Young</v>
      </c>
      <c r="C1573" s="22">
        <f>VLOOKUP($A1573,'Medical Examinations'!$A:$D, 2, FALSE)</f>
        <v>29.355</v>
      </c>
      <c r="D1573" s="22">
        <f>VLOOKUP($A1573, 'Medical Examinations'!$A:$D,3, FALSE)</f>
        <v>4.33</v>
      </c>
      <c r="E1573" s="22" t="str">
        <f>VLOOKUP($A1573, 'Medical Examinations'!$A:$D, 4, FALSE)</f>
        <v>No</v>
      </c>
      <c r="F1573" s="22" t="str">
        <f>VLOOKUP($A1573, 'Medical Examinations'!$A:$J, 5, FALSE)</f>
        <v>No</v>
      </c>
      <c r="G1573" s="22" t="str">
        <f>VLOOKUP($A1573, 'Medical Examinations'!$A:$I, 6, FALSE)</f>
        <v>No</v>
      </c>
      <c r="H1573" s="22">
        <f>VLOOKUP($A1573,'Medical Examinations'!$A:$L,10, FALSE)</f>
        <v>0</v>
      </c>
      <c r="I1573" s="22" t="str">
        <f>VLOOKUP($A1573, 'Medical Examinations'!$A:$J, 9, FALSE)</f>
        <v>No</v>
      </c>
      <c r="J1573" s="22" t="str">
        <f>VLOOKUP($A1573, 'Medical Examinations'!$A:$P, 11, FALSE)</f>
        <v>OVERWEIGHT</v>
      </c>
      <c r="K1573" s="34">
        <v>38300.0</v>
      </c>
      <c r="L1573" s="35">
        <f>VLOOKUP($A1573, 'Hospitalisation Details'!$A:$H, 7, FALSE)</f>
        <v>6393.6</v>
      </c>
      <c r="M1573" s="22" t="str">
        <f>VLOOKUP($A1573, 'Hospitalisation Details'!$A:$L, 12, FALSE)</f>
        <v>tier - 2</v>
      </c>
      <c r="N1573" s="22" t="str">
        <f>VLOOKUP($A1573, 'Hospitalisation Details'!$A:$M, 13, FALSE)</f>
        <v>tier - 1</v>
      </c>
      <c r="O1573" s="22" t="str">
        <f>VLOOKUP($A1573, 'Hospitalisation Details'!$A:$N, 14, FALSE)</f>
        <v>R1012</v>
      </c>
      <c r="P1573" s="36">
        <f>VLOOKUP($A1573, 'Hospitalisation Details'!$A:$O, 15, FALSE)</f>
        <v>40</v>
      </c>
    </row>
    <row r="1574" ht="15.75" customHeight="1">
      <c r="A1574" s="33" t="s">
        <v>3147</v>
      </c>
      <c r="B1574" s="22" t="str">
        <f>VLOOKUP($A1574,'Customer Names'!$A:$D,3, FALSE)</f>
        <v>Zywek</v>
      </c>
      <c r="C1574" s="22">
        <f>VLOOKUP($A1574,'Medical Examinations'!$A:$D, 2, FALSE)</f>
        <v>35.49</v>
      </c>
      <c r="D1574" s="22">
        <f>VLOOKUP($A1574, 'Medical Examinations'!$A:$D,3, FALSE)</f>
        <v>5.21</v>
      </c>
      <c r="E1574" s="22" t="str">
        <f>VLOOKUP($A1574, 'Medical Examinations'!$A:$D, 4, FALSE)</f>
        <v>Yes</v>
      </c>
      <c r="F1574" s="22" t="str">
        <f>VLOOKUP($A1574, 'Medical Examinations'!$A:$J, 5, FALSE)</f>
        <v>No</v>
      </c>
      <c r="G1574" s="22" t="str">
        <f>VLOOKUP($A1574, 'Medical Examinations'!$A:$I, 6, FALSE)</f>
        <v>Yes</v>
      </c>
      <c r="H1574" s="22">
        <f>VLOOKUP($A1574,'Medical Examinations'!$A:$L,10, FALSE)</f>
        <v>1</v>
      </c>
      <c r="I1574" s="22" t="str">
        <f>VLOOKUP($A1574, 'Medical Examinations'!$A:$J, 9, FALSE)</f>
        <v>No</v>
      </c>
      <c r="J1574" s="22" t="str">
        <f>VLOOKUP($A1574, 'Medical Examinations'!$A:$P, 11, FALSE)</f>
        <v>OBESITY</v>
      </c>
      <c r="K1574" s="34">
        <v>22533.0</v>
      </c>
      <c r="L1574" s="35">
        <f>VLOOKUP($A1574, 'Hospitalisation Details'!$A:$H, 7, FALSE)</f>
        <v>6389.53</v>
      </c>
      <c r="M1574" s="22" t="str">
        <f>VLOOKUP($A1574, 'Hospitalisation Details'!$A:$L, 12, FALSE)</f>
        <v>tier - 2</v>
      </c>
      <c r="N1574" s="22" t="str">
        <f>VLOOKUP($A1574, 'Hospitalisation Details'!$A:$M, 13, FALSE)</f>
        <v>tier - 2</v>
      </c>
      <c r="O1574" s="22" t="str">
        <f>VLOOKUP($A1574, 'Hospitalisation Details'!$A:$N, 14, FALSE)</f>
        <v>R1021</v>
      </c>
      <c r="P1574" s="36">
        <f>VLOOKUP($A1574, 'Hospitalisation Details'!$A:$O, 15, FALSE)</f>
        <v>25</v>
      </c>
    </row>
    <row r="1575" ht="15.75" customHeight="1">
      <c r="A1575" s="33" t="s">
        <v>3149</v>
      </c>
      <c r="B1575" s="22" t="str">
        <f>VLOOKUP($A1575,'Customer Names'!$A:$D,3, FALSE)</f>
        <v>Faulkner</v>
      </c>
      <c r="C1575" s="22">
        <f>VLOOKUP($A1575,'Medical Examinations'!$A:$D, 2, FALSE)</f>
        <v>26.315</v>
      </c>
      <c r="D1575" s="22">
        <f>VLOOKUP($A1575, 'Medical Examinations'!$A:$D,3, FALSE)</f>
        <v>5.89</v>
      </c>
      <c r="E1575" s="22" t="str">
        <f>VLOOKUP($A1575, 'Medical Examinations'!$A:$D, 4, FALSE)</f>
        <v>No</v>
      </c>
      <c r="F1575" s="22" t="str">
        <f>VLOOKUP($A1575, 'Medical Examinations'!$A:$J, 5, FALSE)</f>
        <v>No</v>
      </c>
      <c r="G1575" s="22" t="str">
        <f>VLOOKUP($A1575, 'Medical Examinations'!$A:$I, 6, FALSE)</f>
        <v>No</v>
      </c>
      <c r="H1575" s="22">
        <f>VLOOKUP($A1575,'Medical Examinations'!$A:$L,10, FALSE)</f>
        <v>0</v>
      </c>
      <c r="I1575" s="22" t="str">
        <f>VLOOKUP($A1575, 'Medical Examinations'!$A:$J, 9, FALSE)</f>
        <v>No</v>
      </c>
      <c r="J1575" s="22" t="str">
        <f>VLOOKUP($A1575, 'Medical Examinations'!$A:$P, 11, FALSE)</f>
        <v>OVERWEIGHT</v>
      </c>
      <c r="K1575" s="34">
        <v>32391.0</v>
      </c>
      <c r="L1575" s="35">
        <f>VLOOKUP($A1575, 'Hospitalisation Details'!$A:$H, 7, FALSE)</f>
        <v>6389.38</v>
      </c>
      <c r="M1575" s="22" t="str">
        <f>VLOOKUP($A1575, 'Hospitalisation Details'!$A:$L, 12, FALSE)</f>
        <v>tier - 1</v>
      </c>
      <c r="N1575" s="22" t="str">
        <f>VLOOKUP($A1575, 'Hospitalisation Details'!$A:$M, 13, FALSE)</f>
        <v>tier - 2</v>
      </c>
      <c r="O1575" s="22" t="str">
        <f>VLOOKUP($A1575, 'Hospitalisation Details'!$A:$N, 14, FALSE)</f>
        <v>R1012</v>
      </c>
      <c r="P1575" s="36">
        <f>VLOOKUP($A1575, 'Hospitalisation Details'!$A:$O, 15, FALSE)</f>
        <v>40</v>
      </c>
    </row>
    <row r="1576" ht="15.75" customHeight="1">
      <c r="A1576" s="33" t="s">
        <v>3151</v>
      </c>
      <c r="B1576" s="22" t="str">
        <f>VLOOKUP($A1576,'Customer Names'!$A:$D,3, FALSE)</f>
        <v>Erspamer</v>
      </c>
      <c r="C1576" s="22">
        <f>VLOOKUP($A1576,'Medical Examinations'!$A:$D, 2, FALSE)</f>
        <v>19.79</v>
      </c>
      <c r="D1576" s="22">
        <f>VLOOKUP($A1576, 'Medical Examinations'!$A:$D,3, FALSE)</f>
        <v>4.81</v>
      </c>
      <c r="E1576" s="22" t="str">
        <f>VLOOKUP($A1576, 'Medical Examinations'!$A:$D, 4, FALSE)</f>
        <v>Yes</v>
      </c>
      <c r="F1576" s="22" t="str">
        <f>VLOOKUP($A1576, 'Medical Examinations'!$A:$J, 5, FALSE)</f>
        <v>No</v>
      </c>
      <c r="G1576" s="22" t="str">
        <f>VLOOKUP($A1576, 'Medical Examinations'!$A:$I, 6, FALSE)</f>
        <v>No</v>
      </c>
      <c r="H1576" s="22">
        <f>VLOOKUP($A1576,'Medical Examinations'!$A:$L,10, FALSE)</f>
        <v>0</v>
      </c>
      <c r="I1576" s="22" t="str">
        <f>VLOOKUP($A1576, 'Medical Examinations'!$A:$J, 9, FALSE)</f>
        <v>No</v>
      </c>
      <c r="J1576" s="22" t="str">
        <f>VLOOKUP($A1576, 'Medical Examinations'!$A:$P, 11, FALSE)</f>
        <v>NORMAL WEIGHT</v>
      </c>
      <c r="K1576" s="34">
        <v>30671.0</v>
      </c>
      <c r="L1576" s="35">
        <f>VLOOKUP($A1576, 'Hospitalisation Details'!$A:$H, 7, FALSE)</f>
        <v>6374.16</v>
      </c>
      <c r="M1576" s="22" t="str">
        <f>VLOOKUP($A1576, 'Hospitalisation Details'!$A:$L, 12, FALSE)</f>
        <v>tier - 2</v>
      </c>
      <c r="N1576" s="22" t="str">
        <f>VLOOKUP($A1576, 'Hospitalisation Details'!$A:$M, 13, FALSE)</f>
        <v>tier - 2</v>
      </c>
      <c r="O1576" s="22" t="str">
        <f>VLOOKUP($A1576, 'Hospitalisation Details'!$A:$N, 14, FALSE)</f>
        <v>R1013</v>
      </c>
      <c r="P1576" s="36">
        <f>VLOOKUP($A1576, 'Hospitalisation Details'!$A:$O, 15, FALSE)</f>
        <v>46</v>
      </c>
    </row>
    <row r="1577" ht="15.75" customHeight="1">
      <c r="A1577" s="33" t="s">
        <v>3153</v>
      </c>
      <c r="B1577" s="22" t="str">
        <f>VLOOKUP($A1577,'Customer Names'!$A:$D,3, FALSE)</f>
        <v>Campbell</v>
      </c>
      <c r="C1577" s="22">
        <f>VLOOKUP($A1577,'Medical Examinations'!$A:$D, 2, FALSE)</f>
        <v>40.565</v>
      </c>
      <c r="D1577" s="22">
        <f>VLOOKUP($A1577, 'Medical Examinations'!$A:$D,3, FALSE)</f>
        <v>5.66</v>
      </c>
      <c r="E1577" s="22" t="str">
        <f>VLOOKUP($A1577, 'Medical Examinations'!$A:$D, 4, FALSE)</f>
        <v>No</v>
      </c>
      <c r="F1577" s="22" t="str">
        <f>VLOOKUP($A1577, 'Medical Examinations'!$A:$J, 5, FALSE)</f>
        <v>No</v>
      </c>
      <c r="G1577" s="22" t="str">
        <f>VLOOKUP($A1577, 'Medical Examinations'!$A:$I, 6, FALSE)</f>
        <v>No</v>
      </c>
      <c r="H1577" s="22">
        <f>VLOOKUP($A1577,'Medical Examinations'!$A:$L,10, FALSE)</f>
        <v>1</v>
      </c>
      <c r="I1577" s="22" t="str">
        <f>VLOOKUP($A1577, 'Medical Examinations'!$A:$J, 9, FALSE)</f>
        <v>No</v>
      </c>
      <c r="J1577" s="22" t="str">
        <f>VLOOKUP($A1577, 'Medical Examinations'!$A:$P, 11, FALSE)</f>
        <v>OBESITY</v>
      </c>
      <c r="K1577" s="34">
        <v>36424.0</v>
      </c>
      <c r="L1577" s="35">
        <f>VLOOKUP($A1577, 'Hospitalisation Details'!$A:$H, 7, FALSE)</f>
        <v>6373.56</v>
      </c>
      <c r="M1577" s="22" t="str">
        <f>VLOOKUP($A1577, 'Hospitalisation Details'!$A:$L, 12, FALSE)</f>
        <v>tier - 2</v>
      </c>
      <c r="N1577" s="22" t="str">
        <f>VLOOKUP($A1577, 'Hospitalisation Details'!$A:$M, 13, FALSE)</f>
        <v>tier - 1</v>
      </c>
      <c r="O1577" s="22" t="str">
        <f>VLOOKUP($A1577, 'Hospitalisation Details'!$A:$N, 14, FALSE)</f>
        <v>R1012</v>
      </c>
      <c r="P1577" s="36">
        <f>VLOOKUP($A1577, 'Hospitalisation Details'!$A:$O, 15, FALSE)</f>
        <v>38</v>
      </c>
    </row>
    <row r="1578" ht="15.75" customHeight="1">
      <c r="A1578" s="33" t="s">
        <v>3155</v>
      </c>
      <c r="B1578" s="22" t="str">
        <f>VLOOKUP($A1578,'Customer Names'!$A:$D,3, FALSE)</f>
        <v>Addison</v>
      </c>
      <c r="C1578" s="22">
        <f>VLOOKUP($A1578,'Medical Examinations'!$A:$D, 2, FALSE)</f>
        <v>18.03</v>
      </c>
      <c r="D1578" s="22">
        <f>VLOOKUP($A1578, 'Medical Examinations'!$A:$D,3, FALSE)</f>
        <v>10.66</v>
      </c>
      <c r="E1578" s="22" t="str">
        <f>VLOOKUP($A1578, 'Medical Examinations'!$A:$D, 4, FALSE)</f>
        <v>Yes</v>
      </c>
      <c r="F1578" s="22" t="str">
        <f>VLOOKUP($A1578, 'Medical Examinations'!$A:$J, 5, FALSE)</f>
        <v>No</v>
      </c>
      <c r="G1578" s="22" t="str">
        <f>VLOOKUP($A1578, 'Medical Examinations'!$A:$I, 6, FALSE)</f>
        <v>No</v>
      </c>
      <c r="H1578" s="22">
        <f>VLOOKUP($A1578,'Medical Examinations'!$A:$L,10, FALSE)</f>
        <v>2</v>
      </c>
      <c r="I1578" s="22" t="str">
        <f>VLOOKUP($A1578, 'Medical Examinations'!$A:$J, 9, FALSE)</f>
        <v>No</v>
      </c>
      <c r="J1578" s="22" t="str">
        <f>VLOOKUP($A1578, 'Medical Examinations'!$A:$P, 11, FALSE)</f>
        <v>UNDERWEIGHT</v>
      </c>
      <c r="K1578" s="34">
        <v>25883.0</v>
      </c>
      <c r="L1578" s="35">
        <f>VLOOKUP($A1578, 'Hospitalisation Details'!$A:$H, 7, FALSE)</f>
        <v>6367.31</v>
      </c>
      <c r="M1578" s="22" t="str">
        <f>VLOOKUP($A1578, 'Hospitalisation Details'!$A:$L, 12, FALSE)</f>
        <v>tier - 2</v>
      </c>
      <c r="N1578" s="22" t="str">
        <f>VLOOKUP($A1578, 'Hospitalisation Details'!$A:$M, 13, FALSE)</f>
        <v>tier - 1</v>
      </c>
      <c r="O1578" s="22" t="str">
        <f>VLOOKUP($A1578, 'Hospitalisation Details'!$A:$N, 14, FALSE)</f>
        <v>R1013</v>
      </c>
      <c r="P1578" s="36">
        <f>VLOOKUP($A1578, 'Hospitalisation Details'!$A:$O, 15, FALSE)</f>
        <v>52</v>
      </c>
    </row>
    <row r="1579" ht="15.75" customHeight="1">
      <c r="A1579" s="33" t="s">
        <v>3157</v>
      </c>
      <c r="B1579" s="22" t="str">
        <f>VLOOKUP($A1579,'Customer Names'!$A:$D,3, FALSE)</f>
        <v>Wu</v>
      </c>
      <c r="C1579" s="22">
        <f>VLOOKUP($A1579,'Medical Examinations'!$A:$D, 2, FALSE)</f>
        <v>34.65</v>
      </c>
      <c r="D1579" s="22">
        <f>VLOOKUP($A1579, 'Medical Examinations'!$A:$D,3, FALSE)</f>
        <v>5.98</v>
      </c>
      <c r="E1579" s="22" t="str">
        <f>VLOOKUP($A1579, 'Medical Examinations'!$A:$D, 4, FALSE)</f>
        <v>Yes</v>
      </c>
      <c r="F1579" s="22" t="str">
        <f>VLOOKUP($A1579, 'Medical Examinations'!$A:$J, 5, FALSE)</f>
        <v>No</v>
      </c>
      <c r="G1579" s="22" t="str">
        <f>VLOOKUP($A1579, 'Medical Examinations'!$A:$I, 6, FALSE)</f>
        <v>No</v>
      </c>
      <c r="H1579" s="22">
        <f>VLOOKUP($A1579,'Medical Examinations'!$A:$L,10, FALSE)</f>
        <v>0</v>
      </c>
      <c r="I1579" s="22" t="str">
        <f>VLOOKUP($A1579, 'Medical Examinations'!$A:$J, 9, FALSE)</f>
        <v>No</v>
      </c>
      <c r="J1579" s="22" t="str">
        <f>VLOOKUP($A1579, 'Medical Examinations'!$A:$P, 11, FALSE)</f>
        <v>OBESITY</v>
      </c>
      <c r="K1579" s="34">
        <v>28719.0</v>
      </c>
      <c r="L1579" s="35">
        <f>VLOOKUP($A1579, 'Hospitalisation Details'!$A:$H, 7, FALSE)</f>
        <v>6361.47</v>
      </c>
      <c r="M1579" s="22" t="str">
        <f>VLOOKUP($A1579, 'Hospitalisation Details'!$A:$L, 12, FALSE)</f>
        <v>tier - 2</v>
      </c>
      <c r="N1579" s="22" t="str">
        <f>VLOOKUP($A1579, 'Hospitalisation Details'!$A:$M, 13, FALSE)</f>
        <v>tier - 3</v>
      </c>
      <c r="O1579" s="22" t="str">
        <f>VLOOKUP($A1579, 'Hospitalisation Details'!$A:$N, 14, FALSE)</f>
        <v>R1021</v>
      </c>
      <c r="P1579" s="36">
        <f>VLOOKUP($A1579, 'Hospitalisation Details'!$A:$O, 15, FALSE)</f>
        <v>26</v>
      </c>
    </row>
    <row r="1580" ht="15.75" customHeight="1">
      <c r="A1580" s="33" t="s">
        <v>3159</v>
      </c>
      <c r="B1580" s="22" t="str">
        <f>VLOOKUP($A1580,'Customer Names'!$A:$D,3, FALSE)</f>
        <v>Millett</v>
      </c>
      <c r="C1580" s="22">
        <f>VLOOKUP($A1580,'Medical Examinations'!$A:$D, 2, FALSE)</f>
        <v>42.94</v>
      </c>
      <c r="D1580" s="22">
        <f>VLOOKUP($A1580, 'Medical Examinations'!$A:$D,3, FALSE)</f>
        <v>4.34</v>
      </c>
      <c r="E1580" s="22" t="str">
        <f>VLOOKUP($A1580, 'Medical Examinations'!$A:$D, 4, FALSE)</f>
        <v>No</v>
      </c>
      <c r="F1580" s="22" t="str">
        <f>VLOOKUP($A1580, 'Medical Examinations'!$A:$J, 5, FALSE)</f>
        <v>No</v>
      </c>
      <c r="G1580" s="22" t="str">
        <f>VLOOKUP($A1580, 'Medical Examinations'!$A:$I, 6, FALSE)</f>
        <v>No</v>
      </c>
      <c r="H1580" s="22">
        <f>VLOOKUP($A1580,'Medical Examinations'!$A:$L,10, FALSE)</f>
        <v>0</v>
      </c>
      <c r="I1580" s="22" t="str">
        <f>VLOOKUP($A1580, 'Medical Examinations'!$A:$J, 9, FALSE)</f>
        <v>No</v>
      </c>
      <c r="J1580" s="22" t="str">
        <f>VLOOKUP($A1580, 'Medical Examinations'!$A:$P, 11, FALSE)</f>
        <v>OBESITY</v>
      </c>
      <c r="K1580" s="34">
        <v>31634.0</v>
      </c>
      <c r="L1580" s="35">
        <f>VLOOKUP($A1580, 'Hospitalisation Details'!$A:$H, 7, FALSE)</f>
        <v>6360.99</v>
      </c>
      <c r="M1580" s="22" t="str">
        <f>VLOOKUP($A1580, 'Hospitalisation Details'!$A:$L, 12, FALSE)</f>
        <v>tier - 2</v>
      </c>
      <c r="N1580" s="22" t="str">
        <f>VLOOKUP($A1580, 'Hospitalisation Details'!$A:$M, 13, FALSE)</f>
        <v>tier - 2</v>
      </c>
      <c r="O1580" s="22" t="str">
        <f>VLOOKUP($A1580, 'Hospitalisation Details'!$A:$N, 14, FALSE)</f>
        <v>R1012</v>
      </c>
      <c r="P1580" s="36">
        <f>VLOOKUP($A1580, 'Hospitalisation Details'!$A:$O, 15, FALSE)</f>
        <v>33</v>
      </c>
    </row>
    <row r="1581" ht="15.75" customHeight="1">
      <c r="A1581" s="33" t="s">
        <v>3161</v>
      </c>
      <c r="B1581" s="22" t="str">
        <f>VLOOKUP($A1581,'Customer Names'!$A:$D,3, FALSE)</f>
        <v>Bosl</v>
      </c>
      <c r="C1581" s="22">
        <f>VLOOKUP($A1581,'Medical Examinations'!$A:$D, 2, FALSE)</f>
        <v>31.255</v>
      </c>
      <c r="D1581" s="22">
        <f>VLOOKUP($A1581, 'Medical Examinations'!$A:$D,3, FALSE)</f>
        <v>5.17</v>
      </c>
      <c r="E1581" s="22" t="str">
        <f>VLOOKUP($A1581, 'Medical Examinations'!$A:$D, 4, FALSE)</f>
        <v>No</v>
      </c>
      <c r="F1581" s="22" t="str">
        <f>VLOOKUP($A1581, 'Medical Examinations'!$A:$J, 5, FALSE)</f>
        <v>No</v>
      </c>
      <c r="G1581" s="22" t="str">
        <f>VLOOKUP($A1581, 'Medical Examinations'!$A:$I, 6, FALSE)</f>
        <v>No</v>
      </c>
      <c r="H1581" s="22">
        <f>VLOOKUP($A1581,'Medical Examinations'!$A:$L,10, FALSE)</f>
        <v>0</v>
      </c>
      <c r="I1581" s="22" t="str">
        <f>VLOOKUP($A1581, 'Medical Examinations'!$A:$J, 9, FALSE)</f>
        <v>No</v>
      </c>
      <c r="J1581" s="22" t="str">
        <f>VLOOKUP($A1581, 'Medical Examinations'!$A:$P, 11, FALSE)</f>
        <v>OBESITY</v>
      </c>
      <c r="K1581" s="34">
        <v>30562.0</v>
      </c>
      <c r="L1581" s="35">
        <f>VLOOKUP($A1581, 'Hospitalisation Details'!$A:$H, 7, FALSE)</f>
        <v>6358.78</v>
      </c>
      <c r="M1581" s="22" t="str">
        <f>VLOOKUP($A1581, 'Hospitalisation Details'!$A:$L, 12, FALSE)</f>
        <v>tier - 2</v>
      </c>
      <c r="N1581" s="22" t="str">
        <f>VLOOKUP($A1581, 'Hospitalisation Details'!$A:$M, 13, FALSE)</f>
        <v>tier - 1</v>
      </c>
      <c r="O1581" s="22" t="str">
        <f>VLOOKUP($A1581, 'Hospitalisation Details'!$A:$N, 14, FALSE)</f>
        <v>R1012</v>
      </c>
      <c r="P1581" s="36">
        <f>VLOOKUP($A1581, 'Hospitalisation Details'!$A:$O, 15, FALSE)</f>
        <v>42</v>
      </c>
    </row>
    <row r="1582" ht="15.75" customHeight="1">
      <c r="A1582" s="33" t="s">
        <v>3163</v>
      </c>
      <c r="B1582" s="22" t="str">
        <f>VLOOKUP($A1582,'Customer Names'!$A:$D,3, FALSE)</f>
        <v>Goldberg</v>
      </c>
      <c r="C1582" s="22">
        <f>VLOOKUP($A1582,'Medical Examinations'!$A:$D, 2, FALSE)</f>
        <v>45.43</v>
      </c>
      <c r="D1582" s="22">
        <f>VLOOKUP($A1582, 'Medical Examinations'!$A:$D,3, FALSE)</f>
        <v>4.23</v>
      </c>
      <c r="E1582" s="22" t="str">
        <f>VLOOKUP($A1582, 'Medical Examinations'!$A:$D, 4, FALSE)</f>
        <v>Yes</v>
      </c>
      <c r="F1582" s="22" t="str">
        <f>VLOOKUP($A1582, 'Medical Examinations'!$A:$J, 5, FALSE)</f>
        <v>No</v>
      </c>
      <c r="G1582" s="22" t="str">
        <f>VLOOKUP($A1582, 'Medical Examinations'!$A:$I, 6, FALSE)</f>
        <v>Yes</v>
      </c>
      <c r="H1582" s="22">
        <f>VLOOKUP($A1582,'Medical Examinations'!$A:$L,10, FALSE)</f>
        <v>1</v>
      </c>
      <c r="I1582" s="22" t="str">
        <f>VLOOKUP($A1582, 'Medical Examinations'!$A:$J, 9, FALSE)</f>
        <v>No</v>
      </c>
      <c r="J1582" s="22" t="str">
        <f>VLOOKUP($A1582, 'Medical Examinations'!$A:$P, 11, FALSE)</f>
        <v>OBESITY</v>
      </c>
      <c r="K1582" s="34">
        <v>36096.0</v>
      </c>
      <c r="L1582" s="35">
        <f>VLOOKUP($A1582, 'Hospitalisation Details'!$A:$H, 7, FALSE)</f>
        <v>6356.27</v>
      </c>
      <c r="M1582" s="22" t="str">
        <f>VLOOKUP($A1582, 'Hospitalisation Details'!$A:$L, 12, FALSE)</f>
        <v>tier - 3</v>
      </c>
      <c r="N1582" s="22" t="str">
        <f>VLOOKUP($A1582, 'Hospitalisation Details'!$A:$M, 13, FALSE)</f>
        <v>tier - 2</v>
      </c>
      <c r="O1582" s="22" t="str">
        <f>VLOOKUP($A1582, 'Hospitalisation Details'!$A:$N, 14, FALSE)</f>
        <v>R1013</v>
      </c>
      <c r="P1582" s="36">
        <f>VLOOKUP($A1582, 'Hospitalisation Details'!$A:$O, 15, FALSE)</f>
        <v>39</v>
      </c>
    </row>
    <row r="1583" ht="15.75" customHeight="1">
      <c r="A1583" s="33" t="s">
        <v>3165</v>
      </c>
      <c r="B1583" s="22" t="str">
        <f>VLOOKUP($A1583,'Customer Names'!$A:$D,3, FALSE)</f>
        <v>Kelley</v>
      </c>
      <c r="C1583" s="22">
        <f>VLOOKUP($A1583,'Medical Examinations'!$A:$D, 2, FALSE)</f>
        <v>32.34</v>
      </c>
      <c r="D1583" s="22">
        <f>VLOOKUP($A1583, 'Medical Examinations'!$A:$D,3, FALSE)</f>
        <v>4.88</v>
      </c>
      <c r="E1583" s="22" t="str">
        <f>VLOOKUP($A1583, 'Medical Examinations'!$A:$D, 4, FALSE)</f>
        <v>Yes</v>
      </c>
      <c r="F1583" s="22" t="str">
        <f>VLOOKUP($A1583, 'Medical Examinations'!$A:$J, 5, FALSE)</f>
        <v>No</v>
      </c>
      <c r="G1583" s="22" t="str">
        <f>VLOOKUP($A1583, 'Medical Examinations'!$A:$I, 6, FALSE)</f>
        <v>Yes</v>
      </c>
      <c r="H1583" s="22">
        <f>VLOOKUP($A1583,'Medical Examinations'!$A:$L,10, FALSE)</f>
        <v>1</v>
      </c>
      <c r="I1583" s="22" t="str">
        <f>VLOOKUP($A1583, 'Medical Examinations'!$A:$J, 9, FALSE)</f>
        <v>No</v>
      </c>
      <c r="J1583" s="22" t="str">
        <f>VLOOKUP($A1583, 'Medical Examinations'!$A:$P, 11, FALSE)</f>
        <v>OBESITY</v>
      </c>
      <c r="K1583" s="34">
        <v>28006.0</v>
      </c>
      <c r="L1583" s="35">
        <f>VLOOKUP($A1583, 'Hospitalisation Details'!$A:$H, 7, FALSE)</f>
        <v>6338.08</v>
      </c>
      <c r="M1583" s="22" t="str">
        <f>VLOOKUP($A1583, 'Hospitalisation Details'!$A:$L, 12, FALSE)</f>
        <v>tier - 2</v>
      </c>
      <c r="N1583" s="22" t="str">
        <f>VLOOKUP($A1583, 'Hospitalisation Details'!$A:$M, 13, FALSE)</f>
        <v>tier - 1</v>
      </c>
      <c r="O1583" s="22" t="str">
        <f>VLOOKUP($A1583, 'Hospitalisation Details'!$A:$N, 14, FALSE)</f>
        <v>R1013</v>
      </c>
      <c r="P1583" s="36">
        <f>VLOOKUP($A1583, 'Hospitalisation Details'!$A:$O, 15, FALSE)</f>
        <v>39</v>
      </c>
    </row>
    <row r="1584" ht="15.75" customHeight="1">
      <c r="A1584" s="33" t="s">
        <v>3167</v>
      </c>
      <c r="B1584" s="22" t="str">
        <f>VLOOKUP($A1584,'Customer Names'!$A:$D,3, FALSE)</f>
        <v>Johnston</v>
      </c>
      <c r="C1584" s="22">
        <f>VLOOKUP($A1584,'Medical Examinations'!$A:$D, 2, FALSE)</f>
        <v>25.46</v>
      </c>
      <c r="D1584" s="22">
        <f>VLOOKUP($A1584, 'Medical Examinations'!$A:$D,3, FALSE)</f>
        <v>9.71</v>
      </c>
      <c r="E1584" s="22" t="str">
        <f>VLOOKUP($A1584, 'Medical Examinations'!$A:$D, 4, FALSE)</f>
        <v>Yes</v>
      </c>
      <c r="F1584" s="22" t="str">
        <f>VLOOKUP($A1584, 'Medical Examinations'!$A:$J, 5, FALSE)</f>
        <v>No</v>
      </c>
      <c r="G1584" s="22" t="str">
        <f>VLOOKUP($A1584, 'Medical Examinations'!$A:$I, 6, FALSE)</f>
        <v>No</v>
      </c>
      <c r="H1584" s="22">
        <f>VLOOKUP($A1584,'Medical Examinations'!$A:$L,10, FALSE)</f>
        <v>1</v>
      </c>
      <c r="I1584" s="22" t="str">
        <f>VLOOKUP($A1584, 'Medical Examinations'!$A:$J, 9, FALSE)</f>
        <v>No</v>
      </c>
      <c r="J1584" s="22" t="str">
        <f>VLOOKUP($A1584, 'Medical Examinations'!$A:$P, 11, FALSE)</f>
        <v>OVERWEIGHT</v>
      </c>
      <c r="K1584" s="34">
        <v>25414.0</v>
      </c>
      <c r="L1584" s="35">
        <f>VLOOKUP($A1584, 'Hospitalisation Details'!$A:$H, 7, FALSE)</f>
        <v>6335.64</v>
      </c>
      <c r="M1584" s="22" t="str">
        <f>VLOOKUP($A1584, 'Hospitalisation Details'!$A:$L, 12, FALSE)</f>
        <v>tier - 2</v>
      </c>
      <c r="N1584" s="22" t="str">
        <f>VLOOKUP($A1584, 'Hospitalisation Details'!$A:$M, 13, FALSE)</f>
        <v>tier - 2</v>
      </c>
      <c r="O1584" s="22" t="str">
        <f>VLOOKUP($A1584, 'Hospitalisation Details'!$A:$N, 14, FALSE)</f>
        <v>R1013</v>
      </c>
      <c r="P1584" s="36">
        <f>VLOOKUP($A1584, 'Hospitalisation Details'!$A:$O, 15, FALSE)</f>
        <v>36</v>
      </c>
    </row>
    <row r="1585" ht="15.75" customHeight="1">
      <c r="A1585" s="33" t="s">
        <v>3169</v>
      </c>
      <c r="B1585" s="22" t="str">
        <f>VLOOKUP($A1585,'Customer Names'!$A:$D,3, FALSE)</f>
        <v>Keating</v>
      </c>
      <c r="C1585" s="22">
        <f>VLOOKUP($A1585,'Medical Examinations'!$A:$D, 2, FALSE)</f>
        <v>37.145</v>
      </c>
      <c r="D1585" s="22">
        <f>VLOOKUP($A1585, 'Medical Examinations'!$A:$D,3, FALSE)</f>
        <v>5.32</v>
      </c>
      <c r="E1585" s="22" t="str">
        <f>VLOOKUP($A1585, 'Medical Examinations'!$A:$D, 4, FALSE)</f>
        <v>No</v>
      </c>
      <c r="F1585" s="22" t="str">
        <f>VLOOKUP($A1585, 'Medical Examinations'!$A:$J, 5, FALSE)</f>
        <v>No</v>
      </c>
      <c r="G1585" s="22" t="str">
        <f>VLOOKUP($A1585, 'Medical Examinations'!$A:$I, 6, FALSE)</f>
        <v>No</v>
      </c>
      <c r="H1585" s="22">
        <f>VLOOKUP($A1585,'Medical Examinations'!$A:$L,10, FALSE)</f>
        <v>0</v>
      </c>
      <c r="I1585" s="22" t="str">
        <f>VLOOKUP($A1585, 'Medical Examinations'!$A:$J, 9, FALSE)</f>
        <v>No</v>
      </c>
      <c r="J1585" s="22" t="str">
        <f>VLOOKUP($A1585, 'Medical Examinations'!$A:$P, 11, FALSE)</f>
        <v>OBESITY</v>
      </c>
      <c r="K1585" s="34">
        <v>38139.0</v>
      </c>
      <c r="L1585" s="35">
        <f>VLOOKUP($A1585, 'Hospitalisation Details'!$A:$H, 7, FALSE)</f>
        <v>6334.34</v>
      </c>
      <c r="M1585" s="22" t="str">
        <f>VLOOKUP($A1585, 'Hospitalisation Details'!$A:$L, 12, FALSE)</f>
        <v>tier - 2</v>
      </c>
      <c r="N1585" s="22" t="str">
        <f>VLOOKUP($A1585, 'Hospitalisation Details'!$A:$M, 13, FALSE)</f>
        <v>tier - 2</v>
      </c>
      <c r="O1585" s="22" t="str">
        <f>VLOOKUP($A1585, 'Hospitalisation Details'!$A:$N, 14, FALSE)</f>
        <v>R1024</v>
      </c>
      <c r="P1585" s="36">
        <f>VLOOKUP($A1585, 'Hospitalisation Details'!$A:$O, 15, FALSE)</f>
        <v>32</v>
      </c>
    </row>
    <row r="1586" ht="15.75" customHeight="1">
      <c r="A1586" s="33" t="s">
        <v>3171</v>
      </c>
      <c r="B1586" s="22" t="str">
        <f>VLOOKUP($A1586,'Customer Names'!$A:$D,3, FALSE)</f>
        <v>Duhon</v>
      </c>
      <c r="C1586" s="22">
        <f>VLOOKUP($A1586,'Medical Examinations'!$A:$D, 2, FALSE)</f>
        <v>30.8</v>
      </c>
      <c r="D1586" s="22">
        <f>VLOOKUP($A1586, 'Medical Examinations'!$A:$D,3, FALSE)</f>
        <v>5.83</v>
      </c>
      <c r="E1586" s="22" t="str">
        <f>VLOOKUP($A1586, 'Medical Examinations'!$A:$D, 4, FALSE)</f>
        <v>Yes</v>
      </c>
      <c r="F1586" s="22" t="str">
        <f>VLOOKUP($A1586, 'Medical Examinations'!$A:$J, 5, FALSE)</f>
        <v>No</v>
      </c>
      <c r="G1586" s="22" t="str">
        <f>VLOOKUP($A1586, 'Medical Examinations'!$A:$I, 6, FALSE)</f>
        <v>No</v>
      </c>
      <c r="H1586" s="22">
        <f>VLOOKUP($A1586,'Medical Examinations'!$A:$L,10, FALSE)</f>
        <v>0</v>
      </c>
      <c r="I1586" s="22" t="str">
        <f>VLOOKUP($A1586, 'Medical Examinations'!$A:$J, 9, FALSE)</f>
        <v>No</v>
      </c>
      <c r="J1586" s="22" t="str">
        <f>VLOOKUP($A1586, 'Medical Examinations'!$A:$P, 11, FALSE)</f>
        <v>OBESITY</v>
      </c>
      <c r="K1586" s="34">
        <v>26504.0</v>
      </c>
      <c r="L1586" s="35">
        <f>VLOOKUP($A1586, 'Hospitalisation Details'!$A:$H, 7, FALSE)</f>
        <v>6313.76</v>
      </c>
      <c r="M1586" s="22" t="str">
        <f>VLOOKUP($A1586, 'Hospitalisation Details'!$A:$L, 12, FALSE)</f>
        <v>tier - 2</v>
      </c>
      <c r="N1586" s="22" t="str">
        <f>VLOOKUP($A1586, 'Hospitalisation Details'!$A:$M, 13, FALSE)</f>
        <v>tier - 1</v>
      </c>
      <c r="O1586" s="22" t="str">
        <f>VLOOKUP($A1586, 'Hospitalisation Details'!$A:$N, 14, FALSE)</f>
        <v>R1013</v>
      </c>
      <c r="P1586" s="36">
        <f>VLOOKUP($A1586, 'Hospitalisation Details'!$A:$O, 15, FALSE)</f>
        <v>37</v>
      </c>
    </row>
    <row r="1587" ht="15.75" customHeight="1">
      <c r="A1587" s="33" t="s">
        <v>3173</v>
      </c>
      <c r="B1587" s="22" t="str">
        <f>VLOOKUP($A1587,'Customer Names'!$A:$D,3, FALSE)</f>
        <v>Briseno</v>
      </c>
      <c r="C1587" s="22">
        <f>VLOOKUP($A1587,'Medical Examinations'!$A:$D, 2, FALSE)</f>
        <v>29.5</v>
      </c>
      <c r="D1587" s="22">
        <f>VLOOKUP($A1587, 'Medical Examinations'!$A:$D,3, FALSE)</f>
        <v>5.54</v>
      </c>
      <c r="E1587" s="22" t="str">
        <f>VLOOKUP($A1587, 'Medical Examinations'!$A:$D, 4, FALSE)</f>
        <v>Yes</v>
      </c>
      <c r="F1587" s="22" t="str">
        <f>VLOOKUP($A1587, 'Medical Examinations'!$A:$J, 5, FALSE)</f>
        <v>No</v>
      </c>
      <c r="G1587" s="22" t="str">
        <f>VLOOKUP($A1587, 'Medical Examinations'!$A:$I, 6, FALSE)</f>
        <v>No</v>
      </c>
      <c r="H1587" s="22">
        <f>VLOOKUP($A1587,'Medical Examinations'!$A:$L,10, FALSE)</f>
        <v>0</v>
      </c>
      <c r="I1587" s="22" t="str">
        <f>VLOOKUP($A1587, 'Medical Examinations'!$A:$J, 9, FALSE)</f>
        <v>No</v>
      </c>
      <c r="J1587" s="22" t="str">
        <f>VLOOKUP($A1587, 'Medical Examinations'!$A:$P, 11, FALSE)</f>
        <v>OVERWEIGHT</v>
      </c>
      <c r="K1587" s="34">
        <v>22904.0</v>
      </c>
      <c r="L1587" s="35">
        <f>VLOOKUP($A1587, 'Hospitalisation Details'!$A:$H, 7, FALSE)</f>
        <v>6311.95</v>
      </c>
      <c r="M1587" s="22" t="str">
        <f>VLOOKUP($A1587, 'Hospitalisation Details'!$A:$L, 12, FALSE)</f>
        <v>tier - 2</v>
      </c>
      <c r="N1587" s="22" t="str">
        <f>VLOOKUP($A1587, 'Hospitalisation Details'!$A:$M, 13, FALSE)</f>
        <v>tier - 1</v>
      </c>
      <c r="O1587" s="22" t="str">
        <f>VLOOKUP($A1587, 'Hospitalisation Details'!$A:$N, 14, FALSE)</f>
        <v>R1011</v>
      </c>
      <c r="P1587" s="36">
        <f>VLOOKUP($A1587, 'Hospitalisation Details'!$A:$O, 15, FALSE)</f>
        <v>37</v>
      </c>
    </row>
    <row r="1588" ht="15.75" customHeight="1">
      <c r="A1588" s="33" t="s">
        <v>3175</v>
      </c>
      <c r="B1588" s="22" t="str">
        <f>VLOOKUP($A1588,'Customer Names'!$A:$D,3, FALSE)</f>
        <v>Besse</v>
      </c>
      <c r="C1588" s="22">
        <f>VLOOKUP($A1588,'Medical Examinations'!$A:$D, 2, FALSE)</f>
        <v>43.39</v>
      </c>
      <c r="D1588" s="22">
        <f>VLOOKUP($A1588, 'Medical Examinations'!$A:$D,3, FALSE)</f>
        <v>5.85</v>
      </c>
      <c r="E1588" s="22" t="str">
        <f>VLOOKUP($A1588, 'Medical Examinations'!$A:$D, 4, FALSE)</f>
        <v>No</v>
      </c>
      <c r="F1588" s="22" t="str">
        <f>VLOOKUP($A1588, 'Medical Examinations'!$A:$J, 5, FALSE)</f>
        <v>Yes</v>
      </c>
      <c r="G1588" s="22" t="str">
        <f>VLOOKUP($A1588, 'Medical Examinations'!$A:$I, 6, FALSE)</f>
        <v>No</v>
      </c>
      <c r="H1588" s="22">
        <f>VLOOKUP($A1588,'Medical Examinations'!$A:$L,10, FALSE)</f>
        <v>1</v>
      </c>
      <c r="I1588" s="22" t="str">
        <f>VLOOKUP($A1588, 'Medical Examinations'!$A:$J, 9, FALSE)</f>
        <v>No</v>
      </c>
      <c r="J1588" s="22" t="str">
        <f>VLOOKUP($A1588, 'Medical Examinations'!$A:$P, 11, FALSE)</f>
        <v>OBESITY</v>
      </c>
      <c r="K1588" s="34">
        <v>23267.0</v>
      </c>
      <c r="L1588" s="35">
        <f>VLOOKUP($A1588, 'Hospitalisation Details'!$A:$H, 7, FALSE)</f>
        <v>6311.11</v>
      </c>
      <c r="M1588" s="22" t="str">
        <f>VLOOKUP($A1588, 'Hospitalisation Details'!$A:$L, 12, FALSE)</f>
        <v>tier - 2</v>
      </c>
      <c r="N1588" s="22" t="str">
        <f>VLOOKUP($A1588, 'Hospitalisation Details'!$A:$M, 13, FALSE)</f>
        <v>tier - 2</v>
      </c>
      <c r="O1588" s="22" t="str">
        <f>VLOOKUP($A1588, 'Hospitalisation Details'!$A:$N, 14, FALSE)</f>
        <v>R1011</v>
      </c>
      <c r="P1588" s="36">
        <f>VLOOKUP($A1588, 'Hospitalisation Details'!$A:$O, 15, FALSE)</f>
        <v>18</v>
      </c>
    </row>
    <row r="1589" ht="15.75" customHeight="1">
      <c r="A1589" s="33" t="s">
        <v>3177</v>
      </c>
      <c r="B1589" s="22" t="str">
        <f>VLOOKUP($A1589,'Customer Names'!$A:$D,3, FALSE)</f>
        <v>Shillings</v>
      </c>
      <c r="C1589" s="22">
        <f>VLOOKUP($A1589,'Medical Examinations'!$A:$D, 2, FALSE)</f>
        <v>15.08</v>
      </c>
      <c r="D1589" s="22">
        <f>VLOOKUP($A1589, 'Medical Examinations'!$A:$D,3, FALSE)</f>
        <v>4.85</v>
      </c>
      <c r="E1589" s="22" t="str">
        <f>VLOOKUP($A1589, 'Medical Examinations'!$A:$D, 4, FALSE)</f>
        <v>Yes</v>
      </c>
      <c r="F1589" s="22" t="str">
        <f>VLOOKUP($A1589, 'Medical Examinations'!$A:$J, 5, FALSE)</f>
        <v>No</v>
      </c>
      <c r="G1589" s="22" t="str">
        <f>VLOOKUP($A1589, 'Medical Examinations'!$A:$I, 6, FALSE)</f>
        <v>Yes</v>
      </c>
      <c r="H1589" s="22">
        <f>VLOOKUP($A1589,'Medical Examinations'!$A:$L,10, FALSE)</f>
        <v>1</v>
      </c>
      <c r="I1589" s="22" t="str">
        <f>VLOOKUP($A1589, 'Medical Examinations'!$A:$J, 9, FALSE)</f>
        <v>No</v>
      </c>
      <c r="J1589" s="22" t="str">
        <f>VLOOKUP($A1589, 'Medical Examinations'!$A:$P, 11, FALSE)</f>
        <v>UNDERWEIGHT</v>
      </c>
      <c r="K1589" s="34">
        <v>21408.0</v>
      </c>
      <c r="L1589" s="35">
        <f>VLOOKUP($A1589, 'Hospitalisation Details'!$A:$H, 7, FALSE)</f>
        <v>6305.61</v>
      </c>
      <c r="M1589" s="22" t="str">
        <f>VLOOKUP($A1589, 'Hospitalisation Details'!$A:$L, 12, FALSE)</f>
        <v>tier - 2</v>
      </c>
      <c r="N1589" s="22" t="str">
        <f>VLOOKUP($A1589, 'Hospitalisation Details'!$A:$M, 13, FALSE)</f>
        <v>tier - 2</v>
      </c>
      <c r="O1589" s="22" t="str">
        <f>VLOOKUP($A1589, 'Hospitalisation Details'!$A:$N, 14, FALSE)</f>
        <v>R1012</v>
      </c>
      <c r="P1589" s="36">
        <f>VLOOKUP($A1589, 'Hospitalisation Details'!$A:$O, 15, FALSE)</f>
        <v>53</v>
      </c>
    </row>
    <row r="1590" ht="15.75" customHeight="1">
      <c r="A1590" s="33" t="s">
        <v>3179</v>
      </c>
      <c r="B1590" s="22" t="str">
        <f>VLOOKUP($A1590,'Customer Names'!$A:$D,3, FALSE)</f>
        <v>Tate</v>
      </c>
      <c r="C1590" s="22">
        <f>VLOOKUP($A1590,'Medical Examinations'!$A:$D, 2, FALSE)</f>
        <v>20.48</v>
      </c>
      <c r="D1590" s="22">
        <f>VLOOKUP($A1590, 'Medical Examinations'!$A:$D,3, FALSE)</f>
        <v>11.09</v>
      </c>
      <c r="E1590" s="22" t="str">
        <f>VLOOKUP($A1590, 'Medical Examinations'!$A:$D, 4, FALSE)</f>
        <v>No</v>
      </c>
      <c r="F1590" s="22" t="str">
        <f>VLOOKUP($A1590, 'Medical Examinations'!$A:$J, 5, FALSE)</f>
        <v>No</v>
      </c>
      <c r="G1590" s="22" t="str">
        <f>VLOOKUP($A1590, 'Medical Examinations'!$A:$I, 6, FALSE)</f>
        <v>No</v>
      </c>
      <c r="H1590" s="22">
        <f>VLOOKUP($A1590,'Medical Examinations'!$A:$L,10, FALSE)</f>
        <v>0</v>
      </c>
      <c r="I1590" s="22" t="str">
        <f>VLOOKUP($A1590, 'Medical Examinations'!$A:$J, 9, FALSE)</f>
        <v>No</v>
      </c>
      <c r="J1590" s="22" t="str">
        <f>VLOOKUP($A1590, 'Medical Examinations'!$A:$P, 11, FALSE)</f>
        <v>NORMAL WEIGHT</v>
      </c>
      <c r="K1590" s="34">
        <v>28096.0</v>
      </c>
      <c r="L1590" s="35">
        <f>VLOOKUP($A1590, 'Hospitalisation Details'!$A:$H, 7, FALSE)</f>
        <v>6302.23</v>
      </c>
      <c r="M1590" s="22" t="str">
        <f>VLOOKUP($A1590, 'Hospitalisation Details'!$A:$L, 12, FALSE)</f>
        <v>tier - 2</v>
      </c>
      <c r="N1590" s="22" t="str">
        <f>VLOOKUP($A1590, 'Hospitalisation Details'!$A:$M, 13, FALSE)</f>
        <v>tier - 1</v>
      </c>
      <c r="O1590" s="22" t="str">
        <f>VLOOKUP($A1590, 'Hospitalisation Details'!$A:$N, 14, FALSE)</f>
        <v>R1013</v>
      </c>
      <c r="P1590" s="36">
        <f>VLOOKUP($A1590, 'Hospitalisation Details'!$A:$O, 15, FALSE)</f>
        <v>48</v>
      </c>
    </row>
    <row r="1591" ht="15.75" customHeight="1">
      <c r="A1591" s="33" t="s">
        <v>3181</v>
      </c>
      <c r="B1591" s="22" t="str">
        <f>VLOOKUP($A1591,'Customer Names'!$A:$D,3, FALSE)</f>
        <v>Arsenault</v>
      </c>
      <c r="C1591" s="22">
        <f>VLOOKUP($A1591,'Medical Examinations'!$A:$D, 2, FALSE)</f>
        <v>34.45</v>
      </c>
      <c r="D1591" s="22">
        <f>VLOOKUP($A1591, 'Medical Examinations'!$A:$D,3, FALSE)</f>
        <v>5.58</v>
      </c>
      <c r="E1591" s="22" t="str">
        <f>VLOOKUP($A1591, 'Medical Examinations'!$A:$D, 4, FALSE)</f>
        <v>Yes</v>
      </c>
      <c r="F1591" s="22" t="str">
        <f>VLOOKUP($A1591, 'Medical Examinations'!$A:$J, 5, FALSE)</f>
        <v>No</v>
      </c>
      <c r="G1591" s="22" t="str">
        <f>VLOOKUP($A1591, 'Medical Examinations'!$A:$I, 6, FALSE)</f>
        <v>No</v>
      </c>
      <c r="H1591" s="22">
        <f>VLOOKUP($A1591,'Medical Examinations'!$A:$L,10, FALSE)</f>
        <v>0</v>
      </c>
      <c r="I1591" s="22" t="str">
        <f>VLOOKUP($A1591, 'Medical Examinations'!$A:$J, 9, FALSE)</f>
        <v>No</v>
      </c>
      <c r="J1591" s="22" t="str">
        <f>VLOOKUP($A1591, 'Medical Examinations'!$A:$P, 11, FALSE)</f>
        <v>OBESITY</v>
      </c>
      <c r="K1591" s="34">
        <v>26292.0</v>
      </c>
      <c r="L1591" s="35">
        <f>VLOOKUP($A1591, 'Hospitalisation Details'!$A:$H, 7, FALSE)</f>
        <v>6293.63</v>
      </c>
      <c r="M1591" s="22" t="str">
        <f>VLOOKUP($A1591, 'Hospitalisation Details'!$A:$L, 12, FALSE)</f>
        <v>tier - 2</v>
      </c>
      <c r="N1591" s="22" t="str">
        <f>VLOOKUP($A1591, 'Hospitalisation Details'!$A:$M, 13, FALSE)</f>
        <v>tier - 3</v>
      </c>
      <c r="O1591" s="22" t="str">
        <f>VLOOKUP($A1591, 'Hospitalisation Details'!$A:$N, 14, FALSE)</f>
        <v>R1021</v>
      </c>
      <c r="P1591" s="36">
        <f>VLOOKUP($A1591, 'Hospitalisation Details'!$A:$O, 15, FALSE)</f>
        <v>26</v>
      </c>
    </row>
    <row r="1592" ht="15.75" customHeight="1">
      <c r="A1592" s="33" t="s">
        <v>3183</v>
      </c>
      <c r="B1592" s="22" t="str">
        <f>VLOOKUP($A1592,'Customer Names'!$A:$D,3, FALSE)</f>
        <v>Hengoed</v>
      </c>
      <c r="C1592" s="22">
        <f>VLOOKUP($A1592,'Medical Examinations'!$A:$D, 2, FALSE)</f>
        <v>34.21</v>
      </c>
      <c r="D1592" s="22">
        <f>VLOOKUP($A1592, 'Medical Examinations'!$A:$D,3, FALSE)</f>
        <v>9.72</v>
      </c>
      <c r="E1592" s="22" t="str">
        <f>VLOOKUP($A1592, 'Medical Examinations'!$A:$D, 4, FALSE)</f>
        <v>Yes</v>
      </c>
      <c r="F1592" s="22" t="str">
        <f>VLOOKUP($A1592, 'Medical Examinations'!$A:$J, 5, FALSE)</f>
        <v>No</v>
      </c>
      <c r="G1592" s="22" t="str">
        <f>VLOOKUP($A1592, 'Medical Examinations'!$A:$I, 6, FALSE)</f>
        <v>No</v>
      </c>
      <c r="H1592" s="22">
        <f>VLOOKUP($A1592,'Medical Examinations'!$A:$L,10, FALSE)</f>
        <v>0</v>
      </c>
      <c r="I1592" s="22" t="str">
        <f>VLOOKUP($A1592, 'Medical Examinations'!$A:$J, 9, FALSE)</f>
        <v>No</v>
      </c>
      <c r="J1592" s="22" t="str">
        <f>VLOOKUP($A1592, 'Medical Examinations'!$A:$P, 11, FALSE)</f>
        <v>OBESITY</v>
      </c>
      <c r="K1592" s="34">
        <v>29100.0</v>
      </c>
      <c r="L1592" s="35">
        <f>VLOOKUP($A1592, 'Hospitalisation Details'!$A:$H, 7, FALSE)</f>
        <v>6289.75</v>
      </c>
      <c r="M1592" s="22" t="str">
        <f>VLOOKUP($A1592, 'Hospitalisation Details'!$A:$L, 12, FALSE)</f>
        <v>tier - 2</v>
      </c>
      <c r="N1592" s="22" t="str">
        <f>VLOOKUP($A1592, 'Hospitalisation Details'!$A:$M, 13, FALSE)</f>
        <v>tier - 3</v>
      </c>
      <c r="O1592" s="22" t="str">
        <f>VLOOKUP($A1592, 'Hospitalisation Details'!$A:$N, 14, FALSE)</f>
        <v>R1013</v>
      </c>
      <c r="P1592" s="36">
        <f>VLOOKUP($A1592, 'Hospitalisation Details'!$A:$O, 15, FALSE)</f>
        <v>41</v>
      </c>
    </row>
    <row r="1593" ht="15.75" customHeight="1">
      <c r="A1593" s="33" t="s">
        <v>3185</v>
      </c>
      <c r="B1593" s="22" t="str">
        <f>VLOOKUP($A1593,'Customer Names'!$A:$D,3, FALSE)</f>
        <v>Aller</v>
      </c>
      <c r="C1593" s="22">
        <f>VLOOKUP($A1593,'Medical Examinations'!$A:$D, 2, FALSE)</f>
        <v>28.8</v>
      </c>
      <c r="D1593" s="22">
        <f>VLOOKUP($A1593, 'Medical Examinations'!$A:$D,3, FALSE)</f>
        <v>11.41</v>
      </c>
      <c r="E1593" s="22" t="str">
        <f>VLOOKUP($A1593, 'Medical Examinations'!$A:$D, 4, FALSE)</f>
        <v>Yes</v>
      </c>
      <c r="F1593" s="22" t="str">
        <f>VLOOKUP($A1593, 'Medical Examinations'!$A:$J, 5, FALSE)</f>
        <v>No</v>
      </c>
      <c r="G1593" s="22" t="str">
        <f>VLOOKUP($A1593, 'Medical Examinations'!$A:$I, 6, FALSE)</f>
        <v>No</v>
      </c>
      <c r="H1593" s="22">
        <f>VLOOKUP($A1593,'Medical Examinations'!$A:$L,10, FALSE)</f>
        <v>0</v>
      </c>
      <c r="I1593" s="22" t="str">
        <f>VLOOKUP($A1593, 'Medical Examinations'!$A:$J, 9, FALSE)</f>
        <v>No</v>
      </c>
      <c r="J1593" s="22" t="str">
        <f>VLOOKUP($A1593, 'Medical Examinations'!$A:$P, 11, FALSE)</f>
        <v>OVERWEIGHT</v>
      </c>
      <c r="K1593" s="34">
        <v>24639.0</v>
      </c>
      <c r="L1593" s="35">
        <f>VLOOKUP($A1593, 'Hospitalisation Details'!$A:$H, 7, FALSE)</f>
        <v>6282.24</v>
      </c>
      <c r="M1593" s="22" t="str">
        <f>VLOOKUP($A1593, 'Hospitalisation Details'!$A:$L, 12, FALSE)</f>
        <v>tier - 2</v>
      </c>
      <c r="N1593" s="22" t="str">
        <f>VLOOKUP($A1593, 'Hospitalisation Details'!$A:$M, 13, FALSE)</f>
        <v>tier - 1</v>
      </c>
      <c r="O1593" s="22" t="str">
        <f>VLOOKUP($A1593, 'Hospitalisation Details'!$A:$N, 14, FALSE)</f>
        <v>R1011</v>
      </c>
      <c r="P1593" s="36">
        <f>VLOOKUP($A1593, 'Hospitalisation Details'!$A:$O, 15, FALSE)</f>
        <v>41</v>
      </c>
    </row>
    <row r="1594" ht="15.75" customHeight="1">
      <c r="A1594" s="33" t="s">
        <v>3187</v>
      </c>
      <c r="B1594" s="22" t="str">
        <f>VLOOKUP($A1594,'Customer Names'!$A:$D,3, FALSE)</f>
        <v>Pisano</v>
      </c>
      <c r="C1594" s="22">
        <f>VLOOKUP($A1594,'Medical Examinations'!$A:$D, 2, FALSE)</f>
        <v>31.74</v>
      </c>
      <c r="D1594" s="22">
        <f>VLOOKUP($A1594, 'Medical Examinations'!$A:$D,3, FALSE)</f>
        <v>4.46</v>
      </c>
      <c r="E1594" s="22" t="str">
        <f>VLOOKUP($A1594, 'Medical Examinations'!$A:$D, 4, FALSE)</f>
        <v>No</v>
      </c>
      <c r="F1594" s="22" t="str">
        <f>VLOOKUP($A1594, 'Medical Examinations'!$A:$J, 5, FALSE)</f>
        <v>No</v>
      </c>
      <c r="G1594" s="22" t="str">
        <f>VLOOKUP($A1594, 'Medical Examinations'!$A:$I, 6, FALSE)</f>
        <v>Yes</v>
      </c>
      <c r="H1594" s="22">
        <f>VLOOKUP($A1594,'Medical Examinations'!$A:$L,10, FALSE)</f>
        <v>1</v>
      </c>
      <c r="I1594" s="22" t="str">
        <f>VLOOKUP($A1594, 'Medical Examinations'!$A:$J, 9, FALSE)</f>
        <v>No</v>
      </c>
      <c r="J1594" s="22" t="str">
        <f>VLOOKUP($A1594, 'Medical Examinations'!$A:$P, 11, FALSE)</f>
        <v>OBESITY</v>
      </c>
      <c r="K1594" s="34">
        <v>29802.0</v>
      </c>
      <c r="L1594" s="35">
        <f>VLOOKUP($A1594, 'Hospitalisation Details'!$A:$H, 7, FALSE)</f>
        <v>6276.3</v>
      </c>
      <c r="M1594" s="22" t="str">
        <f>VLOOKUP($A1594, 'Hospitalisation Details'!$A:$L, 12, FALSE)</f>
        <v>tier - 2</v>
      </c>
      <c r="N1594" s="22" t="str">
        <f>VLOOKUP($A1594, 'Hospitalisation Details'!$A:$M, 13, FALSE)</f>
        <v>tier - 1</v>
      </c>
      <c r="O1594" s="22" t="str">
        <f>VLOOKUP($A1594, 'Hospitalisation Details'!$A:$N, 14, FALSE)</f>
        <v>R1025</v>
      </c>
      <c r="P1594" s="36">
        <f>VLOOKUP($A1594, 'Hospitalisation Details'!$A:$O, 15, FALSE)</f>
        <v>29</v>
      </c>
    </row>
    <row r="1595" ht="15.75" customHeight="1">
      <c r="A1595" s="33" t="s">
        <v>3189</v>
      </c>
      <c r="B1595" s="22" t="str">
        <f>VLOOKUP($A1595,'Customer Names'!$A:$D,3, FALSE)</f>
        <v>Sanca</v>
      </c>
      <c r="C1595" s="22">
        <f>VLOOKUP($A1595,'Medical Examinations'!$A:$D, 2, FALSE)</f>
        <v>21.78</v>
      </c>
      <c r="D1595" s="22">
        <f>VLOOKUP($A1595, 'Medical Examinations'!$A:$D,3, FALSE)</f>
        <v>9.31</v>
      </c>
      <c r="E1595" s="22" t="str">
        <f>VLOOKUP($A1595, 'Medical Examinations'!$A:$D, 4, FALSE)</f>
        <v>Yes</v>
      </c>
      <c r="F1595" s="22" t="str">
        <f>VLOOKUP($A1595, 'Medical Examinations'!$A:$J, 5, FALSE)</f>
        <v>No</v>
      </c>
      <c r="G1595" s="22" t="str">
        <f>VLOOKUP($A1595, 'Medical Examinations'!$A:$I, 6, FALSE)</f>
        <v>No</v>
      </c>
      <c r="H1595" s="22">
        <f>VLOOKUP($A1595,'Medical Examinations'!$A:$L,10, FALSE)</f>
        <v>0</v>
      </c>
      <c r="I1595" s="22" t="str">
        <f>VLOOKUP($A1595, 'Medical Examinations'!$A:$J, 9, FALSE)</f>
        <v>No</v>
      </c>
      <c r="J1595" s="22" t="str">
        <f>VLOOKUP($A1595, 'Medical Examinations'!$A:$P, 11, FALSE)</f>
        <v>NORMAL WEIGHT</v>
      </c>
      <c r="K1595" s="34">
        <v>33516.0</v>
      </c>
      <c r="L1595" s="35">
        <f>VLOOKUP($A1595, 'Hospitalisation Details'!$A:$H, 7, FALSE)</f>
        <v>6272.48</v>
      </c>
      <c r="M1595" s="22" t="str">
        <f>VLOOKUP($A1595, 'Hospitalisation Details'!$A:$L, 12, FALSE)</f>
        <v>tier - 1</v>
      </c>
      <c r="N1595" s="22" t="str">
        <f>VLOOKUP($A1595, 'Hospitalisation Details'!$A:$M, 13, FALSE)</f>
        <v>tier - 3</v>
      </c>
      <c r="O1595" s="22" t="str">
        <f>VLOOKUP($A1595, 'Hospitalisation Details'!$A:$N, 14, FALSE)</f>
        <v>R1013</v>
      </c>
      <c r="P1595" s="36">
        <f>VLOOKUP($A1595, 'Hospitalisation Details'!$A:$O, 15, FALSE)</f>
        <v>41</v>
      </c>
    </row>
    <row r="1596" ht="15.75" customHeight="1">
      <c r="A1596" s="33" t="s">
        <v>3191</v>
      </c>
      <c r="B1596" s="22" t="str">
        <f>VLOOKUP($A1596,'Customer Names'!$A:$D,3, FALSE)</f>
        <v>Bond</v>
      </c>
      <c r="C1596" s="22">
        <f>VLOOKUP($A1596,'Medical Examinations'!$A:$D, 2, FALSE)</f>
        <v>23.75</v>
      </c>
      <c r="D1596" s="22">
        <f>VLOOKUP($A1596, 'Medical Examinations'!$A:$D,3, FALSE)</f>
        <v>5.03</v>
      </c>
      <c r="E1596" s="22" t="str">
        <f>VLOOKUP($A1596, 'Medical Examinations'!$A:$D, 4, FALSE)</f>
        <v>No</v>
      </c>
      <c r="F1596" s="22" t="str">
        <f>VLOOKUP($A1596, 'Medical Examinations'!$A:$J, 5, FALSE)</f>
        <v>No</v>
      </c>
      <c r="G1596" s="22" t="str">
        <f>VLOOKUP($A1596, 'Medical Examinations'!$A:$I, 6, FALSE)</f>
        <v>No</v>
      </c>
      <c r="H1596" s="22">
        <f>VLOOKUP($A1596,'Medical Examinations'!$A:$L,10, FALSE)</f>
        <v>1</v>
      </c>
      <c r="I1596" s="22" t="str">
        <f>VLOOKUP($A1596, 'Medical Examinations'!$A:$J, 9, FALSE)</f>
        <v>No</v>
      </c>
      <c r="J1596" s="22" t="str">
        <f>VLOOKUP($A1596, 'Medical Examinations'!$A:$P, 11, FALSE)</f>
        <v>NORMAL WEIGHT</v>
      </c>
      <c r="K1596" s="34">
        <v>27923.0</v>
      </c>
      <c r="L1596" s="35">
        <f>VLOOKUP($A1596, 'Hospitalisation Details'!$A:$H, 7, FALSE)</f>
        <v>6269.33</v>
      </c>
      <c r="M1596" s="22" t="str">
        <f>VLOOKUP($A1596, 'Hospitalisation Details'!$A:$L, 12, FALSE)</f>
        <v>tier - 2</v>
      </c>
      <c r="N1596" s="22" t="str">
        <f>VLOOKUP($A1596, 'Hospitalisation Details'!$A:$M, 13, FALSE)</f>
        <v>tier - 1</v>
      </c>
      <c r="O1596" s="22" t="str">
        <f>VLOOKUP($A1596, 'Hospitalisation Details'!$A:$N, 14, FALSE)</f>
        <v>R1013</v>
      </c>
      <c r="P1596" s="36">
        <f>VLOOKUP($A1596, 'Hospitalisation Details'!$A:$O, 15, FALSE)</f>
        <v>38</v>
      </c>
    </row>
    <row r="1597" ht="15.75" customHeight="1">
      <c r="A1597" s="33" t="s">
        <v>3193</v>
      </c>
      <c r="B1597" s="22" t="str">
        <f>VLOOKUP($A1597,'Customer Names'!$A:$D,3, FALSE)</f>
        <v>Carron</v>
      </c>
      <c r="C1597" s="22">
        <f>VLOOKUP($A1597,'Medical Examinations'!$A:$D, 2, FALSE)</f>
        <v>33.21</v>
      </c>
      <c r="D1597" s="22">
        <f>VLOOKUP($A1597, 'Medical Examinations'!$A:$D,3, FALSE)</f>
        <v>5.07</v>
      </c>
      <c r="E1597" s="22" t="str">
        <f>VLOOKUP($A1597, 'Medical Examinations'!$A:$D, 4, FALSE)</f>
        <v>Yes</v>
      </c>
      <c r="F1597" s="22" t="str">
        <f>VLOOKUP($A1597, 'Medical Examinations'!$A:$J, 5, FALSE)</f>
        <v>No</v>
      </c>
      <c r="G1597" s="22" t="str">
        <f>VLOOKUP($A1597, 'Medical Examinations'!$A:$I, 6, FALSE)</f>
        <v>No</v>
      </c>
      <c r="H1597" s="22">
        <f>VLOOKUP($A1597,'Medical Examinations'!$A:$L,10, FALSE)</f>
        <v>1</v>
      </c>
      <c r="I1597" s="22" t="str">
        <f>VLOOKUP($A1597, 'Medical Examinations'!$A:$J, 9, FALSE)</f>
        <v>No</v>
      </c>
      <c r="J1597" s="22" t="str">
        <f>VLOOKUP($A1597, 'Medical Examinations'!$A:$P, 11, FALSE)</f>
        <v>OBESITY</v>
      </c>
      <c r="K1597" s="34">
        <v>32507.0</v>
      </c>
      <c r="L1597" s="35">
        <f>VLOOKUP($A1597, 'Hospitalisation Details'!$A:$H, 7, FALSE)</f>
        <v>6261.2</v>
      </c>
      <c r="M1597" s="22" t="str">
        <f>VLOOKUP($A1597, 'Hospitalisation Details'!$A:$L, 12, FALSE)</f>
        <v>tier - 2</v>
      </c>
      <c r="N1597" s="22" t="str">
        <f>VLOOKUP($A1597, 'Hospitalisation Details'!$A:$M, 13, FALSE)</f>
        <v>tier - 1</v>
      </c>
      <c r="O1597" s="22" t="str">
        <f>VLOOKUP($A1597, 'Hospitalisation Details'!$A:$N, 14, FALSE)</f>
        <v>R1026</v>
      </c>
      <c r="P1597" s="36">
        <f>VLOOKUP($A1597, 'Hospitalisation Details'!$A:$O, 15, FALSE)</f>
        <v>27</v>
      </c>
    </row>
    <row r="1598" ht="15.75" customHeight="1">
      <c r="A1598" s="33" t="s">
        <v>3195</v>
      </c>
      <c r="B1598" s="22" t="str">
        <f>VLOOKUP($A1598,'Customer Names'!$A:$D,3, FALSE)</f>
        <v>Ellwanger</v>
      </c>
      <c r="C1598" s="22">
        <f>VLOOKUP($A1598,'Medical Examinations'!$A:$D, 2, FALSE)</f>
        <v>17.7</v>
      </c>
      <c r="D1598" s="22">
        <f>VLOOKUP($A1598, 'Medical Examinations'!$A:$D,3, FALSE)</f>
        <v>10.42</v>
      </c>
      <c r="E1598" s="22" t="str">
        <f>VLOOKUP($A1598, 'Medical Examinations'!$A:$D, 4, FALSE)</f>
        <v>Yes</v>
      </c>
      <c r="F1598" s="22" t="str">
        <f>VLOOKUP($A1598, 'Medical Examinations'!$A:$J, 5, FALSE)</f>
        <v>No</v>
      </c>
      <c r="G1598" s="22" t="str">
        <f>VLOOKUP($A1598, 'Medical Examinations'!$A:$I, 6, FALSE)</f>
        <v>No</v>
      </c>
      <c r="H1598" s="22">
        <f>VLOOKUP($A1598,'Medical Examinations'!$A:$L,10, FALSE)</f>
        <v>2</v>
      </c>
      <c r="I1598" s="22" t="str">
        <f>VLOOKUP($A1598, 'Medical Examinations'!$A:$J, 9, FALSE)</f>
        <v>No</v>
      </c>
      <c r="J1598" s="22" t="str">
        <f>VLOOKUP($A1598, 'Medical Examinations'!$A:$P, 11, FALSE)</f>
        <v>UNDERWEIGHT</v>
      </c>
      <c r="K1598" s="34">
        <v>27625.0</v>
      </c>
      <c r="L1598" s="35">
        <f>VLOOKUP($A1598, 'Hospitalisation Details'!$A:$H, 7, FALSE)</f>
        <v>6255.38</v>
      </c>
      <c r="M1598" s="22" t="str">
        <f>VLOOKUP($A1598, 'Hospitalisation Details'!$A:$L, 12, FALSE)</f>
        <v>tier - 2</v>
      </c>
      <c r="N1598" s="22" t="str">
        <f>VLOOKUP($A1598, 'Hospitalisation Details'!$A:$M, 13, FALSE)</f>
        <v>tier - 2</v>
      </c>
      <c r="O1598" s="22" t="str">
        <f>VLOOKUP($A1598, 'Hospitalisation Details'!$A:$N, 14, FALSE)</f>
        <v>R1013</v>
      </c>
      <c r="P1598" s="36">
        <f>VLOOKUP($A1598, 'Hospitalisation Details'!$A:$O, 15, FALSE)</f>
        <v>52</v>
      </c>
    </row>
    <row r="1599" ht="15.75" customHeight="1">
      <c r="A1599" s="33" t="s">
        <v>3197</v>
      </c>
      <c r="B1599" s="22" t="str">
        <f>VLOOKUP($A1599,'Customer Names'!$A:$D,3, FALSE)</f>
        <v>Hanson</v>
      </c>
      <c r="C1599" s="22">
        <f>VLOOKUP($A1599,'Medical Examinations'!$A:$D, 2, FALSE)</f>
        <v>17.2</v>
      </c>
      <c r="D1599" s="22">
        <f>VLOOKUP($A1599, 'Medical Examinations'!$A:$D,3, FALSE)</f>
        <v>6.45</v>
      </c>
      <c r="E1599" s="22" t="str">
        <f>VLOOKUP($A1599, 'Medical Examinations'!$A:$D, 4, FALSE)</f>
        <v>No</v>
      </c>
      <c r="F1599" s="22" t="str">
        <f>VLOOKUP($A1599, 'Medical Examinations'!$A:$J, 5, FALSE)</f>
        <v>No</v>
      </c>
      <c r="G1599" s="22" t="str">
        <f>VLOOKUP($A1599, 'Medical Examinations'!$A:$I, 6, FALSE)</f>
        <v>No</v>
      </c>
      <c r="H1599" s="22">
        <f>VLOOKUP($A1599,'Medical Examinations'!$A:$L,10, FALSE)</f>
        <v>2</v>
      </c>
      <c r="I1599" s="22" t="str">
        <f>VLOOKUP($A1599, 'Medical Examinations'!$A:$J, 9, FALSE)</f>
        <v>No</v>
      </c>
      <c r="J1599" s="22" t="str">
        <f>VLOOKUP($A1599, 'Medical Examinations'!$A:$P, 11, FALSE)</f>
        <v>UNDERWEIGHT</v>
      </c>
      <c r="K1599" s="34">
        <v>32872.0</v>
      </c>
      <c r="L1599" s="35">
        <f>VLOOKUP($A1599, 'Hospitalisation Details'!$A:$H, 7, FALSE)</f>
        <v>6254.13</v>
      </c>
      <c r="M1599" s="22" t="str">
        <f>VLOOKUP($A1599, 'Hospitalisation Details'!$A:$L, 12, FALSE)</f>
        <v>tier - 2</v>
      </c>
      <c r="N1599" s="22" t="str">
        <f>VLOOKUP($A1599, 'Hospitalisation Details'!$A:$M, 13, FALSE)</f>
        <v>tier - 2</v>
      </c>
      <c r="O1599" s="22" t="str">
        <f>VLOOKUP($A1599, 'Hospitalisation Details'!$A:$N, 14, FALSE)</f>
        <v>R1012</v>
      </c>
      <c r="P1599" s="36">
        <f>VLOOKUP($A1599, 'Hospitalisation Details'!$A:$O, 15, FALSE)</f>
        <v>50</v>
      </c>
    </row>
    <row r="1600" ht="15.75" customHeight="1">
      <c r="A1600" s="33" t="s">
        <v>3199</v>
      </c>
      <c r="B1600" s="22" t="str">
        <f>VLOOKUP($A1600,'Customer Names'!$A:$D,3, FALSE)</f>
        <v>Tucker</v>
      </c>
      <c r="C1600" s="22">
        <f>VLOOKUP($A1600,'Medical Examinations'!$A:$D, 2, FALSE)</f>
        <v>19.21</v>
      </c>
      <c r="D1600" s="22">
        <f>VLOOKUP($A1600, 'Medical Examinations'!$A:$D,3, FALSE)</f>
        <v>5.52</v>
      </c>
      <c r="E1600" s="22" t="str">
        <f>VLOOKUP($A1600, 'Medical Examinations'!$A:$D, 4, FALSE)</f>
        <v>No</v>
      </c>
      <c r="F1600" s="22" t="str">
        <f>VLOOKUP($A1600, 'Medical Examinations'!$A:$J, 5, FALSE)</f>
        <v>No</v>
      </c>
      <c r="G1600" s="22" t="str">
        <f>VLOOKUP($A1600, 'Medical Examinations'!$A:$I, 6, FALSE)</f>
        <v>No</v>
      </c>
      <c r="H1600" s="22">
        <f>VLOOKUP($A1600,'Medical Examinations'!$A:$L,10, FALSE)</f>
        <v>2</v>
      </c>
      <c r="I1600" s="22" t="str">
        <f>VLOOKUP($A1600, 'Medical Examinations'!$A:$J, 9, FALSE)</f>
        <v>No</v>
      </c>
      <c r="J1600" s="22" t="str">
        <f>VLOOKUP($A1600, 'Medical Examinations'!$A:$P, 11, FALSE)</f>
        <v>NORMAL WEIGHT</v>
      </c>
      <c r="K1600" s="34">
        <v>30253.0</v>
      </c>
      <c r="L1600" s="35">
        <f>VLOOKUP($A1600, 'Hospitalisation Details'!$A:$H, 7, FALSE)</f>
        <v>6253.85</v>
      </c>
      <c r="M1600" s="22" t="str">
        <f>VLOOKUP($A1600, 'Hospitalisation Details'!$A:$L, 12, FALSE)</f>
        <v>tier - 2</v>
      </c>
      <c r="N1600" s="22" t="str">
        <f>VLOOKUP($A1600, 'Hospitalisation Details'!$A:$M, 13, FALSE)</f>
        <v>tier - 2</v>
      </c>
      <c r="O1600" s="22" t="str">
        <f>VLOOKUP($A1600, 'Hospitalisation Details'!$A:$N, 14, FALSE)</f>
        <v>R1013</v>
      </c>
      <c r="P1600" s="36">
        <f>VLOOKUP($A1600, 'Hospitalisation Details'!$A:$O, 15, FALSE)</f>
        <v>50</v>
      </c>
    </row>
    <row r="1601" ht="15.75" customHeight="1">
      <c r="A1601" s="33" t="s">
        <v>3201</v>
      </c>
      <c r="B1601" s="22" t="str">
        <f>VLOOKUP($A1601,'Customer Names'!$A:$D,3, FALSE)</f>
        <v>Counts</v>
      </c>
      <c r="C1601" s="22">
        <f>VLOOKUP($A1601,'Medical Examinations'!$A:$D, 2, FALSE)</f>
        <v>23.2</v>
      </c>
      <c r="D1601" s="22">
        <f>VLOOKUP($A1601, 'Medical Examinations'!$A:$D,3, FALSE)</f>
        <v>4.41</v>
      </c>
      <c r="E1601" s="22" t="str">
        <f>VLOOKUP($A1601, 'Medical Examinations'!$A:$D, 4, FALSE)</f>
        <v>No</v>
      </c>
      <c r="F1601" s="22" t="str">
        <f>VLOOKUP($A1601, 'Medical Examinations'!$A:$J, 5, FALSE)</f>
        <v>No</v>
      </c>
      <c r="G1601" s="22" t="str">
        <f>VLOOKUP($A1601, 'Medical Examinations'!$A:$I, 6, FALSE)</f>
        <v>Yes</v>
      </c>
      <c r="H1601" s="22">
        <f>VLOOKUP($A1601,'Medical Examinations'!$A:$L,10, FALSE)</f>
        <v>1</v>
      </c>
      <c r="I1601" s="22" t="str">
        <f>VLOOKUP($A1601, 'Medical Examinations'!$A:$J, 9, FALSE)</f>
        <v>No</v>
      </c>
      <c r="J1601" s="22" t="str">
        <f>VLOOKUP($A1601, 'Medical Examinations'!$A:$P, 11, FALSE)</f>
        <v>NORMAL WEIGHT</v>
      </c>
      <c r="K1601" s="34">
        <v>22984.0</v>
      </c>
      <c r="L1601" s="35">
        <f>VLOOKUP($A1601, 'Hospitalisation Details'!$A:$H, 7, FALSE)</f>
        <v>6250.44</v>
      </c>
      <c r="M1601" s="22" t="str">
        <f>VLOOKUP($A1601, 'Hospitalisation Details'!$A:$L, 12, FALSE)</f>
        <v>tier - 2</v>
      </c>
      <c r="N1601" s="22" t="str">
        <f>VLOOKUP($A1601, 'Hospitalisation Details'!$A:$M, 13, FALSE)</f>
        <v>tier - 1</v>
      </c>
      <c r="O1601" s="22" t="str">
        <f>VLOOKUP($A1601, 'Hospitalisation Details'!$A:$N, 14, FALSE)</f>
        <v>R1011</v>
      </c>
      <c r="P1601" s="36">
        <f>VLOOKUP($A1601, 'Hospitalisation Details'!$A:$O, 15, FALSE)</f>
        <v>43</v>
      </c>
    </row>
    <row r="1602" ht="15.75" customHeight="1">
      <c r="A1602" s="33" t="s">
        <v>3203</v>
      </c>
      <c r="B1602" s="22" t="str">
        <f>VLOOKUP($A1602,'Customer Names'!$A:$D,3, FALSE)</f>
        <v>Carson</v>
      </c>
      <c r="C1602" s="22">
        <f>VLOOKUP($A1602,'Medical Examinations'!$A:$D, 2, FALSE)</f>
        <v>32.5</v>
      </c>
      <c r="D1602" s="22">
        <f>VLOOKUP($A1602, 'Medical Examinations'!$A:$D,3, FALSE)</f>
        <v>4.69</v>
      </c>
      <c r="E1602" s="22" t="str">
        <f>VLOOKUP($A1602, 'Medical Examinations'!$A:$D, 4, FALSE)</f>
        <v>Yes</v>
      </c>
      <c r="F1602" s="22" t="str">
        <f>VLOOKUP($A1602, 'Medical Examinations'!$A:$J, 5, FALSE)</f>
        <v>No</v>
      </c>
      <c r="G1602" s="22" t="str">
        <f>VLOOKUP($A1602, 'Medical Examinations'!$A:$I, 6, FALSE)</f>
        <v>Yes</v>
      </c>
      <c r="H1602" s="22">
        <f>VLOOKUP($A1602,'Medical Examinations'!$A:$L,10, FALSE)</f>
        <v>1</v>
      </c>
      <c r="I1602" s="22" t="str">
        <f>VLOOKUP($A1602, 'Medical Examinations'!$A:$J, 9, FALSE)</f>
        <v>No</v>
      </c>
      <c r="J1602" s="22" t="str">
        <f>VLOOKUP($A1602, 'Medical Examinations'!$A:$P, 11, FALSE)</f>
        <v>OBESITY</v>
      </c>
      <c r="K1602" s="34">
        <v>29811.0</v>
      </c>
      <c r="L1602" s="35">
        <f>VLOOKUP($A1602, 'Hospitalisation Details'!$A:$H, 7, FALSE)</f>
        <v>6238.3</v>
      </c>
      <c r="M1602" s="22" t="str">
        <f>VLOOKUP($A1602, 'Hospitalisation Details'!$A:$L, 12, FALSE)</f>
        <v>tier - 2</v>
      </c>
      <c r="N1602" s="22" t="str">
        <f>VLOOKUP($A1602, 'Hospitalisation Details'!$A:$M, 13, FALSE)</f>
        <v>tier - 1</v>
      </c>
      <c r="O1602" s="22" t="str">
        <f>VLOOKUP($A1602, 'Hospitalisation Details'!$A:$N, 14, FALSE)</f>
        <v>R1011</v>
      </c>
      <c r="P1602" s="36">
        <f>VLOOKUP($A1602, 'Hospitalisation Details'!$A:$O, 15, FALSE)</f>
        <v>39</v>
      </c>
    </row>
    <row r="1603" ht="15.75" customHeight="1">
      <c r="A1603" s="33" t="s">
        <v>3205</v>
      </c>
      <c r="B1603" s="22" t="str">
        <f>VLOOKUP($A1603,'Customer Names'!$A:$D,3, FALSE)</f>
        <v>Haines</v>
      </c>
      <c r="C1603" s="22">
        <f>VLOOKUP($A1603,'Medical Examinations'!$A:$D, 2, FALSE)</f>
        <v>20.9</v>
      </c>
      <c r="D1603" s="22">
        <f>VLOOKUP($A1603, 'Medical Examinations'!$A:$D,3, FALSE)</f>
        <v>6.94</v>
      </c>
      <c r="E1603" s="22" t="str">
        <f>VLOOKUP($A1603, 'Medical Examinations'!$A:$D, 4, FALSE)</f>
        <v>No</v>
      </c>
      <c r="F1603" s="22" t="str">
        <f>VLOOKUP($A1603, 'Medical Examinations'!$A:$J, 5, FALSE)</f>
        <v>No</v>
      </c>
      <c r="G1603" s="22" t="str">
        <f>VLOOKUP($A1603, 'Medical Examinations'!$A:$I, 6, FALSE)</f>
        <v>No</v>
      </c>
      <c r="H1603" s="22">
        <f>VLOOKUP($A1603,'Medical Examinations'!$A:$L,10, FALSE)</f>
        <v>0</v>
      </c>
      <c r="I1603" s="22" t="str">
        <f>VLOOKUP($A1603, 'Medical Examinations'!$A:$J, 9, FALSE)</f>
        <v>No</v>
      </c>
      <c r="J1603" s="22" t="str">
        <f>VLOOKUP($A1603, 'Medical Examinations'!$A:$P, 11, FALSE)</f>
        <v>NORMAL WEIGHT</v>
      </c>
      <c r="K1603" s="34">
        <v>35966.0</v>
      </c>
      <c r="L1603" s="35">
        <f>VLOOKUP($A1603, 'Hospitalisation Details'!$A:$H, 7, FALSE)</f>
        <v>6236.95</v>
      </c>
      <c r="M1603" s="22" t="str">
        <f>VLOOKUP($A1603, 'Hospitalisation Details'!$A:$L, 12, FALSE)</f>
        <v>tier - 2</v>
      </c>
      <c r="N1603" s="22" t="str">
        <f>VLOOKUP($A1603, 'Hospitalisation Details'!$A:$M, 13, FALSE)</f>
        <v>tier - 2</v>
      </c>
      <c r="O1603" s="22" t="str">
        <f>VLOOKUP($A1603, 'Hospitalisation Details'!$A:$N, 14, FALSE)</f>
        <v>R1013</v>
      </c>
      <c r="P1603" s="36">
        <f>VLOOKUP($A1603, 'Hospitalisation Details'!$A:$O, 15, FALSE)</f>
        <v>44</v>
      </c>
    </row>
    <row r="1604" ht="15.75" customHeight="1">
      <c r="A1604" s="33" t="s">
        <v>3207</v>
      </c>
      <c r="B1604" s="22" t="str">
        <f>VLOOKUP($A1604,'Customer Names'!$A:$D,3, FALSE)</f>
        <v>Schnabel</v>
      </c>
      <c r="C1604" s="22">
        <f>VLOOKUP($A1604,'Medical Examinations'!$A:$D, 2, FALSE)</f>
        <v>19.11</v>
      </c>
      <c r="D1604" s="22">
        <f>VLOOKUP($A1604, 'Medical Examinations'!$A:$D,3, FALSE)</f>
        <v>4.35</v>
      </c>
      <c r="E1604" s="22" t="str">
        <f>VLOOKUP($A1604, 'Medical Examinations'!$A:$D, 4, FALSE)</f>
        <v>No</v>
      </c>
      <c r="F1604" s="22" t="str">
        <f>VLOOKUP($A1604, 'Medical Examinations'!$A:$J, 5, FALSE)</f>
        <v>No</v>
      </c>
      <c r="G1604" s="22" t="str">
        <f>VLOOKUP($A1604, 'Medical Examinations'!$A:$I, 6, FALSE)</f>
        <v>No</v>
      </c>
      <c r="H1604" s="22">
        <f>VLOOKUP($A1604,'Medical Examinations'!$A:$L,10, FALSE)</f>
        <v>2</v>
      </c>
      <c r="I1604" s="22" t="str">
        <f>VLOOKUP($A1604, 'Medical Examinations'!$A:$J, 9, FALSE)</f>
        <v>No</v>
      </c>
      <c r="J1604" s="22" t="str">
        <f>VLOOKUP($A1604, 'Medical Examinations'!$A:$P, 11, FALSE)</f>
        <v>NORMAL WEIGHT</v>
      </c>
      <c r="K1604" s="34">
        <v>26899.0</v>
      </c>
      <c r="L1604" s="35">
        <f>VLOOKUP($A1604, 'Hospitalisation Details'!$A:$H, 7, FALSE)</f>
        <v>6219.93</v>
      </c>
      <c r="M1604" s="22" t="str">
        <f>VLOOKUP($A1604, 'Hospitalisation Details'!$A:$L, 12, FALSE)</f>
        <v>tier - 2</v>
      </c>
      <c r="N1604" s="22" t="str">
        <f>VLOOKUP($A1604, 'Hospitalisation Details'!$A:$M, 13, FALSE)</f>
        <v>tier - 2</v>
      </c>
      <c r="O1604" s="22" t="str">
        <f>VLOOKUP($A1604, 'Hospitalisation Details'!$A:$N, 14, FALSE)</f>
        <v>R1013</v>
      </c>
      <c r="P1604" s="36">
        <f>VLOOKUP($A1604, 'Hospitalisation Details'!$A:$O, 15, FALSE)</f>
        <v>50</v>
      </c>
    </row>
    <row r="1605" ht="15.75" customHeight="1">
      <c r="A1605" s="33" t="s">
        <v>3209</v>
      </c>
      <c r="B1605" s="22" t="str">
        <f>VLOOKUP($A1605,'Customer Names'!$A:$D,3, FALSE)</f>
        <v>Thind</v>
      </c>
      <c r="C1605" s="22">
        <f>VLOOKUP($A1605,'Medical Examinations'!$A:$D, 2, FALSE)</f>
        <v>31.17</v>
      </c>
      <c r="D1605" s="22">
        <f>VLOOKUP($A1605, 'Medical Examinations'!$A:$D,3, FALSE)</f>
        <v>5.28</v>
      </c>
      <c r="E1605" s="22" t="str">
        <f>VLOOKUP($A1605, 'Medical Examinations'!$A:$D, 4, FALSE)</f>
        <v>No</v>
      </c>
      <c r="F1605" s="22" t="str">
        <f>VLOOKUP($A1605, 'Medical Examinations'!$A:$J, 5, FALSE)</f>
        <v>No</v>
      </c>
      <c r="G1605" s="22" t="str">
        <f>VLOOKUP($A1605, 'Medical Examinations'!$A:$I, 6, FALSE)</f>
        <v>No</v>
      </c>
      <c r="H1605" s="22">
        <f>VLOOKUP($A1605,'Medical Examinations'!$A:$L,10, FALSE)</f>
        <v>1</v>
      </c>
      <c r="I1605" s="22" t="str">
        <f>VLOOKUP($A1605, 'Medical Examinations'!$A:$J, 9, FALSE)</f>
        <v>No</v>
      </c>
      <c r="J1605" s="22" t="str">
        <f>VLOOKUP($A1605, 'Medical Examinations'!$A:$P, 11, FALSE)</f>
        <v>OBESITY</v>
      </c>
      <c r="K1605" s="34">
        <v>34177.0</v>
      </c>
      <c r="L1605" s="35">
        <f>VLOOKUP($A1605, 'Hospitalisation Details'!$A:$H, 7, FALSE)</f>
        <v>6208.5</v>
      </c>
      <c r="M1605" s="22" t="str">
        <f>VLOOKUP($A1605, 'Hospitalisation Details'!$A:$L, 12, FALSE)</f>
        <v>tier - 2</v>
      </c>
      <c r="N1605" s="22" t="str">
        <f>VLOOKUP($A1605, 'Hospitalisation Details'!$A:$M, 13, FALSE)</f>
        <v>tier - 1</v>
      </c>
      <c r="O1605" s="22" t="str">
        <f>VLOOKUP($A1605, 'Hospitalisation Details'!$A:$N, 14, FALSE)</f>
        <v>R1021</v>
      </c>
      <c r="P1605" s="36">
        <f>VLOOKUP($A1605, 'Hospitalisation Details'!$A:$O, 15, FALSE)</f>
        <v>30</v>
      </c>
    </row>
    <row r="1606" ht="15.75" customHeight="1">
      <c r="A1606" s="33" t="s">
        <v>3211</v>
      </c>
      <c r="B1606" s="22" t="str">
        <f>VLOOKUP($A1606,'Customer Names'!$A:$D,3, FALSE)</f>
        <v>Simon</v>
      </c>
      <c r="C1606" s="22">
        <f>VLOOKUP($A1606,'Medical Examinations'!$A:$D, 2, FALSE)</f>
        <v>36.08</v>
      </c>
      <c r="D1606" s="22">
        <f>VLOOKUP($A1606, 'Medical Examinations'!$A:$D,3, FALSE)</f>
        <v>4.29</v>
      </c>
      <c r="E1606" s="22" t="str">
        <f>VLOOKUP($A1606, 'Medical Examinations'!$A:$D, 4, FALSE)</f>
        <v>No</v>
      </c>
      <c r="F1606" s="22" t="str">
        <f>VLOOKUP($A1606, 'Medical Examinations'!$A:$J, 5, FALSE)</f>
        <v>No</v>
      </c>
      <c r="G1606" s="22" t="str">
        <f>VLOOKUP($A1606, 'Medical Examinations'!$A:$I, 6, FALSE)</f>
        <v>No</v>
      </c>
      <c r="H1606" s="22">
        <f>VLOOKUP($A1606,'Medical Examinations'!$A:$L,10, FALSE)</f>
        <v>0</v>
      </c>
      <c r="I1606" s="22" t="str">
        <f>VLOOKUP($A1606, 'Medical Examinations'!$A:$J, 9, FALSE)</f>
        <v>No</v>
      </c>
      <c r="J1606" s="22" t="str">
        <f>VLOOKUP($A1606, 'Medical Examinations'!$A:$P, 11, FALSE)</f>
        <v>OBESITY</v>
      </c>
      <c r="K1606" s="34">
        <v>27701.0</v>
      </c>
      <c r="L1606" s="35">
        <f>VLOOKUP($A1606, 'Hospitalisation Details'!$A:$H, 7, FALSE)</f>
        <v>6207.26</v>
      </c>
      <c r="M1606" s="22" t="str">
        <f>VLOOKUP($A1606, 'Hospitalisation Details'!$A:$L, 12, FALSE)</f>
        <v>tier - 2</v>
      </c>
      <c r="N1606" s="22" t="str">
        <f>VLOOKUP($A1606, 'Hospitalisation Details'!$A:$M, 13, FALSE)</f>
        <v>tier - 2</v>
      </c>
      <c r="O1606" s="22" t="str">
        <f>VLOOKUP($A1606, 'Hospitalisation Details'!$A:$N, 14, FALSE)</f>
        <v>R1026</v>
      </c>
      <c r="P1606" s="36">
        <f>VLOOKUP($A1606, 'Hospitalisation Details'!$A:$O, 15, FALSE)</f>
        <v>23</v>
      </c>
    </row>
    <row r="1607" ht="15.75" customHeight="1">
      <c r="A1607" s="33" t="s">
        <v>3213</v>
      </c>
      <c r="B1607" s="22" t="str">
        <f>VLOOKUP($A1607,'Customer Names'!$A:$D,3, FALSE)</f>
        <v>Arciniaga</v>
      </c>
      <c r="C1607" s="22">
        <f>VLOOKUP($A1607,'Medical Examinations'!$A:$D, 2, FALSE)</f>
        <v>28.025</v>
      </c>
      <c r="D1607" s="22">
        <f>VLOOKUP($A1607, 'Medical Examinations'!$A:$D,3, FALSE)</f>
        <v>5.69</v>
      </c>
      <c r="E1607" s="22" t="str">
        <f>VLOOKUP($A1607, 'Medical Examinations'!$A:$D, 4, FALSE)</f>
        <v>Yes</v>
      </c>
      <c r="F1607" s="22" t="str">
        <f>VLOOKUP($A1607, 'Medical Examinations'!$A:$J, 5, FALSE)</f>
        <v>No</v>
      </c>
      <c r="G1607" s="22" t="str">
        <f>VLOOKUP($A1607, 'Medical Examinations'!$A:$I, 6, FALSE)</f>
        <v>No</v>
      </c>
      <c r="H1607" s="22">
        <f>VLOOKUP($A1607,'Medical Examinations'!$A:$L,10, FALSE)</f>
        <v>0</v>
      </c>
      <c r="I1607" s="22" t="str">
        <f>VLOOKUP($A1607, 'Medical Examinations'!$A:$J, 9, FALSE)</f>
        <v>No</v>
      </c>
      <c r="J1607" s="22" t="str">
        <f>VLOOKUP($A1607, 'Medical Examinations'!$A:$P, 11, FALSE)</f>
        <v>OVERWEIGHT</v>
      </c>
      <c r="K1607" s="34">
        <v>21843.0</v>
      </c>
      <c r="L1607" s="35">
        <f>VLOOKUP($A1607, 'Hospitalisation Details'!$A:$H, 7, FALSE)</f>
        <v>6203.9</v>
      </c>
      <c r="M1607" s="22" t="str">
        <f>VLOOKUP($A1607, 'Hospitalisation Details'!$A:$L, 12, FALSE)</f>
        <v>tier - 2</v>
      </c>
      <c r="N1607" s="22" t="str">
        <f>VLOOKUP($A1607, 'Hospitalisation Details'!$A:$M, 13, FALSE)</f>
        <v>tier - 2</v>
      </c>
      <c r="O1607" s="22" t="str">
        <f>VLOOKUP($A1607, 'Hospitalisation Details'!$A:$N, 14, FALSE)</f>
        <v>R1012</v>
      </c>
      <c r="P1607" s="36">
        <f>VLOOKUP($A1607, 'Hospitalisation Details'!$A:$O, 15, FALSE)</f>
        <v>37</v>
      </c>
    </row>
    <row r="1608" ht="15.75" customHeight="1">
      <c r="A1608" s="33" t="s">
        <v>3215</v>
      </c>
      <c r="B1608" s="22" t="str">
        <f>VLOOKUP($A1608,'Customer Names'!$A:$D,3, FALSE)</f>
        <v>Ryan</v>
      </c>
      <c r="C1608" s="22">
        <f>VLOOKUP($A1608,'Medical Examinations'!$A:$D, 2, FALSE)</f>
        <v>24.32</v>
      </c>
      <c r="D1608" s="22">
        <f>VLOOKUP($A1608, 'Medical Examinations'!$A:$D,3, FALSE)</f>
        <v>5.56</v>
      </c>
      <c r="E1608" s="22" t="str">
        <f>VLOOKUP($A1608, 'Medical Examinations'!$A:$D, 4, FALSE)</f>
        <v>Yes</v>
      </c>
      <c r="F1608" s="22" t="str">
        <f>VLOOKUP($A1608, 'Medical Examinations'!$A:$J, 5, FALSE)</f>
        <v>No</v>
      </c>
      <c r="G1608" s="22" t="str">
        <f>VLOOKUP($A1608, 'Medical Examinations'!$A:$I, 6, FALSE)</f>
        <v>No</v>
      </c>
      <c r="H1608" s="22">
        <f>VLOOKUP($A1608,'Medical Examinations'!$A:$L,10, FALSE)</f>
        <v>0</v>
      </c>
      <c r="I1608" s="22" t="str">
        <f>VLOOKUP($A1608, 'Medical Examinations'!$A:$J, 9, FALSE)</f>
        <v>No</v>
      </c>
      <c r="J1608" s="22" t="str">
        <f>VLOOKUP($A1608, 'Medical Examinations'!$A:$P, 11, FALSE)</f>
        <v>NORMAL WEIGHT</v>
      </c>
      <c r="K1608" s="34">
        <v>31974.0</v>
      </c>
      <c r="L1608" s="35">
        <f>VLOOKUP($A1608, 'Hospitalisation Details'!$A:$H, 7, FALSE)</f>
        <v>6198.75</v>
      </c>
      <c r="M1608" s="22" t="str">
        <f>VLOOKUP($A1608, 'Hospitalisation Details'!$A:$L, 12, FALSE)</f>
        <v>tier - 2</v>
      </c>
      <c r="N1608" s="22" t="str">
        <f>VLOOKUP($A1608, 'Hospitalisation Details'!$A:$M, 13, FALSE)</f>
        <v>tier - 1</v>
      </c>
      <c r="O1608" s="22" t="str">
        <f>VLOOKUP($A1608, 'Hospitalisation Details'!$A:$N, 14, FALSE)</f>
        <v>R1012</v>
      </c>
      <c r="P1608" s="36">
        <f>VLOOKUP($A1608, 'Hospitalisation Details'!$A:$O, 15, FALSE)</f>
        <v>37</v>
      </c>
    </row>
    <row r="1609" ht="15.75" customHeight="1">
      <c r="A1609" s="33" t="s">
        <v>3217</v>
      </c>
      <c r="B1609" s="22" t="str">
        <f>VLOOKUP($A1609,'Customer Names'!$A:$D,3, FALSE)</f>
        <v>Lizak</v>
      </c>
      <c r="C1609" s="22">
        <f>VLOOKUP($A1609,'Medical Examinations'!$A:$D, 2, FALSE)</f>
        <v>38</v>
      </c>
      <c r="D1609" s="22">
        <f>VLOOKUP($A1609, 'Medical Examinations'!$A:$D,3, FALSE)</f>
        <v>5.41</v>
      </c>
      <c r="E1609" s="22" t="str">
        <f>VLOOKUP($A1609, 'Medical Examinations'!$A:$D, 4, FALSE)</f>
        <v>Yes</v>
      </c>
      <c r="F1609" s="22" t="str">
        <f>VLOOKUP($A1609, 'Medical Examinations'!$A:$J, 5, FALSE)</f>
        <v>No</v>
      </c>
      <c r="G1609" s="22" t="str">
        <f>VLOOKUP($A1609, 'Medical Examinations'!$A:$I, 6, FALSE)</f>
        <v>No</v>
      </c>
      <c r="H1609" s="22">
        <f>VLOOKUP($A1609,'Medical Examinations'!$A:$L,10, FALSE)</f>
        <v>1</v>
      </c>
      <c r="I1609" s="22" t="str">
        <f>VLOOKUP($A1609, 'Medical Examinations'!$A:$J, 9, FALSE)</f>
        <v>No</v>
      </c>
      <c r="J1609" s="22" t="str">
        <f>VLOOKUP($A1609, 'Medical Examinations'!$A:$P, 11, FALSE)</f>
        <v>OBESITY</v>
      </c>
      <c r="K1609" s="34">
        <v>31358.0</v>
      </c>
      <c r="L1609" s="35">
        <f>VLOOKUP($A1609, 'Hospitalisation Details'!$A:$H, 7, FALSE)</f>
        <v>6196.45</v>
      </c>
      <c r="M1609" s="22" t="str">
        <f>VLOOKUP($A1609, 'Hospitalisation Details'!$A:$L, 12, FALSE)</f>
        <v>tier - 2</v>
      </c>
      <c r="N1609" s="22" t="str">
        <f>VLOOKUP($A1609, 'Hospitalisation Details'!$A:$M, 13, FALSE)</f>
        <v>tier - 1</v>
      </c>
      <c r="O1609" s="22" t="str">
        <f>VLOOKUP($A1609, 'Hospitalisation Details'!$A:$N, 14, FALSE)</f>
        <v>R1011</v>
      </c>
      <c r="P1609" s="36">
        <f>VLOOKUP($A1609, 'Hospitalisation Details'!$A:$O, 15, FALSE)</f>
        <v>34</v>
      </c>
    </row>
    <row r="1610" ht="15.75" customHeight="1">
      <c r="A1610" s="33" t="s">
        <v>3219</v>
      </c>
      <c r="B1610" s="22" t="str">
        <f>VLOOKUP($A1610,'Customer Names'!$A:$D,3, FALSE)</f>
        <v>Howery</v>
      </c>
      <c r="C1610" s="22">
        <f>VLOOKUP($A1610,'Medical Examinations'!$A:$D, 2, FALSE)</f>
        <v>31.6</v>
      </c>
      <c r="D1610" s="22">
        <f>VLOOKUP($A1610, 'Medical Examinations'!$A:$D,3, FALSE)</f>
        <v>10.85</v>
      </c>
      <c r="E1610" s="22" t="str">
        <f>VLOOKUP($A1610, 'Medical Examinations'!$A:$D, 4, FALSE)</f>
        <v>Yes</v>
      </c>
      <c r="F1610" s="22" t="str">
        <f>VLOOKUP($A1610, 'Medical Examinations'!$A:$J, 5, FALSE)</f>
        <v>No</v>
      </c>
      <c r="G1610" s="22" t="str">
        <f>VLOOKUP($A1610, 'Medical Examinations'!$A:$I, 6, FALSE)</f>
        <v>No</v>
      </c>
      <c r="H1610" s="22">
        <f>VLOOKUP($A1610,'Medical Examinations'!$A:$L,10, FALSE)</f>
        <v>0</v>
      </c>
      <c r="I1610" s="22" t="str">
        <f>VLOOKUP($A1610, 'Medical Examinations'!$A:$J, 9, FALSE)</f>
        <v>No</v>
      </c>
      <c r="J1610" s="22" t="str">
        <f>VLOOKUP($A1610, 'Medical Examinations'!$A:$P, 11, FALSE)</f>
        <v>OBESITY</v>
      </c>
      <c r="K1610" s="34">
        <v>21341.0</v>
      </c>
      <c r="L1610" s="35">
        <f>VLOOKUP($A1610, 'Hospitalisation Details'!$A:$H, 7, FALSE)</f>
        <v>6186.13</v>
      </c>
      <c r="M1610" s="22" t="str">
        <f>VLOOKUP($A1610, 'Hospitalisation Details'!$A:$L, 12, FALSE)</f>
        <v>tier - 2</v>
      </c>
      <c r="N1610" s="22" t="str">
        <f>VLOOKUP($A1610, 'Hospitalisation Details'!$A:$M, 13, FALSE)</f>
        <v>tier - 3</v>
      </c>
      <c r="O1610" s="22" t="str">
        <f>VLOOKUP($A1610, 'Hospitalisation Details'!$A:$N, 14, FALSE)</f>
        <v>R1011</v>
      </c>
      <c r="P1610" s="36">
        <f>VLOOKUP($A1610, 'Hospitalisation Details'!$A:$O, 15, FALSE)</f>
        <v>41</v>
      </c>
    </row>
    <row r="1611" ht="15.75" customHeight="1">
      <c r="A1611" s="33" t="s">
        <v>3221</v>
      </c>
      <c r="B1611" s="22" t="str">
        <f>VLOOKUP($A1611,'Customer Names'!$A:$D,3, FALSE)</f>
        <v>Crain</v>
      </c>
      <c r="C1611" s="22">
        <f>VLOOKUP($A1611,'Medical Examinations'!$A:$D, 2, FALSE)</f>
        <v>31.02</v>
      </c>
      <c r="D1611" s="22">
        <f>VLOOKUP($A1611, 'Medical Examinations'!$A:$D,3, FALSE)</f>
        <v>11.63</v>
      </c>
      <c r="E1611" s="22" t="str">
        <f>VLOOKUP($A1611, 'Medical Examinations'!$A:$D, 4, FALSE)</f>
        <v>Yes</v>
      </c>
      <c r="F1611" s="22" t="str">
        <f>VLOOKUP($A1611, 'Medical Examinations'!$A:$J, 5, FALSE)</f>
        <v>No</v>
      </c>
      <c r="G1611" s="22" t="str">
        <f>VLOOKUP($A1611, 'Medical Examinations'!$A:$I, 6, FALSE)</f>
        <v>No</v>
      </c>
      <c r="H1611" s="22">
        <f>VLOOKUP($A1611,'Medical Examinations'!$A:$L,10, FALSE)</f>
        <v>0</v>
      </c>
      <c r="I1611" s="22" t="str">
        <f>VLOOKUP($A1611, 'Medical Examinations'!$A:$J, 9, FALSE)</f>
        <v>No</v>
      </c>
      <c r="J1611" s="22" t="str">
        <f>VLOOKUP($A1611, 'Medical Examinations'!$A:$P, 11, FALSE)</f>
        <v>OBESITY</v>
      </c>
      <c r="K1611" s="34">
        <v>28692.0</v>
      </c>
      <c r="L1611" s="35">
        <f>VLOOKUP($A1611, 'Hospitalisation Details'!$A:$H, 7, FALSE)</f>
        <v>6185.32</v>
      </c>
      <c r="M1611" s="22" t="str">
        <f>VLOOKUP($A1611, 'Hospitalisation Details'!$A:$L, 12, FALSE)</f>
        <v>tier - 2</v>
      </c>
      <c r="N1611" s="22" t="str">
        <f>VLOOKUP($A1611, 'Hospitalisation Details'!$A:$M, 13, FALSE)</f>
        <v>tier - 1</v>
      </c>
      <c r="O1611" s="22" t="str">
        <f>VLOOKUP($A1611, 'Hospitalisation Details'!$A:$N, 14, FALSE)</f>
        <v>R1013</v>
      </c>
      <c r="P1611" s="36">
        <f>VLOOKUP($A1611, 'Hospitalisation Details'!$A:$O, 15, FALSE)</f>
        <v>41</v>
      </c>
    </row>
    <row r="1612" ht="15.75" customHeight="1">
      <c r="A1612" s="33" t="s">
        <v>3223</v>
      </c>
      <c r="B1612" s="22" t="str">
        <f>VLOOKUP($A1612,'Customer Names'!$A:$D,3, FALSE)</f>
        <v>Hotze</v>
      </c>
      <c r="C1612" s="22">
        <f>VLOOKUP($A1612,'Medical Examinations'!$A:$D, 2, FALSE)</f>
        <v>29.26</v>
      </c>
      <c r="D1612" s="22">
        <f>VLOOKUP($A1612, 'Medical Examinations'!$A:$D,3, FALSE)</f>
        <v>5.68</v>
      </c>
      <c r="E1612" s="22" t="str">
        <f>VLOOKUP($A1612, 'Medical Examinations'!$A:$D, 4, FALSE)</f>
        <v>Yes</v>
      </c>
      <c r="F1612" s="22" t="str">
        <f>VLOOKUP($A1612, 'Medical Examinations'!$A:$J, 5, FALSE)</f>
        <v>No</v>
      </c>
      <c r="G1612" s="22" t="str">
        <f>VLOOKUP($A1612, 'Medical Examinations'!$A:$I, 6, FALSE)</f>
        <v>No</v>
      </c>
      <c r="H1612" s="22">
        <f>VLOOKUP($A1612,'Medical Examinations'!$A:$L,10, FALSE)</f>
        <v>1</v>
      </c>
      <c r="I1612" s="22" t="str">
        <f>VLOOKUP($A1612, 'Medical Examinations'!$A:$J, 9, FALSE)</f>
        <v>No</v>
      </c>
      <c r="J1612" s="22" t="str">
        <f>VLOOKUP($A1612, 'Medical Examinations'!$A:$P, 11, FALSE)</f>
        <v>OVERWEIGHT</v>
      </c>
      <c r="K1612" s="34">
        <v>31320.0</v>
      </c>
      <c r="L1612" s="35">
        <f>VLOOKUP($A1612, 'Hospitalisation Details'!$A:$H, 7, FALSE)</f>
        <v>6184.3</v>
      </c>
      <c r="M1612" s="22" t="str">
        <f>VLOOKUP($A1612, 'Hospitalisation Details'!$A:$L, 12, FALSE)</f>
        <v>tier - 2</v>
      </c>
      <c r="N1612" s="22" t="str">
        <f>VLOOKUP($A1612, 'Hospitalisation Details'!$A:$M, 13, FALSE)</f>
        <v>tier - 3</v>
      </c>
      <c r="O1612" s="22" t="str">
        <f>VLOOKUP($A1612, 'Hospitalisation Details'!$A:$N, 14, FALSE)</f>
        <v>R1013</v>
      </c>
      <c r="P1612" s="36">
        <f>VLOOKUP($A1612, 'Hospitalisation Details'!$A:$O, 15, FALSE)</f>
        <v>34</v>
      </c>
    </row>
    <row r="1613" ht="15.75" customHeight="1">
      <c r="A1613" s="33" t="s">
        <v>3225</v>
      </c>
      <c r="B1613" s="22" t="str">
        <f>VLOOKUP($A1613,'Customer Names'!$A:$D,3, FALSE)</f>
        <v>Chauhan</v>
      </c>
      <c r="C1613" s="22">
        <f>VLOOKUP($A1613,'Medical Examinations'!$A:$D, 2, FALSE)</f>
        <v>15.09</v>
      </c>
      <c r="D1613" s="22">
        <f>VLOOKUP($A1613, 'Medical Examinations'!$A:$D,3, FALSE)</f>
        <v>7.59</v>
      </c>
      <c r="E1613" s="22" t="str">
        <f>VLOOKUP($A1613, 'Medical Examinations'!$A:$D, 4, FALSE)</f>
        <v>Yes</v>
      </c>
      <c r="F1613" s="22" t="str">
        <f>VLOOKUP($A1613, 'Medical Examinations'!$A:$J, 5, FALSE)</f>
        <v>No</v>
      </c>
      <c r="G1613" s="22" t="str">
        <f>VLOOKUP($A1613, 'Medical Examinations'!$A:$I, 6, FALSE)</f>
        <v>No</v>
      </c>
      <c r="H1613" s="22">
        <f>VLOOKUP($A1613,'Medical Examinations'!$A:$L,10, FALSE)</f>
        <v>2</v>
      </c>
      <c r="I1613" s="22" t="str">
        <f>VLOOKUP($A1613, 'Medical Examinations'!$A:$J, 9, FALSE)</f>
        <v>No</v>
      </c>
      <c r="J1613" s="22" t="str">
        <f>VLOOKUP($A1613, 'Medical Examinations'!$A:$P, 11, FALSE)</f>
        <v>UNDERWEIGHT</v>
      </c>
      <c r="K1613" s="34">
        <v>25393.0</v>
      </c>
      <c r="L1613" s="35">
        <f>VLOOKUP($A1613, 'Hospitalisation Details'!$A:$H, 7, FALSE)</f>
        <v>6183.46</v>
      </c>
      <c r="M1613" s="22" t="str">
        <f>VLOOKUP($A1613, 'Hospitalisation Details'!$A:$L, 12, FALSE)</f>
        <v>tier - 2</v>
      </c>
      <c r="N1613" s="22" t="str">
        <f>VLOOKUP($A1613, 'Hospitalisation Details'!$A:$M, 13, FALSE)</f>
        <v>tier - 2</v>
      </c>
      <c r="O1613" s="22" t="str">
        <f>VLOOKUP($A1613, 'Hospitalisation Details'!$A:$N, 14, FALSE)</f>
        <v>R1012</v>
      </c>
      <c r="P1613" s="36">
        <f>VLOOKUP($A1613, 'Hospitalisation Details'!$A:$O, 15, FALSE)</f>
        <v>52</v>
      </c>
    </row>
    <row r="1614" ht="15.75" customHeight="1">
      <c r="A1614" s="33" t="s">
        <v>3227</v>
      </c>
      <c r="B1614" s="22" t="str">
        <f>VLOOKUP($A1614,'Customer Names'!$A:$D,3, FALSE)</f>
        <v>Raab</v>
      </c>
      <c r="C1614" s="22">
        <f>VLOOKUP($A1614,'Medical Examinations'!$A:$D, 2, FALSE)</f>
        <v>22.63</v>
      </c>
      <c r="D1614" s="22">
        <f>VLOOKUP($A1614, 'Medical Examinations'!$A:$D,3, FALSE)</f>
        <v>5.09</v>
      </c>
      <c r="E1614" s="22" t="str">
        <f>VLOOKUP($A1614, 'Medical Examinations'!$A:$D, 4, FALSE)</f>
        <v>Yes</v>
      </c>
      <c r="F1614" s="22" t="str">
        <f>VLOOKUP($A1614, 'Medical Examinations'!$A:$J, 5, FALSE)</f>
        <v>No</v>
      </c>
      <c r="G1614" s="22" t="str">
        <f>VLOOKUP($A1614, 'Medical Examinations'!$A:$I, 6, FALSE)</f>
        <v>No</v>
      </c>
      <c r="H1614" s="22">
        <f>VLOOKUP($A1614,'Medical Examinations'!$A:$L,10, FALSE)</f>
        <v>0</v>
      </c>
      <c r="I1614" s="22" t="str">
        <f>VLOOKUP($A1614, 'Medical Examinations'!$A:$J, 9, FALSE)</f>
        <v>No</v>
      </c>
      <c r="J1614" s="22" t="str">
        <f>VLOOKUP($A1614, 'Medical Examinations'!$A:$P, 11, FALSE)</f>
        <v>NORMAL WEIGHT</v>
      </c>
      <c r="K1614" s="34">
        <v>28072.0</v>
      </c>
      <c r="L1614" s="35">
        <f>VLOOKUP($A1614, 'Hospitalisation Details'!$A:$H, 7, FALSE)</f>
        <v>6183.32</v>
      </c>
      <c r="M1614" s="22" t="str">
        <f>VLOOKUP($A1614, 'Hospitalisation Details'!$A:$L, 12, FALSE)</f>
        <v>tier - 2</v>
      </c>
      <c r="N1614" s="22" t="str">
        <f>VLOOKUP($A1614, 'Hospitalisation Details'!$A:$M, 13, FALSE)</f>
        <v>tier - 2</v>
      </c>
      <c r="O1614" s="22" t="str">
        <f>VLOOKUP($A1614, 'Hospitalisation Details'!$A:$N, 14, FALSE)</f>
        <v>R1012</v>
      </c>
      <c r="P1614" s="36">
        <f>VLOOKUP($A1614, 'Hospitalisation Details'!$A:$O, 15, FALSE)</f>
        <v>37</v>
      </c>
    </row>
    <row r="1615" ht="15.75" customHeight="1">
      <c r="A1615" s="33" t="s">
        <v>3229</v>
      </c>
      <c r="B1615" s="22" t="str">
        <f>VLOOKUP($A1615,'Customer Names'!$A:$D,3, FALSE)</f>
        <v>McKown</v>
      </c>
      <c r="C1615" s="22">
        <f>VLOOKUP($A1615,'Medical Examinations'!$A:$D, 2, FALSE)</f>
        <v>23.46</v>
      </c>
      <c r="D1615" s="22">
        <f>VLOOKUP($A1615, 'Medical Examinations'!$A:$D,3, FALSE)</f>
        <v>4.21</v>
      </c>
      <c r="E1615" s="22" t="str">
        <f>VLOOKUP($A1615, 'Medical Examinations'!$A:$D, 4, FALSE)</f>
        <v>No</v>
      </c>
      <c r="F1615" s="22" t="str">
        <f>VLOOKUP($A1615, 'Medical Examinations'!$A:$J, 5, FALSE)</f>
        <v>No</v>
      </c>
      <c r="G1615" s="22" t="str">
        <f>VLOOKUP($A1615, 'Medical Examinations'!$A:$I, 6, FALSE)</f>
        <v>No</v>
      </c>
      <c r="H1615" s="22">
        <f>VLOOKUP($A1615,'Medical Examinations'!$A:$L,10, FALSE)</f>
        <v>1</v>
      </c>
      <c r="I1615" s="22" t="str">
        <f>VLOOKUP($A1615, 'Medical Examinations'!$A:$J, 9, FALSE)</f>
        <v>No</v>
      </c>
      <c r="J1615" s="22" t="str">
        <f>VLOOKUP($A1615, 'Medical Examinations'!$A:$P, 11, FALSE)</f>
        <v>NORMAL WEIGHT</v>
      </c>
      <c r="K1615" s="34">
        <v>22639.0</v>
      </c>
      <c r="L1615" s="35">
        <f>VLOOKUP($A1615, 'Hospitalisation Details'!$A:$H, 7, FALSE)</f>
        <v>6170.96</v>
      </c>
      <c r="M1615" s="22" t="str">
        <f>VLOOKUP($A1615, 'Hospitalisation Details'!$A:$L, 12, FALSE)</f>
        <v>tier - 2</v>
      </c>
      <c r="N1615" s="22" t="str">
        <f>VLOOKUP($A1615, 'Hospitalisation Details'!$A:$M, 13, FALSE)</f>
        <v>tier - 1</v>
      </c>
      <c r="O1615" s="22" t="str">
        <f>VLOOKUP($A1615, 'Hospitalisation Details'!$A:$N, 14, FALSE)</f>
        <v>R1013</v>
      </c>
      <c r="P1615" s="36">
        <f>VLOOKUP($A1615, 'Hospitalisation Details'!$A:$O, 15, FALSE)</f>
        <v>38</v>
      </c>
    </row>
    <row r="1616" ht="15.75" customHeight="1">
      <c r="A1616" s="33" t="s">
        <v>3231</v>
      </c>
      <c r="B1616" s="22" t="str">
        <f>VLOOKUP($A1616,'Customer Names'!$A:$D,3, FALSE)</f>
        <v>Schiemann</v>
      </c>
      <c r="C1616" s="22">
        <f>VLOOKUP($A1616,'Medical Examinations'!$A:$D, 2, FALSE)</f>
        <v>22.56</v>
      </c>
      <c r="D1616" s="22">
        <f>VLOOKUP($A1616, 'Medical Examinations'!$A:$D,3, FALSE)</f>
        <v>4.34</v>
      </c>
      <c r="E1616" s="22" t="str">
        <f>VLOOKUP($A1616, 'Medical Examinations'!$A:$D, 4, FALSE)</f>
        <v>Yes</v>
      </c>
      <c r="F1616" s="22" t="str">
        <f>VLOOKUP($A1616, 'Medical Examinations'!$A:$J, 5, FALSE)</f>
        <v>No</v>
      </c>
      <c r="G1616" s="22" t="str">
        <f>VLOOKUP($A1616, 'Medical Examinations'!$A:$I, 6, FALSE)</f>
        <v>No</v>
      </c>
      <c r="H1616" s="22">
        <f>VLOOKUP($A1616,'Medical Examinations'!$A:$L,10, FALSE)</f>
        <v>0</v>
      </c>
      <c r="I1616" s="22" t="str">
        <f>VLOOKUP($A1616, 'Medical Examinations'!$A:$J, 9, FALSE)</f>
        <v>No</v>
      </c>
      <c r="J1616" s="22" t="str">
        <f>VLOOKUP($A1616, 'Medical Examinations'!$A:$P, 11, FALSE)</f>
        <v>NORMAL WEIGHT</v>
      </c>
      <c r="K1616" s="34">
        <v>28823.0</v>
      </c>
      <c r="L1616" s="35">
        <f>VLOOKUP($A1616, 'Hospitalisation Details'!$A:$H, 7, FALSE)</f>
        <v>6159.57</v>
      </c>
      <c r="M1616" s="22" t="str">
        <f>VLOOKUP($A1616, 'Hospitalisation Details'!$A:$L, 12, FALSE)</f>
        <v>tier - 2</v>
      </c>
      <c r="N1616" s="22" t="str">
        <f>VLOOKUP($A1616, 'Hospitalisation Details'!$A:$M, 13, FALSE)</f>
        <v>tier - 1</v>
      </c>
      <c r="O1616" s="22" t="str">
        <f>VLOOKUP($A1616, 'Hospitalisation Details'!$A:$N, 14, FALSE)</f>
        <v>R1012</v>
      </c>
      <c r="P1616" s="36">
        <f>VLOOKUP($A1616, 'Hospitalisation Details'!$A:$O, 15, FALSE)</f>
        <v>37</v>
      </c>
    </row>
    <row r="1617" ht="15.75" customHeight="1">
      <c r="A1617" s="33" t="s">
        <v>3233</v>
      </c>
      <c r="B1617" s="22" t="str">
        <f>VLOOKUP($A1617,'Customer Names'!$A:$D,3, FALSE)</f>
        <v>Cress</v>
      </c>
      <c r="C1617" s="22">
        <f>VLOOKUP($A1617,'Medical Examinations'!$A:$D, 2, FALSE)</f>
        <v>19.28</v>
      </c>
      <c r="D1617" s="22">
        <f>VLOOKUP($A1617, 'Medical Examinations'!$A:$D,3, FALSE)</f>
        <v>11.85</v>
      </c>
      <c r="E1617" s="22" t="str">
        <f>VLOOKUP($A1617, 'Medical Examinations'!$A:$D, 4, FALSE)</f>
        <v>No</v>
      </c>
      <c r="F1617" s="22" t="str">
        <f>VLOOKUP($A1617, 'Medical Examinations'!$A:$J, 5, FALSE)</f>
        <v>No</v>
      </c>
      <c r="G1617" s="22" t="str">
        <f>VLOOKUP($A1617, 'Medical Examinations'!$A:$I, 6, FALSE)</f>
        <v>No</v>
      </c>
      <c r="H1617" s="22">
        <f>VLOOKUP($A1617,'Medical Examinations'!$A:$L,10, FALSE)</f>
        <v>2</v>
      </c>
      <c r="I1617" s="22" t="str">
        <f>VLOOKUP($A1617, 'Medical Examinations'!$A:$J, 9, FALSE)</f>
        <v>No</v>
      </c>
      <c r="J1617" s="22" t="str">
        <f>VLOOKUP($A1617, 'Medical Examinations'!$A:$P, 11, FALSE)</f>
        <v>NORMAL WEIGHT</v>
      </c>
      <c r="K1617" s="34">
        <v>29416.0</v>
      </c>
      <c r="L1617" s="35">
        <f>VLOOKUP($A1617, 'Hospitalisation Details'!$A:$H, 7, FALSE)</f>
        <v>6152.05</v>
      </c>
      <c r="M1617" s="22" t="str">
        <f>VLOOKUP($A1617, 'Hospitalisation Details'!$A:$L, 12, FALSE)</f>
        <v>tier - 2</v>
      </c>
      <c r="N1617" s="22" t="str">
        <f>VLOOKUP($A1617, 'Hospitalisation Details'!$A:$M, 13, FALSE)</f>
        <v>tier - 3</v>
      </c>
      <c r="O1617" s="22" t="str">
        <f>VLOOKUP($A1617, 'Hospitalisation Details'!$A:$N, 14, FALSE)</f>
        <v>R1013</v>
      </c>
      <c r="P1617" s="36">
        <f>VLOOKUP($A1617, 'Hospitalisation Details'!$A:$O, 15, FALSE)</f>
        <v>49</v>
      </c>
    </row>
    <row r="1618" ht="15.75" customHeight="1">
      <c r="A1618" s="33" t="s">
        <v>3235</v>
      </c>
      <c r="B1618" s="22" t="str">
        <f>VLOOKUP($A1618,'Customer Names'!$A:$D,3, FALSE)</f>
        <v>Mawson</v>
      </c>
      <c r="C1618" s="22">
        <f>VLOOKUP($A1618,'Medical Examinations'!$A:$D, 2, FALSE)</f>
        <v>15.37</v>
      </c>
      <c r="D1618" s="22">
        <f>VLOOKUP($A1618, 'Medical Examinations'!$A:$D,3, FALSE)</f>
        <v>9.61</v>
      </c>
      <c r="E1618" s="22" t="str">
        <f>VLOOKUP($A1618, 'Medical Examinations'!$A:$D, 4, FALSE)</f>
        <v>Yes</v>
      </c>
      <c r="F1618" s="22" t="str">
        <f>VLOOKUP($A1618, 'Medical Examinations'!$A:$J, 5, FALSE)</f>
        <v>No</v>
      </c>
      <c r="G1618" s="22" t="str">
        <f>VLOOKUP($A1618, 'Medical Examinations'!$A:$I, 6, FALSE)</f>
        <v>No</v>
      </c>
      <c r="H1618" s="22">
        <f>VLOOKUP($A1618,'Medical Examinations'!$A:$L,10, FALSE)</f>
        <v>2</v>
      </c>
      <c r="I1618" s="22" t="str">
        <f>VLOOKUP($A1618, 'Medical Examinations'!$A:$J, 9, FALSE)</f>
        <v>No</v>
      </c>
      <c r="J1618" s="22" t="str">
        <f>VLOOKUP($A1618, 'Medical Examinations'!$A:$P, 11, FALSE)</f>
        <v>UNDERWEIGHT</v>
      </c>
      <c r="K1618" s="34">
        <v>38292.0</v>
      </c>
      <c r="L1618" s="35">
        <f>VLOOKUP($A1618, 'Hospitalisation Details'!$A:$H, 7, FALSE)</f>
        <v>6147.12</v>
      </c>
      <c r="M1618" s="22" t="str">
        <f>VLOOKUP($A1618, 'Hospitalisation Details'!$A:$L, 12, FALSE)</f>
        <v>tier - 2</v>
      </c>
      <c r="N1618" s="22" t="str">
        <f>VLOOKUP($A1618, 'Hospitalisation Details'!$A:$M, 13, FALSE)</f>
        <v>tier - 3</v>
      </c>
      <c r="O1618" s="22" t="str">
        <f>VLOOKUP($A1618, 'Hospitalisation Details'!$A:$N, 14, FALSE)</f>
        <v>R1012</v>
      </c>
      <c r="P1618" s="36">
        <f>VLOOKUP($A1618, 'Hospitalisation Details'!$A:$O, 15, FALSE)</f>
        <v>52</v>
      </c>
    </row>
    <row r="1619" ht="15.75" customHeight="1">
      <c r="A1619" s="33" t="s">
        <v>3237</v>
      </c>
      <c r="B1619" s="22" t="str">
        <f>VLOOKUP($A1619,'Customer Names'!$A:$D,3, FALSE)</f>
        <v>Wigginton</v>
      </c>
      <c r="C1619" s="22">
        <f>VLOOKUP($A1619,'Medical Examinations'!$A:$D, 2, FALSE)</f>
        <v>18.71</v>
      </c>
      <c r="D1619" s="22">
        <f>VLOOKUP($A1619, 'Medical Examinations'!$A:$D,3, FALSE)</f>
        <v>5.29</v>
      </c>
      <c r="E1619" s="22" t="str">
        <f>VLOOKUP($A1619, 'Medical Examinations'!$A:$D, 4, FALSE)</f>
        <v>Yes</v>
      </c>
      <c r="F1619" s="22" t="str">
        <f>VLOOKUP($A1619, 'Medical Examinations'!$A:$J, 5, FALSE)</f>
        <v>No</v>
      </c>
      <c r="G1619" s="22" t="str">
        <f>VLOOKUP($A1619, 'Medical Examinations'!$A:$I, 6, FALSE)</f>
        <v>No</v>
      </c>
      <c r="H1619" s="22">
        <f>VLOOKUP($A1619,'Medical Examinations'!$A:$L,10, FALSE)</f>
        <v>0</v>
      </c>
      <c r="I1619" s="22" t="str">
        <f>VLOOKUP($A1619, 'Medical Examinations'!$A:$J, 9, FALSE)</f>
        <v>No</v>
      </c>
      <c r="J1619" s="22" t="str">
        <f>VLOOKUP($A1619, 'Medical Examinations'!$A:$P, 11, FALSE)</f>
        <v>NORMAL WEIGHT</v>
      </c>
      <c r="K1619" s="34">
        <v>33792.0</v>
      </c>
      <c r="L1619" s="35">
        <f>VLOOKUP($A1619, 'Hospitalisation Details'!$A:$H, 7, FALSE)</f>
        <v>6139.14</v>
      </c>
      <c r="M1619" s="22" t="str">
        <f>VLOOKUP($A1619, 'Hospitalisation Details'!$A:$L, 12, FALSE)</f>
        <v>tier - 2</v>
      </c>
      <c r="N1619" s="22" t="str">
        <f>VLOOKUP($A1619, 'Hospitalisation Details'!$A:$M, 13, FALSE)</f>
        <v>tier - 3</v>
      </c>
      <c r="O1619" s="22" t="str">
        <f>VLOOKUP($A1619, 'Hospitalisation Details'!$A:$N, 14, FALSE)</f>
        <v>R1013</v>
      </c>
      <c r="P1619" s="36">
        <f>VLOOKUP($A1619, 'Hospitalisation Details'!$A:$O, 15, FALSE)</f>
        <v>46</v>
      </c>
    </row>
    <row r="1620" ht="15.75" customHeight="1">
      <c r="A1620" s="33" t="s">
        <v>3239</v>
      </c>
      <c r="B1620" s="22" t="str">
        <f>VLOOKUP($A1620,'Customer Names'!$A:$D,3, FALSE)</f>
        <v>Wang</v>
      </c>
      <c r="C1620" s="22">
        <f>VLOOKUP($A1620,'Medical Examinations'!$A:$D, 2, FALSE)</f>
        <v>20.61</v>
      </c>
      <c r="D1620" s="22">
        <f>VLOOKUP($A1620, 'Medical Examinations'!$A:$D,3, FALSE)</f>
        <v>6.89</v>
      </c>
      <c r="E1620" s="22" t="str">
        <f>VLOOKUP($A1620, 'Medical Examinations'!$A:$D, 4, FALSE)</f>
        <v>No</v>
      </c>
      <c r="F1620" s="22" t="str">
        <f>VLOOKUP($A1620, 'Medical Examinations'!$A:$J, 5, FALSE)</f>
        <v>No</v>
      </c>
      <c r="G1620" s="22" t="str">
        <f>VLOOKUP($A1620, 'Medical Examinations'!$A:$I, 6, FALSE)</f>
        <v>No</v>
      </c>
      <c r="H1620" s="22">
        <f>VLOOKUP($A1620,'Medical Examinations'!$A:$L,10, FALSE)</f>
        <v>0</v>
      </c>
      <c r="I1620" s="22" t="str">
        <f>VLOOKUP($A1620, 'Medical Examinations'!$A:$J, 9, FALSE)</f>
        <v>No</v>
      </c>
      <c r="J1620" s="22" t="str">
        <f>VLOOKUP($A1620, 'Medical Examinations'!$A:$P, 11, FALSE)</f>
        <v>NORMAL WEIGHT</v>
      </c>
      <c r="K1620" s="34">
        <v>37865.0</v>
      </c>
      <c r="L1620" s="35">
        <f>VLOOKUP($A1620, 'Hospitalisation Details'!$A:$H, 7, FALSE)</f>
        <v>6138.58</v>
      </c>
      <c r="M1620" s="22" t="str">
        <f>VLOOKUP($A1620, 'Hospitalisation Details'!$A:$L, 12, FALSE)</f>
        <v>tier - 2</v>
      </c>
      <c r="N1620" s="22" t="str">
        <f>VLOOKUP($A1620, 'Hospitalisation Details'!$A:$M, 13, FALSE)</f>
        <v>tier - 1</v>
      </c>
      <c r="O1620" s="22" t="str">
        <f>VLOOKUP($A1620, 'Hospitalisation Details'!$A:$N, 14, FALSE)</f>
        <v>R1013</v>
      </c>
      <c r="P1620" s="36">
        <f>VLOOKUP($A1620, 'Hospitalisation Details'!$A:$O, 15, FALSE)</f>
        <v>44</v>
      </c>
    </row>
    <row r="1621" ht="15.75" customHeight="1">
      <c r="A1621" s="33" t="s">
        <v>3241</v>
      </c>
      <c r="B1621" s="22" t="str">
        <f>VLOOKUP($A1621,'Customer Names'!$A:$D,3, FALSE)</f>
        <v>Schroeder</v>
      </c>
      <c r="C1621" s="22">
        <f>VLOOKUP($A1621,'Medical Examinations'!$A:$D, 2, FALSE)</f>
        <v>15.99</v>
      </c>
      <c r="D1621" s="22">
        <f>VLOOKUP($A1621, 'Medical Examinations'!$A:$D,3, FALSE)</f>
        <v>4.57</v>
      </c>
      <c r="E1621" s="22" t="str">
        <f>VLOOKUP($A1621, 'Medical Examinations'!$A:$D, 4, FALSE)</f>
        <v>Yes</v>
      </c>
      <c r="F1621" s="22" t="str">
        <f>VLOOKUP($A1621, 'Medical Examinations'!$A:$J, 5, FALSE)</f>
        <v>No</v>
      </c>
      <c r="G1621" s="22" t="str">
        <f>VLOOKUP($A1621, 'Medical Examinations'!$A:$I, 6, FALSE)</f>
        <v>Yes</v>
      </c>
      <c r="H1621" s="22">
        <f>VLOOKUP($A1621,'Medical Examinations'!$A:$L,10, FALSE)</f>
        <v>1</v>
      </c>
      <c r="I1621" s="22" t="str">
        <f>VLOOKUP($A1621, 'Medical Examinations'!$A:$J, 9, FALSE)</f>
        <v>No</v>
      </c>
      <c r="J1621" s="22" t="str">
        <f>VLOOKUP($A1621, 'Medical Examinations'!$A:$P, 11, FALSE)</f>
        <v>UNDERWEIGHT</v>
      </c>
      <c r="K1621" s="34">
        <v>21889.0</v>
      </c>
      <c r="L1621" s="35">
        <f>VLOOKUP($A1621, 'Hospitalisation Details'!$A:$H, 7, FALSE)</f>
        <v>6138.5</v>
      </c>
      <c r="M1621" s="22" t="str">
        <f>VLOOKUP($A1621, 'Hospitalisation Details'!$A:$L, 12, FALSE)</f>
        <v>tier - 2</v>
      </c>
      <c r="N1621" s="22" t="str">
        <f>VLOOKUP($A1621, 'Hospitalisation Details'!$A:$M, 13, FALSE)</f>
        <v>tier - 2</v>
      </c>
      <c r="O1621" s="22" t="str">
        <f>VLOOKUP($A1621, 'Hospitalisation Details'!$A:$N, 14, FALSE)</f>
        <v>R1011</v>
      </c>
      <c r="P1621" s="36">
        <f>VLOOKUP($A1621, 'Hospitalisation Details'!$A:$O, 15, FALSE)</f>
        <v>53</v>
      </c>
    </row>
    <row r="1622" ht="15.75" customHeight="1">
      <c r="A1622" s="33" t="s">
        <v>3243</v>
      </c>
      <c r="B1622" s="22" t="str">
        <f>VLOOKUP($A1622,'Customer Names'!$A:$D,3, FALSE)</f>
        <v>Leonard</v>
      </c>
      <c r="C1622" s="22">
        <f>VLOOKUP($A1622,'Medical Examinations'!$A:$D, 2, FALSE)</f>
        <v>33.155</v>
      </c>
      <c r="D1622" s="22">
        <f>VLOOKUP($A1622, 'Medical Examinations'!$A:$D,3, FALSE)</f>
        <v>4.32</v>
      </c>
      <c r="E1622" s="22" t="str">
        <f>VLOOKUP($A1622, 'Medical Examinations'!$A:$D, 4, FALSE)</f>
        <v>No</v>
      </c>
      <c r="F1622" s="22" t="str">
        <f>VLOOKUP($A1622, 'Medical Examinations'!$A:$J, 5, FALSE)</f>
        <v>No</v>
      </c>
      <c r="G1622" s="22" t="str">
        <f>VLOOKUP($A1622, 'Medical Examinations'!$A:$I, 6, FALSE)</f>
        <v>No</v>
      </c>
      <c r="H1622" s="22">
        <f>VLOOKUP($A1622,'Medical Examinations'!$A:$L,10, FALSE)</f>
        <v>0</v>
      </c>
      <c r="I1622" s="22" t="str">
        <f>VLOOKUP($A1622, 'Medical Examinations'!$A:$J, 9, FALSE)</f>
        <v>No</v>
      </c>
      <c r="J1622" s="22" t="str">
        <f>VLOOKUP($A1622, 'Medical Examinations'!$A:$P, 11, FALSE)</f>
        <v>OBESITY</v>
      </c>
      <c r="K1622" s="34">
        <v>22852.0</v>
      </c>
      <c r="L1622" s="35">
        <f>VLOOKUP($A1622, 'Hospitalisation Details'!$A:$H, 7, FALSE)</f>
        <v>6128.8</v>
      </c>
      <c r="M1622" s="22" t="str">
        <f>VLOOKUP($A1622, 'Hospitalisation Details'!$A:$L, 12, FALSE)</f>
        <v>tier - 2</v>
      </c>
      <c r="N1622" s="22" t="str">
        <f>VLOOKUP($A1622, 'Hospitalisation Details'!$A:$M, 13, FALSE)</f>
        <v>tier - 3</v>
      </c>
      <c r="O1622" s="22" t="str">
        <f>VLOOKUP($A1622, 'Hospitalisation Details'!$A:$N, 14, FALSE)</f>
        <v>R1012</v>
      </c>
      <c r="P1622" s="36">
        <f>VLOOKUP($A1622, 'Hospitalisation Details'!$A:$O, 15, FALSE)</f>
        <v>32</v>
      </c>
    </row>
    <row r="1623" ht="15.75" customHeight="1">
      <c r="A1623" s="33" t="s">
        <v>3245</v>
      </c>
      <c r="B1623" s="22" t="str">
        <f>VLOOKUP($A1623,'Customer Names'!$A:$D,3, FALSE)</f>
        <v>Tissue</v>
      </c>
      <c r="C1623" s="22">
        <f>VLOOKUP($A1623,'Medical Examinations'!$A:$D, 2, FALSE)</f>
        <v>26.22</v>
      </c>
      <c r="D1623" s="22">
        <f>VLOOKUP($A1623, 'Medical Examinations'!$A:$D,3, FALSE)</f>
        <v>5.57</v>
      </c>
      <c r="E1623" s="22" t="str">
        <f>VLOOKUP($A1623, 'Medical Examinations'!$A:$D, 4, FALSE)</f>
        <v>Yes</v>
      </c>
      <c r="F1623" s="22" t="str">
        <f>VLOOKUP($A1623, 'Medical Examinations'!$A:$J, 5, FALSE)</f>
        <v>No</v>
      </c>
      <c r="G1623" s="22" t="str">
        <f>VLOOKUP($A1623, 'Medical Examinations'!$A:$I, 6, FALSE)</f>
        <v>Yes</v>
      </c>
      <c r="H1623" s="22">
        <f>VLOOKUP($A1623,'Medical Examinations'!$A:$L,10, FALSE)</f>
        <v>1</v>
      </c>
      <c r="I1623" s="22" t="str">
        <f>VLOOKUP($A1623, 'Medical Examinations'!$A:$J, 9, FALSE)</f>
        <v>No</v>
      </c>
      <c r="J1623" s="22" t="str">
        <f>VLOOKUP($A1623, 'Medical Examinations'!$A:$P, 11, FALSE)</f>
        <v>OVERWEIGHT</v>
      </c>
      <c r="K1623" s="34">
        <v>22496.0</v>
      </c>
      <c r="L1623" s="35">
        <f>VLOOKUP($A1623, 'Hospitalisation Details'!$A:$H, 7, FALSE)</f>
        <v>6123.57</v>
      </c>
      <c r="M1623" s="22" t="str">
        <f>VLOOKUP($A1623, 'Hospitalisation Details'!$A:$L, 12, FALSE)</f>
        <v>tier - 3</v>
      </c>
      <c r="N1623" s="22" t="str">
        <f>VLOOKUP($A1623, 'Hospitalisation Details'!$A:$M, 13, FALSE)</f>
        <v>tier - 2</v>
      </c>
      <c r="O1623" s="22" t="str">
        <f>VLOOKUP($A1623, 'Hospitalisation Details'!$A:$N, 14, FALSE)</f>
        <v>R1012</v>
      </c>
      <c r="P1623" s="36">
        <f>VLOOKUP($A1623, 'Hospitalisation Details'!$A:$O, 15, FALSE)</f>
        <v>39</v>
      </c>
    </row>
    <row r="1624" ht="15.75" customHeight="1">
      <c r="A1624" s="33" t="s">
        <v>3247</v>
      </c>
      <c r="B1624" s="22" t="str">
        <f>VLOOKUP($A1624,'Customer Names'!$A:$D,3, FALSE)</f>
        <v>Wood</v>
      </c>
      <c r="C1624" s="22">
        <f>VLOOKUP($A1624,'Medical Examinations'!$A:$D, 2, FALSE)</f>
        <v>21.85</v>
      </c>
      <c r="D1624" s="22">
        <f>VLOOKUP($A1624, 'Medical Examinations'!$A:$D,3, FALSE)</f>
        <v>5.26</v>
      </c>
      <c r="E1624" s="22" t="str">
        <f>VLOOKUP($A1624, 'Medical Examinations'!$A:$D, 4, FALSE)</f>
        <v>Yes</v>
      </c>
      <c r="F1624" s="22" t="str">
        <f>VLOOKUP($A1624, 'Medical Examinations'!$A:$J, 5, FALSE)</f>
        <v>No</v>
      </c>
      <c r="G1624" s="22" t="str">
        <f>VLOOKUP($A1624, 'Medical Examinations'!$A:$I, 6, FALSE)</f>
        <v>Yes</v>
      </c>
      <c r="H1624" s="22">
        <f>VLOOKUP($A1624,'Medical Examinations'!$A:$L,10, FALSE)</f>
        <v>1</v>
      </c>
      <c r="I1624" s="22" t="str">
        <f>VLOOKUP($A1624, 'Medical Examinations'!$A:$J, 9, FALSE)</f>
        <v>No</v>
      </c>
      <c r="J1624" s="22" t="str">
        <f>VLOOKUP($A1624, 'Medical Examinations'!$A:$P, 11, FALSE)</f>
        <v>NORMAL WEIGHT</v>
      </c>
      <c r="K1624" s="34">
        <v>29079.0</v>
      </c>
      <c r="L1624" s="35">
        <f>VLOOKUP($A1624, 'Hospitalisation Details'!$A:$H, 7, FALSE)</f>
        <v>6117.49</v>
      </c>
      <c r="M1624" s="22" t="str">
        <f>VLOOKUP($A1624, 'Hospitalisation Details'!$A:$L, 12, FALSE)</f>
        <v>tier - 2</v>
      </c>
      <c r="N1624" s="22" t="str">
        <f>VLOOKUP($A1624, 'Hospitalisation Details'!$A:$M, 13, FALSE)</f>
        <v>tier - 3</v>
      </c>
      <c r="O1624" s="22" t="str">
        <f>VLOOKUP($A1624, 'Hospitalisation Details'!$A:$N, 14, FALSE)</f>
        <v>R1012</v>
      </c>
      <c r="P1624" s="36">
        <f>VLOOKUP($A1624, 'Hospitalisation Details'!$A:$O, 15, FALSE)</f>
        <v>39</v>
      </c>
    </row>
    <row r="1625" ht="15.75" customHeight="1">
      <c r="A1625" s="33" t="s">
        <v>3249</v>
      </c>
      <c r="B1625" s="22" t="str">
        <f>VLOOKUP($A1625,'Customer Names'!$A:$D,3, FALSE)</f>
        <v>Denny</v>
      </c>
      <c r="C1625" s="22">
        <f>VLOOKUP($A1625,'Medical Examinations'!$A:$D, 2, FALSE)</f>
        <v>30.495</v>
      </c>
      <c r="D1625" s="22">
        <f>VLOOKUP($A1625, 'Medical Examinations'!$A:$D,3, FALSE)</f>
        <v>6.25</v>
      </c>
      <c r="E1625" s="22" t="str">
        <f>VLOOKUP($A1625, 'Medical Examinations'!$A:$D, 4, FALSE)</f>
        <v>No</v>
      </c>
      <c r="F1625" s="22" t="str">
        <f>VLOOKUP($A1625, 'Medical Examinations'!$A:$J, 5, FALSE)</f>
        <v>No</v>
      </c>
      <c r="G1625" s="22" t="str">
        <f>VLOOKUP($A1625, 'Medical Examinations'!$A:$I, 6, FALSE)</f>
        <v>No</v>
      </c>
      <c r="H1625" s="22">
        <f>VLOOKUP($A1625,'Medical Examinations'!$A:$L,10, FALSE)</f>
        <v>0</v>
      </c>
      <c r="I1625" s="22" t="str">
        <f>VLOOKUP($A1625, 'Medical Examinations'!$A:$J, 9, FALSE)</f>
        <v>No</v>
      </c>
      <c r="J1625" s="22" t="str">
        <f>VLOOKUP($A1625, 'Medical Examinations'!$A:$P, 11, FALSE)</f>
        <v>OBESITY</v>
      </c>
      <c r="K1625" s="34">
        <v>33212.0</v>
      </c>
      <c r="L1625" s="35">
        <f>VLOOKUP($A1625, 'Hospitalisation Details'!$A:$H, 7, FALSE)</f>
        <v>6113.23</v>
      </c>
      <c r="M1625" s="22" t="str">
        <f>VLOOKUP($A1625, 'Hospitalisation Details'!$A:$L, 12, FALSE)</f>
        <v>tier - 2</v>
      </c>
      <c r="N1625" s="22" t="str">
        <f>VLOOKUP($A1625, 'Hospitalisation Details'!$A:$M, 13, FALSE)</f>
        <v>tier - 2</v>
      </c>
      <c r="O1625" s="22" t="str">
        <f>VLOOKUP($A1625, 'Hospitalisation Details'!$A:$N, 14, FALSE)</f>
        <v>R1024</v>
      </c>
      <c r="P1625" s="36">
        <f>VLOOKUP($A1625, 'Hospitalisation Details'!$A:$O, 15, FALSE)</f>
        <v>31</v>
      </c>
    </row>
    <row r="1626" ht="15.75" customHeight="1">
      <c r="A1626" s="33" t="s">
        <v>3251</v>
      </c>
      <c r="B1626" s="22" t="str">
        <f>VLOOKUP($A1626,'Customer Names'!$A:$D,3, FALSE)</f>
        <v>Testa</v>
      </c>
      <c r="C1626" s="22">
        <f>VLOOKUP($A1626,'Medical Examinations'!$A:$D, 2, FALSE)</f>
        <v>34.105</v>
      </c>
      <c r="D1626" s="22">
        <f>VLOOKUP($A1626, 'Medical Examinations'!$A:$D,3, FALSE)</f>
        <v>5.67</v>
      </c>
      <c r="E1626" s="22" t="str">
        <f>VLOOKUP($A1626, 'Medical Examinations'!$A:$D, 4, FALSE)</f>
        <v>Yes</v>
      </c>
      <c r="F1626" s="22" t="str">
        <f>VLOOKUP($A1626, 'Medical Examinations'!$A:$J, 5, FALSE)</f>
        <v>No</v>
      </c>
      <c r="G1626" s="22" t="str">
        <f>VLOOKUP($A1626, 'Medical Examinations'!$A:$I, 6, FALSE)</f>
        <v>No</v>
      </c>
      <c r="H1626" s="22">
        <f>VLOOKUP($A1626,'Medical Examinations'!$A:$L,10, FALSE)</f>
        <v>0</v>
      </c>
      <c r="I1626" s="22" t="str">
        <f>VLOOKUP($A1626, 'Medical Examinations'!$A:$J, 9, FALSE)</f>
        <v>No</v>
      </c>
      <c r="J1626" s="22" t="str">
        <f>VLOOKUP($A1626, 'Medical Examinations'!$A:$P, 11, FALSE)</f>
        <v>OBESITY</v>
      </c>
      <c r="K1626" s="34">
        <v>31317.0</v>
      </c>
      <c r="L1626" s="35">
        <f>VLOOKUP($A1626, 'Hospitalisation Details'!$A:$H, 7, FALSE)</f>
        <v>6112.35</v>
      </c>
      <c r="M1626" s="22" t="str">
        <f>VLOOKUP($A1626, 'Hospitalisation Details'!$A:$L, 12, FALSE)</f>
        <v>tier - 2</v>
      </c>
      <c r="N1626" s="22" t="str">
        <f>VLOOKUP($A1626, 'Hospitalisation Details'!$A:$M, 13, FALSE)</f>
        <v>tier - 1</v>
      </c>
      <c r="O1626" s="22" t="str">
        <f>VLOOKUP($A1626, 'Hospitalisation Details'!$A:$N, 14, FALSE)</f>
        <v>R1012</v>
      </c>
      <c r="P1626" s="36">
        <f>VLOOKUP($A1626, 'Hospitalisation Details'!$A:$O, 15, FALSE)</f>
        <v>37</v>
      </c>
    </row>
    <row r="1627" ht="15.75" customHeight="1">
      <c r="A1627" s="33" t="s">
        <v>3253</v>
      </c>
      <c r="B1627" s="22" t="str">
        <f>VLOOKUP($A1627,'Customer Names'!$A:$D,3, FALSE)</f>
        <v>Mooney</v>
      </c>
      <c r="C1627" s="22">
        <f>VLOOKUP($A1627,'Medical Examinations'!$A:$D, 2, FALSE)</f>
        <v>32.77</v>
      </c>
      <c r="D1627" s="22">
        <f>VLOOKUP($A1627, 'Medical Examinations'!$A:$D,3, FALSE)</f>
        <v>4.42</v>
      </c>
      <c r="E1627" s="22" t="str">
        <f>VLOOKUP($A1627, 'Medical Examinations'!$A:$D, 4, FALSE)</f>
        <v>Yes</v>
      </c>
      <c r="F1627" s="22" t="str">
        <f>VLOOKUP($A1627, 'Medical Examinations'!$A:$J, 5, FALSE)</f>
        <v>No</v>
      </c>
      <c r="G1627" s="22" t="str">
        <f>VLOOKUP($A1627, 'Medical Examinations'!$A:$I, 6, FALSE)</f>
        <v>No</v>
      </c>
      <c r="H1627" s="22">
        <f>VLOOKUP($A1627,'Medical Examinations'!$A:$L,10, FALSE)</f>
        <v>1</v>
      </c>
      <c r="I1627" s="22" t="str">
        <f>VLOOKUP($A1627, 'Medical Examinations'!$A:$J, 9, FALSE)</f>
        <v>No</v>
      </c>
      <c r="J1627" s="22" t="str">
        <f>VLOOKUP($A1627, 'Medical Examinations'!$A:$P, 11, FALSE)</f>
        <v>OBESITY</v>
      </c>
      <c r="K1627" s="34">
        <v>30296.0</v>
      </c>
      <c r="L1627" s="35">
        <f>VLOOKUP($A1627, 'Hospitalisation Details'!$A:$H, 7, FALSE)</f>
        <v>6111.95</v>
      </c>
      <c r="M1627" s="22" t="str">
        <f>VLOOKUP($A1627, 'Hospitalisation Details'!$A:$L, 12, FALSE)</f>
        <v>tier - 2</v>
      </c>
      <c r="N1627" s="22" t="str">
        <f>VLOOKUP($A1627, 'Hospitalisation Details'!$A:$M, 13, FALSE)</f>
        <v>tier - 3</v>
      </c>
      <c r="O1627" s="22" t="str">
        <f>VLOOKUP($A1627, 'Hospitalisation Details'!$A:$N, 14, FALSE)</f>
        <v>R1026</v>
      </c>
      <c r="P1627" s="36">
        <f>VLOOKUP($A1627, 'Hospitalisation Details'!$A:$O, 15, FALSE)</f>
        <v>27</v>
      </c>
    </row>
    <row r="1628" ht="15.75" customHeight="1">
      <c r="A1628" s="33" t="s">
        <v>3255</v>
      </c>
      <c r="B1628" s="22" t="str">
        <f>VLOOKUP($A1628,'Customer Names'!$A:$D,3, FALSE)</f>
        <v>Buchholtz</v>
      </c>
      <c r="C1628" s="22">
        <f>VLOOKUP($A1628,'Medical Examinations'!$A:$D, 2, FALSE)</f>
        <v>16.85</v>
      </c>
      <c r="D1628" s="22">
        <f>VLOOKUP($A1628, 'Medical Examinations'!$A:$D,3, FALSE)</f>
        <v>11.75</v>
      </c>
      <c r="E1628" s="22" t="str">
        <f>VLOOKUP($A1628, 'Medical Examinations'!$A:$D, 4, FALSE)</f>
        <v>Yes</v>
      </c>
      <c r="F1628" s="22" t="str">
        <f>VLOOKUP($A1628, 'Medical Examinations'!$A:$J, 5, FALSE)</f>
        <v>No</v>
      </c>
      <c r="G1628" s="22" t="str">
        <f>VLOOKUP($A1628, 'Medical Examinations'!$A:$I, 6, FALSE)</f>
        <v>No</v>
      </c>
      <c r="H1628" s="22">
        <f>VLOOKUP($A1628,'Medical Examinations'!$A:$L,10, FALSE)</f>
        <v>2</v>
      </c>
      <c r="I1628" s="22" t="str">
        <f>VLOOKUP($A1628, 'Medical Examinations'!$A:$J, 9, FALSE)</f>
        <v>No</v>
      </c>
      <c r="J1628" s="22" t="str">
        <f>VLOOKUP($A1628, 'Medical Examinations'!$A:$P, 11, FALSE)</f>
        <v>UNDERWEIGHT</v>
      </c>
      <c r="K1628" s="34">
        <v>27288.0</v>
      </c>
      <c r="L1628" s="35">
        <f>VLOOKUP($A1628, 'Hospitalisation Details'!$A:$H, 7, FALSE)</f>
        <v>6098.38</v>
      </c>
      <c r="M1628" s="22" t="str">
        <f>VLOOKUP($A1628, 'Hospitalisation Details'!$A:$L, 12, FALSE)</f>
        <v>tier - 2</v>
      </c>
      <c r="N1628" s="22" t="str">
        <f>VLOOKUP($A1628, 'Hospitalisation Details'!$A:$M, 13, FALSE)</f>
        <v>tier - 2</v>
      </c>
      <c r="O1628" s="22" t="str">
        <f>VLOOKUP($A1628, 'Hospitalisation Details'!$A:$N, 14, FALSE)</f>
        <v>R1013</v>
      </c>
      <c r="P1628" s="36">
        <f>VLOOKUP($A1628, 'Hospitalisation Details'!$A:$O, 15, FALSE)</f>
        <v>52</v>
      </c>
    </row>
    <row r="1629" ht="15.75" customHeight="1">
      <c r="A1629" s="33" t="s">
        <v>3257</v>
      </c>
      <c r="B1629" s="22" t="str">
        <f>VLOOKUP($A1629,'Customer Names'!$A:$D,3, FALSE)</f>
        <v>Hoyt</v>
      </c>
      <c r="C1629" s="22">
        <f>VLOOKUP($A1629,'Medical Examinations'!$A:$D, 2, FALSE)</f>
        <v>34.7</v>
      </c>
      <c r="D1629" s="22">
        <f>VLOOKUP($A1629, 'Medical Examinations'!$A:$D,3, FALSE)</f>
        <v>6.06</v>
      </c>
      <c r="E1629" s="22" t="str">
        <f>VLOOKUP($A1629, 'Medical Examinations'!$A:$D, 4, FALSE)</f>
        <v>No</v>
      </c>
      <c r="F1629" s="22" t="str">
        <f>VLOOKUP($A1629, 'Medical Examinations'!$A:$J, 5, FALSE)</f>
        <v>No</v>
      </c>
      <c r="G1629" s="22" t="str">
        <f>VLOOKUP($A1629, 'Medical Examinations'!$A:$I, 6, FALSE)</f>
        <v>No</v>
      </c>
      <c r="H1629" s="22">
        <f>VLOOKUP($A1629,'Medical Examinations'!$A:$L,10, FALSE)</f>
        <v>1</v>
      </c>
      <c r="I1629" s="22" t="str">
        <f>VLOOKUP($A1629, 'Medical Examinations'!$A:$J, 9, FALSE)</f>
        <v>No</v>
      </c>
      <c r="J1629" s="22" t="str">
        <f>VLOOKUP($A1629, 'Medical Examinations'!$A:$P, 11, FALSE)</f>
        <v>OBESITY</v>
      </c>
      <c r="K1629" s="34">
        <v>28461.0</v>
      </c>
      <c r="L1629" s="35">
        <f>VLOOKUP($A1629, 'Hospitalisation Details'!$A:$H, 7, FALSE)</f>
        <v>6082.41</v>
      </c>
      <c r="M1629" s="22" t="str">
        <f>VLOOKUP($A1629, 'Hospitalisation Details'!$A:$L, 12, FALSE)</f>
        <v>tier - 1</v>
      </c>
      <c r="N1629" s="22" t="str">
        <f>VLOOKUP($A1629, 'Hospitalisation Details'!$A:$M, 13, FALSE)</f>
        <v>tier - 2</v>
      </c>
      <c r="O1629" s="22" t="str">
        <f>VLOOKUP($A1629, 'Hospitalisation Details'!$A:$N, 14, FALSE)</f>
        <v>R1011</v>
      </c>
      <c r="P1629" s="36">
        <f>VLOOKUP($A1629, 'Hospitalisation Details'!$A:$O, 15, FALSE)</f>
        <v>38</v>
      </c>
    </row>
    <row r="1630" ht="15.75" customHeight="1">
      <c r="A1630" s="33" t="s">
        <v>3259</v>
      </c>
      <c r="B1630" s="22" t="str">
        <f>VLOOKUP($A1630,'Customer Names'!$A:$D,3, FALSE)</f>
        <v>Cabada</v>
      </c>
      <c r="C1630" s="22">
        <f>VLOOKUP($A1630,'Medical Examinations'!$A:$D, 2, FALSE)</f>
        <v>37.05</v>
      </c>
      <c r="D1630" s="22">
        <f>VLOOKUP($A1630, 'Medical Examinations'!$A:$D,3, FALSE)</f>
        <v>5.48</v>
      </c>
      <c r="E1630" s="22" t="str">
        <f>VLOOKUP($A1630, 'Medical Examinations'!$A:$D, 4, FALSE)</f>
        <v>No</v>
      </c>
      <c r="F1630" s="22" t="str">
        <f>VLOOKUP($A1630, 'Medical Examinations'!$A:$J, 5, FALSE)</f>
        <v>No</v>
      </c>
      <c r="G1630" s="22" t="str">
        <f>VLOOKUP($A1630, 'Medical Examinations'!$A:$I, 6, FALSE)</f>
        <v>No</v>
      </c>
      <c r="H1630" s="22">
        <f>VLOOKUP($A1630,'Medical Examinations'!$A:$L,10, FALSE)</f>
        <v>1</v>
      </c>
      <c r="I1630" s="22" t="str">
        <f>VLOOKUP($A1630, 'Medical Examinations'!$A:$J, 9, FALSE)</f>
        <v>No</v>
      </c>
      <c r="J1630" s="22" t="str">
        <f>VLOOKUP($A1630, 'Medical Examinations'!$A:$P, 11, FALSE)</f>
        <v>OBESITY</v>
      </c>
      <c r="K1630" s="34">
        <v>33231.0</v>
      </c>
      <c r="L1630" s="35">
        <f>VLOOKUP($A1630, 'Hospitalisation Details'!$A:$H, 7, FALSE)</f>
        <v>6079.67</v>
      </c>
      <c r="M1630" s="22" t="str">
        <f>VLOOKUP($A1630, 'Hospitalisation Details'!$A:$L, 12, FALSE)</f>
        <v>tier - 1</v>
      </c>
      <c r="N1630" s="22" t="str">
        <f>VLOOKUP($A1630, 'Hospitalisation Details'!$A:$M, 13, FALSE)</f>
        <v>tier - 1</v>
      </c>
      <c r="O1630" s="22" t="str">
        <f>VLOOKUP($A1630, 'Hospitalisation Details'!$A:$N, 14, FALSE)</f>
        <v>R1014</v>
      </c>
      <c r="P1630" s="36">
        <f>VLOOKUP($A1630, 'Hospitalisation Details'!$A:$O, 15, FALSE)</f>
        <v>38</v>
      </c>
    </row>
    <row r="1631" ht="15.75" customHeight="1">
      <c r="A1631" s="33" t="s">
        <v>3261</v>
      </c>
      <c r="B1631" s="22" t="str">
        <f>VLOOKUP($A1631,'Customer Names'!$A:$D,3, FALSE)</f>
        <v>Lobaciute</v>
      </c>
      <c r="C1631" s="22">
        <f>VLOOKUP($A1631,'Medical Examinations'!$A:$D, 2, FALSE)</f>
        <v>18.78</v>
      </c>
      <c r="D1631" s="22">
        <f>VLOOKUP($A1631, 'Medical Examinations'!$A:$D,3, FALSE)</f>
        <v>4.45</v>
      </c>
      <c r="E1631" s="22" t="str">
        <f>VLOOKUP($A1631, 'Medical Examinations'!$A:$D, 4, FALSE)</f>
        <v>No</v>
      </c>
      <c r="F1631" s="22" t="str">
        <f>VLOOKUP($A1631, 'Medical Examinations'!$A:$J, 5, FALSE)</f>
        <v>No</v>
      </c>
      <c r="G1631" s="22" t="str">
        <f>VLOOKUP($A1631, 'Medical Examinations'!$A:$I, 6, FALSE)</f>
        <v>Yes</v>
      </c>
      <c r="H1631" s="22">
        <f>VLOOKUP($A1631,'Medical Examinations'!$A:$L,10, FALSE)</f>
        <v>1</v>
      </c>
      <c r="I1631" s="22" t="str">
        <f>VLOOKUP($A1631, 'Medical Examinations'!$A:$J, 9, FALSE)</f>
        <v>No</v>
      </c>
      <c r="J1631" s="22" t="str">
        <f>VLOOKUP($A1631, 'Medical Examinations'!$A:$P, 11, FALSE)</f>
        <v>NORMAL WEIGHT</v>
      </c>
      <c r="K1631" s="34">
        <v>23340.0</v>
      </c>
      <c r="L1631" s="35">
        <f>VLOOKUP($A1631, 'Hospitalisation Details'!$A:$H, 7, FALSE)</f>
        <v>6074.37</v>
      </c>
      <c r="M1631" s="22" t="str">
        <f>VLOOKUP($A1631, 'Hospitalisation Details'!$A:$L, 12, FALSE)</f>
        <v>tier - 2</v>
      </c>
      <c r="N1631" s="22" t="str">
        <f>VLOOKUP($A1631, 'Hospitalisation Details'!$A:$M, 13, FALSE)</f>
        <v>tier - 2</v>
      </c>
      <c r="O1631" s="22" t="str">
        <f>VLOOKUP($A1631, 'Hospitalisation Details'!$A:$N, 14, FALSE)</f>
        <v>R1012</v>
      </c>
      <c r="P1631" s="36">
        <f>VLOOKUP($A1631, 'Hospitalisation Details'!$A:$O, 15, FALSE)</f>
        <v>43</v>
      </c>
    </row>
    <row r="1632" ht="15.75" customHeight="1">
      <c r="A1632" s="33" t="s">
        <v>3263</v>
      </c>
      <c r="B1632" s="22" t="str">
        <f>VLOOKUP($A1632,'Customer Names'!$A:$D,3, FALSE)</f>
        <v>Dawes</v>
      </c>
      <c r="C1632" s="22">
        <f>VLOOKUP($A1632,'Medical Examinations'!$A:$D, 2, FALSE)</f>
        <v>28.025</v>
      </c>
      <c r="D1632" s="22">
        <f>VLOOKUP($A1632, 'Medical Examinations'!$A:$D,3, FALSE)</f>
        <v>5</v>
      </c>
      <c r="E1632" s="22" t="str">
        <f>VLOOKUP($A1632, 'Medical Examinations'!$A:$D, 4, FALSE)</f>
        <v>No</v>
      </c>
      <c r="F1632" s="22" t="str">
        <f>VLOOKUP($A1632, 'Medical Examinations'!$A:$J, 5, FALSE)</f>
        <v>No</v>
      </c>
      <c r="G1632" s="22" t="str">
        <f>VLOOKUP($A1632, 'Medical Examinations'!$A:$I, 6, FALSE)</f>
        <v>No</v>
      </c>
      <c r="H1632" s="22">
        <f>VLOOKUP($A1632,'Medical Examinations'!$A:$L,10, FALSE)</f>
        <v>1</v>
      </c>
      <c r="I1632" s="22" t="str">
        <f>VLOOKUP($A1632, 'Medical Examinations'!$A:$J, 9, FALSE)</f>
        <v>No</v>
      </c>
      <c r="J1632" s="22" t="str">
        <f>VLOOKUP($A1632, 'Medical Examinations'!$A:$P, 11, FALSE)</f>
        <v>OVERWEIGHT</v>
      </c>
      <c r="K1632" s="34">
        <v>36409.0</v>
      </c>
      <c r="L1632" s="35">
        <f>VLOOKUP($A1632, 'Hospitalisation Details'!$A:$H, 7, FALSE)</f>
        <v>6067.13</v>
      </c>
      <c r="M1632" s="22" t="str">
        <f>VLOOKUP($A1632, 'Hospitalisation Details'!$A:$L, 12, FALSE)</f>
        <v>tier - 3</v>
      </c>
      <c r="N1632" s="22" t="str">
        <f>VLOOKUP($A1632, 'Hospitalisation Details'!$A:$M, 13, FALSE)</f>
        <v>tier - 1</v>
      </c>
      <c r="O1632" s="22" t="str">
        <f>VLOOKUP($A1632, 'Hospitalisation Details'!$A:$N, 14, FALSE)</f>
        <v>R1016</v>
      </c>
      <c r="P1632" s="36">
        <f>VLOOKUP($A1632, 'Hospitalisation Details'!$A:$O, 15, FALSE)</f>
        <v>38</v>
      </c>
    </row>
    <row r="1633" ht="15.75" customHeight="1">
      <c r="A1633" s="33" t="s">
        <v>3265</v>
      </c>
      <c r="B1633" s="22" t="str">
        <f>VLOOKUP($A1633,'Customer Names'!$A:$D,3, FALSE)</f>
        <v>Deppen</v>
      </c>
      <c r="C1633" s="22">
        <f>VLOOKUP($A1633,'Medical Examinations'!$A:$D, 2, FALSE)</f>
        <v>35.09</v>
      </c>
      <c r="D1633" s="22">
        <f>VLOOKUP($A1633, 'Medical Examinations'!$A:$D,3, FALSE)</f>
        <v>5.84</v>
      </c>
      <c r="E1633" s="22" t="str">
        <f>VLOOKUP($A1633, 'Medical Examinations'!$A:$D, 4, FALSE)</f>
        <v>No</v>
      </c>
      <c r="F1633" s="22" t="str">
        <f>VLOOKUP($A1633, 'Medical Examinations'!$A:$J, 5, FALSE)</f>
        <v>No</v>
      </c>
      <c r="G1633" s="22" t="str">
        <f>VLOOKUP($A1633, 'Medical Examinations'!$A:$I, 6, FALSE)</f>
        <v>No</v>
      </c>
      <c r="H1633" s="22">
        <f>VLOOKUP($A1633,'Medical Examinations'!$A:$L,10, FALSE)</f>
        <v>0</v>
      </c>
      <c r="I1633" s="22" t="str">
        <f>VLOOKUP($A1633, 'Medical Examinations'!$A:$J, 9, FALSE)</f>
        <v>No</v>
      </c>
      <c r="J1633" s="22" t="str">
        <f>VLOOKUP($A1633, 'Medical Examinations'!$A:$P, 11, FALSE)</f>
        <v>OBESITY</v>
      </c>
      <c r="K1633" s="34">
        <v>22242.0</v>
      </c>
      <c r="L1633" s="35">
        <f>VLOOKUP($A1633, 'Hospitalisation Details'!$A:$H, 7, FALSE)</f>
        <v>6064.37</v>
      </c>
      <c r="M1633" s="22" t="str">
        <f>VLOOKUP($A1633, 'Hospitalisation Details'!$A:$L, 12, FALSE)</f>
        <v>tier - 2</v>
      </c>
      <c r="N1633" s="22" t="str">
        <f>VLOOKUP($A1633, 'Hospitalisation Details'!$A:$M, 13, FALSE)</f>
        <v>tier - 2</v>
      </c>
      <c r="O1633" s="22" t="str">
        <f>VLOOKUP($A1633, 'Hospitalisation Details'!$A:$N, 14, FALSE)</f>
        <v>R1011</v>
      </c>
      <c r="P1633" s="36">
        <f>VLOOKUP($A1633, 'Hospitalisation Details'!$A:$O, 15, FALSE)</f>
        <v>28</v>
      </c>
    </row>
    <row r="1634" ht="15.75" customHeight="1">
      <c r="A1634" s="33" t="s">
        <v>3267</v>
      </c>
      <c r="B1634" s="22" t="str">
        <f>VLOOKUP($A1634,'Customer Names'!$A:$D,3, FALSE)</f>
        <v>Oberndorfer</v>
      </c>
      <c r="C1634" s="22">
        <f>VLOOKUP($A1634,'Medical Examinations'!$A:$D, 2, FALSE)</f>
        <v>34.42</v>
      </c>
      <c r="D1634" s="22">
        <f>VLOOKUP($A1634, 'Medical Examinations'!$A:$D,3, FALSE)</f>
        <v>5.21</v>
      </c>
      <c r="E1634" s="22" t="str">
        <f>VLOOKUP($A1634, 'Medical Examinations'!$A:$D, 4, FALSE)</f>
        <v>Yes</v>
      </c>
      <c r="F1634" s="22" t="str">
        <f>VLOOKUP($A1634, 'Medical Examinations'!$A:$J, 5, FALSE)</f>
        <v>No</v>
      </c>
      <c r="G1634" s="22" t="str">
        <f>VLOOKUP($A1634, 'Medical Examinations'!$A:$I, 6, FALSE)</f>
        <v>No</v>
      </c>
      <c r="H1634" s="22">
        <f>VLOOKUP($A1634,'Medical Examinations'!$A:$L,10, FALSE)</f>
        <v>0</v>
      </c>
      <c r="I1634" s="22" t="str">
        <f>VLOOKUP($A1634, 'Medical Examinations'!$A:$J, 9, FALSE)</f>
        <v>No</v>
      </c>
      <c r="J1634" s="22" t="str">
        <f>VLOOKUP($A1634, 'Medical Examinations'!$A:$P, 11, FALSE)</f>
        <v>OBESITY</v>
      </c>
      <c r="K1634" s="34">
        <v>31380.0</v>
      </c>
      <c r="L1634" s="35">
        <f>VLOOKUP($A1634, 'Hospitalisation Details'!$A:$H, 7, FALSE)</f>
        <v>6061.8</v>
      </c>
      <c r="M1634" s="22" t="str">
        <f>VLOOKUP($A1634, 'Hospitalisation Details'!$A:$L, 12, FALSE)</f>
        <v>tier - 2</v>
      </c>
      <c r="N1634" s="22" t="str">
        <f>VLOOKUP($A1634, 'Hospitalisation Details'!$A:$M, 13, FALSE)</f>
        <v>tier - 3</v>
      </c>
      <c r="O1634" s="22" t="str">
        <f>VLOOKUP($A1634, 'Hospitalisation Details'!$A:$N, 14, FALSE)</f>
        <v>R1012</v>
      </c>
      <c r="P1634" s="36">
        <f>VLOOKUP($A1634, 'Hospitalisation Details'!$A:$O, 15, FALSE)</f>
        <v>26</v>
      </c>
    </row>
    <row r="1635" ht="15.75" customHeight="1">
      <c r="A1635" s="33" t="s">
        <v>3269</v>
      </c>
      <c r="B1635" s="22" t="str">
        <f>VLOOKUP($A1635,'Customer Names'!$A:$D,3, FALSE)</f>
        <v>Hetherington</v>
      </c>
      <c r="C1635" s="22">
        <f>VLOOKUP($A1635,'Medical Examinations'!$A:$D, 2, FALSE)</f>
        <v>29.4</v>
      </c>
      <c r="D1635" s="22">
        <f>VLOOKUP($A1635, 'Medical Examinations'!$A:$D,3, FALSE)</f>
        <v>4.26</v>
      </c>
      <c r="E1635" s="22" t="str">
        <f>VLOOKUP($A1635, 'Medical Examinations'!$A:$D, 4, FALSE)</f>
        <v>No</v>
      </c>
      <c r="F1635" s="22" t="str">
        <f>VLOOKUP($A1635, 'Medical Examinations'!$A:$J, 5, FALSE)</f>
        <v>No</v>
      </c>
      <c r="G1635" s="22" t="str">
        <f>VLOOKUP($A1635, 'Medical Examinations'!$A:$I, 6, FALSE)</f>
        <v>No</v>
      </c>
      <c r="H1635" s="22">
        <f>VLOOKUP($A1635,'Medical Examinations'!$A:$L,10, FALSE)</f>
        <v>0</v>
      </c>
      <c r="I1635" s="22" t="str">
        <f>VLOOKUP($A1635, 'Medical Examinations'!$A:$J, 9, FALSE)</f>
        <v>No</v>
      </c>
      <c r="J1635" s="22" t="str">
        <f>VLOOKUP($A1635, 'Medical Examinations'!$A:$P, 11, FALSE)</f>
        <v>OVERWEIGHT</v>
      </c>
      <c r="K1635" s="34">
        <v>22271.0</v>
      </c>
      <c r="L1635" s="35">
        <f>VLOOKUP($A1635, 'Hospitalisation Details'!$A:$H, 7, FALSE)</f>
        <v>6059.17</v>
      </c>
      <c r="M1635" s="22" t="str">
        <f>VLOOKUP($A1635, 'Hospitalisation Details'!$A:$L, 12, FALSE)</f>
        <v>tier - 2</v>
      </c>
      <c r="N1635" s="22" t="str">
        <f>VLOOKUP($A1635, 'Hospitalisation Details'!$A:$M, 13, FALSE)</f>
        <v>tier - 1</v>
      </c>
      <c r="O1635" s="22" t="str">
        <f>VLOOKUP($A1635, 'Hospitalisation Details'!$A:$N, 14, FALSE)</f>
        <v>R1011</v>
      </c>
      <c r="P1635" s="36">
        <f>VLOOKUP($A1635, 'Hospitalisation Details'!$A:$O, 15, FALSE)</f>
        <v>33</v>
      </c>
    </row>
    <row r="1636" ht="15.75" customHeight="1">
      <c r="A1636" s="33" t="s">
        <v>3271</v>
      </c>
      <c r="B1636" s="22" t="str">
        <f>VLOOKUP($A1636,'Customer Names'!$A:$D,3, FALSE)</f>
        <v>Murray</v>
      </c>
      <c r="C1636" s="22">
        <f>VLOOKUP($A1636,'Medical Examinations'!$A:$D, 2, FALSE)</f>
        <v>21.31</v>
      </c>
      <c r="D1636" s="22">
        <f>VLOOKUP($A1636, 'Medical Examinations'!$A:$D,3, FALSE)</f>
        <v>4.17</v>
      </c>
      <c r="E1636" s="22" t="str">
        <f>VLOOKUP($A1636, 'Medical Examinations'!$A:$D, 4, FALSE)</f>
        <v>No</v>
      </c>
      <c r="F1636" s="22" t="str">
        <f>VLOOKUP($A1636, 'Medical Examinations'!$A:$J, 5, FALSE)</f>
        <v>No</v>
      </c>
      <c r="G1636" s="22" t="str">
        <f>VLOOKUP($A1636, 'Medical Examinations'!$A:$I, 6, FALSE)</f>
        <v>No</v>
      </c>
      <c r="H1636" s="22">
        <f>VLOOKUP($A1636,'Medical Examinations'!$A:$L,10, FALSE)</f>
        <v>0</v>
      </c>
      <c r="I1636" s="22" t="str">
        <f>VLOOKUP($A1636, 'Medical Examinations'!$A:$J, 9, FALSE)</f>
        <v>No</v>
      </c>
      <c r="J1636" s="22" t="str">
        <f>VLOOKUP($A1636, 'Medical Examinations'!$A:$P, 11, FALSE)</f>
        <v>NORMAL WEIGHT</v>
      </c>
      <c r="K1636" s="34">
        <v>36515.0</v>
      </c>
      <c r="L1636" s="35">
        <f>VLOOKUP($A1636, 'Hospitalisation Details'!$A:$H, 7, FALSE)</f>
        <v>5993.62</v>
      </c>
      <c r="M1636" s="22" t="str">
        <f>VLOOKUP($A1636, 'Hospitalisation Details'!$A:$L, 12, FALSE)</f>
        <v>tier - 2</v>
      </c>
      <c r="N1636" s="22" t="str">
        <f>VLOOKUP($A1636, 'Hospitalisation Details'!$A:$M, 13, FALSE)</f>
        <v>tier - 3</v>
      </c>
      <c r="O1636" s="22" t="str">
        <f>VLOOKUP($A1636, 'Hospitalisation Details'!$A:$N, 14, FALSE)</f>
        <v>R1013</v>
      </c>
      <c r="P1636" s="36">
        <f>VLOOKUP($A1636, 'Hospitalisation Details'!$A:$O, 15, FALSE)</f>
        <v>42</v>
      </c>
    </row>
    <row r="1637" ht="15.75" customHeight="1">
      <c r="A1637" s="33" t="s">
        <v>3273</v>
      </c>
      <c r="B1637" s="22" t="str">
        <f>VLOOKUP($A1637,'Customer Names'!$A:$D,3, FALSE)</f>
        <v>Higden</v>
      </c>
      <c r="C1637" s="22">
        <f>VLOOKUP($A1637,'Medical Examinations'!$A:$D, 2, FALSE)</f>
        <v>19.56</v>
      </c>
      <c r="D1637" s="22">
        <f>VLOOKUP($A1637, 'Medical Examinations'!$A:$D,3, FALSE)</f>
        <v>11.96</v>
      </c>
      <c r="E1637" s="22" t="str">
        <f>VLOOKUP($A1637, 'Medical Examinations'!$A:$D, 4, FALSE)</f>
        <v>No</v>
      </c>
      <c r="F1637" s="22" t="str">
        <f>VLOOKUP($A1637, 'Medical Examinations'!$A:$J, 5, FALSE)</f>
        <v>No</v>
      </c>
      <c r="G1637" s="22" t="str">
        <f>VLOOKUP($A1637, 'Medical Examinations'!$A:$I, 6, FALSE)</f>
        <v>No</v>
      </c>
      <c r="H1637" s="22">
        <f>VLOOKUP($A1637,'Medical Examinations'!$A:$L,10, FALSE)</f>
        <v>0</v>
      </c>
      <c r="I1637" s="22" t="str">
        <f>VLOOKUP($A1637, 'Medical Examinations'!$A:$J, 9, FALSE)</f>
        <v>No</v>
      </c>
      <c r="J1637" s="22" t="str">
        <f>VLOOKUP($A1637, 'Medical Examinations'!$A:$P, 11, FALSE)</f>
        <v>NORMAL WEIGHT</v>
      </c>
      <c r="K1637" s="34">
        <v>22490.0</v>
      </c>
      <c r="L1637" s="35">
        <f>VLOOKUP($A1637, 'Hospitalisation Details'!$A:$H, 7, FALSE)</f>
        <v>5990.17</v>
      </c>
      <c r="M1637" s="22" t="str">
        <f>VLOOKUP($A1637, 'Hospitalisation Details'!$A:$L, 12, FALSE)</f>
        <v>tier - 2</v>
      </c>
      <c r="N1637" s="22" t="str">
        <f>VLOOKUP($A1637, 'Hospitalisation Details'!$A:$M, 13, FALSE)</f>
        <v>tier - 2</v>
      </c>
      <c r="O1637" s="22" t="str">
        <f>VLOOKUP($A1637, 'Hospitalisation Details'!$A:$N, 14, FALSE)</f>
        <v>R1013</v>
      </c>
      <c r="P1637" s="36">
        <f>VLOOKUP($A1637, 'Hospitalisation Details'!$A:$O, 15, FALSE)</f>
        <v>48</v>
      </c>
    </row>
    <row r="1638" ht="15.75" customHeight="1">
      <c r="A1638" s="33" t="s">
        <v>3275</v>
      </c>
      <c r="B1638" s="22" t="str">
        <f>VLOOKUP($A1638,'Customer Names'!$A:$D,3, FALSE)</f>
        <v>Rediger</v>
      </c>
      <c r="C1638" s="22">
        <f>VLOOKUP($A1638,'Medical Examinations'!$A:$D, 2, FALSE)</f>
        <v>37.335</v>
      </c>
      <c r="D1638" s="22">
        <f>VLOOKUP($A1638, 'Medical Examinations'!$A:$D,3, FALSE)</f>
        <v>6.26</v>
      </c>
      <c r="E1638" s="22" t="str">
        <f>VLOOKUP($A1638, 'Medical Examinations'!$A:$D, 4, FALSE)</f>
        <v>Yes</v>
      </c>
      <c r="F1638" s="22" t="str">
        <f>VLOOKUP($A1638, 'Medical Examinations'!$A:$J, 5, FALSE)</f>
        <v>No</v>
      </c>
      <c r="G1638" s="22" t="str">
        <f>VLOOKUP($A1638, 'Medical Examinations'!$A:$I, 6, FALSE)</f>
        <v>No</v>
      </c>
      <c r="H1638" s="22">
        <f>VLOOKUP($A1638,'Medical Examinations'!$A:$L,10, FALSE)</f>
        <v>1</v>
      </c>
      <c r="I1638" s="22" t="str">
        <f>VLOOKUP($A1638, 'Medical Examinations'!$A:$J, 9, FALSE)</f>
        <v>No</v>
      </c>
      <c r="J1638" s="22" t="str">
        <f>VLOOKUP($A1638, 'Medical Examinations'!$A:$P, 11, FALSE)</f>
        <v>OBESITY</v>
      </c>
      <c r="K1638" s="34">
        <v>33393.0</v>
      </c>
      <c r="L1638" s="35">
        <f>VLOOKUP($A1638, 'Hospitalisation Details'!$A:$H, 7, FALSE)</f>
        <v>5989.52</v>
      </c>
      <c r="M1638" s="22" t="str">
        <f>VLOOKUP($A1638, 'Hospitalisation Details'!$A:$L, 12, FALSE)</f>
        <v>tier - 2</v>
      </c>
      <c r="N1638" s="22" t="str">
        <f>VLOOKUP($A1638, 'Hospitalisation Details'!$A:$M, 13, FALSE)</f>
        <v>tier - 1</v>
      </c>
      <c r="O1638" s="22" t="str">
        <f>VLOOKUP($A1638, 'Hospitalisation Details'!$A:$N, 14, FALSE)</f>
        <v>R1012</v>
      </c>
      <c r="P1638" s="36">
        <f>VLOOKUP($A1638, 'Hospitalisation Details'!$A:$O, 15, FALSE)</f>
        <v>34</v>
      </c>
    </row>
    <row r="1639" ht="15.75" customHeight="1">
      <c r="A1639" s="33" t="s">
        <v>3277</v>
      </c>
      <c r="B1639" s="22" t="str">
        <f>VLOOKUP($A1639,'Customer Names'!$A:$D,3, FALSE)</f>
        <v>Huff</v>
      </c>
      <c r="C1639" s="22">
        <f>VLOOKUP($A1639,'Medical Examinations'!$A:$D, 2, FALSE)</f>
        <v>19.53</v>
      </c>
      <c r="D1639" s="22">
        <f>VLOOKUP($A1639, 'Medical Examinations'!$A:$D,3, FALSE)</f>
        <v>11.68</v>
      </c>
      <c r="E1639" s="22" t="str">
        <f>VLOOKUP($A1639, 'Medical Examinations'!$A:$D, 4, FALSE)</f>
        <v>No</v>
      </c>
      <c r="F1639" s="22" t="str">
        <f>VLOOKUP($A1639, 'Medical Examinations'!$A:$J, 5, FALSE)</f>
        <v>No</v>
      </c>
      <c r="G1639" s="22" t="str">
        <f>VLOOKUP($A1639, 'Medical Examinations'!$A:$I, 6, FALSE)</f>
        <v>No</v>
      </c>
      <c r="H1639" s="22">
        <f>VLOOKUP($A1639,'Medical Examinations'!$A:$L,10, FALSE)</f>
        <v>0</v>
      </c>
      <c r="I1639" s="22" t="str">
        <f>VLOOKUP($A1639, 'Medical Examinations'!$A:$J, 9, FALSE)</f>
        <v>No</v>
      </c>
      <c r="J1639" s="22" t="str">
        <f>VLOOKUP($A1639, 'Medical Examinations'!$A:$P, 11, FALSE)</f>
        <v>NORMAL WEIGHT</v>
      </c>
      <c r="K1639" s="34">
        <v>32833.0</v>
      </c>
      <c r="L1639" s="35">
        <f>VLOOKUP($A1639, 'Hospitalisation Details'!$A:$H, 7, FALSE)</f>
        <v>5979.99</v>
      </c>
      <c r="M1639" s="22" t="str">
        <f>VLOOKUP($A1639, 'Hospitalisation Details'!$A:$L, 12, FALSE)</f>
        <v>tier - 2</v>
      </c>
      <c r="N1639" s="22" t="str">
        <f>VLOOKUP($A1639, 'Hospitalisation Details'!$A:$M, 13, FALSE)</f>
        <v>tier - 3</v>
      </c>
      <c r="O1639" s="22" t="str">
        <f>VLOOKUP($A1639, 'Hospitalisation Details'!$A:$N, 14, FALSE)</f>
        <v>R1013</v>
      </c>
      <c r="P1639" s="36">
        <f>VLOOKUP($A1639, 'Hospitalisation Details'!$A:$O, 15, FALSE)</f>
        <v>48</v>
      </c>
    </row>
    <row r="1640" ht="15.75" customHeight="1">
      <c r="A1640" s="33" t="s">
        <v>3279</v>
      </c>
      <c r="B1640" s="22" t="str">
        <f>VLOOKUP($A1640,'Customer Names'!$A:$D,3, FALSE)</f>
        <v>Hall</v>
      </c>
      <c r="C1640" s="22">
        <f>VLOOKUP($A1640,'Medical Examinations'!$A:$D, 2, FALSE)</f>
        <v>34.1</v>
      </c>
      <c r="D1640" s="22">
        <f>VLOOKUP($A1640, 'Medical Examinations'!$A:$D,3, FALSE)</f>
        <v>5.16</v>
      </c>
      <c r="E1640" s="22" t="str">
        <f>VLOOKUP($A1640, 'Medical Examinations'!$A:$D, 4, FALSE)</f>
        <v>No</v>
      </c>
      <c r="F1640" s="22" t="str">
        <f>VLOOKUP($A1640, 'Medical Examinations'!$A:$J, 5, FALSE)</f>
        <v>No</v>
      </c>
      <c r="G1640" s="22" t="str">
        <f>VLOOKUP($A1640, 'Medical Examinations'!$A:$I, 6, FALSE)</f>
        <v>No</v>
      </c>
      <c r="H1640" s="22">
        <f>VLOOKUP($A1640,'Medical Examinations'!$A:$L,10, FALSE)</f>
        <v>0</v>
      </c>
      <c r="I1640" s="22" t="str">
        <f>VLOOKUP($A1640, 'Medical Examinations'!$A:$J, 9, FALSE)</f>
        <v>No</v>
      </c>
      <c r="J1640" s="22" t="str">
        <f>VLOOKUP($A1640, 'Medical Examinations'!$A:$P, 11, FALSE)</f>
        <v>OBESITY</v>
      </c>
      <c r="K1640" s="34">
        <v>31385.0</v>
      </c>
      <c r="L1640" s="35">
        <f>VLOOKUP($A1640, 'Hospitalisation Details'!$A:$H, 7, FALSE)</f>
        <v>5979.73</v>
      </c>
      <c r="M1640" s="22" t="str">
        <f>VLOOKUP($A1640, 'Hospitalisation Details'!$A:$L, 12, FALSE)</f>
        <v>tier - 2</v>
      </c>
      <c r="N1640" s="22" t="str">
        <f>VLOOKUP($A1640, 'Hospitalisation Details'!$A:$M, 13, FALSE)</f>
        <v>tier - 2</v>
      </c>
      <c r="O1640" s="22" t="str">
        <f>VLOOKUP($A1640, 'Hospitalisation Details'!$A:$N, 14, FALSE)</f>
        <v>R1011</v>
      </c>
      <c r="P1640" s="36">
        <f>VLOOKUP($A1640, 'Hospitalisation Details'!$A:$O, 15, FALSE)</f>
        <v>42</v>
      </c>
    </row>
    <row r="1641" ht="15.75" customHeight="1">
      <c r="A1641" s="33" t="s">
        <v>3281</v>
      </c>
      <c r="B1641" s="22" t="str">
        <f>VLOOKUP($A1641,'Customer Names'!$A:$D,3, FALSE)</f>
        <v>Grise</v>
      </c>
      <c r="C1641" s="22">
        <f>VLOOKUP($A1641,'Medical Examinations'!$A:$D, 2, FALSE)</f>
        <v>16.5</v>
      </c>
      <c r="D1641" s="22">
        <f>VLOOKUP($A1641, 'Medical Examinations'!$A:$D,3, FALSE)</f>
        <v>6.9</v>
      </c>
      <c r="E1641" s="22" t="str">
        <f>VLOOKUP($A1641, 'Medical Examinations'!$A:$D, 4, FALSE)</f>
        <v>Yes</v>
      </c>
      <c r="F1641" s="22" t="str">
        <f>VLOOKUP($A1641, 'Medical Examinations'!$A:$J, 5, FALSE)</f>
        <v>No</v>
      </c>
      <c r="G1641" s="22" t="str">
        <f>VLOOKUP($A1641, 'Medical Examinations'!$A:$I, 6, FALSE)</f>
        <v>No</v>
      </c>
      <c r="H1641" s="22">
        <f>VLOOKUP($A1641,'Medical Examinations'!$A:$L,10, FALSE)</f>
        <v>2</v>
      </c>
      <c r="I1641" s="22" t="str">
        <f>VLOOKUP($A1641, 'Medical Examinations'!$A:$J, 9, FALSE)</f>
        <v>No</v>
      </c>
      <c r="J1641" s="22" t="str">
        <f>VLOOKUP($A1641, 'Medical Examinations'!$A:$P, 11, FALSE)</f>
        <v>UNDERWEIGHT</v>
      </c>
      <c r="K1641" s="34">
        <v>22103.0</v>
      </c>
      <c r="L1641" s="35">
        <f>VLOOKUP($A1641, 'Hospitalisation Details'!$A:$H, 7, FALSE)</f>
        <v>5979.66</v>
      </c>
      <c r="M1641" s="22" t="str">
        <f>VLOOKUP($A1641, 'Hospitalisation Details'!$A:$L, 12, FALSE)</f>
        <v>tier - 2</v>
      </c>
      <c r="N1641" s="22" t="str">
        <f>VLOOKUP($A1641, 'Hospitalisation Details'!$A:$M, 13, FALSE)</f>
        <v>tier - 3</v>
      </c>
      <c r="O1641" s="22" t="str">
        <f>VLOOKUP($A1641, 'Hospitalisation Details'!$A:$N, 14, FALSE)</f>
        <v>R1013</v>
      </c>
      <c r="P1641" s="36">
        <f>VLOOKUP($A1641, 'Hospitalisation Details'!$A:$O, 15, FALSE)</f>
        <v>52</v>
      </c>
    </row>
    <row r="1642" ht="15.75" customHeight="1">
      <c r="A1642" s="33" t="s">
        <v>3283</v>
      </c>
      <c r="B1642" s="22" t="str">
        <f>VLOOKUP($A1642,'Customer Names'!$A:$D,3, FALSE)</f>
        <v>Skildum</v>
      </c>
      <c r="C1642" s="22">
        <f>VLOOKUP($A1642,'Medical Examinations'!$A:$D, 2, FALSE)</f>
        <v>30.69</v>
      </c>
      <c r="D1642" s="22">
        <f>VLOOKUP($A1642, 'Medical Examinations'!$A:$D,3, FALSE)</f>
        <v>4.83</v>
      </c>
      <c r="E1642" s="22" t="str">
        <f>VLOOKUP($A1642, 'Medical Examinations'!$A:$D, 4, FALSE)</f>
        <v>No</v>
      </c>
      <c r="F1642" s="22" t="str">
        <f>VLOOKUP($A1642, 'Medical Examinations'!$A:$J, 5, FALSE)</f>
        <v>No</v>
      </c>
      <c r="G1642" s="22" t="str">
        <f>VLOOKUP($A1642, 'Medical Examinations'!$A:$I, 6, FALSE)</f>
        <v>No</v>
      </c>
      <c r="H1642" s="22">
        <f>VLOOKUP($A1642,'Medical Examinations'!$A:$L,10, FALSE)</f>
        <v>1</v>
      </c>
      <c r="I1642" s="22" t="str">
        <f>VLOOKUP($A1642, 'Medical Examinations'!$A:$J, 9, FALSE)</f>
        <v>No</v>
      </c>
      <c r="J1642" s="22" t="str">
        <f>VLOOKUP($A1642, 'Medical Examinations'!$A:$P, 11, FALSE)</f>
        <v>OBESITY</v>
      </c>
      <c r="K1642" s="34">
        <v>37596.0</v>
      </c>
      <c r="L1642" s="35">
        <f>VLOOKUP($A1642, 'Hospitalisation Details'!$A:$H, 7, FALSE)</f>
        <v>5976.83</v>
      </c>
      <c r="M1642" s="22" t="str">
        <f>VLOOKUP($A1642, 'Hospitalisation Details'!$A:$L, 12, FALSE)</f>
        <v>tier - 2</v>
      </c>
      <c r="N1642" s="22" t="str">
        <f>VLOOKUP($A1642, 'Hospitalisation Details'!$A:$M, 13, FALSE)</f>
        <v>tier - 2</v>
      </c>
      <c r="O1642" s="22" t="str">
        <f>VLOOKUP($A1642, 'Hospitalisation Details'!$A:$N, 14, FALSE)</f>
        <v>R1013</v>
      </c>
      <c r="P1642" s="36">
        <f>VLOOKUP($A1642, 'Hospitalisation Details'!$A:$O, 15, FALSE)</f>
        <v>38</v>
      </c>
    </row>
    <row r="1643" ht="15.75" customHeight="1">
      <c r="A1643" s="33" t="s">
        <v>3285</v>
      </c>
      <c r="B1643" s="22" t="str">
        <f>VLOOKUP($A1643,'Customer Names'!$A:$D,3, FALSE)</f>
        <v>Yang</v>
      </c>
      <c r="C1643" s="22">
        <f>VLOOKUP($A1643,'Medical Examinations'!$A:$D, 2, FALSE)</f>
        <v>28.93</v>
      </c>
      <c r="D1643" s="22">
        <f>VLOOKUP($A1643, 'Medical Examinations'!$A:$D,3, FALSE)</f>
        <v>4.87</v>
      </c>
      <c r="E1643" s="22" t="str">
        <f>VLOOKUP($A1643, 'Medical Examinations'!$A:$D, 4, FALSE)</f>
        <v>No</v>
      </c>
      <c r="F1643" s="22" t="str">
        <f>VLOOKUP($A1643, 'Medical Examinations'!$A:$J, 5, FALSE)</f>
        <v>No</v>
      </c>
      <c r="G1643" s="22" t="str">
        <f>VLOOKUP($A1643, 'Medical Examinations'!$A:$I, 6, FALSE)</f>
        <v>No</v>
      </c>
      <c r="H1643" s="22">
        <f>VLOOKUP($A1643,'Medical Examinations'!$A:$L,10, FALSE)</f>
        <v>1</v>
      </c>
      <c r="I1643" s="22" t="str">
        <f>VLOOKUP($A1643, 'Medical Examinations'!$A:$J, 9, FALSE)</f>
        <v>No</v>
      </c>
      <c r="J1643" s="22" t="str">
        <f>VLOOKUP($A1643, 'Medical Examinations'!$A:$P, 11, FALSE)</f>
        <v>OVERWEIGHT</v>
      </c>
      <c r="K1643" s="34">
        <v>33788.0</v>
      </c>
      <c r="L1643" s="35">
        <f>VLOOKUP($A1643, 'Hospitalisation Details'!$A:$H, 7, FALSE)</f>
        <v>5974.38</v>
      </c>
      <c r="M1643" s="22" t="str">
        <f>VLOOKUP($A1643, 'Hospitalisation Details'!$A:$L, 12, FALSE)</f>
        <v>tier - 2</v>
      </c>
      <c r="N1643" s="22" t="str">
        <f>VLOOKUP($A1643, 'Hospitalisation Details'!$A:$M, 13, FALSE)</f>
        <v>tier - 3</v>
      </c>
      <c r="O1643" s="22" t="str">
        <f>VLOOKUP($A1643, 'Hospitalisation Details'!$A:$N, 14, FALSE)</f>
        <v>R1013</v>
      </c>
      <c r="P1643" s="36">
        <f>VLOOKUP($A1643, 'Hospitalisation Details'!$A:$O, 15, FALSE)</f>
        <v>38</v>
      </c>
    </row>
    <row r="1644" ht="15.75" customHeight="1">
      <c r="A1644" s="33" t="s">
        <v>3287</v>
      </c>
      <c r="B1644" s="22" t="str">
        <f>VLOOKUP($A1644,'Customer Names'!$A:$D,3, FALSE)</f>
        <v>Fischer-Daly</v>
      </c>
      <c r="C1644" s="22">
        <f>VLOOKUP($A1644,'Medical Examinations'!$A:$D, 2, FALSE)</f>
        <v>38.9</v>
      </c>
      <c r="D1644" s="22">
        <f>VLOOKUP($A1644, 'Medical Examinations'!$A:$D,3, FALSE)</f>
        <v>4.28</v>
      </c>
      <c r="E1644" s="22" t="str">
        <f>VLOOKUP($A1644, 'Medical Examinations'!$A:$D, 4, FALSE)</f>
        <v>No</v>
      </c>
      <c r="F1644" s="22" t="str">
        <f>VLOOKUP($A1644, 'Medical Examinations'!$A:$J, 5, FALSE)</f>
        <v>No</v>
      </c>
      <c r="G1644" s="22" t="str">
        <f>VLOOKUP($A1644, 'Medical Examinations'!$A:$I, 6, FALSE)</f>
        <v>No</v>
      </c>
      <c r="H1644" s="22">
        <f>VLOOKUP($A1644,'Medical Examinations'!$A:$L,10, FALSE)</f>
        <v>0</v>
      </c>
      <c r="I1644" s="22" t="str">
        <f>VLOOKUP($A1644, 'Medical Examinations'!$A:$J, 9, FALSE)</f>
        <v>No</v>
      </c>
      <c r="J1644" s="22" t="str">
        <f>VLOOKUP($A1644, 'Medical Examinations'!$A:$P, 11, FALSE)</f>
        <v>OBESITY</v>
      </c>
      <c r="K1644" s="34">
        <v>35710.0</v>
      </c>
      <c r="L1644" s="35">
        <f>VLOOKUP($A1644, 'Hospitalisation Details'!$A:$H, 7, FALSE)</f>
        <v>5972.38</v>
      </c>
      <c r="M1644" s="22" t="str">
        <f>VLOOKUP($A1644, 'Hospitalisation Details'!$A:$L, 12, FALSE)</f>
        <v>tier - 2</v>
      </c>
      <c r="N1644" s="22" t="str">
        <f>VLOOKUP($A1644, 'Hospitalisation Details'!$A:$M, 13, FALSE)</f>
        <v>tier - 2</v>
      </c>
      <c r="O1644" s="22" t="str">
        <f>VLOOKUP($A1644, 'Hospitalisation Details'!$A:$N, 14, FALSE)</f>
        <v>R1011</v>
      </c>
      <c r="P1644" s="36">
        <f>VLOOKUP($A1644, 'Hospitalisation Details'!$A:$O, 15, FALSE)</f>
        <v>33</v>
      </c>
    </row>
    <row r="1645" ht="15.75" customHeight="1">
      <c r="A1645" s="33" t="s">
        <v>3289</v>
      </c>
      <c r="B1645" s="22" t="str">
        <f>VLOOKUP($A1645,'Customer Names'!$A:$D,3, FALSE)</f>
        <v>Asher</v>
      </c>
      <c r="C1645" s="22">
        <f>VLOOKUP($A1645,'Medical Examinations'!$A:$D, 2, FALSE)</f>
        <v>26.9</v>
      </c>
      <c r="D1645" s="22">
        <f>VLOOKUP($A1645, 'Medical Examinations'!$A:$D,3, FALSE)</f>
        <v>4.07</v>
      </c>
      <c r="E1645" s="22" t="str">
        <f>VLOOKUP($A1645, 'Medical Examinations'!$A:$D, 4, FALSE)</f>
        <v>No</v>
      </c>
      <c r="F1645" s="22" t="str">
        <f>VLOOKUP($A1645, 'Medical Examinations'!$A:$J, 5, FALSE)</f>
        <v>No</v>
      </c>
      <c r="G1645" s="22" t="str">
        <f>VLOOKUP($A1645, 'Medical Examinations'!$A:$I, 6, FALSE)</f>
        <v>No</v>
      </c>
      <c r="H1645" s="22">
        <f>VLOOKUP($A1645,'Medical Examinations'!$A:$L,10, FALSE)</f>
        <v>0</v>
      </c>
      <c r="I1645" s="22" t="str">
        <f>VLOOKUP($A1645, 'Medical Examinations'!$A:$J, 9, FALSE)</f>
        <v>No</v>
      </c>
      <c r="J1645" s="22" t="str">
        <f>VLOOKUP($A1645, 'Medical Examinations'!$A:$P, 11, FALSE)</f>
        <v>OVERWEIGHT</v>
      </c>
      <c r="K1645" s="34">
        <v>35682.0</v>
      </c>
      <c r="L1645" s="35">
        <f>VLOOKUP($A1645, 'Hospitalisation Details'!$A:$H, 7, FALSE)</f>
        <v>5969.72</v>
      </c>
      <c r="M1645" s="22" t="str">
        <f>VLOOKUP($A1645, 'Hospitalisation Details'!$A:$L, 12, FALSE)</f>
        <v>tier - 3</v>
      </c>
      <c r="N1645" s="22" t="str">
        <f>VLOOKUP($A1645, 'Hospitalisation Details'!$A:$M, 13, FALSE)</f>
        <v>tier - 3</v>
      </c>
      <c r="O1645" s="22" t="str">
        <f>VLOOKUP($A1645, 'Hospitalisation Details'!$A:$N, 14, FALSE)</f>
        <v>R1011</v>
      </c>
      <c r="P1645" s="36">
        <f>VLOOKUP($A1645, 'Hospitalisation Details'!$A:$O, 15, FALSE)</f>
        <v>42</v>
      </c>
    </row>
    <row r="1646" ht="15.75" customHeight="1">
      <c r="A1646" s="33" t="s">
        <v>3291</v>
      </c>
      <c r="B1646" s="22" t="str">
        <f>VLOOKUP($A1646,'Customer Names'!$A:$D,3, FALSE)</f>
        <v>Zhou</v>
      </c>
      <c r="C1646" s="22">
        <f>VLOOKUP($A1646,'Medical Examinations'!$A:$D, 2, FALSE)</f>
        <v>24.86</v>
      </c>
      <c r="D1646" s="22">
        <f>VLOOKUP($A1646, 'Medical Examinations'!$A:$D,3, FALSE)</f>
        <v>6.23</v>
      </c>
      <c r="E1646" s="22" t="str">
        <f>VLOOKUP($A1646, 'Medical Examinations'!$A:$D, 4, FALSE)</f>
        <v>No</v>
      </c>
      <c r="F1646" s="22" t="str">
        <f>VLOOKUP($A1646, 'Medical Examinations'!$A:$J, 5, FALSE)</f>
        <v>No</v>
      </c>
      <c r="G1646" s="22" t="str">
        <f>VLOOKUP($A1646, 'Medical Examinations'!$A:$I, 6, FALSE)</f>
        <v>No</v>
      </c>
      <c r="H1646" s="22">
        <f>VLOOKUP($A1646,'Medical Examinations'!$A:$L,10, FALSE)</f>
        <v>0</v>
      </c>
      <c r="I1646" s="22" t="str">
        <f>VLOOKUP($A1646, 'Medical Examinations'!$A:$J, 9, FALSE)</f>
        <v>No</v>
      </c>
      <c r="J1646" s="22" t="str">
        <f>VLOOKUP($A1646, 'Medical Examinations'!$A:$P, 11, FALSE)</f>
        <v>NORMAL WEIGHT</v>
      </c>
      <c r="K1646" s="34">
        <v>27250.0</v>
      </c>
      <c r="L1646" s="35">
        <f>VLOOKUP($A1646, 'Hospitalisation Details'!$A:$H, 7, FALSE)</f>
        <v>5966.89</v>
      </c>
      <c r="M1646" s="22" t="str">
        <f>VLOOKUP($A1646, 'Hospitalisation Details'!$A:$L, 12, FALSE)</f>
        <v>tier - 2</v>
      </c>
      <c r="N1646" s="22" t="str">
        <f>VLOOKUP($A1646, 'Hospitalisation Details'!$A:$M, 13, FALSE)</f>
        <v>tier - 3</v>
      </c>
      <c r="O1646" s="22" t="str">
        <f>VLOOKUP($A1646, 'Hospitalisation Details'!$A:$N, 14, FALSE)</f>
        <v>R1013</v>
      </c>
      <c r="P1646" s="36">
        <f>VLOOKUP($A1646, 'Hospitalisation Details'!$A:$O, 15, FALSE)</f>
        <v>42</v>
      </c>
    </row>
    <row r="1647" ht="15.75" customHeight="1">
      <c r="A1647" s="33" t="s">
        <v>3293</v>
      </c>
      <c r="B1647" s="22" t="str">
        <f>VLOOKUP($A1647,'Customer Names'!$A:$D,3, FALSE)</f>
        <v>Rudder</v>
      </c>
      <c r="C1647" s="22">
        <f>VLOOKUP($A1647,'Medical Examinations'!$A:$D, 2, FALSE)</f>
        <v>39.14</v>
      </c>
      <c r="D1647" s="22">
        <f>VLOOKUP($A1647, 'Medical Examinations'!$A:$D,3, FALSE)</f>
        <v>6.24</v>
      </c>
      <c r="E1647" s="22" t="str">
        <f>VLOOKUP($A1647, 'Medical Examinations'!$A:$D, 4, FALSE)</f>
        <v>No</v>
      </c>
      <c r="F1647" s="22" t="str">
        <f>VLOOKUP($A1647, 'Medical Examinations'!$A:$J, 5, FALSE)</f>
        <v>Yes</v>
      </c>
      <c r="G1647" s="22" t="str">
        <f>VLOOKUP($A1647, 'Medical Examinations'!$A:$I, 6, FALSE)</f>
        <v>No</v>
      </c>
      <c r="H1647" s="22">
        <f>VLOOKUP($A1647,'Medical Examinations'!$A:$L,10, FALSE)</f>
        <v>1</v>
      </c>
      <c r="I1647" s="22" t="str">
        <f>VLOOKUP($A1647, 'Medical Examinations'!$A:$J, 9, FALSE)</f>
        <v>No</v>
      </c>
      <c r="J1647" s="22" t="str">
        <f>VLOOKUP($A1647, 'Medical Examinations'!$A:$P, 11, FALSE)</f>
        <v>OBESITY</v>
      </c>
      <c r="K1647" s="34">
        <v>33766.0</v>
      </c>
      <c r="L1647" s="35">
        <f>VLOOKUP($A1647, 'Hospitalisation Details'!$A:$H, 7, FALSE)</f>
        <v>5960.91</v>
      </c>
      <c r="M1647" s="22" t="str">
        <f>VLOOKUP($A1647, 'Hospitalisation Details'!$A:$L, 12, FALSE)</f>
        <v>tier - 2</v>
      </c>
      <c r="N1647" s="22" t="str">
        <f>VLOOKUP($A1647, 'Hospitalisation Details'!$A:$M, 13, FALSE)</f>
        <v>tier - 1</v>
      </c>
      <c r="O1647" s="22" t="str">
        <f>VLOOKUP($A1647, 'Hospitalisation Details'!$A:$N, 14, FALSE)</f>
        <v>R1026</v>
      </c>
      <c r="P1647" s="36">
        <f>VLOOKUP($A1647, 'Hospitalisation Details'!$A:$O, 15, FALSE)</f>
        <v>18</v>
      </c>
    </row>
    <row r="1648" ht="15.75" customHeight="1">
      <c r="A1648" s="33" t="s">
        <v>3295</v>
      </c>
      <c r="B1648" s="22" t="str">
        <f>VLOOKUP($A1648,'Customer Names'!$A:$D,3, FALSE)</f>
        <v>Cartmell</v>
      </c>
      <c r="C1648" s="22">
        <f>VLOOKUP($A1648,'Medical Examinations'!$A:$D, 2, FALSE)</f>
        <v>39.8</v>
      </c>
      <c r="D1648" s="22">
        <f>VLOOKUP($A1648, 'Medical Examinations'!$A:$D,3, FALSE)</f>
        <v>6.17</v>
      </c>
      <c r="E1648" s="22" t="str">
        <f>VLOOKUP($A1648, 'Medical Examinations'!$A:$D, 4, FALSE)</f>
        <v>No</v>
      </c>
      <c r="F1648" s="22" t="str">
        <f>VLOOKUP($A1648, 'Medical Examinations'!$A:$J, 5, FALSE)</f>
        <v>No</v>
      </c>
      <c r="G1648" s="22" t="str">
        <f>VLOOKUP($A1648, 'Medical Examinations'!$A:$I, 6, FALSE)</f>
        <v>Yes</v>
      </c>
      <c r="H1648" s="22">
        <f>VLOOKUP($A1648,'Medical Examinations'!$A:$L,10, FALSE)</f>
        <v>1</v>
      </c>
      <c r="I1648" s="22" t="str">
        <f>VLOOKUP($A1648, 'Medical Examinations'!$A:$J, 9, FALSE)</f>
        <v>No</v>
      </c>
      <c r="J1648" s="22" t="str">
        <f>VLOOKUP($A1648, 'Medical Examinations'!$A:$P, 11, FALSE)</f>
        <v>OBESITY</v>
      </c>
      <c r="K1648" s="34">
        <v>31357.0</v>
      </c>
      <c r="L1648" s="35">
        <f>VLOOKUP($A1648, 'Hospitalisation Details'!$A:$H, 7, FALSE)</f>
        <v>5957.35</v>
      </c>
      <c r="M1648" s="22" t="str">
        <f>VLOOKUP($A1648, 'Hospitalisation Details'!$A:$L, 12, FALSE)</f>
        <v>tier - 2</v>
      </c>
      <c r="N1648" s="22" t="str">
        <f>VLOOKUP($A1648, 'Hospitalisation Details'!$A:$M, 13, FALSE)</f>
        <v>tier - 2</v>
      </c>
      <c r="O1648" s="22" t="str">
        <f>VLOOKUP($A1648, 'Hospitalisation Details'!$A:$N, 14, FALSE)</f>
        <v>R1012</v>
      </c>
      <c r="P1648" s="36">
        <f>VLOOKUP($A1648, 'Hospitalisation Details'!$A:$O, 15, FALSE)</f>
        <v>19</v>
      </c>
    </row>
    <row r="1649" ht="15.75" customHeight="1">
      <c r="A1649" s="33" t="s">
        <v>3297</v>
      </c>
      <c r="B1649" s="22" t="str">
        <f>VLOOKUP($A1649,'Customer Names'!$A:$D,3, FALSE)</f>
        <v>Troland</v>
      </c>
      <c r="C1649" s="22">
        <f>VLOOKUP($A1649,'Medical Examinations'!$A:$D, 2, FALSE)</f>
        <v>34.32</v>
      </c>
      <c r="D1649" s="22">
        <f>VLOOKUP($A1649, 'Medical Examinations'!$A:$D,3, FALSE)</f>
        <v>5.16</v>
      </c>
      <c r="E1649" s="22" t="str">
        <f>VLOOKUP($A1649, 'Medical Examinations'!$A:$D, 4, FALSE)</f>
        <v>No</v>
      </c>
      <c r="F1649" s="22" t="str">
        <f>VLOOKUP($A1649, 'Medical Examinations'!$A:$J, 5, FALSE)</f>
        <v>No</v>
      </c>
      <c r="G1649" s="22" t="str">
        <f>VLOOKUP($A1649, 'Medical Examinations'!$A:$I, 6, FALSE)</f>
        <v>No</v>
      </c>
      <c r="H1649" s="22">
        <f>VLOOKUP($A1649,'Medical Examinations'!$A:$L,10, FALSE)</f>
        <v>1</v>
      </c>
      <c r="I1649" s="22" t="str">
        <f>VLOOKUP($A1649, 'Medical Examinations'!$A:$J, 9, FALSE)</f>
        <v>No</v>
      </c>
      <c r="J1649" s="22" t="str">
        <f>VLOOKUP($A1649, 'Medical Examinations'!$A:$P, 11, FALSE)</f>
        <v>OBESITY</v>
      </c>
      <c r="K1649" s="34">
        <v>30885.0</v>
      </c>
      <c r="L1649" s="35">
        <f>VLOOKUP($A1649, 'Hospitalisation Details'!$A:$H, 7, FALSE)</f>
        <v>5934.38</v>
      </c>
      <c r="M1649" s="22" t="str">
        <f>VLOOKUP($A1649, 'Hospitalisation Details'!$A:$L, 12, FALSE)</f>
        <v>tier - 3</v>
      </c>
      <c r="N1649" s="22" t="str">
        <f>VLOOKUP($A1649, 'Hospitalisation Details'!$A:$M, 13, FALSE)</f>
        <v>tier - 2</v>
      </c>
      <c r="O1649" s="22" t="str">
        <f>VLOOKUP($A1649, 'Hospitalisation Details'!$A:$N, 14, FALSE)</f>
        <v>R1013</v>
      </c>
      <c r="P1649" s="36">
        <f>VLOOKUP($A1649, 'Hospitalisation Details'!$A:$O, 15, FALSE)</f>
        <v>35</v>
      </c>
    </row>
    <row r="1650" ht="15.75" customHeight="1">
      <c r="A1650" s="33" t="s">
        <v>3299</v>
      </c>
      <c r="B1650" s="22" t="str">
        <f>VLOOKUP($A1650,'Customer Names'!$A:$D,3, FALSE)</f>
        <v>Hall</v>
      </c>
      <c r="C1650" s="22">
        <f>VLOOKUP($A1650,'Medical Examinations'!$A:$D, 2, FALSE)</f>
        <v>32.51</v>
      </c>
      <c r="D1650" s="22">
        <f>VLOOKUP($A1650, 'Medical Examinations'!$A:$D,3, FALSE)</f>
        <v>4.3</v>
      </c>
      <c r="E1650" s="22" t="str">
        <f>VLOOKUP($A1650, 'Medical Examinations'!$A:$D, 4, FALSE)</f>
        <v>No</v>
      </c>
      <c r="F1650" s="22" t="str">
        <f>VLOOKUP($A1650, 'Medical Examinations'!$A:$J, 5, FALSE)</f>
        <v>No</v>
      </c>
      <c r="G1650" s="22" t="str">
        <f>VLOOKUP($A1650, 'Medical Examinations'!$A:$I, 6, FALSE)</f>
        <v>No</v>
      </c>
      <c r="H1650" s="22">
        <f>VLOOKUP($A1650,'Medical Examinations'!$A:$L,10, FALSE)</f>
        <v>0</v>
      </c>
      <c r="I1650" s="22" t="str">
        <f>VLOOKUP($A1650, 'Medical Examinations'!$A:$J, 9, FALSE)</f>
        <v>No</v>
      </c>
      <c r="J1650" s="22" t="str">
        <f>VLOOKUP($A1650, 'Medical Examinations'!$A:$P, 11, FALSE)</f>
        <v>OBESITY</v>
      </c>
      <c r="K1650" s="34">
        <v>24034.0</v>
      </c>
      <c r="L1650" s="35">
        <f>VLOOKUP($A1650, 'Hospitalisation Details'!$A:$H, 7, FALSE)</f>
        <v>5927.65</v>
      </c>
      <c r="M1650" s="22" t="str">
        <f>VLOOKUP($A1650, 'Hospitalisation Details'!$A:$L, 12, FALSE)</f>
        <v>tier - 2</v>
      </c>
      <c r="N1650" s="22" t="str">
        <f>VLOOKUP($A1650, 'Hospitalisation Details'!$A:$M, 13, FALSE)</f>
        <v>tier - 1</v>
      </c>
      <c r="O1650" s="22" t="str">
        <f>VLOOKUP($A1650, 'Hospitalisation Details'!$A:$N, 14, FALSE)</f>
        <v>R1012</v>
      </c>
      <c r="P1650" s="36">
        <f>VLOOKUP($A1650, 'Hospitalisation Details'!$A:$O, 15, FALSE)</f>
        <v>28</v>
      </c>
    </row>
    <row r="1651" ht="15.75" customHeight="1">
      <c r="A1651" s="33" t="s">
        <v>3301</v>
      </c>
      <c r="B1651" s="22" t="str">
        <f>VLOOKUP($A1651,'Customer Names'!$A:$D,3, FALSE)</f>
        <v>Berg</v>
      </c>
      <c r="C1651" s="22">
        <f>VLOOKUP($A1651,'Medical Examinations'!$A:$D, 2, FALSE)</f>
        <v>30.71</v>
      </c>
      <c r="D1651" s="22">
        <f>VLOOKUP($A1651, 'Medical Examinations'!$A:$D,3, FALSE)</f>
        <v>6.14</v>
      </c>
      <c r="E1651" s="22" t="str">
        <f>VLOOKUP($A1651, 'Medical Examinations'!$A:$D, 4, FALSE)</f>
        <v>No</v>
      </c>
      <c r="F1651" s="22" t="str">
        <f>VLOOKUP($A1651, 'Medical Examinations'!$A:$J, 5, FALSE)</f>
        <v>No</v>
      </c>
      <c r="G1651" s="22" t="str">
        <f>VLOOKUP($A1651, 'Medical Examinations'!$A:$I, 6, FALSE)</f>
        <v>Yes</v>
      </c>
      <c r="H1651" s="22">
        <f>VLOOKUP($A1651,'Medical Examinations'!$A:$L,10, FALSE)</f>
        <v>1</v>
      </c>
      <c r="I1651" s="22" t="str">
        <f>VLOOKUP($A1651, 'Medical Examinations'!$A:$J, 9, FALSE)</f>
        <v>No</v>
      </c>
      <c r="J1651" s="22" t="str">
        <f>VLOOKUP($A1651, 'Medical Examinations'!$A:$P, 11, FALSE)</f>
        <v>OBESITY</v>
      </c>
      <c r="K1651" s="34">
        <v>29862.0</v>
      </c>
      <c r="L1651" s="35">
        <f>VLOOKUP($A1651, 'Hospitalisation Details'!$A:$H, 7, FALSE)</f>
        <v>5926.93</v>
      </c>
      <c r="M1651" s="22" t="str">
        <f>VLOOKUP($A1651, 'Hospitalisation Details'!$A:$L, 12, FALSE)</f>
        <v>tier - 2</v>
      </c>
      <c r="N1651" s="22" t="str">
        <f>VLOOKUP($A1651, 'Hospitalisation Details'!$A:$M, 13, FALSE)</f>
        <v>tier - 2</v>
      </c>
      <c r="O1651" s="22" t="str">
        <f>VLOOKUP($A1651, 'Hospitalisation Details'!$A:$N, 14, FALSE)</f>
        <v>R1025</v>
      </c>
      <c r="P1651" s="36">
        <f>VLOOKUP($A1651, 'Hospitalisation Details'!$A:$O, 15, FALSE)</f>
        <v>29</v>
      </c>
    </row>
    <row r="1652" ht="15.75" customHeight="1">
      <c r="A1652" s="33" t="s">
        <v>3303</v>
      </c>
      <c r="B1652" s="22" t="str">
        <f>VLOOKUP($A1652,'Customer Names'!$A:$D,3, FALSE)</f>
        <v>Engtrakul</v>
      </c>
      <c r="C1652" s="22">
        <f>VLOOKUP($A1652,'Medical Examinations'!$A:$D, 2, FALSE)</f>
        <v>28.9</v>
      </c>
      <c r="D1652" s="22">
        <f>VLOOKUP($A1652, 'Medical Examinations'!$A:$D,3, FALSE)</f>
        <v>5.36</v>
      </c>
      <c r="E1652" s="22" t="str">
        <f>VLOOKUP($A1652, 'Medical Examinations'!$A:$D, 4, FALSE)</f>
        <v>No</v>
      </c>
      <c r="F1652" s="22" t="str">
        <f>VLOOKUP($A1652, 'Medical Examinations'!$A:$J, 5, FALSE)</f>
        <v>No</v>
      </c>
      <c r="G1652" s="22" t="str">
        <f>VLOOKUP($A1652, 'Medical Examinations'!$A:$I, 6, FALSE)</f>
        <v>No</v>
      </c>
      <c r="H1652" s="22">
        <f>VLOOKUP($A1652,'Medical Examinations'!$A:$L,10, FALSE)</f>
        <v>1</v>
      </c>
      <c r="I1652" s="22" t="str">
        <f>VLOOKUP($A1652, 'Medical Examinations'!$A:$J, 9, FALSE)</f>
        <v>No</v>
      </c>
      <c r="J1652" s="22" t="str">
        <f>VLOOKUP($A1652, 'Medical Examinations'!$A:$P, 11, FALSE)</f>
        <v>OVERWEIGHT</v>
      </c>
      <c r="K1652" s="34">
        <v>31386.0</v>
      </c>
      <c r="L1652" s="35">
        <f>VLOOKUP($A1652, 'Hospitalisation Details'!$A:$H, 7, FALSE)</f>
        <v>5926.85</v>
      </c>
      <c r="M1652" s="22" t="str">
        <f>VLOOKUP($A1652, 'Hospitalisation Details'!$A:$L, 12, FALSE)</f>
        <v>tier - 3</v>
      </c>
      <c r="N1652" s="22" t="str">
        <f>VLOOKUP($A1652, 'Hospitalisation Details'!$A:$M, 13, FALSE)</f>
        <v>tier - 3</v>
      </c>
      <c r="O1652" s="22" t="str">
        <f>VLOOKUP($A1652, 'Hospitalisation Details'!$A:$N, 14, FALSE)</f>
        <v>R1011</v>
      </c>
      <c r="P1652" s="36">
        <f>VLOOKUP($A1652, 'Hospitalisation Details'!$A:$O, 15, FALSE)</f>
        <v>35</v>
      </c>
    </row>
    <row r="1653" ht="15.75" customHeight="1">
      <c r="A1653" s="33" t="s">
        <v>3305</v>
      </c>
      <c r="B1653" s="22" t="str">
        <f>VLOOKUP($A1653,'Customer Names'!$A:$D,3, FALSE)</f>
        <v>Leonhardt</v>
      </c>
      <c r="C1653" s="22">
        <f>VLOOKUP($A1653,'Medical Examinations'!$A:$D, 2, FALSE)</f>
        <v>36.19</v>
      </c>
      <c r="D1653" s="22">
        <f>VLOOKUP($A1653, 'Medical Examinations'!$A:$D,3, FALSE)</f>
        <v>4.3</v>
      </c>
      <c r="E1653" s="22" t="str">
        <f>VLOOKUP($A1653, 'Medical Examinations'!$A:$D, 4, FALSE)</f>
        <v>No</v>
      </c>
      <c r="F1653" s="22" t="str">
        <f>VLOOKUP($A1653, 'Medical Examinations'!$A:$J, 5, FALSE)</f>
        <v>No</v>
      </c>
      <c r="G1653" s="22" t="str">
        <f>VLOOKUP($A1653, 'Medical Examinations'!$A:$I, 6, FALSE)</f>
        <v>No</v>
      </c>
      <c r="H1653" s="22">
        <f>VLOOKUP($A1653,'Medical Examinations'!$A:$L,10, FALSE)</f>
        <v>0</v>
      </c>
      <c r="I1653" s="22" t="str">
        <f>VLOOKUP($A1653, 'Medical Examinations'!$A:$J, 9, FALSE)</f>
        <v>No</v>
      </c>
      <c r="J1653" s="22" t="str">
        <f>VLOOKUP($A1653, 'Medical Examinations'!$A:$P, 11, FALSE)</f>
        <v>OBESITY</v>
      </c>
      <c r="K1653" s="34">
        <v>32401.0</v>
      </c>
      <c r="L1653" s="35">
        <f>VLOOKUP($A1653, 'Hospitalisation Details'!$A:$H, 7, FALSE)</f>
        <v>5920.1</v>
      </c>
      <c r="M1653" s="22" t="str">
        <f>VLOOKUP($A1653, 'Hospitalisation Details'!$A:$L, 12, FALSE)</f>
        <v>tier - 2</v>
      </c>
      <c r="N1653" s="22" t="str">
        <f>VLOOKUP($A1653, 'Hospitalisation Details'!$A:$M, 13, FALSE)</f>
        <v>tier - 1</v>
      </c>
      <c r="O1653" s="22" t="str">
        <f>VLOOKUP($A1653, 'Hospitalisation Details'!$A:$N, 14, FALSE)</f>
        <v>R1013</v>
      </c>
      <c r="P1653" s="36">
        <f>VLOOKUP($A1653, 'Hospitalisation Details'!$A:$O, 15, FALSE)</f>
        <v>40</v>
      </c>
    </row>
    <row r="1654" ht="15.75" customHeight="1">
      <c r="A1654" s="33" t="s">
        <v>3307</v>
      </c>
      <c r="B1654" s="22" t="str">
        <f>VLOOKUP($A1654,'Customer Names'!$A:$D,3, FALSE)</f>
        <v>Goetz</v>
      </c>
      <c r="C1654" s="22">
        <f>VLOOKUP($A1654,'Medical Examinations'!$A:$D, 2, FALSE)</f>
        <v>29.6</v>
      </c>
      <c r="D1654" s="22">
        <f>VLOOKUP($A1654, 'Medical Examinations'!$A:$D,3, FALSE)</f>
        <v>4.09</v>
      </c>
      <c r="E1654" s="22" t="str">
        <f>VLOOKUP($A1654, 'Medical Examinations'!$A:$D, 4, FALSE)</f>
        <v>No</v>
      </c>
      <c r="F1654" s="22" t="str">
        <f>VLOOKUP($A1654, 'Medical Examinations'!$A:$J, 5, FALSE)</f>
        <v>No</v>
      </c>
      <c r="G1654" s="22" t="str">
        <f>VLOOKUP($A1654, 'Medical Examinations'!$A:$I, 6, FALSE)</f>
        <v>No</v>
      </c>
      <c r="H1654" s="22">
        <f>VLOOKUP($A1654,'Medical Examinations'!$A:$L,10, FALSE)</f>
        <v>0</v>
      </c>
      <c r="I1654" s="22" t="str">
        <f>VLOOKUP($A1654, 'Medical Examinations'!$A:$J, 9, FALSE)</f>
        <v>No</v>
      </c>
      <c r="J1654" s="22" t="str">
        <f>VLOOKUP($A1654, 'Medical Examinations'!$A:$P, 11, FALSE)</f>
        <v>OVERWEIGHT</v>
      </c>
      <c r="K1654" s="34">
        <v>25492.0</v>
      </c>
      <c r="L1654" s="35">
        <f>VLOOKUP($A1654, 'Hospitalisation Details'!$A:$H, 7, FALSE)</f>
        <v>5910.94</v>
      </c>
      <c r="M1654" s="22" t="str">
        <f>VLOOKUP($A1654, 'Hospitalisation Details'!$A:$L, 12, FALSE)</f>
        <v>tier - 2</v>
      </c>
      <c r="N1654" s="22" t="str">
        <f>VLOOKUP($A1654, 'Hospitalisation Details'!$A:$M, 13, FALSE)</f>
        <v>tier - 1</v>
      </c>
      <c r="O1654" s="22" t="str">
        <f>VLOOKUP($A1654, 'Hospitalisation Details'!$A:$N, 14, FALSE)</f>
        <v>R1011</v>
      </c>
      <c r="P1654" s="36">
        <f>VLOOKUP($A1654, 'Hospitalisation Details'!$A:$O, 15, FALSE)</f>
        <v>40</v>
      </c>
    </row>
    <row r="1655" ht="15.75" customHeight="1">
      <c r="A1655" s="33" t="s">
        <v>3309</v>
      </c>
      <c r="B1655" s="22" t="str">
        <f>VLOOKUP($A1655,'Customer Names'!$A:$D,3, FALSE)</f>
        <v>Cacharelis</v>
      </c>
      <c r="C1655" s="22">
        <f>VLOOKUP($A1655,'Medical Examinations'!$A:$D, 2, FALSE)</f>
        <v>30.95</v>
      </c>
      <c r="D1655" s="22">
        <f>VLOOKUP($A1655, 'Medical Examinations'!$A:$D,3, FALSE)</f>
        <v>6.27</v>
      </c>
      <c r="E1655" s="22" t="str">
        <f>VLOOKUP($A1655, 'Medical Examinations'!$A:$D, 4, FALSE)</f>
        <v>No</v>
      </c>
      <c r="F1655" s="22" t="str">
        <f>VLOOKUP($A1655, 'Medical Examinations'!$A:$J, 5, FALSE)</f>
        <v>No</v>
      </c>
      <c r="G1655" s="22" t="str">
        <f>VLOOKUP($A1655, 'Medical Examinations'!$A:$I, 6, FALSE)</f>
        <v>Yes</v>
      </c>
      <c r="H1655" s="22">
        <f>VLOOKUP($A1655,'Medical Examinations'!$A:$L,10, FALSE)</f>
        <v>1</v>
      </c>
      <c r="I1655" s="22" t="str">
        <f>VLOOKUP($A1655, 'Medical Examinations'!$A:$J, 9, FALSE)</f>
        <v>No</v>
      </c>
      <c r="J1655" s="22" t="str">
        <f>VLOOKUP($A1655, 'Medical Examinations'!$A:$P, 11, FALSE)</f>
        <v>OBESITY</v>
      </c>
      <c r="K1655" s="34">
        <v>24995.0</v>
      </c>
      <c r="L1655" s="35">
        <f>VLOOKUP($A1655, 'Hospitalisation Details'!$A:$H, 7, FALSE)</f>
        <v>5877.02</v>
      </c>
      <c r="M1655" s="22" t="str">
        <f>VLOOKUP($A1655, 'Hospitalisation Details'!$A:$L, 12, FALSE)</f>
        <v>tier - 2</v>
      </c>
      <c r="N1655" s="22" t="str">
        <f>VLOOKUP($A1655, 'Hospitalisation Details'!$A:$M, 13, FALSE)</f>
        <v>tier - 2</v>
      </c>
      <c r="O1655" s="22" t="str">
        <f>VLOOKUP($A1655, 'Hospitalisation Details'!$A:$N, 14, FALSE)</f>
        <v>R1021</v>
      </c>
      <c r="P1655" s="36">
        <f>VLOOKUP($A1655, 'Hospitalisation Details'!$A:$O, 15, FALSE)</f>
        <v>29</v>
      </c>
    </row>
    <row r="1656" ht="15.75" customHeight="1">
      <c r="A1656" s="33" t="s">
        <v>3311</v>
      </c>
      <c r="B1656" s="22" t="str">
        <f>VLOOKUP($A1656,'Customer Names'!$A:$D,3, FALSE)</f>
        <v>Kariolis</v>
      </c>
      <c r="C1656" s="22">
        <f>VLOOKUP($A1656,'Medical Examinations'!$A:$D, 2, FALSE)</f>
        <v>19.95</v>
      </c>
      <c r="D1656" s="22">
        <f>VLOOKUP($A1656, 'Medical Examinations'!$A:$D,3, FALSE)</f>
        <v>5.39</v>
      </c>
      <c r="E1656" s="22" t="str">
        <f>VLOOKUP($A1656, 'Medical Examinations'!$A:$D, 4, FALSE)</f>
        <v>No</v>
      </c>
      <c r="F1656" s="22" t="str">
        <f>VLOOKUP($A1656, 'Medical Examinations'!$A:$J, 5, FALSE)</f>
        <v>No</v>
      </c>
      <c r="G1656" s="22" t="str">
        <f>VLOOKUP($A1656, 'Medical Examinations'!$A:$I, 6, FALSE)</f>
        <v>No</v>
      </c>
      <c r="H1656" s="22">
        <f>VLOOKUP($A1656,'Medical Examinations'!$A:$L,10, FALSE)</f>
        <v>1</v>
      </c>
      <c r="I1656" s="22" t="str">
        <f>VLOOKUP($A1656, 'Medical Examinations'!$A:$J, 9, FALSE)</f>
        <v>No</v>
      </c>
      <c r="J1656" s="22" t="str">
        <f>VLOOKUP($A1656, 'Medical Examinations'!$A:$P, 11, FALSE)</f>
        <v>NORMAL WEIGHT</v>
      </c>
      <c r="K1656" s="34">
        <v>36496.0</v>
      </c>
      <c r="L1656" s="35">
        <f>VLOOKUP($A1656, 'Hospitalisation Details'!$A:$H, 7, FALSE)</f>
        <v>5855.9</v>
      </c>
      <c r="M1656" s="22" t="str">
        <f>VLOOKUP($A1656, 'Hospitalisation Details'!$A:$L, 12, FALSE)</f>
        <v>tier - 2</v>
      </c>
      <c r="N1656" s="22" t="str">
        <f>VLOOKUP($A1656, 'Hospitalisation Details'!$A:$M, 13, FALSE)</f>
        <v>tier - 3</v>
      </c>
      <c r="O1656" s="22" t="str">
        <f>VLOOKUP($A1656, 'Hospitalisation Details'!$A:$N, 14, FALSE)</f>
        <v>R1012</v>
      </c>
      <c r="P1656" s="36">
        <f>VLOOKUP($A1656, 'Hospitalisation Details'!$A:$O, 15, FALSE)</f>
        <v>38</v>
      </c>
    </row>
    <row r="1657" ht="15.75" customHeight="1">
      <c r="A1657" s="33" t="s">
        <v>3313</v>
      </c>
      <c r="B1657" s="22" t="str">
        <f>VLOOKUP($A1657,'Customer Names'!$A:$D,3, FALSE)</f>
        <v>Zelwin</v>
      </c>
      <c r="C1657" s="22">
        <f>VLOOKUP($A1657,'Medical Examinations'!$A:$D, 2, FALSE)</f>
        <v>23.65</v>
      </c>
      <c r="D1657" s="22">
        <f>VLOOKUP($A1657, 'Medical Examinations'!$A:$D,3, FALSE)</f>
        <v>5.75</v>
      </c>
      <c r="E1657" s="22" t="str">
        <f>VLOOKUP($A1657, 'Medical Examinations'!$A:$D, 4, FALSE)</f>
        <v>Yes</v>
      </c>
      <c r="F1657" s="22" t="str">
        <f>VLOOKUP($A1657, 'Medical Examinations'!$A:$J, 5, FALSE)</f>
        <v>No</v>
      </c>
      <c r="G1657" s="22" t="str">
        <f>VLOOKUP($A1657, 'Medical Examinations'!$A:$I, 6, FALSE)</f>
        <v>No</v>
      </c>
      <c r="H1657" s="22">
        <f>VLOOKUP($A1657,'Medical Examinations'!$A:$L,10, FALSE)</f>
        <v>0</v>
      </c>
      <c r="I1657" s="22" t="str">
        <f>VLOOKUP($A1657, 'Medical Examinations'!$A:$J, 9, FALSE)</f>
        <v>No</v>
      </c>
      <c r="J1657" s="22" t="str">
        <f>VLOOKUP($A1657, 'Medical Examinations'!$A:$P, 11, FALSE)</f>
        <v>NORMAL WEIGHT</v>
      </c>
      <c r="K1657" s="34">
        <v>22997.0</v>
      </c>
      <c r="L1657" s="35">
        <f>VLOOKUP($A1657, 'Hospitalisation Details'!$A:$H, 7, FALSE)</f>
        <v>5847.24</v>
      </c>
      <c r="M1657" s="22" t="str">
        <f>VLOOKUP($A1657, 'Hospitalisation Details'!$A:$L, 12, FALSE)</f>
        <v>tier - 2</v>
      </c>
      <c r="N1657" s="22" t="str">
        <f>VLOOKUP($A1657, 'Hospitalisation Details'!$A:$M, 13, FALSE)</f>
        <v>tier - 1</v>
      </c>
      <c r="O1657" s="22" t="str">
        <f>VLOOKUP($A1657, 'Hospitalisation Details'!$A:$N, 14, FALSE)</f>
        <v>R1013</v>
      </c>
      <c r="P1657" s="36">
        <f>VLOOKUP($A1657, 'Hospitalisation Details'!$A:$O, 15, FALSE)</f>
        <v>37</v>
      </c>
    </row>
    <row r="1658" ht="15.75" customHeight="1">
      <c r="A1658" s="33" t="s">
        <v>3315</v>
      </c>
      <c r="B1658" s="22" t="str">
        <f>VLOOKUP($A1658,'Customer Names'!$A:$D,3, FALSE)</f>
        <v>Barry</v>
      </c>
      <c r="C1658" s="22">
        <f>VLOOKUP($A1658,'Medical Examinations'!$A:$D, 2, FALSE)</f>
        <v>43.34</v>
      </c>
      <c r="D1658" s="22">
        <f>VLOOKUP($A1658, 'Medical Examinations'!$A:$D,3, FALSE)</f>
        <v>4.91</v>
      </c>
      <c r="E1658" s="22" t="str">
        <f>VLOOKUP($A1658, 'Medical Examinations'!$A:$D, 4, FALSE)</f>
        <v>No</v>
      </c>
      <c r="F1658" s="22" t="str">
        <f>VLOOKUP($A1658, 'Medical Examinations'!$A:$J, 5, FALSE)</f>
        <v>No</v>
      </c>
      <c r="G1658" s="22" t="str">
        <f>VLOOKUP($A1658, 'Medical Examinations'!$A:$I, 6, FALSE)</f>
        <v>No</v>
      </c>
      <c r="H1658" s="22">
        <f>VLOOKUP($A1658,'Medical Examinations'!$A:$L,10, FALSE)</f>
        <v>1</v>
      </c>
      <c r="I1658" s="22" t="str">
        <f>VLOOKUP($A1658, 'Medical Examinations'!$A:$J, 9, FALSE)</f>
        <v>No</v>
      </c>
      <c r="J1658" s="22" t="str">
        <f>VLOOKUP($A1658, 'Medical Examinations'!$A:$P, 11, FALSE)</f>
        <v>OBESITY</v>
      </c>
      <c r="K1658" s="34">
        <v>24097.0</v>
      </c>
      <c r="L1658" s="35">
        <f>VLOOKUP($A1658, 'Hospitalisation Details'!$A:$H, 7, FALSE)</f>
        <v>5846.92</v>
      </c>
      <c r="M1658" s="22" t="str">
        <f>VLOOKUP($A1658, 'Hospitalisation Details'!$A:$L, 12, FALSE)</f>
        <v>tier - 2</v>
      </c>
      <c r="N1658" s="22" t="str">
        <f>VLOOKUP($A1658, 'Hospitalisation Details'!$A:$M, 13, FALSE)</f>
        <v>tier - 2</v>
      </c>
      <c r="O1658" s="22" t="str">
        <f>VLOOKUP($A1658, 'Hospitalisation Details'!$A:$N, 14, FALSE)</f>
        <v>R1013</v>
      </c>
      <c r="P1658" s="36">
        <f>VLOOKUP($A1658, 'Hospitalisation Details'!$A:$O, 15, FALSE)</f>
        <v>35</v>
      </c>
    </row>
    <row r="1659" ht="15.75" customHeight="1">
      <c r="A1659" s="33" t="s">
        <v>3317</v>
      </c>
      <c r="B1659" s="22" t="str">
        <f>VLOOKUP($A1659,'Customer Names'!$A:$D,3, FALSE)</f>
        <v>Bannon</v>
      </c>
      <c r="C1659" s="22">
        <f>VLOOKUP($A1659,'Medical Examinations'!$A:$D, 2, FALSE)</f>
        <v>31.98</v>
      </c>
      <c r="D1659" s="22">
        <f>VLOOKUP($A1659, 'Medical Examinations'!$A:$D,3, FALSE)</f>
        <v>4.46</v>
      </c>
      <c r="E1659" s="22" t="str">
        <f>VLOOKUP($A1659, 'Medical Examinations'!$A:$D, 4, FALSE)</f>
        <v>Yes</v>
      </c>
      <c r="F1659" s="22" t="str">
        <f>VLOOKUP($A1659, 'Medical Examinations'!$A:$J, 5, FALSE)</f>
        <v>No</v>
      </c>
      <c r="G1659" s="22" t="str">
        <f>VLOOKUP($A1659, 'Medical Examinations'!$A:$I, 6, FALSE)</f>
        <v>No</v>
      </c>
      <c r="H1659" s="22">
        <f>VLOOKUP($A1659,'Medical Examinations'!$A:$L,10, FALSE)</f>
        <v>1</v>
      </c>
      <c r="I1659" s="22" t="str">
        <f>VLOOKUP($A1659, 'Medical Examinations'!$A:$J, 9, FALSE)</f>
        <v>No</v>
      </c>
      <c r="J1659" s="22" t="str">
        <f>VLOOKUP($A1659, 'Medical Examinations'!$A:$P, 11, FALSE)</f>
        <v>OBESITY</v>
      </c>
      <c r="K1659" s="34">
        <v>25843.0</v>
      </c>
      <c r="L1659" s="35">
        <f>VLOOKUP($A1659, 'Hospitalisation Details'!$A:$H, 7, FALSE)</f>
        <v>5843.99</v>
      </c>
      <c r="M1659" s="22" t="str">
        <f>VLOOKUP($A1659, 'Hospitalisation Details'!$A:$L, 12, FALSE)</f>
        <v>tier - 2</v>
      </c>
      <c r="N1659" s="22" t="str">
        <f>VLOOKUP($A1659, 'Hospitalisation Details'!$A:$M, 13, FALSE)</f>
        <v>tier - 2</v>
      </c>
      <c r="O1659" s="22" t="str">
        <f>VLOOKUP($A1659, 'Hospitalisation Details'!$A:$N, 14, FALSE)</f>
        <v>R1025</v>
      </c>
      <c r="P1659" s="36">
        <f>VLOOKUP($A1659, 'Hospitalisation Details'!$A:$O, 15, FALSE)</f>
        <v>27</v>
      </c>
    </row>
    <row r="1660" ht="15.75" customHeight="1">
      <c r="A1660" s="33" t="s">
        <v>3319</v>
      </c>
      <c r="B1660" s="22" t="str">
        <f>VLOOKUP($A1660,'Customer Names'!$A:$D,3, FALSE)</f>
        <v>Chang</v>
      </c>
      <c r="C1660" s="22">
        <f>VLOOKUP($A1660,'Medical Examinations'!$A:$D, 2, FALSE)</f>
        <v>35.86</v>
      </c>
      <c r="D1660" s="22">
        <f>VLOOKUP($A1660, 'Medical Examinations'!$A:$D,3, FALSE)</f>
        <v>6.22</v>
      </c>
      <c r="E1660" s="22" t="str">
        <f>VLOOKUP($A1660, 'Medical Examinations'!$A:$D, 4, FALSE)</f>
        <v>No</v>
      </c>
      <c r="F1660" s="22" t="str">
        <f>VLOOKUP($A1660, 'Medical Examinations'!$A:$J, 5, FALSE)</f>
        <v>No</v>
      </c>
      <c r="G1660" s="22" t="str">
        <f>VLOOKUP($A1660, 'Medical Examinations'!$A:$I, 6, FALSE)</f>
        <v>No</v>
      </c>
      <c r="H1660" s="22">
        <f>VLOOKUP($A1660,'Medical Examinations'!$A:$L,10, FALSE)</f>
        <v>1</v>
      </c>
      <c r="I1660" s="22" t="str">
        <f>VLOOKUP($A1660, 'Medical Examinations'!$A:$J, 9, FALSE)</f>
        <v>No</v>
      </c>
      <c r="J1660" s="22" t="str">
        <f>VLOOKUP($A1660, 'Medical Examinations'!$A:$P, 11, FALSE)</f>
        <v>OBESITY</v>
      </c>
      <c r="K1660" s="34">
        <v>33220.0</v>
      </c>
      <c r="L1660" s="35">
        <f>VLOOKUP($A1660, 'Hospitalisation Details'!$A:$H, 7, FALSE)</f>
        <v>5836.52</v>
      </c>
      <c r="M1660" s="22" t="str">
        <f>VLOOKUP($A1660, 'Hospitalisation Details'!$A:$L, 12, FALSE)</f>
        <v>tier - 2</v>
      </c>
      <c r="N1660" s="22" t="str">
        <f>VLOOKUP($A1660, 'Hospitalisation Details'!$A:$M, 13, FALSE)</f>
        <v>tier - 3</v>
      </c>
      <c r="O1660" s="22" t="str">
        <f>VLOOKUP($A1660, 'Hospitalisation Details'!$A:$N, 14, FALSE)</f>
        <v>R1013</v>
      </c>
      <c r="P1660" s="36">
        <f>VLOOKUP($A1660, 'Hospitalisation Details'!$A:$O, 15, FALSE)</f>
        <v>35</v>
      </c>
    </row>
    <row r="1661" ht="15.75" customHeight="1">
      <c r="A1661" s="33" t="s">
        <v>3321</v>
      </c>
      <c r="B1661" s="22" t="str">
        <f>VLOOKUP($A1661,'Customer Names'!$A:$D,3, FALSE)</f>
        <v>Vetter</v>
      </c>
      <c r="C1661" s="22">
        <f>VLOOKUP($A1661,'Medical Examinations'!$A:$D, 2, FALSE)</f>
        <v>15.2</v>
      </c>
      <c r="D1661" s="22">
        <f>VLOOKUP($A1661, 'Medical Examinations'!$A:$D,3, FALSE)</f>
        <v>8.82</v>
      </c>
      <c r="E1661" s="22" t="str">
        <f>VLOOKUP($A1661, 'Medical Examinations'!$A:$D, 4, FALSE)</f>
        <v>No</v>
      </c>
      <c r="F1661" s="22" t="str">
        <f>VLOOKUP($A1661, 'Medical Examinations'!$A:$J, 5, FALSE)</f>
        <v>No</v>
      </c>
      <c r="G1661" s="22" t="str">
        <f>VLOOKUP($A1661, 'Medical Examinations'!$A:$I, 6, FALSE)</f>
        <v>No</v>
      </c>
      <c r="H1661" s="22">
        <f>VLOOKUP($A1661,'Medical Examinations'!$A:$L,10, FALSE)</f>
        <v>0</v>
      </c>
      <c r="I1661" s="22" t="str">
        <f>VLOOKUP($A1661, 'Medical Examinations'!$A:$J, 9, FALSE)</f>
        <v>No</v>
      </c>
      <c r="J1661" s="22" t="str">
        <f>VLOOKUP($A1661, 'Medical Examinations'!$A:$P, 11, FALSE)</f>
        <v>UNDERWEIGHT</v>
      </c>
      <c r="K1661" s="34">
        <v>34517.0</v>
      </c>
      <c r="L1661" s="35">
        <f>VLOOKUP($A1661, 'Hospitalisation Details'!$A:$H, 7, FALSE)</f>
        <v>5832.6</v>
      </c>
      <c r="M1661" s="22" t="str">
        <f>VLOOKUP($A1661, 'Hospitalisation Details'!$A:$L, 12, FALSE)</f>
        <v>tier - 2</v>
      </c>
      <c r="N1661" s="22" t="str">
        <f>VLOOKUP($A1661, 'Hospitalisation Details'!$A:$M, 13, FALSE)</f>
        <v>tier - 3</v>
      </c>
      <c r="O1661" s="22" t="str">
        <f>VLOOKUP($A1661, 'Hospitalisation Details'!$A:$N, 14, FALSE)</f>
        <v>R1012</v>
      </c>
      <c r="P1661" s="36">
        <f>VLOOKUP($A1661, 'Hospitalisation Details'!$A:$O, 15, FALSE)</f>
        <v>51</v>
      </c>
    </row>
    <row r="1662" ht="15.75" customHeight="1">
      <c r="A1662" s="33" t="s">
        <v>3323</v>
      </c>
      <c r="B1662" s="22" t="str">
        <f>VLOOKUP($A1662,'Customer Names'!$A:$D,3, FALSE)</f>
        <v>Jablonski</v>
      </c>
      <c r="C1662" s="22">
        <f>VLOOKUP($A1662,'Medical Examinations'!$A:$D, 2, FALSE)</f>
        <v>37.2</v>
      </c>
      <c r="D1662" s="22">
        <f>VLOOKUP($A1662, 'Medical Examinations'!$A:$D,3, FALSE)</f>
        <v>10.14</v>
      </c>
      <c r="E1662" s="22" t="str">
        <f>VLOOKUP($A1662, 'Medical Examinations'!$A:$D, 4, FALSE)</f>
        <v>No</v>
      </c>
      <c r="F1662" s="22" t="str">
        <f>VLOOKUP($A1662, 'Medical Examinations'!$A:$J, 5, FALSE)</f>
        <v>No</v>
      </c>
      <c r="G1662" s="22" t="str">
        <f>VLOOKUP($A1662, 'Medical Examinations'!$A:$I, 6, FALSE)</f>
        <v>No</v>
      </c>
      <c r="H1662" s="22">
        <f>VLOOKUP($A1662,'Medical Examinations'!$A:$L,10, FALSE)</f>
        <v>0</v>
      </c>
      <c r="I1662" s="22" t="str">
        <f>VLOOKUP($A1662, 'Medical Examinations'!$A:$J, 9, FALSE)</f>
        <v>No</v>
      </c>
      <c r="J1662" s="22" t="str">
        <f>VLOOKUP($A1662, 'Medical Examinations'!$A:$P, 11, FALSE)</f>
        <v>OBESITY</v>
      </c>
      <c r="K1662" s="34">
        <v>21366.0</v>
      </c>
      <c r="L1662" s="35">
        <f>VLOOKUP($A1662, 'Hospitalisation Details'!$A:$H, 7, FALSE)</f>
        <v>5816.58</v>
      </c>
      <c r="M1662" s="22" t="str">
        <f>VLOOKUP($A1662, 'Hospitalisation Details'!$A:$L, 12, FALSE)</f>
        <v>tier - 2</v>
      </c>
      <c r="N1662" s="22" t="str">
        <f>VLOOKUP($A1662, 'Hospitalisation Details'!$A:$M, 13, FALSE)</f>
        <v>tier - 2</v>
      </c>
      <c r="O1662" s="22" t="str">
        <f>VLOOKUP($A1662, 'Hospitalisation Details'!$A:$N, 14, FALSE)</f>
        <v>R1026</v>
      </c>
      <c r="P1662" s="36">
        <f>VLOOKUP($A1662, 'Hospitalisation Details'!$A:$O, 15, FALSE)</f>
        <v>20</v>
      </c>
    </row>
    <row r="1663" ht="15.75" customHeight="1">
      <c r="A1663" s="33" t="s">
        <v>3325</v>
      </c>
      <c r="B1663" s="22" t="str">
        <f>VLOOKUP($A1663,'Customer Names'!$A:$D,3, FALSE)</f>
        <v>Jakubowitch</v>
      </c>
      <c r="C1663" s="22">
        <f>VLOOKUP($A1663,'Medical Examinations'!$A:$D, 2, FALSE)</f>
        <v>17.91</v>
      </c>
      <c r="D1663" s="22">
        <f>VLOOKUP($A1663, 'Medical Examinations'!$A:$D,3, FALSE)</f>
        <v>4.66</v>
      </c>
      <c r="E1663" s="22" t="str">
        <f>VLOOKUP($A1663, 'Medical Examinations'!$A:$D, 4, FALSE)</f>
        <v>No</v>
      </c>
      <c r="F1663" s="22" t="str">
        <f>VLOOKUP($A1663, 'Medical Examinations'!$A:$J, 5, FALSE)</f>
        <v>No</v>
      </c>
      <c r="G1663" s="22" t="str">
        <f>VLOOKUP($A1663, 'Medical Examinations'!$A:$I, 6, FALSE)</f>
        <v>No</v>
      </c>
      <c r="H1663" s="22">
        <f>VLOOKUP($A1663,'Medical Examinations'!$A:$L,10, FALSE)</f>
        <v>2</v>
      </c>
      <c r="I1663" s="22" t="str">
        <f>VLOOKUP($A1663, 'Medical Examinations'!$A:$J, 9, FALSE)</f>
        <v>No</v>
      </c>
      <c r="J1663" s="22" t="str">
        <f>VLOOKUP($A1663, 'Medical Examinations'!$A:$P, 11, FALSE)</f>
        <v>UNDERWEIGHT</v>
      </c>
      <c r="K1663" s="34">
        <v>22106.0</v>
      </c>
      <c r="L1663" s="35">
        <f>VLOOKUP($A1663, 'Hospitalisation Details'!$A:$H, 7, FALSE)</f>
        <v>5812.9</v>
      </c>
      <c r="M1663" s="22" t="str">
        <f>VLOOKUP($A1663, 'Hospitalisation Details'!$A:$L, 12, FALSE)</f>
        <v>tier - 2</v>
      </c>
      <c r="N1663" s="22" t="str">
        <f>VLOOKUP($A1663, 'Hospitalisation Details'!$A:$M, 13, FALSE)</f>
        <v>tier - 2</v>
      </c>
      <c r="O1663" s="22" t="str">
        <f>VLOOKUP($A1663, 'Hospitalisation Details'!$A:$N, 14, FALSE)</f>
        <v>R1013</v>
      </c>
      <c r="P1663" s="36">
        <f>VLOOKUP($A1663, 'Hospitalisation Details'!$A:$O, 15, FALSE)</f>
        <v>50</v>
      </c>
    </row>
    <row r="1664" ht="15.75" customHeight="1">
      <c r="A1664" s="33" t="s">
        <v>3327</v>
      </c>
      <c r="B1664" s="22" t="str">
        <f>VLOOKUP($A1664,'Customer Names'!$A:$D,3, FALSE)</f>
        <v>Altshuler</v>
      </c>
      <c r="C1664" s="22">
        <f>VLOOKUP($A1664,'Medical Examinations'!$A:$D, 2, FALSE)</f>
        <v>20.76</v>
      </c>
      <c r="D1664" s="22">
        <f>VLOOKUP($A1664, 'Medical Examinations'!$A:$D,3, FALSE)</f>
        <v>6.26</v>
      </c>
      <c r="E1664" s="22" t="str">
        <f>VLOOKUP($A1664, 'Medical Examinations'!$A:$D, 4, FALSE)</f>
        <v>No</v>
      </c>
      <c r="F1664" s="22" t="str">
        <f>VLOOKUP($A1664, 'Medical Examinations'!$A:$J, 5, FALSE)</f>
        <v>No</v>
      </c>
      <c r="G1664" s="22" t="str">
        <f>VLOOKUP($A1664, 'Medical Examinations'!$A:$I, 6, FALSE)</f>
        <v>No</v>
      </c>
      <c r="H1664" s="22">
        <f>VLOOKUP($A1664,'Medical Examinations'!$A:$L,10, FALSE)</f>
        <v>0</v>
      </c>
      <c r="I1664" s="22" t="str">
        <f>VLOOKUP($A1664, 'Medical Examinations'!$A:$J, 9, FALSE)</f>
        <v>No</v>
      </c>
      <c r="J1664" s="22" t="str">
        <f>VLOOKUP($A1664, 'Medical Examinations'!$A:$P, 11, FALSE)</f>
        <v>NORMAL WEIGHT</v>
      </c>
      <c r="K1664" s="34">
        <v>36839.0</v>
      </c>
      <c r="L1664" s="35">
        <f>VLOOKUP($A1664, 'Hospitalisation Details'!$A:$H, 7, FALSE)</f>
        <v>5807.06</v>
      </c>
      <c r="M1664" s="22" t="str">
        <f>VLOOKUP($A1664, 'Hospitalisation Details'!$A:$L, 12, FALSE)</f>
        <v>tier - 2</v>
      </c>
      <c r="N1664" s="22" t="str">
        <f>VLOOKUP($A1664, 'Hospitalisation Details'!$A:$M, 13, FALSE)</f>
        <v>tier - 3</v>
      </c>
      <c r="O1664" s="22" t="str">
        <f>VLOOKUP($A1664, 'Hospitalisation Details'!$A:$N, 14, FALSE)</f>
        <v>R1013</v>
      </c>
      <c r="P1664" s="36">
        <f>VLOOKUP($A1664, 'Hospitalisation Details'!$A:$O, 15, FALSE)</f>
        <v>42</v>
      </c>
    </row>
    <row r="1665" ht="15.75" customHeight="1">
      <c r="A1665" s="33" t="s">
        <v>3329</v>
      </c>
      <c r="B1665" s="22" t="str">
        <f>VLOOKUP($A1665,'Customer Names'!$A:$D,3, FALSE)</f>
        <v>Ugarte</v>
      </c>
      <c r="C1665" s="22">
        <f>VLOOKUP($A1665,'Medical Examinations'!$A:$D, 2, FALSE)</f>
        <v>38.99</v>
      </c>
      <c r="D1665" s="22">
        <f>VLOOKUP($A1665, 'Medical Examinations'!$A:$D,3, FALSE)</f>
        <v>5.21</v>
      </c>
      <c r="E1665" s="22" t="str">
        <f>VLOOKUP($A1665, 'Medical Examinations'!$A:$D, 4, FALSE)</f>
        <v>No</v>
      </c>
      <c r="F1665" s="22" t="str">
        <f>VLOOKUP($A1665, 'Medical Examinations'!$A:$J, 5, FALSE)</f>
        <v>Yes</v>
      </c>
      <c r="G1665" s="22" t="str">
        <f>VLOOKUP($A1665, 'Medical Examinations'!$A:$I, 6, FALSE)</f>
        <v>No</v>
      </c>
      <c r="H1665" s="22">
        <f>VLOOKUP($A1665,'Medical Examinations'!$A:$L,10, FALSE)</f>
        <v>1</v>
      </c>
      <c r="I1665" s="22" t="str">
        <f>VLOOKUP($A1665, 'Medical Examinations'!$A:$J, 9, FALSE)</f>
        <v>No</v>
      </c>
      <c r="J1665" s="22" t="str">
        <f>VLOOKUP($A1665, 'Medical Examinations'!$A:$P, 11, FALSE)</f>
        <v>OBESITY</v>
      </c>
      <c r="K1665" s="34">
        <v>37424.0</v>
      </c>
      <c r="L1665" s="35">
        <f>VLOOKUP($A1665, 'Hospitalisation Details'!$A:$H, 7, FALSE)</f>
        <v>5778.71</v>
      </c>
      <c r="M1665" s="22" t="str">
        <f>VLOOKUP($A1665, 'Hospitalisation Details'!$A:$L, 12, FALSE)</f>
        <v>tier - 2</v>
      </c>
      <c r="N1665" s="22" t="str">
        <f>VLOOKUP($A1665, 'Hospitalisation Details'!$A:$M, 13, FALSE)</f>
        <v>tier - 3</v>
      </c>
      <c r="O1665" s="22" t="str">
        <f>VLOOKUP($A1665, 'Hospitalisation Details'!$A:$N, 14, FALSE)</f>
        <v>R1022</v>
      </c>
      <c r="P1665" s="36">
        <f>VLOOKUP($A1665, 'Hospitalisation Details'!$A:$O, 15, FALSE)</f>
        <v>18</v>
      </c>
    </row>
    <row r="1666" ht="15.75" customHeight="1">
      <c r="A1666" s="33" t="s">
        <v>3331</v>
      </c>
      <c r="B1666" s="22" t="str">
        <f>VLOOKUP($A1666,'Customer Names'!$A:$D,3, FALSE)</f>
        <v>Tusso</v>
      </c>
      <c r="C1666" s="22">
        <f>VLOOKUP($A1666,'Medical Examinations'!$A:$D, 2, FALSE)</f>
        <v>42.655</v>
      </c>
      <c r="D1666" s="22">
        <f>VLOOKUP($A1666, 'Medical Examinations'!$A:$D,3, FALSE)</f>
        <v>5.94</v>
      </c>
      <c r="E1666" s="22" t="str">
        <f>VLOOKUP($A1666, 'Medical Examinations'!$A:$D, 4, FALSE)</f>
        <v>Yes</v>
      </c>
      <c r="F1666" s="22" t="str">
        <f>VLOOKUP($A1666, 'Medical Examinations'!$A:$J, 5, FALSE)</f>
        <v>No</v>
      </c>
      <c r="G1666" s="22" t="str">
        <f>VLOOKUP($A1666, 'Medical Examinations'!$A:$I, 6, FALSE)</f>
        <v>Yes</v>
      </c>
      <c r="H1666" s="22">
        <f>VLOOKUP($A1666,'Medical Examinations'!$A:$L,10, FALSE)</f>
        <v>1</v>
      </c>
      <c r="I1666" s="22" t="str">
        <f>VLOOKUP($A1666, 'Medical Examinations'!$A:$J, 9, FALSE)</f>
        <v>No</v>
      </c>
      <c r="J1666" s="22" t="str">
        <f>VLOOKUP($A1666, 'Medical Examinations'!$A:$P, 11, FALSE)</f>
        <v>OBESITY</v>
      </c>
      <c r="K1666" s="34">
        <v>21544.0</v>
      </c>
      <c r="L1666" s="35">
        <f>VLOOKUP($A1666, 'Hospitalisation Details'!$A:$H, 7, FALSE)</f>
        <v>5757.41</v>
      </c>
      <c r="M1666" s="22" t="str">
        <f>VLOOKUP($A1666, 'Hospitalisation Details'!$A:$L, 12, FALSE)</f>
        <v>tier - 2</v>
      </c>
      <c r="N1666" s="22" t="str">
        <f>VLOOKUP($A1666, 'Hospitalisation Details'!$A:$M, 13, FALSE)</f>
        <v>tier - 3</v>
      </c>
      <c r="O1666" s="22" t="str">
        <f>VLOOKUP($A1666, 'Hospitalisation Details'!$A:$N, 14, FALSE)</f>
        <v>R1019</v>
      </c>
      <c r="P1666" s="36">
        <f>VLOOKUP($A1666, 'Hospitalisation Details'!$A:$O, 15, FALSE)</f>
        <v>39</v>
      </c>
    </row>
    <row r="1667" ht="15.75" customHeight="1">
      <c r="A1667" s="33" t="s">
        <v>3333</v>
      </c>
      <c r="B1667" s="22" t="str">
        <f>VLOOKUP($A1667,'Customer Names'!$A:$D,3, FALSE)</f>
        <v>Johnson</v>
      </c>
      <c r="C1667" s="22">
        <f>VLOOKUP($A1667,'Medical Examinations'!$A:$D, 2, FALSE)</f>
        <v>30.57</v>
      </c>
      <c r="D1667" s="22">
        <f>VLOOKUP($A1667, 'Medical Examinations'!$A:$D,3, FALSE)</f>
        <v>5.34</v>
      </c>
      <c r="E1667" s="22" t="str">
        <f>VLOOKUP($A1667, 'Medical Examinations'!$A:$D, 4, FALSE)</f>
        <v>No</v>
      </c>
      <c r="F1667" s="22" t="str">
        <f>VLOOKUP($A1667, 'Medical Examinations'!$A:$J, 5, FALSE)</f>
        <v>No</v>
      </c>
      <c r="G1667" s="22" t="str">
        <f>VLOOKUP($A1667, 'Medical Examinations'!$A:$I, 6, FALSE)</f>
        <v>Yes</v>
      </c>
      <c r="H1667" s="22">
        <f>VLOOKUP($A1667,'Medical Examinations'!$A:$L,10, FALSE)</f>
        <v>1</v>
      </c>
      <c r="I1667" s="22" t="str">
        <f>VLOOKUP($A1667, 'Medical Examinations'!$A:$J, 9, FALSE)</f>
        <v>No</v>
      </c>
      <c r="J1667" s="22" t="str">
        <f>VLOOKUP($A1667, 'Medical Examinations'!$A:$P, 11, FALSE)</f>
        <v>OBESITY</v>
      </c>
      <c r="K1667" s="34">
        <v>33472.0</v>
      </c>
      <c r="L1667" s="35">
        <f>VLOOKUP($A1667, 'Hospitalisation Details'!$A:$H, 7, FALSE)</f>
        <v>5748.13</v>
      </c>
      <c r="M1667" s="22" t="str">
        <f>VLOOKUP($A1667, 'Hospitalisation Details'!$A:$L, 12, FALSE)</f>
        <v>tier - 2</v>
      </c>
      <c r="N1667" s="22" t="str">
        <f>VLOOKUP($A1667, 'Hospitalisation Details'!$A:$M, 13, FALSE)</f>
        <v>tier - 1</v>
      </c>
      <c r="O1667" s="22" t="str">
        <f>VLOOKUP($A1667, 'Hospitalisation Details'!$A:$N, 14, FALSE)</f>
        <v>R1021</v>
      </c>
      <c r="P1667" s="36">
        <f>VLOOKUP($A1667, 'Hospitalisation Details'!$A:$O, 15, FALSE)</f>
        <v>29</v>
      </c>
    </row>
    <row r="1668" ht="15.75" customHeight="1">
      <c r="A1668" s="33" t="s">
        <v>3335</v>
      </c>
      <c r="B1668" s="22" t="str">
        <f>VLOOKUP($A1668,'Customer Names'!$A:$D,3, FALSE)</f>
        <v>Landry</v>
      </c>
      <c r="C1668" s="22">
        <f>VLOOKUP($A1668,'Medical Examinations'!$A:$D, 2, FALSE)</f>
        <v>17.7</v>
      </c>
      <c r="D1668" s="22">
        <f>VLOOKUP($A1668, 'Medical Examinations'!$A:$D,3, FALSE)</f>
        <v>6.38</v>
      </c>
      <c r="E1668" s="22" t="str">
        <f>VLOOKUP($A1668, 'Medical Examinations'!$A:$D, 4, FALSE)</f>
        <v>No</v>
      </c>
      <c r="F1668" s="22" t="str">
        <f>VLOOKUP($A1668, 'Medical Examinations'!$A:$J, 5, FALSE)</f>
        <v>No</v>
      </c>
      <c r="G1668" s="22" t="str">
        <f>VLOOKUP($A1668, 'Medical Examinations'!$A:$I, 6, FALSE)</f>
        <v>No</v>
      </c>
      <c r="H1668" s="22">
        <f>VLOOKUP($A1668,'Medical Examinations'!$A:$L,10, FALSE)</f>
        <v>2</v>
      </c>
      <c r="I1668" s="22" t="str">
        <f>VLOOKUP($A1668, 'Medical Examinations'!$A:$J, 9, FALSE)</f>
        <v>No</v>
      </c>
      <c r="J1668" s="22" t="str">
        <f>VLOOKUP($A1668, 'Medical Examinations'!$A:$P, 11, FALSE)</f>
        <v>UNDERWEIGHT</v>
      </c>
      <c r="K1668" s="34">
        <v>26158.0</v>
      </c>
      <c r="L1668" s="35">
        <f>VLOOKUP($A1668, 'Hospitalisation Details'!$A:$H, 7, FALSE)</f>
        <v>5741.67</v>
      </c>
      <c r="M1668" s="22" t="str">
        <f>VLOOKUP($A1668, 'Hospitalisation Details'!$A:$L, 12, FALSE)</f>
        <v>tier - 2</v>
      </c>
      <c r="N1668" s="22" t="str">
        <f>VLOOKUP($A1668, 'Hospitalisation Details'!$A:$M, 13, FALSE)</f>
        <v>tier - 3</v>
      </c>
      <c r="O1668" s="22" t="str">
        <f>VLOOKUP($A1668, 'Hospitalisation Details'!$A:$N, 14, FALSE)</f>
        <v>R1013</v>
      </c>
      <c r="P1668" s="36">
        <f>VLOOKUP($A1668, 'Hospitalisation Details'!$A:$O, 15, FALSE)</f>
        <v>50</v>
      </c>
    </row>
    <row r="1669" ht="15.75" customHeight="1">
      <c r="A1669" s="33" t="s">
        <v>3337</v>
      </c>
      <c r="B1669" s="22" t="str">
        <f>VLOOKUP($A1669,'Customer Names'!$A:$D,3, FALSE)</f>
        <v>McDonald</v>
      </c>
      <c r="C1669" s="22">
        <f>VLOOKUP($A1669,'Medical Examinations'!$A:$D, 2, FALSE)</f>
        <v>34.77</v>
      </c>
      <c r="D1669" s="22">
        <f>VLOOKUP($A1669, 'Medical Examinations'!$A:$D,3, FALSE)</f>
        <v>4.47</v>
      </c>
      <c r="E1669" s="22" t="str">
        <f>VLOOKUP($A1669, 'Medical Examinations'!$A:$D, 4, FALSE)</f>
        <v>No</v>
      </c>
      <c r="F1669" s="22" t="str">
        <f>VLOOKUP($A1669, 'Medical Examinations'!$A:$J, 5, FALSE)</f>
        <v>No</v>
      </c>
      <c r="G1669" s="22" t="str">
        <f>VLOOKUP($A1669, 'Medical Examinations'!$A:$I, 6, FALSE)</f>
        <v>No</v>
      </c>
      <c r="H1669" s="22">
        <f>VLOOKUP($A1669,'Medical Examinations'!$A:$L,10, FALSE)</f>
        <v>1</v>
      </c>
      <c r="I1669" s="22" t="str">
        <f>VLOOKUP($A1669, 'Medical Examinations'!$A:$J, 9, FALSE)</f>
        <v>No</v>
      </c>
      <c r="J1669" s="22" t="str">
        <f>VLOOKUP($A1669, 'Medical Examinations'!$A:$P, 11, FALSE)</f>
        <v>OBESITY</v>
      </c>
      <c r="K1669" s="34">
        <v>32346.0</v>
      </c>
      <c r="L1669" s="35">
        <f>VLOOKUP($A1669, 'Hospitalisation Details'!$A:$H, 7, FALSE)</f>
        <v>5729.01</v>
      </c>
      <c r="M1669" s="22" t="str">
        <f>VLOOKUP($A1669, 'Hospitalisation Details'!$A:$L, 12, FALSE)</f>
        <v>tier - 1</v>
      </c>
      <c r="N1669" s="22" t="str">
        <f>VLOOKUP($A1669, 'Hospitalisation Details'!$A:$M, 13, FALSE)</f>
        <v>tier - 2</v>
      </c>
      <c r="O1669" s="22" t="str">
        <f>VLOOKUP($A1669, 'Hospitalisation Details'!$A:$N, 14, FALSE)</f>
        <v>R1012</v>
      </c>
      <c r="P1669" s="36">
        <f>VLOOKUP($A1669, 'Hospitalisation Details'!$A:$O, 15, FALSE)</f>
        <v>35</v>
      </c>
    </row>
    <row r="1670" ht="15.75" customHeight="1">
      <c r="A1670" s="33" t="s">
        <v>3339</v>
      </c>
      <c r="B1670" s="22" t="str">
        <f>VLOOKUP($A1670,'Customer Names'!$A:$D,3, FALSE)</f>
        <v>Dunlap</v>
      </c>
      <c r="C1670" s="22">
        <f>VLOOKUP($A1670,'Medical Examinations'!$A:$D, 2, FALSE)</f>
        <v>16.88</v>
      </c>
      <c r="D1670" s="22">
        <f>VLOOKUP($A1670, 'Medical Examinations'!$A:$D,3, FALSE)</f>
        <v>9.96</v>
      </c>
      <c r="E1670" s="22" t="str">
        <f>VLOOKUP($A1670, 'Medical Examinations'!$A:$D, 4, FALSE)</f>
        <v>No</v>
      </c>
      <c r="F1670" s="22" t="str">
        <f>VLOOKUP($A1670, 'Medical Examinations'!$A:$J, 5, FALSE)</f>
        <v>No</v>
      </c>
      <c r="G1670" s="22" t="str">
        <f>VLOOKUP($A1670, 'Medical Examinations'!$A:$I, 6, FALSE)</f>
        <v>No</v>
      </c>
      <c r="H1670" s="22">
        <f>VLOOKUP($A1670,'Medical Examinations'!$A:$L,10, FALSE)</f>
        <v>0</v>
      </c>
      <c r="I1670" s="22" t="str">
        <f>VLOOKUP($A1670, 'Medical Examinations'!$A:$J, 9, FALSE)</f>
        <v>No</v>
      </c>
      <c r="J1670" s="22" t="str">
        <f>VLOOKUP($A1670, 'Medical Examinations'!$A:$P, 11, FALSE)</f>
        <v>UNDERWEIGHT</v>
      </c>
      <c r="K1670" s="34">
        <v>38235.0</v>
      </c>
      <c r="L1670" s="35">
        <f>VLOOKUP($A1670, 'Hospitalisation Details'!$A:$H, 7, FALSE)</f>
        <v>5720.38</v>
      </c>
      <c r="M1670" s="22" t="str">
        <f>VLOOKUP($A1670, 'Hospitalisation Details'!$A:$L, 12, FALSE)</f>
        <v>tier - 2</v>
      </c>
      <c r="N1670" s="22" t="str">
        <f>VLOOKUP($A1670, 'Hospitalisation Details'!$A:$M, 13, FALSE)</f>
        <v>tier - 1</v>
      </c>
      <c r="O1670" s="22" t="str">
        <f>VLOOKUP($A1670, 'Hospitalisation Details'!$A:$N, 14, FALSE)</f>
        <v>R1013</v>
      </c>
      <c r="P1670" s="36">
        <f>VLOOKUP($A1670, 'Hospitalisation Details'!$A:$O, 15, FALSE)</f>
        <v>51</v>
      </c>
    </row>
    <row r="1671" ht="15.75" customHeight="1">
      <c r="A1671" s="33" t="s">
        <v>3341</v>
      </c>
      <c r="B1671" s="22" t="str">
        <f>VLOOKUP($A1671,'Customer Names'!$A:$D,3, FALSE)</f>
        <v>Larue</v>
      </c>
      <c r="C1671" s="22">
        <f>VLOOKUP($A1671,'Medical Examinations'!$A:$D, 2, FALSE)</f>
        <v>40.26</v>
      </c>
      <c r="D1671" s="22">
        <f>VLOOKUP($A1671, 'Medical Examinations'!$A:$D,3, FALSE)</f>
        <v>9.92</v>
      </c>
      <c r="E1671" s="22" t="str">
        <f>VLOOKUP($A1671, 'Medical Examinations'!$A:$D, 4, FALSE)</f>
        <v>Yes</v>
      </c>
      <c r="F1671" s="22" t="str">
        <f>VLOOKUP($A1671, 'Medical Examinations'!$A:$J, 5, FALSE)</f>
        <v>No</v>
      </c>
      <c r="G1671" s="22" t="str">
        <f>VLOOKUP($A1671, 'Medical Examinations'!$A:$I, 6, FALSE)</f>
        <v>No</v>
      </c>
      <c r="H1671" s="22">
        <f>VLOOKUP($A1671,'Medical Examinations'!$A:$L,10, FALSE)</f>
        <v>0</v>
      </c>
      <c r="I1671" s="22" t="str">
        <f>VLOOKUP($A1671, 'Medical Examinations'!$A:$J, 9, FALSE)</f>
        <v>No</v>
      </c>
      <c r="J1671" s="22" t="str">
        <f>VLOOKUP($A1671, 'Medical Examinations'!$A:$P, 11, FALSE)</f>
        <v>OBESITY</v>
      </c>
      <c r="K1671" s="34">
        <v>25807.0</v>
      </c>
      <c r="L1671" s="35">
        <f>VLOOKUP($A1671, 'Hospitalisation Details'!$A:$H, 7, FALSE)</f>
        <v>5709.16</v>
      </c>
      <c r="M1671" s="22" t="str">
        <f>VLOOKUP($A1671, 'Hospitalisation Details'!$A:$L, 12, FALSE)</f>
        <v>tier - 3</v>
      </c>
      <c r="N1671" s="22" t="str">
        <f>VLOOKUP($A1671, 'Hospitalisation Details'!$A:$M, 13, FALSE)</f>
        <v>tier - 3</v>
      </c>
      <c r="O1671" s="22" t="str">
        <f>VLOOKUP($A1671, 'Hospitalisation Details'!$A:$N, 14, FALSE)</f>
        <v>R1013</v>
      </c>
      <c r="P1671" s="36">
        <f>VLOOKUP($A1671, 'Hospitalisation Details'!$A:$O, 15, FALSE)</f>
        <v>41</v>
      </c>
    </row>
    <row r="1672" ht="15.75" customHeight="1">
      <c r="A1672" s="33" t="s">
        <v>3343</v>
      </c>
      <c r="B1672" s="22" t="str">
        <f>VLOOKUP($A1672,'Customer Names'!$A:$D,3, FALSE)</f>
        <v>Hodge</v>
      </c>
      <c r="C1672" s="22">
        <f>VLOOKUP($A1672,'Medical Examinations'!$A:$D, 2, FALSE)</f>
        <v>25.6</v>
      </c>
      <c r="D1672" s="22">
        <f>VLOOKUP($A1672, 'Medical Examinations'!$A:$D,3, FALSE)</f>
        <v>6.03</v>
      </c>
      <c r="E1672" s="22" t="str">
        <f>VLOOKUP($A1672, 'Medical Examinations'!$A:$D, 4, FALSE)</f>
        <v>No</v>
      </c>
      <c r="F1672" s="22" t="str">
        <f>VLOOKUP($A1672, 'Medical Examinations'!$A:$J, 5, FALSE)</f>
        <v>No</v>
      </c>
      <c r="G1672" s="22" t="str">
        <f>VLOOKUP($A1672, 'Medical Examinations'!$A:$I, 6, FALSE)</f>
        <v>Yes</v>
      </c>
      <c r="H1672" s="22">
        <f>VLOOKUP($A1672,'Medical Examinations'!$A:$L,10, FALSE)</f>
        <v>1</v>
      </c>
      <c r="I1672" s="22" t="str">
        <f>VLOOKUP($A1672, 'Medical Examinations'!$A:$J, 9, FALSE)</f>
        <v>No</v>
      </c>
      <c r="J1672" s="22" t="str">
        <f>VLOOKUP($A1672, 'Medical Examinations'!$A:$P, 11, FALSE)</f>
        <v>OVERWEIGHT</v>
      </c>
      <c r="K1672" s="34">
        <v>27293.0</v>
      </c>
      <c r="L1672" s="35">
        <f>VLOOKUP($A1672, 'Hospitalisation Details'!$A:$H, 7, FALSE)</f>
        <v>5708.87</v>
      </c>
      <c r="M1672" s="22" t="str">
        <f>VLOOKUP($A1672, 'Hospitalisation Details'!$A:$L, 12, FALSE)</f>
        <v>tier - 2</v>
      </c>
      <c r="N1672" s="22" t="str">
        <f>VLOOKUP($A1672, 'Hospitalisation Details'!$A:$M, 13, FALSE)</f>
        <v>tier - 1</v>
      </c>
      <c r="O1672" s="22" t="str">
        <f>VLOOKUP($A1672, 'Hospitalisation Details'!$A:$N, 14, FALSE)</f>
        <v>R1011</v>
      </c>
      <c r="P1672" s="36">
        <f>VLOOKUP($A1672, 'Hospitalisation Details'!$A:$O, 15, FALSE)</f>
        <v>29</v>
      </c>
    </row>
    <row r="1673" ht="15.75" customHeight="1">
      <c r="A1673" s="33" t="s">
        <v>3345</v>
      </c>
      <c r="B1673" s="22" t="str">
        <f>VLOOKUP($A1673,'Customer Names'!$A:$D,3, FALSE)</f>
        <v>Marcus</v>
      </c>
      <c r="C1673" s="22">
        <f>VLOOKUP($A1673,'Medical Examinations'!$A:$D, 2, FALSE)</f>
        <v>33.55</v>
      </c>
      <c r="D1673" s="22">
        <f>VLOOKUP($A1673, 'Medical Examinations'!$A:$D,3, FALSE)</f>
        <v>10.9</v>
      </c>
      <c r="E1673" s="22" t="str">
        <f>VLOOKUP($A1673, 'Medical Examinations'!$A:$D, 4, FALSE)</f>
        <v>Yes</v>
      </c>
      <c r="F1673" s="22" t="str">
        <f>VLOOKUP($A1673, 'Medical Examinations'!$A:$J, 5, FALSE)</f>
        <v>No</v>
      </c>
      <c r="G1673" s="22" t="str">
        <f>VLOOKUP($A1673, 'Medical Examinations'!$A:$I, 6, FALSE)</f>
        <v>No</v>
      </c>
      <c r="H1673" s="22">
        <f>VLOOKUP($A1673,'Medical Examinations'!$A:$L,10, FALSE)</f>
        <v>0</v>
      </c>
      <c r="I1673" s="22" t="str">
        <f>VLOOKUP($A1673, 'Medical Examinations'!$A:$J, 9, FALSE)</f>
        <v>No</v>
      </c>
      <c r="J1673" s="22" t="str">
        <f>VLOOKUP($A1673, 'Medical Examinations'!$A:$P, 11, FALSE)</f>
        <v>OBESITY</v>
      </c>
      <c r="K1673" s="34">
        <v>38326.0</v>
      </c>
      <c r="L1673" s="35">
        <f>VLOOKUP($A1673, 'Hospitalisation Details'!$A:$H, 7, FALSE)</f>
        <v>5699.84</v>
      </c>
      <c r="M1673" s="22" t="str">
        <f>VLOOKUP($A1673, 'Hospitalisation Details'!$A:$L, 12, FALSE)</f>
        <v>tier - 2</v>
      </c>
      <c r="N1673" s="22" t="str">
        <f>VLOOKUP($A1673, 'Hospitalisation Details'!$A:$M, 13, FALSE)</f>
        <v>tier - 3</v>
      </c>
      <c r="O1673" s="22" t="str">
        <f>VLOOKUP($A1673, 'Hospitalisation Details'!$A:$N, 14, FALSE)</f>
        <v>R1013</v>
      </c>
      <c r="P1673" s="36">
        <f>VLOOKUP($A1673, 'Hospitalisation Details'!$A:$O, 15, FALSE)</f>
        <v>41</v>
      </c>
    </row>
    <row r="1674" ht="15.75" customHeight="1">
      <c r="A1674" s="33" t="s">
        <v>3347</v>
      </c>
      <c r="B1674" s="22" t="str">
        <f>VLOOKUP($A1674,'Customer Names'!$A:$D,3, FALSE)</f>
        <v>Daubert</v>
      </c>
      <c r="C1674" s="22">
        <f>VLOOKUP($A1674,'Medical Examinations'!$A:$D, 2, FALSE)</f>
        <v>16.69</v>
      </c>
      <c r="D1674" s="22">
        <f>VLOOKUP($A1674, 'Medical Examinations'!$A:$D,3, FALSE)</f>
        <v>10.66</v>
      </c>
      <c r="E1674" s="22" t="str">
        <f>VLOOKUP($A1674, 'Medical Examinations'!$A:$D, 4, FALSE)</f>
        <v>No</v>
      </c>
      <c r="F1674" s="22" t="str">
        <f>VLOOKUP($A1674, 'Medical Examinations'!$A:$J, 5, FALSE)</f>
        <v>No</v>
      </c>
      <c r="G1674" s="22" t="str">
        <f>VLOOKUP($A1674, 'Medical Examinations'!$A:$I, 6, FALSE)</f>
        <v>No</v>
      </c>
      <c r="H1674" s="22">
        <f>VLOOKUP($A1674,'Medical Examinations'!$A:$L,10, FALSE)</f>
        <v>0</v>
      </c>
      <c r="I1674" s="22" t="str">
        <f>VLOOKUP($A1674, 'Medical Examinations'!$A:$J, 9, FALSE)</f>
        <v>No</v>
      </c>
      <c r="J1674" s="22" t="str">
        <f>VLOOKUP($A1674, 'Medical Examinations'!$A:$P, 11, FALSE)</f>
        <v>UNDERWEIGHT</v>
      </c>
      <c r="K1674" s="34">
        <v>27549.0</v>
      </c>
      <c r="L1674" s="35">
        <f>VLOOKUP($A1674, 'Hospitalisation Details'!$A:$H, 7, FALSE)</f>
        <v>5698.74</v>
      </c>
      <c r="M1674" s="22" t="str">
        <f>VLOOKUP($A1674, 'Hospitalisation Details'!$A:$L, 12, FALSE)</f>
        <v>tier - 2</v>
      </c>
      <c r="N1674" s="22" t="str">
        <f>VLOOKUP($A1674, 'Hospitalisation Details'!$A:$M, 13, FALSE)</f>
        <v>tier - 2</v>
      </c>
      <c r="O1674" s="22" t="str">
        <f>VLOOKUP($A1674, 'Hospitalisation Details'!$A:$N, 14, FALSE)</f>
        <v>R1012</v>
      </c>
      <c r="P1674" s="36">
        <f>VLOOKUP($A1674, 'Hospitalisation Details'!$A:$O, 15, FALSE)</f>
        <v>48</v>
      </c>
    </row>
    <row r="1675" ht="15.75" customHeight="1">
      <c r="A1675" s="33" t="s">
        <v>3349</v>
      </c>
      <c r="B1675" s="22" t="str">
        <f>VLOOKUP($A1675,'Customer Names'!$A:$D,3, FALSE)</f>
        <v>Close</v>
      </c>
      <c r="C1675" s="22">
        <f>VLOOKUP($A1675,'Medical Examinations'!$A:$D, 2, FALSE)</f>
        <v>19.95</v>
      </c>
      <c r="D1675" s="22">
        <f>VLOOKUP($A1675, 'Medical Examinations'!$A:$D,3, FALSE)</f>
        <v>4.05</v>
      </c>
      <c r="E1675" s="22" t="str">
        <f>VLOOKUP($A1675, 'Medical Examinations'!$A:$D, 4, FALSE)</f>
        <v>No</v>
      </c>
      <c r="F1675" s="22" t="str">
        <f>VLOOKUP($A1675, 'Medical Examinations'!$A:$J, 5, FALSE)</f>
        <v>No</v>
      </c>
      <c r="G1675" s="22" t="str">
        <f>VLOOKUP($A1675, 'Medical Examinations'!$A:$I, 6, FALSE)</f>
        <v>No</v>
      </c>
      <c r="H1675" s="22">
        <f>VLOOKUP($A1675,'Medical Examinations'!$A:$L,10, FALSE)</f>
        <v>1</v>
      </c>
      <c r="I1675" s="22" t="str">
        <f>VLOOKUP($A1675, 'Medical Examinations'!$A:$J, 9, FALSE)</f>
        <v>No</v>
      </c>
      <c r="J1675" s="22" t="str">
        <f>VLOOKUP($A1675, 'Medical Examinations'!$A:$P, 11, FALSE)</f>
        <v>NORMAL WEIGHT</v>
      </c>
      <c r="K1675" s="34">
        <v>26852.0</v>
      </c>
      <c r="L1675" s="35">
        <f>VLOOKUP($A1675, 'Hospitalisation Details'!$A:$H, 7, FALSE)</f>
        <v>5693.43</v>
      </c>
      <c r="M1675" s="22" t="str">
        <f>VLOOKUP($A1675, 'Hospitalisation Details'!$A:$L, 12, FALSE)</f>
        <v>tier - 2</v>
      </c>
      <c r="N1675" s="22" t="str">
        <f>VLOOKUP($A1675, 'Hospitalisation Details'!$A:$M, 13, FALSE)</f>
        <v>tier - 3</v>
      </c>
      <c r="O1675" s="22" t="str">
        <f>VLOOKUP($A1675, 'Hospitalisation Details'!$A:$N, 14, FALSE)</f>
        <v>R1012</v>
      </c>
      <c r="P1675" s="36">
        <f>VLOOKUP($A1675, 'Hospitalisation Details'!$A:$O, 15, FALSE)</f>
        <v>30</v>
      </c>
    </row>
    <row r="1676" ht="15.75" customHeight="1">
      <c r="A1676" s="33" t="s">
        <v>3351</v>
      </c>
      <c r="B1676" s="22" t="str">
        <f>VLOOKUP($A1676,'Customer Names'!$A:$D,3, FALSE)</f>
        <v>Roels</v>
      </c>
      <c r="C1676" s="22">
        <f>VLOOKUP($A1676,'Medical Examinations'!$A:$D, 2, FALSE)</f>
        <v>17.55</v>
      </c>
      <c r="D1676" s="22">
        <f>VLOOKUP($A1676, 'Medical Examinations'!$A:$D,3, FALSE)</f>
        <v>4.23</v>
      </c>
      <c r="E1676" s="22" t="str">
        <f>VLOOKUP($A1676, 'Medical Examinations'!$A:$D, 4, FALSE)</f>
        <v>No</v>
      </c>
      <c r="F1676" s="22" t="str">
        <f>VLOOKUP($A1676, 'Medical Examinations'!$A:$J, 5, FALSE)</f>
        <v>No</v>
      </c>
      <c r="G1676" s="22" t="str">
        <f>VLOOKUP($A1676, 'Medical Examinations'!$A:$I, 6, FALSE)</f>
        <v>No</v>
      </c>
      <c r="H1676" s="22">
        <f>VLOOKUP($A1676,'Medical Examinations'!$A:$L,10, FALSE)</f>
        <v>2</v>
      </c>
      <c r="I1676" s="22" t="str">
        <f>VLOOKUP($A1676, 'Medical Examinations'!$A:$J, 9, FALSE)</f>
        <v>No</v>
      </c>
      <c r="J1676" s="22" t="str">
        <f>VLOOKUP($A1676, 'Medical Examinations'!$A:$P, 11, FALSE)</f>
        <v>UNDERWEIGHT</v>
      </c>
      <c r="K1676" s="34">
        <v>37540.0</v>
      </c>
      <c r="L1676" s="35">
        <f>VLOOKUP($A1676, 'Hospitalisation Details'!$A:$H, 7, FALSE)</f>
        <v>5690.79</v>
      </c>
      <c r="M1676" s="22" t="str">
        <f>VLOOKUP($A1676, 'Hospitalisation Details'!$A:$L, 12, FALSE)</f>
        <v>tier - 2</v>
      </c>
      <c r="N1676" s="22" t="str">
        <f>VLOOKUP($A1676, 'Hospitalisation Details'!$A:$M, 13, FALSE)</f>
        <v>tier - 1</v>
      </c>
      <c r="O1676" s="22" t="str">
        <f>VLOOKUP($A1676, 'Hospitalisation Details'!$A:$N, 14, FALSE)</f>
        <v>R1013</v>
      </c>
      <c r="P1676" s="36">
        <f>VLOOKUP($A1676, 'Hospitalisation Details'!$A:$O, 15, FALSE)</f>
        <v>50</v>
      </c>
    </row>
    <row r="1677" ht="15.75" customHeight="1">
      <c r="A1677" s="33" t="s">
        <v>3353</v>
      </c>
      <c r="B1677" s="22" t="str">
        <f>VLOOKUP($A1677,'Customer Names'!$A:$D,3, FALSE)</f>
        <v>Venosky</v>
      </c>
      <c r="C1677" s="22">
        <f>VLOOKUP($A1677,'Medical Examinations'!$A:$D, 2, FALSE)</f>
        <v>22.01</v>
      </c>
      <c r="D1677" s="22">
        <f>VLOOKUP($A1677, 'Medical Examinations'!$A:$D,3, FALSE)</f>
        <v>5.01</v>
      </c>
      <c r="E1677" s="22" t="str">
        <f>VLOOKUP($A1677, 'Medical Examinations'!$A:$D, 4, FALSE)</f>
        <v>No</v>
      </c>
      <c r="F1677" s="22" t="str">
        <f>VLOOKUP($A1677, 'Medical Examinations'!$A:$J, 5, FALSE)</f>
        <v>No</v>
      </c>
      <c r="G1677" s="22" t="str">
        <f>VLOOKUP($A1677, 'Medical Examinations'!$A:$I, 6, FALSE)</f>
        <v>No</v>
      </c>
      <c r="H1677" s="22">
        <f>VLOOKUP($A1677,'Medical Examinations'!$A:$L,10, FALSE)</f>
        <v>1</v>
      </c>
      <c r="I1677" s="22" t="str">
        <f>VLOOKUP($A1677, 'Medical Examinations'!$A:$J, 9, FALSE)</f>
        <v>No</v>
      </c>
      <c r="J1677" s="22" t="str">
        <f>VLOOKUP($A1677, 'Medical Examinations'!$A:$P, 11, FALSE)</f>
        <v>NORMAL WEIGHT</v>
      </c>
      <c r="K1677" s="34">
        <v>24297.0</v>
      </c>
      <c r="L1677" s="35">
        <f>VLOOKUP($A1677, 'Hospitalisation Details'!$A:$H, 7, FALSE)</f>
        <v>5679.13</v>
      </c>
      <c r="M1677" s="22" t="str">
        <f>VLOOKUP($A1677, 'Hospitalisation Details'!$A:$L, 12, FALSE)</f>
        <v>tier - 2</v>
      </c>
      <c r="N1677" s="22" t="str">
        <f>VLOOKUP($A1677, 'Hospitalisation Details'!$A:$M, 13, FALSE)</f>
        <v>tier - 2</v>
      </c>
      <c r="O1677" s="22" t="str">
        <f>VLOOKUP($A1677, 'Hospitalisation Details'!$A:$N, 14, FALSE)</f>
        <v>R1013</v>
      </c>
      <c r="P1677" s="36">
        <f>VLOOKUP($A1677, 'Hospitalisation Details'!$A:$O, 15, FALSE)</f>
        <v>38</v>
      </c>
    </row>
    <row r="1678" ht="15.75" customHeight="1">
      <c r="A1678" s="33" t="s">
        <v>3355</v>
      </c>
      <c r="B1678" s="22" t="str">
        <f>VLOOKUP($A1678,'Customer Names'!$A:$D,3, FALSE)</f>
        <v>Gosnell</v>
      </c>
      <c r="C1678" s="22">
        <f>VLOOKUP($A1678,'Medical Examinations'!$A:$D, 2, FALSE)</f>
        <v>41.8</v>
      </c>
      <c r="D1678" s="22">
        <f>VLOOKUP($A1678, 'Medical Examinations'!$A:$D,3, FALSE)</f>
        <v>5.82</v>
      </c>
      <c r="E1678" s="22" t="str">
        <f>VLOOKUP($A1678, 'Medical Examinations'!$A:$D, 4, FALSE)</f>
        <v>Yes</v>
      </c>
      <c r="F1678" s="22" t="str">
        <f>VLOOKUP($A1678, 'Medical Examinations'!$A:$J, 5, FALSE)</f>
        <v>No</v>
      </c>
      <c r="G1678" s="22" t="str">
        <f>VLOOKUP($A1678, 'Medical Examinations'!$A:$I, 6, FALSE)</f>
        <v>Yes</v>
      </c>
      <c r="H1678" s="22">
        <f>VLOOKUP($A1678,'Medical Examinations'!$A:$L,10, FALSE)</f>
        <v>1</v>
      </c>
      <c r="I1678" s="22" t="str">
        <f>VLOOKUP($A1678, 'Medical Examinations'!$A:$J, 9, FALSE)</f>
        <v>No</v>
      </c>
      <c r="J1678" s="22" t="str">
        <f>VLOOKUP($A1678, 'Medical Examinations'!$A:$P, 11, FALSE)</f>
        <v>OBESITY</v>
      </c>
      <c r="K1678" s="34">
        <v>36886.0</v>
      </c>
      <c r="L1678" s="35">
        <f>VLOOKUP($A1678, 'Hospitalisation Details'!$A:$H, 7, FALSE)</f>
        <v>5662.23</v>
      </c>
      <c r="M1678" s="22" t="str">
        <f>VLOOKUP($A1678, 'Hospitalisation Details'!$A:$L, 12, FALSE)</f>
        <v>tier - 2</v>
      </c>
      <c r="N1678" s="22" t="str">
        <f>VLOOKUP($A1678, 'Hospitalisation Details'!$A:$M, 13, FALSE)</f>
        <v>tier - 1</v>
      </c>
      <c r="O1678" s="22" t="str">
        <f>VLOOKUP($A1678, 'Hospitalisation Details'!$A:$N, 14, FALSE)</f>
        <v>R1013</v>
      </c>
      <c r="P1678" s="36">
        <f>VLOOKUP($A1678, 'Hospitalisation Details'!$A:$O, 15, FALSE)</f>
        <v>39</v>
      </c>
    </row>
    <row r="1679" ht="15.75" customHeight="1">
      <c r="A1679" s="33" t="s">
        <v>3357</v>
      </c>
      <c r="B1679" s="22" t="str">
        <f>VLOOKUP($A1679,'Customer Names'!$A:$D,3, FALSE)</f>
        <v>Chewning-Kulick</v>
      </c>
      <c r="C1679" s="22">
        <f>VLOOKUP($A1679,'Medical Examinations'!$A:$D, 2, FALSE)</f>
        <v>19.17</v>
      </c>
      <c r="D1679" s="22">
        <f>VLOOKUP($A1679, 'Medical Examinations'!$A:$D,3, FALSE)</f>
        <v>7.94</v>
      </c>
      <c r="E1679" s="22" t="str">
        <f>VLOOKUP($A1679, 'Medical Examinations'!$A:$D, 4, FALSE)</f>
        <v>No</v>
      </c>
      <c r="F1679" s="22" t="str">
        <f>VLOOKUP($A1679, 'Medical Examinations'!$A:$J, 5, FALSE)</f>
        <v>No</v>
      </c>
      <c r="G1679" s="22" t="str">
        <f>VLOOKUP($A1679, 'Medical Examinations'!$A:$I, 6, FALSE)</f>
        <v>No</v>
      </c>
      <c r="H1679" s="22">
        <f>VLOOKUP($A1679,'Medical Examinations'!$A:$L,10, FALSE)</f>
        <v>0</v>
      </c>
      <c r="I1679" s="22" t="str">
        <f>VLOOKUP($A1679, 'Medical Examinations'!$A:$J, 9, FALSE)</f>
        <v>No</v>
      </c>
      <c r="J1679" s="22" t="str">
        <f>VLOOKUP($A1679, 'Medical Examinations'!$A:$P, 11, FALSE)</f>
        <v>NORMAL WEIGHT</v>
      </c>
      <c r="K1679" s="34">
        <v>33395.0</v>
      </c>
      <c r="L1679" s="35">
        <f>VLOOKUP($A1679, 'Hospitalisation Details'!$A:$H, 7, FALSE)</f>
        <v>5650.14</v>
      </c>
      <c r="M1679" s="22" t="str">
        <f>VLOOKUP($A1679, 'Hospitalisation Details'!$A:$L, 12, FALSE)</f>
        <v>tier - 2</v>
      </c>
      <c r="N1679" s="22" t="str">
        <f>VLOOKUP($A1679, 'Hospitalisation Details'!$A:$M, 13, FALSE)</f>
        <v>tier - 1</v>
      </c>
      <c r="O1679" s="22" t="str">
        <f>VLOOKUP($A1679, 'Hospitalisation Details'!$A:$N, 14, FALSE)</f>
        <v>R1013</v>
      </c>
      <c r="P1679" s="36">
        <f>VLOOKUP($A1679, 'Hospitalisation Details'!$A:$O, 15, FALSE)</f>
        <v>44</v>
      </c>
    </row>
    <row r="1680" ht="15.75" customHeight="1">
      <c r="A1680" s="33" t="s">
        <v>3359</v>
      </c>
      <c r="B1680" s="22" t="str">
        <f>VLOOKUP($A1680,'Customer Names'!$A:$D,3, FALSE)</f>
        <v>McCarron</v>
      </c>
      <c r="C1680" s="22">
        <f>VLOOKUP($A1680,'Medical Examinations'!$A:$D, 2, FALSE)</f>
        <v>32.8</v>
      </c>
      <c r="D1680" s="22">
        <f>VLOOKUP($A1680, 'Medical Examinations'!$A:$D,3, FALSE)</f>
        <v>6.16</v>
      </c>
      <c r="E1680" s="22" t="str">
        <f>VLOOKUP($A1680, 'Medical Examinations'!$A:$D, 4, FALSE)</f>
        <v>Yes</v>
      </c>
      <c r="F1680" s="22" t="str">
        <f>VLOOKUP($A1680, 'Medical Examinations'!$A:$J, 5, FALSE)</f>
        <v>No</v>
      </c>
      <c r="G1680" s="22" t="str">
        <f>VLOOKUP($A1680, 'Medical Examinations'!$A:$I, 6, FALSE)</f>
        <v>Yes</v>
      </c>
      <c r="H1680" s="22">
        <f>VLOOKUP($A1680,'Medical Examinations'!$A:$L,10, FALSE)</f>
        <v>1</v>
      </c>
      <c r="I1680" s="22" t="str">
        <f>VLOOKUP($A1680, 'Medical Examinations'!$A:$J, 9, FALSE)</f>
        <v>No</v>
      </c>
      <c r="J1680" s="22" t="str">
        <f>VLOOKUP($A1680, 'Medical Examinations'!$A:$P, 11, FALSE)</f>
        <v>OBESITY</v>
      </c>
      <c r="K1680" s="34">
        <v>34253.0</v>
      </c>
      <c r="L1680" s="35">
        <f>VLOOKUP($A1680, 'Hospitalisation Details'!$A:$H, 7, FALSE)</f>
        <v>5649.72</v>
      </c>
      <c r="M1680" s="22" t="str">
        <f>VLOOKUP($A1680, 'Hospitalisation Details'!$A:$L, 12, FALSE)</f>
        <v>tier - 2</v>
      </c>
      <c r="N1680" s="22" t="str">
        <f>VLOOKUP($A1680, 'Hospitalisation Details'!$A:$M, 13, FALSE)</f>
        <v>tier - 3</v>
      </c>
      <c r="O1680" s="22" t="str">
        <f>VLOOKUP($A1680, 'Hospitalisation Details'!$A:$N, 14, FALSE)</f>
        <v>R1011</v>
      </c>
      <c r="P1680" s="36">
        <f>VLOOKUP($A1680, 'Hospitalisation Details'!$A:$O, 15, FALSE)</f>
        <v>40</v>
      </c>
    </row>
    <row r="1681" ht="15.75" customHeight="1">
      <c r="A1681" s="33" t="s">
        <v>3361</v>
      </c>
      <c r="B1681" s="22" t="str">
        <f>VLOOKUP($A1681,'Customer Names'!$A:$D,3, FALSE)</f>
        <v>Manion</v>
      </c>
      <c r="C1681" s="22">
        <f>VLOOKUP($A1681,'Medical Examinations'!$A:$D, 2, FALSE)</f>
        <v>35.815</v>
      </c>
      <c r="D1681" s="22">
        <f>VLOOKUP($A1681, 'Medical Examinations'!$A:$D,3, FALSE)</f>
        <v>4.15</v>
      </c>
      <c r="E1681" s="22" t="str">
        <f>VLOOKUP($A1681, 'Medical Examinations'!$A:$D, 4, FALSE)</f>
        <v>No</v>
      </c>
      <c r="F1681" s="22" t="str">
        <f>VLOOKUP($A1681, 'Medical Examinations'!$A:$J, 5, FALSE)</f>
        <v>No</v>
      </c>
      <c r="G1681" s="22" t="str">
        <f>VLOOKUP($A1681, 'Medical Examinations'!$A:$I, 6, FALSE)</f>
        <v>No</v>
      </c>
      <c r="H1681" s="22">
        <f>VLOOKUP($A1681,'Medical Examinations'!$A:$L,10, FALSE)</f>
        <v>1</v>
      </c>
      <c r="I1681" s="22" t="str">
        <f>VLOOKUP($A1681, 'Medical Examinations'!$A:$J, 9, FALSE)</f>
        <v>No</v>
      </c>
      <c r="J1681" s="22" t="str">
        <f>VLOOKUP($A1681, 'Medical Examinations'!$A:$P, 11, FALSE)</f>
        <v>OBESITY</v>
      </c>
      <c r="K1681" s="34">
        <v>37047.0</v>
      </c>
      <c r="L1681" s="35">
        <f>VLOOKUP($A1681, 'Hospitalisation Details'!$A:$H, 7, FALSE)</f>
        <v>5630.46</v>
      </c>
      <c r="M1681" s="22" t="str">
        <f>VLOOKUP($A1681, 'Hospitalisation Details'!$A:$L, 12, FALSE)</f>
        <v>tier - 2</v>
      </c>
      <c r="N1681" s="22" t="str">
        <f>VLOOKUP($A1681, 'Hospitalisation Details'!$A:$M, 13, FALSE)</f>
        <v>tier - 3</v>
      </c>
      <c r="O1681" s="22" t="str">
        <f>VLOOKUP($A1681, 'Hospitalisation Details'!$A:$N, 14, FALSE)</f>
        <v>R1012</v>
      </c>
      <c r="P1681" s="36">
        <f>VLOOKUP($A1681, 'Hospitalisation Details'!$A:$O, 15, FALSE)</f>
        <v>35</v>
      </c>
    </row>
    <row r="1682" ht="15.75" customHeight="1">
      <c r="A1682" s="33" t="s">
        <v>3363</v>
      </c>
      <c r="B1682" s="22" t="str">
        <f>VLOOKUP($A1682,'Customer Names'!$A:$D,3, FALSE)</f>
        <v>Strong</v>
      </c>
      <c r="C1682" s="22">
        <f>VLOOKUP($A1682,'Medical Examinations'!$A:$D, 2, FALSE)</f>
        <v>24.3</v>
      </c>
      <c r="D1682" s="22">
        <f>VLOOKUP($A1682, 'Medical Examinations'!$A:$D,3, FALSE)</f>
        <v>6.23</v>
      </c>
      <c r="E1682" s="22" t="str">
        <f>VLOOKUP($A1682, 'Medical Examinations'!$A:$D, 4, FALSE)</f>
        <v>No</v>
      </c>
      <c r="F1682" s="22" t="str">
        <f>VLOOKUP($A1682, 'Medical Examinations'!$A:$J, 5, FALSE)</f>
        <v>No</v>
      </c>
      <c r="G1682" s="22" t="str">
        <f>VLOOKUP($A1682, 'Medical Examinations'!$A:$I, 6, FALSE)</f>
        <v>No</v>
      </c>
      <c r="H1682" s="22">
        <f>VLOOKUP($A1682,'Medical Examinations'!$A:$L,10, FALSE)</f>
        <v>0</v>
      </c>
      <c r="I1682" s="22" t="str">
        <f>VLOOKUP($A1682, 'Medical Examinations'!$A:$J, 9, FALSE)</f>
        <v>No</v>
      </c>
      <c r="J1682" s="22" t="str">
        <f>VLOOKUP($A1682, 'Medical Examinations'!$A:$P, 11, FALSE)</f>
        <v>NORMAL WEIGHT</v>
      </c>
      <c r="K1682" s="34">
        <v>25905.0</v>
      </c>
      <c r="L1682" s="35">
        <f>VLOOKUP($A1682, 'Hospitalisation Details'!$A:$H, 7, FALSE)</f>
        <v>5615.37</v>
      </c>
      <c r="M1682" s="22" t="str">
        <f>VLOOKUP($A1682, 'Hospitalisation Details'!$A:$L, 12, FALSE)</f>
        <v>tier - 2</v>
      </c>
      <c r="N1682" s="22" t="str">
        <f>VLOOKUP($A1682, 'Hospitalisation Details'!$A:$M, 13, FALSE)</f>
        <v>tier - 3</v>
      </c>
      <c r="O1682" s="22" t="str">
        <f>VLOOKUP($A1682, 'Hospitalisation Details'!$A:$N, 14, FALSE)</f>
        <v>R1011</v>
      </c>
      <c r="P1682" s="36">
        <f>VLOOKUP($A1682, 'Hospitalisation Details'!$A:$O, 15, FALSE)</f>
        <v>28</v>
      </c>
    </row>
    <row r="1683" ht="15.75" customHeight="1">
      <c r="A1683" s="33" t="s">
        <v>3365</v>
      </c>
      <c r="B1683" s="22" t="str">
        <f>VLOOKUP($A1683,'Customer Names'!$A:$D,3, FALSE)</f>
        <v>Leblanc</v>
      </c>
      <c r="C1683" s="22">
        <f>VLOOKUP($A1683,'Medical Examinations'!$A:$D, 2, FALSE)</f>
        <v>19.06</v>
      </c>
      <c r="D1683" s="22">
        <f>VLOOKUP($A1683, 'Medical Examinations'!$A:$D,3, FALSE)</f>
        <v>7.41</v>
      </c>
      <c r="E1683" s="22" t="str">
        <f>VLOOKUP($A1683, 'Medical Examinations'!$A:$D, 4, FALSE)</f>
        <v>No</v>
      </c>
      <c r="F1683" s="22" t="str">
        <f>VLOOKUP($A1683, 'Medical Examinations'!$A:$J, 5, FALSE)</f>
        <v>No</v>
      </c>
      <c r="G1683" s="22" t="str">
        <f>VLOOKUP($A1683, 'Medical Examinations'!$A:$I, 6, FALSE)</f>
        <v>No</v>
      </c>
      <c r="H1683" s="22">
        <f>VLOOKUP($A1683,'Medical Examinations'!$A:$L,10, FALSE)</f>
        <v>0</v>
      </c>
      <c r="I1683" s="22" t="str">
        <f>VLOOKUP($A1683, 'Medical Examinations'!$A:$J, 9, FALSE)</f>
        <v>No</v>
      </c>
      <c r="J1683" s="22" t="str">
        <f>VLOOKUP($A1683, 'Medical Examinations'!$A:$P, 11, FALSE)</f>
        <v>NORMAL WEIGHT</v>
      </c>
      <c r="K1683" s="34">
        <v>23244.0</v>
      </c>
      <c r="L1683" s="35">
        <f>VLOOKUP($A1683, 'Hospitalisation Details'!$A:$H, 7, FALSE)</f>
        <v>5612.83</v>
      </c>
      <c r="M1683" s="22" t="str">
        <f>VLOOKUP($A1683, 'Hospitalisation Details'!$A:$L, 12, FALSE)</f>
        <v>tier - 2</v>
      </c>
      <c r="N1683" s="22" t="str">
        <f>VLOOKUP($A1683, 'Hospitalisation Details'!$A:$M, 13, FALSE)</f>
        <v>tier - 3</v>
      </c>
      <c r="O1683" s="22" t="str">
        <f>VLOOKUP($A1683, 'Hospitalisation Details'!$A:$N, 14, FALSE)</f>
        <v>R1013</v>
      </c>
      <c r="P1683" s="36">
        <f>VLOOKUP($A1683, 'Hospitalisation Details'!$A:$O, 15, FALSE)</f>
        <v>44</v>
      </c>
    </row>
    <row r="1684" ht="15.75" customHeight="1">
      <c r="A1684" s="33" t="s">
        <v>3367</v>
      </c>
      <c r="B1684" s="22" t="str">
        <f>VLOOKUP($A1684,'Customer Names'!$A:$D,3, FALSE)</f>
        <v>Palmer</v>
      </c>
      <c r="C1684" s="22">
        <f>VLOOKUP($A1684,'Medical Examinations'!$A:$D, 2, FALSE)</f>
        <v>33.25</v>
      </c>
      <c r="D1684" s="22">
        <f>VLOOKUP($A1684, 'Medical Examinations'!$A:$D,3, FALSE)</f>
        <v>5.62</v>
      </c>
      <c r="E1684" s="22" t="str">
        <f>VLOOKUP($A1684, 'Medical Examinations'!$A:$D, 4, FALSE)</f>
        <v>Yes</v>
      </c>
      <c r="F1684" s="22" t="str">
        <f>VLOOKUP($A1684, 'Medical Examinations'!$A:$J, 5, FALSE)</f>
        <v>No</v>
      </c>
      <c r="G1684" s="22" t="str">
        <f>VLOOKUP($A1684, 'Medical Examinations'!$A:$I, 6, FALSE)</f>
        <v>No</v>
      </c>
      <c r="H1684" s="22">
        <f>VLOOKUP($A1684,'Medical Examinations'!$A:$L,10, FALSE)</f>
        <v>1</v>
      </c>
      <c r="I1684" s="22" t="str">
        <f>VLOOKUP($A1684, 'Medical Examinations'!$A:$J, 9, FALSE)</f>
        <v>No</v>
      </c>
      <c r="J1684" s="22" t="str">
        <f>VLOOKUP($A1684, 'Medical Examinations'!$A:$P, 11, FALSE)</f>
        <v>OBESITY</v>
      </c>
      <c r="K1684" s="34">
        <v>26497.0</v>
      </c>
      <c r="L1684" s="35">
        <f>VLOOKUP($A1684, 'Hospitalisation Details'!$A:$H, 7, FALSE)</f>
        <v>5594.85</v>
      </c>
      <c r="M1684" s="22" t="str">
        <f>VLOOKUP($A1684, 'Hospitalisation Details'!$A:$L, 12, FALSE)</f>
        <v>tier - 2</v>
      </c>
      <c r="N1684" s="22" t="str">
        <f>VLOOKUP($A1684, 'Hospitalisation Details'!$A:$M, 13, FALSE)</f>
        <v>tier - 3</v>
      </c>
      <c r="O1684" s="22" t="str">
        <f>VLOOKUP($A1684, 'Hospitalisation Details'!$A:$N, 14, FALSE)</f>
        <v>R1024</v>
      </c>
      <c r="P1684" s="36">
        <f>VLOOKUP($A1684, 'Hospitalisation Details'!$A:$O, 15, FALSE)</f>
        <v>34</v>
      </c>
    </row>
    <row r="1685" ht="15.75" customHeight="1">
      <c r="A1685" s="33" t="s">
        <v>3369</v>
      </c>
      <c r="B1685" s="22" t="str">
        <f>VLOOKUP($A1685,'Customer Names'!$A:$D,3, FALSE)</f>
        <v>Shen</v>
      </c>
      <c r="C1685" s="22">
        <f>VLOOKUP($A1685,'Medical Examinations'!$A:$D, 2, FALSE)</f>
        <v>21.37</v>
      </c>
      <c r="D1685" s="22">
        <f>VLOOKUP($A1685, 'Medical Examinations'!$A:$D,3, FALSE)</f>
        <v>4.54</v>
      </c>
      <c r="E1685" s="22" t="str">
        <f>VLOOKUP($A1685, 'Medical Examinations'!$A:$D, 4, FALSE)</f>
        <v>Yes</v>
      </c>
      <c r="F1685" s="22" t="str">
        <f>VLOOKUP($A1685, 'Medical Examinations'!$A:$J, 5, FALSE)</f>
        <v>No</v>
      </c>
      <c r="G1685" s="22" t="str">
        <f>VLOOKUP($A1685, 'Medical Examinations'!$A:$I, 6, FALSE)</f>
        <v>Yes</v>
      </c>
      <c r="H1685" s="22">
        <f>VLOOKUP($A1685,'Medical Examinations'!$A:$L,10, FALSE)</f>
        <v>1</v>
      </c>
      <c r="I1685" s="22" t="str">
        <f>VLOOKUP($A1685, 'Medical Examinations'!$A:$J, 9, FALSE)</f>
        <v>No</v>
      </c>
      <c r="J1685" s="22" t="str">
        <f>VLOOKUP($A1685, 'Medical Examinations'!$A:$P, 11, FALSE)</f>
        <v>NORMAL WEIGHT</v>
      </c>
      <c r="K1685" s="34">
        <v>37105.0</v>
      </c>
      <c r="L1685" s="35">
        <f>VLOOKUP($A1685, 'Hospitalisation Details'!$A:$H, 7, FALSE)</f>
        <v>5587.59</v>
      </c>
      <c r="M1685" s="22" t="str">
        <f>VLOOKUP($A1685, 'Hospitalisation Details'!$A:$L, 12, FALSE)</f>
        <v>tier - 2</v>
      </c>
      <c r="N1685" s="22" t="str">
        <f>VLOOKUP($A1685, 'Hospitalisation Details'!$A:$M, 13, FALSE)</f>
        <v>tier - 1</v>
      </c>
      <c r="O1685" s="22" t="str">
        <f>VLOOKUP($A1685, 'Hospitalisation Details'!$A:$N, 14, FALSE)</f>
        <v>R1013</v>
      </c>
      <c r="P1685" s="36">
        <f>VLOOKUP($A1685, 'Hospitalisation Details'!$A:$O, 15, FALSE)</f>
        <v>39</v>
      </c>
    </row>
    <row r="1686" ht="15.75" customHeight="1">
      <c r="A1686" s="33" t="s">
        <v>3371</v>
      </c>
      <c r="B1686" s="22" t="str">
        <f>VLOOKUP($A1686,'Customer Names'!$A:$D,3, FALSE)</f>
        <v>Goldsby</v>
      </c>
      <c r="C1686" s="22">
        <f>VLOOKUP($A1686,'Medical Examinations'!$A:$D, 2, FALSE)</f>
        <v>34.43</v>
      </c>
      <c r="D1686" s="22">
        <f>VLOOKUP($A1686, 'Medical Examinations'!$A:$D,3, FALSE)</f>
        <v>8.62</v>
      </c>
      <c r="E1686" s="22" t="str">
        <f>VLOOKUP($A1686, 'Medical Examinations'!$A:$D, 4, FALSE)</f>
        <v>Yes</v>
      </c>
      <c r="F1686" s="22" t="str">
        <f>VLOOKUP($A1686, 'Medical Examinations'!$A:$J, 5, FALSE)</f>
        <v>No</v>
      </c>
      <c r="G1686" s="22" t="str">
        <f>VLOOKUP($A1686, 'Medical Examinations'!$A:$I, 6, FALSE)</f>
        <v>No</v>
      </c>
      <c r="H1686" s="22">
        <f>VLOOKUP($A1686,'Medical Examinations'!$A:$L,10, FALSE)</f>
        <v>1</v>
      </c>
      <c r="I1686" s="22" t="str">
        <f>VLOOKUP($A1686, 'Medical Examinations'!$A:$J, 9, FALSE)</f>
        <v>No</v>
      </c>
      <c r="J1686" s="22" t="str">
        <f>VLOOKUP($A1686, 'Medical Examinations'!$A:$P, 11, FALSE)</f>
        <v>OBESITY</v>
      </c>
      <c r="K1686" s="34">
        <v>25183.0</v>
      </c>
      <c r="L1686" s="35">
        <f>VLOOKUP($A1686, 'Hospitalisation Details'!$A:$H, 7, FALSE)</f>
        <v>5584.31</v>
      </c>
      <c r="M1686" s="22" t="str">
        <f>VLOOKUP($A1686, 'Hospitalisation Details'!$A:$L, 12, FALSE)</f>
        <v>tier - 3</v>
      </c>
      <c r="N1686" s="22" t="str">
        <f>VLOOKUP($A1686, 'Hospitalisation Details'!$A:$M, 13, FALSE)</f>
        <v>tier - 1</v>
      </c>
      <c r="O1686" s="22" t="str">
        <f>VLOOKUP($A1686, 'Hospitalisation Details'!$A:$N, 14, FALSE)</f>
        <v>R1013</v>
      </c>
      <c r="P1686" s="36">
        <f>VLOOKUP($A1686, 'Hospitalisation Details'!$A:$O, 15, FALSE)</f>
        <v>36</v>
      </c>
    </row>
    <row r="1687" ht="15.75" customHeight="1">
      <c r="A1687" s="33" t="s">
        <v>3373</v>
      </c>
      <c r="B1687" s="22" t="str">
        <f>VLOOKUP($A1687,'Customer Names'!$A:$D,3, FALSE)</f>
        <v>Whitney</v>
      </c>
      <c r="C1687" s="22">
        <f>VLOOKUP($A1687,'Medical Examinations'!$A:$D, 2, FALSE)</f>
        <v>20.86</v>
      </c>
      <c r="D1687" s="22">
        <f>VLOOKUP($A1687, 'Medical Examinations'!$A:$D,3, FALSE)</f>
        <v>4.36</v>
      </c>
      <c r="E1687" s="22" t="str">
        <f>VLOOKUP($A1687, 'Medical Examinations'!$A:$D, 4, FALSE)</f>
        <v>Yes</v>
      </c>
      <c r="F1687" s="22" t="str">
        <f>VLOOKUP($A1687, 'Medical Examinations'!$A:$J, 5, FALSE)</f>
        <v>No</v>
      </c>
      <c r="G1687" s="22" t="str">
        <f>VLOOKUP($A1687, 'Medical Examinations'!$A:$I, 6, FALSE)</f>
        <v>No</v>
      </c>
      <c r="H1687" s="22">
        <f>VLOOKUP($A1687,'Medical Examinations'!$A:$L,10, FALSE)</f>
        <v>0</v>
      </c>
      <c r="I1687" s="22" t="str">
        <f>VLOOKUP($A1687, 'Medical Examinations'!$A:$J, 9, FALSE)</f>
        <v>No</v>
      </c>
      <c r="J1687" s="22" t="str">
        <f>VLOOKUP($A1687, 'Medical Examinations'!$A:$P, 11, FALSE)</f>
        <v>NORMAL WEIGHT</v>
      </c>
      <c r="K1687" s="34">
        <v>25072.0</v>
      </c>
      <c r="L1687" s="35">
        <f>VLOOKUP($A1687, 'Hospitalisation Details'!$A:$H, 7, FALSE)</f>
        <v>5582.95</v>
      </c>
      <c r="M1687" s="22" t="str">
        <f>VLOOKUP($A1687, 'Hospitalisation Details'!$A:$L, 12, FALSE)</f>
        <v>tier - 2</v>
      </c>
      <c r="N1687" s="22" t="str">
        <f>VLOOKUP($A1687, 'Hospitalisation Details'!$A:$M, 13, FALSE)</f>
        <v>tier - 1</v>
      </c>
      <c r="O1687" s="22" t="str">
        <f>VLOOKUP($A1687, 'Hospitalisation Details'!$A:$N, 14, FALSE)</f>
        <v>R1012</v>
      </c>
      <c r="P1687" s="36">
        <f>VLOOKUP($A1687, 'Hospitalisation Details'!$A:$O, 15, FALSE)</f>
        <v>37</v>
      </c>
    </row>
    <row r="1688" ht="15.75" customHeight="1">
      <c r="A1688" s="33" t="s">
        <v>3375</v>
      </c>
      <c r="B1688" s="22" t="str">
        <f>VLOOKUP($A1688,'Customer Names'!$A:$D,3, FALSE)</f>
        <v>Mahoney</v>
      </c>
      <c r="C1688" s="22">
        <f>VLOOKUP($A1688,'Medical Examinations'!$A:$D, 2, FALSE)</f>
        <v>18.34</v>
      </c>
      <c r="D1688" s="22">
        <f>VLOOKUP($A1688, 'Medical Examinations'!$A:$D,3, FALSE)</f>
        <v>10.01</v>
      </c>
      <c r="E1688" s="22" t="str">
        <f>VLOOKUP($A1688, 'Medical Examinations'!$A:$D, 4, FALSE)</f>
        <v>No</v>
      </c>
      <c r="F1688" s="22" t="str">
        <f>VLOOKUP($A1688, 'Medical Examinations'!$A:$J, 5, FALSE)</f>
        <v>No</v>
      </c>
      <c r="G1688" s="22" t="str">
        <f>VLOOKUP($A1688, 'Medical Examinations'!$A:$I, 6, FALSE)</f>
        <v>No</v>
      </c>
      <c r="H1688" s="22">
        <f>VLOOKUP($A1688,'Medical Examinations'!$A:$L,10, FALSE)</f>
        <v>0</v>
      </c>
      <c r="I1688" s="22" t="str">
        <f>VLOOKUP($A1688, 'Medical Examinations'!$A:$J, 9, FALSE)</f>
        <v>No</v>
      </c>
      <c r="J1688" s="22" t="str">
        <f>VLOOKUP($A1688, 'Medical Examinations'!$A:$P, 11, FALSE)</f>
        <v>UNDERWEIGHT</v>
      </c>
      <c r="K1688" s="34">
        <v>26568.0</v>
      </c>
      <c r="L1688" s="35">
        <f>VLOOKUP($A1688, 'Hospitalisation Details'!$A:$H, 7, FALSE)</f>
        <v>5576.35</v>
      </c>
      <c r="M1688" s="22" t="str">
        <f>VLOOKUP($A1688, 'Hospitalisation Details'!$A:$L, 12, FALSE)</f>
        <v>tier - 2</v>
      </c>
      <c r="N1688" s="22" t="str">
        <f>VLOOKUP($A1688, 'Hospitalisation Details'!$A:$M, 13, FALSE)</f>
        <v>tier - 3</v>
      </c>
      <c r="O1688" s="22" t="str">
        <f>VLOOKUP($A1688, 'Hospitalisation Details'!$A:$N, 14, FALSE)</f>
        <v>R1013</v>
      </c>
      <c r="P1688" s="36">
        <f>VLOOKUP($A1688, 'Hospitalisation Details'!$A:$O, 15, FALSE)</f>
        <v>48</v>
      </c>
    </row>
    <row r="1689" ht="15.75" customHeight="1">
      <c r="A1689" s="33" t="s">
        <v>3377</v>
      </c>
      <c r="B1689" s="22" t="str">
        <f>VLOOKUP($A1689,'Customer Names'!$A:$D,3, FALSE)</f>
        <v>McCracken</v>
      </c>
      <c r="C1689" s="22">
        <f>VLOOKUP($A1689,'Medical Examinations'!$A:$D, 2, FALSE)</f>
        <v>34.15</v>
      </c>
      <c r="D1689" s="22">
        <f>VLOOKUP($A1689, 'Medical Examinations'!$A:$D,3, FALSE)</f>
        <v>5.42</v>
      </c>
      <c r="E1689" s="22" t="str">
        <f>VLOOKUP($A1689, 'Medical Examinations'!$A:$D, 4, FALSE)</f>
        <v>No</v>
      </c>
      <c r="F1689" s="22" t="str">
        <f>VLOOKUP($A1689, 'Medical Examinations'!$A:$J, 5, FALSE)</f>
        <v>No</v>
      </c>
      <c r="G1689" s="22" t="str">
        <f>VLOOKUP($A1689, 'Medical Examinations'!$A:$I, 6, FALSE)</f>
        <v>No</v>
      </c>
      <c r="H1689" s="22">
        <f>VLOOKUP($A1689,'Medical Examinations'!$A:$L,10, FALSE)</f>
        <v>0</v>
      </c>
      <c r="I1689" s="22" t="str">
        <f>VLOOKUP($A1689, 'Medical Examinations'!$A:$J, 9, FALSE)</f>
        <v>No</v>
      </c>
      <c r="J1689" s="22" t="str">
        <f>VLOOKUP($A1689, 'Medical Examinations'!$A:$P, 11, FALSE)</f>
        <v>OBESITY</v>
      </c>
      <c r="K1689" s="34">
        <v>27742.0</v>
      </c>
      <c r="L1689" s="35">
        <f>VLOOKUP($A1689, 'Hospitalisation Details'!$A:$H, 7, FALSE)</f>
        <v>5552.61</v>
      </c>
      <c r="M1689" s="22" t="str">
        <f>VLOOKUP($A1689, 'Hospitalisation Details'!$A:$L, 12, FALSE)</f>
        <v>tier - 2</v>
      </c>
      <c r="N1689" s="22" t="str">
        <f>VLOOKUP($A1689, 'Hospitalisation Details'!$A:$M, 13, FALSE)</f>
        <v>tier - 3</v>
      </c>
      <c r="O1689" s="22" t="str">
        <f>VLOOKUP($A1689, 'Hospitalisation Details'!$A:$N, 14, FALSE)</f>
        <v>R1026</v>
      </c>
      <c r="P1689" s="36">
        <f>VLOOKUP($A1689, 'Hospitalisation Details'!$A:$O, 15, FALSE)</f>
        <v>23</v>
      </c>
    </row>
    <row r="1690" ht="15.75" customHeight="1">
      <c r="A1690" s="33" t="s">
        <v>3379</v>
      </c>
      <c r="B1690" s="22" t="str">
        <f>VLOOKUP($A1690,'Customer Names'!$A:$D,3, FALSE)</f>
        <v>Spewak</v>
      </c>
      <c r="C1690" s="22">
        <f>VLOOKUP($A1690,'Medical Examinations'!$A:$D, 2, FALSE)</f>
        <v>18.35</v>
      </c>
      <c r="D1690" s="22">
        <f>VLOOKUP($A1690, 'Medical Examinations'!$A:$D,3, FALSE)</f>
        <v>5.12</v>
      </c>
      <c r="E1690" s="22" t="str">
        <f>VLOOKUP($A1690, 'Medical Examinations'!$A:$D, 4, FALSE)</f>
        <v>No</v>
      </c>
      <c r="F1690" s="22" t="str">
        <f>VLOOKUP($A1690, 'Medical Examinations'!$A:$J, 5, FALSE)</f>
        <v>No</v>
      </c>
      <c r="G1690" s="22" t="str">
        <f>VLOOKUP($A1690, 'Medical Examinations'!$A:$I, 6, FALSE)</f>
        <v>No</v>
      </c>
      <c r="H1690" s="22">
        <f>VLOOKUP($A1690,'Medical Examinations'!$A:$L,10, FALSE)</f>
        <v>0</v>
      </c>
      <c r="I1690" s="22" t="str">
        <f>VLOOKUP($A1690, 'Medical Examinations'!$A:$J, 9, FALSE)</f>
        <v>No</v>
      </c>
      <c r="J1690" s="22" t="str">
        <f>VLOOKUP($A1690, 'Medical Examinations'!$A:$P, 11, FALSE)</f>
        <v>UNDERWEIGHT</v>
      </c>
      <c r="K1690" s="34">
        <v>36123.0</v>
      </c>
      <c r="L1690" s="35">
        <f>VLOOKUP($A1690, 'Hospitalisation Details'!$A:$H, 7, FALSE)</f>
        <v>5540.35</v>
      </c>
      <c r="M1690" s="22" t="str">
        <f>VLOOKUP($A1690, 'Hospitalisation Details'!$A:$L, 12, FALSE)</f>
        <v>tier - 2</v>
      </c>
      <c r="N1690" s="22" t="str">
        <f>VLOOKUP($A1690, 'Hospitalisation Details'!$A:$M, 13, FALSE)</f>
        <v>tier - 2</v>
      </c>
      <c r="O1690" s="22" t="str">
        <f>VLOOKUP($A1690, 'Hospitalisation Details'!$A:$N, 14, FALSE)</f>
        <v>R1012</v>
      </c>
      <c r="P1690" s="36">
        <f>VLOOKUP($A1690, 'Hospitalisation Details'!$A:$O, 15, FALSE)</f>
        <v>42</v>
      </c>
    </row>
    <row r="1691" ht="15.75" customHeight="1">
      <c r="A1691" s="33" t="s">
        <v>3381</v>
      </c>
      <c r="B1691" s="22" t="str">
        <f>VLOOKUP($A1691,'Customer Names'!$A:$D,3, FALSE)</f>
        <v>Cottini</v>
      </c>
      <c r="C1691" s="22">
        <f>VLOOKUP($A1691,'Medical Examinations'!$A:$D, 2, FALSE)</f>
        <v>22.13</v>
      </c>
      <c r="D1691" s="22">
        <f>VLOOKUP($A1691, 'Medical Examinations'!$A:$D,3, FALSE)</f>
        <v>9.2</v>
      </c>
      <c r="E1691" s="22" t="str">
        <f>VLOOKUP($A1691, 'Medical Examinations'!$A:$D, 4, FALSE)</f>
        <v>Yes</v>
      </c>
      <c r="F1691" s="22" t="str">
        <f>VLOOKUP($A1691, 'Medical Examinations'!$A:$J, 5, FALSE)</f>
        <v>No</v>
      </c>
      <c r="G1691" s="22" t="str">
        <f>VLOOKUP($A1691, 'Medical Examinations'!$A:$I, 6, FALSE)</f>
        <v>No</v>
      </c>
      <c r="H1691" s="22">
        <f>VLOOKUP($A1691,'Medical Examinations'!$A:$L,10, FALSE)</f>
        <v>0</v>
      </c>
      <c r="I1691" s="22" t="str">
        <f>VLOOKUP($A1691, 'Medical Examinations'!$A:$J, 9, FALSE)</f>
        <v>No</v>
      </c>
      <c r="J1691" s="22" t="str">
        <f>VLOOKUP($A1691, 'Medical Examinations'!$A:$P, 11, FALSE)</f>
        <v>NORMAL WEIGHT</v>
      </c>
      <c r="K1691" s="34">
        <v>36740.0</v>
      </c>
      <c r="L1691" s="35">
        <f>VLOOKUP($A1691, 'Hospitalisation Details'!$A:$H, 7, FALSE)</f>
        <v>5539.4</v>
      </c>
      <c r="M1691" s="22" t="str">
        <f>VLOOKUP($A1691, 'Hospitalisation Details'!$A:$L, 12, FALSE)</f>
        <v>tier - 2</v>
      </c>
      <c r="N1691" s="22" t="str">
        <f>VLOOKUP($A1691, 'Hospitalisation Details'!$A:$M, 13, FALSE)</f>
        <v>tier - 2</v>
      </c>
      <c r="O1691" s="22" t="str">
        <f>VLOOKUP($A1691, 'Hospitalisation Details'!$A:$N, 14, FALSE)</f>
        <v>R1013</v>
      </c>
      <c r="P1691" s="36">
        <f>VLOOKUP($A1691, 'Hospitalisation Details'!$A:$O, 15, FALSE)</f>
        <v>41</v>
      </c>
    </row>
    <row r="1692" ht="15.75" customHeight="1">
      <c r="A1692" s="33" t="s">
        <v>3383</v>
      </c>
      <c r="B1692" s="22" t="str">
        <f>VLOOKUP($A1692,'Customer Names'!$A:$D,3, FALSE)</f>
        <v>Findlay</v>
      </c>
      <c r="C1692" s="22">
        <f>VLOOKUP($A1692,'Medical Examinations'!$A:$D, 2, FALSE)</f>
        <v>22.51</v>
      </c>
      <c r="D1692" s="22">
        <f>VLOOKUP($A1692, 'Medical Examinations'!$A:$D,3, FALSE)</f>
        <v>6.08</v>
      </c>
      <c r="E1692" s="22" t="str">
        <f>VLOOKUP($A1692, 'Medical Examinations'!$A:$D, 4, FALSE)</f>
        <v>Yes</v>
      </c>
      <c r="F1692" s="22" t="str">
        <f>VLOOKUP($A1692, 'Medical Examinations'!$A:$J, 5, FALSE)</f>
        <v>No</v>
      </c>
      <c r="G1692" s="22" t="str">
        <f>VLOOKUP($A1692, 'Medical Examinations'!$A:$I, 6, FALSE)</f>
        <v>No</v>
      </c>
      <c r="H1692" s="22">
        <f>VLOOKUP($A1692,'Medical Examinations'!$A:$L,10, FALSE)</f>
        <v>1</v>
      </c>
      <c r="I1692" s="22" t="str">
        <f>VLOOKUP($A1692, 'Medical Examinations'!$A:$J, 9, FALSE)</f>
        <v>No</v>
      </c>
      <c r="J1692" s="22" t="str">
        <f>VLOOKUP($A1692, 'Medical Examinations'!$A:$P, 11, FALSE)</f>
        <v>NORMAL WEIGHT</v>
      </c>
      <c r="K1692" s="34">
        <v>35960.0</v>
      </c>
      <c r="L1692" s="35">
        <f>VLOOKUP($A1692, 'Hospitalisation Details'!$A:$H, 7, FALSE)</f>
        <v>5503.36</v>
      </c>
      <c r="M1692" s="22" t="str">
        <f>VLOOKUP($A1692, 'Hospitalisation Details'!$A:$L, 12, FALSE)</f>
        <v>tier - 2</v>
      </c>
      <c r="N1692" s="22" t="str">
        <f>VLOOKUP($A1692, 'Hospitalisation Details'!$A:$M, 13, FALSE)</f>
        <v>tier - 2</v>
      </c>
      <c r="O1692" s="22" t="str">
        <f>VLOOKUP($A1692, 'Hospitalisation Details'!$A:$N, 14, FALSE)</f>
        <v>R1012</v>
      </c>
      <c r="P1692" s="36">
        <f>VLOOKUP($A1692, 'Hospitalisation Details'!$A:$O, 15, FALSE)</f>
        <v>34</v>
      </c>
    </row>
    <row r="1693" ht="15.75" customHeight="1">
      <c r="A1693" s="33" t="s">
        <v>3385</v>
      </c>
      <c r="B1693" s="22" t="str">
        <f>VLOOKUP($A1693,'Customer Names'!$A:$D,3, FALSE)</f>
        <v>Strasburg</v>
      </c>
      <c r="C1693" s="22">
        <f>VLOOKUP($A1693,'Medical Examinations'!$A:$D, 2, FALSE)</f>
        <v>31</v>
      </c>
      <c r="D1693" s="22">
        <f>VLOOKUP($A1693, 'Medical Examinations'!$A:$D,3, FALSE)</f>
        <v>4.77</v>
      </c>
      <c r="E1693" s="22" t="str">
        <f>VLOOKUP($A1693, 'Medical Examinations'!$A:$D, 4, FALSE)</f>
        <v>No</v>
      </c>
      <c r="F1693" s="22" t="str">
        <f>VLOOKUP($A1693, 'Medical Examinations'!$A:$J, 5, FALSE)</f>
        <v>No</v>
      </c>
      <c r="G1693" s="22" t="str">
        <f>VLOOKUP($A1693, 'Medical Examinations'!$A:$I, 6, FALSE)</f>
        <v>No</v>
      </c>
      <c r="H1693" s="22">
        <f>VLOOKUP($A1693,'Medical Examinations'!$A:$L,10, FALSE)</f>
        <v>1</v>
      </c>
      <c r="I1693" s="22" t="str">
        <f>VLOOKUP($A1693, 'Medical Examinations'!$A:$J, 9, FALSE)</f>
        <v>No</v>
      </c>
      <c r="J1693" s="22" t="str">
        <f>VLOOKUP($A1693, 'Medical Examinations'!$A:$P, 11, FALSE)</f>
        <v>OBESITY</v>
      </c>
      <c r="K1693" s="34">
        <v>35037.0</v>
      </c>
      <c r="L1693" s="35">
        <f>VLOOKUP($A1693, 'Hospitalisation Details'!$A:$H, 7, FALSE)</f>
        <v>5488.26</v>
      </c>
      <c r="M1693" s="22" t="str">
        <f>VLOOKUP($A1693, 'Hospitalisation Details'!$A:$L, 12, FALSE)</f>
        <v>tier - 2</v>
      </c>
      <c r="N1693" s="22" t="str">
        <f>VLOOKUP($A1693, 'Hospitalisation Details'!$A:$M, 13, FALSE)</f>
        <v>tier - 3</v>
      </c>
      <c r="O1693" s="22" t="str">
        <f>VLOOKUP($A1693, 'Hospitalisation Details'!$A:$N, 14, FALSE)</f>
        <v>R1011</v>
      </c>
      <c r="P1693" s="36">
        <f>VLOOKUP($A1693, 'Hospitalisation Details'!$A:$O, 15, FALSE)</f>
        <v>38</v>
      </c>
    </row>
    <row r="1694" ht="15.75" customHeight="1">
      <c r="A1694" s="33" t="s">
        <v>3387</v>
      </c>
      <c r="B1694" s="22" t="str">
        <f>VLOOKUP($A1694,'Customer Names'!$A:$D,3, FALSE)</f>
        <v>Adams</v>
      </c>
      <c r="C1694" s="22">
        <f>VLOOKUP($A1694,'Medical Examinations'!$A:$D, 2, FALSE)</f>
        <v>28.27</v>
      </c>
      <c r="D1694" s="22">
        <f>VLOOKUP($A1694, 'Medical Examinations'!$A:$D,3, FALSE)</f>
        <v>4.62</v>
      </c>
      <c r="E1694" s="22" t="str">
        <f>VLOOKUP($A1694, 'Medical Examinations'!$A:$D, 4, FALSE)</f>
        <v>No</v>
      </c>
      <c r="F1694" s="22" t="str">
        <f>VLOOKUP($A1694, 'Medical Examinations'!$A:$J, 5, FALSE)</f>
        <v>No</v>
      </c>
      <c r="G1694" s="22" t="str">
        <f>VLOOKUP($A1694, 'Medical Examinations'!$A:$I, 6, FALSE)</f>
        <v>No</v>
      </c>
      <c r="H1694" s="22">
        <f>VLOOKUP($A1694,'Medical Examinations'!$A:$L,10, FALSE)</f>
        <v>1</v>
      </c>
      <c r="I1694" s="22" t="str">
        <f>VLOOKUP($A1694, 'Medical Examinations'!$A:$J, 9, FALSE)</f>
        <v>No</v>
      </c>
      <c r="J1694" s="22" t="str">
        <f>VLOOKUP($A1694, 'Medical Examinations'!$A:$P, 11, FALSE)</f>
        <v>OVERWEIGHT</v>
      </c>
      <c r="K1694" s="34">
        <v>27712.0</v>
      </c>
      <c r="L1694" s="35">
        <f>VLOOKUP($A1694, 'Hospitalisation Details'!$A:$H, 7, FALSE)</f>
        <v>5484.47</v>
      </c>
      <c r="M1694" s="22" t="str">
        <f>VLOOKUP($A1694, 'Hospitalisation Details'!$A:$L, 12, FALSE)</f>
        <v>tier - 2</v>
      </c>
      <c r="N1694" s="22" t="str">
        <f>VLOOKUP($A1694, 'Hospitalisation Details'!$A:$M, 13, FALSE)</f>
        <v>tier - 2</v>
      </c>
      <c r="O1694" s="22" t="str">
        <f>VLOOKUP($A1694, 'Hospitalisation Details'!$A:$N, 14, FALSE)</f>
        <v>R1013</v>
      </c>
      <c r="P1694" s="36">
        <f>VLOOKUP($A1694, 'Hospitalisation Details'!$A:$O, 15, FALSE)</f>
        <v>38</v>
      </c>
    </row>
    <row r="1695" ht="15.75" customHeight="1">
      <c r="A1695" s="33" t="s">
        <v>3389</v>
      </c>
      <c r="B1695" s="22" t="str">
        <f>VLOOKUP($A1695,'Customer Names'!$A:$D,3, FALSE)</f>
        <v>Deeter</v>
      </c>
      <c r="C1695" s="22">
        <f>VLOOKUP($A1695,'Medical Examinations'!$A:$D, 2, FALSE)</f>
        <v>29.92</v>
      </c>
      <c r="D1695" s="22">
        <f>VLOOKUP($A1695, 'Medical Examinations'!$A:$D,3, FALSE)</f>
        <v>9.07</v>
      </c>
      <c r="E1695" s="22" t="str">
        <f>VLOOKUP($A1695, 'Medical Examinations'!$A:$D, 4, FALSE)</f>
        <v>Yes</v>
      </c>
      <c r="F1695" s="22" t="str">
        <f>VLOOKUP($A1695, 'Medical Examinations'!$A:$J, 5, FALSE)</f>
        <v>No</v>
      </c>
      <c r="G1695" s="22" t="str">
        <f>VLOOKUP($A1695, 'Medical Examinations'!$A:$I, 6, FALSE)</f>
        <v>No</v>
      </c>
      <c r="H1695" s="22">
        <f>VLOOKUP($A1695,'Medical Examinations'!$A:$L,10, FALSE)</f>
        <v>1</v>
      </c>
      <c r="I1695" s="22" t="str">
        <f>VLOOKUP($A1695, 'Medical Examinations'!$A:$J, 9, FALSE)</f>
        <v>No</v>
      </c>
      <c r="J1695" s="22" t="str">
        <f>VLOOKUP($A1695, 'Medical Examinations'!$A:$P, 11, FALSE)</f>
        <v>OBESITY</v>
      </c>
      <c r="K1695" s="34">
        <v>31942.0</v>
      </c>
      <c r="L1695" s="35">
        <f>VLOOKUP($A1695, 'Hospitalisation Details'!$A:$H, 7, FALSE)</f>
        <v>5478.04</v>
      </c>
      <c r="M1695" s="22" t="str">
        <f>VLOOKUP($A1695, 'Hospitalisation Details'!$A:$L, 12, FALSE)</f>
        <v>tier - 2</v>
      </c>
      <c r="N1695" s="22" t="str">
        <f>VLOOKUP($A1695, 'Hospitalisation Details'!$A:$M, 13, FALSE)</f>
        <v>tier - 3</v>
      </c>
      <c r="O1695" s="22" t="str">
        <f>VLOOKUP($A1695, 'Hospitalisation Details'!$A:$N, 14, FALSE)</f>
        <v>R1013</v>
      </c>
      <c r="P1695" s="36">
        <f>VLOOKUP($A1695, 'Hospitalisation Details'!$A:$O, 15, FALSE)</f>
        <v>36</v>
      </c>
    </row>
    <row r="1696" ht="15.75" customHeight="1">
      <c r="A1696" s="33" t="s">
        <v>3391</v>
      </c>
      <c r="B1696" s="22" t="str">
        <f>VLOOKUP($A1696,'Customer Names'!$A:$D,3, FALSE)</f>
        <v>Arpin</v>
      </c>
      <c r="C1696" s="22">
        <f>VLOOKUP($A1696,'Medical Examinations'!$A:$D, 2, FALSE)</f>
        <v>25.9</v>
      </c>
      <c r="D1696" s="22">
        <f>VLOOKUP($A1696, 'Medical Examinations'!$A:$D,3, FALSE)</f>
        <v>9.12</v>
      </c>
      <c r="E1696" s="22" t="str">
        <f>VLOOKUP($A1696, 'Medical Examinations'!$A:$D, 4, FALSE)</f>
        <v>Yes</v>
      </c>
      <c r="F1696" s="22" t="str">
        <f>VLOOKUP($A1696, 'Medical Examinations'!$A:$J, 5, FALSE)</f>
        <v>No</v>
      </c>
      <c r="G1696" s="22" t="str">
        <f>VLOOKUP($A1696, 'Medical Examinations'!$A:$I, 6, FALSE)</f>
        <v>No</v>
      </c>
      <c r="H1696" s="22">
        <f>VLOOKUP($A1696,'Medical Examinations'!$A:$L,10, FALSE)</f>
        <v>1</v>
      </c>
      <c r="I1696" s="22" t="str">
        <f>VLOOKUP($A1696, 'Medical Examinations'!$A:$J, 9, FALSE)</f>
        <v>No</v>
      </c>
      <c r="J1696" s="22" t="str">
        <f>VLOOKUP($A1696, 'Medical Examinations'!$A:$P, 11, FALSE)</f>
        <v>OVERWEIGHT</v>
      </c>
      <c r="K1696" s="34">
        <v>25407.0</v>
      </c>
      <c r="L1696" s="35">
        <f>VLOOKUP($A1696, 'Hospitalisation Details'!$A:$H, 7, FALSE)</f>
        <v>5472.45</v>
      </c>
      <c r="M1696" s="22" t="str">
        <f>VLOOKUP($A1696, 'Hospitalisation Details'!$A:$L, 12, FALSE)</f>
        <v>tier - 2</v>
      </c>
      <c r="N1696" s="22" t="str">
        <f>VLOOKUP($A1696, 'Hospitalisation Details'!$A:$M, 13, FALSE)</f>
        <v>tier - 3</v>
      </c>
      <c r="O1696" s="22" t="str">
        <f>VLOOKUP($A1696, 'Hospitalisation Details'!$A:$N, 14, FALSE)</f>
        <v>R1011</v>
      </c>
      <c r="P1696" s="36">
        <f>VLOOKUP($A1696, 'Hospitalisation Details'!$A:$O, 15, FALSE)</f>
        <v>36</v>
      </c>
    </row>
    <row r="1697" ht="15.75" customHeight="1">
      <c r="A1697" s="33" t="s">
        <v>3393</v>
      </c>
      <c r="B1697" s="22" t="str">
        <f>VLOOKUP($A1697,'Customer Names'!$A:$D,3, FALSE)</f>
        <v>Schoeneck</v>
      </c>
      <c r="C1697" s="22">
        <f>VLOOKUP($A1697,'Medical Examinations'!$A:$D, 2, FALSE)</f>
        <v>27.74</v>
      </c>
      <c r="D1697" s="22">
        <f>VLOOKUP($A1697, 'Medical Examinations'!$A:$D,3, FALSE)</f>
        <v>7.32</v>
      </c>
      <c r="E1697" s="22" t="str">
        <f>VLOOKUP($A1697, 'Medical Examinations'!$A:$D, 4, FALSE)</f>
        <v>Yes</v>
      </c>
      <c r="F1697" s="22" t="str">
        <f>VLOOKUP($A1697, 'Medical Examinations'!$A:$J, 5, FALSE)</f>
        <v>No</v>
      </c>
      <c r="G1697" s="22" t="str">
        <f>VLOOKUP($A1697, 'Medical Examinations'!$A:$I, 6, FALSE)</f>
        <v>No</v>
      </c>
      <c r="H1697" s="22">
        <f>VLOOKUP($A1697,'Medical Examinations'!$A:$L,10, FALSE)</f>
        <v>1</v>
      </c>
      <c r="I1697" s="22" t="str">
        <f>VLOOKUP($A1697, 'Medical Examinations'!$A:$J, 9, FALSE)</f>
        <v>No</v>
      </c>
      <c r="J1697" s="22" t="str">
        <f>VLOOKUP($A1697, 'Medical Examinations'!$A:$P, 11, FALSE)</f>
        <v>OVERWEIGHT</v>
      </c>
      <c r="K1697" s="34">
        <v>25898.0</v>
      </c>
      <c r="L1697" s="35">
        <f>VLOOKUP($A1697, 'Hospitalisation Details'!$A:$H, 7, FALSE)</f>
        <v>5469.01</v>
      </c>
      <c r="M1697" s="22" t="str">
        <f>VLOOKUP($A1697, 'Hospitalisation Details'!$A:$L, 12, FALSE)</f>
        <v>tier - 2</v>
      </c>
      <c r="N1697" s="22" t="str">
        <f>VLOOKUP($A1697, 'Hospitalisation Details'!$A:$M, 13, FALSE)</f>
        <v>tier - 2</v>
      </c>
      <c r="O1697" s="22" t="str">
        <f>VLOOKUP($A1697, 'Hospitalisation Details'!$A:$N, 14, FALSE)</f>
        <v>R1024</v>
      </c>
      <c r="P1697" s="36">
        <f>VLOOKUP($A1697, 'Hospitalisation Details'!$A:$O, 15, FALSE)</f>
        <v>36</v>
      </c>
    </row>
    <row r="1698" ht="15.75" customHeight="1">
      <c r="A1698" s="33" t="s">
        <v>3395</v>
      </c>
      <c r="B1698" s="22" t="str">
        <f>VLOOKUP($A1698,'Customer Names'!$A:$D,3, FALSE)</f>
        <v>Mueller</v>
      </c>
      <c r="C1698" s="22">
        <f>VLOOKUP($A1698,'Medical Examinations'!$A:$D, 2, FALSE)</f>
        <v>17.26</v>
      </c>
      <c r="D1698" s="22">
        <f>VLOOKUP($A1698, 'Medical Examinations'!$A:$D,3, FALSE)</f>
        <v>11.73</v>
      </c>
      <c r="E1698" s="22" t="str">
        <f>VLOOKUP($A1698, 'Medical Examinations'!$A:$D, 4, FALSE)</f>
        <v>No</v>
      </c>
      <c r="F1698" s="22" t="str">
        <f>VLOOKUP($A1698, 'Medical Examinations'!$A:$J, 5, FALSE)</f>
        <v>No</v>
      </c>
      <c r="G1698" s="22" t="str">
        <f>VLOOKUP($A1698, 'Medical Examinations'!$A:$I, 6, FALSE)</f>
        <v>No</v>
      </c>
      <c r="H1698" s="22">
        <f>VLOOKUP($A1698,'Medical Examinations'!$A:$L,10, FALSE)</f>
        <v>2</v>
      </c>
      <c r="I1698" s="22" t="str">
        <f>VLOOKUP($A1698, 'Medical Examinations'!$A:$J, 9, FALSE)</f>
        <v>No</v>
      </c>
      <c r="J1698" s="22" t="str">
        <f>VLOOKUP($A1698, 'Medical Examinations'!$A:$P, 11, FALSE)</f>
        <v>UNDERWEIGHT</v>
      </c>
      <c r="K1698" s="34">
        <v>34860.0</v>
      </c>
      <c r="L1698" s="35">
        <f>VLOOKUP($A1698, 'Hospitalisation Details'!$A:$H, 7, FALSE)</f>
        <v>5466.88</v>
      </c>
      <c r="M1698" s="22" t="str">
        <f>VLOOKUP($A1698, 'Hospitalisation Details'!$A:$L, 12, FALSE)</f>
        <v>tier - 2</v>
      </c>
      <c r="N1698" s="22" t="str">
        <f>VLOOKUP($A1698, 'Hospitalisation Details'!$A:$M, 13, FALSE)</f>
        <v>tier - 2</v>
      </c>
      <c r="O1698" s="22" t="str">
        <f>VLOOKUP($A1698, 'Hospitalisation Details'!$A:$N, 14, FALSE)</f>
        <v>R1013</v>
      </c>
      <c r="P1698" s="36">
        <f>VLOOKUP($A1698, 'Hospitalisation Details'!$A:$O, 15, FALSE)</f>
        <v>49</v>
      </c>
    </row>
    <row r="1699" ht="15.75" customHeight="1">
      <c r="A1699" s="33" t="s">
        <v>3397</v>
      </c>
      <c r="B1699" s="22" t="str">
        <f>VLOOKUP($A1699,'Customer Names'!$A:$D,3, FALSE)</f>
        <v>Willits</v>
      </c>
      <c r="C1699" s="22">
        <f>VLOOKUP($A1699,'Medical Examinations'!$A:$D, 2, FALSE)</f>
        <v>19.855</v>
      </c>
      <c r="D1699" s="22">
        <f>VLOOKUP($A1699, 'Medical Examinations'!$A:$D,3, FALSE)</f>
        <v>6.64</v>
      </c>
      <c r="E1699" s="22" t="str">
        <f>VLOOKUP($A1699, 'Medical Examinations'!$A:$D, 4, FALSE)</f>
        <v>Yes</v>
      </c>
      <c r="F1699" s="22" t="str">
        <f>VLOOKUP($A1699, 'Medical Examinations'!$A:$J, 5, FALSE)</f>
        <v>No</v>
      </c>
      <c r="G1699" s="22" t="str">
        <f>VLOOKUP($A1699, 'Medical Examinations'!$A:$I, 6, FALSE)</f>
        <v>No</v>
      </c>
      <c r="H1699" s="22">
        <f>VLOOKUP($A1699,'Medical Examinations'!$A:$L,10, FALSE)</f>
        <v>1</v>
      </c>
      <c r="I1699" s="22" t="str">
        <f>VLOOKUP($A1699, 'Medical Examinations'!$A:$J, 9, FALSE)</f>
        <v>No</v>
      </c>
      <c r="J1699" s="22" t="str">
        <f>VLOOKUP($A1699, 'Medical Examinations'!$A:$P, 11, FALSE)</f>
        <v>NORMAL WEIGHT</v>
      </c>
      <c r="K1699" s="34">
        <v>34586.0</v>
      </c>
      <c r="L1699" s="35">
        <f>VLOOKUP($A1699, 'Hospitalisation Details'!$A:$H, 7, FALSE)</f>
        <v>5458.05</v>
      </c>
      <c r="M1699" s="22" t="str">
        <f>VLOOKUP($A1699, 'Hospitalisation Details'!$A:$L, 12, FALSE)</f>
        <v>tier - 2</v>
      </c>
      <c r="N1699" s="22" t="str">
        <f>VLOOKUP($A1699, 'Hospitalisation Details'!$A:$M, 13, FALSE)</f>
        <v>tier - 2</v>
      </c>
      <c r="O1699" s="22" t="str">
        <f>VLOOKUP($A1699, 'Hospitalisation Details'!$A:$N, 14, FALSE)</f>
        <v>R1024</v>
      </c>
      <c r="P1699" s="36">
        <f>VLOOKUP($A1699, 'Hospitalisation Details'!$A:$O, 15, FALSE)</f>
        <v>36</v>
      </c>
    </row>
    <row r="1700" ht="15.75" customHeight="1">
      <c r="A1700" s="33" t="s">
        <v>3399</v>
      </c>
      <c r="B1700" s="22" t="str">
        <f>VLOOKUP($A1700,'Customer Names'!$A:$D,3, FALSE)</f>
        <v>Syring</v>
      </c>
      <c r="C1700" s="22">
        <f>VLOOKUP($A1700,'Medical Examinations'!$A:$D, 2, FALSE)</f>
        <v>41.69</v>
      </c>
      <c r="D1700" s="22">
        <f>VLOOKUP($A1700, 'Medical Examinations'!$A:$D,3, FALSE)</f>
        <v>5.78</v>
      </c>
      <c r="E1700" s="22" t="str">
        <f>VLOOKUP($A1700, 'Medical Examinations'!$A:$D, 4, FALSE)</f>
        <v>No</v>
      </c>
      <c r="F1700" s="22" t="str">
        <f>VLOOKUP($A1700, 'Medical Examinations'!$A:$J, 5, FALSE)</f>
        <v>No</v>
      </c>
      <c r="G1700" s="22" t="str">
        <f>VLOOKUP($A1700, 'Medical Examinations'!$A:$I, 6, FALSE)</f>
        <v>No</v>
      </c>
      <c r="H1700" s="22">
        <f>VLOOKUP($A1700,'Medical Examinations'!$A:$L,10, FALSE)</f>
        <v>0</v>
      </c>
      <c r="I1700" s="22" t="str">
        <f>VLOOKUP($A1700, 'Medical Examinations'!$A:$J, 9, FALSE)</f>
        <v>No</v>
      </c>
      <c r="J1700" s="22" t="str">
        <f>VLOOKUP($A1700, 'Medical Examinations'!$A:$P, 11, FALSE)</f>
        <v>OBESITY</v>
      </c>
      <c r="K1700" s="34">
        <v>33888.0</v>
      </c>
      <c r="L1700" s="35">
        <f>VLOOKUP($A1700, 'Hospitalisation Details'!$A:$H, 7, FALSE)</f>
        <v>5438.75</v>
      </c>
      <c r="M1700" s="22" t="str">
        <f>VLOOKUP($A1700, 'Hospitalisation Details'!$A:$L, 12, FALSE)</f>
        <v>tier - 3</v>
      </c>
      <c r="N1700" s="22" t="str">
        <f>VLOOKUP($A1700, 'Hospitalisation Details'!$A:$M, 13, FALSE)</f>
        <v>tier - 2</v>
      </c>
      <c r="O1700" s="22" t="str">
        <f>VLOOKUP($A1700, 'Hospitalisation Details'!$A:$N, 14, FALSE)</f>
        <v>R1013</v>
      </c>
      <c r="P1700" s="36">
        <f>VLOOKUP($A1700, 'Hospitalisation Details'!$A:$O, 15, FALSE)</f>
        <v>40</v>
      </c>
    </row>
    <row r="1701" ht="15.75" customHeight="1">
      <c r="A1701" s="33" t="s">
        <v>3401</v>
      </c>
      <c r="B1701" s="22" t="str">
        <f>VLOOKUP($A1701,'Customer Names'!$A:$D,3, FALSE)</f>
        <v>Strike</v>
      </c>
      <c r="C1701" s="22">
        <f>VLOOKUP($A1701,'Medical Examinations'!$A:$D, 2, FALSE)</f>
        <v>16.12</v>
      </c>
      <c r="D1701" s="22">
        <f>VLOOKUP($A1701, 'Medical Examinations'!$A:$D,3, FALSE)</f>
        <v>10.45</v>
      </c>
      <c r="E1701" s="22" t="str">
        <f>VLOOKUP($A1701, 'Medical Examinations'!$A:$D, 4, FALSE)</f>
        <v>No</v>
      </c>
      <c r="F1701" s="22" t="str">
        <f>VLOOKUP($A1701, 'Medical Examinations'!$A:$J, 5, FALSE)</f>
        <v>No</v>
      </c>
      <c r="G1701" s="22" t="str">
        <f>VLOOKUP($A1701, 'Medical Examinations'!$A:$I, 6, FALSE)</f>
        <v>No</v>
      </c>
      <c r="H1701" s="22">
        <f>VLOOKUP($A1701,'Medical Examinations'!$A:$L,10, FALSE)</f>
        <v>0</v>
      </c>
      <c r="I1701" s="22" t="str">
        <f>VLOOKUP($A1701, 'Medical Examinations'!$A:$J, 9, FALSE)</f>
        <v>No</v>
      </c>
      <c r="J1701" s="22" t="str">
        <f>VLOOKUP($A1701, 'Medical Examinations'!$A:$P, 11, FALSE)</f>
        <v>UNDERWEIGHT</v>
      </c>
      <c r="K1701" s="34">
        <v>35305.0</v>
      </c>
      <c r="L1701" s="35">
        <f>VLOOKUP($A1701, 'Hospitalisation Details'!$A:$H, 7, FALSE)</f>
        <v>5428.98</v>
      </c>
      <c r="M1701" s="22" t="str">
        <f>VLOOKUP($A1701, 'Hospitalisation Details'!$A:$L, 12, FALSE)</f>
        <v>tier - 2</v>
      </c>
      <c r="N1701" s="22" t="str">
        <f>VLOOKUP($A1701, 'Hospitalisation Details'!$A:$M, 13, FALSE)</f>
        <v>tier - 2</v>
      </c>
      <c r="O1701" s="22" t="str">
        <f>VLOOKUP($A1701, 'Hospitalisation Details'!$A:$N, 14, FALSE)</f>
        <v>R1012</v>
      </c>
      <c r="P1701" s="36">
        <f>VLOOKUP($A1701, 'Hospitalisation Details'!$A:$O, 15, FALSE)</f>
        <v>45</v>
      </c>
    </row>
    <row r="1702" ht="15.75" customHeight="1">
      <c r="A1702" s="33" t="s">
        <v>3403</v>
      </c>
      <c r="B1702" s="22" t="str">
        <f>VLOOKUP($A1702,'Customer Names'!$A:$D,3, FALSE)</f>
        <v>Hennigar</v>
      </c>
      <c r="C1702" s="22">
        <f>VLOOKUP($A1702,'Medical Examinations'!$A:$D, 2, FALSE)</f>
        <v>37.43</v>
      </c>
      <c r="D1702" s="22">
        <f>VLOOKUP($A1702, 'Medical Examinations'!$A:$D,3, FALSE)</f>
        <v>4.52</v>
      </c>
      <c r="E1702" s="22" t="str">
        <f>VLOOKUP($A1702, 'Medical Examinations'!$A:$D, 4, FALSE)</f>
        <v>No</v>
      </c>
      <c r="F1702" s="22" t="str">
        <f>VLOOKUP($A1702, 'Medical Examinations'!$A:$J, 5, FALSE)</f>
        <v>No</v>
      </c>
      <c r="G1702" s="22" t="str">
        <f>VLOOKUP($A1702, 'Medical Examinations'!$A:$I, 6, FALSE)</f>
        <v>No</v>
      </c>
      <c r="H1702" s="22">
        <f>VLOOKUP($A1702,'Medical Examinations'!$A:$L,10, FALSE)</f>
        <v>1</v>
      </c>
      <c r="I1702" s="22" t="str">
        <f>VLOOKUP($A1702, 'Medical Examinations'!$A:$J, 9, FALSE)</f>
        <v>No</v>
      </c>
      <c r="J1702" s="22" t="str">
        <f>VLOOKUP($A1702, 'Medical Examinations'!$A:$P, 11, FALSE)</f>
        <v>OBESITY</v>
      </c>
      <c r="K1702" s="34">
        <v>24729.0</v>
      </c>
      <c r="L1702" s="35">
        <f>VLOOKUP($A1702, 'Hospitalisation Details'!$A:$H, 7, FALSE)</f>
        <v>5428.73</v>
      </c>
      <c r="M1702" s="22" t="str">
        <f>VLOOKUP($A1702, 'Hospitalisation Details'!$A:$L, 12, FALSE)</f>
        <v>tier - 3</v>
      </c>
      <c r="N1702" s="22" t="str">
        <f>VLOOKUP($A1702, 'Hospitalisation Details'!$A:$M, 13, FALSE)</f>
        <v>tier - 1</v>
      </c>
      <c r="O1702" s="22" t="str">
        <f>VLOOKUP($A1702, 'Hospitalisation Details'!$A:$N, 14, FALSE)</f>
        <v>R1017</v>
      </c>
      <c r="P1702" s="36">
        <f>VLOOKUP($A1702, 'Hospitalisation Details'!$A:$O, 15, FALSE)</f>
        <v>30</v>
      </c>
    </row>
    <row r="1703" ht="15.75" customHeight="1">
      <c r="A1703" s="33" t="s">
        <v>3405</v>
      </c>
      <c r="B1703" s="22" t="str">
        <f>VLOOKUP($A1703,'Customer Names'!$A:$D,3, FALSE)</f>
        <v>May</v>
      </c>
      <c r="C1703" s="22">
        <f>VLOOKUP($A1703,'Medical Examinations'!$A:$D, 2, FALSE)</f>
        <v>31.065</v>
      </c>
      <c r="D1703" s="22">
        <f>VLOOKUP($A1703, 'Medical Examinations'!$A:$D,3, FALSE)</f>
        <v>5.71</v>
      </c>
      <c r="E1703" s="22" t="str">
        <f>VLOOKUP($A1703, 'Medical Examinations'!$A:$D, 4, FALSE)</f>
        <v>No</v>
      </c>
      <c r="F1703" s="22" t="str">
        <f>VLOOKUP($A1703, 'Medical Examinations'!$A:$J, 5, FALSE)</f>
        <v>No</v>
      </c>
      <c r="G1703" s="22" t="str">
        <f>VLOOKUP($A1703, 'Medical Examinations'!$A:$I, 6, FALSE)</f>
        <v>No</v>
      </c>
      <c r="H1703" s="22">
        <f>VLOOKUP($A1703,'Medical Examinations'!$A:$L,10, FALSE)</f>
        <v>0</v>
      </c>
      <c r="I1703" s="22" t="str">
        <f>VLOOKUP($A1703, 'Medical Examinations'!$A:$J, 9, FALSE)</f>
        <v>No</v>
      </c>
      <c r="J1703" s="22" t="str">
        <f>VLOOKUP($A1703, 'Medical Examinations'!$A:$P, 11, FALSE)</f>
        <v>OBESITY</v>
      </c>
      <c r="K1703" s="34">
        <v>25731.0</v>
      </c>
      <c r="L1703" s="35">
        <f>VLOOKUP($A1703, 'Hospitalisation Details'!$A:$H, 7, FALSE)</f>
        <v>5425.02</v>
      </c>
      <c r="M1703" s="22" t="str">
        <f>VLOOKUP($A1703, 'Hospitalisation Details'!$A:$L, 12, FALSE)</f>
        <v>tier - 2</v>
      </c>
      <c r="N1703" s="22" t="str">
        <f>VLOOKUP($A1703, 'Hospitalisation Details'!$A:$M, 13, FALSE)</f>
        <v>tier - 1</v>
      </c>
      <c r="O1703" s="22" t="str">
        <f>VLOOKUP($A1703, 'Hospitalisation Details'!$A:$N, 14, FALSE)</f>
        <v>R1012</v>
      </c>
      <c r="P1703" s="36">
        <f>VLOOKUP($A1703, 'Hospitalisation Details'!$A:$O, 15, FALSE)</f>
        <v>31</v>
      </c>
    </row>
    <row r="1704" ht="15.75" customHeight="1">
      <c r="A1704" s="33" t="s">
        <v>3407</v>
      </c>
      <c r="B1704" s="22" t="str">
        <f>VLOOKUP($A1704,'Customer Names'!$A:$D,3, FALSE)</f>
        <v>Metcalf</v>
      </c>
      <c r="C1704" s="22">
        <f>VLOOKUP($A1704,'Medical Examinations'!$A:$D, 2, FALSE)</f>
        <v>25.08</v>
      </c>
      <c r="D1704" s="22">
        <f>VLOOKUP($A1704, 'Medical Examinations'!$A:$D,3, FALSE)</f>
        <v>4.77</v>
      </c>
      <c r="E1704" s="22" t="str">
        <f>VLOOKUP($A1704, 'Medical Examinations'!$A:$D, 4, FALSE)</f>
        <v>No</v>
      </c>
      <c r="F1704" s="22" t="str">
        <f>VLOOKUP($A1704, 'Medical Examinations'!$A:$J, 5, FALSE)</f>
        <v>No</v>
      </c>
      <c r="G1704" s="22" t="str">
        <f>VLOOKUP($A1704, 'Medical Examinations'!$A:$I, 6, FALSE)</f>
        <v>No</v>
      </c>
      <c r="H1704" s="22">
        <f>VLOOKUP($A1704,'Medical Examinations'!$A:$L,10, FALSE)</f>
        <v>0</v>
      </c>
      <c r="I1704" s="22" t="str">
        <f>VLOOKUP($A1704, 'Medical Examinations'!$A:$J, 9, FALSE)</f>
        <v>No</v>
      </c>
      <c r="J1704" s="22" t="str">
        <f>VLOOKUP($A1704, 'Medical Examinations'!$A:$P, 11, FALSE)</f>
        <v>OVERWEIGHT</v>
      </c>
      <c r="K1704" s="34">
        <v>28045.0</v>
      </c>
      <c r="L1704" s="35">
        <f>VLOOKUP($A1704, 'Hospitalisation Details'!$A:$H, 7, FALSE)</f>
        <v>5415.66</v>
      </c>
      <c r="M1704" s="22" t="str">
        <f>VLOOKUP($A1704, 'Hospitalisation Details'!$A:$L, 12, FALSE)</f>
        <v>tier - 2</v>
      </c>
      <c r="N1704" s="22" t="str">
        <f>VLOOKUP($A1704, 'Hospitalisation Details'!$A:$M, 13, FALSE)</f>
        <v>tier - 3</v>
      </c>
      <c r="O1704" s="22" t="str">
        <f>VLOOKUP($A1704, 'Hospitalisation Details'!$A:$N, 14, FALSE)</f>
        <v>R1013</v>
      </c>
      <c r="P1704" s="36">
        <f>VLOOKUP($A1704, 'Hospitalisation Details'!$A:$O, 15, FALSE)</f>
        <v>40</v>
      </c>
    </row>
    <row r="1705" ht="15.75" customHeight="1">
      <c r="A1705" s="33" t="s">
        <v>3409</v>
      </c>
      <c r="B1705" s="22" t="str">
        <f>VLOOKUP($A1705,'Customer Names'!$A:$D,3, FALSE)</f>
        <v>Tiska</v>
      </c>
      <c r="C1705" s="22">
        <f>VLOOKUP($A1705,'Medical Examinations'!$A:$D, 2, FALSE)</f>
        <v>15.2</v>
      </c>
      <c r="D1705" s="22">
        <f>VLOOKUP($A1705, 'Medical Examinations'!$A:$D,3, FALSE)</f>
        <v>7.81</v>
      </c>
      <c r="E1705" s="22" t="str">
        <f>VLOOKUP($A1705, 'Medical Examinations'!$A:$D, 4, FALSE)</f>
        <v>Yes</v>
      </c>
      <c r="F1705" s="22" t="str">
        <f>VLOOKUP($A1705, 'Medical Examinations'!$A:$J, 5, FALSE)</f>
        <v>No</v>
      </c>
      <c r="G1705" s="22" t="str">
        <f>VLOOKUP($A1705, 'Medical Examinations'!$A:$I, 6, FALSE)</f>
        <v>No</v>
      </c>
      <c r="H1705" s="22">
        <f>VLOOKUP($A1705,'Medical Examinations'!$A:$L,10, FALSE)</f>
        <v>1</v>
      </c>
      <c r="I1705" s="22" t="str">
        <f>VLOOKUP($A1705, 'Medical Examinations'!$A:$J, 9, FALSE)</f>
        <v>No</v>
      </c>
      <c r="J1705" s="22" t="str">
        <f>VLOOKUP($A1705, 'Medical Examinations'!$A:$P, 11, FALSE)</f>
        <v>UNDERWEIGHT</v>
      </c>
      <c r="K1705" s="34">
        <v>27558.0</v>
      </c>
      <c r="L1705" s="35">
        <f>VLOOKUP($A1705, 'Hospitalisation Details'!$A:$H, 7, FALSE)</f>
        <v>5411.99</v>
      </c>
      <c r="M1705" s="22" t="str">
        <f>VLOOKUP($A1705, 'Hospitalisation Details'!$A:$L, 12, FALSE)</f>
        <v>tier - 2</v>
      </c>
      <c r="N1705" s="22" t="str">
        <f>VLOOKUP($A1705, 'Hospitalisation Details'!$A:$M, 13, FALSE)</f>
        <v>tier - 3</v>
      </c>
      <c r="O1705" s="22" t="str">
        <f>VLOOKUP($A1705, 'Hospitalisation Details'!$A:$N, 14, FALSE)</f>
        <v>R1012</v>
      </c>
      <c r="P1705" s="36">
        <f>VLOOKUP($A1705, 'Hospitalisation Details'!$A:$O, 15, FALSE)</f>
        <v>47</v>
      </c>
    </row>
    <row r="1706" ht="15.75" customHeight="1">
      <c r="A1706" s="33" t="s">
        <v>3411</v>
      </c>
      <c r="B1706" s="22" t="str">
        <f>VLOOKUP($A1706,'Customer Names'!$A:$D,3, FALSE)</f>
        <v>McDonough</v>
      </c>
      <c r="C1706" s="22">
        <f>VLOOKUP($A1706,'Medical Examinations'!$A:$D, 2, FALSE)</f>
        <v>22.34</v>
      </c>
      <c r="D1706" s="22">
        <f>VLOOKUP($A1706, 'Medical Examinations'!$A:$D,3, FALSE)</f>
        <v>5.19</v>
      </c>
      <c r="E1706" s="22" t="str">
        <f>VLOOKUP($A1706, 'Medical Examinations'!$A:$D, 4, FALSE)</f>
        <v>Yes</v>
      </c>
      <c r="F1706" s="22" t="str">
        <f>VLOOKUP($A1706, 'Medical Examinations'!$A:$J, 5, FALSE)</f>
        <v>No</v>
      </c>
      <c r="G1706" s="22" t="str">
        <f>VLOOKUP($A1706, 'Medical Examinations'!$A:$I, 6, FALSE)</f>
        <v>No</v>
      </c>
      <c r="H1706" s="22">
        <f>VLOOKUP($A1706,'Medical Examinations'!$A:$L,10, FALSE)</f>
        <v>0</v>
      </c>
      <c r="I1706" s="22" t="str">
        <f>VLOOKUP($A1706, 'Medical Examinations'!$A:$J, 9, FALSE)</f>
        <v>No</v>
      </c>
      <c r="J1706" s="22" t="str">
        <f>VLOOKUP($A1706, 'Medical Examinations'!$A:$P, 11, FALSE)</f>
        <v>NORMAL WEIGHT</v>
      </c>
      <c r="K1706" s="34">
        <v>26556.0</v>
      </c>
      <c r="L1706" s="35">
        <f>VLOOKUP($A1706, 'Hospitalisation Details'!$A:$H, 7, FALSE)</f>
        <v>5402.89</v>
      </c>
      <c r="M1706" s="22" t="str">
        <f>VLOOKUP($A1706, 'Hospitalisation Details'!$A:$L, 12, FALSE)</f>
        <v>tier - 2</v>
      </c>
      <c r="N1706" s="22" t="str">
        <f>VLOOKUP($A1706, 'Hospitalisation Details'!$A:$M, 13, FALSE)</f>
        <v>tier - 1</v>
      </c>
      <c r="O1706" s="22" t="str">
        <f>VLOOKUP($A1706, 'Hospitalisation Details'!$A:$N, 14, FALSE)</f>
        <v>R1013</v>
      </c>
      <c r="P1706" s="36">
        <f>VLOOKUP($A1706, 'Hospitalisation Details'!$A:$O, 15, FALSE)</f>
        <v>37</v>
      </c>
    </row>
    <row r="1707" ht="15.75" customHeight="1">
      <c r="A1707" s="33" t="s">
        <v>3413</v>
      </c>
      <c r="B1707" s="22" t="str">
        <f>VLOOKUP($A1707,'Customer Names'!$A:$D,3, FALSE)</f>
        <v>Fairley</v>
      </c>
      <c r="C1707" s="22">
        <f>VLOOKUP($A1707,'Medical Examinations'!$A:$D, 2, FALSE)</f>
        <v>40.15</v>
      </c>
      <c r="D1707" s="22">
        <f>VLOOKUP($A1707, 'Medical Examinations'!$A:$D,3, FALSE)</f>
        <v>5.93</v>
      </c>
      <c r="E1707" s="22" t="str">
        <f>VLOOKUP($A1707, 'Medical Examinations'!$A:$D, 4, FALSE)</f>
        <v>No</v>
      </c>
      <c r="F1707" s="22" t="str">
        <f>VLOOKUP($A1707, 'Medical Examinations'!$A:$J, 5, FALSE)</f>
        <v>No</v>
      </c>
      <c r="G1707" s="22" t="str">
        <f>VLOOKUP($A1707, 'Medical Examinations'!$A:$I, 6, FALSE)</f>
        <v>No</v>
      </c>
      <c r="H1707" s="22">
        <f>VLOOKUP($A1707,'Medical Examinations'!$A:$L,10, FALSE)</f>
        <v>1</v>
      </c>
      <c r="I1707" s="22" t="str">
        <f>VLOOKUP($A1707, 'Medical Examinations'!$A:$J, 9, FALSE)</f>
        <v>No</v>
      </c>
      <c r="J1707" s="22" t="str">
        <f>VLOOKUP($A1707, 'Medical Examinations'!$A:$P, 11, FALSE)</f>
        <v>OBESITY</v>
      </c>
      <c r="K1707" s="34">
        <v>22575.0</v>
      </c>
      <c r="L1707" s="35">
        <f>VLOOKUP($A1707, 'Hospitalisation Details'!$A:$H, 7, FALSE)</f>
        <v>5400.98</v>
      </c>
      <c r="M1707" s="22" t="str">
        <f>VLOOKUP($A1707, 'Hospitalisation Details'!$A:$L, 12, FALSE)</f>
        <v>tier - 2</v>
      </c>
      <c r="N1707" s="22" t="str">
        <f>VLOOKUP($A1707, 'Hospitalisation Details'!$A:$M, 13, FALSE)</f>
        <v>tier - 2</v>
      </c>
      <c r="O1707" s="22" t="str">
        <f>VLOOKUP($A1707, 'Hospitalisation Details'!$A:$N, 14, FALSE)</f>
        <v>R1013</v>
      </c>
      <c r="P1707" s="36">
        <f>VLOOKUP($A1707, 'Hospitalisation Details'!$A:$O, 15, FALSE)</f>
        <v>38</v>
      </c>
    </row>
    <row r="1708" ht="15.75" customHeight="1">
      <c r="A1708" s="33" t="s">
        <v>3415</v>
      </c>
      <c r="B1708" s="22" t="str">
        <f>VLOOKUP($A1708,'Customer Names'!$A:$D,3, FALSE)</f>
        <v>Barnett</v>
      </c>
      <c r="C1708" s="22">
        <f>VLOOKUP($A1708,'Medical Examinations'!$A:$D, 2, FALSE)</f>
        <v>37.73</v>
      </c>
      <c r="D1708" s="22">
        <f>VLOOKUP($A1708, 'Medical Examinations'!$A:$D,3, FALSE)</f>
        <v>6.29</v>
      </c>
      <c r="E1708" s="22" t="str">
        <f>VLOOKUP($A1708, 'Medical Examinations'!$A:$D, 4, FALSE)</f>
        <v>No</v>
      </c>
      <c r="F1708" s="22" t="str">
        <f>VLOOKUP($A1708, 'Medical Examinations'!$A:$J, 5, FALSE)</f>
        <v>No</v>
      </c>
      <c r="G1708" s="22" t="str">
        <f>VLOOKUP($A1708, 'Medical Examinations'!$A:$I, 6, FALSE)</f>
        <v>No</v>
      </c>
      <c r="H1708" s="22">
        <f>VLOOKUP($A1708,'Medical Examinations'!$A:$L,10, FALSE)</f>
        <v>1</v>
      </c>
      <c r="I1708" s="22" t="str">
        <f>VLOOKUP($A1708, 'Medical Examinations'!$A:$J, 9, FALSE)</f>
        <v>No</v>
      </c>
      <c r="J1708" s="22" t="str">
        <f>VLOOKUP($A1708, 'Medical Examinations'!$A:$P, 11, FALSE)</f>
        <v>OBESITY</v>
      </c>
      <c r="K1708" s="34">
        <v>25025.0</v>
      </c>
      <c r="L1708" s="35">
        <f>VLOOKUP($A1708, 'Hospitalisation Details'!$A:$H, 7, FALSE)</f>
        <v>5397.62</v>
      </c>
      <c r="M1708" s="22" t="str">
        <f>VLOOKUP($A1708, 'Hospitalisation Details'!$A:$L, 12, FALSE)</f>
        <v>tier - 2</v>
      </c>
      <c r="N1708" s="22" t="str">
        <f>VLOOKUP($A1708, 'Hospitalisation Details'!$A:$M, 13, FALSE)</f>
        <v>tier - 2</v>
      </c>
      <c r="O1708" s="22" t="str">
        <f>VLOOKUP($A1708, 'Hospitalisation Details'!$A:$N, 14, FALSE)</f>
        <v>R1013</v>
      </c>
      <c r="P1708" s="36">
        <f>VLOOKUP($A1708, 'Hospitalisation Details'!$A:$O, 15, FALSE)</f>
        <v>38</v>
      </c>
    </row>
    <row r="1709" ht="15.75" customHeight="1">
      <c r="A1709" s="33" t="s">
        <v>3417</v>
      </c>
      <c r="B1709" s="22" t="str">
        <f>VLOOKUP($A1709,'Customer Names'!$A:$D,3, FALSE)</f>
        <v>Piasta</v>
      </c>
      <c r="C1709" s="22">
        <f>VLOOKUP($A1709,'Medical Examinations'!$A:$D, 2, FALSE)</f>
        <v>25.35</v>
      </c>
      <c r="D1709" s="22">
        <f>VLOOKUP($A1709, 'Medical Examinations'!$A:$D,3, FALSE)</f>
        <v>4.9</v>
      </c>
      <c r="E1709" s="22" t="str">
        <f>VLOOKUP($A1709, 'Medical Examinations'!$A:$D, 4, FALSE)</f>
        <v>No</v>
      </c>
      <c r="F1709" s="22" t="str">
        <f>VLOOKUP($A1709, 'Medical Examinations'!$A:$J, 5, FALSE)</f>
        <v>No</v>
      </c>
      <c r="G1709" s="22" t="str">
        <f>VLOOKUP($A1709, 'Medical Examinations'!$A:$I, 6, FALSE)</f>
        <v>No</v>
      </c>
      <c r="H1709" s="22">
        <f>VLOOKUP($A1709,'Medical Examinations'!$A:$L,10, FALSE)</f>
        <v>0</v>
      </c>
      <c r="I1709" s="22" t="str">
        <f>VLOOKUP($A1709, 'Medical Examinations'!$A:$J, 9, FALSE)</f>
        <v>No</v>
      </c>
      <c r="J1709" s="22" t="str">
        <f>VLOOKUP($A1709, 'Medical Examinations'!$A:$P, 11, FALSE)</f>
        <v>OVERWEIGHT</v>
      </c>
      <c r="K1709" s="34">
        <v>25902.0</v>
      </c>
      <c r="L1709" s="35">
        <f>VLOOKUP($A1709, 'Hospitalisation Details'!$A:$H, 7, FALSE)</f>
        <v>5396.44</v>
      </c>
      <c r="M1709" s="22" t="str">
        <f>VLOOKUP($A1709, 'Hospitalisation Details'!$A:$L, 12, FALSE)</f>
        <v>tier - 2</v>
      </c>
      <c r="N1709" s="22" t="str">
        <f>VLOOKUP($A1709, 'Hospitalisation Details'!$A:$M, 13, FALSE)</f>
        <v>tier - 3</v>
      </c>
      <c r="O1709" s="22" t="str">
        <f>VLOOKUP($A1709, 'Hospitalisation Details'!$A:$N, 14, FALSE)</f>
        <v>R1013</v>
      </c>
      <c r="P1709" s="36">
        <f>VLOOKUP($A1709, 'Hospitalisation Details'!$A:$O, 15, FALSE)</f>
        <v>33</v>
      </c>
    </row>
    <row r="1710" ht="15.75" customHeight="1">
      <c r="A1710" s="33" t="s">
        <v>3419</v>
      </c>
      <c r="B1710" s="22" t="str">
        <f>VLOOKUP($A1710,'Customer Names'!$A:$D,3, FALSE)</f>
        <v>Mueller</v>
      </c>
      <c r="C1710" s="22">
        <f>VLOOKUP($A1710,'Medical Examinations'!$A:$D, 2, FALSE)</f>
        <v>26.41</v>
      </c>
      <c r="D1710" s="22">
        <f>VLOOKUP($A1710, 'Medical Examinations'!$A:$D,3, FALSE)</f>
        <v>5.07</v>
      </c>
      <c r="E1710" s="22" t="str">
        <f>VLOOKUP($A1710, 'Medical Examinations'!$A:$D, 4, FALSE)</f>
        <v>Yes</v>
      </c>
      <c r="F1710" s="22" t="str">
        <f>VLOOKUP($A1710, 'Medical Examinations'!$A:$J, 5, FALSE)</f>
        <v>No</v>
      </c>
      <c r="G1710" s="22" t="str">
        <f>VLOOKUP($A1710, 'Medical Examinations'!$A:$I, 6, FALSE)</f>
        <v>No</v>
      </c>
      <c r="H1710" s="22">
        <f>VLOOKUP($A1710,'Medical Examinations'!$A:$L,10, FALSE)</f>
        <v>1</v>
      </c>
      <c r="I1710" s="22" t="str">
        <f>VLOOKUP($A1710, 'Medical Examinations'!$A:$J, 9, FALSE)</f>
        <v>No</v>
      </c>
      <c r="J1710" s="22" t="str">
        <f>VLOOKUP($A1710, 'Medical Examinations'!$A:$P, 11, FALSE)</f>
        <v>OVERWEIGHT</v>
      </c>
      <c r="K1710" s="34">
        <v>36440.0</v>
      </c>
      <c r="L1710" s="35">
        <f>VLOOKUP($A1710, 'Hospitalisation Details'!$A:$H, 7, FALSE)</f>
        <v>5385.34</v>
      </c>
      <c r="M1710" s="22" t="str">
        <f>VLOOKUP($A1710, 'Hospitalisation Details'!$A:$L, 12, FALSE)</f>
        <v>tier - 2</v>
      </c>
      <c r="N1710" s="22" t="str">
        <f>VLOOKUP($A1710, 'Hospitalisation Details'!$A:$M, 13, FALSE)</f>
        <v>tier - 3</v>
      </c>
      <c r="O1710" s="22" t="str">
        <f>VLOOKUP($A1710, 'Hospitalisation Details'!$A:$N, 14, FALSE)</f>
        <v>R1012</v>
      </c>
      <c r="P1710" s="36">
        <f>VLOOKUP($A1710, 'Hospitalisation Details'!$A:$O, 15, FALSE)</f>
        <v>34</v>
      </c>
    </row>
    <row r="1711" ht="15.75" customHeight="1">
      <c r="A1711" s="33" t="s">
        <v>3421</v>
      </c>
      <c r="B1711" s="22" t="str">
        <f>VLOOKUP($A1711,'Customer Names'!$A:$D,3, FALSE)</f>
        <v>Olsen</v>
      </c>
      <c r="C1711" s="22">
        <f>VLOOKUP($A1711,'Medical Examinations'!$A:$D, 2, FALSE)</f>
        <v>27.6</v>
      </c>
      <c r="D1711" s="22">
        <f>VLOOKUP($A1711, 'Medical Examinations'!$A:$D,3, FALSE)</f>
        <v>5.33</v>
      </c>
      <c r="E1711" s="22" t="str">
        <f>VLOOKUP($A1711, 'Medical Examinations'!$A:$D, 4, FALSE)</f>
        <v>No</v>
      </c>
      <c r="F1711" s="22" t="str">
        <f>VLOOKUP($A1711, 'Medical Examinations'!$A:$J, 5, FALSE)</f>
        <v>No</v>
      </c>
      <c r="G1711" s="22" t="str">
        <f>VLOOKUP($A1711, 'Medical Examinations'!$A:$I, 6, FALSE)</f>
        <v>No</v>
      </c>
      <c r="H1711" s="22">
        <f>VLOOKUP($A1711,'Medical Examinations'!$A:$L,10, FALSE)</f>
        <v>1</v>
      </c>
      <c r="I1711" s="22" t="str">
        <f>VLOOKUP($A1711, 'Medical Examinations'!$A:$J, 9, FALSE)</f>
        <v>No</v>
      </c>
      <c r="J1711" s="22" t="str">
        <f>VLOOKUP($A1711, 'Medical Examinations'!$A:$P, 11, FALSE)</f>
        <v>OVERWEIGHT</v>
      </c>
      <c r="K1711" s="34">
        <v>38202.0</v>
      </c>
      <c r="L1711" s="35">
        <f>VLOOKUP($A1711, 'Hospitalisation Details'!$A:$H, 7, FALSE)</f>
        <v>5383.54</v>
      </c>
      <c r="M1711" s="22" t="str">
        <f>VLOOKUP($A1711, 'Hospitalisation Details'!$A:$L, 12, FALSE)</f>
        <v>tier - 2</v>
      </c>
      <c r="N1711" s="22" t="str">
        <f>VLOOKUP($A1711, 'Hospitalisation Details'!$A:$M, 13, FALSE)</f>
        <v>tier - 3</v>
      </c>
      <c r="O1711" s="22" t="str">
        <f>VLOOKUP($A1711, 'Hospitalisation Details'!$A:$N, 14, FALSE)</f>
        <v>R1011</v>
      </c>
      <c r="P1711" s="36">
        <f>VLOOKUP($A1711, 'Hospitalisation Details'!$A:$O, 15, FALSE)</f>
        <v>39</v>
      </c>
    </row>
    <row r="1712" ht="15.75" customHeight="1">
      <c r="A1712" s="33" t="s">
        <v>3423</v>
      </c>
      <c r="B1712" s="22" t="str">
        <f>VLOOKUP($A1712,'Customer Names'!$A:$D,3, FALSE)</f>
        <v>D</v>
      </c>
      <c r="C1712" s="22">
        <f>VLOOKUP($A1712,'Medical Examinations'!$A:$D, 2, FALSE)</f>
        <v>33.82</v>
      </c>
      <c r="D1712" s="22">
        <f>VLOOKUP($A1712, 'Medical Examinations'!$A:$D,3, FALSE)</f>
        <v>8.93</v>
      </c>
      <c r="E1712" s="22" t="str">
        <f>VLOOKUP($A1712, 'Medical Examinations'!$A:$D, 4, FALSE)</f>
        <v>Yes</v>
      </c>
      <c r="F1712" s="22" t="str">
        <f>VLOOKUP($A1712, 'Medical Examinations'!$A:$J, 5, FALSE)</f>
        <v>No</v>
      </c>
      <c r="G1712" s="22" t="str">
        <f>VLOOKUP($A1712, 'Medical Examinations'!$A:$I, 6, FALSE)</f>
        <v>No</v>
      </c>
      <c r="H1712" s="22">
        <f>VLOOKUP($A1712,'Medical Examinations'!$A:$L,10, FALSE)</f>
        <v>1</v>
      </c>
      <c r="I1712" s="22" t="str">
        <f>VLOOKUP($A1712, 'Medical Examinations'!$A:$J, 9, FALSE)</f>
        <v>No</v>
      </c>
      <c r="J1712" s="22" t="str">
        <f>VLOOKUP($A1712, 'Medical Examinations'!$A:$P, 11, FALSE)</f>
        <v>OBESITY</v>
      </c>
      <c r="K1712" s="34">
        <v>23727.0</v>
      </c>
      <c r="L1712" s="35">
        <f>VLOOKUP($A1712, 'Hospitalisation Details'!$A:$H, 7, FALSE)</f>
        <v>5377.46</v>
      </c>
      <c r="M1712" s="22" t="str">
        <f>VLOOKUP($A1712, 'Hospitalisation Details'!$A:$L, 12, FALSE)</f>
        <v>tier - 2</v>
      </c>
      <c r="N1712" s="22" t="str">
        <f>VLOOKUP($A1712, 'Hospitalisation Details'!$A:$M, 13, FALSE)</f>
        <v>tier - 3</v>
      </c>
      <c r="O1712" s="22" t="str">
        <f>VLOOKUP($A1712, 'Hospitalisation Details'!$A:$N, 14, FALSE)</f>
        <v>R1012</v>
      </c>
      <c r="P1712" s="36">
        <f>VLOOKUP($A1712, 'Hospitalisation Details'!$A:$O, 15, FALSE)</f>
        <v>36</v>
      </c>
    </row>
    <row r="1713" ht="15.75" customHeight="1">
      <c r="A1713" s="33" t="s">
        <v>3425</v>
      </c>
      <c r="B1713" s="22" t="str">
        <f>VLOOKUP($A1713,'Customer Names'!$A:$D,3, FALSE)</f>
        <v>Bartus</v>
      </c>
      <c r="C1713" s="22">
        <f>VLOOKUP($A1713,'Medical Examinations'!$A:$D, 2, FALSE)</f>
        <v>32.9</v>
      </c>
      <c r="D1713" s="22">
        <f>VLOOKUP($A1713, 'Medical Examinations'!$A:$D,3, FALSE)</f>
        <v>4.35</v>
      </c>
      <c r="E1713" s="22" t="str">
        <f>VLOOKUP($A1713, 'Medical Examinations'!$A:$D, 4, FALSE)</f>
        <v>No</v>
      </c>
      <c r="F1713" s="22" t="str">
        <f>VLOOKUP($A1713, 'Medical Examinations'!$A:$J, 5, FALSE)</f>
        <v>No</v>
      </c>
      <c r="G1713" s="22" t="str">
        <f>VLOOKUP($A1713, 'Medical Examinations'!$A:$I, 6, FALSE)</f>
        <v>No</v>
      </c>
      <c r="H1713" s="22">
        <f>VLOOKUP($A1713,'Medical Examinations'!$A:$L,10, FALSE)</f>
        <v>0</v>
      </c>
      <c r="I1713" s="22" t="str">
        <f>VLOOKUP($A1713, 'Medical Examinations'!$A:$J, 9, FALSE)</f>
        <v>No</v>
      </c>
      <c r="J1713" s="22" t="str">
        <f>VLOOKUP($A1713, 'Medical Examinations'!$A:$P, 11, FALSE)</f>
        <v>OBESITY</v>
      </c>
      <c r="K1713" s="34">
        <v>26235.0</v>
      </c>
      <c r="L1713" s="35">
        <f>VLOOKUP($A1713, 'Hospitalisation Details'!$A:$H, 7, FALSE)</f>
        <v>5375.04</v>
      </c>
      <c r="M1713" s="22" t="str">
        <f>VLOOKUP($A1713, 'Hospitalisation Details'!$A:$L, 12, FALSE)</f>
        <v>tier - 2</v>
      </c>
      <c r="N1713" s="22" t="str">
        <f>VLOOKUP($A1713, 'Hospitalisation Details'!$A:$M, 13, FALSE)</f>
        <v>tier - 1</v>
      </c>
      <c r="O1713" s="22" t="str">
        <f>VLOOKUP($A1713, 'Hospitalisation Details'!$A:$N, 14, FALSE)</f>
        <v>R1011</v>
      </c>
      <c r="P1713" s="36">
        <f>VLOOKUP($A1713, 'Hospitalisation Details'!$A:$O, 15, FALSE)</f>
        <v>33</v>
      </c>
    </row>
    <row r="1714" ht="15.75" customHeight="1">
      <c r="A1714" s="33" t="s">
        <v>3427</v>
      </c>
      <c r="B1714" s="22" t="str">
        <f>VLOOKUP($A1714,'Customer Names'!$A:$D,3, FALSE)</f>
        <v>Stevens</v>
      </c>
      <c r="C1714" s="22">
        <f>VLOOKUP($A1714,'Medical Examinations'!$A:$D, 2, FALSE)</f>
        <v>30.875</v>
      </c>
      <c r="D1714" s="22">
        <f>VLOOKUP($A1714, 'Medical Examinations'!$A:$D,3, FALSE)</f>
        <v>9.54</v>
      </c>
      <c r="E1714" s="22" t="str">
        <f>VLOOKUP($A1714, 'Medical Examinations'!$A:$D, 4, FALSE)</f>
        <v>Yes</v>
      </c>
      <c r="F1714" s="22" t="str">
        <f>VLOOKUP($A1714, 'Medical Examinations'!$A:$J, 5, FALSE)</f>
        <v>No</v>
      </c>
      <c r="G1714" s="22" t="str">
        <f>VLOOKUP($A1714, 'Medical Examinations'!$A:$I, 6, FALSE)</f>
        <v>No</v>
      </c>
      <c r="H1714" s="22">
        <f>VLOOKUP($A1714,'Medical Examinations'!$A:$L,10, FALSE)</f>
        <v>1</v>
      </c>
      <c r="I1714" s="22" t="str">
        <f>VLOOKUP($A1714, 'Medical Examinations'!$A:$J, 9, FALSE)</f>
        <v>No</v>
      </c>
      <c r="J1714" s="22" t="str">
        <f>VLOOKUP($A1714, 'Medical Examinations'!$A:$P, 11, FALSE)</f>
        <v>OBESITY</v>
      </c>
      <c r="K1714" s="34">
        <v>27282.0</v>
      </c>
      <c r="L1714" s="35">
        <f>VLOOKUP($A1714, 'Hospitalisation Details'!$A:$H, 7, FALSE)</f>
        <v>5373.36</v>
      </c>
      <c r="M1714" s="22" t="str">
        <f>VLOOKUP($A1714, 'Hospitalisation Details'!$A:$L, 12, FALSE)</f>
        <v>tier - 2</v>
      </c>
      <c r="N1714" s="22" t="str">
        <f>VLOOKUP($A1714, 'Hospitalisation Details'!$A:$M, 13, FALSE)</f>
        <v>tier - 2</v>
      </c>
      <c r="O1714" s="22" t="str">
        <f>VLOOKUP($A1714, 'Hospitalisation Details'!$A:$N, 14, FALSE)</f>
        <v>R1012</v>
      </c>
      <c r="P1714" s="36">
        <f>VLOOKUP($A1714, 'Hospitalisation Details'!$A:$O, 15, FALSE)</f>
        <v>37</v>
      </c>
    </row>
    <row r="1715" ht="15.75" customHeight="1">
      <c r="A1715" s="33" t="s">
        <v>3429</v>
      </c>
      <c r="B1715" s="22" t="str">
        <f>VLOOKUP($A1715,'Customer Names'!$A:$D,3, FALSE)</f>
        <v>Rich</v>
      </c>
      <c r="C1715" s="22">
        <f>VLOOKUP($A1715,'Medical Examinations'!$A:$D, 2, FALSE)</f>
        <v>32.64</v>
      </c>
      <c r="D1715" s="22">
        <f>VLOOKUP($A1715, 'Medical Examinations'!$A:$D,3, FALSE)</f>
        <v>5.91</v>
      </c>
      <c r="E1715" s="22" t="str">
        <f>VLOOKUP($A1715, 'Medical Examinations'!$A:$D, 4, FALSE)</f>
        <v>No</v>
      </c>
      <c r="F1715" s="22" t="str">
        <f>VLOOKUP($A1715, 'Medical Examinations'!$A:$J, 5, FALSE)</f>
        <v>No</v>
      </c>
      <c r="G1715" s="22" t="str">
        <f>VLOOKUP($A1715, 'Medical Examinations'!$A:$I, 6, FALSE)</f>
        <v>No</v>
      </c>
      <c r="H1715" s="22">
        <f>VLOOKUP($A1715,'Medical Examinations'!$A:$L,10, FALSE)</f>
        <v>0</v>
      </c>
      <c r="I1715" s="22" t="str">
        <f>VLOOKUP($A1715, 'Medical Examinations'!$A:$J, 9, FALSE)</f>
        <v>No</v>
      </c>
      <c r="J1715" s="22" t="str">
        <f>VLOOKUP($A1715, 'Medical Examinations'!$A:$P, 11, FALSE)</f>
        <v>OBESITY</v>
      </c>
      <c r="K1715" s="34">
        <v>26828.0</v>
      </c>
      <c r="L1715" s="35">
        <f>VLOOKUP($A1715, 'Hospitalisation Details'!$A:$H, 7, FALSE)</f>
        <v>5364.66</v>
      </c>
      <c r="M1715" s="22" t="str">
        <f>VLOOKUP($A1715, 'Hospitalisation Details'!$A:$L, 12, FALSE)</f>
        <v>tier - 2</v>
      </c>
      <c r="N1715" s="22" t="str">
        <f>VLOOKUP($A1715, 'Hospitalisation Details'!$A:$M, 13, FALSE)</f>
        <v>tier - 1</v>
      </c>
      <c r="O1715" s="22" t="str">
        <f>VLOOKUP($A1715, 'Hospitalisation Details'!$A:$N, 14, FALSE)</f>
        <v>R1011</v>
      </c>
      <c r="P1715" s="36">
        <f>VLOOKUP($A1715, 'Hospitalisation Details'!$A:$O, 15, FALSE)</f>
        <v>28</v>
      </c>
    </row>
    <row r="1716" ht="15.75" customHeight="1">
      <c r="A1716" s="33" t="s">
        <v>3431</v>
      </c>
      <c r="B1716" s="22" t="str">
        <f>VLOOKUP($A1716,'Customer Names'!$A:$D,3, FALSE)</f>
        <v>Fayter</v>
      </c>
      <c r="C1716" s="22">
        <f>VLOOKUP($A1716,'Medical Examinations'!$A:$D, 2, FALSE)</f>
        <v>22.135</v>
      </c>
      <c r="D1716" s="22">
        <f>VLOOKUP($A1716, 'Medical Examinations'!$A:$D,3, FALSE)</f>
        <v>5.1</v>
      </c>
      <c r="E1716" s="22" t="str">
        <f>VLOOKUP($A1716, 'Medical Examinations'!$A:$D, 4, FALSE)</f>
        <v>No</v>
      </c>
      <c r="F1716" s="22" t="str">
        <f>VLOOKUP($A1716, 'Medical Examinations'!$A:$J, 5, FALSE)</f>
        <v>No</v>
      </c>
      <c r="G1716" s="22" t="str">
        <f>VLOOKUP($A1716, 'Medical Examinations'!$A:$I, 6, FALSE)</f>
        <v>No</v>
      </c>
      <c r="H1716" s="22">
        <f>VLOOKUP($A1716,'Medical Examinations'!$A:$L,10, FALSE)</f>
        <v>0</v>
      </c>
      <c r="I1716" s="22" t="str">
        <f>VLOOKUP($A1716, 'Medical Examinations'!$A:$J, 9, FALSE)</f>
        <v>No</v>
      </c>
      <c r="J1716" s="22" t="str">
        <f>VLOOKUP($A1716, 'Medical Examinations'!$A:$P, 11, FALSE)</f>
        <v>NORMAL WEIGHT</v>
      </c>
      <c r="K1716" s="34">
        <v>37985.0</v>
      </c>
      <c r="L1716" s="35">
        <f>VLOOKUP($A1716, 'Hospitalisation Details'!$A:$H, 7, FALSE)</f>
        <v>5354.07</v>
      </c>
      <c r="M1716" s="22" t="str">
        <f>VLOOKUP($A1716, 'Hospitalisation Details'!$A:$L, 12, FALSE)</f>
        <v>tier - 2</v>
      </c>
      <c r="N1716" s="22" t="str">
        <f>VLOOKUP($A1716, 'Hospitalisation Details'!$A:$M, 13, FALSE)</f>
        <v>tier - 3</v>
      </c>
      <c r="O1716" s="22" t="str">
        <f>VLOOKUP($A1716, 'Hospitalisation Details'!$A:$N, 14, FALSE)</f>
        <v>R1024</v>
      </c>
      <c r="P1716" s="36">
        <f>VLOOKUP($A1716, 'Hospitalisation Details'!$A:$O, 15, FALSE)</f>
        <v>33</v>
      </c>
    </row>
    <row r="1717" ht="15.75" customHeight="1">
      <c r="A1717" s="33" t="s">
        <v>3433</v>
      </c>
      <c r="B1717" s="22" t="str">
        <f>VLOOKUP($A1717,'Customer Names'!$A:$D,3, FALSE)</f>
        <v>Parise</v>
      </c>
      <c r="C1717" s="22">
        <f>VLOOKUP($A1717,'Medical Examinations'!$A:$D, 2, FALSE)</f>
        <v>16.53</v>
      </c>
      <c r="D1717" s="22">
        <f>VLOOKUP($A1717, 'Medical Examinations'!$A:$D,3, FALSE)</f>
        <v>5.08</v>
      </c>
      <c r="E1717" s="22" t="str">
        <f>VLOOKUP($A1717, 'Medical Examinations'!$A:$D, 4, FALSE)</f>
        <v>No</v>
      </c>
      <c r="F1717" s="22" t="str">
        <f>VLOOKUP($A1717, 'Medical Examinations'!$A:$J, 5, FALSE)</f>
        <v>No</v>
      </c>
      <c r="G1717" s="22" t="str">
        <f>VLOOKUP($A1717, 'Medical Examinations'!$A:$I, 6, FALSE)</f>
        <v>No</v>
      </c>
      <c r="H1717" s="22">
        <f>VLOOKUP($A1717,'Medical Examinations'!$A:$L,10, FALSE)</f>
        <v>2</v>
      </c>
      <c r="I1717" s="22" t="str">
        <f>VLOOKUP($A1717, 'Medical Examinations'!$A:$J, 9, FALSE)</f>
        <v>No</v>
      </c>
      <c r="J1717" s="22" t="str">
        <f>VLOOKUP($A1717, 'Medical Examinations'!$A:$P, 11, FALSE)</f>
        <v>UNDERWEIGHT</v>
      </c>
      <c r="K1717" s="34">
        <v>26124.0</v>
      </c>
      <c r="L1717" s="35">
        <f>VLOOKUP($A1717, 'Hospitalisation Details'!$A:$H, 7, FALSE)</f>
        <v>5344.81</v>
      </c>
      <c r="M1717" s="22" t="str">
        <f>VLOOKUP($A1717, 'Hospitalisation Details'!$A:$L, 12, FALSE)</f>
        <v>tier - 2</v>
      </c>
      <c r="N1717" s="22" t="str">
        <f>VLOOKUP($A1717, 'Hospitalisation Details'!$A:$M, 13, FALSE)</f>
        <v>tier - 3</v>
      </c>
      <c r="O1717" s="22" t="str">
        <f>VLOOKUP($A1717, 'Hospitalisation Details'!$A:$N, 14, FALSE)</f>
        <v>R1013</v>
      </c>
      <c r="P1717" s="36">
        <f>VLOOKUP($A1717, 'Hospitalisation Details'!$A:$O, 15, FALSE)</f>
        <v>50</v>
      </c>
    </row>
    <row r="1718" ht="15.75" customHeight="1">
      <c r="A1718" s="33" t="s">
        <v>3435</v>
      </c>
      <c r="B1718" s="22" t="str">
        <f>VLOOKUP($A1718,'Customer Names'!$A:$D,3, FALSE)</f>
        <v>Andrew</v>
      </c>
      <c r="C1718" s="22">
        <f>VLOOKUP($A1718,'Medical Examinations'!$A:$D, 2, FALSE)</f>
        <v>32.775</v>
      </c>
      <c r="D1718" s="22">
        <f>VLOOKUP($A1718, 'Medical Examinations'!$A:$D,3, FALSE)</f>
        <v>4.75</v>
      </c>
      <c r="E1718" s="22" t="str">
        <f>VLOOKUP($A1718, 'Medical Examinations'!$A:$D, 4, FALSE)</f>
        <v>No</v>
      </c>
      <c r="F1718" s="22" t="str">
        <f>VLOOKUP($A1718, 'Medical Examinations'!$A:$J, 5, FALSE)</f>
        <v>No</v>
      </c>
      <c r="G1718" s="22" t="str">
        <f>VLOOKUP($A1718, 'Medical Examinations'!$A:$I, 6, FALSE)</f>
        <v>No</v>
      </c>
      <c r="H1718" s="22">
        <f>VLOOKUP($A1718,'Medical Examinations'!$A:$L,10, FALSE)</f>
        <v>0</v>
      </c>
      <c r="I1718" s="22" t="str">
        <f>VLOOKUP($A1718, 'Medical Examinations'!$A:$J, 9, FALSE)</f>
        <v>No</v>
      </c>
      <c r="J1718" s="22" t="str">
        <f>VLOOKUP($A1718, 'Medical Examinations'!$A:$P, 11, FALSE)</f>
        <v>OBESITY</v>
      </c>
      <c r="K1718" s="34">
        <v>25788.0</v>
      </c>
      <c r="L1718" s="35">
        <f>VLOOKUP($A1718, 'Hospitalisation Details'!$A:$H, 7, FALSE)</f>
        <v>5327.4</v>
      </c>
      <c r="M1718" s="22" t="str">
        <f>VLOOKUP($A1718, 'Hospitalisation Details'!$A:$L, 12, FALSE)</f>
        <v>tier - 2</v>
      </c>
      <c r="N1718" s="22" t="str">
        <f>VLOOKUP($A1718, 'Hospitalisation Details'!$A:$M, 13, FALSE)</f>
        <v>tier - 1</v>
      </c>
      <c r="O1718" s="22" t="str">
        <f>VLOOKUP($A1718, 'Hospitalisation Details'!$A:$N, 14, FALSE)</f>
        <v>R1012</v>
      </c>
      <c r="P1718" s="36">
        <f>VLOOKUP($A1718, 'Hospitalisation Details'!$A:$O, 15, FALSE)</f>
        <v>31</v>
      </c>
    </row>
    <row r="1719" ht="15.75" customHeight="1">
      <c r="A1719" s="33" t="s">
        <v>3437</v>
      </c>
      <c r="B1719" s="22" t="str">
        <f>VLOOKUP($A1719,'Customer Names'!$A:$D,3, FALSE)</f>
        <v>Gryniewicz</v>
      </c>
      <c r="C1719" s="22">
        <f>VLOOKUP($A1719,'Medical Examinations'!$A:$D, 2, FALSE)</f>
        <v>30.9</v>
      </c>
      <c r="D1719" s="22">
        <f>VLOOKUP($A1719, 'Medical Examinations'!$A:$D,3, FALSE)</f>
        <v>6.05</v>
      </c>
      <c r="E1719" s="22" t="str">
        <f>VLOOKUP($A1719, 'Medical Examinations'!$A:$D, 4, FALSE)</f>
        <v>No</v>
      </c>
      <c r="F1719" s="22" t="str">
        <f>VLOOKUP($A1719, 'Medical Examinations'!$A:$J, 5, FALSE)</f>
        <v>No</v>
      </c>
      <c r="G1719" s="22" t="str">
        <f>VLOOKUP($A1719, 'Medical Examinations'!$A:$I, 6, FALSE)</f>
        <v>No</v>
      </c>
      <c r="H1719" s="22">
        <f>VLOOKUP($A1719,'Medical Examinations'!$A:$L,10, FALSE)</f>
        <v>1</v>
      </c>
      <c r="I1719" s="22" t="str">
        <f>VLOOKUP($A1719, 'Medical Examinations'!$A:$J, 9, FALSE)</f>
        <v>No</v>
      </c>
      <c r="J1719" s="22" t="str">
        <f>VLOOKUP($A1719, 'Medical Examinations'!$A:$P, 11, FALSE)</f>
        <v>OBESITY</v>
      </c>
      <c r="K1719" s="34">
        <v>26842.0</v>
      </c>
      <c r="L1719" s="35">
        <f>VLOOKUP($A1719, 'Hospitalisation Details'!$A:$H, 7, FALSE)</f>
        <v>5325.65</v>
      </c>
      <c r="M1719" s="22" t="str">
        <f>VLOOKUP($A1719, 'Hospitalisation Details'!$A:$L, 12, FALSE)</f>
        <v>tier - 2</v>
      </c>
      <c r="N1719" s="22" t="str">
        <f>VLOOKUP($A1719, 'Hospitalisation Details'!$A:$M, 13, FALSE)</f>
        <v>tier - 1</v>
      </c>
      <c r="O1719" s="22" t="str">
        <f>VLOOKUP($A1719, 'Hospitalisation Details'!$A:$N, 14, FALSE)</f>
        <v>R1011</v>
      </c>
      <c r="P1719" s="36">
        <f>VLOOKUP($A1719, 'Hospitalisation Details'!$A:$O, 15, FALSE)</f>
        <v>30</v>
      </c>
    </row>
    <row r="1720" ht="15.75" customHeight="1">
      <c r="A1720" s="33" t="s">
        <v>3439</v>
      </c>
      <c r="B1720" s="22" t="str">
        <f>VLOOKUP($A1720,'Customer Names'!$A:$D,3, FALSE)</f>
        <v>Panora</v>
      </c>
      <c r="C1720" s="22">
        <f>VLOOKUP($A1720,'Medical Examinations'!$A:$D, 2, FALSE)</f>
        <v>15.58</v>
      </c>
      <c r="D1720" s="22">
        <f>VLOOKUP($A1720, 'Medical Examinations'!$A:$D,3, FALSE)</f>
        <v>11.56</v>
      </c>
      <c r="E1720" s="22" t="str">
        <f>VLOOKUP($A1720, 'Medical Examinations'!$A:$D, 4, FALSE)</f>
        <v>No</v>
      </c>
      <c r="F1720" s="22" t="str">
        <f>VLOOKUP($A1720, 'Medical Examinations'!$A:$J, 5, FALSE)</f>
        <v>No</v>
      </c>
      <c r="G1720" s="22" t="str">
        <f>VLOOKUP($A1720, 'Medical Examinations'!$A:$I, 6, FALSE)</f>
        <v>No</v>
      </c>
      <c r="H1720" s="22">
        <f>VLOOKUP($A1720,'Medical Examinations'!$A:$L,10, FALSE)</f>
        <v>0</v>
      </c>
      <c r="I1720" s="22" t="str">
        <f>VLOOKUP($A1720, 'Medical Examinations'!$A:$J, 9, FALSE)</f>
        <v>No</v>
      </c>
      <c r="J1720" s="22" t="str">
        <f>VLOOKUP($A1720, 'Medical Examinations'!$A:$P, 11, FALSE)</f>
        <v>UNDERWEIGHT</v>
      </c>
      <c r="K1720" s="34">
        <v>27182.0</v>
      </c>
      <c r="L1720" s="35">
        <f>VLOOKUP($A1720, 'Hospitalisation Details'!$A:$H, 7, FALSE)</f>
        <v>5322.24</v>
      </c>
      <c r="M1720" s="22" t="str">
        <f>VLOOKUP($A1720, 'Hospitalisation Details'!$A:$L, 12, FALSE)</f>
        <v>tier - 2</v>
      </c>
      <c r="N1720" s="22" t="str">
        <f>VLOOKUP($A1720, 'Hospitalisation Details'!$A:$M, 13, FALSE)</f>
        <v>tier - 1</v>
      </c>
      <c r="O1720" s="22" t="str">
        <f>VLOOKUP($A1720, 'Hospitalisation Details'!$A:$N, 14, FALSE)</f>
        <v>R1012</v>
      </c>
      <c r="P1720" s="36">
        <f>VLOOKUP($A1720, 'Hospitalisation Details'!$A:$O, 15, FALSE)</f>
        <v>48</v>
      </c>
    </row>
    <row r="1721" ht="15.75" customHeight="1">
      <c r="A1721" s="33" t="s">
        <v>3441</v>
      </c>
      <c r="B1721" s="22" t="str">
        <f>VLOOKUP($A1721,'Customer Names'!$A:$D,3, FALSE)</f>
        <v>Woodward</v>
      </c>
      <c r="C1721" s="22">
        <f>VLOOKUP($A1721,'Medical Examinations'!$A:$D, 2, FALSE)</f>
        <v>26.315</v>
      </c>
      <c r="D1721" s="22">
        <f>VLOOKUP($A1721, 'Medical Examinations'!$A:$D,3, FALSE)</f>
        <v>5.76</v>
      </c>
      <c r="E1721" s="22" t="str">
        <f>VLOOKUP($A1721, 'Medical Examinations'!$A:$D, 4, FALSE)</f>
        <v>No</v>
      </c>
      <c r="F1721" s="22" t="str">
        <f>VLOOKUP($A1721, 'Medical Examinations'!$A:$J, 5, FALSE)</f>
        <v>No</v>
      </c>
      <c r="G1721" s="22" t="str">
        <f>VLOOKUP($A1721, 'Medical Examinations'!$A:$I, 6, FALSE)</f>
        <v>No</v>
      </c>
      <c r="H1721" s="22">
        <f>VLOOKUP($A1721,'Medical Examinations'!$A:$L,10, FALSE)</f>
        <v>0</v>
      </c>
      <c r="I1721" s="22" t="str">
        <f>VLOOKUP($A1721, 'Medical Examinations'!$A:$J, 9, FALSE)</f>
        <v>No</v>
      </c>
      <c r="J1721" s="22" t="str">
        <f>VLOOKUP($A1721, 'Medical Examinations'!$A:$P, 11, FALSE)</f>
        <v>OVERWEIGHT</v>
      </c>
      <c r="K1721" s="34">
        <v>30554.0</v>
      </c>
      <c r="L1721" s="35">
        <f>VLOOKUP($A1721, 'Hospitalisation Details'!$A:$H, 7, FALSE)</f>
        <v>5312.17</v>
      </c>
      <c r="M1721" s="22" t="str">
        <f>VLOOKUP($A1721, 'Hospitalisation Details'!$A:$L, 12, FALSE)</f>
        <v>tier - 2</v>
      </c>
      <c r="N1721" s="22" t="str">
        <f>VLOOKUP($A1721, 'Hospitalisation Details'!$A:$M, 13, FALSE)</f>
        <v>tier - 2</v>
      </c>
      <c r="O1721" s="22" t="str">
        <f>VLOOKUP($A1721, 'Hospitalisation Details'!$A:$N, 14, FALSE)</f>
        <v>R1012</v>
      </c>
      <c r="P1721" s="36">
        <f>VLOOKUP($A1721, 'Hospitalisation Details'!$A:$O, 15, FALSE)</f>
        <v>28</v>
      </c>
    </row>
    <row r="1722" ht="15.75" customHeight="1">
      <c r="A1722" s="33" t="s">
        <v>3443</v>
      </c>
      <c r="B1722" s="22" t="str">
        <f>VLOOKUP($A1722,'Customer Names'!$A:$D,3, FALSE)</f>
        <v>Lambe</v>
      </c>
      <c r="C1722" s="22">
        <f>VLOOKUP($A1722,'Medical Examinations'!$A:$D, 2, FALSE)</f>
        <v>35.61</v>
      </c>
      <c r="D1722" s="22">
        <f>VLOOKUP($A1722, 'Medical Examinations'!$A:$D,3, FALSE)</f>
        <v>5.65</v>
      </c>
      <c r="E1722" s="22" t="str">
        <f>VLOOKUP($A1722, 'Medical Examinations'!$A:$D, 4, FALSE)</f>
        <v>No</v>
      </c>
      <c r="F1722" s="22" t="str">
        <f>VLOOKUP($A1722, 'Medical Examinations'!$A:$J, 5, FALSE)</f>
        <v>Yes</v>
      </c>
      <c r="G1722" s="22" t="str">
        <f>VLOOKUP($A1722, 'Medical Examinations'!$A:$I, 6, FALSE)</f>
        <v>No</v>
      </c>
      <c r="H1722" s="22">
        <f>VLOOKUP($A1722,'Medical Examinations'!$A:$L,10, FALSE)</f>
        <v>1</v>
      </c>
      <c r="I1722" s="22" t="str">
        <f>VLOOKUP($A1722, 'Medical Examinations'!$A:$J, 9, FALSE)</f>
        <v>No</v>
      </c>
      <c r="J1722" s="22" t="str">
        <f>VLOOKUP($A1722, 'Medical Examinations'!$A:$P, 11, FALSE)</f>
        <v>OBESITY</v>
      </c>
      <c r="K1722" s="34">
        <v>27711.0</v>
      </c>
      <c r="L1722" s="35">
        <f>VLOOKUP($A1722, 'Hospitalisation Details'!$A:$H, 7, FALSE)</f>
        <v>5306.7</v>
      </c>
      <c r="M1722" s="22" t="str">
        <f>VLOOKUP($A1722, 'Hospitalisation Details'!$A:$L, 12, FALSE)</f>
        <v>tier - 2</v>
      </c>
      <c r="N1722" s="22" t="str">
        <f>VLOOKUP($A1722, 'Hospitalisation Details'!$A:$M, 13, FALSE)</f>
        <v>tier - 3</v>
      </c>
      <c r="O1722" s="22" t="str">
        <f>VLOOKUP($A1722, 'Hospitalisation Details'!$A:$N, 14, FALSE)</f>
        <v>R1012</v>
      </c>
      <c r="P1722" s="36">
        <f>VLOOKUP($A1722, 'Hospitalisation Details'!$A:$O, 15, FALSE)</f>
        <v>22</v>
      </c>
    </row>
    <row r="1723" ht="15.75" customHeight="1">
      <c r="A1723" s="33" t="s">
        <v>3445</v>
      </c>
      <c r="B1723" s="22" t="str">
        <f>VLOOKUP($A1723,'Customer Names'!$A:$D,3, FALSE)</f>
        <v>Casto</v>
      </c>
      <c r="C1723" s="22">
        <f>VLOOKUP($A1723,'Medical Examinations'!$A:$D, 2, FALSE)</f>
        <v>37.56</v>
      </c>
      <c r="D1723" s="22">
        <f>VLOOKUP($A1723, 'Medical Examinations'!$A:$D,3, FALSE)</f>
        <v>5.88</v>
      </c>
      <c r="E1723" s="22" t="str">
        <f>VLOOKUP($A1723, 'Medical Examinations'!$A:$D, 4, FALSE)</f>
        <v>No</v>
      </c>
      <c r="F1723" s="22" t="str">
        <f>VLOOKUP($A1723, 'Medical Examinations'!$A:$J, 5, FALSE)</f>
        <v>Yes</v>
      </c>
      <c r="G1723" s="22" t="str">
        <f>VLOOKUP($A1723, 'Medical Examinations'!$A:$I, 6, FALSE)</f>
        <v>No</v>
      </c>
      <c r="H1723" s="22">
        <f>VLOOKUP($A1723,'Medical Examinations'!$A:$L,10, FALSE)</f>
        <v>1</v>
      </c>
      <c r="I1723" s="22" t="str">
        <f>VLOOKUP($A1723, 'Medical Examinations'!$A:$J, 9, FALSE)</f>
        <v>No</v>
      </c>
      <c r="J1723" s="22" t="str">
        <f>VLOOKUP($A1723, 'Medical Examinations'!$A:$P, 11, FALSE)</f>
        <v>OBESITY</v>
      </c>
      <c r="K1723" s="34">
        <v>26959.0</v>
      </c>
      <c r="L1723" s="35">
        <f>VLOOKUP($A1723, 'Hospitalisation Details'!$A:$H, 7, FALSE)</f>
        <v>5293.67</v>
      </c>
      <c r="M1723" s="22" t="str">
        <f>VLOOKUP($A1723, 'Hospitalisation Details'!$A:$L, 12, FALSE)</f>
        <v>tier - 2</v>
      </c>
      <c r="N1723" s="22" t="str">
        <f>VLOOKUP($A1723, 'Hospitalisation Details'!$A:$M, 13, FALSE)</f>
        <v>tier - 2</v>
      </c>
      <c r="O1723" s="22" t="str">
        <f>VLOOKUP($A1723, 'Hospitalisation Details'!$A:$N, 14, FALSE)</f>
        <v>R1022</v>
      </c>
      <c r="P1723" s="36">
        <f>VLOOKUP($A1723, 'Hospitalisation Details'!$A:$O, 15, FALSE)</f>
        <v>18</v>
      </c>
    </row>
    <row r="1724" ht="15.75" customHeight="1">
      <c r="A1724" s="33" t="s">
        <v>3447</v>
      </c>
      <c r="B1724" s="22" t="str">
        <f>VLOOKUP($A1724,'Customer Names'!$A:$D,3, FALSE)</f>
        <v>Martelli</v>
      </c>
      <c r="C1724" s="22">
        <f>VLOOKUP($A1724,'Medical Examinations'!$A:$D, 2, FALSE)</f>
        <v>15.49</v>
      </c>
      <c r="D1724" s="22">
        <f>VLOOKUP($A1724, 'Medical Examinations'!$A:$D,3, FALSE)</f>
        <v>9.6</v>
      </c>
      <c r="E1724" s="22" t="str">
        <f>VLOOKUP($A1724, 'Medical Examinations'!$A:$D, 4, FALSE)</f>
        <v>No</v>
      </c>
      <c r="F1724" s="22" t="str">
        <f>VLOOKUP($A1724, 'Medical Examinations'!$A:$J, 5, FALSE)</f>
        <v>No</v>
      </c>
      <c r="G1724" s="22" t="str">
        <f>VLOOKUP($A1724, 'Medical Examinations'!$A:$I, 6, FALSE)</f>
        <v>No</v>
      </c>
      <c r="H1724" s="22">
        <f>VLOOKUP($A1724,'Medical Examinations'!$A:$L,10, FALSE)</f>
        <v>0</v>
      </c>
      <c r="I1724" s="22" t="str">
        <f>VLOOKUP($A1724, 'Medical Examinations'!$A:$J, 9, FALSE)</f>
        <v>No</v>
      </c>
      <c r="J1724" s="22" t="str">
        <f>VLOOKUP($A1724, 'Medical Examinations'!$A:$P, 11, FALSE)</f>
        <v>UNDERWEIGHT</v>
      </c>
      <c r="K1724" s="34">
        <v>25166.0</v>
      </c>
      <c r="L1724" s="35">
        <f>VLOOKUP($A1724, 'Hospitalisation Details'!$A:$H, 7, FALSE)</f>
        <v>5291.71</v>
      </c>
      <c r="M1724" s="22" t="str">
        <f>VLOOKUP($A1724, 'Hospitalisation Details'!$A:$L, 12, FALSE)</f>
        <v>tier - 2</v>
      </c>
      <c r="N1724" s="22" t="str">
        <f>VLOOKUP($A1724, 'Hospitalisation Details'!$A:$M, 13, FALSE)</f>
        <v>tier - 2</v>
      </c>
      <c r="O1724" s="22" t="str">
        <f>VLOOKUP($A1724, 'Hospitalisation Details'!$A:$N, 14, FALSE)</f>
        <v>R1012</v>
      </c>
      <c r="P1724" s="36">
        <f>VLOOKUP($A1724, 'Hospitalisation Details'!$A:$O, 15, FALSE)</f>
        <v>48</v>
      </c>
    </row>
    <row r="1725" ht="15.75" customHeight="1">
      <c r="A1725" s="33" t="s">
        <v>3449</v>
      </c>
      <c r="B1725" s="22" t="str">
        <f>VLOOKUP($A1725,'Customer Names'!$A:$D,3, FALSE)</f>
        <v>Naskret</v>
      </c>
      <c r="C1725" s="22">
        <f>VLOOKUP($A1725,'Medical Examinations'!$A:$D, 2, FALSE)</f>
        <v>23.48</v>
      </c>
      <c r="D1725" s="22">
        <f>VLOOKUP($A1725, 'Medical Examinations'!$A:$D,3, FALSE)</f>
        <v>6.24</v>
      </c>
      <c r="E1725" s="22" t="str">
        <f>VLOOKUP($A1725, 'Medical Examinations'!$A:$D, 4, FALSE)</f>
        <v>No</v>
      </c>
      <c r="F1725" s="22" t="str">
        <f>VLOOKUP($A1725, 'Medical Examinations'!$A:$J, 5, FALSE)</f>
        <v>No</v>
      </c>
      <c r="G1725" s="22" t="str">
        <f>VLOOKUP($A1725, 'Medical Examinations'!$A:$I, 6, FALSE)</f>
        <v>No</v>
      </c>
      <c r="H1725" s="22">
        <f>VLOOKUP($A1725,'Medical Examinations'!$A:$L,10, FALSE)</f>
        <v>1</v>
      </c>
      <c r="I1725" s="22" t="str">
        <f>VLOOKUP($A1725, 'Medical Examinations'!$A:$J, 9, FALSE)</f>
        <v>No</v>
      </c>
      <c r="J1725" s="22" t="str">
        <f>VLOOKUP($A1725, 'Medical Examinations'!$A:$P, 11, FALSE)</f>
        <v>NORMAL WEIGHT</v>
      </c>
      <c r="K1725" s="34">
        <v>34610.0</v>
      </c>
      <c r="L1725" s="35">
        <f>VLOOKUP($A1725, 'Hospitalisation Details'!$A:$H, 7, FALSE)</f>
        <v>5275.86</v>
      </c>
      <c r="M1725" s="22" t="str">
        <f>VLOOKUP($A1725, 'Hospitalisation Details'!$A:$L, 12, FALSE)</f>
        <v>tier - 2</v>
      </c>
      <c r="N1725" s="22" t="str">
        <f>VLOOKUP($A1725, 'Hospitalisation Details'!$A:$M, 13, FALSE)</f>
        <v>tier - 2</v>
      </c>
      <c r="O1725" s="22" t="str">
        <f>VLOOKUP($A1725, 'Hospitalisation Details'!$A:$N, 14, FALSE)</f>
        <v>R1013</v>
      </c>
      <c r="P1725" s="36">
        <f>VLOOKUP($A1725, 'Hospitalisation Details'!$A:$O, 15, FALSE)</f>
        <v>35</v>
      </c>
    </row>
    <row r="1726" ht="15.75" customHeight="1">
      <c r="A1726" s="33" t="s">
        <v>3451</v>
      </c>
      <c r="B1726" s="22" t="str">
        <f>VLOOKUP($A1726,'Customer Names'!$A:$D,3, FALSE)</f>
        <v>Morgan</v>
      </c>
      <c r="C1726" s="22">
        <f>VLOOKUP($A1726,'Medical Examinations'!$A:$D, 2, FALSE)</f>
        <v>30.02</v>
      </c>
      <c r="D1726" s="22">
        <f>VLOOKUP($A1726, 'Medical Examinations'!$A:$D,3, FALSE)</f>
        <v>7.63</v>
      </c>
      <c r="E1726" s="22" t="str">
        <f>VLOOKUP($A1726, 'Medical Examinations'!$A:$D, 4, FALSE)</f>
        <v>Yes</v>
      </c>
      <c r="F1726" s="22" t="str">
        <f>VLOOKUP($A1726, 'Medical Examinations'!$A:$J, 5, FALSE)</f>
        <v>No</v>
      </c>
      <c r="G1726" s="22" t="str">
        <f>VLOOKUP($A1726, 'Medical Examinations'!$A:$I, 6, FALSE)</f>
        <v>No</v>
      </c>
      <c r="H1726" s="22">
        <f>VLOOKUP($A1726,'Medical Examinations'!$A:$L,10, FALSE)</f>
        <v>1</v>
      </c>
      <c r="I1726" s="22" t="str">
        <f>VLOOKUP($A1726, 'Medical Examinations'!$A:$J, 9, FALSE)</f>
        <v>No</v>
      </c>
      <c r="J1726" s="22" t="str">
        <f>VLOOKUP($A1726, 'Medical Examinations'!$A:$P, 11, FALSE)</f>
        <v>OBESITY</v>
      </c>
      <c r="K1726" s="34">
        <v>25521.0</v>
      </c>
      <c r="L1726" s="35">
        <f>VLOOKUP($A1726, 'Hospitalisation Details'!$A:$H, 7, FALSE)</f>
        <v>5272.18</v>
      </c>
      <c r="M1726" s="22" t="str">
        <f>VLOOKUP($A1726, 'Hospitalisation Details'!$A:$L, 12, FALSE)</f>
        <v>tier - 2</v>
      </c>
      <c r="N1726" s="22" t="str">
        <f>VLOOKUP($A1726, 'Hospitalisation Details'!$A:$M, 13, FALSE)</f>
        <v>tier - 3</v>
      </c>
      <c r="O1726" s="22" t="str">
        <f>VLOOKUP($A1726, 'Hospitalisation Details'!$A:$N, 14, FALSE)</f>
        <v>R1012</v>
      </c>
      <c r="P1726" s="36">
        <f>VLOOKUP($A1726, 'Hospitalisation Details'!$A:$O, 15, FALSE)</f>
        <v>36</v>
      </c>
    </row>
    <row r="1727" ht="15.75" customHeight="1">
      <c r="A1727" s="33" t="s">
        <v>3453</v>
      </c>
      <c r="B1727" s="22" t="str">
        <f>VLOOKUP($A1727,'Customer Names'!$A:$D,3, FALSE)</f>
        <v>Maloney</v>
      </c>
      <c r="C1727" s="22">
        <f>VLOOKUP($A1727,'Medical Examinations'!$A:$D, 2, FALSE)</f>
        <v>26.885</v>
      </c>
      <c r="D1727" s="22">
        <f>VLOOKUP($A1727, 'Medical Examinations'!$A:$D,3, FALSE)</f>
        <v>8.66</v>
      </c>
      <c r="E1727" s="22" t="str">
        <f>VLOOKUP($A1727, 'Medical Examinations'!$A:$D, 4, FALSE)</f>
        <v>Yes</v>
      </c>
      <c r="F1727" s="22" t="str">
        <f>VLOOKUP($A1727, 'Medical Examinations'!$A:$J, 5, FALSE)</f>
        <v>No</v>
      </c>
      <c r="G1727" s="22" t="str">
        <f>VLOOKUP($A1727, 'Medical Examinations'!$A:$I, 6, FALSE)</f>
        <v>No</v>
      </c>
      <c r="H1727" s="22">
        <f>VLOOKUP($A1727,'Medical Examinations'!$A:$L,10, FALSE)</f>
        <v>1</v>
      </c>
      <c r="I1727" s="22" t="str">
        <f>VLOOKUP($A1727, 'Medical Examinations'!$A:$J, 9, FALSE)</f>
        <v>No</v>
      </c>
      <c r="J1727" s="22" t="str">
        <f>VLOOKUP($A1727, 'Medical Examinations'!$A:$P, 11, FALSE)</f>
        <v>OVERWEIGHT</v>
      </c>
      <c r="K1727" s="34">
        <v>35649.0</v>
      </c>
      <c r="L1727" s="35">
        <f>VLOOKUP($A1727, 'Hospitalisation Details'!$A:$H, 7, FALSE)</f>
        <v>5267.82</v>
      </c>
      <c r="M1727" s="22" t="str">
        <f>VLOOKUP($A1727, 'Hospitalisation Details'!$A:$L, 12, FALSE)</f>
        <v>tier - 2</v>
      </c>
      <c r="N1727" s="22" t="str">
        <f>VLOOKUP($A1727, 'Hospitalisation Details'!$A:$M, 13, FALSE)</f>
        <v>tier - 2</v>
      </c>
      <c r="O1727" s="22" t="str">
        <f>VLOOKUP($A1727, 'Hospitalisation Details'!$A:$N, 14, FALSE)</f>
        <v>R1012</v>
      </c>
      <c r="P1727" s="36">
        <f>VLOOKUP($A1727, 'Hospitalisation Details'!$A:$O, 15, FALSE)</f>
        <v>36</v>
      </c>
    </row>
    <row r="1728" ht="15.75" customHeight="1">
      <c r="A1728" s="33" t="s">
        <v>3455</v>
      </c>
      <c r="B1728" s="22" t="str">
        <f>VLOOKUP($A1728,'Customer Names'!$A:$D,3, FALSE)</f>
        <v>Amherst</v>
      </c>
      <c r="C1728" s="22">
        <f>VLOOKUP($A1728,'Medical Examinations'!$A:$D, 2, FALSE)</f>
        <v>25.84</v>
      </c>
      <c r="D1728" s="22">
        <f>VLOOKUP($A1728, 'Medical Examinations'!$A:$D,3, FALSE)</f>
        <v>8.55</v>
      </c>
      <c r="E1728" s="22" t="str">
        <f>VLOOKUP($A1728, 'Medical Examinations'!$A:$D, 4, FALSE)</f>
        <v>Yes</v>
      </c>
      <c r="F1728" s="22" t="str">
        <f>VLOOKUP($A1728, 'Medical Examinations'!$A:$J, 5, FALSE)</f>
        <v>No</v>
      </c>
      <c r="G1728" s="22" t="str">
        <f>VLOOKUP($A1728, 'Medical Examinations'!$A:$I, 6, FALSE)</f>
        <v>No</v>
      </c>
      <c r="H1728" s="22">
        <f>VLOOKUP($A1728,'Medical Examinations'!$A:$L,10, FALSE)</f>
        <v>1</v>
      </c>
      <c r="I1728" s="22" t="str">
        <f>VLOOKUP($A1728, 'Medical Examinations'!$A:$J, 9, FALSE)</f>
        <v>No</v>
      </c>
      <c r="J1728" s="22" t="str">
        <f>VLOOKUP($A1728, 'Medical Examinations'!$A:$P, 11, FALSE)</f>
        <v>OVERWEIGHT</v>
      </c>
      <c r="K1728" s="34">
        <v>37969.0</v>
      </c>
      <c r="L1728" s="35">
        <f>VLOOKUP($A1728, 'Hospitalisation Details'!$A:$H, 7, FALSE)</f>
        <v>5266.37</v>
      </c>
      <c r="M1728" s="22" t="str">
        <f>VLOOKUP($A1728, 'Hospitalisation Details'!$A:$L, 12, FALSE)</f>
        <v>tier - 2</v>
      </c>
      <c r="N1728" s="22" t="str">
        <f>VLOOKUP($A1728, 'Hospitalisation Details'!$A:$M, 13, FALSE)</f>
        <v>tier - 2</v>
      </c>
      <c r="O1728" s="22" t="str">
        <f>VLOOKUP($A1728, 'Hospitalisation Details'!$A:$N, 14, FALSE)</f>
        <v>R1012</v>
      </c>
      <c r="P1728" s="36">
        <f>VLOOKUP($A1728, 'Hospitalisation Details'!$A:$O, 15, FALSE)</f>
        <v>36</v>
      </c>
    </row>
    <row r="1729" ht="15.75" customHeight="1">
      <c r="A1729" s="33" t="s">
        <v>3457</v>
      </c>
      <c r="B1729" s="22" t="str">
        <f>VLOOKUP($A1729,'Customer Names'!$A:$D,3, FALSE)</f>
        <v>Davenport</v>
      </c>
      <c r="C1729" s="22">
        <f>VLOOKUP($A1729,'Medical Examinations'!$A:$D, 2, FALSE)</f>
        <v>27.455</v>
      </c>
      <c r="D1729" s="22">
        <f>VLOOKUP($A1729, 'Medical Examinations'!$A:$D,3, FALSE)</f>
        <v>4.54</v>
      </c>
      <c r="E1729" s="22" t="str">
        <f>VLOOKUP($A1729, 'Medical Examinations'!$A:$D, 4, FALSE)</f>
        <v>No</v>
      </c>
      <c r="F1729" s="22" t="str">
        <f>VLOOKUP($A1729, 'Medical Examinations'!$A:$J, 5, FALSE)</f>
        <v>No</v>
      </c>
      <c r="G1729" s="22" t="str">
        <f>VLOOKUP($A1729, 'Medical Examinations'!$A:$I, 6, FALSE)</f>
        <v>No</v>
      </c>
      <c r="H1729" s="22">
        <f>VLOOKUP($A1729,'Medical Examinations'!$A:$L,10, FALSE)</f>
        <v>0</v>
      </c>
      <c r="I1729" s="22" t="str">
        <f>VLOOKUP($A1729, 'Medical Examinations'!$A:$J, 9, FALSE)</f>
        <v>No</v>
      </c>
      <c r="J1729" s="22" t="str">
        <f>VLOOKUP($A1729, 'Medical Examinations'!$A:$P, 11, FALSE)</f>
        <v>OVERWEIGHT</v>
      </c>
      <c r="K1729" s="34">
        <v>27646.0</v>
      </c>
      <c r="L1729" s="35">
        <f>VLOOKUP($A1729, 'Hospitalisation Details'!$A:$H, 7, FALSE)</f>
        <v>5261.47</v>
      </c>
      <c r="M1729" s="22" t="str">
        <f>VLOOKUP($A1729, 'Hospitalisation Details'!$A:$L, 12, FALSE)</f>
        <v>tier - 2</v>
      </c>
      <c r="N1729" s="22" t="str">
        <f>VLOOKUP($A1729, 'Hospitalisation Details'!$A:$M, 13, FALSE)</f>
        <v>tier - 2</v>
      </c>
      <c r="O1729" s="22" t="str">
        <f>VLOOKUP($A1729, 'Hospitalisation Details'!$A:$N, 14, FALSE)</f>
        <v>R1012</v>
      </c>
      <c r="P1729" s="36">
        <f>VLOOKUP($A1729, 'Hospitalisation Details'!$A:$O, 15, FALSE)</f>
        <v>33</v>
      </c>
    </row>
    <row r="1730" ht="15.75" customHeight="1">
      <c r="A1730" s="33" t="s">
        <v>3459</v>
      </c>
      <c r="B1730" s="22" t="str">
        <f>VLOOKUP($A1730,'Customer Names'!$A:$D,3, FALSE)</f>
        <v>Johansen</v>
      </c>
      <c r="C1730" s="22">
        <f>VLOOKUP($A1730,'Medical Examinations'!$A:$D, 2, FALSE)</f>
        <v>24.605</v>
      </c>
      <c r="D1730" s="22">
        <f>VLOOKUP($A1730, 'Medical Examinations'!$A:$D,3, FALSE)</f>
        <v>5.7</v>
      </c>
      <c r="E1730" s="22" t="str">
        <f>VLOOKUP($A1730, 'Medical Examinations'!$A:$D, 4, FALSE)</f>
        <v>No</v>
      </c>
      <c r="F1730" s="22" t="str">
        <f>VLOOKUP($A1730, 'Medical Examinations'!$A:$J, 5, FALSE)</f>
        <v>No</v>
      </c>
      <c r="G1730" s="22" t="str">
        <f>VLOOKUP($A1730, 'Medical Examinations'!$A:$I, 6, FALSE)</f>
        <v>No</v>
      </c>
      <c r="H1730" s="22">
        <f>VLOOKUP($A1730,'Medical Examinations'!$A:$L,10, FALSE)</f>
        <v>0</v>
      </c>
      <c r="I1730" s="22" t="str">
        <f>VLOOKUP($A1730, 'Medical Examinations'!$A:$J, 9, FALSE)</f>
        <v>No</v>
      </c>
      <c r="J1730" s="22" t="str">
        <f>VLOOKUP($A1730, 'Medical Examinations'!$A:$P, 11, FALSE)</f>
        <v>NORMAL WEIGHT</v>
      </c>
      <c r="K1730" s="34">
        <v>25881.0</v>
      </c>
      <c r="L1730" s="35">
        <f>VLOOKUP($A1730, 'Hospitalisation Details'!$A:$H, 7, FALSE)</f>
        <v>5257.51</v>
      </c>
      <c r="M1730" s="22" t="str">
        <f>VLOOKUP($A1730, 'Hospitalisation Details'!$A:$L, 12, FALSE)</f>
        <v>tier - 2</v>
      </c>
      <c r="N1730" s="22" t="str">
        <f>VLOOKUP($A1730, 'Hospitalisation Details'!$A:$M, 13, FALSE)</f>
        <v>tier - 2</v>
      </c>
      <c r="O1730" s="22" t="str">
        <f>VLOOKUP($A1730, 'Hospitalisation Details'!$A:$N, 14, FALSE)</f>
        <v>R1012</v>
      </c>
      <c r="P1730" s="36">
        <f>VLOOKUP($A1730, 'Hospitalisation Details'!$A:$O, 15, FALSE)</f>
        <v>33</v>
      </c>
    </row>
    <row r="1731" ht="15.75" customHeight="1">
      <c r="A1731" s="33" t="s">
        <v>3461</v>
      </c>
      <c r="B1731" s="22" t="str">
        <f>VLOOKUP($A1731,'Customer Names'!$A:$D,3, FALSE)</f>
        <v>Bond</v>
      </c>
      <c r="C1731" s="22">
        <f>VLOOKUP($A1731,'Medical Examinations'!$A:$D, 2, FALSE)</f>
        <v>30.8</v>
      </c>
      <c r="D1731" s="22">
        <f>VLOOKUP($A1731, 'Medical Examinations'!$A:$D,3, FALSE)</f>
        <v>5.07</v>
      </c>
      <c r="E1731" s="22" t="str">
        <f>VLOOKUP($A1731, 'Medical Examinations'!$A:$D, 4, FALSE)</f>
        <v>No</v>
      </c>
      <c r="F1731" s="22" t="str">
        <f>VLOOKUP($A1731, 'Medical Examinations'!$A:$J, 5, FALSE)</f>
        <v>No</v>
      </c>
      <c r="G1731" s="22" t="str">
        <f>VLOOKUP($A1731, 'Medical Examinations'!$A:$I, 6, FALSE)</f>
        <v>No</v>
      </c>
      <c r="H1731" s="22">
        <f>VLOOKUP($A1731,'Medical Examinations'!$A:$L,10, FALSE)</f>
        <v>0</v>
      </c>
      <c r="I1731" s="22" t="str">
        <f>VLOOKUP($A1731, 'Medical Examinations'!$A:$J, 9, FALSE)</f>
        <v>No</v>
      </c>
      <c r="J1731" s="22" t="str">
        <f>VLOOKUP($A1731, 'Medical Examinations'!$A:$P, 11, FALSE)</f>
        <v>OBESITY</v>
      </c>
      <c r="K1731" s="34">
        <v>37827.0</v>
      </c>
      <c r="L1731" s="35">
        <f>VLOOKUP($A1731, 'Hospitalisation Details'!$A:$H, 7, FALSE)</f>
        <v>5253.52</v>
      </c>
      <c r="M1731" s="22" t="str">
        <f>VLOOKUP($A1731, 'Hospitalisation Details'!$A:$L, 12, FALSE)</f>
        <v>tier - 3</v>
      </c>
      <c r="N1731" s="22" t="str">
        <f>VLOOKUP($A1731, 'Hospitalisation Details'!$A:$M, 13, FALSE)</f>
        <v>tier - 3</v>
      </c>
      <c r="O1731" s="22" t="str">
        <f>VLOOKUP($A1731, 'Hospitalisation Details'!$A:$N, 14, FALSE)</f>
        <v>R1011</v>
      </c>
      <c r="P1731" s="36">
        <f>VLOOKUP($A1731, 'Hospitalisation Details'!$A:$O, 15, FALSE)</f>
        <v>32</v>
      </c>
    </row>
    <row r="1732" ht="15.75" customHeight="1">
      <c r="A1732" s="33" t="s">
        <v>3463</v>
      </c>
      <c r="B1732" s="22" t="str">
        <f>VLOOKUP($A1732,'Customer Names'!$A:$D,3, FALSE)</f>
        <v>Reilly</v>
      </c>
      <c r="C1732" s="22">
        <f>VLOOKUP($A1732,'Medical Examinations'!$A:$D, 2, FALSE)</f>
        <v>34.8</v>
      </c>
      <c r="D1732" s="22">
        <f>VLOOKUP($A1732, 'Medical Examinations'!$A:$D,3, FALSE)</f>
        <v>4.38</v>
      </c>
      <c r="E1732" s="22" t="str">
        <f>VLOOKUP($A1732, 'Medical Examinations'!$A:$D, 4, FALSE)</f>
        <v>No</v>
      </c>
      <c r="F1732" s="22" t="str">
        <f>VLOOKUP($A1732, 'Medical Examinations'!$A:$J, 5, FALSE)</f>
        <v>No</v>
      </c>
      <c r="G1732" s="22" t="str">
        <f>VLOOKUP($A1732, 'Medical Examinations'!$A:$I, 6, FALSE)</f>
        <v>No</v>
      </c>
      <c r="H1732" s="22">
        <f>VLOOKUP($A1732,'Medical Examinations'!$A:$L,10, FALSE)</f>
        <v>1</v>
      </c>
      <c r="I1732" s="22" t="str">
        <f>VLOOKUP($A1732, 'Medical Examinations'!$A:$J, 9, FALSE)</f>
        <v>No</v>
      </c>
      <c r="J1732" s="22" t="str">
        <f>VLOOKUP($A1732, 'Medical Examinations'!$A:$P, 11, FALSE)</f>
        <v>OBESITY</v>
      </c>
      <c r="K1732" s="34">
        <v>29173.0</v>
      </c>
      <c r="L1732" s="35">
        <f>VLOOKUP($A1732, 'Hospitalisation Details'!$A:$H, 7, FALSE)</f>
        <v>5246.05</v>
      </c>
      <c r="M1732" s="22" t="str">
        <f>VLOOKUP($A1732, 'Hospitalisation Details'!$A:$L, 12, FALSE)</f>
        <v>tier - 2</v>
      </c>
      <c r="N1732" s="22" t="str">
        <f>VLOOKUP($A1732, 'Hospitalisation Details'!$A:$M, 13, FALSE)</f>
        <v>tier - 3</v>
      </c>
      <c r="O1732" s="22" t="str">
        <f>VLOOKUP($A1732, 'Hospitalisation Details'!$A:$N, 14, FALSE)</f>
        <v>R1011</v>
      </c>
      <c r="P1732" s="36">
        <f>VLOOKUP($A1732, 'Hospitalisation Details'!$A:$O, 15, FALSE)</f>
        <v>35</v>
      </c>
    </row>
    <row r="1733" ht="15.75" customHeight="1">
      <c r="A1733" s="33" t="s">
        <v>3465</v>
      </c>
      <c r="B1733" s="22" t="str">
        <f>VLOOKUP($A1733,'Customer Names'!$A:$D,3, FALSE)</f>
        <v>Chandler</v>
      </c>
      <c r="C1733" s="22">
        <f>VLOOKUP($A1733,'Medical Examinations'!$A:$D, 2, FALSE)</f>
        <v>34.21</v>
      </c>
      <c r="D1733" s="22">
        <f>VLOOKUP($A1733, 'Medical Examinations'!$A:$D,3, FALSE)</f>
        <v>4.54</v>
      </c>
      <c r="E1733" s="22" t="str">
        <f>VLOOKUP($A1733, 'Medical Examinations'!$A:$D, 4, FALSE)</f>
        <v>No</v>
      </c>
      <c r="F1733" s="22" t="str">
        <f>VLOOKUP($A1733, 'Medical Examinations'!$A:$J, 5, FALSE)</f>
        <v>No</v>
      </c>
      <c r="G1733" s="22" t="str">
        <f>VLOOKUP($A1733, 'Medical Examinations'!$A:$I, 6, FALSE)</f>
        <v>No</v>
      </c>
      <c r="H1733" s="22">
        <f>VLOOKUP($A1733,'Medical Examinations'!$A:$L,10, FALSE)</f>
        <v>1</v>
      </c>
      <c r="I1733" s="22" t="str">
        <f>VLOOKUP($A1733, 'Medical Examinations'!$A:$J, 9, FALSE)</f>
        <v>No</v>
      </c>
      <c r="J1733" s="22" t="str">
        <f>VLOOKUP($A1733, 'Medical Examinations'!$A:$P, 11, FALSE)</f>
        <v>OBESITY</v>
      </c>
      <c r="K1733" s="34">
        <v>30671.0</v>
      </c>
      <c r="L1733" s="35">
        <f>VLOOKUP($A1733, 'Hospitalisation Details'!$A:$H, 7, FALSE)</f>
        <v>5245.23</v>
      </c>
      <c r="M1733" s="22" t="str">
        <f>VLOOKUP($A1733, 'Hospitalisation Details'!$A:$L, 12, FALSE)</f>
        <v>tier - 2</v>
      </c>
      <c r="N1733" s="22" t="str">
        <f>VLOOKUP($A1733, 'Hospitalisation Details'!$A:$M, 13, FALSE)</f>
        <v>tier - 2</v>
      </c>
      <c r="O1733" s="22" t="str">
        <f>VLOOKUP($A1733, 'Hospitalisation Details'!$A:$N, 14, FALSE)</f>
        <v>R1013</v>
      </c>
      <c r="P1733" s="36">
        <f>VLOOKUP($A1733, 'Hospitalisation Details'!$A:$O, 15, FALSE)</f>
        <v>35</v>
      </c>
    </row>
    <row r="1734" ht="15.75" customHeight="1">
      <c r="A1734" s="33" t="s">
        <v>3467</v>
      </c>
      <c r="B1734" s="22" t="str">
        <f>VLOOKUP($A1734,'Customer Names'!$A:$D,3, FALSE)</f>
        <v>Kaufmann</v>
      </c>
      <c r="C1734" s="22">
        <f>VLOOKUP($A1734,'Medical Examinations'!$A:$D, 2, FALSE)</f>
        <v>31</v>
      </c>
      <c r="D1734" s="22">
        <f>VLOOKUP($A1734, 'Medical Examinations'!$A:$D,3, FALSE)</f>
        <v>5.38</v>
      </c>
      <c r="E1734" s="22" t="str">
        <f>VLOOKUP($A1734, 'Medical Examinations'!$A:$D, 4, FALSE)</f>
        <v>No</v>
      </c>
      <c r="F1734" s="22" t="str">
        <f>VLOOKUP($A1734, 'Medical Examinations'!$A:$J, 5, FALSE)</f>
        <v>No</v>
      </c>
      <c r="G1734" s="22" t="str">
        <f>VLOOKUP($A1734, 'Medical Examinations'!$A:$I, 6, FALSE)</f>
        <v>No</v>
      </c>
      <c r="H1734" s="22">
        <f>VLOOKUP($A1734,'Medical Examinations'!$A:$L,10, FALSE)</f>
        <v>1</v>
      </c>
      <c r="I1734" s="22" t="str">
        <f>VLOOKUP($A1734, 'Medical Examinations'!$A:$J, 9, FALSE)</f>
        <v>No</v>
      </c>
      <c r="J1734" s="22" t="str">
        <f>VLOOKUP($A1734, 'Medical Examinations'!$A:$P, 11, FALSE)</f>
        <v>OBESITY</v>
      </c>
      <c r="K1734" s="34">
        <v>24337.0</v>
      </c>
      <c r="L1734" s="35">
        <f>VLOOKUP($A1734, 'Hospitalisation Details'!$A:$H, 7, FALSE)</f>
        <v>5240.77</v>
      </c>
      <c r="M1734" s="22" t="str">
        <f>VLOOKUP($A1734, 'Hospitalisation Details'!$A:$L, 12, FALSE)</f>
        <v>tier - 2</v>
      </c>
      <c r="N1734" s="22" t="str">
        <f>VLOOKUP($A1734, 'Hospitalisation Details'!$A:$M, 13, FALSE)</f>
        <v>tier - 2</v>
      </c>
      <c r="O1734" s="22" t="str">
        <f>VLOOKUP($A1734, 'Hospitalisation Details'!$A:$N, 14, FALSE)</f>
        <v>R1011</v>
      </c>
      <c r="P1734" s="36">
        <f>VLOOKUP($A1734, 'Hospitalisation Details'!$A:$O, 15, FALSE)</f>
        <v>35</v>
      </c>
    </row>
    <row r="1735" ht="15.75" customHeight="1">
      <c r="A1735" s="33" t="s">
        <v>3469</v>
      </c>
      <c r="B1735" s="22" t="str">
        <f>VLOOKUP($A1735,'Customer Names'!$A:$D,3, FALSE)</f>
        <v>Barnes-Zurkinden</v>
      </c>
      <c r="C1735" s="22">
        <f>VLOOKUP($A1735,'Medical Examinations'!$A:$D, 2, FALSE)</f>
        <v>26.125</v>
      </c>
      <c r="D1735" s="22">
        <f>VLOOKUP($A1735, 'Medical Examinations'!$A:$D,3, FALSE)</f>
        <v>5.55</v>
      </c>
      <c r="E1735" s="22" t="str">
        <f>VLOOKUP($A1735, 'Medical Examinations'!$A:$D, 4, FALSE)</f>
        <v>No</v>
      </c>
      <c r="F1735" s="22" t="str">
        <f>VLOOKUP($A1735, 'Medical Examinations'!$A:$J, 5, FALSE)</f>
        <v>No</v>
      </c>
      <c r="G1735" s="22" t="str">
        <f>VLOOKUP($A1735, 'Medical Examinations'!$A:$I, 6, FALSE)</f>
        <v>No</v>
      </c>
      <c r="H1735" s="22">
        <f>VLOOKUP($A1735,'Medical Examinations'!$A:$L,10, FALSE)</f>
        <v>1</v>
      </c>
      <c r="I1735" s="22" t="str">
        <f>VLOOKUP($A1735, 'Medical Examinations'!$A:$J, 9, FALSE)</f>
        <v>No</v>
      </c>
      <c r="J1735" s="22" t="str">
        <f>VLOOKUP($A1735, 'Medical Examinations'!$A:$P, 11, FALSE)</f>
        <v>OVERWEIGHT</v>
      </c>
      <c r="K1735" s="34">
        <v>27546.0</v>
      </c>
      <c r="L1735" s="35">
        <f>VLOOKUP($A1735, 'Hospitalisation Details'!$A:$H, 7, FALSE)</f>
        <v>5227.99</v>
      </c>
      <c r="M1735" s="22" t="str">
        <f>VLOOKUP($A1735, 'Hospitalisation Details'!$A:$L, 12, FALSE)</f>
        <v>tier - 2</v>
      </c>
      <c r="N1735" s="22" t="str">
        <f>VLOOKUP($A1735, 'Hospitalisation Details'!$A:$M, 13, FALSE)</f>
        <v>tier - 1</v>
      </c>
      <c r="O1735" s="22" t="str">
        <f>VLOOKUP($A1735, 'Hospitalisation Details'!$A:$N, 14, FALSE)</f>
        <v>R1024</v>
      </c>
      <c r="P1735" s="36">
        <f>VLOOKUP($A1735, 'Hospitalisation Details'!$A:$O, 15, FALSE)</f>
        <v>35</v>
      </c>
    </row>
    <row r="1736" ht="15.75" customHeight="1">
      <c r="A1736" s="33" t="s">
        <v>3471</v>
      </c>
      <c r="B1736" s="22" t="str">
        <f>VLOOKUP($A1736,'Customer Names'!$A:$D,3, FALSE)</f>
        <v>Wolter</v>
      </c>
      <c r="C1736" s="22">
        <f>VLOOKUP($A1736,'Medical Examinations'!$A:$D, 2, FALSE)</f>
        <v>30.13</v>
      </c>
      <c r="D1736" s="22">
        <f>VLOOKUP($A1736, 'Medical Examinations'!$A:$D,3, FALSE)</f>
        <v>4.03</v>
      </c>
      <c r="E1736" s="22" t="str">
        <f>VLOOKUP($A1736, 'Medical Examinations'!$A:$D, 4, FALSE)</f>
        <v>Yes</v>
      </c>
      <c r="F1736" s="22" t="str">
        <f>VLOOKUP($A1736, 'Medical Examinations'!$A:$J, 5, FALSE)</f>
        <v>No</v>
      </c>
      <c r="G1736" s="22" t="str">
        <f>VLOOKUP($A1736, 'Medical Examinations'!$A:$I, 6, FALSE)</f>
        <v>No</v>
      </c>
      <c r="H1736" s="22">
        <f>VLOOKUP($A1736,'Medical Examinations'!$A:$L,10, FALSE)</f>
        <v>1</v>
      </c>
      <c r="I1736" s="22" t="str">
        <f>VLOOKUP($A1736, 'Medical Examinations'!$A:$J, 9, FALSE)</f>
        <v>No</v>
      </c>
      <c r="J1736" s="22" t="str">
        <f>VLOOKUP($A1736, 'Medical Examinations'!$A:$P, 11, FALSE)</f>
        <v>OBESITY</v>
      </c>
      <c r="K1736" s="34">
        <v>36398.0</v>
      </c>
      <c r="L1736" s="35">
        <f>VLOOKUP($A1736, 'Hospitalisation Details'!$A:$H, 7, FALSE)</f>
        <v>5216.48</v>
      </c>
      <c r="M1736" s="22" t="str">
        <f>VLOOKUP($A1736, 'Hospitalisation Details'!$A:$L, 12, FALSE)</f>
        <v>tier - 2</v>
      </c>
      <c r="N1736" s="22" t="str">
        <f>VLOOKUP($A1736, 'Hospitalisation Details'!$A:$M, 13, FALSE)</f>
        <v>tier - 2</v>
      </c>
      <c r="O1736" s="22" t="str">
        <f>VLOOKUP($A1736, 'Hospitalisation Details'!$A:$N, 14, FALSE)</f>
        <v>R1025</v>
      </c>
      <c r="P1736" s="36">
        <f>VLOOKUP($A1736, 'Hospitalisation Details'!$A:$O, 15, FALSE)</f>
        <v>28</v>
      </c>
    </row>
    <row r="1737" ht="15.75" customHeight="1">
      <c r="A1737" s="33" t="s">
        <v>3473</v>
      </c>
      <c r="B1737" s="22" t="str">
        <f>VLOOKUP($A1737,'Customer Names'!$A:$D,3, FALSE)</f>
        <v>Pearson</v>
      </c>
      <c r="C1737" s="22">
        <f>VLOOKUP($A1737,'Medical Examinations'!$A:$D, 2, FALSE)</f>
        <v>34.19</v>
      </c>
      <c r="D1737" s="22">
        <f>VLOOKUP($A1737, 'Medical Examinations'!$A:$D,3, FALSE)</f>
        <v>4.19</v>
      </c>
      <c r="E1737" s="22" t="str">
        <f>VLOOKUP($A1737, 'Medical Examinations'!$A:$D, 4, FALSE)</f>
        <v>No</v>
      </c>
      <c r="F1737" s="22" t="str">
        <f>VLOOKUP($A1737, 'Medical Examinations'!$A:$J, 5, FALSE)</f>
        <v>No</v>
      </c>
      <c r="G1737" s="22" t="str">
        <f>VLOOKUP($A1737, 'Medical Examinations'!$A:$I, 6, FALSE)</f>
        <v>No</v>
      </c>
      <c r="H1737" s="22">
        <f>VLOOKUP($A1737,'Medical Examinations'!$A:$L,10, FALSE)</f>
        <v>0</v>
      </c>
      <c r="I1737" s="22" t="str">
        <f>VLOOKUP($A1737, 'Medical Examinations'!$A:$J, 9, FALSE)</f>
        <v>No</v>
      </c>
      <c r="J1737" s="22" t="str">
        <f>VLOOKUP($A1737, 'Medical Examinations'!$A:$P, 11, FALSE)</f>
        <v>OBESITY</v>
      </c>
      <c r="K1737" s="34">
        <v>30312.0</v>
      </c>
      <c r="L1737" s="35">
        <f>VLOOKUP($A1737, 'Hospitalisation Details'!$A:$H, 7, FALSE)</f>
        <v>5213.22</v>
      </c>
      <c r="M1737" s="22" t="str">
        <f>VLOOKUP($A1737, 'Hospitalisation Details'!$A:$L, 12, FALSE)</f>
        <v>tier - 2</v>
      </c>
      <c r="N1737" s="22" t="str">
        <f>VLOOKUP($A1737, 'Hospitalisation Details'!$A:$M, 13, FALSE)</f>
        <v>tier - 1</v>
      </c>
      <c r="O1737" s="22" t="str">
        <f>VLOOKUP($A1737, 'Hospitalisation Details'!$A:$N, 14, FALSE)</f>
        <v>R1012</v>
      </c>
      <c r="P1737" s="36">
        <f>VLOOKUP($A1737, 'Hospitalisation Details'!$A:$O, 15, FALSE)</f>
        <v>23</v>
      </c>
    </row>
    <row r="1738" ht="15.75" customHeight="1">
      <c r="A1738" s="33" t="s">
        <v>3475</v>
      </c>
      <c r="B1738" s="22" t="str">
        <f>VLOOKUP($A1738,'Customer Names'!$A:$D,3, FALSE)</f>
        <v>Thomas</v>
      </c>
      <c r="C1738" s="22">
        <f>VLOOKUP($A1738,'Medical Examinations'!$A:$D, 2, FALSE)</f>
        <v>22.515</v>
      </c>
      <c r="D1738" s="22">
        <f>VLOOKUP($A1738, 'Medical Examinations'!$A:$D,3, FALSE)</f>
        <v>4.37</v>
      </c>
      <c r="E1738" s="22" t="str">
        <f>VLOOKUP($A1738, 'Medical Examinations'!$A:$D, 4, FALSE)</f>
        <v>No</v>
      </c>
      <c r="F1738" s="22" t="str">
        <f>VLOOKUP($A1738, 'Medical Examinations'!$A:$J, 5, FALSE)</f>
        <v>No</v>
      </c>
      <c r="G1738" s="22" t="str">
        <f>VLOOKUP($A1738, 'Medical Examinations'!$A:$I, 6, FALSE)</f>
        <v>Yes</v>
      </c>
      <c r="H1738" s="22">
        <f>VLOOKUP($A1738,'Medical Examinations'!$A:$L,10, FALSE)</f>
        <v>1</v>
      </c>
      <c r="I1738" s="22" t="str">
        <f>VLOOKUP($A1738, 'Medical Examinations'!$A:$J, 9, FALSE)</f>
        <v>No</v>
      </c>
      <c r="J1738" s="22" t="str">
        <f>VLOOKUP($A1738, 'Medical Examinations'!$A:$P, 11, FALSE)</f>
        <v>NORMAL WEIGHT</v>
      </c>
      <c r="K1738" s="34">
        <v>26100.0</v>
      </c>
      <c r="L1738" s="35">
        <f>VLOOKUP($A1738, 'Hospitalisation Details'!$A:$H, 7, FALSE)</f>
        <v>5209.58</v>
      </c>
      <c r="M1738" s="22" t="str">
        <f>VLOOKUP($A1738, 'Hospitalisation Details'!$A:$L, 12, FALSE)</f>
        <v>tier - 3</v>
      </c>
      <c r="N1738" s="22" t="str">
        <f>VLOOKUP($A1738, 'Hospitalisation Details'!$A:$M, 13, FALSE)</f>
        <v>tier - 3</v>
      </c>
      <c r="O1738" s="22" t="str">
        <f>VLOOKUP($A1738, 'Hospitalisation Details'!$A:$N, 14, FALSE)</f>
        <v>R1017</v>
      </c>
      <c r="P1738" s="36">
        <f>VLOOKUP($A1738, 'Hospitalisation Details'!$A:$O, 15, FALSE)</f>
        <v>29</v>
      </c>
    </row>
    <row r="1739" ht="15.75" customHeight="1">
      <c r="A1739" s="33" t="s">
        <v>3477</v>
      </c>
      <c r="B1739" s="22" t="str">
        <f>VLOOKUP($A1739,'Customer Names'!$A:$D,3, FALSE)</f>
        <v>Leon</v>
      </c>
      <c r="C1739" s="22">
        <f>VLOOKUP($A1739,'Medical Examinations'!$A:$D, 2, FALSE)</f>
        <v>18.24</v>
      </c>
      <c r="D1739" s="22">
        <f>VLOOKUP($A1739, 'Medical Examinations'!$A:$D,3, FALSE)</f>
        <v>5.31</v>
      </c>
      <c r="E1739" s="22" t="str">
        <f>VLOOKUP($A1739, 'Medical Examinations'!$A:$D, 4, FALSE)</f>
        <v>Yes</v>
      </c>
      <c r="F1739" s="22" t="str">
        <f>VLOOKUP($A1739, 'Medical Examinations'!$A:$J, 5, FALSE)</f>
        <v>No</v>
      </c>
      <c r="G1739" s="22" t="str">
        <f>VLOOKUP($A1739, 'Medical Examinations'!$A:$I, 6, FALSE)</f>
        <v>Yes</v>
      </c>
      <c r="H1739" s="22">
        <f>VLOOKUP($A1739,'Medical Examinations'!$A:$L,10, FALSE)</f>
        <v>1</v>
      </c>
      <c r="I1739" s="22" t="str">
        <f>VLOOKUP($A1739, 'Medical Examinations'!$A:$J, 9, FALSE)</f>
        <v>No</v>
      </c>
      <c r="J1739" s="22" t="str">
        <f>VLOOKUP($A1739, 'Medical Examinations'!$A:$P, 11, FALSE)</f>
        <v>UNDERWEIGHT</v>
      </c>
      <c r="K1739" s="34">
        <v>23978.0</v>
      </c>
      <c r="L1739" s="35">
        <f>VLOOKUP($A1739, 'Hospitalisation Details'!$A:$H, 7, FALSE)</f>
        <v>5207.97</v>
      </c>
      <c r="M1739" s="22" t="str">
        <f>VLOOKUP($A1739, 'Hospitalisation Details'!$A:$L, 12, FALSE)</f>
        <v>tier - 2</v>
      </c>
      <c r="N1739" s="22" t="str">
        <f>VLOOKUP($A1739, 'Hospitalisation Details'!$A:$M, 13, FALSE)</f>
        <v>tier - 2</v>
      </c>
      <c r="O1739" s="22" t="str">
        <f>VLOOKUP($A1739, 'Hospitalisation Details'!$A:$N, 14, FALSE)</f>
        <v>R1012</v>
      </c>
      <c r="P1739" s="36">
        <f>VLOOKUP($A1739, 'Hospitalisation Details'!$A:$O, 15, FALSE)</f>
        <v>39</v>
      </c>
    </row>
    <row r="1740" ht="15.75" customHeight="1">
      <c r="A1740" s="33" t="s">
        <v>3479</v>
      </c>
      <c r="B1740" s="22" t="str">
        <f>VLOOKUP($A1740,'Customer Names'!$A:$D,3, FALSE)</f>
        <v>Marriott</v>
      </c>
      <c r="C1740" s="22">
        <f>VLOOKUP($A1740,'Medical Examinations'!$A:$D, 2, FALSE)</f>
        <v>37.28</v>
      </c>
      <c r="D1740" s="22">
        <f>VLOOKUP($A1740, 'Medical Examinations'!$A:$D,3, FALSE)</f>
        <v>4.66</v>
      </c>
      <c r="E1740" s="22" t="str">
        <f>VLOOKUP($A1740, 'Medical Examinations'!$A:$D, 4, FALSE)</f>
        <v>No</v>
      </c>
      <c r="F1740" s="22" t="str">
        <f>VLOOKUP($A1740, 'Medical Examinations'!$A:$J, 5, FALSE)</f>
        <v>Yes</v>
      </c>
      <c r="G1740" s="22" t="str">
        <f>VLOOKUP($A1740, 'Medical Examinations'!$A:$I, 6, FALSE)</f>
        <v>No</v>
      </c>
      <c r="H1740" s="22">
        <f>VLOOKUP($A1740,'Medical Examinations'!$A:$L,10, FALSE)</f>
        <v>1</v>
      </c>
      <c r="I1740" s="22" t="str">
        <f>VLOOKUP($A1740, 'Medical Examinations'!$A:$J, 9, FALSE)</f>
        <v>No</v>
      </c>
      <c r="J1740" s="22" t="str">
        <f>VLOOKUP($A1740, 'Medical Examinations'!$A:$P, 11, FALSE)</f>
        <v>OBESITY</v>
      </c>
      <c r="K1740" s="34">
        <v>29476.0</v>
      </c>
      <c r="L1740" s="35">
        <f>VLOOKUP($A1740, 'Hospitalisation Details'!$A:$H, 7, FALSE)</f>
        <v>5198.69</v>
      </c>
      <c r="M1740" s="22" t="str">
        <f>VLOOKUP($A1740, 'Hospitalisation Details'!$A:$L, 12, FALSE)</f>
        <v>tier - 2</v>
      </c>
      <c r="N1740" s="22" t="str">
        <f>VLOOKUP($A1740, 'Hospitalisation Details'!$A:$M, 13, FALSE)</f>
        <v>tier - 2</v>
      </c>
      <c r="O1740" s="22" t="str">
        <f>VLOOKUP($A1740, 'Hospitalisation Details'!$A:$N, 14, FALSE)</f>
        <v>R1022</v>
      </c>
      <c r="P1740" s="36">
        <f>VLOOKUP($A1740, 'Hospitalisation Details'!$A:$O, 15, FALSE)</f>
        <v>19</v>
      </c>
    </row>
    <row r="1741" ht="15.75" customHeight="1">
      <c r="A1741" s="33" t="s">
        <v>3481</v>
      </c>
      <c r="B1741" s="22" t="str">
        <f>VLOOKUP($A1741,'Customer Names'!$A:$D,3, FALSE)</f>
        <v>Wilkins</v>
      </c>
      <c r="C1741" s="22">
        <f>VLOOKUP($A1741,'Medical Examinations'!$A:$D, 2, FALSE)</f>
        <v>18.2</v>
      </c>
      <c r="D1741" s="22">
        <f>VLOOKUP($A1741, 'Medical Examinations'!$A:$D,3, FALSE)</f>
        <v>6.19</v>
      </c>
      <c r="E1741" s="22" t="str">
        <f>VLOOKUP($A1741, 'Medical Examinations'!$A:$D, 4, FALSE)</f>
        <v>No</v>
      </c>
      <c r="F1741" s="22" t="str">
        <f>VLOOKUP($A1741, 'Medical Examinations'!$A:$J, 5, FALSE)</f>
        <v>No</v>
      </c>
      <c r="G1741" s="22" t="str">
        <f>VLOOKUP($A1741, 'Medical Examinations'!$A:$I, 6, FALSE)</f>
        <v>Yes</v>
      </c>
      <c r="H1741" s="22">
        <f>VLOOKUP($A1741,'Medical Examinations'!$A:$L,10, FALSE)</f>
        <v>1</v>
      </c>
      <c r="I1741" s="22" t="str">
        <f>VLOOKUP($A1741, 'Medical Examinations'!$A:$J, 9, FALSE)</f>
        <v>No</v>
      </c>
      <c r="J1741" s="22" t="str">
        <f>VLOOKUP($A1741, 'Medical Examinations'!$A:$P, 11, FALSE)</f>
        <v>UNDERWEIGHT</v>
      </c>
      <c r="K1741" s="34">
        <v>37131.0</v>
      </c>
      <c r="L1741" s="35">
        <f>VLOOKUP($A1741, 'Hospitalisation Details'!$A:$H, 7, FALSE)</f>
        <v>5195.58</v>
      </c>
      <c r="M1741" s="22" t="str">
        <f>VLOOKUP($A1741, 'Hospitalisation Details'!$A:$L, 12, FALSE)</f>
        <v>tier - 2</v>
      </c>
      <c r="N1741" s="22" t="str">
        <f>VLOOKUP($A1741, 'Hospitalisation Details'!$A:$M, 13, FALSE)</f>
        <v>tier - 2</v>
      </c>
      <c r="O1741" s="22" t="str">
        <f>VLOOKUP($A1741, 'Hospitalisation Details'!$A:$N, 14, FALSE)</f>
        <v>R1013</v>
      </c>
      <c r="P1741" s="36">
        <f>VLOOKUP($A1741, 'Hospitalisation Details'!$A:$O, 15, FALSE)</f>
        <v>43</v>
      </c>
    </row>
    <row r="1742" ht="15.75" customHeight="1">
      <c r="A1742" s="33" t="s">
        <v>3483</v>
      </c>
      <c r="B1742" s="22" t="str">
        <f>VLOOKUP($A1742,'Customer Names'!$A:$D,3, FALSE)</f>
        <v>Saiter</v>
      </c>
      <c r="C1742" s="22">
        <f>VLOOKUP($A1742,'Medical Examinations'!$A:$D, 2, FALSE)</f>
        <v>20.53</v>
      </c>
      <c r="D1742" s="22">
        <f>VLOOKUP($A1742, 'Medical Examinations'!$A:$D,3, FALSE)</f>
        <v>4.86</v>
      </c>
      <c r="E1742" s="22" t="str">
        <f>VLOOKUP($A1742, 'Medical Examinations'!$A:$D, 4, FALSE)</f>
        <v>No</v>
      </c>
      <c r="F1742" s="22" t="str">
        <f>VLOOKUP($A1742, 'Medical Examinations'!$A:$J, 5, FALSE)</f>
        <v>No</v>
      </c>
      <c r="G1742" s="22" t="str">
        <f>VLOOKUP($A1742, 'Medical Examinations'!$A:$I, 6, FALSE)</f>
        <v>No</v>
      </c>
      <c r="H1742" s="22">
        <f>VLOOKUP($A1742,'Medical Examinations'!$A:$L,10, FALSE)</f>
        <v>1</v>
      </c>
      <c r="I1742" s="22" t="str">
        <f>VLOOKUP($A1742, 'Medical Examinations'!$A:$J, 9, FALSE)</f>
        <v>No</v>
      </c>
      <c r="J1742" s="22" t="str">
        <f>VLOOKUP($A1742, 'Medical Examinations'!$A:$P, 11, FALSE)</f>
        <v>NORMAL WEIGHT</v>
      </c>
      <c r="K1742" s="34">
        <v>32795.0</v>
      </c>
      <c r="L1742" s="35">
        <f>VLOOKUP($A1742, 'Hospitalisation Details'!$A:$H, 7, FALSE)</f>
        <v>5177.12</v>
      </c>
      <c r="M1742" s="22" t="str">
        <f>VLOOKUP($A1742, 'Hospitalisation Details'!$A:$L, 12, FALSE)</f>
        <v>tier - 2</v>
      </c>
      <c r="N1742" s="22" t="str">
        <f>VLOOKUP($A1742, 'Hospitalisation Details'!$A:$M, 13, FALSE)</f>
        <v>tier - 1</v>
      </c>
      <c r="O1742" s="22" t="str">
        <f>VLOOKUP($A1742, 'Hospitalisation Details'!$A:$N, 14, FALSE)</f>
        <v>R1013</v>
      </c>
      <c r="P1742" s="36">
        <f>VLOOKUP($A1742, 'Hospitalisation Details'!$A:$O, 15, FALSE)</f>
        <v>38</v>
      </c>
    </row>
    <row r="1743" ht="15.75" customHeight="1">
      <c r="A1743" s="33" t="s">
        <v>3485</v>
      </c>
      <c r="B1743" s="22" t="str">
        <f>VLOOKUP($A1743,'Customer Names'!$A:$D,3, FALSE)</f>
        <v>Winrow</v>
      </c>
      <c r="C1743" s="22">
        <f>VLOOKUP($A1743,'Medical Examinations'!$A:$D, 2, FALSE)</f>
        <v>23.79</v>
      </c>
      <c r="D1743" s="22">
        <f>VLOOKUP($A1743, 'Medical Examinations'!$A:$D,3, FALSE)</f>
        <v>4.74</v>
      </c>
      <c r="E1743" s="22" t="str">
        <f>VLOOKUP($A1743, 'Medical Examinations'!$A:$D, 4, FALSE)</f>
        <v>No</v>
      </c>
      <c r="F1743" s="22" t="str">
        <f>VLOOKUP($A1743, 'Medical Examinations'!$A:$J, 5, FALSE)</f>
        <v>No</v>
      </c>
      <c r="G1743" s="22" t="str">
        <f>VLOOKUP($A1743, 'Medical Examinations'!$A:$I, 6, FALSE)</f>
        <v>No</v>
      </c>
      <c r="H1743" s="22">
        <f>VLOOKUP($A1743,'Medical Examinations'!$A:$L,10, FALSE)</f>
        <v>0</v>
      </c>
      <c r="I1743" s="22" t="str">
        <f>VLOOKUP($A1743, 'Medical Examinations'!$A:$J, 9, FALSE)</f>
        <v>No</v>
      </c>
      <c r="J1743" s="22" t="str">
        <f>VLOOKUP($A1743, 'Medical Examinations'!$A:$P, 11, FALSE)</f>
        <v>NORMAL WEIGHT</v>
      </c>
      <c r="K1743" s="34">
        <v>27747.0</v>
      </c>
      <c r="L1743" s="35">
        <f>VLOOKUP($A1743, 'Hospitalisation Details'!$A:$H, 7, FALSE)</f>
        <v>5166.96</v>
      </c>
      <c r="M1743" s="22" t="str">
        <f>VLOOKUP($A1743, 'Hospitalisation Details'!$A:$L, 12, FALSE)</f>
        <v>tier - 2</v>
      </c>
      <c r="N1743" s="22" t="str">
        <f>VLOOKUP($A1743, 'Hospitalisation Details'!$A:$M, 13, FALSE)</f>
        <v>tier - 2</v>
      </c>
      <c r="O1743" s="22" t="str">
        <f>VLOOKUP($A1743, 'Hospitalisation Details'!$A:$N, 14, FALSE)</f>
        <v>R1012</v>
      </c>
      <c r="P1743" s="36">
        <f>VLOOKUP($A1743, 'Hospitalisation Details'!$A:$O, 15, FALSE)</f>
        <v>31</v>
      </c>
    </row>
    <row r="1744" ht="15.75" customHeight="1">
      <c r="A1744" s="33" t="s">
        <v>3487</v>
      </c>
      <c r="B1744" s="22" t="str">
        <f>VLOOKUP($A1744,'Customer Names'!$A:$D,3, FALSE)</f>
        <v>Gries</v>
      </c>
      <c r="C1744" s="22">
        <f>VLOOKUP($A1744,'Medical Examinations'!$A:$D, 2, FALSE)</f>
        <v>29.8</v>
      </c>
      <c r="D1744" s="22">
        <f>VLOOKUP($A1744, 'Medical Examinations'!$A:$D,3, FALSE)</f>
        <v>6.03</v>
      </c>
      <c r="E1744" s="22" t="str">
        <f>VLOOKUP($A1744, 'Medical Examinations'!$A:$D, 4, FALSE)</f>
        <v>No</v>
      </c>
      <c r="F1744" s="22" t="str">
        <f>VLOOKUP($A1744, 'Medical Examinations'!$A:$J, 5, FALSE)</f>
        <v>No</v>
      </c>
      <c r="G1744" s="22" t="str">
        <f>VLOOKUP($A1744, 'Medical Examinations'!$A:$I, 6, FALSE)</f>
        <v>No</v>
      </c>
      <c r="H1744" s="22">
        <f>VLOOKUP($A1744,'Medical Examinations'!$A:$L,10, FALSE)</f>
        <v>0</v>
      </c>
      <c r="I1744" s="22" t="str">
        <f>VLOOKUP($A1744, 'Medical Examinations'!$A:$J, 9, FALSE)</f>
        <v>No</v>
      </c>
      <c r="J1744" s="22" t="str">
        <f>VLOOKUP($A1744, 'Medical Examinations'!$A:$P, 11, FALSE)</f>
        <v>OVERWEIGHT</v>
      </c>
      <c r="K1744" s="34">
        <v>37892.0</v>
      </c>
      <c r="L1744" s="35">
        <f>VLOOKUP($A1744, 'Hospitalisation Details'!$A:$H, 7, FALSE)</f>
        <v>5152.13</v>
      </c>
      <c r="M1744" s="22" t="str">
        <f>VLOOKUP($A1744, 'Hospitalisation Details'!$A:$L, 12, FALSE)</f>
        <v>tier - 2</v>
      </c>
      <c r="N1744" s="22" t="str">
        <f>VLOOKUP($A1744, 'Hospitalisation Details'!$A:$M, 13, FALSE)</f>
        <v>tier - 2</v>
      </c>
      <c r="O1744" s="22" t="str">
        <f>VLOOKUP($A1744, 'Hospitalisation Details'!$A:$N, 14, FALSE)</f>
        <v>R1011</v>
      </c>
      <c r="P1744" s="36">
        <f>VLOOKUP($A1744, 'Hospitalisation Details'!$A:$O, 15, FALSE)</f>
        <v>32</v>
      </c>
    </row>
    <row r="1745" ht="15.75" customHeight="1">
      <c r="A1745" s="33" t="s">
        <v>3489</v>
      </c>
      <c r="B1745" s="22" t="str">
        <f>VLOOKUP($A1745,'Customer Names'!$A:$D,3, FALSE)</f>
        <v>Strohschein</v>
      </c>
      <c r="C1745" s="22">
        <f>VLOOKUP($A1745,'Medical Examinations'!$A:$D, 2, FALSE)</f>
        <v>31.54</v>
      </c>
      <c r="D1745" s="22">
        <f>VLOOKUP($A1745, 'Medical Examinations'!$A:$D,3, FALSE)</f>
        <v>4.71</v>
      </c>
      <c r="E1745" s="22" t="str">
        <f>VLOOKUP($A1745, 'Medical Examinations'!$A:$D, 4, FALSE)</f>
        <v>No</v>
      </c>
      <c r="F1745" s="22" t="str">
        <f>VLOOKUP($A1745, 'Medical Examinations'!$A:$J, 5, FALSE)</f>
        <v>No</v>
      </c>
      <c r="G1745" s="22" t="str">
        <f>VLOOKUP($A1745, 'Medical Examinations'!$A:$I, 6, FALSE)</f>
        <v>No</v>
      </c>
      <c r="H1745" s="22">
        <f>VLOOKUP($A1745,'Medical Examinations'!$A:$L,10, FALSE)</f>
        <v>0</v>
      </c>
      <c r="I1745" s="22" t="str">
        <f>VLOOKUP($A1745, 'Medical Examinations'!$A:$J, 9, FALSE)</f>
        <v>No</v>
      </c>
      <c r="J1745" s="22" t="str">
        <f>VLOOKUP($A1745, 'Medical Examinations'!$A:$P, 11, FALSE)</f>
        <v>OBESITY</v>
      </c>
      <c r="K1745" s="34">
        <v>29084.0</v>
      </c>
      <c r="L1745" s="35">
        <f>VLOOKUP($A1745, 'Hospitalisation Details'!$A:$H, 7, FALSE)</f>
        <v>5148.55</v>
      </c>
      <c r="M1745" s="22" t="str">
        <f>VLOOKUP($A1745, 'Hospitalisation Details'!$A:$L, 12, FALSE)</f>
        <v>tier - 2</v>
      </c>
      <c r="N1745" s="22" t="str">
        <f>VLOOKUP($A1745, 'Hospitalisation Details'!$A:$M, 13, FALSE)</f>
        <v>tier - 2</v>
      </c>
      <c r="O1745" s="22" t="str">
        <f>VLOOKUP($A1745, 'Hospitalisation Details'!$A:$N, 14, FALSE)</f>
        <v>R1024</v>
      </c>
      <c r="P1745" s="36">
        <f>VLOOKUP($A1745, 'Hospitalisation Details'!$A:$O, 15, FALSE)</f>
        <v>32</v>
      </c>
    </row>
    <row r="1746" ht="15.75" customHeight="1">
      <c r="A1746" s="33" t="s">
        <v>3491</v>
      </c>
      <c r="B1746" s="22" t="str">
        <f>VLOOKUP($A1746,'Customer Names'!$A:$D,3, FALSE)</f>
        <v>Berger</v>
      </c>
      <c r="C1746" s="22">
        <f>VLOOKUP($A1746,'Medical Examinations'!$A:$D, 2, FALSE)</f>
        <v>20.82</v>
      </c>
      <c r="D1746" s="22">
        <f>VLOOKUP($A1746, 'Medical Examinations'!$A:$D,3, FALSE)</f>
        <v>5.55</v>
      </c>
      <c r="E1746" s="22" t="str">
        <f>VLOOKUP($A1746, 'Medical Examinations'!$A:$D, 4, FALSE)</f>
        <v>No</v>
      </c>
      <c r="F1746" s="22" t="str">
        <f>VLOOKUP($A1746, 'Medical Examinations'!$A:$J, 5, FALSE)</f>
        <v>No</v>
      </c>
      <c r="G1746" s="22" t="str">
        <f>VLOOKUP($A1746, 'Medical Examinations'!$A:$I, 6, FALSE)</f>
        <v>No</v>
      </c>
      <c r="H1746" s="22">
        <f>VLOOKUP($A1746,'Medical Examinations'!$A:$L,10, FALSE)</f>
        <v>1</v>
      </c>
      <c r="I1746" s="22" t="str">
        <f>VLOOKUP($A1746, 'Medical Examinations'!$A:$J, 9, FALSE)</f>
        <v>No</v>
      </c>
      <c r="J1746" s="22" t="str">
        <f>VLOOKUP($A1746, 'Medical Examinations'!$A:$P, 11, FALSE)</f>
        <v>NORMAL WEIGHT</v>
      </c>
      <c r="K1746" s="34">
        <v>32340.0</v>
      </c>
      <c r="L1746" s="35">
        <f>VLOOKUP($A1746, 'Hospitalisation Details'!$A:$H, 7, FALSE)</f>
        <v>5144.18</v>
      </c>
      <c r="M1746" s="22" t="str">
        <f>VLOOKUP($A1746, 'Hospitalisation Details'!$A:$L, 12, FALSE)</f>
        <v>tier - 2</v>
      </c>
      <c r="N1746" s="22" t="str">
        <f>VLOOKUP($A1746, 'Hospitalisation Details'!$A:$M, 13, FALSE)</f>
        <v>tier - 1</v>
      </c>
      <c r="O1746" s="22" t="str">
        <f>VLOOKUP($A1746, 'Hospitalisation Details'!$A:$N, 14, FALSE)</f>
        <v>R1013</v>
      </c>
      <c r="P1746" s="36">
        <f>VLOOKUP($A1746, 'Hospitalisation Details'!$A:$O, 15, FALSE)</f>
        <v>38</v>
      </c>
    </row>
    <row r="1747" ht="15.75" customHeight="1">
      <c r="A1747" s="33" t="s">
        <v>3493</v>
      </c>
      <c r="B1747" s="22" t="str">
        <f>VLOOKUP($A1747,'Customer Names'!$A:$D,3, FALSE)</f>
        <v>Coogan</v>
      </c>
      <c r="C1747" s="22">
        <f>VLOOKUP($A1747,'Medical Examinations'!$A:$D, 2, FALSE)</f>
        <v>38.83</v>
      </c>
      <c r="D1747" s="22">
        <f>VLOOKUP($A1747, 'Medical Examinations'!$A:$D,3, FALSE)</f>
        <v>4.78</v>
      </c>
      <c r="E1747" s="22" t="str">
        <f>VLOOKUP($A1747, 'Medical Examinations'!$A:$D, 4, FALSE)</f>
        <v>No</v>
      </c>
      <c r="F1747" s="22" t="str">
        <f>VLOOKUP($A1747, 'Medical Examinations'!$A:$J, 5, FALSE)</f>
        <v>No</v>
      </c>
      <c r="G1747" s="22" t="str">
        <f>VLOOKUP($A1747, 'Medical Examinations'!$A:$I, 6, FALSE)</f>
        <v>Yes</v>
      </c>
      <c r="H1747" s="22">
        <f>VLOOKUP($A1747,'Medical Examinations'!$A:$L,10, FALSE)</f>
        <v>1</v>
      </c>
      <c r="I1747" s="22" t="str">
        <f>VLOOKUP($A1747, 'Medical Examinations'!$A:$J, 9, FALSE)</f>
        <v>No</v>
      </c>
      <c r="J1747" s="22" t="str">
        <f>VLOOKUP($A1747, 'Medical Examinations'!$A:$P, 11, FALSE)</f>
        <v>OBESITY</v>
      </c>
      <c r="K1747" s="34">
        <v>23250.0</v>
      </c>
      <c r="L1747" s="35">
        <f>VLOOKUP($A1747, 'Hospitalisation Details'!$A:$H, 7, FALSE)</f>
        <v>5138.26</v>
      </c>
      <c r="M1747" s="22" t="str">
        <f>VLOOKUP($A1747, 'Hospitalisation Details'!$A:$L, 12, FALSE)</f>
        <v>tier - 2</v>
      </c>
      <c r="N1747" s="22" t="str">
        <f>VLOOKUP($A1747, 'Hospitalisation Details'!$A:$M, 13, FALSE)</f>
        <v>tier - 2</v>
      </c>
      <c r="O1747" s="22" t="str">
        <f>VLOOKUP($A1747, 'Hospitalisation Details'!$A:$N, 14, FALSE)</f>
        <v>R1013</v>
      </c>
      <c r="P1747" s="36">
        <f>VLOOKUP($A1747, 'Hospitalisation Details'!$A:$O, 15, FALSE)</f>
        <v>29</v>
      </c>
    </row>
    <row r="1748" ht="15.75" customHeight="1">
      <c r="A1748" s="33" t="s">
        <v>3495</v>
      </c>
      <c r="B1748" s="22" t="str">
        <f>VLOOKUP($A1748,'Customer Names'!$A:$D,3, FALSE)</f>
        <v>Gagnon</v>
      </c>
      <c r="C1748" s="22">
        <f>VLOOKUP($A1748,'Medical Examinations'!$A:$D, 2, FALSE)</f>
        <v>23.44</v>
      </c>
      <c r="D1748" s="22">
        <f>VLOOKUP($A1748, 'Medical Examinations'!$A:$D,3, FALSE)</f>
        <v>4.65</v>
      </c>
      <c r="E1748" s="22" t="str">
        <f>VLOOKUP($A1748, 'Medical Examinations'!$A:$D, 4, FALSE)</f>
        <v>Yes</v>
      </c>
      <c r="F1748" s="22" t="str">
        <f>VLOOKUP($A1748, 'Medical Examinations'!$A:$J, 5, FALSE)</f>
        <v>No</v>
      </c>
      <c r="G1748" s="22" t="str">
        <f>VLOOKUP($A1748, 'Medical Examinations'!$A:$I, 6, FALSE)</f>
        <v>No</v>
      </c>
      <c r="H1748" s="22">
        <f>VLOOKUP($A1748,'Medical Examinations'!$A:$L,10, FALSE)</f>
        <v>1</v>
      </c>
      <c r="I1748" s="22" t="str">
        <f>VLOOKUP($A1748, 'Medical Examinations'!$A:$J, 9, FALSE)</f>
        <v>No</v>
      </c>
      <c r="J1748" s="22" t="str">
        <f>VLOOKUP($A1748, 'Medical Examinations'!$A:$P, 11, FALSE)</f>
        <v>NORMAL WEIGHT</v>
      </c>
      <c r="K1748" s="34">
        <v>29126.0</v>
      </c>
      <c r="L1748" s="35">
        <f>VLOOKUP($A1748, 'Hospitalisation Details'!$A:$H, 7, FALSE)</f>
        <v>5136.75</v>
      </c>
      <c r="M1748" s="22" t="str">
        <f>VLOOKUP($A1748, 'Hospitalisation Details'!$A:$L, 12, FALSE)</f>
        <v>tier - 2</v>
      </c>
      <c r="N1748" s="22" t="str">
        <f>VLOOKUP($A1748, 'Hospitalisation Details'!$A:$M, 13, FALSE)</f>
        <v>tier - 1</v>
      </c>
      <c r="O1748" s="22" t="str">
        <f>VLOOKUP($A1748, 'Hospitalisation Details'!$A:$N, 14, FALSE)</f>
        <v>R1013</v>
      </c>
      <c r="P1748" s="36">
        <f>VLOOKUP($A1748, 'Hospitalisation Details'!$A:$O, 15, FALSE)</f>
        <v>34</v>
      </c>
    </row>
    <row r="1749" ht="15.75" customHeight="1">
      <c r="A1749" s="33" t="s">
        <v>3497</v>
      </c>
      <c r="B1749" s="22" t="str">
        <f>VLOOKUP($A1749,'Customer Names'!$A:$D,3, FALSE)</f>
        <v>Pearson</v>
      </c>
      <c r="C1749" s="22">
        <f>VLOOKUP($A1749,'Medical Examinations'!$A:$D, 2, FALSE)</f>
        <v>24.13</v>
      </c>
      <c r="D1749" s="22">
        <f>VLOOKUP($A1749, 'Medical Examinations'!$A:$D,3, FALSE)</f>
        <v>5.2</v>
      </c>
      <c r="E1749" s="22" t="str">
        <f>VLOOKUP($A1749, 'Medical Examinations'!$A:$D, 4, FALSE)</f>
        <v>No</v>
      </c>
      <c r="F1749" s="22" t="str">
        <f>VLOOKUP($A1749, 'Medical Examinations'!$A:$J, 5, FALSE)</f>
        <v>No</v>
      </c>
      <c r="G1749" s="22" t="str">
        <f>VLOOKUP($A1749, 'Medical Examinations'!$A:$I, 6, FALSE)</f>
        <v>No</v>
      </c>
      <c r="H1749" s="22">
        <f>VLOOKUP($A1749,'Medical Examinations'!$A:$L,10, FALSE)</f>
        <v>1</v>
      </c>
      <c r="I1749" s="22" t="str">
        <f>VLOOKUP($A1749, 'Medical Examinations'!$A:$J, 9, FALSE)</f>
        <v>No</v>
      </c>
      <c r="J1749" s="22" t="str">
        <f>VLOOKUP($A1749, 'Medical Examinations'!$A:$P, 11, FALSE)</f>
        <v>NORMAL WEIGHT</v>
      </c>
      <c r="K1749" s="34">
        <v>29118.0</v>
      </c>
      <c r="L1749" s="35">
        <f>VLOOKUP($A1749, 'Hospitalisation Details'!$A:$H, 7, FALSE)</f>
        <v>5125.22</v>
      </c>
      <c r="M1749" s="22" t="str">
        <f>VLOOKUP($A1749, 'Hospitalisation Details'!$A:$L, 12, FALSE)</f>
        <v>tier - 1</v>
      </c>
      <c r="N1749" s="22" t="str">
        <f>VLOOKUP($A1749, 'Hospitalisation Details'!$A:$M, 13, FALSE)</f>
        <v>tier - 2</v>
      </c>
      <c r="O1749" s="22" t="str">
        <f>VLOOKUP($A1749, 'Hospitalisation Details'!$A:$N, 14, FALSE)</f>
        <v>R1012</v>
      </c>
      <c r="P1749" s="36">
        <f>VLOOKUP($A1749, 'Hospitalisation Details'!$A:$O, 15, FALSE)</f>
        <v>35</v>
      </c>
    </row>
    <row r="1750" ht="15.75" customHeight="1">
      <c r="A1750" s="33" t="s">
        <v>3499</v>
      </c>
      <c r="B1750" s="22" t="str">
        <f>VLOOKUP($A1750,'Customer Names'!$A:$D,3, FALSE)</f>
        <v>Brian</v>
      </c>
      <c r="C1750" s="22">
        <f>VLOOKUP($A1750,'Medical Examinations'!$A:$D, 2, FALSE)</f>
        <v>42.13</v>
      </c>
      <c r="D1750" s="22">
        <f>VLOOKUP($A1750, 'Medical Examinations'!$A:$D,3, FALSE)</f>
        <v>4.54</v>
      </c>
      <c r="E1750" s="22" t="str">
        <f>VLOOKUP($A1750, 'Medical Examinations'!$A:$D, 4, FALSE)</f>
        <v>Yes</v>
      </c>
      <c r="F1750" s="22" t="str">
        <f>VLOOKUP($A1750, 'Medical Examinations'!$A:$J, 5, FALSE)</f>
        <v>No</v>
      </c>
      <c r="G1750" s="22" t="str">
        <f>VLOOKUP($A1750, 'Medical Examinations'!$A:$I, 6, FALSE)</f>
        <v>No</v>
      </c>
      <c r="H1750" s="22">
        <f>VLOOKUP($A1750,'Medical Examinations'!$A:$L,10, FALSE)</f>
        <v>1</v>
      </c>
      <c r="I1750" s="22" t="str">
        <f>VLOOKUP($A1750, 'Medical Examinations'!$A:$J, 9, FALSE)</f>
        <v>No</v>
      </c>
      <c r="J1750" s="22" t="str">
        <f>VLOOKUP($A1750, 'Medical Examinations'!$A:$P, 11, FALSE)</f>
        <v>OBESITY</v>
      </c>
      <c r="K1750" s="34">
        <v>27959.0</v>
      </c>
      <c r="L1750" s="35">
        <f>VLOOKUP($A1750, 'Hospitalisation Details'!$A:$H, 7, FALSE)</f>
        <v>5124.19</v>
      </c>
      <c r="M1750" s="22" t="str">
        <f>VLOOKUP($A1750, 'Hospitalisation Details'!$A:$L, 12, FALSE)</f>
        <v>tier - 2</v>
      </c>
      <c r="N1750" s="22" t="str">
        <f>VLOOKUP($A1750, 'Hospitalisation Details'!$A:$M, 13, FALSE)</f>
        <v>tier - 3</v>
      </c>
      <c r="O1750" s="22" t="str">
        <f>VLOOKUP($A1750, 'Hospitalisation Details'!$A:$N, 14, FALSE)</f>
        <v>R1013</v>
      </c>
      <c r="P1750" s="36">
        <f>VLOOKUP($A1750, 'Hospitalisation Details'!$A:$O, 15, FALSE)</f>
        <v>34</v>
      </c>
    </row>
    <row r="1751" ht="15.75" customHeight="1">
      <c r="A1751" s="33" t="s">
        <v>3501</v>
      </c>
      <c r="B1751" s="22" t="str">
        <f>VLOOKUP($A1751,'Customer Names'!$A:$D,3, FALSE)</f>
        <v>Brown</v>
      </c>
      <c r="C1751" s="22">
        <f>VLOOKUP($A1751,'Medical Examinations'!$A:$D, 2, FALSE)</f>
        <v>17.86</v>
      </c>
      <c r="D1751" s="22">
        <f>VLOOKUP($A1751, 'Medical Examinations'!$A:$D,3, FALSE)</f>
        <v>4.11</v>
      </c>
      <c r="E1751" s="22" t="str">
        <f>VLOOKUP($A1751, 'Medical Examinations'!$A:$D, 4, FALSE)</f>
        <v>No</v>
      </c>
      <c r="F1751" s="22" t="str">
        <f>VLOOKUP($A1751, 'Medical Examinations'!$A:$J, 5, FALSE)</f>
        <v>No</v>
      </c>
      <c r="G1751" s="22" t="str">
        <f>VLOOKUP($A1751, 'Medical Examinations'!$A:$I, 6, FALSE)</f>
        <v>No</v>
      </c>
      <c r="H1751" s="22">
        <f>VLOOKUP($A1751,'Medical Examinations'!$A:$L,10, FALSE)</f>
        <v>1</v>
      </c>
      <c r="I1751" s="22" t="str">
        <f>VLOOKUP($A1751, 'Medical Examinations'!$A:$J, 9, FALSE)</f>
        <v>No</v>
      </c>
      <c r="J1751" s="22" t="str">
        <f>VLOOKUP($A1751, 'Medical Examinations'!$A:$P, 11, FALSE)</f>
        <v>UNDERWEIGHT</v>
      </c>
      <c r="K1751" s="34">
        <v>22966.0</v>
      </c>
      <c r="L1751" s="35">
        <f>VLOOKUP($A1751, 'Hospitalisation Details'!$A:$H, 7, FALSE)</f>
        <v>5116.5</v>
      </c>
      <c r="M1751" s="22" t="str">
        <f>VLOOKUP($A1751, 'Hospitalisation Details'!$A:$L, 12, FALSE)</f>
        <v>tier - 2</v>
      </c>
      <c r="N1751" s="22" t="str">
        <f>VLOOKUP($A1751, 'Hospitalisation Details'!$A:$M, 13, FALSE)</f>
        <v>tier - 2</v>
      </c>
      <c r="O1751" s="22" t="str">
        <f>VLOOKUP($A1751, 'Hospitalisation Details'!$A:$N, 14, FALSE)</f>
        <v>R1012</v>
      </c>
      <c r="P1751" s="36">
        <f>VLOOKUP($A1751, 'Hospitalisation Details'!$A:$O, 15, FALSE)</f>
        <v>35</v>
      </c>
    </row>
    <row r="1752" ht="15.75" customHeight="1">
      <c r="A1752" s="33" t="s">
        <v>3503</v>
      </c>
      <c r="B1752" s="22" t="str">
        <f>VLOOKUP($A1752,'Customer Names'!$A:$D,3, FALSE)</f>
        <v>Fox</v>
      </c>
      <c r="C1752" s="22">
        <f>VLOOKUP($A1752,'Medical Examinations'!$A:$D, 2, FALSE)</f>
        <v>32.78</v>
      </c>
      <c r="D1752" s="22">
        <f>VLOOKUP($A1752, 'Medical Examinations'!$A:$D,3, FALSE)</f>
        <v>4.63</v>
      </c>
      <c r="E1752" s="22" t="str">
        <f>VLOOKUP($A1752, 'Medical Examinations'!$A:$D, 4, FALSE)</f>
        <v>No</v>
      </c>
      <c r="F1752" s="22" t="str">
        <f>VLOOKUP($A1752, 'Medical Examinations'!$A:$J, 5, FALSE)</f>
        <v>No</v>
      </c>
      <c r="G1752" s="22" t="str">
        <f>VLOOKUP($A1752, 'Medical Examinations'!$A:$I, 6, FALSE)</f>
        <v>No</v>
      </c>
      <c r="H1752" s="22">
        <f>VLOOKUP($A1752,'Medical Examinations'!$A:$L,10, FALSE)</f>
        <v>0</v>
      </c>
      <c r="I1752" s="22" t="str">
        <f>VLOOKUP($A1752, 'Medical Examinations'!$A:$J, 9, FALSE)</f>
        <v>No</v>
      </c>
      <c r="J1752" s="22" t="str">
        <f>VLOOKUP($A1752, 'Medical Examinations'!$A:$P, 11, FALSE)</f>
        <v>OBESITY</v>
      </c>
      <c r="K1752" s="34">
        <v>30675.0</v>
      </c>
      <c r="L1752" s="35">
        <f>VLOOKUP($A1752, 'Hospitalisation Details'!$A:$H, 7, FALSE)</f>
        <v>5087.92</v>
      </c>
      <c r="M1752" s="22" t="str">
        <f>VLOOKUP($A1752, 'Hospitalisation Details'!$A:$L, 12, FALSE)</f>
        <v>tier - 2</v>
      </c>
      <c r="N1752" s="22" t="str">
        <f>VLOOKUP($A1752, 'Hospitalisation Details'!$A:$M, 13, FALSE)</f>
        <v>tier - 2</v>
      </c>
      <c r="O1752" s="22" t="str">
        <f>VLOOKUP($A1752, 'Hospitalisation Details'!$A:$N, 14, FALSE)</f>
        <v>R1026</v>
      </c>
      <c r="P1752" s="36">
        <f>VLOOKUP($A1752, 'Hospitalisation Details'!$A:$O, 15, FALSE)</f>
        <v>23</v>
      </c>
    </row>
    <row r="1753" ht="15.75" customHeight="1">
      <c r="A1753" s="33" t="s">
        <v>3505</v>
      </c>
      <c r="B1753" s="22" t="str">
        <f>VLOOKUP($A1753,'Customer Names'!$A:$D,3, FALSE)</f>
        <v>Traver</v>
      </c>
      <c r="C1753" s="22">
        <f>VLOOKUP($A1753,'Medical Examinations'!$A:$D, 2, FALSE)</f>
        <v>23.9</v>
      </c>
      <c r="D1753" s="22">
        <f>VLOOKUP($A1753, 'Medical Examinations'!$A:$D,3, FALSE)</f>
        <v>6.06</v>
      </c>
      <c r="E1753" s="22" t="str">
        <f>VLOOKUP($A1753, 'Medical Examinations'!$A:$D, 4, FALSE)</f>
        <v>Yes</v>
      </c>
      <c r="F1753" s="22" t="str">
        <f>VLOOKUP($A1753, 'Medical Examinations'!$A:$J, 5, FALSE)</f>
        <v>No</v>
      </c>
      <c r="G1753" s="22" t="str">
        <f>VLOOKUP($A1753, 'Medical Examinations'!$A:$I, 6, FALSE)</f>
        <v>Yes</v>
      </c>
      <c r="H1753" s="22">
        <f>VLOOKUP($A1753,'Medical Examinations'!$A:$L,10, FALSE)</f>
        <v>1</v>
      </c>
      <c r="I1753" s="22" t="str">
        <f>VLOOKUP($A1753, 'Medical Examinations'!$A:$J, 9, FALSE)</f>
        <v>No</v>
      </c>
      <c r="J1753" s="22" t="str">
        <f>VLOOKUP($A1753, 'Medical Examinations'!$A:$P, 11, FALSE)</f>
        <v>NORMAL WEIGHT</v>
      </c>
      <c r="K1753" s="34">
        <v>36323.0</v>
      </c>
      <c r="L1753" s="35">
        <f>VLOOKUP($A1753, 'Hospitalisation Details'!$A:$H, 7, FALSE)</f>
        <v>5080.1</v>
      </c>
      <c r="M1753" s="22" t="str">
        <f>VLOOKUP($A1753, 'Hospitalisation Details'!$A:$L, 12, FALSE)</f>
        <v>tier - 3</v>
      </c>
      <c r="N1753" s="22" t="str">
        <f>VLOOKUP($A1753, 'Hospitalisation Details'!$A:$M, 13, FALSE)</f>
        <v>tier - 2</v>
      </c>
      <c r="O1753" s="22" t="str">
        <f>VLOOKUP($A1753, 'Hospitalisation Details'!$A:$N, 14, FALSE)</f>
        <v>R1011</v>
      </c>
      <c r="P1753" s="36">
        <f>VLOOKUP($A1753, 'Hospitalisation Details'!$A:$O, 15, FALSE)</f>
        <v>25</v>
      </c>
    </row>
    <row r="1754" ht="15.75" customHeight="1">
      <c r="A1754" s="33" t="s">
        <v>3507</v>
      </c>
      <c r="B1754" s="22" t="str">
        <f>VLOOKUP($A1754,'Customer Names'!$A:$D,3, FALSE)</f>
        <v>Quick</v>
      </c>
      <c r="C1754" s="22">
        <f>VLOOKUP($A1754,'Medical Examinations'!$A:$D, 2, FALSE)</f>
        <v>15.47</v>
      </c>
      <c r="D1754" s="22">
        <f>VLOOKUP($A1754, 'Medical Examinations'!$A:$D,3, FALSE)</f>
        <v>8.43</v>
      </c>
      <c r="E1754" s="22" t="str">
        <f>VLOOKUP($A1754, 'Medical Examinations'!$A:$D, 4, FALSE)</f>
        <v>No</v>
      </c>
      <c r="F1754" s="22" t="str">
        <f>VLOOKUP($A1754, 'Medical Examinations'!$A:$J, 5, FALSE)</f>
        <v>No</v>
      </c>
      <c r="G1754" s="22" t="str">
        <f>VLOOKUP($A1754, 'Medical Examinations'!$A:$I, 6, FALSE)</f>
        <v>No</v>
      </c>
      <c r="H1754" s="22">
        <f>VLOOKUP($A1754,'Medical Examinations'!$A:$L,10, FALSE)</f>
        <v>0</v>
      </c>
      <c r="I1754" s="22" t="str">
        <f>VLOOKUP($A1754, 'Medical Examinations'!$A:$J, 9, FALSE)</f>
        <v>No</v>
      </c>
      <c r="J1754" s="22" t="str">
        <f>VLOOKUP($A1754, 'Medical Examinations'!$A:$P, 11, FALSE)</f>
        <v>UNDERWEIGHT</v>
      </c>
      <c r="K1754" s="34">
        <v>33198.0</v>
      </c>
      <c r="L1754" s="35">
        <f>VLOOKUP($A1754, 'Hospitalisation Details'!$A:$H, 7, FALSE)</f>
        <v>5077.19</v>
      </c>
      <c r="M1754" s="22" t="str">
        <f>VLOOKUP($A1754, 'Hospitalisation Details'!$A:$L, 12, FALSE)</f>
        <v>tier - 2</v>
      </c>
      <c r="N1754" s="22" t="str">
        <f>VLOOKUP($A1754, 'Hospitalisation Details'!$A:$M, 13, FALSE)</f>
        <v>tier - 3</v>
      </c>
      <c r="O1754" s="22" t="str">
        <f>VLOOKUP($A1754, 'Hospitalisation Details'!$A:$N, 14, FALSE)</f>
        <v>R1012</v>
      </c>
      <c r="P1754" s="36">
        <f>VLOOKUP($A1754, 'Hospitalisation Details'!$A:$O, 15, FALSE)</f>
        <v>44</v>
      </c>
    </row>
    <row r="1755" ht="15.75" customHeight="1">
      <c r="A1755" s="33" t="s">
        <v>3509</v>
      </c>
      <c r="B1755" s="22" t="str">
        <f>VLOOKUP($A1755,'Customer Names'!$A:$D,3, FALSE)</f>
        <v>Scott</v>
      </c>
      <c r="C1755" s="22">
        <f>VLOOKUP($A1755,'Medical Examinations'!$A:$D, 2, FALSE)</f>
        <v>28.54</v>
      </c>
      <c r="D1755" s="22">
        <f>VLOOKUP($A1755, 'Medical Examinations'!$A:$D,3, FALSE)</f>
        <v>5.51</v>
      </c>
      <c r="E1755" s="22" t="str">
        <f>VLOOKUP($A1755, 'Medical Examinations'!$A:$D, 4, FALSE)</f>
        <v>No</v>
      </c>
      <c r="F1755" s="22" t="str">
        <f>VLOOKUP($A1755, 'Medical Examinations'!$A:$J, 5, FALSE)</f>
        <v>No</v>
      </c>
      <c r="G1755" s="22" t="str">
        <f>VLOOKUP($A1755, 'Medical Examinations'!$A:$I, 6, FALSE)</f>
        <v>Yes</v>
      </c>
      <c r="H1755" s="22">
        <f>VLOOKUP($A1755,'Medical Examinations'!$A:$L,10, FALSE)</f>
        <v>1</v>
      </c>
      <c r="I1755" s="22" t="str">
        <f>VLOOKUP($A1755, 'Medical Examinations'!$A:$J, 9, FALSE)</f>
        <v>No</v>
      </c>
      <c r="J1755" s="22" t="str">
        <f>VLOOKUP($A1755, 'Medical Examinations'!$A:$P, 11, FALSE)</f>
        <v>OVERWEIGHT</v>
      </c>
      <c r="K1755" s="34">
        <v>29468.0</v>
      </c>
      <c r="L1755" s="35">
        <f>VLOOKUP($A1755, 'Hospitalisation Details'!$A:$H, 7, FALSE)</f>
        <v>5059.56</v>
      </c>
      <c r="M1755" s="22" t="str">
        <f>VLOOKUP($A1755, 'Hospitalisation Details'!$A:$L, 12, FALSE)</f>
        <v>tier - 2</v>
      </c>
      <c r="N1755" s="22" t="str">
        <f>VLOOKUP($A1755, 'Hospitalisation Details'!$A:$M, 13, FALSE)</f>
        <v>tier - 1</v>
      </c>
      <c r="O1755" s="22" t="str">
        <f>VLOOKUP($A1755, 'Hospitalisation Details'!$A:$N, 14, FALSE)</f>
        <v>R1021</v>
      </c>
      <c r="P1755" s="36">
        <f>VLOOKUP($A1755, 'Hospitalisation Details'!$A:$O, 15, FALSE)</f>
        <v>29</v>
      </c>
    </row>
    <row r="1756" ht="15.75" customHeight="1">
      <c r="A1756" s="33" t="s">
        <v>3511</v>
      </c>
      <c r="B1756" s="22" t="str">
        <f>VLOOKUP($A1756,'Customer Names'!$A:$D,3, FALSE)</f>
        <v>Theriot</v>
      </c>
      <c r="C1756" s="22">
        <f>VLOOKUP($A1756,'Medical Examinations'!$A:$D, 2, FALSE)</f>
        <v>18.54</v>
      </c>
      <c r="D1756" s="22">
        <f>VLOOKUP($A1756, 'Medical Examinations'!$A:$D,3, FALSE)</f>
        <v>4.95</v>
      </c>
      <c r="E1756" s="22" t="str">
        <f>VLOOKUP($A1756, 'Medical Examinations'!$A:$D, 4, FALSE)</f>
        <v>No</v>
      </c>
      <c r="F1756" s="22" t="str">
        <f>VLOOKUP($A1756, 'Medical Examinations'!$A:$J, 5, FALSE)</f>
        <v>No</v>
      </c>
      <c r="G1756" s="22" t="str">
        <f>VLOOKUP($A1756, 'Medical Examinations'!$A:$I, 6, FALSE)</f>
        <v>No</v>
      </c>
      <c r="H1756" s="22">
        <f>VLOOKUP($A1756,'Medical Examinations'!$A:$L,10, FALSE)</f>
        <v>0</v>
      </c>
      <c r="I1756" s="22" t="str">
        <f>VLOOKUP($A1756, 'Medical Examinations'!$A:$J, 9, FALSE)</f>
        <v>No</v>
      </c>
      <c r="J1756" s="22" t="str">
        <f>VLOOKUP($A1756, 'Medical Examinations'!$A:$P, 11, FALSE)</f>
        <v>NORMAL WEIGHT</v>
      </c>
      <c r="K1756" s="34">
        <v>38203.0</v>
      </c>
      <c r="L1756" s="35">
        <f>VLOOKUP($A1756, 'Hospitalisation Details'!$A:$H, 7, FALSE)</f>
        <v>5054.05</v>
      </c>
      <c r="M1756" s="22" t="str">
        <f>VLOOKUP($A1756, 'Hospitalisation Details'!$A:$L, 12, FALSE)</f>
        <v>tier - 2</v>
      </c>
      <c r="N1756" s="22" t="str">
        <f>VLOOKUP($A1756, 'Hospitalisation Details'!$A:$M, 13, FALSE)</f>
        <v>tier - 2</v>
      </c>
      <c r="O1756" s="22" t="str">
        <f>VLOOKUP($A1756, 'Hospitalisation Details'!$A:$N, 14, FALSE)</f>
        <v>R1013</v>
      </c>
      <c r="P1756" s="36">
        <f>VLOOKUP($A1756, 'Hospitalisation Details'!$A:$O, 15, FALSE)</f>
        <v>42</v>
      </c>
    </row>
    <row r="1757" ht="15.75" customHeight="1">
      <c r="A1757" s="33" t="s">
        <v>3513</v>
      </c>
      <c r="B1757" s="22" t="str">
        <f>VLOOKUP($A1757,'Customer Names'!$A:$D,3, FALSE)</f>
        <v>Michalis</v>
      </c>
      <c r="C1757" s="22">
        <f>VLOOKUP($A1757,'Medical Examinations'!$A:$D, 2, FALSE)</f>
        <v>32.18</v>
      </c>
      <c r="D1757" s="22">
        <f>VLOOKUP($A1757, 'Medical Examinations'!$A:$D,3, FALSE)</f>
        <v>6.44</v>
      </c>
      <c r="E1757" s="22" t="str">
        <f>VLOOKUP($A1757, 'Medical Examinations'!$A:$D, 4, FALSE)</f>
        <v>Yes</v>
      </c>
      <c r="F1757" s="22" t="str">
        <f>VLOOKUP($A1757, 'Medical Examinations'!$A:$J, 5, FALSE)</f>
        <v>No</v>
      </c>
      <c r="G1757" s="22" t="str">
        <f>VLOOKUP($A1757, 'Medical Examinations'!$A:$I, 6, FALSE)</f>
        <v>Yes</v>
      </c>
      <c r="H1757" s="22">
        <f>VLOOKUP($A1757,'Medical Examinations'!$A:$L,10, FALSE)</f>
        <v>1</v>
      </c>
      <c r="I1757" s="22" t="str">
        <f>VLOOKUP($A1757, 'Medical Examinations'!$A:$J, 9, FALSE)</f>
        <v>No</v>
      </c>
      <c r="J1757" s="22" t="str">
        <f>VLOOKUP($A1757, 'Medical Examinations'!$A:$P, 11, FALSE)</f>
        <v>OBESITY</v>
      </c>
      <c r="K1757" s="34">
        <v>24385.0</v>
      </c>
      <c r="L1757" s="35">
        <f>VLOOKUP($A1757, 'Hospitalisation Details'!$A:$H, 7, FALSE)</f>
        <v>5045.15</v>
      </c>
      <c r="M1757" s="22" t="str">
        <f>VLOOKUP($A1757, 'Hospitalisation Details'!$A:$L, 12, FALSE)</f>
        <v>tier - 2</v>
      </c>
      <c r="N1757" s="22" t="str">
        <f>VLOOKUP($A1757, 'Hospitalisation Details'!$A:$M, 13, FALSE)</f>
        <v>tier - 2</v>
      </c>
      <c r="O1757" s="22" t="str">
        <f>VLOOKUP($A1757, 'Hospitalisation Details'!$A:$N, 14, FALSE)</f>
        <v>R1012</v>
      </c>
      <c r="P1757" s="36">
        <f>VLOOKUP($A1757, 'Hospitalisation Details'!$A:$O, 15, FALSE)</f>
        <v>25</v>
      </c>
    </row>
    <row r="1758" ht="15.75" customHeight="1">
      <c r="A1758" s="33" t="s">
        <v>3515</v>
      </c>
      <c r="B1758" s="22" t="str">
        <f>VLOOKUP($A1758,'Customer Names'!$A:$D,3, FALSE)</f>
        <v>Hall</v>
      </c>
      <c r="C1758" s="22">
        <f>VLOOKUP($A1758,'Medical Examinations'!$A:$D, 2, FALSE)</f>
        <v>37.38</v>
      </c>
      <c r="D1758" s="22">
        <f>VLOOKUP($A1758, 'Medical Examinations'!$A:$D,3, FALSE)</f>
        <v>6.05</v>
      </c>
      <c r="E1758" s="22" t="str">
        <f>VLOOKUP($A1758, 'Medical Examinations'!$A:$D, 4, FALSE)</f>
        <v>Yes</v>
      </c>
      <c r="F1758" s="22" t="str">
        <f>VLOOKUP($A1758, 'Medical Examinations'!$A:$J, 5, FALSE)</f>
        <v>No</v>
      </c>
      <c r="G1758" s="22" t="str">
        <f>VLOOKUP($A1758, 'Medical Examinations'!$A:$I, 6, FALSE)</f>
        <v>No</v>
      </c>
      <c r="H1758" s="22">
        <f>VLOOKUP($A1758,'Medical Examinations'!$A:$L,10, FALSE)</f>
        <v>0</v>
      </c>
      <c r="I1758" s="22" t="str">
        <f>VLOOKUP($A1758, 'Medical Examinations'!$A:$J, 9, FALSE)</f>
        <v>No</v>
      </c>
      <c r="J1758" s="22" t="str">
        <f>VLOOKUP($A1758, 'Medical Examinations'!$A:$P, 11, FALSE)</f>
        <v>OBESITY</v>
      </c>
      <c r="K1758" s="34">
        <v>29565.0</v>
      </c>
      <c r="L1758" s="35">
        <f>VLOOKUP($A1758, 'Hospitalisation Details'!$A:$H, 7, FALSE)</f>
        <v>5043.13</v>
      </c>
      <c r="M1758" s="22" t="str">
        <f>VLOOKUP($A1758, 'Hospitalisation Details'!$A:$L, 12, FALSE)</f>
        <v>tier - 2</v>
      </c>
      <c r="N1758" s="22" t="str">
        <f>VLOOKUP($A1758, 'Hospitalisation Details'!$A:$M, 13, FALSE)</f>
        <v>tier - 3</v>
      </c>
      <c r="O1758" s="22" t="str">
        <f>VLOOKUP($A1758, 'Hospitalisation Details'!$A:$N, 14, FALSE)</f>
        <v>R1011</v>
      </c>
      <c r="P1758" s="36">
        <f>VLOOKUP($A1758, 'Hospitalisation Details'!$A:$O, 15, FALSE)</f>
        <v>21</v>
      </c>
    </row>
    <row r="1759" ht="15.75" customHeight="1">
      <c r="A1759" s="33" t="s">
        <v>3517</v>
      </c>
      <c r="B1759" s="22" t="str">
        <f>VLOOKUP($A1759,'Customer Names'!$A:$D,3, FALSE)</f>
        <v>Tjon</v>
      </c>
      <c r="C1759" s="22">
        <f>VLOOKUP($A1759,'Medical Examinations'!$A:$D, 2, FALSE)</f>
        <v>31.12</v>
      </c>
      <c r="D1759" s="22">
        <f>VLOOKUP($A1759, 'Medical Examinations'!$A:$D,3, FALSE)</f>
        <v>4.76</v>
      </c>
      <c r="E1759" s="22" t="str">
        <f>VLOOKUP($A1759, 'Medical Examinations'!$A:$D, 4, FALSE)</f>
        <v>Yes</v>
      </c>
      <c r="F1759" s="22" t="str">
        <f>VLOOKUP($A1759, 'Medical Examinations'!$A:$J, 5, FALSE)</f>
        <v>No</v>
      </c>
      <c r="G1759" s="22" t="str">
        <f>VLOOKUP($A1759, 'Medical Examinations'!$A:$I, 6, FALSE)</f>
        <v>Yes</v>
      </c>
      <c r="H1759" s="22">
        <f>VLOOKUP($A1759,'Medical Examinations'!$A:$L,10, FALSE)</f>
        <v>1</v>
      </c>
      <c r="I1759" s="22" t="str">
        <f>VLOOKUP($A1759, 'Medical Examinations'!$A:$J, 9, FALSE)</f>
        <v>No</v>
      </c>
      <c r="J1759" s="22" t="str">
        <f>VLOOKUP($A1759, 'Medical Examinations'!$A:$P, 11, FALSE)</f>
        <v>OBESITY</v>
      </c>
      <c r="K1759" s="34">
        <v>27275.0</v>
      </c>
      <c r="L1759" s="35">
        <f>VLOOKUP($A1759, 'Hospitalisation Details'!$A:$H, 7, FALSE)</f>
        <v>5038.57</v>
      </c>
      <c r="M1759" s="22" t="str">
        <f>VLOOKUP($A1759, 'Hospitalisation Details'!$A:$L, 12, FALSE)</f>
        <v>tier - 2</v>
      </c>
      <c r="N1759" s="22" t="str">
        <f>VLOOKUP($A1759, 'Hospitalisation Details'!$A:$M, 13, FALSE)</f>
        <v>tier - 2</v>
      </c>
      <c r="O1759" s="22" t="str">
        <f>VLOOKUP($A1759, 'Hospitalisation Details'!$A:$N, 14, FALSE)</f>
        <v>R1025</v>
      </c>
      <c r="P1759" s="36">
        <f>VLOOKUP($A1759, 'Hospitalisation Details'!$A:$O, 15, FALSE)</f>
        <v>25</v>
      </c>
    </row>
    <row r="1760" ht="15.75" customHeight="1">
      <c r="A1760" s="33" t="s">
        <v>3519</v>
      </c>
      <c r="B1760" s="22" t="str">
        <f>VLOOKUP($A1760,'Customer Names'!$A:$D,3, FALSE)</f>
        <v>Palma</v>
      </c>
      <c r="C1760" s="22">
        <f>VLOOKUP($A1760,'Medical Examinations'!$A:$D, 2, FALSE)</f>
        <v>22.01</v>
      </c>
      <c r="D1760" s="22">
        <f>VLOOKUP($A1760, 'Medical Examinations'!$A:$D,3, FALSE)</f>
        <v>6.72</v>
      </c>
      <c r="E1760" s="22" t="str">
        <f>VLOOKUP($A1760, 'Medical Examinations'!$A:$D, 4, FALSE)</f>
        <v>Yes</v>
      </c>
      <c r="F1760" s="22" t="str">
        <f>VLOOKUP($A1760, 'Medical Examinations'!$A:$J, 5, FALSE)</f>
        <v>No</v>
      </c>
      <c r="G1760" s="22" t="str">
        <f>VLOOKUP($A1760, 'Medical Examinations'!$A:$I, 6, FALSE)</f>
        <v>No</v>
      </c>
      <c r="H1760" s="22">
        <f>VLOOKUP($A1760,'Medical Examinations'!$A:$L,10, FALSE)</f>
        <v>1</v>
      </c>
      <c r="I1760" s="22" t="str">
        <f>VLOOKUP($A1760, 'Medical Examinations'!$A:$J, 9, FALSE)</f>
        <v>No</v>
      </c>
      <c r="J1760" s="22" t="str">
        <f>VLOOKUP($A1760, 'Medical Examinations'!$A:$P, 11, FALSE)</f>
        <v>NORMAL WEIGHT</v>
      </c>
      <c r="K1760" s="34">
        <v>27316.0</v>
      </c>
      <c r="L1760" s="35">
        <f>VLOOKUP($A1760, 'Hospitalisation Details'!$A:$H, 7, FALSE)</f>
        <v>5034.1</v>
      </c>
      <c r="M1760" s="22" t="str">
        <f>VLOOKUP($A1760, 'Hospitalisation Details'!$A:$L, 12, FALSE)</f>
        <v>tier - 2</v>
      </c>
      <c r="N1760" s="22" t="str">
        <f>VLOOKUP($A1760, 'Hospitalisation Details'!$A:$M, 13, FALSE)</f>
        <v>tier - 2</v>
      </c>
      <c r="O1760" s="22" t="str">
        <f>VLOOKUP($A1760, 'Hospitalisation Details'!$A:$N, 14, FALSE)</f>
        <v>R1013</v>
      </c>
      <c r="P1760" s="36">
        <f>VLOOKUP($A1760, 'Hospitalisation Details'!$A:$O, 15, FALSE)</f>
        <v>36</v>
      </c>
    </row>
    <row r="1761" ht="15.75" customHeight="1">
      <c r="A1761" s="33" t="s">
        <v>3521</v>
      </c>
      <c r="B1761" s="22" t="str">
        <f>VLOOKUP($A1761,'Customer Names'!$A:$D,3, FALSE)</f>
        <v>Takaoka</v>
      </c>
      <c r="C1761" s="22">
        <f>VLOOKUP($A1761,'Medical Examinations'!$A:$D, 2, FALSE)</f>
        <v>27.645</v>
      </c>
      <c r="D1761" s="22">
        <f>VLOOKUP($A1761, 'Medical Examinations'!$A:$D,3, FALSE)</f>
        <v>5.7</v>
      </c>
      <c r="E1761" s="22" t="str">
        <f>VLOOKUP($A1761, 'Medical Examinations'!$A:$D, 4, FALSE)</f>
        <v>No</v>
      </c>
      <c r="F1761" s="22" t="str">
        <f>VLOOKUP($A1761, 'Medical Examinations'!$A:$J, 5, FALSE)</f>
        <v>No</v>
      </c>
      <c r="G1761" s="22" t="str">
        <f>VLOOKUP($A1761, 'Medical Examinations'!$A:$I, 6, FALSE)</f>
        <v>No</v>
      </c>
      <c r="H1761" s="22">
        <f>VLOOKUP($A1761,'Medical Examinations'!$A:$L,10, FALSE)</f>
        <v>0</v>
      </c>
      <c r="I1761" s="22" t="str">
        <f>VLOOKUP($A1761, 'Medical Examinations'!$A:$J, 9, FALSE)</f>
        <v>No</v>
      </c>
      <c r="J1761" s="22" t="str">
        <f>VLOOKUP($A1761, 'Medical Examinations'!$A:$P, 11, FALSE)</f>
        <v>OVERWEIGHT</v>
      </c>
      <c r="K1761" s="34">
        <v>25441.0</v>
      </c>
      <c r="L1761" s="35">
        <f>VLOOKUP($A1761, 'Hospitalisation Details'!$A:$H, 7, FALSE)</f>
        <v>5031.27</v>
      </c>
      <c r="M1761" s="22" t="str">
        <f>VLOOKUP($A1761, 'Hospitalisation Details'!$A:$L, 12, FALSE)</f>
        <v>tier - 3</v>
      </c>
      <c r="N1761" s="22" t="str">
        <f>VLOOKUP($A1761, 'Hospitalisation Details'!$A:$M, 13, FALSE)</f>
        <v>tier - 1</v>
      </c>
      <c r="O1761" s="22" t="str">
        <f>VLOOKUP($A1761, 'Hospitalisation Details'!$A:$N, 14, FALSE)</f>
        <v>R1016</v>
      </c>
      <c r="P1761" s="36">
        <f>VLOOKUP($A1761, 'Hospitalisation Details'!$A:$O, 15, FALSE)</f>
        <v>31</v>
      </c>
    </row>
    <row r="1762" ht="15.75" customHeight="1">
      <c r="A1762" s="33" t="s">
        <v>3523</v>
      </c>
      <c r="B1762" s="22" t="str">
        <f>VLOOKUP($A1762,'Customer Names'!$A:$D,3, FALSE)</f>
        <v>Sherman</v>
      </c>
      <c r="C1762" s="22">
        <f>VLOOKUP($A1762,'Medical Examinations'!$A:$D, 2, FALSE)</f>
        <v>29.64</v>
      </c>
      <c r="D1762" s="22">
        <f>VLOOKUP($A1762, 'Medical Examinations'!$A:$D,3, FALSE)</f>
        <v>5.31</v>
      </c>
      <c r="E1762" s="22" t="str">
        <f>VLOOKUP($A1762, 'Medical Examinations'!$A:$D, 4, FALSE)</f>
        <v>Yes</v>
      </c>
      <c r="F1762" s="22" t="str">
        <f>VLOOKUP($A1762, 'Medical Examinations'!$A:$J, 5, FALSE)</f>
        <v>No</v>
      </c>
      <c r="G1762" s="22" t="str">
        <f>VLOOKUP($A1762, 'Medical Examinations'!$A:$I, 6, FALSE)</f>
        <v>No</v>
      </c>
      <c r="H1762" s="22">
        <f>VLOOKUP($A1762,'Medical Examinations'!$A:$L,10, FALSE)</f>
        <v>0</v>
      </c>
      <c r="I1762" s="22" t="str">
        <f>VLOOKUP($A1762, 'Medical Examinations'!$A:$J, 9, FALSE)</f>
        <v>No</v>
      </c>
      <c r="J1762" s="22" t="str">
        <f>VLOOKUP($A1762, 'Medical Examinations'!$A:$P, 11, FALSE)</f>
        <v>OVERWEIGHT</v>
      </c>
      <c r="K1762" s="34">
        <v>28452.0</v>
      </c>
      <c r="L1762" s="35">
        <f>VLOOKUP($A1762, 'Hospitalisation Details'!$A:$H, 7, FALSE)</f>
        <v>5028.15</v>
      </c>
      <c r="M1762" s="22" t="str">
        <f>VLOOKUP($A1762, 'Hospitalisation Details'!$A:$L, 12, FALSE)</f>
        <v>tier - 1</v>
      </c>
      <c r="N1762" s="22" t="str">
        <f>VLOOKUP($A1762, 'Hospitalisation Details'!$A:$M, 13, FALSE)</f>
        <v>tier - 2</v>
      </c>
      <c r="O1762" s="22" t="str">
        <f>VLOOKUP($A1762, 'Hospitalisation Details'!$A:$N, 14, FALSE)</f>
        <v>R1012</v>
      </c>
      <c r="P1762" s="36">
        <f>VLOOKUP($A1762, 'Hospitalisation Details'!$A:$O, 15, FALSE)</f>
        <v>37</v>
      </c>
    </row>
    <row r="1763" ht="15.75" customHeight="1">
      <c r="A1763" s="33" t="s">
        <v>3525</v>
      </c>
      <c r="B1763" s="22" t="str">
        <f>VLOOKUP($A1763,'Customer Names'!$A:$D,3, FALSE)</f>
        <v>Andre</v>
      </c>
      <c r="C1763" s="22">
        <f>VLOOKUP($A1763,'Medical Examinations'!$A:$D, 2, FALSE)</f>
        <v>33.7</v>
      </c>
      <c r="D1763" s="22">
        <f>VLOOKUP($A1763, 'Medical Examinations'!$A:$D,3, FALSE)</f>
        <v>4.32</v>
      </c>
      <c r="E1763" s="22" t="str">
        <f>VLOOKUP($A1763, 'Medical Examinations'!$A:$D, 4, FALSE)</f>
        <v>Yes</v>
      </c>
      <c r="F1763" s="22" t="str">
        <f>VLOOKUP($A1763, 'Medical Examinations'!$A:$J, 5, FALSE)</f>
        <v>No</v>
      </c>
      <c r="G1763" s="22" t="str">
        <f>VLOOKUP($A1763, 'Medical Examinations'!$A:$I, 6, FALSE)</f>
        <v>No</v>
      </c>
      <c r="H1763" s="22">
        <f>VLOOKUP($A1763,'Medical Examinations'!$A:$L,10, FALSE)</f>
        <v>1</v>
      </c>
      <c r="I1763" s="22" t="str">
        <f>VLOOKUP($A1763, 'Medical Examinations'!$A:$J, 9, FALSE)</f>
        <v>No</v>
      </c>
      <c r="J1763" s="22" t="str">
        <f>VLOOKUP($A1763, 'Medical Examinations'!$A:$P, 11, FALSE)</f>
        <v>OBESITY</v>
      </c>
      <c r="K1763" s="34">
        <v>30499.0</v>
      </c>
      <c r="L1763" s="35">
        <f>VLOOKUP($A1763, 'Hospitalisation Details'!$A:$H, 7, FALSE)</f>
        <v>5012.47</v>
      </c>
      <c r="M1763" s="22" t="str">
        <f>VLOOKUP($A1763, 'Hospitalisation Details'!$A:$L, 12, FALSE)</f>
        <v>tier - 2</v>
      </c>
      <c r="N1763" s="22" t="str">
        <f>VLOOKUP($A1763, 'Hospitalisation Details'!$A:$M, 13, FALSE)</f>
        <v>tier - 3</v>
      </c>
      <c r="O1763" s="22" t="str">
        <f>VLOOKUP($A1763, 'Hospitalisation Details'!$A:$N, 14, FALSE)</f>
        <v>R1011</v>
      </c>
      <c r="P1763" s="36">
        <f>VLOOKUP($A1763, 'Hospitalisation Details'!$A:$O, 15, FALSE)</f>
        <v>34</v>
      </c>
    </row>
    <row r="1764" ht="15.75" customHeight="1">
      <c r="A1764" s="33" t="s">
        <v>3527</v>
      </c>
      <c r="B1764" s="22" t="str">
        <f>VLOOKUP($A1764,'Customer Names'!$A:$D,3, FALSE)</f>
        <v>Switt</v>
      </c>
      <c r="C1764" s="22">
        <f>VLOOKUP($A1764,'Medical Examinations'!$A:$D, 2, FALSE)</f>
        <v>27.5</v>
      </c>
      <c r="D1764" s="22">
        <f>VLOOKUP($A1764, 'Medical Examinations'!$A:$D,3, FALSE)</f>
        <v>4.23</v>
      </c>
      <c r="E1764" s="22" t="str">
        <f>VLOOKUP($A1764, 'Medical Examinations'!$A:$D, 4, FALSE)</f>
        <v>Yes</v>
      </c>
      <c r="F1764" s="22" t="str">
        <f>VLOOKUP($A1764, 'Medical Examinations'!$A:$J, 5, FALSE)</f>
        <v>No</v>
      </c>
      <c r="G1764" s="22" t="str">
        <f>VLOOKUP($A1764, 'Medical Examinations'!$A:$I, 6, FALSE)</f>
        <v>No</v>
      </c>
      <c r="H1764" s="22">
        <f>VLOOKUP($A1764,'Medical Examinations'!$A:$L,10, FALSE)</f>
        <v>1</v>
      </c>
      <c r="I1764" s="22" t="str">
        <f>VLOOKUP($A1764, 'Medical Examinations'!$A:$J, 9, FALSE)</f>
        <v>No</v>
      </c>
      <c r="J1764" s="22" t="str">
        <f>VLOOKUP($A1764, 'Medical Examinations'!$A:$P, 11, FALSE)</f>
        <v>OVERWEIGHT</v>
      </c>
      <c r="K1764" s="34">
        <v>23700.0</v>
      </c>
      <c r="L1764" s="35">
        <f>VLOOKUP($A1764, 'Hospitalisation Details'!$A:$H, 7, FALSE)</f>
        <v>5003.85</v>
      </c>
      <c r="M1764" s="22" t="str">
        <f>VLOOKUP($A1764, 'Hospitalisation Details'!$A:$L, 12, FALSE)</f>
        <v>tier - 2</v>
      </c>
      <c r="N1764" s="22" t="str">
        <f>VLOOKUP($A1764, 'Hospitalisation Details'!$A:$M, 13, FALSE)</f>
        <v>tier - 3</v>
      </c>
      <c r="O1764" s="22" t="str">
        <f>VLOOKUP($A1764, 'Hospitalisation Details'!$A:$N, 14, FALSE)</f>
        <v>R1011</v>
      </c>
      <c r="P1764" s="36">
        <f>VLOOKUP($A1764, 'Hospitalisation Details'!$A:$O, 15, FALSE)</f>
        <v>34</v>
      </c>
    </row>
    <row r="1765" ht="15.75" customHeight="1">
      <c r="A1765" s="33" t="s">
        <v>3529</v>
      </c>
      <c r="B1765" s="22" t="str">
        <f>VLOOKUP($A1765,'Customer Names'!$A:$D,3, FALSE)</f>
        <v>Erickson</v>
      </c>
      <c r="C1765" s="22">
        <f>VLOOKUP($A1765,'Medical Examinations'!$A:$D, 2, FALSE)</f>
        <v>16.12</v>
      </c>
      <c r="D1765" s="22">
        <f>VLOOKUP($A1765, 'Medical Examinations'!$A:$D,3, FALSE)</f>
        <v>6.09</v>
      </c>
      <c r="E1765" s="22" t="str">
        <f>VLOOKUP($A1765, 'Medical Examinations'!$A:$D, 4, FALSE)</f>
        <v>No</v>
      </c>
      <c r="F1765" s="22" t="str">
        <f>VLOOKUP($A1765, 'Medical Examinations'!$A:$J, 5, FALSE)</f>
        <v>No</v>
      </c>
      <c r="G1765" s="22" t="str">
        <f>VLOOKUP($A1765, 'Medical Examinations'!$A:$I, 6, FALSE)</f>
        <v>No</v>
      </c>
      <c r="H1765" s="22">
        <f>VLOOKUP($A1765,'Medical Examinations'!$A:$L,10, FALSE)</f>
        <v>0</v>
      </c>
      <c r="I1765" s="22" t="str">
        <f>VLOOKUP($A1765, 'Medical Examinations'!$A:$J, 9, FALSE)</f>
        <v>No</v>
      </c>
      <c r="J1765" s="22" t="str">
        <f>VLOOKUP($A1765, 'Medical Examinations'!$A:$P, 11, FALSE)</f>
        <v>UNDERWEIGHT</v>
      </c>
      <c r="K1765" s="34">
        <v>27736.0</v>
      </c>
      <c r="L1765" s="35">
        <f>VLOOKUP($A1765, 'Hospitalisation Details'!$A:$H, 7, FALSE)</f>
        <v>5003.77</v>
      </c>
      <c r="M1765" s="22" t="str">
        <f>VLOOKUP($A1765, 'Hospitalisation Details'!$A:$L, 12, FALSE)</f>
        <v>tier - 2</v>
      </c>
      <c r="N1765" s="22" t="str">
        <f>VLOOKUP($A1765, 'Hospitalisation Details'!$A:$M, 13, FALSE)</f>
        <v>tier - 3</v>
      </c>
      <c r="O1765" s="22" t="str">
        <f>VLOOKUP($A1765, 'Hospitalisation Details'!$A:$N, 14, FALSE)</f>
        <v>R1013</v>
      </c>
      <c r="P1765" s="36">
        <f>VLOOKUP($A1765, 'Hospitalisation Details'!$A:$O, 15, FALSE)</f>
        <v>45</v>
      </c>
    </row>
    <row r="1766" ht="15.75" customHeight="1">
      <c r="A1766" s="33" t="s">
        <v>3531</v>
      </c>
      <c r="B1766" s="22" t="str">
        <f>VLOOKUP($A1766,'Customer Names'!$A:$D,3, FALSE)</f>
        <v>Miller</v>
      </c>
      <c r="C1766" s="22">
        <f>VLOOKUP($A1766,'Medical Examinations'!$A:$D, 2, FALSE)</f>
        <v>26.73</v>
      </c>
      <c r="D1766" s="22">
        <f>VLOOKUP($A1766, 'Medical Examinations'!$A:$D,3, FALSE)</f>
        <v>4.74</v>
      </c>
      <c r="E1766" s="22" t="str">
        <f>VLOOKUP($A1766, 'Medical Examinations'!$A:$D, 4, FALSE)</f>
        <v>Yes</v>
      </c>
      <c r="F1766" s="22" t="str">
        <f>VLOOKUP($A1766, 'Medical Examinations'!$A:$J, 5, FALSE)</f>
        <v>No</v>
      </c>
      <c r="G1766" s="22" t="str">
        <f>VLOOKUP($A1766, 'Medical Examinations'!$A:$I, 6, FALSE)</f>
        <v>No</v>
      </c>
      <c r="H1766" s="22">
        <f>VLOOKUP($A1766,'Medical Examinations'!$A:$L,10, FALSE)</f>
        <v>1</v>
      </c>
      <c r="I1766" s="22" t="str">
        <f>VLOOKUP($A1766, 'Medical Examinations'!$A:$J, 9, FALSE)</f>
        <v>No</v>
      </c>
      <c r="J1766" s="22" t="str">
        <f>VLOOKUP($A1766, 'Medical Examinations'!$A:$P, 11, FALSE)</f>
        <v>OVERWEIGHT</v>
      </c>
      <c r="K1766" s="34">
        <v>24723.0</v>
      </c>
      <c r="L1766" s="35">
        <f>VLOOKUP($A1766, 'Hospitalisation Details'!$A:$H, 7, FALSE)</f>
        <v>5002.78</v>
      </c>
      <c r="M1766" s="22" t="str">
        <f>VLOOKUP($A1766, 'Hospitalisation Details'!$A:$L, 12, FALSE)</f>
        <v>tier - 2</v>
      </c>
      <c r="N1766" s="22" t="str">
        <f>VLOOKUP($A1766, 'Hospitalisation Details'!$A:$M, 13, FALSE)</f>
        <v>tier - 2</v>
      </c>
      <c r="O1766" s="22" t="str">
        <f>VLOOKUP($A1766, 'Hospitalisation Details'!$A:$N, 14, FALSE)</f>
        <v>R1013</v>
      </c>
      <c r="P1766" s="36">
        <f>VLOOKUP($A1766, 'Hospitalisation Details'!$A:$O, 15, FALSE)</f>
        <v>34</v>
      </c>
    </row>
    <row r="1767" ht="15.75" customHeight="1">
      <c r="A1767" s="33" t="s">
        <v>3533</v>
      </c>
      <c r="B1767" s="22" t="str">
        <f>VLOOKUP($A1767,'Customer Names'!$A:$D,3, FALSE)</f>
        <v>Whitbeck</v>
      </c>
      <c r="C1767" s="22">
        <f>VLOOKUP($A1767,'Medical Examinations'!$A:$D, 2, FALSE)</f>
        <v>37.25</v>
      </c>
      <c r="D1767" s="22">
        <f>VLOOKUP($A1767, 'Medical Examinations'!$A:$D,3, FALSE)</f>
        <v>6.23</v>
      </c>
      <c r="E1767" s="22" t="str">
        <f>VLOOKUP($A1767, 'Medical Examinations'!$A:$D, 4, FALSE)</f>
        <v>Yes</v>
      </c>
      <c r="F1767" s="22" t="str">
        <f>VLOOKUP($A1767, 'Medical Examinations'!$A:$J, 5, FALSE)</f>
        <v>No</v>
      </c>
      <c r="G1767" s="22" t="str">
        <f>VLOOKUP($A1767, 'Medical Examinations'!$A:$I, 6, FALSE)</f>
        <v>No</v>
      </c>
      <c r="H1767" s="22">
        <f>VLOOKUP($A1767,'Medical Examinations'!$A:$L,10, FALSE)</f>
        <v>0</v>
      </c>
      <c r="I1767" s="22" t="str">
        <f>VLOOKUP($A1767, 'Medical Examinations'!$A:$J, 9, FALSE)</f>
        <v>No</v>
      </c>
      <c r="J1767" s="22" t="str">
        <f>VLOOKUP($A1767, 'Medical Examinations'!$A:$P, 11, FALSE)</f>
        <v>OBESITY</v>
      </c>
      <c r="K1767" s="34">
        <v>31628.0</v>
      </c>
      <c r="L1767" s="35">
        <f>VLOOKUP($A1767, 'Hospitalisation Details'!$A:$H, 7, FALSE)</f>
        <v>4999.04</v>
      </c>
      <c r="M1767" s="22" t="str">
        <f>VLOOKUP($A1767, 'Hospitalisation Details'!$A:$L, 12, FALSE)</f>
        <v>tier - 2</v>
      </c>
      <c r="N1767" s="22" t="str">
        <f>VLOOKUP($A1767, 'Hospitalisation Details'!$A:$M, 13, FALSE)</f>
        <v>tier - 2</v>
      </c>
      <c r="O1767" s="22" t="str">
        <f>VLOOKUP($A1767, 'Hospitalisation Details'!$A:$N, 14, FALSE)</f>
        <v>R1011</v>
      </c>
      <c r="P1767" s="36">
        <f>VLOOKUP($A1767, 'Hospitalisation Details'!$A:$O, 15, FALSE)</f>
        <v>21</v>
      </c>
    </row>
    <row r="1768" ht="15.75" customHeight="1">
      <c r="A1768" s="33" t="s">
        <v>3535</v>
      </c>
      <c r="B1768" s="22" t="str">
        <f>VLOOKUP($A1768,'Customer Names'!$A:$D,3, FALSE)</f>
        <v>Auer</v>
      </c>
      <c r="C1768" s="22">
        <f>VLOOKUP($A1768,'Medical Examinations'!$A:$D, 2, FALSE)</f>
        <v>23.56</v>
      </c>
      <c r="D1768" s="22">
        <f>VLOOKUP($A1768, 'Medical Examinations'!$A:$D,3, FALSE)</f>
        <v>5.45</v>
      </c>
      <c r="E1768" s="22" t="str">
        <f>VLOOKUP($A1768, 'Medical Examinations'!$A:$D, 4, FALSE)</f>
        <v>Yes</v>
      </c>
      <c r="F1768" s="22" t="str">
        <f>VLOOKUP($A1768, 'Medical Examinations'!$A:$J, 5, FALSE)</f>
        <v>No</v>
      </c>
      <c r="G1768" s="22" t="str">
        <f>VLOOKUP($A1768, 'Medical Examinations'!$A:$I, 6, FALSE)</f>
        <v>No</v>
      </c>
      <c r="H1768" s="22">
        <f>VLOOKUP($A1768,'Medical Examinations'!$A:$L,10, FALSE)</f>
        <v>1</v>
      </c>
      <c r="I1768" s="22" t="str">
        <f>VLOOKUP($A1768, 'Medical Examinations'!$A:$J, 9, FALSE)</f>
        <v>No</v>
      </c>
      <c r="J1768" s="22" t="str">
        <f>VLOOKUP($A1768, 'Medical Examinations'!$A:$P, 11, FALSE)</f>
        <v>NORMAL WEIGHT</v>
      </c>
      <c r="K1768" s="34">
        <v>29535.0</v>
      </c>
      <c r="L1768" s="35">
        <f>VLOOKUP($A1768, 'Hospitalisation Details'!$A:$H, 7, FALSE)</f>
        <v>4992.38</v>
      </c>
      <c r="M1768" s="22" t="str">
        <f>VLOOKUP($A1768, 'Hospitalisation Details'!$A:$L, 12, FALSE)</f>
        <v>tier - 2</v>
      </c>
      <c r="N1768" s="22" t="str">
        <f>VLOOKUP($A1768, 'Hospitalisation Details'!$A:$M, 13, FALSE)</f>
        <v>tier - 3</v>
      </c>
      <c r="O1768" s="22" t="str">
        <f>VLOOKUP($A1768, 'Hospitalisation Details'!$A:$N, 14, FALSE)</f>
        <v>R1024</v>
      </c>
      <c r="P1768" s="36">
        <f>VLOOKUP($A1768, 'Hospitalisation Details'!$A:$O, 15, FALSE)</f>
        <v>34</v>
      </c>
    </row>
    <row r="1769" ht="15.75" customHeight="1">
      <c r="A1769" s="33" t="s">
        <v>3537</v>
      </c>
      <c r="B1769" s="22" t="str">
        <f>VLOOKUP($A1769,'Customer Names'!$A:$D,3, FALSE)</f>
        <v>Attar</v>
      </c>
      <c r="C1769" s="22">
        <f>VLOOKUP($A1769,'Medical Examinations'!$A:$D, 2, FALSE)</f>
        <v>15.84</v>
      </c>
      <c r="D1769" s="22">
        <f>VLOOKUP($A1769, 'Medical Examinations'!$A:$D,3, FALSE)</f>
        <v>10.34</v>
      </c>
      <c r="E1769" s="22" t="str">
        <f>VLOOKUP($A1769, 'Medical Examinations'!$A:$D, 4, FALSE)</f>
        <v>No</v>
      </c>
      <c r="F1769" s="22" t="str">
        <f>VLOOKUP($A1769, 'Medical Examinations'!$A:$J, 5, FALSE)</f>
        <v>No</v>
      </c>
      <c r="G1769" s="22" t="str">
        <f>VLOOKUP($A1769, 'Medical Examinations'!$A:$I, 6, FALSE)</f>
        <v>No</v>
      </c>
      <c r="H1769" s="22">
        <f>VLOOKUP($A1769,'Medical Examinations'!$A:$L,10, FALSE)</f>
        <v>2</v>
      </c>
      <c r="I1769" s="22" t="str">
        <f>VLOOKUP($A1769, 'Medical Examinations'!$A:$J, 9, FALSE)</f>
        <v>No</v>
      </c>
      <c r="J1769" s="22" t="str">
        <f>VLOOKUP($A1769, 'Medical Examinations'!$A:$P, 11, FALSE)</f>
        <v>UNDERWEIGHT</v>
      </c>
      <c r="K1769" s="34">
        <v>33861.0</v>
      </c>
      <c r="L1769" s="35">
        <f>VLOOKUP($A1769, 'Hospitalisation Details'!$A:$H, 7, FALSE)</f>
        <v>4985.22</v>
      </c>
      <c r="M1769" s="22" t="str">
        <f>VLOOKUP($A1769, 'Hospitalisation Details'!$A:$L, 12, FALSE)</f>
        <v>tier - 2</v>
      </c>
      <c r="N1769" s="22" t="str">
        <f>VLOOKUP($A1769, 'Hospitalisation Details'!$A:$M, 13, FALSE)</f>
        <v>tier - 3</v>
      </c>
      <c r="O1769" s="22" t="str">
        <f>VLOOKUP($A1769, 'Hospitalisation Details'!$A:$N, 14, FALSE)</f>
        <v>R1013</v>
      </c>
      <c r="P1769" s="36">
        <f>VLOOKUP($A1769, 'Hospitalisation Details'!$A:$O, 15, FALSE)</f>
        <v>49</v>
      </c>
    </row>
    <row r="1770" ht="15.75" customHeight="1">
      <c r="A1770" s="33" t="s">
        <v>3539</v>
      </c>
      <c r="B1770" s="22" t="str">
        <f>VLOOKUP($A1770,'Customer Names'!$A:$D,3, FALSE)</f>
        <v>Misuraca</v>
      </c>
      <c r="C1770" s="22">
        <f>VLOOKUP($A1770,'Medical Examinations'!$A:$D, 2, FALSE)</f>
        <v>36.63</v>
      </c>
      <c r="D1770" s="22">
        <f>VLOOKUP($A1770, 'Medical Examinations'!$A:$D,3, FALSE)</f>
        <v>5.15</v>
      </c>
      <c r="E1770" s="22" t="str">
        <f>VLOOKUP($A1770, 'Medical Examinations'!$A:$D, 4, FALSE)</f>
        <v>No</v>
      </c>
      <c r="F1770" s="22" t="str">
        <f>VLOOKUP($A1770, 'Medical Examinations'!$A:$J, 5, FALSE)</f>
        <v>No</v>
      </c>
      <c r="G1770" s="22" t="str">
        <f>VLOOKUP($A1770, 'Medical Examinations'!$A:$I, 6, FALSE)</f>
        <v>No</v>
      </c>
      <c r="H1770" s="22">
        <f>VLOOKUP($A1770,'Medical Examinations'!$A:$L,10, FALSE)</f>
        <v>0</v>
      </c>
      <c r="I1770" s="22" t="str">
        <f>VLOOKUP($A1770, 'Medical Examinations'!$A:$J, 9, FALSE)</f>
        <v>No</v>
      </c>
      <c r="J1770" s="22" t="str">
        <f>VLOOKUP($A1770, 'Medical Examinations'!$A:$P, 11, FALSE)</f>
        <v>OBESITY</v>
      </c>
      <c r="K1770" s="34">
        <v>23955.0</v>
      </c>
      <c r="L1770" s="35">
        <f>VLOOKUP($A1770, 'Hospitalisation Details'!$A:$H, 7, FALSE)</f>
        <v>4949.76</v>
      </c>
      <c r="M1770" s="22" t="str">
        <f>VLOOKUP($A1770, 'Hospitalisation Details'!$A:$L, 12, FALSE)</f>
        <v>tier - 2</v>
      </c>
      <c r="N1770" s="22" t="str">
        <f>VLOOKUP($A1770, 'Hospitalisation Details'!$A:$M, 13, FALSE)</f>
        <v>tier - 1</v>
      </c>
      <c r="O1770" s="22" t="str">
        <f>VLOOKUP($A1770, 'Hospitalisation Details'!$A:$N, 14, FALSE)</f>
        <v>R1013</v>
      </c>
      <c r="P1770" s="36">
        <f>VLOOKUP($A1770, 'Hospitalisation Details'!$A:$O, 15, FALSE)</f>
        <v>31</v>
      </c>
    </row>
    <row r="1771" ht="15.75" customHeight="1">
      <c r="A1771" s="33" t="s">
        <v>3541</v>
      </c>
      <c r="B1771" s="22" t="str">
        <f>VLOOKUP($A1771,'Customer Names'!$A:$D,3, FALSE)</f>
        <v>Spannaus</v>
      </c>
      <c r="C1771" s="22">
        <f>VLOOKUP($A1771,'Medical Examinations'!$A:$D, 2, FALSE)</f>
        <v>16.47</v>
      </c>
      <c r="D1771" s="22">
        <f>VLOOKUP($A1771, 'Medical Examinations'!$A:$D,3, FALSE)</f>
        <v>11.72</v>
      </c>
      <c r="E1771" s="22" t="str">
        <f>VLOOKUP($A1771, 'Medical Examinations'!$A:$D, 4, FALSE)</f>
        <v>No</v>
      </c>
      <c r="F1771" s="22" t="str">
        <f>VLOOKUP($A1771, 'Medical Examinations'!$A:$J, 5, FALSE)</f>
        <v>No</v>
      </c>
      <c r="G1771" s="22" t="str">
        <f>VLOOKUP($A1771, 'Medical Examinations'!$A:$I, 6, FALSE)</f>
        <v>No</v>
      </c>
      <c r="H1771" s="22">
        <f>VLOOKUP($A1771,'Medical Examinations'!$A:$L,10, FALSE)</f>
        <v>0</v>
      </c>
      <c r="I1771" s="22" t="str">
        <f>VLOOKUP($A1771, 'Medical Examinations'!$A:$J, 9, FALSE)</f>
        <v>No</v>
      </c>
      <c r="J1771" s="22" t="str">
        <f>VLOOKUP($A1771, 'Medical Examinations'!$A:$P, 11, FALSE)</f>
        <v>UNDERWEIGHT</v>
      </c>
      <c r="K1771" s="34">
        <v>24823.0</v>
      </c>
      <c r="L1771" s="35">
        <f>VLOOKUP($A1771, 'Hospitalisation Details'!$A:$H, 7, FALSE)</f>
        <v>4942.06</v>
      </c>
      <c r="M1771" s="22" t="str">
        <f>VLOOKUP($A1771, 'Hospitalisation Details'!$A:$L, 12, FALSE)</f>
        <v>tier - 2</v>
      </c>
      <c r="N1771" s="22" t="str">
        <f>VLOOKUP($A1771, 'Hospitalisation Details'!$A:$M, 13, FALSE)</f>
        <v>tier - 2</v>
      </c>
      <c r="O1771" s="22" t="str">
        <f>VLOOKUP($A1771, 'Hospitalisation Details'!$A:$N, 14, FALSE)</f>
        <v>R1013</v>
      </c>
      <c r="P1771" s="36">
        <f>VLOOKUP($A1771, 'Hospitalisation Details'!$A:$O, 15, FALSE)</f>
        <v>48</v>
      </c>
    </row>
    <row r="1772" ht="15.75" customHeight="1">
      <c r="A1772" s="33" t="s">
        <v>3543</v>
      </c>
      <c r="B1772" s="22" t="str">
        <f>VLOOKUP($A1772,'Customer Names'!$A:$D,3, FALSE)</f>
        <v>Tarbiat</v>
      </c>
      <c r="C1772" s="22">
        <f>VLOOKUP($A1772,'Medical Examinations'!$A:$D, 2, FALSE)</f>
        <v>25.8</v>
      </c>
      <c r="D1772" s="22">
        <f>VLOOKUP($A1772, 'Medical Examinations'!$A:$D,3, FALSE)</f>
        <v>5.29</v>
      </c>
      <c r="E1772" s="22" t="str">
        <f>VLOOKUP($A1772, 'Medical Examinations'!$A:$D, 4, FALSE)</f>
        <v>No</v>
      </c>
      <c r="F1772" s="22" t="str">
        <f>VLOOKUP($A1772, 'Medical Examinations'!$A:$J, 5, FALSE)</f>
        <v>No</v>
      </c>
      <c r="G1772" s="22" t="str">
        <f>VLOOKUP($A1772, 'Medical Examinations'!$A:$I, 6, FALSE)</f>
        <v>No</v>
      </c>
      <c r="H1772" s="22">
        <f>VLOOKUP($A1772,'Medical Examinations'!$A:$L,10, FALSE)</f>
        <v>0</v>
      </c>
      <c r="I1772" s="22" t="str">
        <f>VLOOKUP($A1772, 'Medical Examinations'!$A:$J, 9, FALSE)</f>
        <v>No</v>
      </c>
      <c r="J1772" s="22" t="str">
        <f>VLOOKUP($A1772, 'Medical Examinations'!$A:$P, 11, FALSE)</f>
        <v>OVERWEIGHT</v>
      </c>
      <c r="K1772" s="34">
        <v>24297.0</v>
      </c>
      <c r="L1772" s="35">
        <f>VLOOKUP($A1772, 'Hospitalisation Details'!$A:$H, 7, FALSE)</f>
        <v>4934.71</v>
      </c>
      <c r="M1772" s="22" t="str">
        <f>VLOOKUP($A1772, 'Hospitalisation Details'!$A:$L, 12, FALSE)</f>
        <v>tier - 2</v>
      </c>
      <c r="N1772" s="22" t="str">
        <f>VLOOKUP($A1772, 'Hospitalisation Details'!$A:$M, 13, FALSE)</f>
        <v>tier - 3</v>
      </c>
      <c r="O1772" s="22" t="str">
        <f>VLOOKUP($A1772, 'Hospitalisation Details'!$A:$N, 14, FALSE)</f>
        <v>R1011</v>
      </c>
      <c r="P1772" s="36">
        <f>VLOOKUP($A1772, 'Hospitalisation Details'!$A:$O, 15, FALSE)</f>
        <v>31</v>
      </c>
    </row>
    <row r="1773" ht="15.75" customHeight="1">
      <c r="A1773" s="33" t="s">
        <v>3545</v>
      </c>
      <c r="B1773" s="22" t="str">
        <f>VLOOKUP($A1773,'Customer Names'!$A:$D,3, FALSE)</f>
        <v>Pulkkinen</v>
      </c>
      <c r="C1773" s="22">
        <f>VLOOKUP($A1773,'Medical Examinations'!$A:$D, 2, FALSE)</f>
        <v>23.6</v>
      </c>
      <c r="D1773" s="22">
        <f>VLOOKUP($A1773, 'Medical Examinations'!$A:$D,3, FALSE)</f>
        <v>4.33</v>
      </c>
      <c r="E1773" s="22" t="str">
        <f>VLOOKUP($A1773, 'Medical Examinations'!$A:$D, 4, FALSE)</f>
        <v>No</v>
      </c>
      <c r="F1773" s="22" t="str">
        <f>VLOOKUP($A1773, 'Medical Examinations'!$A:$J, 5, FALSE)</f>
        <v>No</v>
      </c>
      <c r="G1773" s="22" t="str">
        <f>VLOOKUP($A1773, 'Medical Examinations'!$A:$I, 6, FALSE)</f>
        <v>No</v>
      </c>
      <c r="H1773" s="22">
        <f>VLOOKUP($A1773,'Medical Examinations'!$A:$L,10, FALSE)</f>
        <v>0</v>
      </c>
      <c r="I1773" s="22" t="str">
        <f>VLOOKUP($A1773, 'Medical Examinations'!$A:$J, 9, FALSE)</f>
        <v>No</v>
      </c>
      <c r="J1773" s="22" t="str">
        <f>VLOOKUP($A1773, 'Medical Examinations'!$A:$P, 11, FALSE)</f>
        <v>NORMAL WEIGHT</v>
      </c>
      <c r="K1773" s="34">
        <v>25489.0</v>
      </c>
      <c r="L1773" s="35">
        <f>VLOOKUP($A1773, 'Hospitalisation Details'!$A:$H, 7, FALSE)</f>
        <v>4931.65</v>
      </c>
      <c r="M1773" s="22" t="str">
        <f>VLOOKUP($A1773, 'Hospitalisation Details'!$A:$L, 12, FALSE)</f>
        <v>tier - 2</v>
      </c>
      <c r="N1773" s="22" t="str">
        <f>VLOOKUP($A1773, 'Hospitalisation Details'!$A:$M, 13, FALSE)</f>
        <v>tier - 3</v>
      </c>
      <c r="O1773" s="22" t="str">
        <f>VLOOKUP($A1773, 'Hospitalisation Details'!$A:$N, 14, FALSE)</f>
        <v>R1011</v>
      </c>
      <c r="P1773" s="36">
        <f>VLOOKUP($A1773, 'Hospitalisation Details'!$A:$O, 15, FALSE)</f>
        <v>31</v>
      </c>
    </row>
    <row r="1774" ht="15.75" customHeight="1">
      <c r="A1774" s="33" t="s">
        <v>3547</v>
      </c>
      <c r="B1774" s="22" t="str">
        <f>VLOOKUP($A1774,'Customer Names'!$A:$D,3, FALSE)</f>
        <v>Trnovcova</v>
      </c>
      <c r="C1774" s="22">
        <f>VLOOKUP($A1774,'Medical Examinations'!$A:$D, 2, FALSE)</f>
        <v>32.11</v>
      </c>
      <c r="D1774" s="22">
        <f>VLOOKUP($A1774, 'Medical Examinations'!$A:$D,3, FALSE)</f>
        <v>6.24</v>
      </c>
      <c r="E1774" s="22" t="str">
        <f>VLOOKUP($A1774, 'Medical Examinations'!$A:$D, 4, FALSE)</f>
        <v>No</v>
      </c>
      <c r="F1774" s="22" t="str">
        <f>VLOOKUP($A1774, 'Medical Examinations'!$A:$J, 5, FALSE)</f>
        <v>No</v>
      </c>
      <c r="G1774" s="22" t="str">
        <f>VLOOKUP($A1774, 'Medical Examinations'!$A:$I, 6, FALSE)</f>
        <v>Yes</v>
      </c>
      <c r="H1774" s="22">
        <f>VLOOKUP($A1774,'Medical Examinations'!$A:$L,10, FALSE)</f>
        <v>1</v>
      </c>
      <c r="I1774" s="22" t="str">
        <f>VLOOKUP($A1774, 'Medical Examinations'!$A:$J, 9, FALSE)</f>
        <v>No</v>
      </c>
      <c r="J1774" s="22" t="str">
        <f>VLOOKUP($A1774, 'Medical Examinations'!$A:$P, 11, FALSE)</f>
        <v>OBESITY</v>
      </c>
      <c r="K1774" s="34">
        <v>22937.0</v>
      </c>
      <c r="L1774" s="35">
        <f>VLOOKUP($A1774, 'Hospitalisation Details'!$A:$H, 7, FALSE)</f>
        <v>4922.92</v>
      </c>
      <c r="M1774" s="22" t="str">
        <f>VLOOKUP($A1774, 'Hospitalisation Details'!$A:$L, 12, FALSE)</f>
        <v>tier - 2</v>
      </c>
      <c r="N1774" s="22" t="str">
        <f>VLOOKUP($A1774, 'Hospitalisation Details'!$A:$M, 13, FALSE)</f>
        <v>tier - 2</v>
      </c>
      <c r="O1774" s="22" t="str">
        <f>VLOOKUP($A1774, 'Hospitalisation Details'!$A:$N, 14, FALSE)</f>
        <v>R1012</v>
      </c>
      <c r="P1774" s="36">
        <f>VLOOKUP($A1774, 'Hospitalisation Details'!$A:$O, 15, FALSE)</f>
        <v>29</v>
      </c>
    </row>
    <row r="1775" ht="15.75" customHeight="1">
      <c r="A1775" s="33" t="s">
        <v>3549</v>
      </c>
      <c r="B1775" s="22" t="str">
        <f>VLOOKUP($A1775,'Customer Names'!$A:$D,3, FALSE)</f>
        <v>Anthony</v>
      </c>
      <c r="C1775" s="22">
        <f>VLOOKUP($A1775,'Medical Examinations'!$A:$D, 2, FALSE)</f>
        <v>30.115</v>
      </c>
      <c r="D1775" s="22">
        <f>VLOOKUP($A1775, 'Medical Examinations'!$A:$D,3, FALSE)</f>
        <v>11.61</v>
      </c>
      <c r="E1775" s="22" t="str">
        <f>VLOOKUP($A1775, 'Medical Examinations'!$A:$D, 4, FALSE)</f>
        <v>No</v>
      </c>
      <c r="F1775" s="22" t="str">
        <f>VLOOKUP($A1775, 'Medical Examinations'!$A:$J, 5, FALSE)</f>
        <v>No</v>
      </c>
      <c r="G1775" s="22" t="str">
        <f>VLOOKUP($A1775, 'Medical Examinations'!$A:$I, 6, FALSE)</f>
        <v>No</v>
      </c>
      <c r="H1775" s="22">
        <f>VLOOKUP($A1775,'Medical Examinations'!$A:$L,10, FALSE)</f>
        <v>0</v>
      </c>
      <c r="I1775" s="22" t="str">
        <f>VLOOKUP($A1775, 'Medical Examinations'!$A:$J, 9, FALSE)</f>
        <v>No</v>
      </c>
      <c r="J1775" s="22" t="str">
        <f>VLOOKUP($A1775, 'Medical Examinations'!$A:$P, 11, FALSE)</f>
        <v>OBESITY</v>
      </c>
      <c r="K1775" s="34">
        <v>31240.0</v>
      </c>
      <c r="L1775" s="35">
        <f>VLOOKUP($A1775, 'Hospitalisation Details'!$A:$H, 7, FALSE)</f>
        <v>4915.06</v>
      </c>
      <c r="M1775" s="22" t="str">
        <f>VLOOKUP($A1775, 'Hospitalisation Details'!$A:$L, 12, FALSE)</f>
        <v>tier - 2</v>
      </c>
      <c r="N1775" s="22" t="str">
        <f>VLOOKUP($A1775, 'Hospitalisation Details'!$A:$M, 13, FALSE)</f>
        <v>tier - 1</v>
      </c>
      <c r="O1775" s="22" t="str">
        <f>VLOOKUP($A1775, 'Hospitalisation Details'!$A:$N, 14, FALSE)</f>
        <v>R1017</v>
      </c>
      <c r="P1775" s="36">
        <f>VLOOKUP($A1775, 'Hospitalisation Details'!$A:$O, 15, FALSE)</f>
        <v>20</v>
      </c>
    </row>
    <row r="1776" ht="15.75" customHeight="1">
      <c r="A1776" s="33" t="s">
        <v>3551</v>
      </c>
      <c r="B1776" s="22" t="str">
        <f>VLOOKUP($A1776,'Customer Names'!$A:$D,3, FALSE)</f>
        <v>Hetrick</v>
      </c>
      <c r="C1776" s="22">
        <f>VLOOKUP($A1776,'Medical Examinations'!$A:$D, 2, FALSE)</f>
        <v>20.28</v>
      </c>
      <c r="D1776" s="22">
        <f>VLOOKUP($A1776, 'Medical Examinations'!$A:$D,3, FALSE)</f>
        <v>11.07</v>
      </c>
      <c r="E1776" s="22" t="str">
        <f>VLOOKUP($A1776, 'Medical Examinations'!$A:$D, 4, FALSE)</f>
        <v>Yes</v>
      </c>
      <c r="F1776" s="22" t="str">
        <f>VLOOKUP($A1776, 'Medical Examinations'!$A:$J, 5, FALSE)</f>
        <v>No</v>
      </c>
      <c r="G1776" s="22" t="str">
        <f>VLOOKUP($A1776, 'Medical Examinations'!$A:$I, 6, FALSE)</f>
        <v>No</v>
      </c>
      <c r="H1776" s="22">
        <f>VLOOKUP($A1776,'Medical Examinations'!$A:$L,10, FALSE)</f>
        <v>0</v>
      </c>
      <c r="I1776" s="22" t="str">
        <f>VLOOKUP($A1776, 'Medical Examinations'!$A:$J, 9, FALSE)</f>
        <v>No</v>
      </c>
      <c r="J1776" s="22" t="str">
        <f>VLOOKUP($A1776, 'Medical Examinations'!$A:$P, 11, FALSE)</f>
        <v>NORMAL WEIGHT</v>
      </c>
      <c r="K1776" s="34">
        <v>22829.0</v>
      </c>
      <c r="L1776" s="35">
        <f>VLOOKUP($A1776, 'Hospitalisation Details'!$A:$H, 7, FALSE)</f>
        <v>4911.89</v>
      </c>
      <c r="M1776" s="22" t="str">
        <f>VLOOKUP($A1776, 'Hospitalisation Details'!$A:$L, 12, FALSE)</f>
        <v>tier - 2</v>
      </c>
      <c r="N1776" s="22" t="str">
        <f>VLOOKUP($A1776, 'Hospitalisation Details'!$A:$M, 13, FALSE)</f>
        <v>tier - 3</v>
      </c>
      <c r="O1776" s="22" t="str">
        <f>VLOOKUP($A1776, 'Hospitalisation Details'!$A:$N, 14, FALSE)</f>
        <v>R1013</v>
      </c>
      <c r="P1776" s="36">
        <f>VLOOKUP($A1776, 'Hospitalisation Details'!$A:$O, 15, FALSE)</f>
        <v>41</v>
      </c>
    </row>
    <row r="1777" ht="15.75" customHeight="1">
      <c r="A1777" s="33" t="s">
        <v>3553</v>
      </c>
      <c r="B1777" s="22" t="str">
        <f>VLOOKUP($A1777,'Customer Names'!$A:$D,3, FALSE)</f>
        <v>Stern</v>
      </c>
      <c r="C1777" s="22">
        <f>VLOOKUP($A1777,'Medical Examinations'!$A:$D, 2, FALSE)</f>
        <v>20.235</v>
      </c>
      <c r="D1777" s="22">
        <f>VLOOKUP($A1777, 'Medical Examinations'!$A:$D,3, FALSE)</f>
        <v>5.19</v>
      </c>
      <c r="E1777" s="22" t="str">
        <f>VLOOKUP($A1777, 'Medical Examinations'!$A:$D, 4, FALSE)</f>
        <v>No</v>
      </c>
      <c r="F1777" s="22" t="str">
        <f>VLOOKUP($A1777, 'Medical Examinations'!$A:$J, 5, FALSE)</f>
        <v>No</v>
      </c>
      <c r="G1777" s="22" t="str">
        <f>VLOOKUP($A1777, 'Medical Examinations'!$A:$I, 6, FALSE)</f>
        <v>Yes</v>
      </c>
      <c r="H1777" s="22">
        <f>VLOOKUP($A1777,'Medical Examinations'!$A:$L,10, FALSE)</f>
        <v>1</v>
      </c>
      <c r="I1777" s="22" t="str">
        <f>VLOOKUP($A1777, 'Medical Examinations'!$A:$J, 9, FALSE)</f>
        <v>No</v>
      </c>
      <c r="J1777" s="22" t="str">
        <f>VLOOKUP($A1777, 'Medical Examinations'!$A:$P, 11, FALSE)</f>
        <v>NORMAL WEIGHT</v>
      </c>
      <c r="K1777" s="34">
        <v>31307.0</v>
      </c>
      <c r="L1777" s="35">
        <f>VLOOKUP($A1777, 'Hospitalisation Details'!$A:$H, 7, FALSE)</f>
        <v>4906.41</v>
      </c>
      <c r="M1777" s="22" t="str">
        <f>VLOOKUP($A1777, 'Hospitalisation Details'!$A:$L, 12, FALSE)</f>
        <v>tier - 2</v>
      </c>
      <c r="N1777" s="22" t="str">
        <f>VLOOKUP($A1777, 'Hospitalisation Details'!$A:$M, 13, FALSE)</f>
        <v>tier - 1</v>
      </c>
      <c r="O1777" s="22" t="str">
        <f>VLOOKUP($A1777, 'Hospitalisation Details'!$A:$N, 14, FALSE)</f>
        <v>R1012</v>
      </c>
      <c r="P1777" s="36">
        <f>VLOOKUP($A1777, 'Hospitalisation Details'!$A:$O, 15, FALSE)</f>
        <v>29</v>
      </c>
    </row>
    <row r="1778" ht="15.75" customHeight="1">
      <c r="A1778" s="33" t="s">
        <v>3555</v>
      </c>
      <c r="B1778" s="22" t="str">
        <f>VLOOKUP($A1778,'Customer Names'!$A:$D,3, FALSE)</f>
        <v>Newman</v>
      </c>
      <c r="C1778" s="22">
        <f>VLOOKUP($A1778,'Medical Examinations'!$A:$D, 2, FALSE)</f>
        <v>25.27</v>
      </c>
      <c r="D1778" s="22">
        <f>VLOOKUP($A1778, 'Medical Examinations'!$A:$D,3, FALSE)</f>
        <v>5.7</v>
      </c>
      <c r="E1778" s="22" t="str">
        <f>VLOOKUP($A1778, 'Medical Examinations'!$A:$D, 4, FALSE)</f>
        <v>Yes</v>
      </c>
      <c r="F1778" s="22" t="str">
        <f>VLOOKUP($A1778, 'Medical Examinations'!$A:$J, 5, FALSE)</f>
        <v>No</v>
      </c>
      <c r="G1778" s="22" t="str">
        <f>VLOOKUP($A1778, 'Medical Examinations'!$A:$I, 6, FALSE)</f>
        <v>No</v>
      </c>
      <c r="H1778" s="22">
        <f>VLOOKUP($A1778,'Medical Examinations'!$A:$L,10, FALSE)</f>
        <v>1</v>
      </c>
      <c r="I1778" s="22" t="str">
        <f>VLOOKUP($A1778, 'Medical Examinations'!$A:$J, 9, FALSE)</f>
        <v>No</v>
      </c>
      <c r="J1778" s="22" t="str">
        <f>VLOOKUP($A1778, 'Medical Examinations'!$A:$P, 11, FALSE)</f>
        <v>OVERWEIGHT</v>
      </c>
      <c r="K1778" s="34">
        <v>34219.0</v>
      </c>
      <c r="L1778" s="35">
        <f>VLOOKUP($A1778, 'Hospitalisation Details'!$A:$H, 7, FALSE)</f>
        <v>4894.75</v>
      </c>
      <c r="M1778" s="22" t="str">
        <f>VLOOKUP($A1778, 'Hospitalisation Details'!$A:$L, 12, FALSE)</f>
        <v>tier - 3</v>
      </c>
      <c r="N1778" s="22" t="str">
        <f>VLOOKUP($A1778, 'Hospitalisation Details'!$A:$M, 13, FALSE)</f>
        <v>tier - 3</v>
      </c>
      <c r="O1778" s="22" t="str">
        <f>VLOOKUP($A1778, 'Hospitalisation Details'!$A:$N, 14, FALSE)</f>
        <v>R1012</v>
      </c>
      <c r="P1778" s="36">
        <f>VLOOKUP($A1778, 'Hospitalisation Details'!$A:$O, 15, FALSE)</f>
        <v>34</v>
      </c>
    </row>
    <row r="1779" ht="15.75" customHeight="1">
      <c r="A1779" s="33" t="s">
        <v>3557</v>
      </c>
      <c r="B1779" s="22" t="str">
        <f>VLOOKUP($A1779,'Customer Names'!$A:$D,3, FALSE)</f>
        <v>Reasoner</v>
      </c>
      <c r="C1779" s="22">
        <f>VLOOKUP($A1779,'Medical Examinations'!$A:$D, 2, FALSE)</f>
        <v>24.24</v>
      </c>
      <c r="D1779" s="22">
        <f>VLOOKUP($A1779, 'Medical Examinations'!$A:$D,3, FALSE)</f>
        <v>6.15</v>
      </c>
      <c r="E1779" s="22" t="str">
        <f>VLOOKUP($A1779, 'Medical Examinations'!$A:$D, 4, FALSE)</f>
        <v>No</v>
      </c>
      <c r="F1779" s="22" t="str">
        <f>VLOOKUP($A1779, 'Medical Examinations'!$A:$J, 5, FALSE)</f>
        <v>No</v>
      </c>
      <c r="G1779" s="22" t="str">
        <f>VLOOKUP($A1779, 'Medical Examinations'!$A:$I, 6, FALSE)</f>
        <v>No</v>
      </c>
      <c r="H1779" s="22">
        <f>VLOOKUP($A1779,'Medical Examinations'!$A:$L,10, FALSE)</f>
        <v>0</v>
      </c>
      <c r="I1779" s="22" t="str">
        <f>VLOOKUP($A1779, 'Medical Examinations'!$A:$J, 9, FALSE)</f>
        <v>No</v>
      </c>
      <c r="J1779" s="22" t="str">
        <f>VLOOKUP($A1779, 'Medical Examinations'!$A:$P, 11, FALSE)</f>
        <v>NORMAL WEIGHT</v>
      </c>
      <c r="K1779" s="34">
        <v>24290.0</v>
      </c>
      <c r="L1779" s="35">
        <f>VLOOKUP($A1779, 'Hospitalisation Details'!$A:$H, 7, FALSE)</f>
        <v>4894.39</v>
      </c>
      <c r="M1779" s="22" t="str">
        <f>VLOOKUP($A1779, 'Hospitalisation Details'!$A:$L, 12, FALSE)</f>
        <v>tier - 2</v>
      </c>
      <c r="N1779" s="22" t="str">
        <f>VLOOKUP($A1779, 'Hospitalisation Details'!$A:$M, 13, FALSE)</f>
        <v>tier - 3</v>
      </c>
      <c r="O1779" s="22" t="str">
        <f>VLOOKUP($A1779, 'Hospitalisation Details'!$A:$N, 14, FALSE)</f>
        <v>R1013</v>
      </c>
      <c r="P1779" s="36">
        <f>VLOOKUP($A1779, 'Hospitalisation Details'!$A:$O, 15, FALSE)</f>
        <v>32</v>
      </c>
    </row>
    <row r="1780" ht="15.75" customHeight="1">
      <c r="A1780" s="33" t="s">
        <v>3559</v>
      </c>
      <c r="B1780" s="22" t="str">
        <f>VLOOKUP($A1780,'Customer Names'!$A:$D,3, FALSE)</f>
        <v>Mone</v>
      </c>
      <c r="C1780" s="22">
        <f>VLOOKUP($A1780,'Medical Examinations'!$A:$D, 2, FALSE)</f>
        <v>35.75</v>
      </c>
      <c r="D1780" s="22">
        <f>VLOOKUP($A1780, 'Medical Examinations'!$A:$D,3, FALSE)</f>
        <v>5.07</v>
      </c>
      <c r="E1780" s="22" t="str">
        <f>VLOOKUP($A1780, 'Medical Examinations'!$A:$D, 4, FALSE)</f>
        <v>No</v>
      </c>
      <c r="F1780" s="22" t="str">
        <f>VLOOKUP($A1780, 'Medical Examinations'!$A:$J, 5, FALSE)</f>
        <v>No</v>
      </c>
      <c r="G1780" s="22" t="str">
        <f>VLOOKUP($A1780, 'Medical Examinations'!$A:$I, 6, FALSE)</f>
        <v>No</v>
      </c>
      <c r="H1780" s="22">
        <f>VLOOKUP($A1780,'Medical Examinations'!$A:$L,10, FALSE)</f>
        <v>0</v>
      </c>
      <c r="I1780" s="22" t="str">
        <f>VLOOKUP($A1780, 'Medical Examinations'!$A:$J, 9, FALSE)</f>
        <v>No</v>
      </c>
      <c r="J1780" s="22" t="str">
        <f>VLOOKUP($A1780, 'Medical Examinations'!$A:$P, 11, FALSE)</f>
        <v>OBESITY</v>
      </c>
      <c r="K1780" s="34">
        <v>24341.0</v>
      </c>
      <c r="L1780" s="35">
        <f>VLOOKUP($A1780, 'Hospitalisation Details'!$A:$H, 7, FALSE)</f>
        <v>4890</v>
      </c>
      <c r="M1780" s="22" t="str">
        <f>VLOOKUP($A1780, 'Hospitalisation Details'!$A:$L, 12, FALSE)</f>
        <v>tier - 3</v>
      </c>
      <c r="N1780" s="22" t="str">
        <f>VLOOKUP($A1780, 'Hospitalisation Details'!$A:$M, 13, FALSE)</f>
        <v>tier - 2</v>
      </c>
      <c r="O1780" s="22" t="str">
        <f>VLOOKUP($A1780, 'Hospitalisation Details'!$A:$N, 14, FALSE)</f>
        <v>R1013</v>
      </c>
      <c r="P1780" s="36">
        <f>VLOOKUP($A1780, 'Hospitalisation Details'!$A:$O, 15, FALSE)</f>
        <v>33</v>
      </c>
    </row>
    <row r="1781" ht="15.75" customHeight="1">
      <c r="A1781" s="33" t="s">
        <v>3561</v>
      </c>
      <c r="B1781" s="22" t="str">
        <f>VLOOKUP($A1781,'Customer Names'!$A:$D,3, FALSE)</f>
        <v>Powers</v>
      </c>
      <c r="C1781" s="22">
        <f>VLOOKUP($A1781,'Medical Examinations'!$A:$D, 2, FALSE)</f>
        <v>29.92</v>
      </c>
      <c r="D1781" s="22">
        <f>VLOOKUP($A1781, 'Medical Examinations'!$A:$D,3, FALSE)</f>
        <v>10.97</v>
      </c>
      <c r="E1781" s="22" t="str">
        <f>VLOOKUP($A1781, 'Medical Examinations'!$A:$D, 4, FALSE)</f>
        <v>Yes</v>
      </c>
      <c r="F1781" s="22" t="str">
        <f>VLOOKUP($A1781, 'Medical Examinations'!$A:$J, 5, FALSE)</f>
        <v>No</v>
      </c>
      <c r="G1781" s="22" t="str">
        <f>VLOOKUP($A1781, 'Medical Examinations'!$A:$I, 6, FALSE)</f>
        <v>No</v>
      </c>
      <c r="H1781" s="22">
        <f>VLOOKUP($A1781,'Medical Examinations'!$A:$L,10, FALSE)</f>
        <v>1</v>
      </c>
      <c r="I1781" s="22" t="str">
        <f>VLOOKUP($A1781, 'Medical Examinations'!$A:$J, 9, FALSE)</f>
        <v>No</v>
      </c>
      <c r="J1781" s="22" t="str">
        <f>VLOOKUP($A1781, 'Medical Examinations'!$A:$P, 11, FALSE)</f>
        <v>OBESITY</v>
      </c>
      <c r="K1781" s="34">
        <v>32067.0</v>
      </c>
      <c r="L1781" s="35">
        <f>VLOOKUP($A1781, 'Hospitalisation Details'!$A:$H, 7, FALSE)</f>
        <v>4889.04</v>
      </c>
      <c r="M1781" s="22" t="str">
        <f>VLOOKUP($A1781, 'Hospitalisation Details'!$A:$L, 12, FALSE)</f>
        <v>tier - 2</v>
      </c>
      <c r="N1781" s="22" t="str">
        <f>VLOOKUP($A1781, 'Hospitalisation Details'!$A:$M, 13, FALSE)</f>
        <v>tier - 1</v>
      </c>
      <c r="O1781" s="22" t="str">
        <f>VLOOKUP($A1781, 'Hospitalisation Details'!$A:$N, 14, FALSE)</f>
        <v>R1013</v>
      </c>
      <c r="P1781" s="36">
        <f>VLOOKUP($A1781, 'Hospitalisation Details'!$A:$O, 15, FALSE)</f>
        <v>36</v>
      </c>
    </row>
    <row r="1782" ht="15.75" customHeight="1">
      <c r="A1782" s="33" t="s">
        <v>3563</v>
      </c>
      <c r="B1782" s="22" t="str">
        <f>VLOOKUP($A1782,'Customer Names'!$A:$D,3, FALSE)</f>
        <v>Ulery</v>
      </c>
      <c r="C1782" s="22">
        <f>VLOOKUP($A1782,'Medical Examinations'!$A:$D, 2, FALSE)</f>
        <v>26.2</v>
      </c>
      <c r="D1782" s="22">
        <f>VLOOKUP($A1782, 'Medical Examinations'!$A:$D,3, FALSE)</f>
        <v>10.93</v>
      </c>
      <c r="E1782" s="22" t="str">
        <f>VLOOKUP($A1782, 'Medical Examinations'!$A:$D, 4, FALSE)</f>
        <v>Yes</v>
      </c>
      <c r="F1782" s="22" t="str">
        <f>VLOOKUP($A1782, 'Medical Examinations'!$A:$J, 5, FALSE)</f>
        <v>No</v>
      </c>
      <c r="G1782" s="22" t="str">
        <f>VLOOKUP($A1782, 'Medical Examinations'!$A:$I, 6, FALSE)</f>
        <v>No</v>
      </c>
      <c r="H1782" s="22">
        <f>VLOOKUP($A1782,'Medical Examinations'!$A:$L,10, FALSE)</f>
        <v>1</v>
      </c>
      <c r="I1782" s="22" t="str">
        <f>VLOOKUP($A1782, 'Medical Examinations'!$A:$J, 9, FALSE)</f>
        <v>No</v>
      </c>
      <c r="J1782" s="22" t="str">
        <f>VLOOKUP($A1782, 'Medical Examinations'!$A:$P, 11, FALSE)</f>
        <v>OVERWEIGHT</v>
      </c>
      <c r="K1782" s="34">
        <v>34493.0</v>
      </c>
      <c r="L1782" s="35">
        <f>VLOOKUP($A1782, 'Hospitalisation Details'!$A:$H, 7, FALSE)</f>
        <v>4883.87</v>
      </c>
      <c r="M1782" s="22" t="str">
        <f>VLOOKUP($A1782, 'Hospitalisation Details'!$A:$L, 12, FALSE)</f>
        <v>tier - 2</v>
      </c>
      <c r="N1782" s="22" t="str">
        <f>VLOOKUP($A1782, 'Hospitalisation Details'!$A:$M, 13, FALSE)</f>
        <v>tier - 1</v>
      </c>
      <c r="O1782" s="22" t="str">
        <f>VLOOKUP($A1782, 'Hospitalisation Details'!$A:$N, 14, FALSE)</f>
        <v>R1011</v>
      </c>
      <c r="P1782" s="36">
        <f>VLOOKUP($A1782, 'Hospitalisation Details'!$A:$O, 15, FALSE)</f>
        <v>36</v>
      </c>
    </row>
    <row r="1783" ht="15.75" customHeight="1">
      <c r="A1783" s="33" t="s">
        <v>3565</v>
      </c>
      <c r="B1783" s="22" t="str">
        <f>VLOOKUP($A1783,'Customer Names'!$A:$D,3, FALSE)</f>
        <v>Haines</v>
      </c>
      <c r="C1783" s="22">
        <f>VLOOKUP($A1783,'Medical Examinations'!$A:$D, 2, FALSE)</f>
        <v>26.695</v>
      </c>
      <c r="D1783" s="22">
        <f>VLOOKUP($A1783, 'Medical Examinations'!$A:$D,3, FALSE)</f>
        <v>4.21</v>
      </c>
      <c r="E1783" s="22" t="str">
        <f>VLOOKUP($A1783, 'Medical Examinations'!$A:$D, 4, FALSE)</f>
        <v>Yes</v>
      </c>
      <c r="F1783" s="22" t="str">
        <f>VLOOKUP($A1783, 'Medical Examinations'!$A:$J, 5, FALSE)</f>
        <v>No</v>
      </c>
      <c r="G1783" s="22" t="str">
        <f>VLOOKUP($A1783, 'Medical Examinations'!$A:$I, 6, FALSE)</f>
        <v>Yes</v>
      </c>
      <c r="H1783" s="22">
        <f>VLOOKUP($A1783,'Medical Examinations'!$A:$L,10, FALSE)</f>
        <v>1</v>
      </c>
      <c r="I1783" s="22" t="str">
        <f>VLOOKUP($A1783, 'Medical Examinations'!$A:$J, 9, FALSE)</f>
        <v>No</v>
      </c>
      <c r="J1783" s="22" t="str">
        <f>VLOOKUP($A1783, 'Medical Examinations'!$A:$P, 11, FALSE)</f>
        <v>OVERWEIGHT</v>
      </c>
      <c r="K1783" s="34">
        <v>37446.0</v>
      </c>
      <c r="L1783" s="35">
        <f>VLOOKUP($A1783, 'Hospitalisation Details'!$A:$H, 7, FALSE)</f>
        <v>4877.98</v>
      </c>
      <c r="M1783" s="22" t="str">
        <f>VLOOKUP($A1783, 'Hospitalisation Details'!$A:$L, 12, FALSE)</f>
        <v>tier - 2</v>
      </c>
      <c r="N1783" s="22" t="str">
        <f>VLOOKUP($A1783, 'Hospitalisation Details'!$A:$M, 13, FALSE)</f>
        <v>tier - 3</v>
      </c>
      <c r="O1783" s="22" t="str">
        <f>VLOOKUP($A1783, 'Hospitalisation Details'!$A:$N, 14, FALSE)</f>
        <v>R1012</v>
      </c>
      <c r="P1783" s="36">
        <f>VLOOKUP($A1783, 'Hospitalisation Details'!$A:$O, 15, FALSE)</f>
        <v>25</v>
      </c>
    </row>
    <row r="1784" ht="15.75" customHeight="1">
      <c r="A1784" s="33" t="s">
        <v>3567</v>
      </c>
      <c r="B1784" s="22" t="str">
        <f>VLOOKUP($A1784,'Customer Names'!$A:$D,3, FALSE)</f>
        <v>Airoldi</v>
      </c>
      <c r="C1784" s="22">
        <f>VLOOKUP($A1784,'Medical Examinations'!$A:$D, 2, FALSE)</f>
        <v>23.16</v>
      </c>
      <c r="D1784" s="22">
        <f>VLOOKUP($A1784, 'Medical Examinations'!$A:$D,3, FALSE)</f>
        <v>5.5</v>
      </c>
      <c r="E1784" s="22" t="str">
        <f>VLOOKUP($A1784, 'Medical Examinations'!$A:$D, 4, FALSE)</f>
        <v>No</v>
      </c>
      <c r="F1784" s="22" t="str">
        <f>VLOOKUP($A1784, 'Medical Examinations'!$A:$J, 5, FALSE)</f>
        <v>No</v>
      </c>
      <c r="G1784" s="22" t="str">
        <f>VLOOKUP($A1784, 'Medical Examinations'!$A:$I, 6, FALSE)</f>
        <v>No</v>
      </c>
      <c r="H1784" s="22">
        <f>VLOOKUP($A1784,'Medical Examinations'!$A:$L,10, FALSE)</f>
        <v>0</v>
      </c>
      <c r="I1784" s="22" t="str">
        <f>VLOOKUP($A1784, 'Medical Examinations'!$A:$J, 9, FALSE)</f>
        <v>No</v>
      </c>
      <c r="J1784" s="22" t="str">
        <f>VLOOKUP($A1784, 'Medical Examinations'!$A:$P, 11, FALSE)</f>
        <v>NORMAL WEIGHT</v>
      </c>
      <c r="K1784" s="34">
        <v>30595.0</v>
      </c>
      <c r="L1784" s="35">
        <f>VLOOKUP($A1784, 'Hospitalisation Details'!$A:$H, 7, FALSE)</f>
        <v>4859.89</v>
      </c>
      <c r="M1784" s="22" t="str">
        <f>VLOOKUP($A1784, 'Hospitalisation Details'!$A:$L, 12, FALSE)</f>
        <v>tier - 2</v>
      </c>
      <c r="N1784" s="22" t="str">
        <f>VLOOKUP($A1784, 'Hospitalisation Details'!$A:$M, 13, FALSE)</f>
        <v>tier - 3</v>
      </c>
      <c r="O1784" s="22" t="str">
        <f>VLOOKUP($A1784, 'Hospitalisation Details'!$A:$N, 14, FALSE)</f>
        <v>R1011</v>
      </c>
      <c r="P1784" s="36">
        <f>VLOOKUP($A1784, 'Hospitalisation Details'!$A:$O, 15, FALSE)</f>
        <v>33</v>
      </c>
    </row>
    <row r="1785" ht="15.75" customHeight="1">
      <c r="A1785" s="33" t="s">
        <v>3569</v>
      </c>
      <c r="B1785" s="22" t="str">
        <f>VLOOKUP($A1785,'Customer Names'!$A:$D,3, FALSE)</f>
        <v>Mattis</v>
      </c>
      <c r="C1785" s="22">
        <f>VLOOKUP($A1785,'Medical Examinations'!$A:$D, 2, FALSE)</f>
        <v>32.585</v>
      </c>
      <c r="D1785" s="22">
        <f>VLOOKUP($A1785, 'Medical Examinations'!$A:$D,3, FALSE)</f>
        <v>4.93</v>
      </c>
      <c r="E1785" s="22" t="str">
        <f>VLOOKUP($A1785, 'Medical Examinations'!$A:$D, 4, FALSE)</f>
        <v>Yes</v>
      </c>
      <c r="F1785" s="22" t="str">
        <f>VLOOKUP($A1785, 'Medical Examinations'!$A:$J, 5, FALSE)</f>
        <v>No</v>
      </c>
      <c r="G1785" s="22" t="str">
        <f>VLOOKUP($A1785, 'Medical Examinations'!$A:$I, 6, FALSE)</f>
        <v>No</v>
      </c>
      <c r="H1785" s="22">
        <f>VLOOKUP($A1785,'Medical Examinations'!$A:$L,10, FALSE)</f>
        <v>1</v>
      </c>
      <c r="I1785" s="22" t="str">
        <f>VLOOKUP($A1785, 'Medical Examinations'!$A:$J, 9, FALSE)</f>
        <v>No</v>
      </c>
      <c r="J1785" s="22" t="str">
        <f>VLOOKUP($A1785, 'Medical Examinations'!$A:$P, 11, FALSE)</f>
        <v>OBESITY</v>
      </c>
      <c r="K1785" s="34">
        <v>32349.0</v>
      </c>
      <c r="L1785" s="35">
        <f>VLOOKUP($A1785, 'Hospitalisation Details'!$A:$H, 7, FALSE)</f>
        <v>4846.92</v>
      </c>
      <c r="M1785" s="22" t="str">
        <f>VLOOKUP($A1785, 'Hospitalisation Details'!$A:$L, 12, FALSE)</f>
        <v>tier - 2</v>
      </c>
      <c r="N1785" s="22" t="str">
        <f>VLOOKUP($A1785, 'Hospitalisation Details'!$A:$M, 13, FALSE)</f>
        <v>tier - 3</v>
      </c>
      <c r="O1785" s="22" t="str">
        <f>VLOOKUP($A1785, 'Hospitalisation Details'!$A:$N, 14, FALSE)</f>
        <v>R1017</v>
      </c>
      <c r="P1785" s="36">
        <f>VLOOKUP($A1785, 'Hospitalisation Details'!$A:$O, 15, FALSE)</f>
        <v>27</v>
      </c>
    </row>
    <row r="1786" ht="15.75" customHeight="1">
      <c r="A1786" s="33" t="s">
        <v>3571</v>
      </c>
      <c r="B1786" s="22" t="str">
        <f>VLOOKUP($A1786,'Customer Names'!$A:$D,3, FALSE)</f>
        <v>Cho</v>
      </c>
      <c r="C1786" s="22">
        <f>VLOOKUP($A1786,'Medical Examinations'!$A:$D, 2, FALSE)</f>
        <v>33.97</v>
      </c>
      <c r="D1786" s="22">
        <f>VLOOKUP($A1786, 'Medical Examinations'!$A:$D,3, FALSE)</f>
        <v>5.6</v>
      </c>
      <c r="E1786" s="22" t="str">
        <f>VLOOKUP($A1786, 'Medical Examinations'!$A:$D, 4, FALSE)</f>
        <v>Yes</v>
      </c>
      <c r="F1786" s="22" t="str">
        <f>VLOOKUP($A1786, 'Medical Examinations'!$A:$J, 5, FALSE)</f>
        <v>No</v>
      </c>
      <c r="G1786" s="22" t="str">
        <f>VLOOKUP($A1786, 'Medical Examinations'!$A:$I, 6, FALSE)</f>
        <v>No</v>
      </c>
      <c r="H1786" s="22">
        <f>VLOOKUP($A1786,'Medical Examinations'!$A:$L,10, FALSE)</f>
        <v>0</v>
      </c>
      <c r="I1786" s="22" t="str">
        <f>VLOOKUP($A1786, 'Medical Examinations'!$A:$J, 9, FALSE)</f>
        <v>No</v>
      </c>
      <c r="J1786" s="22" t="str">
        <f>VLOOKUP($A1786, 'Medical Examinations'!$A:$P, 11, FALSE)</f>
        <v>OBESITY</v>
      </c>
      <c r="K1786" s="34">
        <v>24329.0</v>
      </c>
      <c r="L1786" s="35">
        <f>VLOOKUP($A1786, 'Hospitalisation Details'!$A:$H, 7, FALSE)</f>
        <v>4846.53</v>
      </c>
      <c r="M1786" s="22" t="str">
        <f>VLOOKUP($A1786, 'Hospitalisation Details'!$A:$L, 12, FALSE)</f>
        <v>tier - 2</v>
      </c>
      <c r="N1786" s="22" t="str">
        <f>VLOOKUP($A1786, 'Hospitalisation Details'!$A:$M, 13, FALSE)</f>
        <v>tier - 3</v>
      </c>
      <c r="O1786" s="22" t="str">
        <f>VLOOKUP($A1786, 'Hospitalisation Details'!$A:$N, 14, FALSE)</f>
        <v>R1021</v>
      </c>
      <c r="P1786" s="36">
        <f>VLOOKUP($A1786, 'Hospitalisation Details'!$A:$O, 15, FALSE)</f>
        <v>22</v>
      </c>
    </row>
    <row r="1787" ht="15.75" customHeight="1">
      <c r="A1787" s="33" t="s">
        <v>3573</v>
      </c>
      <c r="B1787" s="22" t="str">
        <f>VLOOKUP($A1787,'Customer Names'!$A:$D,3, FALSE)</f>
        <v>Reumann</v>
      </c>
      <c r="C1787" s="22">
        <f>VLOOKUP($A1787,'Medical Examinations'!$A:$D, 2, FALSE)</f>
        <v>16.57</v>
      </c>
      <c r="D1787" s="22">
        <f>VLOOKUP($A1787, 'Medical Examinations'!$A:$D,3, FALSE)</f>
        <v>9.99</v>
      </c>
      <c r="E1787" s="22" t="str">
        <f>VLOOKUP($A1787, 'Medical Examinations'!$A:$D, 4, FALSE)</f>
        <v>No</v>
      </c>
      <c r="F1787" s="22" t="str">
        <f>VLOOKUP($A1787, 'Medical Examinations'!$A:$J, 5, FALSE)</f>
        <v>No</v>
      </c>
      <c r="G1787" s="22" t="str">
        <f>VLOOKUP($A1787, 'Medical Examinations'!$A:$I, 6, FALSE)</f>
        <v>No</v>
      </c>
      <c r="H1787" s="22">
        <f>VLOOKUP($A1787,'Medical Examinations'!$A:$L,10, FALSE)</f>
        <v>0</v>
      </c>
      <c r="I1787" s="22" t="str">
        <f>VLOOKUP($A1787, 'Medical Examinations'!$A:$J, 9, FALSE)</f>
        <v>No</v>
      </c>
      <c r="J1787" s="22" t="str">
        <f>VLOOKUP($A1787, 'Medical Examinations'!$A:$P, 11, FALSE)</f>
        <v>UNDERWEIGHT</v>
      </c>
      <c r="K1787" s="34">
        <v>29503.0</v>
      </c>
      <c r="L1787" s="35">
        <f>VLOOKUP($A1787, 'Hospitalisation Details'!$A:$H, 7, FALSE)</f>
        <v>4844.67</v>
      </c>
      <c r="M1787" s="22" t="str">
        <f>VLOOKUP($A1787, 'Hospitalisation Details'!$A:$L, 12, FALSE)</f>
        <v>tier - 2</v>
      </c>
      <c r="N1787" s="22" t="str">
        <f>VLOOKUP($A1787, 'Hospitalisation Details'!$A:$M, 13, FALSE)</f>
        <v>tier - 2</v>
      </c>
      <c r="O1787" s="22" t="str">
        <f>VLOOKUP($A1787, 'Hospitalisation Details'!$A:$N, 14, FALSE)</f>
        <v>R1013</v>
      </c>
      <c r="P1787" s="36">
        <f>VLOOKUP($A1787, 'Hospitalisation Details'!$A:$O, 15, FALSE)</f>
        <v>48</v>
      </c>
    </row>
    <row r="1788" ht="15.75" customHeight="1">
      <c r="A1788" s="33" t="s">
        <v>3575</v>
      </c>
      <c r="B1788" s="22" t="str">
        <f>VLOOKUP($A1788,'Customer Names'!$A:$D,3, FALSE)</f>
        <v>Cooper</v>
      </c>
      <c r="C1788" s="22">
        <f>VLOOKUP($A1788,'Medical Examinations'!$A:$D, 2, FALSE)</f>
        <v>17.55</v>
      </c>
      <c r="D1788" s="22">
        <f>VLOOKUP($A1788, 'Medical Examinations'!$A:$D,3, FALSE)</f>
        <v>5.93</v>
      </c>
      <c r="E1788" s="22" t="str">
        <f>VLOOKUP($A1788, 'Medical Examinations'!$A:$D, 4, FALSE)</f>
        <v>No</v>
      </c>
      <c r="F1788" s="22" t="str">
        <f>VLOOKUP($A1788, 'Medical Examinations'!$A:$J, 5, FALSE)</f>
        <v>No</v>
      </c>
      <c r="G1788" s="22" t="str">
        <f>VLOOKUP($A1788, 'Medical Examinations'!$A:$I, 6, FALSE)</f>
        <v>Yes</v>
      </c>
      <c r="H1788" s="22">
        <f>VLOOKUP($A1788,'Medical Examinations'!$A:$L,10, FALSE)</f>
        <v>1</v>
      </c>
      <c r="I1788" s="22" t="str">
        <f>VLOOKUP($A1788, 'Medical Examinations'!$A:$J, 9, FALSE)</f>
        <v>No</v>
      </c>
      <c r="J1788" s="22" t="str">
        <f>VLOOKUP($A1788, 'Medical Examinations'!$A:$P, 11, FALSE)</f>
        <v>UNDERWEIGHT</v>
      </c>
      <c r="K1788" s="34">
        <v>35721.0</v>
      </c>
      <c r="L1788" s="35">
        <f>VLOOKUP($A1788, 'Hospitalisation Details'!$A:$H, 7, FALSE)</f>
        <v>4843.79</v>
      </c>
      <c r="M1788" s="22" t="str">
        <f>VLOOKUP($A1788, 'Hospitalisation Details'!$A:$L, 12, FALSE)</f>
        <v>tier - 2</v>
      </c>
      <c r="N1788" s="22" t="str">
        <f>VLOOKUP($A1788, 'Hospitalisation Details'!$A:$M, 13, FALSE)</f>
        <v>tier - 3</v>
      </c>
      <c r="O1788" s="22" t="str">
        <f>VLOOKUP($A1788, 'Hospitalisation Details'!$A:$N, 14, FALSE)</f>
        <v>R1013</v>
      </c>
      <c r="P1788" s="36">
        <f>VLOOKUP($A1788, 'Hospitalisation Details'!$A:$O, 15, FALSE)</f>
        <v>43</v>
      </c>
    </row>
    <row r="1789" ht="15.75" customHeight="1">
      <c r="A1789" s="33" t="s">
        <v>3577</v>
      </c>
      <c r="B1789" s="22" t="str">
        <f>VLOOKUP($A1789,'Customer Names'!$A:$D,3, FALSE)</f>
        <v>Kennedy</v>
      </c>
      <c r="C1789" s="22">
        <f>VLOOKUP($A1789,'Medical Examinations'!$A:$D, 2, FALSE)</f>
        <v>29.41</v>
      </c>
      <c r="D1789" s="22">
        <f>VLOOKUP($A1789, 'Medical Examinations'!$A:$D,3, FALSE)</f>
        <v>6.29</v>
      </c>
      <c r="E1789" s="22" t="str">
        <f>VLOOKUP($A1789, 'Medical Examinations'!$A:$D, 4, FALSE)</f>
        <v>Yes</v>
      </c>
      <c r="F1789" s="22" t="str">
        <f>VLOOKUP($A1789, 'Medical Examinations'!$A:$J, 5, FALSE)</f>
        <v>No</v>
      </c>
      <c r="G1789" s="22" t="str">
        <f>VLOOKUP($A1789, 'Medical Examinations'!$A:$I, 6, FALSE)</f>
        <v>No</v>
      </c>
      <c r="H1789" s="22">
        <f>VLOOKUP($A1789,'Medical Examinations'!$A:$L,10, FALSE)</f>
        <v>1</v>
      </c>
      <c r="I1789" s="22" t="str">
        <f>VLOOKUP($A1789, 'Medical Examinations'!$A:$J, 9, FALSE)</f>
        <v>No</v>
      </c>
      <c r="J1789" s="22" t="str">
        <f>VLOOKUP($A1789, 'Medical Examinations'!$A:$P, 11, FALSE)</f>
        <v>OVERWEIGHT</v>
      </c>
      <c r="K1789" s="34">
        <v>29158.0</v>
      </c>
      <c r="L1789" s="35">
        <f>VLOOKUP($A1789, 'Hospitalisation Details'!$A:$H, 7, FALSE)</f>
        <v>4840.95</v>
      </c>
      <c r="M1789" s="22" t="str">
        <f>VLOOKUP($A1789, 'Hospitalisation Details'!$A:$L, 12, FALSE)</f>
        <v>tier - 2</v>
      </c>
      <c r="N1789" s="22" t="str">
        <f>VLOOKUP($A1789, 'Hospitalisation Details'!$A:$M, 13, FALSE)</f>
        <v>tier - 1</v>
      </c>
      <c r="O1789" s="22" t="str">
        <f>VLOOKUP($A1789, 'Hospitalisation Details'!$A:$N, 14, FALSE)</f>
        <v>R1021</v>
      </c>
      <c r="P1789" s="36">
        <f>VLOOKUP($A1789, 'Hospitalisation Details'!$A:$O, 15, FALSE)</f>
        <v>27</v>
      </c>
    </row>
    <row r="1790" ht="15.75" customHeight="1">
      <c r="A1790" s="33" t="s">
        <v>3579</v>
      </c>
      <c r="B1790" s="22" t="str">
        <f>VLOOKUP($A1790,'Customer Names'!$A:$D,3, FALSE)</f>
        <v>Cichon</v>
      </c>
      <c r="C1790" s="22">
        <f>VLOOKUP($A1790,'Medical Examinations'!$A:$D, 2, FALSE)</f>
        <v>17.91</v>
      </c>
      <c r="D1790" s="22">
        <f>VLOOKUP($A1790, 'Medical Examinations'!$A:$D,3, FALSE)</f>
        <v>5.65</v>
      </c>
      <c r="E1790" s="22" t="str">
        <f>VLOOKUP($A1790, 'Medical Examinations'!$A:$D, 4, FALSE)</f>
        <v>No</v>
      </c>
      <c r="F1790" s="22" t="str">
        <f>VLOOKUP($A1790, 'Medical Examinations'!$A:$J, 5, FALSE)</f>
        <v>No</v>
      </c>
      <c r="G1790" s="22" t="str">
        <f>VLOOKUP($A1790, 'Medical Examinations'!$A:$I, 6, FALSE)</f>
        <v>No</v>
      </c>
      <c r="H1790" s="22">
        <f>VLOOKUP($A1790,'Medical Examinations'!$A:$L,10, FALSE)</f>
        <v>1</v>
      </c>
      <c r="I1790" s="22" t="str">
        <f>VLOOKUP($A1790, 'Medical Examinations'!$A:$J, 9, FALSE)</f>
        <v>No</v>
      </c>
      <c r="J1790" s="22" t="str">
        <f>VLOOKUP($A1790, 'Medical Examinations'!$A:$P, 11, FALSE)</f>
        <v>UNDERWEIGHT</v>
      </c>
      <c r="K1790" s="34">
        <v>32678.0</v>
      </c>
      <c r="L1790" s="35">
        <f>VLOOKUP($A1790, 'Hospitalisation Details'!$A:$H, 7, FALSE)</f>
        <v>4839.18</v>
      </c>
      <c r="M1790" s="22" t="str">
        <f>VLOOKUP($A1790, 'Hospitalisation Details'!$A:$L, 12, FALSE)</f>
        <v>tier - 2</v>
      </c>
      <c r="N1790" s="22" t="str">
        <f>VLOOKUP($A1790, 'Hospitalisation Details'!$A:$M, 13, FALSE)</f>
        <v>tier - 1</v>
      </c>
      <c r="O1790" s="22" t="str">
        <f>VLOOKUP($A1790, 'Hospitalisation Details'!$A:$N, 14, FALSE)</f>
        <v>R1012</v>
      </c>
      <c r="P1790" s="36">
        <f>VLOOKUP($A1790, 'Hospitalisation Details'!$A:$O, 15, FALSE)</f>
        <v>38</v>
      </c>
    </row>
    <row r="1791" ht="15.75" customHeight="1">
      <c r="A1791" s="33" t="s">
        <v>3581</v>
      </c>
      <c r="B1791" s="22" t="str">
        <f>VLOOKUP($A1791,'Customer Names'!$A:$D,3, FALSE)</f>
        <v>Maroevic</v>
      </c>
      <c r="C1791" s="22">
        <f>VLOOKUP($A1791,'Medical Examinations'!$A:$D, 2, FALSE)</f>
        <v>31.57</v>
      </c>
      <c r="D1791" s="22">
        <f>VLOOKUP($A1791, 'Medical Examinations'!$A:$D,3, FALSE)</f>
        <v>6.15</v>
      </c>
      <c r="E1791" s="22" t="str">
        <f>VLOOKUP($A1791, 'Medical Examinations'!$A:$D, 4, FALSE)</f>
        <v>No</v>
      </c>
      <c r="F1791" s="22" t="str">
        <f>VLOOKUP($A1791, 'Medical Examinations'!$A:$J, 5, FALSE)</f>
        <v>No</v>
      </c>
      <c r="G1791" s="22" t="str">
        <f>VLOOKUP($A1791, 'Medical Examinations'!$A:$I, 6, FALSE)</f>
        <v>No</v>
      </c>
      <c r="H1791" s="22">
        <f>VLOOKUP($A1791,'Medical Examinations'!$A:$L,10, FALSE)</f>
        <v>1</v>
      </c>
      <c r="I1791" s="22" t="str">
        <f>VLOOKUP($A1791, 'Medical Examinations'!$A:$J, 9, FALSE)</f>
        <v>No</v>
      </c>
      <c r="J1791" s="22" t="str">
        <f>VLOOKUP($A1791, 'Medical Examinations'!$A:$P, 11, FALSE)</f>
        <v>OBESITY</v>
      </c>
      <c r="K1791" s="34">
        <v>24405.0</v>
      </c>
      <c r="L1791" s="35">
        <f>VLOOKUP($A1791, 'Hospitalisation Details'!$A:$H, 7, FALSE)</f>
        <v>4837.58</v>
      </c>
      <c r="M1791" s="22" t="str">
        <f>VLOOKUP($A1791, 'Hospitalisation Details'!$A:$L, 12, FALSE)</f>
        <v>tier - 3</v>
      </c>
      <c r="N1791" s="22" t="str">
        <f>VLOOKUP($A1791, 'Hospitalisation Details'!$A:$M, 13, FALSE)</f>
        <v>tier - 2</v>
      </c>
      <c r="O1791" s="22" t="str">
        <f>VLOOKUP($A1791, 'Hospitalisation Details'!$A:$N, 14, FALSE)</f>
        <v>R1013</v>
      </c>
      <c r="P1791" s="36">
        <f>VLOOKUP($A1791, 'Hospitalisation Details'!$A:$O, 15, FALSE)</f>
        <v>30</v>
      </c>
    </row>
    <row r="1792" ht="15.75" customHeight="1">
      <c r="A1792" s="33" t="s">
        <v>3583</v>
      </c>
      <c r="B1792" s="22" t="str">
        <f>VLOOKUP($A1792,'Customer Names'!$A:$D,3, FALSE)</f>
        <v>Martin</v>
      </c>
      <c r="C1792" s="22">
        <f>VLOOKUP($A1792,'Medical Examinations'!$A:$D, 2, FALSE)</f>
        <v>33.18</v>
      </c>
      <c r="D1792" s="22">
        <f>VLOOKUP($A1792, 'Medical Examinations'!$A:$D,3, FALSE)</f>
        <v>5.22</v>
      </c>
      <c r="E1792" s="22" t="str">
        <f>VLOOKUP($A1792, 'Medical Examinations'!$A:$D, 4, FALSE)</f>
        <v>No</v>
      </c>
      <c r="F1792" s="22" t="str">
        <f>VLOOKUP($A1792, 'Medical Examinations'!$A:$J, 5, FALSE)</f>
        <v>Yes</v>
      </c>
      <c r="G1792" s="22" t="str">
        <f>VLOOKUP($A1792, 'Medical Examinations'!$A:$I, 6, FALSE)</f>
        <v>No</v>
      </c>
      <c r="H1792" s="22">
        <f>VLOOKUP($A1792,'Medical Examinations'!$A:$L,10, FALSE)</f>
        <v>1</v>
      </c>
      <c r="I1792" s="22" t="str">
        <f>VLOOKUP($A1792, 'Medical Examinations'!$A:$J, 9, FALSE)</f>
        <v>No</v>
      </c>
      <c r="J1792" s="22" t="str">
        <f>VLOOKUP($A1792, 'Medical Examinations'!$A:$P, 11, FALSE)</f>
        <v>OBESITY</v>
      </c>
      <c r="K1792" s="34">
        <v>26464.0</v>
      </c>
      <c r="L1792" s="35">
        <f>VLOOKUP($A1792, 'Hospitalisation Details'!$A:$H, 7, FALSE)</f>
        <v>4835.43</v>
      </c>
      <c r="M1792" s="22" t="str">
        <f>VLOOKUP($A1792, 'Hospitalisation Details'!$A:$L, 12, FALSE)</f>
        <v>tier - 2</v>
      </c>
      <c r="N1792" s="22" t="str">
        <f>VLOOKUP($A1792, 'Hospitalisation Details'!$A:$M, 13, FALSE)</f>
        <v>tier - 2</v>
      </c>
      <c r="O1792" s="22" t="str">
        <f>VLOOKUP($A1792, 'Hospitalisation Details'!$A:$N, 14, FALSE)</f>
        <v>R1021</v>
      </c>
      <c r="P1792" s="36">
        <f>VLOOKUP($A1792, 'Hospitalisation Details'!$A:$O, 15, FALSE)</f>
        <v>22</v>
      </c>
    </row>
    <row r="1793" ht="15.75" customHeight="1">
      <c r="A1793" s="33" t="s">
        <v>3585</v>
      </c>
      <c r="B1793" s="22" t="str">
        <f>VLOOKUP($A1793,'Customer Names'!$A:$D,3, FALSE)</f>
        <v>Schulz</v>
      </c>
      <c r="C1793" s="22">
        <f>VLOOKUP($A1793,'Medical Examinations'!$A:$D, 2, FALSE)</f>
        <v>37</v>
      </c>
      <c r="D1793" s="22">
        <f>VLOOKUP($A1793, 'Medical Examinations'!$A:$D,3, FALSE)</f>
        <v>11.66</v>
      </c>
      <c r="E1793" s="22" t="str">
        <f>VLOOKUP($A1793, 'Medical Examinations'!$A:$D, 4, FALSE)</f>
        <v>No</v>
      </c>
      <c r="F1793" s="22" t="str">
        <f>VLOOKUP($A1793, 'Medical Examinations'!$A:$J, 5, FALSE)</f>
        <v>No</v>
      </c>
      <c r="G1793" s="22" t="str">
        <f>VLOOKUP($A1793, 'Medical Examinations'!$A:$I, 6, FALSE)</f>
        <v>No</v>
      </c>
      <c r="H1793" s="22">
        <f>VLOOKUP($A1793,'Medical Examinations'!$A:$L,10, FALSE)</f>
        <v>0</v>
      </c>
      <c r="I1793" s="22" t="str">
        <f>VLOOKUP($A1793, 'Medical Examinations'!$A:$J, 9, FALSE)</f>
        <v>No</v>
      </c>
      <c r="J1793" s="22" t="str">
        <f>VLOOKUP($A1793, 'Medical Examinations'!$A:$P, 11, FALSE)</f>
        <v>OBESITY</v>
      </c>
      <c r="K1793" s="34">
        <v>33093.0</v>
      </c>
      <c r="L1793" s="35">
        <f>VLOOKUP($A1793, 'Hospitalisation Details'!$A:$H, 7, FALSE)</f>
        <v>4830.63</v>
      </c>
      <c r="M1793" s="22" t="str">
        <f>VLOOKUP($A1793, 'Hospitalisation Details'!$A:$L, 12, FALSE)</f>
        <v>tier - 2</v>
      </c>
      <c r="N1793" s="22" t="str">
        <f>VLOOKUP($A1793, 'Hospitalisation Details'!$A:$M, 13, FALSE)</f>
        <v>tier - 1</v>
      </c>
      <c r="O1793" s="22" t="str">
        <f>VLOOKUP($A1793, 'Hospitalisation Details'!$A:$N, 14, FALSE)</f>
        <v>R1011</v>
      </c>
      <c r="P1793" s="36">
        <f>VLOOKUP($A1793, 'Hospitalisation Details'!$A:$O, 15, FALSE)</f>
        <v>20</v>
      </c>
    </row>
    <row r="1794" ht="15.75" customHeight="1">
      <c r="A1794" s="33" t="s">
        <v>3587</v>
      </c>
      <c r="B1794" s="22" t="str">
        <f>VLOOKUP($A1794,'Customer Names'!$A:$D,3, FALSE)</f>
        <v>Capriolo</v>
      </c>
      <c r="C1794" s="22">
        <f>VLOOKUP($A1794,'Medical Examinations'!$A:$D, 2, FALSE)</f>
        <v>18.905</v>
      </c>
      <c r="D1794" s="22">
        <f>VLOOKUP($A1794, 'Medical Examinations'!$A:$D,3, FALSE)</f>
        <v>4.91</v>
      </c>
      <c r="E1794" s="22" t="str">
        <f>VLOOKUP($A1794, 'Medical Examinations'!$A:$D, 4, FALSE)</f>
        <v>Yes</v>
      </c>
      <c r="F1794" s="22" t="str">
        <f>VLOOKUP($A1794, 'Medical Examinations'!$A:$J, 5, FALSE)</f>
        <v>No</v>
      </c>
      <c r="G1794" s="22" t="str">
        <f>VLOOKUP($A1794, 'Medical Examinations'!$A:$I, 6, FALSE)</f>
        <v>No</v>
      </c>
      <c r="H1794" s="22">
        <f>VLOOKUP($A1794,'Medical Examinations'!$A:$L,10, FALSE)</f>
        <v>1</v>
      </c>
      <c r="I1794" s="22" t="str">
        <f>VLOOKUP($A1794, 'Medical Examinations'!$A:$J, 9, FALSE)</f>
        <v>No</v>
      </c>
      <c r="J1794" s="22" t="str">
        <f>VLOOKUP($A1794, 'Medical Examinations'!$A:$P, 11, FALSE)</f>
        <v>NORMAL WEIGHT</v>
      </c>
      <c r="K1794" s="34">
        <v>34573.0</v>
      </c>
      <c r="L1794" s="35">
        <f>VLOOKUP($A1794, 'Hospitalisation Details'!$A:$H, 7, FALSE)</f>
        <v>4827.9</v>
      </c>
      <c r="M1794" s="22" t="str">
        <f>VLOOKUP($A1794, 'Hospitalisation Details'!$A:$L, 12, FALSE)</f>
        <v>tier - 1</v>
      </c>
      <c r="N1794" s="22" t="str">
        <f>VLOOKUP($A1794, 'Hospitalisation Details'!$A:$M, 13, FALSE)</f>
        <v>tier - 2</v>
      </c>
      <c r="O1794" s="22" t="str">
        <f>VLOOKUP($A1794, 'Hospitalisation Details'!$A:$N, 14, FALSE)</f>
        <v>UNKNOWN</v>
      </c>
      <c r="P1794" s="36">
        <f>VLOOKUP($A1794, 'Hospitalisation Details'!$A:$O, 15, FALSE)</f>
        <v>27</v>
      </c>
    </row>
    <row r="1795" ht="15.75" customHeight="1">
      <c r="A1795" s="33" t="s">
        <v>3589</v>
      </c>
      <c r="B1795" s="22" t="str">
        <f>VLOOKUP($A1795,'Customer Names'!$A:$D,3, FALSE)</f>
        <v>Borleis</v>
      </c>
      <c r="C1795" s="22">
        <f>VLOOKUP($A1795,'Medical Examinations'!$A:$D, 2, FALSE)</f>
        <v>20.03</v>
      </c>
      <c r="D1795" s="22">
        <f>VLOOKUP($A1795, 'Medical Examinations'!$A:$D,3, FALSE)</f>
        <v>9.25</v>
      </c>
      <c r="E1795" s="22" t="str">
        <f>VLOOKUP($A1795, 'Medical Examinations'!$A:$D, 4, FALSE)</f>
        <v>Yes</v>
      </c>
      <c r="F1795" s="22" t="str">
        <f>VLOOKUP($A1795, 'Medical Examinations'!$A:$J, 5, FALSE)</f>
        <v>No</v>
      </c>
      <c r="G1795" s="22" t="str">
        <f>VLOOKUP($A1795, 'Medical Examinations'!$A:$I, 6, FALSE)</f>
        <v>No</v>
      </c>
      <c r="H1795" s="22">
        <f>VLOOKUP($A1795,'Medical Examinations'!$A:$L,10, FALSE)</f>
        <v>0</v>
      </c>
      <c r="I1795" s="22" t="str">
        <f>VLOOKUP($A1795, 'Medical Examinations'!$A:$J, 9, FALSE)</f>
        <v>No</v>
      </c>
      <c r="J1795" s="22" t="str">
        <f>VLOOKUP($A1795, 'Medical Examinations'!$A:$P, 11, FALSE)</f>
        <v>NORMAL WEIGHT</v>
      </c>
      <c r="K1795" s="34">
        <v>28757.0</v>
      </c>
      <c r="L1795" s="35">
        <f>VLOOKUP($A1795, 'Hospitalisation Details'!$A:$H, 7, FALSE)</f>
        <v>4827.1</v>
      </c>
      <c r="M1795" s="22" t="str">
        <f>VLOOKUP($A1795, 'Hospitalisation Details'!$A:$L, 12, FALSE)</f>
        <v>tier - 2</v>
      </c>
      <c r="N1795" s="22" t="str">
        <f>VLOOKUP($A1795, 'Hospitalisation Details'!$A:$M, 13, FALSE)</f>
        <v>tier - 1</v>
      </c>
      <c r="O1795" s="22" t="str">
        <f>VLOOKUP($A1795, 'Hospitalisation Details'!$A:$N, 14, FALSE)</f>
        <v>R1013</v>
      </c>
      <c r="P1795" s="36">
        <f>VLOOKUP($A1795, 'Hospitalisation Details'!$A:$O, 15, FALSE)</f>
        <v>41</v>
      </c>
    </row>
    <row r="1796" ht="15.75" customHeight="1">
      <c r="A1796" s="33" t="s">
        <v>3591</v>
      </c>
      <c r="B1796" s="22" t="str">
        <f>VLOOKUP($A1796,'Customer Names'!$A:$D,3, FALSE)</f>
        <v>Kramer</v>
      </c>
      <c r="C1796" s="22">
        <f>VLOOKUP($A1796,'Medical Examinations'!$A:$D, 2, FALSE)</f>
        <v>16.7</v>
      </c>
      <c r="D1796" s="22">
        <f>VLOOKUP($A1796, 'Medical Examinations'!$A:$D,3, FALSE)</f>
        <v>11.48</v>
      </c>
      <c r="E1796" s="22" t="str">
        <f>VLOOKUP($A1796, 'Medical Examinations'!$A:$D, 4, FALSE)</f>
        <v>No</v>
      </c>
      <c r="F1796" s="22" t="str">
        <f>VLOOKUP($A1796, 'Medical Examinations'!$A:$J, 5, FALSE)</f>
        <v>No</v>
      </c>
      <c r="G1796" s="22" t="str">
        <f>VLOOKUP($A1796, 'Medical Examinations'!$A:$I, 6, FALSE)</f>
        <v>No</v>
      </c>
      <c r="H1796" s="22">
        <f>VLOOKUP($A1796,'Medical Examinations'!$A:$L,10, FALSE)</f>
        <v>0</v>
      </c>
      <c r="I1796" s="22" t="str">
        <f>VLOOKUP($A1796, 'Medical Examinations'!$A:$J, 9, FALSE)</f>
        <v>No</v>
      </c>
      <c r="J1796" s="22" t="str">
        <f>VLOOKUP($A1796, 'Medical Examinations'!$A:$P, 11, FALSE)</f>
        <v>UNDERWEIGHT</v>
      </c>
      <c r="K1796" s="34">
        <v>23206.0</v>
      </c>
      <c r="L1796" s="35">
        <f>VLOOKUP($A1796, 'Hospitalisation Details'!$A:$H, 7, FALSE)</f>
        <v>4812.34</v>
      </c>
      <c r="M1796" s="22" t="str">
        <f>VLOOKUP($A1796, 'Hospitalisation Details'!$A:$L, 12, FALSE)</f>
        <v>tier - 2</v>
      </c>
      <c r="N1796" s="22" t="str">
        <f>VLOOKUP($A1796, 'Hospitalisation Details'!$A:$M, 13, FALSE)</f>
        <v>tier - 3</v>
      </c>
      <c r="O1796" s="22" t="str">
        <f>VLOOKUP($A1796, 'Hospitalisation Details'!$A:$N, 14, FALSE)</f>
        <v>R1013</v>
      </c>
      <c r="P1796" s="36">
        <f>VLOOKUP($A1796, 'Hospitalisation Details'!$A:$O, 15, FALSE)</f>
        <v>44</v>
      </c>
    </row>
    <row r="1797" ht="15.75" customHeight="1">
      <c r="A1797" s="33" t="s">
        <v>3593</v>
      </c>
      <c r="B1797" s="22" t="str">
        <f>VLOOKUP($A1797,'Customer Names'!$A:$D,3, FALSE)</f>
        <v>Conrad</v>
      </c>
      <c r="C1797" s="22">
        <f>VLOOKUP($A1797,'Medical Examinations'!$A:$D, 2, FALSE)</f>
        <v>39.82</v>
      </c>
      <c r="D1797" s="22">
        <f>VLOOKUP($A1797, 'Medical Examinations'!$A:$D,3, FALSE)</f>
        <v>6.06</v>
      </c>
      <c r="E1797" s="22" t="str">
        <f>VLOOKUP($A1797, 'Medical Examinations'!$A:$D, 4, FALSE)</f>
        <v>No</v>
      </c>
      <c r="F1797" s="22" t="str">
        <f>VLOOKUP($A1797, 'Medical Examinations'!$A:$J, 5, FALSE)</f>
        <v>No</v>
      </c>
      <c r="G1797" s="22" t="str">
        <f>VLOOKUP($A1797, 'Medical Examinations'!$A:$I, 6, FALSE)</f>
        <v>No</v>
      </c>
      <c r="H1797" s="22">
        <f>VLOOKUP($A1797,'Medical Examinations'!$A:$L,10, FALSE)</f>
        <v>0</v>
      </c>
      <c r="I1797" s="22" t="str">
        <f>VLOOKUP($A1797, 'Medical Examinations'!$A:$J, 9, FALSE)</f>
        <v>No</v>
      </c>
      <c r="J1797" s="22" t="str">
        <f>VLOOKUP($A1797, 'Medical Examinations'!$A:$P, 11, FALSE)</f>
        <v>OBESITY</v>
      </c>
      <c r="K1797" s="34">
        <v>31307.0</v>
      </c>
      <c r="L1797" s="35">
        <f>VLOOKUP($A1797, 'Hospitalisation Details'!$A:$H, 7, FALSE)</f>
        <v>4795.66</v>
      </c>
      <c r="M1797" s="22" t="str">
        <f>VLOOKUP($A1797, 'Hospitalisation Details'!$A:$L, 12, FALSE)</f>
        <v>tier - 2</v>
      </c>
      <c r="N1797" s="22" t="str">
        <f>VLOOKUP($A1797, 'Hospitalisation Details'!$A:$M, 13, FALSE)</f>
        <v>tier - 1</v>
      </c>
      <c r="O1797" s="22" t="str">
        <f>VLOOKUP($A1797, 'Hospitalisation Details'!$A:$N, 14, FALSE)</f>
        <v>R1013</v>
      </c>
      <c r="P1797" s="36">
        <f>VLOOKUP($A1797, 'Hospitalisation Details'!$A:$O, 15, FALSE)</f>
        <v>33</v>
      </c>
    </row>
    <row r="1798" ht="15.75" customHeight="1">
      <c r="A1798" s="33" t="s">
        <v>3595</v>
      </c>
      <c r="B1798" s="22" t="str">
        <f>VLOOKUP($A1798,'Customer Names'!$A:$D,3, FALSE)</f>
        <v>Karakoyunlu</v>
      </c>
      <c r="C1798" s="22">
        <f>VLOOKUP($A1798,'Medical Examinations'!$A:$D, 2, FALSE)</f>
        <v>22.04</v>
      </c>
      <c r="D1798" s="22">
        <f>VLOOKUP($A1798, 'Medical Examinations'!$A:$D,3, FALSE)</f>
        <v>5.86</v>
      </c>
      <c r="E1798" s="22" t="str">
        <f>VLOOKUP($A1798, 'Medical Examinations'!$A:$D, 4, FALSE)</f>
        <v>No</v>
      </c>
      <c r="F1798" s="22" t="str">
        <f>VLOOKUP($A1798, 'Medical Examinations'!$A:$J, 5, FALSE)</f>
        <v>No</v>
      </c>
      <c r="G1798" s="22" t="str">
        <f>VLOOKUP($A1798, 'Medical Examinations'!$A:$I, 6, FALSE)</f>
        <v>No</v>
      </c>
      <c r="H1798" s="22">
        <f>VLOOKUP($A1798,'Medical Examinations'!$A:$L,10, FALSE)</f>
        <v>1</v>
      </c>
      <c r="I1798" s="22" t="str">
        <f>VLOOKUP($A1798, 'Medical Examinations'!$A:$J, 9, FALSE)</f>
        <v>No</v>
      </c>
      <c r="J1798" s="22" t="str">
        <f>VLOOKUP($A1798, 'Medical Examinations'!$A:$P, 11, FALSE)</f>
        <v>NORMAL WEIGHT</v>
      </c>
      <c r="K1798" s="34">
        <v>33835.0</v>
      </c>
      <c r="L1798" s="35">
        <f>VLOOKUP($A1798, 'Hospitalisation Details'!$A:$H, 7, FALSE)</f>
        <v>4787.42</v>
      </c>
      <c r="M1798" s="22" t="str">
        <f>VLOOKUP($A1798, 'Hospitalisation Details'!$A:$L, 12, FALSE)</f>
        <v>tier - 2</v>
      </c>
      <c r="N1798" s="22" t="str">
        <f>VLOOKUP($A1798, 'Hospitalisation Details'!$A:$M, 13, FALSE)</f>
        <v>tier - 3</v>
      </c>
      <c r="O1798" s="22" t="str">
        <f>VLOOKUP($A1798, 'Hospitalisation Details'!$A:$N, 14, FALSE)</f>
        <v>R1013</v>
      </c>
      <c r="P1798" s="36">
        <f>VLOOKUP($A1798, 'Hospitalisation Details'!$A:$O, 15, FALSE)</f>
        <v>35</v>
      </c>
    </row>
    <row r="1799" ht="15.75" customHeight="1">
      <c r="A1799" s="33" t="s">
        <v>3597</v>
      </c>
      <c r="B1799" s="22" t="str">
        <f>VLOOKUP($A1799,'Customer Names'!$A:$D,3, FALSE)</f>
        <v>Desrosiers</v>
      </c>
      <c r="C1799" s="22">
        <f>VLOOKUP($A1799,'Medical Examinations'!$A:$D, 2, FALSE)</f>
        <v>28.27</v>
      </c>
      <c r="D1799" s="22">
        <f>VLOOKUP($A1799, 'Medical Examinations'!$A:$D,3, FALSE)</f>
        <v>5.33</v>
      </c>
      <c r="E1799" s="22" t="str">
        <f>VLOOKUP($A1799, 'Medical Examinations'!$A:$D, 4, FALSE)</f>
        <v>No</v>
      </c>
      <c r="F1799" s="22" t="str">
        <f>VLOOKUP($A1799, 'Medical Examinations'!$A:$J, 5, FALSE)</f>
        <v>No</v>
      </c>
      <c r="G1799" s="22" t="str">
        <f>VLOOKUP($A1799, 'Medical Examinations'!$A:$I, 6, FALSE)</f>
        <v>No</v>
      </c>
      <c r="H1799" s="22">
        <f>VLOOKUP($A1799,'Medical Examinations'!$A:$L,10, FALSE)</f>
        <v>0</v>
      </c>
      <c r="I1799" s="22" t="str">
        <f>VLOOKUP($A1799, 'Medical Examinations'!$A:$J, 9, FALSE)</f>
        <v>No</v>
      </c>
      <c r="J1799" s="22" t="str">
        <f>VLOOKUP($A1799, 'Medical Examinations'!$A:$P, 11, FALSE)</f>
        <v>OVERWEIGHT</v>
      </c>
      <c r="K1799" s="34">
        <v>29533.0</v>
      </c>
      <c r="L1799" s="35">
        <f>VLOOKUP($A1799, 'Hospitalisation Details'!$A:$H, 7, FALSE)</f>
        <v>4779.6</v>
      </c>
      <c r="M1799" s="22" t="str">
        <f>VLOOKUP($A1799, 'Hospitalisation Details'!$A:$L, 12, FALSE)</f>
        <v>tier - 2</v>
      </c>
      <c r="N1799" s="22" t="str">
        <f>VLOOKUP($A1799, 'Hospitalisation Details'!$A:$M, 13, FALSE)</f>
        <v>tier - 3</v>
      </c>
      <c r="O1799" s="22" t="str">
        <f>VLOOKUP($A1799, 'Hospitalisation Details'!$A:$N, 14, FALSE)</f>
        <v>R1013</v>
      </c>
      <c r="P1799" s="36">
        <f>VLOOKUP($A1799, 'Hospitalisation Details'!$A:$O, 15, FALSE)</f>
        <v>33</v>
      </c>
    </row>
    <row r="1800" ht="15.75" customHeight="1">
      <c r="A1800" s="33" t="s">
        <v>3599</v>
      </c>
      <c r="B1800" s="22" t="str">
        <f>VLOOKUP($A1800,'Customer Names'!$A:$D,3, FALSE)</f>
        <v>O'Mara</v>
      </c>
      <c r="C1800" s="22">
        <f>VLOOKUP($A1800,'Medical Examinations'!$A:$D, 2, FALSE)</f>
        <v>18.5</v>
      </c>
      <c r="D1800" s="22">
        <f>VLOOKUP($A1800, 'Medical Examinations'!$A:$D,3, FALSE)</f>
        <v>5.33</v>
      </c>
      <c r="E1800" s="22" t="str">
        <f>VLOOKUP($A1800, 'Medical Examinations'!$A:$D, 4, FALSE)</f>
        <v>No</v>
      </c>
      <c r="F1800" s="22" t="str">
        <f>VLOOKUP($A1800, 'Medical Examinations'!$A:$J, 5, FALSE)</f>
        <v>No</v>
      </c>
      <c r="G1800" s="22" t="str">
        <f>VLOOKUP($A1800, 'Medical Examinations'!$A:$I, 6, FALSE)</f>
        <v>No</v>
      </c>
      <c r="H1800" s="22">
        <f>VLOOKUP($A1800,'Medical Examinations'!$A:$L,10, FALSE)</f>
        <v>0</v>
      </c>
      <c r="I1800" s="22" t="str">
        <f>VLOOKUP($A1800, 'Medical Examinations'!$A:$J, 9, FALSE)</f>
        <v>No</v>
      </c>
      <c r="J1800" s="22" t="str">
        <f>VLOOKUP($A1800, 'Medical Examinations'!$A:$P, 11, FALSE)</f>
        <v>NORMAL WEIGHT</v>
      </c>
      <c r="K1800" s="34">
        <v>32111.0</v>
      </c>
      <c r="L1800" s="35">
        <f>VLOOKUP($A1800, 'Hospitalisation Details'!$A:$H, 7, FALSE)</f>
        <v>4766.02</v>
      </c>
      <c r="M1800" s="22" t="str">
        <f>VLOOKUP($A1800, 'Hospitalisation Details'!$A:$L, 12, FALSE)</f>
        <v>tier - 2</v>
      </c>
      <c r="N1800" s="22" t="str">
        <f>VLOOKUP($A1800, 'Hospitalisation Details'!$A:$M, 13, FALSE)</f>
        <v>tier - 3</v>
      </c>
      <c r="O1800" s="22" t="str">
        <f>VLOOKUP($A1800, 'Hospitalisation Details'!$A:$N, 14, FALSE)</f>
        <v>R1011</v>
      </c>
      <c r="P1800" s="36">
        <f>VLOOKUP($A1800, 'Hospitalisation Details'!$A:$O, 15, FALSE)</f>
        <v>33</v>
      </c>
    </row>
    <row r="1801" ht="15.75" customHeight="1">
      <c r="A1801" s="33" t="s">
        <v>3601</v>
      </c>
      <c r="B1801" s="22" t="str">
        <f>VLOOKUP($A1801,'Customer Names'!$A:$D,3, FALSE)</f>
        <v>Shabo</v>
      </c>
      <c r="C1801" s="22">
        <f>VLOOKUP($A1801,'Medical Examinations'!$A:$D, 2, FALSE)</f>
        <v>38.6</v>
      </c>
      <c r="D1801" s="22">
        <f>VLOOKUP($A1801, 'Medical Examinations'!$A:$D,3, FALSE)</f>
        <v>6.02</v>
      </c>
      <c r="E1801" s="22" t="str">
        <f>VLOOKUP($A1801, 'Medical Examinations'!$A:$D, 4, FALSE)</f>
        <v>No</v>
      </c>
      <c r="F1801" s="22" t="str">
        <f>VLOOKUP($A1801, 'Medical Examinations'!$A:$J, 5, FALSE)</f>
        <v>No</v>
      </c>
      <c r="G1801" s="22" t="str">
        <f>VLOOKUP($A1801, 'Medical Examinations'!$A:$I, 6, FALSE)</f>
        <v>No</v>
      </c>
      <c r="H1801" s="22">
        <f>VLOOKUP($A1801,'Medical Examinations'!$A:$L,10, FALSE)</f>
        <v>1</v>
      </c>
      <c r="I1801" s="22" t="str">
        <f>VLOOKUP($A1801, 'Medical Examinations'!$A:$J, 9, FALSE)</f>
        <v>No</v>
      </c>
      <c r="J1801" s="22" t="str">
        <f>VLOOKUP($A1801, 'Medical Examinations'!$A:$P, 11, FALSE)</f>
        <v>OBESITY</v>
      </c>
      <c r="K1801" s="34">
        <v>30300.0</v>
      </c>
      <c r="L1801" s="35">
        <f>VLOOKUP($A1801, 'Hospitalisation Details'!$A:$H, 7, FALSE)</f>
        <v>4762.33</v>
      </c>
      <c r="M1801" s="22" t="str">
        <f>VLOOKUP($A1801, 'Hospitalisation Details'!$A:$L, 12, FALSE)</f>
        <v>tier - 3</v>
      </c>
      <c r="N1801" s="22" t="str">
        <f>VLOOKUP($A1801, 'Hospitalisation Details'!$A:$M, 13, FALSE)</f>
        <v>tier - 3</v>
      </c>
      <c r="O1801" s="22" t="str">
        <f>VLOOKUP($A1801, 'Hospitalisation Details'!$A:$N, 14, FALSE)</f>
        <v>R1011</v>
      </c>
      <c r="P1801" s="36">
        <f>VLOOKUP($A1801, 'Hospitalisation Details'!$A:$O, 15, FALSE)</f>
        <v>35</v>
      </c>
    </row>
    <row r="1802" ht="15.75" customHeight="1">
      <c r="A1802" s="33" t="s">
        <v>3603</v>
      </c>
      <c r="B1802" s="22" t="str">
        <f>VLOOKUP($A1802,'Customer Names'!$A:$D,3, FALSE)</f>
        <v>Comment</v>
      </c>
      <c r="C1802" s="22">
        <f>VLOOKUP($A1802,'Medical Examinations'!$A:$D, 2, FALSE)</f>
        <v>43.12</v>
      </c>
      <c r="D1802" s="22">
        <f>VLOOKUP($A1802, 'Medical Examinations'!$A:$D,3, FALSE)</f>
        <v>6.25</v>
      </c>
      <c r="E1802" s="22" t="str">
        <f>VLOOKUP($A1802, 'Medical Examinations'!$A:$D, 4, FALSE)</f>
        <v>No</v>
      </c>
      <c r="F1802" s="22" t="str">
        <f>VLOOKUP($A1802, 'Medical Examinations'!$A:$J, 5, FALSE)</f>
        <v>No</v>
      </c>
      <c r="G1802" s="22" t="str">
        <f>VLOOKUP($A1802, 'Medical Examinations'!$A:$I, 6, FALSE)</f>
        <v>No</v>
      </c>
      <c r="H1802" s="22">
        <f>VLOOKUP($A1802,'Medical Examinations'!$A:$L,10, FALSE)</f>
        <v>1</v>
      </c>
      <c r="I1802" s="22" t="str">
        <f>VLOOKUP($A1802, 'Medical Examinations'!$A:$J, 9, FALSE)</f>
        <v>No</v>
      </c>
      <c r="J1802" s="22" t="str">
        <f>VLOOKUP($A1802, 'Medical Examinations'!$A:$P, 11, FALSE)</f>
        <v>OBESITY</v>
      </c>
      <c r="K1802" s="34">
        <v>31775.0</v>
      </c>
      <c r="L1802" s="35">
        <f>VLOOKUP($A1802, 'Hospitalisation Details'!$A:$H, 7, FALSE)</f>
        <v>4753.64</v>
      </c>
      <c r="M1802" s="22" t="str">
        <f>VLOOKUP($A1802, 'Hospitalisation Details'!$A:$L, 12, FALSE)</f>
        <v>tier - 2</v>
      </c>
      <c r="N1802" s="22" t="str">
        <f>VLOOKUP($A1802, 'Hospitalisation Details'!$A:$M, 13, FALSE)</f>
        <v>tier - 3</v>
      </c>
      <c r="O1802" s="22" t="str">
        <f>VLOOKUP($A1802, 'Hospitalisation Details'!$A:$N, 14, FALSE)</f>
        <v>R1013</v>
      </c>
      <c r="P1802" s="36">
        <f>VLOOKUP($A1802, 'Hospitalisation Details'!$A:$O, 15, FALSE)</f>
        <v>30</v>
      </c>
    </row>
    <row r="1803" ht="15.75" customHeight="1">
      <c r="A1803" s="33" t="s">
        <v>3605</v>
      </c>
      <c r="B1803" s="22" t="str">
        <f>VLOOKUP($A1803,'Customer Names'!$A:$D,3, FALSE)</f>
        <v>Moss</v>
      </c>
      <c r="C1803" s="22">
        <f>VLOOKUP($A1803,'Medical Examinations'!$A:$D, 2, FALSE)</f>
        <v>30.5</v>
      </c>
      <c r="D1803" s="22">
        <f>VLOOKUP($A1803, 'Medical Examinations'!$A:$D,3, FALSE)</f>
        <v>4.81</v>
      </c>
      <c r="E1803" s="22" t="str">
        <f>VLOOKUP($A1803, 'Medical Examinations'!$A:$D, 4, FALSE)</f>
        <v>No</v>
      </c>
      <c r="F1803" s="22" t="str">
        <f>VLOOKUP($A1803, 'Medical Examinations'!$A:$J, 5, FALSE)</f>
        <v>No</v>
      </c>
      <c r="G1803" s="22" t="str">
        <f>VLOOKUP($A1803, 'Medical Examinations'!$A:$I, 6, FALSE)</f>
        <v>No</v>
      </c>
      <c r="H1803" s="22">
        <f>VLOOKUP($A1803,'Medical Examinations'!$A:$L,10, FALSE)</f>
        <v>1</v>
      </c>
      <c r="I1803" s="22" t="str">
        <f>VLOOKUP($A1803, 'Medical Examinations'!$A:$J, 9, FALSE)</f>
        <v>No</v>
      </c>
      <c r="J1803" s="22" t="str">
        <f>VLOOKUP($A1803, 'Medical Examinations'!$A:$P, 11, FALSE)</f>
        <v>OBESITY</v>
      </c>
      <c r="K1803" s="34">
        <v>34218.0</v>
      </c>
      <c r="L1803" s="35">
        <f>VLOOKUP($A1803, 'Hospitalisation Details'!$A:$H, 7, FALSE)</f>
        <v>4751.07</v>
      </c>
      <c r="M1803" s="22" t="str">
        <f>VLOOKUP($A1803, 'Hospitalisation Details'!$A:$L, 12, FALSE)</f>
        <v>tier - 3</v>
      </c>
      <c r="N1803" s="22" t="str">
        <f>VLOOKUP($A1803, 'Hospitalisation Details'!$A:$M, 13, FALSE)</f>
        <v>tier - 1</v>
      </c>
      <c r="O1803" s="22" t="str">
        <f>VLOOKUP($A1803, 'Hospitalisation Details'!$A:$N, 14, FALSE)</f>
        <v>R1011</v>
      </c>
      <c r="P1803" s="36">
        <f>VLOOKUP($A1803, 'Hospitalisation Details'!$A:$O, 15, FALSE)</f>
        <v>35</v>
      </c>
    </row>
    <row r="1804" ht="15.75" customHeight="1">
      <c r="A1804" s="33" t="s">
        <v>3607</v>
      </c>
      <c r="B1804" s="22" t="str">
        <f>VLOOKUP($A1804,'Customer Names'!$A:$D,3, FALSE)</f>
        <v>Guzman</v>
      </c>
      <c r="C1804" s="22">
        <f>VLOOKUP($A1804,'Medical Examinations'!$A:$D, 2, FALSE)</f>
        <v>27.61</v>
      </c>
      <c r="D1804" s="22">
        <f>VLOOKUP($A1804, 'Medical Examinations'!$A:$D,3, FALSE)</f>
        <v>4.6</v>
      </c>
      <c r="E1804" s="22" t="str">
        <f>VLOOKUP($A1804, 'Medical Examinations'!$A:$D, 4, FALSE)</f>
        <v>No</v>
      </c>
      <c r="F1804" s="22" t="str">
        <f>VLOOKUP($A1804, 'Medical Examinations'!$A:$J, 5, FALSE)</f>
        <v>No</v>
      </c>
      <c r="G1804" s="22" t="str">
        <f>VLOOKUP($A1804, 'Medical Examinations'!$A:$I, 6, FALSE)</f>
        <v>No</v>
      </c>
      <c r="H1804" s="22">
        <f>VLOOKUP($A1804,'Medical Examinations'!$A:$L,10, FALSE)</f>
        <v>1</v>
      </c>
      <c r="I1804" s="22" t="str">
        <f>VLOOKUP($A1804, 'Medical Examinations'!$A:$J, 9, FALSE)</f>
        <v>No</v>
      </c>
      <c r="J1804" s="22" t="str">
        <f>VLOOKUP($A1804, 'Medical Examinations'!$A:$P, 11, FALSE)</f>
        <v>OVERWEIGHT</v>
      </c>
      <c r="K1804" s="34">
        <v>31958.0</v>
      </c>
      <c r="L1804" s="35">
        <f>VLOOKUP($A1804, 'Hospitalisation Details'!$A:$H, 7, FALSE)</f>
        <v>4747.05</v>
      </c>
      <c r="M1804" s="22" t="str">
        <f>VLOOKUP($A1804, 'Hospitalisation Details'!$A:$L, 12, FALSE)</f>
        <v>tier - 2</v>
      </c>
      <c r="N1804" s="22" t="str">
        <f>VLOOKUP($A1804, 'Hospitalisation Details'!$A:$M, 13, FALSE)</f>
        <v>tier - 2</v>
      </c>
      <c r="O1804" s="22" t="str">
        <f>VLOOKUP($A1804, 'Hospitalisation Details'!$A:$N, 14, FALSE)</f>
        <v>R1013</v>
      </c>
      <c r="P1804" s="36">
        <f>VLOOKUP($A1804, 'Hospitalisation Details'!$A:$O, 15, FALSE)</f>
        <v>35</v>
      </c>
    </row>
    <row r="1805" ht="15.75" customHeight="1">
      <c r="A1805" s="33" t="s">
        <v>3609</v>
      </c>
      <c r="B1805" s="22" t="str">
        <f>VLOOKUP($A1805,'Customer Names'!$A:$D,3, FALSE)</f>
        <v>Cox</v>
      </c>
      <c r="C1805" s="22">
        <f>VLOOKUP($A1805,'Medical Examinations'!$A:$D, 2, FALSE)</f>
        <v>27.1</v>
      </c>
      <c r="D1805" s="22">
        <f>VLOOKUP($A1805, 'Medical Examinations'!$A:$D,3, FALSE)</f>
        <v>5.08</v>
      </c>
      <c r="E1805" s="22" t="str">
        <f>VLOOKUP($A1805, 'Medical Examinations'!$A:$D, 4, FALSE)</f>
        <v>No</v>
      </c>
      <c r="F1805" s="22" t="str">
        <f>VLOOKUP($A1805, 'Medical Examinations'!$A:$J, 5, FALSE)</f>
        <v>No</v>
      </c>
      <c r="G1805" s="22" t="str">
        <f>VLOOKUP($A1805, 'Medical Examinations'!$A:$I, 6, FALSE)</f>
        <v>No</v>
      </c>
      <c r="H1805" s="22">
        <f>VLOOKUP($A1805,'Medical Examinations'!$A:$L,10, FALSE)</f>
        <v>1</v>
      </c>
      <c r="I1805" s="22" t="str">
        <f>VLOOKUP($A1805, 'Medical Examinations'!$A:$J, 9, FALSE)</f>
        <v>No</v>
      </c>
      <c r="J1805" s="22" t="str">
        <f>VLOOKUP($A1805, 'Medical Examinations'!$A:$P, 11, FALSE)</f>
        <v>OVERWEIGHT</v>
      </c>
      <c r="K1805" s="34">
        <v>33474.0</v>
      </c>
      <c r="L1805" s="35">
        <f>VLOOKUP($A1805, 'Hospitalisation Details'!$A:$H, 7, FALSE)</f>
        <v>4746.34</v>
      </c>
      <c r="M1805" s="22" t="str">
        <f>VLOOKUP($A1805, 'Hospitalisation Details'!$A:$L, 12, FALSE)</f>
        <v>tier - 2</v>
      </c>
      <c r="N1805" s="22" t="str">
        <f>VLOOKUP($A1805, 'Hospitalisation Details'!$A:$M, 13, FALSE)</f>
        <v>tier - 2</v>
      </c>
      <c r="O1805" s="22" t="str">
        <f>VLOOKUP($A1805, 'Hospitalisation Details'!$A:$N, 14, FALSE)</f>
        <v>R1011</v>
      </c>
      <c r="P1805" s="36">
        <f>VLOOKUP($A1805, 'Hospitalisation Details'!$A:$O, 15, FALSE)</f>
        <v>36</v>
      </c>
    </row>
    <row r="1806" ht="15.75" customHeight="1">
      <c r="A1806" s="33" t="s">
        <v>3611</v>
      </c>
      <c r="B1806" s="22" t="str">
        <f>VLOOKUP($A1806,'Customer Names'!$A:$D,3, FALSE)</f>
        <v>Clash</v>
      </c>
      <c r="C1806" s="22">
        <f>VLOOKUP($A1806,'Medical Examinations'!$A:$D, 2, FALSE)</f>
        <v>35.93</v>
      </c>
      <c r="D1806" s="22">
        <f>VLOOKUP($A1806, 'Medical Examinations'!$A:$D,3, FALSE)</f>
        <v>5.43</v>
      </c>
      <c r="E1806" s="22" t="str">
        <f>VLOOKUP($A1806, 'Medical Examinations'!$A:$D, 4, FALSE)</f>
        <v>No</v>
      </c>
      <c r="F1806" s="22" t="str">
        <f>VLOOKUP($A1806, 'Medical Examinations'!$A:$J, 5, FALSE)</f>
        <v>Yes</v>
      </c>
      <c r="G1806" s="22" t="str">
        <f>VLOOKUP($A1806, 'Medical Examinations'!$A:$I, 6, FALSE)</f>
        <v>No</v>
      </c>
      <c r="H1806" s="22">
        <f>VLOOKUP($A1806,'Medical Examinations'!$A:$L,10, FALSE)</f>
        <v>1</v>
      </c>
      <c r="I1806" s="22" t="str">
        <f>VLOOKUP($A1806, 'Medical Examinations'!$A:$J, 9, FALSE)</f>
        <v>No</v>
      </c>
      <c r="J1806" s="22" t="str">
        <f>VLOOKUP($A1806, 'Medical Examinations'!$A:$P, 11, FALSE)</f>
        <v>OBESITY</v>
      </c>
      <c r="K1806" s="34">
        <v>24426.0</v>
      </c>
      <c r="L1806" s="35">
        <f>VLOOKUP($A1806, 'Hospitalisation Details'!$A:$H, 7, FALSE)</f>
        <v>4740.78</v>
      </c>
      <c r="M1806" s="22" t="str">
        <f>VLOOKUP($A1806, 'Hospitalisation Details'!$A:$L, 12, FALSE)</f>
        <v>tier - 2</v>
      </c>
      <c r="N1806" s="22" t="str">
        <f>VLOOKUP($A1806, 'Hospitalisation Details'!$A:$M, 13, FALSE)</f>
        <v>tier - 3</v>
      </c>
      <c r="O1806" s="22" t="str">
        <f>VLOOKUP($A1806, 'Hospitalisation Details'!$A:$N, 14, FALSE)</f>
        <v>R1021</v>
      </c>
      <c r="P1806" s="36">
        <f>VLOOKUP($A1806, 'Hospitalisation Details'!$A:$O, 15, FALSE)</f>
        <v>18</v>
      </c>
    </row>
    <row r="1807" ht="15.75" customHeight="1">
      <c r="A1807" s="33" t="s">
        <v>3613</v>
      </c>
      <c r="B1807" s="22" t="str">
        <f>VLOOKUP($A1807,'Customer Names'!$A:$D,3, FALSE)</f>
        <v>Blankenship</v>
      </c>
      <c r="C1807" s="22">
        <f>VLOOKUP($A1807,'Medical Examinations'!$A:$D, 2, FALSE)</f>
        <v>32.68</v>
      </c>
      <c r="D1807" s="22">
        <f>VLOOKUP($A1807, 'Medical Examinations'!$A:$D,3, FALSE)</f>
        <v>5.44</v>
      </c>
      <c r="E1807" s="22" t="str">
        <f>VLOOKUP($A1807, 'Medical Examinations'!$A:$D, 4, FALSE)</f>
        <v>No</v>
      </c>
      <c r="F1807" s="22" t="str">
        <f>VLOOKUP($A1807, 'Medical Examinations'!$A:$J, 5, FALSE)</f>
        <v>No</v>
      </c>
      <c r="G1807" s="22" t="str">
        <f>VLOOKUP($A1807, 'Medical Examinations'!$A:$I, 6, FALSE)</f>
        <v>No</v>
      </c>
      <c r="H1807" s="22">
        <f>VLOOKUP($A1807,'Medical Examinations'!$A:$L,10, FALSE)</f>
        <v>0</v>
      </c>
      <c r="I1807" s="22" t="str">
        <f>VLOOKUP($A1807, 'Medical Examinations'!$A:$J, 9, FALSE)</f>
        <v>No</v>
      </c>
      <c r="J1807" s="22" t="str">
        <f>VLOOKUP($A1807, 'Medical Examinations'!$A:$P, 11, FALSE)</f>
        <v>OBESITY</v>
      </c>
      <c r="K1807" s="34">
        <v>24682.0</v>
      </c>
      <c r="L1807" s="35">
        <f>VLOOKUP($A1807, 'Hospitalisation Details'!$A:$H, 7, FALSE)</f>
        <v>4738.27</v>
      </c>
      <c r="M1807" s="22" t="str">
        <f>VLOOKUP($A1807, 'Hospitalisation Details'!$A:$L, 12, FALSE)</f>
        <v>tier - 2</v>
      </c>
      <c r="N1807" s="22" t="str">
        <f>VLOOKUP($A1807, 'Hospitalisation Details'!$A:$M, 13, FALSE)</f>
        <v>tier - 3</v>
      </c>
      <c r="O1807" s="22" t="str">
        <f>VLOOKUP($A1807, 'Hospitalisation Details'!$A:$N, 14, FALSE)</f>
        <v>R1012</v>
      </c>
      <c r="P1807" s="36">
        <f>VLOOKUP($A1807, 'Hospitalisation Details'!$A:$O, 15, FALSE)</f>
        <v>31</v>
      </c>
    </row>
    <row r="1808" ht="15.75" customHeight="1">
      <c r="A1808" s="33" t="s">
        <v>3615</v>
      </c>
      <c r="B1808" s="22" t="str">
        <f>VLOOKUP($A1808,'Customer Names'!$A:$D,3, FALSE)</f>
        <v>Lloyd</v>
      </c>
      <c r="C1808" s="22">
        <f>VLOOKUP($A1808,'Medical Examinations'!$A:$D, 2, FALSE)</f>
        <v>20.74</v>
      </c>
      <c r="D1808" s="22">
        <f>VLOOKUP($A1808, 'Medical Examinations'!$A:$D,3, FALSE)</f>
        <v>11.69</v>
      </c>
      <c r="E1808" s="22" t="str">
        <f>VLOOKUP($A1808, 'Medical Examinations'!$A:$D, 4, FALSE)</f>
        <v>Yes</v>
      </c>
      <c r="F1808" s="22" t="str">
        <f>VLOOKUP($A1808, 'Medical Examinations'!$A:$J, 5, FALSE)</f>
        <v>No</v>
      </c>
      <c r="G1808" s="22" t="str">
        <f>VLOOKUP($A1808, 'Medical Examinations'!$A:$I, 6, FALSE)</f>
        <v>No</v>
      </c>
      <c r="H1808" s="22">
        <f>VLOOKUP($A1808,'Medical Examinations'!$A:$L,10, FALSE)</f>
        <v>1</v>
      </c>
      <c r="I1808" s="22" t="str">
        <f>VLOOKUP($A1808, 'Medical Examinations'!$A:$J, 9, FALSE)</f>
        <v>No</v>
      </c>
      <c r="J1808" s="22" t="str">
        <f>VLOOKUP($A1808, 'Medical Examinations'!$A:$P, 11, FALSE)</f>
        <v>NORMAL WEIGHT</v>
      </c>
      <c r="K1808" s="34">
        <v>31409.0</v>
      </c>
      <c r="L1808" s="35">
        <f>VLOOKUP($A1808, 'Hospitalisation Details'!$A:$H, 7, FALSE)</f>
        <v>4734.64</v>
      </c>
      <c r="M1808" s="22" t="str">
        <f>VLOOKUP($A1808, 'Hospitalisation Details'!$A:$L, 12, FALSE)</f>
        <v>tier - 2</v>
      </c>
      <c r="N1808" s="22" t="str">
        <f>VLOOKUP($A1808, 'Hospitalisation Details'!$A:$M, 13, FALSE)</f>
        <v>tier - 1</v>
      </c>
      <c r="O1808" s="22" t="str">
        <f>VLOOKUP($A1808, 'Hospitalisation Details'!$A:$N, 14, FALSE)</f>
        <v>R1013</v>
      </c>
      <c r="P1808" s="36">
        <f>VLOOKUP($A1808, 'Hospitalisation Details'!$A:$O, 15, FALSE)</f>
        <v>36</v>
      </c>
    </row>
    <row r="1809" ht="15.75" customHeight="1">
      <c r="A1809" s="33" t="s">
        <v>3617</v>
      </c>
      <c r="B1809" s="22" t="str">
        <f>VLOOKUP($A1809,'Customer Names'!$A:$D,3, FALSE)</f>
        <v>Kong</v>
      </c>
      <c r="C1809" s="22">
        <f>VLOOKUP($A1809,'Medical Examinations'!$A:$D, 2, FALSE)</f>
        <v>15.57</v>
      </c>
      <c r="D1809" s="22">
        <f>VLOOKUP($A1809, 'Medical Examinations'!$A:$D,3, FALSE)</f>
        <v>6.07</v>
      </c>
      <c r="E1809" s="22" t="str">
        <f>VLOOKUP($A1809, 'Medical Examinations'!$A:$D, 4, FALSE)</f>
        <v>No</v>
      </c>
      <c r="F1809" s="22" t="str">
        <f>VLOOKUP($A1809, 'Medical Examinations'!$A:$J, 5, FALSE)</f>
        <v>No</v>
      </c>
      <c r="G1809" s="22" t="str">
        <f>VLOOKUP($A1809, 'Medical Examinations'!$A:$I, 6, FALSE)</f>
        <v>No</v>
      </c>
      <c r="H1809" s="22">
        <f>VLOOKUP($A1809,'Medical Examinations'!$A:$L,10, FALSE)</f>
        <v>0</v>
      </c>
      <c r="I1809" s="22" t="str">
        <f>VLOOKUP($A1809, 'Medical Examinations'!$A:$J, 9, FALSE)</f>
        <v>No</v>
      </c>
      <c r="J1809" s="22" t="str">
        <f>VLOOKUP($A1809, 'Medical Examinations'!$A:$P, 11, FALSE)</f>
        <v>UNDERWEIGHT</v>
      </c>
      <c r="K1809" s="34">
        <v>33497.0</v>
      </c>
      <c r="L1809" s="35">
        <f>VLOOKUP($A1809, 'Hospitalisation Details'!$A:$H, 7, FALSE)</f>
        <v>4728.71</v>
      </c>
      <c r="M1809" s="22" t="str">
        <f>VLOOKUP($A1809, 'Hospitalisation Details'!$A:$L, 12, FALSE)</f>
        <v>tier - 2</v>
      </c>
      <c r="N1809" s="22" t="str">
        <f>VLOOKUP($A1809, 'Hospitalisation Details'!$A:$M, 13, FALSE)</f>
        <v>tier - 3</v>
      </c>
      <c r="O1809" s="22" t="str">
        <f>VLOOKUP($A1809, 'Hospitalisation Details'!$A:$N, 14, FALSE)</f>
        <v>R1012</v>
      </c>
      <c r="P1809" s="36">
        <f>VLOOKUP($A1809, 'Hospitalisation Details'!$A:$O, 15, FALSE)</f>
        <v>42</v>
      </c>
    </row>
    <row r="1810" ht="15.75" customHeight="1">
      <c r="A1810" s="33" t="s">
        <v>3619</v>
      </c>
      <c r="B1810" s="22" t="str">
        <f>VLOOKUP($A1810,'Customer Names'!$A:$D,3, FALSE)</f>
        <v>Benson</v>
      </c>
      <c r="C1810" s="22">
        <f>VLOOKUP($A1810,'Medical Examinations'!$A:$D, 2, FALSE)</f>
        <v>23.845</v>
      </c>
      <c r="D1810" s="22">
        <f>VLOOKUP($A1810, 'Medical Examinations'!$A:$D,3, FALSE)</f>
        <v>4.36</v>
      </c>
      <c r="E1810" s="22" t="str">
        <f>VLOOKUP($A1810, 'Medical Examinations'!$A:$D, 4, FALSE)</f>
        <v>No</v>
      </c>
      <c r="F1810" s="22" t="str">
        <f>VLOOKUP($A1810, 'Medical Examinations'!$A:$J, 5, FALSE)</f>
        <v>No</v>
      </c>
      <c r="G1810" s="22" t="str">
        <f>VLOOKUP($A1810, 'Medical Examinations'!$A:$I, 6, FALSE)</f>
        <v>No</v>
      </c>
      <c r="H1810" s="22">
        <f>VLOOKUP($A1810,'Medical Examinations'!$A:$L,10, FALSE)</f>
        <v>0</v>
      </c>
      <c r="I1810" s="22" t="str">
        <f>VLOOKUP($A1810, 'Medical Examinations'!$A:$J, 9, FALSE)</f>
        <v>No</v>
      </c>
      <c r="J1810" s="22" t="str">
        <f>VLOOKUP($A1810, 'Medical Examinations'!$A:$P, 11, FALSE)</f>
        <v>NORMAL WEIGHT</v>
      </c>
      <c r="K1810" s="34">
        <v>29038.0</v>
      </c>
      <c r="L1810" s="35">
        <f>VLOOKUP($A1810, 'Hospitalisation Details'!$A:$H, 7, FALSE)</f>
        <v>4719.74</v>
      </c>
      <c r="M1810" s="22" t="str">
        <f>VLOOKUP($A1810, 'Hospitalisation Details'!$A:$L, 12, FALSE)</f>
        <v>tier - 2</v>
      </c>
      <c r="N1810" s="22" t="str">
        <f>VLOOKUP($A1810, 'Hospitalisation Details'!$A:$M, 13, FALSE)</f>
        <v>tier - 1</v>
      </c>
      <c r="O1810" s="22" t="str">
        <f>VLOOKUP($A1810, 'Hospitalisation Details'!$A:$N, 14, FALSE)</f>
        <v>R1012</v>
      </c>
      <c r="P1810" s="36">
        <f>VLOOKUP($A1810, 'Hospitalisation Details'!$A:$O, 15, FALSE)</f>
        <v>28</v>
      </c>
    </row>
    <row r="1811" ht="15.75" customHeight="1">
      <c r="A1811" s="33" t="s">
        <v>3621</v>
      </c>
      <c r="B1811" s="22" t="str">
        <f>VLOOKUP($A1811,'Customer Names'!$A:$D,3, FALSE)</f>
        <v>Huntington</v>
      </c>
      <c r="C1811" s="22">
        <f>VLOOKUP($A1811,'Medical Examinations'!$A:$D, 2, FALSE)</f>
        <v>22.895</v>
      </c>
      <c r="D1811" s="22">
        <f>VLOOKUP($A1811, 'Medical Examinations'!$A:$D,3, FALSE)</f>
        <v>5.24</v>
      </c>
      <c r="E1811" s="22" t="str">
        <f>VLOOKUP($A1811, 'Medical Examinations'!$A:$D, 4, FALSE)</f>
        <v>No</v>
      </c>
      <c r="F1811" s="22" t="str">
        <f>VLOOKUP($A1811, 'Medical Examinations'!$A:$J, 5, FALSE)</f>
        <v>No</v>
      </c>
      <c r="G1811" s="22" t="str">
        <f>VLOOKUP($A1811, 'Medical Examinations'!$A:$I, 6, FALSE)</f>
        <v>No</v>
      </c>
      <c r="H1811" s="22">
        <f>VLOOKUP($A1811,'Medical Examinations'!$A:$L,10, FALSE)</f>
        <v>1</v>
      </c>
      <c r="I1811" s="22" t="str">
        <f>VLOOKUP($A1811, 'Medical Examinations'!$A:$J, 9, FALSE)</f>
        <v>No</v>
      </c>
      <c r="J1811" s="22" t="str">
        <f>VLOOKUP($A1811, 'Medical Examinations'!$A:$P, 11, FALSE)</f>
        <v>NORMAL WEIGHT</v>
      </c>
      <c r="K1811" s="34">
        <v>34240.0</v>
      </c>
      <c r="L1811" s="35">
        <f>VLOOKUP($A1811, 'Hospitalisation Details'!$A:$H, 7, FALSE)</f>
        <v>4719.52</v>
      </c>
      <c r="M1811" s="22" t="str">
        <f>VLOOKUP($A1811, 'Hospitalisation Details'!$A:$L, 12, FALSE)</f>
        <v>tier - 2</v>
      </c>
      <c r="N1811" s="22" t="str">
        <f>VLOOKUP($A1811, 'Hospitalisation Details'!$A:$M, 13, FALSE)</f>
        <v>tier - 2</v>
      </c>
      <c r="O1811" s="22" t="str">
        <f>VLOOKUP($A1811, 'Hospitalisation Details'!$A:$N, 14, FALSE)</f>
        <v>R1024</v>
      </c>
      <c r="P1811" s="36">
        <f>VLOOKUP($A1811, 'Hospitalisation Details'!$A:$O, 15, FALSE)</f>
        <v>30</v>
      </c>
    </row>
    <row r="1812" ht="15.75" customHeight="1">
      <c r="A1812" s="33" t="s">
        <v>3623</v>
      </c>
      <c r="B1812" s="22" t="str">
        <f>VLOOKUP($A1812,'Customer Names'!$A:$D,3, FALSE)</f>
        <v>Kendall</v>
      </c>
      <c r="C1812" s="22">
        <f>VLOOKUP($A1812,'Medical Examinations'!$A:$D, 2, FALSE)</f>
        <v>21.945</v>
      </c>
      <c r="D1812" s="22">
        <f>VLOOKUP($A1812, 'Medical Examinations'!$A:$D,3, FALSE)</f>
        <v>5.37</v>
      </c>
      <c r="E1812" s="22" t="str">
        <f>VLOOKUP($A1812, 'Medical Examinations'!$A:$D, 4, FALSE)</f>
        <v>No</v>
      </c>
      <c r="F1812" s="22" t="str">
        <f>VLOOKUP($A1812, 'Medical Examinations'!$A:$J, 5, FALSE)</f>
        <v>No</v>
      </c>
      <c r="G1812" s="22" t="str">
        <f>VLOOKUP($A1812, 'Medical Examinations'!$A:$I, 6, FALSE)</f>
        <v>No</v>
      </c>
      <c r="H1812" s="22">
        <f>VLOOKUP($A1812,'Medical Examinations'!$A:$L,10, FALSE)</f>
        <v>1</v>
      </c>
      <c r="I1812" s="22" t="str">
        <f>VLOOKUP($A1812, 'Medical Examinations'!$A:$J, 9, FALSE)</f>
        <v>No</v>
      </c>
      <c r="J1812" s="22" t="str">
        <f>VLOOKUP($A1812, 'Medical Examinations'!$A:$P, 11, FALSE)</f>
        <v>NORMAL WEIGHT</v>
      </c>
      <c r="K1812" s="34">
        <v>32664.0</v>
      </c>
      <c r="L1812" s="35">
        <f>VLOOKUP($A1812, 'Hospitalisation Details'!$A:$H, 7, FALSE)</f>
        <v>4718.2</v>
      </c>
      <c r="M1812" s="22" t="str">
        <f>VLOOKUP($A1812, 'Hospitalisation Details'!$A:$L, 12, FALSE)</f>
        <v>tier - 2</v>
      </c>
      <c r="N1812" s="22" t="str">
        <f>VLOOKUP($A1812, 'Hospitalisation Details'!$A:$M, 13, FALSE)</f>
        <v>tier - 3</v>
      </c>
      <c r="O1812" s="22" t="str">
        <f>VLOOKUP($A1812, 'Hospitalisation Details'!$A:$N, 14, FALSE)</f>
        <v>R1024</v>
      </c>
      <c r="P1812" s="36">
        <f>VLOOKUP($A1812, 'Hospitalisation Details'!$A:$O, 15, FALSE)</f>
        <v>30</v>
      </c>
    </row>
    <row r="1813" ht="15.75" customHeight="1">
      <c r="A1813" s="33" t="s">
        <v>3625</v>
      </c>
      <c r="B1813" s="22" t="str">
        <f>VLOOKUP($A1813,'Customer Names'!$A:$D,3, FALSE)</f>
        <v>Gast</v>
      </c>
      <c r="C1813" s="22">
        <f>VLOOKUP($A1813,'Medical Examinations'!$A:$D, 2, FALSE)</f>
        <v>19.47</v>
      </c>
      <c r="D1813" s="22">
        <f>VLOOKUP($A1813, 'Medical Examinations'!$A:$D,3, FALSE)</f>
        <v>6.6</v>
      </c>
      <c r="E1813" s="22" t="str">
        <f>VLOOKUP($A1813, 'Medical Examinations'!$A:$D, 4, FALSE)</f>
        <v>Yes</v>
      </c>
      <c r="F1813" s="22" t="str">
        <f>VLOOKUP($A1813, 'Medical Examinations'!$A:$J, 5, FALSE)</f>
        <v>No</v>
      </c>
      <c r="G1813" s="22" t="str">
        <f>VLOOKUP($A1813, 'Medical Examinations'!$A:$I, 6, FALSE)</f>
        <v>No</v>
      </c>
      <c r="H1813" s="22">
        <f>VLOOKUP($A1813,'Medical Examinations'!$A:$L,10, FALSE)</f>
        <v>0</v>
      </c>
      <c r="I1813" s="22" t="str">
        <f>VLOOKUP($A1813, 'Medical Examinations'!$A:$J, 9, FALSE)</f>
        <v>No</v>
      </c>
      <c r="J1813" s="22" t="str">
        <f>VLOOKUP($A1813, 'Medical Examinations'!$A:$P, 11, FALSE)</f>
        <v>NORMAL WEIGHT</v>
      </c>
      <c r="K1813" s="34">
        <v>23976.0</v>
      </c>
      <c r="L1813" s="35">
        <f>VLOOKUP($A1813, 'Hospitalisation Details'!$A:$H, 7, FALSE)</f>
        <v>4712.12</v>
      </c>
      <c r="M1813" s="22" t="str">
        <f>VLOOKUP($A1813, 'Hospitalisation Details'!$A:$L, 12, FALSE)</f>
        <v>tier - 2</v>
      </c>
      <c r="N1813" s="22" t="str">
        <f>VLOOKUP($A1813, 'Hospitalisation Details'!$A:$M, 13, FALSE)</f>
        <v>tier - 3</v>
      </c>
      <c r="O1813" s="22" t="str">
        <f>VLOOKUP($A1813, 'Hospitalisation Details'!$A:$N, 14, FALSE)</f>
        <v>R1011</v>
      </c>
      <c r="P1813" s="36">
        <f>VLOOKUP($A1813, 'Hospitalisation Details'!$A:$O, 15, FALSE)</f>
        <v>41</v>
      </c>
    </row>
    <row r="1814" ht="15.75" customHeight="1">
      <c r="A1814" s="33" t="s">
        <v>3627</v>
      </c>
      <c r="B1814" s="22" t="str">
        <f>VLOOKUP($A1814,'Customer Names'!$A:$D,3, FALSE)</f>
        <v>Scanlin</v>
      </c>
      <c r="C1814" s="22">
        <f>VLOOKUP($A1814,'Medical Examinations'!$A:$D, 2, FALSE)</f>
        <v>15.61</v>
      </c>
      <c r="D1814" s="22">
        <f>VLOOKUP($A1814, 'Medical Examinations'!$A:$D,3, FALSE)</f>
        <v>5.77</v>
      </c>
      <c r="E1814" s="22" t="str">
        <f>VLOOKUP($A1814, 'Medical Examinations'!$A:$D, 4, FALSE)</f>
        <v>No</v>
      </c>
      <c r="F1814" s="22" t="str">
        <f>VLOOKUP($A1814, 'Medical Examinations'!$A:$J, 5, FALSE)</f>
        <v>No</v>
      </c>
      <c r="G1814" s="22" t="str">
        <f>VLOOKUP($A1814, 'Medical Examinations'!$A:$I, 6, FALSE)</f>
        <v>No</v>
      </c>
      <c r="H1814" s="22">
        <f>VLOOKUP($A1814,'Medical Examinations'!$A:$L,10, FALSE)</f>
        <v>0</v>
      </c>
      <c r="I1814" s="22" t="str">
        <f>VLOOKUP($A1814, 'Medical Examinations'!$A:$J, 9, FALSE)</f>
        <v>No</v>
      </c>
      <c r="J1814" s="22" t="str">
        <f>VLOOKUP($A1814, 'Medical Examinations'!$A:$P, 11, FALSE)</f>
        <v>UNDERWEIGHT</v>
      </c>
      <c r="K1814" s="34">
        <v>30669.0</v>
      </c>
      <c r="L1814" s="35">
        <f>VLOOKUP($A1814, 'Hospitalisation Details'!$A:$H, 7, FALSE)</f>
        <v>4699.47</v>
      </c>
      <c r="M1814" s="22" t="str">
        <f>VLOOKUP($A1814, 'Hospitalisation Details'!$A:$L, 12, FALSE)</f>
        <v>tier - 2</v>
      </c>
      <c r="N1814" s="22" t="str">
        <f>VLOOKUP($A1814, 'Hospitalisation Details'!$A:$M, 13, FALSE)</f>
        <v>tier - 3</v>
      </c>
      <c r="O1814" s="22" t="str">
        <f>VLOOKUP($A1814, 'Hospitalisation Details'!$A:$N, 14, FALSE)</f>
        <v>R1013</v>
      </c>
      <c r="P1814" s="36">
        <f>VLOOKUP($A1814, 'Hospitalisation Details'!$A:$O, 15, FALSE)</f>
        <v>45</v>
      </c>
    </row>
    <row r="1815" ht="15.75" customHeight="1">
      <c r="A1815" s="33" t="s">
        <v>3629</v>
      </c>
      <c r="B1815" s="22" t="str">
        <f>VLOOKUP($A1815,'Customer Names'!$A:$D,3, FALSE)</f>
        <v>Philbrook</v>
      </c>
      <c r="C1815" s="22">
        <f>VLOOKUP($A1815,'Medical Examinations'!$A:$D, 2, FALSE)</f>
        <v>28.6</v>
      </c>
      <c r="D1815" s="22">
        <f>VLOOKUP($A1815, 'Medical Examinations'!$A:$D,3, FALSE)</f>
        <v>6.08</v>
      </c>
      <c r="E1815" s="22" t="str">
        <f>VLOOKUP($A1815, 'Medical Examinations'!$A:$D, 4, FALSE)</f>
        <v>No</v>
      </c>
      <c r="F1815" s="22" t="str">
        <f>VLOOKUP($A1815, 'Medical Examinations'!$A:$J, 5, FALSE)</f>
        <v>No</v>
      </c>
      <c r="G1815" s="22" t="str">
        <f>VLOOKUP($A1815, 'Medical Examinations'!$A:$I, 6, FALSE)</f>
        <v>Yes</v>
      </c>
      <c r="H1815" s="22">
        <f>VLOOKUP($A1815,'Medical Examinations'!$A:$L,10, FALSE)</f>
        <v>1</v>
      </c>
      <c r="I1815" s="22" t="str">
        <f>VLOOKUP($A1815, 'Medical Examinations'!$A:$J, 9, FALSE)</f>
        <v>No</v>
      </c>
      <c r="J1815" s="22" t="str">
        <f>VLOOKUP($A1815, 'Medical Examinations'!$A:$P, 11, FALSE)</f>
        <v>OVERWEIGHT</v>
      </c>
      <c r="K1815" s="34">
        <v>32440.0</v>
      </c>
      <c r="L1815" s="35">
        <f>VLOOKUP($A1815, 'Hospitalisation Details'!$A:$H, 7, FALSE)</f>
        <v>4687.8</v>
      </c>
      <c r="M1815" s="22" t="str">
        <f>VLOOKUP($A1815, 'Hospitalisation Details'!$A:$L, 12, FALSE)</f>
        <v>tier - 2</v>
      </c>
      <c r="N1815" s="22" t="str">
        <f>VLOOKUP($A1815, 'Hospitalisation Details'!$A:$M, 13, FALSE)</f>
        <v>tier - 3</v>
      </c>
      <c r="O1815" s="22" t="str">
        <f>VLOOKUP($A1815, 'Hospitalisation Details'!$A:$N, 14, FALSE)</f>
        <v>R1011</v>
      </c>
      <c r="P1815" s="36">
        <f>VLOOKUP($A1815, 'Hospitalisation Details'!$A:$O, 15, FALSE)</f>
        <v>19</v>
      </c>
    </row>
    <row r="1816" ht="15.75" customHeight="1">
      <c r="A1816" s="33" t="s">
        <v>3631</v>
      </c>
      <c r="B1816" s="22" t="str">
        <f>VLOOKUP($A1816,'Customer Names'!$A:$D,3, FALSE)</f>
        <v>Cowan</v>
      </c>
      <c r="C1816" s="22">
        <f>VLOOKUP($A1816,'Medical Examinations'!$A:$D, 2, FALSE)</f>
        <v>46.53</v>
      </c>
      <c r="D1816" s="22">
        <f>VLOOKUP($A1816, 'Medical Examinations'!$A:$D,3, FALSE)</f>
        <v>4.16</v>
      </c>
      <c r="E1816" s="22" t="str">
        <f>VLOOKUP($A1816, 'Medical Examinations'!$A:$D, 4, FALSE)</f>
        <v>No</v>
      </c>
      <c r="F1816" s="22" t="str">
        <f>VLOOKUP($A1816, 'Medical Examinations'!$A:$J, 5, FALSE)</f>
        <v>No</v>
      </c>
      <c r="G1816" s="22" t="str">
        <f>VLOOKUP($A1816, 'Medical Examinations'!$A:$I, 6, FALSE)</f>
        <v>No</v>
      </c>
      <c r="H1816" s="22">
        <f>VLOOKUP($A1816,'Medical Examinations'!$A:$L,10, FALSE)</f>
        <v>0</v>
      </c>
      <c r="I1816" s="22" t="str">
        <f>VLOOKUP($A1816, 'Medical Examinations'!$A:$J, 9, FALSE)</f>
        <v>No</v>
      </c>
      <c r="J1816" s="22" t="str">
        <f>VLOOKUP($A1816, 'Medical Examinations'!$A:$P, 11, FALSE)</f>
        <v>OBESITY</v>
      </c>
      <c r="K1816" s="34">
        <v>33938.0</v>
      </c>
      <c r="L1816" s="35">
        <f>VLOOKUP($A1816, 'Hospitalisation Details'!$A:$H, 7, FALSE)</f>
        <v>4686.39</v>
      </c>
      <c r="M1816" s="22" t="str">
        <f>VLOOKUP($A1816, 'Hospitalisation Details'!$A:$L, 12, FALSE)</f>
        <v>tier - 3</v>
      </c>
      <c r="N1816" s="22" t="str">
        <f>VLOOKUP($A1816, 'Hospitalisation Details'!$A:$M, 13, FALSE)</f>
        <v>tier - 3</v>
      </c>
      <c r="O1816" s="22" t="str">
        <f>VLOOKUP($A1816, 'Hospitalisation Details'!$A:$N, 14, FALSE)</f>
        <v>R1013</v>
      </c>
      <c r="P1816" s="36">
        <f>VLOOKUP($A1816, 'Hospitalisation Details'!$A:$O, 15, FALSE)</f>
        <v>32</v>
      </c>
    </row>
    <row r="1817" ht="15.75" customHeight="1">
      <c r="A1817" s="33" t="s">
        <v>3633</v>
      </c>
      <c r="B1817" s="22" t="str">
        <f>VLOOKUP($A1817,'Customer Names'!$A:$D,3, FALSE)</f>
        <v>Sousa</v>
      </c>
      <c r="C1817" s="22">
        <f>VLOOKUP($A1817,'Medical Examinations'!$A:$D, 2, FALSE)</f>
        <v>34.99</v>
      </c>
      <c r="D1817" s="22">
        <f>VLOOKUP($A1817, 'Medical Examinations'!$A:$D,3, FALSE)</f>
        <v>5.1</v>
      </c>
      <c r="E1817" s="22" t="str">
        <f>VLOOKUP($A1817, 'Medical Examinations'!$A:$D, 4, FALSE)</f>
        <v>No</v>
      </c>
      <c r="F1817" s="22" t="str">
        <f>VLOOKUP($A1817, 'Medical Examinations'!$A:$J, 5, FALSE)</f>
        <v>No</v>
      </c>
      <c r="G1817" s="22" t="str">
        <f>VLOOKUP($A1817, 'Medical Examinations'!$A:$I, 6, FALSE)</f>
        <v>Yes</v>
      </c>
      <c r="H1817" s="22">
        <f>VLOOKUP($A1817,'Medical Examinations'!$A:$L,10, FALSE)</f>
        <v>1</v>
      </c>
      <c r="I1817" s="22" t="str">
        <f>VLOOKUP($A1817, 'Medical Examinations'!$A:$J, 9, FALSE)</f>
        <v>No</v>
      </c>
      <c r="J1817" s="22" t="str">
        <f>VLOOKUP($A1817, 'Medical Examinations'!$A:$P, 11, FALSE)</f>
        <v>OBESITY</v>
      </c>
      <c r="K1817" s="34">
        <v>36013.0</v>
      </c>
      <c r="L1817" s="35">
        <f>VLOOKUP($A1817, 'Hospitalisation Details'!$A:$H, 7, FALSE)</f>
        <v>4678.8</v>
      </c>
      <c r="M1817" s="22" t="str">
        <f>VLOOKUP($A1817, 'Hospitalisation Details'!$A:$L, 12, FALSE)</f>
        <v>tier - 2</v>
      </c>
      <c r="N1817" s="22" t="str">
        <f>VLOOKUP($A1817, 'Hospitalisation Details'!$A:$M, 13, FALSE)</f>
        <v>tier - 1</v>
      </c>
      <c r="O1817" s="22" t="str">
        <f>VLOOKUP($A1817, 'Hospitalisation Details'!$A:$N, 14, FALSE)</f>
        <v>R1021</v>
      </c>
      <c r="P1817" s="36">
        <f>VLOOKUP($A1817, 'Hospitalisation Details'!$A:$O, 15, FALSE)</f>
        <v>19</v>
      </c>
    </row>
    <row r="1818" ht="15.75" customHeight="1">
      <c r="A1818" s="33" t="s">
        <v>3635</v>
      </c>
      <c r="B1818" s="22" t="str">
        <f>VLOOKUP($A1818,'Customer Names'!$A:$D,3, FALSE)</f>
        <v>Stanton</v>
      </c>
      <c r="C1818" s="22">
        <f>VLOOKUP($A1818,'Medical Examinations'!$A:$D, 2, FALSE)</f>
        <v>17.05</v>
      </c>
      <c r="D1818" s="22">
        <f>VLOOKUP($A1818, 'Medical Examinations'!$A:$D,3, FALSE)</f>
        <v>5.3</v>
      </c>
      <c r="E1818" s="22" t="str">
        <f>VLOOKUP($A1818, 'Medical Examinations'!$A:$D, 4, FALSE)</f>
        <v>No</v>
      </c>
      <c r="F1818" s="22" t="str">
        <f>VLOOKUP($A1818, 'Medical Examinations'!$A:$J, 5, FALSE)</f>
        <v>No</v>
      </c>
      <c r="G1818" s="22" t="str">
        <f>VLOOKUP($A1818, 'Medical Examinations'!$A:$I, 6, FALSE)</f>
        <v>Yes</v>
      </c>
      <c r="H1818" s="22">
        <f>VLOOKUP($A1818,'Medical Examinations'!$A:$L,10, FALSE)</f>
        <v>1</v>
      </c>
      <c r="I1818" s="22" t="str">
        <f>VLOOKUP($A1818, 'Medical Examinations'!$A:$J, 9, FALSE)</f>
        <v>No</v>
      </c>
      <c r="J1818" s="22" t="str">
        <f>VLOOKUP($A1818, 'Medical Examinations'!$A:$P, 11, FALSE)</f>
        <v>UNDERWEIGHT</v>
      </c>
      <c r="K1818" s="34">
        <v>23304.0</v>
      </c>
      <c r="L1818" s="35">
        <f>VLOOKUP($A1818, 'Hospitalisation Details'!$A:$H, 7, FALSE)</f>
        <v>4674.2</v>
      </c>
      <c r="M1818" s="22" t="str">
        <f>VLOOKUP($A1818, 'Hospitalisation Details'!$A:$L, 12, FALSE)</f>
        <v>tier - 2</v>
      </c>
      <c r="N1818" s="22" t="str">
        <f>VLOOKUP($A1818, 'Hospitalisation Details'!$A:$M, 13, FALSE)</f>
        <v>tier - 1</v>
      </c>
      <c r="O1818" s="22" t="str">
        <f>VLOOKUP($A1818, 'Hospitalisation Details'!$A:$N, 14, FALSE)</f>
        <v>R1013</v>
      </c>
      <c r="P1818" s="36">
        <f>VLOOKUP($A1818, 'Hospitalisation Details'!$A:$O, 15, FALSE)</f>
        <v>43</v>
      </c>
    </row>
    <row r="1819" ht="15.75" customHeight="1">
      <c r="A1819" s="33" t="s">
        <v>3637</v>
      </c>
      <c r="B1819" s="22" t="str">
        <f>VLOOKUP($A1819,'Customer Names'!$A:$D,3, FALSE)</f>
        <v>Mollak</v>
      </c>
      <c r="C1819" s="22">
        <f>VLOOKUP($A1819,'Medical Examinations'!$A:$D, 2, FALSE)</f>
        <v>37.18</v>
      </c>
      <c r="D1819" s="22">
        <f>VLOOKUP($A1819, 'Medical Examinations'!$A:$D,3, FALSE)</f>
        <v>4.9</v>
      </c>
      <c r="E1819" s="22" t="str">
        <f>VLOOKUP($A1819, 'Medical Examinations'!$A:$D, 4, FALSE)</f>
        <v>No</v>
      </c>
      <c r="F1819" s="22" t="str">
        <f>VLOOKUP($A1819, 'Medical Examinations'!$A:$J, 5, FALSE)</f>
        <v>No</v>
      </c>
      <c r="G1819" s="22" t="str">
        <f>VLOOKUP($A1819, 'Medical Examinations'!$A:$I, 6, FALSE)</f>
        <v>No</v>
      </c>
      <c r="H1819" s="22">
        <f>VLOOKUP($A1819,'Medical Examinations'!$A:$L,10, FALSE)</f>
        <v>0</v>
      </c>
      <c r="I1819" s="22" t="str">
        <f>VLOOKUP($A1819, 'Medical Examinations'!$A:$J, 9, FALSE)</f>
        <v>No</v>
      </c>
      <c r="J1819" s="22" t="str">
        <f>VLOOKUP($A1819, 'Medical Examinations'!$A:$P, 11, FALSE)</f>
        <v>OBESITY</v>
      </c>
      <c r="K1819" s="34">
        <v>25418.0</v>
      </c>
      <c r="L1819" s="35">
        <f>VLOOKUP($A1819, 'Hospitalisation Details'!$A:$H, 7, FALSE)</f>
        <v>4673.39</v>
      </c>
      <c r="M1819" s="22" t="str">
        <f>VLOOKUP($A1819, 'Hospitalisation Details'!$A:$L, 12, FALSE)</f>
        <v>tier - 2</v>
      </c>
      <c r="N1819" s="22" t="str">
        <f>VLOOKUP($A1819, 'Hospitalisation Details'!$A:$M, 13, FALSE)</f>
        <v>tier - 1</v>
      </c>
      <c r="O1819" s="22" t="str">
        <f>VLOOKUP($A1819, 'Hospitalisation Details'!$A:$N, 14, FALSE)</f>
        <v>R1013</v>
      </c>
      <c r="P1819" s="36">
        <f>VLOOKUP($A1819, 'Hospitalisation Details'!$A:$O, 15, FALSE)</f>
        <v>32</v>
      </c>
    </row>
    <row r="1820" ht="15.75" customHeight="1">
      <c r="A1820" s="33" t="s">
        <v>3639</v>
      </c>
      <c r="B1820" s="22" t="str">
        <f>VLOOKUP($A1820,'Customer Names'!$A:$D,3, FALSE)</f>
        <v>Bell</v>
      </c>
      <c r="C1820" s="22">
        <f>VLOOKUP($A1820,'Medical Examinations'!$A:$D, 2, FALSE)</f>
        <v>35.2</v>
      </c>
      <c r="D1820" s="22">
        <f>VLOOKUP($A1820, 'Medical Examinations'!$A:$D,3, FALSE)</f>
        <v>5.55</v>
      </c>
      <c r="E1820" s="22" t="str">
        <f>VLOOKUP($A1820, 'Medical Examinations'!$A:$D, 4, FALSE)</f>
        <v>No</v>
      </c>
      <c r="F1820" s="22" t="str">
        <f>VLOOKUP($A1820, 'Medical Examinations'!$A:$J, 5, FALSE)</f>
        <v>No</v>
      </c>
      <c r="G1820" s="22" t="str">
        <f>VLOOKUP($A1820, 'Medical Examinations'!$A:$I, 6, FALSE)</f>
        <v>No</v>
      </c>
      <c r="H1820" s="22">
        <f>VLOOKUP($A1820,'Medical Examinations'!$A:$L,10, FALSE)</f>
        <v>0</v>
      </c>
      <c r="I1820" s="22" t="str">
        <f>VLOOKUP($A1820, 'Medical Examinations'!$A:$J, 9, FALSE)</f>
        <v>No</v>
      </c>
      <c r="J1820" s="22" t="str">
        <f>VLOOKUP($A1820, 'Medical Examinations'!$A:$P, 11, FALSE)</f>
        <v>OBESITY</v>
      </c>
      <c r="K1820" s="34">
        <v>34969.0</v>
      </c>
      <c r="L1820" s="35">
        <f>VLOOKUP($A1820, 'Hospitalisation Details'!$A:$H, 7, FALSE)</f>
        <v>4670.64</v>
      </c>
      <c r="M1820" s="22" t="str">
        <f>VLOOKUP($A1820, 'Hospitalisation Details'!$A:$L, 12, FALSE)</f>
        <v>tier - 2</v>
      </c>
      <c r="N1820" s="22" t="str">
        <f>VLOOKUP($A1820, 'Hospitalisation Details'!$A:$M, 13, FALSE)</f>
        <v>tier - 2</v>
      </c>
      <c r="O1820" s="22" t="str">
        <f>VLOOKUP($A1820, 'Hospitalisation Details'!$A:$N, 14, FALSE)</f>
        <v>R1011</v>
      </c>
      <c r="P1820" s="36">
        <f>VLOOKUP($A1820, 'Hospitalisation Details'!$A:$O, 15, FALSE)</f>
        <v>32</v>
      </c>
    </row>
    <row r="1821" ht="15.75" customHeight="1">
      <c r="A1821" s="33" t="s">
        <v>3641</v>
      </c>
      <c r="B1821" s="22" t="str">
        <f>VLOOKUP($A1821,'Customer Names'!$A:$D,3, FALSE)</f>
        <v>Weston</v>
      </c>
      <c r="C1821" s="22">
        <f>VLOOKUP($A1821,'Medical Examinations'!$A:$D, 2, FALSE)</f>
        <v>37.335</v>
      </c>
      <c r="D1821" s="22">
        <f>VLOOKUP($A1821, 'Medical Examinations'!$A:$D,3, FALSE)</f>
        <v>4.95</v>
      </c>
      <c r="E1821" s="22" t="str">
        <f>VLOOKUP($A1821, 'Medical Examinations'!$A:$D, 4, FALSE)</f>
        <v>No</v>
      </c>
      <c r="F1821" s="22" t="str">
        <f>VLOOKUP($A1821, 'Medical Examinations'!$A:$J, 5, FALSE)</f>
        <v>No</v>
      </c>
      <c r="G1821" s="22" t="str">
        <f>VLOOKUP($A1821, 'Medical Examinations'!$A:$I, 6, FALSE)</f>
        <v>No</v>
      </c>
      <c r="H1821" s="22">
        <f>VLOOKUP($A1821,'Medical Examinations'!$A:$L,10, FALSE)</f>
        <v>0</v>
      </c>
      <c r="I1821" s="22" t="str">
        <f>VLOOKUP($A1821, 'Medical Examinations'!$A:$J, 9, FALSE)</f>
        <v>No</v>
      </c>
      <c r="J1821" s="22" t="str">
        <f>VLOOKUP($A1821, 'Medical Examinations'!$A:$P, 11, FALSE)</f>
        <v>OBESITY</v>
      </c>
      <c r="K1821" s="34">
        <v>23351.0</v>
      </c>
      <c r="L1821" s="35">
        <f>VLOOKUP($A1821, 'Hospitalisation Details'!$A:$H, 7, FALSE)</f>
        <v>4667.61</v>
      </c>
      <c r="M1821" s="22" t="str">
        <f>VLOOKUP($A1821, 'Hospitalisation Details'!$A:$L, 12, FALSE)</f>
        <v>tier - 3</v>
      </c>
      <c r="N1821" s="22" t="str">
        <f>VLOOKUP($A1821, 'Hospitalisation Details'!$A:$M, 13, FALSE)</f>
        <v>tier - 3</v>
      </c>
      <c r="O1821" s="22" t="str">
        <f>VLOOKUP($A1821, 'Hospitalisation Details'!$A:$N, 14, FALSE)</f>
        <v>R1016</v>
      </c>
      <c r="P1821" s="36">
        <f>VLOOKUP($A1821, 'Hospitalisation Details'!$A:$O, 15, FALSE)</f>
        <v>32</v>
      </c>
    </row>
    <row r="1822" ht="15.75" customHeight="1">
      <c r="A1822" s="33" t="s">
        <v>3643</v>
      </c>
      <c r="B1822" s="22" t="str">
        <f>VLOOKUP($A1822,'Customer Names'!$A:$D,3, FALSE)</f>
        <v>Rabuzzi</v>
      </c>
      <c r="C1822" s="22">
        <f>VLOOKUP($A1822,'Medical Examinations'!$A:$D, 2, FALSE)</f>
        <v>27.265</v>
      </c>
      <c r="D1822" s="22">
        <f>VLOOKUP($A1822, 'Medical Examinations'!$A:$D,3, FALSE)</f>
        <v>6.46</v>
      </c>
      <c r="E1822" s="22" t="str">
        <f>VLOOKUP($A1822, 'Medical Examinations'!$A:$D, 4, FALSE)</f>
        <v>Yes</v>
      </c>
      <c r="F1822" s="22" t="str">
        <f>VLOOKUP($A1822, 'Medical Examinations'!$A:$J, 5, FALSE)</f>
        <v>No</v>
      </c>
      <c r="G1822" s="22" t="str">
        <f>VLOOKUP($A1822, 'Medical Examinations'!$A:$I, 6, FALSE)</f>
        <v>No</v>
      </c>
      <c r="H1822" s="22">
        <f>VLOOKUP($A1822,'Medical Examinations'!$A:$L,10, FALSE)</f>
        <v>0</v>
      </c>
      <c r="I1822" s="22" t="str">
        <f>VLOOKUP($A1822, 'Medical Examinations'!$A:$J, 9, FALSE)</f>
        <v>No</v>
      </c>
      <c r="J1822" s="22" t="str">
        <f>VLOOKUP($A1822, 'Medical Examinations'!$A:$P, 11, FALSE)</f>
        <v>OVERWEIGHT</v>
      </c>
      <c r="K1822" s="34">
        <v>37826.0</v>
      </c>
      <c r="L1822" s="35">
        <f>VLOOKUP($A1822, 'Hospitalisation Details'!$A:$H, 7, FALSE)</f>
        <v>4661.29</v>
      </c>
      <c r="M1822" s="22" t="str">
        <f>VLOOKUP($A1822, 'Hospitalisation Details'!$A:$L, 12, FALSE)</f>
        <v>tier - 2</v>
      </c>
      <c r="N1822" s="22" t="str">
        <f>VLOOKUP($A1822, 'Hospitalisation Details'!$A:$M, 13, FALSE)</f>
        <v>tier - 1</v>
      </c>
      <c r="O1822" s="22" t="str">
        <f>VLOOKUP($A1822, 'Hospitalisation Details'!$A:$N, 14, FALSE)</f>
        <v>R1017</v>
      </c>
      <c r="P1822" s="36">
        <f>VLOOKUP($A1822, 'Hospitalisation Details'!$A:$O, 15, FALSE)</f>
        <v>26</v>
      </c>
    </row>
    <row r="1823" ht="15.75" customHeight="1">
      <c r="A1823" s="33" t="s">
        <v>3645</v>
      </c>
      <c r="B1823" s="22" t="str">
        <f>VLOOKUP($A1823,'Customer Names'!$A:$D,3, FALSE)</f>
        <v>Hendrix</v>
      </c>
      <c r="C1823" s="22">
        <f>VLOOKUP($A1823,'Medical Examinations'!$A:$D, 2, FALSE)</f>
        <v>30.8</v>
      </c>
      <c r="D1823" s="22">
        <f>VLOOKUP($A1823, 'Medical Examinations'!$A:$D,3, FALSE)</f>
        <v>4.9</v>
      </c>
      <c r="E1823" s="22" t="str">
        <f>VLOOKUP($A1823, 'Medical Examinations'!$A:$D, 4, FALSE)</f>
        <v>Yes</v>
      </c>
      <c r="F1823" s="22" t="str">
        <f>VLOOKUP($A1823, 'Medical Examinations'!$A:$J, 5, FALSE)</f>
        <v>No</v>
      </c>
      <c r="G1823" s="22" t="str">
        <f>VLOOKUP($A1823, 'Medical Examinations'!$A:$I, 6, FALSE)</f>
        <v>No</v>
      </c>
      <c r="H1823" s="22">
        <f>VLOOKUP($A1823,'Medical Examinations'!$A:$L,10, FALSE)</f>
        <v>0</v>
      </c>
      <c r="I1823" s="22" t="str">
        <f>VLOOKUP($A1823, 'Medical Examinations'!$A:$J, 9, FALSE)</f>
        <v>No</v>
      </c>
      <c r="J1823" s="22" t="str">
        <f>VLOOKUP($A1823, 'Medical Examinations'!$A:$P, 11, FALSE)</f>
        <v>OBESITY</v>
      </c>
      <c r="K1823" s="34">
        <v>22998.0</v>
      </c>
      <c r="L1823" s="35">
        <f>VLOOKUP($A1823, 'Hospitalisation Details'!$A:$H, 7, FALSE)</f>
        <v>4646.76</v>
      </c>
      <c r="M1823" s="22" t="str">
        <f>VLOOKUP($A1823, 'Hospitalisation Details'!$A:$L, 12, FALSE)</f>
        <v>tier - 1</v>
      </c>
      <c r="N1823" s="22" t="str">
        <f>VLOOKUP($A1823, 'Hospitalisation Details'!$A:$M, 13, FALSE)</f>
        <v>tier - 1</v>
      </c>
      <c r="O1823" s="22" t="str">
        <f>VLOOKUP($A1823, 'Hospitalisation Details'!$A:$N, 14, FALSE)</f>
        <v>R1011</v>
      </c>
      <c r="P1823" s="36">
        <f>VLOOKUP($A1823, 'Hospitalisation Details'!$A:$O, 15, FALSE)</f>
        <v>37</v>
      </c>
    </row>
    <row r="1824" ht="15.75" customHeight="1">
      <c r="A1824" s="33" t="s">
        <v>3647</v>
      </c>
      <c r="B1824" s="22" t="str">
        <f>VLOOKUP($A1824,'Customer Names'!$A:$D,3, FALSE)</f>
        <v>Va</v>
      </c>
      <c r="C1824" s="22">
        <f>VLOOKUP($A1824,'Medical Examinations'!$A:$D, 2, FALSE)</f>
        <v>30.21</v>
      </c>
      <c r="D1824" s="22">
        <f>VLOOKUP($A1824, 'Medical Examinations'!$A:$D,3, FALSE)</f>
        <v>5.21</v>
      </c>
      <c r="E1824" s="22" t="str">
        <f>VLOOKUP($A1824, 'Medical Examinations'!$A:$D, 4, FALSE)</f>
        <v>No</v>
      </c>
      <c r="F1824" s="22" t="str">
        <f>VLOOKUP($A1824, 'Medical Examinations'!$A:$J, 5, FALSE)</f>
        <v>No</v>
      </c>
      <c r="G1824" s="22" t="str">
        <f>VLOOKUP($A1824, 'Medical Examinations'!$A:$I, 6, FALSE)</f>
        <v>No</v>
      </c>
      <c r="H1824" s="22">
        <f>VLOOKUP($A1824,'Medical Examinations'!$A:$L,10, FALSE)</f>
        <v>1</v>
      </c>
      <c r="I1824" s="22" t="str">
        <f>VLOOKUP($A1824, 'Medical Examinations'!$A:$J, 9, FALSE)</f>
        <v>No</v>
      </c>
      <c r="J1824" s="22" t="str">
        <f>VLOOKUP($A1824, 'Medical Examinations'!$A:$P, 11, FALSE)</f>
        <v>OBESITY</v>
      </c>
      <c r="K1824" s="34">
        <v>25540.0</v>
      </c>
      <c r="L1824" s="35">
        <f>VLOOKUP($A1824, 'Hospitalisation Details'!$A:$H, 7, FALSE)</f>
        <v>4618.08</v>
      </c>
      <c r="M1824" s="22" t="str">
        <f>VLOOKUP($A1824, 'Hospitalisation Details'!$A:$L, 12, FALSE)</f>
        <v>tier - 2</v>
      </c>
      <c r="N1824" s="22" t="str">
        <f>VLOOKUP($A1824, 'Hospitalisation Details'!$A:$M, 13, FALSE)</f>
        <v>tier - 1</v>
      </c>
      <c r="O1824" s="22" t="str">
        <f>VLOOKUP($A1824, 'Hospitalisation Details'!$A:$N, 14, FALSE)</f>
        <v>R1012</v>
      </c>
      <c r="P1824" s="36">
        <f>VLOOKUP($A1824, 'Hospitalisation Details'!$A:$O, 15, FALSE)</f>
        <v>24</v>
      </c>
    </row>
    <row r="1825" ht="15.75" customHeight="1">
      <c r="A1825" s="33" t="s">
        <v>3649</v>
      </c>
      <c r="B1825" s="22" t="str">
        <f>VLOOKUP($A1825,'Customer Names'!$A:$D,3, FALSE)</f>
        <v>Blanton</v>
      </c>
      <c r="C1825" s="22">
        <f>VLOOKUP($A1825,'Medical Examinations'!$A:$D, 2, FALSE)</f>
        <v>35.34</v>
      </c>
      <c r="D1825" s="22">
        <f>VLOOKUP($A1825, 'Medical Examinations'!$A:$D,3, FALSE)</f>
        <v>4.13</v>
      </c>
      <c r="E1825" s="22" t="str">
        <f>VLOOKUP($A1825, 'Medical Examinations'!$A:$D, 4, FALSE)</f>
        <v>No</v>
      </c>
      <c r="F1825" s="22" t="str">
        <f>VLOOKUP($A1825, 'Medical Examinations'!$A:$J, 5, FALSE)</f>
        <v>Yes</v>
      </c>
      <c r="G1825" s="22" t="str">
        <f>VLOOKUP($A1825, 'Medical Examinations'!$A:$I, 6, FALSE)</f>
        <v>No</v>
      </c>
      <c r="H1825" s="22">
        <f>VLOOKUP($A1825,'Medical Examinations'!$A:$L,10, FALSE)</f>
        <v>1</v>
      </c>
      <c r="I1825" s="22" t="str">
        <f>VLOOKUP($A1825, 'Medical Examinations'!$A:$J, 9, FALSE)</f>
        <v>No</v>
      </c>
      <c r="J1825" s="22" t="str">
        <f>VLOOKUP($A1825, 'Medical Examinations'!$A:$P, 11, FALSE)</f>
        <v>OBESITY</v>
      </c>
      <c r="K1825" s="34">
        <v>29143.0</v>
      </c>
      <c r="L1825" s="35">
        <f>VLOOKUP($A1825, 'Hospitalisation Details'!$A:$H, 7, FALSE)</f>
        <v>4608.03</v>
      </c>
      <c r="M1825" s="22" t="str">
        <f>VLOOKUP($A1825, 'Hospitalisation Details'!$A:$L, 12, FALSE)</f>
        <v>tier - 2</v>
      </c>
      <c r="N1825" s="22" t="str">
        <f>VLOOKUP($A1825, 'Hospitalisation Details'!$A:$M, 13, FALSE)</f>
        <v>tier - 3</v>
      </c>
      <c r="O1825" s="22" t="str">
        <f>VLOOKUP($A1825, 'Hospitalisation Details'!$A:$N, 14, FALSE)</f>
        <v>R1011</v>
      </c>
      <c r="P1825" s="36">
        <f>VLOOKUP($A1825, 'Hospitalisation Details'!$A:$O, 15, FALSE)</f>
        <v>22</v>
      </c>
    </row>
    <row r="1826" ht="15.75" customHeight="1">
      <c r="A1826" s="33" t="s">
        <v>3651</v>
      </c>
      <c r="B1826" s="22" t="str">
        <f>VLOOKUP($A1826,'Customer Names'!$A:$D,3, FALSE)</f>
        <v>Schout</v>
      </c>
      <c r="C1826" s="22">
        <f>VLOOKUP($A1826,'Medical Examinations'!$A:$D, 2, FALSE)</f>
        <v>26.695</v>
      </c>
      <c r="D1826" s="22">
        <f>VLOOKUP($A1826, 'Medical Examinations'!$A:$D,3, FALSE)</f>
        <v>5.28</v>
      </c>
      <c r="E1826" s="22" t="str">
        <f>VLOOKUP($A1826, 'Medical Examinations'!$A:$D, 4, FALSE)</f>
        <v>No</v>
      </c>
      <c r="F1826" s="22" t="str">
        <f>VLOOKUP($A1826, 'Medical Examinations'!$A:$J, 5, FALSE)</f>
        <v>No</v>
      </c>
      <c r="G1826" s="22" t="str">
        <f>VLOOKUP($A1826, 'Medical Examinations'!$A:$I, 6, FALSE)</f>
        <v>No</v>
      </c>
      <c r="H1826" s="22">
        <f>VLOOKUP($A1826,'Medical Examinations'!$A:$L,10, FALSE)</f>
        <v>0</v>
      </c>
      <c r="I1826" s="22" t="str">
        <f>VLOOKUP($A1826, 'Medical Examinations'!$A:$J, 9, FALSE)</f>
        <v>No</v>
      </c>
      <c r="J1826" s="22" t="str">
        <f>VLOOKUP($A1826, 'Medical Examinations'!$A:$P, 11, FALSE)</f>
        <v>OVERWEIGHT</v>
      </c>
      <c r="K1826" s="34">
        <v>35031.0</v>
      </c>
      <c r="L1826" s="35">
        <f>VLOOKUP($A1826, 'Hospitalisation Details'!$A:$H, 7, FALSE)</f>
        <v>4571.41</v>
      </c>
      <c r="M1826" s="22" t="str">
        <f>VLOOKUP($A1826, 'Hospitalisation Details'!$A:$L, 12, FALSE)</f>
        <v>tier - 2</v>
      </c>
      <c r="N1826" s="22" t="str">
        <f>VLOOKUP($A1826, 'Hospitalisation Details'!$A:$M, 13, FALSE)</f>
        <v>tier - 2</v>
      </c>
      <c r="O1826" s="22" t="str">
        <f>VLOOKUP($A1826, 'Hospitalisation Details'!$A:$N, 14, FALSE)</f>
        <v>R1012</v>
      </c>
      <c r="P1826" s="36">
        <f>VLOOKUP($A1826, 'Hospitalisation Details'!$A:$O, 15, FALSE)</f>
        <v>33</v>
      </c>
    </row>
    <row r="1827" ht="15.75" customHeight="1">
      <c r="A1827" s="33" t="s">
        <v>3653</v>
      </c>
      <c r="B1827" s="22" t="str">
        <f>VLOOKUP($A1827,'Customer Names'!$A:$D,3, FALSE)</f>
        <v>Schmaltz</v>
      </c>
      <c r="C1827" s="22">
        <f>VLOOKUP($A1827,'Medical Examinations'!$A:$D, 2, FALSE)</f>
        <v>29.355</v>
      </c>
      <c r="D1827" s="22">
        <f>VLOOKUP($A1827, 'Medical Examinations'!$A:$D,3, FALSE)</f>
        <v>4.68</v>
      </c>
      <c r="E1827" s="22" t="str">
        <f>VLOOKUP($A1827, 'Medical Examinations'!$A:$D, 4, FALSE)</f>
        <v>Yes</v>
      </c>
      <c r="F1827" s="22" t="str">
        <f>VLOOKUP($A1827, 'Medical Examinations'!$A:$J, 5, FALSE)</f>
        <v>No</v>
      </c>
      <c r="G1827" s="22" t="str">
        <f>VLOOKUP($A1827, 'Medical Examinations'!$A:$I, 6, FALSE)</f>
        <v>No</v>
      </c>
      <c r="H1827" s="22">
        <f>VLOOKUP($A1827,'Medical Examinations'!$A:$L,10, FALSE)</f>
        <v>0</v>
      </c>
      <c r="I1827" s="22" t="str">
        <f>VLOOKUP($A1827, 'Medical Examinations'!$A:$J, 9, FALSE)</f>
        <v>No</v>
      </c>
      <c r="J1827" s="22" t="str">
        <f>VLOOKUP($A1827, 'Medical Examinations'!$A:$P, 11, FALSE)</f>
        <v>OVERWEIGHT</v>
      </c>
      <c r="K1827" s="34">
        <v>29178.0</v>
      </c>
      <c r="L1827" s="35">
        <f>VLOOKUP($A1827, 'Hospitalisation Details'!$A:$H, 7, FALSE)</f>
        <v>4564.19</v>
      </c>
      <c r="M1827" s="22" t="str">
        <f>VLOOKUP($A1827, 'Hospitalisation Details'!$A:$L, 12, FALSE)</f>
        <v>tier - 2</v>
      </c>
      <c r="N1827" s="22" t="str">
        <f>VLOOKUP($A1827, 'Hospitalisation Details'!$A:$M, 13, FALSE)</f>
        <v>tier - 2</v>
      </c>
      <c r="O1827" s="22" t="str">
        <f>VLOOKUP($A1827, 'Hospitalisation Details'!$A:$N, 14, FALSE)</f>
        <v>R1024</v>
      </c>
      <c r="P1827" s="36">
        <f>VLOOKUP($A1827, 'Hospitalisation Details'!$A:$O, 15, FALSE)</f>
        <v>26</v>
      </c>
    </row>
    <row r="1828" ht="15.75" customHeight="1">
      <c r="A1828" s="33" t="s">
        <v>3655</v>
      </c>
      <c r="B1828" s="22" t="str">
        <f>VLOOKUP($A1828,'Customer Names'!$A:$D,3, FALSE)</f>
        <v>Eagen</v>
      </c>
      <c r="C1828" s="22">
        <f>VLOOKUP($A1828,'Medical Examinations'!$A:$D, 2, FALSE)</f>
        <v>29.59</v>
      </c>
      <c r="D1828" s="22">
        <f>VLOOKUP($A1828, 'Medical Examinations'!$A:$D,3, FALSE)</f>
        <v>4.06</v>
      </c>
      <c r="E1828" s="22" t="str">
        <f>VLOOKUP($A1828, 'Medical Examinations'!$A:$D, 4, FALSE)</f>
        <v>No</v>
      </c>
      <c r="F1828" s="22" t="str">
        <f>VLOOKUP($A1828, 'Medical Examinations'!$A:$J, 5, FALSE)</f>
        <v>No</v>
      </c>
      <c r="G1828" s="22" t="str">
        <f>VLOOKUP($A1828, 'Medical Examinations'!$A:$I, 6, FALSE)</f>
        <v>No</v>
      </c>
      <c r="H1828" s="22">
        <f>VLOOKUP($A1828,'Medical Examinations'!$A:$L,10, FALSE)</f>
        <v>0</v>
      </c>
      <c r="I1828" s="22" t="str">
        <f>VLOOKUP($A1828, 'Medical Examinations'!$A:$J, 9, FALSE)</f>
        <v>No</v>
      </c>
      <c r="J1828" s="22" t="str">
        <f>VLOOKUP($A1828, 'Medical Examinations'!$A:$P, 11, FALSE)</f>
        <v>OVERWEIGHT</v>
      </c>
      <c r="K1828" s="34">
        <v>33965.0</v>
      </c>
      <c r="L1828" s="35">
        <f>VLOOKUP($A1828, 'Hospitalisation Details'!$A:$H, 7, FALSE)</f>
        <v>4562.84</v>
      </c>
      <c r="M1828" s="22" t="str">
        <f>VLOOKUP($A1828, 'Hospitalisation Details'!$A:$L, 12, FALSE)</f>
        <v>tier - 2</v>
      </c>
      <c r="N1828" s="22" t="str">
        <f>VLOOKUP($A1828, 'Hospitalisation Details'!$A:$M, 13, FALSE)</f>
        <v>tier - 2</v>
      </c>
      <c r="O1828" s="22" t="str">
        <f>VLOOKUP($A1828, 'Hospitalisation Details'!$A:$N, 14, FALSE)</f>
        <v>R1013</v>
      </c>
      <c r="P1828" s="36">
        <f>VLOOKUP($A1828, 'Hospitalisation Details'!$A:$O, 15, FALSE)</f>
        <v>32</v>
      </c>
    </row>
    <row r="1829" ht="15.75" customHeight="1">
      <c r="A1829" s="33" t="s">
        <v>3657</v>
      </c>
      <c r="B1829" s="22" t="str">
        <f>VLOOKUP($A1829,'Customer Names'!$A:$D,3, FALSE)</f>
        <v>Rotramel</v>
      </c>
      <c r="C1829" s="22">
        <f>VLOOKUP($A1829,'Medical Examinations'!$A:$D, 2, FALSE)</f>
        <v>31.35</v>
      </c>
      <c r="D1829" s="22">
        <f>VLOOKUP($A1829, 'Medical Examinations'!$A:$D,3, FALSE)</f>
        <v>4.2</v>
      </c>
      <c r="E1829" s="22" t="str">
        <f>VLOOKUP($A1829, 'Medical Examinations'!$A:$D, 4, FALSE)</f>
        <v>No</v>
      </c>
      <c r="F1829" s="22" t="str">
        <f>VLOOKUP($A1829, 'Medical Examinations'!$A:$J, 5, FALSE)</f>
        <v>Yes</v>
      </c>
      <c r="G1829" s="22" t="str">
        <f>VLOOKUP($A1829, 'Medical Examinations'!$A:$I, 6, FALSE)</f>
        <v>No</v>
      </c>
      <c r="H1829" s="22">
        <f>VLOOKUP($A1829,'Medical Examinations'!$A:$L,10, FALSE)</f>
        <v>1</v>
      </c>
      <c r="I1829" s="22" t="str">
        <f>VLOOKUP($A1829, 'Medical Examinations'!$A:$J, 9, FALSE)</f>
        <v>No</v>
      </c>
      <c r="J1829" s="22" t="str">
        <f>VLOOKUP($A1829, 'Medical Examinations'!$A:$P, 11, FALSE)</f>
        <v>OBESITY</v>
      </c>
      <c r="K1829" s="34">
        <v>24714.0</v>
      </c>
      <c r="L1829" s="35">
        <f>VLOOKUP($A1829, 'Hospitalisation Details'!$A:$H, 7, FALSE)</f>
        <v>4561.19</v>
      </c>
      <c r="M1829" s="22" t="str">
        <f>VLOOKUP($A1829, 'Hospitalisation Details'!$A:$L, 12, FALSE)</f>
        <v>tier - 2</v>
      </c>
      <c r="N1829" s="22" t="str">
        <f>VLOOKUP($A1829, 'Hospitalisation Details'!$A:$M, 13, FALSE)</f>
        <v>tier - 2</v>
      </c>
      <c r="O1829" s="22" t="str">
        <f>VLOOKUP($A1829, 'Hospitalisation Details'!$A:$N, 14, FALSE)</f>
        <v>R1024</v>
      </c>
      <c r="P1829" s="36">
        <f>VLOOKUP($A1829, 'Hospitalisation Details'!$A:$O, 15, FALSE)</f>
        <v>18</v>
      </c>
    </row>
    <row r="1830" ht="15.75" customHeight="1">
      <c r="A1830" s="33" t="s">
        <v>3659</v>
      </c>
      <c r="B1830" s="22" t="str">
        <f>VLOOKUP($A1830,'Customer Names'!$A:$D,3, FALSE)</f>
        <v>Prevost</v>
      </c>
      <c r="C1830" s="22">
        <f>VLOOKUP($A1830,'Medical Examinations'!$A:$D, 2, FALSE)</f>
        <v>20.52</v>
      </c>
      <c r="D1830" s="22">
        <f>VLOOKUP($A1830, 'Medical Examinations'!$A:$D,3, FALSE)</f>
        <v>4.83</v>
      </c>
      <c r="E1830" s="22" t="str">
        <f>VLOOKUP($A1830, 'Medical Examinations'!$A:$D, 4, FALSE)</f>
        <v>No</v>
      </c>
      <c r="F1830" s="22" t="str">
        <f>VLOOKUP($A1830, 'Medical Examinations'!$A:$J, 5, FALSE)</f>
        <v>No</v>
      </c>
      <c r="G1830" s="22" t="str">
        <f>VLOOKUP($A1830, 'Medical Examinations'!$A:$I, 6, FALSE)</f>
        <v>No</v>
      </c>
      <c r="H1830" s="22">
        <f>VLOOKUP($A1830,'Medical Examinations'!$A:$L,10, FALSE)</f>
        <v>0</v>
      </c>
      <c r="I1830" s="22" t="str">
        <f>VLOOKUP($A1830, 'Medical Examinations'!$A:$J, 9, FALSE)</f>
        <v>No</v>
      </c>
      <c r="J1830" s="22" t="str">
        <f>VLOOKUP($A1830, 'Medical Examinations'!$A:$P, 11, FALSE)</f>
        <v>NORMAL WEIGHT</v>
      </c>
      <c r="K1830" s="34">
        <v>25858.0</v>
      </c>
      <c r="L1830" s="35">
        <f>VLOOKUP($A1830, 'Hospitalisation Details'!$A:$H, 7, FALSE)</f>
        <v>4544.23</v>
      </c>
      <c r="M1830" s="22" t="str">
        <f>VLOOKUP($A1830, 'Hospitalisation Details'!$A:$L, 12, FALSE)</f>
        <v>tier - 2</v>
      </c>
      <c r="N1830" s="22" t="str">
        <f>VLOOKUP($A1830, 'Hospitalisation Details'!$A:$M, 13, FALSE)</f>
        <v>tier - 1</v>
      </c>
      <c r="O1830" s="22" t="str">
        <f>VLOOKUP($A1830, 'Hospitalisation Details'!$A:$N, 14, FALSE)</f>
        <v>R1024</v>
      </c>
      <c r="P1830" s="36">
        <f>VLOOKUP($A1830, 'Hospitalisation Details'!$A:$O, 15, FALSE)</f>
        <v>32</v>
      </c>
    </row>
    <row r="1831" ht="15.75" customHeight="1">
      <c r="A1831" s="33" t="s">
        <v>3661</v>
      </c>
      <c r="B1831" s="22" t="str">
        <f>VLOOKUP($A1831,'Customer Names'!$A:$D,3, FALSE)</f>
        <v>Boyd</v>
      </c>
      <c r="C1831" s="22">
        <f>VLOOKUP($A1831,'Medical Examinations'!$A:$D, 2, FALSE)</f>
        <v>42.9</v>
      </c>
      <c r="D1831" s="22">
        <f>VLOOKUP($A1831, 'Medical Examinations'!$A:$D,3, FALSE)</f>
        <v>4.87</v>
      </c>
      <c r="E1831" s="22" t="str">
        <f>VLOOKUP($A1831, 'Medical Examinations'!$A:$D, 4, FALSE)</f>
        <v>Yes</v>
      </c>
      <c r="F1831" s="22" t="str">
        <f>VLOOKUP($A1831, 'Medical Examinations'!$A:$J, 5, FALSE)</f>
        <v>No</v>
      </c>
      <c r="G1831" s="22" t="str">
        <f>VLOOKUP($A1831, 'Medical Examinations'!$A:$I, 6, FALSE)</f>
        <v>No</v>
      </c>
      <c r="H1831" s="22">
        <f>VLOOKUP($A1831,'Medical Examinations'!$A:$L,10, FALSE)</f>
        <v>1</v>
      </c>
      <c r="I1831" s="22" t="str">
        <f>VLOOKUP($A1831, 'Medical Examinations'!$A:$J, 9, FALSE)</f>
        <v>No</v>
      </c>
      <c r="J1831" s="22" t="str">
        <f>VLOOKUP($A1831, 'Medical Examinations'!$A:$P, 11, FALSE)</f>
        <v>OBESITY</v>
      </c>
      <c r="K1831" s="34">
        <v>36061.0</v>
      </c>
      <c r="L1831" s="35">
        <f>VLOOKUP($A1831, 'Hospitalisation Details'!$A:$H, 7, FALSE)</f>
        <v>4536.26</v>
      </c>
      <c r="M1831" s="22" t="str">
        <f>VLOOKUP($A1831, 'Hospitalisation Details'!$A:$L, 12, FALSE)</f>
        <v>tier - 2</v>
      </c>
      <c r="N1831" s="22" t="str">
        <f>VLOOKUP($A1831, 'Hospitalisation Details'!$A:$M, 13, FALSE)</f>
        <v>tier - 2</v>
      </c>
      <c r="O1831" s="22" t="str">
        <f>VLOOKUP($A1831, 'Hospitalisation Details'!$A:$N, 14, FALSE)</f>
        <v>R1011</v>
      </c>
      <c r="P1831" s="36">
        <f>VLOOKUP($A1831, 'Hospitalisation Details'!$A:$O, 15, FALSE)</f>
        <v>34</v>
      </c>
    </row>
    <row r="1832" ht="15.75" customHeight="1">
      <c r="A1832" s="33" t="s">
        <v>3663</v>
      </c>
      <c r="B1832" s="22" t="str">
        <f>VLOOKUP($A1832,'Customer Names'!$A:$D,3, FALSE)</f>
        <v>Dawes</v>
      </c>
      <c r="C1832" s="22">
        <f>VLOOKUP($A1832,'Medical Examinations'!$A:$D, 2, FALSE)</f>
        <v>24.6</v>
      </c>
      <c r="D1832" s="22">
        <f>VLOOKUP($A1832, 'Medical Examinations'!$A:$D,3, FALSE)</f>
        <v>5.86</v>
      </c>
      <c r="E1832" s="22" t="str">
        <f>VLOOKUP($A1832, 'Medical Examinations'!$A:$D, 4, FALSE)</f>
        <v>No</v>
      </c>
      <c r="F1832" s="22" t="str">
        <f>VLOOKUP($A1832, 'Medical Examinations'!$A:$J, 5, FALSE)</f>
        <v>No</v>
      </c>
      <c r="G1832" s="22" t="str">
        <f>VLOOKUP($A1832, 'Medical Examinations'!$A:$I, 6, FALSE)</f>
        <v>Yes</v>
      </c>
      <c r="H1832" s="22">
        <f>VLOOKUP($A1832,'Medical Examinations'!$A:$L,10, FALSE)</f>
        <v>1</v>
      </c>
      <c r="I1832" s="22" t="str">
        <f>VLOOKUP($A1832, 'Medical Examinations'!$A:$J, 9, FALSE)</f>
        <v>No</v>
      </c>
      <c r="J1832" s="22" t="str">
        <f>VLOOKUP($A1832, 'Medical Examinations'!$A:$P, 11, FALSE)</f>
        <v>NORMAL WEIGHT</v>
      </c>
      <c r="K1832" s="34">
        <v>31636.0</v>
      </c>
      <c r="L1832" s="35">
        <f>VLOOKUP($A1832, 'Hospitalisation Details'!$A:$H, 7, FALSE)</f>
        <v>4529.48</v>
      </c>
      <c r="M1832" s="22" t="str">
        <f>VLOOKUP($A1832, 'Hospitalisation Details'!$A:$L, 12, FALSE)</f>
        <v>tier - 2</v>
      </c>
      <c r="N1832" s="22" t="str">
        <f>VLOOKUP($A1832, 'Hospitalisation Details'!$A:$M, 13, FALSE)</f>
        <v>tier - 1</v>
      </c>
      <c r="O1832" s="22" t="str">
        <f>VLOOKUP($A1832, 'Hospitalisation Details'!$A:$N, 14, FALSE)</f>
        <v>R1011</v>
      </c>
      <c r="P1832" s="36">
        <f>VLOOKUP($A1832, 'Hospitalisation Details'!$A:$O, 15, FALSE)</f>
        <v>29</v>
      </c>
    </row>
    <row r="1833" ht="15.75" customHeight="1">
      <c r="A1833" s="33" t="s">
        <v>3665</v>
      </c>
      <c r="B1833" s="22" t="str">
        <f>VLOOKUP($A1833,'Customer Names'!$A:$D,3, FALSE)</f>
        <v>Jennings</v>
      </c>
      <c r="C1833" s="22">
        <f>VLOOKUP($A1833,'Medical Examinations'!$A:$D, 2, FALSE)</f>
        <v>28.405</v>
      </c>
      <c r="D1833" s="22">
        <f>VLOOKUP($A1833, 'Medical Examinations'!$A:$D,3, FALSE)</f>
        <v>4.12</v>
      </c>
      <c r="E1833" s="22" t="str">
        <f>VLOOKUP($A1833, 'Medical Examinations'!$A:$D, 4, FALSE)</f>
        <v>No</v>
      </c>
      <c r="F1833" s="22" t="str">
        <f>VLOOKUP($A1833, 'Medical Examinations'!$A:$J, 5, FALSE)</f>
        <v>No</v>
      </c>
      <c r="G1833" s="22" t="str">
        <f>VLOOKUP($A1833, 'Medical Examinations'!$A:$I, 6, FALSE)</f>
        <v>No</v>
      </c>
      <c r="H1833" s="22">
        <f>VLOOKUP($A1833,'Medical Examinations'!$A:$L,10, FALSE)</f>
        <v>1</v>
      </c>
      <c r="I1833" s="22" t="str">
        <f>VLOOKUP($A1833, 'Medical Examinations'!$A:$J, 9, FALSE)</f>
        <v>No</v>
      </c>
      <c r="J1833" s="22" t="str">
        <f>VLOOKUP($A1833, 'Medical Examinations'!$A:$P, 11, FALSE)</f>
        <v>OVERWEIGHT</v>
      </c>
      <c r="K1833" s="34">
        <v>23646.0</v>
      </c>
      <c r="L1833" s="35">
        <f>VLOOKUP($A1833, 'Hospitalisation Details'!$A:$H, 7, FALSE)</f>
        <v>4527.18</v>
      </c>
      <c r="M1833" s="22" t="str">
        <f>VLOOKUP($A1833, 'Hospitalisation Details'!$A:$L, 12, FALSE)</f>
        <v>tier - 2</v>
      </c>
      <c r="N1833" s="22" t="str">
        <f>VLOOKUP($A1833, 'Hospitalisation Details'!$A:$M, 13, FALSE)</f>
        <v>tier - 2</v>
      </c>
      <c r="O1833" s="22" t="str">
        <f>VLOOKUP($A1833, 'Hospitalisation Details'!$A:$N, 14, FALSE)</f>
        <v>R1012</v>
      </c>
      <c r="P1833" s="36">
        <f>VLOOKUP($A1833, 'Hospitalisation Details'!$A:$O, 15, FALSE)</f>
        <v>30</v>
      </c>
    </row>
    <row r="1834" ht="15.75" customHeight="1">
      <c r="A1834" s="33" t="s">
        <v>3667</v>
      </c>
      <c r="B1834" s="22" t="str">
        <f>VLOOKUP($A1834,'Customer Names'!$A:$D,3, FALSE)</f>
        <v>Nyambaso</v>
      </c>
      <c r="C1834" s="22">
        <f>VLOOKUP($A1834,'Medical Examinations'!$A:$D, 2, FALSE)</f>
        <v>34.675</v>
      </c>
      <c r="D1834" s="22">
        <f>VLOOKUP($A1834, 'Medical Examinations'!$A:$D,3, FALSE)</f>
        <v>5.71</v>
      </c>
      <c r="E1834" s="22" t="str">
        <f>VLOOKUP($A1834, 'Medical Examinations'!$A:$D, 4, FALSE)</f>
        <v>Yes</v>
      </c>
      <c r="F1834" s="22" t="str">
        <f>VLOOKUP($A1834, 'Medical Examinations'!$A:$J, 5, FALSE)</f>
        <v>No</v>
      </c>
      <c r="G1834" s="22" t="str">
        <f>VLOOKUP($A1834, 'Medical Examinations'!$A:$I, 6, FALSE)</f>
        <v>No</v>
      </c>
      <c r="H1834" s="22">
        <f>VLOOKUP($A1834,'Medical Examinations'!$A:$L,10, FALSE)</f>
        <v>1</v>
      </c>
      <c r="I1834" s="22" t="str">
        <f>VLOOKUP($A1834, 'Medical Examinations'!$A:$J, 9, FALSE)</f>
        <v>No</v>
      </c>
      <c r="J1834" s="22" t="str">
        <f>VLOOKUP($A1834, 'Medical Examinations'!$A:$P, 11, FALSE)</f>
        <v>OBESITY</v>
      </c>
      <c r="K1834" s="34">
        <v>36509.0</v>
      </c>
      <c r="L1834" s="35">
        <f>VLOOKUP($A1834, 'Hospitalisation Details'!$A:$H, 7, FALSE)</f>
        <v>4518.83</v>
      </c>
      <c r="M1834" s="22" t="str">
        <f>VLOOKUP($A1834, 'Hospitalisation Details'!$A:$L, 12, FALSE)</f>
        <v>tier - 2</v>
      </c>
      <c r="N1834" s="22" t="str">
        <f>VLOOKUP($A1834, 'Hospitalisation Details'!$A:$M, 13, FALSE)</f>
        <v>tier - 2</v>
      </c>
      <c r="O1834" s="22" t="str">
        <f>VLOOKUP($A1834, 'Hospitalisation Details'!$A:$N, 14, FALSE)</f>
        <v>R1017</v>
      </c>
      <c r="P1834" s="36">
        <f>VLOOKUP($A1834, 'Hospitalisation Details'!$A:$O, 15, FALSE)</f>
        <v>34</v>
      </c>
    </row>
    <row r="1835" ht="15.75" customHeight="1">
      <c r="A1835" s="33" t="s">
        <v>3669</v>
      </c>
      <c r="B1835" s="22" t="str">
        <f>VLOOKUP($A1835,'Customer Names'!$A:$D,3, FALSE)</f>
        <v>Shaffer</v>
      </c>
      <c r="C1835" s="22">
        <f>VLOOKUP($A1835,'Medical Examinations'!$A:$D, 2, FALSE)</f>
        <v>18.85</v>
      </c>
      <c r="D1835" s="22">
        <f>VLOOKUP($A1835, 'Medical Examinations'!$A:$D,3, FALSE)</f>
        <v>6.03</v>
      </c>
      <c r="E1835" s="22" t="str">
        <f>VLOOKUP($A1835, 'Medical Examinations'!$A:$D, 4, FALSE)</f>
        <v>No</v>
      </c>
      <c r="F1835" s="22" t="str">
        <f>VLOOKUP($A1835, 'Medical Examinations'!$A:$J, 5, FALSE)</f>
        <v>No</v>
      </c>
      <c r="G1835" s="22" t="str">
        <f>VLOOKUP($A1835, 'Medical Examinations'!$A:$I, 6, FALSE)</f>
        <v>No</v>
      </c>
      <c r="H1835" s="22">
        <f>VLOOKUP($A1835,'Medical Examinations'!$A:$L,10, FALSE)</f>
        <v>1</v>
      </c>
      <c r="I1835" s="22" t="str">
        <f>VLOOKUP($A1835, 'Medical Examinations'!$A:$J, 9, FALSE)</f>
        <v>No</v>
      </c>
      <c r="J1835" s="22" t="str">
        <f>VLOOKUP($A1835, 'Medical Examinations'!$A:$P, 11, FALSE)</f>
        <v>NORMAL WEIGHT</v>
      </c>
      <c r="K1835" s="34">
        <v>24075.0</v>
      </c>
      <c r="L1835" s="35">
        <f>VLOOKUP($A1835, 'Hospitalisation Details'!$A:$H, 7, FALSE)</f>
        <v>4518.77</v>
      </c>
      <c r="M1835" s="22" t="str">
        <f>VLOOKUP($A1835, 'Hospitalisation Details'!$A:$L, 12, FALSE)</f>
        <v>tier - 2</v>
      </c>
      <c r="N1835" s="22" t="str">
        <f>VLOOKUP($A1835, 'Hospitalisation Details'!$A:$M, 13, FALSE)</f>
        <v>tier - 3</v>
      </c>
      <c r="O1835" s="22" t="str">
        <f>VLOOKUP($A1835, 'Hospitalisation Details'!$A:$N, 14, FALSE)</f>
        <v>R1012</v>
      </c>
      <c r="P1835" s="36">
        <f>VLOOKUP($A1835, 'Hospitalisation Details'!$A:$O, 15, FALSE)</f>
        <v>35</v>
      </c>
    </row>
    <row r="1836" ht="15.75" customHeight="1">
      <c r="A1836" s="33" t="s">
        <v>3671</v>
      </c>
      <c r="B1836" s="22" t="str">
        <f>VLOOKUP($A1836,'Customer Names'!$A:$D,3, FALSE)</f>
        <v>Corkum</v>
      </c>
      <c r="C1836" s="22">
        <f>VLOOKUP($A1836,'Medical Examinations'!$A:$D, 2, FALSE)</f>
        <v>34.13</v>
      </c>
      <c r="D1836" s="22">
        <f>VLOOKUP($A1836, 'Medical Examinations'!$A:$D,3, FALSE)</f>
        <v>5.65</v>
      </c>
      <c r="E1836" s="22" t="str">
        <f>VLOOKUP($A1836, 'Medical Examinations'!$A:$D, 4, FALSE)</f>
        <v>No</v>
      </c>
      <c r="F1836" s="22" t="str">
        <f>VLOOKUP($A1836, 'Medical Examinations'!$A:$J, 5, FALSE)</f>
        <v>No</v>
      </c>
      <c r="G1836" s="22" t="str">
        <f>VLOOKUP($A1836, 'Medical Examinations'!$A:$I, 6, FALSE)</f>
        <v>Yes</v>
      </c>
      <c r="H1836" s="22">
        <f>VLOOKUP($A1836,'Medical Examinations'!$A:$L,10, FALSE)</f>
        <v>1</v>
      </c>
      <c r="I1836" s="22" t="str">
        <f>VLOOKUP($A1836, 'Medical Examinations'!$A:$J, 9, FALSE)</f>
        <v>No</v>
      </c>
      <c r="J1836" s="22" t="str">
        <f>VLOOKUP($A1836, 'Medical Examinations'!$A:$P, 11, FALSE)</f>
        <v>OBESITY</v>
      </c>
      <c r="K1836" s="34">
        <v>34884.0</v>
      </c>
      <c r="L1836" s="35">
        <f>VLOOKUP($A1836, 'Hospitalisation Details'!$A:$H, 7, FALSE)</f>
        <v>4518.4</v>
      </c>
      <c r="M1836" s="22" t="str">
        <f>VLOOKUP($A1836, 'Hospitalisation Details'!$A:$L, 12, FALSE)</f>
        <v>tier - 2</v>
      </c>
      <c r="N1836" s="22" t="str">
        <f>VLOOKUP($A1836, 'Hospitalisation Details'!$A:$M, 13, FALSE)</f>
        <v>tier - 3</v>
      </c>
      <c r="O1836" s="22" t="str">
        <f>VLOOKUP($A1836, 'Hospitalisation Details'!$A:$N, 14, FALSE)</f>
        <v>R1026</v>
      </c>
      <c r="P1836" s="36">
        <f>VLOOKUP($A1836, 'Hospitalisation Details'!$A:$O, 15, FALSE)</f>
        <v>19</v>
      </c>
    </row>
    <row r="1837" ht="15.75" customHeight="1">
      <c r="A1837" s="33" t="s">
        <v>3673</v>
      </c>
      <c r="B1837" s="22" t="str">
        <f>VLOOKUP($A1837,'Customer Names'!$A:$D,3, FALSE)</f>
        <v>Pedersen</v>
      </c>
      <c r="C1837" s="22">
        <f>VLOOKUP($A1837,'Medical Examinations'!$A:$D, 2, FALSE)</f>
        <v>17.34</v>
      </c>
      <c r="D1837" s="22">
        <f>VLOOKUP($A1837, 'Medical Examinations'!$A:$D,3, FALSE)</f>
        <v>5.05</v>
      </c>
      <c r="E1837" s="22" t="str">
        <f>VLOOKUP($A1837, 'Medical Examinations'!$A:$D, 4, FALSE)</f>
        <v>No</v>
      </c>
      <c r="F1837" s="22" t="str">
        <f>VLOOKUP($A1837, 'Medical Examinations'!$A:$J, 5, FALSE)</f>
        <v>No</v>
      </c>
      <c r="G1837" s="22" t="str">
        <f>VLOOKUP($A1837, 'Medical Examinations'!$A:$I, 6, FALSE)</f>
        <v>No</v>
      </c>
      <c r="H1837" s="22">
        <f>VLOOKUP($A1837,'Medical Examinations'!$A:$L,10, FALSE)</f>
        <v>0</v>
      </c>
      <c r="I1837" s="22" t="str">
        <f>VLOOKUP($A1837, 'Medical Examinations'!$A:$J, 9, FALSE)</f>
        <v>No</v>
      </c>
      <c r="J1837" s="22" t="str">
        <f>VLOOKUP($A1837, 'Medical Examinations'!$A:$P, 11, FALSE)</f>
        <v>UNDERWEIGHT</v>
      </c>
      <c r="K1837" s="34">
        <v>33963.0</v>
      </c>
      <c r="L1837" s="35">
        <f>VLOOKUP($A1837, 'Hospitalisation Details'!$A:$H, 7, FALSE)</f>
        <v>4515.71</v>
      </c>
      <c r="M1837" s="22" t="str">
        <f>VLOOKUP($A1837, 'Hospitalisation Details'!$A:$L, 12, FALSE)</f>
        <v>tier - 2</v>
      </c>
      <c r="N1837" s="22" t="str">
        <f>VLOOKUP($A1837, 'Hospitalisation Details'!$A:$M, 13, FALSE)</f>
        <v>tier - 3</v>
      </c>
      <c r="O1837" s="22" t="str">
        <f>VLOOKUP($A1837, 'Hospitalisation Details'!$A:$N, 14, FALSE)</f>
        <v>R1013</v>
      </c>
      <c r="P1837" s="36">
        <f>VLOOKUP($A1837, 'Hospitalisation Details'!$A:$O, 15, FALSE)</f>
        <v>42</v>
      </c>
    </row>
    <row r="1838" ht="15.75" customHeight="1">
      <c r="A1838" s="33" t="s">
        <v>3675</v>
      </c>
      <c r="B1838" s="22" t="str">
        <f>VLOOKUP($A1838,'Customer Names'!$A:$D,3, FALSE)</f>
        <v>Melo</v>
      </c>
      <c r="C1838" s="22">
        <f>VLOOKUP($A1838,'Medical Examinations'!$A:$D, 2, FALSE)</f>
        <v>17.44</v>
      </c>
      <c r="D1838" s="22">
        <f>VLOOKUP($A1838, 'Medical Examinations'!$A:$D,3, FALSE)</f>
        <v>6.26</v>
      </c>
      <c r="E1838" s="22" t="str">
        <f>VLOOKUP($A1838, 'Medical Examinations'!$A:$D, 4, FALSE)</f>
        <v>No</v>
      </c>
      <c r="F1838" s="22" t="str">
        <f>VLOOKUP($A1838, 'Medical Examinations'!$A:$J, 5, FALSE)</f>
        <v>No</v>
      </c>
      <c r="G1838" s="22" t="str">
        <f>VLOOKUP($A1838, 'Medical Examinations'!$A:$I, 6, FALSE)</f>
        <v>No</v>
      </c>
      <c r="H1838" s="22">
        <f>VLOOKUP($A1838,'Medical Examinations'!$A:$L,10, FALSE)</f>
        <v>0</v>
      </c>
      <c r="I1838" s="22" t="str">
        <f>VLOOKUP($A1838, 'Medical Examinations'!$A:$J, 9, FALSE)</f>
        <v>No</v>
      </c>
      <c r="J1838" s="22" t="str">
        <f>VLOOKUP($A1838, 'Medical Examinations'!$A:$P, 11, FALSE)</f>
        <v>UNDERWEIGHT</v>
      </c>
      <c r="K1838" s="34">
        <v>34914.0</v>
      </c>
      <c r="L1838" s="35">
        <f>VLOOKUP($A1838, 'Hospitalisation Details'!$A:$H, 7, FALSE)</f>
        <v>4511.41</v>
      </c>
      <c r="M1838" s="22" t="str">
        <f>VLOOKUP($A1838, 'Hospitalisation Details'!$A:$L, 12, FALSE)</f>
        <v>tier - 2</v>
      </c>
      <c r="N1838" s="22" t="str">
        <f>VLOOKUP($A1838, 'Hospitalisation Details'!$A:$M, 13, FALSE)</f>
        <v>tier - 3</v>
      </c>
      <c r="O1838" s="22" t="str">
        <f>VLOOKUP($A1838, 'Hospitalisation Details'!$A:$N, 14, FALSE)</f>
        <v>R1013</v>
      </c>
      <c r="P1838" s="36">
        <f>VLOOKUP($A1838, 'Hospitalisation Details'!$A:$O, 15, FALSE)</f>
        <v>40</v>
      </c>
    </row>
    <row r="1839" ht="15.75" customHeight="1">
      <c r="A1839" s="33" t="s">
        <v>3677</v>
      </c>
      <c r="B1839" s="22" t="str">
        <f>VLOOKUP($A1839,'Customer Names'!$A:$D,3, FALSE)</f>
        <v>Sakamoto</v>
      </c>
      <c r="C1839" s="22">
        <f>VLOOKUP($A1839,'Medical Examinations'!$A:$D, 2, FALSE)</f>
        <v>33.66</v>
      </c>
      <c r="D1839" s="22">
        <f>VLOOKUP($A1839, 'Medical Examinations'!$A:$D,3, FALSE)</f>
        <v>4.08</v>
      </c>
      <c r="E1839" s="22" t="str">
        <f>VLOOKUP($A1839, 'Medical Examinations'!$A:$D, 4, FALSE)</f>
        <v>Yes</v>
      </c>
      <c r="F1839" s="22" t="str">
        <f>VLOOKUP($A1839, 'Medical Examinations'!$A:$J, 5, FALSE)</f>
        <v>No</v>
      </c>
      <c r="G1839" s="22" t="str">
        <f>VLOOKUP($A1839, 'Medical Examinations'!$A:$I, 6, FALSE)</f>
        <v>Yes</v>
      </c>
      <c r="H1839" s="22">
        <f>VLOOKUP($A1839,'Medical Examinations'!$A:$L,10, FALSE)</f>
        <v>1</v>
      </c>
      <c r="I1839" s="22" t="str">
        <f>VLOOKUP($A1839, 'Medical Examinations'!$A:$J, 9, FALSE)</f>
        <v>No</v>
      </c>
      <c r="J1839" s="22" t="str">
        <f>VLOOKUP($A1839, 'Medical Examinations'!$A:$P, 11, FALSE)</f>
        <v>OBESITY</v>
      </c>
      <c r="K1839" s="34">
        <v>38240.0</v>
      </c>
      <c r="L1839" s="35">
        <f>VLOOKUP($A1839, 'Hospitalisation Details'!$A:$H, 7, FALSE)</f>
        <v>4504.66</v>
      </c>
      <c r="M1839" s="22" t="str">
        <f>VLOOKUP($A1839, 'Hospitalisation Details'!$A:$L, 12, FALSE)</f>
        <v>tier - 1</v>
      </c>
      <c r="N1839" s="22" t="str">
        <f>VLOOKUP($A1839, 'Hospitalisation Details'!$A:$M, 13, FALSE)</f>
        <v>tier - 2</v>
      </c>
      <c r="O1839" s="22" t="str">
        <f>VLOOKUP($A1839, 'Hospitalisation Details'!$A:$N, 14, FALSE)</f>
        <v>R1013</v>
      </c>
      <c r="P1839" s="36">
        <f>VLOOKUP($A1839, 'Hospitalisation Details'!$A:$O, 15, FALSE)</f>
        <v>25</v>
      </c>
    </row>
    <row r="1840" ht="15.75" customHeight="1">
      <c r="A1840" s="33" t="s">
        <v>3679</v>
      </c>
      <c r="B1840" s="22" t="str">
        <f>VLOOKUP($A1840,'Customer Names'!$A:$D,3, FALSE)</f>
        <v>McMahon</v>
      </c>
      <c r="C1840" s="22">
        <f>VLOOKUP($A1840,'Medical Examinations'!$A:$D, 2, FALSE)</f>
        <v>21.375</v>
      </c>
      <c r="D1840" s="22">
        <f>VLOOKUP($A1840, 'Medical Examinations'!$A:$D,3, FALSE)</f>
        <v>6.19</v>
      </c>
      <c r="E1840" s="22" t="str">
        <f>VLOOKUP($A1840, 'Medical Examinations'!$A:$D, 4, FALSE)</f>
        <v>Yes</v>
      </c>
      <c r="F1840" s="22" t="str">
        <f>VLOOKUP($A1840, 'Medical Examinations'!$A:$J, 5, FALSE)</f>
        <v>No</v>
      </c>
      <c r="G1840" s="22" t="str">
        <f>VLOOKUP($A1840, 'Medical Examinations'!$A:$I, 6, FALSE)</f>
        <v>No</v>
      </c>
      <c r="H1840" s="22">
        <f>VLOOKUP($A1840,'Medical Examinations'!$A:$L,10, FALSE)</f>
        <v>1</v>
      </c>
      <c r="I1840" s="22" t="str">
        <f>VLOOKUP($A1840, 'Medical Examinations'!$A:$J, 9, FALSE)</f>
        <v>No</v>
      </c>
      <c r="J1840" s="22" t="str">
        <f>VLOOKUP($A1840, 'Medical Examinations'!$A:$P, 11, FALSE)</f>
        <v>NORMAL WEIGHT</v>
      </c>
      <c r="K1840" s="34">
        <v>35596.0</v>
      </c>
      <c r="L1840" s="35">
        <f>VLOOKUP($A1840, 'Hospitalisation Details'!$A:$H, 7, FALSE)</f>
        <v>4500.34</v>
      </c>
      <c r="M1840" s="22" t="str">
        <f>VLOOKUP($A1840, 'Hospitalisation Details'!$A:$L, 12, FALSE)</f>
        <v>tier - 2</v>
      </c>
      <c r="N1840" s="22" t="str">
        <f>VLOOKUP($A1840, 'Hospitalisation Details'!$A:$M, 13, FALSE)</f>
        <v>tier - 1</v>
      </c>
      <c r="O1840" s="22" t="str">
        <f>VLOOKUP($A1840, 'Hospitalisation Details'!$A:$N, 14, FALSE)</f>
        <v>R1017</v>
      </c>
      <c r="P1840" s="36">
        <f>VLOOKUP($A1840, 'Hospitalisation Details'!$A:$O, 15, FALSE)</f>
        <v>34</v>
      </c>
    </row>
    <row r="1841" ht="15.75" customHeight="1">
      <c r="A1841" s="33" t="s">
        <v>3681</v>
      </c>
      <c r="B1841" s="22" t="str">
        <f>VLOOKUP($A1841,'Customer Names'!$A:$D,3, FALSE)</f>
        <v>Harris</v>
      </c>
      <c r="C1841" s="22">
        <f>VLOOKUP($A1841,'Medical Examinations'!$A:$D, 2, FALSE)</f>
        <v>27.14</v>
      </c>
      <c r="D1841" s="22">
        <f>VLOOKUP($A1841, 'Medical Examinations'!$A:$D,3, FALSE)</f>
        <v>6.01</v>
      </c>
      <c r="E1841" s="22" t="str">
        <f>VLOOKUP($A1841, 'Medical Examinations'!$A:$D, 4, FALSE)</f>
        <v>No</v>
      </c>
      <c r="F1841" s="22" t="str">
        <f>VLOOKUP($A1841, 'Medical Examinations'!$A:$J, 5, FALSE)</f>
        <v>No</v>
      </c>
      <c r="G1841" s="22" t="str">
        <f>VLOOKUP($A1841, 'Medical Examinations'!$A:$I, 6, FALSE)</f>
        <v>No</v>
      </c>
      <c r="H1841" s="22">
        <f>VLOOKUP($A1841,'Medical Examinations'!$A:$L,10, FALSE)</f>
        <v>1</v>
      </c>
      <c r="I1841" s="22" t="str">
        <f>VLOOKUP($A1841, 'Medical Examinations'!$A:$J, 9, FALSE)</f>
        <v>No</v>
      </c>
      <c r="J1841" s="22" t="str">
        <f>VLOOKUP($A1841, 'Medical Examinations'!$A:$P, 11, FALSE)</f>
        <v>OVERWEIGHT</v>
      </c>
      <c r="K1841" s="34">
        <v>23196.0</v>
      </c>
      <c r="L1841" s="35">
        <f>VLOOKUP($A1841, 'Hospitalisation Details'!$A:$H, 7, FALSE)</f>
        <v>4488.58</v>
      </c>
      <c r="M1841" s="22" t="str">
        <f>VLOOKUP($A1841, 'Hospitalisation Details'!$A:$L, 12, FALSE)</f>
        <v>tier - 2</v>
      </c>
      <c r="N1841" s="22" t="str">
        <f>VLOOKUP($A1841, 'Hospitalisation Details'!$A:$M, 13, FALSE)</f>
        <v>tier - 3</v>
      </c>
      <c r="O1841" s="22" t="str">
        <f>VLOOKUP($A1841, 'Hospitalisation Details'!$A:$N, 14, FALSE)</f>
        <v>R1012</v>
      </c>
      <c r="P1841" s="36">
        <f>VLOOKUP($A1841, 'Hospitalisation Details'!$A:$O, 15, FALSE)</f>
        <v>30</v>
      </c>
    </row>
    <row r="1842" ht="15.75" customHeight="1">
      <c r="A1842" s="33" t="s">
        <v>3683</v>
      </c>
      <c r="B1842" s="22" t="str">
        <f>VLOOKUP($A1842,'Customer Names'!$A:$D,3, FALSE)</f>
        <v>Lombardo</v>
      </c>
      <c r="C1842" s="22">
        <f>VLOOKUP($A1842,'Medical Examinations'!$A:$D, 2, FALSE)</f>
        <v>35.78</v>
      </c>
      <c r="D1842" s="22">
        <f>VLOOKUP($A1842, 'Medical Examinations'!$A:$D,3, FALSE)</f>
        <v>6.07</v>
      </c>
      <c r="E1842" s="22" t="str">
        <f>VLOOKUP($A1842, 'Medical Examinations'!$A:$D, 4, FALSE)</f>
        <v>No</v>
      </c>
      <c r="F1842" s="22" t="str">
        <f>VLOOKUP($A1842, 'Medical Examinations'!$A:$J, 5, FALSE)</f>
        <v>Yes</v>
      </c>
      <c r="G1842" s="22" t="str">
        <f>VLOOKUP($A1842, 'Medical Examinations'!$A:$I, 6, FALSE)</f>
        <v>No</v>
      </c>
      <c r="H1842" s="22">
        <f>VLOOKUP($A1842,'Medical Examinations'!$A:$L,10, FALSE)</f>
        <v>1</v>
      </c>
      <c r="I1842" s="22" t="str">
        <f>VLOOKUP($A1842, 'Medical Examinations'!$A:$J, 9, FALSE)</f>
        <v>No</v>
      </c>
      <c r="J1842" s="22" t="str">
        <f>VLOOKUP($A1842, 'Medical Examinations'!$A:$P, 11, FALSE)</f>
        <v>OBESITY</v>
      </c>
      <c r="K1842" s="34">
        <v>34162.0</v>
      </c>
      <c r="L1842" s="35">
        <f>VLOOKUP($A1842, 'Hospitalisation Details'!$A:$H, 7, FALSE)</f>
        <v>4468.25</v>
      </c>
      <c r="M1842" s="22" t="str">
        <f>VLOOKUP($A1842, 'Hospitalisation Details'!$A:$L, 12, FALSE)</f>
        <v>tier - 2</v>
      </c>
      <c r="N1842" s="22" t="str">
        <f>VLOOKUP($A1842, 'Hospitalisation Details'!$A:$M, 13, FALSE)</f>
        <v>tier - 2</v>
      </c>
      <c r="O1842" s="22" t="str">
        <f>VLOOKUP($A1842, 'Hospitalisation Details'!$A:$N, 14, FALSE)</f>
        <v>R1012</v>
      </c>
      <c r="P1842" s="36">
        <f>VLOOKUP($A1842, 'Hospitalisation Details'!$A:$O, 15, FALSE)</f>
        <v>18</v>
      </c>
    </row>
    <row r="1843" ht="15.75" customHeight="1">
      <c r="A1843" s="33" t="s">
        <v>3685</v>
      </c>
      <c r="B1843" s="22" t="str">
        <f>VLOOKUP($A1843,'Customer Names'!$A:$D,3, FALSE)</f>
        <v>Bode</v>
      </c>
      <c r="C1843" s="22">
        <f>VLOOKUP($A1843,'Medical Examinations'!$A:$D, 2, FALSE)</f>
        <v>34.96</v>
      </c>
      <c r="D1843" s="22">
        <f>VLOOKUP($A1843, 'Medical Examinations'!$A:$D,3, FALSE)</f>
        <v>5.63</v>
      </c>
      <c r="E1843" s="22" t="str">
        <f>VLOOKUP($A1843, 'Medical Examinations'!$A:$D, 4, FALSE)</f>
        <v>No</v>
      </c>
      <c r="F1843" s="22" t="str">
        <f>VLOOKUP($A1843, 'Medical Examinations'!$A:$J, 5, FALSE)</f>
        <v>No</v>
      </c>
      <c r="G1843" s="22" t="str">
        <f>VLOOKUP($A1843, 'Medical Examinations'!$A:$I, 6, FALSE)</f>
        <v>No</v>
      </c>
      <c r="H1843" s="22">
        <f>VLOOKUP($A1843,'Medical Examinations'!$A:$L,10, FALSE)</f>
        <v>0</v>
      </c>
      <c r="I1843" s="22" t="str">
        <f>VLOOKUP($A1843, 'Medical Examinations'!$A:$J, 9, FALSE)</f>
        <v>No</v>
      </c>
      <c r="J1843" s="22" t="str">
        <f>VLOOKUP($A1843, 'Medical Examinations'!$A:$P, 11, FALSE)</f>
        <v>OBESITY</v>
      </c>
      <c r="K1843" s="34">
        <v>36457.0</v>
      </c>
      <c r="L1843" s="35">
        <f>VLOOKUP($A1843, 'Hospitalisation Details'!$A:$H, 7, FALSE)</f>
        <v>4466.62</v>
      </c>
      <c r="M1843" s="22" t="str">
        <f>VLOOKUP($A1843, 'Hospitalisation Details'!$A:$L, 12, FALSE)</f>
        <v>tier - 2</v>
      </c>
      <c r="N1843" s="22" t="str">
        <f>VLOOKUP($A1843, 'Hospitalisation Details'!$A:$M, 13, FALSE)</f>
        <v>tier - 2</v>
      </c>
      <c r="O1843" s="22" t="str">
        <f>VLOOKUP($A1843, 'Hospitalisation Details'!$A:$N, 14, FALSE)</f>
        <v>R1012</v>
      </c>
      <c r="P1843" s="36">
        <f>VLOOKUP($A1843, 'Hospitalisation Details'!$A:$O, 15, FALSE)</f>
        <v>23</v>
      </c>
    </row>
    <row r="1844" ht="15.75" customHeight="1">
      <c r="A1844" s="33" t="s">
        <v>3687</v>
      </c>
      <c r="B1844" s="22" t="str">
        <f>VLOOKUP($A1844,'Customer Names'!$A:$D,3, FALSE)</f>
        <v>Johnson</v>
      </c>
      <c r="C1844" s="22">
        <f>VLOOKUP($A1844,'Medical Examinations'!$A:$D, 2, FALSE)</f>
        <v>38.39</v>
      </c>
      <c r="D1844" s="22">
        <f>VLOOKUP($A1844, 'Medical Examinations'!$A:$D,3, FALSE)</f>
        <v>6.05</v>
      </c>
      <c r="E1844" s="22" t="str">
        <f>VLOOKUP($A1844, 'Medical Examinations'!$A:$D, 4, FALSE)</f>
        <v>No</v>
      </c>
      <c r="F1844" s="22" t="str">
        <f>VLOOKUP($A1844, 'Medical Examinations'!$A:$J, 5, FALSE)</f>
        <v>No</v>
      </c>
      <c r="G1844" s="22" t="str">
        <f>VLOOKUP($A1844, 'Medical Examinations'!$A:$I, 6, FALSE)</f>
        <v>No</v>
      </c>
      <c r="H1844" s="22">
        <f>VLOOKUP($A1844,'Medical Examinations'!$A:$L,10, FALSE)</f>
        <v>0</v>
      </c>
      <c r="I1844" s="22" t="str">
        <f>VLOOKUP($A1844, 'Medical Examinations'!$A:$J, 9, FALSE)</f>
        <v>No</v>
      </c>
      <c r="J1844" s="22" t="str">
        <f>VLOOKUP($A1844, 'Medical Examinations'!$A:$P, 11, FALSE)</f>
        <v>OBESITY</v>
      </c>
      <c r="K1844" s="34">
        <v>24032.0</v>
      </c>
      <c r="L1844" s="35">
        <f>VLOOKUP($A1844, 'Hospitalisation Details'!$A:$H, 7, FALSE)</f>
        <v>4463.21</v>
      </c>
      <c r="M1844" s="22" t="str">
        <f>VLOOKUP($A1844, 'Hospitalisation Details'!$A:$L, 12, FALSE)</f>
        <v>tier - 3</v>
      </c>
      <c r="N1844" s="22" t="str">
        <f>VLOOKUP($A1844, 'Hospitalisation Details'!$A:$M, 13, FALSE)</f>
        <v>tier - 3</v>
      </c>
      <c r="O1844" s="22" t="str">
        <f>VLOOKUP($A1844, 'Hospitalisation Details'!$A:$N, 14, FALSE)</f>
        <v>R1013</v>
      </c>
      <c r="P1844" s="36">
        <f>VLOOKUP($A1844, 'Hospitalisation Details'!$A:$O, 15, FALSE)</f>
        <v>31</v>
      </c>
    </row>
    <row r="1845" ht="15.75" customHeight="1">
      <c r="A1845" s="33" t="s">
        <v>3689</v>
      </c>
      <c r="B1845" s="22" t="str">
        <f>VLOOKUP($A1845,'Customer Names'!$A:$D,3, FALSE)</f>
        <v>Norcross</v>
      </c>
      <c r="C1845" s="22">
        <f>VLOOKUP($A1845,'Medical Examinations'!$A:$D, 2, FALSE)</f>
        <v>33.82</v>
      </c>
      <c r="D1845" s="22">
        <f>VLOOKUP($A1845, 'Medical Examinations'!$A:$D,3, FALSE)</f>
        <v>4.65</v>
      </c>
      <c r="E1845" s="22" t="str">
        <f>VLOOKUP($A1845, 'Medical Examinations'!$A:$D, 4, FALSE)</f>
        <v>No</v>
      </c>
      <c r="F1845" s="22" t="str">
        <f>VLOOKUP($A1845, 'Medical Examinations'!$A:$J, 5, FALSE)</f>
        <v>No</v>
      </c>
      <c r="G1845" s="22" t="str">
        <f>VLOOKUP($A1845, 'Medical Examinations'!$A:$I, 6, FALSE)</f>
        <v>No</v>
      </c>
      <c r="H1845" s="22">
        <f>VLOOKUP($A1845,'Medical Examinations'!$A:$L,10, FALSE)</f>
        <v>0</v>
      </c>
      <c r="I1845" s="22" t="str">
        <f>VLOOKUP($A1845, 'Medical Examinations'!$A:$J, 9, FALSE)</f>
        <v>No</v>
      </c>
      <c r="J1845" s="22" t="str">
        <f>VLOOKUP($A1845, 'Medical Examinations'!$A:$P, 11, FALSE)</f>
        <v>OBESITY</v>
      </c>
      <c r="K1845" s="34">
        <v>27572.0</v>
      </c>
      <c r="L1845" s="35">
        <f>VLOOKUP($A1845, 'Hospitalisation Details'!$A:$H, 7, FALSE)</f>
        <v>4462.72</v>
      </c>
      <c r="M1845" s="22" t="str">
        <f>VLOOKUP($A1845, 'Hospitalisation Details'!$A:$L, 12, FALSE)</f>
        <v>tier - 2</v>
      </c>
      <c r="N1845" s="22" t="str">
        <f>VLOOKUP($A1845, 'Hospitalisation Details'!$A:$M, 13, FALSE)</f>
        <v>tier - 3</v>
      </c>
      <c r="O1845" s="22" t="str">
        <f>VLOOKUP($A1845, 'Hospitalisation Details'!$A:$N, 14, FALSE)</f>
        <v>R1012</v>
      </c>
      <c r="P1845" s="36">
        <f>VLOOKUP($A1845, 'Hospitalisation Details'!$A:$O, 15, FALSE)</f>
        <v>32</v>
      </c>
    </row>
    <row r="1846" ht="15.75" customHeight="1">
      <c r="A1846" s="33" t="s">
        <v>3691</v>
      </c>
      <c r="B1846" s="22" t="str">
        <f>VLOOKUP($A1846,'Customer Names'!$A:$D,3, FALSE)</f>
        <v>Lazrus</v>
      </c>
      <c r="C1846" s="22">
        <f>VLOOKUP($A1846,'Medical Examinations'!$A:$D, 2, FALSE)</f>
        <v>27.835</v>
      </c>
      <c r="D1846" s="22">
        <f>VLOOKUP($A1846, 'Medical Examinations'!$A:$D,3, FALSE)</f>
        <v>5.37</v>
      </c>
      <c r="E1846" s="22" t="str">
        <f>VLOOKUP($A1846, 'Medical Examinations'!$A:$D, 4, FALSE)</f>
        <v>No</v>
      </c>
      <c r="F1846" s="22" t="str">
        <f>VLOOKUP($A1846, 'Medical Examinations'!$A:$J, 5, FALSE)</f>
        <v>No</v>
      </c>
      <c r="G1846" s="22" t="str">
        <f>VLOOKUP($A1846, 'Medical Examinations'!$A:$I, 6, FALSE)</f>
        <v>No</v>
      </c>
      <c r="H1846" s="22">
        <f>VLOOKUP($A1846,'Medical Examinations'!$A:$L,10, FALSE)</f>
        <v>0</v>
      </c>
      <c r="I1846" s="22" t="str">
        <f>VLOOKUP($A1846, 'Medical Examinations'!$A:$J, 9, FALSE)</f>
        <v>No</v>
      </c>
      <c r="J1846" s="22" t="str">
        <f>VLOOKUP($A1846, 'Medical Examinations'!$A:$P, 11, FALSE)</f>
        <v>OVERWEIGHT</v>
      </c>
      <c r="K1846" s="34">
        <v>28798.0</v>
      </c>
      <c r="L1846" s="35">
        <f>VLOOKUP($A1846, 'Hospitalisation Details'!$A:$H, 7, FALSE)</f>
        <v>4454.4</v>
      </c>
      <c r="M1846" s="22" t="str">
        <f>VLOOKUP($A1846, 'Hospitalisation Details'!$A:$L, 12, FALSE)</f>
        <v>tier - 2</v>
      </c>
      <c r="N1846" s="22" t="str">
        <f>VLOOKUP($A1846, 'Hospitalisation Details'!$A:$M, 13, FALSE)</f>
        <v>tier - 3</v>
      </c>
      <c r="O1846" s="22" t="str">
        <f>VLOOKUP($A1846, 'Hospitalisation Details'!$A:$N, 14, FALSE)</f>
        <v>R1012</v>
      </c>
      <c r="P1846" s="36">
        <f>VLOOKUP($A1846, 'Hospitalisation Details'!$A:$O, 15, FALSE)</f>
        <v>32</v>
      </c>
    </row>
    <row r="1847" ht="15.75" customHeight="1">
      <c r="A1847" s="33" t="s">
        <v>3693</v>
      </c>
      <c r="B1847" s="22" t="str">
        <f>VLOOKUP($A1847,'Customer Names'!$A:$D,3, FALSE)</f>
        <v>Tsegay</v>
      </c>
      <c r="C1847" s="22">
        <f>VLOOKUP($A1847,'Medical Examinations'!$A:$D, 2, FALSE)</f>
        <v>33</v>
      </c>
      <c r="D1847" s="22">
        <f>VLOOKUP($A1847, 'Medical Examinations'!$A:$D,3, FALSE)</f>
        <v>5.39</v>
      </c>
      <c r="E1847" s="22" t="str">
        <f>VLOOKUP($A1847, 'Medical Examinations'!$A:$D, 4, FALSE)</f>
        <v>No</v>
      </c>
      <c r="F1847" s="22" t="str">
        <f>VLOOKUP($A1847, 'Medical Examinations'!$A:$J, 5, FALSE)</f>
        <v>No</v>
      </c>
      <c r="G1847" s="22" t="str">
        <f>VLOOKUP($A1847, 'Medical Examinations'!$A:$I, 6, FALSE)</f>
        <v>No</v>
      </c>
      <c r="H1847" s="22">
        <f>VLOOKUP($A1847,'Medical Examinations'!$A:$L,10, FALSE)</f>
        <v>0</v>
      </c>
      <c r="I1847" s="22" t="str">
        <f>VLOOKUP($A1847, 'Medical Examinations'!$A:$J, 9, FALSE)</f>
        <v>No</v>
      </c>
      <c r="J1847" s="22" t="str">
        <f>VLOOKUP($A1847, 'Medical Examinations'!$A:$P, 11, FALSE)</f>
        <v>OBESITY</v>
      </c>
      <c r="K1847" s="34">
        <v>37162.0</v>
      </c>
      <c r="L1847" s="35">
        <f>VLOOKUP($A1847, 'Hospitalisation Details'!$A:$H, 7, FALSE)</f>
        <v>4449.46</v>
      </c>
      <c r="M1847" s="22" t="str">
        <f>VLOOKUP($A1847, 'Hospitalisation Details'!$A:$L, 12, FALSE)</f>
        <v>tier - 1</v>
      </c>
      <c r="N1847" s="22" t="str">
        <f>VLOOKUP($A1847, 'Hospitalisation Details'!$A:$M, 13, FALSE)</f>
        <v>tier - 2</v>
      </c>
      <c r="O1847" s="22" t="str">
        <f>VLOOKUP($A1847, 'Hospitalisation Details'!$A:$N, 14, FALSE)</f>
        <v>R1013</v>
      </c>
      <c r="P1847" s="36">
        <f>VLOOKUP($A1847, 'Hospitalisation Details'!$A:$O, 15, FALSE)</f>
        <v>28</v>
      </c>
    </row>
    <row r="1848" ht="15.75" customHeight="1">
      <c r="A1848" s="33" t="s">
        <v>3695</v>
      </c>
      <c r="B1848" s="22" t="str">
        <f>VLOOKUP($A1848,'Customer Names'!$A:$D,3, FALSE)</f>
        <v>Schneider</v>
      </c>
      <c r="C1848" s="22">
        <f>VLOOKUP($A1848,'Medical Examinations'!$A:$D, 2, FALSE)</f>
        <v>26.885</v>
      </c>
      <c r="D1848" s="22">
        <f>VLOOKUP($A1848, 'Medical Examinations'!$A:$D,3, FALSE)</f>
        <v>5.86</v>
      </c>
      <c r="E1848" s="22" t="str">
        <f>VLOOKUP($A1848, 'Medical Examinations'!$A:$D, 4, FALSE)</f>
        <v>No</v>
      </c>
      <c r="F1848" s="22" t="str">
        <f>VLOOKUP($A1848, 'Medical Examinations'!$A:$J, 5, FALSE)</f>
        <v>No</v>
      </c>
      <c r="G1848" s="22" t="str">
        <f>VLOOKUP($A1848, 'Medical Examinations'!$A:$I, 6, FALSE)</f>
        <v>No</v>
      </c>
      <c r="H1848" s="22">
        <f>VLOOKUP($A1848,'Medical Examinations'!$A:$L,10, FALSE)</f>
        <v>0</v>
      </c>
      <c r="I1848" s="22" t="str">
        <f>VLOOKUP($A1848, 'Medical Examinations'!$A:$J, 9, FALSE)</f>
        <v>No</v>
      </c>
      <c r="J1848" s="22" t="str">
        <f>VLOOKUP($A1848, 'Medical Examinations'!$A:$P, 11, FALSE)</f>
        <v>OVERWEIGHT</v>
      </c>
      <c r="K1848" s="34">
        <v>28415.0</v>
      </c>
      <c r="L1848" s="35">
        <f>VLOOKUP($A1848, 'Hospitalisation Details'!$A:$H, 7, FALSE)</f>
        <v>4441.21</v>
      </c>
      <c r="M1848" s="22" t="str">
        <f>VLOOKUP($A1848, 'Hospitalisation Details'!$A:$L, 12, FALSE)</f>
        <v>tier - 1</v>
      </c>
      <c r="N1848" s="22" t="str">
        <f>VLOOKUP($A1848, 'Hospitalisation Details'!$A:$M, 13, FALSE)</f>
        <v>tier - 2</v>
      </c>
      <c r="O1848" s="22" t="str">
        <f>VLOOKUP($A1848, 'Hospitalisation Details'!$A:$N, 14, FALSE)</f>
        <v>R1014</v>
      </c>
      <c r="P1848" s="36">
        <f>VLOOKUP($A1848, 'Hospitalisation Details'!$A:$O, 15, FALSE)</f>
        <v>31</v>
      </c>
    </row>
    <row r="1849" ht="15.75" customHeight="1">
      <c r="A1849" s="33" t="s">
        <v>3697</v>
      </c>
      <c r="B1849" s="22" t="str">
        <f>VLOOKUP($A1849,'Customer Names'!$A:$D,3, FALSE)</f>
        <v>Loreto</v>
      </c>
      <c r="C1849" s="22">
        <f>VLOOKUP($A1849,'Medical Examinations'!$A:$D, 2, FALSE)</f>
        <v>29.26</v>
      </c>
      <c r="D1849" s="22">
        <f>VLOOKUP($A1849, 'Medical Examinations'!$A:$D,3, FALSE)</f>
        <v>4.44</v>
      </c>
      <c r="E1849" s="22" t="str">
        <f>VLOOKUP($A1849, 'Medical Examinations'!$A:$D, 4, FALSE)</f>
        <v>No</v>
      </c>
      <c r="F1849" s="22" t="str">
        <f>VLOOKUP($A1849, 'Medical Examinations'!$A:$J, 5, FALSE)</f>
        <v>No</v>
      </c>
      <c r="G1849" s="22" t="str">
        <f>VLOOKUP($A1849, 'Medical Examinations'!$A:$I, 6, FALSE)</f>
        <v>No</v>
      </c>
      <c r="H1849" s="22">
        <f>VLOOKUP($A1849,'Medical Examinations'!$A:$L,10, FALSE)</f>
        <v>0</v>
      </c>
      <c r="I1849" s="22" t="str">
        <f>VLOOKUP($A1849, 'Medical Examinations'!$A:$J, 9, FALSE)</f>
        <v>No</v>
      </c>
      <c r="J1849" s="22" t="str">
        <f>VLOOKUP($A1849, 'Medical Examinations'!$A:$P, 11, FALSE)</f>
        <v>OVERWEIGHT</v>
      </c>
      <c r="K1849" s="34">
        <v>32846.0</v>
      </c>
      <c r="L1849" s="35">
        <f>VLOOKUP($A1849, 'Hospitalisation Details'!$A:$H, 7, FALSE)</f>
        <v>4438.26</v>
      </c>
      <c r="M1849" s="22" t="str">
        <f>VLOOKUP($A1849, 'Hospitalisation Details'!$A:$L, 12, FALSE)</f>
        <v>tier - 2</v>
      </c>
      <c r="N1849" s="22" t="str">
        <f>VLOOKUP($A1849, 'Hospitalisation Details'!$A:$M, 13, FALSE)</f>
        <v>tier - 3</v>
      </c>
      <c r="O1849" s="22" t="str">
        <f>VLOOKUP($A1849, 'Hospitalisation Details'!$A:$N, 14, FALSE)</f>
        <v>R1017</v>
      </c>
      <c r="P1849" s="36">
        <f>VLOOKUP($A1849, 'Hospitalisation Details'!$A:$O, 15, FALSE)</f>
        <v>28</v>
      </c>
    </row>
    <row r="1850" ht="15.75" customHeight="1">
      <c r="A1850" s="33" t="s">
        <v>3699</v>
      </c>
      <c r="B1850" s="22" t="str">
        <f>VLOOKUP($A1850,'Customer Names'!$A:$D,3, FALSE)</f>
        <v>Callahan</v>
      </c>
      <c r="C1850" s="22">
        <f>VLOOKUP($A1850,'Medical Examinations'!$A:$D, 2, FALSE)</f>
        <v>26.98</v>
      </c>
      <c r="D1850" s="22">
        <f>VLOOKUP($A1850, 'Medical Examinations'!$A:$D,3, FALSE)</f>
        <v>4.41</v>
      </c>
      <c r="E1850" s="22" t="str">
        <f>VLOOKUP($A1850, 'Medical Examinations'!$A:$D, 4, FALSE)</f>
        <v>No</v>
      </c>
      <c r="F1850" s="22" t="str">
        <f>VLOOKUP($A1850, 'Medical Examinations'!$A:$J, 5, FALSE)</f>
        <v>No</v>
      </c>
      <c r="G1850" s="22" t="str">
        <f>VLOOKUP($A1850, 'Medical Examinations'!$A:$I, 6, FALSE)</f>
        <v>No</v>
      </c>
      <c r="H1850" s="22">
        <f>VLOOKUP($A1850,'Medical Examinations'!$A:$L,10, FALSE)</f>
        <v>0</v>
      </c>
      <c r="I1850" s="22" t="str">
        <f>VLOOKUP($A1850, 'Medical Examinations'!$A:$J, 9, FALSE)</f>
        <v>No</v>
      </c>
      <c r="J1850" s="22" t="str">
        <f>VLOOKUP($A1850, 'Medical Examinations'!$A:$P, 11, FALSE)</f>
        <v>OVERWEIGHT</v>
      </c>
      <c r="K1850" s="34">
        <v>29171.0</v>
      </c>
      <c r="L1850" s="35">
        <f>VLOOKUP($A1850, 'Hospitalisation Details'!$A:$H, 7, FALSE)</f>
        <v>4435.09</v>
      </c>
      <c r="M1850" s="22" t="str">
        <f>VLOOKUP($A1850, 'Hospitalisation Details'!$A:$L, 12, FALSE)</f>
        <v>tier - 3</v>
      </c>
      <c r="N1850" s="22" t="str">
        <f>VLOOKUP($A1850, 'Hospitalisation Details'!$A:$M, 13, FALSE)</f>
        <v>tier - 2</v>
      </c>
      <c r="O1850" s="22" t="str">
        <f>VLOOKUP($A1850, 'Hospitalisation Details'!$A:$N, 14, FALSE)</f>
        <v>R1016</v>
      </c>
      <c r="P1850" s="36">
        <f>VLOOKUP($A1850, 'Hospitalisation Details'!$A:$O, 15, FALSE)</f>
        <v>28</v>
      </c>
    </row>
    <row r="1851" ht="15.75" customHeight="1">
      <c r="A1851" s="33" t="s">
        <v>3701</v>
      </c>
      <c r="B1851" s="22" t="str">
        <f>VLOOKUP($A1851,'Customer Names'!$A:$D,3, FALSE)</f>
        <v>Timko</v>
      </c>
      <c r="C1851" s="22">
        <f>VLOOKUP($A1851,'Medical Examinations'!$A:$D, 2, FALSE)</f>
        <v>32.11</v>
      </c>
      <c r="D1851" s="22">
        <f>VLOOKUP($A1851, 'Medical Examinations'!$A:$D,3, FALSE)</f>
        <v>5.19</v>
      </c>
      <c r="E1851" s="22" t="str">
        <f>VLOOKUP($A1851, 'Medical Examinations'!$A:$D, 4, FALSE)</f>
        <v>No</v>
      </c>
      <c r="F1851" s="22" t="str">
        <f>VLOOKUP($A1851, 'Medical Examinations'!$A:$J, 5, FALSE)</f>
        <v>No</v>
      </c>
      <c r="G1851" s="22" t="str">
        <f>VLOOKUP($A1851, 'Medical Examinations'!$A:$I, 6, FALSE)</f>
        <v>Yes</v>
      </c>
      <c r="H1851" s="22">
        <f>VLOOKUP($A1851,'Medical Examinations'!$A:$L,10, FALSE)</f>
        <v>1</v>
      </c>
      <c r="I1851" s="22" t="str">
        <f>VLOOKUP($A1851, 'Medical Examinations'!$A:$J, 9, FALSE)</f>
        <v>No</v>
      </c>
      <c r="J1851" s="22" t="str">
        <f>VLOOKUP($A1851, 'Medical Examinations'!$A:$P, 11, FALSE)</f>
        <v>OBESITY</v>
      </c>
      <c r="K1851" s="34">
        <v>35668.0</v>
      </c>
      <c r="L1851" s="35">
        <f>VLOOKUP($A1851, 'Hospitalisation Details'!$A:$H, 7, FALSE)</f>
        <v>4433.92</v>
      </c>
      <c r="M1851" s="22" t="str">
        <f>VLOOKUP($A1851, 'Hospitalisation Details'!$A:$L, 12, FALSE)</f>
        <v>tier - 2</v>
      </c>
      <c r="N1851" s="22" t="str">
        <f>VLOOKUP($A1851, 'Hospitalisation Details'!$A:$M, 13, FALSE)</f>
        <v>tier - 2</v>
      </c>
      <c r="O1851" s="22" t="str">
        <f>VLOOKUP($A1851, 'Hospitalisation Details'!$A:$N, 14, FALSE)</f>
        <v>R1012</v>
      </c>
      <c r="P1851" s="36">
        <f>VLOOKUP($A1851, 'Hospitalisation Details'!$A:$O, 15, FALSE)</f>
        <v>29</v>
      </c>
    </row>
    <row r="1852" ht="15.75" customHeight="1">
      <c r="A1852" s="33" t="s">
        <v>3703</v>
      </c>
      <c r="B1852" s="22" t="str">
        <f>VLOOKUP($A1852,'Customer Names'!$A:$D,3, FALSE)</f>
        <v>Achatz</v>
      </c>
      <c r="C1852" s="22">
        <f>VLOOKUP($A1852,'Medical Examinations'!$A:$D, 2, FALSE)</f>
        <v>31.73</v>
      </c>
      <c r="D1852" s="22">
        <f>VLOOKUP($A1852, 'Medical Examinations'!$A:$D,3, FALSE)</f>
        <v>5.16</v>
      </c>
      <c r="E1852" s="22" t="str">
        <f>VLOOKUP($A1852, 'Medical Examinations'!$A:$D, 4, FALSE)</f>
        <v>No</v>
      </c>
      <c r="F1852" s="22" t="str">
        <f>VLOOKUP($A1852, 'Medical Examinations'!$A:$J, 5, FALSE)</f>
        <v>No</v>
      </c>
      <c r="G1852" s="22" t="str">
        <f>VLOOKUP($A1852, 'Medical Examinations'!$A:$I, 6, FALSE)</f>
        <v>Yes</v>
      </c>
      <c r="H1852" s="22">
        <f>VLOOKUP($A1852,'Medical Examinations'!$A:$L,10, FALSE)</f>
        <v>1</v>
      </c>
      <c r="I1852" s="22" t="str">
        <f>VLOOKUP($A1852, 'Medical Examinations'!$A:$J, 9, FALSE)</f>
        <v>No</v>
      </c>
      <c r="J1852" s="22" t="str">
        <f>VLOOKUP($A1852, 'Medical Examinations'!$A:$P, 11, FALSE)</f>
        <v>OBESITY</v>
      </c>
      <c r="K1852" s="34">
        <v>28106.0</v>
      </c>
      <c r="L1852" s="35">
        <f>VLOOKUP($A1852, 'Hospitalisation Details'!$A:$H, 7, FALSE)</f>
        <v>4433.39</v>
      </c>
      <c r="M1852" s="22" t="str">
        <f>VLOOKUP($A1852, 'Hospitalisation Details'!$A:$L, 12, FALSE)</f>
        <v>tier - 2</v>
      </c>
      <c r="N1852" s="22" t="str">
        <f>VLOOKUP($A1852, 'Hospitalisation Details'!$A:$M, 13, FALSE)</f>
        <v>tier - 3</v>
      </c>
      <c r="O1852" s="22" t="str">
        <f>VLOOKUP($A1852, 'Hospitalisation Details'!$A:$N, 14, FALSE)</f>
        <v>R1012</v>
      </c>
      <c r="P1852" s="36">
        <f>VLOOKUP($A1852, 'Hospitalisation Details'!$A:$O, 15, FALSE)</f>
        <v>29</v>
      </c>
    </row>
    <row r="1853" ht="15.75" customHeight="1">
      <c r="A1853" s="33" t="s">
        <v>3705</v>
      </c>
      <c r="B1853" s="22" t="str">
        <f>VLOOKUP($A1853,'Customer Names'!$A:$D,3, FALSE)</f>
        <v>Horwitz</v>
      </c>
      <c r="C1853" s="22">
        <f>VLOOKUP($A1853,'Medical Examinations'!$A:$D, 2, FALSE)</f>
        <v>22.515</v>
      </c>
      <c r="D1853" s="22">
        <f>VLOOKUP($A1853, 'Medical Examinations'!$A:$D,3, FALSE)</f>
        <v>4.24</v>
      </c>
      <c r="E1853" s="22" t="str">
        <f>VLOOKUP($A1853, 'Medical Examinations'!$A:$D, 4, FALSE)</f>
        <v>No</v>
      </c>
      <c r="F1853" s="22" t="str">
        <f>VLOOKUP($A1853, 'Medical Examinations'!$A:$J, 5, FALSE)</f>
        <v>No</v>
      </c>
      <c r="G1853" s="22" t="str">
        <f>VLOOKUP($A1853, 'Medical Examinations'!$A:$I, 6, FALSE)</f>
        <v>No</v>
      </c>
      <c r="H1853" s="22">
        <f>VLOOKUP($A1853,'Medical Examinations'!$A:$L,10, FALSE)</f>
        <v>0</v>
      </c>
      <c r="I1853" s="22" t="str">
        <f>VLOOKUP($A1853, 'Medical Examinations'!$A:$J, 9, FALSE)</f>
        <v>No</v>
      </c>
      <c r="J1853" s="22" t="str">
        <f>VLOOKUP($A1853, 'Medical Examinations'!$A:$P, 11, FALSE)</f>
        <v>NORMAL WEIGHT</v>
      </c>
      <c r="K1853" s="34">
        <v>23353.0</v>
      </c>
      <c r="L1853" s="35">
        <f>VLOOKUP($A1853, 'Hospitalisation Details'!$A:$H, 7, FALSE)</f>
        <v>4428.89</v>
      </c>
      <c r="M1853" s="22" t="str">
        <f>VLOOKUP($A1853, 'Hospitalisation Details'!$A:$L, 12, FALSE)</f>
        <v>tier - 3</v>
      </c>
      <c r="N1853" s="22" t="str">
        <f>VLOOKUP($A1853, 'Hospitalisation Details'!$A:$M, 13, FALSE)</f>
        <v>tier - 1</v>
      </c>
      <c r="O1853" s="22" t="str">
        <f>VLOOKUP($A1853, 'Hospitalisation Details'!$A:$N, 14, FALSE)</f>
        <v>R1017</v>
      </c>
      <c r="P1853" s="36">
        <f>VLOOKUP($A1853, 'Hospitalisation Details'!$A:$O, 15, FALSE)</f>
        <v>28</v>
      </c>
    </row>
    <row r="1854" ht="15.75" customHeight="1">
      <c r="A1854" s="33" t="s">
        <v>3707</v>
      </c>
      <c r="B1854" s="22" t="str">
        <f>VLOOKUP($A1854,'Customer Names'!$A:$D,3, FALSE)</f>
        <v>Gordyan</v>
      </c>
      <c r="C1854" s="22">
        <f>VLOOKUP($A1854,'Medical Examinations'!$A:$D, 2, FALSE)</f>
        <v>25.9</v>
      </c>
      <c r="D1854" s="22">
        <f>VLOOKUP($A1854, 'Medical Examinations'!$A:$D,3, FALSE)</f>
        <v>5.45</v>
      </c>
      <c r="E1854" s="22" t="str">
        <f>VLOOKUP($A1854, 'Medical Examinations'!$A:$D, 4, FALSE)</f>
        <v>No</v>
      </c>
      <c r="F1854" s="22" t="str">
        <f>VLOOKUP($A1854, 'Medical Examinations'!$A:$J, 5, FALSE)</f>
        <v>No</v>
      </c>
      <c r="G1854" s="22" t="str">
        <f>VLOOKUP($A1854, 'Medical Examinations'!$A:$I, 6, FALSE)</f>
        <v>No</v>
      </c>
      <c r="H1854" s="22">
        <f>VLOOKUP($A1854,'Medical Examinations'!$A:$L,10, FALSE)</f>
        <v>1</v>
      </c>
      <c r="I1854" s="22" t="str">
        <f>VLOOKUP($A1854, 'Medical Examinations'!$A:$J, 9, FALSE)</f>
        <v>No</v>
      </c>
      <c r="J1854" s="22" t="str">
        <f>VLOOKUP($A1854, 'Medical Examinations'!$A:$P, 11, FALSE)</f>
        <v>OVERWEIGHT</v>
      </c>
      <c r="K1854" s="34">
        <v>29138.0</v>
      </c>
      <c r="L1854" s="35">
        <f>VLOOKUP($A1854, 'Hospitalisation Details'!$A:$H, 7, FALSE)</f>
        <v>4420.95</v>
      </c>
      <c r="M1854" s="22" t="str">
        <f>VLOOKUP($A1854, 'Hospitalisation Details'!$A:$L, 12, FALSE)</f>
        <v>tier - 2</v>
      </c>
      <c r="N1854" s="22" t="str">
        <f>VLOOKUP($A1854, 'Hospitalisation Details'!$A:$M, 13, FALSE)</f>
        <v>tier - 3</v>
      </c>
      <c r="O1854" s="22" t="str">
        <f>VLOOKUP($A1854, 'Hospitalisation Details'!$A:$N, 14, FALSE)</f>
        <v>R1020</v>
      </c>
      <c r="P1854" s="36">
        <f>VLOOKUP($A1854, 'Hospitalisation Details'!$A:$O, 15, FALSE)</f>
        <v>30</v>
      </c>
    </row>
    <row r="1855" ht="15.75" customHeight="1">
      <c r="A1855" s="33" t="s">
        <v>3709</v>
      </c>
      <c r="B1855" s="22" t="str">
        <f>VLOOKUP($A1855,'Customer Names'!$A:$D,3, FALSE)</f>
        <v>Hetherington</v>
      </c>
      <c r="C1855" s="22">
        <f>VLOOKUP($A1855,'Medical Examinations'!$A:$D, 2, FALSE)</f>
        <v>27.72</v>
      </c>
      <c r="D1855" s="22">
        <f>VLOOKUP($A1855, 'Medical Examinations'!$A:$D,3, FALSE)</f>
        <v>5.03</v>
      </c>
      <c r="E1855" s="22" t="str">
        <f>VLOOKUP($A1855, 'Medical Examinations'!$A:$D, 4, FALSE)</f>
        <v>Yes</v>
      </c>
      <c r="F1855" s="22" t="str">
        <f>VLOOKUP($A1855, 'Medical Examinations'!$A:$J, 5, FALSE)</f>
        <v>No</v>
      </c>
      <c r="G1855" s="22" t="str">
        <f>VLOOKUP($A1855, 'Medical Examinations'!$A:$I, 6, FALSE)</f>
        <v>No</v>
      </c>
      <c r="H1855" s="22">
        <f>VLOOKUP($A1855,'Medical Examinations'!$A:$L,10, FALSE)</f>
        <v>1</v>
      </c>
      <c r="I1855" s="22" t="str">
        <f>VLOOKUP($A1855, 'Medical Examinations'!$A:$J, 9, FALSE)</f>
        <v>No</v>
      </c>
      <c r="J1855" s="22" t="str">
        <f>VLOOKUP($A1855, 'Medical Examinations'!$A:$P, 11, FALSE)</f>
        <v>OVERWEIGHT</v>
      </c>
      <c r="K1855" s="34">
        <v>24279.0</v>
      </c>
      <c r="L1855" s="35">
        <f>VLOOKUP($A1855, 'Hospitalisation Details'!$A:$H, 7, FALSE)</f>
        <v>4415.16</v>
      </c>
      <c r="M1855" s="22" t="str">
        <f>VLOOKUP($A1855, 'Hospitalisation Details'!$A:$L, 12, FALSE)</f>
        <v>tier - 2</v>
      </c>
      <c r="N1855" s="22" t="str">
        <f>VLOOKUP($A1855, 'Hospitalisation Details'!$A:$M, 13, FALSE)</f>
        <v>tier - 1</v>
      </c>
      <c r="O1855" s="22" t="str">
        <f>VLOOKUP($A1855, 'Hospitalisation Details'!$A:$N, 14, FALSE)</f>
        <v>R1013</v>
      </c>
      <c r="P1855" s="36">
        <f>VLOOKUP($A1855, 'Hospitalisation Details'!$A:$O, 15, FALSE)</f>
        <v>34</v>
      </c>
    </row>
    <row r="1856" ht="15.75" customHeight="1">
      <c r="A1856" s="33" t="s">
        <v>3711</v>
      </c>
      <c r="B1856" s="22" t="str">
        <f>VLOOKUP($A1856,'Customer Names'!$A:$D,3, FALSE)</f>
        <v>Thompson</v>
      </c>
      <c r="C1856" s="22">
        <f>VLOOKUP($A1856,'Medical Examinations'!$A:$D, 2, FALSE)</f>
        <v>31.5</v>
      </c>
      <c r="D1856" s="22">
        <f>VLOOKUP($A1856, 'Medical Examinations'!$A:$D,3, FALSE)</f>
        <v>9.62</v>
      </c>
      <c r="E1856" s="22" t="str">
        <f>VLOOKUP($A1856, 'Medical Examinations'!$A:$D, 4, FALSE)</f>
        <v>Yes</v>
      </c>
      <c r="F1856" s="22" t="str">
        <f>VLOOKUP($A1856, 'Medical Examinations'!$A:$J, 5, FALSE)</f>
        <v>No</v>
      </c>
      <c r="G1856" s="22" t="str">
        <f>VLOOKUP($A1856, 'Medical Examinations'!$A:$I, 6, FALSE)</f>
        <v>No</v>
      </c>
      <c r="H1856" s="22">
        <f>VLOOKUP($A1856,'Medical Examinations'!$A:$L,10, FALSE)</f>
        <v>1</v>
      </c>
      <c r="I1856" s="22" t="str">
        <f>VLOOKUP($A1856, 'Medical Examinations'!$A:$J, 9, FALSE)</f>
        <v>No</v>
      </c>
      <c r="J1856" s="22" t="str">
        <f>VLOOKUP($A1856, 'Medical Examinations'!$A:$P, 11, FALSE)</f>
        <v>OBESITY</v>
      </c>
      <c r="K1856" s="34">
        <v>37816.0</v>
      </c>
      <c r="L1856" s="35">
        <f>VLOOKUP($A1856, 'Hospitalisation Details'!$A:$H, 7, FALSE)</f>
        <v>4402.23</v>
      </c>
      <c r="M1856" s="22" t="str">
        <f>VLOOKUP($A1856, 'Hospitalisation Details'!$A:$L, 12, FALSE)</f>
        <v>tier - 2</v>
      </c>
      <c r="N1856" s="22" t="str">
        <f>VLOOKUP($A1856, 'Hospitalisation Details'!$A:$M, 13, FALSE)</f>
        <v>tier - 2</v>
      </c>
      <c r="O1856" s="22" t="str">
        <f>VLOOKUP($A1856, 'Hospitalisation Details'!$A:$N, 14, FALSE)</f>
        <v>R1011</v>
      </c>
      <c r="P1856" s="36">
        <f>VLOOKUP($A1856, 'Hospitalisation Details'!$A:$O, 15, FALSE)</f>
        <v>36</v>
      </c>
    </row>
    <row r="1857" ht="15.75" customHeight="1">
      <c r="A1857" s="33" t="s">
        <v>3713</v>
      </c>
      <c r="B1857" s="22" t="str">
        <f>VLOOKUP($A1857,'Customer Names'!$A:$D,3, FALSE)</f>
        <v>Battoo</v>
      </c>
      <c r="C1857" s="22">
        <f>VLOOKUP($A1857,'Medical Examinations'!$A:$D, 2, FALSE)</f>
        <v>29.7</v>
      </c>
      <c r="D1857" s="22">
        <f>VLOOKUP($A1857, 'Medical Examinations'!$A:$D,3, FALSE)</f>
        <v>6.77</v>
      </c>
      <c r="E1857" s="22" t="str">
        <f>VLOOKUP($A1857, 'Medical Examinations'!$A:$D, 4, FALSE)</f>
        <v>Yes</v>
      </c>
      <c r="F1857" s="22" t="str">
        <f>VLOOKUP($A1857, 'Medical Examinations'!$A:$J, 5, FALSE)</f>
        <v>No</v>
      </c>
      <c r="G1857" s="22" t="str">
        <f>VLOOKUP($A1857, 'Medical Examinations'!$A:$I, 6, FALSE)</f>
        <v>No</v>
      </c>
      <c r="H1857" s="22">
        <f>VLOOKUP($A1857,'Medical Examinations'!$A:$L,10, FALSE)</f>
        <v>1</v>
      </c>
      <c r="I1857" s="22" t="str">
        <f>VLOOKUP($A1857, 'Medical Examinations'!$A:$J, 9, FALSE)</f>
        <v>No</v>
      </c>
      <c r="J1857" s="22" t="str">
        <f>VLOOKUP($A1857, 'Medical Examinations'!$A:$P, 11, FALSE)</f>
        <v>OVERWEIGHT</v>
      </c>
      <c r="K1857" s="34">
        <v>27690.0</v>
      </c>
      <c r="L1857" s="35">
        <f>VLOOKUP($A1857, 'Hospitalisation Details'!$A:$H, 7, FALSE)</f>
        <v>4399.73</v>
      </c>
      <c r="M1857" s="22" t="str">
        <f>VLOOKUP($A1857, 'Hospitalisation Details'!$A:$L, 12, FALSE)</f>
        <v>tier - 3</v>
      </c>
      <c r="N1857" s="22" t="str">
        <f>VLOOKUP($A1857, 'Hospitalisation Details'!$A:$M, 13, FALSE)</f>
        <v>tier - 2</v>
      </c>
      <c r="O1857" s="22" t="str">
        <f>VLOOKUP($A1857, 'Hospitalisation Details'!$A:$N, 14, FALSE)</f>
        <v>R1013</v>
      </c>
      <c r="P1857" s="36">
        <f>VLOOKUP($A1857, 'Hospitalisation Details'!$A:$O, 15, FALSE)</f>
        <v>36</v>
      </c>
    </row>
    <row r="1858" ht="15.75" customHeight="1">
      <c r="A1858" s="33" t="s">
        <v>3715</v>
      </c>
      <c r="B1858" s="22" t="str">
        <f>VLOOKUP($A1858,'Customer Names'!$A:$D,3, FALSE)</f>
        <v>Barker</v>
      </c>
      <c r="C1858" s="22">
        <f>VLOOKUP($A1858,'Medical Examinations'!$A:$D, 2, FALSE)</f>
        <v>21.26</v>
      </c>
      <c r="D1858" s="22">
        <f>VLOOKUP($A1858, 'Medical Examinations'!$A:$D,3, FALSE)</f>
        <v>5.36</v>
      </c>
      <c r="E1858" s="22" t="str">
        <f>VLOOKUP($A1858, 'Medical Examinations'!$A:$D, 4, FALSE)</f>
        <v>Yes</v>
      </c>
      <c r="F1858" s="22" t="str">
        <f>VLOOKUP($A1858, 'Medical Examinations'!$A:$J, 5, FALSE)</f>
        <v>No</v>
      </c>
      <c r="G1858" s="22" t="str">
        <f>VLOOKUP($A1858, 'Medical Examinations'!$A:$I, 6, FALSE)</f>
        <v>No</v>
      </c>
      <c r="H1858" s="22">
        <f>VLOOKUP($A1858,'Medical Examinations'!$A:$L,10, FALSE)</f>
        <v>1</v>
      </c>
      <c r="I1858" s="22" t="str">
        <f>VLOOKUP($A1858, 'Medical Examinations'!$A:$J, 9, FALSE)</f>
        <v>No</v>
      </c>
      <c r="J1858" s="22" t="str">
        <f>VLOOKUP($A1858, 'Medical Examinations'!$A:$P, 11, FALSE)</f>
        <v>NORMAL WEIGHT</v>
      </c>
      <c r="K1858" s="34">
        <v>34516.0</v>
      </c>
      <c r="L1858" s="35">
        <f>VLOOKUP($A1858, 'Hospitalisation Details'!$A:$H, 7, FALSE)</f>
        <v>4397.31</v>
      </c>
      <c r="M1858" s="22" t="str">
        <f>VLOOKUP($A1858, 'Hospitalisation Details'!$A:$L, 12, FALSE)</f>
        <v>tier - 2</v>
      </c>
      <c r="N1858" s="22" t="str">
        <f>VLOOKUP($A1858, 'Hospitalisation Details'!$A:$M, 13, FALSE)</f>
        <v>tier - 2</v>
      </c>
      <c r="O1858" s="22" t="str">
        <f>VLOOKUP($A1858, 'Hospitalisation Details'!$A:$N, 14, FALSE)</f>
        <v>R1013</v>
      </c>
      <c r="P1858" s="36">
        <f>VLOOKUP($A1858, 'Hospitalisation Details'!$A:$O, 15, FALSE)</f>
        <v>34</v>
      </c>
    </row>
    <row r="1859" ht="15.75" customHeight="1">
      <c r="A1859" s="33" t="s">
        <v>3717</v>
      </c>
      <c r="B1859" s="22" t="str">
        <f>VLOOKUP($A1859,'Customer Names'!$A:$D,3, FALSE)</f>
        <v>Saarnilehto</v>
      </c>
      <c r="C1859" s="22">
        <f>VLOOKUP($A1859,'Medical Examinations'!$A:$D, 2, FALSE)</f>
        <v>17.09</v>
      </c>
      <c r="D1859" s="22">
        <f>VLOOKUP($A1859, 'Medical Examinations'!$A:$D,3, FALSE)</f>
        <v>5.69</v>
      </c>
      <c r="E1859" s="22" t="str">
        <f>VLOOKUP($A1859, 'Medical Examinations'!$A:$D, 4, FALSE)</f>
        <v>No</v>
      </c>
      <c r="F1859" s="22" t="str">
        <f>VLOOKUP($A1859, 'Medical Examinations'!$A:$J, 5, FALSE)</f>
        <v>No</v>
      </c>
      <c r="G1859" s="22" t="str">
        <f>VLOOKUP($A1859, 'Medical Examinations'!$A:$I, 6, FALSE)</f>
        <v>No</v>
      </c>
      <c r="H1859" s="22">
        <f>VLOOKUP($A1859,'Medical Examinations'!$A:$L,10, FALSE)</f>
        <v>0</v>
      </c>
      <c r="I1859" s="22" t="str">
        <f>VLOOKUP($A1859, 'Medical Examinations'!$A:$J, 9, FALSE)</f>
        <v>No</v>
      </c>
      <c r="J1859" s="22" t="str">
        <f>VLOOKUP($A1859, 'Medical Examinations'!$A:$P, 11, FALSE)</f>
        <v>UNDERWEIGHT</v>
      </c>
      <c r="K1859" s="34">
        <v>33171.0</v>
      </c>
      <c r="L1859" s="35">
        <f>VLOOKUP($A1859, 'Hospitalisation Details'!$A:$H, 7, FALSE)</f>
        <v>4392.7</v>
      </c>
      <c r="M1859" s="22" t="str">
        <f>VLOOKUP($A1859, 'Hospitalisation Details'!$A:$L, 12, FALSE)</f>
        <v>tier - 2</v>
      </c>
      <c r="N1859" s="22" t="str">
        <f>VLOOKUP($A1859, 'Hospitalisation Details'!$A:$M, 13, FALSE)</f>
        <v>tier - 2</v>
      </c>
      <c r="O1859" s="22" t="str">
        <f>VLOOKUP($A1859, 'Hospitalisation Details'!$A:$N, 14, FALSE)</f>
        <v>R1013</v>
      </c>
      <c r="P1859" s="36">
        <f>VLOOKUP($A1859, 'Hospitalisation Details'!$A:$O, 15, FALSE)</f>
        <v>40</v>
      </c>
    </row>
    <row r="1860" ht="15.75" customHeight="1">
      <c r="A1860" s="33" t="s">
        <v>3719</v>
      </c>
      <c r="B1860" s="22" t="str">
        <f>VLOOKUP($A1860,'Customer Names'!$A:$D,3, FALSE)</f>
        <v>Morton</v>
      </c>
      <c r="C1860" s="22">
        <f>VLOOKUP($A1860,'Medical Examinations'!$A:$D, 2, FALSE)</f>
        <v>24.3</v>
      </c>
      <c r="D1860" s="22">
        <f>VLOOKUP($A1860, 'Medical Examinations'!$A:$D,3, FALSE)</f>
        <v>4.9</v>
      </c>
      <c r="E1860" s="22" t="str">
        <f>VLOOKUP($A1860, 'Medical Examinations'!$A:$D, 4, FALSE)</f>
        <v>Yes</v>
      </c>
      <c r="F1860" s="22" t="str">
        <f>VLOOKUP($A1860, 'Medical Examinations'!$A:$J, 5, FALSE)</f>
        <v>No</v>
      </c>
      <c r="G1860" s="22" t="str">
        <f>VLOOKUP($A1860, 'Medical Examinations'!$A:$I, 6, FALSE)</f>
        <v>Yes</v>
      </c>
      <c r="H1860" s="22">
        <f>VLOOKUP($A1860,'Medical Examinations'!$A:$L,10, FALSE)</f>
        <v>1</v>
      </c>
      <c r="I1860" s="22" t="str">
        <f>VLOOKUP($A1860, 'Medical Examinations'!$A:$J, 9, FALSE)</f>
        <v>No</v>
      </c>
      <c r="J1860" s="22" t="str">
        <f>VLOOKUP($A1860, 'Medical Examinations'!$A:$P, 11, FALSE)</f>
        <v>NORMAL WEIGHT</v>
      </c>
      <c r="K1860" s="34">
        <v>25775.0</v>
      </c>
      <c r="L1860" s="35">
        <f>VLOOKUP($A1860, 'Hospitalisation Details'!$A:$H, 7, FALSE)</f>
        <v>4391.65</v>
      </c>
      <c r="M1860" s="22" t="str">
        <f>VLOOKUP($A1860, 'Hospitalisation Details'!$A:$L, 12, FALSE)</f>
        <v>tier - 2</v>
      </c>
      <c r="N1860" s="22" t="str">
        <f>VLOOKUP($A1860, 'Hospitalisation Details'!$A:$M, 13, FALSE)</f>
        <v>tier - 2</v>
      </c>
      <c r="O1860" s="22" t="str">
        <f>VLOOKUP($A1860, 'Hospitalisation Details'!$A:$N, 14, FALSE)</f>
        <v>R1011</v>
      </c>
      <c r="P1860" s="36">
        <f>VLOOKUP($A1860, 'Hospitalisation Details'!$A:$O, 15, FALSE)</f>
        <v>25</v>
      </c>
    </row>
    <row r="1861" ht="15.75" customHeight="1">
      <c r="A1861" s="33" t="s">
        <v>3721</v>
      </c>
      <c r="B1861" s="22" t="str">
        <f>VLOOKUP($A1861,'Customer Names'!$A:$D,3, FALSE)</f>
        <v>Thomas</v>
      </c>
      <c r="C1861" s="22">
        <f>VLOOKUP($A1861,'Medical Examinations'!$A:$D, 2, FALSE)</f>
        <v>29.735</v>
      </c>
      <c r="D1861" s="22">
        <f>VLOOKUP($A1861, 'Medical Examinations'!$A:$D,3, FALSE)</f>
        <v>5.78</v>
      </c>
      <c r="E1861" s="22" t="str">
        <f>VLOOKUP($A1861, 'Medical Examinations'!$A:$D, 4, FALSE)</f>
        <v>No</v>
      </c>
      <c r="F1861" s="22" t="str">
        <f>VLOOKUP($A1861, 'Medical Examinations'!$A:$J, 5, FALSE)</f>
        <v>No</v>
      </c>
      <c r="G1861" s="22" t="str">
        <f>VLOOKUP($A1861, 'Medical Examinations'!$A:$I, 6, FALSE)</f>
        <v>No</v>
      </c>
      <c r="H1861" s="22">
        <f>VLOOKUP($A1861,'Medical Examinations'!$A:$L,10, FALSE)</f>
        <v>0</v>
      </c>
      <c r="I1861" s="22" t="str">
        <f>VLOOKUP($A1861, 'Medical Examinations'!$A:$J, 9, FALSE)</f>
        <v>No</v>
      </c>
      <c r="J1861" s="22" t="str">
        <f>VLOOKUP($A1861, 'Medical Examinations'!$A:$P, 11, FALSE)</f>
        <v>OVERWEIGHT</v>
      </c>
      <c r="K1861" s="34">
        <v>37493.0</v>
      </c>
      <c r="L1861" s="35">
        <f>VLOOKUP($A1861, 'Hospitalisation Details'!$A:$H, 7, FALSE)</f>
        <v>4357.04</v>
      </c>
      <c r="M1861" s="22" t="str">
        <f>VLOOKUP($A1861, 'Hospitalisation Details'!$A:$L, 12, FALSE)</f>
        <v>tier - 2</v>
      </c>
      <c r="N1861" s="22" t="str">
        <f>VLOOKUP($A1861, 'Hospitalisation Details'!$A:$M, 13, FALSE)</f>
        <v>tier - 3</v>
      </c>
      <c r="O1861" s="22" t="str">
        <f>VLOOKUP($A1861, 'Hospitalisation Details'!$A:$N, 14, FALSE)</f>
        <v>R1012</v>
      </c>
      <c r="P1861" s="36">
        <f>VLOOKUP($A1861, 'Hospitalisation Details'!$A:$O, 15, FALSE)</f>
        <v>32</v>
      </c>
    </row>
    <row r="1862" ht="15.75" customHeight="1">
      <c r="A1862" s="33" t="s">
        <v>3723</v>
      </c>
      <c r="B1862" s="22" t="str">
        <f>VLOOKUP($A1862,'Customer Names'!$A:$D,3, FALSE)</f>
        <v>Hillman</v>
      </c>
      <c r="C1862" s="22">
        <f>VLOOKUP($A1862,'Medical Examinations'!$A:$D, 2, FALSE)</f>
        <v>29.26</v>
      </c>
      <c r="D1862" s="22">
        <f>VLOOKUP($A1862, 'Medical Examinations'!$A:$D,3, FALSE)</f>
        <v>4.7</v>
      </c>
      <c r="E1862" s="22" t="str">
        <f>VLOOKUP($A1862, 'Medical Examinations'!$A:$D, 4, FALSE)</f>
        <v>No</v>
      </c>
      <c r="F1862" s="22" t="str">
        <f>VLOOKUP($A1862, 'Medical Examinations'!$A:$J, 5, FALSE)</f>
        <v>No</v>
      </c>
      <c r="G1862" s="22" t="str">
        <f>VLOOKUP($A1862, 'Medical Examinations'!$A:$I, 6, FALSE)</f>
        <v>No</v>
      </c>
      <c r="H1862" s="22">
        <f>VLOOKUP($A1862,'Medical Examinations'!$A:$L,10, FALSE)</f>
        <v>0</v>
      </c>
      <c r="I1862" s="22" t="str">
        <f>VLOOKUP($A1862, 'Medical Examinations'!$A:$J, 9, FALSE)</f>
        <v>No</v>
      </c>
      <c r="J1862" s="22" t="str">
        <f>VLOOKUP($A1862, 'Medical Examinations'!$A:$P, 11, FALSE)</f>
        <v>OVERWEIGHT</v>
      </c>
      <c r="K1862" s="34">
        <v>23331.0</v>
      </c>
      <c r="L1862" s="35">
        <f>VLOOKUP($A1862, 'Hospitalisation Details'!$A:$H, 7, FALSE)</f>
        <v>4350.51</v>
      </c>
      <c r="M1862" s="22" t="str">
        <f>VLOOKUP($A1862, 'Hospitalisation Details'!$A:$L, 12, FALSE)</f>
        <v>tier - 2</v>
      </c>
      <c r="N1862" s="22" t="str">
        <f>VLOOKUP($A1862, 'Hospitalisation Details'!$A:$M, 13, FALSE)</f>
        <v>tier - 2</v>
      </c>
      <c r="O1862" s="22" t="str">
        <f>VLOOKUP($A1862, 'Hospitalisation Details'!$A:$N, 14, FALSE)</f>
        <v>R1013</v>
      </c>
      <c r="P1862" s="36">
        <f>VLOOKUP($A1862, 'Hospitalisation Details'!$A:$O, 15, FALSE)</f>
        <v>31</v>
      </c>
    </row>
    <row r="1863" ht="15.75" customHeight="1">
      <c r="A1863" s="33" t="s">
        <v>3725</v>
      </c>
      <c r="B1863" s="22" t="str">
        <f>VLOOKUP($A1863,'Customer Names'!$A:$D,3, FALSE)</f>
        <v>Edwards</v>
      </c>
      <c r="C1863" s="22">
        <f>VLOOKUP($A1863,'Medical Examinations'!$A:$D, 2, FALSE)</f>
        <v>33</v>
      </c>
      <c r="D1863" s="22">
        <f>VLOOKUP($A1863, 'Medical Examinations'!$A:$D,3, FALSE)</f>
        <v>6.28</v>
      </c>
      <c r="E1863" s="22" t="str">
        <f>VLOOKUP($A1863, 'Medical Examinations'!$A:$D, 4, FALSE)</f>
        <v>No</v>
      </c>
      <c r="F1863" s="22" t="str">
        <f>VLOOKUP($A1863, 'Medical Examinations'!$A:$J, 5, FALSE)</f>
        <v>No</v>
      </c>
      <c r="G1863" s="22" t="str">
        <f>VLOOKUP($A1863, 'Medical Examinations'!$A:$I, 6, FALSE)</f>
        <v>No</v>
      </c>
      <c r="H1863" s="22">
        <f>VLOOKUP($A1863,'Medical Examinations'!$A:$L,10, FALSE)</f>
        <v>0</v>
      </c>
      <c r="I1863" s="22" t="str">
        <f>VLOOKUP($A1863, 'Medical Examinations'!$A:$J, 9, FALSE)</f>
        <v>No</v>
      </c>
      <c r="J1863" s="22" t="str">
        <f>VLOOKUP($A1863, 'Medical Examinations'!$A:$P, 11, FALSE)</f>
        <v>OBESITY</v>
      </c>
      <c r="K1863" s="34">
        <v>25031.0</v>
      </c>
      <c r="L1863" s="35">
        <f>VLOOKUP($A1863, 'Hospitalisation Details'!$A:$H, 7, FALSE)</f>
        <v>4349.46</v>
      </c>
      <c r="M1863" s="22" t="str">
        <f>VLOOKUP($A1863, 'Hospitalisation Details'!$A:$L, 12, FALSE)</f>
        <v>tier - 2</v>
      </c>
      <c r="N1863" s="22" t="str">
        <f>VLOOKUP($A1863, 'Hospitalisation Details'!$A:$M, 13, FALSE)</f>
        <v>tier - 2</v>
      </c>
      <c r="O1863" s="22" t="str">
        <f>VLOOKUP($A1863, 'Hospitalisation Details'!$A:$N, 14, FALSE)</f>
        <v>R1013</v>
      </c>
      <c r="P1863" s="36">
        <f>VLOOKUP($A1863, 'Hospitalisation Details'!$A:$O, 15, FALSE)</f>
        <v>28</v>
      </c>
    </row>
    <row r="1864" ht="15.75" customHeight="1">
      <c r="A1864" s="33" t="s">
        <v>3727</v>
      </c>
      <c r="B1864" s="22" t="str">
        <f>VLOOKUP($A1864,'Customer Names'!$A:$D,3, FALSE)</f>
        <v>Bartel</v>
      </c>
      <c r="C1864" s="22">
        <f>VLOOKUP($A1864,'Medical Examinations'!$A:$D, 2, FALSE)</f>
        <v>31.065</v>
      </c>
      <c r="D1864" s="22">
        <f>VLOOKUP($A1864, 'Medical Examinations'!$A:$D,3, FALSE)</f>
        <v>4.23</v>
      </c>
      <c r="E1864" s="22" t="str">
        <f>VLOOKUP($A1864, 'Medical Examinations'!$A:$D, 4, FALSE)</f>
        <v>No</v>
      </c>
      <c r="F1864" s="22" t="str">
        <f>VLOOKUP($A1864, 'Medical Examinations'!$A:$J, 5, FALSE)</f>
        <v>No</v>
      </c>
      <c r="G1864" s="22" t="str">
        <f>VLOOKUP($A1864, 'Medical Examinations'!$A:$I, 6, FALSE)</f>
        <v>No</v>
      </c>
      <c r="H1864" s="22">
        <f>VLOOKUP($A1864,'Medical Examinations'!$A:$L,10, FALSE)</f>
        <v>0</v>
      </c>
      <c r="I1864" s="22" t="str">
        <f>VLOOKUP($A1864, 'Medical Examinations'!$A:$J, 9, FALSE)</f>
        <v>No</v>
      </c>
      <c r="J1864" s="22" t="str">
        <f>VLOOKUP($A1864, 'Medical Examinations'!$A:$P, 11, FALSE)</f>
        <v>OBESITY</v>
      </c>
      <c r="K1864" s="34">
        <v>23909.0</v>
      </c>
      <c r="L1864" s="35">
        <f>VLOOKUP($A1864, 'Hospitalisation Details'!$A:$H, 7, FALSE)</f>
        <v>4347.02</v>
      </c>
      <c r="M1864" s="22" t="str">
        <f>VLOOKUP($A1864, 'Hospitalisation Details'!$A:$L, 12, FALSE)</f>
        <v>tier - 2</v>
      </c>
      <c r="N1864" s="22" t="str">
        <f>VLOOKUP($A1864, 'Hospitalisation Details'!$A:$M, 13, FALSE)</f>
        <v>tier - 1</v>
      </c>
      <c r="O1864" s="22" t="str">
        <f>VLOOKUP($A1864, 'Hospitalisation Details'!$A:$N, 14, FALSE)</f>
        <v>R1024</v>
      </c>
      <c r="P1864" s="36">
        <f>VLOOKUP($A1864, 'Hospitalisation Details'!$A:$O, 15, FALSE)</f>
        <v>32</v>
      </c>
    </row>
    <row r="1865" ht="15.75" customHeight="1">
      <c r="A1865" s="33" t="s">
        <v>3729</v>
      </c>
      <c r="B1865" s="22" t="str">
        <f>VLOOKUP($A1865,'Customer Names'!$A:$D,3, FALSE)</f>
        <v>Potekhina</v>
      </c>
      <c r="C1865" s="22">
        <f>VLOOKUP($A1865,'Medical Examinations'!$A:$D, 2, FALSE)</f>
        <v>26.51</v>
      </c>
      <c r="D1865" s="22">
        <f>VLOOKUP($A1865, 'Medical Examinations'!$A:$D,3, FALSE)</f>
        <v>6.17</v>
      </c>
      <c r="E1865" s="22" t="str">
        <f>VLOOKUP($A1865, 'Medical Examinations'!$A:$D, 4, FALSE)</f>
        <v>No</v>
      </c>
      <c r="F1865" s="22" t="str">
        <f>VLOOKUP($A1865, 'Medical Examinations'!$A:$J, 5, FALSE)</f>
        <v>No</v>
      </c>
      <c r="G1865" s="22" t="str">
        <f>VLOOKUP($A1865, 'Medical Examinations'!$A:$I, 6, FALSE)</f>
        <v>No</v>
      </c>
      <c r="H1865" s="22">
        <f>VLOOKUP($A1865,'Medical Examinations'!$A:$L,10, FALSE)</f>
        <v>0</v>
      </c>
      <c r="I1865" s="22" t="str">
        <f>VLOOKUP($A1865, 'Medical Examinations'!$A:$J, 9, FALSE)</f>
        <v>No</v>
      </c>
      <c r="J1865" s="22" t="str">
        <f>VLOOKUP($A1865, 'Medical Examinations'!$A:$P, 11, FALSE)</f>
        <v>OVERWEIGHT</v>
      </c>
      <c r="K1865" s="34">
        <v>33236.0</v>
      </c>
      <c r="L1865" s="35">
        <f>VLOOKUP($A1865, 'Hospitalisation Details'!$A:$H, 7, FALSE)</f>
        <v>4340.44</v>
      </c>
      <c r="M1865" s="22" t="str">
        <f>VLOOKUP($A1865, 'Hospitalisation Details'!$A:$L, 12, FALSE)</f>
        <v>tier - 2</v>
      </c>
      <c r="N1865" s="22" t="str">
        <f>VLOOKUP($A1865, 'Hospitalisation Details'!$A:$M, 13, FALSE)</f>
        <v>tier - 1</v>
      </c>
      <c r="O1865" s="22" t="str">
        <f>VLOOKUP($A1865, 'Hospitalisation Details'!$A:$N, 14, FALSE)</f>
        <v>R1013</v>
      </c>
      <c r="P1865" s="36">
        <f>VLOOKUP($A1865, 'Hospitalisation Details'!$A:$O, 15, FALSE)</f>
        <v>28</v>
      </c>
    </row>
    <row r="1866" ht="15.75" customHeight="1">
      <c r="A1866" s="33" t="s">
        <v>3731</v>
      </c>
      <c r="B1866" s="22" t="str">
        <f>VLOOKUP($A1866,'Customer Names'!$A:$D,3, FALSE)</f>
        <v>Kelly</v>
      </c>
      <c r="C1866" s="22">
        <f>VLOOKUP($A1866,'Medical Examinations'!$A:$D, 2, FALSE)</f>
        <v>28.88</v>
      </c>
      <c r="D1866" s="22">
        <f>VLOOKUP($A1866, 'Medical Examinations'!$A:$D,3, FALSE)</f>
        <v>4.96</v>
      </c>
      <c r="E1866" s="22" t="str">
        <f>VLOOKUP($A1866, 'Medical Examinations'!$A:$D, 4, FALSE)</f>
        <v>No</v>
      </c>
      <c r="F1866" s="22" t="str">
        <f>VLOOKUP($A1866, 'Medical Examinations'!$A:$J, 5, FALSE)</f>
        <v>No</v>
      </c>
      <c r="G1866" s="22" t="str">
        <f>VLOOKUP($A1866, 'Medical Examinations'!$A:$I, 6, FALSE)</f>
        <v>No</v>
      </c>
      <c r="H1866" s="22">
        <f>VLOOKUP($A1866,'Medical Examinations'!$A:$L,10, FALSE)</f>
        <v>0</v>
      </c>
      <c r="I1866" s="22" t="str">
        <f>VLOOKUP($A1866, 'Medical Examinations'!$A:$J, 9, FALSE)</f>
        <v>No</v>
      </c>
      <c r="J1866" s="22" t="str">
        <f>VLOOKUP($A1866, 'Medical Examinations'!$A:$P, 11, FALSE)</f>
        <v>OVERWEIGHT</v>
      </c>
      <c r="K1866" s="34">
        <v>26092.0</v>
      </c>
      <c r="L1866" s="35">
        <f>VLOOKUP($A1866, 'Hospitalisation Details'!$A:$H, 7, FALSE)</f>
        <v>4337.74</v>
      </c>
      <c r="M1866" s="22" t="str">
        <f>VLOOKUP($A1866, 'Hospitalisation Details'!$A:$L, 12, FALSE)</f>
        <v>tier - 2</v>
      </c>
      <c r="N1866" s="22" t="str">
        <f>VLOOKUP($A1866, 'Hospitalisation Details'!$A:$M, 13, FALSE)</f>
        <v>tier - 1</v>
      </c>
      <c r="O1866" s="22" t="str">
        <f>VLOOKUP($A1866, 'Hospitalisation Details'!$A:$N, 14, FALSE)</f>
        <v>R1024</v>
      </c>
      <c r="P1866" s="36">
        <f>VLOOKUP($A1866, 'Hospitalisation Details'!$A:$O, 15, FALSE)</f>
        <v>28</v>
      </c>
    </row>
    <row r="1867" ht="15.75" customHeight="1">
      <c r="A1867" s="33" t="s">
        <v>3733</v>
      </c>
      <c r="B1867" s="22" t="str">
        <f>VLOOKUP($A1867,'Customer Names'!$A:$D,3, FALSE)</f>
        <v>Lapp</v>
      </c>
      <c r="C1867" s="22">
        <f>VLOOKUP($A1867,'Medical Examinations'!$A:$D, 2, FALSE)</f>
        <v>35.815</v>
      </c>
      <c r="D1867" s="22">
        <f>VLOOKUP($A1867, 'Medical Examinations'!$A:$D,3, FALSE)</f>
        <v>5.11</v>
      </c>
      <c r="E1867" s="22" t="str">
        <f>VLOOKUP($A1867, 'Medical Examinations'!$A:$D, 4, FALSE)</f>
        <v>Yes</v>
      </c>
      <c r="F1867" s="22" t="str">
        <f>VLOOKUP($A1867, 'Medical Examinations'!$A:$J, 5, FALSE)</f>
        <v>No</v>
      </c>
      <c r="G1867" s="22" t="str">
        <f>VLOOKUP($A1867, 'Medical Examinations'!$A:$I, 6, FALSE)</f>
        <v>No</v>
      </c>
      <c r="H1867" s="22">
        <f>VLOOKUP($A1867,'Medical Examinations'!$A:$L,10, FALSE)</f>
        <v>1</v>
      </c>
      <c r="I1867" s="22" t="str">
        <f>VLOOKUP($A1867, 'Medical Examinations'!$A:$J, 9, FALSE)</f>
        <v>No</v>
      </c>
      <c r="J1867" s="22" t="str">
        <f>VLOOKUP($A1867, 'Medical Examinations'!$A:$P, 11, FALSE)</f>
        <v>OBESITY</v>
      </c>
      <c r="K1867" s="34">
        <v>37927.0</v>
      </c>
      <c r="L1867" s="35">
        <f>VLOOKUP($A1867, 'Hospitalisation Details'!$A:$H, 7, FALSE)</f>
        <v>4320.41</v>
      </c>
      <c r="M1867" s="22" t="str">
        <f>VLOOKUP($A1867, 'Hospitalisation Details'!$A:$L, 12, FALSE)</f>
        <v>tier - 2</v>
      </c>
      <c r="N1867" s="22" t="str">
        <f>VLOOKUP($A1867, 'Hospitalisation Details'!$A:$M, 13, FALSE)</f>
        <v>tier - 1</v>
      </c>
      <c r="O1867" s="22" t="str">
        <f>VLOOKUP($A1867, 'Hospitalisation Details'!$A:$N, 14, FALSE)</f>
        <v>R1012</v>
      </c>
      <c r="P1867" s="36">
        <f>VLOOKUP($A1867, 'Hospitalisation Details'!$A:$O, 15, FALSE)</f>
        <v>34</v>
      </c>
    </row>
    <row r="1868" ht="15.75" customHeight="1">
      <c r="A1868" s="33" t="s">
        <v>3735</v>
      </c>
      <c r="B1868" s="22" t="str">
        <f>VLOOKUP($A1868,'Customer Names'!$A:$D,3, FALSE)</f>
        <v>Burke</v>
      </c>
      <c r="C1868" s="22">
        <f>VLOOKUP($A1868,'Medical Examinations'!$A:$D, 2, FALSE)</f>
        <v>21.28</v>
      </c>
      <c r="D1868" s="22">
        <f>VLOOKUP($A1868, 'Medical Examinations'!$A:$D,3, FALSE)</f>
        <v>4.05</v>
      </c>
      <c r="E1868" s="22" t="str">
        <f>VLOOKUP($A1868, 'Medical Examinations'!$A:$D, 4, FALSE)</f>
        <v>No</v>
      </c>
      <c r="F1868" s="22" t="str">
        <f>VLOOKUP($A1868, 'Medical Examinations'!$A:$J, 5, FALSE)</f>
        <v>Yes</v>
      </c>
      <c r="G1868" s="22" t="str">
        <f>VLOOKUP($A1868, 'Medical Examinations'!$A:$I, 6, FALSE)</f>
        <v>No</v>
      </c>
      <c r="H1868" s="22">
        <f>VLOOKUP($A1868,'Medical Examinations'!$A:$L,10, FALSE)</f>
        <v>1</v>
      </c>
      <c r="I1868" s="22" t="str">
        <f>VLOOKUP($A1868, 'Medical Examinations'!$A:$J, 9, FALSE)</f>
        <v>No</v>
      </c>
      <c r="J1868" s="22" t="str">
        <f>VLOOKUP($A1868, 'Medical Examinations'!$A:$P, 11, FALSE)</f>
        <v>NORMAL WEIGHT</v>
      </c>
      <c r="K1868" s="34">
        <v>26552.0</v>
      </c>
      <c r="L1868" s="35">
        <f>VLOOKUP($A1868, 'Hospitalisation Details'!$A:$H, 7, FALSE)</f>
        <v>4296.27</v>
      </c>
      <c r="M1868" s="22" t="str">
        <f>VLOOKUP($A1868, 'Hospitalisation Details'!$A:$L, 12, FALSE)</f>
        <v>tier - 2</v>
      </c>
      <c r="N1868" s="22" t="str">
        <f>VLOOKUP($A1868, 'Hospitalisation Details'!$A:$M, 13, FALSE)</f>
        <v>tier - 3</v>
      </c>
      <c r="O1868" s="22" t="str">
        <f>VLOOKUP($A1868, 'Hospitalisation Details'!$A:$N, 14, FALSE)</f>
        <v>R1012</v>
      </c>
      <c r="P1868" s="36">
        <f>VLOOKUP($A1868, 'Hospitalisation Details'!$A:$O, 15, FALSE)</f>
        <v>22</v>
      </c>
    </row>
    <row r="1869" ht="15.75" customHeight="1">
      <c r="A1869" s="33" t="s">
        <v>3737</v>
      </c>
      <c r="B1869" s="22" t="str">
        <f>VLOOKUP($A1869,'Customer Names'!$A:$D,3, FALSE)</f>
        <v>Barry</v>
      </c>
      <c r="C1869" s="22">
        <f>VLOOKUP($A1869,'Medical Examinations'!$A:$D, 2, FALSE)</f>
        <v>33.81</v>
      </c>
      <c r="D1869" s="22">
        <f>VLOOKUP($A1869, 'Medical Examinations'!$A:$D,3, FALSE)</f>
        <v>6.49</v>
      </c>
      <c r="E1869" s="22" t="str">
        <f>VLOOKUP($A1869, 'Medical Examinations'!$A:$D, 4, FALSE)</f>
        <v>No</v>
      </c>
      <c r="F1869" s="22" t="str">
        <f>VLOOKUP($A1869, 'Medical Examinations'!$A:$J, 5, FALSE)</f>
        <v>No</v>
      </c>
      <c r="G1869" s="22" t="str">
        <f>VLOOKUP($A1869, 'Medical Examinations'!$A:$I, 6, FALSE)</f>
        <v>Yes</v>
      </c>
      <c r="H1869" s="22">
        <f>VLOOKUP($A1869,'Medical Examinations'!$A:$L,10, FALSE)</f>
        <v>1</v>
      </c>
      <c r="I1869" s="22" t="str">
        <f>VLOOKUP($A1869, 'Medical Examinations'!$A:$J, 9, FALSE)</f>
        <v>No</v>
      </c>
      <c r="J1869" s="22" t="str">
        <f>VLOOKUP($A1869, 'Medical Examinations'!$A:$P, 11, FALSE)</f>
        <v>OBESITY</v>
      </c>
      <c r="K1869" s="34">
        <v>33895.0</v>
      </c>
      <c r="L1869" s="35">
        <f>VLOOKUP($A1869, 'Hospitalisation Details'!$A:$H, 7, FALSE)</f>
        <v>4278.55</v>
      </c>
      <c r="M1869" s="22" t="str">
        <f>VLOOKUP($A1869, 'Hospitalisation Details'!$A:$L, 12, FALSE)</f>
        <v>tier - 2</v>
      </c>
      <c r="N1869" s="22" t="str">
        <f>VLOOKUP($A1869, 'Hospitalisation Details'!$A:$M, 13, FALSE)</f>
        <v>tier - 1</v>
      </c>
      <c r="O1869" s="22" t="str">
        <f>VLOOKUP($A1869, 'Hospitalisation Details'!$A:$N, 14, FALSE)</f>
        <v>R1021</v>
      </c>
      <c r="P1869" s="36">
        <f>VLOOKUP($A1869, 'Hospitalisation Details'!$A:$O, 15, FALSE)</f>
        <v>20</v>
      </c>
    </row>
    <row r="1870" ht="15.75" customHeight="1">
      <c r="A1870" s="33" t="s">
        <v>3739</v>
      </c>
      <c r="B1870" s="22" t="str">
        <f>VLOOKUP($A1870,'Customer Names'!$A:$D,3, FALSE)</f>
        <v>McCormick</v>
      </c>
      <c r="C1870" s="22">
        <f>VLOOKUP($A1870,'Medical Examinations'!$A:$D, 2, FALSE)</f>
        <v>44.22</v>
      </c>
      <c r="D1870" s="22">
        <f>VLOOKUP($A1870, 'Medical Examinations'!$A:$D,3, FALSE)</f>
        <v>4.19</v>
      </c>
      <c r="E1870" s="22" t="str">
        <f>VLOOKUP($A1870, 'Medical Examinations'!$A:$D, 4, FALSE)</f>
        <v>No</v>
      </c>
      <c r="F1870" s="22" t="str">
        <f>VLOOKUP($A1870, 'Medical Examinations'!$A:$J, 5, FALSE)</f>
        <v>No</v>
      </c>
      <c r="G1870" s="22" t="str">
        <f>VLOOKUP($A1870, 'Medical Examinations'!$A:$I, 6, FALSE)</f>
        <v>No</v>
      </c>
      <c r="H1870" s="22">
        <f>VLOOKUP($A1870,'Medical Examinations'!$A:$L,10, FALSE)</f>
        <v>1</v>
      </c>
      <c r="I1870" s="22" t="str">
        <f>VLOOKUP($A1870, 'Medical Examinations'!$A:$J, 9, FALSE)</f>
        <v>No</v>
      </c>
      <c r="J1870" s="22" t="str">
        <f>VLOOKUP($A1870, 'Medical Examinations'!$A:$P, 11, FALSE)</f>
        <v>OBESITY</v>
      </c>
      <c r="K1870" s="34">
        <v>37926.0</v>
      </c>
      <c r="L1870" s="35">
        <f>VLOOKUP($A1870, 'Hospitalisation Details'!$A:$H, 7, FALSE)</f>
        <v>4266.17</v>
      </c>
      <c r="M1870" s="22" t="str">
        <f>VLOOKUP($A1870, 'Hospitalisation Details'!$A:$L, 12, FALSE)</f>
        <v>tier - 3</v>
      </c>
      <c r="N1870" s="22" t="str">
        <f>VLOOKUP($A1870, 'Hospitalisation Details'!$A:$M, 13, FALSE)</f>
        <v>tier - 2</v>
      </c>
      <c r="O1870" s="22" t="str">
        <f>VLOOKUP($A1870, 'Hospitalisation Details'!$A:$N, 14, FALSE)</f>
        <v>R1013</v>
      </c>
      <c r="P1870" s="36">
        <f>VLOOKUP($A1870, 'Hospitalisation Details'!$A:$O, 15, FALSE)</f>
        <v>30</v>
      </c>
    </row>
    <row r="1871" ht="15.75" customHeight="1">
      <c r="A1871" s="33" t="s">
        <v>3741</v>
      </c>
      <c r="B1871" s="22" t="str">
        <f>VLOOKUP($A1871,'Customer Names'!$A:$D,3, FALSE)</f>
        <v>McElroy</v>
      </c>
      <c r="C1871" s="22">
        <f>VLOOKUP($A1871,'Medical Examinations'!$A:$D, 2, FALSE)</f>
        <v>15.46</v>
      </c>
      <c r="D1871" s="22">
        <f>VLOOKUP($A1871, 'Medical Examinations'!$A:$D,3, FALSE)</f>
        <v>4.99</v>
      </c>
      <c r="E1871" s="22" t="str">
        <f>VLOOKUP($A1871, 'Medical Examinations'!$A:$D, 4, FALSE)</f>
        <v>Yes</v>
      </c>
      <c r="F1871" s="22" t="str">
        <f>VLOOKUP($A1871, 'Medical Examinations'!$A:$J, 5, FALSE)</f>
        <v>No</v>
      </c>
      <c r="G1871" s="22" t="str">
        <f>VLOOKUP($A1871, 'Medical Examinations'!$A:$I, 6, FALSE)</f>
        <v>Yes</v>
      </c>
      <c r="H1871" s="22">
        <f>VLOOKUP($A1871,'Medical Examinations'!$A:$L,10, FALSE)</f>
        <v>1</v>
      </c>
      <c r="I1871" s="22" t="str">
        <f>VLOOKUP($A1871, 'Medical Examinations'!$A:$J, 9, FALSE)</f>
        <v>No</v>
      </c>
      <c r="J1871" s="22" t="str">
        <f>VLOOKUP($A1871, 'Medical Examinations'!$A:$P, 11, FALSE)</f>
        <v>UNDERWEIGHT</v>
      </c>
      <c r="K1871" s="34">
        <v>23204.0</v>
      </c>
      <c r="L1871" s="35">
        <f>VLOOKUP($A1871, 'Hospitalisation Details'!$A:$H, 7, FALSE)</f>
        <v>4265.01</v>
      </c>
      <c r="M1871" s="22" t="str">
        <f>VLOOKUP($A1871, 'Hospitalisation Details'!$A:$L, 12, FALSE)</f>
        <v>tier - 2</v>
      </c>
      <c r="N1871" s="22" t="str">
        <f>VLOOKUP($A1871, 'Hospitalisation Details'!$A:$M, 13, FALSE)</f>
        <v>tier - 1</v>
      </c>
      <c r="O1871" s="22" t="str">
        <f>VLOOKUP($A1871, 'Hospitalisation Details'!$A:$N, 14, FALSE)</f>
        <v>R1012</v>
      </c>
      <c r="P1871" s="36">
        <f>VLOOKUP($A1871, 'Hospitalisation Details'!$A:$O, 15, FALSE)</f>
        <v>39</v>
      </c>
    </row>
    <row r="1872" ht="15.75" customHeight="1">
      <c r="A1872" s="33" t="s">
        <v>3743</v>
      </c>
      <c r="B1872" s="22" t="str">
        <f>VLOOKUP($A1872,'Customer Names'!$A:$D,3, FALSE)</f>
        <v>Coffed</v>
      </c>
      <c r="C1872" s="22">
        <f>VLOOKUP($A1872,'Medical Examinations'!$A:$D, 2, FALSE)</f>
        <v>30.3</v>
      </c>
      <c r="D1872" s="22">
        <f>VLOOKUP($A1872, 'Medical Examinations'!$A:$D,3, FALSE)</f>
        <v>4.77</v>
      </c>
      <c r="E1872" s="22" t="str">
        <f>VLOOKUP($A1872, 'Medical Examinations'!$A:$D, 4, FALSE)</f>
        <v>Yes</v>
      </c>
      <c r="F1872" s="22" t="str">
        <f>VLOOKUP($A1872, 'Medical Examinations'!$A:$J, 5, FALSE)</f>
        <v>No</v>
      </c>
      <c r="G1872" s="22" t="str">
        <f>VLOOKUP($A1872, 'Medical Examinations'!$A:$I, 6, FALSE)</f>
        <v>No</v>
      </c>
      <c r="H1872" s="22">
        <f>VLOOKUP($A1872,'Medical Examinations'!$A:$L,10, FALSE)</f>
        <v>1</v>
      </c>
      <c r="I1872" s="22" t="str">
        <f>VLOOKUP($A1872, 'Medical Examinations'!$A:$J, 9, FALSE)</f>
        <v>No</v>
      </c>
      <c r="J1872" s="22" t="str">
        <f>VLOOKUP($A1872, 'Medical Examinations'!$A:$P, 11, FALSE)</f>
        <v>OBESITY</v>
      </c>
      <c r="K1872" s="34">
        <v>27631.0</v>
      </c>
      <c r="L1872" s="35">
        <f>VLOOKUP($A1872, 'Hospitalisation Details'!$A:$H, 7, FALSE)</f>
        <v>4260.74</v>
      </c>
      <c r="M1872" s="22" t="str">
        <f>VLOOKUP($A1872, 'Hospitalisation Details'!$A:$L, 12, FALSE)</f>
        <v>tier - 3</v>
      </c>
      <c r="N1872" s="22" t="str">
        <f>VLOOKUP($A1872, 'Hospitalisation Details'!$A:$M, 13, FALSE)</f>
        <v>tier - 2</v>
      </c>
      <c r="O1872" s="22" t="str">
        <f>VLOOKUP($A1872, 'Hospitalisation Details'!$A:$N, 14, FALSE)</f>
        <v>R1011</v>
      </c>
      <c r="P1872" s="36">
        <f>VLOOKUP($A1872, 'Hospitalisation Details'!$A:$O, 15, FALSE)</f>
        <v>27</v>
      </c>
    </row>
    <row r="1873" ht="15.75" customHeight="1">
      <c r="A1873" s="33" t="s">
        <v>3745</v>
      </c>
      <c r="B1873" s="22" t="str">
        <f>VLOOKUP($A1873,'Customer Names'!$A:$D,3, FALSE)</f>
        <v>Estes</v>
      </c>
      <c r="C1873" s="22">
        <f>VLOOKUP($A1873,'Medical Examinations'!$A:$D, 2, FALSE)</f>
        <v>16.67</v>
      </c>
      <c r="D1873" s="22">
        <f>VLOOKUP($A1873, 'Medical Examinations'!$A:$D,3, FALSE)</f>
        <v>5.46</v>
      </c>
      <c r="E1873" s="22" t="str">
        <f>VLOOKUP($A1873, 'Medical Examinations'!$A:$D, 4, FALSE)</f>
        <v>No</v>
      </c>
      <c r="F1873" s="22" t="str">
        <f>VLOOKUP($A1873, 'Medical Examinations'!$A:$J, 5, FALSE)</f>
        <v>No</v>
      </c>
      <c r="G1873" s="22" t="str">
        <f>VLOOKUP($A1873, 'Medical Examinations'!$A:$I, 6, FALSE)</f>
        <v>No</v>
      </c>
      <c r="H1873" s="22">
        <f>VLOOKUP($A1873,'Medical Examinations'!$A:$L,10, FALSE)</f>
        <v>0</v>
      </c>
      <c r="I1873" s="22" t="str">
        <f>VLOOKUP($A1873, 'Medical Examinations'!$A:$J, 9, FALSE)</f>
        <v>No</v>
      </c>
      <c r="J1873" s="22" t="str">
        <f>VLOOKUP($A1873, 'Medical Examinations'!$A:$P, 11, FALSE)</f>
        <v>UNDERWEIGHT</v>
      </c>
      <c r="K1873" s="34">
        <v>30246.0</v>
      </c>
      <c r="L1873" s="35">
        <f>VLOOKUP($A1873, 'Hospitalisation Details'!$A:$H, 7, FALSE)</f>
        <v>4250.24</v>
      </c>
      <c r="M1873" s="22" t="str">
        <f>VLOOKUP($A1873, 'Hospitalisation Details'!$A:$L, 12, FALSE)</f>
        <v>tier - 2</v>
      </c>
      <c r="N1873" s="22" t="str">
        <f>VLOOKUP($A1873, 'Hospitalisation Details'!$A:$M, 13, FALSE)</f>
        <v>tier - 3</v>
      </c>
      <c r="O1873" s="22" t="str">
        <f>VLOOKUP($A1873, 'Hospitalisation Details'!$A:$N, 14, FALSE)</f>
        <v>R1013</v>
      </c>
      <c r="P1873" s="36">
        <f>VLOOKUP($A1873, 'Hospitalisation Details'!$A:$O, 15, FALSE)</f>
        <v>40</v>
      </c>
    </row>
    <row r="1874" ht="15.75" customHeight="1">
      <c r="A1874" s="33" t="s">
        <v>3747</v>
      </c>
      <c r="B1874" s="22" t="str">
        <f>VLOOKUP($A1874,'Customer Names'!$A:$D,3, FALSE)</f>
        <v>Miles</v>
      </c>
      <c r="C1874" s="22">
        <f>VLOOKUP($A1874,'Medical Examinations'!$A:$D, 2, FALSE)</f>
        <v>28.595</v>
      </c>
      <c r="D1874" s="22">
        <f>VLOOKUP($A1874, 'Medical Examinations'!$A:$D,3, FALSE)</f>
        <v>5.43</v>
      </c>
      <c r="E1874" s="22" t="str">
        <f>VLOOKUP($A1874, 'Medical Examinations'!$A:$D, 4, FALSE)</f>
        <v>No</v>
      </c>
      <c r="F1874" s="22" t="str">
        <f>VLOOKUP($A1874, 'Medical Examinations'!$A:$J, 5, FALSE)</f>
        <v>No</v>
      </c>
      <c r="G1874" s="22" t="str">
        <f>VLOOKUP($A1874, 'Medical Examinations'!$A:$I, 6, FALSE)</f>
        <v>No</v>
      </c>
      <c r="H1874" s="22">
        <f>VLOOKUP($A1874,'Medical Examinations'!$A:$L,10, FALSE)</f>
        <v>0</v>
      </c>
      <c r="I1874" s="22" t="str">
        <f>VLOOKUP($A1874, 'Medical Examinations'!$A:$J, 9, FALSE)</f>
        <v>No</v>
      </c>
      <c r="J1874" s="22" t="str">
        <f>VLOOKUP($A1874, 'Medical Examinations'!$A:$P, 11, FALSE)</f>
        <v>OVERWEIGHT</v>
      </c>
      <c r="K1874" s="34">
        <v>38217.0</v>
      </c>
      <c r="L1874" s="35">
        <f>VLOOKUP($A1874, 'Hospitalisation Details'!$A:$H, 7, FALSE)</f>
        <v>4243.59</v>
      </c>
      <c r="M1874" s="22" t="str">
        <f>VLOOKUP($A1874, 'Hospitalisation Details'!$A:$L, 12, FALSE)</f>
        <v>tier - 3</v>
      </c>
      <c r="N1874" s="22" t="str">
        <f>VLOOKUP($A1874, 'Hospitalisation Details'!$A:$M, 13, FALSE)</f>
        <v>tier - 1</v>
      </c>
      <c r="O1874" s="22" t="str">
        <f>VLOOKUP($A1874, 'Hospitalisation Details'!$A:$N, 14, FALSE)</f>
        <v>R1012</v>
      </c>
      <c r="P1874" s="36">
        <f>VLOOKUP($A1874, 'Hospitalisation Details'!$A:$O, 15, FALSE)</f>
        <v>31</v>
      </c>
    </row>
    <row r="1875" ht="15.75" customHeight="1">
      <c r="A1875" s="33" t="s">
        <v>3749</v>
      </c>
      <c r="B1875" s="22" t="str">
        <f>VLOOKUP($A1875,'Customer Names'!$A:$D,3, FALSE)</f>
        <v>Zamore</v>
      </c>
      <c r="C1875" s="22">
        <f>VLOOKUP($A1875,'Medical Examinations'!$A:$D, 2, FALSE)</f>
        <v>25.935</v>
      </c>
      <c r="D1875" s="22">
        <f>VLOOKUP($A1875, 'Medical Examinations'!$A:$D,3, FALSE)</f>
        <v>4.29</v>
      </c>
      <c r="E1875" s="22" t="str">
        <f>VLOOKUP($A1875, 'Medical Examinations'!$A:$D, 4, FALSE)</f>
        <v>No</v>
      </c>
      <c r="F1875" s="22" t="str">
        <f>VLOOKUP($A1875, 'Medical Examinations'!$A:$J, 5, FALSE)</f>
        <v>No</v>
      </c>
      <c r="G1875" s="22" t="str">
        <f>VLOOKUP($A1875, 'Medical Examinations'!$A:$I, 6, FALSE)</f>
        <v>No</v>
      </c>
      <c r="H1875" s="22">
        <f>VLOOKUP($A1875,'Medical Examinations'!$A:$L,10, FALSE)</f>
        <v>0</v>
      </c>
      <c r="I1875" s="22" t="str">
        <f>VLOOKUP($A1875, 'Medical Examinations'!$A:$J, 9, FALSE)</f>
        <v>No</v>
      </c>
      <c r="J1875" s="22" t="str">
        <f>VLOOKUP($A1875, 'Medical Examinations'!$A:$P, 11, FALSE)</f>
        <v>OVERWEIGHT</v>
      </c>
      <c r="K1875" s="34">
        <v>23535.0</v>
      </c>
      <c r="L1875" s="35">
        <f>VLOOKUP($A1875, 'Hospitalisation Details'!$A:$H, 7, FALSE)</f>
        <v>4239.89</v>
      </c>
      <c r="M1875" s="22" t="str">
        <f>VLOOKUP($A1875, 'Hospitalisation Details'!$A:$L, 12, FALSE)</f>
        <v>tier - 2</v>
      </c>
      <c r="N1875" s="22" t="str">
        <f>VLOOKUP($A1875, 'Hospitalisation Details'!$A:$M, 13, FALSE)</f>
        <v>tier - 2</v>
      </c>
      <c r="O1875" s="22" t="str">
        <f>VLOOKUP($A1875, 'Hospitalisation Details'!$A:$N, 14, FALSE)</f>
        <v>R1012</v>
      </c>
      <c r="P1875" s="36">
        <f>VLOOKUP($A1875, 'Hospitalisation Details'!$A:$O, 15, FALSE)</f>
        <v>31</v>
      </c>
    </row>
    <row r="1876" ht="15.75" customHeight="1">
      <c r="A1876" s="33" t="s">
        <v>3751</v>
      </c>
      <c r="B1876" s="22" t="str">
        <f>VLOOKUP($A1876,'Customer Names'!$A:$D,3, FALSE)</f>
        <v>Donaghy</v>
      </c>
      <c r="C1876" s="22">
        <f>VLOOKUP($A1876,'Medical Examinations'!$A:$D, 2, FALSE)</f>
        <v>27.645</v>
      </c>
      <c r="D1876" s="22">
        <f>VLOOKUP($A1876, 'Medical Examinations'!$A:$D,3, FALSE)</f>
        <v>5.25</v>
      </c>
      <c r="E1876" s="22" t="str">
        <f>VLOOKUP($A1876, 'Medical Examinations'!$A:$D, 4, FALSE)</f>
        <v>No</v>
      </c>
      <c r="F1876" s="22" t="str">
        <f>VLOOKUP($A1876, 'Medical Examinations'!$A:$J, 5, FALSE)</f>
        <v>No</v>
      </c>
      <c r="G1876" s="22" t="str">
        <f>VLOOKUP($A1876, 'Medical Examinations'!$A:$I, 6, FALSE)</f>
        <v>No</v>
      </c>
      <c r="H1876" s="22">
        <f>VLOOKUP($A1876,'Medical Examinations'!$A:$L,10, FALSE)</f>
        <v>1</v>
      </c>
      <c r="I1876" s="22" t="str">
        <f>VLOOKUP($A1876, 'Medical Examinations'!$A:$J, 9, FALSE)</f>
        <v>No</v>
      </c>
      <c r="J1876" s="22" t="str">
        <f>VLOOKUP($A1876, 'Medical Examinations'!$A:$P, 11, FALSE)</f>
        <v>OVERWEIGHT</v>
      </c>
      <c r="K1876" s="34">
        <v>24001.0</v>
      </c>
      <c r="L1876" s="35">
        <f>VLOOKUP($A1876, 'Hospitalisation Details'!$A:$H, 7, FALSE)</f>
        <v>4237.13</v>
      </c>
      <c r="M1876" s="22" t="str">
        <f>VLOOKUP($A1876, 'Hospitalisation Details'!$A:$L, 12, FALSE)</f>
        <v>tier - 3</v>
      </c>
      <c r="N1876" s="22" t="str">
        <f>VLOOKUP($A1876, 'Hospitalisation Details'!$A:$M, 13, FALSE)</f>
        <v>tier - 1</v>
      </c>
      <c r="O1876" s="22" t="str">
        <f>VLOOKUP($A1876, 'Hospitalisation Details'!$A:$N, 14, FALSE)</f>
        <v>R1016</v>
      </c>
      <c r="P1876" s="36">
        <f>VLOOKUP($A1876, 'Hospitalisation Details'!$A:$O, 15, FALSE)</f>
        <v>30</v>
      </c>
    </row>
    <row r="1877" ht="15.75" customHeight="1">
      <c r="A1877" s="33" t="s">
        <v>3753</v>
      </c>
      <c r="B1877" s="22" t="str">
        <f>VLOOKUP($A1877,'Customer Names'!$A:$D,3, FALSE)</f>
        <v>Kennedy</v>
      </c>
      <c r="C1877" s="22">
        <f>VLOOKUP($A1877,'Medical Examinations'!$A:$D, 2, FALSE)</f>
        <v>30.1</v>
      </c>
      <c r="D1877" s="22">
        <f>VLOOKUP($A1877, 'Medical Examinations'!$A:$D,3, FALSE)</f>
        <v>4.04</v>
      </c>
      <c r="E1877" s="22" t="str">
        <f>VLOOKUP($A1877, 'Medical Examinations'!$A:$D, 4, FALSE)</f>
        <v>No</v>
      </c>
      <c r="F1877" s="22" t="str">
        <f>VLOOKUP($A1877, 'Medical Examinations'!$A:$J, 5, FALSE)</f>
        <v>No</v>
      </c>
      <c r="G1877" s="22" t="str">
        <f>VLOOKUP($A1877, 'Medical Examinations'!$A:$I, 6, FALSE)</f>
        <v>No</v>
      </c>
      <c r="H1877" s="22">
        <f>VLOOKUP($A1877,'Medical Examinations'!$A:$L,10, FALSE)</f>
        <v>1</v>
      </c>
      <c r="I1877" s="22" t="str">
        <f>VLOOKUP($A1877, 'Medical Examinations'!$A:$J, 9, FALSE)</f>
        <v>No</v>
      </c>
      <c r="J1877" s="22" t="str">
        <f>VLOOKUP($A1877, 'Medical Examinations'!$A:$P, 11, FALSE)</f>
        <v>OBESITY</v>
      </c>
      <c r="K1877" s="34">
        <v>35949.0</v>
      </c>
      <c r="L1877" s="35">
        <f>VLOOKUP($A1877, 'Hospitalisation Details'!$A:$H, 7, FALSE)</f>
        <v>4234.93</v>
      </c>
      <c r="M1877" s="22" t="str">
        <f>VLOOKUP($A1877, 'Hospitalisation Details'!$A:$L, 12, FALSE)</f>
        <v>tier - 2</v>
      </c>
      <c r="N1877" s="22" t="str">
        <f>VLOOKUP($A1877, 'Hospitalisation Details'!$A:$M, 13, FALSE)</f>
        <v>tier - 1</v>
      </c>
      <c r="O1877" s="22" t="str">
        <f>VLOOKUP($A1877, 'Hospitalisation Details'!$A:$N, 14, FALSE)</f>
        <v>R1011</v>
      </c>
      <c r="P1877" s="36">
        <f>VLOOKUP($A1877, 'Hospitalisation Details'!$A:$O, 15, FALSE)</f>
        <v>24</v>
      </c>
    </row>
    <row r="1878" ht="15.75" customHeight="1">
      <c r="A1878" s="33" t="s">
        <v>3755</v>
      </c>
      <c r="B1878" s="22" t="str">
        <f>VLOOKUP($A1878,'Customer Names'!$A:$D,3, FALSE)</f>
        <v>Fiorini</v>
      </c>
      <c r="C1878" s="22">
        <f>VLOOKUP($A1878,'Medical Examinations'!$A:$D, 2, FALSE)</f>
        <v>26.79</v>
      </c>
      <c r="D1878" s="22">
        <f>VLOOKUP($A1878, 'Medical Examinations'!$A:$D,3, FALSE)</f>
        <v>5</v>
      </c>
      <c r="E1878" s="22" t="str">
        <f>VLOOKUP($A1878, 'Medical Examinations'!$A:$D, 4, FALSE)</f>
        <v>Yes</v>
      </c>
      <c r="F1878" s="22" t="str">
        <f>VLOOKUP($A1878, 'Medical Examinations'!$A:$J, 5, FALSE)</f>
        <v>No</v>
      </c>
      <c r="G1878" s="22" t="str">
        <f>VLOOKUP($A1878, 'Medical Examinations'!$A:$I, 6, FALSE)</f>
        <v>Yes</v>
      </c>
      <c r="H1878" s="22">
        <f>VLOOKUP($A1878,'Medical Examinations'!$A:$L,10, FALSE)</f>
        <v>1</v>
      </c>
      <c r="I1878" s="22" t="str">
        <f>VLOOKUP($A1878, 'Medical Examinations'!$A:$J, 9, FALSE)</f>
        <v>No</v>
      </c>
      <c r="J1878" s="22" t="str">
        <f>VLOOKUP($A1878, 'Medical Examinations'!$A:$P, 11, FALSE)</f>
        <v>OVERWEIGHT</v>
      </c>
      <c r="K1878" s="34">
        <v>37435.0</v>
      </c>
      <c r="L1878" s="35">
        <f>VLOOKUP($A1878, 'Hospitalisation Details'!$A:$H, 7, FALSE)</f>
        <v>4189.11</v>
      </c>
      <c r="M1878" s="22" t="str">
        <f>VLOOKUP($A1878, 'Hospitalisation Details'!$A:$L, 12, FALSE)</f>
        <v>tier - 2</v>
      </c>
      <c r="N1878" s="22" t="str">
        <f>VLOOKUP($A1878, 'Hospitalisation Details'!$A:$M, 13, FALSE)</f>
        <v>tier - 2</v>
      </c>
      <c r="O1878" s="22" t="str">
        <f>VLOOKUP($A1878, 'Hospitalisation Details'!$A:$N, 14, FALSE)</f>
        <v>R1012</v>
      </c>
      <c r="P1878" s="36">
        <f>VLOOKUP($A1878, 'Hospitalisation Details'!$A:$O, 15, FALSE)</f>
        <v>25</v>
      </c>
    </row>
    <row r="1879" ht="15.75" customHeight="1">
      <c r="A1879" s="33" t="s">
        <v>3757</v>
      </c>
      <c r="B1879" s="22" t="str">
        <f>VLOOKUP($A1879,'Customer Names'!$A:$D,3, FALSE)</f>
        <v>Alexander</v>
      </c>
      <c r="C1879" s="22">
        <f>VLOOKUP($A1879,'Medical Examinations'!$A:$D, 2, FALSE)</f>
        <v>27.1</v>
      </c>
      <c r="D1879" s="22">
        <f>VLOOKUP($A1879, 'Medical Examinations'!$A:$D,3, FALSE)</f>
        <v>4.01</v>
      </c>
      <c r="E1879" s="22" t="str">
        <f>VLOOKUP($A1879, 'Medical Examinations'!$A:$D, 4, FALSE)</f>
        <v>Yes</v>
      </c>
      <c r="F1879" s="22" t="str">
        <f>VLOOKUP($A1879, 'Medical Examinations'!$A:$J, 5, FALSE)</f>
        <v>No</v>
      </c>
      <c r="G1879" s="22" t="str">
        <f>VLOOKUP($A1879, 'Medical Examinations'!$A:$I, 6, FALSE)</f>
        <v>No</v>
      </c>
      <c r="H1879" s="22">
        <f>VLOOKUP($A1879,'Medical Examinations'!$A:$L,10, FALSE)</f>
        <v>1</v>
      </c>
      <c r="I1879" s="22" t="str">
        <f>VLOOKUP($A1879, 'Medical Examinations'!$A:$J, 9, FALSE)</f>
        <v>No</v>
      </c>
      <c r="J1879" s="22" t="str">
        <f>VLOOKUP($A1879, 'Medical Examinations'!$A:$P, 11, FALSE)</f>
        <v>OVERWEIGHT</v>
      </c>
      <c r="K1879" s="34">
        <v>24044.0</v>
      </c>
      <c r="L1879" s="35">
        <f>VLOOKUP($A1879, 'Hospitalisation Details'!$A:$H, 7, FALSE)</f>
        <v>4188.73</v>
      </c>
      <c r="M1879" s="22" t="str">
        <f>VLOOKUP($A1879, 'Hospitalisation Details'!$A:$L, 12, FALSE)</f>
        <v>tier - 2</v>
      </c>
      <c r="N1879" s="22" t="str">
        <f>VLOOKUP($A1879, 'Hospitalisation Details'!$A:$M, 13, FALSE)</f>
        <v>tier - 2</v>
      </c>
      <c r="O1879" s="22" t="str">
        <f>VLOOKUP($A1879, 'Hospitalisation Details'!$A:$N, 14, FALSE)</f>
        <v>R1025</v>
      </c>
      <c r="P1879" s="36">
        <f>VLOOKUP($A1879, 'Hospitalisation Details'!$A:$O, 15, FALSE)</f>
        <v>27</v>
      </c>
    </row>
    <row r="1880" ht="15.75" customHeight="1">
      <c r="A1880" s="33" t="s">
        <v>3759</v>
      </c>
      <c r="B1880" s="22" t="str">
        <f>VLOOKUP($A1880,'Customer Names'!$A:$D,3, FALSE)</f>
        <v>Watkins</v>
      </c>
      <c r="C1880" s="22">
        <f>VLOOKUP($A1880,'Medical Examinations'!$A:$D, 2, FALSE)</f>
        <v>24.31</v>
      </c>
      <c r="D1880" s="22">
        <f>VLOOKUP($A1880, 'Medical Examinations'!$A:$D,3, FALSE)</f>
        <v>5.4</v>
      </c>
      <c r="E1880" s="22" t="str">
        <f>VLOOKUP($A1880, 'Medical Examinations'!$A:$D, 4, FALSE)</f>
        <v>No</v>
      </c>
      <c r="F1880" s="22" t="str">
        <f>VLOOKUP($A1880, 'Medical Examinations'!$A:$J, 5, FALSE)</f>
        <v>No</v>
      </c>
      <c r="G1880" s="22" t="str">
        <f>VLOOKUP($A1880, 'Medical Examinations'!$A:$I, 6, FALSE)</f>
        <v>No</v>
      </c>
      <c r="H1880" s="22">
        <f>VLOOKUP($A1880,'Medical Examinations'!$A:$L,10, FALSE)</f>
        <v>0</v>
      </c>
      <c r="I1880" s="22" t="str">
        <f>VLOOKUP($A1880, 'Medical Examinations'!$A:$J, 9, FALSE)</f>
        <v>No</v>
      </c>
      <c r="J1880" s="22" t="str">
        <f>VLOOKUP($A1880, 'Medical Examinations'!$A:$P, 11, FALSE)</f>
        <v>NORMAL WEIGHT</v>
      </c>
      <c r="K1880" s="34">
        <v>37981.0</v>
      </c>
      <c r="L1880" s="35">
        <f>VLOOKUP($A1880, 'Hospitalisation Details'!$A:$H, 7, FALSE)</f>
        <v>4185.1</v>
      </c>
      <c r="M1880" s="22" t="str">
        <f>VLOOKUP($A1880, 'Hospitalisation Details'!$A:$L, 12, FALSE)</f>
        <v>tier - 2</v>
      </c>
      <c r="N1880" s="22" t="str">
        <f>VLOOKUP($A1880, 'Hospitalisation Details'!$A:$M, 13, FALSE)</f>
        <v>tier - 3</v>
      </c>
      <c r="O1880" s="22" t="str">
        <f>VLOOKUP($A1880, 'Hospitalisation Details'!$A:$N, 14, FALSE)</f>
        <v>R1013</v>
      </c>
      <c r="P1880" s="36">
        <f>VLOOKUP($A1880, 'Hospitalisation Details'!$A:$O, 15, FALSE)</f>
        <v>33</v>
      </c>
    </row>
    <row r="1881" ht="15.75" customHeight="1">
      <c r="A1881" s="33" t="s">
        <v>3761</v>
      </c>
      <c r="B1881" s="22" t="str">
        <f>VLOOKUP($A1881,'Customer Names'!$A:$D,3, FALSE)</f>
        <v>Cassel</v>
      </c>
      <c r="C1881" s="22">
        <f>VLOOKUP($A1881,'Medical Examinations'!$A:$D, 2, FALSE)</f>
        <v>15.53</v>
      </c>
      <c r="D1881" s="22">
        <f>VLOOKUP($A1881, 'Medical Examinations'!$A:$D,3, FALSE)</f>
        <v>5.81</v>
      </c>
      <c r="E1881" s="22" t="str">
        <f>VLOOKUP($A1881, 'Medical Examinations'!$A:$D, 4, FALSE)</f>
        <v>No</v>
      </c>
      <c r="F1881" s="22" t="str">
        <f>VLOOKUP($A1881, 'Medical Examinations'!$A:$J, 5, FALSE)</f>
        <v>No</v>
      </c>
      <c r="G1881" s="22" t="str">
        <f>VLOOKUP($A1881, 'Medical Examinations'!$A:$I, 6, FALSE)</f>
        <v>No</v>
      </c>
      <c r="H1881" s="22">
        <f>VLOOKUP($A1881,'Medical Examinations'!$A:$L,10, FALSE)</f>
        <v>1</v>
      </c>
      <c r="I1881" s="22" t="str">
        <f>VLOOKUP($A1881, 'Medical Examinations'!$A:$J, 9, FALSE)</f>
        <v>No</v>
      </c>
      <c r="J1881" s="22" t="str">
        <f>VLOOKUP($A1881, 'Medical Examinations'!$A:$P, 11, FALSE)</f>
        <v>UNDERWEIGHT</v>
      </c>
      <c r="K1881" s="34">
        <v>35226.0</v>
      </c>
      <c r="L1881" s="35">
        <f>VLOOKUP($A1881, 'Hospitalisation Details'!$A:$H, 7, FALSE)</f>
        <v>4163.21</v>
      </c>
      <c r="M1881" s="22" t="str">
        <f>VLOOKUP($A1881, 'Hospitalisation Details'!$A:$L, 12, FALSE)</f>
        <v>tier - 2</v>
      </c>
      <c r="N1881" s="22" t="str">
        <f>VLOOKUP($A1881, 'Hospitalisation Details'!$A:$M, 13, FALSE)</f>
        <v>tier - 2</v>
      </c>
      <c r="O1881" s="22" t="str">
        <f>VLOOKUP($A1881, 'Hospitalisation Details'!$A:$N, 14, FALSE)</f>
        <v>R1012</v>
      </c>
      <c r="P1881" s="36">
        <f>VLOOKUP($A1881, 'Hospitalisation Details'!$A:$O, 15, FALSE)</f>
        <v>38</v>
      </c>
    </row>
    <row r="1882" ht="15.75" customHeight="1">
      <c r="A1882" s="33" t="s">
        <v>3763</v>
      </c>
      <c r="B1882" s="22" t="str">
        <f>VLOOKUP($A1882,'Customer Names'!$A:$D,3, FALSE)</f>
        <v>Ferguson</v>
      </c>
      <c r="C1882" s="22">
        <f>VLOOKUP($A1882,'Medical Examinations'!$A:$D, 2, FALSE)</f>
        <v>30.7</v>
      </c>
      <c r="D1882" s="22">
        <f>VLOOKUP($A1882, 'Medical Examinations'!$A:$D,3, FALSE)</f>
        <v>5.82</v>
      </c>
      <c r="E1882" s="22" t="str">
        <f>VLOOKUP($A1882, 'Medical Examinations'!$A:$D, 4, FALSE)</f>
        <v>No</v>
      </c>
      <c r="F1882" s="22" t="str">
        <f>VLOOKUP($A1882, 'Medical Examinations'!$A:$J, 5, FALSE)</f>
        <v>No</v>
      </c>
      <c r="G1882" s="22" t="str">
        <f>VLOOKUP($A1882, 'Medical Examinations'!$A:$I, 6, FALSE)</f>
        <v>No</v>
      </c>
      <c r="H1882" s="22">
        <f>VLOOKUP($A1882,'Medical Examinations'!$A:$L,10, FALSE)</f>
        <v>1</v>
      </c>
      <c r="I1882" s="22" t="str">
        <f>VLOOKUP($A1882, 'Medical Examinations'!$A:$J, 9, FALSE)</f>
        <v>No</v>
      </c>
      <c r="J1882" s="22" t="str">
        <f>VLOOKUP($A1882, 'Medical Examinations'!$A:$P, 11, FALSE)</f>
        <v>OBESITY</v>
      </c>
      <c r="K1882" s="34">
        <v>26167.0</v>
      </c>
      <c r="L1882" s="35">
        <f>VLOOKUP($A1882, 'Hospitalisation Details'!$A:$H, 7, FALSE)</f>
        <v>4154.97</v>
      </c>
      <c r="M1882" s="22" t="str">
        <f>VLOOKUP($A1882, 'Hospitalisation Details'!$A:$L, 12, FALSE)</f>
        <v>tier - 2</v>
      </c>
      <c r="N1882" s="22" t="str">
        <f>VLOOKUP($A1882, 'Hospitalisation Details'!$A:$M, 13, FALSE)</f>
        <v>tier - 1</v>
      </c>
      <c r="O1882" s="22" t="str">
        <f>VLOOKUP($A1882, 'Hospitalisation Details'!$A:$N, 14, FALSE)</f>
        <v>R1012</v>
      </c>
      <c r="P1882" s="36">
        <f>VLOOKUP($A1882, 'Hospitalisation Details'!$A:$O, 15, FALSE)</f>
        <v>24</v>
      </c>
    </row>
    <row r="1883" ht="15.75" customHeight="1">
      <c r="A1883" s="33" t="s">
        <v>3765</v>
      </c>
      <c r="B1883" s="22" t="str">
        <f>VLOOKUP($A1883,'Customer Names'!$A:$D,3, FALSE)</f>
        <v>O'Sullivan</v>
      </c>
      <c r="C1883" s="22">
        <f>VLOOKUP($A1883,'Medical Examinations'!$A:$D, 2, FALSE)</f>
        <v>33.33</v>
      </c>
      <c r="D1883" s="22">
        <f>VLOOKUP($A1883, 'Medical Examinations'!$A:$D,3, FALSE)</f>
        <v>4.82</v>
      </c>
      <c r="E1883" s="22" t="str">
        <f>VLOOKUP($A1883, 'Medical Examinations'!$A:$D, 4, FALSE)</f>
        <v>No</v>
      </c>
      <c r="F1883" s="22" t="str">
        <f>VLOOKUP($A1883, 'Medical Examinations'!$A:$J, 5, FALSE)</f>
        <v>No</v>
      </c>
      <c r="G1883" s="22" t="str">
        <f>VLOOKUP($A1883, 'Medical Examinations'!$A:$I, 6, FALSE)</f>
        <v>No</v>
      </c>
      <c r="H1883" s="22">
        <f>VLOOKUP($A1883,'Medical Examinations'!$A:$L,10, FALSE)</f>
        <v>1</v>
      </c>
      <c r="I1883" s="22" t="str">
        <f>VLOOKUP($A1883, 'Medical Examinations'!$A:$J, 9, FALSE)</f>
        <v>No</v>
      </c>
      <c r="J1883" s="22" t="str">
        <f>VLOOKUP($A1883, 'Medical Examinations'!$A:$P, 11, FALSE)</f>
        <v>OBESITY</v>
      </c>
      <c r="K1883" s="34">
        <v>29418.0</v>
      </c>
      <c r="L1883" s="35">
        <f>VLOOKUP($A1883, 'Hospitalisation Details'!$A:$H, 7, FALSE)</f>
        <v>4151.03</v>
      </c>
      <c r="M1883" s="22" t="str">
        <f>VLOOKUP($A1883, 'Hospitalisation Details'!$A:$L, 12, FALSE)</f>
        <v>tier - 2</v>
      </c>
      <c r="N1883" s="22" t="str">
        <f>VLOOKUP($A1883, 'Hospitalisation Details'!$A:$M, 13, FALSE)</f>
        <v>tier - 2</v>
      </c>
      <c r="O1883" s="22" t="str">
        <f>VLOOKUP($A1883, 'Hospitalisation Details'!$A:$N, 14, FALSE)</f>
        <v>R1013</v>
      </c>
      <c r="P1883" s="36">
        <f>VLOOKUP($A1883, 'Hospitalisation Details'!$A:$O, 15, FALSE)</f>
        <v>30</v>
      </c>
    </row>
    <row r="1884" ht="15.75" customHeight="1">
      <c r="A1884" s="33" t="s">
        <v>3767</v>
      </c>
      <c r="B1884" s="22" t="str">
        <f>VLOOKUP($A1884,'Customer Names'!$A:$D,3, FALSE)</f>
        <v>Chepkirui</v>
      </c>
      <c r="C1884" s="22">
        <f>VLOOKUP($A1884,'Medical Examinations'!$A:$D, 2, FALSE)</f>
        <v>32.4</v>
      </c>
      <c r="D1884" s="22">
        <f>VLOOKUP($A1884, 'Medical Examinations'!$A:$D,3, FALSE)</f>
        <v>5.08</v>
      </c>
      <c r="E1884" s="22" t="str">
        <f>VLOOKUP($A1884, 'Medical Examinations'!$A:$D, 4, FALSE)</f>
        <v>No</v>
      </c>
      <c r="F1884" s="22" t="str">
        <f>VLOOKUP($A1884, 'Medical Examinations'!$A:$J, 5, FALSE)</f>
        <v>No</v>
      </c>
      <c r="G1884" s="22" t="str">
        <f>VLOOKUP($A1884, 'Medical Examinations'!$A:$I, 6, FALSE)</f>
        <v>No</v>
      </c>
      <c r="H1884" s="22">
        <f>VLOOKUP($A1884,'Medical Examinations'!$A:$L,10, FALSE)</f>
        <v>1</v>
      </c>
      <c r="I1884" s="22" t="str">
        <f>VLOOKUP($A1884, 'Medical Examinations'!$A:$J, 9, FALSE)</f>
        <v>No</v>
      </c>
      <c r="J1884" s="22" t="str">
        <f>VLOOKUP($A1884, 'Medical Examinations'!$A:$P, 11, FALSE)</f>
        <v>OBESITY</v>
      </c>
      <c r="K1884" s="34">
        <v>28362.0</v>
      </c>
      <c r="L1884" s="35">
        <f>VLOOKUP($A1884, 'Hospitalisation Details'!$A:$H, 7, FALSE)</f>
        <v>4149.74</v>
      </c>
      <c r="M1884" s="22" t="str">
        <f>VLOOKUP($A1884, 'Hospitalisation Details'!$A:$L, 12, FALSE)</f>
        <v>tier - 2</v>
      </c>
      <c r="N1884" s="22" t="str">
        <f>VLOOKUP($A1884, 'Hospitalisation Details'!$A:$M, 13, FALSE)</f>
        <v>tier - 1</v>
      </c>
      <c r="O1884" s="22" t="str">
        <f>VLOOKUP($A1884, 'Hospitalisation Details'!$A:$N, 14, FALSE)</f>
        <v>R1011</v>
      </c>
      <c r="P1884" s="36">
        <f>VLOOKUP($A1884, 'Hospitalisation Details'!$A:$O, 15, FALSE)</f>
        <v>30</v>
      </c>
    </row>
    <row r="1885" ht="15.75" customHeight="1">
      <c r="A1885" s="33" t="s">
        <v>3769</v>
      </c>
      <c r="B1885" s="22" t="str">
        <f>VLOOKUP($A1885,'Customer Names'!$A:$D,3, FALSE)</f>
        <v>Gurney</v>
      </c>
      <c r="C1885" s="22">
        <f>VLOOKUP($A1885,'Medical Examinations'!$A:$D, 2, FALSE)</f>
        <v>27.93</v>
      </c>
      <c r="D1885" s="22">
        <f>VLOOKUP($A1885, 'Medical Examinations'!$A:$D,3, FALSE)</f>
        <v>5.59</v>
      </c>
      <c r="E1885" s="22" t="str">
        <f>VLOOKUP($A1885, 'Medical Examinations'!$A:$D, 4, FALSE)</f>
        <v>No</v>
      </c>
      <c r="F1885" s="22" t="str">
        <f>VLOOKUP($A1885, 'Medical Examinations'!$A:$J, 5, FALSE)</f>
        <v>No</v>
      </c>
      <c r="G1885" s="22" t="str">
        <f>VLOOKUP($A1885, 'Medical Examinations'!$A:$I, 6, FALSE)</f>
        <v>No</v>
      </c>
      <c r="H1885" s="22">
        <f>VLOOKUP($A1885,'Medical Examinations'!$A:$L,10, FALSE)</f>
        <v>1</v>
      </c>
      <c r="I1885" s="22" t="str">
        <f>VLOOKUP($A1885, 'Medical Examinations'!$A:$J, 9, FALSE)</f>
        <v>No</v>
      </c>
      <c r="J1885" s="22" t="str">
        <f>VLOOKUP($A1885, 'Medical Examinations'!$A:$P, 11, FALSE)</f>
        <v>OVERWEIGHT</v>
      </c>
      <c r="K1885" s="34">
        <v>25132.0</v>
      </c>
      <c r="L1885" s="35">
        <f>VLOOKUP($A1885, 'Hospitalisation Details'!$A:$H, 7, FALSE)</f>
        <v>4137.52</v>
      </c>
      <c r="M1885" s="22" t="str">
        <f>VLOOKUP($A1885, 'Hospitalisation Details'!$A:$L, 12, FALSE)</f>
        <v>tier - 2</v>
      </c>
      <c r="N1885" s="22" t="str">
        <f>VLOOKUP($A1885, 'Hospitalisation Details'!$A:$M, 13, FALSE)</f>
        <v>tier - 3</v>
      </c>
      <c r="O1885" s="22" t="str">
        <f>VLOOKUP($A1885, 'Hospitalisation Details'!$A:$N, 14, FALSE)</f>
        <v>R1024</v>
      </c>
      <c r="P1885" s="36">
        <f>VLOOKUP($A1885, 'Hospitalisation Details'!$A:$O, 15, FALSE)</f>
        <v>30</v>
      </c>
    </row>
    <row r="1886" ht="15.75" customHeight="1">
      <c r="A1886" s="33" t="s">
        <v>3771</v>
      </c>
      <c r="B1886" s="22" t="str">
        <f>VLOOKUP($A1886,'Customer Names'!$A:$D,3, FALSE)</f>
        <v>Francis</v>
      </c>
      <c r="C1886" s="22">
        <f>VLOOKUP($A1886,'Medical Examinations'!$A:$D, 2, FALSE)</f>
        <v>21.755</v>
      </c>
      <c r="D1886" s="22">
        <f>VLOOKUP($A1886, 'Medical Examinations'!$A:$D,3, FALSE)</f>
        <v>5.12</v>
      </c>
      <c r="E1886" s="22" t="str">
        <f>VLOOKUP($A1886, 'Medical Examinations'!$A:$D, 4, FALSE)</f>
        <v>No</v>
      </c>
      <c r="F1886" s="22" t="str">
        <f>VLOOKUP($A1886, 'Medical Examinations'!$A:$J, 5, FALSE)</f>
        <v>No</v>
      </c>
      <c r="G1886" s="22" t="str">
        <f>VLOOKUP($A1886, 'Medical Examinations'!$A:$I, 6, FALSE)</f>
        <v>No</v>
      </c>
      <c r="H1886" s="22">
        <f>VLOOKUP($A1886,'Medical Examinations'!$A:$L,10, FALSE)</f>
        <v>0</v>
      </c>
      <c r="I1886" s="22" t="str">
        <f>VLOOKUP($A1886, 'Medical Examinations'!$A:$J, 9, FALSE)</f>
        <v>No</v>
      </c>
      <c r="J1886" s="22" t="str">
        <f>VLOOKUP($A1886, 'Medical Examinations'!$A:$P, 11, FALSE)</f>
        <v>NORMAL WEIGHT</v>
      </c>
      <c r="K1886" s="34">
        <v>37874.0</v>
      </c>
      <c r="L1886" s="35">
        <f>VLOOKUP($A1886, 'Hospitalisation Details'!$A:$H, 7, FALSE)</f>
        <v>4134.08</v>
      </c>
      <c r="M1886" s="22" t="str">
        <f>VLOOKUP($A1886, 'Hospitalisation Details'!$A:$L, 12, FALSE)</f>
        <v>tier - 2</v>
      </c>
      <c r="N1886" s="22" t="str">
        <f>VLOOKUP($A1886, 'Hospitalisation Details'!$A:$M, 13, FALSE)</f>
        <v>tier - 1</v>
      </c>
      <c r="O1886" s="22" t="str">
        <f>VLOOKUP($A1886, 'Hospitalisation Details'!$A:$N, 14, FALSE)</f>
        <v>R1012</v>
      </c>
      <c r="P1886" s="36">
        <f>VLOOKUP($A1886, 'Hospitalisation Details'!$A:$O, 15, FALSE)</f>
        <v>31</v>
      </c>
    </row>
    <row r="1887" ht="15.75" customHeight="1">
      <c r="A1887" s="33" t="s">
        <v>3773</v>
      </c>
      <c r="B1887" s="22" t="str">
        <f>VLOOKUP($A1887,'Customer Names'!$A:$D,3, FALSE)</f>
        <v>Gruca</v>
      </c>
      <c r="C1887" s="22">
        <f>VLOOKUP($A1887,'Medical Examinations'!$A:$D, 2, FALSE)</f>
        <v>25.935</v>
      </c>
      <c r="D1887" s="22">
        <f>VLOOKUP($A1887, 'Medical Examinations'!$A:$D,3, FALSE)</f>
        <v>4.95</v>
      </c>
      <c r="E1887" s="22" t="str">
        <f>VLOOKUP($A1887, 'Medical Examinations'!$A:$D, 4, FALSE)</f>
        <v>No</v>
      </c>
      <c r="F1887" s="22" t="str">
        <f>VLOOKUP($A1887, 'Medical Examinations'!$A:$J, 5, FALSE)</f>
        <v>No</v>
      </c>
      <c r="G1887" s="22" t="str">
        <f>VLOOKUP($A1887, 'Medical Examinations'!$A:$I, 6, FALSE)</f>
        <v>No</v>
      </c>
      <c r="H1887" s="22">
        <f>VLOOKUP($A1887,'Medical Examinations'!$A:$L,10, FALSE)</f>
        <v>0</v>
      </c>
      <c r="I1887" s="22" t="str">
        <f>VLOOKUP($A1887, 'Medical Examinations'!$A:$J, 9, FALSE)</f>
        <v>No</v>
      </c>
      <c r="J1887" s="22" t="str">
        <f>VLOOKUP($A1887, 'Medical Examinations'!$A:$P, 11, FALSE)</f>
        <v>OVERWEIGHT</v>
      </c>
      <c r="K1887" s="34">
        <v>27249.0</v>
      </c>
      <c r="L1887" s="35">
        <f>VLOOKUP($A1887, 'Hospitalisation Details'!$A:$H, 7, FALSE)</f>
        <v>4133.64</v>
      </c>
      <c r="M1887" s="22" t="str">
        <f>VLOOKUP($A1887, 'Hospitalisation Details'!$A:$L, 12, FALSE)</f>
        <v>tier - 2</v>
      </c>
      <c r="N1887" s="22" t="str">
        <f>VLOOKUP($A1887, 'Hospitalisation Details'!$A:$M, 13, FALSE)</f>
        <v>tier - 3</v>
      </c>
      <c r="O1887" s="22" t="str">
        <f>VLOOKUP($A1887, 'Hospitalisation Details'!$A:$N, 14, FALSE)</f>
        <v>R1012</v>
      </c>
      <c r="P1887" s="36">
        <f>VLOOKUP($A1887, 'Hospitalisation Details'!$A:$O, 15, FALSE)</f>
        <v>28</v>
      </c>
    </row>
    <row r="1888" ht="15.75" customHeight="1">
      <c r="A1888" s="33" t="s">
        <v>3775</v>
      </c>
      <c r="B1888" s="22" t="str">
        <f>VLOOKUP($A1888,'Customer Names'!$A:$D,3, FALSE)</f>
        <v>Roja</v>
      </c>
      <c r="C1888" s="22">
        <f>VLOOKUP($A1888,'Medical Examinations'!$A:$D, 2, FALSE)</f>
        <v>31.5</v>
      </c>
      <c r="D1888" s="22">
        <f>VLOOKUP($A1888, 'Medical Examinations'!$A:$D,3, FALSE)</f>
        <v>6.16</v>
      </c>
      <c r="E1888" s="22" t="str">
        <f>VLOOKUP($A1888, 'Medical Examinations'!$A:$D, 4, FALSE)</f>
        <v>No</v>
      </c>
      <c r="F1888" s="22" t="str">
        <f>VLOOKUP($A1888, 'Medical Examinations'!$A:$J, 5, FALSE)</f>
        <v>No</v>
      </c>
      <c r="G1888" s="22" t="str">
        <f>VLOOKUP($A1888, 'Medical Examinations'!$A:$I, 6, FALSE)</f>
        <v>No</v>
      </c>
      <c r="H1888" s="22">
        <f>VLOOKUP($A1888,'Medical Examinations'!$A:$L,10, FALSE)</f>
        <v>0</v>
      </c>
      <c r="I1888" s="22" t="str">
        <f>VLOOKUP($A1888, 'Medical Examinations'!$A:$J, 9, FALSE)</f>
        <v>No</v>
      </c>
      <c r="J1888" s="22" t="str">
        <f>VLOOKUP($A1888, 'Medical Examinations'!$A:$P, 11, FALSE)</f>
        <v>OBESITY</v>
      </c>
      <c r="K1888" s="34">
        <v>34991.0</v>
      </c>
      <c r="L1888" s="35">
        <f>VLOOKUP($A1888, 'Hospitalisation Details'!$A:$H, 7, FALSE)</f>
        <v>4076.5</v>
      </c>
      <c r="M1888" s="22" t="str">
        <f>VLOOKUP($A1888, 'Hospitalisation Details'!$A:$L, 12, FALSE)</f>
        <v>tier - 2</v>
      </c>
      <c r="N1888" s="22" t="str">
        <f>VLOOKUP($A1888, 'Hospitalisation Details'!$A:$M, 13, FALSE)</f>
        <v>tier - 3</v>
      </c>
      <c r="O1888" s="22" t="str">
        <f>VLOOKUP($A1888, 'Hospitalisation Details'!$A:$N, 14, FALSE)</f>
        <v>R1011</v>
      </c>
      <c r="P1888" s="36">
        <f>VLOOKUP($A1888, 'Hospitalisation Details'!$A:$O, 15, FALSE)</f>
        <v>32</v>
      </c>
    </row>
    <row r="1889" ht="15.75" customHeight="1">
      <c r="A1889" s="33" t="s">
        <v>3777</v>
      </c>
      <c r="B1889" s="22" t="str">
        <f>VLOOKUP($A1889,'Customer Names'!$A:$D,3, FALSE)</f>
        <v>Denton</v>
      </c>
      <c r="C1889" s="22">
        <f>VLOOKUP($A1889,'Medical Examinations'!$A:$D, 2, FALSE)</f>
        <v>30.03</v>
      </c>
      <c r="D1889" s="22">
        <f>VLOOKUP($A1889, 'Medical Examinations'!$A:$D,3, FALSE)</f>
        <v>6.41</v>
      </c>
      <c r="E1889" s="22" t="str">
        <f>VLOOKUP($A1889, 'Medical Examinations'!$A:$D, 4, FALSE)</f>
        <v>No</v>
      </c>
      <c r="F1889" s="22" t="str">
        <f>VLOOKUP($A1889, 'Medical Examinations'!$A:$J, 5, FALSE)</f>
        <v>No</v>
      </c>
      <c r="G1889" s="22" t="str">
        <f>VLOOKUP($A1889, 'Medical Examinations'!$A:$I, 6, FALSE)</f>
        <v>No</v>
      </c>
      <c r="H1889" s="22">
        <f>VLOOKUP($A1889,'Medical Examinations'!$A:$L,10, FALSE)</f>
        <v>0</v>
      </c>
      <c r="I1889" s="22" t="str">
        <f>VLOOKUP($A1889, 'Medical Examinations'!$A:$J, 9, FALSE)</f>
        <v>No</v>
      </c>
      <c r="J1889" s="22" t="str">
        <f>VLOOKUP($A1889, 'Medical Examinations'!$A:$P, 11, FALSE)</f>
        <v>OBESITY</v>
      </c>
      <c r="K1889" s="34">
        <v>22856.0</v>
      </c>
      <c r="L1889" s="35">
        <f>VLOOKUP($A1889, 'Hospitalisation Details'!$A:$H, 7, FALSE)</f>
        <v>4074.45</v>
      </c>
      <c r="M1889" s="22" t="str">
        <f>VLOOKUP($A1889, 'Hospitalisation Details'!$A:$L, 12, FALSE)</f>
        <v>tier - 3</v>
      </c>
      <c r="N1889" s="22" t="str">
        <f>VLOOKUP($A1889, 'Hospitalisation Details'!$A:$M, 13, FALSE)</f>
        <v>tier - 2</v>
      </c>
      <c r="O1889" s="22" t="str">
        <f>VLOOKUP($A1889, 'Hospitalisation Details'!$A:$N, 14, FALSE)</f>
        <v>R1013</v>
      </c>
      <c r="P1889" s="36">
        <f>VLOOKUP($A1889, 'Hospitalisation Details'!$A:$O, 15, FALSE)</f>
        <v>32</v>
      </c>
    </row>
    <row r="1890" ht="15.75" customHeight="1">
      <c r="A1890" s="33" t="s">
        <v>3779</v>
      </c>
      <c r="B1890" s="22" t="str">
        <f>VLOOKUP($A1890,'Customer Names'!$A:$D,3, FALSE)</f>
        <v>Mason</v>
      </c>
      <c r="C1890" s="22">
        <f>VLOOKUP($A1890,'Medical Examinations'!$A:$D, 2, FALSE)</f>
        <v>33.48</v>
      </c>
      <c r="D1890" s="22">
        <f>VLOOKUP($A1890, 'Medical Examinations'!$A:$D,3, FALSE)</f>
        <v>8.94</v>
      </c>
      <c r="E1890" s="22" t="str">
        <f>VLOOKUP($A1890, 'Medical Examinations'!$A:$D, 4, FALSE)</f>
        <v>No</v>
      </c>
      <c r="F1890" s="22" t="str">
        <f>VLOOKUP($A1890, 'Medical Examinations'!$A:$J, 5, FALSE)</f>
        <v>No</v>
      </c>
      <c r="G1890" s="22" t="str">
        <f>VLOOKUP($A1890, 'Medical Examinations'!$A:$I, 6, FALSE)</f>
        <v>No</v>
      </c>
      <c r="H1890" s="22">
        <f>VLOOKUP($A1890,'Medical Examinations'!$A:$L,10, FALSE)</f>
        <v>0</v>
      </c>
      <c r="I1890" s="22" t="str">
        <f>VLOOKUP($A1890, 'Medical Examinations'!$A:$J, 9, FALSE)</f>
        <v>No</v>
      </c>
      <c r="J1890" s="22" t="str">
        <f>VLOOKUP($A1890, 'Medical Examinations'!$A:$P, 11, FALSE)</f>
        <v>OBESITY</v>
      </c>
      <c r="K1890" s="34">
        <v>28419.0</v>
      </c>
      <c r="L1890" s="35">
        <f>VLOOKUP($A1890, 'Hospitalisation Details'!$A:$H, 7, FALSE)</f>
        <v>4070.51</v>
      </c>
      <c r="M1890" s="22" t="str">
        <f>VLOOKUP($A1890, 'Hospitalisation Details'!$A:$L, 12, FALSE)</f>
        <v>tier - 2</v>
      </c>
      <c r="N1890" s="22" t="str">
        <f>VLOOKUP($A1890, 'Hospitalisation Details'!$A:$M, 13, FALSE)</f>
        <v>tier - 1</v>
      </c>
      <c r="O1890" s="22" t="str">
        <f>VLOOKUP($A1890, 'Hospitalisation Details'!$A:$N, 14, FALSE)</f>
        <v>R1012</v>
      </c>
      <c r="P1890" s="36">
        <f>VLOOKUP($A1890, 'Hospitalisation Details'!$A:$O, 15, FALSE)</f>
        <v>20</v>
      </c>
    </row>
    <row r="1891" ht="15.75" customHeight="1">
      <c r="A1891" s="33" t="s">
        <v>3781</v>
      </c>
      <c r="B1891" s="22" t="str">
        <f>VLOOKUP($A1891,'Customer Names'!$A:$D,3, FALSE)</f>
        <v>Trout</v>
      </c>
      <c r="C1891" s="22">
        <f>VLOOKUP($A1891,'Medical Examinations'!$A:$D, 2, FALSE)</f>
        <v>16.51</v>
      </c>
      <c r="D1891" s="22">
        <f>VLOOKUP($A1891, 'Medical Examinations'!$A:$D,3, FALSE)</f>
        <v>4.42</v>
      </c>
      <c r="E1891" s="22" t="str">
        <f>VLOOKUP($A1891, 'Medical Examinations'!$A:$D, 4, FALSE)</f>
        <v>Yes</v>
      </c>
      <c r="F1891" s="22" t="str">
        <f>VLOOKUP($A1891, 'Medical Examinations'!$A:$J, 5, FALSE)</f>
        <v>No</v>
      </c>
      <c r="G1891" s="22" t="str">
        <f>VLOOKUP($A1891, 'Medical Examinations'!$A:$I, 6, FALSE)</f>
        <v>Yes</v>
      </c>
      <c r="H1891" s="22">
        <f>VLOOKUP($A1891,'Medical Examinations'!$A:$L,10, FALSE)</f>
        <v>1</v>
      </c>
      <c r="I1891" s="22" t="str">
        <f>VLOOKUP($A1891, 'Medical Examinations'!$A:$J, 9, FALSE)</f>
        <v>No</v>
      </c>
      <c r="J1891" s="22" t="str">
        <f>VLOOKUP($A1891, 'Medical Examinations'!$A:$P, 11, FALSE)</f>
        <v>UNDERWEIGHT</v>
      </c>
      <c r="K1891" s="34">
        <v>32774.0</v>
      </c>
      <c r="L1891" s="35">
        <f>VLOOKUP($A1891, 'Hospitalisation Details'!$A:$H, 7, FALSE)</f>
        <v>4070.42</v>
      </c>
      <c r="M1891" s="22" t="str">
        <f>VLOOKUP($A1891, 'Hospitalisation Details'!$A:$L, 12, FALSE)</f>
        <v>tier - 2</v>
      </c>
      <c r="N1891" s="22" t="str">
        <f>VLOOKUP($A1891, 'Hospitalisation Details'!$A:$M, 13, FALSE)</f>
        <v>tier - 1</v>
      </c>
      <c r="O1891" s="22" t="str">
        <f>VLOOKUP($A1891, 'Hospitalisation Details'!$A:$N, 14, FALSE)</f>
        <v>R1013</v>
      </c>
      <c r="P1891" s="36">
        <f>VLOOKUP($A1891, 'Hospitalisation Details'!$A:$O, 15, FALSE)</f>
        <v>39</v>
      </c>
    </row>
    <row r="1892" ht="15.75" customHeight="1">
      <c r="A1892" s="33" t="s">
        <v>3783</v>
      </c>
      <c r="B1892" s="22" t="str">
        <f>VLOOKUP($A1892,'Customer Names'!$A:$D,3, FALSE)</f>
        <v>Gilbert</v>
      </c>
      <c r="C1892" s="22">
        <f>VLOOKUP($A1892,'Medical Examinations'!$A:$D, 2, FALSE)</f>
        <v>33.155</v>
      </c>
      <c r="D1892" s="22">
        <f>VLOOKUP($A1892, 'Medical Examinations'!$A:$D,3, FALSE)</f>
        <v>5.3</v>
      </c>
      <c r="E1892" s="22" t="str">
        <f>VLOOKUP($A1892, 'Medical Examinations'!$A:$D, 4, FALSE)</f>
        <v>Yes</v>
      </c>
      <c r="F1892" s="22" t="str">
        <f>VLOOKUP($A1892, 'Medical Examinations'!$A:$J, 5, FALSE)</f>
        <v>No</v>
      </c>
      <c r="G1892" s="22" t="str">
        <f>VLOOKUP($A1892, 'Medical Examinations'!$A:$I, 6, FALSE)</f>
        <v>No</v>
      </c>
      <c r="H1892" s="22">
        <f>VLOOKUP($A1892,'Medical Examinations'!$A:$L,10, FALSE)</f>
        <v>1</v>
      </c>
      <c r="I1892" s="22" t="str">
        <f>VLOOKUP($A1892, 'Medical Examinations'!$A:$J, 9, FALSE)</f>
        <v>No</v>
      </c>
      <c r="J1892" s="22" t="str">
        <f>VLOOKUP($A1892, 'Medical Examinations'!$A:$P, 11, FALSE)</f>
        <v>OBESITY</v>
      </c>
      <c r="K1892" s="34">
        <v>27269.0</v>
      </c>
      <c r="L1892" s="35">
        <f>VLOOKUP($A1892, 'Hospitalisation Details'!$A:$H, 7, FALSE)</f>
        <v>4058.71</v>
      </c>
      <c r="M1892" s="22" t="str">
        <f>VLOOKUP($A1892, 'Hospitalisation Details'!$A:$L, 12, FALSE)</f>
        <v>tier - 3</v>
      </c>
      <c r="N1892" s="22" t="str">
        <f>VLOOKUP($A1892, 'Hospitalisation Details'!$A:$M, 13, FALSE)</f>
        <v>tier - 3</v>
      </c>
      <c r="O1892" s="22" t="str">
        <f>VLOOKUP($A1892, 'Hospitalisation Details'!$A:$N, 14, FALSE)</f>
        <v>R1012</v>
      </c>
      <c r="P1892" s="36">
        <f>VLOOKUP($A1892, 'Hospitalisation Details'!$A:$O, 15, FALSE)</f>
        <v>27</v>
      </c>
    </row>
    <row r="1893" ht="15.75" customHeight="1">
      <c r="A1893" s="33" t="s">
        <v>3785</v>
      </c>
      <c r="B1893" s="22" t="str">
        <f>VLOOKUP($A1893,'Customer Names'!$A:$D,3, FALSE)</f>
        <v>Chong</v>
      </c>
      <c r="C1893" s="22">
        <f>VLOOKUP($A1893,'Medical Examinations'!$A:$D, 2, FALSE)</f>
        <v>37.29</v>
      </c>
      <c r="D1893" s="22">
        <f>VLOOKUP($A1893, 'Medical Examinations'!$A:$D,3, FALSE)</f>
        <v>4.64</v>
      </c>
      <c r="E1893" s="22" t="str">
        <f>VLOOKUP($A1893, 'Medical Examinations'!$A:$D, 4, FALSE)</f>
        <v>No</v>
      </c>
      <c r="F1893" s="22" t="str">
        <f>VLOOKUP($A1893, 'Medical Examinations'!$A:$J, 5, FALSE)</f>
        <v>No</v>
      </c>
      <c r="G1893" s="22" t="str">
        <f>VLOOKUP($A1893, 'Medical Examinations'!$A:$I, 6, FALSE)</f>
        <v>Yes</v>
      </c>
      <c r="H1893" s="22">
        <f>VLOOKUP($A1893,'Medical Examinations'!$A:$L,10, FALSE)</f>
        <v>1</v>
      </c>
      <c r="I1893" s="22" t="str">
        <f>VLOOKUP($A1893, 'Medical Examinations'!$A:$J, 9, FALSE)</f>
        <v>No</v>
      </c>
      <c r="J1893" s="22" t="str">
        <f>VLOOKUP($A1893, 'Medical Examinations'!$A:$P, 11, FALSE)</f>
        <v>OBESITY</v>
      </c>
      <c r="K1893" s="34">
        <v>34278.0</v>
      </c>
      <c r="L1893" s="35">
        <f>VLOOKUP($A1893, 'Hospitalisation Details'!$A:$H, 7, FALSE)</f>
        <v>4058.12</v>
      </c>
      <c r="M1893" s="22" t="str">
        <f>VLOOKUP($A1893, 'Hospitalisation Details'!$A:$L, 12, FALSE)</f>
        <v>tier - 2</v>
      </c>
      <c r="N1893" s="22" t="str">
        <f>VLOOKUP($A1893, 'Hospitalisation Details'!$A:$M, 13, FALSE)</f>
        <v>tier - 1</v>
      </c>
      <c r="O1893" s="22" t="str">
        <f>VLOOKUP($A1893, 'Hospitalisation Details'!$A:$N, 14, FALSE)</f>
        <v>R1013</v>
      </c>
      <c r="P1893" s="36">
        <f>VLOOKUP($A1893, 'Hospitalisation Details'!$A:$O, 15, FALSE)</f>
        <v>29</v>
      </c>
    </row>
    <row r="1894" ht="15.75" customHeight="1">
      <c r="A1894" s="33" t="s">
        <v>3787</v>
      </c>
      <c r="B1894" s="22" t="str">
        <f>VLOOKUP($A1894,'Customer Names'!$A:$D,3, FALSE)</f>
        <v>Henry</v>
      </c>
      <c r="C1894" s="22">
        <f>VLOOKUP($A1894,'Medical Examinations'!$A:$D, 2, FALSE)</f>
        <v>20.23</v>
      </c>
      <c r="D1894" s="22">
        <f>VLOOKUP($A1894, 'Medical Examinations'!$A:$D,3, FALSE)</f>
        <v>6.16</v>
      </c>
      <c r="E1894" s="22" t="str">
        <f>VLOOKUP($A1894, 'Medical Examinations'!$A:$D, 4, FALSE)</f>
        <v>Yes</v>
      </c>
      <c r="F1894" s="22" t="str">
        <f>VLOOKUP($A1894, 'Medical Examinations'!$A:$J, 5, FALSE)</f>
        <v>No</v>
      </c>
      <c r="G1894" s="22" t="str">
        <f>VLOOKUP($A1894, 'Medical Examinations'!$A:$I, 6, FALSE)</f>
        <v>No</v>
      </c>
      <c r="H1894" s="22">
        <f>VLOOKUP($A1894,'Medical Examinations'!$A:$L,10, FALSE)</f>
        <v>1</v>
      </c>
      <c r="I1894" s="22" t="str">
        <f>VLOOKUP($A1894, 'Medical Examinations'!$A:$J, 9, FALSE)</f>
        <v>No</v>
      </c>
      <c r="J1894" s="22" t="str">
        <f>VLOOKUP($A1894, 'Medical Examinations'!$A:$P, 11, FALSE)</f>
        <v>NORMAL WEIGHT</v>
      </c>
      <c r="K1894" s="34">
        <v>28393.0</v>
      </c>
      <c r="L1894" s="35">
        <f>VLOOKUP($A1894, 'Hospitalisation Details'!$A:$H, 7, FALSE)</f>
        <v>4047.94</v>
      </c>
      <c r="M1894" s="22" t="str">
        <f>VLOOKUP($A1894, 'Hospitalisation Details'!$A:$L, 12, FALSE)</f>
        <v>tier - 2</v>
      </c>
      <c r="N1894" s="22" t="str">
        <f>VLOOKUP($A1894, 'Hospitalisation Details'!$A:$M, 13, FALSE)</f>
        <v>tier - 1</v>
      </c>
      <c r="O1894" s="22" t="str">
        <f>VLOOKUP($A1894, 'Hospitalisation Details'!$A:$N, 14, FALSE)</f>
        <v>R1013</v>
      </c>
      <c r="P1894" s="36">
        <f>VLOOKUP($A1894, 'Hospitalisation Details'!$A:$O, 15, FALSE)</f>
        <v>34</v>
      </c>
    </row>
    <row r="1895" ht="15.75" customHeight="1">
      <c r="A1895" s="33" t="s">
        <v>3789</v>
      </c>
      <c r="B1895" s="22" t="str">
        <f>VLOOKUP($A1895,'Customer Names'!$A:$D,3, FALSE)</f>
        <v>Brenneman</v>
      </c>
      <c r="C1895" s="22">
        <f>VLOOKUP($A1895,'Medical Examinations'!$A:$D, 2, FALSE)</f>
        <v>28.975</v>
      </c>
      <c r="D1895" s="22">
        <f>VLOOKUP($A1895, 'Medical Examinations'!$A:$D,3, FALSE)</f>
        <v>4.12</v>
      </c>
      <c r="E1895" s="22" t="str">
        <f>VLOOKUP($A1895, 'Medical Examinations'!$A:$D, 4, FALSE)</f>
        <v>No</v>
      </c>
      <c r="F1895" s="22" t="str">
        <f>VLOOKUP($A1895, 'Medical Examinations'!$A:$J, 5, FALSE)</f>
        <v>No</v>
      </c>
      <c r="G1895" s="22" t="str">
        <f>VLOOKUP($A1895, 'Medical Examinations'!$A:$I, 6, FALSE)</f>
        <v>Yes</v>
      </c>
      <c r="H1895" s="22">
        <f>VLOOKUP($A1895,'Medical Examinations'!$A:$L,10, FALSE)</f>
        <v>1</v>
      </c>
      <c r="I1895" s="22" t="str">
        <f>VLOOKUP($A1895, 'Medical Examinations'!$A:$J, 9, FALSE)</f>
        <v>No</v>
      </c>
      <c r="J1895" s="22" t="str">
        <f>VLOOKUP($A1895, 'Medical Examinations'!$A:$P, 11, FALSE)</f>
        <v>OVERWEIGHT</v>
      </c>
      <c r="K1895" s="34">
        <v>27599.0</v>
      </c>
      <c r="L1895" s="35">
        <f>VLOOKUP($A1895, 'Hospitalisation Details'!$A:$H, 7, FALSE)</f>
        <v>4040.56</v>
      </c>
      <c r="M1895" s="22" t="str">
        <f>VLOOKUP($A1895, 'Hospitalisation Details'!$A:$L, 12, FALSE)</f>
        <v>tier - 3</v>
      </c>
      <c r="N1895" s="22" t="str">
        <f>VLOOKUP($A1895, 'Hospitalisation Details'!$A:$M, 13, FALSE)</f>
        <v>tier - 3</v>
      </c>
      <c r="O1895" s="22" t="str">
        <f>VLOOKUP($A1895, 'Hospitalisation Details'!$A:$N, 14, FALSE)</f>
        <v>R1015</v>
      </c>
      <c r="P1895" s="36">
        <f>VLOOKUP($A1895, 'Hospitalisation Details'!$A:$O, 15, FALSE)</f>
        <v>29</v>
      </c>
    </row>
    <row r="1896" ht="15.75" customHeight="1">
      <c r="A1896" s="33" t="s">
        <v>3791</v>
      </c>
      <c r="B1896" s="22" t="str">
        <f>VLOOKUP($A1896,'Customer Names'!$A:$D,3, FALSE)</f>
        <v>Kemp</v>
      </c>
      <c r="C1896" s="22">
        <f>VLOOKUP($A1896,'Medical Examinations'!$A:$D, 2, FALSE)</f>
        <v>16.42</v>
      </c>
      <c r="D1896" s="22">
        <f>VLOOKUP($A1896, 'Medical Examinations'!$A:$D,3, FALSE)</f>
        <v>5.77</v>
      </c>
      <c r="E1896" s="22" t="str">
        <f>VLOOKUP($A1896, 'Medical Examinations'!$A:$D, 4, FALSE)</f>
        <v>Yes</v>
      </c>
      <c r="F1896" s="22" t="str">
        <f>VLOOKUP($A1896, 'Medical Examinations'!$A:$J, 5, FALSE)</f>
        <v>No</v>
      </c>
      <c r="G1896" s="22" t="str">
        <f>VLOOKUP($A1896, 'Medical Examinations'!$A:$I, 6, FALSE)</f>
        <v>Yes</v>
      </c>
      <c r="H1896" s="22">
        <f>VLOOKUP($A1896,'Medical Examinations'!$A:$L,10, FALSE)</f>
        <v>1</v>
      </c>
      <c r="I1896" s="22" t="str">
        <f>VLOOKUP($A1896, 'Medical Examinations'!$A:$J, 9, FALSE)</f>
        <v>No</v>
      </c>
      <c r="J1896" s="22" t="str">
        <f>VLOOKUP($A1896, 'Medical Examinations'!$A:$P, 11, FALSE)</f>
        <v>UNDERWEIGHT</v>
      </c>
      <c r="K1896" s="34">
        <v>25759.0</v>
      </c>
      <c r="L1896" s="35">
        <f>VLOOKUP($A1896, 'Hospitalisation Details'!$A:$H, 7, FALSE)</f>
        <v>4039.9</v>
      </c>
      <c r="M1896" s="22" t="str">
        <f>VLOOKUP($A1896, 'Hospitalisation Details'!$A:$L, 12, FALSE)</f>
        <v>tier - 2</v>
      </c>
      <c r="N1896" s="22" t="str">
        <f>VLOOKUP($A1896, 'Hospitalisation Details'!$A:$M, 13, FALSE)</f>
        <v>tier - 1</v>
      </c>
      <c r="O1896" s="22" t="str">
        <f>VLOOKUP($A1896, 'Hospitalisation Details'!$A:$N, 14, FALSE)</f>
        <v>R1013</v>
      </c>
      <c r="P1896" s="36">
        <f>VLOOKUP($A1896, 'Hospitalisation Details'!$A:$O, 15, FALSE)</f>
        <v>39</v>
      </c>
    </row>
    <row r="1897" ht="15.75" customHeight="1">
      <c r="A1897" s="33" t="s">
        <v>3793</v>
      </c>
      <c r="B1897" s="22" t="str">
        <f>VLOOKUP($A1897,'Customer Names'!$A:$D,3, FALSE)</f>
        <v>Wilson</v>
      </c>
      <c r="C1897" s="22">
        <f>VLOOKUP($A1897,'Medical Examinations'!$A:$D, 2, FALSE)</f>
        <v>17.56</v>
      </c>
      <c r="D1897" s="22">
        <f>VLOOKUP($A1897, 'Medical Examinations'!$A:$D,3, FALSE)</f>
        <v>6.2</v>
      </c>
      <c r="E1897" s="22" t="str">
        <f>VLOOKUP($A1897, 'Medical Examinations'!$A:$D, 4, FALSE)</f>
        <v>No</v>
      </c>
      <c r="F1897" s="22" t="str">
        <f>VLOOKUP($A1897, 'Medical Examinations'!$A:$J, 5, FALSE)</f>
        <v>No</v>
      </c>
      <c r="G1897" s="22" t="str">
        <f>VLOOKUP($A1897, 'Medical Examinations'!$A:$I, 6, FALSE)</f>
        <v>No</v>
      </c>
      <c r="H1897" s="22">
        <f>VLOOKUP($A1897,'Medical Examinations'!$A:$L,10, FALSE)</f>
        <v>1</v>
      </c>
      <c r="I1897" s="22" t="str">
        <f>VLOOKUP($A1897, 'Medical Examinations'!$A:$J, 9, FALSE)</f>
        <v>No</v>
      </c>
      <c r="J1897" s="22" t="str">
        <f>VLOOKUP($A1897, 'Medical Examinations'!$A:$P, 11, FALSE)</f>
        <v>UNDERWEIGHT</v>
      </c>
      <c r="K1897" s="34">
        <v>23187.0</v>
      </c>
      <c r="L1897" s="35">
        <f>VLOOKUP($A1897, 'Hospitalisation Details'!$A:$H, 7, FALSE)</f>
        <v>4038.41</v>
      </c>
      <c r="M1897" s="22" t="str">
        <f>VLOOKUP($A1897, 'Hospitalisation Details'!$A:$L, 12, FALSE)</f>
        <v>tier - 2</v>
      </c>
      <c r="N1897" s="22" t="str">
        <f>VLOOKUP($A1897, 'Hospitalisation Details'!$A:$M, 13, FALSE)</f>
        <v>tier - 1</v>
      </c>
      <c r="O1897" s="22" t="str">
        <f>VLOOKUP($A1897, 'Hospitalisation Details'!$A:$N, 14, FALSE)</f>
        <v>R1013</v>
      </c>
      <c r="P1897" s="36">
        <f>VLOOKUP($A1897, 'Hospitalisation Details'!$A:$O, 15, FALSE)</f>
        <v>38</v>
      </c>
    </row>
    <row r="1898" ht="15.75" customHeight="1">
      <c r="A1898" s="33" t="s">
        <v>3795</v>
      </c>
      <c r="B1898" s="22" t="str">
        <f>VLOOKUP($A1898,'Customer Names'!$A:$D,3, FALSE)</f>
        <v>Hillyard</v>
      </c>
      <c r="C1898" s="22">
        <f>VLOOKUP($A1898,'Medical Examinations'!$A:$D, 2, FALSE)</f>
        <v>24.13</v>
      </c>
      <c r="D1898" s="22">
        <f>VLOOKUP($A1898, 'Medical Examinations'!$A:$D,3, FALSE)</f>
        <v>4.39</v>
      </c>
      <c r="E1898" s="22" t="str">
        <f>VLOOKUP($A1898, 'Medical Examinations'!$A:$D, 4, FALSE)</f>
        <v>No</v>
      </c>
      <c r="F1898" s="22" t="str">
        <f>VLOOKUP($A1898, 'Medical Examinations'!$A:$J, 5, FALSE)</f>
        <v>No</v>
      </c>
      <c r="G1898" s="22" t="str">
        <f>VLOOKUP($A1898, 'Medical Examinations'!$A:$I, 6, FALSE)</f>
        <v>No</v>
      </c>
      <c r="H1898" s="22">
        <f>VLOOKUP($A1898,'Medical Examinations'!$A:$L,10, FALSE)</f>
        <v>1</v>
      </c>
      <c r="I1898" s="22" t="str">
        <f>VLOOKUP($A1898, 'Medical Examinations'!$A:$J, 9, FALSE)</f>
        <v>No</v>
      </c>
      <c r="J1898" s="22" t="str">
        <f>VLOOKUP($A1898, 'Medical Examinations'!$A:$P, 11, FALSE)</f>
        <v>NORMAL WEIGHT</v>
      </c>
      <c r="K1898" s="34">
        <v>37067.0</v>
      </c>
      <c r="L1898" s="35">
        <f>VLOOKUP($A1898, 'Hospitalisation Details'!$A:$H, 7, FALSE)</f>
        <v>4032.24</v>
      </c>
      <c r="M1898" s="22" t="str">
        <f>VLOOKUP($A1898, 'Hospitalisation Details'!$A:$L, 12, FALSE)</f>
        <v>tier - 3</v>
      </c>
      <c r="N1898" s="22" t="str">
        <f>VLOOKUP($A1898, 'Hospitalisation Details'!$A:$M, 13, FALSE)</f>
        <v>tier - 3</v>
      </c>
      <c r="O1898" s="22" t="str">
        <f>VLOOKUP($A1898, 'Hospitalisation Details'!$A:$N, 14, FALSE)</f>
        <v>R1012</v>
      </c>
      <c r="P1898" s="36">
        <f>VLOOKUP($A1898, 'Hospitalisation Details'!$A:$O, 15, FALSE)</f>
        <v>30</v>
      </c>
    </row>
    <row r="1899" ht="15.75" customHeight="1">
      <c r="A1899" s="33" t="s">
        <v>3797</v>
      </c>
      <c r="B1899" s="22" t="str">
        <f>VLOOKUP($A1899,'Customer Names'!$A:$D,3, FALSE)</f>
        <v>Turner</v>
      </c>
      <c r="C1899" s="22">
        <f>VLOOKUP($A1899,'Medical Examinations'!$A:$D, 2, FALSE)</f>
        <v>19.95</v>
      </c>
      <c r="D1899" s="22">
        <f>VLOOKUP($A1899, 'Medical Examinations'!$A:$D,3, FALSE)</f>
        <v>5.13</v>
      </c>
      <c r="E1899" s="22" t="str">
        <f>VLOOKUP($A1899, 'Medical Examinations'!$A:$D, 4, FALSE)</f>
        <v>No</v>
      </c>
      <c r="F1899" s="22" t="str">
        <f>VLOOKUP($A1899, 'Medical Examinations'!$A:$J, 5, FALSE)</f>
        <v>Yes</v>
      </c>
      <c r="G1899" s="22" t="str">
        <f>VLOOKUP($A1899, 'Medical Examinations'!$A:$I, 6, FALSE)</f>
        <v>No</v>
      </c>
      <c r="H1899" s="22">
        <f>VLOOKUP($A1899,'Medical Examinations'!$A:$L,10, FALSE)</f>
        <v>2</v>
      </c>
      <c r="I1899" s="22" t="str">
        <f>VLOOKUP($A1899, 'Medical Examinations'!$A:$J, 9, FALSE)</f>
        <v>No</v>
      </c>
      <c r="J1899" s="22" t="str">
        <f>VLOOKUP($A1899, 'Medical Examinations'!$A:$P, 11, FALSE)</f>
        <v>NORMAL WEIGHT</v>
      </c>
      <c r="K1899" s="34">
        <v>35056.0</v>
      </c>
      <c r="L1899" s="35">
        <f>VLOOKUP($A1899, 'Hospitalisation Details'!$A:$H, 7, FALSE)</f>
        <v>4005.42</v>
      </c>
      <c r="M1899" s="22" t="str">
        <f>VLOOKUP($A1899, 'Hospitalisation Details'!$A:$L, 12, FALSE)</f>
        <v>tier - 2</v>
      </c>
      <c r="N1899" s="22" t="str">
        <f>VLOOKUP($A1899, 'Hospitalisation Details'!$A:$M, 13, FALSE)</f>
        <v>tier - 1</v>
      </c>
      <c r="O1899" s="22" t="str">
        <f>VLOOKUP($A1899, 'Hospitalisation Details'!$A:$N, 14, FALSE)</f>
        <v>R1015</v>
      </c>
      <c r="P1899" s="36">
        <f>VLOOKUP($A1899, 'Hospitalisation Details'!$A:$O, 15, FALSE)</f>
        <v>22</v>
      </c>
    </row>
    <row r="1900" ht="15.75" customHeight="1">
      <c r="A1900" s="33" t="s">
        <v>3799</v>
      </c>
      <c r="B1900" s="22" t="str">
        <f>VLOOKUP($A1900,'Customer Names'!$A:$D,3, FALSE)</f>
        <v>Benestad</v>
      </c>
      <c r="C1900" s="22">
        <f>VLOOKUP($A1900,'Medical Examinations'!$A:$D, 2, FALSE)</f>
        <v>21.24</v>
      </c>
      <c r="D1900" s="22">
        <f>VLOOKUP($A1900, 'Medical Examinations'!$A:$D,3, FALSE)</f>
        <v>4.49</v>
      </c>
      <c r="E1900" s="22" t="str">
        <f>VLOOKUP($A1900, 'Medical Examinations'!$A:$D, 4, FALSE)</f>
        <v>No</v>
      </c>
      <c r="F1900" s="22" t="str">
        <f>VLOOKUP($A1900, 'Medical Examinations'!$A:$J, 5, FALSE)</f>
        <v>No</v>
      </c>
      <c r="G1900" s="22" t="str">
        <f>VLOOKUP($A1900, 'Medical Examinations'!$A:$I, 6, FALSE)</f>
        <v>No</v>
      </c>
      <c r="H1900" s="22">
        <f>VLOOKUP($A1900,'Medical Examinations'!$A:$L,10, FALSE)</f>
        <v>0</v>
      </c>
      <c r="I1900" s="22" t="str">
        <f>VLOOKUP($A1900, 'Medical Examinations'!$A:$J, 9, FALSE)</f>
        <v>No</v>
      </c>
      <c r="J1900" s="22" t="str">
        <f>VLOOKUP($A1900, 'Medical Examinations'!$A:$P, 11, FALSE)</f>
        <v>NORMAL WEIGHT</v>
      </c>
      <c r="K1900" s="34">
        <v>21468.0</v>
      </c>
      <c r="L1900" s="35">
        <f>VLOOKUP($A1900, 'Hospitalisation Details'!$A:$H, 7, FALSE)</f>
        <v>4002.36</v>
      </c>
      <c r="M1900" s="22" t="str">
        <f>VLOOKUP($A1900, 'Hospitalisation Details'!$A:$L, 12, FALSE)</f>
        <v>tier - 2</v>
      </c>
      <c r="N1900" s="22" t="str">
        <f>VLOOKUP($A1900, 'Hospitalisation Details'!$A:$M, 13, FALSE)</f>
        <v>tier - 1</v>
      </c>
      <c r="O1900" s="22" t="str">
        <f>VLOOKUP($A1900, 'Hospitalisation Details'!$A:$N, 14, FALSE)</f>
        <v>R1013</v>
      </c>
      <c r="P1900" s="36">
        <f>VLOOKUP($A1900, 'Hospitalisation Details'!$A:$O, 15, FALSE)</f>
        <v>33</v>
      </c>
    </row>
    <row r="1901" ht="15.75" customHeight="1">
      <c r="A1901" s="33" t="s">
        <v>3801</v>
      </c>
      <c r="B1901" s="22" t="str">
        <f>VLOOKUP($A1901,'Customer Names'!$A:$D,3, FALSE)</f>
        <v>Gonzales</v>
      </c>
      <c r="C1901" s="22">
        <f>VLOOKUP($A1901,'Medical Examinations'!$A:$D, 2, FALSE)</f>
        <v>44.22</v>
      </c>
      <c r="D1901" s="22">
        <f>VLOOKUP($A1901, 'Medical Examinations'!$A:$D,3, FALSE)</f>
        <v>6.35</v>
      </c>
      <c r="E1901" s="22" t="str">
        <f>VLOOKUP($A1901, 'Medical Examinations'!$A:$D, 4, FALSE)</f>
        <v>No</v>
      </c>
      <c r="F1901" s="22" t="str">
        <f>VLOOKUP($A1901, 'Medical Examinations'!$A:$J, 5, FALSE)</f>
        <v>No</v>
      </c>
      <c r="G1901" s="22" t="str">
        <f>VLOOKUP($A1901, 'Medical Examinations'!$A:$I, 6, FALSE)</f>
        <v>No</v>
      </c>
      <c r="H1901" s="22">
        <f>VLOOKUP($A1901,'Medical Examinations'!$A:$L,10, FALSE)</f>
        <v>0</v>
      </c>
      <c r="I1901" s="22" t="str">
        <f>VLOOKUP($A1901, 'Medical Examinations'!$A:$J, 9, FALSE)</f>
        <v>No</v>
      </c>
      <c r="J1901" s="22" t="str">
        <f>VLOOKUP($A1901, 'Medical Examinations'!$A:$P, 11, FALSE)</f>
        <v>OBESITY</v>
      </c>
      <c r="K1901" s="34">
        <v>22862.0</v>
      </c>
      <c r="L1901" s="35">
        <f>VLOOKUP($A1901, 'Hospitalisation Details'!$A:$H, 7, FALSE)</f>
        <v>3994.18</v>
      </c>
      <c r="M1901" s="22" t="str">
        <f>VLOOKUP($A1901, 'Hospitalisation Details'!$A:$L, 12, FALSE)</f>
        <v>tier - 2</v>
      </c>
      <c r="N1901" s="22" t="str">
        <f>VLOOKUP($A1901, 'Hospitalisation Details'!$A:$M, 13, FALSE)</f>
        <v>tier - 2</v>
      </c>
      <c r="O1901" s="22" t="str">
        <f>VLOOKUP($A1901, 'Hospitalisation Details'!$A:$N, 14, FALSE)</f>
        <v>R1013</v>
      </c>
      <c r="P1901" s="36">
        <f>VLOOKUP($A1901, 'Hospitalisation Details'!$A:$O, 15, FALSE)</f>
        <v>32</v>
      </c>
    </row>
    <row r="1902" ht="15.75" customHeight="1">
      <c r="A1902" s="33" t="s">
        <v>3803</v>
      </c>
      <c r="B1902" s="22" t="str">
        <f>VLOOKUP($A1902,'Customer Names'!$A:$D,3, FALSE)</f>
        <v>Newman</v>
      </c>
      <c r="C1902" s="22">
        <f>VLOOKUP($A1902,'Medical Examinations'!$A:$D, 2, FALSE)</f>
        <v>41.1</v>
      </c>
      <c r="D1902" s="22">
        <f>VLOOKUP($A1902, 'Medical Examinations'!$A:$D,3, FALSE)</f>
        <v>5.79</v>
      </c>
      <c r="E1902" s="22" t="str">
        <f>VLOOKUP($A1902, 'Medical Examinations'!$A:$D, 4, FALSE)</f>
        <v>No</v>
      </c>
      <c r="F1902" s="22" t="str">
        <f>VLOOKUP($A1902, 'Medical Examinations'!$A:$J, 5, FALSE)</f>
        <v>No</v>
      </c>
      <c r="G1902" s="22" t="str">
        <f>VLOOKUP($A1902, 'Medical Examinations'!$A:$I, 6, FALSE)</f>
        <v>No</v>
      </c>
      <c r="H1902" s="22">
        <f>VLOOKUP($A1902,'Medical Examinations'!$A:$L,10, FALSE)</f>
        <v>0</v>
      </c>
      <c r="I1902" s="22" t="str">
        <f>VLOOKUP($A1902, 'Medical Examinations'!$A:$J, 9, FALSE)</f>
        <v>No</v>
      </c>
      <c r="J1902" s="22" t="str">
        <f>VLOOKUP($A1902, 'Medical Examinations'!$A:$P, 11, FALSE)</f>
        <v>OBESITY</v>
      </c>
      <c r="K1902" s="34">
        <v>26240.0</v>
      </c>
      <c r="L1902" s="35">
        <f>VLOOKUP($A1902, 'Hospitalisation Details'!$A:$H, 7, FALSE)</f>
        <v>3989.84</v>
      </c>
      <c r="M1902" s="22" t="str">
        <f>VLOOKUP($A1902, 'Hospitalisation Details'!$A:$L, 12, FALSE)</f>
        <v>tier - 2</v>
      </c>
      <c r="N1902" s="22" t="str">
        <f>VLOOKUP($A1902, 'Hospitalisation Details'!$A:$M, 13, FALSE)</f>
        <v>tier - 2</v>
      </c>
      <c r="O1902" s="22" t="str">
        <f>VLOOKUP($A1902, 'Hospitalisation Details'!$A:$N, 14, FALSE)</f>
        <v>R1011</v>
      </c>
      <c r="P1902" s="36">
        <f>VLOOKUP($A1902, 'Hospitalisation Details'!$A:$O, 15, FALSE)</f>
        <v>32</v>
      </c>
    </row>
    <row r="1903" ht="15.75" customHeight="1">
      <c r="A1903" s="33" t="s">
        <v>3805</v>
      </c>
      <c r="B1903" s="22" t="str">
        <f>VLOOKUP($A1903,'Customer Names'!$A:$D,3, FALSE)</f>
        <v>Sayre</v>
      </c>
      <c r="C1903" s="22">
        <f>VLOOKUP($A1903,'Medical Examinations'!$A:$D, 2, FALSE)</f>
        <v>34.2</v>
      </c>
      <c r="D1903" s="22">
        <f>VLOOKUP($A1903, 'Medical Examinations'!$A:$D,3, FALSE)</f>
        <v>4.78</v>
      </c>
      <c r="E1903" s="22" t="str">
        <f>VLOOKUP($A1903, 'Medical Examinations'!$A:$D, 4, FALSE)</f>
        <v>Yes</v>
      </c>
      <c r="F1903" s="22" t="str">
        <f>VLOOKUP($A1903, 'Medical Examinations'!$A:$J, 5, FALSE)</f>
        <v>No</v>
      </c>
      <c r="G1903" s="22" t="str">
        <f>VLOOKUP($A1903, 'Medical Examinations'!$A:$I, 6, FALSE)</f>
        <v>No</v>
      </c>
      <c r="H1903" s="22">
        <f>VLOOKUP($A1903,'Medical Examinations'!$A:$L,10, FALSE)</f>
        <v>0</v>
      </c>
      <c r="I1903" s="22" t="str">
        <f>VLOOKUP($A1903, 'Medical Examinations'!$A:$J, 9, FALSE)</f>
        <v>No</v>
      </c>
      <c r="J1903" s="22" t="str">
        <f>VLOOKUP($A1903, 'Medical Examinations'!$A:$P, 11, FALSE)</f>
        <v>OBESITY</v>
      </c>
      <c r="K1903" s="34">
        <v>37975.0</v>
      </c>
      <c r="L1903" s="35">
        <f>VLOOKUP($A1903, 'Hospitalisation Details'!$A:$H, 7, FALSE)</f>
        <v>3987.93</v>
      </c>
      <c r="M1903" s="22" t="str">
        <f>VLOOKUP($A1903, 'Hospitalisation Details'!$A:$L, 12, FALSE)</f>
        <v>tier - 2</v>
      </c>
      <c r="N1903" s="22" t="str">
        <f>VLOOKUP($A1903, 'Hospitalisation Details'!$A:$M, 13, FALSE)</f>
        <v>tier - 2</v>
      </c>
      <c r="O1903" s="22" t="str">
        <f>VLOOKUP($A1903, 'Hospitalisation Details'!$A:$N, 14, FALSE)</f>
        <v>R1011</v>
      </c>
      <c r="P1903" s="36">
        <f>VLOOKUP($A1903, 'Hospitalisation Details'!$A:$O, 15, FALSE)</f>
        <v>26</v>
      </c>
    </row>
    <row r="1904" ht="15.75" customHeight="1">
      <c r="A1904" s="33" t="s">
        <v>3807</v>
      </c>
      <c r="B1904" s="22" t="str">
        <f>VLOOKUP($A1904,'Customer Names'!$A:$D,3, FALSE)</f>
        <v>Panke</v>
      </c>
      <c r="C1904" s="22">
        <f>VLOOKUP($A1904,'Medical Examinations'!$A:$D, 2, FALSE)</f>
        <v>29.92</v>
      </c>
      <c r="D1904" s="22">
        <f>VLOOKUP($A1904, 'Medical Examinations'!$A:$D,3, FALSE)</f>
        <v>6.02</v>
      </c>
      <c r="E1904" s="22" t="str">
        <f>VLOOKUP($A1904, 'Medical Examinations'!$A:$D, 4, FALSE)</f>
        <v>Yes</v>
      </c>
      <c r="F1904" s="22" t="str">
        <f>VLOOKUP($A1904, 'Medical Examinations'!$A:$J, 5, FALSE)</f>
        <v>No</v>
      </c>
      <c r="G1904" s="22" t="str">
        <f>VLOOKUP($A1904, 'Medical Examinations'!$A:$I, 6, FALSE)</f>
        <v>No</v>
      </c>
      <c r="H1904" s="22">
        <f>VLOOKUP($A1904,'Medical Examinations'!$A:$L,10, FALSE)</f>
        <v>0</v>
      </c>
      <c r="I1904" s="22" t="str">
        <f>VLOOKUP($A1904, 'Medical Examinations'!$A:$J, 9, FALSE)</f>
        <v>No</v>
      </c>
      <c r="J1904" s="22" t="str">
        <f>VLOOKUP($A1904, 'Medical Examinations'!$A:$P, 11, FALSE)</f>
        <v>OBESITY</v>
      </c>
      <c r="K1904" s="34">
        <v>34970.0</v>
      </c>
      <c r="L1904" s="35">
        <f>VLOOKUP($A1904, 'Hospitalisation Details'!$A:$H, 7, FALSE)</f>
        <v>3981.98</v>
      </c>
      <c r="M1904" s="22" t="str">
        <f>VLOOKUP($A1904, 'Hospitalisation Details'!$A:$L, 12, FALSE)</f>
        <v>tier - 2</v>
      </c>
      <c r="N1904" s="22" t="str">
        <f>VLOOKUP($A1904, 'Hospitalisation Details'!$A:$M, 13, FALSE)</f>
        <v>tier - 2</v>
      </c>
      <c r="O1904" s="22" t="str">
        <f>VLOOKUP($A1904, 'Hospitalisation Details'!$A:$N, 14, FALSE)</f>
        <v>R1013</v>
      </c>
      <c r="P1904" s="36">
        <f>VLOOKUP($A1904, 'Hospitalisation Details'!$A:$O, 15, FALSE)</f>
        <v>26</v>
      </c>
    </row>
    <row r="1905" ht="15.75" customHeight="1">
      <c r="A1905" s="33" t="s">
        <v>3809</v>
      </c>
      <c r="B1905" s="22" t="str">
        <f>VLOOKUP($A1905,'Customer Names'!$A:$D,3, FALSE)</f>
        <v>Brennan</v>
      </c>
      <c r="C1905" s="22">
        <f>VLOOKUP($A1905,'Medical Examinations'!$A:$D, 2, FALSE)</f>
        <v>28.93</v>
      </c>
      <c r="D1905" s="22">
        <f>VLOOKUP($A1905, 'Medical Examinations'!$A:$D,3, FALSE)</f>
        <v>4.44</v>
      </c>
      <c r="E1905" s="22" t="str">
        <f>VLOOKUP($A1905, 'Medical Examinations'!$A:$D, 4, FALSE)</f>
        <v>No</v>
      </c>
      <c r="F1905" s="22" t="str">
        <f>VLOOKUP($A1905, 'Medical Examinations'!$A:$J, 5, FALSE)</f>
        <v>No</v>
      </c>
      <c r="G1905" s="22" t="str">
        <f>VLOOKUP($A1905, 'Medical Examinations'!$A:$I, 6, FALSE)</f>
        <v>No</v>
      </c>
      <c r="H1905" s="22">
        <f>VLOOKUP($A1905,'Medical Examinations'!$A:$L,10, FALSE)</f>
        <v>0</v>
      </c>
      <c r="I1905" s="22" t="str">
        <f>VLOOKUP($A1905, 'Medical Examinations'!$A:$J, 9, FALSE)</f>
        <v>No</v>
      </c>
      <c r="J1905" s="22" t="str">
        <f>VLOOKUP($A1905, 'Medical Examinations'!$A:$P, 11, FALSE)</f>
        <v>OVERWEIGHT</v>
      </c>
      <c r="K1905" s="34">
        <v>24081.0</v>
      </c>
      <c r="L1905" s="35">
        <f>VLOOKUP($A1905, 'Hospitalisation Details'!$A:$H, 7, FALSE)</f>
        <v>3972.92</v>
      </c>
      <c r="M1905" s="22" t="str">
        <f>VLOOKUP($A1905, 'Hospitalisation Details'!$A:$L, 12, FALSE)</f>
        <v>tier - 2</v>
      </c>
      <c r="N1905" s="22" t="str">
        <f>VLOOKUP($A1905, 'Hospitalisation Details'!$A:$M, 13, FALSE)</f>
        <v>tier - 3</v>
      </c>
      <c r="O1905" s="22" t="str">
        <f>VLOOKUP($A1905, 'Hospitalisation Details'!$A:$N, 14, FALSE)</f>
        <v>R1013</v>
      </c>
      <c r="P1905" s="36">
        <f>VLOOKUP($A1905, 'Hospitalisation Details'!$A:$O, 15, FALSE)</f>
        <v>32</v>
      </c>
    </row>
    <row r="1906" ht="15.75" customHeight="1">
      <c r="A1906" s="33" t="s">
        <v>3811</v>
      </c>
      <c r="B1906" s="22" t="str">
        <f>VLOOKUP($A1906,'Customer Names'!$A:$D,3, FALSE)</f>
        <v>Ngo</v>
      </c>
      <c r="C1906" s="22">
        <f>VLOOKUP($A1906,'Medical Examinations'!$A:$D, 2, FALSE)</f>
        <v>31.255</v>
      </c>
      <c r="D1906" s="22">
        <f>VLOOKUP($A1906, 'Medical Examinations'!$A:$D,3, FALSE)</f>
        <v>5.84</v>
      </c>
      <c r="E1906" s="22" t="str">
        <f>VLOOKUP($A1906, 'Medical Examinations'!$A:$D, 4, FALSE)</f>
        <v>Yes</v>
      </c>
      <c r="F1906" s="22" t="str">
        <f>VLOOKUP($A1906, 'Medical Examinations'!$A:$J, 5, FALSE)</f>
        <v>No</v>
      </c>
      <c r="G1906" s="22" t="str">
        <f>VLOOKUP($A1906, 'Medical Examinations'!$A:$I, 6, FALSE)</f>
        <v>No</v>
      </c>
      <c r="H1906" s="22">
        <f>VLOOKUP($A1906,'Medical Examinations'!$A:$L,10, FALSE)</f>
        <v>1</v>
      </c>
      <c r="I1906" s="22" t="str">
        <f>VLOOKUP($A1906, 'Medical Examinations'!$A:$J, 9, FALSE)</f>
        <v>No</v>
      </c>
      <c r="J1906" s="22" t="str">
        <f>VLOOKUP($A1906, 'Medical Examinations'!$A:$P, 11, FALSE)</f>
        <v>OBESITY</v>
      </c>
      <c r="K1906" s="34">
        <v>25423.0</v>
      </c>
      <c r="L1906" s="35">
        <f>VLOOKUP($A1906, 'Hospitalisation Details'!$A:$H, 7, FALSE)</f>
        <v>3956.07</v>
      </c>
      <c r="M1906" s="22" t="str">
        <f>VLOOKUP($A1906, 'Hospitalisation Details'!$A:$L, 12, FALSE)</f>
        <v>tier - 2</v>
      </c>
      <c r="N1906" s="22" t="str">
        <f>VLOOKUP($A1906, 'Hospitalisation Details'!$A:$M, 13, FALSE)</f>
        <v>tier - 2</v>
      </c>
      <c r="O1906" s="22" t="str">
        <f>VLOOKUP($A1906, 'Hospitalisation Details'!$A:$N, 14, FALSE)</f>
        <v>R1012</v>
      </c>
      <c r="P1906" s="36">
        <f>VLOOKUP($A1906, 'Hospitalisation Details'!$A:$O, 15, FALSE)</f>
        <v>27</v>
      </c>
    </row>
    <row r="1907" ht="15.75" customHeight="1">
      <c r="A1907" s="33" t="s">
        <v>3813</v>
      </c>
      <c r="B1907" s="22" t="str">
        <f>VLOOKUP($A1907,'Customer Names'!$A:$D,3, FALSE)</f>
        <v>Guerdan</v>
      </c>
      <c r="C1907" s="22">
        <f>VLOOKUP($A1907,'Medical Examinations'!$A:$D, 2, FALSE)</f>
        <v>29.83</v>
      </c>
      <c r="D1907" s="22">
        <f>VLOOKUP($A1907, 'Medical Examinations'!$A:$D,3, FALSE)</f>
        <v>5.39</v>
      </c>
      <c r="E1907" s="22" t="str">
        <f>VLOOKUP($A1907, 'Medical Examinations'!$A:$D, 4, FALSE)</f>
        <v>No</v>
      </c>
      <c r="F1907" s="22" t="str">
        <f>VLOOKUP($A1907, 'Medical Examinations'!$A:$J, 5, FALSE)</f>
        <v>No</v>
      </c>
      <c r="G1907" s="22" t="str">
        <f>VLOOKUP($A1907, 'Medical Examinations'!$A:$I, 6, FALSE)</f>
        <v>No</v>
      </c>
      <c r="H1907" s="22">
        <f>VLOOKUP($A1907,'Medical Examinations'!$A:$L,10, FALSE)</f>
        <v>0</v>
      </c>
      <c r="I1907" s="22" t="str">
        <f>VLOOKUP($A1907, 'Medical Examinations'!$A:$J, 9, FALSE)</f>
        <v>No</v>
      </c>
      <c r="J1907" s="22" t="str">
        <f>VLOOKUP($A1907, 'Medical Examinations'!$A:$P, 11, FALSE)</f>
        <v>OVERWEIGHT</v>
      </c>
      <c r="K1907" s="34">
        <v>37857.0</v>
      </c>
      <c r="L1907" s="35">
        <f>VLOOKUP($A1907, 'Hospitalisation Details'!$A:$H, 7, FALSE)</f>
        <v>3955.98</v>
      </c>
      <c r="M1907" s="22" t="str">
        <f>VLOOKUP($A1907, 'Hospitalisation Details'!$A:$L, 12, FALSE)</f>
        <v>tier - 2</v>
      </c>
      <c r="N1907" s="22" t="str">
        <f>VLOOKUP($A1907, 'Hospitalisation Details'!$A:$M, 13, FALSE)</f>
        <v>tier - 3</v>
      </c>
      <c r="O1907" s="22" t="str">
        <f>VLOOKUP($A1907, 'Hospitalisation Details'!$A:$N, 14, FALSE)</f>
        <v>R1021</v>
      </c>
      <c r="P1907" s="36">
        <f>VLOOKUP($A1907, 'Hospitalisation Details'!$A:$O, 15, FALSE)</f>
        <v>23</v>
      </c>
    </row>
    <row r="1908" ht="15.75" customHeight="1">
      <c r="A1908" s="33" t="s">
        <v>3815</v>
      </c>
      <c r="B1908" s="22" t="str">
        <f>VLOOKUP($A1908,'Customer Names'!$A:$D,3, FALSE)</f>
        <v>Shaw</v>
      </c>
      <c r="C1908" s="22">
        <f>VLOOKUP($A1908,'Medical Examinations'!$A:$D, 2, FALSE)</f>
        <v>29.59</v>
      </c>
      <c r="D1908" s="22">
        <f>VLOOKUP($A1908, 'Medical Examinations'!$A:$D,3, FALSE)</f>
        <v>6.16</v>
      </c>
      <c r="E1908" s="22" t="str">
        <f>VLOOKUP($A1908, 'Medical Examinations'!$A:$D, 4, FALSE)</f>
        <v>No</v>
      </c>
      <c r="F1908" s="22" t="str">
        <f>VLOOKUP($A1908, 'Medical Examinations'!$A:$J, 5, FALSE)</f>
        <v>No</v>
      </c>
      <c r="G1908" s="22" t="str">
        <f>VLOOKUP($A1908, 'Medical Examinations'!$A:$I, 6, FALSE)</f>
        <v>Yes</v>
      </c>
      <c r="H1908" s="22">
        <f>VLOOKUP($A1908,'Medical Examinations'!$A:$L,10, FALSE)</f>
        <v>1</v>
      </c>
      <c r="I1908" s="22" t="str">
        <f>VLOOKUP($A1908, 'Medical Examinations'!$A:$J, 9, FALSE)</f>
        <v>No</v>
      </c>
      <c r="J1908" s="22" t="str">
        <f>VLOOKUP($A1908, 'Medical Examinations'!$A:$P, 11, FALSE)</f>
        <v>OVERWEIGHT</v>
      </c>
      <c r="K1908" s="34">
        <v>26510.0</v>
      </c>
      <c r="L1908" s="35">
        <f>VLOOKUP($A1908, 'Hospitalisation Details'!$A:$H, 7, FALSE)</f>
        <v>3947.41</v>
      </c>
      <c r="M1908" s="22" t="str">
        <f>VLOOKUP($A1908, 'Hospitalisation Details'!$A:$L, 12, FALSE)</f>
        <v>tier - 2</v>
      </c>
      <c r="N1908" s="22" t="str">
        <f>VLOOKUP($A1908, 'Hospitalisation Details'!$A:$M, 13, FALSE)</f>
        <v>tier - 2</v>
      </c>
      <c r="O1908" s="22" t="str">
        <f>VLOOKUP($A1908, 'Hospitalisation Details'!$A:$N, 14, FALSE)</f>
        <v>R1013</v>
      </c>
      <c r="P1908" s="36">
        <f>VLOOKUP($A1908, 'Hospitalisation Details'!$A:$O, 15, FALSE)</f>
        <v>29</v>
      </c>
    </row>
    <row r="1909" ht="15.75" customHeight="1">
      <c r="A1909" s="33" t="s">
        <v>3817</v>
      </c>
      <c r="B1909" s="22" t="str">
        <f>VLOOKUP($A1909,'Customer Names'!$A:$D,3, FALSE)</f>
        <v>Mills-Honarvar</v>
      </c>
      <c r="C1909" s="22">
        <f>VLOOKUP($A1909,'Medical Examinations'!$A:$D, 2, FALSE)</f>
        <v>31.16</v>
      </c>
      <c r="D1909" s="22">
        <f>VLOOKUP($A1909, 'Medical Examinations'!$A:$D,3, FALSE)</f>
        <v>4.49</v>
      </c>
      <c r="E1909" s="22" t="str">
        <f>VLOOKUP($A1909, 'Medical Examinations'!$A:$D, 4, FALSE)</f>
        <v>No</v>
      </c>
      <c r="F1909" s="22" t="str">
        <f>VLOOKUP($A1909, 'Medical Examinations'!$A:$J, 5, FALSE)</f>
        <v>No</v>
      </c>
      <c r="G1909" s="22" t="str">
        <f>VLOOKUP($A1909, 'Medical Examinations'!$A:$I, 6, FALSE)</f>
        <v>Yes</v>
      </c>
      <c r="H1909" s="22">
        <f>VLOOKUP($A1909,'Medical Examinations'!$A:$L,10, FALSE)</f>
        <v>1</v>
      </c>
      <c r="I1909" s="22" t="str">
        <f>VLOOKUP($A1909, 'Medical Examinations'!$A:$J, 9, FALSE)</f>
        <v>No</v>
      </c>
      <c r="J1909" s="22" t="str">
        <f>VLOOKUP($A1909, 'Medical Examinations'!$A:$P, 11, FALSE)</f>
        <v>OBESITY</v>
      </c>
      <c r="K1909" s="34">
        <v>37507.0</v>
      </c>
      <c r="L1909" s="35">
        <f>VLOOKUP($A1909, 'Hospitalisation Details'!$A:$H, 7, FALSE)</f>
        <v>3943.6</v>
      </c>
      <c r="M1909" s="22" t="str">
        <f>VLOOKUP($A1909, 'Hospitalisation Details'!$A:$L, 12, FALSE)</f>
        <v>tier - 2</v>
      </c>
      <c r="N1909" s="22" t="str">
        <f>VLOOKUP($A1909, 'Hospitalisation Details'!$A:$M, 13, FALSE)</f>
        <v>tier - 3</v>
      </c>
      <c r="O1909" s="22" t="str">
        <f>VLOOKUP($A1909, 'Hospitalisation Details'!$A:$N, 14, FALSE)</f>
        <v>R1024</v>
      </c>
      <c r="P1909" s="36">
        <f>VLOOKUP($A1909, 'Hospitalisation Details'!$A:$O, 15, FALSE)</f>
        <v>29</v>
      </c>
    </row>
    <row r="1910" ht="15.75" customHeight="1">
      <c r="A1910" s="33" t="s">
        <v>3819</v>
      </c>
      <c r="B1910" s="22" t="str">
        <f>VLOOKUP($A1910,'Customer Names'!$A:$D,3, FALSE)</f>
        <v>Farvard</v>
      </c>
      <c r="C1910" s="22">
        <f>VLOOKUP($A1910,'Medical Examinations'!$A:$D, 2, FALSE)</f>
        <v>34.21</v>
      </c>
      <c r="D1910" s="22">
        <f>VLOOKUP($A1910, 'Medical Examinations'!$A:$D,3, FALSE)</f>
        <v>4.48</v>
      </c>
      <c r="E1910" s="22" t="str">
        <f>VLOOKUP($A1910, 'Medical Examinations'!$A:$D, 4, FALSE)</f>
        <v>Yes</v>
      </c>
      <c r="F1910" s="22" t="str">
        <f>VLOOKUP($A1910, 'Medical Examinations'!$A:$J, 5, FALSE)</f>
        <v>No</v>
      </c>
      <c r="G1910" s="22" t="str">
        <f>VLOOKUP($A1910, 'Medical Examinations'!$A:$I, 6, FALSE)</f>
        <v>No</v>
      </c>
      <c r="H1910" s="22">
        <f>VLOOKUP($A1910,'Medical Examinations'!$A:$L,10, FALSE)</f>
        <v>1</v>
      </c>
      <c r="I1910" s="22" t="str">
        <f>VLOOKUP($A1910, 'Medical Examinations'!$A:$J, 9, FALSE)</f>
        <v>No</v>
      </c>
      <c r="J1910" s="22" t="str">
        <f>VLOOKUP($A1910, 'Medical Examinations'!$A:$P, 11, FALSE)</f>
        <v>OBESITY</v>
      </c>
      <c r="K1910" s="34">
        <v>32376.0</v>
      </c>
      <c r="L1910" s="35">
        <f>VLOOKUP($A1910, 'Hospitalisation Details'!$A:$H, 7, FALSE)</f>
        <v>3935.18</v>
      </c>
      <c r="M1910" s="22" t="str">
        <f>VLOOKUP($A1910, 'Hospitalisation Details'!$A:$L, 12, FALSE)</f>
        <v>tier - 3</v>
      </c>
      <c r="N1910" s="22" t="str">
        <f>VLOOKUP($A1910, 'Hospitalisation Details'!$A:$M, 13, FALSE)</f>
        <v>tier - 1</v>
      </c>
      <c r="O1910" s="22" t="str">
        <f>VLOOKUP($A1910, 'Hospitalisation Details'!$A:$N, 14, FALSE)</f>
        <v>R1013</v>
      </c>
      <c r="P1910" s="36">
        <f>VLOOKUP($A1910, 'Hospitalisation Details'!$A:$O, 15, FALSE)</f>
        <v>34</v>
      </c>
    </row>
    <row r="1911" ht="15.75" customHeight="1">
      <c r="A1911" s="33" t="s">
        <v>3821</v>
      </c>
      <c r="B1911" s="22" t="str">
        <f>VLOOKUP($A1911,'Customer Names'!$A:$D,3, FALSE)</f>
        <v>Kelly</v>
      </c>
      <c r="C1911" s="22">
        <f>VLOOKUP($A1911,'Medical Examinations'!$A:$D, 2, FALSE)</f>
        <v>34.86</v>
      </c>
      <c r="D1911" s="22">
        <f>VLOOKUP($A1911, 'Medical Examinations'!$A:$D,3, FALSE)</f>
        <v>10.97</v>
      </c>
      <c r="E1911" s="22" t="str">
        <f>VLOOKUP($A1911, 'Medical Examinations'!$A:$D, 4, FALSE)</f>
        <v>No</v>
      </c>
      <c r="F1911" s="22" t="str">
        <f>VLOOKUP($A1911, 'Medical Examinations'!$A:$J, 5, FALSE)</f>
        <v>No</v>
      </c>
      <c r="G1911" s="22" t="str">
        <f>VLOOKUP($A1911, 'Medical Examinations'!$A:$I, 6, FALSE)</f>
        <v>No</v>
      </c>
      <c r="H1911" s="22">
        <f>VLOOKUP($A1911,'Medical Examinations'!$A:$L,10, FALSE)</f>
        <v>0</v>
      </c>
      <c r="I1911" s="22" t="str">
        <f>VLOOKUP($A1911, 'Medical Examinations'!$A:$J, 9, FALSE)</f>
        <v>No</v>
      </c>
      <c r="J1911" s="22" t="str">
        <f>VLOOKUP($A1911, 'Medical Examinations'!$A:$P, 11, FALSE)</f>
        <v>OBESITY</v>
      </c>
      <c r="K1911" s="34">
        <v>32361.0</v>
      </c>
      <c r="L1911" s="35">
        <f>VLOOKUP($A1911, 'Hospitalisation Details'!$A:$H, 7, FALSE)</f>
        <v>3931.51</v>
      </c>
      <c r="M1911" s="22" t="str">
        <f>VLOOKUP($A1911, 'Hospitalisation Details'!$A:$L, 12, FALSE)</f>
        <v>tier - 2</v>
      </c>
      <c r="N1911" s="22" t="str">
        <f>VLOOKUP($A1911, 'Hospitalisation Details'!$A:$M, 13, FALSE)</f>
        <v>tier - 3</v>
      </c>
      <c r="O1911" s="22" t="str">
        <f>VLOOKUP($A1911, 'Hospitalisation Details'!$A:$N, 14, FALSE)</f>
        <v>R1011</v>
      </c>
      <c r="P1911" s="36">
        <f>VLOOKUP($A1911, 'Hospitalisation Details'!$A:$O, 15, FALSE)</f>
        <v>20</v>
      </c>
    </row>
    <row r="1912" ht="15.75" customHeight="1">
      <c r="A1912" s="33" t="s">
        <v>3823</v>
      </c>
      <c r="B1912" s="22" t="str">
        <f>VLOOKUP($A1912,'Customer Names'!$A:$D,3, FALSE)</f>
        <v>Skinner</v>
      </c>
      <c r="C1912" s="22">
        <f>VLOOKUP($A1912,'Medical Examinations'!$A:$D, 2, FALSE)</f>
        <v>34.58</v>
      </c>
      <c r="D1912" s="22">
        <f>VLOOKUP($A1912, 'Medical Examinations'!$A:$D,3, FALSE)</f>
        <v>5.14</v>
      </c>
      <c r="E1912" s="22" t="str">
        <f>VLOOKUP($A1912, 'Medical Examinations'!$A:$D, 4, FALSE)</f>
        <v>No</v>
      </c>
      <c r="F1912" s="22" t="str">
        <f>VLOOKUP($A1912, 'Medical Examinations'!$A:$J, 5, FALSE)</f>
        <v>Yes</v>
      </c>
      <c r="G1912" s="22" t="str">
        <f>VLOOKUP($A1912, 'Medical Examinations'!$A:$I, 6, FALSE)</f>
        <v>No</v>
      </c>
      <c r="H1912" s="22">
        <f>VLOOKUP($A1912,'Medical Examinations'!$A:$L,10, FALSE)</f>
        <v>2</v>
      </c>
      <c r="I1912" s="22" t="str">
        <f>VLOOKUP($A1912, 'Medical Examinations'!$A:$J, 9, FALSE)</f>
        <v>No</v>
      </c>
      <c r="J1912" s="22" t="str">
        <f>VLOOKUP($A1912, 'Medical Examinations'!$A:$P, 11, FALSE)</f>
        <v>OBESITY</v>
      </c>
      <c r="K1912" s="34">
        <v>27283.0</v>
      </c>
      <c r="L1912" s="35">
        <f>VLOOKUP($A1912, 'Hospitalisation Details'!$A:$H, 7, FALSE)</f>
        <v>3925.76</v>
      </c>
      <c r="M1912" s="22" t="str">
        <f>VLOOKUP($A1912, 'Hospitalisation Details'!$A:$L, 12, FALSE)</f>
        <v>tier - 2</v>
      </c>
      <c r="N1912" s="22" t="str">
        <f>VLOOKUP($A1912, 'Hospitalisation Details'!$A:$M, 13, FALSE)</f>
        <v>tier - 2</v>
      </c>
      <c r="O1912" s="22" t="str">
        <f>VLOOKUP($A1912, 'Hospitalisation Details'!$A:$N, 14, FALSE)</f>
        <v>R1024</v>
      </c>
      <c r="P1912" s="36">
        <f>VLOOKUP($A1912, 'Hospitalisation Details'!$A:$O, 15, FALSE)</f>
        <v>22</v>
      </c>
    </row>
    <row r="1913" ht="15.75" customHeight="1">
      <c r="A1913" s="33" t="s">
        <v>3825</v>
      </c>
      <c r="B1913" s="22" t="str">
        <f>VLOOKUP($A1913,'Customer Names'!$A:$D,3, FALSE)</f>
        <v>Murphy</v>
      </c>
      <c r="C1913" s="22">
        <f>VLOOKUP($A1913,'Medical Examinations'!$A:$D, 2, FALSE)</f>
        <v>17.94</v>
      </c>
      <c r="D1913" s="22">
        <f>VLOOKUP($A1913, 'Medical Examinations'!$A:$D,3, FALSE)</f>
        <v>5.17</v>
      </c>
      <c r="E1913" s="22" t="str">
        <f>VLOOKUP($A1913, 'Medical Examinations'!$A:$D, 4, FALSE)</f>
        <v>Yes</v>
      </c>
      <c r="F1913" s="22" t="str">
        <f>VLOOKUP($A1913, 'Medical Examinations'!$A:$J, 5, FALSE)</f>
        <v>No</v>
      </c>
      <c r="G1913" s="22" t="str">
        <f>VLOOKUP($A1913, 'Medical Examinations'!$A:$I, 6, FALSE)</f>
        <v>No</v>
      </c>
      <c r="H1913" s="22">
        <f>VLOOKUP($A1913,'Medical Examinations'!$A:$L,10, FALSE)</f>
        <v>0</v>
      </c>
      <c r="I1913" s="22" t="str">
        <f>VLOOKUP($A1913, 'Medical Examinations'!$A:$J, 9, FALSE)</f>
        <v>No</v>
      </c>
      <c r="J1913" s="22" t="str">
        <f>VLOOKUP($A1913, 'Medical Examinations'!$A:$P, 11, FALSE)</f>
        <v>UNDERWEIGHT</v>
      </c>
      <c r="K1913" s="34">
        <v>29216.0</v>
      </c>
      <c r="L1913" s="35">
        <f>VLOOKUP($A1913, 'Hospitalisation Details'!$A:$H, 7, FALSE)</f>
        <v>3910.44</v>
      </c>
      <c r="M1913" s="22" t="str">
        <f>VLOOKUP($A1913, 'Hospitalisation Details'!$A:$L, 12, FALSE)</f>
        <v>tier - 2</v>
      </c>
      <c r="N1913" s="22" t="str">
        <f>VLOOKUP($A1913, 'Hospitalisation Details'!$A:$M, 13, FALSE)</f>
        <v>tier - 2</v>
      </c>
      <c r="O1913" s="22" t="str">
        <f>VLOOKUP($A1913, 'Hospitalisation Details'!$A:$N, 14, FALSE)</f>
        <v>R1013</v>
      </c>
      <c r="P1913" s="36">
        <f>VLOOKUP($A1913, 'Hospitalisation Details'!$A:$O, 15, FALSE)</f>
        <v>37</v>
      </c>
    </row>
    <row r="1914" ht="15.75" customHeight="1">
      <c r="A1914" s="33" t="s">
        <v>3827</v>
      </c>
      <c r="B1914" s="22" t="str">
        <f>VLOOKUP($A1914,'Customer Names'!$A:$D,3, FALSE)</f>
        <v>Shue</v>
      </c>
      <c r="C1914" s="22">
        <f>VLOOKUP($A1914,'Medical Examinations'!$A:$D, 2, FALSE)</f>
        <v>26.8</v>
      </c>
      <c r="D1914" s="22">
        <f>VLOOKUP($A1914, 'Medical Examinations'!$A:$D,3, FALSE)</f>
        <v>6.18</v>
      </c>
      <c r="E1914" s="22" t="str">
        <f>VLOOKUP($A1914, 'Medical Examinations'!$A:$D, 4, FALSE)</f>
        <v>Yes</v>
      </c>
      <c r="F1914" s="22" t="str">
        <f>VLOOKUP($A1914, 'Medical Examinations'!$A:$J, 5, FALSE)</f>
        <v>No</v>
      </c>
      <c r="G1914" s="22" t="str">
        <f>VLOOKUP($A1914, 'Medical Examinations'!$A:$I, 6, FALSE)</f>
        <v>Yes</v>
      </c>
      <c r="H1914" s="22">
        <f>VLOOKUP($A1914,'Medical Examinations'!$A:$L,10, FALSE)</f>
        <v>1</v>
      </c>
      <c r="I1914" s="22" t="str">
        <f>VLOOKUP($A1914, 'Medical Examinations'!$A:$J, 9, FALSE)</f>
        <v>No</v>
      </c>
      <c r="J1914" s="22" t="str">
        <f>VLOOKUP($A1914, 'Medical Examinations'!$A:$P, 11, FALSE)</f>
        <v>OVERWEIGHT</v>
      </c>
      <c r="K1914" s="34">
        <v>30138.0</v>
      </c>
      <c r="L1914" s="35">
        <f>VLOOKUP($A1914, 'Hospitalisation Details'!$A:$H, 7, FALSE)</f>
        <v>3906.13</v>
      </c>
      <c r="M1914" s="22" t="str">
        <f>VLOOKUP($A1914, 'Hospitalisation Details'!$A:$L, 12, FALSE)</f>
        <v>tier - 3</v>
      </c>
      <c r="N1914" s="22" t="str">
        <f>VLOOKUP($A1914, 'Hospitalisation Details'!$A:$M, 13, FALSE)</f>
        <v>tier - 3</v>
      </c>
      <c r="O1914" s="22" t="str">
        <f>VLOOKUP($A1914, 'Hospitalisation Details'!$A:$N, 14, FALSE)</f>
        <v>R1011</v>
      </c>
      <c r="P1914" s="36">
        <f>VLOOKUP($A1914, 'Hospitalisation Details'!$A:$O, 15, FALSE)</f>
        <v>25</v>
      </c>
    </row>
    <row r="1915" ht="15.75" customHeight="1">
      <c r="A1915" s="33" t="s">
        <v>3829</v>
      </c>
      <c r="B1915" s="22" t="str">
        <f>VLOOKUP($A1915,'Customer Names'!$A:$D,3, FALSE)</f>
        <v>Reilly</v>
      </c>
      <c r="C1915" s="22">
        <f>VLOOKUP($A1915,'Medical Examinations'!$A:$D, 2, FALSE)</f>
        <v>17.69</v>
      </c>
      <c r="D1915" s="22">
        <f>VLOOKUP($A1915, 'Medical Examinations'!$A:$D,3, FALSE)</f>
        <v>9.07</v>
      </c>
      <c r="E1915" s="22" t="str">
        <f>VLOOKUP($A1915, 'Medical Examinations'!$A:$D, 4, FALSE)</f>
        <v>Yes</v>
      </c>
      <c r="F1915" s="22" t="str">
        <f>VLOOKUP($A1915, 'Medical Examinations'!$A:$J, 5, FALSE)</f>
        <v>No</v>
      </c>
      <c r="G1915" s="22" t="str">
        <f>VLOOKUP($A1915, 'Medical Examinations'!$A:$I, 6, FALSE)</f>
        <v>No</v>
      </c>
      <c r="H1915" s="22">
        <f>VLOOKUP($A1915,'Medical Examinations'!$A:$L,10, FALSE)</f>
        <v>0</v>
      </c>
      <c r="I1915" s="22" t="str">
        <f>VLOOKUP($A1915, 'Medical Examinations'!$A:$J, 9, FALSE)</f>
        <v>No</v>
      </c>
      <c r="J1915" s="22" t="str">
        <f>VLOOKUP($A1915, 'Medical Examinations'!$A:$P, 11, FALSE)</f>
        <v>UNDERWEIGHT</v>
      </c>
      <c r="K1915" s="34">
        <v>34315.0</v>
      </c>
      <c r="L1915" s="35">
        <f>VLOOKUP($A1915, 'Hospitalisation Details'!$A:$H, 7, FALSE)</f>
        <v>3902.07</v>
      </c>
      <c r="M1915" s="22" t="str">
        <f>VLOOKUP($A1915, 'Hospitalisation Details'!$A:$L, 12, FALSE)</f>
        <v>tier - 2</v>
      </c>
      <c r="N1915" s="22" t="str">
        <f>VLOOKUP($A1915, 'Hospitalisation Details'!$A:$M, 13, FALSE)</f>
        <v>tier - 2</v>
      </c>
      <c r="O1915" s="22" t="str">
        <f>VLOOKUP($A1915, 'Hospitalisation Details'!$A:$N, 14, FALSE)</f>
        <v>R1013</v>
      </c>
      <c r="P1915" s="36">
        <f>VLOOKUP($A1915, 'Hospitalisation Details'!$A:$O, 15, FALSE)</f>
        <v>41</v>
      </c>
    </row>
    <row r="1916" ht="15.75" customHeight="1">
      <c r="A1916" s="33" t="s">
        <v>3831</v>
      </c>
      <c r="B1916" s="22" t="str">
        <f>VLOOKUP($A1916,'Customer Names'!$A:$D,3, FALSE)</f>
        <v>Blinn</v>
      </c>
      <c r="C1916" s="22">
        <f>VLOOKUP($A1916,'Medical Examinations'!$A:$D, 2, FALSE)</f>
        <v>25.77</v>
      </c>
      <c r="D1916" s="22">
        <f>VLOOKUP($A1916, 'Medical Examinations'!$A:$D,3, FALSE)</f>
        <v>4.43</v>
      </c>
      <c r="E1916" s="22" t="str">
        <f>VLOOKUP($A1916, 'Medical Examinations'!$A:$D, 4, FALSE)</f>
        <v>No</v>
      </c>
      <c r="F1916" s="22" t="str">
        <f>VLOOKUP($A1916, 'Medical Examinations'!$A:$J, 5, FALSE)</f>
        <v>No</v>
      </c>
      <c r="G1916" s="22" t="str">
        <f>VLOOKUP($A1916, 'Medical Examinations'!$A:$I, 6, FALSE)</f>
        <v>Yes</v>
      </c>
      <c r="H1916" s="22">
        <f>VLOOKUP($A1916,'Medical Examinations'!$A:$L,10, FALSE)</f>
        <v>1</v>
      </c>
      <c r="I1916" s="22" t="str">
        <f>VLOOKUP($A1916, 'Medical Examinations'!$A:$J, 9, FALSE)</f>
        <v>No</v>
      </c>
      <c r="J1916" s="22" t="str">
        <f>VLOOKUP($A1916, 'Medical Examinations'!$A:$P, 11, FALSE)</f>
        <v>OVERWEIGHT</v>
      </c>
      <c r="K1916" s="34">
        <v>32056.0</v>
      </c>
      <c r="L1916" s="35">
        <f>VLOOKUP($A1916, 'Hospitalisation Details'!$A:$H, 7, FALSE)</f>
        <v>3898.35</v>
      </c>
      <c r="M1916" s="22" t="str">
        <f>VLOOKUP($A1916, 'Hospitalisation Details'!$A:$L, 12, FALSE)</f>
        <v>tier - 2</v>
      </c>
      <c r="N1916" s="22" t="str">
        <f>VLOOKUP($A1916, 'Hospitalisation Details'!$A:$M, 13, FALSE)</f>
        <v>tier - 2</v>
      </c>
      <c r="O1916" s="22" t="str">
        <f>VLOOKUP($A1916, 'Hospitalisation Details'!$A:$N, 14, FALSE)</f>
        <v>R1012</v>
      </c>
      <c r="P1916" s="36">
        <f>VLOOKUP($A1916, 'Hospitalisation Details'!$A:$O, 15, FALSE)</f>
        <v>29</v>
      </c>
    </row>
    <row r="1917" ht="15.75" customHeight="1">
      <c r="A1917" s="33" t="s">
        <v>3833</v>
      </c>
      <c r="B1917" s="22" t="str">
        <f>VLOOKUP($A1917,'Customer Names'!$A:$D,3, FALSE)</f>
        <v>Duyn</v>
      </c>
      <c r="C1917" s="22">
        <f>VLOOKUP($A1917,'Medical Examinations'!$A:$D, 2, FALSE)</f>
        <v>34.46</v>
      </c>
      <c r="D1917" s="22">
        <f>VLOOKUP($A1917, 'Medical Examinations'!$A:$D,3, FALSE)</f>
        <v>4.17</v>
      </c>
      <c r="E1917" s="22" t="str">
        <f>VLOOKUP($A1917, 'Medical Examinations'!$A:$D, 4, FALSE)</f>
        <v>No</v>
      </c>
      <c r="F1917" s="22" t="str">
        <f>VLOOKUP($A1917, 'Medical Examinations'!$A:$J, 5, FALSE)</f>
        <v>Yes</v>
      </c>
      <c r="G1917" s="22" t="str">
        <f>VLOOKUP($A1917, 'Medical Examinations'!$A:$I, 6, FALSE)</f>
        <v>No</v>
      </c>
      <c r="H1917" s="22">
        <f>VLOOKUP($A1917,'Medical Examinations'!$A:$L,10, FALSE)</f>
        <v>1</v>
      </c>
      <c r="I1917" s="22" t="str">
        <f>VLOOKUP($A1917, 'Medical Examinations'!$A:$J, 9, FALSE)</f>
        <v>No</v>
      </c>
      <c r="J1917" s="22" t="str">
        <f>VLOOKUP($A1917, 'Medical Examinations'!$A:$P, 11, FALSE)</f>
        <v>OBESITY</v>
      </c>
      <c r="K1917" s="34">
        <v>34189.0</v>
      </c>
      <c r="L1917" s="35">
        <f>VLOOKUP($A1917, 'Hospitalisation Details'!$A:$H, 7, FALSE)</f>
        <v>3889.2</v>
      </c>
      <c r="M1917" s="22" t="str">
        <f>VLOOKUP($A1917, 'Hospitalisation Details'!$A:$L, 12, FALSE)</f>
        <v>tier - 2</v>
      </c>
      <c r="N1917" s="22" t="str">
        <f>VLOOKUP($A1917, 'Hospitalisation Details'!$A:$M, 13, FALSE)</f>
        <v>tier - 2</v>
      </c>
      <c r="O1917" s="22" t="str">
        <f>VLOOKUP($A1917, 'Hospitalisation Details'!$A:$N, 14, FALSE)</f>
        <v>R1012</v>
      </c>
      <c r="P1917" s="36">
        <f>VLOOKUP($A1917, 'Hospitalisation Details'!$A:$O, 15, FALSE)</f>
        <v>18</v>
      </c>
    </row>
    <row r="1918" ht="15.75" customHeight="1">
      <c r="A1918" s="33" t="s">
        <v>3835</v>
      </c>
      <c r="B1918" s="22" t="str">
        <f>VLOOKUP($A1918,'Customer Names'!$A:$D,3, FALSE)</f>
        <v>Wardian</v>
      </c>
      <c r="C1918" s="22">
        <f>VLOOKUP($A1918,'Medical Examinations'!$A:$D, 2, FALSE)</f>
        <v>30.875</v>
      </c>
      <c r="D1918" s="22">
        <f>VLOOKUP($A1918, 'Medical Examinations'!$A:$D,3, FALSE)</f>
        <v>4.95</v>
      </c>
      <c r="E1918" s="22" t="str">
        <f>VLOOKUP($A1918, 'Medical Examinations'!$A:$D, 4, FALSE)</f>
        <v>Yes</v>
      </c>
      <c r="F1918" s="22" t="str">
        <f>VLOOKUP($A1918, 'Medical Examinations'!$A:$J, 5, FALSE)</f>
        <v>No</v>
      </c>
      <c r="G1918" s="22" t="str">
        <f>VLOOKUP($A1918, 'Medical Examinations'!$A:$I, 6, FALSE)</f>
        <v>No</v>
      </c>
      <c r="H1918" s="22">
        <f>VLOOKUP($A1918,'Medical Examinations'!$A:$L,10, FALSE)</f>
        <v>0</v>
      </c>
      <c r="I1918" s="22" t="str">
        <f>VLOOKUP($A1918, 'Medical Examinations'!$A:$J, 9, FALSE)</f>
        <v>No</v>
      </c>
      <c r="J1918" s="22" t="str">
        <f>VLOOKUP($A1918, 'Medical Examinations'!$A:$P, 11, FALSE)</f>
        <v>OBESITY</v>
      </c>
      <c r="K1918" s="34">
        <v>31286.0</v>
      </c>
      <c r="L1918" s="35">
        <f>VLOOKUP($A1918, 'Hospitalisation Details'!$A:$H, 7, FALSE)</f>
        <v>3877.3</v>
      </c>
      <c r="M1918" s="22" t="str">
        <f>VLOOKUP($A1918, 'Hospitalisation Details'!$A:$L, 12, FALSE)</f>
        <v>tier - 1</v>
      </c>
      <c r="N1918" s="22" t="str">
        <f>VLOOKUP($A1918, 'Hospitalisation Details'!$A:$M, 13, FALSE)</f>
        <v>tier - 3</v>
      </c>
      <c r="O1918" s="22" t="str">
        <f>VLOOKUP($A1918, 'Hospitalisation Details'!$A:$N, 14, FALSE)</f>
        <v>R1012</v>
      </c>
      <c r="P1918" s="36">
        <f>VLOOKUP($A1918, 'Hospitalisation Details'!$A:$O, 15, FALSE)</f>
        <v>26</v>
      </c>
    </row>
    <row r="1919" ht="15.75" customHeight="1">
      <c r="A1919" s="33" t="s">
        <v>3837</v>
      </c>
      <c r="B1919" s="22" t="str">
        <f>VLOOKUP($A1919,'Customer Names'!$A:$D,3, FALSE)</f>
        <v>Heuninck</v>
      </c>
      <c r="C1919" s="22">
        <f>VLOOKUP($A1919,'Medical Examinations'!$A:$D, 2, FALSE)</f>
        <v>39.49</v>
      </c>
      <c r="D1919" s="22">
        <f>VLOOKUP($A1919, 'Medical Examinations'!$A:$D,3, FALSE)</f>
        <v>5.13</v>
      </c>
      <c r="E1919" s="22" t="str">
        <f>VLOOKUP($A1919, 'Medical Examinations'!$A:$D, 4, FALSE)</f>
        <v>No</v>
      </c>
      <c r="F1919" s="22" t="str">
        <f>VLOOKUP($A1919, 'Medical Examinations'!$A:$J, 5, FALSE)</f>
        <v>No</v>
      </c>
      <c r="G1919" s="22" t="str">
        <f>VLOOKUP($A1919, 'Medical Examinations'!$A:$I, 6, FALSE)</f>
        <v>No</v>
      </c>
      <c r="H1919" s="22">
        <f>VLOOKUP($A1919,'Medical Examinations'!$A:$L,10, FALSE)</f>
        <v>0</v>
      </c>
      <c r="I1919" s="22" t="str">
        <f>VLOOKUP($A1919, 'Medical Examinations'!$A:$J, 9, FALSE)</f>
        <v>No</v>
      </c>
      <c r="J1919" s="22" t="str">
        <f>VLOOKUP($A1919, 'Medical Examinations'!$A:$P, 11, FALSE)</f>
        <v>OBESITY</v>
      </c>
      <c r="K1919" s="34">
        <v>21357.0</v>
      </c>
      <c r="L1919" s="35">
        <f>VLOOKUP($A1919, 'Hospitalisation Details'!$A:$H, 7, FALSE)</f>
        <v>3875.73</v>
      </c>
      <c r="M1919" s="22" t="str">
        <f>VLOOKUP($A1919, 'Hospitalisation Details'!$A:$L, 12, FALSE)</f>
        <v>tier - 2</v>
      </c>
      <c r="N1919" s="22" t="str">
        <f>VLOOKUP($A1919, 'Hospitalisation Details'!$A:$M, 13, FALSE)</f>
        <v>tier - 3</v>
      </c>
      <c r="O1919" s="22" t="str">
        <f>VLOOKUP($A1919, 'Hospitalisation Details'!$A:$N, 14, FALSE)</f>
        <v>R1013</v>
      </c>
      <c r="P1919" s="36">
        <f>VLOOKUP($A1919, 'Hospitalisation Details'!$A:$O, 15, FALSE)</f>
        <v>31</v>
      </c>
    </row>
    <row r="1920" ht="15.75" customHeight="1">
      <c r="A1920" s="33" t="s">
        <v>3839</v>
      </c>
      <c r="B1920" s="22" t="str">
        <f>VLOOKUP($A1920,'Customer Names'!$A:$D,3, FALSE)</f>
        <v>Kipyego</v>
      </c>
      <c r="C1920" s="22">
        <f>VLOOKUP($A1920,'Medical Examinations'!$A:$D, 2, FALSE)</f>
        <v>28.88</v>
      </c>
      <c r="D1920" s="22">
        <f>VLOOKUP($A1920, 'Medical Examinations'!$A:$D,3, FALSE)</f>
        <v>4.1</v>
      </c>
      <c r="E1920" s="22" t="str">
        <f>VLOOKUP($A1920, 'Medical Examinations'!$A:$D, 4, FALSE)</f>
        <v>No</v>
      </c>
      <c r="F1920" s="22" t="str">
        <f>VLOOKUP($A1920, 'Medical Examinations'!$A:$J, 5, FALSE)</f>
        <v>No</v>
      </c>
      <c r="G1920" s="22" t="str">
        <f>VLOOKUP($A1920, 'Medical Examinations'!$A:$I, 6, FALSE)</f>
        <v>No</v>
      </c>
      <c r="H1920" s="22">
        <f>VLOOKUP($A1920,'Medical Examinations'!$A:$L,10, FALSE)</f>
        <v>0</v>
      </c>
      <c r="I1920" s="22" t="str">
        <f>VLOOKUP($A1920, 'Medical Examinations'!$A:$J, 9, FALSE)</f>
        <v>No</v>
      </c>
      <c r="J1920" s="22" t="str">
        <f>VLOOKUP($A1920, 'Medical Examinations'!$A:$P, 11, FALSE)</f>
        <v>OVERWEIGHT</v>
      </c>
      <c r="K1920" s="34">
        <v>21480.0</v>
      </c>
      <c r="L1920" s="35">
        <f>VLOOKUP($A1920, 'Hospitalisation Details'!$A:$H, 7, FALSE)</f>
        <v>3866.86</v>
      </c>
      <c r="M1920" s="22" t="str">
        <f>VLOOKUP($A1920, 'Hospitalisation Details'!$A:$L, 12, FALSE)</f>
        <v>tier - 1</v>
      </c>
      <c r="N1920" s="22" t="str">
        <f>VLOOKUP($A1920, 'Hospitalisation Details'!$A:$M, 13, FALSE)</f>
        <v>tier - 1</v>
      </c>
      <c r="O1920" s="22" t="str">
        <f>VLOOKUP($A1920, 'Hospitalisation Details'!$A:$N, 14, FALSE)</f>
        <v>R1012</v>
      </c>
      <c r="P1920" s="36">
        <f>VLOOKUP($A1920, 'Hospitalisation Details'!$A:$O, 15, FALSE)</f>
        <v>32</v>
      </c>
    </row>
    <row r="1921" ht="15.75" customHeight="1">
      <c r="A1921" s="33" t="s">
        <v>3841</v>
      </c>
      <c r="B1921" s="22" t="str">
        <f>VLOOKUP($A1921,'Customer Names'!$A:$D,3, FALSE)</f>
        <v>Kuehl</v>
      </c>
      <c r="C1921" s="22">
        <f>VLOOKUP($A1921,'Medical Examinations'!$A:$D, 2, FALSE)</f>
        <v>20.235</v>
      </c>
      <c r="D1921" s="22">
        <f>VLOOKUP($A1921, 'Medical Examinations'!$A:$D,3, FALSE)</f>
        <v>5.01</v>
      </c>
      <c r="E1921" s="22" t="str">
        <f>VLOOKUP($A1921, 'Medical Examinations'!$A:$D, 4, FALSE)</f>
        <v>Yes</v>
      </c>
      <c r="F1921" s="22" t="str">
        <f>VLOOKUP($A1921, 'Medical Examinations'!$A:$J, 5, FALSE)</f>
        <v>No</v>
      </c>
      <c r="G1921" s="22" t="str">
        <f>VLOOKUP($A1921, 'Medical Examinations'!$A:$I, 6, FALSE)</f>
        <v>No</v>
      </c>
      <c r="H1921" s="22">
        <f>VLOOKUP($A1921,'Medical Examinations'!$A:$L,10, FALSE)</f>
        <v>0</v>
      </c>
      <c r="I1921" s="22" t="str">
        <f>VLOOKUP($A1921, 'Medical Examinations'!$A:$J, 9, FALSE)</f>
        <v>No</v>
      </c>
      <c r="J1921" s="22" t="str">
        <f>VLOOKUP($A1921, 'Medical Examinations'!$A:$P, 11, FALSE)</f>
        <v>NORMAL WEIGHT</v>
      </c>
      <c r="K1921" s="34">
        <v>28749.0</v>
      </c>
      <c r="L1921" s="35">
        <f>VLOOKUP($A1921, 'Hospitalisation Details'!$A:$H, 7, FALSE)</f>
        <v>3861.21</v>
      </c>
      <c r="M1921" s="22" t="str">
        <f>VLOOKUP($A1921, 'Hospitalisation Details'!$A:$L, 12, FALSE)</f>
        <v>tier - 2</v>
      </c>
      <c r="N1921" s="22" t="str">
        <f>VLOOKUP($A1921, 'Hospitalisation Details'!$A:$M, 13, FALSE)</f>
        <v>tier - 2</v>
      </c>
      <c r="O1921" s="22" t="str">
        <f>VLOOKUP($A1921, 'Hospitalisation Details'!$A:$N, 14, FALSE)</f>
        <v>R1016</v>
      </c>
      <c r="P1921" s="36">
        <f>VLOOKUP($A1921, 'Hospitalisation Details'!$A:$O, 15, FALSE)</f>
        <v>21</v>
      </c>
    </row>
    <row r="1922" ht="15.75" customHeight="1">
      <c r="A1922" s="33" t="s">
        <v>3843</v>
      </c>
      <c r="B1922" s="22" t="str">
        <f>VLOOKUP($A1922,'Customer Names'!$A:$D,3, FALSE)</f>
        <v>Burkholder</v>
      </c>
      <c r="C1922" s="22">
        <f>VLOOKUP($A1922,'Medical Examinations'!$A:$D, 2, FALSE)</f>
        <v>30.67</v>
      </c>
      <c r="D1922" s="22">
        <f>VLOOKUP($A1922, 'Medical Examinations'!$A:$D,3, FALSE)</f>
        <v>5.09</v>
      </c>
      <c r="E1922" s="22" t="str">
        <f>VLOOKUP($A1922, 'Medical Examinations'!$A:$D, 4, FALSE)</f>
        <v>Yes</v>
      </c>
      <c r="F1922" s="22" t="str">
        <f>VLOOKUP($A1922, 'Medical Examinations'!$A:$J, 5, FALSE)</f>
        <v>No</v>
      </c>
      <c r="G1922" s="22" t="str">
        <f>VLOOKUP($A1922, 'Medical Examinations'!$A:$I, 6, FALSE)</f>
        <v>No</v>
      </c>
      <c r="H1922" s="22">
        <f>VLOOKUP($A1922,'Medical Examinations'!$A:$L,10, FALSE)</f>
        <v>0</v>
      </c>
      <c r="I1922" s="22" t="str">
        <f>VLOOKUP($A1922, 'Medical Examinations'!$A:$J, 9, FALSE)</f>
        <v>No</v>
      </c>
      <c r="J1922" s="22" t="str">
        <f>VLOOKUP($A1922, 'Medical Examinations'!$A:$P, 11, FALSE)</f>
        <v>OBESITY</v>
      </c>
      <c r="K1922" s="34">
        <v>32482.0</v>
      </c>
      <c r="L1922" s="35">
        <f>VLOOKUP($A1922, 'Hospitalisation Details'!$A:$H, 7, FALSE)</f>
        <v>3858.51</v>
      </c>
      <c r="M1922" s="22" t="str">
        <f>VLOOKUP($A1922, 'Hospitalisation Details'!$A:$L, 12, FALSE)</f>
        <v>tier - 2</v>
      </c>
      <c r="N1922" s="22" t="str">
        <f>VLOOKUP($A1922, 'Hospitalisation Details'!$A:$M, 13, FALSE)</f>
        <v>tier - 3</v>
      </c>
      <c r="O1922" s="22" t="str">
        <f>VLOOKUP($A1922, 'Hospitalisation Details'!$A:$N, 14, FALSE)</f>
        <v>R1025</v>
      </c>
      <c r="P1922" s="36">
        <f>VLOOKUP($A1922, 'Hospitalisation Details'!$A:$O, 15, FALSE)</f>
        <v>22</v>
      </c>
    </row>
    <row r="1923" ht="15.75" customHeight="1">
      <c r="A1923" s="33" t="s">
        <v>3845</v>
      </c>
      <c r="B1923" s="22" t="str">
        <f>VLOOKUP($A1923,'Customer Names'!$A:$D,3, FALSE)</f>
        <v>Stadolnik</v>
      </c>
      <c r="C1923" s="22">
        <f>VLOOKUP($A1923,'Medical Examinations'!$A:$D, 2, FALSE)</f>
        <v>30.875</v>
      </c>
      <c r="D1923" s="22">
        <f>VLOOKUP($A1923, 'Medical Examinations'!$A:$D,3, FALSE)</f>
        <v>6.49</v>
      </c>
      <c r="E1923" s="22" t="str">
        <f>VLOOKUP($A1923, 'Medical Examinations'!$A:$D, 4, FALSE)</f>
        <v>No</v>
      </c>
      <c r="F1923" s="22" t="str">
        <f>VLOOKUP($A1923, 'Medical Examinations'!$A:$J, 5, FALSE)</f>
        <v>No</v>
      </c>
      <c r="G1923" s="22" t="str">
        <f>VLOOKUP($A1923, 'Medical Examinations'!$A:$I, 6, FALSE)</f>
        <v>No</v>
      </c>
      <c r="H1923" s="22">
        <f>VLOOKUP($A1923,'Medical Examinations'!$A:$L,10, FALSE)</f>
        <v>0</v>
      </c>
      <c r="I1923" s="22" t="str">
        <f>VLOOKUP($A1923, 'Medical Examinations'!$A:$J, 9, FALSE)</f>
        <v>No</v>
      </c>
      <c r="J1923" s="22" t="str">
        <f>VLOOKUP($A1923, 'Medical Examinations'!$A:$P, 11, FALSE)</f>
        <v>OBESITY</v>
      </c>
      <c r="K1923" s="34">
        <v>29483.0</v>
      </c>
      <c r="L1923" s="35">
        <f>VLOOKUP($A1923, 'Hospitalisation Details'!$A:$H, 7, FALSE)</f>
        <v>3857.76</v>
      </c>
      <c r="M1923" s="22" t="str">
        <f>VLOOKUP($A1923, 'Hospitalisation Details'!$A:$L, 12, FALSE)</f>
        <v>tier - 3</v>
      </c>
      <c r="N1923" s="22" t="str">
        <f>VLOOKUP($A1923, 'Hospitalisation Details'!$A:$M, 13, FALSE)</f>
        <v>tier - 1</v>
      </c>
      <c r="O1923" s="22" t="str">
        <f>VLOOKUP($A1923, 'Hospitalisation Details'!$A:$N, 14, FALSE)</f>
        <v>R1016</v>
      </c>
      <c r="P1923" s="36">
        <f>VLOOKUP($A1923, 'Hospitalisation Details'!$A:$O, 15, FALSE)</f>
        <v>31</v>
      </c>
    </row>
    <row r="1924" ht="15.75" customHeight="1">
      <c r="A1924" s="33" t="s">
        <v>3847</v>
      </c>
      <c r="B1924" s="22" t="str">
        <f>VLOOKUP($A1924,'Customer Names'!$A:$D,3, FALSE)</f>
        <v>Shields</v>
      </c>
      <c r="C1924" s="22">
        <f>VLOOKUP($A1924,'Medical Examinations'!$A:$D, 2, FALSE)</f>
        <v>23.8</v>
      </c>
      <c r="D1924" s="22">
        <f>VLOOKUP($A1924, 'Medical Examinations'!$A:$D,3, FALSE)</f>
        <v>4.08</v>
      </c>
      <c r="E1924" s="22" t="str">
        <f>VLOOKUP($A1924, 'Medical Examinations'!$A:$D, 4, FALSE)</f>
        <v>No</v>
      </c>
      <c r="F1924" s="22" t="str">
        <f>VLOOKUP($A1924, 'Medical Examinations'!$A:$J, 5, FALSE)</f>
        <v>No</v>
      </c>
      <c r="G1924" s="22" t="str">
        <f>VLOOKUP($A1924, 'Medical Examinations'!$A:$I, 6, FALSE)</f>
        <v>No</v>
      </c>
      <c r="H1924" s="22">
        <f>VLOOKUP($A1924,'Medical Examinations'!$A:$L,10, FALSE)</f>
        <v>0</v>
      </c>
      <c r="I1924" s="22" t="str">
        <f>VLOOKUP($A1924, 'Medical Examinations'!$A:$J, 9, FALSE)</f>
        <v>No</v>
      </c>
      <c r="J1924" s="22" t="str">
        <f>VLOOKUP($A1924, 'Medical Examinations'!$A:$P, 11, FALSE)</f>
        <v>NORMAL WEIGHT</v>
      </c>
      <c r="K1924" s="34">
        <v>24650.0</v>
      </c>
      <c r="L1924" s="35">
        <f>VLOOKUP($A1924, 'Hospitalisation Details'!$A:$H, 7, FALSE)</f>
        <v>3847.67</v>
      </c>
      <c r="M1924" s="22" t="str">
        <f>VLOOKUP($A1924, 'Hospitalisation Details'!$A:$L, 12, FALSE)</f>
        <v>tier - 3</v>
      </c>
      <c r="N1924" s="22" t="str">
        <f>VLOOKUP($A1924, 'Hospitalisation Details'!$A:$M, 13, FALSE)</f>
        <v>tier - 2</v>
      </c>
      <c r="O1924" s="22" t="str">
        <f>VLOOKUP($A1924, 'Hospitalisation Details'!$A:$N, 14, FALSE)</f>
        <v>R1011</v>
      </c>
      <c r="P1924" s="36">
        <f>VLOOKUP($A1924, 'Hospitalisation Details'!$A:$O, 15, FALSE)</f>
        <v>28</v>
      </c>
    </row>
    <row r="1925" ht="15.75" customHeight="1">
      <c r="A1925" s="33" t="s">
        <v>3849</v>
      </c>
      <c r="B1925" s="22" t="str">
        <f>VLOOKUP($A1925,'Customer Names'!$A:$D,3, FALSE)</f>
        <v>Margolis</v>
      </c>
      <c r="C1925" s="22">
        <f>VLOOKUP($A1925,'Medical Examinations'!$A:$D, 2, FALSE)</f>
        <v>15.37</v>
      </c>
      <c r="D1925" s="22">
        <f>VLOOKUP($A1925, 'Medical Examinations'!$A:$D,3, FALSE)</f>
        <v>8.63</v>
      </c>
      <c r="E1925" s="22" t="str">
        <f>VLOOKUP($A1925, 'Medical Examinations'!$A:$D, 4, FALSE)</f>
        <v>Yes</v>
      </c>
      <c r="F1925" s="22" t="str">
        <f>VLOOKUP($A1925, 'Medical Examinations'!$A:$J, 5, FALSE)</f>
        <v>No</v>
      </c>
      <c r="G1925" s="22" t="str">
        <f>VLOOKUP($A1925, 'Medical Examinations'!$A:$I, 6, FALSE)</f>
        <v>No</v>
      </c>
      <c r="H1925" s="22">
        <f>VLOOKUP($A1925,'Medical Examinations'!$A:$L,10, FALSE)</f>
        <v>0</v>
      </c>
      <c r="I1925" s="22" t="str">
        <f>VLOOKUP($A1925, 'Medical Examinations'!$A:$J, 9, FALSE)</f>
        <v>No</v>
      </c>
      <c r="J1925" s="22" t="str">
        <f>VLOOKUP($A1925, 'Medical Examinations'!$A:$P, 11, FALSE)</f>
        <v>UNDERWEIGHT</v>
      </c>
      <c r="K1925" s="34">
        <v>30156.0</v>
      </c>
      <c r="L1925" s="35">
        <f>VLOOKUP($A1925, 'Hospitalisation Details'!$A:$H, 7, FALSE)</f>
        <v>3797.2</v>
      </c>
      <c r="M1925" s="22" t="str">
        <f>VLOOKUP($A1925, 'Hospitalisation Details'!$A:$L, 12, FALSE)</f>
        <v>tier - 2</v>
      </c>
      <c r="N1925" s="22" t="str">
        <f>VLOOKUP($A1925, 'Hospitalisation Details'!$A:$M, 13, FALSE)</f>
        <v>tier - 3</v>
      </c>
      <c r="O1925" s="22" t="str">
        <f>VLOOKUP($A1925, 'Hospitalisation Details'!$A:$N, 14, FALSE)</f>
        <v>R1012</v>
      </c>
      <c r="P1925" s="36">
        <f>VLOOKUP($A1925, 'Hospitalisation Details'!$A:$O, 15, FALSE)</f>
        <v>41</v>
      </c>
    </row>
    <row r="1926" ht="15.75" customHeight="1">
      <c r="A1926" s="33" t="s">
        <v>3851</v>
      </c>
      <c r="B1926" s="22" t="str">
        <f>VLOOKUP($A1926,'Customer Names'!$A:$D,3, FALSE)</f>
        <v>Uffenbeck</v>
      </c>
      <c r="C1926" s="22">
        <f>VLOOKUP($A1926,'Medical Examinations'!$A:$D, 2, FALSE)</f>
        <v>30.4</v>
      </c>
      <c r="D1926" s="22">
        <f>VLOOKUP($A1926, 'Medical Examinations'!$A:$D,3, FALSE)</f>
        <v>5.28</v>
      </c>
      <c r="E1926" s="22" t="str">
        <f>VLOOKUP($A1926, 'Medical Examinations'!$A:$D, 4, FALSE)</f>
        <v>No</v>
      </c>
      <c r="F1926" s="22" t="str">
        <f>VLOOKUP($A1926, 'Medical Examinations'!$A:$J, 5, FALSE)</f>
        <v>No</v>
      </c>
      <c r="G1926" s="22" t="str">
        <f>VLOOKUP($A1926, 'Medical Examinations'!$A:$I, 6, FALSE)</f>
        <v>No</v>
      </c>
      <c r="H1926" s="22">
        <f>VLOOKUP($A1926,'Medical Examinations'!$A:$L,10, FALSE)</f>
        <v>0</v>
      </c>
      <c r="I1926" s="22" t="str">
        <f>VLOOKUP($A1926, 'Medical Examinations'!$A:$J, 9, FALSE)</f>
        <v>No</v>
      </c>
      <c r="J1926" s="22" t="str">
        <f>VLOOKUP($A1926, 'Medical Examinations'!$A:$P, 11, FALSE)</f>
        <v>OBESITY</v>
      </c>
      <c r="K1926" s="34">
        <v>29506.0</v>
      </c>
      <c r="L1926" s="35">
        <f>VLOOKUP($A1926, 'Hospitalisation Details'!$A:$H, 7, FALSE)</f>
        <v>3796.36</v>
      </c>
      <c r="M1926" s="22" t="str">
        <f>VLOOKUP($A1926, 'Hospitalisation Details'!$A:$L, 12, FALSE)</f>
        <v>tier - 2</v>
      </c>
      <c r="N1926" s="22" t="str">
        <f>VLOOKUP($A1926, 'Hospitalisation Details'!$A:$M, 13, FALSE)</f>
        <v>tier - 3</v>
      </c>
      <c r="O1926" s="22" t="str">
        <f>VLOOKUP($A1926, 'Hospitalisation Details'!$A:$N, 14, FALSE)</f>
        <v>R1012</v>
      </c>
      <c r="P1926" s="36">
        <f>VLOOKUP($A1926, 'Hospitalisation Details'!$A:$O, 15, FALSE)</f>
        <v>23</v>
      </c>
    </row>
    <row r="1927" ht="15.75" customHeight="1">
      <c r="A1927" s="33" t="s">
        <v>3853</v>
      </c>
      <c r="B1927" s="22" t="str">
        <f>VLOOKUP($A1927,'Customer Names'!$A:$D,3, FALSE)</f>
        <v>Brake</v>
      </c>
      <c r="C1927" s="22">
        <f>VLOOKUP($A1927,'Medical Examinations'!$A:$D, 2, FALSE)</f>
        <v>19.48</v>
      </c>
      <c r="D1927" s="22">
        <f>VLOOKUP($A1927, 'Medical Examinations'!$A:$D,3, FALSE)</f>
        <v>5.63</v>
      </c>
      <c r="E1927" s="22" t="str">
        <f>VLOOKUP($A1927, 'Medical Examinations'!$A:$D, 4, FALSE)</f>
        <v>Yes</v>
      </c>
      <c r="F1927" s="22" t="str">
        <f>VLOOKUP($A1927, 'Medical Examinations'!$A:$J, 5, FALSE)</f>
        <v>No</v>
      </c>
      <c r="G1927" s="22" t="str">
        <f>VLOOKUP($A1927, 'Medical Examinations'!$A:$I, 6, FALSE)</f>
        <v>No</v>
      </c>
      <c r="H1927" s="22">
        <f>VLOOKUP($A1927,'Medical Examinations'!$A:$L,10, FALSE)</f>
        <v>1</v>
      </c>
      <c r="I1927" s="22" t="str">
        <f>VLOOKUP($A1927, 'Medical Examinations'!$A:$J, 9, FALSE)</f>
        <v>No</v>
      </c>
      <c r="J1927" s="22" t="str">
        <f>VLOOKUP($A1927, 'Medical Examinations'!$A:$P, 11, FALSE)</f>
        <v>NORMAL WEIGHT</v>
      </c>
      <c r="K1927" s="34">
        <v>23005.0</v>
      </c>
      <c r="L1927" s="35">
        <f>VLOOKUP($A1927, 'Hospitalisation Details'!$A:$H, 7, FALSE)</f>
        <v>3793.55</v>
      </c>
      <c r="M1927" s="22" t="str">
        <f>VLOOKUP($A1927, 'Hospitalisation Details'!$A:$L, 12, FALSE)</f>
        <v>tier - 2</v>
      </c>
      <c r="N1927" s="22" t="str">
        <f>VLOOKUP($A1927, 'Hospitalisation Details'!$A:$M, 13, FALSE)</f>
        <v>tier - 3</v>
      </c>
      <c r="O1927" s="22" t="str">
        <f>VLOOKUP($A1927, 'Hospitalisation Details'!$A:$N, 14, FALSE)</f>
        <v>R1013</v>
      </c>
      <c r="P1927" s="36">
        <f>VLOOKUP($A1927, 'Hospitalisation Details'!$A:$O, 15, FALSE)</f>
        <v>34</v>
      </c>
    </row>
    <row r="1928" ht="15.75" customHeight="1">
      <c r="A1928" s="33" t="s">
        <v>3855</v>
      </c>
      <c r="B1928" s="22" t="str">
        <f>VLOOKUP($A1928,'Customer Names'!$A:$D,3, FALSE)</f>
        <v>Stepanova</v>
      </c>
      <c r="C1928" s="22">
        <f>VLOOKUP($A1928,'Medical Examinations'!$A:$D, 2, FALSE)</f>
        <v>16.96</v>
      </c>
      <c r="D1928" s="22">
        <f>VLOOKUP($A1928, 'Medical Examinations'!$A:$D,3, FALSE)</f>
        <v>11.47</v>
      </c>
      <c r="E1928" s="22" t="str">
        <f>VLOOKUP($A1928, 'Medical Examinations'!$A:$D, 4, FALSE)</f>
        <v>Yes</v>
      </c>
      <c r="F1928" s="22" t="str">
        <f>VLOOKUP($A1928, 'Medical Examinations'!$A:$J, 5, FALSE)</f>
        <v>No</v>
      </c>
      <c r="G1928" s="22" t="str">
        <f>VLOOKUP($A1928, 'Medical Examinations'!$A:$I, 6, FALSE)</f>
        <v>No</v>
      </c>
      <c r="H1928" s="22">
        <f>VLOOKUP($A1928,'Medical Examinations'!$A:$L,10, FALSE)</f>
        <v>0</v>
      </c>
      <c r="I1928" s="22" t="str">
        <f>VLOOKUP($A1928, 'Medical Examinations'!$A:$J, 9, FALSE)</f>
        <v>No</v>
      </c>
      <c r="J1928" s="22" t="str">
        <f>VLOOKUP($A1928, 'Medical Examinations'!$A:$P, 11, FALSE)</f>
        <v>UNDERWEIGHT</v>
      </c>
      <c r="K1928" s="34">
        <v>30266.0</v>
      </c>
      <c r="L1928" s="35">
        <f>VLOOKUP($A1928, 'Hospitalisation Details'!$A:$H, 7, FALSE)</f>
        <v>3785.77</v>
      </c>
      <c r="M1928" s="22" t="str">
        <f>VLOOKUP($A1928, 'Hospitalisation Details'!$A:$L, 12, FALSE)</f>
        <v>tier - 2</v>
      </c>
      <c r="N1928" s="22" t="str">
        <f>VLOOKUP($A1928, 'Hospitalisation Details'!$A:$M, 13, FALSE)</f>
        <v>tier - 1</v>
      </c>
      <c r="O1928" s="22" t="str">
        <f>VLOOKUP($A1928, 'Hospitalisation Details'!$A:$N, 14, FALSE)</f>
        <v>R1013</v>
      </c>
      <c r="P1928" s="36">
        <f>VLOOKUP($A1928, 'Hospitalisation Details'!$A:$O, 15, FALSE)</f>
        <v>41</v>
      </c>
    </row>
    <row r="1929" ht="15.75" customHeight="1">
      <c r="A1929" s="33" t="s">
        <v>3857</v>
      </c>
      <c r="B1929" s="22" t="str">
        <f>VLOOKUP($A1929,'Customer Names'!$A:$D,3, FALSE)</f>
        <v>Verdi</v>
      </c>
      <c r="C1929" s="22">
        <f>VLOOKUP($A1929,'Medical Examinations'!$A:$D, 2, FALSE)</f>
        <v>19.05</v>
      </c>
      <c r="D1929" s="22">
        <f>VLOOKUP($A1929, 'Medical Examinations'!$A:$D,3, FALSE)</f>
        <v>4.92</v>
      </c>
      <c r="E1929" s="22" t="str">
        <f>VLOOKUP($A1929, 'Medical Examinations'!$A:$D, 4, FALSE)</f>
        <v>No</v>
      </c>
      <c r="F1929" s="22" t="str">
        <f>VLOOKUP($A1929, 'Medical Examinations'!$A:$J, 5, FALSE)</f>
        <v>No</v>
      </c>
      <c r="G1929" s="22" t="str">
        <f>VLOOKUP($A1929, 'Medical Examinations'!$A:$I, 6, FALSE)</f>
        <v>No</v>
      </c>
      <c r="H1929" s="22">
        <f>VLOOKUP($A1929,'Medical Examinations'!$A:$L,10, FALSE)</f>
        <v>1</v>
      </c>
      <c r="I1929" s="22" t="str">
        <f>VLOOKUP($A1929, 'Medical Examinations'!$A:$J, 9, FALSE)</f>
        <v>No</v>
      </c>
      <c r="J1929" s="22" t="str">
        <f>VLOOKUP($A1929, 'Medical Examinations'!$A:$P, 11, FALSE)</f>
        <v>NORMAL WEIGHT</v>
      </c>
      <c r="K1929" s="34">
        <v>30859.0</v>
      </c>
      <c r="L1929" s="35">
        <f>VLOOKUP($A1929, 'Hospitalisation Details'!$A:$H, 7, FALSE)</f>
        <v>3773.23</v>
      </c>
      <c r="M1929" s="22" t="str">
        <f>VLOOKUP($A1929, 'Hospitalisation Details'!$A:$L, 12, FALSE)</f>
        <v>tier - 2</v>
      </c>
      <c r="N1929" s="22" t="str">
        <f>VLOOKUP($A1929, 'Hospitalisation Details'!$A:$M, 13, FALSE)</f>
        <v>tier - 3</v>
      </c>
      <c r="O1929" s="22" t="str">
        <f>VLOOKUP($A1929, 'Hospitalisation Details'!$A:$N, 14, FALSE)</f>
        <v>R1013</v>
      </c>
      <c r="P1929" s="36">
        <f>VLOOKUP($A1929, 'Hospitalisation Details'!$A:$O, 15, FALSE)</f>
        <v>35</v>
      </c>
    </row>
    <row r="1930" ht="15.75" customHeight="1">
      <c r="A1930" s="33" t="s">
        <v>3859</v>
      </c>
      <c r="B1930" s="22" t="str">
        <f>VLOOKUP($A1930,'Customer Names'!$A:$D,3, FALSE)</f>
        <v>McLean</v>
      </c>
      <c r="C1930" s="22">
        <f>VLOOKUP($A1930,'Medical Examinations'!$A:$D, 2, FALSE)</f>
        <v>37.62</v>
      </c>
      <c r="D1930" s="22">
        <f>VLOOKUP($A1930, 'Medical Examinations'!$A:$D,3, FALSE)</f>
        <v>4.18</v>
      </c>
      <c r="E1930" s="22" t="str">
        <f>VLOOKUP($A1930, 'Medical Examinations'!$A:$D, 4, FALSE)</f>
        <v>No</v>
      </c>
      <c r="F1930" s="22" t="str">
        <f>VLOOKUP($A1930, 'Medical Examinations'!$A:$J, 5, FALSE)</f>
        <v>No</v>
      </c>
      <c r="G1930" s="22" t="str">
        <f>VLOOKUP($A1930, 'Medical Examinations'!$A:$I, 6, FALSE)</f>
        <v>No</v>
      </c>
      <c r="H1930" s="22">
        <f>VLOOKUP($A1930,'Medical Examinations'!$A:$L,10, FALSE)</f>
        <v>0</v>
      </c>
      <c r="I1930" s="22" t="str">
        <f>VLOOKUP($A1930, 'Medical Examinations'!$A:$J, 9, FALSE)</f>
        <v>No</v>
      </c>
      <c r="J1930" s="22" t="str">
        <f>VLOOKUP($A1930, 'Medical Examinations'!$A:$P, 11, FALSE)</f>
        <v>OBESITY</v>
      </c>
      <c r="K1930" s="34">
        <v>35712.0</v>
      </c>
      <c r="L1930" s="35">
        <f>VLOOKUP($A1930, 'Hospitalisation Details'!$A:$H, 7, FALSE)</f>
        <v>3766.88</v>
      </c>
      <c r="M1930" s="22" t="str">
        <f>VLOOKUP($A1930, 'Hospitalisation Details'!$A:$L, 12, FALSE)</f>
        <v>tier - 2</v>
      </c>
      <c r="N1930" s="22" t="str">
        <f>VLOOKUP($A1930, 'Hospitalisation Details'!$A:$M, 13, FALSE)</f>
        <v>tier - 1</v>
      </c>
      <c r="O1930" s="22" t="str">
        <f>VLOOKUP($A1930, 'Hospitalisation Details'!$A:$N, 14, FALSE)</f>
        <v>R1013</v>
      </c>
      <c r="P1930" s="36">
        <f>VLOOKUP($A1930, 'Hospitalisation Details'!$A:$O, 15, FALSE)</f>
        <v>28</v>
      </c>
    </row>
    <row r="1931" ht="15.75" customHeight="1">
      <c r="A1931" s="33" t="s">
        <v>3861</v>
      </c>
      <c r="B1931" s="22" t="str">
        <f>VLOOKUP($A1931,'Customer Names'!$A:$D,3, FALSE)</f>
        <v>Ryan</v>
      </c>
      <c r="C1931" s="22">
        <f>VLOOKUP($A1931,'Medical Examinations'!$A:$D, 2, FALSE)</f>
        <v>29.1</v>
      </c>
      <c r="D1931" s="22">
        <f>VLOOKUP($A1931, 'Medical Examinations'!$A:$D,3, FALSE)</f>
        <v>4.67</v>
      </c>
      <c r="E1931" s="22" t="str">
        <f>VLOOKUP($A1931, 'Medical Examinations'!$A:$D, 4, FALSE)</f>
        <v>No</v>
      </c>
      <c r="F1931" s="22" t="str">
        <f>VLOOKUP($A1931, 'Medical Examinations'!$A:$J, 5, FALSE)</f>
        <v>No</v>
      </c>
      <c r="G1931" s="22" t="str">
        <f>VLOOKUP($A1931, 'Medical Examinations'!$A:$I, 6, FALSE)</f>
        <v>No</v>
      </c>
      <c r="H1931" s="22">
        <f>VLOOKUP($A1931,'Medical Examinations'!$A:$L,10, FALSE)</f>
        <v>0</v>
      </c>
      <c r="I1931" s="22" t="str">
        <f>VLOOKUP($A1931, 'Medical Examinations'!$A:$J, 9, FALSE)</f>
        <v>No</v>
      </c>
      <c r="J1931" s="22" t="str">
        <f>VLOOKUP($A1931, 'Medical Examinations'!$A:$P, 11, FALSE)</f>
        <v>OVERWEIGHT</v>
      </c>
      <c r="K1931" s="34">
        <v>27270.0</v>
      </c>
      <c r="L1931" s="35">
        <f>VLOOKUP($A1931, 'Hospitalisation Details'!$A:$H, 7, FALSE)</f>
        <v>3761.29</v>
      </c>
      <c r="M1931" s="22" t="str">
        <f>VLOOKUP($A1931, 'Hospitalisation Details'!$A:$L, 12, FALSE)</f>
        <v>tier - 2</v>
      </c>
      <c r="N1931" s="22" t="str">
        <f>VLOOKUP($A1931, 'Hospitalisation Details'!$A:$M, 13, FALSE)</f>
        <v>tier - 3</v>
      </c>
      <c r="O1931" s="22" t="str">
        <f>VLOOKUP($A1931, 'Hospitalisation Details'!$A:$N, 14, FALSE)</f>
        <v>R1011</v>
      </c>
      <c r="P1931" s="36">
        <f>VLOOKUP($A1931, 'Hospitalisation Details'!$A:$O, 15, FALSE)</f>
        <v>31</v>
      </c>
    </row>
    <row r="1932" ht="15.75" customHeight="1">
      <c r="A1932" s="33" t="s">
        <v>3863</v>
      </c>
      <c r="B1932" s="22" t="str">
        <f>VLOOKUP($A1932,'Customer Names'!$A:$D,3, FALSE)</f>
        <v>Mickelson</v>
      </c>
      <c r="C1932" s="22">
        <f>VLOOKUP($A1932,'Medical Examinations'!$A:$D, 2, FALSE)</f>
        <v>26.62</v>
      </c>
      <c r="D1932" s="22">
        <f>VLOOKUP($A1932, 'Medical Examinations'!$A:$D,3, FALSE)</f>
        <v>6.24</v>
      </c>
      <c r="E1932" s="22" t="str">
        <f>VLOOKUP($A1932, 'Medical Examinations'!$A:$D, 4, FALSE)</f>
        <v>No</v>
      </c>
      <c r="F1932" s="22" t="str">
        <f>VLOOKUP($A1932, 'Medical Examinations'!$A:$J, 5, FALSE)</f>
        <v>No</v>
      </c>
      <c r="G1932" s="22" t="str">
        <f>VLOOKUP($A1932, 'Medical Examinations'!$A:$I, 6, FALSE)</f>
        <v>No</v>
      </c>
      <c r="H1932" s="22">
        <f>VLOOKUP($A1932,'Medical Examinations'!$A:$L,10, FALSE)</f>
        <v>0</v>
      </c>
      <c r="I1932" s="22" t="str">
        <f>VLOOKUP($A1932, 'Medical Examinations'!$A:$J, 9, FALSE)</f>
        <v>No</v>
      </c>
      <c r="J1932" s="22" t="str">
        <f>VLOOKUP($A1932, 'Medical Examinations'!$A:$P, 11, FALSE)</f>
        <v>OVERWEIGHT</v>
      </c>
      <c r="K1932" s="34">
        <v>28023.0</v>
      </c>
      <c r="L1932" s="35">
        <f>VLOOKUP($A1932, 'Hospitalisation Details'!$A:$H, 7, FALSE)</f>
        <v>3757.84</v>
      </c>
      <c r="M1932" s="22" t="str">
        <f>VLOOKUP($A1932, 'Hospitalisation Details'!$A:$L, 12, FALSE)</f>
        <v>tier - 2</v>
      </c>
      <c r="N1932" s="22" t="str">
        <f>VLOOKUP($A1932, 'Hospitalisation Details'!$A:$M, 13, FALSE)</f>
        <v>tier - 1</v>
      </c>
      <c r="O1932" s="22" t="str">
        <f>VLOOKUP($A1932, 'Hospitalisation Details'!$A:$N, 14, FALSE)</f>
        <v>R1013</v>
      </c>
      <c r="P1932" s="36">
        <f>VLOOKUP($A1932, 'Hospitalisation Details'!$A:$O, 15, FALSE)</f>
        <v>31</v>
      </c>
    </row>
    <row r="1933" ht="15.75" customHeight="1">
      <c r="A1933" s="33" t="s">
        <v>3865</v>
      </c>
      <c r="B1933" s="22" t="str">
        <f>VLOOKUP($A1933,'Customer Names'!$A:$D,3, FALSE)</f>
        <v>Dibaba</v>
      </c>
      <c r="C1933" s="22">
        <f>VLOOKUP($A1933,'Medical Examinations'!$A:$D, 2, FALSE)</f>
        <v>25.74</v>
      </c>
      <c r="D1933" s="22">
        <f>VLOOKUP($A1933, 'Medical Examinations'!$A:$D,3, FALSE)</f>
        <v>5.99</v>
      </c>
      <c r="E1933" s="22" t="str">
        <f>VLOOKUP($A1933, 'Medical Examinations'!$A:$D, 4, FALSE)</f>
        <v>No</v>
      </c>
      <c r="F1933" s="22" t="str">
        <f>VLOOKUP($A1933, 'Medical Examinations'!$A:$J, 5, FALSE)</f>
        <v>No</v>
      </c>
      <c r="G1933" s="22" t="str">
        <f>VLOOKUP($A1933, 'Medical Examinations'!$A:$I, 6, FALSE)</f>
        <v>No</v>
      </c>
      <c r="H1933" s="22">
        <f>VLOOKUP($A1933,'Medical Examinations'!$A:$L,10, FALSE)</f>
        <v>0</v>
      </c>
      <c r="I1933" s="22" t="str">
        <f>VLOOKUP($A1933, 'Medical Examinations'!$A:$J, 9, FALSE)</f>
        <v>No</v>
      </c>
      <c r="J1933" s="22" t="str">
        <f>VLOOKUP($A1933, 'Medical Examinations'!$A:$P, 11, FALSE)</f>
        <v>OVERWEIGHT</v>
      </c>
      <c r="K1933" s="34">
        <v>26841.0</v>
      </c>
      <c r="L1933" s="35">
        <f>VLOOKUP($A1933, 'Hospitalisation Details'!$A:$H, 7, FALSE)</f>
        <v>3756.62</v>
      </c>
      <c r="M1933" s="22" t="str">
        <f>VLOOKUP($A1933, 'Hospitalisation Details'!$A:$L, 12, FALSE)</f>
        <v>tier - 2</v>
      </c>
      <c r="N1933" s="22" t="str">
        <f>VLOOKUP($A1933, 'Hospitalisation Details'!$A:$M, 13, FALSE)</f>
        <v>tier - 2</v>
      </c>
      <c r="O1933" s="22" t="str">
        <f>VLOOKUP($A1933, 'Hospitalisation Details'!$A:$N, 14, FALSE)</f>
        <v>R1013</v>
      </c>
      <c r="P1933" s="36">
        <f>VLOOKUP($A1933, 'Hospitalisation Details'!$A:$O, 15, FALSE)</f>
        <v>31</v>
      </c>
    </row>
    <row r="1934" ht="15.75" customHeight="1">
      <c r="A1934" s="33" t="s">
        <v>3867</v>
      </c>
      <c r="B1934" s="22" t="str">
        <f>VLOOKUP($A1934,'Customer Names'!$A:$D,3, FALSE)</f>
        <v>Shilling</v>
      </c>
      <c r="C1934" s="22">
        <f>VLOOKUP($A1934,'Medical Examinations'!$A:$D, 2, FALSE)</f>
        <v>18.22</v>
      </c>
      <c r="D1934" s="22">
        <f>VLOOKUP($A1934, 'Medical Examinations'!$A:$D,3, FALSE)</f>
        <v>10.27</v>
      </c>
      <c r="E1934" s="22" t="str">
        <f>VLOOKUP($A1934, 'Medical Examinations'!$A:$D, 4, FALSE)</f>
        <v>Yes</v>
      </c>
      <c r="F1934" s="22" t="str">
        <f>VLOOKUP($A1934, 'Medical Examinations'!$A:$J, 5, FALSE)</f>
        <v>No</v>
      </c>
      <c r="G1934" s="22" t="str">
        <f>VLOOKUP($A1934, 'Medical Examinations'!$A:$I, 6, FALSE)</f>
        <v>No</v>
      </c>
      <c r="H1934" s="22">
        <f>VLOOKUP($A1934,'Medical Examinations'!$A:$L,10, FALSE)</f>
        <v>1</v>
      </c>
      <c r="I1934" s="22" t="str">
        <f>VLOOKUP($A1934, 'Medical Examinations'!$A:$J, 9, FALSE)</f>
        <v>No</v>
      </c>
      <c r="J1934" s="22" t="str">
        <f>VLOOKUP($A1934, 'Medical Examinations'!$A:$P, 11, FALSE)</f>
        <v>UNDERWEIGHT</v>
      </c>
      <c r="K1934" s="34">
        <v>32499.0</v>
      </c>
      <c r="L1934" s="35">
        <f>VLOOKUP($A1934, 'Hospitalisation Details'!$A:$H, 7, FALSE)</f>
        <v>3748.56</v>
      </c>
      <c r="M1934" s="22" t="str">
        <f>VLOOKUP($A1934, 'Hospitalisation Details'!$A:$L, 12, FALSE)</f>
        <v>tier - 2</v>
      </c>
      <c r="N1934" s="22" t="str">
        <f>VLOOKUP($A1934, 'Hospitalisation Details'!$A:$M, 13, FALSE)</f>
        <v>tier - 2</v>
      </c>
      <c r="O1934" s="22" t="str">
        <f>VLOOKUP($A1934, 'Hospitalisation Details'!$A:$N, 14, FALSE)</f>
        <v>R1013</v>
      </c>
      <c r="P1934" s="36">
        <f>VLOOKUP($A1934, 'Hospitalisation Details'!$A:$O, 15, FALSE)</f>
        <v>36</v>
      </c>
    </row>
    <row r="1935" ht="15.75" customHeight="1">
      <c r="A1935" s="33" t="s">
        <v>3869</v>
      </c>
      <c r="B1935" s="22" t="str">
        <f>VLOOKUP($A1935,'Customer Names'!$A:$D,3, FALSE)</f>
        <v>Bashaw</v>
      </c>
      <c r="C1935" s="22">
        <f>VLOOKUP($A1935,'Medical Examinations'!$A:$D, 2, FALSE)</f>
        <v>26.03</v>
      </c>
      <c r="D1935" s="22">
        <f>VLOOKUP($A1935, 'Medical Examinations'!$A:$D,3, FALSE)</f>
        <v>5.97</v>
      </c>
      <c r="E1935" s="22" t="str">
        <f>VLOOKUP($A1935, 'Medical Examinations'!$A:$D, 4, FALSE)</f>
        <v>No</v>
      </c>
      <c r="F1935" s="22" t="str">
        <f>VLOOKUP($A1935, 'Medical Examinations'!$A:$J, 5, FALSE)</f>
        <v>No</v>
      </c>
      <c r="G1935" s="22" t="str">
        <f>VLOOKUP($A1935, 'Medical Examinations'!$A:$I, 6, FALSE)</f>
        <v>Yes</v>
      </c>
      <c r="H1935" s="22">
        <f>VLOOKUP($A1935,'Medical Examinations'!$A:$L,10, FALSE)</f>
        <v>1</v>
      </c>
      <c r="I1935" s="22" t="str">
        <f>VLOOKUP($A1935, 'Medical Examinations'!$A:$J, 9, FALSE)</f>
        <v>No</v>
      </c>
      <c r="J1935" s="22" t="str">
        <f>VLOOKUP($A1935, 'Medical Examinations'!$A:$P, 11, FALSE)</f>
        <v>OVERWEIGHT</v>
      </c>
      <c r="K1935" s="34">
        <v>25053.0</v>
      </c>
      <c r="L1935" s="35">
        <f>VLOOKUP($A1935, 'Hospitalisation Details'!$A:$H, 7, FALSE)</f>
        <v>3736.46</v>
      </c>
      <c r="M1935" s="22" t="str">
        <f>VLOOKUP($A1935, 'Hospitalisation Details'!$A:$L, 12, FALSE)</f>
        <v>tier - 2</v>
      </c>
      <c r="N1935" s="22" t="str">
        <f>VLOOKUP($A1935, 'Hospitalisation Details'!$A:$M, 13, FALSE)</f>
        <v>tier - 2</v>
      </c>
      <c r="O1935" s="22" t="str">
        <f>VLOOKUP($A1935, 'Hospitalisation Details'!$A:$N, 14, FALSE)</f>
        <v>R1012</v>
      </c>
      <c r="P1935" s="36">
        <f>VLOOKUP($A1935, 'Hospitalisation Details'!$A:$O, 15, FALSE)</f>
        <v>29</v>
      </c>
    </row>
    <row r="1936" ht="15.75" customHeight="1">
      <c r="A1936" s="33" t="s">
        <v>3871</v>
      </c>
      <c r="B1936" s="22" t="str">
        <f>VLOOKUP($A1936,'Customer Names'!$A:$D,3, FALSE)</f>
        <v>Jacob</v>
      </c>
      <c r="C1936" s="22">
        <f>VLOOKUP($A1936,'Medical Examinations'!$A:$D, 2, FALSE)</f>
        <v>17.29</v>
      </c>
      <c r="D1936" s="22">
        <f>VLOOKUP($A1936, 'Medical Examinations'!$A:$D,3, FALSE)</f>
        <v>4.98</v>
      </c>
      <c r="E1936" s="22" t="str">
        <f>VLOOKUP($A1936, 'Medical Examinations'!$A:$D, 4, FALSE)</f>
        <v>No</v>
      </c>
      <c r="F1936" s="22" t="str">
        <f>VLOOKUP($A1936, 'Medical Examinations'!$A:$J, 5, FALSE)</f>
        <v>No</v>
      </c>
      <c r="G1936" s="22" t="str">
        <f>VLOOKUP($A1936, 'Medical Examinations'!$A:$I, 6, FALSE)</f>
        <v>No</v>
      </c>
      <c r="H1936" s="22">
        <f>VLOOKUP($A1936,'Medical Examinations'!$A:$L,10, FALSE)</f>
        <v>0</v>
      </c>
      <c r="I1936" s="22" t="str">
        <f>VLOOKUP($A1936, 'Medical Examinations'!$A:$J, 9, FALSE)</f>
        <v>No</v>
      </c>
      <c r="J1936" s="22" t="str">
        <f>VLOOKUP($A1936, 'Medical Examinations'!$A:$P, 11, FALSE)</f>
        <v>UNDERWEIGHT</v>
      </c>
      <c r="K1936" s="34">
        <v>22073.0</v>
      </c>
      <c r="L1936" s="35">
        <f>VLOOKUP($A1936, 'Hospitalisation Details'!$A:$H, 7, FALSE)</f>
        <v>3732.63</v>
      </c>
      <c r="M1936" s="22" t="str">
        <f>VLOOKUP($A1936, 'Hospitalisation Details'!$A:$L, 12, FALSE)</f>
        <v>tier - 2</v>
      </c>
      <c r="N1936" s="22" t="str">
        <f>VLOOKUP($A1936, 'Hospitalisation Details'!$A:$M, 13, FALSE)</f>
        <v>tier - 3</v>
      </c>
      <c r="O1936" s="22" t="str">
        <f>VLOOKUP($A1936, 'Hospitalisation Details'!$A:$N, 14, FALSE)</f>
        <v>R1024</v>
      </c>
      <c r="P1936" s="36">
        <f>VLOOKUP($A1936, 'Hospitalisation Details'!$A:$O, 15, FALSE)</f>
        <v>28</v>
      </c>
    </row>
    <row r="1937" ht="15.75" customHeight="1">
      <c r="A1937" s="33" t="s">
        <v>3873</v>
      </c>
      <c r="B1937" s="22" t="str">
        <f>VLOOKUP($A1937,'Customer Names'!$A:$D,3, FALSE)</f>
        <v>McCutcheon</v>
      </c>
      <c r="C1937" s="22">
        <f>VLOOKUP($A1937,'Medical Examinations'!$A:$D, 2, FALSE)</f>
        <v>18.17</v>
      </c>
      <c r="D1937" s="22">
        <f>VLOOKUP($A1937, 'Medical Examinations'!$A:$D,3, FALSE)</f>
        <v>6.91</v>
      </c>
      <c r="E1937" s="22" t="str">
        <f>VLOOKUP($A1937, 'Medical Examinations'!$A:$D, 4, FALSE)</f>
        <v>Yes</v>
      </c>
      <c r="F1937" s="22" t="str">
        <f>VLOOKUP($A1937, 'Medical Examinations'!$A:$J, 5, FALSE)</f>
        <v>No</v>
      </c>
      <c r="G1937" s="22" t="str">
        <f>VLOOKUP($A1937, 'Medical Examinations'!$A:$I, 6, FALSE)</f>
        <v>No</v>
      </c>
      <c r="H1937" s="22">
        <f>VLOOKUP($A1937,'Medical Examinations'!$A:$L,10, FALSE)</f>
        <v>1</v>
      </c>
      <c r="I1937" s="22" t="str">
        <f>VLOOKUP($A1937, 'Medical Examinations'!$A:$J, 9, FALSE)</f>
        <v>No</v>
      </c>
      <c r="J1937" s="22" t="str">
        <f>VLOOKUP($A1937, 'Medical Examinations'!$A:$P, 11, FALSE)</f>
        <v>UNDERWEIGHT</v>
      </c>
      <c r="K1937" s="34">
        <v>24043.0</v>
      </c>
      <c r="L1937" s="35">
        <f>VLOOKUP($A1937, 'Hospitalisation Details'!$A:$H, 7, FALSE)</f>
        <v>3731.6</v>
      </c>
      <c r="M1937" s="22" t="str">
        <f>VLOOKUP($A1937, 'Hospitalisation Details'!$A:$L, 12, FALSE)</f>
        <v>tier - 2</v>
      </c>
      <c r="N1937" s="22" t="str">
        <f>VLOOKUP($A1937, 'Hospitalisation Details'!$A:$M, 13, FALSE)</f>
        <v>tier - 2</v>
      </c>
      <c r="O1937" s="22" t="str">
        <f>VLOOKUP($A1937, 'Hospitalisation Details'!$A:$N, 14, FALSE)</f>
        <v>R1013</v>
      </c>
      <c r="P1937" s="36">
        <f>VLOOKUP($A1937, 'Hospitalisation Details'!$A:$O, 15, FALSE)</f>
        <v>36</v>
      </c>
    </row>
    <row r="1938" ht="15.75" customHeight="1">
      <c r="A1938" s="33" t="s">
        <v>3875</v>
      </c>
      <c r="B1938" s="22" t="str">
        <f>VLOOKUP($A1938,'Customer Names'!$A:$D,3, FALSE)</f>
        <v>Connor</v>
      </c>
      <c r="C1938" s="22">
        <f>VLOOKUP($A1938,'Medical Examinations'!$A:$D, 2, FALSE)</f>
        <v>32.54</v>
      </c>
      <c r="D1938" s="22">
        <f>VLOOKUP($A1938, 'Medical Examinations'!$A:$D,3, FALSE)</f>
        <v>6.38</v>
      </c>
      <c r="E1938" s="22" t="str">
        <f>VLOOKUP($A1938, 'Medical Examinations'!$A:$D, 4, FALSE)</f>
        <v>No</v>
      </c>
      <c r="F1938" s="22" t="str">
        <f>VLOOKUP($A1938, 'Medical Examinations'!$A:$J, 5, FALSE)</f>
        <v>Yes</v>
      </c>
      <c r="G1938" s="22" t="str">
        <f>VLOOKUP($A1938, 'Medical Examinations'!$A:$I, 6, FALSE)</f>
        <v>No</v>
      </c>
      <c r="H1938" s="22">
        <f>VLOOKUP($A1938,'Medical Examinations'!$A:$L,10, FALSE)</f>
        <v>1</v>
      </c>
      <c r="I1938" s="22" t="str">
        <f>VLOOKUP($A1938, 'Medical Examinations'!$A:$J, 9, FALSE)</f>
        <v>No</v>
      </c>
      <c r="J1938" s="22" t="str">
        <f>VLOOKUP($A1938, 'Medical Examinations'!$A:$P, 11, FALSE)</f>
        <v>OBESITY</v>
      </c>
      <c r="K1938" s="34">
        <v>27240.0</v>
      </c>
      <c r="L1938" s="35">
        <f>VLOOKUP($A1938, 'Hospitalisation Details'!$A:$H, 7, FALSE)</f>
        <v>3722.23</v>
      </c>
      <c r="M1938" s="22" t="str">
        <f>VLOOKUP($A1938, 'Hospitalisation Details'!$A:$L, 12, FALSE)</f>
        <v>tier - 2</v>
      </c>
      <c r="N1938" s="22" t="str">
        <f>VLOOKUP($A1938, 'Hospitalisation Details'!$A:$M, 13, FALSE)</f>
        <v>tier - 2</v>
      </c>
      <c r="O1938" s="22" t="str">
        <f>VLOOKUP($A1938, 'Hospitalisation Details'!$A:$N, 14, FALSE)</f>
        <v>R1025</v>
      </c>
      <c r="P1938" s="36">
        <f>VLOOKUP($A1938, 'Hospitalisation Details'!$A:$O, 15, FALSE)</f>
        <v>18</v>
      </c>
    </row>
    <row r="1939" ht="15.75" customHeight="1">
      <c r="A1939" s="33" t="s">
        <v>3877</v>
      </c>
      <c r="B1939" s="22" t="str">
        <f>VLOOKUP($A1939,'Customer Names'!$A:$D,3, FALSE)</f>
        <v>May</v>
      </c>
      <c r="C1939" s="22">
        <f>VLOOKUP($A1939,'Medical Examinations'!$A:$D, 2, FALSE)</f>
        <v>30.25</v>
      </c>
      <c r="D1939" s="22">
        <f>VLOOKUP($A1939, 'Medical Examinations'!$A:$D,3, FALSE)</f>
        <v>4.77</v>
      </c>
      <c r="E1939" s="22" t="str">
        <f>VLOOKUP($A1939, 'Medical Examinations'!$A:$D, 4, FALSE)</f>
        <v>No</v>
      </c>
      <c r="F1939" s="22" t="str">
        <f>VLOOKUP($A1939, 'Medical Examinations'!$A:$J, 5, FALSE)</f>
        <v>No</v>
      </c>
      <c r="G1939" s="22" t="str">
        <f>VLOOKUP($A1939, 'Medical Examinations'!$A:$I, 6, FALSE)</f>
        <v>No</v>
      </c>
      <c r="H1939" s="22">
        <f>VLOOKUP($A1939,'Medical Examinations'!$A:$L,10, FALSE)</f>
        <v>0</v>
      </c>
      <c r="I1939" s="22" t="str">
        <f>VLOOKUP($A1939, 'Medical Examinations'!$A:$J, 9, FALSE)</f>
        <v>No</v>
      </c>
      <c r="J1939" s="22" t="str">
        <f>VLOOKUP($A1939, 'Medical Examinations'!$A:$P, 11, FALSE)</f>
        <v>OBESITY</v>
      </c>
      <c r="K1939" s="34">
        <v>21825.0</v>
      </c>
      <c r="L1939" s="35">
        <f>VLOOKUP($A1939, 'Hospitalisation Details'!$A:$H, 7, FALSE)</f>
        <v>3704.35</v>
      </c>
      <c r="M1939" s="22" t="str">
        <f>VLOOKUP($A1939, 'Hospitalisation Details'!$A:$L, 12, FALSE)</f>
        <v>tier - 2</v>
      </c>
      <c r="N1939" s="22" t="str">
        <f>VLOOKUP($A1939, 'Hospitalisation Details'!$A:$M, 13, FALSE)</f>
        <v>tier - 2</v>
      </c>
      <c r="O1939" s="22" t="str">
        <f>VLOOKUP($A1939, 'Hospitalisation Details'!$A:$N, 14, FALSE)</f>
        <v>R1013</v>
      </c>
      <c r="P1939" s="36">
        <f>VLOOKUP($A1939, 'Hospitalisation Details'!$A:$O, 15, FALSE)</f>
        <v>33</v>
      </c>
    </row>
    <row r="1940" ht="15.75" customHeight="1">
      <c r="A1940" s="33" t="s">
        <v>3879</v>
      </c>
      <c r="B1940" s="22" t="str">
        <f>VLOOKUP($A1940,'Customer Names'!$A:$D,3, FALSE)</f>
        <v>Geoghegan</v>
      </c>
      <c r="C1940" s="22">
        <f>VLOOKUP($A1940,'Medical Examinations'!$A:$D, 2, FALSE)</f>
        <v>19.59</v>
      </c>
      <c r="D1940" s="22">
        <f>VLOOKUP($A1940, 'Medical Examinations'!$A:$D,3, FALSE)</f>
        <v>6.04</v>
      </c>
      <c r="E1940" s="22" t="str">
        <f>VLOOKUP($A1940, 'Medical Examinations'!$A:$D, 4, FALSE)</f>
        <v>Yes</v>
      </c>
      <c r="F1940" s="22" t="str">
        <f>VLOOKUP($A1940, 'Medical Examinations'!$A:$J, 5, FALSE)</f>
        <v>No</v>
      </c>
      <c r="G1940" s="22" t="str">
        <f>VLOOKUP($A1940, 'Medical Examinations'!$A:$I, 6, FALSE)</f>
        <v>No</v>
      </c>
      <c r="H1940" s="22">
        <f>VLOOKUP($A1940,'Medical Examinations'!$A:$L,10, FALSE)</f>
        <v>1</v>
      </c>
      <c r="I1940" s="22" t="str">
        <f>VLOOKUP($A1940, 'Medical Examinations'!$A:$J, 9, FALSE)</f>
        <v>No</v>
      </c>
      <c r="J1940" s="22" t="str">
        <f>VLOOKUP($A1940, 'Medical Examinations'!$A:$P, 11, FALSE)</f>
        <v>NORMAL WEIGHT</v>
      </c>
      <c r="K1940" s="34">
        <v>27208.0</v>
      </c>
      <c r="L1940" s="35">
        <f>VLOOKUP($A1940, 'Hospitalisation Details'!$A:$H, 7, FALSE)</f>
        <v>3699.54</v>
      </c>
      <c r="M1940" s="22" t="str">
        <f>VLOOKUP($A1940, 'Hospitalisation Details'!$A:$L, 12, FALSE)</f>
        <v>tier - 2</v>
      </c>
      <c r="N1940" s="22" t="str">
        <f>VLOOKUP($A1940, 'Hospitalisation Details'!$A:$M, 13, FALSE)</f>
        <v>tier - 3</v>
      </c>
      <c r="O1940" s="22" t="str">
        <f>VLOOKUP($A1940, 'Hospitalisation Details'!$A:$N, 14, FALSE)</f>
        <v>R1013</v>
      </c>
      <c r="P1940" s="36">
        <f>VLOOKUP($A1940, 'Hospitalisation Details'!$A:$O, 15, FALSE)</f>
        <v>34</v>
      </c>
    </row>
    <row r="1941" ht="15.75" customHeight="1">
      <c r="A1941" s="33" t="s">
        <v>3881</v>
      </c>
      <c r="B1941" s="22" t="str">
        <f>VLOOKUP($A1941,'Customer Names'!$A:$D,3, FALSE)</f>
        <v>McGinn</v>
      </c>
      <c r="C1941" s="22">
        <f>VLOOKUP($A1941,'Medical Examinations'!$A:$D, 2, FALSE)</f>
        <v>45.9</v>
      </c>
      <c r="D1941" s="22">
        <f>VLOOKUP($A1941, 'Medical Examinations'!$A:$D,3, FALSE)</f>
        <v>4.3</v>
      </c>
      <c r="E1941" s="22" t="str">
        <f>VLOOKUP($A1941, 'Medical Examinations'!$A:$D, 4, FALSE)</f>
        <v>Yes</v>
      </c>
      <c r="F1941" s="22" t="str">
        <f>VLOOKUP($A1941, 'Medical Examinations'!$A:$J, 5, FALSE)</f>
        <v>No</v>
      </c>
      <c r="G1941" s="22" t="str">
        <f>VLOOKUP($A1941, 'Medical Examinations'!$A:$I, 6, FALSE)</f>
        <v>No</v>
      </c>
      <c r="H1941" s="22">
        <f>VLOOKUP($A1941,'Medical Examinations'!$A:$L,10, FALSE)</f>
        <v>1</v>
      </c>
      <c r="I1941" s="22" t="str">
        <f>VLOOKUP($A1941, 'Medical Examinations'!$A:$J, 9, FALSE)</f>
        <v>No</v>
      </c>
      <c r="J1941" s="22" t="str">
        <f>VLOOKUP($A1941, 'Medical Examinations'!$A:$P, 11, FALSE)</f>
        <v>OBESITY</v>
      </c>
      <c r="K1941" s="34">
        <v>38185.0</v>
      </c>
      <c r="L1941" s="35">
        <f>VLOOKUP($A1941, 'Hospitalisation Details'!$A:$H, 7, FALSE)</f>
        <v>3693.43</v>
      </c>
      <c r="M1941" s="22" t="str">
        <f>VLOOKUP($A1941, 'Hospitalisation Details'!$A:$L, 12, FALSE)</f>
        <v>tier - 2</v>
      </c>
      <c r="N1941" s="22" t="str">
        <f>VLOOKUP($A1941, 'Hospitalisation Details'!$A:$M, 13, FALSE)</f>
        <v>tier - 3</v>
      </c>
      <c r="O1941" s="22" t="str">
        <f>VLOOKUP($A1941, 'Hospitalisation Details'!$A:$N, 14, FALSE)</f>
        <v>R1011</v>
      </c>
      <c r="P1941" s="36">
        <f>VLOOKUP($A1941, 'Hospitalisation Details'!$A:$O, 15, FALSE)</f>
        <v>27</v>
      </c>
    </row>
    <row r="1942" ht="15.75" customHeight="1">
      <c r="A1942" s="33" t="s">
        <v>3883</v>
      </c>
      <c r="B1942" s="22" t="str">
        <f>VLOOKUP($A1942,'Customer Names'!$A:$D,3, FALSE)</f>
        <v>Jones</v>
      </c>
      <c r="C1942" s="22">
        <f>VLOOKUP($A1942,'Medical Examinations'!$A:$D, 2, FALSE)</f>
        <v>17.06</v>
      </c>
      <c r="D1942" s="22">
        <f>VLOOKUP($A1942, 'Medical Examinations'!$A:$D,3, FALSE)</f>
        <v>8.75</v>
      </c>
      <c r="E1942" s="22" t="str">
        <f>VLOOKUP($A1942, 'Medical Examinations'!$A:$D, 4, FALSE)</f>
        <v>Yes</v>
      </c>
      <c r="F1942" s="22" t="str">
        <f>VLOOKUP($A1942, 'Medical Examinations'!$A:$J, 5, FALSE)</f>
        <v>No</v>
      </c>
      <c r="G1942" s="22" t="str">
        <f>VLOOKUP($A1942, 'Medical Examinations'!$A:$I, 6, FALSE)</f>
        <v>No</v>
      </c>
      <c r="H1942" s="22">
        <f>VLOOKUP($A1942,'Medical Examinations'!$A:$L,10, FALSE)</f>
        <v>0</v>
      </c>
      <c r="I1942" s="22" t="str">
        <f>VLOOKUP($A1942, 'Medical Examinations'!$A:$J, 9, FALSE)</f>
        <v>No</v>
      </c>
      <c r="J1942" s="22" t="str">
        <f>VLOOKUP($A1942, 'Medical Examinations'!$A:$P, 11, FALSE)</f>
        <v>UNDERWEIGHT</v>
      </c>
      <c r="K1942" s="34">
        <v>27961.0</v>
      </c>
      <c r="L1942" s="35">
        <f>VLOOKUP($A1942, 'Hospitalisation Details'!$A:$H, 7, FALSE)</f>
        <v>3688.38</v>
      </c>
      <c r="M1942" s="22" t="str">
        <f>VLOOKUP($A1942, 'Hospitalisation Details'!$A:$L, 12, FALSE)</f>
        <v>tier - 2</v>
      </c>
      <c r="N1942" s="22" t="str">
        <f>VLOOKUP($A1942, 'Hospitalisation Details'!$A:$M, 13, FALSE)</f>
        <v>tier - 2</v>
      </c>
      <c r="O1942" s="22" t="str">
        <f>VLOOKUP($A1942, 'Hospitalisation Details'!$A:$N, 14, FALSE)</f>
        <v>R1013</v>
      </c>
      <c r="P1942" s="36">
        <f>VLOOKUP($A1942, 'Hospitalisation Details'!$A:$O, 15, FALSE)</f>
        <v>41</v>
      </c>
    </row>
    <row r="1943" ht="15.75" customHeight="1">
      <c r="A1943" s="33" t="s">
        <v>3885</v>
      </c>
      <c r="B1943" s="22" t="str">
        <f>VLOOKUP($A1943,'Customer Names'!$A:$D,3, FALSE)</f>
        <v>Quinteros</v>
      </c>
      <c r="C1943" s="22">
        <f>VLOOKUP($A1943,'Medical Examinations'!$A:$D, 2, FALSE)</f>
        <v>32.07</v>
      </c>
      <c r="D1943" s="22">
        <f>VLOOKUP($A1943, 'Medical Examinations'!$A:$D,3, FALSE)</f>
        <v>5.25</v>
      </c>
      <c r="E1943" s="22" t="str">
        <f>VLOOKUP($A1943, 'Medical Examinations'!$A:$D, 4, FALSE)</f>
        <v>No</v>
      </c>
      <c r="F1943" s="22" t="str">
        <f>VLOOKUP($A1943, 'Medical Examinations'!$A:$J, 5, FALSE)</f>
        <v>No</v>
      </c>
      <c r="G1943" s="22" t="str">
        <f>VLOOKUP($A1943, 'Medical Examinations'!$A:$I, 6, FALSE)</f>
        <v>Yes</v>
      </c>
      <c r="H1943" s="22">
        <f>VLOOKUP($A1943,'Medical Examinations'!$A:$L,10, FALSE)</f>
        <v>1</v>
      </c>
      <c r="I1943" s="22" t="str">
        <f>VLOOKUP($A1943, 'Medical Examinations'!$A:$J, 9, FALSE)</f>
        <v>No</v>
      </c>
      <c r="J1943" s="22" t="str">
        <f>VLOOKUP($A1943, 'Medical Examinations'!$A:$P, 11, FALSE)</f>
        <v>OBESITY</v>
      </c>
      <c r="K1943" s="34">
        <v>33171.0</v>
      </c>
      <c r="L1943" s="35">
        <f>VLOOKUP($A1943, 'Hospitalisation Details'!$A:$H, 7, FALSE)</f>
        <v>3688.35</v>
      </c>
      <c r="M1943" s="22" t="str">
        <f>VLOOKUP($A1943, 'Hospitalisation Details'!$A:$L, 12, FALSE)</f>
        <v>tier - 2</v>
      </c>
      <c r="N1943" s="22" t="str">
        <f>VLOOKUP($A1943, 'Hospitalisation Details'!$A:$M, 13, FALSE)</f>
        <v>tier - 2</v>
      </c>
      <c r="O1943" s="22" t="str">
        <f>VLOOKUP($A1943, 'Hospitalisation Details'!$A:$N, 14, FALSE)</f>
        <v>R1021</v>
      </c>
      <c r="P1943" s="36">
        <f>VLOOKUP($A1943, 'Hospitalisation Details'!$A:$O, 15, FALSE)</f>
        <v>19</v>
      </c>
    </row>
    <row r="1944" ht="15.75" customHeight="1">
      <c r="A1944" s="33" t="s">
        <v>3887</v>
      </c>
      <c r="B1944" s="22" t="str">
        <f>VLOOKUP($A1944,'Customer Names'!$A:$D,3, FALSE)</f>
        <v>Loenser</v>
      </c>
      <c r="C1944" s="22">
        <f>VLOOKUP($A1944,'Medical Examinations'!$A:$D, 2, FALSE)</f>
        <v>16.5</v>
      </c>
      <c r="D1944" s="22">
        <f>VLOOKUP($A1944, 'Medical Examinations'!$A:$D,3, FALSE)</f>
        <v>5.03</v>
      </c>
      <c r="E1944" s="22" t="str">
        <f>VLOOKUP($A1944, 'Medical Examinations'!$A:$D, 4, FALSE)</f>
        <v>No</v>
      </c>
      <c r="F1944" s="22" t="str">
        <f>VLOOKUP($A1944, 'Medical Examinations'!$A:$J, 5, FALSE)</f>
        <v>No</v>
      </c>
      <c r="G1944" s="22" t="str">
        <f>VLOOKUP($A1944, 'Medical Examinations'!$A:$I, 6, FALSE)</f>
        <v>No</v>
      </c>
      <c r="H1944" s="22">
        <f>VLOOKUP($A1944,'Medical Examinations'!$A:$L,10, FALSE)</f>
        <v>1</v>
      </c>
      <c r="I1944" s="22" t="str">
        <f>VLOOKUP($A1944, 'Medical Examinations'!$A:$J, 9, FALSE)</f>
        <v>No</v>
      </c>
      <c r="J1944" s="22" t="str">
        <f>VLOOKUP($A1944, 'Medical Examinations'!$A:$P, 11, FALSE)</f>
        <v>UNDERWEIGHT</v>
      </c>
      <c r="K1944" s="34">
        <v>23624.0</v>
      </c>
      <c r="L1944" s="35">
        <f>VLOOKUP($A1944, 'Hospitalisation Details'!$A:$H, 7, FALSE)</f>
        <v>3678.86</v>
      </c>
      <c r="M1944" s="22" t="str">
        <f>VLOOKUP($A1944, 'Hospitalisation Details'!$A:$L, 12, FALSE)</f>
        <v>tier - 2</v>
      </c>
      <c r="N1944" s="22" t="str">
        <f>VLOOKUP($A1944, 'Hospitalisation Details'!$A:$M, 13, FALSE)</f>
        <v>tier - 3</v>
      </c>
      <c r="O1944" s="22" t="str">
        <f>VLOOKUP($A1944, 'Hospitalisation Details'!$A:$N, 14, FALSE)</f>
        <v>R1013</v>
      </c>
      <c r="P1944" s="36">
        <f>VLOOKUP($A1944, 'Hospitalisation Details'!$A:$O, 15, FALSE)</f>
        <v>38</v>
      </c>
    </row>
    <row r="1945" ht="15.75" customHeight="1">
      <c r="A1945" s="33" t="s">
        <v>3889</v>
      </c>
      <c r="B1945" s="22" t="str">
        <f>VLOOKUP($A1945,'Customer Names'!$A:$D,3, FALSE)</f>
        <v>Aitken</v>
      </c>
      <c r="C1945" s="22">
        <f>VLOOKUP($A1945,'Medical Examinations'!$A:$D, 2, FALSE)</f>
        <v>31.4</v>
      </c>
      <c r="D1945" s="22">
        <f>VLOOKUP($A1945, 'Medical Examinations'!$A:$D,3, FALSE)</f>
        <v>5.88</v>
      </c>
      <c r="E1945" s="22" t="str">
        <f>VLOOKUP($A1945, 'Medical Examinations'!$A:$D, 4, FALSE)</f>
        <v>No</v>
      </c>
      <c r="F1945" s="22" t="str">
        <f>VLOOKUP($A1945, 'Medical Examinations'!$A:$J, 5, FALSE)</f>
        <v>No</v>
      </c>
      <c r="G1945" s="22" t="str">
        <f>VLOOKUP($A1945, 'Medical Examinations'!$A:$I, 6, FALSE)</f>
        <v>No</v>
      </c>
      <c r="H1945" s="22">
        <f>VLOOKUP($A1945,'Medical Examinations'!$A:$L,10, FALSE)</f>
        <v>1</v>
      </c>
      <c r="I1945" s="22" t="str">
        <f>VLOOKUP($A1945, 'Medical Examinations'!$A:$J, 9, FALSE)</f>
        <v>No</v>
      </c>
      <c r="J1945" s="22" t="str">
        <f>VLOOKUP($A1945, 'Medical Examinations'!$A:$P, 11, FALSE)</f>
        <v>OBESITY</v>
      </c>
      <c r="K1945" s="34">
        <v>22895.0</v>
      </c>
      <c r="L1945" s="35">
        <f>VLOOKUP($A1945, 'Hospitalisation Details'!$A:$H, 7, FALSE)</f>
        <v>3659.35</v>
      </c>
      <c r="M1945" s="22" t="str">
        <f>VLOOKUP($A1945, 'Hospitalisation Details'!$A:$L, 12, FALSE)</f>
        <v>tier - 3</v>
      </c>
      <c r="N1945" s="22" t="str">
        <f>VLOOKUP($A1945, 'Hospitalisation Details'!$A:$M, 13, FALSE)</f>
        <v>tier - 1</v>
      </c>
      <c r="O1945" s="22" t="str">
        <f>VLOOKUP($A1945, 'Hospitalisation Details'!$A:$N, 14, FALSE)</f>
        <v>R1011</v>
      </c>
      <c r="P1945" s="36">
        <f>VLOOKUP($A1945, 'Hospitalisation Details'!$A:$O, 15, FALSE)</f>
        <v>30</v>
      </c>
    </row>
    <row r="1946" ht="15.75" customHeight="1">
      <c r="A1946" s="33" t="s">
        <v>3891</v>
      </c>
      <c r="B1946" s="22" t="str">
        <f>VLOOKUP($A1946,'Customer Names'!$A:$D,3, FALSE)</f>
        <v>Furrer</v>
      </c>
      <c r="C1946" s="22">
        <f>VLOOKUP($A1946,'Medical Examinations'!$A:$D, 2, FALSE)</f>
        <v>20.36</v>
      </c>
      <c r="D1946" s="22">
        <f>VLOOKUP($A1946, 'Medical Examinations'!$A:$D,3, FALSE)</f>
        <v>4.49</v>
      </c>
      <c r="E1946" s="22" t="str">
        <f>VLOOKUP($A1946, 'Medical Examinations'!$A:$D, 4, FALSE)</f>
        <v>No</v>
      </c>
      <c r="F1946" s="22" t="str">
        <f>VLOOKUP($A1946, 'Medical Examinations'!$A:$J, 5, FALSE)</f>
        <v>No</v>
      </c>
      <c r="G1946" s="22" t="str">
        <f>VLOOKUP($A1946, 'Medical Examinations'!$A:$I, 6, FALSE)</f>
        <v>No</v>
      </c>
      <c r="H1946" s="22">
        <f>VLOOKUP($A1946,'Medical Examinations'!$A:$L,10, FALSE)</f>
        <v>0</v>
      </c>
      <c r="I1946" s="22" t="str">
        <f>VLOOKUP($A1946, 'Medical Examinations'!$A:$J, 9, FALSE)</f>
        <v>No</v>
      </c>
      <c r="J1946" s="22" t="str">
        <f>VLOOKUP($A1946, 'Medical Examinations'!$A:$P, 11, FALSE)</f>
        <v>NORMAL WEIGHT</v>
      </c>
      <c r="K1946" s="34">
        <v>24651.0</v>
      </c>
      <c r="L1946" s="35">
        <f>VLOOKUP($A1946, 'Hospitalisation Details'!$A:$H, 7, FALSE)</f>
        <v>3653.29</v>
      </c>
      <c r="M1946" s="22" t="str">
        <f>VLOOKUP($A1946, 'Hospitalisation Details'!$A:$L, 12, FALSE)</f>
        <v>tier - 2</v>
      </c>
      <c r="N1946" s="22" t="str">
        <f>VLOOKUP($A1946, 'Hospitalisation Details'!$A:$M, 13, FALSE)</f>
        <v>tier - 3</v>
      </c>
      <c r="O1946" s="22" t="str">
        <f>VLOOKUP($A1946, 'Hospitalisation Details'!$A:$N, 14, FALSE)</f>
        <v>R1011</v>
      </c>
      <c r="P1946" s="36">
        <f>VLOOKUP($A1946, 'Hospitalisation Details'!$A:$O, 15, FALSE)</f>
        <v>32</v>
      </c>
    </row>
    <row r="1947" ht="15.75" customHeight="1">
      <c r="A1947" s="33" t="s">
        <v>3893</v>
      </c>
      <c r="B1947" s="22" t="str">
        <f>VLOOKUP($A1947,'Customer Names'!$A:$D,3, FALSE)</f>
        <v>Konigs</v>
      </c>
      <c r="C1947" s="22">
        <f>VLOOKUP($A1947,'Medical Examinations'!$A:$D, 2, FALSE)</f>
        <v>25.46</v>
      </c>
      <c r="D1947" s="22">
        <f>VLOOKUP($A1947, 'Medical Examinations'!$A:$D,3, FALSE)</f>
        <v>4.14</v>
      </c>
      <c r="E1947" s="22" t="str">
        <f>VLOOKUP($A1947, 'Medical Examinations'!$A:$D, 4, FALSE)</f>
        <v>No</v>
      </c>
      <c r="F1947" s="22" t="str">
        <f>VLOOKUP($A1947, 'Medical Examinations'!$A:$J, 5, FALSE)</f>
        <v>No</v>
      </c>
      <c r="G1947" s="22" t="str">
        <f>VLOOKUP($A1947, 'Medical Examinations'!$A:$I, 6, FALSE)</f>
        <v>No</v>
      </c>
      <c r="H1947" s="22">
        <f>VLOOKUP($A1947,'Medical Examinations'!$A:$L,10, FALSE)</f>
        <v>1</v>
      </c>
      <c r="I1947" s="22" t="str">
        <f>VLOOKUP($A1947, 'Medical Examinations'!$A:$J, 9, FALSE)</f>
        <v>No</v>
      </c>
      <c r="J1947" s="22" t="str">
        <f>VLOOKUP($A1947, 'Medical Examinations'!$A:$P, 11, FALSE)</f>
        <v>OVERWEIGHT</v>
      </c>
      <c r="K1947" s="34">
        <v>25037.0</v>
      </c>
      <c r="L1947" s="35">
        <f>VLOOKUP($A1947, 'Hospitalisation Details'!$A:$H, 7, FALSE)</f>
        <v>3645.09</v>
      </c>
      <c r="M1947" s="22" t="str">
        <f>VLOOKUP($A1947, 'Hospitalisation Details'!$A:$L, 12, FALSE)</f>
        <v>tier - 1</v>
      </c>
      <c r="N1947" s="22" t="str">
        <f>VLOOKUP($A1947, 'Hospitalisation Details'!$A:$M, 13, FALSE)</f>
        <v>tier - 2</v>
      </c>
      <c r="O1947" s="22" t="str">
        <f>VLOOKUP($A1947, 'Hospitalisation Details'!$A:$N, 14, FALSE)</f>
        <v>R1014</v>
      </c>
      <c r="P1947" s="36">
        <f>VLOOKUP($A1947, 'Hospitalisation Details'!$A:$O, 15, FALSE)</f>
        <v>30</v>
      </c>
    </row>
    <row r="1948" ht="15.75" customHeight="1">
      <c r="A1948" s="33" t="s">
        <v>3895</v>
      </c>
      <c r="B1948" s="22" t="str">
        <f>VLOOKUP($A1948,'Customer Names'!$A:$D,3, FALSE)</f>
        <v>Tesdahl</v>
      </c>
      <c r="C1948" s="22">
        <f>VLOOKUP($A1948,'Medical Examinations'!$A:$D, 2, FALSE)</f>
        <v>17.09</v>
      </c>
      <c r="D1948" s="22">
        <f>VLOOKUP($A1948, 'Medical Examinations'!$A:$D,3, FALSE)</f>
        <v>5.8</v>
      </c>
      <c r="E1948" s="22" t="str">
        <f>VLOOKUP($A1948, 'Medical Examinations'!$A:$D, 4, FALSE)</f>
        <v>Yes</v>
      </c>
      <c r="F1948" s="22" t="str">
        <f>VLOOKUP($A1948, 'Medical Examinations'!$A:$J, 5, FALSE)</f>
        <v>No</v>
      </c>
      <c r="G1948" s="22" t="str">
        <f>VLOOKUP($A1948, 'Medical Examinations'!$A:$I, 6, FALSE)</f>
        <v>No</v>
      </c>
      <c r="H1948" s="22">
        <f>VLOOKUP($A1948,'Medical Examinations'!$A:$L,10, FALSE)</f>
        <v>0</v>
      </c>
      <c r="I1948" s="22" t="str">
        <f>VLOOKUP($A1948, 'Medical Examinations'!$A:$J, 9, FALSE)</f>
        <v>No</v>
      </c>
      <c r="J1948" s="22" t="str">
        <f>VLOOKUP($A1948, 'Medical Examinations'!$A:$P, 11, FALSE)</f>
        <v>UNDERWEIGHT</v>
      </c>
      <c r="K1948" s="34">
        <v>32494.0</v>
      </c>
      <c r="L1948" s="35">
        <f>VLOOKUP($A1948, 'Hospitalisation Details'!$A:$H, 7, FALSE)</f>
        <v>3622.13</v>
      </c>
      <c r="M1948" s="22" t="str">
        <f>VLOOKUP($A1948, 'Hospitalisation Details'!$A:$L, 12, FALSE)</f>
        <v>tier - 2</v>
      </c>
      <c r="N1948" s="22" t="str">
        <f>VLOOKUP($A1948, 'Hospitalisation Details'!$A:$M, 13, FALSE)</f>
        <v>tier - 1</v>
      </c>
      <c r="O1948" s="22" t="str">
        <f>VLOOKUP($A1948, 'Hospitalisation Details'!$A:$N, 14, FALSE)</f>
        <v>R1013</v>
      </c>
      <c r="P1948" s="36">
        <f>VLOOKUP($A1948, 'Hospitalisation Details'!$A:$O, 15, FALSE)</f>
        <v>37</v>
      </c>
    </row>
    <row r="1949" ht="15.75" customHeight="1">
      <c r="A1949" s="33" t="s">
        <v>3897</v>
      </c>
      <c r="B1949" s="22" t="str">
        <f>VLOOKUP($A1949,'Customer Names'!$A:$D,3, FALSE)</f>
        <v>Engel</v>
      </c>
      <c r="C1949" s="22">
        <f>VLOOKUP($A1949,'Medical Examinations'!$A:$D, 2, FALSE)</f>
        <v>20.83</v>
      </c>
      <c r="D1949" s="22">
        <f>VLOOKUP($A1949, 'Medical Examinations'!$A:$D,3, FALSE)</f>
        <v>5.12</v>
      </c>
      <c r="E1949" s="22" t="str">
        <f>VLOOKUP($A1949, 'Medical Examinations'!$A:$D, 4, FALSE)</f>
        <v>No</v>
      </c>
      <c r="F1949" s="22" t="str">
        <f>VLOOKUP($A1949, 'Medical Examinations'!$A:$J, 5, FALSE)</f>
        <v>No</v>
      </c>
      <c r="G1949" s="22" t="str">
        <f>VLOOKUP($A1949, 'Medical Examinations'!$A:$I, 6, FALSE)</f>
        <v>No</v>
      </c>
      <c r="H1949" s="22">
        <f>VLOOKUP($A1949,'Medical Examinations'!$A:$L,10, FALSE)</f>
        <v>0</v>
      </c>
      <c r="I1949" s="22" t="str">
        <f>VLOOKUP($A1949, 'Medical Examinations'!$A:$J, 9, FALSE)</f>
        <v>No</v>
      </c>
      <c r="J1949" s="22" t="str">
        <f>VLOOKUP($A1949, 'Medical Examinations'!$A:$P, 11, FALSE)</f>
        <v>NORMAL WEIGHT</v>
      </c>
      <c r="K1949" s="34">
        <v>37086.0</v>
      </c>
      <c r="L1949" s="35">
        <f>VLOOKUP($A1949, 'Hospitalisation Details'!$A:$H, 7, FALSE)</f>
        <v>3606.43</v>
      </c>
      <c r="M1949" s="22" t="str">
        <f>VLOOKUP($A1949, 'Hospitalisation Details'!$A:$L, 12, FALSE)</f>
        <v>tier - 2</v>
      </c>
      <c r="N1949" s="22" t="str">
        <f>VLOOKUP($A1949, 'Hospitalisation Details'!$A:$M, 13, FALSE)</f>
        <v>tier - 1</v>
      </c>
      <c r="O1949" s="22" t="str">
        <f>VLOOKUP($A1949, 'Hospitalisation Details'!$A:$N, 14, FALSE)</f>
        <v>R1013</v>
      </c>
      <c r="P1949" s="36">
        <f>VLOOKUP($A1949, 'Hospitalisation Details'!$A:$O, 15, FALSE)</f>
        <v>32</v>
      </c>
    </row>
    <row r="1950" ht="15.75" customHeight="1">
      <c r="A1950" s="33" t="s">
        <v>3899</v>
      </c>
      <c r="B1950" s="22" t="str">
        <f>VLOOKUP($A1950,'Customer Names'!$A:$D,3, FALSE)</f>
        <v>Kuck</v>
      </c>
      <c r="C1950" s="22">
        <f>VLOOKUP($A1950,'Medical Examinations'!$A:$D, 2, FALSE)</f>
        <v>18.92</v>
      </c>
      <c r="D1950" s="22">
        <f>VLOOKUP($A1950, 'Medical Examinations'!$A:$D,3, FALSE)</f>
        <v>5.98</v>
      </c>
      <c r="E1950" s="22" t="str">
        <f>VLOOKUP($A1950, 'Medical Examinations'!$A:$D, 4, FALSE)</f>
        <v>Yes</v>
      </c>
      <c r="F1950" s="22" t="str">
        <f>VLOOKUP($A1950, 'Medical Examinations'!$A:$J, 5, FALSE)</f>
        <v>No</v>
      </c>
      <c r="G1950" s="22" t="str">
        <f>VLOOKUP($A1950, 'Medical Examinations'!$A:$I, 6, FALSE)</f>
        <v>No</v>
      </c>
      <c r="H1950" s="22">
        <f>VLOOKUP($A1950,'Medical Examinations'!$A:$L,10, FALSE)</f>
        <v>1</v>
      </c>
      <c r="I1950" s="22" t="str">
        <f>VLOOKUP($A1950, 'Medical Examinations'!$A:$J, 9, FALSE)</f>
        <v>No</v>
      </c>
      <c r="J1950" s="22" t="str">
        <f>VLOOKUP($A1950, 'Medical Examinations'!$A:$P, 11, FALSE)</f>
        <v>NORMAL WEIGHT</v>
      </c>
      <c r="K1950" s="34">
        <v>23358.0</v>
      </c>
      <c r="L1950" s="35">
        <f>VLOOKUP($A1950, 'Hospitalisation Details'!$A:$H, 7, FALSE)</f>
        <v>3603.6</v>
      </c>
      <c r="M1950" s="22" t="str">
        <f>VLOOKUP($A1950, 'Hospitalisation Details'!$A:$L, 12, FALSE)</f>
        <v>tier - 2</v>
      </c>
      <c r="N1950" s="22" t="str">
        <f>VLOOKUP($A1950, 'Hospitalisation Details'!$A:$M, 13, FALSE)</f>
        <v>tier - 1</v>
      </c>
      <c r="O1950" s="22" t="str">
        <f>VLOOKUP($A1950, 'Hospitalisation Details'!$A:$N, 14, FALSE)</f>
        <v>R1013</v>
      </c>
      <c r="P1950" s="36">
        <f>VLOOKUP($A1950, 'Hospitalisation Details'!$A:$O, 15, FALSE)</f>
        <v>34</v>
      </c>
    </row>
    <row r="1951" ht="15.75" customHeight="1">
      <c r="A1951" s="33" t="s">
        <v>3901</v>
      </c>
      <c r="B1951" s="22" t="str">
        <f>VLOOKUP($A1951,'Customer Names'!$A:$D,3, FALSE)</f>
        <v>Dillon</v>
      </c>
      <c r="C1951" s="22">
        <f>VLOOKUP($A1951,'Medical Examinations'!$A:$D, 2, FALSE)</f>
        <v>37.1</v>
      </c>
      <c r="D1951" s="22">
        <f>VLOOKUP($A1951, 'Medical Examinations'!$A:$D,3, FALSE)</f>
        <v>5.46</v>
      </c>
      <c r="E1951" s="22" t="str">
        <f>VLOOKUP($A1951, 'Medical Examinations'!$A:$D, 4, FALSE)</f>
        <v>No</v>
      </c>
      <c r="F1951" s="22" t="str">
        <f>VLOOKUP($A1951, 'Medical Examinations'!$A:$J, 5, FALSE)</f>
        <v>No</v>
      </c>
      <c r="G1951" s="22" t="str">
        <f>VLOOKUP($A1951, 'Medical Examinations'!$A:$I, 6, FALSE)</f>
        <v>No</v>
      </c>
      <c r="H1951" s="22">
        <f>VLOOKUP($A1951,'Medical Examinations'!$A:$L,10, FALSE)</f>
        <v>0</v>
      </c>
      <c r="I1951" s="22" t="str">
        <f>VLOOKUP($A1951, 'Medical Examinations'!$A:$J, 9, FALSE)</f>
        <v>No</v>
      </c>
      <c r="J1951" s="22" t="str">
        <f>VLOOKUP($A1951, 'Medical Examinations'!$A:$P, 11, FALSE)</f>
        <v>OBESITY</v>
      </c>
      <c r="K1951" s="34">
        <v>25462.0</v>
      </c>
      <c r="L1951" s="35">
        <f>VLOOKUP($A1951, 'Hospitalisation Details'!$A:$H, 7, FALSE)</f>
        <v>3597.6</v>
      </c>
      <c r="M1951" s="22" t="str">
        <f>VLOOKUP($A1951, 'Hospitalisation Details'!$A:$L, 12, FALSE)</f>
        <v>tier - 2</v>
      </c>
      <c r="N1951" s="22" t="str">
        <f>VLOOKUP($A1951, 'Hospitalisation Details'!$A:$M, 13, FALSE)</f>
        <v>tier - 2</v>
      </c>
      <c r="O1951" s="22" t="str">
        <f>VLOOKUP($A1951, 'Hospitalisation Details'!$A:$N, 14, FALSE)</f>
        <v>R1011</v>
      </c>
      <c r="P1951" s="36">
        <f>VLOOKUP($A1951, 'Hospitalisation Details'!$A:$O, 15, FALSE)</f>
        <v>23</v>
      </c>
    </row>
    <row r="1952" ht="15.75" customHeight="1">
      <c r="A1952" s="33" t="s">
        <v>3903</v>
      </c>
      <c r="B1952" s="22" t="str">
        <f>VLOOKUP($A1952,'Customer Names'!$A:$D,3, FALSE)</f>
        <v>Neuschel</v>
      </c>
      <c r="C1952" s="22">
        <f>VLOOKUP($A1952,'Medical Examinations'!$A:$D, 2, FALSE)</f>
        <v>22.515</v>
      </c>
      <c r="D1952" s="22">
        <f>VLOOKUP($A1952, 'Medical Examinations'!$A:$D,3, FALSE)</f>
        <v>4.91</v>
      </c>
      <c r="E1952" s="22" t="str">
        <f>VLOOKUP($A1952, 'Medical Examinations'!$A:$D, 4, FALSE)</f>
        <v>Yes</v>
      </c>
      <c r="F1952" s="22" t="str">
        <f>VLOOKUP($A1952, 'Medical Examinations'!$A:$J, 5, FALSE)</f>
        <v>No</v>
      </c>
      <c r="G1952" s="22" t="str">
        <f>VLOOKUP($A1952, 'Medical Examinations'!$A:$I, 6, FALSE)</f>
        <v>Yes</v>
      </c>
      <c r="H1952" s="22">
        <f>VLOOKUP($A1952,'Medical Examinations'!$A:$L,10, FALSE)</f>
        <v>1</v>
      </c>
      <c r="I1952" s="22" t="str">
        <f>VLOOKUP($A1952, 'Medical Examinations'!$A:$J, 9, FALSE)</f>
        <v>No</v>
      </c>
      <c r="J1952" s="22" t="str">
        <f>VLOOKUP($A1952, 'Medical Examinations'!$A:$P, 11, FALSE)</f>
        <v>NORMAL WEIGHT</v>
      </c>
      <c r="K1952" s="34">
        <v>22122.0</v>
      </c>
      <c r="L1952" s="35">
        <f>VLOOKUP($A1952, 'Hospitalisation Details'!$A:$H, 7, FALSE)</f>
        <v>3594.17</v>
      </c>
      <c r="M1952" s="22" t="str">
        <f>VLOOKUP($A1952, 'Hospitalisation Details'!$A:$L, 12, FALSE)</f>
        <v>tier - 2</v>
      </c>
      <c r="N1952" s="22" t="str">
        <f>VLOOKUP($A1952, 'Hospitalisation Details'!$A:$M, 13, FALSE)</f>
        <v>tier - 2</v>
      </c>
      <c r="O1952" s="22" t="str">
        <f>VLOOKUP($A1952, 'Hospitalisation Details'!$A:$N, 14, FALSE)</f>
        <v>R1012</v>
      </c>
      <c r="P1952" s="36">
        <f>VLOOKUP($A1952, 'Hospitalisation Details'!$A:$O, 15, FALSE)</f>
        <v>25</v>
      </c>
    </row>
    <row r="1953" ht="15.75" customHeight="1">
      <c r="A1953" s="33" t="s">
        <v>3905</v>
      </c>
      <c r="B1953" s="22" t="str">
        <f>VLOOKUP($A1953,'Customer Names'!$A:$D,3, FALSE)</f>
        <v>Rosale</v>
      </c>
      <c r="C1953" s="22">
        <f>VLOOKUP($A1953,'Medical Examinations'!$A:$D, 2, FALSE)</f>
        <v>32.7</v>
      </c>
      <c r="D1953" s="22">
        <f>VLOOKUP($A1953, 'Medical Examinations'!$A:$D,3, FALSE)</f>
        <v>4.66</v>
      </c>
      <c r="E1953" s="22" t="str">
        <f>VLOOKUP($A1953, 'Medical Examinations'!$A:$D, 4, FALSE)</f>
        <v>No</v>
      </c>
      <c r="F1953" s="22" t="str">
        <f>VLOOKUP($A1953, 'Medical Examinations'!$A:$J, 5, FALSE)</f>
        <v>No</v>
      </c>
      <c r="G1953" s="22" t="str">
        <f>VLOOKUP($A1953, 'Medical Examinations'!$A:$I, 6, FALSE)</f>
        <v>No</v>
      </c>
      <c r="H1953" s="22">
        <f>VLOOKUP($A1953,'Medical Examinations'!$A:$L,10, FALSE)</f>
        <v>0</v>
      </c>
      <c r="I1953" s="22" t="str">
        <f>VLOOKUP($A1953, 'Medical Examinations'!$A:$J, 9, FALSE)</f>
        <v>No</v>
      </c>
      <c r="J1953" s="22" t="str">
        <f>VLOOKUP($A1953, 'Medical Examinations'!$A:$P, 11, FALSE)</f>
        <v>OBESITY</v>
      </c>
      <c r="K1953" s="34">
        <v>28817.0</v>
      </c>
      <c r="L1953" s="35">
        <f>VLOOKUP($A1953, 'Hospitalisation Details'!$A:$H, 7, FALSE)</f>
        <v>3591.48</v>
      </c>
      <c r="M1953" s="22" t="str">
        <f>VLOOKUP($A1953, 'Hospitalisation Details'!$A:$L, 12, FALSE)</f>
        <v>tier - 2</v>
      </c>
      <c r="N1953" s="22" t="str">
        <f>VLOOKUP($A1953, 'Hospitalisation Details'!$A:$M, 13, FALSE)</f>
        <v>tier - 3</v>
      </c>
      <c r="O1953" s="22" t="str">
        <f>VLOOKUP($A1953, 'Hospitalisation Details'!$A:$N, 14, FALSE)</f>
        <v>R1011</v>
      </c>
      <c r="P1953" s="36">
        <f>VLOOKUP($A1953, 'Hospitalisation Details'!$A:$O, 15, FALSE)</f>
        <v>24</v>
      </c>
    </row>
    <row r="1954" ht="15.75" customHeight="1">
      <c r="A1954" s="33" t="s">
        <v>3907</v>
      </c>
      <c r="B1954" s="22" t="str">
        <f>VLOOKUP($A1954,'Customer Names'!$A:$D,3, FALSE)</f>
        <v>Marquez</v>
      </c>
      <c r="C1954" s="22">
        <f>VLOOKUP($A1954,'Medical Examinations'!$A:$D, 2, FALSE)</f>
        <v>17.75</v>
      </c>
      <c r="D1954" s="22">
        <f>VLOOKUP($A1954, 'Medical Examinations'!$A:$D,3, FALSE)</f>
        <v>6.8</v>
      </c>
      <c r="E1954" s="22" t="str">
        <f>VLOOKUP($A1954, 'Medical Examinations'!$A:$D, 4, FALSE)</f>
        <v>Yes</v>
      </c>
      <c r="F1954" s="22" t="str">
        <f>VLOOKUP($A1954, 'Medical Examinations'!$A:$J, 5, FALSE)</f>
        <v>No</v>
      </c>
      <c r="G1954" s="22" t="str">
        <f>VLOOKUP($A1954, 'Medical Examinations'!$A:$I, 6, FALSE)</f>
        <v>No</v>
      </c>
      <c r="H1954" s="22">
        <f>VLOOKUP($A1954,'Medical Examinations'!$A:$L,10, FALSE)</f>
        <v>1</v>
      </c>
      <c r="I1954" s="22" t="str">
        <f>VLOOKUP($A1954, 'Medical Examinations'!$A:$J, 9, FALSE)</f>
        <v>No</v>
      </c>
      <c r="J1954" s="22" t="str">
        <f>VLOOKUP($A1954, 'Medical Examinations'!$A:$P, 11, FALSE)</f>
        <v>UNDERWEIGHT</v>
      </c>
      <c r="K1954" s="34">
        <v>22814.0</v>
      </c>
      <c r="L1954" s="35">
        <f>VLOOKUP($A1954, 'Hospitalisation Details'!$A:$H, 7, FALSE)</f>
        <v>3589.14</v>
      </c>
      <c r="M1954" s="22" t="str">
        <f>VLOOKUP($A1954, 'Hospitalisation Details'!$A:$L, 12, FALSE)</f>
        <v>tier - 2</v>
      </c>
      <c r="N1954" s="22" t="str">
        <f>VLOOKUP($A1954, 'Hospitalisation Details'!$A:$M, 13, FALSE)</f>
        <v>tier - 2</v>
      </c>
      <c r="O1954" s="22" t="str">
        <f>VLOOKUP($A1954, 'Hospitalisation Details'!$A:$N, 14, FALSE)</f>
        <v>R1013</v>
      </c>
      <c r="P1954" s="36">
        <f>VLOOKUP($A1954, 'Hospitalisation Details'!$A:$O, 15, FALSE)</f>
        <v>36</v>
      </c>
    </row>
    <row r="1955" ht="15.75" customHeight="1">
      <c r="A1955" s="33" t="s">
        <v>3909</v>
      </c>
      <c r="B1955" s="22" t="str">
        <f>VLOOKUP($A1955,'Customer Names'!$A:$D,3, FALSE)</f>
        <v>Green</v>
      </c>
      <c r="C1955" s="22">
        <f>VLOOKUP($A1955,'Medical Examinations'!$A:$D, 2, FALSE)</f>
        <v>33.63</v>
      </c>
      <c r="D1955" s="22">
        <f>VLOOKUP($A1955, 'Medical Examinations'!$A:$D,3, FALSE)</f>
        <v>4.47</v>
      </c>
      <c r="E1955" s="22" t="str">
        <f>VLOOKUP($A1955, 'Medical Examinations'!$A:$D, 4, FALSE)</f>
        <v>Yes</v>
      </c>
      <c r="F1955" s="22" t="str">
        <f>VLOOKUP($A1955, 'Medical Examinations'!$A:$J, 5, FALSE)</f>
        <v>No</v>
      </c>
      <c r="G1955" s="22" t="str">
        <f>VLOOKUP($A1955, 'Medical Examinations'!$A:$I, 6, FALSE)</f>
        <v>No</v>
      </c>
      <c r="H1955" s="22">
        <f>VLOOKUP($A1955,'Medical Examinations'!$A:$L,10, FALSE)</f>
        <v>0</v>
      </c>
      <c r="I1955" s="22" t="str">
        <f>VLOOKUP($A1955, 'Medical Examinations'!$A:$J, 9, FALSE)</f>
        <v>No</v>
      </c>
      <c r="J1955" s="22" t="str">
        <f>VLOOKUP($A1955, 'Medical Examinations'!$A:$P, 11, FALSE)</f>
        <v>OBESITY</v>
      </c>
      <c r="K1955" s="34">
        <v>21887.0</v>
      </c>
      <c r="L1955" s="35">
        <f>VLOOKUP($A1955, 'Hospitalisation Details'!$A:$H, 7, FALSE)</f>
        <v>3579.83</v>
      </c>
      <c r="M1955" s="22" t="str">
        <f>VLOOKUP($A1955, 'Hospitalisation Details'!$A:$L, 12, FALSE)</f>
        <v>tier - 2</v>
      </c>
      <c r="N1955" s="22" t="str">
        <f>VLOOKUP($A1955, 'Hospitalisation Details'!$A:$M, 13, FALSE)</f>
        <v>tier - 2</v>
      </c>
      <c r="O1955" s="22" t="str">
        <f>VLOOKUP($A1955, 'Hospitalisation Details'!$A:$N, 14, FALSE)</f>
        <v>R1012</v>
      </c>
      <c r="P1955" s="36">
        <f>VLOOKUP($A1955, 'Hospitalisation Details'!$A:$O, 15, FALSE)</f>
        <v>21</v>
      </c>
    </row>
    <row r="1956" ht="15.75" customHeight="1">
      <c r="A1956" s="33" t="s">
        <v>3911</v>
      </c>
      <c r="B1956" s="22" t="str">
        <f>VLOOKUP($A1956,'Customer Names'!$A:$D,3, FALSE)</f>
        <v>Schubel</v>
      </c>
      <c r="C1956" s="22">
        <f>VLOOKUP($A1956,'Medical Examinations'!$A:$D, 2, FALSE)</f>
        <v>34.8</v>
      </c>
      <c r="D1956" s="22">
        <f>VLOOKUP($A1956, 'Medical Examinations'!$A:$D,3, FALSE)</f>
        <v>4.08</v>
      </c>
      <c r="E1956" s="22" t="str">
        <f>VLOOKUP($A1956, 'Medical Examinations'!$A:$D, 4, FALSE)</f>
        <v>Yes</v>
      </c>
      <c r="F1956" s="22" t="str">
        <f>VLOOKUP($A1956, 'Medical Examinations'!$A:$J, 5, FALSE)</f>
        <v>No</v>
      </c>
      <c r="G1956" s="22" t="str">
        <f>VLOOKUP($A1956, 'Medical Examinations'!$A:$I, 6, FALSE)</f>
        <v>No</v>
      </c>
      <c r="H1956" s="22">
        <f>VLOOKUP($A1956,'Medical Examinations'!$A:$L,10, FALSE)</f>
        <v>1</v>
      </c>
      <c r="I1956" s="22" t="str">
        <f>VLOOKUP($A1956, 'Medical Examinations'!$A:$J, 9, FALSE)</f>
        <v>No</v>
      </c>
      <c r="J1956" s="22" t="str">
        <f>VLOOKUP($A1956, 'Medical Examinations'!$A:$P, 11, FALSE)</f>
        <v>OBESITY</v>
      </c>
      <c r="K1956" s="34">
        <v>21705.0</v>
      </c>
      <c r="L1956" s="35">
        <f>VLOOKUP($A1956, 'Hospitalisation Details'!$A:$H, 7, FALSE)</f>
        <v>3578</v>
      </c>
      <c r="M1956" s="22" t="str">
        <f>VLOOKUP($A1956, 'Hospitalisation Details'!$A:$L, 12, FALSE)</f>
        <v>tier - 2</v>
      </c>
      <c r="N1956" s="22" t="str">
        <f>VLOOKUP($A1956, 'Hospitalisation Details'!$A:$M, 13, FALSE)</f>
        <v>tier - 3</v>
      </c>
      <c r="O1956" s="22" t="str">
        <f>VLOOKUP($A1956, 'Hospitalisation Details'!$A:$N, 14, FALSE)</f>
        <v>R1011</v>
      </c>
      <c r="P1956" s="36">
        <f>VLOOKUP($A1956, 'Hospitalisation Details'!$A:$O, 15, FALSE)</f>
        <v>27</v>
      </c>
    </row>
    <row r="1957" ht="15.75" customHeight="1">
      <c r="A1957" s="33" t="s">
        <v>3913</v>
      </c>
      <c r="B1957" s="22" t="str">
        <f>VLOOKUP($A1957,'Customer Names'!$A:$D,3, FALSE)</f>
        <v>Jimenez</v>
      </c>
      <c r="C1957" s="22">
        <f>VLOOKUP($A1957,'Medical Examinations'!$A:$D, 2, FALSE)</f>
        <v>16.81</v>
      </c>
      <c r="D1957" s="22">
        <f>VLOOKUP($A1957, 'Medical Examinations'!$A:$D,3, FALSE)</f>
        <v>5.51</v>
      </c>
      <c r="E1957" s="22" t="str">
        <f>VLOOKUP($A1957, 'Medical Examinations'!$A:$D, 4, FALSE)</f>
        <v>Yes</v>
      </c>
      <c r="F1957" s="22" t="str">
        <f>VLOOKUP($A1957, 'Medical Examinations'!$A:$J, 5, FALSE)</f>
        <v>No</v>
      </c>
      <c r="G1957" s="22" t="str">
        <f>VLOOKUP($A1957, 'Medical Examinations'!$A:$I, 6, FALSE)</f>
        <v>No</v>
      </c>
      <c r="H1957" s="22">
        <f>VLOOKUP($A1957,'Medical Examinations'!$A:$L,10, FALSE)</f>
        <v>1</v>
      </c>
      <c r="I1957" s="22" t="str">
        <f>VLOOKUP($A1957, 'Medical Examinations'!$A:$J, 9, FALSE)</f>
        <v>No</v>
      </c>
      <c r="J1957" s="22" t="str">
        <f>VLOOKUP($A1957, 'Medical Examinations'!$A:$P, 11, FALSE)</f>
        <v>UNDERWEIGHT</v>
      </c>
      <c r="K1957" s="34">
        <v>27621.0</v>
      </c>
      <c r="L1957" s="35">
        <f>VLOOKUP($A1957, 'Hospitalisation Details'!$A:$H, 7, FALSE)</f>
        <v>3569.96</v>
      </c>
      <c r="M1957" s="22" t="str">
        <f>VLOOKUP($A1957, 'Hospitalisation Details'!$A:$L, 12, FALSE)</f>
        <v>tier - 2</v>
      </c>
      <c r="N1957" s="22" t="str">
        <f>VLOOKUP($A1957, 'Hospitalisation Details'!$A:$M, 13, FALSE)</f>
        <v>tier - 1</v>
      </c>
      <c r="O1957" s="22" t="str">
        <f>VLOOKUP($A1957, 'Hospitalisation Details'!$A:$N, 14, FALSE)</f>
        <v>R1012</v>
      </c>
      <c r="P1957" s="36">
        <f>VLOOKUP($A1957, 'Hospitalisation Details'!$A:$O, 15, FALSE)</f>
        <v>34</v>
      </c>
    </row>
    <row r="1958" ht="15.75" customHeight="1">
      <c r="A1958" s="33" t="s">
        <v>3915</v>
      </c>
      <c r="B1958" s="22" t="str">
        <f>VLOOKUP($A1958,'Customer Names'!$A:$D,3, FALSE)</f>
        <v>Zimny-Schmitt</v>
      </c>
      <c r="C1958" s="22">
        <f>VLOOKUP($A1958,'Medical Examinations'!$A:$D, 2, FALSE)</f>
        <v>16.69</v>
      </c>
      <c r="D1958" s="22">
        <f>VLOOKUP($A1958, 'Medical Examinations'!$A:$D,3, FALSE)</f>
        <v>8.4</v>
      </c>
      <c r="E1958" s="22" t="str">
        <f>VLOOKUP($A1958, 'Medical Examinations'!$A:$D, 4, FALSE)</f>
        <v>Yes</v>
      </c>
      <c r="F1958" s="22" t="str">
        <f>VLOOKUP($A1958, 'Medical Examinations'!$A:$J, 5, FALSE)</f>
        <v>No</v>
      </c>
      <c r="G1958" s="22" t="str">
        <f>VLOOKUP($A1958, 'Medical Examinations'!$A:$I, 6, FALSE)</f>
        <v>No</v>
      </c>
      <c r="H1958" s="22">
        <f>VLOOKUP($A1958,'Medical Examinations'!$A:$L,10, FALSE)</f>
        <v>0</v>
      </c>
      <c r="I1958" s="22" t="str">
        <f>VLOOKUP($A1958, 'Medical Examinations'!$A:$J, 9, FALSE)</f>
        <v>No</v>
      </c>
      <c r="J1958" s="22" t="str">
        <f>VLOOKUP($A1958, 'Medical Examinations'!$A:$P, 11, FALSE)</f>
        <v>UNDERWEIGHT</v>
      </c>
      <c r="K1958" s="34">
        <v>22944.0</v>
      </c>
      <c r="L1958" s="35">
        <f>VLOOKUP($A1958, 'Hospitalisation Details'!$A:$H, 7, FALSE)</f>
        <v>3562.87</v>
      </c>
      <c r="M1958" s="22" t="str">
        <f>VLOOKUP($A1958, 'Hospitalisation Details'!$A:$L, 12, FALSE)</f>
        <v>tier - 2</v>
      </c>
      <c r="N1958" s="22" t="str">
        <f>VLOOKUP($A1958, 'Hospitalisation Details'!$A:$M, 13, FALSE)</f>
        <v>tier - 1</v>
      </c>
      <c r="O1958" s="22" t="str">
        <f>VLOOKUP($A1958, 'Hospitalisation Details'!$A:$N, 14, FALSE)</f>
        <v>R1013</v>
      </c>
      <c r="P1958" s="36">
        <f>VLOOKUP($A1958, 'Hospitalisation Details'!$A:$O, 15, FALSE)</f>
        <v>41</v>
      </c>
    </row>
    <row r="1959" ht="15.75" customHeight="1">
      <c r="A1959" s="33" t="s">
        <v>3917</v>
      </c>
      <c r="B1959" s="22" t="str">
        <f>VLOOKUP($A1959,'Customer Names'!$A:$D,3, FALSE)</f>
        <v>Hill</v>
      </c>
      <c r="C1959" s="22">
        <f>VLOOKUP($A1959,'Medical Examinations'!$A:$D, 2, FALSE)</f>
        <v>23.21</v>
      </c>
      <c r="D1959" s="22">
        <f>VLOOKUP($A1959, 'Medical Examinations'!$A:$D,3, FALSE)</f>
        <v>5.14</v>
      </c>
      <c r="E1959" s="22" t="str">
        <f>VLOOKUP($A1959, 'Medical Examinations'!$A:$D, 4, FALSE)</f>
        <v>Yes</v>
      </c>
      <c r="F1959" s="22" t="str">
        <f>VLOOKUP($A1959, 'Medical Examinations'!$A:$J, 5, FALSE)</f>
        <v>No</v>
      </c>
      <c r="G1959" s="22" t="str">
        <f>VLOOKUP($A1959, 'Medical Examinations'!$A:$I, 6, FALSE)</f>
        <v>No</v>
      </c>
      <c r="H1959" s="22">
        <f>VLOOKUP($A1959,'Medical Examinations'!$A:$L,10, FALSE)</f>
        <v>1</v>
      </c>
      <c r="I1959" s="22" t="str">
        <f>VLOOKUP($A1959, 'Medical Examinations'!$A:$J, 9, FALSE)</f>
        <v>No</v>
      </c>
      <c r="J1959" s="22" t="str">
        <f>VLOOKUP($A1959, 'Medical Examinations'!$A:$P, 11, FALSE)</f>
        <v>NORMAL WEIGHT</v>
      </c>
      <c r="K1959" s="34">
        <v>26262.0</v>
      </c>
      <c r="L1959" s="35">
        <f>VLOOKUP($A1959, 'Hospitalisation Details'!$A:$H, 7, FALSE)</f>
        <v>3561.89</v>
      </c>
      <c r="M1959" s="22" t="str">
        <f>VLOOKUP($A1959, 'Hospitalisation Details'!$A:$L, 12, FALSE)</f>
        <v>tier - 2</v>
      </c>
      <c r="N1959" s="22" t="str">
        <f>VLOOKUP($A1959, 'Hospitalisation Details'!$A:$M, 13, FALSE)</f>
        <v>tier - 1</v>
      </c>
      <c r="O1959" s="22" t="str">
        <f>VLOOKUP($A1959, 'Hospitalisation Details'!$A:$N, 14, FALSE)</f>
        <v>R1013</v>
      </c>
      <c r="P1959" s="36">
        <f>VLOOKUP($A1959, 'Hospitalisation Details'!$A:$O, 15, FALSE)</f>
        <v>27</v>
      </c>
    </row>
    <row r="1960" ht="15.75" customHeight="1">
      <c r="A1960" s="33" t="s">
        <v>3919</v>
      </c>
      <c r="B1960" s="22" t="str">
        <f>VLOOKUP($A1960,'Customer Names'!$A:$D,3, FALSE)</f>
        <v>Brohart</v>
      </c>
      <c r="C1960" s="22">
        <f>VLOOKUP($A1960,'Medical Examinations'!$A:$D, 2, FALSE)</f>
        <v>25.175</v>
      </c>
      <c r="D1960" s="22">
        <f>VLOOKUP($A1960, 'Medical Examinations'!$A:$D,3, FALSE)</f>
        <v>5.21</v>
      </c>
      <c r="E1960" s="22" t="str">
        <f>VLOOKUP($A1960, 'Medical Examinations'!$A:$D, 4, FALSE)</f>
        <v>Yes</v>
      </c>
      <c r="F1960" s="22" t="str">
        <f>VLOOKUP($A1960, 'Medical Examinations'!$A:$J, 5, FALSE)</f>
        <v>No</v>
      </c>
      <c r="G1960" s="22" t="str">
        <f>VLOOKUP($A1960, 'Medical Examinations'!$A:$I, 6, FALSE)</f>
        <v>No</v>
      </c>
      <c r="H1960" s="22">
        <f>VLOOKUP($A1960,'Medical Examinations'!$A:$L,10, FALSE)</f>
        <v>1</v>
      </c>
      <c r="I1960" s="22" t="str">
        <f>VLOOKUP($A1960, 'Medical Examinations'!$A:$J, 9, FALSE)</f>
        <v>No</v>
      </c>
      <c r="J1960" s="22" t="str">
        <f>VLOOKUP($A1960, 'Medical Examinations'!$A:$P, 11, FALSE)</f>
        <v>OVERWEIGHT</v>
      </c>
      <c r="K1960" s="34">
        <v>28738.0</v>
      </c>
      <c r="L1960" s="35">
        <f>VLOOKUP($A1960, 'Hospitalisation Details'!$A:$H, 7, FALSE)</f>
        <v>3558.62</v>
      </c>
      <c r="M1960" s="22" t="str">
        <f>VLOOKUP($A1960, 'Hospitalisation Details'!$A:$L, 12, FALSE)</f>
        <v>tier - 2</v>
      </c>
      <c r="N1960" s="22" t="str">
        <f>VLOOKUP($A1960, 'Hospitalisation Details'!$A:$M, 13, FALSE)</f>
        <v>tier - 3</v>
      </c>
      <c r="O1960" s="22" t="str">
        <f>VLOOKUP($A1960, 'Hospitalisation Details'!$A:$N, 14, FALSE)</f>
        <v>R1024</v>
      </c>
      <c r="P1960" s="36">
        <f>VLOOKUP($A1960, 'Hospitalisation Details'!$A:$O, 15, FALSE)</f>
        <v>27</v>
      </c>
    </row>
    <row r="1961" ht="15.75" customHeight="1">
      <c r="A1961" s="33" t="s">
        <v>3921</v>
      </c>
      <c r="B1961" s="22" t="str">
        <f>VLOOKUP($A1961,'Customer Names'!$A:$D,3, FALSE)</f>
        <v>Ryan</v>
      </c>
      <c r="C1961" s="22">
        <f>VLOOKUP($A1961,'Medical Examinations'!$A:$D, 2, FALSE)</f>
        <v>34.77</v>
      </c>
      <c r="D1961" s="22">
        <f>VLOOKUP($A1961, 'Medical Examinations'!$A:$D,3, FALSE)</f>
        <v>6.23</v>
      </c>
      <c r="E1961" s="22" t="str">
        <f>VLOOKUP($A1961, 'Medical Examinations'!$A:$D, 4, FALSE)</f>
        <v>No</v>
      </c>
      <c r="F1961" s="22" t="str">
        <f>VLOOKUP($A1961, 'Medical Examinations'!$A:$J, 5, FALSE)</f>
        <v>No</v>
      </c>
      <c r="G1961" s="22" t="str">
        <f>VLOOKUP($A1961, 'Medical Examinations'!$A:$I, 6, FALSE)</f>
        <v>No</v>
      </c>
      <c r="H1961" s="22">
        <f>VLOOKUP($A1961,'Medical Examinations'!$A:$L,10, FALSE)</f>
        <v>0</v>
      </c>
      <c r="I1961" s="22" t="str">
        <f>VLOOKUP($A1961, 'Medical Examinations'!$A:$J, 9, FALSE)</f>
        <v>No</v>
      </c>
      <c r="J1961" s="22" t="str">
        <f>VLOOKUP($A1961, 'Medical Examinations'!$A:$P, 11, FALSE)</f>
        <v>OBESITY</v>
      </c>
      <c r="K1961" s="34">
        <v>26610.0</v>
      </c>
      <c r="L1961" s="35">
        <f>VLOOKUP($A1961, 'Hospitalisation Details'!$A:$H, 7, FALSE)</f>
        <v>3556.92</v>
      </c>
      <c r="M1961" s="22" t="str">
        <f>VLOOKUP($A1961, 'Hospitalisation Details'!$A:$L, 12, FALSE)</f>
        <v>tier - 2</v>
      </c>
      <c r="N1961" s="22" t="str">
        <f>VLOOKUP($A1961, 'Hospitalisation Details'!$A:$M, 13, FALSE)</f>
        <v>tier - 3</v>
      </c>
      <c r="O1961" s="22" t="str">
        <f>VLOOKUP($A1961, 'Hospitalisation Details'!$A:$N, 14, FALSE)</f>
        <v>R1012</v>
      </c>
      <c r="P1961" s="36">
        <f>VLOOKUP($A1961, 'Hospitalisation Details'!$A:$O, 15, FALSE)</f>
        <v>28</v>
      </c>
    </row>
    <row r="1962" ht="15.75" customHeight="1">
      <c r="A1962" s="33" t="s">
        <v>3923</v>
      </c>
      <c r="B1962" s="22" t="str">
        <f>VLOOKUP($A1962,'Customer Names'!$A:$D,3, FALSE)</f>
        <v>Oka</v>
      </c>
      <c r="C1962" s="22">
        <f>VLOOKUP($A1962,'Medical Examinations'!$A:$D, 2, FALSE)</f>
        <v>27.7</v>
      </c>
      <c r="D1962" s="22">
        <f>VLOOKUP($A1962, 'Medical Examinations'!$A:$D,3, FALSE)</f>
        <v>5.6</v>
      </c>
      <c r="E1962" s="22" t="str">
        <f>VLOOKUP($A1962, 'Medical Examinations'!$A:$D, 4, FALSE)</f>
        <v>No</v>
      </c>
      <c r="F1962" s="22" t="str">
        <f>VLOOKUP($A1962, 'Medical Examinations'!$A:$J, 5, FALSE)</f>
        <v>No</v>
      </c>
      <c r="G1962" s="22" t="str">
        <f>VLOOKUP($A1962, 'Medical Examinations'!$A:$I, 6, FALSE)</f>
        <v>No</v>
      </c>
      <c r="H1962" s="22">
        <f>VLOOKUP($A1962,'Medical Examinations'!$A:$L,10, FALSE)</f>
        <v>1</v>
      </c>
      <c r="I1962" s="22" t="str">
        <f>VLOOKUP($A1962, 'Medical Examinations'!$A:$J, 9, FALSE)</f>
        <v>No</v>
      </c>
      <c r="J1962" s="22" t="str">
        <f>VLOOKUP($A1962, 'Medical Examinations'!$A:$P, 11, FALSE)</f>
        <v>OVERWEIGHT</v>
      </c>
      <c r="K1962" s="34">
        <v>27693.0</v>
      </c>
      <c r="L1962" s="35">
        <f>VLOOKUP($A1962, 'Hospitalisation Details'!$A:$H, 7, FALSE)</f>
        <v>3554.2</v>
      </c>
      <c r="M1962" s="22" t="str">
        <f>VLOOKUP($A1962, 'Hospitalisation Details'!$A:$L, 12, FALSE)</f>
        <v>tier - 2</v>
      </c>
      <c r="N1962" s="22" t="str">
        <f>VLOOKUP($A1962, 'Hospitalisation Details'!$A:$M, 13, FALSE)</f>
        <v>tier - 3</v>
      </c>
      <c r="O1962" s="22" t="str">
        <f>VLOOKUP($A1962, 'Hospitalisation Details'!$A:$N, 14, FALSE)</f>
        <v>R1011</v>
      </c>
      <c r="P1962" s="36">
        <f>VLOOKUP($A1962, 'Hospitalisation Details'!$A:$O, 15, FALSE)</f>
        <v>30</v>
      </c>
    </row>
    <row r="1963" ht="15.75" customHeight="1">
      <c r="A1963" s="33" t="s">
        <v>3925</v>
      </c>
      <c r="B1963" s="22" t="str">
        <f>VLOOKUP($A1963,'Customer Names'!$A:$D,3, FALSE)</f>
        <v>Newman</v>
      </c>
      <c r="C1963" s="22">
        <f>VLOOKUP($A1963,'Medical Examinations'!$A:$D, 2, FALSE)</f>
        <v>19.12</v>
      </c>
      <c r="D1963" s="22">
        <f>VLOOKUP($A1963, 'Medical Examinations'!$A:$D,3, FALSE)</f>
        <v>4.72</v>
      </c>
      <c r="E1963" s="22" t="str">
        <f>VLOOKUP($A1963, 'Medical Examinations'!$A:$D, 4, FALSE)</f>
        <v>Yes</v>
      </c>
      <c r="F1963" s="22" t="str">
        <f>VLOOKUP($A1963, 'Medical Examinations'!$A:$J, 5, FALSE)</f>
        <v>No</v>
      </c>
      <c r="G1963" s="22" t="str">
        <f>VLOOKUP($A1963, 'Medical Examinations'!$A:$I, 6, FALSE)</f>
        <v>No</v>
      </c>
      <c r="H1963" s="22">
        <f>VLOOKUP($A1963,'Medical Examinations'!$A:$L,10, FALSE)</f>
        <v>1</v>
      </c>
      <c r="I1963" s="22" t="str">
        <f>VLOOKUP($A1963, 'Medical Examinations'!$A:$J, 9, FALSE)</f>
        <v>No</v>
      </c>
      <c r="J1963" s="22" t="str">
        <f>VLOOKUP($A1963, 'Medical Examinations'!$A:$P, 11, FALSE)</f>
        <v>NORMAL WEIGHT</v>
      </c>
      <c r="K1963" s="34">
        <v>25001.0</v>
      </c>
      <c r="L1963" s="35">
        <f>VLOOKUP($A1963, 'Hospitalisation Details'!$A:$H, 7, FALSE)</f>
        <v>3540.12</v>
      </c>
      <c r="M1963" s="22" t="str">
        <f>VLOOKUP($A1963, 'Hospitalisation Details'!$A:$L, 12, FALSE)</f>
        <v>tier - 2</v>
      </c>
      <c r="N1963" s="22" t="str">
        <f>VLOOKUP($A1963, 'Hospitalisation Details'!$A:$M, 13, FALSE)</f>
        <v>tier - 1</v>
      </c>
      <c r="O1963" s="22" t="str">
        <f>VLOOKUP($A1963, 'Hospitalisation Details'!$A:$N, 14, FALSE)</f>
        <v>R1013</v>
      </c>
      <c r="P1963" s="36">
        <f>VLOOKUP($A1963, 'Hospitalisation Details'!$A:$O, 15, FALSE)</f>
        <v>34</v>
      </c>
    </row>
    <row r="1964" ht="15.75" customHeight="1">
      <c r="A1964" s="33" t="s">
        <v>3927</v>
      </c>
      <c r="B1964" s="22" t="str">
        <f>VLOOKUP($A1964,'Customer Names'!$A:$D,3, FALSE)</f>
        <v>Metzger</v>
      </c>
      <c r="C1964" s="22">
        <f>VLOOKUP($A1964,'Medical Examinations'!$A:$D, 2, FALSE)</f>
        <v>32.67</v>
      </c>
      <c r="D1964" s="22">
        <f>VLOOKUP($A1964, 'Medical Examinations'!$A:$D,3, FALSE)</f>
        <v>4.67</v>
      </c>
      <c r="E1964" s="22" t="str">
        <f>VLOOKUP($A1964, 'Medical Examinations'!$A:$D, 4, FALSE)</f>
        <v>No</v>
      </c>
      <c r="F1964" s="22" t="str">
        <f>VLOOKUP($A1964, 'Medical Examinations'!$A:$J, 5, FALSE)</f>
        <v>No</v>
      </c>
      <c r="G1964" s="22" t="str">
        <f>VLOOKUP($A1964, 'Medical Examinations'!$A:$I, 6, FALSE)</f>
        <v>Yes</v>
      </c>
      <c r="H1964" s="22">
        <f>VLOOKUP($A1964,'Medical Examinations'!$A:$L,10, FALSE)</f>
        <v>1</v>
      </c>
      <c r="I1964" s="22" t="str">
        <f>VLOOKUP($A1964, 'Medical Examinations'!$A:$J, 9, FALSE)</f>
        <v>No</v>
      </c>
      <c r="J1964" s="22" t="str">
        <f>VLOOKUP($A1964, 'Medical Examinations'!$A:$P, 11, FALSE)</f>
        <v>OBESITY</v>
      </c>
      <c r="K1964" s="34">
        <v>26160.0</v>
      </c>
      <c r="L1964" s="35">
        <f>VLOOKUP($A1964, 'Hospitalisation Details'!$A:$H, 7, FALSE)</f>
        <v>3538.9</v>
      </c>
      <c r="M1964" s="22" t="str">
        <f>VLOOKUP($A1964, 'Hospitalisation Details'!$A:$L, 12, FALSE)</f>
        <v>tier - 2</v>
      </c>
      <c r="N1964" s="22" t="str">
        <f>VLOOKUP($A1964, 'Hospitalisation Details'!$A:$M, 13, FALSE)</f>
        <v>tier - 2</v>
      </c>
      <c r="O1964" s="22" t="str">
        <f>VLOOKUP($A1964, 'Hospitalisation Details'!$A:$N, 14, FALSE)</f>
        <v>R1012</v>
      </c>
      <c r="P1964" s="36">
        <f>VLOOKUP($A1964, 'Hospitalisation Details'!$A:$O, 15, FALSE)</f>
        <v>19</v>
      </c>
    </row>
    <row r="1965" ht="15.75" customHeight="1">
      <c r="A1965" s="33" t="s">
        <v>3929</v>
      </c>
      <c r="B1965" s="22" t="str">
        <f>VLOOKUP($A1965,'Customer Names'!$A:$D,3, FALSE)</f>
        <v>Gonzalez</v>
      </c>
      <c r="C1965" s="22">
        <f>VLOOKUP($A1965,'Medical Examinations'!$A:$D, 2, FALSE)</f>
        <v>28.5</v>
      </c>
      <c r="D1965" s="22">
        <f>VLOOKUP($A1965, 'Medical Examinations'!$A:$D,3, FALSE)</f>
        <v>6.11</v>
      </c>
      <c r="E1965" s="22" t="str">
        <f>VLOOKUP($A1965, 'Medical Examinations'!$A:$D, 4, FALSE)</f>
        <v>No</v>
      </c>
      <c r="F1965" s="22" t="str">
        <f>VLOOKUP($A1965, 'Medical Examinations'!$A:$J, 5, FALSE)</f>
        <v>No</v>
      </c>
      <c r="G1965" s="22" t="str">
        <f>VLOOKUP($A1965, 'Medical Examinations'!$A:$I, 6, FALSE)</f>
        <v>No</v>
      </c>
      <c r="H1965" s="22">
        <f>VLOOKUP($A1965,'Medical Examinations'!$A:$L,10, FALSE)</f>
        <v>1</v>
      </c>
      <c r="I1965" s="22" t="str">
        <f>VLOOKUP($A1965, 'Medical Examinations'!$A:$J, 9, FALSE)</f>
        <v>No</v>
      </c>
      <c r="J1965" s="22" t="str">
        <f>VLOOKUP($A1965, 'Medical Examinations'!$A:$P, 11, FALSE)</f>
        <v>OVERWEIGHT</v>
      </c>
      <c r="K1965" s="34">
        <v>25822.0</v>
      </c>
      <c r="L1965" s="35">
        <f>VLOOKUP($A1965, 'Hospitalisation Details'!$A:$H, 7, FALSE)</f>
        <v>3537.7</v>
      </c>
      <c r="M1965" s="22" t="str">
        <f>VLOOKUP($A1965, 'Hospitalisation Details'!$A:$L, 12, FALSE)</f>
        <v>tier - 3</v>
      </c>
      <c r="N1965" s="22" t="str">
        <f>VLOOKUP($A1965, 'Hospitalisation Details'!$A:$M, 13, FALSE)</f>
        <v>tier - 3</v>
      </c>
      <c r="O1965" s="22" t="str">
        <f>VLOOKUP($A1965, 'Hospitalisation Details'!$A:$N, 14, FALSE)</f>
        <v>R1012</v>
      </c>
      <c r="P1965" s="36">
        <f>VLOOKUP($A1965, 'Hospitalisation Details'!$A:$O, 15, FALSE)</f>
        <v>24</v>
      </c>
    </row>
    <row r="1966" ht="15.75" customHeight="1">
      <c r="A1966" s="33" t="s">
        <v>3931</v>
      </c>
      <c r="B1966" s="22" t="str">
        <f>VLOOKUP($A1966,'Customer Names'!$A:$D,3, FALSE)</f>
        <v>Vaughn</v>
      </c>
      <c r="C1966" s="22">
        <f>VLOOKUP($A1966,'Medical Examinations'!$A:$D, 2, FALSE)</f>
        <v>39.27</v>
      </c>
      <c r="D1966" s="22">
        <f>VLOOKUP($A1966, 'Medical Examinations'!$A:$D,3, FALSE)</f>
        <v>6.25</v>
      </c>
      <c r="E1966" s="22" t="str">
        <f>VLOOKUP($A1966, 'Medical Examinations'!$A:$D, 4, FALSE)</f>
        <v>No</v>
      </c>
      <c r="F1966" s="22" t="str">
        <f>VLOOKUP($A1966, 'Medical Examinations'!$A:$J, 5, FALSE)</f>
        <v>No</v>
      </c>
      <c r="G1966" s="22" t="str">
        <f>VLOOKUP($A1966, 'Medical Examinations'!$A:$I, 6, FALSE)</f>
        <v>No</v>
      </c>
      <c r="H1966" s="22">
        <f>VLOOKUP($A1966,'Medical Examinations'!$A:$L,10, FALSE)</f>
        <v>0</v>
      </c>
      <c r="I1966" s="22" t="str">
        <f>VLOOKUP($A1966, 'Medical Examinations'!$A:$J, 9, FALSE)</f>
        <v>No</v>
      </c>
      <c r="J1966" s="22" t="str">
        <f>VLOOKUP($A1966, 'Medical Examinations'!$A:$P, 11, FALSE)</f>
        <v>OBESITY</v>
      </c>
      <c r="K1966" s="34">
        <v>29184.0</v>
      </c>
      <c r="L1966" s="35">
        <f>VLOOKUP($A1966, 'Hospitalisation Details'!$A:$H, 7, FALSE)</f>
        <v>3500.61</v>
      </c>
      <c r="M1966" s="22" t="str">
        <f>VLOOKUP($A1966, 'Hospitalisation Details'!$A:$L, 12, FALSE)</f>
        <v>tier - 2</v>
      </c>
      <c r="N1966" s="22" t="str">
        <f>VLOOKUP($A1966, 'Hospitalisation Details'!$A:$M, 13, FALSE)</f>
        <v>tier - 2</v>
      </c>
      <c r="O1966" s="22" t="str">
        <f>VLOOKUP($A1966, 'Hospitalisation Details'!$A:$N, 14, FALSE)</f>
        <v>R1013</v>
      </c>
      <c r="P1966" s="36">
        <f>VLOOKUP($A1966, 'Hospitalisation Details'!$A:$O, 15, FALSE)</f>
        <v>23</v>
      </c>
    </row>
    <row r="1967" ht="15.75" customHeight="1">
      <c r="A1967" s="33" t="s">
        <v>3933</v>
      </c>
      <c r="B1967" s="22" t="str">
        <f>VLOOKUP($A1967,'Customer Names'!$A:$D,3, FALSE)</f>
        <v>Clifford</v>
      </c>
      <c r="C1967" s="22">
        <f>VLOOKUP($A1967,'Medical Examinations'!$A:$D, 2, FALSE)</f>
        <v>32.49</v>
      </c>
      <c r="D1967" s="22">
        <f>VLOOKUP($A1967, 'Medical Examinations'!$A:$D,3, FALSE)</f>
        <v>4</v>
      </c>
      <c r="E1967" s="22" t="str">
        <f>VLOOKUP($A1967, 'Medical Examinations'!$A:$D, 4, FALSE)</f>
        <v>Yes</v>
      </c>
      <c r="F1967" s="22" t="str">
        <f>VLOOKUP($A1967, 'Medical Examinations'!$A:$J, 5, FALSE)</f>
        <v>No</v>
      </c>
      <c r="G1967" s="22" t="str">
        <f>VLOOKUP($A1967, 'Medical Examinations'!$A:$I, 6, FALSE)</f>
        <v>No</v>
      </c>
      <c r="H1967" s="22">
        <f>VLOOKUP($A1967,'Medical Examinations'!$A:$L,10, FALSE)</f>
        <v>0</v>
      </c>
      <c r="I1967" s="22" t="str">
        <f>VLOOKUP($A1967, 'Medical Examinations'!$A:$J, 9, FALSE)</f>
        <v>No</v>
      </c>
      <c r="J1967" s="22" t="str">
        <f>VLOOKUP($A1967, 'Medical Examinations'!$A:$P, 11, FALSE)</f>
        <v>OBESITY</v>
      </c>
      <c r="K1967" s="34">
        <v>22136.0</v>
      </c>
      <c r="L1967" s="35">
        <f>VLOOKUP($A1967, 'Hospitalisation Details'!$A:$H, 7, FALSE)</f>
        <v>3490.55</v>
      </c>
      <c r="M1967" s="22" t="str">
        <f>VLOOKUP($A1967, 'Hospitalisation Details'!$A:$L, 12, FALSE)</f>
        <v>tier - 1</v>
      </c>
      <c r="N1967" s="22" t="str">
        <f>VLOOKUP($A1967, 'Hospitalisation Details'!$A:$M, 13, FALSE)</f>
        <v>tier - 2</v>
      </c>
      <c r="O1967" s="22" t="str">
        <f>VLOOKUP($A1967, 'Hospitalisation Details'!$A:$N, 14, FALSE)</f>
        <v>R1015</v>
      </c>
      <c r="P1967" s="36">
        <f>VLOOKUP($A1967, 'Hospitalisation Details'!$A:$O, 15, FALSE)</f>
        <v>26</v>
      </c>
    </row>
    <row r="1968" ht="15.75" customHeight="1">
      <c r="A1968" s="33" t="s">
        <v>3935</v>
      </c>
      <c r="B1968" s="22" t="str">
        <f>VLOOKUP($A1968,'Customer Names'!$A:$D,3, FALSE)</f>
        <v>Petty</v>
      </c>
      <c r="C1968" s="22">
        <f>VLOOKUP($A1968,'Medical Examinations'!$A:$D, 2, FALSE)</f>
        <v>23.7</v>
      </c>
      <c r="D1968" s="22">
        <f>VLOOKUP($A1968, 'Medical Examinations'!$A:$D,3, FALSE)</f>
        <v>5.55</v>
      </c>
      <c r="E1968" s="22" t="str">
        <f>VLOOKUP($A1968, 'Medical Examinations'!$A:$D, 4, FALSE)</f>
        <v>Yes</v>
      </c>
      <c r="F1968" s="22" t="str">
        <f>VLOOKUP($A1968, 'Medical Examinations'!$A:$J, 5, FALSE)</f>
        <v>No</v>
      </c>
      <c r="G1968" s="22" t="str">
        <f>VLOOKUP($A1968, 'Medical Examinations'!$A:$I, 6, FALSE)</f>
        <v>No</v>
      </c>
      <c r="H1968" s="22">
        <f>VLOOKUP($A1968,'Medical Examinations'!$A:$L,10, FALSE)</f>
        <v>0</v>
      </c>
      <c r="I1968" s="22" t="str">
        <f>VLOOKUP($A1968, 'Medical Examinations'!$A:$J, 9, FALSE)</f>
        <v>No</v>
      </c>
      <c r="J1968" s="22" t="str">
        <f>VLOOKUP($A1968, 'Medical Examinations'!$A:$P, 11, FALSE)</f>
        <v>NORMAL WEIGHT</v>
      </c>
      <c r="K1968" s="34">
        <v>26925.0</v>
      </c>
      <c r="L1968" s="35">
        <f>VLOOKUP($A1968, 'Hospitalisation Details'!$A:$H, 7, FALSE)</f>
        <v>3484.33</v>
      </c>
      <c r="M1968" s="22" t="str">
        <f>VLOOKUP($A1968, 'Hospitalisation Details'!$A:$L, 12, FALSE)</f>
        <v>tier - 3</v>
      </c>
      <c r="N1968" s="22" t="str">
        <f>VLOOKUP($A1968, 'Hospitalisation Details'!$A:$M, 13, FALSE)</f>
        <v>tier - 3</v>
      </c>
      <c r="O1968" s="22" t="str">
        <f>VLOOKUP($A1968, 'Hospitalisation Details'!$A:$N, 14, FALSE)</f>
        <v>R1011</v>
      </c>
      <c r="P1968" s="36">
        <f>VLOOKUP($A1968, 'Hospitalisation Details'!$A:$O, 15, FALSE)</f>
        <v>26</v>
      </c>
    </row>
    <row r="1969" ht="15.75" customHeight="1">
      <c r="A1969" s="33" t="s">
        <v>3937</v>
      </c>
      <c r="B1969" s="22" t="str">
        <f>VLOOKUP($A1969,'Customer Names'!$A:$D,3, FALSE)</f>
        <v>Sanford</v>
      </c>
      <c r="C1969" s="22">
        <f>VLOOKUP($A1969,'Medical Examinations'!$A:$D, 2, FALSE)</f>
        <v>30.4</v>
      </c>
      <c r="D1969" s="22">
        <f>VLOOKUP($A1969, 'Medical Examinations'!$A:$D,3, FALSE)</f>
        <v>5.95</v>
      </c>
      <c r="E1969" s="22" t="str">
        <f>VLOOKUP($A1969, 'Medical Examinations'!$A:$D, 4, FALSE)</f>
        <v>No</v>
      </c>
      <c r="F1969" s="22" t="str">
        <f>VLOOKUP($A1969, 'Medical Examinations'!$A:$J, 5, FALSE)</f>
        <v>Yes</v>
      </c>
      <c r="G1969" s="22" t="str">
        <f>VLOOKUP($A1969, 'Medical Examinations'!$A:$I, 6, FALSE)</f>
        <v>No</v>
      </c>
      <c r="H1969" s="22">
        <f>VLOOKUP($A1969,'Medical Examinations'!$A:$L,10, FALSE)</f>
        <v>1</v>
      </c>
      <c r="I1969" s="22" t="str">
        <f>VLOOKUP($A1969, 'Medical Examinations'!$A:$J, 9, FALSE)</f>
        <v>No</v>
      </c>
      <c r="J1969" s="22" t="str">
        <f>VLOOKUP($A1969, 'Medical Examinations'!$A:$P, 11, FALSE)</f>
        <v>OBESITY</v>
      </c>
      <c r="K1969" s="34">
        <v>34913.0</v>
      </c>
      <c r="L1969" s="35">
        <f>VLOOKUP($A1969, 'Hospitalisation Details'!$A:$H, 7, FALSE)</f>
        <v>3481.87</v>
      </c>
      <c r="M1969" s="22" t="str">
        <f>VLOOKUP($A1969, 'Hospitalisation Details'!$A:$L, 12, FALSE)</f>
        <v>tier - 2</v>
      </c>
      <c r="N1969" s="22" t="str">
        <f>VLOOKUP($A1969, 'Hospitalisation Details'!$A:$M, 13, FALSE)</f>
        <v>tier - 3</v>
      </c>
      <c r="O1969" s="22" t="str">
        <f>VLOOKUP($A1969, 'Hospitalisation Details'!$A:$N, 14, FALSE)</f>
        <v>R1016</v>
      </c>
      <c r="P1969" s="36">
        <f>VLOOKUP($A1969, 'Hospitalisation Details'!$A:$O, 15, FALSE)</f>
        <v>18</v>
      </c>
    </row>
    <row r="1970" ht="15.75" customHeight="1">
      <c r="A1970" s="33" t="s">
        <v>3939</v>
      </c>
      <c r="B1970" s="22" t="str">
        <f>VLOOKUP($A1970,'Customer Names'!$A:$D,3, FALSE)</f>
        <v>Sprague</v>
      </c>
      <c r="C1970" s="22">
        <f>VLOOKUP($A1970,'Medical Examinations'!$A:$D, 2, FALSE)</f>
        <v>38.94</v>
      </c>
      <c r="D1970" s="22">
        <f>VLOOKUP($A1970, 'Medical Examinations'!$A:$D,3, FALSE)</f>
        <v>4.36</v>
      </c>
      <c r="E1970" s="22" t="str">
        <f>VLOOKUP($A1970, 'Medical Examinations'!$A:$D, 4, FALSE)</f>
        <v>No</v>
      </c>
      <c r="F1970" s="22" t="str">
        <f>VLOOKUP($A1970, 'Medical Examinations'!$A:$J, 5, FALSE)</f>
        <v>No</v>
      </c>
      <c r="G1970" s="22" t="str">
        <f>VLOOKUP($A1970, 'Medical Examinations'!$A:$I, 6, FALSE)</f>
        <v>Yes</v>
      </c>
      <c r="H1970" s="22">
        <f>VLOOKUP($A1970,'Medical Examinations'!$A:$L,10, FALSE)</f>
        <v>1</v>
      </c>
      <c r="I1970" s="22" t="str">
        <f>VLOOKUP($A1970, 'Medical Examinations'!$A:$J, 9, FALSE)</f>
        <v>No</v>
      </c>
      <c r="J1970" s="22" t="str">
        <f>VLOOKUP($A1970, 'Medical Examinations'!$A:$P, 11, FALSE)</f>
        <v>OBESITY</v>
      </c>
      <c r="K1970" s="34">
        <v>21395.0</v>
      </c>
      <c r="L1970" s="35">
        <f>VLOOKUP($A1970, 'Hospitalisation Details'!$A:$H, 7, FALSE)</f>
        <v>3471.41</v>
      </c>
      <c r="M1970" s="22" t="str">
        <f>VLOOKUP($A1970, 'Hospitalisation Details'!$A:$L, 12, FALSE)</f>
        <v>tier - 2</v>
      </c>
      <c r="N1970" s="22" t="str">
        <f>VLOOKUP($A1970, 'Hospitalisation Details'!$A:$M, 13, FALSE)</f>
        <v>tier - 2</v>
      </c>
      <c r="O1970" s="22" t="str">
        <f>VLOOKUP($A1970, 'Hospitalisation Details'!$A:$N, 14, FALSE)</f>
        <v>R1013</v>
      </c>
      <c r="P1970" s="36">
        <f>VLOOKUP($A1970, 'Hospitalisation Details'!$A:$O, 15, FALSE)</f>
        <v>29</v>
      </c>
    </row>
    <row r="1971" ht="15.75" customHeight="1">
      <c r="A1971" s="33" t="s">
        <v>3941</v>
      </c>
      <c r="B1971" s="22" t="str">
        <f>VLOOKUP($A1971,'Customer Names'!$A:$D,3, FALSE)</f>
        <v>Lasseron</v>
      </c>
      <c r="C1971" s="22">
        <f>VLOOKUP($A1971,'Medical Examinations'!$A:$D, 2, FALSE)</f>
        <v>31.02</v>
      </c>
      <c r="D1971" s="22">
        <f>VLOOKUP($A1971, 'Medical Examinations'!$A:$D,3, FALSE)</f>
        <v>4.84</v>
      </c>
      <c r="E1971" s="22" t="str">
        <f>VLOOKUP($A1971, 'Medical Examinations'!$A:$D, 4, FALSE)</f>
        <v>No</v>
      </c>
      <c r="F1971" s="22" t="str">
        <f>VLOOKUP($A1971, 'Medical Examinations'!$A:$J, 5, FALSE)</f>
        <v>No</v>
      </c>
      <c r="G1971" s="22" t="str">
        <f>VLOOKUP($A1971, 'Medical Examinations'!$A:$I, 6, FALSE)</f>
        <v>Yes</v>
      </c>
      <c r="H1971" s="22">
        <f>VLOOKUP($A1971,'Medical Examinations'!$A:$L,10, FALSE)</f>
        <v>1</v>
      </c>
      <c r="I1971" s="22" t="str">
        <f>VLOOKUP($A1971, 'Medical Examinations'!$A:$J, 9, FALSE)</f>
        <v>No</v>
      </c>
      <c r="J1971" s="22" t="str">
        <f>VLOOKUP($A1971, 'Medical Examinations'!$A:$P, 11, FALSE)</f>
        <v>OBESITY</v>
      </c>
      <c r="K1971" s="34">
        <v>22979.0</v>
      </c>
      <c r="L1971" s="35">
        <f>VLOOKUP($A1971, 'Hospitalisation Details'!$A:$H, 7, FALSE)</f>
        <v>3463.51</v>
      </c>
      <c r="M1971" s="22" t="str">
        <f>VLOOKUP($A1971, 'Hospitalisation Details'!$A:$L, 12, FALSE)</f>
        <v>tier - 2</v>
      </c>
      <c r="N1971" s="22" t="str">
        <f>VLOOKUP($A1971, 'Hospitalisation Details'!$A:$M, 13, FALSE)</f>
        <v>tier - 1</v>
      </c>
      <c r="O1971" s="22" t="str">
        <f>VLOOKUP($A1971, 'Hospitalisation Details'!$A:$N, 14, FALSE)</f>
        <v>R1025</v>
      </c>
      <c r="P1971" s="36">
        <f>VLOOKUP($A1971, 'Hospitalisation Details'!$A:$O, 15, FALSE)</f>
        <v>19</v>
      </c>
    </row>
    <row r="1972" ht="15.75" customHeight="1">
      <c r="A1972" s="33" t="s">
        <v>3943</v>
      </c>
      <c r="B1972" s="22" t="str">
        <f>VLOOKUP($A1972,'Customer Names'!$A:$D,3, FALSE)</f>
        <v>Bushong</v>
      </c>
      <c r="C1972" s="22">
        <f>VLOOKUP($A1972,'Medical Examinations'!$A:$D, 2, FALSE)</f>
        <v>17.5</v>
      </c>
      <c r="D1972" s="22">
        <f>VLOOKUP($A1972, 'Medical Examinations'!$A:$D,3, FALSE)</f>
        <v>4.56</v>
      </c>
      <c r="E1972" s="22" t="str">
        <f>VLOOKUP($A1972, 'Medical Examinations'!$A:$D, 4, FALSE)</f>
        <v>No</v>
      </c>
      <c r="F1972" s="22" t="str">
        <f>VLOOKUP($A1972, 'Medical Examinations'!$A:$J, 5, FALSE)</f>
        <v>No</v>
      </c>
      <c r="G1972" s="22" t="str">
        <f>VLOOKUP($A1972, 'Medical Examinations'!$A:$I, 6, FALSE)</f>
        <v>No</v>
      </c>
      <c r="H1972" s="22">
        <f>VLOOKUP($A1972,'Medical Examinations'!$A:$L,10, FALSE)</f>
        <v>1</v>
      </c>
      <c r="I1972" s="22" t="str">
        <f>VLOOKUP($A1972, 'Medical Examinations'!$A:$J, 9, FALSE)</f>
        <v>No</v>
      </c>
      <c r="J1972" s="22" t="str">
        <f>VLOOKUP($A1972, 'Medical Examinations'!$A:$P, 11, FALSE)</f>
        <v>UNDERWEIGHT</v>
      </c>
      <c r="K1972" s="34">
        <v>25150.0</v>
      </c>
      <c r="L1972" s="35">
        <f>VLOOKUP($A1972, 'Hospitalisation Details'!$A:$H, 7, FALSE)</f>
        <v>3453.77</v>
      </c>
      <c r="M1972" s="22" t="str">
        <f>VLOOKUP($A1972, 'Hospitalisation Details'!$A:$L, 12, FALSE)</f>
        <v>tier - 2</v>
      </c>
      <c r="N1972" s="22" t="str">
        <f>VLOOKUP($A1972, 'Hospitalisation Details'!$A:$M, 13, FALSE)</f>
        <v>tier - 1</v>
      </c>
      <c r="O1972" s="22" t="str">
        <f>VLOOKUP($A1972, 'Hospitalisation Details'!$A:$N, 14, FALSE)</f>
        <v>R1011</v>
      </c>
      <c r="P1972" s="36">
        <f>VLOOKUP($A1972, 'Hospitalisation Details'!$A:$O, 15, FALSE)</f>
        <v>35</v>
      </c>
    </row>
    <row r="1973" ht="15.75" customHeight="1">
      <c r="A1973" s="33" t="s">
        <v>3945</v>
      </c>
      <c r="B1973" s="22" t="str">
        <f>VLOOKUP($A1973,'Customer Names'!$A:$D,3, FALSE)</f>
        <v>Dennison</v>
      </c>
      <c r="C1973" s="22">
        <f>VLOOKUP($A1973,'Medical Examinations'!$A:$D, 2, FALSE)</f>
        <v>34.8</v>
      </c>
      <c r="D1973" s="22">
        <f>VLOOKUP($A1973, 'Medical Examinations'!$A:$D,3, FALSE)</f>
        <v>4.42</v>
      </c>
      <c r="E1973" s="22" t="str">
        <f>VLOOKUP($A1973, 'Medical Examinations'!$A:$D, 4, FALSE)</f>
        <v>Yes</v>
      </c>
      <c r="F1973" s="22" t="str">
        <f>VLOOKUP($A1973, 'Medical Examinations'!$A:$J, 5, FALSE)</f>
        <v>Yes</v>
      </c>
      <c r="G1973" s="22" t="str">
        <f>VLOOKUP($A1973, 'Medical Examinations'!$A:$I, 6, FALSE)</f>
        <v>No</v>
      </c>
      <c r="H1973" s="22">
        <f>VLOOKUP($A1973,'Medical Examinations'!$A:$L,10, FALSE)</f>
        <v>2</v>
      </c>
      <c r="I1973" s="22" t="str">
        <f>VLOOKUP($A1973, 'Medical Examinations'!$A:$J, 9, FALSE)</f>
        <v>No</v>
      </c>
      <c r="J1973" s="22" t="str">
        <f>VLOOKUP($A1973, 'Medical Examinations'!$A:$P, 11, FALSE)</f>
        <v>OBESITY</v>
      </c>
      <c r="K1973" s="34">
        <v>29771.0</v>
      </c>
      <c r="L1973" s="35">
        <f>VLOOKUP($A1973, 'Hospitalisation Details'!$A:$H, 7, FALSE)</f>
        <v>3443.06</v>
      </c>
      <c r="M1973" s="22" t="str">
        <f>VLOOKUP($A1973, 'Hospitalisation Details'!$A:$L, 12, FALSE)</f>
        <v>tier - 2</v>
      </c>
      <c r="N1973" s="22" t="str">
        <f>VLOOKUP($A1973, 'Hospitalisation Details'!$A:$M, 13, FALSE)</f>
        <v>tier - 1</v>
      </c>
      <c r="O1973" s="22" t="str">
        <f>VLOOKUP($A1973, 'Hospitalisation Details'!$A:$N, 14, FALSE)</f>
        <v>R1011</v>
      </c>
      <c r="P1973" s="36">
        <f>VLOOKUP($A1973, 'Hospitalisation Details'!$A:$O, 15, FALSE)</f>
        <v>22</v>
      </c>
    </row>
    <row r="1974" ht="15.75" customHeight="1">
      <c r="A1974" s="33" t="s">
        <v>3947</v>
      </c>
      <c r="B1974" s="22" t="str">
        <f>VLOOKUP($A1974,'Customer Names'!$A:$D,3, FALSE)</f>
        <v>Lira</v>
      </c>
      <c r="C1974" s="22">
        <f>VLOOKUP($A1974,'Medical Examinations'!$A:$D, 2, FALSE)</f>
        <v>17.3</v>
      </c>
      <c r="D1974" s="22">
        <f>VLOOKUP($A1974, 'Medical Examinations'!$A:$D,3, FALSE)</f>
        <v>7.66</v>
      </c>
      <c r="E1974" s="22" t="str">
        <f>VLOOKUP($A1974, 'Medical Examinations'!$A:$D, 4, FALSE)</f>
        <v>Yes</v>
      </c>
      <c r="F1974" s="22" t="str">
        <f>VLOOKUP($A1974, 'Medical Examinations'!$A:$J, 5, FALSE)</f>
        <v>No</v>
      </c>
      <c r="G1974" s="22" t="str">
        <f>VLOOKUP($A1974, 'Medical Examinations'!$A:$I, 6, FALSE)</f>
        <v>No</v>
      </c>
      <c r="H1974" s="22">
        <f>VLOOKUP($A1974,'Medical Examinations'!$A:$L,10, FALSE)</f>
        <v>1</v>
      </c>
      <c r="I1974" s="22" t="str">
        <f>VLOOKUP($A1974, 'Medical Examinations'!$A:$J, 9, FALSE)</f>
        <v>No</v>
      </c>
      <c r="J1974" s="22" t="str">
        <f>VLOOKUP($A1974, 'Medical Examinations'!$A:$P, 11, FALSE)</f>
        <v>UNDERWEIGHT</v>
      </c>
      <c r="K1974" s="34">
        <v>21475.0</v>
      </c>
      <c r="L1974" s="35">
        <f>VLOOKUP($A1974, 'Hospitalisation Details'!$A:$H, 7, FALSE)</f>
        <v>3436.5</v>
      </c>
      <c r="M1974" s="22" t="str">
        <f>VLOOKUP($A1974, 'Hospitalisation Details'!$A:$L, 12, FALSE)</f>
        <v>tier - 2</v>
      </c>
      <c r="N1974" s="22" t="str">
        <f>VLOOKUP($A1974, 'Hospitalisation Details'!$A:$M, 13, FALSE)</f>
        <v>tier - 1</v>
      </c>
      <c r="O1974" s="22" t="str">
        <f>VLOOKUP($A1974, 'Hospitalisation Details'!$A:$N, 14, FALSE)</f>
        <v>R1013</v>
      </c>
      <c r="P1974" s="36">
        <f>VLOOKUP($A1974, 'Hospitalisation Details'!$A:$O, 15, FALSE)</f>
        <v>36</v>
      </c>
    </row>
    <row r="1975" ht="15.75" customHeight="1">
      <c r="A1975" s="33" t="s">
        <v>3949</v>
      </c>
      <c r="B1975" s="22" t="str">
        <f>VLOOKUP($A1975,'Customer Names'!$A:$D,3, FALSE)</f>
        <v>Nahigian</v>
      </c>
      <c r="C1975" s="22">
        <f>VLOOKUP($A1975,'Medical Examinations'!$A:$D, 2, FALSE)</f>
        <v>32.25</v>
      </c>
      <c r="D1975" s="22">
        <f>VLOOKUP($A1975, 'Medical Examinations'!$A:$D,3, FALSE)</f>
        <v>5.2</v>
      </c>
      <c r="E1975" s="22" t="str">
        <f>VLOOKUP($A1975, 'Medical Examinations'!$A:$D, 4, FALSE)</f>
        <v>Yes</v>
      </c>
      <c r="F1975" s="22" t="str">
        <f>VLOOKUP($A1975, 'Medical Examinations'!$A:$J, 5, FALSE)</f>
        <v>No</v>
      </c>
      <c r="G1975" s="22" t="str">
        <f>VLOOKUP($A1975, 'Medical Examinations'!$A:$I, 6, FALSE)</f>
        <v>No</v>
      </c>
      <c r="H1975" s="22">
        <f>VLOOKUP($A1975,'Medical Examinations'!$A:$L,10, FALSE)</f>
        <v>0</v>
      </c>
      <c r="I1975" s="22" t="str">
        <f>VLOOKUP($A1975, 'Medical Examinations'!$A:$J, 9, FALSE)</f>
        <v>No</v>
      </c>
      <c r="J1975" s="22" t="str">
        <f>VLOOKUP($A1975, 'Medical Examinations'!$A:$P, 11, FALSE)</f>
        <v>OBESITY</v>
      </c>
      <c r="K1975" s="34">
        <v>25883.0</v>
      </c>
      <c r="L1975" s="35">
        <f>VLOOKUP($A1975, 'Hospitalisation Details'!$A:$H, 7, FALSE)</f>
        <v>3434.38</v>
      </c>
      <c r="M1975" s="22" t="str">
        <f>VLOOKUP($A1975, 'Hospitalisation Details'!$A:$L, 12, FALSE)</f>
        <v>tier - 2</v>
      </c>
      <c r="N1975" s="22" t="str">
        <f>VLOOKUP($A1975, 'Hospitalisation Details'!$A:$M, 13, FALSE)</f>
        <v>tier - 2</v>
      </c>
      <c r="O1975" s="22" t="str">
        <f>VLOOKUP($A1975, 'Hospitalisation Details'!$A:$N, 14, FALSE)</f>
        <v>R1011</v>
      </c>
      <c r="P1975" s="36">
        <f>VLOOKUP($A1975, 'Hospitalisation Details'!$A:$O, 15, FALSE)</f>
        <v>21</v>
      </c>
    </row>
    <row r="1976" ht="15.75" customHeight="1">
      <c r="A1976" s="33" t="s">
        <v>3951</v>
      </c>
      <c r="B1976" s="22" t="str">
        <f>VLOOKUP($A1976,'Customer Names'!$A:$D,3, FALSE)</f>
        <v>Cackett</v>
      </c>
      <c r="C1976" s="22">
        <f>VLOOKUP($A1976,'Medical Examinations'!$A:$D, 2, FALSE)</f>
        <v>42.4</v>
      </c>
      <c r="D1976" s="22">
        <f>VLOOKUP($A1976, 'Medical Examinations'!$A:$D,3, FALSE)</f>
        <v>5.53</v>
      </c>
      <c r="E1976" s="22" t="str">
        <f>VLOOKUP($A1976, 'Medical Examinations'!$A:$D, 4, FALSE)</f>
        <v>Yes</v>
      </c>
      <c r="F1976" s="22" t="str">
        <f>VLOOKUP($A1976, 'Medical Examinations'!$A:$J, 5, FALSE)</f>
        <v>No</v>
      </c>
      <c r="G1976" s="22" t="str">
        <f>VLOOKUP($A1976, 'Medical Examinations'!$A:$I, 6, FALSE)</f>
        <v>No</v>
      </c>
      <c r="H1976" s="22">
        <f>VLOOKUP($A1976,'Medical Examinations'!$A:$L,10, FALSE)</f>
        <v>0</v>
      </c>
      <c r="I1976" s="22" t="str">
        <f>VLOOKUP($A1976, 'Medical Examinations'!$A:$J, 9, FALSE)</f>
        <v>No</v>
      </c>
      <c r="J1976" s="22" t="str">
        <f>VLOOKUP($A1976, 'Medical Examinations'!$A:$P, 11, FALSE)</f>
        <v>OBESITY</v>
      </c>
      <c r="K1976" s="34">
        <v>29742.0</v>
      </c>
      <c r="L1976" s="35">
        <f>VLOOKUP($A1976, 'Hospitalisation Details'!$A:$H, 7, FALSE)</f>
        <v>3410.32</v>
      </c>
      <c r="M1976" s="22" t="str">
        <f>VLOOKUP($A1976, 'Hospitalisation Details'!$A:$L, 12, FALSE)</f>
        <v>tier - 2</v>
      </c>
      <c r="N1976" s="22" t="str">
        <f>VLOOKUP($A1976, 'Hospitalisation Details'!$A:$M, 13, FALSE)</f>
        <v>tier - 2</v>
      </c>
      <c r="O1976" s="22" t="str">
        <f>VLOOKUP($A1976, 'Hospitalisation Details'!$A:$N, 14, FALSE)</f>
        <v>R1011</v>
      </c>
      <c r="P1976" s="36">
        <f>VLOOKUP($A1976, 'Hospitalisation Details'!$A:$O, 15, FALSE)</f>
        <v>26</v>
      </c>
    </row>
    <row r="1977" ht="15.75" customHeight="1">
      <c r="A1977" s="33" t="s">
        <v>3953</v>
      </c>
      <c r="B1977" s="22" t="str">
        <f>VLOOKUP($A1977,'Customer Names'!$A:$D,3, FALSE)</f>
        <v>Hunter-Galvan</v>
      </c>
      <c r="C1977" s="22">
        <f>VLOOKUP($A1977,'Medical Examinations'!$A:$D, 2, FALSE)</f>
        <v>38.665</v>
      </c>
      <c r="D1977" s="22">
        <f>VLOOKUP($A1977, 'Medical Examinations'!$A:$D,3, FALSE)</f>
        <v>4.86</v>
      </c>
      <c r="E1977" s="22" t="str">
        <f>VLOOKUP($A1977, 'Medical Examinations'!$A:$D, 4, FALSE)</f>
        <v>No</v>
      </c>
      <c r="F1977" s="22" t="str">
        <f>VLOOKUP($A1977, 'Medical Examinations'!$A:$J, 5, FALSE)</f>
        <v>Yes</v>
      </c>
      <c r="G1977" s="22" t="str">
        <f>VLOOKUP($A1977, 'Medical Examinations'!$A:$I, 6, FALSE)</f>
        <v>No</v>
      </c>
      <c r="H1977" s="22">
        <f>VLOOKUP($A1977,'Medical Examinations'!$A:$L,10, FALSE)</f>
        <v>1</v>
      </c>
      <c r="I1977" s="22" t="str">
        <f>VLOOKUP($A1977, 'Medical Examinations'!$A:$J, 9, FALSE)</f>
        <v>No</v>
      </c>
      <c r="J1977" s="22" t="str">
        <f>VLOOKUP($A1977, 'Medical Examinations'!$A:$P, 11, FALSE)</f>
        <v>OBESITY</v>
      </c>
      <c r="K1977" s="34">
        <v>29146.0</v>
      </c>
      <c r="L1977" s="35">
        <f>VLOOKUP($A1977, 'Hospitalisation Details'!$A:$H, 7, FALSE)</f>
        <v>3393.36</v>
      </c>
      <c r="M1977" s="22" t="str">
        <f>VLOOKUP($A1977, 'Hospitalisation Details'!$A:$L, 12, FALSE)</f>
        <v>tier - 2</v>
      </c>
      <c r="N1977" s="22" t="str">
        <f>VLOOKUP($A1977, 'Hospitalisation Details'!$A:$M, 13, FALSE)</f>
        <v>tier - 2</v>
      </c>
      <c r="O1977" s="22" t="str">
        <f>VLOOKUP($A1977, 'Hospitalisation Details'!$A:$N, 14, FALSE)</f>
        <v>R1023</v>
      </c>
      <c r="P1977" s="36">
        <f>VLOOKUP($A1977, 'Hospitalisation Details'!$A:$O, 15, FALSE)</f>
        <v>18</v>
      </c>
    </row>
    <row r="1978" ht="15.75" customHeight="1">
      <c r="A1978" s="33" t="s">
        <v>3955</v>
      </c>
      <c r="B1978" s="22" t="str">
        <f>VLOOKUP($A1978,'Customer Names'!$A:$D,3, FALSE)</f>
        <v>Pierret</v>
      </c>
      <c r="C1978" s="22">
        <f>VLOOKUP($A1978,'Medical Examinations'!$A:$D, 2, FALSE)</f>
        <v>29.92</v>
      </c>
      <c r="D1978" s="22">
        <f>VLOOKUP($A1978, 'Medical Examinations'!$A:$D,3, FALSE)</f>
        <v>5.49</v>
      </c>
      <c r="E1978" s="22" t="str">
        <f>VLOOKUP($A1978, 'Medical Examinations'!$A:$D, 4, FALSE)</f>
        <v>Yes</v>
      </c>
      <c r="F1978" s="22" t="str">
        <f>VLOOKUP($A1978, 'Medical Examinations'!$A:$J, 5, FALSE)</f>
        <v>No</v>
      </c>
      <c r="G1978" s="22" t="str">
        <f>VLOOKUP($A1978, 'Medical Examinations'!$A:$I, 6, FALSE)</f>
        <v>No</v>
      </c>
      <c r="H1978" s="22">
        <f>VLOOKUP($A1978,'Medical Examinations'!$A:$L,10, FALSE)</f>
        <v>0</v>
      </c>
      <c r="I1978" s="22" t="str">
        <f>VLOOKUP($A1978, 'Medical Examinations'!$A:$J, 9, FALSE)</f>
        <v>No</v>
      </c>
      <c r="J1978" s="22" t="str">
        <f>VLOOKUP($A1978, 'Medical Examinations'!$A:$P, 11, FALSE)</f>
        <v>OBESITY</v>
      </c>
      <c r="K1978" s="34">
        <v>27738.0</v>
      </c>
      <c r="L1978" s="35">
        <f>VLOOKUP($A1978, 'Hospitalisation Details'!$A:$H, 7, FALSE)</f>
        <v>3392.98</v>
      </c>
      <c r="M1978" s="22" t="str">
        <f>VLOOKUP($A1978, 'Hospitalisation Details'!$A:$L, 12, FALSE)</f>
        <v>tier - 2</v>
      </c>
      <c r="N1978" s="22" t="str">
        <f>VLOOKUP($A1978, 'Hospitalisation Details'!$A:$M, 13, FALSE)</f>
        <v>tier - 3</v>
      </c>
      <c r="O1978" s="22" t="str">
        <f>VLOOKUP($A1978, 'Hospitalisation Details'!$A:$N, 14, FALSE)</f>
        <v>R1013</v>
      </c>
      <c r="P1978" s="36">
        <f>VLOOKUP($A1978, 'Hospitalisation Details'!$A:$O, 15, FALSE)</f>
        <v>26</v>
      </c>
    </row>
    <row r="1979" ht="15.75" customHeight="1">
      <c r="A1979" s="33" t="s">
        <v>3957</v>
      </c>
      <c r="B1979" s="22" t="str">
        <f>VLOOKUP($A1979,'Customer Names'!$A:$D,3, FALSE)</f>
        <v>White</v>
      </c>
      <c r="C1979" s="22">
        <f>VLOOKUP($A1979,'Medical Examinations'!$A:$D, 2, FALSE)</f>
        <v>29.48</v>
      </c>
      <c r="D1979" s="22">
        <f>VLOOKUP($A1979, 'Medical Examinations'!$A:$D,3, FALSE)</f>
        <v>4.09</v>
      </c>
      <c r="E1979" s="22" t="str">
        <f>VLOOKUP($A1979, 'Medical Examinations'!$A:$D, 4, FALSE)</f>
        <v>Yes</v>
      </c>
      <c r="F1979" s="22" t="str">
        <f>VLOOKUP($A1979, 'Medical Examinations'!$A:$J, 5, FALSE)</f>
        <v>No</v>
      </c>
      <c r="G1979" s="22" t="str">
        <f>VLOOKUP($A1979, 'Medical Examinations'!$A:$I, 6, FALSE)</f>
        <v>No</v>
      </c>
      <c r="H1979" s="22">
        <f>VLOOKUP($A1979,'Medical Examinations'!$A:$L,10, FALSE)</f>
        <v>0</v>
      </c>
      <c r="I1979" s="22" t="str">
        <f>VLOOKUP($A1979, 'Medical Examinations'!$A:$J, 9, FALSE)</f>
        <v>No</v>
      </c>
      <c r="J1979" s="22" t="str">
        <f>VLOOKUP($A1979, 'Medical Examinations'!$A:$P, 11, FALSE)</f>
        <v>OVERWEIGHT</v>
      </c>
      <c r="K1979" s="34">
        <v>29039.0</v>
      </c>
      <c r="L1979" s="35">
        <f>VLOOKUP($A1979, 'Hospitalisation Details'!$A:$H, 7, FALSE)</f>
        <v>3392.37</v>
      </c>
      <c r="M1979" s="22" t="str">
        <f>VLOOKUP($A1979, 'Hospitalisation Details'!$A:$L, 12, FALSE)</f>
        <v>tier - 2</v>
      </c>
      <c r="N1979" s="22" t="str">
        <f>VLOOKUP($A1979, 'Hospitalisation Details'!$A:$M, 13, FALSE)</f>
        <v>tier - 3</v>
      </c>
      <c r="O1979" s="22" t="str">
        <f>VLOOKUP($A1979, 'Hospitalisation Details'!$A:$N, 14, FALSE)</f>
        <v>R1013</v>
      </c>
      <c r="P1979" s="36">
        <f>VLOOKUP($A1979, 'Hospitalisation Details'!$A:$O, 15, FALSE)</f>
        <v>26</v>
      </c>
    </row>
    <row r="1980" ht="15.75" customHeight="1">
      <c r="A1980" s="33" t="s">
        <v>3959</v>
      </c>
      <c r="B1980" s="22" t="str">
        <f>VLOOKUP($A1980,'Customer Names'!$A:$D,3, FALSE)</f>
        <v>O'Neil</v>
      </c>
      <c r="C1980" s="22">
        <f>VLOOKUP($A1980,'Medical Examinations'!$A:$D, 2, FALSE)</f>
        <v>28.785</v>
      </c>
      <c r="D1980" s="22">
        <f>VLOOKUP($A1980, 'Medical Examinations'!$A:$D,3, FALSE)</f>
        <v>4.31</v>
      </c>
      <c r="E1980" s="22" t="str">
        <f>VLOOKUP($A1980, 'Medical Examinations'!$A:$D, 4, FALSE)</f>
        <v>Yes</v>
      </c>
      <c r="F1980" s="22" t="str">
        <f>VLOOKUP($A1980, 'Medical Examinations'!$A:$J, 5, FALSE)</f>
        <v>No</v>
      </c>
      <c r="G1980" s="22" t="str">
        <f>VLOOKUP($A1980, 'Medical Examinations'!$A:$I, 6, FALSE)</f>
        <v>No</v>
      </c>
      <c r="H1980" s="22">
        <f>VLOOKUP($A1980,'Medical Examinations'!$A:$L,10, FALSE)</f>
        <v>0</v>
      </c>
      <c r="I1980" s="22" t="str">
        <f>VLOOKUP($A1980, 'Medical Examinations'!$A:$J, 9, FALSE)</f>
        <v>No</v>
      </c>
      <c r="J1980" s="22" t="str">
        <f>VLOOKUP($A1980, 'Medical Examinations'!$A:$P, 11, FALSE)</f>
        <v>OVERWEIGHT</v>
      </c>
      <c r="K1980" s="34">
        <v>23950.0</v>
      </c>
      <c r="L1980" s="35">
        <f>VLOOKUP($A1980, 'Hospitalisation Details'!$A:$H, 7, FALSE)</f>
        <v>3385.4</v>
      </c>
      <c r="M1980" s="22" t="str">
        <f>VLOOKUP($A1980, 'Hospitalisation Details'!$A:$L, 12, FALSE)</f>
        <v>tier - 2</v>
      </c>
      <c r="N1980" s="22" t="str">
        <f>VLOOKUP($A1980, 'Hospitalisation Details'!$A:$M, 13, FALSE)</f>
        <v>tier - 2</v>
      </c>
      <c r="O1980" s="22" t="str">
        <f>VLOOKUP($A1980, 'Hospitalisation Details'!$A:$N, 14, FALSE)</f>
        <v>R1024</v>
      </c>
      <c r="P1980" s="36">
        <f>VLOOKUP($A1980, 'Hospitalisation Details'!$A:$O, 15, FALSE)</f>
        <v>26</v>
      </c>
    </row>
    <row r="1981" ht="15.75" customHeight="1">
      <c r="A1981" s="33" t="s">
        <v>3961</v>
      </c>
      <c r="B1981" s="22" t="str">
        <f>VLOOKUP($A1981,'Customer Names'!$A:$D,3, FALSE)</f>
        <v>Leitz</v>
      </c>
      <c r="C1981" s="22">
        <f>VLOOKUP($A1981,'Medical Examinations'!$A:$D, 2, FALSE)</f>
        <v>19.8</v>
      </c>
      <c r="D1981" s="22">
        <f>VLOOKUP($A1981, 'Medical Examinations'!$A:$D,3, FALSE)</f>
        <v>4</v>
      </c>
      <c r="E1981" s="22" t="str">
        <f>VLOOKUP($A1981, 'Medical Examinations'!$A:$D, 4, FALSE)</f>
        <v>Yes</v>
      </c>
      <c r="F1981" s="22" t="str">
        <f>VLOOKUP($A1981, 'Medical Examinations'!$A:$J, 5, FALSE)</f>
        <v>No</v>
      </c>
      <c r="G1981" s="22" t="str">
        <f>VLOOKUP($A1981, 'Medical Examinations'!$A:$I, 6, FALSE)</f>
        <v>No</v>
      </c>
      <c r="H1981" s="22">
        <f>VLOOKUP($A1981,'Medical Examinations'!$A:$L,10, FALSE)</f>
        <v>0</v>
      </c>
      <c r="I1981" s="22" t="str">
        <f>VLOOKUP($A1981, 'Medical Examinations'!$A:$J, 9, FALSE)</f>
        <v>No</v>
      </c>
      <c r="J1981" s="22" t="str">
        <f>VLOOKUP($A1981, 'Medical Examinations'!$A:$P, 11, FALSE)</f>
        <v>NORMAL WEIGHT</v>
      </c>
      <c r="K1981" s="34">
        <v>22856.0</v>
      </c>
      <c r="L1981" s="35">
        <f>VLOOKUP($A1981, 'Hospitalisation Details'!$A:$H, 7, FALSE)</f>
        <v>3378.91</v>
      </c>
      <c r="M1981" s="22" t="str">
        <f>VLOOKUP($A1981, 'Hospitalisation Details'!$A:$L, 12, FALSE)</f>
        <v>tier - 2</v>
      </c>
      <c r="N1981" s="22" t="str">
        <f>VLOOKUP($A1981, 'Hospitalisation Details'!$A:$M, 13, FALSE)</f>
        <v>tier - 1</v>
      </c>
      <c r="O1981" s="22" t="str">
        <f>VLOOKUP($A1981, 'Hospitalisation Details'!$A:$N, 14, FALSE)</f>
        <v>R1011</v>
      </c>
      <c r="P1981" s="36">
        <f>VLOOKUP($A1981, 'Hospitalisation Details'!$A:$O, 15, FALSE)</f>
        <v>26</v>
      </c>
    </row>
    <row r="1982" ht="15.75" customHeight="1">
      <c r="A1982" s="33" t="s">
        <v>3963</v>
      </c>
      <c r="B1982" s="22" t="str">
        <f>VLOOKUP($A1982,'Customer Names'!$A:$D,3, FALSE)</f>
        <v>Durfee</v>
      </c>
      <c r="C1982" s="22">
        <f>VLOOKUP($A1982,'Medical Examinations'!$A:$D, 2, FALSE)</f>
        <v>35.53</v>
      </c>
      <c r="D1982" s="22">
        <f>VLOOKUP($A1982, 'Medical Examinations'!$A:$D,3, FALSE)</f>
        <v>4.68</v>
      </c>
      <c r="E1982" s="22" t="str">
        <f>VLOOKUP($A1982, 'Medical Examinations'!$A:$D, 4, FALSE)</f>
        <v>No</v>
      </c>
      <c r="F1982" s="22" t="str">
        <f>VLOOKUP($A1982, 'Medical Examinations'!$A:$J, 5, FALSE)</f>
        <v>No</v>
      </c>
      <c r="G1982" s="22" t="str">
        <f>VLOOKUP($A1982, 'Medical Examinations'!$A:$I, 6, FALSE)</f>
        <v>Yes</v>
      </c>
      <c r="H1982" s="22">
        <f>VLOOKUP($A1982,'Medical Examinations'!$A:$L,10, FALSE)</f>
        <v>1</v>
      </c>
      <c r="I1982" s="22" t="str">
        <f>VLOOKUP($A1982, 'Medical Examinations'!$A:$J, 9, FALSE)</f>
        <v>No</v>
      </c>
      <c r="J1982" s="22" t="str">
        <f>VLOOKUP($A1982, 'Medical Examinations'!$A:$P, 11, FALSE)</f>
        <v>OBESITY</v>
      </c>
      <c r="K1982" s="34">
        <v>37523.0</v>
      </c>
      <c r="L1982" s="35">
        <f>VLOOKUP($A1982, 'Hospitalisation Details'!$A:$H, 7, FALSE)</f>
        <v>3366.67</v>
      </c>
      <c r="M1982" s="22" t="str">
        <f>VLOOKUP($A1982, 'Hospitalisation Details'!$A:$L, 12, FALSE)</f>
        <v>tier - 2</v>
      </c>
      <c r="N1982" s="22" t="str">
        <f>VLOOKUP($A1982, 'Hospitalisation Details'!$A:$M, 13, FALSE)</f>
        <v>tier - 2</v>
      </c>
      <c r="O1982" s="22" t="str">
        <f>VLOOKUP($A1982, 'Hospitalisation Details'!$A:$N, 14, FALSE)</f>
        <v>R1013</v>
      </c>
      <c r="P1982" s="36">
        <f>VLOOKUP($A1982, 'Hospitalisation Details'!$A:$O, 15, FALSE)</f>
        <v>29</v>
      </c>
    </row>
    <row r="1983" ht="15.75" customHeight="1">
      <c r="A1983" s="33" t="s">
        <v>3965</v>
      </c>
      <c r="B1983" s="22" t="str">
        <f>VLOOKUP($A1983,'Customer Names'!$A:$D,3, FALSE)</f>
        <v>Maylone</v>
      </c>
      <c r="C1983" s="22">
        <f>VLOOKUP($A1983,'Medical Examinations'!$A:$D, 2, FALSE)</f>
        <v>21.47</v>
      </c>
      <c r="D1983" s="22">
        <f>VLOOKUP($A1983, 'Medical Examinations'!$A:$D,3, FALSE)</f>
        <v>4.02</v>
      </c>
      <c r="E1983" s="22" t="str">
        <f>VLOOKUP($A1983, 'Medical Examinations'!$A:$D, 4, FALSE)</f>
        <v>Yes</v>
      </c>
      <c r="F1983" s="22" t="str">
        <f>VLOOKUP($A1983, 'Medical Examinations'!$A:$J, 5, FALSE)</f>
        <v>No</v>
      </c>
      <c r="G1983" s="22" t="str">
        <f>VLOOKUP($A1983, 'Medical Examinations'!$A:$I, 6, FALSE)</f>
        <v>No</v>
      </c>
      <c r="H1983" s="22">
        <f>VLOOKUP($A1983,'Medical Examinations'!$A:$L,10, FALSE)</f>
        <v>1</v>
      </c>
      <c r="I1983" s="22" t="str">
        <f>VLOOKUP($A1983, 'Medical Examinations'!$A:$J, 9, FALSE)</f>
        <v>No</v>
      </c>
      <c r="J1983" s="22" t="str">
        <f>VLOOKUP($A1983, 'Medical Examinations'!$A:$P, 11, FALSE)</f>
        <v>NORMAL WEIGHT</v>
      </c>
      <c r="K1983" s="34">
        <v>30198.0</v>
      </c>
      <c r="L1983" s="35">
        <f>VLOOKUP($A1983, 'Hospitalisation Details'!$A:$H, 7, FALSE)</f>
        <v>3353.47</v>
      </c>
      <c r="M1983" s="22" t="str">
        <f>VLOOKUP($A1983, 'Hospitalisation Details'!$A:$L, 12, FALSE)</f>
        <v>tier - 2</v>
      </c>
      <c r="N1983" s="22" t="str">
        <f>VLOOKUP($A1983, 'Hospitalisation Details'!$A:$M, 13, FALSE)</f>
        <v>tier - 3</v>
      </c>
      <c r="O1983" s="22" t="str">
        <f>VLOOKUP($A1983, 'Hospitalisation Details'!$A:$N, 14, FALSE)</f>
        <v>R1012</v>
      </c>
      <c r="P1983" s="36">
        <f>VLOOKUP($A1983, 'Hospitalisation Details'!$A:$O, 15, FALSE)</f>
        <v>27</v>
      </c>
    </row>
    <row r="1984" ht="15.75" customHeight="1">
      <c r="A1984" s="33" t="s">
        <v>3967</v>
      </c>
      <c r="B1984" s="22" t="str">
        <f>VLOOKUP($A1984,'Customer Names'!$A:$D,3, FALSE)</f>
        <v>Reiland</v>
      </c>
      <c r="C1984" s="22">
        <f>VLOOKUP($A1984,'Medical Examinations'!$A:$D, 2, FALSE)</f>
        <v>25.9</v>
      </c>
      <c r="D1984" s="22">
        <f>VLOOKUP($A1984, 'Medical Examinations'!$A:$D,3, FALSE)</f>
        <v>5.12</v>
      </c>
      <c r="E1984" s="22" t="str">
        <f>VLOOKUP($A1984, 'Medical Examinations'!$A:$D, 4, FALSE)</f>
        <v>No</v>
      </c>
      <c r="F1984" s="22" t="str">
        <f>VLOOKUP($A1984, 'Medical Examinations'!$A:$J, 5, FALSE)</f>
        <v>No</v>
      </c>
      <c r="G1984" s="22" t="str">
        <f>VLOOKUP($A1984, 'Medical Examinations'!$A:$I, 6, FALSE)</f>
        <v>Yes</v>
      </c>
      <c r="H1984" s="22">
        <f>VLOOKUP($A1984,'Medical Examinations'!$A:$L,10, FALSE)</f>
        <v>1</v>
      </c>
      <c r="I1984" s="22" t="str">
        <f>VLOOKUP($A1984, 'Medical Examinations'!$A:$J, 9, FALSE)</f>
        <v>No</v>
      </c>
      <c r="J1984" s="22" t="str">
        <f>VLOOKUP($A1984, 'Medical Examinations'!$A:$P, 11, FALSE)</f>
        <v>OVERWEIGHT</v>
      </c>
      <c r="K1984" s="34">
        <v>21389.0</v>
      </c>
      <c r="L1984" s="35">
        <f>VLOOKUP($A1984, 'Hospitalisation Details'!$A:$H, 7, FALSE)</f>
        <v>3353.28</v>
      </c>
      <c r="M1984" s="22" t="str">
        <f>VLOOKUP($A1984, 'Hospitalisation Details'!$A:$L, 12, FALSE)</f>
        <v>tier - 2</v>
      </c>
      <c r="N1984" s="22" t="str">
        <f>VLOOKUP($A1984, 'Hospitalisation Details'!$A:$M, 13, FALSE)</f>
        <v>tier - 1</v>
      </c>
      <c r="O1984" s="22" t="str">
        <f>VLOOKUP($A1984, 'Hospitalisation Details'!$A:$N, 14, FALSE)</f>
        <v>R1011</v>
      </c>
      <c r="P1984" s="36">
        <f>VLOOKUP($A1984, 'Hospitalisation Details'!$A:$O, 15, FALSE)</f>
        <v>29</v>
      </c>
    </row>
    <row r="1985" ht="15.75" customHeight="1">
      <c r="A1985" s="33" t="s">
        <v>3969</v>
      </c>
      <c r="B1985" s="22" t="str">
        <f>VLOOKUP($A1985,'Customer Names'!$A:$D,3, FALSE)</f>
        <v>Hu</v>
      </c>
      <c r="C1985" s="22">
        <f>VLOOKUP($A1985,'Medical Examinations'!$A:$D, 2, FALSE)</f>
        <v>20.81</v>
      </c>
      <c r="D1985" s="22">
        <f>VLOOKUP($A1985, 'Medical Examinations'!$A:$D,3, FALSE)</f>
        <v>5.52</v>
      </c>
      <c r="E1985" s="22" t="str">
        <f>VLOOKUP($A1985, 'Medical Examinations'!$A:$D, 4, FALSE)</f>
        <v>No</v>
      </c>
      <c r="F1985" s="22" t="str">
        <f>VLOOKUP($A1985, 'Medical Examinations'!$A:$J, 5, FALSE)</f>
        <v>No</v>
      </c>
      <c r="G1985" s="22" t="str">
        <f>VLOOKUP($A1985, 'Medical Examinations'!$A:$I, 6, FALSE)</f>
        <v>No</v>
      </c>
      <c r="H1985" s="22">
        <f>VLOOKUP($A1985,'Medical Examinations'!$A:$L,10, FALSE)</f>
        <v>0</v>
      </c>
      <c r="I1985" s="22" t="str">
        <f>VLOOKUP($A1985, 'Medical Examinations'!$A:$J, 9, FALSE)</f>
        <v>No</v>
      </c>
      <c r="J1985" s="22" t="str">
        <f>VLOOKUP($A1985, 'Medical Examinations'!$A:$P, 11, FALSE)</f>
        <v>NORMAL WEIGHT</v>
      </c>
      <c r="K1985" s="34">
        <v>25496.0</v>
      </c>
      <c r="L1985" s="35">
        <f>VLOOKUP($A1985, 'Hospitalisation Details'!$A:$H, 7, FALSE)</f>
        <v>3342.79</v>
      </c>
      <c r="M1985" s="22" t="str">
        <f>VLOOKUP($A1985, 'Hospitalisation Details'!$A:$L, 12, FALSE)</f>
        <v>tier - 2</v>
      </c>
      <c r="N1985" s="22" t="str">
        <f>VLOOKUP($A1985, 'Hospitalisation Details'!$A:$M, 13, FALSE)</f>
        <v>tier - 1</v>
      </c>
      <c r="O1985" s="22" t="str">
        <f>VLOOKUP($A1985, 'Hospitalisation Details'!$A:$N, 14, FALSE)</f>
        <v>R1013</v>
      </c>
      <c r="P1985" s="36">
        <f>VLOOKUP($A1985, 'Hospitalisation Details'!$A:$O, 15, FALSE)</f>
        <v>31</v>
      </c>
    </row>
    <row r="1986" ht="15.75" customHeight="1">
      <c r="A1986" s="33" t="s">
        <v>3971</v>
      </c>
      <c r="B1986" s="22" t="str">
        <f>VLOOKUP($A1986,'Customer Names'!$A:$D,3, FALSE)</f>
        <v>Lessek</v>
      </c>
      <c r="C1986" s="22">
        <f>VLOOKUP($A1986,'Medical Examinations'!$A:$D, 2, FALSE)</f>
        <v>25.84</v>
      </c>
      <c r="D1986" s="22">
        <f>VLOOKUP($A1986, 'Medical Examinations'!$A:$D,3, FALSE)</f>
        <v>5.81</v>
      </c>
      <c r="E1986" s="22" t="str">
        <f>VLOOKUP($A1986, 'Medical Examinations'!$A:$D, 4, FALSE)</f>
        <v>Yes</v>
      </c>
      <c r="F1986" s="22" t="str">
        <f>VLOOKUP($A1986, 'Medical Examinations'!$A:$J, 5, FALSE)</f>
        <v>No</v>
      </c>
      <c r="G1986" s="22" t="str">
        <f>VLOOKUP($A1986, 'Medical Examinations'!$A:$I, 6, FALSE)</f>
        <v>Yes</v>
      </c>
      <c r="H1986" s="22">
        <f>VLOOKUP($A1986,'Medical Examinations'!$A:$L,10, FALSE)</f>
        <v>1</v>
      </c>
      <c r="I1986" s="22" t="str">
        <f>VLOOKUP($A1986, 'Medical Examinations'!$A:$J, 9, FALSE)</f>
        <v>No</v>
      </c>
      <c r="J1986" s="22" t="str">
        <f>VLOOKUP($A1986, 'Medical Examinations'!$A:$P, 11, FALSE)</f>
        <v>OVERWEIGHT</v>
      </c>
      <c r="K1986" s="34">
        <v>29903.0</v>
      </c>
      <c r="L1986" s="35">
        <f>VLOOKUP($A1986, 'Hospitalisation Details'!$A:$H, 7, FALSE)</f>
        <v>3309.79</v>
      </c>
      <c r="M1986" s="22" t="str">
        <f>VLOOKUP($A1986, 'Hospitalisation Details'!$A:$L, 12, FALSE)</f>
        <v>tier - 3</v>
      </c>
      <c r="N1986" s="22" t="str">
        <f>VLOOKUP($A1986, 'Hospitalisation Details'!$A:$M, 13, FALSE)</f>
        <v>tier - 3</v>
      </c>
      <c r="O1986" s="22" t="str">
        <f>VLOOKUP($A1986, 'Hospitalisation Details'!$A:$N, 14, FALSE)</f>
        <v>R1017</v>
      </c>
      <c r="P1986" s="36">
        <f>VLOOKUP($A1986, 'Hospitalisation Details'!$A:$O, 15, FALSE)</f>
        <v>25</v>
      </c>
    </row>
    <row r="1987" ht="15.75" customHeight="1">
      <c r="A1987" s="33" t="s">
        <v>3973</v>
      </c>
      <c r="B1987" s="22" t="str">
        <f>VLOOKUP($A1987,'Customer Names'!$A:$D,3, FALSE)</f>
        <v>Colavincenzo</v>
      </c>
      <c r="C1987" s="22">
        <f>VLOOKUP($A1987,'Medical Examinations'!$A:$D, 2, FALSE)</f>
        <v>30.95</v>
      </c>
      <c r="D1987" s="22">
        <f>VLOOKUP($A1987, 'Medical Examinations'!$A:$D,3, FALSE)</f>
        <v>5.16</v>
      </c>
      <c r="E1987" s="22" t="str">
        <f>VLOOKUP($A1987, 'Medical Examinations'!$A:$D, 4, FALSE)</f>
        <v>No</v>
      </c>
      <c r="F1987" s="22" t="str">
        <f>VLOOKUP($A1987, 'Medical Examinations'!$A:$J, 5, FALSE)</f>
        <v>No</v>
      </c>
      <c r="G1987" s="22" t="str">
        <f>VLOOKUP($A1987, 'Medical Examinations'!$A:$I, 6, FALSE)</f>
        <v>Yes</v>
      </c>
      <c r="H1987" s="22">
        <f>VLOOKUP($A1987,'Medical Examinations'!$A:$L,10, FALSE)</f>
        <v>1</v>
      </c>
      <c r="I1987" s="22" t="str">
        <f>VLOOKUP($A1987, 'Medical Examinations'!$A:$J, 9, FALSE)</f>
        <v>No</v>
      </c>
      <c r="J1987" s="22" t="str">
        <f>VLOOKUP($A1987, 'Medical Examinations'!$A:$P, 11, FALSE)</f>
        <v>OBESITY</v>
      </c>
      <c r="K1987" s="34">
        <v>24716.0</v>
      </c>
      <c r="L1987" s="35">
        <f>VLOOKUP($A1987, 'Hospitalisation Details'!$A:$H, 7, FALSE)</f>
        <v>3308.46</v>
      </c>
      <c r="M1987" s="22" t="str">
        <f>VLOOKUP($A1987, 'Hospitalisation Details'!$A:$L, 12, FALSE)</f>
        <v>tier - 2</v>
      </c>
      <c r="N1987" s="22" t="str">
        <f>VLOOKUP($A1987, 'Hospitalisation Details'!$A:$M, 13, FALSE)</f>
        <v>tier - 1</v>
      </c>
      <c r="O1987" s="22" t="str">
        <f>VLOOKUP($A1987, 'Hospitalisation Details'!$A:$N, 14, FALSE)</f>
        <v>R1021</v>
      </c>
      <c r="P1987" s="36">
        <f>VLOOKUP($A1987, 'Hospitalisation Details'!$A:$O, 15, FALSE)</f>
        <v>19</v>
      </c>
    </row>
    <row r="1988" ht="15.75" customHeight="1">
      <c r="A1988" s="33" t="s">
        <v>3975</v>
      </c>
      <c r="B1988" s="22" t="str">
        <f>VLOOKUP($A1988,'Customer Names'!$A:$D,3, FALSE)</f>
        <v>Mendez-Karr</v>
      </c>
      <c r="C1988" s="22">
        <f>VLOOKUP($A1988,'Medical Examinations'!$A:$D, 2, FALSE)</f>
        <v>30.54</v>
      </c>
      <c r="D1988" s="22">
        <f>VLOOKUP($A1988, 'Medical Examinations'!$A:$D,3, FALSE)</f>
        <v>5</v>
      </c>
      <c r="E1988" s="22" t="str">
        <f>VLOOKUP($A1988, 'Medical Examinations'!$A:$D, 4, FALSE)</f>
        <v>No</v>
      </c>
      <c r="F1988" s="22" t="str">
        <f>VLOOKUP($A1988, 'Medical Examinations'!$A:$J, 5, FALSE)</f>
        <v>No</v>
      </c>
      <c r="G1988" s="22" t="str">
        <f>VLOOKUP($A1988, 'Medical Examinations'!$A:$I, 6, FALSE)</f>
        <v>Yes</v>
      </c>
      <c r="H1988" s="22">
        <f>VLOOKUP($A1988,'Medical Examinations'!$A:$L,10, FALSE)</f>
        <v>1</v>
      </c>
      <c r="I1988" s="22" t="str">
        <f>VLOOKUP($A1988, 'Medical Examinations'!$A:$J, 9, FALSE)</f>
        <v>No</v>
      </c>
      <c r="J1988" s="22" t="str">
        <f>VLOOKUP($A1988, 'Medical Examinations'!$A:$P, 11, FALSE)</f>
        <v>OBESITY</v>
      </c>
      <c r="K1988" s="34">
        <v>33471.0</v>
      </c>
      <c r="L1988" s="35">
        <f>VLOOKUP($A1988, 'Hospitalisation Details'!$A:$H, 7, FALSE)</f>
        <v>3300.7</v>
      </c>
      <c r="M1988" s="22" t="str">
        <f>VLOOKUP($A1988, 'Hospitalisation Details'!$A:$L, 12, FALSE)</f>
        <v>tier - 2</v>
      </c>
      <c r="N1988" s="22" t="str">
        <f>VLOOKUP($A1988, 'Hospitalisation Details'!$A:$M, 13, FALSE)</f>
        <v>tier - 2</v>
      </c>
      <c r="O1988" s="22" t="str">
        <f>VLOOKUP($A1988, 'Hospitalisation Details'!$A:$N, 14, FALSE)</f>
        <v>R1025</v>
      </c>
      <c r="P1988" s="36">
        <f>VLOOKUP($A1988, 'Hospitalisation Details'!$A:$O, 15, FALSE)</f>
        <v>19</v>
      </c>
    </row>
    <row r="1989" ht="15.75" customHeight="1">
      <c r="A1989" s="33" t="s">
        <v>3977</v>
      </c>
      <c r="B1989" s="22" t="str">
        <f>VLOOKUP($A1989,'Customer Names'!$A:$D,3, FALSE)</f>
        <v>Saulnier</v>
      </c>
      <c r="C1989" s="22">
        <f>VLOOKUP($A1989,'Medical Examinations'!$A:$D, 2, FALSE)</f>
        <v>33.915</v>
      </c>
      <c r="D1989" s="22">
        <f>VLOOKUP($A1989, 'Medical Examinations'!$A:$D,3, FALSE)</f>
        <v>5.84</v>
      </c>
      <c r="E1989" s="22" t="str">
        <f>VLOOKUP($A1989, 'Medical Examinations'!$A:$D, 4, FALSE)</f>
        <v>Yes</v>
      </c>
      <c r="F1989" s="22" t="str">
        <f>VLOOKUP($A1989, 'Medical Examinations'!$A:$J, 5, FALSE)</f>
        <v>No</v>
      </c>
      <c r="G1989" s="22" t="str">
        <f>VLOOKUP($A1989, 'Medical Examinations'!$A:$I, 6, FALSE)</f>
        <v>No</v>
      </c>
      <c r="H1989" s="22">
        <f>VLOOKUP($A1989,'Medical Examinations'!$A:$L,10, FALSE)</f>
        <v>0</v>
      </c>
      <c r="I1989" s="22" t="str">
        <f>VLOOKUP($A1989, 'Medical Examinations'!$A:$J, 9, FALSE)</f>
        <v>No</v>
      </c>
      <c r="J1989" s="22" t="str">
        <f>VLOOKUP($A1989, 'Medical Examinations'!$A:$P, 11, FALSE)</f>
        <v>OBESITY</v>
      </c>
      <c r="K1989" s="34">
        <v>24054.0</v>
      </c>
      <c r="L1989" s="35">
        <f>VLOOKUP($A1989, 'Hospitalisation Details'!$A:$H, 7, FALSE)</f>
        <v>3292.53</v>
      </c>
      <c r="M1989" s="22" t="str">
        <f>VLOOKUP($A1989, 'Hospitalisation Details'!$A:$L, 12, FALSE)</f>
        <v>tier - 2</v>
      </c>
      <c r="N1989" s="22" t="str">
        <f>VLOOKUP($A1989, 'Hospitalisation Details'!$A:$M, 13, FALSE)</f>
        <v>tier - 2</v>
      </c>
      <c r="O1989" s="22" t="str">
        <f>VLOOKUP($A1989, 'Hospitalisation Details'!$A:$N, 14, FALSE)</f>
        <v>R1012</v>
      </c>
      <c r="P1989" s="36">
        <f>VLOOKUP($A1989, 'Hospitalisation Details'!$A:$O, 15, FALSE)</f>
        <v>26</v>
      </c>
    </row>
    <row r="1990" ht="15.75" customHeight="1">
      <c r="A1990" s="33" t="s">
        <v>3979</v>
      </c>
      <c r="B1990" s="22" t="str">
        <f>VLOOKUP($A1990,'Customer Names'!$A:$D,3, FALSE)</f>
        <v>Schoonover</v>
      </c>
      <c r="C1990" s="22">
        <f>VLOOKUP($A1990,'Medical Examinations'!$A:$D, 2, FALSE)</f>
        <v>33.31</v>
      </c>
      <c r="D1990" s="22">
        <f>VLOOKUP($A1990, 'Medical Examinations'!$A:$D,3, FALSE)</f>
        <v>4.19</v>
      </c>
      <c r="E1990" s="22" t="str">
        <f>VLOOKUP($A1990, 'Medical Examinations'!$A:$D, 4, FALSE)</f>
        <v>No</v>
      </c>
      <c r="F1990" s="22" t="str">
        <f>VLOOKUP($A1990, 'Medical Examinations'!$A:$J, 5, FALSE)</f>
        <v>No</v>
      </c>
      <c r="G1990" s="22" t="str">
        <f>VLOOKUP($A1990, 'Medical Examinations'!$A:$I, 6, FALSE)</f>
        <v>Yes</v>
      </c>
      <c r="H1990" s="22">
        <f>VLOOKUP($A1990,'Medical Examinations'!$A:$L,10, FALSE)</f>
        <v>1</v>
      </c>
      <c r="I1990" s="22" t="str">
        <f>VLOOKUP($A1990, 'Medical Examinations'!$A:$J, 9, FALSE)</f>
        <v>No</v>
      </c>
      <c r="J1990" s="22" t="str">
        <f>VLOOKUP($A1990, 'Medical Examinations'!$A:$P, 11, FALSE)</f>
        <v>OBESITY</v>
      </c>
      <c r="K1990" s="34">
        <v>35773.0</v>
      </c>
      <c r="L1990" s="35">
        <f>VLOOKUP($A1990, 'Hospitalisation Details'!$A:$H, 7, FALSE)</f>
        <v>3280.22</v>
      </c>
      <c r="M1990" s="22" t="str">
        <f>VLOOKUP($A1990, 'Hospitalisation Details'!$A:$L, 12, FALSE)</f>
        <v>tier - 2</v>
      </c>
      <c r="N1990" s="22" t="str">
        <f>VLOOKUP($A1990, 'Hospitalisation Details'!$A:$M, 13, FALSE)</f>
        <v>tier - 3</v>
      </c>
      <c r="O1990" s="22" t="str">
        <f>VLOOKUP($A1990, 'Hospitalisation Details'!$A:$N, 14, FALSE)</f>
        <v>R1011</v>
      </c>
      <c r="P1990" s="36">
        <f>VLOOKUP($A1990, 'Hospitalisation Details'!$A:$O, 15, FALSE)</f>
        <v>19</v>
      </c>
    </row>
    <row r="1991" ht="15.75" customHeight="1">
      <c r="A1991" s="33" t="s">
        <v>3981</v>
      </c>
      <c r="B1991" s="22" t="str">
        <f>VLOOKUP($A1991,'Customer Names'!$A:$D,3, FALSE)</f>
        <v>Hass</v>
      </c>
      <c r="C1991" s="22">
        <f>VLOOKUP($A1991,'Medical Examinations'!$A:$D, 2, FALSE)</f>
        <v>25.745</v>
      </c>
      <c r="D1991" s="22">
        <f>VLOOKUP($A1991, 'Medical Examinations'!$A:$D,3, FALSE)</f>
        <v>4.62</v>
      </c>
      <c r="E1991" s="22" t="str">
        <f>VLOOKUP($A1991, 'Medical Examinations'!$A:$D, 4, FALSE)</f>
        <v>Yes</v>
      </c>
      <c r="F1991" s="22" t="str">
        <f>VLOOKUP($A1991, 'Medical Examinations'!$A:$J, 5, FALSE)</f>
        <v>No</v>
      </c>
      <c r="G1991" s="22" t="str">
        <f>VLOOKUP($A1991, 'Medical Examinations'!$A:$I, 6, FALSE)</f>
        <v>No</v>
      </c>
      <c r="H1991" s="22">
        <f>VLOOKUP($A1991,'Medical Examinations'!$A:$L,10, FALSE)</f>
        <v>0</v>
      </c>
      <c r="I1991" s="22" t="str">
        <f>VLOOKUP($A1991, 'Medical Examinations'!$A:$J, 9, FALSE)</f>
        <v>No</v>
      </c>
      <c r="J1991" s="22" t="str">
        <f>VLOOKUP($A1991, 'Medical Examinations'!$A:$P, 11, FALSE)</f>
        <v>OVERWEIGHT</v>
      </c>
      <c r="K1991" s="34">
        <v>24671.0</v>
      </c>
      <c r="L1991" s="35">
        <f>VLOOKUP($A1991, 'Hospitalisation Details'!$A:$H, 7, FALSE)</f>
        <v>3279.87</v>
      </c>
      <c r="M1991" s="22" t="str">
        <f>VLOOKUP($A1991, 'Hospitalisation Details'!$A:$L, 12, FALSE)</f>
        <v>tier - 2</v>
      </c>
      <c r="N1991" s="22" t="str">
        <f>VLOOKUP($A1991, 'Hospitalisation Details'!$A:$M, 13, FALSE)</f>
        <v>tier - 1</v>
      </c>
      <c r="O1991" s="22" t="str">
        <f>VLOOKUP($A1991, 'Hospitalisation Details'!$A:$N, 14, FALSE)</f>
        <v>R1017</v>
      </c>
      <c r="P1991" s="36">
        <f>VLOOKUP($A1991, 'Hospitalisation Details'!$A:$O, 15, FALSE)</f>
        <v>21</v>
      </c>
    </row>
    <row r="1992" ht="15.75" customHeight="1">
      <c r="A1992" s="33" t="s">
        <v>3983</v>
      </c>
      <c r="B1992" s="22" t="str">
        <f>VLOOKUP($A1992,'Customer Names'!$A:$D,3, FALSE)</f>
        <v>Cadotte</v>
      </c>
      <c r="C1992" s="22">
        <f>VLOOKUP($A1992,'Medical Examinations'!$A:$D, 2, FALSE)</f>
        <v>37.1</v>
      </c>
      <c r="D1992" s="22">
        <f>VLOOKUP($A1992, 'Medical Examinations'!$A:$D,3, FALSE)</f>
        <v>6.24</v>
      </c>
      <c r="E1992" s="22" t="str">
        <f>VLOOKUP($A1992, 'Medical Examinations'!$A:$D, 4, FALSE)</f>
        <v>No</v>
      </c>
      <c r="F1992" s="22" t="str">
        <f>VLOOKUP($A1992, 'Medical Examinations'!$A:$J, 5, FALSE)</f>
        <v>No</v>
      </c>
      <c r="G1992" s="22" t="str">
        <f>VLOOKUP($A1992, 'Medical Examinations'!$A:$I, 6, FALSE)</f>
        <v>No</v>
      </c>
      <c r="H1992" s="22">
        <f>VLOOKUP($A1992,'Medical Examinations'!$A:$L,10, FALSE)</f>
        <v>0</v>
      </c>
      <c r="I1992" s="22" t="str">
        <f>VLOOKUP($A1992, 'Medical Examinations'!$A:$J, 9, FALSE)</f>
        <v>No</v>
      </c>
      <c r="J1992" s="22" t="str">
        <f>VLOOKUP($A1992, 'Medical Examinations'!$A:$P, 11, FALSE)</f>
        <v>OBESITY</v>
      </c>
      <c r="K1992" s="34">
        <v>23298.0</v>
      </c>
      <c r="L1992" s="35">
        <f>VLOOKUP($A1992, 'Hospitalisation Details'!$A:$H, 7, FALSE)</f>
        <v>3277.16</v>
      </c>
      <c r="M1992" s="22" t="str">
        <f>VLOOKUP($A1992, 'Hospitalisation Details'!$A:$L, 12, FALSE)</f>
        <v>tier - 2</v>
      </c>
      <c r="N1992" s="22" t="str">
        <f>VLOOKUP($A1992, 'Hospitalisation Details'!$A:$M, 13, FALSE)</f>
        <v>tier - 3</v>
      </c>
      <c r="O1992" s="22" t="str">
        <f>VLOOKUP($A1992, 'Hospitalisation Details'!$A:$N, 14, FALSE)</f>
        <v>R1011</v>
      </c>
      <c r="P1992" s="36">
        <f>VLOOKUP($A1992, 'Hospitalisation Details'!$A:$O, 15, FALSE)</f>
        <v>28</v>
      </c>
    </row>
    <row r="1993" ht="15.75" customHeight="1">
      <c r="A1993" s="33" t="s">
        <v>3985</v>
      </c>
      <c r="B1993" s="22" t="str">
        <f>VLOOKUP($A1993,'Customer Names'!$A:$D,3, FALSE)</f>
        <v>Cacciapaglia</v>
      </c>
      <c r="C1993" s="22">
        <f>VLOOKUP($A1993,'Medical Examinations'!$A:$D, 2, FALSE)</f>
        <v>35.435</v>
      </c>
      <c r="D1993" s="22">
        <f>VLOOKUP($A1993, 'Medical Examinations'!$A:$D,3, FALSE)</f>
        <v>5.81</v>
      </c>
      <c r="E1993" s="22" t="str">
        <f>VLOOKUP($A1993, 'Medical Examinations'!$A:$D, 4, FALSE)</f>
        <v>No</v>
      </c>
      <c r="F1993" s="22" t="str">
        <f>VLOOKUP($A1993, 'Medical Examinations'!$A:$J, 5, FALSE)</f>
        <v>No</v>
      </c>
      <c r="G1993" s="22" t="str">
        <f>VLOOKUP($A1993, 'Medical Examinations'!$A:$I, 6, FALSE)</f>
        <v>No</v>
      </c>
      <c r="H1993" s="22">
        <f>VLOOKUP($A1993,'Medical Examinations'!$A:$L,10, FALSE)</f>
        <v>0</v>
      </c>
      <c r="I1993" s="22" t="str">
        <f>VLOOKUP($A1993, 'Medical Examinations'!$A:$J, 9, FALSE)</f>
        <v>No</v>
      </c>
      <c r="J1993" s="22" t="str">
        <f>VLOOKUP($A1993, 'Medical Examinations'!$A:$P, 11, FALSE)</f>
        <v>OBESITY</v>
      </c>
      <c r="K1993" s="34">
        <v>22983.0</v>
      </c>
      <c r="L1993" s="35">
        <f>VLOOKUP($A1993, 'Hospitalisation Details'!$A:$H, 7, FALSE)</f>
        <v>3268.85</v>
      </c>
      <c r="M1993" s="22" t="str">
        <f>VLOOKUP($A1993, 'Hospitalisation Details'!$A:$L, 12, FALSE)</f>
        <v>tier - 3</v>
      </c>
      <c r="N1993" s="22" t="str">
        <f>VLOOKUP($A1993, 'Hospitalisation Details'!$A:$M, 13, FALSE)</f>
        <v>tier - 1</v>
      </c>
      <c r="O1993" s="22" t="str">
        <f>VLOOKUP($A1993, 'Hospitalisation Details'!$A:$N, 14, FALSE)</f>
        <v>R1016</v>
      </c>
      <c r="P1993" s="36">
        <f>VLOOKUP($A1993, 'Hospitalisation Details'!$A:$O, 15, FALSE)</f>
        <v>28</v>
      </c>
    </row>
    <row r="1994" ht="15.75" customHeight="1">
      <c r="A1994" s="33" t="s">
        <v>3987</v>
      </c>
      <c r="B1994" s="22" t="str">
        <f>VLOOKUP($A1994,'Customer Names'!$A:$D,3, FALSE)</f>
        <v>Mininger</v>
      </c>
      <c r="C1994" s="22">
        <f>VLOOKUP($A1994,'Medical Examinations'!$A:$D, 2, FALSE)</f>
        <v>20.4</v>
      </c>
      <c r="D1994" s="22">
        <f>VLOOKUP($A1994, 'Medical Examinations'!$A:$D,3, FALSE)</f>
        <v>4.83</v>
      </c>
      <c r="E1994" s="22" t="str">
        <f>VLOOKUP($A1994, 'Medical Examinations'!$A:$D, 4, FALSE)</f>
        <v>No</v>
      </c>
      <c r="F1994" s="22" t="str">
        <f>VLOOKUP($A1994, 'Medical Examinations'!$A:$J, 5, FALSE)</f>
        <v>No</v>
      </c>
      <c r="G1994" s="22" t="str">
        <f>VLOOKUP($A1994, 'Medical Examinations'!$A:$I, 6, FALSE)</f>
        <v>No</v>
      </c>
      <c r="H1994" s="22">
        <f>VLOOKUP($A1994,'Medical Examinations'!$A:$L,10, FALSE)</f>
        <v>0</v>
      </c>
      <c r="I1994" s="22" t="str">
        <f>VLOOKUP($A1994, 'Medical Examinations'!$A:$J, 9, FALSE)</f>
        <v>No</v>
      </c>
      <c r="J1994" s="22" t="str">
        <f>VLOOKUP($A1994, 'Medical Examinations'!$A:$P, 11, FALSE)</f>
        <v>NORMAL WEIGHT</v>
      </c>
      <c r="K1994" s="34">
        <v>36050.0</v>
      </c>
      <c r="L1994" s="35">
        <f>VLOOKUP($A1994, 'Hospitalisation Details'!$A:$H, 7, FALSE)</f>
        <v>3260.2</v>
      </c>
      <c r="M1994" s="22" t="str">
        <f>VLOOKUP($A1994, 'Hospitalisation Details'!$A:$L, 12, FALSE)</f>
        <v>tier - 3</v>
      </c>
      <c r="N1994" s="22" t="str">
        <f>VLOOKUP($A1994, 'Hospitalisation Details'!$A:$M, 13, FALSE)</f>
        <v>tier - 2</v>
      </c>
      <c r="O1994" s="22" t="str">
        <f>VLOOKUP($A1994, 'Hospitalisation Details'!$A:$N, 14, FALSE)</f>
        <v>R1011</v>
      </c>
      <c r="P1994" s="36">
        <f>VLOOKUP($A1994, 'Hospitalisation Details'!$A:$O, 15, FALSE)</f>
        <v>31</v>
      </c>
    </row>
    <row r="1995" ht="15.75" customHeight="1">
      <c r="A1995" s="33" t="s">
        <v>3989</v>
      </c>
      <c r="B1995" s="22" t="str">
        <f>VLOOKUP($A1995,'Customer Names'!$A:$D,3, FALSE)</f>
        <v>Mayo</v>
      </c>
      <c r="C1995" s="22">
        <f>VLOOKUP($A1995,'Medical Examinations'!$A:$D, 2, FALSE)</f>
        <v>42.13</v>
      </c>
      <c r="D1995" s="22">
        <f>VLOOKUP($A1995, 'Medical Examinations'!$A:$D,3, FALSE)</f>
        <v>5.72</v>
      </c>
      <c r="E1995" s="22" t="str">
        <f>VLOOKUP($A1995, 'Medical Examinations'!$A:$D, 4, FALSE)</f>
        <v>Yes</v>
      </c>
      <c r="F1995" s="22" t="str">
        <f>VLOOKUP($A1995, 'Medical Examinations'!$A:$J, 5, FALSE)</f>
        <v>No</v>
      </c>
      <c r="G1995" s="22" t="str">
        <f>VLOOKUP($A1995, 'Medical Examinations'!$A:$I, 6, FALSE)</f>
        <v>Yes</v>
      </c>
      <c r="H1995" s="22">
        <f>VLOOKUP($A1995,'Medical Examinations'!$A:$L,10, FALSE)</f>
        <v>1</v>
      </c>
      <c r="I1995" s="22" t="str">
        <f>VLOOKUP($A1995, 'Medical Examinations'!$A:$J, 9, FALSE)</f>
        <v>No</v>
      </c>
      <c r="J1995" s="22" t="str">
        <f>VLOOKUP($A1995, 'Medical Examinations'!$A:$P, 11, FALSE)</f>
        <v>OBESITY</v>
      </c>
      <c r="K1995" s="34">
        <v>32703.0</v>
      </c>
      <c r="L1995" s="35">
        <f>VLOOKUP($A1995, 'Hospitalisation Details'!$A:$H, 7, FALSE)</f>
        <v>3238.44</v>
      </c>
      <c r="M1995" s="22" t="str">
        <f>VLOOKUP($A1995, 'Hospitalisation Details'!$A:$L, 12, FALSE)</f>
        <v>tier - 2</v>
      </c>
      <c r="N1995" s="22" t="str">
        <f>VLOOKUP($A1995, 'Hospitalisation Details'!$A:$M, 13, FALSE)</f>
        <v>tier - 3</v>
      </c>
      <c r="O1995" s="22" t="str">
        <f>VLOOKUP($A1995, 'Hospitalisation Details'!$A:$N, 14, FALSE)</f>
        <v>R1013</v>
      </c>
      <c r="P1995" s="36">
        <f>VLOOKUP($A1995, 'Hospitalisation Details'!$A:$O, 15, FALSE)</f>
        <v>25</v>
      </c>
    </row>
    <row r="1996" ht="15.75" customHeight="1">
      <c r="A1996" s="33" t="s">
        <v>3991</v>
      </c>
      <c r="B1996" s="22" t="str">
        <f>VLOOKUP($A1996,'Customer Names'!$A:$D,3, FALSE)</f>
        <v>Zicko</v>
      </c>
      <c r="C1996" s="22">
        <f>VLOOKUP($A1996,'Medical Examinations'!$A:$D, 2, FALSE)</f>
        <v>33.99</v>
      </c>
      <c r="D1996" s="22">
        <f>VLOOKUP($A1996, 'Medical Examinations'!$A:$D,3, FALSE)</f>
        <v>4.83</v>
      </c>
      <c r="E1996" s="22" t="str">
        <f>VLOOKUP($A1996, 'Medical Examinations'!$A:$D, 4, FALSE)</f>
        <v>Yes</v>
      </c>
      <c r="F1996" s="22" t="str">
        <f>VLOOKUP($A1996, 'Medical Examinations'!$A:$J, 5, FALSE)</f>
        <v>No</v>
      </c>
      <c r="G1996" s="22" t="str">
        <f>VLOOKUP($A1996, 'Medical Examinations'!$A:$I, 6, FALSE)</f>
        <v>Yes</v>
      </c>
      <c r="H1996" s="22">
        <f>VLOOKUP($A1996,'Medical Examinations'!$A:$L,10, FALSE)</f>
        <v>1</v>
      </c>
      <c r="I1996" s="22" t="str">
        <f>VLOOKUP($A1996, 'Medical Examinations'!$A:$J, 9, FALSE)</f>
        <v>No</v>
      </c>
      <c r="J1996" s="22" t="str">
        <f>VLOOKUP($A1996, 'Medical Examinations'!$A:$P, 11, FALSE)</f>
        <v>OBESITY</v>
      </c>
      <c r="K1996" s="34">
        <v>32711.0</v>
      </c>
      <c r="L1996" s="35">
        <f>VLOOKUP($A1996, 'Hospitalisation Details'!$A:$H, 7, FALSE)</f>
        <v>3227.12</v>
      </c>
      <c r="M1996" s="22" t="str">
        <f>VLOOKUP($A1996, 'Hospitalisation Details'!$A:$L, 12, FALSE)</f>
        <v>tier - 2</v>
      </c>
      <c r="N1996" s="22" t="str">
        <f>VLOOKUP($A1996, 'Hospitalisation Details'!$A:$M, 13, FALSE)</f>
        <v>tier - 3</v>
      </c>
      <c r="O1996" s="22" t="str">
        <f>VLOOKUP($A1996, 'Hospitalisation Details'!$A:$N, 14, FALSE)</f>
        <v>R1013</v>
      </c>
      <c r="P1996" s="36">
        <f>VLOOKUP($A1996, 'Hospitalisation Details'!$A:$O, 15, FALSE)</f>
        <v>25</v>
      </c>
    </row>
    <row r="1997" ht="15.75" customHeight="1">
      <c r="A1997" s="33" t="s">
        <v>3993</v>
      </c>
      <c r="B1997" s="22" t="str">
        <f>VLOOKUP($A1997,'Customer Names'!$A:$D,3, FALSE)</f>
        <v>Graham</v>
      </c>
      <c r="C1997" s="22">
        <f>VLOOKUP($A1997,'Medical Examinations'!$A:$D, 2, FALSE)</f>
        <v>28.595</v>
      </c>
      <c r="D1997" s="22">
        <f>VLOOKUP($A1997, 'Medical Examinations'!$A:$D,3, FALSE)</f>
        <v>4.14</v>
      </c>
      <c r="E1997" s="22" t="str">
        <f>VLOOKUP($A1997, 'Medical Examinations'!$A:$D, 4, FALSE)</f>
        <v>Yes</v>
      </c>
      <c r="F1997" s="22" t="str">
        <f>VLOOKUP($A1997, 'Medical Examinations'!$A:$J, 5, FALSE)</f>
        <v>No</v>
      </c>
      <c r="G1997" s="22" t="str">
        <f>VLOOKUP($A1997, 'Medical Examinations'!$A:$I, 6, FALSE)</f>
        <v>Yes</v>
      </c>
      <c r="H1997" s="22">
        <f>VLOOKUP($A1997,'Medical Examinations'!$A:$L,10, FALSE)</f>
        <v>1</v>
      </c>
      <c r="I1997" s="22" t="str">
        <f>VLOOKUP($A1997, 'Medical Examinations'!$A:$J, 9, FALSE)</f>
        <v>No</v>
      </c>
      <c r="J1997" s="22" t="str">
        <f>VLOOKUP($A1997, 'Medical Examinations'!$A:$P, 11, FALSE)</f>
        <v>OVERWEIGHT</v>
      </c>
      <c r="K1997" s="34">
        <v>29148.0</v>
      </c>
      <c r="L1997" s="35">
        <f>VLOOKUP($A1997, 'Hospitalisation Details'!$A:$H, 7, FALSE)</f>
        <v>3213.62</v>
      </c>
      <c r="M1997" s="22" t="str">
        <f>VLOOKUP($A1997, 'Hospitalisation Details'!$A:$L, 12, FALSE)</f>
        <v>tier - 2</v>
      </c>
      <c r="N1997" s="22" t="str">
        <f>VLOOKUP($A1997, 'Hospitalisation Details'!$A:$M, 13, FALSE)</f>
        <v>tier - 2</v>
      </c>
      <c r="O1997" s="22" t="str">
        <f>VLOOKUP($A1997, 'Hospitalisation Details'!$A:$N, 14, FALSE)</f>
        <v>R1024</v>
      </c>
      <c r="P1997" s="36">
        <f>VLOOKUP($A1997, 'Hospitalisation Details'!$A:$O, 15, FALSE)</f>
        <v>25</v>
      </c>
    </row>
    <row r="1998" ht="15.75" customHeight="1">
      <c r="A1998" s="33" t="s">
        <v>3995</v>
      </c>
      <c r="B1998" s="22" t="str">
        <f>VLOOKUP($A1998,'Customer Names'!$A:$D,3, FALSE)</f>
        <v>Boland</v>
      </c>
      <c r="C1998" s="22">
        <f>VLOOKUP($A1998,'Medical Examinations'!$A:$D, 2, FALSE)</f>
        <v>20.8</v>
      </c>
      <c r="D1998" s="22">
        <f>VLOOKUP($A1998, 'Medical Examinations'!$A:$D,3, FALSE)</f>
        <v>4.07</v>
      </c>
      <c r="E1998" s="22" t="str">
        <f>VLOOKUP($A1998, 'Medical Examinations'!$A:$D, 4, FALSE)</f>
        <v>Yes</v>
      </c>
      <c r="F1998" s="22" t="str">
        <f>VLOOKUP($A1998, 'Medical Examinations'!$A:$J, 5, FALSE)</f>
        <v>No</v>
      </c>
      <c r="G1998" s="22" t="str">
        <f>VLOOKUP($A1998, 'Medical Examinations'!$A:$I, 6, FALSE)</f>
        <v>Yes</v>
      </c>
      <c r="H1998" s="22">
        <f>VLOOKUP($A1998,'Medical Examinations'!$A:$L,10, FALSE)</f>
        <v>1</v>
      </c>
      <c r="I1998" s="22" t="str">
        <f>VLOOKUP($A1998, 'Medical Examinations'!$A:$J, 9, FALSE)</f>
        <v>No</v>
      </c>
      <c r="J1998" s="22" t="str">
        <f>VLOOKUP($A1998, 'Medical Examinations'!$A:$P, 11, FALSE)</f>
        <v>NORMAL WEIGHT</v>
      </c>
      <c r="K1998" s="34">
        <v>21874.0</v>
      </c>
      <c r="L1998" s="35">
        <f>VLOOKUP($A1998, 'Hospitalisation Details'!$A:$H, 7, FALSE)</f>
        <v>3208.79</v>
      </c>
      <c r="M1998" s="22" t="str">
        <f>VLOOKUP($A1998, 'Hospitalisation Details'!$A:$L, 12, FALSE)</f>
        <v>tier - 2</v>
      </c>
      <c r="N1998" s="22" t="str">
        <f>VLOOKUP($A1998, 'Hospitalisation Details'!$A:$M, 13, FALSE)</f>
        <v>tier - 3</v>
      </c>
      <c r="O1998" s="22" t="str">
        <f>VLOOKUP($A1998, 'Hospitalisation Details'!$A:$N, 14, FALSE)</f>
        <v>R1011</v>
      </c>
      <c r="P1998" s="36">
        <f>VLOOKUP($A1998, 'Hospitalisation Details'!$A:$O, 15, FALSE)</f>
        <v>25</v>
      </c>
    </row>
    <row r="1999" ht="15.75" customHeight="1">
      <c r="A1999" s="33" t="s">
        <v>3997</v>
      </c>
      <c r="B1999" s="22" t="str">
        <f>VLOOKUP($A1999,'Customer Names'!$A:$D,3, FALSE)</f>
        <v>Cupp</v>
      </c>
      <c r="C1999" s="22">
        <f>VLOOKUP($A1999,'Medical Examinations'!$A:$D, 2, FALSE)</f>
        <v>23.465</v>
      </c>
      <c r="D1999" s="22">
        <f>VLOOKUP($A1999, 'Medical Examinations'!$A:$D,3, FALSE)</f>
        <v>6.26</v>
      </c>
      <c r="E1999" s="22" t="str">
        <f>VLOOKUP($A1999, 'Medical Examinations'!$A:$D, 4, FALSE)</f>
        <v>Yes</v>
      </c>
      <c r="F1999" s="22" t="str">
        <f>VLOOKUP($A1999, 'Medical Examinations'!$A:$J, 5, FALSE)</f>
        <v>No</v>
      </c>
      <c r="G1999" s="22" t="str">
        <f>VLOOKUP($A1999, 'Medical Examinations'!$A:$I, 6, FALSE)</f>
        <v>Yes</v>
      </c>
      <c r="H1999" s="22">
        <f>VLOOKUP($A1999,'Medical Examinations'!$A:$L,10, FALSE)</f>
        <v>1</v>
      </c>
      <c r="I1999" s="22" t="str">
        <f>VLOOKUP($A1999, 'Medical Examinations'!$A:$J, 9, FALSE)</f>
        <v>No</v>
      </c>
      <c r="J1999" s="22" t="str">
        <f>VLOOKUP($A1999, 'Medical Examinations'!$A:$P, 11, FALSE)</f>
        <v>NORMAL WEIGHT</v>
      </c>
      <c r="K1999" s="34">
        <v>28091.0</v>
      </c>
      <c r="L1999" s="35">
        <f>VLOOKUP($A1999, 'Hospitalisation Details'!$A:$H, 7, FALSE)</f>
        <v>3206.49</v>
      </c>
      <c r="M1999" s="22" t="str">
        <f>VLOOKUP($A1999, 'Hospitalisation Details'!$A:$L, 12, FALSE)</f>
        <v>tier - 2</v>
      </c>
      <c r="N1999" s="22" t="str">
        <f>VLOOKUP($A1999, 'Hospitalisation Details'!$A:$M, 13, FALSE)</f>
        <v>tier - 3</v>
      </c>
      <c r="O1999" s="22" t="str">
        <f>VLOOKUP($A1999, 'Hospitalisation Details'!$A:$N, 14, FALSE)</f>
        <v>R1024</v>
      </c>
      <c r="P1999" s="36">
        <f>VLOOKUP($A1999, 'Hospitalisation Details'!$A:$O, 15, FALSE)</f>
        <v>25</v>
      </c>
    </row>
    <row r="2000" ht="15.75" customHeight="1">
      <c r="A2000" s="33" t="s">
        <v>3999</v>
      </c>
      <c r="B2000" s="22" t="str">
        <f>VLOOKUP($A2000,'Customer Names'!$A:$D,3, FALSE)</f>
        <v>Shaw</v>
      </c>
      <c r="C2000" s="22">
        <f>VLOOKUP($A2000,'Medical Examinations'!$A:$D, 2, FALSE)</f>
        <v>40.185</v>
      </c>
      <c r="D2000" s="22">
        <f>VLOOKUP($A2000, 'Medical Examinations'!$A:$D,3, FALSE)</f>
        <v>5.88</v>
      </c>
      <c r="E2000" s="22" t="str">
        <f>VLOOKUP($A2000, 'Medical Examinations'!$A:$D, 4, FALSE)</f>
        <v>Yes</v>
      </c>
      <c r="F2000" s="22" t="str">
        <f>VLOOKUP($A2000, 'Medical Examinations'!$A:$J, 5, FALSE)</f>
        <v>No</v>
      </c>
      <c r="G2000" s="22" t="str">
        <f>VLOOKUP($A2000, 'Medical Examinations'!$A:$I, 6, FALSE)</f>
        <v>No</v>
      </c>
      <c r="H2000" s="22">
        <f>VLOOKUP($A2000,'Medical Examinations'!$A:$L,10, FALSE)</f>
        <v>0</v>
      </c>
      <c r="I2000" s="22" t="str">
        <f>VLOOKUP($A2000, 'Medical Examinations'!$A:$J, 9, FALSE)</f>
        <v>No</v>
      </c>
      <c r="J2000" s="22" t="str">
        <f>VLOOKUP($A2000, 'Medical Examinations'!$A:$P, 11, FALSE)</f>
        <v>OBESITY</v>
      </c>
      <c r="K2000" s="34">
        <v>35379.0</v>
      </c>
      <c r="L2000" s="35">
        <f>VLOOKUP($A2000, 'Hospitalisation Details'!$A:$H, 7, FALSE)</f>
        <v>3201.25</v>
      </c>
      <c r="M2000" s="22" t="str">
        <f>VLOOKUP($A2000, 'Hospitalisation Details'!$A:$L, 12, FALSE)</f>
        <v>tier - 2</v>
      </c>
      <c r="N2000" s="22" t="str">
        <f>VLOOKUP($A2000, 'Hospitalisation Details'!$A:$M, 13, FALSE)</f>
        <v>tier - 3</v>
      </c>
      <c r="O2000" s="22" t="str">
        <f>VLOOKUP($A2000, 'Hospitalisation Details'!$A:$N, 14, FALSE)</f>
        <v>R1012</v>
      </c>
      <c r="P2000" s="36">
        <f>VLOOKUP($A2000, 'Hospitalisation Details'!$A:$O, 15, FALSE)</f>
        <v>26</v>
      </c>
    </row>
    <row r="2001" ht="15.75" customHeight="1">
      <c r="A2001" s="33" t="s">
        <v>4001</v>
      </c>
      <c r="B2001" s="22" t="str">
        <f>VLOOKUP($A2001,'Customer Names'!$A:$D,3, FALSE)</f>
        <v>Klassen</v>
      </c>
      <c r="C2001" s="22">
        <f>VLOOKUP($A2001,'Medical Examinations'!$A:$D, 2, FALSE)</f>
        <v>21.89</v>
      </c>
      <c r="D2001" s="22">
        <f>VLOOKUP($A2001, 'Medical Examinations'!$A:$D,3, FALSE)</f>
        <v>5.72</v>
      </c>
      <c r="E2001" s="22" t="str">
        <f>VLOOKUP($A2001, 'Medical Examinations'!$A:$D, 4, FALSE)</f>
        <v>Yes</v>
      </c>
      <c r="F2001" s="22" t="str">
        <f>VLOOKUP($A2001, 'Medical Examinations'!$A:$J, 5, FALSE)</f>
        <v>No</v>
      </c>
      <c r="G2001" s="22" t="str">
        <f>VLOOKUP($A2001, 'Medical Examinations'!$A:$I, 6, FALSE)</f>
        <v>No</v>
      </c>
      <c r="H2001" s="22">
        <f>VLOOKUP($A2001,'Medical Examinations'!$A:$L,10, FALSE)</f>
        <v>0</v>
      </c>
      <c r="I2001" s="22" t="str">
        <f>VLOOKUP($A2001, 'Medical Examinations'!$A:$J, 9, FALSE)</f>
        <v>No</v>
      </c>
      <c r="J2001" s="22" t="str">
        <f>VLOOKUP($A2001, 'Medical Examinations'!$A:$P, 11, FALSE)</f>
        <v>NORMAL WEIGHT</v>
      </c>
      <c r="K2001" s="34">
        <v>28092.0</v>
      </c>
      <c r="L2001" s="35">
        <f>VLOOKUP($A2001, 'Hospitalisation Details'!$A:$H, 7, FALSE)</f>
        <v>3180.51</v>
      </c>
      <c r="M2001" s="22" t="str">
        <f>VLOOKUP($A2001, 'Hospitalisation Details'!$A:$L, 12, FALSE)</f>
        <v>tier - 2</v>
      </c>
      <c r="N2001" s="22" t="str">
        <f>VLOOKUP($A2001, 'Hospitalisation Details'!$A:$M, 13, FALSE)</f>
        <v>tier - 2</v>
      </c>
      <c r="O2001" s="22" t="str">
        <f>VLOOKUP($A2001, 'Hospitalisation Details'!$A:$N, 14, FALSE)</f>
        <v>R1013</v>
      </c>
      <c r="P2001" s="36">
        <f>VLOOKUP($A2001, 'Hospitalisation Details'!$A:$O, 15, FALSE)</f>
        <v>21</v>
      </c>
    </row>
    <row r="2002" ht="15.75" customHeight="1">
      <c r="A2002" s="33" t="s">
        <v>4003</v>
      </c>
      <c r="B2002" s="22" t="str">
        <f>VLOOKUP($A2002,'Customer Names'!$A:$D,3, FALSE)</f>
        <v>Musal</v>
      </c>
      <c r="C2002" s="22">
        <f>VLOOKUP($A2002,'Medical Examinations'!$A:$D, 2, FALSE)</f>
        <v>29.34</v>
      </c>
      <c r="D2002" s="22">
        <f>VLOOKUP($A2002, 'Medical Examinations'!$A:$D,3, FALSE)</f>
        <v>6.09</v>
      </c>
      <c r="E2002" s="22" t="str">
        <f>VLOOKUP($A2002, 'Medical Examinations'!$A:$D, 4, FALSE)</f>
        <v>Yes</v>
      </c>
      <c r="F2002" s="22" t="str">
        <f>VLOOKUP($A2002, 'Medical Examinations'!$A:$J, 5, FALSE)</f>
        <v>Yes</v>
      </c>
      <c r="G2002" s="22" t="str">
        <f>VLOOKUP($A2002, 'Medical Examinations'!$A:$I, 6, FALSE)</f>
        <v>No</v>
      </c>
      <c r="H2002" s="22">
        <f>VLOOKUP($A2002,'Medical Examinations'!$A:$L,10, FALSE)</f>
        <v>2</v>
      </c>
      <c r="I2002" s="22" t="str">
        <f>VLOOKUP($A2002, 'Medical Examinations'!$A:$J, 9, FALSE)</f>
        <v>No</v>
      </c>
      <c r="J2002" s="22" t="str">
        <f>VLOOKUP($A2002, 'Medical Examinations'!$A:$P, 11, FALSE)</f>
        <v>OVERWEIGHT</v>
      </c>
      <c r="K2002" s="34">
        <v>21765.0</v>
      </c>
      <c r="L2002" s="35">
        <f>VLOOKUP($A2002, 'Hospitalisation Details'!$A:$H, 7, FALSE)</f>
        <v>3179.96</v>
      </c>
      <c r="M2002" s="22" t="str">
        <f>VLOOKUP($A2002, 'Hospitalisation Details'!$A:$L, 12, FALSE)</f>
        <v>tier - 2</v>
      </c>
      <c r="N2002" s="22" t="str">
        <f>VLOOKUP($A2002, 'Hospitalisation Details'!$A:$M, 13, FALSE)</f>
        <v>tier - 2</v>
      </c>
      <c r="O2002" s="22" t="str">
        <f>VLOOKUP($A2002, 'Hospitalisation Details'!$A:$N, 14, FALSE)</f>
        <v>R1012</v>
      </c>
      <c r="P2002" s="36">
        <f>VLOOKUP($A2002, 'Hospitalisation Details'!$A:$O, 15, FALSE)</f>
        <v>22</v>
      </c>
    </row>
    <row r="2003" ht="15.75" customHeight="1">
      <c r="A2003" s="33" t="s">
        <v>4005</v>
      </c>
      <c r="B2003" s="22" t="str">
        <f>VLOOKUP($A2003,'Customer Names'!$A:$D,3, FALSE)</f>
        <v>Kitayama</v>
      </c>
      <c r="C2003" s="22">
        <f>VLOOKUP($A2003,'Medical Examinations'!$A:$D, 2, FALSE)</f>
        <v>22.61</v>
      </c>
      <c r="D2003" s="22">
        <f>VLOOKUP($A2003, 'Medical Examinations'!$A:$D,3, FALSE)</f>
        <v>4.25</v>
      </c>
      <c r="E2003" s="22" t="str">
        <f>VLOOKUP($A2003, 'Medical Examinations'!$A:$D, 4, FALSE)</f>
        <v>Yes</v>
      </c>
      <c r="F2003" s="22" t="str">
        <f>VLOOKUP($A2003, 'Medical Examinations'!$A:$J, 5, FALSE)</f>
        <v>No</v>
      </c>
      <c r="G2003" s="22" t="str">
        <f>VLOOKUP($A2003, 'Medical Examinations'!$A:$I, 6, FALSE)</f>
        <v>No</v>
      </c>
      <c r="H2003" s="22">
        <f>VLOOKUP($A2003,'Medical Examinations'!$A:$L,10, FALSE)</f>
        <v>0</v>
      </c>
      <c r="I2003" s="22" t="str">
        <f>VLOOKUP($A2003, 'Medical Examinations'!$A:$J, 9, FALSE)</f>
        <v>No</v>
      </c>
      <c r="J2003" s="22" t="str">
        <f>VLOOKUP($A2003, 'Medical Examinations'!$A:$P, 11, FALSE)</f>
        <v>NORMAL WEIGHT</v>
      </c>
      <c r="K2003" s="34">
        <v>21730.0</v>
      </c>
      <c r="L2003" s="35">
        <f>VLOOKUP($A2003, 'Hospitalisation Details'!$A:$H, 7, FALSE)</f>
        <v>3176.82</v>
      </c>
      <c r="M2003" s="22" t="str">
        <f>VLOOKUP($A2003, 'Hospitalisation Details'!$A:$L, 12, FALSE)</f>
        <v>tier - 2</v>
      </c>
      <c r="N2003" s="22" t="str">
        <f>VLOOKUP($A2003, 'Hospitalisation Details'!$A:$M, 13, FALSE)</f>
        <v>tier - 1</v>
      </c>
      <c r="O2003" s="22" t="str">
        <f>VLOOKUP($A2003, 'Hospitalisation Details'!$A:$N, 14, FALSE)</f>
        <v>R1012</v>
      </c>
      <c r="P2003" s="36">
        <f>VLOOKUP($A2003, 'Hospitalisation Details'!$A:$O, 15, FALSE)</f>
        <v>26</v>
      </c>
    </row>
    <row r="2004" ht="15.75" customHeight="1">
      <c r="A2004" s="33" t="s">
        <v>4007</v>
      </c>
      <c r="B2004" s="22" t="str">
        <f>VLOOKUP($A2004,'Customer Names'!$A:$D,3, FALSE)</f>
        <v>Altman</v>
      </c>
      <c r="C2004" s="22">
        <f>VLOOKUP($A2004,'Medical Examinations'!$A:$D, 2, FALSE)</f>
        <v>22.23</v>
      </c>
      <c r="D2004" s="22">
        <f>VLOOKUP($A2004, 'Medical Examinations'!$A:$D,3, FALSE)</f>
        <v>6.09</v>
      </c>
      <c r="E2004" s="22" t="str">
        <f>VLOOKUP($A2004, 'Medical Examinations'!$A:$D, 4, FALSE)</f>
        <v>Yes</v>
      </c>
      <c r="F2004" s="22" t="str">
        <f>VLOOKUP($A2004, 'Medical Examinations'!$A:$J, 5, FALSE)</f>
        <v>No</v>
      </c>
      <c r="G2004" s="22" t="str">
        <f>VLOOKUP($A2004, 'Medical Examinations'!$A:$I, 6, FALSE)</f>
        <v>No</v>
      </c>
      <c r="H2004" s="22">
        <f>VLOOKUP($A2004,'Medical Examinations'!$A:$L,10, FALSE)</f>
        <v>0</v>
      </c>
      <c r="I2004" s="22" t="str">
        <f>VLOOKUP($A2004, 'Medical Examinations'!$A:$J, 9, FALSE)</f>
        <v>No</v>
      </c>
      <c r="J2004" s="22" t="str">
        <f>VLOOKUP($A2004, 'Medical Examinations'!$A:$P, 11, FALSE)</f>
        <v>NORMAL WEIGHT</v>
      </c>
      <c r="K2004" s="34">
        <v>24780.0</v>
      </c>
      <c r="L2004" s="35">
        <f>VLOOKUP($A2004, 'Hospitalisation Details'!$A:$H, 7, FALSE)</f>
        <v>3176.29</v>
      </c>
      <c r="M2004" s="22" t="str">
        <f>VLOOKUP($A2004, 'Hospitalisation Details'!$A:$L, 12, FALSE)</f>
        <v>tier - 2</v>
      </c>
      <c r="N2004" s="22" t="str">
        <f>VLOOKUP($A2004, 'Hospitalisation Details'!$A:$M, 13, FALSE)</f>
        <v>tier - 2</v>
      </c>
      <c r="O2004" s="22" t="str">
        <f>VLOOKUP($A2004, 'Hospitalisation Details'!$A:$N, 14, FALSE)</f>
        <v>R1012</v>
      </c>
      <c r="P2004" s="36">
        <f>VLOOKUP($A2004, 'Hospitalisation Details'!$A:$O, 15, FALSE)</f>
        <v>26</v>
      </c>
    </row>
    <row r="2005" ht="15.75" customHeight="1">
      <c r="A2005" s="33" t="s">
        <v>4009</v>
      </c>
      <c r="B2005" s="22" t="str">
        <f>VLOOKUP($A2005,'Customer Names'!$A:$D,3, FALSE)</f>
        <v>Demchko</v>
      </c>
      <c r="C2005" s="22">
        <f>VLOOKUP($A2005,'Medical Examinations'!$A:$D, 2, FALSE)</f>
        <v>33.4</v>
      </c>
      <c r="D2005" s="22">
        <f>VLOOKUP($A2005, 'Medical Examinations'!$A:$D,3, FALSE)</f>
        <v>5.51</v>
      </c>
      <c r="E2005" s="22" t="str">
        <f>VLOOKUP($A2005, 'Medical Examinations'!$A:$D, 4, FALSE)</f>
        <v>No</v>
      </c>
      <c r="F2005" s="22" t="str">
        <f>VLOOKUP($A2005, 'Medical Examinations'!$A:$J, 5, FALSE)</f>
        <v>No</v>
      </c>
      <c r="G2005" s="22" t="str">
        <f>VLOOKUP($A2005, 'Medical Examinations'!$A:$I, 6, FALSE)</f>
        <v>No</v>
      </c>
      <c r="H2005" s="22">
        <f>VLOOKUP($A2005,'Medical Examinations'!$A:$L,10, FALSE)</f>
        <v>0</v>
      </c>
      <c r="I2005" s="22" t="str">
        <f>VLOOKUP($A2005, 'Medical Examinations'!$A:$J, 9, FALSE)</f>
        <v>No</v>
      </c>
      <c r="J2005" s="22" t="str">
        <f>VLOOKUP($A2005, 'Medical Examinations'!$A:$P, 11, FALSE)</f>
        <v>OBESITY</v>
      </c>
      <c r="K2005" s="34">
        <v>24699.0</v>
      </c>
      <c r="L2005" s="35">
        <f>VLOOKUP($A2005, 'Hospitalisation Details'!$A:$H, 7, FALSE)</f>
        <v>3172.02</v>
      </c>
      <c r="M2005" s="22" t="str">
        <f>VLOOKUP($A2005, 'Hospitalisation Details'!$A:$L, 12, FALSE)</f>
        <v>tier - 2</v>
      </c>
      <c r="N2005" s="22" t="str">
        <f>VLOOKUP($A2005, 'Hospitalisation Details'!$A:$M, 13, FALSE)</f>
        <v>tier - 1</v>
      </c>
      <c r="O2005" s="22" t="str">
        <f>VLOOKUP($A2005, 'Hospitalisation Details'!$A:$N, 14, FALSE)</f>
        <v>R1011</v>
      </c>
      <c r="P2005" s="36">
        <f>VLOOKUP($A2005, 'Hospitalisation Details'!$A:$O, 15, FALSE)</f>
        <v>28</v>
      </c>
    </row>
    <row r="2006" ht="15.75" customHeight="1">
      <c r="A2006" s="33" t="s">
        <v>4011</v>
      </c>
      <c r="B2006" s="22" t="str">
        <f>VLOOKUP($A2006,'Customer Names'!$A:$D,3, FALSE)</f>
        <v>Wild</v>
      </c>
      <c r="C2006" s="22">
        <f>VLOOKUP($A2006,'Medical Examinations'!$A:$D, 2, FALSE)</f>
        <v>33.11</v>
      </c>
      <c r="D2006" s="22">
        <f>VLOOKUP($A2006, 'Medical Examinations'!$A:$D,3, FALSE)</f>
        <v>5.63</v>
      </c>
      <c r="E2006" s="22" t="str">
        <f>VLOOKUP($A2006, 'Medical Examinations'!$A:$D, 4, FALSE)</f>
        <v>No</v>
      </c>
      <c r="F2006" s="22" t="str">
        <f>VLOOKUP($A2006, 'Medical Examinations'!$A:$J, 5, FALSE)</f>
        <v>No</v>
      </c>
      <c r="G2006" s="22" t="str">
        <f>VLOOKUP($A2006, 'Medical Examinations'!$A:$I, 6, FALSE)</f>
        <v>No</v>
      </c>
      <c r="H2006" s="22">
        <f>VLOOKUP($A2006,'Medical Examinations'!$A:$L,10, FALSE)</f>
        <v>0</v>
      </c>
      <c r="I2006" s="22" t="str">
        <f>VLOOKUP($A2006, 'Medical Examinations'!$A:$J, 9, FALSE)</f>
        <v>No</v>
      </c>
      <c r="J2006" s="22" t="str">
        <f>VLOOKUP($A2006, 'Medical Examinations'!$A:$P, 11, FALSE)</f>
        <v>OBESITY</v>
      </c>
      <c r="K2006" s="34">
        <v>36382.0</v>
      </c>
      <c r="L2006" s="35">
        <f>VLOOKUP($A2006, 'Hospitalisation Details'!$A:$H, 7, FALSE)</f>
        <v>3171.61</v>
      </c>
      <c r="M2006" s="22" t="str">
        <f>VLOOKUP($A2006, 'Hospitalisation Details'!$A:$L, 12, FALSE)</f>
        <v>tier - 2</v>
      </c>
      <c r="N2006" s="22" t="str">
        <f>VLOOKUP($A2006, 'Hospitalisation Details'!$A:$M, 13, FALSE)</f>
        <v>tier - 3</v>
      </c>
      <c r="O2006" s="22" t="str">
        <f>VLOOKUP($A2006, 'Hospitalisation Details'!$A:$N, 14, FALSE)</f>
        <v>R1013</v>
      </c>
      <c r="P2006" s="36">
        <f>VLOOKUP($A2006, 'Hospitalisation Details'!$A:$O, 15, FALSE)</f>
        <v>28</v>
      </c>
    </row>
    <row r="2007" ht="15.75" customHeight="1">
      <c r="A2007" s="33" t="s">
        <v>4013</v>
      </c>
      <c r="B2007" s="22" t="str">
        <f>VLOOKUP($A2007,'Customer Names'!$A:$D,3, FALSE)</f>
        <v>Betts</v>
      </c>
      <c r="C2007" s="22">
        <f>VLOOKUP($A2007,'Medical Examinations'!$A:$D, 2, FALSE)</f>
        <v>16.815</v>
      </c>
      <c r="D2007" s="22">
        <f>VLOOKUP($A2007, 'Medical Examinations'!$A:$D,3, FALSE)</f>
        <v>5.29</v>
      </c>
      <c r="E2007" s="22" t="str">
        <f>VLOOKUP($A2007, 'Medical Examinations'!$A:$D, 4, FALSE)</f>
        <v>Yes</v>
      </c>
      <c r="F2007" s="22" t="str">
        <f>VLOOKUP($A2007, 'Medical Examinations'!$A:$J, 5, FALSE)</f>
        <v>No</v>
      </c>
      <c r="G2007" s="22" t="str">
        <f>VLOOKUP($A2007, 'Medical Examinations'!$A:$I, 6, FALSE)</f>
        <v>No</v>
      </c>
      <c r="H2007" s="22">
        <f>VLOOKUP($A2007,'Medical Examinations'!$A:$L,10, FALSE)</f>
        <v>0</v>
      </c>
      <c r="I2007" s="22" t="str">
        <f>VLOOKUP($A2007, 'Medical Examinations'!$A:$J, 9, FALSE)</f>
        <v>No</v>
      </c>
      <c r="J2007" s="22" t="str">
        <f>VLOOKUP($A2007, 'Medical Examinations'!$A:$P, 11, FALSE)</f>
        <v>UNDERWEIGHT</v>
      </c>
      <c r="K2007" s="34">
        <v>21448.0</v>
      </c>
      <c r="L2007" s="35">
        <f>VLOOKUP($A2007, 'Hospitalisation Details'!$A:$H, 7, FALSE)</f>
        <v>3167.46</v>
      </c>
      <c r="M2007" s="22" t="str">
        <f>VLOOKUP($A2007, 'Hospitalisation Details'!$A:$L, 12, FALSE)</f>
        <v>tier - 2</v>
      </c>
      <c r="N2007" s="22" t="str">
        <f>VLOOKUP($A2007, 'Hospitalisation Details'!$A:$M, 13, FALSE)</f>
        <v>tier - 3</v>
      </c>
      <c r="O2007" s="22" t="str">
        <f>VLOOKUP($A2007, 'Hospitalisation Details'!$A:$N, 14, FALSE)</f>
        <v>R1024</v>
      </c>
      <c r="P2007" s="36">
        <f>VLOOKUP($A2007, 'Hospitalisation Details'!$A:$O, 15, FALSE)</f>
        <v>21</v>
      </c>
    </row>
    <row r="2008" ht="15.75" customHeight="1">
      <c r="A2008" s="33" t="s">
        <v>4015</v>
      </c>
      <c r="B2008" s="22" t="str">
        <f>VLOOKUP($A2008,'Customer Names'!$A:$D,3, FALSE)</f>
        <v>Martin</v>
      </c>
      <c r="C2008" s="22">
        <f>VLOOKUP($A2008,'Medical Examinations'!$A:$D, 2, FALSE)</f>
        <v>25.61</v>
      </c>
      <c r="D2008" s="22">
        <f>VLOOKUP($A2008, 'Medical Examinations'!$A:$D,3, FALSE)</f>
        <v>4</v>
      </c>
      <c r="E2008" s="22" t="str">
        <f>VLOOKUP($A2008, 'Medical Examinations'!$A:$D, 4, FALSE)</f>
        <v>No</v>
      </c>
      <c r="F2008" s="22" t="str">
        <f>VLOOKUP($A2008, 'Medical Examinations'!$A:$J, 5, FALSE)</f>
        <v>No</v>
      </c>
      <c r="G2008" s="22" t="str">
        <f>VLOOKUP($A2008, 'Medical Examinations'!$A:$I, 6, FALSE)</f>
        <v>Yes</v>
      </c>
      <c r="H2008" s="22">
        <f>VLOOKUP($A2008,'Medical Examinations'!$A:$L,10, FALSE)</f>
        <v>1</v>
      </c>
      <c r="I2008" s="22" t="str">
        <f>VLOOKUP($A2008, 'Medical Examinations'!$A:$J, 9, FALSE)</f>
        <v>No</v>
      </c>
      <c r="J2008" s="22" t="str">
        <f>VLOOKUP($A2008, 'Medical Examinations'!$A:$P, 11, FALSE)</f>
        <v>OVERWEIGHT</v>
      </c>
      <c r="K2008" s="34">
        <v>21395.0</v>
      </c>
      <c r="L2008" s="35">
        <f>VLOOKUP($A2008, 'Hospitalisation Details'!$A:$H, 7, FALSE)</f>
        <v>3162.02</v>
      </c>
      <c r="M2008" s="22" t="str">
        <f>VLOOKUP($A2008, 'Hospitalisation Details'!$A:$L, 12, FALSE)</f>
        <v>tier - 2</v>
      </c>
      <c r="N2008" s="22" t="str">
        <f>VLOOKUP($A2008, 'Hospitalisation Details'!$A:$M, 13, FALSE)</f>
        <v>tier - 3</v>
      </c>
      <c r="O2008" s="22" t="str">
        <f>VLOOKUP($A2008, 'Hospitalisation Details'!$A:$N, 14, FALSE)</f>
        <v>R1013</v>
      </c>
      <c r="P2008" s="36">
        <f>VLOOKUP($A2008, 'Hospitalisation Details'!$A:$O, 15, FALSE)</f>
        <v>29</v>
      </c>
    </row>
    <row r="2009" ht="15.75" customHeight="1">
      <c r="A2009" s="33" t="s">
        <v>4017</v>
      </c>
      <c r="B2009" s="22" t="str">
        <f>VLOOKUP($A2009,'Customer Names'!$A:$D,3, FALSE)</f>
        <v>Vandeventer</v>
      </c>
      <c r="C2009" s="22">
        <f>VLOOKUP($A2009,'Medical Examinations'!$A:$D, 2, FALSE)</f>
        <v>25.8</v>
      </c>
      <c r="D2009" s="22">
        <f>VLOOKUP($A2009, 'Medical Examinations'!$A:$D,3, FALSE)</f>
        <v>5.49</v>
      </c>
      <c r="E2009" s="22" t="str">
        <f>VLOOKUP($A2009, 'Medical Examinations'!$A:$D, 4, FALSE)</f>
        <v>No</v>
      </c>
      <c r="F2009" s="22" t="str">
        <f>VLOOKUP($A2009, 'Medical Examinations'!$A:$J, 5, FALSE)</f>
        <v>No</v>
      </c>
      <c r="G2009" s="22" t="str">
        <f>VLOOKUP($A2009, 'Medical Examinations'!$A:$I, 6, FALSE)</f>
        <v>No</v>
      </c>
      <c r="H2009" s="22">
        <f>VLOOKUP($A2009,'Medical Examinations'!$A:$L,10, FALSE)</f>
        <v>0</v>
      </c>
      <c r="I2009" s="22" t="str">
        <f>VLOOKUP($A2009, 'Medical Examinations'!$A:$J, 9, FALSE)</f>
        <v>No</v>
      </c>
      <c r="J2009" s="22" t="str">
        <f>VLOOKUP($A2009, 'Medical Examinations'!$A:$P, 11, FALSE)</f>
        <v>OVERWEIGHT</v>
      </c>
      <c r="K2009" s="34">
        <v>21442.0</v>
      </c>
      <c r="L2009" s="35">
        <f>VLOOKUP($A2009, 'Hospitalisation Details'!$A:$H, 7, FALSE)</f>
        <v>3161.45</v>
      </c>
      <c r="M2009" s="22" t="str">
        <f>VLOOKUP($A2009, 'Hospitalisation Details'!$A:$L, 12, FALSE)</f>
        <v>tier - 2</v>
      </c>
      <c r="N2009" s="22" t="str">
        <f>VLOOKUP($A2009, 'Hospitalisation Details'!$A:$M, 13, FALSE)</f>
        <v>tier - 1</v>
      </c>
      <c r="O2009" s="22" t="str">
        <f>VLOOKUP($A2009, 'Hospitalisation Details'!$A:$N, 14, FALSE)</f>
        <v>R1011</v>
      </c>
      <c r="P2009" s="36">
        <f>VLOOKUP($A2009, 'Hospitalisation Details'!$A:$O, 15, FALSE)</f>
        <v>28</v>
      </c>
    </row>
    <row r="2010" ht="15.75" customHeight="1">
      <c r="A2010" s="33" t="s">
        <v>4019</v>
      </c>
      <c r="B2010" s="22" t="str">
        <f>VLOOKUP($A2010,'Customer Names'!$A:$D,3, FALSE)</f>
        <v>Hirano</v>
      </c>
      <c r="C2010" s="22">
        <f>VLOOKUP($A2010,'Medical Examinations'!$A:$D, 2, FALSE)</f>
        <v>27.39</v>
      </c>
      <c r="D2010" s="22">
        <f>VLOOKUP($A2010, 'Medical Examinations'!$A:$D,3, FALSE)</f>
        <v>5.34</v>
      </c>
      <c r="E2010" s="22" t="str">
        <f>VLOOKUP($A2010, 'Medical Examinations'!$A:$D, 4, FALSE)</f>
        <v>No</v>
      </c>
      <c r="F2010" s="22" t="str">
        <f>VLOOKUP($A2010, 'Medical Examinations'!$A:$J, 5, FALSE)</f>
        <v>No</v>
      </c>
      <c r="G2010" s="22" t="str">
        <f>VLOOKUP($A2010, 'Medical Examinations'!$A:$I, 6, FALSE)</f>
        <v>No</v>
      </c>
      <c r="H2010" s="22">
        <f>VLOOKUP($A2010,'Medical Examinations'!$A:$L,10, FALSE)</f>
        <v>0</v>
      </c>
      <c r="I2010" s="22" t="str">
        <f>VLOOKUP($A2010, 'Medical Examinations'!$A:$J, 9, FALSE)</f>
        <v>No</v>
      </c>
      <c r="J2010" s="22" t="str">
        <f>VLOOKUP($A2010, 'Medical Examinations'!$A:$P, 11, FALSE)</f>
        <v>OVERWEIGHT</v>
      </c>
      <c r="K2010" s="34">
        <v>23915.0</v>
      </c>
      <c r="L2010" s="35">
        <f>VLOOKUP($A2010, 'Hospitalisation Details'!$A:$H, 7, FALSE)</f>
        <v>3128.35</v>
      </c>
      <c r="M2010" s="22" t="str">
        <f>VLOOKUP($A2010, 'Hospitalisation Details'!$A:$L, 12, FALSE)</f>
        <v>tier - 2</v>
      </c>
      <c r="N2010" s="22" t="str">
        <f>VLOOKUP($A2010, 'Hospitalisation Details'!$A:$M, 13, FALSE)</f>
        <v>tier - 3</v>
      </c>
      <c r="O2010" s="22" t="str">
        <f>VLOOKUP($A2010, 'Hospitalisation Details'!$A:$N, 14, FALSE)</f>
        <v>R1021</v>
      </c>
      <c r="P2010" s="36">
        <f>VLOOKUP($A2010, 'Hospitalisation Details'!$A:$O, 15, FALSE)</f>
        <v>23</v>
      </c>
    </row>
    <row r="2011" ht="15.75" customHeight="1">
      <c r="A2011" s="33" t="s">
        <v>4021</v>
      </c>
      <c r="B2011" s="22" t="str">
        <f>VLOOKUP($A2011,'Customer Names'!$A:$D,3, FALSE)</f>
        <v>Davi</v>
      </c>
      <c r="C2011" s="22">
        <f>VLOOKUP($A2011,'Medical Examinations'!$A:$D, 2, FALSE)</f>
        <v>17.03</v>
      </c>
      <c r="D2011" s="22">
        <f>VLOOKUP($A2011, 'Medical Examinations'!$A:$D,3, FALSE)</f>
        <v>4.12</v>
      </c>
      <c r="E2011" s="22" t="str">
        <f>VLOOKUP($A2011, 'Medical Examinations'!$A:$D, 4, FALSE)</f>
        <v>No</v>
      </c>
      <c r="F2011" s="22" t="str">
        <f>VLOOKUP($A2011, 'Medical Examinations'!$A:$J, 5, FALSE)</f>
        <v>No</v>
      </c>
      <c r="G2011" s="22" t="str">
        <f>VLOOKUP($A2011, 'Medical Examinations'!$A:$I, 6, FALSE)</f>
        <v>No</v>
      </c>
      <c r="H2011" s="22">
        <f>VLOOKUP($A2011,'Medical Examinations'!$A:$L,10, FALSE)</f>
        <v>1</v>
      </c>
      <c r="I2011" s="22" t="str">
        <f>VLOOKUP($A2011, 'Medical Examinations'!$A:$J, 9, FALSE)</f>
        <v>No</v>
      </c>
      <c r="J2011" s="22" t="str">
        <f>VLOOKUP($A2011, 'Medical Examinations'!$A:$P, 11, FALSE)</f>
        <v>UNDERWEIGHT</v>
      </c>
      <c r="K2011" s="34">
        <v>23208.0</v>
      </c>
      <c r="L2011" s="35">
        <f>VLOOKUP($A2011, 'Hospitalisation Details'!$A:$H, 7, FALSE)</f>
        <v>3088.06</v>
      </c>
      <c r="M2011" s="22" t="str">
        <f>VLOOKUP($A2011, 'Hospitalisation Details'!$A:$L, 12, FALSE)</f>
        <v>tier - 2</v>
      </c>
      <c r="N2011" s="22" t="str">
        <f>VLOOKUP($A2011, 'Hospitalisation Details'!$A:$M, 13, FALSE)</f>
        <v>tier - 2</v>
      </c>
      <c r="O2011" s="22" t="str">
        <f>VLOOKUP($A2011, 'Hospitalisation Details'!$A:$N, 14, FALSE)</f>
        <v>R1013</v>
      </c>
      <c r="P2011" s="36">
        <f>VLOOKUP($A2011, 'Hospitalisation Details'!$A:$O, 15, FALSE)</f>
        <v>35</v>
      </c>
    </row>
    <row r="2012" ht="15.75" customHeight="1">
      <c r="A2012" s="33" t="s">
        <v>4023</v>
      </c>
      <c r="B2012" s="22" t="str">
        <f>VLOOKUP($A2012,'Customer Names'!$A:$D,3, FALSE)</f>
        <v>Sloan</v>
      </c>
      <c r="C2012" s="22">
        <f>VLOOKUP($A2012,'Medical Examinations'!$A:$D, 2, FALSE)</f>
        <v>23.75</v>
      </c>
      <c r="D2012" s="22">
        <f>VLOOKUP($A2012, 'Medical Examinations'!$A:$D,3, FALSE)</f>
        <v>5.49</v>
      </c>
      <c r="E2012" s="22" t="str">
        <f>VLOOKUP($A2012, 'Medical Examinations'!$A:$D, 4, FALSE)</f>
        <v>Yes</v>
      </c>
      <c r="F2012" s="22" t="str">
        <f>VLOOKUP($A2012, 'Medical Examinations'!$A:$J, 5, FALSE)</f>
        <v>No</v>
      </c>
      <c r="G2012" s="22" t="str">
        <f>VLOOKUP($A2012, 'Medical Examinations'!$A:$I, 6, FALSE)</f>
        <v>No</v>
      </c>
      <c r="H2012" s="22">
        <f>VLOOKUP($A2012,'Medical Examinations'!$A:$L,10, FALSE)</f>
        <v>0</v>
      </c>
      <c r="I2012" s="22" t="str">
        <f>VLOOKUP($A2012, 'Medical Examinations'!$A:$J, 9, FALSE)</f>
        <v>No</v>
      </c>
      <c r="J2012" s="22" t="str">
        <f>VLOOKUP($A2012, 'Medical Examinations'!$A:$P, 11, FALSE)</f>
        <v>NORMAL WEIGHT</v>
      </c>
      <c r="K2012" s="34">
        <v>34634.0</v>
      </c>
      <c r="L2012" s="35">
        <f>VLOOKUP($A2012, 'Hospitalisation Details'!$A:$H, 7, FALSE)</f>
        <v>3077.1</v>
      </c>
      <c r="M2012" s="22" t="str">
        <f>VLOOKUP($A2012, 'Hospitalisation Details'!$A:$L, 12, FALSE)</f>
        <v>tier - 2</v>
      </c>
      <c r="N2012" s="22" t="str">
        <f>VLOOKUP($A2012, 'Hospitalisation Details'!$A:$M, 13, FALSE)</f>
        <v>tier - 1</v>
      </c>
      <c r="O2012" s="22" t="str">
        <f>VLOOKUP($A2012, 'Hospitalisation Details'!$A:$N, 14, FALSE)</f>
        <v>R1012</v>
      </c>
      <c r="P2012" s="36">
        <f>VLOOKUP($A2012, 'Hospitalisation Details'!$A:$O, 15, FALSE)</f>
        <v>21</v>
      </c>
    </row>
    <row r="2013" ht="15.75" customHeight="1">
      <c r="A2013" s="33" t="s">
        <v>4025</v>
      </c>
      <c r="B2013" s="22" t="str">
        <f>VLOOKUP($A2013,'Customer Names'!$A:$D,3, FALSE)</f>
        <v>Homich</v>
      </c>
      <c r="C2013" s="22">
        <f>VLOOKUP($A2013,'Medical Examinations'!$A:$D, 2, FALSE)</f>
        <v>26.03</v>
      </c>
      <c r="D2013" s="22">
        <f>VLOOKUP($A2013, 'Medical Examinations'!$A:$D,3, FALSE)</f>
        <v>5.11</v>
      </c>
      <c r="E2013" s="22" t="str">
        <f>VLOOKUP($A2013, 'Medical Examinations'!$A:$D, 4, FALSE)</f>
        <v>Yes</v>
      </c>
      <c r="F2013" s="22" t="str">
        <f>VLOOKUP($A2013, 'Medical Examinations'!$A:$J, 5, FALSE)</f>
        <v>No</v>
      </c>
      <c r="G2013" s="22" t="str">
        <f>VLOOKUP($A2013, 'Medical Examinations'!$A:$I, 6, FALSE)</f>
        <v>No</v>
      </c>
      <c r="H2013" s="22">
        <f>VLOOKUP($A2013,'Medical Examinations'!$A:$L,10, FALSE)</f>
        <v>1</v>
      </c>
      <c r="I2013" s="22" t="str">
        <f>VLOOKUP($A2013, 'Medical Examinations'!$A:$J, 9, FALSE)</f>
        <v>No</v>
      </c>
      <c r="J2013" s="22" t="str">
        <f>VLOOKUP($A2013, 'Medical Examinations'!$A:$P, 11, FALSE)</f>
        <v>OVERWEIGHT</v>
      </c>
      <c r="K2013" s="34">
        <v>25191.0</v>
      </c>
      <c r="L2013" s="35">
        <f>VLOOKUP($A2013, 'Hospitalisation Details'!$A:$H, 7, FALSE)</f>
        <v>3070.81</v>
      </c>
      <c r="M2013" s="22" t="str">
        <f>VLOOKUP($A2013, 'Hospitalisation Details'!$A:$L, 12, FALSE)</f>
        <v>tier - 3</v>
      </c>
      <c r="N2013" s="22" t="str">
        <f>VLOOKUP($A2013, 'Hospitalisation Details'!$A:$M, 13, FALSE)</f>
        <v>tier - 1</v>
      </c>
      <c r="O2013" s="22" t="str">
        <f>VLOOKUP($A2013, 'Hospitalisation Details'!$A:$N, 14, FALSE)</f>
        <v>R1017</v>
      </c>
      <c r="P2013" s="36">
        <f>VLOOKUP($A2013, 'Hospitalisation Details'!$A:$O, 15, FALSE)</f>
        <v>27</v>
      </c>
    </row>
    <row r="2014" ht="15.75" customHeight="1">
      <c r="A2014" s="33" t="s">
        <v>4027</v>
      </c>
      <c r="B2014" s="22" t="str">
        <f>VLOOKUP($A2014,'Customer Names'!$A:$D,3, FALSE)</f>
        <v>Bell</v>
      </c>
      <c r="C2014" s="22">
        <f>VLOOKUP($A2014,'Medical Examinations'!$A:$D, 2, FALSE)</f>
        <v>16.08</v>
      </c>
      <c r="D2014" s="22">
        <f>VLOOKUP($A2014, 'Medical Examinations'!$A:$D,3, FALSE)</f>
        <v>5.94</v>
      </c>
      <c r="E2014" s="22" t="str">
        <f>VLOOKUP($A2014, 'Medical Examinations'!$A:$D, 4, FALSE)</f>
        <v>No</v>
      </c>
      <c r="F2014" s="22" t="str">
        <f>VLOOKUP($A2014, 'Medical Examinations'!$A:$J, 5, FALSE)</f>
        <v>No</v>
      </c>
      <c r="G2014" s="22" t="str">
        <f>VLOOKUP($A2014, 'Medical Examinations'!$A:$I, 6, FALSE)</f>
        <v>No</v>
      </c>
      <c r="H2014" s="22">
        <f>VLOOKUP($A2014,'Medical Examinations'!$A:$L,10, FALSE)</f>
        <v>0</v>
      </c>
      <c r="I2014" s="22" t="str">
        <f>VLOOKUP($A2014, 'Medical Examinations'!$A:$J, 9, FALSE)</f>
        <v>No</v>
      </c>
      <c r="J2014" s="22" t="str">
        <f>VLOOKUP($A2014, 'Medical Examinations'!$A:$P, 11, FALSE)</f>
        <v>UNDERWEIGHT</v>
      </c>
      <c r="K2014" s="34">
        <v>32463.0</v>
      </c>
      <c r="L2014" s="35">
        <f>VLOOKUP($A2014, 'Hospitalisation Details'!$A:$H, 7, FALSE)</f>
        <v>3065.49</v>
      </c>
      <c r="M2014" s="22" t="str">
        <f>VLOOKUP($A2014, 'Hospitalisation Details'!$A:$L, 12, FALSE)</f>
        <v>tier - 2</v>
      </c>
      <c r="N2014" s="22" t="str">
        <f>VLOOKUP($A2014, 'Hospitalisation Details'!$A:$M, 13, FALSE)</f>
        <v>tier - 1</v>
      </c>
      <c r="O2014" s="22" t="str">
        <f>VLOOKUP($A2014, 'Hospitalisation Details'!$A:$N, 14, FALSE)</f>
        <v>R1012</v>
      </c>
      <c r="P2014" s="36">
        <f>VLOOKUP($A2014, 'Hospitalisation Details'!$A:$O, 15, FALSE)</f>
        <v>33</v>
      </c>
    </row>
    <row r="2015" ht="15.75" customHeight="1">
      <c r="A2015" s="33" t="s">
        <v>4029</v>
      </c>
      <c r="B2015" s="22" t="str">
        <f>VLOOKUP($A2015,'Customer Names'!$A:$D,3, FALSE)</f>
        <v>Kristjansson</v>
      </c>
      <c r="C2015" s="22">
        <f>VLOOKUP($A2015,'Medical Examinations'!$A:$D, 2, FALSE)</f>
        <v>30.875</v>
      </c>
      <c r="D2015" s="22">
        <f>VLOOKUP($A2015, 'Medical Examinations'!$A:$D,3, FALSE)</f>
        <v>5.54</v>
      </c>
      <c r="E2015" s="22" t="str">
        <f>VLOOKUP($A2015, 'Medical Examinations'!$A:$D, 4, FALSE)</f>
        <v>No</v>
      </c>
      <c r="F2015" s="22" t="str">
        <f>VLOOKUP($A2015, 'Medical Examinations'!$A:$J, 5, FALSE)</f>
        <v>No</v>
      </c>
      <c r="G2015" s="22" t="str">
        <f>VLOOKUP($A2015, 'Medical Examinations'!$A:$I, 6, FALSE)</f>
        <v>No</v>
      </c>
      <c r="H2015" s="22">
        <f>VLOOKUP($A2015,'Medical Examinations'!$A:$L,10, FALSE)</f>
        <v>0</v>
      </c>
      <c r="I2015" s="22" t="str">
        <f>VLOOKUP($A2015, 'Medical Examinations'!$A:$J, 9, FALSE)</f>
        <v>No</v>
      </c>
      <c r="J2015" s="22" t="str">
        <f>VLOOKUP($A2015, 'Medical Examinations'!$A:$P, 11, FALSE)</f>
        <v>OBESITY</v>
      </c>
      <c r="K2015" s="34">
        <v>24755.0</v>
      </c>
      <c r="L2015" s="35">
        <f>VLOOKUP($A2015, 'Hospitalisation Details'!$A:$H, 7, FALSE)</f>
        <v>3062.51</v>
      </c>
      <c r="M2015" s="22" t="str">
        <f>VLOOKUP($A2015, 'Hospitalisation Details'!$A:$L, 12, FALSE)</f>
        <v>tier - 3</v>
      </c>
      <c r="N2015" s="22" t="str">
        <f>VLOOKUP($A2015, 'Hospitalisation Details'!$A:$M, 13, FALSE)</f>
        <v>tier - 1</v>
      </c>
      <c r="O2015" s="22" t="str">
        <f>VLOOKUP($A2015, 'Hospitalisation Details'!$A:$N, 14, FALSE)</f>
        <v>R1012</v>
      </c>
      <c r="P2015" s="36">
        <f>VLOOKUP($A2015, 'Hospitalisation Details'!$A:$O, 15, FALSE)</f>
        <v>28</v>
      </c>
    </row>
    <row r="2016" ht="15.75" customHeight="1">
      <c r="A2016" s="33" t="s">
        <v>4031</v>
      </c>
      <c r="B2016" s="22" t="str">
        <f>VLOOKUP($A2016,'Customer Names'!$A:$D,3, FALSE)</f>
        <v>Pitman</v>
      </c>
      <c r="C2016" s="22">
        <f>VLOOKUP($A2016,'Medical Examinations'!$A:$D, 2, FALSE)</f>
        <v>31.79</v>
      </c>
      <c r="D2016" s="22">
        <f>VLOOKUP($A2016, 'Medical Examinations'!$A:$D,3, FALSE)</f>
        <v>7.09</v>
      </c>
      <c r="E2016" s="22" t="str">
        <f>VLOOKUP($A2016, 'Medical Examinations'!$A:$D, 4, FALSE)</f>
        <v>No</v>
      </c>
      <c r="F2016" s="22" t="str">
        <f>VLOOKUP($A2016, 'Medical Examinations'!$A:$J, 5, FALSE)</f>
        <v>No</v>
      </c>
      <c r="G2016" s="22" t="str">
        <f>VLOOKUP($A2016, 'Medical Examinations'!$A:$I, 6, FALSE)</f>
        <v>No</v>
      </c>
      <c r="H2016" s="22">
        <f>VLOOKUP($A2016,'Medical Examinations'!$A:$L,10, FALSE)</f>
        <v>0</v>
      </c>
      <c r="I2016" s="22" t="str">
        <f>VLOOKUP($A2016, 'Medical Examinations'!$A:$J, 9, FALSE)</f>
        <v>No</v>
      </c>
      <c r="J2016" s="22" t="str">
        <f>VLOOKUP($A2016, 'Medical Examinations'!$A:$P, 11, FALSE)</f>
        <v>OBESITY</v>
      </c>
      <c r="K2016" s="34">
        <v>21908.0</v>
      </c>
      <c r="L2016" s="35">
        <f>VLOOKUP($A2016, 'Hospitalisation Details'!$A:$H, 7, FALSE)</f>
        <v>3056.39</v>
      </c>
      <c r="M2016" s="22" t="str">
        <f>VLOOKUP($A2016, 'Hospitalisation Details'!$A:$L, 12, FALSE)</f>
        <v>tier - 2</v>
      </c>
      <c r="N2016" s="22" t="str">
        <f>VLOOKUP($A2016, 'Hospitalisation Details'!$A:$M, 13, FALSE)</f>
        <v>tier - 3</v>
      </c>
      <c r="O2016" s="22" t="str">
        <f>VLOOKUP($A2016, 'Hospitalisation Details'!$A:$N, 14, FALSE)</f>
        <v>R1013</v>
      </c>
      <c r="P2016" s="36">
        <f>VLOOKUP($A2016, 'Hospitalisation Details'!$A:$O, 15, FALSE)</f>
        <v>20</v>
      </c>
    </row>
    <row r="2017" ht="15.75" customHeight="1">
      <c r="A2017" s="33" t="s">
        <v>4033</v>
      </c>
      <c r="B2017" s="22" t="str">
        <f>VLOOKUP($A2017,'Customer Names'!$A:$D,3, FALSE)</f>
        <v>Curley</v>
      </c>
      <c r="C2017" s="22">
        <f>VLOOKUP($A2017,'Medical Examinations'!$A:$D, 2, FALSE)</f>
        <v>28.48</v>
      </c>
      <c r="D2017" s="22">
        <f>VLOOKUP($A2017, 'Medical Examinations'!$A:$D,3, FALSE)</f>
        <v>6.22</v>
      </c>
      <c r="E2017" s="22" t="str">
        <f>VLOOKUP($A2017, 'Medical Examinations'!$A:$D, 4, FALSE)</f>
        <v>Yes</v>
      </c>
      <c r="F2017" s="22" t="str">
        <f>VLOOKUP($A2017, 'Medical Examinations'!$A:$J, 5, FALSE)</f>
        <v>No</v>
      </c>
      <c r="G2017" s="22" t="str">
        <f>VLOOKUP($A2017, 'Medical Examinations'!$A:$I, 6, FALSE)</f>
        <v>Yes</v>
      </c>
      <c r="H2017" s="22">
        <f>VLOOKUP($A2017,'Medical Examinations'!$A:$L,10, FALSE)</f>
        <v>1</v>
      </c>
      <c r="I2017" s="22" t="str">
        <f>VLOOKUP($A2017, 'Medical Examinations'!$A:$J, 9, FALSE)</f>
        <v>No</v>
      </c>
      <c r="J2017" s="22" t="str">
        <f>VLOOKUP($A2017, 'Medical Examinations'!$A:$P, 11, FALSE)</f>
        <v>OVERWEIGHT</v>
      </c>
      <c r="K2017" s="34">
        <v>25472.0</v>
      </c>
      <c r="L2017" s="35">
        <f>VLOOKUP($A2017, 'Hospitalisation Details'!$A:$H, 7, FALSE)</f>
        <v>3051.73</v>
      </c>
      <c r="M2017" s="22" t="str">
        <f>VLOOKUP($A2017, 'Hospitalisation Details'!$A:$L, 12, FALSE)</f>
        <v>tier - 2</v>
      </c>
      <c r="N2017" s="22" t="str">
        <f>VLOOKUP($A2017, 'Hospitalisation Details'!$A:$M, 13, FALSE)</f>
        <v>tier - 2</v>
      </c>
      <c r="O2017" s="22" t="str">
        <f>VLOOKUP($A2017, 'Hospitalisation Details'!$A:$N, 14, FALSE)</f>
        <v>R1011</v>
      </c>
      <c r="P2017" s="36">
        <f>VLOOKUP($A2017, 'Hospitalisation Details'!$A:$O, 15, FALSE)</f>
        <v>25</v>
      </c>
    </row>
    <row r="2018" ht="15.75" customHeight="1">
      <c r="A2018" s="33" t="s">
        <v>4035</v>
      </c>
      <c r="B2018" s="22" t="str">
        <f>VLOOKUP($A2018,'Customer Names'!$A:$D,3, FALSE)</f>
        <v>Zimmer</v>
      </c>
      <c r="C2018" s="22">
        <f>VLOOKUP($A2018,'Medical Examinations'!$A:$D, 2, FALSE)</f>
        <v>26.6</v>
      </c>
      <c r="D2018" s="22">
        <f>VLOOKUP($A2018, 'Medical Examinations'!$A:$D,3, FALSE)</f>
        <v>4.33</v>
      </c>
      <c r="E2018" s="22" t="str">
        <f>VLOOKUP($A2018, 'Medical Examinations'!$A:$D, 4, FALSE)</f>
        <v>No</v>
      </c>
      <c r="F2018" s="22" t="str">
        <f>VLOOKUP($A2018, 'Medical Examinations'!$A:$J, 5, FALSE)</f>
        <v>No</v>
      </c>
      <c r="G2018" s="22" t="str">
        <f>VLOOKUP($A2018, 'Medical Examinations'!$A:$I, 6, FALSE)</f>
        <v>No</v>
      </c>
      <c r="H2018" s="22">
        <f>VLOOKUP($A2018,'Medical Examinations'!$A:$L,10, FALSE)</f>
        <v>1</v>
      </c>
      <c r="I2018" s="22" t="str">
        <f>VLOOKUP($A2018, 'Medical Examinations'!$A:$J, 9, FALSE)</f>
        <v>No</v>
      </c>
      <c r="J2018" s="22" t="str">
        <f>VLOOKUP($A2018, 'Medical Examinations'!$A:$P, 11, FALSE)</f>
        <v>OVERWEIGHT</v>
      </c>
      <c r="K2018" s="34">
        <v>21376.0</v>
      </c>
      <c r="L2018" s="35">
        <f>VLOOKUP($A2018, 'Hospitalisation Details'!$A:$H, 7, FALSE)</f>
        <v>3046.06</v>
      </c>
      <c r="M2018" s="22" t="str">
        <f>VLOOKUP($A2018, 'Hospitalisation Details'!$A:$L, 12, FALSE)</f>
        <v>tier - 2</v>
      </c>
      <c r="N2018" s="22" t="str">
        <f>VLOOKUP($A2018, 'Hospitalisation Details'!$A:$M, 13, FALSE)</f>
        <v>tier - 1</v>
      </c>
      <c r="O2018" s="22" t="str">
        <f>VLOOKUP($A2018, 'Hospitalisation Details'!$A:$N, 14, FALSE)</f>
        <v>R1023</v>
      </c>
      <c r="P2018" s="36">
        <f>VLOOKUP($A2018, 'Hospitalisation Details'!$A:$O, 15, FALSE)</f>
        <v>24</v>
      </c>
    </row>
    <row r="2019" ht="15.75" customHeight="1">
      <c r="A2019" s="33" t="s">
        <v>4037</v>
      </c>
      <c r="B2019" s="22" t="str">
        <f>VLOOKUP($A2019,'Customer Names'!$A:$D,3, FALSE)</f>
        <v>Granski</v>
      </c>
      <c r="C2019" s="22">
        <f>VLOOKUP($A2019,'Medical Examinations'!$A:$D, 2, FALSE)</f>
        <v>25.27</v>
      </c>
      <c r="D2019" s="22">
        <f>VLOOKUP($A2019, 'Medical Examinations'!$A:$D,3, FALSE)</f>
        <v>5.83</v>
      </c>
      <c r="E2019" s="22" t="str">
        <f>VLOOKUP($A2019, 'Medical Examinations'!$A:$D, 4, FALSE)</f>
        <v>No</v>
      </c>
      <c r="F2019" s="22" t="str">
        <f>VLOOKUP($A2019, 'Medical Examinations'!$A:$J, 5, FALSE)</f>
        <v>No</v>
      </c>
      <c r="G2019" s="22" t="str">
        <f>VLOOKUP($A2019, 'Medical Examinations'!$A:$I, 6, FALSE)</f>
        <v>No</v>
      </c>
      <c r="H2019" s="22">
        <f>VLOOKUP($A2019,'Medical Examinations'!$A:$L,10, FALSE)</f>
        <v>1</v>
      </c>
      <c r="I2019" s="22" t="str">
        <f>VLOOKUP($A2019, 'Medical Examinations'!$A:$J, 9, FALSE)</f>
        <v>No</v>
      </c>
      <c r="J2019" s="22" t="str">
        <f>VLOOKUP($A2019, 'Medical Examinations'!$A:$P, 11, FALSE)</f>
        <v>OVERWEIGHT</v>
      </c>
      <c r="K2019" s="34">
        <v>21473.0</v>
      </c>
      <c r="L2019" s="35">
        <f>VLOOKUP($A2019, 'Hospitalisation Details'!$A:$H, 7, FALSE)</f>
        <v>3044.21</v>
      </c>
      <c r="M2019" s="22" t="str">
        <f>VLOOKUP($A2019, 'Hospitalisation Details'!$A:$L, 12, FALSE)</f>
        <v>tier - 2</v>
      </c>
      <c r="N2019" s="22" t="str">
        <f>VLOOKUP($A2019, 'Hospitalisation Details'!$A:$M, 13, FALSE)</f>
        <v>tier - 3</v>
      </c>
      <c r="O2019" s="22" t="str">
        <f>VLOOKUP($A2019, 'Hospitalisation Details'!$A:$N, 14, FALSE)</f>
        <v>R1024</v>
      </c>
      <c r="P2019" s="36">
        <f>VLOOKUP($A2019, 'Hospitalisation Details'!$A:$O, 15, FALSE)</f>
        <v>24</v>
      </c>
    </row>
    <row r="2020" ht="15.75" customHeight="1">
      <c r="A2020" s="33" t="s">
        <v>4039</v>
      </c>
      <c r="B2020" s="22" t="str">
        <f>VLOOKUP($A2020,'Customer Names'!$A:$D,3, FALSE)</f>
        <v>Dunn</v>
      </c>
      <c r="C2020" s="22">
        <f>VLOOKUP($A2020,'Medical Examinations'!$A:$D, 2, FALSE)</f>
        <v>34.485</v>
      </c>
      <c r="D2020" s="22">
        <f>VLOOKUP($A2020, 'Medical Examinations'!$A:$D,3, FALSE)</f>
        <v>4.7</v>
      </c>
      <c r="E2020" s="22" t="str">
        <f>VLOOKUP($A2020, 'Medical Examinations'!$A:$D, 4, FALSE)</f>
        <v>Yes</v>
      </c>
      <c r="F2020" s="22" t="str">
        <f>VLOOKUP($A2020, 'Medical Examinations'!$A:$J, 5, FALSE)</f>
        <v>No</v>
      </c>
      <c r="G2020" s="22" t="str">
        <f>VLOOKUP($A2020, 'Medical Examinations'!$A:$I, 6, FALSE)</f>
        <v>Yes</v>
      </c>
      <c r="H2020" s="22">
        <f>VLOOKUP($A2020,'Medical Examinations'!$A:$L,10, FALSE)</f>
        <v>1</v>
      </c>
      <c r="I2020" s="22" t="str">
        <f>VLOOKUP($A2020, 'Medical Examinations'!$A:$J, 9, FALSE)</f>
        <v>No</v>
      </c>
      <c r="J2020" s="22" t="str">
        <f>VLOOKUP($A2020, 'Medical Examinations'!$A:$P, 11, FALSE)</f>
        <v>OBESITY</v>
      </c>
      <c r="K2020" s="34">
        <v>25187.0</v>
      </c>
      <c r="L2020" s="35">
        <f>VLOOKUP($A2020, 'Hospitalisation Details'!$A:$H, 7, FALSE)</f>
        <v>3021.81</v>
      </c>
      <c r="M2020" s="22" t="str">
        <f>VLOOKUP($A2020, 'Hospitalisation Details'!$A:$L, 12, FALSE)</f>
        <v>tier - 2</v>
      </c>
      <c r="N2020" s="22" t="str">
        <f>VLOOKUP($A2020, 'Hospitalisation Details'!$A:$M, 13, FALSE)</f>
        <v>tier - 3</v>
      </c>
      <c r="O2020" s="22" t="str">
        <f>VLOOKUP($A2020, 'Hospitalisation Details'!$A:$N, 14, FALSE)</f>
        <v>R1012</v>
      </c>
      <c r="P2020" s="36">
        <f>VLOOKUP($A2020, 'Hospitalisation Details'!$A:$O, 15, FALSE)</f>
        <v>25</v>
      </c>
    </row>
    <row r="2021" ht="15.75" customHeight="1">
      <c r="A2021" s="33" t="s">
        <v>4041</v>
      </c>
      <c r="B2021" s="22" t="str">
        <f>VLOOKUP($A2021,'Customer Names'!$A:$D,3, FALSE)</f>
        <v>Regina</v>
      </c>
      <c r="C2021" s="22">
        <f>VLOOKUP($A2021,'Medical Examinations'!$A:$D, 2, FALSE)</f>
        <v>15.57</v>
      </c>
      <c r="D2021" s="22">
        <f>VLOOKUP($A2021, 'Medical Examinations'!$A:$D,3, FALSE)</f>
        <v>4.07</v>
      </c>
      <c r="E2021" s="22" t="str">
        <f>VLOOKUP($A2021, 'Medical Examinations'!$A:$D, 4, FALSE)</f>
        <v>Yes</v>
      </c>
      <c r="F2021" s="22" t="str">
        <f>VLOOKUP($A2021, 'Medical Examinations'!$A:$J, 5, FALSE)</f>
        <v>No</v>
      </c>
      <c r="G2021" s="22" t="str">
        <f>VLOOKUP($A2021, 'Medical Examinations'!$A:$I, 6, FALSE)</f>
        <v>No</v>
      </c>
      <c r="H2021" s="22">
        <f>VLOOKUP($A2021,'Medical Examinations'!$A:$L,10, FALSE)</f>
        <v>1</v>
      </c>
      <c r="I2021" s="22" t="str">
        <f>VLOOKUP($A2021, 'Medical Examinations'!$A:$J, 9, FALSE)</f>
        <v>No</v>
      </c>
      <c r="J2021" s="22" t="str">
        <f>VLOOKUP($A2021, 'Medical Examinations'!$A:$P, 11, FALSE)</f>
        <v>UNDERWEIGHT</v>
      </c>
      <c r="K2021" s="34">
        <v>38236.0</v>
      </c>
      <c r="L2021" s="35">
        <f>VLOOKUP($A2021, 'Hospitalisation Details'!$A:$H, 7, FALSE)</f>
        <v>3018.04</v>
      </c>
      <c r="M2021" s="22" t="str">
        <f>VLOOKUP($A2021, 'Hospitalisation Details'!$A:$L, 12, FALSE)</f>
        <v>tier - 2</v>
      </c>
      <c r="N2021" s="22" t="str">
        <f>VLOOKUP($A2021, 'Hospitalisation Details'!$A:$M, 13, FALSE)</f>
        <v>tier - 2</v>
      </c>
      <c r="O2021" s="22" t="str">
        <f>VLOOKUP($A2021, 'Hospitalisation Details'!$A:$N, 14, FALSE)</f>
        <v>R1012</v>
      </c>
      <c r="P2021" s="36">
        <f>VLOOKUP($A2021, 'Hospitalisation Details'!$A:$O, 15, FALSE)</f>
        <v>34</v>
      </c>
    </row>
    <row r="2022" ht="15.75" customHeight="1">
      <c r="A2022" s="33" t="s">
        <v>4043</v>
      </c>
      <c r="B2022" s="22" t="str">
        <f>VLOOKUP($A2022,'Customer Names'!$A:$D,3, FALSE)</f>
        <v>O'Connor</v>
      </c>
      <c r="C2022" s="22">
        <f>VLOOKUP($A2022,'Medical Examinations'!$A:$D, 2, FALSE)</f>
        <v>30.36</v>
      </c>
      <c r="D2022" s="22">
        <f>VLOOKUP($A2022, 'Medical Examinations'!$A:$D,3, FALSE)</f>
        <v>9.39</v>
      </c>
      <c r="E2022" s="22" t="str">
        <f>VLOOKUP($A2022, 'Medical Examinations'!$A:$D, 4, FALSE)</f>
        <v>No</v>
      </c>
      <c r="F2022" s="22" t="str">
        <f>VLOOKUP($A2022, 'Medical Examinations'!$A:$J, 5, FALSE)</f>
        <v>No</v>
      </c>
      <c r="G2022" s="22" t="str">
        <f>VLOOKUP($A2022, 'Medical Examinations'!$A:$I, 6, FALSE)</f>
        <v>No</v>
      </c>
      <c r="H2022" s="22">
        <f>VLOOKUP($A2022,'Medical Examinations'!$A:$L,10, FALSE)</f>
        <v>0</v>
      </c>
      <c r="I2022" s="22" t="str">
        <f>VLOOKUP($A2022, 'Medical Examinations'!$A:$J, 9, FALSE)</f>
        <v>No</v>
      </c>
      <c r="J2022" s="22" t="str">
        <f>VLOOKUP($A2022, 'Medical Examinations'!$A:$P, 11, FALSE)</f>
        <v>OBESITY</v>
      </c>
      <c r="K2022" s="34">
        <v>26493.0</v>
      </c>
      <c r="L2022" s="35">
        <f>VLOOKUP($A2022, 'Hospitalisation Details'!$A:$H, 7, FALSE)</f>
        <v>3012.22</v>
      </c>
      <c r="M2022" s="22" t="str">
        <f>VLOOKUP($A2022, 'Hospitalisation Details'!$A:$L, 12, FALSE)</f>
        <v>tier - 2</v>
      </c>
      <c r="N2022" s="22" t="str">
        <f>VLOOKUP($A2022, 'Hospitalisation Details'!$A:$M, 13, FALSE)</f>
        <v>tier - 3</v>
      </c>
      <c r="O2022" s="22" t="str">
        <f>VLOOKUP($A2022, 'Hospitalisation Details'!$A:$N, 14, FALSE)</f>
        <v>R1012</v>
      </c>
      <c r="P2022" s="36">
        <f>VLOOKUP($A2022, 'Hospitalisation Details'!$A:$O, 15, FALSE)</f>
        <v>20</v>
      </c>
    </row>
    <row r="2023" ht="15.75" customHeight="1">
      <c r="A2023" s="33" t="s">
        <v>4045</v>
      </c>
      <c r="B2023" s="22" t="str">
        <f>VLOOKUP($A2023,'Customer Names'!$A:$D,3, FALSE)</f>
        <v>Howe</v>
      </c>
      <c r="C2023" s="22">
        <f>VLOOKUP($A2023,'Medical Examinations'!$A:$D, 2, FALSE)</f>
        <v>19.37</v>
      </c>
      <c r="D2023" s="22">
        <f>VLOOKUP($A2023, 'Medical Examinations'!$A:$D,3, FALSE)</f>
        <v>4.18</v>
      </c>
      <c r="E2023" s="22" t="str">
        <f>VLOOKUP($A2023, 'Medical Examinations'!$A:$D, 4, FALSE)</f>
        <v>No</v>
      </c>
      <c r="F2023" s="22" t="str">
        <f>VLOOKUP($A2023, 'Medical Examinations'!$A:$J, 5, FALSE)</f>
        <v>No</v>
      </c>
      <c r="G2023" s="22" t="str">
        <f>VLOOKUP($A2023, 'Medical Examinations'!$A:$I, 6, FALSE)</f>
        <v>No</v>
      </c>
      <c r="H2023" s="22">
        <f>VLOOKUP($A2023,'Medical Examinations'!$A:$L,10, FALSE)</f>
        <v>0</v>
      </c>
      <c r="I2023" s="22" t="str">
        <f>VLOOKUP($A2023, 'Medical Examinations'!$A:$J, 9, FALSE)</f>
        <v>No</v>
      </c>
      <c r="J2023" s="22" t="str">
        <f>VLOOKUP($A2023, 'Medical Examinations'!$A:$P, 11, FALSE)</f>
        <v>NORMAL WEIGHT</v>
      </c>
      <c r="K2023" s="34">
        <v>27389.0</v>
      </c>
      <c r="L2023" s="35">
        <f>VLOOKUP($A2023, 'Hospitalisation Details'!$A:$H, 7, FALSE)</f>
        <v>2985.67</v>
      </c>
      <c r="M2023" s="22" t="str">
        <f>VLOOKUP($A2023, 'Hospitalisation Details'!$A:$L, 12, FALSE)</f>
        <v>tier - 2</v>
      </c>
      <c r="N2023" s="22" t="str">
        <f>VLOOKUP($A2023, 'Hospitalisation Details'!$A:$M, 13, FALSE)</f>
        <v>tier - 2</v>
      </c>
      <c r="O2023" s="22" t="str">
        <f>VLOOKUP($A2023, 'Hospitalisation Details'!$A:$N, 14, FALSE)</f>
        <v>R1013</v>
      </c>
      <c r="P2023" s="36">
        <f>VLOOKUP($A2023, 'Hospitalisation Details'!$A:$O, 15, FALSE)</f>
        <v>31</v>
      </c>
    </row>
    <row r="2024" ht="15.75" customHeight="1">
      <c r="A2024" s="33" t="s">
        <v>4047</v>
      </c>
      <c r="B2024" s="22" t="str">
        <f>VLOOKUP($A2024,'Customer Names'!$A:$D,3, FALSE)</f>
        <v>Atwater</v>
      </c>
      <c r="C2024" s="22">
        <f>VLOOKUP($A2024,'Medical Examinations'!$A:$D, 2, FALSE)</f>
        <v>16.71</v>
      </c>
      <c r="D2024" s="22">
        <f>VLOOKUP($A2024, 'Medical Examinations'!$A:$D,3, FALSE)</f>
        <v>4.18</v>
      </c>
      <c r="E2024" s="22" t="str">
        <f>VLOOKUP($A2024, 'Medical Examinations'!$A:$D, 4, FALSE)</f>
        <v>No</v>
      </c>
      <c r="F2024" s="22" t="str">
        <f>VLOOKUP($A2024, 'Medical Examinations'!$A:$J, 5, FALSE)</f>
        <v>No</v>
      </c>
      <c r="G2024" s="22" t="str">
        <f>VLOOKUP($A2024, 'Medical Examinations'!$A:$I, 6, FALSE)</f>
        <v>No</v>
      </c>
      <c r="H2024" s="22">
        <f>VLOOKUP($A2024,'Medical Examinations'!$A:$L,10, FALSE)</f>
        <v>1</v>
      </c>
      <c r="I2024" s="22" t="str">
        <f>VLOOKUP($A2024, 'Medical Examinations'!$A:$J, 9, FALSE)</f>
        <v>No</v>
      </c>
      <c r="J2024" s="22" t="str">
        <f>VLOOKUP($A2024, 'Medical Examinations'!$A:$P, 11, FALSE)</f>
        <v>UNDERWEIGHT</v>
      </c>
      <c r="K2024" s="34">
        <v>30996.0</v>
      </c>
      <c r="L2024" s="35">
        <f>VLOOKUP($A2024, 'Hospitalisation Details'!$A:$H, 7, FALSE)</f>
        <v>2979.52</v>
      </c>
      <c r="M2024" s="22" t="str">
        <f>VLOOKUP($A2024, 'Hospitalisation Details'!$A:$L, 12, FALSE)</f>
        <v>tier - 2</v>
      </c>
      <c r="N2024" s="22" t="str">
        <f>VLOOKUP($A2024, 'Hospitalisation Details'!$A:$M, 13, FALSE)</f>
        <v>tier - 3</v>
      </c>
      <c r="O2024" s="22" t="str">
        <f>VLOOKUP($A2024, 'Hospitalisation Details'!$A:$N, 14, FALSE)</f>
        <v>R1013</v>
      </c>
      <c r="P2024" s="36">
        <f>VLOOKUP($A2024, 'Hospitalisation Details'!$A:$O, 15, FALSE)</f>
        <v>35</v>
      </c>
    </row>
    <row r="2025" ht="15.75" customHeight="1">
      <c r="A2025" s="33" t="s">
        <v>4049</v>
      </c>
      <c r="B2025" s="22" t="str">
        <f>VLOOKUP($A2025,'Customer Names'!$A:$D,3, FALSE)</f>
        <v>Gurganus</v>
      </c>
      <c r="C2025" s="22">
        <f>VLOOKUP($A2025,'Medical Examinations'!$A:$D, 2, FALSE)</f>
        <v>24.1</v>
      </c>
      <c r="D2025" s="22">
        <f>VLOOKUP($A2025, 'Medical Examinations'!$A:$D,3, FALSE)</f>
        <v>4.4</v>
      </c>
      <c r="E2025" s="22" t="str">
        <f>VLOOKUP($A2025, 'Medical Examinations'!$A:$D, 4, FALSE)</f>
        <v>Yes</v>
      </c>
      <c r="F2025" s="22" t="str">
        <f>VLOOKUP($A2025, 'Medical Examinations'!$A:$J, 5, FALSE)</f>
        <v>No</v>
      </c>
      <c r="G2025" s="22" t="str">
        <f>VLOOKUP($A2025, 'Medical Examinations'!$A:$I, 6, FALSE)</f>
        <v>No</v>
      </c>
      <c r="H2025" s="22">
        <f>VLOOKUP($A2025,'Medical Examinations'!$A:$L,10, FALSE)</f>
        <v>1</v>
      </c>
      <c r="I2025" s="22" t="str">
        <f>VLOOKUP($A2025, 'Medical Examinations'!$A:$J, 9, FALSE)</f>
        <v>No</v>
      </c>
      <c r="J2025" s="22" t="str">
        <f>VLOOKUP($A2025, 'Medical Examinations'!$A:$P, 11, FALSE)</f>
        <v>NORMAL WEIGHT</v>
      </c>
      <c r="K2025" s="34">
        <v>21862.0</v>
      </c>
      <c r="L2025" s="35">
        <f>VLOOKUP($A2025, 'Hospitalisation Details'!$A:$H, 7, FALSE)</f>
        <v>2974.13</v>
      </c>
      <c r="M2025" s="22" t="str">
        <f>VLOOKUP($A2025, 'Hospitalisation Details'!$A:$L, 12, FALSE)</f>
        <v>tier - 2</v>
      </c>
      <c r="N2025" s="22" t="str">
        <f>VLOOKUP($A2025, 'Hospitalisation Details'!$A:$M, 13, FALSE)</f>
        <v>tier - 1</v>
      </c>
      <c r="O2025" s="22" t="str">
        <f>VLOOKUP($A2025, 'Hospitalisation Details'!$A:$N, 14, FALSE)</f>
        <v>R1011</v>
      </c>
      <c r="P2025" s="36">
        <f>VLOOKUP($A2025, 'Hospitalisation Details'!$A:$O, 15, FALSE)</f>
        <v>27</v>
      </c>
    </row>
    <row r="2026" ht="15.75" customHeight="1">
      <c r="A2026" s="33" t="s">
        <v>4051</v>
      </c>
      <c r="B2026" s="22" t="str">
        <f>VLOOKUP($A2026,'Customer Names'!$A:$D,3, FALSE)</f>
        <v>Holden</v>
      </c>
      <c r="C2026" s="22">
        <f>VLOOKUP($A2026,'Medical Examinations'!$A:$D, 2, FALSE)</f>
        <v>29.77</v>
      </c>
      <c r="D2026" s="22">
        <f>VLOOKUP($A2026, 'Medical Examinations'!$A:$D,3, FALSE)</f>
        <v>9.9</v>
      </c>
      <c r="E2026" s="22" t="str">
        <f>VLOOKUP($A2026, 'Medical Examinations'!$A:$D, 4, FALSE)</f>
        <v>No</v>
      </c>
      <c r="F2026" s="22" t="str">
        <f>VLOOKUP($A2026, 'Medical Examinations'!$A:$J, 5, FALSE)</f>
        <v>No</v>
      </c>
      <c r="G2026" s="22" t="str">
        <f>VLOOKUP($A2026, 'Medical Examinations'!$A:$I, 6, FALSE)</f>
        <v>No</v>
      </c>
      <c r="H2026" s="22">
        <f>VLOOKUP($A2026,'Medical Examinations'!$A:$L,10, FALSE)</f>
        <v>0</v>
      </c>
      <c r="I2026" s="22" t="str">
        <f>VLOOKUP($A2026, 'Medical Examinations'!$A:$J, 9, FALSE)</f>
        <v>No</v>
      </c>
      <c r="J2026" s="22" t="str">
        <f>VLOOKUP($A2026, 'Medical Examinations'!$A:$P, 11, FALSE)</f>
        <v>OVERWEIGHT</v>
      </c>
      <c r="K2026" s="34">
        <v>21833.0</v>
      </c>
      <c r="L2026" s="35">
        <f>VLOOKUP($A2026, 'Hospitalisation Details'!$A:$H, 7, FALSE)</f>
        <v>2943.41</v>
      </c>
      <c r="M2026" s="22" t="str">
        <f>VLOOKUP($A2026, 'Hospitalisation Details'!$A:$L, 12, FALSE)</f>
        <v>tier - 2</v>
      </c>
      <c r="N2026" s="22" t="str">
        <f>VLOOKUP($A2026, 'Hospitalisation Details'!$A:$M, 13, FALSE)</f>
        <v>tier - 3</v>
      </c>
      <c r="O2026" s="22" t="str">
        <f>VLOOKUP($A2026, 'Hospitalisation Details'!$A:$N, 14, FALSE)</f>
        <v>R1012</v>
      </c>
      <c r="P2026" s="36">
        <f>VLOOKUP($A2026, 'Hospitalisation Details'!$A:$O, 15, FALSE)</f>
        <v>20</v>
      </c>
    </row>
    <row r="2027" ht="15.75" customHeight="1">
      <c r="A2027" s="33" t="s">
        <v>4053</v>
      </c>
      <c r="B2027" s="22" t="str">
        <f>VLOOKUP($A2027,'Customer Names'!$A:$D,3, FALSE)</f>
        <v>Parton</v>
      </c>
      <c r="C2027" s="22">
        <f>VLOOKUP($A2027,'Medical Examinations'!$A:$D, 2, FALSE)</f>
        <v>46.53</v>
      </c>
      <c r="D2027" s="22">
        <f>VLOOKUP($A2027, 'Medical Examinations'!$A:$D,3, FALSE)</f>
        <v>4.84</v>
      </c>
      <c r="E2027" s="22" t="str">
        <f>VLOOKUP($A2027, 'Medical Examinations'!$A:$D, 4, FALSE)</f>
        <v>Yes</v>
      </c>
      <c r="F2027" s="22" t="str">
        <f>VLOOKUP($A2027, 'Medical Examinations'!$A:$J, 5, FALSE)</f>
        <v>No</v>
      </c>
      <c r="G2027" s="22" t="str">
        <f>VLOOKUP($A2027, 'Medical Examinations'!$A:$I, 6, FALSE)</f>
        <v>No</v>
      </c>
      <c r="H2027" s="22">
        <f>VLOOKUP($A2027,'Medical Examinations'!$A:$L,10, FALSE)</f>
        <v>0</v>
      </c>
      <c r="I2027" s="22" t="str">
        <f>VLOOKUP($A2027, 'Medical Examinations'!$A:$J, 9, FALSE)</f>
        <v>No</v>
      </c>
      <c r="J2027" s="22" t="str">
        <f>VLOOKUP($A2027, 'Medical Examinations'!$A:$P, 11, FALSE)</f>
        <v>OBESITY</v>
      </c>
      <c r="K2027" s="34">
        <v>22549.0</v>
      </c>
      <c r="L2027" s="35">
        <f>VLOOKUP($A2027, 'Hospitalisation Details'!$A:$H, 7, FALSE)</f>
        <v>2927.06</v>
      </c>
      <c r="M2027" s="22" t="str">
        <f>VLOOKUP($A2027, 'Hospitalisation Details'!$A:$L, 12, FALSE)</f>
        <v>tier - 2</v>
      </c>
      <c r="N2027" s="22" t="str">
        <f>VLOOKUP($A2027, 'Hospitalisation Details'!$A:$M, 13, FALSE)</f>
        <v>tier - 2</v>
      </c>
      <c r="O2027" s="22" t="str">
        <f>VLOOKUP($A2027, 'Hospitalisation Details'!$A:$N, 14, FALSE)</f>
        <v>R1013</v>
      </c>
      <c r="P2027" s="36">
        <f>VLOOKUP($A2027, 'Hospitalisation Details'!$A:$O, 15, FALSE)</f>
        <v>26</v>
      </c>
    </row>
    <row r="2028" ht="15.75" customHeight="1">
      <c r="A2028" s="33" t="s">
        <v>4055</v>
      </c>
      <c r="B2028" s="22" t="str">
        <f>VLOOKUP($A2028,'Customer Names'!$A:$D,3, FALSE)</f>
        <v>Downs</v>
      </c>
      <c r="C2028" s="22">
        <f>VLOOKUP($A2028,'Medical Examinations'!$A:$D, 2, FALSE)</f>
        <v>23.4</v>
      </c>
      <c r="D2028" s="22">
        <f>VLOOKUP($A2028, 'Medical Examinations'!$A:$D,3, FALSE)</f>
        <v>5.53</v>
      </c>
      <c r="E2028" s="22" t="str">
        <f>VLOOKUP($A2028, 'Medical Examinations'!$A:$D, 4, FALSE)</f>
        <v>No</v>
      </c>
      <c r="F2028" s="22" t="str">
        <f>VLOOKUP($A2028, 'Medical Examinations'!$A:$J, 5, FALSE)</f>
        <v>No</v>
      </c>
      <c r="G2028" s="22" t="str">
        <f>VLOOKUP($A2028, 'Medical Examinations'!$A:$I, 6, FALSE)</f>
        <v>Yes</v>
      </c>
      <c r="H2028" s="22">
        <f>VLOOKUP($A2028,'Medical Examinations'!$A:$L,10, FALSE)</f>
        <v>1</v>
      </c>
      <c r="I2028" s="22" t="str">
        <f>VLOOKUP($A2028, 'Medical Examinations'!$A:$J, 9, FALSE)</f>
        <v>No</v>
      </c>
      <c r="J2028" s="22" t="str">
        <f>VLOOKUP($A2028, 'Medical Examinations'!$A:$P, 11, FALSE)</f>
        <v>NORMAL WEIGHT</v>
      </c>
      <c r="K2028" s="34">
        <v>21449.0</v>
      </c>
      <c r="L2028" s="35">
        <f>VLOOKUP($A2028, 'Hospitalisation Details'!$A:$H, 7, FALSE)</f>
        <v>2913.57</v>
      </c>
      <c r="M2028" s="22" t="str">
        <f>VLOOKUP($A2028, 'Hospitalisation Details'!$A:$L, 12, FALSE)</f>
        <v>tier - 2</v>
      </c>
      <c r="N2028" s="22" t="str">
        <f>VLOOKUP($A2028, 'Hospitalisation Details'!$A:$M, 13, FALSE)</f>
        <v>tier - 2</v>
      </c>
      <c r="O2028" s="22" t="str">
        <f>VLOOKUP($A2028, 'Hospitalisation Details'!$A:$N, 14, FALSE)</f>
        <v>R1011</v>
      </c>
      <c r="P2028" s="36">
        <f>VLOOKUP($A2028, 'Hospitalisation Details'!$A:$O, 15, FALSE)</f>
        <v>20</v>
      </c>
    </row>
    <row r="2029" ht="15.75" customHeight="1">
      <c r="A2029" s="33" t="s">
        <v>4057</v>
      </c>
      <c r="B2029" s="22" t="str">
        <f>VLOOKUP($A2029,'Customer Names'!$A:$D,3, FALSE)</f>
        <v>Dent</v>
      </c>
      <c r="C2029" s="22">
        <f>VLOOKUP($A2029,'Medical Examinations'!$A:$D, 2, FALSE)</f>
        <v>30</v>
      </c>
      <c r="D2029" s="22">
        <f>VLOOKUP($A2029, 'Medical Examinations'!$A:$D,3, FALSE)</f>
        <v>4.33</v>
      </c>
      <c r="E2029" s="22" t="str">
        <f>VLOOKUP($A2029, 'Medical Examinations'!$A:$D, 4, FALSE)</f>
        <v>Yes</v>
      </c>
      <c r="F2029" s="22" t="str">
        <f>VLOOKUP($A2029, 'Medical Examinations'!$A:$J, 5, FALSE)</f>
        <v>No</v>
      </c>
      <c r="G2029" s="22" t="str">
        <f>VLOOKUP($A2029, 'Medical Examinations'!$A:$I, 6, FALSE)</f>
        <v>No</v>
      </c>
      <c r="H2029" s="22">
        <f>VLOOKUP($A2029,'Medical Examinations'!$A:$L,10, FALSE)</f>
        <v>0</v>
      </c>
      <c r="I2029" s="22" t="str">
        <f>VLOOKUP($A2029, 'Medical Examinations'!$A:$J, 9, FALSE)</f>
        <v>No</v>
      </c>
      <c r="J2029" s="22" t="str">
        <f>VLOOKUP($A2029, 'Medical Examinations'!$A:$P, 11, FALSE)</f>
        <v>OBESITY</v>
      </c>
      <c r="K2029" s="34">
        <v>30637.0</v>
      </c>
      <c r="L2029" s="35">
        <f>VLOOKUP($A2029, 'Hospitalisation Details'!$A:$H, 7, FALSE)</f>
        <v>2904.09</v>
      </c>
      <c r="M2029" s="22" t="str">
        <f>VLOOKUP($A2029, 'Hospitalisation Details'!$A:$L, 12, FALSE)</f>
        <v>tier - 2</v>
      </c>
      <c r="N2029" s="22" t="str">
        <f>VLOOKUP($A2029, 'Hospitalisation Details'!$A:$M, 13, FALSE)</f>
        <v>tier - 2</v>
      </c>
      <c r="O2029" s="22" t="str">
        <f>VLOOKUP($A2029, 'Hospitalisation Details'!$A:$N, 14, FALSE)</f>
        <v>R1011</v>
      </c>
      <c r="P2029" s="36">
        <f>VLOOKUP($A2029, 'Hospitalisation Details'!$A:$O, 15, FALSE)</f>
        <v>26</v>
      </c>
    </row>
    <row r="2030" ht="15.75" customHeight="1">
      <c r="A2030" s="33" t="s">
        <v>4059</v>
      </c>
      <c r="B2030" s="22" t="str">
        <f>VLOOKUP($A2030,'Customer Names'!$A:$D,3, FALSE)</f>
        <v>Ranti</v>
      </c>
      <c r="C2030" s="22">
        <f>VLOOKUP($A2030,'Medical Examinations'!$A:$D, 2, FALSE)</f>
        <v>29.15</v>
      </c>
      <c r="D2030" s="22">
        <f>VLOOKUP($A2030, 'Medical Examinations'!$A:$D,3, FALSE)</f>
        <v>4.91</v>
      </c>
      <c r="E2030" s="22" t="str">
        <f>VLOOKUP($A2030, 'Medical Examinations'!$A:$D, 4, FALSE)</f>
        <v>Yes</v>
      </c>
      <c r="F2030" s="22" t="str">
        <f>VLOOKUP($A2030, 'Medical Examinations'!$A:$J, 5, FALSE)</f>
        <v>No</v>
      </c>
      <c r="G2030" s="22" t="str">
        <f>VLOOKUP($A2030, 'Medical Examinations'!$A:$I, 6, FALSE)</f>
        <v>No</v>
      </c>
      <c r="H2030" s="22">
        <f>VLOOKUP($A2030,'Medical Examinations'!$A:$L,10, FALSE)</f>
        <v>0</v>
      </c>
      <c r="I2030" s="22" t="str">
        <f>VLOOKUP($A2030, 'Medical Examinations'!$A:$J, 9, FALSE)</f>
        <v>No</v>
      </c>
      <c r="J2030" s="22" t="str">
        <f>VLOOKUP($A2030, 'Medical Examinations'!$A:$P, 11, FALSE)</f>
        <v>OVERWEIGHT</v>
      </c>
      <c r="K2030" s="34">
        <v>25197.0</v>
      </c>
      <c r="L2030" s="35">
        <f>VLOOKUP($A2030, 'Hospitalisation Details'!$A:$H, 7, FALSE)</f>
        <v>2902.91</v>
      </c>
      <c r="M2030" s="22" t="str">
        <f>VLOOKUP($A2030, 'Hospitalisation Details'!$A:$L, 12, FALSE)</f>
        <v>tier - 2</v>
      </c>
      <c r="N2030" s="22" t="str">
        <f>VLOOKUP($A2030, 'Hospitalisation Details'!$A:$M, 13, FALSE)</f>
        <v>tier - 2</v>
      </c>
      <c r="O2030" s="22" t="str">
        <f>VLOOKUP($A2030, 'Hospitalisation Details'!$A:$N, 14, FALSE)</f>
        <v>R1013</v>
      </c>
      <c r="P2030" s="36">
        <f>VLOOKUP($A2030, 'Hospitalisation Details'!$A:$O, 15, FALSE)</f>
        <v>26</v>
      </c>
    </row>
    <row r="2031" ht="15.75" customHeight="1">
      <c r="A2031" s="33" t="s">
        <v>4061</v>
      </c>
      <c r="B2031" s="22" t="str">
        <f>VLOOKUP($A2031,'Customer Names'!$A:$D,3, FALSE)</f>
        <v>Ishaq</v>
      </c>
      <c r="C2031" s="22">
        <f>VLOOKUP($A2031,'Medical Examinations'!$A:$D, 2, FALSE)</f>
        <v>34.865</v>
      </c>
      <c r="D2031" s="22">
        <f>VLOOKUP($A2031, 'Medical Examinations'!$A:$D,3, FALSE)</f>
        <v>4.8</v>
      </c>
      <c r="E2031" s="22" t="str">
        <f>VLOOKUP($A2031, 'Medical Examinations'!$A:$D, 4, FALSE)</f>
        <v>No</v>
      </c>
      <c r="F2031" s="22" t="str">
        <f>VLOOKUP($A2031, 'Medical Examinations'!$A:$J, 5, FALSE)</f>
        <v>No</v>
      </c>
      <c r="G2031" s="22" t="str">
        <f>VLOOKUP($A2031, 'Medical Examinations'!$A:$I, 6, FALSE)</f>
        <v>No</v>
      </c>
      <c r="H2031" s="22">
        <f>VLOOKUP($A2031,'Medical Examinations'!$A:$L,10, FALSE)</f>
        <v>0</v>
      </c>
      <c r="I2031" s="22" t="str">
        <f>VLOOKUP($A2031, 'Medical Examinations'!$A:$J, 9, FALSE)</f>
        <v>No</v>
      </c>
      <c r="J2031" s="22" t="str">
        <f>VLOOKUP($A2031, 'Medical Examinations'!$A:$P, 11, FALSE)</f>
        <v>OBESITY</v>
      </c>
      <c r="K2031" s="34">
        <v>30870.0</v>
      </c>
      <c r="L2031" s="35">
        <f>VLOOKUP($A2031, 'Hospitalisation Details'!$A:$H, 7, FALSE)</f>
        <v>2899.49</v>
      </c>
      <c r="M2031" s="22" t="str">
        <f>VLOOKUP($A2031, 'Hospitalisation Details'!$A:$L, 12, FALSE)</f>
        <v>tier - 2</v>
      </c>
      <c r="N2031" s="22" t="str">
        <f>VLOOKUP($A2031, 'Hospitalisation Details'!$A:$M, 13, FALSE)</f>
        <v>tier - 2</v>
      </c>
      <c r="O2031" s="22" t="str">
        <f>VLOOKUP($A2031, 'Hospitalisation Details'!$A:$N, 14, FALSE)</f>
        <v>R1024</v>
      </c>
      <c r="P2031" s="36">
        <f>VLOOKUP($A2031, 'Hospitalisation Details'!$A:$O, 15, FALSE)</f>
        <v>23</v>
      </c>
    </row>
    <row r="2032" ht="15.75" customHeight="1">
      <c r="A2032" s="33" t="s">
        <v>4063</v>
      </c>
      <c r="B2032" s="22" t="str">
        <f>VLOOKUP($A2032,'Customer Names'!$A:$D,3, FALSE)</f>
        <v>Wiles</v>
      </c>
      <c r="C2032" s="22">
        <f>VLOOKUP($A2032,'Medical Examinations'!$A:$D, 2, FALSE)</f>
        <v>28.12</v>
      </c>
      <c r="D2032" s="22">
        <f>VLOOKUP($A2032, 'Medical Examinations'!$A:$D,3, FALSE)</f>
        <v>5.55</v>
      </c>
      <c r="E2032" s="22" t="str">
        <f>VLOOKUP($A2032, 'Medical Examinations'!$A:$D, 4, FALSE)</f>
        <v>Yes</v>
      </c>
      <c r="F2032" s="22" t="str">
        <f>VLOOKUP($A2032, 'Medical Examinations'!$A:$J, 5, FALSE)</f>
        <v>Yes</v>
      </c>
      <c r="G2032" s="22" t="str">
        <f>VLOOKUP($A2032, 'Medical Examinations'!$A:$I, 6, FALSE)</f>
        <v>No</v>
      </c>
      <c r="H2032" s="22">
        <f>VLOOKUP($A2032,'Medical Examinations'!$A:$L,10, FALSE)</f>
        <v>2</v>
      </c>
      <c r="I2032" s="22" t="str">
        <f>VLOOKUP($A2032, 'Medical Examinations'!$A:$J, 9, FALSE)</f>
        <v>No</v>
      </c>
      <c r="J2032" s="22" t="str">
        <f>VLOOKUP($A2032, 'Medical Examinations'!$A:$P, 11, FALSE)</f>
        <v>OVERWEIGHT</v>
      </c>
      <c r="K2032" s="34">
        <v>38174.0</v>
      </c>
      <c r="L2032" s="35">
        <f>VLOOKUP($A2032, 'Hospitalisation Details'!$A:$H, 7, FALSE)</f>
        <v>2897.46</v>
      </c>
      <c r="M2032" s="22" t="str">
        <f>VLOOKUP($A2032, 'Hospitalisation Details'!$A:$L, 12, FALSE)</f>
        <v>tier - 2</v>
      </c>
      <c r="N2032" s="22" t="str">
        <f>VLOOKUP($A2032, 'Hospitalisation Details'!$A:$M, 13, FALSE)</f>
        <v>tier - 1</v>
      </c>
      <c r="O2032" s="22" t="str">
        <f>VLOOKUP($A2032, 'Hospitalisation Details'!$A:$N, 14, FALSE)</f>
        <v>R1012</v>
      </c>
      <c r="P2032" s="36">
        <f>VLOOKUP($A2032, 'Hospitalisation Details'!$A:$O, 15, FALSE)</f>
        <v>22</v>
      </c>
    </row>
    <row r="2033" ht="15.75" customHeight="1">
      <c r="A2033" s="33" t="s">
        <v>4065</v>
      </c>
      <c r="B2033" s="22" t="str">
        <f>VLOOKUP($A2033,'Customer Names'!$A:$D,3, FALSE)</f>
        <v>Roberts</v>
      </c>
      <c r="C2033" s="22">
        <f>VLOOKUP($A2033,'Medical Examinations'!$A:$D, 2, FALSE)</f>
        <v>29.45</v>
      </c>
      <c r="D2033" s="22">
        <f>VLOOKUP($A2033, 'Medical Examinations'!$A:$D,3, FALSE)</f>
        <v>5.24</v>
      </c>
      <c r="E2033" s="22" t="str">
        <f>VLOOKUP($A2033, 'Medical Examinations'!$A:$D, 4, FALSE)</f>
        <v>Yes</v>
      </c>
      <c r="F2033" s="22" t="str">
        <f>VLOOKUP($A2033, 'Medical Examinations'!$A:$J, 5, FALSE)</f>
        <v>No</v>
      </c>
      <c r="G2033" s="22" t="str">
        <f>VLOOKUP($A2033, 'Medical Examinations'!$A:$I, 6, FALSE)</f>
        <v>No</v>
      </c>
      <c r="H2033" s="22">
        <f>VLOOKUP($A2033,'Medical Examinations'!$A:$L,10, FALSE)</f>
        <v>0</v>
      </c>
      <c r="I2033" s="22" t="str">
        <f>VLOOKUP($A2033, 'Medical Examinations'!$A:$J, 9, FALSE)</f>
        <v>No</v>
      </c>
      <c r="J2033" s="22" t="str">
        <f>VLOOKUP($A2033, 'Medical Examinations'!$A:$P, 11, FALSE)</f>
        <v>OVERWEIGHT</v>
      </c>
      <c r="K2033" s="34">
        <v>22446.0</v>
      </c>
      <c r="L2033" s="35">
        <f>VLOOKUP($A2033, 'Hospitalisation Details'!$A:$H, 7, FALSE)</f>
        <v>2897.32</v>
      </c>
      <c r="M2033" s="22" t="str">
        <f>VLOOKUP($A2033, 'Hospitalisation Details'!$A:$L, 12, FALSE)</f>
        <v>tier - 3</v>
      </c>
      <c r="N2033" s="22" t="str">
        <f>VLOOKUP($A2033, 'Hospitalisation Details'!$A:$M, 13, FALSE)</f>
        <v>tier - 3</v>
      </c>
      <c r="O2033" s="22" t="str">
        <f>VLOOKUP($A2033, 'Hospitalisation Details'!$A:$N, 14, FALSE)</f>
        <v>R1016</v>
      </c>
      <c r="P2033" s="36">
        <f>VLOOKUP($A2033, 'Hospitalisation Details'!$A:$O, 15, FALSE)</f>
        <v>26</v>
      </c>
    </row>
    <row r="2034" ht="15.75" customHeight="1">
      <c r="A2034" s="33" t="s">
        <v>4067</v>
      </c>
      <c r="B2034" s="22" t="str">
        <f>VLOOKUP($A2034,'Customer Names'!$A:$D,3, FALSE)</f>
        <v>Serafini</v>
      </c>
      <c r="C2034" s="22">
        <f>VLOOKUP($A2034,'Medical Examinations'!$A:$D, 2, FALSE)</f>
        <v>27.94</v>
      </c>
      <c r="D2034" s="22">
        <f>VLOOKUP($A2034, 'Medical Examinations'!$A:$D,3, FALSE)</f>
        <v>6.08</v>
      </c>
      <c r="E2034" s="22" t="str">
        <f>VLOOKUP($A2034, 'Medical Examinations'!$A:$D, 4, FALSE)</f>
        <v>No</v>
      </c>
      <c r="F2034" s="22" t="str">
        <f>VLOOKUP($A2034, 'Medical Examinations'!$A:$J, 5, FALSE)</f>
        <v>No</v>
      </c>
      <c r="G2034" s="22" t="str">
        <f>VLOOKUP($A2034, 'Medical Examinations'!$A:$I, 6, FALSE)</f>
        <v>Yes</v>
      </c>
      <c r="H2034" s="22">
        <f>VLOOKUP($A2034,'Medical Examinations'!$A:$L,10, FALSE)</f>
        <v>1</v>
      </c>
      <c r="I2034" s="22" t="str">
        <f>VLOOKUP($A2034, 'Medical Examinations'!$A:$J, 9, FALSE)</f>
        <v>No</v>
      </c>
      <c r="J2034" s="22" t="str">
        <f>VLOOKUP($A2034, 'Medical Examinations'!$A:$P, 11, FALSE)</f>
        <v>OVERWEIGHT</v>
      </c>
      <c r="K2034" s="34">
        <v>28029.0</v>
      </c>
      <c r="L2034" s="35">
        <f>VLOOKUP($A2034, 'Hospitalisation Details'!$A:$H, 7, FALSE)</f>
        <v>2867.12</v>
      </c>
      <c r="M2034" s="22" t="str">
        <f>VLOOKUP($A2034, 'Hospitalisation Details'!$A:$L, 12, FALSE)</f>
        <v>tier - 1</v>
      </c>
      <c r="N2034" s="22" t="str">
        <f>VLOOKUP($A2034, 'Hospitalisation Details'!$A:$M, 13, FALSE)</f>
        <v>tier - 3</v>
      </c>
      <c r="O2034" s="22" t="str">
        <f>VLOOKUP($A2034, 'Hospitalisation Details'!$A:$N, 14, FALSE)</f>
        <v>R1013</v>
      </c>
      <c r="P2034" s="36">
        <f>VLOOKUP($A2034, 'Hospitalisation Details'!$A:$O, 15, FALSE)</f>
        <v>29</v>
      </c>
    </row>
    <row r="2035" ht="15.75" customHeight="1">
      <c r="A2035" s="33" t="s">
        <v>4069</v>
      </c>
      <c r="B2035" s="22" t="str">
        <f>VLOOKUP($A2035,'Customer Names'!$A:$D,3, FALSE)</f>
        <v>Button</v>
      </c>
      <c r="C2035" s="22">
        <f>VLOOKUP($A2035,'Medical Examinations'!$A:$D, 2, FALSE)</f>
        <v>27.2</v>
      </c>
      <c r="D2035" s="22">
        <f>VLOOKUP($A2035, 'Medical Examinations'!$A:$D,3, FALSE)</f>
        <v>5.83</v>
      </c>
      <c r="E2035" s="22" t="str">
        <f>VLOOKUP($A2035, 'Medical Examinations'!$A:$D, 4, FALSE)</f>
        <v>No</v>
      </c>
      <c r="F2035" s="22" t="str">
        <f>VLOOKUP($A2035, 'Medical Examinations'!$A:$J, 5, FALSE)</f>
        <v>No</v>
      </c>
      <c r="G2035" s="22" t="str">
        <f>VLOOKUP($A2035, 'Medical Examinations'!$A:$I, 6, FALSE)</f>
        <v>Yes</v>
      </c>
      <c r="H2035" s="22">
        <f>VLOOKUP($A2035,'Medical Examinations'!$A:$L,10, FALSE)</f>
        <v>1</v>
      </c>
      <c r="I2035" s="22" t="str">
        <f>VLOOKUP($A2035, 'Medical Examinations'!$A:$J, 9, FALSE)</f>
        <v>No</v>
      </c>
      <c r="J2035" s="22" t="str">
        <f>VLOOKUP($A2035, 'Medical Examinations'!$A:$P, 11, FALSE)</f>
        <v>OVERWEIGHT</v>
      </c>
      <c r="K2035" s="34">
        <v>26458.0</v>
      </c>
      <c r="L2035" s="35">
        <f>VLOOKUP($A2035, 'Hospitalisation Details'!$A:$H, 7, FALSE)</f>
        <v>2866.09</v>
      </c>
      <c r="M2035" s="22" t="str">
        <f>VLOOKUP($A2035, 'Hospitalisation Details'!$A:$L, 12, FALSE)</f>
        <v>tier - 3</v>
      </c>
      <c r="N2035" s="22" t="str">
        <f>VLOOKUP($A2035, 'Hospitalisation Details'!$A:$M, 13, FALSE)</f>
        <v>tier - 3</v>
      </c>
      <c r="O2035" s="22" t="str">
        <f>VLOOKUP($A2035, 'Hospitalisation Details'!$A:$N, 14, FALSE)</f>
        <v>R1011</v>
      </c>
      <c r="P2035" s="36">
        <f>VLOOKUP($A2035, 'Hospitalisation Details'!$A:$O, 15, FALSE)</f>
        <v>29</v>
      </c>
    </row>
    <row r="2036" ht="15.75" customHeight="1">
      <c r="A2036" s="33" t="s">
        <v>4071</v>
      </c>
      <c r="B2036" s="22" t="str">
        <f>VLOOKUP($A2036,'Customer Names'!$A:$D,3, FALSE)</f>
        <v>Gaal</v>
      </c>
      <c r="C2036" s="22">
        <f>VLOOKUP($A2036,'Medical Examinations'!$A:$D, 2, FALSE)</f>
        <v>33.345</v>
      </c>
      <c r="D2036" s="22">
        <f>VLOOKUP($A2036, 'Medical Examinations'!$A:$D,3, FALSE)</f>
        <v>4.29</v>
      </c>
      <c r="E2036" s="22" t="str">
        <f>VLOOKUP($A2036, 'Medical Examinations'!$A:$D, 4, FALSE)</f>
        <v>No</v>
      </c>
      <c r="F2036" s="22" t="str">
        <f>VLOOKUP($A2036, 'Medical Examinations'!$A:$J, 5, FALSE)</f>
        <v>No</v>
      </c>
      <c r="G2036" s="22" t="str">
        <f>VLOOKUP($A2036, 'Medical Examinations'!$A:$I, 6, FALSE)</f>
        <v>No</v>
      </c>
      <c r="H2036" s="22">
        <f>VLOOKUP($A2036,'Medical Examinations'!$A:$L,10, FALSE)</f>
        <v>1</v>
      </c>
      <c r="I2036" s="22" t="str">
        <f>VLOOKUP($A2036, 'Medical Examinations'!$A:$J, 9, FALSE)</f>
        <v>No</v>
      </c>
      <c r="J2036" s="22" t="str">
        <f>VLOOKUP($A2036, 'Medical Examinations'!$A:$P, 11, FALSE)</f>
        <v>OBESITY</v>
      </c>
      <c r="K2036" s="34">
        <v>33493.0</v>
      </c>
      <c r="L2036" s="35">
        <f>VLOOKUP($A2036, 'Hospitalisation Details'!$A:$H, 7, FALSE)</f>
        <v>2855.44</v>
      </c>
      <c r="M2036" s="22" t="str">
        <f>VLOOKUP($A2036, 'Hospitalisation Details'!$A:$L, 12, FALSE)</f>
        <v>tier - 2</v>
      </c>
      <c r="N2036" s="22" t="str">
        <f>VLOOKUP($A2036, 'Hospitalisation Details'!$A:$M, 13, FALSE)</f>
        <v>tier - 3</v>
      </c>
      <c r="O2036" s="22" t="str">
        <f>VLOOKUP($A2036, 'Hospitalisation Details'!$A:$N, 14, FALSE)</f>
        <v>R1012</v>
      </c>
      <c r="P2036" s="36">
        <f>VLOOKUP($A2036, 'Hospitalisation Details'!$A:$O, 15, FALSE)</f>
        <v>24</v>
      </c>
    </row>
    <row r="2037" ht="15.75" customHeight="1">
      <c r="A2037" s="33" t="s">
        <v>4073</v>
      </c>
      <c r="B2037" s="22" t="str">
        <f>VLOOKUP($A2037,'Customer Names'!$A:$D,3, FALSE)</f>
        <v>Liptak</v>
      </c>
      <c r="C2037" s="22">
        <f>VLOOKUP($A2037,'Medical Examinations'!$A:$D, 2, FALSE)</f>
        <v>29.925</v>
      </c>
      <c r="D2037" s="22">
        <f>VLOOKUP($A2037, 'Medical Examinations'!$A:$D,3, FALSE)</f>
        <v>5.3</v>
      </c>
      <c r="E2037" s="22" t="str">
        <f>VLOOKUP($A2037, 'Medical Examinations'!$A:$D, 4, FALSE)</f>
        <v>No</v>
      </c>
      <c r="F2037" s="22" t="str">
        <f>VLOOKUP($A2037, 'Medical Examinations'!$A:$J, 5, FALSE)</f>
        <v>No</v>
      </c>
      <c r="G2037" s="22" t="str">
        <f>VLOOKUP($A2037, 'Medical Examinations'!$A:$I, 6, FALSE)</f>
        <v>No</v>
      </c>
      <c r="H2037" s="22">
        <f>VLOOKUP($A2037,'Medical Examinations'!$A:$L,10, FALSE)</f>
        <v>1</v>
      </c>
      <c r="I2037" s="22" t="str">
        <f>VLOOKUP($A2037, 'Medical Examinations'!$A:$J, 9, FALSE)</f>
        <v>No</v>
      </c>
      <c r="J2037" s="22" t="str">
        <f>VLOOKUP($A2037, 'Medical Examinations'!$A:$P, 11, FALSE)</f>
        <v>OBESITY</v>
      </c>
      <c r="K2037" s="34">
        <v>22228.0</v>
      </c>
      <c r="L2037" s="35">
        <f>VLOOKUP($A2037, 'Hospitalisation Details'!$A:$H, 7, FALSE)</f>
        <v>2850.68</v>
      </c>
      <c r="M2037" s="22" t="str">
        <f>VLOOKUP($A2037, 'Hospitalisation Details'!$A:$L, 12, FALSE)</f>
        <v>tier - 2</v>
      </c>
      <c r="N2037" s="22" t="str">
        <f>VLOOKUP($A2037, 'Hospitalisation Details'!$A:$M, 13, FALSE)</f>
        <v>tier - 3</v>
      </c>
      <c r="O2037" s="22" t="str">
        <f>VLOOKUP($A2037, 'Hospitalisation Details'!$A:$N, 14, FALSE)</f>
        <v>R1012</v>
      </c>
      <c r="P2037" s="36">
        <f>VLOOKUP($A2037, 'Hospitalisation Details'!$A:$O, 15, FALSE)</f>
        <v>24</v>
      </c>
    </row>
    <row r="2038" ht="15.75" customHeight="1">
      <c r="A2038" s="33" t="s">
        <v>4075</v>
      </c>
      <c r="B2038" s="22" t="str">
        <f>VLOOKUP($A2038,'Customer Names'!$A:$D,3, FALSE)</f>
        <v>Kellam</v>
      </c>
      <c r="C2038" s="22">
        <f>VLOOKUP($A2038,'Medical Examinations'!$A:$D, 2, FALSE)</f>
        <v>24.225</v>
      </c>
      <c r="D2038" s="22">
        <f>VLOOKUP($A2038, 'Medical Examinations'!$A:$D,3, FALSE)</f>
        <v>4.42</v>
      </c>
      <c r="E2038" s="22" t="str">
        <f>VLOOKUP($A2038, 'Medical Examinations'!$A:$D, 4, FALSE)</f>
        <v>No</v>
      </c>
      <c r="F2038" s="22" t="str">
        <f>VLOOKUP($A2038, 'Medical Examinations'!$A:$J, 5, FALSE)</f>
        <v>No</v>
      </c>
      <c r="G2038" s="22" t="str">
        <f>VLOOKUP($A2038, 'Medical Examinations'!$A:$I, 6, FALSE)</f>
        <v>No</v>
      </c>
      <c r="H2038" s="22">
        <f>VLOOKUP($A2038,'Medical Examinations'!$A:$L,10, FALSE)</f>
        <v>1</v>
      </c>
      <c r="I2038" s="22" t="str">
        <f>VLOOKUP($A2038, 'Medical Examinations'!$A:$J, 9, FALSE)</f>
        <v>No</v>
      </c>
      <c r="J2038" s="22" t="str">
        <f>VLOOKUP($A2038, 'Medical Examinations'!$A:$P, 11, FALSE)</f>
        <v>NORMAL WEIGHT</v>
      </c>
      <c r="K2038" s="34">
        <v>23200.0</v>
      </c>
      <c r="L2038" s="35">
        <f>VLOOKUP($A2038, 'Hospitalisation Details'!$A:$H, 7, FALSE)</f>
        <v>2842.76</v>
      </c>
      <c r="M2038" s="22" t="str">
        <f>VLOOKUP($A2038, 'Hospitalisation Details'!$A:$L, 12, FALSE)</f>
        <v>tier - 2</v>
      </c>
      <c r="N2038" s="22" t="str">
        <f>VLOOKUP($A2038, 'Hospitalisation Details'!$A:$M, 13, FALSE)</f>
        <v>tier - 3</v>
      </c>
      <c r="O2038" s="22" t="str">
        <f>VLOOKUP($A2038, 'Hospitalisation Details'!$A:$N, 14, FALSE)</f>
        <v>R1012</v>
      </c>
      <c r="P2038" s="36">
        <f>VLOOKUP($A2038, 'Hospitalisation Details'!$A:$O, 15, FALSE)</f>
        <v>24</v>
      </c>
    </row>
    <row r="2039" ht="15.75" customHeight="1">
      <c r="A2039" s="33" t="s">
        <v>4077</v>
      </c>
      <c r="B2039" s="22" t="str">
        <f>VLOOKUP($A2039,'Customer Names'!$A:$D,3, FALSE)</f>
        <v>Gordon</v>
      </c>
      <c r="C2039" s="22">
        <f>VLOOKUP($A2039,'Medical Examinations'!$A:$D, 2, FALSE)</f>
        <v>29.68</v>
      </c>
      <c r="D2039" s="22">
        <f>VLOOKUP($A2039, 'Medical Examinations'!$A:$D,3, FALSE)</f>
        <v>5.68</v>
      </c>
      <c r="E2039" s="22" t="str">
        <f>VLOOKUP($A2039, 'Medical Examinations'!$A:$D, 4, FALSE)</f>
        <v>No</v>
      </c>
      <c r="F2039" s="22" t="str">
        <f>VLOOKUP($A2039, 'Medical Examinations'!$A:$J, 5, FALSE)</f>
        <v>Yes</v>
      </c>
      <c r="G2039" s="22" t="str">
        <f>VLOOKUP($A2039, 'Medical Examinations'!$A:$I, 6, FALSE)</f>
        <v>No</v>
      </c>
      <c r="H2039" s="22">
        <f>VLOOKUP($A2039,'Medical Examinations'!$A:$L,10, FALSE)</f>
        <v>1</v>
      </c>
      <c r="I2039" s="22" t="str">
        <f>VLOOKUP($A2039, 'Medical Examinations'!$A:$J, 9, FALSE)</f>
        <v>No</v>
      </c>
      <c r="J2039" s="22" t="str">
        <f>VLOOKUP($A2039, 'Medical Examinations'!$A:$P, 11, FALSE)</f>
        <v>OVERWEIGHT</v>
      </c>
      <c r="K2039" s="34">
        <v>23198.0</v>
      </c>
      <c r="L2039" s="35">
        <f>VLOOKUP($A2039, 'Hospitalisation Details'!$A:$H, 7, FALSE)</f>
        <v>2819.51</v>
      </c>
      <c r="M2039" s="22" t="str">
        <f>VLOOKUP($A2039, 'Hospitalisation Details'!$A:$L, 12, FALSE)</f>
        <v>tier - 2</v>
      </c>
      <c r="N2039" s="22" t="str">
        <f>VLOOKUP($A2039, 'Hospitalisation Details'!$A:$M, 13, FALSE)</f>
        <v>tier - 3</v>
      </c>
      <c r="O2039" s="22" t="str">
        <f>VLOOKUP($A2039, 'Hospitalisation Details'!$A:$N, 14, FALSE)</f>
        <v>R1011</v>
      </c>
      <c r="P2039" s="36">
        <f>VLOOKUP($A2039, 'Hospitalisation Details'!$A:$O, 15, FALSE)</f>
        <v>22</v>
      </c>
    </row>
    <row r="2040" ht="15.75" customHeight="1">
      <c r="A2040" s="33" t="s">
        <v>4079</v>
      </c>
      <c r="B2040" s="22" t="str">
        <f>VLOOKUP($A2040,'Customer Names'!$A:$D,3, FALSE)</f>
        <v>Hyland</v>
      </c>
      <c r="C2040" s="22">
        <f>VLOOKUP($A2040,'Medical Examinations'!$A:$D, 2, FALSE)</f>
        <v>20.615</v>
      </c>
      <c r="D2040" s="22">
        <f>VLOOKUP($A2040, 'Medical Examinations'!$A:$D,3, FALSE)</f>
        <v>6.05</v>
      </c>
      <c r="E2040" s="22" t="str">
        <f>VLOOKUP($A2040, 'Medical Examinations'!$A:$D, 4, FALSE)</f>
        <v>No</v>
      </c>
      <c r="F2040" s="22" t="str">
        <f>VLOOKUP($A2040, 'Medical Examinations'!$A:$J, 5, FALSE)</f>
        <v>No</v>
      </c>
      <c r="G2040" s="22" t="str">
        <f>VLOOKUP($A2040, 'Medical Examinations'!$A:$I, 6, FALSE)</f>
        <v>Yes</v>
      </c>
      <c r="H2040" s="22">
        <f>VLOOKUP($A2040,'Medical Examinations'!$A:$L,10, FALSE)</f>
        <v>1</v>
      </c>
      <c r="I2040" s="22" t="str">
        <f>VLOOKUP($A2040, 'Medical Examinations'!$A:$J, 9, FALSE)</f>
        <v>No</v>
      </c>
      <c r="J2040" s="22" t="str">
        <f>VLOOKUP($A2040, 'Medical Examinations'!$A:$P, 11, FALSE)</f>
        <v>NORMAL WEIGHT</v>
      </c>
      <c r="K2040" s="34">
        <v>23368.0</v>
      </c>
      <c r="L2040" s="35">
        <f>VLOOKUP($A2040, 'Hospitalisation Details'!$A:$H, 7, FALSE)</f>
        <v>2803.7</v>
      </c>
      <c r="M2040" s="22" t="str">
        <f>VLOOKUP($A2040, 'Hospitalisation Details'!$A:$L, 12, FALSE)</f>
        <v>tier - 2</v>
      </c>
      <c r="N2040" s="22" t="str">
        <f>VLOOKUP($A2040, 'Hospitalisation Details'!$A:$M, 13, FALSE)</f>
        <v>tier - 1</v>
      </c>
      <c r="O2040" s="22" t="str">
        <f>VLOOKUP($A2040, 'Hospitalisation Details'!$A:$N, 14, FALSE)</f>
        <v>R1012</v>
      </c>
      <c r="P2040" s="36">
        <f>VLOOKUP($A2040, 'Hospitalisation Details'!$A:$O, 15, FALSE)</f>
        <v>19</v>
      </c>
    </row>
    <row r="2041" ht="15.75" customHeight="1">
      <c r="A2041" s="33" t="s">
        <v>4081</v>
      </c>
      <c r="B2041" s="22" t="str">
        <f>VLOOKUP($A2041,'Customer Names'!$A:$D,3, FALSE)</f>
        <v>Wagoner</v>
      </c>
      <c r="C2041" s="22">
        <f>VLOOKUP($A2041,'Medical Examinations'!$A:$D, 2, FALSE)</f>
        <v>32.12</v>
      </c>
      <c r="D2041" s="22">
        <f>VLOOKUP($A2041, 'Medical Examinations'!$A:$D,3, FALSE)</f>
        <v>5.33</v>
      </c>
      <c r="E2041" s="22" t="str">
        <f>VLOOKUP($A2041, 'Medical Examinations'!$A:$D, 4, FALSE)</f>
        <v>No</v>
      </c>
      <c r="F2041" s="22" t="str">
        <f>VLOOKUP($A2041, 'Medical Examinations'!$A:$J, 5, FALSE)</f>
        <v>Yes</v>
      </c>
      <c r="G2041" s="22" t="str">
        <f>VLOOKUP($A2041, 'Medical Examinations'!$A:$I, 6, FALSE)</f>
        <v>No</v>
      </c>
      <c r="H2041" s="22">
        <f>VLOOKUP($A2041,'Medical Examinations'!$A:$L,10, FALSE)</f>
        <v>1</v>
      </c>
      <c r="I2041" s="22" t="str">
        <f>VLOOKUP($A2041, 'Medical Examinations'!$A:$J, 9, FALSE)</f>
        <v>No</v>
      </c>
      <c r="J2041" s="22" t="str">
        <f>VLOOKUP($A2041, 'Medical Examinations'!$A:$P, 11, FALSE)</f>
        <v>OBESITY</v>
      </c>
      <c r="K2041" s="34">
        <v>21799.0</v>
      </c>
      <c r="L2041" s="35">
        <f>VLOOKUP($A2041, 'Hospitalisation Details'!$A:$H, 7, FALSE)</f>
        <v>2801.26</v>
      </c>
      <c r="M2041" s="22" t="str">
        <f>VLOOKUP($A2041, 'Hospitalisation Details'!$A:$L, 12, FALSE)</f>
        <v>tier - 2</v>
      </c>
      <c r="N2041" s="22" t="str">
        <f>VLOOKUP($A2041, 'Hospitalisation Details'!$A:$M, 13, FALSE)</f>
        <v>tier - 3</v>
      </c>
      <c r="O2041" s="22" t="str">
        <f>VLOOKUP($A2041, 'Hospitalisation Details'!$A:$N, 14, FALSE)</f>
        <v>R1013</v>
      </c>
      <c r="P2041" s="36">
        <f>VLOOKUP($A2041, 'Hospitalisation Details'!$A:$O, 15, FALSE)</f>
        <v>18</v>
      </c>
    </row>
    <row r="2042" ht="15.75" customHeight="1">
      <c r="A2042" s="33" t="s">
        <v>4083</v>
      </c>
      <c r="B2042" s="22" t="str">
        <f>VLOOKUP($A2042,'Customer Names'!$A:$D,3, FALSE)</f>
        <v>Thomas</v>
      </c>
      <c r="C2042" s="22">
        <f>VLOOKUP($A2042,'Medical Examinations'!$A:$D, 2, FALSE)</f>
        <v>27.36</v>
      </c>
      <c r="D2042" s="22">
        <f>VLOOKUP($A2042, 'Medical Examinations'!$A:$D,3, FALSE)</f>
        <v>6.22</v>
      </c>
      <c r="E2042" s="22" t="str">
        <f>VLOOKUP($A2042, 'Medical Examinations'!$A:$D, 4, FALSE)</f>
        <v>No</v>
      </c>
      <c r="F2042" s="22" t="str">
        <f>VLOOKUP($A2042, 'Medical Examinations'!$A:$J, 5, FALSE)</f>
        <v>No</v>
      </c>
      <c r="G2042" s="22" t="str">
        <f>VLOOKUP($A2042, 'Medical Examinations'!$A:$I, 6, FALSE)</f>
        <v>No</v>
      </c>
      <c r="H2042" s="22">
        <f>VLOOKUP($A2042,'Medical Examinations'!$A:$L,10, FALSE)</f>
        <v>0</v>
      </c>
      <c r="I2042" s="22" t="str">
        <f>VLOOKUP($A2042, 'Medical Examinations'!$A:$J, 9, FALSE)</f>
        <v>No</v>
      </c>
      <c r="J2042" s="22" t="str">
        <f>VLOOKUP($A2042, 'Medical Examinations'!$A:$P, 11, FALSE)</f>
        <v>OVERWEIGHT</v>
      </c>
      <c r="K2042" s="34">
        <v>33067.0</v>
      </c>
      <c r="L2042" s="35">
        <f>VLOOKUP($A2042, 'Hospitalisation Details'!$A:$H, 7, FALSE)</f>
        <v>2789.06</v>
      </c>
      <c r="M2042" s="22" t="str">
        <f>VLOOKUP($A2042, 'Hospitalisation Details'!$A:$L, 12, FALSE)</f>
        <v>tier - 2</v>
      </c>
      <c r="N2042" s="22" t="str">
        <f>VLOOKUP($A2042, 'Hospitalisation Details'!$A:$M, 13, FALSE)</f>
        <v>tier - 3</v>
      </c>
      <c r="O2042" s="22" t="str">
        <f>VLOOKUP($A2042, 'Hospitalisation Details'!$A:$N, 14, FALSE)</f>
        <v>R1012</v>
      </c>
      <c r="P2042" s="36">
        <f>VLOOKUP($A2042, 'Hospitalisation Details'!$A:$O, 15, FALSE)</f>
        <v>23</v>
      </c>
    </row>
    <row r="2043" ht="15.75" customHeight="1">
      <c r="A2043" s="33" t="s">
        <v>4085</v>
      </c>
      <c r="B2043" s="22" t="str">
        <f>VLOOKUP($A2043,'Customer Names'!$A:$D,3, FALSE)</f>
        <v>Goffi</v>
      </c>
      <c r="C2043" s="22">
        <f>VLOOKUP($A2043,'Medical Examinations'!$A:$D, 2, FALSE)</f>
        <v>17.385</v>
      </c>
      <c r="D2043" s="22">
        <f>VLOOKUP($A2043, 'Medical Examinations'!$A:$D,3, FALSE)</f>
        <v>5.84</v>
      </c>
      <c r="E2043" s="22" t="str">
        <f>VLOOKUP($A2043, 'Medical Examinations'!$A:$D, 4, FALSE)</f>
        <v>No</v>
      </c>
      <c r="F2043" s="22" t="str">
        <f>VLOOKUP($A2043, 'Medical Examinations'!$A:$J, 5, FALSE)</f>
        <v>No</v>
      </c>
      <c r="G2043" s="22" t="str">
        <f>VLOOKUP($A2043, 'Medical Examinations'!$A:$I, 6, FALSE)</f>
        <v>No</v>
      </c>
      <c r="H2043" s="22">
        <f>VLOOKUP($A2043,'Medical Examinations'!$A:$L,10, FALSE)</f>
        <v>0</v>
      </c>
      <c r="I2043" s="22" t="str">
        <f>VLOOKUP($A2043, 'Medical Examinations'!$A:$J, 9, FALSE)</f>
        <v>No</v>
      </c>
      <c r="J2043" s="22" t="str">
        <f>VLOOKUP($A2043, 'Medical Examinations'!$A:$P, 11, FALSE)</f>
        <v>UNDERWEIGHT</v>
      </c>
      <c r="K2043" s="34">
        <v>21791.0</v>
      </c>
      <c r="L2043" s="35">
        <f>VLOOKUP($A2043, 'Hospitalisation Details'!$A:$H, 7, FALSE)</f>
        <v>2775.19</v>
      </c>
      <c r="M2043" s="22" t="str">
        <f>VLOOKUP($A2043, 'Hospitalisation Details'!$A:$L, 12, FALSE)</f>
        <v>tier - 2</v>
      </c>
      <c r="N2043" s="22" t="str">
        <f>VLOOKUP($A2043, 'Hospitalisation Details'!$A:$M, 13, FALSE)</f>
        <v>tier - 1</v>
      </c>
      <c r="O2043" s="22" t="str">
        <f>VLOOKUP($A2043, 'Hospitalisation Details'!$A:$N, 14, FALSE)</f>
        <v>R1012</v>
      </c>
      <c r="P2043" s="36">
        <f>VLOOKUP($A2043, 'Hospitalisation Details'!$A:$O, 15, FALSE)</f>
        <v>23</v>
      </c>
    </row>
    <row r="2044" ht="15.75" customHeight="1">
      <c r="A2044" s="33" t="s">
        <v>4087</v>
      </c>
      <c r="B2044" s="22" t="str">
        <f>VLOOKUP($A2044,'Customer Names'!$A:$D,3, FALSE)</f>
        <v>Salovaara</v>
      </c>
      <c r="C2044" s="22">
        <f>VLOOKUP($A2044,'Medical Examinations'!$A:$D, 2, FALSE)</f>
        <v>30.13</v>
      </c>
      <c r="D2044" s="22">
        <f>VLOOKUP($A2044, 'Medical Examinations'!$A:$D,3, FALSE)</f>
        <v>5.71</v>
      </c>
      <c r="E2044" s="22" t="str">
        <f>VLOOKUP($A2044, 'Medical Examinations'!$A:$D, 4, FALSE)</f>
        <v>No</v>
      </c>
      <c r="F2044" s="22" t="str">
        <f>VLOOKUP($A2044, 'Medical Examinations'!$A:$J, 5, FALSE)</f>
        <v>Yes</v>
      </c>
      <c r="G2044" s="22" t="str">
        <f>VLOOKUP($A2044, 'Medical Examinations'!$A:$I, 6, FALSE)</f>
        <v>No</v>
      </c>
      <c r="H2044" s="22">
        <f>VLOOKUP($A2044,'Medical Examinations'!$A:$L,10, FALSE)</f>
        <v>1</v>
      </c>
      <c r="I2044" s="22" t="str">
        <f>VLOOKUP($A2044, 'Medical Examinations'!$A:$J, 9, FALSE)</f>
        <v>No</v>
      </c>
      <c r="J2044" s="22" t="str">
        <f>VLOOKUP($A2044, 'Medical Examinations'!$A:$P, 11, FALSE)</f>
        <v>OBESITY</v>
      </c>
      <c r="K2044" s="34">
        <v>22085.0</v>
      </c>
      <c r="L2044" s="35">
        <f>VLOOKUP($A2044, 'Hospitalisation Details'!$A:$H, 7, FALSE)</f>
        <v>2773.46</v>
      </c>
      <c r="M2044" s="22" t="str">
        <f>VLOOKUP($A2044, 'Hospitalisation Details'!$A:$L, 12, FALSE)</f>
        <v>tier - 2</v>
      </c>
      <c r="N2044" s="22" t="str">
        <f>VLOOKUP($A2044, 'Hospitalisation Details'!$A:$M, 13, FALSE)</f>
        <v>tier - 1</v>
      </c>
      <c r="O2044" s="22" t="str">
        <f>VLOOKUP($A2044, 'Hospitalisation Details'!$A:$N, 14, FALSE)</f>
        <v>R1021</v>
      </c>
      <c r="P2044" s="36">
        <f>VLOOKUP($A2044, 'Hospitalisation Details'!$A:$O, 15, FALSE)</f>
        <v>18</v>
      </c>
    </row>
    <row r="2045" ht="15.75" customHeight="1">
      <c r="A2045" s="33" t="s">
        <v>4089</v>
      </c>
      <c r="B2045" s="22" t="str">
        <f>VLOOKUP($A2045,'Customer Names'!$A:$D,3, FALSE)</f>
        <v>Reid</v>
      </c>
      <c r="C2045" s="22">
        <f>VLOOKUP($A2045,'Medical Examinations'!$A:$D, 2, FALSE)</f>
        <v>25.44</v>
      </c>
      <c r="D2045" s="22">
        <f>VLOOKUP($A2045, 'Medical Examinations'!$A:$D,3, FALSE)</f>
        <v>6.04</v>
      </c>
      <c r="E2045" s="22" t="str">
        <f>VLOOKUP($A2045, 'Medical Examinations'!$A:$D, 4, FALSE)</f>
        <v>Yes</v>
      </c>
      <c r="F2045" s="22" t="str">
        <f>VLOOKUP($A2045, 'Medical Examinations'!$A:$J, 5, FALSE)</f>
        <v>No</v>
      </c>
      <c r="G2045" s="22" t="str">
        <f>VLOOKUP($A2045, 'Medical Examinations'!$A:$I, 6, FALSE)</f>
        <v>Yes</v>
      </c>
      <c r="H2045" s="22">
        <f>VLOOKUP($A2045,'Medical Examinations'!$A:$L,10, FALSE)</f>
        <v>1</v>
      </c>
      <c r="I2045" s="22" t="str">
        <f>VLOOKUP($A2045, 'Medical Examinations'!$A:$J, 9, FALSE)</f>
        <v>No</v>
      </c>
      <c r="J2045" s="22" t="str">
        <f>VLOOKUP($A2045, 'Medical Examinations'!$A:$P, 11, FALSE)</f>
        <v>OVERWEIGHT</v>
      </c>
      <c r="K2045" s="34">
        <v>22854.0</v>
      </c>
      <c r="L2045" s="35">
        <f>VLOOKUP($A2045, 'Hospitalisation Details'!$A:$H, 7, FALSE)</f>
        <v>2758.99</v>
      </c>
      <c r="M2045" s="22" t="str">
        <f>VLOOKUP($A2045, 'Hospitalisation Details'!$A:$L, 12, FALSE)</f>
        <v>tier - 2</v>
      </c>
      <c r="N2045" s="22" t="str">
        <f>VLOOKUP($A2045, 'Hospitalisation Details'!$A:$M, 13, FALSE)</f>
        <v>tier - 1</v>
      </c>
      <c r="O2045" s="22" t="str">
        <f>VLOOKUP($A2045, 'Hospitalisation Details'!$A:$N, 14, FALSE)</f>
        <v>R1012</v>
      </c>
      <c r="P2045" s="36">
        <f>VLOOKUP($A2045, 'Hospitalisation Details'!$A:$O, 15, FALSE)</f>
        <v>25</v>
      </c>
    </row>
    <row r="2046" ht="15.75" customHeight="1">
      <c r="A2046" s="33" t="s">
        <v>4091</v>
      </c>
      <c r="B2046" s="22" t="str">
        <f>VLOOKUP($A2046,'Customer Names'!$A:$D,3, FALSE)</f>
        <v>Allan</v>
      </c>
      <c r="C2046" s="22">
        <f>VLOOKUP($A2046,'Medical Examinations'!$A:$D, 2, FALSE)</f>
        <v>39.805</v>
      </c>
      <c r="D2046" s="22">
        <f>VLOOKUP($A2046, 'Medical Examinations'!$A:$D,3, FALSE)</f>
        <v>4.38</v>
      </c>
      <c r="E2046" s="22" t="str">
        <f>VLOOKUP($A2046, 'Medical Examinations'!$A:$D, 4, FALSE)</f>
        <v>No</v>
      </c>
      <c r="F2046" s="22" t="str">
        <f>VLOOKUP($A2046, 'Medical Examinations'!$A:$J, 5, FALSE)</f>
        <v>Yes</v>
      </c>
      <c r="G2046" s="22" t="str">
        <f>VLOOKUP($A2046, 'Medical Examinations'!$A:$I, 6, FALSE)</f>
        <v>No</v>
      </c>
      <c r="H2046" s="22">
        <f>VLOOKUP($A2046,'Medical Examinations'!$A:$L,10, FALSE)</f>
        <v>1</v>
      </c>
      <c r="I2046" s="22" t="str">
        <f>VLOOKUP($A2046, 'Medical Examinations'!$A:$J, 9, FALSE)</f>
        <v>No</v>
      </c>
      <c r="J2046" s="22" t="str">
        <f>VLOOKUP($A2046, 'Medical Examinations'!$A:$P, 11, FALSE)</f>
        <v>OBESITY</v>
      </c>
      <c r="K2046" s="34">
        <v>24371.0</v>
      </c>
      <c r="L2046" s="35">
        <f>VLOOKUP($A2046, 'Hospitalisation Details'!$A:$H, 7, FALSE)</f>
        <v>2755.02</v>
      </c>
      <c r="M2046" s="22" t="str">
        <f>VLOOKUP($A2046, 'Hospitalisation Details'!$A:$L, 12, FALSE)</f>
        <v>tier - 2</v>
      </c>
      <c r="N2046" s="22" t="str">
        <f>VLOOKUP($A2046, 'Hospitalisation Details'!$A:$M, 13, FALSE)</f>
        <v>tier - 1</v>
      </c>
      <c r="O2046" s="22" t="str">
        <f>VLOOKUP($A2046, 'Hospitalisation Details'!$A:$N, 14, FALSE)</f>
        <v>R1024</v>
      </c>
      <c r="P2046" s="36">
        <f>VLOOKUP($A2046, 'Hospitalisation Details'!$A:$O, 15, FALSE)</f>
        <v>22</v>
      </c>
    </row>
    <row r="2047" ht="15.75" customHeight="1">
      <c r="A2047" s="33" t="s">
        <v>4093</v>
      </c>
      <c r="B2047" s="22" t="str">
        <f>VLOOKUP($A2047,'Customer Names'!$A:$D,3, FALSE)</f>
        <v>McLaughlin</v>
      </c>
      <c r="C2047" s="22">
        <f>VLOOKUP($A2047,'Medical Examinations'!$A:$D, 2, FALSE)</f>
        <v>30.4</v>
      </c>
      <c r="D2047" s="22">
        <f>VLOOKUP($A2047, 'Medical Examinations'!$A:$D,3, FALSE)</f>
        <v>5.56</v>
      </c>
      <c r="E2047" s="22" t="str">
        <f>VLOOKUP($A2047, 'Medical Examinations'!$A:$D, 4, FALSE)</f>
        <v>Yes</v>
      </c>
      <c r="F2047" s="22" t="str">
        <f>VLOOKUP($A2047, 'Medical Examinations'!$A:$J, 5, FALSE)</f>
        <v>Yes</v>
      </c>
      <c r="G2047" s="22" t="str">
        <f>VLOOKUP($A2047, 'Medical Examinations'!$A:$I, 6, FALSE)</f>
        <v>No</v>
      </c>
      <c r="H2047" s="22">
        <f>VLOOKUP($A2047,'Medical Examinations'!$A:$L,10, FALSE)</f>
        <v>1</v>
      </c>
      <c r="I2047" s="22" t="str">
        <f>VLOOKUP($A2047, 'Medical Examinations'!$A:$J, 9, FALSE)</f>
        <v>No</v>
      </c>
      <c r="J2047" s="22" t="str">
        <f>VLOOKUP($A2047, 'Medical Examinations'!$A:$P, 11, FALSE)</f>
        <v>OBESITY</v>
      </c>
      <c r="K2047" s="34">
        <v>21738.0</v>
      </c>
      <c r="L2047" s="35">
        <f>VLOOKUP($A2047, 'Hospitalisation Details'!$A:$H, 7, FALSE)</f>
        <v>2741.95</v>
      </c>
      <c r="M2047" s="22" t="str">
        <f>VLOOKUP($A2047, 'Hospitalisation Details'!$A:$L, 12, FALSE)</f>
        <v>tier - 2</v>
      </c>
      <c r="N2047" s="22" t="str">
        <f>VLOOKUP($A2047, 'Hospitalisation Details'!$A:$M, 13, FALSE)</f>
        <v>tier - 3</v>
      </c>
      <c r="O2047" s="22" t="str">
        <f>VLOOKUP($A2047, 'Hospitalisation Details'!$A:$N, 14, FALSE)</f>
        <v>R1024</v>
      </c>
      <c r="P2047" s="36">
        <f>VLOOKUP($A2047, 'Hospitalisation Details'!$A:$O, 15, FALSE)</f>
        <v>22</v>
      </c>
    </row>
    <row r="2048" ht="15.75" customHeight="1">
      <c r="A2048" s="33" t="s">
        <v>4095</v>
      </c>
      <c r="B2048" s="22" t="str">
        <f>VLOOKUP($A2048,'Customer Names'!$A:$D,3, FALSE)</f>
        <v>Lee</v>
      </c>
      <c r="C2048" s="22">
        <f>VLOOKUP($A2048,'Medical Examinations'!$A:$D, 2, FALSE)</f>
        <v>23.18</v>
      </c>
      <c r="D2048" s="22">
        <f>VLOOKUP($A2048, 'Medical Examinations'!$A:$D,3, FALSE)</f>
        <v>4.24</v>
      </c>
      <c r="E2048" s="22" t="str">
        <f>VLOOKUP($A2048, 'Medical Examinations'!$A:$D, 4, FALSE)</f>
        <v>No</v>
      </c>
      <c r="F2048" s="22" t="str">
        <f>VLOOKUP($A2048, 'Medical Examinations'!$A:$J, 5, FALSE)</f>
        <v>Yes</v>
      </c>
      <c r="G2048" s="22" t="str">
        <f>VLOOKUP($A2048, 'Medical Examinations'!$A:$I, 6, FALSE)</f>
        <v>No</v>
      </c>
      <c r="H2048" s="22">
        <f>VLOOKUP($A2048,'Medical Examinations'!$A:$L,10, FALSE)</f>
        <v>1</v>
      </c>
      <c r="I2048" s="22" t="str">
        <f>VLOOKUP($A2048, 'Medical Examinations'!$A:$J, 9, FALSE)</f>
        <v>No</v>
      </c>
      <c r="J2048" s="22" t="str">
        <f>VLOOKUP($A2048, 'Medical Examinations'!$A:$P, 11, FALSE)</f>
        <v>NORMAL WEIGHT</v>
      </c>
      <c r="K2048" s="34">
        <v>21913.0</v>
      </c>
      <c r="L2048" s="35">
        <f>VLOOKUP($A2048, 'Hospitalisation Details'!$A:$H, 7, FALSE)</f>
        <v>2731.91</v>
      </c>
      <c r="M2048" s="22" t="str">
        <f>VLOOKUP($A2048, 'Hospitalisation Details'!$A:$L, 12, FALSE)</f>
        <v>tier - 2</v>
      </c>
      <c r="N2048" s="22" t="str">
        <f>VLOOKUP($A2048, 'Hospitalisation Details'!$A:$M, 13, FALSE)</f>
        <v>tier - 3</v>
      </c>
      <c r="O2048" s="22" t="str">
        <f>VLOOKUP($A2048, 'Hospitalisation Details'!$A:$N, 14, FALSE)</f>
        <v>R1024</v>
      </c>
      <c r="P2048" s="36">
        <f>VLOOKUP($A2048, 'Hospitalisation Details'!$A:$O, 15, FALSE)</f>
        <v>22</v>
      </c>
    </row>
    <row r="2049" ht="15.75" customHeight="1">
      <c r="A2049" s="33" t="s">
        <v>4097</v>
      </c>
      <c r="B2049" s="22" t="str">
        <f>VLOOKUP($A2049,'Customer Names'!$A:$D,3, FALSE)</f>
        <v>Tang</v>
      </c>
      <c r="C2049" s="22">
        <f>VLOOKUP($A2049,'Medical Examinations'!$A:$D, 2, FALSE)</f>
        <v>39.615</v>
      </c>
      <c r="D2049" s="22">
        <f>VLOOKUP($A2049, 'Medical Examinations'!$A:$D,3, FALSE)</f>
        <v>6.32</v>
      </c>
      <c r="E2049" s="22" t="str">
        <f>VLOOKUP($A2049, 'Medical Examinations'!$A:$D, 4, FALSE)</f>
        <v>No</v>
      </c>
      <c r="F2049" s="22" t="str">
        <f>VLOOKUP($A2049, 'Medical Examinations'!$A:$J, 5, FALSE)</f>
        <v>No</v>
      </c>
      <c r="G2049" s="22" t="str">
        <f>VLOOKUP($A2049, 'Medical Examinations'!$A:$I, 6, FALSE)</f>
        <v>Yes</v>
      </c>
      <c r="H2049" s="22">
        <f>VLOOKUP($A2049,'Medical Examinations'!$A:$L,10, FALSE)</f>
        <v>1</v>
      </c>
      <c r="I2049" s="22" t="str">
        <f>VLOOKUP($A2049, 'Medical Examinations'!$A:$J, 9, FALSE)</f>
        <v>No</v>
      </c>
      <c r="J2049" s="22" t="str">
        <f>VLOOKUP($A2049, 'Medical Examinations'!$A:$P, 11, FALSE)</f>
        <v>OBESITY</v>
      </c>
      <c r="K2049" s="34">
        <v>31315.0</v>
      </c>
      <c r="L2049" s="35">
        <f>VLOOKUP($A2049, 'Hospitalisation Details'!$A:$H, 7, FALSE)</f>
        <v>2730.11</v>
      </c>
      <c r="M2049" s="22" t="str">
        <f>VLOOKUP($A2049, 'Hospitalisation Details'!$A:$L, 12, FALSE)</f>
        <v>tier - 2</v>
      </c>
      <c r="N2049" s="22" t="str">
        <f>VLOOKUP($A2049, 'Hospitalisation Details'!$A:$M, 13, FALSE)</f>
        <v>tier - 3</v>
      </c>
      <c r="O2049" s="22" t="str">
        <f>VLOOKUP($A2049, 'Hospitalisation Details'!$A:$N, 14, FALSE)</f>
        <v>R1012</v>
      </c>
      <c r="P2049" s="36">
        <f>VLOOKUP($A2049, 'Hospitalisation Details'!$A:$O, 15, FALSE)</f>
        <v>19</v>
      </c>
    </row>
    <row r="2050" ht="15.75" customHeight="1">
      <c r="A2050" s="33" t="s">
        <v>4099</v>
      </c>
      <c r="B2050" s="22" t="str">
        <f>VLOOKUP($A2050,'Customer Names'!$A:$D,3, FALSE)</f>
        <v>Kennedy</v>
      </c>
      <c r="C2050" s="22">
        <f>VLOOKUP($A2050,'Medical Examinations'!$A:$D, 2, FALSE)</f>
        <v>30.59</v>
      </c>
      <c r="D2050" s="22">
        <f>VLOOKUP($A2050, 'Medical Examinations'!$A:$D,3, FALSE)</f>
        <v>6.3</v>
      </c>
      <c r="E2050" s="22" t="str">
        <f>VLOOKUP($A2050, 'Medical Examinations'!$A:$D, 4, FALSE)</f>
        <v>Yes</v>
      </c>
      <c r="F2050" s="22" t="str">
        <f>VLOOKUP($A2050, 'Medical Examinations'!$A:$J, 5, FALSE)</f>
        <v>No</v>
      </c>
      <c r="G2050" s="22" t="str">
        <f>VLOOKUP($A2050, 'Medical Examinations'!$A:$I, 6, FALSE)</f>
        <v>Yes</v>
      </c>
      <c r="H2050" s="22">
        <f>VLOOKUP($A2050,'Medical Examinations'!$A:$L,10, FALSE)</f>
        <v>1</v>
      </c>
      <c r="I2050" s="22" t="str">
        <f>VLOOKUP($A2050, 'Medical Examinations'!$A:$J, 9, FALSE)</f>
        <v>No</v>
      </c>
      <c r="J2050" s="22" t="str">
        <f>VLOOKUP($A2050, 'Medical Examinations'!$A:$P, 11, FALSE)</f>
        <v>OBESITY</v>
      </c>
      <c r="K2050" s="34">
        <v>21828.0</v>
      </c>
      <c r="L2050" s="35">
        <f>VLOOKUP($A2050, 'Hospitalisation Details'!$A:$H, 7, FALSE)</f>
        <v>2727.4</v>
      </c>
      <c r="M2050" s="22" t="str">
        <f>VLOOKUP($A2050, 'Hospitalisation Details'!$A:$L, 12, FALSE)</f>
        <v>tier - 3</v>
      </c>
      <c r="N2050" s="22" t="str">
        <f>VLOOKUP($A2050, 'Hospitalisation Details'!$A:$M, 13, FALSE)</f>
        <v>tier - 3</v>
      </c>
      <c r="O2050" s="22" t="str">
        <f>VLOOKUP($A2050, 'Hospitalisation Details'!$A:$N, 14, FALSE)</f>
        <v>R1016</v>
      </c>
      <c r="P2050" s="36">
        <f>VLOOKUP($A2050, 'Hospitalisation Details'!$A:$O, 15, FALSE)</f>
        <v>25</v>
      </c>
    </row>
    <row r="2051" ht="15.75" customHeight="1">
      <c r="A2051" s="33" t="s">
        <v>4101</v>
      </c>
      <c r="B2051" s="22" t="str">
        <f>VLOOKUP($A2051,'Customer Names'!$A:$D,3, FALSE)</f>
        <v>Condon</v>
      </c>
      <c r="C2051" s="22">
        <f>VLOOKUP($A2051,'Medical Examinations'!$A:$D, 2, FALSE)</f>
        <v>16.72</v>
      </c>
      <c r="D2051" s="22">
        <f>VLOOKUP($A2051, 'Medical Examinations'!$A:$D,3, FALSE)</f>
        <v>4.38</v>
      </c>
      <c r="E2051" s="22" t="str">
        <f>VLOOKUP($A2051, 'Medical Examinations'!$A:$D, 4, FALSE)</f>
        <v>Yes</v>
      </c>
      <c r="F2051" s="22" t="str">
        <f>VLOOKUP($A2051, 'Medical Examinations'!$A:$J, 5, FALSE)</f>
        <v>No</v>
      </c>
      <c r="G2051" s="22" t="str">
        <f>VLOOKUP($A2051, 'Medical Examinations'!$A:$I, 6, FALSE)</f>
        <v>No</v>
      </c>
      <c r="H2051" s="22">
        <f>VLOOKUP($A2051,'Medical Examinations'!$A:$L,10, FALSE)</f>
        <v>1</v>
      </c>
      <c r="I2051" s="22" t="str">
        <f>VLOOKUP($A2051, 'Medical Examinations'!$A:$J, 9, FALSE)</f>
        <v>No</v>
      </c>
      <c r="J2051" s="22" t="str">
        <f>VLOOKUP($A2051, 'Medical Examinations'!$A:$P, 11, FALSE)</f>
        <v>UNDERWEIGHT</v>
      </c>
      <c r="K2051" s="34">
        <v>28843.0</v>
      </c>
      <c r="L2051" s="35">
        <f>VLOOKUP($A2051, 'Hospitalisation Details'!$A:$H, 7, FALSE)</f>
        <v>2726.06</v>
      </c>
      <c r="M2051" s="22" t="str">
        <f>VLOOKUP($A2051, 'Hospitalisation Details'!$A:$L, 12, FALSE)</f>
        <v>tier - 2</v>
      </c>
      <c r="N2051" s="22" t="str">
        <f>VLOOKUP($A2051, 'Hospitalisation Details'!$A:$M, 13, FALSE)</f>
        <v>tier - 2</v>
      </c>
      <c r="O2051" s="22" t="str">
        <f>VLOOKUP($A2051, 'Hospitalisation Details'!$A:$N, 14, FALSE)</f>
        <v>R1013</v>
      </c>
      <c r="P2051" s="36">
        <f>VLOOKUP($A2051, 'Hospitalisation Details'!$A:$O, 15, FALSE)</f>
        <v>34</v>
      </c>
    </row>
    <row r="2052" ht="15.75" customHeight="1">
      <c r="A2052" s="33" t="s">
        <v>4103</v>
      </c>
      <c r="B2052" s="22" t="str">
        <f>VLOOKUP($A2052,'Customer Names'!$A:$D,3, FALSE)</f>
        <v>Chepkwony</v>
      </c>
      <c r="C2052" s="22">
        <f>VLOOKUP($A2052,'Medical Examinations'!$A:$D, 2, FALSE)</f>
        <v>26.22</v>
      </c>
      <c r="D2052" s="22">
        <f>VLOOKUP($A2052, 'Medical Examinations'!$A:$D,3, FALSE)</f>
        <v>4.65</v>
      </c>
      <c r="E2052" s="22" t="str">
        <f>VLOOKUP($A2052, 'Medical Examinations'!$A:$D, 4, FALSE)</f>
        <v>Yes</v>
      </c>
      <c r="F2052" s="22" t="str">
        <f>VLOOKUP($A2052, 'Medical Examinations'!$A:$J, 5, FALSE)</f>
        <v>No</v>
      </c>
      <c r="G2052" s="22" t="str">
        <f>VLOOKUP($A2052, 'Medical Examinations'!$A:$I, 6, FALSE)</f>
        <v>Yes</v>
      </c>
      <c r="H2052" s="22">
        <f>VLOOKUP($A2052,'Medical Examinations'!$A:$L,10, FALSE)</f>
        <v>1</v>
      </c>
      <c r="I2052" s="22" t="str">
        <f>VLOOKUP($A2052, 'Medical Examinations'!$A:$J, 9, FALSE)</f>
        <v>No</v>
      </c>
      <c r="J2052" s="22" t="str">
        <f>VLOOKUP($A2052, 'Medical Examinations'!$A:$P, 11, FALSE)</f>
        <v>OVERWEIGHT</v>
      </c>
      <c r="K2052" s="34">
        <v>22118.0</v>
      </c>
      <c r="L2052" s="35">
        <f>VLOOKUP($A2052, 'Hospitalisation Details'!$A:$H, 7, FALSE)</f>
        <v>2721.32</v>
      </c>
      <c r="M2052" s="22" t="str">
        <f>VLOOKUP($A2052, 'Hospitalisation Details'!$A:$L, 12, FALSE)</f>
        <v>tier - 1</v>
      </c>
      <c r="N2052" s="22" t="str">
        <f>VLOOKUP($A2052, 'Hospitalisation Details'!$A:$M, 13, FALSE)</f>
        <v>tier - 3</v>
      </c>
      <c r="O2052" s="22" t="str">
        <f>VLOOKUP($A2052, 'Hospitalisation Details'!$A:$N, 14, FALSE)</f>
        <v>R1014</v>
      </c>
      <c r="P2052" s="36">
        <f>VLOOKUP($A2052, 'Hospitalisation Details'!$A:$O, 15, FALSE)</f>
        <v>25</v>
      </c>
    </row>
    <row r="2053" ht="15.75" customHeight="1">
      <c r="A2053" s="33" t="s">
        <v>4105</v>
      </c>
      <c r="B2053" s="22" t="str">
        <f>VLOOKUP($A2053,'Customer Names'!$A:$D,3, FALSE)</f>
        <v>Rodriguez</v>
      </c>
      <c r="C2053" s="22">
        <f>VLOOKUP($A2053,'Medical Examinations'!$A:$D, 2, FALSE)</f>
        <v>31.825</v>
      </c>
      <c r="D2053" s="22">
        <f>VLOOKUP($A2053, 'Medical Examinations'!$A:$D,3, FALSE)</f>
        <v>4.7</v>
      </c>
      <c r="E2053" s="22" t="str">
        <f>VLOOKUP($A2053, 'Medical Examinations'!$A:$D, 4, FALSE)</f>
        <v>No</v>
      </c>
      <c r="F2053" s="22" t="str">
        <f>VLOOKUP($A2053, 'Medical Examinations'!$A:$J, 5, FALSE)</f>
        <v>No</v>
      </c>
      <c r="G2053" s="22" t="str">
        <f>VLOOKUP($A2053, 'Medical Examinations'!$A:$I, 6, FALSE)</f>
        <v>Yes</v>
      </c>
      <c r="H2053" s="22">
        <f>VLOOKUP($A2053,'Medical Examinations'!$A:$L,10, FALSE)</f>
        <v>1</v>
      </c>
      <c r="I2053" s="22" t="str">
        <f>VLOOKUP($A2053, 'Medical Examinations'!$A:$J, 9, FALSE)</f>
        <v>No</v>
      </c>
      <c r="J2053" s="22" t="str">
        <f>VLOOKUP($A2053, 'Medical Examinations'!$A:$P, 11, FALSE)</f>
        <v>OBESITY</v>
      </c>
      <c r="K2053" s="34">
        <v>37779.0</v>
      </c>
      <c r="L2053" s="35">
        <f>VLOOKUP($A2053, 'Hospitalisation Details'!$A:$H, 7, FALSE)</f>
        <v>2719.28</v>
      </c>
      <c r="M2053" s="22" t="str">
        <f>VLOOKUP($A2053, 'Hospitalisation Details'!$A:$L, 12, FALSE)</f>
        <v>tier - 2</v>
      </c>
      <c r="N2053" s="22" t="str">
        <f>VLOOKUP($A2053, 'Hospitalisation Details'!$A:$M, 13, FALSE)</f>
        <v>tier - 2</v>
      </c>
      <c r="O2053" s="22" t="str">
        <f>VLOOKUP($A2053, 'Hospitalisation Details'!$A:$N, 14, FALSE)</f>
        <v>R1012</v>
      </c>
      <c r="P2053" s="36">
        <f>VLOOKUP($A2053, 'Hospitalisation Details'!$A:$O, 15, FALSE)</f>
        <v>19</v>
      </c>
    </row>
    <row r="2054" ht="15.75" customHeight="1">
      <c r="A2054" s="33" t="s">
        <v>4107</v>
      </c>
      <c r="B2054" s="22" t="str">
        <f>VLOOKUP($A2054,'Customer Names'!$A:$D,3, FALSE)</f>
        <v>Szynkarczuk</v>
      </c>
      <c r="C2054" s="22">
        <f>VLOOKUP($A2054,'Medical Examinations'!$A:$D, 2, FALSE)</f>
        <v>25.745</v>
      </c>
      <c r="D2054" s="22">
        <f>VLOOKUP($A2054, 'Medical Examinations'!$A:$D,3, FALSE)</f>
        <v>4.34</v>
      </c>
      <c r="E2054" s="22" t="str">
        <f>VLOOKUP($A2054, 'Medical Examinations'!$A:$D, 4, FALSE)</f>
        <v>No</v>
      </c>
      <c r="F2054" s="22" t="str">
        <f>VLOOKUP($A2054, 'Medical Examinations'!$A:$J, 5, FALSE)</f>
        <v>No</v>
      </c>
      <c r="G2054" s="22" t="str">
        <f>VLOOKUP($A2054, 'Medical Examinations'!$A:$I, 6, FALSE)</f>
        <v>Yes</v>
      </c>
      <c r="H2054" s="22">
        <f>VLOOKUP($A2054,'Medical Examinations'!$A:$L,10, FALSE)</f>
        <v>1</v>
      </c>
      <c r="I2054" s="22" t="str">
        <f>VLOOKUP($A2054, 'Medical Examinations'!$A:$J, 9, FALSE)</f>
        <v>No</v>
      </c>
      <c r="J2054" s="22" t="str">
        <f>VLOOKUP($A2054, 'Medical Examinations'!$A:$P, 11, FALSE)</f>
        <v>OVERWEIGHT</v>
      </c>
      <c r="K2054" s="34">
        <v>21529.0</v>
      </c>
      <c r="L2054" s="35">
        <f>VLOOKUP($A2054, 'Hospitalisation Details'!$A:$H, 7, FALSE)</f>
        <v>2710.83</v>
      </c>
      <c r="M2054" s="22" t="str">
        <f>VLOOKUP($A2054, 'Hospitalisation Details'!$A:$L, 12, FALSE)</f>
        <v>tier - 2</v>
      </c>
      <c r="N2054" s="22" t="str">
        <f>VLOOKUP($A2054, 'Hospitalisation Details'!$A:$M, 13, FALSE)</f>
        <v>tier - 3</v>
      </c>
      <c r="O2054" s="22" t="str">
        <f>VLOOKUP($A2054, 'Hospitalisation Details'!$A:$N, 14, FALSE)</f>
        <v>R1012</v>
      </c>
      <c r="P2054" s="36">
        <f>VLOOKUP($A2054, 'Hospitalisation Details'!$A:$O, 15, FALSE)</f>
        <v>19</v>
      </c>
    </row>
    <row r="2055" ht="15.75" customHeight="1">
      <c r="A2055" s="33" t="s">
        <v>4109</v>
      </c>
      <c r="B2055" s="22" t="str">
        <f>VLOOKUP($A2055,'Customer Names'!$A:$D,3, FALSE)</f>
        <v>Brill</v>
      </c>
      <c r="C2055" s="22">
        <f>VLOOKUP($A2055,'Medical Examinations'!$A:$D, 2, FALSE)</f>
        <v>24.605</v>
      </c>
      <c r="D2055" s="22">
        <f>VLOOKUP($A2055, 'Medical Examinations'!$A:$D,3, FALSE)</f>
        <v>5.62</v>
      </c>
      <c r="E2055" s="22" t="str">
        <f>VLOOKUP($A2055, 'Medical Examinations'!$A:$D, 4, FALSE)</f>
        <v>No</v>
      </c>
      <c r="F2055" s="22" t="str">
        <f>VLOOKUP($A2055, 'Medical Examinations'!$A:$J, 5, FALSE)</f>
        <v>No</v>
      </c>
      <c r="G2055" s="22" t="str">
        <f>VLOOKUP($A2055, 'Medical Examinations'!$A:$I, 6, FALSE)</f>
        <v>Yes</v>
      </c>
      <c r="H2055" s="22">
        <f>VLOOKUP($A2055,'Medical Examinations'!$A:$L,10, FALSE)</f>
        <v>1</v>
      </c>
      <c r="I2055" s="22" t="str">
        <f>VLOOKUP($A2055, 'Medical Examinations'!$A:$J, 9, FALSE)</f>
        <v>No</v>
      </c>
      <c r="J2055" s="22" t="str">
        <f>VLOOKUP($A2055, 'Medical Examinations'!$A:$P, 11, FALSE)</f>
        <v>NORMAL WEIGHT</v>
      </c>
      <c r="K2055" s="34">
        <v>21514.0</v>
      </c>
      <c r="L2055" s="35">
        <f>VLOOKUP($A2055, 'Hospitalisation Details'!$A:$H, 7, FALSE)</f>
        <v>2709.24</v>
      </c>
      <c r="M2055" s="22" t="str">
        <f>VLOOKUP($A2055, 'Hospitalisation Details'!$A:$L, 12, FALSE)</f>
        <v>tier - 2</v>
      </c>
      <c r="N2055" s="22" t="str">
        <f>VLOOKUP($A2055, 'Hospitalisation Details'!$A:$M, 13, FALSE)</f>
        <v>tier - 2</v>
      </c>
      <c r="O2055" s="22" t="str">
        <f>VLOOKUP($A2055, 'Hospitalisation Details'!$A:$N, 14, FALSE)</f>
        <v>R1012</v>
      </c>
      <c r="P2055" s="36">
        <f>VLOOKUP($A2055, 'Hospitalisation Details'!$A:$O, 15, FALSE)</f>
        <v>19</v>
      </c>
    </row>
    <row r="2056" ht="15.75" customHeight="1">
      <c r="A2056" s="33" t="s">
        <v>4111</v>
      </c>
      <c r="B2056" s="22" t="str">
        <f>VLOOKUP($A2056,'Customer Names'!$A:$D,3, FALSE)</f>
        <v>Adams</v>
      </c>
      <c r="C2056" s="22">
        <f>VLOOKUP($A2056,'Medical Examinations'!$A:$D, 2, FALSE)</f>
        <v>24.51</v>
      </c>
      <c r="D2056" s="22">
        <f>VLOOKUP($A2056, 'Medical Examinations'!$A:$D,3, FALSE)</f>
        <v>4.24</v>
      </c>
      <c r="E2056" s="22" t="str">
        <f>VLOOKUP($A2056, 'Medical Examinations'!$A:$D, 4, FALSE)</f>
        <v>No</v>
      </c>
      <c r="F2056" s="22" t="str">
        <f>VLOOKUP($A2056, 'Medical Examinations'!$A:$J, 5, FALSE)</f>
        <v>No</v>
      </c>
      <c r="G2056" s="22" t="str">
        <f>VLOOKUP($A2056, 'Medical Examinations'!$A:$I, 6, FALSE)</f>
        <v>Yes</v>
      </c>
      <c r="H2056" s="22">
        <f>VLOOKUP($A2056,'Medical Examinations'!$A:$L,10, FALSE)</f>
        <v>1</v>
      </c>
      <c r="I2056" s="22" t="str">
        <f>VLOOKUP($A2056, 'Medical Examinations'!$A:$J, 9, FALSE)</f>
        <v>No</v>
      </c>
      <c r="J2056" s="22" t="str">
        <f>VLOOKUP($A2056, 'Medical Examinations'!$A:$P, 11, FALSE)</f>
        <v>NORMAL WEIGHT</v>
      </c>
      <c r="K2056" s="34">
        <v>31754.0</v>
      </c>
      <c r="L2056" s="35">
        <f>VLOOKUP($A2056, 'Hospitalisation Details'!$A:$H, 7, FALSE)</f>
        <v>2709.11</v>
      </c>
      <c r="M2056" s="22" t="str">
        <f>VLOOKUP($A2056, 'Hospitalisation Details'!$A:$L, 12, FALSE)</f>
        <v>tier - 2</v>
      </c>
      <c r="N2056" s="22" t="str">
        <f>VLOOKUP($A2056, 'Hospitalisation Details'!$A:$M, 13, FALSE)</f>
        <v>tier - 2</v>
      </c>
      <c r="O2056" s="22" t="str">
        <f>VLOOKUP($A2056, 'Hospitalisation Details'!$A:$N, 14, FALSE)</f>
        <v>R1012</v>
      </c>
      <c r="P2056" s="36">
        <f>VLOOKUP($A2056, 'Hospitalisation Details'!$A:$O, 15, FALSE)</f>
        <v>19</v>
      </c>
    </row>
    <row r="2057" ht="15.75" customHeight="1">
      <c r="A2057" s="33" t="s">
        <v>4113</v>
      </c>
      <c r="B2057" s="22" t="str">
        <f>VLOOKUP($A2057,'Customer Names'!$A:$D,3, FALSE)</f>
        <v>Nunn</v>
      </c>
      <c r="C2057" s="22">
        <f>VLOOKUP($A2057,'Medical Examinations'!$A:$D, 2, FALSE)</f>
        <v>31.065</v>
      </c>
      <c r="D2057" s="22">
        <f>VLOOKUP($A2057, 'Medical Examinations'!$A:$D,3, FALSE)</f>
        <v>4.57</v>
      </c>
      <c r="E2057" s="22" t="str">
        <f>VLOOKUP($A2057, 'Medical Examinations'!$A:$D, 4, FALSE)</f>
        <v>Yes</v>
      </c>
      <c r="F2057" s="22" t="str">
        <f>VLOOKUP($A2057, 'Medical Examinations'!$A:$J, 5, FALSE)</f>
        <v>No</v>
      </c>
      <c r="G2057" s="22" t="str">
        <f>VLOOKUP($A2057, 'Medical Examinations'!$A:$I, 6, FALSE)</f>
        <v>No</v>
      </c>
      <c r="H2057" s="22">
        <f>VLOOKUP($A2057,'Medical Examinations'!$A:$L,10, FALSE)</f>
        <v>0</v>
      </c>
      <c r="I2057" s="22" t="str">
        <f>VLOOKUP($A2057, 'Medical Examinations'!$A:$J, 9, FALSE)</f>
        <v>No</v>
      </c>
      <c r="J2057" s="22" t="str">
        <f>VLOOKUP($A2057, 'Medical Examinations'!$A:$P, 11, FALSE)</f>
        <v>OBESITY</v>
      </c>
      <c r="K2057" s="34">
        <v>22911.0</v>
      </c>
      <c r="L2057" s="35">
        <f>VLOOKUP($A2057, 'Hospitalisation Details'!$A:$H, 7, FALSE)</f>
        <v>2699.57</v>
      </c>
      <c r="M2057" s="22" t="str">
        <f>VLOOKUP($A2057, 'Hospitalisation Details'!$A:$L, 12, FALSE)</f>
        <v>tier - 2</v>
      </c>
      <c r="N2057" s="22" t="str">
        <f>VLOOKUP($A2057, 'Hospitalisation Details'!$A:$M, 13, FALSE)</f>
        <v>tier - 1</v>
      </c>
      <c r="O2057" s="22" t="str">
        <f>VLOOKUP($A2057, 'Hospitalisation Details'!$A:$N, 14, FALSE)</f>
        <v>R1012</v>
      </c>
      <c r="P2057" s="36">
        <f>VLOOKUP($A2057, 'Hospitalisation Details'!$A:$O, 15, FALSE)</f>
        <v>26</v>
      </c>
    </row>
    <row r="2058" ht="15.75" customHeight="1">
      <c r="A2058" s="33" t="s">
        <v>4115</v>
      </c>
      <c r="B2058" s="22" t="str">
        <f>VLOOKUP($A2058,'Customer Names'!$A:$D,3, FALSE)</f>
        <v>Blair</v>
      </c>
      <c r="C2058" s="22">
        <f>VLOOKUP($A2058,'Medical Examinations'!$A:$D, 2, FALSE)</f>
        <v>28.12</v>
      </c>
      <c r="D2058" s="22">
        <f>VLOOKUP($A2058, 'Medical Examinations'!$A:$D,3, FALSE)</f>
        <v>5.05</v>
      </c>
      <c r="E2058" s="22" t="str">
        <f>VLOOKUP($A2058, 'Medical Examinations'!$A:$D, 4, FALSE)</f>
        <v>No</v>
      </c>
      <c r="F2058" s="22" t="str">
        <f>VLOOKUP($A2058, 'Medical Examinations'!$A:$J, 5, FALSE)</f>
        <v>No</v>
      </c>
      <c r="G2058" s="22" t="str">
        <f>VLOOKUP($A2058, 'Medical Examinations'!$A:$I, 6, FALSE)</f>
        <v>No</v>
      </c>
      <c r="H2058" s="22">
        <f>VLOOKUP($A2058,'Medical Examinations'!$A:$L,10, FALSE)</f>
        <v>0</v>
      </c>
      <c r="I2058" s="22" t="str">
        <f>VLOOKUP($A2058, 'Medical Examinations'!$A:$J, 9, FALSE)</f>
        <v>No</v>
      </c>
      <c r="J2058" s="22" t="str">
        <f>VLOOKUP($A2058, 'Medical Examinations'!$A:$P, 11, FALSE)</f>
        <v>OVERWEIGHT</v>
      </c>
      <c r="K2058" s="34">
        <v>24421.0</v>
      </c>
      <c r="L2058" s="35">
        <f>VLOOKUP($A2058, 'Hospitalisation Details'!$A:$H, 7, FALSE)</f>
        <v>2690.11</v>
      </c>
      <c r="M2058" s="22" t="str">
        <f>VLOOKUP($A2058, 'Hospitalisation Details'!$A:$L, 12, FALSE)</f>
        <v>tier - 2</v>
      </c>
      <c r="N2058" s="22" t="str">
        <f>VLOOKUP($A2058, 'Hospitalisation Details'!$A:$M, 13, FALSE)</f>
        <v>tier - 2</v>
      </c>
      <c r="O2058" s="22" t="str">
        <f>VLOOKUP($A2058, 'Hospitalisation Details'!$A:$N, 14, FALSE)</f>
        <v>R1012</v>
      </c>
      <c r="P2058" s="36">
        <f>VLOOKUP($A2058, 'Hospitalisation Details'!$A:$O, 15, FALSE)</f>
        <v>23</v>
      </c>
    </row>
    <row r="2059" ht="15.75" customHeight="1">
      <c r="A2059" s="33" t="s">
        <v>4117</v>
      </c>
      <c r="B2059" s="22" t="str">
        <f>VLOOKUP($A2059,'Customer Names'!$A:$D,3, FALSE)</f>
        <v>Sharkey</v>
      </c>
      <c r="C2059" s="22">
        <f>VLOOKUP($A2059,'Medical Examinations'!$A:$D, 2, FALSE)</f>
        <v>38.06</v>
      </c>
      <c r="D2059" s="22">
        <f>VLOOKUP($A2059, 'Medical Examinations'!$A:$D,3, FALSE)</f>
        <v>6.16</v>
      </c>
      <c r="E2059" s="22" t="str">
        <f>VLOOKUP($A2059, 'Medical Examinations'!$A:$D, 4, FALSE)</f>
        <v>No</v>
      </c>
      <c r="F2059" s="22" t="str">
        <f>VLOOKUP($A2059, 'Medical Examinations'!$A:$J, 5, FALSE)</f>
        <v>No</v>
      </c>
      <c r="G2059" s="22" t="str">
        <f>VLOOKUP($A2059, 'Medical Examinations'!$A:$I, 6, FALSE)</f>
        <v>No</v>
      </c>
      <c r="H2059" s="22">
        <f>VLOOKUP($A2059,'Medical Examinations'!$A:$L,10, FALSE)</f>
        <v>0</v>
      </c>
      <c r="I2059" s="22" t="str">
        <f>VLOOKUP($A2059, 'Medical Examinations'!$A:$J, 9, FALSE)</f>
        <v>No</v>
      </c>
      <c r="J2059" s="22" t="str">
        <f>VLOOKUP($A2059, 'Medical Examinations'!$A:$P, 11, FALSE)</f>
        <v>OBESITY</v>
      </c>
      <c r="K2059" s="34">
        <v>21768.0</v>
      </c>
      <c r="L2059" s="35">
        <f>VLOOKUP($A2059, 'Hospitalisation Details'!$A:$H, 7, FALSE)</f>
        <v>2689.5</v>
      </c>
      <c r="M2059" s="22" t="str">
        <f>VLOOKUP($A2059, 'Hospitalisation Details'!$A:$L, 12, FALSE)</f>
        <v>tier - 3</v>
      </c>
      <c r="N2059" s="22" t="str">
        <f>VLOOKUP($A2059, 'Hospitalisation Details'!$A:$M, 13, FALSE)</f>
        <v>tier - 2</v>
      </c>
      <c r="O2059" s="22" t="str">
        <f>VLOOKUP($A2059, 'Hospitalisation Details'!$A:$N, 14, FALSE)</f>
        <v>R1013</v>
      </c>
      <c r="P2059" s="36">
        <f>VLOOKUP($A2059, 'Hospitalisation Details'!$A:$O, 15, FALSE)</f>
        <v>28</v>
      </c>
    </row>
    <row r="2060" ht="15.75" customHeight="1">
      <c r="A2060" s="33" t="s">
        <v>4119</v>
      </c>
      <c r="B2060" s="22" t="str">
        <f>VLOOKUP($A2060,'Customer Names'!$A:$D,3, FALSE)</f>
        <v>Scalard</v>
      </c>
      <c r="C2060" s="22">
        <f>VLOOKUP($A2060,'Medical Examinations'!$A:$D, 2, FALSE)</f>
        <v>24.96</v>
      </c>
      <c r="D2060" s="22">
        <f>VLOOKUP($A2060, 'Medical Examinations'!$A:$D,3, FALSE)</f>
        <v>4.57</v>
      </c>
      <c r="E2060" s="22" t="str">
        <f>VLOOKUP($A2060, 'Medical Examinations'!$A:$D, 4, FALSE)</f>
        <v>No</v>
      </c>
      <c r="F2060" s="22" t="str">
        <f>VLOOKUP($A2060, 'Medical Examinations'!$A:$J, 5, FALSE)</f>
        <v>No</v>
      </c>
      <c r="G2060" s="22" t="str">
        <f>VLOOKUP($A2060, 'Medical Examinations'!$A:$I, 6, FALSE)</f>
        <v>No</v>
      </c>
      <c r="H2060" s="22">
        <f>VLOOKUP($A2060,'Medical Examinations'!$A:$L,10, FALSE)</f>
        <v>0</v>
      </c>
      <c r="I2060" s="22" t="str">
        <f>VLOOKUP($A2060, 'Medical Examinations'!$A:$J, 9, FALSE)</f>
        <v>No</v>
      </c>
      <c r="J2060" s="22" t="str">
        <f>VLOOKUP($A2060, 'Medical Examinations'!$A:$P, 11, FALSE)</f>
        <v>NORMAL WEIGHT</v>
      </c>
      <c r="K2060" s="34">
        <v>38184.0</v>
      </c>
      <c r="L2060" s="35">
        <f>VLOOKUP($A2060, 'Hospitalisation Details'!$A:$H, 7, FALSE)</f>
        <v>2684.69</v>
      </c>
      <c r="M2060" s="22" t="str">
        <f>VLOOKUP($A2060, 'Hospitalisation Details'!$A:$L, 12, FALSE)</f>
        <v>tier - 2</v>
      </c>
      <c r="N2060" s="22" t="str">
        <f>VLOOKUP($A2060, 'Hospitalisation Details'!$A:$M, 13, FALSE)</f>
        <v>tier - 2</v>
      </c>
      <c r="O2060" s="22" t="str">
        <f>VLOOKUP($A2060, 'Hospitalisation Details'!$A:$N, 14, FALSE)</f>
        <v>R1013</v>
      </c>
      <c r="P2060" s="36">
        <f>VLOOKUP($A2060, 'Hospitalisation Details'!$A:$O, 15, FALSE)</f>
        <v>28</v>
      </c>
    </row>
    <row r="2061" ht="15.75" customHeight="1">
      <c r="A2061" s="33" t="s">
        <v>4121</v>
      </c>
      <c r="B2061" s="22" t="str">
        <f>VLOOKUP($A2061,'Customer Names'!$A:$D,3, FALSE)</f>
        <v>Burget</v>
      </c>
      <c r="C2061" s="22">
        <f>VLOOKUP($A2061,'Medical Examinations'!$A:$D, 2, FALSE)</f>
        <v>17.67</v>
      </c>
      <c r="D2061" s="22">
        <f>VLOOKUP($A2061, 'Medical Examinations'!$A:$D,3, FALSE)</f>
        <v>5.53</v>
      </c>
      <c r="E2061" s="22" t="str">
        <f>VLOOKUP($A2061, 'Medical Examinations'!$A:$D, 4, FALSE)</f>
        <v>Yes</v>
      </c>
      <c r="F2061" s="22" t="str">
        <f>VLOOKUP($A2061, 'Medical Examinations'!$A:$J, 5, FALSE)</f>
        <v>No</v>
      </c>
      <c r="G2061" s="22" t="str">
        <f>VLOOKUP($A2061, 'Medical Examinations'!$A:$I, 6, FALSE)</f>
        <v>No</v>
      </c>
      <c r="H2061" s="22">
        <f>VLOOKUP($A2061,'Medical Examinations'!$A:$L,10, FALSE)</f>
        <v>0</v>
      </c>
      <c r="I2061" s="22" t="str">
        <f>VLOOKUP($A2061, 'Medical Examinations'!$A:$J, 9, FALSE)</f>
        <v>No</v>
      </c>
      <c r="J2061" s="22" t="str">
        <f>VLOOKUP($A2061, 'Medical Examinations'!$A:$P, 11, FALSE)</f>
        <v>UNDERWEIGHT</v>
      </c>
      <c r="K2061" s="34">
        <v>25499.0</v>
      </c>
      <c r="L2061" s="35">
        <f>VLOOKUP($A2061, 'Hospitalisation Details'!$A:$H, 7, FALSE)</f>
        <v>2680.95</v>
      </c>
      <c r="M2061" s="22" t="str">
        <f>VLOOKUP($A2061, 'Hospitalisation Details'!$A:$L, 12, FALSE)</f>
        <v>tier - 3</v>
      </c>
      <c r="N2061" s="22" t="str">
        <f>VLOOKUP($A2061, 'Hospitalisation Details'!$A:$M, 13, FALSE)</f>
        <v>tier - 2</v>
      </c>
      <c r="O2061" s="22" t="str">
        <f>VLOOKUP($A2061, 'Hospitalisation Details'!$A:$N, 14, FALSE)</f>
        <v>R1012</v>
      </c>
      <c r="P2061" s="36">
        <f>VLOOKUP($A2061, 'Hospitalisation Details'!$A:$O, 15, FALSE)</f>
        <v>26</v>
      </c>
    </row>
    <row r="2062" ht="15.75" customHeight="1">
      <c r="A2062" s="33" t="s">
        <v>4123</v>
      </c>
      <c r="B2062" s="22" t="str">
        <f>VLOOKUP($A2062,'Customer Names'!$A:$D,3, FALSE)</f>
        <v>English</v>
      </c>
      <c r="C2062" s="22">
        <f>VLOOKUP($A2062,'Medical Examinations'!$A:$D, 2, FALSE)</f>
        <v>31.35</v>
      </c>
      <c r="D2062" s="22">
        <f>VLOOKUP($A2062, 'Medical Examinations'!$A:$D,3, FALSE)</f>
        <v>5.84</v>
      </c>
      <c r="E2062" s="22" t="str">
        <f>VLOOKUP($A2062, 'Medical Examinations'!$A:$D, 4, FALSE)</f>
        <v>No</v>
      </c>
      <c r="F2062" s="22" t="str">
        <f>VLOOKUP($A2062, 'Medical Examinations'!$A:$J, 5, FALSE)</f>
        <v>Yes</v>
      </c>
      <c r="G2062" s="22" t="str">
        <f>VLOOKUP($A2062, 'Medical Examinations'!$A:$I, 6, FALSE)</f>
        <v>No</v>
      </c>
      <c r="H2062" s="22">
        <f>VLOOKUP($A2062,'Medical Examinations'!$A:$L,10, FALSE)</f>
        <v>1</v>
      </c>
      <c r="I2062" s="22" t="str">
        <f>VLOOKUP($A2062, 'Medical Examinations'!$A:$J, 9, FALSE)</f>
        <v>No</v>
      </c>
      <c r="J2062" s="22" t="str">
        <f>VLOOKUP($A2062, 'Medical Examinations'!$A:$P, 11, FALSE)</f>
        <v>OBESITY</v>
      </c>
      <c r="K2062" s="34">
        <v>31288.0</v>
      </c>
      <c r="L2062" s="35">
        <f>VLOOKUP($A2062, 'Hospitalisation Details'!$A:$H, 7, FALSE)</f>
        <v>2643.27</v>
      </c>
      <c r="M2062" s="22" t="str">
        <f>VLOOKUP($A2062, 'Hospitalisation Details'!$A:$L, 12, FALSE)</f>
        <v>tier - 2</v>
      </c>
      <c r="N2062" s="22" t="str">
        <f>VLOOKUP($A2062, 'Hospitalisation Details'!$A:$M, 13, FALSE)</f>
        <v>tier - 1</v>
      </c>
      <c r="O2062" s="22" t="str">
        <f>VLOOKUP($A2062, 'Hospitalisation Details'!$A:$N, 14, FALSE)</f>
        <v>R1012</v>
      </c>
      <c r="P2062" s="36">
        <f>VLOOKUP($A2062, 'Hospitalisation Details'!$A:$O, 15, FALSE)</f>
        <v>22</v>
      </c>
    </row>
    <row r="2063" ht="15.75" customHeight="1">
      <c r="A2063" s="33" t="s">
        <v>4125</v>
      </c>
      <c r="B2063" s="22" t="str">
        <f>VLOOKUP($A2063,'Customer Names'!$A:$D,3, FALSE)</f>
        <v>Hampton</v>
      </c>
      <c r="C2063" s="22">
        <f>VLOOKUP($A2063,'Medical Examinations'!$A:$D, 2, FALSE)</f>
        <v>28.31</v>
      </c>
      <c r="D2063" s="22">
        <f>VLOOKUP($A2063, 'Medical Examinations'!$A:$D,3, FALSE)</f>
        <v>6.41</v>
      </c>
      <c r="E2063" s="22" t="str">
        <f>VLOOKUP($A2063, 'Medical Examinations'!$A:$D, 4, FALSE)</f>
        <v>No</v>
      </c>
      <c r="F2063" s="22" t="str">
        <f>VLOOKUP($A2063, 'Medical Examinations'!$A:$J, 5, FALSE)</f>
        <v>Yes</v>
      </c>
      <c r="G2063" s="22" t="str">
        <f>VLOOKUP($A2063, 'Medical Examinations'!$A:$I, 6, FALSE)</f>
        <v>No</v>
      </c>
      <c r="H2063" s="22">
        <f>VLOOKUP($A2063,'Medical Examinations'!$A:$L,10, FALSE)</f>
        <v>1</v>
      </c>
      <c r="I2063" s="22" t="str">
        <f>VLOOKUP($A2063, 'Medical Examinations'!$A:$J, 9, FALSE)</f>
        <v>No</v>
      </c>
      <c r="J2063" s="22" t="str">
        <f>VLOOKUP($A2063, 'Medical Examinations'!$A:$P, 11, FALSE)</f>
        <v>OVERWEIGHT</v>
      </c>
      <c r="K2063" s="34">
        <v>29800.0</v>
      </c>
      <c r="L2063" s="35">
        <f>VLOOKUP($A2063, 'Hospitalisation Details'!$A:$H, 7, FALSE)</f>
        <v>2639.04</v>
      </c>
      <c r="M2063" s="22" t="str">
        <f>VLOOKUP($A2063, 'Hospitalisation Details'!$A:$L, 12, FALSE)</f>
        <v>tier - 2</v>
      </c>
      <c r="N2063" s="22" t="str">
        <f>VLOOKUP($A2063, 'Hospitalisation Details'!$A:$M, 13, FALSE)</f>
        <v>tier - 2</v>
      </c>
      <c r="O2063" s="22" t="str">
        <f>VLOOKUP($A2063, 'Hospitalisation Details'!$A:$N, 14, FALSE)</f>
        <v>R1012</v>
      </c>
      <c r="P2063" s="36">
        <f>VLOOKUP($A2063, 'Hospitalisation Details'!$A:$O, 15, FALSE)</f>
        <v>22</v>
      </c>
    </row>
    <row r="2064" ht="15.75" customHeight="1">
      <c r="A2064" s="33" t="s">
        <v>4127</v>
      </c>
      <c r="B2064" s="22" t="str">
        <f>VLOOKUP($A2064,'Customer Names'!$A:$D,3, FALSE)</f>
        <v>Flynn</v>
      </c>
      <c r="C2064" s="22">
        <f>VLOOKUP($A2064,'Medical Examinations'!$A:$D, 2, FALSE)</f>
        <v>30.3</v>
      </c>
      <c r="D2064" s="22">
        <f>VLOOKUP($A2064, 'Medical Examinations'!$A:$D,3, FALSE)</f>
        <v>4.73</v>
      </c>
      <c r="E2064" s="22" t="str">
        <f>VLOOKUP($A2064, 'Medical Examinations'!$A:$D, 4, FALSE)</f>
        <v>Yes</v>
      </c>
      <c r="F2064" s="22" t="str">
        <f>VLOOKUP($A2064, 'Medical Examinations'!$A:$J, 5, FALSE)</f>
        <v>No</v>
      </c>
      <c r="G2064" s="22" t="str">
        <f>VLOOKUP($A2064, 'Medical Examinations'!$A:$I, 6, FALSE)</f>
        <v>Yes</v>
      </c>
      <c r="H2064" s="22">
        <f>VLOOKUP($A2064,'Medical Examinations'!$A:$L,10, FALSE)</f>
        <v>1</v>
      </c>
      <c r="I2064" s="22" t="str">
        <f>VLOOKUP($A2064, 'Medical Examinations'!$A:$J, 9, FALSE)</f>
        <v>No</v>
      </c>
      <c r="J2064" s="22" t="str">
        <f>VLOOKUP($A2064, 'Medical Examinations'!$A:$P, 11, FALSE)</f>
        <v>OBESITY</v>
      </c>
      <c r="K2064" s="34">
        <v>31740.0</v>
      </c>
      <c r="L2064" s="35">
        <f>VLOOKUP($A2064, 'Hospitalisation Details'!$A:$H, 7, FALSE)</f>
        <v>2632.99</v>
      </c>
      <c r="M2064" s="22" t="str">
        <f>VLOOKUP($A2064, 'Hospitalisation Details'!$A:$L, 12, FALSE)</f>
        <v>tier - 2</v>
      </c>
      <c r="N2064" s="22" t="str">
        <f>VLOOKUP($A2064, 'Hospitalisation Details'!$A:$M, 13, FALSE)</f>
        <v>tier - 1</v>
      </c>
      <c r="O2064" s="22" t="str">
        <f>VLOOKUP($A2064, 'Hospitalisation Details'!$A:$N, 14, FALSE)</f>
        <v>R1011</v>
      </c>
      <c r="P2064" s="36">
        <f>VLOOKUP($A2064, 'Hospitalisation Details'!$A:$O, 15, FALSE)</f>
        <v>25</v>
      </c>
    </row>
    <row r="2065" ht="15.75" customHeight="1">
      <c r="A2065" s="33" t="s">
        <v>4129</v>
      </c>
      <c r="B2065" s="22" t="str">
        <f>VLOOKUP($A2065,'Customer Names'!$A:$D,3, FALSE)</f>
        <v>Knast</v>
      </c>
      <c r="C2065" s="22">
        <f>VLOOKUP($A2065,'Medical Examinations'!$A:$D, 2, FALSE)</f>
        <v>26.4</v>
      </c>
      <c r="D2065" s="22">
        <f>VLOOKUP($A2065, 'Medical Examinations'!$A:$D,3, FALSE)</f>
        <v>6.22</v>
      </c>
      <c r="E2065" s="22" t="str">
        <f>VLOOKUP($A2065, 'Medical Examinations'!$A:$D, 4, FALSE)</f>
        <v>Yes</v>
      </c>
      <c r="F2065" s="22" t="str">
        <f>VLOOKUP($A2065, 'Medical Examinations'!$A:$J, 5, FALSE)</f>
        <v>No</v>
      </c>
      <c r="G2065" s="22" t="str">
        <f>VLOOKUP($A2065, 'Medical Examinations'!$A:$I, 6, FALSE)</f>
        <v>No</v>
      </c>
      <c r="H2065" s="22">
        <f>VLOOKUP($A2065,'Medical Examinations'!$A:$L,10, FALSE)</f>
        <v>0</v>
      </c>
      <c r="I2065" s="22" t="str">
        <f>VLOOKUP($A2065, 'Medical Examinations'!$A:$J, 9, FALSE)</f>
        <v>No</v>
      </c>
      <c r="J2065" s="22" t="str">
        <f>VLOOKUP($A2065, 'Medical Examinations'!$A:$P, 11, FALSE)</f>
        <v>OVERWEIGHT</v>
      </c>
      <c r="K2065" s="34">
        <v>31304.0</v>
      </c>
      <c r="L2065" s="35">
        <f>VLOOKUP($A2065, 'Hospitalisation Details'!$A:$H, 7, FALSE)</f>
        <v>2597.78</v>
      </c>
      <c r="M2065" s="22" t="str">
        <f>VLOOKUP($A2065, 'Hospitalisation Details'!$A:$L, 12, FALSE)</f>
        <v>tier - 2</v>
      </c>
      <c r="N2065" s="22" t="str">
        <f>VLOOKUP($A2065, 'Hospitalisation Details'!$A:$M, 13, FALSE)</f>
        <v>tier - 1</v>
      </c>
      <c r="O2065" s="22" t="str">
        <f>VLOOKUP($A2065, 'Hospitalisation Details'!$A:$N, 14, FALSE)</f>
        <v>R1011</v>
      </c>
      <c r="P2065" s="36">
        <f>VLOOKUP($A2065, 'Hospitalisation Details'!$A:$O, 15, FALSE)</f>
        <v>21</v>
      </c>
    </row>
    <row r="2066" ht="15.75" customHeight="1">
      <c r="A2066" s="33" t="s">
        <v>4131</v>
      </c>
      <c r="B2066" s="22" t="str">
        <f>VLOOKUP($A2066,'Customer Names'!$A:$D,3, FALSE)</f>
        <v>Lucas</v>
      </c>
      <c r="C2066" s="22">
        <f>VLOOKUP($A2066,'Medical Examinations'!$A:$D, 2, FALSE)</f>
        <v>22.135</v>
      </c>
      <c r="D2066" s="22">
        <f>VLOOKUP($A2066, 'Medical Examinations'!$A:$D,3, FALSE)</f>
        <v>4.46</v>
      </c>
      <c r="E2066" s="22" t="str">
        <f>VLOOKUP($A2066, 'Medical Examinations'!$A:$D, 4, FALSE)</f>
        <v>Yes</v>
      </c>
      <c r="F2066" s="22" t="str">
        <f>VLOOKUP($A2066, 'Medical Examinations'!$A:$J, 5, FALSE)</f>
        <v>No</v>
      </c>
      <c r="G2066" s="22" t="str">
        <f>VLOOKUP($A2066, 'Medical Examinations'!$A:$I, 6, FALSE)</f>
        <v>No</v>
      </c>
      <c r="H2066" s="22">
        <f>VLOOKUP($A2066,'Medical Examinations'!$A:$L,10, FALSE)</f>
        <v>0</v>
      </c>
      <c r="I2066" s="22" t="str">
        <f>VLOOKUP($A2066, 'Medical Examinations'!$A:$J, 9, FALSE)</f>
        <v>No</v>
      </c>
      <c r="J2066" s="22" t="str">
        <f>VLOOKUP($A2066, 'Medical Examinations'!$A:$P, 11, FALSE)</f>
        <v>NORMAL WEIGHT</v>
      </c>
      <c r="K2066" s="34">
        <v>23227.0</v>
      </c>
      <c r="L2066" s="35">
        <f>VLOOKUP($A2066, 'Hospitalisation Details'!$A:$H, 7, FALSE)</f>
        <v>2585.85</v>
      </c>
      <c r="M2066" s="22" t="str">
        <f>VLOOKUP($A2066, 'Hospitalisation Details'!$A:$L, 12, FALSE)</f>
        <v>tier - 2</v>
      </c>
      <c r="N2066" s="22" t="str">
        <f>VLOOKUP($A2066, 'Hospitalisation Details'!$A:$M, 13, FALSE)</f>
        <v>tier - 2</v>
      </c>
      <c r="O2066" s="22" t="str">
        <f>VLOOKUP($A2066, 'Hospitalisation Details'!$A:$N, 14, FALSE)</f>
        <v>R1024</v>
      </c>
      <c r="P2066" s="36">
        <f>VLOOKUP($A2066, 'Hospitalisation Details'!$A:$O, 15, FALSE)</f>
        <v>21</v>
      </c>
    </row>
    <row r="2067" ht="15.75" customHeight="1">
      <c r="A2067" s="33" t="s">
        <v>4133</v>
      </c>
      <c r="B2067" s="22" t="str">
        <f>VLOOKUP($A2067,'Customer Names'!$A:$D,3, FALSE)</f>
        <v>Thomas</v>
      </c>
      <c r="C2067" s="22">
        <f>VLOOKUP($A2067,'Medical Examinations'!$A:$D, 2, FALSE)</f>
        <v>17.4</v>
      </c>
      <c r="D2067" s="22">
        <f>VLOOKUP($A2067, 'Medical Examinations'!$A:$D,3, FALSE)</f>
        <v>4.5</v>
      </c>
      <c r="E2067" s="22" t="str">
        <f>VLOOKUP($A2067, 'Medical Examinations'!$A:$D, 4, FALSE)</f>
        <v>Yes</v>
      </c>
      <c r="F2067" s="22" t="str">
        <f>VLOOKUP($A2067, 'Medical Examinations'!$A:$J, 5, FALSE)</f>
        <v>No</v>
      </c>
      <c r="G2067" s="22" t="str">
        <f>VLOOKUP($A2067, 'Medical Examinations'!$A:$I, 6, FALSE)</f>
        <v>No</v>
      </c>
      <c r="H2067" s="22">
        <f>VLOOKUP($A2067,'Medical Examinations'!$A:$L,10, FALSE)</f>
        <v>0</v>
      </c>
      <c r="I2067" s="22" t="str">
        <f>VLOOKUP($A2067, 'Medical Examinations'!$A:$J, 9, FALSE)</f>
        <v>No</v>
      </c>
      <c r="J2067" s="22" t="str">
        <f>VLOOKUP($A2067, 'Medical Examinations'!$A:$P, 11, FALSE)</f>
        <v>UNDERWEIGHT</v>
      </c>
      <c r="K2067" s="34">
        <v>30883.0</v>
      </c>
      <c r="L2067" s="35">
        <f>VLOOKUP($A2067, 'Hospitalisation Details'!$A:$H, 7, FALSE)</f>
        <v>2585.27</v>
      </c>
      <c r="M2067" s="22" t="str">
        <f>VLOOKUP($A2067, 'Hospitalisation Details'!$A:$L, 12, FALSE)</f>
        <v>tier - 2</v>
      </c>
      <c r="N2067" s="22" t="str">
        <f>VLOOKUP($A2067, 'Hospitalisation Details'!$A:$M, 13, FALSE)</f>
        <v>tier - 3</v>
      </c>
      <c r="O2067" s="22" t="str">
        <f>VLOOKUP($A2067, 'Hospitalisation Details'!$A:$N, 14, FALSE)</f>
        <v>R1011</v>
      </c>
      <c r="P2067" s="36">
        <f>VLOOKUP($A2067, 'Hospitalisation Details'!$A:$O, 15, FALSE)</f>
        <v>21</v>
      </c>
    </row>
    <row r="2068" ht="15.75" customHeight="1">
      <c r="A2068" s="33" t="s">
        <v>4135</v>
      </c>
      <c r="B2068" s="22" t="str">
        <f>VLOOKUP($A2068,'Customer Names'!$A:$D,3, FALSE)</f>
        <v>Cherewatti</v>
      </c>
      <c r="C2068" s="22">
        <f>VLOOKUP($A2068,'Medical Examinations'!$A:$D, 2, FALSE)</f>
        <v>28.06</v>
      </c>
      <c r="D2068" s="22">
        <f>VLOOKUP($A2068, 'Medical Examinations'!$A:$D,3, FALSE)</f>
        <v>8.93</v>
      </c>
      <c r="E2068" s="22" t="str">
        <f>VLOOKUP($A2068, 'Medical Examinations'!$A:$D, 4, FALSE)</f>
        <v>No</v>
      </c>
      <c r="F2068" s="22" t="str">
        <f>VLOOKUP($A2068, 'Medical Examinations'!$A:$J, 5, FALSE)</f>
        <v>No</v>
      </c>
      <c r="G2068" s="22" t="str">
        <f>VLOOKUP($A2068, 'Medical Examinations'!$A:$I, 6, FALSE)</f>
        <v>No</v>
      </c>
      <c r="H2068" s="22">
        <f>VLOOKUP($A2068,'Medical Examinations'!$A:$L,10, FALSE)</f>
        <v>0</v>
      </c>
      <c r="I2068" s="22" t="str">
        <f>VLOOKUP($A2068, 'Medical Examinations'!$A:$J, 9, FALSE)</f>
        <v>No</v>
      </c>
      <c r="J2068" s="22" t="str">
        <f>VLOOKUP($A2068, 'Medical Examinations'!$A:$P, 11, FALSE)</f>
        <v>OVERWEIGHT</v>
      </c>
      <c r="K2068" s="34">
        <v>27666.0</v>
      </c>
      <c r="L2068" s="35">
        <f>VLOOKUP($A2068, 'Hospitalisation Details'!$A:$H, 7, FALSE)</f>
        <v>2585.04</v>
      </c>
      <c r="M2068" s="22" t="str">
        <f>VLOOKUP($A2068, 'Hospitalisation Details'!$A:$L, 12, FALSE)</f>
        <v>tier - 2</v>
      </c>
      <c r="N2068" s="22" t="str">
        <f>VLOOKUP($A2068, 'Hospitalisation Details'!$A:$M, 13, FALSE)</f>
        <v>tier - 2</v>
      </c>
      <c r="O2068" s="22" t="str">
        <f>VLOOKUP($A2068, 'Hospitalisation Details'!$A:$N, 14, FALSE)</f>
        <v>R1021</v>
      </c>
      <c r="P2068" s="36">
        <f>VLOOKUP($A2068, 'Hospitalisation Details'!$A:$O, 15, FALSE)</f>
        <v>20</v>
      </c>
    </row>
    <row r="2069" ht="15.75" customHeight="1">
      <c r="A2069" s="33" t="s">
        <v>4137</v>
      </c>
      <c r="B2069" s="22" t="str">
        <f>VLOOKUP($A2069,'Customer Names'!$A:$D,3, FALSE)</f>
        <v>Olle</v>
      </c>
      <c r="C2069" s="22">
        <f>VLOOKUP($A2069,'Medical Examinations'!$A:$D, 2, FALSE)</f>
        <v>31.13</v>
      </c>
      <c r="D2069" s="22">
        <f>VLOOKUP($A2069, 'Medical Examinations'!$A:$D,3, FALSE)</f>
        <v>11.02</v>
      </c>
      <c r="E2069" s="22" t="str">
        <f>VLOOKUP($A2069, 'Medical Examinations'!$A:$D, 4, FALSE)</f>
        <v>No</v>
      </c>
      <c r="F2069" s="22" t="str">
        <f>VLOOKUP($A2069, 'Medical Examinations'!$A:$J, 5, FALSE)</f>
        <v>No</v>
      </c>
      <c r="G2069" s="22" t="str">
        <f>VLOOKUP($A2069, 'Medical Examinations'!$A:$I, 6, FALSE)</f>
        <v>No</v>
      </c>
      <c r="H2069" s="22">
        <f>VLOOKUP($A2069,'Medical Examinations'!$A:$L,10, FALSE)</f>
        <v>0</v>
      </c>
      <c r="I2069" s="22" t="str">
        <f>VLOOKUP($A2069, 'Medical Examinations'!$A:$J, 9, FALSE)</f>
        <v>No</v>
      </c>
      <c r="J2069" s="22" t="str">
        <f>VLOOKUP($A2069, 'Medical Examinations'!$A:$P, 11, FALSE)</f>
        <v>OBESITY</v>
      </c>
      <c r="K2069" s="34">
        <v>22639.0</v>
      </c>
      <c r="L2069" s="35">
        <f>VLOOKUP($A2069, 'Hospitalisation Details'!$A:$H, 7, FALSE)</f>
        <v>2566.47</v>
      </c>
      <c r="M2069" s="22" t="str">
        <f>VLOOKUP($A2069, 'Hospitalisation Details'!$A:$L, 12, FALSE)</f>
        <v>tier - 2</v>
      </c>
      <c r="N2069" s="22" t="str">
        <f>VLOOKUP($A2069, 'Hospitalisation Details'!$A:$M, 13, FALSE)</f>
        <v>tier - 3</v>
      </c>
      <c r="O2069" s="22" t="str">
        <f>VLOOKUP($A2069, 'Hospitalisation Details'!$A:$N, 14, FALSE)</f>
        <v>R1013</v>
      </c>
      <c r="P2069" s="36">
        <f>VLOOKUP($A2069, 'Hospitalisation Details'!$A:$O, 15, FALSE)</f>
        <v>20</v>
      </c>
    </row>
    <row r="2070" ht="15.75" customHeight="1">
      <c r="A2070" s="33" t="s">
        <v>4139</v>
      </c>
      <c r="B2070" s="22" t="str">
        <f>VLOOKUP($A2070,'Customer Names'!$A:$D,3, FALSE)</f>
        <v>Hamsi</v>
      </c>
      <c r="C2070" s="22">
        <f>VLOOKUP($A2070,'Medical Examinations'!$A:$D, 2, FALSE)</f>
        <v>18.46</v>
      </c>
      <c r="D2070" s="22">
        <f>VLOOKUP($A2070, 'Medical Examinations'!$A:$D,3, FALSE)</f>
        <v>5.25</v>
      </c>
      <c r="E2070" s="22" t="str">
        <f>VLOOKUP($A2070, 'Medical Examinations'!$A:$D, 4, FALSE)</f>
        <v>No</v>
      </c>
      <c r="F2070" s="22" t="str">
        <f>VLOOKUP($A2070, 'Medical Examinations'!$A:$J, 5, FALSE)</f>
        <v>No</v>
      </c>
      <c r="G2070" s="22" t="str">
        <f>VLOOKUP($A2070, 'Medical Examinations'!$A:$I, 6, FALSE)</f>
        <v>No</v>
      </c>
      <c r="H2070" s="22">
        <f>VLOOKUP($A2070,'Medical Examinations'!$A:$L,10, FALSE)</f>
        <v>0</v>
      </c>
      <c r="I2070" s="22" t="str">
        <f>VLOOKUP($A2070, 'Medical Examinations'!$A:$J, 9, FALSE)</f>
        <v>No</v>
      </c>
      <c r="J2070" s="22" t="str">
        <f>VLOOKUP($A2070, 'Medical Examinations'!$A:$P, 11, FALSE)</f>
        <v>UNDERWEIGHT</v>
      </c>
      <c r="K2070" s="34">
        <v>25410.0</v>
      </c>
      <c r="L2070" s="35">
        <f>VLOOKUP($A2070, 'Hospitalisation Details'!$A:$H, 7, FALSE)</f>
        <v>2545.68</v>
      </c>
      <c r="M2070" s="22" t="str">
        <f>VLOOKUP($A2070, 'Hospitalisation Details'!$A:$L, 12, FALSE)</f>
        <v>tier - 2</v>
      </c>
      <c r="N2070" s="22" t="str">
        <f>VLOOKUP($A2070, 'Hospitalisation Details'!$A:$M, 13, FALSE)</f>
        <v>tier - 1</v>
      </c>
      <c r="O2070" s="22" t="str">
        <f>VLOOKUP($A2070, 'Hospitalisation Details'!$A:$N, 14, FALSE)</f>
        <v>R1013</v>
      </c>
      <c r="P2070" s="36">
        <f>VLOOKUP($A2070, 'Hospitalisation Details'!$A:$O, 15, FALSE)</f>
        <v>31</v>
      </c>
    </row>
    <row r="2071" ht="15.75" customHeight="1">
      <c r="A2071" s="33" t="s">
        <v>4141</v>
      </c>
      <c r="B2071" s="22" t="str">
        <f>VLOOKUP($A2071,'Customer Names'!$A:$D,3, FALSE)</f>
        <v>Finnegan</v>
      </c>
      <c r="C2071" s="22">
        <f>VLOOKUP($A2071,'Medical Examinations'!$A:$D, 2, FALSE)</f>
        <v>17.3</v>
      </c>
      <c r="D2071" s="22">
        <f>VLOOKUP($A2071, 'Medical Examinations'!$A:$D,3, FALSE)</f>
        <v>4.75</v>
      </c>
      <c r="E2071" s="22" t="str">
        <f>VLOOKUP($A2071, 'Medical Examinations'!$A:$D, 4, FALSE)</f>
        <v>No</v>
      </c>
      <c r="F2071" s="22" t="str">
        <f>VLOOKUP($A2071, 'Medical Examinations'!$A:$J, 5, FALSE)</f>
        <v>No</v>
      </c>
      <c r="G2071" s="22" t="str">
        <f>VLOOKUP($A2071, 'Medical Examinations'!$A:$I, 6, FALSE)</f>
        <v>No</v>
      </c>
      <c r="H2071" s="22">
        <f>VLOOKUP($A2071,'Medical Examinations'!$A:$L,10, FALSE)</f>
        <v>0</v>
      </c>
      <c r="I2071" s="22" t="str">
        <f>VLOOKUP($A2071, 'Medical Examinations'!$A:$J, 9, FALSE)</f>
        <v>No</v>
      </c>
      <c r="J2071" s="22" t="str">
        <f>VLOOKUP($A2071, 'Medical Examinations'!$A:$P, 11, FALSE)</f>
        <v>UNDERWEIGHT</v>
      </c>
      <c r="K2071" s="34">
        <v>22603.0</v>
      </c>
      <c r="L2071" s="35">
        <f>VLOOKUP($A2071, 'Hospitalisation Details'!$A:$H, 7, FALSE)</f>
        <v>2540.39</v>
      </c>
      <c r="M2071" s="22" t="str">
        <f>VLOOKUP($A2071, 'Hospitalisation Details'!$A:$L, 12, FALSE)</f>
        <v>tier - 2</v>
      </c>
      <c r="N2071" s="22" t="str">
        <f>VLOOKUP($A2071, 'Hospitalisation Details'!$A:$M, 13, FALSE)</f>
        <v>tier - 2</v>
      </c>
      <c r="O2071" s="22" t="str">
        <f>VLOOKUP($A2071, 'Hospitalisation Details'!$A:$N, 14, FALSE)</f>
        <v>R1013</v>
      </c>
      <c r="P2071" s="36">
        <f>VLOOKUP($A2071, 'Hospitalisation Details'!$A:$O, 15, FALSE)</f>
        <v>32</v>
      </c>
    </row>
    <row r="2072" ht="15.75" customHeight="1">
      <c r="A2072" s="33" t="s">
        <v>4143</v>
      </c>
      <c r="B2072" s="22" t="str">
        <f>VLOOKUP($A2072,'Customer Names'!$A:$D,3, FALSE)</f>
        <v>Walsh</v>
      </c>
      <c r="C2072" s="22">
        <f>VLOOKUP($A2072,'Medical Examinations'!$A:$D, 2, FALSE)</f>
        <v>35.625</v>
      </c>
      <c r="D2072" s="22">
        <f>VLOOKUP($A2072, 'Medical Examinations'!$A:$D,3, FALSE)</f>
        <v>4.68</v>
      </c>
      <c r="E2072" s="22" t="str">
        <f>VLOOKUP($A2072, 'Medical Examinations'!$A:$D, 4, FALSE)</f>
        <v>Yes</v>
      </c>
      <c r="F2072" s="22" t="str">
        <f>VLOOKUP($A2072, 'Medical Examinations'!$A:$J, 5, FALSE)</f>
        <v>No</v>
      </c>
      <c r="G2072" s="22" t="str">
        <f>VLOOKUP($A2072, 'Medical Examinations'!$A:$I, 6, FALSE)</f>
        <v>Yes</v>
      </c>
      <c r="H2072" s="22">
        <f>VLOOKUP($A2072,'Medical Examinations'!$A:$L,10, FALSE)</f>
        <v>1</v>
      </c>
      <c r="I2072" s="22" t="str">
        <f>VLOOKUP($A2072, 'Medical Examinations'!$A:$J, 9, FALSE)</f>
        <v>No</v>
      </c>
      <c r="J2072" s="22" t="str">
        <f>VLOOKUP($A2072, 'Medical Examinations'!$A:$P, 11, FALSE)</f>
        <v>OBESITY</v>
      </c>
      <c r="K2072" s="34">
        <v>23630.0</v>
      </c>
      <c r="L2072" s="35">
        <f>VLOOKUP($A2072, 'Hospitalisation Details'!$A:$H, 7, FALSE)</f>
        <v>2534.39</v>
      </c>
      <c r="M2072" s="22" t="str">
        <f>VLOOKUP($A2072, 'Hospitalisation Details'!$A:$L, 12, FALSE)</f>
        <v>tier - 3</v>
      </c>
      <c r="N2072" s="22" t="str">
        <f>VLOOKUP($A2072, 'Hospitalisation Details'!$A:$M, 13, FALSE)</f>
        <v>tier - 3</v>
      </c>
      <c r="O2072" s="22" t="str">
        <f>VLOOKUP($A2072, 'Hospitalisation Details'!$A:$N, 14, FALSE)</f>
        <v>R1012</v>
      </c>
      <c r="P2072" s="36">
        <f>VLOOKUP($A2072, 'Hospitalisation Details'!$A:$O, 15, FALSE)</f>
        <v>25</v>
      </c>
    </row>
    <row r="2073" ht="15.75" customHeight="1">
      <c r="A2073" s="33" t="s">
        <v>4145</v>
      </c>
      <c r="B2073" s="22" t="str">
        <f>VLOOKUP($A2073,'Customer Names'!$A:$D,3, FALSE)</f>
        <v>Villa</v>
      </c>
      <c r="C2073" s="22">
        <f>VLOOKUP($A2073,'Medical Examinations'!$A:$D, 2, FALSE)</f>
        <v>20.235</v>
      </c>
      <c r="D2073" s="22">
        <f>VLOOKUP($A2073, 'Medical Examinations'!$A:$D,3, FALSE)</f>
        <v>6.17</v>
      </c>
      <c r="E2073" s="22" t="str">
        <f>VLOOKUP($A2073, 'Medical Examinations'!$A:$D, 4, FALSE)</f>
        <v>Yes</v>
      </c>
      <c r="F2073" s="22" t="str">
        <f>VLOOKUP($A2073, 'Medical Examinations'!$A:$J, 5, FALSE)</f>
        <v>Yes</v>
      </c>
      <c r="G2073" s="22" t="str">
        <f>VLOOKUP($A2073, 'Medical Examinations'!$A:$I, 6, FALSE)</f>
        <v>No</v>
      </c>
      <c r="H2073" s="22">
        <f>VLOOKUP($A2073,'Medical Examinations'!$A:$L,10, FALSE)</f>
        <v>2</v>
      </c>
      <c r="I2073" s="22" t="str">
        <f>VLOOKUP($A2073, 'Medical Examinations'!$A:$J, 9, FALSE)</f>
        <v>No</v>
      </c>
      <c r="J2073" s="22" t="str">
        <f>VLOOKUP($A2073, 'Medical Examinations'!$A:$P, 11, FALSE)</f>
        <v>NORMAL WEIGHT</v>
      </c>
      <c r="K2073" s="34">
        <v>33830.0</v>
      </c>
      <c r="L2073" s="35">
        <f>VLOOKUP($A2073, 'Hospitalisation Details'!$A:$H, 7, FALSE)</f>
        <v>2527.82</v>
      </c>
      <c r="M2073" s="22" t="str">
        <f>VLOOKUP($A2073, 'Hospitalisation Details'!$A:$L, 12, FALSE)</f>
        <v>tier - 2</v>
      </c>
      <c r="N2073" s="22" t="str">
        <f>VLOOKUP($A2073, 'Hospitalisation Details'!$A:$M, 13, FALSE)</f>
        <v>tier - 3</v>
      </c>
      <c r="O2073" s="22" t="str">
        <f>VLOOKUP($A2073, 'Hospitalisation Details'!$A:$N, 14, FALSE)</f>
        <v>R1012</v>
      </c>
      <c r="P2073" s="36">
        <f>VLOOKUP($A2073, 'Hospitalisation Details'!$A:$O, 15, FALSE)</f>
        <v>22</v>
      </c>
    </row>
    <row r="2074" ht="15.75" customHeight="1">
      <c r="A2074" s="33" t="s">
        <v>4147</v>
      </c>
      <c r="B2074" s="22" t="str">
        <f>VLOOKUP($A2074,'Customer Names'!$A:$D,3, FALSE)</f>
        <v>Cable</v>
      </c>
      <c r="C2074" s="22">
        <f>VLOOKUP($A2074,'Medical Examinations'!$A:$D, 2, FALSE)</f>
        <v>27.55</v>
      </c>
      <c r="D2074" s="22">
        <f>VLOOKUP($A2074, 'Medical Examinations'!$A:$D,3, FALSE)</f>
        <v>4.56</v>
      </c>
      <c r="E2074" s="22" t="str">
        <f>VLOOKUP($A2074, 'Medical Examinations'!$A:$D, 4, FALSE)</f>
        <v>Yes</v>
      </c>
      <c r="F2074" s="22" t="str">
        <f>VLOOKUP($A2074, 'Medical Examinations'!$A:$J, 5, FALSE)</f>
        <v>No</v>
      </c>
      <c r="G2074" s="22" t="str">
        <f>VLOOKUP($A2074, 'Medical Examinations'!$A:$I, 6, FALSE)</f>
        <v>Yes</v>
      </c>
      <c r="H2074" s="22">
        <f>VLOOKUP($A2074,'Medical Examinations'!$A:$L,10, FALSE)</f>
        <v>1</v>
      </c>
      <c r="I2074" s="22" t="str">
        <f>VLOOKUP($A2074, 'Medical Examinations'!$A:$J, 9, FALSE)</f>
        <v>No</v>
      </c>
      <c r="J2074" s="22" t="str">
        <f>VLOOKUP($A2074, 'Medical Examinations'!$A:$P, 11, FALSE)</f>
        <v>OVERWEIGHT</v>
      </c>
      <c r="K2074" s="34">
        <v>25034.0</v>
      </c>
      <c r="L2074" s="35">
        <f>VLOOKUP($A2074, 'Hospitalisation Details'!$A:$H, 7, FALSE)</f>
        <v>2523.17</v>
      </c>
      <c r="M2074" s="22" t="str">
        <f>VLOOKUP($A2074, 'Hospitalisation Details'!$A:$L, 12, FALSE)</f>
        <v>tier - 3</v>
      </c>
      <c r="N2074" s="22" t="str">
        <f>VLOOKUP($A2074, 'Hospitalisation Details'!$A:$M, 13, FALSE)</f>
        <v>tier - 1</v>
      </c>
      <c r="O2074" s="22" t="str">
        <f>VLOOKUP($A2074, 'Hospitalisation Details'!$A:$N, 14, FALSE)</f>
        <v>R1012</v>
      </c>
      <c r="P2074" s="36">
        <f>VLOOKUP($A2074, 'Hospitalisation Details'!$A:$O, 15, FALSE)</f>
        <v>25</v>
      </c>
    </row>
    <row r="2075" ht="15.75" customHeight="1">
      <c r="A2075" s="33" t="s">
        <v>4149</v>
      </c>
      <c r="B2075" s="22" t="str">
        <f>VLOOKUP($A2075,'Customer Names'!$A:$D,3, FALSE)</f>
        <v>Eiring</v>
      </c>
      <c r="C2075" s="22">
        <f>VLOOKUP($A2075,'Medical Examinations'!$A:$D, 2, FALSE)</f>
        <v>17.97</v>
      </c>
      <c r="D2075" s="22">
        <f>VLOOKUP($A2075, 'Medical Examinations'!$A:$D,3, FALSE)</f>
        <v>6.3</v>
      </c>
      <c r="E2075" s="22" t="str">
        <f>VLOOKUP($A2075, 'Medical Examinations'!$A:$D, 4, FALSE)</f>
        <v>No</v>
      </c>
      <c r="F2075" s="22" t="str">
        <f>VLOOKUP($A2075, 'Medical Examinations'!$A:$J, 5, FALSE)</f>
        <v>No</v>
      </c>
      <c r="G2075" s="22" t="str">
        <f>VLOOKUP($A2075, 'Medical Examinations'!$A:$I, 6, FALSE)</f>
        <v>No</v>
      </c>
      <c r="H2075" s="22">
        <f>VLOOKUP($A2075,'Medical Examinations'!$A:$L,10, FALSE)</f>
        <v>0</v>
      </c>
      <c r="I2075" s="22" t="str">
        <f>VLOOKUP($A2075, 'Medical Examinations'!$A:$J, 9, FALSE)</f>
        <v>No</v>
      </c>
      <c r="J2075" s="22" t="str">
        <f>VLOOKUP($A2075, 'Medical Examinations'!$A:$P, 11, FALSE)</f>
        <v>UNDERWEIGHT</v>
      </c>
      <c r="K2075" s="34">
        <v>22108.0</v>
      </c>
      <c r="L2075" s="35">
        <f>VLOOKUP($A2075, 'Hospitalisation Details'!$A:$H, 7, FALSE)</f>
        <v>2510.79</v>
      </c>
      <c r="M2075" s="22" t="str">
        <f>VLOOKUP($A2075, 'Hospitalisation Details'!$A:$L, 12, FALSE)</f>
        <v>tier - 2</v>
      </c>
      <c r="N2075" s="22" t="str">
        <f>VLOOKUP($A2075, 'Hospitalisation Details'!$A:$M, 13, FALSE)</f>
        <v>tier - 1</v>
      </c>
      <c r="O2075" s="22" t="str">
        <f>VLOOKUP($A2075, 'Hospitalisation Details'!$A:$N, 14, FALSE)</f>
        <v>R1013</v>
      </c>
      <c r="P2075" s="36">
        <f>VLOOKUP($A2075, 'Hospitalisation Details'!$A:$O, 15, FALSE)</f>
        <v>31</v>
      </c>
    </row>
    <row r="2076" ht="15.75" customHeight="1">
      <c r="A2076" s="33" t="s">
        <v>4151</v>
      </c>
      <c r="B2076" s="22" t="str">
        <f>VLOOKUP($A2076,'Customer Names'!$A:$D,3, FALSE)</f>
        <v>Connor</v>
      </c>
      <c r="C2076" s="22">
        <f>VLOOKUP($A2076,'Medical Examinations'!$A:$D, 2, FALSE)</f>
        <v>29.98</v>
      </c>
      <c r="D2076" s="22">
        <f>VLOOKUP($A2076, 'Medical Examinations'!$A:$D,3, FALSE)</f>
        <v>6.03</v>
      </c>
      <c r="E2076" s="22" t="str">
        <f>VLOOKUP($A2076, 'Medical Examinations'!$A:$D, 4, FALSE)</f>
        <v>No</v>
      </c>
      <c r="F2076" s="22" t="str">
        <f>VLOOKUP($A2076, 'Medical Examinations'!$A:$J, 5, FALSE)</f>
        <v>Yes</v>
      </c>
      <c r="G2076" s="22" t="str">
        <f>VLOOKUP($A2076, 'Medical Examinations'!$A:$I, 6, FALSE)</f>
        <v>No</v>
      </c>
      <c r="H2076" s="22">
        <f>VLOOKUP($A2076,'Medical Examinations'!$A:$L,10, FALSE)</f>
        <v>1</v>
      </c>
      <c r="I2076" s="22" t="str">
        <f>VLOOKUP($A2076, 'Medical Examinations'!$A:$J, 9, FALSE)</f>
        <v>No</v>
      </c>
      <c r="J2076" s="22" t="str">
        <f>VLOOKUP($A2076, 'Medical Examinations'!$A:$P, 11, FALSE)</f>
        <v>OBESITY</v>
      </c>
      <c r="K2076" s="34">
        <v>23298.0</v>
      </c>
      <c r="L2076" s="35">
        <f>VLOOKUP($A2076, 'Hospitalisation Details'!$A:$H, 7, FALSE)</f>
        <v>2500.93</v>
      </c>
      <c r="M2076" s="22" t="str">
        <f>VLOOKUP($A2076, 'Hospitalisation Details'!$A:$L, 12, FALSE)</f>
        <v>tier - 2</v>
      </c>
      <c r="N2076" s="22" t="str">
        <f>VLOOKUP($A2076, 'Hospitalisation Details'!$A:$M, 13, FALSE)</f>
        <v>tier - 2</v>
      </c>
      <c r="O2076" s="22" t="str">
        <f>VLOOKUP($A2076, 'Hospitalisation Details'!$A:$N, 14, FALSE)</f>
        <v>R1012</v>
      </c>
      <c r="P2076" s="36">
        <f>VLOOKUP($A2076, 'Hospitalisation Details'!$A:$O, 15, FALSE)</f>
        <v>18</v>
      </c>
    </row>
    <row r="2077" ht="15.75" customHeight="1">
      <c r="A2077" s="33" t="s">
        <v>4153</v>
      </c>
      <c r="B2077" s="22" t="str">
        <f>VLOOKUP($A2077,'Customer Names'!$A:$D,3, FALSE)</f>
        <v>Friedman</v>
      </c>
      <c r="C2077" s="22">
        <f>VLOOKUP($A2077,'Medical Examinations'!$A:$D, 2, FALSE)</f>
        <v>33.66</v>
      </c>
      <c r="D2077" s="22">
        <f>VLOOKUP($A2077, 'Medical Examinations'!$A:$D,3, FALSE)</f>
        <v>4.2</v>
      </c>
      <c r="E2077" s="22" t="str">
        <f>VLOOKUP($A2077, 'Medical Examinations'!$A:$D, 4, FALSE)</f>
        <v>Yes</v>
      </c>
      <c r="F2077" s="22" t="str">
        <f>VLOOKUP($A2077, 'Medical Examinations'!$A:$J, 5, FALSE)</f>
        <v>No</v>
      </c>
      <c r="G2077" s="22" t="str">
        <f>VLOOKUP($A2077, 'Medical Examinations'!$A:$I, 6, FALSE)</f>
        <v>No</v>
      </c>
      <c r="H2077" s="22">
        <f>VLOOKUP($A2077,'Medical Examinations'!$A:$L,10, FALSE)</f>
        <v>1</v>
      </c>
      <c r="I2077" s="22" t="str">
        <f>VLOOKUP($A2077, 'Medical Examinations'!$A:$J, 9, FALSE)</f>
        <v>No</v>
      </c>
      <c r="J2077" s="22" t="str">
        <f>VLOOKUP($A2077, 'Medical Examinations'!$A:$P, 11, FALSE)</f>
        <v>OBESITY</v>
      </c>
      <c r="K2077" s="34">
        <v>33115.0</v>
      </c>
      <c r="L2077" s="35">
        <f>VLOOKUP($A2077, 'Hospitalisation Details'!$A:$H, 7, FALSE)</f>
        <v>2498.41</v>
      </c>
      <c r="M2077" s="22" t="str">
        <f>VLOOKUP($A2077, 'Hospitalisation Details'!$A:$L, 12, FALSE)</f>
        <v>tier - 3</v>
      </c>
      <c r="N2077" s="22" t="str">
        <f>VLOOKUP($A2077, 'Hospitalisation Details'!$A:$M, 13, FALSE)</f>
        <v>tier - 3</v>
      </c>
      <c r="O2077" s="22" t="str">
        <f>VLOOKUP($A2077, 'Hospitalisation Details'!$A:$N, 14, FALSE)</f>
        <v>R1013</v>
      </c>
      <c r="P2077" s="36">
        <f>VLOOKUP($A2077, 'Hospitalisation Details'!$A:$O, 15, FALSE)</f>
        <v>27</v>
      </c>
    </row>
    <row r="2078" ht="15.75" customHeight="1">
      <c r="A2078" s="33" t="s">
        <v>4155</v>
      </c>
      <c r="B2078" s="22" t="str">
        <f>VLOOKUP($A2078,'Customer Names'!$A:$D,3, FALSE)</f>
        <v>Croker</v>
      </c>
      <c r="C2078" s="22">
        <f>VLOOKUP($A2078,'Medical Examinations'!$A:$D, 2, FALSE)</f>
        <v>32.67</v>
      </c>
      <c r="D2078" s="22">
        <f>VLOOKUP($A2078, 'Medical Examinations'!$A:$D,3, FALSE)</f>
        <v>5.61</v>
      </c>
      <c r="E2078" s="22" t="str">
        <f>VLOOKUP($A2078, 'Medical Examinations'!$A:$D, 4, FALSE)</f>
        <v>Yes</v>
      </c>
      <c r="F2078" s="22" t="str">
        <f>VLOOKUP($A2078, 'Medical Examinations'!$A:$J, 5, FALSE)</f>
        <v>No</v>
      </c>
      <c r="G2078" s="22" t="str">
        <f>VLOOKUP($A2078, 'Medical Examinations'!$A:$I, 6, FALSE)</f>
        <v>No</v>
      </c>
      <c r="H2078" s="22">
        <f>VLOOKUP($A2078,'Medical Examinations'!$A:$L,10, FALSE)</f>
        <v>1</v>
      </c>
      <c r="I2078" s="22" t="str">
        <f>VLOOKUP($A2078, 'Medical Examinations'!$A:$J, 9, FALSE)</f>
        <v>No</v>
      </c>
      <c r="J2078" s="22" t="str">
        <f>VLOOKUP($A2078, 'Medical Examinations'!$A:$P, 11, FALSE)</f>
        <v>OBESITY</v>
      </c>
      <c r="K2078" s="34">
        <v>27613.0</v>
      </c>
      <c r="L2078" s="35">
        <f>VLOOKUP($A2078, 'Hospitalisation Details'!$A:$H, 7, FALSE)</f>
        <v>2497.04</v>
      </c>
      <c r="M2078" s="22" t="str">
        <f>VLOOKUP($A2078, 'Hospitalisation Details'!$A:$L, 12, FALSE)</f>
        <v>tier - 3</v>
      </c>
      <c r="N2078" s="22" t="str">
        <f>VLOOKUP($A2078, 'Hospitalisation Details'!$A:$M, 13, FALSE)</f>
        <v>tier - 3</v>
      </c>
      <c r="O2078" s="22" t="str">
        <f>VLOOKUP($A2078, 'Hospitalisation Details'!$A:$N, 14, FALSE)</f>
        <v>R1013</v>
      </c>
      <c r="P2078" s="36">
        <f>VLOOKUP($A2078, 'Hospitalisation Details'!$A:$O, 15, FALSE)</f>
        <v>27</v>
      </c>
    </row>
    <row r="2079" ht="15.75" customHeight="1">
      <c r="A2079" s="33" t="s">
        <v>4157</v>
      </c>
      <c r="B2079" s="22" t="str">
        <f>VLOOKUP($A2079,'Customer Names'!$A:$D,3, FALSE)</f>
        <v>Beganics</v>
      </c>
      <c r="C2079" s="22">
        <f>VLOOKUP($A2079,'Medical Examinations'!$A:$D, 2, FALSE)</f>
        <v>30.5</v>
      </c>
      <c r="D2079" s="22">
        <f>VLOOKUP($A2079, 'Medical Examinations'!$A:$D,3, FALSE)</f>
        <v>5.88</v>
      </c>
      <c r="E2079" s="22" t="str">
        <f>VLOOKUP($A2079, 'Medical Examinations'!$A:$D, 4, FALSE)</f>
        <v>Yes</v>
      </c>
      <c r="F2079" s="22" t="str">
        <f>VLOOKUP($A2079, 'Medical Examinations'!$A:$J, 5, FALSE)</f>
        <v>No</v>
      </c>
      <c r="G2079" s="22" t="str">
        <f>VLOOKUP($A2079, 'Medical Examinations'!$A:$I, 6, FALSE)</f>
        <v>No</v>
      </c>
      <c r="H2079" s="22">
        <f>VLOOKUP($A2079,'Medical Examinations'!$A:$L,10, FALSE)</f>
        <v>1</v>
      </c>
      <c r="I2079" s="22" t="str">
        <f>VLOOKUP($A2079, 'Medical Examinations'!$A:$J, 9, FALSE)</f>
        <v>No</v>
      </c>
      <c r="J2079" s="22" t="str">
        <f>VLOOKUP($A2079, 'Medical Examinations'!$A:$P, 11, FALSE)</f>
        <v>OBESITY</v>
      </c>
      <c r="K2079" s="34">
        <v>27712.0</v>
      </c>
      <c r="L2079" s="35">
        <f>VLOOKUP($A2079, 'Hospitalisation Details'!$A:$H, 7, FALSE)</f>
        <v>2494.02</v>
      </c>
      <c r="M2079" s="22" t="str">
        <f>VLOOKUP($A2079, 'Hospitalisation Details'!$A:$L, 12, FALSE)</f>
        <v>tier - 3</v>
      </c>
      <c r="N2079" s="22" t="str">
        <f>VLOOKUP($A2079, 'Hospitalisation Details'!$A:$M, 13, FALSE)</f>
        <v>tier - 1</v>
      </c>
      <c r="O2079" s="22" t="str">
        <f>VLOOKUP($A2079, 'Hospitalisation Details'!$A:$N, 14, FALSE)</f>
        <v>R1011</v>
      </c>
      <c r="P2079" s="36">
        <f>VLOOKUP($A2079, 'Hospitalisation Details'!$A:$O, 15, FALSE)</f>
        <v>27</v>
      </c>
    </row>
    <row r="2080" ht="15.75" customHeight="1">
      <c r="A2080" s="33" t="s">
        <v>4159</v>
      </c>
      <c r="B2080" s="22" t="str">
        <f>VLOOKUP($A2080,'Customer Names'!$A:$D,3, FALSE)</f>
        <v>Huberty</v>
      </c>
      <c r="C2080" s="22">
        <f>VLOOKUP($A2080,'Medical Examinations'!$A:$D, 2, FALSE)</f>
        <v>23.1</v>
      </c>
      <c r="D2080" s="22">
        <f>VLOOKUP($A2080, 'Medical Examinations'!$A:$D,3, FALSE)</f>
        <v>5.92</v>
      </c>
      <c r="E2080" s="22" t="str">
        <f>VLOOKUP($A2080, 'Medical Examinations'!$A:$D, 4, FALSE)</f>
        <v>Yes</v>
      </c>
      <c r="F2080" s="22" t="str">
        <f>VLOOKUP($A2080, 'Medical Examinations'!$A:$J, 5, FALSE)</f>
        <v>No</v>
      </c>
      <c r="G2080" s="22" t="str">
        <f>VLOOKUP($A2080, 'Medical Examinations'!$A:$I, 6, FALSE)</f>
        <v>No</v>
      </c>
      <c r="H2080" s="22">
        <f>VLOOKUP($A2080,'Medical Examinations'!$A:$L,10, FALSE)</f>
        <v>1</v>
      </c>
      <c r="I2080" s="22" t="str">
        <f>VLOOKUP($A2080, 'Medical Examinations'!$A:$J, 9, FALSE)</f>
        <v>No</v>
      </c>
      <c r="J2080" s="22" t="str">
        <f>VLOOKUP($A2080, 'Medical Examinations'!$A:$P, 11, FALSE)</f>
        <v>NORMAL WEIGHT</v>
      </c>
      <c r="K2080" s="34">
        <v>22121.0</v>
      </c>
      <c r="L2080" s="35">
        <f>VLOOKUP($A2080, 'Hospitalisation Details'!$A:$H, 7, FALSE)</f>
        <v>2483.74</v>
      </c>
      <c r="M2080" s="22" t="str">
        <f>VLOOKUP($A2080, 'Hospitalisation Details'!$A:$L, 12, FALSE)</f>
        <v>tier - 3</v>
      </c>
      <c r="N2080" s="22" t="str">
        <f>VLOOKUP($A2080, 'Hospitalisation Details'!$A:$M, 13, FALSE)</f>
        <v>tier - 2</v>
      </c>
      <c r="O2080" s="22" t="str">
        <f>VLOOKUP($A2080, 'Hospitalisation Details'!$A:$N, 14, FALSE)</f>
        <v>R1013</v>
      </c>
      <c r="P2080" s="36">
        <f>VLOOKUP($A2080, 'Hospitalisation Details'!$A:$O, 15, FALSE)</f>
        <v>27</v>
      </c>
    </row>
    <row r="2081" ht="15.75" customHeight="1">
      <c r="A2081" s="33" t="s">
        <v>4161</v>
      </c>
      <c r="B2081" s="22" t="str">
        <f>VLOOKUP($A2081,'Customer Names'!$A:$D,3, FALSE)</f>
        <v>Jacobs</v>
      </c>
      <c r="C2081" s="22">
        <f>VLOOKUP($A2081,'Medical Examinations'!$A:$D, 2, FALSE)</f>
        <v>39.49</v>
      </c>
      <c r="D2081" s="22">
        <f>VLOOKUP($A2081, 'Medical Examinations'!$A:$D,3, FALSE)</f>
        <v>4.81</v>
      </c>
      <c r="E2081" s="22" t="str">
        <f>VLOOKUP($A2081, 'Medical Examinations'!$A:$D, 4, FALSE)</f>
        <v>No</v>
      </c>
      <c r="F2081" s="22" t="str">
        <f>VLOOKUP($A2081, 'Medical Examinations'!$A:$J, 5, FALSE)</f>
        <v>No</v>
      </c>
      <c r="G2081" s="22" t="str">
        <f>VLOOKUP($A2081, 'Medical Examinations'!$A:$I, 6, FALSE)</f>
        <v>No</v>
      </c>
      <c r="H2081" s="22">
        <f>VLOOKUP($A2081,'Medical Examinations'!$A:$L,10, FALSE)</f>
        <v>1</v>
      </c>
      <c r="I2081" s="22" t="str">
        <f>VLOOKUP($A2081, 'Medical Examinations'!$A:$J, 9, FALSE)</f>
        <v>No</v>
      </c>
      <c r="J2081" s="22" t="str">
        <f>VLOOKUP($A2081, 'Medical Examinations'!$A:$P, 11, FALSE)</f>
        <v>OBESITY</v>
      </c>
      <c r="K2081" s="34">
        <v>22125.0</v>
      </c>
      <c r="L2081" s="35">
        <f>VLOOKUP($A2081, 'Hospitalisation Details'!$A:$H, 7, FALSE)</f>
        <v>2480.98</v>
      </c>
      <c r="M2081" s="22" t="str">
        <f>VLOOKUP($A2081, 'Hospitalisation Details'!$A:$L, 12, FALSE)</f>
        <v>tier - 2</v>
      </c>
      <c r="N2081" s="22" t="str">
        <f>VLOOKUP($A2081, 'Hospitalisation Details'!$A:$M, 13, FALSE)</f>
        <v>tier - 2</v>
      </c>
      <c r="O2081" s="22" t="str">
        <f>VLOOKUP($A2081, 'Hospitalisation Details'!$A:$N, 14, FALSE)</f>
        <v>R1013</v>
      </c>
      <c r="P2081" s="36">
        <f>VLOOKUP($A2081, 'Hospitalisation Details'!$A:$O, 15, FALSE)</f>
        <v>24</v>
      </c>
    </row>
    <row r="2082" ht="15.75" customHeight="1">
      <c r="A2082" s="33" t="s">
        <v>4163</v>
      </c>
      <c r="B2082" s="22" t="str">
        <f>VLOOKUP($A2082,'Customer Names'!$A:$D,3, FALSE)</f>
        <v>Hazlehurst</v>
      </c>
      <c r="C2082" s="22">
        <f>VLOOKUP($A2082,'Medical Examinations'!$A:$D, 2, FALSE)</f>
        <v>33.99</v>
      </c>
      <c r="D2082" s="22">
        <f>VLOOKUP($A2082, 'Medical Examinations'!$A:$D,3, FALSE)</f>
        <v>4.55</v>
      </c>
      <c r="E2082" s="22" t="str">
        <f>VLOOKUP($A2082, 'Medical Examinations'!$A:$D, 4, FALSE)</f>
        <v>No</v>
      </c>
      <c r="F2082" s="22" t="str">
        <f>VLOOKUP($A2082, 'Medical Examinations'!$A:$J, 5, FALSE)</f>
        <v>No</v>
      </c>
      <c r="G2082" s="22" t="str">
        <f>VLOOKUP($A2082, 'Medical Examinations'!$A:$I, 6, FALSE)</f>
        <v>No</v>
      </c>
      <c r="H2082" s="22">
        <f>VLOOKUP($A2082,'Medical Examinations'!$A:$L,10, FALSE)</f>
        <v>1</v>
      </c>
      <c r="I2082" s="22" t="str">
        <f>VLOOKUP($A2082, 'Medical Examinations'!$A:$J, 9, FALSE)</f>
        <v>No</v>
      </c>
      <c r="J2082" s="22" t="str">
        <f>VLOOKUP($A2082, 'Medical Examinations'!$A:$P, 11, FALSE)</f>
        <v>OBESITY</v>
      </c>
      <c r="K2082" s="34">
        <v>31278.0</v>
      </c>
      <c r="L2082" s="35">
        <f>VLOOKUP($A2082, 'Hospitalisation Details'!$A:$H, 7, FALSE)</f>
        <v>2473.33</v>
      </c>
      <c r="M2082" s="22" t="str">
        <f>VLOOKUP($A2082, 'Hospitalisation Details'!$A:$L, 12, FALSE)</f>
        <v>tier - 2</v>
      </c>
      <c r="N2082" s="22" t="str">
        <f>VLOOKUP($A2082, 'Hospitalisation Details'!$A:$M, 13, FALSE)</f>
        <v>tier - 3</v>
      </c>
      <c r="O2082" s="22" t="str">
        <f>VLOOKUP($A2082, 'Hospitalisation Details'!$A:$N, 14, FALSE)</f>
        <v>R1013</v>
      </c>
      <c r="P2082" s="36">
        <f>VLOOKUP($A2082, 'Hospitalisation Details'!$A:$O, 15, FALSE)</f>
        <v>24</v>
      </c>
    </row>
    <row r="2083" ht="15.75" customHeight="1">
      <c r="A2083" s="33" t="s">
        <v>4165</v>
      </c>
      <c r="B2083" s="22" t="str">
        <f>VLOOKUP($A2083,'Customer Names'!$A:$D,3, FALSE)</f>
        <v>Marin</v>
      </c>
      <c r="C2083" s="22">
        <f>VLOOKUP($A2083,'Medical Examinations'!$A:$D, 2, FALSE)</f>
        <v>27.72</v>
      </c>
      <c r="D2083" s="22">
        <f>VLOOKUP($A2083, 'Medical Examinations'!$A:$D,3, FALSE)</f>
        <v>6.43</v>
      </c>
      <c r="E2083" s="22" t="str">
        <f>VLOOKUP($A2083, 'Medical Examinations'!$A:$D, 4, FALSE)</f>
        <v>No</v>
      </c>
      <c r="F2083" s="22" t="str">
        <f>VLOOKUP($A2083, 'Medical Examinations'!$A:$J, 5, FALSE)</f>
        <v>No</v>
      </c>
      <c r="G2083" s="22" t="str">
        <f>VLOOKUP($A2083, 'Medical Examinations'!$A:$I, 6, FALSE)</f>
        <v>No</v>
      </c>
      <c r="H2083" s="22">
        <f>VLOOKUP($A2083,'Medical Examinations'!$A:$L,10, FALSE)</f>
        <v>1</v>
      </c>
      <c r="I2083" s="22" t="str">
        <f>VLOOKUP($A2083, 'Medical Examinations'!$A:$J, 9, FALSE)</f>
        <v>No</v>
      </c>
      <c r="J2083" s="22" t="str">
        <f>VLOOKUP($A2083, 'Medical Examinations'!$A:$P, 11, FALSE)</f>
        <v>OVERWEIGHT</v>
      </c>
      <c r="K2083" s="34">
        <v>22266.0</v>
      </c>
      <c r="L2083" s="35">
        <f>VLOOKUP($A2083, 'Hospitalisation Details'!$A:$H, 7, FALSE)</f>
        <v>2464.62</v>
      </c>
      <c r="M2083" s="22" t="str">
        <f>VLOOKUP($A2083, 'Hospitalisation Details'!$A:$L, 12, FALSE)</f>
        <v>tier - 2</v>
      </c>
      <c r="N2083" s="22" t="str">
        <f>VLOOKUP($A2083, 'Hospitalisation Details'!$A:$M, 13, FALSE)</f>
        <v>tier - 3</v>
      </c>
      <c r="O2083" s="22" t="str">
        <f>VLOOKUP($A2083, 'Hospitalisation Details'!$A:$N, 14, FALSE)</f>
        <v>R1013</v>
      </c>
      <c r="P2083" s="36">
        <f>VLOOKUP($A2083, 'Hospitalisation Details'!$A:$O, 15, FALSE)</f>
        <v>24</v>
      </c>
    </row>
    <row r="2084" ht="15.75" customHeight="1">
      <c r="A2084" s="33" t="s">
        <v>4167</v>
      </c>
      <c r="B2084" s="22" t="str">
        <f>VLOOKUP($A2084,'Customer Names'!$A:$D,3, FALSE)</f>
        <v>Dear</v>
      </c>
      <c r="C2084" s="22">
        <f>VLOOKUP($A2084,'Medical Examinations'!$A:$D, 2, FALSE)</f>
        <v>30.59</v>
      </c>
      <c r="D2084" s="22">
        <f>VLOOKUP($A2084, 'Medical Examinations'!$A:$D,3, FALSE)</f>
        <v>11.62</v>
      </c>
      <c r="E2084" s="22" t="str">
        <f>VLOOKUP($A2084, 'Medical Examinations'!$A:$D, 4, FALSE)</f>
        <v>No</v>
      </c>
      <c r="F2084" s="22" t="str">
        <f>VLOOKUP($A2084, 'Medical Examinations'!$A:$J, 5, FALSE)</f>
        <v>No</v>
      </c>
      <c r="G2084" s="22" t="str">
        <f>VLOOKUP($A2084, 'Medical Examinations'!$A:$I, 6, FALSE)</f>
        <v>No</v>
      </c>
      <c r="H2084" s="22">
        <f>VLOOKUP($A2084,'Medical Examinations'!$A:$L,10, FALSE)</f>
        <v>0</v>
      </c>
      <c r="I2084" s="22" t="str">
        <f>VLOOKUP($A2084, 'Medical Examinations'!$A:$J, 9, FALSE)</f>
        <v>No</v>
      </c>
      <c r="J2084" s="22" t="str">
        <f>VLOOKUP($A2084, 'Medical Examinations'!$A:$P, 11, FALSE)</f>
        <v>OBESITY</v>
      </c>
      <c r="K2084" s="34">
        <v>22108.0</v>
      </c>
      <c r="L2084" s="35">
        <f>VLOOKUP($A2084, 'Hospitalisation Details'!$A:$H, 7, FALSE)</f>
        <v>2459.72</v>
      </c>
      <c r="M2084" s="22" t="str">
        <f>VLOOKUP($A2084, 'Hospitalisation Details'!$A:$L, 12, FALSE)</f>
        <v>tier - 2</v>
      </c>
      <c r="N2084" s="22" t="str">
        <f>VLOOKUP($A2084, 'Hospitalisation Details'!$A:$M, 13, FALSE)</f>
        <v>tier - 2</v>
      </c>
      <c r="O2084" s="22" t="str">
        <f>VLOOKUP($A2084, 'Hospitalisation Details'!$A:$N, 14, FALSE)</f>
        <v>R1024</v>
      </c>
      <c r="P2084" s="36">
        <f>VLOOKUP($A2084, 'Hospitalisation Details'!$A:$O, 15, FALSE)</f>
        <v>20</v>
      </c>
    </row>
    <row r="2085" ht="15.75" customHeight="1">
      <c r="A2085" s="33" t="s">
        <v>4169</v>
      </c>
      <c r="B2085" s="22" t="str">
        <f>VLOOKUP($A2085,'Customer Names'!$A:$D,3, FALSE)</f>
        <v>Lederer</v>
      </c>
      <c r="C2085" s="22">
        <f>VLOOKUP($A2085,'Medical Examinations'!$A:$D, 2, FALSE)</f>
        <v>22.6</v>
      </c>
      <c r="D2085" s="22">
        <f>VLOOKUP($A2085, 'Medical Examinations'!$A:$D,3, FALSE)</f>
        <v>6.04</v>
      </c>
      <c r="E2085" s="22" t="str">
        <f>VLOOKUP($A2085, 'Medical Examinations'!$A:$D, 4, FALSE)</f>
        <v>No</v>
      </c>
      <c r="F2085" s="22" t="str">
        <f>VLOOKUP($A2085, 'Medical Examinations'!$A:$J, 5, FALSE)</f>
        <v>No</v>
      </c>
      <c r="G2085" s="22" t="str">
        <f>VLOOKUP($A2085, 'Medical Examinations'!$A:$I, 6, FALSE)</f>
        <v>No</v>
      </c>
      <c r="H2085" s="22">
        <f>VLOOKUP($A2085,'Medical Examinations'!$A:$L,10, FALSE)</f>
        <v>1</v>
      </c>
      <c r="I2085" s="22" t="str">
        <f>VLOOKUP($A2085, 'Medical Examinations'!$A:$J, 9, FALSE)</f>
        <v>No</v>
      </c>
      <c r="J2085" s="22" t="str">
        <f>VLOOKUP($A2085, 'Medical Examinations'!$A:$P, 11, FALSE)</f>
        <v>NORMAL WEIGHT</v>
      </c>
      <c r="K2085" s="34">
        <v>22141.0</v>
      </c>
      <c r="L2085" s="35">
        <f>VLOOKUP($A2085, 'Hospitalisation Details'!$A:$H, 7, FALSE)</f>
        <v>2457.5</v>
      </c>
      <c r="M2085" s="22" t="str">
        <f>VLOOKUP($A2085, 'Hospitalisation Details'!$A:$L, 12, FALSE)</f>
        <v>tier - 2</v>
      </c>
      <c r="N2085" s="22" t="str">
        <f>VLOOKUP($A2085, 'Hospitalisation Details'!$A:$M, 13, FALSE)</f>
        <v>tier - 1</v>
      </c>
      <c r="O2085" s="22" t="str">
        <f>VLOOKUP($A2085, 'Hospitalisation Details'!$A:$N, 14, FALSE)</f>
        <v>R1011</v>
      </c>
      <c r="P2085" s="36">
        <f>VLOOKUP($A2085, 'Hospitalisation Details'!$A:$O, 15, FALSE)</f>
        <v>24</v>
      </c>
    </row>
    <row r="2086" ht="15.75" customHeight="1">
      <c r="A2086" s="33" t="s">
        <v>4171</v>
      </c>
      <c r="B2086" s="22" t="str">
        <f>VLOOKUP($A2086,'Customer Names'!$A:$D,3, FALSE)</f>
        <v>Robson</v>
      </c>
      <c r="C2086" s="22">
        <f>VLOOKUP($A2086,'Medical Examinations'!$A:$D, 2, FALSE)</f>
        <v>28.785</v>
      </c>
      <c r="D2086" s="22">
        <f>VLOOKUP($A2086, 'Medical Examinations'!$A:$D,3, FALSE)</f>
        <v>8.82</v>
      </c>
      <c r="E2086" s="22" t="str">
        <f>VLOOKUP($A2086, 'Medical Examinations'!$A:$D, 4, FALSE)</f>
        <v>No</v>
      </c>
      <c r="F2086" s="22" t="str">
        <f>VLOOKUP($A2086, 'Medical Examinations'!$A:$J, 5, FALSE)</f>
        <v>No</v>
      </c>
      <c r="G2086" s="22" t="str">
        <f>VLOOKUP($A2086, 'Medical Examinations'!$A:$I, 6, FALSE)</f>
        <v>No</v>
      </c>
      <c r="H2086" s="22">
        <f>VLOOKUP($A2086,'Medical Examinations'!$A:$L,10, FALSE)</f>
        <v>0</v>
      </c>
      <c r="I2086" s="22" t="str">
        <f>VLOOKUP($A2086, 'Medical Examinations'!$A:$J, 9, FALSE)</f>
        <v>No</v>
      </c>
      <c r="J2086" s="22" t="str">
        <f>VLOOKUP($A2086, 'Medical Examinations'!$A:$P, 11, FALSE)</f>
        <v>OVERWEIGHT</v>
      </c>
      <c r="K2086" s="34">
        <v>27574.0</v>
      </c>
      <c r="L2086" s="35">
        <f>VLOOKUP($A2086, 'Hospitalisation Details'!$A:$H, 7, FALSE)</f>
        <v>2457.21</v>
      </c>
      <c r="M2086" s="22" t="str">
        <f>VLOOKUP($A2086, 'Hospitalisation Details'!$A:$L, 12, FALSE)</f>
        <v>tier - 2</v>
      </c>
      <c r="N2086" s="22" t="str">
        <f>VLOOKUP($A2086, 'Hospitalisation Details'!$A:$M, 13, FALSE)</f>
        <v>tier - 1</v>
      </c>
      <c r="O2086" s="22" t="str">
        <f>VLOOKUP($A2086, 'Hospitalisation Details'!$A:$N, 14, FALSE)</f>
        <v>R1024</v>
      </c>
      <c r="P2086" s="36">
        <f>VLOOKUP($A2086, 'Hospitalisation Details'!$A:$O, 15, FALSE)</f>
        <v>20</v>
      </c>
    </row>
    <row r="2087" ht="15.75" customHeight="1">
      <c r="A2087" s="33" t="s">
        <v>4173</v>
      </c>
      <c r="B2087" s="22" t="str">
        <f>VLOOKUP($A2087,'Customer Names'!$A:$D,3, FALSE)</f>
        <v>Galvan</v>
      </c>
      <c r="C2087" s="22">
        <f>VLOOKUP($A2087,'Medical Examinations'!$A:$D, 2, FALSE)</f>
        <v>50.38</v>
      </c>
      <c r="D2087" s="22">
        <f>VLOOKUP($A2087, 'Medical Examinations'!$A:$D,3, FALSE)</f>
        <v>5.8</v>
      </c>
      <c r="E2087" s="22" t="str">
        <f>VLOOKUP($A2087, 'Medical Examinations'!$A:$D, 4, FALSE)</f>
        <v>No</v>
      </c>
      <c r="F2087" s="22" t="str">
        <f>VLOOKUP($A2087, 'Medical Examinations'!$A:$J, 5, FALSE)</f>
        <v>No</v>
      </c>
      <c r="G2087" s="22" t="str">
        <f>VLOOKUP($A2087, 'Medical Examinations'!$A:$I, 6, FALSE)</f>
        <v>No</v>
      </c>
      <c r="H2087" s="22">
        <f>VLOOKUP($A2087,'Medical Examinations'!$A:$L,10, FALSE)</f>
        <v>0</v>
      </c>
      <c r="I2087" s="22" t="str">
        <f>VLOOKUP($A2087, 'Medical Examinations'!$A:$J, 9, FALSE)</f>
        <v>No</v>
      </c>
      <c r="J2087" s="22" t="str">
        <f>VLOOKUP($A2087, 'Medical Examinations'!$A:$P, 11, FALSE)</f>
        <v>OBESITY</v>
      </c>
      <c r="K2087" s="34">
        <v>24425.0</v>
      </c>
      <c r="L2087" s="35">
        <f>VLOOKUP($A2087, 'Hospitalisation Details'!$A:$H, 7, FALSE)</f>
        <v>2438.06</v>
      </c>
      <c r="M2087" s="22" t="str">
        <f>VLOOKUP($A2087, 'Hospitalisation Details'!$A:$L, 12, FALSE)</f>
        <v>tier - 2</v>
      </c>
      <c r="N2087" s="22" t="str">
        <f>VLOOKUP($A2087, 'Hospitalisation Details'!$A:$M, 13, FALSE)</f>
        <v>tier - 2</v>
      </c>
      <c r="O2087" s="22" t="str">
        <f>VLOOKUP($A2087, 'Hospitalisation Details'!$A:$N, 14, FALSE)</f>
        <v>R1013</v>
      </c>
      <c r="P2087" s="36">
        <f>VLOOKUP($A2087, 'Hospitalisation Details'!$A:$O, 15, FALSE)</f>
        <v>23</v>
      </c>
    </row>
    <row r="2088" ht="15.75" customHeight="1">
      <c r="A2088" s="33" t="s">
        <v>4175</v>
      </c>
      <c r="B2088" s="22" t="str">
        <f>VLOOKUP($A2088,'Customer Names'!$A:$D,3, FALSE)</f>
        <v>Walsh</v>
      </c>
      <c r="C2088" s="22">
        <f>VLOOKUP($A2088,'Medical Examinations'!$A:$D, 2, FALSE)</f>
        <v>35.2</v>
      </c>
      <c r="D2088" s="22">
        <f>VLOOKUP($A2088, 'Medical Examinations'!$A:$D,3, FALSE)</f>
        <v>4.28</v>
      </c>
      <c r="E2088" s="22" t="str">
        <f>VLOOKUP($A2088, 'Medical Examinations'!$A:$D, 4, FALSE)</f>
        <v>No</v>
      </c>
      <c r="F2088" s="22" t="str">
        <f>VLOOKUP($A2088, 'Medical Examinations'!$A:$J, 5, FALSE)</f>
        <v>No</v>
      </c>
      <c r="G2088" s="22" t="str">
        <f>VLOOKUP($A2088, 'Medical Examinations'!$A:$I, 6, FALSE)</f>
        <v>No</v>
      </c>
      <c r="H2088" s="22">
        <f>VLOOKUP($A2088,'Medical Examinations'!$A:$L,10, FALSE)</f>
        <v>0</v>
      </c>
      <c r="I2088" s="22" t="str">
        <f>VLOOKUP($A2088, 'Medical Examinations'!$A:$J, 9, FALSE)</f>
        <v>No</v>
      </c>
      <c r="J2088" s="22" t="str">
        <f>VLOOKUP($A2088, 'Medical Examinations'!$A:$P, 11, FALSE)</f>
        <v>OBESITY</v>
      </c>
      <c r="K2088" s="34">
        <v>22588.0</v>
      </c>
      <c r="L2088" s="35">
        <f>VLOOKUP($A2088, 'Hospitalisation Details'!$A:$H, 7, FALSE)</f>
        <v>2416.96</v>
      </c>
      <c r="M2088" s="22" t="str">
        <f>VLOOKUP($A2088, 'Hospitalisation Details'!$A:$L, 12, FALSE)</f>
        <v>tier - 2</v>
      </c>
      <c r="N2088" s="22" t="str">
        <f>VLOOKUP($A2088, 'Hospitalisation Details'!$A:$M, 13, FALSE)</f>
        <v>tier - 2</v>
      </c>
      <c r="O2088" s="22" t="str">
        <f>VLOOKUP($A2088, 'Hospitalisation Details'!$A:$N, 14, FALSE)</f>
        <v>R1011</v>
      </c>
      <c r="P2088" s="36">
        <f>VLOOKUP($A2088, 'Hospitalisation Details'!$A:$O, 15, FALSE)</f>
        <v>23</v>
      </c>
    </row>
    <row r="2089" ht="15.75" customHeight="1">
      <c r="A2089" s="33" t="s">
        <v>4177</v>
      </c>
      <c r="B2089" s="22" t="str">
        <f>VLOOKUP($A2089,'Customer Names'!$A:$D,3, FALSE)</f>
        <v>Teeuwen</v>
      </c>
      <c r="C2089" s="22">
        <f>VLOOKUP($A2089,'Medical Examinations'!$A:$D, 2, FALSE)</f>
        <v>35.72</v>
      </c>
      <c r="D2089" s="22">
        <f>VLOOKUP($A2089, 'Medical Examinations'!$A:$D,3, FALSE)</f>
        <v>5.5</v>
      </c>
      <c r="E2089" s="22" t="str">
        <f>VLOOKUP($A2089, 'Medical Examinations'!$A:$D, 4, FALSE)</f>
        <v>Yes</v>
      </c>
      <c r="F2089" s="22" t="str">
        <f>VLOOKUP($A2089, 'Medical Examinations'!$A:$J, 5, FALSE)</f>
        <v>No</v>
      </c>
      <c r="G2089" s="22" t="str">
        <f>VLOOKUP($A2089, 'Medical Examinations'!$A:$I, 6, FALSE)</f>
        <v>No</v>
      </c>
      <c r="H2089" s="22">
        <f>VLOOKUP($A2089,'Medical Examinations'!$A:$L,10, FALSE)</f>
        <v>0</v>
      </c>
      <c r="I2089" s="22" t="str">
        <f>VLOOKUP($A2089, 'Medical Examinations'!$A:$J, 9, FALSE)</f>
        <v>No</v>
      </c>
      <c r="J2089" s="22" t="str">
        <f>VLOOKUP($A2089, 'Medical Examinations'!$A:$P, 11, FALSE)</f>
        <v>OBESITY</v>
      </c>
      <c r="K2089" s="34">
        <v>34502.0</v>
      </c>
      <c r="L2089" s="35">
        <f>VLOOKUP($A2089, 'Hospitalisation Details'!$A:$H, 7, FALSE)</f>
        <v>2404.73</v>
      </c>
      <c r="M2089" s="22" t="str">
        <f>VLOOKUP($A2089, 'Hospitalisation Details'!$A:$L, 12, FALSE)</f>
        <v>tier - 2</v>
      </c>
      <c r="N2089" s="22" t="str">
        <f>VLOOKUP($A2089, 'Hospitalisation Details'!$A:$M, 13, FALSE)</f>
        <v>tier - 3</v>
      </c>
      <c r="O2089" s="22" t="str">
        <f>VLOOKUP($A2089, 'Hospitalisation Details'!$A:$N, 14, FALSE)</f>
        <v>R1012</v>
      </c>
      <c r="P2089" s="36">
        <f>VLOOKUP($A2089, 'Hospitalisation Details'!$A:$O, 15, FALSE)</f>
        <v>22</v>
      </c>
    </row>
    <row r="2090" ht="15.75" customHeight="1">
      <c r="A2090" s="33" t="s">
        <v>4179</v>
      </c>
      <c r="B2090" s="22" t="str">
        <f>VLOOKUP($A2090,'Customer Names'!$A:$D,3, FALSE)</f>
        <v>List</v>
      </c>
      <c r="C2090" s="22">
        <f>VLOOKUP($A2090,'Medical Examinations'!$A:$D, 2, FALSE)</f>
        <v>24.51</v>
      </c>
      <c r="D2090" s="22">
        <f>VLOOKUP($A2090, 'Medical Examinations'!$A:$D,3, FALSE)</f>
        <v>4.69</v>
      </c>
      <c r="E2090" s="22" t="str">
        <f>VLOOKUP($A2090, 'Medical Examinations'!$A:$D, 4, FALSE)</f>
        <v>No</v>
      </c>
      <c r="F2090" s="22" t="str">
        <f>VLOOKUP($A2090, 'Medical Examinations'!$A:$J, 5, FALSE)</f>
        <v>No</v>
      </c>
      <c r="G2090" s="22" t="str">
        <f>VLOOKUP($A2090, 'Medical Examinations'!$A:$I, 6, FALSE)</f>
        <v>No</v>
      </c>
      <c r="H2090" s="22">
        <f>VLOOKUP($A2090,'Medical Examinations'!$A:$L,10, FALSE)</f>
        <v>0</v>
      </c>
      <c r="I2090" s="22" t="str">
        <f>VLOOKUP($A2090, 'Medical Examinations'!$A:$J, 9, FALSE)</f>
        <v>No</v>
      </c>
      <c r="J2090" s="22" t="str">
        <f>VLOOKUP($A2090, 'Medical Examinations'!$A:$P, 11, FALSE)</f>
        <v>NORMAL WEIGHT</v>
      </c>
      <c r="K2090" s="34">
        <v>28062.0</v>
      </c>
      <c r="L2090" s="35">
        <f>VLOOKUP($A2090, 'Hospitalisation Details'!$A:$H, 7, FALSE)</f>
        <v>2396.1</v>
      </c>
      <c r="M2090" s="22" t="str">
        <f>VLOOKUP($A2090, 'Hospitalisation Details'!$A:$L, 12, FALSE)</f>
        <v>tier - 2</v>
      </c>
      <c r="N2090" s="22" t="str">
        <f>VLOOKUP($A2090, 'Hospitalisation Details'!$A:$M, 13, FALSE)</f>
        <v>tier - 1</v>
      </c>
      <c r="O2090" s="22" t="str">
        <f>VLOOKUP($A2090, 'Hospitalisation Details'!$A:$N, 14, FALSE)</f>
        <v>R1019</v>
      </c>
      <c r="P2090" s="36">
        <f>VLOOKUP($A2090, 'Hospitalisation Details'!$A:$O, 15, FALSE)</f>
        <v>23</v>
      </c>
    </row>
    <row r="2091" ht="15.75" customHeight="1">
      <c r="A2091" s="33" t="s">
        <v>4181</v>
      </c>
      <c r="B2091" s="22" t="str">
        <f>VLOOKUP($A2091,'Customer Names'!$A:$D,3, FALSE)</f>
        <v>Shafar</v>
      </c>
      <c r="C2091" s="22">
        <f>VLOOKUP($A2091,'Medical Examinations'!$A:$D, 2, FALSE)</f>
        <v>23.845</v>
      </c>
      <c r="D2091" s="22">
        <f>VLOOKUP($A2091, 'Medical Examinations'!$A:$D,3, FALSE)</f>
        <v>4.43</v>
      </c>
      <c r="E2091" s="22" t="str">
        <f>VLOOKUP($A2091, 'Medical Examinations'!$A:$D, 4, FALSE)</f>
        <v>No</v>
      </c>
      <c r="F2091" s="22" t="str">
        <f>VLOOKUP($A2091, 'Medical Examinations'!$A:$J, 5, FALSE)</f>
        <v>No</v>
      </c>
      <c r="G2091" s="22" t="str">
        <f>VLOOKUP($A2091, 'Medical Examinations'!$A:$I, 6, FALSE)</f>
        <v>No</v>
      </c>
      <c r="H2091" s="22">
        <f>VLOOKUP($A2091,'Medical Examinations'!$A:$L,10, FALSE)</f>
        <v>0</v>
      </c>
      <c r="I2091" s="22" t="str">
        <f>VLOOKUP($A2091, 'Medical Examinations'!$A:$J, 9, FALSE)</f>
        <v>No</v>
      </c>
      <c r="J2091" s="22" t="str">
        <f>VLOOKUP($A2091, 'Medical Examinations'!$A:$P, 11, FALSE)</f>
        <v>NORMAL WEIGHT</v>
      </c>
      <c r="K2091" s="34">
        <v>22484.0</v>
      </c>
      <c r="L2091" s="35">
        <f>VLOOKUP($A2091, 'Hospitalisation Details'!$A:$H, 7, FALSE)</f>
        <v>2395.17</v>
      </c>
      <c r="M2091" s="22" t="str">
        <f>VLOOKUP($A2091, 'Hospitalisation Details'!$A:$L, 12, FALSE)</f>
        <v>tier - 2</v>
      </c>
      <c r="N2091" s="22" t="str">
        <f>VLOOKUP($A2091, 'Hospitalisation Details'!$A:$M, 13, FALSE)</f>
        <v>tier - 1</v>
      </c>
      <c r="O2091" s="22" t="str">
        <f>VLOOKUP($A2091, 'Hospitalisation Details'!$A:$N, 14, FALSE)</f>
        <v>R1014</v>
      </c>
      <c r="P2091" s="36">
        <f>VLOOKUP($A2091, 'Hospitalisation Details'!$A:$O, 15, FALSE)</f>
        <v>23</v>
      </c>
    </row>
    <row r="2092" ht="15.75" customHeight="1">
      <c r="A2092" s="33" t="s">
        <v>4183</v>
      </c>
      <c r="B2092" s="22" t="str">
        <f>VLOOKUP($A2092,'Customer Names'!$A:$D,3, FALSE)</f>
        <v>Copenhaver</v>
      </c>
      <c r="C2092" s="22">
        <f>VLOOKUP($A2092,'Medical Examinations'!$A:$D, 2, FALSE)</f>
        <v>15.68</v>
      </c>
      <c r="D2092" s="22">
        <f>VLOOKUP($A2092, 'Medical Examinations'!$A:$D,3, FALSE)</f>
        <v>6.16</v>
      </c>
      <c r="E2092" s="22" t="str">
        <f>VLOOKUP($A2092, 'Medical Examinations'!$A:$D, 4, FALSE)</f>
        <v>Yes</v>
      </c>
      <c r="F2092" s="22" t="str">
        <f>VLOOKUP($A2092, 'Medical Examinations'!$A:$J, 5, FALSE)</f>
        <v>No</v>
      </c>
      <c r="G2092" s="22" t="str">
        <f>VLOOKUP($A2092, 'Medical Examinations'!$A:$I, 6, FALSE)</f>
        <v>No</v>
      </c>
      <c r="H2092" s="22">
        <f>VLOOKUP($A2092,'Medical Examinations'!$A:$L,10, FALSE)</f>
        <v>1</v>
      </c>
      <c r="I2092" s="22" t="str">
        <f>VLOOKUP($A2092, 'Medical Examinations'!$A:$J, 9, FALSE)</f>
        <v>No</v>
      </c>
      <c r="J2092" s="22" t="str">
        <f>VLOOKUP($A2092, 'Medical Examinations'!$A:$P, 11, FALSE)</f>
        <v>UNDERWEIGHT</v>
      </c>
      <c r="K2092" s="34">
        <v>33957.0</v>
      </c>
      <c r="L2092" s="35">
        <f>VLOOKUP($A2092, 'Hospitalisation Details'!$A:$H, 7, FALSE)</f>
        <v>2373.3</v>
      </c>
      <c r="M2092" s="22" t="str">
        <f>VLOOKUP($A2092, 'Hospitalisation Details'!$A:$L, 12, FALSE)</f>
        <v>tier - 2</v>
      </c>
      <c r="N2092" s="22" t="str">
        <f>VLOOKUP($A2092, 'Hospitalisation Details'!$A:$M, 13, FALSE)</f>
        <v>tier - 2</v>
      </c>
      <c r="O2092" s="22" t="str">
        <f>VLOOKUP($A2092, 'Hospitalisation Details'!$A:$N, 14, FALSE)</f>
        <v>R1013</v>
      </c>
      <c r="P2092" s="36">
        <f>VLOOKUP($A2092, 'Hospitalisation Details'!$A:$O, 15, FALSE)</f>
        <v>34</v>
      </c>
    </row>
    <row r="2093" ht="15.75" customHeight="1">
      <c r="A2093" s="33" t="s">
        <v>4185</v>
      </c>
      <c r="B2093" s="22" t="str">
        <f>VLOOKUP($A2093,'Customer Names'!$A:$D,3, FALSE)</f>
        <v>Stump</v>
      </c>
      <c r="C2093" s="22">
        <f>VLOOKUP($A2093,'Medical Examinations'!$A:$D, 2, FALSE)</f>
        <v>32.395</v>
      </c>
      <c r="D2093" s="22">
        <f>VLOOKUP($A2093, 'Medical Examinations'!$A:$D,3, FALSE)</f>
        <v>6.66</v>
      </c>
      <c r="E2093" s="22" t="str">
        <f>VLOOKUP($A2093, 'Medical Examinations'!$A:$D, 4, FALSE)</f>
        <v>No</v>
      </c>
      <c r="F2093" s="22" t="str">
        <f>VLOOKUP($A2093, 'Medical Examinations'!$A:$J, 5, FALSE)</f>
        <v>No</v>
      </c>
      <c r="G2093" s="22" t="str">
        <f>VLOOKUP($A2093, 'Medical Examinations'!$A:$I, 6, FALSE)</f>
        <v>No</v>
      </c>
      <c r="H2093" s="22">
        <f>VLOOKUP($A2093,'Medical Examinations'!$A:$L,10, FALSE)</f>
        <v>0</v>
      </c>
      <c r="I2093" s="22" t="str">
        <f>VLOOKUP($A2093, 'Medical Examinations'!$A:$J, 9, FALSE)</f>
        <v>No</v>
      </c>
      <c r="J2093" s="22" t="str">
        <f>VLOOKUP($A2093, 'Medical Examinations'!$A:$P, 11, FALSE)</f>
        <v>OBESITY</v>
      </c>
      <c r="K2093" s="34">
        <v>21904.0</v>
      </c>
      <c r="L2093" s="35">
        <f>VLOOKUP($A2093, 'Hospitalisation Details'!$A:$H, 7, FALSE)</f>
        <v>2362.23</v>
      </c>
      <c r="M2093" s="22" t="str">
        <f>VLOOKUP($A2093, 'Hospitalisation Details'!$A:$L, 12, FALSE)</f>
        <v>tier - 2</v>
      </c>
      <c r="N2093" s="22" t="str">
        <f>VLOOKUP($A2093, 'Hospitalisation Details'!$A:$M, 13, FALSE)</f>
        <v>tier - 1</v>
      </c>
      <c r="O2093" s="22" t="str">
        <f>VLOOKUP($A2093, 'Hospitalisation Details'!$A:$N, 14, FALSE)</f>
        <v>R1012</v>
      </c>
      <c r="P2093" s="36">
        <f>VLOOKUP($A2093, 'Hospitalisation Details'!$A:$O, 15, FALSE)</f>
        <v>20</v>
      </c>
    </row>
    <row r="2094" ht="15.75" customHeight="1">
      <c r="A2094" s="33" t="s">
        <v>4187</v>
      </c>
      <c r="B2094" s="22" t="str">
        <f>VLOOKUP($A2094,'Customer Names'!$A:$D,3, FALSE)</f>
        <v>Wehrman</v>
      </c>
      <c r="C2094" s="22">
        <f>VLOOKUP($A2094,'Medical Examinations'!$A:$D, 2, FALSE)</f>
        <v>23.655</v>
      </c>
      <c r="D2094" s="22">
        <f>VLOOKUP($A2094, 'Medical Examinations'!$A:$D,3, FALSE)</f>
        <v>5.92</v>
      </c>
      <c r="E2094" s="22" t="str">
        <f>VLOOKUP($A2094, 'Medical Examinations'!$A:$D, 4, FALSE)</f>
        <v>No</v>
      </c>
      <c r="F2094" s="22" t="str">
        <f>VLOOKUP($A2094, 'Medical Examinations'!$A:$J, 5, FALSE)</f>
        <v>No</v>
      </c>
      <c r="G2094" s="22" t="str">
        <f>VLOOKUP($A2094, 'Medical Examinations'!$A:$I, 6, FALSE)</f>
        <v>No</v>
      </c>
      <c r="H2094" s="22">
        <f>VLOOKUP($A2094,'Medical Examinations'!$A:$L,10, FALSE)</f>
        <v>1</v>
      </c>
      <c r="I2094" s="22" t="str">
        <f>VLOOKUP($A2094, 'Medical Examinations'!$A:$J, 9, FALSE)</f>
        <v>No</v>
      </c>
      <c r="J2094" s="22" t="str">
        <f>VLOOKUP($A2094, 'Medical Examinations'!$A:$P, 11, FALSE)</f>
        <v>NORMAL WEIGHT</v>
      </c>
      <c r="K2094" s="34">
        <v>21879.0</v>
      </c>
      <c r="L2094" s="35">
        <f>VLOOKUP($A2094, 'Hospitalisation Details'!$A:$H, 7, FALSE)</f>
        <v>2352.97</v>
      </c>
      <c r="M2094" s="22" t="str">
        <f>VLOOKUP($A2094, 'Hospitalisation Details'!$A:$L, 12, FALSE)</f>
        <v>tier - 3</v>
      </c>
      <c r="N2094" s="22" t="str">
        <f>VLOOKUP($A2094, 'Hospitalisation Details'!$A:$M, 13, FALSE)</f>
        <v>tier - 3</v>
      </c>
      <c r="O2094" s="22" t="str">
        <f>VLOOKUP($A2094, 'Hospitalisation Details'!$A:$N, 14, FALSE)</f>
        <v>R1012</v>
      </c>
      <c r="P2094" s="36">
        <f>VLOOKUP($A2094, 'Hospitalisation Details'!$A:$O, 15, FALSE)</f>
        <v>24</v>
      </c>
    </row>
    <row r="2095" ht="15.75" customHeight="1">
      <c r="A2095" s="33" t="s">
        <v>4189</v>
      </c>
      <c r="B2095" s="22" t="str">
        <f>VLOOKUP($A2095,'Customer Names'!$A:$D,3, FALSE)</f>
        <v>Sischo</v>
      </c>
      <c r="C2095" s="22">
        <f>VLOOKUP($A2095,'Medical Examinations'!$A:$D, 2, FALSE)</f>
        <v>28.4</v>
      </c>
      <c r="D2095" s="22">
        <f>VLOOKUP($A2095, 'Medical Examinations'!$A:$D,3, FALSE)</f>
        <v>5.97</v>
      </c>
      <c r="E2095" s="22" t="str">
        <f>VLOOKUP($A2095, 'Medical Examinations'!$A:$D, 4, FALSE)</f>
        <v>No</v>
      </c>
      <c r="F2095" s="22" t="str">
        <f>VLOOKUP($A2095, 'Medical Examinations'!$A:$J, 5, FALSE)</f>
        <v>No</v>
      </c>
      <c r="G2095" s="22" t="str">
        <f>VLOOKUP($A2095, 'Medical Examinations'!$A:$I, 6, FALSE)</f>
        <v>Yes</v>
      </c>
      <c r="H2095" s="22">
        <f>VLOOKUP($A2095,'Medical Examinations'!$A:$L,10, FALSE)</f>
        <v>1</v>
      </c>
      <c r="I2095" s="22" t="str">
        <f>VLOOKUP($A2095, 'Medical Examinations'!$A:$J, 9, FALSE)</f>
        <v>No</v>
      </c>
      <c r="J2095" s="22" t="str">
        <f>VLOOKUP($A2095, 'Medical Examinations'!$A:$P, 11, FALSE)</f>
        <v>OVERWEIGHT</v>
      </c>
      <c r="K2095" s="34">
        <v>21893.0</v>
      </c>
      <c r="L2095" s="35">
        <f>VLOOKUP($A2095, 'Hospitalisation Details'!$A:$H, 7, FALSE)</f>
        <v>2331.52</v>
      </c>
      <c r="M2095" s="22" t="str">
        <f>VLOOKUP($A2095, 'Hospitalisation Details'!$A:$L, 12, FALSE)</f>
        <v>tier - 2</v>
      </c>
      <c r="N2095" s="22" t="str">
        <f>VLOOKUP($A2095, 'Hospitalisation Details'!$A:$M, 13, FALSE)</f>
        <v>tier - 3</v>
      </c>
      <c r="O2095" s="22" t="str">
        <f>VLOOKUP($A2095, 'Hospitalisation Details'!$A:$N, 14, FALSE)</f>
        <v>R1011</v>
      </c>
      <c r="P2095" s="36">
        <f>VLOOKUP($A2095, 'Hospitalisation Details'!$A:$O, 15, FALSE)</f>
        <v>19</v>
      </c>
    </row>
    <row r="2096" ht="15.75" customHeight="1">
      <c r="A2096" s="33" t="s">
        <v>4191</v>
      </c>
      <c r="B2096" s="22" t="str">
        <f>VLOOKUP($A2096,'Customer Names'!$A:$D,3, FALSE)</f>
        <v>Fonti</v>
      </c>
      <c r="C2096" s="22">
        <f>VLOOKUP($A2096,'Medical Examinations'!$A:$D, 2, FALSE)</f>
        <v>35.42</v>
      </c>
      <c r="D2096" s="22">
        <f>VLOOKUP($A2096, 'Medical Examinations'!$A:$D,3, FALSE)</f>
        <v>4.64</v>
      </c>
      <c r="E2096" s="22" t="str">
        <f>VLOOKUP($A2096, 'Medical Examinations'!$A:$D, 4, FALSE)</f>
        <v>Yes</v>
      </c>
      <c r="F2096" s="22" t="str">
        <f>VLOOKUP($A2096, 'Medical Examinations'!$A:$J, 5, FALSE)</f>
        <v>No</v>
      </c>
      <c r="G2096" s="22" t="str">
        <f>VLOOKUP($A2096, 'Medical Examinations'!$A:$I, 6, FALSE)</f>
        <v>No</v>
      </c>
      <c r="H2096" s="22">
        <f>VLOOKUP($A2096,'Medical Examinations'!$A:$L,10, FALSE)</f>
        <v>0</v>
      </c>
      <c r="I2096" s="22" t="str">
        <f>VLOOKUP($A2096, 'Medical Examinations'!$A:$J, 9, FALSE)</f>
        <v>No</v>
      </c>
      <c r="J2096" s="22" t="str">
        <f>VLOOKUP($A2096, 'Medical Examinations'!$A:$P, 11, FALSE)</f>
        <v>OBESITY</v>
      </c>
      <c r="K2096" s="34">
        <v>30839.0</v>
      </c>
      <c r="L2096" s="35">
        <f>VLOOKUP($A2096, 'Hospitalisation Details'!$A:$H, 7, FALSE)</f>
        <v>2322.62</v>
      </c>
      <c r="M2096" s="22" t="str">
        <f>VLOOKUP($A2096, 'Hospitalisation Details'!$A:$L, 12, FALSE)</f>
        <v>tier - 2</v>
      </c>
      <c r="N2096" s="22" t="str">
        <f>VLOOKUP($A2096, 'Hospitalisation Details'!$A:$M, 13, FALSE)</f>
        <v>tier - 1</v>
      </c>
      <c r="O2096" s="22" t="str">
        <f>VLOOKUP($A2096, 'Hospitalisation Details'!$A:$N, 14, FALSE)</f>
        <v>R1013</v>
      </c>
      <c r="P2096" s="36">
        <f>VLOOKUP($A2096, 'Hospitalisation Details'!$A:$O, 15, FALSE)</f>
        <v>26</v>
      </c>
    </row>
    <row r="2097" ht="15.75" customHeight="1">
      <c r="A2097" s="33" t="s">
        <v>4193</v>
      </c>
      <c r="B2097" s="22" t="str">
        <f>VLOOKUP($A2097,'Customer Names'!$A:$D,3, FALSE)</f>
        <v>Merlis</v>
      </c>
      <c r="C2097" s="22">
        <f>VLOOKUP($A2097,'Medical Examinations'!$A:$D, 2, FALSE)</f>
        <v>26.18</v>
      </c>
      <c r="D2097" s="22">
        <f>VLOOKUP($A2097, 'Medical Examinations'!$A:$D,3, FALSE)</f>
        <v>6.12</v>
      </c>
      <c r="E2097" s="22" t="str">
        <f>VLOOKUP($A2097, 'Medical Examinations'!$A:$D, 4, FALSE)</f>
        <v>No</v>
      </c>
      <c r="F2097" s="22" t="str">
        <f>VLOOKUP($A2097, 'Medical Examinations'!$A:$J, 5, FALSE)</f>
        <v>Yes</v>
      </c>
      <c r="G2097" s="22" t="str">
        <f>VLOOKUP($A2097, 'Medical Examinations'!$A:$I, 6, FALSE)</f>
        <v>No</v>
      </c>
      <c r="H2097" s="22">
        <f>VLOOKUP($A2097,'Medical Examinations'!$A:$L,10, FALSE)</f>
        <v>1</v>
      </c>
      <c r="I2097" s="22" t="str">
        <f>VLOOKUP($A2097, 'Medical Examinations'!$A:$J, 9, FALSE)</f>
        <v>No</v>
      </c>
      <c r="J2097" s="22" t="str">
        <f>VLOOKUP($A2097, 'Medical Examinations'!$A:$P, 11, FALSE)</f>
        <v>OVERWEIGHT</v>
      </c>
      <c r="K2097" s="34">
        <v>29128.0</v>
      </c>
      <c r="L2097" s="35">
        <f>VLOOKUP($A2097, 'Hospitalisation Details'!$A:$H, 7, FALSE)</f>
        <v>2304</v>
      </c>
      <c r="M2097" s="22" t="str">
        <f>VLOOKUP($A2097, 'Hospitalisation Details'!$A:$L, 12, FALSE)</f>
        <v>tier - 2</v>
      </c>
      <c r="N2097" s="22" t="str">
        <f>VLOOKUP($A2097, 'Hospitalisation Details'!$A:$M, 13, FALSE)</f>
        <v>tier - 3</v>
      </c>
      <c r="O2097" s="22" t="str">
        <f>VLOOKUP($A2097, 'Hospitalisation Details'!$A:$N, 14, FALSE)</f>
        <v>R1013</v>
      </c>
      <c r="P2097" s="36">
        <f>VLOOKUP($A2097, 'Hospitalisation Details'!$A:$O, 15, FALSE)</f>
        <v>18</v>
      </c>
    </row>
    <row r="2098" ht="15.75" customHeight="1">
      <c r="A2098" s="33" t="s">
        <v>4195</v>
      </c>
      <c r="B2098" s="22" t="str">
        <f>VLOOKUP($A2098,'Customer Names'!$A:$D,3, FALSE)</f>
        <v>Hasegawa</v>
      </c>
      <c r="C2098" s="22">
        <f>VLOOKUP($A2098,'Medical Examinations'!$A:$D, 2, FALSE)</f>
        <v>20.8</v>
      </c>
      <c r="D2098" s="22">
        <f>VLOOKUP($A2098, 'Medical Examinations'!$A:$D,3, FALSE)</f>
        <v>4.87</v>
      </c>
      <c r="E2098" s="22" t="str">
        <f>VLOOKUP($A2098, 'Medical Examinations'!$A:$D, 4, FALSE)</f>
        <v>Yes</v>
      </c>
      <c r="F2098" s="22" t="str">
        <f>VLOOKUP($A2098, 'Medical Examinations'!$A:$J, 5, FALSE)</f>
        <v>No</v>
      </c>
      <c r="G2098" s="22" t="str">
        <f>VLOOKUP($A2098, 'Medical Examinations'!$A:$I, 6, FALSE)</f>
        <v>No</v>
      </c>
      <c r="H2098" s="22">
        <f>VLOOKUP($A2098,'Medical Examinations'!$A:$L,10, FALSE)</f>
        <v>0</v>
      </c>
      <c r="I2098" s="22" t="str">
        <f>VLOOKUP($A2098, 'Medical Examinations'!$A:$J, 9, FALSE)</f>
        <v>No</v>
      </c>
      <c r="J2098" s="22" t="str">
        <f>VLOOKUP($A2098, 'Medical Examinations'!$A:$P, 11, FALSE)</f>
        <v>NORMAL WEIGHT</v>
      </c>
      <c r="K2098" s="34">
        <v>23644.0</v>
      </c>
      <c r="L2098" s="35">
        <f>VLOOKUP($A2098, 'Hospitalisation Details'!$A:$H, 7, FALSE)</f>
        <v>2302.3</v>
      </c>
      <c r="M2098" s="22" t="str">
        <f>VLOOKUP($A2098, 'Hospitalisation Details'!$A:$L, 12, FALSE)</f>
        <v>tier - 1</v>
      </c>
      <c r="N2098" s="22" t="str">
        <f>VLOOKUP($A2098, 'Hospitalisation Details'!$A:$M, 13, FALSE)</f>
        <v>tier - 2</v>
      </c>
      <c r="O2098" s="22" t="str">
        <f>VLOOKUP($A2098, 'Hospitalisation Details'!$A:$N, 14, FALSE)</f>
        <v>R1011</v>
      </c>
      <c r="P2098" s="36">
        <f>VLOOKUP($A2098, 'Hospitalisation Details'!$A:$O, 15, FALSE)</f>
        <v>26</v>
      </c>
    </row>
    <row r="2099" ht="15.75" customHeight="1">
      <c r="A2099" s="33" t="s">
        <v>4197</v>
      </c>
      <c r="B2099" s="22" t="str">
        <f>VLOOKUP($A2099,'Customer Names'!$A:$D,3, FALSE)</f>
        <v>Haselden</v>
      </c>
      <c r="C2099" s="22">
        <f>VLOOKUP($A2099,'Medical Examinations'!$A:$D, 2, FALSE)</f>
        <v>15.82</v>
      </c>
      <c r="D2099" s="22">
        <f>VLOOKUP($A2099, 'Medical Examinations'!$A:$D,3, FALSE)</f>
        <v>4.6</v>
      </c>
      <c r="E2099" s="22" t="str">
        <f>VLOOKUP($A2099, 'Medical Examinations'!$A:$D, 4, FALSE)</f>
        <v>No</v>
      </c>
      <c r="F2099" s="22" t="str">
        <f>VLOOKUP($A2099, 'Medical Examinations'!$A:$J, 5, FALSE)</f>
        <v>No</v>
      </c>
      <c r="G2099" s="22" t="str">
        <f>VLOOKUP($A2099, 'Medical Examinations'!$A:$I, 6, FALSE)</f>
        <v>No</v>
      </c>
      <c r="H2099" s="22">
        <f>VLOOKUP($A2099,'Medical Examinations'!$A:$L,10, FALSE)</f>
        <v>0</v>
      </c>
      <c r="I2099" s="22" t="str">
        <f>VLOOKUP($A2099, 'Medical Examinations'!$A:$J, 9, FALSE)</f>
        <v>No</v>
      </c>
      <c r="J2099" s="22" t="str">
        <f>VLOOKUP($A2099, 'Medical Examinations'!$A:$P, 11, FALSE)</f>
        <v>UNDERWEIGHT</v>
      </c>
      <c r="K2099" s="34">
        <v>33148.0</v>
      </c>
      <c r="L2099" s="35">
        <f>VLOOKUP($A2099, 'Hospitalisation Details'!$A:$H, 7, FALSE)</f>
        <v>2295.24</v>
      </c>
      <c r="M2099" s="22" t="str">
        <f>VLOOKUP($A2099, 'Hospitalisation Details'!$A:$L, 12, FALSE)</f>
        <v>tier - 2</v>
      </c>
      <c r="N2099" s="22" t="str">
        <f>VLOOKUP($A2099, 'Hospitalisation Details'!$A:$M, 13, FALSE)</f>
        <v>tier - 1</v>
      </c>
      <c r="O2099" s="22" t="str">
        <f>VLOOKUP($A2099, 'Hospitalisation Details'!$A:$N, 14, FALSE)</f>
        <v>R1013</v>
      </c>
      <c r="P2099" s="36">
        <f>VLOOKUP($A2099, 'Hospitalisation Details'!$A:$O, 15, FALSE)</f>
        <v>33</v>
      </c>
    </row>
    <row r="2100" ht="15.75" customHeight="1">
      <c r="A2100" s="33" t="s">
        <v>4199</v>
      </c>
      <c r="B2100" s="22" t="str">
        <f>VLOOKUP($A2100,'Customer Names'!$A:$D,3, FALSE)</f>
        <v>Simonson</v>
      </c>
      <c r="C2100" s="22">
        <f>VLOOKUP($A2100,'Medical Examinations'!$A:$D, 2, FALSE)</f>
        <v>17.67</v>
      </c>
      <c r="D2100" s="22">
        <f>VLOOKUP($A2100, 'Medical Examinations'!$A:$D,3, FALSE)</f>
        <v>4.78</v>
      </c>
      <c r="E2100" s="22" t="str">
        <f>VLOOKUP($A2100, 'Medical Examinations'!$A:$D, 4, FALSE)</f>
        <v>No</v>
      </c>
      <c r="F2100" s="22" t="str">
        <f>VLOOKUP($A2100, 'Medical Examinations'!$A:$J, 5, FALSE)</f>
        <v>No</v>
      </c>
      <c r="G2100" s="22" t="str">
        <f>VLOOKUP($A2100, 'Medical Examinations'!$A:$I, 6, FALSE)</f>
        <v>No</v>
      </c>
      <c r="H2100" s="22">
        <f>VLOOKUP($A2100,'Medical Examinations'!$A:$L,10, FALSE)</f>
        <v>0</v>
      </c>
      <c r="I2100" s="22" t="str">
        <f>VLOOKUP($A2100, 'Medical Examinations'!$A:$J, 9, FALSE)</f>
        <v>No</v>
      </c>
      <c r="J2100" s="22" t="str">
        <f>VLOOKUP($A2100, 'Medical Examinations'!$A:$P, 11, FALSE)</f>
        <v>UNDERWEIGHT</v>
      </c>
      <c r="K2100" s="34">
        <v>22231.0</v>
      </c>
      <c r="L2100" s="35">
        <f>VLOOKUP($A2100, 'Hospitalisation Details'!$A:$H, 7, FALSE)</f>
        <v>2277.72</v>
      </c>
      <c r="M2100" s="22" t="str">
        <f>VLOOKUP($A2100, 'Hospitalisation Details'!$A:$L, 12, FALSE)</f>
        <v>tier - 2</v>
      </c>
      <c r="N2100" s="22" t="str">
        <f>VLOOKUP($A2100, 'Hospitalisation Details'!$A:$M, 13, FALSE)</f>
        <v>tier - 1</v>
      </c>
      <c r="O2100" s="22" t="str">
        <f>VLOOKUP($A2100, 'Hospitalisation Details'!$A:$N, 14, FALSE)</f>
        <v>R1013</v>
      </c>
      <c r="P2100" s="36">
        <f>VLOOKUP($A2100, 'Hospitalisation Details'!$A:$O, 15, FALSE)</f>
        <v>31</v>
      </c>
    </row>
    <row r="2101" ht="15.75" customHeight="1">
      <c r="A2101" s="33" t="s">
        <v>4201</v>
      </c>
      <c r="B2101" s="22" t="str">
        <f>VLOOKUP($A2101,'Customer Names'!$A:$D,3, FALSE)</f>
        <v>Montag</v>
      </c>
      <c r="C2101" s="22">
        <f>VLOOKUP($A2101,'Medical Examinations'!$A:$D, 2, FALSE)</f>
        <v>31.92</v>
      </c>
      <c r="D2101" s="22">
        <f>VLOOKUP($A2101, 'Medical Examinations'!$A:$D,3, FALSE)</f>
        <v>11.05</v>
      </c>
      <c r="E2101" s="22" t="str">
        <f>VLOOKUP($A2101, 'Medical Examinations'!$A:$D, 4, FALSE)</f>
        <v>No</v>
      </c>
      <c r="F2101" s="22" t="str">
        <f>VLOOKUP($A2101, 'Medical Examinations'!$A:$J, 5, FALSE)</f>
        <v>No</v>
      </c>
      <c r="G2101" s="22" t="str">
        <f>VLOOKUP($A2101, 'Medical Examinations'!$A:$I, 6, FALSE)</f>
        <v>No</v>
      </c>
      <c r="H2101" s="22">
        <f>VLOOKUP($A2101,'Medical Examinations'!$A:$L,10, FALSE)</f>
        <v>0</v>
      </c>
      <c r="I2101" s="22" t="str">
        <f>VLOOKUP($A2101, 'Medical Examinations'!$A:$J, 9, FALSE)</f>
        <v>No</v>
      </c>
      <c r="J2101" s="22" t="str">
        <f>VLOOKUP($A2101, 'Medical Examinations'!$A:$P, 11, FALSE)</f>
        <v>OBESITY</v>
      </c>
      <c r="K2101" s="34">
        <v>27357.0</v>
      </c>
      <c r="L2101" s="35">
        <f>VLOOKUP($A2101, 'Hospitalisation Details'!$A:$H, 7, FALSE)</f>
        <v>2261.57</v>
      </c>
      <c r="M2101" s="22" t="str">
        <f>VLOOKUP($A2101, 'Hospitalisation Details'!$A:$L, 12, FALSE)</f>
        <v>tier - 2</v>
      </c>
      <c r="N2101" s="22" t="str">
        <f>VLOOKUP($A2101, 'Hospitalisation Details'!$A:$M, 13, FALSE)</f>
        <v>tier - 1</v>
      </c>
      <c r="O2101" s="22" t="str">
        <f>VLOOKUP($A2101, 'Hospitalisation Details'!$A:$N, 14, FALSE)</f>
        <v>R1012</v>
      </c>
      <c r="P2101" s="36">
        <f>VLOOKUP($A2101, 'Hospitalisation Details'!$A:$O, 15, FALSE)</f>
        <v>20</v>
      </c>
    </row>
    <row r="2102" ht="15.75" customHeight="1">
      <c r="A2102" s="33" t="s">
        <v>4203</v>
      </c>
      <c r="B2102" s="22" t="str">
        <f>VLOOKUP($A2102,'Customer Names'!$A:$D,3, FALSE)</f>
        <v>Deroian</v>
      </c>
      <c r="C2102" s="22">
        <f>VLOOKUP($A2102,'Medical Examinations'!$A:$D, 2, FALSE)</f>
        <v>28.975</v>
      </c>
      <c r="D2102" s="22">
        <f>VLOOKUP($A2102, 'Medical Examinations'!$A:$D,3, FALSE)</f>
        <v>7.62</v>
      </c>
      <c r="E2102" s="22" t="str">
        <f>VLOOKUP($A2102, 'Medical Examinations'!$A:$D, 4, FALSE)</f>
        <v>No</v>
      </c>
      <c r="F2102" s="22" t="str">
        <f>VLOOKUP($A2102, 'Medical Examinations'!$A:$J, 5, FALSE)</f>
        <v>No</v>
      </c>
      <c r="G2102" s="22" t="str">
        <f>VLOOKUP($A2102, 'Medical Examinations'!$A:$I, 6, FALSE)</f>
        <v>No</v>
      </c>
      <c r="H2102" s="22">
        <f>VLOOKUP($A2102,'Medical Examinations'!$A:$L,10, FALSE)</f>
        <v>0</v>
      </c>
      <c r="I2102" s="22" t="str">
        <f>VLOOKUP($A2102, 'Medical Examinations'!$A:$J, 9, FALSE)</f>
        <v>No</v>
      </c>
      <c r="J2102" s="22" t="str">
        <f>VLOOKUP($A2102, 'Medical Examinations'!$A:$P, 11, FALSE)</f>
        <v>OVERWEIGHT</v>
      </c>
      <c r="K2102" s="34">
        <v>27995.0</v>
      </c>
      <c r="L2102" s="35">
        <f>VLOOKUP($A2102, 'Hospitalisation Details'!$A:$H, 7, FALSE)</f>
        <v>2257.48</v>
      </c>
      <c r="M2102" s="22" t="str">
        <f>VLOOKUP($A2102, 'Hospitalisation Details'!$A:$L, 12, FALSE)</f>
        <v>tier - 2</v>
      </c>
      <c r="N2102" s="22" t="str">
        <f>VLOOKUP($A2102, 'Hospitalisation Details'!$A:$M, 13, FALSE)</f>
        <v>tier - 1</v>
      </c>
      <c r="O2102" s="22" t="str">
        <f>VLOOKUP($A2102, 'Hospitalisation Details'!$A:$N, 14, FALSE)</f>
        <v>R1012</v>
      </c>
      <c r="P2102" s="36">
        <f>VLOOKUP($A2102, 'Hospitalisation Details'!$A:$O, 15, FALSE)</f>
        <v>20</v>
      </c>
    </row>
    <row r="2103" ht="15.75" customHeight="1">
      <c r="A2103" s="33" t="s">
        <v>4205</v>
      </c>
      <c r="B2103" s="22" t="str">
        <f>VLOOKUP($A2103,'Customer Names'!$A:$D,3, FALSE)</f>
        <v>Goetz</v>
      </c>
      <c r="C2103" s="22">
        <f>VLOOKUP($A2103,'Medical Examinations'!$A:$D, 2, FALSE)</f>
        <v>31.73</v>
      </c>
      <c r="D2103" s="22">
        <f>VLOOKUP($A2103, 'Medical Examinations'!$A:$D,3, FALSE)</f>
        <v>4.78</v>
      </c>
      <c r="E2103" s="22" t="str">
        <f>VLOOKUP($A2103, 'Medical Examinations'!$A:$D, 4, FALSE)</f>
        <v>Yes</v>
      </c>
      <c r="F2103" s="22" t="str">
        <f>VLOOKUP($A2103, 'Medical Examinations'!$A:$J, 5, FALSE)</f>
        <v>Yes</v>
      </c>
      <c r="G2103" s="22" t="str">
        <f>VLOOKUP($A2103, 'Medical Examinations'!$A:$I, 6, FALSE)</f>
        <v>No</v>
      </c>
      <c r="H2103" s="22">
        <f>VLOOKUP($A2103,'Medical Examinations'!$A:$L,10, FALSE)</f>
        <v>2</v>
      </c>
      <c r="I2103" s="22" t="str">
        <f>VLOOKUP($A2103, 'Medical Examinations'!$A:$J, 9, FALSE)</f>
        <v>No</v>
      </c>
      <c r="J2103" s="22" t="str">
        <f>VLOOKUP($A2103, 'Medical Examinations'!$A:$P, 11, FALSE)</f>
        <v>OBESITY</v>
      </c>
      <c r="K2103" s="34">
        <v>34516.0</v>
      </c>
      <c r="L2103" s="35">
        <f>VLOOKUP($A2103, 'Hospitalisation Details'!$A:$H, 7, FALSE)</f>
        <v>2254.8</v>
      </c>
      <c r="M2103" s="22" t="str">
        <f>VLOOKUP($A2103, 'Hospitalisation Details'!$A:$L, 12, FALSE)</f>
        <v>tier - 2</v>
      </c>
      <c r="N2103" s="22" t="str">
        <f>VLOOKUP($A2103, 'Hospitalisation Details'!$A:$M, 13, FALSE)</f>
        <v>tier - 3</v>
      </c>
      <c r="O2103" s="22" t="str">
        <f>VLOOKUP($A2103, 'Hospitalisation Details'!$A:$N, 14, FALSE)</f>
        <v>R1016</v>
      </c>
      <c r="P2103" s="36">
        <f>VLOOKUP($A2103, 'Hospitalisation Details'!$A:$O, 15, FALSE)</f>
        <v>22</v>
      </c>
    </row>
    <row r="2104" ht="15.75" customHeight="1">
      <c r="A2104" s="33" t="s">
        <v>4207</v>
      </c>
      <c r="B2104" s="22" t="str">
        <f>VLOOKUP($A2104,'Customer Names'!$A:$D,3, FALSE)</f>
        <v>Brady</v>
      </c>
      <c r="C2104" s="22">
        <f>VLOOKUP($A2104,'Medical Examinations'!$A:$D, 2, FALSE)</f>
        <v>28.88</v>
      </c>
      <c r="D2104" s="22">
        <f>VLOOKUP($A2104, 'Medical Examinations'!$A:$D,3, FALSE)</f>
        <v>6.09</v>
      </c>
      <c r="E2104" s="22" t="str">
        <f>VLOOKUP($A2104, 'Medical Examinations'!$A:$D, 4, FALSE)</f>
        <v>Yes</v>
      </c>
      <c r="F2104" s="22" t="str">
        <f>VLOOKUP($A2104, 'Medical Examinations'!$A:$J, 5, FALSE)</f>
        <v>Yes</v>
      </c>
      <c r="G2104" s="22" t="str">
        <f>VLOOKUP($A2104, 'Medical Examinations'!$A:$I, 6, FALSE)</f>
        <v>No</v>
      </c>
      <c r="H2104" s="22">
        <f>VLOOKUP($A2104,'Medical Examinations'!$A:$L,10, FALSE)</f>
        <v>2</v>
      </c>
      <c r="I2104" s="22" t="str">
        <f>VLOOKUP($A2104, 'Medical Examinations'!$A:$J, 9, FALSE)</f>
        <v>No</v>
      </c>
      <c r="J2104" s="22" t="str">
        <f>VLOOKUP($A2104, 'Medical Examinations'!$A:$P, 11, FALSE)</f>
        <v>OVERWEIGHT</v>
      </c>
      <c r="K2104" s="34">
        <v>22930.0</v>
      </c>
      <c r="L2104" s="35">
        <f>VLOOKUP($A2104, 'Hospitalisation Details'!$A:$H, 7, FALSE)</f>
        <v>2250.84</v>
      </c>
      <c r="M2104" s="22" t="str">
        <f>VLOOKUP($A2104, 'Hospitalisation Details'!$A:$L, 12, FALSE)</f>
        <v>tier - 2</v>
      </c>
      <c r="N2104" s="22" t="str">
        <f>VLOOKUP($A2104, 'Hospitalisation Details'!$A:$M, 13, FALSE)</f>
        <v>tier - 2</v>
      </c>
      <c r="O2104" s="22" t="str">
        <f>VLOOKUP($A2104, 'Hospitalisation Details'!$A:$N, 14, FALSE)</f>
        <v>R1018</v>
      </c>
      <c r="P2104" s="36">
        <f>VLOOKUP($A2104, 'Hospitalisation Details'!$A:$O, 15, FALSE)</f>
        <v>22</v>
      </c>
    </row>
    <row r="2105" ht="15.75" customHeight="1">
      <c r="A2105" s="33" t="s">
        <v>4209</v>
      </c>
      <c r="B2105" s="22" t="str">
        <f>VLOOKUP($A2105,'Customer Names'!$A:$D,3, FALSE)</f>
        <v>Moran</v>
      </c>
      <c r="C2105" s="22">
        <f>VLOOKUP($A2105,'Medical Examinations'!$A:$D, 2, FALSE)</f>
        <v>25.555</v>
      </c>
      <c r="D2105" s="22">
        <f>VLOOKUP($A2105, 'Medical Examinations'!$A:$D,3, FALSE)</f>
        <v>5.11</v>
      </c>
      <c r="E2105" s="22" t="str">
        <f>VLOOKUP($A2105, 'Medical Examinations'!$A:$D, 4, FALSE)</f>
        <v>No</v>
      </c>
      <c r="F2105" s="22" t="str">
        <f>VLOOKUP($A2105, 'Medical Examinations'!$A:$J, 5, FALSE)</f>
        <v>No</v>
      </c>
      <c r="G2105" s="22" t="str">
        <f>VLOOKUP($A2105, 'Medical Examinations'!$A:$I, 6, FALSE)</f>
        <v>Yes</v>
      </c>
      <c r="H2105" s="22">
        <f>VLOOKUP($A2105,'Medical Examinations'!$A:$L,10, FALSE)</f>
        <v>1</v>
      </c>
      <c r="I2105" s="22" t="str">
        <f>VLOOKUP($A2105, 'Medical Examinations'!$A:$J, 9, FALSE)</f>
        <v>No</v>
      </c>
      <c r="J2105" s="22" t="str">
        <f>VLOOKUP($A2105, 'Medical Examinations'!$A:$P, 11, FALSE)</f>
        <v>OVERWEIGHT</v>
      </c>
      <c r="K2105" s="34">
        <v>22974.0</v>
      </c>
      <c r="L2105" s="35">
        <f>VLOOKUP($A2105, 'Hospitalisation Details'!$A:$H, 7, FALSE)</f>
        <v>2221.56</v>
      </c>
      <c r="M2105" s="22" t="str">
        <f>VLOOKUP($A2105, 'Hospitalisation Details'!$A:$L, 12, FALSE)</f>
        <v>tier - 2</v>
      </c>
      <c r="N2105" s="22" t="str">
        <f>VLOOKUP($A2105, 'Hospitalisation Details'!$A:$M, 13, FALSE)</f>
        <v>tier - 3</v>
      </c>
      <c r="O2105" s="22" t="str">
        <f>VLOOKUP($A2105, 'Hospitalisation Details'!$A:$N, 14, FALSE)</f>
        <v>R1012</v>
      </c>
      <c r="P2105" s="36">
        <f>VLOOKUP($A2105, 'Hospitalisation Details'!$A:$O, 15, FALSE)</f>
        <v>19</v>
      </c>
    </row>
    <row r="2106" ht="15.75" customHeight="1">
      <c r="A2106" s="33" t="s">
        <v>4211</v>
      </c>
      <c r="B2106" s="22" t="str">
        <f>VLOOKUP($A2106,'Customer Names'!$A:$D,3, FALSE)</f>
        <v>Strickler</v>
      </c>
      <c r="C2106" s="22">
        <f>VLOOKUP($A2106,'Medical Examinations'!$A:$D, 2, FALSE)</f>
        <v>37.29</v>
      </c>
      <c r="D2106" s="22">
        <f>VLOOKUP($A2106, 'Medical Examinations'!$A:$D,3, FALSE)</f>
        <v>4.46</v>
      </c>
      <c r="E2106" s="22" t="str">
        <f>VLOOKUP($A2106, 'Medical Examinations'!$A:$D, 4, FALSE)</f>
        <v>No</v>
      </c>
      <c r="F2106" s="22" t="str">
        <f>VLOOKUP($A2106, 'Medical Examinations'!$A:$J, 5, FALSE)</f>
        <v>Yes</v>
      </c>
      <c r="G2106" s="22" t="str">
        <f>VLOOKUP($A2106, 'Medical Examinations'!$A:$I, 6, FALSE)</f>
        <v>No</v>
      </c>
      <c r="H2106" s="22">
        <f>VLOOKUP($A2106,'Medical Examinations'!$A:$L,10, FALSE)</f>
        <v>1</v>
      </c>
      <c r="I2106" s="22" t="str">
        <f>VLOOKUP($A2106, 'Medical Examinations'!$A:$J, 9, FALSE)</f>
        <v>No</v>
      </c>
      <c r="J2106" s="22" t="str">
        <f>VLOOKUP($A2106, 'Medical Examinations'!$A:$P, 11, FALSE)</f>
        <v>OBESITY</v>
      </c>
      <c r="K2106" s="34">
        <v>24059.0</v>
      </c>
      <c r="L2106" s="35">
        <f>VLOOKUP($A2106, 'Hospitalisation Details'!$A:$H, 7, FALSE)</f>
        <v>2219.45</v>
      </c>
      <c r="M2106" s="22" t="str">
        <f>VLOOKUP($A2106, 'Hospitalisation Details'!$A:$L, 12, FALSE)</f>
        <v>tier - 2</v>
      </c>
      <c r="N2106" s="22" t="str">
        <f>VLOOKUP($A2106, 'Hospitalisation Details'!$A:$M, 13, FALSE)</f>
        <v>tier - 1</v>
      </c>
      <c r="O2106" s="22" t="str">
        <f>VLOOKUP($A2106, 'Hospitalisation Details'!$A:$N, 14, FALSE)</f>
        <v>R1013</v>
      </c>
      <c r="P2106" s="36">
        <f>VLOOKUP($A2106, 'Hospitalisation Details'!$A:$O, 15, FALSE)</f>
        <v>18</v>
      </c>
    </row>
    <row r="2107" ht="15.75" customHeight="1">
      <c r="A2107" s="33" t="s">
        <v>4213</v>
      </c>
      <c r="B2107" s="22" t="str">
        <f>VLOOKUP($A2107,'Customer Names'!$A:$D,3, FALSE)</f>
        <v>Simone</v>
      </c>
      <c r="C2107" s="22">
        <f>VLOOKUP($A2107,'Medical Examinations'!$A:$D, 2, FALSE)</f>
        <v>40.28</v>
      </c>
      <c r="D2107" s="22">
        <f>VLOOKUP($A2107, 'Medical Examinations'!$A:$D,3, FALSE)</f>
        <v>6.11</v>
      </c>
      <c r="E2107" s="22" t="str">
        <f>VLOOKUP($A2107, 'Medical Examinations'!$A:$D, 4, FALSE)</f>
        <v>No</v>
      </c>
      <c r="F2107" s="22" t="str">
        <f>VLOOKUP($A2107, 'Medical Examinations'!$A:$J, 5, FALSE)</f>
        <v>Yes</v>
      </c>
      <c r="G2107" s="22" t="str">
        <f>VLOOKUP($A2107, 'Medical Examinations'!$A:$I, 6, FALSE)</f>
        <v>No</v>
      </c>
      <c r="H2107" s="22">
        <f>VLOOKUP($A2107,'Medical Examinations'!$A:$L,10, FALSE)</f>
        <v>1</v>
      </c>
      <c r="I2107" s="22" t="str">
        <f>VLOOKUP($A2107, 'Medical Examinations'!$A:$J, 9, FALSE)</f>
        <v>No</v>
      </c>
      <c r="J2107" s="22" t="str">
        <f>VLOOKUP($A2107, 'Medical Examinations'!$A:$P, 11, FALSE)</f>
        <v>OBESITY</v>
      </c>
      <c r="K2107" s="34">
        <v>22987.0</v>
      </c>
      <c r="L2107" s="35">
        <f>VLOOKUP($A2107, 'Hospitalisation Details'!$A:$H, 7, FALSE)</f>
        <v>2217.6</v>
      </c>
      <c r="M2107" s="22" t="str">
        <f>VLOOKUP($A2107, 'Hospitalisation Details'!$A:$L, 12, FALSE)</f>
        <v>tier - 2</v>
      </c>
      <c r="N2107" s="22" t="str">
        <f>VLOOKUP($A2107, 'Hospitalisation Details'!$A:$M, 13, FALSE)</f>
        <v>tier - 1</v>
      </c>
      <c r="O2107" s="22" t="str">
        <f>VLOOKUP($A2107, 'Hospitalisation Details'!$A:$N, 14, FALSE)</f>
        <v>R1024</v>
      </c>
      <c r="P2107" s="36">
        <f>VLOOKUP($A2107, 'Hospitalisation Details'!$A:$O, 15, FALSE)</f>
        <v>18</v>
      </c>
    </row>
    <row r="2108" ht="15.75" customHeight="1">
      <c r="A2108" s="33" t="s">
        <v>4215</v>
      </c>
      <c r="B2108" s="22" t="str">
        <f>VLOOKUP($A2108,'Customer Names'!$A:$D,3, FALSE)</f>
        <v>Vo</v>
      </c>
      <c r="C2108" s="22">
        <f>VLOOKUP($A2108,'Medical Examinations'!$A:$D, 2, FALSE)</f>
        <v>40.185</v>
      </c>
      <c r="D2108" s="22">
        <f>VLOOKUP($A2108, 'Medical Examinations'!$A:$D,3, FALSE)</f>
        <v>4.66</v>
      </c>
      <c r="E2108" s="22" t="str">
        <f>VLOOKUP($A2108, 'Medical Examinations'!$A:$D, 4, FALSE)</f>
        <v>No</v>
      </c>
      <c r="F2108" s="22" t="str">
        <f>VLOOKUP($A2108, 'Medical Examinations'!$A:$J, 5, FALSE)</f>
        <v>Yes</v>
      </c>
      <c r="G2108" s="22" t="str">
        <f>VLOOKUP($A2108, 'Medical Examinations'!$A:$I, 6, FALSE)</f>
        <v>No</v>
      </c>
      <c r="H2108" s="22">
        <f>VLOOKUP($A2108,'Medical Examinations'!$A:$L,10, FALSE)</f>
        <v>1</v>
      </c>
      <c r="I2108" s="22" t="str">
        <f>VLOOKUP($A2108, 'Medical Examinations'!$A:$J, 9, FALSE)</f>
        <v>No</v>
      </c>
      <c r="J2108" s="22" t="str">
        <f>VLOOKUP($A2108, 'Medical Examinations'!$A:$P, 11, FALSE)</f>
        <v>OBESITY</v>
      </c>
      <c r="K2108" s="34">
        <v>30239.0</v>
      </c>
      <c r="L2108" s="35">
        <f>VLOOKUP($A2108, 'Hospitalisation Details'!$A:$H, 7, FALSE)</f>
        <v>2217.47</v>
      </c>
      <c r="M2108" s="22" t="str">
        <f>VLOOKUP($A2108, 'Hospitalisation Details'!$A:$L, 12, FALSE)</f>
        <v>tier - 2</v>
      </c>
      <c r="N2108" s="22" t="str">
        <f>VLOOKUP($A2108, 'Hospitalisation Details'!$A:$M, 13, FALSE)</f>
        <v>tier - 1</v>
      </c>
      <c r="O2108" s="22" t="str">
        <f>VLOOKUP($A2108, 'Hospitalisation Details'!$A:$N, 14, FALSE)</f>
        <v>R1024</v>
      </c>
      <c r="P2108" s="36">
        <f>VLOOKUP($A2108, 'Hospitalisation Details'!$A:$O, 15, FALSE)</f>
        <v>18</v>
      </c>
    </row>
    <row r="2109" ht="15.75" customHeight="1">
      <c r="A2109" s="33" t="s">
        <v>4217</v>
      </c>
      <c r="B2109" s="22" t="str">
        <f>VLOOKUP($A2109,'Customer Names'!$A:$D,3, FALSE)</f>
        <v>Woodard</v>
      </c>
      <c r="C2109" s="22">
        <f>VLOOKUP($A2109,'Medical Examinations'!$A:$D, 2, FALSE)</f>
        <v>23.57</v>
      </c>
      <c r="D2109" s="22">
        <f>VLOOKUP($A2109, 'Medical Examinations'!$A:$D,3, FALSE)</f>
        <v>6.14</v>
      </c>
      <c r="E2109" s="22" t="str">
        <f>VLOOKUP($A2109, 'Medical Examinations'!$A:$D, 4, FALSE)</f>
        <v>No</v>
      </c>
      <c r="F2109" s="22" t="str">
        <f>VLOOKUP($A2109, 'Medical Examinations'!$A:$J, 5, FALSE)</f>
        <v>No</v>
      </c>
      <c r="G2109" s="22" t="str">
        <f>VLOOKUP($A2109, 'Medical Examinations'!$A:$I, 6, FALSE)</f>
        <v>No</v>
      </c>
      <c r="H2109" s="22">
        <f>VLOOKUP($A2109,'Medical Examinations'!$A:$L,10, FALSE)</f>
        <v>0</v>
      </c>
      <c r="I2109" s="22" t="str">
        <f>VLOOKUP($A2109, 'Medical Examinations'!$A:$J, 9, FALSE)</f>
        <v>No</v>
      </c>
      <c r="J2109" s="22" t="str">
        <f>VLOOKUP($A2109, 'Medical Examinations'!$A:$P, 11, FALSE)</f>
        <v>NORMAL WEIGHT</v>
      </c>
      <c r="K2109" s="34">
        <v>22863.0</v>
      </c>
      <c r="L2109" s="35">
        <f>VLOOKUP($A2109, 'Hospitalisation Details'!$A:$H, 7, FALSE)</f>
        <v>2213.21</v>
      </c>
      <c r="M2109" s="22" t="str">
        <f>VLOOKUP($A2109, 'Hospitalisation Details'!$A:$L, 12, FALSE)</f>
        <v>tier - 2</v>
      </c>
      <c r="N2109" s="22" t="str">
        <f>VLOOKUP($A2109, 'Hospitalisation Details'!$A:$M, 13, FALSE)</f>
        <v>tier - 2</v>
      </c>
      <c r="O2109" s="22" t="str">
        <f>VLOOKUP($A2109, 'Hospitalisation Details'!$A:$N, 14, FALSE)</f>
        <v>R1013</v>
      </c>
      <c r="P2109" s="36">
        <f>VLOOKUP($A2109, 'Hospitalisation Details'!$A:$O, 15, FALSE)</f>
        <v>28</v>
      </c>
    </row>
    <row r="2110" ht="15.75" customHeight="1">
      <c r="A2110" s="33" t="s">
        <v>4219</v>
      </c>
      <c r="B2110" s="22" t="str">
        <f>VLOOKUP($A2110,'Customer Names'!$A:$D,3, FALSE)</f>
        <v>Li</v>
      </c>
      <c r="C2110" s="22">
        <f>VLOOKUP($A2110,'Medical Examinations'!$A:$D, 2, FALSE)</f>
        <v>35.625</v>
      </c>
      <c r="D2110" s="22">
        <f>VLOOKUP($A2110, 'Medical Examinations'!$A:$D,3, FALSE)</f>
        <v>6.21</v>
      </c>
      <c r="E2110" s="22" t="str">
        <f>VLOOKUP($A2110, 'Medical Examinations'!$A:$D, 4, FALSE)</f>
        <v>No</v>
      </c>
      <c r="F2110" s="22" t="str">
        <f>VLOOKUP($A2110, 'Medical Examinations'!$A:$J, 5, FALSE)</f>
        <v>Yes</v>
      </c>
      <c r="G2110" s="22" t="str">
        <f>VLOOKUP($A2110, 'Medical Examinations'!$A:$I, 6, FALSE)</f>
        <v>No</v>
      </c>
      <c r="H2110" s="22">
        <f>VLOOKUP($A2110,'Medical Examinations'!$A:$L,10, FALSE)</f>
        <v>1</v>
      </c>
      <c r="I2110" s="22" t="str">
        <f>VLOOKUP($A2110, 'Medical Examinations'!$A:$J, 9, FALSE)</f>
        <v>No</v>
      </c>
      <c r="J2110" s="22" t="str">
        <f>VLOOKUP($A2110, 'Medical Examinations'!$A:$P, 11, FALSE)</f>
        <v>OBESITY</v>
      </c>
      <c r="K2110" s="34">
        <v>22621.0</v>
      </c>
      <c r="L2110" s="35">
        <f>VLOOKUP($A2110, 'Hospitalisation Details'!$A:$H, 7, FALSE)</f>
        <v>2211.13</v>
      </c>
      <c r="M2110" s="22" t="str">
        <f>VLOOKUP($A2110, 'Hospitalisation Details'!$A:$L, 12, FALSE)</f>
        <v>tier - 2</v>
      </c>
      <c r="N2110" s="22" t="str">
        <f>VLOOKUP($A2110, 'Hospitalisation Details'!$A:$M, 13, FALSE)</f>
        <v>tier - 2</v>
      </c>
      <c r="O2110" s="22" t="str">
        <f>VLOOKUP($A2110, 'Hospitalisation Details'!$A:$N, 14, FALSE)</f>
        <v>R1024</v>
      </c>
      <c r="P2110" s="36">
        <f>VLOOKUP($A2110, 'Hospitalisation Details'!$A:$O, 15, FALSE)</f>
        <v>18</v>
      </c>
    </row>
    <row r="2111" ht="15.75" customHeight="1">
      <c r="A2111" s="33" t="s">
        <v>4221</v>
      </c>
      <c r="B2111" s="22" t="str">
        <f>VLOOKUP($A2111,'Customer Names'!$A:$D,3, FALSE)</f>
        <v>Sinda</v>
      </c>
      <c r="C2111" s="22">
        <f>VLOOKUP($A2111,'Medical Examinations'!$A:$D, 2, FALSE)</f>
        <v>33.155</v>
      </c>
      <c r="D2111" s="22">
        <f>VLOOKUP($A2111, 'Medical Examinations'!$A:$D,3, FALSE)</f>
        <v>4.6</v>
      </c>
      <c r="E2111" s="22" t="str">
        <f>VLOOKUP($A2111, 'Medical Examinations'!$A:$D, 4, FALSE)</f>
        <v>No</v>
      </c>
      <c r="F2111" s="22" t="str">
        <f>VLOOKUP($A2111, 'Medical Examinations'!$A:$J, 5, FALSE)</f>
        <v>Yes</v>
      </c>
      <c r="G2111" s="22" t="str">
        <f>VLOOKUP($A2111, 'Medical Examinations'!$A:$I, 6, FALSE)</f>
        <v>No</v>
      </c>
      <c r="H2111" s="22">
        <f>VLOOKUP($A2111,'Medical Examinations'!$A:$L,10, FALSE)</f>
        <v>1</v>
      </c>
      <c r="I2111" s="22" t="str">
        <f>VLOOKUP($A2111, 'Medical Examinations'!$A:$J, 9, FALSE)</f>
        <v>No</v>
      </c>
      <c r="J2111" s="22" t="str">
        <f>VLOOKUP($A2111, 'Medical Examinations'!$A:$P, 11, FALSE)</f>
        <v>OBESITY</v>
      </c>
      <c r="K2111" s="34">
        <v>22621.0</v>
      </c>
      <c r="L2111" s="35">
        <f>VLOOKUP($A2111, 'Hospitalisation Details'!$A:$H, 7, FALSE)</f>
        <v>2207.7</v>
      </c>
      <c r="M2111" s="22" t="str">
        <f>VLOOKUP($A2111, 'Hospitalisation Details'!$A:$L, 12, FALSE)</f>
        <v>tier - 2</v>
      </c>
      <c r="N2111" s="22" t="str">
        <f>VLOOKUP($A2111, 'Hospitalisation Details'!$A:$M, 13, FALSE)</f>
        <v>tier - 2</v>
      </c>
      <c r="O2111" s="22" t="str">
        <f>VLOOKUP($A2111, 'Hospitalisation Details'!$A:$N, 14, FALSE)</f>
        <v>R1024</v>
      </c>
      <c r="P2111" s="36">
        <f>VLOOKUP($A2111, 'Hospitalisation Details'!$A:$O, 15, FALSE)</f>
        <v>18</v>
      </c>
    </row>
    <row r="2112" ht="15.75" customHeight="1">
      <c r="A2112" s="33" t="s">
        <v>4223</v>
      </c>
      <c r="B2112" s="22" t="str">
        <f>VLOOKUP($A2112,'Customer Names'!$A:$D,3, FALSE)</f>
        <v>Rydland</v>
      </c>
      <c r="C2112" s="22">
        <f>VLOOKUP($A2112,'Medical Examinations'!$A:$D, 2, FALSE)</f>
        <v>31.92</v>
      </c>
      <c r="D2112" s="22">
        <f>VLOOKUP($A2112, 'Medical Examinations'!$A:$D,3, FALSE)</f>
        <v>5.04</v>
      </c>
      <c r="E2112" s="22" t="str">
        <f>VLOOKUP($A2112, 'Medical Examinations'!$A:$D, 4, FALSE)</f>
        <v>No</v>
      </c>
      <c r="F2112" s="22" t="str">
        <f>VLOOKUP($A2112, 'Medical Examinations'!$A:$J, 5, FALSE)</f>
        <v>Yes</v>
      </c>
      <c r="G2112" s="22" t="str">
        <f>VLOOKUP($A2112, 'Medical Examinations'!$A:$I, 6, FALSE)</f>
        <v>No</v>
      </c>
      <c r="H2112" s="22">
        <f>VLOOKUP($A2112,'Medical Examinations'!$A:$L,10, FALSE)</f>
        <v>1</v>
      </c>
      <c r="I2112" s="22" t="str">
        <f>VLOOKUP($A2112, 'Medical Examinations'!$A:$J, 9, FALSE)</f>
        <v>No</v>
      </c>
      <c r="J2112" s="22" t="str">
        <f>VLOOKUP($A2112, 'Medical Examinations'!$A:$P, 11, FALSE)</f>
        <v>OBESITY</v>
      </c>
      <c r="K2112" s="34">
        <v>24828.0</v>
      </c>
      <c r="L2112" s="35">
        <f>VLOOKUP($A2112, 'Hospitalisation Details'!$A:$H, 7, FALSE)</f>
        <v>2205.98</v>
      </c>
      <c r="M2112" s="22" t="str">
        <f>VLOOKUP($A2112, 'Hospitalisation Details'!$A:$L, 12, FALSE)</f>
        <v>tier - 2</v>
      </c>
      <c r="N2112" s="22" t="str">
        <f>VLOOKUP($A2112, 'Hospitalisation Details'!$A:$M, 13, FALSE)</f>
        <v>tier - 3</v>
      </c>
      <c r="O2112" s="22" t="str">
        <f>VLOOKUP($A2112, 'Hospitalisation Details'!$A:$N, 14, FALSE)</f>
        <v>R1024</v>
      </c>
      <c r="P2112" s="36">
        <f>VLOOKUP($A2112, 'Hospitalisation Details'!$A:$O, 15, FALSE)</f>
        <v>18</v>
      </c>
    </row>
    <row r="2113" ht="15.75" customHeight="1">
      <c r="A2113" s="33" t="s">
        <v>4225</v>
      </c>
      <c r="B2113" s="22" t="str">
        <f>VLOOKUP($A2113,'Customer Names'!$A:$D,3, FALSE)</f>
        <v>Vespa</v>
      </c>
      <c r="C2113" s="22">
        <f>VLOOKUP($A2113,'Medical Examinations'!$A:$D, 2, FALSE)</f>
        <v>30.305</v>
      </c>
      <c r="D2113" s="22">
        <f>VLOOKUP($A2113, 'Medical Examinations'!$A:$D,3, FALSE)</f>
        <v>5.08</v>
      </c>
      <c r="E2113" s="22" t="str">
        <f>VLOOKUP($A2113, 'Medical Examinations'!$A:$D, 4, FALSE)</f>
        <v>No</v>
      </c>
      <c r="F2113" s="22" t="str">
        <f>VLOOKUP($A2113, 'Medical Examinations'!$A:$J, 5, FALSE)</f>
        <v>Yes</v>
      </c>
      <c r="G2113" s="22" t="str">
        <f>VLOOKUP($A2113, 'Medical Examinations'!$A:$I, 6, FALSE)</f>
        <v>No</v>
      </c>
      <c r="H2113" s="22">
        <f>VLOOKUP($A2113,'Medical Examinations'!$A:$L,10, FALSE)</f>
        <v>1</v>
      </c>
      <c r="I2113" s="22" t="str">
        <f>VLOOKUP($A2113, 'Medical Examinations'!$A:$J, 9, FALSE)</f>
        <v>No</v>
      </c>
      <c r="J2113" s="22" t="str">
        <f>VLOOKUP($A2113, 'Medical Examinations'!$A:$P, 11, FALSE)</f>
        <v>OBESITY</v>
      </c>
      <c r="K2113" s="34">
        <v>22531.0</v>
      </c>
      <c r="L2113" s="35">
        <f>VLOOKUP($A2113, 'Hospitalisation Details'!$A:$H, 7, FALSE)</f>
        <v>2203.74</v>
      </c>
      <c r="M2113" s="22" t="str">
        <f>VLOOKUP($A2113, 'Hospitalisation Details'!$A:$L, 12, FALSE)</f>
        <v>tier - 2</v>
      </c>
      <c r="N2113" s="22" t="str">
        <f>VLOOKUP($A2113, 'Hospitalisation Details'!$A:$M, 13, FALSE)</f>
        <v>tier - 2</v>
      </c>
      <c r="O2113" s="22" t="str">
        <f>VLOOKUP($A2113, 'Hospitalisation Details'!$A:$N, 14, FALSE)</f>
        <v>R1024</v>
      </c>
      <c r="P2113" s="36">
        <f>VLOOKUP($A2113, 'Hospitalisation Details'!$A:$O, 15, FALSE)</f>
        <v>18</v>
      </c>
    </row>
    <row r="2114" ht="15.75" customHeight="1">
      <c r="A2114" s="33" t="s">
        <v>4227</v>
      </c>
      <c r="B2114" s="22" t="str">
        <f>VLOOKUP($A2114,'Customer Names'!$A:$D,3, FALSE)</f>
        <v>Meadows</v>
      </c>
      <c r="C2114" s="22">
        <f>VLOOKUP($A2114,'Medical Examinations'!$A:$D, 2, FALSE)</f>
        <v>30.115</v>
      </c>
      <c r="D2114" s="22">
        <f>VLOOKUP($A2114, 'Medical Examinations'!$A:$D,3, FALSE)</f>
        <v>4.38</v>
      </c>
      <c r="E2114" s="22" t="str">
        <f>VLOOKUP($A2114, 'Medical Examinations'!$A:$D, 4, FALSE)</f>
        <v>No</v>
      </c>
      <c r="F2114" s="22" t="str">
        <f>VLOOKUP($A2114, 'Medical Examinations'!$A:$J, 5, FALSE)</f>
        <v>Yes</v>
      </c>
      <c r="G2114" s="22" t="str">
        <f>VLOOKUP($A2114, 'Medical Examinations'!$A:$I, 6, FALSE)</f>
        <v>No</v>
      </c>
      <c r="H2114" s="22">
        <f>VLOOKUP($A2114,'Medical Examinations'!$A:$L,10, FALSE)</f>
        <v>1</v>
      </c>
      <c r="I2114" s="22" t="str">
        <f>VLOOKUP($A2114, 'Medical Examinations'!$A:$J, 9, FALSE)</f>
        <v>No</v>
      </c>
      <c r="J2114" s="22" t="str">
        <f>VLOOKUP($A2114, 'Medical Examinations'!$A:$P, 11, FALSE)</f>
        <v>OBESITY</v>
      </c>
      <c r="K2114" s="34">
        <v>36388.0</v>
      </c>
      <c r="L2114" s="35">
        <f>VLOOKUP($A2114, 'Hospitalisation Details'!$A:$H, 7, FALSE)</f>
        <v>2203.47</v>
      </c>
      <c r="M2114" s="22" t="str">
        <f>VLOOKUP($A2114, 'Hospitalisation Details'!$A:$L, 12, FALSE)</f>
        <v>tier - 2</v>
      </c>
      <c r="N2114" s="22" t="str">
        <f>VLOOKUP($A2114, 'Hospitalisation Details'!$A:$M, 13, FALSE)</f>
        <v>tier - 2</v>
      </c>
      <c r="O2114" s="22" t="str">
        <f>VLOOKUP($A2114, 'Hospitalisation Details'!$A:$N, 14, FALSE)</f>
        <v>R1024</v>
      </c>
      <c r="P2114" s="36">
        <f>VLOOKUP($A2114, 'Hospitalisation Details'!$A:$O, 15, FALSE)</f>
        <v>18</v>
      </c>
    </row>
    <row r="2115" ht="15.75" customHeight="1">
      <c r="A2115" s="33" t="s">
        <v>4229</v>
      </c>
      <c r="B2115" s="22" t="str">
        <f>VLOOKUP($A2115,'Customer Names'!$A:$D,3, FALSE)</f>
        <v>Toppen</v>
      </c>
      <c r="C2115" s="22">
        <f>VLOOKUP($A2115,'Medical Examinations'!$A:$D, 2, FALSE)</f>
        <v>24.09</v>
      </c>
      <c r="D2115" s="22">
        <f>VLOOKUP($A2115, 'Medical Examinations'!$A:$D,3, FALSE)</f>
        <v>4.79</v>
      </c>
      <c r="E2115" s="22" t="str">
        <f>VLOOKUP($A2115, 'Medical Examinations'!$A:$D, 4, FALSE)</f>
        <v>No</v>
      </c>
      <c r="F2115" s="22" t="str">
        <f>VLOOKUP($A2115, 'Medical Examinations'!$A:$J, 5, FALSE)</f>
        <v>Yes</v>
      </c>
      <c r="G2115" s="22" t="str">
        <f>VLOOKUP($A2115, 'Medical Examinations'!$A:$I, 6, FALSE)</f>
        <v>No</v>
      </c>
      <c r="H2115" s="22">
        <f>VLOOKUP($A2115,'Medical Examinations'!$A:$L,10, FALSE)</f>
        <v>1</v>
      </c>
      <c r="I2115" s="22" t="str">
        <f>VLOOKUP($A2115, 'Medical Examinations'!$A:$J, 9, FALSE)</f>
        <v>No</v>
      </c>
      <c r="J2115" s="22" t="str">
        <f>VLOOKUP($A2115, 'Medical Examinations'!$A:$P, 11, FALSE)</f>
        <v>NORMAL WEIGHT</v>
      </c>
      <c r="K2115" s="34">
        <v>23268.0</v>
      </c>
      <c r="L2115" s="35">
        <f>VLOOKUP($A2115, 'Hospitalisation Details'!$A:$H, 7, FALSE)</f>
        <v>2201.1</v>
      </c>
      <c r="M2115" s="22" t="str">
        <f>VLOOKUP($A2115, 'Hospitalisation Details'!$A:$L, 12, FALSE)</f>
        <v>tier - 2</v>
      </c>
      <c r="N2115" s="22" t="str">
        <f>VLOOKUP($A2115, 'Hospitalisation Details'!$A:$M, 13, FALSE)</f>
        <v>tier - 3</v>
      </c>
      <c r="O2115" s="22" t="str">
        <f>VLOOKUP($A2115, 'Hospitalisation Details'!$A:$N, 14, FALSE)</f>
        <v>R1013</v>
      </c>
      <c r="P2115" s="36">
        <f>VLOOKUP($A2115, 'Hospitalisation Details'!$A:$O, 15, FALSE)</f>
        <v>18</v>
      </c>
    </row>
    <row r="2116" ht="15.75" customHeight="1">
      <c r="A2116" s="33" t="s">
        <v>4231</v>
      </c>
      <c r="B2116" s="22" t="str">
        <f>VLOOKUP($A2116,'Customer Names'!$A:$D,3, FALSE)</f>
        <v>Ermer</v>
      </c>
      <c r="C2116" s="22">
        <f>VLOOKUP($A2116,'Medical Examinations'!$A:$D, 2, FALSE)</f>
        <v>28.215</v>
      </c>
      <c r="D2116" s="22">
        <f>VLOOKUP($A2116, 'Medical Examinations'!$A:$D,3, FALSE)</f>
        <v>4.21</v>
      </c>
      <c r="E2116" s="22" t="str">
        <f>VLOOKUP($A2116, 'Medical Examinations'!$A:$D, 4, FALSE)</f>
        <v>No</v>
      </c>
      <c r="F2116" s="22" t="str">
        <f>VLOOKUP($A2116, 'Medical Examinations'!$A:$J, 5, FALSE)</f>
        <v>Yes</v>
      </c>
      <c r="G2116" s="22" t="str">
        <f>VLOOKUP($A2116, 'Medical Examinations'!$A:$I, 6, FALSE)</f>
        <v>No</v>
      </c>
      <c r="H2116" s="22">
        <f>VLOOKUP($A2116,'Medical Examinations'!$A:$L,10, FALSE)</f>
        <v>1</v>
      </c>
      <c r="I2116" s="22" t="str">
        <f>VLOOKUP($A2116, 'Medical Examinations'!$A:$J, 9, FALSE)</f>
        <v>No</v>
      </c>
      <c r="J2116" s="22" t="str">
        <f>VLOOKUP($A2116, 'Medical Examinations'!$A:$P, 11, FALSE)</f>
        <v>OVERWEIGHT</v>
      </c>
      <c r="K2116" s="34">
        <v>33828.0</v>
      </c>
      <c r="L2116" s="35">
        <f>VLOOKUP($A2116, 'Hospitalisation Details'!$A:$H, 7, FALSE)</f>
        <v>2200.83</v>
      </c>
      <c r="M2116" s="22" t="str">
        <f>VLOOKUP($A2116, 'Hospitalisation Details'!$A:$L, 12, FALSE)</f>
        <v>tier - 2</v>
      </c>
      <c r="N2116" s="22" t="str">
        <f>VLOOKUP($A2116, 'Hospitalisation Details'!$A:$M, 13, FALSE)</f>
        <v>tier - 2</v>
      </c>
      <c r="O2116" s="22" t="str">
        <f>VLOOKUP($A2116, 'Hospitalisation Details'!$A:$N, 14, FALSE)</f>
        <v>R1024</v>
      </c>
      <c r="P2116" s="36">
        <f>VLOOKUP($A2116, 'Hospitalisation Details'!$A:$O, 15, FALSE)</f>
        <v>18</v>
      </c>
    </row>
    <row r="2117" ht="15.75" customHeight="1">
      <c r="A2117" s="33" t="s">
        <v>4233</v>
      </c>
      <c r="B2117" s="22" t="str">
        <f>VLOOKUP($A2117,'Customer Names'!$A:$D,3, FALSE)</f>
        <v>Dionne</v>
      </c>
      <c r="C2117" s="22">
        <f>VLOOKUP($A2117,'Medical Examinations'!$A:$D, 2, FALSE)</f>
        <v>26.315</v>
      </c>
      <c r="D2117" s="22">
        <f>VLOOKUP($A2117, 'Medical Examinations'!$A:$D,3, FALSE)</f>
        <v>5.47</v>
      </c>
      <c r="E2117" s="22" t="str">
        <f>VLOOKUP($A2117, 'Medical Examinations'!$A:$D, 4, FALSE)</f>
        <v>No</v>
      </c>
      <c r="F2117" s="22" t="str">
        <f>VLOOKUP($A2117, 'Medical Examinations'!$A:$J, 5, FALSE)</f>
        <v>Yes</v>
      </c>
      <c r="G2117" s="22" t="str">
        <f>VLOOKUP($A2117, 'Medical Examinations'!$A:$I, 6, FALSE)</f>
        <v>No</v>
      </c>
      <c r="H2117" s="22">
        <f>VLOOKUP($A2117,'Medical Examinations'!$A:$L,10, FALSE)</f>
        <v>1</v>
      </c>
      <c r="I2117" s="22" t="str">
        <f>VLOOKUP($A2117, 'Medical Examinations'!$A:$J, 9, FALSE)</f>
        <v>No</v>
      </c>
      <c r="J2117" s="22" t="str">
        <f>VLOOKUP($A2117, 'Medical Examinations'!$A:$P, 11, FALSE)</f>
        <v>OVERWEIGHT</v>
      </c>
      <c r="K2117" s="34">
        <v>22860.0</v>
      </c>
      <c r="L2117" s="35">
        <f>VLOOKUP($A2117, 'Hospitalisation Details'!$A:$H, 7, FALSE)</f>
        <v>2198.19</v>
      </c>
      <c r="M2117" s="22" t="str">
        <f>VLOOKUP($A2117, 'Hospitalisation Details'!$A:$L, 12, FALSE)</f>
        <v>tier - 2</v>
      </c>
      <c r="N2117" s="22" t="str">
        <f>VLOOKUP($A2117, 'Hospitalisation Details'!$A:$M, 13, FALSE)</f>
        <v>tier - 1</v>
      </c>
      <c r="O2117" s="22" t="str">
        <f>VLOOKUP($A2117, 'Hospitalisation Details'!$A:$N, 14, FALSE)</f>
        <v>R1023</v>
      </c>
      <c r="P2117" s="36">
        <f>VLOOKUP($A2117, 'Hospitalisation Details'!$A:$O, 15, FALSE)</f>
        <v>18</v>
      </c>
    </row>
    <row r="2118" ht="15.75" customHeight="1">
      <c r="A2118" s="33" t="s">
        <v>4235</v>
      </c>
      <c r="B2118" s="22" t="str">
        <f>VLOOKUP($A2118,'Customer Names'!$A:$D,3, FALSE)</f>
        <v>Stasulli</v>
      </c>
      <c r="C2118" s="22">
        <f>VLOOKUP($A2118,'Medical Examinations'!$A:$D, 2, FALSE)</f>
        <v>25.08</v>
      </c>
      <c r="D2118" s="22">
        <f>VLOOKUP($A2118, 'Medical Examinations'!$A:$D,3, FALSE)</f>
        <v>5.09</v>
      </c>
      <c r="E2118" s="22" t="str">
        <f>VLOOKUP($A2118, 'Medical Examinations'!$A:$D, 4, FALSE)</f>
        <v>No</v>
      </c>
      <c r="F2118" s="22" t="str">
        <f>VLOOKUP($A2118, 'Medical Examinations'!$A:$J, 5, FALSE)</f>
        <v>Yes</v>
      </c>
      <c r="G2118" s="22" t="str">
        <f>VLOOKUP($A2118, 'Medical Examinations'!$A:$I, 6, FALSE)</f>
        <v>No</v>
      </c>
      <c r="H2118" s="22">
        <f>VLOOKUP($A2118,'Medical Examinations'!$A:$L,10, FALSE)</f>
        <v>1</v>
      </c>
      <c r="I2118" s="22" t="str">
        <f>VLOOKUP($A2118, 'Medical Examinations'!$A:$J, 9, FALSE)</f>
        <v>No</v>
      </c>
      <c r="J2118" s="22" t="str">
        <f>VLOOKUP($A2118, 'Medical Examinations'!$A:$P, 11, FALSE)</f>
        <v>OVERWEIGHT</v>
      </c>
      <c r="K2118" s="34">
        <v>26236.0</v>
      </c>
      <c r="L2118" s="35">
        <f>VLOOKUP($A2118, 'Hospitalisation Details'!$A:$H, 7, FALSE)</f>
        <v>2196.47</v>
      </c>
      <c r="M2118" s="22" t="str">
        <f>VLOOKUP($A2118, 'Hospitalisation Details'!$A:$L, 12, FALSE)</f>
        <v>tier - 2</v>
      </c>
      <c r="N2118" s="22" t="str">
        <f>VLOOKUP($A2118, 'Hospitalisation Details'!$A:$M, 13, FALSE)</f>
        <v>tier - 3</v>
      </c>
      <c r="O2118" s="22" t="str">
        <f>VLOOKUP($A2118, 'Hospitalisation Details'!$A:$N, 14, FALSE)</f>
        <v>R1024</v>
      </c>
      <c r="P2118" s="36">
        <f>VLOOKUP($A2118, 'Hospitalisation Details'!$A:$O, 15, FALSE)</f>
        <v>18</v>
      </c>
    </row>
    <row r="2119" ht="15.75" customHeight="1">
      <c r="A2119" s="33" t="s">
        <v>4237</v>
      </c>
      <c r="B2119" s="22" t="str">
        <f>VLOOKUP($A2119,'Customer Names'!$A:$D,3, FALSE)</f>
        <v>Duran</v>
      </c>
      <c r="C2119" s="22">
        <f>VLOOKUP($A2119,'Medical Examinations'!$A:$D, 2, FALSE)</f>
        <v>15.41</v>
      </c>
      <c r="D2119" s="22">
        <f>VLOOKUP($A2119, 'Medical Examinations'!$A:$D,3, FALSE)</f>
        <v>5.08</v>
      </c>
      <c r="E2119" s="22" t="str">
        <f>VLOOKUP($A2119, 'Medical Examinations'!$A:$D, 4, FALSE)</f>
        <v>No</v>
      </c>
      <c r="F2119" s="22" t="str">
        <f>VLOOKUP($A2119, 'Medical Examinations'!$A:$J, 5, FALSE)</f>
        <v>No</v>
      </c>
      <c r="G2119" s="22" t="str">
        <f>VLOOKUP($A2119, 'Medical Examinations'!$A:$I, 6, FALSE)</f>
        <v>No</v>
      </c>
      <c r="H2119" s="22">
        <f>VLOOKUP($A2119,'Medical Examinations'!$A:$L,10, FALSE)</f>
        <v>0</v>
      </c>
      <c r="I2119" s="22" t="str">
        <f>VLOOKUP($A2119, 'Medical Examinations'!$A:$J, 9, FALSE)</f>
        <v>No</v>
      </c>
      <c r="J2119" s="22" t="str">
        <f>VLOOKUP($A2119, 'Medical Examinations'!$A:$P, 11, FALSE)</f>
        <v>UNDERWEIGHT</v>
      </c>
      <c r="K2119" s="34">
        <v>28688.0</v>
      </c>
      <c r="L2119" s="35">
        <f>VLOOKUP($A2119, 'Hospitalisation Details'!$A:$H, 7, FALSE)</f>
        <v>2193.2</v>
      </c>
      <c r="M2119" s="22" t="str">
        <f>VLOOKUP($A2119, 'Hospitalisation Details'!$A:$L, 12, FALSE)</f>
        <v>tier - 2</v>
      </c>
      <c r="N2119" s="22" t="str">
        <f>VLOOKUP($A2119, 'Hospitalisation Details'!$A:$M, 13, FALSE)</f>
        <v>tier - 2</v>
      </c>
      <c r="O2119" s="22" t="str">
        <f>VLOOKUP($A2119, 'Hospitalisation Details'!$A:$N, 14, FALSE)</f>
        <v>R1012</v>
      </c>
      <c r="P2119" s="36">
        <f>VLOOKUP($A2119, 'Hospitalisation Details'!$A:$O, 15, FALSE)</f>
        <v>31</v>
      </c>
    </row>
    <row r="2120" ht="15.75" customHeight="1">
      <c r="A2120" s="33" t="s">
        <v>4239</v>
      </c>
      <c r="B2120" s="22" t="str">
        <f>VLOOKUP($A2120,'Customer Names'!$A:$D,3, FALSE)</f>
        <v>Klundt</v>
      </c>
      <c r="C2120" s="22">
        <f>VLOOKUP($A2120,'Medical Examinations'!$A:$D, 2, FALSE)</f>
        <v>23.83</v>
      </c>
      <c r="D2120" s="22">
        <f>VLOOKUP($A2120, 'Medical Examinations'!$A:$D,3, FALSE)</f>
        <v>5.68</v>
      </c>
      <c r="E2120" s="22" t="str">
        <f>VLOOKUP($A2120, 'Medical Examinations'!$A:$D, 4, FALSE)</f>
        <v>No</v>
      </c>
      <c r="F2120" s="22" t="str">
        <f>VLOOKUP($A2120, 'Medical Examinations'!$A:$J, 5, FALSE)</f>
        <v>No</v>
      </c>
      <c r="G2120" s="22" t="str">
        <f>VLOOKUP($A2120, 'Medical Examinations'!$A:$I, 6, FALSE)</f>
        <v>No</v>
      </c>
      <c r="H2120" s="22">
        <f>VLOOKUP($A2120,'Medical Examinations'!$A:$L,10, FALSE)</f>
        <v>0</v>
      </c>
      <c r="I2120" s="22" t="str">
        <f>VLOOKUP($A2120, 'Medical Examinations'!$A:$J, 9, FALSE)</f>
        <v>No</v>
      </c>
      <c r="J2120" s="22" t="str">
        <f>VLOOKUP($A2120, 'Medical Examinations'!$A:$P, 11, FALSE)</f>
        <v>NORMAL WEIGHT</v>
      </c>
      <c r="K2120" s="34">
        <v>22591.0</v>
      </c>
      <c r="L2120" s="35">
        <f>VLOOKUP($A2120, 'Hospitalisation Details'!$A:$H, 7, FALSE)</f>
        <v>2170.08</v>
      </c>
      <c r="M2120" s="22" t="str">
        <f>VLOOKUP($A2120, 'Hospitalisation Details'!$A:$L, 12, FALSE)</f>
        <v>tier - 2</v>
      </c>
      <c r="N2120" s="22" t="str">
        <f>VLOOKUP($A2120, 'Hospitalisation Details'!$A:$M, 13, FALSE)</f>
        <v>tier - 2</v>
      </c>
      <c r="O2120" s="22" t="str">
        <f>VLOOKUP($A2120, 'Hospitalisation Details'!$A:$N, 14, FALSE)</f>
        <v>R1013</v>
      </c>
      <c r="P2120" s="36">
        <f>VLOOKUP($A2120, 'Hospitalisation Details'!$A:$O, 15, FALSE)</f>
        <v>28</v>
      </c>
    </row>
    <row r="2121" ht="15.75" customHeight="1">
      <c r="A2121" s="33" t="s">
        <v>4241</v>
      </c>
      <c r="B2121" s="22" t="str">
        <f>VLOOKUP($A2121,'Customer Names'!$A:$D,3, FALSE)</f>
        <v>Waters</v>
      </c>
      <c r="C2121" s="22">
        <f>VLOOKUP($A2121,'Medical Examinations'!$A:$D, 2, FALSE)</f>
        <v>36</v>
      </c>
      <c r="D2121" s="22">
        <f>VLOOKUP($A2121, 'Medical Examinations'!$A:$D,3, FALSE)</f>
        <v>4.66</v>
      </c>
      <c r="E2121" s="22" t="str">
        <f>VLOOKUP($A2121, 'Medical Examinations'!$A:$D, 4, FALSE)</f>
        <v>No</v>
      </c>
      <c r="F2121" s="22" t="str">
        <f>VLOOKUP($A2121, 'Medical Examinations'!$A:$J, 5, FALSE)</f>
        <v>Yes</v>
      </c>
      <c r="G2121" s="22" t="str">
        <f>VLOOKUP($A2121, 'Medical Examinations'!$A:$I, 6, FALSE)</f>
        <v>No</v>
      </c>
      <c r="H2121" s="22">
        <f>VLOOKUP($A2121,'Medical Examinations'!$A:$L,10, FALSE)</f>
        <v>1</v>
      </c>
      <c r="I2121" s="22" t="str">
        <f>VLOOKUP($A2121, 'Medical Examinations'!$A:$J, 9, FALSE)</f>
        <v>No</v>
      </c>
      <c r="J2121" s="22" t="str">
        <f>VLOOKUP($A2121, 'Medical Examinations'!$A:$P, 11, FALSE)</f>
        <v>OBESITY</v>
      </c>
      <c r="K2121" s="34">
        <v>31346.0</v>
      </c>
      <c r="L2121" s="35">
        <f>VLOOKUP($A2121, 'Hospitalisation Details'!$A:$H, 7, FALSE)</f>
        <v>2166.73</v>
      </c>
      <c r="M2121" s="22" t="str">
        <f>VLOOKUP($A2121, 'Hospitalisation Details'!$A:$L, 12, FALSE)</f>
        <v>tier - 2</v>
      </c>
      <c r="N2121" s="22" t="str">
        <f>VLOOKUP($A2121, 'Hospitalisation Details'!$A:$M, 13, FALSE)</f>
        <v>tier - 2</v>
      </c>
      <c r="O2121" s="22" t="str">
        <f>VLOOKUP($A2121, 'Hospitalisation Details'!$A:$N, 14, FALSE)</f>
        <v>R1011</v>
      </c>
      <c r="P2121" s="36">
        <f>VLOOKUP($A2121, 'Hospitalisation Details'!$A:$O, 15, FALSE)</f>
        <v>22</v>
      </c>
    </row>
    <row r="2122" ht="15.75" customHeight="1">
      <c r="A2122" s="33" t="s">
        <v>4243</v>
      </c>
      <c r="B2122" s="22" t="str">
        <f>VLOOKUP($A2122,'Customer Names'!$A:$D,3, FALSE)</f>
        <v>Rusk</v>
      </c>
      <c r="C2122" s="22">
        <f>VLOOKUP($A2122,'Medical Examinations'!$A:$D, 2, FALSE)</f>
        <v>28.82</v>
      </c>
      <c r="D2122" s="22">
        <f>VLOOKUP($A2122, 'Medical Examinations'!$A:$D,3, FALSE)</f>
        <v>5.59</v>
      </c>
      <c r="E2122" s="22" t="str">
        <f>VLOOKUP($A2122, 'Medical Examinations'!$A:$D, 4, FALSE)</f>
        <v>No</v>
      </c>
      <c r="F2122" s="22" t="str">
        <f>VLOOKUP($A2122, 'Medical Examinations'!$A:$J, 5, FALSE)</f>
        <v>Yes</v>
      </c>
      <c r="G2122" s="22" t="str">
        <f>VLOOKUP($A2122, 'Medical Examinations'!$A:$I, 6, FALSE)</f>
        <v>No</v>
      </c>
      <c r="H2122" s="22">
        <f>VLOOKUP($A2122,'Medical Examinations'!$A:$L,10, FALSE)</f>
        <v>1</v>
      </c>
      <c r="I2122" s="22" t="str">
        <f>VLOOKUP($A2122, 'Medical Examinations'!$A:$J, 9, FALSE)</f>
        <v>No</v>
      </c>
      <c r="J2122" s="22" t="str">
        <f>VLOOKUP($A2122, 'Medical Examinations'!$A:$P, 11, FALSE)</f>
        <v>OVERWEIGHT</v>
      </c>
      <c r="K2122" s="34">
        <v>24690.0</v>
      </c>
      <c r="L2122" s="35">
        <f>VLOOKUP($A2122, 'Hospitalisation Details'!$A:$H, 7, FALSE)</f>
        <v>2156.75</v>
      </c>
      <c r="M2122" s="22" t="str">
        <f>VLOOKUP($A2122, 'Hospitalisation Details'!$A:$L, 12, FALSE)</f>
        <v>tier - 2</v>
      </c>
      <c r="N2122" s="22" t="str">
        <f>VLOOKUP($A2122, 'Hospitalisation Details'!$A:$M, 13, FALSE)</f>
        <v>tier - 2</v>
      </c>
      <c r="O2122" s="22" t="str">
        <f>VLOOKUP($A2122, 'Hospitalisation Details'!$A:$N, 14, FALSE)</f>
        <v>R1013</v>
      </c>
      <c r="P2122" s="36">
        <f>VLOOKUP($A2122, 'Hospitalisation Details'!$A:$O, 15, FALSE)</f>
        <v>22</v>
      </c>
    </row>
    <row r="2123" ht="15.75" customHeight="1">
      <c r="A2123" s="33" t="s">
        <v>4245</v>
      </c>
      <c r="B2123" s="22" t="str">
        <f>VLOOKUP($A2123,'Customer Names'!$A:$D,3, FALSE)</f>
        <v>Gersbach</v>
      </c>
      <c r="C2123" s="22">
        <f>VLOOKUP($A2123,'Medical Examinations'!$A:$D, 2, FALSE)</f>
        <v>28.05</v>
      </c>
      <c r="D2123" s="22">
        <f>VLOOKUP($A2123, 'Medical Examinations'!$A:$D,3, FALSE)</f>
        <v>6.2</v>
      </c>
      <c r="E2123" s="22" t="str">
        <f>VLOOKUP($A2123, 'Medical Examinations'!$A:$D, 4, FALSE)</f>
        <v>No</v>
      </c>
      <c r="F2123" s="22" t="str">
        <f>VLOOKUP($A2123, 'Medical Examinations'!$A:$J, 5, FALSE)</f>
        <v>Yes</v>
      </c>
      <c r="G2123" s="22" t="str">
        <f>VLOOKUP($A2123, 'Medical Examinations'!$A:$I, 6, FALSE)</f>
        <v>No</v>
      </c>
      <c r="H2123" s="22">
        <f>VLOOKUP($A2123,'Medical Examinations'!$A:$L,10, FALSE)</f>
        <v>1</v>
      </c>
      <c r="I2123" s="22" t="str">
        <f>VLOOKUP($A2123, 'Medical Examinations'!$A:$J, 9, FALSE)</f>
        <v>No</v>
      </c>
      <c r="J2123" s="22" t="str">
        <f>VLOOKUP($A2123, 'Medical Examinations'!$A:$P, 11, FALSE)</f>
        <v>OVERWEIGHT</v>
      </c>
      <c r="K2123" s="34">
        <v>21363.0</v>
      </c>
      <c r="L2123" s="35">
        <f>VLOOKUP($A2123, 'Hospitalisation Details'!$A:$H, 7, FALSE)</f>
        <v>2155.68</v>
      </c>
      <c r="M2123" s="22" t="str">
        <f>VLOOKUP($A2123, 'Hospitalisation Details'!$A:$L, 12, FALSE)</f>
        <v>tier - 2</v>
      </c>
      <c r="N2123" s="22" t="str">
        <f>VLOOKUP($A2123, 'Hospitalisation Details'!$A:$M, 13, FALSE)</f>
        <v>tier - 3</v>
      </c>
      <c r="O2123" s="22" t="str">
        <f>VLOOKUP($A2123, 'Hospitalisation Details'!$A:$N, 14, FALSE)</f>
        <v>R1013</v>
      </c>
      <c r="P2123" s="36">
        <f>VLOOKUP($A2123, 'Hospitalisation Details'!$A:$O, 15, FALSE)</f>
        <v>22</v>
      </c>
    </row>
    <row r="2124" ht="15.75" customHeight="1">
      <c r="A2124" s="33" t="s">
        <v>4247</v>
      </c>
      <c r="B2124" s="22" t="str">
        <f>VLOOKUP($A2124,'Customer Names'!$A:$D,3, FALSE)</f>
        <v>Taylor-Watson</v>
      </c>
      <c r="C2124" s="22">
        <f>VLOOKUP($A2124,'Medical Examinations'!$A:$D, 2, FALSE)</f>
        <v>27.1</v>
      </c>
      <c r="D2124" s="22">
        <f>VLOOKUP($A2124, 'Medical Examinations'!$A:$D,3, FALSE)</f>
        <v>4.45</v>
      </c>
      <c r="E2124" s="22" t="str">
        <f>VLOOKUP($A2124, 'Medical Examinations'!$A:$D, 4, FALSE)</f>
        <v>No</v>
      </c>
      <c r="F2124" s="22" t="str">
        <f>VLOOKUP($A2124, 'Medical Examinations'!$A:$J, 5, FALSE)</f>
        <v>Yes</v>
      </c>
      <c r="G2124" s="22" t="str">
        <f>VLOOKUP($A2124, 'Medical Examinations'!$A:$I, 6, FALSE)</f>
        <v>No</v>
      </c>
      <c r="H2124" s="22">
        <f>VLOOKUP($A2124,'Medical Examinations'!$A:$L,10, FALSE)</f>
        <v>1</v>
      </c>
      <c r="I2124" s="22" t="str">
        <f>VLOOKUP($A2124, 'Medical Examinations'!$A:$J, 9, FALSE)</f>
        <v>No</v>
      </c>
      <c r="J2124" s="22" t="str">
        <f>VLOOKUP($A2124, 'Medical Examinations'!$A:$P, 11, FALSE)</f>
        <v>OVERWEIGHT</v>
      </c>
      <c r="K2124" s="34">
        <v>26222.0</v>
      </c>
      <c r="L2124" s="35">
        <f>VLOOKUP($A2124, 'Hospitalisation Details'!$A:$H, 7, FALSE)</f>
        <v>2154.36</v>
      </c>
      <c r="M2124" s="22" t="str">
        <f>VLOOKUP($A2124, 'Hospitalisation Details'!$A:$L, 12, FALSE)</f>
        <v>tier - 2</v>
      </c>
      <c r="N2124" s="22" t="str">
        <f>VLOOKUP($A2124, 'Hospitalisation Details'!$A:$M, 13, FALSE)</f>
        <v>tier - 2</v>
      </c>
      <c r="O2124" s="22" t="str">
        <f>VLOOKUP($A2124, 'Hospitalisation Details'!$A:$N, 14, FALSE)</f>
        <v>R1011</v>
      </c>
      <c r="P2124" s="36">
        <f>VLOOKUP($A2124, 'Hospitalisation Details'!$A:$O, 15, FALSE)</f>
        <v>22</v>
      </c>
    </row>
    <row r="2125" ht="15.75" customHeight="1">
      <c r="A2125" s="33" t="s">
        <v>4249</v>
      </c>
      <c r="B2125" s="22" t="str">
        <f>VLOOKUP($A2125,'Customer Names'!$A:$D,3, FALSE)</f>
        <v>Crawford</v>
      </c>
      <c r="C2125" s="22">
        <f>VLOOKUP($A2125,'Medical Examinations'!$A:$D, 2, FALSE)</f>
        <v>24.3</v>
      </c>
      <c r="D2125" s="22">
        <f>VLOOKUP($A2125, 'Medical Examinations'!$A:$D,3, FALSE)</f>
        <v>6.1</v>
      </c>
      <c r="E2125" s="22" t="str">
        <f>VLOOKUP($A2125, 'Medical Examinations'!$A:$D, 4, FALSE)</f>
        <v>Yes</v>
      </c>
      <c r="F2125" s="22" t="str">
        <f>VLOOKUP($A2125, 'Medical Examinations'!$A:$J, 5, FALSE)</f>
        <v>Yes</v>
      </c>
      <c r="G2125" s="22" t="str">
        <f>VLOOKUP($A2125, 'Medical Examinations'!$A:$I, 6, FALSE)</f>
        <v>No</v>
      </c>
      <c r="H2125" s="22">
        <f>VLOOKUP($A2125,'Medical Examinations'!$A:$L,10, FALSE)</f>
        <v>1</v>
      </c>
      <c r="I2125" s="22" t="str">
        <f>VLOOKUP($A2125, 'Medical Examinations'!$A:$J, 9, FALSE)</f>
        <v>No</v>
      </c>
      <c r="J2125" s="22" t="str">
        <f>VLOOKUP($A2125, 'Medical Examinations'!$A:$P, 11, FALSE)</f>
        <v>NORMAL WEIGHT</v>
      </c>
      <c r="K2125" s="34">
        <v>25469.0</v>
      </c>
      <c r="L2125" s="35">
        <f>VLOOKUP($A2125, 'Hospitalisation Details'!$A:$H, 7, FALSE)</f>
        <v>2150.47</v>
      </c>
      <c r="M2125" s="22" t="str">
        <f>VLOOKUP($A2125, 'Hospitalisation Details'!$A:$L, 12, FALSE)</f>
        <v>tier - 2</v>
      </c>
      <c r="N2125" s="22" t="str">
        <f>VLOOKUP($A2125, 'Hospitalisation Details'!$A:$M, 13, FALSE)</f>
        <v>tier - 3</v>
      </c>
      <c r="O2125" s="22" t="str">
        <f>VLOOKUP($A2125, 'Hospitalisation Details'!$A:$N, 14, FALSE)</f>
        <v>R1011</v>
      </c>
      <c r="P2125" s="36">
        <f>VLOOKUP($A2125, 'Hospitalisation Details'!$A:$O, 15, FALSE)</f>
        <v>22</v>
      </c>
    </row>
    <row r="2126" ht="15.75" customHeight="1">
      <c r="A2126" s="33" t="s">
        <v>4251</v>
      </c>
      <c r="B2126" s="22" t="str">
        <f>VLOOKUP($A2126,'Customer Names'!$A:$D,3, FALSE)</f>
        <v>Levitsky</v>
      </c>
      <c r="C2126" s="22">
        <f>VLOOKUP($A2126,'Medical Examinations'!$A:$D, 2, FALSE)</f>
        <v>30.72</v>
      </c>
      <c r="D2126" s="22">
        <f>VLOOKUP($A2126, 'Medical Examinations'!$A:$D,3, FALSE)</f>
        <v>6.06</v>
      </c>
      <c r="E2126" s="22" t="str">
        <f>VLOOKUP($A2126, 'Medical Examinations'!$A:$D, 4, FALSE)</f>
        <v>No</v>
      </c>
      <c r="F2126" s="22" t="str">
        <f>VLOOKUP($A2126, 'Medical Examinations'!$A:$J, 5, FALSE)</f>
        <v>Yes</v>
      </c>
      <c r="G2126" s="22" t="str">
        <f>VLOOKUP($A2126, 'Medical Examinations'!$A:$I, 6, FALSE)</f>
        <v>No</v>
      </c>
      <c r="H2126" s="22">
        <f>VLOOKUP($A2126,'Medical Examinations'!$A:$L,10, FALSE)</f>
        <v>1</v>
      </c>
      <c r="I2126" s="22" t="str">
        <f>VLOOKUP($A2126, 'Medical Examinations'!$A:$J, 9, FALSE)</f>
        <v>No</v>
      </c>
      <c r="J2126" s="22" t="str">
        <f>VLOOKUP($A2126, 'Medical Examinations'!$A:$P, 11, FALSE)</f>
        <v>OBESITY</v>
      </c>
      <c r="K2126" s="34">
        <v>22594.0</v>
      </c>
      <c r="L2126" s="35">
        <f>VLOOKUP($A2126, 'Hospitalisation Details'!$A:$H, 7, FALSE)</f>
        <v>2144.85</v>
      </c>
      <c r="M2126" s="22" t="str">
        <f>VLOOKUP($A2126, 'Hospitalisation Details'!$A:$L, 12, FALSE)</f>
        <v>tier - 2</v>
      </c>
      <c r="N2126" s="22" t="str">
        <f>VLOOKUP($A2126, 'Hospitalisation Details'!$A:$M, 13, FALSE)</f>
        <v>tier - 1</v>
      </c>
      <c r="O2126" s="22" t="str">
        <f>VLOOKUP($A2126, 'Hospitalisation Details'!$A:$N, 14, FALSE)</f>
        <v>R1011</v>
      </c>
      <c r="P2126" s="36">
        <f>VLOOKUP($A2126, 'Hospitalisation Details'!$A:$O, 15, FALSE)</f>
        <v>18</v>
      </c>
    </row>
    <row r="2127" ht="15.75" customHeight="1">
      <c r="A2127" s="33" t="s">
        <v>4253</v>
      </c>
      <c r="B2127" s="22" t="str">
        <f>VLOOKUP($A2127,'Customer Names'!$A:$D,3, FALSE)</f>
        <v>Carroll</v>
      </c>
      <c r="C2127" s="22">
        <f>VLOOKUP($A2127,'Medical Examinations'!$A:$D, 2, FALSE)</f>
        <v>37.43</v>
      </c>
      <c r="D2127" s="22">
        <f>VLOOKUP($A2127, 'Medical Examinations'!$A:$D,3, FALSE)</f>
        <v>4.56</v>
      </c>
      <c r="E2127" s="22" t="str">
        <f>VLOOKUP($A2127, 'Medical Examinations'!$A:$D, 4, FALSE)</f>
        <v>No</v>
      </c>
      <c r="F2127" s="22" t="str">
        <f>VLOOKUP($A2127, 'Medical Examinations'!$A:$J, 5, FALSE)</f>
        <v>No</v>
      </c>
      <c r="G2127" s="22" t="str">
        <f>VLOOKUP($A2127, 'Medical Examinations'!$A:$I, 6, FALSE)</f>
        <v>Yes</v>
      </c>
      <c r="H2127" s="22">
        <f>VLOOKUP($A2127,'Medical Examinations'!$A:$L,10, FALSE)</f>
        <v>1</v>
      </c>
      <c r="I2127" s="22" t="str">
        <f>VLOOKUP($A2127, 'Medical Examinations'!$A:$J, 9, FALSE)</f>
        <v>No</v>
      </c>
      <c r="J2127" s="22" t="str">
        <f>VLOOKUP($A2127, 'Medical Examinations'!$A:$P, 11, FALSE)</f>
        <v>OBESITY</v>
      </c>
      <c r="K2127" s="34">
        <v>24050.0</v>
      </c>
      <c r="L2127" s="35">
        <f>VLOOKUP($A2127, 'Hospitalisation Details'!$A:$H, 7, FALSE)</f>
        <v>2138.07</v>
      </c>
      <c r="M2127" s="22" t="str">
        <f>VLOOKUP($A2127, 'Hospitalisation Details'!$A:$L, 12, FALSE)</f>
        <v>tier - 2</v>
      </c>
      <c r="N2127" s="22" t="str">
        <f>VLOOKUP($A2127, 'Hospitalisation Details'!$A:$M, 13, FALSE)</f>
        <v>tier - 1</v>
      </c>
      <c r="O2127" s="22" t="str">
        <f>VLOOKUP($A2127, 'Hospitalisation Details'!$A:$N, 14, FALSE)</f>
        <v>R1012</v>
      </c>
      <c r="P2127" s="36">
        <f>VLOOKUP($A2127, 'Hospitalisation Details'!$A:$O, 15, FALSE)</f>
        <v>19</v>
      </c>
    </row>
    <row r="2128" ht="15.75" customHeight="1">
      <c r="A2128" s="33" t="s">
        <v>4255</v>
      </c>
      <c r="B2128" s="22" t="str">
        <f>VLOOKUP($A2128,'Customer Names'!$A:$D,3, FALSE)</f>
        <v>Campos</v>
      </c>
      <c r="C2128" s="22">
        <f>VLOOKUP($A2128,'Medical Examinations'!$A:$D, 2, FALSE)</f>
        <v>25.74</v>
      </c>
      <c r="D2128" s="22">
        <f>VLOOKUP($A2128, 'Medical Examinations'!$A:$D,3, FALSE)</f>
        <v>6.41</v>
      </c>
      <c r="E2128" s="22" t="str">
        <f>VLOOKUP($A2128, 'Medical Examinations'!$A:$D, 4, FALSE)</f>
        <v>Yes</v>
      </c>
      <c r="F2128" s="22" t="str">
        <f>VLOOKUP($A2128, 'Medical Examinations'!$A:$J, 5, FALSE)</f>
        <v>No</v>
      </c>
      <c r="G2128" s="22" t="str">
        <f>VLOOKUP($A2128, 'Medical Examinations'!$A:$I, 6, FALSE)</f>
        <v>Yes</v>
      </c>
      <c r="H2128" s="22">
        <f>VLOOKUP($A2128,'Medical Examinations'!$A:$L,10, FALSE)</f>
        <v>1</v>
      </c>
      <c r="I2128" s="22" t="str">
        <f>VLOOKUP($A2128, 'Medical Examinations'!$A:$J, 9, FALSE)</f>
        <v>No</v>
      </c>
      <c r="J2128" s="22" t="str">
        <f>VLOOKUP($A2128, 'Medical Examinations'!$A:$P, 11, FALSE)</f>
        <v>OVERWEIGHT</v>
      </c>
      <c r="K2128" s="34">
        <v>23643.0</v>
      </c>
      <c r="L2128" s="35">
        <f>VLOOKUP($A2128, 'Hospitalisation Details'!$A:$H, 7, FALSE)</f>
        <v>2137.65</v>
      </c>
      <c r="M2128" s="22" t="str">
        <f>VLOOKUP($A2128, 'Hospitalisation Details'!$A:$L, 12, FALSE)</f>
        <v>tier - 3</v>
      </c>
      <c r="N2128" s="22" t="str">
        <f>VLOOKUP($A2128, 'Hospitalisation Details'!$A:$M, 13, FALSE)</f>
        <v>tier - 1</v>
      </c>
      <c r="O2128" s="22" t="str">
        <f>VLOOKUP($A2128, 'Hospitalisation Details'!$A:$N, 14, FALSE)</f>
        <v>R1013</v>
      </c>
      <c r="P2128" s="36">
        <f>VLOOKUP($A2128, 'Hospitalisation Details'!$A:$O, 15, FALSE)</f>
        <v>25</v>
      </c>
    </row>
    <row r="2129" ht="15.75" customHeight="1">
      <c r="A2129" s="33" t="s">
        <v>4257</v>
      </c>
      <c r="B2129" s="22" t="str">
        <f>VLOOKUP($A2129,'Customer Names'!$A:$D,3, FALSE)</f>
        <v>Flajslik</v>
      </c>
      <c r="C2129" s="22">
        <f>VLOOKUP($A2129,'Medical Examinations'!$A:$D, 2, FALSE)</f>
        <v>36.575</v>
      </c>
      <c r="D2129" s="22">
        <f>VLOOKUP($A2129, 'Medical Examinations'!$A:$D,3, FALSE)</f>
        <v>5.57</v>
      </c>
      <c r="E2129" s="22" t="str">
        <f>VLOOKUP($A2129, 'Medical Examinations'!$A:$D, 4, FALSE)</f>
        <v>No</v>
      </c>
      <c r="F2129" s="22" t="str">
        <f>VLOOKUP($A2129, 'Medical Examinations'!$A:$J, 5, FALSE)</f>
        <v>No</v>
      </c>
      <c r="G2129" s="22" t="str">
        <f>VLOOKUP($A2129, 'Medical Examinations'!$A:$I, 6, FALSE)</f>
        <v>Yes</v>
      </c>
      <c r="H2129" s="22">
        <f>VLOOKUP($A2129,'Medical Examinations'!$A:$L,10, FALSE)</f>
        <v>1</v>
      </c>
      <c r="I2129" s="22" t="str">
        <f>VLOOKUP($A2129, 'Medical Examinations'!$A:$J, 9, FALSE)</f>
        <v>No</v>
      </c>
      <c r="J2129" s="22" t="str">
        <f>VLOOKUP($A2129, 'Medical Examinations'!$A:$P, 11, FALSE)</f>
        <v>OBESITY</v>
      </c>
      <c r="K2129" s="34">
        <v>22847.0</v>
      </c>
      <c r="L2129" s="35">
        <f>VLOOKUP($A2129, 'Hospitalisation Details'!$A:$H, 7, FALSE)</f>
        <v>2136.88</v>
      </c>
      <c r="M2129" s="22" t="str">
        <f>VLOOKUP($A2129, 'Hospitalisation Details'!$A:$L, 12, FALSE)</f>
        <v>tier - 2</v>
      </c>
      <c r="N2129" s="22" t="str">
        <f>VLOOKUP($A2129, 'Hospitalisation Details'!$A:$M, 13, FALSE)</f>
        <v>tier - 2</v>
      </c>
      <c r="O2129" s="22" t="str">
        <f>VLOOKUP($A2129, 'Hospitalisation Details'!$A:$N, 14, FALSE)</f>
        <v>R1012</v>
      </c>
      <c r="P2129" s="36">
        <f>VLOOKUP($A2129, 'Hospitalisation Details'!$A:$O, 15, FALSE)</f>
        <v>19</v>
      </c>
    </row>
    <row r="2130" ht="15.75" customHeight="1">
      <c r="A2130" s="33" t="s">
        <v>4259</v>
      </c>
      <c r="B2130" s="22" t="str">
        <f>VLOOKUP($A2130,'Customer Names'!$A:$D,3, FALSE)</f>
        <v>Chua</v>
      </c>
      <c r="C2130" s="22">
        <f>VLOOKUP($A2130,'Medical Examinations'!$A:$D, 2, FALSE)</f>
        <v>35.15</v>
      </c>
      <c r="D2130" s="22">
        <f>VLOOKUP($A2130, 'Medical Examinations'!$A:$D,3, FALSE)</f>
        <v>5.47</v>
      </c>
      <c r="E2130" s="22" t="str">
        <f>VLOOKUP($A2130, 'Medical Examinations'!$A:$D, 4, FALSE)</f>
        <v>No</v>
      </c>
      <c r="F2130" s="22" t="str">
        <f>VLOOKUP($A2130, 'Medical Examinations'!$A:$J, 5, FALSE)</f>
        <v>No</v>
      </c>
      <c r="G2130" s="22" t="str">
        <f>VLOOKUP($A2130, 'Medical Examinations'!$A:$I, 6, FALSE)</f>
        <v>Yes</v>
      </c>
      <c r="H2130" s="22">
        <f>VLOOKUP($A2130,'Medical Examinations'!$A:$L,10, FALSE)</f>
        <v>1</v>
      </c>
      <c r="I2130" s="22" t="str">
        <f>VLOOKUP($A2130, 'Medical Examinations'!$A:$J, 9, FALSE)</f>
        <v>No</v>
      </c>
      <c r="J2130" s="22" t="str">
        <f>VLOOKUP($A2130, 'Medical Examinations'!$A:$P, 11, FALSE)</f>
        <v>OBESITY</v>
      </c>
      <c r="K2130" s="34">
        <v>26569.0</v>
      </c>
      <c r="L2130" s="35">
        <f>VLOOKUP($A2130, 'Hospitalisation Details'!$A:$H, 7, FALSE)</f>
        <v>2134.9</v>
      </c>
      <c r="M2130" s="22" t="str">
        <f>VLOOKUP($A2130, 'Hospitalisation Details'!$A:$L, 12, FALSE)</f>
        <v>tier - 2</v>
      </c>
      <c r="N2130" s="22" t="str">
        <f>VLOOKUP($A2130, 'Hospitalisation Details'!$A:$M, 13, FALSE)</f>
        <v>tier - 3</v>
      </c>
      <c r="O2130" s="22" t="str">
        <f>VLOOKUP($A2130, 'Hospitalisation Details'!$A:$N, 14, FALSE)</f>
        <v>R1012</v>
      </c>
      <c r="P2130" s="36">
        <f>VLOOKUP($A2130, 'Hospitalisation Details'!$A:$O, 15, FALSE)</f>
        <v>19</v>
      </c>
    </row>
    <row r="2131" ht="15.75" customHeight="1">
      <c r="A2131" s="33" t="s">
        <v>4261</v>
      </c>
      <c r="B2131" s="22" t="str">
        <f>VLOOKUP($A2131,'Customer Names'!$A:$D,3, FALSE)</f>
        <v>Wiltse</v>
      </c>
      <c r="C2131" s="22">
        <f>VLOOKUP($A2131,'Medical Examinations'!$A:$D, 2, FALSE)</f>
        <v>32.11</v>
      </c>
      <c r="D2131" s="22">
        <f>VLOOKUP($A2131, 'Medical Examinations'!$A:$D,3, FALSE)</f>
        <v>4.43</v>
      </c>
      <c r="E2131" s="22" t="str">
        <f>VLOOKUP($A2131, 'Medical Examinations'!$A:$D, 4, FALSE)</f>
        <v>No</v>
      </c>
      <c r="F2131" s="22" t="str">
        <f>VLOOKUP($A2131, 'Medical Examinations'!$A:$J, 5, FALSE)</f>
        <v>No</v>
      </c>
      <c r="G2131" s="22" t="str">
        <f>VLOOKUP($A2131, 'Medical Examinations'!$A:$I, 6, FALSE)</f>
        <v>Yes</v>
      </c>
      <c r="H2131" s="22">
        <f>VLOOKUP($A2131,'Medical Examinations'!$A:$L,10, FALSE)</f>
        <v>1</v>
      </c>
      <c r="I2131" s="22" t="str">
        <f>VLOOKUP($A2131, 'Medical Examinations'!$A:$J, 9, FALSE)</f>
        <v>No</v>
      </c>
      <c r="J2131" s="22" t="str">
        <f>VLOOKUP($A2131, 'Medical Examinations'!$A:$P, 11, FALSE)</f>
        <v>OBESITY</v>
      </c>
      <c r="K2131" s="34">
        <v>25550.0</v>
      </c>
      <c r="L2131" s="35">
        <f>VLOOKUP($A2131, 'Hospitalisation Details'!$A:$H, 7, FALSE)</f>
        <v>2130.68</v>
      </c>
      <c r="M2131" s="22" t="str">
        <f>VLOOKUP($A2131, 'Hospitalisation Details'!$A:$L, 12, FALSE)</f>
        <v>tier - 2</v>
      </c>
      <c r="N2131" s="22" t="str">
        <f>VLOOKUP($A2131, 'Hospitalisation Details'!$A:$M, 13, FALSE)</f>
        <v>tier - 3</v>
      </c>
      <c r="O2131" s="22" t="str">
        <f>VLOOKUP($A2131, 'Hospitalisation Details'!$A:$N, 14, FALSE)</f>
        <v>R1012</v>
      </c>
      <c r="P2131" s="36">
        <f>VLOOKUP($A2131, 'Hospitalisation Details'!$A:$O, 15, FALSE)</f>
        <v>19</v>
      </c>
    </row>
    <row r="2132" ht="15.75" customHeight="1">
      <c r="A2132" s="33" t="s">
        <v>4263</v>
      </c>
      <c r="B2132" s="22" t="str">
        <f>VLOOKUP($A2132,'Customer Names'!$A:$D,3, FALSE)</f>
        <v>Fisher</v>
      </c>
      <c r="C2132" s="22">
        <f>VLOOKUP($A2132,'Medical Examinations'!$A:$D, 2, FALSE)</f>
        <v>30.495</v>
      </c>
      <c r="D2132" s="22">
        <f>VLOOKUP($A2132, 'Medical Examinations'!$A:$D,3, FALSE)</f>
        <v>4.95</v>
      </c>
      <c r="E2132" s="22" t="str">
        <f>VLOOKUP($A2132, 'Medical Examinations'!$A:$D, 4, FALSE)</f>
        <v>No</v>
      </c>
      <c r="F2132" s="22" t="str">
        <f>VLOOKUP($A2132, 'Medical Examinations'!$A:$J, 5, FALSE)</f>
        <v>No</v>
      </c>
      <c r="G2132" s="22" t="str">
        <f>VLOOKUP($A2132, 'Medical Examinations'!$A:$I, 6, FALSE)</f>
        <v>Yes</v>
      </c>
      <c r="H2132" s="22">
        <f>VLOOKUP($A2132,'Medical Examinations'!$A:$L,10, FALSE)</f>
        <v>1</v>
      </c>
      <c r="I2132" s="22" t="str">
        <f>VLOOKUP($A2132, 'Medical Examinations'!$A:$J, 9, FALSE)</f>
        <v>No</v>
      </c>
      <c r="J2132" s="22" t="str">
        <f>VLOOKUP($A2132, 'Medical Examinations'!$A:$P, 11, FALSE)</f>
        <v>OBESITY</v>
      </c>
      <c r="K2132" s="34">
        <v>22821.0</v>
      </c>
      <c r="L2132" s="35">
        <f>VLOOKUP($A2132, 'Hospitalisation Details'!$A:$H, 7, FALSE)</f>
        <v>2128.43</v>
      </c>
      <c r="M2132" s="22" t="str">
        <f>VLOOKUP($A2132, 'Hospitalisation Details'!$A:$L, 12, FALSE)</f>
        <v>tier - 2</v>
      </c>
      <c r="N2132" s="22" t="str">
        <f>VLOOKUP($A2132, 'Hospitalisation Details'!$A:$M, 13, FALSE)</f>
        <v>tier - 1</v>
      </c>
      <c r="O2132" s="22" t="str">
        <f>VLOOKUP($A2132, 'Hospitalisation Details'!$A:$N, 14, FALSE)</f>
        <v>R1012</v>
      </c>
      <c r="P2132" s="36">
        <f>VLOOKUP($A2132, 'Hospitalisation Details'!$A:$O, 15, FALSE)</f>
        <v>19</v>
      </c>
    </row>
    <row r="2133" ht="15.75" customHeight="1">
      <c r="A2133" s="33" t="s">
        <v>4265</v>
      </c>
      <c r="B2133" s="22" t="str">
        <f>VLOOKUP($A2133,'Customer Names'!$A:$D,3, FALSE)</f>
        <v>Wilzbacher</v>
      </c>
      <c r="C2133" s="22">
        <f>VLOOKUP($A2133,'Medical Examinations'!$A:$D, 2, FALSE)</f>
        <v>29.24</v>
      </c>
      <c r="D2133" s="22">
        <f>VLOOKUP($A2133, 'Medical Examinations'!$A:$D,3, FALSE)</f>
        <v>4.04</v>
      </c>
      <c r="E2133" s="22" t="str">
        <f>VLOOKUP($A2133, 'Medical Examinations'!$A:$D, 4, FALSE)</f>
        <v>No</v>
      </c>
      <c r="F2133" s="22" t="str">
        <f>VLOOKUP($A2133, 'Medical Examinations'!$A:$J, 5, FALSE)</f>
        <v>Yes</v>
      </c>
      <c r="G2133" s="22" t="str">
        <f>VLOOKUP($A2133, 'Medical Examinations'!$A:$I, 6, FALSE)</f>
        <v>No</v>
      </c>
      <c r="H2133" s="22">
        <f>VLOOKUP($A2133,'Medical Examinations'!$A:$L,10, FALSE)</f>
        <v>1</v>
      </c>
      <c r="I2133" s="22" t="str">
        <f>VLOOKUP($A2133, 'Medical Examinations'!$A:$J, 9, FALSE)</f>
        <v>No</v>
      </c>
      <c r="J2133" s="22" t="str">
        <f>VLOOKUP($A2133, 'Medical Examinations'!$A:$P, 11, FALSE)</f>
        <v>OVERWEIGHT</v>
      </c>
      <c r="K2133" s="34">
        <v>29889.0</v>
      </c>
      <c r="L2133" s="35">
        <f>VLOOKUP($A2133, 'Hospitalisation Details'!$A:$H, 7, FALSE)</f>
        <v>2118.61</v>
      </c>
      <c r="M2133" s="22" t="str">
        <f>VLOOKUP($A2133, 'Hospitalisation Details'!$A:$L, 12, FALSE)</f>
        <v>tier - 2</v>
      </c>
      <c r="N2133" s="22" t="str">
        <f>VLOOKUP($A2133, 'Hospitalisation Details'!$A:$M, 13, FALSE)</f>
        <v>tier - 1</v>
      </c>
      <c r="O2133" s="22" t="str">
        <f>VLOOKUP($A2133, 'Hospitalisation Details'!$A:$N, 14, FALSE)</f>
        <v>R1012</v>
      </c>
      <c r="P2133" s="36">
        <f>VLOOKUP($A2133, 'Hospitalisation Details'!$A:$O, 15, FALSE)</f>
        <v>18</v>
      </c>
    </row>
    <row r="2134" ht="15.75" customHeight="1">
      <c r="A2134" s="33" t="s">
        <v>4267</v>
      </c>
      <c r="B2134" s="22" t="str">
        <f>VLOOKUP($A2134,'Customer Names'!$A:$D,3, FALSE)</f>
        <v>Thayer</v>
      </c>
      <c r="C2134" s="22">
        <f>VLOOKUP($A2134,'Medical Examinations'!$A:$D, 2, FALSE)</f>
        <v>22.515</v>
      </c>
      <c r="D2134" s="22">
        <f>VLOOKUP($A2134, 'Medical Examinations'!$A:$D,3, FALSE)</f>
        <v>5.93</v>
      </c>
      <c r="E2134" s="22" t="str">
        <f>VLOOKUP($A2134, 'Medical Examinations'!$A:$D, 4, FALSE)</f>
        <v>No</v>
      </c>
      <c r="F2134" s="22" t="str">
        <f>VLOOKUP($A2134, 'Medical Examinations'!$A:$J, 5, FALSE)</f>
        <v>No</v>
      </c>
      <c r="G2134" s="22" t="str">
        <f>VLOOKUP($A2134, 'Medical Examinations'!$A:$I, 6, FALSE)</f>
        <v>Yes</v>
      </c>
      <c r="H2134" s="22">
        <f>VLOOKUP($A2134,'Medical Examinations'!$A:$L,10, FALSE)</f>
        <v>1</v>
      </c>
      <c r="I2134" s="22" t="str">
        <f>VLOOKUP($A2134, 'Medical Examinations'!$A:$J, 9, FALSE)</f>
        <v>No</v>
      </c>
      <c r="J2134" s="22" t="str">
        <f>VLOOKUP($A2134, 'Medical Examinations'!$A:$P, 11, FALSE)</f>
        <v>NORMAL WEIGHT</v>
      </c>
      <c r="K2134" s="34">
        <v>29186.0</v>
      </c>
      <c r="L2134" s="35">
        <f>VLOOKUP($A2134, 'Hospitalisation Details'!$A:$H, 7, FALSE)</f>
        <v>2117.34</v>
      </c>
      <c r="M2134" s="22" t="str">
        <f>VLOOKUP($A2134, 'Hospitalisation Details'!$A:$L, 12, FALSE)</f>
        <v>tier - 2</v>
      </c>
      <c r="N2134" s="22" t="str">
        <f>VLOOKUP($A2134, 'Hospitalisation Details'!$A:$M, 13, FALSE)</f>
        <v>tier - 3</v>
      </c>
      <c r="O2134" s="22" t="str">
        <f>VLOOKUP($A2134, 'Hospitalisation Details'!$A:$N, 14, FALSE)</f>
        <v>R1012</v>
      </c>
      <c r="P2134" s="36">
        <f>VLOOKUP($A2134, 'Hospitalisation Details'!$A:$O, 15, FALSE)</f>
        <v>19</v>
      </c>
    </row>
    <row r="2135" ht="15.75" customHeight="1">
      <c r="A2135" s="33" t="s">
        <v>4269</v>
      </c>
      <c r="B2135" s="22" t="str">
        <f>VLOOKUP($A2135,'Customer Names'!$A:$D,3, FALSE)</f>
        <v>Brosseau</v>
      </c>
      <c r="C2135" s="22">
        <f>VLOOKUP($A2135,'Medical Examinations'!$A:$D, 2, FALSE)</f>
        <v>15.65</v>
      </c>
      <c r="D2135" s="22">
        <f>VLOOKUP($A2135, 'Medical Examinations'!$A:$D,3, FALSE)</f>
        <v>4.23</v>
      </c>
      <c r="E2135" s="22" t="str">
        <f>VLOOKUP($A2135, 'Medical Examinations'!$A:$D, 4, FALSE)</f>
        <v>No</v>
      </c>
      <c r="F2135" s="22" t="str">
        <f>VLOOKUP($A2135, 'Medical Examinations'!$A:$J, 5, FALSE)</f>
        <v>No</v>
      </c>
      <c r="G2135" s="22" t="str">
        <f>VLOOKUP($A2135, 'Medical Examinations'!$A:$I, 6, FALSE)</f>
        <v>No</v>
      </c>
      <c r="H2135" s="22">
        <f>VLOOKUP($A2135,'Medical Examinations'!$A:$L,10, FALSE)</f>
        <v>0</v>
      </c>
      <c r="I2135" s="22" t="str">
        <f>VLOOKUP($A2135, 'Medical Examinations'!$A:$J, 9, FALSE)</f>
        <v>No</v>
      </c>
      <c r="J2135" s="22" t="str">
        <f>VLOOKUP($A2135, 'Medical Examinations'!$A:$P, 11, FALSE)</f>
        <v>UNDERWEIGHT</v>
      </c>
      <c r="K2135" s="34">
        <v>23657.0</v>
      </c>
      <c r="L2135" s="35">
        <f>VLOOKUP($A2135, 'Hospitalisation Details'!$A:$H, 7, FALSE)</f>
        <v>2106.26</v>
      </c>
      <c r="M2135" s="22" t="str">
        <f>VLOOKUP($A2135, 'Hospitalisation Details'!$A:$L, 12, FALSE)</f>
        <v>tier - 2</v>
      </c>
      <c r="N2135" s="22" t="str">
        <f>VLOOKUP($A2135, 'Hospitalisation Details'!$A:$M, 13, FALSE)</f>
        <v>tier - 2</v>
      </c>
      <c r="O2135" s="22" t="str">
        <f>VLOOKUP($A2135, 'Hospitalisation Details'!$A:$N, 14, FALSE)</f>
        <v>R1013</v>
      </c>
      <c r="P2135" s="36">
        <f>VLOOKUP($A2135, 'Hospitalisation Details'!$A:$O, 15, FALSE)</f>
        <v>33</v>
      </c>
    </row>
    <row r="2136" ht="15.75" customHeight="1">
      <c r="A2136" s="33" t="s">
        <v>4271</v>
      </c>
      <c r="B2136" s="22" t="str">
        <f>VLOOKUP($A2136,'Customer Names'!$A:$D,3, FALSE)</f>
        <v>Phares</v>
      </c>
      <c r="C2136" s="22">
        <f>VLOOKUP($A2136,'Medical Examinations'!$A:$D, 2, FALSE)</f>
        <v>27.36</v>
      </c>
      <c r="D2136" s="22">
        <f>VLOOKUP($A2136, 'Medical Examinations'!$A:$D,3, FALSE)</f>
        <v>5.59</v>
      </c>
      <c r="E2136" s="22" t="str">
        <f>VLOOKUP($A2136, 'Medical Examinations'!$A:$D, 4, FALSE)</f>
        <v>Yes</v>
      </c>
      <c r="F2136" s="22" t="str">
        <f>VLOOKUP($A2136, 'Medical Examinations'!$A:$J, 5, FALSE)</f>
        <v>No</v>
      </c>
      <c r="G2136" s="22" t="str">
        <f>VLOOKUP($A2136, 'Medical Examinations'!$A:$I, 6, FALSE)</f>
        <v>No</v>
      </c>
      <c r="H2136" s="22">
        <f>VLOOKUP($A2136,'Medical Examinations'!$A:$L,10, FALSE)</f>
        <v>0</v>
      </c>
      <c r="I2136" s="22" t="str">
        <f>VLOOKUP($A2136, 'Medical Examinations'!$A:$J, 9, FALSE)</f>
        <v>No</v>
      </c>
      <c r="J2136" s="22" t="str">
        <f>VLOOKUP($A2136, 'Medical Examinations'!$A:$P, 11, FALSE)</f>
        <v>OVERWEIGHT</v>
      </c>
      <c r="K2136" s="34">
        <v>22248.0</v>
      </c>
      <c r="L2136" s="35">
        <f>VLOOKUP($A2136, 'Hospitalisation Details'!$A:$H, 7, FALSE)</f>
        <v>2104.11</v>
      </c>
      <c r="M2136" s="22" t="str">
        <f>VLOOKUP($A2136, 'Hospitalisation Details'!$A:$L, 12, FALSE)</f>
        <v>tier - 2</v>
      </c>
      <c r="N2136" s="22" t="str">
        <f>VLOOKUP($A2136, 'Hospitalisation Details'!$A:$M, 13, FALSE)</f>
        <v>tier - 1</v>
      </c>
      <c r="O2136" s="22" t="str">
        <f>VLOOKUP($A2136, 'Hospitalisation Details'!$A:$N, 14, FALSE)</f>
        <v>R1016</v>
      </c>
      <c r="P2136" s="36">
        <f>VLOOKUP($A2136, 'Hospitalisation Details'!$A:$O, 15, FALSE)</f>
        <v>21</v>
      </c>
    </row>
    <row r="2137" ht="15.75" customHeight="1">
      <c r="A2137" s="33" t="s">
        <v>4273</v>
      </c>
      <c r="B2137" s="22" t="str">
        <f>VLOOKUP($A2137,'Customer Names'!$A:$D,3, FALSE)</f>
        <v>Curley</v>
      </c>
      <c r="C2137" s="22">
        <f>VLOOKUP($A2137,'Medical Examinations'!$A:$D, 2, FALSE)</f>
        <v>22.3</v>
      </c>
      <c r="D2137" s="22">
        <f>VLOOKUP($A2137, 'Medical Examinations'!$A:$D,3, FALSE)</f>
        <v>4.89</v>
      </c>
      <c r="E2137" s="22" t="str">
        <f>VLOOKUP($A2137, 'Medical Examinations'!$A:$D, 4, FALSE)</f>
        <v>Yes</v>
      </c>
      <c r="F2137" s="22" t="str">
        <f>VLOOKUP($A2137, 'Medical Examinations'!$A:$J, 5, FALSE)</f>
        <v>No</v>
      </c>
      <c r="G2137" s="22" t="str">
        <f>VLOOKUP($A2137, 'Medical Examinations'!$A:$I, 6, FALSE)</f>
        <v>No</v>
      </c>
      <c r="H2137" s="22">
        <f>VLOOKUP($A2137,'Medical Examinations'!$A:$L,10, FALSE)</f>
        <v>0</v>
      </c>
      <c r="I2137" s="22" t="str">
        <f>VLOOKUP($A2137, 'Medical Examinations'!$A:$J, 9, FALSE)</f>
        <v>No</v>
      </c>
      <c r="J2137" s="22" t="str">
        <f>VLOOKUP($A2137, 'Medical Examinations'!$A:$P, 11, FALSE)</f>
        <v>NORMAL WEIGHT</v>
      </c>
      <c r="K2137" s="34">
        <v>22182.0</v>
      </c>
      <c r="L2137" s="35">
        <f>VLOOKUP($A2137, 'Hospitalisation Details'!$A:$H, 7, FALSE)</f>
        <v>2103.08</v>
      </c>
      <c r="M2137" s="22" t="str">
        <f>VLOOKUP($A2137, 'Hospitalisation Details'!$A:$L, 12, FALSE)</f>
        <v>tier - 3</v>
      </c>
      <c r="N2137" s="22" t="str">
        <f>VLOOKUP($A2137, 'Hospitalisation Details'!$A:$M, 13, FALSE)</f>
        <v>tier - 2</v>
      </c>
      <c r="O2137" s="22" t="str">
        <f>VLOOKUP($A2137, 'Hospitalisation Details'!$A:$N, 14, FALSE)</f>
        <v>R1011</v>
      </c>
      <c r="P2137" s="36">
        <f>VLOOKUP($A2137, 'Hospitalisation Details'!$A:$O, 15, FALSE)</f>
        <v>21</v>
      </c>
    </row>
    <row r="2138" ht="15.75" customHeight="1">
      <c r="A2138" s="33" t="s">
        <v>4275</v>
      </c>
      <c r="B2138" s="22" t="str">
        <f>VLOOKUP($A2138,'Customer Names'!$A:$D,3, FALSE)</f>
        <v>Johnston</v>
      </c>
      <c r="C2138" s="22">
        <f>VLOOKUP($A2138,'Medical Examinations'!$A:$D, 2, FALSE)</f>
        <v>26.03</v>
      </c>
      <c r="D2138" s="22">
        <f>VLOOKUP($A2138, 'Medical Examinations'!$A:$D,3, FALSE)</f>
        <v>5.81</v>
      </c>
      <c r="E2138" s="22" t="str">
        <f>VLOOKUP($A2138, 'Medical Examinations'!$A:$D, 4, FALSE)</f>
        <v>Yes</v>
      </c>
      <c r="F2138" s="22" t="str">
        <f>VLOOKUP($A2138, 'Medical Examinations'!$A:$J, 5, FALSE)</f>
        <v>No</v>
      </c>
      <c r="G2138" s="22" t="str">
        <f>VLOOKUP($A2138, 'Medical Examinations'!$A:$I, 6, FALSE)</f>
        <v>No</v>
      </c>
      <c r="H2138" s="22">
        <f>VLOOKUP($A2138,'Medical Examinations'!$A:$L,10, FALSE)</f>
        <v>0</v>
      </c>
      <c r="I2138" s="22" t="str">
        <f>VLOOKUP($A2138, 'Medical Examinations'!$A:$J, 9, FALSE)</f>
        <v>No</v>
      </c>
      <c r="J2138" s="22" t="str">
        <f>VLOOKUP($A2138, 'Medical Examinations'!$A:$P, 11, FALSE)</f>
        <v>OVERWEIGHT</v>
      </c>
      <c r="K2138" s="34">
        <v>22089.0</v>
      </c>
      <c r="L2138" s="35">
        <f>VLOOKUP($A2138, 'Hospitalisation Details'!$A:$H, 7, FALSE)</f>
        <v>2102.26</v>
      </c>
      <c r="M2138" s="22" t="str">
        <f>VLOOKUP($A2138, 'Hospitalisation Details'!$A:$L, 12, FALSE)</f>
        <v>tier - 3</v>
      </c>
      <c r="N2138" s="22" t="str">
        <f>VLOOKUP($A2138, 'Hospitalisation Details'!$A:$M, 13, FALSE)</f>
        <v>tier - 2</v>
      </c>
      <c r="O2138" s="22" t="str">
        <f>VLOOKUP($A2138, 'Hospitalisation Details'!$A:$N, 14, FALSE)</f>
        <v>R1019</v>
      </c>
      <c r="P2138" s="36">
        <f>VLOOKUP($A2138, 'Hospitalisation Details'!$A:$O, 15, FALSE)</f>
        <v>21</v>
      </c>
    </row>
    <row r="2139" ht="15.75" customHeight="1">
      <c r="A2139" s="33" t="s">
        <v>4277</v>
      </c>
      <c r="B2139" s="22" t="str">
        <f>VLOOKUP($A2139,'Customer Names'!$A:$D,3, FALSE)</f>
        <v>Padula</v>
      </c>
      <c r="C2139" s="22">
        <f>VLOOKUP($A2139,'Medical Examinations'!$A:$D, 2, FALSE)</f>
        <v>27.74</v>
      </c>
      <c r="D2139" s="22">
        <f>VLOOKUP($A2139, 'Medical Examinations'!$A:$D,3, FALSE)</f>
        <v>4.29</v>
      </c>
      <c r="E2139" s="22" t="str">
        <f>VLOOKUP($A2139, 'Medical Examinations'!$A:$D, 4, FALSE)</f>
        <v>No</v>
      </c>
      <c r="F2139" s="22" t="str">
        <f>VLOOKUP($A2139, 'Medical Examinations'!$A:$J, 5, FALSE)</f>
        <v>Yes</v>
      </c>
      <c r="G2139" s="22" t="str">
        <f>VLOOKUP($A2139, 'Medical Examinations'!$A:$I, 6, FALSE)</f>
        <v>No</v>
      </c>
      <c r="H2139" s="22">
        <f>VLOOKUP($A2139,'Medical Examinations'!$A:$L,10, FALSE)</f>
        <v>1</v>
      </c>
      <c r="I2139" s="22" t="str">
        <f>VLOOKUP($A2139, 'Medical Examinations'!$A:$J, 9, FALSE)</f>
        <v>No</v>
      </c>
      <c r="J2139" s="22" t="str">
        <f>VLOOKUP($A2139, 'Medical Examinations'!$A:$P, 11, FALSE)</f>
        <v>OVERWEIGHT</v>
      </c>
      <c r="K2139" s="34">
        <v>22224.0</v>
      </c>
      <c r="L2139" s="35">
        <f>VLOOKUP($A2139, 'Hospitalisation Details'!$A:$H, 7, FALSE)</f>
        <v>2094.1</v>
      </c>
      <c r="M2139" s="22" t="str">
        <f>VLOOKUP($A2139, 'Hospitalisation Details'!$A:$L, 12, FALSE)</f>
        <v>tier - 3</v>
      </c>
      <c r="N2139" s="22" t="str">
        <f>VLOOKUP($A2139, 'Hospitalisation Details'!$A:$M, 13, FALSE)</f>
        <v>tier - 2</v>
      </c>
      <c r="O2139" s="22" t="str">
        <f>VLOOKUP($A2139, 'Hospitalisation Details'!$A:$N, 14, FALSE)</f>
        <v>R1025</v>
      </c>
      <c r="P2139" s="36">
        <f>VLOOKUP($A2139, 'Hospitalisation Details'!$A:$O, 15, FALSE)</f>
        <v>18</v>
      </c>
    </row>
    <row r="2140" ht="15.75" customHeight="1">
      <c r="A2140" s="33" t="s">
        <v>4279</v>
      </c>
      <c r="B2140" s="22" t="str">
        <f>VLOOKUP($A2140,'Customer Names'!$A:$D,3, FALSE)</f>
        <v>Gamirov</v>
      </c>
      <c r="C2140" s="22">
        <f>VLOOKUP($A2140,'Medical Examinations'!$A:$D, 2, FALSE)</f>
        <v>32.11</v>
      </c>
      <c r="D2140" s="22">
        <f>VLOOKUP($A2140, 'Medical Examinations'!$A:$D,3, FALSE)</f>
        <v>4.03</v>
      </c>
      <c r="E2140" s="22" t="str">
        <f>VLOOKUP($A2140, 'Medical Examinations'!$A:$D, 4, FALSE)</f>
        <v>Yes</v>
      </c>
      <c r="F2140" s="22" t="str">
        <f>VLOOKUP($A2140, 'Medical Examinations'!$A:$J, 5, FALSE)</f>
        <v>Yes</v>
      </c>
      <c r="G2140" s="22" t="str">
        <f>VLOOKUP($A2140, 'Medical Examinations'!$A:$I, 6, FALSE)</f>
        <v>No</v>
      </c>
      <c r="H2140" s="22">
        <f>VLOOKUP($A2140,'Medical Examinations'!$A:$L,10, FALSE)</f>
        <v>2</v>
      </c>
      <c r="I2140" s="22" t="str">
        <f>VLOOKUP($A2140, 'Medical Examinations'!$A:$J, 9, FALSE)</f>
        <v>No</v>
      </c>
      <c r="J2140" s="22" t="str">
        <f>VLOOKUP($A2140, 'Medical Examinations'!$A:$P, 11, FALSE)</f>
        <v>OBESITY</v>
      </c>
      <c r="K2140" s="34">
        <v>22513.0</v>
      </c>
      <c r="L2140" s="35">
        <f>VLOOKUP($A2140, 'Hospitalisation Details'!$A:$H, 7, FALSE)</f>
        <v>2055.32</v>
      </c>
      <c r="M2140" s="22" t="str">
        <f>VLOOKUP($A2140, 'Hospitalisation Details'!$A:$L, 12, FALSE)</f>
        <v>tier - 3</v>
      </c>
      <c r="N2140" s="22" t="str">
        <f>VLOOKUP($A2140, 'Hospitalisation Details'!$A:$M, 13, FALSE)</f>
        <v>tier - 3</v>
      </c>
      <c r="O2140" s="22" t="str">
        <f>VLOOKUP($A2140, 'Hospitalisation Details'!$A:$N, 14, FALSE)</f>
        <v>R1012</v>
      </c>
      <c r="P2140" s="36">
        <f>VLOOKUP($A2140, 'Hospitalisation Details'!$A:$O, 15, FALSE)</f>
        <v>22</v>
      </c>
    </row>
    <row r="2141" ht="15.75" customHeight="1">
      <c r="A2141" s="33" t="s">
        <v>4281</v>
      </c>
      <c r="B2141" s="22" t="str">
        <f>VLOOKUP($A2141,'Customer Names'!$A:$D,3, FALSE)</f>
        <v>Briot</v>
      </c>
      <c r="C2141" s="22">
        <f>VLOOKUP($A2141,'Medical Examinations'!$A:$D, 2, FALSE)</f>
        <v>25.175</v>
      </c>
      <c r="D2141" s="22">
        <f>VLOOKUP($A2141, 'Medical Examinations'!$A:$D,3, FALSE)</f>
        <v>6.29</v>
      </c>
      <c r="E2141" s="22" t="str">
        <f>VLOOKUP($A2141, 'Medical Examinations'!$A:$D, 4, FALSE)</f>
        <v>Yes</v>
      </c>
      <c r="F2141" s="22" t="str">
        <f>VLOOKUP($A2141, 'Medical Examinations'!$A:$J, 5, FALSE)</f>
        <v>Yes</v>
      </c>
      <c r="G2141" s="22" t="str">
        <f>VLOOKUP($A2141, 'Medical Examinations'!$A:$I, 6, FALSE)</f>
        <v>No</v>
      </c>
      <c r="H2141" s="22">
        <f>VLOOKUP($A2141,'Medical Examinations'!$A:$L,10, FALSE)</f>
        <v>2</v>
      </c>
      <c r="I2141" s="22" t="str">
        <f>VLOOKUP($A2141, 'Medical Examinations'!$A:$J, 9, FALSE)</f>
        <v>No</v>
      </c>
      <c r="J2141" s="22" t="str">
        <f>VLOOKUP($A2141, 'Medical Examinations'!$A:$P, 11, FALSE)</f>
        <v>OVERWEIGHT</v>
      </c>
      <c r="K2141" s="34">
        <v>24463.0</v>
      </c>
      <c r="L2141" s="35">
        <f>VLOOKUP($A2141, 'Hospitalisation Details'!$A:$H, 7, FALSE)</f>
        <v>2045.69</v>
      </c>
      <c r="M2141" s="22" t="str">
        <f>VLOOKUP($A2141, 'Hospitalisation Details'!$A:$L, 12, FALSE)</f>
        <v>tier - 3</v>
      </c>
      <c r="N2141" s="22" t="str">
        <f>VLOOKUP($A2141, 'Hospitalisation Details'!$A:$M, 13, FALSE)</f>
        <v>tier - 3</v>
      </c>
      <c r="O2141" s="22" t="str">
        <f>VLOOKUP($A2141, 'Hospitalisation Details'!$A:$N, 14, FALSE)</f>
        <v>R1012</v>
      </c>
      <c r="P2141" s="36">
        <f>VLOOKUP($A2141, 'Hospitalisation Details'!$A:$O, 15, FALSE)</f>
        <v>22</v>
      </c>
    </row>
    <row r="2142" ht="15.75" customHeight="1">
      <c r="A2142" s="33" t="s">
        <v>4283</v>
      </c>
      <c r="B2142" s="22" t="str">
        <f>VLOOKUP($A2142,'Customer Names'!$A:$D,3, FALSE)</f>
        <v>D</v>
      </c>
      <c r="C2142" s="22">
        <f>VLOOKUP($A2142,'Medical Examinations'!$A:$D, 2, FALSE)</f>
        <v>39.49</v>
      </c>
      <c r="D2142" s="22">
        <f>VLOOKUP($A2142, 'Medical Examinations'!$A:$D,3, FALSE)</f>
        <v>4.48</v>
      </c>
      <c r="E2142" s="22" t="str">
        <f>VLOOKUP($A2142, 'Medical Examinations'!$A:$D, 4, FALSE)</f>
        <v>Yes</v>
      </c>
      <c r="F2142" s="22" t="str">
        <f>VLOOKUP($A2142, 'Medical Examinations'!$A:$J, 5, FALSE)</f>
        <v>No</v>
      </c>
      <c r="G2142" s="22" t="str">
        <f>VLOOKUP($A2142, 'Medical Examinations'!$A:$I, 6, FALSE)</f>
        <v>No</v>
      </c>
      <c r="H2142" s="22">
        <f>VLOOKUP($A2142,'Medical Examinations'!$A:$L,10, FALSE)</f>
        <v>0</v>
      </c>
      <c r="I2142" s="22" t="str">
        <f>VLOOKUP($A2142, 'Medical Examinations'!$A:$J, 9, FALSE)</f>
        <v>No</v>
      </c>
      <c r="J2142" s="22" t="str">
        <f>VLOOKUP($A2142, 'Medical Examinations'!$A:$P, 11, FALSE)</f>
        <v>OBESITY</v>
      </c>
      <c r="K2142" s="34">
        <v>23237.0</v>
      </c>
      <c r="L2142" s="35">
        <f>VLOOKUP($A2142, 'Hospitalisation Details'!$A:$H, 7, FALSE)</f>
        <v>2026.97</v>
      </c>
      <c r="M2142" s="22" t="str">
        <f>VLOOKUP($A2142, 'Hospitalisation Details'!$A:$L, 12, FALSE)</f>
        <v>tier - 3</v>
      </c>
      <c r="N2142" s="22" t="str">
        <f>VLOOKUP($A2142, 'Hospitalisation Details'!$A:$M, 13, FALSE)</f>
        <v>tier - 2</v>
      </c>
      <c r="O2142" s="22" t="str">
        <f>VLOOKUP($A2142, 'Hospitalisation Details'!$A:$N, 14, FALSE)</f>
        <v>R1013</v>
      </c>
      <c r="P2142" s="36">
        <f>VLOOKUP($A2142, 'Hospitalisation Details'!$A:$O, 15, FALSE)</f>
        <v>21</v>
      </c>
    </row>
    <row r="2143" ht="15.75" customHeight="1">
      <c r="A2143" s="33" t="s">
        <v>4285</v>
      </c>
      <c r="B2143" s="22" t="str">
        <f>VLOOKUP($A2143,'Customer Names'!$A:$D,3, FALSE)</f>
        <v>Putt</v>
      </c>
      <c r="C2143" s="22">
        <f>VLOOKUP($A2143,'Medical Examinations'!$A:$D, 2, FALSE)</f>
        <v>34.87</v>
      </c>
      <c r="D2143" s="22">
        <f>VLOOKUP($A2143, 'Medical Examinations'!$A:$D,3, FALSE)</f>
        <v>5.51</v>
      </c>
      <c r="E2143" s="22" t="str">
        <f>VLOOKUP($A2143, 'Medical Examinations'!$A:$D, 4, FALSE)</f>
        <v>Yes</v>
      </c>
      <c r="F2143" s="22" t="str">
        <f>VLOOKUP($A2143, 'Medical Examinations'!$A:$J, 5, FALSE)</f>
        <v>No</v>
      </c>
      <c r="G2143" s="22" t="str">
        <f>VLOOKUP($A2143, 'Medical Examinations'!$A:$I, 6, FALSE)</f>
        <v>No</v>
      </c>
      <c r="H2143" s="22">
        <f>VLOOKUP($A2143,'Medical Examinations'!$A:$L,10, FALSE)</f>
        <v>0</v>
      </c>
      <c r="I2143" s="22" t="str">
        <f>VLOOKUP($A2143, 'Medical Examinations'!$A:$J, 9, FALSE)</f>
        <v>No</v>
      </c>
      <c r="J2143" s="22" t="str">
        <f>VLOOKUP($A2143, 'Medical Examinations'!$A:$P, 11, FALSE)</f>
        <v>OBESITY</v>
      </c>
      <c r="K2143" s="34">
        <v>23255.0</v>
      </c>
      <c r="L2143" s="35">
        <f>VLOOKUP($A2143, 'Hospitalisation Details'!$A:$H, 7, FALSE)</f>
        <v>2020.55</v>
      </c>
      <c r="M2143" s="22" t="str">
        <f>VLOOKUP($A2143, 'Hospitalisation Details'!$A:$L, 12, FALSE)</f>
        <v>tier - 3</v>
      </c>
      <c r="N2143" s="22" t="str">
        <f>VLOOKUP($A2143, 'Hospitalisation Details'!$A:$M, 13, FALSE)</f>
        <v>tier - 2</v>
      </c>
      <c r="O2143" s="22" t="str">
        <f>VLOOKUP($A2143, 'Hospitalisation Details'!$A:$N, 14, FALSE)</f>
        <v>R1013</v>
      </c>
      <c r="P2143" s="36">
        <f>VLOOKUP($A2143, 'Hospitalisation Details'!$A:$O, 15, FALSE)</f>
        <v>21</v>
      </c>
    </row>
    <row r="2144" ht="15.75" customHeight="1">
      <c r="A2144" s="33" t="s">
        <v>4287</v>
      </c>
      <c r="B2144" s="22" t="str">
        <f>VLOOKUP($A2144,'Customer Names'!$A:$D,3, FALSE)</f>
        <v>Deiman</v>
      </c>
      <c r="C2144" s="22">
        <f>VLOOKUP($A2144,'Medical Examinations'!$A:$D, 2, FALSE)</f>
        <v>34.6</v>
      </c>
      <c r="D2144" s="22">
        <f>VLOOKUP($A2144, 'Medical Examinations'!$A:$D,3, FALSE)</f>
        <v>4.5</v>
      </c>
      <c r="E2144" s="22" t="str">
        <f>VLOOKUP($A2144, 'Medical Examinations'!$A:$D, 4, FALSE)</f>
        <v>Yes</v>
      </c>
      <c r="F2144" s="22" t="str">
        <f>VLOOKUP($A2144, 'Medical Examinations'!$A:$J, 5, FALSE)</f>
        <v>No</v>
      </c>
      <c r="G2144" s="22" t="str">
        <f>VLOOKUP($A2144, 'Medical Examinations'!$A:$I, 6, FALSE)</f>
        <v>No</v>
      </c>
      <c r="H2144" s="22">
        <f>VLOOKUP($A2144,'Medical Examinations'!$A:$L,10, FALSE)</f>
        <v>0</v>
      </c>
      <c r="I2144" s="22" t="str">
        <f>VLOOKUP($A2144, 'Medical Examinations'!$A:$J, 9, FALSE)</f>
        <v>No</v>
      </c>
      <c r="J2144" s="22" t="str">
        <f>VLOOKUP($A2144, 'Medical Examinations'!$A:$P, 11, FALSE)</f>
        <v>OBESITY</v>
      </c>
      <c r="K2144" s="34">
        <v>23239.0</v>
      </c>
      <c r="L2144" s="35">
        <f>VLOOKUP($A2144, 'Hospitalisation Details'!$A:$H, 7, FALSE)</f>
        <v>2020.18</v>
      </c>
      <c r="M2144" s="22" t="str">
        <f>VLOOKUP($A2144, 'Hospitalisation Details'!$A:$L, 12, FALSE)</f>
        <v>tier - 3</v>
      </c>
      <c r="N2144" s="22" t="str">
        <f>VLOOKUP($A2144, 'Hospitalisation Details'!$A:$M, 13, FALSE)</f>
        <v>tier - 1</v>
      </c>
      <c r="O2144" s="22" t="str">
        <f>VLOOKUP($A2144, 'Hospitalisation Details'!$A:$N, 14, FALSE)</f>
        <v>R1011</v>
      </c>
      <c r="P2144" s="36">
        <f>VLOOKUP($A2144, 'Hospitalisation Details'!$A:$O, 15, FALSE)</f>
        <v>21</v>
      </c>
    </row>
    <row r="2145" ht="15.75" customHeight="1">
      <c r="A2145" s="33" t="s">
        <v>4289</v>
      </c>
      <c r="B2145" s="22" t="str">
        <f>VLOOKUP($A2145,'Customer Names'!$A:$D,3, FALSE)</f>
        <v>Bonanni</v>
      </c>
      <c r="C2145" s="22">
        <f>VLOOKUP($A2145,'Medical Examinations'!$A:$D, 2, FALSE)</f>
        <v>25.8</v>
      </c>
      <c r="D2145" s="22">
        <f>VLOOKUP($A2145, 'Medical Examinations'!$A:$D,3, FALSE)</f>
        <v>6.29</v>
      </c>
      <c r="E2145" s="22" t="str">
        <f>VLOOKUP($A2145, 'Medical Examinations'!$A:$D, 4, FALSE)</f>
        <v>Yes</v>
      </c>
      <c r="F2145" s="22" t="str">
        <f>VLOOKUP($A2145, 'Medical Examinations'!$A:$J, 5, FALSE)</f>
        <v>No</v>
      </c>
      <c r="G2145" s="22" t="str">
        <f>VLOOKUP($A2145, 'Medical Examinations'!$A:$I, 6, FALSE)</f>
        <v>No</v>
      </c>
      <c r="H2145" s="22">
        <f>VLOOKUP($A2145,'Medical Examinations'!$A:$L,10, FALSE)</f>
        <v>0</v>
      </c>
      <c r="I2145" s="22" t="str">
        <f>VLOOKUP($A2145, 'Medical Examinations'!$A:$J, 9, FALSE)</f>
        <v>No</v>
      </c>
      <c r="J2145" s="22" t="str">
        <f>VLOOKUP($A2145, 'Medical Examinations'!$A:$P, 11, FALSE)</f>
        <v>OVERWEIGHT</v>
      </c>
      <c r="K2145" s="34">
        <v>38177.0</v>
      </c>
      <c r="L2145" s="35">
        <f>VLOOKUP($A2145, 'Hospitalisation Details'!$A:$H, 7, FALSE)</f>
        <v>2007.95</v>
      </c>
      <c r="M2145" s="22" t="str">
        <f>VLOOKUP($A2145, 'Hospitalisation Details'!$A:$L, 12, FALSE)</f>
        <v>tier - 3</v>
      </c>
      <c r="N2145" s="22" t="str">
        <f>VLOOKUP($A2145, 'Hospitalisation Details'!$A:$M, 13, FALSE)</f>
        <v>tier - 2</v>
      </c>
      <c r="O2145" s="22" t="str">
        <f>VLOOKUP($A2145, 'Hospitalisation Details'!$A:$N, 14, FALSE)</f>
        <v>R1011</v>
      </c>
      <c r="P2145" s="36">
        <f>VLOOKUP($A2145, 'Hospitalisation Details'!$A:$O, 15, FALSE)</f>
        <v>21</v>
      </c>
    </row>
    <row r="2146" ht="15.75" customHeight="1">
      <c r="A2146" s="33" t="s">
        <v>4291</v>
      </c>
      <c r="B2146" s="22" t="str">
        <f>VLOOKUP($A2146,'Customer Names'!$A:$D,3, FALSE)</f>
        <v>Stein</v>
      </c>
      <c r="C2146" s="22">
        <f>VLOOKUP($A2146,'Medical Examinations'!$A:$D, 2, FALSE)</f>
        <v>35.86</v>
      </c>
      <c r="D2146" s="22">
        <f>VLOOKUP($A2146, 'Medical Examinations'!$A:$D,3, FALSE)</f>
        <v>4.33</v>
      </c>
      <c r="E2146" s="22" t="str">
        <f>VLOOKUP($A2146, 'Medical Examinations'!$A:$D, 4, FALSE)</f>
        <v>No</v>
      </c>
      <c r="F2146" s="22" t="str">
        <f>VLOOKUP($A2146, 'Medical Examinations'!$A:$J, 5, FALSE)</f>
        <v>No</v>
      </c>
      <c r="G2146" s="22" t="str">
        <f>VLOOKUP($A2146, 'Medical Examinations'!$A:$I, 6, FALSE)</f>
        <v>No</v>
      </c>
      <c r="H2146" s="22">
        <f>VLOOKUP($A2146,'Medical Examinations'!$A:$L,10, FALSE)</f>
        <v>1</v>
      </c>
      <c r="I2146" s="22" t="str">
        <f>VLOOKUP($A2146, 'Medical Examinations'!$A:$J, 9, FALSE)</f>
        <v>No</v>
      </c>
      <c r="J2146" s="22" t="str">
        <f>VLOOKUP($A2146, 'Medical Examinations'!$A:$P, 11, FALSE)</f>
        <v>OBESITY</v>
      </c>
      <c r="K2146" s="34">
        <v>28364.0</v>
      </c>
      <c r="L2146" s="35">
        <f>VLOOKUP($A2146, 'Hospitalisation Details'!$A:$H, 7, FALSE)</f>
        <v>1986.93</v>
      </c>
      <c r="M2146" s="22" t="str">
        <f>VLOOKUP($A2146, 'Hospitalisation Details'!$A:$L, 12, FALSE)</f>
        <v>tier - 3</v>
      </c>
      <c r="N2146" s="22" t="str">
        <f>VLOOKUP($A2146, 'Hospitalisation Details'!$A:$M, 13, FALSE)</f>
        <v>tier - 2</v>
      </c>
      <c r="O2146" s="22" t="str">
        <f>VLOOKUP($A2146, 'Hospitalisation Details'!$A:$N, 14, FALSE)</f>
        <v>R1013</v>
      </c>
      <c r="P2146" s="36">
        <f>VLOOKUP($A2146, 'Hospitalisation Details'!$A:$O, 15, FALSE)</f>
        <v>24</v>
      </c>
    </row>
    <row r="2147" ht="15.75" customHeight="1">
      <c r="A2147" s="33" t="s">
        <v>4293</v>
      </c>
      <c r="B2147" s="22" t="str">
        <f>VLOOKUP($A2147,'Customer Names'!$A:$D,3, FALSE)</f>
        <v>Laumann</v>
      </c>
      <c r="C2147" s="22">
        <f>VLOOKUP($A2147,'Medical Examinations'!$A:$D, 2, FALSE)</f>
        <v>40.47</v>
      </c>
      <c r="D2147" s="22">
        <f>VLOOKUP($A2147, 'Medical Examinations'!$A:$D,3, FALSE)</f>
        <v>11.15</v>
      </c>
      <c r="E2147" s="22" t="str">
        <f>VLOOKUP($A2147, 'Medical Examinations'!$A:$D, 4, FALSE)</f>
        <v>No</v>
      </c>
      <c r="F2147" s="22" t="str">
        <f>VLOOKUP($A2147, 'Medical Examinations'!$A:$J, 5, FALSE)</f>
        <v>No</v>
      </c>
      <c r="G2147" s="22" t="str">
        <f>VLOOKUP($A2147, 'Medical Examinations'!$A:$I, 6, FALSE)</f>
        <v>No</v>
      </c>
      <c r="H2147" s="22">
        <f>VLOOKUP($A2147,'Medical Examinations'!$A:$L,10, FALSE)</f>
        <v>0</v>
      </c>
      <c r="I2147" s="22" t="str">
        <f>VLOOKUP($A2147, 'Medical Examinations'!$A:$J, 9, FALSE)</f>
        <v>No</v>
      </c>
      <c r="J2147" s="22" t="str">
        <f>VLOOKUP($A2147, 'Medical Examinations'!$A:$P, 11, FALSE)</f>
        <v>OBESITY</v>
      </c>
      <c r="K2147" s="34">
        <v>30900.0</v>
      </c>
      <c r="L2147" s="35">
        <f>VLOOKUP($A2147, 'Hospitalisation Details'!$A:$H, 7, FALSE)</f>
        <v>1984.45</v>
      </c>
      <c r="M2147" s="22" t="str">
        <f>VLOOKUP($A2147, 'Hospitalisation Details'!$A:$L, 12, FALSE)</f>
        <v>tier - 3</v>
      </c>
      <c r="N2147" s="22" t="str">
        <f>VLOOKUP($A2147, 'Hospitalisation Details'!$A:$M, 13, FALSE)</f>
        <v>tier - 3</v>
      </c>
      <c r="O2147" s="22" t="str">
        <f>VLOOKUP($A2147, 'Hospitalisation Details'!$A:$N, 14, FALSE)</f>
        <v>R1016</v>
      </c>
      <c r="P2147" s="36">
        <f>VLOOKUP($A2147, 'Hospitalisation Details'!$A:$O, 15, FALSE)</f>
        <v>20</v>
      </c>
    </row>
    <row r="2148" ht="15.75" customHeight="1">
      <c r="A2148" s="33" t="s">
        <v>4295</v>
      </c>
      <c r="B2148" s="22" t="str">
        <f>VLOOKUP($A2148,'Customer Names'!$A:$D,3, FALSE)</f>
        <v>Galaviz</v>
      </c>
      <c r="C2148" s="22">
        <f>VLOOKUP($A2148,'Medical Examinations'!$A:$D, 2, FALSE)</f>
        <v>32.01</v>
      </c>
      <c r="D2148" s="22">
        <f>VLOOKUP($A2148, 'Medical Examinations'!$A:$D,3, FALSE)</f>
        <v>6.45</v>
      </c>
      <c r="E2148" s="22" t="str">
        <f>VLOOKUP($A2148, 'Medical Examinations'!$A:$D, 4, FALSE)</f>
        <v>No</v>
      </c>
      <c r="F2148" s="22" t="str">
        <f>VLOOKUP($A2148, 'Medical Examinations'!$A:$J, 5, FALSE)</f>
        <v>No</v>
      </c>
      <c r="G2148" s="22" t="str">
        <f>VLOOKUP($A2148, 'Medical Examinations'!$A:$I, 6, FALSE)</f>
        <v>No</v>
      </c>
      <c r="H2148" s="22">
        <f>VLOOKUP($A2148,'Medical Examinations'!$A:$L,10, FALSE)</f>
        <v>1</v>
      </c>
      <c r="I2148" s="22" t="str">
        <f>VLOOKUP($A2148, 'Medical Examinations'!$A:$J, 9, FALSE)</f>
        <v>No</v>
      </c>
      <c r="J2148" s="22" t="str">
        <f>VLOOKUP($A2148, 'Medical Examinations'!$A:$P, 11, FALSE)</f>
        <v>OBESITY</v>
      </c>
      <c r="K2148" s="34">
        <v>23281.0</v>
      </c>
      <c r="L2148" s="35">
        <f>VLOOKUP($A2148, 'Hospitalisation Details'!$A:$H, 7, FALSE)</f>
        <v>1981.58</v>
      </c>
      <c r="M2148" s="22" t="str">
        <f>VLOOKUP($A2148, 'Hospitalisation Details'!$A:$L, 12, FALSE)</f>
        <v>tier - 3</v>
      </c>
      <c r="N2148" s="22" t="str">
        <f>VLOOKUP($A2148, 'Hospitalisation Details'!$A:$M, 13, FALSE)</f>
        <v>tier - 1</v>
      </c>
      <c r="O2148" s="22" t="str">
        <f>VLOOKUP($A2148, 'Hospitalisation Details'!$A:$N, 14, FALSE)</f>
        <v>R1013</v>
      </c>
      <c r="P2148" s="36">
        <f>VLOOKUP($A2148, 'Hospitalisation Details'!$A:$O, 15, FALSE)</f>
        <v>24</v>
      </c>
    </row>
    <row r="2149" ht="15.75" customHeight="1">
      <c r="A2149" s="33" t="s">
        <v>4297</v>
      </c>
      <c r="B2149" s="22" t="str">
        <f>VLOOKUP($A2149,'Customer Names'!$A:$D,3, FALSE)</f>
        <v>Piper</v>
      </c>
      <c r="C2149" s="22">
        <f>VLOOKUP($A2149,'Medical Examinations'!$A:$D, 2, FALSE)</f>
        <v>33</v>
      </c>
      <c r="D2149" s="22">
        <f>VLOOKUP($A2149, 'Medical Examinations'!$A:$D,3, FALSE)</f>
        <v>9.27</v>
      </c>
      <c r="E2149" s="22" t="str">
        <f>VLOOKUP($A2149, 'Medical Examinations'!$A:$D, 4, FALSE)</f>
        <v>No</v>
      </c>
      <c r="F2149" s="22" t="str">
        <f>VLOOKUP($A2149, 'Medical Examinations'!$A:$J, 5, FALSE)</f>
        <v>No</v>
      </c>
      <c r="G2149" s="22" t="str">
        <f>VLOOKUP($A2149, 'Medical Examinations'!$A:$I, 6, FALSE)</f>
        <v>No</v>
      </c>
      <c r="H2149" s="22">
        <f>VLOOKUP($A2149,'Medical Examinations'!$A:$L,10, FALSE)</f>
        <v>0</v>
      </c>
      <c r="I2149" s="22" t="str">
        <f>VLOOKUP($A2149, 'Medical Examinations'!$A:$J, 9, FALSE)</f>
        <v>No</v>
      </c>
      <c r="J2149" s="22" t="str">
        <f>VLOOKUP($A2149, 'Medical Examinations'!$A:$P, 11, FALSE)</f>
        <v>OBESITY</v>
      </c>
      <c r="K2149" s="34">
        <v>26929.0</v>
      </c>
      <c r="L2149" s="35">
        <f>VLOOKUP($A2149, 'Hospitalisation Details'!$A:$H, 7, FALSE)</f>
        <v>1980.07</v>
      </c>
      <c r="M2149" s="22" t="str">
        <f>VLOOKUP($A2149, 'Hospitalisation Details'!$A:$L, 12, FALSE)</f>
        <v>tier - 3</v>
      </c>
      <c r="N2149" s="22" t="str">
        <f>VLOOKUP($A2149, 'Hospitalisation Details'!$A:$M, 13, FALSE)</f>
        <v>tier - 3</v>
      </c>
      <c r="O2149" s="22" t="str">
        <f>VLOOKUP($A2149, 'Hospitalisation Details'!$A:$N, 14, FALSE)</f>
        <v>R1011</v>
      </c>
      <c r="P2149" s="36">
        <f>VLOOKUP($A2149, 'Hospitalisation Details'!$A:$O, 15, FALSE)</f>
        <v>20</v>
      </c>
    </row>
    <row r="2150" ht="15.75" customHeight="1">
      <c r="A2150" s="33" t="s">
        <v>4299</v>
      </c>
      <c r="B2150" s="22" t="str">
        <f>VLOOKUP($A2150,'Customer Names'!$A:$D,3, FALSE)</f>
        <v>Cantini</v>
      </c>
      <c r="C2150" s="22">
        <f>VLOOKUP($A2150,'Medical Examinations'!$A:$D, 2, FALSE)</f>
        <v>29.3</v>
      </c>
      <c r="D2150" s="22">
        <f>VLOOKUP($A2150, 'Medical Examinations'!$A:$D,3, FALSE)</f>
        <v>6.15</v>
      </c>
      <c r="E2150" s="22" t="str">
        <f>VLOOKUP($A2150, 'Medical Examinations'!$A:$D, 4, FALSE)</f>
        <v>No</v>
      </c>
      <c r="F2150" s="22" t="str">
        <f>VLOOKUP($A2150, 'Medical Examinations'!$A:$J, 5, FALSE)</f>
        <v>No</v>
      </c>
      <c r="G2150" s="22" t="str">
        <f>VLOOKUP($A2150, 'Medical Examinations'!$A:$I, 6, FALSE)</f>
        <v>No</v>
      </c>
      <c r="H2150" s="22">
        <f>VLOOKUP($A2150,'Medical Examinations'!$A:$L,10, FALSE)</f>
        <v>1</v>
      </c>
      <c r="I2150" s="22" t="str">
        <f>VLOOKUP($A2150, 'Medical Examinations'!$A:$J, 9, FALSE)</f>
        <v>No</v>
      </c>
      <c r="J2150" s="22" t="str">
        <f>VLOOKUP($A2150, 'Medical Examinations'!$A:$P, 11, FALSE)</f>
        <v>OVERWEIGHT</v>
      </c>
      <c r="K2150" s="34">
        <v>34239.0</v>
      </c>
      <c r="L2150" s="35">
        <f>VLOOKUP($A2150, 'Hospitalisation Details'!$A:$H, 7, FALSE)</f>
        <v>1977.82</v>
      </c>
      <c r="M2150" s="22" t="str">
        <f>VLOOKUP($A2150, 'Hospitalisation Details'!$A:$L, 12, FALSE)</f>
        <v>tier - 3</v>
      </c>
      <c r="N2150" s="22" t="str">
        <f>VLOOKUP($A2150, 'Hospitalisation Details'!$A:$M, 13, FALSE)</f>
        <v>tier - 1</v>
      </c>
      <c r="O2150" s="22" t="str">
        <f>VLOOKUP($A2150, 'Hospitalisation Details'!$A:$N, 14, FALSE)</f>
        <v>R1011</v>
      </c>
      <c r="P2150" s="36">
        <f>VLOOKUP($A2150, 'Hospitalisation Details'!$A:$O, 15, FALSE)</f>
        <v>24</v>
      </c>
    </row>
    <row r="2151" ht="15.75" customHeight="1">
      <c r="A2151" s="33" t="s">
        <v>4301</v>
      </c>
      <c r="B2151" s="22" t="str">
        <f>VLOOKUP($A2151,'Customer Names'!$A:$D,3, FALSE)</f>
        <v>Hartman</v>
      </c>
      <c r="C2151" s="22">
        <f>VLOOKUP($A2151,'Medical Examinations'!$A:$D, 2, FALSE)</f>
        <v>25.8</v>
      </c>
      <c r="D2151" s="22">
        <f>VLOOKUP($A2151, 'Medical Examinations'!$A:$D,3, FALSE)</f>
        <v>4.13</v>
      </c>
      <c r="E2151" s="22" t="str">
        <f>VLOOKUP($A2151, 'Medical Examinations'!$A:$D, 4, FALSE)</f>
        <v>No</v>
      </c>
      <c r="F2151" s="22" t="str">
        <f>VLOOKUP($A2151, 'Medical Examinations'!$A:$J, 5, FALSE)</f>
        <v>No</v>
      </c>
      <c r="G2151" s="22" t="str">
        <f>VLOOKUP($A2151, 'Medical Examinations'!$A:$I, 6, FALSE)</f>
        <v>No</v>
      </c>
      <c r="H2151" s="22">
        <f>VLOOKUP($A2151,'Medical Examinations'!$A:$L,10, FALSE)</f>
        <v>1</v>
      </c>
      <c r="I2151" s="22" t="str">
        <f>VLOOKUP($A2151, 'Medical Examinations'!$A:$J, 9, FALSE)</f>
        <v>No</v>
      </c>
      <c r="J2151" s="22" t="str">
        <f>VLOOKUP($A2151, 'Medical Examinations'!$A:$P, 11, FALSE)</f>
        <v>OVERWEIGHT</v>
      </c>
      <c r="K2151" s="34">
        <v>38300.0</v>
      </c>
      <c r="L2151" s="35">
        <f>VLOOKUP($A2151, 'Hospitalisation Details'!$A:$H, 7, FALSE)</f>
        <v>1972.95</v>
      </c>
      <c r="M2151" s="22" t="str">
        <f>VLOOKUP($A2151, 'Hospitalisation Details'!$A:$L, 12, FALSE)</f>
        <v>tier - 3</v>
      </c>
      <c r="N2151" s="22" t="str">
        <f>VLOOKUP($A2151, 'Hospitalisation Details'!$A:$M, 13, FALSE)</f>
        <v>tier - 1</v>
      </c>
      <c r="O2151" s="22" t="str">
        <f>VLOOKUP($A2151, 'Hospitalisation Details'!$A:$N, 14, FALSE)</f>
        <v>R1011</v>
      </c>
      <c r="P2151" s="36">
        <f>VLOOKUP($A2151, 'Hospitalisation Details'!$A:$O, 15, FALSE)</f>
        <v>24</v>
      </c>
    </row>
    <row r="2152" ht="15.75" customHeight="1">
      <c r="A2152" s="33" t="s">
        <v>4303</v>
      </c>
      <c r="B2152" s="22" t="str">
        <f>VLOOKUP($A2152,'Customer Names'!$A:$D,3, FALSE)</f>
        <v>Werhane</v>
      </c>
      <c r="C2152" s="22">
        <f>VLOOKUP($A2152,'Medical Examinations'!$A:$D, 2, FALSE)</f>
        <v>23.4</v>
      </c>
      <c r="D2152" s="22">
        <f>VLOOKUP($A2152, 'Medical Examinations'!$A:$D,3, FALSE)</f>
        <v>4.24</v>
      </c>
      <c r="E2152" s="22" t="str">
        <f>VLOOKUP($A2152, 'Medical Examinations'!$A:$D, 4, FALSE)</f>
        <v>No</v>
      </c>
      <c r="F2152" s="22" t="str">
        <f>VLOOKUP($A2152, 'Medical Examinations'!$A:$J, 5, FALSE)</f>
        <v>No</v>
      </c>
      <c r="G2152" s="22" t="str">
        <f>VLOOKUP($A2152, 'Medical Examinations'!$A:$I, 6, FALSE)</f>
        <v>No</v>
      </c>
      <c r="H2152" s="22">
        <f>VLOOKUP($A2152,'Medical Examinations'!$A:$L,10, FALSE)</f>
        <v>1</v>
      </c>
      <c r="I2152" s="22" t="str">
        <f>VLOOKUP($A2152, 'Medical Examinations'!$A:$J, 9, FALSE)</f>
        <v>No</v>
      </c>
      <c r="J2152" s="22" t="str">
        <f>VLOOKUP($A2152, 'Medical Examinations'!$A:$P, 11, FALSE)</f>
        <v>NORMAL WEIGHT</v>
      </c>
      <c r="K2152" s="34">
        <v>24740.0</v>
      </c>
      <c r="L2152" s="35">
        <f>VLOOKUP($A2152, 'Hospitalisation Details'!$A:$H, 7, FALSE)</f>
        <v>1969.61</v>
      </c>
      <c r="M2152" s="22" t="str">
        <f>VLOOKUP($A2152, 'Hospitalisation Details'!$A:$L, 12, FALSE)</f>
        <v>tier - 3</v>
      </c>
      <c r="N2152" s="22" t="str">
        <f>VLOOKUP($A2152, 'Hospitalisation Details'!$A:$M, 13, FALSE)</f>
        <v>tier - 3</v>
      </c>
      <c r="O2152" s="22" t="str">
        <f>VLOOKUP($A2152, 'Hospitalisation Details'!$A:$N, 14, FALSE)</f>
        <v>R1011</v>
      </c>
      <c r="P2152" s="36">
        <f>VLOOKUP($A2152, 'Hospitalisation Details'!$A:$O, 15, FALSE)</f>
        <v>24</v>
      </c>
    </row>
    <row r="2153" ht="15.75" customHeight="1">
      <c r="A2153" s="33" t="s">
        <v>4305</v>
      </c>
      <c r="B2153" s="22" t="str">
        <f>VLOOKUP($A2153,'Customer Names'!$A:$D,3, FALSE)</f>
        <v>Davies</v>
      </c>
      <c r="C2153" s="22">
        <f>VLOOKUP($A2153,'Medical Examinations'!$A:$D, 2, FALSE)</f>
        <v>27.93</v>
      </c>
      <c r="D2153" s="22">
        <f>VLOOKUP($A2153, 'Medical Examinations'!$A:$D,3, FALSE)</f>
        <v>9.88</v>
      </c>
      <c r="E2153" s="22" t="str">
        <f>VLOOKUP($A2153, 'Medical Examinations'!$A:$D, 4, FALSE)</f>
        <v>No</v>
      </c>
      <c r="F2153" s="22" t="str">
        <f>VLOOKUP($A2153, 'Medical Examinations'!$A:$J, 5, FALSE)</f>
        <v>No</v>
      </c>
      <c r="G2153" s="22" t="str">
        <f>VLOOKUP($A2153, 'Medical Examinations'!$A:$I, 6, FALSE)</f>
        <v>No</v>
      </c>
      <c r="H2153" s="22">
        <f>VLOOKUP($A2153,'Medical Examinations'!$A:$L,10, FALSE)</f>
        <v>0</v>
      </c>
      <c r="I2153" s="22" t="str">
        <f>VLOOKUP($A2153, 'Medical Examinations'!$A:$J, 9, FALSE)</f>
        <v>No</v>
      </c>
      <c r="J2153" s="22" t="str">
        <f>VLOOKUP($A2153, 'Medical Examinations'!$A:$P, 11, FALSE)</f>
        <v>OVERWEIGHT</v>
      </c>
      <c r="K2153" s="34">
        <v>23212.0</v>
      </c>
      <c r="L2153" s="35">
        <f>VLOOKUP($A2153, 'Hospitalisation Details'!$A:$H, 7, FALSE)</f>
        <v>1967.02</v>
      </c>
      <c r="M2153" s="22" t="str">
        <f>VLOOKUP($A2153, 'Hospitalisation Details'!$A:$L, 12, FALSE)</f>
        <v>tier - 3</v>
      </c>
      <c r="N2153" s="22" t="str">
        <f>VLOOKUP($A2153, 'Hospitalisation Details'!$A:$M, 13, FALSE)</f>
        <v>tier - 2</v>
      </c>
      <c r="O2153" s="22" t="str">
        <f>VLOOKUP($A2153, 'Hospitalisation Details'!$A:$N, 14, FALSE)</f>
        <v>R1016</v>
      </c>
      <c r="P2153" s="36">
        <f>VLOOKUP($A2153, 'Hospitalisation Details'!$A:$O, 15, FALSE)</f>
        <v>20</v>
      </c>
    </row>
    <row r="2154" ht="15.75" customHeight="1">
      <c r="A2154" s="33" t="s">
        <v>4307</v>
      </c>
      <c r="B2154" s="22" t="str">
        <f>VLOOKUP($A2154,'Customer Names'!$A:$D,3, FALSE)</f>
        <v>Hummel</v>
      </c>
      <c r="C2154" s="22">
        <f>VLOOKUP($A2154,'Medical Examinations'!$A:$D, 2, FALSE)</f>
        <v>22</v>
      </c>
      <c r="D2154" s="22">
        <f>VLOOKUP($A2154, 'Medical Examinations'!$A:$D,3, FALSE)</f>
        <v>9.5</v>
      </c>
      <c r="E2154" s="22" t="str">
        <f>VLOOKUP($A2154, 'Medical Examinations'!$A:$D, 4, FALSE)</f>
        <v>No</v>
      </c>
      <c r="F2154" s="22" t="str">
        <f>VLOOKUP($A2154, 'Medical Examinations'!$A:$J, 5, FALSE)</f>
        <v>No</v>
      </c>
      <c r="G2154" s="22" t="str">
        <f>VLOOKUP($A2154, 'Medical Examinations'!$A:$I, 6, FALSE)</f>
        <v>No</v>
      </c>
      <c r="H2154" s="22">
        <f>VLOOKUP($A2154,'Medical Examinations'!$A:$L,10, FALSE)</f>
        <v>0</v>
      </c>
      <c r="I2154" s="22" t="str">
        <f>VLOOKUP($A2154, 'Medical Examinations'!$A:$J, 9, FALSE)</f>
        <v>No</v>
      </c>
      <c r="J2154" s="22" t="str">
        <f>VLOOKUP($A2154, 'Medical Examinations'!$A:$P, 11, FALSE)</f>
        <v>NORMAL WEIGHT</v>
      </c>
      <c r="K2154" s="34">
        <v>28695.0</v>
      </c>
      <c r="L2154" s="35">
        <f>VLOOKUP($A2154, 'Hospitalisation Details'!$A:$H, 7, FALSE)</f>
        <v>1964.78</v>
      </c>
      <c r="M2154" s="22" t="str">
        <f>VLOOKUP($A2154, 'Hospitalisation Details'!$A:$L, 12, FALSE)</f>
        <v>tier - 3</v>
      </c>
      <c r="N2154" s="22" t="str">
        <f>VLOOKUP($A2154, 'Hospitalisation Details'!$A:$M, 13, FALSE)</f>
        <v>tier - 1</v>
      </c>
      <c r="O2154" s="22" t="str">
        <f>VLOOKUP($A2154, 'Hospitalisation Details'!$A:$N, 14, FALSE)</f>
        <v>R1011</v>
      </c>
      <c r="P2154" s="36">
        <f>VLOOKUP($A2154, 'Hospitalisation Details'!$A:$O, 15, FALSE)</f>
        <v>20</v>
      </c>
    </row>
    <row r="2155" ht="15.75" customHeight="1">
      <c r="A2155" s="33" t="s">
        <v>4309</v>
      </c>
      <c r="B2155" s="22" t="str">
        <f>VLOOKUP($A2155,'Customer Names'!$A:$D,3, FALSE)</f>
        <v>Lutz</v>
      </c>
      <c r="C2155" s="22">
        <f>VLOOKUP($A2155,'Medical Examinations'!$A:$D, 2, FALSE)</f>
        <v>36.86</v>
      </c>
      <c r="D2155" s="22">
        <f>VLOOKUP($A2155, 'Medical Examinations'!$A:$D,3, FALSE)</f>
        <v>4.97</v>
      </c>
      <c r="E2155" s="22" t="str">
        <f>VLOOKUP($A2155, 'Medical Examinations'!$A:$D, 4, FALSE)</f>
        <v>Yes</v>
      </c>
      <c r="F2155" s="22" t="str">
        <f>VLOOKUP($A2155, 'Medical Examinations'!$A:$J, 5, FALSE)</f>
        <v>No</v>
      </c>
      <c r="G2155" s="22" t="str">
        <f>VLOOKUP($A2155, 'Medical Examinations'!$A:$I, 6, FALSE)</f>
        <v>No</v>
      </c>
      <c r="H2155" s="22">
        <f>VLOOKUP($A2155,'Medical Examinations'!$A:$L,10, FALSE)</f>
        <v>0</v>
      </c>
      <c r="I2155" s="22" t="str">
        <f>VLOOKUP($A2155, 'Medical Examinations'!$A:$J, 9, FALSE)</f>
        <v>No</v>
      </c>
      <c r="J2155" s="22" t="str">
        <f>VLOOKUP($A2155, 'Medical Examinations'!$A:$P, 11, FALSE)</f>
        <v>OBESITY</v>
      </c>
      <c r="K2155" s="34">
        <v>30618.0</v>
      </c>
      <c r="L2155" s="35">
        <f>VLOOKUP($A2155, 'Hospitalisation Details'!$A:$H, 7, FALSE)</f>
        <v>1917.32</v>
      </c>
      <c r="M2155" s="22" t="str">
        <f>VLOOKUP($A2155, 'Hospitalisation Details'!$A:$L, 12, FALSE)</f>
        <v>tier - 3</v>
      </c>
      <c r="N2155" s="22" t="str">
        <f>VLOOKUP($A2155, 'Hospitalisation Details'!$A:$M, 13, FALSE)</f>
        <v>tier - 2</v>
      </c>
      <c r="O2155" s="22" t="str">
        <f>VLOOKUP($A2155, 'Hospitalisation Details'!$A:$N, 14, FALSE)</f>
        <v>R1012</v>
      </c>
      <c r="P2155" s="36">
        <f>VLOOKUP($A2155, 'Hospitalisation Details'!$A:$O, 15, FALSE)</f>
        <v>21</v>
      </c>
    </row>
    <row r="2156" ht="15.75" customHeight="1">
      <c r="A2156" s="33" t="s">
        <v>4311</v>
      </c>
      <c r="B2156" s="22" t="str">
        <f>VLOOKUP($A2156,'Customer Names'!$A:$D,3, FALSE)</f>
        <v>Waters</v>
      </c>
      <c r="C2156" s="22">
        <f>VLOOKUP($A2156,'Medical Examinations'!$A:$D, 2, FALSE)</f>
        <v>31.255</v>
      </c>
      <c r="D2156" s="22">
        <f>VLOOKUP($A2156, 'Medical Examinations'!$A:$D,3, FALSE)</f>
        <v>5.49</v>
      </c>
      <c r="E2156" s="22" t="str">
        <f>VLOOKUP($A2156, 'Medical Examinations'!$A:$D, 4, FALSE)</f>
        <v>Yes</v>
      </c>
      <c r="F2156" s="22" t="str">
        <f>VLOOKUP($A2156, 'Medical Examinations'!$A:$J, 5, FALSE)</f>
        <v>No</v>
      </c>
      <c r="G2156" s="22" t="str">
        <f>VLOOKUP($A2156, 'Medical Examinations'!$A:$I, 6, FALSE)</f>
        <v>No</v>
      </c>
      <c r="H2156" s="22">
        <f>VLOOKUP($A2156,'Medical Examinations'!$A:$L,10, FALSE)</f>
        <v>0</v>
      </c>
      <c r="I2156" s="22" t="str">
        <f>VLOOKUP($A2156, 'Medical Examinations'!$A:$J, 9, FALSE)</f>
        <v>No</v>
      </c>
      <c r="J2156" s="22" t="str">
        <f>VLOOKUP($A2156, 'Medical Examinations'!$A:$P, 11, FALSE)</f>
        <v>OBESITY</v>
      </c>
      <c r="K2156" s="34">
        <v>23350.0</v>
      </c>
      <c r="L2156" s="35">
        <f>VLOOKUP($A2156, 'Hospitalisation Details'!$A:$H, 7, FALSE)</f>
        <v>1909.53</v>
      </c>
      <c r="M2156" s="22" t="str">
        <f>VLOOKUP($A2156, 'Hospitalisation Details'!$A:$L, 12, FALSE)</f>
        <v>tier - 3</v>
      </c>
      <c r="N2156" s="22" t="str">
        <f>VLOOKUP($A2156, 'Hospitalisation Details'!$A:$M, 13, FALSE)</f>
        <v>tier - 3</v>
      </c>
      <c r="O2156" s="22" t="str">
        <f>VLOOKUP($A2156, 'Hospitalisation Details'!$A:$N, 14, FALSE)</f>
        <v>R1012</v>
      </c>
      <c r="P2156" s="36">
        <f>VLOOKUP($A2156, 'Hospitalisation Details'!$A:$O, 15, FALSE)</f>
        <v>21</v>
      </c>
    </row>
    <row r="2157" ht="15.75" customHeight="1">
      <c r="A2157" s="33" t="s">
        <v>4313</v>
      </c>
      <c r="B2157" s="22" t="str">
        <f>VLOOKUP($A2157,'Customer Names'!$A:$D,3, FALSE)</f>
        <v>Viglienzoni</v>
      </c>
      <c r="C2157" s="22">
        <f>VLOOKUP($A2157,'Medical Examinations'!$A:$D, 2, FALSE)</f>
        <v>23.06</v>
      </c>
      <c r="D2157" s="22">
        <f>VLOOKUP($A2157, 'Medical Examinations'!$A:$D,3, FALSE)</f>
        <v>4.47</v>
      </c>
      <c r="E2157" s="22" t="str">
        <f>VLOOKUP($A2157, 'Medical Examinations'!$A:$D, 4, FALSE)</f>
        <v>No</v>
      </c>
      <c r="F2157" s="22" t="str">
        <f>VLOOKUP($A2157, 'Medical Examinations'!$A:$J, 5, FALSE)</f>
        <v>No</v>
      </c>
      <c r="G2157" s="22" t="str">
        <f>VLOOKUP($A2157, 'Medical Examinations'!$A:$I, 6, FALSE)</f>
        <v>No</v>
      </c>
      <c r="H2157" s="22">
        <f>VLOOKUP($A2157,'Medical Examinations'!$A:$L,10, FALSE)</f>
        <v>0</v>
      </c>
      <c r="I2157" s="22" t="str">
        <f>VLOOKUP($A2157, 'Medical Examinations'!$A:$J, 9, FALSE)</f>
        <v>No</v>
      </c>
      <c r="J2157" s="22" t="str">
        <f>VLOOKUP($A2157, 'Medical Examinations'!$A:$P, 11, FALSE)</f>
        <v>NORMAL WEIGHT</v>
      </c>
      <c r="K2157" s="34">
        <v>23534.0</v>
      </c>
      <c r="L2157" s="35">
        <f>VLOOKUP($A2157, 'Hospitalisation Details'!$A:$H, 7, FALSE)</f>
        <v>1908.9</v>
      </c>
      <c r="M2157" s="22" t="str">
        <f>VLOOKUP($A2157, 'Hospitalisation Details'!$A:$L, 12, FALSE)</f>
        <v>tier - 3</v>
      </c>
      <c r="N2157" s="22" t="str">
        <f>VLOOKUP($A2157, 'Hospitalisation Details'!$A:$M, 13, FALSE)</f>
        <v>tier - 3</v>
      </c>
      <c r="O2157" s="22" t="str">
        <f>VLOOKUP($A2157, 'Hospitalisation Details'!$A:$N, 14, FALSE)</f>
        <v>R1013</v>
      </c>
      <c r="P2157" s="36">
        <f>VLOOKUP($A2157, 'Hospitalisation Details'!$A:$O, 15, FALSE)</f>
        <v>28</v>
      </c>
    </row>
    <row r="2158" ht="15.75" customHeight="1">
      <c r="A2158" s="33" t="s">
        <v>4315</v>
      </c>
      <c r="B2158" s="22" t="str">
        <f>VLOOKUP($A2158,'Customer Names'!$A:$D,3, FALSE)</f>
        <v>Rathbun</v>
      </c>
      <c r="C2158" s="22">
        <f>VLOOKUP($A2158,'Medical Examinations'!$A:$D, 2, FALSE)</f>
        <v>28.975</v>
      </c>
      <c r="D2158" s="22">
        <f>VLOOKUP($A2158, 'Medical Examinations'!$A:$D,3, FALSE)</f>
        <v>4.34</v>
      </c>
      <c r="E2158" s="22" t="str">
        <f>VLOOKUP($A2158, 'Medical Examinations'!$A:$D, 4, FALSE)</f>
        <v>Yes</v>
      </c>
      <c r="F2158" s="22" t="str">
        <f>VLOOKUP($A2158, 'Medical Examinations'!$A:$J, 5, FALSE)</f>
        <v>No</v>
      </c>
      <c r="G2158" s="22" t="str">
        <f>VLOOKUP($A2158, 'Medical Examinations'!$A:$I, 6, FALSE)</f>
        <v>No</v>
      </c>
      <c r="H2158" s="22">
        <f>VLOOKUP($A2158,'Medical Examinations'!$A:$L,10, FALSE)</f>
        <v>0</v>
      </c>
      <c r="I2158" s="22" t="str">
        <f>VLOOKUP($A2158, 'Medical Examinations'!$A:$J, 9, FALSE)</f>
        <v>No</v>
      </c>
      <c r="J2158" s="22" t="str">
        <f>VLOOKUP($A2158, 'Medical Examinations'!$A:$P, 11, FALSE)</f>
        <v>OVERWEIGHT</v>
      </c>
      <c r="K2158" s="34">
        <v>26579.0</v>
      </c>
      <c r="L2158" s="35">
        <f>VLOOKUP($A2158, 'Hospitalisation Details'!$A:$H, 7, FALSE)</f>
        <v>1906.36</v>
      </c>
      <c r="M2158" s="22" t="str">
        <f>VLOOKUP($A2158, 'Hospitalisation Details'!$A:$L, 12, FALSE)</f>
        <v>tier - 3</v>
      </c>
      <c r="N2158" s="22" t="str">
        <f>VLOOKUP($A2158, 'Hospitalisation Details'!$A:$M, 13, FALSE)</f>
        <v>tier - 1</v>
      </c>
      <c r="O2158" s="22" t="str">
        <f>VLOOKUP($A2158, 'Hospitalisation Details'!$A:$N, 14, FALSE)</f>
        <v>R1012</v>
      </c>
      <c r="P2158" s="36">
        <f>VLOOKUP($A2158, 'Hospitalisation Details'!$A:$O, 15, FALSE)</f>
        <v>21</v>
      </c>
    </row>
    <row r="2159" ht="15.75" customHeight="1">
      <c r="A2159" s="33" t="s">
        <v>4317</v>
      </c>
      <c r="B2159" s="22" t="str">
        <f>VLOOKUP($A2159,'Customer Names'!$A:$D,3, FALSE)</f>
        <v>crane</v>
      </c>
      <c r="C2159" s="22">
        <f>VLOOKUP($A2159,'Medical Examinations'!$A:$D, 2, FALSE)</f>
        <v>33.3</v>
      </c>
      <c r="D2159" s="22">
        <f>VLOOKUP($A2159, 'Medical Examinations'!$A:$D,3, FALSE)</f>
        <v>9.49</v>
      </c>
      <c r="E2159" s="22" t="str">
        <f>VLOOKUP($A2159, 'Medical Examinations'!$A:$D, 4, FALSE)</f>
        <v>No</v>
      </c>
      <c r="F2159" s="22" t="str">
        <f>VLOOKUP($A2159, 'Medical Examinations'!$A:$J, 5, FALSE)</f>
        <v>No</v>
      </c>
      <c r="G2159" s="22" t="str">
        <f>VLOOKUP($A2159, 'Medical Examinations'!$A:$I, 6, FALSE)</f>
        <v>No</v>
      </c>
      <c r="H2159" s="22">
        <f>VLOOKUP($A2159,'Medical Examinations'!$A:$L,10, FALSE)</f>
        <v>0</v>
      </c>
      <c r="I2159" s="22" t="str">
        <f>VLOOKUP($A2159, 'Medical Examinations'!$A:$J, 9, FALSE)</f>
        <v>No</v>
      </c>
      <c r="J2159" s="22" t="str">
        <f>VLOOKUP($A2159, 'Medical Examinations'!$A:$P, 11, FALSE)</f>
        <v>OBESITY</v>
      </c>
      <c r="K2159" s="34">
        <v>27662.0</v>
      </c>
      <c r="L2159" s="35">
        <f>VLOOKUP($A2159, 'Hospitalisation Details'!$A:$H, 7, FALSE)</f>
        <v>1880.49</v>
      </c>
      <c r="M2159" s="22" t="str">
        <f>VLOOKUP($A2159, 'Hospitalisation Details'!$A:$L, 12, FALSE)</f>
        <v>tier - 3</v>
      </c>
      <c r="N2159" s="22" t="str">
        <f>VLOOKUP($A2159, 'Hospitalisation Details'!$A:$M, 13, FALSE)</f>
        <v>tier - 1</v>
      </c>
      <c r="O2159" s="22" t="str">
        <f>VLOOKUP($A2159, 'Hospitalisation Details'!$A:$N, 14, FALSE)</f>
        <v>R1011</v>
      </c>
      <c r="P2159" s="36">
        <f>VLOOKUP($A2159, 'Hospitalisation Details'!$A:$O, 15, FALSE)</f>
        <v>20</v>
      </c>
    </row>
    <row r="2160" ht="15.75" customHeight="1">
      <c r="A2160" s="33" t="s">
        <v>4319</v>
      </c>
      <c r="B2160" s="22" t="str">
        <f>VLOOKUP($A2160,'Customer Names'!$A:$D,3, FALSE)</f>
        <v>Conant</v>
      </c>
      <c r="C2160" s="22">
        <f>VLOOKUP($A2160,'Medical Examinations'!$A:$D, 2, FALSE)</f>
        <v>33</v>
      </c>
      <c r="D2160" s="22">
        <f>VLOOKUP($A2160, 'Medical Examinations'!$A:$D,3, FALSE)</f>
        <v>10.16</v>
      </c>
      <c r="E2160" s="22" t="str">
        <f>VLOOKUP($A2160, 'Medical Examinations'!$A:$D, 4, FALSE)</f>
        <v>No</v>
      </c>
      <c r="F2160" s="22" t="str">
        <f>VLOOKUP($A2160, 'Medical Examinations'!$A:$J, 5, FALSE)</f>
        <v>No</v>
      </c>
      <c r="G2160" s="22" t="str">
        <f>VLOOKUP($A2160, 'Medical Examinations'!$A:$I, 6, FALSE)</f>
        <v>No</v>
      </c>
      <c r="H2160" s="22">
        <f>VLOOKUP($A2160,'Medical Examinations'!$A:$L,10, FALSE)</f>
        <v>0</v>
      </c>
      <c r="I2160" s="22" t="str">
        <f>VLOOKUP($A2160, 'Medical Examinations'!$A:$J, 9, FALSE)</f>
        <v>No</v>
      </c>
      <c r="J2160" s="22" t="str">
        <f>VLOOKUP($A2160, 'Medical Examinations'!$A:$P, 11, FALSE)</f>
        <v>OBESITY</v>
      </c>
      <c r="K2160" s="34">
        <v>22920.0</v>
      </c>
      <c r="L2160" s="35">
        <f>VLOOKUP($A2160, 'Hospitalisation Details'!$A:$H, 7, FALSE)</f>
        <v>1880.07</v>
      </c>
      <c r="M2160" s="22" t="str">
        <f>VLOOKUP($A2160, 'Hospitalisation Details'!$A:$L, 12, FALSE)</f>
        <v>tier - 3</v>
      </c>
      <c r="N2160" s="22" t="str">
        <f>VLOOKUP($A2160, 'Hospitalisation Details'!$A:$M, 13, FALSE)</f>
        <v>tier - 2</v>
      </c>
      <c r="O2160" s="22" t="str">
        <f>VLOOKUP($A2160, 'Hospitalisation Details'!$A:$N, 14, FALSE)</f>
        <v>R1013</v>
      </c>
      <c r="P2160" s="36">
        <f>VLOOKUP($A2160, 'Hospitalisation Details'!$A:$O, 15, FALSE)</f>
        <v>20</v>
      </c>
    </row>
    <row r="2161" ht="15.75" customHeight="1">
      <c r="A2161" s="33" t="s">
        <v>4321</v>
      </c>
      <c r="B2161" s="22" t="str">
        <f>VLOOKUP($A2161,'Customer Names'!$A:$D,3, FALSE)</f>
        <v>Huyser-Wierenga</v>
      </c>
      <c r="C2161" s="22">
        <f>VLOOKUP($A2161,'Medical Examinations'!$A:$D, 2, FALSE)</f>
        <v>31.46</v>
      </c>
      <c r="D2161" s="22">
        <f>VLOOKUP($A2161, 'Medical Examinations'!$A:$D,3, FALSE)</f>
        <v>11.19</v>
      </c>
      <c r="E2161" s="22" t="str">
        <f>VLOOKUP($A2161, 'Medical Examinations'!$A:$D, 4, FALSE)</f>
        <v>No</v>
      </c>
      <c r="F2161" s="22" t="str">
        <f>VLOOKUP($A2161, 'Medical Examinations'!$A:$J, 5, FALSE)</f>
        <v>No</v>
      </c>
      <c r="G2161" s="22" t="str">
        <f>VLOOKUP($A2161, 'Medical Examinations'!$A:$I, 6, FALSE)</f>
        <v>No</v>
      </c>
      <c r="H2161" s="22">
        <f>VLOOKUP($A2161,'Medical Examinations'!$A:$L,10, FALSE)</f>
        <v>0</v>
      </c>
      <c r="I2161" s="22" t="str">
        <f>VLOOKUP($A2161, 'Medical Examinations'!$A:$J, 9, FALSE)</f>
        <v>No</v>
      </c>
      <c r="J2161" s="22" t="str">
        <f>VLOOKUP($A2161, 'Medical Examinations'!$A:$P, 11, FALSE)</f>
        <v>OBESITY</v>
      </c>
      <c r="K2161" s="34">
        <v>22891.0</v>
      </c>
      <c r="L2161" s="35">
        <f>VLOOKUP($A2161, 'Hospitalisation Details'!$A:$H, 7, FALSE)</f>
        <v>1877.93</v>
      </c>
      <c r="M2161" s="22" t="str">
        <f>VLOOKUP($A2161, 'Hospitalisation Details'!$A:$L, 12, FALSE)</f>
        <v>tier - 3</v>
      </c>
      <c r="N2161" s="22" t="str">
        <f>VLOOKUP($A2161, 'Hospitalisation Details'!$A:$M, 13, FALSE)</f>
        <v>tier - 1</v>
      </c>
      <c r="O2161" s="22" t="str">
        <f>VLOOKUP($A2161, 'Hospitalisation Details'!$A:$N, 14, FALSE)</f>
        <v>R1013</v>
      </c>
      <c r="P2161" s="36">
        <f>VLOOKUP($A2161, 'Hospitalisation Details'!$A:$O, 15, FALSE)</f>
        <v>20</v>
      </c>
    </row>
    <row r="2162" ht="15.75" customHeight="1">
      <c r="A2162" s="33" t="s">
        <v>4323</v>
      </c>
      <c r="B2162" s="22" t="str">
        <f>VLOOKUP($A2162,'Customer Names'!$A:$D,3, FALSE)</f>
        <v>Natalini</v>
      </c>
      <c r="C2162" s="22">
        <f>VLOOKUP($A2162,'Medical Examinations'!$A:$D, 2, FALSE)</f>
        <v>29.6</v>
      </c>
      <c r="D2162" s="22">
        <f>VLOOKUP($A2162, 'Medical Examinations'!$A:$D,3, FALSE)</f>
        <v>11.03</v>
      </c>
      <c r="E2162" s="22" t="str">
        <f>VLOOKUP($A2162, 'Medical Examinations'!$A:$D, 4, FALSE)</f>
        <v>No</v>
      </c>
      <c r="F2162" s="22" t="str">
        <f>VLOOKUP($A2162, 'Medical Examinations'!$A:$J, 5, FALSE)</f>
        <v>No</v>
      </c>
      <c r="G2162" s="22" t="str">
        <f>VLOOKUP($A2162, 'Medical Examinations'!$A:$I, 6, FALSE)</f>
        <v>No</v>
      </c>
      <c r="H2162" s="22">
        <f>VLOOKUP($A2162,'Medical Examinations'!$A:$L,10, FALSE)</f>
        <v>0</v>
      </c>
      <c r="I2162" s="22" t="str">
        <f>VLOOKUP($A2162, 'Medical Examinations'!$A:$J, 9, FALSE)</f>
        <v>No</v>
      </c>
      <c r="J2162" s="22" t="str">
        <f>VLOOKUP($A2162, 'Medical Examinations'!$A:$P, 11, FALSE)</f>
        <v>OVERWEIGHT</v>
      </c>
      <c r="K2162" s="34">
        <v>32341.0</v>
      </c>
      <c r="L2162" s="35">
        <f>VLOOKUP($A2162, 'Hospitalisation Details'!$A:$H, 7, FALSE)</f>
        <v>1875.34</v>
      </c>
      <c r="M2162" s="22" t="str">
        <f>VLOOKUP($A2162, 'Hospitalisation Details'!$A:$L, 12, FALSE)</f>
        <v>tier - 3</v>
      </c>
      <c r="N2162" s="22" t="str">
        <f>VLOOKUP($A2162, 'Hospitalisation Details'!$A:$M, 13, FALSE)</f>
        <v>tier - 2</v>
      </c>
      <c r="O2162" s="22" t="str">
        <f>VLOOKUP($A2162, 'Hospitalisation Details'!$A:$N, 14, FALSE)</f>
        <v>R1011</v>
      </c>
      <c r="P2162" s="36">
        <f>VLOOKUP($A2162, 'Hospitalisation Details'!$A:$O, 15, FALSE)</f>
        <v>20</v>
      </c>
    </row>
    <row r="2163" ht="15.75" customHeight="1">
      <c r="A2163" s="33" t="s">
        <v>4325</v>
      </c>
      <c r="B2163" s="22" t="str">
        <f>VLOOKUP($A2163,'Customer Names'!$A:$D,3, FALSE)</f>
        <v>Robbins</v>
      </c>
      <c r="C2163" s="22">
        <f>VLOOKUP($A2163,'Medical Examinations'!$A:$D, 2, FALSE)</f>
        <v>22.05</v>
      </c>
      <c r="D2163" s="22">
        <f>VLOOKUP($A2163, 'Medical Examinations'!$A:$D,3, FALSE)</f>
        <v>4.43</v>
      </c>
      <c r="E2163" s="22" t="str">
        <f>VLOOKUP($A2163, 'Medical Examinations'!$A:$D, 4, FALSE)</f>
        <v>Yes</v>
      </c>
      <c r="F2163" s="22" t="str">
        <f>VLOOKUP($A2163, 'Medical Examinations'!$A:$J, 5, FALSE)</f>
        <v>No</v>
      </c>
      <c r="G2163" s="22" t="str">
        <f>VLOOKUP($A2163, 'Medical Examinations'!$A:$I, 6, FALSE)</f>
        <v>No</v>
      </c>
      <c r="H2163" s="22">
        <f>VLOOKUP($A2163,'Medical Examinations'!$A:$L,10, FALSE)</f>
        <v>0</v>
      </c>
      <c r="I2163" s="22" t="str">
        <f>VLOOKUP($A2163, 'Medical Examinations'!$A:$J, 9, FALSE)</f>
        <v>No</v>
      </c>
      <c r="J2163" s="22" t="str">
        <f>VLOOKUP($A2163, 'Medical Examinations'!$A:$P, 11, FALSE)</f>
        <v>NORMAL WEIGHT</v>
      </c>
      <c r="K2163" s="34">
        <v>25757.0</v>
      </c>
      <c r="L2163" s="35">
        <f>VLOOKUP($A2163, 'Hospitalisation Details'!$A:$H, 7, FALSE)</f>
        <v>1865.98</v>
      </c>
      <c r="M2163" s="22" t="str">
        <f>VLOOKUP($A2163, 'Hospitalisation Details'!$A:$L, 12, FALSE)</f>
        <v>tier - 3</v>
      </c>
      <c r="N2163" s="22" t="str">
        <f>VLOOKUP($A2163, 'Hospitalisation Details'!$A:$M, 13, FALSE)</f>
        <v>tier - 3</v>
      </c>
      <c r="O2163" s="22" t="str">
        <f>VLOOKUP($A2163, 'Hospitalisation Details'!$A:$N, 14, FALSE)</f>
        <v>R1012</v>
      </c>
      <c r="P2163" s="36">
        <f>VLOOKUP($A2163, 'Hospitalisation Details'!$A:$O, 15, FALSE)</f>
        <v>26</v>
      </c>
    </row>
    <row r="2164" ht="15.75" customHeight="1">
      <c r="A2164" s="33" t="s">
        <v>4327</v>
      </c>
      <c r="B2164" s="22" t="str">
        <f>VLOOKUP($A2164,'Customer Names'!$A:$D,3, FALSE)</f>
        <v>Stanislav</v>
      </c>
      <c r="C2164" s="22">
        <f>VLOOKUP($A2164,'Medical Examinations'!$A:$D, 2, FALSE)</f>
        <v>27.06</v>
      </c>
      <c r="D2164" s="22">
        <f>VLOOKUP($A2164, 'Medical Examinations'!$A:$D,3, FALSE)</f>
        <v>6.14</v>
      </c>
      <c r="E2164" s="22" t="str">
        <f>VLOOKUP($A2164, 'Medical Examinations'!$A:$D, 4, FALSE)</f>
        <v>No</v>
      </c>
      <c r="F2164" s="22" t="str">
        <f>VLOOKUP($A2164, 'Medical Examinations'!$A:$J, 5, FALSE)</f>
        <v>Yes</v>
      </c>
      <c r="G2164" s="22" t="str">
        <f>VLOOKUP($A2164, 'Medical Examinations'!$A:$I, 6, FALSE)</f>
        <v>No</v>
      </c>
      <c r="H2164" s="22">
        <f>VLOOKUP($A2164,'Medical Examinations'!$A:$L,10, FALSE)</f>
        <v>1</v>
      </c>
      <c r="I2164" s="22" t="str">
        <f>VLOOKUP($A2164, 'Medical Examinations'!$A:$J, 9, FALSE)</f>
        <v>No</v>
      </c>
      <c r="J2164" s="22" t="str">
        <f>VLOOKUP($A2164, 'Medical Examinations'!$A:$P, 11, FALSE)</f>
        <v>OVERWEIGHT</v>
      </c>
      <c r="K2164" s="34">
        <v>23709.0</v>
      </c>
      <c r="L2164" s="35">
        <f>VLOOKUP($A2164, 'Hospitalisation Details'!$A:$H, 7, FALSE)</f>
        <v>1863.45</v>
      </c>
      <c r="M2164" s="22" t="str">
        <f>VLOOKUP($A2164, 'Hospitalisation Details'!$A:$L, 12, FALSE)</f>
        <v>tier - 3</v>
      </c>
      <c r="N2164" s="22" t="str">
        <f>VLOOKUP($A2164, 'Hospitalisation Details'!$A:$M, 13, FALSE)</f>
        <v>tier - 1</v>
      </c>
      <c r="O2164" s="22" t="str">
        <f>VLOOKUP($A2164, 'Hospitalisation Details'!$A:$N, 14, FALSE)</f>
        <v>R1025</v>
      </c>
      <c r="P2164" s="36">
        <f>VLOOKUP($A2164, 'Hospitalisation Details'!$A:$O, 15, FALSE)</f>
        <v>18</v>
      </c>
    </row>
    <row r="2165" ht="15.75" customHeight="1">
      <c r="A2165" s="33" t="s">
        <v>4329</v>
      </c>
      <c r="B2165" s="22" t="str">
        <f>VLOOKUP($A2165,'Customer Names'!$A:$D,3, FALSE)</f>
        <v>Meyer</v>
      </c>
      <c r="C2165" s="22">
        <f>VLOOKUP($A2165,'Medical Examinations'!$A:$D, 2, FALSE)</f>
        <v>20.49</v>
      </c>
      <c r="D2165" s="22">
        <f>VLOOKUP($A2165, 'Medical Examinations'!$A:$D,3, FALSE)</f>
        <v>4.87</v>
      </c>
      <c r="E2165" s="22" t="str">
        <f>VLOOKUP($A2165, 'Medical Examinations'!$A:$D, 4, FALSE)</f>
        <v>No</v>
      </c>
      <c r="F2165" s="22" t="str">
        <f>VLOOKUP($A2165, 'Medical Examinations'!$A:$J, 5, FALSE)</f>
        <v>No</v>
      </c>
      <c r="G2165" s="22" t="str">
        <f>VLOOKUP($A2165, 'Medical Examinations'!$A:$I, 6, FALSE)</f>
        <v>No</v>
      </c>
      <c r="H2165" s="22">
        <f>VLOOKUP($A2165,'Medical Examinations'!$A:$L,10, FALSE)</f>
        <v>0</v>
      </c>
      <c r="I2165" s="22" t="str">
        <f>VLOOKUP($A2165, 'Medical Examinations'!$A:$J, 9, FALSE)</f>
        <v>No</v>
      </c>
      <c r="J2165" s="22" t="str">
        <f>VLOOKUP($A2165, 'Medical Examinations'!$A:$P, 11, FALSE)</f>
        <v>NORMAL WEIGHT</v>
      </c>
      <c r="K2165" s="34">
        <v>33792.0</v>
      </c>
      <c r="L2165" s="35">
        <f>VLOOKUP($A2165, 'Hospitalisation Details'!$A:$H, 7, FALSE)</f>
        <v>1850.55</v>
      </c>
      <c r="M2165" s="22" t="str">
        <f>VLOOKUP($A2165, 'Hospitalisation Details'!$A:$L, 12, FALSE)</f>
        <v>tier - 3</v>
      </c>
      <c r="N2165" s="22" t="str">
        <f>VLOOKUP($A2165, 'Hospitalisation Details'!$A:$M, 13, FALSE)</f>
        <v>tier - 2</v>
      </c>
      <c r="O2165" s="22" t="str">
        <f>VLOOKUP($A2165, 'Hospitalisation Details'!$A:$N, 14, FALSE)</f>
        <v>R1012</v>
      </c>
      <c r="P2165" s="36">
        <f>VLOOKUP($A2165, 'Hospitalisation Details'!$A:$O, 15, FALSE)</f>
        <v>28</v>
      </c>
    </row>
    <row r="2166" ht="15.75" customHeight="1">
      <c r="A2166" s="33" t="s">
        <v>4331</v>
      </c>
      <c r="B2166" s="22" t="str">
        <f>VLOOKUP($A2166,'Customer Names'!$A:$D,3, FALSE)</f>
        <v>Mears</v>
      </c>
      <c r="C2166" s="22">
        <f>VLOOKUP($A2166,'Medical Examinations'!$A:$D, 2, FALSE)</f>
        <v>28.4</v>
      </c>
      <c r="D2166" s="22">
        <f>VLOOKUP($A2166, 'Medical Examinations'!$A:$D,3, FALSE)</f>
        <v>4.3</v>
      </c>
      <c r="E2166" s="22" t="str">
        <f>VLOOKUP($A2166, 'Medical Examinations'!$A:$D, 4, FALSE)</f>
        <v>No</v>
      </c>
      <c r="F2166" s="22" t="str">
        <f>VLOOKUP($A2166, 'Medical Examinations'!$A:$J, 5, FALSE)</f>
        <v>No</v>
      </c>
      <c r="G2166" s="22" t="str">
        <f>VLOOKUP($A2166, 'Medical Examinations'!$A:$I, 6, FALSE)</f>
        <v>Yes</v>
      </c>
      <c r="H2166" s="22">
        <f>VLOOKUP($A2166,'Medical Examinations'!$A:$L,10, FALSE)</f>
        <v>1</v>
      </c>
      <c r="I2166" s="22" t="str">
        <f>VLOOKUP($A2166, 'Medical Examinations'!$A:$J, 9, FALSE)</f>
        <v>No</v>
      </c>
      <c r="J2166" s="22" t="str">
        <f>VLOOKUP($A2166, 'Medical Examinations'!$A:$P, 11, FALSE)</f>
        <v>OVERWEIGHT</v>
      </c>
      <c r="K2166" s="34">
        <v>27296.0</v>
      </c>
      <c r="L2166" s="35">
        <f>VLOOKUP($A2166, 'Hospitalisation Details'!$A:$H, 7, FALSE)</f>
        <v>1842.52</v>
      </c>
      <c r="M2166" s="22" t="str">
        <f>VLOOKUP($A2166, 'Hospitalisation Details'!$A:$L, 12, FALSE)</f>
        <v>tier - 3</v>
      </c>
      <c r="N2166" s="22" t="str">
        <f>VLOOKUP($A2166, 'Hospitalisation Details'!$A:$M, 13, FALSE)</f>
        <v>tier - 2</v>
      </c>
      <c r="O2166" s="22" t="str">
        <f>VLOOKUP($A2166, 'Hospitalisation Details'!$A:$N, 14, FALSE)</f>
        <v>R1011</v>
      </c>
      <c r="P2166" s="36">
        <f>VLOOKUP($A2166, 'Hospitalisation Details'!$A:$O, 15, FALSE)</f>
        <v>19</v>
      </c>
    </row>
    <row r="2167" ht="15.75" customHeight="1">
      <c r="A2167" s="33" t="s">
        <v>4333</v>
      </c>
      <c r="B2167" s="22" t="str">
        <f>VLOOKUP($A2167,'Customer Names'!$A:$D,3, FALSE)</f>
        <v>Neill</v>
      </c>
      <c r="C2167" s="22">
        <f>VLOOKUP($A2167,'Medical Examinations'!$A:$D, 2, FALSE)</f>
        <v>41.91</v>
      </c>
      <c r="D2167" s="22">
        <f>VLOOKUP($A2167, 'Medical Examinations'!$A:$D,3, FALSE)</f>
        <v>6.19</v>
      </c>
      <c r="E2167" s="22" t="str">
        <f>VLOOKUP($A2167, 'Medical Examinations'!$A:$D, 4, FALSE)</f>
        <v>No</v>
      </c>
      <c r="F2167" s="22" t="str">
        <f>VLOOKUP($A2167, 'Medical Examinations'!$A:$J, 5, FALSE)</f>
        <v>No</v>
      </c>
      <c r="G2167" s="22" t="str">
        <f>VLOOKUP($A2167, 'Medical Examinations'!$A:$I, 6, FALSE)</f>
        <v>No</v>
      </c>
      <c r="H2167" s="22">
        <f>VLOOKUP($A2167,'Medical Examinations'!$A:$L,10, FALSE)</f>
        <v>0</v>
      </c>
      <c r="I2167" s="22" t="str">
        <f>VLOOKUP($A2167, 'Medical Examinations'!$A:$J, 9, FALSE)</f>
        <v>No</v>
      </c>
      <c r="J2167" s="22" t="str">
        <f>VLOOKUP($A2167, 'Medical Examinations'!$A:$P, 11, FALSE)</f>
        <v>OBESITY</v>
      </c>
      <c r="K2167" s="34">
        <v>22885.0</v>
      </c>
      <c r="L2167" s="35">
        <f>VLOOKUP($A2167, 'Hospitalisation Details'!$A:$H, 7, FALSE)</f>
        <v>1837.28</v>
      </c>
      <c r="M2167" s="22" t="str">
        <f>VLOOKUP($A2167, 'Hospitalisation Details'!$A:$L, 12, FALSE)</f>
        <v>tier - 3</v>
      </c>
      <c r="N2167" s="22" t="str">
        <f>VLOOKUP($A2167, 'Hospitalisation Details'!$A:$M, 13, FALSE)</f>
        <v>tier - 2</v>
      </c>
      <c r="O2167" s="22" t="str">
        <f>VLOOKUP($A2167, 'Hospitalisation Details'!$A:$N, 14, FALSE)</f>
        <v>R1013</v>
      </c>
      <c r="P2167" s="36">
        <f>VLOOKUP($A2167, 'Hospitalisation Details'!$A:$O, 15, FALSE)</f>
        <v>23</v>
      </c>
    </row>
    <row r="2168" ht="15.75" customHeight="1">
      <c r="A2168" s="33" t="s">
        <v>4335</v>
      </c>
      <c r="B2168" s="22" t="str">
        <f>VLOOKUP($A2168,'Customer Names'!$A:$D,3, FALSE)</f>
        <v>Tola</v>
      </c>
      <c r="C2168" s="22">
        <f>VLOOKUP($A2168,'Medical Examinations'!$A:$D, 2, FALSE)</f>
        <v>24.6</v>
      </c>
      <c r="D2168" s="22">
        <f>VLOOKUP($A2168, 'Medical Examinations'!$A:$D,3, FALSE)</f>
        <v>6.19</v>
      </c>
      <c r="E2168" s="22" t="str">
        <f>VLOOKUP($A2168, 'Medical Examinations'!$A:$D, 4, FALSE)</f>
        <v>No</v>
      </c>
      <c r="F2168" s="22" t="str">
        <f>VLOOKUP($A2168, 'Medical Examinations'!$A:$J, 5, FALSE)</f>
        <v>No</v>
      </c>
      <c r="G2168" s="22" t="str">
        <f>VLOOKUP($A2168, 'Medical Examinations'!$A:$I, 6, FALSE)</f>
        <v>Yes</v>
      </c>
      <c r="H2168" s="22">
        <f>VLOOKUP($A2168,'Medical Examinations'!$A:$L,10, FALSE)</f>
        <v>1</v>
      </c>
      <c r="I2168" s="22" t="str">
        <f>VLOOKUP($A2168, 'Medical Examinations'!$A:$J, 9, FALSE)</f>
        <v>No</v>
      </c>
      <c r="J2168" s="22" t="str">
        <f>VLOOKUP($A2168, 'Medical Examinations'!$A:$P, 11, FALSE)</f>
        <v>NORMAL WEIGHT</v>
      </c>
      <c r="K2168" s="34">
        <v>25423.0</v>
      </c>
      <c r="L2168" s="35">
        <f>VLOOKUP($A2168, 'Hospitalisation Details'!$A:$H, 7, FALSE)</f>
        <v>1837.24</v>
      </c>
      <c r="M2168" s="22" t="str">
        <f>VLOOKUP($A2168, 'Hospitalisation Details'!$A:$L, 12, FALSE)</f>
        <v>tier - 3</v>
      </c>
      <c r="N2168" s="22" t="str">
        <f>VLOOKUP($A2168, 'Hospitalisation Details'!$A:$M, 13, FALSE)</f>
        <v>tier - 2</v>
      </c>
      <c r="O2168" s="22" t="str">
        <f>VLOOKUP($A2168, 'Hospitalisation Details'!$A:$N, 14, FALSE)</f>
        <v>R1011</v>
      </c>
      <c r="P2168" s="36">
        <f>VLOOKUP($A2168, 'Hospitalisation Details'!$A:$O, 15, FALSE)</f>
        <v>19</v>
      </c>
    </row>
    <row r="2169" ht="15.75" customHeight="1">
      <c r="A2169" s="33" t="s">
        <v>4337</v>
      </c>
      <c r="B2169" s="22" t="str">
        <f>VLOOKUP($A2169,'Customer Names'!$A:$D,3, FALSE)</f>
        <v>Briskman</v>
      </c>
      <c r="C2169" s="22">
        <f>VLOOKUP($A2169,'Medical Examinations'!$A:$D, 2, FALSE)</f>
        <v>20.9</v>
      </c>
      <c r="D2169" s="22">
        <f>VLOOKUP($A2169, 'Medical Examinations'!$A:$D,3, FALSE)</f>
        <v>5.12</v>
      </c>
      <c r="E2169" s="22" t="str">
        <f>VLOOKUP($A2169, 'Medical Examinations'!$A:$D, 4, FALSE)</f>
        <v>No</v>
      </c>
      <c r="F2169" s="22" t="str">
        <f>VLOOKUP($A2169, 'Medical Examinations'!$A:$J, 5, FALSE)</f>
        <v>No</v>
      </c>
      <c r="G2169" s="22" t="str">
        <f>VLOOKUP($A2169, 'Medical Examinations'!$A:$I, 6, FALSE)</f>
        <v>Yes</v>
      </c>
      <c r="H2169" s="22">
        <f>VLOOKUP($A2169,'Medical Examinations'!$A:$L,10, FALSE)</f>
        <v>1</v>
      </c>
      <c r="I2169" s="22" t="str">
        <f>VLOOKUP($A2169, 'Medical Examinations'!$A:$J, 9, FALSE)</f>
        <v>No</v>
      </c>
      <c r="J2169" s="22" t="str">
        <f>VLOOKUP($A2169, 'Medical Examinations'!$A:$P, 11, FALSE)</f>
        <v>NORMAL WEIGHT</v>
      </c>
      <c r="K2169" s="34">
        <v>23999.0</v>
      </c>
      <c r="L2169" s="35">
        <f>VLOOKUP($A2169, 'Hospitalisation Details'!$A:$H, 7, FALSE)</f>
        <v>1832.09</v>
      </c>
      <c r="M2169" s="22" t="str">
        <f>VLOOKUP($A2169, 'Hospitalisation Details'!$A:$L, 12, FALSE)</f>
        <v>tier - 3</v>
      </c>
      <c r="N2169" s="22" t="str">
        <f>VLOOKUP($A2169, 'Hospitalisation Details'!$A:$M, 13, FALSE)</f>
        <v>tier - 3</v>
      </c>
      <c r="O2169" s="22" t="str">
        <f>VLOOKUP($A2169, 'Hospitalisation Details'!$A:$N, 14, FALSE)</f>
        <v>R1011</v>
      </c>
      <c r="P2169" s="36">
        <f>VLOOKUP($A2169, 'Hospitalisation Details'!$A:$O, 15, FALSE)</f>
        <v>19</v>
      </c>
    </row>
    <row r="2170" ht="15.75" customHeight="1">
      <c r="A2170" s="33" t="s">
        <v>4339</v>
      </c>
      <c r="B2170" s="22" t="str">
        <f>VLOOKUP($A2170,'Customer Names'!$A:$D,3, FALSE)</f>
        <v>Ritzenhein</v>
      </c>
      <c r="C2170" s="22">
        <f>VLOOKUP($A2170,'Medical Examinations'!$A:$D, 2, FALSE)</f>
        <v>34.4</v>
      </c>
      <c r="D2170" s="22">
        <f>VLOOKUP($A2170, 'Medical Examinations'!$A:$D,3, FALSE)</f>
        <v>4.04</v>
      </c>
      <c r="E2170" s="22" t="str">
        <f>VLOOKUP($A2170, 'Medical Examinations'!$A:$D, 4, FALSE)</f>
        <v>No</v>
      </c>
      <c r="F2170" s="22" t="str">
        <f>VLOOKUP($A2170, 'Medical Examinations'!$A:$J, 5, FALSE)</f>
        <v>No</v>
      </c>
      <c r="G2170" s="22" t="str">
        <f>VLOOKUP($A2170, 'Medical Examinations'!$A:$I, 6, FALSE)</f>
        <v>No</v>
      </c>
      <c r="H2170" s="22">
        <f>VLOOKUP($A2170,'Medical Examinations'!$A:$L,10, FALSE)</f>
        <v>0</v>
      </c>
      <c r="I2170" s="22" t="str">
        <f>VLOOKUP($A2170, 'Medical Examinations'!$A:$J, 9, FALSE)</f>
        <v>No</v>
      </c>
      <c r="J2170" s="22" t="str">
        <f>VLOOKUP($A2170, 'Medical Examinations'!$A:$P, 11, FALSE)</f>
        <v>OBESITY</v>
      </c>
      <c r="K2170" s="34">
        <v>22838.0</v>
      </c>
      <c r="L2170" s="35">
        <f>VLOOKUP($A2170, 'Hospitalisation Details'!$A:$H, 7, FALSE)</f>
        <v>1826.84</v>
      </c>
      <c r="M2170" s="22" t="str">
        <f>VLOOKUP($A2170, 'Hospitalisation Details'!$A:$L, 12, FALSE)</f>
        <v>tier - 3</v>
      </c>
      <c r="N2170" s="22" t="str">
        <f>VLOOKUP($A2170, 'Hospitalisation Details'!$A:$M, 13, FALSE)</f>
        <v>tier - 2</v>
      </c>
      <c r="O2170" s="22" t="str">
        <f>VLOOKUP($A2170, 'Hospitalisation Details'!$A:$N, 14, FALSE)</f>
        <v>R1011</v>
      </c>
      <c r="P2170" s="36">
        <f>VLOOKUP($A2170, 'Hospitalisation Details'!$A:$O, 15, FALSE)</f>
        <v>23</v>
      </c>
    </row>
    <row r="2171" ht="15.75" customHeight="1">
      <c r="A2171" s="33" t="s">
        <v>4341</v>
      </c>
      <c r="B2171" s="22" t="str">
        <f>VLOOKUP($A2171,'Customer Names'!$A:$D,3, FALSE)</f>
        <v>Malkowski</v>
      </c>
      <c r="C2171" s="22">
        <f>VLOOKUP($A2171,'Medical Examinations'!$A:$D, 2, FALSE)</f>
        <v>32.56</v>
      </c>
      <c r="D2171" s="22">
        <f>VLOOKUP($A2171, 'Medical Examinations'!$A:$D,3, FALSE)</f>
        <v>5.36</v>
      </c>
      <c r="E2171" s="22" t="str">
        <f>VLOOKUP($A2171, 'Medical Examinations'!$A:$D, 4, FALSE)</f>
        <v>No</v>
      </c>
      <c r="F2171" s="22" t="str">
        <f>VLOOKUP($A2171, 'Medical Examinations'!$A:$J, 5, FALSE)</f>
        <v>No</v>
      </c>
      <c r="G2171" s="22" t="str">
        <f>VLOOKUP($A2171, 'Medical Examinations'!$A:$I, 6, FALSE)</f>
        <v>No</v>
      </c>
      <c r="H2171" s="22">
        <f>VLOOKUP($A2171,'Medical Examinations'!$A:$L,10, FALSE)</f>
        <v>0</v>
      </c>
      <c r="I2171" s="22" t="str">
        <f>VLOOKUP($A2171, 'Medical Examinations'!$A:$J, 9, FALSE)</f>
        <v>No</v>
      </c>
      <c r="J2171" s="22" t="str">
        <f>VLOOKUP($A2171, 'Medical Examinations'!$A:$P, 11, FALSE)</f>
        <v>OBESITY</v>
      </c>
      <c r="K2171" s="34">
        <v>24458.0</v>
      </c>
      <c r="L2171" s="35">
        <f>VLOOKUP($A2171, 'Hospitalisation Details'!$A:$H, 7, FALSE)</f>
        <v>1824.29</v>
      </c>
      <c r="M2171" s="22" t="str">
        <f>VLOOKUP($A2171, 'Hospitalisation Details'!$A:$L, 12, FALSE)</f>
        <v>tier - 3</v>
      </c>
      <c r="N2171" s="22" t="str">
        <f>VLOOKUP($A2171, 'Hospitalisation Details'!$A:$M, 13, FALSE)</f>
        <v>tier - 3</v>
      </c>
      <c r="O2171" s="22" t="str">
        <f>VLOOKUP($A2171, 'Hospitalisation Details'!$A:$N, 14, FALSE)</f>
        <v>R1013</v>
      </c>
      <c r="P2171" s="36">
        <f>VLOOKUP($A2171, 'Hospitalisation Details'!$A:$O, 15, FALSE)</f>
        <v>23</v>
      </c>
    </row>
    <row r="2172" ht="15.75" customHeight="1">
      <c r="A2172" s="33" t="s">
        <v>4343</v>
      </c>
      <c r="B2172" s="22" t="str">
        <f>VLOOKUP($A2172,'Customer Names'!$A:$D,3, FALSE)</f>
        <v>Andreyko</v>
      </c>
      <c r="C2172" s="22">
        <f>VLOOKUP($A2172,'Medical Examinations'!$A:$D, 2, FALSE)</f>
        <v>27.98</v>
      </c>
      <c r="D2172" s="22">
        <f>VLOOKUP($A2172, 'Medical Examinations'!$A:$D,3, FALSE)</f>
        <v>4.38</v>
      </c>
      <c r="E2172" s="22" t="str">
        <f>VLOOKUP($A2172, 'Medical Examinations'!$A:$D, 4, FALSE)</f>
        <v>No</v>
      </c>
      <c r="F2172" s="22" t="str">
        <f>VLOOKUP($A2172, 'Medical Examinations'!$A:$J, 5, FALSE)</f>
        <v>Yes</v>
      </c>
      <c r="G2172" s="22" t="str">
        <f>VLOOKUP($A2172, 'Medical Examinations'!$A:$I, 6, FALSE)</f>
        <v>No</v>
      </c>
      <c r="H2172" s="22">
        <f>VLOOKUP($A2172,'Medical Examinations'!$A:$L,10, FALSE)</f>
        <v>1</v>
      </c>
      <c r="I2172" s="22" t="str">
        <f>VLOOKUP($A2172, 'Medical Examinations'!$A:$J, 9, FALSE)</f>
        <v>No</v>
      </c>
      <c r="J2172" s="22" t="str">
        <f>VLOOKUP($A2172, 'Medical Examinations'!$A:$P, 11, FALSE)</f>
        <v>OVERWEIGHT</v>
      </c>
      <c r="K2172" s="34">
        <v>26547.0</v>
      </c>
      <c r="L2172" s="35">
        <f>VLOOKUP($A2172, 'Hospitalisation Details'!$A:$H, 7, FALSE)</f>
        <v>1822.54</v>
      </c>
      <c r="M2172" s="22" t="str">
        <f>VLOOKUP($A2172, 'Hospitalisation Details'!$A:$L, 12, FALSE)</f>
        <v>tier - 3</v>
      </c>
      <c r="N2172" s="22" t="str">
        <f>VLOOKUP($A2172, 'Hospitalisation Details'!$A:$M, 13, FALSE)</f>
        <v>tier - 1</v>
      </c>
      <c r="O2172" s="22" t="str">
        <f>VLOOKUP($A2172, 'Hospitalisation Details'!$A:$N, 14, FALSE)</f>
        <v>R1012</v>
      </c>
      <c r="P2172" s="36">
        <f>VLOOKUP($A2172, 'Hospitalisation Details'!$A:$O, 15, FALSE)</f>
        <v>18</v>
      </c>
    </row>
    <row r="2173" ht="15.75" customHeight="1">
      <c r="A2173" s="33" t="s">
        <v>4345</v>
      </c>
      <c r="B2173" s="22" t="str">
        <f>VLOOKUP($A2173,'Customer Names'!$A:$D,3, FALSE)</f>
        <v>Landry</v>
      </c>
      <c r="C2173" s="22">
        <f>VLOOKUP($A2173,'Medical Examinations'!$A:$D, 2, FALSE)</f>
        <v>26.51</v>
      </c>
      <c r="D2173" s="22">
        <f>VLOOKUP($A2173, 'Medical Examinations'!$A:$D,3, FALSE)</f>
        <v>4.58</v>
      </c>
      <c r="E2173" s="22" t="str">
        <f>VLOOKUP($A2173, 'Medical Examinations'!$A:$D, 4, FALSE)</f>
        <v>No</v>
      </c>
      <c r="F2173" s="22" t="str">
        <f>VLOOKUP($A2173, 'Medical Examinations'!$A:$J, 5, FALSE)</f>
        <v>No</v>
      </c>
      <c r="G2173" s="22" t="str">
        <f>VLOOKUP($A2173, 'Medical Examinations'!$A:$I, 6, FALSE)</f>
        <v>No</v>
      </c>
      <c r="H2173" s="22">
        <f>VLOOKUP($A2173,'Medical Examinations'!$A:$L,10, FALSE)</f>
        <v>0</v>
      </c>
      <c r="I2173" s="22" t="str">
        <f>VLOOKUP($A2173, 'Medical Examinations'!$A:$J, 9, FALSE)</f>
        <v>No</v>
      </c>
      <c r="J2173" s="22" t="str">
        <f>VLOOKUP($A2173, 'Medical Examinations'!$A:$P, 11, FALSE)</f>
        <v>OVERWEIGHT</v>
      </c>
      <c r="K2173" s="34">
        <v>22849.0</v>
      </c>
      <c r="L2173" s="35">
        <f>VLOOKUP($A2173, 'Hospitalisation Details'!$A:$H, 7, FALSE)</f>
        <v>1815.88</v>
      </c>
      <c r="M2173" s="22" t="str">
        <f>VLOOKUP($A2173, 'Hospitalisation Details'!$A:$L, 12, FALSE)</f>
        <v>tier - 3</v>
      </c>
      <c r="N2173" s="22" t="str">
        <f>VLOOKUP($A2173, 'Hospitalisation Details'!$A:$M, 13, FALSE)</f>
        <v>tier - 3</v>
      </c>
      <c r="O2173" s="22" t="str">
        <f>VLOOKUP($A2173, 'Hospitalisation Details'!$A:$N, 14, FALSE)</f>
        <v>R1013</v>
      </c>
      <c r="P2173" s="36">
        <f>VLOOKUP($A2173, 'Hospitalisation Details'!$A:$O, 15, FALSE)</f>
        <v>23</v>
      </c>
    </row>
    <row r="2174" ht="15.75" customHeight="1">
      <c r="A2174" s="33" t="s">
        <v>4347</v>
      </c>
      <c r="B2174" s="22" t="str">
        <f>VLOOKUP($A2174,'Customer Names'!$A:$D,3, FALSE)</f>
        <v>Lozier</v>
      </c>
      <c r="C2174" s="22">
        <f>VLOOKUP($A2174,'Medical Examinations'!$A:$D, 2, FALSE)</f>
        <v>29.735</v>
      </c>
      <c r="D2174" s="22">
        <f>VLOOKUP($A2174, 'Medical Examinations'!$A:$D,3, FALSE)</f>
        <v>11.92</v>
      </c>
      <c r="E2174" s="22" t="str">
        <f>VLOOKUP($A2174, 'Medical Examinations'!$A:$D, 4, FALSE)</f>
        <v>No</v>
      </c>
      <c r="F2174" s="22" t="str">
        <f>VLOOKUP($A2174, 'Medical Examinations'!$A:$J, 5, FALSE)</f>
        <v>No</v>
      </c>
      <c r="G2174" s="22" t="str">
        <f>VLOOKUP($A2174, 'Medical Examinations'!$A:$I, 6, FALSE)</f>
        <v>No</v>
      </c>
      <c r="H2174" s="22">
        <f>VLOOKUP($A2174,'Medical Examinations'!$A:$L,10, FALSE)</f>
        <v>0</v>
      </c>
      <c r="I2174" s="22" t="str">
        <f>VLOOKUP($A2174, 'Medical Examinations'!$A:$J, 9, FALSE)</f>
        <v>No</v>
      </c>
      <c r="J2174" s="22" t="str">
        <f>VLOOKUP($A2174, 'Medical Examinations'!$A:$P, 11, FALSE)</f>
        <v>OVERWEIGHT</v>
      </c>
      <c r="K2174" s="34">
        <v>22972.0</v>
      </c>
      <c r="L2174" s="35">
        <f>VLOOKUP($A2174, 'Hospitalisation Details'!$A:$H, 7, FALSE)</f>
        <v>1769.53</v>
      </c>
      <c r="M2174" s="22" t="str">
        <f>VLOOKUP($A2174, 'Hospitalisation Details'!$A:$L, 12, FALSE)</f>
        <v>tier - 3</v>
      </c>
      <c r="N2174" s="22" t="str">
        <f>VLOOKUP($A2174, 'Hospitalisation Details'!$A:$M, 13, FALSE)</f>
        <v>tier - 3</v>
      </c>
      <c r="O2174" s="22" t="str">
        <f>VLOOKUP($A2174, 'Hospitalisation Details'!$A:$N, 14, FALSE)</f>
        <v>R1012</v>
      </c>
      <c r="P2174" s="36">
        <f>VLOOKUP($A2174, 'Hospitalisation Details'!$A:$O, 15, FALSE)</f>
        <v>20</v>
      </c>
    </row>
    <row r="2175" ht="15.75" customHeight="1">
      <c r="A2175" s="33" t="s">
        <v>4349</v>
      </c>
      <c r="B2175" s="22" t="str">
        <f>VLOOKUP($A2175,'Customer Names'!$A:$D,3, FALSE)</f>
        <v>O'Brien</v>
      </c>
      <c r="C2175" s="22">
        <f>VLOOKUP($A2175,'Medical Examinations'!$A:$D, 2, FALSE)</f>
        <v>40.5</v>
      </c>
      <c r="D2175" s="22">
        <f>VLOOKUP($A2175, 'Medical Examinations'!$A:$D,3, FALSE)</f>
        <v>5.4</v>
      </c>
      <c r="E2175" s="22" t="str">
        <f>VLOOKUP($A2175, 'Medical Examinations'!$A:$D, 4, FALSE)</f>
        <v>No</v>
      </c>
      <c r="F2175" s="22" t="str">
        <f>VLOOKUP($A2175, 'Medical Examinations'!$A:$J, 5, FALSE)</f>
        <v>No</v>
      </c>
      <c r="G2175" s="22" t="str">
        <f>VLOOKUP($A2175, 'Medical Examinations'!$A:$I, 6, FALSE)</f>
        <v>Yes</v>
      </c>
      <c r="H2175" s="22">
        <f>VLOOKUP($A2175,'Medical Examinations'!$A:$L,10, FALSE)</f>
        <v>1</v>
      </c>
      <c r="I2175" s="22" t="str">
        <f>VLOOKUP($A2175, 'Medical Examinations'!$A:$J, 9, FALSE)</f>
        <v>No</v>
      </c>
      <c r="J2175" s="22" t="str">
        <f>VLOOKUP($A2175, 'Medical Examinations'!$A:$P, 11, FALSE)</f>
        <v>OBESITY</v>
      </c>
      <c r="K2175" s="34">
        <v>24019.0</v>
      </c>
      <c r="L2175" s="35">
        <f>VLOOKUP($A2175, 'Hospitalisation Details'!$A:$H, 7, FALSE)</f>
        <v>1759.34</v>
      </c>
      <c r="M2175" s="22" t="str">
        <f>VLOOKUP($A2175, 'Hospitalisation Details'!$A:$L, 12, FALSE)</f>
        <v>tier - 3</v>
      </c>
      <c r="N2175" s="22" t="str">
        <f>VLOOKUP($A2175, 'Hospitalisation Details'!$A:$M, 13, FALSE)</f>
        <v>tier - 1</v>
      </c>
      <c r="O2175" s="22" t="str">
        <f>VLOOKUP($A2175, 'Hospitalisation Details'!$A:$N, 14, FALSE)</f>
        <v>R1011</v>
      </c>
      <c r="P2175" s="36">
        <f>VLOOKUP($A2175, 'Hospitalisation Details'!$A:$O, 15, FALSE)</f>
        <v>19</v>
      </c>
    </row>
    <row r="2176" ht="15.75" customHeight="1">
      <c r="A2176" s="33" t="s">
        <v>4351</v>
      </c>
      <c r="B2176" s="22" t="str">
        <f>VLOOKUP($A2176,'Customer Names'!$A:$D,3, FALSE)</f>
        <v>Rodas</v>
      </c>
      <c r="C2176" s="22">
        <f>VLOOKUP($A2176,'Medical Examinations'!$A:$D, 2, FALSE)</f>
        <v>25.64</v>
      </c>
      <c r="D2176" s="22">
        <f>VLOOKUP($A2176, 'Medical Examinations'!$A:$D,3, FALSE)</f>
        <v>4.76</v>
      </c>
      <c r="E2176" s="22" t="str">
        <f>VLOOKUP($A2176, 'Medical Examinations'!$A:$D, 4, FALSE)</f>
        <v>No</v>
      </c>
      <c r="F2176" s="22" t="str">
        <f>VLOOKUP($A2176, 'Medical Examinations'!$A:$J, 5, FALSE)</f>
        <v>No</v>
      </c>
      <c r="G2176" s="22" t="str">
        <f>VLOOKUP($A2176, 'Medical Examinations'!$A:$I, 6, FALSE)</f>
        <v>No</v>
      </c>
      <c r="H2176" s="22">
        <f>VLOOKUP($A2176,'Medical Examinations'!$A:$L,10, FALSE)</f>
        <v>1</v>
      </c>
      <c r="I2176" s="22" t="str">
        <f>VLOOKUP($A2176, 'Medical Examinations'!$A:$J, 9, FALSE)</f>
        <v>No</v>
      </c>
      <c r="J2176" s="22" t="str">
        <f>VLOOKUP($A2176, 'Medical Examinations'!$A:$P, 11, FALSE)</f>
        <v>OVERWEIGHT</v>
      </c>
      <c r="K2176" s="34">
        <v>25930.0</v>
      </c>
      <c r="L2176" s="35">
        <f>VLOOKUP($A2176, 'Hospitalisation Details'!$A:$H, 7, FALSE)</f>
        <v>1756.6</v>
      </c>
      <c r="M2176" s="22" t="str">
        <f>VLOOKUP($A2176, 'Hospitalisation Details'!$A:$L, 12, FALSE)</f>
        <v>tier - 3</v>
      </c>
      <c r="N2176" s="22" t="str">
        <f>VLOOKUP($A2176, 'Hospitalisation Details'!$A:$M, 13, FALSE)</f>
        <v>tier - 3</v>
      </c>
      <c r="O2176" s="22" t="str">
        <f>VLOOKUP($A2176, 'Hospitalisation Details'!$A:$N, 14, FALSE)</f>
        <v>R1013</v>
      </c>
      <c r="P2176" s="36">
        <f>VLOOKUP($A2176, 'Hospitalisation Details'!$A:$O, 15, FALSE)</f>
        <v>24</v>
      </c>
    </row>
    <row r="2177" ht="15.75" customHeight="1">
      <c r="A2177" s="33" t="s">
        <v>4353</v>
      </c>
      <c r="B2177" s="22" t="str">
        <f>VLOOKUP($A2177,'Customer Names'!$A:$D,3, FALSE)</f>
        <v>O'Connor</v>
      </c>
      <c r="C2177" s="22">
        <f>VLOOKUP($A2177,'Medical Examinations'!$A:$D, 2, FALSE)</f>
        <v>32.9</v>
      </c>
      <c r="D2177" s="22">
        <f>VLOOKUP($A2177, 'Medical Examinations'!$A:$D,3, FALSE)</f>
        <v>4.78</v>
      </c>
      <c r="E2177" s="22" t="str">
        <f>VLOOKUP($A2177, 'Medical Examinations'!$A:$D, 4, FALSE)</f>
        <v>No</v>
      </c>
      <c r="F2177" s="22" t="str">
        <f>VLOOKUP($A2177, 'Medical Examinations'!$A:$J, 5, FALSE)</f>
        <v>No</v>
      </c>
      <c r="G2177" s="22" t="str">
        <f>VLOOKUP($A2177, 'Medical Examinations'!$A:$I, 6, FALSE)</f>
        <v>Yes</v>
      </c>
      <c r="H2177" s="22">
        <f>VLOOKUP($A2177,'Medical Examinations'!$A:$L,10, FALSE)</f>
        <v>1</v>
      </c>
      <c r="I2177" s="22" t="str">
        <f>VLOOKUP($A2177, 'Medical Examinations'!$A:$J, 9, FALSE)</f>
        <v>No</v>
      </c>
      <c r="J2177" s="22" t="str">
        <f>VLOOKUP($A2177, 'Medical Examinations'!$A:$P, 11, FALSE)</f>
        <v>OBESITY</v>
      </c>
      <c r="K2177" s="34">
        <v>23242.0</v>
      </c>
      <c r="L2177" s="35">
        <f>VLOOKUP($A2177, 'Hospitalisation Details'!$A:$H, 7, FALSE)</f>
        <v>1748.77</v>
      </c>
      <c r="M2177" s="22" t="str">
        <f>VLOOKUP($A2177, 'Hospitalisation Details'!$A:$L, 12, FALSE)</f>
        <v>tier - 3</v>
      </c>
      <c r="N2177" s="22" t="str">
        <f>VLOOKUP($A2177, 'Hospitalisation Details'!$A:$M, 13, FALSE)</f>
        <v>tier - 1</v>
      </c>
      <c r="O2177" s="22" t="str">
        <f>VLOOKUP($A2177, 'Hospitalisation Details'!$A:$N, 14, FALSE)</f>
        <v>R1011</v>
      </c>
      <c r="P2177" s="36">
        <f>VLOOKUP($A2177, 'Hospitalisation Details'!$A:$O, 15, FALSE)</f>
        <v>19</v>
      </c>
    </row>
    <row r="2178" ht="15.75" customHeight="1">
      <c r="A2178" s="33" t="s">
        <v>4355</v>
      </c>
      <c r="B2178" s="22" t="str">
        <f>VLOOKUP($A2178,'Customer Names'!$A:$D,3, FALSE)</f>
        <v>White</v>
      </c>
      <c r="C2178" s="22">
        <f>VLOOKUP($A2178,'Medical Examinations'!$A:$D, 2, FALSE)</f>
        <v>29.8</v>
      </c>
      <c r="D2178" s="22">
        <f>VLOOKUP($A2178, 'Medical Examinations'!$A:$D,3, FALSE)</f>
        <v>4.26</v>
      </c>
      <c r="E2178" s="22" t="str">
        <f>VLOOKUP($A2178, 'Medical Examinations'!$A:$D, 4, FALSE)</f>
        <v>No</v>
      </c>
      <c r="F2178" s="22" t="str">
        <f>VLOOKUP($A2178, 'Medical Examinations'!$A:$J, 5, FALSE)</f>
        <v>No</v>
      </c>
      <c r="G2178" s="22" t="str">
        <f>VLOOKUP($A2178, 'Medical Examinations'!$A:$I, 6, FALSE)</f>
        <v>Yes</v>
      </c>
      <c r="H2178" s="22">
        <f>VLOOKUP($A2178,'Medical Examinations'!$A:$L,10, FALSE)</f>
        <v>1</v>
      </c>
      <c r="I2178" s="22" t="str">
        <f>VLOOKUP($A2178, 'Medical Examinations'!$A:$J, 9, FALSE)</f>
        <v>No</v>
      </c>
      <c r="J2178" s="22" t="str">
        <f>VLOOKUP($A2178, 'Medical Examinations'!$A:$P, 11, FALSE)</f>
        <v>OVERWEIGHT</v>
      </c>
      <c r="K2178" s="34">
        <v>36117.0</v>
      </c>
      <c r="L2178" s="35">
        <f>VLOOKUP($A2178, 'Hospitalisation Details'!$A:$H, 7, FALSE)</f>
        <v>1744.47</v>
      </c>
      <c r="M2178" s="22" t="str">
        <f>VLOOKUP($A2178, 'Hospitalisation Details'!$A:$L, 12, FALSE)</f>
        <v>tier - 3</v>
      </c>
      <c r="N2178" s="22" t="str">
        <f>VLOOKUP($A2178, 'Hospitalisation Details'!$A:$M, 13, FALSE)</f>
        <v>tier - 1</v>
      </c>
      <c r="O2178" s="22" t="str">
        <f>VLOOKUP($A2178, 'Hospitalisation Details'!$A:$N, 14, FALSE)</f>
        <v>R1011</v>
      </c>
      <c r="P2178" s="36">
        <f>VLOOKUP($A2178, 'Hospitalisation Details'!$A:$O, 15, FALSE)</f>
        <v>19</v>
      </c>
    </row>
    <row r="2179" ht="15.75" customHeight="1">
      <c r="A2179" s="33" t="s">
        <v>4357</v>
      </c>
      <c r="B2179" s="22" t="str">
        <f>VLOOKUP($A2179,'Customer Names'!$A:$D,3, FALSE)</f>
        <v>Davenport</v>
      </c>
      <c r="C2179" s="22">
        <f>VLOOKUP($A2179,'Medical Examinations'!$A:$D, 2, FALSE)</f>
        <v>28.9</v>
      </c>
      <c r="D2179" s="22">
        <f>VLOOKUP($A2179, 'Medical Examinations'!$A:$D,3, FALSE)</f>
        <v>5.85</v>
      </c>
      <c r="E2179" s="22" t="str">
        <f>VLOOKUP($A2179, 'Medical Examinations'!$A:$D, 4, FALSE)</f>
        <v>No</v>
      </c>
      <c r="F2179" s="22" t="str">
        <f>VLOOKUP($A2179, 'Medical Examinations'!$A:$J, 5, FALSE)</f>
        <v>No</v>
      </c>
      <c r="G2179" s="22" t="str">
        <f>VLOOKUP($A2179, 'Medical Examinations'!$A:$I, 6, FALSE)</f>
        <v>Yes</v>
      </c>
      <c r="H2179" s="22">
        <f>VLOOKUP($A2179,'Medical Examinations'!$A:$L,10, FALSE)</f>
        <v>1</v>
      </c>
      <c r="I2179" s="22" t="str">
        <f>VLOOKUP($A2179, 'Medical Examinations'!$A:$J, 9, FALSE)</f>
        <v>No</v>
      </c>
      <c r="J2179" s="22" t="str">
        <f>VLOOKUP($A2179, 'Medical Examinations'!$A:$P, 11, FALSE)</f>
        <v>OVERWEIGHT</v>
      </c>
      <c r="K2179" s="34">
        <v>26548.0</v>
      </c>
      <c r="L2179" s="35">
        <f>VLOOKUP($A2179, 'Hospitalisation Details'!$A:$H, 7, FALSE)</f>
        <v>1743.21</v>
      </c>
      <c r="M2179" s="22" t="str">
        <f>VLOOKUP($A2179, 'Hospitalisation Details'!$A:$L, 12, FALSE)</f>
        <v>tier - 3</v>
      </c>
      <c r="N2179" s="22" t="str">
        <f>VLOOKUP($A2179, 'Hospitalisation Details'!$A:$M, 13, FALSE)</f>
        <v>tier - 1</v>
      </c>
      <c r="O2179" s="22" t="str">
        <f>VLOOKUP($A2179, 'Hospitalisation Details'!$A:$N, 14, FALSE)</f>
        <v>R1011</v>
      </c>
      <c r="P2179" s="36">
        <f>VLOOKUP($A2179, 'Hospitalisation Details'!$A:$O, 15, FALSE)</f>
        <v>19</v>
      </c>
    </row>
    <row r="2180" ht="15.75" customHeight="1">
      <c r="A2180" s="33" t="s">
        <v>4359</v>
      </c>
      <c r="B2180" s="22" t="str">
        <f>VLOOKUP($A2180,'Customer Names'!$A:$D,3, FALSE)</f>
        <v>Karmen</v>
      </c>
      <c r="C2180" s="22">
        <f>VLOOKUP($A2180,'Medical Examinations'!$A:$D, 2, FALSE)</f>
        <v>24.7</v>
      </c>
      <c r="D2180" s="22">
        <f>VLOOKUP($A2180, 'Medical Examinations'!$A:$D,3, FALSE)</f>
        <v>5.32</v>
      </c>
      <c r="E2180" s="22" t="str">
        <f>VLOOKUP($A2180, 'Medical Examinations'!$A:$D, 4, FALSE)</f>
        <v>No</v>
      </c>
      <c r="F2180" s="22" t="str">
        <f>VLOOKUP($A2180, 'Medical Examinations'!$A:$J, 5, FALSE)</f>
        <v>No</v>
      </c>
      <c r="G2180" s="22" t="str">
        <f>VLOOKUP($A2180, 'Medical Examinations'!$A:$I, 6, FALSE)</f>
        <v>Yes</v>
      </c>
      <c r="H2180" s="22">
        <f>VLOOKUP($A2180,'Medical Examinations'!$A:$L,10, FALSE)</f>
        <v>1</v>
      </c>
      <c r="I2180" s="22" t="str">
        <f>VLOOKUP($A2180, 'Medical Examinations'!$A:$J, 9, FALSE)</f>
        <v>No</v>
      </c>
      <c r="J2180" s="22" t="str">
        <f>VLOOKUP($A2180, 'Medical Examinations'!$A:$P, 11, FALSE)</f>
        <v>NORMAL WEIGHT</v>
      </c>
      <c r="K2180" s="34">
        <v>32366.0</v>
      </c>
      <c r="L2180" s="35">
        <f>VLOOKUP($A2180, 'Hospitalisation Details'!$A:$H, 7, FALSE)</f>
        <v>1737.38</v>
      </c>
      <c r="M2180" s="22" t="str">
        <f>VLOOKUP($A2180, 'Hospitalisation Details'!$A:$L, 12, FALSE)</f>
        <v>tier - 3</v>
      </c>
      <c r="N2180" s="22" t="str">
        <f>VLOOKUP($A2180, 'Hospitalisation Details'!$A:$M, 13, FALSE)</f>
        <v>tier - 2</v>
      </c>
      <c r="O2180" s="22" t="str">
        <f>VLOOKUP($A2180, 'Hospitalisation Details'!$A:$N, 14, FALSE)</f>
        <v>R1011</v>
      </c>
      <c r="P2180" s="36">
        <f>VLOOKUP($A2180, 'Hospitalisation Details'!$A:$O, 15, FALSE)</f>
        <v>19</v>
      </c>
    </row>
    <row r="2181" ht="15.75" customHeight="1">
      <c r="A2181" s="33" t="s">
        <v>4361</v>
      </c>
      <c r="B2181" s="22" t="str">
        <f>VLOOKUP($A2181,'Customer Names'!$A:$D,3, FALSE)</f>
        <v>Miller</v>
      </c>
      <c r="C2181" s="22">
        <f>VLOOKUP($A2181,'Medical Examinations'!$A:$D, 2, FALSE)</f>
        <v>20.6</v>
      </c>
      <c r="D2181" s="22">
        <f>VLOOKUP($A2181, 'Medical Examinations'!$A:$D,3, FALSE)</f>
        <v>5.14</v>
      </c>
      <c r="E2181" s="22" t="str">
        <f>VLOOKUP($A2181, 'Medical Examinations'!$A:$D, 4, FALSE)</f>
        <v>No</v>
      </c>
      <c r="F2181" s="22" t="str">
        <f>VLOOKUP($A2181, 'Medical Examinations'!$A:$J, 5, FALSE)</f>
        <v>No</v>
      </c>
      <c r="G2181" s="22" t="str">
        <f>VLOOKUP($A2181, 'Medical Examinations'!$A:$I, 6, FALSE)</f>
        <v>Yes</v>
      </c>
      <c r="H2181" s="22">
        <f>VLOOKUP($A2181,'Medical Examinations'!$A:$L,10, FALSE)</f>
        <v>1</v>
      </c>
      <c r="I2181" s="22" t="str">
        <f>VLOOKUP($A2181, 'Medical Examinations'!$A:$J, 9, FALSE)</f>
        <v>No</v>
      </c>
      <c r="J2181" s="22" t="str">
        <f>VLOOKUP($A2181, 'Medical Examinations'!$A:$P, 11, FALSE)</f>
        <v>NORMAL WEIGHT</v>
      </c>
      <c r="K2181" s="34">
        <v>25737.0</v>
      </c>
      <c r="L2181" s="35">
        <f>VLOOKUP($A2181, 'Hospitalisation Details'!$A:$H, 7, FALSE)</f>
        <v>1731.68</v>
      </c>
      <c r="M2181" s="22" t="str">
        <f>VLOOKUP($A2181, 'Hospitalisation Details'!$A:$L, 12, FALSE)</f>
        <v>tier - 3</v>
      </c>
      <c r="N2181" s="22" t="str">
        <f>VLOOKUP($A2181, 'Hospitalisation Details'!$A:$M, 13, FALSE)</f>
        <v>tier - 2</v>
      </c>
      <c r="O2181" s="22" t="str">
        <f>VLOOKUP($A2181, 'Hospitalisation Details'!$A:$N, 14, FALSE)</f>
        <v>R1011</v>
      </c>
      <c r="P2181" s="36">
        <f>VLOOKUP($A2181, 'Hospitalisation Details'!$A:$O, 15, FALSE)</f>
        <v>19</v>
      </c>
    </row>
    <row r="2182" ht="15.75" customHeight="1">
      <c r="A2182" s="33" t="s">
        <v>4363</v>
      </c>
      <c r="B2182" s="22" t="str">
        <f>VLOOKUP($A2182,'Customer Names'!$A:$D,3, FALSE)</f>
        <v>Lippmann</v>
      </c>
      <c r="C2182" s="22">
        <f>VLOOKUP($A2182,'Medical Examinations'!$A:$D, 2, FALSE)</f>
        <v>18.6</v>
      </c>
      <c r="D2182" s="22">
        <f>VLOOKUP($A2182, 'Medical Examinations'!$A:$D,3, FALSE)</f>
        <v>5</v>
      </c>
      <c r="E2182" s="22" t="str">
        <f>VLOOKUP($A2182, 'Medical Examinations'!$A:$D, 4, FALSE)</f>
        <v>No</v>
      </c>
      <c r="F2182" s="22" t="str">
        <f>VLOOKUP($A2182, 'Medical Examinations'!$A:$J, 5, FALSE)</f>
        <v>No</v>
      </c>
      <c r="G2182" s="22" t="str">
        <f>VLOOKUP($A2182, 'Medical Examinations'!$A:$I, 6, FALSE)</f>
        <v>Yes</v>
      </c>
      <c r="H2182" s="22">
        <f>VLOOKUP($A2182,'Medical Examinations'!$A:$L,10, FALSE)</f>
        <v>1</v>
      </c>
      <c r="I2182" s="22" t="str">
        <f>VLOOKUP($A2182, 'Medical Examinations'!$A:$J, 9, FALSE)</f>
        <v>No</v>
      </c>
      <c r="J2182" s="22" t="str">
        <f>VLOOKUP($A2182, 'Medical Examinations'!$A:$P, 11, FALSE)</f>
        <v>NORMAL WEIGHT</v>
      </c>
      <c r="K2182" s="34">
        <v>25533.0</v>
      </c>
      <c r="L2182" s="35">
        <f>VLOOKUP($A2182, 'Hospitalisation Details'!$A:$H, 7, FALSE)</f>
        <v>1728.9</v>
      </c>
      <c r="M2182" s="22" t="str">
        <f>VLOOKUP($A2182, 'Hospitalisation Details'!$A:$L, 12, FALSE)</f>
        <v>tier - 3</v>
      </c>
      <c r="N2182" s="22" t="str">
        <f>VLOOKUP($A2182, 'Hospitalisation Details'!$A:$M, 13, FALSE)</f>
        <v>tier - 2</v>
      </c>
      <c r="O2182" s="22" t="str">
        <f>VLOOKUP($A2182, 'Hospitalisation Details'!$A:$N, 14, FALSE)</f>
        <v>R1011</v>
      </c>
      <c r="P2182" s="36">
        <f>VLOOKUP($A2182, 'Hospitalisation Details'!$A:$O, 15, FALSE)</f>
        <v>19</v>
      </c>
    </row>
    <row r="2183" ht="15.75" customHeight="1">
      <c r="A2183" s="33" t="s">
        <v>4365</v>
      </c>
      <c r="B2183" s="22" t="str">
        <f>VLOOKUP($A2183,'Customer Names'!$A:$D,3, FALSE)</f>
        <v>Klehm</v>
      </c>
      <c r="C2183" s="22">
        <f>VLOOKUP($A2183,'Medical Examinations'!$A:$D, 2, FALSE)</f>
        <v>17.8</v>
      </c>
      <c r="D2183" s="22">
        <f>VLOOKUP($A2183, 'Medical Examinations'!$A:$D,3, FALSE)</f>
        <v>4.55</v>
      </c>
      <c r="E2183" s="22" t="str">
        <f>VLOOKUP($A2183, 'Medical Examinations'!$A:$D, 4, FALSE)</f>
        <v>No</v>
      </c>
      <c r="F2183" s="22" t="str">
        <f>VLOOKUP($A2183, 'Medical Examinations'!$A:$J, 5, FALSE)</f>
        <v>No</v>
      </c>
      <c r="G2183" s="22" t="str">
        <f>VLOOKUP($A2183, 'Medical Examinations'!$A:$I, 6, FALSE)</f>
        <v>Yes</v>
      </c>
      <c r="H2183" s="22">
        <f>VLOOKUP($A2183,'Medical Examinations'!$A:$L,10, FALSE)</f>
        <v>1</v>
      </c>
      <c r="I2183" s="22" t="str">
        <f>VLOOKUP($A2183, 'Medical Examinations'!$A:$J, 9, FALSE)</f>
        <v>No</v>
      </c>
      <c r="J2183" s="22" t="str">
        <f>VLOOKUP($A2183, 'Medical Examinations'!$A:$P, 11, FALSE)</f>
        <v>UNDERWEIGHT</v>
      </c>
      <c r="K2183" s="34">
        <v>22613.0</v>
      </c>
      <c r="L2183" s="35">
        <f>VLOOKUP($A2183, 'Hospitalisation Details'!$A:$H, 7, FALSE)</f>
        <v>1727.79</v>
      </c>
      <c r="M2183" s="22" t="str">
        <f>VLOOKUP($A2183, 'Hospitalisation Details'!$A:$L, 12, FALSE)</f>
        <v>tier - 3</v>
      </c>
      <c r="N2183" s="22" t="str">
        <f>VLOOKUP($A2183, 'Hospitalisation Details'!$A:$M, 13, FALSE)</f>
        <v>tier - 3</v>
      </c>
      <c r="O2183" s="22" t="str">
        <f>VLOOKUP($A2183, 'Hospitalisation Details'!$A:$N, 14, FALSE)</f>
        <v>R1011</v>
      </c>
      <c r="P2183" s="36">
        <f>VLOOKUP($A2183, 'Hospitalisation Details'!$A:$O, 15, FALSE)</f>
        <v>19</v>
      </c>
    </row>
    <row r="2184" ht="15.75" customHeight="1">
      <c r="A2184" s="33" t="s">
        <v>4367</v>
      </c>
      <c r="B2184" s="22" t="str">
        <f>VLOOKUP($A2184,'Customer Names'!$A:$D,3, FALSE)</f>
        <v>Murphy</v>
      </c>
      <c r="C2184" s="22">
        <f>VLOOKUP($A2184,'Medical Examinations'!$A:$D, 2, FALSE)</f>
        <v>35.2</v>
      </c>
      <c r="D2184" s="22">
        <f>VLOOKUP($A2184, 'Medical Examinations'!$A:$D,3, FALSE)</f>
        <v>5.97</v>
      </c>
      <c r="E2184" s="22" t="str">
        <f>VLOOKUP($A2184, 'Medical Examinations'!$A:$D, 4, FALSE)</f>
        <v>No</v>
      </c>
      <c r="F2184" s="22" t="str">
        <f>VLOOKUP($A2184, 'Medical Examinations'!$A:$J, 5, FALSE)</f>
        <v>Yes</v>
      </c>
      <c r="G2184" s="22" t="str">
        <f>VLOOKUP($A2184, 'Medical Examinations'!$A:$I, 6, FALSE)</f>
        <v>No</v>
      </c>
      <c r="H2184" s="22">
        <f>VLOOKUP($A2184,'Medical Examinations'!$A:$L,10, FALSE)</f>
        <v>1</v>
      </c>
      <c r="I2184" s="22" t="str">
        <f>VLOOKUP($A2184, 'Medical Examinations'!$A:$J, 9, FALSE)</f>
        <v>No</v>
      </c>
      <c r="J2184" s="22" t="str">
        <f>VLOOKUP($A2184, 'Medical Examinations'!$A:$P, 11, FALSE)</f>
        <v>OBESITY</v>
      </c>
      <c r="K2184" s="34">
        <v>22613.0</v>
      </c>
      <c r="L2184" s="35">
        <f>VLOOKUP($A2184, 'Hospitalisation Details'!$A:$H, 7, FALSE)</f>
        <v>1727.54</v>
      </c>
      <c r="M2184" s="22" t="str">
        <f>VLOOKUP($A2184, 'Hospitalisation Details'!$A:$L, 12, FALSE)</f>
        <v>tier - 3</v>
      </c>
      <c r="N2184" s="22" t="str">
        <f>VLOOKUP($A2184, 'Hospitalisation Details'!$A:$M, 13, FALSE)</f>
        <v>tier - 1</v>
      </c>
      <c r="O2184" s="22" t="str">
        <f>VLOOKUP($A2184, 'Hospitalisation Details'!$A:$N, 14, FALSE)</f>
        <v>R1013</v>
      </c>
      <c r="P2184" s="36">
        <f>VLOOKUP($A2184, 'Hospitalisation Details'!$A:$O, 15, FALSE)</f>
        <v>18</v>
      </c>
    </row>
    <row r="2185" ht="15.75" customHeight="1">
      <c r="A2185" s="33" t="s">
        <v>4369</v>
      </c>
      <c r="B2185" s="22" t="str">
        <f>VLOOKUP($A2185,'Customer Names'!$A:$D,3, FALSE)</f>
        <v>Desisa</v>
      </c>
      <c r="C2185" s="22">
        <f>VLOOKUP($A2185,'Medical Examinations'!$A:$D, 2, FALSE)</f>
        <v>33.77</v>
      </c>
      <c r="D2185" s="22">
        <f>VLOOKUP($A2185, 'Medical Examinations'!$A:$D,3, FALSE)</f>
        <v>4.02</v>
      </c>
      <c r="E2185" s="22" t="str">
        <f>VLOOKUP($A2185, 'Medical Examinations'!$A:$D, 4, FALSE)</f>
        <v>No</v>
      </c>
      <c r="F2185" s="22" t="str">
        <f>VLOOKUP($A2185, 'Medical Examinations'!$A:$J, 5, FALSE)</f>
        <v>Yes</v>
      </c>
      <c r="G2185" s="22" t="str">
        <f>VLOOKUP($A2185, 'Medical Examinations'!$A:$I, 6, FALSE)</f>
        <v>No</v>
      </c>
      <c r="H2185" s="22">
        <f>VLOOKUP($A2185,'Medical Examinations'!$A:$L,10, FALSE)</f>
        <v>1</v>
      </c>
      <c r="I2185" s="22" t="str">
        <f>VLOOKUP($A2185, 'Medical Examinations'!$A:$J, 9, FALSE)</f>
        <v>No</v>
      </c>
      <c r="J2185" s="22" t="str">
        <f>VLOOKUP($A2185, 'Medical Examinations'!$A:$P, 11, FALSE)</f>
        <v>OBESITY</v>
      </c>
      <c r="K2185" s="34">
        <v>22935.0</v>
      </c>
      <c r="L2185" s="35">
        <f>VLOOKUP($A2185, 'Hospitalisation Details'!$A:$H, 7, FALSE)</f>
        <v>1725.55</v>
      </c>
      <c r="M2185" s="22" t="str">
        <f>VLOOKUP($A2185, 'Hospitalisation Details'!$A:$L, 12, FALSE)</f>
        <v>tier - 3</v>
      </c>
      <c r="N2185" s="22" t="str">
        <f>VLOOKUP($A2185, 'Hospitalisation Details'!$A:$M, 13, FALSE)</f>
        <v>tier - 2</v>
      </c>
      <c r="O2185" s="22" t="str">
        <f>VLOOKUP($A2185, 'Hospitalisation Details'!$A:$N, 14, FALSE)</f>
        <v>R1013</v>
      </c>
      <c r="P2185" s="36">
        <f>VLOOKUP($A2185, 'Hospitalisation Details'!$A:$O, 15, FALSE)</f>
        <v>18</v>
      </c>
    </row>
    <row r="2186" ht="15.75" customHeight="1">
      <c r="A2186" s="33" t="s">
        <v>4371</v>
      </c>
      <c r="B2186" s="22" t="str">
        <f>VLOOKUP($A2186,'Customer Names'!$A:$D,3, FALSE)</f>
        <v>Brooks</v>
      </c>
      <c r="C2186" s="22">
        <f>VLOOKUP($A2186,'Medical Examinations'!$A:$D, 2, FALSE)</f>
        <v>30.03</v>
      </c>
      <c r="D2186" s="22">
        <f>VLOOKUP($A2186, 'Medical Examinations'!$A:$D,3, FALSE)</f>
        <v>4.04</v>
      </c>
      <c r="E2186" s="22" t="str">
        <f>VLOOKUP($A2186, 'Medical Examinations'!$A:$D, 4, FALSE)</f>
        <v>No</v>
      </c>
      <c r="F2186" s="22" t="str">
        <f>VLOOKUP($A2186, 'Medical Examinations'!$A:$J, 5, FALSE)</f>
        <v>Yes</v>
      </c>
      <c r="G2186" s="22" t="str">
        <f>VLOOKUP($A2186, 'Medical Examinations'!$A:$I, 6, FALSE)</f>
        <v>No</v>
      </c>
      <c r="H2186" s="22">
        <f>VLOOKUP($A2186,'Medical Examinations'!$A:$L,10, FALSE)</f>
        <v>1</v>
      </c>
      <c r="I2186" s="22" t="str">
        <f>VLOOKUP($A2186, 'Medical Examinations'!$A:$J, 9, FALSE)</f>
        <v>No</v>
      </c>
      <c r="J2186" s="22" t="str">
        <f>VLOOKUP($A2186, 'Medical Examinations'!$A:$P, 11, FALSE)</f>
        <v>OBESITY</v>
      </c>
      <c r="K2186" s="34">
        <v>24300.0</v>
      </c>
      <c r="L2186" s="35">
        <f>VLOOKUP($A2186, 'Hospitalisation Details'!$A:$H, 7, FALSE)</f>
        <v>1720.35</v>
      </c>
      <c r="M2186" s="22" t="str">
        <f>VLOOKUP($A2186, 'Hospitalisation Details'!$A:$L, 12, FALSE)</f>
        <v>tier - 3</v>
      </c>
      <c r="N2186" s="22" t="str">
        <f>VLOOKUP($A2186, 'Hospitalisation Details'!$A:$M, 13, FALSE)</f>
        <v>tier - 3</v>
      </c>
      <c r="O2186" s="22" t="str">
        <f>VLOOKUP($A2186, 'Hospitalisation Details'!$A:$N, 14, FALSE)</f>
        <v>R1013</v>
      </c>
      <c r="P2186" s="36">
        <f>VLOOKUP($A2186, 'Hospitalisation Details'!$A:$O, 15, FALSE)</f>
        <v>18</v>
      </c>
    </row>
    <row r="2187" ht="15.75" customHeight="1">
      <c r="A2187" s="33" t="s">
        <v>4373</v>
      </c>
      <c r="B2187" s="22" t="str">
        <f>VLOOKUP($A2187,'Customer Names'!$A:$D,3, FALSE)</f>
        <v>Stone</v>
      </c>
      <c r="C2187" s="22">
        <f>VLOOKUP($A2187,'Medical Examinations'!$A:$D, 2, FALSE)</f>
        <v>29.37</v>
      </c>
      <c r="D2187" s="22">
        <f>VLOOKUP($A2187, 'Medical Examinations'!$A:$D,3, FALSE)</f>
        <v>5.54</v>
      </c>
      <c r="E2187" s="22" t="str">
        <f>VLOOKUP($A2187, 'Medical Examinations'!$A:$D, 4, FALSE)</f>
        <v>No</v>
      </c>
      <c r="F2187" s="22" t="str">
        <f>VLOOKUP($A2187, 'Medical Examinations'!$A:$J, 5, FALSE)</f>
        <v>Yes</v>
      </c>
      <c r="G2187" s="22" t="str">
        <f>VLOOKUP($A2187, 'Medical Examinations'!$A:$I, 6, FALSE)</f>
        <v>No</v>
      </c>
      <c r="H2187" s="22">
        <f>VLOOKUP($A2187,'Medical Examinations'!$A:$L,10, FALSE)</f>
        <v>1</v>
      </c>
      <c r="I2187" s="22" t="str">
        <f>VLOOKUP($A2187, 'Medical Examinations'!$A:$J, 9, FALSE)</f>
        <v>No</v>
      </c>
      <c r="J2187" s="22" t="str">
        <f>VLOOKUP($A2187, 'Medical Examinations'!$A:$P, 11, FALSE)</f>
        <v>OVERWEIGHT</v>
      </c>
      <c r="K2187" s="34">
        <v>25175.0</v>
      </c>
      <c r="L2187" s="35">
        <f>VLOOKUP($A2187, 'Hospitalisation Details'!$A:$H, 7, FALSE)</f>
        <v>1719.44</v>
      </c>
      <c r="M2187" s="22" t="str">
        <f>VLOOKUP($A2187, 'Hospitalisation Details'!$A:$L, 12, FALSE)</f>
        <v>tier - 3</v>
      </c>
      <c r="N2187" s="22" t="str">
        <f>VLOOKUP($A2187, 'Hospitalisation Details'!$A:$M, 13, FALSE)</f>
        <v>tier - 3</v>
      </c>
      <c r="O2187" s="22" t="str">
        <f>VLOOKUP($A2187, 'Hospitalisation Details'!$A:$N, 14, FALSE)</f>
        <v>R1013</v>
      </c>
      <c r="P2187" s="36">
        <f>VLOOKUP($A2187, 'Hospitalisation Details'!$A:$O, 15, FALSE)</f>
        <v>18</v>
      </c>
    </row>
    <row r="2188" ht="15.75" customHeight="1">
      <c r="A2188" s="33" t="s">
        <v>4375</v>
      </c>
      <c r="B2188" s="22" t="str">
        <f>VLOOKUP($A2188,'Customer Names'!$A:$D,3, FALSE)</f>
        <v>Weispfennig</v>
      </c>
      <c r="C2188" s="22">
        <f>VLOOKUP($A2188,'Medical Examinations'!$A:$D, 2, FALSE)</f>
        <v>28.5</v>
      </c>
      <c r="D2188" s="22">
        <f>VLOOKUP($A2188, 'Medical Examinations'!$A:$D,3, FALSE)</f>
        <v>4.03</v>
      </c>
      <c r="E2188" s="22" t="str">
        <f>VLOOKUP($A2188, 'Medical Examinations'!$A:$D, 4, FALSE)</f>
        <v>No</v>
      </c>
      <c r="F2188" s="22" t="str">
        <f>VLOOKUP($A2188, 'Medical Examinations'!$A:$J, 5, FALSE)</f>
        <v>Yes</v>
      </c>
      <c r="G2188" s="22" t="str">
        <f>VLOOKUP($A2188, 'Medical Examinations'!$A:$I, 6, FALSE)</f>
        <v>No</v>
      </c>
      <c r="H2188" s="22">
        <f>VLOOKUP($A2188,'Medical Examinations'!$A:$L,10, FALSE)</f>
        <v>1</v>
      </c>
      <c r="I2188" s="22" t="str">
        <f>VLOOKUP($A2188, 'Medical Examinations'!$A:$J, 9, FALSE)</f>
        <v>No</v>
      </c>
      <c r="J2188" s="22" t="str">
        <f>VLOOKUP($A2188, 'Medical Examinations'!$A:$P, 11, FALSE)</f>
        <v>OVERWEIGHT</v>
      </c>
      <c r="K2188" s="34">
        <v>24716.0</v>
      </c>
      <c r="L2188" s="35">
        <f>VLOOKUP($A2188, 'Hospitalisation Details'!$A:$H, 7, FALSE)</f>
        <v>1712.23</v>
      </c>
      <c r="M2188" s="22" t="str">
        <f>VLOOKUP($A2188, 'Hospitalisation Details'!$A:$L, 12, FALSE)</f>
        <v>tier - 3</v>
      </c>
      <c r="N2188" s="22" t="str">
        <f>VLOOKUP($A2188, 'Hospitalisation Details'!$A:$M, 13, FALSE)</f>
        <v>tier - 1</v>
      </c>
      <c r="O2188" s="22" t="str">
        <f>VLOOKUP($A2188, 'Hospitalisation Details'!$A:$N, 14, FALSE)</f>
        <v>R1016</v>
      </c>
      <c r="P2188" s="36">
        <f>VLOOKUP($A2188, 'Hospitalisation Details'!$A:$O, 15, FALSE)</f>
        <v>18</v>
      </c>
    </row>
    <row r="2189" ht="15.75" customHeight="1">
      <c r="A2189" s="33" t="s">
        <v>4377</v>
      </c>
      <c r="B2189" s="22" t="str">
        <f>VLOOKUP($A2189,'Customer Names'!$A:$D,3, FALSE)</f>
        <v>Sorrell</v>
      </c>
      <c r="C2189" s="22">
        <f>VLOOKUP($A2189,'Medical Examinations'!$A:$D, 2, FALSE)</f>
        <v>23.32</v>
      </c>
      <c r="D2189" s="22">
        <f>VLOOKUP($A2189, 'Medical Examinations'!$A:$D,3, FALSE)</f>
        <v>5.62</v>
      </c>
      <c r="E2189" s="22" t="str">
        <f>VLOOKUP($A2189, 'Medical Examinations'!$A:$D, 4, FALSE)</f>
        <v>No</v>
      </c>
      <c r="F2189" s="22" t="str">
        <f>VLOOKUP($A2189, 'Medical Examinations'!$A:$J, 5, FALSE)</f>
        <v>Yes</v>
      </c>
      <c r="G2189" s="22" t="str">
        <f>VLOOKUP($A2189, 'Medical Examinations'!$A:$I, 6, FALSE)</f>
        <v>No</v>
      </c>
      <c r="H2189" s="22">
        <f>VLOOKUP($A2189,'Medical Examinations'!$A:$L,10, FALSE)</f>
        <v>1</v>
      </c>
      <c r="I2189" s="22" t="str">
        <f>VLOOKUP($A2189, 'Medical Examinations'!$A:$J, 9, FALSE)</f>
        <v>No</v>
      </c>
      <c r="J2189" s="22" t="str">
        <f>VLOOKUP($A2189, 'Medical Examinations'!$A:$P, 11, FALSE)</f>
        <v>NORMAL WEIGHT</v>
      </c>
      <c r="K2189" s="34">
        <v>25154.0</v>
      </c>
      <c r="L2189" s="35">
        <f>VLOOKUP($A2189, 'Hospitalisation Details'!$A:$H, 7, FALSE)</f>
        <v>1711.03</v>
      </c>
      <c r="M2189" s="22" t="str">
        <f>VLOOKUP($A2189, 'Hospitalisation Details'!$A:$L, 12, FALSE)</f>
        <v>tier - 3</v>
      </c>
      <c r="N2189" s="22" t="str">
        <f>VLOOKUP($A2189, 'Hospitalisation Details'!$A:$M, 13, FALSE)</f>
        <v>tier - 3</v>
      </c>
      <c r="O2189" s="22" t="str">
        <f>VLOOKUP($A2189, 'Hospitalisation Details'!$A:$N, 14, FALSE)</f>
        <v>R1013</v>
      </c>
      <c r="P2189" s="36">
        <f>VLOOKUP($A2189, 'Hospitalisation Details'!$A:$O, 15, FALSE)</f>
        <v>18</v>
      </c>
    </row>
    <row r="2190" ht="15.75" customHeight="1">
      <c r="A2190" s="33" t="s">
        <v>4379</v>
      </c>
      <c r="B2190" s="22" t="str">
        <f>VLOOKUP($A2190,'Customer Names'!$A:$D,3, FALSE)</f>
        <v>Morris</v>
      </c>
      <c r="C2190" s="22">
        <f>VLOOKUP($A2190,'Medical Examinations'!$A:$D, 2, FALSE)</f>
        <v>26.125</v>
      </c>
      <c r="D2190" s="22">
        <f>VLOOKUP($A2190, 'Medical Examinations'!$A:$D,3, FALSE)</f>
        <v>5.27</v>
      </c>
      <c r="E2190" s="22" t="str">
        <f>VLOOKUP($A2190, 'Medical Examinations'!$A:$D, 4, FALSE)</f>
        <v>No</v>
      </c>
      <c r="F2190" s="22" t="str">
        <f>VLOOKUP($A2190, 'Medical Examinations'!$A:$J, 5, FALSE)</f>
        <v>Yes</v>
      </c>
      <c r="G2190" s="22" t="str">
        <f>VLOOKUP($A2190, 'Medical Examinations'!$A:$I, 6, FALSE)</f>
        <v>No</v>
      </c>
      <c r="H2190" s="22">
        <f>VLOOKUP($A2190,'Medical Examinations'!$A:$L,10, FALSE)</f>
        <v>1</v>
      </c>
      <c r="I2190" s="22" t="str">
        <f>VLOOKUP($A2190, 'Medical Examinations'!$A:$J, 9, FALSE)</f>
        <v>No</v>
      </c>
      <c r="J2190" s="22" t="str">
        <f>VLOOKUP($A2190, 'Medical Examinations'!$A:$P, 11, FALSE)</f>
        <v>OVERWEIGHT</v>
      </c>
      <c r="K2190" s="34">
        <v>26523.0</v>
      </c>
      <c r="L2190" s="35">
        <f>VLOOKUP($A2190, 'Hospitalisation Details'!$A:$H, 7, FALSE)</f>
        <v>1708.93</v>
      </c>
      <c r="M2190" s="22" t="str">
        <f>VLOOKUP($A2190, 'Hospitalisation Details'!$A:$L, 12, FALSE)</f>
        <v>tier - 3</v>
      </c>
      <c r="N2190" s="22" t="str">
        <f>VLOOKUP($A2190, 'Hospitalisation Details'!$A:$M, 13, FALSE)</f>
        <v>tier - 1</v>
      </c>
      <c r="O2190" s="22" t="str">
        <f>VLOOKUP($A2190, 'Hospitalisation Details'!$A:$N, 14, FALSE)</f>
        <v>R1019</v>
      </c>
      <c r="P2190" s="36">
        <f>VLOOKUP($A2190, 'Hospitalisation Details'!$A:$O, 15, FALSE)</f>
        <v>18</v>
      </c>
    </row>
    <row r="2191" ht="15.75" customHeight="1">
      <c r="A2191" s="33" t="s">
        <v>4381</v>
      </c>
      <c r="B2191" s="22" t="str">
        <f>VLOOKUP($A2191,'Customer Names'!$A:$D,3, FALSE)</f>
        <v>Marek</v>
      </c>
      <c r="C2191" s="22">
        <f>VLOOKUP($A2191,'Medical Examinations'!$A:$D, 2, FALSE)</f>
        <v>25.46</v>
      </c>
      <c r="D2191" s="22">
        <f>VLOOKUP($A2191, 'Medical Examinations'!$A:$D,3, FALSE)</f>
        <v>5.18</v>
      </c>
      <c r="E2191" s="22" t="str">
        <f>VLOOKUP($A2191, 'Medical Examinations'!$A:$D, 4, FALSE)</f>
        <v>No</v>
      </c>
      <c r="F2191" s="22" t="str">
        <f>VLOOKUP($A2191, 'Medical Examinations'!$A:$J, 5, FALSE)</f>
        <v>Yes</v>
      </c>
      <c r="G2191" s="22" t="str">
        <f>VLOOKUP($A2191, 'Medical Examinations'!$A:$I, 6, FALSE)</f>
        <v>No</v>
      </c>
      <c r="H2191" s="22">
        <f>VLOOKUP($A2191,'Medical Examinations'!$A:$L,10, FALSE)</f>
        <v>1</v>
      </c>
      <c r="I2191" s="22" t="str">
        <f>VLOOKUP($A2191, 'Medical Examinations'!$A:$J, 9, FALSE)</f>
        <v>No</v>
      </c>
      <c r="J2191" s="22" t="str">
        <f>VLOOKUP($A2191, 'Medical Examinations'!$A:$P, 11, FALSE)</f>
        <v>OVERWEIGHT</v>
      </c>
      <c r="K2191" s="34">
        <v>25168.0</v>
      </c>
      <c r="L2191" s="35">
        <f>VLOOKUP($A2191, 'Hospitalisation Details'!$A:$H, 7, FALSE)</f>
        <v>1708</v>
      </c>
      <c r="M2191" s="22" t="str">
        <f>VLOOKUP($A2191, 'Hospitalisation Details'!$A:$L, 12, FALSE)</f>
        <v>tier - 3</v>
      </c>
      <c r="N2191" s="22" t="str">
        <f>VLOOKUP($A2191, 'Hospitalisation Details'!$A:$M, 13, FALSE)</f>
        <v>tier - 2</v>
      </c>
      <c r="O2191" s="22" t="str">
        <f>VLOOKUP($A2191, 'Hospitalisation Details'!$A:$N, 14, FALSE)</f>
        <v>R1016</v>
      </c>
      <c r="P2191" s="36">
        <f>VLOOKUP($A2191, 'Hospitalisation Details'!$A:$O, 15, FALSE)</f>
        <v>18</v>
      </c>
    </row>
    <row r="2192" ht="15.75" customHeight="1">
      <c r="A2192" s="33" t="s">
        <v>4383</v>
      </c>
      <c r="B2192" s="22" t="str">
        <f>VLOOKUP($A2192,'Customer Names'!$A:$D,3, FALSE)</f>
        <v>Armstrong</v>
      </c>
      <c r="C2192" s="22">
        <f>VLOOKUP($A2192,'Medical Examinations'!$A:$D, 2, FALSE)</f>
        <v>23.75</v>
      </c>
      <c r="D2192" s="22">
        <f>VLOOKUP($A2192, 'Medical Examinations'!$A:$D,3, FALSE)</f>
        <v>5.27</v>
      </c>
      <c r="E2192" s="22" t="str">
        <f>VLOOKUP($A2192, 'Medical Examinations'!$A:$D, 4, FALSE)</f>
        <v>No</v>
      </c>
      <c r="F2192" s="22" t="str">
        <f>VLOOKUP($A2192, 'Medical Examinations'!$A:$J, 5, FALSE)</f>
        <v>Yes</v>
      </c>
      <c r="G2192" s="22" t="str">
        <f>VLOOKUP($A2192, 'Medical Examinations'!$A:$I, 6, FALSE)</f>
        <v>No</v>
      </c>
      <c r="H2192" s="22">
        <f>VLOOKUP($A2192,'Medical Examinations'!$A:$L,10, FALSE)</f>
        <v>1</v>
      </c>
      <c r="I2192" s="22" t="str">
        <f>VLOOKUP($A2192, 'Medical Examinations'!$A:$J, 9, FALSE)</f>
        <v>No</v>
      </c>
      <c r="J2192" s="22" t="str">
        <f>VLOOKUP($A2192, 'Medical Examinations'!$A:$P, 11, FALSE)</f>
        <v>NORMAL WEIGHT</v>
      </c>
      <c r="K2192" s="34">
        <v>34920.0</v>
      </c>
      <c r="L2192" s="35">
        <f>VLOOKUP($A2192, 'Hospitalisation Details'!$A:$H, 7, FALSE)</f>
        <v>1705.62</v>
      </c>
      <c r="M2192" s="22" t="str">
        <f>VLOOKUP($A2192, 'Hospitalisation Details'!$A:$L, 12, FALSE)</f>
        <v>tier - 2</v>
      </c>
      <c r="N2192" s="22" t="str">
        <f>VLOOKUP($A2192, 'Hospitalisation Details'!$A:$M, 13, FALSE)</f>
        <v>tier - 2</v>
      </c>
      <c r="O2192" s="22" t="str">
        <f>VLOOKUP($A2192, 'Hospitalisation Details'!$A:$N, 14, FALSE)</f>
        <v>R1015</v>
      </c>
      <c r="P2192" s="36">
        <f>VLOOKUP($A2192, 'Hospitalisation Details'!$A:$O, 15, FALSE)</f>
        <v>18</v>
      </c>
    </row>
    <row r="2193" ht="15.75" customHeight="1">
      <c r="A2193" s="33" t="s">
        <v>4385</v>
      </c>
      <c r="B2193" s="22" t="str">
        <f>VLOOKUP($A2193,'Customer Names'!$A:$D,3, FALSE)</f>
        <v>Werner</v>
      </c>
      <c r="C2193" s="22">
        <f>VLOOKUP($A2193,'Medical Examinations'!$A:$D, 2, FALSE)</f>
        <v>23.085</v>
      </c>
      <c r="D2193" s="22">
        <f>VLOOKUP($A2193, 'Medical Examinations'!$A:$D,3, FALSE)</f>
        <v>5.62</v>
      </c>
      <c r="E2193" s="22" t="str">
        <f>VLOOKUP($A2193, 'Medical Examinations'!$A:$D, 4, FALSE)</f>
        <v>No</v>
      </c>
      <c r="F2193" s="22" t="str">
        <f>VLOOKUP($A2193, 'Medical Examinations'!$A:$J, 5, FALSE)</f>
        <v>Yes</v>
      </c>
      <c r="G2193" s="22" t="str">
        <f>VLOOKUP($A2193, 'Medical Examinations'!$A:$I, 6, FALSE)</f>
        <v>No</v>
      </c>
      <c r="H2193" s="22">
        <f>VLOOKUP($A2193,'Medical Examinations'!$A:$L,10, FALSE)</f>
        <v>1</v>
      </c>
      <c r="I2193" s="22" t="str">
        <f>VLOOKUP($A2193, 'Medical Examinations'!$A:$J, 9, FALSE)</f>
        <v>No</v>
      </c>
      <c r="J2193" s="22" t="str">
        <f>VLOOKUP($A2193, 'Medical Examinations'!$A:$P, 11, FALSE)</f>
        <v>NORMAL WEIGHT</v>
      </c>
      <c r="K2193" s="34">
        <v>23593.0</v>
      </c>
      <c r="L2193" s="35">
        <f>VLOOKUP($A2193, 'Hospitalisation Details'!$A:$H, 7, FALSE)</f>
        <v>1704.7</v>
      </c>
      <c r="M2193" s="22" t="str">
        <f>VLOOKUP($A2193, 'Hospitalisation Details'!$A:$L, 12, FALSE)</f>
        <v>tier - 2</v>
      </c>
      <c r="N2193" s="22" t="str">
        <f>VLOOKUP($A2193, 'Hospitalisation Details'!$A:$M, 13, FALSE)</f>
        <v>tier - 3</v>
      </c>
      <c r="O2193" s="22" t="str">
        <f>VLOOKUP($A2193, 'Hospitalisation Details'!$A:$N, 14, FALSE)</f>
        <v>R1018</v>
      </c>
      <c r="P2193" s="36">
        <f>VLOOKUP($A2193, 'Hospitalisation Details'!$A:$O, 15, FALSE)</f>
        <v>18</v>
      </c>
    </row>
    <row r="2194" ht="15.75" customHeight="1">
      <c r="A2194" s="33" t="s">
        <v>4387</v>
      </c>
      <c r="B2194" s="22" t="str">
        <f>VLOOKUP($A2194,'Customer Names'!$A:$D,3, FALSE)</f>
        <v>Gries</v>
      </c>
      <c r="C2194" s="22">
        <f>VLOOKUP($A2194,'Medical Examinations'!$A:$D, 2, FALSE)</f>
        <v>22.99</v>
      </c>
      <c r="D2194" s="22">
        <f>VLOOKUP($A2194, 'Medical Examinations'!$A:$D,3, FALSE)</f>
        <v>5.06</v>
      </c>
      <c r="E2194" s="22" t="str">
        <f>VLOOKUP($A2194, 'Medical Examinations'!$A:$D, 4, FALSE)</f>
        <v>No</v>
      </c>
      <c r="F2194" s="22" t="str">
        <f>VLOOKUP($A2194, 'Medical Examinations'!$A:$J, 5, FALSE)</f>
        <v>Yes</v>
      </c>
      <c r="G2194" s="22" t="str">
        <f>VLOOKUP($A2194, 'Medical Examinations'!$A:$I, 6, FALSE)</f>
        <v>No</v>
      </c>
      <c r="H2194" s="22">
        <f>VLOOKUP($A2194,'Medical Examinations'!$A:$L,10, FALSE)</f>
        <v>1</v>
      </c>
      <c r="I2194" s="22" t="str">
        <f>VLOOKUP($A2194, 'Medical Examinations'!$A:$J, 9, FALSE)</f>
        <v>No</v>
      </c>
      <c r="J2194" s="22" t="str">
        <f>VLOOKUP($A2194, 'Medical Examinations'!$A:$P, 11, FALSE)</f>
        <v>NORMAL WEIGHT</v>
      </c>
      <c r="K2194" s="34">
        <v>29050.0</v>
      </c>
      <c r="L2194" s="35">
        <f>VLOOKUP($A2194, 'Hospitalisation Details'!$A:$H, 7, FALSE)</f>
        <v>1704.57</v>
      </c>
      <c r="M2194" s="22" t="str">
        <f>VLOOKUP($A2194, 'Hospitalisation Details'!$A:$L, 12, FALSE)</f>
        <v>tier - 2</v>
      </c>
      <c r="N2194" s="22" t="str">
        <f>VLOOKUP($A2194, 'Hospitalisation Details'!$A:$M, 13, FALSE)</f>
        <v>tier - 1</v>
      </c>
      <c r="O2194" s="22" t="str">
        <f>VLOOKUP($A2194, 'Hospitalisation Details'!$A:$N, 14, FALSE)</f>
        <v>R1016</v>
      </c>
      <c r="P2194" s="36">
        <f>VLOOKUP($A2194, 'Hospitalisation Details'!$A:$O, 15, FALSE)</f>
        <v>18</v>
      </c>
    </row>
    <row r="2195" ht="15.75" customHeight="1">
      <c r="A2195" s="33" t="s">
        <v>4389</v>
      </c>
      <c r="B2195" s="22" t="str">
        <f>VLOOKUP($A2195,'Customer Names'!$A:$D,3, FALSE)</f>
        <v>Mills</v>
      </c>
      <c r="C2195" s="22">
        <f>VLOOKUP($A2195,'Medical Examinations'!$A:$D, 2, FALSE)</f>
        <v>21.47</v>
      </c>
      <c r="D2195" s="22">
        <f>VLOOKUP($A2195, 'Medical Examinations'!$A:$D,3, FALSE)</f>
        <v>4.69</v>
      </c>
      <c r="E2195" s="22" t="str">
        <f>VLOOKUP($A2195, 'Medical Examinations'!$A:$D, 4, FALSE)</f>
        <v>No</v>
      </c>
      <c r="F2195" s="22" t="str">
        <f>VLOOKUP($A2195, 'Medical Examinations'!$A:$J, 5, FALSE)</f>
        <v>Yes</v>
      </c>
      <c r="G2195" s="22" t="str">
        <f>VLOOKUP($A2195, 'Medical Examinations'!$A:$I, 6, FALSE)</f>
        <v>No</v>
      </c>
      <c r="H2195" s="22">
        <f>VLOOKUP($A2195,'Medical Examinations'!$A:$L,10, FALSE)</f>
        <v>1</v>
      </c>
      <c r="I2195" s="22" t="str">
        <f>VLOOKUP($A2195, 'Medical Examinations'!$A:$J, 9, FALSE)</f>
        <v>No</v>
      </c>
      <c r="J2195" s="22" t="str">
        <f>VLOOKUP($A2195, 'Medical Examinations'!$A:$P, 11, FALSE)</f>
        <v>NORMAL WEIGHT</v>
      </c>
      <c r="K2195" s="34">
        <v>26532.0</v>
      </c>
      <c r="L2195" s="35">
        <f>VLOOKUP($A2195, 'Hospitalisation Details'!$A:$H, 7, FALSE)</f>
        <v>1702.46</v>
      </c>
      <c r="M2195" s="22" t="str">
        <f>VLOOKUP($A2195, 'Hospitalisation Details'!$A:$L, 12, FALSE)</f>
        <v>tier - 2</v>
      </c>
      <c r="N2195" s="22" t="str">
        <f>VLOOKUP($A2195, 'Hospitalisation Details'!$A:$M, 13, FALSE)</f>
        <v>tier - 3</v>
      </c>
      <c r="O2195" s="22" t="str">
        <f>VLOOKUP($A2195, 'Hospitalisation Details'!$A:$N, 14, FALSE)</f>
        <v>R1019</v>
      </c>
      <c r="P2195" s="36">
        <f>VLOOKUP($A2195, 'Hospitalisation Details'!$A:$O, 15, FALSE)</f>
        <v>18</v>
      </c>
    </row>
    <row r="2196" ht="15.75" customHeight="1">
      <c r="A2196" s="33" t="s">
        <v>4391</v>
      </c>
      <c r="B2196" s="22" t="str">
        <f>VLOOKUP($A2196,'Customer Names'!$A:$D,3, FALSE)</f>
        <v>Penny</v>
      </c>
      <c r="C2196" s="22">
        <f>VLOOKUP($A2196,'Medical Examinations'!$A:$D, 2, FALSE)</f>
        <v>15.96</v>
      </c>
      <c r="D2196" s="22">
        <f>VLOOKUP($A2196, 'Medical Examinations'!$A:$D,3, FALSE)</f>
        <v>5.44</v>
      </c>
      <c r="E2196" s="22" t="str">
        <f>VLOOKUP($A2196, 'Medical Examinations'!$A:$D, 4, FALSE)</f>
        <v>No</v>
      </c>
      <c r="F2196" s="22" t="str">
        <f>VLOOKUP($A2196, 'Medical Examinations'!$A:$J, 5, FALSE)</f>
        <v>Yes</v>
      </c>
      <c r="G2196" s="22" t="str">
        <f>VLOOKUP($A2196, 'Medical Examinations'!$A:$I, 6, FALSE)</f>
        <v>No</v>
      </c>
      <c r="H2196" s="22">
        <f>VLOOKUP($A2196,'Medical Examinations'!$A:$L,10, FALSE)</f>
        <v>1</v>
      </c>
      <c r="I2196" s="22" t="str">
        <f>VLOOKUP($A2196, 'Medical Examinations'!$A:$J, 9, FALSE)</f>
        <v>No</v>
      </c>
      <c r="J2196" s="22" t="str">
        <f>VLOOKUP($A2196, 'Medical Examinations'!$A:$P, 11, FALSE)</f>
        <v>UNDERWEIGHT</v>
      </c>
      <c r="K2196" s="34">
        <v>32871.0</v>
      </c>
      <c r="L2196" s="35">
        <f>VLOOKUP($A2196, 'Hospitalisation Details'!$A:$H, 7, FALSE)</f>
        <v>1694.8</v>
      </c>
      <c r="M2196" s="22" t="str">
        <f>VLOOKUP($A2196, 'Hospitalisation Details'!$A:$L, 12, FALSE)</f>
        <v>tier - 2</v>
      </c>
      <c r="N2196" s="22" t="str">
        <f>VLOOKUP($A2196, 'Hospitalisation Details'!$A:$M, 13, FALSE)</f>
        <v>tier - 2</v>
      </c>
      <c r="O2196" s="22" t="str">
        <f>VLOOKUP($A2196, 'Hospitalisation Details'!$A:$N, 14, FALSE)</f>
        <v>R1015</v>
      </c>
      <c r="P2196" s="36">
        <f>VLOOKUP($A2196, 'Hospitalisation Details'!$A:$O, 15, FALSE)</f>
        <v>18</v>
      </c>
    </row>
    <row r="2197" ht="15.75" customHeight="1">
      <c r="A2197" s="33" t="s">
        <v>4393</v>
      </c>
      <c r="B2197" s="22" t="str">
        <f>VLOOKUP($A2197,'Customer Names'!$A:$D,3, FALSE)</f>
        <v>Hicks</v>
      </c>
      <c r="C2197" s="22">
        <f>VLOOKUP($A2197,'Medical Examinations'!$A:$D, 2, FALSE)</f>
        <v>39.5</v>
      </c>
      <c r="D2197" s="22">
        <f>VLOOKUP($A2197, 'Medical Examinations'!$A:$D,3, FALSE)</f>
        <v>5.05</v>
      </c>
      <c r="E2197" s="22" t="str">
        <f>VLOOKUP($A2197, 'Medical Examinations'!$A:$D, 4, FALSE)</f>
        <v>No</v>
      </c>
      <c r="F2197" s="22" t="str">
        <f>VLOOKUP($A2197, 'Medical Examinations'!$A:$J, 5, FALSE)</f>
        <v>Yes</v>
      </c>
      <c r="G2197" s="22" t="str">
        <f>VLOOKUP($A2197, 'Medical Examinations'!$A:$I, 6, FALSE)</f>
        <v>No</v>
      </c>
      <c r="H2197" s="22">
        <f>VLOOKUP($A2197,'Medical Examinations'!$A:$L,10, FALSE)</f>
        <v>1</v>
      </c>
      <c r="I2197" s="22" t="str">
        <f>VLOOKUP($A2197, 'Medical Examinations'!$A:$J, 9, FALSE)</f>
        <v>No</v>
      </c>
      <c r="J2197" s="22" t="str">
        <f>VLOOKUP($A2197, 'Medical Examinations'!$A:$P, 11, FALSE)</f>
        <v>OBESITY</v>
      </c>
      <c r="K2197" s="34">
        <v>22915.0</v>
      </c>
      <c r="L2197" s="35">
        <f>VLOOKUP($A2197, 'Hospitalisation Details'!$A:$H, 7, FALSE)</f>
        <v>1682.6</v>
      </c>
      <c r="M2197" s="22" t="str">
        <f>VLOOKUP($A2197, 'Hospitalisation Details'!$A:$L, 12, FALSE)</f>
        <v>tier - 2</v>
      </c>
      <c r="N2197" s="22" t="str">
        <f>VLOOKUP($A2197, 'Hospitalisation Details'!$A:$M, 13, FALSE)</f>
        <v>tier - 2</v>
      </c>
      <c r="O2197" s="22" t="str">
        <f>VLOOKUP($A2197, 'Hospitalisation Details'!$A:$N, 14, FALSE)</f>
        <v>R1011</v>
      </c>
      <c r="P2197" s="36">
        <f>VLOOKUP($A2197, 'Hospitalisation Details'!$A:$O, 15, FALSE)</f>
        <v>22</v>
      </c>
    </row>
    <row r="2198" ht="15.75" customHeight="1">
      <c r="A2198" s="33" t="s">
        <v>4395</v>
      </c>
      <c r="B2198" s="22" t="str">
        <f>VLOOKUP($A2198,'Customer Names'!$A:$D,3, FALSE)</f>
        <v>Masayesva</v>
      </c>
      <c r="C2198" s="22">
        <f>VLOOKUP($A2198,'Medical Examinations'!$A:$D, 2, FALSE)</f>
        <v>33.77</v>
      </c>
      <c r="D2198" s="22">
        <f>VLOOKUP($A2198, 'Medical Examinations'!$A:$D,3, FALSE)</f>
        <v>6</v>
      </c>
      <c r="E2198" s="22" t="str">
        <f>VLOOKUP($A2198, 'Medical Examinations'!$A:$D, 4, FALSE)</f>
        <v>No</v>
      </c>
      <c r="F2198" s="22" t="str">
        <f>VLOOKUP($A2198, 'Medical Examinations'!$A:$J, 5, FALSE)</f>
        <v>Yes</v>
      </c>
      <c r="G2198" s="22" t="str">
        <f>VLOOKUP($A2198, 'Medical Examinations'!$A:$I, 6, FALSE)</f>
        <v>No</v>
      </c>
      <c r="H2198" s="22">
        <f>VLOOKUP($A2198,'Medical Examinations'!$A:$L,10, FALSE)</f>
        <v>1</v>
      </c>
      <c r="I2198" s="22" t="str">
        <f>VLOOKUP($A2198, 'Medical Examinations'!$A:$J, 9, FALSE)</f>
        <v>No</v>
      </c>
      <c r="J2198" s="22" t="str">
        <f>VLOOKUP($A2198, 'Medical Examinations'!$A:$P, 11, FALSE)</f>
        <v>OBESITY</v>
      </c>
      <c r="K2198" s="34">
        <v>24470.0</v>
      </c>
      <c r="L2198" s="35">
        <f>VLOOKUP($A2198, 'Hospitalisation Details'!$A:$H, 7, FALSE)</f>
        <v>1674.63</v>
      </c>
      <c r="M2198" s="22" t="str">
        <f>VLOOKUP($A2198, 'Hospitalisation Details'!$A:$L, 12, FALSE)</f>
        <v>tier - 2</v>
      </c>
      <c r="N2198" s="22" t="str">
        <f>VLOOKUP($A2198, 'Hospitalisation Details'!$A:$M, 13, FALSE)</f>
        <v>tier - 2</v>
      </c>
      <c r="O2198" s="22" t="str">
        <f>VLOOKUP($A2198, 'Hospitalisation Details'!$A:$N, 14, FALSE)</f>
        <v>R1013</v>
      </c>
      <c r="P2198" s="36">
        <f>VLOOKUP($A2198, 'Hospitalisation Details'!$A:$O, 15, FALSE)</f>
        <v>22</v>
      </c>
    </row>
    <row r="2199" ht="15.75" customHeight="1">
      <c r="A2199" s="33" t="s">
        <v>4397</v>
      </c>
      <c r="B2199" s="22" t="str">
        <f>VLOOKUP($A2199,'Customer Names'!$A:$D,3, FALSE)</f>
        <v>Paavola</v>
      </c>
      <c r="C2199" s="22">
        <f>VLOOKUP($A2199,'Medical Examinations'!$A:$D, 2, FALSE)</f>
        <v>26.84</v>
      </c>
      <c r="D2199" s="22">
        <f>VLOOKUP($A2199, 'Medical Examinations'!$A:$D,3, FALSE)</f>
        <v>5.99</v>
      </c>
      <c r="E2199" s="22" t="str">
        <f>VLOOKUP($A2199, 'Medical Examinations'!$A:$D, 4, FALSE)</f>
        <v>Yes</v>
      </c>
      <c r="F2199" s="22" t="str">
        <f>VLOOKUP($A2199, 'Medical Examinations'!$A:$J, 5, FALSE)</f>
        <v>Yes</v>
      </c>
      <c r="G2199" s="22" t="str">
        <f>VLOOKUP($A2199, 'Medical Examinations'!$A:$I, 6, FALSE)</f>
        <v>No</v>
      </c>
      <c r="H2199" s="22">
        <f>VLOOKUP($A2199,'Medical Examinations'!$A:$L,10, FALSE)</f>
        <v>1</v>
      </c>
      <c r="I2199" s="22" t="str">
        <f>VLOOKUP($A2199, 'Medical Examinations'!$A:$J, 9, FALSE)</f>
        <v>No</v>
      </c>
      <c r="J2199" s="22" t="str">
        <f>VLOOKUP($A2199, 'Medical Examinations'!$A:$P, 11, FALSE)</f>
        <v>OVERWEIGHT</v>
      </c>
      <c r="K2199" s="34">
        <v>23276.0</v>
      </c>
      <c r="L2199" s="35">
        <f>VLOOKUP($A2199, 'Hospitalisation Details'!$A:$H, 7, FALSE)</f>
        <v>1665</v>
      </c>
      <c r="M2199" s="22" t="str">
        <f>VLOOKUP($A2199, 'Hospitalisation Details'!$A:$L, 12, FALSE)</f>
        <v>tier - 2</v>
      </c>
      <c r="N2199" s="22" t="str">
        <f>VLOOKUP($A2199, 'Hospitalisation Details'!$A:$M, 13, FALSE)</f>
        <v>tier - 2</v>
      </c>
      <c r="O2199" s="22" t="str">
        <f>VLOOKUP($A2199, 'Hospitalisation Details'!$A:$N, 14, FALSE)</f>
        <v>R1013</v>
      </c>
      <c r="P2199" s="36">
        <f>VLOOKUP($A2199, 'Hospitalisation Details'!$A:$O, 15, FALSE)</f>
        <v>22</v>
      </c>
    </row>
    <row r="2200" ht="15.75" customHeight="1">
      <c r="A2200" s="33" t="s">
        <v>4399</v>
      </c>
      <c r="B2200" s="22" t="str">
        <f>VLOOKUP($A2200,'Customer Names'!$A:$D,3, FALSE)</f>
        <v>Gehlsen</v>
      </c>
      <c r="C2200" s="22">
        <f>VLOOKUP($A2200,'Medical Examinations'!$A:$D, 2, FALSE)</f>
        <v>35.53</v>
      </c>
      <c r="D2200" s="22">
        <f>VLOOKUP($A2200, 'Medical Examinations'!$A:$D,3, FALSE)</f>
        <v>4.36</v>
      </c>
      <c r="E2200" s="22" t="str">
        <f>VLOOKUP($A2200, 'Medical Examinations'!$A:$D, 4, FALSE)</f>
        <v>No</v>
      </c>
      <c r="F2200" s="22" t="str">
        <f>VLOOKUP($A2200, 'Medical Examinations'!$A:$J, 5, FALSE)</f>
        <v>No</v>
      </c>
      <c r="G2200" s="22" t="str">
        <f>VLOOKUP($A2200, 'Medical Examinations'!$A:$I, 6, FALSE)</f>
        <v>Yes</v>
      </c>
      <c r="H2200" s="22">
        <f>VLOOKUP($A2200,'Medical Examinations'!$A:$L,10, FALSE)</f>
        <v>1</v>
      </c>
      <c r="I2200" s="22" t="str">
        <f>VLOOKUP($A2200, 'Medical Examinations'!$A:$J, 9, FALSE)</f>
        <v>No</v>
      </c>
      <c r="J2200" s="22" t="str">
        <f>VLOOKUP($A2200, 'Medical Examinations'!$A:$P, 11, FALSE)</f>
        <v>OBESITY</v>
      </c>
      <c r="K2200" s="34">
        <v>23225.0</v>
      </c>
      <c r="L2200" s="35">
        <f>VLOOKUP($A2200, 'Hospitalisation Details'!$A:$H, 7, FALSE)</f>
        <v>1646.43</v>
      </c>
      <c r="M2200" s="22" t="str">
        <f>VLOOKUP($A2200, 'Hospitalisation Details'!$A:$L, 12, FALSE)</f>
        <v>tier - 2</v>
      </c>
      <c r="N2200" s="22" t="str">
        <f>VLOOKUP($A2200, 'Hospitalisation Details'!$A:$M, 13, FALSE)</f>
        <v>tier - 1</v>
      </c>
      <c r="O2200" s="22" t="str">
        <f>VLOOKUP($A2200, 'Hospitalisation Details'!$A:$N, 14, FALSE)</f>
        <v>R1012</v>
      </c>
      <c r="P2200" s="36">
        <f>VLOOKUP($A2200, 'Hospitalisation Details'!$A:$O, 15, FALSE)</f>
        <v>19</v>
      </c>
    </row>
    <row r="2201" ht="15.75" customHeight="1">
      <c r="A2201" s="33" t="s">
        <v>4401</v>
      </c>
      <c r="B2201" s="22" t="str">
        <f>VLOOKUP($A2201,'Customer Names'!$A:$D,3, FALSE)</f>
        <v>Roche</v>
      </c>
      <c r="C2201" s="22">
        <f>VLOOKUP($A2201,'Medical Examinations'!$A:$D, 2, FALSE)</f>
        <v>30.59</v>
      </c>
      <c r="D2201" s="22">
        <f>VLOOKUP($A2201, 'Medical Examinations'!$A:$D,3, FALSE)</f>
        <v>4.41</v>
      </c>
      <c r="E2201" s="22" t="str">
        <f>VLOOKUP($A2201, 'Medical Examinations'!$A:$D, 4, FALSE)</f>
        <v>No</v>
      </c>
      <c r="F2201" s="22" t="str">
        <f>VLOOKUP($A2201, 'Medical Examinations'!$A:$J, 5, FALSE)</f>
        <v>No</v>
      </c>
      <c r="G2201" s="22" t="str">
        <f>VLOOKUP($A2201, 'Medical Examinations'!$A:$I, 6, FALSE)</f>
        <v>Yes</v>
      </c>
      <c r="H2201" s="22">
        <f>VLOOKUP($A2201,'Medical Examinations'!$A:$L,10, FALSE)</f>
        <v>1</v>
      </c>
      <c r="I2201" s="22" t="str">
        <f>VLOOKUP($A2201, 'Medical Examinations'!$A:$J, 9, FALSE)</f>
        <v>No</v>
      </c>
      <c r="J2201" s="22" t="str">
        <f>VLOOKUP($A2201, 'Medical Examinations'!$A:$P, 11, FALSE)</f>
        <v>OBESITY</v>
      </c>
      <c r="K2201" s="34">
        <v>29139.0</v>
      </c>
      <c r="L2201" s="35">
        <f>VLOOKUP($A2201, 'Hospitalisation Details'!$A:$H, 7, FALSE)</f>
        <v>1639.56</v>
      </c>
      <c r="M2201" s="22" t="str">
        <f>VLOOKUP($A2201, 'Hospitalisation Details'!$A:$L, 12, FALSE)</f>
        <v>tier - 2</v>
      </c>
      <c r="N2201" s="22" t="str">
        <f>VLOOKUP($A2201, 'Hospitalisation Details'!$A:$M, 13, FALSE)</f>
        <v>tier - 2</v>
      </c>
      <c r="O2201" s="22" t="str">
        <f>VLOOKUP($A2201, 'Hospitalisation Details'!$A:$N, 14, FALSE)</f>
        <v>R1012</v>
      </c>
      <c r="P2201" s="36">
        <f>VLOOKUP($A2201, 'Hospitalisation Details'!$A:$O, 15, FALSE)</f>
        <v>19</v>
      </c>
    </row>
    <row r="2202" ht="15.75" customHeight="1">
      <c r="A2202" s="33" t="s">
        <v>4403</v>
      </c>
      <c r="B2202" s="22" t="str">
        <f>VLOOKUP($A2202,'Customer Names'!$A:$D,3, FALSE)</f>
        <v>Hearn</v>
      </c>
      <c r="C2202" s="22">
        <f>VLOOKUP($A2202,'Medical Examinations'!$A:$D, 2, FALSE)</f>
        <v>30.59</v>
      </c>
      <c r="D2202" s="22">
        <f>VLOOKUP($A2202, 'Medical Examinations'!$A:$D,3, FALSE)</f>
        <v>4.17</v>
      </c>
      <c r="E2202" s="22" t="str">
        <f>VLOOKUP($A2202, 'Medical Examinations'!$A:$D, 4, FALSE)</f>
        <v>No</v>
      </c>
      <c r="F2202" s="22" t="str">
        <f>VLOOKUP($A2202, 'Medical Examinations'!$A:$J, 5, FALSE)</f>
        <v>No</v>
      </c>
      <c r="G2202" s="22" t="str">
        <f>VLOOKUP($A2202, 'Medical Examinations'!$A:$I, 6, FALSE)</f>
        <v>Yes</v>
      </c>
      <c r="H2202" s="22">
        <f>VLOOKUP($A2202,'Medical Examinations'!$A:$L,10, FALSE)</f>
        <v>1</v>
      </c>
      <c r="I2202" s="22" t="str">
        <f>VLOOKUP($A2202, 'Medical Examinations'!$A:$J, 9, FALSE)</f>
        <v>No</v>
      </c>
      <c r="J2202" s="22" t="str">
        <f>VLOOKUP($A2202, 'Medical Examinations'!$A:$P, 11, FALSE)</f>
        <v>OBESITY</v>
      </c>
      <c r="K2202" s="34">
        <v>23252.0</v>
      </c>
      <c r="L2202" s="35">
        <f>VLOOKUP($A2202, 'Hospitalisation Details'!$A:$H, 7, FALSE)</f>
        <v>1639.56</v>
      </c>
      <c r="M2202" s="22" t="str">
        <f>VLOOKUP($A2202, 'Hospitalisation Details'!$A:$L, 12, FALSE)</f>
        <v>tier - 2</v>
      </c>
      <c r="N2202" s="22" t="str">
        <f>VLOOKUP($A2202, 'Hospitalisation Details'!$A:$M, 13, FALSE)</f>
        <v>tier - 2</v>
      </c>
      <c r="O2202" s="22" t="str">
        <f>VLOOKUP($A2202, 'Hospitalisation Details'!$A:$N, 14, FALSE)</f>
        <v>R1012</v>
      </c>
      <c r="P2202" s="36">
        <f>VLOOKUP($A2202, 'Hospitalisation Details'!$A:$O, 15, FALSE)</f>
        <v>19</v>
      </c>
    </row>
    <row r="2203" ht="15.75" customHeight="1">
      <c r="A2203" s="33" t="s">
        <v>4405</v>
      </c>
      <c r="B2203" s="22" t="str">
        <f>VLOOKUP($A2203,'Customer Names'!$A:$D,3, FALSE)</f>
        <v>Dimson</v>
      </c>
      <c r="C2203" s="22">
        <f>VLOOKUP($A2203,'Medical Examinations'!$A:$D, 2, FALSE)</f>
        <v>27.835</v>
      </c>
      <c r="D2203" s="22">
        <f>VLOOKUP($A2203, 'Medical Examinations'!$A:$D,3, FALSE)</f>
        <v>4.44</v>
      </c>
      <c r="E2203" s="22" t="str">
        <f>VLOOKUP($A2203, 'Medical Examinations'!$A:$D, 4, FALSE)</f>
        <v>No</v>
      </c>
      <c r="F2203" s="22" t="str">
        <f>VLOOKUP($A2203, 'Medical Examinations'!$A:$J, 5, FALSE)</f>
        <v>No</v>
      </c>
      <c r="G2203" s="22" t="str">
        <f>VLOOKUP($A2203, 'Medical Examinations'!$A:$I, 6, FALSE)</f>
        <v>Yes</v>
      </c>
      <c r="H2203" s="22">
        <f>VLOOKUP($A2203,'Medical Examinations'!$A:$L,10, FALSE)</f>
        <v>1</v>
      </c>
      <c r="I2203" s="22" t="str">
        <f>VLOOKUP($A2203, 'Medical Examinations'!$A:$J, 9, FALSE)</f>
        <v>No</v>
      </c>
      <c r="J2203" s="22" t="str">
        <f>VLOOKUP($A2203, 'Medical Examinations'!$A:$P, 11, FALSE)</f>
        <v>OVERWEIGHT</v>
      </c>
      <c r="K2203" s="34">
        <v>23312.0</v>
      </c>
      <c r="L2203" s="35">
        <f>VLOOKUP($A2203, 'Hospitalisation Details'!$A:$H, 7, FALSE)</f>
        <v>1635.73</v>
      </c>
      <c r="M2203" s="22" t="str">
        <f>VLOOKUP($A2203, 'Hospitalisation Details'!$A:$L, 12, FALSE)</f>
        <v>tier - 2</v>
      </c>
      <c r="N2203" s="22" t="str">
        <f>VLOOKUP($A2203, 'Hospitalisation Details'!$A:$M, 13, FALSE)</f>
        <v>tier - 3</v>
      </c>
      <c r="O2203" s="22" t="str">
        <f>VLOOKUP($A2203, 'Hospitalisation Details'!$A:$N, 14, FALSE)</f>
        <v>R1012</v>
      </c>
      <c r="P2203" s="36">
        <f>VLOOKUP($A2203, 'Hospitalisation Details'!$A:$O, 15, FALSE)</f>
        <v>19</v>
      </c>
    </row>
    <row r="2204" ht="15.75" customHeight="1">
      <c r="A2204" s="33" t="s">
        <v>4407</v>
      </c>
      <c r="B2204" s="22" t="str">
        <f>VLOOKUP($A2204,'Customer Names'!$A:$D,3, FALSE)</f>
        <v>Slason</v>
      </c>
      <c r="C2204" s="22">
        <f>VLOOKUP($A2204,'Medical Examinations'!$A:$D, 2, FALSE)</f>
        <v>40.26</v>
      </c>
      <c r="D2204" s="22">
        <f>VLOOKUP($A2204, 'Medical Examinations'!$A:$D,3, FALSE)</f>
        <v>5.52</v>
      </c>
      <c r="E2204" s="22" t="str">
        <f>VLOOKUP($A2204, 'Medical Examinations'!$A:$D, 4, FALSE)</f>
        <v>No</v>
      </c>
      <c r="F2204" s="22" t="str">
        <f>VLOOKUP($A2204, 'Medical Examinations'!$A:$J, 5, FALSE)</f>
        <v>Yes</v>
      </c>
      <c r="G2204" s="22" t="str">
        <f>VLOOKUP($A2204, 'Medical Examinations'!$A:$I, 6, FALSE)</f>
        <v>No</v>
      </c>
      <c r="H2204" s="22">
        <f>VLOOKUP($A2204,'Medical Examinations'!$A:$L,10, FALSE)</f>
        <v>1</v>
      </c>
      <c r="I2204" s="22" t="str">
        <f>VLOOKUP($A2204, 'Medical Examinations'!$A:$J, 9, FALSE)</f>
        <v>No</v>
      </c>
      <c r="J2204" s="22" t="str">
        <f>VLOOKUP($A2204, 'Medical Examinations'!$A:$P, 11, FALSE)</f>
        <v>OBESITY</v>
      </c>
      <c r="K2204" s="34">
        <v>33175.0</v>
      </c>
      <c r="L2204" s="35">
        <f>VLOOKUP($A2204, 'Hospitalisation Details'!$A:$H, 7, FALSE)</f>
        <v>1634.57</v>
      </c>
      <c r="M2204" s="22" t="str">
        <f>VLOOKUP($A2204, 'Hospitalisation Details'!$A:$L, 12, FALSE)</f>
        <v>tier - 2</v>
      </c>
      <c r="N2204" s="22" t="str">
        <f>VLOOKUP($A2204, 'Hospitalisation Details'!$A:$M, 13, FALSE)</f>
        <v>tier - 2</v>
      </c>
      <c r="O2204" s="22" t="str">
        <f>VLOOKUP($A2204, 'Hospitalisation Details'!$A:$N, 14, FALSE)</f>
        <v>R1013</v>
      </c>
      <c r="P2204" s="36">
        <f>VLOOKUP($A2204, 'Hospitalisation Details'!$A:$O, 15, FALSE)</f>
        <v>18</v>
      </c>
    </row>
    <row r="2205" ht="15.75" customHeight="1">
      <c r="A2205" s="33" t="s">
        <v>4409</v>
      </c>
      <c r="B2205" s="22" t="str">
        <f>VLOOKUP($A2205,'Customer Names'!$A:$D,3, FALSE)</f>
        <v>Gibson</v>
      </c>
      <c r="C2205" s="22">
        <f>VLOOKUP($A2205,'Medical Examinations'!$A:$D, 2, FALSE)</f>
        <v>39.82</v>
      </c>
      <c r="D2205" s="22">
        <f>VLOOKUP($A2205, 'Medical Examinations'!$A:$D,3, FALSE)</f>
        <v>6.01</v>
      </c>
      <c r="E2205" s="22" t="str">
        <f>VLOOKUP($A2205, 'Medical Examinations'!$A:$D, 4, FALSE)</f>
        <v>No</v>
      </c>
      <c r="F2205" s="22" t="str">
        <f>VLOOKUP($A2205, 'Medical Examinations'!$A:$J, 5, FALSE)</f>
        <v>Yes</v>
      </c>
      <c r="G2205" s="22" t="str">
        <f>VLOOKUP($A2205, 'Medical Examinations'!$A:$I, 6, FALSE)</f>
        <v>No</v>
      </c>
      <c r="H2205" s="22">
        <f>VLOOKUP($A2205,'Medical Examinations'!$A:$L,10, FALSE)</f>
        <v>1</v>
      </c>
      <c r="I2205" s="22" t="str">
        <f>VLOOKUP($A2205, 'Medical Examinations'!$A:$J, 9, FALSE)</f>
        <v>No</v>
      </c>
      <c r="J2205" s="22" t="str">
        <f>VLOOKUP($A2205, 'Medical Examinations'!$A:$P, 11, FALSE)</f>
        <v>OBESITY</v>
      </c>
      <c r="K2205" s="34">
        <v>24427.0</v>
      </c>
      <c r="L2205" s="35">
        <f>VLOOKUP($A2205, 'Hospitalisation Details'!$A:$H, 7, FALSE)</f>
        <v>1633.96</v>
      </c>
      <c r="M2205" s="22" t="str">
        <f>VLOOKUP($A2205, 'Hospitalisation Details'!$A:$L, 12, FALSE)</f>
        <v>tier - 2</v>
      </c>
      <c r="N2205" s="22" t="str">
        <f>VLOOKUP($A2205, 'Hospitalisation Details'!$A:$M, 13, FALSE)</f>
        <v>tier - 1</v>
      </c>
      <c r="O2205" s="22" t="str">
        <f>VLOOKUP($A2205, 'Hospitalisation Details'!$A:$N, 14, FALSE)</f>
        <v>R1013</v>
      </c>
      <c r="P2205" s="36">
        <f>VLOOKUP($A2205, 'Hospitalisation Details'!$A:$O, 15, FALSE)</f>
        <v>18</v>
      </c>
    </row>
    <row r="2206" ht="15.75" customHeight="1">
      <c r="A2206" s="33" t="s">
        <v>4411</v>
      </c>
      <c r="B2206" s="22" t="str">
        <f>VLOOKUP($A2206,'Customer Names'!$A:$D,3, FALSE)</f>
        <v>Erdos</v>
      </c>
      <c r="C2206" s="22">
        <f>VLOOKUP($A2206,'Medical Examinations'!$A:$D, 2, FALSE)</f>
        <v>39.16</v>
      </c>
      <c r="D2206" s="22">
        <f>VLOOKUP($A2206, 'Medical Examinations'!$A:$D,3, FALSE)</f>
        <v>5.81</v>
      </c>
      <c r="E2206" s="22" t="str">
        <f>VLOOKUP($A2206, 'Medical Examinations'!$A:$D, 4, FALSE)</f>
        <v>No</v>
      </c>
      <c r="F2206" s="22" t="str">
        <f>VLOOKUP($A2206, 'Medical Examinations'!$A:$J, 5, FALSE)</f>
        <v>Yes</v>
      </c>
      <c r="G2206" s="22" t="str">
        <f>VLOOKUP($A2206, 'Medical Examinations'!$A:$I, 6, FALSE)</f>
        <v>No</v>
      </c>
      <c r="H2206" s="22">
        <f>VLOOKUP($A2206,'Medical Examinations'!$A:$L,10, FALSE)</f>
        <v>1</v>
      </c>
      <c r="I2206" s="22" t="str">
        <f>VLOOKUP($A2206, 'Medical Examinations'!$A:$J, 9, FALSE)</f>
        <v>No</v>
      </c>
      <c r="J2206" s="22" t="str">
        <f>VLOOKUP($A2206, 'Medical Examinations'!$A:$P, 11, FALSE)</f>
        <v>OBESITY</v>
      </c>
      <c r="K2206" s="34">
        <v>24712.0</v>
      </c>
      <c r="L2206" s="35">
        <f>VLOOKUP($A2206, 'Hospitalisation Details'!$A:$H, 7, FALSE)</f>
        <v>1633.04</v>
      </c>
      <c r="M2206" s="22" t="str">
        <f>VLOOKUP($A2206, 'Hospitalisation Details'!$A:$L, 12, FALSE)</f>
        <v>tier - 2</v>
      </c>
      <c r="N2206" s="22" t="str">
        <f>VLOOKUP($A2206, 'Hospitalisation Details'!$A:$M, 13, FALSE)</f>
        <v>tier - 2</v>
      </c>
      <c r="O2206" s="22" t="str">
        <f>VLOOKUP($A2206, 'Hospitalisation Details'!$A:$N, 14, FALSE)</f>
        <v>R1013</v>
      </c>
      <c r="P2206" s="36">
        <f>VLOOKUP($A2206, 'Hospitalisation Details'!$A:$O, 15, FALSE)</f>
        <v>18</v>
      </c>
    </row>
    <row r="2207" ht="15.75" customHeight="1">
      <c r="A2207" s="33" t="s">
        <v>4413</v>
      </c>
      <c r="B2207" s="22" t="str">
        <f>VLOOKUP($A2207,'Customer Names'!$A:$D,3, FALSE)</f>
        <v>Cushman</v>
      </c>
      <c r="C2207" s="22">
        <f>VLOOKUP($A2207,'Medical Examinations'!$A:$D, 2, FALSE)</f>
        <v>25.555</v>
      </c>
      <c r="D2207" s="22">
        <f>VLOOKUP($A2207, 'Medical Examinations'!$A:$D,3, FALSE)</f>
        <v>4.37</v>
      </c>
      <c r="E2207" s="22" t="str">
        <f>VLOOKUP($A2207, 'Medical Examinations'!$A:$D, 4, FALSE)</f>
        <v>No</v>
      </c>
      <c r="F2207" s="22" t="str">
        <f>VLOOKUP($A2207, 'Medical Examinations'!$A:$J, 5, FALSE)</f>
        <v>No</v>
      </c>
      <c r="G2207" s="22" t="str">
        <f>VLOOKUP($A2207, 'Medical Examinations'!$A:$I, 6, FALSE)</f>
        <v>Yes</v>
      </c>
      <c r="H2207" s="22">
        <f>VLOOKUP($A2207,'Medical Examinations'!$A:$L,10, FALSE)</f>
        <v>1</v>
      </c>
      <c r="I2207" s="22" t="str">
        <f>VLOOKUP($A2207, 'Medical Examinations'!$A:$J, 9, FALSE)</f>
        <v>No</v>
      </c>
      <c r="J2207" s="22" t="str">
        <f>VLOOKUP($A2207, 'Medical Examinations'!$A:$P, 11, FALSE)</f>
        <v>OVERWEIGHT</v>
      </c>
      <c r="K2207" s="34">
        <v>24836.0</v>
      </c>
      <c r="L2207" s="35">
        <f>VLOOKUP($A2207, 'Hospitalisation Details'!$A:$H, 7, FALSE)</f>
        <v>1632.56</v>
      </c>
      <c r="M2207" s="22" t="str">
        <f>VLOOKUP($A2207, 'Hospitalisation Details'!$A:$L, 12, FALSE)</f>
        <v>tier - 2</v>
      </c>
      <c r="N2207" s="22" t="str">
        <f>VLOOKUP($A2207, 'Hospitalisation Details'!$A:$M, 13, FALSE)</f>
        <v>tier - 2</v>
      </c>
      <c r="O2207" s="22" t="str">
        <f>VLOOKUP($A2207, 'Hospitalisation Details'!$A:$N, 14, FALSE)</f>
        <v>R1012</v>
      </c>
      <c r="P2207" s="36">
        <f>VLOOKUP($A2207, 'Hospitalisation Details'!$A:$O, 15, FALSE)</f>
        <v>19</v>
      </c>
    </row>
    <row r="2208" ht="15.75" customHeight="1">
      <c r="A2208" s="33" t="s">
        <v>4415</v>
      </c>
      <c r="B2208" s="22" t="str">
        <f>VLOOKUP($A2208,'Customer Names'!$A:$D,3, FALSE)</f>
        <v>Hammel</v>
      </c>
      <c r="C2208" s="22">
        <f>VLOOKUP($A2208,'Medical Examinations'!$A:$D, 2, FALSE)</f>
        <v>25.175</v>
      </c>
      <c r="D2208" s="22">
        <f>VLOOKUP($A2208, 'Medical Examinations'!$A:$D,3, FALSE)</f>
        <v>5.74</v>
      </c>
      <c r="E2208" s="22" t="str">
        <f>VLOOKUP($A2208, 'Medical Examinations'!$A:$D, 4, FALSE)</f>
        <v>No</v>
      </c>
      <c r="F2208" s="22" t="str">
        <f>VLOOKUP($A2208, 'Medical Examinations'!$A:$J, 5, FALSE)</f>
        <v>No</v>
      </c>
      <c r="G2208" s="22" t="str">
        <f>VLOOKUP($A2208, 'Medical Examinations'!$A:$I, 6, FALSE)</f>
        <v>Yes</v>
      </c>
      <c r="H2208" s="22">
        <f>VLOOKUP($A2208,'Medical Examinations'!$A:$L,10, FALSE)</f>
        <v>1</v>
      </c>
      <c r="I2208" s="22" t="str">
        <f>VLOOKUP($A2208, 'Medical Examinations'!$A:$J, 9, FALSE)</f>
        <v>No</v>
      </c>
      <c r="J2208" s="22" t="str">
        <f>VLOOKUP($A2208, 'Medical Examinations'!$A:$P, 11, FALSE)</f>
        <v>OVERWEIGHT</v>
      </c>
      <c r="K2208" s="34">
        <v>24447.0</v>
      </c>
      <c r="L2208" s="35">
        <f>VLOOKUP($A2208, 'Hospitalisation Details'!$A:$H, 7, FALSE)</f>
        <v>1632.04</v>
      </c>
      <c r="M2208" s="22" t="str">
        <f>VLOOKUP($A2208, 'Hospitalisation Details'!$A:$L, 12, FALSE)</f>
        <v>tier - 2</v>
      </c>
      <c r="N2208" s="22" t="str">
        <f>VLOOKUP($A2208, 'Hospitalisation Details'!$A:$M, 13, FALSE)</f>
        <v>tier - 2</v>
      </c>
      <c r="O2208" s="22" t="str">
        <f>VLOOKUP($A2208, 'Hospitalisation Details'!$A:$N, 14, FALSE)</f>
        <v>R1012</v>
      </c>
      <c r="P2208" s="36">
        <f>VLOOKUP($A2208, 'Hospitalisation Details'!$A:$O, 15, FALSE)</f>
        <v>19</v>
      </c>
    </row>
    <row r="2209" ht="15.75" customHeight="1">
      <c r="A2209" s="33" t="s">
        <v>4417</v>
      </c>
      <c r="B2209" s="22" t="str">
        <f>VLOOKUP($A2209,'Customer Names'!$A:$D,3, FALSE)</f>
        <v>Ytterstad</v>
      </c>
      <c r="C2209" s="22">
        <f>VLOOKUP($A2209,'Medical Examinations'!$A:$D, 2, FALSE)</f>
        <v>38.28</v>
      </c>
      <c r="D2209" s="22">
        <f>VLOOKUP($A2209, 'Medical Examinations'!$A:$D,3, FALSE)</f>
        <v>5.39</v>
      </c>
      <c r="E2209" s="22" t="str">
        <f>VLOOKUP($A2209, 'Medical Examinations'!$A:$D, 4, FALSE)</f>
        <v>No</v>
      </c>
      <c r="F2209" s="22" t="str">
        <f>VLOOKUP($A2209, 'Medical Examinations'!$A:$J, 5, FALSE)</f>
        <v>Yes</v>
      </c>
      <c r="G2209" s="22" t="str">
        <f>VLOOKUP($A2209, 'Medical Examinations'!$A:$I, 6, FALSE)</f>
        <v>No</v>
      </c>
      <c r="H2209" s="22">
        <f>VLOOKUP($A2209,'Medical Examinations'!$A:$L,10, FALSE)</f>
        <v>1</v>
      </c>
      <c r="I2209" s="22" t="str">
        <f>VLOOKUP($A2209, 'Medical Examinations'!$A:$J, 9, FALSE)</f>
        <v>No</v>
      </c>
      <c r="J2209" s="22" t="str">
        <f>VLOOKUP($A2209, 'Medical Examinations'!$A:$P, 11, FALSE)</f>
        <v>OBESITY</v>
      </c>
      <c r="K2209" s="34">
        <v>31637.0</v>
      </c>
      <c r="L2209" s="35">
        <f>VLOOKUP($A2209, 'Hospitalisation Details'!$A:$H, 7, FALSE)</f>
        <v>1631.82</v>
      </c>
      <c r="M2209" s="22" t="str">
        <f>VLOOKUP($A2209, 'Hospitalisation Details'!$A:$L, 12, FALSE)</f>
        <v>tier - 2</v>
      </c>
      <c r="N2209" s="22" t="str">
        <f>VLOOKUP($A2209, 'Hospitalisation Details'!$A:$M, 13, FALSE)</f>
        <v>tier - 1</v>
      </c>
      <c r="O2209" s="22" t="str">
        <f>VLOOKUP($A2209, 'Hospitalisation Details'!$A:$N, 14, FALSE)</f>
        <v>R1013</v>
      </c>
      <c r="P2209" s="36">
        <f>VLOOKUP($A2209, 'Hospitalisation Details'!$A:$O, 15, FALSE)</f>
        <v>18</v>
      </c>
    </row>
    <row r="2210" ht="15.75" customHeight="1">
      <c r="A2210" s="33" t="s">
        <v>4419</v>
      </c>
      <c r="B2210" s="22" t="str">
        <f>VLOOKUP($A2210,'Customer Names'!$A:$D,3, FALSE)</f>
        <v>Prince</v>
      </c>
      <c r="C2210" s="22">
        <f>VLOOKUP($A2210,'Medical Examinations'!$A:$D, 2, FALSE)</f>
        <v>38.17</v>
      </c>
      <c r="D2210" s="22">
        <f>VLOOKUP($A2210, 'Medical Examinations'!$A:$D,3, FALSE)</f>
        <v>4.07</v>
      </c>
      <c r="E2210" s="22" t="str">
        <f>VLOOKUP($A2210, 'Medical Examinations'!$A:$D, 4, FALSE)</f>
        <v>No</v>
      </c>
      <c r="F2210" s="22" t="str">
        <f>VLOOKUP($A2210, 'Medical Examinations'!$A:$J, 5, FALSE)</f>
        <v>Yes</v>
      </c>
      <c r="G2210" s="22" t="str">
        <f>VLOOKUP($A2210, 'Medical Examinations'!$A:$I, 6, FALSE)</f>
        <v>No</v>
      </c>
      <c r="H2210" s="22">
        <f>VLOOKUP($A2210,'Medical Examinations'!$A:$L,10, FALSE)</f>
        <v>1</v>
      </c>
      <c r="I2210" s="22" t="str">
        <f>VLOOKUP($A2210, 'Medical Examinations'!$A:$J, 9, FALSE)</f>
        <v>No</v>
      </c>
      <c r="J2210" s="22" t="str">
        <f>VLOOKUP($A2210, 'Medical Examinations'!$A:$P, 11, FALSE)</f>
        <v>OBESITY</v>
      </c>
      <c r="K2210" s="34">
        <v>32835.0</v>
      </c>
      <c r="L2210" s="35">
        <f>VLOOKUP($A2210, 'Hospitalisation Details'!$A:$H, 7, FALSE)</f>
        <v>1631.67</v>
      </c>
      <c r="M2210" s="22" t="str">
        <f>VLOOKUP($A2210, 'Hospitalisation Details'!$A:$L, 12, FALSE)</f>
        <v>tier - 2</v>
      </c>
      <c r="N2210" s="22" t="str">
        <f>VLOOKUP($A2210, 'Hospitalisation Details'!$A:$M, 13, FALSE)</f>
        <v>tier - 3</v>
      </c>
      <c r="O2210" s="22" t="str">
        <f>VLOOKUP($A2210, 'Hospitalisation Details'!$A:$N, 14, FALSE)</f>
        <v>R1013</v>
      </c>
      <c r="P2210" s="36">
        <f>VLOOKUP($A2210, 'Hospitalisation Details'!$A:$O, 15, FALSE)</f>
        <v>18</v>
      </c>
    </row>
    <row r="2211" ht="15.75" customHeight="1">
      <c r="A2211" s="33" t="s">
        <v>4421</v>
      </c>
      <c r="B2211" s="22" t="str">
        <f>VLOOKUP($A2211,'Customer Names'!$A:$D,3, FALSE)</f>
        <v>Freeman</v>
      </c>
      <c r="C2211" s="22">
        <f>VLOOKUP($A2211,'Medical Examinations'!$A:$D, 2, FALSE)</f>
        <v>36.85</v>
      </c>
      <c r="D2211" s="22">
        <f>VLOOKUP($A2211, 'Medical Examinations'!$A:$D,3, FALSE)</f>
        <v>5.49</v>
      </c>
      <c r="E2211" s="22" t="str">
        <f>VLOOKUP($A2211, 'Medical Examinations'!$A:$D, 4, FALSE)</f>
        <v>No</v>
      </c>
      <c r="F2211" s="22" t="str">
        <f>VLOOKUP($A2211, 'Medical Examinations'!$A:$J, 5, FALSE)</f>
        <v>Yes</v>
      </c>
      <c r="G2211" s="22" t="str">
        <f>VLOOKUP($A2211, 'Medical Examinations'!$A:$I, 6, FALSE)</f>
        <v>No</v>
      </c>
      <c r="H2211" s="22">
        <f>VLOOKUP($A2211,'Medical Examinations'!$A:$L,10, FALSE)</f>
        <v>1</v>
      </c>
      <c r="I2211" s="22" t="str">
        <f>VLOOKUP($A2211, 'Medical Examinations'!$A:$J, 9, FALSE)</f>
        <v>No</v>
      </c>
      <c r="J2211" s="22" t="str">
        <f>VLOOKUP($A2211, 'Medical Examinations'!$A:$P, 11, FALSE)</f>
        <v>OBESITY</v>
      </c>
      <c r="K2211" s="34">
        <v>27203.0</v>
      </c>
      <c r="L2211" s="35">
        <f>VLOOKUP($A2211, 'Hospitalisation Details'!$A:$H, 7, FALSE)</f>
        <v>1629.83</v>
      </c>
      <c r="M2211" s="22" t="str">
        <f>VLOOKUP($A2211, 'Hospitalisation Details'!$A:$L, 12, FALSE)</f>
        <v>tier - 2</v>
      </c>
      <c r="N2211" s="22" t="str">
        <f>VLOOKUP($A2211, 'Hospitalisation Details'!$A:$M, 13, FALSE)</f>
        <v>tier - 2</v>
      </c>
      <c r="O2211" s="22" t="str">
        <f>VLOOKUP($A2211, 'Hospitalisation Details'!$A:$N, 14, FALSE)</f>
        <v>R1013</v>
      </c>
      <c r="P2211" s="36">
        <f>VLOOKUP($A2211, 'Hospitalisation Details'!$A:$O, 15, FALSE)</f>
        <v>18</v>
      </c>
    </row>
    <row r="2212" ht="15.75" customHeight="1">
      <c r="A2212" s="33" t="s">
        <v>4423</v>
      </c>
      <c r="B2212" s="22" t="str">
        <f>VLOOKUP($A2212,'Customer Names'!$A:$D,3, FALSE)</f>
        <v>Petrulak</v>
      </c>
      <c r="C2212" s="22">
        <f>VLOOKUP($A2212,'Medical Examinations'!$A:$D, 2, FALSE)</f>
        <v>22.61</v>
      </c>
      <c r="D2212" s="22">
        <f>VLOOKUP($A2212, 'Medical Examinations'!$A:$D,3, FALSE)</f>
        <v>5.68</v>
      </c>
      <c r="E2212" s="22" t="str">
        <f>VLOOKUP($A2212, 'Medical Examinations'!$A:$D, 4, FALSE)</f>
        <v>No</v>
      </c>
      <c r="F2212" s="22" t="str">
        <f>VLOOKUP($A2212, 'Medical Examinations'!$A:$J, 5, FALSE)</f>
        <v>No</v>
      </c>
      <c r="G2212" s="22" t="str">
        <f>VLOOKUP($A2212, 'Medical Examinations'!$A:$I, 6, FALSE)</f>
        <v>Yes</v>
      </c>
      <c r="H2212" s="22">
        <f>VLOOKUP($A2212,'Medical Examinations'!$A:$L,10, FALSE)</f>
        <v>1</v>
      </c>
      <c r="I2212" s="22" t="str">
        <f>VLOOKUP($A2212, 'Medical Examinations'!$A:$J, 9, FALSE)</f>
        <v>No</v>
      </c>
      <c r="J2212" s="22" t="str">
        <f>VLOOKUP($A2212, 'Medical Examinations'!$A:$P, 11, FALSE)</f>
        <v>NORMAL WEIGHT</v>
      </c>
      <c r="K2212" s="34">
        <v>27185.0</v>
      </c>
      <c r="L2212" s="35">
        <f>VLOOKUP($A2212, 'Hospitalisation Details'!$A:$H, 7, FALSE)</f>
        <v>1628.47</v>
      </c>
      <c r="M2212" s="22" t="str">
        <f>VLOOKUP($A2212, 'Hospitalisation Details'!$A:$L, 12, FALSE)</f>
        <v>tier - 2</v>
      </c>
      <c r="N2212" s="22" t="str">
        <f>VLOOKUP($A2212, 'Hospitalisation Details'!$A:$M, 13, FALSE)</f>
        <v>tier - 1</v>
      </c>
      <c r="O2212" s="22" t="str">
        <f>VLOOKUP($A2212, 'Hospitalisation Details'!$A:$N, 14, FALSE)</f>
        <v>R1012</v>
      </c>
      <c r="P2212" s="36">
        <f>VLOOKUP($A2212, 'Hospitalisation Details'!$A:$O, 15, FALSE)</f>
        <v>19</v>
      </c>
    </row>
    <row r="2213" ht="15.75" customHeight="1">
      <c r="A2213" s="33" t="s">
        <v>4425</v>
      </c>
      <c r="B2213" s="22" t="str">
        <f>VLOOKUP($A2213,'Customer Names'!$A:$D,3, FALSE)</f>
        <v>Lloyd</v>
      </c>
      <c r="C2213" s="22">
        <f>VLOOKUP($A2213,'Medical Examinations'!$A:$D, 2, FALSE)</f>
        <v>21.755</v>
      </c>
      <c r="D2213" s="22">
        <f>VLOOKUP($A2213, 'Medical Examinations'!$A:$D,3, FALSE)</f>
        <v>6.09</v>
      </c>
      <c r="E2213" s="22" t="str">
        <f>VLOOKUP($A2213, 'Medical Examinations'!$A:$D, 4, FALSE)</f>
        <v>No</v>
      </c>
      <c r="F2213" s="22" t="str">
        <f>VLOOKUP($A2213, 'Medical Examinations'!$A:$J, 5, FALSE)</f>
        <v>No</v>
      </c>
      <c r="G2213" s="22" t="str">
        <f>VLOOKUP($A2213, 'Medical Examinations'!$A:$I, 6, FALSE)</f>
        <v>Yes</v>
      </c>
      <c r="H2213" s="22">
        <f>VLOOKUP($A2213,'Medical Examinations'!$A:$L,10, FALSE)</f>
        <v>1</v>
      </c>
      <c r="I2213" s="22" t="str">
        <f>VLOOKUP($A2213, 'Medical Examinations'!$A:$J, 9, FALSE)</f>
        <v>No</v>
      </c>
      <c r="J2213" s="22" t="str">
        <f>VLOOKUP($A2213, 'Medical Examinations'!$A:$P, 11, FALSE)</f>
        <v>NORMAL WEIGHT</v>
      </c>
      <c r="K2213" s="34">
        <v>23209.0</v>
      </c>
      <c r="L2213" s="35">
        <f>VLOOKUP($A2213, 'Hospitalisation Details'!$A:$H, 7, FALSE)</f>
        <v>1627.28</v>
      </c>
      <c r="M2213" s="22" t="str">
        <f>VLOOKUP($A2213, 'Hospitalisation Details'!$A:$L, 12, FALSE)</f>
        <v>tier - 2</v>
      </c>
      <c r="N2213" s="22" t="str">
        <f>VLOOKUP($A2213, 'Hospitalisation Details'!$A:$M, 13, FALSE)</f>
        <v>tier - 2</v>
      </c>
      <c r="O2213" s="22" t="str">
        <f>VLOOKUP($A2213, 'Hospitalisation Details'!$A:$N, 14, FALSE)</f>
        <v>R1012</v>
      </c>
      <c r="P2213" s="36">
        <f>VLOOKUP($A2213, 'Hospitalisation Details'!$A:$O, 15, FALSE)</f>
        <v>19</v>
      </c>
    </row>
    <row r="2214" ht="15.75" customHeight="1">
      <c r="A2214" s="33" t="s">
        <v>4427</v>
      </c>
      <c r="B2214" s="22" t="str">
        <f>VLOOKUP($A2214,'Customer Names'!$A:$D,3, FALSE)</f>
        <v>Zablocki</v>
      </c>
      <c r="C2214" s="22">
        <f>VLOOKUP($A2214,'Medical Examinations'!$A:$D, 2, FALSE)</f>
        <v>20.425</v>
      </c>
      <c r="D2214" s="22">
        <f>VLOOKUP($A2214, 'Medical Examinations'!$A:$D,3, FALSE)</f>
        <v>5.53</v>
      </c>
      <c r="E2214" s="22" t="str">
        <f>VLOOKUP($A2214, 'Medical Examinations'!$A:$D, 4, FALSE)</f>
        <v>No</v>
      </c>
      <c r="F2214" s="22" t="str">
        <f>VLOOKUP($A2214, 'Medical Examinations'!$A:$J, 5, FALSE)</f>
        <v>No</v>
      </c>
      <c r="G2214" s="22" t="str">
        <f>VLOOKUP($A2214, 'Medical Examinations'!$A:$I, 6, FALSE)</f>
        <v>Yes</v>
      </c>
      <c r="H2214" s="22">
        <f>VLOOKUP($A2214,'Medical Examinations'!$A:$L,10, FALSE)</f>
        <v>1</v>
      </c>
      <c r="I2214" s="22" t="str">
        <f>VLOOKUP($A2214, 'Medical Examinations'!$A:$J, 9, FALSE)</f>
        <v>No</v>
      </c>
      <c r="J2214" s="22" t="str">
        <f>VLOOKUP($A2214, 'Medical Examinations'!$A:$P, 11, FALSE)</f>
        <v>NORMAL WEIGHT</v>
      </c>
      <c r="K2214" s="34">
        <v>24317.0</v>
      </c>
      <c r="L2214" s="35">
        <f>VLOOKUP($A2214, 'Hospitalisation Details'!$A:$H, 7, FALSE)</f>
        <v>1625.43</v>
      </c>
      <c r="M2214" s="22" t="str">
        <f>VLOOKUP($A2214, 'Hospitalisation Details'!$A:$L, 12, FALSE)</f>
        <v>tier - 2</v>
      </c>
      <c r="N2214" s="22" t="str">
        <f>VLOOKUP($A2214, 'Hospitalisation Details'!$A:$M, 13, FALSE)</f>
        <v>tier - 3</v>
      </c>
      <c r="O2214" s="22" t="str">
        <f>VLOOKUP($A2214, 'Hospitalisation Details'!$A:$N, 14, FALSE)</f>
        <v>R1012</v>
      </c>
      <c r="P2214" s="36">
        <f>VLOOKUP($A2214, 'Hospitalisation Details'!$A:$O, 15, FALSE)</f>
        <v>19</v>
      </c>
    </row>
    <row r="2215" ht="15.75" customHeight="1">
      <c r="A2215" s="33" t="s">
        <v>4429</v>
      </c>
      <c r="B2215" s="22" t="str">
        <f>VLOOKUP($A2215,'Customer Names'!$A:$D,3, FALSE)</f>
        <v>Va</v>
      </c>
      <c r="C2215" s="22">
        <f>VLOOKUP($A2215,'Medical Examinations'!$A:$D, 2, FALSE)</f>
        <v>31.35</v>
      </c>
      <c r="D2215" s="22">
        <f>VLOOKUP($A2215, 'Medical Examinations'!$A:$D,3, FALSE)</f>
        <v>4.28</v>
      </c>
      <c r="E2215" s="22" t="str">
        <f>VLOOKUP($A2215, 'Medical Examinations'!$A:$D, 4, FALSE)</f>
        <v>No</v>
      </c>
      <c r="F2215" s="22" t="str">
        <f>VLOOKUP($A2215, 'Medical Examinations'!$A:$J, 5, FALSE)</f>
        <v>Yes</v>
      </c>
      <c r="G2215" s="22" t="str">
        <f>VLOOKUP($A2215, 'Medical Examinations'!$A:$I, 6, FALSE)</f>
        <v>No</v>
      </c>
      <c r="H2215" s="22">
        <f>VLOOKUP($A2215,'Medical Examinations'!$A:$L,10, FALSE)</f>
        <v>1</v>
      </c>
      <c r="I2215" s="22" t="str">
        <f>VLOOKUP($A2215, 'Medical Examinations'!$A:$J, 9, FALSE)</f>
        <v>No</v>
      </c>
      <c r="J2215" s="22" t="str">
        <f>VLOOKUP($A2215, 'Medical Examinations'!$A:$P, 11, FALSE)</f>
        <v>OBESITY</v>
      </c>
      <c r="K2215" s="34">
        <v>23665.0</v>
      </c>
      <c r="L2215" s="35">
        <f>VLOOKUP($A2215, 'Hospitalisation Details'!$A:$H, 7, FALSE)</f>
        <v>1622.19</v>
      </c>
      <c r="M2215" s="22" t="str">
        <f>VLOOKUP($A2215, 'Hospitalisation Details'!$A:$L, 12, FALSE)</f>
        <v>tier - 2</v>
      </c>
      <c r="N2215" s="22" t="str">
        <f>VLOOKUP($A2215, 'Hospitalisation Details'!$A:$M, 13, FALSE)</f>
        <v>tier - 1</v>
      </c>
      <c r="O2215" s="22" t="str">
        <f>VLOOKUP($A2215, 'Hospitalisation Details'!$A:$N, 14, FALSE)</f>
        <v>R1013</v>
      </c>
      <c r="P2215" s="36">
        <f>VLOOKUP($A2215, 'Hospitalisation Details'!$A:$O, 15, FALSE)</f>
        <v>18</v>
      </c>
    </row>
    <row r="2216" ht="15.75" customHeight="1">
      <c r="A2216" s="33" t="s">
        <v>4431</v>
      </c>
      <c r="B2216" s="22" t="str">
        <f>VLOOKUP($A2216,'Customer Names'!$A:$D,3, FALSE)</f>
        <v>Babay</v>
      </c>
      <c r="C2216" s="22">
        <f>VLOOKUP($A2216,'Medical Examinations'!$A:$D, 2, FALSE)</f>
        <v>31.13</v>
      </c>
      <c r="D2216" s="22">
        <f>VLOOKUP($A2216, 'Medical Examinations'!$A:$D,3, FALSE)</f>
        <v>6.01</v>
      </c>
      <c r="E2216" s="22" t="str">
        <f>VLOOKUP($A2216, 'Medical Examinations'!$A:$D, 4, FALSE)</f>
        <v>No</v>
      </c>
      <c r="F2216" s="22" t="str">
        <f>VLOOKUP($A2216, 'Medical Examinations'!$A:$J, 5, FALSE)</f>
        <v>Yes</v>
      </c>
      <c r="G2216" s="22" t="str">
        <f>VLOOKUP($A2216, 'Medical Examinations'!$A:$I, 6, FALSE)</f>
        <v>No</v>
      </c>
      <c r="H2216" s="22">
        <f>VLOOKUP($A2216,'Medical Examinations'!$A:$L,10, FALSE)</f>
        <v>1</v>
      </c>
      <c r="I2216" s="22" t="str">
        <f>VLOOKUP($A2216, 'Medical Examinations'!$A:$J, 9, FALSE)</f>
        <v>No</v>
      </c>
      <c r="J2216" s="22" t="str">
        <f>VLOOKUP($A2216, 'Medical Examinations'!$A:$P, 11, FALSE)</f>
        <v>OBESITY</v>
      </c>
      <c r="K2216" s="34">
        <v>23211.0</v>
      </c>
      <c r="L2216" s="35">
        <f>VLOOKUP($A2216, 'Hospitalisation Details'!$A:$H, 7, FALSE)</f>
        <v>1621.88</v>
      </c>
      <c r="M2216" s="22" t="str">
        <f>VLOOKUP($A2216, 'Hospitalisation Details'!$A:$L, 12, FALSE)</f>
        <v>tier - 2</v>
      </c>
      <c r="N2216" s="22" t="str">
        <f>VLOOKUP($A2216, 'Hospitalisation Details'!$A:$M, 13, FALSE)</f>
        <v>tier - 2</v>
      </c>
      <c r="O2216" s="22" t="str">
        <f>VLOOKUP($A2216, 'Hospitalisation Details'!$A:$N, 14, FALSE)</f>
        <v>R1013</v>
      </c>
      <c r="P2216" s="36">
        <f>VLOOKUP($A2216, 'Hospitalisation Details'!$A:$O, 15, FALSE)</f>
        <v>18</v>
      </c>
    </row>
    <row r="2217" ht="15.75" customHeight="1">
      <c r="A2217" s="33" t="s">
        <v>4433</v>
      </c>
      <c r="B2217" s="22" t="str">
        <f>VLOOKUP($A2217,'Customer Names'!$A:$D,3, FALSE)</f>
        <v>Taylor</v>
      </c>
      <c r="C2217" s="22">
        <f>VLOOKUP($A2217,'Medical Examinations'!$A:$D, 2, FALSE)</f>
        <v>17.48</v>
      </c>
      <c r="D2217" s="22">
        <f>VLOOKUP($A2217, 'Medical Examinations'!$A:$D,3, FALSE)</f>
        <v>4.59</v>
      </c>
      <c r="E2217" s="22" t="str">
        <f>VLOOKUP($A2217, 'Medical Examinations'!$A:$D, 4, FALSE)</f>
        <v>No</v>
      </c>
      <c r="F2217" s="22" t="str">
        <f>VLOOKUP($A2217, 'Medical Examinations'!$A:$J, 5, FALSE)</f>
        <v>No</v>
      </c>
      <c r="G2217" s="22" t="str">
        <f>VLOOKUP($A2217, 'Medical Examinations'!$A:$I, 6, FALSE)</f>
        <v>Yes</v>
      </c>
      <c r="H2217" s="22">
        <f>VLOOKUP($A2217,'Medical Examinations'!$A:$L,10, FALSE)</f>
        <v>1</v>
      </c>
      <c r="I2217" s="22" t="str">
        <f>VLOOKUP($A2217, 'Medical Examinations'!$A:$J, 9, FALSE)</f>
        <v>No</v>
      </c>
      <c r="J2217" s="22" t="str">
        <f>VLOOKUP($A2217, 'Medical Examinations'!$A:$P, 11, FALSE)</f>
        <v>UNDERWEIGHT</v>
      </c>
      <c r="K2217" s="34">
        <v>23552.0</v>
      </c>
      <c r="L2217" s="35">
        <f>VLOOKUP($A2217, 'Hospitalisation Details'!$A:$H, 7, FALSE)</f>
        <v>1621.34</v>
      </c>
      <c r="M2217" s="22" t="str">
        <f>VLOOKUP($A2217, 'Hospitalisation Details'!$A:$L, 12, FALSE)</f>
        <v>tier - 2</v>
      </c>
      <c r="N2217" s="22" t="str">
        <f>VLOOKUP($A2217, 'Hospitalisation Details'!$A:$M, 13, FALSE)</f>
        <v>tier - 2</v>
      </c>
      <c r="O2217" s="22" t="str">
        <f>VLOOKUP($A2217, 'Hospitalisation Details'!$A:$N, 14, FALSE)</f>
        <v>R1012</v>
      </c>
      <c r="P2217" s="36">
        <f>VLOOKUP($A2217, 'Hospitalisation Details'!$A:$O, 15, FALSE)</f>
        <v>19</v>
      </c>
    </row>
    <row r="2218" ht="15.75" customHeight="1">
      <c r="A2218" s="33" t="s">
        <v>4435</v>
      </c>
      <c r="B2218" s="22" t="str">
        <f>VLOOKUP($A2218,'Customer Names'!$A:$D,3, FALSE)</f>
        <v>Smith</v>
      </c>
      <c r="C2218" s="22">
        <f>VLOOKUP($A2218,'Medical Examinations'!$A:$D, 2, FALSE)</f>
        <v>22.57</v>
      </c>
      <c r="D2218" s="22">
        <f>VLOOKUP($A2218, 'Medical Examinations'!$A:$D,3, FALSE)</f>
        <v>5.8</v>
      </c>
      <c r="E2218" s="22" t="str">
        <f>VLOOKUP($A2218, 'Medical Examinations'!$A:$D, 4, FALSE)</f>
        <v>Yes</v>
      </c>
      <c r="F2218" s="22" t="str">
        <f>VLOOKUP($A2218, 'Medical Examinations'!$A:$J, 5, FALSE)</f>
        <v>No</v>
      </c>
      <c r="G2218" s="22" t="str">
        <f>VLOOKUP($A2218, 'Medical Examinations'!$A:$I, 6, FALSE)</f>
        <v>No</v>
      </c>
      <c r="H2218" s="22">
        <f>VLOOKUP($A2218,'Medical Examinations'!$A:$L,10, FALSE)</f>
        <v>1</v>
      </c>
      <c r="I2218" s="22" t="str">
        <f>VLOOKUP($A2218, 'Medical Examinations'!$A:$J, 9, FALSE)</f>
        <v>No</v>
      </c>
      <c r="J2218" s="22" t="str">
        <f>VLOOKUP($A2218, 'Medical Examinations'!$A:$P, 11, FALSE)</f>
        <v>NORMAL WEIGHT</v>
      </c>
      <c r="K2218" s="34">
        <v>23560.0</v>
      </c>
      <c r="L2218" s="35">
        <f>VLOOKUP($A2218, 'Hospitalisation Details'!$A:$H, 7, FALSE)</f>
        <v>1617.16</v>
      </c>
      <c r="M2218" s="22" t="str">
        <f>VLOOKUP($A2218, 'Hospitalisation Details'!$A:$L, 12, FALSE)</f>
        <v>tier - 2</v>
      </c>
      <c r="N2218" s="22" t="str">
        <f>VLOOKUP($A2218, 'Hospitalisation Details'!$A:$M, 13, FALSE)</f>
        <v>tier - 1</v>
      </c>
      <c r="O2218" s="22" t="str">
        <f>VLOOKUP($A2218, 'Hospitalisation Details'!$A:$N, 14, FALSE)</f>
        <v>R1013</v>
      </c>
      <c r="P2218" s="36">
        <f>VLOOKUP($A2218, 'Hospitalisation Details'!$A:$O, 15, FALSE)</f>
        <v>27</v>
      </c>
    </row>
    <row r="2219" ht="15.75" customHeight="1">
      <c r="A2219" s="33" t="s">
        <v>4437</v>
      </c>
      <c r="B2219" s="22" t="str">
        <f>VLOOKUP($A2219,'Customer Names'!$A:$D,3, FALSE)</f>
        <v>Moody</v>
      </c>
      <c r="C2219" s="22">
        <f>VLOOKUP($A2219,'Medical Examinations'!$A:$D, 2, FALSE)</f>
        <v>26.73</v>
      </c>
      <c r="D2219" s="22">
        <f>VLOOKUP($A2219, 'Medical Examinations'!$A:$D,3, FALSE)</f>
        <v>5.08</v>
      </c>
      <c r="E2219" s="22" t="str">
        <f>VLOOKUP($A2219, 'Medical Examinations'!$A:$D, 4, FALSE)</f>
        <v>No</v>
      </c>
      <c r="F2219" s="22" t="str">
        <f>VLOOKUP($A2219, 'Medical Examinations'!$A:$J, 5, FALSE)</f>
        <v>Yes</v>
      </c>
      <c r="G2219" s="22" t="str">
        <f>VLOOKUP($A2219, 'Medical Examinations'!$A:$I, 6, FALSE)</f>
        <v>No</v>
      </c>
      <c r="H2219" s="22">
        <f>VLOOKUP($A2219,'Medical Examinations'!$A:$L,10, FALSE)</f>
        <v>1</v>
      </c>
      <c r="I2219" s="22" t="str">
        <f>VLOOKUP($A2219, 'Medical Examinations'!$A:$J, 9, FALSE)</f>
        <v>No</v>
      </c>
      <c r="J2219" s="22" t="str">
        <f>VLOOKUP($A2219, 'Medical Examinations'!$A:$P, 11, FALSE)</f>
        <v>OVERWEIGHT</v>
      </c>
      <c r="K2219" s="34">
        <v>23578.0</v>
      </c>
      <c r="L2219" s="35">
        <f>VLOOKUP($A2219, 'Hospitalisation Details'!$A:$H, 7, FALSE)</f>
        <v>1615.77</v>
      </c>
      <c r="M2219" s="22" t="str">
        <f>VLOOKUP($A2219, 'Hospitalisation Details'!$A:$L, 12, FALSE)</f>
        <v>tier - 2</v>
      </c>
      <c r="N2219" s="22" t="str">
        <f>VLOOKUP($A2219, 'Hospitalisation Details'!$A:$M, 13, FALSE)</f>
        <v>tier - 1</v>
      </c>
      <c r="O2219" s="22" t="str">
        <f>VLOOKUP($A2219, 'Hospitalisation Details'!$A:$N, 14, FALSE)</f>
        <v>R1013</v>
      </c>
      <c r="P2219" s="36">
        <f>VLOOKUP($A2219, 'Hospitalisation Details'!$A:$O, 15, FALSE)</f>
        <v>18</v>
      </c>
    </row>
    <row r="2220" ht="15.75" customHeight="1">
      <c r="A2220" s="33" t="s">
        <v>4439</v>
      </c>
      <c r="B2220" s="22" t="str">
        <f>VLOOKUP($A2220,'Customer Names'!$A:$D,3, FALSE)</f>
        <v>Swierzbinski</v>
      </c>
      <c r="C2220" s="22">
        <f>VLOOKUP($A2220,'Medical Examinations'!$A:$D, 2, FALSE)</f>
        <v>20.79</v>
      </c>
      <c r="D2220" s="22">
        <f>VLOOKUP($A2220, 'Medical Examinations'!$A:$D,3, FALSE)</f>
        <v>5.84</v>
      </c>
      <c r="E2220" s="22" t="str">
        <f>VLOOKUP($A2220, 'Medical Examinations'!$A:$D, 4, FALSE)</f>
        <v>No</v>
      </c>
      <c r="F2220" s="22" t="str">
        <f>VLOOKUP($A2220, 'Medical Examinations'!$A:$J, 5, FALSE)</f>
        <v>Yes</v>
      </c>
      <c r="G2220" s="22" t="str">
        <f>VLOOKUP($A2220, 'Medical Examinations'!$A:$I, 6, FALSE)</f>
        <v>No</v>
      </c>
      <c r="H2220" s="22">
        <f>VLOOKUP($A2220,'Medical Examinations'!$A:$L,10, FALSE)</f>
        <v>1</v>
      </c>
      <c r="I2220" s="22" t="str">
        <f>VLOOKUP($A2220, 'Medical Examinations'!$A:$J, 9, FALSE)</f>
        <v>No</v>
      </c>
      <c r="J2220" s="22" t="str">
        <f>VLOOKUP($A2220, 'Medical Examinations'!$A:$P, 11, FALSE)</f>
        <v>NORMAL WEIGHT</v>
      </c>
      <c r="K2220" s="34">
        <v>28351.0</v>
      </c>
      <c r="L2220" s="35">
        <f>VLOOKUP($A2220, 'Hospitalisation Details'!$A:$H, 7, FALSE)</f>
        <v>1607.51</v>
      </c>
      <c r="M2220" s="22" t="str">
        <f>VLOOKUP($A2220, 'Hospitalisation Details'!$A:$L, 12, FALSE)</f>
        <v>tier - 2</v>
      </c>
      <c r="N2220" s="22" t="str">
        <f>VLOOKUP($A2220, 'Hospitalisation Details'!$A:$M, 13, FALSE)</f>
        <v>tier - 3</v>
      </c>
      <c r="O2220" s="22" t="str">
        <f>VLOOKUP($A2220, 'Hospitalisation Details'!$A:$N, 14, FALSE)</f>
        <v>R1013</v>
      </c>
      <c r="P2220" s="36">
        <f>VLOOKUP($A2220, 'Hospitalisation Details'!$A:$O, 15, FALSE)</f>
        <v>18</v>
      </c>
    </row>
    <row r="2221" ht="15.75" customHeight="1">
      <c r="A2221" s="33" t="s">
        <v>4441</v>
      </c>
      <c r="B2221" s="22" t="str">
        <f>VLOOKUP($A2221,'Customer Names'!$A:$D,3, FALSE)</f>
        <v>Schwartz</v>
      </c>
      <c r="C2221" s="22">
        <f>VLOOKUP($A2221,'Medical Examinations'!$A:$D, 2, FALSE)</f>
        <v>20.15</v>
      </c>
      <c r="D2221" s="22">
        <f>VLOOKUP($A2221, 'Medical Examinations'!$A:$D,3, FALSE)</f>
        <v>4.15</v>
      </c>
      <c r="E2221" s="22" t="str">
        <f>VLOOKUP($A2221, 'Medical Examinations'!$A:$D, 4, FALSE)</f>
        <v>No</v>
      </c>
      <c r="F2221" s="22" t="str">
        <f>VLOOKUP($A2221, 'Medical Examinations'!$A:$J, 5, FALSE)</f>
        <v>No</v>
      </c>
      <c r="G2221" s="22" t="str">
        <f>VLOOKUP($A2221, 'Medical Examinations'!$A:$I, 6, FALSE)</f>
        <v>No</v>
      </c>
      <c r="H2221" s="22">
        <f>VLOOKUP($A2221,'Medical Examinations'!$A:$L,10, FALSE)</f>
        <v>1</v>
      </c>
      <c r="I2221" s="22" t="str">
        <f>VLOOKUP($A2221, 'Medical Examinations'!$A:$J, 9, FALSE)</f>
        <v>No</v>
      </c>
      <c r="J2221" s="22" t="str">
        <f>VLOOKUP($A2221, 'Medical Examinations'!$A:$P, 11, FALSE)</f>
        <v>NORMAL WEIGHT</v>
      </c>
      <c r="K2221" s="34">
        <v>33479.0</v>
      </c>
      <c r="L2221" s="35">
        <f>VLOOKUP($A2221, 'Hospitalisation Details'!$A:$H, 7, FALSE)</f>
        <v>1566.88</v>
      </c>
      <c r="M2221" s="22" t="str">
        <f>VLOOKUP($A2221, 'Hospitalisation Details'!$A:$L, 12, FALSE)</f>
        <v>tier - 2</v>
      </c>
      <c r="N2221" s="22" t="str">
        <f>VLOOKUP($A2221, 'Hospitalisation Details'!$A:$M, 13, FALSE)</f>
        <v>tier - 1</v>
      </c>
      <c r="O2221" s="22" t="str">
        <f>VLOOKUP($A2221, 'Hospitalisation Details'!$A:$N, 14, FALSE)</f>
        <v>R1013</v>
      </c>
      <c r="P2221" s="36">
        <f>VLOOKUP($A2221, 'Hospitalisation Details'!$A:$O, 15, FALSE)</f>
        <v>30</v>
      </c>
    </row>
    <row r="2222" ht="15.75" customHeight="1">
      <c r="A2222" s="33" t="s">
        <v>4443</v>
      </c>
      <c r="B2222" s="22" t="str">
        <f>VLOOKUP($A2222,'Customer Names'!$A:$D,3, FALSE)</f>
        <v>Sanseverino</v>
      </c>
      <c r="C2222" s="22">
        <f>VLOOKUP($A2222,'Medical Examinations'!$A:$D, 2, FALSE)</f>
        <v>36.85</v>
      </c>
      <c r="D2222" s="22">
        <f>VLOOKUP($A2222, 'Medical Examinations'!$A:$D,3, FALSE)</f>
        <v>4.36</v>
      </c>
      <c r="E2222" s="22" t="str">
        <f>VLOOKUP($A2222, 'Medical Examinations'!$A:$D, 4, FALSE)</f>
        <v>Yes</v>
      </c>
      <c r="F2222" s="22" t="str">
        <f>VLOOKUP($A2222, 'Medical Examinations'!$A:$J, 5, FALSE)</f>
        <v>No</v>
      </c>
      <c r="G2222" s="22" t="str">
        <f>VLOOKUP($A2222, 'Medical Examinations'!$A:$I, 6, FALSE)</f>
        <v>No</v>
      </c>
      <c r="H2222" s="22">
        <f>VLOOKUP($A2222,'Medical Examinations'!$A:$L,10, FALSE)</f>
        <v>0</v>
      </c>
      <c r="I2222" s="22" t="str">
        <f>VLOOKUP($A2222, 'Medical Examinations'!$A:$J, 9, FALSE)</f>
        <v>No</v>
      </c>
      <c r="J2222" s="22" t="str">
        <f>VLOOKUP($A2222, 'Medical Examinations'!$A:$P, 11, FALSE)</f>
        <v>OBESITY</v>
      </c>
      <c r="K2222" s="34">
        <v>32055.0</v>
      </c>
      <c r="L2222" s="35">
        <f>VLOOKUP($A2222, 'Hospitalisation Details'!$A:$H, 7, FALSE)</f>
        <v>1534.3</v>
      </c>
      <c r="M2222" s="22" t="str">
        <f>VLOOKUP($A2222, 'Hospitalisation Details'!$A:$L, 12, FALSE)</f>
        <v>tier - 2</v>
      </c>
      <c r="N2222" s="22" t="str">
        <f>VLOOKUP($A2222, 'Hospitalisation Details'!$A:$M, 13, FALSE)</f>
        <v>tier - 2</v>
      </c>
      <c r="O2222" s="22" t="str">
        <f>VLOOKUP($A2222, 'Hospitalisation Details'!$A:$N, 14, FALSE)</f>
        <v>R1013</v>
      </c>
      <c r="P2222" s="36">
        <f>VLOOKUP($A2222, 'Hospitalisation Details'!$A:$O, 15, FALSE)</f>
        <v>21</v>
      </c>
    </row>
    <row r="2223" ht="15.75" customHeight="1">
      <c r="A2223" s="33" t="s">
        <v>4445</v>
      </c>
      <c r="B2223" s="22" t="str">
        <f>VLOOKUP($A2223,'Customer Names'!$A:$D,3, FALSE)</f>
        <v>Lawder</v>
      </c>
      <c r="C2223" s="22">
        <f>VLOOKUP($A2223,'Medical Examinations'!$A:$D, 2, FALSE)</f>
        <v>35.53</v>
      </c>
      <c r="D2223" s="22">
        <f>VLOOKUP($A2223, 'Medical Examinations'!$A:$D,3, FALSE)</f>
        <v>4.55</v>
      </c>
      <c r="E2223" s="22" t="str">
        <f>VLOOKUP($A2223, 'Medical Examinations'!$A:$D, 4, FALSE)</f>
        <v>Yes</v>
      </c>
      <c r="F2223" s="22" t="str">
        <f>VLOOKUP($A2223, 'Medical Examinations'!$A:$J, 5, FALSE)</f>
        <v>No</v>
      </c>
      <c r="G2223" s="22" t="str">
        <f>VLOOKUP($A2223, 'Medical Examinations'!$A:$I, 6, FALSE)</f>
        <v>No</v>
      </c>
      <c r="H2223" s="22">
        <f>VLOOKUP($A2223,'Medical Examinations'!$A:$L,10, FALSE)</f>
        <v>0</v>
      </c>
      <c r="I2223" s="22" t="str">
        <f>VLOOKUP($A2223, 'Medical Examinations'!$A:$J, 9, FALSE)</f>
        <v>No</v>
      </c>
      <c r="J2223" s="22" t="str">
        <f>VLOOKUP($A2223, 'Medical Examinations'!$A:$P, 11, FALSE)</f>
        <v>OBESITY</v>
      </c>
      <c r="K2223" s="34">
        <v>30567.0</v>
      </c>
      <c r="L2223" s="35">
        <f>VLOOKUP($A2223, 'Hospitalisation Details'!$A:$H, 7, FALSE)</f>
        <v>1532.47</v>
      </c>
      <c r="M2223" s="22" t="str">
        <f>VLOOKUP($A2223, 'Hospitalisation Details'!$A:$L, 12, FALSE)</f>
        <v>tier - 2</v>
      </c>
      <c r="N2223" s="22" t="str">
        <f>VLOOKUP($A2223, 'Hospitalisation Details'!$A:$M, 13, FALSE)</f>
        <v>tier - 2</v>
      </c>
      <c r="O2223" s="22" t="str">
        <f>VLOOKUP($A2223, 'Hospitalisation Details'!$A:$N, 14, FALSE)</f>
        <v>R1013</v>
      </c>
      <c r="P2223" s="36">
        <f>VLOOKUP($A2223, 'Hospitalisation Details'!$A:$O, 15, FALSE)</f>
        <v>22</v>
      </c>
    </row>
    <row r="2224" ht="15.75" customHeight="1">
      <c r="A2224" s="33" t="s">
        <v>4447</v>
      </c>
      <c r="B2224" s="22" t="str">
        <f>VLOOKUP($A2224,'Customer Names'!$A:$D,3, FALSE)</f>
        <v>Young</v>
      </c>
      <c r="C2224" s="22">
        <f>VLOOKUP($A2224,'Medical Examinations'!$A:$D, 2, FALSE)</f>
        <v>31.1</v>
      </c>
      <c r="D2224" s="22">
        <f>VLOOKUP($A2224, 'Medical Examinations'!$A:$D,3, FALSE)</f>
        <v>4.37</v>
      </c>
      <c r="E2224" s="22" t="str">
        <f>VLOOKUP($A2224, 'Medical Examinations'!$A:$D, 4, FALSE)</f>
        <v>Yes</v>
      </c>
      <c r="F2224" s="22" t="str">
        <f>VLOOKUP($A2224, 'Medical Examinations'!$A:$J, 5, FALSE)</f>
        <v>No</v>
      </c>
      <c r="G2224" s="22" t="str">
        <f>VLOOKUP($A2224, 'Medical Examinations'!$A:$I, 6, FALSE)</f>
        <v>No</v>
      </c>
      <c r="H2224" s="22">
        <f>VLOOKUP($A2224,'Medical Examinations'!$A:$L,10, FALSE)</f>
        <v>0</v>
      </c>
      <c r="I2224" s="22" t="str">
        <f>VLOOKUP($A2224, 'Medical Examinations'!$A:$J, 9, FALSE)</f>
        <v>No</v>
      </c>
      <c r="J2224" s="22" t="str">
        <f>VLOOKUP($A2224, 'Medical Examinations'!$A:$P, 11, FALSE)</f>
        <v>OBESITY</v>
      </c>
      <c r="K2224" s="34">
        <v>22904.0</v>
      </c>
      <c r="L2224" s="35">
        <f>VLOOKUP($A2224, 'Hospitalisation Details'!$A:$H, 7, FALSE)</f>
        <v>1526.31</v>
      </c>
      <c r="M2224" s="22" t="str">
        <f>VLOOKUP($A2224, 'Hospitalisation Details'!$A:$L, 12, FALSE)</f>
        <v>tier - 2</v>
      </c>
      <c r="N2224" s="22" t="str">
        <f>VLOOKUP($A2224, 'Hospitalisation Details'!$A:$M, 13, FALSE)</f>
        <v>tier - 3</v>
      </c>
      <c r="O2224" s="22" t="str">
        <f>VLOOKUP($A2224, 'Hospitalisation Details'!$A:$N, 14, FALSE)</f>
        <v>R1011</v>
      </c>
      <c r="P2224" s="36">
        <f>VLOOKUP($A2224, 'Hospitalisation Details'!$A:$O, 15, FALSE)</f>
        <v>21</v>
      </c>
    </row>
    <row r="2225" ht="15.75" customHeight="1">
      <c r="A2225" s="33" t="s">
        <v>4449</v>
      </c>
      <c r="B2225" s="22" t="str">
        <f>VLOOKUP($A2225,'Customer Names'!$A:$D,3, FALSE)</f>
        <v>Hoerner</v>
      </c>
      <c r="C2225" s="22">
        <f>VLOOKUP($A2225,'Medical Examinations'!$A:$D, 2, FALSE)</f>
        <v>23.21</v>
      </c>
      <c r="D2225" s="22">
        <f>VLOOKUP($A2225, 'Medical Examinations'!$A:$D,3, FALSE)</f>
        <v>5.24</v>
      </c>
      <c r="E2225" s="22" t="str">
        <f>VLOOKUP($A2225, 'Medical Examinations'!$A:$D, 4, FALSE)</f>
        <v>Yes</v>
      </c>
      <c r="F2225" s="22" t="str">
        <f>VLOOKUP($A2225, 'Medical Examinations'!$A:$J, 5, FALSE)</f>
        <v>No</v>
      </c>
      <c r="G2225" s="22" t="str">
        <f>VLOOKUP($A2225, 'Medical Examinations'!$A:$I, 6, FALSE)</f>
        <v>No</v>
      </c>
      <c r="H2225" s="22">
        <f>VLOOKUP($A2225,'Medical Examinations'!$A:$L,10, FALSE)</f>
        <v>0</v>
      </c>
      <c r="I2225" s="22" t="str">
        <f>VLOOKUP($A2225, 'Medical Examinations'!$A:$J, 9, FALSE)</f>
        <v>No</v>
      </c>
      <c r="J2225" s="22" t="str">
        <f>VLOOKUP($A2225, 'Medical Examinations'!$A:$P, 11, FALSE)</f>
        <v>NORMAL WEIGHT</v>
      </c>
      <c r="K2225" s="34">
        <v>22954.0</v>
      </c>
      <c r="L2225" s="35">
        <f>VLOOKUP($A2225, 'Hospitalisation Details'!$A:$H, 7, FALSE)</f>
        <v>1515.34</v>
      </c>
      <c r="M2225" s="22" t="str">
        <f>VLOOKUP($A2225, 'Hospitalisation Details'!$A:$L, 12, FALSE)</f>
        <v>tier - 2</v>
      </c>
      <c r="N2225" s="22" t="str">
        <f>VLOOKUP($A2225, 'Hospitalisation Details'!$A:$M, 13, FALSE)</f>
        <v>tier - 3</v>
      </c>
      <c r="O2225" s="22" t="str">
        <f>VLOOKUP($A2225, 'Hospitalisation Details'!$A:$N, 14, FALSE)</f>
        <v>R1013</v>
      </c>
      <c r="P2225" s="36">
        <f>VLOOKUP($A2225, 'Hospitalisation Details'!$A:$O, 15, FALSE)</f>
        <v>21</v>
      </c>
    </row>
    <row r="2226" ht="15.75" customHeight="1">
      <c r="A2226" s="33" t="s">
        <v>4451</v>
      </c>
      <c r="B2226" s="22" t="str">
        <f>VLOOKUP($A2226,'Customer Names'!$A:$D,3, FALSE)</f>
        <v>Benson</v>
      </c>
      <c r="C2226" s="22">
        <f>VLOOKUP($A2226,'Medical Examinations'!$A:$D, 2, FALSE)</f>
        <v>18.36</v>
      </c>
      <c r="D2226" s="22">
        <f>VLOOKUP($A2226, 'Medical Examinations'!$A:$D,3, FALSE)</f>
        <v>5.96</v>
      </c>
      <c r="E2226" s="22" t="str">
        <f>VLOOKUP($A2226, 'Medical Examinations'!$A:$D, 4, FALSE)</f>
        <v>No</v>
      </c>
      <c r="F2226" s="22" t="str">
        <f>VLOOKUP($A2226, 'Medical Examinations'!$A:$J, 5, FALSE)</f>
        <v>No</v>
      </c>
      <c r="G2226" s="22" t="str">
        <f>VLOOKUP($A2226, 'Medical Examinations'!$A:$I, 6, FALSE)</f>
        <v>No</v>
      </c>
      <c r="H2226" s="22">
        <f>VLOOKUP($A2226,'Medical Examinations'!$A:$L,10, FALSE)</f>
        <v>1</v>
      </c>
      <c r="I2226" s="22" t="str">
        <f>VLOOKUP($A2226, 'Medical Examinations'!$A:$J, 9, FALSE)</f>
        <v>No</v>
      </c>
      <c r="J2226" s="22" t="str">
        <f>VLOOKUP($A2226, 'Medical Examinations'!$A:$P, 11, FALSE)</f>
        <v>UNDERWEIGHT</v>
      </c>
      <c r="K2226" s="34">
        <v>27288.0</v>
      </c>
      <c r="L2226" s="35">
        <f>VLOOKUP($A2226, 'Hospitalisation Details'!$A:$H, 7, FALSE)</f>
        <v>1497</v>
      </c>
      <c r="M2226" s="22" t="str">
        <f>VLOOKUP($A2226, 'Hospitalisation Details'!$A:$L, 12, FALSE)</f>
        <v>tier - 2</v>
      </c>
      <c r="N2226" s="22" t="str">
        <f>VLOOKUP($A2226, 'Hospitalisation Details'!$A:$M, 13, FALSE)</f>
        <v>tier - 2</v>
      </c>
      <c r="O2226" s="22" t="str">
        <f>VLOOKUP($A2226, 'Hospitalisation Details'!$A:$N, 14, FALSE)</f>
        <v>R1013</v>
      </c>
      <c r="P2226" s="36">
        <f>VLOOKUP($A2226, 'Hospitalisation Details'!$A:$O, 15, FALSE)</f>
        <v>24</v>
      </c>
    </row>
    <row r="2227" ht="15.75" customHeight="1">
      <c r="A2227" s="33" t="s">
        <v>4453</v>
      </c>
      <c r="B2227" s="22" t="str">
        <f>VLOOKUP($A2227,'Customer Names'!$A:$D,3, FALSE)</f>
        <v>Horton</v>
      </c>
      <c r="C2227" s="22">
        <f>VLOOKUP($A2227,'Medical Examinations'!$A:$D, 2, FALSE)</f>
        <v>15.92</v>
      </c>
      <c r="D2227" s="22">
        <f>VLOOKUP($A2227, 'Medical Examinations'!$A:$D,3, FALSE)</f>
        <v>4.76</v>
      </c>
      <c r="E2227" s="22" t="str">
        <f>VLOOKUP($A2227, 'Medical Examinations'!$A:$D, 4, FALSE)</f>
        <v>Yes</v>
      </c>
      <c r="F2227" s="22" t="str">
        <f>VLOOKUP($A2227, 'Medical Examinations'!$A:$J, 5, FALSE)</f>
        <v>No</v>
      </c>
      <c r="G2227" s="22" t="str">
        <f>VLOOKUP($A2227, 'Medical Examinations'!$A:$I, 6, FALSE)</f>
        <v>No</v>
      </c>
      <c r="H2227" s="22">
        <f>VLOOKUP($A2227,'Medical Examinations'!$A:$L,10, FALSE)</f>
        <v>1</v>
      </c>
      <c r="I2227" s="22" t="str">
        <f>VLOOKUP($A2227, 'Medical Examinations'!$A:$J, 9, FALSE)</f>
        <v>No</v>
      </c>
      <c r="J2227" s="22" t="str">
        <f>VLOOKUP($A2227, 'Medical Examinations'!$A:$P, 11, FALSE)</f>
        <v>UNDERWEIGHT</v>
      </c>
      <c r="K2227" s="34">
        <v>33548.0</v>
      </c>
      <c r="L2227" s="35">
        <f>VLOOKUP($A2227, 'Hospitalisation Details'!$A:$H, 7, FALSE)</f>
        <v>1493</v>
      </c>
      <c r="M2227" s="22" t="str">
        <f>VLOOKUP($A2227, 'Hospitalisation Details'!$A:$L, 12, FALSE)</f>
        <v>tier - 2</v>
      </c>
      <c r="N2227" s="22" t="str">
        <f>VLOOKUP($A2227, 'Hospitalisation Details'!$A:$M, 13, FALSE)</f>
        <v>tier - 3</v>
      </c>
      <c r="O2227" s="22" t="str">
        <f>VLOOKUP($A2227, 'Hospitalisation Details'!$A:$N, 14, FALSE)</f>
        <v>R1013</v>
      </c>
      <c r="P2227" s="36">
        <f>VLOOKUP($A2227, 'Hospitalisation Details'!$A:$O, 15, FALSE)</f>
        <v>27</v>
      </c>
    </row>
    <row r="2228" ht="15.75" customHeight="1">
      <c r="A2228" s="33" t="s">
        <v>4455</v>
      </c>
      <c r="B2228" s="22" t="str">
        <f>VLOOKUP($A2228,'Customer Names'!$A:$D,3, FALSE)</f>
        <v>McGraw</v>
      </c>
      <c r="C2228" s="22">
        <f>VLOOKUP($A2228,'Medical Examinations'!$A:$D, 2, FALSE)</f>
        <v>15.17</v>
      </c>
      <c r="D2228" s="22">
        <f>VLOOKUP($A2228, 'Medical Examinations'!$A:$D,3, FALSE)</f>
        <v>4.3</v>
      </c>
      <c r="E2228" s="22" t="str">
        <f>VLOOKUP($A2228, 'Medical Examinations'!$A:$D, 4, FALSE)</f>
        <v>Yes</v>
      </c>
      <c r="F2228" s="22" t="str">
        <f>VLOOKUP($A2228, 'Medical Examinations'!$A:$J, 5, FALSE)</f>
        <v>No</v>
      </c>
      <c r="G2228" s="22" t="str">
        <f>VLOOKUP($A2228, 'Medical Examinations'!$A:$I, 6, FALSE)</f>
        <v>Yes</v>
      </c>
      <c r="H2228" s="22">
        <f>VLOOKUP($A2228,'Medical Examinations'!$A:$L,10, FALSE)</f>
        <v>1</v>
      </c>
      <c r="I2228" s="22" t="str">
        <f>VLOOKUP($A2228, 'Medical Examinations'!$A:$J, 9, FALSE)</f>
        <v>No</v>
      </c>
      <c r="J2228" s="22" t="str">
        <f>VLOOKUP($A2228, 'Medical Examinations'!$A:$P, 11, FALSE)</f>
        <v>UNDERWEIGHT</v>
      </c>
      <c r="K2228" s="34">
        <v>23166.0</v>
      </c>
      <c r="L2228" s="35">
        <f>VLOOKUP($A2228, 'Hospitalisation Details'!$A:$H, 7, FALSE)</f>
        <v>1481</v>
      </c>
      <c r="M2228" s="22" t="str">
        <f>VLOOKUP($A2228, 'Hospitalisation Details'!$A:$L, 12, FALSE)</f>
        <v>tier - 2</v>
      </c>
      <c r="N2228" s="22" t="str">
        <f>VLOOKUP($A2228, 'Hospitalisation Details'!$A:$M, 13, FALSE)</f>
        <v>tier - 1</v>
      </c>
      <c r="O2228" s="22" t="str">
        <f>VLOOKUP($A2228, 'Hospitalisation Details'!$A:$N, 14, FALSE)</f>
        <v>R1012</v>
      </c>
      <c r="P2228" s="36">
        <f>VLOOKUP($A2228, 'Hospitalisation Details'!$A:$O, 15, FALSE)</f>
        <v>25</v>
      </c>
    </row>
    <row r="2229" ht="15.75" customHeight="1">
      <c r="A2229" s="33" t="s">
        <v>4457</v>
      </c>
      <c r="B2229" s="22" t="str">
        <f>VLOOKUP($A2229,'Customer Names'!$A:$D,3, FALSE)</f>
        <v>Beaulne</v>
      </c>
      <c r="C2229" s="22">
        <f>VLOOKUP($A2229,'Medical Examinations'!$A:$D, 2, FALSE)</f>
        <v>16.63</v>
      </c>
      <c r="D2229" s="22">
        <f>VLOOKUP($A2229, 'Medical Examinations'!$A:$D,3, FALSE)</f>
        <v>4.5</v>
      </c>
      <c r="E2229" s="22" t="str">
        <f>VLOOKUP($A2229, 'Medical Examinations'!$A:$D, 4, FALSE)</f>
        <v>No</v>
      </c>
      <c r="F2229" s="22" t="str">
        <f>VLOOKUP($A2229, 'Medical Examinations'!$A:$J, 5, FALSE)</f>
        <v>No</v>
      </c>
      <c r="G2229" s="22" t="str">
        <f>VLOOKUP($A2229, 'Medical Examinations'!$A:$I, 6, FALSE)</f>
        <v>No</v>
      </c>
      <c r="H2229" s="22">
        <f>VLOOKUP($A2229,'Medical Examinations'!$A:$L,10, FALSE)</f>
        <v>1</v>
      </c>
      <c r="I2229" s="22" t="str">
        <f>VLOOKUP($A2229, 'Medical Examinations'!$A:$J, 9, FALSE)</f>
        <v>No</v>
      </c>
      <c r="J2229" s="22" t="str">
        <f>VLOOKUP($A2229, 'Medical Examinations'!$A:$P, 11, FALSE)</f>
        <v>UNDERWEIGHT</v>
      </c>
      <c r="K2229" s="34">
        <v>23212.0</v>
      </c>
      <c r="L2229" s="35">
        <f>VLOOKUP($A2229, 'Hospitalisation Details'!$A:$H, 7, FALSE)</f>
        <v>1477</v>
      </c>
      <c r="M2229" s="22" t="str">
        <f>VLOOKUP($A2229, 'Hospitalisation Details'!$A:$L, 12, FALSE)</f>
        <v>tier - 2</v>
      </c>
      <c r="N2229" s="22" t="str">
        <f>VLOOKUP($A2229, 'Hospitalisation Details'!$A:$M, 13, FALSE)</f>
        <v>tier - 1</v>
      </c>
      <c r="O2229" s="22" t="str">
        <f>VLOOKUP($A2229, 'Hospitalisation Details'!$A:$N, 14, FALSE)</f>
        <v>R1013</v>
      </c>
      <c r="P2229" s="36">
        <f>VLOOKUP($A2229, 'Hospitalisation Details'!$A:$O, 15, FALSE)</f>
        <v>24</v>
      </c>
    </row>
    <row r="2230" ht="15.75" customHeight="1">
      <c r="A2230" s="33" t="s">
        <v>4459</v>
      </c>
      <c r="B2230" s="22" t="str">
        <f>VLOOKUP($A2230,'Customer Names'!$A:$D,3, FALSE)</f>
        <v>Lunz</v>
      </c>
      <c r="C2230" s="22">
        <f>VLOOKUP($A2230,'Medical Examinations'!$A:$D, 2, FALSE)</f>
        <v>19.39</v>
      </c>
      <c r="D2230" s="22">
        <f>VLOOKUP($A2230, 'Medical Examinations'!$A:$D,3, FALSE)</f>
        <v>5.59</v>
      </c>
      <c r="E2230" s="22" t="str">
        <f>VLOOKUP($A2230, 'Medical Examinations'!$A:$D, 4, FALSE)</f>
        <v>No</v>
      </c>
      <c r="F2230" s="22" t="str">
        <f>VLOOKUP($A2230, 'Medical Examinations'!$A:$J, 5, FALSE)</f>
        <v>No</v>
      </c>
      <c r="G2230" s="22" t="str">
        <f>VLOOKUP($A2230, 'Medical Examinations'!$A:$I, 6, FALSE)</f>
        <v>Yes</v>
      </c>
      <c r="H2230" s="22">
        <f>VLOOKUP($A2230,'Medical Examinations'!$A:$L,10, FALSE)</f>
        <v>1</v>
      </c>
      <c r="I2230" s="22" t="str">
        <f>VLOOKUP($A2230, 'Medical Examinations'!$A:$J, 9, FALSE)</f>
        <v>No</v>
      </c>
      <c r="J2230" s="22" t="str">
        <f>VLOOKUP($A2230, 'Medical Examinations'!$A:$P, 11, FALSE)</f>
        <v>NORMAL WEIGHT</v>
      </c>
      <c r="K2230" s="34">
        <v>25136.0</v>
      </c>
      <c r="L2230" s="35">
        <f>VLOOKUP($A2230, 'Hospitalisation Details'!$A:$H, 7, FALSE)</f>
        <v>1467</v>
      </c>
      <c r="M2230" s="22" t="str">
        <f>VLOOKUP($A2230, 'Hospitalisation Details'!$A:$L, 12, FALSE)</f>
        <v>tier - 2</v>
      </c>
      <c r="N2230" s="22" t="str">
        <f>VLOOKUP($A2230, 'Hospitalisation Details'!$A:$M, 13, FALSE)</f>
        <v>tier - 2</v>
      </c>
      <c r="O2230" s="22" t="str">
        <f>VLOOKUP($A2230, 'Hospitalisation Details'!$A:$N, 14, FALSE)</f>
        <v>R1013</v>
      </c>
      <c r="P2230" s="36">
        <f>VLOOKUP($A2230, 'Hospitalisation Details'!$A:$O, 15, FALSE)</f>
        <v>19</v>
      </c>
    </row>
    <row r="2231" ht="15.75" customHeight="1">
      <c r="A2231" s="33" t="s">
        <v>4461</v>
      </c>
      <c r="B2231" s="22" t="str">
        <f>VLOOKUP($A2231,'Customer Names'!$A:$D,3, FALSE)</f>
        <v>Kyle</v>
      </c>
      <c r="C2231" s="22">
        <f>VLOOKUP($A2231,'Medical Examinations'!$A:$D, 2, FALSE)</f>
        <v>17.34</v>
      </c>
      <c r="D2231" s="22">
        <f>VLOOKUP($A2231, 'Medical Examinations'!$A:$D,3, FALSE)</f>
        <v>6.29</v>
      </c>
      <c r="E2231" s="22" t="str">
        <f>VLOOKUP($A2231, 'Medical Examinations'!$A:$D, 4, FALSE)</f>
        <v>Yes</v>
      </c>
      <c r="F2231" s="22" t="str">
        <f>VLOOKUP($A2231, 'Medical Examinations'!$A:$J, 5, FALSE)</f>
        <v>No</v>
      </c>
      <c r="G2231" s="22" t="str">
        <f>VLOOKUP($A2231, 'Medical Examinations'!$A:$I, 6, FALSE)</f>
        <v>Yes</v>
      </c>
      <c r="H2231" s="22">
        <f>VLOOKUP($A2231,'Medical Examinations'!$A:$L,10, FALSE)</f>
        <v>1</v>
      </c>
      <c r="I2231" s="22" t="str">
        <f>VLOOKUP($A2231, 'Medical Examinations'!$A:$J, 9, FALSE)</f>
        <v>No</v>
      </c>
      <c r="J2231" s="22" t="str">
        <f>VLOOKUP($A2231, 'Medical Examinations'!$A:$P, 11, FALSE)</f>
        <v>UNDERWEIGHT</v>
      </c>
      <c r="K2231" s="34">
        <v>25181.0</v>
      </c>
      <c r="L2231" s="35">
        <f>VLOOKUP($A2231, 'Hospitalisation Details'!$A:$H, 7, FALSE)</f>
        <v>1445</v>
      </c>
      <c r="M2231" s="22" t="str">
        <f>VLOOKUP($A2231, 'Hospitalisation Details'!$A:$L, 12, FALSE)</f>
        <v>tier - 2</v>
      </c>
      <c r="N2231" s="22" t="str">
        <f>VLOOKUP($A2231, 'Hospitalisation Details'!$A:$M, 13, FALSE)</f>
        <v>tier - 1</v>
      </c>
      <c r="O2231" s="22" t="str">
        <f>VLOOKUP($A2231, 'Hospitalisation Details'!$A:$N, 14, FALSE)</f>
        <v>R1013</v>
      </c>
      <c r="P2231" s="36">
        <f>VLOOKUP($A2231, 'Hospitalisation Details'!$A:$O, 15, FALSE)</f>
        <v>25</v>
      </c>
    </row>
    <row r="2232" ht="15.75" customHeight="1">
      <c r="A2232" s="33" t="s">
        <v>4463</v>
      </c>
      <c r="B2232" s="22" t="str">
        <f>VLOOKUP($A2232,'Customer Names'!$A:$D,3, FALSE)</f>
        <v>Brackenwagen</v>
      </c>
      <c r="C2232" s="22">
        <f>VLOOKUP($A2232,'Medical Examinations'!$A:$D, 2, FALSE)</f>
        <v>17.94</v>
      </c>
      <c r="D2232" s="22">
        <f>VLOOKUP($A2232, 'Medical Examinations'!$A:$D,3, FALSE)</f>
        <v>4.19</v>
      </c>
      <c r="E2232" s="22" t="str">
        <f>VLOOKUP($A2232, 'Medical Examinations'!$A:$D, 4, FALSE)</f>
        <v>No</v>
      </c>
      <c r="F2232" s="22" t="str">
        <f>VLOOKUP($A2232, 'Medical Examinations'!$A:$J, 5, FALSE)</f>
        <v>Yes</v>
      </c>
      <c r="G2232" s="22" t="str">
        <f>VLOOKUP($A2232, 'Medical Examinations'!$A:$I, 6, FALSE)</f>
        <v>No</v>
      </c>
      <c r="H2232" s="22">
        <f>VLOOKUP($A2232,'Medical Examinations'!$A:$L,10, FALSE)</f>
        <v>1</v>
      </c>
      <c r="I2232" s="22" t="str">
        <f>VLOOKUP($A2232, 'Medical Examinations'!$A:$J, 9, FALSE)</f>
        <v>No</v>
      </c>
      <c r="J2232" s="22" t="str">
        <f>VLOOKUP($A2232, 'Medical Examinations'!$A:$P, 11, FALSE)</f>
        <v>UNDERWEIGHT</v>
      </c>
      <c r="K2232" s="34">
        <v>25010.0</v>
      </c>
      <c r="L2232" s="35">
        <f>VLOOKUP($A2232, 'Hospitalisation Details'!$A:$H, 7, FALSE)</f>
        <v>1438</v>
      </c>
      <c r="M2232" s="22" t="str">
        <f>VLOOKUP($A2232, 'Hospitalisation Details'!$A:$L, 12, FALSE)</f>
        <v>tier - 2</v>
      </c>
      <c r="N2232" s="22" t="str">
        <f>VLOOKUP($A2232, 'Hospitalisation Details'!$A:$M, 13, FALSE)</f>
        <v>tier - 2</v>
      </c>
      <c r="O2232" s="22" t="str">
        <f>VLOOKUP($A2232, 'Hospitalisation Details'!$A:$N, 14, FALSE)</f>
        <v>R1013</v>
      </c>
      <c r="P2232" s="36">
        <f>VLOOKUP($A2232, 'Hospitalisation Details'!$A:$O, 15, FALSE)</f>
        <v>22</v>
      </c>
    </row>
    <row r="2233" ht="15.75" customHeight="1">
      <c r="A2233" s="33" t="s">
        <v>4465</v>
      </c>
      <c r="B2233" s="22" t="str">
        <f>VLOOKUP($A2233,'Customer Names'!$A:$D,3, FALSE)</f>
        <v>Schmitt</v>
      </c>
      <c r="C2233" s="22">
        <f>VLOOKUP($A2233,'Medical Examinations'!$A:$D, 2, FALSE)</f>
        <v>16.67</v>
      </c>
      <c r="D2233" s="22">
        <f>VLOOKUP($A2233, 'Medical Examinations'!$A:$D,3, FALSE)</f>
        <v>4.7</v>
      </c>
      <c r="E2233" s="22" t="str">
        <f>VLOOKUP($A2233, 'Medical Examinations'!$A:$D, 4, FALSE)</f>
        <v>Yes</v>
      </c>
      <c r="F2233" s="22" t="str">
        <f>VLOOKUP($A2233, 'Medical Examinations'!$A:$J, 5, FALSE)</f>
        <v>No</v>
      </c>
      <c r="G2233" s="22" t="str">
        <f>VLOOKUP($A2233, 'Medical Examinations'!$A:$I, 6, FALSE)</f>
        <v>Yes</v>
      </c>
      <c r="H2233" s="22">
        <f>VLOOKUP($A2233,'Medical Examinations'!$A:$L,10, FALSE)</f>
        <v>1</v>
      </c>
      <c r="I2233" s="22" t="str">
        <f>VLOOKUP($A2233, 'Medical Examinations'!$A:$J, 9, FALSE)</f>
        <v>No</v>
      </c>
      <c r="J2233" s="22" t="str">
        <f>VLOOKUP($A2233, 'Medical Examinations'!$A:$P, 11, FALSE)</f>
        <v>UNDERWEIGHT</v>
      </c>
      <c r="K2233" s="34">
        <v>30927.0</v>
      </c>
      <c r="L2233" s="35">
        <f>VLOOKUP($A2233, 'Hospitalisation Details'!$A:$H, 7, FALSE)</f>
        <v>1422</v>
      </c>
      <c r="M2233" s="22" t="str">
        <f>VLOOKUP($A2233, 'Hospitalisation Details'!$A:$L, 12, FALSE)</f>
        <v>tier - 2</v>
      </c>
      <c r="N2233" s="22" t="str">
        <f>VLOOKUP($A2233, 'Hospitalisation Details'!$A:$M, 13, FALSE)</f>
        <v>tier - 2</v>
      </c>
      <c r="O2233" s="22" t="str">
        <f>VLOOKUP($A2233, 'Hospitalisation Details'!$A:$N, 14, FALSE)</f>
        <v>R1013</v>
      </c>
      <c r="P2233" s="36">
        <f>VLOOKUP($A2233, 'Hospitalisation Details'!$A:$O, 15, FALSE)</f>
        <v>25</v>
      </c>
    </row>
    <row r="2234" ht="15.75" customHeight="1">
      <c r="A2234" s="33" t="s">
        <v>4467</v>
      </c>
      <c r="B2234" s="22" t="str">
        <f>VLOOKUP($A2234,'Customer Names'!$A:$D,3, FALSE)</f>
        <v>Borden</v>
      </c>
      <c r="C2234" s="22">
        <f>VLOOKUP($A2234,'Medical Examinations'!$A:$D, 2, FALSE)</f>
        <v>20.58</v>
      </c>
      <c r="D2234" s="22">
        <f>VLOOKUP($A2234, 'Medical Examinations'!$A:$D,3, FALSE)</f>
        <v>5.64</v>
      </c>
      <c r="E2234" s="22" t="str">
        <f>VLOOKUP($A2234, 'Medical Examinations'!$A:$D, 4, FALSE)</f>
        <v>Yes</v>
      </c>
      <c r="F2234" s="22" t="str">
        <f>VLOOKUP($A2234, 'Medical Examinations'!$A:$J, 5, FALSE)</f>
        <v>No</v>
      </c>
      <c r="G2234" s="22" t="str">
        <f>VLOOKUP($A2234, 'Medical Examinations'!$A:$I, 6, FALSE)</f>
        <v>No</v>
      </c>
      <c r="H2234" s="22">
        <f>VLOOKUP($A2234,'Medical Examinations'!$A:$L,10, FALSE)</f>
        <v>0</v>
      </c>
      <c r="I2234" s="22" t="str">
        <f>VLOOKUP($A2234, 'Medical Examinations'!$A:$J, 9, FALSE)</f>
        <v>No</v>
      </c>
      <c r="J2234" s="22" t="str">
        <f>VLOOKUP($A2234, 'Medical Examinations'!$A:$P, 11, FALSE)</f>
        <v>NORMAL WEIGHT</v>
      </c>
      <c r="K2234" s="34">
        <v>23258.0</v>
      </c>
      <c r="L2234" s="35">
        <f>VLOOKUP($A2234, 'Hospitalisation Details'!$A:$H, 7, FALSE)</f>
        <v>1421</v>
      </c>
      <c r="M2234" s="22" t="str">
        <f>VLOOKUP($A2234, 'Hospitalisation Details'!$A:$L, 12, FALSE)</f>
        <v>tier - 2</v>
      </c>
      <c r="N2234" s="22" t="str">
        <f>VLOOKUP($A2234, 'Hospitalisation Details'!$A:$M, 13, FALSE)</f>
        <v>tier - 2</v>
      </c>
      <c r="O2234" s="22" t="str">
        <f>VLOOKUP($A2234, 'Hospitalisation Details'!$A:$N, 14, FALSE)</f>
        <v>R1013</v>
      </c>
      <c r="P2234" s="36">
        <f>VLOOKUP($A2234, 'Hospitalisation Details'!$A:$O, 15, FALSE)</f>
        <v>21</v>
      </c>
    </row>
    <row r="2235" ht="15.75" customHeight="1">
      <c r="A2235" s="33" t="s">
        <v>4469</v>
      </c>
      <c r="B2235" s="22" t="str">
        <f>VLOOKUP($A2235,'Customer Names'!$A:$D,3, FALSE)</f>
        <v>McLean</v>
      </c>
      <c r="C2235" s="22">
        <f>VLOOKUP($A2235,'Medical Examinations'!$A:$D, 2, FALSE)</f>
        <v>16.5</v>
      </c>
      <c r="D2235" s="22">
        <f>VLOOKUP($A2235, 'Medical Examinations'!$A:$D,3, FALSE)</f>
        <v>4.11</v>
      </c>
      <c r="E2235" s="22" t="str">
        <f>VLOOKUP($A2235, 'Medical Examinations'!$A:$D, 4, FALSE)</f>
        <v>Yes</v>
      </c>
      <c r="F2235" s="22" t="str">
        <f>VLOOKUP($A2235, 'Medical Examinations'!$A:$J, 5, FALSE)</f>
        <v>No</v>
      </c>
      <c r="G2235" s="22" t="str">
        <f>VLOOKUP($A2235, 'Medical Examinations'!$A:$I, 6, FALSE)</f>
        <v>No</v>
      </c>
      <c r="H2235" s="22">
        <f>VLOOKUP($A2235,'Medical Examinations'!$A:$L,10, FALSE)</f>
        <v>0</v>
      </c>
      <c r="I2235" s="22" t="str">
        <f>VLOOKUP($A2235, 'Medical Examinations'!$A:$J, 9, FALSE)</f>
        <v>No</v>
      </c>
      <c r="J2235" s="22" t="str">
        <f>VLOOKUP($A2235, 'Medical Examinations'!$A:$P, 11, FALSE)</f>
        <v>UNDERWEIGHT</v>
      </c>
      <c r="K2235" s="34">
        <v>29114.0</v>
      </c>
      <c r="L2235" s="35">
        <f>VLOOKUP($A2235, 'Hospitalisation Details'!$A:$H, 7, FALSE)</f>
        <v>1417</v>
      </c>
      <c r="M2235" s="22" t="str">
        <f>VLOOKUP($A2235, 'Hospitalisation Details'!$A:$L, 12, FALSE)</f>
        <v>tier - 2</v>
      </c>
      <c r="N2235" s="22" t="str">
        <f>VLOOKUP($A2235, 'Hospitalisation Details'!$A:$M, 13, FALSE)</f>
        <v>tier - 3</v>
      </c>
      <c r="O2235" s="22" t="str">
        <f>VLOOKUP($A2235, 'Hospitalisation Details'!$A:$N, 14, FALSE)</f>
        <v>R1013</v>
      </c>
      <c r="P2235" s="36">
        <f>VLOOKUP($A2235, 'Hospitalisation Details'!$A:$O, 15, FALSE)</f>
        <v>26</v>
      </c>
    </row>
    <row r="2236" ht="15.75" customHeight="1">
      <c r="A2236" s="33" t="s">
        <v>4471</v>
      </c>
      <c r="B2236" s="22" t="str">
        <f>VLOOKUP($A2236,'Customer Names'!$A:$D,3, FALSE)</f>
        <v>Regan</v>
      </c>
      <c r="C2236" s="22">
        <f>VLOOKUP($A2236,'Medical Examinations'!$A:$D, 2, FALSE)</f>
        <v>15.41</v>
      </c>
      <c r="D2236" s="22">
        <f>VLOOKUP($A2236, 'Medical Examinations'!$A:$D,3, FALSE)</f>
        <v>5.43</v>
      </c>
      <c r="E2236" s="22" t="str">
        <f>VLOOKUP($A2236, 'Medical Examinations'!$A:$D, 4, FALSE)</f>
        <v>Yes</v>
      </c>
      <c r="F2236" s="22" t="str">
        <f>VLOOKUP($A2236, 'Medical Examinations'!$A:$J, 5, FALSE)</f>
        <v>No</v>
      </c>
      <c r="G2236" s="22" t="str">
        <f>VLOOKUP($A2236, 'Medical Examinations'!$A:$I, 6, FALSE)</f>
        <v>Yes</v>
      </c>
      <c r="H2236" s="22">
        <f>VLOOKUP($A2236,'Medical Examinations'!$A:$L,10, FALSE)</f>
        <v>1</v>
      </c>
      <c r="I2236" s="22" t="str">
        <f>VLOOKUP($A2236, 'Medical Examinations'!$A:$J, 9, FALSE)</f>
        <v>No</v>
      </c>
      <c r="J2236" s="22" t="str">
        <f>VLOOKUP($A2236, 'Medical Examinations'!$A:$P, 11, FALSE)</f>
        <v>UNDERWEIGHT</v>
      </c>
      <c r="K2236" s="34">
        <v>31662.0</v>
      </c>
      <c r="L2236" s="35">
        <f>VLOOKUP($A2236, 'Hospitalisation Details'!$A:$H, 7, FALSE)</f>
        <v>1402</v>
      </c>
      <c r="M2236" s="22" t="str">
        <f>VLOOKUP($A2236, 'Hospitalisation Details'!$A:$L, 12, FALSE)</f>
        <v>tier - 2</v>
      </c>
      <c r="N2236" s="22" t="str">
        <f>VLOOKUP($A2236, 'Hospitalisation Details'!$A:$M, 13, FALSE)</f>
        <v>tier - 3</v>
      </c>
      <c r="O2236" s="22" t="str">
        <f>VLOOKUP($A2236, 'Hospitalisation Details'!$A:$N, 14, FALSE)</f>
        <v>R1011</v>
      </c>
      <c r="P2236" s="36">
        <f>VLOOKUP($A2236, 'Hospitalisation Details'!$A:$O, 15, FALSE)</f>
        <v>25</v>
      </c>
    </row>
    <row r="2237" ht="15.75" customHeight="1">
      <c r="A2237" s="33" t="s">
        <v>4473</v>
      </c>
      <c r="B2237" s="22" t="str">
        <f>VLOOKUP($A2237,'Customer Names'!$A:$D,3, FALSE)</f>
        <v>Koenis</v>
      </c>
      <c r="C2237" s="22">
        <f>VLOOKUP($A2237,'Medical Examinations'!$A:$D, 2, FALSE)</f>
        <v>24.59</v>
      </c>
      <c r="D2237" s="22">
        <f>VLOOKUP($A2237, 'Medical Examinations'!$A:$D,3, FALSE)</f>
        <v>4.38</v>
      </c>
      <c r="E2237" s="22" t="str">
        <f>VLOOKUP($A2237, 'Medical Examinations'!$A:$D, 4, FALSE)</f>
        <v>No</v>
      </c>
      <c r="F2237" s="22" t="str">
        <f>VLOOKUP($A2237, 'Medical Examinations'!$A:$J, 5, FALSE)</f>
        <v>No</v>
      </c>
      <c r="G2237" s="22" t="str">
        <f>VLOOKUP($A2237, 'Medical Examinations'!$A:$I, 6, FALSE)</f>
        <v>No</v>
      </c>
      <c r="H2237" s="22">
        <f>VLOOKUP($A2237,'Medical Examinations'!$A:$L,10, FALSE)</f>
        <v>1</v>
      </c>
      <c r="I2237" s="22" t="str">
        <f>VLOOKUP($A2237, 'Medical Examinations'!$A:$J, 9, FALSE)</f>
        <v>No</v>
      </c>
      <c r="J2237" s="22" t="str">
        <f>VLOOKUP($A2237, 'Medical Examinations'!$A:$P, 11, FALSE)</f>
        <v>NORMAL WEIGHT</v>
      </c>
      <c r="K2237" s="34">
        <v>24435.0</v>
      </c>
      <c r="L2237" s="35">
        <f>VLOOKUP($A2237, 'Hospitalisation Details'!$A:$H, 7, FALSE)</f>
        <v>1400.44</v>
      </c>
      <c r="M2237" s="22" t="str">
        <f>VLOOKUP($A2237, 'Hospitalisation Details'!$A:$L, 12, FALSE)</f>
        <v>tier - 2</v>
      </c>
      <c r="N2237" s="22" t="str">
        <f>VLOOKUP($A2237, 'Hospitalisation Details'!$A:$M, 13, FALSE)</f>
        <v>tier - 2</v>
      </c>
      <c r="O2237" s="22" t="str">
        <f>VLOOKUP($A2237, 'Hospitalisation Details'!$A:$N, 14, FALSE)</f>
        <v>R1013</v>
      </c>
      <c r="P2237" s="36">
        <f>VLOOKUP($A2237, 'Hospitalisation Details'!$A:$O, 15, FALSE)</f>
        <v>24</v>
      </c>
    </row>
    <row r="2238" ht="15.75" customHeight="1">
      <c r="A2238" s="33" t="s">
        <v>4475</v>
      </c>
      <c r="B2238" s="22" t="str">
        <f>VLOOKUP($A2238,'Customer Names'!$A:$D,3, FALSE)</f>
        <v>Kittaka</v>
      </c>
      <c r="C2238" s="22">
        <f>VLOOKUP($A2238,'Medical Examinations'!$A:$D, 2, FALSE)</f>
        <v>33.33</v>
      </c>
      <c r="D2238" s="22">
        <f>VLOOKUP($A2238, 'Medical Examinations'!$A:$D,3, FALSE)</f>
        <v>9.79</v>
      </c>
      <c r="E2238" s="22" t="str">
        <f>VLOOKUP($A2238, 'Medical Examinations'!$A:$D, 4, FALSE)</f>
        <v>No</v>
      </c>
      <c r="F2238" s="22" t="str">
        <f>VLOOKUP($A2238, 'Medical Examinations'!$A:$J, 5, FALSE)</f>
        <v>No</v>
      </c>
      <c r="G2238" s="22" t="str">
        <f>VLOOKUP($A2238, 'Medical Examinations'!$A:$I, 6, FALSE)</f>
        <v>No</v>
      </c>
      <c r="H2238" s="22">
        <f>VLOOKUP($A2238,'Medical Examinations'!$A:$L,10, FALSE)</f>
        <v>0</v>
      </c>
      <c r="I2238" s="22" t="str">
        <f>VLOOKUP($A2238, 'Medical Examinations'!$A:$J, 9, FALSE)</f>
        <v>No</v>
      </c>
      <c r="J2238" s="22" t="str">
        <f>VLOOKUP($A2238, 'Medical Examinations'!$A:$P, 11, FALSE)</f>
        <v>OBESITY</v>
      </c>
      <c r="K2238" s="34">
        <v>29144.0</v>
      </c>
      <c r="L2238" s="35">
        <f>VLOOKUP($A2238, 'Hospitalisation Details'!$A:$H, 7, FALSE)</f>
        <v>1391.53</v>
      </c>
      <c r="M2238" s="22" t="str">
        <f>VLOOKUP($A2238, 'Hospitalisation Details'!$A:$L, 12, FALSE)</f>
        <v>tier - 2</v>
      </c>
      <c r="N2238" s="22" t="str">
        <f>VLOOKUP($A2238, 'Hospitalisation Details'!$A:$M, 13, FALSE)</f>
        <v>tier - 1</v>
      </c>
      <c r="O2238" s="22" t="str">
        <f>VLOOKUP($A2238, 'Hospitalisation Details'!$A:$N, 14, FALSE)</f>
        <v>R1013</v>
      </c>
      <c r="P2238" s="36">
        <f>VLOOKUP($A2238, 'Hospitalisation Details'!$A:$O, 15, FALSE)</f>
        <v>20</v>
      </c>
    </row>
    <row r="2239" ht="15.75" customHeight="1">
      <c r="A2239" s="33" t="s">
        <v>4477</v>
      </c>
      <c r="B2239" s="22" t="str">
        <f>VLOOKUP($A2239,'Customer Names'!$A:$D,3, FALSE)</f>
        <v>Concannon</v>
      </c>
      <c r="C2239" s="22">
        <f>VLOOKUP($A2239,'Medical Examinations'!$A:$D, 2, FALSE)</f>
        <v>18.5</v>
      </c>
      <c r="D2239" s="22">
        <f>VLOOKUP($A2239, 'Medical Examinations'!$A:$D,3, FALSE)</f>
        <v>11.84</v>
      </c>
      <c r="E2239" s="22" t="str">
        <f>VLOOKUP($A2239, 'Medical Examinations'!$A:$D, 4, FALSE)</f>
        <v>No</v>
      </c>
      <c r="F2239" s="22" t="str">
        <f>VLOOKUP($A2239, 'Medical Examinations'!$A:$J, 5, FALSE)</f>
        <v>No</v>
      </c>
      <c r="G2239" s="22" t="str">
        <f>VLOOKUP($A2239, 'Medical Examinations'!$A:$I, 6, FALSE)</f>
        <v>No</v>
      </c>
      <c r="H2239" s="22">
        <f>VLOOKUP($A2239,'Medical Examinations'!$A:$L,10, FALSE)</f>
        <v>0</v>
      </c>
      <c r="I2239" s="22" t="str">
        <f>VLOOKUP($A2239, 'Medical Examinations'!$A:$J, 9, FALSE)</f>
        <v>No</v>
      </c>
      <c r="J2239" s="22" t="str">
        <f>VLOOKUP($A2239, 'Medical Examinations'!$A:$P, 11, FALSE)</f>
        <v>NORMAL WEIGHT</v>
      </c>
      <c r="K2239" s="34">
        <v>24044.0</v>
      </c>
      <c r="L2239" s="35">
        <f>VLOOKUP($A2239, 'Hospitalisation Details'!$A:$H, 7, FALSE)</f>
        <v>1390</v>
      </c>
      <c r="M2239" s="22" t="str">
        <f>VLOOKUP($A2239, 'Hospitalisation Details'!$A:$L, 12, FALSE)</f>
        <v>tier - 2</v>
      </c>
      <c r="N2239" s="22" t="str">
        <f>VLOOKUP($A2239, 'Hospitalisation Details'!$A:$M, 13, FALSE)</f>
        <v>tier - 2</v>
      </c>
      <c r="O2239" s="22" t="str">
        <f>VLOOKUP($A2239, 'Hospitalisation Details'!$A:$N, 14, FALSE)</f>
        <v>R1013</v>
      </c>
      <c r="P2239" s="36">
        <f>VLOOKUP($A2239, 'Hospitalisation Details'!$A:$O, 15, FALSE)</f>
        <v>20</v>
      </c>
    </row>
    <row r="2240" ht="15.75" customHeight="1">
      <c r="A2240" s="33" t="s">
        <v>4479</v>
      </c>
      <c r="B2240" s="22" t="str">
        <f>VLOOKUP($A2240,'Customer Names'!$A:$D,3, FALSE)</f>
        <v>Johnson</v>
      </c>
      <c r="C2240" s="22">
        <f>VLOOKUP($A2240,'Medical Examinations'!$A:$D, 2, FALSE)</f>
        <v>18.58</v>
      </c>
      <c r="D2240" s="22">
        <f>VLOOKUP($A2240, 'Medical Examinations'!$A:$D,3, FALSE)</f>
        <v>6.22</v>
      </c>
      <c r="E2240" s="22" t="str">
        <f>VLOOKUP($A2240, 'Medical Examinations'!$A:$D, 4, FALSE)</f>
        <v>No</v>
      </c>
      <c r="F2240" s="22" t="str">
        <f>VLOOKUP($A2240, 'Medical Examinations'!$A:$J, 5, FALSE)</f>
        <v>No</v>
      </c>
      <c r="G2240" s="22" t="str">
        <f>VLOOKUP($A2240, 'Medical Examinations'!$A:$I, 6, FALSE)</f>
        <v>No</v>
      </c>
      <c r="H2240" s="22">
        <f>VLOOKUP($A2240,'Medical Examinations'!$A:$L,10, FALSE)</f>
        <v>0</v>
      </c>
      <c r="I2240" s="22" t="str">
        <f>VLOOKUP($A2240, 'Medical Examinations'!$A:$J, 9, FALSE)</f>
        <v>No</v>
      </c>
      <c r="J2240" s="22" t="str">
        <f>VLOOKUP($A2240, 'Medical Examinations'!$A:$P, 11, FALSE)</f>
        <v>NORMAL WEIGHT</v>
      </c>
      <c r="K2240" s="34">
        <v>23902.0</v>
      </c>
      <c r="L2240" s="35">
        <f>VLOOKUP($A2240, 'Hospitalisation Details'!$A:$H, 7, FALSE)</f>
        <v>1389</v>
      </c>
      <c r="M2240" s="22" t="str">
        <f>VLOOKUP($A2240, 'Hospitalisation Details'!$A:$L, 12, FALSE)</f>
        <v>tier - 2</v>
      </c>
      <c r="N2240" s="22" t="str">
        <f>VLOOKUP($A2240, 'Hospitalisation Details'!$A:$M, 13, FALSE)</f>
        <v>tier - 2</v>
      </c>
      <c r="O2240" s="22" t="str">
        <f>VLOOKUP($A2240, 'Hospitalisation Details'!$A:$N, 14, FALSE)</f>
        <v>R1013</v>
      </c>
      <c r="P2240" s="36">
        <f>VLOOKUP($A2240, 'Hospitalisation Details'!$A:$O, 15, FALSE)</f>
        <v>23</v>
      </c>
    </row>
    <row r="2241" ht="15.75" customHeight="1">
      <c r="A2241" s="33" t="s">
        <v>4481</v>
      </c>
      <c r="B2241" s="22" t="str">
        <f>VLOOKUP($A2241,'Customer Names'!$A:$D,3, FALSE)</f>
        <v>Schultz</v>
      </c>
      <c r="C2241" s="22">
        <f>VLOOKUP($A2241,'Medical Examinations'!$A:$D, 2, FALSE)</f>
        <v>16.64</v>
      </c>
      <c r="D2241" s="22">
        <f>VLOOKUP($A2241, 'Medical Examinations'!$A:$D,3, FALSE)</f>
        <v>10.01</v>
      </c>
      <c r="E2241" s="22" t="str">
        <f>VLOOKUP($A2241, 'Medical Examinations'!$A:$D, 4, FALSE)</f>
        <v>No</v>
      </c>
      <c r="F2241" s="22" t="str">
        <f>VLOOKUP($A2241, 'Medical Examinations'!$A:$J, 5, FALSE)</f>
        <v>No</v>
      </c>
      <c r="G2241" s="22" t="str">
        <f>VLOOKUP($A2241, 'Medical Examinations'!$A:$I, 6, FALSE)</f>
        <v>No</v>
      </c>
      <c r="H2241" s="22">
        <f>VLOOKUP($A2241,'Medical Examinations'!$A:$L,10, FALSE)</f>
        <v>0</v>
      </c>
      <c r="I2241" s="22" t="str">
        <f>VLOOKUP($A2241, 'Medical Examinations'!$A:$J, 9, FALSE)</f>
        <v>No</v>
      </c>
      <c r="J2241" s="22" t="str">
        <f>VLOOKUP($A2241, 'Medical Examinations'!$A:$P, 11, FALSE)</f>
        <v>UNDERWEIGHT</v>
      </c>
      <c r="K2241" s="34">
        <v>30241.0</v>
      </c>
      <c r="L2241" s="35">
        <f>VLOOKUP($A2241, 'Hospitalisation Details'!$A:$H, 7, FALSE)</f>
        <v>1382</v>
      </c>
      <c r="M2241" s="22" t="str">
        <f>VLOOKUP($A2241, 'Hospitalisation Details'!$A:$L, 12, FALSE)</f>
        <v>tier - 2</v>
      </c>
      <c r="N2241" s="22" t="str">
        <f>VLOOKUP($A2241, 'Hospitalisation Details'!$A:$M, 13, FALSE)</f>
        <v>tier - 1</v>
      </c>
      <c r="O2241" s="22" t="str">
        <f>VLOOKUP($A2241, 'Hospitalisation Details'!$A:$N, 14, FALSE)</f>
        <v>R1013</v>
      </c>
      <c r="P2241" s="36">
        <f>VLOOKUP($A2241, 'Hospitalisation Details'!$A:$O, 15, FALSE)</f>
        <v>20</v>
      </c>
    </row>
    <row r="2242" ht="15.75" customHeight="1">
      <c r="A2242" s="33" t="s">
        <v>4483</v>
      </c>
      <c r="B2242" s="22" t="str">
        <f>VLOOKUP($A2242,'Customer Names'!$A:$D,3, FALSE)</f>
        <v>Brannigan</v>
      </c>
      <c r="C2242" s="22">
        <f>VLOOKUP($A2242,'Medical Examinations'!$A:$D, 2, FALSE)</f>
        <v>19.33</v>
      </c>
      <c r="D2242" s="22">
        <f>VLOOKUP($A2242, 'Medical Examinations'!$A:$D,3, FALSE)</f>
        <v>4.32</v>
      </c>
      <c r="E2242" s="22" t="str">
        <f>VLOOKUP($A2242, 'Medical Examinations'!$A:$D, 4, FALSE)</f>
        <v>No</v>
      </c>
      <c r="F2242" s="22" t="str">
        <f>VLOOKUP($A2242, 'Medical Examinations'!$A:$J, 5, FALSE)</f>
        <v>No</v>
      </c>
      <c r="G2242" s="22" t="str">
        <f>VLOOKUP($A2242, 'Medical Examinations'!$A:$I, 6, FALSE)</f>
        <v>No</v>
      </c>
      <c r="H2242" s="22">
        <f>VLOOKUP($A2242,'Medical Examinations'!$A:$L,10, FALSE)</f>
        <v>1</v>
      </c>
      <c r="I2242" s="22" t="str">
        <f>VLOOKUP($A2242, 'Medical Examinations'!$A:$J, 9, FALSE)</f>
        <v>No</v>
      </c>
      <c r="J2242" s="22" t="str">
        <f>VLOOKUP($A2242, 'Medical Examinations'!$A:$P, 11, FALSE)</f>
        <v>NORMAL WEIGHT</v>
      </c>
      <c r="K2242" s="34">
        <v>34315.0</v>
      </c>
      <c r="L2242" s="35">
        <f>VLOOKUP($A2242, 'Hospitalisation Details'!$A:$H, 7, FALSE)</f>
        <v>1359</v>
      </c>
      <c r="M2242" s="22" t="str">
        <f>VLOOKUP($A2242, 'Hospitalisation Details'!$A:$L, 12, FALSE)</f>
        <v>tier - 2</v>
      </c>
      <c r="N2242" s="22" t="str">
        <f>VLOOKUP($A2242, 'Hospitalisation Details'!$A:$M, 13, FALSE)</f>
        <v>tier - 1</v>
      </c>
      <c r="O2242" s="22" t="str">
        <f>VLOOKUP($A2242, 'Hospitalisation Details'!$A:$N, 14, FALSE)</f>
        <v>R1013</v>
      </c>
      <c r="P2242" s="36">
        <f>VLOOKUP($A2242, 'Hospitalisation Details'!$A:$O, 15, FALSE)</f>
        <v>24</v>
      </c>
    </row>
    <row r="2243" ht="15.75" customHeight="1">
      <c r="A2243" s="33" t="s">
        <v>4485</v>
      </c>
      <c r="B2243" s="22" t="str">
        <f>VLOOKUP($A2243,'Customer Names'!$A:$D,3, FALSE)</f>
        <v>Cavallo</v>
      </c>
      <c r="C2243" s="22">
        <f>VLOOKUP($A2243,'Medical Examinations'!$A:$D, 2, FALSE)</f>
        <v>21.26</v>
      </c>
      <c r="D2243" s="22">
        <f>VLOOKUP($A2243, 'Medical Examinations'!$A:$D,3, FALSE)</f>
        <v>5.65</v>
      </c>
      <c r="E2243" s="22" t="str">
        <f>VLOOKUP($A2243, 'Medical Examinations'!$A:$D, 4, FALSE)</f>
        <v>Yes</v>
      </c>
      <c r="F2243" s="22" t="str">
        <f>VLOOKUP($A2243, 'Medical Examinations'!$A:$J, 5, FALSE)</f>
        <v>No</v>
      </c>
      <c r="G2243" s="22" t="str">
        <f>VLOOKUP($A2243, 'Medical Examinations'!$A:$I, 6, FALSE)</f>
        <v>Yes</v>
      </c>
      <c r="H2243" s="22">
        <f>VLOOKUP($A2243,'Medical Examinations'!$A:$L,10, FALSE)</f>
        <v>1</v>
      </c>
      <c r="I2243" s="22" t="str">
        <f>VLOOKUP($A2243, 'Medical Examinations'!$A:$J, 9, FALSE)</f>
        <v>No</v>
      </c>
      <c r="J2243" s="22" t="str">
        <f>VLOOKUP($A2243, 'Medical Examinations'!$A:$P, 11, FALSE)</f>
        <v>NORMAL WEIGHT</v>
      </c>
      <c r="K2243" s="34">
        <v>30501.0</v>
      </c>
      <c r="L2243" s="35">
        <f>VLOOKUP($A2243, 'Hospitalisation Details'!$A:$H, 7, FALSE)</f>
        <v>1341.16</v>
      </c>
      <c r="M2243" s="22" t="str">
        <f>VLOOKUP($A2243, 'Hospitalisation Details'!$A:$L, 12, FALSE)</f>
        <v>tier - 2</v>
      </c>
      <c r="N2243" s="22" t="str">
        <f>VLOOKUP($A2243, 'Hospitalisation Details'!$A:$M, 13, FALSE)</f>
        <v>tier - 2</v>
      </c>
      <c r="O2243" s="22" t="str">
        <f>VLOOKUP($A2243, 'Hospitalisation Details'!$A:$N, 14, FALSE)</f>
        <v>R1012</v>
      </c>
      <c r="P2243" s="36">
        <f>VLOOKUP($A2243, 'Hospitalisation Details'!$A:$O, 15, FALSE)</f>
        <v>25</v>
      </c>
    </row>
    <row r="2244" ht="15.75" customHeight="1">
      <c r="A2244" s="33" t="s">
        <v>4487</v>
      </c>
      <c r="B2244" s="22" t="str">
        <f>VLOOKUP($A2244,'Customer Names'!$A:$D,3, FALSE)</f>
        <v>Chang</v>
      </c>
      <c r="C2244" s="22">
        <f>VLOOKUP($A2244,'Medical Examinations'!$A:$D, 2, FALSE)</f>
        <v>15.6</v>
      </c>
      <c r="D2244" s="22">
        <f>VLOOKUP($A2244, 'Medical Examinations'!$A:$D,3, FALSE)</f>
        <v>4.12</v>
      </c>
      <c r="E2244" s="22" t="str">
        <f>VLOOKUP($A2244, 'Medical Examinations'!$A:$D, 4, FALSE)</f>
        <v>Yes</v>
      </c>
      <c r="F2244" s="22" t="str">
        <f>VLOOKUP($A2244, 'Medical Examinations'!$A:$J, 5, FALSE)</f>
        <v>No</v>
      </c>
      <c r="G2244" s="22" t="str">
        <f>VLOOKUP($A2244, 'Medical Examinations'!$A:$I, 6, FALSE)</f>
        <v>No</v>
      </c>
      <c r="H2244" s="22">
        <f>VLOOKUP($A2244,'Medical Examinations'!$A:$L,10, FALSE)</f>
        <v>1</v>
      </c>
      <c r="I2244" s="22" t="str">
        <f>VLOOKUP($A2244, 'Medical Examinations'!$A:$J, 9, FALSE)</f>
        <v>No</v>
      </c>
      <c r="J2244" s="22" t="str">
        <f>VLOOKUP($A2244, 'Medical Examinations'!$A:$P, 11, FALSE)</f>
        <v>UNDERWEIGHT</v>
      </c>
      <c r="K2244" s="34">
        <v>24828.0</v>
      </c>
      <c r="L2244" s="35">
        <f>VLOOKUP($A2244, 'Hospitalisation Details'!$A:$H, 7, FALSE)</f>
        <v>1338</v>
      </c>
      <c r="M2244" s="22" t="str">
        <f>VLOOKUP($A2244, 'Hospitalisation Details'!$A:$L, 12, FALSE)</f>
        <v>tier - 2</v>
      </c>
      <c r="N2244" s="22" t="str">
        <f>VLOOKUP($A2244, 'Hospitalisation Details'!$A:$M, 13, FALSE)</f>
        <v>tier - 3</v>
      </c>
      <c r="O2244" s="22" t="str">
        <f>VLOOKUP($A2244, 'Hospitalisation Details'!$A:$N, 14, FALSE)</f>
        <v>R1012</v>
      </c>
      <c r="P2244" s="36">
        <f>VLOOKUP($A2244, 'Hospitalisation Details'!$A:$O, 15, FALSE)</f>
        <v>27</v>
      </c>
    </row>
    <row r="2245" ht="15.75" customHeight="1">
      <c r="A2245" s="33" t="s">
        <v>4489</v>
      </c>
      <c r="B2245" s="22" t="str">
        <f>VLOOKUP($A2245,'Customer Names'!$A:$D,3, FALSE)</f>
        <v>Axelrod</v>
      </c>
      <c r="C2245" s="22">
        <f>VLOOKUP($A2245,'Medical Examinations'!$A:$D, 2, FALSE)</f>
        <v>24.39</v>
      </c>
      <c r="D2245" s="22">
        <f>VLOOKUP($A2245, 'Medical Examinations'!$A:$D,3, FALSE)</f>
        <v>6.24</v>
      </c>
      <c r="E2245" s="22" t="str">
        <f>VLOOKUP($A2245, 'Medical Examinations'!$A:$D, 4, FALSE)</f>
        <v>No</v>
      </c>
      <c r="F2245" s="22" t="str">
        <f>VLOOKUP($A2245, 'Medical Examinations'!$A:$J, 5, FALSE)</f>
        <v>No</v>
      </c>
      <c r="G2245" s="22" t="str">
        <f>VLOOKUP($A2245, 'Medical Examinations'!$A:$I, 6, FALSE)</f>
        <v>No</v>
      </c>
      <c r="H2245" s="22">
        <f>VLOOKUP($A2245,'Medical Examinations'!$A:$L,10, FALSE)</f>
        <v>1</v>
      </c>
      <c r="I2245" s="22" t="str">
        <f>VLOOKUP($A2245, 'Medical Examinations'!$A:$J, 9, FALSE)</f>
        <v>No</v>
      </c>
      <c r="J2245" s="22" t="str">
        <f>VLOOKUP($A2245, 'Medical Examinations'!$A:$P, 11, FALSE)</f>
        <v>NORMAL WEIGHT</v>
      </c>
      <c r="K2245" s="34">
        <v>23649.0</v>
      </c>
      <c r="L2245" s="35">
        <f>VLOOKUP($A2245, 'Hospitalisation Details'!$A:$H, 7, FALSE)</f>
        <v>1332.61</v>
      </c>
      <c r="M2245" s="22" t="str">
        <f>VLOOKUP($A2245, 'Hospitalisation Details'!$A:$L, 12, FALSE)</f>
        <v>tier - 2</v>
      </c>
      <c r="N2245" s="22" t="str">
        <f>VLOOKUP($A2245, 'Hospitalisation Details'!$A:$M, 13, FALSE)</f>
        <v>tier - 3</v>
      </c>
      <c r="O2245" s="22" t="str">
        <f>VLOOKUP($A2245, 'Hospitalisation Details'!$A:$N, 14, FALSE)</f>
        <v>R1013</v>
      </c>
      <c r="P2245" s="36">
        <f>VLOOKUP($A2245, 'Hospitalisation Details'!$A:$O, 15, FALSE)</f>
        <v>24</v>
      </c>
    </row>
    <row r="2246" ht="15.75" customHeight="1">
      <c r="A2246" s="33" t="s">
        <v>4491</v>
      </c>
      <c r="B2246" s="22" t="str">
        <f>VLOOKUP($A2246,'Customer Names'!$A:$D,3, FALSE)</f>
        <v>Davenport</v>
      </c>
      <c r="C2246" s="22">
        <f>VLOOKUP($A2246,'Medical Examinations'!$A:$D, 2, FALSE)</f>
        <v>24.75</v>
      </c>
      <c r="D2246" s="22">
        <f>VLOOKUP($A2246, 'Medical Examinations'!$A:$D,3, FALSE)</f>
        <v>4.83</v>
      </c>
      <c r="E2246" s="22" t="str">
        <f>VLOOKUP($A2246, 'Medical Examinations'!$A:$D, 4, FALSE)</f>
        <v>No</v>
      </c>
      <c r="F2246" s="22" t="str">
        <f>VLOOKUP($A2246, 'Medical Examinations'!$A:$J, 5, FALSE)</f>
        <v>No</v>
      </c>
      <c r="G2246" s="22" t="str">
        <f>VLOOKUP($A2246, 'Medical Examinations'!$A:$I, 6, FALSE)</f>
        <v>No</v>
      </c>
      <c r="H2246" s="22">
        <f>VLOOKUP($A2246,'Medical Examinations'!$A:$L,10, FALSE)</f>
        <v>0</v>
      </c>
      <c r="I2246" s="22" t="str">
        <f>VLOOKUP($A2246, 'Medical Examinations'!$A:$J, 9, FALSE)</f>
        <v>No</v>
      </c>
      <c r="J2246" s="22" t="str">
        <f>VLOOKUP($A2246, 'Medical Examinations'!$A:$P, 11, FALSE)</f>
        <v>NORMAL WEIGHT</v>
      </c>
      <c r="K2246" s="34">
        <v>33820.0</v>
      </c>
      <c r="L2246" s="35">
        <f>VLOOKUP($A2246, 'Hospitalisation Details'!$A:$H, 7, FALSE)</f>
        <v>1329.17</v>
      </c>
      <c r="M2246" s="22" t="str">
        <f>VLOOKUP($A2246, 'Hospitalisation Details'!$A:$L, 12, FALSE)</f>
        <v>tier - 2</v>
      </c>
      <c r="N2246" s="22" t="str">
        <f>VLOOKUP($A2246, 'Hospitalisation Details'!$A:$M, 13, FALSE)</f>
        <v>tier - 3</v>
      </c>
      <c r="O2246" s="22" t="str">
        <f>VLOOKUP($A2246, 'Hospitalisation Details'!$A:$N, 14, FALSE)</f>
        <v>R1013</v>
      </c>
      <c r="P2246" s="36">
        <f>VLOOKUP($A2246, 'Hospitalisation Details'!$A:$O, 15, FALSE)</f>
        <v>23</v>
      </c>
    </row>
    <row r="2247" ht="15.75" customHeight="1">
      <c r="A2247" s="33" t="s">
        <v>4493</v>
      </c>
      <c r="B2247" s="22" t="str">
        <f>VLOOKUP($A2247,'Customer Names'!$A:$D,3, FALSE)</f>
        <v>Roberge</v>
      </c>
      <c r="C2247" s="22">
        <f>VLOOKUP($A2247,'Medical Examinations'!$A:$D, 2, FALSE)</f>
        <v>20.88</v>
      </c>
      <c r="D2247" s="22">
        <f>VLOOKUP($A2247, 'Medical Examinations'!$A:$D,3, FALSE)</f>
        <v>7.4</v>
      </c>
      <c r="E2247" s="22" t="str">
        <f>VLOOKUP($A2247, 'Medical Examinations'!$A:$D, 4, FALSE)</f>
        <v>No</v>
      </c>
      <c r="F2247" s="22" t="str">
        <f>VLOOKUP($A2247, 'Medical Examinations'!$A:$J, 5, FALSE)</f>
        <v>No</v>
      </c>
      <c r="G2247" s="22" t="str">
        <f>VLOOKUP($A2247, 'Medical Examinations'!$A:$I, 6, FALSE)</f>
        <v>No</v>
      </c>
      <c r="H2247" s="22">
        <f>VLOOKUP($A2247,'Medical Examinations'!$A:$L,10, FALSE)</f>
        <v>0</v>
      </c>
      <c r="I2247" s="22" t="str">
        <f>VLOOKUP($A2247, 'Medical Examinations'!$A:$J, 9, FALSE)</f>
        <v>No</v>
      </c>
      <c r="J2247" s="22" t="str">
        <f>VLOOKUP($A2247, 'Medical Examinations'!$A:$P, 11, FALSE)</f>
        <v>NORMAL WEIGHT</v>
      </c>
      <c r="K2247" s="34">
        <v>24047.0</v>
      </c>
      <c r="L2247" s="35">
        <f>VLOOKUP($A2247, 'Hospitalisation Details'!$A:$H, 7, FALSE)</f>
        <v>1315</v>
      </c>
      <c r="M2247" s="22" t="str">
        <f>VLOOKUP($A2247, 'Hospitalisation Details'!$A:$L, 12, FALSE)</f>
        <v>tier - 2</v>
      </c>
      <c r="N2247" s="22" t="str">
        <f>VLOOKUP($A2247, 'Hospitalisation Details'!$A:$M, 13, FALSE)</f>
        <v>tier - 2</v>
      </c>
      <c r="O2247" s="22" t="str">
        <f>VLOOKUP($A2247, 'Hospitalisation Details'!$A:$N, 14, FALSE)</f>
        <v>R1013</v>
      </c>
      <c r="P2247" s="36">
        <f>VLOOKUP($A2247, 'Hospitalisation Details'!$A:$O, 15, FALSE)</f>
        <v>20</v>
      </c>
    </row>
    <row r="2248" ht="15.75" customHeight="1">
      <c r="A2248" s="33" t="s">
        <v>4495</v>
      </c>
      <c r="B2248" s="22" t="str">
        <f>VLOOKUP($A2248,'Customer Names'!$A:$D,3, FALSE)</f>
        <v>Schmidt</v>
      </c>
      <c r="C2248" s="22">
        <f>VLOOKUP($A2248,'Medical Examinations'!$A:$D, 2, FALSE)</f>
        <v>20.43</v>
      </c>
      <c r="D2248" s="22">
        <f>VLOOKUP($A2248, 'Medical Examinations'!$A:$D,3, FALSE)</f>
        <v>4.54</v>
      </c>
      <c r="E2248" s="22" t="str">
        <f>VLOOKUP($A2248, 'Medical Examinations'!$A:$D, 4, FALSE)</f>
        <v>No</v>
      </c>
      <c r="F2248" s="22" t="str">
        <f>VLOOKUP($A2248, 'Medical Examinations'!$A:$J, 5, FALSE)</f>
        <v>No</v>
      </c>
      <c r="G2248" s="22" t="str">
        <f>VLOOKUP($A2248, 'Medical Examinations'!$A:$I, 6, FALSE)</f>
        <v>No</v>
      </c>
      <c r="H2248" s="22">
        <f>VLOOKUP($A2248,'Medical Examinations'!$A:$L,10, FALSE)</f>
        <v>0</v>
      </c>
      <c r="I2248" s="22" t="str">
        <f>VLOOKUP($A2248, 'Medical Examinations'!$A:$J, 9, FALSE)</f>
        <v>No</v>
      </c>
      <c r="J2248" s="22" t="str">
        <f>VLOOKUP($A2248, 'Medical Examinations'!$A:$P, 11, FALSE)</f>
        <v>NORMAL WEIGHT</v>
      </c>
      <c r="K2248" s="34">
        <v>23736.0</v>
      </c>
      <c r="L2248" s="35">
        <f>VLOOKUP($A2248, 'Hospitalisation Details'!$A:$H, 7, FALSE)</f>
        <v>1304</v>
      </c>
      <c r="M2248" s="22" t="str">
        <f>VLOOKUP($A2248, 'Hospitalisation Details'!$A:$L, 12, FALSE)</f>
        <v>tier - 2</v>
      </c>
      <c r="N2248" s="22" t="str">
        <f>VLOOKUP($A2248, 'Hospitalisation Details'!$A:$M, 13, FALSE)</f>
        <v>tier - 2</v>
      </c>
      <c r="O2248" s="22" t="str">
        <f>VLOOKUP($A2248, 'Hospitalisation Details'!$A:$N, 14, FALSE)</f>
        <v>R1013</v>
      </c>
      <c r="P2248" s="36">
        <f>VLOOKUP($A2248, 'Hospitalisation Details'!$A:$O, 15, FALSE)</f>
        <v>23</v>
      </c>
    </row>
    <row r="2249" ht="15.75" customHeight="1">
      <c r="A2249" s="33" t="s">
        <v>4497</v>
      </c>
      <c r="B2249" s="22" t="str">
        <f>VLOOKUP($A2249,'Customer Names'!$A:$D,3, FALSE)</f>
        <v>Kosters</v>
      </c>
      <c r="C2249" s="22">
        <f>VLOOKUP($A2249,'Medical Examinations'!$A:$D, 2, FALSE)</f>
        <v>15.18</v>
      </c>
      <c r="D2249" s="22">
        <f>VLOOKUP($A2249, 'Medical Examinations'!$A:$D,3, FALSE)</f>
        <v>11.11</v>
      </c>
      <c r="E2249" s="22" t="str">
        <f>VLOOKUP($A2249, 'Medical Examinations'!$A:$D, 4, FALSE)</f>
        <v>No</v>
      </c>
      <c r="F2249" s="22" t="str">
        <f>VLOOKUP($A2249, 'Medical Examinations'!$A:$J, 5, FALSE)</f>
        <v>No</v>
      </c>
      <c r="G2249" s="22" t="str">
        <f>VLOOKUP($A2249, 'Medical Examinations'!$A:$I, 6, FALSE)</f>
        <v>No</v>
      </c>
      <c r="H2249" s="22">
        <f>VLOOKUP($A2249,'Medical Examinations'!$A:$L,10, FALSE)</f>
        <v>0</v>
      </c>
      <c r="I2249" s="22" t="str">
        <f>VLOOKUP($A2249, 'Medical Examinations'!$A:$J, 9, FALSE)</f>
        <v>No</v>
      </c>
      <c r="J2249" s="22" t="str">
        <f>VLOOKUP($A2249, 'Medical Examinations'!$A:$P, 11, FALSE)</f>
        <v>UNDERWEIGHT</v>
      </c>
      <c r="K2249" s="34">
        <v>33530.0</v>
      </c>
      <c r="L2249" s="35">
        <f>VLOOKUP($A2249, 'Hospitalisation Details'!$A:$H, 7, FALSE)</f>
        <v>1304</v>
      </c>
      <c r="M2249" s="22" t="str">
        <f>VLOOKUP($A2249, 'Hospitalisation Details'!$A:$L, 12, FALSE)</f>
        <v>tier - 2</v>
      </c>
      <c r="N2249" s="22" t="str">
        <f>VLOOKUP($A2249, 'Hospitalisation Details'!$A:$M, 13, FALSE)</f>
        <v>tier - 2</v>
      </c>
      <c r="O2249" s="22" t="str">
        <f>VLOOKUP($A2249, 'Hospitalisation Details'!$A:$N, 14, FALSE)</f>
        <v>R1012</v>
      </c>
      <c r="P2249" s="36">
        <f>VLOOKUP($A2249, 'Hospitalisation Details'!$A:$O, 15, FALSE)</f>
        <v>20</v>
      </c>
    </row>
    <row r="2250" ht="15.75" customHeight="1">
      <c r="A2250" s="33" t="s">
        <v>4499</v>
      </c>
      <c r="B2250" s="22" t="str">
        <f>VLOOKUP($A2250,'Customer Names'!$A:$D,3, FALSE)</f>
        <v>Dykes</v>
      </c>
      <c r="C2250" s="22">
        <f>VLOOKUP($A2250,'Medical Examinations'!$A:$D, 2, FALSE)</f>
        <v>15.12</v>
      </c>
      <c r="D2250" s="22">
        <f>VLOOKUP($A2250, 'Medical Examinations'!$A:$D,3, FALSE)</f>
        <v>4.03</v>
      </c>
      <c r="E2250" s="22" t="str">
        <f>VLOOKUP($A2250, 'Medical Examinations'!$A:$D, 4, FALSE)</f>
        <v>Yes</v>
      </c>
      <c r="F2250" s="22" t="str">
        <f>VLOOKUP($A2250, 'Medical Examinations'!$A:$J, 5, FALSE)</f>
        <v>No</v>
      </c>
      <c r="G2250" s="22" t="str">
        <f>VLOOKUP($A2250, 'Medical Examinations'!$A:$I, 6, FALSE)</f>
        <v>No</v>
      </c>
      <c r="H2250" s="22">
        <f>VLOOKUP($A2250,'Medical Examinations'!$A:$L,10, FALSE)</f>
        <v>0</v>
      </c>
      <c r="I2250" s="22" t="str">
        <f>VLOOKUP($A2250, 'Medical Examinations'!$A:$J, 9, FALSE)</f>
        <v>No</v>
      </c>
      <c r="J2250" s="22" t="str">
        <f>VLOOKUP($A2250, 'Medical Examinations'!$A:$P, 11, FALSE)</f>
        <v>UNDERWEIGHT</v>
      </c>
      <c r="K2250" s="34">
        <v>23591.0</v>
      </c>
      <c r="L2250" s="35">
        <f>VLOOKUP($A2250, 'Hospitalisation Details'!$A:$H, 7, FALSE)</f>
        <v>1293</v>
      </c>
      <c r="M2250" s="22" t="str">
        <f>VLOOKUP($A2250, 'Hospitalisation Details'!$A:$L, 12, FALSE)</f>
        <v>tier - 2</v>
      </c>
      <c r="N2250" s="22" t="str">
        <f>VLOOKUP($A2250, 'Hospitalisation Details'!$A:$M, 13, FALSE)</f>
        <v>tier - 3</v>
      </c>
      <c r="O2250" s="22" t="str">
        <f>VLOOKUP($A2250, 'Hospitalisation Details'!$A:$N, 14, FALSE)</f>
        <v>R1012</v>
      </c>
      <c r="P2250" s="36">
        <f>VLOOKUP($A2250, 'Hospitalisation Details'!$A:$O, 15, FALSE)</f>
        <v>21</v>
      </c>
    </row>
    <row r="2251" ht="15.75" customHeight="1">
      <c r="A2251" s="33" t="s">
        <v>4501</v>
      </c>
      <c r="B2251" s="22" t="str">
        <f>VLOOKUP($A2251,'Customer Names'!$A:$D,3, FALSE)</f>
        <v>Velan</v>
      </c>
      <c r="C2251" s="22">
        <f>VLOOKUP($A2251,'Medical Examinations'!$A:$D, 2, FALSE)</f>
        <v>23.88</v>
      </c>
      <c r="D2251" s="22">
        <f>VLOOKUP($A2251, 'Medical Examinations'!$A:$D,3, FALSE)</f>
        <v>4.51</v>
      </c>
      <c r="E2251" s="22" t="str">
        <f>VLOOKUP($A2251, 'Medical Examinations'!$A:$D, 4, FALSE)</f>
        <v>No</v>
      </c>
      <c r="F2251" s="22" t="str">
        <f>VLOOKUP($A2251, 'Medical Examinations'!$A:$J, 5, FALSE)</f>
        <v>No</v>
      </c>
      <c r="G2251" s="22" t="str">
        <f>VLOOKUP($A2251, 'Medical Examinations'!$A:$I, 6, FALSE)</f>
        <v>No</v>
      </c>
      <c r="H2251" s="22">
        <f>VLOOKUP($A2251,'Medical Examinations'!$A:$L,10, FALSE)</f>
        <v>1</v>
      </c>
      <c r="I2251" s="22" t="str">
        <f>VLOOKUP($A2251, 'Medical Examinations'!$A:$J, 9, FALSE)</f>
        <v>No</v>
      </c>
      <c r="J2251" s="22" t="str">
        <f>VLOOKUP($A2251, 'Medical Examinations'!$A:$P, 11, FALSE)</f>
        <v>NORMAL WEIGHT</v>
      </c>
      <c r="K2251" s="34">
        <v>23731.0</v>
      </c>
      <c r="L2251" s="35">
        <f>VLOOKUP($A2251, 'Hospitalisation Details'!$A:$H, 7, FALSE)</f>
        <v>1290.93</v>
      </c>
      <c r="M2251" s="22" t="str">
        <f>VLOOKUP($A2251, 'Hospitalisation Details'!$A:$L, 12, FALSE)</f>
        <v>tier - 2</v>
      </c>
      <c r="N2251" s="22" t="str">
        <f>VLOOKUP($A2251, 'Hospitalisation Details'!$A:$M, 13, FALSE)</f>
        <v>tier - 2</v>
      </c>
      <c r="O2251" s="22" t="str">
        <f>VLOOKUP($A2251, 'Hospitalisation Details'!$A:$N, 14, FALSE)</f>
        <v>R1013</v>
      </c>
      <c r="P2251" s="36">
        <f>VLOOKUP($A2251, 'Hospitalisation Details'!$A:$O, 15, FALSE)</f>
        <v>25</v>
      </c>
    </row>
    <row r="2252" ht="15.75" customHeight="1">
      <c r="A2252" s="33" t="s">
        <v>4503</v>
      </c>
      <c r="B2252" s="22" t="str">
        <f>VLOOKUP($A2252,'Customer Names'!$A:$D,3, FALSE)</f>
        <v>Goolik</v>
      </c>
      <c r="C2252" s="22">
        <f>VLOOKUP($A2252,'Medical Examinations'!$A:$D, 2, FALSE)</f>
        <v>16.13</v>
      </c>
      <c r="D2252" s="22">
        <f>VLOOKUP($A2252, 'Medical Examinations'!$A:$D,3, FALSE)</f>
        <v>5.56</v>
      </c>
      <c r="E2252" s="22" t="str">
        <f>VLOOKUP($A2252, 'Medical Examinations'!$A:$D, 4, FALSE)</f>
        <v>No</v>
      </c>
      <c r="F2252" s="22" t="str">
        <f>VLOOKUP($A2252, 'Medical Examinations'!$A:$J, 5, FALSE)</f>
        <v>Yes</v>
      </c>
      <c r="G2252" s="22" t="str">
        <f>VLOOKUP($A2252, 'Medical Examinations'!$A:$I, 6, FALSE)</f>
        <v>No</v>
      </c>
      <c r="H2252" s="22">
        <f>VLOOKUP($A2252,'Medical Examinations'!$A:$L,10, FALSE)</f>
        <v>1</v>
      </c>
      <c r="I2252" s="22" t="str">
        <f>VLOOKUP($A2252, 'Medical Examinations'!$A:$J, 9, FALSE)</f>
        <v>No</v>
      </c>
      <c r="J2252" s="22" t="str">
        <f>VLOOKUP($A2252, 'Medical Examinations'!$A:$P, 11, FALSE)</f>
        <v>UNDERWEIGHT</v>
      </c>
      <c r="K2252" s="34">
        <v>23700.0</v>
      </c>
      <c r="L2252" s="35">
        <f>VLOOKUP($A2252, 'Hospitalisation Details'!$A:$H, 7, FALSE)</f>
        <v>1286</v>
      </c>
      <c r="M2252" s="22" t="str">
        <f>VLOOKUP($A2252, 'Hospitalisation Details'!$A:$L, 12, FALSE)</f>
        <v>tier - 2</v>
      </c>
      <c r="N2252" s="22" t="str">
        <f>VLOOKUP($A2252, 'Hospitalisation Details'!$A:$M, 13, FALSE)</f>
        <v>tier - 2</v>
      </c>
      <c r="O2252" s="22" t="str">
        <f>VLOOKUP($A2252, 'Hospitalisation Details'!$A:$N, 14, FALSE)</f>
        <v>R1013</v>
      </c>
      <c r="P2252" s="36">
        <f>VLOOKUP($A2252, 'Hospitalisation Details'!$A:$O, 15, FALSE)</f>
        <v>22</v>
      </c>
    </row>
    <row r="2253" ht="15.75" customHeight="1">
      <c r="A2253" s="33" t="s">
        <v>4505</v>
      </c>
      <c r="B2253" s="22" t="str">
        <f>VLOOKUP($A2253,'Customer Names'!$A:$D,3, FALSE)</f>
        <v>Bain</v>
      </c>
      <c r="C2253" s="22">
        <f>VLOOKUP($A2253,'Medical Examinations'!$A:$D, 2, FALSE)</f>
        <v>24.09</v>
      </c>
      <c r="D2253" s="22">
        <f>VLOOKUP($A2253, 'Medical Examinations'!$A:$D,3, FALSE)</f>
        <v>4.1</v>
      </c>
      <c r="E2253" s="22" t="str">
        <f>VLOOKUP($A2253, 'Medical Examinations'!$A:$D, 4, FALSE)</f>
        <v>No</v>
      </c>
      <c r="F2253" s="22" t="str">
        <f>VLOOKUP($A2253, 'Medical Examinations'!$A:$J, 5, FALSE)</f>
        <v>Yes</v>
      </c>
      <c r="G2253" s="22" t="str">
        <f>VLOOKUP($A2253, 'Medical Examinations'!$A:$I, 6, FALSE)</f>
        <v>No</v>
      </c>
      <c r="H2253" s="22">
        <f>VLOOKUP($A2253,'Medical Examinations'!$A:$L,10, FALSE)</f>
        <v>1</v>
      </c>
      <c r="I2253" s="22" t="str">
        <f>VLOOKUP($A2253, 'Medical Examinations'!$A:$J, 9, FALSE)</f>
        <v>No</v>
      </c>
      <c r="J2253" s="22" t="str">
        <f>VLOOKUP($A2253, 'Medical Examinations'!$A:$P, 11, FALSE)</f>
        <v>NORMAL WEIGHT</v>
      </c>
      <c r="K2253" s="34">
        <v>38140.0</v>
      </c>
      <c r="L2253" s="35">
        <f>VLOOKUP($A2253, 'Hospitalisation Details'!$A:$H, 7, FALSE)</f>
        <v>1285</v>
      </c>
      <c r="M2253" s="22" t="str">
        <f>VLOOKUP($A2253, 'Hospitalisation Details'!$A:$L, 12, FALSE)</f>
        <v>tier - 2</v>
      </c>
      <c r="N2253" s="22" t="str">
        <f>VLOOKUP($A2253, 'Hospitalisation Details'!$A:$M, 13, FALSE)</f>
        <v>tier - 3</v>
      </c>
      <c r="O2253" s="22" t="str">
        <f>VLOOKUP($A2253, 'Hospitalisation Details'!$A:$N, 14, FALSE)</f>
        <v>R1013</v>
      </c>
      <c r="P2253" s="36">
        <f>VLOOKUP($A2253, 'Hospitalisation Details'!$A:$O, 15, FALSE)</f>
        <v>18</v>
      </c>
    </row>
    <row r="2254" ht="15.75" customHeight="1">
      <c r="A2254" s="33" t="s">
        <v>4507</v>
      </c>
      <c r="B2254" s="22" t="str">
        <f>VLOOKUP($A2254,'Customer Names'!$A:$D,3, FALSE)</f>
        <v>Wieck</v>
      </c>
      <c r="C2254" s="22">
        <f>VLOOKUP($A2254,'Medical Examinations'!$A:$D, 2, FALSE)</f>
        <v>19.43</v>
      </c>
      <c r="D2254" s="22">
        <f>VLOOKUP($A2254, 'Medical Examinations'!$A:$D,3, FALSE)</f>
        <v>5.85</v>
      </c>
      <c r="E2254" s="22" t="str">
        <f>VLOOKUP($A2254, 'Medical Examinations'!$A:$D, 4, FALSE)</f>
        <v>No</v>
      </c>
      <c r="F2254" s="22" t="str">
        <f>VLOOKUP($A2254, 'Medical Examinations'!$A:$J, 5, FALSE)</f>
        <v>Yes</v>
      </c>
      <c r="G2254" s="22" t="str">
        <f>VLOOKUP($A2254, 'Medical Examinations'!$A:$I, 6, FALSE)</f>
        <v>No</v>
      </c>
      <c r="H2254" s="22">
        <f>VLOOKUP($A2254,'Medical Examinations'!$A:$L,10, FALSE)</f>
        <v>1</v>
      </c>
      <c r="I2254" s="22" t="str">
        <f>VLOOKUP($A2254, 'Medical Examinations'!$A:$J, 9, FALSE)</f>
        <v>No</v>
      </c>
      <c r="J2254" s="22" t="str">
        <f>VLOOKUP($A2254, 'Medical Examinations'!$A:$P, 11, FALSE)</f>
        <v>NORMAL WEIGHT</v>
      </c>
      <c r="K2254" s="34">
        <v>24774.0</v>
      </c>
      <c r="L2254" s="35">
        <f>VLOOKUP($A2254, 'Hospitalisation Details'!$A:$H, 7, FALSE)</f>
        <v>1283</v>
      </c>
      <c r="M2254" s="22" t="str">
        <f>VLOOKUP($A2254, 'Hospitalisation Details'!$A:$L, 12, FALSE)</f>
        <v>tier - 2</v>
      </c>
      <c r="N2254" s="22" t="str">
        <f>VLOOKUP($A2254, 'Hospitalisation Details'!$A:$M, 13, FALSE)</f>
        <v>tier - 1</v>
      </c>
      <c r="O2254" s="22" t="str">
        <f>VLOOKUP($A2254, 'Hospitalisation Details'!$A:$N, 14, FALSE)</f>
        <v>R1013</v>
      </c>
      <c r="P2254" s="36">
        <f>VLOOKUP($A2254, 'Hospitalisation Details'!$A:$O, 15, FALSE)</f>
        <v>18</v>
      </c>
    </row>
    <row r="2255" ht="15.75" customHeight="1">
      <c r="A2255" s="33" t="s">
        <v>4509</v>
      </c>
      <c r="B2255" s="22" t="str">
        <f>VLOOKUP($A2255,'Customer Names'!$A:$D,3, FALSE)</f>
        <v>Friel</v>
      </c>
      <c r="C2255" s="22">
        <f>VLOOKUP($A2255,'Medical Examinations'!$A:$D, 2, FALSE)</f>
        <v>15.22</v>
      </c>
      <c r="D2255" s="22">
        <f>VLOOKUP($A2255, 'Medical Examinations'!$A:$D,3, FALSE)</f>
        <v>4.92</v>
      </c>
      <c r="E2255" s="22" t="str">
        <f>VLOOKUP($A2255, 'Medical Examinations'!$A:$D, 4, FALSE)</f>
        <v>Yes</v>
      </c>
      <c r="F2255" s="22" t="str">
        <f>VLOOKUP($A2255, 'Medical Examinations'!$A:$J, 5, FALSE)</f>
        <v>No</v>
      </c>
      <c r="G2255" s="22" t="str">
        <f>VLOOKUP($A2255, 'Medical Examinations'!$A:$I, 6, FALSE)</f>
        <v>Yes</v>
      </c>
      <c r="H2255" s="22">
        <f>VLOOKUP($A2255,'Medical Examinations'!$A:$L,10, FALSE)</f>
        <v>1</v>
      </c>
      <c r="I2255" s="22" t="str">
        <f>VLOOKUP($A2255, 'Medical Examinations'!$A:$J, 9, FALSE)</f>
        <v>No</v>
      </c>
      <c r="J2255" s="22" t="str">
        <f>VLOOKUP($A2255, 'Medical Examinations'!$A:$P, 11, FALSE)</f>
        <v>UNDERWEIGHT</v>
      </c>
      <c r="K2255" s="34">
        <v>24667.0</v>
      </c>
      <c r="L2255" s="35">
        <f>VLOOKUP($A2255, 'Hospitalisation Details'!$A:$H, 7, FALSE)</f>
        <v>1276</v>
      </c>
      <c r="M2255" s="22" t="str">
        <f>VLOOKUP($A2255, 'Hospitalisation Details'!$A:$L, 12, FALSE)</f>
        <v>tier - 2</v>
      </c>
      <c r="N2255" s="22" t="str">
        <f>VLOOKUP($A2255, 'Hospitalisation Details'!$A:$M, 13, FALSE)</f>
        <v>tier - 2</v>
      </c>
      <c r="O2255" s="22" t="str">
        <f>VLOOKUP($A2255, 'Hospitalisation Details'!$A:$N, 14, FALSE)</f>
        <v>R1012</v>
      </c>
      <c r="P2255" s="36">
        <f>VLOOKUP($A2255, 'Hospitalisation Details'!$A:$O, 15, FALSE)</f>
        <v>25</v>
      </c>
    </row>
    <row r="2256" ht="15.75" customHeight="1">
      <c r="A2256" s="33" t="s">
        <v>4511</v>
      </c>
      <c r="B2256" s="22" t="str">
        <f>VLOOKUP($A2256,'Customer Names'!$A:$D,3, FALSE)</f>
        <v>Santandreu</v>
      </c>
      <c r="C2256" s="22">
        <f>VLOOKUP($A2256,'Medical Examinations'!$A:$D, 2, FALSE)</f>
        <v>20.72</v>
      </c>
      <c r="D2256" s="22">
        <f>VLOOKUP($A2256, 'Medical Examinations'!$A:$D,3, FALSE)</f>
        <v>9.46</v>
      </c>
      <c r="E2256" s="22" t="str">
        <f>VLOOKUP($A2256, 'Medical Examinations'!$A:$D, 4, FALSE)</f>
        <v>No</v>
      </c>
      <c r="F2256" s="22" t="str">
        <f>VLOOKUP($A2256, 'Medical Examinations'!$A:$J, 5, FALSE)</f>
        <v>No</v>
      </c>
      <c r="G2256" s="22" t="str">
        <f>VLOOKUP($A2256, 'Medical Examinations'!$A:$I, 6, FALSE)</f>
        <v>No</v>
      </c>
      <c r="H2256" s="22">
        <f>VLOOKUP($A2256,'Medical Examinations'!$A:$L,10, FALSE)</f>
        <v>0</v>
      </c>
      <c r="I2256" s="22" t="str">
        <f>VLOOKUP($A2256, 'Medical Examinations'!$A:$J, 9, FALSE)</f>
        <v>No</v>
      </c>
      <c r="J2256" s="22" t="str">
        <f>VLOOKUP($A2256, 'Medical Examinations'!$A:$P, 11, FALSE)</f>
        <v>NORMAL WEIGHT</v>
      </c>
      <c r="K2256" s="34">
        <v>24708.0</v>
      </c>
      <c r="L2256" s="35">
        <f>VLOOKUP($A2256, 'Hospitalisation Details'!$A:$H, 7, FALSE)</f>
        <v>1267</v>
      </c>
      <c r="M2256" s="22" t="str">
        <f>VLOOKUP($A2256, 'Hospitalisation Details'!$A:$L, 12, FALSE)</f>
        <v>tier - 2</v>
      </c>
      <c r="N2256" s="22" t="str">
        <f>VLOOKUP($A2256, 'Hospitalisation Details'!$A:$M, 13, FALSE)</f>
        <v>tier - 1</v>
      </c>
      <c r="O2256" s="22" t="str">
        <f>VLOOKUP($A2256, 'Hospitalisation Details'!$A:$N, 14, FALSE)</f>
        <v>R1013</v>
      </c>
      <c r="P2256" s="36">
        <f>VLOOKUP($A2256, 'Hospitalisation Details'!$A:$O, 15, FALSE)</f>
        <v>20</v>
      </c>
    </row>
    <row r="2257" ht="15.75" customHeight="1">
      <c r="A2257" s="33" t="s">
        <v>4513</v>
      </c>
      <c r="B2257" s="22" t="str">
        <f>VLOOKUP($A2257,'Customer Names'!$A:$D,3, FALSE)</f>
        <v>Johnson</v>
      </c>
      <c r="C2257" s="22">
        <f>VLOOKUP($A2257,'Medical Examinations'!$A:$D, 2, FALSE)</f>
        <v>35.4</v>
      </c>
      <c r="D2257" s="22">
        <f>VLOOKUP($A2257, 'Medical Examinations'!$A:$D,3, FALSE)</f>
        <v>5.94</v>
      </c>
      <c r="E2257" s="22" t="str">
        <f>VLOOKUP($A2257, 'Medical Examinations'!$A:$D, 4, FALSE)</f>
        <v>No</v>
      </c>
      <c r="F2257" s="22" t="str">
        <f>VLOOKUP($A2257, 'Medical Examinations'!$A:$J, 5, FALSE)</f>
        <v>No</v>
      </c>
      <c r="G2257" s="22" t="str">
        <f>VLOOKUP($A2257, 'Medical Examinations'!$A:$I, 6, FALSE)</f>
        <v>Yes</v>
      </c>
      <c r="H2257" s="22">
        <f>VLOOKUP($A2257,'Medical Examinations'!$A:$L,10, FALSE)</f>
        <v>1</v>
      </c>
      <c r="I2257" s="22" t="str">
        <f>VLOOKUP($A2257, 'Medical Examinations'!$A:$J, 9, FALSE)</f>
        <v>No</v>
      </c>
      <c r="J2257" s="22" t="str">
        <f>VLOOKUP($A2257, 'Medical Examinations'!$A:$P, 11, FALSE)</f>
        <v>OBESITY</v>
      </c>
      <c r="K2257" s="34">
        <v>36343.0</v>
      </c>
      <c r="L2257" s="35">
        <f>VLOOKUP($A2257, 'Hospitalisation Details'!$A:$H, 7, FALSE)</f>
        <v>1263.25</v>
      </c>
      <c r="M2257" s="22" t="str">
        <f>VLOOKUP($A2257, 'Hospitalisation Details'!$A:$L, 12, FALSE)</f>
        <v>tier - 2</v>
      </c>
      <c r="N2257" s="22" t="str">
        <f>VLOOKUP($A2257, 'Hospitalisation Details'!$A:$M, 13, FALSE)</f>
        <v>tier - 3</v>
      </c>
      <c r="O2257" s="22" t="str">
        <f>VLOOKUP($A2257, 'Hospitalisation Details'!$A:$N, 14, FALSE)</f>
        <v>R1011</v>
      </c>
      <c r="P2257" s="36">
        <f>VLOOKUP($A2257, 'Hospitalisation Details'!$A:$O, 15, FALSE)</f>
        <v>19</v>
      </c>
    </row>
    <row r="2258" ht="15.75" customHeight="1">
      <c r="A2258" s="33" t="s">
        <v>4515</v>
      </c>
      <c r="B2258" s="22" t="str">
        <f>VLOOKUP($A2258,'Customer Names'!$A:$D,3, FALSE)</f>
        <v>Gerber</v>
      </c>
      <c r="C2258" s="22">
        <f>VLOOKUP($A2258,'Medical Examinations'!$A:$D, 2, FALSE)</f>
        <v>34.4</v>
      </c>
      <c r="D2258" s="22">
        <f>VLOOKUP($A2258, 'Medical Examinations'!$A:$D,3, FALSE)</f>
        <v>5.7</v>
      </c>
      <c r="E2258" s="22" t="str">
        <f>VLOOKUP($A2258, 'Medical Examinations'!$A:$D, 4, FALSE)</f>
        <v>No</v>
      </c>
      <c r="F2258" s="22" t="str">
        <f>VLOOKUP($A2258, 'Medical Examinations'!$A:$J, 5, FALSE)</f>
        <v>No</v>
      </c>
      <c r="G2258" s="22" t="str">
        <f>VLOOKUP($A2258, 'Medical Examinations'!$A:$I, 6, FALSE)</f>
        <v>Yes</v>
      </c>
      <c r="H2258" s="22">
        <f>VLOOKUP($A2258,'Medical Examinations'!$A:$L,10, FALSE)</f>
        <v>1</v>
      </c>
      <c r="I2258" s="22" t="str">
        <f>VLOOKUP($A2258, 'Medical Examinations'!$A:$J, 9, FALSE)</f>
        <v>No</v>
      </c>
      <c r="J2258" s="22" t="str">
        <f>VLOOKUP($A2258, 'Medical Examinations'!$A:$P, 11, FALSE)</f>
        <v>OBESITY</v>
      </c>
      <c r="K2258" s="34">
        <v>27217.0</v>
      </c>
      <c r="L2258" s="35">
        <f>VLOOKUP($A2258, 'Hospitalisation Details'!$A:$H, 7, FALSE)</f>
        <v>1261.86</v>
      </c>
      <c r="M2258" s="22" t="str">
        <f>VLOOKUP($A2258, 'Hospitalisation Details'!$A:$L, 12, FALSE)</f>
        <v>tier - 2</v>
      </c>
      <c r="N2258" s="22" t="str">
        <f>VLOOKUP($A2258, 'Hospitalisation Details'!$A:$M, 13, FALSE)</f>
        <v>tier - 3</v>
      </c>
      <c r="O2258" s="22" t="str">
        <f>VLOOKUP($A2258, 'Hospitalisation Details'!$A:$N, 14, FALSE)</f>
        <v>R1011</v>
      </c>
      <c r="P2258" s="36">
        <f>VLOOKUP($A2258, 'Hospitalisation Details'!$A:$O, 15, FALSE)</f>
        <v>19</v>
      </c>
    </row>
    <row r="2259" ht="15.75" customHeight="1">
      <c r="A2259" s="33" t="s">
        <v>4517</v>
      </c>
      <c r="B2259" s="22" t="str">
        <f>VLOOKUP($A2259,'Customer Names'!$A:$D,3, FALSE)</f>
        <v>Benadum</v>
      </c>
      <c r="C2259" s="22">
        <f>VLOOKUP($A2259,'Medical Examinations'!$A:$D, 2, FALSE)</f>
        <v>34.1</v>
      </c>
      <c r="D2259" s="22">
        <f>VLOOKUP($A2259, 'Medical Examinations'!$A:$D,3, FALSE)</f>
        <v>4.13</v>
      </c>
      <c r="E2259" s="22" t="str">
        <f>VLOOKUP($A2259, 'Medical Examinations'!$A:$D, 4, FALSE)</f>
        <v>No</v>
      </c>
      <c r="F2259" s="22" t="str">
        <f>VLOOKUP($A2259, 'Medical Examinations'!$A:$J, 5, FALSE)</f>
        <v>No</v>
      </c>
      <c r="G2259" s="22" t="str">
        <f>VLOOKUP($A2259, 'Medical Examinations'!$A:$I, 6, FALSE)</f>
        <v>Yes</v>
      </c>
      <c r="H2259" s="22">
        <f>VLOOKUP($A2259,'Medical Examinations'!$A:$L,10, FALSE)</f>
        <v>1</v>
      </c>
      <c r="I2259" s="22" t="str">
        <f>VLOOKUP($A2259, 'Medical Examinations'!$A:$J, 9, FALSE)</f>
        <v>No</v>
      </c>
      <c r="J2259" s="22" t="str">
        <f>VLOOKUP($A2259, 'Medical Examinations'!$A:$P, 11, FALSE)</f>
        <v>OBESITY</v>
      </c>
      <c r="K2259" s="34">
        <v>23649.0</v>
      </c>
      <c r="L2259" s="35">
        <f>VLOOKUP($A2259, 'Hospitalisation Details'!$A:$H, 7, FALSE)</f>
        <v>1261.44</v>
      </c>
      <c r="M2259" s="22" t="str">
        <f>VLOOKUP($A2259, 'Hospitalisation Details'!$A:$L, 12, FALSE)</f>
        <v>tier - 2</v>
      </c>
      <c r="N2259" s="22" t="str">
        <f>VLOOKUP($A2259, 'Hospitalisation Details'!$A:$M, 13, FALSE)</f>
        <v>tier - 3</v>
      </c>
      <c r="O2259" s="22" t="str">
        <f>VLOOKUP($A2259, 'Hospitalisation Details'!$A:$N, 14, FALSE)</f>
        <v>R1011</v>
      </c>
      <c r="P2259" s="36">
        <f>VLOOKUP($A2259, 'Hospitalisation Details'!$A:$O, 15, FALSE)</f>
        <v>19</v>
      </c>
    </row>
    <row r="2260" ht="15.75" customHeight="1">
      <c r="A2260" s="33" t="s">
        <v>4519</v>
      </c>
      <c r="B2260" s="22" t="str">
        <f>VLOOKUP($A2260,'Customer Names'!$A:$D,3, FALSE)</f>
        <v>Ragazzini</v>
      </c>
      <c r="C2260" s="22">
        <f>VLOOKUP($A2260,'Medical Examinations'!$A:$D, 2, FALSE)</f>
        <v>30.4</v>
      </c>
      <c r="D2260" s="22">
        <f>VLOOKUP($A2260, 'Medical Examinations'!$A:$D,3, FALSE)</f>
        <v>4.77</v>
      </c>
      <c r="E2260" s="22" t="str">
        <f>VLOOKUP($A2260, 'Medical Examinations'!$A:$D, 4, FALSE)</f>
        <v>No</v>
      </c>
      <c r="F2260" s="22" t="str">
        <f>VLOOKUP($A2260, 'Medical Examinations'!$A:$J, 5, FALSE)</f>
        <v>No</v>
      </c>
      <c r="G2260" s="22" t="str">
        <f>VLOOKUP($A2260, 'Medical Examinations'!$A:$I, 6, FALSE)</f>
        <v>Yes</v>
      </c>
      <c r="H2260" s="22">
        <f>VLOOKUP($A2260,'Medical Examinations'!$A:$L,10, FALSE)</f>
        <v>1</v>
      </c>
      <c r="I2260" s="22" t="str">
        <f>VLOOKUP($A2260, 'Medical Examinations'!$A:$J, 9, FALSE)</f>
        <v>No</v>
      </c>
      <c r="J2260" s="22" t="str">
        <f>VLOOKUP($A2260, 'Medical Examinations'!$A:$P, 11, FALSE)</f>
        <v>OBESITY</v>
      </c>
      <c r="K2260" s="34">
        <v>23555.0</v>
      </c>
      <c r="L2260" s="35">
        <f>VLOOKUP($A2260, 'Hospitalisation Details'!$A:$H, 7, FALSE)</f>
        <v>1256.3</v>
      </c>
      <c r="M2260" s="22" t="str">
        <f>VLOOKUP($A2260, 'Hospitalisation Details'!$A:$L, 12, FALSE)</f>
        <v>tier - 2</v>
      </c>
      <c r="N2260" s="22" t="str">
        <f>VLOOKUP($A2260, 'Hospitalisation Details'!$A:$M, 13, FALSE)</f>
        <v>tier - 3</v>
      </c>
      <c r="O2260" s="22" t="str">
        <f>VLOOKUP($A2260, 'Hospitalisation Details'!$A:$N, 14, FALSE)</f>
        <v>R1011</v>
      </c>
      <c r="P2260" s="36">
        <f>VLOOKUP($A2260, 'Hospitalisation Details'!$A:$O, 15, FALSE)</f>
        <v>19</v>
      </c>
    </row>
    <row r="2261" ht="15.75" customHeight="1">
      <c r="A2261" s="33" t="s">
        <v>4521</v>
      </c>
      <c r="B2261" s="22" t="str">
        <f>VLOOKUP($A2261,'Customer Names'!$A:$D,3, FALSE)</f>
        <v>Kessinger</v>
      </c>
      <c r="C2261" s="22">
        <f>VLOOKUP($A2261,'Medical Examinations'!$A:$D, 2, FALSE)</f>
        <v>28.7</v>
      </c>
      <c r="D2261" s="22">
        <f>VLOOKUP($A2261, 'Medical Examinations'!$A:$D,3, FALSE)</f>
        <v>4.99</v>
      </c>
      <c r="E2261" s="22" t="str">
        <f>VLOOKUP($A2261, 'Medical Examinations'!$A:$D, 4, FALSE)</f>
        <v>No</v>
      </c>
      <c r="F2261" s="22" t="str">
        <f>VLOOKUP($A2261, 'Medical Examinations'!$A:$J, 5, FALSE)</f>
        <v>No</v>
      </c>
      <c r="G2261" s="22" t="str">
        <f>VLOOKUP($A2261, 'Medical Examinations'!$A:$I, 6, FALSE)</f>
        <v>Yes</v>
      </c>
      <c r="H2261" s="22">
        <f>VLOOKUP($A2261,'Medical Examinations'!$A:$L,10, FALSE)</f>
        <v>1</v>
      </c>
      <c r="I2261" s="22" t="str">
        <f>VLOOKUP($A2261, 'Medical Examinations'!$A:$J, 9, FALSE)</f>
        <v>No</v>
      </c>
      <c r="J2261" s="22" t="str">
        <f>VLOOKUP($A2261, 'Medical Examinations'!$A:$P, 11, FALSE)</f>
        <v>OVERWEIGHT</v>
      </c>
      <c r="K2261" s="34">
        <v>24056.0</v>
      </c>
      <c r="L2261" s="35">
        <f>VLOOKUP($A2261, 'Hospitalisation Details'!$A:$H, 7, FALSE)</f>
        <v>1253.94</v>
      </c>
      <c r="M2261" s="22" t="str">
        <f>VLOOKUP($A2261, 'Hospitalisation Details'!$A:$L, 12, FALSE)</f>
        <v>tier - 2</v>
      </c>
      <c r="N2261" s="22" t="str">
        <f>VLOOKUP($A2261, 'Hospitalisation Details'!$A:$M, 13, FALSE)</f>
        <v>tier - 2</v>
      </c>
      <c r="O2261" s="22" t="str">
        <f>VLOOKUP($A2261, 'Hospitalisation Details'!$A:$N, 14, FALSE)</f>
        <v>R1011</v>
      </c>
      <c r="P2261" s="36">
        <f>VLOOKUP($A2261, 'Hospitalisation Details'!$A:$O, 15, FALSE)</f>
        <v>19</v>
      </c>
    </row>
    <row r="2262" ht="15.75" customHeight="1">
      <c r="A2262" s="33" t="s">
        <v>4523</v>
      </c>
      <c r="B2262" s="22" t="str">
        <f>VLOOKUP($A2262,'Customer Names'!$A:$D,3, FALSE)</f>
        <v>Bezgin</v>
      </c>
      <c r="C2262" s="22">
        <f>VLOOKUP($A2262,'Medical Examinations'!$A:$D, 2, FALSE)</f>
        <v>17.44</v>
      </c>
      <c r="D2262" s="22">
        <f>VLOOKUP($A2262, 'Medical Examinations'!$A:$D,3, FALSE)</f>
        <v>4.42</v>
      </c>
      <c r="E2262" s="22" t="str">
        <f>VLOOKUP($A2262, 'Medical Examinations'!$A:$D, 4, FALSE)</f>
        <v>Yes</v>
      </c>
      <c r="F2262" s="22" t="str">
        <f>VLOOKUP($A2262, 'Medical Examinations'!$A:$J, 5, FALSE)</f>
        <v>No</v>
      </c>
      <c r="G2262" s="22" t="str">
        <f>VLOOKUP($A2262, 'Medical Examinations'!$A:$I, 6, FALSE)</f>
        <v>Yes</v>
      </c>
      <c r="H2262" s="22">
        <f>VLOOKUP($A2262,'Medical Examinations'!$A:$L,10, FALSE)</f>
        <v>1</v>
      </c>
      <c r="I2262" s="22" t="str">
        <f>VLOOKUP($A2262, 'Medical Examinations'!$A:$J, 9, FALSE)</f>
        <v>No</v>
      </c>
      <c r="J2262" s="22" t="str">
        <f>VLOOKUP($A2262, 'Medical Examinations'!$A:$P, 11, FALSE)</f>
        <v>UNDERWEIGHT</v>
      </c>
      <c r="K2262" s="34">
        <v>23569.0</v>
      </c>
      <c r="L2262" s="35">
        <f>VLOOKUP($A2262, 'Hospitalisation Details'!$A:$H, 7, FALSE)</f>
        <v>1253</v>
      </c>
      <c r="M2262" s="22" t="str">
        <f>VLOOKUP($A2262, 'Hospitalisation Details'!$A:$L, 12, FALSE)</f>
        <v>tier - 2</v>
      </c>
      <c r="N2262" s="22" t="str">
        <f>VLOOKUP($A2262, 'Hospitalisation Details'!$A:$M, 13, FALSE)</f>
        <v>tier - 2</v>
      </c>
      <c r="O2262" s="22" t="str">
        <f>VLOOKUP($A2262, 'Hospitalisation Details'!$A:$N, 14, FALSE)</f>
        <v>R1013</v>
      </c>
      <c r="P2262" s="36">
        <f>VLOOKUP($A2262, 'Hospitalisation Details'!$A:$O, 15, FALSE)</f>
        <v>25</v>
      </c>
    </row>
    <row r="2263" ht="15.75" customHeight="1">
      <c r="A2263" s="33" t="s">
        <v>4525</v>
      </c>
      <c r="B2263" s="22" t="str">
        <f>VLOOKUP($A2263,'Customer Names'!$A:$D,3, FALSE)</f>
        <v>Woldesilassie</v>
      </c>
      <c r="C2263" s="22">
        <f>VLOOKUP($A2263,'Medical Examinations'!$A:$D, 2, FALSE)</f>
        <v>27.6</v>
      </c>
      <c r="D2263" s="22">
        <f>VLOOKUP($A2263, 'Medical Examinations'!$A:$D,3, FALSE)</f>
        <v>4.01</v>
      </c>
      <c r="E2263" s="22" t="str">
        <f>VLOOKUP($A2263, 'Medical Examinations'!$A:$D, 4, FALSE)</f>
        <v>No</v>
      </c>
      <c r="F2263" s="22" t="str">
        <f>VLOOKUP($A2263, 'Medical Examinations'!$A:$J, 5, FALSE)</f>
        <v>No</v>
      </c>
      <c r="G2263" s="22" t="str">
        <f>VLOOKUP($A2263, 'Medical Examinations'!$A:$I, 6, FALSE)</f>
        <v>Yes</v>
      </c>
      <c r="H2263" s="22">
        <f>VLOOKUP($A2263,'Medical Examinations'!$A:$L,10, FALSE)</f>
        <v>1</v>
      </c>
      <c r="I2263" s="22" t="str">
        <f>VLOOKUP($A2263, 'Medical Examinations'!$A:$J, 9, FALSE)</f>
        <v>No</v>
      </c>
      <c r="J2263" s="22" t="str">
        <f>VLOOKUP($A2263, 'Medical Examinations'!$A:$P, 11, FALSE)</f>
        <v>OVERWEIGHT</v>
      </c>
      <c r="K2263" s="34">
        <v>24010.0</v>
      </c>
      <c r="L2263" s="35">
        <f>VLOOKUP($A2263, 'Hospitalisation Details'!$A:$H, 7, FALSE)</f>
        <v>1252.41</v>
      </c>
      <c r="M2263" s="22" t="str">
        <f>VLOOKUP($A2263, 'Hospitalisation Details'!$A:$L, 12, FALSE)</f>
        <v>tier - 2</v>
      </c>
      <c r="N2263" s="22" t="str">
        <f>VLOOKUP($A2263, 'Hospitalisation Details'!$A:$M, 13, FALSE)</f>
        <v>tier - 3</v>
      </c>
      <c r="O2263" s="22" t="str">
        <f>VLOOKUP($A2263, 'Hospitalisation Details'!$A:$N, 14, FALSE)</f>
        <v>R1011</v>
      </c>
      <c r="P2263" s="36">
        <f>VLOOKUP($A2263, 'Hospitalisation Details'!$A:$O, 15, FALSE)</f>
        <v>19</v>
      </c>
    </row>
    <row r="2264" ht="15.75" customHeight="1">
      <c r="A2264" s="33" t="s">
        <v>4527</v>
      </c>
      <c r="B2264" s="22" t="str">
        <f>VLOOKUP($A2264,'Customer Names'!$A:$D,3, FALSE)</f>
        <v>Rui</v>
      </c>
      <c r="C2264" s="22">
        <f>VLOOKUP($A2264,'Medical Examinations'!$A:$D, 2, FALSE)</f>
        <v>20.7</v>
      </c>
      <c r="D2264" s="22">
        <f>VLOOKUP($A2264, 'Medical Examinations'!$A:$D,3, FALSE)</f>
        <v>4.49</v>
      </c>
      <c r="E2264" s="22" t="str">
        <f>VLOOKUP($A2264, 'Medical Examinations'!$A:$D, 4, FALSE)</f>
        <v>No</v>
      </c>
      <c r="F2264" s="22" t="str">
        <f>VLOOKUP($A2264, 'Medical Examinations'!$A:$J, 5, FALSE)</f>
        <v>No</v>
      </c>
      <c r="G2264" s="22" t="str">
        <f>VLOOKUP($A2264, 'Medical Examinations'!$A:$I, 6, FALSE)</f>
        <v>Yes</v>
      </c>
      <c r="H2264" s="22">
        <f>VLOOKUP($A2264,'Medical Examinations'!$A:$L,10, FALSE)</f>
        <v>1</v>
      </c>
      <c r="I2264" s="22" t="str">
        <f>VLOOKUP($A2264, 'Medical Examinations'!$A:$J, 9, FALSE)</f>
        <v>No</v>
      </c>
      <c r="J2264" s="22" t="str">
        <f>VLOOKUP($A2264, 'Medical Examinations'!$A:$P, 11, FALSE)</f>
        <v>NORMAL WEIGHT</v>
      </c>
      <c r="K2264" s="34">
        <v>23631.0</v>
      </c>
      <c r="L2264" s="35">
        <f>VLOOKUP($A2264, 'Hospitalisation Details'!$A:$H, 7, FALSE)</f>
        <v>1242.82</v>
      </c>
      <c r="M2264" s="22" t="str">
        <f>VLOOKUP($A2264, 'Hospitalisation Details'!$A:$L, 12, FALSE)</f>
        <v>tier - 2</v>
      </c>
      <c r="N2264" s="22" t="str">
        <f>VLOOKUP($A2264, 'Hospitalisation Details'!$A:$M, 13, FALSE)</f>
        <v>tier - 1</v>
      </c>
      <c r="O2264" s="22" t="str">
        <f>VLOOKUP($A2264, 'Hospitalisation Details'!$A:$N, 14, FALSE)</f>
        <v>R1011</v>
      </c>
      <c r="P2264" s="36">
        <f>VLOOKUP($A2264, 'Hospitalisation Details'!$A:$O, 15, FALSE)</f>
        <v>19</v>
      </c>
    </row>
    <row r="2265" ht="15.75" customHeight="1">
      <c r="A2265" s="33" t="s">
        <v>4529</v>
      </c>
      <c r="B2265" s="22" t="str">
        <f>VLOOKUP($A2265,'Customer Names'!$A:$D,3, FALSE)</f>
        <v>Bi</v>
      </c>
      <c r="C2265" s="22">
        <f>VLOOKUP($A2265,'Medical Examinations'!$A:$D, 2, FALSE)</f>
        <v>20.3</v>
      </c>
      <c r="D2265" s="22">
        <f>VLOOKUP($A2265, 'Medical Examinations'!$A:$D,3, FALSE)</f>
        <v>6.37</v>
      </c>
      <c r="E2265" s="22" t="str">
        <f>VLOOKUP($A2265, 'Medical Examinations'!$A:$D, 4, FALSE)</f>
        <v>No</v>
      </c>
      <c r="F2265" s="22" t="str">
        <f>VLOOKUP($A2265, 'Medical Examinations'!$A:$J, 5, FALSE)</f>
        <v>No</v>
      </c>
      <c r="G2265" s="22" t="str">
        <f>VLOOKUP($A2265, 'Medical Examinations'!$A:$I, 6, FALSE)</f>
        <v>Yes</v>
      </c>
      <c r="H2265" s="22">
        <f>VLOOKUP($A2265,'Medical Examinations'!$A:$L,10, FALSE)</f>
        <v>1</v>
      </c>
      <c r="I2265" s="22" t="str">
        <f>VLOOKUP($A2265, 'Medical Examinations'!$A:$J, 9, FALSE)</f>
        <v>No</v>
      </c>
      <c r="J2265" s="22" t="str">
        <f>VLOOKUP($A2265, 'Medical Examinations'!$A:$P, 11, FALSE)</f>
        <v>NORMAL WEIGHT</v>
      </c>
      <c r="K2265" s="34">
        <v>23555.0</v>
      </c>
      <c r="L2265" s="35">
        <f>VLOOKUP($A2265, 'Hospitalisation Details'!$A:$H, 7, FALSE)</f>
        <v>1242.26</v>
      </c>
      <c r="M2265" s="22" t="str">
        <f>VLOOKUP($A2265, 'Hospitalisation Details'!$A:$L, 12, FALSE)</f>
        <v>tier - 2</v>
      </c>
      <c r="N2265" s="22" t="str">
        <f>VLOOKUP($A2265, 'Hospitalisation Details'!$A:$M, 13, FALSE)</f>
        <v>tier - 1</v>
      </c>
      <c r="O2265" s="22" t="str">
        <f>VLOOKUP($A2265, 'Hospitalisation Details'!$A:$N, 14, FALSE)</f>
        <v>R1011</v>
      </c>
      <c r="P2265" s="36">
        <f>VLOOKUP($A2265, 'Hospitalisation Details'!$A:$O, 15, FALSE)</f>
        <v>19</v>
      </c>
    </row>
    <row r="2266" ht="15.75" customHeight="1">
      <c r="A2266" s="33" t="s">
        <v>4531</v>
      </c>
      <c r="B2266" s="22" t="str">
        <f>VLOOKUP($A2266,'Customer Names'!$A:$D,3, FALSE)</f>
        <v>Fischer-Daly</v>
      </c>
      <c r="C2266" s="22">
        <f>VLOOKUP($A2266,'Medical Examinations'!$A:$D, 2, FALSE)</f>
        <v>19.8</v>
      </c>
      <c r="D2266" s="22">
        <f>VLOOKUP($A2266, 'Medical Examinations'!$A:$D,3, FALSE)</f>
        <v>5.12</v>
      </c>
      <c r="E2266" s="22" t="str">
        <f>VLOOKUP($A2266, 'Medical Examinations'!$A:$D, 4, FALSE)</f>
        <v>No</v>
      </c>
      <c r="F2266" s="22" t="str">
        <f>VLOOKUP($A2266, 'Medical Examinations'!$A:$J, 5, FALSE)</f>
        <v>No</v>
      </c>
      <c r="G2266" s="22" t="str">
        <f>VLOOKUP($A2266, 'Medical Examinations'!$A:$I, 6, FALSE)</f>
        <v>Yes</v>
      </c>
      <c r="H2266" s="22">
        <f>VLOOKUP($A2266,'Medical Examinations'!$A:$L,10, FALSE)</f>
        <v>1</v>
      </c>
      <c r="I2266" s="22" t="str">
        <f>VLOOKUP($A2266, 'Medical Examinations'!$A:$J, 9, FALSE)</f>
        <v>No</v>
      </c>
      <c r="J2266" s="22" t="str">
        <f>VLOOKUP($A2266, 'Medical Examinations'!$A:$P, 11, FALSE)</f>
        <v>NORMAL WEIGHT</v>
      </c>
      <c r="K2266" s="34">
        <v>24018.0</v>
      </c>
      <c r="L2266" s="35">
        <f>VLOOKUP($A2266, 'Hospitalisation Details'!$A:$H, 7, FALSE)</f>
        <v>1241.57</v>
      </c>
      <c r="M2266" s="22" t="str">
        <f>VLOOKUP($A2266, 'Hospitalisation Details'!$A:$L, 12, FALSE)</f>
        <v>tier - 2</v>
      </c>
      <c r="N2266" s="22" t="str">
        <f>VLOOKUP($A2266, 'Hospitalisation Details'!$A:$M, 13, FALSE)</f>
        <v>tier - 2</v>
      </c>
      <c r="O2266" s="22" t="str">
        <f>VLOOKUP($A2266, 'Hospitalisation Details'!$A:$N, 14, FALSE)</f>
        <v>R1011</v>
      </c>
      <c r="P2266" s="36">
        <f>VLOOKUP($A2266, 'Hospitalisation Details'!$A:$O, 15, FALSE)</f>
        <v>19</v>
      </c>
    </row>
    <row r="2267" ht="15.75" customHeight="1">
      <c r="A2267" s="33" t="s">
        <v>4533</v>
      </c>
      <c r="B2267" s="22" t="str">
        <f>VLOOKUP($A2267,'Customer Names'!$A:$D,3, FALSE)</f>
        <v>Pulliam</v>
      </c>
      <c r="C2267" s="22">
        <f>VLOOKUP($A2267,'Medical Examinations'!$A:$D, 2, FALSE)</f>
        <v>21.87</v>
      </c>
      <c r="D2267" s="22">
        <f>VLOOKUP($A2267, 'Medical Examinations'!$A:$D,3, FALSE)</f>
        <v>8.59</v>
      </c>
      <c r="E2267" s="22" t="str">
        <f>VLOOKUP($A2267, 'Medical Examinations'!$A:$D, 4, FALSE)</f>
        <v>No</v>
      </c>
      <c r="F2267" s="22" t="str">
        <f>VLOOKUP($A2267, 'Medical Examinations'!$A:$J, 5, FALSE)</f>
        <v>No</v>
      </c>
      <c r="G2267" s="22" t="str">
        <f>VLOOKUP($A2267, 'Medical Examinations'!$A:$I, 6, FALSE)</f>
        <v>No</v>
      </c>
      <c r="H2267" s="22">
        <f>VLOOKUP($A2267,'Medical Examinations'!$A:$L,10, FALSE)</f>
        <v>0</v>
      </c>
      <c r="I2267" s="22" t="str">
        <f>VLOOKUP($A2267, 'Medical Examinations'!$A:$J, 9, FALSE)</f>
        <v>No</v>
      </c>
      <c r="J2267" s="22" t="str">
        <f>VLOOKUP($A2267, 'Medical Examinations'!$A:$P, 11, FALSE)</f>
        <v>NORMAL WEIGHT</v>
      </c>
      <c r="K2267" s="34">
        <v>30275.0</v>
      </c>
      <c r="L2267" s="35">
        <f>VLOOKUP($A2267, 'Hospitalisation Details'!$A:$H, 7, FALSE)</f>
        <v>1241</v>
      </c>
      <c r="M2267" s="22" t="str">
        <f>VLOOKUP($A2267, 'Hospitalisation Details'!$A:$L, 12, FALSE)</f>
        <v>tier - 2</v>
      </c>
      <c r="N2267" s="22" t="str">
        <f>VLOOKUP($A2267, 'Hospitalisation Details'!$A:$M, 13, FALSE)</f>
        <v>tier - 2</v>
      </c>
      <c r="O2267" s="22" t="str">
        <f>VLOOKUP($A2267, 'Hospitalisation Details'!$A:$N, 14, FALSE)</f>
        <v>R1013</v>
      </c>
      <c r="P2267" s="36">
        <f>VLOOKUP($A2267, 'Hospitalisation Details'!$A:$O, 15, FALSE)</f>
        <v>20</v>
      </c>
    </row>
    <row r="2268" ht="15.75" customHeight="1">
      <c r="A2268" s="33" t="s">
        <v>4535</v>
      </c>
      <c r="B2268" s="22" t="str">
        <f>VLOOKUP($A2268,'Customer Names'!$A:$D,3, FALSE)</f>
        <v>Guisinger</v>
      </c>
      <c r="C2268" s="22">
        <f>VLOOKUP($A2268,'Medical Examinations'!$A:$D, 2, FALSE)</f>
        <v>16.6</v>
      </c>
      <c r="D2268" s="22">
        <f>VLOOKUP($A2268, 'Medical Examinations'!$A:$D,3, FALSE)</f>
        <v>5.87</v>
      </c>
      <c r="E2268" s="22" t="str">
        <f>VLOOKUP($A2268, 'Medical Examinations'!$A:$D, 4, FALSE)</f>
        <v>No</v>
      </c>
      <c r="F2268" s="22" t="str">
        <f>VLOOKUP($A2268, 'Medical Examinations'!$A:$J, 5, FALSE)</f>
        <v>No</v>
      </c>
      <c r="G2268" s="22" t="str">
        <f>VLOOKUP($A2268, 'Medical Examinations'!$A:$I, 6, FALSE)</f>
        <v>No</v>
      </c>
      <c r="H2268" s="22">
        <f>VLOOKUP($A2268,'Medical Examinations'!$A:$L,10, FALSE)</f>
        <v>1</v>
      </c>
      <c r="I2268" s="22" t="str">
        <f>VLOOKUP($A2268, 'Medical Examinations'!$A:$J, 9, FALSE)</f>
        <v>No</v>
      </c>
      <c r="J2268" s="22" t="str">
        <f>VLOOKUP($A2268, 'Medical Examinations'!$A:$P, 11, FALSE)</f>
        <v>UNDERWEIGHT</v>
      </c>
      <c r="K2268" s="34">
        <v>26460.0</v>
      </c>
      <c r="L2268" s="35">
        <f>VLOOKUP($A2268, 'Hospitalisation Details'!$A:$H, 7, FALSE)</f>
        <v>1240</v>
      </c>
      <c r="M2268" s="22" t="str">
        <f>VLOOKUP($A2268, 'Hospitalisation Details'!$A:$L, 12, FALSE)</f>
        <v>tier - 2</v>
      </c>
      <c r="N2268" s="22" t="str">
        <f>VLOOKUP($A2268, 'Hospitalisation Details'!$A:$M, 13, FALSE)</f>
        <v>tier - 1</v>
      </c>
      <c r="O2268" s="22" t="str">
        <f>VLOOKUP($A2268, 'Hospitalisation Details'!$A:$N, 14, FALSE)</f>
        <v>R1012</v>
      </c>
      <c r="P2268" s="36">
        <f>VLOOKUP($A2268, 'Hospitalisation Details'!$A:$O, 15, FALSE)</f>
        <v>24</v>
      </c>
    </row>
    <row r="2269" ht="15.75" customHeight="1">
      <c r="A2269" s="33" t="s">
        <v>4537</v>
      </c>
      <c r="B2269" s="22" t="str">
        <f>VLOOKUP($A2269,'Customer Names'!$A:$D,3, FALSE)</f>
        <v>Arnerich</v>
      </c>
      <c r="C2269" s="22">
        <f>VLOOKUP($A2269,'Medical Examinations'!$A:$D, 2, FALSE)</f>
        <v>21.98</v>
      </c>
      <c r="D2269" s="22">
        <f>VLOOKUP($A2269, 'Medical Examinations'!$A:$D,3, FALSE)</f>
        <v>7.03</v>
      </c>
      <c r="E2269" s="22" t="str">
        <f>VLOOKUP($A2269, 'Medical Examinations'!$A:$D, 4, FALSE)</f>
        <v>No</v>
      </c>
      <c r="F2269" s="22" t="str">
        <f>VLOOKUP($A2269, 'Medical Examinations'!$A:$J, 5, FALSE)</f>
        <v>No</v>
      </c>
      <c r="G2269" s="22" t="str">
        <f>VLOOKUP($A2269, 'Medical Examinations'!$A:$I, 6, FALSE)</f>
        <v>No</v>
      </c>
      <c r="H2269" s="22">
        <f>VLOOKUP($A2269,'Medical Examinations'!$A:$L,10, FALSE)</f>
        <v>0</v>
      </c>
      <c r="I2269" s="22" t="str">
        <f>VLOOKUP($A2269, 'Medical Examinations'!$A:$J, 9, FALSE)</f>
        <v>No</v>
      </c>
      <c r="J2269" s="22" t="str">
        <f>VLOOKUP($A2269, 'Medical Examinations'!$A:$P, 11, FALSE)</f>
        <v>NORMAL WEIGHT</v>
      </c>
      <c r="K2269" s="34">
        <v>24313.0</v>
      </c>
      <c r="L2269" s="35">
        <f>VLOOKUP($A2269, 'Hospitalisation Details'!$A:$H, 7, FALSE)</f>
        <v>1237</v>
      </c>
      <c r="M2269" s="22" t="str">
        <f>VLOOKUP($A2269, 'Hospitalisation Details'!$A:$L, 12, FALSE)</f>
        <v>tier - 2</v>
      </c>
      <c r="N2269" s="22" t="str">
        <f>VLOOKUP($A2269, 'Hospitalisation Details'!$A:$M, 13, FALSE)</f>
        <v>tier - 2</v>
      </c>
      <c r="O2269" s="22" t="str">
        <f>VLOOKUP($A2269, 'Hospitalisation Details'!$A:$N, 14, FALSE)</f>
        <v>R1013</v>
      </c>
      <c r="P2269" s="36">
        <f>VLOOKUP($A2269, 'Hospitalisation Details'!$A:$O, 15, FALSE)</f>
        <v>20</v>
      </c>
    </row>
    <row r="2270" ht="15.75" customHeight="1">
      <c r="A2270" s="33" t="s">
        <v>4539</v>
      </c>
      <c r="B2270" s="22" t="str">
        <f>VLOOKUP($A2270,'Customer Names'!$A:$D,3, FALSE)</f>
        <v>Lynch</v>
      </c>
      <c r="C2270" s="22">
        <f>VLOOKUP($A2270,'Medical Examinations'!$A:$D, 2, FALSE)</f>
        <v>19.7</v>
      </c>
      <c r="D2270" s="22">
        <f>VLOOKUP($A2270, 'Medical Examinations'!$A:$D,3, FALSE)</f>
        <v>5.51</v>
      </c>
      <c r="E2270" s="22" t="str">
        <f>VLOOKUP($A2270, 'Medical Examinations'!$A:$D, 4, FALSE)</f>
        <v>No</v>
      </c>
      <c r="F2270" s="22" t="str">
        <f>VLOOKUP($A2270, 'Medical Examinations'!$A:$J, 5, FALSE)</f>
        <v>No</v>
      </c>
      <c r="G2270" s="22" t="str">
        <f>VLOOKUP($A2270, 'Medical Examinations'!$A:$I, 6, FALSE)</f>
        <v>No</v>
      </c>
      <c r="H2270" s="22">
        <f>VLOOKUP($A2270,'Medical Examinations'!$A:$L,10, FALSE)</f>
        <v>1</v>
      </c>
      <c r="I2270" s="22" t="str">
        <f>VLOOKUP($A2270, 'Medical Examinations'!$A:$J, 9, FALSE)</f>
        <v>No</v>
      </c>
      <c r="J2270" s="22" t="str">
        <f>VLOOKUP($A2270, 'Medical Examinations'!$A:$P, 11, FALSE)</f>
        <v>NORMAL WEIGHT</v>
      </c>
      <c r="K2270" s="34">
        <v>29165.0</v>
      </c>
      <c r="L2270" s="35">
        <f>VLOOKUP($A2270, 'Hospitalisation Details'!$A:$H, 7, FALSE)</f>
        <v>1234</v>
      </c>
      <c r="M2270" s="22" t="str">
        <f>VLOOKUP($A2270, 'Hospitalisation Details'!$A:$L, 12, FALSE)</f>
        <v>tier - 2</v>
      </c>
      <c r="N2270" s="22" t="str">
        <f>VLOOKUP($A2270, 'Hospitalisation Details'!$A:$M, 13, FALSE)</f>
        <v>tier - 1</v>
      </c>
      <c r="O2270" s="22" t="str">
        <f>VLOOKUP($A2270, 'Hospitalisation Details'!$A:$N, 14, FALSE)</f>
        <v>R1013</v>
      </c>
      <c r="P2270" s="36">
        <f>VLOOKUP($A2270, 'Hospitalisation Details'!$A:$O, 15, FALSE)</f>
        <v>24</v>
      </c>
    </row>
    <row r="2271" ht="15.75" customHeight="1">
      <c r="A2271" s="33" t="s">
        <v>4541</v>
      </c>
      <c r="B2271" s="22" t="str">
        <f>VLOOKUP($A2271,'Customer Names'!$A:$D,3, FALSE)</f>
        <v>Reilly</v>
      </c>
      <c r="C2271" s="22">
        <f>VLOOKUP($A2271,'Medical Examinations'!$A:$D, 2, FALSE)</f>
        <v>19.21</v>
      </c>
      <c r="D2271" s="22">
        <f>VLOOKUP($A2271, 'Medical Examinations'!$A:$D,3, FALSE)</f>
        <v>4.76</v>
      </c>
      <c r="E2271" s="22" t="str">
        <f>VLOOKUP($A2271, 'Medical Examinations'!$A:$D, 4, FALSE)</f>
        <v>No</v>
      </c>
      <c r="F2271" s="22" t="str">
        <f>VLOOKUP($A2271, 'Medical Examinations'!$A:$J, 5, FALSE)</f>
        <v>Yes</v>
      </c>
      <c r="G2271" s="22" t="str">
        <f>VLOOKUP($A2271, 'Medical Examinations'!$A:$I, 6, FALSE)</f>
        <v>No</v>
      </c>
      <c r="H2271" s="22">
        <f>VLOOKUP($A2271,'Medical Examinations'!$A:$L,10, FALSE)</f>
        <v>1</v>
      </c>
      <c r="I2271" s="22" t="str">
        <f>VLOOKUP($A2271, 'Medical Examinations'!$A:$J, 9, FALSE)</f>
        <v>No</v>
      </c>
      <c r="J2271" s="22" t="str">
        <f>VLOOKUP($A2271, 'Medical Examinations'!$A:$P, 11, FALSE)</f>
        <v>NORMAL WEIGHT</v>
      </c>
      <c r="K2271" s="34">
        <v>23713.0</v>
      </c>
      <c r="L2271" s="35">
        <f>VLOOKUP($A2271, 'Hospitalisation Details'!$A:$H, 7, FALSE)</f>
        <v>1228</v>
      </c>
      <c r="M2271" s="22" t="str">
        <f>VLOOKUP($A2271, 'Hospitalisation Details'!$A:$L, 12, FALSE)</f>
        <v>tier - 2</v>
      </c>
      <c r="N2271" s="22" t="str">
        <f>VLOOKUP($A2271, 'Hospitalisation Details'!$A:$M, 13, FALSE)</f>
        <v>tier - 1</v>
      </c>
      <c r="O2271" s="22" t="str">
        <f>VLOOKUP($A2271, 'Hospitalisation Details'!$A:$N, 14, FALSE)</f>
        <v>R1012</v>
      </c>
      <c r="P2271" s="36">
        <f>VLOOKUP($A2271, 'Hospitalisation Details'!$A:$O, 15, FALSE)</f>
        <v>18</v>
      </c>
    </row>
    <row r="2272" ht="15.75" customHeight="1">
      <c r="A2272" s="33" t="s">
        <v>4543</v>
      </c>
      <c r="B2272" s="22" t="str">
        <f>VLOOKUP($A2272,'Customer Names'!$A:$D,3, FALSE)</f>
        <v>Nolette</v>
      </c>
      <c r="C2272" s="22">
        <f>VLOOKUP($A2272,'Medical Examinations'!$A:$D, 2, FALSE)</f>
        <v>19.3</v>
      </c>
      <c r="D2272" s="22">
        <f>VLOOKUP($A2272, 'Medical Examinations'!$A:$D,3, FALSE)</f>
        <v>4.7</v>
      </c>
      <c r="E2272" s="22" t="str">
        <f>VLOOKUP($A2272, 'Medical Examinations'!$A:$D, 4, FALSE)</f>
        <v>No</v>
      </c>
      <c r="F2272" s="22" t="str">
        <f>VLOOKUP($A2272, 'Medical Examinations'!$A:$J, 5, FALSE)</f>
        <v>Yes</v>
      </c>
      <c r="G2272" s="22" t="str">
        <f>VLOOKUP($A2272, 'Medical Examinations'!$A:$I, 6, FALSE)</f>
        <v>No</v>
      </c>
      <c r="H2272" s="22">
        <f>VLOOKUP($A2272,'Medical Examinations'!$A:$L,10, FALSE)</f>
        <v>1</v>
      </c>
      <c r="I2272" s="22" t="str">
        <f>VLOOKUP($A2272, 'Medical Examinations'!$A:$J, 9, FALSE)</f>
        <v>No</v>
      </c>
      <c r="J2272" s="22" t="str">
        <f>VLOOKUP($A2272, 'Medical Examinations'!$A:$P, 11, FALSE)</f>
        <v>NORMAL WEIGHT</v>
      </c>
      <c r="K2272" s="34">
        <v>23171.0</v>
      </c>
      <c r="L2272" s="35">
        <f>VLOOKUP($A2272, 'Hospitalisation Details'!$A:$H, 7, FALSE)</f>
        <v>1224</v>
      </c>
      <c r="M2272" s="22" t="str">
        <f>VLOOKUP($A2272, 'Hospitalisation Details'!$A:$L, 12, FALSE)</f>
        <v>tier - 2</v>
      </c>
      <c r="N2272" s="22" t="str">
        <f>VLOOKUP($A2272, 'Hospitalisation Details'!$A:$M, 13, FALSE)</f>
        <v>tier - 1</v>
      </c>
      <c r="O2272" s="22" t="str">
        <f>VLOOKUP($A2272, 'Hospitalisation Details'!$A:$N, 14, FALSE)</f>
        <v>R1013</v>
      </c>
      <c r="P2272" s="36">
        <f>VLOOKUP($A2272, 'Hospitalisation Details'!$A:$O, 15, FALSE)</f>
        <v>18</v>
      </c>
    </row>
    <row r="2273" ht="15.75" customHeight="1">
      <c r="A2273" s="33" t="s">
        <v>4545</v>
      </c>
      <c r="B2273" s="22" t="str">
        <f>VLOOKUP($A2273,'Customer Names'!$A:$D,3, FALSE)</f>
        <v>Chabrier</v>
      </c>
      <c r="C2273" s="22">
        <f>VLOOKUP($A2273,'Medical Examinations'!$A:$D, 2, FALSE)</f>
        <v>16.22</v>
      </c>
      <c r="D2273" s="22">
        <f>VLOOKUP($A2273, 'Medical Examinations'!$A:$D,3, FALSE)</f>
        <v>6.21</v>
      </c>
      <c r="E2273" s="22" t="str">
        <f>VLOOKUP($A2273, 'Medical Examinations'!$A:$D, 4, FALSE)</f>
        <v>Yes</v>
      </c>
      <c r="F2273" s="22" t="str">
        <f>VLOOKUP($A2273, 'Medical Examinations'!$A:$J, 5, FALSE)</f>
        <v>No</v>
      </c>
      <c r="G2273" s="22" t="str">
        <f>VLOOKUP($A2273, 'Medical Examinations'!$A:$I, 6, FALSE)</f>
        <v>No</v>
      </c>
      <c r="H2273" s="22">
        <f>VLOOKUP($A2273,'Medical Examinations'!$A:$L,10, FALSE)</f>
        <v>0</v>
      </c>
      <c r="I2273" s="22" t="str">
        <f>VLOOKUP($A2273, 'Medical Examinations'!$A:$J, 9, FALSE)</f>
        <v>No</v>
      </c>
      <c r="J2273" s="22" t="str">
        <f>VLOOKUP($A2273, 'Medical Examinations'!$A:$P, 11, FALSE)</f>
        <v>UNDERWEIGHT</v>
      </c>
      <c r="K2273" s="34">
        <v>25519.0</v>
      </c>
      <c r="L2273" s="35">
        <f>VLOOKUP($A2273, 'Hospitalisation Details'!$A:$H, 7, FALSE)</f>
        <v>1220</v>
      </c>
      <c r="M2273" s="22" t="str">
        <f>VLOOKUP($A2273, 'Hospitalisation Details'!$A:$L, 12, FALSE)</f>
        <v>tier - 2</v>
      </c>
      <c r="N2273" s="22" t="str">
        <f>VLOOKUP($A2273, 'Hospitalisation Details'!$A:$M, 13, FALSE)</f>
        <v>tier - 3</v>
      </c>
      <c r="O2273" s="22" t="str">
        <f>VLOOKUP($A2273, 'Hospitalisation Details'!$A:$N, 14, FALSE)</f>
        <v>R1012</v>
      </c>
      <c r="P2273" s="36">
        <f>VLOOKUP($A2273, 'Hospitalisation Details'!$A:$O, 15, FALSE)</f>
        <v>26</v>
      </c>
    </row>
    <row r="2274" ht="15.75" customHeight="1">
      <c r="A2274" s="33" t="s">
        <v>4547</v>
      </c>
      <c r="B2274" s="22" t="str">
        <f>VLOOKUP($A2274,'Customer Names'!$A:$D,3, FALSE)</f>
        <v>Lee</v>
      </c>
      <c r="C2274" s="22">
        <f>VLOOKUP($A2274,'Medical Examinations'!$A:$D, 2, FALSE)</f>
        <v>17.12</v>
      </c>
      <c r="D2274" s="22">
        <f>VLOOKUP($A2274, 'Medical Examinations'!$A:$D,3, FALSE)</f>
        <v>4.52</v>
      </c>
      <c r="E2274" s="22" t="str">
        <f>VLOOKUP($A2274, 'Medical Examinations'!$A:$D, 4, FALSE)</f>
        <v>No</v>
      </c>
      <c r="F2274" s="22" t="str">
        <f>VLOOKUP($A2274, 'Medical Examinations'!$A:$J, 5, FALSE)</f>
        <v>Yes</v>
      </c>
      <c r="G2274" s="22" t="str">
        <f>VLOOKUP($A2274, 'Medical Examinations'!$A:$I, 6, FALSE)</f>
        <v>No</v>
      </c>
      <c r="H2274" s="22">
        <f>VLOOKUP($A2274,'Medical Examinations'!$A:$L,10, FALSE)</f>
        <v>1</v>
      </c>
      <c r="I2274" s="22" t="str">
        <f>VLOOKUP($A2274, 'Medical Examinations'!$A:$J, 9, FALSE)</f>
        <v>No</v>
      </c>
      <c r="J2274" s="22" t="str">
        <f>VLOOKUP($A2274, 'Medical Examinations'!$A:$P, 11, FALSE)</f>
        <v>UNDERWEIGHT</v>
      </c>
      <c r="K2274" s="34">
        <v>32391.0</v>
      </c>
      <c r="L2274" s="35">
        <f>VLOOKUP($A2274, 'Hospitalisation Details'!$A:$H, 7, FALSE)</f>
        <v>1210</v>
      </c>
      <c r="M2274" s="22" t="str">
        <f>VLOOKUP($A2274, 'Hospitalisation Details'!$A:$L, 12, FALSE)</f>
        <v>tier - 2</v>
      </c>
      <c r="N2274" s="22" t="str">
        <f>VLOOKUP($A2274, 'Hospitalisation Details'!$A:$M, 13, FALSE)</f>
        <v>tier - 1</v>
      </c>
      <c r="O2274" s="22" t="str">
        <f>VLOOKUP($A2274, 'Hospitalisation Details'!$A:$N, 14, FALSE)</f>
        <v>R1013</v>
      </c>
      <c r="P2274" s="36">
        <f>VLOOKUP($A2274, 'Hospitalisation Details'!$A:$O, 15, FALSE)</f>
        <v>19</v>
      </c>
    </row>
    <row r="2275" ht="15.75" customHeight="1">
      <c r="A2275" s="33" t="s">
        <v>4549</v>
      </c>
      <c r="B2275" s="22" t="str">
        <f>VLOOKUP($A2275,'Customer Names'!$A:$D,3, FALSE)</f>
        <v>Knotts</v>
      </c>
      <c r="C2275" s="22">
        <f>VLOOKUP($A2275,'Medical Examinations'!$A:$D, 2, FALSE)</f>
        <v>19.07</v>
      </c>
      <c r="D2275" s="22">
        <f>VLOOKUP($A2275, 'Medical Examinations'!$A:$D,3, FALSE)</f>
        <v>5.45</v>
      </c>
      <c r="E2275" s="22" t="str">
        <f>VLOOKUP($A2275, 'Medical Examinations'!$A:$D, 4, FALSE)</f>
        <v>No</v>
      </c>
      <c r="F2275" s="22" t="str">
        <f>VLOOKUP($A2275, 'Medical Examinations'!$A:$J, 5, FALSE)</f>
        <v>No</v>
      </c>
      <c r="G2275" s="22" t="str">
        <f>VLOOKUP($A2275, 'Medical Examinations'!$A:$I, 6, FALSE)</f>
        <v>No</v>
      </c>
      <c r="H2275" s="22">
        <f>VLOOKUP($A2275,'Medical Examinations'!$A:$L,10, FALSE)</f>
        <v>1</v>
      </c>
      <c r="I2275" s="22" t="str">
        <f>VLOOKUP($A2275, 'Medical Examinations'!$A:$J, 9, FALSE)</f>
        <v>No</v>
      </c>
      <c r="J2275" s="22" t="str">
        <f>VLOOKUP($A2275, 'Medical Examinations'!$A:$P, 11, FALSE)</f>
        <v>NORMAL WEIGHT</v>
      </c>
      <c r="K2275" s="34">
        <v>23690.0</v>
      </c>
      <c r="L2275" s="35">
        <f>VLOOKUP($A2275, 'Hospitalisation Details'!$A:$H, 7, FALSE)</f>
        <v>1200.55</v>
      </c>
      <c r="M2275" s="22" t="str">
        <f>VLOOKUP($A2275, 'Hospitalisation Details'!$A:$L, 12, FALSE)</f>
        <v>tier - 2</v>
      </c>
      <c r="N2275" s="22" t="str">
        <f>VLOOKUP($A2275, 'Hospitalisation Details'!$A:$M, 13, FALSE)</f>
        <v>tier - 3</v>
      </c>
      <c r="O2275" s="22" t="str">
        <f>VLOOKUP($A2275, 'Hospitalisation Details'!$A:$N, 14, FALSE)</f>
        <v>R1013</v>
      </c>
      <c r="P2275" s="36">
        <f>VLOOKUP($A2275, 'Hospitalisation Details'!$A:$O, 15, FALSE)</f>
        <v>30</v>
      </c>
    </row>
    <row r="2276" ht="15.75" customHeight="1">
      <c r="A2276" s="33" t="s">
        <v>4551</v>
      </c>
      <c r="B2276" s="22" t="str">
        <f>VLOOKUP($A2276,'Customer Names'!$A:$D,3, FALSE)</f>
        <v>Pultorak</v>
      </c>
      <c r="C2276" s="22">
        <f>VLOOKUP($A2276,'Medical Examinations'!$A:$D, 2, FALSE)</f>
        <v>15.56</v>
      </c>
      <c r="D2276" s="22">
        <f>VLOOKUP($A2276, 'Medical Examinations'!$A:$D,3, FALSE)</f>
        <v>4.42</v>
      </c>
      <c r="E2276" s="22" t="str">
        <f>VLOOKUP($A2276, 'Medical Examinations'!$A:$D, 4, FALSE)</f>
        <v>No</v>
      </c>
      <c r="F2276" s="22" t="str">
        <f>VLOOKUP($A2276, 'Medical Examinations'!$A:$J, 5, FALSE)</f>
        <v>No</v>
      </c>
      <c r="G2276" s="22" t="str">
        <f>VLOOKUP($A2276, 'Medical Examinations'!$A:$I, 6, FALSE)</f>
        <v>No</v>
      </c>
      <c r="H2276" s="22">
        <f>VLOOKUP($A2276,'Medical Examinations'!$A:$L,10, FALSE)</f>
        <v>0</v>
      </c>
      <c r="I2276" s="22" t="str">
        <f>VLOOKUP($A2276, 'Medical Examinations'!$A:$J, 9, FALSE)</f>
        <v>No</v>
      </c>
      <c r="J2276" s="22" t="str">
        <f>VLOOKUP($A2276, 'Medical Examinations'!$A:$P, 11, FALSE)</f>
        <v>UNDERWEIGHT</v>
      </c>
      <c r="K2276" s="34">
        <v>31012.0</v>
      </c>
      <c r="L2276" s="35">
        <f>VLOOKUP($A2276, 'Hospitalisation Details'!$A:$H, 7, FALSE)</f>
        <v>1200</v>
      </c>
      <c r="M2276" s="22" t="str">
        <f>VLOOKUP($A2276, 'Hospitalisation Details'!$A:$L, 12, FALSE)</f>
        <v>tier - 2</v>
      </c>
      <c r="N2276" s="22" t="str">
        <f>VLOOKUP($A2276, 'Hospitalisation Details'!$A:$M, 13, FALSE)</f>
        <v>tier - 3</v>
      </c>
      <c r="O2276" s="22" t="str">
        <f>VLOOKUP($A2276, 'Hospitalisation Details'!$A:$N, 14, FALSE)</f>
        <v>R1012</v>
      </c>
      <c r="P2276" s="36">
        <f>VLOOKUP($A2276, 'Hospitalisation Details'!$A:$O, 15, FALSE)</f>
        <v>23</v>
      </c>
    </row>
    <row r="2277" ht="15.75" customHeight="1">
      <c r="A2277" s="33" t="s">
        <v>4553</v>
      </c>
      <c r="B2277" s="22" t="str">
        <f>VLOOKUP($A2277,'Customer Names'!$A:$D,3, FALSE)</f>
        <v>Maxon</v>
      </c>
      <c r="C2277" s="22">
        <f>VLOOKUP($A2277,'Medical Examinations'!$A:$D, 2, FALSE)</f>
        <v>22.76</v>
      </c>
      <c r="D2277" s="22">
        <f>VLOOKUP($A2277, 'Medical Examinations'!$A:$D,3, FALSE)</f>
        <v>9.44</v>
      </c>
      <c r="E2277" s="22" t="str">
        <f>VLOOKUP($A2277, 'Medical Examinations'!$A:$D, 4, FALSE)</f>
        <v>No</v>
      </c>
      <c r="F2277" s="22" t="str">
        <f>VLOOKUP($A2277, 'Medical Examinations'!$A:$J, 5, FALSE)</f>
        <v>No</v>
      </c>
      <c r="G2277" s="22" t="str">
        <f>VLOOKUP($A2277, 'Medical Examinations'!$A:$I, 6, FALSE)</f>
        <v>No</v>
      </c>
      <c r="H2277" s="22">
        <f>VLOOKUP($A2277,'Medical Examinations'!$A:$L,10, FALSE)</f>
        <v>0</v>
      </c>
      <c r="I2277" s="22" t="str">
        <f>VLOOKUP($A2277, 'Medical Examinations'!$A:$J, 9, FALSE)</f>
        <v>No</v>
      </c>
      <c r="J2277" s="22" t="str">
        <f>VLOOKUP($A2277, 'Medical Examinations'!$A:$P, 11, FALSE)</f>
        <v>NORMAL WEIGHT</v>
      </c>
      <c r="K2277" s="34">
        <v>25488.0</v>
      </c>
      <c r="L2277" s="35">
        <f>VLOOKUP($A2277, 'Hospitalisation Details'!$A:$H, 7, FALSE)</f>
        <v>1191</v>
      </c>
      <c r="M2277" s="22" t="str">
        <f>VLOOKUP($A2277, 'Hospitalisation Details'!$A:$L, 12, FALSE)</f>
        <v>tier - 2</v>
      </c>
      <c r="N2277" s="22" t="str">
        <f>VLOOKUP($A2277, 'Hospitalisation Details'!$A:$M, 13, FALSE)</f>
        <v>tier - 1</v>
      </c>
      <c r="O2277" s="22" t="str">
        <f>VLOOKUP($A2277, 'Hospitalisation Details'!$A:$N, 14, FALSE)</f>
        <v>R1013</v>
      </c>
      <c r="P2277" s="36">
        <f>VLOOKUP($A2277, 'Hospitalisation Details'!$A:$O, 15, FALSE)</f>
        <v>20</v>
      </c>
    </row>
    <row r="2278" ht="15.75" customHeight="1">
      <c r="A2278" s="33" t="s">
        <v>4555</v>
      </c>
      <c r="B2278" s="22" t="str">
        <f>VLOOKUP($A2278,'Customer Names'!$A:$D,3, FALSE)</f>
        <v>Kraai</v>
      </c>
      <c r="C2278" s="22">
        <f>VLOOKUP($A2278,'Medical Examinations'!$A:$D, 2, FALSE)</f>
        <v>22.79</v>
      </c>
      <c r="D2278" s="22">
        <f>VLOOKUP($A2278, 'Medical Examinations'!$A:$D,3, FALSE)</f>
        <v>6.15</v>
      </c>
      <c r="E2278" s="22" t="str">
        <f>VLOOKUP($A2278, 'Medical Examinations'!$A:$D, 4, FALSE)</f>
        <v>Yes</v>
      </c>
      <c r="F2278" s="22" t="str">
        <f>VLOOKUP($A2278, 'Medical Examinations'!$A:$J, 5, FALSE)</f>
        <v>No</v>
      </c>
      <c r="G2278" s="22" t="str">
        <f>VLOOKUP($A2278, 'Medical Examinations'!$A:$I, 6, FALSE)</f>
        <v>Yes</v>
      </c>
      <c r="H2278" s="22">
        <f>VLOOKUP($A2278,'Medical Examinations'!$A:$L,10, FALSE)</f>
        <v>1</v>
      </c>
      <c r="I2278" s="22" t="str">
        <f>VLOOKUP($A2278, 'Medical Examinations'!$A:$J, 9, FALSE)</f>
        <v>No</v>
      </c>
      <c r="J2278" s="22" t="str">
        <f>VLOOKUP($A2278, 'Medical Examinations'!$A:$P, 11, FALSE)</f>
        <v>NORMAL WEIGHT</v>
      </c>
      <c r="K2278" s="34">
        <v>30245.0</v>
      </c>
      <c r="L2278" s="35">
        <f>VLOOKUP($A2278, 'Hospitalisation Details'!$A:$H, 7, FALSE)</f>
        <v>1178.07</v>
      </c>
      <c r="M2278" s="22" t="str">
        <f>VLOOKUP($A2278, 'Hospitalisation Details'!$A:$L, 12, FALSE)</f>
        <v>tier - 2</v>
      </c>
      <c r="N2278" s="22" t="str">
        <f>VLOOKUP($A2278, 'Hospitalisation Details'!$A:$M, 13, FALSE)</f>
        <v>tier - 2</v>
      </c>
      <c r="O2278" s="22" t="str">
        <f>VLOOKUP($A2278, 'Hospitalisation Details'!$A:$N, 14, FALSE)</f>
        <v>R1013</v>
      </c>
      <c r="P2278" s="36">
        <f>VLOOKUP($A2278, 'Hospitalisation Details'!$A:$O, 15, FALSE)</f>
        <v>25</v>
      </c>
    </row>
    <row r="2279" ht="15.75" customHeight="1">
      <c r="A2279" s="33" t="s">
        <v>4557</v>
      </c>
      <c r="B2279" s="22" t="str">
        <f>VLOOKUP($A2279,'Customer Names'!$A:$D,3, FALSE)</f>
        <v>Larosa</v>
      </c>
      <c r="C2279" s="22">
        <f>VLOOKUP($A2279,'Medical Examinations'!$A:$D, 2, FALSE)</f>
        <v>17.41</v>
      </c>
      <c r="D2279" s="22">
        <f>VLOOKUP($A2279, 'Medical Examinations'!$A:$D,3, FALSE)</f>
        <v>5.13</v>
      </c>
      <c r="E2279" s="22" t="str">
        <f>VLOOKUP($A2279, 'Medical Examinations'!$A:$D, 4, FALSE)</f>
        <v>Yes</v>
      </c>
      <c r="F2279" s="22" t="str">
        <f>VLOOKUP($A2279, 'Medical Examinations'!$A:$J, 5, FALSE)</f>
        <v>No</v>
      </c>
      <c r="G2279" s="22" t="str">
        <f>VLOOKUP($A2279, 'Medical Examinations'!$A:$I, 6, FALSE)</f>
        <v>No</v>
      </c>
      <c r="H2279" s="22">
        <f>VLOOKUP($A2279,'Medical Examinations'!$A:$L,10, FALSE)</f>
        <v>0</v>
      </c>
      <c r="I2279" s="22" t="str">
        <f>VLOOKUP($A2279, 'Medical Examinations'!$A:$J, 9, FALSE)</f>
        <v>No</v>
      </c>
      <c r="J2279" s="22" t="str">
        <f>VLOOKUP($A2279, 'Medical Examinations'!$A:$P, 11, FALSE)</f>
        <v>UNDERWEIGHT</v>
      </c>
      <c r="K2279" s="34">
        <v>28120.0</v>
      </c>
      <c r="L2279" s="35">
        <f>VLOOKUP($A2279, 'Hospitalisation Details'!$A:$H, 7, FALSE)</f>
        <v>1178</v>
      </c>
      <c r="M2279" s="22" t="str">
        <f>VLOOKUP($A2279, 'Hospitalisation Details'!$A:$L, 12, FALSE)</f>
        <v>tier - 2</v>
      </c>
      <c r="N2279" s="22" t="str">
        <f>VLOOKUP($A2279, 'Hospitalisation Details'!$A:$M, 13, FALSE)</f>
        <v>tier - 3</v>
      </c>
      <c r="O2279" s="22" t="str">
        <f>VLOOKUP($A2279, 'Hospitalisation Details'!$A:$N, 14, FALSE)</f>
        <v>R1013</v>
      </c>
      <c r="P2279" s="36">
        <f>VLOOKUP($A2279, 'Hospitalisation Details'!$A:$O, 15, FALSE)</f>
        <v>26</v>
      </c>
    </row>
    <row r="2280" ht="15.75" customHeight="1">
      <c r="A2280" s="33" t="s">
        <v>4559</v>
      </c>
      <c r="B2280" s="22" t="str">
        <f>VLOOKUP($A2280,'Customer Names'!$A:$D,3, FALSE)</f>
        <v>King</v>
      </c>
      <c r="C2280" s="22">
        <f>VLOOKUP($A2280,'Medical Examinations'!$A:$D, 2, FALSE)</f>
        <v>19.32</v>
      </c>
      <c r="D2280" s="22">
        <f>VLOOKUP($A2280, 'Medical Examinations'!$A:$D,3, FALSE)</f>
        <v>4.96</v>
      </c>
      <c r="E2280" s="22" t="str">
        <f>VLOOKUP($A2280, 'Medical Examinations'!$A:$D, 4, FALSE)</f>
        <v>Yes</v>
      </c>
      <c r="F2280" s="22" t="str">
        <f>VLOOKUP($A2280, 'Medical Examinations'!$A:$J, 5, FALSE)</f>
        <v>No</v>
      </c>
      <c r="G2280" s="22" t="str">
        <f>VLOOKUP($A2280, 'Medical Examinations'!$A:$I, 6, FALSE)</f>
        <v>No</v>
      </c>
      <c r="H2280" s="22">
        <f>VLOOKUP($A2280,'Medical Examinations'!$A:$L,10, FALSE)</f>
        <v>0</v>
      </c>
      <c r="I2280" s="22" t="str">
        <f>VLOOKUP($A2280, 'Medical Examinations'!$A:$J, 9, FALSE)</f>
        <v>No</v>
      </c>
      <c r="J2280" s="22" t="str">
        <f>VLOOKUP($A2280, 'Medical Examinations'!$A:$P, 11, FALSE)</f>
        <v>NORMAL WEIGHT</v>
      </c>
      <c r="K2280" s="34">
        <v>25903.0</v>
      </c>
      <c r="L2280" s="35">
        <f>VLOOKUP($A2280, 'Hospitalisation Details'!$A:$H, 7, FALSE)</f>
        <v>1167</v>
      </c>
      <c r="M2280" s="22" t="str">
        <f>VLOOKUP($A2280, 'Hospitalisation Details'!$A:$L, 12, FALSE)</f>
        <v>tier - 2</v>
      </c>
      <c r="N2280" s="22" t="str">
        <f>VLOOKUP($A2280, 'Hospitalisation Details'!$A:$M, 13, FALSE)</f>
        <v>tier - 1</v>
      </c>
      <c r="O2280" s="22" t="str">
        <f>VLOOKUP($A2280, 'Hospitalisation Details'!$A:$N, 14, FALSE)</f>
        <v>R1013</v>
      </c>
      <c r="P2280" s="36">
        <f>VLOOKUP($A2280, 'Hospitalisation Details'!$A:$O, 15, FALSE)</f>
        <v>21</v>
      </c>
    </row>
    <row r="2281" ht="15.75" customHeight="1">
      <c r="A2281" s="33" t="s">
        <v>4561</v>
      </c>
      <c r="B2281" s="22" t="str">
        <f>VLOOKUP($A2281,'Customer Names'!$A:$D,3, FALSE)</f>
        <v>Haney</v>
      </c>
      <c r="C2281" s="22">
        <f>VLOOKUP($A2281,'Medical Examinations'!$A:$D, 2, FALSE)</f>
        <v>18.25</v>
      </c>
      <c r="D2281" s="22">
        <f>VLOOKUP($A2281, 'Medical Examinations'!$A:$D,3, FALSE)</f>
        <v>10.95</v>
      </c>
      <c r="E2281" s="22" t="str">
        <f>VLOOKUP($A2281, 'Medical Examinations'!$A:$D, 4, FALSE)</f>
        <v>No</v>
      </c>
      <c r="F2281" s="22" t="str">
        <f>VLOOKUP($A2281, 'Medical Examinations'!$A:$J, 5, FALSE)</f>
        <v>No</v>
      </c>
      <c r="G2281" s="22" t="str">
        <f>VLOOKUP($A2281, 'Medical Examinations'!$A:$I, 6, FALSE)</f>
        <v>No</v>
      </c>
      <c r="H2281" s="22">
        <f>VLOOKUP($A2281,'Medical Examinations'!$A:$L,10, FALSE)</f>
        <v>0</v>
      </c>
      <c r="I2281" s="22" t="str">
        <f>VLOOKUP($A2281, 'Medical Examinations'!$A:$J, 9, FALSE)</f>
        <v>No</v>
      </c>
      <c r="J2281" s="22" t="str">
        <f>VLOOKUP($A2281, 'Medical Examinations'!$A:$P, 11, FALSE)</f>
        <v>UNDERWEIGHT</v>
      </c>
      <c r="K2281" s="34">
        <v>24420.0</v>
      </c>
      <c r="L2281" s="35">
        <f>VLOOKUP($A2281, 'Hospitalisation Details'!$A:$H, 7, FALSE)</f>
        <v>1165</v>
      </c>
      <c r="M2281" s="22" t="str">
        <f>VLOOKUP($A2281, 'Hospitalisation Details'!$A:$L, 12, FALSE)</f>
        <v>tier - 2</v>
      </c>
      <c r="N2281" s="22" t="str">
        <f>VLOOKUP($A2281, 'Hospitalisation Details'!$A:$M, 13, FALSE)</f>
        <v>tier - 3</v>
      </c>
      <c r="O2281" s="22" t="str">
        <f>VLOOKUP($A2281, 'Hospitalisation Details'!$A:$N, 14, FALSE)</f>
        <v>R1012</v>
      </c>
      <c r="P2281" s="36">
        <f>VLOOKUP($A2281, 'Hospitalisation Details'!$A:$O, 15, FALSE)</f>
        <v>20</v>
      </c>
    </row>
    <row r="2282" ht="15.75" customHeight="1">
      <c r="A2282" s="33" t="s">
        <v>4563</v>
      </c>
      <c r="B2282" s="22" t="str">
        <f>VLOOKUP($A2282,'Customer Names'!$A:$D,3, FALSE)</f>
        <v>Boulay</v>
      </c>
      <c r="C2282" s="22">
        <f>VLOOKUP($A2282,'Medical Examinations'!$A:$D, 2, FALSE)</f>
        <v>53.13</v>
      </c>
      <c r="D2282" s="22">
        <f>VLOOKUP($A2282, 'Medical Examinations'!$A:$D,3, FALSE)</f>
        <v>4.44</v>
      </c>
      <c r="E2282" s="22" t="str">
        <f>VLOOKUP($A2282, 'Medical Examinations'!$A:$D, 4, FALSE)</f>
        <v>No</v>
      </c>
      <c r="F2282" s="22" t="str">
        <f>VLOOKUP($A2282, 'Medical Examinations'!$A:$J, 5, FALSE)</f>
        <v>Yes</v>
      </c>
      <c r="G2282" s="22" t="str">
        <f>VLOOKUP($A2282, 'Medical Examinations'!$A:$I, 6, FALSE)</f>
        <v>No</v>
      </c>
      <c r="H2282" s="22">
        <f>VLOOKUP($A2282,'Medical Examinations'!$A:$L,10, FALSE)</f>
        <v>1</v>
      </c>
      <c r="I2282" s="22" t="str">
        <f>VLOOKUP($A2282, 'Medical Examinations'!$A:$J, 9, FALSE)</f>
        <v>No</v>
      </c>
      <c r="J2282" s="22" t="str">
        <f>VLOOKUP($A2282, 'Medical Examinations'!$A:$P, 11, FALSE)</f>
        <v>OBESITY</v>
      </c>
      <c r="K2282" s="34">
        <v>24342.0</v>
      </c>
      <c r="L2282" s="35">
        <f>VLOOKUP($A2282, 'Hospitalisation Details'!$A:$H, 7, FALSE)</f>
        <v>1163.46</v>
      </c>
      <c r="M2282" s="22" t="str">
        <f>VLOOKUP($A2282, 'Hospitalisation Details'!$A:$L, 12, FALSE)</f>
        <v>tier - 2</v>
      </c>
      <c r="N2282" s="22" t="str">
        <f>VLOOKUP($A2282, 'Hospitalisation Details'!$A:$M, 13, FALSE)</f>
        <v>tier - 3</v>
      </c>
      <c r="O2282" s="22" t="str">
        <f>VLOOKUP($A2282, 'Hospitalisation Details'!$A:$N, 14, FALSE)</f>
        <v>R1013</v>
      </c>
      <c r="P2282" s="36">
        <f>VLOOKUP($A2282, 'Hospitalisation Details'!$A:$O, 15, FALSE)</f>
        <v>18</v>
      </c>
    </row>
    <row r="2283" ht="15.75" customHeight="1">
      <c r="A2283" s="33" t="s">
        <v>4565</v>
      </c>
      <c r="B2283" s="22" t="str">
        <f>VLOOKUP($A2283,'Customer Names'!$A:$D,3, FALSE)</f>
        <v>Peters</v>
      </c>
      <c r="C2283" s="22">
        <f>VLOOKUP($A2283,'Medical Examinations'!$A:$D, 2, FALSE)</f>
        <v>20.46</v>
      </c>
      <c r="D2283" s="22">
        <f>VLOOKUP($A2283, 'Medical Examinations'!$A:$D,3, FALSE)</f>
        <v>4.02</v>
      </c>
      <c r="E2283" s="22" t="str">
        <f>VLOOKUP($A2283, 'Medical Examinations'!$A:$D, 4, FALSE)</f>
        <v>No</v>
      </c>
      <c r="F2283" s="22" t="str">
        <f>VLOOKUP($A2283, 'Medical Examinations'!$A:$J, 5, FALSE)</f>
        <v>No</v>
      </c>
      <c r="G2283" s="22" t="str">
        <f>VLOOKUP($A2283, 'Medical Examinations'!$A:$I, 6, FALSE)</f>
        <v>No</v>
      </c>
      <c r="H2283" s="22">
        <f>VLOOKUP($A2283,'Medical Examinations'!$A:$L,10, FALSE)</f>
        <v>0</v>
      </c>
      <c r="I2283" s="22" t="str">
        <f>VLOOKUP($A2283, 'Medical Examinations'!$A:$J, 9, FALSE)</f>
        <v>No</v>
      </c>
      <c r="J2283" s="22" t="str">
        <f>VLOOKUP($A2283, 'Medical Examinations'!$A:$P, 11, FALSE)</f>
        <v>NORMAL WEIGHT</v>
      </c>
      <c r="K2283" s="34">
        <v>24294.0</v>
      </c>
      <c r="L2283" s="35">
        <f>VLOOKUP($A2283, 'Hospitalisation Details'!$A:$H, 7, FALSE)</f>
        <v>1158.32</v>
      </c>
      <c r="M2283" s="22" t="str">
        <f>VLOOKUP($A2283, 'Hospitalisation Details'!$A:$L, 12, FALSE)</f>
        <v>tier - 2</v>
      </c>
      <c r="N2283" s="22" t="str">
        <f>VLOOKUP($A2283, 'Hospitalisation Details'!$A:$M, 13, FALSE)</f>
        <v>tier - 1</v>
      </c>
      <c r="O2283" s="22" t="str">
        <f>VLOOKUP($A2283, 'Hospitalisation Details'!$A:$N, 14, FALSE)</f>
        <v>R1013</v>
      </c>
      <c r="P2283" s="36">
        <f>VLOOKUP($A2283, 'Hospitalisation Details'!$A:$O, 15, FALSE)</f>
        <v>28</v>
      </c>
    </row>
    <row r="2284" ht="15.75" customHeight="1">
      <c r="A2284" s="33" t="s">
        <v>4567</v>
      </c>
      <c r="B2284" s="22" t="str">
        <f>VLOOKUP($A2284,'Customer Names'!$A:$D,3, FALSE)</f>
        <v>Luy</v>
      </c>
      <c r="C2284" s="22">
        <f>VLOOKUP($A2284,'Medical Examinations'!$A:$D, 2, FALSE)</f>
        <v>43.01</v>
      </c>
      <c r="D2284" s="22">
        <f>VLOOKUP($A2284, 'Medical Examinations'!$A:$D,3, FALSE)</f>
        <v>5.44</v>
      </c>
      <c r="E2284" s="22" t="str">
        <f>VLOOKUP($A2284, 'Medical Examinations'!$A:$D, 4, FALSE)</f>
        <v>No</v>
      </c>
      <c r="F2284" s="22" t="str">
        <f>VLOOKUP($A2284, 'Medical Examinations'!$A:$J, 5, FALSE)</f>
        <v>Yes</v>
      </c>
      <c r="G2284" s="22" t="str">
        <f>VLOOKUP($A2284, 'Medical Examinations'!$A:$I, 6, FALSE)</f>
        <v>No</v>
      </c>
      <c r="H2284" s="22">
        <f>VLOOKUP($A2284,'Medical Examinations'!$A:$L,10, FALSE)</f>
        <v>1</v>
      </c>
      <c r="I2284" s="22" t="str">
        <f>VLOOKUP($A2284, 'Medical Examinations'!$A:$J, 9, FALSE)</f>
        <v>No</v>
      </c>
      <c r="J2284" s="22" t="str">
        <f>VLOOKUP($A2284, 'Medical Examinations'!$A:$P, 11, FALSE)</f>
        <v>OBESITY</v>
      </c>
      <c r="K2284" s="34">
        <v>34535.0</v>
      </c>
      <c r="L2284" s="35">
        <f>VLOOKUP($A2284, 'Hospitalisation Details'!$A:$H, 7, FALSE)</f>
        <v>1149.4</v>
      </c>
      <c r="M2284" s="22" t="str">
        <f>VLOOKUP($A2284, 'Hospitalisation Details'!$A:$L, 12, FALSE)</f>
        <v>tier - 2</v>
      </c>
      <c r="N2284" s="22" t="str">
        <f>VLOOKUP($A2284, 'Hospitalisation Details'!$A:$M, 13, FALSE)</f>
        <v>tier - 2</v>
      </c>
      <c r="O2284" s="22" t="str">
        <f>VLOOKUP($A2284, 'Hospitalisation Details'!$A:$N, 14, FALSE)</f>
        <v>R1013</v>
      </c>
      <c r="P2284" s="36">
        <f>VLOOKUP($A2284, 'Hospitalisation Details'!$A:$O, 15, FALSE)</f>
        <v>18</v>
      </c>
    </row>
    <row r="2285" ht="15.75" customHeight="1">
      <c r="A2285" s="33" t="s">
        <v>4569</v>
      </c>
      <c r="B2285" s="22" t="str">
        <f>VLOOKUP($A2285,'Customer Names'!$A:$D,3, FALSE)</f>
        <v>Fava</v>
      </c>
      <c r="C2285" s="22">
        <f>VLOOKUP($A2285,'Medical Examinations'!$A:$D, 2, FALSE)</f>
        <v>15.01</v>
      </c>
      <c r="D2285" s="22">
        <f>VLOOKUP($A2285, 'Medical Examinations'!$A:$D,3, FALSE)</f>
        <v>4.15</v>
      </c>
      <c r="E2285" s="22" t="str">
        <f>VLOOKUP($A2285, 'Medical Examinations'!$A:$D, 4, FALSE)</f>
        <v>No</v>
      </c>
      <c r="F2285" s="22" t="str">
        <f>VLOOKUP($A2285, 'Medical Examinations'!$A:$J, 5, FALSE)</f>
        <v>No</v>
      </c>
      <c r="G2285" s="22" t="str">
        <f>VLOOKUP($A2285, 'Medical Examinations'!$A:$I, 6, FALSE)</f>
        <v>Yes</v>
      </c>
      <c r="H2285" s="22">
        <f>VLOOKUP($A2285,'Medical Examinations'!$A:$L,10, FALSE)</f>
        <v>1</v>
      </c>
      <c r="I2285" s="22" t="str">
        <f>VLOOKUP($A2285, 'Medical Examinations'!$A:$J, 9, FALSE)</f>
        <v>No</v>
      </c>
      <c r="J2285" s="22" t="str">
        <f>VLOOKUP($A2285, 'Medical Examinations'!$A:$P, 11, FALSE)</f>
        <v>UNDERWEIGHT</v>
      </c>
      <c r="K2285" s="34">
        <v>24384.0</v>
      </c>
      <c r="L2285" s="35">
        <f>VLOOKUP($A2285, 'Hospitalisation Details'!$A:$H, 7, FALSE)</f>
        <v>1149</v>
      </c>
      <c r="M2285" s="22" t="str">
        <f>VLOOKUP($A2285, 'Hospitalisation Details'!$A:$L, 12, FALSE)</f>
        <v>tier - 2</v>
      </c>
      <c r="N2285" s="22" t="str">
        <f>VLOOKUP($A2285, 'Hospitalisation Details'!$A:$M, 13, FALSE)</f>
        <v>tier - 1</v>
      </c>
      <c r="O2285" s="22" t="str">
        <f>VLOOKUP($A2285, 'Hospitalisation Details'!$A:$N, 14, FALSE)</f>
        <v>R1012</v>
      </c>
      <c r="P2285" s="36">
        <f>VLOOKUP($A2285, 'Hospitalisation Details'!$A:$O, 15, FALSE)</f>
        <v>19</v>
      </c>
    </row>
    <row r="2286" ht="15.75" customHeight="1">
      <c r="A2286" s="33" t="s">
        <v>4571</v>
      </c>
      <c r="B2286" s="22" t="str">
        <f>VLOOKUP($A2286,'Customer Names'!$A:$D,3, FALSE)</f>
        <v>Montoya</v>
      </c>
      <c r="C2286" s="22">
        <f>VLOOKUP($A2286,'Medical Examinations'!$A:$D, 2, FALSE)</f>
        <v>41.14</v>
      </c>
      <c r="D2286" s="22">
        <f>VLOOKUP($A2286, 'Medical Examinations'!$A:$D,3, FALSE)</f>
        <v>6.02</v>
      </c>
      <c r="E2286" s="22" t="str">
        <f>VLOOKUP($A2286, 'Medical Examinations'!$A:$D, 4, FALSE)</f>
        <v>No</v>
      </c>
      <c r="F2286" s="22" t="str">
        <f>VLOOKUP($A2286, 'Medical Examinations'!$A:$J, 5, FALSE)</f>
        <v>Yes</v>
      </c>
      <c r="G2286" s="22" t="str">
        <f>VLOOKUP($A2286, 'Medical Examinations'!$A:$I, 6, FALSE)</f>
        <v>No</v>
      </c>
      <c r="H2286" s="22">
        <f>VLOOKUP($A2286,'Medical Examinations'!$A:$L,10, FALSE)</f>
        <v>1</v>
      </c>
      <c r="I2286" s="22" t="str">
        <f>VLOOKUP($A2286, 'Medical Examinations'!$A:$J, 9, FALSE)</f>
        <v>No</v>
      </c>
      <c r="J2286" s="22" t="str">
        <f>VLOOKUP($A2286, 'Medical Examinations'!$A:$P, 11, FALSE)</f>
        <v>OBESITY</v>
      </c>
      <c r="K2286" s="34">
        <v>31610.0</v>
      </c>
      <c r="L2286" s="35">
        <f>VLOOKUP($A2286, 'Hospitalisation Details'!$A:$H, 7, FALSE)</f>
        <v>1146.8</v>
      </c>
      <c r="M2286" s="22" t="str">
        <f>VLOOKUP($A2286, 'Hospitalisation Details'!$A:$L, 12, FALSE)</f>
        <v>tier - 2</v>
      </c>
      <c r="N2286" s="22" t="str">
        <f>VLOOKUP($A2286, 'Hospitalisation Details'!$A:$M, 13, FALSE)</f>
        <v>tier - 2</v>
      </c>
      <c r="O2286" s="22" t="str">
        <f>VLOOKUP($A2286, 'Hospitalisation Details'!$A:$N, 14, FALSE)</f>
        <v>R1013</v>
      </c>
      <c r="P2286" s="36">
        <f>VLOOKUP($A2286, 'Hospitalisation Details'!$A:$O, 15, FALSE)</f>
        <v>18</v>
      </c>
    </row>
    <row r="2287" ht="15.75" customHeight="1">
      <c r="A2287" s="33" t="s">
        <v>4573</v>
      </c>
      <c r="B2287" s="22" t="str">
        <f>VLOOKUP($A2287,'Customer Names'!$A:$D,3, FALSE)</f>
        <v>Bain</v>
      </c>
      <c r="C2287" s="22">
        <f>VLOOKUP($A2287,'Medical Examinations'!$A:$D, 2, FALSE)</f>
        <v>16.55</v>
      </c>
      <c r="D2287" s="22">
        <f>VLOOKUP($A2287, 'Medical Examinations'!$A:$D,3, FALSE)</f>
        <v>7.73</v>
      </c>
      <c r="E2287" s="22" t="str">
        <f>VLOOKUP($A2287, 'Medical Examinations'!$A:$D, 4, FALSE)</f>
        <v>No</v>
      </c>
      <c r="F2287" s="22" t="str">
        <f>VLOOKUP($A2287, 'Medical Examinations'!$A:$J, 5, FALSE)</f>
        <v>No</v>
      </c>
      <c r="G2287" s="22" t="str">
        <f>VLOOKUP($A2287, 'Medical Examinations'!$A:$I, 6, FALSE)</f>
        <v>No</v>
      </c>
      <c r="H2287" s="22">
        <f>VLOOKUP($A2287,'Medical Examinations'!$A:$L,10, FALSE)</f>
        <v>0</v>
      </c>
      <c r="I2287" s="22" t="str">
        <f>VLOOKUP($A2287, 'Medical Examinations'!$A:$J, 9, FALSE)</f>
        <v>No</v>
      </c>
      <c r="J2287" s="22" t="str">
        <f>VLOOKUP($A2287, 'Medical Examinations'!$A:$P, 11, FALSE)</f>
        <v>UNDERWEIGHT</v>
      </c>
      <c r="K2287" s="34">
        <v>23548.0</v>
      </c>
      <c r="L2287" s="35">
        <f>VLOOKUP($A2287, 'Hospitalisation Details'!$A:$H, 7, FALSE)</f>
        <v>1142</v>
      </c>
      <c r="M2287" s="22" t="str">
        <f>VLOOKUP($A2287, 'Hospitalisation Details'!$A:$L, 12, FALSE)</f>
        <v>tier - 3</v>
      </c>
      <c r="N2287" s="22" t="str">
        <f>VLOOKUP($A2287, 'Hospitalisation Details'!$A:$M, 13, FALSE)</f>
        <v>tier - 2</v>
      </c>
      <c r="O2287" s="22" t="str">
        <f>VLOOKUP($A2287, 'Hospitalisation Details'!$A:$N, 14, FALSE)</f>
        <v>R1011</v>
      </c>
      <c r="P2287" s="36">
        <f>VLOOKUP($A2287, 'Hospitalisation Details'!$A:$O, 15, FALSE)</f>
        <v>20</v>
      </c>
    </row>
    <row r="2288" ht="15.75" customHeight="1">
      <c r="A2288" s="33" t="s">
        <v>4575</v>
      </c>
      <c r="B2288" s="22" t="str">
        <f>VLOOKUP($A2288,'Customer Names'!$A:$D,3, FALSE)</f>
        <v>Albertson</v>
      </c>
      <c r="C2288" s="22">
        <f>VLOOKUP($A2288,'Medical Examinations'!$A:$D, 2, FALSE)</f>
        <v>37.29</v>
      </c>
      <c r="D2288" s="22">
        <f>VLOOKUP($A2288, 'Medical Examinations'!$A:$D,3, FALSE)</f>
        <v>5.03</v>
      </c>
      <c r="E2288" s="22" t="str">
        <f>VLOOKUP($A2288, 'Medical Examinations'!$A:$D, 4, FALSE)</f>
        <v>No</v>
      </c>
      <c r="F2288" s="22" t="str">
        <f>VLOOKUP($A2288, 'Medical Examinations'!$A:$J, 5, FALSE)</f>
        <v>Yes</v>
      </c>
      <c r="G2288" s="22" t="str">
        <f>VLOOKUP($A2288, 'Medical Examinations'!$A:$I, 6, FALSE)</f>
        <v>No</v>
      </c>
      <c r="H2288" s="22">
        <f>VLOOKUP($A2288,'Medical Examinations'!$A:$L,10, FALSE)</f>
        <v>1</v>
      </c>
      <c r="I2288" s="22" t="str">
        <f>VLOOKUP($A2288, 'Medical Examinations'!$A:$J, 9, FALSE)</f>
        <v>No</v>
      </c>
      <c r="J2288" s="22" t="str">
        <f>VLOOKUP($A2288, 'Medical Examinations'!$A:$P, 11, FALSE)</f>
        <v>OBESITY</v>
      </c>
      <c r="K2288" s="34">
        <v>24052.0</v>
      </c>
      <c r="L2288" s="35">
        <f>VLOOKUP($A2288, 'Hospitalisation Details'!$A:$H, 7, FALSE)</f>
        <v>1141.45</v>
      </c>
      <c r="M2288" s="22" t="str">
        <f>VLOOKUP($A2288, 'Hospitalisation Details'!$A:$L, 12, FALSE)</f>
        <v>tier - 3</v>
      </c>
      <c r="N2288" s="22" t="str">
        <f>VLOOKUP($A2288, 'Hospitalisation Details'!$A:$M, 13, FALSE)</f>
        <v>tier - 3</v>
      </c>
      <c r="O2288" s="22" t="str">
        <f>VLOOKUP($A2288, 'Hospitalisation Details'!$A:$N, 14, FALSE)</f>
        <v>R1013</v>
      </c>
      <c r="P2288" s="36">
        <f>VLOOKUP($A2288, 'Hospitalisation Details'!$A:$O, 15, FALSE)</f>
        <v>18</v>
      </c>
    </row>
    <row r="2289" ht="15.75" customHeight="1">
      <c r="A2289" s="33" t="s">
        <v>4577</v>
      </c>
      <c r="B2289" s="22" t="str">
        <f>VLOOKUP($A2289,'Customer Names'!$A:$D,3, FALSE)</f>
        <v>Barger</v>
      </c>
      <c r="C2289" s="22">
        <f>VLOOKUP($A2289,'Medical Examinations'!$A:$D, 2, FALSE)</f>
        <v>16.74</v>
      </c>
      <c r="D2289" s="22">
        <f>VLOOKUP($A2289, 'Medical Examinations'!$A:$D,3, FALSE)</f>
        <v>4.08</v>
      </c>
      <c r="E2289" s="22" t="str">
        <f>VLOOKUP($A2289, 'Medical Examinations'!$A:$D, 4, FALSE)</f>
        <v>Yes</v>
      </c>
      <c r="F2289" s="22" t="str">
        <f>VLOOKUP($A2289, 'Medical Examinations'!$A:$J, 5, FALSE)</f>
        <v>No</v>
      </c>
      <c r="G2289" s="22" t="str">
        <f>VLOOKUP($A2289, 'Medical Examinations'!$A:$I, 6, FALSE)</f>
        <v>No</v>
      </c>
      <c r="H2289" s="22">
        <f>VLOOKUP($A2289,'Medical Examinations'!$A:$L,10, FALSE)</f>
        <v>0</v>
      </c>
      <c r="I2289" s="22" t="str">
        <f>VLOOKUP($A2289, 'Medical Examinations'!$A:$J, 9, FALSE)</f>
        <v>No</v>
      </c>
      <c r="J2289" s="22" t="str">
        <f>VLOOKUP($A2289, 'Medical Examinations'!$A:$P, 11, FALSE)</f>
        <v>UNDERWEIGHT</v>
      </c>
      <c r="K2289" s="34">
        <v>24101.0</v>
      </c>
      <c r="L2289" s="35">
        <f>VLOOKUP($A2289, 'Hospitalisation Details'!$A:$H, 7, FALSE)</f>
        <v>1141</v>
      </c>
      <c r="M2289" s="22" t="str">
        <f>VLOOKUP($A2289, 'Hospitalisation Details'!$A:$L, 12, FALSE)</f>
        <v>tier - 3</v>
      </c>
      <c r="N2289" s="22" t="str">
        <f>VLOOKUP($A2289, 'Hospitalisation Details'!$A:$M, 13, FALSE)</f>
        <v>tier - 1</v>
      </c>
      <c r="O2289" s="22" t="str">
        <f>VLOOKUP($A2289, 'Hospitalisation Details'!$A:$N, 14, FALSE)</f>
        <v>R1013</v>
      </c>
      <c r="P2289" s="36">
        <f>VLOOKUP($A2289, 'Hospitalisation Details'!$A:$O, 15, FALSE)</f>
        <v>21</v>
      </c>
    </row>
    <row r="2290" ht="15.75" customHeight="1">
      <c r="A2290" s="33" t="s">
        <v>4579</v>
      </c>
      <c r="B2290" s="22" t="str">
        <f>VLOOKUP($A2290,'Customer Names'!$A:$D,3, FALSE)</f>
        <v>Fraioli</v>
      </c>
      <c r="C2290" s="22">
        <f>VLOOKUP($A2290,'Medical Examinations'!$A:$D, 2, FALSE)</f>
        <v>34.43</v>
      </c>
      <c r="D2290" s="22">
        <f>VLOOKUP($A2290, 'Medical Examinations'!$A:$D,3, FALSE)</f>
        <v>4.27</v>
      </c>
      <c r="E2290" s="22" t="str">
        <f>VLOOKUP($A2290, 'Medical Examinations'!$A:$D, 4, FALSE)</f>
        <v>No</v>
      </c>
      <c r="F2290" s="22" t="str">
        <f>VLOOKUP($A2290, 'Medical Examinations'!$A:$J, 5, FALSE)</f>
        <v>Yes</v>
      </c>
      <c r="G2290" s="22" t="str">
        <f>VLOOKUP($A2290, 'Medical Examinations'!$A:$I, 6, FALSE)</f>
        <v>No</v>
      </c>
      <c r="H2290" s="22">
        <f>VLOOKUP($A2290,'Medical Examinations'!$A:$L,10, FALSE)</f>
        <v>1</v>
      </c>
      <c r="I2290" s="22" t="str">
        <f>VLOOKUP($A2290, 'Medical Examinations'!$A:$J, 9, FALSE)</f>
        <v>No</v>
      </c>
      <c r="J2290" s="22" t="str">
        <f>VLOOKUP($A2290, 'Medical Examinations'!$A:$P, 11, FALSE)</f>
        <v>OBESITY</v>
      </c>
      <c r="K2290" s="34">
        <v>25836.0</v>
      </c>
      <c r="L2290" s="35">
        <f>VLOOKUP($A2290, 'Hospitalisation Details'!$A:$H, 7, FALSE)</f>
        <v>1137.47</v>
      </c>
      <c r="M2290" s="22" t="str">
        <f>VLOOKUP($A2290, 'Hospitalisation Details'!$A:$L, 12, FALSE)</f>
        <v>tier - 3</v>
      </c>
      <c r="N2290" s="22" t="str">
        <f>VLOOKUP($A2290, 'Hospitalisation Details'!$A:$M, 13, FALSE)</f>
        <v>tier - 2</v>
      </c>
      <c r="O2290" s="22" t="str">
        <f>VLOOKUP($A2290, 'Hospitalisation Details'!$A:$N, 14, FALSE)</f>
        <v>R1013</v>
      </c>
      <c r="P2290" s="36">
        <f>VLOOKUP($A2290, 'Hospitalisation Details'!$A:$O, 15, FALSE)</f>
        <v>18</v>
      </c>
    </row>
    <row r="2291" ht="15.75" customHeight="1">
      <c r="A2291" s="33" t="s">
        <v>4581</v>
      </c>
      <c r="B2291" s="22" t="str">
        <f>VLOOKUP($A2291,'Customer Names'!$A:$D,3, FALSE)</f>
        <v>April</v>
      </c>
      <c r="C2291" s="22">
        <f>VLOOKUP($A2291,'Medical Examinations'!$A:$D, 2, FALSE)</f>
        <v>34.1</v>
      </c>
      <c r="D2291" s="22">
        <f>VLOOKUP($A2291, 'Medical Examinations'!$A:$D,3, FALSE)</f>
        <v>4.07</v>
      </c>
      <c r="E2291" s="22" t="str">
        <f>VLOOKUP($A2291, 'Medical Examinations'!$A:$D, 4, FALSE)</f>
        <v>No</v>
      </c>
      <c r="F2291" s="22" t="str">
        <f>VLOOKUP($A2291, 'Medical Examinations'!$A:$J, 5, FALSE)</f>
        <v>Yes</v>
      </c>
      <c r="G2291" s="22" t="str">
        <f>VLOOKUP($A2291, 'Medical Examinations'!$A:$I, 6, FALSE)</f>
        <v>No</v>
      </c>
      <c r="H2291" s="22">
        <f>VLOOKUP($A2291,'Medical Examinations'!$A:$L,10, FALSE)</f>
        <v>1</v>
      </c>
      <c r="I2291" s="22" t="str">
        <f>VLOOKUP($A2291, 'Medical Examinations'!$A:$J, 9, FALSE)</f>
        <v>No</v>
      </c>
      <c r="J2291" s="22" t="str">
        <f>VLOOKUP($A2291, 'Medical Examinations'!$A:$P, 11, FALSE)</f>
        <v>OBESITY</v>
      </c>
      <c r="K2291" s="34">
        <v>24042.0</v>
      </c>
      <c r="L2291" s="35">
        <f>VLOOKUP($A2291, 'Hospitalisation Details'!$A:$H, 7, FALSE)</f>
        <v>1137.01</v>
      </c>
      <c r="M2291" s="22" t="str">
        <f>VLOOKUP($A2291, 'Hospitalisation Details'!$A:$L, 12, FALSE)</f>
        <v>tier - 3</v>
      </c>
      <c r="N2291" s="22" t="str">
        <f>VLOOKUP($A2291, 'Hospitalisation Details'!$A:$M, 13, FALSE)</f>
        <v>tier - 1</v>
      </c>
      <c r="O2291" s="22" t="str">
        <f>VLOOKUP($A2291, 'Hospitalisation Details'!$A:$N, 14, FALSE)</f>
        <v>R1013</v>
      </c>
      <c r="P2291" s="36">
        <f>VLOOKUP($A2291, 'Hospitalisation Details'!$A:$O, 15, FALSE)</f>
        <v>18</v>
      </c>
    </row>
    <row r="2292" ht="15.75" customHeight="1">
      <c r="A2292" s="33" t="s">
        <v>4583</v>
      </c>
      <c r="B2292" s="22" t="str">
        <f>VLOOKUP($A2292,'Customer Names'!$A:$D,3, FALSE)</f>
        <v>King</v>
      </c>
      <c r="C2292" s="22">
        <f>VLOOKUP($A2292,'Medical Examinations'!$A:$D, 2, FALSE)</f>
        <v>19.3</v>
      </c>
      <c r="D2292" s="22">
        <f>VLOOKUP($A2292, 'Medical Examinations'!$A:$D,3, FALSE)</f>
        <v>10.36</v>
      </c>
      <c r="E2292" s="22" t="str">
        <f>VLOOKUP($A2292, 'Medical Examinations'!$A:$D, 4, FALSE)</f>
        <v>No</v>
      </c>
      <c r="F2292" s="22" t="str">
        <f>VLOOKUP($A2292, 'Medical Examinations'!$A:$J, 5, FALSE)</f>
        <v>No</v>
      </c>
      <c r="G2292" s="22" t="str">
        <f>VLOOKUP($A2292, 'Medical Examinations'!$A:$I, 6, FALSE)</f>
        <v>No</v>
      </c>
      <c r="H2292" s="22">
        <f>VLOOKUP($A2292,'Medical Examinations'!$A:$L,10, FALSE)</f>
        <v>0</v>
      </c>
      <c r="I2292" s="22" t="str">
        <f>VLOOKUP($A2292, 'Medical Examinations'!$A:$J, 9, FALSE)</f>
        <v>No</v>
      </c>
      <c r="J2292" s="22" t="str">
        <f>VLOOKUP($A2292, 'Medical Examinations'!$A:$P, 11, FALSE)</f>
        <v>NORMAL WEIGHT</v>
      </c>
      <c r="K2292" s="34">
        <v>26868.0</v>
      </c>
      <c r="L2292" s="35">
        <f>VLOOKUP($A2292, 'Hospitalisation Details'!$A:$H, 7, FALSE)</f>
        <v>1137</v>
      </c>
      <c r="M2292" s="22" t="str">
        <f>VLOOKUP($A2292, 'Hospitalisation Details'!$A:$L, 12, FALSE)</f>
        <v>tier - 3</v>
      </c>
      <c r="N2292" s="22" t="str">
        <f>VLOOKUP($A2292, 'Hospitalisation Details'!$A:$M, 13, FALSE)</f>
        <v>tier - 1</v>
      </c>
      <c r="O2292" s="22" t="str">
        <f>VLOOKUP($A2292, 'Hospitalisation Details'!$A:$N, 14, FALSE)</f>
        <v>R1013</v>
      </c>
      <c r="P2292" s="36">
        <f>VLOOKUP($A2292, 'Hospitalisation Details'!$A:$O, 15, FALSE)</f>
        <v>20</v>
      </c>
    </row>
    <row r="2293" ht="15.75" customHeight="1">
      <c r="A2293" s="33" t="s">
        <v>4585</v>
      </c>
      <c r="B2293" s="22" t="str">
        <f>VLOOKUP($A2293,'Customer Names'!$A:$D,3, FALSE)</f>
        <v>Talhelm</v>
      </c>
      <c r="C2293" s="22">
        <f>VLOOKUP($A2293,'Medical Examinations'!$A:$D, 2, FALSE)</f>
        <v>33.66</v>
      </c>
      <c r="D2293" s="22">
        <f>VLOOKUP($A2293, 'Medical Examinations'!$A:$D,3, FALSE)</f>
        <v>5.71</v>
      </c>
      <c r="E2293" s="22" t="str">
        <f>VLOOKUP($A2293, 'Medical Examinations'!$A:$D, 4, FALSE)</f>
        <v>No</v>
      </c>
      <c r="F2293" s="22" t="str">
        <f>VLOOKUP($A2293, 'Medical Examinations'!$A:$J, 5, FALSE)</f>
        <v>Yes</v>
      </c>
      <c r="G2293" s="22" t="str">
        <f>VLOOKUP($A2293, 'Medical Examinations'!$A:$I, 6, FALSE)</f>
        <v>No</v>
      </c>
      <c r="H2293" s="22">
        <f>VLOOKUP($A2293,'Medical Examinations'!$A:$L,10, FALSE)</f>
        <v>1</v>
      </c>
      <c r="I2293" s="22" t="str">
        <f>VLOOKUP($A2293, 'Medical Examinations'!$A:$J, 9, FALSE)</f>
        <v>No</v>
      </c>
      <c r="J2293" s="22" t="str">
        <f>VLOOKUP($A2293, 'Medical Examinations'!$A:$P, 11, FALSE)</f>
        <v>OBESITY</v>
      </c>
      <c r="K2293" s="34">
        <v>26268.0</v>
      </c>
      <c r="L2293" s="35">
        <f>VLOOKUP($A2293, 'Hospitalisation Details'!$A:$H, 7, FALSE)</f>
        <v>1136.4</v>
      </c>
      <c r="M2293" s="22" t="str">
        <f>VLOOKUP($A2293, 'Hospitalisation Details'!$A:$L, 12, FALSE)</f>
        <v>tier - 3</v>
      </c>
      <c r="N2293" s="22" t="str">
        <f>VLOOKUP($A2293, 'Hospitalisation Details'!$A:$M, 13, FALSE)</f>
        <v>tier - 3</v>
      </c>
      <c r="O2293" s="22" t="str">
        <f>VLOOKUP($A2293, 'Hospitalisation Details'!$A:$N, 14, FALSE)</f>
        <v>R1013</v>
      </c>
      <c r="P2293" s="36">
        <f>VLOOKUP($A2293, 'Hospitalisation Details'!$A:$O, 15, FALSE)</f>
        <v>18</v>
      </c>
    </row>
    <row r="2294" ht="15.75" customHeight="1">
      <c r="A2294" s="33" t="s">
        <v>4587</v>
      </c>
      <c r="B2294" s="22" t="str">
        <f>VLOOKUP($A2294,'Customer Names'!$A:$D,3, FALSE)</f>
        <v>Regnier</v>
      </c>
      <c r="C2294" s="22">
        <f>VLOOKUP($A2294,'Medical Examinations'!$A:$D, 2, FALSE)</f>
        <v>33.33</v>
      </c>
      <c r="D2294" s="22">
        <f>VLOOKUP($A2294, 'Medical Examinations'!$A:$D,3, FALSE)</f>
        <v>6.08</v>
      </c>
      <c r="E2294" s="22" t="str">
        <f>VLOOKUP($A2294, 'Medical Examinations'!$A:$D, 4, FALSE)</f>
        <v>No</v>
      </c>
      <c r="F2294" s="22" t="str">
        <f>VLOOKUP($A2294, 'Medical Examinations'!$A:$J, 5, FALSE)</f>
        <v>Yes</v>
      </c>
      <c r="G2294" s="22" t="str">
        <f>VLOOKUP($A2294, 'Medical Examinations'!$A:$I, 6, FALSE)</f>
        <v>No</v>
      </c>
      <c r="H2294" s="22">
        <f>VLOOKUP($A2294,'Medical Examinations'!$A:$L,10, FALSE)</f>
        <v>1</v>
      </c>
      <c r="I2294" s="22" t="str">
        <f>VLOOKUP($A2294, 'Medical Examinations'!$A:$J, 9, FALSE)</f>
        <v>No</v>
      </c>
      <c r="J2294" s="22" t="str">
        <f>VLOOKUP($A2294, 'Medical Examinations'!$A:$P, 11, FALSE)</f>
        <v>OBESITY</v>
      </c>
      <c r="K2294" s="34">
        <v>25156.0</v>
      </c>
      <c r="L2294" s="35">
        <f>VLOOKUP($A2294, 'Hospitalisation Details'!$A:$H, 7, FALSE)</f>
        <v>1135.94</v>
      </c>
      <c r="M2294" s="22" t="str">
        <f>VLOOKUP($A2294, 'Hospitalisation Details'!$A:$L, 12, FALSE)</f>
        <v>tier - 3</v>
      </c>
      <c r="N2294" s="22" t="str">
        <f>VLOOKUP($A2294, 'Hospitalisation Details'!$A:$M, 13, FALSE)</f>
        <v>tier - 3</v>
      </c>
      <c r="O2294" s="22" t="str">
        <f>VLOOKUP($A2294, 'Hospitalisation Details'!$A:$N, 14, FALSE)</f>
        <v>R1013</v>
      </c>
      <c r="P2294" s="36">
        <f>VLOOKUP($A2294, 'Hospitalisation Details'!$A:$O, 15, FALSE)</f>
        <v>18</v>
      </c>
    </row>
    <row r="2295" ht="15.75" customHeight="1">
      <c r="A2295" s="33" t="s">
        <v>4589</v>
      </c>
      <c r="B2295" s="22" t="str">
        <f>VLOOKUP($A2295,'Customer Names'!$A:$D,3, FALSE)</f>
        <v>Treece</v>
      </c>
      <c r="C2295" s="22">
        <f>VLOOKUP($A2295,'Medical Examinations'!$A:$D, 2, FALSE)</f>
        <v>21.84</v>
      </c>
      <c r="D2295" s="22">
        <f>VLOOKUP($A2295, 'Medical Examinations'!$A:$D,3, FALSE)</f>
        <v>5.71</v>
      </c>
      <c r="E2295" s="22" t="str">
        <f>VLOOKUP($A2295, 'Medical Examinations'!$A:$D, 4, FALSE)</f>
        <v>No</v>
      </c>
      <c r="F2295" s="22" t="str">
        <f>VLOOKUP($A2295, 'Medical Examinations'!$A:$J, 5, FALSE)</f>
        <v>Yes</v>
      </c>
      <c r="G2295" s="22" t="str">
        <f>VLOOKUP($A2295, 'Medical Examinations'!$A:$I, 6, FALSE)</f>
        <v>No</v>
      </c>
      <c r="H2295" s="22">
        <f>VLOOKUP($A2295,'Medical Examinations'!$A:$L,10, FALSE)</f>
        <v>1</v>
      </c>
      <c r="I2295" s="22" t="str">
        <f>VLOOKUP($A2295, 'Medical Examinations'!$A:$J, 9, FALSE)</f>
        <v>No</v>
      </c>
      <c r="J2295" s="22" t="str">
        <f>VLOOKUP($A2295, 'Medical Examinations'!$A:$P, 11, FALSE)</f>
        <v>NORMAL WEIGHT</v>
      </c>
      <c r="K2295" s="34">
        <v>24018.0</v>
      </c>
      <c r="L2295" s="35">
        <f>VLOOKUP($A2295, 'Hospitalisation Details'!$A:$H, 7, FALSE)</f>
        <v>1135</v>
      </c>
      <c r="M2295" s="22" t="str">
        <f>VLOOKUP($A2295, 'Hospitalisation Details'!$A:$L, 12, FALSE)</f>
        <v>tier - 3</v>
      </c>
      <c r="N2295" s="22" t="str">
        <f>VLOOKUP($A2295, 'Hospitalisation Details'!$A:$M, 13, FALSE)</f>
        <v>tier - 3</v>
      </c>
      <c r="O2295" s="22" t="str">
        <f>VLOOKUP($A2295, 'Hospitalisation Details'!$A:$N, 14, FALSE)</f>
        <v>R1013</v>
      </c>
      <c r="P2295" s="36">
        <f>VLOOKUP($A2295, 'Hospitalisation Details'!$A:$O, 15, FALSE)</f>
        <v>18</v>
      </c>
    </row>
    <row r="2296" ht="15.75" customHeight="1">
      <c r="A2296" s="33" t="s">
        <v>4591</v>
      </c>
      <c r="B2296" s="22" t="str">
        <f>VLOOKUP($A2296,'Customer Names'!$A:$D,3, FALSE)</f>
        <v>Beisel</v>
      </c>
      <c r="C2296" s="22">
        <f>VLOOKUP($A2296,'Medical Examinations'!$A:$D, 2, FALSE)</f>
        <v>16.87</v>
      </c>
      <c r="D2296" s="22">
        <f>VLOOKUP($A2296, 'Medical Examinations'!$A:$D,3, FALSE)</f>
        <v>9.13</v>
      </c>
      <c r="E2296" s="22" t="str">
        <f>VLOOKUP($A2296, 'Medical Examinations'!$A:$D, 4, FALSE)</f>
        <v>No</v>
      </c>
      <c r="F2296" s="22" t="str">
        <f>VLOOKUP($A2296, 'Medical Examinations'!$A:$J, 5, FALSE)</f>
        <v>No</v>
      </c>
      <c r="G2296" s="22" t="str">
        <f>VLOOKUP($A2296, 'Medical Examinations'!$A:$I, 6, FALSE)</f>
        <v>No</v>
      </c>
      <c r="H2296" s="22">
        <f>VLOOKUP($A2296,'Medical Examinations'!$A:$L,10, FALSE)</f>
        <v>0</v>
      </c>
      <c r="I2296" s="22" t="str">
        <f>VLOOKUP($A2296, 'Medical Examinations'!$A:$J, 9, FALSE)</f>
        <v>No</v>
      </c>
      <c r="J2296" s="22" t="str">
        <f>VLOOKUP($A2296, 'Medical Examinations'!$A:$P, 11, FALSE)</f>
        <v>UNDERWEIGHT</v>
      </c>
      <c r="K2296" s="34">
        <v>25772.0</v>
      </c>
      <c r="L2296" s="35">
        <f>VLOOKUP($A2296, 'Hospitalisation Details'!$A:$H, 7, FALSE)</f>
        <v>1132</v>
      </c>
      <c r="M2296" s="22" t="str">
        <f>VLOOKUP($A2296, 'Hospitalisation Details'!$A:$L, 12, FALSE)</f>
        <v>tier - 3</v>
      </c>
      <c r="N2296" s="22" t="str">
        <f>VLOOKUP($A2296, 'Hospitalisation Details'!$A:$M, 13, FALSE)</f>
        <v>tier - 1</v>
      </c>
      <c r="O2296" s="22" t="str">
        <f>VLOOKUP($A2296, 'Hospitalisation Details'!$A:$N, 14, FALSE)</f>
        <v>R1013</v>
      </c>
      <c r="P2296" s="36">
        <f>VLOOKUP($A2296, 'Hospitalisation Details'!$A:$O, 15, FALSE)</f>
        <v>20</v>
      </c>
    </row>
    <row r="2297" ht="15.75" customHeight="1">
      <c r="A2297" s="33" t="s">
        <v>4593</v>
      </c>
      <c r="B2297" s="22" t="str">
        <f>VLOOKUP($A2297,'Customer Names'!$A:$D,3, FALSE)</f>
        <v>Enke</v>
      </c>
      <c r="C2297" s="22">
        <f>VLOOKUP($A2297,'Medical Examinations'!$A:$D, 2, FALSE)</f>
        <v>30.14</v>
      </c>
      <c r="D2297" s="22">
        <f>VLOOKUP($A2297, 'Medical Examinations'!$A:$D,3, FALSE)</f>
        <v>5.49</v>
      </c>
      <c r="E2297" s="22" t="str">
        <f>VLOOKUP($A2297, 'Medical Examinations'!$A:$D, 4, FALSE)</f>
        <v>No</v>
      </c>
      <c r="F2297" s="22" t="str">
        <f>VLOOKUP($A2297, 'Medical Examinations'!$A:$J, 5, FALSE)</f>
        <v>Yes</v>
      </c>
      <c r="G2297" s="22" t="str">
        <f>VLOOKUP($A2297, 'Medical Examinations'!$A:$I, 6, FALSE)</f>
        <v>No</v>
      </c>
      <c r="H2297" s="22">
        <f>VLOOKUP($A2297,'Medical Examinations'!$A:$L,10, FALSE)</f>
        <v>1</v>
      </c>
      <c r="I2297" s="22" t="str">
        <f>VLOOKUP($A2297, 'Medical Examinations'!$A:$J, 9, FALSE)</f>
        <v>No</v>
      </c>
      <c r="J2297" s="22" t="str">
        <f>VLOOKUP($A2297, 'Medical Examinations'!$A:$P, 11, FALSE)</f>
        <v>OBESITY</v>
      </c>
      <c r="K2297" s="34">
        <v>32306.0</v>
      </c>
      <c r="L2297" s="35">
        <f>VLOOKUP($A2297, 'Hospitalisation Details'!$A:$H, 7, FALSE)</f>
        <v>1131.51</v>
      </c>
      <c r="M2297" s="22" t="str">
        <f>VLOOKUP($A2297, 'Hospitalisation Details'!$A:$L, 12, FALSE)</f>
        <v>tier - 3</v>
      </c>
      <c r="N2297" s="22" t="str">
        <f>VLOOKUP($A2297, 'Hospitalisation Details'!$A:$M, 13, FALSE)</f>
        <v>tier - 1</v>
      </c>
      <c r="O2297" s="22" t="str">
        <f>VLOOKUP($A2297, 'Hospitalisation Details'!$A:$N, 14, FALSE)</f>
        <v>R1013</v>
      </c>
      <c r="P2297" s="36">
        <f>VLOOKUP($A2297, 'Hospitalisation Details'!$A:$O, 15, FALSE)</f>
        <v>18</v>
      </c>
    </row>
    <row r="2298" ht="15.75" customHeight="1">
      <c r="A2298" s="33" t="s">
        <v>4595</v>
      </c>
      <c r="B2298" s="22" t="str">
        <f>VLOOKUP($A2298,'Customer Names'!$A:$D,3, FALSE)</f>
        <v>Ruiz-Tagl</v>
      </c>
      <c r="C2298" s="22">
        <f>VLOOKUP($A2298,'Medical Examinations'!$A:$D, 2, FALSE)</f>
        <v>23.21</v>
      </c>
      <c r="D2298" s="22">
        <f>VLOOKUP($A2298, 'Medical Examinations'!$A:$D,3, FALSE)</f>
        <v>4.37</v>
      </c>
      <c r="E2298" s="22" t="str">
        <f>VLOOKUP($A2298, 'Medical Examinations'!$A:$D, 4, FALSE)</f>
        <v>No</v>
      </c>
      <c r="F2298" s="22" t="str">
        <f>VLOOKUP($A2298, 'Medical Examinations'!$A:$J, 5, FALSE)</f>
        <v>Yes</v>
      </c>
      <c r="G2298" s="22" t="str">
        <f>VLOOKUP($A2298, 'Medical Examinations'!$A:$I, 6, FALSE)</f>
        <v>No</v>
      </c>
      <c r="H2298" s="22">
        <f>VLOOKUP($A2298,'Medical Examinations'!$A:$L,10, FALSE)</f>
        <v>1</v>
      </c>
      <c r="I2298" s="22" t="str">
        <f>VLOOKUP($A2298, 'Medical Examinations'!$A:$J, 9, FALSE)</f>
        <v>No</v>
      </c>
      <c r="J2298" s="22" t="str">
        <f>VLOOKUP($A2298, 'Medical Examinations'!$A:$P, 11, FALSE)</f>
        <v>NORMAL WEIGHT</v>
      </c>
      <c r="K2298" s="34">
        <v>26286.0</v>
      </c>
      <c r="L2298" s="35">
        <f>VLOOKUP($A2298, 'Hospitalisation Details'!$A:$H, 7, FALSE)</f>
        <v>1121.87</v>
      </c>
      <c r="M2298" s="22" t="str">
        <f>VLOOKUP($A2298, 'Hospitalisation Details'!$A:$L, 12, FALSE)</f>
        <v>tier - 3</v>
      </c>
      <c r="N2298" s="22" t="str">
        <f>VLOOKUP($A2298, 'Hospitalisation Details'!$A:$M, 13, FALSE)</f>
        <v>tier - 1</v>
      </c>
      <c r="O2298" s="22" t="str">
        <f>VLOOKUP($A2298, 'Hospitalisation Details'!$A:$N, 14, FALSE)</f>
        <v>R1013</v>
      </c>
      <c r="P2298" s="36">
        <f>VLOOKUP($A2298, 'Hospitalisation Details'!$A:$O, 15, FALSE)</f>
        <v>18</v>
      </c>
    </row>
    <row r="2299" ht="15.75" customHeight="1">
      <c r="A2299" s="33" t="s">
        <v>4597</v>
      </c>
      <c r="B2299" s="22" t="str">
        <f>VLOOKUP($A2299,'Customer Names'!$A:$D,3, FALSE)</f>
        <v>Ferrell</v>
      </c>
      <c r="C2299" s="22">
        <f>VLOOKUP($A2299,'Medical Examinations'!$A:$D, 2, FALSE)</f>
        <v>17.17</v>
      </c>
      <c r="D2299" s="22">
        <f>VLOOKUP($A2299, 'Medical Examinations'!$A:$D,3, FALSE)</f>
        <v>8.46</v>
      </c>
      <c r="E2299" s="22" t="str">
        <f>VLOOKUP($A2299, 'Medical Examinations'!$A:$D, 4, FALSE)</f>
        <v>No</v>
      </c>
      <c r="F2299" s="22" t="str">
        <f>VLOOKUP($A2299, 'Medical Examinations'!$A:$J, 5, FALSE)</f>
        <v>No</v>
      </c>
      <c r="G2299" s="22" t="str">
        <f>VLOOKUP($A2299, 'Medical Examinations'!$A:$I, 6, FALSE)</f>
        <v>No</v>
      </c>
      <c r="H2299" s="22">
        <f>VLOOKUP($A2299,'Medical Examinations'!$A:$L,10, FALSE)</f>
        <v>0</v>
      </c>
      <c r="I2299" s="22" t="str">
        <f>VLOOKUP($A2299, 'Medical Examinations'!$A:$J, 9, FALSE)</f>
        <v>No</v>
      </c>
      <c r="J2299" s="22" t="str">
        <f>VLOOKUP($A2299, 'Medical Examinations'!$A:$P, 11, FALSE)</f>
        <v>UNDERWEIGHT</v>
      </c>
      <c r="K2299" s="34">
        <v>25013.0</v>
      </c>
      <c r="L2299" s="35">
        <f>VLOOKUP($A2299, 'Hospitalisation Details'!$A:$H, 7, FALSE)</f>
        <v>1086</v>
      </c>
      <c r="M2299" s="22" t="str">
        <f>VLOOKUP($A2299, 'Hospitalisation Details'!$A:$L, 12, FALSE)</f>
        <v>tier - 3</v>
      </c>
      <c r="N2299" s="22" t="str">
        <f>VLOOKUP($A2299, 'Hospitalisation Details'!$A:$M, 13, FALSE)</f>
        <v>tier - 3</v>
      </c>
      <c r="O2299" s="22" t="str">
        <f>VLOOKUP($A2299, 'Hospitalisation Details'!$A:$N, 14, FALSE)</f>
        <v>R1013</v>
      </c>
      <c r="P2299" s="36">
        <f>VLOOKUP($A2299, 'Hospitalisation Details'!$A:$O, 15, FALSE)</f>
        <v>20</v>
      </c>
    </row>
    <row r="2300" ht="15.75" customHeight="1">
      <c r="A2300" s="33" t="s">
        <v>4599</v>
      </c>
      <c r="B2300" s="22" t="str">
        <f>VLOOKUP($A2300,'Customer Names'!$A:$D,3, FALSE)</f>
        <v>Gates</v>
      </c>
      <c r="C2300" s="22">
        <f>VLOOKUP($A2300,'Medical Examinations'!$A:$D, 2, FALSE)</f>
        <v>15.61</v>
      </c>
      <c r="D2300" s="22">
        <f>VLOOKUP($A2300, 'Medical Examinations'!$A:$D,3, FALSE)</f>
        <v>5.28</v>
      </c>
      <c r="E2300" s="22" t="str">
        <f>VLOOKUP($A2300, 'Medical Examinations'!$A:$D, 4, FALSE)</f>
        <v>No</v>
      </c>
      <c r="F2300" s="22" t="str">
        <f>VLOOKUP($A2300, 'Medical Examinations'!$A:$J, 5, FALSE)</f>
        <v>No</v>
      </c>
      <c r="G2300" s="22" t="str">
        <f>VLOOKUP($A2300, 'Medical Examinations'!$A:$I, 6, FALSE)</f>
        <v>No</v>
      </c>
      <c r="H2300" s="22">
        <f>VLOOKUP($A2300,'Medical Examinations'!$A:$L,10, FALSE)</f>
        <v>1</v>
      </c>
      <c r="I2300" s="22" t="str">
        <f>VLOOKUP($A2300, 'Medical Examinations'!$A:$J, 9, FALSE)</f>
        <v>No</v>
      </c>
      <c r="J2300" s="22" t="str">
        <f>VLOOKUP($A2300, 'Medical Examinations'!$A:$P, 11, FALSE)</f>
        <v>UNDERWEIGHT</v>
      </c>
      <c r="K2300" s="34">
        <v>32787.0</v>
      </c>
      <c r="L2300" s="35">
        <f>VLOOKUP($A2300, 'Hospitalisation Details'!$A:$H, 7, FALSE)</f>
        <v>1082</v>
      </c>
      <c r="M2300" s="22" t="str">
        <f>VLOOKUP($A2300, 'Hospitalisation Details'!$A:$L, 12, FALSE)</f>
        <v>tier - 3</v>
      </c>
      <c r="N2300" s="22" t="str">
        <f>VLOOKUP($A2300, 'Hospitalisation Details'!$A:$M, 13, FALSE)</f>
        <v>tier - 2</v>
      </c>
      <c r="O2300" s="22" t="str">
        <f>VLOOKUP($A2300, 'Hospitalisation Details'!$A:$N, 14, FALSE)</f>
        <v>R1013</v>
      </c>
      <c r="P2300" s="36">
        <f>VLOOKUP($A2300, 'Hospitalisation Details'!$A:$O, 15, FALSE)</f>
        <v>24</v>
      </c>
    </row>
    <row r="2301" ht="15.75" customHeight="1">
      <c r="A2301" s="33" t="s">
        <v>4601</v>
      </c>
      <c r="B2301" s="22" t="str">
        <f>VLOOKUP($A2301,'Customer Names'!$A:$D,3, FALSE)</f>
        <v>Jeffers</v>
      </c>
      <c r="C2301" s="22">
        <f>VLOOKUP($A2301,'Medical Examinations'!$A:$D, 2, FALSE)</f>
        <v>17.98</v>
      </c>
      <c r="D2301" s="22">
        <f>VLOOKUP($A2301, 'Medical Examinations'!$A:$D,3, FALSE)</f>
        <v>5.33</v>
      </c>
      <c r="E2301" s="22" t="str">
        <f>VLOOKUP($A2301, 'Medical Examinations'!$A:$D, 4, FALSE)</f>
        <v>Yes</v>
      </c>
      <c r="F2301" s="22" t="str">
        <f>VLOOKUP($A2301, 'Medical Examinations'!$A:$J, 5, FALSE)</f>
        <v>No</v>
      </c>
      <c r="G2301" s="22" t="str">
        <f>VLOOKUP($A2301, 'Medical Examinations'!$A:$I, 6, FALSE)</f>
        <v>Yes</v>
      </c>
      <c r="H2301" s="22">
        <f>VLOOKUP($A2301,'Medical Examinations'!$A:$L,10, FALSE)</f>
        <v>1</v>
      </c>
      <c r="I2301" s="22" t="str">
        <f>VLOOKUP($A2301, 'Medical Examinations'!$A:$J, 9, FALSE)</f>
        <v>No</v>
      </c>
      <c r="J2301" s="22" t="str">
        <f>VLOOKUP($A2301, 'Medical Examinations'!$A:$P, 11, FALSE)</f>
        <v>UNDERWEIGHT</v>
      </c>
      <c r="K2301" s="34">
        <v>27585.0</v>
      </c>
      <c r="L2301" s="35">
        <f>VLOOKUP($A2301, 'Hospitalisation Details'!$A:$H, 7, FALSE)</f>
        <v>1071</v>
      </c>
      <c r="M2301" s="22" t="str">
        <f>VLOOKUP($A2301, 'Hospitalisation Details'!$A:$L, 12, FALSE)</f>
        <v>tier - 3</v>
      </c>
      <c r="N2301" s="22" t="str">
        <f>VLOOKUP($A2301, 'Hospitalisation Details'!$A:$M, 13, FALSE)</f>
        <v>tier - 3</v>
      </c>
      <c r="O2301" s="22" t="str">
        <f>VLOOKUP($A2301, 'Hospitalisation Details'!$A:$N, 14, FALSE)</f>
        <v>R1013</v>
      </c>
      <c r="P2301" s="36">
        <f>VLOOKUP($A2301, 'Hospitalisation Details'!$A:$O, 15, FALSE)</f>
        <v>25</v>
      </c>
    </row>
    <row r="2302" ht="15.75" customHeight="1">
      <c r="A2302" s="33" t="s">
        <v>4603</v>
      </c>
      <c r="B2302" s="22" t="str">
        <f>VLOOKUP($A2302,'Customer Names'!$A:$D,3, FALSE)</f>
        <v>Sulhanek</v>
      </c>
      <c r="C2302" s="22">
        <f>VLOOKUP($A2302,'Medical Examinations'!$A:$D, 2, FALSE)</f>
        <v>21.64</v>
      </c>
      <c r="D2302" s="22">
        <f>VLOOKUP($A2302, 'Medical Examinations'!$A:$D,3, FALSE)</f>
        <v>5.5</v>
      </c>
      <c r="E2302" s="22" t="str">
        <f>VLOOKUP($A2302, 'Medical Examinations'!$A:$D, 4, FALSE)</f>
        <v>No</v>
      </c>
      <c r="F2302" s="22" t="str">
        <f>VLOOKUP($A2302, 'Medical Examinations'!$A:$J, 5, FALSE)</f>
        <v>Yes</v>
      </c>
      <c r="G2302" s="22" t="str">
        <f>VLOOKUP($A2302, 'Medical Examinations'!$A:$I, 6, FALSE)</f>
        <v>No</v>
      </c>
      <c r="H2302" s="22">
        <f>VLOOKUP($A2302,'Medical Examinations'!$A:$L,10, FALSE)</f>
        <v>1</v>
      </c>
      <c r="I2302" s="22" t="str">
        <f>VLOOKUP($A2302, 'Medical Examinations'!$A:$J, 9, FALSE)</f>
        <v>No</v>
      </c>
      <c r="J2302" s="22" t="str">
        <f>VLOOKUP($A2302, 'Medical Examinations'!$A:$P, 11, FALSE)</f>
        <v>NORMAL WEIGHT</v>
      </c>
      <c r="K2302" s="34">
        <v>25426.0</v>
      </c>
      <c r="L2302" s="35">
        <f>VLOOKUP($A2302, 'Hospitalisation Details'!$A:$H, 7, FALSE)</f>
        <v>1070</v>
      </c>
      <c r="M2302" s="22" t="str">
        <f>VLOOKUP($A2302, 'Hospitalisation Details'!$A:$L, 12, FALSE)</f>
        <v>tier - 3</v>
      </c>
      <c r="N2302" s="22" t="str">
        <f>VLOOKUP($A2302, 'Hospitalisation Details'!$A:$M, 13, FALSE)</f>
        <v>tier - 3</v>
      </c>
      <c r="O2302" s="22" t="str">
        <f>VLOOKUP($A2302, 'Hospitalisation Details'!$A:$N, 14, FALSE)</f>
        <v>R1013</v>
      </c>
      <c r="P2302" s="36">
        <f>VLOOKUP($A2302, 'Hospitalisation Details'!$A:$O, 15, FALSE)</f>
        <v>18</v>
      </c>
    </row>
    <row r="2303" ht="15.75" customHeight="1">
      <c r="A2303" s="33" t="s">
        <v>4605</v>
      </c>
      <c r="B2303" s="22" t="str">
        <f>VLOOKUP($A2303,'Customer Names'!$A:$D,3, FALSE)</f>
        <v>Ozahowski</v>
      </c>
      <c r="C2303" s="22">
        <f>VLOOKUP($A2303,'Medical Examinations'!$A:$D, 2, FALSE)</f>
        <v>16.4</v>
      </c>
      <c r="D2303" s="22">
        <f>VLOOKUP($A2303, 'Medical Examinations'!$A:$D,3, FALSE)</f>
        <v>5.4</v>
      </c>
      <c r="E2303" s="22" t="str">
        <f>VLOOKUP($A2303, 'Medical Examinations'!$A:$D, 4, FALSE)</f>
        <v>No</v>
      </c>
      <c r="F2303" s="22" t="str">
        <f>VLOOKUP($A2303, 'Medical Examinations'!$A:$J, 5, FALSE)</f>
        <v>No</v>
      </c>
      <c r="G2303" s="22" t="str">
        <f>VLOOKUP($A2303, 'Medical Examinations'!$A:$I, 6, FALSE)</f>
        <v>Yes</v>
      </c>
      <c r="H2303" s="22">
        <f>VLOOKUP($A2303,'Medical Examinations'!$A:$L,10, FALSE)</f>
        <v>1</v>
      </c>
      <c r="I2303" s="22" t="str">
        <f>VLOOKUP($A2303, 'Medical Examinations'!$A:$J, 9, FALSE)</f>
        <v>No</v>
      </c>
      <c r="J2303" s="22" t="str">
        <f>VLOOKUP($A2303, 'Medical Examinations'!$A:$P, 11, FALSE)</f>
        <v>UNDERWEIGHT</v>
      </c>
      <c r="K2303" s="34">
        <v>30474.0</v>
      </c>
      <c r="L2303" s="35">
        <f>VLOOKUP($A2303, 'Hospitalisation Details'!$A:$H, 7, FALSE)</f>
        <v>1068</v>
      </c>
      <c r="M2303" s="22" t="str">
        <f>VLOOKUP($A2303, 'Hospitalisation Details'!$A:$L, 12, FALSE)</f>
        <v>tier - 3</v>
      </c>
      <c r="N2303" s="22" t="str">
        <f>VLOOKUP($A2303, 'Hospitalisation Details'!$A:$M, 13, FALSE)</f>
        <v>tier - 1</v>
      </c>
      <c r="O2303" s="22" t="str">
        <f>VLOOKUP($A2303, 'Hospitalisation Details'!$A:$N, 14, FALSE)</f>
        <v>R1013</v>
      </c>
      <c r="P2303" s="36">
        <f>VLOOKUP($A2303, 'Hospitalisation Details'!$A:$O, 15, FALSE)</f>
        <v>29</v>
      </c>
    </row>
    <row r="2304" ht="15.75" customHeight="1">
      <c r="A2304" s="33" t="s">
        <v>4607</v>
      </c>
      <c r="B2304" s="22" t="str">
        <f>VLOOKUP($A2304,'Customer Names'!$A:$D,3, FALSE)</f>
        <v>Caron</v>
      </c>
      <c r="C2304" s="22">
        <f>VLOOKUP($A2304,'Medical Examinations'!$A:$D, 2, FALSE)</f>
        <v>15.77</v>
      </c>
      <c r="D2304" s="22">
        <f>VLOOKUP($A2304, 'Medical Examinations'!$A:$D,3, FALSE)</f>
        <v>6.05</v>
      </c>
      <c r="E2304" s="22" t="str">
        <f>VLOOKUP($A2304, 'Medical Examinations'!$A:$D, 4, FALSE)</f>
        <v>Yes</v>
      </c>
      <c r="F2304" s="22" t="str">
        <f>VLOOKUP($A2304, 'Medical Examinations'!$A:$J, 5, FALSE)</f>
        <v>No</v>
      </c>
      <c r="G2304" s="22" t="str">
        <f>VLOOKUP($A2304, 'Medical Examinations'!$A:$I, 6, FALSE)</f>
        <v>No</v>
      </c>
      <c r="H2304" s="22">
        <f>VLOOKUP($A2304,'Medical Examinations'!$A:$L,10, FALSE)</f>
        <v>1</v>
      </c>
      <c r="I2304" s="22" t="str">
        <f>VLOOKUP($A2304, 'Medical Examinations'!$A:$J, 9, FALSE)</f>
        <v>No</v>
      </c>
      <c r="J2304" s="22" t="str">
        <f>VLOOKUP($A2304, 'Medical Examinations'!$A:$P, 11, FALSE)</f>
        <v>UNDERWEIGHT</v>
      </c>
      <c r="K2304" s="34">
        <v>25854.0</v>
      </c>
      <c r="L2304" s="35">
        <f>VLOOKUP($A2304, 'Hospitalisation Details'!$A:$H, 7, FALSE)</f>
        <v>1056</v>
      </c>
      <c r="M2304" s="22" t="str">
        <f>VLOOKUP($A2304, 'Hospitalisation Details'!$A:$L, 12, FALSE)</f>
        <v>tier - 3</v>
      </c>
      <c r="N2304" s="22" t="str">
        <f>VLOOKUP($A2304, 'Hospitalisation Details'!$A:$M, 13, FALSE)</f>
        <v>tier - 2</v>
      </c>
      <c r="O2304" s="22" t="str">
        <f>VLOOKUP($A2304, 'Hospitalisation Details'!$A:$N, 14, FALSE)</f>
        <v>R1013</v>
      </c>
      <c r="P2304" s="36">
        <f>VLOOKUP($A2304, 'Hospitalisation Details'!$A:$O, 15, FALSE)</f>
        <v>28</v>
      </c>
    </row>
    <row r="2305" ht="15.75" customHeight="1">
      <c r="A2305" s="33" t="s">
        <v>4609</v>
      </c>
      <c r="B2305" s="22" t="str">
        <f>VLOOKUP($A2305,'Customer Names'!$A:$D,3, FALSE)</f>
        <v>Fullarton</v>
      </c>
      <c r="C2305" s="22">
        <f>VLOOKUP($A2305,'Medical Examinations'!$A:$D, 2, FALSE)</f>
        <v>18.27</v>
      </c>
      <c r="D2305" s="22">
        <f>VLOOKUP($A2305, 'Medical Examinations'!$A:$D,3, FALSE)</f>
        <v>11.46</v>
      </c>
      <c r="E2305" s="22" t="str">
        <f>VLOOKUP($A2305, 'Medical Examinations'!$A:$D, 4, FALSE)</f>
        <v>No</v>
      </c>
      <c r="F2305" s="22" t="str">
        <f>VLOOKUP($A2305, 'Medical Examinations'!$A:$J, 5, FALSE)</f>
        <v>No</v>
      </c>
      <c r="G2305" s="22" t="str">
        <f>VLOOKUP($A2305, 'Medical Examinations'!$A:$I, 6, FALSE)</f>
        <v>No</v>
      </c>
      <c r="H2305" s="22">
        <f>VLOOKUP($A2305,'Medical Examinations'!$A:$L,10, FALSE)</f>
        <v>0</v>
      </c>
      <c r="I2305" s="22" t="str">
        <f>VLOOKUP($A2305, 'Medical Examinations'!$A:$J, 9, FALSE)</f>
        <v>No</v>
      </c>
      <c r="J2305" s="22" t="str">
        <f>VLOOKUP($A2305, 'Medical Examinations'!$A:$P, 11, FALSE)</f>
        <v>UNDERWEIGHT</v>
      </c>
      <c r="K2305" s="34">
        <v>38240.0</v>
      </c>
      <c r="L2305" s="35">
        <f>VLOOKUP($A2305, 'Hospitalisation Details'!$A:$H, 7, FALSE)</f>
        <v>1049</v>
      </c>
      <c r="M2305" s="22" t="str">
        <f>VLOOKUP($A2305, 'Hospitalisation Details'!$A:$L, 12, FALSE)</f>
        <v>tier - 3</v>
      </c>
      <c r="N2305" s="22" t="str">
        <f>VLOOKUP($A2305, 'Hospitalisation Details'!$A:$M, 13, FALSE)</f>
        <v>tier - 2</v>
      </c>
      <c r="O2305" s="22" t="str">
        <f>VLOOKUP($A2305, 'Hospitalisation Details'!$A:$N, 14, FALSE)</f>
        <v>R1012</v>
      </c>
      <c r="P2305" s="36">
        <f>VLOOKUP($A2305, 'Hospitalisation Details'!$A:$O, 15, FALSE)</f>
        <v>20</v>
      </c>
    </row>
    <row r="2306" ht="15.75" customHeight="1">
      <c r="A2306" s="33" t="s">
        <v>4611</v>
      </c>
      <c r="B2306" s="22" t="str">
        <f>VLOOKUP($A2306,'Customer Names'!$A:$D,3, FALSE)</f>
        <v>Lindgren</v>
      </c>
      <c r="C2306" s="22">
        <f>VLOOKUP($A2306,'Medical Examinations'!$A:$D, 2, FALSE)</f>
        <v>16.49</v>
      </c>
      <c r="D2306" s="22">
        <f>VLOOKUP($A2306, 'Medical Examinations'!$A:$D,3, FALSE)</f>
        <v>8.48</v>
      </c>
      <c r="E2306" s="22" t="str">
        <f>VLOOKUP($A2306, 'Medical Examinations'!$A:$D, 4, FALSE)</f>
        <v>No</v>
      </c>
      <c r="F2306" s="22" t="str">
        <f>VLOOKUP($A2306, 'Medical Examinations'!$A:$J, 5, FALSE)</f>
        <v>No</v>
      </c>
      <c r="G2306" s="22" t="str">
        <f>VLOOKUP($A2306, 'Medical Examinations'!$A:$I, 6, FALSE)</f>
        <v>No</v>
      </c>
      <c r="H2306" s="22">
        <f>VLOOKUP($A2306,'Medical Examinations'!$A:$L,10, FALSE)</f>
        <v>0</v>
      </c>
      <c r="I2306" s="22" t="str">
        <f>VLOOKUP($A2306, 'Medical Examinations'!$A:$J, 9, FALSE)</f>
        <v>No</v>
      </c>
      <c r="J2306" s="22" t="str">
        <f>VLOOKUP($A2306, 'Medical Examinations'!$A:$P, 11, FALSE)</f>
        <v>UNDERWEIGHT</v>
      </c>
      <c r="K2306" s="34">
        <v>24357.0</v>
      </c>
      <c r="L2306" s="35">
        <f>VLOOKUP($A2306, 'Hospitalisation Details'!$A:$H, 7, FALSE)</f>
        <v>1047</v>
      </c>
      <c r="M2306" s="22" t="str">
        <f>VLOOKUP($A2306, 'Hospitalisation Details'!$A:$L, 12, FALSE)</f>
        <v>tier - 3</v>
      </c>
      <c r="N2306" s="22" t="str">
        <f>VLOOKUP($A2306, 'Hospitalisation Details'!$A:$M, 13, FALSE)</f>
        <v>tier - 1</v>
      </c>
      <c r="O2306" s="22" t="str">
        <f>VLOOKUP($A2306, 'Hospitalisation Details'!$A:$N, 14, FALSE)</f>
        <v>R1013</v>
      </c>
      <c r="P2306" s="36">
        <f>VLOOKUP($A2306, 'Hospitalisation Details'!$A:$O, 15, FALSE)</f>
        <v>20</v>
      </c>
    </row>
    <row r="2307" ht="15.75" customHeight="1">
      <c r="A2307" s="33" t="s">
        <v>4613</v>
      </c>
      <c r="B2307" s="22" t="str">
        <f>VLOOKUP($A2307,'Customer Names'!$A:$D,3, FALSE)</f>
        <v>Akiha</v>
      </c>
      <c r="C2307" s="22">
        <f>VLOOKUP($A2307,'Medical Examinations'!$A:$D, 2, FALSE)</f>
        <v>16.14</v>
      </c>
      <c r="D2307" s="22">
        <f>VLOOKUP($A2307, 'Medical Examinations'!$A:$D,3, FALSE)</f>
        <v>4.86</v>
      </c>
      <c r="E2307" s="22" t="str">
        <f>VLOOKUP($A2307, 'Medical Examinations'!$A:$D, 4, FALSE)</f>
        <v>No</v>
      </c>
      <c r="F2307" s="22" t="str">
        <f>VLOOKUP($A2307, 'Medical Examinations'!$A:$J, 5, FALSE)</f>
        <v>No</v>
      </c>
      <c r="G2307" s="22" t="str">
        <f>VLOOKUP($A2307, 'Medical Examinations'!$A:$I, 6, FALSE)</f>
        <v>No</v>
      </c>
      <c r="H2307" s="22">
        <f>VLOOKUP($A2307,'Medical Examinations'!$A:$L,10, FALSE)</f>
        <v>0</v>
      </c>
      <c r="I2307" s="22" t="str">
        <f>VLOOKUP($A2307, 'Medical Examinations'!$A:$J, 9, FALSE)</f>
        <v>No</v>
      </c>
      <c r="J2307" s="22" t="str">
        <f>VLOOKUP($A2307, 'Medical Examinations'!$A:$P, 11, FALSE)</f>
        <v>UNDERWEIGHT</v>
      </c>
      <c r="K2307" s="34">
        <v>23916.0</v>
      </c>
      <c r="L2307" s="35">
        <f>VLOOKUP($A2307, 'Hospitalisation Details'!$A:$H, 7, FALSE)</f>
        <v>1044</v>
      </c>
      <c r="M2307" s="22" t="str">
        <f>VLOOKUP($A2307, 'Hospitalisation Details'!$A:$L, 12, FALSE)</f>
        <v>tier - 3</v>
      </c>
      <c r="N2307" s="22" t="str">
        <f>VLOOKUP($A2307, 'Hospitalisation Details'!$A:$M, 13, FALSE)</f>
        <v>tier - 2</v>
      </c>
      <c r="O2307" s="22" t="str">
        <f>VLOOKUP($A2307, 'Hospitalisation Details'!$A:$N, 14, FALSE)</f>
        <v>R1013</v>
      </c>
      <c r="P2307" s="36">
        <f>VLOOKUP($A2307, 'Hospitalisation Details'!$A:$O, 15, FALSE)</f>
        <v>28</v>
      </c>
    </row>
    <row r="2308" ht="15.75" customHeight="1">
      <c r="A2308" s="33" t="s">
        <v>4615</v>
      </c>
      <c r="B2308" s="22" t="str">
        <f>VLOOKUP($A2308,'Customer Names'!$A:$D,3, FALSE)</f>
        <v>Sweny</v>
      </c>
      <c r="C2308" s="22">
        <f>VLOOKUP($A2308,'Medical Examinations'!$A:$D, 2, FALSE)</f>
        <v>20.85</v>
      </c>
      <c r="D2308" s="22">
        <f>VLOOKUP($A2308, 'Medical Examinations'!$A:$D,3, FALSE)</f>
        <v>4.45</v>
      </c>
      <c r="E2308" s="22" t="str">
        <f>VLOOKUP($A2308, 'Medical Examinations'!$A:$D, 4, FALSE)</f>
        <v>Yes</v>
      </c>
      <c r="F2308" s="22" t="str">
        <f>VLOOKUP($A2308, 'Medical Examinations'!$A:$J, 5, FALSE)</f>
        <v>No</v>
      </c>
      <c r="G2308" s="22" t="str">
        <f>VLOOKUP($A2308, 'Medical Examinations'!$A:$I, 6, FALSE)</f>
        <v>No</v>
      </c>
      <c r="H2308" s="22">
        <f>VLOOKUP($A2308,'Medical Examinations'!$A:$L,10, FALSE)</f>
        <v>1</v>
      </c>
      <c r="I2308" s="22" t="str">
        <f>VLOOKUP($A2308, 'Medical Examinations'!$A:$J, 9, FALSE)</f>
        <v>No</v>
      </c>
      <c r="J2308" s="22" t="str">
        <f>VLOOKUP($A2308, 'Medical Examinations'!$A:$P, 11, FALSE)</f>
        <v>NORMAL WEIGHT</v>
      </c>
      <c r="K2308" s="34">
        <v>24272.0</v>
      </c>
      <c r="L2308" s="35">
        <f>VLOOKUP($A2308, 'Hospitalisation Details'!$A:$H, 7, FALSE)</f>
        <v>1033.74</v>
      </c>
      <c r="M2308" s="22" t="str">
        <f>VLOOKUP($A2308, 'Hospitalisation Details'!$A:$L, 12, FALSE)</f>
        <v>tier - 3</v>
      </c>
      <c r="N2308" s="22" t="str">
        <f>VLOOKUP($A2308, 'Hospitalisation Details'!$A:$M, 13, FALSE)</f>
        <v>tier - 1</v>
      </c>
      <c r="O2308" s="22" t="str">
        <f>VLOOKUP($A2308, 'Hospitalisation Details'!$A:$N, 14, FALSE)</f>
        <v>R1013</v>
      </c>
      <c r="P2308" s="36">
        <f>VLOOKUP($A2308, 'Hospitalisation Details'!$A:$O, 15, FALSE)</f>
        <v>27</v>
      </c>
    </row>
    <row r="2309" ht="15.75" customHeight="1">
      <c r="A2309" s="33" t="s">
        <v>4617</v>
      </c>
      <c r="B2309" s="22" t="str">
        <f>VLOOKUP($A2309,'Customer Names'!$A:$D,3, FALSE)</f>
        <v>Tobin</v>
      </c>
      <c r="C2309" s="22">
        <f>VLOOKUP($A2309,'Medical Examinations'!$A:$D, 2, FALSE)</f>
        <v>15.88</v>
      </c>
      <c r="D2309" s="22">
        <f>VLOOKUP($A2309, 'Medical Examinations'!$A:$D,3, FALSE)</f>
        <v>4.36</v>
      </c>
      <c r="E2309" s="22" t="str">
        <f>VLOOKUP($A2309, 'Medical Examinations'!$A:$D, 4, FALSE)</f>
        <v>No</v>
      </c>
      <c r="F2309" s="22" t="str">
        <f>VLOOKUP($A2309, 'Medical Examinations'!$A:$J, 5, FALSE)</f>
        <v>No</v>
      </c>
      <c r="G2309" s="22" t="str">
        <f>VLOOKUP($A2309, 'Medical Examinations'!$A:$I, 6, FALSE)</f>
        <v>No</v>
      </c>
      <c r="H2309" s="22">
        <f>VLOOKUP($A2309,'Medical Examinations'!$A:$L,10, FALSE)</f>
        <v>0</v>
      </c>
      <c r="I2309" s="22" t="str">
        <f>VLOOKUP($A2309, 'Medical Examinations'!$A:$J, 9, FALSE)</f>
        <v>No</v>
      </c>
      <c r="J2309" s="22" t="str">
        <f>VLOOKUP($A2309, 'Medical Examinations'!$A:$P, 11, FALSE)</f>
        <v>UNDERWEIGHT</v>
      </c>
      <c r="K2309" s="34">
        <v>26188.0</v>
      </c>
      <c r="L2309" s="35">
        <f>VLOOKUP($A2309, 'Hospitalisation Details'!$A:$H, 7, FALSE)</f>
        <v>1019</v>
      </c>
      <c r="M2309" s="22" t="str">
        <f>VLOOKUP($A2309, 'Hospitalisation Details'!$A:$L, 12, FALSE)</f>
        <v>tier - 3</v>
      </c>
      <c r="N2309" s="22" t="str">
        <f>VLOOKUP($A2309, 'Hospitalisation Details'!$A:$M, 13, FALSE)</f>
        <v>tier - 2</v>
      </c>
      <c r="O2309" s="22" t="str">
        <f>VLOOKUP($A2309, 'Hospitalisation Details'!$A:$N, 14, FALSE)</f>
        <v>R1013</v>
      </c>
      <c r="P2309" s="36">
        <f>VLOOKUP($A2309, 'Hospitalisation Details'!$A:$O, 15, FALSE)</f>
        <v>23</v>
      </c>
    </row>
    <row r="2310" ht="15.75" customHeight="1">
      <c r="A2310" s="33" t="s">
        <v>4619</v>
      </c>
      <c r="B2310" s="22" t="str">
        <f>VLOOKUP($A2310,'Customer Names'!$A:$D,3, FALSE)</f>
        <v>Pedersen</v>
      </c>
      <c r="C2310" s="22">
        <f>VLOOKUP($A2310,'Medical Examinations'!$A:$D, 2, FALSE)</f>
        <v>20.66</v>
      </c>
      <c r="D2310" s="22">
        <f>VLOOKUP($A2310, 'Medical Examinations'!$A:$D,3, FALSE)</f>
        <v>5.8</v>
      </c>
      <c r="E2310" s="22" t="str">
        <f>VLOOKUP($A2310, 'Medical Examinations'!$A:$D, 4, FALSE)</f>
        <v>No</v>
      </c>
      <c r="F2310" s="22" t="str">
        <f>VLOOKUP($A2310, 'Medical Examinations'!$A:$J, 5, FALSE)</f>
        <v>Yes</v>
      </c>
      <c r="G2310" s="22" t="str">
        <f>VLOOKUP($A2310, 'Medical Examinations'!$A:$I, 6, FALSE)</f>
        <v>No</v>
      </c>
      <c r="H2310" s="22">
        <f>VLOOKUP($A2310,'Medical Examinations'!$A:$L,10, FALSE)</f>
        <v>1</v>
      </c>
      <c r="I2310" s="22" t="str">
        <f>VLOOKUP($A2310, 'Medical Examinations'!$A:$J, 9, FALSE)</f>
        <v>No</v>
      </c>
      <c r="J2310" s="22" t="str">
        <f>VLOOKUP($A2310, 'Medical Examinations'!$A:$P, 11, FALSE)</f>
        <v>NORMAL WEIGHT</v>
      </c>
      <c r="K2310" s="34">
        <v>29419.0</v>
      </c>
      <c r="L2310" s="35">
        <f>VLOOKUP($A2310, 'Hospitalisation Details'!$A:$H, 7, FALSE)</f>
        <v>1012</v>
      </c>
      <c r="M2310" s="22" t="str">
        <f>VLOOKUP($A2310, 'Hospitalisation Details'!$A:$L, 12, FALSE)</f>
        <v>tier - 3</v>
      </c>
      <c r="N2310" s="22" t="str">
        <f>VLOOKUP($A2310, 'Hospitalisation Details'!$A:$M, 13, FALSE)</f>
        <v>tier - 2</v>
      </c>
      <c r="O2310" s="22" t="str">
        <f>VLOOKUP($A2310, 'Hospitalisation Details'!$A:$N, 14, FALSE)</f>
        <v>R1013</v>
      </c>
      <c r="P2310" s="36">
        <f>VLOOKUP($A2310, 'Hospitalisation Details'!$A:$O, 15, FALSE)</f>
        <v>22</v>
      </c>
    </row>
    <row r="2311" ht="15.75" customHeight="1">
      <c r="A2311" s="33" t="s">
        <v>4621</v>
      </c>
      <c r="B2311" s="22" t="str">
        <f>VLOOKUP($A2311,'Customer Names'!$A:$D,3, FALSE)</f>
        <v>Lynch</v>
      </c>
      <c r="C2311" s="22">
        <f>VLOOKUP($A2311,'Medical Examinations'!$A:$D, 2, FALSE)</f>
        <v>20.4</v>
      </c>
      <c r="D2311" s="22">
        <f>VLOOKUP($A2311, 'Medical Examinations'!$A:$D,3, FALSE)</f>
        <v>5.27</v>
      </c>
      <c r="E2311" s="22" t="str">
        <f>VLOOKUP($A2311, 'Medical Examinations'!$A:$D, 4, FALSE)</f>
        <v>No</v>
      </c>
      <c r="F2311" s="22" t="str">
        <f>VLOOKUP($A2311, 'Medical Examinations'!$A:$J, 5, FALSE)</f>
        <v>No</v>
      </c>
      <c r="G2311" s="22" t="str">
        <f>VLOOKUP($A2311, 'Medical Examinations'!$A:$I, 6, FALSE)</f>
        <v>No</v>
      </c>
      <c r="H2311" s="22">
        <f>VLOOKUP($A2311,'Medical Examinations'!$A:$L,10, FALSE)</f>
        <v>0</v>
      </c>
      <c r="I2311" s="22" t="str">
        <f>VLOOKUP($A2311, 'Medical Examinations'!$A:$J, 9, FALSE)</f>
        <v>No</v>
      </c>
      <c r="J2311" s="22" t="str">
        <f>VLOOKUP($A2311, 'Medical Examinations'!$A:$P, 11, FALSE)</f>
        <v>NORMAL WEIGHT</v>
      </c>
      <c r="K2311" s="34">
        <v>31207.0</v>
      </c>
      <c r="L2311" s="35">
        <f>VLOOKUP($A2311, 'Hospitalisation Details'!$A:$H, 7, FALSE)</f>
        <v>1006.65</v>
      </c>
      <c r="M2311" s="22" t="str">
        <f>VLOOKUP($A2311, 'Hospitalisation Details'!$A:$L, 12, FALSE)</f>
        <v>tier - 3</v>
      </c>
      <c r="N2311" s="22" t="str">
        <f>VLOOKUP($A2311, 'Hospitalisation Details'!$A:$M, 13, FALSE)</f>
        <v>tier - 2</v>
      </c>
      <c r="O2311" s="22" t="str">
        <f>VLOOKUP($A2311, 'Hospitalisation Details'!$A:$N, 14, FALSE)</f>
        <v>R1013</v>
      </c>
      <c r="P2311" s="36">
        <f>VLOOKUP($A2311, 'Hospitalisation Details'!$A:$O, 15, FALSE)</f>
        <v>28</v>
      </c>
    </row>
    <row r="2312" ht="15.75" customHeight="1">
      <c r="A2312" s="33" t="s">
        <v>4623</v>
      </c>
      <c r="B2312" s="22" t="str">
        <f>VLOOKUP($A2312,'Customer Names'!$A:$D,3, FALSE)</f>
        <v>Keys</v>
      </c>
      <c r="C2312" s="22">
        <f>VLOOKUP($A2312,'Medical Examinations'!$A:$D, 2, FALSE)</f>
        <v>25.19</v>
      </c>
      <c r="D2312" s="22">
        <f>VLOOKUP($A2312, 'Medical Examinations'!$A:$D,3, FALSE)</f>
        <v>5.64</v>
      </c>
      <c r="E2312" s="22" t="str">
        <f>VLOOKUP($A2312, 'Medical Examinations'!$A:$D, 4, FALSE)</f>
        <v>Yes</v>
      </c>
      <c r="F2312" s="22" t="str">
        <f>VLOOKUP($A2312, 'Medical Examinations'!$A:$J, 5, FALSE)</f>
        <v>No</v>
      </c>
      <c r="G2312" s="22" t="str">
        <f>VLOOKUP($A2312, 'Medical Examinations'!$A:$I, 6, FALSE)</f>
        <v>No</v>
      </c>
      <c r="H2312" s="22">
        <f>VLOOKUP($A2312,'Medical Examinations'!$A:$L,10, FALSE)</f>
        <v>0</v>
      </c>
      <c r="I2312" s="22" t="str">
        <f>VLOOKUP($A2312, 'Medical Examinations'!$A:$J, 9, FALSE)</f>
        <v>No</v>
      </c>
      <c r="J2312" s="22" t="str">
        <f>VLOOKUP($A2312, 'Medical Examinations'!$A:$P, 11, FALSE)</f>
        <v>OVERWEIGHT</v>
      </c>
      <c r="K2312" s="34">
        <v>31354.0</v>
      </c>
      <c r="L2312" s="35">
        <f>VLOOKUP($A2312, 'Hospitalisation Details'!$A:$H, 7, FALSE)</f>
        <v>964.71</v>
      </c>
      <c r="M2312" s="22" t="str">
        <f>VLOOKUP($A2312, 'Hospitalisation Details'!$A:$L, 12, FALSE)</f>
        <v>tier - 3</v>
      </c>
      <c r="N2312" s="22" t="str">
        <f>VLOOKUP($A2312, 'Hospitalisation Details'!$A:$M, 13, FALSE)</f>
        <v>tier - 2</v>
      </c>
      <c r="O2312" s="22" t="str">
        <f>VLOOKUP($A2312, 'Hospitalisation Details'!$A:$N, 14, FALSE)</f>
        <v>R1013</v>
      </c>
      <c r="P2312" s="36">
        <f>VLOOKUP($A2312, 'Hospitalisation Details'!$A:$O, 15, FALSE)</f>
        <v>21</v>
      </c>
    </row>
    <row r="2313" ht="15.75" customHeight="1">
      <c r="A2313" s="33" t="s">
        <v>4625</v>
      </c>
      <c r="B2313" s="22" t="str">
        <f>VLOOKUP($A2313,'Customer Names'!$A:$D,3, FALSE)</f>
        <v>Wilbur</v>
      </c>
      <c r="C2313" s="22">
        <f>VLOOKUP($A2313,'Medical Examinations'!$A:$D, 2, FALSE)</f>
        <v>20.54</v>
      </c>
      <c r="D2313" s="22">
        <f>VLOOKUP($A2313, 'Medical Examinations'!$A:$D,3, FALSE)</f>
        <v>4.2</v>
      </c>
      <c r="E2313" s="22" t="str">
        <f>VLOOKUP($A2313, 'Medical Examinations'!$A:$D, 4, FALSE)</f>
        <v>Yes</v>
      </c>
      <c r="F2313" s="22" t="str">
        <f>VLOOKUP($A2313, 'Medical Examinations'!$A:$J, 5, FALSE)</f>
        <v>No</v>
      </c>
      <c r="G2313" s="22" t="str">
        <f>VLOOKUP($A2313, 'Medical Examinations'!$A:$I, 6, FALSE)</f>
        <v>No</v>
      </c>
      <c r="H2313" s="22">
        <f>VLOOKUP($A2313,'Medical Examinations'!$A:$L,10, FALSE)</f>
        <v>1</v>
      </c>
      <c r="I2313" s="22" t="str">
        <f>VLOOKUP($A2313, 'Medical Examinations'!$A:$J, 9, FALSE)</f>
        <v>No</v>
      </c>
      <c r="J2313" s="22" t="str">
        <f>VLOOKUP($A2313, 'Medical Examinations'!$A:$P, 11, FALSE)</f>
        <v>NORMAL WEIGHT</v>
      </c>
      <c r="K2313" s="34">
        <v>30612.0</v>
      </c>
      <c r="L2313" s="35">
        <f>VLOOKUP($A2313, 'Hospitalisation Details'!$A:$H, 7, FALSE)</f>
        <v>928.59</v>
      </c>
      <c r="M2313" s="22" t="str">
        <f>VLOOKUP($A2313, 'Hospitalisation Details'!$A:$L, 12, FALSE)</f>
        <v>tier - 3</v>
      </c>
      <c r="N2313" s="22" t="str">
        <f>VLOOKUP($A2313, 'Hospitalisation Details'!$A:$M, 13, FALSE)</f>
        <v>tier - 1</v>
      </c>
      <c r="O2313" s="22" t="str">
        <f>VLOOKUP($A2313, 'Hospitalisation Details'!$A:$N, 14, FALSE)</f>
        <v>R1013</v>
      </c>
      <c r="P2313" s="36">
        <f>VLOOKUP($A2313, 'Hospitalisation Details'!$A:$O, 15, FALSE)</f>
        <v>27</v>
      </c>
    </row>
    <row r="2314" ht="15.75" customHeight="1">
      <c r="A2314" s="33" t="s">
        <v>4627</v>
      </c>
      <c r="B2314" s="22" t="str">
        <f>VLOOKUP($A2314,'Customer Names'!$A:$D,3, FALSE)</f>
        <v>Ditota</v>
      </c>
      <c r="C2314" s="22">
        <f>VLOOKUP($A2314,'Medical Examinations'!$A:$D, 2, FALSE)</f>
        <v>20.13</v>
      </c>
      <c r="D2314" s="22">
        <f>VLOOKUP($A2314, 'Medical Examinations'!$A:$D,3, FALSE)</f>
        <v>5.42</v>
      </c>
      <c r="E2314" s="22" t="str">
        <f>VLOOKUP($A2314, 'Medical Examinations'!$A:$D, 4, FALSE)</f>
        <v>No</v>
      </c>
      <c r="F2314" s="22" t="str">
        <f>VLOOKUP($A2314, 'Medical Examinations'!$A:$J, 5, FALSE)</f>
        <v>No</v>
      </c>
      <c r="G2314" s="22" t="str">
        <f>VLOOKUP($A2314, 'Medical Examinations'!$A:$I, 6, FALSE)</f>
        <v>No</v>
      </c>
      <c r="H2314" s="22">
        <f>VLOOKUP($A2314,'Medical Examinations'!$A:$L,10, FALSE)</f>
        <v>0</v>
      </c>
      <c r="I2314" s="22" t="str">
        <f>VLOOKUP($A2314, 'Medical Examinations'!$A:$J, 9, FALSE)</f>
        <v>No</v>
      </c>
      <c r="J2314" s="22" t="str">
        <f>VLOOKUP($A2314, 'Medical Examinations'!$A:$P, 11, FALSE)</f>
        <v>NORMAL WEIGHT</v>
      </c>
      <c r="K2314" s="34">
        <v>25848.0</v>
      </c>
      <c r="L2314" s="35">
        <f>VLOOKUP($A2314, 'Hospitalisation Details'!$A:$H, 7, FALSE)</f>
        <v>915.07</v>
      </c>
      <c r="M2314" s="22" t="str">
        <f>VLOOKUP($A2314, 'Hospitalisation Details'!$A:$L, 12, FALSE)</f>
        <v>tier - 3</v>
      </c>
      <c r="N2314" s="22" t="str">
        <f>VLOOKUP($A2314, 'Hospitalisation Details'!$A:$M, 13, FALSE)</f>
        <v>tier - 1</v>
      </c>
      <c r="O2314" s="22" t="str">
        <f>VLOOKUP($A2314, 'Hospitalisation Details'!$A:$N, 14, FALSE)</f>
        <v>R1013</v>
      </c>
      <c r="P2314" s="36">
        <f>VLOOKUP($A2314, 'Hospitalisation Details'!$A:$O, 15, FALSE)</f>
        <v>28</v>
      </c>
    </row>
    <row r="2315" ht="15.75" customHeight="1">
      <c r="A2315" s="33" t="s">
        <v>4629</v>
      </c>
      <c r="B2315" s="22" t="str">
        <f>VLOOKUP($A2315,'Customer Names'!$A:$D,3, FALSE)</f>
        <v>Horbol</v>
      </c>
      <c r="C2315" s="22">
        <f>VLOOKUP($A2315,'Medical Examinations'!$A:$D, 2, FALSE)</f>
        <v>18.93</v>
      </c>
      <c r="D2315" s="22">
        <f>VLOOKUP($A2315, 'Medical Examinations'!$A:$D,3, FALSE)</f>
        <v>6.11</v>
      </c>
      <c r="E2315" s="22" t="str">
        <f>VLOOKUP($A2315, 'Medical Examinations'!$A:$D, 4, FALSE)</f>
        <v>No</v>
      </c>
      <c r="F2315" s="22" t="str">
        <f>VLOOKUP($A2315, 'Medical Examinations'!$A:$J, 5, FALSE)</f>
        <v>No</v>
      </c>
      <c r="G2315" s="22" t="str">
        <f>VLOOKUP($A2315, 'Medical Examinations'!$A:$I, 6, FALSE)</f>
        <v>Yes</v>
      </c>
      <c r="H2315" s="22">
        <f>VLOOKUP($A2315,'Medical Examinations'!$A:$L,10, FALSE)</f>
        <v>1</v>
      </c>
      <c r="I2315" s="22" t="str">
        <f>VLOOKUP($A2315, 'Medical Examinations'!$A:$J, 9, FALSE)</f>
        <v>No</v>
      </c>
      <c r="J2315" s="22" t="str">
        <f>VLOOKUP($A2315, 'Medical Examinations'!$A:$P, 11, FALSE)</f>
        <v>NORMAL WEIGHT</v>
      </c>
      <c r="K2315" s="34">
        <v>25843.0</v>
      </c>
      <c r="L2315" s="35">
        <f>VLOOKUP($A2315, 'Hospitalisation Details'!$A:$H, 7, FALSE)</f>
        <v>896.21</v>
      </c>
      <c r="M2315" s="22" t="str">
        <f>VLOOKUP($A2315, 'Hospitalisation Details'!$A:$L, 12, FALSE)</f>
        <v>tier - 3</v>
      </c>
      <c r="N2315" s="22" t="str">
        <f>VLOOKUP($A2315, 'Hospitalisation Details'!$A:$M, 13, FALSE)</f>
        <v>tier - 1</v>
      </c>
      <c r="O2315" s="22" t="str">
        <f>VLOOKUP($A2315, 'Hospitalisation Details'!$A:$N, 14, FALSE)</f>
        <v>R1013</v>
      </c>
      <c r="P2315" s="36">
        <f>VLOOKUP($A2315, 'Hospitalisation Details'!$A:$O, 15, FALSE)</f>
        <v>29</v>
      </c>
    </row>
    <row r="2316" ht="15.75" customHeight="1">
      <c r="A2316" s="33" t="s">
        <v>4631</v>
      </c>
      <c r="B2316" s="22" t="str">
        <f>VLOOKUP($A2316,'Customer Names'!$A:$D,3, FALSE)</f>
        <v>O'Rourke</v>
      </c>
      <c r="C2316" s="22">
        <f>VLOOKUP($A2316,'Medical Examinations'!$A:$D, 2, FALSE)</f>
        <v>24.14</v>
      </c>
      <c r="D2316" s="22">
        <f>VLOOKUP($A2316, 'Medical Examinations'!$A:$D,3, FALSE)</f>
        <v>5.29</v>
      </c>
      <c r="E2316" s="22" t="str">
        <f>VLOOKUP($A2316, 'Medical Examinations'!$A:$D, 4, FALSE)</f>
        <v>No</v>
      </c>
      <c r="F2316" s="22" t="str">
        <f>VLOOKUP($A2316, 'Medical Examinations'!$A:$J, 5, FALSE)</f>
        <v>Yes</v>
      </c>
      <c r="G2316" s="22" t="str">
        <f>VLOOKUP($A2316, 'Medical Examinations'!$A:$I, 6, FALSE)</f>
        <v>No</v>
      </c>
      <c r="H2316" s="22">
        <f>VLOOKUP($A2316,'Medical Examinations'!$A:$L,10, FALSE)</f>
        <v>1</v>
      </c>
      <c r="I2316" s="22" t="str">
        <f>VLOOKUP($A2316, 'Medical Examinations'!$A:$J, 9, FALSE)</f>
        <v>No</v>
      </c>
      <c r="J2316" s="22" t="str">
        <f>VLOOKUP($A2316, 'Medical Examinations'!$A:$P, 11, FALSE)</f>
        <v>NORMAL WEIGHT</v>
      </c>
      <c r="K2316" s="34">
        <v>24825.0</v>
      </c>
      <c r="L2316" s="35">
        <f>VLOOKUP($A2316, 'Hospitalisation Details'!$A:$H, 7, FALSE)</f>
        <v>865.41</v>
      </c>
      <c r="M2316" s="22" t="str">
        <f>VLOOKUP($A2316, 'Hospitalisation Details'!$A:$L, 12, FALSE)</f>
        <v>tier - 3</v>
      </c>
      <c r="N2316" s="22" t="str">
        <f>VLOOKUP($A2316, 'Hospitalisation Details'!$A:$M, 13, FALSE)</f>
        <v>tier - 1</v>
      </c>
      <c r="O2316" s="22" t="str">
        <f>VLOOKUP($A2316, 'Hospitalisation Details'!$A:$N, 14, FALSE)</f>
        <v>R1013</v>
      </c>
      <c r="P2316" s="36">
        <f>VLOOKUP($A2316, 'Hospitalisation Details'!$A:$O, 15, FALSE)</f>
        <v>22</v>
      </c>
    </row>
    <row r="2317" ht="15.75" customHeight="1">
      <c r="A2317" s="33" t="s">
        <v>4633</v>
      </c>
      <c r="B2317" s="22" t="str">
        <f>VLOOKUP($A2317,'Customer Names'!$A:$D,3, FALSE)</f>
        <v>Williams</v>
      </c>
      <c r="C2317" s="22">
        <f>VLOOKUP($A2317,'Medical Examinations'!$A:$D, 2, FALSE)</f>
        <v>25.03</v>
      </c>
      <c r="D2317" s="22">
        <f>VLOOKUP($A2317, 'Medical Examinations'!$A:$D,3, FALSE)</f>
        <v>5.91</v>
      </c>
      <c r="E2317" s="22" t="str">
        <f>VLOOKUP($A2317, 'Medical Examinations'!$A:$D, 4, FALSE)</f>
        <v>No</v>
      </c>
      <c r="F2317" s="22" t="str">
        <f>VLOOKUP($A2317, 'Medical Examinations'!$A:$J, 5, FALSE)</f>
        <v>Yes</v>
      </c>
      <c r="G2317" s="22" t="str">
        <f>VLOOKUP($A2317, 'Medical Examinations'!$A:$I, 6, FALSE)</f>
        <v>No</v>
      </c>
      <c r="H2317" s="22">
        <f>VLOOKUP($A2317,'Medical Examinations'!$A:$L,10, FALSE)</f>
        <v>1</v>
      </c>
      <c r="I2317" s="22" t="str">
        <f>VLOOKUP($A2317, 'Medical Examinations'!$A:$J, 9, FALSE)</f>
        <v>No</v>
      </c>
      <c r="J2317" s="22" t="str">
        <f>VLOOKUP($A2317, 'Medical Examinations'!$A:$P, 11, FALSE)</f>
        <v>OVERWEIGHT</v>
      </c>
      <c r="K2317" s="34">
        <v>35639.0</v>
      </c>
      <c r="L2317" s="35">
        <f>VLOOKUP($A2317, 'Hospitalisation Details'!$A:$H, 7, FALSE)</f>
        <v>830.52</v>
      </c>
      <c r="M2317" s="22" t="str">
        <f>VLOOKUP($A2317, 'Hospitalisation Details'!$A:$L, 12, FALSE)</f>
        <v>tier - 3</v>
      </c>
      <c r="N2317" s="22" t="str">
        <f>VLOOKUP($A2317, 'Hospitalisation Details'!$A:$M, 13, FALSE)</f>
        <v>tier - 2</v>
      </c>
      <c r="O2317" s="22" t="str">
        <f>VLOOKUP($A2317, 'Hospitalisation Details'!$A:$N, 14, FALSE)</f>
        <v>R1011</v>
      </c>
      <c r="P2317" s="36">
        <f>VLOOKUP($A2317, 'Hospitalisation Details'!$A:$O, 15, FALSE)</f>
        <v>18</v>
      </c>
    </row>
    <row r="2318" ht="15.75" customHeight="1">
      <c r="A2318" s="33" t="s">
        <v>4635</v>
      </c>
      <c r="B2318" s="22" t="str">
        <f>VLOOKUP($A2318,'Customer Names'!$A:$D,3, FALSE)</f>
        <v>Murakami</v>
      </c>
      <c r="C2318" s="22">
        <f>VLOOKUP($A2318,'Medical Examinations'!$A:$D, 2, FALSE)</f>
        <v>20.47</v>
      </c>
      <c r="D2318" s="22">
        <f>VLOOKUP($A2318, 'Medical Examinations'!$A:$D,3, FALSE)</f>
        <v>5.81</v>
      </c>
      <c r="E2318" s="22" t="str">
        <f>VLOOKUP($A2318, 'Medical Examinations'!$A:$D, 4, FALSE)</f>
        <v>Yes</v>
      </c>
      <c r="F2318" s="22" t="str">
        <f>VLOOKUP($A2318, 'Medical Examinations'!$A:$J, 5, FALSE)</f>
        <v>No</v>
      </c>
      <c r="G2318" s="22" t="str">
        <f>VLOOKUP($A2318, 'Medical Examinations'!$A:$I, 6, FALSE)</f>
        <v>No</v>
      </c>
      <c r="H2318" s="22">
        <f>VLOOKUP($A2318,'Medical Examinations'!$A:$L,10, FALSE)</f>
        <v>1</v>
      </c>
      <c r="I2318" s="22" t="str">
        <f>VLOOKUP($A2318, 'Medical Examinations'!$A:$J, 9, FALSE)</f>
        <v>No</v>
      </c>
      <c r="J2318" s="22" t="str">
        <f>VLOOKUP($A2318, 'Medical Examinations'!$A:$P, 11, FALSE)</f>
        <v>NORMAL WEIGHT</v>
      </c>
      <c r="K2318" s="34">
        <v>23541.0</v>
      </c>
      <c r="L2318" s="35">
        <f>VLOOKUP($A2318, 'Hospitalisation Details'!$A:$H, 7, FALSE)</f>
        <v>773.54</v>
      </c>
      <c r="M2318" s="22" t="str">
        <f>VLOOKUP($A2318, 'Hospitalisation Details'!$A:$L, 12, FALSE)</f>
        <v>tier - 3</v>
      </c>
      <c r="N2318" s="22" t="str">
        <f>VLOOKUP($A2318, 'Hospitalisation Details'!$A:$M, 13, FALSE)</f>
        <v>tier - 2</v>
      </c>
      <c r="O2318" s="22" t="str">
        <f>VLOOKUP($A2318, 'Hospitalisation Details'!$A:$N, 14, FALSE)</f>
        <v>R1013</v>
      </c>
      <c r="P2318" s="36">
        <f>VLOOKUP($A2318, 'Hospitalisation Details'!$A:$O, 15, FALSE)</f>
        <v>27</v>
      </c>
    </row>
    <row r="2319" ht="15.75" customHeight="1">
      <c r="A2319" s="33" t="s">
        <v>4637</v>
      </c>
      <c r="B2319" s="22" t="str">
        <f>VLOOKUP($A2319,'Customer Names'!$A:$D,3, FALSE)</f>
        <v>Gagnon</v>
      </c>
      <c r="C2319" s="22">
        <f>VLOOKUP($A2319,'Medical Examinations'!$A:$D, 2, FALSE)</f>
        <v>18.82</v>
      </c>
      <c r="D2319" s="22">
        <f>VLOOKUP($A2319, 'Medical Examinations'!$A:$D,3, FALSE)</f>
        <v>5.51</v>
      </c>
      <c r="E2319" s="22" t="str">
        <f>VLOOKUP($A2319, 'Medical Examinations'!$A:$D, 4, FALSE)</f>
        <v>Yes</v>
      </c>
      <c r="F2319" s="22" t="str">
        <f>VLOOKUP($A2319, 'Medical Examinations'!$A:$J, 5, FALSE)</f>
        <v>No</v>
      </c>
      <c r="G2319" s="22" t="str">
        <f>VLOOKUP($A2319, 'Medical Examinations'!$A:$I, 6, FALSE)</f>
        <v>No</v>
      </c>
      <c r="H2319" s="22">
        <f>VLOOKUP($A2319,'Medical Examinations'!$A:$L,10, FALSE)</f>
        <v>0</v>
      </c>
      <c r="I2319" s="22" t="str">
        <f>VLOOKUP($A2319, 'Medical Examinations'!$A:$J, 9, FALSE)</f>
        <v>No</v>
      </c>
      <c r="J2319" s="22" t="str">
        <f>VLOOKUP($A2319, 'Medical Examinations'!$A:$P, 11, FALSE)</f>
        <v>NORMAL WEIGHT</v>
      </c>
      <c r="K2319" s="34">
        <v>26639.0</v>
      </c>
      <c r="L2319" s="35">
        <f>VLOOKUP($A2319, 'Hospitalisation Details'!$A:$H, 7, FALSE)</f>
        <v>770.38</v>
      </c>
      <c r="M2319" s="22" t="str">
        <f>VLOOKUP($A2319, 'Hospitalisation Details'!$A:$L, 12, FALSE)</f>
        <v>tier - 3</v>
      </c>
      <c r="N2319" s="22" t="str">
        <f>VLOOKUP($A2319, 'Hospitalisation Details'!$A:$M, 13, FALSE)</f>
        <v>tier - 1</v>
      </c>
      <c r="O2319" s="22" t="str">
        <f>VLOOKUP($A2319, 'Hospitalisation Details'!$A:$N, 14, FALSE)</f>
        <v>R1012</v>
      </c>
      <c r="P2319" s="36">
        <f>VLOOKUP($A2319, 'Hospitalisation Details'!$A:$O, 15, FALSE)</f>
        <v>26</v>
      </c>
    </row>
    <row r="2320" ht="15.75" customHeight="1">
      <c r="A2320" s="33" t="s">
        <v>4639</v>
      </c>
      <c r="B2320" s="22" t="str">
        <f>VLOOKUP($A2320,'Customer Names'!$A:$D,3, FALSE)</f>
        <v>Petermann</v>
      </c>
      <c r="C2320" s="22">
        <f>VLOOKUP($A2320,'Medical Examinations'!$A:$D, 2, FALSE)</f>
        <v>17.08</v>
      </c>
      <c r="D2320" s="22">
        <f>VLOOKUP($A2320, 'Medical Examinations'!$A:$D,3, FALSE)</f>
        <v>5.73</v>
      </c>
      <c r="E2320" s="22" t="str">
        <f>VLOOKUP($A2320, 'Medical Examinations'!$A:$D, 4, FALSE)</f>
        <v>No</v>
      </c>
      <c r="F2320" s="22" t="str">
        <f>VLOOKUP($A2320, 'Medical Examinations'!$A:$J, 5, FALSE)</f>
        <v>No</v>
      </c>
      <c r="G2320" s="22" t="str">
        <f>VLOOKUP($A2320, 'Medical Examinations'!$A:$I, 6, FALSE)</f>
        <v>Yes</v>
      </c>
      <c r="H2320" s="22">
        <f>VLOOKUP($A2320,'Medical Examinations'!$A:$L,10, FALSE)</f>
        <v>1</v>
      </c>
      <c r="I2320" s="22" t="str">
        <f>VLOOKUP($A2320, 'Medical Examinations'!$A:$J, 9, FALSE)</f>
        <v>No</v>
      </c>
      <c r="J2320" s="22" t="str">
        <f>VLOOKUP($A2320, 'Medical Examinations'!$A:$P, 11, FALSE)</f>
        <v>UNDERWEIGHT</v>
      </c>
      <c r="K2320" s="34">
        <v>29013.0</v>
      </c>
      <c r="L2320" s="35">
        <f>VLOOKUP($A2320, 'Hospitalisation Details'!$A:$H, 7, FALSE)</f>
        <v>770</v>
      </c>
      <c r="M2320" s="22" t="str">
        <f>VLOOKUP($A2320, 'Hospitalisation Details'!$A:$L, 12, FALSE)</f>
        <v>tier - 3</v>
      </c>
      <c r="N2320" s="22" t="str">
        <f>VLOOKUP($A2320, 'Hospitalisation Details'!$A:$M, 13, FALSE)</f>
        <v>tier - 3</v>
      </c>
      <c r="O2320" s="22" t="str">
        <f>VLOOKUP($A2320, 'Hospitalisation Details'!$A:$N, 14, FALSE)</f>
        <v>R1013</v>
      </c>
      <c r="P2320" s="36">
        <f>VLOOKUP($A2320, 'Hospitalisation Details'!$A:$O, 15, FALSE)</f>
        <v>29</v>
      </c>
    </row>
    <row r="2321" ht="15.75" customHeight="1">
      <c r="A2321" s="33" t="s">
        <v>4641</v>
      </c>
      <c r="B2321" s="22" t="str">
        <f>VLOOKUP($A2321,'Customer Names'!$A:$D,3, FALSE)</f>
        <v>Grave</v>
      </c>
      <c r="C2321" s="22">
        <f>VLOOKUP($A2321,'Medical Examinations'!$A:$D, 2, FALSE)</f>
        <v>19.21</v>
      </c>
      <c r="D2321" s="22">
        <f>VLOOKUP($A2321, 'Medical Examinations'!$A:$D,3, FALSE)</f>
        <v>5.53</v>
      </c>
      <c r="E2321" s="22" t="str">
        <f>VLOOKUP($A2321, 'Medical Examinations'!$A:$D, 4, FALSE)</f>
        <v>Yes</v>
      </c>
      <c r="F2321" s="22" t="str">
        <f>VLOOKUP($A2321, 'Medical Examinations'!$A:$J, 5, FALSE)</f>
        <v>No</v>
      </c>
      <c r="G2321" s="22" t="str">
        <f>VLOOKUP($A2321, 'Medical Examinations'!$A:$I, 6, FALSE)</f>
        <v>No</v>
      </c>
      <c r="H2321" s="22">
        <f>VLOOKUP($A2321,'Medical Examinations'!$A:$L,10, FALSE)</f>
        <v>0</v>
      </c>
      <c r="I2321" s="22" t="str">
        <f>VLOOKUP($A2321, 'Medical Examinations'!$A:$J, 9, FALSE)</f>
        <v>No</v>
      </c>
      <c r="J2321" s="22" t="str">
        <f>VLOOKUP($A2321, 'Medical Examinations'!$A:$P, 11, FALSE)</f>
        <v>NORMAL WEIGHT</v>
      </c>
      <c r="K2321" s="34">
        <v>23724.0</v>
      </c>
      <c r="L2321" s="35">
        <f>VLOOKUP($A2321, 'Hospitalisation Details'!$A:$H, 7, FALSE)</f>
        <v>760</v>
      </c>
      <c r="M2321" s="22" t="str">
        <f>VLOOKUP($A2321, 'Hospitalisation Details'!$A:$L, 12, FALSE)</f>
        <v>tier - 3</v>
      </c>
      <c r="N2321" s="22" t="str">
        <f>VLOOKUP($A2321, 'Hospitalisation Details'!$A:$M, 13, FALSE)</f>
        <v>tier - 3</v>
      </c>
      <c r="O2321" s="22" t="str">
        <f>VLOOKUP($A2321, 'Hospitalisation Details'!$A:$N, 14, FALSE)</f>
        <v>R1013</v>
      </c>
      <c r="P2321" s="36">
        <f>VLOOKUP($A2321, 'Hospitalisation Details'!$A:$O, 15, FALSE)</f>
        <v>26</v>
      </c>
    </row>
    <row r="2322" ht="15.75" customHeight="1">
      <c r="A2322" s="33" t="s">
        <v>4643</v>
      </c>
      <c r="B2322" s="22" t="str">
        <f>VLOOKUP($A2322,'Customer Names'!$A:$D,3, FALSE)</f>
        <v>Danielson</v>
      </c>
      <c r="C2322" s="22">
        <f>VLOOKUP($A2322,'Medical Examinations'!$A:$D, 2, FALSE)</f>
        <v>17.86</v>
      </c>
      <c r="D2322" s="22">
        <f>VLOOKUP($A2322, 'Medical Examinations'!$A:$D,3, FALSE)</f>
        <v>5.43</v>
      </c>
      <c r="E2322" s="22" t="str">
        <f>VLOOKUP($A2322, 'Medical Examinations'!$A:$D, 4, FALSE)</f>
        <v>No</v>
      </c>
      <c r="F2322" s="22" t="str">
        <f>VLOOKUP($A2322, 'Medical Examinations'!$A:$J, 5, FALSE)</f>
        <v>No</v>
      </c>
      <c r="G2322" s="22" t="str">
        <f>VLOOKUP($A2322, 'Medical Examinations'!$A:$I, 6, FALSE)</f>
        <v>Yes</v>
      </c>
      <c r="H2322" s="22">
        <f>VLOOKUP($A2322,'Medical Examinations'!$A:$L,10, FALSE)</f>
        <v>1</v>
      </c>
      <c r="I2322" s="22" t="str">
        <f>VLOOKUP($A2322, 'Medical Examinations'!$A:$J, 9, FALSE)</f>
        <v>No</v>
      </c>
      <c r="J2322" s="22" t="str">
        <f>VLOOKUP($A2322, 'Medical Examinations'!$A:$P, 11, FALSE)</f>
        <v>UNDERWEIGHT</v>
      </c>
      <c r="K2322" s="34">
        <v>23561.0</v>
      </c>
      <c r="L2322" s="35">
        <f>VLOOKUP($A2322, 'Hospitalisation Details'!$A:$H, 7, FALSE)</f>
        <v>760</v>
      </c>
      <c r="M2322" s="22" t="str">
        <f>VLOOKUP($A2322, 'Hospitalisation Details'!$A:$L, 12, FALSE)</f>
        <v>tier - 3</v>
      </c>
      <c r="N2322" s="22" t="str">
        <f>VLOOKUP($A2322, 'Hospitalisation Details'!$A:$M, 13, FALSE)</f>
        <v>tier - 1</v>
      </c>
      <c r="O2322" s="22" t="str">
        <f>VLOOKUP($A2322, 'Hospitalisation Details'!$A:$N, 14, FALSE)</f>
        <v>R1013</v>
      </c>
      <c r="P2322" s="36">
        <f>VLOOKUP($A2322, 'Hospitalisation Details'!$A:$O, 15, FALSE)</f>
        <v>29</v>
      </c>
    </row>
    <row r="2323" ht="15.75" customHeight="1">
      <c r="A2323" s="33" t="s">
        <v>4645</v>
      </c>
      <c r="B2323" s="22" t="str">
        <f>VLOOKUP($A2323,'Customer Names'!$A:$D,3, FALSE)</f>
        <v>Street</v>
      </c>
      <c r="C2323" s="22">
        <f>VLOOKUP($A2323,'Medical Examinations'!$A:$D, 2, FALSE)</f>
        <v>21.38</v>
      </c>
      <c r="D2323" s="22">
        <f>VLOOKUP($A2323, 'Medical Examinations'!$A:$D,3, FALSE)</f>
        <v>8.01</v>
      </c>
      <c r="E2323" s="22" t="str">
        <f>VLOOKUP($A2323, 'Medical Examinations'!$A:$D, 4, FALSE)</f>
        <v>No</v>
      </c>
      <c r="F2323" s="22" t="str">
        <f>VLOOKUP($A2323, 'Medical Examinations'!$A:$J, 5, FALSE)</f>
        <v>No</v>
      </c>
      <c r="G2323" s="22" t="str">
        <f>VLOOKUP($A2323, 'Medical Examinations'!$A:$I, 6, FALSE)</f>
        <v>No</v>
      </c>
      <c r="H2323" s="22">
        <f>VLOOKUP($A2323,'Medical Examinations'!$A:$L,10, FALSE)</f>
        <v>0</v>
      </c>
      <c r="I2323" s="22" t="str">
        <f>VLOOKUP($A2323, 'Medical Examinations'!$A:$J, 9, FALSE)</f>
        <v>No</v>
      </c>
      <c r="J2323" s="22" t="str">
        <f>VLOOKUP($A2323, 'Medical Examinations'!$A:$P, 11, FALSE)</f>
        <v>NORMAL WEIGHT</v>
      </c>
      <c r="K2323" s="34">
        <v>24331.0</v>
      </c>
      <c r="L2323" s="35">
        <f>VLOOKUP($A2323, 'Hospitalisation Details'!$A:$H, 7, FALSE)</f>
        <v>750</v>
      </c>
      <c r="M2323" s="22" t="str">
        <f>VLOOKUP($A2323, 'Hospitalisation Details'!$A:$L, 12, FALSE)</f>
        <v>tier - 3</v>
      </c>
      <c r="N2323" s="22" t="str">
        <f>VLOOKUP($A2323, 'Hospitalisation Details'!$A:$M, 13, FALSE)</f>
        <v>tier - 1</v>
      </c>
      <c r="O2323" s="22" t="str">
        <f>VLOOKUP($A2323, 'Hospitalisation Details'!$A:$N, 14, FALSE)</f>
        <v>R1012</v>
      </c>
      <c r="P2323" s="36">
        <f>VLOOKUP($A2323, 'Hospitalisation Details'!$A:$O, 15, FALSE)</f>
        <v>20</v>
      </c>
    </row>
    <row r="2324" ht="15.75" customHeight="1">
      <c r="A2324" s="33" t="s">
        <v>4647</v>
      </c>
      <c r="B2324" s="22" t="str">
        <f>VLOOKUP($A2324,'Customer Names'!$A:$D,3, FALSE)</f>
        <v>Buss</v>
      </c>
      <c r="C2324" s="22">
        <f>VLOOKUP($A2324,'Medical Examinations'!$A:$D, 2, FALSE)</f>
        <v>23.35</v>
      </c>
      <c r="D2324" s="22">
        <f>VLOOKUP($A2324, 'Medical Examinations'!$A:$D,3, FALSE)</f>
        <v>5.94</v>
      </c>
      <c r="E2324" s="22" t="str">
        <f>VLOOKUP($A2324, 'Medical Examinations'!$A:$D, 4, FALSE)</f>
        <v>No</v>
      </c>
      <c r="F2324" s="22" t="str">
        <f>VLOOKUP($A2324, 'Medical Examinations'!$A:$J, 5, FALSE)</f>
        <v>No</v>
      </c>
      <c r="G2324" s="22" t="str">
        <f>VLOOKUP($A2324, 'Medical Examinations'!$A:$I, 6, FALSE)</f>
        <v>No</v>
      </c>
      <c r="H2324" s="22">
        <f>VLOOKUP($A2324,'Medical Examinations'!$A:$L,10, FALSE)</f>
        <v>0</v>
      </c>
      <c r="I2324" s="22" t="str">
        <f>VLOOKUP($A2324, 'Medical Examinations'!$A:$J, 9, FALSE)</f>
        <v>No</v>
      </c>
      <c r="J2324" s="22" t="str">
        <f>VLOOKUP($A2324, 'Medical Examinations'!$A:$P, 11, FALSE)</f>
        <v>NORMAL WEIGHT</v>
      </c>
      <c r="K2324" s="34">
        <v>23562.0</v>
      </c>
      <c r="L2324" s="35">
        <f>VLOOKUP($A2324, 'Hospitalisation Details'!$A:$H, 7, FALSE)</f>
        <v>722.99</v>
      </c>
      <c r="M2324" s="22" t="str">
        <f>VLOOKUP($A2324, 'Hospitalisation Details'!$A:$L, 12, FALSE)</f>
        <v>tier - 3</v>
      </c>
      <c r="N2324" s="22" t="str">
        <f>VLOOKUP($A2324, 'Hospitalisation Details'!$A:$M, 13, FALSE)</f>
        <v>tier - 1</v>
      </c>
      <c r="O2324" s="22" t="str">
        <f>VLOOKUP($A2324, 'Hospitalisation Details'!$A:$N, 14, FALSE)</f>
        <v>R1013</v>
      </c>
      <c r="P2324" s="36">
        <f>VLOOKUP($A2324, 'Hospitalisation Details'!$A:$O, 15, FALSE)</f>
        <v>23</v>
      </c>
    </row>
    <row r="2325" ht="15.75" customHeight="1">
      <c r="A2325" s="33" t="s">
        <v>4649</v>
      </c>
      <c r="B2325" s="22" t="str">
        <f>VLOOKUP($A2325,'Customer Names'!$A:$D,3, FALSE)</f>
        <v>Duffy</v>
      </c>
      <c r="C2325" s="22">
        <f>VLOOKUP($A2325,'Medical Examinations'!$A:$D, 2, FALSE)</f>
        <v>22.24</v>
      </c>
      <c r="D2325" s="22">
        <f>VLOOKUP($A2325, 'Medical Examinations'!$A:$D,3, FALSE)</f>
        <v>5.04</v>
      </c>
      <c r="E2325" s="22" t="str">
        <f>VLOOKUP($A2325, 'Medical Examinations'!$A:$D, 4, FALSE)</f>
        <v>No</v>
      </c>
      <c r="F2325" s="22" t="str">
        <f>VLOOKUP($A2325, 'Medical Examinations'!$A:$J, 5, FALSE)</f>
        <v>No</v>
      </c>
      <c r="G2325" s="22" t="str">
        <f>VLOOKUP($A2325, 'Medical Examinations'!$A:$I, 6, FALSE)</f>
        <v>No</v>
      </c>
      <c r="H2325" s="22">
        <f>VLOOKUP($A2325,'Medical Examinations'!$A:$L,10, FALSE)</f>
        <v>0</v>
      </c>
      <c r="I2325" s="22" t="str">
        <f>VLOOKUP($A2325, 'Medical Examinations'!$A:$J, 9, FALSE)</f>
        <v>No</v>
      </c>
      <c r="J2325" s="22" t="str">
        <f>VLOOKUP($A2325, 'Medical Examinations'!$A:$P, 11, FALSE)</f>
        <v>NORMAL WEIGHT</v>
      </c>
      <c r="K2325" s="34">
        <v>24011.0</v>
      </c>
      <c r="L2325" s="35">
        <f>VLOOKUP($A2325, 'Hospitalisation Details'!$A:$H, 7, FALSE)</f>
        <v>700</v>
      </c>
      <c r="M2325" s="22" t="str">
        <f>VLOOKUP($A2325, 'Hospitalisation Details'!$A:$L, 12, FALSE)</f>
        <v>tier - 3</v>
      </c>
      <c r="N2325" s="22" t="str">
        <f>VLOOKUP($A2325, 'Hospitalisation Details'!$A:$M, 13, FALSE)</f>
        <v>tier - 3</v>
      </c>
      <c r="O2325" s="22" t="str">
        <f>VLOOKUP($A2325, 'Hospitalisation Details'!$A:$N, 14, FALSE)</f>
        <v>R1013</v>
      </c>
      <c r="P2325" s="36">
        <f>VLOOKUP($A2325, 'Hospitalisation Details'!$A:$O, 15, FALSE)</f>
        <v>23</v>
      </c>
    </row>
    <row r="2326" ht="15.75" customHeight="1">
      <c r="A2326" s="33" t="s">
        <v>4651</v>
      </c>
      <c r="B2326" s="22" t="str">
        <f>VLOOKUP($A2326,'Customer Names'!$A:$D,3, FALSE)</f>
        <v>Hines</v>
      </c>
      <c r="C2326" s="22">
        <f>VLOOKUP($A2326,'Medical Examinations'!$A:$D, 2, FALSE)</f>
        <v>24.76</v>
      </c>
      <c r="D2326" s="22">
        <f>VLOOKUP($A2326, 'Medical Examinations'!$A:$D,3, FALSE)</f>
        <v>4.54</v>
      </c>
      <c r="E2326" s="22" t="str">
        <f>VLOOKUP($A2326, 'Medical Examinations'!$A:$D, 4, FALSE)</f>
        <v>Yes</v>
      </c>
      <c r="F2326" s="22" t="str">
        <f>VLOOKUP($A2326, 'Medical Examinations'!$A:$J, 5, FALSE)</f>
        <v>No</v>
      </c>
      <c r="G2326" s="22" t="str">
        <f>VLOOKUP($A2326, 'Medical Examinations'!$A:$I, 6, FALSE)</f>
        <v>No</v>
      </c>
      <c r="H2326" s="22">
        <f>VLOOKUP($A2326,'Medical Examinations'!$A:$L,10, FALSE)</f>
        <v>0</v>
      </c>
      <c r="I2326" s="22" t="str">
        <f>VLOOKUP($A2326, 'Medical Examinations'!$A:$J, 9, FALSE)</f>
        <v>No</v>
      </c>
      <c r="J2326" s="22" t="str">
        <f>VLOOKUP($A2326, 'Medical Examinations'!$A:$P, 11, FALSE)</f>
        <v>NORMAL WEIGHT</v>
      </c>
      <c r="K2326" s="34">
        <v>24075.0</v>
      </c>
      <c r="L2326" s="35">
        <f>VLOOKUP($A2326, 'Hospitalisation Details'!$A:$H, 7, FALSE)</f>
        <v>687.54</v>
      </c>
      <c r="M2326" s="22" t="str">
        <f>VLOOKUP($A2326, 'Hospitalisation Details'!$A:$L, 12, FALSE)</f>
        <v>tier - 3</v>
      </c>
      <c r="N2326" s="22" t="str">
        <f>VLOOKUP($A2326, 'Hospitalisation Details'!$A:$M, 13, FALSE)</f>
        <v>tier - 2</v>
      </c>
      <c r="O2326" s="22" t="str">
        <f>VLOOKUP($A2326, 'Hospitalisation Details'!$A:$N, 14, FALSE)</f>
        <v>R1013</v>
      </c>
      <c r="P2326" s="36">
        <f>VLOOKUP($A2326, 'Hospitalisation Details'!$A:$O, 15, FALSE)</f>
        <v>21</v>
      </c>
    </row>
    <row r="2327" ht="15.75" customHeight="1">
      <c r="A2327" s="33" t="s">
        <v>4653</v>
      </c>
      <c r="B2327" s="22" t="str">
        <f>VLOOKUP($A2327,'Customer Names'!$A:$D,3, FALSE)</f>
        <v>Castro</v>
      </c>
      <c r="C2327" s="22">
        <f>VLOOKUP($A2327,'Medical Examinations'!$A:$D, 2, FALSE)</f>
        <v>20.1</v>
      </c>
      <c r="D2327" s="22">
        <f>VLOOKUP($A2327, 'Medical Examinations'!$A:$D,3, FALSE)</f>
        <v>5.6</v>
      </c>
      <c r="E2327" s="22" t="str">
        <f>VLOOKUP($A2327, 'Medical Examinations'!$A:$D, 4, FALSE)</f>
        <v>Yes</v>
      </c>
      <c r="F2327" s="22" t="str">
        <f>VLOOKUP($A2327, 'Medical Examinations'!$A:$J, 5, FALSE)</f>
        <v>No</v>
      </c>
      <c r="G2327" s="22" t="str">
        <f>VLOOKUP($A2327, 'Medical Examinations'!$A:$I, 6, FALSE)</f>
        <v>Yes</v>
      </c>
      <c r="H2327" s="22">
        <f>VLOOKUP($A2327,'Medical Examinations'!$A:$L,10, FALSE)</f>
        <v>1</v>
      </c>
      <c r="I2327" s="22" t="str">
        <f>VLOOKUP($A2327, 'Medical Examinations'!$A:$J, 9, FALSE)</f>
        <v>No</v>
      </c>
      <c r="J2327" s="22" t="str">
        <f>VLOOKUP($A2327, 'Medical Examinations'!$A:$P, 11, FALSE)</f>
        <v>NORMAL WEIGHT</v>
      </c>
      <c r="K2327" s="34">
        <v>23570.0</v>
      </c>
      <c r="L2327" s="35">
        <f>VLOOKUP($A2327, 'Hospitalisation Details'!$A:$H, 7, FALSE)</f>
        <v>670</v>
      </c>
      <c r="M2327" s="22" t="str">
        <f>VLOOKUP($A2327, 'Hospitalisation Details'!$A:$L, 12, FALSE)</f>
        <v>tier - 3</v>
      </c>
      <c r="N2327" s="22" t="str">
        <f>VLOOKUP($A2327, 'Hospitalisation Details'!$A:$M, 13, FALSE)</f>
        <v>tier - 3</v>
      </c>
      <c r="O2327" s="22" t="str">
        <f>VLOOKUP($A2327, 'Hospitalisation Details'!$A:$N, 14, FALSE)</f>
        <v>R1013</v>
      </c>
      <c r="P2327" s="36">
        <f>VLOOKUP($A2327, 'Hospitalisation Details'!$A:$O, 15, FALSE)</f>
        <v>25</v>
      </c>
    </row>
    <row r="2328" ht="15.75" customHeight="1">
      <c r="A2328" s="33" t="s">
        <v>4655</v>
      </c>
      <c r="B2328" s="22" t="str">
        <f>VLOOKUP($A2328,'Customer Names'!$A:$D,3, FALSE)</f>
        <v>Howell</v>
      </c>
      <c r="C2328" s="22">
        <f>VLOOKUP($A2328,'Medical Examinations'!$A:$D, 2, FALSE)</f>
        <v>21.77</v>
      </c>
      <c r="D2328" s="22">
        <f>VLOOKUP($A2328, 'Medical Examinations'!$A:$D,3, FALSE)</f>
        <v>10.67</v>
      </c>
      <c r="E2328" s="22" t="str">
        <f>VLOOKUP($A2328, 'Medical Examinations'!$A:$D, 4, FALSE)</f>
        <v>No</v>
      </c>
      <c r="F2328" s="22" t="str">
        <f>VLOOKUP($A2328, 'Medical Examinations'!$A:$J, 5, FALSE)</f>
        <v>No</v>
      </c>
      <c r="G2328" s="22" t="str">
        <f>VLOOKUP($A2328, 'Medical Examinations'!$A:$I, 6, FALSE)</f>
        <v>No</v>
      </c>
      <c r="H2328" s="22">
        <f>VLOOKUP($A2328,'Medical Examinations'!$A:$L,10, FALSE)</f>
        <v>0</v>
      </c>
      <c r="I2328" s="22" t="str">
        <f>VLOOKUP($A2328, 'Medical Examinations'!$A:$J, 9, FALSE)</f>
        <v>No</v>
      </c>
      <c r="J2328" s="22" t="str">
        <f>VLOOKUP($A2328, 'Medical Examinations'!$A:$P, 11, FALSE)</f>
        <v>NORMAL WEIGHT</v>
      </c>
      <c r="K2328" s="34">
        <v>25144.0</v>
      </c>
      <c r="L2328" s="35">
        <f>VLOOKUP($A2328, 'Hospitalisation Details'!$A:$H, 7, FALSE)</f>
        <v>668</v>
      </c>
      <c r="M2328" s="22" t="str">
        <f>VLOOKUP($A2328, 'Hospitalisation Details'!$A:$L, 12, FALSE)</f>
        <v>tier - 3</v>
      </c>
      <c r="N2328" s="22" t="str">
        <f>VLOOKUP($A2328, 'Hospitalisation Details'!$A:$M, 13, FALSE)</f>
        <v>tier - 2</v>
      </c>
      <c r="O2328" s="22" t="str">
        <f>VLOOKUP($A2328, 'Hospitalisation Details'!$A:$N, 14, FALSE)</f>
        <v>R1012</v>
      </c>
      <c r="P2328" s="36">
        <f>VLOOKUP($A2328, 'Hospitalisation Details'!$A:$O, 15, FALSE)</f>
        <v>20</v>
      </c>
    </row>
    <row r="2329" ht="15.75" customHeight="1">
      <c r="A2329" s="33" t="s">
        <v>4657</v>
      </c>
      <c r="B2329" s="22" t="str">
        <f>VLOOKUP($A2329,'Customer Names'!$A:$D,3, FALSE)</f>
        <v>Avery</v>
      </c>
      <c r="C2329" s="22">
        <f>VLOOKUP($A2329,'Medical Examinations'!$A:$D, 2, FALSE)</f>
        <v>17.82</v>
      </c>
      <c r="D2329" s="22">
        <f>VLOOKUP($A2329, 'Medical Examinations'!$A:$D,3, FALSE)</f>
        <v>5.26</v>
      </c>
      <c r="E2329" s="22" t="str">
        <f>VLOOKUP($A2329, 'Medical Examinations'!$A:$D, 4, FALSE)</f>
        <v>Yes</v>
      </c>
      <c r="F2329" s="22" t="str">
        <f>VLOOKUP($A2329, 'Medical Examinations'!$A:$J, 5, FALSE)</f>
        <v>No</v>
      </c>
      <c r="G2329" s="22" t="str">
        <f>VLOOKUP($A2329, 'Medical Examinations'!$A:$I, 6, FALSE)</f>
        <v>No</v>
      </c>
      <c r="H2329" s="22">
        <f>VLOOKUP($A2329,'Medical Examinations'!$A:$L,10, FALSE)</f>
        <v>1</v>
      </c>
      <c r="I2329" s="22" t="str">
        <f>VLOOKUP($A2329, 'Medical Examinations'!$A:$J, 9, FALSE)</f>
        <v>No</v>
      </c>
      <c r="J2329" s="22" t="str">
        <f>VLOOKUP($A2329, 'Medical Examinations'!$A:$P, 11, FALSE)</f>
        <v>UNDERWEIGHT</v>
      </c>
      <c r="K2329" s="34">
        <v>32739.0</v>
      </c>
      <c r="L2329" s="35">
        <f>VLOOKUP($A2329, 'Hospitalisation Details'!$A:$H, 7, FALSE)</f>
        <v>650</v>
      </c>
      <c r="M2329" s="22" t="str">
        <f>VLOOKUP($A2329, 'Hospitalisation Details'!$A:$L, 12, FALSE)</f>
        <v>tier - 3</v>
      </c>
      <c r="N2329" s="22" t="str">
        <f>VLOOKUP($A2329, 'Hospitalisation Details'!$A:$M, 13, FALSE)</f>
        <v>tier - 3</v>
      </c>
      <c r="O2329" s="22" t="str">
        <f>VLOOKUP($A2329, 'Hospitalisation Details'!$A:$N, 14, FALSE)</f>
        <v>R1013</v>
      </c>
      <c r="P2329" s="36">
        <f>VLOOKUP($A2329, 'Hospitalisation Details'!$A:$O, 15, FALSE)</f>
        <v>27</v>
      </c>
    </row>
    <row r="2330" ht="15.75" customHeight="1">
      <c r="A2330" s="33" t="s">
        <v>4659</v>
      </c>
      <c r="B2330" s="22" t="str">
        <f>VLOOKUP($A2330,'Customer Names'!$A:$D,3, FALSE)</f>
        <v>Bohinski</v>
      </c>
      <c r="C2330" s="22">
        <f>VLOOKUP($A2330,'Medical Examinations'!$A:$D, 2, FALSE)</f>
        <v>17.07</v>
      </c>
      <c r="D2330" s="22">
        <f>VLOOKUP($A2330, 'Medical Examinations'!$A:$D,3, FALSE)</f>
        <v>5.22</v>
      </c>
      <c r="E2330" s="22" t="str">
        <f>VLOOKUP($A2330, 'Medical Examinations'!$A:$D, 4, FALSE)</f>
        <v>No</v>
      </c>
      <c r="F2330" s="22" t="str">
        <f>VLOOKUP($A2330, 'Medical Examinations'!$A:$J, 5, FALSE)</f>
        <v>No</v>
      </c>
      <c r="G2330" s="22" t="str">
        <f>VLOOKUP($A2330, 'Medical Examinations'!$A:$I, 6, FALSE)</f>
        <v>Yes</v>
      </c>
      <c r="H2330" s="22">
        <f>VLOOKUP($A2330,'Medical Examinations'!$A:$L,10, FALSE)</f>
        <v>1</v>
      </c>
      <c r="I2330" s="22" t="str">
        <f>VLOOKUP($A2330, 'Medical Examinations'!$A:$J, 9, FALSE)</f>
        <v>No</v>
      </c>
      <c r="J2330" s="22" t="str">
        <f>VLOOKUP($A2330, 'Medical Examinations'!$A:$P, 11, FALSE)</f>
        <v>UNDERWEIGHT</v>
      </c>
      <c r="K2330" s="34">
        <v>37519.0</v>
      </c>
      <c r="L2330" s="35">
        <f>VLOOKUP($A2330, 'Hospitalisation Details'!$A:$H, 7, FALSE)</f>
        <v>650</v>
      </c>
      <c r="M2330" s="22" t="str">
        <f>VLOOKUP($A2330, 'Hospitalisation Details'!$A:$L, 12, FALSE)</f>
        <v>tier - 3</v>
      </c>
      <c r="N2330" s="22" t="str">
        <f>VLOOKUP($A2330, 'Hospitalisation Details'!$A:$M, 13, FALSE)</f>
        <v>tier - 3</v>
      </c>
      <c r="O2330" s="22" t="str">
        <f>VLOOKUP($A2330, 'Hospitalisation Details'!$A:$N, 14, FALSE)</f>
        <v>R1013</v>
      </c>
      <c r="P2330" s="36">
        <f>VLOOKUP($A2330, 'Hospitalisation Details'!$A:$O, 15, FALSE)</f>
        <v>30</v>
      </c>
    </row>
    <row r="2331" ht="15.75" customHeight="1">
      <c r="A2331" s="33" t="s">
        <v>4661</v>
      </c>
      <c r="B2331" s="22" t="str">
        <f>VLOOKUP($A2331,'Customer Names'!$A:$D,3, FALSE)</f>
        <v>Kohls</v>
      </c>
      <c r="C2331" s="22">
        <f>VLOOKUP($A2331,'Medical Examinations'!$A:$D, 2, FALSE)</f>
        <v>22.24</v>
      </c>
      <c r="D2331" s="22">
        <f>VLOOKUP($A2331, 'Medical Examinations'!$A:$D,3, FALSE)</f>
        <v>4.29</v>
      </c>
      <c r="E2331" s="22" t="str">
        <f>VLOOKUP($A2331, 'Medical Examinations'!$A:$D, 4, FALSE)</f>
        <v>Yes</v>
      </c>
      <c r="F2331" s="22" t="str">
        <f>VLOOKUP($A2331, 'Medical Examinations'!$A:$J, 5, FALSE)</f>
        <v>No</v>
      </c>
      <c r="G2331" s="22" t="str">
        <f>VLOOKUP($A2331, 'Medical Examinations'!$A:$I, 6, FALSE)</f>
        <v>No</v>
      </c>
      <c r="H2331" s="22">
        <f>VLOOKUP($A2331,'Medical Examinations'!$A:$L,10, FALSE)</f>
        <v>0</v>
      </c>
      <c r="I2331" s="22" t="str">
        <f>VLOOKUP($A2331, 'Medical Examinations'!$A:$J, 9, FALSE)</f>
        <v>No</v>
      </c>
      <c r="J2331" s="22" t="str">
        <f>VLOOKUP($A2331, 'Medical Examinations'!$A:$P, 11, FALSE)</f>
        <v>NORMAL WEIGHT</v>
      </c>
      <c r="K2331" s="34">
        <v>23203.0</v>
      </c>
      <c r="L2331" s="35">
        <f>VLOOKUP($A2331, 'Hospitalisation Details'!$A:$H, 7, FALSE)</f>
        <v>646.14</v>
      </c>
      <c r="M2331" s="22" t="str">
        <f>VLOOKUP($A2331, 'Hospitalisation Details'!$A:$L, 12, FALSE)</f>
        <v>tier - 3</v>
      </c>
      <c r="N2331" s="22" t="str">
        <f>VLOOKUP($A2331, 'Hospitalisation Details'!$A:$M, 13, FALSE)</f>
        <v>tier - 3</v>
      </c>
      <c r="O2331" s="22" t="str">
        <f>VLOOKUP($A2331, 'Hospitalisation Details'!$A:$N, 14, FALSE)</f>
        <v>R1012</v>
      </c>
      <c r="P2331" s="36">
        <f>VLOOKUP($A2331, 'Hospitalisation Details'!$A:$O, 15, FALSE)</f>
        <v>21</v>
      </c>
    </row>
    <row r="2332" ht="15.75" customHeight="1">
      <c r="A2332" s="33" t="s">
        <v>4663</v>
      </c>
      <c r="B2332" s="22" t="str">
        <f>VLOOKUP($A2332,'Customer Names'!$A:$D,3, FALSE)</f>
        <v>Brietzke</v>
      </c>
      <c r="C2332" s="22">
        <f>VLOOKUP($A2332,'Medical Examinations'!$A:$D, 2, FALSE)</f>
        <v>22.34</v>
      </c>
      <c r="D2332" s="22">
        <f>VLOOKUP($A2332, 'Medical Examinations'!$A:$D,3, FALSE)</f>
        <v>5.57</v>
      </c>
      <c r="E2332" s="22" t="str">
        <f>VLOOKUP($A2332, 'Medical Examinations'!$A:$D, 4, FALSE)</f>
        <v>No</v>
      </c>
      <c r="F2332" s="22" t="str">
        <f>VLOOKUP($A2332, 'Medical Examinations'!$A:$J, 5, FALSE)</f>
        <v>No</v>
      </c>
      <c r="G2332" s="22" t="str">
        <f>VLOOKUP($A2332, 'Medical Examinations'!$A:$I, 6, FALSE)</f>
        <v>No</v>
      </c>
      <c r="H2332" s="22">
        <f>VLOOKUP($A2332,'Medical Examinations'!$A:$L,10, FALSE)</f>
        <v>1</v>
      </c>
      <c r="I2332" s="22" t="str">
        <f>VLOOKUP($A2332, 'Medical Examinations'!$A:$J, 9, FALSE)</f>
        <v>No</v>
      </c>
      <c r="J2332" s="22" t="str">
        <f>VLOOKUP($A2332, 'Medical Examinations'!$A:$P, 11, FALSE)</f>
        <v>NORMAL WEIGHT</v>
      </c>
      <c r="K2332" s="34">
        <v>35043.0</v>
      </c>
      <c r="L2332" s="35">
        <f>VLOOKUP($A2332, 'Hospitalisation Details'!$A:$H, 7, FALSE)</f>
        <v>637.26</v>
      </c>
      <c r="M2332" s="22" t="str">
        <f>VLOOKUP($A2332, 'Hospitalisation Details'!$A:$L, 12, FALSE)</f>
        <v>tier - 3</v>
      </c>
      <c r="N2332" s="22" t="str">
        <f>VLOOKUP($A2332, 'Hospitalisation Details'!$A:$M, 13, FALSE)</f>
        <v>tier - 3</v>
      </c>
      <c r="O2332" s="22" t="str">
        <f>VLOOKUP($A2332, 'Hospitalisation Details'!$A:$N, 14, FALSE)</f>
        <v>R1013</v>
      </c>
      <c r="P2332" s="36">
        <f>VLOOKUP($A2332, 'Hospitalisation Details'!$A:$O, 15, FALSE)</f>
        <v>24</v>
      </c>
    </row>
    <row r="2333" ht="15.75" customHeight="1">
      <c r="A2333" s="33" t="s">
        <v>4665</v>
      </c>
      <c r="B2333" s="22" t="str">
        <f>VLOOKUP($A2333,'Customer Names'!$A:$D,3, FALSE)</f>
        <v>Rivero</v>
      </c>
      <c r="C2333" s="22">
        <f>VLOOKUP($A2333,'Medical Examinations'!$A:$D, 2, FALSE)</f>
        <v>17.7</v>
      </c>
      <c r="D2333" s="22">
        <f>VLOOKUP($A2333, 'Medical Examinations'!$A:$D,3, FALSE)</f>
        <v>6.28</v>
      </c>
      <c r="E2333" s="22" t="str">
        <f>VLOOKUP($A2333, 'Medical Examinations'!$A:$D, 4, FALSE)</f>
        <v>No</v>
      </c>
      <c r="F2333" s="22" t="str">
        <f>VLOOKUP($A2333, 'Medical Examinations'!$A:$J, 5, FALSE)</f>
        <v>No</v>
      </c>
      <c r="G2333" s="22" t="str">
        <f>VLOOKUP($A2333, 'Medical Examinations'!$A:$I, 6, FALSE)</f>
        <v>No</v>
      </c>
      <c r="H2333" s="22">
        <f>VLOOKUP($A2333,'Medical Examinations'!$A:$L,10, FALSE)</f>
        <v>1</v>
      </c>
      <c r="I2333" s="22" t="str">
        <f>VLOOKUP($A2333, 'Medical Examinations'!$A:$J, 9, FALSE)</f>
        <v>No</v>
      </c>
      <c r="J2333" s="22" t="str">
        <f>VLOOKUP($A2333, 'Medical Examinations'!$A:$P, 11, FALSE)</f>
        <v>UNDERWEIGHT</v>
      </c>
      <c r="K2333" s="34">
        <v>23337.0</v>
      </c>
      <c r="L2333" s="35">
        <f>VLOOKUP($A2333, 'Hospitalisation Details'!$A:$H, 7, FALSE)</f>
        <v>604.54</v>
      </c>
      <c r="M2333" s="22" t="str">
        <f>VLOOKUP($A2333, 'Hospitalisation Details'!$A:$L, 12, FALSE)</f>
        <v>tier - 3</v>
      </c>
      <c r="N2333" s="22" t="str">
        <f>VLOOKUP($A2333, 'Hospitalisation Details'!$A:$M, 13, FALSE)</f>
        <v>tier - 3</v>
      </c>
      <c r="O2333" s="22" t="str">
        <f>VLOOKUP($A2333, 'Hospitalisation Details'!$A:$N, 14, FALSE)</f>
        <v>R1013</v>
      </c>
      <c r="P2333" s="36">
        <f>VLOOKUP($A2333, 'Hospitalisation Details'!$A:$O, 15, FALSE)</f>
        <v>30</v>
      </c>
    </row>
    <row r="2334" ht="15.75" customHeight="1">
      <c r="A2334" s="33" t="s">
        <v>4667</v>
      </c>
      <c r="B2334" s="22" t="str">
        <f>VLOOKUP($A2334,'Customer Names'!$A:$D,3, FALSE)</f>
        <v>Albano</v>
      </c>
      <c r="C2334" s="22">
        <f>VLOOKUP($A2334,'Medical Examinations'!$A:$D, 2, FALSE)</f>
        <v>16.47</v>
      </c>
      <c r="D2334" s="22">
        <f>VLOOKUP($A2334, 'Medical Examinations'!$A:$D,3, FALSE)</f>
        <v>6.35</v>
      </c>
      <c r="E2334" s="22" t="str">
        <f>VLOOKUP($A2334, 'Medical Examinations'!$A:$D, 4, FALSE)</f>
        <v>No</v>
      </c>
      <c r="F2334" s="22" t="str">
        <f>VLOOKUP($A2334, 'Medical Examinations'!$A:$J, 5, FALSE)</f>
        <v>No</v>
      </c>
      <c r="G2334" s="22" t="str">
        <f>VLOOKUP($A2334, 'Medical Examinations'!$A:$I, 6, FALSE)</f>
        <v>Yes</v>
      </c>
      <c r="H2334" s="22">
        <f>VLOOKUP($A2334,'Medical Examinations'!$A:$L,10, FALSE)</f>
        <v>1</v>
      </c>
      <c r="I2334" s="22" t="str">
        <f>VLOOKUP($A2334, 'Medical Examinations'!$A:$J, 9, FALSE)</f>
        <v>No</v>
      </c>
      <c r="J2334" s="22" t="str">
        <f>VLOOKUP($A2334, 'Medical Examinations'!$A:$P, 11, FALSE)</f>
        <v>UNDERWEIGHT</v>
      </c>
      <c r="K2334" s="34">
        <v>22893.0</v>
      </c>
      <c r="L2334" s="35">
        <f>VLOOKUP($A2334, 'Hospitalisation Details'!$A:$H, 7, FALSE)</f>
        <v>600</v>
      </c>
      <c r="M2334" s="22" t="str">
        <f>VLOOKUP($A2334, 'Hospitalisation Details'!$A:$L, 12, FALSE)</f>
        <v>tier - 2</v>
      </c>
      <c r="N2334" s="22" t="str">
        <f>VLOOKUP($A2334, 'Hospitalisation Details'!$A:$M, 13, FALSE)</f>
        <v>tier - 1</v>
      </c>
      <c r="O2334" s="22" t="str">
        <f>VLOOKUP($A2334, 'Hospitalisation Details'!$A:$N, 14, FALSE)</f>
        <v>R1013</v>
      </c>
      <c r="P2334" s="36">
        <f>VLOOKUP($A2334, 'Hospitalisation Details'!$A:$O, 15, FALSE)</f>
        <v>29</v>
      </c>
    </row>
    <row r="2335" ht="15.75" customHeight="1">
      <c r="A2335" s="33" t="s">
        <v>4669</v>
      </c>
      <c r="B2335" s="22" t="str">
        <f>VLOOKUP($A2335,'Customer Names'!$A:$D,3, FALSE)</f>
        <v>Rosendahl</v>
      </c>
      <c r="C2335" s="22">
        <f>VLOOKUP($A2335,'Medical Examinations'!$A:$D, 2, FALSE)</f>
        <v>17.6</v>
      </c>
      <c r="D2335" s="22">
        <f>VLOOKUP($A2335, 'Medical Examinations'!$A:$D,3, FALSE)</f>
        <v>4.39</v>
      </c>
      <c r="E2335" s="22" t="str">
        <f>VLOOKUP($A2335, 'Medical Examinations'!$A:$D, 4, FALSE)</f>
        <v>No</v>
      </c>
      <c r="F2335" s="22" t="str">
        <f>VLOOKUP($A2335, 'Medical Examinations'!$A:$J, 5, FALSE)</f>
        <v>No</v>
      </c>
      <c r="G2335" s="22" t="str">
        <f>VLOOKUP($A2335, 'Medical Examinations'!$A:$I, 6, FALSE)</f>
        <v>No</v>
      </c>
      <c r="H2335" s="22">
        <f>VLOOKUP($A2335,'Medical Examinations'!$A:$L,10, FALSE)</f>
        <v>1</v>
      </c>
      <c r="I2335" s="22" t="str">
        <f>VLOOKUP($A2335, 'Medical Examinations'!$A:$J, 9, FALSE)</f>
        <v>No</v>
      </c>
      <c r="J2335" s="22" t="str">
        <f>VLOOKUP($A2335, 'Medical Examinations'!$A:$P, 11, FALSE)</f>
        <v>UNDERWEIGHT</v>
      </c>
      <c r="K2335" s="34">
        <v>25117.0</v>
      </c>
      <c r="L2335" s="35">
        <f>VLOOKUP($A2335, 'Hospitalisation Details'!$A:$H, 7, FALSE)</f>
        <v>570.62</v>
      </c>
      <c r="M2335" s="22" t="str">
        <f>VLOOKUP($A2335, 'Hospitalisation Details'!$A:$L, 12, FALSE)</f>
        <v>tier - 2</v>
      </c>
      <c r="N2335" s="22" t="str">
        <f>VLOOKUP($A2335, 'Hospitalisation Details'!$A:$M, 13, FALSE)</f>
        <v>tier - 1</v>
      </c>
      <c r="O2335" s="22" t="str">
        <f>VLOOKUP($A2335, '[3]Hospitalisation Details'!$A:$N, 14, FALSE)</f>
        <v>#REF!</v>
      </c>
      <c r="P2335" s="36">
        <f>VLOOKUP($A2335, 'Hospitalisation Details'!$A:$O, 15, FALSE)</f>
        <v>30</v>
      </c>
    </row>
    <row r="2336" ht="15.75" customHeight="1">
      <c r="A2336" s="38"/>
      <c r="B2336" s="38"/>
      <c r="C2336" s="22"/>
      <c r="D2336" s="22"/>
      <c r="E2336" s="22"/>
      <c r="F2336" s="22"/>
      <c r="G2336" s="22"/>
      <c r="H2336" s="22"/>
      <c r="I2336" s="22"/>
      <c r="J2336" s="22"/>
      <c r="K2336" s="38"/>
      <c r="L2336" s="38"/>
      <c r="M2336" s="22"/>
      <c r="N2336" s="22"/>
      <c r="O2336" s="22"/>
      <c r="P2336" s="22"/>
    </row>
    <row r="2337" ht="15.75" customHeight="1">
      <c r="A2337" s="5"/>
      <c r="K2337" s="18"/>
      <c r="L2337" s="42"/>
    </row>
  </sheetData>
  <mergeCells count="1">
    <mergeCell ref="R4:S4"/>
  </mergeCells>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14"/>
    <col customWidth="1" min="2" max="2" width="22.14"/>
    <col customWidth="1" min="3" max="3" width="9.14"/>
    <col customWidth="1" min="4" max="4" width="10.43"/>
    <col customWidth="1" min="5" max="5" width="16.29"/>
    <col customWidth="1" min="6" max="6" width="66.0"/>
    <col customWidth="1" min="7" max="7" width="8.71"/>
    <col customWidth="1" min="8" max="8" width="9.14"/>
    <col customWidth="1" min="9" max="26" width="8.71"/>
  </cols>
  <sheetData>
    <row r="1">
      <c r="A1" s="28"/>
      <c r="B1" s="28"/>
      <c r="C1" s="28"/>
      <c r="D1" s="28"/>
      <c r="E1" s="28"/>
      <c r="F1" s="43" t="s">
        <v>4783</v>
      </c>
      <c r="G1" s="27"/>
      <c r="H1" s="28"/>
      <c r="I1" s="28"/>
      <c r="J1" s="28"/>
      <c r="K1" s="28"/>
      <c r="L1" s="28"/>
      <c r="M1" s="28"/>
      <c r="N1" s="28"/>
      <c r="O1" s="28"/>
      <c r="P1" s="28"/>
      <c r="Q1" s="28"/>
      <c r="R1" s="28"/>
      <c r="S1" s="28"/>
      <c r="T1" s="28"/>
      <c r="U1" s="28"/>
      <c r="V1" s="28"/>
      <c r="W1" s="28"/>
      <c r="X1" s="28"/>
      <c r="Y1" s="28"/>
      <c r="Z1" s="28"/>
    </row>
    <row r="19">
      <c r="G19" s="9" t="s">
        <v>4697</v>
      </c>
    </row>
    <row r="21" ht="15.75" customHeight="1">
      <c r="G21" s="9" t="s">
        <v>4697</v>
      </c>
    </row>
    <row r="22" ht="15.75" customHeight="1">
      <c r="G22" s="9" t="s">
        <v>4697</v>
      </c>
    </row>
    <row r="23" ht="15.75" customHeight="1">
      <c r="G23" s="9" t="s">
        <v>4697</v>
      </c>
    </row>
    <row r="24" ht="15.75" customHeight="1">
      <c r="G24" s="9" t="s">
        <v>4697</v>
      </c>
      <c r="I24" s="9" t="s">
        <v>4784</v>
      </c>
    </row>
    <row r="25" ht="15.75" customHeight="1">
      <c r="G25" s="9" t="s">
        <v>4785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c r="G35" s="9" t="s">
        <v>4697</v>
      </c>
    </row>
    <row r="36" ht="15.75" customHeight="1"/>
    <row r="37" ht="15.75" customHeight="1">
      <c r="G37" s="9" t="s">
        <v>4786</v>
      </c>
      <c r="L37" s="9" t="s">
        <v>4787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1:G1"/>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sheetViews>
  <sheetFormatPr customHeight="1" defaultColWidth="14.43" defaultRowHeight="15.0"/>
  <cols>
    <col customWidth="1" min="1" max="1" width="93.14"/>
    <col customWidth="1" min="2" max="2" width="47.43"/>
    <col customWidth="1" min="3" max="26" width="8.71"/>
  </cols>
  <sheetData>
    <row r="1" ht="15.0" customHeight="1">
      <c r="B1" s="44"/>
    </row>
    <row r="4">
      <c r="A4" s="45" t="s">
        <v>4788</v>
      </c>
      <c r="B4" s="46"/>
    </row>
    <row r="5">
      <c r="A5" s="47"/>
      <c r="B5" s="47"/>
    </row>
    <row r="6">
      <c r="A6" s="48" t="s">
        <v>4789</v>
      </c>
      <c r="B6" s="48" t="s">
        <v>4790</v>
      </c>
    </row>
    <row r="7" ht="108.0" customHeight="1">
      <c r="A7" s="48" t="s">
        <v>4791</v>
      </c>
      <c r="B7" s="49" t="s">
        <v>4792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